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tables/table3.xml" ContentType="application/vnd.openxmlformats-officedocument.spreadsheetml.table+xml"/>
  <Override PartName="/xl/comments4.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7722" documentId="13_ncr:1_{028E9D73-05E0-4CA3-B7F2-B0353B0C4B40}" xr6:coauthVersionLast="47" xr6:coauthVersionMax="47" xr10:uidLastSave="{A0F3674B-6A98-4C57-B24D-174BBA039385}"/>
  <bookViews>
    <workbookView xWindow="57480" yWindow="-120" windowWidth="29040" windowHeight="15720" tabRatio="655" xr2:uid="{4A3A4C64-D242-41CA-BB1B-2A1C2F037AC7}"/>
  </bookViews>
  <sheets>
    <sheet name="ToDo" sheetId="18" r:id="rId1"/>
    <sheet name="GIS-Standards" sheetId="16" r:id="rId2"/>
    <sheet name="GIS-Relationships" sheetId="17" r:id="rId3"/>
    <sheet name="GIS-BIM-mindmaps" sheetId="19" r:id="rId4"/>
    <sheet name="Standards" sheetId="5" r:id="rId5"/>
    <sheet name="Relationships" sheetId="6" r:id="rId6"/>
    <sheet name="Relevance-Roles" sheetId="8" r:id="rId7"/>
    <sheet name="Relevance-Phases" sheetId="9" r:id="rId8"/>
    <sheet name="Relevance-Topics" sheetId="11" r:id="rId9"/>
    <sheet name="Relevance-Topics-2" sheetId="15" r:id="rId10"/>
    <sheet name="Role-Topic-General-Links" sheetId="13" r:id="rId11"/>
    <sheet name="Role-Phase-Links" sheetId="14" r:id="rId12"/>
    <sheet name="Colours" sheetId="7" r:id="rId13"/>
    <sheet name="Relevance-Topics-General"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51" i="17" l="1"/>
  <c r="I2151" i="17"/>
  <c r="J2151" i="17"/>
  <c r="K2151" i="17"/>
  <c r="N2151" i="17"/>
  <c r="O2151" i="17"/>
  <c r="Q2151" i="17"/>
  <c r="S2151" i="17"/>
  <c r="T2151" i="17"/>
  <c r="U2151" i="17"/>
  <c r="V2151" i="17"/>
  <c r="W2151" i="17"/>
  <c r="H2145" i="17"/>
  <c r="H2146" i="17"/>
  <c r="H2147" i="17"/>
  <c r="I2145" i="17"/>
  <c r="I2146" i="17"/>
  <c r="I2147" i="17"/>
  <c r="J2145" i="17"/>
  <c r="J2146" i="17"/>
  <c r="J2147" i="17"/>
  <c r="K2145" i="17"/>
  <c r="K2146" i="17"/>
  <c r="K2147" i="17"/>
  <c r="N2145" i="17"/>
  <c r="N2146" i="17"/>
  <c r="N2147" i="17"/>
  <c r="O2145" i="17"/>
  <c r="P2145" i="17" s="1"/>
  <c r="O2146" i="17"/>
  <c r="O2147" i="17"/>
  <c r="Q2145" i="17"/>
  <c r="Q2146" i="17"/>
  <c r="Q2147" i="17"/>
  <c r="S2145" i="17"/>
  <c r="S2146" i="17"/>
  <c r="S2147" i="17"/>
  <c r="T2145" i="17"/>
  <c r="T2146" i="17"/>
  <c r="T2147" i="17"/>
  <c r="U2145" i="17"/>
  <c r="U2146" i="17"/>
  <c r="U2147" i="17"/>
  <c r="V2145" i="17"/>
  <c r="V2146" i="17"/>
  <c r="V2147" i="17"/>
  <c r="W2145" i="17"/>
  <c r="W2146" i="17"/>
  <c r="W2147" i="17"/>
  <c r="H2205" i="17"/>
  <c r="H2206" i="17"/>
  <c r="I2205" i="17"/>
  <c r="I2206" i="17"/>
  <c r="J2205" i="17"/>
  <c r="J2206" i="17"/>
  <c r="K2205" i="17"/>
  <c r="K2206" i="17"/>
  <c r="N2205" i="17"/>
  <c r="N2206" i="17"/>
  <c r="O2205" i="17"/>
  <c r="O2206" i="17"/>
  <c r="Q2205" i="17"/>
  <c r="Q2206" i="17"/>
  <c r="S2205" i="17"/>
  <c r="S2206" i="17"/>
  <c r="T2205" i="17"/>
  <c r="T2206" i="17"/>
  <c r="U2205" i="17"/>
  <c r="U2206" i="17"/>
  <c r="V2205" i="17"/>
  <c r="V2206" i="17"/>
  <c r="W2205" i="17"/>
  <c r="W2206" i="17"/>
  <c r="H1717" i="17"/>
  <c r="I1717" i="17"/>
  <c r="J1717" i="17"/>
  <c r="K1717" i="17"/>
  <c r="N1717" i="17"/>
  <c r="O1717" i="17"/>
  <c r="Q1717" i="17"/>
  <c r="S1717" i="17"/>
  <c r="T1717" i="17"/>
  <c r="U1717" i="17"/>
  <c r="V1717" i="17"/>
  <c r="W1717" i="17"/>
  <c r="H2492" i="17"/>
  <c r="H2493" i="17"/>
  <c r="H2494" i="17"/>
  <c r="H2495" i="17"/>
  <c r="H2496" i="17"/>
  <c r="I2492" i="17"/>
  <c r="I2493" i="17"/>
  <c r="I2494" i="17"/>
  <c r="I2495" i="17"/>
  <c r="I2496" i="17"/>
  <c r="J2492" i="17"/>
  <c r="J2493" i="17"/>
  <c r="J2494" i="17"/>
  <c r="J2495" i="17"/>
  <c r="J2496" i="17"/>
  <c r="K2492" i="17"/>
  <c r="K2493" i="17"/>
  <c r="K2494" i="17"/>
  <c r="K2495" i="17"/>
  <c r="K2496" i="17"/>
  <c r="N2492" i="17"/>
  <c r="N2493" i="17"/>
  <c r="N2494" i="17"/>
  <c r="N2495" i="17"/>
  <c r="N2496" i="17"/>
  <c r="O2492" i="17"/>
  <c r="O2493" i="17"/>
  <c r="O2494" i="17"/>
  <c r="O2495" i="17"/>
  <c r="O2496" i="17"/>
  <c r="Q2492" i="17"/>
  <c r="Q2493" i="17"/>
  <c r="Q2494" i="17"/>
  <c r="Q2495" i="17"/>
  <c r="Q2496" i="17"/>
  <c r="S2492" i="17"/>
  <c r="S2493" i="17"/>
  <c r="S2494" i="17"/>
  <c r="S2495" i="17"/>
  <c r="S2496" i="17"/>
  <c r="T2492" i="17"/>
  <c r="T2493" i="17"/>
  <c r="T2494" i="17"/>
  <c r="T2495" i="17"/>
  <c r="T2496" i="17"/>
  <c r="U2492" i="17"/>
  <c r="U2493" i="17"/>
  <c r="U2494" i="17"/>
  <c r="U2495" i="17"/>
  <c r="U2496" i="17"/>
  <c r="V2492" i="17"/>
  <c r="V2493" i="17"/>
  <c r="V2494" i="17"/>
  <c r="V2495" i="17"/>
  <c r="V2496" i="17"/>
  <c r="W2492" i="17"/>
  <c r="W2493" i="17"/>
  <c r="W2494" i="17"/>
  <c r="W2495" i="17"/>
  <c r="W2496" i="17"/>
  <c r="H2200" i="17"/>
  <c r="H2201" i="17"/>
  <c r="H2202" i="17"/>
  <c r="H2203" i="17"/>
  <c r="H2204" i="17"/>
  <c r="I2200" i="17"/>
  <c r="I2201" i="17"/>
  <c r="I2202" i="17"/>
  <c r="I2203" i="17"/>
  <c r="I2204" i="17"/>
  <c r="J2200" i="17"/>
  <c r="J2201" i="17"/>
  <c r="J2202" i="17"/>
  <c r="J2203" i="17"/>
  <c r="J2204" i="17"/>
  <c r="K2200" i="17"/>
  <c r="K2201" i="17"/>
  <c r="K2202" i="17"/>
  <c r="K2203" i="17"/>
  <c r="K2204" i="17"/>
  <c r="N2200" i="17"/>
  <c r="N2201" i="17"/>
  <c r="N2202" i="17"/>
  <c r="N2203" i="17"/>
  <c r="N2204" i="17"/>
  <c r="O2200" i="17"/>
  <c r="O2201" i="17"/>
  <c r="O2202" i="17"/>
  <c r="O2203" i="17"/>
  <c r="O2204" i="17"/>
  <c r="Q2200" i="17"/>
  <c r="Q2201" i="17"/>
  <c r="Q2202" i="17"/>
  <c r="Q2203" i="17"/>
  <c r="Q2204" i="17"/>
  <c r="S2200" i="17"/>
  <c r="S2201" i="17"/>
  <c r="S2202" i="17"/>
  <c r="S2203" i="17"/>
  <c r="S2204" i="17"/>
  <c r="T2200" i="17"/>
  <c r="T2201" i="17"/>
  <c r="T2202" i="17"/>
  <c r="T2203" i="17"/>
  <c r="T2204" i="17"/>
  <c r="U2200" i="17"/>
  <c r="U2201" i="17"/>
  <c r="U2202" i="17"/>
  <c r="U2203" i="17"/>
  <c r="U2204" i="17"/>
  <c r="V2200" i="17"/>
  <c r="V2201" i="17"/>
  <c r="V2202" i="17"/>
  <c r="V2203" i="17"/>
  <c r="V2204" i="17"/>
  <c r="W2200" i="17"/>
  <c r="W2201" i="17"/>
  <c r="W2202" i="17"/>
  <c r="W2203" i="17"/>
  <c r="W2204" i="17"/>
  <c r="H2125" i="17"/>
  <c r="H2126" i="17"/>
  <c r="H2127" i="17"/>
  <c r="H2128" i="17"/>
  <c r="H2129" i="17"/>
  <c r="I2125" i="17"/>
  <c r="I2126" i="17"/>
  <c r="I2127" i="17"/>
  <c r="I2128" i="17"/>
  <c r="I2129" i="17"/>
  <c r="J2125" i="17"/>
  <c r="J2126" i="17"/>
  <c r="J2127" i="17"/>
  <c r="J2128" i="17"/>
  <c r="J2129" i="17"/>
  <c r="K2125" i="17"/>
  <c r="K2126" i="17"/>
  <c r="K2127" i="17"/>
  <c r="K2128" i="17"/>
  <c r="K2129" i="17"/>
  <c r="N2125" i="17"/>
  <c r="N2126" i="17"/>
  <c r="N2127" i="17"/>
  <c r="N2128" i="17"/>
  <c r="N2129" i="17"/>
  <c r="O2125" i="17"/>
  <c r="O2126" i="17"/>
  <c r="O2127" i="17"/>
  <c r="O2128" i="17"/>
  <c r="O2129" i="17"/>
  <c r="Q2125" i="17"/>
  <c r="Q2126" i="17"/>
  <c r="Q2127" i="17"/>
  <c r="Q2128" i="17"/>
  <c r="Q2129" i="17"/>
  <c r="S2125" i="17"/>
  <c r="S2126" i="17"/>
  <c r="S2127" i="17"/>
  <c r="S2128" i="17"/>
  <c r="S2129" i="17"/>
  <c r="T2125" i="17"/>
  <c r="T2126" i="17"/>
  <c r="T2127" i="17"/>
  <c r="T2128" i="17"/>
  <c r="T2129" i="17"/>
  <c r="U2125" i="17"/>
  <c r="U2126" i="17"/>
  <c r="U2127" i="17"/>
  <c r="U2128" i="17"/>
  <c r="U2129" i="17"/>
  <c r="V2125" i="17"/>
  <c r="V2126" i="17"/>
  <c r="V2127" i="17"/>
  <c r="V2128" i="17"/>
  <c r="V2129" i="17"/>
  <c r="W2125" i="17"/>
  <c r="W2126" i="17"/>
  <c r="W2127" i="17"/>
  <c r="W2128" i="17"/>
  <c r="W2129" i="17"/>
  <c r="H2198" i="17"/>
  <c r="H2199" i="17"/>
  <c r="I2198" i="17"/>
  <c r="I2199" i="17"/>
  <c r="J2198" i="17"/>
  <c r="J2199" i="17"/>
  <c r="K2198" i="17"/>
  <c r="K2199" i="17"/>
  <c r="N2198" i="17"/>
  <c r="N2199" i="17"/>
  <c r="O2198" i="17"/>
  <c r="O2199" i="17"/>
  <c r="Q2198" i="17"/>
  <c r="Q2199" i="17"/>
  <c r="S2198" i="17"/>
  <c r="S2199" i="17"/>
  <c r="T2198" i="17"/>
  <c r="T2199" i="17"/>
  <c r="U2198" i="17"/>
  <c r="U2199" i="17"/>
  <c r="V2198" i="17"/>
  <c r="V2199" i="17"/>
  <c r="W2198" i="17"/>
  <c r="W2199" i="17"/>
  <c r="H2197" i="17"/>
  <c r="I2197" i="17"/>
  <c r="J2197" i="17"/>
  <c r="K2197" i="17"/>
  <c r="N2197" i="17"/>
  <c r="O2197" i="17"/>
  <c r="Q2197" i="17"/>
  <c r="S2197" i="17"/>
  <c r="T2197" i="17"/>
  <c r="U2197" i="17"/>
  <c r="V2197" i="17"/>
  <c r="W2197" i="17"/>
  <c r="H131" i="17"/>
  <c r="I131" i="17"/>
  <c r="J131" i="17"/>
  <c r="K131" i="17"/>
  <c r="N131" i="17"/>
  <c r="O131" i="17"/>
  <c r="Q131" i="17"/>
  <c r="S131" i="17"/>
  <c r="T131" i="17"/>
  <c r="U131" i="17"/>
  <c r="V131" i="17"/>
  <c r="W131" i="17"/>
  <c r="H2196" i="17"/>
  <c r="I2196" i="17"/>
  <c r="J2196" i="17"/>
  <c r="K2196" i="17"/>
  <c r="N2196" i="17"/>
  <c r="O2196" i="17"/>
  <c r="Q2196" i="17"/>
  <c r="S2196" i="17"/>
  <c r="T2196" i="17"/>
  <c r="U2196" i="17"/>
  <c r="V2196" i="17"/>
  <c r="W2196" i="17"/>
  <c r="H2195" i="17"/>
  <c r="I2195" i="17"/>
  <c r="J2195" i="17"/>
  <c r="K2195" i="17"/>
  <c r="N2195" i="17"/>
  <c r="O2195" i="17"/>
  <c r="Q2195" i="17"/>
  <c r="S2195" i="17"/>
  <c r="T2195" i="17"/>
  <c r="U2195" i="17"/>
  <c r="V2195" i="17"/>
  <c r="W2195" i="17"/>
  <c r="H2118" i="17"/>
  <c r="H2119" i="17"/>
  <c r="H2120" i="17"/>
  <c r="H2121" i="17"/>
  <c r="H2122" i="17"/>
  <c r="H2123" i="17"/>
  <c r="H2124" i="17"/>
  <c r="I2118" i="17"/>
  <c r="I2119" i="17"/>
  <c r="I2120" i="17"/>
  <c r="I2121" i="17"/>
  <c r="I2122" i="17"/>
  <c r="I2123" i="17"/>
  <c r="I2124" i="17"/>
  <c r="J2118" i="17"/>
  <c r="J2119" i="17"/>
  <c r="J2120" i="17"/>
  <c r="J2121" i="17"/>
  <c r="J2122" i="17"/>
  <c r="J2123" i="17"/>
  <c r="J2124" i="17"/>
  <c r="K2118" i="17"/>
  <c r="K2119" i="17"/>
  <c r="K2120" i="17"/>
  <c r="K2121" i="17"/>
  <c r="K2122" i="17"/>
  <c r="K2123" i="17"/>
  <c r="K2124" i="17"/>
  <c r="N2118" i="17"/>
  <c r="N2119" i="17"/>
  <c r="N2120" i="17"/>
  <c r="N2121" i="17"/>
  <c r="N2122" i="17"/>
  <c r="N2123" i="17"/>
  <c r="N2124" i="17"/>
  <c r="O2118" i="17"/>
  <c r="O2119" i="17"/>
  <c r="O2120" i="17"/>
  <c r="O2121" i="17"/>
  <c r="O2122" i="17"/>
  <c r="O2123" i="17"/>
  <c r="O2124" i="17"/>
  <c r="Q2118" i="17"/>
  <c r="Q2119" i="17"/>
  <c r="Q2120" i="17"/>
  <c r="Q2121" i="17"/>
  <c r="Q2122" i="17"/>
  <c r="Q2123" i="17"/>
  <c r="Q2124" i="17"/>
  <c r="S2118" i="17"/>
  <c r="S2119" i="17"/>
  <c r="S2120" i="17"/>
  <c r="S2121" i="17"/>
  <c r="S2122" i="17"/>
  <c r="S2123" i="17"/>
  <c r="S2124" i="17"/>
  <c r="T2118" i="17"/>
  <c r="T2119" i="17"/>
  <c r="T2120" i="17"/>
  <c r="T2121" i="17"/>
  <c r="T2122" i="17"/>
  <c r="T2123" i="17"/>
  <c r="T2124" i="17"/>
  <c r="U2118" i="17"/>
  <c r="U2119" i="17"/>
  <c r="U2120" i="17"/>
  <c r="U2121" i="17"/>
  <c r="U2122" i="17"/>
  <c r="U2123" i="17"/>
  <c r="U2124" i="17"/>
  <c r="V2118" i="17"/>
  <c r="V2119" i="17"/>
  <c r="V2120" i="17"/>
  <c r="V2121" i="17"/>
  <c r="V2122" i="17"/>
  <c r="V2123" i="17"/>
  <c r="V2124" i="17"/>
  <c r="W2118" i="17"/>
  <c r="W2119" i="17"/>
  <c r="W2120" i="17"/>
  <c r="W2121" i="17"/>
  <c r="W2122" i="17"/>
  <c r="W2123" i="17"/>
  <c r="W2124" i="17"/>
  <c r="H2117" i="17"/>
  <c r="I2117" i="17"/>
  <c r="J2117" i="17"/>
  <c r="K2117" i="17"/>
  <c r="N2117" i="17"/>
  <c r="O2117" i="17"/>
  <c r="Q2117" i="17"/>
  <c r="S2117" i="17"/>
  <c r="T2117" i="17"/>
  <c r="U2117" i="17"/>
  <c r="V2117" i="17"/>
  <c r="W2117" i="17"/>
  <c r="H2115" i="17"/>
  <c r="H2116" i="17"/>
  <c r="I2115" i="17"/>
  <c r="I2116" i="17"/>
  <c r="J2115" i="17"/>
  <c r="J2116" i="17"/>
  <c r="K2115" i="17"/>
  <c r="K2116" i="17"/>
  <c r="N2115" i="17"/>
  <c r="N2116" i="17"/>
  <c r="O2115" i="17"/>
  <c r="O2116" i="17"/>
  <c r="Q2115" i="17"/>
  <c r="Q2116" i="17"/>
  <c r="S2115" i="17"/>
  <c r="S2116" i="17"/>
  <c r="T2115" i="17"/>
  <c r="T2116" i="17"/>
  <c r="U2115" i="17"/>
  <c r="U2116" i="17"/>
  <c r="V2115" i="17"/>
  <c r="V2116" i="17"/>
  <c r="W2115" i="17"/>
  <c r="W2116" i="17"/>
  <c r="H2114" i="17"/>
  <c r="I2114" i="17"/>
  <c r="J2114" i="17"/>
  <c r="K2114" i="17"/>
  <c r="N2114" i="17"/>
  <c r="O2114" i="17"/>
  <c r="Q2114" i="17"/>
  <c r="S2114" i="17"/>
  <c r="T2114" i="17"/>
  <c r="U2114" i="17"/>
  <c r="V2114" i="17"/>
  <c r="W2114" i="17"/>
  <c r="P81" i="16"/>
  <c r="T81" i="16"/>
  <c r="H1816" i="17"/>
  <c r="H1817" i="17"/>
  <c r="H1818" i="17"/>
  <c r="H1819" i="17"/>
  <c r="H1820" i="17"/>
  <c r="H1821" i="17"/>
  <c r="H1822" i="17"/>
  <c r="H1823" i="17"/>
  <c r="H1824" i="17"/>
  <c r="H1825" i="17"/>
  <c r="H1826" i="17"/>
  <c r="I1816" i="17"/>
  <c r="I1817" i="17"/>
  <c r="I1818" i="17"/>
  <c r="I1819" i="17"/>
  <c r="I1820" i="17"/>
  <c r="I1821" i="17"/>
  <c r="I1822" i="17"/>
  <c r="I1823" i="17"/>
  <c r="I1824" i="17"/>
  <c r="I1825" i="17"/>
  <c r="I1826" i="17"/>
  <c r="J1816" i="17"/>
  <c r="J1817" i="17"/>
  <c r="J1818" i="17"/>
  <c r="J1819" i="17"/>
  <c r="J1820" i="17"/>
  <c r="J1821" i="17"/>
  <c r="J1822" i="17"/>
  <c r="J1823" i="17"/>
  <c r="J1824" i="17"/>
  <c r="J1825" i="17"/>
  <c r="J1826" i="17"/>
  <c r="K1816" i="17"/>
  <c r="K1817" i="17"/>
  <c r="K1818" i="17"/>
  <c r="K1819" i="17"/>
  <c r="K1820" i="17"/>
  <c r="K1821" i="17"/>
  <c r="K1822" i="17"/>
  <c r="K1823" i="17"/>
  <c r="K1824" i="17"/>
  <c r="K1825" i="17"/>
  <c r="K1826" i="17"/>
  <c r="N1816" i="17"/>
  <c r="N1817" i="17"/>
  <c r="N1818" i="17"/>
  <c r="N1819" i="17"/>
  <c r="N1820" i="17"/>
  <c r="N1821" i="17"/>
  <c r="N1822" i="17"/>
  <c r="N1823" i="17"/>
  <c r="N1824" i="17"/>
  <c r="N1825" i="17"/>
  <c r="N1826" i="17"/>
  <c r="O1816" i="17"/>
  <c r="O1817" i="17"/>
  <c r="O1818" i="17"/>
  <c r="O1819" i="17"/>
  <c r="O1820" i="17"/>
  <c r="O1821" i="17"/>
  <c r="O1822" i="17"/>
  <c r="O1823" i="17"/>
  <c r="O1824" i="17"/>
  <c r="O1825" i="17"/>
  <c r="O1826" i="17"/>
  <c r="Q1816" i="17"/>
  <c r="Q1817" i="17"/>
  <c r="Q1818" i="17"/>
  <c r="Q1819" i="17"/>
  <c r="Q1820" i="17"/>
  <c r="Q1821" i="17"/>
  <c r="Q1822" i="17"/>
  <c r="Q1823" i="17"/>
  <c r="Q1824" i="17"/>
  <c r="Q1825" i="17"/>
  <c r="Q1826" i="17"/>
  <c r="S1816" i="17"/>
  <c r="S1817" i="17"/>
  <c r="S1818" i="17"/>
  <c r="S1819" i="17"/>
  <c r="S1820" i="17"/>
  <c r="S1821" i="17"/>
  <c r="S1822" i="17"/>
  <c r="S1823" i="17"/>
  <c r="S1824" i="17"/>
  <c r="S1825" i="17"/>
  <c r="S1826" i="17"/>
  <c r="T1816" i="17"/>
  <c r="T1817" i="17"/>
  <c r="T1818" i="17"/>
  <c r="T1819" i="17"/>
  <c r="T1820" i="17"/>
  <c r="T1821" i="17"/>
  <c r="T1822" i="17"/>
  <c r="T1823" i="17"/>
  <c r="T1824" i="17"/>
  <c r="T1825" i="17"/>
  <c r="T1826" i="17"/>
  <c r="U1816" i="17"/>
  <c r="U1817" i="17"/>
  <c r="U1818" i="17"/>
  <c r="U1819" i="17"/>
  <c r="U1820" i="17"/>
  <c r="U1821" i="17"/>
  <c r="U1822" i="17"/>
  <c r="U1823" i="17"/>
  <c r="U1824" i="17"/>
  <c r="U1825" i="17"/>
  <c r="U1826" i="17"/>
  <c r="V1816" i="17"/>
  <c r="V1817" i="17"/>
  <c r="V1818" i="17"/>
  <c r="V1819" i="17"/>
  <c r="V1820" i="17"/>
  <c r="V1821" i="17"/>
  <c r="V1822" i="17"/>
  <c r="V1823" i="17"/>
  <c r="V1824" i="17"/>
  <c r="V1825" i="17"/>
  <c r="V1826" i="17"/>
  <c r="W1816" i="17"/>
  <c r="W1817" i="17"/>
  <c r="W1818" i="17"/>
  <c r="W1819" i="17"/>
  <c r="W1820" i="17"/>
  <c r="W1821" i="17"/>
  <c r="W1822" i="17"/>
  <c r="W1823" i="17"/>
  <c r="W1824" i="17"/>
  <c r="W1825" i="17"/>
  <c r="W1826" i="17"/>
  <c r="H1807" i="17"/>
  <c r="H1808" i="17"/>
  <c r="H1809" i="17"/>
  <c r="H1810" i="17"/>
  <c r="H1811" i="17"/>
  <c r="H1812" i="17"/>
  <c r="H1813" i="17"/>
  <c r="H1814" i="17"/>
  <c r="H1815" i="17"/>
  <c r="I1807" i="17"/>
  <c r="I1808" i="17"/>
  <c r="I1809" i="17"/>
  <c r="I1810" i="17"/>
  <c r="I1811" i="17"/>
  <c r="I1812" i="17"/>
  <c r="I1813" i="17"/>
  <c r="I1814" i="17"/>
  <c r="I1815" i="17"/>
  <c r="J1807" i="17"/>
  <c r="J1808" i="17"/>
  <c r="J1809" i="17"/>
  <c r="J1810" i="17"/>
  <c r="J1811" i="17"/>
  <c r="J1812" i="17"/>
  <c r="J1813" i="17"/>
  <c r="J1814" i="17"/>
  <c r="J1815" i="17"/>
  <c r="K1807" i="17"/>
  <c r="K1808" i="17"/>
  <c r="K1809" i="17"/>
  <c r="K1810" i="17"/>
  <c r="K1811" i="17"/>
  <c r="K1812" i="17"/>
  <c r="K1813" i="17"/>
  <c r="K1814" i="17"/>
  <c r="K1815" i="17"/>
  <c r="N1807" i="17"/>
  <c r="N1808" i="17"/>
  <c r="N1809" i="17"/>
  <c r="N1810" i="17"/>
  <c r="N1811" i="17"/>
  <c r="N1812" i="17"/>
  <c r="N1813" i="17"/>
  <c r="N1814" i="17"/>
  <c r="N1815" i="17"/>
  <c r="O1807" i="17"/>
  <c r="O1808" i="17"/>
  <c r="O1809" i="17"/>
  <c r="O1810" i="17"/>
  <c r="O1811" i="17"/>
  <c r="O1812" i="17"/>
  <c r="O1813" i="17"/>
  <c r="O1814" i="17"/>
  <c r="O1815" i="17"/>
  <c r="Q1807" i="17"/>
  <c r="Q1808" i="17"/>
  <c r="Q1809" i="17"/>
  <c r="Q1810" i="17"/>
  <c r="Q1811" i="17"/>
  <c r="Q1812" i="17"/>
  <c r="Q1813" i="17"/>
  <c r="Q1814" i="17"/>
  <c r="Q1815" i="17"/>
  <c r="S1807" i="17"/>
  <c r="S1808" i="17"/>
  <c r="S1809" i="17"/>
  <c r="S1810" i="17"/>
  <c r="S1811" i="17"/>
  <c r="S1812" i="17"/>
  <c r="S1813" i="17"/>
  <c r="S1814" i="17"/>
  <c r="S1815" i="17"/>
  <c r="T1807" i="17"/>
  <c r="T1808" i="17"/>
  <c r="T1809" i="17"/>
  <c r="T1810" i="17"/>
  <c r="T1811" i="17"/>
  <c r="T1812" i="17"/>
  <c r="T1813" i="17"/>
  <c r="T1814" i="17"/>
  <c r="T1815" i="17"/>
  <c r="U1807" i="17"/>
  <c r="U1808" i="17"/>
  <c r="U1809" i="17"/>
  <c r="U1810" i="17"/>
  <c r="U1811" i="17"/>
  <c r="U1812" i="17"/>
  <c r="U1813" i="17"/>
  <c r="U1814" i="17"/>
  <c r="U1815" i="17"/>
  <c r="V1807" i="17"/>
  <c r="V1808" i="17"/>
  <c r="V1809" i="17"/>
  <c r="V1810" i="17"/>
  <c r="V1811" i="17"/>
  <c r="V1812" i="17"/>
  <c r="V1813" i="17"/>
  <c r="V1814" i="17"/>
  <c r="V1815" i="17"/>
  <c r="W1807" i="17"/>
  <c r="W1808" i="17"/>
  <c r="W1809" i="17"/>
  <c r="W1810" i="17"/>
  <c r="W1811" i="17"/>
  <c r="W1812" i="17"/>
  <c r="W1813" i="17"/>
  <c r="W1814" i="17"/>
  <c r="W1815" i="17"/>
  <c r="H1793" i="17"/>
  <c r="H1794" i="17"/>
  <c r="H1795" i="17"/>
  <c r="H1796" i="17"/>
  <c r="H1797" i="17"/>
  <c r="H1798" i="17"/>
  <c r="H1799" i="17"/>
  <c r="H1800" i="17"/>
  <c r="H1801" i="17"/>
  <c r="H1802" i="17"/>
  <c r="H1803" i="17"/>
  <c r="H1804" i="17"/>
  <c r="H1805" i="17"/>
  <c r="H1806" i="17"/>
  <c r="I1793" i="17"/>
  <c r="I1794" i="17"/>
  <c r="I1795" i="17"/>
  <c r="I1796" i="17"/>
  <c r="I1797" i="17"/>
  <c r="I1798" i="17"/>
  <c r="I1799" i="17"/>
  <c r="I1800" i="17"/>
  <c r="I1801" i="17"/>
  <c r="I1802" i="17"/>
  <c r="I1803" i="17"/>
  <c r="I1804" i="17"/>
  <c r="I1805" i="17"/>
  <c r="I1806" i="17"/>
  <c r="J1793" i="17"/>
  <c r="J1794" i="17"/>
  <c r="J1795" i="17"/>
  <c r="J1796" i="17"/>
  <c r="J1797" i="17"/>
  <c r="J1798" i="17"/>
  <c r="J1799" i="17"/>
  <c r="J1800" i="17"/>
  <c r="J1801" i="17"/>
  <c r="J1802" i="17"/>
  <c r="J1803" i="17"/>
  <c r="J1804" i="17"/>
  <c r="J1805" i="17"/>
  <c r="J1806" i="17"/>
  <c r="K1793" i="17"/>
  <c r="K1794" i="17"/>
  <c r="K1795" i="17"/>
  <c r="K1796" i="17"/>
  <c r="K1797" i="17"/>
  <c r="K1798" i="17"/>
  <c r="K1799" i="17"/>
  <c r="K1800" i="17"/>
  <c r="K1801" i="17"/>
  <c r="K1802" i="17"/>
  <c r="K1803" i="17"/>
  <c r="K1804" i="17"/>
  <c r="K1805" i="17"/>
  <c r="K1806" i="17"/>
  <c r="N1793" i="17"/>
  <c r="N1794" i="17"/>
  <c r="N1795" i="17"/>
  <c r="N1796" i="17"/>
  <c r="N1797" i="17"/>
  <c r="N1798" i="17"/>
  <c r="N1799" i="17"/>
  <c r="N1800" i="17"/>
  <c r="N1801" i="17"/>
  <c r="N1802" i="17"/>
  <c r="N1803" i="17"/>
  <c r="N1804" i="17"/>
  <c r="N1805" i="17"/>
  <c r="N1806" i="17"/>
  <c r="O1793" i="17"/>
  <c r="O1794" i="17"/>
  <c r="O1795" i="17"/>
  <c r="O1796" i="17"/>
  <c r="O1797" i="17"/>
  <c r="O1798" i="17"/>
  <c r="O1799" i="17"/>
  <c r="O1800" i="17"/>
  <c r="O1801" i="17"/>
  <c r="O1802" i="17"/>
  <c r="O1803" i="17"/>
  <c r="O1804" i="17"/>
  <c r="O1805" i="17"/>
  <c r="O1806" i="17"/>
  <c r="Q1793" i="17"/>
  <c r="Q1794" i="17"/>
  <c r="Q1795" i="17"/>
  <c r="Q1796" i="17"/>
  <c r="Q1797" i="17"/>
  <c r="Q1798" i="17"/>
  <c r="Q1799" i="17"/>
  <c r="Q1800" i="17"/>
  <c r="Q1801" i="17"/>
  <c r="Q1802" i="17"/>
  <c r="Q1803" i="17"/>
  <c r="Q1804" i="17"/>
  <c r="Q1805" i="17"/>
  <c r="Q1806" i="17"/>
  <c r="S1793" i="17"/>
  <c r="S1794" i="17"/>
  <c r="S1795" i="17"/>
  <c r="S1796" i="17"/>
  <c r="S1797" i="17"/>
  <c r="S1798" i="17"/>
  <c r="S1799" i="17"/>
  <c r="S1800" i="17"/>
  <c r="S1801" i="17"/>
  <c r="S1802" i="17"/>
  <c r="S1803" i="17"/>
  <c r="S1804" i="17"/>
  <c r="S1805" i="17"/>
  <c r="S1806" i="17"/>
  <c r="T1793" i="17"/>
  <c r="T1794" i="17"/>
  <c r="T1795" i="17"/>
  <c r="T1796" i="17"/>
  <c r="T1797" i="17"/>
  <c r="T1798" i="17"/>
  <c r="T1799" i="17"/>
  <c r="T1800" i="17"/>
  <c r="T1801" i="17"/>
  <c r="T1802" i="17"/>
  <c r="T1803" i="17"/>
  <c r="T1804" i="17"/>
  <c r="T1805" i="17"/>
  <c r="T1806" i="17"/>
  <c r="U1793" i="17"/>
  <c r="U1794" i="17"/>
  <c r="U1795" i="17"/>
  <c r="U1796" i="17"/>
  <c r="U1797" i="17"/>
  <c r="U1798" i="17"/>
  <c r="U1799" i="17"/>
  <c r="U1800" i="17"/>
  <c r="U1801" i="17"/>
  <c r="U1802" i="17"/>
  <c r="U1803" i="17"/>
  <c r="U1804" i="17"/>
  <c r="U1805" i="17"/>
  <c r="U1806" i="17"/>
  <c r="V1793" i="17"/>
  <c r="V1794" i="17"/>
  <c r="V1795" i="17"/>
  <c r="V1796" i="17"/>
  <c r="V1797" i="17"/>
  <c r="V1798" i="17"/>
  <c r="V1799" i="17"/>
  <c r="V1800" i="17"/>
  <c r="V1801" i="17"/>
  <c r="V1802" i="17"/>
  <c r="V1803" i="17"/>
  <c r="V1804" i="17"/>
  <c r="V1805" i="17"/>
  <c r="V1806" i="17"/>
  <c r="W1793" i="17"/>
  <c r="W1794" i="17"/>
  <c r="W1795" i="17"/>
  <c r="W1796" i="17"/>
  <c r="W1797" i="17"/>
  <c r="W1798" i="17"/>
  <c r="W1799" i="17"/>
  <c r="W1800" i="17"/>
  <c r="W1801" i="17"/>
  <c r="W1802" i="17"/>
  <c r="W1803" i="17"/>
  <c r="W1804" i="17"/>
  <c r="W1805" i="17"/>
  <c r="W1806" i="17"/>
  <c r="H1776" i="17"/>
  <c r="H1777" i="17"/>
  <c r="H1778" i="17"/>
  <c r="H1779" i="17"/>
  <c r="H1780" i="17"/>
  <c r="H1781" i="17"/>
  <c r="H1782" i="17"/>
  <c r="H1783" i="17"/>
  <c r="H1784" i="17"/>
  <c r="H1785" i="17"/>
  <c r="H1786" i="17"/>
  <c r="H1787" i="17"/>
  <c r="H1788" i="17"/>
  <c r="H1789" i="17"/>
  <c r="H1790" i="17"/>
  <c r="H1791" i="17"/>
  <c r="I1776" i="17"/>
  <c r="I1777" i="17"/>
  <c r="I1778" i="17"/>
  <c r="I1779" i="17"/>
  <c r="I1780" i="17"/>
  <c r="I1781" i="17"/>
  <c r="I1782" i="17"/>
  <c r="I1783" i="17"/>
  <c r="I1784" i="17"/>
  <c r="I1785" i="17"/>
  <c r="I1786" i="17"/>
  <c r="I1787" i="17"/>
  <c r="I1788" i="17"/>
  <c r="I1789" i="17"/>
  <c r="I1790" i="17"/>
  <c r="I1791" i="17"/>
  <c r="J1776" i="17"/>
  <c r="J1777" i="17"/>
  <c r="J1778" i="17"/>
  <c r="J1779" i="17"/>
  <c r="J1780" i="17"/>
  <c r="J1781" i="17"/>
  <c r="J1782" i="17"/>
  <c r="J1783" i="17"/>
  <c r="J1784" i="17"/>
  <c r="J1785" i="17"/>
  <c r="J1786" i="17"/>
  <c r="J1787" i="17"/>
  <c r="J1788" i="17"/>
  <c r="J1789" i="17"/>
  <c r="J1790" i="17"/>
  <c r="J1791" i="17"/>
  <c r="K1776" i="17"/>
  <c r="K1777" i="17"/>
  <c r="K1778" i="17"/>
  <c r="K1779" i="17"/>
  <c r="K1780" i="17"/>
  <c r="K1781" i="17"/>
  <c r="K1782" i="17"/>
  <c r="K1783" i="17"/>
  <c r="K1784" i="17"/>
  <c r="K1785" i="17"/>
  <c r="K1786" i="17"/>
  <c r="K1787" i="17"/>
  <c r="K1788" i="17"/>
  <c r="K1789" i="17"/>
  <c r="K1790" i="17"/>
  <c r="K1791" i="17"/>
  <c r="N1776" i="17"/>
  <c r="P1776" i="17" s="1"/>
  <c r="N1777" i="17"/>
  <c r="N1778" i="17"/>
  <c r="N1779" i="17"/>
  <c r="N1780" i="17"/>
  <c r="N1781" i="17"/>
  <c r="N1782" i="17"/>
  <c r="N1783" i="17"/>
  <c r="N1784" i="17"/>
  <c r="N1785" i="17"/>
  <c r="N1786" i="17"/>
  <c r="N1787" i="17"/>
  <c r="N1788" i="17"/>
  <c r="N1789" i="17"/>
  <c r="N1790" i="17"/>
  <c r="N1791" i="17"/>
  <c r="O1776" i="17"/>
  <c r="O1777" i="17"/>
  <c r="O1778" i="17"/>
  <c r="O1779" i="17"/>
  <c r="O1780" i="17"/>
  <c r="O1781" i="17"/>
  <c r="O1782" i="17"/>
  <c r="O1783" i="17"/>
  <c r="P1783" i="17" s="1"/>
  <c r="O1784" i="17"/>
  <c r="O1785" i="17"/>
  <c r="O1786" i="17"/>
  <c r="O1787" i="17"/>
  <c r="O1788" i="17"/>
  <c r="O1789" i="17"/>
  <c r="P1789" i="17" s="1"/>
  <c r="O1790" i="17"/>
  <c r="O1791" i="17"/>
  <c r="P1778" i="17"/>
  <c r="Q1776" i="17"/>
  <c r="Q1777" i="17"/>
  <c r="Q1778" i="17"/>
  <c r="Q1779" i="17"/>
  <c r="Q1780" i="17"/>
  <c r="Q1781" i="17"/>
  <c r="Q1782" i="17"/>
  <c r="Q1783" i="17"/>
  <c r="Q1784" i="17"/>
  <c r="Q1785" i="17"/>
  <c r="Q1786" i="17"/>
  <c r="Q1787" i="17"/>
  <c r="Q1788" i="17"/>
  <c r="Q1789" i="17"/>
  <c r="Q1790" i="17"/>
  <c r="Q1791" i="17"/>
  <c r="S1776" i="17"/>
  <c r="S1777" i="17"/>
  <c r="S1778" i="17"/>
  <c r="S1779" i="17"/>
  <c r="S1780" i="17"/>
  <c r="S1781" i="17"/>
  <c r="S1782" i="17"/>
  <c r="S1783" i="17"/>
  <c r="S1784" i="17"/>
  <c r="S1785" i="17"/>
  <c r="S1786" i="17"/>
  <c r="S1787" i="17"/>
  <c r="S1788" i="17"/>
  <c r="S1789" i="17"/>
  <c r="S1790" i="17"/>
  <c r="S1791" i="17"/>
  <c r="T1776" i="17"/>
  <c r="T1777" i="17"/>
  <c r="T1778" i="17"/>
  <c r="T1779" i="17"/>
  <c r="T1780" i="17"/>
  <c r="T1781" i="17"/>
  <c r="T1782" i="17"/>
  <c r="T1783" i="17"/>
  <c r="T1784" i="17"/>
  <c r="T1785" i="17"/>
  <c r="T1786" i="17"/>
  <c r="T1787" i="17"/>
  <c r="T1788" i="17"/>
  <c r="T1789" i="17"/>
  <c r="T1790" i="17"/>
  <c r="T1791" i="17"/>
  <c r="U1776" i="17"/>
  <c r="U1777" i="17"/>
  <c r="U1778" i="17"/>
  <c r="U1779" i="17"/>
  <c r="U1780" i="17"/>
  <c r="U1781" i="17"/>
  <c r="U1782" i="17"/>
  <c r="U1783" i="17"/>
  <c r="U1784" i="17"/>
  <c r="U1785" i="17"/>
  <c r="U1786" i="17"/>
  <c r="U1787" i="17"/>
  <c r="U1788" i="17"/>
  <c r="U1789" i="17"/>
  <c r="U1790" i="17"/>
  <c r="U1791" i="17"/>
  <c r="V1776" i="17"/>
  <c r="V1777" i="17"/>
  <c r="V1778" i="17"/>
  <c r="V1779" i="17"/>
  <c r="V1780" i="17"/>
  <c r="V1781" i="17"/>
  <c r="V1782" i="17"/>
  <c r="V1783" i="17"/>
  <c r="V1784" i="17"/>
  <c r="V1785" i="17"/>
  <c r="V1786" i="17"/>
  <c r="V1787" i="17"/>
  <c r="V1788" i="17"/>
  <c r="V1789" i="17"/>
  <c r="V1790" i="17"/>
  <c r="V1791" i="17"/>
  <c r="W1776" i="17"/>
  <c r="W1777" i="17"/>
  <c r="W1778" i="17"/>
  <c r="W1779" i="17"/>
  <c r="W1780" i="17"/>
  <c r="W1781" i="17"/>
  <c r="W1782" i="17"/>
  <c r="W1783" i="17"/>
  <c r="W1784" i="17"/>
  <c r="W1785" i="17"/>
  <c r="W1786" i="17"/>
  <c r="W1787" i="17"/>
  <c r="W1788" i="17"/>
  <c r="W1789" i="17"/>
  <c r="W1790" i="17"/>
  <c r="W1791" i="17"/>
  <c r="H1747" i="17"/>
  <c r="H1748" i="17"/>
  <c r="H1749" i="17"/>
  <c r="H1750" i="17"/>
  <c r="H1751" i="17"/>
  <c r="H1752" i="17"/>
  <c r="H1753" i="17"/>
  <c r="H1754" i="17"/>
  <c r="H1755" i="17"/>
  <c r="H1756" i="17"/>
  <c r="H1757" i="17"/>
  <c r="H1758" i="17"/>
  <c r="H1759" i="17"/>
  <c r="H1760" i="17"/>
  <c r="H1761" i="17"/>
  <c r="H1762" i="17"/>
  <c r="H1763" i="17"/>
  <c r="H1764" i="17"/>
  <c r="H1765" i="17"/>
  <c r="H1766" i="17"/>
  <c r="H1767" i="17"/>
  <c r="H1768" i="17"/>
  <c r="H1769" i="17"/>
  <c r="H1770" i="17"/>
  <c r="H1771" i="17"/>
  <c r="H1772" i="17"/>
  <c r="H1773"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J1747" i="17"/>
  <c r="J1748" i="17"/>
  <c r="J1749" i="17"/>
  <c r="J1750" i="17"/>
  <c r="J1751" i="17"/>
  <c r="J1752" i="17"/>
  <c r="J1753" i="17"/>
  <c r="J1754" i="17"/>
  <c r="J1755" i="17"/>
  <c r="J1756" i="17"/>
  <c r="J1757" i="17"/>
  <c r="J1758" i="17"/>
  <c r="J1759" i="17"/>
  <c r="J1760" i="17"/>
  <c r="J1761" i="17"/>
  <c r="J1762" i="17"/>
  <c r="J1763" i="17"/>
  <c r="J1764" i="17"/>
  <c r="J1765" i="17"/>
  <c r="J1766" i="17"/>
  <c r="J1767" i="17"/>
  <c r="J1768" i="17"/>
  <c r="J1769" i="17"/>
  <c r="J1770" i="17"/>
  <c r="J1771" i="17"/>
  <c r="J1772" i="17"/>
  <c r="J1773" i="17"/>
  <c r="K1747" i="17"/>
  <c r="K1748" i="17"/>
  <c r="K1749" i="17"/>
  <c r="K1750" i="17"/>
  <c r="K1751" i="17"/>
  <c r="K1752" i="17"/>
  <c r="K1753" i="17"/>
  <c r="K1754" i="17"/>
  <c r="K1755" i="17"/>
  <c r="K1756" i="17"/>
  <c r="K1757" i="17"/>
  <c r="K1758" i="17"/>
  <c r="K1759" i="17"/>
  <c r="K1760" i="17"/>
  <c r="K1761" i="17"/>
  <c r="K1762" i="17"/>
  <c r="K1763" i="17"/>
  <c r="K1764" i="17"/>
  <c r="K1765" i="17"/>
  <c r="K1766" i="17"/>
  <c r="K1767" i="17"/>
  <c r="K1768" i="17"/>
  <c r="K1769" i="17"/>
  <c r="K1770" i="17"/>
  <c r="K1771" i="17"/>
  <c r="K1772" i="17"/>
  <c r="K1773" i="17"/>
  <c r="N1747" i="17"/>
  <c r="N1748" i="17"/>
  <c r="N1749" i="17"/>
  <c r="N1750" i="17"/>
  <c r="N1751" i="17"/>
  <c r="N1752" i="17"/>
  <c r="N1753" i="17"/>
  <c r="N1754" i="17"/>
  <c r="N1755" i="17"/>
  <c r="N1756" i="17"/>
  <c r="N1757" i="17"/>
  <c r="N1758" i="17"/>
  <c r="N1759" i="17"/>
  <c r="N1760" i="17"/>
  <c r="N1761" i="17"/>
  <c r="N1762" i="17"/>
  <c r="N1763" i="17"/>
  <c r="N1764" i="17"/>
  <c r="N1765" i="17"/>
  <c r="N1766" i="17"/>
  <c r="N1767" i="17"/>
  <c r="N1768" i="17"/>
  <c r="N1769" i="17"/>
  <c r="N1770" i="17"/>
  <c r="N1771" i="17"/>
  <c r="N1772" i="17"/>
  <c r="N1773" i="17"/>
  <c r="O1747" i="17"/>
  <c r="O1748" i="17"/>
  <c r="O1749" i="17"/>
  <c r="O1750" i="17"/>
  <c r="O1751" i="17"/>
  <c r="O1752" i="17"/>
  <c r="O1753" i="17"/>
  <c r="O1754" i="17"/>
  <c r="O1755" i="17"/>
  <c r="O1756" i="17"/>
  <c r="O1757" i="17"/>
  <c r="O1758" i="17"/>
  <c r="O1759" i="17"/>
  <c r="O1760" i="17"/>
  <c r="O1761" i="17"/>
  <c r="O1762" i="17"/>
  <c r="O1763" i="17"/>
  <c r="O1764" i="17"/>
  <c r="O1765" i="17"/>
  <c r="O1766" i="17"/>
  <c r="O1767" i="17"/>
  <c r="O1768" i="17"/>
  <c r="O1769" i="17"/>
  <c r="O1770" i="17"/>
  <c r="O1771" i="17"/>
  <c r="O1772" i="17"/>
  <c r="O1773" i="17"/>
  <c r="Q1747" i="17"/>
  <c r="Q1748" i="17"/>
  <c r="Q1749" i="17"/>
  <c r="Q1750" i="17"/>
  <c r="Q1751" i="17"/>
  <c r="Q1752" i="17"/>
  <c r="Q1753" i="17"/>
  <c r="Q1754" i="17"/>
  <c r="Q1755" i="17"/>
  <c r="Q1756" i="17"/>
  <c r="Q1757" i="17"/>
  <c r="Q1758" i="17"/>
  <c r="Q1759" i="17"/>
  <c r="Q1760" i="17"/>
  <c r="Q1761" i="17"/>
  <c r="Q1762" i="17"/>
  <c r="Q1763" i="17"/>
  <c r="Q1764" i="17"/>
  <c r="Q1765" i="17"/>
  <c r="Q1766" i="17"/>
  <c r="Q1767" i="17"/>
  <c r="Q1768" i="17"/>
  <c r="Q1769" i="17"/>
  <c r="Q1770" i="17"/>
  <c r="Q1771" i="17"/>
  <c r="Q1772" i="17"/>
  <c r="Q1773" i="17"/>
  <c r="S1747" i="17"/>
  <c r="S1748" i="17"/>
  <c r="S1749" i="17"/>
  <c r="S1750" i="17"/>
  <c r="S1751" i="17"/>
  <c r="S1752" i="17"/>
  <c r="S1753" i="17"/>
  <c r="S1754" i="17"/>
  <c r="S1755" i="17"/>
  <c r="S1756" i="17"/>
  <c r="S1757" i="17"/>
  <c r="S1758" i="17"/>
  <c r="S1759" i="17"/>
  <c r="S1760" i="17"/>
  <c r="S1761" i="17"/>
  <c r="S1762" i="17"/>
  <c r="S1763" i="17"/>
  <c r="S1764" i="17"/>
  <c r="S1765" i="17"/>
  <c r="S1766" i="17"/>
  <c r="S1767" i="17"/>
  <c r="S1768" i="17"/>
  <c r="S1769" i="17"/>
  <c r="S1770" i="17"/>
  <c r="S1771" i="17"/>
  <c r="S1772" i="17"/>
  <c r="S1773" i="17"/>
  <c r="T1747" i="17"/>
  <c r="T1748" i="17"/>
  <c r="T1749" i="17"/>
  <c r="T1750" i="17"/>
  <c r="T1751" i="17"/>
  <c r="T1752" i="17"/>
  <c r="T1753" i="17"/>
  <c r="T1754" i="17"/>
  <c r="T1755" i="17"/>
  <c r="T1756" i="17"/>
  <c r="T1757" i="17"/>
  <c r="T1758" i="17"/>
  <c r="T1759" i="17"/>
  <c r="T1760" i="17"/>
  <c r="T1761" i="17"/>
  <c r="T1762" i="17"/>
  <c r="T1763" i="17"/>
  <c r="T1764" i="17"/>
  <c r="T1765" i="17"/>
  <c r="T1766" i="17"/>
  <c r="T1767" i="17"/>
  <c r="T1768" i="17"/>
  <c r="T1769" i="17"/>
  <c r="T1770" i="17"/>
  <c r="T1771" i="17"/>
  <c r="T1772" i="17"/>
  <c r="T1773" i="17"/>
  <c r="U1747" i="17"/>
  <c r="U1748" i="17"/>
  <c r="U1749" i="17"/>
  <c r="U1750" i="17"/>
  <c r="U1751" i="17"/>
  <c r="U1752" i="17"/>
  <c r="U1753" i="17"/>
  <c r="U1754" i="17"/>
  <c r="U1755" i="17"/>
  <c r="U1756" i="17"/>
  <c r="U1757" i="17"/>
  <c r="U1758" i="17"/>
  <c r="U1759" i="17"/>
  <c r="U1760" i="17"/>
  <c r="U1761" i="17"/>
  <c r="U1762" i="17"/>
  <c r="U1763" i="17"/>
  <c r="U1764" i="17"/>
  <c r="U1765" i="17"/>
  <c r="U1766" i="17"/>
  <c r="U1767" i="17"/>
  <c r="U1768" i="17"/>
  <c r="U1769" i="17"/>
  <c r="U1770" i="17"/>
  <c r="U1771" i="17"/>
  <c r="U1772" i="17"/>
  <c r="U1773" i="17"/>
  <c r="V1747" i="17"/>
  <c r="V1748" i="17"/>
  <c r="V1749" i="17"/>
  <c r="V1750" i="17"/>
  <c r="V1751" i="17"/>
  <c r="V1752" i="17"/>
  <c r="V1753" i="17"/>
  <c r="V1754" i="17"/>
  <c r="V1755" i="17"/>
  <c r="V1756" i="17"/>
  <c r="V1757" i="17"/>
  <c r="V1758" i="17"/>
  <c r="V1759" i="17"/>
  <c r="V1760" i="17"/>
  <c r="V1761" i="17"/>
  <c r="V1762" i="17"/>
  <c r="V1763" i="17"/>
  <c r="V1764" i="17"/>
  <c r="V1765" i="17"/>
  <c r="V1766" i="17"/>
  <c r="V1767" i="17"/>
  <c r="V1768" i="17"/>
  <c r="V1769" i="17"/>
  <c r="V1770" i="17"/>
  <c r="V1771" i="17"/>
  <c r="V1772" i="17"/>
  <c r="V1773" i="17"/>
  <c r="W1747" i="17"/>
  <c r="W1748" i="17"/>
  <c r="W1749" i="17"/>
  <c r="W1750" i="17"/>
  <c r="W1751" i="17"/>
  <c r="W1752" i="17"/>
  <c r="W1753" i="17"/>
  <c r="W1754" i="17"/>
  <c r="W1755" i="17"/>
  <c r="W1756" i="17"/>
  <c r="W1757" i="17"/>
  <c r="W1758" i="17"/>
  <c r="W1759" i="17"/>
  <c r="W1760" i="17"/>
  <c r="W1761" i="17"/>
  <c r="W1762" i="17"/>
  <c r="W1763" i="17"/>
  <c r="W1764" i="17"/>
  <c r="W1765" i="17"/>
  <c r="W1766" i="17"/>
  <c r="W1767" i="17"/>
  <c r="W1768" i="17"/>
  <c r="W1769" i="17"/>
  <c r="W1770" i="17"/>
  <c r="W1771" i="17"/>
  <c r="W1772" i="17"/>
  <c r="W1773" i="17"/>
  <c r="H1733" i="17"/>
  <c r="H1734" i="17"/>
  <c r="H1735" i="17"/>
  <c r="H1736" i="17"/>
  <c r="H1737" i="17"/>
  <c r="H1738" i="17"/>
  <c r="H1739" i="17"/>
  <c r="H1740" i="17"/>
  <c r="H1741" i="17"/>
  <c r="H1742" i="17"/>
  <c r="H1743" i="17"/>
  <c r="H1744" i="17"/>
  <c r="H1745" i="17"/>
  <c r="H1746" i="17"/>
  <c r="I1733" i="17"/>
  <c r="I1734" i="17"/>
  <c r="I1735" i="17"/>
  <c r="I1736" i="17"/>
  <c r="I1737" i="17"/>
  <c r="I1738" i="17"/>
  <c r="I1739" i="17"/>
  <c r="I1740" i="17"/>
  <c r="I1741" i="17"/>
  <c r="I1742" i="17"/>
  <c r="I1743" i="17"/>
  <c r="I1744" i="17"/>
  <c r="I1745" i="17"/>
  <c r="I1746" i="17"/>
  <c r="J1733" i="17"/>
  <c r="J1734" i="17"/>
  <c r="J1735" i="17"/>
  <c r="J1736" i="17"/>
  <c r="J1737" i="17"/>
  <c r="J1738" i="17"/>
  <c r="J1739" i="17"/>
  <c r="J1740" i="17"/>
  <c r="J1741" i="17"/>
  <c r="J1742" i="17"/>
  <c r="J1743" i="17"/>
  <c r="J1744" i="17"/>
  <c r="J1745" i="17"/>
  <c r="J1746" i="17"/>
  <c r="K1733" i="17"/>
  <c r="K1734" i="17"/>
  <c r="K1735" i="17"/>
  <c r="K1736" i="17"/>
  <c r="K1737" i="17"/>
  <c r="K1738" i="17"/>
  <c r="K1739" i="17"/>
  <c r="K1740" i="17"/>
  <c r="K1741" i="17"/>
  <c r="K1742" i="17"/>
  <c r="K1743" i="17"/>
  <c r="K1744" i="17"/>
  <c r="K1745" i="17"/>
  <c r="K1746" i="17"/>
  <c r="N1733" i="17"/>
  <c r="N1734" i="17"/>
  <c r="N1735" i="17"/>
  <c r="N1736" i="17"/>
  <c r="N1737" i="17"/>
  <c r="N1738" i="17"/>
  <c r="N1739" i="17"/>
  <c r="N1740" i="17"/>
  <c r="N1741" i="17"/>
  <c r="N1742" i="17"/>
  <c r="N1743" i="17"/>
  <c r="N1744" i="17"/>
  <c r="N1745" i="17"/>
  <c r="N1746" i="17"/>
  <c r="O1733" i="17"/>
  <c r="O1734" i="17"/>
  <c r="O1735" i="17"/>
  <c r="O1736" i="17"/>
  <c r="O1737" i="17"/>
  <c r="O1738" i="17"/>
  <c r="O1739" i="17"/>
  <c r="O1740" i="17"/>
  <c r="O1741" i="17"/>
  <c r="O1742" i="17"/>
  <c r="O1743" i="17"/>
  <c r="O1744" i="17"/>
  <c r="O1745" i="17"/>
  <c r="O1746" i="17"/>
  <c r="Q1733" i="17"/>
  <c r="Q1734" i="17"/>
  <c r="Q1735" i="17"/>
  <c r="Q1736" i="17"/>
  <c r="Q1737" i="17"/>
  <c r="Q1738" i="17"/>
  <c r="Q1739" i="17"/>
  <c r="Q1740" i="17"/>
  <c r="Q1741" i="17"/>
  <c r="Q1742" i="17"/>
  <c r="Q1743" i="17"/>
  <c r="Q1744" i="17"/>
  <c r="Q1745" i="17"/>
  <c r="Q1746" i="17"/>
  <c r="S1733" i="17"/>
  <c r="S1734" i="17"/>
  <c r="S1735" i="17"/>
  <c r="S1736" i="17"/>
  <c r="S1737" i="17"/>
  <c r="S1738" i="17"/>
  <c r="S1739" i="17"/>
  <c r="S1740" i="17"/>
  <c r="S1741" i="17"/>
  <c r="S1742" i="17"/>
  <c r="S1743" i="17"/>
  <c r="S1744" i="17"/>
  <c r="S1745" i="17"/>
  <c r="S1746" i="17"/>
  <c r="T1733" i="17"/>
  <c r="T1734" i="17"/>
  <c r="T1735" i="17"/>
  <c r="T1736" i="17"/>
  <c r="T1737" i="17"/>
  <c r="T1738" i="17"/>
  <c r="T1739" i="17"/>
  <c r="T1740" i="17"/>
  <c r="T1741" i="17"/>
  <c r="T1742" i="17"/>
  <c r="T1743" i="17"/>
  <c r="T1744" i="17"/>
  <c r="T1745" i="17"/>
  <c r="T1746" i="17"/>
  <c r="U1733" i="17"/>
  <c r="U1734" i="17"/>
  <c r="U1735" i="17"/>
  <c r="U1736" i="17"/>
  <c r="U1737" i="17"/>
  <c r="U1738" i="17"/>
  <c r="U1739" i="17"/>
  <c r="U1740" i="17"/>
  <c r="U1741" i="17"/>
  <c r="U1742" i="17"/>
  <c r="U1743" i="17"/>
  <c r="U1744" i="17"/>
  <c r="U1745" i="17"/>
  <c r="U1746" i="17"/>
  <c r="V1733" i="17"/>
  <c r="V1734" i="17"/>
  <c r="V1735" i="17"/>
  <c r="V1736" i="17"/>
  <c r="V1737" i="17"/>
  <c r="V1738" i="17"/>
  <c r="V1739" i="17"/>
  <c r="V1740" i="17"/>
  <c r="V1741" i="17"/>
  <c r="V1742" i="17"/>
  <c r="V1743" i="17"/>
  <c r="V1744" i="17"/>
  <c r="V1745" i="17"/>
  <c r="V1746" i="17"/>
  <c r="W1733" i="17"/>
  <c r="W1734" i="17"/>
  <c r="W1735" i="17"/>
  <c r="W1736" i="17"/>
  <c r="W1737" i="17"/>
  <c r="W1738" i="17"/>
  <c r="W1739" i="17"/>
  <c r="W1740" i="17"/>
  <c r="W1741" i="17"/>
  <c r="W1742" i="17"/>
  <c r="W1743" i="17"/>
  <c r="W1744" i="17"/>
  <c r="W1745" i="17"/>
  <c r="W1746" i="17"/>
  <c r="H1721" i="17"/>
  <c r="H1722" i="17"/>
  <c r="H1723" i="17"/>
  <c r="H1724" i="17"/>
  <c r="H1725" i="17"/>
  <c r="H1726" i="17"/>
  <c r="H1727" i="17"/>
  <c r="H1728" i="17"/>
  <c r="H1729" i="17"/>
  <c r="H1730" i="17"/>
  <c r="H1731" i="17"/>
  <c r="H1732" i="17"/>
  <c r="H1774" i="17"/>
  <c r="H1775" i="17"/>
  <c r="H1792" i="17"/>
  <c r="I1721" i="17"/>
  <c r="I1722" i="17"/>
  <c r="I1723" i="17"/>
  <c r="I1724" i="17"/>
  <c r="I1725" i="17"/>
  <c r="I1726" i="17"/>
  <c r="I1727" i="17"/>
  <c r="I1728" i="17"/>
  <c r="I1729" i="17"/>
  <c r="I1730" i="17"/>
  <c r="I1731" i="17"/>
  <c r="I1732" i="17"/>
  <c r="I1774" i="17"/>
  <c r="I1775" i="17"/>
  <c r="I1792" i="17"/>
  <c r="J1721" i="17"/>
  <c r="J1722" i="17"/>
  <c r="J1723" i="17"/>
  <c r="J1724" i="17"/>
  <c r="J1725" i="17"/>
  <c r="J1726" i="17"/>
  <c r="J1727" i="17"/>
  <c r="J1728" i="17"/>
  <c r="J1729" i="17"/>
  <c r="J1730" i="17"/>
  <c r="J1731" i="17"/>
  <c r="J1732" i="17"/>
  <c r="J1774" i="17"/>
  <c r="J1775" i="17"/>
  <c r="J1792" i="17"/>
  <c r="K1721" i="17"/>
  <c r="K1722" i="17"/>
  <c r="K1723" i="17"/>
  <c r="K1724" i="17"/>
  <c r="K1725" i="17"/>
  <c r="K1726" i="17"/>
  <c r="K1727" i="17"/>
  <c r="K1728" i="17"/>
  <c r="K1729" i="17"/>
  <c r="K1730" i="17"/>
  <c r="K1731" i="17"/>
  <c r="K1732" i="17"/>
  <c r="K1774" i="17"/>
  <c r="K1775" i="17"/>
  <c r="K1792" i="17"/>
  <c r="N1721" i="17"/>
  <c r="N1722" i="17"/>
  <c r="N1723" i="17"/>
  <c r="N1724" i="17"/>
  <c r="N1725" i="17"/>
  <c r="N1726" i="17"/>
  <c r="N1727" i="17"/>
  <c r="N1728" i="17"/>
  <c r="N1729" i="17"/>
  <c r="N1730" i="17"/>
  <c r="N1731" i="17"/>
  <c r="N1732" i="17"/>
  <c r="N1774" i="17"/>
  <c r="N1775" i="17"/>
  <c r="N1792" i="17"/>
  <c r="O1721" i="17"/>
  <c r="O1722" i="17"/>
  <c r="O1723" i="17"/>
  <c r="O1724" i="17"/>
  <c r="O1725" i="17"/>
  <c r="O1726" i="17"/>
  <c r="O1727" i="17"/>
  <c r="O1728" i="17"/>
  <c r="O1729" i="17"/>
  <c r="O1730" i="17"/>
  <c r="O1731" i="17"/>
  <c r="O1732" i="17"/>
  <c r="O1774" i="17"/>
  <c r="O1775" i="17"/>
  <c r="O1792" i="17"/>
  <c r="Q1721" i="17"/>
  <c r="Q1722" i="17"/>
  <c r="Q1723" i="17"/>
  <c r="Q1724" i="17"/>
  <c r="Q1725" i="17"/>
  <c r="Q1726" i="17"/>
  <c r="Q1727" i="17"/>
  <c r="Q1728" i="17"/>
  <c r="Q1729" i="17"/>
  <c r="Q1730" i="17"/>
  <c r="Q1731" i="17"/>
  <c r="Q1732" i="17"/>
  <c r="Q1774" i="17"/>
  <c r="Q1775" i="17"/>
  <c r="Q1792" i="17"/>
  <c r="S1721" i="17"/>
  <c r="S1722" i="17"/>
  <c r="S1723" i="17"/>
  <c r="S1724" i="17"/>
  <c r="S1725" i="17"/>
  <c r="S1726" i="17"/>
  <c r="S1727" i="17"/>
  <c r="S1728" i="17"/>
  <c r="S1729" i="17"/>
  <c r="S1730" i="17"/>
  <c r="S1731" i="17"/>
  <c r="S1732" i="17"/>
  <c r="S1774" i="17"/>
  <c r="S1775" i="17"/>
  <c r="S1792" i="17"/>
  <c r="T1721" i="17"/>
  <c r="T1722" i="17"/>
  <c r="T1723" i="17"/>
  <c r="T1724" i="17"/>
  <c r="T1725" i="17"/>
  <c r="T1726" i="17"/>
  <c r="T1727" i="17"/>
  <c r="T1728" i="17"/>
  <c r="T1729" i="17"/>
  <c r="T1730" i="17"/>
  <c r="T1731" i="17"/>
  <c r="T1732" i="17"/>
  <c r="T1774" i="17"/>
  <c r="T1775" i="17"/>
  <c r="T1792" i="17"/>
  <c r="U1721" i="17"/>
  <c r="U1722" i="17"/>
  <c r="U1723" i="17"/>
  <c r="U1724" i="17"/>
  <c r="U1725" i="17"/>
  <c r="U1726" i="17"/>
  <c r="U1727" i="17"/>
  <c r="U1728" i="17"/>
  <c r="U1729" i="17"/>
  <c r="U1730" i="17"/>
  <c r="U1731" i="17"/>
  <c r="U1732" i="17"/>
  <c r="U1774" i="17"/>
  <c r="U1775" i="17"/>
  <c r="U1792" i="17"/>
  <c r="V1721" i="17"/>
  <c r="V1722" i="17"/>
  <c r="V1723" i="17"/>
  <c r="V1724" i="17"/>
  <c r="V1725" i="17"/>
  <c r="V1726" i="17"/>
  <c r="V1727" i="17"/>
  <c r="V1728" i="17"/>
  <c r="V1729" i="17"/>
  <c r="V1730" i="17"/>
  <c r="V1731" i="17"/>
  <c r="V1732" i="17"/>
  <c r="V1774" i="17"/>
  <c r="V1775" i="17"/>
  <c r="V1792" i="17"/>
  <c r="W1721" i="17"/>
  <c r="W1722" i="17"/>
  <c r="W1723" i="17"/>
  <c r="W1724" i="17"/>
  <c r="W1725" i="17"/>
  <c r="W1726" i="17"/>
  <c r="W1727" i="17"/>
  <c r="W1728" i="17"/>
  <c r="W1729" i="17"/>
  <c r="W1730" i="17"/>
  <c r="W1731" i="17"/>
  <c r="W1732" i="17"/>
  <c r="W1774" i="17"/>
  <c r="W1775" i="17"/>
  <c r="W1792" i="17"/>
  <c r="H1836" i="17"/>
  <c r="I1836" i="17"/>
  <c r="J1836" i="17"/>
  <c r="K1836" i="17"/>
  <c r="N1836" i="17"/>
  <c r="O1836" i="17"/>
  <c r="Q1836" i="17"/>
  <c r="S1836" i="17"/>
  <c r="T1836" i="17"/>
  <c r="U1836" i="17"/>
  <c r="V1836" i="17"/>
  <c r="W1836" i="17"/>
  <c r="H1829" i="17"/>
  <c r="H1830" i="17"/>
  <c r="H1831" i="17"/>
  <c r="H1832" i="17"/>
  <c r="H1833" i="17"/>
  <c r="H1834" i="17"/>
  <c r="H1835" i="17"/>
  <c r="I1829" i="17"/>
  <c r="I1830" i="17"/>
  <c r="I1831" i="17"/>
  <c r="I1832" i="17"/>
  <c r="I1833" i="17"/>
  <c r="I1834" i="17"/>
  <c r="I1835" i="17"/>
  <c r="J1829" i="17"/>
  <c r="J1830" i="17"/>
  <c r="J1831" i="17"/>
  <c r="J1832" i="17"/>
  <c r="J1833" i="17"/>
  <c r="J1834" i="17"/>
  <c r="J1835" i="17"/>
  <c r="K1829" i="17"/>
  <c r="K1830" i="17"/>
  <c r="K1831" i="17"/>
  <c r="K1832" i="17"/>
  <c r="K1833" i="17"/>
  <c r="K1834" i="17"/>
  <c r="K1835" i="17"/>
  <c r="N1829" i="17"/>
  <c r="N1830" i="17"/>
  <c r="N1831" i="17"/>
  <c r="N1832" i="17"/>
  <c r="N1833" i="17"/>
  <c r="N1834" i="17"/>
  <c r="N1835" i="17"/>
  <c r="O1829" i="17"/>
  <c r="O1830" i="17"/>
  <c r="O1831" i="17"/>
  <c r="O1832" i="17"/>
  <c r="O1833" i="17"/>
  <c r="O1834" i="17"/>
  <c r="O1835" i="17"/>
  <c r="Q1829" i="17"/>
  <c r="Q1830" i="17"/>
  <c r="Q1831" i="17"/>
  <c r="Q1832" i="17"/>
  <c r="Q1833" i="17"/>
  <c r="Q1834" i="17"/>
  <c r="Q1835" i="17"/>
  <c r="S1829" i="17"/>
  <c r="S1830" i="17"/>
  <c r="S1831" i="17"/>
  <c r="S1832" i="17"/>
  <c r="S1833" i="17"/>
  <c r="S1834" i="17"/>
  <c r="S1835" i="17"/>
  <c r="T1829" i="17"/>
  <c r="T1830" i="17"/>
  <c r="T1831" i="17"/>
  <c r="T1832" i="17"/>
  <c r="T1833" i="17"/>
  <c r="T1834" i="17"/>
  <c r="T1835" i="17"/>
  <c r="U1829" i="17"/>
  <c r="U1830" i="17"/>
  <c r="U1831" i="17"/>
  <c r="U1832" i="17"/>
  <c r="U1833" i="17"/>
  <c r="U1834" i="17"/>
  <c r="U1835" i="17"/>
  <c r="V1829" i="17"/>
  <c r="V1830" i="17"/>
  <c r="V1831" i="17"/>
  <c r="V1832" i="17"/>
  <c r="V1833" i="17"/>
  <c r="V1834" i="17"/>
  <c r="V1835" i="17"/>
  <c r="W1829" i="17"/>
  <c r="W1830" i="17"/>
  <c r="W1831" i="17"/>
  <c r="W1832" i="17"/>
  <c r="W1833" i="17"/>
  <c r="W1834" i="17"/>
  <c r="W1835" i="17"/>
  <c r="H1827" i="17"/>
  <c r="H1828" i="17"/>
  <c r="I1827" i="17"/>
  <c r="I1828" i="17"/>
  <c r="J1827" i="17"/>
  <c r="J1828" i="17"/>
  <c r="K1827" i="17"/>
  <c r="K1828" i="17"/>
  <c r="N1827" i="17"/>
  <c r="N1828" i="17"/>
  <c r="O1827" i="17"/>
  <c r="O1828" i="17"/>
  <c r="Q1827" i="17"/>
  <c r="Q1828" i="17"/>
  <c r="S1827" i="17"/>
  <c r="S1828" i="17"/>
  <c r="T1827" i="17"/>
  <c r="T1828" i="17"/>
  <c r="U1827" i="17"/>
  <c r="U1828" i="17"/>
  <c r="V1827" i="17"/>
  <c r="V1828" i="17"/>
  <c r="W1827" i="17"/>
  <c r="W1828" i="17"/>
  <c r="H2222" i="17"/>
  <c r="H2223" i="17"/>
  <c r="H2224" i="17"/>
  <c r="H2225" i="17"/>
  <c r="H2226" i="17"/>
  <c r="H2227" i="17"/>
  <c r="H2228" i="17"/>
  <c r="H2229" i="17"/>
  <c r="H2230" i="17"/>
  <c r="H2231" i="17"/>
  <c r="I2222" i="17"/>
  <c r="I2223" i="17"/>
  <c r="I2224" i="17"/>
  <c r="I2225" i="17"/>
  <c r="I2226" i="17"/>
  <c r="I2227" i="17"/>
  <c r="I2228" i="17"/>
  <c r="I2229" i="17"/>
  <c r="I2230" i="17"/>
  <c r="I2231" i="17"/>
  <c r="J2222" i="17"/>
  <c r="J2223" i="17"/>
  <c r="J2224" i="17"/>
  <c r="J2225" i="17"/>
  <c r="J2226" i="17"/>
  <c r="J2227" i="17"/>
  <c r="J2228" i="17"/>
  <c r="J2229" i="17"/>
  <c r="J2230" i="17"/>
  <c r="J2231" i="17"/>
  <c r="K2222" i="17"/>
  <c r="K2223" i="17"/>
  <c r="K2224" i="17"/>
  <c r="K2225" i="17"/>
  <c r="K2226" i="17"/>
  <c r="K2227" i="17"/>
  <c r="K2228" i="17"/>
  <c r="K2229" i="17"/>
  <c r="K2230" i="17"/>
  <c r="K2231" i="17"/>
  <c r="N2222" i="17"/>
  <c r="N2223" i="17"/>
  <c r="N2224" i="17"/>
  <c r="N2225" i="17"/>
  <c r="N2226" i="17"/>
  <c r="N2227" i="17"/>
  <c r="N2228" i="17"/>
  <c r="N2229" i="17"/>
  <c r="N2230" i="17"/>
  <c r="N2231" i="17"/>
  <c r="O2222" i="17"/>
  <c r="O2223" i="17"/>
  <c r="O2224" i="17"/>
  <c r="O2225" i="17"/>
  <c r="O2226" i="17"/>
  <c r="O2227" i="17"/>
  <c r="O2228" i="17"/>
  <c r="O2229" i="17"/>
  <c r="O2230" i="17"/>
  <c r="O2231" i="17"/>
  <c r="Q2222" i="17"/>
  <c r="Q2223" i="17"/>
  <c r="Q2224" i="17"/>
  <c r="Q2225" i="17"/>
  <c r="Q2226" i="17"/>
  <c r="Q2227" i="17"/>
  <c r="Q2228" i="17"/>
  <c r="Q2229" i="17"/>
  <c r="Q2230" i="17"/>
  <c r="Q2231" i="17"/>
  <c r="S2222" i="17"/>
  <c r="S2223" i="17"/>
  <c r="S2224" i="17"/>
  <c r="S2225" i="17"/>
  <c r="S2226" i="17"/>
  <c r="S2227" i="17"/>
  <c r="S2228" i="17"/>
  <c r="S2229" i="17"/>
  <c r="S2230" i="17"/>
  <c r="S2231" i="17"/>
  <c r="T2222" i="17"/>
  <c r="T2223" i="17"/>
  <c r="T2224" i="17"/>
  <c r="T2225" i="17"/>
  <c r="T2226" i="17"/>
  <c r="T2227" i="17"/>
  <c r="T2228" i="17"/>
  <c r="T2229" i="17"/>
  <c r="T2230" i="17"/>
  <c r="T2231" i="17"/>
  <c r="U2222" i="17"/>
  <c r="U2223" i="17"/>
  <c r="U2224" i="17"/>
  <c r="U2225" i="17"/>
  <c r="U2226" i="17"/>
  <c r="U2227" i="17"/>
  <c r="U2228" i="17"/>
  <c r="U2229" i="17"/>
  <c r="U2230" i="17"/>
  <c r="U2231" i="17"/>
  <c r="V2222" i="17"/>
  <c r="V2223" i="17"/>
  <c r="V2224" i="17"/>
  <c r="V2225" i="17"/>
  <c r="V2226" i="17"/>
  <c r="V2227" i="17"/>
  <c r="V2228" i="17"/>
  <c r="V2229" i="17"/>
  <c r="V2230" i="17"/>
  <c r="V2231" i="17"/>
  <c r="W2222" i="17"/>
  <c r="W2223" i="17"/>
  <c r="W2224" i="17"/>
  <c r="W2225" i="17"/>
  <c r="W2226" i="17"/>
  <c r="W2227" i="17"/>
  <c r="W2228" i="17"/>
  <c r="W2229" i="17"/>
  <c r="W2230" i="17"/>
  <c r="W2231" i="17"/>
  <c r="H2209" i="17"/>
  <c r="H2210" i="17"/>
  <c r="H2211" i="17"/>
  <c r="H2212" i="17"/>
  <c r="H2213" i="17"/>
  <c r="H2214" i="17"/>
  <c r="H2215" i="17"/>
  <c r="H2216" i="17"/>
  <c r="I2209" i="17"/>
  <c r="I2210" i="17"/>
  <c r="I2211" i="17"/>
  <c r="I2212" i="17"/>
  <c r="I2213" i="17"/>
  <c r="I2214" i="17"/>
  <c r="I2215" i="17"/>
  <c r="I2216" i="17"/>
  <c r="J2209" i="17"/>
  <c r="J2210" i="17"/>
  <c r="J2211" i="17"/>
  <c r="J2212" i="17"/>
  <c r="J2213" i="17"/>
  <c r="J2214" i="17"/>
  <c r="J2215" i="17"/>
  <c r="J2216" i="17"/>
  <c r="K2209" i="17"/>
  <c r="K2210" i="17"/>
  <c r="K2211" i="17"/>
  <c r="K2212" i="17"/>
  <c r="K2213" i="17"/>
  <c r="K2214" i="17"/>
  <c r="K2215" i="17"/>
  <c r="K2216" i="17"/>
  <c r="N2209" i="17"/>
  <c r="N2210" i="17"/>
  <c r="N2211" i="17"/>
  <c r="N2212" i="17"/>
  <c r="N2213" i="17"/>
  <c r="N2214" i="17"/>
  <c r="N2215" i="17"/>
  <c r="N2216" i="17"/>
  <c r="O2209" i="17"/>
  <c r="O2210" i="17"/>
  <c r="O2211" i="17"/>
  <c r="O2212" i="17"/>
  <c r="O2213" i="17"/>
  <c r="O2214" i="17"/>
  <c r="O2215" i="17"/>
  <c r="O2216" i="17"/>
  <c r="Q2209" i="17"/>
  <c r="Q2210" i="17"/>
  <c r="Q2211" i="17"/>
  <c r="Q2212" i="17"/>
  <c r="Q2213" i="17"/>
  <c r="Q2214" i="17"/>
  <c r="Q2215" i="17"/>
  <c r="Q2216" i="17"/>
  <c r="S2209" i="17"/>
  <c r="S2210" i="17"/>
  <c r="S2211" i="17"/>
  <c r="S2212" i="17"/>
  <c r="S2213" i="17"/>
  <c r="S2214" i="17"/>
  <c r="S2215" i="17"/>
  <c r="S2216" i="17"/>
  <c r="T2209" i="17"/>
  <c r="T2210" i="17"/>
  <c r="T2211" i="17"/>
  <c r="T2212" i="17"/>
  <c r="T2213" i="17"/>
  <c r="T2214" i="17"/>
  <c r="T2215" i="17"/>
  <c r="T2216" i="17"/>
  <c r="U2209" i="17"/>
  <c r="U2210" i="17"/>
  <c r="U2211" i="17"/>
  <c r="U2212" i="17"/>
  <c r="U2213" i="17"/>
  <c r="U2214" i="17"/>
  <c r="U2215" i="17"/>
  <c r="U2216" i="17"/>
  <c r="V2209" i="17"/>
  <c r="V2210" i="17"/>
  <c r="V2211" i="17"/>
  <c r="V2212" i="17"/>
  <c r="V2213" i="17"/>
  <c r="V2214" i="17"/>
  <c r="V2215" i="17"/>
  <c r="V2216" i="17"/>
  <c r="W2209" i="17"/>
  <c r="W2210" i="17"/>
  <c r="W2211" i="17"/>
  <c r="W2212" i="17"/>
  <c r="W2213" i="17"/>
  <c r="W2214" i="17"/>
  <c r="W2215" i="17"/>
  <c r="W2216" i="17"/>
  <c r="H2207" i="17"/>
  <c r="H2208" i="17"/>
  <c r="H2217" i="17"/>
  <c r="H2218" i="17"/>
  <c r="H2219" i="17"/>
  <c r="H2220" i="17"/>
  <c r="H2221" i="17"/>
  <c r="I2207" i="17"/>
  <c r="I2208" i="17"/>
  <c r="I2217" i="17"/>
  <c r="I2218" i="17"/>
  <c r="I2219" i="17"/>
  <c r="I2220" i="17"/>
  <c r="I2221" i="17"/>
  <c r="J2207" i="17"/>
  <c r="J2208" i="17"/>
  <c r="J2217" i="17"/>
  <c r="J2218" i="17"/>
  <c r="J2219" i="17"/>
  <c r="J2220" i="17"/>
  <c r="J2221" i="17"/>
  <c r="K2207" i="17"/>
  <c r="K2208" i="17"/>
  <c r="K2217" i="17"/>
  <c r="K2218" i="17"/>
  <c r="K2219" i="17"/>
  <c r="K2220" i="17"/>
  <c r="K2221" i="17"/>
  <c r="N2207" i="17"/>
  <c r="N2208" i="17"/>
  <c r="N2217" i="17"/>
  <c r="N2218" i="17"/>
  <c r="N2219" i="17"/>
  <c r="N2220" i="17"/>
  <c r="N2221" i="17"/>
  <c r="O2207" i="17"/>
  <c r="O2208" i="17"/>
  <c r="O2217" i="17"/>
  <c r="O2218" i="17"/>
  <c r="O2219" i="17"/>
  <c r="O2220" i="17"/>
  <c r="O2221" i="17"/>
  <c r="Q2207" i="17"/>
  <c r="Q2208" i="17"/>
  <c r="Q2217" i="17"/>
  <c r="Q2218" i="17"/>
  <c r="Q2219" i="17"/>
  <c r="Q2220" i="17"/>
  <c r="Q2221" i="17"/>
  <c r="S2207" i="17"/>
  <c r="S2208" i="17"/>
  <c r="S2217" i="17"/>
  <c r="S2218" i="17"/>
  <c r="S2219" i="17"/>
  <c r="S2220" i="17"/>
  <c r="S2221" i="17"/>
  <c r="T2207" i="17"/>
  <c r="T2208" i="17"/>
  <c r="T2217" i="17"/>
  <c r="T2218" i="17"/>
  <c r="T2219" i="17"/>
  <c r="T2220" i="17"/>
  <c r="T2221" i="17"/>
  <c r="U2207" i="17"/>
  <c r="U2208" i="17"/>
  <c r="U2217" i="17"/>
  <c r="U2218" i="17"/>
  <c r="U2219" i="17"/>
  <c r="U2220" i="17"/>
  <c r="U2221" i="17"/>
  <c r="V2207" i="17"/>
  <c r="V2208" i="17"/>
  <c r="V2217" i="17"/>
  <c r="V2218" i="17"/>
  <c r="V2219" i="17"/>
  <c r="V2220" i="17"/>
  <c r="V2221" i="17"/>
  <c r="W2207" i="17"/>
  <c r="W2208" i="17"/>
  <c r="W2217" i="17"/>
  <c r="W2218" i="17"/>
  <c r="W2219" i="17"/>
  <c r="W2220" i="17"/>
  <c r="W2221" i="17"/>
  <c r="H1679" i="17"/>
  <c r="H1680" i="17"/>
  <c r="H1681" i="17"/>
  <c r="H1682" i="17"/>
  <c r="H1683" i="17"/>
  <c r="H1684" i="17"/>
  <c r="H1685" i="17"/>
  <c r="H1686" i="17"/>
  <c r="I1679" i="17"/>
  <c r="I1680" i="17"/>
  <c r="I1681" i="17"/>
  <c r="I1682" i="17"/>
  <c r="I1683" i="17"/>
  <c r="I1684" i="17"/>
  <c r="I1685" i="17"/>
  <c r="I1686" i="17"/>
  <c r="J1679" i="17"/>
  <c r="J1680" i="17"/>
  <c r="J1681" i="17"/>
  <c r="J1682" i="17"/>
  <c r="J1683" i="17"/>
  <c r="J1684" i="17"/>
  <c r="J1685" i="17"/>
  <c r="J1686" i="17"/>
  <c r="K1679" i="17"/>
  <c r="K1680" i="17"/>
  <c r="K1681" i="17"/>
  <c r="K1682" i="17"/>
  <c r="K1683" i="17"/>
  <c r="K1684" i="17"/>
  <c r="K1685" i="17"/>
  <c r="K1686" i="17"/>
  <c r="N1679" i="17"/>
  <c r="N1680" i="17"/>
  <c r="N1681" i="17"/>
  <c r="N1682" i="17"/>
  <c r="N1683" i="17"/>
  <c r="N1684" i="17"/>
  <c r="N1685" i="17"/>
  <c r="N1686" i="17"/>
  <c r="O1679" i="17"/>
  <c r="O1680" i="17"/>
  <c r="O1681" i="17"/>
  <c r="O1682" i="17"/>
  <c r="O1683" i="17"/>
  <c r="O1684" i="17"/>
  <c r="O1685" i="17"/>
  <c r="O1686" i="17"/>
  <c r="Q1679" i="17"/>
  <c r="Q1680" i="17"/>
  <c r="Q1681" i="17"/>
  <c r="Q1682" i="17"/>
  <c r="Q1683" i="17"/>
  <c r="Q1684" i="17"/>
  <c r="Q1685" i="17"/>
  <c r="Q1686" i="17"/>
  <c r="S1679" i="17"/>
  <c r="S1680" i="17"/>
  <c r="S1681" i="17"/>
  <c r="S1682" i="17"/>
  <c r="S1683" i="17"/>
  <c r="S1684" i="17"/>
  <c r="S1685" i="17"/>
  <c r="S1686" i="17"/>
  <c r="T1679" i="17"/>
  <c r="T1680" i="17"/>
  <c r="T1681" i="17"/>
  <c r="T1682" i="17"/>
  <c r="T1683" i="17"/>
  <c r="T1684" i="17"/>
  <c r="T1685" i="17"/>
  <c r="T1686" i="17"/>
  <c r="U1679" i="17"/>
  <c r="U1680" i="17"/>
  <c r="U1681" i="17"/>
  <c r="U1682" i="17"/>
  <c r="U1683" i="17"/>
  <c r="U1684" i="17"/>
  <c r="U1685" i="17"/>
  <c r="U1686" i="17"/>
  <c r="V1679" i="17"/>
  <c r="V1680" i="17"/>
  <c r="V1681" i="17"/>
  <c r="V1682" i="17"/>
  <c r="V1683" i="17"/>
  <c r="V1684" i="17"/>
  <c r="V1685" i="17"/>
  <c r="V1686" i="17"/>
  <c r="W1679" i="17"/>
  <c r="W1680" i="17"/>
  <c r="W1681" i="17"/>
  <c r="W1682" i="17"/>
  <c r="W1683" i="17"/>
  <c r="W1684" i="17"/>
  <c r="W1685" i="17"/>
  <c r="W1686" i="17"/>
  <c r="H1667" i="17"/>
  <c r="H1668" i="17"/>
  <c r="H1669" i="17"/>
  <c r="H1670" i="17"/>
  <c r="H1671" i="17"/>
  <c r="H1672" i="17"/>
  <c r="H1673" i="17"/>
  <c r="H1674" i="17"/>
  <c r="H1675" i="17"/>
  <c r="H1676" i="17"/>
  <c r="H1677" i="17"/>
  <c r="H1678" i="17"/>
  <c r="I1667" i="17"/>
  <c r="I1668" i="17"/>
  <c r="I1669" i="17"/>
  <c r="I1670" i="17"/>
  <c r="I1671" i="17"/>
  <c r="I1672" i="17"/>
  <c r="I1673" i="17"/>
  <c r="I1674" i="17"/>
  <c r="I1675" i="17"/>
  <c r="I1676" i="17"/>
  <c r="I1677" i="17"/>
  <c r="I1678" i="17"/>
  <c r="J1667" i="17"/>
  <c r="J1668" i="17"/>
  <c r="J1669" i="17"/>
  <c r="J1670" i="17"/>
  <c r="J1671" i="17"/>
  <c r="J1672" i="17"/>
  <c r="J1673" i="17"/>
  <c r="J1674" i="17"/>
  <c r="J1675" i="17"/>
  <c r="J1676" i="17"/>
  <c r="J1677" i="17"/>
  <c r="J1678" i="17"/>
  <c r="K1667" i="17"/>
  <c r="K1668" i="17"/>
  <c r="K1669" i="17"/>
  <c r="K1670" i="17"/>
  <c r="K1671" i="17"/>
  <c r="K1672" i="17"/>
  <c r="K1673" i="17"/>
  <c r="K1674" i="17"/>
  <c r="K1675" i="17"/>
  <c r="K1676" i="17"/>
  <c r="K1677" i="17"/>
  <c r="K1678" i="17"/>
  <c r="N1667" i="17"/>
  <c r="N1668" i="17"/>
  <c r="N1669" i="17"/>
  <c r="N1670" i="17"/>
  <c r="N1671" i="17"/>
  <c r="N1672" i="17"/>
  <c r="N1673" i="17"/>
  <c r="N1674" i="17"/>
  <c r="N1675" i="17"/>
  <c r="N1676" i="17"/>
  <c r="N1677" i="17"/>
  <c r="N1678" i="17"/>
  <c r="O1667" i="17"/>
  <c r="O1668" i="17"/>
  <c r="O1669" i="17"/>
  <c r="O1670" i="17"/>
  <c r="O1671" i="17"/>
  <c r="O1672" i="17"/>
  <c r="O1673" i="17"/>
  <c r="O1674" i="17"/>
  <c r="O1675" i="17"/>
  <c r="O1676" i="17"/>
  <c r="O1677" i="17"/>
  <c r="O1678" i="17"/>
  <c r="Q1667" i="17"/>
  <c r="Q1668" i="17"/>
  <c r="Q1669" i="17"/>
  <c r="Q1670" i="17"/>
  <c r="Q1671" i="17"/>
  <c r="Q1672" i="17"/>
  <c r="Q1673" i="17"/>
  <c r="Q1674" i="17"/>
  <c r="Q1675" i="17"/>
  <c r="Q1676" i="17"/>
  <c r="Q1677" i="17"/>
  <c r="Q1678" i="17"/>
  <c r="S1667" i="17"/>
  <c r="S1668" i="17"/>
  <c r="S1669" i="17"/>
  <c r="S1670" i="17"/>
  <c r="S1671" i="17"/>
  <c r="S1672" i="17"/>
  <c r="S1673" i="17"/>
  <c r="S1674" i="17"/>
  <c r="S1675" i="17"/>
  <c r="S1676" i="17"/>
  <c r="S1677" i="17"/>
  <c r="S1678" i="17"/>
  <c r="T1667" i="17"/>
  <c r="T1668" i="17"/>
  <c r="T1669" i="17"/>
  <c r="T1670" i="17"/>
  <c r="T1671" i="17"/>
  <c r="T1672" i="17"/>
  <c r="T1673" i="17"/>
  <c r="T1674" i="17"/>
  <c r="T1675" i="17"/>
  <c r="T1676" i="17"/>
  <c r="T1677" i="17"/>
  <c r="T1678" i="17"/>
  <c r="U1667" i="17"/>
  <c r="U1668" i="17"/>
  <c r="U1669" i="17"/>
  <c r="U1670" i="17"/>
  <c r="U1671" i="17"/>
  <c r="U1672" i="17"/>
  <c r="U1673" i="17"/>
  <c r="U1674" i="17"/>
  <c r="U1675" i="17"/>
  <c r="U1676" i="17"/>
  <c r="U1677" i="17"/>
  <c r="U1678" i="17"/>
  <c r="V1667" i="17"/>
  <c r="V1668" i="17"/>
  <c r="V1669" i="17"/>
  <c r="V1670" i="17"/>
  <c r="V1671" i="17"/>
  <c r="V1672" i="17"/>
  <c r="V1673" i="17"/>
  <c r="V1674" i="17"/>
  <c r="V1675" i="17"/>
  <c r="V1676" i="17"/>
  <c r="V1677" i="17"/>
  <c r="V1678" i="17"/>
  <c r="W1667" i="17"/>
  <c r="W1668" i="17"/>
  <c r="W1669" i="17"/>
  <c r="W1670" i="17"/>
  <c r="W1671" i="17"/>
  <c r="W1672" i="17"/>
  <c r="W1673" i="17"/>
  <c r="W1674" i="17"/>
  <c r="W1675" i="17"/>
  <c r="W1676" i="17"/>
  <c r="W1677" i="17"/>
  <c r="W1678" i="17"/>
  <c r="H1663" i="17"/>
  <c r="H1664" i="17"/>
  <c r="H1665" i="17"/>
  <c r="H1666" i="17"/>
  <c r="I1663" i="17"/>
  <c r="I1664" i="17"/>
  <c r="I1665" i="17"/>
  <c r="I1666" i="17"/>
  <c r="J1663" i="17"/>
  <c r="J1664" i="17"/>
  <c r="J1665" i="17"/>
  <c r="J1666" i="17"/>
  <c r="K1663" i="17"/>
  <c r="K1664" i="17"/>
  <c r="K1665" i="17"/>
  <c r="K1666" i="17"/>
  <c r="N1663" i="17"/>
  <c r="N1664" i="17"/>
  <c r="N1665" i="17"/>
  <c r="N1666" i="17"/>
  <c r="O1663" i="17"/>
  <c r="O1664" i="17"/>
  <c r="O1665" i="17"/>
  <c r="O1666" i="17"/>
  <c r="Q1663" i="17"/>
  <c r="Q1664" i="17"/>
  <c r="Q1665" i="17"/>
  <c r="Q1666" i="17"/>
  <c r="S1663" i="17"/>
  <c r="S1664" i="17"/>
  <c r="S1665" i="17"/>
  <c r="S1666" i="17"/>
  <c r="T1663" i="17"/>
  <c r="T1664" i="17"/>
  <c r="T1665" i="17"/>
  <c r="T1666" i="17"/>
  <c r="U1663" i="17"/>
  <c r="U1664" i="17"/>
  <c r="U1665" i="17"/>
  <c r="U1666" i="17"/>
  <c r="V1663" i="17"/>
  <c r="V1664" i="17"/>
  <c r="V1665" i="17"/>
  <c r="V1666" i="17"/>
  <c r="W1663" i="17"/>
  <c r="W1664" i="17"/>
  <c r="W1665" i="17"/>
  <c r="W1666" i="17"/>
  <c r="H1657" i="17"/>
  <c r="H1658" i="17"/>
  <c r="H1659" i="17"/>
  <c r="H1660" i="17"/>
  <c r="H1661" i="17"/>
  <c r="H1662" i="17"/>
  <c r="I1657" i="17"/>
  <c r="I1658" i="17"/>
  <c r="I1659" i="17"/>
  <c r="I1660" i="17"/>
  <c r="I1661" i="17"/>
  <c r="I1662" i="17"/>
  <c r="J1657" i="17"/>
  <c r="J1658" i="17"/>
  <c r="J1659" i="17"/>
  <c r="J1660" i="17"/>
  <c r="J1661" i="17"/>
  <c r="J1662" i="17"/>
  <c r="K1657" i="17"/>
  <c r="K1658" i="17"/>
  <c r="K1659" i="17"/>
  <c r="K1660" i="17"/>
  <c r="K1661" i="17"/>
  <c r="K1662" i="17"/>
  <c r="N1657" i="17"/>
  <c r="N1658" i="17"/>
  <c r="N1659" i="17"/>
  <c r="N1660" i="17"/>
  <c r="N1661" i="17"/>
  <c r="N1662" i="17"/>
  <c r="O1657" i="17"/>
  <c r="O1658" i="17"/>
  <c r="O1659" i="17"/>
  <c r="O1660" i="17"/>
  <c r="O1661" i="17"/>
  <c r="O1662" i="17"/>
  <c r="Q1657" i="17"/>
  <c r="Q1658" i="17"/>
  <c r="Q1659" i="17"/>
  <c r="Q1660" i="17"/>
  <c r="Q1661" i="17"/>
  <c r="Q1662" i="17"/>
  <c r="S1657" i="17"/>
  <c r="S1658" i="17"/>
  <c r="S1659" i="17"/>
  <c r="S1660" i="17"/>
  <c r="S1661" i="17"/>
  <c r="S1662" i="17"/>
  <c r="T1657" i="17"/>
  <c r="T1658" i="17"/>
  <c r="T1659" i="17"/>
  <c r="T1660" i="17"/>
  <c r="T1661" i="17"/>
  <c r="T1662" i="17"/>
  <c r="U1657" i="17"/>
  <c r="U1658" i="17"/>
  <c r="U1659" i="17"/>
  <c r="U1660" i="17"/>
  <c r="U1661" i="17"/>
  <c r="U1662" i="17"/>
  <c r="V1657" i="17"/>
  <c r="V1658" i="17"/>
  <c r="V1659" i="17"/>
  <c r="V1660" i="17"/>
  <c r="V1661" i="17"/>
  <c r="V1662" i="17"/>
  <c r="W1657" i="17"/>
  <c r="W1658" i="17"/>
  <c r="W1659" i="17"/>
  <c r="W1660" i="17"/>
  <c r="W1661" i="17"/>
  <c r="W1662" i="17"/>
  <c r="H1718" i="17"/>
  <c r="H1719" i="17"/>
  <c r="H1720" i="17"/>
  <c r="I1718" i="17"/>
  <c r="I1719" i="17"/>
  <c r="I1720" i="17"/>
  <c r="J1718" i="17"/>
  <c r="J1719" i="17"/>
  <c r="J1720" i="17"/>
  <c r="K1718" i="17"/>
  <c r="K1719" i="17"/>
  <c r="K1720" i="17"/>
  <c r="N1718" i="17"/>
  <c r="N1719" i="17"/>
  <c r="N1720" i="17"/>
  <c r="O1718" i="17"/>
  <c r="O1719" i="17"/>
  <c r="O1720" i="17"/>
  <c r="Q1718" i="17"/>
  <c r="Q1719" i="17"/>
  <c r="Q1720" i="17"/>
  <c r="S1718" i="17"/>
  <c r="S1719" i="17"/>
  <c r="S1720" i="17"/>
  <c r="T1718" i="17"/>
  <c r="T1719" i="17"/>
  <c r="T1720" i="17"/>
  <c r="U1718" i="17"/>
  <c r="U1719" i="17"/>
  <c r="U1720" i="17"/>
  <c r="V1718" i="17"/>
  <c r="V1719" i="17"/>
  <c r="V1720" i="17"/>
  <c r="W1718" i="17"/>
  <c r="W1719" i="17"/>
  <c r="W1720" i="17"/>
  <c r="H1705" i="17"/>
  <c r="H1706" i="17"/>
  <c r="H1707" i="17"/>
  <c r="H1708" i="17"/>
  <c r="H1709" i="17"/>
  <c r="H1710" i="17"/>
  <c r="H1711" i="17"/>
  <c r="H1712" i="17"/>
  <c r="H1713" i="17"/>
  <c r="H1714" i="17"/>
  <c r="H1715" i="17"/>
  <c r="H1716" i="17"/>
  <c r="I1705" i="17"/>
  <c r="I1706" i="17"/>
  <c r="I1707" i="17"/>
  <c r="I1708" i="17"/>
  <c r="I1709" i="17"/>
  <c r="I1710" i="17"/>
  <c r="I1711" i="17"/>
  <c r="I1712" i="17"/>
  <c r="I1713" i="17"/>
  <c r="I1714" i="17"/>
  <c r="I1715" i="17"/>
  <c r="I1716" i="17"/>
  <c r="J1705" i="17"/>
  <c r="J1706" i="17"/>
  <c r="J1707" i="17"/>
  <c r="J1708" i="17"/>
  <c r="J1709" i="17"/>
  <c r="J1710" i="17"/>
  <c r="J1711" i="17"/>
  <c r="J1712" i="17"/>
  <c r="J1713" i="17"/>
  <c r="J1714" i="17"/>
  <c r="J1715" i="17"/>
  <c r="J1716" i="17"/>
  <c r="K1705" i="17"/>
  <c r="K1706" i="17"/>
  <c r="K1707" i="17"/>
  <c r="K1708" i="17"/>
  <c r="K1709" i="17"/>
  <c r="K1710" i="17"/>
  <c r="K1711" i="17"/>
  <c r="K1712" i="17"/>
  <c r="K1713" i="17"/>
  <c r="K1714" i="17"/>
  <c r="K1715" i="17"/>
  <c r="K1716" i="17"/>
  <c r="N1705" i="17"/>
  <c r="N1706" i="17"/>
  <c r="N1707" i="17"/>
  <c r="N1708" i="17"/>
  <c r="N1709" i="17"/>
  <c r="N1710" i="17"/>
  <c r="N1711" i="17"/>
  <c r="N1712" i="17"/>
  <c r="N1713" i="17"/>
  <c r="N1714" i="17"/>
  <c r="N1715" i="17"/>
  <c r="N1716" i="17"/>
  <c r="O1705" i="17"/>
  <c r="O1706" i="17"/>
  <c r="O1707" i="17"/>
  <c r="O1708" i="17"/>
  <c r="O1709" i="17"/>
  <c r="O1710" i="17"/>
  <c r="O1711" i="17"/>
  <c r="O1712" i="17"/>
  <c r="O1713" i="17"/>
  <c r="O1714" i="17"/>
  <c r="O1715" i="17"/>
  <c r="O1716" i="17"/>
  <c r="Q1705" i="17"/>
  <c r="Q1706" i="17"/>
  <c r="Q1707" i="17"/>
  <c r="Q1708" i="17"/>
  <c r="Q1709" i="17"/>
  <c r="Q1710" i="17"/>
  <c r="Q1711" i="17"/>
  <c r="Q1712" i="17"/>
  <c r="Q1713" i="17"/>
  <c r="Q1714" i="17"/>
  <c r="Q1715" i="17"/>
  <c r="Q1716" i="17"/>
  <c r="S1705" i="17"/>
  <c r="S1706" i="17"/>
  <c r="S1707" i="17"/>
  <c r="S1708" i="17"/>
  <c r="S1709" i="17"/>
  <c r="S1710" i="17"/>
  <c r="S1711" i="17"/>
  <c r="S1712" i="17"/>
  <c r="S1713" i="17"/>
  <c r="S1714" i="17"/>
  <c r="S1715" i="17"/>
  <c r="S1716" i="17"/>
  <c r="T1705" i="17"/>
  <c r="T1706" i="17"/>
  <c r="T1707" i="17"/>
  <c r="T1708" i="17"/>
  <c r="T1709" i="17"/>
  <c r="T1710" i="17"/>
  <c r="T1711" i="17"/>
  <c r="T1712" i="17"/>
  <c r="T1713" i="17"/>
  <c r="T1714" i="17"/>
  <c r="T1715" i="17"/>
  <c r="T1716" i="17"/>
  <c r="U1705" i="17"/>
  <c r="U1706" i="17"/>
  <c r="U1707" i="17"/>
  <c r="U1708" i="17"/>
  <c r="U1709" i="17"/>
  <c r="U1710" i="17"/>
  <c r="U1711" i="17"/>
  <c r="U1712" i="17"/>
  <c r="U1713" i="17"/>
  <c r="U1714" i="17"/>
  <c r="U1715" i="17"/>
  <c r="U1716" i="17"/>
  <c r="V1705" i="17"/>
  <c r="V1706" i="17"/>
  <c r="V1707" i="17"/>
  <c r="V1708" i="17"/>
  <c r="V1709" i="17"/>
  <c r="V1710" i="17"/>
  <c r="V1711" i="17"/>
  <c r="V1712" i="17"/>
  <c r="V1713" i="17"/>
  <c r="V1714" i="17"/>
  <c r="V1715" i="17"/>
  <c r="V1716" i="17"/>
  <c r="W1705" i="17"/>
  <c r="W1706" i="17"/>
  <c r="W1707" i="17"/>
  <c r="W1708" i="17"/>
  <c r="W1709" i="17"/>
  <c r="W1710" i="17"/>
  <c r="W1711" i="17"/>
  <c r="W1712" i="17"/>
  <c r="W1713" i="17"/>
  <c r="W1714" i="17"/>
  <c r="W1715" i="17"/>
  <c r="W1716" i="17"/>
  <c r="H1687" i="17"/>
  <c r="H1688" i="17"/>
  <c r="H1689" i="17"/>
  <c r="H1690" i="17"/>
  <c r="H1691" i="17"/>
  <c r="H1692" i="17"/>
  <c r="H1693" i="17"/>
  <c r="H1694" i="17"/>
  <c r="H1695" i="17"/>
  <c r="H1696" i="17"/>
  <c r="H1697" i="17"/>
  <c r="H1698" i="17"/>
  <c r="H1699" i="17"/>
  <c r="H1700" i="17"/>
  <c r="H1701" i="17"/>
  <c r="H1702" i="17"/>
  <c r="H1703" i="17"/>
  <c r="H1704" i="17"/>
  <c r="I1687" i="17"/>
  <c r="I1688" i="17"/>
  <c r="I1689" i="17"/>
  <c r="I1690" i="17"/>
  <c r="I1691" i="17"/>
  <c r="I1692" i="17"/>
  <c r="I1693" i="17"/>
  <c r="I1694" i="17"/>
  <c r="I1695" i="17"/>
  <c r="I1696" i="17"/>
  <c r="I1697" i="17"/>
  <c r="I1698" i="17"/>
  <c r="I1699" i="17"/>
  <c r="I1700" i="17"/>
  <c r="I1701" i="17"/>
  <c r="I1702" i="17"/>
  <c r="I1703" i="17"/>
  <c r="I1704" i="17"/>
  <c r="J1687" i="17"/>
  <c r="J1688" i="17"/>
  <c r="J1689" i="17"/>
  <c r="J1690" i="17"/>
  <c r="J1691" i="17"/>
  <c r="J1692" i="17"/>
  <c r="J1693" i="17"/>
  <c r="J1694" i="17"/>
  <c r="J1695" i="17"/>
  <c r="J1696" i="17"/>
  <c r="J1697" i="17"/>
  <c r="J1698" i="17"/>
  <c r="J1699" i="17"/>
  <c r="J1700" i="17"/>
  <c r="J1701" i="17"/>
  <c r="J1702" i="17"/>
  <c r="J1703" i="17"/>
  <c r="J1704" i="17"/>
  <c r="K1687" i="17"/>
  <c r="K1688" i="17"/>
  <c r="K1689" i="17"/>
  <c r="K1690" i="17"/>
  <c r="K1691" i="17"/>
  <c r="K1692" i="17"/>
  <c r="K1693" i="17"/>
  <c r="K1694" i="17"/>
  <c r="K1695" i="17"/>
  <c r="K1696" i="17"/>
  <c r="K1697" i="17"/>
  <c r="K1698" i="17"/>
  <c r="K1699" i="17"/>
  <c r="K1700" i="17"/>
  <c r="K1701" i="17"/>
  <c r="K1702" i="17"/>
  <c r="K1703" i="17"/>
  <c r="K1704" i="17"/>
  <c r="N1687" i="17"/>
  <c r="N1688" i="17"/>
  <c r="N1689" i="17"/>
  <c r="N1690" i="17"/>
  <c r="N1691" i="17"/>
  <c r="N1692" i="17"/>
  <c r="N1693" i="17"/>
  <c r="N1694" i="17"/>
  <c r="N1695" i="17"/>
  <c r="N1696" i="17"/>
  <c r="N1697" i="17"/>
  <c r="N1698" i="17"/>
  <c r="N1699" i="17"/>
  <c r="N1700" i="17"/>
  <c r="N1701" i="17"/>
  <c r="N1702" i="17"/>
  <c r="N1703" i="17"/>
  <c r="N1704" i="17"/>
  <c r="O1687" i="17"/>
  <c r="O1688" i="17"/>
  <c r="O1689" i="17"/>
  <c r="O1690" i="17"/>
  <c r="O1691" i="17"/>
  <c r="O1692" i="17"/>
  <c r="O1693" i="17"/>
  <c r="O1694" i="17"/>
  <c r="O1695" i="17"/>
  <c r="O1696" i="17"/>
  <c r="O1697" i="17"/>
  <c r="O1698" i="17"/>
  <c r="O1699" i="17"/>
  <c r="O1700" i="17"/>
  <c r="O1701" i="17"/>
  <c r="O1702" i="17"/>
  <c r="O1703" i="17"/>
  <c r="O1704" i="17"/>
  <c r="Q1687" i="17"/>
  <c r="Q1688" i="17"/>
  <c r="Q1689" i="17"/>
  <c r="Q1690" i="17"/>
  <c r="Q1691" i="17"/>
  <c r="Q1692" i="17"/>
  <c r="Q1693" i="17"/>
  <c r="Q1694" i="17"/>
  <c r="Q1695" i="17"/>
  <c r="Q1696" i="17"/>
  <c r="Q1697" i="17"/>
  <c r="Q1698" i="17"/>
  <c r="Q1699" i="17"/>
  <c r="Q1700" i="17"/>
  <c r="Q1701" i="17"/>
  <c r="Q1702" i="17"/>
  <c r="Q1703" i="17"/>
  <c r="Q1704" i="17"/>
  <c r="S1687" i="17"/>
  <c r="S1688" i="17"/>
  <c r="S1689" i="17"/>
  <c r="S1690" i="17"/>
  <c r="S1691" i="17"/>
  <c r="S1692" i="17"/>
  <c r="S1693" i="17"/>
  <c r="S1694" i="17"/>
  <c r="S1695" i="17"/>
  <c r="S1696" i="17"/>
  <c r="S1697" i="17"/>
  <c r="S1698" i="17"/>
  <c r="S1699" i="17"/>
  <c r="S1700" i="17"/>
  <c r="S1701" i="17"/>
  <c r="S1702" i="17"/>
  <c r="S1703" i="17"/>
  <c r="S1704" i="17"/>
  <c r="T1687" i="17"/>
  <c r="T1688" i="17"/>
  <c r="T1689" i="17"/>
  <c r="T1690" i="17"/>
  <c r="T1691" i="17"/>
  <c r="T1692" i="17"/>
  <c r="T1693" i="17"/>
  <c r="T1694" i="17"/>
  <c r="T1695" i="17"/>
  <c r="T1696" i="17"/>
  <c r="T1697" i="17"/>
  <c r="T1698" i="17"/>
  <c r="T1699" i="17"/>
  <c r="T1700" i="17"/>
  <c r="T1701" i="17"/>
  <c r="T1702" i="17"/>
  <c r="T1703" i="17"/>
  <c r="T1704" i="17"/>
  <c r="U1687" i="17"/>
  <c r="U1688" i="17"/>
  <c r="U1689" i="17"/>
  <c r="U1690" i="17"/>
  <c r="U1691" i="17"/>
  <c r="U1692" i="17"/>
  <c r="U1693" i="17"/>
  <c r="U1694" i="17"/>
  <c r="U1695" i="17"/>
  <c r="U1696" i="17"/>
  <c r="U1697" i="17"/>
  <c r="U1698" i="17"/>
  <c r="U1699" i="17"/>
  <c r="U1700" i="17"/>
  <c r="U1701" i="17"/>
  <c r="U1702" i="17"/>
  <c r="U1703" i="17"/>
  <c r="U1704" i="17"/>
  <c r="V1687" i="17"/>
  <c r="V1688" i="17"/>
  <c r="V1689" i="17"/>
  <c r="V1690" i="17"/>
  <c r="V1691" i="17"/>
  <c r="V1692" i="17"/>
  <c r="V1693" i="17"/>
  <c r="V1694" i="17"/>
  <c r="V1695" i="17"/>
  <c r="V1696" i="17"/>
  <c r="V1697" i="17"/>
  <c r="V1698" i="17"/>
  <c r="V1699" i="17"/>
  <c r="V1700" i="17"/>
  <c r="V1701" i="17"/>
  <c r="V1702" i="17"/>
  <c r="V1703" i="17"/>
  <c r="V1704" i="17"/>
  <c r="W1687" i="17"/>
  <c r="W1688" i="17"/>
  <c r="W1689" i="17"/>
  <c r="W1690" i="17"/>
  <c r="W1691" i="17"/>
  <c r="W1692" i="17"/>
  <c r="W1693" i="17"/>
  <c r="W1694" i="17"/>
  <c r="W1695" i="17"/>
  <c r="W1696" i="17"/>
  <c r="W1697" i="17"/>
  <c r="W1698" i="17"/>
  <c r="W1699" i="17"/>
  <c r="W1700" i="17"/>
  <c r="W1701" i="17"/>
  <c r="W1702" i="17"/>
  <c r="W1703" i="17"/>
  <c r="W1704" i="17"/>
  <c r="H1939" i="17"/>
  <c r="H1940" i="17"/>
  <c r="H1941" i="17"/>
  <c r="H1942" i="17"/>
  <c r="H1943" i="17"/>
  <c r="I1939" i="17"/>
  <c r="I1940" i="17"/>
  <c r="I1941" i="17"/>
  <c r="I1942" i="17"/>
  <c r="I1943" i="17"/>
  <c r="J1939" i="17"/>
  <c r="J1940" i="17"/>
  <c r="J1941" i="17"/>
  <c r="J1942" i="17"/>
  <c r="J1943" i="17"/>
  <c r="K1939" i="17"/>
  <c r="K1940" i="17"/>
  <c r="K1941" i="17"/>
  <c r="K1942" i="17"/>
  <c r="K1943" i="17"/>
  <c r="N1939" i="17"/>
  <c r="N1940" i="17"/>
  <c r="N1941" i="17"/>
  <c r="N1942" i="17"/>
  <c r="N1943" i="17"/>
  <c r="O1939" i="17"/>
  <c r="O1940" i="17"/>
  <c r="O1941" i="17"/>
  <c r="O1942" i="17"/>
  <c r="O1943" i="17"/>
  <c r="Q1939" i="17"/>
  <c r="Q1940" i="17"/>
  <c r="Q1941" i="17"/>
  <c r="Q1942" i="17"/>
  <c r="Q1943" i="17"/>
  <c r="S1939" i="17"/>
  <c r="S1940" i="17"/>
  <c r="S1941" i="17"/>
  <c r="S1942" i="17"/>
  <c r="S1943" i="17"/>
  <c r="T1939" i="17"/>
  <c r="T1940" i="17"/>
  <c r="T1941" i="17"/>
  <c r="T1942" i="17"/>
  <c r="T1943" i="17"/>
  <c r="U1939" i="17"/>
  <c r="U1940" i="17"/>
  <c r="U1941" i="17"/>
  <c r="U1942" i="17"/>
  <c r="U1943" i="17"/>
  <c r="V1939" i="17"/>
  <c r="V1940" i="17"/>
  <c r="V1941" i="17"/>
  <c r="V1942" i="17"/>
  <c r="V1943" i="17"/>
  <c r="W1939" i="17"/>
  <c r="W1940" i="17"/>
  <c r="W1941" i="17"/>
  <c r="W1942" i="17"/>
  <c r="W1943" i="17"/>
  <c r="H1914" i="17"/>
  <c r="H1915" i="17"/>
  <c r="H1916" i="17"/>
  <c r="H1917" i="17"/>
  <c r="H1918" i="17"/>
  <c r="H1919" i="17"/>
  <c r="H1920" i="17"/>
  <c r="H1921" i="17"/>
  <c r="H1922" i="17"/>
  <c r="H1923" i="17"/>
  <c r="H1924" i="17"/>
  <c r="H1925" i="17"/>
  <c r="H1926" i="17"/>
  <c r="H1927" i="17"/>
  <c r="H1928" i="17"/>
  <c r="H1929" i="17"/>
  <c r="H1930" i="17"/>
  <c r="H1931" i="17"/>
  <c r="H1932" i="17"/>
  <c r="H1933" i="17"/>
  <c r="H1934" i="17"/>
  <c r="H1935" i="17"/>
  <c r="H1936" i="17"/>
  <c r="H1937" i="17"/>
  <c r="H1938"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J1914" i="17"/>
  <c r="J1915" i="17"/>
  <c r="J1916" i="17"/>
  <c r="J1917" i="17"/>
  <c r="J1918" i="17"/>
  <c r="J1919" i="17"/>
  <c r="J1920" i="17"/>
  <c r="J1921" i="17"/>
  <c r="J1922" i="17"/>
  <c r="J1923" i="17"/>
  <c r="J1924" i="17"/>
  <c r="J1925" i="17"/>
  <c r="J1926" i="17"/>
  <c r="J1927" i="17"/>
  <c r="J1928" i="17"/>
  <c r="J1929" i="17"/>
  <c r="J1930" i="17"/>
  <c r="J1931" i="17"/>
  <c r="J1932" i="17"/>
  <c r="J1933" i="17"/>
  <c r="J1934" i="17"/>
  <c r="J1935" i="17"/>
  <c r="J1936" i="17"/>
  <c r="J1937" i="17"/>
  <c r="J1938" i="17"/>
  <c r="K1914" i="17"/>
  <c r="K1915" i="17"/>
  <c r="K1916" i="17"/>
  <c r="K1917" i="17"/>
  <c r="K1918" i="17"/>
  <c r="K1919" i="17"/>
  <c r="K1920" i="17"/>
  <c r="K1921" i="17"/>
  <c r="K1922" i="17"/>
  <c r="K1923" i="17"/>
  <c r="K1924" i="17"/>
  <c r="K1925" i="17"/>
  <c r="K1926" i="17"/>
  <c r="K1927" i="17"/>
  <c r="K1928" i="17"/>
  <c r="K1929" i="17"/>
  <c r="K1930" i="17"/>
  <c r="K1931" i="17"/>
  <c r="K1932" i="17"/>
  <c r="K1933" i="17"/>
  <c r="K1934" i="17"/>
  <c r="K1935" i="17"/>
  <c r="K1936" i="17"/>
  <c r="K1937" i="17"/>
  <c r="K1938" i="17"/>
  <c r="N1914" i="17"/>
  <c r="N1915" i="17"/>
  <c r="N1916" i="17"/>
  <c r="N1917" i="17"/>
  <c r="N1918" i="17"/>
  <c r="N1919" i="17"/>
  <c r="N1920" i="17"/>
  <c r="N1921" i="17"/>
  <c r="N1922" i="17"/>
  <c r="N1923" i="17"/>
  <c r="N1924" i="17"/>
  <c r="N1925" i="17"/>
  <c r="N1926" i="17"/>
  <c r="N1927" i="17"/>
  <c r="N1928" i="17"/>
  <c r="N1929" i="17"/>
  <c r="N1930" i="17"/>
  <c r="N1931" i="17"/>
  <c r="N1932" i="17"/>
  <c r="N1933" i="17"/>
  <c r="N1934" i="17"/>
  <c r="N1935" i="17"/>
  <c r="N1936" i="17"/>
  <c r="N1937" i="17"/>
  <c r="N1938" i="17"/>
  <c r="O1914" i="17"/>
  <c r="O1915" i="17"/>
  <c r="O1916" i="17"/>
  <c r="O1917" i="17"/>
  <c r="O1918" i="17"/>
  <c r="O1919" i="17"/>
  <c r="O1920" i="17"/>
  <c r="O1921" i="17"/>
  <c r="O1922" i="17"/>
  <c r="O1923" i="17"/>
  <c r="O1924" i="17"/>
  <c r="O1925" i="17"/>
  <c r="O1926" i="17"/>
  <c r="O1927" i="17"/>
  <c r="O1928" i="17"/>
  <c r="O1929" i="17"/>
  <c r="O1930" i="17"/>
  <c r="O1931" i="17"/>
  <c r="O1932" i="17"/>
  <c r="O1933" i="17"/>
  <c r="O1934" i="17"/>
  <c r="O1935" i="17"/>
  <c r="O1936" i="17"/>
  <c r="O1937" i="17"/>
  <c r="O1938" i="17"/>
  <c r="Q1914" i="17"/>
  <c r="Q1915" i="17"/>
  <c r="Q1916" i="17"/>
  <c r="Q1917" i="17"/>
  <c r="Q1918" i="17"/>
  <c r="Q1919" i="17"/>
  <c r="Q1920" i="17"/>
  <c r="Q1921" i="17"/>
  <c r="Q1922" i="17"/>
  <c r="Q1923" i="17"/>
  <c r="Q1924" i="17"/>
  <c r="Q1925" i="17"/>
  <c r="Q1926" i="17"/>
  <c r="Q1927" i="17"/>
  <c r="Q1928" i="17"/>
  <c r="Q1929" i="17"/>
  <c r="Q1930" i="17"/>
  <c r="Q1931" i="17"/>
  <c r="Q1932" i="17"/>
  <c r="Q1933" i="17"/>
  <c r="Q1934" i="17"/>
  <c r="Q1935" i="17"/>
  <c r="Q1936" i="17"/>
  <c r="Q1937" i="17"/>
  <c r="Q1938" i="17"/>
  <c r="S1914" i="17"/>
  <c r="S1915" i="17"/>
  <c r="S1916" i="17"/>
  <c r="S1917" i="17"/>
  <c r="S1918" i="17"/>
  <c r="S1919" i="17"/>
  <c r="S1920" i="17"/>
  <c r="S1921" i="17"/>
  <c r="S1922" i="17"/>
  <c r="S1923" i="17"/>
  <c r="S1924" i="17"/>
  <c r="S1925" i="17"/>
  <c r="S1926" i="17"/>
  <c r="S1927" i="17"/>
  <c r="S1928" i="17"/>
  <c r="S1929" i="17"/>
  <c r="S1930" i="17"/>
  <c r="S1931" i="17"/>
  <c r="S1932" i="17"/>
  <c r="S1933" i="17"/>
  <c r="S1934" i="17"/>
  <c r="S1935" i="17"/>
  <c r="S1936" i="17"/>
  <c r="S1937" i="17"/>
  <c r="S1938" i="17"/>
  <c r="T1914" i="17"/>
  <c r="T1915" i="17"/>
  <c r="T1916" i="17"/>
  <c r="T1917" i="17"/>
  <c r="T1918" i="17"/>
  <c r="T1919" i="17"/>
  <c r="T1920" i="17"/>
  <c r="T1921" i="17"/>
  <c r="T1922" i="17"/>
  <c r="T1923" i="17"/>
  <c r="T1924" i="17"/>
  <c r="T1925" i="17"/>
  <c r="T1926" i="17"/>
  <c r="T1927" i="17"/>
  <c r="T1928" i="17"/>
  <c r="T1929" i="17"/>
  <c r="T1930" i="17"/>
  <c r="T1931" i="17"/>
  <c r="T1932" i="17"/>
  <c r="T1933" i="17"/>
  <c r="T1934" i="17"/>
  <c r="T1935" i="17"/>
  <c r="T1936" i="17"/>
  <c r="T1937" i="17"/>
  <c r="T1938" i="17"/>
  <c r="U1914" i="17"/>
  <c r="U1915" i="17"/>
  <c r="U1916" i="17"/>
  <c r="U1917" i="17"/>
  <c r="U1918" i="17"/>
  <c r="U1919" i="17"/>
  <c r="U1920" i="17"/>
  <c r="U1921" i="17"/>
  <c r="U1922" i="17"/>
  <c r="U1923" i="17"/>
  <c r="U1924" i="17"/>
  <c r="U1925" i="17"/>
  <c r="U1926" i="17"/>
  <c r="U1927" i="17"/>
  <c r="U1928" i="17"/>
  <c r="U1929" i="17"/>
  <c r="U1930" i="17"/>
  <c r="U1931" i="17"/>
  <c r="U1932" i="17"/>
  <c r="U1933" i="17"/>
  <c r="U1934" i="17"/>
  <c r="U1935" i="17"/>
  <c r="U1936" i="17"/>
  <c r="U1937" i="17"/>
  <c r="U1938" i="17"/>
  <c r="V1914" i="17"/>
  <c r="V1915" i="17"/>
  <c r="V1916" i="17"/>
  <c r="V1917" i="17"/>
  <c r="V1918" i="17"/>
  <c r="V1919" i="17"/>
  <c r="V1920" i="17"/>
  <c r="V1921" i="17"/>
  <c r="V1922" i="17"/>
  <c r="V1923" i="17"/>
  <c r="V1924" i="17"/>
  <c r="V1925" i="17"/>
  <c r="V1926" i="17"/>
  <c r="V1927" i="17"/>
  <c r="V1928" i="17"/>
  <c r="V1929" i="17"/>
  <c r="V1930" i="17"/>
  <c r="V1931" i="17"/>
  <c r="V1932" i="17"/>
  <c r="V1933" i="17"/>
  <c r="V1934" i="17"/>
  <c r="V1935" i="17"/>
  <c r="V1936" i="17"/>
  <c r="V1937" i="17"/>
  <c r="V1938" i="17"/>
  <c r="W1914" i="17"/>
  <c r="W1915" i="17"/>
  <c r="W1916" i="17"/>
  <c r="W1917" i="17"/>
  <c r="W1918" i="17"/>
  <c r="W1919" i="17"/>
  <c r="W1920" i="17"/>
  <c r="W1921" i="17"/>
  <c r="W1922" i="17"/>
  <c r="W1923" i="17"/>
  <c r="W1924" i="17"/>
  <c r="W1925" i="17"/>
  <c r="W1926" i="17"/>
  <c r="W1927" i="17"/>
  <c r="W1928" i="17"/>
  <c r="W1929" i="17"/>
  <c r="W1930" i="17"/>
  <c r="W1931" i="17"/>
  <c r="W1932" i="17"/>
  <c r="W1933" i="17"/>
  <c r="W1934" i="17"/>
  <c r="W1935" i="17"/>
  <c r="W1936" i="17"/>
  <c r="W1937" i="17"/>
  <c r="W1938" i="17"/>
  <c r="H1886" i="17"/>
  <c r="H1887" i="17"/>
  <c r="H1888" i="17"/>
  <c r="H1889" i="17"/>
  <c r="H1890" i="17"/>
  <c r="H1891" i="17"/>
  <c r="H1892" i="17"/>
  <c r="H1893" i="17"/>
  <c r="H1894" i="17"/>
  <c r="H1895" i="17"/>
  <c r="H1896" i="17"/>
  <c r="H1897" i="17"/>
  <c r="H1898" i="17"/>
  <c r="H1899" i="17"/>
  <c r="H1900" i="17"/>
  <c r="H1901" i="17"/>
  <c r="H1902" i="17"/>
  <c r="H1903" i="17"/>
  <c r="H1904" i="17"/>
  <c r="H1905" i="17"/>
  <c r="H1906" i="17"/>
  <c r="H1907" i="17"/>
  <c r="H1908" i="17"/>
  <c r="H1909" i="17"/>
  <c r="H1910"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J1886" i="17"/>
  <c r="J1887" i="17"/>
  <c r="J1888" i="17"/>
  <c r="J1889" i="17"/>
  <c r="J1890" i="17"/>
  <c r="J1891" i="17"/>
  <c r="J1892" i="17"/>
  <c r="J1893" i="17"/>
  <c r="J1894" i="17"/>
  <c r="J1895" i="17"/>
  <c r="J1896" i="17"/>
  <c r="J1897" i="17"/>
  <c r="J1898" i="17"/>
  <c r="J1899" i="17"/>
  <c r="J1900" i="17"/>
  <c r="J1901" i="17"/>
  <c r="J1902" i="17"/>
  <c r="J1903" i="17"/>
  <c r="J1904" i="17"/>
  <c r="J1905" i="17"/>
  <c r="J1906" i="17"/>
  <c r="J1907" i="17"/>
  <c r="J1908" i="17"/>
  <c r="J1909" i="17"/>
  <c r="J1910" i="17"/>
  <c r="K1886" i="17"/>
  <c r="K1887" i="17"/>
  <c r="K1888" i="17"/>
  <c r="K1889" i="17"/>
  <c r="K1890" i="17"/>
  <c r="K1891" i="17"/>
  <c r="K1892" i="17"/>
  <c r="K1893" i="17"/>
  <c r="K1894" i="17"/>
  <c r="K1895" i="17"/>
  <c r="K1896" i="17"/>
  <c r="K1897" i="17"/>
  <c r="K1898" i="17"/>
  <c r="K1899" i="17"/>
  <c r="K1900" i="17"/>
  <c r="K1901" i="17"/>
  <c r="K1902" i="17"/>
  <c r="K1903" i="17"/>
  <c r="K1904" i="17"/>
  <c r="K1905" i="17"/>
  <c r="K1906" i="17"/>
  <c r="K1907" i="17"/>
  <c r="K1908" i="17"/>
  <c r="K1909" i="17"/>
  <c r="K1910" i="17"/>
  <c r="N1886" i="17"/>
  <c r="N1887" i="17"/>
  <c r="N1888" i="17"/>
  <c r="N1889" i="17"/>
  <c r="N1890" i="17"/>
  <c r="N1891" i="17"/>
  <c r="N1892" i="17"/>
  <c r="N1893" i="17"/>
  <c r="N1894" i="17"/>
  <c r="N1895" i="17"/>
  <c r="N1896" i="17"/>
  <c r="N1897" i="17"/>
  <c r="N1898" i="17"/>
  <c r="N1899" i="17"/>
  <c r="N1900" i="17"/>
  <c r="N1901" i="17"/>
  <c r="N1902" i="17"/>
  <c r="N1903" i="17"/>
  <c r="N1904" i="17"/>
  <c r="N1905" i="17"/>
  <c r="N1906" i="17"/>
  <c r="N1907" i="17"/>
  <c r="N1908" i="17"/>
  <c r="N1909" i="17"/>
  <c r="N1910" i="17"/>
  <c r="O1886" i="17"/>
  <c r="O1887" i="17"/>
  <c r="O1888" i="17"/>
  <c r="O1889" i="17"/>
  <c r="O1890" i="17"/>
  <c r="O1891" i="17"/>
  <c r="O1892" i="17"/>
  <c r="O1893" i="17"/>
  <c r="O1894" i="17"/>
  <c r="O1895" i="17"/>
  <c r="O1896" i="17"/>
  <c r="O1897" i="17"/>
  <c r="O1898" i="17"/>
  <c r="O1899" i="17"/>
  <c r="O1900" i="17"/>
  <c r="O1901" i="17"/>
  <c r="O1902" i="17"/>
  <c r="O1903" i="17"/>
  <c r="O1904" i="17"/>
  <c r="O1905" i="17"/>
  <c r="O1906" i="17"/>
  <c r="O1907" i="17"/>
  <c r="O1908" i="17"/>
  <c r="O1909" i="17"/>
  <c r="O1910" i="17"/>
  <c r="Q1886" i="17"/>
  <c r="Q1887" i="17"/>
  <c r="Q1888" i="17"/>
  <c r="Q1889" i="17"/>
  <c r="Q1890" i="17"/>
  <c r="Q1891" i="17"/>
  <c r="Q1892" i="17"/>
  <c r="Q1893" i="17"/>
  <c r="Q1894" i="17"/>
  <c r="Q1895" i="17"/>
  <c r="Q1896" i="17"/>
  <c r="Q1897" i="17"/>
  <c r="Q1898" i="17"/>
  <c r="Q1899" i="17"/>
  <c r="Q1900" i="17"/>
  <c r="Q1901" i="17"/>
  <c r="Q1902" i="17"/>
  <c r="Q1903" i="17"/>
  <c r="Q1904" i="17"/>
  <c r="Q1905" i="17"/>
  <c r="Q1906" i="17"/>
  <c r="Q1907" i="17"/>
  <c r="Q1908" i="17"/>
  <c r="Q1909" i="17"/>
  <c r="Q1910" i="17"/>
  <c r="S1886" i="17"/>
  <c r="S1887" i="17"/>
  <c r="S1888" i="17"/>
  <c r="S1889" i="17"/>
  <c r="S1890" i="17"/>
  <c r="S1891" i="17"/>
  <c r="S1892" i="17"/>
  <c r="S1893" i="17"/>
  <c r="S1894" i="17"/>
  <c r="S1895" i="17"/>
  <c r="S1896" i="17"/>
  <c r="S1897" i="17"/>
  <c r="S1898" i="17"/>
  <c r="S1899" i="17"/>
  <c r="S1900" i="17"/>
  <c r="S1901" i="17"/>
  <c r="S1902" i="17"/>
  <c r="S1903" i="17"/>
  <c r="S1904" i="17"/>
  <c r="S1905" i="17"/>
  <c r="S1906" i="17"/>
  <c r="S1907" i="17"/>
  <c r="S1908" i="17"/>
  <c r="S1909" i="17"/>
  <c r="S1910" i="17"/>
  <c r="T1886" i="17"/>
  <c r="T1887" i="17"/>
  <c r="T1888" i="17"/>
  <c r="T1889" i="17"/>
  <c r="T1890" i="17"/>
  <c r="T1891" i="17"/>
  <c r="T1892" i="17"/>
  <c r="T1893" i="17"/>
  <c r="T1894" i="17"/>
  <c r="T1895" i="17"/>
  <c r="T1896" i="17"/>
  <c r="T1897" i="17"/>
  <c r="T1898" i="17"/>
  <c r="T1899" i="17"/>
  <c r="T1900" i="17"/>
  <c r="T1901" i="17"/>
  <c r="T1902" i="17"/>
  <c r="T1903" i="17"/>
  <c r="T1904" i="17"/>
  <c r="T1905" i="17"/>
  <c r="T1906" i="17"/>
  <c r="T1907" i="17"/>
  <c r="T1908" i="17"/>
  <c r="T1909" i="17"/>
  <c r="T1910" i="17"/>
  <c r="U1886" i="17"/>
  <c r="U1887" i="17"/>
  <c r="U1888" i="17"/>
  <c r="U1889" i="17"/>
  <c r="U1890" i="17"/>
  <c r="U1891" i="17"/>
  <c r="U1892" i="17"/>
  <c r="U1893" i="17"/>
  <c r="U1894" i="17"/>
  <c r="U1895" i="17"/>
  <c r="U1896" i="17"/>
  <c r="U1897" i="17"/>
  <c r="U1898" i="17"/>
  <c r="U1899" i="17"/>
  <c r="U1900" i="17"/>
  <c r="U1901" i="17"/>
  <c r="U1902" i="17"/>
  <c r="U1903" i="17"/>
  <c r="U1904" i="17"/>
  <c r="U1905" i="17"/>
  <c r="U1906" i="17"/>
  <c r="U1907" i="17"/>
  <c r="U1908" i="17"/>
  <c r="U1909" i="17"/>
  <c r="U1910" i="17"/>
  <c r="V1886" i="17"/>
  <c r="V1887" i="17"/>
  <c r="V1888" i="17"/>
  <c r="V1889" i="17"/>
  <c r="V1890" i="17"/>
  <c r="V1891" i="17"/>
  <c r="V1892" i="17"/>
  <c r="V1893" i="17"/>
  <c r="V1894" i="17"/>
  <c r="V1895" i="17"/>
  <c r="V1896" i="17"/>
  <c r="V1897" i="17"/>
  <c r="V1898" i="17"/>
  <c r="V1899" i="17"/>
  <c r="V1900" i="17"/>
  <c r="V1901" i="17"/>
  <c r="V1902" i="17"/>
  <c r="V1903" i="17"/>
  <c r="V1904" i="17"/>
  <c r="V1905" i="17"/>
  <c r="V1906" i="17"/>
  <c r="V1907" i="17"/>
  <c r="V1908" i="17"/>
  <c r="V1909" i="17"/>
  <c r="V1910" i="17"/>
  <c r="W1886" i="17"/>
  <c r="W1887" i="17"/>
  <c r="W1888" i="17"/>
  <c r="W1889" i="17"/>
  <c r="W1890" i="17"/>
  <c r="W1891" i="17"/>
  <c r="W1892" i="17"/>
  <c r="W1893" i="17"/>
  <c r="W1894" i="17"/>
  <c r="W1895" i="17"/>
  <c r="W1896" i="17"/>
  <c r="W1897" i="17"/>
  <c r="W1898" i="17"/>
  <c r="W1899" i="17"/>
  <c r="W1900" i="17"/>
  <c r="W1901" i="17"/>
  <c r="W1902" i="17"/>
  <c r="W1903" i="17"/>
  <c r="W1904" i="17"/>
  <c r="W1905" i="17"/>
  <c r="W1906" i="17"/>
  <c r="W1907" i="17"/>
  <c r="W1908" i="17"/>
  <c r="W1909" i="17"/>
  <c r="W1910" i="17"/>
  <c r="H1877" i="17"/>
  <c r="H1878" i="17"/>
  <c r="H1879" i="17"/>
  <c r="H1880" i="17"/>
  <c r="H1881" i="17"/>
  <c r="H1882" i="17"/>
  <c r="H1883" i="17"/>
  <c r="H1884" i="17"/>
  <c r="H1885" i="17"/>
  <c r="H1911" i="17"/>
  <c r="H1912" i="17"/>
  <c r="H1913" i="17"/>
  <c r="I1877" i="17"/>
  <c r="I1878" i="17"/>
  <c r="I1879" i="17"/>
  <c r="I1880" i="17"/>
  <c r="I1881" i="17"/>
  <c r="I1882" i="17"/>
  <c r="I1883" i="17"/>
  <c r="I1884" i="17"/>
  <c r="I1885" i="17"/>
  <c r="I1911" i="17"/>
  <c r="I1912" i="17"/>
  <c r="I1913" i="17"/>
  <c r="J1877" i="17"/>
  <c r="J1878" i="17"/>
  <c r="J1879" i="17"/>
  <c r="J1880" i="17"/>
  <c r="J1881" i="17"/>
  <c r="J1882" i="17"/>
  <c r="J1883" i="17"/>
  <c r="J1884" i="17"/>
  <c r="J1885" i="17"/>
  <c r="J1911" i="17"/>
  <c r="J1912" i="17"/>
  <c r="J1913" i="17"/>
  <c r="K1877" i="17"/>
  <c r="K1878" i="17"/>
  <c r="K1879" i="17"/>
  <c r="K1880" i="17"/>
  <c r="K1881" i="17"/>
  <c r="K1882" i="17"/>
  <c r="K1883" i="17"/>
  <c r="K1884" i="17"/>
  <c r="K1885" i="17"/>
  <c r="K1911" i="17"/>
  <c r="K1912" i="17"/>
  <c r="K1913" i="17"/>
  <c r="N1877" i="17"/>
  <c r="N1878" i="17"/>
  <c r="N1879" i="17"/>
  <c r="N1880" i="17"/>
  <c r="N1881" i="17"/>
  <c r="N1882" i="17"/>
  <c r="N1883" i="17"/>
  <c r="N1884" i="17"/>
  <c r="N1885" i="17"/>
  <c r="N1911" i="17"/>
  <c r="N1912" i="17"/>
  <c r="N1913" i="17"/>
  <c r="O1877" i="17"/>
  <c r="O1878" i="17"/>
  <c r="O1879" i="17"/>
  <c r="O1880" i="17"/>
  <c r="O1881" i="17"/>
  <c r="O1882" i="17"/>
  <c r="O1883" i="17"/>
  <c r="O1884" i="17"/>
  <c r="O1885" i="17"/>
  <c r="O1911" i="17"/>
  <c r="O1912" i="17"/>
  <c r="O1913" i="17"/>
  <c r="Q1877" i="17"/>
  <c r="Q1878" i="17"/>
  <c r="Q1879" i="17"/>
  <c r="Q1880" i="17"/>
  <c r="Q1881" i="17"/>
  <c r="Q1882" i="17"/>
  <c r="Q1883" i="17"/>
  <c r="Q1884" i="17"/>
  <c r="Q1885" i="17"/>
  <c r="Q1911" i="17"/>
  <c r="Q1912" i="17"/>
  <c r="Q1913" i="17"/>
  <c r="S1877" i="17"/>
  <c r="S1878" i="17"/>
  <c r="S1879" i="17"/>
  <c r="S1880" i="17"/>
  <c r="S1881" i="17"/>
  <c r="S1882" i="17"/>
  <c r="S1883" i="17"/>
  <c r="S1884" i="17"/>
  <c r="S1885" i="17"/>
  <c r="S1911" i="17"/>
  <c r="S1912" i="17"/>
  <c r="S1913" i="17"/>
  <c r="T1877" i="17"/>
  <c r="T1878" i="17"/>
  <c r="T1879" i="17"/>
  <c r="T1880" i="17"/>
  <c r="T1881" i="17"/>
  <c r="T1882" i="17"/>
  <c r="T1883" i="17"/>
  <c r="T1884" i="17"/>
  <c r="T1885" i="17"/>
  <c r="T1911" i="17"/>
  <c r="T1912" i="17"/>
  <c r="T1913" i="17"/>
  <c r="U1877" i="17"/>
  <c r="U1878" i="17"/>
  <c r="U1879" i="17"/>
  <c r="U1880" i="17"/>
  <c r="U1881" i="17"/>
  <c r="U1882" i="17"/>
  <c r="U1883" i="17"/>
  <c r="U1884" i="17"/>
  <c r="U1885" i="17"/>
  <c r="U1911" i="17"/>
  <c r="U1912" i="17"/>
  <c r="U1913" i="17"/>
  <c r="V1877" i="17"/>
  <c r="V1878" i="17"/>
  <c r="V1879" i="17"/>
  <c r="V1880" i="17"/>
  <c r="V1881" i="17"/>
  <c r="V1882" i="17"/>
  <c r="V1883" i="17"/>
  <c r="V1884" i="17"/>
  <c r="V1885" i="17"/>
  <c r="V1911" i="17"/>
  <c r="V1912" i="17"/>
  <c r="V1913" i="17"/>
  <c r="W1877" i="17"/>
  <c r="W1878" i="17"/>
  <c r="W1879" i="17"/>
  <c r="W1880" i="17"/>
  <c r="W1881" i="17"/>
  <c r="W1882" i="17"/>
  <c r="W1883" i="17"/>
  <c r="W1884" i="17"/>
  <c r="W1885" i="17"/>
  <c r="W1911" i="17"/>
  <c r="W1912" i="17"/>
  <c r="W1913" i="17"/>
  <c r="H1865" i="17"/>
  <c r="H1866" i="17"/>
  <c r="H1867" i="17"/>
  <c r="I1865" i="17"/>
  <c r="I1866" i="17"/>
  <c r="I1867" i="17"/>
  <c r="J1865" i="17"/>
  <c r="J1866" i="17"/>
  <c r="J1867" i="17"/>
  <c r="K1865" i="17"/>
  <c r="K1866" i="17"/>
  <c r="K1867" i="17"/>
  <c r="N1865" i="17"/>
  <c r="N1866" i="17"/>
  <c r="N1867" i="17"/>
  <c r="O1865" i="17"/>
  <c r="O1866" i="17"/>
  <c r="O1867" i="17"/>
  <c r="Q1865" i="17"/>
  <c r="Q1866" i="17"/>
  <c r="Q1867" i="17"/>
  <c r="S1865" i="17"/>
  <c r="S1866" i="17"/>
  <c r="S1867" i="17"/>
  <c r="T1865" i="17"/>
  <c r="T1866" i="17"/>
  <c r="T1867" i="17"/>
  <c r="U1865" i="17"/>
  <c r="U1866" i="17"/>
  <c r="U1867" i="17"/>
  <c r="V1865" i="17"/>
  <c r="V1866" i="17"/>
  <c r="V1867" i="17"/>
  <c r="W1865" i="17"/>
  <c r="W1866" i="17"/>
  <c r="W1867" i="17"/>
  <c r="H1845" i="17"/>
  <c r="H1846" i="17"/>
  <c r="H1847" i="17"/>
  <c r="H1848" i="17"/>
  <c r="H1849" i="17"/>
  <c r="H1850" i="17"/>
  <c r="H1851" i="17"/>
  <c r="H1852" i="17"/>
  <c r="H1853" i="17"/>
  <c r="H1854" i="17"/>
  <c r="H1855" i="17"/>
  <c r="H1856" i="17"/>
  <c r="H1857" i="17"/>
  <c r="H1858" i="17"/>
  <c r="H1859" i="17"/>
  <c r="H1860" i="17"/>
  <c r="I1845" i="17"/>
  <c r="I1846" i="17"/>
  <c r="I1847" i="17"/>
  <c r="I1848" i="17"/>
  <c r="I1849" i="17"/>
  <c r="I1850" i="17"/>
  <c r="I1851" i="17"/>
  <c r="I1852" i="17"/>
  <c r="I1853" i="17"/>
  <c r="I1854" i="17"/>
  <c r="I1855" i="17"/>
  <c r="I1856" i="17"/>
  <c r="I1857" i="17"/>
  <c r="I1858" i="17"/>
  <c r="I1859" i="17"/>
  <c r="I1860" i="17"/>
  <c r="J1845" i="17"/>
  <c r="J1846" i="17"/>
  <c r="J1847" i="17"/>
  <c r="J1848" i="17"/>
  <c r="J1849" i="17"/>
  <c r="J1850" i="17"/>
  <c r="J1851" i="17"/>
  <c r="J1852" i="17"/>
  <c r="J1853" i="17"/>
  <c r="J1854" i="17"/>
  <c r="J1855" i="17"/>
  <c r="J1856" i="17"/>
  <c r="J1857" i="17"/>
  <c r="J1858" i="17"/>
  <c r="J1859" i="17"/>
  <c r="J1860" i="17"/>
  <c r="K1845" i="17"/>
  <c r="K1846" i="17"/>
  <c r="K1847" i="17"/>
  <c r="K1848" i="17"/>
  <c r="K1849" i="17"/>
  <c r="K1850" i="17"/>
  <c r="K1851" i="17"/>
  <c r="K1852" i="17"/>
  <c r="K1853" i="17"/>
  <c r="K1854" i="17"/>
  <c r="K1855" i="17"/>
  <c r="K1856" i="17"/>
  <c r="K1857" i="17"/>
  <c r="K1858" i="17"/>
  <c r="K1859" i="17"/>
  <c r="K1860" i="17"/>
  <c r="N1845" i="17"/>
  <c r="N1846" i="17"/>
  <c r="N1847" i="17"/>
  <c r="N1848" i="17"/>
  <c r="N1849" i="17"/>
  <c r="N1850" i="17"/>
  <c r="N1851" i="17"/>
  <c r="N1852" i="17"/>
  <c r="N1853" i="17"/>
  <c r="N1854" i="17"/>
  <c r="N1855" i="17"/>
  <c r="N1856" i="17"/>
  <c r="N1857" i="17"/>
  <c r="N1858" i="17"/>
  <c r="N1859" i="17"/>
  <c r="N1860" i="17"/>
  <c r="O1845" i="17"/>
  <c r="O1846" i="17"/>
  <c r="O1847" i="17"/>
  <c r="P1847" i="17" s="1"/>
  <c r="O1848" i="17"/>
  <c r="O1849" i="17"/>
  <c r="O1850" i="17"/>
  <c r="O1851" i="17"/>
  <c r="O1852" i="17"/>
  <c r="O1853" i="17"/>
  <c r="O1854" i="17"/>
  <c r="O1855" i="17"/>
  <c r="P1855" i="17" s="1"/>
  <c r="O1856" i="17"/>
  <c r="P1856" i="17" s="1"/>
  <c r="O1857" i="17"/>
  <c r="O1858" i="17"/>
  <c r="O1859" i="17"/>
  <c r="O1860" i="17"/>
  <c r="P1860" i="17" s="1"/>
  <c r="P1845" i="17"/>
  <c r="P1846" i="17"/>
  <c r="Q1845" i="17"/>
  <c r="Q1846" i="17"/>
  <c r="Q1847" i="17"/>
  <c r="Q1848" i="17"/>
  <c r="Q1849" i="17"/>
  <c r="Q1850" i="17"/>
  <c r="Q1851" i="17"/>
  <c r="Q1852" i="17"/>
  <c r="Q1853" i="17"/>
  <c r="Q1854" i="17"/>
  <c r="Q1855" i="17"/>
  <c r="Q1856" i="17"/>
  <c r="Q1857" i="17"/>
  <c r="Q1858" i="17"/>
  <c r="Q1859" i="17"/>
  <c r="Q1860" i="17"/>
  <c r="S1845" i="17"/>
  <c r="S1846" i="17"/>
  <c r="S1847" i="17"/>
  <c r="S1848" i="17"/>
  <c r="S1849" i="17"/>
  <c r="S1850" i="17"/>
  <c r="S1851" i="17"/>
  <c r="S1852" i="17"/>
  <c r="S1853" i="17"/>
  <c r="S1854" i="17"/>
  <c r="S1855" i="17"/>
  <c r="S1856" i="17"/>
  <c r="S1857" i="17"/>
  <c r="S1858" i="17"/>
  <c r="S1859" i="17"/>
  <c r="S1860" i="17"/>
  <c r="T1845" i="17"/>
  <c r="T1846" i="17"/>
  <c r="T1847" i="17"/>
  <c r="T1848" i="17"/>
  <c r="T1849" i="17"/>
  <c r="T1850" i="17"/>
  <c r="T1851" i="17"/>
  <c r="T1852" i="17"/>
  <c r="T1853" i="17"/>
  <c r="T1854" i="17"/>
  <c r="T1855" i="17"/>
  <c r="T1856" i="17"/>
  <c r="T1857" i="17"/>
  <c r="T1858" i="17"/>
  <c r="T1859" i="17"/>
  <c r="T1860" i="17"/>
  <c r="U1845" i="17"/>
  <c r="U1846" i="17"/>
  <c r="U1847" i="17"/>
  <c r="U1848" i="17"/>
  <c r="U1849" i="17"/>
  <c r="U1850" i="17"/>
  <c r="U1851" i="17"/>
  <c r="U1852" i="17"/>
  <c r="U1853" i="17"/>
  <c r="U1854" i="17"/>
  <c r="U1855" i="17"/>
  <c r="U1856" i="17"/>
  <c r="U1857" i="17"/>
  <c r="U1858" i="17"/>
  <c r="U1859" i="17"/>
  <c r="U1860" i="17"/>
  <c r="V1845" i="17"/>
  <c r="V1846" i="17"/>
  <c r="V1847" i="17"/>
  <c r="V1848" i="17"/>
  <c r="V1849" i="17"/>
  <c r="V1850" i="17"/>
  <c r="V1851" i="17"/>
  <c r="V1852" i="17"/>
  <c r="V1853" i="17"/>
  <c r="V1854" i="17"/>
  <c r="V1855" i="17"/>
  <c r="V1856" i="17"/>
  <c r="V1857" i="17"/>
  <c r="V1858" i="17"/>
  <c r="V1859" i="17"/>
  <c r="V1860" i="17"/>
  <c r="W1845" i="17"/>
  <c r="W1846" i="17"/>
  <c r="W1847" i="17"/>
  <c r="W1848" i="17"/>
  <c r="W1849" i="17"/>
  <c r="W1850" i="17"/>
  <c r="W1851" i="17"/>
  <c r="W1852" i="17"/>
  <c r="W1853" i="17"/>
  <c r="W1854" i="17"/>
  <c r="W1855" i="17"/>
  <c r="W1856" i="17"/>
  <c r="W1857" i="17"/>
  <c r="W1858" i="17"/>
  <c r="W1859" i="17"/>
  <c r="W1860" i="17"/>
  <c r="H1837" i="17"/>
  <c r="H1838" i="17"/>
  <c r="H1839" i="17"/>
  <c r="H1840" i="17"/>
  <c r="H1841" i="17"/>
  <c r="H1842" i="17"/>
  <c r="H1843" i="17"/>
  <c r="H1844" i="17"/>
  <c r="H1861" i="17"/>
  <c r="H1862" i="17"/>
  <c r="H1863" i="17"/>
  <c r="H1864" i="17"/>
  <c r="I1837" i="17"/>
  <c r="I1838" i="17"/>
  <c r="I1839" i="17"/>
  <c r="I1840" i="17"/>
  <c r="I1841" i="17"/>
  <c r="I1842" i="17"/>
  <c r="I1843" i="17"/>
  <c r="I1844" i="17"/>
  <c r="I1861" i="17"/>
  <c r="I1862" i="17"/>
  <c r="I1863" i="17"/>
  <c r="I1864" i="17"/>
  <c r="J1837" i="17"/>
  <c r="J1838" i="17"/>
  <c r="J1839" i="17"/>
  <c r="J1840" i="17"/>
  <c r="J1841" i="17"/>
  <c r="J1842" i="17"/>
  <c r="J1843" i="17"/>
  <c r="J1844" i="17"/>
  <c r="J1861" i="17"/>
  <c r="J1862" i="17"/>
  <c r="J1863" i="17"/>
  <c r="J1864" i="17"/>
  <c r="K1837" i="17"/>
  <c r="K1838" i="17"/>
  <c r="K1839" i="17"/>
  <c r="K1840" i="17"/>
  <c r="K1841" i="17"/>
  <c r="K1842" i="17"/>
  <c r="K1843" i="17"/>
  <c r="K1844" i="17"/>
  <c r="K1861" i="17"/>
  <c r="K1862" i="17"/>
  <c r="K1863" i="17"/>
  <c r="K1864" i="17"/>
  <c r="N1837" i="17"/>
  <c r="N1838" i="17"/>
  <c r="N1839" i="17"/>
  <c r="N1840" i="17"/>
  <c r="N1841" i="17"/>
  <c r="N1842" i="17"/>
  <c r="N1843" i="17"/>
  <c r="N1844" i="17"/>
  <c r="N1861" i="17"/>
  <c r="N1862" i="17"/>
  <c r="N1863" i="17"/>
  <c r="N1864" i="17"/>
  <c r="O1837" i="17"/>
  <c r="O1838" i="17"/>
  <c r="O1839" i="17"/>
  <c r="O1840" i="17"/>
  <c r="O1841" i="17"/>
  <c r="O1842" i="17"/>
  <c r="O1843" i="17"/>
  <c r="O1844" i="17"/>
  <c r="O1861" i="17"/>
  <c r="O1862" i="17"/>
  <c r="O1863" i="17"/>
  <c r="O1864" i="17"/>
  <c r="Q1837" i="17"/>
  <c r="Q1838" i="17"/>
  <c r="Q1839" i="17"/>
  <c r="Q1840" i="17"/>
  <c r="Q1841" i="17"/>
  <c r="Q1842" i="17"/>
  <c r="Q1843" i="17"/>
  <c r="Q1844" i="17"/>
  <c r="Q1861" i="17"/>
  <c r="Q1862" i="17"/>
  <c r="Q1863" i="17"/>
  <c r="Q1864" i="17"/>
  <c r="S1837" i="17"/>
  <c r="S1838" i="17"/>
  <c r="S1839" i="17"/>
  <c r="S1840" i="17"/>
  <c r="S1841" i="17"/>
  <c r="S1842" i="17"/>
  <c r="S1843" i="17"/>
  <c r="S1844" i="17"/>
  <c r="S1861" i="17"/>
  <c r="S1862" i="17"/>
  <c r="S1863" i="17"/>
  <c r="S1864" i="17"/>
  <c r="T1837" i="17"/>
  <c r="T1838" i="17"/>
  <c r="T1839" i="17"/>
  <c r="T1840" i="17"/>
  <c r="T1841" i="17"/>
  <c r="T1842" i="17"/>
  <c r="T1843" i="17"/>
  <c r="T1844" i="17"/>
  <c r="T1861" i="17"/>
  <c r="T1862" i="17"/>
  <c r="T1863" i="17"/>
  <c r="T1864" i="17"/>
  <c r="U1837" i="17"/>
  <c r="U1838" i="17"/>
  <c r="U1839" i="17"/>
  <c r="U1840" i="17"/>
  <c r="U1841" i="17"/>
  <c r="U1842" i="17"/>
  <c r="U1843" i="17"/>
  <c r="U1844" i="17"/>
  <c r="U1861" i="17"/>
  <c r="U1862" i="17"/>
  <c r="U1863" i="17"/>
  <c r="U1864" i="17"/>
  <c r="V1837" i="17"/>
  <c r="V1838" i="17"/>
  <c r="V1839" i="17"/>
  <c r="V1840" i="17"/>
  <c r="V1841" i="17"/>
  <c r="V1842" i="17"/>
  <c r="V1843" i="17"/>
  <c r="V1844" i="17"/>
  <c r="V1861" i="17"/>
  <c r="V1862" i="17"/>
  <c r="V1863" i="17"/>
  <c r="V1864" i="17"/>
  <c r="W1837" i="17"/>
  <c r="W1838" i="17"/>
  <c r="W1839" i="17"/>
  <c r="W1840" i="17"/>
  <c r="W1841" i="17"/>
  <c r="W1842" i="17"/>
  <c r="W1843" i="17"/>
  <c r="W1844" i="17"/>
  <c r="W1861" i="17"/>
  <c r="W1862" i="17"/>
  <c r="W1863" i="17"/>
  <c r="W1864" i="17"/>
  <c r="H1868" i="17"/>
  <c r="H1869" i="17"/>
  <c r="H1870" i="17"/>
  <c r="H1871" i="17"/>
  <c r="H1872" i="17"/>
  <c r="H1873" i="17"/>
  <c r="H1874" i="17"/>
  <c r="H1875" i="17"/>
  <c r="H1876" i="17"/>
  <c r="I1868" i="17"/>
  <c r="I1869" i="17"/>
  <c r="I1870" i="17"/>
  <c r="I1871" i="17"/>
  <c r="I1872" i="17"/>
  <c r="I1873" i="17"/>
  <c r="I1874" i="17"/>
  <c r="I1875" i="17"/>
  <c r="I1876" i="17"/>
  <c r="J1868" i="17"/>
  <c r="J1869" i="17"/>
  <c r="J1870" i="17"/>
  <c r="J1871" i="17"/>
  <c r="J1872" i="17"/>
  <c r="J1873" i="17"/>
  <c r="J1874" i="17"/>
  <c r="J1875" i="17"/>
  <c r="J1876" i="17"/>
  <c r="K1868" i="17"/>
  <c r="K1869" i="17"/>
  <c r="K1870" i="17"/>
  <c r="K1871" i="17"/>
  <c r="K1872" i="17"/>
  <c r="K1873" i="17"/>
  <c r="K1874" i="17"/>
  <c r="K1875" i="17"/>
  <c r="K1876" i="17"/>
  <c r="N1868" i="17"/>
  <c r="N1869" i="17"/>
  <c r="N1870" i="17"/>
  <c r="N1871" i="17"/>
  <c r="N1872" i="17"/>
  <c r="N1873" i="17"/>
  <c r="N1874" i="17"/>
  <c r="N1875" i="17"/>
  <c r="N1876" i="17"/>
  <c r="O1868" i="17"/>
  <c r="O1869" i="17"/>
  <c r="O1870" i="17"/>
  <c r="O1871" i="17"/>
  <c r="O1872" i="17"/>
  <c r="O1873" i="17"/>
  <c r="O1874" i="17"/>
  <c r="O1875" i="17"/>
  <c r="O1876" i="17"/>
  <c r="Q1868" i="17"/>
  <c r="Q1869" i="17"/>
  <c r="Q1870" i="17"/>
  <c r="Q1871" i="17"/>
  <c r="Q1872" i="17"/>
  <c r="Q1873" i="17"/>
  <c r="Q1874" i="17"/>
  <c r="Q1875" i="17"/>
  <c r="Q1876" i="17"/>
  <c r="S1868" i="17"/>
  <c r="S1869" i="17"/>
  <c r="S1870" i="17"/>
  <c r="S1871" i="17"/>
  <c r="S1872" i="17"/>
  <c r="S1873" i="17"/>
  <c r="S1874" i="17"/>
  <c r="S1875" i="17"/>
  <c r="S1876" i="17"/>
  <c r="T1868" i="17"/>
  <c r="T1869" i="17"/>
  <c r="T1870" i="17"/>
  <c r="T1871" i="17"/>
  <c r="T1872" i="17"/>
  <c r="T1873" i="17"/>
  <c r="T1874" i="17"/>
  <c r="T1875" i="17"/>
  <c r="T1876" i="17"/>
  <c r="U1868" i="17"/>
  <c r="U1869" i="17"/>
  <c r="U1870" i="17"/>
  <c r="U1871" i="17"/>
  <c r="U1872" i="17"/>
  <c r="U1873" i="17"/>
  <c r="U1874" i="17"/>
  <c r="U1875" i="17"/>
  <c r="U1876" i="17"/>
  <c r="V1868" i="17"/>
  <c r="V1869" i="17"/>
  <c r="V1870" i="17"/>
  <c r="V1871" i="17"/>
  <c r="V1872" i="17"/>
  <c r="V1873" i="17"/>
  <c r="V1874" i="17"/>
  <c r="V1875" i="17"/>
  <c r="V1876" i="17"/>
  <c r="W1868" i="17"/>
  <c r="W1869" i="17"/>
  <c r="W1870" i="17"/>
  <c r="W1871" i="17"/>
  <c r="W1872" i="17"/>
  <c r="W1873" i="17"/>
  <c r="W1874" i="17"/>
  <c r="W1875" i="17"/>
  <c r="W1876" i="17"/>
  <c r="H1649" i="17"/>
  <c r="H1650" i="17"/>
  <c r="H1651" i="17"/>
  <c r="H1652" i="17"/>
  <c r="H1653" i="17"/>
  <c r="H1654" i="17"/>
  <c r="H1655" i="17"/>
  <c r="H1656" i="17"/>
  <c r="I1649" i="17"/>
  <c r="I1650" i="17"/>
  <c r="I1651" i="17"/>
  <c r="I1652" i="17"/>
  <c r="I1653" i="17"/>
  <c r="I1654" i="17"/>
  <c r="I1655" i="17"/>
  <c r="I1656" i="17"/>
  <c r="J1649" i="17"/>
  <c r="J1650" i="17"/>
  <c r="J1651" i="17"/>
  <c r="J1652" i="17"/>
  <c r="J1653" i="17"/>
  <c r="J1654" i="17"/>
  <c r="J1655" i="17"/>
  <c r="J1656" i="17"/>
  <c r="K1649" i="17"/>
  <c r="K1650" i="17"/>
  <c r="K1651" i="17"/>
  <c r="K1652" i="17"/>
  <c r="K1653" i="17"/>
  <c r="K1654" i="17"/>
  <c r="K1655" i="17"/>
  <c r="K1656" i="17"/>
  <c r="N1649" i="17"/>
  <c r="N1650" i="17"/>
  <c r="N1651" i="17"/>
  <c r="N1652" i="17"/>
  <c r="N1653" i="17"/>
  <c r="N1654" i="17"/>
  <c r="N1655" i="17"/>
  <c r="N1656" i="17"/>
  <c r="O1649" i="17"/>
  <c r="O1650" i="17"/>
  <c r="O1651" i="17"/>
  <c r="O1652" i="17"/>
  <c r="O1653" i="17"/>
  <c r="O1654" i="17"/>
  <c r="O1655" i="17"/>
  <c r="O1656" i="17"/>
  <c r="Q1649" i="17"/>
  <c r="Q1650" i="17"/>
  <c r="Q1651" i="17"/>
  <c r="Q1652" i="17"/>
  <c r="Q1653" i="17"/>
  <c r="Q1654" i="17"/>
  <c r="Q1655" i="17"/>
  <c r="Q1656" i="17"/>
  <c r="S1649" i="17"/>
  <c r="S1650" i="17"/>
  <c r="S1651" i="17"/>
  <c r="S1652" i="17"/>
  <c r="S1653" i="17"/>
  <c r="S1654" i="17"/>
  <c r="S1655" i="17"/>
  <c r="S1656" i="17"/>
  <c r="T1649" i="17"/>
  <c r="T1650" i="17"/>
  <c r="T1651" i="17"/>
  <c r="T1652" i="17"/>
  <c r="T1653" i="17"/>
  <c r="T1654" i="17"/>
  <c r="T1655" i="17"/>
  <c r="T1656" i="17"/>
  <c r="U1649" i="17"/>
  <c r="U1650" i="17"/>
  <c r="U1651" i="17"/>
  <c r="U1652" i="17"/>
  <c r="U1653" i="17"/>
  <c r="U1654" i="17"/>
  <c r="U1655" i="17"/>
  <c r="U1656" i="17"/>
  <c r="V1649" i="17"/>
  <c r="V1650" i="17"/>
  <c r="V1651" i="17"/>
  <c r="V1652" i="17"/>
  <c r="V1653" i="17"/>
  <c r="V1654" i="17"/>
  <c r="V1655" i="17"/>
  <c r="V1656" i="17"/>
  <c r="W1649" i="17"/>
  <c r="W1650" i="17"/>
  <c r="W1651" i="17"/>
  <c r="W1652" i="17"/>
  <c r="W1653" i="17"/>
  <c r="W1654" i="17"/>
  <c r="W1655" i="17"/>
  <c r="W1656" i="17"/>
  <c r="H2503" i="17"/>
  <c r="I2503" i="17"/>
  <c r="J2503" i="17"/>
  <c r="K2503" i="17"/>
  <c r="N2503" i="17"/>
  <c r="O2503" i="17"/>
  <c r="Q2503" i="17"/>
  <c r="S2503" i="17"/>
  <c r="T2503" i="17"/>
  <c r="U2503" i="17"/>
  <c r="V2503" i="17"/>
  <c r="W2503" i="17"/>
  <c r="H2502" i="17"/>
  <c r="I2502" i="17"/>
  <c r="J2502" i="17"/>
  <c r="K2502" i="17"/>
  <c r="N2502" i="17"/>
  <c r="O2502" i="17"/>
  <c r="Q2502" i="17"/>
  <c r="S2502" i="17"/>
  <c r="T2502" i="17"/>
  <c r="U2502" i="17"/>
  <c r="V2502" i="17"/>
  <c r="W2502" i="17"/>
  <c r="H2501" i="17"/>
  <c r="I2501" i="17"/>
  <c r="J2501" i="17"/>
  <c r="K2501" i="17"/>
  <c r="N2501" i="17"/>
  <c r="O2501" i="17"/>
  <c r="Q2501" i="17"/>
  <c r="S2501" i="17"/>
  <c r="T2501" i="17"/>
  <c r="U2501" i="17"/>
  <c r="V2501" i="17"/>
  <c r="W2501" i="17"/>
  <c r="H2500" i="17"/>
  <c r="I2500" i="17"/>
  <c r="J2500" i="17"/>
  <c r="K2500" i="17"/>
  <c r="N2500" i="17"/>
  <c r="O2500" i="17"/>
  <c r="Q2500" i="17"/>
  <c r="S2500" i="17"/>
  <c r="T2500" i="17"/>
  <c r="U2500" i="17"/>
  <c r="V2500" i="17"/>
  <c r="W2500" i="17"/>
  <c r="H2499" i="17"/>
  <c r="I2499" i="17"/>
  <c r="J2499" i="17"/>
  <c r="K2499" i="17"/>
  <c r="N2499" i="17"/>
  <c r="O2499" i="17"/>
  <c r="Q2499" i="17"/>
  <c r="S2499" i="17"/>
  <c r="T2499" i="17"/>
  <c r="U2499" i="17"/>
  <c r="V2499" i="17"/>
  <c r="W2499" i="17"/>
  <c r="H2498" i="17"/>
  <c r="I2498" i="17"/>
  <c r="J2498" i="17"/>
  <c r="K2498" i="17"/>
  <c r="N2498" i="17"/>
  <c r="O2498" i="17"/>
  <c r="Q2498" i="17"/>
  <c r="S2498" i="17"/>
  <c r="T2498" i="17"/>
  <c r="U2498" i="17"/>
  <c r="V2498" i="17"/>
  <c r="W2498" i="17"/>
  <c r="H2497" i="17"/>
  <c r="I2497" i="17"/>
  <c r="J2497" i="17"/>
  <c r="K2497" i="17"/>
  <c r="N2497" i="17"/>
  <c r="O2497" i="17"/>
  <c r="Q2497" i="17"/>
  <c r="S2497" i="17"/>
  <c r="T2497" i="17"/>
  <c r="U2497" i="17"/>
  <c r="V2497" i="17"/>
  <c r="W2497" i="17"/>
  <c r="H2491" i="17"/>
  <c r="I2491" i="17"/>
  <c r="J2491" i="17"/>
  <c r="K2491" i="17"/>
  <c r="N2491" i="17"/>
  <c r="O2491" i="17"/>
  <c r="Q2491" i="17"/>
  <c r="S2491" i="17"/>
  <c r="T2491" i="17"/>
  <c r="U2491" i="17"/>
  <c r="V2491" i="17"/>
  <c r="W2491" i="17"/>
  <c r="H2490" i="17"/>
  <c r="I2490" i="17"/>
  <c r="J2490" i="17"/>
  <c r="K2490" i="17"/>
  <c r="N2490" i="17"/>
  <c r="O2490" i="17"/>
  <c r="Q2490" i="17"/>
  <c r="S2490" i="17"/>
  <c r="T2490" i="17"/>
  <c r="U2490" i="17"/>
  <c r="V2490" i="17"/>
  <c r="W2490" i="17"/>
  <c r="H2489" i="17"/>
  <c r="I2489" i="17"/>
  <c r="J2489" i="17"/>
  <c r="K2489" i="17"/>
  <c r="N2489" i="17"/>
  <c r="O2489" i="17"/>
  <c r="Q2489" i="17"/>
  <c r="S2489" i="17"/>
  <c r="T2489" i="17"/>
  <c r="U2489" i="17"/>
  <c r="V2489" i="17"/>
  <c r="W2489" i="17"/>
  <c r="H2488" i="17"/>
  <c r="I2488" i="17"/>
  <c r="J2488" i="17"/>
  <c r="K2488" i="17"/>
  <c r="N2488" i="17"/>
  <c r="O2488" i="17"/>
  <c r="Q2488" i="17"/>
  <c r="S2488" i="17"/>
  <c r="T2488" i="17"/>
  <c r="U2488" i="17"/>
  <c r="V2488" i="17"/>
  <c r="W2488" i="17"/>
  <c r="H2487" i="17"/>
  <c r="I2487" i="17"/>
  <c r="J2487" i="17"/>
  <c r="K2487" i="17"/>
  <c r="N2487" i="17"/>
  <c r="O2487" i="17"/>
  <c r="Q2487" i="17"/>
  <c r="S2487" i="17"/>
  <c r="T2487" i="17"/>
  <c r="U2487" i="17"/>
  <c r="V2487" i="17"/>
  <c r="W2487" i="17"/>
  <c r="H2194" i="17"/>
  <c r="I2194" i="17"/>
  <c r="J2194" i="17"/>
  <c r="K2194" i="17"/>
  <c r="N2194" i="17"/>
  <c r="O2194" i="17"/>
  <c r="Q2194" i="17"/>
  <c r="S2194" i="17"/>
  <c r="T2194" i="17"/>
  <c r="U2194" i="17"/>
  <c r="V2194" i="17"/>
  <c r="W2194" i="17"/>
  <c r="H2183" i="17"/>
  <c r="H2184" i="17"/>
  <c r="H2185" i="17"/>
  <c r="H2186" i="17"/>
  <c r="H2187" i="17"/>
  <c r="H2188" i="17"/>
  <c r="H2189" i="17"/>
  <c r="H2190" i="17"/>
  <c r="H2191" i="17"/>
  <c r="I2183" i="17"/>
  <c r="I2184" i="17"/>
  <c r="I2185" i="17"/>
  <c r="I2186" i="17"/>
  <c r="I2187" i="17"/>
  <c r="I2188" i="17"/>
  <c r="I2189" i="17"/>
  <c r="I2190" i="17"/>
  <c r="I2191" i="17"/>
  <c r="J2183" i="17"/>
  <c r="J2184" i="17"/>
  <c r="J2185" i="17"/>
  <c r="J2186" i="17"/>
  <c r="J2187" i="17"/>
  <c r="J2188" i="17"/>
  <c r="J2189" i="17"/>
  <c r="J2190" i="17"/>
  <c r="J2191" i="17"/>
  <c r="K2183" i="17"/>
  <c r="K2184" i="17"/>
  <c r="K2185" i="17"/>
  <c r="K2186" i="17"/>
  <c r="K2187" i="17"/>
  <c r="K2188" i="17"/>
  <c r="K2189" i="17"/>
  <c r="K2190" i="17"/>
  <c r="K2191" i="17"/>
  <c r="N2183" i="17"/>
  <c r="N2184" i="17"/>
  <c r="N2185" i="17"/>
  <c r="N2186" i="17"/>
  <c r="N2187" i="17"/>
  <c r="N2188" i="17"/>
  <c r="N2189" i="17"/>
  <c r="N2190" i="17"/>
  <c r="N2191" i="17"/>
  <c r="O2183" i="17"/>
  <c r="O2184" i="17"/>
  <c r="O2185" i="17"/>
  <c r="O2186" i="17"/>
  <c r="O2187" i="17"/>
  <c r="O2188" i="17"/>
  <c r="O2189" i="17"/>
  <c r="O2190" i="17"/>
  <c r="O2191" i="17"/>
  <c r="Q2183" i="17"/>
  <c r="Q2184" i="17"/>
  <c r="Q2185" i="17"/>
  <c r="Q2186" i="17"/>
  <c r="Q2187" i="17"/>
  <c r="Q2188" i="17"/>
  <c r="Q2189" i="17"/>
  <c r="Q2190" i="17"/>
  <c r="Q2191" i="17"/>
  <c r="S2183" i="17"/>
  <c r="S2184" i="17"/>
  <c r="S2185" i="17"/>
  <c r="S2186" i="17"/>
  <c r="S2187" i="17"/>
  <c r="S2188" i="17"/>
  <c r="S2189" i="17"/>
  <c r="S2190" i="17"/>
  <c r="S2191" i="17"/>
  <c r="T2183" i="17"/>
  <c r="T2184" i="17"/>
  <c r="T2185" i="17"/>
  <c r="T2186" i="17"/>
  <c r="T2187" i="17"/>
  <c r="T2188" i="17"/>
  <c r="T2189" i="17"/>
  <c r="T2190" i="17"/>
  <c r="T2191" i="17"/>
  <c r="U2183" i="17"/>
  <c r="U2184" i="17"/>
  <c r="U2185" i="17"/>
  <c r="U2186" i="17"/>
  <c r="U2187" i="17"/>
  <c r="U2188" i="17"/>
  <c r="U2189" i="17"/>
  <c r="U2190" i="17"/>
  <c r="U2191" i="17"/>
  <c r="V2183" i="17"/>
  <c r="V2184" i="17"/>
  <c r="V2185" i="17"/>
  <c r="V2186" i="17"/>
  <c r="V2187" i="17"/>
  <c r="V2188" i="17"/>
  <c r="V2189" i="17"/>
  <c r="V2190" i="17"/>
  <c r="V2191" i="17"/>
  <c r="W2183" i="17"/>
  <c r="W2184" i="17"/>
  <c r="W2185" i="17"/>
  <c r="W2186" i="17"/>
  <c r="W2187" i="17"/>
  <c r="W2188" i="17"/>
  <c r="W2189" i="17"/>
  <c r="W2190" i="17"/>
  <c r="W2191" i="17"/>
  <c r="H2167" i="17"/>
  <c r="H2168" i="17"/>
  <c r="H2169" i="17"/>
  <c r="H2170" i="17"/>
  <c r="H2171" i="17"/>
  <c r="H2172" i="17"/>
  <c r="H2173" i="17"/>
  <c r="H2174" i="17"/>
  <c r="H2175" i="17"/>
  <c r="H2176" i="17"/>
  <c r="H2177" i="17"/>
  <c r="H2178" i="17"/>
  <c r="H2179" i="17"/>
  <c r="H2180" i="17"/>
  <c r="H2181" i="17"/>
  <c r="H2182" i="17"/>
  <c r="H2192" i="17"/>
  <c r="H2193" i="17"/>
  <c r="I2167" i="17"/>
  <c r="I2168" i="17"/>
  <c r="I2169" i="17"/>
  <c r="I2170" i="17"/>
  <c r="I2171" i="17"/>
  <c r="I2172" i="17"/>
  <c r="I2173" i="17"/>
  <c r="I2174" i="17"/>
  <c r="I2175" i="17"/>
  <c r="I2176" i="17"/>
  <c r="I2177" i="17"/>
  <c r="I2178" i="17"/>
  <c r="I2179" i="17"/>
  <c r="I2180" i="17"/>
  <c r="I2181" i="17"/>
  <c r="I2182" i="17"/>
  <c r="I2192" i="17"/>
  <c r="I2193" i="17"/>
  <c r="J2167" i="17"/>
  <c r="J2168" i="17"/>
  <c r="J2169" i="17"/>
  <c r="J2170" i="17"/>
  <c r="J2171" i="17"/>
  <c r="J2172" i="17"/>
  <c r="J2173" i="17"/>
  <c r="J2174" i="17"/>
  <c r="J2175" i="17"/>
  <c r="J2176" i="17"/>
  <c r="J2177" i="17"/>
  <c r="J2178" i="17"/>
  <c r="J2179" i="17"/>
  <c r="J2180" i="17"/>
  <c r="J2181" i="17"/>
  <c r="J2182" i="17"/>
  <c r="J2192" i="17"/>
  <c r="J2193" i="17"/>
  <c r="K2167" i="17"/>
  <c r="K2168" i="17"/>
  <c r="K2169" i="17"/>
  <c r="K2170" i="17"/>
  <c r="K2171" i="17"/>
  <c r="K2172" i="17"/>
  <c r="K2173" i="17"/>
  <c r="K2174" i="17"/>
  <c r="K2175" i="17"/>
  <c r="K2176" i="17"/>
  <c r="K2177" i="17"/>
  <c r="K2178" i="17"/>
  <c r="K2179" i="17"/>
  <c r="K2180" i="17"/>
  <c r="K2181" i="17"/>
  <c r="K2182" i="17"/>
  <c r="K2192" i="17"/>
  <c r="K2193" i="17"/>
  <c r="N2167" i="17"/>
  <c r="N2168" i="17"/>
  <c r="N2169" i="17"/>
  <c r="N2170" i="17"/>
  <c r="N2171" i="17"/>
  <c r="N2172" i="17"/>
  <c r="N2173" i="17"/>
  <c r="N2174" i="17"/>
  <c r="N2175" i="17"/>
  <c r="N2176" i="17"/>
  <c r="N2177" i="17"/>
  <c r="N2178" i="17"/>
  <c r="N2179" i="17"/>
  <c r="N2180" i="17"/>
  <c r="N2181" i="17"/>
  <c r="N2182" i="17"/>
  <c r="N2192" i="17"/>
  <c r="N2193" i="17"/>
  <c r="O2167" i="17"/>
  <c r="O2168" i="17"/>
  <c r="O2169" i="17"/>
  <c r="O2170" i="17"/>
  <c r="O2171" i="17"/>
  <c r="O2172" i="17"/>
  <c r="O2173" i="17"/>
  <c r="O2174" i="17"/>
  <c r="O2175" i="17"/>
  <c r="O2176" i="17"/>
  <c r="O2177" i="17"/>
  <c r="O2178" i="17"/>
  <c r="O2179" i="17"/>
  <c r="O2180" i="17"/>
  <c r="O2181" i="17"/>
  <c r="O2182" i="17"/>
  <c r="O2192" i="17"/>
  <c r="O2193" i="17"/>
  <c r="Q2167" i="17"/>
  <c r="Q2168" i="17"/>
  <c r="Q2169" i="17"/>
  <c r="Q2170" i="17"/>
  <c r="Q2171" i="17"/>
  <c r="Q2172" i="17"/>
  <c r="Q2173" i="17"/>
  <c r="Q2174" i="17"/>
  <c r="Q2175" i="17"/>
  <c r="Q2176" i="17"/>
  <c r="Q2177" i="17"/>
  <c r="Q2178" i="17"/>
  <c r="Q2179" i="17"/>
  <c r="Q2180" i="17"/>
  <c r="Q2181" i="17"/>
  <c r="Q2182" i="17"/>
  <c r="Q2192" i="17"/>
  <c r="Q2193" i="17"/>
  <c r="S2167" i="17"/>
  <c r="S2168" i="17"/>
  <c r="S2169" i="17"/>
  <c r="S2170" i="17"/>
  <c r="S2171" i="17"/>
  <c r="S2172" i="17"/>
  <c r="S2173" i="17"/>
  <c r="S2174" i="17"/>
  <c r="S2175" i="17"/>
  <c r="S2176" i="17"/>
  <c r="S2177" i="17"/>
  <c r="S2178" i="17"/>
  <c r="S2179" i="17"/>
  <c r="S2180" i="17"/>
  <c r="S2181" i="17"/>
  <c r="S2182" i="17"/>
  <c r="S2192" i="17"/>
  <c r="S2193" i="17"/>
  <c r="T2167" i="17"/>
  <c r="T2168" i="17"/>
  <c r="T2169" i="17"/>
  <c r="T2170" i="17"/>
  <c r="T2171" i="17"/>
  <c r="T2172" i="17"/>
  <c r="T2173" i="17"/>
  <c r="T2174" i="17"/>
  <c r="T2175" i="17"/>
  <c r="T2176" i="17"/>
  <c r="T2177" i="17"/>
  <c r="T2178" i="17"/>
  <c r="T2179" i="17"/>
  <c r="T2180" i="17"/>
  <c r="T2181" i="17"/>
  <c r="T2182" i="17"/>
  <c r="T2192" i="17"/>
  <c r="T2193" i="17"/>
  <c r="U2167" i="17"/>
  <c r="U2168" i="17"/>
  <c r="U2169" i="17"/>
  <c r="U2170" i="17"/>
  <c r="U2171" i="17"/>
  <c r="U2172" i="17"/>
  <c r="U2173" i="17"/>
  <c r="U2174" i="17"/>
  <c r="U2175" i="17"/>
  <c r="U2176" i="17"/>
  <c r="U2177" i="17"/>
  <c r="U2178" i="17"/>
  <c r="U2179" i="17"/>
  <c r="U2180" i="17"/>
  <c r="U2181" i="17"/>
  <c r="U2182" i="17"/>
  <c r="U2192" i="17"/>
  <c r="U2193" i="17"/>
  <c r="V2167" i="17"/>
  <c r="V2168" i="17"/>
  <c r="V2169" i="17"/>
  <c r="V2170" i="17"/>
  <c r="V2171" i="17"/>
  <c r="V2172" i="17"/>
  <c r="V2173" i="17"/>
  <c r="V2174" i="17"/>
  <c r="V2175" i="17"/>
  <c r="V2176" i="17"/>
  <c r="V2177" i="17"/>
  <c r="V2178" i="17"/>
  <c r="V2179" i="17"/>
  <c r="V2180" i="17"/>
  <c r="V2181" i="17"/>
  <c r="V2182" i="17"/>
  <c r="V2192" i="17"/>
  <c r="V2193" i="17"/>
  <c r="W2167" i="17"/>
  <c r="W2168" i="17"/>
  <c r="W2169" i="17"/>
  <c r="W2170" i="17"/>
  <c r="W2171" i="17"/>
  <c r="W2172" i="17"/>
  <c r="W2173" i="17"/>
  <c r="W2174" i="17"/>
  <c r="W2175" i="17"/>
  <c r="W2176" i="17"/>
  <c r="W2177" i="17"/>
  <c r="W2178" i="17"/>
  <c r="W2179" i="17"/>
  <c r="W2180" i="17"/>
  <c r="W2181" i="17"/>
  <c r="W2182" i="17"/>
  <c r="W2192" i="17"/>
  <c r="W2193" i="17"/>
  <c r="H2142" i="17"/>
  <c r="H2143" i="17"/>
  <c r="H2144" i="17"/>
  <c r="H2148" i="17"/>
  <c r="H2149" i="17"/>
  <c r="H2150" i="17"/>
  <c r="H2152" i="17"/>
  <c r="H2153" i="17"/>
  <c r="H2154" i="17"/>
  <c r="H2155" i="17"/>
  <c r="H2156" i="17"/>
  <c r="H2157" i="17"/>
  <c r="H2158" i="17"/>
  <c r="H2159" i="17"/>
  <c r="H2160" i="17"/>
  <c r="H2161" i="17"/>
  <c r="H2162" i="17"/>
  <c r="H2163" i="17"/>
  <c r="H2164" i="17"/>
  <c r="H2165" i="17"/>
  <c r="H2166" i="17"/>
  <c r="I2142" i="17"/>
  <c r="I2143" i="17"/>
  <c r="I2144" i="17"/>
  <c r="I2148" i="17"/>
  <c r="I2149" i="17"/>
  <c r="I2150" i="17"/>
  <c r="I2152" i="17"/>
  <c r="I2153" i="17"/>
  <c r="I2154" i="17"/>
  <c r="I2155" i="17"/>
  <c r="I2156" i="17"/>
  <c r="I2157" i="17"/>
  <c r="I2158" i="17"/>
  <c r="I2159" i="17"/>
  <c r="I2160" i="17"/>
  <c r="I2161" i="17"/>
  <c r="I2162" i="17"/>
  <c r="I2163" i="17"/>
  <c r="I2164" i="17"/>
  <c r="I2165" i="17"/>
  <c r="I2166" i="17"/>
  <c r="J2142" i="17"/>
  <c r="J2143" i="17"/>
  <c r="J2144" i="17"/>
  <c r="J2148" i="17"/>
  <c r="J2149" i="17"/>
  <c r="J2150" i="17"/>
  <c r="J2152" i="17"/>
  <c r="J2153" i="17"/>
  <c r="J2154" i="17"/>
  <c r="J2155" i="17"/>
  <c r="J2156" i="17"/>
  <c r="J2157" i="17"/>
  <c r="J2158" i="17"/>
  <c r="J2159" i="17"/>
  <c r="J2160" i="17"/>
  <c r="J2161" i="17"/>
  <c r="J2162" i="17"/>
  <c r="J2163" i="17"/>
  <c r="J2164" i="17"/>
  <c r="J2165" i="17"/>
  <c r="J2166" i="17"/>
  <c r="K2142" i="17"/>
  <c r="K2143" i="17"/>
  <c r="K2144" i="17"/>
  <c r="K2148" i="17"/>
  <c r="K2149" i="17"/>
  <c r="K2150" i="17"/>
  <c r="K2152" i="17"/>
  <c r="K2153" i="17"/>
  <c r="K2154" i="17"/>
  <c r="K2155" i="17"/>
  <c r="K2156" i="17"/>
  <c r="K2157" i="17"/>
  <c r="K2158" i="17"/>
  <c r="K2159" i="17"/>
  <c r="K2160" i="17"/>
  <c r="K2161" i="17"/>
  <c r="K2162" i="17"/>
  <c r="K2163" i="17"/>
  <c r="K2164" i="17"/>
  <c r="K2165" i="17"/>
  <c r="K2166" i="17"/>
  <c r="N2142" i="17"/>
  <c r="N2143" i="17"/>
  <c r="N2144" i="17"/>
  <c r="N2148" i="17"/>
  <c r="N2149" i="17"/>
  <c r="N2150" i="17"/>
  <c r="N2152" i="17"/>
  <c r="N2153" i="17"/>
  <c r="N2154" i="17"/>
  <c r="N2155" i="17"/>
  <c r="N2156" i="17"/>
  <c r="N2157" i="17"/>
  <c r="N2158" i="17"/>
  <c r="N2159" i="17"/>
  <c r="N2160" i="17"/>
  <c r="N2161" i="17"/>
  <c r="N2162" i="17"/>
  <c r="N2163" i="17"/>
  <c r="N2164" i="17"/>
  <c r="N2165" i="17"/>
  <c r="N2166" i="17"/>
  <c r="O2142" i="17"/>
  <c r="O2143" i="17"/>
  <c r="O2144" i="17"/>
  <c r="O2148" i="17"/>
  <c r="O2149" i="17"/>
  <c r="O2150" i="17"/>
  <c r="O2152" i="17"/>
  <c r="O2153" i="17"/>
  <c r="O2154" i="17"/>
  <c r="O2155" i="17"/>
  <c r="O2156" i="17"/>
  <c r="O2157" i="17"/>
  <c r="O2158" i="17"/>
  <c r="O2159" i="17"/>
  <c r="O2160" i="17"/>
  <c r="O2161" i="17"/>
  <c r="O2162" i="17"/>
  <c r="O2163" i="17"/>
  <c r="O2164" i="17"/>
  <c r="O2165" i="17"/>
  <c r="O2166" i="17"/>
  <c r="Q2142" i="17"/>
  <c r="Q2143" i="17"/>
  <c r="Q2144" i="17"/>
  <c r="Q2148" i="17"/>
  <c r="Q2149" i="17"/>
  <c r="Q2150" i="17"/>
  <c r="Q2152" i="17"/>
  <c r="Q2153" i="17"/>
  <c r="Q2154" i="17"/>
  <c r="Q2155" i="17"/>
  <c r="Q2156" i="17"/>
  <c r="Q2157" i="17"/>
  <c r="Q2158" i="17"/>
  <c r="Q2159" i="17"/>
  <c r="Q2160" i="17"/>
  <c r="Q2161" i="17"/>
  <c r="Q2162" i="17"/>
  <c r="Q2163" i="17"/>
  <c r="Q2164" i="17"/>
  <c r="Q2165" i="17"/>
  <c r="Q2166" i="17"/>
  <c r="S2142" i="17"/>
  <c r="S2143" i="17"/>
  <c r="S2144" i="17"/>
  <c r="S2148" i="17"/>
  <c r="S2149" i="17"/>
  <c r="S2150" i="17"/>
  <c r="S2152" i="17"/>
  <c r="S2153" i="17"/>
  <c r="S2154" i="17"/>
  <c r="S2155" i="17"/>
  <c r="S2156" i="17"/>
  <c r="S2157" i="17"/>
  <c r="S2158" i="17"/>
  <c r="S2159" i="17"/>
  <c r="S2160" i="17"/>
  <c r="S2161" i="17"/>
  <c r="S2162" i="17"/>
  <c r="S2163" i="17"/>
  <c r="S2164" i="17"/>
  <c r="S2165" i="17"/>
  <c r="S2166" i="17"/>
  <c r="T2142" i="17"/>
  <c r="T2143" i="17"/>
  <c r="T2144" i="17"/>
  <c r="T2148" i="17"/>
  <c r="T2149" i="17"/>
  <c r="T2150" i="17"/>
  <c r="T2152" i="17"/>
  <c r="T2153" i="17"/>
  <c r="T2154" i="17"/>
  <c r="T2155" i="17"/>
  <c r="T2156" i="17"/>
  <c r="T2157" i="17"/>
  <c r="T2158" i="17"/>
  <c r="T2159" i="17"/>
  <c r="T2160" i="17"/>
  <c r="T2161" i="17"/>
  <c r="T2162" i="17"/>
  <c r="T2163" i="17"/>
  <c r="T2164" i="17"/>
  <c r="T2165" i="17"/>
  <c r="T2166" i="17"/>
  <c r="U2142" i="17"/>
  <c r="U2143" i="17"/>
  <c r="U2144" i="17"/>
  <c r="U2148" i="17"/>
  <c r="U2149" i="17"/>
  <c r="U2150" i="17"/>
  <c r="U2152" i="17"/>
  <c r="U2153" i="17"/>
  <c r="U2154" i="17"/>
  <c r="U2155" i="17"/>
  <c r="U2156" i="17"/>
  <c r="U2157" i="17"/>
  <c r="U2158" i="17"/>
  <c r="U2159" i="17"/>
  <c r="U2160" i="17"/>
  <c r="U2161" i="17"/>
  <c r="U2162" i="17"/>
  <c r="U2163" i="17"/>
  <c r="U2164" i="17"/>
  <c r="U2165" i="17"/>
  <c r="U2166" i="17"/>
  <c r="V2142" i="17"/>
  <c r="V2143" i="17"/>
  <c r="V2144" i="17"/>
  <c r="V2148" i="17"/>
  <c r="V2149" i="17"/>
  <c r="V2150" i="17"/>
  <c r="V2152" i="17"/>
  <c r="V2153" i="17"/>
  <c r="V2154" i="17"/>
  <c r="V2155" i="17"/>
  <c r="V2156" i="17"/>
  <c r="V2157" i="17"/>
  <c r="V2158" i="17"/>
  <c r="V2159" i="17"/>
  <c r="V2160" i="17"/>
  <c r="V2161" i="17"/>
  <c r="V2162" i="17"/>
  <c r="V2163" i="17"/>
  <c r="V2164" i="17"/>
  <c r="V2165" i="17"/>
  <c r="V2166" i="17"/>
  <c r="W2142" i="17"/>
  <c r="W2143" i="17"/>
  <c r="W2144" i="17"/>
  <c r="W2148" i="17"/>
  <c r="W2149" i="17"/>
  <c r="W2150" i="17"/>
  <c r="W2152" i="17"/>
  <c r="W2153" i="17"/>
  <c r="W2154" i="17"/>
  <c r="W2155" i="17"/>
  <c r="W2156" i="17"/>
  <c r="W2157" i="17"/>
  <c r="W2158" i="17"/>
  <c r="W2159" i="17"/>
  <c r="W2160" i="17"/>
  <c r="W2161" i="17"/>
  <c r="W2162" i="17"/>
  <c r="W2163" i="17"/>
  <c r="W2164" i="17"/>
  <c r="W2165" i="17"/>
  <c r="W2166" i="17"/>
  <c r="H2130" i="17"/>
  <c r="H2131" i="17"/>
  <c r="H2132" i="17"/>
  <c r="H2133" i="17"/>
  <c r="H2134" i="17"/>
  <c r="H2135" i="17"/>
  <c r="H2136" i="17"/>
  <c r="H2137" i="17"/>
  <c r="H2138" i="17"/>
  <c r="H2139" i="17"/>
  <c r="H2140" i="17"/>
  <c r="H2141" i="17"/>
  <c r="I2130" i="17"/>
  <c r="I2131" i="17"/>
  <c r="I2132" i="17"/>
  <c r="I2133" i="17"/>
  <c r="I2134" i="17"/>
  <c r="I2135" i="17"/>
  <c r="I2136" i="17"/>
  <c r="I2137" i="17"/>
  <c r="I2138" i="17"/>
  <c r="I2139" i="17"/>
  <c r="I2140" i="17"/>
  <c r="I2141" i="17"/>
  <c r="J2130" i="17"/>
  <c r="J2131" i="17"/>
  <c r="J2132" i="17"/>
  <c r="J2133" i="17"/>
  <c r="J2134" i="17"/>
  <c r="J2135" i="17"/>
  <c r="J2136" i="17"/>
  <c r="J2137" i="17"/>
  <c r="J2138" i="17"/>
  <c r="J2139" i="17"/>
  <c r="J2140" i="17"/>
  <c r="J2141" i="17"/>
  <c r="K2130" i="17"/>
  <c r="K2131" i="17"/>
  <c r="K2132" i="17"/>
  <c r="K2133" i="17"/>
  <c r="K2134" i="17"/>
  <c r="K2135" i="17"/>
  <c r="K2136" i="17"/>
  <c r="K2137" i="17"/>
  <c r="K2138" i="17"/>
  <c r="K2139" i="17"/>
  <c r="K2140" i="17"/>
  <c r="K2141" i="17"/>
  <c r="N2130" i="17"/>
  <c r="N2131" i="17"/>
  <c r="N2132" i="17"/>
  <c r="N2133" i="17"/>
  <c r="N2134" i="17"/>
  <c r="N2135" i="17"/>
  <c r="N2136" i="17"/>
  <c r="N2137" i="17"/>
  <c r="N2138" i="17"/>
  <c r="N2139" i="17"/>
  <c r="N2140" i="17"/>
  <c r="N2141" i="17"/>
  <c r="O2130" i="17"/>
  <c r="O2131" i="17"/>
  <c r="O2132" i="17"/>
  <c r="O2133" i="17"/>
  <c r="O2134" i="17"/>
  <c r="O2135" i="17"/>
  <c r="O2136" i="17"/>
  <c r="O2137" i="17"/>
  <c r="O2138" i="17"/>
  <c r="O2139" i="17"/>
  <c r="O2140" i="17"/>
  <c r="O2141" i="17"/>
  <c r="Q2130" i="17"/>
  <c r="Q2131" i="17"/>
  <c r="Q2132" i="17"/>
  <c r="Q2133" i="17"/>
  <c r="Q2134" i="17"/>
  <c r="Q2135" i="17"/>
  <c r="Q2136" i="17"/>
  <c r="Q2137" i="17"/>
  <c r="Q2138" i="17"/>
  <c r="Q2139" i="17"/>
  <c r="Q2140" i="17"/>
  <c r="Q2141" i="17"/>
  <c r="S2130" i="17"/>
  <c r="S2131" i="17"/>
  <c r="S2132" i="17"/>
  <c r="S2133" i="17"/>
  <c r="S2134" i="17"/>
  <c r="S2135" i="17"/>
  <c r="S2136" i="17"/>
  <c r="S2137" i="17"/>
  <c r="S2138" i="17"/>
  <c r="S2139" i="17"/>
  <c r="S2140" i="17"/>
  <c r="S2141" i="17"/>
  <c r="T2130" i="17"/>
  <c r="T2131" i="17"/>
  <c r="T2132" i="17"/>
  <c r="T2133" i="17"/>
  <c r="T2134" i="17"/>
  <c r="T2135" i="17"/>
  <c r="T2136" i="17"/>
  <c r="T2137" i="17"/>
  <c r="T2138" i="17"/>
  <c r="T2139" i="17"/>
  <c r="T2140" i="17"/>
  <c r="T2141" i="17"/>
  <c r="U2130" i="17"/>
  <c r="U2131" i="17"/>
  <c r="U2132" i="17"/>
  <c r="U2133" i="17"/>
  <c r="U2134" i="17"/>
  <c r="U2135" i="17"/>
  <c r="U2136" i="17"/>
  <c r="U2137" i="17"/>
  <c r="U2138" i="17"/>
  <c r="U2139" i="17"/>
  <c r="U2140" i="17"/>
  <c r="U2141" i="17"/>
  <c r="V2130" i="17"/>
  <c r="V2131" i="17"/>
  <c r="V2132" i="17"/>
  <c r="V2133" i="17"/>
  <c r="V2134" i="17"/>
  <c r="V2135" i="17"/>
  <c r="V2136" i="17"/>
  <c r="V2137" i="17"/>
  <c r="V2138" i="17"/>
  <c r="V2139" i="17"/>
  <c r="V2140" i="17"/>
  <c r="V2141" i="17"/>
  <c r="W2130" i="17"/>
  <c r="W2131" i="17"/>
  <c r="W2132" i="17"/>
  <c r="W2133" i="17"/>
  <c r="W2134" i="17"/>
  <c r="W2135" i="17"/>
  <c r="W2136" i="17"/>
  <c r="W2137" i="17"/>
  <c r="W2138" i="17"/>
  <c r="W2139" i="17"/>
  <c r="W2140" i="17"/>
  <c r="W2141" i="17"/>
  <c r="H2232" i="17"/>
  <c r="H2233" i="17"/>
  <c r="H2234" i="17"/>
  <c r="H2235" i="17"/>
  <c r="H2236" i="17"/>
  <c r="H2237" i="17"/>
  <c r="H2238" i="17"/>
  <c r="H2239" i="17"/>
  <c r="I2232" i="17"/>
  <c r="I2233" i="17"/>
  <c r="I2234" i="17"/>
  <c r="I2235" i="17"/>
  <c r="I2236" i="17"/>
  <c r="I2237" i="17"/>
  <c r="I2238" i="17"/>
  <c r="I2239" i="17"/>
  <c r="J2232" i="17"/>
  <c r="J2233" i="17"/>
  <c r="J2234" i="17"/>
  <c r="J2235" i="17"/>
  <c r="J2236" i="17"/>
  <c r="J2237" i="17"/>
  <c r="J2238" i="17"/>
  <c r="J2239" i="17"/>
  <c r="K2232" i="17"/>
  <c r="K2233" i="17"/>
  <c r="K2234" i="17"/>
  <c r="K2235" i="17"/>
  <c r="K2236" i="17"/>
  <c r="K2237" i="17"/>
  <c r="K2238" i="17"/>
  <c r="K2239" i="17"/>
  <c r="N2232" i="17"/>
  <c r="N2233" i="17"/>
  <c r="N2234" i="17"/>
  <c r="N2235" i="17"/>
  <c r="N2236" i="17"/>
  <c r="N2237" i="17"/>
  <c r="N2238" i="17"/>
  <c r="N2239" i="17"/>
  <c r="O2232" i="17"/>
  <c r="O2233" i="17"/>
  <c r="O2234" i="17"/>
  <c r="O2235" i="17"/>
  <c r="O2236" i="17"/>
  <c r="O2237" i="17"/>
  <c r="O2238" i="17"/>
  <c r="O2239" i="17"/>
  <c r="Q2232" i="17"/>
  <c r="Q2233" i="17"/>
  <c r="Q2234" i="17"/>
  <c r="Q2235" i="17"/>
  <c r="Q2236" i="17"/>
  <c r="Q2237" i="17"/>
  <c r="Q2238" i="17"/>
  <c r="Q2239" i="17"/>
  <c r="S2232" i="17"/>
  <c r="S2233" i="17"/>
  <c r="S2234" i="17"/>
  <c r="S2235" i="17"/>
  <c r="S2236" i="17"/>
  <c r="S2237" i="17"/>
  <c r="S2238" i="17"/>
  <c r="S2239" i="17"/>
  <c r="T2232" i="17"/>
  <c r="T2233" i="17"/>
  <c r="T2234" i="17"/>
  <c r="T2235" i="17"/>
  <c r="T2236" i="17"/>
  <c r="T2237" i="17"/>
  <c r="T2238" i="17"/>
  <c r="T2239" i="17"/>
  <c r="U2232" i="17"/>
  <c r="U2233" i="17"/>
  <c r="U2234" i="17"/>
  <c r="U2235" i="17"/>
  <c r="U2236" i="17"/>
  <c r="U2237" i="17"/>
  <c r="U2238" i="17"/>
  <c r="U2239" i="17"/>
  <c r="V2232" i="17"/>
  <c r="V2233" i="17"/>
  <c r="V2234" i="17"/>
  <c r="V2235" i="17"/>
  <c r="V2236" i="17"/>
  <c r="V2237" i="17"/>
  <c r="V2238" i="17"/>
  <c r="V2239" i="17"/>
  <c r="W2232" i="17"/>
  <c r="W2233" i="17"/>
  <c r="W2234" i="17"/>
  <c r="W2235" i="17"/>
  <c r="W2236" i="17"/>
  <c r="W2237" i="17"/>
  <c r="W2238" i="17"/>
  <c r="W2239" i="17"/>
  <c r="H144" i="17"/>
  <c r="H145" i="17"/>
  <c r="H146" i="17"/>
  <c r="H147" i="17"/>
  <c r="H148" i="17"/>
  <c r="H149" i="17"/>
  <c r="H150" i="17"/>
  <c r="H151" i="17"/>
  <c r="I144" i="17"/>
  <c r="I145" i="17"/>
  <c r="I146" i="17"/>
  <c r="I147" i="17"/>
  <c r="I148" i="17"/>
  <c r="I149" i="17"/>
  <c r="I150" i="17"/>
  <c r="I151" i="17"/>
  <c r="J144" i="17"/>
  <c r="J145" i="17"/>
  <c r="J146" i="17"/>
  <c r="J147" i="17"/>
  <c r="J148" i="17"/>
  <c r="J149" i="17"/>
  <c r="J150" i="17"/>
  <c r="J151" i="17"/>
  <c r="K144" i="17"/>
  <c r="K145" i="17"/>
  <c r="K146" i="17"/>
  <c r="K147" i="17"/>
  <c r="K148" i="17"/>
  <c r="K149" i="17"/>
  <c r="K150" i="17"/>
  <c r="K151" i="17"/>
  <c r="N144" i="17"/>
  <c r="N145" i="17"/>
  <c r="N146" i="17"/>
  <c r="N147" i="17"/>
  <c r="N148" i="17"/>
  <c r="N149" i="17"/>
  <c r="N150" i="17"/>
  <c r="N151" i="17"/>
  <c r="O144" i="17"/>
  <c r="O145" i="17"/>
  <c r="O146" i="17"/>
  <c r="O147" i="17"/>
  <c r="O148" i="17"/>
  <c r="O149" i="17"/>
  <c r="O150" i="17"/>
  <c r="O151" i="17"/>
  <c r="Q144" i="17"/>
  <c r="Q145" i="17"/>
  <c r="Q146" i="17"/>
  <c r="Q147" i="17"/>
  <c r="Q148" i="17"/>
  <c r="Q149" i="17"/>
  <c r="Q150" i="17"/>
  <c r="Q151" i="17"/>
  <c r="S144" i="17"/>
  <c r="S145" i="17"/>
  <c r="S146" i="17"/>
  <c r="S147" i="17"/>
  <c r="S148" i="17"/>
  <c r="S149" i="17"/>
  <c r="S150" i="17"/>
  <c r="S151" i="17"/>
  <c r="T144" i="17"/>
  <c r="T145" i="17"/>
  <c r="T146" i="17"/>
  <c r="T147" i="17"/>
  <c r="T148" i="17"/>
  <c r="T149" i="17"/>
  <c r="T150" i="17"/>
  <c r="T151" i="17"/>
  <c r="U144" i="17"/>
  <c r="U145" i="17"/>
  <c r="U146" i="17"/>
  <c r="U147" i="17"/>
  <c r="U148" i="17"/>
  <c r="U149" i="17"/>
  <c r="U150" i="17"/>
  <c r="U151" i="17"/>
  <c r="V144" i="17"/>
  <c r="V145" i="17"/>
  <c r="V146" i="17"/>
  <c r="V147" i="17"/>
  <c r="V148" i="17"/>
  <c r="V149" i="17"/>
  <c r="V150" i="17"/>
  <c r="V151" i="17"/>
  <c r="W144" i="17"/>
  <c r="W145" i="17"/>
  <c r="W146" i="17"/>
  <c r="W147" i="17"/>
  <c r="W148" i="17"/>
  <c r="W149" i="17"/>
  <c r="W150" i="17"/>
  <c r="W151" i="17"/>
  <c r="H132" i="17"/>
  <c r="H133" i="17"/>
  <c r="H134" i="17"/>
  <c r="H135" i="17"/>
  <c r="H136" i="17"/>
  <c r="H137" i="17"/>
  <c r="H138" i="17"/>
  <c r="H139" i="17"/>
  <c r="H140" i="17"/>
  <c r="H141" i="17"/>
  <c r="H142" i="17"/>
  <c r="H143" i="17"/>
  <c r="I132" i="17"/>
  <c r="I133" i="17"/>
  <c r="I134" i="17"/>
  <c r="I135" i="17"/>
  <c r="I136" i="17"/>
  <c r="I137" i="17"/>
  <c r="I138" i="17"/>
  <c r="I139" i="17"/>
  <c r="I140" i="17"/>
  <c r="I141" i="17"/>
  <c r="I142" i="17"/>
  <c r="I143" i="17"/>
  <c r="J132" i="17"/>
  <c r="J133" i="17"/>
  <c r="J134" i="17"/>
  <c r="J135" i="17"/>
  <c r="J136" i="17"/>
  <c r="J137" i="17"/>
  <c r="J138" i="17"/>
  <c r="J139" i="17"/>
  <c r="J140" i="17"/>
  <c r="J141" i="17"/>
  <c r="J142" i="17"/>
  <c r="J143" i="17"/>
  <c r="K132" i="17"/>
  <c r="K133" i="17"/>
  <c r="K134" i="17"/>
  <c r="K135" i="17"/>
  <c r="K136" i="17"/>
  <c r="K137" i="17"/>
  <c r="K138" i="17"/>
  <c r="K139" i="17"/>
  <c r="K140" i="17"/>
  <c r="K141" i="17"/>
  <c r="K142" i="17"/>
  <c r="K143" i="17"/>
  <c r="N132" i="17"/>
  <c r="N133" i="17"/>
  <c r="N134" i="17"/>
  <c r="N135" i="17"/>
  <c r="N136" i="17"/>
  <c r="N137" i="17"/>
  <c r="N138" i="17"/>
  <c r="N139" i="17"/>
  <c r="N140" i="17"/>
  <c r="N141" i="17"/>
  <c r="N142" i="17"/>
  <c r="N143" i="17"/>
  <c r="O132" i="17"/>
  <c r="O133" i="17"/>
  <c r="O134" i="17"/>
  <c r="O135" i="17"/>
  <c r="O136" i="17"/>
  <c r="O137" i="17"/>
  <c r="O138" i="17"/>
  <c r="O139" i="17"/>
  <c r="O140" i="17"/>
  <c r="O141" i="17"/>
  <c r="O142" i="17"/>
  <c r="O143" i="17"/>
  <c r="Q132" i="17"/>
  <c r="Q133" i="17"/>
  <c r="Q134" i="17"/>
  <c r="Q135" i="17"/>
  <c r="Q136" i="17"/>
  <c r="Q137" i="17"/>
  <c r="Q138" i="17"/>
  <c r="Q139" i="17"/>
  <c r="Q140" i="17"/>
  <c r="Q141" i="17"/>
  <c r="Q142" i="17"/>
  <c r="Q143" i="17"/>
  <c r="S132" i="17"/>
  <c r="S133" i="17"/>
  <c r="S134" i="17"/>
  <c r="S135" i="17"/>
  <c r="S136" i="17"/>
  <c r="S137" i="17"/>
  <c r="S138" i="17"/>
  <c r="S139" i="17"/>
  <c r="S140" i="17"/>
  <c r="S141" i="17"/>
  <c r="S142" i="17"/>
  <c r="S143" i="17"/>
  <c r="T132" i="17"/>
  <c r="T133" i="17"/>
  <c r="T134" i="17"/>
  <c r="T135" i="17"/>
  <c r="T136" i="17"/>
  <c r="T137" i="17"/>
  <c r="T138" i="17"/>
  <c r="T139" i="17"/>
  <c r="T140" i="17"/>
  <c r="T141" i="17"/>
  <c r="T142" i="17"/>
  <c r="T143" i="17"/>
  <c r="U132" i="17"/>
  <c r="U133" i="17"/>
  <c r="U134" i="17"/>
  <c r="U135" i="17"/>
  <c r="U136" i="17"/>
  <c r="U137" i="17"/>
  <c r="U138" i="17"/>
  <c r="U139" i="17"/>
  <c r="U140" i="17"/>
  <c r="U141" i="17"/>
  <c r="U142" i="17"/>
  <c r="U143" i="17"/>
  <c r="V132" i="17"/>
  <c r="V133" i="17"/>
  <c r="V134" i="17"/>
  <c r="V135" i="17"/>
  <c r="V136" i="17"/>
  <c r="V137" i="17"/>
  <c r="V138" i="17"/>
  <c r="V139" i="17"/>
  <c r="V140" i="17"/>
  <c r="V141" i="17"/>
  <c r="V142" i="17"/>
  <c r="V143" i="17"/>
  <c r="W132" i="17"/>
  <c r="W133" i="17"/>
  <c r="W134" i="17"/>
  <c r="W135" i="17"/>
  <c r="W136" i="17"/>
  <c r="W137" i="17"/>
  <c r="W138" i="17"/>
  <c r="W139" i="17"/>
  <c r="W140" i="17"/>
  <c r="W141" i="17"/>
  <c r="W142" i="17"/>
  <c r="W143" i="17"/>
  <c r="H202" i="17"/>
  <c r="I202" i="17"/>
  <c r="J202" i="17"/>
  <c r="K202" i="17"/>
  <c r="N202" i="17"/>
  <c r="O202" i="17"/>
  <c r="Q202" i="17"/>
  <c r="S202" i="17"/>
  <c r="T202" i="17"/>
  <c r="U202" i="17"/>
  <c r="V202" i="17"/>
  <c r="W202" i="17"/>
  <c r="H201" i="17"/>
  <c r="I201" i="17"/>
  <c r="J201" i="17"/>
  <c r="K201" i="17"/>
  <c r="N201" i="17"/>
  <c r="O201" i="17"/>
  <c r="Q201" i="17"/>
  <c r="S201" i="17"/>
  <c r="T201" i="17"/>
  <c r="U201" i="17"/>
  <c r="V201" i="17"/>
  <c r="W201" i="17"/>
  <c r="H179" i="17"/>
  <c r="H180" i="17"/>
  <c r="H181" i="17"/>
  <c r="H182" i="17"/>
  <c r="H183" i="17"/>
  <c r="H184" i="17"/>
  <c r="H185" i="17"/>
  <c r="H186" i="17"/>
  <c r="H187" i="17"/>
  <c r="H188" i="17"/>
  <c r="H189" i="17"/>
  <c r="H190" i="17"/>
  <c r="H191" i="17"/>
  <c r="I179" i="17"/>
  <c r="I180" i="17"/>
  <c r="I181" i="17"/>
  <c r="I182" i="17"/>
  <c r="I183" i="17"/>
  <c r="I184" i="17"/>
  <c r="I185" i="17"/>
  <c r="I186" i="17"/>
  <c r="I187" i="17"/>
  <c r="I188" i="17"/>
  <c r="I189" i="17"/>
  <c r="I190" i="17"/>
  <c r="I191" i="17"/>
  <c r="J179" i="17"/>
  <c r="J180" i="17"/>
  <c r="J181" i="17"/>
  <c r="J182" i="17"/>
  <c r="J183" i="17"/>
  <c r="J184" i="17"/>
  <c r="J185" i="17"/>
  <c r="J186" i="17"/>
  <c r="J187" i="17"/>
  <c r="J188" i="17"/>
  <c r="J189" i="17"/>
  <c r="J190" i="17"/>
  <c r="J191" i="17"/>
  <c r="K179" i="17"/>
  <c r="K180" i="17"/>
  <c r="K181" i="17"/>
  <c r="K182" i="17"/>
  <c r="K183" i="17"/>
  <c r="K184" i="17"/>
  <c r="K185" i="17"/>
  <c r="K186" i="17"/>
  <c r="K187" i="17"/>
  <c r="K188" i="17"/>
  <c r="K189" i="17"/>
  <c r="K190" i="17"/>
  <c r="K191" i="17"/>
  <c r="N179" i="17"/>
  <c r="N180" i="17"/>
  <c r="N181" i="17"/>
  <c r="N182" i="17"/>
  <c r="N183" i="17"/>
  <c r="N184" i="17"/>
  <c r="N185" i="17"/>
  <c r="N186" i="17"/>
  <c r="N187" i="17"/>
  <c r="N188" i="17"/>
  <c r="N189" i="17"/>
  <c r="N190" i="17"/>
  <c r="N191" i="17"/>
  <c r="O179" i="17"/>
  <c r="O180" i="17"/>
  <c r="O181" i="17"/>
  <c r="O182" i="17"/>
  <c r="O183" i="17"/>
  <c r="O184" i="17"/>
  <c r="O185" i="17"/>
  <c r="O186" i="17"/>
  <c r="O187" i="17"/>
  <c r="O188" i="17"/>
  <c r="O189" i="17"/>
  <c r="O190" i="17"/>
  <c r="O191" i="17"/>
  <c r="Q179" i="17"/>
  <c r="Q180" i="17"/>
  <c r="Q181" i="17"/>
  <c r="Q182" i="17"/>
  <c r="Q183" i="17"/>
  <c r="Q184" i="17"/>
  <c r="Q185" i="17"/>
  <c r="Q186" i="17"/>
  <c r="Q187" i="17"/>
  <c r="Q188" i="17"/>
  <c r="Q189" i="17"/>
  <c r="Q190" i="17"/>
  <c r="Q191" i="17"/>
  <c r="S179" i="17"/>
  <c r="S180" i="17"/>
  <c r="S181" i="17"/>
  <c r="S182" i="17"/>
  <c r="S183" i="17"/>
  <c r="S184" i="17"/>
  <c r="S185" i="17"/>
  <c r="S186" i="17"/>
  <c r="S187" i="17"/>
  <c r="S188" i="17"/>
  <c r="S189" i="17"/>
  <c r="S190" i="17"/>
  <c r="S191" i="17"/>
  <c r="T179" i="17"/>
  <c r="T180" i="17"/>
  <c r="T181" i="17"/>
  <c r="T182" i="17"/>
  <c r="T183" i="17"/>
  <c r="T184" i="17"/>
  <c r="T185" i="17"/>
  <c r="T186" i="17"/>
  <c r="T187" i="17"/>
  <c r="T188" i="17"/>
  <c r="T189" i="17"/>
  <c r="T190" i="17"/>
  <c r="T191" i="17"/>
  <c r="U179" i="17"/>
  <c r="U180" i="17"/>
  <c r="U181" i="17"/>
  <c r="U182" i="17"/>
  <c r="U183" i="17"/>
  <c r="U184" i="17"/>
  <c r="U185" i="17"/>
  <c r="U186" i="17"/>
  <c r="U187" i="17"/>
  <c r="U188" i="17"/>
  <c r="U189" i="17"/>
  <c r="U190" i="17"/>
  <c r="U191" i="17"/>
  <c r="V179" i="17"/>
  <c r="V180" i="17"/>
  <c r="V181" i="17"/>
  <c r="V182" i="17"/>
  <c r="V183" i="17"/>
  <c r="V184" i="17"/>
  <c r="V185" i="17"/>
  <c r="V186" i="17"/>
  <c r="V187" i="17"/>
  <c r="V188" i="17"/>
  <c r="V189" i="17"/>
  <c r="V190" i="17"/>
  <c r="V191" i="17"/>
  <c r="W179" i="17"/>
  <c r="W180" i="17"/>
  <c r="W181" i="17"/>
  <c r="W182" i="17"/>
  <c r="W183" i="17"/>
  <c r="W184" i="17"/>
  <c r="W185" i="17"/>
  <c r="W186" i="17"/>
  <c r="W187" i="17"/>
  <c r="W188" i="17"/>
  <c r="W189" i="17"/>
  <c r="W190" i="17"/>
  <c r="W191" i="17"/>
  <c r="H175" i="17"/>
  <c r="H176" i="17"/>
  <c r="H177" i="17"/>
  <c r="H178" i="17"/>
  <c r="H192" i="17"/>
  <c r="H193" i="17"/>
  <c r="H194" i="17"/>
  <c r="H195" i="17"/>
  <c r="H196" i="17"/>
  <c r="H197" i="17"/>
  <c r="H198" i="17"/>
  <c r="H199" i="17"/>
  <c r="H200" i="17"/>
  <c r="I175" i="17"/>
  <c r="I176" i="17"/>
  <c r="I177" i="17"/>
  <c r="I178" i="17"/>
  <c r="I192" i="17"/>
  <c r="I193" i="17"/>
  <c r="I194" i="17"/>
  <c r="I195" i="17"/>
  <c r="I196" i="17"/>
  <c r="I197" i="17"/>
  <c r="I198" i="17"/>
  <c r="I199" i="17"/>
  <c r="I200" i="17"/>
  <c r="J175" i="17"/>
  <c r="J176" i="17"/>
  <c r="J177" i="17"/>
  <c r="J178" i="17"/>
  <c r="J192" i="17"/>
  <c r="J193" i="17"/>
  <c r="J194" i="17"/>
  <c r="J195" i="17"/>
  <c r="J196" i="17"/>
  <c r="J197" i="17"/>
  <c r="J198" i="17"/>
  <c r="J199" i="17"/>
  <c r="J200" i="17"/>
  <c r="K175" i="17"/>
  <c r="K176" i="17"/>
  <c r="K177" i="17"/>
  <c r="K178" i="17"/>
  <c r="K192" i="17"/>
  <c r="K193" i="17"/>
  <c r="K194" i="17"/>
  <c r="K195" i="17"/>
  <c r="K196" i="17"/>
  <c r="K197" i="17"/>
  <c r="K198" i="17"/>
  <c r="K199" i="17"/>
  <c r="K200" i="17"/>
  <c r="N175" i="17"/>
  <c r="N176" i="17"/>
  <c r="N177" i="17"/>
  <c r="N178" i="17"/>
  <c r="N192" i="17"/>
  <c r="N193" i="17"/>
  <c r="N194" i="17"/>
  <c r="N195" i="17"/>
  <c r="N196" i="17"/>
  <c r="N197" i="17"/>
  <c r="N198" i="17"/>
  <c r="N199" i="17"/>
  <c r="N200" i="17"/>
  <c r="O175" i="17"/>
  <c r="O176" i="17"/>
  <c r="O177" i="17"/>
  <c r="O178" i="17"/>
  <c r="O192" i="17"/>
  <c r="O193" i="17"/>
  <c r="O194" i="17"/>
  <c r="O195" i="17"/>
  <c r="O196" i="17"/>
  <c r="O197" i="17"/>
  <c r="O198" i="17"/>
  <c r="O199" i="17"/>
  <c r="O200" i="17"/>
  <c r="Q175" i="17"/>
  <c r="Q176" i="17"/>
  <c r="Q177" i="17"/>
  <c r="Q178" i="17"/>
  <c r="Q192" i="17"/>
  <c r="Q193" i="17"/>
  <c r="Q194" i="17"/>
  <c r="Q195" i="17"/>
  <c r="Q196" i="17"/>
  <c r="Q197" i="17"/>
  <c r="Q198" i="17"/>
  <c r="Q199" i="17"/>
  <c r="Q200" i="17"/>
  <c r="S175" i="17"/>
  <c r="S176" i="17"/>
  <c r="S177" i="17"/>
  <c r="S178" i="17"/>
  <c r="S192" i="17"/>
  <c r="S193" i="17"/>
  <c r="S194" i="17"/>
  <c r="S195" i="17"/>
  <c r="S196" i="17"/>
  <c r="S197" i="17"/>
  <c r="S198" i="17"/>
  <c r="S199" i="17"/>
  <c r="S200" i="17"/>
  <c r="T175" i="17"/>
  <c r="T176" i="17"/>
  <c r="T177" i="17"/>
  <c r="T178" i="17"/>
  <c r="T192" i="17"/>
  <c r="T193" i="17"/>
  <c r="T194" i="17"/>
  <c r="T195" i="17"/>
  <c r="T196" i="17"/>
  <c r="T197" i="17"/>
  <c r="T198" i="17"/>
  <c r="T199" i="17"/>
  <c r="T200" i="17"/>
  <c r="U175" i="17"/>
  <c r="U176" i="17"/>
  <c r="U177" i="17"/>
  <c r="U178" i="17"/>
  <c r="U192" i="17"/>
  <c r="U193" i="17"/>
  <c r="U194" i="17"/>
  <c r="U195" i="17"/>
  <c r="U196" i="17"/>
  <c r="U197" i="17"/>
  <c r="U198" i="17"/>
  <c r="U199" i="17"/>
  <c r="U200" i="17"/>
  <c r="V175" i="17"/>
  <c r="V176" i="17"/>
  <c r="V177" i="17"/>
  <c r="V178" i="17"/>
  <c r="V192" i="17"/>
  <c r="V193" i="17"/>
  <c r="V194" i="17"/>
  <c r="V195" i="17"/>
  <c r="V196" i="17"/>
  <c r="V197" i="17"/>
  <c r="V198" i="17"/>
  <c r="V199" i="17"/>
  <c r="V200" i="17"/>
  <c r="W175" i="17"/>
  <c r="W176" i="17"/>
  <c r="W177" i="17"/>
  <c r="W178" i="17"/>
  <c r="W192" i="17"/>
  <c r="W193" i="17"/>
  <c r="W194" i="17"/>
  <c r="W195" i="17"/>
  <c r="W196" i="17"/>
  <c r="W197" i="17"/>
  <c r="W198" i="17"/>
  <c r="W199" i="17"/>
  <c r="W200" i="17"/>
  <c r="H173" i="17"/>
  <c r="H174" i="17"/>
  <c r="I173" i="17"/>
  <c r="I174" i="17"/>
  <c r="J173" i="17"/>
  <c r="J174" i="17"/>
  <c r="K173" i="17"/>
  <c r="K174" i="17"/>
  <c r="N173" i="17"/>
  <c r="N174" i="17"/>
  <c r="O173" i="17"/>
  <c r="O174" i="17"/>
  <c r="Q173" i="17"/>
  <c r="Q174" i="17"/>
  <c r="S173" i="17"/>
  <c r="S174" i="17"/>
  <c r="T173" i="17"/>
  <c r="T174" i="17"/>
  <c r="U173" i="17"/>
  <c r="U174" i="17"/>
  <c r="V173" i="17"/>
  <c r="V174" i="17"/>
  <c r="W173" i="17"/>
  <c r="W174" i="17"/>
  <c r="H165" i="17"/>
  <c r="H166" i="17"/>
  <c r="H167" i="17"/>
  <c r="H168" i="17"/>
  <c r="H169" i="17"/>
  <c r="H170" i="17"/>
  <c r="H171" i="17"/>
  <c r="I165" i="17"/>
  <c r="I166" i="17"/>
  <c r="I167" i="17"/>
  <c r="I168" i="17"/>
  <c r="I169" i="17"/>
  <c r="I170" i="17"/>
  <c r="I171" i="17"/>
  <c r="J165" i="17"/>
  <c r="J166" i="17"/>
  <c r="J167" i="17"/>
  <c r="J168" i="17"/>
  <c r="J169" i="17"/>
  <c r="J170" i="17"/>
  <c r="J171" i="17"/>
  <c r="K165" i="17"/>
  <c r="K166" i="17"/>
  <c r="K167" i="17"/>
  <c r="K168" i="17"/>
  <c r="K169" i="17"/>
  <c r="K170" i="17"/>
  <c r="K171" i="17"/>
  <c r="N165" i="17"/>
  <c r="N166" i="17"/>
  <c r="N167" i="17"/>
  <c r="N168" i="17"/>
  <c r="N169" i="17"/>
  <c r="N170" i="17"/>
  <c r="N171" i="17"/>
  <c r="O165" i="17"/>
  <c r="O166" i="17"/>
  <c r="O167" i="17"/>
  <c r="O168" i="17"/>
  <c r="O169" i="17"/>
  <c r="O170" i="17"/>
  <c r="O171" i="17"/>
  <c r="Q165" i="17"/>
  <c r="Q166" i="17"/>
  <c r="Q167" i="17"/>
  <c r="Q168" i="17"/>
  <c r="Q169" i="17"/>
  <c r="Q170" i="17"/>
  <c r="Q171" i="17"/>
  <c r="S165" i="17"/>
  <c r="S166" i="17"/>
  <c r="S167" i="17"/>
  <c r="S168" i="17"/>
  <c r="S169" i="17"/>
  <c r="S170" i="17"/>
  <c r="S171" i="17"/>
  <c r="T165" i="17"/>
  <c r="T166" i="17"/>
  <c r="T167" i="17"/>
  <c r="T168" i="17"/>
  <c r="T169" i="17"/>
  <c r="T170" i="17"/>
  <c r="T171" i="17"/>
  <c r="U165" i="17"/>
  <c r="U166" i="17"/>
  <c r="U167" i="17"/>
  <c r="U168" i="17"/>
  <c r="U169" i="17"/>
  <c r="U170" i="17"/>
  <c r="U171" i="17"/>
  <c r="V165" i="17"/>
  <c r="V166" i="17"/>
  <c r="V167" i="17"/>
  <c r="V168" i="17"/>
  <c r="V169" i="17"/>
  <c r="V170" i="17"/>
  <c r="V171" i="17"/>
  <c r="W165" i="17"/>
  <c r="W166" i="17"/>
  <c r="W167" i="17"/>
  <c r="W168" i="17"/>
  <c r="W169" i="17"/>
  <c r="W170" i="17"/>
  <c r="W171" i="17"/>
  <c r="H152" i="17"/>
  <c r="H153" i="17"/>
  <c r="H154" i="17"/>
  <c r="H155" i="17"/>
  <c r="H156" i="17"/>
  <c r="H157" i="17"/>
  <c r="H158" i="17"/>
  <c r="H159" i="17"/>
  <c r="H160" i="17"/>
  <c r="H161" i="17"/>
  <c r="H162" i="17"/>
  <c r="H163" i="17"/>
  <c r="H164" i="17"/>
  <c r="H172" i="17"/>
  <c r="I152" i="17"/>
  <c r="I153" i="17"/>
  <c r="I154" i="17"/>
  <c r="I155" i="17"/>
  <c r="I156" i="17"/>
  <c r="I157" i="17"/>
  <c r="I158" i="17"/>
  <c r="I159" i="17"/>
  <c r="I160" i="17"/>
  <c r="I161" i="17"/>
  <c r="I162" i="17"/>
  <c r="I163" i="17"/>
  <c r="I164" i="17"/>
  <c r="I172" i="17"/>
  <c r="J152" i="17"/>
  <c r="J153" i="17"/>
  <c r="J154" i="17"/>
  <c r="J155" i="17"/>
  <c r="J156" i="17"/>
  <c r="J157" i="17"/>
  <c r="J158" i="17"/>
  <c r="J159" i="17"/>
  <c r="J160" i="17"/>
  <c r="J161" i="17"/>
  <c r="J162" i="17"/>
  <c r="J163" i="17"/>
  <c r="J164" i="17"/>
  <c r="J172" i="17"/>
  <c r="K152" i="17"/>
  <c r="K153" i="17"/>
  <c r="K154" i="17"/>
  <c r="K155" i="17"/>
  <c r="K156" i="17"/>
  <c r="K157" i="17"/>
  <c r="K158" i="17"/>
  <c r="K159" i="17"/>
  <c r="K160" i="17"/>
  <c r="K161" i="17"/>
  <c r="K162" i="17"/>
  <c r="K163" i="17"/>
  <c r="K164" i="17"/>
  <c r="K172" i="17"/>
  <c r="N152" i="17"/>
  <c r="N153" i="17"/>
  <c r="N154" i="17"/>
  <c r="N155" i="17"/>
  <c r="N156" i="17"/>
  <c r="N157" i="17"/>
  <c r="N158" i="17"/>
  <c r="N159" i="17"/>
  <c r="N160" i="17"/>
  <c r="N161" i="17"/>
  <c r="N162" i="17"/>
  <c r="N163" i="17"/>
  <c r="N164" i="17"/>
  <c r="N172" i="17"/>
  <c r="O152" i="17"/>
  <c r="O153" i="17"/>
  <c r="O154" i="17"/>
  <c r="O155" i="17"/>
  <c r="O156" i="17"/>
  <c r="O157" i="17"/>
  <c r="O158" i="17"/>
  <c r="O159" i="17"/>
  <c r="O160" i="17"/>
  <c r="O161" i="17"/>
  <c r="O162" i="17"/>
  <c r="O163" i="17"/>
  <c r="O164" i="17"/>
  <c r="O172" i="17"/>
  <c r="Q152" i="17"/>
  <c r="Q153" i="17"/>
  <c r="Q154" i="17"/>
  <c r="Q155" i="17"/>
  <c r="Q156" i="17"/>
  <c r="Q157" i="17"/>
  <c r="Q158" i="17"/>
  <c r="Q159" i="17"/>
  <c r="Q160" i="17"/>
  <c r="Q161" i="17"/>
  <c r="Q162" i="17"/>
  <c r="Q163" i="17"/>
  <c r="Q164" i="17"/>
  <c r="Q172" i="17"/>
  <c r="S152" i="17"/>
  <c r="S153" i="17"/>
  <c r="S154" i="17"/>
  <c r="S155" i="17"/>
  <c r="S156" i="17"/>
  <c r="S157" i="17"/>
  <c r="S158" i="17"/>
  <c r="S159" i="17"/>
  <c r="S160" i="17"/>
  <c r="S161" i="17"/>
  <c r="S162" i="17"/>
  <c r="S163" i="17"/>
  <c r="S164" i="17"/>
  <c r="S172" i="17"/>
  <c r="T152" i="17"/>
  <c r="T153" i="17"/>
  <c r="T154" i="17"/>
  <c r="T155" i="17"/>
  <c r="T156" i="17"/>
  <c r="T157" i="17"/>
  <c r="T158" i="17"/>
  <c r="T159" i="17"/>
  <c r="T160" i="17"/>
  <c r="T161" i="17"/>
  <c r="T162" i="17"/>
  <c r="T163" i="17"/>
  <c r="T164" i="17"/>
  <c r="T172" i="17"/>
  <c r="U152" i="17"/>
  <c r="U153" i="17"/>
  <c r="U154" i="17"/>
  <c r="U155" i="17"/>
  <c r="U156" i="17"/>
  <c r="U157" i="17"/>
  <c r="U158" i="17"/>
  <c r="U159" i="17"/>
  <c r="U160" i="17"/>
  <c r="U161" i="17"/>
  <c r="U162" i="17"/>
  <c r="U163" i="17"/>
  <c r="U164" i="17"/>
  <c r="U172" i="17"/>
  <c r="V152" i="17"/>
  <c r="V153" i="17"/>
  <c r="V154" i="17"/>
  <c r="V155" i="17"/>
  <c r="V156" i="17"/>
  <c r="V157" i="17"/>
  <c r="V158" i="17"/>
  <c r="V159" i="17"/>
  <c r="V160" i="17"/>
  <c r="V161" i="17"/>
  <c r="V162" i="17"/>
  <c r="V163" i="17"/>
  <c r="V164" i="17"/>
  <c r="V172" i="17"/>
  <c r="W152" i="17"/>
  <c r="W153" i="17"/>
  <c r="W154" i="17"/>
  <c r="W155" i="17"/>
  <c r="W156" i="17"/>
  <c r="W157" i="17"/>
  <c r="W158" i="17"/>
  <c r="W159" i="17"/>
  <c r="W160" i="17"/>
  <c r="W161" i="17"/>
  <c r="W162" i="17"/>
  <c r="W163" i="17"/>
  <c r="W164" i="17"/>
  <c r="W172" i="17"/>
  <c r="P9" i="16"/>
  <c r="T9" i="16"/>
  <c r="H122" i="17"/>
  <c r="H123" i="17"/>
  <c r="H124" i="17"/>
  <c r="H125" i="17"/>
  <c r="H126" i="17"/>
  <c r="H127" i="17"/>
  <c r="I122" i="17"/>
  <c r="I123" i="17"/>
  <c r="I124" i="17"/>
  <c r="I125" i="17"/>
  <c r="I126" i="17"/>
  <c r="I127" i="17"/>
  <c r="J122" i="17"/>
  <c r="J123" i="17"/>
  <c r="J124" i="17"/>
  <c r="J125" i="17"/>
  <c r="J126" i="17"/>
  <c r="J127" i="17"/>
  <c r="K122" i="17"/>
  <c r="K123" i="17"/>
  <c r="K124" i="17"/>
  <c r="K125" i="17"/>
  <c r="K126" i="17"/>
  <c r="K127" i="17"/>
  <c r="N122" i="17"/>
  <c r="N123" i="17"/>
  <c r="N124" i="17"/>
  <c r="N125" i="17"/>
  <c r="N126" i="17"/>
  <c r="N127" i="17"/>
  <c r="O122" i="17"/>
  <c r="O123" i="17"/>
  <c r="O124" i="17"/>
  <c r="O125" i="17"/>
  <c r="O126" i="17"/>
  <c r="O127" i="17"/>
  <c r="Q122" i="17"/>
  <c r="Q123" i="17"/>
  <c r="Q124" i="17"/>
  <c r="Q125" i="17"/>
  <c r="Q126" i="17"/>
  <c r="Q127" i="17"/>
  <c r="S122" i="17"/>
  <c r="S123" i="17"/>
  <c r="S124" i="17"/>
  <c r="S125" i="17"/>
  <c r="S126" i="17"/>
  <c r="S127" i="17"/>
  <c r="T122" i="17"/>
  <c r="T123" i="17"/>
  <c r="T124" i="17"/>
  <c r="T125" i="17"/>
  <c r="T126" i="17"/>
  <c r="T127" i="17"/>
  <c r="U122" i="17"/>
  <c r="U123" i="17"/>
  <c r="U124" i="17"/>
  <c r="U125" i="17"/>
  <c r="U126" i="17"/>
  <c r="U127" i="17"/>
  <c r="V122" i="17"/>
  <c r="V123" i="17"/>
  <c r="V124" i="17"/>
  <c r="V125" i="17"/>
  <c r="V126" i="17"/>
  <c r="V127" i="17"/>
  <c r="W122" i="17"/>
  <c r="W123" i="17"/>
  <c r="W124" i="17"/>
  <c r="W125" i="17"/>
  <c r="W126" i="17"/>
  <c r="W127" i="17"/>
  <c r="H110" i="17"/>
  <c r="H111" i="17"/>
  <c r="H112" i="17"/>
  <c r="H113" i="17"/>
  <c r="H114" i="17"/>
  <c r="H115" i="17"/>
  <c r="H116" i="17"/>
  <c r="H117" i="17"/>
  <c r="H118" i="17"/>
  <c r="H119" i="17"/>
  <c r="H120" i="17"/>
  <c r="H121" i="17"/>
  <c r="H128" i="17"/>
  <c r="H129" i="17"/>
  <c r="H130" i="17"/>
  <c r="I110" i="17"/>
  <c r="I111" i="17"/>
  <c r="I112" i="17"/>
  <c r="I113" i="17"/>
  <c r="I114" i="17"/>
  <c r="I115" i="17"/>
  <c r="I116" i="17"/>
  <c r="I117" i="17"/>
  <c r="I118" i="17"/>
  <c r="I119" i="17"/>
  <c r="I120" i="17"/>
  <c r="I121" i="17"/>
  <c r="I128" i="17"/>
  <c r="I129" i="17"/>
  <c r="I130" i="17"/>
  <c r="J110" i="17"/>
  <c r="J111" i="17"/>
  <c r="J112" i="17"/>
  <c r="J113" i="17"/>
  <c r="J114" i="17"/>
  <c r="J115" i="17"/>
  <c r="J116" i="17"/>
  <c r="J117" i="17"/>
  <c r="J118" i="17"/>
  <c r="J119" i="17"/>
  <c r="J120" i="17"/>
  <c r="J121" i="17"/>
  <c r="J128" i="17"/>
  <c r="J129" i="17"/>
  <c r="J130" i="17"/>
  <c r="K110" i="17"/>
  <c r="K111" i="17"/>
  <c r="K112" i="17"/>
  <c r="K113" i="17"/>
  <c r="K114" i="17"/>
  <c r="K115" i="17"/>
  <c r="K116" i="17"/>
  <c r="K117" i="17"/>
  <c r="K118" i="17"/>
  <c r="K119" i="17"/>
  <c r="K120" i="17"/>
  <c r="K121" i="17"/>
  <c r="K128" i="17"/>
  <c r="K129" i="17"/>
  <c r="K130" i="17"/>
  <c r="N110" i="17"/>
  <c r="N111" i="17"/>
  <c r="N112" i="17"/>
  <c r="N113" i="17"/>
  <c r="N114" i="17"/>
  <c r="N115" i="17"/>
  <c r="N116" i="17"/>
  <c r="N117" i="17"/>
  <c r="N118" i="17"/>
  <c r="N119" i="17"/>
  <c r="N120" i="17"/>
  <c r="N121" i="17"/>
  <c r="N128" i="17"/>
  <c r="N129" i="17"/>
  <c r="N130" i="17"/>
  <c r="O110" i="17"/>
  <c r="O111" i="17"/>
  <c r="O112" i="17"/>
  <c r="O113" i="17"/>
  <c r="O114" i="17"/>
  <c r="O115" i="17"/>
  <c r="O116" i="17"/>
  <c r="O117" i="17"/>
  <c r="O118" i="17"/>
  <c r="O119" i="17"/>
  <c r="O120" i="17"/>
  <c r="O121" i="17"/>
  <c r="O128" i="17"/>
  <c r="O129" i="17"/>
  <c r="O130" i="17"/>
  <c r="Q110" i="17"/>
  <c r="Q111" i="17"/>
  <c r="Q112" i="17"/>
  <c r="Q113" i="17"/>
  <c r="Q114" i="17"/>
  <c r="Q115" i="17"/>
  <c r="Q116" i="17"/>
  <c r="Q117" i="17"/>
  <c r="Q118" i="17"/>
  <c r="Q119" i="17"/>
  <c r="Q120" i="17"/>
  <c r="Q121" i="17"/>
  <c r="Q128" i="17"/>
  <c r="Q129" i="17"/>
  <c r="Q130" i="17"/>
  <c r="S110" i="17"/>
  <c r="S111" i="17"/>
  <c r="S112" i="17"/>
  <c r="S113" i="17"/>
  <c r="S114" i="17"/>
  <c r="S115" i="17"/>
  <c r="S116" i="17"/>
  <c r="S117" i="17"/>
  <c r="S118" i="17"/>
  <c r="S119" i="17"/>
  <c r="S120" i="17"/>
  <c r="S121" i="17"/>
  <c r="S128" i="17"/>
  <c r="S129" i="17"/>
  <c r="S130" i="17"/>
  <c r="T110" i="17"/>
  <c r="T111" i="17"/>
  <c r="T112" i="17"/>
  <c r="T113" i="17"/>
  <c r="T114" i="17"/>
  <c r="T115" i="17"/>
  <c r="T116" i="17"/>
  <c r="T117" i="17"/>
  <c r="T118" i="17"/>
  <c r="T119" i="17"/>
  <c r="T120" i="17"/>
  <c r="T121" i="17"/>
  <c r="T128" i="17"/>
  <c r="T129" i="17"/>
  <c r="T130" i="17"/>
  <c r="U110" i="17"/>
  <c r="U111" i="17"/>
  <c r="U112" i="17"/>
  <c r="U113" i="17"/>
  <c r="U114" i="17"/>
  <c r="U115" i="17"/>
  <c r="U116" i="17"/>
  <c r="U117" i="17"/>
  <c r="U118" i="17"/>
  <c r="U119" i="17"/>
  <c r="U120" i="17"/>
  <c r="U121" i="17"/>
  <c r="U128" i="17"/>
  <c r="U129" i="17"/>
  <c r="U130" i="17"/>
  <c r="V110" i="17"/>
  <c r="V111" i="17"/>
  <c r="V112" i="17"/>
  <c r="V113" i="17"/>
  <c r="V114" i="17"/>
  <c r="V115" i="17"/>
  <c r="V116" i="17"/>
  <c r="V117" i="17"/>
  <c r="V118" i="17"/>
  <c r="V119" i="17"/>
  <c r="V120" i="17"/>
  <c r="V121" i="17"/>
  <c r="V128" i="17"/>
  <c r="V129" i="17"/>
  <c r="V130" i="17"/>
  <c r="W110" i="17"/>
  <c r="W111" i="17"/>
  <c r="W112" i="17"/>
  <c r="W113" i="17"/>
  <c r="W114" i="17"/>
  <c r="W115" i="17"/>
  <c r="W116" i="17"/>
  <c r="W117" i="17"/>
  <c r="W118" i="17"/>
  <c r="W119" i="17"/>
  <c r="W120" i="17"/>
  <c r="W121" i="17"/>
  <c r="W128" i="17"/>
  <c r="W129" i="17"/>
  <c r="W130" i="17"/>
  <c r="H106" i="17"/>
  <c r="H107" i="17"/>
  <c r="H108" i="17"/>
  <c r="H109" i="17"/>
  <c r="I106" i="17"/>
  <c r="I107" i="17"/>
  <c r="I108" i="17"/>
  <c r="I109" i="17"/>
  <c r="J106" i="17"/>
  <c r="J107" i="17"/>
  <c r="J108" i="17"/>
  <c r="J109" i="17"/>
  <c r="K106" i="17"/>
  <c r="K107" i="17"/>
  <c r="K108" i="17"/>
  <c r="K109" i="17"/>
  <c r="N106" i="17"/>
  <c r="N107" i="17"/>
  <c r="N108" i="17"/>
  <c r="N109" i="17"/>
  <c r="O106" i="17"/>
  <c r="O107" i="17"/>
  <c r="O108" i="17"/>
  <c r="O109" i="17"/>
  <c r="Q106" i="17"/>
  <c r="Q107" i="17"/>
  <c r="Q108" i="17"/>
  <c r="Q109" i="17"/>
  <c r="S106" i="17"/>
  <c r="S107" i="17"/>
  <c r="S108" i="17"/>
  <c r="S109" i="17"/>
  <c r="T106" i="17"/>
  <c r="T107" i="17"/>
  <c r="T108" i="17"/>
  <c r="T109" i="17"/>
  <c r="U106" i="17"/>
  <c r="U107" i="17"/>
  <c r="U108" i="17"/>
  <c r="U109" i="17"/>
  <c r="V106" i="17"/>
  <c r="V107" i="17"/>
  <c r="V108" i="17"/>
  <c r="V109" i="17"/>
  <c r="W106" i="17"/>
  <c r="W107" i="17"/>
  <c r="W108" i="17"/>
  <c r="W109" i="17"/>
  <c r="H2098" i="17"/>
  <c r="H2099" i="17"/>
  <c r="H2100" i="17"/>
  <c r="H2101" i="17"/>
  <c r="H2102" i="17"/>
  <c r="H2103" i="17"/>
  <c r="H2104" i="17"/>
  <c r="H2105" i="17"/>
  <c r="H2106" i="17"/>
  <c r="H2107" i="17"/>
  <c r="H2108" i="17"/>
  <c r="H2109" i="17"/>
  <c r="H2110" i="17"/>
  <c r="H2111" i="17"/>
  <c r="I2098" i="17"/>
  <c r="I2099" i="17"/>
  <c r="I2100" i="17"/>
  <c r="I2101" i="17"/>
  <c r="I2102" i="17"/>
  <c r="I2103" i="17"/>
  <c r="I2104" i="17"/>
  <c r="I2105" i="17"/>
  <c r="I2106" i="17"/>
  <c r="I2107" i="17"/>
  <c r="I2108" i="17"/>
  <c r="I2109" i="17"/>
  <c r="I2110" i="17"/>
  <c r="I2111" i="17"/>
  <c r="J2098" i="17"/>
  <c r="J2099" i="17"/>
  <c r="J2100" i="17"/>
  <c r="J2101" i="17"/>
  <c r="J2102" i="17"/>
  <c r="J2103" i="17"/>
  <c r="J2104" i="17"/>
  <c r="J2105" i="17"/>
  <c r="J2106" i="17"/>
  <c r="J2107" i="17"/>
  <c r="J2108" i="17"/>
  <c r="J2109" i="17"/>
  <c r="J2110" i="17"/>
  <c r="J2111" i="17"/>
  <c r="K2098" i="17"/>
  <c r="K2099" i="17"/>
  <c r="K2100" i="17"/>
  <c r="K2101" i="17"/>
  <c r="K2102" i="17"/>
  <c r="K2103" i="17"/>
  <c r="K2104" i="17"/>
  <c r="K2105" i="17"/>
  <c r="K2106" i="17"/>
  <c r="K2107" i="17"/>
  <c r="K2108" i="17"/>
  <c r="K2109" i="17"/>
  <c r="K2110" i="17"/>
  <c r="K2111" i="17"/>
  <c r="N2098" i="17"/>
  <c r="N2099" i="17"/>
  <c r="N2100" i="17"/>
  <c r="N2101" i="17"/>
  <c r="N2102" i="17"/>
  <c r="N2103" i="17"/>
  <c r="N2104" i="17"/>
  <c r="N2105" i="17"/>
  <c r="N2106" i="17"/>
  <c r="N2107" i="17"/>
  <c r="N2108" i="17"/>
  <c r="N2109" i="17"/>
  <c r="N2110" i="17"/>
  <c r="N2111" i="17"/>
  <c r="O2098" i="17"/>
  <c r="O2099" i="17"/>
  <c r="O2100" i="17"/>
  <c r="O2101" i="17"/>
  <c r="O2102" i="17"/>
  <c r="O2103" i="17"/>
  <c r="O2104" i="17"/>
  <c r="O2105" i="17"/>
  <c r="O2106" i="17"/>
  <c r="O2107" i="17"/>
  <c r="O2108" i="17"/>
  <c r="O2109" i="17"/>
  <c r="O2110" i="17"/>
  <c r="O2111" i="17"/>
  <c r="Q2098" i="17"/>
  <c r="Q2099" i="17"/>
  <c r="Q2100" i="17"/>
  <c r="Q2101" i="17"/>
  <c r="Q2102" i="17"/>
  <c r="Q2103" i="17"/>
  <c r="Q2104" i="17"/>
  <c r="Q2105" i="17"/>
  <c r="Q2106" i="17"/>
  <c r="Q2107" i="17"/>
  <c r="Q2108" i="17"/>
  <c r="Q2109" i="17"/>
  <c r="Q2110" i="17"/>
  <c r="Q2111" i="17"/>
  <c r="S2098" i="17"/>
  <c r="S2099" i="17"/>
  <c r="S2100" i="17"/>
  <c r="S2101" i="17"/>
  <c r="S2102" i="17"/>
  <c r="S2103" i="17"/>
  <c r="S2104" i="17"/>
  <c r="S2105" i="17"/>
  <c r="S2106" i="17"/>
  <c r="S2107" i="17"/>
  <c r="S2108" i="17"/>
  <c r="S2109" i="17"/>
  <c r="S2110" i="17"/>
  <c r="S2111" i="17"/>
  <c r="T2098" i="17"/>
  <c r="T2099" i="17"/>
  <c r="T2100" i="17"/>
  <c r="T2101" i="17"/>
  <c r="T2102" i="17"/>
  <c r="T2103" i="17"/>
  <c r="T2104" i="17"/>
  <c r="T2105" i="17"/>
  <c r="T2106" i="17"/>
  <c r="T2107" i="17"/>
  <c r="T2108" i="17"/>
  <c r="T2109" i="17"/>
  <c r="T2110" i="17"/>
  <c r="T2111" i="17"/>
  <c r="U2098" i="17"/>
  <c r="U2099" i="17"/>
  <c r="U2100" i="17"/>
  <c r="U2101" i="17"/>
  <c r="U2102" i="17"/>
  <c r="U2103" i="17"/>
  <c r="U2104" i="17"/>
  <c r="U2105" i="17"/>
  <c r="U2106" i="17"/>
  <c r="U2107" i="17"/>
  <c r="U2108" i="17"/>
  <c r="U2109" i="17"/>
  <c r="U2110" i="17"/>
  <c r="U2111" i="17"/>
  <c r="V2098" i="17"/>
  <c r="V2099" i="17"/>
  <c r="V2100" i="17"/>
  <c r="V2101" i="17"/>
  <c r="V2102" i="17"/>
  <c r="V2103" i="17"/>
  <c r="V2104" i="17"/>
  <c r="V2105" i="17"/>
  <c r="V2106" i="17"/>
  <c r="V2107" i="17"/>
  <c r="V2108" i="17"/>
  <c r="V2109" i="17"/>
  <c r="V2110" i="17"/>
  <c r="V2111" i="17"/>
  <c r="W2098" i="17"/>
  <c r="W2099" i="17"/>
  <c r="W2100" i="17"/>
  <c r="W2101" i="17"/>
  <c r="W2102" i="17"/>
  <c r="W2103" i="17"/>
  <c r="W2104" i="17"/>
  <c r="W2105" i="17"/>
  <c r="W2106" i="17"/>
  <c r="W2107" i="17"/>
  <c r="W2108" i="17"/>
  <c r="W2109" i="17"/>
  <c r="W2110" i="17"/>
  <c r="W2111" i="17"/>
  <c r="H2085" i="17"/>
  <c r="H2086" i="17"/>
  <c r="H2087" i="17"/>
  <c r="H2088" i="17"/>
  <c r="H2089" i="17"/>
  <c r="H2090" i="17"/>
  <c r="H2091" i="17"/>
  <c r="H2092" i="17"/>
  <c r="H2093" i="17"/>
  <c r="H2094" i="17"/>
  <c r="H2095" i="17"/>
  <c r="H2096" i="17"/>
  <c r="H2097" i="17"/>
  <c r="H2112" i="17"/>
  <c r="I2085" i="17"/>
  <c r="I2086" i="17"/>
  <c r="I2087" i="17"/>
  <c r="I2088" i="17"/>
  <c r="I2089" i="17"/>
  <c r="I2090" i="17"/>
  <c r="I2091" i="17"/>
  <c r="I2092" i="17"/>
  <c r="I2093" i="17"/>
  <c r="I2094" i="17"/>
  <c r="I2095" i="17"/>
  <c r="I2096" i="17"/>
  <c r="I2097" i="17"/>
  <c r="I2112" i="17"/>
  <c r="J2085" i="17"/>
  <c r="J2086" i="17"/>
  <c r="J2087" i="17"/>
  <c r="J2088" i="17"/>
  <c r="J2089" i="17"/>
  <c r="J2090" i="17"/>
  <c r="J2091" i="17"/>
  <c r="J2092" i="17"/>
  <c r="J2093" i="17"/>
  <c r="J2094" i="17"/>
  <c r="J2095" i="17"/>
  <c r="J2096" i="17"/>
  <c r="J2097" i="17"/>
  <c r="J2112" i="17"/>
  <c r="K2085" i="17"/>
  <c r="K2086" i="17"/>
  <c r="K2087" i="17"/>
  <c r="K2088" i="17"/>
  <c r="K2089" i="17"/>
  <c r="K2090" i="17"/>
  <c r="K2091" i="17"/>
  <c r="K2092" i="17"/>
  <c r="K2093" i="17"/>
  <c r="K2094" i="17"/>
  <c r="K2095" i="17"/>
  <c r="K2096" i="17"/>
  <c r="K2097" i="17"/>
  <c r="K2112" i="17"/>
  <c r="N2085" i="17"/>
  <c r="N2086" i="17"/>
  <c r="N2087" i="17"/>
  <c r="N2088" i="17"/>
  <c r="N2089" i="17"/>
  <c r="N2090" i="17"/>
  <c r="N2091" i="17"/>
  <c r="N2092" i="17"/>
  <c r="N2093" i="17"/>
  <c r="N2094" i="17"/>
  <c r="N2095" i="17"/>
  <c r="N2096" i="17"/>
  <c r="N2097" i="17"/>
  <c r="N2112" i="17"/>
  <c r="O2085" i="17"/>
  <c r="O2086" i="17"/>
  <c r="O2087" i="17"/>
  <c r="O2088" i="17"/>
  <c r="O2089" i="17"/>
  <c r="O2090" i="17"/>
  <c r="O2091" i="17"/>
  <c r="O2092" i="17"/>
  <c r="O2093" i="17"/>
  <c r="O2094" i="17"/>
  <c r="O2095" i="17"/>
  <c r="O2096" i="17"/>
  <c r="O2097" i="17"/>
  <c r="O2112" i="17"/>
  <c r="Q2085" i="17"/>
  <c r="Q2086" i="17"/>
  <c r="Q2087" i="17"/>
  <c r="Q2088" i="17"/>
  <c r="Q2089" i="17"/>
  <c r="Q2090" i="17"/>
  <c r="Q2091" i="17"/>
  <c r="Q2092" i="17"/>
  <c r="Q2093" i="17"/>
  <c r="Q2094" i="17"/>
  <c r="Q2095" i="17"/>
  <c r="Q2096" i="17"/>
  <c r="Q2097" i="17"/>
  <c r="Q2112" i="17"/>
  <c r="S2085" i="17"/>
  <c r="S2086" i="17"/>
  <c r="S2087" i="17"/>
  <c r="S2088" i="17"/>
  <c r="S2089" i="17"/>
  <c r="S2090" i="17"/>
  <c r="S2091" i="17"/>
  <c r="S2092" i="17"/>
  <c r="S2093" i="17"/>
  <c r="S2094" i="17"/>
  <c r="S2095" i="17"/>
  <c r="S2096" i="17"/>
  <c r="S2097" i="17"/>
  <c r="S2112" i="17"/>
  <c r="T2085" i="17"/>
  <c r="T2086" i="17"/>
  <c r="T2087" i="17"/>
  <c r="T2088" i="17"/>
  <c r="T2089" i="17"/>
  <c r="T2090" i="17"/>
  <c r="T2091" i="17"/>
  <c r="T2092" i="17"/>
  <c r="T2093" i="17"/>
  <c r="T2094" i="17"/>
  <c r="T2095" i="17"/>
  <c r="T2096" i="17"/>
  <c r="T2097" i="17"/>
  <c r="T2112" i="17"/>
  <c r="U2085" i="17"/>
  <c r="U2086" i="17"/>
  <c r="U2087" i="17"/>
  <c r="U2088" i="17"/>
  <c r="U2089" i="17"/>
  <c r="U2090" i="17"/>
  <c r="U2091" i="17"/>
  <c r="U2092" i="17"/>
  <c r="U2093" i="17"/>
  <c r="U2094" i="17"/>
  <c r="U2095" i="17"/>
  <c r="U2096" i="17"/>
  <c r="U2097" i="17"/>
  <c r="U2112" i="17"/>
  <c r="V2085" i="17"/>
  <c r="V2086" i="17"/>
  <c r="V2087" i="17"/>
  <c r="V2088" i="17"/>
  <c r="V2089" i="17"/>
  <c r="V2090" i="17"/>
  <c r="V2091" i="17"/>
  <c r="V2092" i="17"/>
  <c r="V2093" i="17"/>
  <c r="V2094" i="17"/>
  <c r="V2095" i="17"/>
  <c r="V2096" i="17"/>
  <c r="V2097" i="17"/>
  <c r="V2112" i="17"/>
  <c r="W2085" i="17"/>
  <c r="W2086" i="17"/>
  <c r="W2087" i="17"/>
  <c r="W2088" i="17"/>
  <c r="W2089" i="17"/>
  <c r="W2090" i="17"/>
  <c r="W2091" i="17"/>
  <c r="W2092" i="17"/>
  <c r="W2093" i="17"/>
  <c r="W2094" i="17"/>
  <c r="W2095" i="17"/>
  <c r="W2096" i="17"/>
  <c r="W2097" i="17"/>
  <c r="W2112" i="17"/>
  <c r="H2079" i="17"/>
  <c r="H2080" i="17"/>
  <c r="H2081" i="17"/>
  <c r="H2082" i="17"/>
  <c r="H2083" i="17"/>
  <c r="H2084" i="17"/>
  <c r="H2113" i="17"/>
  <c r="I2079" i="17"/>
  <c r="I2080" i="17"/>
  <c r="I2081" i="17"/>
  <c r="I2082" i="17"/>
  <c r="I2083" i="17"/>
  <c r="I2084" i="17"/>
  <c r="I2113" i="17"/>
  <c r="J2079" i="17"/>
  <c r="J2080" i="17"/>
  <c r="J2081" i="17"/>
  <c r="J2082" i="17"/>
  <c r="J2083" i="17"/>
  <c r="J2084" i="17"/>
  <c r="J2113" i="17"/>
  <c r="K2079" i="17"/>
  <c r="K2080" i="17"/>
  <c r="K2081" i="17"/>
  <c r="K2082" i="17"/>
  <c r="K2083" i="17"/>
  <c r="K2084" i="17"/>
  <c r="K2113" i="17"/>
  <c r="N2079" i="17"/>
  <c r="N2080" i="17"/>
  <c r="N2081" i="17"/>
  <c r="N2082" i="17"/>
  <c r="N2083" i="17"/>
  <c r="N2084" i="17"/>
  <c r="N2113" i="17"/>
  <c r="O2079" i="17"/>
  <c r="O2080" i="17"/>
  <c r="O2081" i="17"/>
  <c r="O2082" i="17"/>
  <c r="O2083" i="17"/>
  <c r="O2084" i="17"/>
  <c r="O2113" i="17"/>
  <c r="Q2079" i="17"/>
  <c r="Q2080" i="17"/>
  <c r="Q2081" i="17"/>
  <c r="Q2082" i="17"/>
  <c r="Q2083" i="17"/>
  <c r="Q2084" i="17"/>
  <c r="Q2113" i="17"/>
  <c r="S2079" i="17"/>
  <c r="S2080" i="17"/>
  <c r="S2081" i="17"/>
  <c r="S2082" i="17"/>
  <c r="S2083" i="17"/>
  <c r="S2084" i="17"/>
  <c r="S2113" i="17"/>
  <c r="T2079" i="17"/>
  <c r="T2080" i="17"/>
  <c r="T2081" i="17"/>
  <c r="T2082" i="17"/>
  <c r="T2083" i="17"/>
  <c r="T2084" i="17"/>
  <c r="T2113" i="17"/>
  <c r="U2079" i="17"/>
  <c r="U2080" i="17"/>
  <c r="U2081" i="17"/>
  <c r="U2082" i="17"/>
  <c r="U2083" i="17"/>
  <c r="U2084" i="17"/>
  <c r="U2113" i="17"/>
  <c r="V2079" i="17"/>
  <c r="V2080" i="17"/>
  <c r="V2081" i="17"/>
  <c r="V2082" i="17"/>
  <c r="V2083" i="17"/>
  <c r="V2084" i="17"/>
  <c r="V2113" i="17"/>
  <c r="W2079" i="17"/>
  <c r="W2080" i="17"/>
  <c r="W2081" i="17"/>
  <c r="W2082" i="17"/>
  <c r="W2083" i="17"/>
  <c r="W2084" i="17"/>
  <c r="W2113" i="17"/>
  <c r="H2070" i="17"/>
  <c r="H2071" i="17"/>
  <c r="H2072" i="17"/>
  <c r="H2073" i="17"/>
  <c r="H2074" i="17"/>
  <c r="H2075" i="17"/>
  <c r="H2076" i="17"/>
  <c r="H2077" i="17"/>
  <c r="H2078" i="17"/>
  <c r="I2070" i="17"/>
  <c r="I2071" i="17"/>
  <c r="I2072" i="17"/>
  <c r="I2073" i="17"/>
  <c r="I2074" i="17"/>
  <c r="I2075" i="17"/>
  <c r="I2076" i="17"/>
  <c r="I2077" i="17"/>
  <c r="I2078" i="17"/>
  <c r="J2070" i="17"/>
  <c r="J2071" i="17"/>
  <c r="J2072" i="17"/>
  <c r="J2073" i="17"/>
  <c r="J2074" i="17"/>
  <c r="J2075" i="17"/>
  <c r="J2076" i="17"/>
  <c r="J2077" i="17"/>
  <c r="J2078" i="17"/>
  <c r="K2070" i="17"/>
  <c r="K2071" i="17"/>
  <c r="K2072" i="17"/>
  <c r="K2073" i="17"/>
  <c r="K2074" i="17"/>
  <c r="K2075" i="17"/>
  <c r="K2076" i="17"/>
  <c r="K2077" i="17"/>
  <c r="K2078" i="17"/>
  <c r="N2070" i="17"/>
  <c r="N2071" i="17"/>
  <c r="N2072" i="17"/>
  <c r="N2073" i="17"/>
  <c r="N2074" i="17"/>
  <c r="N2075" i="17"/>
  <c r="N2076" i="17"/>
  <c r="N2077" i="17"/>
  <c r="N2078" i="17"/>
  <c r="O2070" i="17"/>
  <c r="O2071" i="17"/>
  <c r="O2072" i="17"/>
  <c r="O2073" i="17"/>
  <c r="O2074" i="17"/>
  <c r="O2075" i="17"/>
  <c r="O2076" i="17"/>
  <c r="O2077" i="17"/>
  <c r="O2078" i="17"/>
  <c r="Q2070" i="17"/>
  <c r="Q2071" i="17"/>
  <c r="Q2072" i="17"/>
  <c r="Q2073" i="17"/>
  <c r="Q2074" i="17"/>
  <c r="Q2075" i="17"/>
  <c r="Q2076" i="17"/>
  <c r="Q2077" i="17"/>
  <c r="Q2078" i="17"/>
  <c r="S2070" i="17"/>
  <c r="S2071" i="17"/>
  <c r="S2072" i="17"/>
  <c r="S2073" i="17"/>
  <c r="S2074" i="17"/>
  <c r="S2075" i="17"/>
  <c r="S2076" i="17"/>
  <c r="S2077" i="17"/>
  <c r="S2078" i="17"/>
  <c r="T2070" i="17"/>
  <c r="T2071" i="17"/>
  <c r="T2072" i="17"/>
  <c r="T2073" i="17"/>
  <c r="T2074" i="17"/>
  <c r="T2075" i="17"/>
  <c r="T2076" i="17"/>
  <c r="T2077" i="17"/>
  <c r="T2078" i="17"/>
  <c r="U2070" i="17"/>
  <c r="U2071" i="17"/>
  <c r="U2072" i="17"/>
  <c r="U2073" i="17"/>
  <c r="U2074" i="17"/>
  <c r="U2075" i="17"/>
  <c r="U2076" i="17"/>
  <c r="U2077" i="17"/>
  <c r="U2078" i="17"/>
  <c r="V2070" i="17"/>
  <c r="V2071" i="17"/>
  <c r="V2072" i="17"/>
  <c r="V2073" i="17"/>
  <c r="V2074" i="17"/>
  <c r="V2075" i="17"/>
  <c r="V2076" i="17"/>
  <c r="V2077" i="17"/>
  <c r="V2078" i="17"/>
  <c r="W2070" i="17"/>
  <c r="W2071" i="17"/>
  <c r="W2072" i="17"/>
  <c r="W2073" i="17"/>
  <c r="W2074" i="17"/>
  <c r="W2075" i="17"/>
  <c r="W2076" i="17"/>
  <c r="W2077" i="17"/>
  <c r="W2078" i="17"/>
  <c r="H2069" i="17"/>
  <c r="I2069" i="17"/>
  <c r="J2069" i="17"/>
  <c r="K2069" i="17"/>
  <c r="N2069" i="17"/>
  <c r="O2069" i="17"/>
  <c r="Q2069" i="17"/>
  <c r="S2069" i="17"/>
  <c r="T2069" i="17"/>
  <c r="U2069" i="17"/>
  <c r="V2069" i="17"/>
  <c r="W2069" i="17"/>
  <c r="H2058" i="17"/>
  <c r="H2059" i="17"/>
  <c r="H2060" i="17"/>
  <c r="H2061" i="17"/>
  <c r="H2062" i="17"/>
  <c r="H2063" i="17"/>
  <c r="H2064" i="17"/>
  <c r="H2065" i="17"/>
  <c r="H2066" i="17"/>
  <c r="H2067" i="17"/>
  <c r="H2068" i="17"/>
  <c r="I2058" i="17"/>
  <c r="I2059" i="17"/>
  <c r="I2060" i="17"/>
  <c r="I2061" i="17"/>
  <c r="I2062" i="17"/>
  <c r="I2063" i="17"/>
  <c r="I2064" i="17"/>
  <c r="I2065" i="17"/>
  <c r="I2066" i="17"/>
  <c r="I2067" i="17"/>
  <c r="I2068" i="17"/>
  <c r="J2058" i="17"/>
  <c r="J2059" i="17"/>
  <c r="J2060" i="17"/>
  <c r="J2061" i="17"/>
  <c r="J2062" i="17"/>
  <c r="J2063" i="17"/>
  <c r="J2064" i="17"/>
  <c r="J2065" i="17"/>
  <c r="J2066" i="17"/>
  <c r="J2067" i="17"/>
  <c r="J2068" i="17"/>
  <c r="K2058" i="17"/>
  <c r="K2059" i="17"/>
  <c r="K2060" i="17"/>
  <c r="K2061" i="17"/>
  <c r="K2062" i="17"/>
  <c r="K2063" i="17"/>
  <c r="K2064" i="17"/>
  <c r="K2065" i="17"/>
  <c r="K2066" i="17"/>
  <c r="K2067" i="17"/>
  <c r="K2068" i="17"/>
  <c r="N2058" i="17"/>
  <c r="N2059" i="17"/>
  <c r="N2060" i="17"/>
  <c r="N2061" i="17"/>
  <c r="N2062" i="17"/>
  <c r="N2063" i="17"/>
  <c r="N2064" i="17"/>
  <c r="N2065" i="17"/>
  <c r="N2066" i="17"/>
  <c r="N2067" i="17"/>
  <c r="N2068" i="17"/>
  <c r="O2058" i="17"/>
  <c r="O2059" i="17"/>
  <c r="O2060" i="17"/>
  <c r="O2061" i="17"/>
  <c r="O2062" i="17"/>
  <c r="O2063" i="17"/>
  <c r="O2064" i="17"/>
  <c r="O2065" i="17"/>
  <c r="O2066" i="17"/>
  <c r="O2067" i="17"/>
  <c r="O2068" i="17"/>
  <c r="Q2058" i="17"/>
  <c r="Q2059" i="17"/>
  <c r="Q2060" i="17"/>
  <c r="Q2061" i="17"/>
  <c r="Q2062" i="17"/>
  <c r="Q2063" i="17"/>
  <c r="Q2064" i="17"/>
  <c r="Q2065" i="17"/>
  <c r="Q2066" i="17"/>
  <c r="Q2067" i="17"/>
  <c r="Q2068" i="17"/>
  <c r="S2058" i="17"/>
  <c r="S2059" i="17"/>
  <c r="S2060" i="17"/>
  <c r="S2061" i="17"/>
  <c r="S2062" i="17"/>
  <c r="S2063" i="17"/>
  <c r="S2064" i="17"/>
  <c r="S2065" i="17"/>
  <c r="S2066" i="17"/>
  <c r="S2067" i="17"/>
  <c r="S2068" i="17"/>
  <c r="T2058" i="17"/>
  <c r="T2059" i="17"/>
  <c r="T2060" i="17"/>
  <c r="T2061" i="17"/>
  <c r="T2062" i="17"/>
  <c r="T2063" i="17"/>
  <c r="T2064" i="17"/>
  <c r="T2065" i="17"/>
  <c r="T2066" i="17"/>
  <c r="T2067" i="17"/>
  <c r="T2068" i="17"/>
  <c r="U2058" i="17"/>
  <c r="U2059" i="17"/>
  <c r="U2060" i="17"/>
  <c r="U2061" i="17"/>
  <c r="U2062" i="17"/>
  <c r="U2063" i="17"/>
  <c r="U2064" i="17"/>
  <c r="U2065" i="17"/>
  <c r="U2066" i="17"/>
  <c r="U2067" i="17"/>
  <c r="U2068" i="17"/>
  <c r="V2058" i="17"/>
  <c r="V2059" i="17"/>
  <c r="V2060" i="17"/>
  <c r="V2061" i="17"/>
  <c r="V2062" i="17"/>
  <c r="V2063" i="17"/>
  <c r="V2064" i="17"/>
  <c r="V2065" i="17"/>
  <c r="V2066" i="17"/>
  <c r="V2067" i="17"/>
  <c r="V2068" i="17"/>
  <c r="W2058" i="17"/>
  <c r="W2059" i="17"/>
  <c r="W2060" i="17"/>
  <c r="W2061" i="17"/>
  <c r="W2062" i="17"/>
  <c r="W2063" i="17"/>
  <c r="W2064" i="17"/>
  <c r="W2065" i="17"/>
  <c r="W2066" i="17"/>
  <c r="W2067" i="17"/>
  <c r="W2068" i="17"/>
  <c r="H2057" i="17"/>
  <c r="I2057" i="17"/>
  <c r="J2057" i="17"/>
  <c r="K2057" i="17"/>
  <c r="N2057" i="17"/>
  <c r="O2057" i="17"/>
  <c r="Q2057" i="17"/>
  <c r="S2057" i="17"/>
  <c r="T2057" i="17"/>
  <c r="U2057" i="17"/>
  <c r="V2057" i="17"/>
  <c r="W2057" i="17"/>
  <c r="H2052" i="17"/>
  <c r="H2053" i="17"/>
  <c r="H2054" i="17"/>
  <c r="H2055" i="17"/>
  <c r="I2052" i="17"/>
  <c r="I2053" i="17"/>
  <c r="I2054" i="17"/>
  <c r="I2055" i="17"/>
  <c r="J2052" i="17"/>
  <c r="J2053" i="17"/>
  <c r="J2054" i="17"/>
  <c r="J2055" i="17"/>
  <c r="K2052" i="17"/>
  <c r="K2053" i="17"/>
  <c r="K2054" i="17"/>
  <c r="K2055" i="17"/>
  <c r="N2052" i="17"/>
  <c r="N2053" i="17"/>
  <c r="N2054" i="17"/>
  <c r="N2055" i="17"/>
  <c r="O2052" i="17"/>
  <c r="O2053" i="17"/>
  <c r="O2054" i="17"/>
  <c r="O2055" i="17"/>
  <c r="Q2052" i="17"/>
  <c r="Q2053" i="17"/>
  <c r="Q2054" i="17"/>
  <c r="Q2055" i="17"/>
  <c r="S2052" i="17"/>
  <c r="S2053" i="17"/>
  <c r="S2054" i="17"/>
  <c r="S2055" i="17"/>
  <c r="T2052" i="17"/>
  <c r="T2053" i="17"/>
  <c r="T2054" i="17"/>
  <c r="T2055" i="17"/>
  <c r="U2052" i="17"/>
  <c r="U2053" i="17"/>
  <c r="U2054" i="17"/>
  <c r="U2055" i="17"/>
  <c r="V2052" i="17"/>
  <c r="V2053" i="17"/>
  <c r="V2054" i="17"/>
  <c r="V2055" i="17"/>
  <c r="W2052" i="17"/>
  <c r="W2053" i="17"/>
  <c r="W2054" i="17"/>
  <c r="W2055" i="17"/>
  <c r="H2044" i="17"/>
  <c r="H2045" i="17"/>
  <c r="H2046" i="17"/>
  <c r="H2047" i="17"/>
  <c r="H2048" i="17"/>
  <c r="H2049" i="17"/>
  <c r="H2050" i="17"/>
  <c r="H2051" i="17"/>
  <c r="I2044" i="17"/>
  <c r="I2045" i="17"/>
  <c r="I2046" i="17"/>
  <c r="I2047" i="17"/>
  <c r="I2048" i="17"/>
  <c r="I2049" i="17"/>
  <c r="I2050" i="17"/>
  <c r="I2051" i="17"/>
  <c r="J2044" i="17"/>
  <c r="J2045" i="17"/>
  <c r="J2046" i="17"/>
  <c r="J2047" i="17"/>
  <c r="J2048" i="17"/>
  <c r="J2049" i="17"/>
  <c r="J2050" i="17"/>
  <c r="J2051" i="17"/>
  <c r="K2044" i="17"/>
  <c r="K2045" i="17"/>
  <c r="K2046" i="17"/>
  <c r="K2047" i="17"/>
  <c r="K2048" i="17"/>
  <c r="K2049" i="17"/>
  <c r="K2050" i="17"/>
  <c r="K2051" i="17"/>
  <c r="N2044" i="17"/>
  <c r="N2045" i="17"/>
  <c r="N2046" i="17"/>
  <c r="N2047" i="17"/>
  <c r="N2048" i="17"/>
  <c r="N2049" i="17"/>
  <c r="N2050" i="17"/>
  <c r="N2051" i="17"/>
  <c r="O2044" i="17"/>
  <c r="O2045" i="17"/>
  <c r="O2046" i="17"/>
  <c r="O2047" i="17"/>
  <c r="O2048" i="17"/>
  <c r="O2049" i="17"/>
  <c r="O2050" i="17"/>
  <c r="O2051" i="17"/>
  <c r="Q2044" i="17"/>
  <c r="Q2045" i="17"/>
  <c r="Q2046" i="17"/>
  <c r="Q2047" i="17"/>
  <c r="Q2048" i="17"/>
  <c r="Q2049" i="17"/>
  <c r="Q2050" i="17"/>
  <c r="Q2051" i="17"/>
  <c r="S2044" i="17"/>
  <c r="S2045" i="17"/>
  <c r="S2046" i="17"/>
  <c r="S2047" i="17"/>
  <c r="S2048" i="17"/>
  <c r="S2049" i="17"/>
  <c r="S2050" i="17"/>
  <c r="S2051" i="17"/>
  <c r="T2044" i="17"/>
  <c r="T2045" i="17"/>
  <c r="T2046" i="17"/>
  <c r="T2047" i="17"/>
  <c r="T2048" i="17"/>
  <c r="T2049" i="17"/>
  <c r="T2050" i="17"/>
  <c r="T2051" i="17"/>
  <c r="U2044" i="17"/>
  <c r="U2045" i="17"/>
  <c r="U2046" i="17"/>
  <c r="U2047" i="17"/>
  <c r="U2048" i="17"/>
  <c r="U2049" i="17"/>
  <c r="U2050" i="17"/>
  <c r="U2051" i="17"/>
  <c r="V2044" i="17"/>
  <c r="V2045" i="17"/>
  <c r="V2046" i="17"/>
  <c r="V2047" i="17"/>
  <c r="V2048" i="17"/>
  <c r="V2049" i="17"/>
  <c r="V2050" i="17"/>
  <c r="V2051" i="17"/>
  <c r="W2044" i="17"/>
  <c r="W2045" i="17"/>
  <c r="W2046" i="17"/>
  <c r="W2047" i="17"/>
  <c r="W2048" i="17"/>
  <c r="W2049" i="17"/>
  <c r="W2050" i="17"/>
  <c r="W2051" i="17"/>
  <c r="H2056" i="17"/>
  <c r="I2056" i="17"/>
  <c r="J2056" i="17"/>
  <c r="K2056" i="17"/>
  <c r="N2056" i="17"/>
  <c r="O2056" i="17"/>
  <c r="Q2056" i="17"/>
  <c r="S2056" i="17"/>
  <c r="T2056" i="17"/>
  <c r="U2056" i="17"/>
  <c r="V2056" i="17"/>
  <c r="W2056" i="17"/>
  <c r="H1367" i="17"/>
  <c r="H1368" i="17"/>
  <c r="H1369" i="17"/>
  <c r="I1367" i="17"/>
  <c r="I1368" i="17"/>
  <c r="I1369" i="17"/>
  <c r="J1367" i="17"/>
  <c r="J1368" i="17"/>
  <c r="J1369" i="17"/>
  <c r="K1367" i="17"/>
  <c r="K1368" i="17"/>
  <c r="K1369" i="17"/>
  <c r="N1367" i="17"/>
  <c r="N1368" i="17"/>
  <c r="N1369" i="17"/>
  <c r="O1367" i="17"/>
  <c r="O1368" i="17"/>
  <c r="O1369" i="17"/>
  <c r="Q1367" i="17"/>
  <c r="Q1368" i="17"/>
  <c r="Q1369" i="17"/>
  <c r="S1367" i="17"/>
  <c r="S1368" i="17"/>
  <c r="S1369" i="17"/>
  <c r="T1367" i="17"/>
  <c r="T1368" i="17"/>
  <c r="T1369" i="17"/>
  <c r="U1367" i="17"/>
  <c r="U1368" i="17"/>
  <c r="U1369" i="17"/>
  <c r="V1367" i="17"/>
  <c r="V1368" i="17"/>
  <c r="V1369" i="17"/>
  <c r="W1367" i="17"/>
  <c r="W1368" i="17"/>
  <c r="W1369" i="17"/>
  <c r="H1355" i="17"/>
  <c r="H1356" i="17"/>
  <c r="H1357" i="17"/>
  <c r="H1358" i="17"/>
  <c r="H1359" i="17"/>
  <c r="H1360" i="17"/>
  <c r="H1361" i="17"/>
  <c r="H1362" i="17"/>
  <c r="H1363" i="17"/>
  <c r="I1355" i="17"/>
  <c r="I1356" i="17"/>
  <c r="I1357" i="17"/>
  <c r="I1358" i="17"/>
  <c r="I1359" i="17"/>
  <c r="I1360" i="17"/>
  <c r="I1361" i="17"/>
  <c r="I1362" i="17"/>
  <c r="I1363" i="17"/>
  <c r="J1355" i="17"/>
  <c r="J1356" i="17"/>
  <c r="J1357" i="17"/>
  <c r="J1358" i="17"/>
  <c r="J1359" i="17"/>
  <c r="J1360" i="17"/>
  <c r="J1361" i="17"/>
  <c r="J1362" i="17"/>
  <c r="J1363" i="17"/>
  <c r="K1355" i="17"/>
  <c r="K1356" i="17"/>
  <c r="K1357" i="17"/>
  <c r="K1358" i="17"/>
  <c r="K1359" i="17"/>
  <c r="K1360" i="17"/>
  <c r="K1361" i="17"/>
  <c r="K1362" i="17"/>
  <c r="K1363" i="17"/>
  <c r="N1355" i="17"/>
  <c r="N1356" i="17"/>
  <c r="N1357" i="17"/>
  <c r="N1358" i="17"/>
  <c r="N1359" i="17"/>
  <c r="N1360" i="17"/>
  <c r="N1361" i="17"/>
  <c r="N1362" i="17"/>
  <c r="N1363" i="17"/>
  <c r="O1355" i="17"/>
  <c r="O1356" i="17"/>
  <c r="O1357" i="17"/>
  <c r="O1358" i="17"/>
  <c r="O1359" i="17"/>
  <c r="O1360" i="17"/>
  <c r="O1361" i="17"/>
  <c r="O1362" i="17"/>
  <c r="O1363" i="17"/>
  <c r="Q1355" i="17"/>
  <c r="Q1356" i="17"/>
  <c r="Q1357" i="17"/>
  <c r="Q1358" i="17"/>
  <c r="Q1359" i="17"/>
  <c r="Q1360" i="17"/>
  <c r="Q1361" i="17"/>
  <c r="Q1362" i="17"/>
  <c r="Q1363" i="17"/>
  <c r="S1355" i="17"/>
  <c r="S1356" i="17"/>
  <c r="S1357" i="17"/>
  <c r="S1358" i="17"/>
  <c r="S1359" i="17"/>
  <c r="S1360" i="17"/>
  <c r="S1361" i="17"/>
  <c r="S1362" i="17"/>
  <c r="S1363" i="17"/>
  <c r="T1355" i="17"/>
  <c r="T1356" i="17"/>
  <c r="T1357" i="17"/>
  <c r="T1358" i="17"/>
  <c r="T1359" i="17"/>
  <c r="T1360" i="17"/>
  <c r="T1361" i="17"/>
  <c r="T1362" i="17"/>
  <c r="T1363" i="17"/>
  <c r="U1355" i="17"/>
  <c r="U1356" i="17"/>
  <c r="U1357" i="17"/>
  <c r="U1358" i="17"/>
  <c r="U1359" i="17"/>
  <c r="U1360" i="17"/>
  <c r="U1361" i="17"/>
  <c r="U1362" i="17"/>
  <c r="U1363" i="17"/>
  <c r="V1355" i="17"/>
  <c r="V1356" i="17"/>
  <c r="V1357" i="17"/>
  <c r="V1358" i="17"/>
  <c r="V1359" i="17"/>
  <c r="V1360" i="17"/>
  <c r="V1361" i="17"/>
  <c r="V1362" i="17"/>
  <c r="V1363" i="17"/>
  <c r="W1355" i="17"/>
  <c r="W1356" i="17"/>
  <c r="W1357" i="17"/>
  <c r="W1358" i="17"/>
  <c r="W1359" i="17"/>
  <c r="W1360" i="17"/>
  <c r="W1361" i="17"/>
  <c r="W1362" i="17"/>
  <c r="W1363" i="17"/>
  <c r="H1338" i="17"/>
  <c r="H1339" i="17"/>
  <c r="H1340" i="17"/>
  <c r="H1341" i="17"/>
  <c r="H1342" i="17"/>
  <c r="H1343" i="17"/>
  <c r="H1344" i="17"/>
  <c r="H1345" i="17"/>
  <c r="H1346" i="17"/>
  <c r="H1347" i="17"/>
  <c r="I1338" i="17"/>
  <c r="I1339" i="17"/>
  <c r="I1340" i="17"/>
  <c r="I1341" i="17"/>
  <c r="I1342" i="17"/>
  <c r="I1343" i="17"/>
  <c r="I1344" i="17"/>
  <c r="I1345" i="17"/>
  <c r="I1346" i="17"/>
  <c r="I1347" i="17"/>
  <c r="J1338" i="17"/>
  <c r="J1339" i="17"/>
  <c r="J1340" i="17"/>
  <c r="J1341" i="17"/>
  <c r="J1342" i="17"/>
  <c r="J1343" i="17"/>
  <c r="J1344" i="17"/>
  <c r="J1345" i="17"/>
  <c r="J1346" i="17"/>
  <c r="J1347" i="17"/>
  <c r="K1338" i="17"/>
  <c r="K1339" i="17"/>
  <c r="K1340" i="17"/>
  <c r="K1341" i="17"/>
  <c r="K1342" i="17"/>
  <c r="K1343" i="17"/>
  <c r="K1344" i="17"/>
  <c r="K1345" i="17"/>
  <c r="K1346" i="17"/>
  <c r="K1347" i="17"/>
  <c r="N1338" i="17"/>
  <c r="N1339" i="17"/>
  <c r="N1340" i="17"/>
  <c r="N1341" i="17"/>
  <c r="N1342" i="17"/>
  <c r="N1343" i="17"/>
  <c r="N1344" i="17"/>
  <c r="N1345" i="17"/>
  <c r="N1346" i="17"/>
  <c r="N1347" i="17"/>
  <c r="O1338" i="17"/>
  <c r="O1339" i="17"/>
  <c r="O1340" i="17"/>
  <c r="O1341" i="17"/>
  <c r="O1342" i="17"/>
  <c r="O1343" i="17"/>
  <c r="O1344" i="17"/>
  <c r="O1345" i="17"/>
  <c r="O1346" i="17"/>
  <c r="O1347" i="17"/>
  <c r="Q1338" i="17"/>
  <c r="Q1339" i="17"/>
  <c r="Q1340" i="17"/>
  <c r="Q1341" i="17"/>
  <c r="Q1342" i="17"/>
  <c r="Q1343" i="17"/>
  <c r="Q1344" i="17"/>
  <c r="Q1345" i="17"/>
  <c r="Q1346" i="17"/>
  <c r="Q1347" i="17"/>
  <c r="S1338" i="17"/>
  <c r="S1339" i="17"/>
  <c r="S1340" i="17"/>
  <c r="S1341" i="17"/>
  <c r="S1342" i="17"/>
  <c r="S1343" i="17"/>
  <c r="S1344" i="17"/>
  <c r="S1345" i="17"/>
  <c r="S1346" i="17"/>
  <c r="S1347" i="17"/>
  <c r="T1338" i="17"/>
  <c r="T1339" i="17"/>
  <c r="T1340" i="17"/>
  <c r="T1341" i="17"/>
  <c r="T1342" i="17"/>
  <c r="T1343" i="17"/>
  <c r="T1344" i="17"/>
  <c r="T1345" i="17"/>
  <c r="T1346" i="17"/>
  <c r="T1347" i="17"/>
  <c r="U1338" i="17"/>
  <c r="U1339" i="17"/>
  <c r="U1340" i="17"/>
  <c r="U1341" i="17"/>
  <c r="U1342" i="17"/>
  <c r="U1343" i="17"/>
  <c r="U1344" i="17"/>
  <c r="U1345" i="17"/>
  <c r="U1346" i="17"/>
  <c r="U1347" i="17"/>
  <c r="V1338" i="17"/>
  <c r="V1339" i="17"/>
  <c r="V1340" i="17"/>
  <c r="V1341" i="17"/>
  <c r="V1342" i="17"/>
  <c r="V1343" i="17"/>
  <c r="V1344" i="17"/>
  <c r="V1345" i="17"/>
  <c r="V1346" i="17"/>
  <c r="V1347" i="17"/>
  <c r="W1338" i="17"/>
  <c r="W1339" i="17"/>
  <c r="W1340" i="17"/>
  <c r="W1341" i="17"/>
  <c r="W1342" i="17"/>
  <c r="W1343" i="17"/>
  <c r="W1344" i="17"/>
  <c r="W1345" i="17"/>
  <c r="W1346" i="17"/>
  <c r="W1347" i="17"/>
  <c r="H1348" i="17"/>
  <c r="H1349" i="17"/>
  <c r="H1350" i="17"/>
  <c r="H1351" i="17"/>
  <c r="H1352" i="17"/>
  <c r="H1353" i="17"/>
  <c r="H1354" i="17"/>
  <c r="H1364" i="17"/>
  <c r="H1365" i="17"/>
  <c r="H1366" i="17"/>
  <c r="I1348" i="17"/>
  <c r="I1349" i="17"/>
  <c r="I1350" i="17"/>
  <c r="I1351" i="17"/>
  <c r="I1352" i="17"/>
  <c r="I1353" i="17"/>
  <c r="I1354" i="17"/>
  <c r="I1364" i="17"/>
  <c r="I1365" i="17"/>
  <c r="I1366" i="17"/>
  <c r="J1348" i="17"/>
  <c r="J1349" i="17"/>
  <c r="J1350" i="17"/>
  <c r="J1351" i="17"/>
  <c r="J1352" i="17"/>
  <c r="J1353" i="17"/>
  <c r="J1354" i="17"/>
  <c r="J1364" i="17"/>
  <c r="J1365" i="17"/>
  <c r="J1366" i="17"/>
  <c r="K1348" i="17"/>
  <c r="K1349" i="17"/>
  <c r="K1350" i="17"/>
  <c r="K1351" i="17"/>
  <c r="K1352" i="17"/>
  <c r="K1353" i="17"/>
  <c r="K1354" i="17"/>
  <c r="K1364" i="17"/>
  <c r="K1365" i="17"/>
  <c r="K1366" i="17"/>
  <c r="N1348" i="17"/>
  <c r="N1349" i="17"/>
  <c r="N1350" i="17"/>
  <c r="N1351" i="17"/>
  <c r="N1352" i="17"/>
  <c r="N1353" i="17"/>
  <c r="N1354" i="17"/>
  <c r="N1364" i="17"/>
  <c r="N1365" i="17"/>
  <c r="N1366" i="17"/>
  <c r="O1348" i="17"/>
  <c r="O1349" i="17"/>
  <c r="O1350" i="17"/>
  <c r="O1351" i="17"/>
  <c r="O1352" i="17"/>
  <c r="O1353" i="17"/>
  <c r="O1354" i="17"/>
  <c r="O1364" i="17"/>
  <c r="O1365" i="17"/>
  <c r="O1366" i="17"/>
  <c r="Q1348" i="17"/>
  <c r="Q1349" i="17"/>
  <c r="Q1350" i="17"/>
  <c r="Q1351" i="17"/>
  <c r="Q1352" i="17"/>
  <c r="Q1353" i="17"/>
  <c r="Q1354" i="17"/>
  <c r="Q1364" i="17"/>
  <c r="Q1365" i="17"/>
  <c r="Q1366" i="17"/>
  <c r="S1348" i="17"/>
  <c r="S1349" i="17"/>
  <c r="S1350" i="17"/>
  <c r="S1351" i="17"/>
  <c r="S1352" i="17"/>
  <c r="S1353" i="17"/>
  <c r="S1354" i="17"/>
  <c r="S1364" i="17"/>
  <c r="S1365" i="17"/>
  <c r="S1366" i="17"/>
  <c r="T1348" i="17"/>
  <c r="T1349" i="17"/>
  <c r="T1350" i="17"/>
  <c r="T1351" i="17"/>
  <c r="T1352" i="17"/>
  <c r="T1353" i="17"/>
  <c r="T1354" i="17"/>
  <c r="T1364" i="17"/>
  <c r="T1365" i="17"/>
  <c r="T1366" i="17"/>
  <c r="U1348" i="17"/>
  <c r="U1349" i="17"/>
  <c r="U1350" i="17"/>
  <c r="U1351" i="17"/>
  <c r="U1352" i="17"/>
  <c r="U1353" i="17"/>
  <c r="U1354" i="17"/>
  <c r="U1364" i="17"/>
  <c r="U1365" i="17"/>
  <c r="U1366" i="17"/>
  <c r="V1348" i="17"/>
  <c r="V1349" i="17"/>
  <c r="V1350" i="17"/>
  <c r="V1351" i="17"/>
  <c r="V1352" i="17"/>
  <c r="V1353" i="17"/>
  <c r="V1354" i="17"/>
  <c r="V1364" i="17"/>
  <c r="V1365" i="17"/>
  <c r="V1366" i="17"/>
  <c r="W1348" i="17"/>
  <c r="W1349" i="17"/>
  <c r="W1350" i="17"/>
  <c r="W1351" i="17"/>
  <c r="W1352" i="17"/>
  <c r="W1353" i="17"/>
  <c r="W1354" i="17"/>
  <c r="W1364" i="17"/>
  <c r="W1365" i="17"/>
  <c r="W1366" i="17"/>
  <c r="W1336" i="17"/>
  <c r="V1336" i="17"/>
  <c r="U1336" i="17"/>
  <c r="T1336" i="17"/>
  <c r="S1336" i="17"/>
  <c r="Q1336" i="17"/>
  <c r="O1336" i="17"/>
  <c r="N1336" i="17"/>
  <c r="K1336" i="17"/>
  <c r="J1336" i="17"/>
  <c r="I1336" i="17"/>
  <c r="H1336" i="17"/>
  <c r="H1337" i="17"/>
  <c r="I1337" i="17"/>
  <c r="J1337" i="17"/>
  <c r="K1337" i="17"/>
  <c r="N1337" i="17"/>
  <c r="O1337" i="17"/>
  <c r="Q1337" i="17"/>
  <c r="S1337" i="17"/>
  <c r="T1337" i="17"/>
  <c r="U1337" i="17"/>
  <c r="V1337" i="17"/>
  <c r="W1337" i="17"/>
  <c r="P84" i="16"/>
  <c r="T84" i="16"/>
  <c r="P82" i="16"/>
  <c r="P83" i="16"/>
  <c r="T82" i="16"/>
  <c r="T83" i="16"/>
  <c r="P77" i="16"/>
  <c r="T77" i="16"/>
  <c r="P7" i="16"/>
  <c r="T7" i="16"/>
  <c r="P78" i="16"/>
  <c r="T78" i="16"/>
  <c r="P93" i="16"/>
  <c r="T93" i="16"/>
  <c r="P87" i="16"/>
  <c r="T87" i="16"/>
  <c r="P94" i="16"/>
  <c r="T94" i="16"/>
  <c r="P79" i="16"/>
  <c r="T79" i="16"/>
  <c r="P76" i="16"/>
  <c r="T76" i="16"/>
  <c r="P97" i="16"/>
  <c r="T97" i="16"/>
  <c r="P86" i="16"/>
  <c r="T86" i="16"/>
  <c r="P88" i="16"/>
  <c r="T88" i="16"/>
  <c r="P116" i="16"/>
  <c r="T116" i="16"/>
  <c r="P95" i="16"/>
  <c r="T95" i="16"/>
  <c r="P98" i="16"/>
  <c r="T98" i="16"/>
  <c r="P10" i="16"/>
  <c r="T10" i="16"/>
  <c r="P8" i="16"/>
  <c r="T8" i="16"/>
  <c r="P80" i="16"/>
  <c r="T80" i="16"/>
  <c r="P85" i="16"/>
  <c r="T85" i="16"/>
  <c r="P89" i="16"/>
  <c r="T89" i="16"/>
  <c r="P96" i="16"/>
  <c r="T96" i="16"/>
  <c r="H1207" i="17"/>
  <c r="I1207" i="17"/>
  <c r="J1207" i="17"/>
  <c r="K1207" i="17"/>
  <c r="N1207" i="17"/>
  <c r="O1207" i="17"/>
  <c r="Q1207" i="17"/>
  <c r="S1207" i="17"/>
  <c r="T1207" i="17"/>
  <c r="U1207" i="17"/>
  <c r="V1207" i="17"/>
  <c r="W1207" i="17"/>
  <c r="H1199" i="17"/>
  <c r="H1200" i="17"/>
  <c r="H1201" i="17"/>
  <c r="H1202" i="17"/>
  <c r="H1203" i="17"/>
  <c r="H1204" i="17"/>
  <c r="H1205" i="17"/>
  <c r="H1206" i="17"/>
  <c r="I1199" i="17"/>
  <c r="I1200" i="17"/>
  <c r="I1201" i="17"/>
  <c r="I1202" i="17"/>
  <c r="I1203" i="17"/>
  <c r="I1204" i="17"/>
  <c r="I1205" i="17"/>
  <c r="I1206" i="17"/>
  <c r="J1199" i="17"/>
  <c r="J1200" i="17"/>
  <c r="J1201" i="17"/>
  <c r="J1202" i="17"/>
  <c r="J1203" i="17"/>
  <c r="J1204" i="17"/>
  <c r="J1205" i="17"/>
  <c r="J1206" i="17"/>
  <c r="K1199" i="17"/>
  <c r="K1200" i="17"/>
  <c r="K1201" i="17"/>
  <c r="K1202" i="17"/>
  <c r="K1203" i="17"/>
  <c r="K1204" i="17"/>
  <c r="K1205" i="17"/>
  <c r="K1206" i="17"/>
  <c r="N1199" i="17"/>
  <c r="N1200" i="17"/>
  <c r="N1201" i="17"/>
  <c r="N1202" i="17"/>
  <c r="N1203" i="17"/>
  <c r="N1204" i="17"/>
  <c r="N1205" i="17"/>
  <c r="N1206" i="17"/>
  <c r="O1199" i="17"/>
  <c r="O1200" i="17"/>
  <c r="O1201" i="17"/>
  <c r="O1202" i="17"/>
  <c r="O1203" i="17"/>
  <c r="O1204" i="17"/>
  <c r="O1205" i="17"/>
  <c r="O1206" i="17"/>
  <c r="Q1199" i="17"/>
  <c r="Q1200" i="17"/>
  <c r="Q1201" i="17"/>
  <c r="Q1202" i="17"/>
  <c r="Q1203" i="17"/>
  <c r="Q1204" i="17"/>
  <c r="Q1205" i="17"/>
  <c r="Q1206" i="17"/>
  <c r="S1199" i="17"/>
  <c r="S1200" i="17"/>
  <c r="S1201" i="17"/>
  <c r="S1202" i="17"/>
  <c r="S1203" i="17"/>
  <c r="S1204" i="17"/>
  <c r="S1205" i="17"/>
  <c r="S1206" i="17"/>
  <c r="T1199" i="17"/>
  <c r="T1200" i="17"/>
  <c r="T1201" i="17"/>
  <c r="T1202" i="17"/>
  <c r="T1203" i="17"/>
  <c r="T1204" i="17"/>
  <c r="T1205" i="17"/>
  <c r="T1206" i="17"/>
  <c r="U1199" i="17"/>
  <c r="U1200" i="17"/>
  <c r="U1201" i="17"/>
  <c r="U1202" i="17"/>
  <c r="U1203" i="17"/>
  <c r="U1204" i="17"/>
  <c r="U1205" i="17"/>
  <c r="U1206" i="17"/>
  <c r="V1199" i="17"/>
  <c r="V1200" i="17"/>
  <c r="V1201" i="17"/>
  <c r="V1202" i="17"/>
  <c r="V1203" i="17"/>
  <c r="V1204" i="17"/>
  <c r="V1205" i="17"/>
  <c r="V1206" i="17"/>
  <c r="W1199" i="17"/>
  <c r="W1200" i="17"/>
  <c r="W1201" i="17"/>
  <c r="W1202" i="17"/>
  <c r="W1203" i="17"/>
  <c r="W1204" i="17"/>
  <c r="W1205" i="17"/>
  <c r="W1206" i="17"/>
  <c r="H2005" i="17"/>
  <c r="H2006" i="17"/>
  <c r="H2007" i="17"/>
  <c r="H2008" i="17"/>
  <c r="H2009" i="17"/>
  <c r="H2010" i="17"/>
  <c r="H2011" i="17"/>
  <c r="H2012" i="17"/>
  <c r="H2013" i="17"/>
  <c r="H2014" i="17"/>
  <c r="I2005" i="17"/>
  <c r="I2006" i="17"/>
  <c r="I2007" i="17"/>
  <c r="I2008" i="17"/>
  <c r="I2009" i="17"/>
  <c r="I2010" i="17"/>
  <c r="I2011" i="17"/>
  <c r="I2012" i="17"/>
  <c r="I2013" i="17"/>
  <c r="I2014" i="17"/>
  <c r="J2005" i="17"/>
  <c r="J2006" i="17"/>
  <c r="J2007" i="17"/>
  <c r="J2008" i="17"/>
  <c r="J2009" i="17"/>
  <c r="J2010" i="17"/>
  <c r="J2011" i="17"/>
  <c r="J2012" i="17"/>
  <c r="J2013" i="17"/>
  <c r="J2014" i="17"/>
  <c r="K2005" i="17"/>
  <c r="K2006" i="17"/>
  <c r="K2007" i="17"/>
  <c r="K2008" i="17"/>
  <c r="K2009" i="17"/>
  <c r="K2010" i="17"/>
  <c r="K2011" i="17"/>
  <c r="K2012" i="17"/>
  <c r="K2013" i="17"/>
  <c r="K2014" i="17"/>
  <c r="N2005" i="17"/>
  <c r="N2006" i="17"/>
  <c r="N2007" i="17"/>
  <c r="N2008" i="17"/>
  <c r="N2009" i="17"/>
  <c r="N2010" i="17"/>
  <c r="N2011" i="17"/>
  <c r="N2012" i="17"/>
  <c r="N2013" i="17"/>
  <c r="N2014" i="17"/>
  <c r="O2005" i="17"/>
  <c r="O2006" i="17"/>
  <c r="O2007" i="17"/>
  <c r="O2008" i="17"/>
  <c r="O2009" i="17"/>
  <c r="O2010" i="17"/>
  <c r="O2011" i="17"/>
  <c r="O2012" i="17"/>
  <c r="O2013" i="17"/>
  <c r="O2014" i="17"/>
  <c r="Q2005" i="17"/>
  <c r="Q2006" i="17"/>
  <c r="Q2007" i="17"/>
  <c r="Q2008" i="17"/>
  <c r="Q2009" i="17"/>
  <c r="Q2010" i="17"/>
  <c r="Q2011" i="17"/>
  <c r="Q2012" i="17"/>
  <c r="Q2013" i="17"/>
  <c r="Q2014" i="17"/>
  <c r="S2005" i="17"/>
  <c r="S2006" i="17"/>
  <c r="S2007" i="17"/>
  <c r="S2008" i="17"/>
  <c r="S2009" i="17"/>
  <c r="S2010" i="17"/>
  <c r="S2011" i="17"/>
  <c r="S2012" i="17"/>
  <c r="S2013" i="17"/>
  <c r="S2014" i="17"/>
  <c r="T2005" i="17"/>
  <c r="T2006" i="17"/>
  <c r="T2007" i="17"/>
  <c r="T2008" i="17"/>
  <c r="T2009" i="17"/>
  <c r="T2010" i="17"/>
  <c r="T2011" i="17"/>
  <c r="T2012" i="17"/>
  <c r="T2013" i="17"/>
  <c r="T2014" i="17"/>
  <c r="U2005" i="17"/>
  <c r="U2006" i="17"/>
  <c r="U2007" i="17"/>
  <c r="U2008" i="17"/>
  <c r="U2009" i="17"/>
  <c r="U2010" i="17"/>
  <c r="U2011" i="17"/>
  <c r="U2012" i="17"/>
  <c r="U2013" i="17"/>
  <c r="U2014" i="17"/>
  <c r="V2005" i="17"/>
  <c r="V2006" i="17"/>
  <c r="V2007" i="17"/>
  <c r="V2008" i="17"/>
  <c r="V2009" i="17"/>
  <c r="V2010" i="17"/>
  <c r="V2011" i="17"/>
  <c r="V2012" i="17"/>
  <c r="V2013" i="17"/>
  <c r="V2014" i="17"/>
  <c r="W2005" i="17"/>
  <c r="W2006" i="17"/>
  <c r="W2007" i="17"/>
  <c r="W2008" i="17"/>
  <c r="W2009" i="17"/>
  <c r="W2010" i="17"/>
  <c r="W2011" i="17"/>
  <c r="W2012" i="17"/>
  <c r="W2013" i="17"/>
  <c r="W2014" i="17"/>
  <c r="H2002" i="17"/>
  <c r="I2002" i="17"/>
  <c r="J2002" i="17"/>
  <c r="K2002" i="17"/>
  <c r="N2002" i="17"/>
  <c r="O2002" i="17"/>
  <c r="Q2002" i="17"/>
  <c r="S2002" i="17"/>
  <c r="T2002" i="17"/>
  <c r="U2002" i="17"/>
  <c r="V2002" i="17"/>
  <c r="W2002" i="17"/>
  <c r="H1999" i="17"/>
  <c r="H2000" i="17"/>
  <c r="H2001" i="17"/>
  <c r="H2003" i="17"/>
  <c r="I1999" i="17"/>
  <c r="I2000" i="17"/>
  <c r="I2001" i="17"/>
  <c r="I2003" i="17"/>
  <c r="J1999" i="17"/>
  <c r="J2000" i="17"/>
  <c r="J2001" i="17"/>
  <c r="J2003" i="17"/>
  <c r="K1999" i="17"/>
  <c r="K2000" i="17"/>
  <c r="K2001" i="17"/>
  <c r="K2003" i="17"/>
  <c r="N1999" i="17"/>
  <c r="N2000" i="17"/>
  <c r="N2001" i="17"/>
  <c r="N2003" i="17"/>
  <c r="O1999" i="17"/>
  <c r="O2000" i="17"/>
  <c r="O2001" i="17"/>
  <c r="O2003" i="17"/>
  <c r="Q1999" i="17"/>
  <c r="Q2000" i="17"/>
  <c r="Q2001" i="17"/>
  <c r="Q2003" i="17"/>
  <c r="S1999" i="17"/>
  <c r="S2000" i="17"/>
  <c r="S2001" i="17"/>
  <c r="S2003" i="17"/>
  <c r="T1999" i="17"/>
  <c r="T2000" i="17"/>
  <c r="T2001" i="17"/>
  <c r="T2003" i="17"/>
  <c r="U1999" i="17"/>
  <c r="U2000" i="17"/>
  <c r="U2001" i="17"/>
  <c r="U2003" i="17"/>
  <c r="V1999" i="17"/>
  <c r="V2000" i="17"/>
  <c r="V2001" i="17"/>
  <c r="V2003" i="17"/>
  <c r="W1999" i="17"/>
  <c r="W2000" i="17"/>
  <c r="W2001" i="17"/>
  <c r="W2003" i="17"/>
  <c r="H2035" i="17"/>
  <c r="I2035" i="17"/>
  <c r="J2035" i="17"/>
  <c r="K2035" i="17"/>
  <c r="N2035" i="17"/>
  <c r="O2035" i="17"/>
  <c r="Q2035" i="17"/>
  <c r="S2035" i="17"/>
  <c r="T2035" i="17"/>
  <c r="U2035" i="17"/>
  <c r="V2035" i="17"/>
  <c r="W2035" i="17"/>
  <c r="H1984" i="17"/>
  <c r="H1985" i="17"/>
  <c r="H1986" i="17"/>
  <c r="H1987" i="17"/>
  <c r="H1988" i="17"/>
  <c r="H1989" i="17"/>
  <c r="I1984" i="17"/>
  <c r="I1985" i="17"/>
  <c r="I1986" i="17"/>
  <c r="I1987" i="17"/>
  <c r="I1988" i="17"/>
  <c r="I1989" i="17"/>
  <c r="J1984" i="17"/>
  <c r="J1985" i="17"/>
  <c r="J1986" i="17"/>
  <c r="J1987" i="17"/>
  <c r="J1988" i="17"/>
  <c r="J1989" i="17"/>
  <c r="K1984" i="17"/>
  <c r="K1985" i="17"/>
  <c r="K1986" i="17"/>
  <c r="K1987" i="17"/>
  <c r="K1988" i="17"/>
  <c r="K1989" i="17"/>
  <c r="N1984" i="17"/>
  <c r="N1985" i="17"/>
  <c r="N1986" i="17"/>
  <c r="N1987" i="17"/>
  <c r="N1988" i="17"/>
  <c r="N1989" i="17"/>
  <c r="O1984" i="17"/>
  <c r="O1985" i="17"/>
  <c r="O1986" i="17"/>
  <c r="O1987" i="17"/>
  <c r="O1988" i="17"/>
  <c r="O1989" i="17"/>
  <c r="Q1984" i="17"/>
  <c r="Q1985" i="17"/>
  <c r="Q1986" i="17"/>
  <c r="Q1987" i="17"/>
  <c r="Q1988" i="17"/>
  <c r="Q1989" i="17"/>
  <c r="S1984" i="17"/>
  <c r="S1985" i="17"/>
  <c r="S1986" i="17"/>
  <c r="S1987" i="17"/>
  <c r="S1988" i="17"/>
  <c r="S1989" i="17"/>
  <c r="T1984" i="17"/>
  <c r="T1985" i="17"/>
  <c r="T1986" i="17"/>
  <c r="T1987" i="17"/>
  <c r="T1988" i="17"/>
  <c r="T1989" i="17"/>
  <c r="U1984" i="17"/>
  <c r="U1985" i="17"/>
  <c r="U1986" i="17"/>
  <c r="U1987" i="17"/>
  <c r="U1988" i="17"/>
  <c r="U1989" i="17"/>
  <c r="V1984" i="17"/>
  <c r="V1985" i="17"/>
  <c r="V1986" i="17"/>
  <c r="V1987" i="17"/>
  <c r="V1988" i="17"/>
  <c r="V1989" i="17"/>
  <c r="W1984" i="17"/>
  <c r="W1985" i="17"/>
  <c r="W1986" i="17"/>
  <c r="W1987" i="17"/>
  <c r="W1988" i="17"/>
  <c r="W1989" i="17"/>
  <c r="H1981" i="17"/>
  <c r="I1981" i="17"/>
  <c r="J1981" i="17"/>
  <c r="K1981" i="17"/>
  <c r="N1981" i="17"/>
  <c r="O1981" i="17"/>
  <c r="Q1981" i="17"/>
  <c r="S1981" i="17"/>
  <c r="T1981" i="17"/>
  <c r="U1981" i="17"/>
  <c r="V1981" i="17"/>
  <c r="W1981" i="17"/>
  <c r="H1971" i="17"/>
  <c r="H1972" i="17"/>
  <c r="H1973" i="17"/>
  <c r="H1974" i="17"/>
  <c r="H1975" i="17"/>
  <c r="H1976" i="17"/>
  <c r="H1977" i="17"/>
  <c r="H1978" i="17"/>
  <c r="H1979" i="17"/>
  <c r="H1980" i="17"/>
  <c r="I1971" i="17"/>
  <c r="I1972" i="17"/>
  <c r="I1973" i="17"/>
  <c r="I1974" i="17"/>
  <c r="I1975" i="17"/>
  <c r="I1976" i="17"/>
  <c r="I1977" i="17"/>
  <c r="I1978" i="17"/>
  <c r="I1979" i="17"/>
  <c r="I1980" i="17"/>
  <c r="J1971" i="17"/>
  <c r="J1972" i="17"/>
  <c r="J1973" i="17"/>
  <c r="J1974" i="17"/>
  <c r="J1975" i="17"/>
  <c r="J1976" i="17"/>
  <c r="J1977" i="17"/>
  <c r="J1978" i="17"/>
  <c r="J1979" i="17"/>
  <c r="J1980" i="17"/>
  <c r="K1971" i="17"/>
  <c r="K1972" i="17"/>
  <c r="K1973" i="17"/>
  <c r="K1974" i="17"/>
  <c r="K1975" i="17"/>
  <c r="K1976" i="17"/>
  <c r="K1977" i="17"/>
  <c r="K1978" i="17"/>
  <c r="K1979" i="17"/>
  <c r="K1980" i="17"/>
  <c r="N1971" i="17"/>
  <c r="N1972" i="17"/>
  <c r="N1973" i="17"/>
  <c r="N1974" i="17"/>
  <c r="N1975" i="17"/>
  <c r="N1976" i="17"/>
  <c r="N1977" i="17"/>
  <c r="N1978" i="17"/>
  <c r="N1979" i="17"/>
  <c r="N1980" i="17"/>
  <c r="O1971" i="17"/>
  <c r="O1972" i="17"/>
  <c r="O1973" i="17"/>
  <c r="O1974" i="17"/>
  <c r="O1975" i="17"/>
  <c r="O1976" i="17"/>
  <c r="O1977" i="17"/>
  <c r="O1978" i="17"/>
  <c r="O1979" i="17"/>
  <c r="O1980" i="17"/>
  <c r="Q1971" i="17"/>
  <c r="Q1972" i="17"/>
  <c r="Q1973" i="17"/>
  <c r="Q1974" i="17"/>
  <c r="Q1975" i="17"/>
  <c r="Q1976" i="17"/>
  <c r="Q1977" i="17"/>
  <c r="Q1978" i="17"/>
  <c r="Q1979" i="17"/>
  <c r="Q1980" i="17"/>
  <c r="S1971" i="17"/>
  <c r="S1972" i="17"/>
  <c r="S1973" i="17"/>
  <c r="S1974" i="17"/>
  <c r="S1975" i="17"/>
  <c r="S1976" i="17"/>
  <c r="S1977" i="17"/>
  <c r="S1978" i="17"/>
  <c r="S1979" i="17"/>
  <c r="S1980" i="17"/>
  <c r="T1971" i="17"/>
  <c r="T1972" i="17"/>
  <c r="T1973" i="17"/>
  <c r="T1974" i="17"/>
  <c r="T1975" i="17"/>
  <c r="T1976" i="17"/>
  <c r="T1977" i="17"/>
  <c r="T1978" i="17"/>
  <c r="T1979" i="17"/>
  <c r="T1980" i="17"/>
  <c r="U1971" i="17"/>
  <c r="U1972" i="17"/>
  <c r="U1973" i="17"/>
  <c r="U1974" i="17"/>
  <c r="U1975" i="17"/>
  <c r="U1976" i="17"/>
  <c r="U1977" i="17"/>
  <c r="U1978" i="17"/>
  <c r="U1979" i="17"/>
  <c r="U1980" i="17"/>
  <c r="V1971" i="17"/>
  <c r="V1972" i="17"/>
  <c r="V1973" i="17"/>
  <c r="V1974" i="17"/>
  <c r="V1975" i="17"/>
  <c r="V1976" i="17"/>
  <c r="V1977" i="17"/>
  <c r="V1978" i="17"/>
  <c r="V1979" i="17"/>
  <c r="V1980" i="17"/>
  <c r="W1971" i="17"/>
  <c r="W1972" i="17"/>
  <c r="W1973" i="17"/>
  <c r="W1974" i="17"/>
  <c r="W1975" i="17"/>
  <c r="W1976" i="17"/>
  <c r="W1977" i="17"/>
  <c r="W1978" i="17"/>
  <c r="W1979" i="17"/>
  <c r="W1980" i="17"/>
  <c r="H1967" i="17"/>
  <c r="H1968" i="17"/>
  <c r="H1969" i="17"/>
  <c r="I1967" i="17"/>
  <c r="I1968" i="17"/>
  <c r="I1969" i="17"/>
  <c r="J1967" i="17"/>
  <c r="J1968" i="17"/>
  <c r="J1969" i="17"/>
  <c r="K1967" i="17"/>
  <c r="K1968" i="17"/>
  <c r="K1969" i="17"/>
  <c r="N1967" i="17"/>
  <c r="N1968" i="17"/>
  <c r="N1969" i="17"/>
  <c r="O1967" i="17"/>
  <c r="O1968" i="17"/>
  <c r="O1969" i="17"/>
  <c r="Q1967" i="17"/>
  <c r="Q1968" i="17"/>
  <c r="Q1969" i="17"/>
  <c r="S1967" i="17"/>
  <c r="S1968" i="17"/>
  <c r="S1969" i="17"/>
  <c r="T1967" i="17"/>
  <c r="T1968" i="17"/>
  <c r="T1969" i="17"/>
  <c r="U1967" i="17"/>
  <c r="U1968" i="17"/>
  <c r="U1969" i="17"/>
  <c r="V1967" i="17"/>
  <c r="V1968" i="17"/>
  <c r="V1969" i="17"/>
  <c r="W1967" i="17"/>
  <c r="W1968" i="17"/>
  <c r="W1969" i="17"/>
  <c r="H1964" i="17"/>
  <c r="H1965" i="17"/>
  <c r="I1964" i="17"/>
  <c r="I1965" i="17"/>
  <c r="J1964" i="17"/>
  <c r="J1965" i="17"/>
  <c r="K1964" i="17"/>
  <c r="K1965" i="17"/>
  <c r="N1964" i="17"/>
  <c r="N1965" i="17"/>
  <c r="O1964" i="17"/>
  <c r="O1965" i="17"/>
  <c r="Q1964" i="17"/>
  <c r="Q1965" i="17"/>
  <c r="S1964" i="17"/>
  <c r="S1965" i="17"/>
  <c r="T1964" i="17"/>
  <c r="T1965" i="17"/>
  <c r="U1964" i="17"/>
  <c r="U1965" i="17"/>
  <c r="V1964" i="17"/>
  <c r="V1965" i="17"/>
  <c r="W1964" i="17"/>
  <c r="W1965" i="17"/>
  <c r="H1218" i="17"/>
  <c r="I1218" i="17"/>
  <c r="J1218" i="17"/>
  <c r="K1218" i="17"/>
  <c r="N1218" i="17"/>
  <c r="O1218" i="17"/>
  <c r="Q1218" i="17"/>
  <c r="S1218" i="17"/>
  <c r="T1218" i="17"/>
  <c r="U1218" i="17"/>
  <c r="V1218" i="17"/>
  <c r="W1218" i="17"/>
  <c r="H1189" i="17"/>
  <c r="H1190" i="17"/>
  <c r="I1189" i="17"/>
  <c r="I1190" i="17"/>
  <c r="J1189" i="17"/>
  <c r="J1190" i="17"/>
  <c r="K1189" i="17"/>
  <c r="K1190" i="17"/>
  <c r="N1189" i="17"/>
  <c r="N1190" i="17"/>
  <c r="O1189" i="17"/>
  <c r="O1190" i="17"/>
  <c r="Q1189" i="17"/>
  <c r="Q1190" i="17"/>
  <c r="S1189" i="17"/>
  <c r="S1190" i="17"/>
  <c r="T1189" i="17"/>
  <c r="T1190" i="17"/>
  <c r="U1189" i="17"/>
  <c r="U1190" i="17"/>
  <c r="V1189" i="17"/>
  <c r="V1190" i="17"/>
  <c r="W1189" i="17"/>
  <c r="W1190" i="17"/>
  <c r="H1226" i="17"/>
  <c r="I1226" i="17"/>
  <c r="J1226" i="17"/>
  <c r="K1226" i="17"/>
  <c r="N1226" i="17"/>
  <c r="O1226" i="17"/>
  <c r="Q1226" i="17"/>
  <c r="S1226" i="17"/>
  <c r="T1226" i="17"/>
  <c r="U1226" i="17"/>
  <c r="V1226" i="17"/>
  <c r="W1226" i="17"/>
  <c r="H1038" i="17"/>
  <c r="I1038" i="17"/>
  <c r="J1038" i="17"/>
  <c r="K1038" i="17"/>
  <c r="N1038" i="17"/>
  <c r="O1038" i="17"/>
  <c r="Q1038" i="17"/>
  <c r="S1038" i="17"/>
  <c r="T1038" i="17"/>
  <c r="U1038" i="17"/>
  <c r="V1038" i="17"/>
  <c r="W1038" i="17"/>
  <c r="H970" i="17"/>
  <c r="I970" i="17"/>
  <c r="J970" i="17"/>
  <c r="K970" i="17"/>
  <c r="N970" i="17"/>
  <c r="O970" i="17"/>
  <c r="Q970" i="17"/>
  <c r="S970" i="17"/>
  <c r="T970" i="17"/>
  <c r="U970" i="17"/>
  <c r="V970" i="17"/>
  <c r="W970" i="17"/>
  <c r="H956" i="17"/>
  <c r="I956" i="17"/>
  <c r="J956" i="17"/>
  <c r="K956" i="17"/>
  <c r="N956" i="17"/>
  <c r="O956" i="17"/>
  <c r="Q956" i="17"/>
  <c r="S956" i="17"/>
  <c r="T956" i="17"/>
  <c r="U956" i="17"/>
  <c r="V956" i="17"/>
  <c r="W956" i="17"/>
  <c r="H922" i="17"/>
  <c r="I922" i="17"/>
  <c r="J922" i="17"/>
  <c r="K922" i="17"/>
  <c r="N922" i="17"/>
  <c r="O922" i="17"/>
  <c r="Q922" i="17"/>
  <c r="S922" i="17"/>
  <c r="T922" i="17"/>
  <c r="U922" i="17"/>
  <c r="V922" i="17"/>
  <c r="W922" i="17"/>
  <c r="H856" i="17"/>
  <c r="H857" i="17"/>
  <c r="I856" i="17"/>
  <c r="I857" i="17"/>
  <c r="J856" i="17"/>
  <c r="J857" i="17"/>
  <c r="K856" i="17"/>
  <c r="K857" i="17"/>
  <c r="N856" i="17"/>
  <c r="N857" i="17"/>
  <c r="O856" i="17"/>
  <c r="O857" i="17"/>
  <c r="Q856" i="17"/>
  <c r="Q857" i="17"/>
  <c r="S856" i="17"/>
  <c r="S857" i="17"/>
  <c r="T856" i="17"/>
  <c r="T857" i="17"/>
  <c r="U856" i="17"/>
  <c r="U857" i="17"/>
  <c r="V856" i="17"/>
  <c r="V857" i="17"/>
  <c r="W856" i="17"/>
  <c r="W857" i="17"/>
  <c r="H641" i="17"/>
  <c r="I641" i="17"/>
  <c r="J641" i="17"/>
  <c r="K641" i="17"/>
  <c r="N641" i="17"/>
  <c r="O641" i="17"/>
  <c r="Q641" i="17"/>
  <c r="S641" i="17"/>
  <c r="T641" i="17"/>
  <c r="U641" i="17"/>
  <c r="V641" i="17"/>
  <c r="W641" i="17"/>
  <c r="H628" i="17"/>
  <c r="H629" i="17"/>
  <c r="H630" i="17"/>
  <c r="H631" i="17"/>
  <c r="H632" i="17"/>
  <c r="H633" i="17"/>
  <c r="H634" i="17"/>
  <c r="H635" i="17"/>
  <c r="H636" i="17"/>
  <c r="H637" i="17"/>
  <c r="H638" i="17"/>
  <c r="H639" i="17"/>
  <c r="H640" i="17"/>
  <c r="I628" i="17"/>
  <c r="I629" i="17"/>
  <c r="I630" i="17"/>
  <c r="I631" i="17"/>
  <c r="I632" i="17"/>
  <c r="I633" i="17"/>
  <c r="I634" i="17"/>
  <c r="I635" i="17"/>
  <c r="I636" i="17"/>
  <c r="I637" i="17"/>
  <c r="I638" i="17"/>
  <c r="I639" i="17"/>
  <c r="I640" i="17"/>
  <c r="J628" i="17"/>
  <c r="J629" i="17"/>
  <c r="J630" i="17"/>
  <c r="J631" i="17"/>
  <c r="J632" i="17"/>
  <c r="J633" i="17"/>
  <c r="J634" i="17"/>
  <c r="J635" i="17"/>
  <c r="J636" i="17"/>
  <c r="J637" i="17"/>
  <c r="J638" i="17"/>
  <c r="J639" i="17"/>
  <c r="J640" i="17"/>
  <c r="K628" i="17"/>
  <c r="K629" i="17"/>
  <c r="K630" i="17"/>
  <c r="K631" i="17"/>
  <c r="K632" i="17"/>
  <c r="K633" i="17"/>
  <c r="K634" i="17"/>
  <c r="K635" i="17"/>
  <c r="K636" i="17"/>
  <c r="K637" i="17"/>
  <c r="K638" i="17"/>
  <c r="K639" i="17"/>
  <c r="K640" i="17"/>
  <c r="N628" i="17"/>
  <c r="N629" i="17"/>
  <c r="N630" i="17"/>
  <c r="N631" i="17"/>
  <c r="N632" i="17"/>
  <c r="N633" i="17"/>
  <c r="N634" i="17"/>
  <c r="N635" i="17"/>
  <c r="N636" i="17"/>
  <c r="N637" i="17"/>
  <c r="N638" i="17"/>
  <c r="N639" i="17"/>
  <c r="N640" i="17"/>
  <c r="O628" i="17"/>
  <c r="O629" i="17"/>
  <c r="O630" i="17"/>
  <c r="O631" i="17"/>
  <c r="O632" i="17"/>
  <c r="O633" i="17"/>
  <c r="O634" i="17"/>
  <c r="O635" i="17"/>
  <c r="O636" i="17"/>
  <c r="O637" i="17"/>
  <c r="O638" i="17"/>
  <c r="O639" i="17"/>
  <c r="O640" i="17"/>
  <c r="Q628" i="17"/>
  <c r="Q629" i="17"/>
  <c r="Q630" i="17"/>
  <c r="Q631" i="17"/>
  <c r="Q632" i="17"/>
  <c r="Q633" i="17"/>
  <c r="Q634" i="17"/>
  <c r="Q635" i="17"/>
  <c r="Q636" i="17"/>
  <c r="Q637" i="17"/>
  <c r="Q638" i="17"/>
  <c r="Q639" i="17"/>
  <c r="Q640" i="17"/>
  <c r="S628" i="17"/>
  <c r="S629" i="17"/>
  <c r="S630" i="17"/>
  <c r="S631" i="17"/>
  <c r="S632" i="17"/>
  <c r="S633" i="17"/>
  <c r="S634" i="17"/>
  <c r="S635" i="17"/>
  <c r="S636" i="17"/>
  <c r="S637" i="17"/>
  <c r="S638" i="17"/>
  <c r="S639" i="17"/>
  <c r="S640" i="17"/>
  <c r="T628" i="17"/>
  <c r="T629" i="17"/>
  <c r="T630" i="17"/>
  <c r="T631" i="17"/>
  <c r="T632" i="17"/>
  <c r="T633" i="17"/>
  <c r="T634" i="17"/>
  <c r="T635" i="17"/>
  <c r="T636" i="17"/>
  <c r="T637" i="17"/>
  <c r="T638" i="17"/>
  <c r="T639" i="17"/>
  <c r="T640" i="17"/>
  <c r="U628" i="17"/>
  <c r="U629" i="17"/>
  <c r="U630" i="17"/>
  <c r="U631" i="17"/>
  <c r="U632" i="17"/>
  <c r="U633" i="17"/>
  <c r="U634" i="17"/>
  <c r="U635" i="17"/>
  <c r="U636" i="17"/>
  <c r="U637" i="17"/>
  <c r="U638" i="17"/>
  <c r="U639" i="17"/>
  <c r="U640" i="17"/>
  <c r="V628" i="17"/>
  <c r="V629" i="17"/>
  <c r="V630" i="17"/>
  <c r="V631" i="17"/>
  <c r="V632" i="17"/>
  <c r="V633" i="17"/>
  <c r="V634" i="17"/>
  <c r="V635" i="17"/>
  <c r="V636" i="17"/>
  <c r="V637" i="17"/>
  <c r="V638" i="17"/>
  <c r="V639" i="17"/>
  <c r="V640" i="17"/>
  <c r="W628" i="17"/>
  <c r="W629" i="17"/>
  <c r="W630" i="17"/>
  <c r="W631" i="17"/>
  <c r="W632" i="17"/>
  <c r="W633" i="17"/>
  <c r="W634" i="17"/>
  <c r="W635" i="17"/>
  <c r="W636" i="17"/>
  <c r="W637" i="17"/>
  <c r="W638" i="17"/>
  <c r="W639" i="17"/>
  <c r="W640" i="17"/>
  <c r="H561" i="17"/>
  <c r="H562" i="17"/>
  <c r="I561" i="17"/>
  <c r="I562" i="17"/>
  <c r="J561" i="17"/>
  <c r="J562" i="17"/>
  <c r="K561" i="17"/>
  <c r="K562" i="17"/>
  <c r="N561" i="17"/>
  <c r="N562" i="17"/>
  <c r="O561" i="17"/>
  <c r="O562" i="17"/>
  <c r="Q561" i="17"/>
  <c r="Q562" i="17"/>
  <c r="S561" i="17"/>
  <c r="S562" i="17"/>
  <c r="T561" i="17"/>
  <c r="T562" i="17"/>
  <c r="U561" i="17"/>
  <c r="U562" i="17"/>
  <c r="V561" i="17"/>
  <c r="V562" i="17"/>
  <c r="W561" i="17"/>
  <c r="W562" i="17"/>
  <c r="H534" i="17"/>
  <c r="I534" i="17"/>
  <c r="J534" i="17"/>
  <c r="K534" i="17"/>
  <c r="N534" i="17"/>
  <c r="O534" i="17"/>
  <c r="Q534" i="17"/>
  <c r="S534" i="17"/>
  <c r="T534" i="17"/>
  <c r="U534" i="17"/>
  <c r="V534" i="17"/>
  <c r="W534" i="17"/>
  <c r="H216" i="17"/>
  <c r="I216" i="17"/>
  <c r="J216" i="17"/>
  <c r="K216" i="17"/>
  <c r="N216" i="17"/>
  <c r="O216" i="17"/>
  <c r="Q216" i="17"/>
  <c r="S216" i="17"/>
  <c r="T216" i="17"/>
  <c r="U216" i="17"/>
  <c r="V216" i="17"/>
  <c r="W216" i="17"/>
  <c r="H214" i="17"/>
  <c r="I214" i="17"/>
  <c r="J214" i="17"/>
  <c r="K214" i="17"/>
  <c r="N214" i="17"/>
  <c r="O214" i="17"/>
  <c r="Q214" i="17"/>
  <c r="S214" i="17"/>
  <c r="T214" i="17"/>
  <c r="U214" i="17"/>
  <c r="V214" i="17"/>
  <c r="W214" i="17"/>
  <c r="H2331" i="17"/>
  <c r="H2332" i="17"/>
  <c r="H2333" i="17"/>
  <c r="H2334" i="17"/>
  <c r="I2331" i="17"/>
  <c r="I2332" i="17"/>
  <c r="I2333" i="17"/>
  <c r="I2334" i="17"/>
  <c r="J2331" i="17"/>
  <c r="J2332" i="17"/>
  <c r="J2333" i="17"/>
  <c r="J2334" i="17"/>
  <c r="K2331" i="17"/>
  <c r="K2332" i="17"/>
  <c r="K2333" i="17"/>
  <c r="K2334" i="17"/>
  <c r="N2331" i="17"/>
  <c r="N2332" i="17"/>
  <c r="N2333" i="17"/>
  <c r="N2334" i="17"/>
  <c r="O2331" i="17"/>
  <c r="O2332" i="17"/>
  <c r="O2333" i="17"/>
  <c r="O2334" i="17"/>
  <c r="Q2331" i="17"/>
  <c r="Q2332" i="17"/>
  <c r="Q2333" i="17"/>
  <c r="Q2334" i="17"/>
  <c r="S2331" i="17"/>
  <c r="S2332" i="17"/>
  <c r="S2333" i="17"/>
  <c r="S2334" i="17"/>
  <c r="T2331" i="17"/>
  <c r="T2332" i="17"/>
  <c r="T2333" i="17"/>
  <c r="T2334" i="17"/>
  <c r="U2331" i="17"/>
  <c r="U2332" i="17"/>
  <c r="U2333" i="17"/>
  <c r="U2334" i="17"/>
  <c r="V2331" i="17"/>
  <c r="V2332" i="17"/>
  <c r="V2333" i="17"/>
  <c r="V2334" i="17"/>
  <c r="W2331" i="17"/>
  <c r="W2332" i="17"/>
  <c r="W2333" i="17"/>
  <c r="W2334" i="17"/>
  <c r="P61" i="16"/>
  <c r="P62" i="16"/>
  <c r="T61" i="16"/>
  <c r="T62" i="16"/>
  <c r="P59" i="16"/>
  <c r="T59" i="16"/>
  <c r="H1567" i="17"/>
  <c r="H1568" i="17"/>
  <c r="H1569" i="17"/>
  <c r="H1570" i="17"/>
  <c r="I1567" i="17"/>
  <c r="I1568" i="17"/>
  <c r="I1569" i="17"/>
  <c r="I1570" i="17"/>
  <c r="J1567" i="17"/>
  <c r="J1568" i="17"/>
  <c r="J1569" i="17"/>
  <c r="J1570" i="17"/>
  <c r="K1567" i="17"/>
  <c r="K1568" i="17"/>
  <c r="K1569" i="17"/>
  <c r="K1570" i="17"/>
  <c r="N1567" i="17"/>
  <c r="N1568" i="17"/>
  <c r="N1569" i="17"/>
  <c r="N1570" i="17"/>
  <c r="O1567" i="17"/>
  <c r="O1568" i="17"/>
  <c r="O1569" i="17"/>
  <c r="O1570" i="17"/>
  <c r="Q1567" i="17"/>
  <c r="Q1568" i="17"/>
  <c r="Q1569" i="17"/>
  <c r="Q1570" i="17"/>
  <c r="S1567" i="17"/>
  <c r="S1568" i="17"/>
  <c r="S1569" i="17"/>
  <c r="S1570" i="17"/>
  <c r="T1567" i="17"/>
  <c r="T1568" i="17"/>
  <c r="T1569" i="17"/>
  <c r="T1570" i="17"/>
  <c r="U1567" i="17"/>
  <c r="U1568" i="17"/>
  <c r="U1569" i="17"/>
  <c r="U1570" i="17"/>
  <c r="V1567" i="17"/>
  <c r="V1568" i="17"/>
  <c r="V1569" i="17"/>
  <c r="V1570" i="17"/>
  <c r="W1567" i="17"/>
  <c r="W1568" i="17"/>
  <c r="W1569" i="17"/>
  <c r="W1570" i="17"/>
  <c r="J41" i="17"/>
  <c r="J78" i="17"/>
  <c r="H1600" i="17"/>
  <c r="I1600" i="17"/>
  <c r="J1600" i="17"/>
  <c r="K1600" i="17"/>
  <c r="N1600" i="17"/>
  <c r="O1600" i="17"/>
  <c r="Q1600" i="17"/>
  <c r="S1600" i="17"/>
  <c r="T1600" i="17"/>
  <c r="U1600" i="17"/>
  <c r="V1600" i="17"/>
  <c r="W1600" i="17"/>
  <c r="H1602" i="17"/>
  <c r="H1603" i="17"/>
  <c r="H1604" i="17"/>
  <c r="H1605" i="17"/>
  <c r="I1602" i="17"/>
  <c r="I1603" i="17"/>
  <c r="I1604" i="17"/>
  <c r="I1605" i="17"/>
  <c r="J1602" i="17"/>
  <c r="J1603" i="17"/>
  <c r="J1604" i="17"/>
  <c r="J1605" i="17"/>
  <c r="K1602" i="17"/>
  <c r="K1603" i="17"/>
  <c r="K1604" i="17"/>
  <c r="K1605" i="17"/>
  <c r="N1602" i="17"/>
  <c r="N1603" i="17"/>
  <c r="N1604" i="17"/>
  <c r="N1605" i="17"/>
  <c r="O1602" i="17"/>
  <c r="O1603" i="17"/>
  <c r="O1604" i="17"/>
  <c r="O1605" i="17"/>
  <c r="Q1602" i="17"/>
  <c r="Q1603" i="17"/>
  <c r="Q1604" i="17"/>
  <c r="Q1605" i="17"/>
  <c r="S1602" i="17"/>
  <c r="S1603" i="17"/>
  <c r="S1604" i="17"/>
  <c r="S1605" i="17"/>
  <c r="T1602" i="17"/>
  <c r="T1603" i="17"/>
  <c r="T1604" i="17"/>
  <c r="T1605" i="17"/>
  <c r="U1602" i="17"/>
  <c r="U1603" i="17"/>
  <c r="U1604" i="17"/>
  <c r="U1605" i="17"/>
  <c r="V1602" i="17"/>
  <c r="V1603" i="17"/>
  <c r="V1604" i="17"/>
  <c r="V1605" i="17"/>
  <c r="W1602" i="17"/>
  <c r="W1603" i="17"/>
  <c r="W1604" i="17"/>
  <c r="W1605" i="17"/>
  <c r="H2261" i="17"/>
  <c r="H2262" i="17"/>
  <c r="H2263" i="17"/>
  <c r="I2261" i="17"/>
  <c r="I2262" i="17"/>
  <c r="I2263" i="17"/>
  <c r="J2261" i="17"/>
  <c r="J2262" i="17"/>
  <c r="J2263" i="17"/>
  <c r="K2261" i="17"/>
  <c r="K2262" i="17"/>
  <c r="K2263" i="17"/>
  <c r="N2261" i="17"/>
  <c r="N2262" i="17"/>
  <c r="N2263" i="17"/>
  <c r="O2261" i="17"/>
  <c r="O2262" i="17"/>
  <c r="O2263" i="17"/>
  <c r="Q2261" i="17"/>
  <c r="Q2262" i="17"/>
  <c r="Q2263" i="17"/>
  <c r="S2261" i="17"/>
  <c r="S2262" i="17"/>
  <c r="S2263" i="17"/>
  <c r="T2261" i="17"/>
  <c r="T2262" i="17"/>
  <c r="T2263" i="17"/>
  <c r="U2261" i="17"/>
  <c r="U2262" i="17"/>
  <c r="U2263" i="17"/>
  <c r="V2261" i="17"/>
  <c r="V2262" i="17"/>
  <c r="V2263" i="17"/>
  <c r="W2261" i="17"/>
  <c r="W2262" i="17"/>
  <c r="W2263" i="17"/>
  <c r="H1209" i="17"/>
  <c r="H1210" i="17"/>
  <c r="H1211" i="17"/>
  <c r="H1212" i="17"/>
  <c r="H1213" i="17"/>
  <c r="H1214" i="17"/>
  <c r="I1209" i="17"/>
  <c r="I1210" i="17"/>
  <c r="I1211" i="17"/>
  <c r="I1212" i="17"/>
  <c r="I1213" i="17"/>
  <c r="I1214" i="17"/>
  <c r="J1209" i="17"/>
  <c r="J1210" i="17"/>
  <c r="J1211" i="17"/>
  <c r="J1212" i="17"/>
  <c r="J1213" i="17"/>
  <c r="J1214" i="17"/>
  <c r="K1209" i="17"/>
  <c r="K1210" i="17"/>
  <c r="K1211" i="17"/>
  <c r="K1212" i="17"/>
  <c r="K1213" i="17"/>
  <c r="K1214" i="17"/>
  <c r="N1209" i="17"/>
  <c r="N1210" i="17"/>
  <c r="N1211" i="17"/>
  <c r="N1212" i="17"/>
  <c r="N1213" i="17"/>
  <c r="N1214" i="17"/>
  <c r="O1209" i="17"/>
  <c r="O1210" i="17"/>
  <c r="O1211" i="17"/>
  <c r="O1212" i="17"/>
  <c r="O1213" i="17"/>
  <c r="O1214" i="17"/>
  <c r="Q1209" i="17"/>
  <c r="Q1210" i="17"/>
  <c r="Q1211" i="17"/>
  <c r="Q1212" i="17"/>
  <c r="Q1213" i="17"/>
  <c r="Q1214" i="17"/>
  <c r="S1209" i="17"/>
  <c r="S1210" i="17"/>
  <c r="S1211" i="17"/>
  <c r="S1212" i="17"/>
  <c r="S1213" i="17"/>
  <c r="S1214" i="17"/>
  <c r="T1209" i="17"/>
  <c r="T1210" i="17"/>
  <c r="T1211" i="17"/>
  <c r="T1212" i="17"/>
  <c r="T1213" i="17"/>
  <c r="T1214" i="17"/>
  <c r="U1209" i="17"/>
  <c r="U1210" i="17"/>
  <c r="U1211" i="17"/>
  <c r="U1212" i="17"/>
  <c r="U1213" i="17"/>
  <c r="U1214" i="17"/>
  <c r="V1209" i="17"/>
  <c r="V1210" i="17"/>
  <c r="V1211" i="17"/>
  <c r="V1212" i="17"/>
  <c r="V1213" i="17"/>
  <c r="V1214" i="17"/>
  <c r="W1209" i="17"/>
  <c r="W1210" i="17"/>
  <c r="W1211" i="17"/>
  <c r="W1212" i="17"/>
  <c r="W1213" i="17"/>
  <c r="W1214" i="17"/>
  <c r="H1478" i="17"/>
  <c r="H1479" i="17"/>
  <c r="H1480" i="17"/>
  <c r="H1481" i="17"/>
  <c r="I1478" i="17"/>
  <c r="I1479" i="17"/>
  <c r="I1480" i="17"/>
  <c r="I1481" i="17"/>
  <c r="J1478" i="17"/>
  <c r="J1479" i="17"/>
  <c r="J1480" i="17"/>
  <c r="J1481" i="17"/>
  <c r="K1478" i="17"/>
  <c r="K1479" i="17"/>
  <c r="K1480" i="17"/>
  <c r="K1481" i="17"/>
  <c r="N1478" i="17"/>
  <c r="N1479" i="17"/>
  <c r="N1480" i="17"/>
  <c r="N1481" i="17"/>
  <c r="O1478" i="17"/>
  <c r="O1479" i="17"/>
  <c r="O1480" i="17"/>
  <c r="O1481" i="17"/>
  <c r="Q1478" i="17"/>
  <c r="Q1479" i="17"/>
  <c r="Q1480" i="17"/>
  <c r="Q1481" i="17"/>
  <c r="S1478" i="17"/>
  <c r="S1479" i="17"/>
  <c r="S1480" i="17"/>
  <c r="S1481" i="17"/>
  <c r="T1478" i="17"/>
  <c r="T1479" i="17"/>
  <c r="T1480" i="17"/>
  <c r="T1481" i="17"/>
  <c r="U1478" i="17"/>
  <c r="U1479" i="17"/>
  <c r="U1480" i="17"/>
  <c r="U1481" i="17"/>
  <c r="V1478" i="17"/>
  <c r="V1479" i="17"/>
  <c r="V1480" i="17"/>
  <c r="V1481" i="17"/>
  <c r="W1478" i="17"/>
  <c r="W1479" i="17"/>
  <c r="W1480" i="17"/>
  <c r="W1481" i="17"/>
  <c r="H941" i="17"/>
  <c r="H942" i="17"/>
  <c r="I941" i="17"/>
  <c r="I942" i="17"/>
  <c r="J941" i="17"/>
  <c r="J942" i="17"/>
  <c r="K941" i="17"/>
  <c r="K942" i="17"/>
  <c r="N941" i="17"/>
  <c r="N942" i="17"/>
  <c r="O941" i="17"/>
  <c r="O942" i="17"/>
  <c r="Q941" i="17"/>
  <c r="Q942" i="17"/>
  <c r="S941" i="17"/>
  <c r="S942" i="17"/>
  <c r="T941" i="17"/>
  <c r="T942" i="17"/>
  <c r="U941" i="17"/>
  <c r="U942" i="17"/>
  <c r="V941" i="17"/>
  <c r="V942" i="17"/>
  <c r="W941" i="17"/>
  <c r="W942" i="17"/>
  <c r="H918" i="17"/>
  <c r="I918" i="17"/>
  <c r="J918" i="17"/>
  <c r="K918" i="17"/>
  <c r="N918" i="17"/>
  <c r="O918" i="17"/>
  <c r="Q918" i="17"/>
  <c r="S918" i="17"/>
  <c r="T918" i="17"/>
  <c r="U918" i="17"/>
  <c r="V918" i="17"/>
  <c r="W918" i="17"/>
  <c r="H908" i="17"/>
  <c r="H909" i="17"/>
  <c r="H910" i="17"/>
  <c r="H911" i="17"/>
  <c r="H912" i="17"/>
  <c r="H913" i="17"/>
  <c r="H914" i="17"/>
  <c r="H915" i="17"/>
  <c r="H916" i="17"/>
  <c r="H917" i="17"/>
  <c r="I908" i="17"/>
  <c r="I909" i="17"/>
  <c r="I910" i="17"/>
  <c r="I911" i="17"/>
  <c r="I912" i="17"/>
  <c r="I913" i="17"/>
  <c r="I914" i="17"/>
  <c r="I915" i="17"/>
  <c r="I916" i="17"/>
  <c r="I917" i="17"/>
  <c r="J908" i="17"/>
  <c r="J909" i="17"/>
  <c r="J910" i="17"/>
  <c r="J911" i="17"/>
  <c r="J912" i="17"/>
  <c r="J913" i="17"/>
  <c r="J914" i="17"/>
  <c r="J915" i="17"/>
  <c r="J916" i="17"/>
  <c r="J917" i="17"/>
  <c r="K908" i="17"/>
  <c r="K909" i="17"/>
  <c r="K910" i="17"/>
  <c r="K911" i="17"/>
  <c r="K912" i="17"/>
  <c r="K913" i="17"/>
  <c r="K914" i="17"/>
  <c r="K915" i="17"/>
  <c r="K916" i="17"/>
  <c r="K917" i="17"/>
  <c r="N908" i="17"/>
  <c r="N909" i="17"/>
  <c r="N910" i="17"/>
  <c r="N911" i="17"/>
  <c r="N912" i="17"/>
  <c r="N913" i="17"/>
  <c r="N914" i="17"/>
  <c r="N915" i="17"/>
  <c r="N916" i="17"/>
  <c r="N917" i="17"/>
  <c r="O908" i="17"/>
  <c r="O909" i="17"/>
  <c r="O910" i="17"/>
  <c r="O911" i="17"/>
  <c r="O912" i="17"/>
  <c r="O913" i="17"/>
  <c r="O914" i="17"/>
  <c r="O915" i="17"/>
  <c r="O916" i="17"/>
  <c r="O917" i="17"/>
  <c r="Q908" i="17"/>
  <c r="Q909" i="17"/>
  <c r="Q910" i="17"/>
  <c r="Q911" i="17"/>
  <c r="Q912" i="17"/>
  <c r="Q913" i="17"/>
  <c r="Q914" i="17"/>
  <c r="Q915" i="17"/>
  <c r="Q916" i="17"/>
  <c r="Q917" i="17"/>
  <c r="S908" i="17"/>
  <c r="S909" i="17"/>
  <c r="S910" i="17"/>
  <c r="S911" i="17"/>
  <c r="S912" i="17"/>
  <c r="S913" i="17"/>
  <c r="S914" i="17"/>
  <c r="S915" i="17"/>
  <c r="S916" i="17"/>
  <c r="S917" i="17"/>
  <c r="T908" i="17"/>
  <c r="T909" i="17"/>
  <c r="T910" i="17"/>
  <c r="T911" i="17"/>
  <c r="T912" i="17"/>
  <c r="T913" i="17"/>
  <c r="T914" i="17"/>
  <c r="T915" i="17"/>
  <c r="T916" i="17"/>
  <c r="T917" i="17"/>
  <c r="U908" i="17"/>
  <c r="U909" i="17"/>
  <c r="U910" i="17"/>
  <c r="U911" i="17"/>
  <c r="U912" i="17"/>
  <c r="U913" i="17"/>
  <c r="U914" i="17"/>
  <c r="U915" i="17"/>
  <c r="U916" i="17"/>
  <c r="U917" i="17"/>
  <c r="V908" i="17"/>
  <c r="V909" i="17"/>
  <c r="V910" i="17"/>
  <c r="V911" i="17"/>
  <c r="V912" i="17"/>
  <c r="V913" i="17"/>
  <c r="V914" i="17"/>
  <c r="V915" i="17"/>
  <c r="V916" i="17"/>
  <c r="V917" i="17"/>
  <c r="W908" i="17"/>
  <c r="W909" i="17"/>
  <c r="W910" i="17"/>
  <c r="W911" i="17"/>
  <c r="W912" i="17"/>
  <c r="W913" i="17"/>
  <c r="W914" i="17"/>
  <c r="W915" i="17"/>
  <c r="W916" i="17"/>
  <c r="W917" i="17"/>
  <c r="H817" i="17"/>
  <c r="I817" i="17"/>
  <c r="J817" i="17"/>
  <c r="K817" i="17"/>
  <c r="N817" i="17"/>
  <c r="O817" i="17"/>
  <c r="Q817" i="17"/>
  <c r="S817" i="17"/>
  <c r="T817" i="17"/>
  <c r="U817" i="17"/>
  <c r="V817" i="17"/>
  <c r="W817" i="17"/>
  <c r="H712" i="17"/>
  <c r="H713" i="17"/>
  <c r="H714" i="17"/>
  <c r="H715" i="17"/>
  <c r="H716" i="17"/>
  <c r="H717" i="17"/>
  <c r="H718" i="17"/>
  <c r="H719" i="17"/>
  <c r="H720" i="17"/>
  <c r="H721" i="17"/>
  <c r="H722" i="17"/>
  <c r="I712" i="17"/>
  <c r="I713" i="17"/>
  <c r="I714" i="17"/>
  <c r="I715" i="17"/>
  <c r="I716" i="17"/>
  <c r="I717" i="17"/>
  <c r="I718" i="17"/>
  <c r="I719" i="17"/>
  <c r="I720" i="17"/>
  <c r="I721" i="17"/>
  <c r="I722" i="17"/>
  <c r="J712" i="17"/>
  <c r="J713" i="17"/>
  <c r="J714" i="17"/>
  <c r="J715" i="17"/>
  <c r="J716" i="17"/>
  <c r="J717" i="17"/>
  <c r="J718" i="17"/>
  <c r="J719" i="17"/>
  <c r="J720" i="17"/>
  <c r="J721" i="17"/>
  <c r="J722" i="17"/>
  <c r="K712" i="17"/>
  <c r="K713" i="17"/>
  <c r="K714" i="17"/>
  <c r="K715" i="17"/>
  <c r="K716" i="17"/>
  <c r="K717" i="17"/>
  <c r="K718" i="17"/>
  <c r="K719" i="17"/>
  <c r="K720" i="17"/>
  <c r="K721" i="17"/>
  <c r="K722" i="17"/>
  <c r="N712" i="17"/>
  <c r="N713" i="17"/>
  <c r="N714" i="17"/>
  <c r="N715" i="17"/>
  <c r="N716" i="17"/>
  <c r="N717" i="17"/>
  <c r="N718" i="17"/>
  <c r="N719" i="17"/>
  <c r="N720" i="17"/>
  <c r="N721" i="17"/>
  <c r="N722" i="17"/>
  <c r="O712" i="17"/>
  <c r="O713" i="17"/>
  <c r="O714" i="17"/>
  <c r="O715" i="17"/>
  <c r="O716" i="17"/>
  <c r="O717" i="17"/>
  <c r="O718" i="17"/>
  <c r="O719" i="17"/>
  <c r="O720" i="17"/>
  <c r="O721" i="17"/>
  <c r="O722" i="17"/>
  <c r="Q712" i="17"/>
  <c r="Q713" i="17"/>
  <c r="Q714" i="17"/>
  <c r="Q715" i="17"/>
  <c r="Q716" i="17"/>
  <c r="Q717" i="17"/>
  <c r="Q718" i="17"/>
  <c r="Q719" i="17"/>
  <c r="Q720" i="17"/>
  <c r="Q721" i="17"/>
  <c r="Q722" i="17"/>
  <c r="S712" i="17"/>
  <c r="S713" i="17"/>
  <c r="S714" i="17"/>
  <c r="S715" i="17"/>
  <c r="S716" i="17"/>
  <c r="S717" i="17"/>
  <c r="S718" i="17"/>
  <c r="S719" i="17"/>
  <c r="S720" i="17"/>
  <c r="S721" i="17"/>
  <c r="S722" i="17"/>
  <c r="T712" i="17"/>
  <c r="T713" i="17"/>
  <c r="T714" i="17"/>
  <c r="T715" i="17"/>
  <c r="T716" i="17"/>
  <c r="T717" i="17"/>
  <c r="T718" i="17"/>
  <c r="T719" i="17"/>
  <c r="T720" i="17"/>
  <c r="T721" i="17"/>
  <c r="T722" i="17"/>
  <c r="U712" i="17"/>
  <c r="U713" i="17"/>
  <c r="U714" i="17"/>
  <c r="U715" i="17"/>
  <c r="U716" i="17"/>
  <c r="U717" i="17"/>
  <c r="U718" i="17"/>
  <c r="U719" i="17"/>
  <c r="U720" i="17"/>
  <c r="U721" i="17"/>
  <c r="U722" i="17"/>
  <c r="V712" i="17"/>
  <c r="V713" i="17"/>
  <c r="V714" i="17"/>
  <c r="V715" i="17"/>
  <c r="V716" i="17"/>
  <c r="V717" i="17"/>
  <c r="V718" i="17"/>
  <c r="V719" i="17"/>
  <c r="V720" i="17"/>
  <c r="V721" i="17"/>
  <c r="V722" i="17"/>
  <c r="W712" i="17"/>
  <c r="W713" i="17"/>
  <c r="W714" i="17"/>
  <c r="W715" i="17"/>
  <c r="W716" i="17"/>
  <c r="W717" i="17"/>
  <c r="W718" i="17"/>
  <c r="W719" i="17"/>
  <c r="W720" i="17"/>
  <c r="W721" i="17"/>
  <c r="W722" i="17"/>
  <c r="H706" i="17"/>
  <c r="H707" i="17"/>
  <c r="H708" i="17"/>
  <c r="I706" i="17"/>
  <c r="I707" i="17"/>
  <c r="I708" i="17"/>
  <c r="J706" i="17"/>
  <c r="J707" i="17"/>
  <c r="J708" i="17"/>
  <c r="K706" i="17"/>
  <c r="K707" i="17"/>
  <c r="K708" i="17"/>
  <c r="N706" i="17"/>
  <c r="N707" i="17"/>
  <c r="N708" i="17"/>
  <c r="O706" i="17"/>
  <c r="O707" i="17"/>
  <c r="O708" i="17"/>
  <c r="Q706" i="17"/>
  <c r="Q707" i="17"/>
  <c r="Q708" i="17"/>
  <c r="S706" i="17"/>
  <c r="S707" i="17"/>
  <c r="S708" i="17"/>
  <c r="T706" i="17"/>
  <c r="T707" i="17"/>
  <c r="T708" i="17"/>
  <c r="U706" i="17"/>
  <c r="U707" i="17"/>
  <c r="U708" i="17"/>
  <c r="V706" i="17"/>
  <c r="V707" i="17"/>
  <c r="V708" i="17"/>
  <c r="W706" i="17"/>
  <c r="W707" i="17"/>
  <c r="W708" i="17"/>
  <c r="H530" i="17"/>
  <c r="I530" i="17"/>
  <c r="J530" i="17"/>
  <c r="K530" i="17"/>
  <c r="N530" i="17"/>
  <c r="O530" i="17"/>
  <c r="Q530" i="17"/>
  <c r="S530" i="17"/>
  <c r="T530" i="17"/>
  <c r="U530" i="17"/>
  <c r="V530" i="17"/>
  <c r="W530" i="17"/>
  <c r="H520" i="17"/>
  <c r="H521" i="17"/>
  <c r="H522" i="17"/>
  <c r="H523" i="17"/>
  <c r="H524" i="17"/>
  <c r="H525" i="17"/>
  <c r="H526" i="17"/>
  <c r="H527" i="17"/>
  <c r="H528" i="17"/>
  <c r="H529" i="17"/>
  <c r="I520" i="17"/>
  <c r="I521" i="17"/>
  <c r="I522" i="17"/>
  <c r="I523" i="17"/>
  <c r="I524" i="17"/>
  <c r="I525" i="17"/>
  <c r="I526" i="17"/>
  <c r="I527" i="17"/>
  <c r="I528" i="17"/>
  <c r="I529" i="17"/>
  <c r="J520" i="17"/>
  <c r="J521" i="17"/>
  <c r="J522" i="17"/>
  <c r="J523" i="17"/>
  <c r="J524" i="17"/>
  <c r="J525" i="17"/>
  <c r="J526" i="17"/>
  <c r="J527" i="17"/>
  <c r="J528" i="17"/>
  <c r="J529" i="17"/>
  <c r="K520" i="17"/>
  <c r="K521" i="17"/>
  <c r="K522" i="17"/>
  <c r="K523" i="17"/>
  <c r="K524" i="17"/>
  <c r="K525" i="17"/>
  <c r="K526" i="17"/>
  <c r="K527" i="17"/>
  <c r="K528" i="17"/>
  <c r="K529" i="17"/>
  <c r="N520" i="17"/>
  <c r="N521" i="17"/>
  <c r="N522" i="17"/>
  <c r="N523" i="17"/>
  <c r="N524" i="17"/>
  <c r="N525" i="17"/>
  <c r="N526" i="17"/>
  <c r="N527" i="17"/>
  <c r="N528" i="17"/>
  <c r="N529" i="17"/>
  <c r="O520" i="17"/>
  <c r="O521" i="17"/>
  <c r="O522" i="17"/>
  <c r="O523" i="17"/>
  <c r="O524" i="17"/>
  <c r="O525" i="17"/>
  <c r="O526" i="17"/>
  <c r="O527" i="17"/>
  <c r="O528" i="17"/>
  <c r="O529" i="17"/>
  <c r="Q520" i="17"/>
  <c r="Q521" i="17"/>
  <c r="Q522" i="17"/>
  <c r="Q523" i="17"/>
  <c r="Q524" i="17"/>
  <c r="Q525" i="17"/>
  <c r="Q526" i="17"/>
  <c r="Q527" i="17"/>
  <c r="Q528" i="17"/>
  <c r="Q529" i="17"/>
  <c r="S520" i="17"/>
  <c r="S521" i="17"/>
  <c r="S522" i="17"/>
  <c r="S523" i="17"/>
  <c r="S524" i="17"/>
  <c r="S525" i="17"/>
  <c r="S526" i="17"/>
  <c r="S527" i="17"/>
  <c r="S528" i="17"/>
  <c r="S529" i="17"/>
  <c r="T520" i="17"/>
  <c r="T521" i="17"/>
  <c r="T522" i="17"/>
  <c r="T523" i="17"/>
  <c r="T524" i="17"/>
  <c r="T525" i="17"/>
  <c r="T526" i="17"/>
  <c r="T527" i="17"/>
  <c r="T528" i="17"/>
  <c r="T529" i="17"/>
  <c r="U520" i="17"/>
  <c r="U521" i="17"/>
  <c r="U522" i="17"/>
  <c r="U523" i="17"/>
  <c r="U524" i="17"/>
  <c r="U525" i="17"/>
  <c r="U526" i="17"/>
  <c r="U527" i="17"/>
  <c r="U528" i="17"/>
  <c r="U529" i="17"/>
  <c r="V520" i="17"/>
  <c r="V521" i="17"/>
  <c r="V522" i="17"/>
  <c r="V523" i="17"/>
  <c r="V524" i="17"/>
  <c r="V525" i="17"/>
  <c r="V526" i="17"/>
  <c r="V527" i="17"/>
  <c r="V528" i="17"/>
  <c r="V529" i="17"/>
  <c r="W520" i="17"/>
  <c r="W521" i="17"/>
  <c r="W522" i="17"/>
  <c r="W523" i="17"/>
  <c r="W524" i="17"/>
  <c r="W525" i="17"/>
  <c r="W526" i="17"/>
  <c r="W527" i="17"/>
  <c r="W528" i="17"/>
  <c r="W529" i="17"/>
  <c r="H501" i="17"/>
  <c r="I501" i="17"/>
  <c r="J501" i="17"/>
  <c r="K501" i="17"/>
  <c r="N501" i="17"/>
  <c r="O501" i="17"/>
  <c r="Q501" i="17"/>
  <c r="S501" i="17"/>
  <c r="T501" i="17"/>
  <c r="U501" i="17"/>
  <c r="V501" i="17"/>
  <c r="W501" i="17"/>
  <c r="H500" i="17"/>
  <c r="I500" i="17"/>
  <c r="J500" i="17"/>
  <c r="K500" i="17"/>
  <c r="N500" i="17"/>
  <c r="O500" i="17"/>
  <c r="Q500" i="17"/>
  <c r="S500" i="17"/>
  <c r="T500" i="17"/>
  <c r="U500" i="17"/>
  <c r="V500" i="17"/>
  <c r="W500" i="17"/>
  <c r="H377" i="17"/>
  <c r="I377" i="17"/>
  <c r="J377" i="17"/>
  <c r="K377" i="17"/>
  <c r="N377" i="17"/>
  <c r="O377" i="17"/>
  <c r="Q377" i="17"/>
  <c r="S377" i="17"/>
  <c r="T377" i="17"/>
  <c r="U377" i="17"/>
  <c r="V377" i="17"/>
  <c r="W377" i="17"/>
  <c r="H336" i="17"/>
  <c r="I336" i="17"/>
  <c r="J336" i="17"/>
  <c r="K336" i="17"/>
  <c r="N336" i="17"/>
  <c r="O336" i="17"/>
  <c r="Q336" i="17"/>
  <c r="S336" i="17"/>
  <c r="T336" i="17"/>
  <c r="U336" i="17"/>
  <c r="V336" i="17"/>
  <c r="W336" i="17"/>
  <c r="H333" i="17"/>
  <c r="I333" i="17"/>
  <c r="J333" i="17"/>
  <c r="K333" i="17"/>
  <c r="N333" i="17"/>
  <c r="O333" i="17"/>
  <c r="Q333" i="17"/>
  <c r="S333" i="17"/>
  <c r="T333" i="17"/>
  <c r="U333" i="17"/>
  <c r="V333" i="17"/>
  <c r="W333" i="17"/>
  <c r="H329" i="17"/>
  <c r="H330" i="17"/>
  <c r="H331" i="17"/>
  <c r="I329" i="17"/>
  <c r="I330" i="17"/>
  <c r="I331" i="17"/>
  <c r="J329" i="17"/>
  <c r="J330" i="17"/>
  <c r="J331" i="17"/>
  <c r="K329" i="17"/>
  <c r="K330" i="17"/>
  <c r="K331" i="17"/>
  <c r="N329" i="17"/>
  <c r="N330" i="17"/>
  <c r="N331" i="17"/>
  <c r="O329" i="17"/>
  <c r="O330" i="17"/>
  <c r="O331" i="17"/>
  <c r="Q329" i="17"/>
  <c r="Q330" i="17"/>
  <c r="Q331" i="17"/>
  <c r="S329" i="17"/>
  <c r="S330" i="17"/>
  <c r="S331" i="17"/>
  <c r="T329" i="17"/>
  <c r="T330" i="17"/>
  <c r="T331" i="17"/>
  <c r="U329" i="17"/>
  <c r="U330" i="17"/>
  <c r="U331" i="17"/>
  <c r="V329" i="17"/>
  <c r="V330" i="17"/>
  <c r="V331" i="17"/>
  <c r="W329" i="17"/>
  <c r="W330" i="17"/>
  <c r="W331" i="17"/>
  <c r="H326" i="17"/>
  <c r="I326" i="17"/>
  <c r="J326" i="17"/>
  <c r="K326" i="17"/>
  <c r="N326" i="17"/>
  <c r="O326" i="17"/>
  <c r="Q326" i="17"/>
  <c r="S326" i="17"/>
  <c r="T326" i="17"/>
  <c r="U326" i="17"/>
  <c r="V326" i="17"/>
  <c r="W326" i="17"/>
  <c r="H324" i="17"/>
  <c r="H325" i="17"/>
  <c r="I324" i="17"/>
  <c r="I325" i="17"/>
  <c r="J324" i="17"/>
  <c r="J325" i="17"/>
  <c r="K324" i="17"/>
  <c r="K325" i="17"/>
  <c r="N324" i="17"/>
  <c r="N325" i="17"/>
  <c r="O324" i="17"/>
  <c r="O325" i="17"/>
  <c r="Q324" i="17"/>
  <c r="Q325" i="17"/>
  <c r="S324" i="17"/>
  <c r="S325" i="17"/>
  <c r="T324" i="17"/>
  <c r="T325" i="17"/>
  <c r="U324" i="17"/>
  <c r="U325" i="17"/>
  <c r="V324" i="17"/>
  <c r="V325" i="17"/>
  <c r="W324" i="17"/>
  <c r="W325" i="17"/>
  <c r="H318" i="17"/>
  <c r="I318" i="17"/>
  <c r="J318" i="17"/>
  <c r="K318" i="17"/>
  <c r="N318" i="17"/>
  <c r="O318" i="17"/>
  <c r="Q318" i="17"/>
  <c r="S318" i="17"/>
  <c r="T318" i="17"/>
  <c r="U318" i="17"/>
  <c r="V318" i="17"/>
  <c r="W318" i="17"/>
  <c r="H316" i="17"/>
  <c r="I316" i="17"/>
  <c r="J316" i="17"/>
  <c r="K316" i="17"/>
  <c r="N316" i="17"/>
  <c r="O316" i="17"/>
  <c r="Q316" i="17"/>
  <c r="S316" i="17"/>
  <c r="T316" i="17"/>
  <c r="U316" i="17"/>
  <c r="V316" i="17"/>
  <c r="W316" i="17"/>
  <c r="H315" i="17"/>
  <c r="I315" i="17"/>
  <c r="J315" i="17"/>
  <c r="K315" i="17"/>
  <c r="N315" i="17"/>
  <c r="O315" i="17"/>
  <c r="Q315" i="17"/>
  <c r="S315" i="17"/>
  <c r="T315" i="17"/>
  <c r="U315" i="17"/>
  <c r="V315" i="17"/>
  <c r="W315" i="17"/>
  <c r="H310" i="17"/>
  <c r="I310" i="17"/>
  <c r="J310" i="17"/>
  <c r="K310" i="17"/>
  <c r="N310" i="17"/>
  <c r="O310" i="17"/>
  <c r="Q310" i="17"/>
  <c r="S310" i="17"/>
  <c r="T310" i="17"/>
  <c r="U310" i="17"/>
  <c r="V310" i="17"/>
  <c r="W310" i="17"/>
  <c r="H308" i="17"/>
  <c r="I308" i="17"/>
  <c r="J308" i="17"/>
  <c r="K308" i="17"/>
  <c r="N308" i="17"/>
  <c r="O308" i="17"/>
  <c r="Q308" i="17"/>
  <c r="S308" i="17"/>
  <c r="T308" i="17"/>
  <c r="U308" i="17"/>
  <c r="V308" i="17"/>
  <c r="W308" i="17"/>
  <c r="H230" i="17"/>
  <c r="H231" i="17"/>
  <c r="H232" i="17"/>
  <c r="I230" i="17"/>
  <c r="I231" i="17"/>
  <c r="I232" i="17"/>
  <c r="J230" i="17"/>
  <c r="J231" i="17"/>
  <c r="J232" i="17"/>
  <c r="K230" i="17"/>
  <c r="K231" i="17"/>
  <c r="K232" i="17"/>
  <c r="N230" i="17"/>
  <c r="N231" i="17"/>
  <c r="N232" i="17"/>
  <c r="O230" i="17"/>
  <c r="O231" i="17"/>
  <c r="O232" i="17"/>
  <c r="Q230" i="17"/>
  <c r="Q231" i="17"/>
  <c r="Q232" i="17"/>
  <c r="S230" i="17"/>
  <c r="S231" i="17"/>
  <c r="S232" i="17"/>
  <c r="T230" i="17"/>
  <c r="T231" i="17"/>
  <c r="T232" i="17"/>
  <c r="U230" i="17"/>
  <c r="U231" i="17"/>
  <c r="U232" i="17"/>
  <c r="V230" i="17"/>
  <c r="V231" i="17"/>
  <c r="V232" i="17"/>
  <c r="W230" i="17"/>
  <c r="W231" i="17"/>
  <c r="W232" i="17"/>
  <c r="H229" i="17"/>
  <c r="I229" i="17"/>
  <c r="J229" i="17"/>
  <c r="K229" i="17"/>
  <c r="N229" i="17"/>
  <c r="O229" i="17"/>
  <c r="Q229" i="17"/>
  <c r="S229" i="17"/>
  <c r="T229" i="17"/>
  <c r="U229" i="17"/>
  <c r="V229" i="17"/>
  <c r="W229" i="17"/>
  <c r="H228" i="17"/>
  <c r="I228" i="17"/>
  <c r="J228" i="17"/>
  <c r="K228" i="17"/>
  <c r="N228" i="17"/>
  <c r="O228" i="17"/>
  <c r="Q228" i="17"/>
  <c r="S228" i="17"/>
  <c r="T228" i="17"/>
  <c r="U228" i="17"/>
  <c r="V228" i="17"/>
  <c r="W228" i="17"/>
  <c r="H227" i="17"/>
  <c r="I227" i="17"/>
  <c r="J227" i="17"/>
  <c r="K227" i="17"/>
  <c r="N227" i="17"/>
  <c r="O227" i="17"/>
  <c r="Q227" i="17"/>
  <c r="S227" i="17"/>
  <c r="T227" i="17"/>
  <c r="U227" i="17"/>
  <c r="V227" i="17"/>
  <c r="W227" i="17"/>
  <c r="H213" i="17"/>
  <c r="I213" i="17"/>
  <c r="J213" i="17"/>
  <c r="K213" i="17"/>
  <c r="N213" i="17"/>
  <c r="O213" i="17"/>
  <c r="Q213" i="17"/>
  <c r="S213" i="17"/>
  <c r="T213" i="17"/>
  <c r="U213" i="17"/>
  <c r="V213" i="17"/>
  <c r="W213" i="17"/>
  <c r="H82" i="17"/>
  <c r="H83" i="17"/>
  <c r="H84" i="17"/>
  <c r="I82" i="17"/>
  <c r="I83" i="17"/>
  <c r="I84" i="17"/>
  <c r="J82" i="17"/>
  <c r="J83" i="17"/>
  <c r="J84" i="17"/>
  <c r="K82" i="17"/>
  <c r="K83" i="17"/>
  <c r="K84" i="17"/>
  <c r="N82" i="17"/>
  <c r="N83" i="17"/>
  <c r="N84" i="17"/>
  <c r="O82" i="17"/>
  <c r="O83" i="17"/>
  <c r="O84" i="17"/>
  <c r="Q82" i="17"/>
  <c r="Q83" i="17"/>
  <c r="Q84" i="17"/>
  <c r="S82" i="17"/>
  <c r="S83" i="17"/>
  <c r="S84" i="17"/>
  <c r="T82" i="17"/>
  <c r="T83" i="17"/>
  <c r="T84" i="17"/>
  <c r="U82" i="17"/>
  <c r="U83" i="17"/>
  <c r="U84" i="17"/>
  <c r="V82" i="17"/>
  <c r="V83" i="17"/>
  <c r="V84" i="17"/>
  <c r="W82" i="17"/>
  <c r="W83" i="17"/>
  <c r="W84" i="17"/>
  <c r="H60" i="17"/>
  <c r="I60" i="17"/>
  <c r="J60" i="17"/>
  <c r="K60" i="17"/>
  <c r="N60" i="17"/>
  <c r="O60" i="17"/>
  <c r="Q60" i="17"/>
  <c r="S60" i="17"/>
  <c r="T60" i="17"/>
  <c r="U60" i="17"/>
  <c r="V60" i="17"/>
  <c r="W60" i="17"/>
  <c r="H59" i="17"/>
  <c r="I59" i="17"/>
  <c r="J59" i="17"/>
  <c r="K59" i="17"/>
  <c r="N59" i="17"/>
  <c r="O59" i="17"/>
  <c r="Q59" i="17"/>
  <c r="S59" i="17"/>
  <c r="T59" i="17"/>
  <c r="U59" i="17"/>
  <c r="V59" i="17"/>
  <c r="W59" i="17"/>
  <c r="H58" i="17"/>
  <c r="I58" i="17"/>
  <c r="J58" i="17"/>
  <c r="K58" i="17"/>
  <c r="N58" i="17"/>
  <c r="O58" i="17"/>
  <c r="Q58" i="17"/>
  <c r="S58" i="17"/>
  <c r="T58" i="17"/>
  <c r="U58" i="17"/>
  <c r="V58" i="17"/>
  <c r="W58" i="17"/>
  <c r="H57" i="17"/>
  <c r="I57" i="17"/>
  <c r="J57" i="17"/>
  <c r="K57" i="17"/>
  <c r="N57" i="17"/>
  <c r="O57" i="17"/>
  <c r="Q57" i="17"/>
  <c r="S57" i="17"/>
  <c r="T57" i="17"/>
  <c r="U57" i="17"/>
  <c r="V57" i="17"/>
  <c r="W57" i="17"/>
  <c r="H53" i="17"/>
  <c r="I53" i="17"/>
  <c r="J53" i="17"/>
  <c r="K53" i="17"/>
  <c r="N53" i="17"/>
  <c r="O53" i="17"/>
  <c r="Q53" i="17"/>
  <c r="S53" i="17"/>
  <c r="T53" i="17"/>
  <c r="U53" i="17"/>
  <c r="V53" i="17"/>
  <c r="W53" i="17"/>
  <c r="H48" i="17"/>
  <c r="I48" i="17"/>
  <c r="J48" i="17"/>
  <c r="K48" i="17"/>
  <c r="N48" i="17"/>
  <c r="O48" i="17"/>
  <c r="Q48" i="17"/>
  <c r="S48" i="17"/>
  <c r="T48" i="17"/>
  <c r="U48" i="17"/>
  <c r="V48" i="17"/>
  <c r="W48" i="17"/>
  <c r="H46" i="17"/>
  <c r="H47" i="17"/>
  <c r="I46" i="17"/>
  <c r="I47" i="17"/>
  <c r="J46" i="17"/>
  <c r="J47" i="17"/>
  <c r="K46" i="17"/>
  <c r="K47" i="17"/>
  <c r="N46" i="17"/>
  <c r="N47" i="17"/>
  <c r="O46" i="17"/>
  <c r="O47" i="17"/>
  <c r="Q46" i="17"/>
  <c r="Q47" i="17"/>
  <c r="S46" i="17"/>
  <c r="S47" i="17"/>
  <c r="T46" i="17"/>
  <c r="T47" i="17"/>
  <c r="U46" i="17"/>
  <c r="U47" i="17"/>
  <c r="V46" i="17"/>
  <c r="V47" i="17"/>
  <c r="W46" i="17"/>
  <c r="W47" i="17"/>
  <c r="H44" i="17"/>
  <c r="I44" i="17"/>
  <c r="J44" i="17"/>
  <c r="K44" i="17"/>
  <c r="N44" i="17"/>
  <c r="O44" i="17"/>
  <c r="Q44" i="17"/>
  <c r="S44" i="17"/>
  <c r="T44" i="17"/>
  <c r="U44" i="17"/>
  <c r="V44" i="17"/>
  <c r="W44" i="17"/>
  <c r="H29" i="17"/>
  <c r="I29" i="17"/>
  <c r="J29" i="17"/>
  <c r="K29" i="17"/>
  <c r="N29" i="17"/>
  <c r="O29" i="17"/>
  <c r="Q29" i="17"/>
  <c r="S29" i="17"/>
  <c r="T29" i="17"/>
  <c r="U29" i="17"/>
  <c r="V29" i="17"/>
  <c r="W29" i="17"/>
  <c r="H2486" i="17"/>
  <c r="I2486" i="17"/>
  <c r="J2486" i="17"/>
  <c r="K2486" i="17"/>
  <c r="N2486" i="17"/>
  <c r="O2486" i="17"/>
  <c r="Q2486" i="17"/>
  <c r="S2486" i="17"/>
  <c r="T2486" i="17"/>
  <c r="U2486" i="17"/>
  <c r="V2486" i="17"/>
  <c r="W2486" i="17"/>
  <c r="H2485" i="17"/>
  <c r="I2485" i="17"/>
  <c r="J2485" i="17"/>
  <c r="K2485" i="17"/>
  <c r="N2485" i="17"/>
  <c r="O2485" i="17"/>
  <c r="Q2485" i="17"/>
  <c r="S2485" i="17"/>
  <c r="T2485" i="17"/>
  <c r="U2485" i="17"/>
  <c r="V2485" i="17"/>
  <c r="W2485" i="17"/>
  <c r="H2484" i="17"/>
  <c r="I2484" i="17"/>
  <c r="J2484" i="17"/>
  <c r="K2484" i="17"/>
  <c r="N2484" i="17"/>
  <c r="O2484" i="17"/>
  <c r="Q2484" i="17"/>
  <c r="S2484" i="17"/>
  <c r="T2484" i="17"/>
  <c r="U2484" i="17"/>
  <c r="V2484" i="17"/>
  <c r="W2484" i="17"/>
  <c r="H2483" i="17"/>
  <c r="I2483" i="17"/>
  <c r="J2483" i="17"/>
  <c r="K2483" i="17"/>
  <c r="N2483" i="17"/>
  <c r="O2483" i="17"/>
  <c r="Q2483" i="17"/>
  <c r="S2483" i="17"/>
  <c r="T2483" i="17"/>
  <c r="U2483" i="17"/>
  <c r="V2483" i="17"/>
  <c r="W2483" i="17"/>
  <c r="H2482" i="17"/>
  <c r="I2482" i="17"/>
  <c r="J2482" i="17"/>
  <c r="K2482" i="17"/>
  <c r="N2482" i="17"/>
  <c r="O2482" i="17"/>
  <c r="Q2482" i="17"/>
  <c r="S2482" i="17"/>
  <c r="T2482" i="17"/>
  <c r="U2482" i="17"/>
  <c r="V2482" i="17"/>
  <c r="W2482" i="17"/>
  <c r="H2481" i="17"/>
  <c r="I2481" i="17"/>
  <c r="J2481" i="17"/>
  <c r="K2481" i="17"/>
  <c r="N2481" i="17"/>
  <c r="O2481" i="17"/>
  <c r="Q2481" i="17"/>
  <c r="S2481" i="17"/>
  <c r="T2481" i="17"/>
  <c r="U2481" i="17"/>
  <c r="V2481" i="17"/>
  <c r="W2481" i="17"/>
  <c r="H2480" i="17"/>
  <c r="I2480" i="17"/>
  <c r="J2480" i="17"/>
  <c r="K2480" i="17"/>
  <c r="N2480" i="17"/>
  <c r="O2480" i="17"/>
  <c r="Q2480" i="17"/>
  <c r="S2480" i="17"/>
  <c r="T2480" i="17"/>
  <c r="U2480" i="17"/>
  <c r="V2480" i="17"/>
  <c r="W2480" i="17"/>
  <c r="H2479" i="17"/>
  <c r="I2479" i="17"/>
  <c r="J2479" i="17"/>
  <c r="K2479" i="17"/>
  <c r="N2479" i="17"/>
  <c r="O2479" i="17"/>
  <c r="Q2479" i="17"/>
  <c r="S2479" i="17"/>
  <c r="T2479" i="17"/>
  <c r="U2479" i="17"/>
  <c r="V2479" i="17"/>
  <c r="W2479" i="17"/>
  <c r="H2478" i="17"/>
  <c r="I2478" i="17"/>
  <c r="J2478" i="17"/>
  <c r="K2478" i="17"/>
  <c r="N2478" i="17"/>
  <c r="O2478" i="17"/>
  <c r="Q2478" i="17"/>
  <c r="S2478" i="17"/>
  <c r="T2478" i="17"/>
  <c r="U2478" i="17"/>
  <c r="V2478" i="17"/>
  <c r="W2478" i="17"/>
  <c r="H2477" i="17"/>
  <c r="I2477" i="17"/>
  <c r="J2477" i="17"/>
  <c r="K2477" i="17"/>
  <c r="N2477" i="17"/>
  <c r="O2477" i="17"/>
  <c r="Q2477" i="17"/>
  <c r="S2477" i="17"/>
  <c r="T2477" i="17"/>
  <c r="U2477" i="17"/>
  <c r="V2477" i="17"/>
  <c r="W2477" i="17"/>
  <c r="H2461" i="17"/>
  <c r="H2462" i="17"/>
  <c r="H2463" i="17"/>
  <c r="H2464" i="17"/>
  <c r="H2465" i="17"/>
  <c r="H2466" i="17"/>
  <c r="H2467" i="17"/>
  <c r="H2468" i="17"/>
  <c r="H2469" i="17"/>
  <c r="H2470" i="17"/>
  <c r="H2471" i="17"/>
  <c r="H2472" i="17"/>
  <c r="H2473" i="17"/>
  <c r="H2474" i="17"/>
  <c r="H2475" i="17"/>
  <c r="I2461" i="17"/>
  <c r="I2462" i="17"/>
  <c r="I2463" i="17"/>
  <c r="I2464" i="17"/>
  <c r="I2465" i="17"/>
  <c r="I2466" i="17"/>
  <c r="I2467" i="17"/>
  <c r="I2468" i="17"/>
  <c r="I2469" i="17"/>
  <c r="I2470" i="17"/>
  <c r="I2471" i="17"/>
  <c r="I2472" i="17"/>
  <c r="I2473" i="17"/>
  <c r="I2474" i="17"/>
  <c r="I2475" i="17"/>
  <c r="J2461" i="17"/>
  <c r="J2462" i="17"/>
  <c r="J2463" i="17"/>
  <c r="J2464" i="17"/>
  <c r="J2465" i="17"/>
  <c r="J2466" i="17"/>
  <c r="J2467" i="17"/>
  <c r="J2468" i="17"/>
  <c r="J2469" i="17"/>
  <c r="J2470" i="17"/>
  <c r="J2471" i="17"/>
  <c r="J2472" i="17"/>
  <c r="J2473" i="17"/>
  <c r="J2474" i="17"/>
  <c r="J2475" i="17"/>
  <c r="K2461" i="17"/>
  <c r="K2462" i="17"/>
  <c r="K2463" i="17"/>
  <c r="K2464" i="17"/>
  <c r="K2465" i="17"/>
  <c r="K2466" i="17"/>
  <c r="K2467" i="17"/>
  <c r="K2468" i="17"/>
  <c r="K2469" i="17"/>
  <c r="K2470" i="17"/>
  <c r="K2471" i="17"/>
  <c r="K2472" i="17"/>
  <c r="K2473" i="17"/>
  <c r="K2474" i="17"/>
  <c r="K2475" i="17"/>
  <c r="N2461" i="17"/>
  <c r="N2462" i="17"/>
  <c r="N2463" i="17"/>
  <c r="N2464" i="17"/>
  <c r="N2465" i="17"/>
  <c r="N2466" i="17"/>
  <c r="N2467" i="17"/>
  <c r="N2468" i="17"/>
  <c r="N2469" i="17"/>
  <c r="N2470" i="17"/>
  <c r="N2471" i="17"/>
  <c r="N2472" i="17"/>
  <c r="N2473" i="17"/>
  <c r="N2474" i="17"/>
  <c r="N2475" i="17"/>
  <c r="O2461" i="17"/>
  <c r="O2462" i="17"/>
  <c r="O2463" i="17"/>
  <c r="O2464" i="17"/>
  <c r="O2465" i="17"/>
  <c r="O2466" i="17"/>
  <c r="O2467" i="17"/>
  <c r="O2468" i="17"/>
  <c r="O2469" i="17"/>
  <c r="O2470" i="17"/>
  <c r="O2471" i="17"/>
  <c r="O2472" i="17"/>
  <c r="O2473" i="17"/>
  <c r="O2474" i="17"/>
  <c r="O2475" i="17"/>
  <c r="Q2461" i="17"/>
  <c r="Q2462" i="17"/>
  <c r="Q2463" i="17"/>
  <c r="Q2464" i="17"/>
  <c r="Q2465" i="17"/>
  <c r="Q2466" i="17"/>
  <c r="Q2467" i="17"/>
  <c r="Q2468" i="17"/>
  <c r="Q2469" i="17"/>
  <c r="Q2470" i="17"/>
  <c r="Q2471" i="17"/>
  <c r="Q2472" i="17"/>
  <c r="Q2473" i="17"/>
  <c r="Q2474" i="17"/>
  <c r="Q2475" i="17"/>
  <c r="S2461" i="17"/>
  <c r="S2462" i="17"/>
  <c r="S2463" i="17"/>
  <c r="S2464" i="17"/>
  <c r="S2465" i="17"/>
  <c r="S2466" i="17"/>
  <c r="S2467" i="17"/>
  <c r="S2468" i="17"/>
  <c r="S2469" i="17"/>
  <c r="S2470" i="17"/>
  <c r="S2471" i="17"/>
  <c r="S2472" i="17"/>
  <c r="S2473" i="17"/>
  <c r="S2474" i="17"/>
  <c r="S2475" i="17"/>
  <c r="T2461" i="17"/>
  <c r="T2462" i="17"/>
  <c r="T2463" i="17"/>
  <c r="T2464" i="17"/>
  <c r="T2465" i="17"/>
  <c r="T2466" i="17"/>
  <c r="T2467" i="17"/>
  <c r="T2468" i="17"/>
  <c r="T2469" i="17"/>
  <c r="T2470" i="17"/>
  <c r="T2471" i="17"/>
  <c r="T2472" i="17"/>
  <c r="T2473" i="17"/>
  <c r="T2474" i="17"/>
  <c r="T2475" i="17"/>
  <c r="U2461" i="17"/>
  <c r="U2462" i="17"/>
  <c r="U2463" i="17"/>
  <c r="U2464" i="17"/>
  <c r="U2465" i="17"/>
  <c r="U2466" i="17"/>
  <c r="U2467" i="17"/>
  <c r="U2468" i="17"/>
  <c r="U2469" i="17"/>
  <c r="U2470" i="17"/>
  <c r="U2471" i="17"/>
  <c r="U2472" i="17"/>
  <c r="U2473" i="17"/>
  <c r="U2474" i="17"/>
  <c r="U2475" i="17"/>
  <c r="V2461" i="17"/>
  <c r="V2462" i="17"/>
  <c r="V2463" i="17"/>
  <c r="V2464" i="17"/>
  <c r="V2465" i="17"/>
  <c r="V2466" i="17"/>
  <c r="V2467" i="17"/>
  <c r="V2468" i="17"/>
  <c r="V2469" i="17"/>
  <c r="V2470" i="17"/>
  <c r="V2471" i="17"/>
  <c r="V2472" i="17"/>
  <c r="V2473" i="17"/>
  <c r="V2474" i="17"/>
  <c r="V2475" i="17"/>
  <c r="W2461" i="17"/>
  <c r="W2462" i="17"/>
  <c r="W2463" i="17"/>
  <c r="W2464" i="17"/>
  <c r="W2465" i="17"/>
  <c r="W2466" i="17"/>
  <c r="W2467" i="17"/>
  <c r="W2468" i="17"/>
  <c r="W2469" i="17"/>
  <c r="W2470" i="17"/>
  <c r="W2471" i="17"/>
  <c r="W2472" i="17"/>
  <c r="W2473" i="17"/>
  <c r="W2474" i="17"/>
  <c r="W2475" i="17"/>
  <c r="H2447" i="17"/>
  <c r="H2448" i="17"/>
  <c r="H2449" i="17"/>
  <c r="H2450" i="17"/>
  <c r="H2451" i="17"/>
  <c r="H2452" i="17"/>
  <c r="H2453" i="17"/>
  <c r="H2454" i="17"/>
  <c r="I2447" i="17"/>
  <c r="I2448" i="17"/>
  <c r="I2449" i="17"/>
  <c r="I2450" i="17"/>
  <c r="I2451" i="17"/>
  <c r="I2452" i="17"/>
  <c r="I2453" i="17"/>
  <c r="I2454" i="17"/>
  <c r="J2447" i="17"/>
  <c r="J2448" i="17"/>
  <c r="J2449" i="17"/>
  <c r="J2450" i="17"/>
  <c r="J2451" i="17"/>
  <c r="J2452" i="17"/>
  <c r="J2453" i="17"/>
  <c r="J2454" i="17"/>
  <c r="K2447" i="17"/>
  <c r="K2448" i="17"/>
  <c r="K2449" i="17"/>
  <c r="K2450" i="17"/>
  <c r="K2451" i="17"/>
  <c r="K2452" i="17"/>
  <c r="K2453" i="17"/>
  <c r="K2454" i="17"/>
  <c r="N2447" i="17"/>
  <c r="N2448" i="17"/>
  <c r="N2449" i="17"/>
  <c r="N2450" i="17"/>
  <c r="N2451" i="17"/>
  <c r="N2452" i="17"/>
  <c r="N2453" i="17"/>
  <c r="N2454" i="17"/>
  <c r="O2447" i="17"/>
  <c r="O2448" i="17"/>
  <c r="O2449" i="17"/>
  <c r="O2450" i="17"/>
  <c r="O2451" i="17"/>
  <c r="O2452" i="17"/>
  <c r="O2453" i="17"/>
  <c r="O2454" i="17"/>
  <c r="Q2447" i="17"/>
  <c r="Q2448" i="17"/>
  <c r="Q2449" i="17"/>
  <c r="Q2450" i="17"/>
  <c r="Q2451" i="17"/>
  <c r="Q2452" i="17"/>
  <c r="Q2453" i="17"/>
  <c r="Q2454" i="17"/>
  <c r="S2447" i="17"/>
  <c r="S2448" i="17"/>
  <c r="S2449" i="17"/>
  <c r="S2450" i="17"/>
  <c r="S2451" i="17"/>
  <c r="S2452" i="17"/>
  <c r="S2453" i="17"/>
  <c r="S2454" i="17"/>
  <c r="T2447" i="17"/>
  <c r="T2448" i="17"/>
  <c r="T2449" i="17"/>
  <c r="T2450" i="17"/>
  <c r="T2451" i="17"/>
  <c r="T2452" i="17"/>
  <c r="T2453" i="17"/>
  <c r="T2454" i="17"/>
  <c r="U2447" i="17"/>
  <c r="U2448" i="17"/>
  <c r="U2449" i="17"/>
  <c r="U2450" i="17"/>
  <c r="U2451" i="17"/>
  <c r="U2452" i="17"/>
  <c r="U2453" i="17"/>
  <c r="U2454" i="17"/>
  <c r="V2447" i="17"/>
  <c r="V2448" i="17"/>
  <c r="V2449" i="17"/>
  <c r="V2450" i="17"/>
  <c r="V2451" i="17"/>
  <c r="V2452" i="17"/>
  <c r="V2453" i="17"/>
  <c r="V2454" i="17"/>
  <c r="W2447" i="17"/>
  <c r="W2448" i="17"/>
  <c r="W2449" i="17"/>
  <c r="W2450" i="17"/>
  <c r="W2451" i="17"/>
  <c r="W2452" i="17"/>
  <c r="W2453" i="17"/>
  <c r="W2454" i="17"/>
  <c r="H2446" i="17"/>
  <c r="H2455" i="17"/>
  <c r="H2456" i="17"/>
  <c r="H2457" i="17"/>
  <c r="H2458" i="17"/>
  <c r="H2459" i="17"/>
  <c r="I2446" i="17"/>
  <c r="I2455" i="17"/>
  <c r="I2456" i="17"/>
  <c r="I2457" i="17"/>
  <c r="I2458" i="17"/>
  <c r="I2459" i="17"/>
  <c r="J2446" i="17"/>
  <c r="J2455" i="17"/>
  <c r="J2456" i="17"/>
  <c r="J2457" i="17"/>
  <c r="J2458" i="17"/>
  <c r="J2459" i="17"/>
  <c r="K2446" i="17"/>
  <c r="K2455" i="17"/>
  <c r="K2456" i="17"/>
  <c r="K2457" i="17"/>
  <c r="K2458" i="17"/>
  <c r="K2459" i="17"/>
  <c r="N2446" i="17"/>
  <c r="N2455" i="17"/>
  <c r="N2456" i="17"/>
  <c r="N2457" i="17"/>
  <c r="N2458" i="17"/>
  <c r="N2459" i="17"/>
  <c r="O2446" i="17"/>
  <c r="O2455" i="17"/>
  <c r="O2456" i="17"/>
  <c r="O2457" i="17"/>
  <c r="O2458" i="17"/>
  <c r="O2459" i="17"/>
  <c r="Q2446" i="17"/>
  <c r="Q2455" i="17"/>
  <c r="Q2456" i="17"/>
  <c r="Q2457" i="17"/>
  <c r="Q2458" i="17"/>
  <c r="Q2459" i="17"/>
  <c r="S2446" i="17"/>
  <c r="S2455" i="17"/>
  <c r="S2456" i="17"/>
  <c r="S2457" i="17"/>
  <c r="S2458" i="17"/>
  <c r="S2459" i="17"/>
  <c r="T2446" i="17"/>
  <c r="T2455" i="17"/>
  <c r="T2456" i="17"/>
  <c r="T2457" i="17"/>
  <c r="T2458" i="17"/>
  <c r="T2459" i="17"/>
  <c r="U2446" i="17"/>
  <c r="U2455" i="17"/>
  <c r="U2456" i="17"/>
  <c r="U2457" i="17"/>
  <c r="U2458" i="17"/>
  <c r="U2459" i="17"/>
  <c r="V2446" i="17"/>
  <c r="V2455" i="17"/>
  <c r="V2456" i="17"/>
  <c r="V2457" i="17"/>
  <c r="V2458" i="17"/>
  <c r="V2459" i="17"/>
  <c r="W2446" i="17"/>
  <c r="W2455" i="17"/>
  <c r="W2456" i="17"/>
  <c r="W2457" i="17"/>
  <c r="W2458" i="17"/>
  <c r="W2459" i="17"/>
  <c r="H2435" i="17"/>
  <c r="H2436" i="17"/>
  <c r="H2437" i="17"/>
  <c r="H2438" i="17"/>
  <c r="H2439" i="17"/>
  <c r="H2440" i="17"/>
  <c r="H2441" i="17"/>
  <c r="H2442" i="17"/>
  <c r="H2443" i="17"/>
  <c r="H2444" i="17"/>
  <c r="I2435" i="17"/>
  <c r="I2436" i="17"/>
  <c r="I2437" i="17"/>
  <c r="I2438" i="17"/>
  <c r="I2439" i="17"/>
  <c r="I2440" i="17"/>
  <c r="I2441" i="17"/>
  <c r="I2442" i="17"/>
  <c r="I2443" i="17"/>
  <c r="I2444" i="17"/>
  <c r="J2435" i="17"/>
  <c r="J2436" i="17"/>
  <c r="J2437" i="17"/>
  <c r="J2438" i="17"/>
  <c r="J2439" i="17"/>
  <c r="J2440" i="17"/>
  <c r="J2441" i="17"/>
  <c r="J2442" i="17"/>
  <c r="J2443" i="17"/>
  <c r="J2444" i="17"/>
  <c r="K2435" i="17"/>
  <c r="K2436" i="17"/>
  <c r="K2437" i="17"/>
  <c r="K2438" i="17"/>
  <c r="K2439" i="17"/>
  <c r="K2440" i="17"/>
  <c r="K2441" i="17"/>
  <c r="K2442" i="17"/>
  <c r="K2443" i="17"/>
  <c r="K2444" i="17"/>
  <c r="N2435" i="17"/>
  <c r="N2436" i="17"/>
  <c r="N2437" i="17"/>
  <c r="N2438" i="17"/>
  <c r="N2439" i="17"/>
  <c r="N2440" i="17"/>
  <c r="N2441" i="17"/>
  <c r="N2442" i="17"/>
  <c r="N2443" i="17"/>
  <c r="N2444" i="17"/>
  <c r="O2435" i="17"/>
  <c r="O2436" i="17"/>
  <c r="O2437" i="17"/>
  <c r="O2438" i="17"/>
  <c r="O2439" i="17"/>
  <c r="O2440" i="17"/>
  <c r="O2441" i="17"/>
  <c r="O2442" i="17"/>
  <c r="O2443" i="17"/>
  <c r="O2444" i="17"/>
  <c r="Q2435" i="17"/>
  <c r="Q2436" i="17"/>
  <c r="Q2437" i="17"/>
  <c r="Q2438" i="17"/>
  <c r="Q2439" i="17"/>
  <c r="Q2440" i="17"/>
  <c r="Q2441" i="17"/>
  <c r="Q2442" i="17"/>
  <c r="Q2443" i="17"/>
  <c r="Q2444" i="17"/>
  <c r="S2435" i="17"/>
  <c r="S2436" i="17"/>
  <c r="S2437" i="17"/>
  <c r="S2438" i="17"/>
  <c r="S2439" i="17"/>
  <c r="S2440" i="17"/>
  <c r="S2441" i="17"/>
  <c r="S2442" i="17"/>
  <c r="S2443" i="17"/>
  <c r="S2444" i="17"/>
  <c r="T2435" i="17"/>
  <c r="T2436" i="17"/>
  <c r="T2437" i="17"/>
  <c r="T2438" i="17"/>
  <c r="T2439" i="17"/>
  <c r="T2440" i="17"/>
  <c r="T2441" i="17"/>
  <c r="T2442" i="17"/>
  <c r="T2443" i="17"/>
  <c r="T2444" i="17"/>
  <c r="U2435" i="17"/>
  <c r="U2436" i="17"/>
  <c r="U2437" i="17"/>
  <c r="U2438" i="17"/>
  <c r="U2439" i="17"/>
  <c r="U2440" i="17"/>
  <c r="U2441" i="17"/>
  <c r="U2442" i="17"/>
  <c r="U2443" i="17"/>
  <c r="U2444" i="17"/>
  <c r="V2435" i="17"/>
  <c r="V2436" i="17"/>
  <c r="V2437" i="17"/>
  <c r="V2438" i="17"/>
  <c r="V2439" i="17"/>
  <c r="V2440" i="17"/>
  <c r="V2441" i="17"/>
  <c r="V2442" i="17"/>
  <c r="V2443" i="17"/>
  <c r="V2444" i="17"/>
  <c r="W2435" i="17"/>
  <c r="W2436" i="17"/>
  <c r="W2437" i="17"/>
  <c r="W2438" i="17"/>
  <c r="W2439" i="17"/>
  <c r="W2440" i="17"/>
  <c r="W2441" i="17"/>
  <c r="W2442" i="17"/>
  <c r="W2443" i="17"/>
  <c r="W2444" i="17"/>
  <c r="H2425" i="17"/>
  <c r="H2426" i="17"/>
  <c r="H2427" i="17"/>
  <c r="H2428" i="17"/>
  <c r="H2429" i="17"/>
  <c r="H2430" i="17"/>
  <c r="H2431" i="17"/>
  <c r="H2432" i="17"/>
  <c r="H2433" i="17"/>
  <c r="H2434" i="17"/>
  <c r="I2425" i="17"/>
  <c r="I2426" i="17"/>
  <c r="I2427" i="17"/>
  <c r="I2428" i="17"/>
  <c r="I2429" i="17"/>
  <c r="I2430" i="17"/>
  <c r="I2431" i="17"/>
  <c r="I2432" i="17"/>
  <c r="I2433" i="17"/>
  <c r="I2434" i="17"/>
  <c r="J2425" i="17"/>
  <c r="J2426" i="17"/>
  <c r="J2427" i="17"/>
  <c r="J2428" i="17"/>
  <c r="J2429" i="17"/>
  <c r="J2430" i="17"/>
  <c r="J2431" i="17"/>
  <c r="J2432" i="17"/>
  <c r="J2433" i="17"/>
  <c r="J2434" i="17"/>
  <c r="K2425" i="17"/>
  <c r="K2426" i="17"/>
  <c r="K2427" i="17"/>
  <c r="K2428" i="17"/>
  <c r="K2429" i="17"/>
  <c r="K2430" i="17"/>
  <c r="K2431" i="17"/>
  <c r="K2432" i="17"/>
  <c r="K2433" i="17"/>
  <c r="K2434" i="17"/>
  <c r="N2425" i="17"/>
  <c r="N2426" i="17"/>
  <c r="N2427" i="17"/>
  <c r="N2428" i="17"/>
  <c r="N2429" i="17"/>
  <c r="N2430" i="17"/>
  <c r="N2431" i="17"/>
  <c r="N2432" i="17"/>
  <c r="N2433" i="17"/>
  <c r="N2434" i="17"/>
  <c r="O2425" i="17"/>
  <c r="O2426" i="17"/>
  <c r="O2427" i="17"/>
  <c r="O2428" i="17"/>
  <c r="O2429" i="17"/>
  <c r="O2430" i="17"/>
  <c r="O2431" i="17"/>
  <c r="O2432" i="17"/>
  <c r="O2433" i="17"/>
  <c r="O2434" i="17"/>
  <c r="Q2425" i="17"/>
  <c r="Q2426" i="17"/>
  <c r="Q2427" i="17"/>
  <c r="Q2428" i="17"/>
  <c r="Q2429" i="17"/>
  <c r="Q2430" i="17"/>
  <c r="Q2431" i="17"/>
  <c r="Q2432" i="17"/>
  <c r="Q2433" i="17"/>
  <c r="Q2434" i="17"/>
  <c r="S2425" i="17"/>
  <c r="S2426" i="17"/>
  <c r="S2427" i="17"/>
  <c r="S2428" i="17"/>
  <c r="S2429" i="17"/>
  <c r="S2430" i="17"/>
  <c r="S2431" i="17"/>
  <c r="S2432" i="17"/>
  <c r="S2433" i="17"/>
  <c r="S2434" i="17"/>
  <c r="T2425" i="17"/>
  <c r="T2426" i="17"/>
  <c r="T2427" i="17"/>
  <c r="T2428" i="17"/>
  <c r="T2429" i="17"/>
  <c r="T2430" i="17"/>
  <c r="T2431" i="17"/>
  <c r="T2432" i="17"/>
  <c r="T2433" i="17"/>
  <c r="T2434" i="17"/>
  <c r="U2425" i="17"/>
  <c r="U2426" i="17"/>
  <c r="U2427" i="17"/>
  <c r="U2428" i="17"/>
  <c r="U2429" i="17"/>
  <c r="U2430" i="17"/>
  <c r="U2431" i="17"/>
  <c r="U2432" i="17"/>
  <c r="U2433" i="17"/>
  <c r="U2434" i="17"/>
  <c r="V2425" i="17"/>
  <c r="V2426" i="17"/>
  <c r="V2427" i="17"/>
  <c r="V2428" i="17"/>
  <c r="V2429" i="17"/>
  <c r="V2430" i="17"/>
  <c r="V2431" i="17"/>
  <c r="V2432" i="17"/>
  <c r="V2433" i="17"/>
  <c r="V2434" i="17"/>
  <c r="W2425" i="17"/>
  <c r="W2426" i="17"/>
  <c r="W2427" i="17"/>
  <c r="W2428" i="17"/>
  <c r="W2429" i="17"/>
  <c r="W2430" i="17"/>
  <c r="W2431" i="17"/>
  <c r="W2432" i="17"/>
  <c r="W2433" i="17"/>
  <c r="W2434" i="17"/>
  <c r="H2419" i="17"/>
  <c r="H2420" i="17"/>
  <c r="H2421" i="17"/>
  <c r="H2422" i="17"/>
  <c r="H2423" i="17"/>
  <c r="I2419" i="17"/>
  <c r="I2420" i="17"/>
  <c r="I2421" i="17"/>
  <c r="I2422" i="17"/>
  <c r="I2423" i="17"/>
  <c r="J2419" i="17"/>
  <c r="J2420" i="17"/>
  <c r="J2421" i="17"/>
  <c r="J2422" i="17"/>
  <c r="J2423" i="17"/>
  <c r="K2419" i="17"/>
  <c r="K2420" i="17"/>
  <c r="K2421" i="17"/>
  <c r="K2422" i="17"/>
  <c r="K2423" i="17"/>
  <c r="N2419" i="17"/>
  <c r="N2420" i="17"/>
  <c r="N2421" i="17"/>
  <c r="N2422" i="17"/>
  <c r="N2423" i="17"/>
  <c r="O2419" i="17"/>
  <c r="O2420" i="17"/>
  <c r="O2421" i="17"/>
  <c r="O2422" i="17"/>
  <c r="O2423" i="17"/>
  <c r="Q2419" i="17"/>
  <c r="Q2420" i="17"/>
  <c r="Q2421" i="17"/>
  <c r="Q2422" i="17"/>
  <c r="Q2423" i="17"/>
  <c r="S2419" i="17"/>
  <c r="S2420" i="17"/>
  <c r="S2421" i="17"/>
  <c r="S2422" i="17"/>
  <c r="S2423" i="17"/>
  <c r="T2419" i="17"/>
  <c r="T2420" i="17"/>
  <c r="T2421" i="17"/>
  <c r="T2422" i="17"/>
  <c r="T2423" i="17"/>
  <c r="U2419" i="17"/>
  <c r="U2420" i="17"/>
  <c r="U2421" i="17"/>
  <c r="U2422" i="17"/>
  <c r="U2423" i="17"/>
  <c r="V2419" i="17"/>
  <c r="V2420" i="17"/>
  <c r="V2421" i="17"/>
  <c r="V2422" i="17"/>
  <c r="V2423" i="17"/>
  <c r="W2419" i="17"/>
  <c r="W2420" i="17"/>
  <c r="W2421" i="17"/>
  <c r="W2422" i="17"/>
  <c r="W2423" i="17"/>
  <c r="H2404" i="17"/>
  <c r="H2405" i="17"/>
  <c r="H2406" i="17"/>
  <c r="H2407" i="17"/>
  <c r="H2408" i="17"/>
  <c r="H2409" i="17"/>
  <c r="H2410" i="17"/>
  <c r="H2411" i="17"/>
  <c r="H2412" i="17"/>
  <c r="H2413" i="17"/>
  <c r="H2414" i="17"/>
  <c r="H2415" i="17"/>
  <c r="H2416" i="17"/>
  <c r="H2417" i="17"/>
  <c r="H2418" i="17"/>
  <c r="I2404" i="17"/>
  <c r="I2405" i="17"/>
  <c r="I2406" i="17"/>
  <c r="I2407" i="17"/>
  <c r="I2408" i="17"/>
  <c r="I2409" i="17"/>
  <c r="I2410" i="17"/>
  <c r="I2411" i="17"/>
  <c r="I2412" i="17"/>
  <c r="I2413" i="17"/>
  <c r="I2414" i="17"/>
  <c r="I2415" i="17"/>
  <c r="I2416" i="17"/>
  <c r="I2417" i="17"/>
  <c r="I2418" i="17"/>
  <c r="J2404" i="17"/>
  <c r="J2405" i="17"/>
  <c r="J2406" i="17"/>
  <c r="J2407" i="17"/>
  <c r="J2408" i="17"/>
  <c r="J2409" i="17"/>
  <c r="J2410" i="17"/>
  <c r="J2411" i="17"/>
  <c r="J2412" i="17"/>
  <c r="J2413" i="17"/>
  <c r="J2414" i="17"/>
  <c r="J2415" i="17"/>
  <c r="J2416" i="17"/>
  <c r="J2417" i="17"/>
  <c r="J2418" i="17"/>
  <c r="K2404" i="17"/>
  <c r="K2405" i="17"/>
  <c r="K2406" i="17"/>
  <c r="K2407" i="17"/>
  <c r="K2408" i="17"/>
  <c r="K2409" i="17"/>
  <c r="K2410" i="17"/>
  <c r="K2411" i="17"/>
  <c r="K2412" i="17"/>
  <c r="K2413" i="17"/>
  <c r="K2414" i="17"/>
  <c r="K2415" i="17"/>
  <c r="K2416" i="17"/>
  <c r="K2417" i="17"/>
  <c r="K2418" i="17"/>
  <c r="N2404" i="17"/>
  <c r="N2405" i="17"/>
  <c r="N2406" i="17"/>
  <c r="N2407" i="17"/>
  <c r="N2408" i="17"/>
  <c r="N2409" i="17"/>
  <c r="N2410" i="17"/>
  <c r="N2411" i="17"/>
  <c r="N2412" i="17"/>
  <c r="N2413" i="17"/>
  <c r="N2414" i="17"/>
  <c r="N2415" i="17"/>
  <c r="N2416" i="17"/>
  <c r="N2417" i="17"/>
  <c r="N2418" i="17"/>
  <c r="O2404" i="17"/>
  <c r="O2405" i="17"/>
  <c r="O2406" i="17"/>
  <c r="O2407" i="17"/>
  <c r="O2408" i="17"/>
  <c r="O2409" i="17"/>
  <c r="O2410" i="17"/>
  <c r="O2411" i="17"/>
  <c r="O2412" i="17"/>
  <c r="O2413" i="17"/>
  <c r="O2414" i="17"/>
  <c r="O2415" i="17"/>
  <c r="O2416" i="17"/>
  <c r="O2417" i="17"/>
  <c r="O2418" i="17"/>
  <c r="Q2404" i="17"/>
  <c r="Q2405" i="17"/>
  <c r="Q2406" i="17"/>
  <c r="Q2407" i="17"/>
  <c r="Q2408" i="17"/>
  <c r="Q2409" i="17"/>
  <c r="Q2410" i="17"/>
  <c r="Q2411" i="17"/>
  <c r="Q2412" i="17"/>
  <c r="Q2413" i="17"/>
  <c r="Q2414" i="17"/>
  <c r="Q2415" i="17"/>
  <c r="Q2416" i="17"/>
  <c r="Q2417" i="17"/>
  <c r="Q2418" i="17"/>
  <c r="S2404" i="17"/>
  <c r="S2405" i="17"/>
  <c r="S2406" i="17"/>
  <c r="S2407" i="17"/>
  <c r="S2408" i="17"/>
  <c r="S2409" i="17"/>
  <c r="S2410" i="17"/>
  <c r="S2411" i="17"/>
  <c r="S2412" i="17"/>
  <c r="S2413" i="17"/>
  <c r="S2414" i="17"/>
  <c r="S2415" i="17"/>
  <c r="S2416" i="17"/>
  <c r="S2417" i="17"/>
  <c r="S2418" i="17"/>
  <c r="T2404" i="17"/>
  <c r="T2405" i="17"/>
  <c r="T2406" i="17"/>
  <c r="T2407" i="17"/>
  <c r="T2408" i="17"/>
  <c r="T2409" i="17"/>
  <c r="T2410" i="17"/>
  <c r="T2411" i="17"/>
  <c r="T2412" i="17"/>
  <c r="T2413" i="17"/>
  <c r="T2414" i="17"/>
  <c r="T2415" i="17"/>
  <c r="T2416" i="17"/>
  <c r="T2417" i="17"/>
  <c r="T2418" i="17"/>
  <c r="U2404" i="17"/>
  <c r="U2405" i="17"/>
  <c r="U2406" i="17"/>
  <c r="U2407" i="17"/>
  <c r="U2408" i="17"/>
  <c r="U2409" i="17"/>
  <c r="U2410" i="17"/>
  <c r="U2411" i="17"/>
  <c r="U2412" i="17"/>
  <c r="U2413" i="17"/>
  <c r="U2414" i="17"/>
  <c r="U2415" i="17"/>
  <c r="U2416" i="17"/>
  <c r="U2417" i="17"/>
  <c r="U2418" i="17"/>
  <c r="V2404" i="17"/>
  <c r="V2405" i="17"/>
  <c r="V2406" i="17"/>
  <c r="V2407" i="17"/>
  <c r="V2408" i="17"/>
  <c r="V2409" i="17"/>
  <c r="V2410" i="17"/>
  <c r="V2411" i="17"/>
  <c r="V2412" i="17"/>
  <c r="V2413" i="17"/>
  <c r="V2414" i="17"/>
  <c r="V2415" i="17"/>
  <c r="V2416" i="17"/>
  <c r="V2417" i="17"/>
  <c r="V2418" i="17"/>
  <c r="W2404" i="17"/>
  <c r="W2405" i="17"/>
  <c r="W2406" i="17"/>
  <c r="W2407" i="17"/>
  <c r="W2408" i="17"/>
  <c r="W2409" i="17"/>
  <c r="W2410" i="17"/>
  <c r="W2411" i="17"/>
  <c r="W2412" i="17"/>
  <c r="W2413" i="17"/>
  <c r="W2414" i="17"/>
  <c r="W2415" i="17"/>
  <c r="W2416" i="17"/>
  <c r="W2417" i="17"/>
  <c r="W2418" i="17"/>
  <c r="H2391" i="17"/>
  <c r="H2392" i="17"/>
  <c r="H2393" i="17"/>
  <c r="H2394" i="17"/>
  <c r="H2395" i="17"/>
  <c r="H2396" i="17"/>
  <c r="H2397" i="17"/>
  <c r="H2398" i="17"/>
  <c r="H2399" i="17"/>
  <c r="H2400" i="17"/>
  <c r="H2401" i="17"/>
  <c r="H2402" i="17"/>
  <c r="I2391" i="17"/>
  <c r="I2392" i="17"/>
  <c r="I2393" i="17"/>
  <c r="I2394" i="17"/>
  <c r="I2395" i="17"/>
  <c r="I2396" i="17"/>
  <c r="I2397" i="17"/>
  <c r="I2398" i="17"/>
  <c r="I2399" i="17"/>
  <c r="I2400" i="17"/>
  <c r="I2401" i="17"/>
  <c r="I2402" i="17"/>
  <c r="J2391" i="17"/>
  <c r="J2392" i="17"/>
  <c r="J2393" i="17"/>
  <c r="J2394" i="17"/>
  <c r="J2395" i="17"/>
  <c r="J2396" i="17"/>
  <c r="J2397" i="17"/>
  <c r="J2398" i="17"/>
  <c r="J2399" i="17"/>
  <c r="J2400" i="17"/>
  <c r="J2401" i="17"/>
  <c r="J2402" i="17"/>
  <c r="K2391" i="17"/>
  <c r="K2392" i="17"/>
  <c r="K2393" i="17"/>
  <c r="K2394" i="17"/>
  <c r="K2395" i="17"/>
  <c r="K2396" i="17"/>
  <c r="K2397" i="17"/>
  <c r="K2398" i="17"/>
  <c r="K2399" i="17"/>
  <c r="K2400" i="17"/>
  <c r="K2401" i="17"/>
  <c r="K2402" i="17"/>
  <c r="N2391" i="17"/>
  <c r="N2392" i="17"/>
  <c r="N2393" i="17"/>
  <c r="N2394" i="17"/>
  <c r="N2395" i="17"/>
  <c r="N2396" i="17"/>
  <c r="N2397" i="17"/>
  <c r="N2398" i="17"/>
  <c r="N2399" i="17"/>
  <c r="N2400" i="17"/>
  <c r="N2401" i="17"/>
  <c r="N2402" i="17"/>
  <c r="O2391" i="17"/>
  <c r="O2392" i="17"/>
  <c r="O2393" i="17"/>
  <c r="O2394" i="17"/>
  <c r="O2395" i="17"/>
  <c r="O2396" i="17"/>
  <c r="O2397" i="17"/>
  <c r="O2398" i="17"/>
  <c r="O2399" i="17"/>
  <c r="O2400" i="17"/>
  <c r="O2401" i="17"/>
  <c r="O2402" i="17"/>
  <c r="Q2391" i="17"/>
  <c r="Q2392" i="17"/>
  <c r="Q2393" i="17"/>
  <c r="Q2394" i="17"/>
  <c r="Q2395" i="17"/>
  <c r="Q2396" i="17"/>
  <c r="Q2397" i="17"/>
  <c r="Q2398" i="17"/>
  <c r="Q2399" i="17"/>
  <c r="Q2400" i="17"/>
  <c r="Q2401" i="17"/>
  <c r="Q2402" i="17"/>
  <c r="S2391" i="17"/>
  <c r="S2392" i="17"/>
  <c r="S2393" i="17"/>
  <c r="S2394" i="17"/>
  <c r="S2395" i="17"/>
  <c r="S2396" i="17"/>
  <c r="S2397" i="17"/>
  <c r="S2398" i="17"/>
  <c r="S2399" i="17"/>
  <c r="S2400" i="17"/>
  <c r="S2401" i="17"/>
  <c r="S2402" i="17"/>
  <c r="T2391" i="17"/>
  <c r="T2392" i="17"/>
  <c r="T2393" i="17"/>
  <c r="T2394" i="17"/>
  <c r="T2395" i="17"/>
  <c r="T2396" i="17"/>
  <c r="T2397" i="17"/>
  <c r="T2398" i="17"/>
  <c r="T2399" i="17"/>
  <c r="T2400" i="17"/>
  <c r="T2401" i="17"/>
  <c r="T2402" i="17"/>
  <c r="U2391" i="17"/>
  <c r="U2392" i="17"/>
  <c r="U2393" i="17"/>
  <c r="U2394" i="17"/>
  <c r="U2395" i="17"/>
  <c r="U2396" i="17"/>
  <c r="U2397" i="17"/>
  <c r="U2398" i="17"/>
  <c r="U2399" i="17"/>
  <c r="U2400" i="17"/>
  <c r="U2401" i="17"/>
  <c r="U2402" i="17"/>
  <c r="V2391" i="17"/>
  <c r="V2392" i="17"/>
  <c r="V2393" i="17"/>
  <c r="V2394" i="17"/>
  <c r="V2395" i="17"/>
  <c r="V2396" i="17"/>
  <c r="V2397" i="17"/>
  <c r="V2398" i="17"/>
  <c r="V2399" i="17"/>
  <c r="V2400" i="17"/>
  <c r="V2401" i="17"/>
  <c r="V2402" i="17"/>
  <c r="W2391" i="17"/>
  <c r="W2392" i="17"/>
  <c r="W2393" i="17"/>
  <c r="W2394" i="17"/>
  <c r="W2395" i="17"/>
  <c r="W2396" i="17"/>
  <c r="W2397" i="17"/>
  <c r="W2398" i="17"/>
  <c r="W2399" i="17"/>
  <c r="W2400" i="17"/>
  <c r="W2401" i="17"/>
  <c r="W2402" i="17"/>
  <c r="H2381" i="17"/>
  <c r="H2382" i="17"/>
  <c r="H2383" i="17"/>
  <c r="H2384" i="17"/>
  <c r="H2385" i="17"/>
  <c r="H2386" i="17"/>
  <c r="H2387" i="17"/>
  <c r="H2388" i="17"/>
  <c r="H2389" i="17"/>
  <c r="I2381" i="17"/>
  <c r="I2382" i="17"/>
  <c r="I2383" i="17"/>
  <c r="I2384" i="17"/>
  <c r="I2385" i="17"/>
  <c r="I2386" i="17"/>
  <c r="I2387" i="17"/>
  <c r="I2388" i="17"/>
  <c r="I2389" i="17"/>
  <c r="J2381" i="17"/>
  <c r="J2382" i="17"/>
  <c r="J2383" i="17"/>
  <c r="J2384" i="17"/>
  <c r="J2385" i="17"/>
  <c r="J2386" i="17"/>
  <c r="J2387" i="17"/>
  <c r="J2388" i="17"/>
  <c r="J2389" i="17"/>
  <c r="K2381" i="17"/>
  <c r="K2382" i="17"/>
  <c r="K2383" i="17"/>
  <c r="K2384" i="17"/>
  <c r="K2385" i="17"/>
  <c r="K2386" i="17"/>
  <c r="K2387" i="17"/>
  <c r="K2388" i="17"/>
  <c r="K2389" i="17"/>
  <c r="N2381" i="17"/>
  <c r="N2382" i="17"/>
  <c r="N2383" i="17"/>
  <c r="N2384" i="17"/>
  <c r="N2385" i="17"/>
  <c r="N2386" i="17"/>
  <c r="N2387" i="17"/>
  <c r="N2388" i="17"/>
  <c r="N2389" i="17"/>
  <c r="O2381" i="17"/>
  <c r="O2382" i="17"/>
  <c r="O2383" i="17"/>
  <c r="O2384" i="17"/>
  <c r="O2385" i="17"/>
  <c r="O2386" i="17"/>
  <c r="O2387" i="17"/>
  <c r="O2388" i="17"/>
  <c r="O2389" i="17"/>
  <c r="Q2381" i="17"/>
  <c r="Q2382" i="17"/>
  <c r="Q2383" i="17"/>
  <c r="Q2384" i="17"/>
  <c r="Q2385" i="17"/>
  <c r="Q2386" i="17"/>
  <c r="Q2387" i="17"/>
  <c r="Q2388" i="17"/>
  <c r="Q2389" i="17"/>
  <c r="S2381" i="17"/>
  <c r="S2382" i="17"/>
  <c r="S2383" i="17"/>
  <c r="S2384" i="17"/>
  <c r="S2385" i="17"/>
  <c r="S2386" i="17"/>
  <c r="S2387" i="17"/>
  <c r="S2388" i="17"/>
  <c r="S2389" i="17"/>
  <c r="T2381" i="17"/>
  <c r="T2382" i="17"/>
  <c r="T2383" i="17"/>
  <c r="T2384" i="17"/>
  <c r="T2385" i="17"/>
  <c r="T2386" i="17"/>
  <c r="T2387" i="17"/>
  <c r="T2388" i="17"/>
  <c r="T2389" i="17"/>
  <c r="U2381" i="17"/>
  <c r="U2382" i="17"/>
  <c r="U2383" i="17"/>
  <c r="U2384" i="17"/>
  <c r="U2385" i="17"/>
  <c r="U2386" i="17"/>
  <c r="U2387" i="17"/>
  <c r="U2388" i="17"/>
  <c r="U2389" i="17"/>
  <c r="V2381" i="17"/>
  <c r="V2382" i="17"/>
  <c r="V2383" i="17"/>
  <c r="V2384" i="17"/>
  <c r="V2385" i="17"/>
  <c r="V2386" i="17"/>
  <c r="V2387" i="17"/>
  <c r="V2388" i="17"/>
  <c r="V2389" i="17"/>
  <c r="W2381" i="17"/>
  <c r="W2382" i="17"/>
  <c r="W2383" i="17"/>
  <c r="W2384" i="17"/>
  <c r="W2385" i="17"/>
  <c r="W2386" i="17"/>
  <c r="W2387" i="17"/>
  <c r="W2388" i="17"/>
  <c r="W2389" i="17"/>
  <c r="H2369" i="17"/>
  <c r="H2370" i="17"/>
  <c r="H2371" i="17"/>
  <c r="H2372" i="17"/>
  <c r="H2373" i="17"/>
  <c r="H2374" i="17"/>
  <c r="H2375" i="17"/>
  <c r="H2376" i="17"/>
  <c r="H2377" i="17"/>
  <c r="H2378" i="17"/>
  <c r="I2369" i="17"/>
  <c r="I2370" i="17"/>
  <c r="I2371" i="17"/>
  <c r="I2372" i="17"/>
  <c r="I2373" i="17"/>
  <c r="I2374" i="17"/>
  <c r="I2375" i="17"/>
  <c r="I2376" i="17"/>
  <c r="I2377" i="17"/>
  <c r="I2378" i="17"/>
  <c r="J2369" i="17"/>
  <c r="J2370" i="17"/>
  <c r="J2371" i="17"/>
  <c r="J2372" i="17"/>
  <c r="J2373" i="17"/>
  <c r="J2374" i="17"/>
  <c r="J2375" i="17"/>
  <c r="J2376" i="17"/>
  <c r="J2377" i="17"/>
  <c r="J2378" i="17"/>
  <c r="K2369" i="17"/>
  <c r="K2370" i="17"/>
  <c r="K2371" i="17"/>
  <c r="K2372" i="17"/>
  <c r="K2373" i="17"/>
  <c r="K2374" i="17"/>
  <c r="K2375" i="17"/>
  <c r="K2376" i="17"/>
  <c r="K2377" i="17"/>
  <c r="K2378" i="17"/>
  <c r="N2369" i="17"/>
  <c r="N2370" i="17"/>
  <c r="N2371" i="17"/>
  <c r="N2372" i="17"/>
  <c r="N2373" i="17"/>
  <c r="N2374" i="17"/>
  <c r="N2375" i="17"/>
  <c r="N2376" i="17"/>
  <c r="N2377" i="17"/>
  <c r="N2378" i="17"/>
  <c r="O2369" i="17"/>
  <c r="O2370" i="17"/>
  <c r="O2371" i="17"/>
  <c r="O2372" i="17"/>
  <c r="O2373" i="17"/>
  <c r="O2374" i="17"/>
  <c r="O2375" i="17"/>
  <c r="O2376" i="17"/>
  <c r="O2377" i="17"/>
  <c r="O2378" i="17"/>
  <c r="Q2369" i="17"/>
  <c r="Q2370" i="17"/>
  <c r="Q2371" i="17"/>
  <c r="Q2372" i="17"/>
  <c r="Q2373" i="17"/>
  <c r="Q2374" i="17"/>
  <c r="Q2375" i="17"/>
  <c r="Q2376" i="17"/>
  <c r="Q2377" i="17"/>
  <c r="Q2378" i="17"/>
  <c r="S2369" i="17"/>
  <c r="S2370" i="17"/>
  <c r="S2371" i="17"/>
  <c r="S2372" i="17"/>
  <c r="S2373" i="17"/>
  <c r="S2374" i="17"/>
  <c r="S2375" i="17"/>
  <c r="S2376" i="17"/>
  <c r="S2377" i="17"/>
  <c r="S2378" i="17"/>
  <c r="T2369" i="17"/>
  <c r="T2370" i="17"/>
  <c r="T2371" i="17"/>
  <c r="T2372" i="17"/>
  <c r="T2373" i="17"/>
  <c r="T2374" i="17"/>
  <c r="T2375" i="17"/>
  <c r="T2376" i="17"/>
  <c r="T2377" i="17"/>
  <c r="T2378" i="17"/>
  <c r="U2369" i="17"/>
  <c r="U2370" i="17"/>
  <c r="U2371" i="17"/>
  <c r="U2372" i="17"/>
  <c r="U2373" i="17"/>
  <c r="U2374" i="17"/>
  <c r="U2375" i="17"/>
  <c r="U2376" i="17"/>
  <c r="U2377" i="17"/>
  <c r="U2378" i="17"/>
  <c r="V2369" i="17"/>
  <c r="V2370" i="17"/>
  <c r="V2371" i="17"/>
  <c r="V2372" i="17"/>
  <c r="V2373" i="17"/>
  <c r="V2374" i="17"/>
  <c r="V2375" i="17"/>
  <c r="V2376" i="17"/>
  <c r="V2377" i="17"/>
  <c r="V2378" i="17"/>
  <c r="W2369" i="17"/>
  <c r="W2370" i="17"/>
  <c r="W2371" i="17"/>
  <c r="W2372" i="17"/>
  <c r="W2373" i="17"/>
  <c r="W2374" i="17"/>
  <c r="W2375" i="17"/>
  <c r="W2376" i="17"/>
  <c r="W2377" i="17"/>
  <c r="W2378" i="17"/>
  <c r="H2363" i="17"/>
  <c r="H2364" i="17"/>
  <c r="H2365" i="17"/>
  <c r="H2366" i="17"/>
  <c r="H2367" i="17"/>
  <c r="H2368" i="17"/>
  <c r="H2379" i="17"/>
  <c r="I2363" i="17"/>
  <c r="I2364" i="17"/>
  <c r="I2365" i="17"/>
  <c r="I2366" i="17"/>
  <c r="I2367" i="17"/>
  <c r="I2368" i="17"/>
  <c r="I2379" i="17"/>
  <c r="J2363" i="17"/>
  <c r="J2364" i="17"/>
  <c r="J2365" i="17"/>
  <c r="J2366" i="17"/>
  <c r="J2367" i="17"/>
  <c r="J2368" i="17"/>
  <c r="J2379" i="17"/>
  <c r="K2363" i="17"/>
  <c r="K2364" i="17"/>
  <c r="K2365" i="17"/>
  <c r="K2366" i="17"/>
  <c r="K2367" i="17"/>
  <c r="K2368" i="17"/>
  <c r="K2379" i="17"/>
  <c r="N2363" i="17"/>
  <c r="N2364" i="17"/>
  <c r="N2365" i="17"/>
  <c r="N2366" i="17"/>
  <c r="N2367" i="17"/>
  <c r="N2368" i="17"/>
  <c r="N2379" i="17"/>
  <c r="O2363" i="17"/>
  <c r="O2364" i="17"/>
  <c r="O2365" i="17"/>
  <c r="O2366" i="17"/>
  <c r="O2367" i="17"/>
  <c r="O2368" i="17"/>
  <c r="O2379" i="17"/>
  <c r="Q2363" i="17"/>
  <c r="Q2364" i="17"/>
  <c r="Q2365" i="17"/>
  <c r="Q2366" i="17"/>
  <c r="Q2367" i="17"/>
  <c r="Q2368" i="17"/>
  <c r="Q2379" i="17"/>
  <c r="S2363" i="17"/>
  <c r="S2364" i="17"/>
  <c r="S2365" i="17"/>
  <c r="S2366" i="17"/>
  <c r="S2367" i="17"/>
  <c r="S2368" i="17"/>
  <c r="S2379" i="17"/>
  <c r="T2363" i="17"/>
  <c r="T2364" i="17"/>
  <c r="T2365" i="17"/>
  <c r="T2366" i="17"/>
  <c r="T2367" i="17"/>
  <c r="T2368" i="17"/>
  <c r="T2379" i="17"/>
  <c r="U2363" i="17"/>
  <c r="U2364" i="17"/>
  <c r="U2365" i="17"/>
  <c r="U2366" i="17"/>
  <c r="U2367" i="17"/>
  <c r="U2368" i="17"/>
  <c r="U2379" i="17"/>
  <c r="V2363" i="17"/>
  <c r="V2364" i="17"/>
  <c r="V2365" i="17"/>
  <c r="V2366" i="17"/>
  <c r="V2367" i="17"/>
  <c r="V2368" i="17"/>
  <c r="V2379" i="17"/>
  <c r="W2363" i="17"/>
  <c r="W2364" i="17"/>
  <c r="W2365" i="17"/>
  <c r="W2366" i="17"/>
  <c r="W2367" i="17"/>
  <c r="W2368" i="17"/>
  <c r="W2379" i="17"/>
  <c r="H2356" i="17"/>
  <c r="H2357" i="17"/>
  <c r="H2358" i="17"/>
  <c r="H2359" i="17"/>
  <c r="H2360" i="17"/>
  <c r="H2361" i="17"/>
  <c r="I2356" i="17"/>
  <c r="I2357" i="17"/>
  <c r="I2358" i="17"/>
  <c r="I2359" i="17"/>
  <c r="I2360" i="17"/>
  <c r="I2361" i="17"/>
  <c r="J2356" i="17"/>
  <c r="J2357" i="17"/>
  <c r="J2358" i="17"/>
  <c r="J2359" i="17"/>
  <c r="J2360" i="17"/>
  <c r="J2361" i="17"/>
  <c r="K2356" i="17"/>
  <c r="K2357" i="17"/>
  <c r="K2358" i="17"/>
  <c r="K2359" i="17"/>
  <c r="K2360" i="17"/>
  <c r="K2361" i="17"/>
  <c r="N2356" i="17"/>
  <c r="N2357" i="17"/>
  <c r="N2358" i="17"/>
  <c r="N2359" i="17"/>
  <c r="N2360" i="17"/>
  <c r="N2361" i="17"/>
  <c r="O2356" i="17"/>
  <c r="O2357" i="17"/>
  <c r="O2358" i="17"/>
  <c r="O2359" i="17"/>
  <c r="O2360" i="17"/>
  <c r="O2361" i="17"/>
  <c r="Q2356" i="17"/>
  <c r="Q2357" i="17"/>
  <c r="Q2358" i="17"/>
  <c r="Q2359" i="17"/>
  <c r="Q2360" i="17"/>
  <c r="Q2361" i="17"/>
  <c r="S2356" i="17"/>
  <c r="S2357" i="17"/>
  <c r="S2358" i="17"/>
  <c r="S2359" i="17"/>
  <c r="S2360" i="17"/>
  <c r="S2361" i="17"/>
  <c r="T2356" i="17"/>
  <c r="T2357" i="17"/>
  <c r="T2358" i="17"/>
  <c r="T2359" i="17"/>
  <c r="T2360" i="17"/>
  <c r="T2361" i="17"/>
  <c r="U2356" i="17"/>
  <c r="U2357" i="17"/>
  <c r="U2358" i="17"/>
  <c r="U2359" i="17"/>
  <c r="U2360" i="17"/>
  <c r="U2361" i="17"/>
  <c r="V2356" i="17"/>
  <c r="V2357" i="17"/>
  <c r="V2358" i="17"/>
  <c r="V2359" i="17"/>
  <c r="V2360" i="17"/>
  <c r="V2361" i="17"/>
  <c r="W2356" i="17"/>
  <c r="W2357" i="17"/>
  <c r="W2358" i="17"/>
  <c r="W2359" i="17"/>
  <c r="W2360" i="17"/>
  <c r="W2361" i="17"/>
  <c r="H2352" i="17"/>
  <c r="H2353" i="17"/>
  <c r="H2354" i="17"/>
  <c r="I2352" i="17"/>
  <c r="I2353" i="17"/>
  <c r="I2354" i="17"/>
  <c r="J2352" i="17"/>
  <c r="J2353" i="17"/>
  <c r="J2354" i="17"/>
  <c r="K2352" i="17"/>
  <c r="K2353" i="17"/>
  <c r="K2354" i="17"/>
  <c r="N2352" i="17"/>
  <c r="N2353" i="17"/>
  <c r="N2354" i="17"/>
  <c r="O2352" i="17"/>
  <c r="O2353" i="17"/>
  <c r="O2354" i="17"/>
  <c r="Q2352" i="17"/>
  <c r="Q2353" i="17"/>
  <c r="Q2354" i="17"/>
  <c r="S2352" i="17"/>
  <c r="S2353" i="17"/>
  <c r="S2354" i="17"/>
  <c r="T2352" i="17"/>
  <c r="T2353" i="17"/>
  <c r="T2354" i="17"/>
  <c r="U2352" i="17"/>
  <c r="U2353" i="17"/>
  <c r="U2354" i="17"/>
  <c r="V2352" i="17"/>
  <c r="V2353" i="17"/>
  <c r="V2354" i="17"/>
  <c r="W2352" i="17"/>
  <c r="W2353" i="17"/>
  <c r="W2354" i="17"/>
  <c r="H2343" i="17"/>
  <c r="H2344" i="17"/>
  <c r="H2345" i="17"/>
  <c r="H2346" i="17"/>
  <c r="H2347" i="17"/>
  <c r="H2348" i="17"/>
  <c r="H2349" i="17"/>
  <c r="H2350" i="17"/>
  <c r="H2351" i="17"/>
  <c r="I2343" i="17"/>
  <c r="I2344" i="17"/>
  <c r="I2345" i="17"/>
  <c r="I2346" i="17"/>
  <c r="I2347" i="17"/>
  <c r="I2348" i="17"/>
  <c r="I2349" i="17"/>
  <c r="I2350" i="17"/>
  <c r="I2351" i="17"/>
  <c r="J2343" i="17"/>
  <c r="J2344" i="17"/>
  <c r="J2345" i="17"/>
  <c r="J2346" i="17"/>
  <c r="J2347" i="17"/>
  <c r="J2348" i="17"/>
  <c r="J2349" i="17"/>
  <c r="J2350" i="17"/>
  <c r="J2351" i="17"/>
  <c r="K2343" i="17"/>
  <c r="K2344" i="17"/>
  <c r="K2345" i="17"/>
  <c r="K2346" i="17"/>
  <c r="K2347" i="17"/>
  <c r="K2348" i="17"/>
  <c r="K2349" i="17"/>
  <c r="K2350" i="17"/>
  <c r="K2351" i="17"/>
  <c r="N2343" i="17"/>
  <c r="N2344" i="17"/>
  <c r="N2345" i="17"/>
  <c r="N2346" i="17"/>
  <c r="N2347" i="17"/>
  <c r="N2348" i="17"/>
  <c r="N2349" i="17"/>
  <c r="N2350" i="17"/>
  <c r="N2351" i="17"/>
  <c r="O2343" i="17"/>
  <c r="O2344" i="17"/>
  <c r="O2345" i="17"/>
  <c r="O2346" i="17"/>
  <c r="O2347" i="17"/>
  <c r="O2348" i="17"/>
  <c r="O2349" i="17"/>
  <c r="O2350" i="17"/>
  <c r="O2351" i="17"/>
  <c r="Q2343" i="17"/>
  <c r="Q2344" i="17"/>
  <c r="Q2345" i="17"/>
  <c r="Q2346" i="17"/>
  <c r="Q2347" i="17"/>
  <c r="Q2348" i="17"/>
  <c r="Q2349" i="17"/>
  <c r="Q2350" i="17"/>
  <c r="Q2351" i="17"/>
  <c r="S2343" i="17"/>
  <c r="S2344" i="17"/>
  <c r="S2345" i="17"/>
  <c r="S2346" i="17"/>
  <c r="S2347" i="17"/>
  <c r="S2348" i="17"/>
  <c r="S2349" i="17"/>
  <c r="S2350" i="17"/>
  <c r="S2351" i="17"/>
  <c r="T2343" i="17"/>
  <c r="T2344" i="17"/>
  <c r="T2345" i="17"/>
  <c r="T2346" i="17"/>
  <c r="T2347" i="17"/>
  <c r="T2348" i="17"/>
  <c r="T2349" i="17"/>
  <c r="T2350" i="17"/>
  <c r="T2351" i="17"/>
  <c r="U2343" i="17"/>
  <c r="U2344" i="17"/>
  <c r="U2345" i="17"/>
  <c r="U2346" i="17"/>
  <c r="U2347" i="17"/>
  <c r="U2348" i="17"/>
  <c r="U2349" i="17"/>
  <c r="U2350" i="17"/>
  <c r="U2351" i="17"/>
  <c r="V2343" i="17"/>
  <c r="V2344" i="17"/>
  <c r="V2345" i="17"/>
  <c r="V2346" i="17"/>
  <c r="V2347" i="17"/>
  <c r="V2348" i="17"/>
  <c r="V2349" i="17"/>
  <c r="V2350" i="17"/>
  <c r="V2351" i="17"/>
  <c r="W2343" i="17"/>
  <c r="W2344" i="17"/>
  <c r="W2345" i="17"/>
  <c r="W2346" i="17"/>
  <c r="W2347" i="17"/>
  <c r="W2348" i="17"/>
  <c r="W2349" i="17"/>
  <c r="W2350" i="17"/>
  <c r="W2351" i="17"/>
  <c r="H2341" i="17"/>
  <c r="I2341" i="17"/>
  <c r="J2341" i="17"/>
  <c r="K2341" i="17"/>
  <c r="N2341" i="17"/>
  <c r="O2341" i="17"/>
  <c r="Q2341" i="17"/>
  <c r="S2341" i="17"/>
  <c r="T2341" i="17"/>
  <c r="U2341" i="17"/>
  <c r="V2341" i="17"/>
  <c r="W2341" i="17"/>
  <c r="H2322" i="17"/>
  <c r="H2323" i="17"/>
  <c r="H2324" i="17"/>
  <c r="H2325" i="17"/>
  <c r="H2326" i="17"/>
  <c r="H2327" i="17"/>
  <c r="H2328" i="17"/>
  <c r="H2329" i="17"/>
  <c r="H2330" i="17"/>
  <c r="H2335" i="17"/>
  <c r="H2336" i="17"/>
  <c r="I2322" i="17"/>
  <c r="I2323" i="17"/>
  <c r="I2324" i="17"/>
  <c r="I2325" i="17"/>
  <c r="I2326" i="17"/>
  <c r="I2327" i="17"/>
  <c r="I2328" i="17"/>
  <c r="I2329" i="17"/>
  <c r="I2330" i="17"/>
  <c r="I2335" i="17"/>
  <c r="I2336" i="17"/>
  <c r="J2322" i="17"/>
  <c r="J2323" i="17"/>
  <c r="J2324" i="17"/>
  <c r="J2325" i="17"/>
  <c r="J2326" i="17"/>
  <c r="J2327" i="17"/>
  <c r="J2328" i="17"/>
  <c r="J2329" i="17"/>
  <c r="J2330" i="17"/>
  <c r="J2335" i="17"/>
  <c r="J2336" i="17"/>
  <c r="K2322" i="17"/>
  <c r="K2323" i="17"/>
  <c r="K2324" i="17"/>
  <c r="K2325" i="17"/>
  <c r="K2326" i="17"/>
  <c r="K2327" i="17"/>
  <c r="K2328" i="17"/>
  <c r="K2329" i="17"/>
  <c r="K2330" i="17"/>
  <c r="K2335" i="17"/>
  <c r="K2336" i="17"/>
  <c r="N2322" i="17"/>
  <c r="N2323" i="17"/>
  <c r="N2324" i="17"/>
  <c r="N2325" i="17"/>
  <c r="N2326" i="17"/>
  <c r="N2327" i="17"/>
  <c r="N2328" i="17"/>
  <c r="N2329" i="17"/>
  <c r="N2330" i="17"/>
  <c r="N2335" i="17"/>
  <c r="N2336" i="17"/>
  <c r="O2322" i="17"/>
  <c r="O2323" i="17"/>
  <c r="O2324" i="17"/>
  <c r="O2325" i="17"/>
  <c r="O2326" i="17"/>
  <c r="O2327" i="17"/>
  <c r="O2328" i="17"/>
  <c r="O2329" i="17"/>
  <c r="O2330" i="17"/>
  <c r="O2335" i="17"/>
  <c r="O2336" i="17"/>
  <c r="Q2322" i="17"/>
  <c r="Q2323" i="17"/>
  <c r="Q2324" i="17"/>
  <c r="Q2325" i="17"/>
  <c r="Q2326" i="17"/>
  <c r="Q2327" i="17"/>
  <c r="Q2328" i="17"/>
  <c r="Q2329" i="17"/>
  <c r="Q2330" i="17"/>
  <c r="Q2335" i="17"/>
  <c r="Q2336" i="17"/>
  <c r="S2322" i="17"/>
  <c r="S2323" i="17"/>
  <c r="S2324" i="17"/>
  <c r="S2325" i="17"/>
  <c r="S2326" i="17"/>
  <c r="S2327" i="17"/>
  <c r="S2328" i="17"/>
  <c r="S2329" i="17"/>
  <c r="S2330" i="17"/>
  <c r="S2335" i="17"/>
  <c r="S2336" i="17"/>
  <c r="T2322" i="17"/>
  <c r="T2323" i="17"/>
  <c r="T2324" i="17"/>
  <c r="T2325" i="17"/>
  <c r="T2326" i="17"/>
  <c r="T2327" i="17"/>
  <c r="T2328" i="17"/>
  <c r="T2329" i="17"/>
  <c r="T2330" i="17"/>
  <c r="T2335" i="17"/>
  <c r="T2336" i="17"/>
  <c r="U2322" i="17"/>
  <c r="U2323" i="17"/>
  <c r="U2324" i="17"/>
  <c r="U2325" i="17"/>
  <c r="U2326" i="17"/>
  <c r="U2327" i="17"/>
  <c r="U2328" i="17"/>
  <c r="U2329" i="17"/>
  <c r="U2330" i="17"/>
  <c r="U2335" i="17"/>
  <c r="U2336" i="17"/>
  <c r="V2322" i="17"/>
  <c r="V2323" i="17"/>
  <c r="V2324" i="17"/>
  <c r="V2325" i="17"/>
  <c r="V2326" i="17"/>
  <c r="V2327" i="17"/>
  <c r="V2328" i="17"/>
  <c r="V2329" i="17"/>
  <c r="V2330" i="17"/>
  <c r="V2335" i="17"/>
  <c r="V2336" i="17"/>
  <c r="W2322" i="17"/>
  <c r="W2323" i="17"/>
  <c r="W2324" i="17"/>
  <c r="W2325" i="17"/>
  <c r="W2326" i="17"/>
  <c r="W2327" i="17"/>
  <c r="W2328" i="17"/>
  <c r="W2329" i="17"/>
  <c r="W2330" i="17"/>
  <c r="W2335" i="17"/>
  <c r="W2336" i="17"/>
  <c r="H2318" i="17"/>
  <c r="H2319" i="17"/>
  <c r="H2320" i="17"/>
  <c r="H2321" i="17"/>
  <c r="H2337" i="17"/>
  <c r="H2338" i="17"/>
  <c r="H2339" i="17"/>
  <c r="H2340" i="17"/>
  <c r="I2318" i="17"/>
  <c r="I2319" i="17"/>
  <c r="I2320" i="17"/>
  <c r="I2321" i="17"/>
  <c r="I2337" i="17"/>
  <c r="I2338" i="17"/>
  <c r="I2339" i="17"/>
  <c r="I2340" i="17"/>
  <c r="J2318" i="17"/>
  <c r="J2319" i="17"/>
  <c r="J2320" i="17"/>
  <c r="J2321" i="17"/>
  <c r="J2337" i="17"/>
  <c r="J2338" i="17"/>
  <c r="J2339" i="17"/>
  <c r="J2340" i="17"/>
  <c r="K2318" i="17"/>
  <c r="K2319" i="17"/>
  <c r="K2320" i="17"/>
  <c r="K2321" i="17"/>
  <c r="K2337" i="17"/>
  <c r="K2338" i="17"/>
  <c r="K2339" i="17"/>
  <c r="K2340" i="17"/>
  <c r="N2318" i="17"/>
  <c r="N2319" i="17"/>
  <c r="N2320" i="17"/>
  <c r="N2321" i="17"/>
  <c r="N2337" i="17"/>
  <c r="N2338" i="17"/>
  <c r="N2339" i="17"/>
  <c r="N2340" i="17"/>
  <c r="O2318" i="17"/>
  <c r="O2319" i="17"/>
  <c r="O2320" i="17"/>
  <c r="O2321" i="17"/>
  <c r="O2337" i="17"/>
  <c r="O2338" i="17"/>
  <c r="O2339" i="17"/>
  <c r="O2340" i="17"/>
  <c r="Q2318" i="17"/>
  <c r="Q2319" i="17"/>
  <c r="Q2320" i="17"/>
  <c r="Q2321" i="17"/>
  <c r="Q2337" i="17"/>
  <c r="Q2338" i="17"/>
  <c r="Q2339" i="17"/>
  <c r="Q2340" i="17"/>
  <c r="S2318" i="17"/>
  <c r="S2319" i="17"/>
  <c r="S2320" i="17"/>
  <c r="S2321" i="17"/>
  <c r="S2337" i="17"/>
  <c r="S2338" i="17"/>
  <c r="S2339" i="17"/>
  <c r="S2340" i="17"/>
  <c r="T2318" i="17"/>
  <c r="T2319" i="17"/>
  <c r="T2320" i="17"/>
  <c r="T2321" i="17"/>
  <c r="T2337" i="17"/>
  <c r="T2338" i="17"/>
  <c r="T2339" i="17"/>
  <c r="T2340" i="17"/>
  <c r="U2318" i="17"/>
  <c r="U2319" i="17"/>
  <c r="U2320" i="17"/>
  <c r="U2321" i="17"/>
  <c r="U2337" i="17"/>
  <c r="U2338" i="17"/>
  <c r="U2339" i="17"/>
  <c r="U2340" i="17"/>
  <c r="V2318" i="17"/>
  <c r="V2319" i="17"/>
  <c r="V2320" i="17"/>
  <c r="V2321" i="17"/>
  <c r="V2337" i="17"/>
  <c r="V2338" i="17"/>
  <c r="V2339" i="17"/>
  <c r="V2340" i="17"/>
  <c r="W2318" i="17"/>
  <c r="W2319" i="17"/>
  <c r="W2320" i="17"/>
  <c r="W2321" i="17"/>
  <c r="W2337" i="17"/>
  <c r="W2338" i="17"/>
  <c r="W2339" i="17"/>
  <c r="W2340" i="17"/>
  <c r="H2310" i="17"/>
  <c r="H2311" i="17"/>
  <c r="H2312" i="17"/>
  <c r="H2313" i="17"/>
  <c r="H2314" i="17"/>
  <c r="H2315" i="17"/>
  <c r="H2316" i="17"/>
  <c r="I2310" i="17"/>
  <c r="I2311" i="17"/>
  <c r="I2312" i="17"/>
  <c r="I2313" i="17"/>
  <c r="I2314" i="17"/>
  <c r="I2315" i="17"/>
  <c r="I2316" i="17"/>
  <c r="J2310" i="17"/>
  <c r="J2311" i="17"/>
  <c r="J2312" i="17"/>
  <c r="J2313" i="17"/>
  <c r="J2314" i="17"/>
  <c r="J2315" i="17"/>
  <c r="J2316" i="17"/>
  <c r="K2310" i="17"/>
  <c r="K2311" i="17"/>
  <c r="K2312" i="17"/>
  <c r="K2313" i="17"/>
  <c r="K2314" i="17"/>
  <c r="K2315" i="17"/>
  <c r="K2316" i="17"/>
  <c r="N2310" i="17"/>
  <c r="N2311" i="17"/>
  <c r="N2312" i="17"/>
  <c r="N2313" i="17"/>
  <c r="N2314" i="17"/>
  <c r="N2315" i="17"/>
  <c r="N2316" i="17"/>
  <c r="O2310" i="17"/>
  <c r="O2311" i="17"/>
  <c r="O2312" i="17"/>
  <c r="O2313" i="17"/>
  <c r="O2314" i="17"/>
  <c r="O2315" i="17"/>
  <c r="O2316" i="17"/>
  <c r="Q2310" i="17"/>
  <c r="Q2311" i="17"/>
  <c r="Q2312" i="17"/>
  <c r="Q2313" i="17"/>
  <c r="Q2314" i="17"/>
  <c r="Q2315" i="17"/>
  <c r="Q2316" i="17"/>
  <c r="S2310" i="17"/>
  <c r="S2311" i="17"/>
  <c r="S2312" i="17"/>
  <c r="S2313" i="17"/>
  <c r="S2314" i="17"/>
  <c r="S2315" i="17"/>
  <c r="S2316" i="17"/>
  <c r="T2310" i="17"/>
  <c r="T2311" i="17"/>
  <c r="T2312" i="17"/>
  <c r="T2313" i="17"/>
  <c r="T2314" i="17"/>
  <c r="T2315" i="17"/>
  <c r="T2316" i="17"/>
  <c r="U2310" i="17"/>
  <c r="U2311" i="17"/>
  <c r="U2312" i="17"/>
  <c r="U2313" i="17"/>
  <c r="U2314" i="17"/>
  <c r="U2315" i="17"/>
  <c r="U2316" i="17"/>
  <c r="V2310" i="17"/>
  <c r="V2311" i="17"/>
  <c r="V2312" i="17"/>
  <c r="V2313" i="17"/>
  <c r="V2314" i="17"/>
  <c r="V2315" i="17"/>
  <c r="V2316" i="17"/>
  <c r="W2310" i="17"/>
  <c r="W2311" i="17"/>
  <c r="W2312" i="17"/>
  <c r="W2313" i="17"/>
  <c r="W2314" i="17"/>
  <c r="W2315" i="17"/>
  <c r="W2316" i="17"/>
  <c r="H2301" i="17"/>
  <c r="H2302" i="17"/>
  <c r="H2303" i="17"/>
  <c r="H2304" i="17"/>
  <c r="H2305" i="17"/>
  <c r="H2306" i="17"/>
  <c r="H2307" i="17"/>
  <c r="H2308" i="17"/>
  <c r="H2309" i="17"/>
  <c r="I2301" i="17"/>
  <c r="I2302" i="17"/>
  <c r="I2303" i="17"/>
  <c r="I2304" i="17"/>
  <c r="I2305" i="17"/>
  <c r="I2306" i="17"/>
  <c r="I2307" i="17"/>
  <c r="I2308" i="17"/>
  <c r="I2309" i="17"/>
  <c r="J2301" i="17"/>
  <c r="J2302" i="17"/>
  <c r="J2303" i="17"/>
  <c r="J2304" i="17"/>
  <c r="J2305" i="17"/>
  <c r="J2306" i="17"/>
  <c r="J2307" i="17"/>
  <c r="J2308" i="17"/>
  <c r="J2309" i="17"/>
  <c r="K2301" i="17"/>
  <c r="K2302" i="17"/>
  <c r="K2303" i="17"/>
  <c r="K2304" i="17"/>
  <c r="K2305" i="17"/>
  <c r="K2306" i="17"/>
  <c r="K2307" i="17"/>
  <c r="K2308" i="17"/>
  <c r="K2309" i="17"/>
  <c r="N2301" i="17"/>
  <c r="N2302" i="17"/>
  <c r="N2303" i="17"/>
  <c r="N2304" i="17"/>
  <c r="N2305" i="17"/>
  <c r="N2306" i="17"/>
  <c r="N2307" i="17"/>
  <c r="N2308" i="17"/>
  <c r="N2309" i="17"/>
  <c r="O2301" i="17"/>
  <c r="O2302" i="17"/>
  <c r="O2303" i="17"/>
  <c r="O2304" i="17"/>
  <c r="O2305" i="17"/>
  <c r="O2306" i="17"/>
  <c r="O2307" i="17"/>
  <c r="O2308" i="17"/>
  <c r="O2309" i="17"/>
  <c r="Q2301" i="17"/>
  <c r="Q2302" i="17"/>
  <c r="Q2303" i="17"/>
  <c r="Q2304" i="17"/>
  <c r="Q2305" i="17"/>
  <c r="Q2306" i="17"/>
  <c r="Q2307" i="17"/>
  <c r="Q2308" i="17"/>
  <c r="Q2309" i="17"/>
  <c r="S2301" i="17"/>
  <c r="S2302" i="17"/>
  <c r="S2303" i="17"/>
  <c r="S2304" i="17"/>
  <c r="S2305" i="17"/>
  <c r="S2306" i="17"/>
  <c r="S2307" i="17"/>
  <c r="S2308" i="17"/>
  <c r="S2309" i="17"/>
  <c r="T2301" i="17"/>
  <c r="T2302" i="17"/>
  <c r="T2303" i="17"/>
  <c r="T2304" i="17"/>
  <c r="T2305" i="17"/>
  <c r="T2306" i="17"/>
  <c r="T2307" i="17"/>
  <c r="T2308" i="17"/>
  <c r="T2309" i="17"/>
  <c r="U2301" i="17"/>
  <c r="U2302" i="17"/>
  <c r="U2303" i="17"/>
  <c r="U2304" i="17"/>
  <c r="U2305" i="17"/>
  <c r="U2306" i="17"/>
  <c r="U2307" i="17"/>
  <c r="U2308" i="17"/>
  <c r="U2309" i="17"/>
  <c r="V2301" i="17"/>
  <c r="V2302" i="17"/>
  <c r="V2303" i="17"/>
  <c r="V2304" i="17"/>
  <c r="V2305" i="17"/>
  <c r="V2306" i="17"/>
  <c r="V2307" i="17"/>
  <c r="V2308" i="17"/>
  <c r="V2309" i="17"/>
  <c r="W2301" i="17"/>
  <c r="W2302" i="17"/>
  <c r="W2303" i="17"/>
  <c r="W2304" i="17"/>
  <c r="W2305" i="17"/>
  <c r="W2306" i="17"/>
  <c r="W2307" i="17"/>
  <c r="W2308" i="17"/>
  <c r="W2309" i="17"/>
  <c r="H2292" i="17"/>
  <c r="H2293" i="17"/>
  <c r="H2294" i="17"/>
  <c r="H2295" i="17"/>
  <c r="H2296" i="17"/>
  <c r="H2297" i="17"/>
  <c r="H2298" i="17"/>
  <c r="H2299" i="17"/>
  <c r="I2292" i="17"/>
  <c r="I2293" i="17"/>
  <c r="I2294" i="17"/>
  <c r="I2295" i="17"/>
  <c r="I2296" i="17"/>
  <c r="I2297" i="17"/>
  <c r="I2298" i="17"/>
  <c r="I2299" i="17"/>
  <c r="J2292" i="17"/>
  <c r="J2293" i="17"/>
  <c r="J2294" i="17"/>
  <c r="J2295" i="17"/>
  <c r="J2296" i="17"/>
  <c r="J2297" i="17"/>
  <c r="J2298" i="17"/>
  <c r="J2299" i="17"/>
  <c r="K2292" i="17"/>
  <c r="K2293" i="17"/>
  <c r="K2294" i="17"/>
  <c r="K2295" i="17"/>
  <c r="K2296" i="17"/>
  <c r="K2297" i="17"/>
  <c r="K2298" i="17"/>
  <c r="K2299" i="17"/>
  <c r="N2292" i="17"/>
  <c r="N2293" i="17"/>
  <c r="N2294" i="17"/>
  <c r="N2295" i="17"/>
  <c r="N2296" i="17"/>
  <c r="N2297" i="17"/>
  <c r="N2298" i="17"/>
  <c r="N2299" i="17"/>
  <c r="O2292" i="17"/>
  <c r="O2293" i="17"/>
  <c r="O2294" i="17"/>
  <c r="O2295" i="17"/>
  <c r="O2296" i="17"/>
  <c r="O2297" i="17"/>
  <c r="O2298" i="17"/>
  <c r="O2299" i="17"/>
  <c r="Q2292" i="17"/>
  <c r="Q2293" i="17"/>
  <c r="Q2294" i="17"/>
  <c r="Q2295" i="17"/>
  <c r="Q2296" i="17"/>
  <c r="Q2297" i="17"/>
  <c r="Q2298" i="17"/>
  <c r="Q2299" i="17"/>
  <c r="S2292" i="17"/>
  <c r="S2293" i="17"/>
  <c r="S2294" i="17"/>
  <c r="S2295" i="17"/>
  <c r="S2296" i="17"/>
  <c r="S2297" i="17"/>
  <c r="S2298" i="17"/>
  <c r="S2299" i="17"/>
  <c r="T2292" i="17"/>
  <c r="T2293" i="17"/>
  <c r="T2294" i="17"/>
  <c r="T2295" i="17"/>
  <c r="T2296" i="17"/>
  <c r="T2297" i="17"/>
  <c r="T2298" i="17"/>
  <c r="T2299" i="17"/>
  <c r="U2292" i="17"/>
  <c r="U2293" i="17"/>
  <c r="U2294" i="17"/>
  <c r="U2295" i="17"/>
  <c r="U2296" i="17"/>
  <c r="U2297" i="17"/>
  <c r="U2298" i="17"/>
  <c r="U2299" i="17"/>
  <c r="V2292" i="17"/>
  <c r="V2293" i="17"/>
  <c r="V2294" i="17"/>
  <c r="V2295" i="17"/>
  <c r="V2296" i="17"/>
  <c r="V2297" i="17"/>
  <c r="V2298" i="17"/>
  <c r="V2299" i="17"/>
  <c r="W2292" i="17"/>
  <c r="W2293" i="17"/>
  <c r="W2294" i="17"/>
  <c r="W2295" i="17"/>
  <c r="W2296" i="17"/>
  <c r="W2297" i="17"/>
  <c r="W2298" i="17"/>
  <c r="W2299" i="17"/>
  <c r="H2286" i="17"/>
  <c r="H2287" i="17"/>
  <c r="H2288" i="17"/>
  <c r="H2289" i="17"/>
  <c r="H2290" i="17"/>
  <c r="H2291" i="17"/>
  <c r="I2286" i="17"/>
  <c r="I2287" i="17"/>
  <c r="I2288" i="17"/>
  <c r="I2289" i="17"/>
  <c r="I2290" i="17"/>
  <c r="I2291" i="17"/>
  <c r="J2286" i="17"/>
  <c r="J2287" i="17"/>
  <c r="J2288" i="17"/>
  <c r="J2289" i="17"/>
  <c r="J2290" i="17"/>
  <c r="J2291" i="17"/>
  <c r="K2286" i="17"/>
  <c r="K2287" i="17"/>
  <c r="K2288" i="17"/>
  <c r="K2289" i="17"/>
  <c r="K2290" i="17"/>
  <c r="K2291" i="17"/>
  <c r="N2286" i="17"/>
  <c r="N2287" i="17"/>
  <c r="N2288" i="17"/>
  <c r="N2289" i="17"/>
  <c r="N2290" i="17"/>
  <c r="N2291" i="17"/>
  <c r="O2286" i="17"/>
  <c r="O2287" i="17"/>
  <c r="O2288" i="17"/>
  <c r="O2289" i="17"/>
  <c r="O2290" i="17"/>
  <c r="O2291" i="17"/>
  <c r="Q2286" i="17"/>
  <c r="Q2287" i="17"/>
  <c r="Q2288" i="17"/>
  <c r="Q2289" i="17"/>
  <c r="Q2290" i="17"/>
  <c r="Q2291" i="17"/>
  <c r="S2286" i="17"/>
  <c r="S2287" i="17"/>
  <c r="S2288" i="17"/>
  <c r="S2289" i="17"/>
  <c r="S2290" i="17"/>
  <c r="S2291" i="17"/>
  <c r="T2286" i="17"/>
  <c r="T2287" i="17"/>
  <c r="T2288" i="17"/>
  <c r="T2289" i="17"/>
  <c r="T2290" i="17"/>
  <c r="T2291" i="17"/>
  <c r="U2286" i="17"/>
  <c r="U2287" i="17"/>
  <c r="U2288" i="17"/>
  <c r="U2289" i="17"/>
  <c r="U2290" i="17"/>
  <c r="U2291" i="17"/>
  <c r="V2286" i="17"/>
  <c r="V2287" i="17"/>
  <c r="V2288" i="17"/>
  <c r="V2289" i="17"/>
  <c r="V2290" i="17"/>
  <c r="V2291" i="17"/>
  <c r="W2286" i="17"/>
  <c r="W2287" i="17"/>
  <c r="W2288" i="17"/>
  <c r="W2289" i="17"/>
  <c r="W2290" i="17"/>
  <c r="W2291" i="17"/>
  <c r="H2276" i="17"/>
  <c r="H2277" i="17"/>
  <c r="H2278" i="17"/>
  <c r="H2279" i="17"/>
  <c r="H2280" i="17"/>
  <c r="H2281" i="17"/>
  <c r="H2282" i="17"/>
  <c r="H2283" i="17"/>
  <c r="H2284" i="17"/>
  <c r="I2276" i="17"/>
  <c r="I2277" i="17"/>
  <c r="I2278" i="17"/>
  <c r="I2279" i="17"/>
  <c r="I2280" i="17"/>
  <c r="I2281" i="17"/>
  <c r="I2282" i="17"/>
  <c r="I2283" i="17"/>
  <c r="I2284" i="17"/>
  <c r="J2276" i="17"/>
  <c r="J2277" i="17"/>
  <c r="J2278" i="17"/>
  <c r="J2279" i="17"/>
  <c r="J2280" i="17"/>
  <c r="J2281" i="17"/>
  <c r="J2282" i="17"/>
  <c r="J2283" i="17"/>
  <c r="J2284" i="17"/>
  <c r="K2276" i="17"/>
  <c r="K2277" i="17"/>
  <c r="K2278" i="17"/>
  <c r="K2279" i="17"/>
  <c r="K2280" i="17"/>
  <c r="K2281" i="17"/>
  <c r="K2282" i="17"/>
  <c r="K2283" i="17"/>
  <c r="K2284" i="17"/>
  <c r="N2276" i="17"/>
  <c r="N2277" i="17"/>
  <c r="N2278" i="17"/>
  <c r="N2279" i="17"/>
  <c r="N2280" i="17"/>
  <c r="N2281" i="17"/>
  <c r="N2282" i="17"/>
  <c r="N2283" i="17"/>
  <c r="N2284" i="17"/>
  <c r="O2276" i="17"/>
  <c r="O2277" i="17"/>
  <c r="O2278" i="17"/>
  <c r="O2279" i="17"/>
  <c r="O2280" i="17"/>
  <c r="O2281" i="17"/>
  <c r="O2282" i="17"/>
  <c r="O2283" i="17"/>
  <c r="O2284" i="17"/>
  <c r="Q2276" i="17"/>
  <c r="Q2277" i="17"/>
  <c r="Q2278" i="17"/>
  <c r="Q2279" i="17"/>
  <c r="Q2280" i="17"/>
  <c r="Q2281" i="17"/>
  <c r="Q2282" i="17"/>
  <c r="Q2283" i="17"/>
  <c r="Q2284" i="17"/>
  <c r="S2276" i="17"/>
  <c r="S2277" i="17"/>
  <c r="S2278" i="17"/>
  <c r="S2279" i="17"/>
  <c r="S2280" i="17"/>
  <c r="S2281" i="17"/>
  <c r="S2282" i="17"/>
  <c r="S2283" i="17"/>
  <c r="S2284" i="17"/>
  <c r="T2276" i="17"/>
  <c r="T2277" i="17"/>
  <c r="T2278" i="17"/>
  <c r="T2279" i="17"/>
  <c r="T2280" i="17"/>
  <c r="T2281" i="17"/>
  <c r="T2282" i="17"/>
  <c r="T2283" i="17"/>
  <c r="T2284" i="17"/>
  <c r="U2276" i="17"/>
  <c r="U2277" i="17"/>
  <c r="U2278" i="17"/>
  <c r="U2279" i="17"/>
  <c r="U2280" i="17"/>
  <c r="U2281" i="17"/>
  <c r="U2282" i="17"/>
  <c r="U2283" i="17"/>
  <c r="U2284" i="17"/>
  <c r="V2276" i="17"/>
  <c r="V2277" i="17"/>
  <c r="V2278" i="17"/>
  <c r="V2279" i="17"/>
  <c r="V2280" i="17"/>
  <c r="V2281" i="17"/>
  <c r="V2282" i="17"/>
  <c r="V2283" i="17"/>
  <c r="V2284" i="17"/>
  <c r="W2276" i="17"/>
  <c r="W2277" i="17"/>
  <c r="W2278" i="17"/>
  <c r="W2279" i="17"/>
  <c r="W2280" i="17"/>
  <c r="W2281" i="17"/>
  <c r="W2282" i="17"/>
  <c r="W2283" i="17"/>
  <c r="W2284" i="17"/>
  <c r="H2266" i="17"/>
  <c r="H2267" i="17"/>
  <c r="H2268" i="17"/>
  <c r="H2269" i="17"/>
  <c r="H2270" i="17"/>
  <c r="H2271" i="17"/>
  <c r="H2272" i="17"/>
  <c r="H2273" i="17"/>
  <c r="H2274" i="17"/>
  <c r="H2275" i="17"/>
  <c r="I2266" i="17"/>
  <c r="I2267" i="17"/>
  <c r="I2268" i="17"/>
  <c r="I2269" i="17"/>
  <c r="I2270" i="17"/>
  <c r="I2271" i="17"/>
  <c r="I2272" i="17"/>
  <c r="I2273" i="17"/>
  <c r="I2274" i="17"/>
  <c r="I2275" i="17"/>
  <c r="J2266" i="17"/>
  <c r="J2267" i="17"/>
  <c r="J2268" i="17"/>
  <c r="J2269" i="17"/>
  <c r="J2270" i="17"/>
  <c r="J2271" i="17"/>
  <c r="J2272" i="17"/>
  <c r="J2273" i="17"/>
  <c r="J2274" i="17"/>
  <c r="J2275" i="17"/>
  <c r="K2266" i="17"/>
  <c r="K2267" i="17"/>
  <c r="K2268" i="17"/>
  <c r="K2269" i="17"/>
  <c r="K2270" i="17"/>
  <c r="K2271" i="17"/>
  <c r="K2272" i="17"/>
  <c r="K2273" i="17"/>
  <c r="K2274" i="17"/>
  <c r="K2275" i="17"/>
  <c r="N2266" i="17"/>
  <c r="N2267" i="17"/>
  <c r="N2268" i="17"/>
  <c r="N2269" i="17"/>
  <c r="N2270" i="17"/>
  <c r="N2271" i="17"/>
  <c r="N2272" i="17"/>
  <c r="N2273" i="17"/>
  <c r="N2274" i="17"/>
  <c r="N2275" i="17"/>
  <c r="O2266" i="17"/>
  <c r="O2267" i="17"/>
  <c r="O2268" i="17"/>
  <c r="O2269" i="17"/>
  <c r="O2270" i="17"/>
  <c r="O2271" i="17"/>
  <c r="O2272" i="17"/>
  <c r="O2273" i="17"/>
  <c r="O2274" i="17"/>
  <c r="O2275" i="17"/>
  <c r="Q2266" i="17"/>
  <c r="Q2267" i="17"/>
  <c r="Q2268" i="17"/>
  <c r="Q2269" i="17"/>
  <c r="Q2270" i="17"/>
  <c r="Q2271" i="17"/>
  <c r="Q2272" i="17"/>
  <c r="Q2273" i="17"/>
  <c r="Q2274" i="17"/>
  <c r="Q2275" i="17"/>
  <c r="S2266" i="17"/>
  <c r="S2267" i="17"/>
  <c r="S2268" i="17"/>
  <c r="S2269" i="17"/>
  <c r="S2270" i="17"/>
  <c r="S2271" i="17"/>
  <c r="S2272" i="17"/>
  <c r="S2273" i="17"/>
  <c r="S2274" i="17"/>
  <c r="S2275" i="17"/>
  <c r="T2266" i="17"/>
  <c r="T2267" i="17"/>
  <c r="T2268" i="17"/>
  <c r="T2269" i="17"/>
  <c r="T2270" i="17"/>
  <c r="T2271" i="17"/>
  <c r="T2272" i="17"/>
  <c r="T2273" i="17"/>
  <c r="T2274" i="17"/>
  <c r="T2275" i="17"/>
  <c r="U2266" i="17"/>
  <c r="U2267" i="17"/>
  <c r="U2268" i="17"/>
  <c r="U2269" i="17"/>
  <c r="U2270" i="17"/>
  <c r="U2271" i="17"/>
  <c r="U2272" i="17"/>
  <c r="U2273" i="17"/>
  <c r="U2274" i="17"/>
  <c r="U2275" i="17"/>
  <c r="V2266" i="17"/>
  <c r="V2267" i="17"/>
  <c r="V2268" i="17"/>
  <c r="V2269" i="17"/>
  <c r="V2270" i="17"/>
  <c r="V2271" i="17"/>
  <c r="V2272" i="17"/>
  <c r="V2273" i="17"/>
  <c r="V2274" i="17"/>
  <c r="V2275" i="17"/>
  <c r="W2266" i="17"/>
  <c r="W2267" i="17"/>
  <c r="W2268" i="17"/>
  <c r="W2269" i="17"/>
  <c r="W2270" i="17"/>
  <c r="W2271" i="17"/>
  <c r="W2272" i="17"/>
  <c r="W2273" i="17"/>
  <c r="W2274" i="17"/>
  <c r="W2275" i="17"/>
  <c r="H2251" i="17"/>
  <c r="H2252" i="17"/>
  <c r="H2253" i="17"/>
  <c r="H2254" i="17"/>
  <c r="H2255" i="17"/>
  <c r="H2256" i="17"/>
  <c r="H2257" i="17"/>
  <c r="H2258" i="17"/>
  <c r="H2259" i="17"/>
  <c r="H2260" i="17"/>
  <c r="H2264" i="17"/>
  <c r="H2265" i="17"/>
  <c r="I2251" i="17"/>
  <c r="I2252" i="17"/>
  <c r="I2253" i="17"/>
  <c r="I2254" i="17"/>
  <c r="I2255" i="17"/>
  <c r="I2256" i="17"/>
  <c r="I2257" i="17"/>
  <c r="I2258" i="17"/>
  <c r="I2259" i="17"/>
  <c r="I2260" i="17"/>
  <c r="I2264" i="17"/>
  <c r="I2265" i="17"/>
  <c r="J2251" i="17"/>
  <c r="J2252" i="17"/>
  <c r="J2253" i="17"/>
  <c r="J2254" i="17"/>
  <c r="J2255" i="17"/>
  <c r="J2256" i="17"/>
  <c r="J2257" i="17"/>
  <c r="J2258" i="17"/>
  <c r="J2259" i="17"/>
  <c r="J2260" i="17"/>
  <c r="J2264" i="17"/>
  <c r="J2265" i="17"/>
  <c r="K2251" i="17"/>
  <c r="K2252" i="17"/>
  <c r="K2253" i="17"/>
  <c r="K2254" i="17"/>
  <c r="K2255" i="17"/>
  <c r="K2256" i="17"/>
  <c r="K2257" i="17"/>
  <c r="K2258" i="17"/>
  <c r="K2259" i="17"/>
  <c r="K2260" i="17"/>
  <c r="K2264" i="17"/>
  <c r="K2265" i="17"/>
  <c r="N2251" i="17"/>
  <c r="N2252" i="17"/>
  <c r="N2253" i="17"/>
  <c r="N2254" i="17"/>
  <c r="N2255" i="17"/>
  <c r="N2256" i="17"/>
  <c r="N2257" i="17"/>
  <c r="N2258" i="17"/>
  <c r="N2259" i="17"/>
  <c r="N2260" i="17"/>
  <c r="N2264" i="17"/>
  <c r="N2265" i="17"/>
  <c r="O2251" i="17"/>
  <c r="O2252" i="17"/>
  <c r="O2253" i="17"/>
  <c r="O2254" i="17"/>
  <c r="O2255" i="17"/>
  <c r="O2256" i="17"/>
  <c r="O2257" i="17"/>
  <c r="O2258" i="17"/>
  <c r="O2259" i="17"/>
  <c r="O2260" i="17"/>
  <c r="O2264" i="17"/>
  <c r="O2265" i="17"/>
  <c r="Q2251" i="17"/>
  <c r="Q2252" i="17"/>
  <c r="Q2253" i="17"/>
  <c r="Q2254" i="17"/>
  <c r="Q2255" i="17"/>
  <c r="Q2256" i="17"/>
  <c r="Q2257" i="17"/>
  <c r="Q2258" i="17"/>
  <c r="Q2259" i="17"/>
  <c r="Q2260" i="17"/>
  <c r="Q2264" i="17"/>
  <c r="Q2265" i="17"/>
  <c r="S2251" i="17"/>
  <c r="S2252" i="17"/>
  <c r="S2253" i="17"/>
  <c r="S2254" i="17"/>
  <c r="S2255" i="17"/>
  <c r="S2256" i="17"/>
  <c r="S2257" i="17"/>
  <c r="S2258" i="17"/>
  <c r="S2259" i="17"/>
  <c r="S2260" i="17"/>
  <c r="S2264" i="17"/>
  <c r="S2265" i="17"/>
  <c r="T2251" i="17"/>
  <c r="T2252" i="17"/>
  <c r="T2253" i="17"/>
  <c r="T2254" i="17"/>
  <c r="T2255" i="17"/>
  <c r="T2256" i="17"/>
  <c r="T2257" i="17"/>
  <c r="T2258" i="17"/>
  <c r="T2259" i="17"/>
  <c r="T2260" i="17"/>
  <c r="T2264" i="17"/>
  <c r="T2265" i="17"/>
  <c r="U2251" i="17"/>
  <c r="U2252" i="17"/>
  <c r="U2253" i="17"/>
  <c r="U2254" i="17"/>
  <c r="U2255" i="17"/>
  <c r="U2256" i="17"/>
  <c r="U2257" i="17"/>
  <c r="U2258" i="17"/>
  <c r="U2259" i="17"/>
  <c r="U2260" i="17"/>
  <c r="U2264" i="17"/>
  <c r="U2265" i="17"/>
  <c r="V2251" i="17"/>
  <c r="V2252" i="17"/>
  <c r="V2253" i="17"/>
  <c r="V2254" i="17"/>
  <c r="V2255" i="17"/>
  <c r="V2256" i="17"/>
  <c r="V2257" i="17"/>
  <c r="V2258" i="17"/>
  <c r="V2259" i="17"/>
  <c r="V2260" i="17"/>
  <c r="V2264" i="17"/>
  <c r="V2265" i="17"/>
  <c r="W2251" i="17"/>
  <c r="W2252" i="17"/>
  <c r="W2253" i="17"/>
  <c r="W2254" i="17"/>
  <c r="W2255" i="17"/>
  <c r="W2256" i="17"/>
  <c r="W2257" i="17"/>
  <c r="W2258" i="17"/>
  <c r="W2259" i="17"/>
  <c r="W2260" i="17"/>
  <c r="W2264" i="17"/>
  <c r="W2265" i="17"/>
  <c r="H2241" i="17"/>
  <c r="H2242" i="17"/>
  <c r="H2243" i="17"/>
  <c r="H2244" i="17"/>
  <c r="H2245" i="17"/>
  <c r="H2246" i="17"/>
  <c r="H2247" i="17"/>
  <c r="H2248" i="17"/>
  <c r="H2249" i="17"/>
  <c r="I2241" i="17"/>
  <c r="I2242" i="17"/>
  <c r="I2243" i="17"/>
  <c r="I2244" i="17"/>
  <c r="I2245" i="17"/>
  <c r="I2246" i="17"/>
  <c r="I2247" i="17"/>
  <c r="I2248" i="17"/>
  <c r="I2249" i="17"/>
  <c r="J2241" i="17"/>
  <c r="J2242" i="17"/>
  <c r="J2243" i="17"/>
  <c r="J2244" i="17"/>
  <c r="J2245" i="17"/>
  <c r="J2246" i="17"/>
  <c r="J2247" i="17"/>
  <c r="J2248" i="17"/>
  <c r="J2249" i="17"/>
  <c r="K2241" i="17"/>
  <c r="K2242" i="17"/>
  <c r="K2243" i="17"/>
  <c r="K2244" i="17"/>
  <c r="K2245" i="17"/>
  <c r="K2246" i="17"/>
  <c r="K2247" i="17"/>
  <c r="K2248" i="17"/>
  <c r="K2249" i="17"/>
  <c r="N2241" i="17"/>
  <c r="N2242" i="17"/>
  <c r="N2243" i="17"/>
  <c r="N2244" i="17"/>
  <c r="N2245" i="17"/>
  <c r="N2246" i="17"/>
  <c r="N2247" i="17"/>
  <c r="N2248" i="17"/>
  <c r="N2249" i="17"/>
  <c r="O2241" i="17"/>
  <c r="O2242" i="17"/>
  <c r="O2243" i="17"/>
  <c r="O2244" i="17"/>
  <c r="O2245" i="17"/>
  <c r="O2246" i="17"/>
  <c r="O2247" i="17"/>
  <c r="O2248" i="17"/>
  <c r="O2249" i="17"/>
  <c r="Q2241" i="17"/>
  <c r="Q2242" i="17"/>
  <c r="Q2243" i="17"/>
  <c r="Q2244" i="17"/>
  <c r="Q2245" i="17"/>
  <c r="Q2246" i="17"/>
  <c r="Q2247" i="17"/>
  <c r="Q2248" i="17"/>
  <c r="Q2249" i="17"/>
  <c r="S2241" i="17"/>
  <c r="S2242" i="17"/>
  <c r="S2243" i="17"/>
  <c r="S2244" i="17"/>
  <c r="S2245" i="17"/>
  <c r="S2246" i="17"/>
  <c r="S2247" i="17"/>
  <c r="S2248" i="17"/>
  <c r="S2249" i="17"/>
  <c r="T2241" i="17"/>
  <c r="T2242" i="17"/>
  <c r="T2243" i="17"/>
  <c r="T2244" i="17"/>
  <c r="T2245" i="17"/>
  <c r="T2246" i="17"/>
  <c r="T2247" i="17"/>
  <c r="T2248" i="17"/>
  <c r="T2249" i="17"/>
  <c r="U2241" i="17"/>
  <c r="U2242" i="17"/>
  <c r="U2243" i="17"/>
  <c r="U2244" i="17"/>
  <c r="U2245" i="17"/>
  <c r="U2246" i="17"/>
  <c r="U2247" i="17"/>
  <c r="U2248" i="17"/>
  <c r="U2249" i="17"/>
  <c r="V2241" i="17"/>
  <c r="V2242" i="17"/>
  <c r="V2243" i="17"/>
  <c r="V2244" i="17"/>
  <c r="V2245" i="17"/>
  <c r="V2246" i="17"/>
  <c r="V2247" i="17"/>
  <c r="V2248" i="17"/>
  <c r="V2249" i="17"/>
  <c r="W2241" i="17"/>
  <c r="W2242" i="17"/>
  <c r="W2243" i="17"/>
  <c r="W2244" i="17"/>
  <c r="W2245" i="17"/>
  <c r="W2246" i="17"/>
  <c r="W2247" i="17"/>
  <c r="W2248" i="17"/>
  <c r="W2249" i="17"/>
  <c r="H2028" i="17"/>
  <c r="H2029" i="17"/>
  <c r="H2030" i="17"/>
  <c r="H2031" i="17"/>
  <c r="H2032" i="17"/>
  <c r="H2033" i="17"/>
  <c r="H2034" i="17"/>
  <c r="H2036" i="17"/>
  <c r="H2037" i="17"/>
  <c r="I2028" i="17"/>
  <c r="I2029" i="17"/>
  <c r="I2030" i="17"/>
  <c r="I2031" i="17"/>
  <c r="I2032" i="17"/>
  <c r="I2033" i="17"/>
  <c r="I2034" i="17"/>
  <c r="I2036" i="17"/>
  <c r="I2037" i="17"/>
  <c r="J2028" i="17"/>
  <c r="J2029" i="17"/>
  <c r="J2030" i="17"/>
  <c r="J2031" i="17"/>
  <c r="J2032" i="17"/>
  <c r="J2033" i="17"/>
  <c r="J2034" i="17"/>
  <c r="J2036" i="17"/>
  <c r="J2037" i="17"/>
  <c r="K2028" i="17"/>
  <c r="K2029" i="17"/>
  <c r="K2030" i="17"/>
  <c r="K2031" i="17"/>
  <c r="K2032" i="17"/>
  <c r="K2033" i="17"/>
  <c r="K2034" i="17"/>
  <c r="K2036" i="17"/>
  <c r="K2037" i="17"/>
  <c r="N2028" i="17"/>
  <c r="N2029" i="17"/>
  <c r="N2030" i="17"/>
  <c r="N2031" i="17"/>
  <c r="N2032" i="17"/>
  <c r="N2033" i="17"/>
  <c r="N2034" i="17"/>
  <c r="N2036" i="17"/>
  <c r="N2037" i="17"/>
  <c r="O2028" i="17"/>
  <c r="O2029" i="17"/>
  <c r="O2030" i="17"/>
  <c r="O2031" i="17"/>
  <c r="O2032" i="17"/>
  <c r="O2033" i="17"/>
  <c r="O2034" i="17"/>
  <c r="O2036" i="17"/>
  <c r="O2037" i="17"/>
  <c r="Q2028" i="17"/>
  <c r="Q2029" i="17"/>
  <c r="Q2030" i="17"/>
  <c r="Q2031" i="17"/>
  <c r="Q2032" i="17"/>
  <c r="Q2033" i="17"/>
  <c r="Q2034" i="17"/>
  <c r="Q2036" i="17"/>
  <c r="Q2037" i="17"/>
  <c r="S2028" i="17"/>
  <c r="S2029" i="17"/>
  <c r="S2030" i="17"/>
  <c r="S2031" i="17"/>
  <c r="S2032" i="17"/>
  <c r="S2033" i="17"/>
  <c r="S2034" i="17"/>
  <c r="S2036" i="17"/>
  <c r="S2037" i="17"/>
  <c r="T2028" i="17"/>
  <c r="T2029" i="17"/>
  <c r="T2030" i="17"/>
  <c r="T2031" i="17"/>
  <c r="T2032" i="17"/>
  <c r="T2033" i="17"/>
  <c r="T2034" i="17"/>
  <c r="T2036" i="17"/>
  <c r="T2037" i="17"/>
  <c r="U2028" i="17"/>
  <c r="U2029" i="17"/>
  <c r="U2030" i="17"/>
  <c r="U2031" i="17"/>
  <c r="U2032" i="17"/>
  <c r="U2033" i="17"/>
  <c r="U2034" i="17"/>
  <c r="U2036" i="17"/>
  <c r="U2037" i="17"/>
  <c r="V2028" i="17"/>
  <c r="V2029" i="17"/>
  <c r="V2030" i="17"/>
  <c r="V2031" i="17"/>
  <c r="V2032" i="17"/>
  <c r="V2033" i="17"/>
  <c r="V2034" i="17"/>
  <c r="V2036" i="17"/>
  <c r="V2037" i="17"/>
  <c r="W2028" i="17"/>
  <c r="W2029" i="17"/>
  <c r="W2030" i="17"/>
  <c r="W2031" i="17"/>
  <c r="W2032" i="17"/>
  <c r="W2033" i="17"/>
  <c r="W2034" i="17"/>
  <c r="W2036" i="17"/>
  <c r="W2037" i="17"/>
  <c r="H2038" i="17"/>
  <c r="H2039" i="17"/>
  <c r="H2040" i="17"/>
  <c r="H2041" i="17"/>
  <c r="H2042" i="17"/>
  <c r="H2043" i="17"/>
  <c r="I2038" i="17"/>
  <c r="I2039" i="17"/>
  <c r="I2040" i="17"/>
  <c r="I2041" i="17"/>
  <c r="I2042" i="17"/>
  <c r="I2043" i="17"/>
  <c r="J2038" i="17"/>
  <c r="J2039" i="17"/>
  <c r="J2040" i="17"/>
  <c r="J2041" i="17"/>
  <c r="J2042" i="17"/>
  <c r="J2043" i="17"/>
  <c r="K2038" i="17"/>
  <c r="K2039" i="17"/>
  <c r="K2040" i="17"/>
  <c r="K2041" i="17"/>
  <c r="K2042" i="17"/>
  <c r="K2043" i="17"/>
  <c r="N2038" i="17"/>
  <c r="N2039" i="17"/>
  <c r="N2040" i="17"/>
  <c r="N2041" i="17"/>
  <c r="N2042" i="17"/>
  <c r="N2043" i="17"/>
  <c r="O2038" i="17"/>
  <c r="O2039" i="17"/>
  <c r="O2040" i="17"/>
  <c r="O2041" i="17"/>
  <c r="O2042" i="17"/>
  <c r="O2043" i="17"/>
  <c r="Q2038" i="17"/>
  <c r="Q2039" i="17"/>
  <c r="Q2040" i="17"/>
  <c r="Q2041" i="17"/>
  <c r="Q2042" i="17"/>
  <c r="Q2043" i="17"/>
  <c r="S2038" i="17"/>
  <c r="S2039" i="17"/>
  <c r="S2040" i="17"/>
  <c r="S2041" i="17"/>
  <c r="S2042" i="17"/>
  <c r="S2043" i="17"/>
  <c r="T2038" i="17"/>
  <c r="T2039" i="17"/>
  <c r="T2040" i="17"/>
  <c r="T2041" i="17"/>
  <c r="T2042" i="17"/>
  <c r="T2043" i="17"/>
  <c r="U2038" i="17"/>
  <c r="U2039" i="17"/>
  <c r="U2040" i="17"/>
  <c r="U2041" i="17"/>
  <c r="U2042" i="17"/>
  <c r="U2043" i="17"/>
  <c r="V2038" i="17"/>
  <c r="V2039" i="17"/>
  <c r="V2040" i="17"/>
  <c r="V2041" i="17"/>
  <c r="V2042" i="17"/>
  <c r="V2043" i="17"/>
  <c r="W2038" i="17"/>
  <c r="W2039" i="17"/>
  <c r="W2040" i="17"/>
  <c r="W2041" i="17"/>
  <c r="W2042" i="17"/>
  <c r="W2043" i="17"/>
  <c r="H2023" i="17"/>
  <c r="H2024" i="17"/>
  <c r="H2025" i="17"/>
  <c r="H2026" i="17"/>
  <c r="I2023" i="17"/>
  <c r="I2024" i="17"/>
  <c r="I2025" i="17"/>
  <c r="I2026" i="17"/>
  <c r="J2023" i="17"/>
  <c r="J2024" i="17"/>
  <c r="J2025" i="17"/>
  <c r="J2026" i="17"/>
  <c r="K2023" i="17"/>
  <c r="K2024" i="17"/>
  <c r="K2025" i="17"/>
  <c r="K2026" i="17"/>
  <c r="N2023" i="17"/>
  <c r="N2024" i="17"/>
  <c r="N2025" i="17"/>
  <c r="N2026" i="17"/>
  <c r="O2023" i="17"/>
  <c r="O2024" i="17"/>
  <c r="O2025" i="17"/>
  <c r="O2026" i="17"/>
  <c r="Q2023" i="17"/>
  <c r="Q2024" i="17"/>
  <c r="Q2025" i="17"/>
  <c r="Q2026" i="17"/>
  <c r="S2023" i="17"/>
  <c r="S2024" i="17"/>
  <c r="S2025" i="17"/>
  <c r="S2026" i="17"/>
  <c r="T2023" i="17"/>
  <c r="T2024" i="17"/>
  <c r="T2025" i="17"/>
  <c r="T2026" i="17"/>
  <c r="U2023" i="17"/>
  <c r="U2024" i="17"/>
  <c r="U2025" i="17"/>
  <c r="U2026" i="17"/>
  <c r="V2023" i="17"/>
  <c r="V2024" i="17"/>
  <c r="V2025" i="17"/>
  <c r="V2026" i="17"/>
  <c r="W2023" i="17"/>
  <c r="W2024" i="17"/>
  <c r="W2025" i="17"/>
  <c r="W2026" i="17"/>
  <c r="H1997" i="17"/>
  <c r="H1998" i="17"/>
  <c r="H2004" i="17"/>
  <c r="H2015" i="17"/>
  <c r="H2016" i="17"/>
  <c r="H2017" i="17"/>
  <c r="H2018" i="17"/>
  <c r="H2019" i="17"/>
  <c r="I1997" i="17"/>
  <c r="I1998" i="17"/>
  <c r="I2004" i="17"/>
  <c r="I2015" i="17"/>
  <c r="I2016" i="17"/>
  <c r="I2017" i="17"/>
  <c r="I2018" i="17"/>
  <c r="I2019" i="17"/>
  <c r="J1997" i="17"/>
  <c r="J1998" i="17"/>
  <c r="J2004" i="17"/>
  <c r="J2015" i="17"/>
  <c r="J2016" i="17"/>
  <c r="J2017" i="17"/>
  <c r="J2018" i="17"/>
  <c r="J2019" i="17"/>
  <c r="K1997" i="17"/>
  <c r="K1998" i="17"/>
  <c r="K2004" i="17"/>
  <c r="K2015" i="17"/>
  <c r="K2016" i="17"/>
  <c r="K2017" i="17"/>
  <c r="K2018" i="17"/>
  <c r="K2019" i="17"/>
  <c r="N1997" i="17"/>
  <c r="N1998" i="17"/>
  <c r="N2004" i="17"/>
  <c r="N2015" i="17"/>
  <c r="N2016" i="17"/>
  <c r="N2017" i="17"/>
  <c r="N2018" i="17"/>
  <c r="N2019" i="17"/>
  <c r="O1997" i="17"/>
  <c r="O1998" i="17"/>
  <c r="O2004" i="17"/>
  <c r="O2015" i="17"/>
  <c r="O2016" i="17"/>
  <c r="O2017" i="17"/>
  <c r="O2018" i="17"/>
  <c r="O2019" i="17"/>
  <c r="Q1997" i="17"/>
  <c r="Q1998" i="17"/>
  <c r="Q2004" i="17"/>
  <c r="Q2015" i="17"/>
  <c r="Q2016" i="17"/>
  <c r="Q2017" i="17"/>
  <c r="Q2018" i="17"/>
  <c r="Q2019" i="17"/>
  <c r="S1997" i="17"/>
  <c r="S1998" i="17"/>
  <c r="S2004" i="17"/>
  <c r="S2015" i="17"/>
  <c r="S2016" i="17"/>
  <c r="S2017" i="17"/>
  <c r="S2018" i="17"/>
  <c r="S2019" i="17"/>
  <c r="T1997" i="17"/>
  <c r="T1998" i="17"/>
  <c r="T2004" i="17"/>
  <c r="T2015" i="17"/>
  <c r="T2016" i="17"/>
  <c r="T2017" i="17"/>
  <c r="T2018" i="17"/>
  <c r="T2019" i="17"/>
  <c r="U1997" i="17"/>
  <c r="U1998" i="17"/>
  <c r="U2004" i="17"/>
  <c r="U2015" i="17"/>
  <c r="U2016" i="17"/>
  <c r="U2017" i="17"/>
  <c r="U2018" i="17"/>
  <c r="U2019" i="17"/>
  <c r="V1997" i="17"/>
  <c r="V1998" i="17"/>
  <c r="V2004" i="17"/>
  <c r="V2015" i="17"/>
  <c r="V2016" i="17"/>
  <c r="V2017" i="17"/>
  <c r="V2018" i="17"/>
  <c r="V2019" i="17"/>
  <c r="W1997" i="17"/>
  <c r="W1998" i="17"/>
  <c r="W2004" i="17"/>
  <c r="W2015" i="17"/>
  <c r="W2016" i="17"/>
  <c r="W2017" i="17"/>
  <c r="W2018" i="17"/>
  <c r="W2019" i="17"/>
  <c r="H1945" i="17"/>
  <c r="H1946" i="17"/>
  <c r="H1947" i="17"/>
  <c r="H1948" i="17"/>
  <c r="H1949" i="17"/>
  <c r="H1950" i="17"/>
  <c r="H1951" i="17"/>
  <c r="H1952" i="17"/>
  <c r="H1953" i="17"/>
  <c r="H1954" i="17"/>
  <c r="H1955" i="17"/>
  <c r="H1956" i="17"/>
  <c r="H1957" i="17"/>
  <c r="H1958" i="17"/>
  <c r="H1959" i="17"/>
  <c r="H1960" i="17"/>
  <c r="H1961" i="17"/>
  <c r="H1962" i="17"/>
  <c r="H1963" i="17"/>
  <c r="H1966" i="17"/>
  <c r="H1970" i="17"/>
  <c r="H1982" i="17"/>
  <c r="H1983" i="17"/>
  <c r="H1990" i="17"/>
  <c r="H1991" i="17"/>
  <c r="H1992" i="17"/>
  <c r="H1993" i="17"/>
  <c r="H1994" i="17"/>
  <c r="H1995" i="17"/>
  <c r="H1996" i="17"/>
  <c r="H2020" i="17"/>
  <c r="H2021" i="17"/>
  <c r="I1945" i="17"/>
  <c r="I1946" i="17"/>
  <c r="I1947" i="17"/>
  <c r="I1948" i="17"/>
  <c r="I1949" i="17"/>
  <c r="I1950" i="17"/>
  <c r="I1951" i="17"/>
  <c r="I1952" i="17"/>
  <c r="I1953" i="17"/>
  <c r="I1954" i="17"/>
  <c r="I1955" i="17"/>
  <c r="I1956" i="17"/>
  <c r="I1957" i="17"/>
  <c r="I1958" i="17"/>
  <c r="I1959" i="17"/>
  <c r="I1960" i="17"/>
  <c r="I1961" i="17"/>
  <c r="I1962" i="17"/>
  <c r="I1963" i="17"/>
  <c r="I1966" i="17"/>
  <c r="I1970" i="17"/>
  <c r="I1982" i="17"/>
  <c r="I1983" i="17"/>
  <c r="I1990" i="17"/>
  <c r="I1991" i="17"/>
  <c r="I1992" i="17"/>
  <c r="I1993" i="17"/>
  <c r="I1994" i="17"/>
  <c r="I1995" i="17"/>
  <c r="I1996" i="17"/>
  <c r="I2020" i="17"/>
  <c r="I2021" i="17"/>
  <c r="J1945" i="17"/>
  <c r="J1946" i="17"/>
  <c r="J1947" i="17"/>
  <c r="J1948" i="17"/>
  <c r="J1949" i="17"/>
  <c r="J1950" i="17"/>
  <c r="J1951" i="17"/>
  <c r="J1952" i="17"/>
  <c r="J1953" i="17"/>
  <c r="J1954" i="17"/>
  <c r="J1955" i="17"/>
  <c r="J1956" i="17"/>
  <c r="J1957" i="17"/>
  <c r="J1958" i="17"/>
  <c r="J1959" i="17"/>
  <c r="J1960" i="17"/>
  <c r="J1961" i="17"/>
  <c r="J1962" i="17"/>
  <c r="J1963" i="17"/>
  <c r="J1966" i="17"/>
  <c r="J1970" i="17"/>
  <c r="J1982" i="17"/>
  <c r="J1983" i="17"/>
  <c r="J1990" i="17"/>
  <c r="J1991" i="17"/>
  <c r="J1992" i="17"/>
  <c r="J1993" i="17"/>
  <c r="J1994" i="17"/>
  <c r="J1995" i="17"/>
  <c r="J1996" i="17"/>
  <c r="J2020" i="17"/>
  <c r="J2021" i="17"/>
  <c r="K1945" i="17"/>
  <c r="K1946" i="17"/>
  <c r="K1947" i="17"/>
  <c r="K1948" i="17"/>
  <c r="K1949" i="17"/>
  <c r="K1950" i="17"/>
  <c r="K1951" i="17"/>
  <c r="K1952" i="17"/>
  <c r="K1953" i="17"/>
  <c r="K1954" i="17"/>
  <c r="K1955" i="17"/>
  <c r="K1956" i="17"/>
  <c r="K1957" i="17"/>
  <c r="K1958" i="17"/>
  <c r="K1959" i="17"/>
  <c r="K1960" i="17"/>
  <c r="K1961" i="17"/>
  <c r="K1962" i="17"/>
  <c r="K1963" i="17"/>
  <c r="K1966" i="17"/>
  <c r="K1970" i="17"/>
  <c r="K1982" i="17"/>
  <c r="K1983" i="17"/>
  <c r="K1990" i="17"/>
  <c r="K1991" i="17"/>
  <c r="K1992" i="17"/>
  <c r="K1993" i="17"/>
  <c r="K1994" i="17"/>
  <c r="K1995" i="17"/>
  <c r="K1996" i="17"/>
  <c r="K2020" i="17"/>
  <c r="K2021" i="17"/>
  <c r="N1945" i="17"/>
  <c r="N1946" i="17"/>
  <c r="N1947" i="17"/>
  <c r="N1948" i="17"/>
  <c r="N1949" i="17"/>
  <c r="N1950" i="17"/>
  <c r="N1951" i="17"/>
  <c r="N1952" i="17"/>
  <c r="N1953" i="17"/>
  <c r="N1954" i="17"/>
  <c r="N1955" i="17"/>
  <c r="N1956" i="17"/>
  <c r="N1957" i="17"/>
  <c r="N1958" i="17"/>
  <c r="N1959" i="17"/>
  <c r="N1960" i="17"/>
  <c r="N1961" i="17"/>
  <c r="N1962" i="17"/>
  <c r="N1963" i="17"/>
  <c r="N1966" i="17"/>
  <c r="N1970" i="17"/>
  <c r="N1982" i="17"/>
  <c r="N1983" i="17"/>
  <c r="N1990" i="17"/>
  <c r="N1991" i="17"/>
  <c r="N1992" i="17"/>
  <c r="N1993" i="17"/>
  <c r="N1994" i="17"/>
  <c r="N1995" i="17"/>
  <c r="N1996" i="17"/>
  <c r="N2020" i="17"/>
  <c r="N2021" i="17"/>
  <c r="O1945" i="17"/>
  <c r="O1946" i="17"/>
  <c r="O1947" i="17"/>
  <c r="O1948" i="17"/>
  <c r="O1949" i="17"/>
  <c r="O1950" i="17"/>
  <c r="O1951" i="17"/>
  <c r="O1952" i="17"/>
  <c r="O1953" i="17"/>
  <c r="O1954" i="17"/>
  <c r="O1955" i="17"/>
  <c r="O1956" i="17"/>
  <c r="O1957" i="17"/>
  <c r="O1958" i="17"/>
  <c r="O1959" i="17"/>
  <c r="O1960" i="17"/>
  <c r="O1961" i="17"/>
  <c r="O1962" i="17"/>
  <c r="O1963" i="17"/>
  <c r="O1966" i="17"/>
  <c r="O1970" i="17"/>
  <c r="O1982" i="17"/>
  <c r="O1983" i="17"/>
  <c r="O1990" i="17"/>
  <c r="O1991" i="17"/>
  <c r="O1992" i="17"/>
  <c r="O1993" i="17"/>
  <c r="O1994" i="17"/>
  <c r="O1995" i="17"/>
  <c r="O1996" i="17"/>
  <c r="O2020" i="17"/>
  <c r="O2021" i="17"/>
  <c r="Q1945" i="17"/>
  <c r="Q1946" i="17"/>
  <c r="Q1947" i="17"/>
  <c r="Q1948" i="17"/>
  <c r="Q1949" i="17"/>
  <c r="Q1950" i="17"/>
  <c r="Q1951" i="17"/>
  <c r="Q1952" i="17"/>
  <c r="Q1953" i="17"/>
  <c r="Q1954" i="17"/>
  <c r="Q1955" i="17"/>
  <c r="Q1956" i="17"/>
  <c r="Q1957" i="17"/>
  <c r="Q1958" i="17"/>
  <c r="Q1959" i="17"/>
  <c r="Q1960" i="17"/>
  <c r="Q1961" i="17"/>
  <c r="Q1962" i="17"/>
  <c r="Q1963" i="17"/>
  <c r="Q1966" i="17"/>
  <c r="Q1970" i="17"/>
  <c r="Q1982" i="17"/>
  <c r="Q1983" i="17"/>
  <c r="Q1990" i="17"/>
  <c r="Q1991" i="17"/>
  <c r="Q1992" i="17"/>
  <c r="Q1993" i="17"/>
  <c r="Q1994" i="17"/>
  <c r="Q1995" i="17"/>
  <c r="Q1996" i="17"/>
  <c r="Q2020" i="17"/>
  <c r="Q2021" i="17"/>
  <c r="S1945" i="17"/>
  <c r="S1946" i="17"/>
  <c r="S1947" i="17"/>
  <c r="S1948" i="17"/>
  <c r="S1949" i="17"/>
  <c r="S1950" i="17"/>
  <c r="S1951" i="17"/>
  <c r="S1952" i="17"/>
  <c r="S1953" i="17"/>
  <c r="S1954" i="17"/>
  <c r="S1955" i="17"/>
  <c r="S1956" i="17"/>
  <c r="S1957" i="17"/>
  <c r="S1958" i="17"/>
  <c r="S1959" i="17"/>
  <c r="S1960" i="17"/>
  <c r="S1961" i="17"/>
  <c r="S1962" i="17"/>
  <c r="S1963" i="17"/>
  <c r="S1966" i="17"/>
  <c r="S1970" i="17"/>
  <c r="S1982" i="17"/>
  <c r="S1983" i="17"/>
  <c r="S1990" i="17"/>
  <c r="S1991" i="17"/>
  <c r="S1992" i="17"/>
  <c r="S1993" i="17"/>
  <c r="S1994" i="17"/>
  <c r="S1995" i="17"/>
  <c r="S1996" i="17"/>
  <c r="S2020" i="17"/>
  <c r="S2021" i="17"/>
  <c r="T1945" i="17"/>
  <c r="T1946" i="17"/>
  <c r="T1947" i="17"/>
  <c r="T1948" i="17"/>
  <c r="T1949" i="17"/>
  <c r="T1950" i="17"/>
  <c r="T1951" i="17"/>
  <c r="T1952" i="17"/>
  <c r="T1953" i="17"/>
  <c r="T1954" i="17"/>
  <c r="T1955" i="17"/>
  <c r="T1956" i="17"/>
  <c r="T1957" i="17"/>
  <c r="T1958" i="17"/>
  <c r="T1959" i="17"/>
  <c r="T1960" i="17"/>
  <c r="T1961" i="17"/>
  <c r="T1962" i="17"/>
  <c r="T1963" i="17"/>
  <c r="T1966" i="17"/>
  <c r="T1970" i="17"/>
  <c r="T1982" i="17"/>
  <c r="T1983" i="17"/>
  <c r="T1990" i="17"/>
  <c r="T1991" i="17"/>
  <c r="T1992" i="17"/>
  <c r="T1993" i="17"/>
  <c r="T1994" i="17"/>
  <c r="T1995" i="17"/>
  <c r="T1996" i="17"/>
  <c r="T2020" i="17"/>
  <c r="T2021" i="17"/>
  <c r="U1945" i="17"/>
  <c r="U1946" i="17"/>
  <c r="U1947" i="17"/>
  <c r="U1948" i="17"/>
  <c r="U1949" i="17"/>
  <c r="U1950" i="17"/>
  <c r="U1951" i="17"/>
  <c r="U1952" i="17"/>
  <c r="U1953" i="17"/>
  <c r="U1954" i="17"/>
  <c r="U1955" i="17"/>
  <c r="U1956" i="17"/>
  <c r="U1957" i="17"/>
  <c r="U1958" i="17"/>
  <c r="U1959" i="17"/>
  <c r="U1960" i="17"/>
  <c r="U1961" i="17"/>
  <c r="U1962" i="17"/>
  <c r="U1963" i="17"/>
  <c r="U1966" i="17"/>
  <c r="U1970" i="17"/>
  <c r="U1982" i="17"/>
  <c r="U1983" i="17"/>
  <c r="U1990" i="17"/>
  <c r="U1991" i="17"/>
  <c r="U1992" i="17"/>
  <c r="U1993" i="17"/>
  <c r="U1994" i="17"/>
  <c r="U1995" i="17"/>
  <c r="U1996" i="17"/>
  <c r="U2020" i="17"/>
  <c r="U2021" i="17"/>
  <c r="V1945" i="17"/>
  <c r="V1946" i="17"/>
  <c r="V1947" i="17"/>
  <c r="V1948" i="17"/>
  <c r="V1949" i="17"/>
  <c r="V1950" i="17"/>
  <c r="V1951" i="17"/>
  <c r="V1952" i="17"/>
  <c r="V1953" i="17"/>
  <c r="V1954" i="17"/>
  <c r="V1955" i="17"/>
  <c r="V1956" i="17"/>
  <c r="V1957" i="17"/>
  <c r="V1958" i="17"/>
  <c r="V1959" i="17"/>
  <c r="V1960" i="17"/>
  <c r="V1961" i="17"/>
  <c r="V1962" i="17"/>
  <c r="V1963" i="17"/>
  <c r="V1966" i="17"/>
  <c r="V1970" i="17"/>
  <c r="V1982" i="17"/>
  <c r="V1983" i="17"/>
  <c r="V1990" i="17"/>
  <c r="V1991" i="17"/>
  <c r="V1992" i="17"/>
  <c r="V1993" i="17"/>
  <c r="V1994" i="17"/>
  <c r="V1995" i="17"/>
  <c r="V1996" i="17"/>
  <c r="V2020" i="17"/>
  <c r="V2021" i="17"/>
  <c r="W1945" i="17"/>
  <c r="W1946" i="17"/>
  <c r="W1947" i="17"/>
  <c r="W1948" i="17"/>
  <c r="W1949" i="17"/>
  <c r="W1950" i="17"/>
  <c r="W1951" i="17"/>
  <c r="W1952" i="17"/>
  <c r="W1953" i="17"/>
  <c r="W1954" i="17"/>
  <c r="W1955" i="17"/>
  <c r="W1956" i="17"/>
  <c r="W1957" i="17"/>
  <c r="W1958" i="17"/>
  <c r="W1959" i="17"/>
  <c r="W1960" i="17"/>
  <c r="W1961" i="17"/>
  <c r="W1962" i="17"/>
  <c r="W1963" i="17"/>
  <c r="W1966" i="17"/>
  <c r="W1970" i="17"/>
  <c r="W1982" i="17"/>
  <c r="W1983" i="17"/>
  <c r="W1990" i="17"/>
  <c r="W1991" i="17"/>
  <c r="W1992" i="17"/>
  <c r="W1993" i="17"/>
  <c r="W1994" i="17"/>
  <c r="W1995" i="17"/>
  <c r="W1996" i="17"/>
  <c r="W2020" i="17"/>
  <c r="W2021" i="17"/>
  <c r="H1642" i="17"/>
  <c r="H1643" i="17"/>
  <c r="H1644" i="17"/>
  <c r="H1645" i="17"/>
  <c r="H1646" i="17"/>
  <c r="H1647" i="17"/>
  <c r="H1648" i="17"/>
  <c r="I1642" i="17"/>
  <c r="I1643" i="17"/>
  <c r="I1644" i="17"/>
  <c r="I1645" i="17"/>
  <c r="I1646" i="17"/>
  <c r="I1647" i="17"/>
  <c r="I1648" i="17"/>
  <c r="J1642" i="17"/>
  <c r="J1643" i="17"/>
  <c r="J1644" i="17"/>
  <c r="J1645" i="17"/>
  <c r="J1646" i="17"/>
  <c r="J1647" i="17"/>
  <c r="J1648" i="17"/>
  <c r="K1642" i="17"/>
  <c r="K1643" i="17"/>
  <c r="K1644" i="17"/>
  <c r="K1645" i="17"/>
  <c r="K1646" i="17"/>
  <c r="K1647" i="17"/>
  <c r="K1648" i="17"/>
  <c r="N1642" i="17"/>
  <c r="N1643" i="17"/>
  <c r="N1644" i="17"/>
  <c r="N1645" i="17"/>
  <c r="N1646" i="17"/>
  <c r="N1647" i="17"/>
  <c r="N1648" i="17"/>
  <c r="O1642" i="17"/>
  <c r="O1643" i="17"/>
  <c r="O1644" i="17"/>
  <c r="O1645" i="17"/>
  <c r="O1646" i="17"/>
  <c r="O1647" i="17"/>
  <c r="O1648" i="17"/>
  <c r="Q1642" i="17"/>
  <c r="Q1643" i="17"/>
  <c r="Q1644" i="17"/>
  <c r="Q1645" i="17"/>
  <c r="Q1646" i="17"/>
  <c r="Q1647" i="17"/>
  <c r="Q1648" i="17"/>
  <c r="S1642" i="17"/>
  <c r="S1643" i="17"/>
  <c r="S1644" i="17"/>
  <c r="S1645" i="17"/>
  <c r="S1646" i="17"/>
  <c r="S1647" i="17"/>
  <c r="S1648" i="17"/>
  <c r="T1642" i="17"/>
  <c r="T1643" i="17"/>
  <c r="T1644" i="17"/>
  <c r="T1645" i="17"/>
  <c r="T1646" i="17"/>
  <c r="T1647" i="17"/>
  <c r="T1648" i="17"/>
  <c r="U1642" i="17"/>
  <c r="U1643" i="17"/>
  <c r="U1644" i="17"/>
  <c r="U1645" i="17"/>
  <c r="U1646" i="17"/>
  <c r="U1647" i="17"/>
  <c r="U1648" i="17"/>
  <c r="V1642" i="17"/>
  <c r="V1643" i="17"/>
  <c r="V1644" i="17"/>
  <c r="V1645" i="17"/>
  <c r="V1646" i="17"/>
  <c r="V1647" i="17"/>
  <c r="V1648" i="17"/>
  <c r="W1642" i="17"/>
  <c r="W1643" i="17"/>
  <c r="W1644" i="17"/>
  <c r="W1645" i="17"/>
  <c r="W1646" i="17"/>
  <c r="W1647" i="17"/>
  <c r="W1648" i="17"/>
  <c r="H1633" i="17"/>
  <c r="H1634" i="17"/>
  <c r="H1635" i="17"/>
  <c r="H1636" i="17"/>
  <c r="H1637" i="17"/>
  <c r="H1638" i="17"/>
  <c r="H1639" i="17"/>
  <c r="H1640" i="17"/>
  <c r="H1641" i="17"/>
  <c r="I1633" i="17"/>
  <c r="I1634" i="17"/>
  <c r="I1635" i="17"/>
  <c r="I1636" i="17"/>
  <c r="I1637" i="17"/>
  <c r="I1638" i="17"/>
  <c r="I1639" i="17"/>
  <c r="I1640" i="17"/>
  <c r="I1641" i="17"/>
  <c r="J1633" i="17"/>
  <c r="J1634" i="17"/>
  <c r="J1635" i="17"/>
  <c r="J1636" i="17"/>
  <c r="J1637" i="17"/>
  <c r="J1638" i="17"/>
  <c r="J1639" i="17"/>
  <c r="J1640" i="17"/>
  <c r="J1641" i="17"/>
  <c r="K1633" i="17"/>
  <c r="K1634" i="17"/>
  <c r="K1635" i="17"/>
  <c r="K1636" i="17"/>
  <c r="K1637" i="17"/>
  <c r="K1638" i="17"/>
  <c r="K1639" i="17"/>
  <c r="K1640" i="17"/>
  <c r="K1641" i="17"/>
  <c r="N1633" i="17"/>
  <c r="N1634" i="17"/>
  <c r="N1635" i="17"/>
  <c r="N1636" i="17"/>
  <c r="N1637" i="17"/>
  <c r="N1638" i="17"/>
  <c r="N1639" i="17"/>
  <c r="N1640" i="17"/>
  <c r="N1641" i="17"/>
  <c r="O1633" i="17"/>
  <c r="O1634" i="17"/>
  <c r="O1635" i="17"/>
  <c r="O1636" i="17"/>
  <c r="O1637" i="17"/>
  <c r="O1638" i="17"/>
  <c r="O1639" i="17"/>
  <c r="O1640" i="17"/>
  <c r="O1641" i="17"/>
  <c r="Q1633" i="17"/>
  <c r="Q1634" i="17"/>
  <c r="Q1635" i="17"/>
  <c r="Q1636" i="17"/>
  <c r="Q1637" i="17"/>
  <c r="Q1638" i="17"/>
  <c r="Q1639" i="17"/>
  <c r="Q1640" i="17"/>
  <c r="Q1641" i="17"/>
  <c r="S1633" i="17"/>
  <c r="S1634" i="17"/>
  <c r="S1635" i="17"/>
  <c r="S1636" i="17"/>
  <c r="S1637" i="17"/>
  <c r="S1638" i="17"/>
  <c r="S1639" i="17"/>
  <c r="S1640" i="17"/>
  <c r="S1641" i="17"/>
  <c r="T1633" i="17"/>
  <c r="T1634" i="17"/>
  <c r="T1635" i="17"/>
  <c r="T1636" i="17"/>
  <c r="T1637" i="17"/>
  <c r="T1638" i="17"/>
  <c r="T1639" i="17"/>
  <c r="T1640" i="17"/>
  <c r="T1641" i="17"/>
  <c r="U1633" i="17"/>
  <c r="U1634" i="17"/>
  <c r="U1635" i="17"/>
  <c r="U1636" i="17"/>
  <c r="U1637" i="17"/>
  <c r="U1638" i="17"/>
  <c r="U1639" i="17"/>
  <c r="U1640" i="17"/>
  <c r="U1641" i="17"/>
  <c r="V1633" i="17"/>
  <c r="V1634" i="17"/>
  <c r="V1635" i="17"/>
  <c r="V1636" i="17"/>
  <c r="V1637" i="17"/>
  <c r="V1638" i="17"/>
  <c r="V1639" i="17"/>
  <c r="V1640" i="17"/>
  <c r="V1641" i="17"/>
  <c r="W1633" i="17"/>
  <c r="W1634" i="17"/>
  <c r="W1635" i="17"/>
  <c r="W1636" i="17"/>
  <c r="W1637" i="17"/>
  <c r="W1638" i="17"/>
  <c r="W1639" i="17"/>
  <c r="W1640" i="17"/>
  <c r="W1641" i="17"/>
  <c r="H1592" i="17"/>
  <c r="H1593" i="17"/>
  <c r="H1594" i="17"/>
  <c r="H1595" i="17"/>
  <c r="I1592" i="17"/>
  <c r="I1593" i="17"/>
  <c r="I1594" i="17"/>
  <c r="I1595" i="17"/>
  <c r="J1592" i="17"/>
  <c r="J1593" i="17"/>
  <c r="J1594" i="17"/>
  <c r="J1595" i="17"/>
  <c r="K1592" i="17"/>
  <c r="K1593" i="17"/>
  <c r="K1594" i="17"/>
  <c r="K1595" i="17"/>
  <c r="N1592" i="17"/>
  <c r="N1593" i="17"/>
  <c r="N1594" i="17"/>
  <c r="N1595" i="17"/>
  <c r="O1592" i="17"/>
  <c r="O1593" i="17"/>
  <c r="O1594" i="17"/>
  <c r="O1595" i="17"/>
  <c r="Q1592" i="17"/>
  <c r="Q1593" i="17"/>
  <c r="Q1594" i="17"/>
  <c r="Q1595" i="17"/>
  <c r="S1592" i="17"/>
  <c r="S1593" i="17"/>
  <c r="S1594" i="17"/>
  <c r="S1595" i="17"/>
  <c r="T1592" i="17"/>
  <c r="T1593" i="17"/>
  <c r="T1594" i="17"/>
  <c r="T1595" i="17"/>
  <c r="U1592" i="17"/>
  <c r="U1593" i="17"/>
  <c r="U1594" i="17"/>
  <c r="U1595" i="17"/>
  <c r="V1592" i="17"/>
  <c r="V1593" i="17"/>
  <c r="V1594" i="17"/>
  <c r="V1595" i="17"/>
  <c r="W1592" i="17"/>
  <c r="W1593" i="17"/>
  <c r="W1594" i="17"/>
  <c r="W1595" i="17"/>
  <c r="H1573" i="17"/>
  <c r="H1574" i="17"/>
  <c r="H1575" i="17"/>
  <c r="H1576" i="17"/>
  <c r="H1577" i="17"/>
  <c r="H1578" i="17"/>
  <c r="H1579" i="17"/>
  <c r="H1580" i="17"/>
  <c r="H1581" i="17"/>
  <c r="H1582" i="17"/>
  <c r="H1583" i="17"/>
  <c r="H1584" i="17"/>
  <c r="H1585" i="17"/>
  <c r="H1586" i="17"/>
  <c r="H1587" i="17"/>
  <c r="H1588" i="17"/>
  <c r="H1589" i="17"/>
  <c r="H1590" i="17"/>
  <c r="H1591" i="17"/>
  <c r="I1573" i="17"/>
  <c r="I1574" i="17"/>
  <c r="I1575" i="17"/>
  <c r="I1576" i="17"/>
  <c r="I1577" i="17"/>
  <c r="I1578" i="17"/>
  <c r="I1579" i="17"/>
  <c r="I1580" i="17"/>
  <c r="I1581" i="17"/>
  <c r="I1582" i="17"/>
  <c r="I1583" i="17"/>
  <c r="I1584" i="17"/>
  <c r="I1585" i="17"/>
  <c r="I1586" i="17"/>
  <c r="I1587" i="17"/>
  <c r="I1588" i="17"/>
  <c r="I1589" i="17"/>
  <c r="I1590" i="17"/>
  <c r="I1591" i="17"/>
  <c r="J1573" i="17"/>
  <c r="J1574" i="17"/>
  <c r="J1575" i="17"/>
  <c r="J1576" i="17"/>
  <c r="J1577" i="17"/>
  <c r="J1578" i="17"/>
  <c r="J1579" i="17"/>
  <c r="J1580" i="17"/>
  <c r="J1581" i="17"/>
  <c r="J1582" i="17"/>
  <c r="J1583" i="17"/>
  <c r="J1584" i="17"/>
  <c r="J1585" i="17"/>
  <c r="J1586" i="17"/>
  <c r="J1587" i="17"/>
  <c r="J1588" i="17"/>
  <c r="J1589" i="17"/>
  <c r="J1590" i="17"/>
  <c r="J1591" i="17"/>
  <c r="K1573" i="17"/>
  <c r="K1574" i="17"/>
  <c r="K1575" i="17"/>
  <c r="K1576" i="17"/>
  <c r="K1577" i="17"/>
  <c r="K1578" i="17"/>
  <c r="K1579" i="17"/>
  <c r="K1580" i="17"/>
  <c r="K1581" i="17"/>
  <c r="K1582" i="17"/>
  <c r="K1583" i="17"/>
  <c r="K1584" i="17"/>
  <c r="K1585" i="17"/>
  <c r="K1586" i="17"/>
  <c r="K1587" i="17"/>
  <c r="K1588" i="17"/>
  <c r="K1589" i="17"/>
  <c r="K1590" i="17"/>
  <c r="K1591" i="17"/>
  <c r="N1573" i="17"/>
  <c r="N1574" i="17"/>
  <c r="N1575" i="17"/>
  <c r="N1576" i="17"/>
  <c r="N1577" i="17"/>
  <c r="N1578" i="17"/>
  <c r="N1579" i="17"/>
  <c r="N1580" i="17"/>
  <c r="N1581" i="17"/>
  <c r="N1582" i="17"/>
  <c r="N1583" i="17"/>
  <c r="N1584" i="17"/>
  <c r="N1585" i="17"/>
  <c r="N1586" i="17"/>
  <c r="N1587" i="17"/>
  <c r="N1588" i="17"/>
  <c r="N1589" i="17"/>
  <c r="N1590" i="17"/>
  <c r="N1591" i="17"/>
  <c r="O1573" i="17"/>
  <c r="O1574" i="17"/>
  <c r="O1575" i="17"/>
  <c r="O1576" i="17"/>
  <c r="O1577" i="17"/>
  <c r="O1578" i="17"/>
  <c r="O1579" i="17"/>
  <c r="O1580" i="17"/>
  <c r="O1581" i="17"/>
  <c r="O1582" i="17"/>
  <c r="O1583" i="17"/>
  <c r="O1584" i="17"/>
  <c r="O1585" i="17"/>
  <c r="O1586" i="17"/>
  <c r="O1587" i="17"/>
  <c r="O1588" i="17"/>
  <c r="O1589" i="17"/>
  <c r="O1590" i="17"/>
  <c r="O1591" i="17"/>
  <c r="Q1573" i="17"/>
  <c r="Q1574" i="17"/>
  <c r="Q1575" i="17"/>
  <c r="Q1576" i="17"/>
  <c r="Q1577" i="17"/>
  <c r="Q1578" i="17"/>
  <c r="Q1579" i="17"/>
  <c r="Q1580" i="17"/>
  <c r="Q1581" i="17"/>
  <c r="Q1582" i="17"/>
  <c r="Q1583" i="17"/>
  <c r="Q1584" i="17"/>
  <c r="Q1585" i="17"/>
  <c r="Q1586" i="17"/>
  <c r="Q1587" i="17"/>
  <c r="Q1588" i="17"/>
  <c r="Q1589" i="17"/>
  <c r="Q1590" i="17"/>
  <c r="Q1591" i="17"/>
  <c r="S1573" i="17"/>
  <c r="S1574" i="17"/>
  <c r="S1575" i="17"/>
  <c r="S1576" i="17"/>
  <c r="S1577" i="17"/>
  <c r="S1578" i="17"/>
  <c r="S1579" i="17"/>
  <c r="S1580" i="17"/>
  <c r="S1581" i="17"/>
  <c r="S1582" i="17"/>
  <c r="S1583" i="17"/>
  <c r="S1584" i="17"/>
  <c r="S1585" i="17"/>
  <c r="S1586" i="17"/>
  <c r="S1587" i="17"/>
  <c r="S1588" i="17"/>
  <c r="S1589" i="17"/>
  <c r="S1590" i="17"/>
  <c r="S1591" i="17"/>
  <c r="T1573" i="17"/>
  <c r="T1574" i="17"/>
  <c r="T1575" i="17"/>
  <c r="T1576" i="17"/>
  <c r="T1577" i="17"/>
  <c r="T1578" i="17"/>
  <c r="T1579" i="17"/>
  <c r="T1580" i="17"/>
  <c r="T1581" i="17"/>
  <c r="T1582" i="17"/>
  <c r="T1583" i="17"/>
  <c r="T1584" i="17"/>
  <c r="T1585" i="17"/>
  <c r="T1586" i="17"/>
  <c r="T1587" i="17"/>
  <c r="T1588" i="17"/>
  <c r="T1589" i="17"/>
  <c r="T1590" i="17"/>
  <c r="T1591" i="17"/>
  <c r="U1573" i="17"/>
  <c r="U1574" i="17"/>
  <c r="U1575" i="17"/>
  <c r="U1576" i="17"/>
  <c r="U1577" i="17"/>
  <c r="U1578" i="17"/>
  <c r="U1579" i="17"/>
  <c r="U1580" i="17"/>
  <c r="U1581" i="17"/>
  <c r="U1582" i="17"/>
  <c r="U1583" i="17"/>
  <c r="U1584" i="17"/>
  <c r="U1585" i="17"/>
  <c r="U1586" i="17"/>
  <c r="U1587" i="17"/>
  <c r="U1588" i="17"/>
  <c r="U1589" i="17"/>
  <c r="U1590" i="17"/>
  <c r="U1591" i="17"/>
  <c r="V1573" i="17"/>
  <c r="V1574" i="17"/>
  <c r="V1575" i="17"/>
  <c r="V1576" i="17"/>
  <c r="V1577" i="17"/>
  <c r="V1578" i="17"/>
  <c r="V1579" i="17"/>
  <c r="V1580" i="17"/>
  <c r="V1581" i="17"/>
  <c r="V1582" i="17"/>
  <c r="V1583" i="17"/>
  <c r="V1584" i="17"/>
  <c r="V1585" i="17"/>
  <c r="V1586" i="17"/>
  <c r="V1587" i="17"/>
  <c r="V1588" i="17"/>
  <c r="V1589" i="17"/>
  <c r="V1590" i="17"/>
  <c r="V1591" i="17"/>
  <c r="W1573" i="17"/>
  <c r="W1574" i="17"/>
  <c r="W1575" i="17"/>
  <c r="W1576" i="17"/>
  <c r="W1577" i="17"/>
  <c r="W1578" i="17"/>
  <c r="W1579" i="17"/>
  <c r="W1580" i="17"/>
  <c r="W1581" i="17"/>
  <c r="W1582" i="17"/>
  <c r="W1583" i="17"/>
  <c r="W1584" i="17"/>
  <c r="W1585" i="17"/>
  <c r="W1586" i="17"/>
  <c r="W1587" i="17"/>
  <c r="W1588" i="17"/>
  <c r="W1589" i="17"/>
  <c r="W1590" i="17"/>
  <c r="W1591" i="17"/>
  <c r="H1561" i="17"/>
  <c r="H1562" i="17"/>
  <c r="H1563" i="17"/>
  <c r="H1564" i="17"/>
  <c r="H1565" i="17"/>
  <c r="H1566" i="17"/>
  <c r="H1571" i="17"/>
  <c r="I1561" i="17"/>
  <c r="I1562" i="17"/>
  <c r="I1563" i="17"/>
  <c r="I1564" i="17"/>
  <c r="I1565" i="17"/>
  <c r="I1566" i="17"/>
  <c r="I1571" i="17"/>
  <c r="J1561" i="17"/>
  <c r="J1562" i="17"/>
  <c r="J1563" i="17"/>
  <c r="J1564" i="17"/>
  <c r="J1565" i="17"/>
  <c r="J1566" i="17"/>
  <c r="J1571" i="17"/>
  <c r="K1561" i="17"/>
  <c r="K1562" i="17"/>
  <c r="K1563" i="17"/>
  <c r="K1564" i="17"/>
  <c r="K1565" i="17"/>
  <c r="K1566" i="17"/>
  <c r="K1571" i="17"/>
  <c r="N1561" i="17"/>
  <c r="N1562" i="17"/>
  <c r="N1563" i="17"/>
  <c r="N1564" i="17"/>
  <c r="N1565" i="17"/>
  <c r="N1566" i="17"/>
  <c r="N1571" i="17"/>
  <c r="O1561" i="17"/>
  <c r="O1562" i="17"/>
  <c r="O1563" i="17"/>
  <c r="O1564" i="17"/>
  <c r="O1565" i="17"/>
  <c r="O1566" i="17"/>
  <c r="O1571" i="17"/>
  <c r="Q1561" i="17"/>
  <c r="Q1562" i="17"/>
  <c r="Q1563" i="17"/>
  <c r="Q1564" i="17"/>
  <c r="Q1565" i="17"/>
  <c r="Q1566" i="17"/>
  <c r="Q1571" i="17"/>
  <c r="S1561" i="17"/>
  <c r="S1562" i="17"/>
  <c r="S1563" i="17"/>
  <c r="S1564" i="17"/>
  <c r="S1565" i="17"/>
  <c r="S1566" i="17"/>
  <c r="S1571" i="17"/>
  <c r="T1561" i="17"/>
  <c r="T1562" i="17"/>
  <c r="T1563" i="17"/>
  <c r="T1564" i="17"/>
  <c r="T1565" i="17"/>
  <c r="T1566" i="17"/>
  <c r="T1571" i="17"/>
  <c r="U1561" i="17"/>
  <c r="U1562" i="17"/>
  <c r="U1563" i="17"/>
  <c r="U1564" i="17"/>
  <c r="U1565" i="17"/>
  <c r="U1566" i="17"/>
  <c r="U1571" i="17"/>
  <c r="V1561" i="17"/>
  <c r="V1562" i="17"/>
  <c r="V1563" i="17"/>
  <c r="V1564" i="17"/>
  <c r="V1565" i="17"/>
  <c r="V1566" i="17"/>
  <c r="V1571" i="17"/>
  <c r="W1561" i="17"/>
  <c r="W1562" i="17"/>
  <c r="W1563" i="17"/>
  <c r="W1564" i="17"/>
  <c r="W1565" i="17"/>
  <c r="W1566" i="17"/>
  <c r="W1571" i="17"/>
  <c r="H1551" i="17"/>
  <c r="H1552" i="17"/>
  <c r="H1553" i="17"/>
  <c r="H1554" i="17"/>
  <c r="H1555" i="17"/>
  <c r="H1556" i="17"/>
  <c r="H1557" i="17"/>
  <c r="H1558" i="17"/>
  <c r="H1559" i="17"/>
  <c r="H1560" i="17"/>
  <c r="I1551" i="17"/>
  <c r="I1552" i="17"/>
  <c r="I1553" i="17"/>
  <c r="I1554" i="17"/>
  <c r="I1555" i="17"/>
  <c r="I1556" i="17"/>
  <c r="I1557" i="17"/>
  <c r="I1558" i="17"/>
  <c r="I1559" i="17"/>
  <c r="I1560" i="17"/>
  <c r="J1551" i="17"/>
  <c r="J1552" i="17"/>
  <c r="J1553" i="17"/>
  <c r="J1554" i="17"/>
  <c r="J1555" i="17"/>
  <c r="J1556" i="17"/>
  <c r="J1557" i="17"/>
  <c r="J1558" i="17"/>
  <c r="J1559" i="17"/>
  <c r="J1560" i="17"/>
  <c r="K1551" i="17"/>
  <c r="K1552" i="17"/>
  <c r="K1553" i="17"/>
  <c r="K1554" i="17"/>
  <c r="K1555" i="17"/>
  <c r="K1556" i="17"/>
  <c r="K1557" i="17"/>
  <c r="K1558" i="17"/>
  <c r="K1559" i="17"/>
  <c r="K1560" i="17"/>
  <c r="N1551" i="17"/>
  <c r="N1552" i="17"/>
  <c r="N1553" i="17"/>
  <c r="N1554" i="17"/>
  <c r="N1555" i="17"/>
  <c r="N1556" i="17"/>
  <c r="N1557" i="17"/>
  <c r="N1558" i="17"/>
  <c r="N1559" i="17"/>
  <c r="N1560" i="17"/>
  <c r="O1551" i="17"/>
  <c r="O1552" i="17"/>
  <c r="O1553" i="17"/>
  <c r="O1554" i="17"/>
  <c r="O1555" i="17"/>
  <c r="O1556" i="17"/>
  <c r="O1557" i="17"/>
  <c r="O1558" i="17"/>
  <c r="O1559" i="17"/>
  <c r="O1560" i="17"/>
  <c r="Q1551" i="17"/>
  <c r="Q1552" i="17"/>
  <c r="Q1553" i="17"/>
  <c r="Q1554" i="17"/>
  <c r="Q1555" i="17"/>
  <c r="Q1556" i="17"/>
  <c r="Q1557" i="17"/>
  <c r="Q1558" i="17"/>
  <c r="Q1559" i="17"/>
  <c r="Q1560" i="17"/>
  <c r="S1551" i="17"/>
  <c r="S1552" i="17"/>
  <c r="S1553" i="17"/>
  <c r="S1554" i="17"/>
  <c r="S1555" i="17"/>
  <c r="S1556" i="17"/>
  <c r="S1557" i="17"/>
  <c r="S1558" i="17"/>
  <c r="S1559" i="17"/>
  <c r="S1560" i="17"/>
  <c r="T1551" i="17"/>
  <c r="T1552" i="17"/>
  <c r="T1553" i="17"/>
  <c r="T1554" i="17"/>
  <c r="T1555" i="17"/>
  <c r="T1556" i="17"/>
  <c r="T1557" i="17"/>
  <c r="T1558" i="17"/>
  <c r="T1559" i="17"/>
  <c r="T1560" i="17"/>
  <c r="U1551" i="17"/>
  <c r="U1552" i="17"/>
  <c r="U1553" i="17"/>
  <c r="U1554" i="17"/>
  <c r="U1555" i="17"/>
  <c r="U1556" i="17"/>
  <c r="U1557" i="17"/>
  <c r="U1558" i="17"/>
  <c r="U1559" i="17"/>
  <c r="U1560" i="17"/>
  <c r="V1551" i="17"/>
  <c r="V1552" i="17"/>
  <c r="V1553" i="17"/>
  <c r="V1554" i="17"/>
  <c r="V1555" i="17"/>
  <c r="V1556" i="17"/>
  <c r="V1557" i="17"/>
  <c r="V1558" i="17"/>
  <c r="V1559" i="17"/>
  <c r="V1560" i="17"/>
  <c r="W1551" i="17"/>
  <c r="W1552" i="17"/>
  <c r="W1553" i="17"/>
  <c r="W1554" i="17"/>
  <c r="W1555" i="17"/>
  <c r="W1556" i="17"/>
  <c r="W1557" i="17"/>
  <c r="W1558" i="17"/>
  <c r="W1559" i="17"/>
  <c r="W1560" i="17"/>
  <c r="H1522" i="17"/>
  <c r="H1523" i="17"/>
  <c r="H1524" i="17"/>
  <c r="H1525" i="17"/>
  <c r="H1526" i="17"/>
  <c r="H1527" i="17"/>
  <c r="H1528" i="17"/>
  <c r="H1529" i="17"/>
  <c r="H1530" i="17"/>
  <c r="H1531" i="17"/>
  <c r="H1532" i="17"/>
  <c r="I1522" i="17"/>
  <c r="I1523" i="17"/>
  <c r="I1524" i="17"/>
  <c r="I1525" i="17"/>
  <c r="I1526" i="17"/>
  <c r="I1527" i="17"/>
  <c r="I1528" i="17"/>
  <c r="I1529" i="17"/>
  <c r="I1530" i="17"/>
  <c r="I1531" i="17"/>
  <c r="I1532" i="17"/>
  <c r="J1522" i="17"/>
  <c r="J1523" i="17"/>
  <c r="J1524" i="17"/>
  <c r="J1525" i="17"/>
  <c r="J1526" i="17"/>
  <c r="J1527" i="17"/>
  <c r="J1528" i="17"/>
  <c r="J1529" i="17"/>
  <c r="J1530" i="17"/>
  <c r="J1531" i="17"/>
  <c r="J1532" i="17"/>
  <c r="K1522" i="17"/>
  <c r="K1523" i="17"/>
  <c r="K1524" i="17"/>
  <c r="K1525" i="17"/>
  <c r="K1526" i="17"/>
  <c r="K1527" i="17"/>
  <c r="K1528" i="17"/>
  <c r="K1529" i="17"/>
  <c r="K1530" i="17"/>
  <c r="K1531" i="17"/>
  <c r="K1532" i="17"/>
  <c r="N1522" i="17"/>
  <c r="N1523" i="17"/>
  <c r="N1524" i="17"/>
  <c r="N1525" i="17"/>
  <c r="N1526" i="17"/>
  <c r="N1527" i="17"/>
  <c r="N1528" i="17"/>
  <c r="N1529" i="17"/>
  <c r="N1530" i="17"/>
  <c r="N1531" i="17"/>
  <c r="N1532" i="17"/>
  <c r="O1522" i="17"/>
  <c r="O1523" i="17"/>
  <c r="O1524" i="17"/>
  <c r="O1525" i="17"/>
  <c r="O1526" i="17"/>
  <c r="O1527" i="17"/>
  <c r="O1528" i="17"/>
  <c r="O1529" i="17"/>
  <c r="O1530" i="17"/>
  <c r="O1531" i="17"/>
  <c r="O1532" i="17"/>
  <c r="Q1522" i="17"/>
  <c r="Q1523" i="17"/>
  <c r="Q1524" i="17"/>
  <c r="Q1525" i="17"/>
  <c r="Q1526" i="17"/>
  <c r="Q1527" i="17"/>
  <c r="Q1528" i="17"/>
  <c r="Q1529" i="17"/>
  <c r="Q1530" i="17"/>
  <c r="Q1531" i="17"/>
  <c r="Q1532" i="17"/>
  <c r="S1522" i="17"/>
  <c r="S1523" i="17"/>
  <c r="S1524" i="17"/>
  <c r="S1525" i="17"/>
  <c r="S1526" i="17"/>
  <c r="S1527" i="17"/>
  <c r="S1528" i="17"/>
  <c r="S1529" i="17"/>
  <c r="S1530" i="17"/>
  <c r="S1531" i="17"/>
  <c r="S1532" i="17"/>
  <c r="T1522" i="17"/>
  <c r="T1523" i="17"/>
  <c r="T1524" i="17"/>
  <c r="T1525" i="17"/>
  <c r="T1526" i="17"/>
  <c r="T1527" i="17"/>
  <c r="T1528" i="17"/>
  <c r="T1529" i="17"/>
  <c r="T1530" i="17"/>
  <c r="T1531" i="17"/>
  <c r="T1532" i="17"/>
  <c r="U1522" i="17"/>
  <c r="U1523" i="17"/>
  <c r="U1524" i="17"/>
  <c r="U1525" i="17"/>
  <c r="U1526" i="17"/>
  <c r="U1527" i="17"/>
  <c r="U1528" i="17"/>
  <c r="U1529" i="17"/>
  <c r="U1530" i="17"/>
  <c r="U1531" i="17"/>
  <c r="U1532" i="17"/>
  <c r="V1522" i="17"/>
  <c r="V1523" i="17"/>
  <c r="V1524" i="17"/>
  <c r="V1525" i="17"/>
  <c r="V1526" i="17"/>
  <c r="V1527" i="17"/>
  <c r="V1528" i="17"/>
  <c r="V1529" i="17"/>
  <c r="V1530" i="17"/>
  <c r="V1531" i="17"/>
  <c r="V1532" i="17"/>
  <c r="W1522" i="17"/>
  <c r="W1523" i="17"/>
  <c r="W1524" i="17"/>
  <c r="W1525" i="17"/>
  <c r="W1526" i="17"/>
  <c r="W1527" i="17"/>
  <c r="W1528" i="17"/>
  <c r="W1529" i="17"/>
  <c r="W1530" i="17"/>
  <c r="W1531" i="17"/>
  <c r="W1532" i="17"/>
  <c r="H1519" i="17"/>
  <c r="H1520" i="17"/>
  <c r="H1521" i="17"/>
  <c r="I1519" i="17"/>
  <c r="I1520" i="17"/>
  <c r="I1521" i="17"/>
  <c r="J1519" i="17"/>
  <c r="J1520" i="17"/>
  <c r="J1521" i="17"/>
  <c r="K1519" i="17"/>
  <c r="K1520" i="17"/>
  <c r="K1521" i="17"/>
  <c r="N1519" i="17"/>
  <c r="N1520" i="17"/>
  <c r="N1521" i="17"/>
  <c r="O1519" i="17"/>
  <c r="O1520" i="17"/>
  <c r="O1521" i="17"/>
  <c r="Q1519" i="17"/>
  <c r="Q1520" i="17"/>
  <c r="Q1521" i="17"/>
  <c r="S1519" i="17"/>
  <c r="S1520" i="17"/>
  <c r="S1521" i="17"/>
  <c r="T1519" i="17"/>
  <c r="T1520" i="17"/>
  <c r="T1521" i="17"/>
  <c r="U1519" i="17"/>
  <c r="U1520" i="17"/>
  <c r="U1521" i="17"/>
  <c r="V1519" i="17"/>
  <c r="V1520" i="17"/>
  <c r="V1521" i="17"/>
  <c r="W1519" i="17"/>
  <c r="W1520" i="17"/>
  <c r="W1521" i="17"/>
  <c r="H1517" i="17"/>
  <c r="I1517" i="17"/>
  <c r="J1517" i="17"/>
  <c r="K1517" i="17"/>
  <c r="N1517" i="17"/>
  <c r="O1517" i="17"/>
  <c r="Q1517" i="17"/>
  <c r="S1517" i="17"/>
  <c r="T1517" i="17"/>
  <c r="U1517" i="17"/>
  <c r="V1517" i="17"/>
  <c r="W1517" i="17"/>
  <c r="H1447" i="17"/>
  <c r="I1447" i="17"/>
  <c r="J1447" i="17"/>
  <c r="K1447" i="17"/>
  <c r="N1447" i="17"/>
  <c r="O1447" i="17"/>
  <c r="Q1447" i="17"/>
  <c r="S1447" i="17"/>
  <c r="T1447" i="17"/>
  <c r="U1447" i="17"/>
  <c r="V1447" i="17"/>
  <c r="W1447" i="17"/>
  <c r="H1439" i="17"/>
  <c r="H1440" i="17"/>
  <c r="H1441" i="17"/>
  <c r="H1442" i="17"/>
  <c r="H1443" i="17"/>
  <c r="H1444" i="17"/>
  <c r="H1445" i="17"/>
  <c r="H1446" i="17"/>
  <c r="I1439" i="17"/>
  <c r="I1440" i="17"/>
  <c r="I1441" i="17"/>
  <c r="I1442" i="17"/>
  <c r="I1443" i="17"/>
  <c r="I1444" i="17"/>
  <c r="I1445" i="17"/>
  <c r="I1446" i="17"/>
  <c r="J1439" i="17"/>
  <c r="J1440" i="17"/>
  <c r="J1441" i="17"/>
  <c r="J1442" i="17"/>
  <c r="J1443" i="17"/>
  <c r="J1444" i="17"/>
  <c r="J1445" i="17"/>
  <c r="J1446" i="17"/>
  <c r="K1439" i="17"/>
  <c r="K1440" i="17"/>
  <c r="K1441" i="17"/>
  <c r="K1442" i="17"/>
  <c r="K1443" i="17"/>
  <c r="K1444" i="17"/>
  <c r="K1445" i="17"/>
  <c r="K1446" i="17"/>
  <c r="N1439" i="17"/>
  <c r="N1440" i="17"/>
  <c r="N1441" i="17"/>
  <c r="N1442" i="17"/>
  <c r="N1443" i="17"/>
  <c r="N1444" i="17"/>
  <c r="N1445" i="17"/>
  <c r="N1446" i="17"/>
  <c r="O1439" i="17"/>
  <c r="O1440" i="17"/>
  <c r="O1441" i="17"/>
  <c r="O1442" i="17"/>
  <c r="O1443" i="17"/>
  <c r="O1444" i="17"/>
  <c r="O1445" i="17"/>
  <c r="O1446" i="17"/>
  <c r="Q1439" i="17"/>
  <c r="Q1440" i="17"/>
  <c r="Q1441" i="17"/>
  <c r="Q1442" i="17"/>
  <c r="Q1443" i="17"/>
  <c r="Q1444" i="17"/>
  <c r="Q1445" i="17"/>
  <c r="Q1446" i="17"/>
  <c r="S1439" i="17"/>
  <c r="S1440" i="17"/>
  <c r="S1441" i="17"/>
  <c r="S1442" i="17"/>
  <c r="S1443" i="17"/>
  <c r="S1444" i="17"/>
  <c r="S1445" i="17"/>
  <c r="S1446" i="17"/>
  <c r="T1439" i="17"/>
  <c r="T1440" i="17"/>
  <c r="T1441" i="17"/>
  <c r="T1442" i="17"/>
  <c r="T1443" i="17"/>
  <c r="T1444" i="17"/>
  <c r="T1445" i="17"/>
  <c r="T1446" i="17"/>
  <c r="U1439" i="17"/>
  <c r="U1440" i="17"/>
  <c r="U1441" i="17"/>
  <c r="U1442" i="17"/>
  <c r="U1443" i="17"/>
  <c r="U1444" i="17"/>
  <c r="U1445" i="17"/>
  <c r="U1446" i="17"/>
  <c r="V1439" i="17"/>
  <c r="V1440" i="17"/>
  <c r="V1441" i="17"/>
  <c r="V1442" i="17"/>
  <c r="V1443" i="17"/>
  <c r="V1444" i="17"/>
  <c r="V1445" i="17"/>
  <c r="V1446" i="17"/>
  <c r="W1439" i="17"/>
  <c r="W1440" i="17"/>
  <c r="W1441" i="17"/>
  <c r="W1442" i="17"/>
  <c r="W1443" i="17"/>
  <c r="W1444" i="17"/>
  <c r="W1445" i="17"/>
  <c r="W1446" i="17"/>
  <c r="H1428" i="17"/>
  <c r="H1429" i="17"/>
  <c r="H1430" i="17"/>
  <c r="H1431" i="17"/>
  <c r="H1432" i="17"/>
  <c r="H1433" i="17"/>
  <c r="H1434" i="17"/>
  <c r="H1435" i="17"/>
  <c r="H1436" i="17"/>
  <c r="H1437" i="17"/>
  <c r="H1438" i="17"/>
  <c r="I1428" i="17"/>
  <c r="I1429" i="17"/>
  <c r="I1430" i="17"/>
  <c r="I1431" i="17"/>
  <c r="I1432" i="17"/>
  <c r="I1433" i="17"/>
  <c r="I1434" i="17"/>
  <c r="I1435" i="17"/>
  <c r="I1436" i="17"/>
  <c r="I1437" i="17"/>
  <c r="I1438" i="17"/>
  <c r="J1428" i="17"/>
  <c r="J1429" i="17"/>
  <c r="J1430" i="17"/>
  <c r="J1431" i="17"/>
  <c r="J1432" i="17"/>
  <c r="J1433" i="17"/>
  <c r="J1434" i="17"/>
  <c r="J1435" i="17"/>
  <c r="J1436" i="17"/>
  <c r="J1437" i="17"/>
  <c r="J1438" i="17"/>
  <c r="K1428" i="17"/>
  <c r="K1429" i="17"/>
  <c r="K1430" i="17"/>
  <c r="K1431" i="17"/>
  <c r="K1432" i="17"/>
  <c r="K1433" i="17"/>
  <c r="K1434" i="17"/>
  <c r="K1435" i="17"/>
  <c r="K1436" i="17"/>
  <c r="K1437" i="17"/>
  <c r="K1438" i="17"/>
  <c r="N1428" i="17"/>
  <c r="N1429" i="17"/>
  <c r="N1430" i="17"/>
  <c r="N1431" i="17"/>
  <c r="N1432" i="17"/>
  <c r="N1433" i="17"/>
  <c r="N1434" i="17"/>
  <c r="N1435" i="17"/>
  <c r="N1436" i="17"/>
  <c r="N1437" i="17"/>
  <c r="N1438" i="17"/>
  <c r="O1428" i="17"/>
  <c r="O1429" i="17"/>
  <c r="O1430" i="17"/>
  <c r="O1431" i="17"/>
  <c r="O1432" i="17"/>
  <c r="O1433" i="17"/>
  <c r="O1434" i="17"/>
  <c r="O1435" i="17"/>
  <c r="O1436" i="17"/>
  <c r="O1437" i="17"/>
  <c r="O1438" i="17"/>
  <c r="Q1428" i="17"/>
  <c r="Q1429" i="17"/>
  <c r="Q1430" i="17"/>
  <c r="Q1431" i="17"/>
  <c r="Q1432" i="17"/>
  <c r="Q1433" i="17"/>
  <c r="Q1434" i="17"/>
  <c r="Q1435" i="17"/>
  <c r="Q1436" i="17"/>
  <c r="Q1437" i="17"/>
  <c r="Q1438" i="17"/>
  <c r="S1428" i="17"/>
  <c r="S1429" i="17"/>
  <c r="S1430" i="17"/>
  <c r="S1431" i="17"/>
  <c r="S1432" i="17"/>
  <c r="S1433" i="17"/>
  <c r="S1434" i="17"/>
  <c r="S1435" i="17"/>
  <c r="S1436" i="17"/>
  <c r="S1437" i="17"/>
  <c r="S1438" i="17"/>
  <c r="T1428" i="17"/>
  <c r="T1429" i="17"/>
  <c r="T1430" i="17"/>
  <c r="T1431" i="17"/>
  <c r="T1432" i="17"/>
  <c r="T1433" i="17"/>
  <c r="T1434" i="17"/>
  <c r="T1435" i="17"/>
  <c r="T1436" i="17"/>
  <c r="T1437" i="17"/>
  <c r="T1438" i="17"/>
  <c r="U1428" i="17"/>
  <c r="U1429" i="17"/>
  <c r="U1430" i="17"/>
  <c r="U1431" i="17"/>
  <c r="U1432" i="17"/>
  <c r="U1433" i="17"/>
  <c r="U1434" i="17"/>
  <c r="U1435" i="17"/>
  <c r="U1436" i="17"/>
  <c r="U1437" i="17"/>
  <c r="U1438" i="17"/>
  <c r="V1428" i="17"/>
  <c r="V1429" i="17"/>
  <c r="V1430" i="17"/>
  <c r="V1431" i="17"/>
  <c r="V1432" i="17"/>
  <c r="V1433" i="17"/>
  <c r="V1434" i="17"/>
  <c r="V1435" i="17"/>
  <c r="V1436" i="17"/>
  <c r="V1437" i="17"/>
  <c r="V1438" i="17"/>
  <c r="W1428" i="17"/>
  <c r="W1429" i="17"/>
  <c r="W1430" i="17"/>
  <c r="W1431" i="17"/>
  <c r="W1432" i="17"/>
  <c r="W1433" i="17"/>
  <c r="W1434" i="17"/>
  <c r="W1435" i="17"/>
  <c r="W1436" i="17"/>
  <c r="W1437" i="17"/>
  <c r="W1438" i="17"/>
  <c r="H1414" i="17"/>
  <c r="H1415" i="17"/>
  <c r="H1416" i="17"/>
  <c r="H1417" i="17"/>
  <c r="H1418" i="17"/>
  <c r="H1419" i="17"/>
  <c r="H1420" i="17"/>
  <c r="H1421" i="17"/>
  <c r="H1422" i="17"/>
  <c r="H1423" i="17"/>
  <c r="H1424" i="17"/>
  <c r="H1425" i="17"/>
  <c r="H1426" i="17"/>
  <c r="I1414" i="17"/>
  <c r="I1415" i="17"/>
  <c r="I1416" i="17"/>
  <c r="I1417" i="17"/>
  <c r="I1418" i="17"/>
  <c r="I1419" i="17"/>
  <c r="I1420" i="17"/>
  <c r="I1421" i="17"/>
  <c r="I1422" i="17"/>
  <c r="I1423" i="17"/>
  <c r="I1424" i="17"/>
  <c r="I1425" i="17"/>
  <c r="I1426" i="17"/>
  <c r="J1414" i="17"/>
  <c r="J1415" i="17"/>
  <c r="J1416" i="17"/>
  <c r="J1417" i="17"/>
  <c r="J1418" i="17"/>
  <c r="J1419" i="17"/>
  <c r="J1420" i="17"/>
  <c r="J1421" i="17"/>
  <c r="J1422" i="17"/>
  <c r="J1423" i="17"/>
  <c r="J1424" i="17"/>
  <c r="J1425" i="17"/>
  <c r="J1426" i="17"/>
  <c r="K1414" i="17"/>
  <c r="K1415" i="17"/>
  <c r="K1416" i="17"/>
  <c r="K1417" i="17"/>
  <c r="K1418" i="17"/>
  <c r="K1419" i="17"/>
  <c r="K1420" i="17"/>
  <c r="K1421" i="17"/>
  <c r="K1422" i="17"/>
  <c r="K1423" i="17"/>
  <c r="K1424" i="17"/>
  <c r="K1425" i="17"/>
  <c r="K1426" i="17"/>
  <c r="N1414" i="17"/>
  <c r="N1415" i="17"/>
  <c r="N1416" i="17"/>
  <c r="N1417" i="17"/>
  <c r="N1418" i="17"/>
  <c r="N1419" i="17"/>
  <c r="N1420" i="17"/>
  <c r="N1421" i="17"/>
  <c r="N1422" i="17"/>
  <c r="N1423" i="17"/>
  <c r="N1424" i="17"/>
  <c r="N1425" i="17"/>
  <c r="N1426" i="17"/>
  <c r="O1414" i="17"/>
  <c r="O1415" i="17"/>
  <c r="O1416" i="17"/>
  <c r="O1417" i="17"/>
  <c r="O1418" i="17"/>
  <c r="O1419" i="17"/>
  <c r="O1420" i="17"/>
  <c r="O1421" i="17"/>
  <c r="O1422" i="17"/>
  <c r="O1423" i="17"/>
  <c r="O1424" i="17"/>
  <c r="O1425" i="17"/>
  <c r="O1426" i="17"/>
  <c r="Q1414" i="17"/>
  <c r="Q1415" i="17"/>
  <c r="Q1416" i="17"/>
  <c r="Q1417" i="17"/>
  <c r="Q1418" i="17"/>
  <c r="Q1419" i="17"/>
  <c r="Q1420" i="17"/>
  <c r="Q1421" i="17"/>
  <c r="Q1422" i="17"/>
  <c r="Q1423" i="17"/>
  <c r="Q1424" i="17"/>
  <c r="Q1425" i="17"/>
  <c r="Q1426" i="17"/>
  <c r="S1414" i="17"/>
  <c r="S1415" i="17"/>
  <c r="S1416" i="17"/>
  <c r="S1417" i="17"/>
  <c r="S1418" i="17"/>
  <c r="S1419" i="17"/>
  <c r="S1420" i="17"/>
  <c r="S1421" i="17"/>
  <c r="S1422" i="17"/>
  <c r="S1423" i="17"/>
  <c r="S1424" i="17"/>
  <c r="S1425" i="17"/>
  <c r="S1426" i="17"/>
  <c r="T1414" i="17"/>
  <c r="T1415" i="17"/>
  <c r="T1416" i="17"/>
  <c r="T1417" i="17"/>
  <c r="T1418" i="17"/>
  <c r="T1419" i="17"/>
  <c r="T1420" i="17"/>
  <c r="T1421" i="17"/>
  <c r="T1422" i="17"/>
  <c r="T1423" i="17"/>
  <c r="T1424" i="17"/>
  <c r="T1425" i="17"/>
  <c r="T1426" i="17"/>
  <c r="U1414" i="17"/>
  <c r="U1415" i="17"/>
  <c r="U1416" i="17"/>
  <c r="U1417" i="17"/>
  <c r="U1418" i="17"/>
  <c r="U1419" i="17"/>
  <c r="U1420" i="17"/>
  <c r="U1421" i="17"/>
  <c r="U1422" i="17"/>
  <c r="U1423" i="17"/>
  <c r="U1424" i="17"/>
  <c r="U1425" i="17"/>
  <c r="U1426" i="17"/>
  <c r="V1414" i="17"/>
  <c r="V1415" i="17"/>
  <c r="V1416" i="17"/>
  <c r="V1417" i="17"/>
  <c r="V1418" i="17"/>
  <c r="V1419" i="17"/>
  <c r="V1420" i="17"/>
  <c r="V1421" i="17"/>
  <c r="V1422" i="17"/>
  <c r="V1423" i="17"/>
  <c r="V1424" i="17"/>
  <c r="V1425" i="17"/>
  <c r="V1426" i="17"/>
  <c r="W1414" i="17"/>
  <c r="W1415" i="17"/>
  <c r="W1416" i="17"/>
  <c r="W1417" i="17"/>
  <c r="W1418" i="17"/>
  <c r="W1419" i="17"/>
  <c r="W1420" i="17"/>
  <c r="W1421" i="17"/>
  <c r="W1422" i="17"/>
  <c r="W1423" i="17"/>
  <c r="W1424" i="17"/>
  <c r="W1425" i="17"/>
  <c r="W1426" i="17"/>
  <c r="H1412" i="17"/>
  <c r="I1412" i="17"/>
  <c r="J1412" i="17"/>
  <c r="K1412" i="17"/>
  <c r="N1412" i="17"/>
  <c r="O1412" i="17"/>
  <c r="Q1412" i="17"/>
  <c r="S1412" i="17"/>
  <c r="T1412" i="17"/>
  <c r="U1412" i="17"/>
  <c r="V1412" i="17"/>
  <c r="W1412" i="17"/>
  <c r="H1406" i="17"/>
  <c r="H1407" i="17"/>
  <c r="H1408" i="17"/>
  <c r="H1409" i="17"/>
  <c r="H1410" i="17"/>
  <c r="H1411" i="17"/>
  <c r="I1406" i="17"/>
  <c r="I1407" i="17"/>
  <c r="I1408" i="17"/>
  <c r="I1409" i="17"/>
  <c r="I1410" i="17"/>
  <c r="I1411" i="17"/>
  <c r="J1406" i="17"/>
  <c r="J1407" i="17"/>
  <c r="J1408" i="17"/>
  <c r="J1409" i="17"/>
  <c r="J1410" i="17"/>
  <c r="J1411" i="17"/>
  <c r="K1406" i="17"/>
  <c r="K1407" i="17"/>
  <c r="K1408" i="17"/>
  <c r="K1409" i="17"/>
  <c r="K1410" i="17"/>
  <c r="K1411" i="17"/>
  <c r="N1406" i="17"/>
  <c r="N1407" i="17"/>
  <c r="N1408" i="17"/>
  <c r="N1409" i="17"/>
  <c r="N1410" i="17"/>
  <c r="N1411" i="17"/>
  <c r="O1406" i="17"/>
  <c r="O1407" i="17"/>
  <c r="O1408" i="17"/>
  <c r="O1409" i="17"/>
  <c r="O1410" i="17"/>
  <c r="O1411" i="17"/>
  <c r="Q1406" i="17"/>
  <c r="Q1407" i="17"/>
  <c r="Q1408" i="17"/>
  <c r="Q1409" i="17"/>
  <c r="Q1410" i="17"/>
  <c r="Q1411" i="17"/>
  <c r="S1406" i="17"/>
  <c r="S1407" i="17"/>
  <c r="S1408" i="17"/>
  <c r="S1409" i="17"/>
  <c r="S1410" i="17"/>
  <c r="S1411" i="17"/>
  <c r="T1406" i="17"/>
  <c r="T1407" i="17"/>
  <c r="T1408" i="17"/>
  <c r="T1409" i="17"/>
  <c r="T1410" i="17"/>
  <c r="T1411" i="17"/>
  <c r="U1406" i="17"/>
  <c r="U1407" i="17"/>
  <c r="U1408" i="17"/>
  <c r="U1409" i="17"/>
  <c r="U1410" i="17"/>
  <c r="U1411" i="17"/>
  <c r="V1406" i="17"/>
  <c r="V1407" i="17"/>
  <c r="V1408" i="17"/>
  <c r="V1409" i="17"/>
  <c r="V1410" i="17"/>
  <c r="V1411" i="17"/>
  <c r="W1406" i="17"/>
  <c r="W1407" i="17"/>
  <c r="W1408" i="17"/>
  <c r="W1409" i="17"/>
  <c r="W1410" i="17"/>
  <c r="W1411" i="17"/>
  <c r="H1391" i="17"/>
  <c r="H1392" i="17"/>
  <c r="H1393" i="17"/>
  <c r="H1394" i="17"/>
  <c r="H1395" i="17"/>
  <c r="H1396" i="17"/>
  <c r="H1397" i="17"/>
  <c r="H1398" i="17"/>
  <c r="H1399" i="17"/>
  <c r="H1400" i="17"/>
  <c r="H1401" i="17"/>
  <c r="H1402" i="17"/>
  <c r="H1403" i="17"/>
  <c r="H1404" i="17"/>
  <c r="H1405" i="17"/>
  <c r="I1391" i="17"/>
  <c r="I1392" i="17"/>
  <c r="I1393" i="17"/>
  <c r="I1394" i="17"/>
  <c r="I1395" i="17"/>
  <c r="I1396" i="17"/>
  <c r="I1397" i="17"/>
  <c r="I1398" i="17"/>
  <c r="I1399" i="17"/>
  <c r="I1400" i="17"/>
  <c r="I1401" i="17"/>
  <c r="I1402" i="17"/>
  <c r="I1403" i="17"/>
  <c r="I1404" i="17"/>
  <c r="I1405" i="17"/>
  <c r="J1391" i="17"/>
  <c r="J1392" i="17"/>
  <c r="J1393" i="17"/>
  <c r="J1394" i="17"/>
  <c r="J1395" i="17"/>
  <c r="J1396" i="17"/>
  <c r="J1397" i="17"/>
  <c r="J1398" i="17"/>
  <c r="J1399" i="17"/>
  <c r="J1400" i="17"/>
  <c r="J1401" i="17"/>
  <c r="J1402" i="17"/>
  <c r="J1403" i="17"/>
  <c r="J1404" i="17"/>
  <c r="J1405" i="17"/>
  <c r="K1391" i="17"/>
  <c r="K1392" i="17"/>
  <c r="K1393" i="17"/>
  <c r="K1394" i="17"/>
  <c r="K1395" i="17"/>
  <c r="K1396" i="17"/>
  <c r="K1397" i="17"/>
  <c r="K1398" i="17"/>
  <c r="K1399" i="17"/>
  <c r="K1400" i="17"/>
  <c r="K1401" i="17"/>
  <c r="K1402" i="17"/>
  <c r="K1403" i="17"/>
  <c r="K1404" i="17"/>
  <c r="K1405" i="17"/>
  <c r="N1391" i="17"/>
  <c r="N1392" i="17"/>
  <c r="N1393" i="17"/>
  <c r="N1394" i="17"/>
  <c r="N1395" i="17"/>
  <c r="N1396" i="17"/>
  <c r="N1397" i="17"/>
  <c r="N1398" i="17"/>
  <c r="N1399" i="17"/>
  <c r="N1400" i="17"/>
  <c r="N1401" i="17"/>
  <c r="N1402" i="17"/>
  <c r="N1403" i="17"/>
  <c r="N1404" i="17"/>
  <c r="N1405" i="17"/>
  <c r="O1391" i="17"/>
  <c r="O1392" i="17"/>
  <c r="O1393" i="17"/>
  <c r="O1394" i="17"/>
  <c r="O1395" i="17"/>
  <c r="O1396" i="17"/>
  <c r="O1397" i="17"/>
  <c r="O1398" i="17"/>
  <c r="O1399" i="17"/>
  <c r="O1400" i="17"/>
  <c r="O1401" i="17"/>
  <c r="O1402" i="17"/>
  <c r="O1403" i="17"/>
  <c r="O1404" i="17"/>
  <c r="O1405" i="17"/>
  <c r="Q1391" i="17"/>
  <c r="Q1392" i="17"/>
  <c r="Q1393" i="17"/>
  <c r="Q1394" i="17"/>
  <c r="Q1395" i="17"/>
  <c r="Q1396" i="17"/>
  <c r="Q1397" i="17"/>
  <c r="Q1398" i="17"/>
  <c r="Q1399" i="17"/>
  <c r="Q1400" i="17"/>
  <c r="Q1401" i="17"/>
  <c r="Q1402" i="17"/>
  <c r="Q1403" i="17"/>
  <c r="Q1404" i="17"/>
  <c r="Q1405" i="17"/>
  <c r="S1391" i="17"/>
  <c r="S1392" i="17"/>
  <c r="S1393" i="17"/>
  <c r="S1394" i="17"/>
  <c r="S1395" i="17"/>
  <c r="S1396" i="17"/>
  <c r="S1397" i="17"/>
  <c r="S1398" i="17"/>
  <c r="S1399" i="17"/>
  <c r="S1400" i="17"/>
  <c r="S1401" i="17"/>
  <c r="S1402" i="17"/>
  <c r="S1403" i="17"/>
  <c r="S1404" i="17"/>
  <c r="S1405" i="17"/>
  <c r="T1391" i="17"/>
  <c r="T1392" i="17"/>
  <c r="T1393" i="17"/>
  <c r="T1394" i="17"/>
  <c r="T1395" i="17"/>
  <c r="T1396" i="17"/>
  <c r="T1397" i="17"/>
  <c r="T1398" i="17"/>
  <c r="T1399" i="17"/>
  <c r="T1400" i="17"/>
  <c r="T1401" i="17"/>
  <c r="T1402" i="17"/>
  <c r="T1403" i="17"/>
  <c r="T1404" i="17"/>
  <c r="T1405" i="17"/>
  <c r="U1391" i="17"/>
  <c r="U1392" i="17"/>
  <c r="U1393" i="17"/>
  <c r="U1394" i="17"/>
  <c r="U1395" i="17"/>
  <c r="U1396" i="17"/>
  <c r="U1397" i="17"/>
  <c r="U1398" i="17"/>
  <c r="U1399" i="17"/>
  <c r="U1400" i="17"/>
  <c r="U1401" i="17"/>
  <c r="U1402" i="17"/>
  <c r="U1403" i="17"/>
  <c r="U1404" i="17"/>
  <c r="U1405" i="17"/>
  <c r="V1391" i="17"/>
  <c r="V1392" i="17"/>
  <c r="V1393" i="17"/>
  <c r="V1394" i="17"/>
  <c r="V1395" i="17"/>
  <c r="V1396" i="17"/>
  <c r="V1397" i="17"/>
  <c r="V1398" i="17"/>
  <c r="V1399" i="17"/>
  <c r="V1400" i="17"/>
  <c r="V1401" i="17"/>
  <c r="V1402" i="17"/>
  <c r="V1403" i="17"/>
  <c r="V1404" i="17"/>
  <c r="V1405" i="17"/>
  <c r="W1391" i="17"/>
  <c r="W1392" i="17"/>
  <c r="W1393" i="17"/>
  <c r="W1394" i="17"/>
  <c r="W1395" i="17"/>
  <c r="W1396" i="17"/>
  <c r="W1397" i="17"/>
  <c r="W1398" i="17"/>
  <c r="W1399" i="17"/>
  <c r="W1400" i="17"/>
  <c r="W1401" i="17"/>
  <c r="W1402" i="17"/>
  <c r="W1403" i="17"/>
  <c r="W1404" i="17"/>
  <c r="W1405" i="17"/>
  <c r="H1295" i="17"/>
  <c r="H1296" i="17"/>
  <c r="H1297" i="17"/>
  <c r="H1298" i="17"/>
  <c r="H1299" i="17"/>
  <c r="H1300" i="17"/>
  <c r="H1301" i="17"/>
  <c r="H1302" i="17"/>
  <c r="H1303" i="17"/>
  <c r="H1304" i="17"/>
  <c r="I1295" i="17"/>
  <c r="I1296" i="17"/>
  <c r="I1297" i="17"/>
  <c r="I1298" i="17"/>
  <c r="I1299" i="17"/>
  <c r="I1300" i="17"/>
  <c r="I1301" i="17"/>
  <c r="I1302" i="17"/>
  <c r="I1303" i="17"/>
  <c r="I1304" i="17"/>
  <c r="J1295" i="17"/>
  <c r="J1296" i="17"/>
  <c r="J1297" i="17"/>
  <c r="J1298" i="17"/>
  <c r="J1299" i="17"/>
  <c r="J1300" i="17"/>
  <c r="J1301" i="17"/>
  <c r="J1302" i="17"/>
  <c r="J1303" i="17"/>
  <c r="J1304" i="17"/>
  <c r="K1295" i="17"/>
  <c r="K1296" i="17"/>
  <c r="K1297" i="17"/>
  <c r="K1298" i="17"/>
  <c r="K1299" i="17"/>
  <c r="K1300" i="17"/>
  <c r="K1301" i="17"/>
  <c r="K1302" i="17"/>
  <c r="K1303" i="17"/>
  <c r="K1304" i="17"/>
  <c r="N1295" i="17"/>
  <c r="N1296" i="17"/>
  <c r="N1297" i="17"/>
  <c r="N1298" i="17"/>
  <c r="N1299" i="17"/>
  <c r="N1300" i="17"/>
  <c r="N1301" i="17"/>
  <c r="N1302" i="17"/>
  <c r="N1303" i="17"/>
  <c r="N1304" i="17"/>
  <c r="O1295" i="17"/>
  <c r="O1296" i="17"/>
  <c r="O1297" i="17"/>
  <c r="O1298" i="17"/>
  <c r="O1299" i="17"/>
  <c r="O1300" i="17"/>
  <c r="O1301" i="17"/>
  <c r="O1302" i="17"/>
  <c r="O1303" i="17"/>
  <c r="O1304" i="17"/>
  <c r="Q1295" i="17"/>
  <c r="Q1296" i="17"/>
  <c r="Q1297" i="17"/>
  <c r="Q1298" i="17"/>
  <c r="Q1299" i="17"/>
  <c r="Q1300" i="17"/>
  <c r="Q1301" i="17"/>
  <c r="Q1302" i="17"/>
  <c r="Q1303" i="17"/>
  <c r="Q1304" i="17"/>
  <c r="S1295" i="17"/>
  <c r="S1296" i="17"/>
  <c r="S1297" i="17"/>
  <c r="S1298" i="17"/>
  <c r="S1299" i="17"/>
  <c r="S1300" i="17"/>
  <c r="S1301" i="17"/>
  <c r="S1302" i="17"/>
  <c r="S1303" i="17"/>
  <c r="S1304" i="17"/>
  <c r="T1295" i="17"/>
  <c r="T1296" i="17"/>
  <c r="T1297" i="17"/>
  <c r="T1298" i="17"/>
  <c r="T1299" i="17"/>
  <c r="T1300" i="17"/>
  <c r="T1301" i="17"/>
  <c r="T1302" i="17"/>
  <c r="T1303" i="17"/>
  <c r="T1304" i="17"/>
  <c r="U1295" i="17"/>
  <c r="U1296" i="17"/>
  <c r="U1297" i="17"/>
  <c r="U1298" i="17"/>
  <c r="U1299" i="17"/>
  <c r="U1300" i="17"/>
  <c r="U1301" i="17"/>
  <c r="U1302" i="17"/>
  <c r="U1303" i="17"/>
  <c r="U1304" i="17"/>
  <c r="V1295" i="17"/>
  <c r="V1296" i="17"/>
  <c r="V1297" i="17"/>
  <c r="V1298" i="17"/>
  <c r="V1299" i="17"/>
  <c r="V1300" i="17"/>
  <c r="V1301" i="17"/>
  <c r="V1302" i="17"/>
  <c r="V1303" i="17"/>
  <c r="V1304" i="17"/>
  <c r="W1295" i="17"/>
  <c r="W1296" i="17"/>
  <c r="W1297" i="17"/>
  <c r="W1298" i="17"/>
  <c r="W1299" i="17"/>
  <c r="W1300" i="17"/>
  <c r="W1301" i="17"/>
  <c r="W1302" i="17"/>
  <c r="W1303" i="17"/>
  <c r="W1304" i="17"/>
  <c r="H1281" i="17"/>
  <c r="H1282" i="17"/>
  <c r="H1283" i="17"/>
  <c r="H1284" i="17"/>
  <c r="H1285" i="17"/>
  <c r="H1286" i="17"/>
  <c r="H1287" i="17"/>
  <c r="H1288" i="17"/>
  <c r="H1289" i="17"/>
  <c r="H1290" i="17"/>
  <c r="H1291" i="17"/>
  <c r="H1292" i="17"/>
  <c r="H1293" i="17"/>
  <c r="H1294" i="17"/>
  <c r="H1305" i="17"/>
  <c r="I1281" i="17"/>
  <c r="I1282" i="17"/>
  <c r="I1283" i="17"/>
  <c r="I1284" i="17"/>
  <c r="I1285" i="17"/>
  <c r="I1286" i="17"/>
  <c r="I1287" i="17"/>
  <c r="I1288" i="17"/>
  <c r="I1289" i="17"/>
  <c r="I1290" i="17"/>
  <c r="I1291" i="17"/>
  <c r="I1292" i="17"/>
  <c r="I1293" i="17"/>
  <c r="I1294" i="17"/>
  <c r="I1305" i="17"/>
  <c r="J1281" i="17"/>
  <c r="J1282" i="17"/>
  <c r="J1283" i="17"/>
  <c r="J1284" i="17"/>
  <c r="J1285" i="17"/>
  <c r="J1286" i="17"/>
  <c r="J1287" i="17"/>
  <c r="J1288" i="17"/>
  <c r="J1289" i="17"/>
  <c r="J1290" i="17"/>
  <c r="J1291" i="17"/>
  <c r="J1292" i="17"/>
  <c r="J1293" i="17"/>
  <c r="J1294" i="17"/>
  <c r="J1305" i="17"/>
  <c r="K1281" i="17"/>
  <c r="K1282" i="17"/>
  <c r="K1283" i="17"/>
  <c r="K1284" i="17"/>
  <c r="K1285" i="17"/>
  <c r="K1286" i="17"/>
  <c r="K1287" i="17"/>
  <c r="K1288" i="17"/>
  <c r="K1289" i="17"/>
  <c r="K1290" i="17"/>
  <c r="K1291" i="17"/>
  <c r="K1292" i="17"/>
  <c r="K1293" i="17"/>
  <c r="K1294" i="17"/>
  <c r="K1305" i="17"/>
  <c r="N1281" i="17"/>
  <c r="N1282" i="17"/>
  <c r="N1283" i="17"/>
  <c r="N1284" i="17"/>
  <c r="N1285" i="17"/>
  <c r="N1286" i="17"/>
  <c r="N1287" i="17"/>
  <c r="N1288" i="17"/>
  <c r="N1289" i="17"/>
  <c r="N1290" i="17"/>
  <c r="N1291" i="17"/>
  <c r="N1292" i="17"/>
  <c r="N1293" i="17"/>
  <c r="N1294" i="17"/>
  <c r="N1305" i="17"/>
  <c r="O1281" i="17"/>
  <c r="O1282" i="17"/>
  <c r="O1283" i="17"/>
  <c r="O1284" i="17"/>
  <c r="O1285" i="17"/>
  <c r="O1286" i="17"/>
  <c r="O1287" i="17"/>
  <c r="O1288" i="17"/>
  <c r="O1289" i="17"/>
  <c r="O1290" i="17"/>
  <c r="O1291" i="17"/>
  <c r="O1292" i="17"/>
  <c r="O1293" i="17"/>
  <c r="O1294" i="17"/>
  <c r="O1305" i="17"/>
  <c r="Q1281" i="17"/>
  <c r="Q1282" i="17"/>
  <c r="Q1283" i="17"/>
  <c r="Q1284" i="17"/>
  <c r="Q1285" i="17"/>
  <c r="Q1286" i="17"/>
  <c r="Q1287" i="17"/>
  <c r="Q1288" i="17"/>
  <c r="Q1289" i="17"/>
  <c r="Q1290" i="17"/>
  <c r="Q1291" i="17"/>
  <c r="Q1292" i="17"/>
  <c r="Q1293" i="17"/>
  <c r="Q1294" i="17"/>
  <c r="Q1305" i="17"/>
  <c r="S1281" i="17"/>
  <c r="S1282" i="17"/>
  <c r="S1283" i="17"/>
  <c r="S1284" i="17"/>
  <c r="S1285" i="17"/>
  <c r="S1286" i="17"/>
  <c r="S1287" i="17"/>
  <c r="S1288" i="17"/>
  <c r="S1289" i="17"/>
  <c r="S1290" i="17"/>
  <c r="S1291" i="17"/>
  <c r="S1292" i="17"/>
  <c r="S1293" i="17"/>
  <c r="S1294" i="17"/>
  <c r="S1305" i="17"/>
  <c r="T1281" i="17"/>
  <c r="T1282" i="17"/>
  <c r="T1283" i="17"/>
  <c r="T1284" i="17"/>
  <c r="T1285" i="17"/>
  <c r="T1286" i="17"/>
  <c r="T1287" i="17"/>
  <c r="T1288" i="17"/>
  <c r="T1289" i="17"/>
  <c r="T1290" i="17"/>
  <c r="T1291" i="17"/>
  <c r="T1292" i="17"/>
  <c r="T1293" i="17"/>
  <c r="T1294" i="17"/>
  <c r="T1305" i="17"/>
  <c r="U1281" i="17"/>
  <c r="U1282" i="17"/>
  <c r="U1283" i="17"/>
  <c r="U1284" i="17"/>
  <c r="U1285" i="17"/>
  <c r="U1286" i="17"/>
  <c r="U1287" i="17"/>
  <c r="U1288" i="17"/>
  <c r="U1289" i="17"/>
  <c r="U1290" i="17"/>
  <c r="U1291" i="17"/>
  <c r="U1292" i="17"/>
  <c r="U1293" i="17"/>
  <c r="U1294" i="17"/>
  <c r="U1305" i="17"/>
  <c r="V1281" i="17"/>
  <c r="V1282" i="17"/>
  <c r="V1283" i="17"/>
  <c r="V1284" i="17"/>
  <c r="V1285" i="17"/>
  <c r="V1286" i="17"/>
  <c r="V1287" i="17"/>
  <c r="V1288" i="17"/>
  <c r="V1289" i="17"/>
  <c r="V1290" i="17"/>
  <c r="V1291" i="17"/>
  <c r="V1292" i="17"/>
  <c r="V1293" i="17"/>
  <c r="V1294" i="17"/>
  <c r="V1305" i="17"/>
  <c r="W1281" i="17"/>
  <c r="W1282" i="17"/>
  <c r="W1283" i="17"/>
  <c r="W1284" i="17"/>
  <c r="W1285" i="17"/>
  <c r="W1286" i="17"/>
  <c r="W1287" i="17"/>
  <c r="W1288" i="17"/>
  <c r="W1289" i="17"/>
  <c r="W1290" i="17"/>
  <c r="W1291" i="17"/>
  <c r="W1292" i="17"/>
  <c r="W1293" i="17"/>
  <c r="W1294" i="17"/>
  <c r="W1305" i="17"/>
  <c r="H1268" i="17"/>
  <c r="H1269" i="17"/>
  <c r="H1270" i="17"/>
  <c r="H1271" i="17"/>
  <c r="H1272" i="17"/>
  <c r="H1273" i="17"/>
  <c r="H1274" i="17"/>
  <c r="H1275" i="17"/>
  <c r="H1276" i="17"/>
  <c r="H1277" i="17"/>
  <c r="H1278" i="17"/>
  <c r="H1279" i="17"/>
  <c r="H1280" i="17"/>
  <c r="I1268" i="17"/>
  <c r="I1269" i="17"/>
  <c r="I1270" i="17"/>
  <c r="I1271" i="17"/>
  <c r="I1272" i="17"/>
  <c r="I1273" i="17"/>
  <c r="I1274" i="17"/>
  <c r="I1275" i="17"/>
  <c r="I1276" i="17"/>
  <c r="I1277" i="17"/>
  <c r="I1278" i="17"/>
  <c r="I1279" i="17"/>
  <c r="I1280" i="17"/>
  <c r="J1268" i="17"/>
  <c r="J1269" i="17"/>
  <c r="J1270" i="17"/>
  <c r="J1271" i="17"/>
  <c r="J1272" i="17"/>
  <c r="J1273" i="17"/>
  <c r="J1274" i="17"/>
  <c r="J1275" i="17"/>
  <c r="J1276" i="17"/>
  <c r="J1277" i="17"/>
  <c r="J1278" i="17"/>
  <c r="J1279" i="17"/>
  <c r="J1280" i="17"/>
  <c r="K1268" i="17"/>
  <c r="K1269" i="17"/>
  <c r="K1270" i="17"/>
  <c r="K1271" i="17"/>
  <c r="K1272" i="17"/>
  <c r="K1273" i="17"/>
  <c r="K1274" i="17"/>
  <c r="K1275" i="17"/>
  <c r="K1276" i="17"/>
  <c r="K1277" i="17"/>
  <c r="K1278" i="17"/>
  <c r="K1279" i="17"/>
  <c r="K1280" i="17"/>
  <c r="N1268" i="17"/>
  <c r="N1269" i="17"/>
  <c r="N1270" i="17"/>
  <c r="N1271" i="17"/>
  <c r="N1272" i="17"/>
  <c r="N1273" i="17"/>
  <c r="N1274" i="17"/>
  <c r="N1275" i="17"/>
  <c r="N1276" i="17"/>
  <c r="N1277" i="17"/>
  <c r="N1278" i="17"/>
  <c r="N1279" i="17"/>
  <c r="N1280" i="17"/>
  <c r="O1268" i="17"/>
  <c r="O1269" i="17"/>
  <c r="O1270" i="17"/>
  <c r="O1271" i="17"/>
  <c r="O1272" i="17"/>
  <c r="O1273" i="17"/>
  <c r="O1274" i="17"/>
  <c r="O1275" i="17"/>
  <c r="O1276" i="17"/>
  <c r="O1277" i="17"/>
  <c r="O1278" i="17"/>
  <c r="O1279" i="17"/>
  <c r="O1280" i="17"/>
  <c r="Q1268" i="17"/>
  <c r="Q1269" i="17"/>
  <c r="Q1270" i="17"/>
  <c r="Q1271" i="17"/>
  <c r="Q1272" i="17"/>
  <c r="Q1273" i="17"/>
  <c r="Q1274" i="17"/>
  <c r="Q1275" i="17"/>
  <c r="Q1276" i="17"/>
  <c r="Q1277" i="17"/>
  <c r="Q1278" i="17"/>
  <c r="Q1279" i="17"/>
  <c r="Q1280" i="17"/>
  <c r="S1268" i="17"/>
  <c r="S1269" i="17"/>
  <c r="S1270" i="17"/>
  <c r="S1271" i="17"/>
  <c r="S1272" i="17"/>
  <c r="S1273" i="17"/>
  <c r="S1274" i="17"/>
  <c r="S1275" i="17"/>
  <c r="S1276" i="17"/>
  <c r="S1277" i="17"/>
  <c r="S1278" i="17"/>
  <c r="S1279" i="17"/>
  <c r="S1280" i="17"/>
  <c r="T1268" i="17"/>
  <c r="T1269" i="17"/>
  <c r="T1270" i="17"/>
  <c r="T1271" i="17"/>
  <c r="T1272" i="17"/>
  <c r="T1273" i="17"/>
  <c r="T1274" i="17"/>
  <c r="T1275" i="17"/>
  <c r="T1276" i="17"/>
  <c r="T1277" i="17"/>
  <c r="T1278" i="17"/>
  <c r="T1279" i="17"/>
  <c r="T1280" i="17"/>
  <c r="U1268" i="17"/>
  <c r="U1269" i="17"/>
  <c r="U1270" i="17"/>
  <c r="U1271" i="17"/>
  <c r="U1272" i="17"/>
  <c r="U1273" i="17"/>
  <c r="U1274" i="17"/>
  <c r="U1275" i="17"/>
  <c r="U1276" i="17"/>
  <c r="U1277" i="17"/>
  <c r="U1278" i="17"/>
  <c r="U1279" i="17"/>
  <c r="U1280" i="17"/>
  <c r="V1268" i="17"/>
  <c r="V1269" i="17"/>
  <c r="V1270" i="17"/>
  <c r="V1271" i="17"/>
  <c r="V1272" i="17"/>
  <c r="V1273" i="17"/>
  <c r="V1274" i="17"/>
  <c r="V1275" i="17"/>
  <c r="V1276" i="17"/>
  <c r="V1277" i="17"/>
  <c r="V1278" i="17"/>
  <c r="V1279" i="17"/>
  <c r="V1280" i="17"/>
  <c r="W1268" i="17"/>
  <c r="W1269" i="17"/>
  <c r="W1270" i="17"/>
  <c r="W1271" i="17"/>
  <c r="W1272" i="17"/>
  <c r="W1273" i="17"/>
  <c r="W1274" i="17"/>
  <c r="W1275" i="17"/>
  <c r="W1276" i="17"/>
  <c r="W1277" i="17"/>
  <c r="W1278" i="17"/>
  <c r="W1279" i="17"/>
  <c r="W1280" i="17"/>
  <c r="H1262" i="17"/>
  <c r="H1263" i="17"/>
  <c r="I1262" i="17"/>
  <c r="I1263" i="17"/>
  <c r="J1262" i="17"/>
  <c r="J1263" i="17"/>
  <c r="K1262" i="17"/>
  <c r="K1263" i="17"/>
  <c r="N1262" i="17"/>
  <c r="N1263" i="17"/>
  <c r="O1262" i="17"/>
  <c r="O1263" i="17"/>
  <c r="Q1262" i="17"/>
  <c r="Q1263" i="17"/>
  <c r="S1262" i="17"/>
  <c r="S1263" i="17"/>
  <c r="T1262" i="17"/>
  <c r="T1263" i="17"/>
  <c r="U1262" i="17"/>
  <c r="U1263" i="17"/>
  <c r="V1262" i="17"/>
  <c r="V1263" i="17"/>
  <c r="W1262" i="17"/>
  <c r="W1263" i="17"/>
  <c r="H1253" i="17"/>
  <c r="H1254" i="17"/>
  <c r="H1255" i="17"/>
  <c r="H1256" i="17"/>
  <c r="H1257" i="17"/>
  <c r="H1258" i="17"/>
  <c r="H1259" i="17"/>
  <c r="H1260" i="17"/>
  <c r="H1261" i="17"/>
  <c r="H1264" i="17"/>
  <c r="H1265" i="17"/>
  <c r="H1266" i="17"/>
  <c r="I1253" i="17"/>
  <c r="I1254" i="17"/>
  <c r="I1255" i="17"/>
  <c r="I1256" i="17"/>
  <c r="I1257" i="17"/>
  <c r="I1258" i="17"/>
  <c r="I1259" i="17"/>
  <c r="I1260" i="17"/>
  <c r="I1261" i="17"/>
  <c r="I1264" i="17"/>
  <c r="I1265" i="17"/>
  <c r="I1266" i="17"/>
  <c r="J1253" i="17"/>
  <c r="J1254" i="17"/>
  <c r="J1255" i="17"/>
  <c r="J1256" i="17"/>
  <c r="J1257" i="17"/>
  <c r="J1258" i="17"/>
  <c r="J1259" i="17"/>
  <c r="J1260" i="17"/>
  <c r="J1261" i="17"/>
  <c r="J1264" i="17"/>
  <c r="J1265" i="17"/>
  <c r="J1266" i="17"/>
  <c r="K1253" i="17"/>
  <c r="K1254" i="17"/>
  <c r="K1255" i="17"/>
  <c r="K1256" i="17"/>
  <c r="K1257" i="17"/>
  <c r="K1258" i="17"/>
  <c r="K1259" i="17"/>
  <c r="K1260" i="17"/>
  <c r="K1261" i="17"/>
  <c r="K1264" i="17"/>
  <c r="K1265" i="17"/>
  <c r="K1266" i="17"/>
  <c r="N1253" i="17"/>
  <c r="N1254" i="17"/>
  <c r="N1255" i="17"/>
  <c r="N1256" i="17"/>
  <c r="N1257" i="17"/>
  <c r="N1258" i="17"/>
  <c r="N1259" i="17"/>
  <c r="N1260" i="17"/>
  <c r="N1261" i="17"/>
  <c r="N1264" i="17"/>
  <c r="N1265" i="17"/>
  <c r="N1266" i="17"/>
  <c r="O1253" i="17"/>
  <c r="O1254" i="17"/>
  <c r="O1255" i="17"/>
  <c r="O1256" i="17"/>
  <c r="O1257" i="17"/>
  <c r="O1258" i="17"/>
  <c r="O1259" i="17"/>
  <c r="O1260" i="17"/>
  <c r="O1261" i="17"/>
  <c r="O1264" i="17"/>
  <c r="O1265" i="17"/>
  <c r="O1266" i="17"/>
  <c r="Q1253" i="17"/>
  <c r="Q1254" i="17"/>
  <c r="Q1255" i="17"/>
  <c r="Q1256" i="17"/>
  <c r="Q1257" i="17"/>
  <c r="Q1258" i="17"/>
  <c r="Q1259" i="17"/>
  <c r="Q1260" i="17"/>
  <c r="Q1261" i="17"/>
  <c r="Q1264" i="17"/>
  <c r="Q1265" i="17"/>
  <c r="Q1266" i="17"/>
  <c r="S1253" i="17"/>
  <c r="S1254" i="17"/>
  <c r="S1255" i="17"/>
  <c r="S1256" i="17"/>
  <c r="S1257" i="17"/>
  <c r="S1258" i="17"/>
  <c r="S1259" i="17"/>
  <c r="S1260" i="17"/>
  <c r="S1261" i="17"/>
  <c r="S1264" i="17"/>
  <c r="S1265" i="17"/>
  <c r="S1266" i="17"/>
  <c r="T1253" i="17"/>
  <c r="T1254" i="17"/>
  <c r="T1255" i="17"/>
  <c r="T1256" i="17"/>
  <c r="T1257" i="17"/>
  <c r="T1258" i="17"/>
  <c r="T1259" i="17"/>
  <c r="T1260" i="17"/>
  <c r="T1261" i="17"/>
  <c r="T1264" i="17"/>
  <c r="T1265" i="17"/>
  <c r="T1266" i="17"/>
  <c r="U1253" i="17"/>
  <c r="U1254" i="17"/>
  <c r="U1255" i="17"/>
  <c r="U1256" i="17"/>
  <c r="U1257" i="17"/>
  <c r="U1258" i="17"/>
  <c r="U1259" i="17"/>
  <c r="U1260" i="17"/>
  <c r="U1261" i="17"/>
  <c r="U1264" i="17"/>
  <c r="U1265" i="17"/>
  <c r="U1266" i="17"/>
  <c r="V1253" i="17"/>
  <c r="V1254" i="17"/>
  <c r="V1255" i="17"/>
  <c r="V1256" i="17"/>
  <c r="V1257" i="17"/>
  <c r="V1258" i="17"/>
  <c r="V1259" i="17"/>
  <c r="V1260" i="17"/>
  <c r="V1261" i="17"/>
  <c r="V1264" i="17"/>
  <c r="V1265" i="17"/>
  <c r="V1266" i="17"/>
  <c r="W1253" i="17"/>
  <c r="W1254" i="17"/>
  <c r="W1255" i="17"/>
  <c r="W1256" i="17"/>
  <c r="W1257" i="17"/>
  <c r="W1258" i="17"/>
  <c r="W1259" i="17"/>
  <c r="W1260" i="17"/>
  <c r="W1261" i="17"/>
  <c r="W1264" i="17"/>
  <c r="W1265" i="17"/>
  <c r="W1266" i="17"/>
  <c r="H1239" i="17"/>
  <c r="H1240" i="17"/>
  <c r="H1241" i="17"/>
  <c r="H1242" i="17"/>
  <c r="H1243" i="17"/>
  <c r="H1244" i="17"/>
  <c r="H1245" i="17"/>
  <c r="H1246" i="17"/>
  <c r="H1247" i="17"/>
  <c r="H1248" i="17"/>
  <c r="H1249" i="17"/>
  <c r="H1250" i="17"/>
  <c r="H1251" i="17"/>
  <c r="H1252" i="17"/>
  <c r="I1239" i="17"/>
  <c r="I1240" i="17"/>
  <c r="I1241" i="17"/>
  <c r="I1242" i="17"/>
  <c r="I1243" i="17"/>
  <c r="I1244" i="17"/>
  <c r="I1245" i="17"/>
  <c r="I1246" i="17"/>
  <c r="I1247" i="17"/>
  <c r="I1248" i="17"/>
  <c r="I1249" i="17"/>
  <c r="I1250" i="17"/>
  <c r="I1251" i="17"/>
  <c r="I1252" i="17"/>
  <c r="J1239" i="17"/>
  <c r="J1240" i="17"/>
  <c r="J1241" i="17"/>
  <c r="J1242" i="17"/>
  <c r="J1243" i="17"/>
  <c r="J1244" i="17"/>
  <c r="J1245" i="17"/>
  <c r="J1246" i="17"/>
  <c r="J1247" i="17"/>
  <c r="J1248" i="17"/>
  <c r="J1249" i="17"/>
  <c r="J1250" i="17"/>
  <c r="J1251" i="17"/>
  <c r="J1252" i="17"/>
  <c r="K1239" i="17"/>
  <c r="K1240" i="17"/>
  <c r="K1241" i="17"/>
  <c r="K1242" i="17"/>
  <c r="K1243" i="17"/>
  <c r="K1244" i="17"/>
  <c r="K1245" i="17"/>
  <c r="K1246" i="17"/>
  <c r="K1247" i="17"/>
  <c r="K1248" i="17"/>
  <c r="K1249" i="17"/>
  <c r="K1250" i="17"/>
  <c r="K1251" i="17"/>
  <c r="K1252" i="17"/>
  <c r="N1239" i="17"/>
  <c r="N1240" i="17"/>
  <c r="N1241" i="17"/>
  <c r="N1242" i="17"/>
  <c r="N1243" i="17"/>
  <c r="N1244" i="17"/>
  <c r="N1245" i="17"/>
  <c r="N1246" i="17"/>
  <c r="N1247" i="17"/>
  <c r="N1248" i="17"/>
  <c r="N1249" i="17"/>
  <c r="N1250" i="17"/>
  <c r="N1251" i="17"/>
  <c r="N1252" i="17"/>
  <c r="O1239" i="17"/>
  <c r="O1240" i="17"/>
  <c r="O1241" i="17"/>
  <c r="O1242" i="17"/>
  <c r="O1243" i="17"/>
  <c r="O1244" i="17"/>
  <c r="O1245" i="17"/>
  <c r="O1246" i="17"/>
  <c r="O1247" i="17"/>
  <c r="O1248" i="17"/>
  <c r="O1249" i="17"/>
  <c r="O1250" i="17"/>
  <c r="O1251" i="17"/>
  <c r="O1252" i="17"/>
  <c r="Q1239" i="17"/>
  <c r="Q1240" i="17"/>
  <c r="Q1241" i="17"/>
  <c r="Q1242" i="17"/>
  <c r="Q1243" i="17"/>
  <c r="Q1244" i="17"/>
  <c r="Q1245" i="17"/>
  <c r="Q1246" i="17"/>
  <c r="Q1247" i="17"/>
  <c r="Q1248" i="17"/>
  <c r="Q1249" i="17"/>
  <c r="Q1250" i="17"/>
  <c r="Q1251" i="17"/>
  <c r="Q1252" i="17"/>
  <c r="S1239" i="17"/>
  <c r="S1240" i="17"/>
  <c r="S1241" i="17"/>
  <c r="S1242" i="17"/>
  <c r="S1243" i="17"/>
  <c r="S1244" i="17"/>
  <c r="S1245" i="17"/>
  <c r="S1246" i="17"/>
  <c r="S1247" i="17"/>
  <c r="S1248" i="17"/>
  <c r="S1249" i="17"/>
  <c r="S1250" i="17"/>
  <c r="S1251" i="17"/>
  <c r="S1252" i="17"/>
  <c r="T1239" i="17"/>
  <c r="T1240" i="17"/>
  <c r="T1241" i="17"/>
  <c r="T1242" i="17"/>
  <c r="T1243" i="17"/>
  <c r="T1244" i="17"/>
  <c r="T1245" i="17"/>
  <c r="T1246" i="17"/>
  <c r="T1247" i="17"/>
  <c r="T1248" i="17"/>
  <c r="T1249" i="17"/>
  <c r="T1250" i="17"/>
  <c r="T1251" i="17"/>
  <c r="T1252" i="17"/>
  <c r="U1239" i="17"/>
  <c r="U1240" i="17"/>
  <c r="U1241" i="17"/>
  <c r="U1242" i="17"/>
  <c r="U1243" i="17"/>
  <c r="U1244" i="17"/>
  <c r="U1245" i="17"/>
  <c r="U1246" i="17"/>
  <c r="U1247" i="17"/>
  <c r="U1248" i="17"/>
  <c r="U1249" i="17"/>
  <c r="U1250" i="17"/>
  <c r="U1251" i="17"/>
  <c r="U1252" i="17"/>
  <c r="V1239" i="17"/>
  <c r="V1240" i="17"/>
  <c r="V1241" i="17"/>
  <c r="V1242" i="17"/>
  <c r="V1243" i="17"/>
  <c r="V1244" i="17"/>
  <c r="V1245" i="17"/>
  <c r="V1246" i="17"/>
  <c r="V1247" i="17"/>
  <c r="V1248" i="17"/>
  <c r="V1249" i="17"/>
  <c r="V1250" i="17"/>
  <c r="V1251" i="17"/>
  <c r="V1252" i="17"/>
  <c r="W1239" i="17"/>
  <c r="W1240" i="17"/>
  <c r="W1241" i="17"/>
  <c r="W1242" i="17"/>
  <c r="W1243" i="17"/>
  <c r="W1244" i="17"/>
  <c r="W1245" i="17"/>
  <c r="W1246" i="17"/>
  <c r="W1247" i="17"/>
  <c r="W1248" i="17"/>
  <c r="W1249" i="17"/>
  <c r="W1250" i="17"/>
  <c r="W1251" i="17"/>
  <c r="W1252" i="17"/>
  <c r="H1198" i="17"/>
  <c r="H1208" i="17"/>
  <c r="H1215" i="17"/>
  <c r="H1216" i="17"/>
  <c r="H1217" i="17"/>
  <c r="H1219" i="17"/>
  <c r="I1198" i="17"/>
  <c r="I1208" i="17"/>
  <c r="I1215" i="17"/>
  <c r="I1216" i="17"/>
  <c r="I1217" i="17"/>
  <c r="I1219" i="17"/>
  <c r="J1198" i="17"/>
  <c r="J1208" i="17"/>
  <c r="J1215" i="17"/>
  <c r="J1216" i="17"/>
  <c r="J1217" i="17"/>
  <c r="J1219" i="17"/>
  <c r="K1198" i="17"/>
  <c r="K1208" i="17"/>
  <c r="K1215" i="17"/>
  <c r="K1216" i="17"/>
  <c r="K1217" i="17"/>
  <c r="K1219" i="17"/>
  <c r="N1198" i="17"/>
  <c r="N1208" i="17"/>
  <c r="N1215" i="17"/>
  <c r="N1216" i="17"/>
  <c r="N1217" i="17"/>
  <c r="N1219" i="17"/>
  <c r="O1198" i="17"/>
  <c r="O1208" i="17"/>
  <c r="O1215" i="17"/>
  <c r="O1216" i="17"/>
  <c r="O1217" i="17"/>
  <c r="O1219" i="17"/>
  <c r="Q1198" i="17"/>
  <c r="Q1208" i="17"/>
  <c r="Q1215" i="17"/>
  <c r="Q1216" i="17"/>
  <c r="Q1217" i="17"/>
  <c r="Q1219" i="17"/>
  <c r="S1198" i="17"/>
  <c r="S1208" i="17"/>
  <c r="S1215" i="17"/>
  <c r="S1216" i="17"/>
  <c r="S1217" i="17"/>
  <c r="S1219" i="17"/>
  <c r="T1198" i="17"/>
  <c r="T1208" i="17"/>
  <c r="T1215" i="17"/>
  <c r="T1216" i="17"/>
  <c r="T1217" i="17"/>
  <c r="T1219" i="17"/>
  <c r="U1198" i="17"/>
  <c r="U1208" i="17"/>
  <c r="U1215" i="17"/>
  <c r="U1216" i="17"/>
  <c r="U1217" i="17"/>
  <c r="U1219" i="17"/>
  <c r="V1198" i="17"/>
  <c r="V1208" i="17"/>
  <c r="V1215" i="17"/>
  <c r="V1216" i="17"/>
  <c r="V1217" i="17"/>
  <c r="V1219" i="17"/>
  <c r="W1198" i="17"/>
  <c r="W1208" i="17"/>
  <c r="W1215" i="17"/>
  <c r="W1216" i="17"/>
  <c r="W1217" i="17"/>
  <c r="W1219" i="17"/>
  <c r="H1187" i="17"/>
  <c r="H1188" i="17"/>
  <c r="H1191" i="17"/>
  <c r="H1192" i="17"/>
  <c r="H1193" i="17"/>
  <c r="H1194" i="17"/>
  <c r="H1195" i="17"/>
  <c r="H1196" i="17"/>
  <c r="H1197" i="17"/>
  <c r="I1187" i="17"/>
  <c r="I1188" i="17"/>
  <c r="I1191" i="17"/>
  <c r="I1192" i="17"/>
  <c r="I1193" i="17"/>
  <c r="I1194" i="17"/>
  <c r="I1195" i="17"/>
  <c r="I1196" i="17"/>
  <c r="I1197" i="17"/>
  <c r="J1187" i="17"/>
  <c r="J1188" i="17"/>
  <c r="J1191" i="17"/>
  <c r="J1192" i="17"/>
  <c r="J1193" i="17"/>
  <c r="J1194" i="17"/>
  <c r="J1195" i="17"/>
  <c r="J1196" i="17"/>
  <c r="J1197" i="17"/>
  <c r="K1187" i="17"/>
  <c r="K1188" i="17"/>
  <c r="K1191" i="17"/>
  <c r="K1192" i="17"/>
  <c r="K1193" i="17"/>
  <c r="K1194" i="17"/>
  <c r="K1195" i="17"/>
  <c r="K1196" i="17"/>
  <c r="K1197" i="17"/>
  <c r="N1187" i="17"/>
  <c r="N1188" i="17"/>
  <c r="N1191" i="17"/>
  <c r="N1192" i="17"/>
  <c r="N1193" i="17"/>
  <c r="N1194" i="17"/>
  <c r="N1195" i="17"/>
  <c r="N1196" i="17"/>
  <c r="N1197" i="17"/>
  <c r="O1187" i="17"/>
  <c r="O1188" i="17"/>
  <c r="O1191" i="17"/>
  <c r="O1192" i="17"/>
  <c r="O1193" i="17"/>
  <c r="O1194" i="17"/>
  <c r="O1195" i="17"/>
  <c r="O1196" i="17"/>
  <c r="O1197" i="17"/>
  <c r="Q1187" i="17"/>
  <c r="Q1188" i="17"/>
  <c r="Q1191" i="17"/>
  <c r="Q1192" i="17"/>
  <c r="Q1193" i="17"/>
  <c r="Q1194" i="17"/>
  <c r="Q1195" i="17"/>
  <c r="Q1196" i="17"/>
  <c r="Q1197" i="17"/>
  <c r="S1187" i="17"/>
  <c r="S1188" i="17"/>
  <c r="S1191" i="17"/>
  <c r="S1192" i="17"/>
  <c r="S1193" i="17"/>
  <c r="S1194" i="17"/>
  <c r="S1195" i="17"/>
  <c r="S1196" i="17"/>
  <c r="S1197" i="17"/>
  <c r="T1187" i="17"/>
  <c r="T1188" i="17"/>
  <c r="T1191" i="17"/>
  <c r="T1192" i="17"/>
  <c r="T1193" i="17"/>
  <c r="T1194" i="17"/>
  <c r="T1195" i="17"/>
  <c r="T1196" i="17"/>
  <c r="T1197" i="17"/>
  <c r="U1187" i="17"/>
  <c r="U1188" i="17"/>
  <c r="U1191" i="17"/>
  <c r="U1192" i="17"/>
  <c r="U1193" i="17"/>
  <c r="U1194" i="17"/>
  <c r="U1195" i="17"/>
  <c r="U1196" i="17"/>
  <c r="U1197" i="17"/>
  <c r="V1187" i="17"/>
  <c r="V1188" i="17"/>
  <c r="V1191" i="17"/>
  <c r="V1192" i="17"/>
  <c r="V1193" i="17"/>
  <c r="V1194" i="17"/>
  <c r="V1195" i="17"/>
  <c r="V1196" i="17"/>
  <c r="V1197" i="17"/>
  <c r="W1187" i="17"/>
  <c r="W1188" i="17"/>
  <c r="W1191" i="17"/>
  <c r="W1192" i="17"/>
  <c r="W1193" i="17"/>
  <c r="W1194" i="17"/>
  <c r="W1195" i="17"/>
  <c r="W1196" i="17"/>
  <c r="W1197" i="17"/>
  <c r="H1161" i="17"/>
  <c r="H1162" i="17"/>
  <c r="H1163" i="17"/>
  <c r="H1164" i="17"/>
  <c r="H1165" i="17"/>
  <c r="H1166" i="17"/>
  <c r="I1161" i="17"/>
  <c r="I1162" i="17"/>
  <c r="I1163" i="17"/>
  <c r="I1164" i="17"/>
  <c r="I1165" i="17"/>
  <c r="I1166" i="17"/>
  <c r="J1161" i="17"/>
  <c r="J1162" i="17"/>
  <c r="J1163" i="17"/>
  <c r="J1164" i="17"/>
  <c r="J1165" i="17"/>
  <c r="J1166" i="17"/>
  <c r="K1161" i="17"/>
  <c r="K1162" i="17"/>
  <c r="K1163" i="17"/>
  <c r="K1164" i="17"/>
  <c r="K1165" i="17"/>
  <c r="K1166" i="17"/>
  <c r="N1161" i="17"/>
  <c r="N1162" i="17"/>
  <c r="N1163" i="17"/>
  <c r="N1164" i="17"/>
  <c r="N1165" i="17"/>
  <c r="N1166" i="17"/>
  <c r="O1161" i="17"/>
  <c r="O1162" i="17"/>
  <c r="O1163" i="17"/>
  <c r="O1164" i="17"/>
  <c r="O1165" i="17"/>
  <c r="O1166" i="17"/>
  <c r="Q1161" i="17"/>
  <c r="Q1162" i="17"/>
  <c r="Q1163" i="17"/>
  <c r="Q1164" i="17"/>
  <c r="Q1165" i="17"/>
  <c r="Q1166" i="17"/>
  <c r="S1161" i="17"/>
  <c r="S1162" i="17"/>
  <c r="S1163" i="17"/>
  <c r="S1164" i="17"/>
  <c r="S1165" i="17"/>
  <c r="S1166" i="17"/>
  <c r="T1161" i="17"/>
  <c r="T1162" i="17"/>
  <c r="T1163" i="17"/>
  <c r="T1164" i="17"/>
  <c r="T1165" i="17"/>
  <c r="T1166" i="17"/>
  <c r="U1161" i="17"/>
  <c r="U1162" i="17"/>
  <c r="U1163" i="17"/>
  <c r="U1164" i="17"/>
  <c r="U1165" i="17"/>
  <c r="U1166" i="17"/>
  <c r="V1161" i="17"/>
  <c r="V1162" i="17"/>
  <c r="V1163" i="17"/>
  <c r="V1164" i="17"/>
  <c r="V1165" i="17"/>
  <c r="V1166" i="17"/>
  <c r="W1161" i="17"/>
  <c r="W1162" i="17"/>
  <c r="W1163" i="17"/>
  <c r="W1164" i="17"/>
  <c r="W1165" i="17"/>
  <c r="W1166" i="17"/>
  <c r="H1145" i="17"/>
  <c r="H1146" i="17"/>
  <c r="H1147" i="17"/>
  <c r="H1148" i="17"/>
  <c r="H1149" i="17"/>
  <c r="H1150" i="17"/>
  <c r="H1151" i="17"/>
  <c r="H1152" i="17"/>
  <c r="H1153" i="17"/>
  <c r="H1154" i="17"/>
  <c r="H1155" i="17"/>
  <c r="H1156" i="17"/>
  <c r="H1157" i="17"/>
  <c r="H1158" i="17"/>
  <c r="H1159" i="17"/>
  <c r="H1160" i="17"/>
  <c r="I1145" i="17"/>
  <c r="I1146" i="17"/>
  <c r="I1147" i="17"/>
  <c r="I1148" i="17"/>
  <c r="I1149" i="17"/>
  <c r="I1150" i="17"/>
  <c r="I1151" i="17"/>
  <c r="I1152" i="17"/>
  <c r="I1153" i="17"/>
  <c r="I1154" i="17"/>
  <c r="I1155" i="17"/>
  <c r="I1156" i="17"/>
  <c r="I1157" i="17"/>
  <c r="I1158" i="17"/>
  <c r="I1159" i="17"/>
  <c r="I1160" i="17"/>
  <c r="J1145" i="17"/>
  <c r="J1146" i="17"/>
  <c r="J1147" i="17"/>
  <c r="J1148" i="17"/>
  <c r="J1149" i="17"/>
  <c r="J1150" i="17"/>
  <c r="J1151" i="17"/>
  <c r="J1152" i="17"/>
  <c r="J1153" i="17"/>
  <c r="J1154" i="17"/>
  <c r="J1155" i="17"/>
  <c r="J1156" i="17"/>
  <c r="J1157" i="17"/>
  <c r="J1158" i="17"/>
  <c r="J1159" i="17"/>
  <c r="J1160" i="17"/>
  <c r="K1145" i="17"/>
  <c r="K1146" i="17"/>
  <c r="K1147" i="17"/>
  <c r="K1148" i="17"/>
  <c r="K1149" i="17"/>
  <c r="K1150" i="17"/>
  <c r="K1151" i="17"/>
  <c r="K1152" i="17"/>
  <c r="K1153" i="17"/>
  <c r="K1154" i="17"/>
  <c r="K1155" i="17"/>
  <c r="K1156" i="17"/>
  <c r="K1157" i="17"/>
  <c r="K1158" i="17"/>
  <c r="K1159" i="17"/>
  <c r="K1160" i="17"/>
  <c r="N1145" i="17"/>
  <c r="N1146" i="17"/>
  <c r="N1147" i="17"/>
  <c r="N1148" i="17"/>
  <c r="N1149" i="17"/>
  <c r="N1150" i="17"/>
  <c r="N1151" i="17"/>
  <c r="N1152" i="17"/>
  <c r="N1153" i="17"/>
  <c r="N1154" i="17"/>
  <c r="N1155" i="17"/>
  <c r="N1156" i="17"/>
  <c r="N1157" i="17"/>
  <c r="N1158" i="17"/>
  <c r="N1159" i="17"/>
  <c r="N1160" i="17"/>
  <c r="O1145" i="17"/>
  <c r="O1146" i="17"/>
  <c r="O1147" i="17"/>
  <c r="O1148" i="17"/>
  <c r="O1149" i="17"/>
  <c r="O1150" i="17"/>
  <c r="O1151" i="17"/>
  <c r="O1152" i="17"/>
  <c r="O1153" i="17"/>
  <c r="O1154" i="17"/>
  <c r="O1155" i="17"/>
  <c r="O1156" i="17"/>
  <c r="O1157" i="17"/>
  <c r="O1158" i="17"/>
  <c r="O1159" i="17"/>
  <c r="O1160" i="17"/>
  <c r="Q1145" i="17"/>
  <c r="Q1146" i="17"/>
  <c r="Q1147" i="17"/>
  <c r="Q1148" i="17"/>
  <c r="Q1149" i="17"/>
  <c r="Q1150" i="17"/>
  <c r="Q1151" i="17"/>
  <c r="Q1152" i="17"/>
  <c r="Q1153" i="17"/>
  <c r="Q1154" i="17"/>
  <c r="Q1155" i="17"/>
  <c r="Q1156" i="17"/>
  <c r="Q1157" i="17"/>
  <c r="Q1158" i="17"/>
  <c r="Q1159" i="17"/>
  <c r="Q1160" i="17"/>
  <c r="S1145" i="17"/>
  <c r="S1146" i="17"/>
  <c r="S1147" i="17"/>
  <c r="S1148" i="17"/>
  <c r="S1149" i="17"/>
  <c r="S1150" i="17"/>
  <c r="S1151" i="17"/>
  <c r="S1152" i="17"/>
  <c r="S1153" i="17"/>
  <c r="S1154" i="17"/>
  <c r="S1155" i="17"/>
  <c r="S1156" i="17"/>
  <c r="S1157" i="17"/>
  <c r="S1158" i="17"/>
  <c r="S1159" i="17"/>
  <c r="S1160" i="17"/>
  <c r="T1145" i="17"/>
  <c r="T1146" i="17"/>
  <c r="T1147" i="17"/>
  <c r="T1148" i="17"/>
  <c r="T1149" i="17"/>
  <c r="T1150" i="17"/>
  <c r="T1151" i="17"/>
  <c r="T1152" i="17"/>
  <c r="T1153" i="17"/>
  <c r="T1154" i="17"/>
  <c r="T1155" i="17"/>
  <c r="T1156" i="17"/>
  <c r="T1157" i="17"/>
  <c r="T1158" i="17"/>
  <c r="T1159" i="17"/>
  <c r="T1160" i="17"/>
  <c r="U1145" i="17"/>
  <c r="U1146" i="17"/>
  <c r="U1147" i="17"/>
  <c r="U1148" i="17"/>
  <c r="U1149" i="17"/>
  <c r="U1150" i="17"/>
  <c r="U1151" i="17"/>
  <c r="U1152" i="17"/>
  <c r="U1153" i="17"/>
  <c r="U1154" i="17"/>
  <c r="U1155" i="17"/>
  <c r="U1156" i="17"/>
  <c r="U1157" i="17"/>
  <c r="U1158" i="17"/>
  <c r="U1159" i="17"/>
  <c r="U1160" i="17"/>
  <c r="V1145" i="17"/>
  <c r="V1146" i="17"/>
  <c r="V1147" i="17"/>
  <c r="V1148" i="17"/>
  <c r="V1149" i="17"/>
  <c r="V1150" i="17"/>
  <c r="V1151" i="17"/>
  <c r="V1152" i="17"/>
  <c r="V1153" i="17"/>
  <c r="V1154" i="17"/>
  <c r="V1155" i="17"/>
  <c r="V1156" i="17"/>
  <c r="V1157" i="17"/>
  <c r="V1158" i="17"/>
  <c r="V1159" i="17"/>
  <c r="V1160" i="17"/>
  <c r="W1145" i="17"/>
  <c r="W1146" i="17"/>
  <c r="W1147" i="17"/>
  <c r="W1148" i="17"/>
  <c r="W1149" i="17"/>
  <c r="W1150" i="17"/>
  <c r="W1151" i="17"/>
  <c r="W1152" i="17"/>
  <c r="W1153" i="17"/>
  <c r="W1154" i="17"/>
  <c r="W1155" i="17"/>
  <c r="W1156" i="17"/>
  <c r="W1157" i="17"/>
  <c r="W1158" i="17"/>
  <c r="W1159" i="17"/>
  <c r="W1160" i="17"/>
  <c r="H867" i="17"/>
  <c r="H868" i="17"/>
  <c r="H869" i="17"/>
  <c r="H870" i="17"/>
  <c r="H871" i="17"/>
  <c r="H872" i="17"/>
  <c r="H873" i="17"/>
  <c r="H874" i="17"/>
  <c r="H875" i="17"/>
  <c r="H876" i="17"/>
  <c r="H877" i="17"/>
  <c r="I867" i="17"/>
  <c r="I868" i="17"/>
  <c r="I869" i="17"/>
  <c r="I870" i="17"/>
  <c r="I871" i="17"/>
  <c r="I872" i="17"/>
  <c r="I873" i="17"/>
  <c r="I874" i="17"/>
  <c r="I875" i="17"/>
  <c r="I876" i="17"/>
  <c r="I877" i="17"/>
  <c r="J867" i="17"/>
  <c r="J868" i="17"/>
  <c r="J869" i="17"/>
  <c r="J870" i="17"/>
  <c r="J871" i="17"/>
  <c r="J872" i="17"/>
  <c r="J873" i="17"/>
  <c r="J874" i="17"/>
  <c r="J875" i="17"/>
  <c r="J876" i="17"/>
  <c r="J877" i="17"/>
  <c r="K867" i="17"/>
  <c r="K868" i="17"/>
  <c r="K869" i="17"/>
  <c r="K870" i="17"/>
  <c r="K871" i="17"/>
  <c r="K872" i="17"/>
  <c r="K873" i="17"/>
  <c r="K874" i="17"/>
  <c r="K875" i="17"/>
  <c r="K876" i="17"/>
  <c r="K877" i="17"/>
  <c r="N867" i="17"/>
  <c r="N868" i="17"/>
  <c r="N869" i="17"/>
  <c r="N870" i="17"/>
  <c r="N871" i="17"/>
  <c r="N872" i="17"/>
  <c r="N873" i="17"/>
  <c r="N874" i="17"/>
  <c r="N875" i="17"/>
  <c r="N876" i="17"/>
  <c r="N877" i="17"/>
  <c r="O867" i="17"/>
  <c r="O868" i="17"/>
  <c r="O869" i="17"/>
  <c r="O870" i="17"/>
  <c r="O871" i="17"/>
  <c r="O872" i="17"/>
  <c r="O873" i="17"/>
  <c r="O874" i="17"/>
  <c r="O875" i="17"/>
  <c r="O876" i="17"/>
  <c r="O877" i="17"/>
  <c r="Q867" i="17"/>
  <c r="Q868" i="17"/>
  <c r="Q869" i="17"/>
  <c r="Q870" i="17"/>
  <c r="Q871" i="17"/>
  <c r="Q872" i="17"/>
  <c r="Q873" i="17"/>
  <c r="Q874" i="17"/>
  <c r="Q875" i="17"/>
  <c r="Q876" i="17"/>
  <c r="Q877" i="17"/>
  <c r="S867" i="17"/>
  <c r="S868" i="17"/>
  <c r="S869" i="17"/>
  <c r="S870" i="17"/>
  <c r="S871" i="17"/>
  <c r="S872" i="17"/>
  <c r="S873" i="17"/>
  <c r="S874" i="17"/>
  <c r="S875" i="17"/>
  <c r="S876" i="17"/>
  <c r="S877" i="17"/>
  <c r="T867" i="17"/>
  <c r="T868" i="17"/>
  <c r="T869" i="17"/>
  <c r="T870" i="17"/>
  <c r="T871" i="17"/>
  <c r="T872" i="17"/>
  <c r="T873" i="17"/>
  <c r="T874" i="17"/>
  <c r="T875" i="17"/>
  <c r="T876" i="17"/>
  <c r="T877" i="17"/>
  <c r="U867" i="17"/>
  <c r="U868" i="17"/>
  <c r="U869" i="17"/>
  <c r="U870" i="17"/>
  <c r="U871" i="17"/>
  <c r="U872" i="17"/>
  <c r="U873" i="17"/>
  <c r="U874" i="17"/>
  <c r="U875" i="17"/>
  <c r="U876" i="17"/>
  <c r="U877" i="17"/>
  <c r="V867" i="17"/>
  <c r="V868" i="17"/>
  <c r="V869" i="17"/>
  <c r="V870" i="17"/>
  <c r="V871" i="17"/>
  <c r="V872" i="17"/>
  <c r="V873" i="17"/>
  <c r="V874" i="17"/>
  <c r="V875" i="17"/>
  <c r="V876" i="17"/>
  <c r="V877" i="17"/>
  <c r="W867" i="17"/>
  <c r="W868" i="17"/>
  <c r="W869" i="17"/>
  <c r="W870" i="17"/>
  <c r="W871" i="17"/>
  <c r="W872" i="17"/>
  <c r="W873" i="17"/>
  <c r="W874" i="17"/>
  <c r="W875" i="17"/>
  <c r="W876" i="17"/>
  <c r="W877" i="17"/>
  <c r="H859" i="17"/>
  <c r="H860" i="17"/>
  <c r="H861" i="17"/>
  <c r="H862" i="17"/>
  <c r="H863" i="17"/>
  <c r="H864" i="17"/>
  <c r="H865" i="17"/>
  <c r="H866" i="17"/>
  <c r="I859" i="17"/>
  <c r="I860" i="17"/>
  <c r="I861" i="17"/>
  <c r="I862" i="17"/>
  <c r="I863" i="17"/>
  <c r="I864" i="17"/>
  <c r="I865" i="17"/>
  <c r="I866" i="17"/>
  <c r="J859" i="17"/>
  <c r="J860" i="17"/>
  <c r="J861" i="17"/>
  <c r="J862" i="17"/>
  <c r="J863" i="17"/>
  <c r="J864" i="17"/>
  <c r="J865" i="17"/>
  <c r="J866" i="17"/>
  <c r="K859" i="17"/>
  <c r="K860" i="17"/>
  <c r="K861" i="17"/>
  <c r="K862" i="17"/>
  <c r="K863" i="17"/>
  <c r="K864" i="17"/>
  <c r="K865" i="17"/>
  <c r="K866" i="17"/>
  <c r="N859" i="17"/>
  <c r="N860" i="17"/>
  <c r="N861" i="17"/>
  <c r="N862" i="17"/>
  <c r="N863" i="17"/>
  <c r="N864" i="17"/>
  <c r="N865" i="17"/>
  <c r="N866" i="17"/>
  <c r="O859" i="17"/>
  <c r="O860" i="17"/>
  <c r="O861" i="17"/>
  <c r="O862" i="17"/>
  <c r="O863" i="17"/>
  <c r="O864" i="17"/>
  <c r="O865" i="17"/>
  <c r="O866" i="17"/>
  <c r="Q859" i="17"/>
  <c r="Q860" i="17"/>
  <c r="Q861" i="17"/>
  <c r="Q862" i="17"/>
  <c r="Q863" i="17"/>
  <c r="Q864" i="17"/>
  <c r="Q865" i="17"/>
  <c r="Q866" i="17"/>
  <c r="S859" i="17"/>
  <c r="S860" i="17"/>
  <c r="S861" i="17"/>
  <c r="S862" i="17"/>
  <c r="S863" i="17"/>
  <c r="S864" i="17"/>
  <c r="S865" i="17"/>
  <c r="S866" i="17"/>
  <c r="T859" i="17"/>
  <c r="T860" i="17"/>
  <c r="T861" i="17"/>
  <c r="T862" i="17"/>
  <c r="T863" i="17"/>
  <c r="T864" i="17"/>
  <c r="T865" i="17"/>
  <c r="T866" i="17"/>
  <c r="U859" i="17"/>
  <c r="U860" i="17"/>
  <c r="U861" i="17"/>
  <c r="U862" i="17"/>
  <c r="U863" i="17"/>
  <c r="U864" i="17"/>
  <c r="U865" i="17"/>
  <c r="U866" i="17"/>
  <c r="V859" i="17"/>
  <c r="V860" i="17"/>
  <c r="V861" i="17"/>
  <c r="V862" i="17"/>
  <c r="V863" i="17"/>
  <c r="V864" i="17"/>
  <c r="V865" i="17"/>
  <c r="V866" i="17"/>
  <c r="W859" i="17"/>
  <c r="W860" i="17"/>
  <c r="W861" i="17"/>
  <c r="W862" i="17"/>
  <c r="W863" i="17"/>
  <c r="W864" i="17"/>
  <c r="W865" i="17"/>
  <c r="W866" i="17"/>
  <c r="H832" i="17"/>
  <c r="H833" i="17"/>
  <c r="H834" i="17"/>
  <c r="H835" i="17"/>
  <c r="H836" i="17"/>
  <c r="H837" i="17"/>
  <c r="H838" i="17"/>
  <c r="I832" i="17"/>
  <c r="I833" i="17"/>
  <c r="I834" i="17"/>
  <c r="I835" i="17"/>
  <c r="I836" i="17"/>
  <c r="I837" i="17"/>
  <c r="I838" i="17"/>
  <c r="J832" i="17"/>
  <c r="J833" i="17"/>
  <c r="J834" i="17"/>
  <c r="J835" i="17"/>
  <c r="J836" i="17"/>
  <c r="J837" i="17"/>
  <c r="J838" i="17"/>
  <c r="K832" i="17"/>
  <c r="K833" i="17"/>
  <c r="K834" i="17"/>
  <c r="K835" i="17"/>
  <c r="K836" i="17"/>
  <c r="K837" i="17"/>
  <c r="K838" i="17"/>
  <c r="N832" i="17"/>
  <c r="N833" i="17"/>
  <c r="N834" i="17"/>
  <c r="N835" i="17"/>
  <c r="N836" i="17"/>
  <c r="N837" i="17"/>
  <c r="N838" i="17"/>
  <c r="O832" i="17"/>
  <c r="O833" i="17"/>
  <c r="O834" i="17"/>
  <c r="O835" i="17"/>
  <c r="O836" i="17"/>
  <c r="O837" i="17"/>
  <c r="O838" i="17"/>
  <c r="Q832" i="17"/>
  <c r="Q833" i="17"/>
  <c r="Q834" i="17"/>
  <c r="Q835" i="17"/>
  <c r="Q836" i="17"/>
  <c r="Q837" i="17"/>
  <c r="Q838" i="17"/>
  <c r="S832" i="17"/>
  <c r="S833" i="17"/>
  <c r="S834" i="17"/>
  <c r="S835" i="17"/>
  <c r="S836" i="17"/>
  <c r="S837" i="17"/>
  <c r="S838" i="17"/>
  <c r="T832" i="17"/>
  <c r="T833" i="17"/>
  <c r="T834" i="17"/>
  <c r="T835" i="17"/>
  <c r="T836" i="17"/>
  <c r="T837" i="17"/>
  <c r="T838" i="17"/>
  <c r="U832" i="17"/>
  <c r="U833" i="17"/>
  <c r="U834" i="17"/>
  <c r="U835" i="17"/>
  <c r="U836" i="17"/>
  <c r="U837" i="17"/>
  <c r="U838" i="17"/>
  <c r="V832" i="17"/>
  <c r="V833" i="17"/>
  <c r="V834" i="17"/>
  <c r="V835" i="17"/>
  <c r="V836" i="17"/>
  <c r="V837" i="17"/>
  <c r="V838" i="17"/>
  <c r="W832" i="17"/>
  <c r="W833" i="17"/>
  <c r="W834" i="17"/>
  <c r="W835" i="17"/>
  <c r="W836" i="17"/>
  <c r="W837" i="17"/>
  <c r="W838" i="17"/>
  <c r="H759" i="17"/>
  <c r="H760" i="17"/>
  <c r="H761" i="17"/>
  <c r="H762" i="17"/>
  <c r="H763" i="17"/>
  <c r="H764" i="17"/>
  <c r="H765" i="17"/>
  <c r="H766" i="17"/>
  <c r="H767" i="17"/>
  <c r="H768" i="17"/>
  <c r="H769" i="17"/>
  <c r="H770" i="17"/>
  <c r="H771" i="17"/>
  <c r="H772" i="17"/>
  <c r="H773" i="17"/>
  <c r="H774" i="17"/>
  <c r="H775" i="17"/>
  <c r="H776" i="17"/>
  <c r="H777" i="17"/>
  <c r="H778" i="17"/>
  <c r="H779" i="17"/>
  <c r="I759" i="17"/>
  <c r="I760" i="17"/>
  <c r="I761" i="17"/>
  <c r="I762" i="17"/>
  <c r="I763" i="17"/>
  <c r="I764" i="17"/>
  <c r="I765" i="17"/>
  <c r="I766" i="17"/>
  <c r="I767" i="17"/>
  <c r="I768" i="17"/>
  <c r="I769" i="17"/>
  <c r="I770" i="17"/>
  <c r="I771" i="17"/>
  <c r="I772" i="17"/>
  <c r="I773" i="17"/>
  <c r="I774" i="17"/>
  <c r="I775" i="17"/>
  <c r="I776" i="17"/>
  <c r="I777" i="17"/>
  <c r="I778" i="17"/>
  <c r="I779" i="17"/>
  <c r="J759" i="17"/>
  <c r="J760" i="17"/>
  <c r="J761" i="17"/>
  <c r="J762" i="17"/>
  <c r="J763" i="17"/>
  <c r="J764" i="17"/>
  <c r="J765" i="17"/>
  <c r="J766" i="17"/>
  <c r="J767" i="17"/>
  <c r="J768" i="17"/>
  <c r="J769" i="17"/>
  <c r="J770" i="17"/>
  <c r="J771" i="17"/>
  <c r="J772" i="17"/>
  <c r="J773" i="17"/>
  <c r="J774" i="17"/>
  <c r="J775" i="17"/>
  <c r="J776" i="17"/>
  <c r="J777" i="17"/>
  <c r="J778" i="17"/>
  <c r="J779" i="17"/>
  <c r="K759" i="17"/>
  <c r="K760" i="17"/>
  <c r="K761" i="17"/>
  <c r="K762" i="17"/>
  <c r="K763" i="17"/>
  <c r="K764" i="17"/>
  <c r="K765" i="17"/>
  <c r="K766" i="17"/>
  <c r="K767" i="17"/>
  <c r="K768" i="17"/>
  <c r="K769" i="17"/>
  <c r="K770" i="17"/>
  <c r="K771" i="17"/>
  <c r="K772" i="17"/>
  <c r="K773" i="17"/>
  <c r="K774" i="17"/>
  <c r="K775" i="17"/>
  <c r="K776" i="17"/>
  <c r="K777" i="17"/>
  <c r="K778" i="17"/>
  <c r="K779" i="17"/>
  <c r="N759" i="17"/>
  <c r="N760" i="17"/>
  <c r="N761" i="17"/>
  <c r="N762" i="17"/>
  <c r="N763" i="17"/>
  <c r="N764" i="17"/>
  <c r="N765" i="17"/>
  <c r="N766" i="17"/>
  <c r="N767" i="17"/>
  <c r="N768" i="17"/>
  <c r="N769" i="17"/>
  <c r="N770" i="17"/>
  <c r="N771" i="17"/>
  <c r="N772" i="17"/>
  <c r="N773" i="17"/>
  <c r="N774" i="17"/>
  <c r="N775" i="17"/>
  <c r="N776" i="17"/>
  <c r="N777" i="17"/>
  <c r="N778" i="17"/>
  <c r="N779" i="17"/>
  <c r="O759" i="17"/>
  <c r="O760" i="17"/>
  <c r="O761" i="17"/>
  <c r="O762" i="17"/>
  <c r="O763" i="17"/>
  <c r="O764" i="17"/>
  <c r="O765" i="17"/>
  <c r="O766" i="17"/>
  <c r="O767" i="17"/>
  <c r="O768" i="17"/>
  <c r="O769" i="17"/>
  <c r="O770" i="17"/>
  <c r="O771" i="17"/>
  <c r="O772" i="17"/>
  <c r="O773" i="17"/>
  <c r="O774" i="17"/>
  <c r="O775" i="17"/>
  <c r="O776" i="17"/>
  <c r="O777" i="17"/>
  <c r="O778" i="17"/>
  <c r="O779" i="17"/>
  <c r="Q759" i="17"/>
  <c r="Q760" i="17"/>
  <c r="Q761" i="17"/>
  <c r="Q762" i="17"/>
  <c r="Q763" i="17"/>
  <c r="Q764" i="17"/>
  <c r="Q765" i="17"/>
  <c r="Q766" i="17"/>
  <c r="Q767" i="17"/>
  <c r="Q768" i="17"/>
  <c r="Q769" i="17"/>
  <c r="Q770" i="17"/>
  <c r="Q771" i="17"/>
  <c r="Q772" i="17"/>
  <c r="Q773" i="17"/>
  <c r="Q774" i="17"/>
  <c r="Q775" i="17"/>
  <c r="Q776" i="17"/>
  <c r="Q777" i="17"/>
  <c r="Q778" i="17"/>
  <c r="Q779" i="17"/>
  <c r="S759" i="17"/>
  <c r="S760" i="17"/>
  <c r="S761" i="17"/>
  <c r="S762" i="17"/>
  <c r="S763" i="17"/>
  <c r="S764" i="17"/>
  <c r="S765" i="17"/>
  <c r="S766" i="17"/>
  <c r="S767" i="17"/>
  <c r="S768" i="17"/>
  <c r="S769" i="17"/>
  <c r="S770" i="17"/>
  <c r="S771" i="17"/>
  <c r="S772" i="17"/>
  <c r="S773" i="17"/>
  <c r="S774" i="17"/>
  <c r="S775" i="17"/>
  <c r="S776" i="17"/>
  <c r="S777" i="17"/>
  <c r="S778" i="17"/>
  <c r="S779" i="17"/>
  <c r="T759" i="17"/>
  <c r="T760" i="17"/>
  <c r="T761" i="17"/>
  <c r="T762" i="17"/>
  <c r="T763" i="17"/>
  <c r="T764" i="17"/>
  <c r="T765" i="17"/>
  <c r="T766" i="17"/>
  <c r="T767" i="17"/>
  <c r="T768" i="17"/>
  <c r="T769" i="17"/>
  <c r="T770" i="17"/>
  <c r="T771" i="17"/>
  <c r="T772" i="17"/>
  <c r="T773" i="17"/>
  <c r="T774" i="17"/>
  <c r="T775" i="17"/>
  <c r="T776" i="17"/>
  <c r="T777" i="17"/>
  <c r="T778" i="17"/>
  <c r="T779" i="17"/>
  <c r="U759" i="17"/>
  <c r="U760" i="17"/>
  <c r="U761" i="17"/>
  <c r="U762" i="17"/>
  <c r="U763" i="17"/>
  <c r="U764" i="17"/>
  <c r="U765" i="17"/>
  <c r="U766" i="17"/>
  <c r="U767" i="17"/>
  <c r="U768" i="17"/>
  <c r="U769" i="17"/>
  <c r="U770" i="17"/>
  <c r="U771" i="17"/>
  <c r="U772" i="17"/>
  <c r="U773" i="17"/>
  <c r="U774" i="17"/>
  <c r="U775" i="17"/>
  <c r="U776" i="17"/>
  <c r="U777" i="17"/>
  <c r="U778" i="17"/>
  <c r="U779" i="17"/>
  <c r="V759" i="17"/>
  <c r="V760" i="17"/>
  <c r="V761" i="17"/>
  <c r="V762" i="17"/>
  <c r="V763" i="17"/>
  <c r="V764" i="17"/>
  <c r="V765" i="17"/>
  <c r="V766" i="17"/>
  <c r="V767" i="17"/>
  <c r="V768" i="17"/>
  <c r="V769" i="17"/>
  <c r="V770" i="17"/>
  <c r="V771" i="17"/>
  <c r="V772" i="17"/>
  <c r="V773" i="17"/>
  <c r="V774" i="17"/>
  <c r="V775" i="17"/>
  <c r="V776" i="17"/>
  <c r="V777" i="17"/>
  <c r="V778" i="17"/>
  <c r="V779" i="17"/>
  <c r="W759" i="17"/>
  <c r="W760" i="17"/>
  <c r="W761" i="17"/>
  <c r="W762" i="17"/>
  <c r="W763" i="17"/>
  <c r="W764" i="17"/>
  <c r="W765" i="17"/>
  <c r="W766" i="17"/>
  <c r="W767" i="17"/>
  <c r="W768" i="17"/>
  <c r="W769" i="17"/>
  <c r="W770" i="17"/>
  <c r="W771" i="17"/>
  <c r="W772" i="17"/>
  <c r="W773" i="17"/>
  <c r="W774" i="17"/>
  <c r="W775" i="17"/>
  <c r="W776" i="17"/>
  <c r="W777" i="17"/>
  <c r="W778" i="17"/>
  <c r="W779" i="17"/>
  <c r="H756" i="17"/>
  <c r="H757" i="17"/>
  <c r="H758" i="17"/>
  <c r="H780" i="17"/>
  <c r="H781" i="17"/>
  <c r="H782" i="17"/>
  <c r="H783" i="17"/>
  <c r="H784" i="17"/>
  <c r="H785" i="17"/>
  <c r="H786" i="17"/>
  <c r="H787" i="17"/>
  <c r="H788" i="17"/>
  <c r="H789" i="17"/>
  <c r="H790" i="17"/>
  <c r="H791" i="17"/>
  <c r="H792" i="17"/>
  <c r="H793" i="17"/>
  <c r="I756" i="17"/>
  <c r="I757" i="17"/>
  <c r="I758" i="17"/>
  <c r="I780" i="17"/>
  <c r="I781" i="17"/>
  <c r="I782" i="17"/>
  <c r="I783" i="17"/>
  <c r="I784" i="17"/>
  <c r="I785" i="17"/>
  <c r="I786" i="17"/>
  <c r="I787" i="17"/>
  <c r="I788" i="17"/>
  <c r="I789" i="17"/>
  <c r="I790" i="17"/>
  <c r="I791" i="17"/>
  <c r="I792" i="17"/>
  <c r="I793" i="17"/>
  <c r="J756" i="17"/>
  <c r="J757" i="17"/>
  <c r="J758" i="17"/>
  <c r="J780" i="17"/>
  <c r="J781" i="17"/>
  <c r="J782" i="17"/>
  <c r="J783" i="17"/>
  <c r="J784" i="17"/>
  <c r="J785" i="17"/>
  <c r="J786" i="17"/>
  <c r="J787" i="17"/>
  <c r="J788" i="17"/>
  <c r="J789" i="17"/>
  <c r="J790" i="17"/>
  <c r="J791" i="17"/>
  <c r="J792" i="17"/>
  <c r="J793" i="17"/>
  <c r="K756" i="17"/>
  <c r="K757" i="17"/>
  <c r="K758" i="17"/>
  <c r="K780" i="17"/>
  <c r="K781" i="17"/>
  <c r="K782" i="17"/>
  <c r="K783" i="17"/>
  <c r="K784" i="17"/>
  <c r="K785" i="17"/>
  <c r="K786" i="17"/>
  <c r="K787" i="17"/>
  <c r="K788" i="17"/>
  <c r="K789" i="17"/>
  <c r="K790" i="17"/>
  <c r="K791" i="17"/>
  <c r="K792" i="17"/>
  <c r="K793" i="17"/>
  <c r="N756" i="17"/>
  <c r="N757" i="17"/>
  <c r="N758" i="17"/>
  <c r="N780" i="17"/>
  <c r="N781" i="17"/>
  <c r="N782" i="17"/>
  <c r="N783" i="17"/>
  <c r="N784" i="17"/>
  <c r="N785" i="17"/>
  <c r="N786" i="17"/>
  <c r="N787" i="17"/>
  <c r="N788" i="17"/>
  <c r="N789" i="17"/>
  <c r="N790" i="17"/>
  <c r="N791" i="17"/>
  <c r="N792" i="17"/>
  <c r="N793" i="17"/>
  <c r="O756" i="17"/>
  <c r="O757" i="17"/>
  <c r="O758" i="17"/>
  <c r="O780" i="17"/>
  <c r="O781" i="17"/>
  <c r="O782" i="17"/>
  <c r="O783" i="17"/>
  <c r="O784" i="17"/>
  <c r="O785" i="17"/>
  <c r="O786" i="17"/>
  <c r="O787" i="17"/>
  <c r="O788" i="17"/>
  <c r="O789" i="17"/>
  <c r="O790" i="17"/>
  <c r="O791" i="17"/>
  <c r="O792" i="17"/>
  <c r="O793" i="17"/>
  <c r="Q756" i="17"/>
  <c r="Q757" i="17"/>
  <c r="Q758" i="17"/>
  <c r="Q780" i="17"/>
  <c r="Q781" i="17"/>
  <c r="Q782" i="17"/>
  <c r="Q783" i="17"/>
  <c r="Q784" i="17"/>
  <c r="Q785" i="17"/>
  <c r="Q786" i="17"/>
  <c r="Q787" i="17"/>
  <c r="Q788" i="17"/>
  <c r="Q789" i="17"/>
  <c r="Q790" i="17"/>
  <c r="Q791" i="17"/>
  <c r="Q792" i="17"/>
  <c r="Q793" i="17"/>
  <c r="S756" i="17"/>
  <c r="S757" i="17"/>
  <c r="S758" i="17"/>
  <c r="S780" i="17"/>
  <c r="S781" i="17"/>
  <c r="S782" i="17"/>
  <c r="S783" i="17"/>
  <c r="S784" i="17"/>
  <c r="S785" i="17"/>
  <c r="S786" i="17"/>
  <c r="S787" i="17"/>
  <c r="S788" i="17"/>
  <c r="S789" i="17"/>
  <c r="S790" i="17"/>
  <c r="S791" i="17"/>
  <c r="S792" i="17"/>
  <c r="S793" i="17"/>
  <c r="T756" i="17"/>
  <c r="T757" i="17"/>
  <c r="T758" i="17"/>
  <c r="T780" i="17"/>
  <c r="T781" i="17"/>
  <c r="T782" i="17"/>
  <c r="T783" i="17"/>
  <c r="T784" i="17"/>
  <c r="T785" i="17"/>
  <c r="T786" i="17"/>
  <c r="T787" i="17"/>
  <c r="T788" i="17"/>
  <c r="T789" i="17"/>
  <c r="T790" i="17"/>
  <c r="T791" i="17"/>
  <c r="T792" i="17"/>
  <c r="T793" i="17"/>
  <c r="U756" i="17"/>
  <c r="U757" i="17"/>
  <c r="U758" i="17"/>
  <c r="U780" i="17"/>
  <c r="U781" i="17"/>
  <c r="U782" i="17"/>
  <c r="U783" i="17"/>
  <c r="U784" i="17"/>
  <c r="U785" i="17"/>
  <c r="U786" i="17"/>
  <c r="U787" i="17"/>
  <c r="U788" i="17"/>
  <c r="U789" i="17"/>
  <c r="U790" i="17"/>
  <c r="U791" i="17"/>
  <c r="U792" i="17"/>
  <c r="U793" i="17"/>
  <c r="V756" i="17"/>
  <c r="V757" i="17"/>
  <c r="V758" i="17"/>
  <c r="V780" i="17"/>
  <c r="V781" i="17"/>
  <c r="V782" i="17"/>
  <c r="V783" i="17"/>
  <c r="V784" i="17"/>
  <c r="V785" i="17"/>
  <c r="V786" i="17"/>
  <c r="V787" i="17"/>
  <c r="V788" i="17"/>
  <c r="V789" i="17"/>
  <c r="V790" i="17"/>
  <c r="V791" i="17"/>
  <c r="V792" i="17"/>
  <c r="V793" i="17"/>
  <c r="W756" i="17"/>
  <c r="W757" i="17"/>
  <c r="W758" i="17"/>
  <c r="W780" i="17"/>
  <c r="W781" i="17"/>
  <c r="W782" i="17"/>
  <c r="W783" i="17"/>
  <c r="W784" i="17"/>
  <c r="W785" i="17"/>
  <c r="W786" i="17"/>
  <c r="W787" i="17"/>
  <c r="W788" i="17"/>
  <c r="W789" i="17"/>
  <c r="W790" i="17"/>
  <c r="W791" i="17"/>
  <c r="W792" i="17"/>
  <c r="W793" i="17"/>
  <c r="H349" i="17"/>
  <c r="H350" i="17"/>
  <c r="H351" i="17"/>
  <c r="H352" i="17"/>
  <c r="H353" i="17"/>
  <c r="H354" i="17"/>
  <c r="H355" i="17"/>
  <c r="H356" i="17"/>
  <c r="H357" i="17"/>
  <c r="H358" i="17"/>
  <c r="H359" i="17"/>
  <c r="H360" i="17"/>
  <c r="H361" i="17"/>
  <c r="H362" i="17"/>
  <c r="H363" i="17"/>
  <c r="H364" i="17"/>
  <c r="I349" i="17"/>
  <c r="I350" i="17"/>
  <c r="I351" i="17"/>
  <c r="I352" i="17"/>
  <c r="I353" i="17"/>
  <c r="I354" i="17"/>
  <c r="I355" i="17"/>
  <c r="I356" i="17"/>
  <c r="I357" i="17"/>
  <c r="I358" i="17"/>
  <c r="I359" i="17"/>
  <c r="I360" i="17"/>
  <c r="I361" i="17"/>
  <c r="I362" i="17"/>
  <c r="I363" i="17"/>
  <c r="I364" i="17"/>
  <c r="J349" i="17"/>
  <c r="J350" i="17"/>
  <c r="J351" i="17"/>
  <c r="J352" i="17"/>
  <c r="J353" i="17"/>
  <c r="J354" i="17"/>
  <c r="J355" i="17"/>
  <c r="J356" i="17"/>
  <c r="J357" i="17"/>
  <c r="J358" i="17"/>
  <c r="J359" i="17"/>
  <c r="J360" i="17"/>
  <c r="J361" i="17"/>
  <c r="J362" i="17"/>
  <c r="J363" i="17"/>
  <c r="J364" i="17"/>
  <c r="K349" i="17"/>
  <c r="K350" i="17"/>
  <c r="K351" i="17"/>
  <c r="K352" i="17"/>
  <c r="K353" i="17"/>
  <c r="K354" i="17"/>
  <c r="K355" i="17"/>
  <c r="K356" i="17"/>
  <c r="K357" i="17"/>
  <c r="K358" i="17"/>
  <c r="K359" i="17"/>
  <c r="K360" i="17"/>
  <c r="K361" i="17"/>
  <c r="K362" i="17"/>
  <c r="K363" i="17"/>
  <c r="K364" i="17"/>
  <c r="N349" i="17"/>
  <c r="N350" i="17"/>
  <c r="N351" i="17"/>
  <c r="N352" i="17"/>
  <c r="N353" i="17"/>
  <c r="N354" i="17"/>
  <c r="N355" i="17"/>
  <c r="N356" i="17"/>
  <c r="N357" i="17"/>
  <c r="N358" i="17"/>
  <c r="N359" i="17"/>
  <c r="N360" i="17"/>
  <c r="N361" i="17"/>
  <c r="N362" i="17"/>
  <c r="N363" i="17"/>
  <c r="N364" i="17"/>
  <c r="O349" i="17"/>
  <c r="P349" i="17" s="1"/>
  <c r="O350" i="17"/>
  <c r="O351" i="17"/>
  <c r="P351" i="17" s="1"/>
  <c r="O352" i="17"/>
  <c r="O353" i="17"/>
  <c r="O354" i="17"/>
  <c r="O355" i="17"/>
  <c r="O356" i="17"/>
  <c r="P356" i="17" s="1"/>
  <c r="O357" i="17"/>
  <c r="O358" i="17"/>
  <c r="O359" i="17"/>
  <c r="O360" i="17"/>
  <c r="O361" i="17"/>
  <c r="P361" i="17" s="1"/>
  <c r="O362" i="17"/>
  <c r="P362" i="17" s="1"/>
  <c r="O363" i="17"/>
  <c r="O364" i="17"/>
  <c r="Q349" i="17"/>
  <c r="Q350" i="17"/>
  <c r="Q351" i="17"/>
  <c r="Q352" i="17"/>
  <c r="Q353" i="17"/>
  <c r="Q354" i="17"/>
  <c r="Q355" i="17"/>
  <c r="Q356" i="17"/>
  <c r="Q357" i="17"/>
  <c r="Q358" i="17"/>
  <c r="Q359" i="17"/>
  <c r="Q360" i="17"/>
  <c r="Q361" i="17"/>
  <c r="Q362" i="17"/>
  <c r="Q363" i="17"/>
  <c r="Q364" i="17"/>
  <c r="S349" i="17"/>
  <c r="S350" i="17"/>
  <c r="S351" i="17"/>
  <c r="S352" i="17"/>
  <c r="S353" i="17"/>
  <c r="S354" i="17"/>
  <c r="S355" i="17"/>
  <c r="S356" i="17"/>
  <c r="S357" i="17"/>
  <c r="S358" i="17"/>
  <c r="S359" i="17"/>
  <c r="S360" i="17"/>
  <c r="S361" i="17"/>
  <c r="S362" i="17"/>
  <c r="S363" i="17"/>
  <c r="S364" i="17"/>
  <c r="T349" i="17"/>
  <c r="T350" i="17"/>
  <c r="T351" i="17"/>
  <c r="T352" i="17"/>
  <c r="T353" i="17"/>
  <c r="T354" i="17"/>
  <c r="T355" i="17"/>
  <c r="T356" i="17"/>
  <c r="T357" i="17"/>
  <c r="T358" i="17"/>
  <c r="T359" i="17"/>
  <c r="T360" i="17"/>
  <c r="T361" i="17"/>
  <c r="T362" i="17"/>
  <c r="T363" i="17"/>
  <c r="T364" i="17"/>
  <c r="U349" i="17"/>
  <c r="U350" i="17"/>
  <c r="U351" i="17"/>
  <c r="U352" i="17"/>
  <c r="U353" i="17"/>
  <c r="U354" i="17"/>
  <c r="U355" i="17"/>
  <c r="U356" i="17"/>
  <c r="U357" i="17"/>
  <c r="U358" i="17"/>
  <c r="U359" i="17"/>
  <c r="U360" i="17"/>
  <c r="U361" i="17"/>
  <c r="U362" i="17"/>
  <c r="U363" i="17"/>
  <c r="U364" i="17"/>
  <c r="V349" i="17"/>
  <c r="V350" i="17"/>
  <c r="V351" i="17"/>
  <c r="V352" i="17"/>
  <c r="V353" i="17"/>
  <c r="V354" i="17"/>
  <c r="V355" i="17"/>
  <c r="V356" i="17"/>
  <c r="V357" i="17"/>
  <c r="V358" i="17"/>
  <c r="V359" i="17"/>
  <c r="V360" i="17"/>
  <c r="V361" i="17"/>
  <c r="V362" i="17"/>
  <c r="V363" i="17"/>
  <c r="V364" i="17"/>
  <c r="W349" i="17"/>
  <c r="W350" i="17"/>
  <c r="W351" i="17"/>
  <c r="W352" i="17"/>
  <c r="W353" i="17"/>
  <c r="W354" i="17"/>
  <c r="W355" i="17"/>
  <c r="W356" i="17"/>
  <c r="W357" i="17"/>
  <c r="W358" i="17"/>
  <c r="W359" i="17"/>
  <c r="W360" i="17"/>
  <c r="W361" i="17"/>
  <c r="W362" i="17"/>
  <c r="W363" i="17"/>
  <c r="W364" i="17"/>
  <c r="H276" i="17"/>
  <c r="H277" i="17"/>
  <c r="H278" i="17"/>
  <c r="H279" i="17"/>
  <c r="H280" i="17"/>
  <c r="H281" i="17"/>
  <c r="H282" i="17"/>
  <c r="H283" i="17"/>
  <c r="H284" i="17"/>
  <c r="H285" i="17"/>
  <c r="H286" i="17"/>
  <c r="H287" i="17"/>
  <c r="H288" i="17"/>
  <c r="H289" i="17"/>
  <c r="H290" i="17"/>
  <c r="I276" i="17"/>
  <c r="I277" i="17"/>
  <c r="I278" i="17"/>
  <c r="I279" i="17"/>
  <c r="I280" i="17"/>
  <c r="I281" i="17"/>
  <c r="I282" i="17"/>
  <c r="I283" i="17"/>
  <c r="I284" i="17"/>
  <c r="I285" i="17"/>
  <c r="I286" i="17"/>
  <c r="I287" i="17"/>
  <c r="I288" i="17"/>
  <c r="I289" i="17"/>
  <c r="I290" i="17"/>
  <c r="J276" i="17"/>
  <c r="J277" i="17"/>
  <c r="J278" i="17"/>
  <c r="J279" i="17"/>
  <c r="J280" i="17"/>
  <c r="J281" i="17"/>
  <c r="J282" i="17"/>
  <c r="J283" i="17"/>
  <c r="J284" i="17"/>
  <c r="J285" i="17"/>
  <c r="J286" i="17"/>
  <c r="J287" i="17"/>
  <c r="J288" i="17"/>
  <c r="J289" i="17"/>
  <c r="J290" i="17"/>
  <c r="K276" i="17"/>
  <c r="K277" i="17"/>
  <c r="K278" i="17"/>
  <c r="K279" i="17"/>
  <c r="K280" i="17"/>
  <c r="K281" i="17"/>
  <c r="K282" i="17"/>
  <c r="K283" i="17"/>
  <c r="K284" i="17"/>
  <c r="K285" i="17"/>
  <c r="K286" i="17"/>
  <c r="K287" i="17"/>
  <c r="K288" i="17"/>
  <c r="K289" i="17"/>
  <c r="K290" i="17"/>
  <c r="N276" i="17"/>
  <c r="N277" i="17"/>
  <c r="N278" i="17"/>
  <c r="N279" i="17"/>
  <c r="N280" i="17"/>
  <c r="N281" i="17"/>
  <c r="N282" i="17"/>
  <c r="N283" i="17"/>
  <c r="N284" i="17"/>
  <c r="N285" i="17"/>
  <c r="N286" i="17"/>
  <c r="N287" i="17"/>
  <c r="N288" i="17"/>
  <c r="N289" i="17"/>
  <c r="N290" i="17"/>
  <c r="O276" i="17"/>
  <c r="O277" i="17"/>
  <c r="O278" i="17"/>
  <c r="O279" i="17"/>
  <c r="O280" i="17"/>
  <c r="O281" i="17"/>
  <c r="O282" i="17"/>
  <c r="O283" i="17"/>
  <c r="O284" i="17"/>
  <c r="O285" i="17"/>
  <c r="O286" i="17"/>
  <c r="O287" i="17"/>
  <c r="O288" i="17"/>
  <c r="O289" i="17"/>
  <c r="O290" i="17"/>
  <c r="Q276" i="17"/>
  <c r="Q277" i="17"/>
  <c r="Q278" i="17"/>
  <c r="Q279" i="17"/>
  <c r="Q280" i="17"/>
  <c r="Q281" i="17"/>
  <c r="Q282" i="17"/>
  <c r="Q283" i="17"/>
  <c r="Q284" i="17"/>
  <c r="Q285" i="17"/>
  <c r="Q286" i="17"/>
  <c r="Q287" i="17"/>
  <c r="Q288" i="17"/>
  <c r="Q289" i="17"/>
  <c r="Q290" i="17"/>
  <c r="S276" i="17"/>
  <c r="S277" i="17"/>
  <c r="S278" i="17"/>
  <c r="S279" i="17"/>
  <c r="S280" i="17"/>
  <c r="S281" i="17"/>
  <c r="S282" i="17"/>
  <c r="S283" i="17"/>
  <c r="S284" i="17"/>
  <c r="S285" i="17"/>
  <c r="S286" i="17"/>
  <c r="S287" i="17"/>
  <c r="S288" i="17"/>
  <c r="S289" i="17"/>
  <c r="S290" i="17"/>
  <c r="T276" i="17"/>
  <c r="T277" i="17"/>
  <c r="T278" i="17"/>
  <c r="T279" i="17"/>
  <c r="T280" i="17"/>
  <c r="T281" i="17"/>
  <c r="T282" i="17"/>
  <c r="T283" i="17"/>
  <c r="T284" i="17"/>
  <c r="T285" i="17"/>
  <c r="T286" i="17"/>
  <c r="T287" i="17"/>
  <c r="T288" i="17"/>
  <c r="T289" i="17"/>
  <c r="T290" i="17"/>
  <c r="U276" i="17"/>
  <c r="U277" i="17"/>
  <c r="U278" i="17"/>
  <c r="U279" i="17"/>
  <c r="U280" i="17"/>
  <c r="U281" i="17"/>
  <c r="U282" i="17"/>
  <c r="U283" i="17"/>
  <c r="U284" i="17"/>
  <c r="U285" i="17"/>
  <c r="U286" i="17"/>
  <c r="U287" i="17"/>
  <c r="U288" i="17"/>
  <c r="U289" i="17"/>
  <c r="U290" i="17"/>
  <c r="V276" i="17"/>
  <c r="V277" i="17"/>
  <c r="V278" i="17"/>
  <c r="V279" i="17"/>
  <c r="V280" i="17"/>
  <c r="V281" i="17"/>
  <c r="V282" i="17"/>
  <c r="V283" i="17"/>
  <c r="V284" i="17"/>
  <c r="V285" i="17"/>
  <c r="V286" i="17"/>
  <c r="V287" i="17"/>
  <c r="V288" i="17"/>
  <c r="V289" i="17"/>
  <c r="V290" i="17"/>
  <c r="W276" i="17"/>
  <c r="W277" i="17"/>
  <c r="W278" i="17"/>
  <c r="W279" i="17"/>
  <c r="W280" i="17"/>
  <c r="W281" i="17"/>
  <c r="W282" i="17"/>
  <c r="W283" i="17"/>
  <c r="W284" i="17"/>
  <c r="W285" i="17"/>
  <c r="W286" i="17"/>
  <c r="W287" i="17"/>
  <c r="W288" i="17"/>
  <c r="W289" i="17"/>
  <c r="W290" i="17"/>
  <c r="H259" i="17"/>
  <c r="H260" i="17"/>
  <c r="H261" i="17"/>
  <c r="H262" i="17"/>
  <c r="H263" i="17"/>
  <c r="H264" i="17"/>
  <c r="H265" i="17"/>
  <c r="H266" i="17"/>
  <c r="H267" i="17"/>
  <c r="H268" i="17"/>
  <c r="H269" i="17"/>
  <c r="H270" i="17"/>
  <c r="H271" i="17"/>
  <c r="H272" i="17"/>
  <c r="H273" i="17"/>
  <c r="H274" i="17"/>
  <c r="H275" i="17"/>
  <c r="H291" i="17"/>
  <c r="H292" i="17"/>
  <c r="I259" i="17"/>
  <c r="I260" i="17"/>
  <c r="I261" i="17"/>
  <c r="I262" i="17"/>
  <c r="I263" i="17"/>
  <c r="I264" i="17"/>
  <c r="I265" i="17"/>
  <c r="I266" i="17"/>
  <c r="I267" i="17"/>
  <c r="I268" i="17"/>
  <c r="I269" i="17"/>
  <c r="I270" i="17"/>
  <c r="I271" i="17"/>
  <c r="I272" i="17"/>
  <c r="I273" i="17"/>
  <c r="I274" i="17"/>
  <c r="I275" i="17"/>
  <c r="I291" i="17"/>
  <c r="I292" i="17"/>
  <c r="J259" i="17"/>
  <c r="J260" i="17"/>
  <c r="J261" i="17"/>
  <c r="J262" i="17"/>
  <c r="J263" i="17"/>
  <c r="J264" i="17"/>
  <c r="J265" i="17"/>
  <c r="J266" i="17"/>
  <c r="J267" i="17"/>
  <c r="J268" i="17"/>
  <c r="J269" i="17"/>
  <c r="J270" i="17"/>
  <c r="J271" i="17"/>
  <c r="J272" i="17"/>
  <c r="J273" i="17"/>
  <c r="J274" i="17"/>
  <c r="J275" i="17"/>
  <c r="J291" i="17"/>
  <c r="J292" i="17"/>
  <c r="K259" i="17"/>
  <c r="K260" i="17"/>
  <c r="K261" i="17"/>
  <c r="K262" i="17"/>
  <c r="K263" i="17"/>
  <c r="K264" i="17"/>
  <c r="K265" i="17"/>
  <c r="K266" i="17"/>
  <c r="K267" i="17"/>
  <c r="K268" i="17"/>
  <c r="K269" i="17"/>
  <c r="K270" i="17"/>
  <c r="K271" i="17"/>
  <c r="K272" i="17"/>
  <c r="K273" i="17"/>
  <c r="K274" i="17"/>
  <c r="K275" i="17"/>
  <c r="K291" i="17"/>
  <c r="K292" i="17"/>
  <c r="N259" i="17"/>
  <c r="N260" i="17"/>
  <c r="N261" i="17"/>
  <c r="N262" i="17"/>
  <c r="N263" i="17"/>
  <c r="N264" i="17"/>
  <c r="N265" i="17"/>
  <c r="N266" i="17"/>
  <c r="N267" i="17"/>
  <c r="N268" i="17"/>
  <c r="N269" i="17"/>
  <c r="N270" i="17"/>
  <c r="N271" i="17"/>
  <c r="N272" i="17"/>
  <c r="N273" i="17"/>
  <c r="N274" i="17"/>
  <c r="N275" i="17"/>
  <c r="N291" i="17"/>
  <c r="N292" i="17"/>
  <c r="O259" i="17"/>
  <c r="O260" i="17"/>
  <c r="O261" i="17"/>
  <c r="O262" i="17"/>
  <c r="O263" i="17"/>
  <c r="O264" i="17"/>
  <c r="O265" i="17"/>
  <c r="O266" i="17"/>
  <c r="O267" i="17"/>
  <c r="O268" i="17"/>
  <c r="O269" i="17"/>
  <c r="O270" i="17"/>
  <c r="O271" i="17"/>
  <c r="O272" i="17"/>
  <c r="O273" i="17"/>
  <c r="O274" i="17"/>
  <c r="O275" i="17"/>
  <c r="O291" i="17"/>
  <c r="O292" i="17"/>
  <c r="Q259" i="17"/>
  <c r="Q260" i="17"/>
  <c r="Q261" i="17"/>
  <c r="Q262" i="17"/>
  <c r="Q263" i="17"/>
  <c r="Q264" i="17"/>
  <c r="Q265" i="17"/>
  <c r="Q266" i="17"/>
  <c r="Q267" i="17"/>
  <c r="Q268" i="17"/>
  <c r="Q269" i="17"/>
  <c r="Q270" i="17"/>
  <c r="Q271" i="17"/>
  <c r="Q272" i="17"/>
  <c r="Q273" i="17"/>
  <c r="Q274" i="17"/>
  <c r="Q275" i="17"/>
  <c r="Q291" i="17"/>
  <c r="Q292" i="17"/>
  <c r="S259" i="17"/>
  <c r="S260" i="17"/>
  <c r="S261" i="17"/>
  <c r="S262" i="17"/>
  <c r="S263" i="17"/>
  <c r="S264" i="17"/>
  <c r="S265" i="17"/>
  <c r="S266" i="17"/>
  <c r="S267" i="17"/>
  <c r="S268" i="17"/>
  <c r="S269" i="17"/>
  <c r="S270" i="17"/>
  <c r="S271" i="17"/>
  <c r="S272" i="17"/>
  <c r="S273" i="17"/>
  <c r="S274" i="17"/>
  <c r="S275" i="17"/>
  <c r="S291" i="17"/>
  <c r="S292" i="17"/>
  <c r="T259" i="17"/>
  <c r="T260" i="17"/>
  <c r="T261" i="17"/>
  <c r="T262" i="17"/>
  <c r="T263" i="17"/>
  <c r="T264" i="17"/>
  <c r="T265" i="17"/>
  <c r="T266" i="17"/>
  <c r="T267" i="17"/>
  <c r="T268" i="17"/>
  <c r="T269" i="17"/>
  <c r="T270" i="17"/>
  <c r="T271" i="17"/>
  <c r="T272" i="17"/>
  <c r="T273" i="17"/>
  <c r="T274" i="17"/>
  <c r="T275" i="17"/>
  <c r="T291" i="17"/>
  <c r="T292" i="17"/>
  <c r="U259" i="17"/>
  <c r="U260" i="17"/>
  <c r="U261" i="17"/>
  <c r="U262" i="17"/>
  <c r="U263" i="17"/>
  <c r="U264" i="17"/>
  <c r="U265" i="17"/>
  <c r="U266" i="17"/>
  <c r="U267" i="17"/>
  <c r="U268" i="17"/>
  <c r="U269" i="17"/>
  <c r="U270" i="17"/>
  <c r="U271" i="17"/>
  <c r="U272" i="17"/>
  <c r="U273" i="17"/>
  <c r="U274" i="17"/>
  <c r="U275" i="17"/>
  <c r="U291" i="17"/>
  <c r="U292" i="17"/>
  <c r="V259" i="17"/>
  <c r="V260" i="17"/>
  <c r="V261" i="17"/>
  <c r="V262" i="17"/>
  <c r="V263" i="17"/>
  <c r="V264" i="17"/>
  <c r="V265" i="17"/>
  <c r="V266" i="17"/>
  <c r="V267" i="17"/>
  <c r="V268" i="17"/>
  <c r="V269" i="17"/>
  <c r="V270" i="17"/>
  <c r="V271" i="17"/>
  <c r="V272" i="17"/>
  <c r="V273" i="17"/>
  <c r="V274" i="17"/>
  <c r="V275" i="17"/>
  <c r="V291" i="17"/>
  <c r="V292" i="17"/>
  <c r="W259" i="17"/>
  <c r="W260" i="17"/>
  <c r="W261" i="17"/>
  <c r="W262" i="17"/>
  <c r="W263" i="17"/>
  <c r="W264" i="17"/>
  <c r="W265" i="17"/>
  <c r="W266" i="17"/>
  <c r="W267" i="17"/>
  <c r="W268" i="17"/>
  <c r="W269" i="17"/>
  <c r="W270" i="17"/>
  <c r="W271" i="17"/>
  <c r="W272" i="17"/>
  <c r="W273" i="17"/>
  <c r="W274" i="17"/>
  <c r="W275" i="17"/>
  <c r="W291" i="17"/>
  <c r="W292" i="17"/>
  <c r="H240" i="17"/>
  <c r="H241" i="17"/>
  <c r="H242" i="17"/>
  <c r="H243" i="17"/>
  <c r="H244" i="17"/>
  <c r="H245" i="17"/>
  <c r="H246" i="17"/>
  <c r="H247" i="17"/>
  <c r="H248" i="17"/>
  <c r="H249" i="17"/>
  <c r="H250" i="17"/>
  <c r="H251" i="17"/>
  <c r="H252" i="17"/>
  <c r="H253" i="17"/>
  <c r="H254" i="17"/>
  <c r="H255" i="17"/>
  <c r="H256" i="17"/>
  <c r="H257" i="17"/>
  <c r="H258" i="17"/>
  <c r="I240" i="17"/>
  <c r="I241" i="17"/>
  <c r="I242" i="17"/>
  <c r="I243" i="17"/>
  <c r="I244" i="17"/>
  <c r="I245" i="17"/>
  <c r="I246" i="17"/>
  <c r="I247" i="17"/>
  <c r="I248" i="17"/>
  <c r="I249" i="17"/>
  <c r="I250" i="17"/>
  <c r="I251" i="17"/>
  <c r="I252" i="17"/>
  <c r="I253" i="17"/>
  <c r="I254" i="17"/>
  <c r="I255" i="17"/>
  <c r="I256" i="17"/>
  <c r="I257" i="17"/>
  <c r="I258" i="17"/>
  <c r="J240" i="17"/>
  <c r="J241" i="17"/>
  <c r="J242" i="17"/>
  <c r="J243" i="17"/>
  <c r="J244" i="17"/>
  <c r="J245" i="17"/>
  <c r="J246" i="17"/>
  <c r="J247" i="17"/>
  <c r="J248" i="17"/>
  <c r="J249" i="17"/>
  <c r="J250" i="17"/>
  <c r="J251" i="17"/>
  <c r="J252" i="17"/>
  <c r="J253" i="17"/>
  <c r="J254" i="17"/>
  <c r="J255" i="17"/>
  <c r="J256" i="17"/>
  <c r="J257" i="17"/>
  <c r="J258" i="17"/>
  <c r="K240" i="17"/>
  <c r="K241" i="17"/>
  <c r="K242" i="17"/>
  <c r="K243" i="17"/>
  <c r="K244" i="17"/>
  <c r="K245" i="17"/>
  <c r="K246" i="17"/>
  <c r="K247" i="17"/>
  <c r="K248" i="17"/>
  <c r="K249" i="17"/>
  <c r="K250" i="17"/>
  <c r="K251" i="17"/>
  <c r="K252" i="17"/>
  <c r="K253" i="17"/>
  <c r="K254" i="17"/>
  <c r="K255" i="17"/>
  <c r="K256" i="17"/>
  <c r="K257" i="17"/>
  <c r="K258" i="17"/>
  <c r="N240" i="17"/>
  <c r="N241" i="17"/>
  <c r="N242" i="17"/>
  <c r="N243" i="17"/>
  <c r="N244" i="17"/>
  <c r="N245" i="17"/>
  <c r="N246" i="17"/>
  <c r="N247" i="17"/>
  <c r="N248" i="17"/>
  <c r="N249" i="17"/>
  <c r="N250" i="17"/>
  <c r="N251" i="17"/>
  <c r="N252" i="17"/>
  <c r="N253" i="17"/>
  <c r="N254" i="17"/>
  <c r="N255" i="17"/>
  <c r="N256" i="17"/>
  <c r="N257" i="17"/>
  <c r="N258" i="17"/>
  <c r="O240" i="17"/>
  <c r="O241" i="17"/>
  <c r="O242" i="17"/>
  <c r="O243" i="17"/>
  <c r="O244" i="17"/>
  <c r="O245" i="17"/>
  <c r="O246" i="17"/>
  <c r="O247" i="17"/>
  <c r="O248" i="17"/>
  <c r="O249" i="17"/>
  <c r="O250" i="17"/>
  <c r="O251" i="17"/>
  <c r="O252" i="17"/>
  <c r="O253" i="17"/>
  <c r="O254" i="17"/>
  <c r="O255" i="17"/>
  <c r="O256" i="17"/>
  <c r="O257" i="17"/>
  <c r="O258" i="17"/>
  <c r="Q240" i="17"/>
  <c r="Q241" i="17"/>
  <c r="Q242" i="17"/>
  <c r="Q243" i="17"/>
  <c r="Q244" i="17"/>
  <c r="Q245" i="17"/>
  <c r="Q246" i="17"/>
  <c r="Q247" i="17"/>
  <c r="Q248" i="17"/>
  <c r="Q249" i="17"/>
  <c r="Q250" i="17"/>
  <c r="Q251" i="17"/>
  <c r="Q252" i="17"/>
  <c r="Q253" i="17"/>
  <c r="Q254" i="17"/>
  <c r="Q255" i="17"/>
  <c r="Q256" i="17"/>
  <c r="Q257" i="17"/>
  <c r="Q258" i="17"/>
  <c r="S240" i="17"/>
  <c r="S241" i="17"/>
  <c r="S242" i="17"/>
  <c r="S243" i="17"/>
  <c r="S244" i="17"/>
  <c r="S245" i="17"/>
  <c r="S246" i="17"/>
  <c r="S247" i="17"/>
  <c r="S248" i="17"/>
  <c r="S249" i="17"/>
  <c r="S250" i="17"/>
  <c r="S251" i="17"/>
  <c r="S252" i="17"/>
  <c r="S253" i="17"/>
  <c r="S254" i="17"/>
  <c r="S255" i="17"/>
  <c r="S256" i="17"/>
  <c r="S257" i="17"/>
  <c r="S258" i="17"/>
  <c r="T240" i="17"/>
  <c r="T241" i="17"/>
  <c r="T242" i="17"/>
  <c r="T243" i="17"/>
  <c r="T244" i="17"/>
  <c r="T245" i="17"/>
  <c r="T246" i="17"/>
  <c r="T247" i="17"/>
  <c r="T248" i="17"/>
  <c r="T249" i="17"/>
  <c r="T250" i="17"/>
  <c r="T251" i="17"/>
  <c r="T252" i="17"/>
  <c r="T253" i="17"/>
  <c r="T254" i="17"/>
  <c r="T255" i="17"/>
  <c r="T256" i="17"/>
  <c r="T257" i="17"/>
  <c r="T258" i="17"/>
  <c r="U240" i="17"/>
  <c r="U241" i="17"/>
  <c r="U242" i="17"/>
  <c r="U243" i="17"/>
  <c r="U244" i="17"/>
  <c r="U245" i="17"/>
  <c r="U246" i="17"/>
  <c r="U247" i="17"/>
  <c r="U248" i="17"/>
  <c r="U249" i="17"/>
  <c r="U250" i="17"/>
  <c r="U251" i="17"/>
  <c r="U252" i="17"/>
  <c r="U253" i="17"/>
  <c r="U254" i="17"/>
  <c r="U255" i="17"/>
  <c r="U256" i="17"/>
  <c r="U257" i="17"/>
  <c r="U258" i="17"/>
  <c r="V240" i="17"/>
  <c r="V241" i="17"/>
  <c r="V242" i="17"/>
  <c r="V243" i="17"/>
  <c r="V244" i="17"/>
  <c r="V245" i="17"/>
  <c r="V246" i="17"/>
  <c r="V247" i="17"/>
  <c r="V248" i="17"/>
  <c r="V249" i="17"/>
  <c r="V250" i="17"/>
  <c r="V251" i="17"/>
  <c r="V252" i="17"/>
  <c r="V253" i="17"/>
  <c r="V254" i="17"/>
  <c r="V255" i="17"/>
  <c r="V256" i="17"/>
  <c r="V257" i="17"/>
  <c r="V258" i="17"/>
  <c r="W240" i="17"/>
  <c r="W241" i="17"/>
  <c r="W242" i="17"/>
  <c r="W243" i="17"/>
  <c r="W244" i="17"/>
  <c r="W245" i="17"/>
  <c r="W246" i="17"/>
  <c r="W247" i="17"/>
  <c r="W248" i="17"/>
  <c r="W249" i="17"/>
  <c r="W250" i="17"/>
  <c r="W251" i="17"/>
  <c r="W252" i="17"/>
  <c r="W253" i="17"/>
  <c r="W254" i="17"/>
  <c r="W255" i="17"/>
  <c r="W256" i="17"/>
  <c r="W257" i="17"/>
  <c r="W258" i="17"/>
  <c r="H234" i="17"/>
  <c r="H235" i="17"/>
  <c r="H236" i="17"/>
  <c r="H237" i="17"/>
  <c r="H238" i="17"/>
  <c r="H239" i="17"/>
  <c r="I234" i="17"/>
  <c r="I235" i="17"/>
  <c r="I236" i="17"/>
  <c r="I237" i="17"/>
  <c r="I238" i="17"/>
  <c r="I239" i="17"/>
  <c r="J234" i="17"/>
  <c r="J235" i="17"/>
  <c r="J236" i="17"/>
  <c r="J237" i="17"/>
  <c r="J238" i="17"/>
  <c r="J239" i="17"/>
  <c r="K234" i="17"/>
  <c r="K235" i="17"/>
  <c r="K236" i="17"/>
  <c r="K237" i="17"/>
  <c r="K238" i="17"/>
  <c r="K239" i="17"/>
  <c r="N234" i="17"/>
  <c r="N235" i="17"/>
  <c r="N236" i="17"/>
  <c r="N237" i="17"/>
  <c r="N238" i="17"/>
  <c r="N239" i="17"/>
  <c r="O234" i="17"/>
  <c r="O235" i="17"/>
  <c r="O236" i="17"/>
  <c r="O237" i="17"/>
  <c r="O238" i="17"/>
  <c r="O239" i="17"/>
  <c r="Q234" i="17"/>
  <c r="Q235" i="17"/>
  <c r="Q236" i="17"/>
  <c r="Q237" i="17"/>
  <c r="Q238" i="17"/>
  <c r="Q239" i="17"/>
  <c r="S234" i="17"/>
  <c r="S235" i="17"/>
  <c r="S236" i="17"/>
  <c r="S237" i="17"/>
  <c r="S238" i="17"/>
  <c r="S239" i="17"/>
  <c r="T234" i="17"/>
  <c r="T235" i="17"/>
  <c r="T236" i="17"/>
  <c r="T237" i="17"/>
  <c r="T238" i="17"/>
  <c r="T239" i="17"/>
  <c r="U234" i="17"/>
  <c r="U235" i="17"/>
  <c r="U236" i="17"/>
  <c r="U237" i="17"/>
  <c r="U238" i="17"/>
  <c r="U239" i="17"/>
  <c r="V234" i="17"/>
  <c r="V235" i="17"/>
  <c r="V236" i="17"/>
  <c r="V237" i="17"/>
  <c r="V238" i="17"/>
  <c r="V239" i="17"/>
  <c r="W234" i="17"/>
  <c r="W235" i="17"/>
  <c r="W236" i="17"/>
  <c r="W237" i="17"/>
  <c r="W238" i="17"/>
  <c r="W239" i="17"/>
  <c r="H1624" i="17"/>
  <c r="H1625" i="17"/>
  <c r="H1626" i="17"/>
  <c r="H1627" i="17"/>
  <c r="H1628" i="17"/>
  <c r="H1629" i="17"/>
  <c r="H1630" i="17"/>
  <c r="H1631" i="17"/>
  <c r="I1624" i="17"/>
  <c r="I1625" i="17"/>
  <c r="I1626" i="17"/>
  <c r="I1627" i="17"/>
  <c r="I1628" i="17"/>
  <c r="I1629" i="17"/>
  <c r="I1630" i="17"/>
  <c r="I1631" i="17"/>
  <c r="J1624" i="17"/>
  <c r="J1625" i="17"/>
  <c r="J1626" i="17"/>
  <c r="J1627" i="17"/>
  <c r="J1628" i="17"/>
  <c r="J1629" i="17"/>
  <c r="J1630" i="17"/>
  <c r="J1631" i="17"/>
  <c r="K1624" i="17"/>
  <c r="K1625" i="17"/>
  <c r="K1626" i="17"/>
  <c r="K1627" i="17"/>
  <c r="K1628" i="17"/>
  <c r="K1629" i="17"/>
  <c r="K1630" i="17"/>
  <c r="K1631" i="17"/>
  <c r="N1624" i="17"/>
  <c r="N1625" i="17"/>
  <c r="N1626" i="17"/>
  <c r="N1627" i="17"/>
  <c r="N1628" i="17"/>
  <c r="N1629" i="17"/>
  <c r="N1630" i="17"/>
  <c r="N1631" i="17"/>
  <c r="O1624" i="17"/>
  <c r="O1625" i="17"/>
  <c r="O1626" i="17"/>
  <c r="O1627" i="17"/>
  <c r="O1628" i="17"/>
  <c r="O1629" i="17"/>
  <c r="O1630" i="17"/>
  <c r="O1631" i="17"/>
  <c r="Q1624" i="17"/>
  <c r="Q1625" i="17"/>
  <c r="Q1626" i="17"/>
  <c r="Q1627" i="17"/>
  <c r="Q1628" i="17"/>
  <c r="Q1629" i="17"/>
  <c r="Q1630" i="17"/>
  <c r="Q1631" i="17"/>
  <c r="S1624" i="17"/>
  <c r="S1625" i="17"/>
  <c r="S1626" i="17"/>
  <c r="S1627" i="17"/>
  <c r="S1628" i="17"/>
  <c r="S1629" i="17"/>
  <c r="S1630" i="17"/>
  <c r="S1631" i="17"/>
  <c r="T1624" i="17"/>
  <c r="T1625" i="17"/>
  <c r="T1626" i="17"/>
  <c r="T1627" i="17"/>
  <c r="T1628" i="17"/>
  <c r="T1629" i="17"/>
  <c r="T1630" i="17"/>
  <c r="T1631" i="17"/>
  <c r="U1624" i="17"/>
  <c r="U1625" i="17"/>
  <c r="U1626" i="17"/>
  <c r="U1627" i="17"/>
  <c r="U1628" i="17"/>
  <c r="U1629" i="17"/>
  <c r="U1630" i="17"/>
  <c r="U1631" i="17"/>
  <c r="V1624" i="17"/>
  <c r="V1625" i="17"/>
  <c r="V1626" i="17"/>
  <c r="V1627" i="17"/>
  <c r="V1628" i="17"/>
  <c r="V1629" i="17"/>
  <c r="V1630" i="17"/>
  <c r="V1631" i="17"/>
  <c r="W1624" i="17"/>
  <c r="W1625" i="17"/>
  <c r="W1626" i="17"/>
  <c r="W1627" i="17"/>
  <c r="W1628" i="17"/>
  <c r="W1629" i="17"/>
  <c r="W1630" i="17"/>
  <c r="W1631" i="17"/>
  <c r="H1620" i="17"/>
  <c r="H1621" i="17"/>
  <c r="H1622" i="17"/>
  <c r="I1620" i="17"/>
  <c r="I1621" i="17"/>
  <c r="I1622" i="17"/>
  <c r="J1620" i="17"/>
  <c r="J1621" i="17"/>
  <c r="J1622" i="17"/>
  <c r="K1620" i="17"/>
  <c r="K1621" i="17"/>
  <c r="K1622" i="17"/>
  <c r="N1620" i="17"/>
  <c r="N1621" i="17"/>
  <c r="N1622" i="17"/>
  <c r="O1620" i="17"/>
  <c r="O1621" i="17"/>
  <c r="O1622" i="17"/>
  <c r="Q1620" i="17"/>
  <c r="Q1621" i="17"/>
  <c r="Q1622" i="17"/>
  <c r="S1620" i="17"/>
  <c r="S1621" i="17"/>
  <c r="S1622" i="17"/>
  <c r="T1620" i="17"/>
  <c r="T1621" i="17"/>
  <c r="T1622" i="17"/>
  <c r="U1620" i="17"/>
  <c r="U1621" i="17"/>
  <c r="U1622" i="17"/>
  <c r="V1620" i="17"/>
  <c r="V1621" i="17"/>
  <c r="V1622" i="17"/>
  <c r="W1620" i="17"/>
  <c r="W1621" i="17"/>
  <c r="W1622" i="17"/>
  <c r="H1615" i="17"/>
  <c r="H1616" i="17"/>
  <c r="H1617" i="17"/>
  <c r="H1618" i="17"/>
  <c r="H1619" i="17"/>
  <c r="I1615" i="17"/>
  <c r="I1616" i="17"/>
  <c r="I1617" i="17"/>
  <c r="I1618" i="17"/>
  <c r="I1619" i="17"/>
  <c r="J1615" i="17"/>
  <c r="J1616" i="17"/>
  <c r="J1617" i="17"/>
  <c r="J1618" i="17"/>
  <c r="J1619" i="17"/>
  <c r="K1615" i="17"/>
  <c r="K1616" i="17"/>
  <c r="K1617" i="17"/>
  <c r="K1618" i="17"/>
  <c r="K1619" i="17"/>
  <c r="N1615" i="17"/>
  <c r="N1616" i="17"/>
  <c r="N1617" i="17"/>
  <c r="N1618" i="17"/>
  <c r="N1619" i="17"/>
  <c r="O1615" i="17"/>
  <c r="O1616" i="17"/>
  <c r="O1617" i="17"/>
  <c r="O1618" i="17"/>
  <c r="O1619" i="17"/>
  <c r="Q1615" i="17"/>
  <c r="Q1616" i="17"/>
  <c r="Q1617" i="17"/>
  <c r="Q1618" i="17"/>
  <c r="Q1619" i="17"/>
  <c r="S1615" i="17"/>
  <c r="S1616" i="17"/>
  <c r="S1617" i="17"/>
  <c r="S1618" i="17"/>
  <c r="S1619" i="17"/>
  <c r="T1615" i="17"/>
  <c r="T1616" i="17"/>
  <c r="T1617" i="17"/>
  <c r="T1618" i="17"/>
  <c r="T1619" i="17"/>
  <c r="U1615" i="17"/>
  <c r="U1616" i="17"/>
  <c r="U1617" i="17"/>
  <c r="U1618" i="17"/>
  <c r="U1619" i="17"/>
  <c r="V1615" i="17"/>
  <c r="V1616" i="17"/>
  <c r="V1617" i="17"/>
  <c r="V1618" i="17"/>
  <c r="V1619" i="17"/>
  <c r="W1615" i="17"/>
  <c r="W1616" i="17"/>
  <c r="W1617" i="17"/>
  <c r="W1618" i="17"/>
  <c r="W1619" i="17"/>
  <c r="H1597" i="17"/>
  <c r="H1598" i="17"/>
  <c r="H1599" i="17"/>
  <c r="H1601" i="17"/>
  <c r="H1606" i="17"/>
  <c r="H1607" i="17"/>
  <c r="H1608" i="17"/>
  <c r="H1609" i="17"/>
  <c r="H1610" i="17"/>
  <c r="H1611" i="17"/>
  <c r="H1612" i="17"/>
  <c r="H1613" i="17"/>
  <c r="H1614" i="17"/>
  <c r="I1597" i="17"/>
  <c r="I1598" i="17"/>
  <c r="I1599" i="17"/>
  <c r="I1601" i="17"/>
  <c r="I1606" i="17"/>
  <c r="I1607" i="17"/>
  <c r="I1608" i="17"/>
  <c r="I1609" i="17"/>
  <c r="I1610" i="17"/>
  <c r="I1611" i="17"/>
  <c r="I1612" i="17"/>
  <c r="I1613" i="17"/>
  <c r="I1614" i="17"/>
  <c r="J1597" i="17"/>
  <c r="J1598" i="17"/>
  <c r="J1599" i="17"/>
  <c r="J1601" i="17"/>
  <c r="J1606" i="17"/>
  <c r="J1607" i="17"/>
  <c r="J1608" i="17"/>
  <c r="J1609" i="17"/>
  <c r="J1610" i="17"/>
  <c r="J1611" i="17"/>
  <c r="J1612" i="17"/>
  <c r="J1613" i="17"/>
  <c r="J1614" i="17"/>
  <c r="K1597" i="17"/>
  <c r="K1598" i="17"/>
  <c r="K1599" i="17"/>
  <c r="K1601" i="17"/>
  <c r="K1606" i="17"/>
  <c r="K1607" i="17"/>
  <c r="K1608" i="17"/>
  <c r="K1609" i="17"/>
  <c r="K1610" i="17"/>
  <c r="K1611" i="17"/>
  <c r="K1612" i="17"/>
  <c r="K1613" i="17"/>
  <c r="K1614" i="17"/>
  <c r="N1597" i="17"/>
  <c r="N1598" i="17"/>
  <c r="N1599" i="17"/>
  <c r="N1601" i="17"/>
  <c r="N1606" i="17"/>
  <c r="N1607" i="17"/>
  <c r="N1608" i="17"/>
  <c r="N1609" i="17"/>
  <c r="N1610" i="17"/>
  <c r="N1611" i="17"/>
  <c r="N1612" i="17"/>
  <c r="N1613" i="17"/>
  <c r="N1614" i="17"/>
  <c r="O1597" i="17"/>
  <c r="O1598" i="17"/>
  <c r="O1599" i="17"/>
  <c r="O1601" i="17"/>
  <c r="O1606" i="17"/>
  <c r="O1607" i="17"/>
  <c r="O1608" i="17"/>
  <c r="O1609" i="17"/>
  <c r="O1610" i="17"/>
  <c r="O1611" i="17"/>
  <c r="O1612" i="17"/>
  <c r="O1613" i="17"/>
  <c r="O1614" i="17"/>
  <c r="Q1597" i="17"/>
  <c r="Q1598" i="17"/>
  <c r="Q1599" i="17"/>
  <c r="Q1601" i="17"/>
  <c r="Q1606" i="17"/>
  <c r="Q1607" i="17"/>
  <c r="Q1608" i="17"/>
  <c r="Q1609" i="17"/>
  <c r="Q1610" i="17"/>
  <c r="Q1611" i="17"/>
  <c r="Q1612" i="17"/>
  <c r="Q1613" i="17"/>
  <c r="Q1614" i="17"/>
  <c r="S1597" i="17"/>
  <c r="S1598" i="17"/>
  <c r="S1599" i="17"/>
  <c r="S1601" i="17"/>
  <c r="S1606" i="17"/>
  <c r="S1607" i="17"/>
  <c r="S1608" i="17"/>
  <c r="S1609" i="17"/>
  <c r="S1610" i="17"/>
  <c r="S1611" i="17"/>
  <c r="S1612" i="17"/>
  <c r="S1613" i="17"/>
  <c r="S1614" i="17"/>
  <c r="T1597" i="17"/>
  <c r="T1598" i="17"/>
  <c r="T1599" i="17"/>
  <c r="T1601" i="17"/>
  <c r="T1606" i="17"/>
  <c r="T1607" i="17"/>
  <c r="T1608" i="17"/>
  <c r="T1609" i="17"/>
  <c r="T1610" i="17"/>
  <c r="T1611" i="17"/>
  <c r="T1612" i="17"/>
  <c r="T1613" i="17"/>
  <c r="T1614" i="17"/>
  <c r="U1597" i="17"/>
  <c r="U1598" i="17"/>
  <c r="U1599" i="17"/>
  <c r="U1601" i="17"/>
  <c r="U1606" i="17"/>
  <c r="U1607" i="17"/>
  <c r="U1608" i="17"/>
  <c r="U1609" i="17"/>
  <c r="U1610" i="17"/>
  <c r="U1611" i="17"/>
  <c r="U1612" i="17"/>
  <c r="U1613" i="17"/>
  <c r="U1614" i="17"/>
  <c r="V1597" i="17"/>
  <c r="V1598" i="17"/>
  <c r="V1599" i="17"/>
  <c r="V1601" i="17"/>
  <c r="V1606" i="17"/>
  <c r="V1607" i="17"/>
  <c r="V1608" i="17"/>
  <c r="V1609" i="17"/>
  <c r="V1610" i="17"/>
  <c r="V1611" i="17"/>
  <c r="V1612" i="17"/>
  <c r="V1613" i="17"/>
  <c r="V1614" i="17"/>
  <c r="W1597" i="17"/>
  <c r="W1598" i="17"/>
  <c r="W1599" i="17"/>
  <c r="W1601" i="17"/>
  <c r="W1606" i="17"/>
  <c r="W1607" i="17"/>
  <c r="W1608" i="17"/>
  <c r="W1609" i="17"/>
  <c r="W1610" i="17"/>
  <c r="W1611" i="17"/>
  <c r="W1612" i="17"/>
  <c r="W1613" i="17"/>
  <c r="W1614" i="17"/>
  <c r="H1534" i="17"/>
  <c r="H1535" i="17"/>
  <c r="H1536" i="17"/>
  <c r="H1537" i="17"/>
  <c r="H1538" i="17"/>
  <c r="H1539" i="17"/>
  <c r="H1540" i="17"/>
  <c r="H1541" i="17"/>
  <c r="H1542" i="17"/>
  <c r="H1543" i="17"/>
  <c r="H1544" i="17"/>
  <c r="H1545" i="17"/>
  <c r="H1546" i="17"/>
  <c r="H1547" i="17"/>
  <c r="H1548" i="17"/>
  <c r="H1549" i="17"/>
  <c r="I1534" i="17"/>
  <c r="I1535" i="17"/>
  <c r="I1536" i="17"/>
  <c r="I1537" i="17"/>
  <c r="I1538" i="17"/>
  <c r="I1539" i="17"/>
  <c r="I1540" i="17"/>
  <c r="I1541" i="17"/>
  <c r="I1542" i="17"/>
  <c r="I1543" i="17"/>
  <c r="I1544" i="17"/>
  <c r="I1545" i="17"/>
  <c r="I1546" i="17"/>
  <c r="I1547" i="17"/>
  <c r="I1548" i="17"/>
  <c r="I1549" i="17"/>
  <c r="J1534" i="17"/>
  <c r="J1535" i="17"/>
  <c r="J1536" i="17"/>
  <c r="J1537" i="17"/>
  <c r="J1538" i="17"/>
  <c r="J1539" i="17"/>
  <c r="J1540" i="17"/>
  <c r="J1541" i="17"/>
  <c r="J1542" i="17"/>
  <c r="J1543" i="17"/>
  <c r="J1544" i="17"/>
  <c r="J1545" i="17"/>
  <c r="J1546" i="17"/>
  <c r="J1547" i="17"/>
  <c r="J1548" i="17"/>
  <c r="J1549" i="17"/>
  <c r="K1534" i="17"/>
  <c r="K1535" i="17"/>
  <c r="K1536" i="17"/>
  <c r="K1537" i="17"/>
  <c r="K1538" i="17"/>
  <c r="K1539" i="17"/>
  <c r="K1540" i="17"/>
  <c r="K1541" i="17"/>
  <c r="K1542" i="17"/>
  <c r="K1543" i="17"/>
  <c r="K1544" i="17"/>
  <c r="K1545" i="17"/>
  <c r="K1546" i="17"/>
  <c r="K1547" i="17"/>
  <c r="K1548" i="17"/>
  <c r="K1549" i="17"/>
  <c r="N1534" i="17"/>
  <c r="N1535" i="17"/>
  <c r="N1536" i="17"/>
  <c r="N1537" i="17"/>
  <c r="N1538" i="17"/>
  <c r="N1539" i="17"/>
  <c r="N1540" i="17"/>
  <c r="N1541" i="17"/>
  <c r="N1542" i="17"/>
  <c r="N1543" i="17"/>
  <c r="N1544" i="17"/>
  <c r="N1545" i="17"/>
  <c r="N1546" i="17"/>
  <c r="N1547" i="17"/>
  <c r="N1548" i="17"/>
  <c r="N1549" i="17"/>
  <c r="O1534" i="17"/>
  <c r="O1535" i="17"/>
  <c r="O1536" i="17"/>
  <c r="O1537" i="17"/>
  <c r="O1538" i="17"/>
  <c r="O1539" i="17"/>
  <c r="O1540" i="17"/>
  <c r="O1541" i="17"/>
  <c r="O1542" i="17"/>
  <c r="O1543" i="17"/>
  <c r="O1544" i="17"/>
  <c r="O1545" i="17"/>
  <c r="O1546" i="17"/>
  <c r="O1547" i="17"/>
  <c r="O1548" i="17"/>
  <c r="O1549" i="17"/>
  <c r="Q1534" i="17"/>
  <c r="Q1535" i="17"/>
  <c r="Q1536" i="17"/>
  <c r="Q1537" i="17"/>
  <c r="Q1538" i="17"/>
  <c r="Q1539" i="17"/>
  <c r="Q1540" i="17"/>
  <c r="Q1541" i="17"/>
  <c r="Q1542" i="17"/>
  <c r="Q1543" i="17"/>
  <c r="Q1544" i="17"/>
  <c r="Q1545" i="17"/>
  <c r="Q1546" i="17"/>
  <c r="Q1547" i="17"/>
  <c r="Q1548" i="17"/>
  <c r="Q1549" i="17"/>
  <c r="S1534" i="17"/>
  <c r="S1535" i="17"/>
  <c r="S1536" i="17"/>
  <c r="S1537" i="17"/>
  <c r="S1538" i="17"/>
  <c r="S1539" i="17"/>
  <c r="S1540" i="17"/>
  <c r="S1541" i="17"/>
  <c r="S1542" i="17"/>
  <c r="S1543" i="17"/>
  <c r="S1544" i="17"/>
  <c r="S1545" i="17"/>
  <c r="S1546" i="17"/>
  <c r="S1547" i="17"/>
  <c r="S1548" i="17"/>
  <c r="S1549" i="17"/>
  <c r="T1534" i="17"/>
  <c r="T1535" i="17"/>
  <c r="T1536" i="17"/>
  <c r="T1537" i="17"/>
  <c r="T1538" i="17"/>
  <c r="T1539" i="17"/>
  <c r="T1540" i="17"/>
  <c r="T1541" i="17"/>
  <c r="T1542" i="17"/>
  <c r="T1543" i="17"/>
  <c r="T1544" i="17"/>
  <c r="T1545" i="17"/>
  <c r="T1546" i="17"/>
  <c r="T1547" i="17"/>
  <c r="T1548" i="17"/>
  <c r="T1549" i="17"/>
  <c r="U1534" i="17"/>
  <c r="U1535" i="17"/>
  <c r="U1536" i="17"/>
  <c r="U1537" i="17"/>
  <c r="U1538" i="17"/>
  <c r="U1539" i="17"/>
  <c r="U1540" i="17"/>
  <c r="U1541" i="17"/>
  <c r="U1542" i="17"/>
  <c r="U1543" i="17"/>
  <c r="U1544" i="17"/>
  <c r="U1545" i="17"/>
  <c r="U1546" i="17"/>
  <c r="U1547" i="17"/>
  <c r="U1548" i="17"/>
  <c r="U1549" i="17"/>
  <c r="V1534" i="17"/>
  <c r="V1535" i="17"/>
  <c r="V1536" i="17"/>
  <c r="V1537" i="17"/>
  <c r="V1538" i="17"/>
  <c r="V1539" i="17"/>
  <c r="V1540" i="17"/>
  <c r="V1541" i="17"/>
  <c r="V1542" i="17"/>
  <c r="V1543" i="17"/>
  <c r="V1544" i="17"/>
  <c r="V1545" i="17"/>
  <c r="V1546" i="17"/>
  <c r="V1547" i="17"/>
  <c r="V1548" i="17"/>
  <c r="V1549" i="17"/>
  <c r="W1534" i="17"/>
  <c r="W1535" i="17"/>
  <c r="W1536" i="17"/>
  <c r="W1537" i="17"/>
  <c r="W1538" i="17"/>
  <c r="W1539" i="17"/>
  <c r="W1540" i="17"/>
  <c r="W1541" i="17"/>
  <c r="W1542" i="17"/>
  <c r="W1543" i="17"/>
  <c r="W1544" i="17"/>
  <c r="W1545" i="17"/>
  <c r="W1546" i="17"/>
  <c r="W1547" i="17"/>
  <c r="W1548" i="17"/>
  <c r="W1549" i="17"/>
  <c r="H1506" i="17"/>
  <c r="H1507" i="17"/>
  <c r="H1508" i="17"/>
  <c r="H1509" i="17"/>
  <c r="H1510" i="17"/>
  <c r="H1511" i="17"/>
  <c r="H1512" i="17"/>
  <c r="H1513" i="17"/>
  <c r="H1514" i="17"/>
  <c r="H1515" i="17"/>
  <c r="I1506" i="17"/>
  <c r="I1507" i="17"/>
  <c r="I1508" i="17"/>
  <c r="I1509" i="17"/>
  <c r="I1510" i="17"/>
  <c r="I1511" i="17"/>
  <c r="I1512" i="17"/>
  <c r="I1513" i="17"/>
  <c r="I1514" i="17"/>
  <c r="I1515" i="17"/>
  <c r="J1506" i="17"/>
  <c r="J1507" i="17"/>
  <c r="J1508" i="17"/>
  <c r="J1509" i="17"/>
  <c r="J1510" i="17"/>
  <c r="J1511" i="17"/>
  <c r="J1512" i="17"/>
  <c r="J1513" i="17"/>
  <c r="J1514" i="17"/>
  <c r="J1515" i="17"/>
  <c r="K1506" i="17"/>
  <c r="K1507" i="17"/>
  <c r="K1508" i="17"/>
  <c r="K1509" i="17"/>
  <c r="K1510" i="17"/>
  <c r="K1511" i="17"/>
  <c r="K1512" i="17"/>
  <c r="K1513" i="17"/>
  <c r="K1514" i="17"/>
  <c r="K1515" i="17"/>
  <c r="N1506" i="17"/>
  <c r="N1507" i="17"/>
  <c r="N1508" i="17"/>
  <c r="N1509" i="17"/>
  <c r="N1510" i="17"/>
  <c r="N1511" i="17"/>
  <c r="N1512" i="17"/>
  <c r="N1513" i="17"/>
  <c r="N1514" i="17"/>
  <c r="N1515" i="17"/>
  <c r="O1506" i="17"/>
  <c r="O1507" i="17"/>
  <c r="O1508" i="17"/>
  <c r="O1509" i="17"/>
  <c r="O1510" i="17"/>
  <c r="O1511" i="17"/>
  <c r="O1512" i="17"/>
  <c r="O1513" i="17"/>
  <c r="O1514" i="17"/>
  <c r="O1515" i="17"/>
  <c r="Q1506" i="17"/>
  <c r="Q1507" i="17"/>
  <c r="Q1508" i="17"/>
  <c r="Q1509" i="17"/>
  <c r="Q1510" i="17"/>
  <c r="Q1511" i="17"/>
  <c r="Q1512" i="17"/>
  <c r="Q1513" i="17"/>
  <c r="Q1514" i="17"/>
  <c r="Q1515" i="17"/>
  <c r="S1506" i="17"/>
  <c r="S1507" i="17"/>
  <c r="S1508" i="17"/>
  <c r="S1509" i="17"/>
  <c r="S1510" i="17"/>
  <c r="S1511" i="17"/>
  <c r="S1512" i="17"/>
  <c r="S1513" i="17"/>
  <c r="S1514" i="17"/>
  <c r="S1515" i="17"/>
  <c r="T1506" i="17"/>
  <c r="T1507" i="17"/>
  <c r="T1508" i="17"/>
  <c r="T1509" i="17"/>
  <c r="T1510" i="17"/>
  <c r="T1511" i="17"/>
  <c r="T1512" i="17"/>
  <c r="T1513" i="17"/>
  <c r="T1514" i="17"/>
  <c r="T1515" i="17"/>
  <c r="U1506" i="17"/>
  <c r="U1507" i="17"/>
  <c r="U1508" i="17"/>
  <c r="U1509" i="17"/>
  <c r="U1510" i="17"/>
  <c r="U1511" i="17"/>
  <c r="U1512" i="17"/>
  <c r="U1513" i="17"/>
  <c r="U1514" i="17"/>
  <c r="U1515" i="17"/>
  <c r="V1506" i="17"/>
  <c r="V1507" i="17"/>
  <c r="V1508" i="17"/>
  <c r="V1509" i="17"/>
  <c r="V1510" i="17"/>
  <c r="V1511" i="17"/>
  <c r="V1512" i="17"/>
  <c r="V1513" i="17"/>
  <c r="V1514" i="17"/>
  <c r="V1515" i="17"/>
  <c r="W1506" i="17"/>
  <c r="W1507" i="17"/>
  <c r="W1508" i="17"/>
  <c r="W1509" i="17"/>
  <c r="W1510" i="17"/>
  <c r="W1511" i="17"/>
  <c r="W1512" i="17"/>
  <c r="W1513" i="17"/>
  <c r="W1514" i="17"/>
  <c r="W1515" i="17"/>
  <c r="H1491" i="17"/>
  <c r="H1492" i="17"/>
  <c r="H1493" i="17"/>
  <c r="H1494" i="17"/>
  <c r="H1495" i="17"/>
  <c r="H1496" i="17"/>
  <c r="H1497" i="17"/>
  <c r="H1498" i="17"/>
  <c r="H1499" i="17"/>
  <c r="H1500" i="17"/>
  <c r="H1501" i="17"/>
  <c r="H1502" i="17"/>
  <c r="H1503" i="17"/>
  <c r="H1504" i="17"/>
  <c r="H1505" i="17"/>
  <c r="I1491" i="17"/>
  <c r="I1492" i="17"/>
  <c r="I1493" i="17"/>
  <c r="I1494" i="17"/>
  <c r="I1495" i="17"/>
  <c r="I1496" i="17"/>
  <c r="I1497" i="17"/>
  <c r="I1498" i="17"/>
  <c r="I1499" i="17"/>
  <c r="I1500" i="17"/>
  <c r="I1501" i="17"/>
  <c r="I1502" i="17"/>
  <c r="I1503" i="17"/>
  <c r="I1504" i="17"/>
  <c r="I1505" i="17"/>
  <c r="J1491" i="17"/>
  <c r="J1492" i="17"/>
  <c r="J1493" i="17"/>
  <c r="J1494" i="17"/>
  <c r="J1495" i="17"/>
  <c r="J1496" i="17"/>
  <c r="J1497" i="17"/>
  <c r="J1498" i="17"/>
  <c r="J1499" i="17"/>
  <c r="J1500" i="17"/>
  <c r="J1501" i="17"/>
  <c r="J1502" i="17"/>
  <c r="J1503" i="17"/>
  <c r="J1504" i="17"/>
  <c r="J1505" i="17"/>
  <c r="K1491" i="17"/>
  <c r="K1492" i="17"/>
  <c r="K1493" i="17"/>
  <c r="K1494" i="17"/>
  <c r="K1495" i="17"/>
  <c r="K1496" i="17"/>
  <c r="K1497" i="17"/>
  <c r="K1498" i="17"/>
  <c r="K1499" i="17"/>
  <c r="K1500" i="17"/>
  <c r="K1501" i="17"/>
  <c r="K1502" i="17"/>
  <c r="K1503" i="17"/>
  <c r="K1504" i="17"/>
  <c r="K1505" i="17"/>
  <c r="N1491" i="17"/>
  <c r="N1492" i="17"/>
  <c r="N1493" i="17"/>
  <c r="N1494" i="17"/>
  <c r="N1495" i="17"/>
  <c r="N1496" i="17"/>
  <c r="N1497" i="17"/>
  <c r="N1498" i="17"/>
  <c r="N1499" i="17"/>
  <c r="N1500" i="17"/>
  <c r="N1501" i="17"/>
  <c r="N1502" i="17"/>
  <c r="N1503" i="17"/>
  <c r="N1504" i="17"/>
  <c r="N1505" i="17"/>
  <c r="O1491" i="17"/>
  <c r="O1492" i="17"/>
  <c r="O1493" i="17"/>
  <c r="O1494" i="17"/>
  <c r="O1495" i="17"/>
  <c r="O1496" i="17"/>
  <c r="O1497" i="17"/>
  <c r="O1498" i="17"/>
  <c r="O1499" i="17"/>
  <c r="O1500" i="17"/>
  <c r="O1501" i="17"/>
  <c r="O1502" i="17"/>
  <c r="O1503" i="17"/>
  <c r="O1504" i="17"/>
  <c r="O1505" i="17"/>
  <c r="Q1491" i="17"/>
  <c r="Q1492" i="17"/>
  <c r="Q1493" i="17"/>
  <c r="Q1494" i="17"/>
  <c r="Q1495" i="17"/>
  <c r="Q1496" i="17"/>
  <c r="Q1497" i="17"/>
  <c r="Q1498" i="17"/>
  <c r="Q1499" i="17"/>
  <c r="Q1500" i="17"/>
  <c r="Q1501" i="17"/>
  <c r="Q1502" i="17"/>
  <c r="Q1503" i="17"/>
  <c r="Q1504" i="17"/>
  <c r="Q1505" i="17"/>
  <c r="S1491" i="17"/>
  <c r="S1492" i="17"/>
  <c r="S1493" i="17"/>
  <c r="S1494" i="17"/>
  <c r="S1495" i="17"/>
  <c r="S1496" i="17"/>
  <c r="S1497" i="17"/>
  <c r="S1498" i="17"/>
  <c r="S1499" i="17"/>
  <c r="S1500" i="17"/>
  <c r="S1501" i="17"/>
  <c r="S1502" i="17"/>
  <c r="S1503" i="17"/>
  <c r="S1504" i="17"/>
  <c r="S1505" i="17"/>
  <c r="T1491" i="17"/>
  <c r="T1492" i="17"/>
  <c r="T1493" i="17"/>
  <c r="T1494" i="17"/>
  <c r="T1495" i="17"/>
  <c r="T1496" i="17"/>
  <c r="T1497" i="17"/>
  <c r="T1498" i="17"/>
  <c r="T1499" i="17"/>
  <c r="T1500" i="17"/>
  <c r="T1501" i="17"/>
  <c r="T1502" i="17"/>
  <c r="T1503" i="17"/>
  <c r="T1504" i="17"/>
  <c r="T1505" i="17"/>
  <c r="U1491" i="17"/>
  <c r="U1492" i="17"/>
  <c r="U1493" i="17"/>
  <c r="U1494" i="17"/>
  <c r="U1495" i="17"/>
  <c r="U1496" i="17"/>
  <c r="U1497" i="17"/>
  <c r="U1498" i="17"/>
  <c r="U1499" i="17"/>
  <c r="U1500" i="17"/>
  <c r="U1501" i="17"/>
  <c r="U1502" i="17"/>
  <c r="U1503" i="17"/>
  <c r="U1504" i="17"/>
  <c r="U1505" i="17"/>
  <c r="V1491" i="17"/>
  <c r="V1492" i="17"/>
  <c r="V1493" i="17"/>
  <c r="V1494" i="17"/>
  <c r="V1495" i="17"/>
  <c r="V1496" i="17"/>
  <c r="V1497" i="17"/>
  <c r="V1498" i="17"/>
  <c r="V1499" i="17"/>
  <c r="V1500" i="17"/>
  <c r="V1501" i="17"/>
  <c r="V1502" i="17"/>
  <c r="V1503" i="17"/>
  <c r="V1504" i="17"/>
  <c r="V1505" i="17"/>
  <c r="W1491" i="17"/>
  <c r="W1492" i="17"/>
  <c r="W1493" i="17"/>
  <c r="W1494" i="17"/>
  <c r="W1495" i="17"/>
  <c r="W1496" i="17"/>
  <c r="W1497" i="17"/>
  <c r="W1498" i="17"/>
  <c r="W1499" i="17"/>
  <c r="W1500" i="17"/>
  <c r="W1501" i="17"/>
  <c r="W1502" i="17"/>
  <c r="W1503" i="17"/>
  <c r="W1504" i="17"/>
  <c r="W1505" i="17"/>
  <c r="H1474" i="17"/>
  <c r="H1475" i="17"/>
  <c r="H1476" i="17"/>
  <c r="H1477" i="17"/>
  <c r="H1482" i="17"/>
  <c r="H1483" i="17"/>
  <c r="H1484" i="17"/>
  <c r="H1485" i="17"/>
  <c r="H1486" i="17"/>
  <c r="H1487" i="17"/>
  <c r="H1488" i="17"/>
  <c r="H1489" i="17"/>
  <c r="H1490" i="17"/>
  <c r="I1474" i="17"/>
  <c r="I1475" i="17"/>
  <c r="I1476" i="17"/>
  <c r="I1477" i="17"/>
  <c r="I1482" i="17"/>
  <c r="I1483" i="17"/>
  <c r="I1484" i="17"/>
  <c r="I1485" i="17"/>
  <c r="I1486" i="17"/>
  <c r="I1487" i="17"/>
  <c r="I1488" i="17"/>
  <c r="I1489" i="17"/>
  <c r="I1490" i="17"/>
  <c r="J1474" i="17"/>
  <c r="J1475" i="17"/>
  <c r="J1476" i="17"/>
  <c r="J1477" i="17"/>
  <c r="J1482" i="17"/>
  <c r="J1483" i="17"/>
  <c r="J1484" i="17"/>
  <c r="J1485" i="17"/>
  <c r="J1486" i="17"/>
  <c r="J1487" i="17"/>
  <c r="J1488" i="17"/>
  <c r="J1489" i="17"/>
  <c r="J1490" i="17"/>
  <c r="K1474" i="17"/>
  <c r="K1475" i="17"/>
  <c r="K1476" i="17"/>
  <c r="K1477" i="17"/>
  <c r="K1482" i="17"/>
  <c r="K1483" i="17"/>
  <c r="K1484" i="17"/>
  <c r="K1485" i="17"/>
  <c r="K1486" i="17"/>
  <c r="K1487" i="17"/>
  <c r="K1488" i="17"/>
  <c r="K1489" i="17"/>
  <c r="K1490" i="17"/>
  <c r="N1474" i="17"/>
  <c r="N1475" i="17"/>
  <c r="N1476" i="17"/>
  <c r="N1477" i="17"/>
  <c r="N1482" i="17"/>
  <c r="N1483" i="17"/>
  <c r="N1484" i="17"/>
  <c r="N1485" i="17"/>
  <c r="N1486" i="17"/>
  <c r="N1487" i="17"/>
  <c r="N1488" i="17"/>
  <c r="N1489" i="17"/>
  <c r="N1490" i="17"/>
  <c r="O1474" i="17"/>
  <c r="O1475" i="17"/>
  <c r="O1476" i="17"/>
  <c r="O1477" i="17"/>
  <c r="O1482" i="17"/>
  <c r="O1483" i="17"/>
  <c r="O1484" i="17"/>
  <c r="O1485" i="17"/>
  <c r="O1486" i="17"/>
  <c r="O1487" i="17"/>
  <c r="O1488" i="17"/>
  <c r="O1489" i="17"/>
  <c r="O1490" i="17"/>
  <c r="Q1474" i="17"/>
  <c r="Q1475" i="17"/>
  <c r="Q1476" i="17"/>
  <c r="Q1477" i="17"/>
  <c r="Q1482" i="17"/>
  <c r="Q1483" i="17"/>
  <c r="Q1484" i="17"/>
  <c r="Q1485" i="17"/>
  <c r="Q1486" i="17"/>
  <c r="Q1487" i="17"/>
  <c r="Q1488" i="17"/>
  <c r="Q1489" i="17"/>
  <c r="Q1490" i="17"/>
  <c r="S1474" i="17"/>
  <c r="S1475" i="17"/>
  <c r="S1476" i="17"/>
  <c r="S1477" i="17"/>
  <c r="S1482" i="17"/>
  <c r="S1483" i="17"/>
  <c r="S1484" i="17"/>
  <c r="S1485" i="17"/>
  <c r="S1486" i="17"/>
  <c r="S1487" i="17"/>
  <c r="S1488" i="17"/>
  <c r="S1489" i="17"/>
  <c r="S1490" i="17"/>
  <c r="T1474" i="17"/>
  <c r="T1475" i="17"/>
  <c r="T1476" i="17"/>
  <c r="T1477" i="17"/>
  <c r="T1482" i="17"/>
  <c r="T1483" i="17"/>
  <c r="T1484" i="17"/>
  <c r="T1485" i="17"/>
  <c r="T1486" i="17"/>
  <c r="T1487" i="17"/>
  <c r="T1488" i="17"/>
  <c r="T1489" i="17"/>
  <c r="T1490" i="17"/>
  <c r="U1474" i="17"/>
  <c r="U1475" i="17"/>
  <c r="U1476" i="17"/>
  <c r="U1477" i="17"/>
  <c r="U1482" i="17"/>
  <c r="U1483" i="17"/>
  <c r="U1484" i="17"/>
  <c r="U1485" i="17"/>
  <c r="U1486" i="17"/>
  <c r="U1487" i="17"/>
  <c r="U1488" i="17"/>
  <c r="U1489" i="17"/>
  <c r="U1490" i="17"/>
  <c r="V1474" i="17"/>
  <c r="V1475" i="17"/>
  <c r="V1476" i="17"/>
  <c r="V1477" i="17"/>
  <c r="V1482" i="17"/>
  <c r="V1483" i="17"/>
  <c r="V1484" i="17"/>
  <c r="V1485" i="17"/>
  <c r="V1486" i="17"/>
  <c r="V1487" i="17"/>
  <c r="V1488" i="17"/>
  <c r="V1489" i="17"/>
  <c r="V1490" i="17"/>
  <c r="W1474" i="17"/>
  <c r="W1475" i="17"/>
  <c r="W1476" i="17"/>
  <c r="W1477" i="17"/>
  <c r="W1482" i="17"/>
  <c r="W1483" i="17"/>
  <c r="W1484" i="17"/>
  <c r="W1485" i="17"/>
  <c r="W1486" i="17"/>
  <c r="W1487" i="17"/>
  <c r="W1488" i="17"/>
  <c r="W1489" i="17"/>
  <c r="W1490" i="17"/>
  <c r="H1469" i="17"/>
  <c r="H1470" i="17"/>
  <c r="H1471" i="17"/>
  <c r="H1472" i="17"/>
  <c r="I1469" i="17"/>
  <c r="I1470" i="17"/>
  <c r="I1471" i="17"/>
  <c r="I1472" i="17"/>
  <c r="J1469" i="17"/>
  <c r="J1470" i="17"/>
  <c r="J1471" i="17"/>
  <c r="J1472" i="17"/>
  <c r="K1469" i="17"/>
  <c r="K1470" i="17"/>
  <c r="K1471" i="17"/>
  <c r="K1472" i="17"/>
  <c r="N1469" i="17"/>
  <c r="N1470" i="17"/>
  <c r="N1471" i="17"/>
  <c r="N1472" i="17"/>
  <c r="O1469" i="17"/>
  <c r="O1470" i="17"/>
  <c r="O1471" i="17"/>
  <c r="O1472" i="17"/>
  <c r="Q1469" i="17"/>
  <c r="Q1470" i="17"/>
  <c r="Q1471" i="17"/>
  <c r="Q1472" i="17"/>
  <c r="S1469" i="17"/>
  <c r="S1470" i="17"/>
  <c r="S1471" i="17"/>
  <c r="S1472" i="17"/>
  <c r="T1469" i="17"/>
  <c r="T1470" i="17"/>
  <c r="T1471" i="17"/>
  <c r="T1472" i="17"/>
  <c r="U1469" i="17"/>
  <c r="U1470" i="17"/>
  <c r="U1471" i="17"/>
  <c r="U1472" i="17"/>
  <c r="V1469" i="17"/>
  <c r="V1470" i="17"/>
  <c r="V1471" i="17"/>
  <c r="V1472" i="17"/>
  <c r="W1469" i="17"/>
  <c r="W1470" i="17"/>
  <c r="W1471" i="17"/>
  <c r="W1472" i="17"/>
  <c r="H1464" i="17"/>
  <c r="H1465" i="17"/>
  <c r="H1466" i="17"/>
  <c r="H1467" i="17"/>
  <c r="I1464" i="17"/>
  <c r="I1465" i="17"/>
  <c r="I1466" i="17"/>
  <c r="I1467" i="17"/>
  <c r="J1464" i="17"/>
  <c r="J1465" i="17"/>
  <c r="J1466" i="17"/>
  <c r="J1467" i="17"/>
  <c r="K1464" i="17"/>
  <c r="K1465" i="17"/>
  <c r="K1466" i="17"/>
  <c r="K1467" i="17"/>
  <c r="N1464" i="17"/>
  <c r="N1465" i="17"/>
  <c r="N1466" i="17"/>
  <c r="N1467" i="17"/>
  <c r="O1464" i="17"/>
  <c r="O1465" i="17"/>
  <c r="O1466" i="17"/>
  <c r="O1467" i="17"/>
  <c r="Q1464" i="17"/>
  <c r="Q1465" i="17"/>
  <c r="Q1466" i="17"/>
  <c r="Q1467" i="17"/>
  <c r="S1464" i="17"/>
  <c r="S1465" i="17"/>
  <c r="S1466" i="17"/>
  <c r="S1467" i="17"/>
  <c r="T1464" i="17"/>
  <c r="T1465" i="17"/>
  <c r="T1466" i="17"/>
  <c r="T1467" i="17"/>
  <c r="U1464" i="17"/>
  <c r="U1465" i="17"/>
  <c r="U1466" i="17"/>
  <c r="U1467" i="17"/>
  <c r="V1464" i="17"/>
  <c r="V1465" i="17"/>
  <c r="V1466" i="17"/>
  <c r="V1467" i="17"/>
  <c r="W1464" i="17"/>
  <c r="W1465" i="17"/>
  <c r="W1466" i="17"/>
  <c r="W1467" i="17"/>
  <c r="H1449" i="17"/>
  <c r="H1450" i="17"/>
  <c r="H1451" i="17"/>
  <c r="H1452" i="17"/>
  <c r="H1453" i="17"/>
  <c r="H1454" i="17"/>
  <c r="H1455" i="17"/>
  <c r="H1456" i="17"/>
  <c r="H1457" i="17"/>
  <c r="H1458" i="17"/>
  <c r="H1459" i="17"/>
  <c r="H1460" i="17"/>
  <c r="H1461" i="17"/>
  <c r="H1462" i="17"/>
  <c r="H1463" i="17"/>
  <c r="H1468" i="17"/>
  <c r="I1449" i="17"/>
  <c r="I1450" i="17"/>
  <c r="I1451" i="17"/>
  <c r="I1452" i="17"/>
  <c r="I1453" i="17"/>
  <c r="I1454" i="17"/>
  <c r="I1455" i="17"/>
  <c r="I1456" i="17"/>
  <c r="I1457" i="17"/>
  <c r="I1458" i="17"/>
  <c r="I1459" i="17"/>
  <c r="I1460" i="17"/>
  <c r="I1461" i="17"/>
  <c r="I1462" i="17"/>
  <c r="I1463" i="17"/>
  <c r="I1468" i="17"/>
  <c r="J1449" i="17"/>
  <c r="J1450" i="17"/>
  <c r="J1451" i="17"/>
  <c r="J1452" i="17"/>
  <c r="J1453" i="17"/>
  <c r="J1454" i="17"/>
  <c r="J1455" i="17"/>
  <c r="J1456" i="17"/>
  <c r="J1457" i="17"/>
  <c r="J1458" i="17"/>
  <c r="J1459" i="17"/>
  <c r="J1460" i="17"/>
  <c r="J1461" i="17"/>
  <c r="J1462" i="17"/>
  <c r="J1463" i="17"/>
  <c r="J1468" i="17"/>
  <c r="K1449" i="17"/>
  <c r="K1450" i="17"/>
  <c r="K1451" i="17"/>
  <c r="K1452" i="17"/>
  <c r="K1453" i="17"/>
  <c r="K1454" i="17"/>
  <c r="K1455" i="17"/>
  <c r="K1456" i="17"/>
  <c r="K1457" i="17"/>
  <c r="K1458" i="17"/>
  <c r="K1459" i="17"/>
  <c r="K1460" i="17"/>
  <c r="K1461" i="17"/>
  <c r="K1462" i="17"/>
  <c r="K1463" i="17"/>
  <c r="K1468" i="17"/>
  <c r="N1449" i="17"/>
  <c r="N1450" i="17"/>
  <c r="N1451" i="17"/>
  <c r="N1452" i="17"/>
  <c r="N1453" i="17"/>
  <c r="N1454" i="17"/>
  <c r="N1455" i="17"/>
  <c r="N1456" i="17"/>
  <c r="N1457" i="17"/>
  <c r="N1458" i="17"/>
  <c r="N1459" i="17"/>
  <c r="N1460" i="17"/>
  <c r="N1461" i="17"/>
  <c r="N1462" i="17"/>
  <c r="N1463" i="17"/>
  <c r="N1468" i="17"/>
  <c r="O1449" i="17"/>
  <c r="O1450" i="17"/>
  <c r="O1451" i="17"/>
  <c r="O1452" i="17"/>
  <c r="O1453" i="17"/>
  <c r="O1454" i="17"/>
  <c r="O1455" i="17"/>
  <c r="O1456" i="17"/>
  <c r="O1457" i="17"/>
  <c r="O1458" i="17"/>
  <c r="O1459" i="17"/>
  <c r="O1460" i="17"/>
  <c r="O1461" i="17"/>
  <c r="O1462" i="17"/>
  <c r="O1463" i="17"/>
  <c r="O1468" i="17"/>
  <c r="Q1449" i="17"/>
  <c r="Q1450" i="17"/>
  <c r="Q1451" i="17"/>
  <c r="Q1452" i="17"/>
  <c r="Q1453" i="17"/>
  <c r="Q1454" i="17"/>
  <c r="Q1455" i="17"/>
  <c r="Q1456" i="17"/>
  <c r="Q1457" i="17"/>
  <c r="Q1458" i="17"/>
  <c r="Q1459" i="17"/>
  <c r="Q1460" i="17"/>
  <c r="Q1461" i="17"/>
  <c r="Q1462" i="17"/>
  <c r="Q1463" i="17"/>
  <c r="Q1468" i="17"/>
  <c r="S1449" i="17"/>
  <c r="S1450" i="17"/>
  <c r="S1451" i="17"/>
  <c r="S1452" i="17"/>
  <c r="S1453" i="17"/>
  <c r="S1454" i="17"/>
  <c r="S1455" i="17"/>
  <c r="S1456" i="17"/>
  <c r="S1457" i="17"/>
  <c r="S1458" i="17"/>
  <c r="S1459" i="17"/>
  <c r="S1460" i="17"/>
  <c r="S1461" i="17"/>
  <c r="S1462" i="17"/>
  <c r="S1463" i="17"/>
  <c r="S1468" i="17"/>
  <c r="T1449" i="17"/>
  <c r="T1450" i="17"/>
  <c r="T1451" i="17"/>
  <c r="T1452" i="17"/>
  <c r="T1453" i="17"/>
  <c r="T1454" i="17"/>
  <c r="T1455" i="17"/>
  <c r="T1456" i="17"/>
  <c r="T1457" i="17"/>
  <c r="T1458" i="17"/>
  <c r="T1459" i="17"/>
  <c r="T1460" i="17"/>
  <c r="T1461" i="17"/>
  <c r="T1462" i="17"/>
  <c r="T1463" i="17"/>
  <c r="T1468" i="17"/>
  <c r="U1449" i="17"/>
  <c r="U1450" i="17"/>
  <c r="U1451" i="17"/>
  <c r="U1452" i="17"/>
  <c r="U1453" i="17"/>
  <c r="U1454" i="17"/>
  <c r="U1455" i="17"/>
  <c r="U1456" i="17"/>
  <c r="U1457" i="17"/>
  <c r="U1458" i="17"/>
  <c r="U1459" i="17"/>
  <c r="U1460" i="17"/>
  <c r="U1461" i="17"/>
  <c r="U1462" i="17"/>
  <c r="U1463" i="17"/>
  <c r="U1468" i="17"/>
  <c r="V1449" i="17"/>
  <c r="V1450" i="17"/>
  <c r="V1451" i="17"/>
  <c r="V1452" i="17"/>
  <c r="V1453" i="17"/>
  <c r="V1454" i="17"/>
  <c r="V1455" i="17"/>
  <c r="V1456" i="17"/>
  <c r="V1457" i="17"/>
  <c r="V1458" i="17"/>
  <c r="V1459" i="17"/>
  <c r="V1460" i="17"/>
  <c r="V1461" i="17"/>
  <c r="V1462" i="17"/>
  <c r="V1463" i="17"/>
  <c r="V1468" i="17"/>
  <c r="W1449" i="17"/>
  <c r="W1450" i="17"/>
  <c r="W1451" i="17"/>
  <c r="W1452" i="17"/>
  <c r="W1453" i="17"/>
  <c r="W1454" i="17"/>
  <c r="W1455" i="17"/>
  <c r="W1456" i="17"/>
  <c r="W1457" i="17"/>
  <c r="W1458" i="17"/>
  <c r="W1459" i="17"/>
  <c r="W1460" i="17"/>
  <c r="W1461" i="17"/>
  <c r="W1462" i="17"/>
  <c r="W1463" i="17"/>
  <c r="W1468" i="17"/>
  <c r="H1388" i="17"/>
  <c r="H1389" i="17"/>
  <c r="I1388" i="17"/>
  <c r="I1389" i="17"/>
  <c r="J1388" i="17"/>
  <c r="J1389" i="17"/>
  <c r="K1388" i="17"/>
  <c r="K1389" i="17"/>
  <c r="N1388" i="17"/>
  <c r="N1389" i="17"/>
  <c r="O1388" i="17"/>
  <c r="O1389" i="17"/>
  <c r="Q1388" i="17"/>
  <c r="Q1389" i="17"/>
  <c r="S1388" i="17"/>
  <c r="S1389" i="17"/>
  <c r="T1388" i="17"/>
  <c r="T1389" i="17"/>
  <c r="U1388" i="17"/>
  <c r="U1389" i="17"/>
  <c r="V1388" i="17"/>
  <c r="V1389" i="17"/>
  <c r="W1388" i="17"/>
  <c r="W1389" i="17"/>
  <c r="H1382" i="17"/>
  <c r="H1383" i="17"/>
  <c r="H1384" i="17"/>
  <c r="H1385" i="17"/>
  <c r="H1386" i="17"/>
  <c r="H1387" i="17"/>
  <c r="I1382" i="17"/>
  <c r="I1383" i="17"/>
  <c r="I1384" i="17"/>
  <c r="I1385" i="17"/>
  <c r="I1386" i="17"/>
  <c r="I1387" i="17"/>
  <c r="J1382" i="17"/>
  <c r="J1383" i="17"/>
  <c r="J1384" i="17"/>
  <c r="J1385" i="17"/>
  <c r="J1386" i="17"/>
  <c r="J1387" i="17"/>
  <c r="K1382" i="17"/>
  <c r="K1383" i="17"/>
  <c r="K1384" i="17"/>
  <c r="K1385" i="17"/>
  <c r="K1386" i="17"/>
  <c r="K1387" i="17"/>
  <c r="N1382" i="17"/>
  <c r="N1383" i="17"/>
  <c r="N1384" i="17"/>
  <c r="N1385" i="17"/>
  <c r="N1386" i="17"/>
  <c r="N1387" i="17"/>
  <c r="O1382" i="17"/>
  <c r="O1383" i="17"/>
  <c r="O1384" i="17"/>
  <c r="O1385" i="17"/>
  <c r="O1386" i="17"/>
  <c r="O1387" i="17"/>
  <c r="Q1382" i="17"/>
  <c r="Q1383" i="17"/>
  <c r="Q1384" i="17"/>
  <c r="Q1385" i="17"/>
  <c r="Q1386" i="17"/>
  <c r="Q1387" i="17"/>
  <c r="S1382" i="17"/>
  <c r="S1383" i="17"/>
  <c r="S1384" i="17"/>
  <c r="S1385" i="17"/>
  <c r="S1386" i="17"/>
  <c r="S1387" i="17"/>
  <c r="T1382" i="17"/>
  <c r="T1383" i="17"/>
  <c r="T1384" i="17"/>
  <c r="T1385" i="17"/>
  <c r="T1386" i="17"/>
  <c r="T1387" i="17"/>
  <c r="U1382" i="17"/>
  <c r="U1383" i="17"/>
  <c r="U1384" i="17"/>
  <c r="U1385" i="17"/>
  <c r="U1386" i="17"/>
  <c r="U1387" i="17"/>
  <c r="V1382" i="17"/>
  <c r="V1383" i="17"/>
  <c r="V1384" i="17"/>
  <c r="V1385" i="17"/>
  <c r="V1386" i="17"/>
  <c r="V1387" i="17"/>
  <c r="W1382" i="17"/>
  <c r="W1383" i="17"/>
  <c r="W1384" i="17"/>
  <c r="W1385" i="17"/>
  <c r="W1386" i="17"/>
  <c r="W1387" i="17"/>
  <c r="H1371" i="17"/>
  <c r="H1372" i="17"/>
  <c r="H1373" i="17"/>
  <c r="H1374" i="17"/>
  <c r="H1375" i="17"/>
  <c r="H1376" i="17"/>
  <c r="H1377" i="17"/>
  <c r="H1378" i="17"/>
  <c r="H1379" i="17"/>
  <c r="H1380" i="17"/>
  <c r="H1381" i="17"/>
  <c r="I1371" i="17"/>
  <c r="I1372" i="17"/>
  <c r="I1373" i="17"/>
  <c r="I1374" i="17"/>
  <c r="I1375" i="17"/>
  <c r="I1376" i="17"/>
  <c r="I1377" i="17"/>
  <c r="I1378" i="17"/>
  <c r="I1379" i="17"/>
  <c r="I1380" i="17"/>
  <c r="I1381" i="17"/>
  <c r="J1371" i="17"/>
  <c r="J1372" i="17"/>
  <c r="J1373" i="17"/>
  <c r="J1374" i="17"/>
  <c r="J1375" i="17"/>
  <c r="J1376" i="17"/>
  <c r="J1377" i="17"/>
  <c r="J1378" i="17"/>
  <c r="J1379" i="17"/>
  <c r="J1380" i="17"/>
  <c r="J1381" i="17"/>
  <c r="K1371" i="17"/>
  <c r="K1372" i="17"/>
  <c r="K1373" i="17"/>
  <c r="K1374" i="17"/>
  <c r="K1375" i="17"/>
  <c r="K1376" i="17"/>
  <c r="K1377" i="17"/>
  <c r="K1378" i="17"/>
  <c r="K1379" i="17"/>
  <c r="K1380" i="17"/>
  <c r="K1381" i="17"/>
  <c r="N1371" i="17"/>
  <c r="N1372" i="17"/>
  <c r="N1373" i="17"/>
  <c r="N1374" i="17"/>
  <c r="N1375" i="17"/>
  <c r="N1376" i="17"/>
  <c r="N1377" i="17"/>
  <c r="N1378" i="17"/>
  <c r="N1379" i="17"/>
  <c r="N1380" i="17"/>
  <c r="N1381" i="17"/>
  <c r="O1371" i="17"/>
  <c r="O1372" i="17"/>
  <c r="O1373" i="17"/>
  <c r="O1374" i="17"/>
  <c r="O1375" i="17"/>
  <c r="O1376" i="17"/>
  <c r="O1377" i="17"/>
  <c r="O1378" i="17"/>
  <c r="O1379" i="17"/>
  <c r="O1380" i="17"/>
  <c r="O1381" i="17"/>
  <c r="Q1371" i="17"/>
  <c r="Q1372" i="17"/>
  <c r="Q1373" i="17"/>
  <c r="Q1374" i="17"/>
  <c r="Q1375" i="17"/>
  <c r="Q1376" i="17"/>
  <c r="Q1377" i="17"/>
  <c r="Q1378" i="17"/>
  <c r="Q1379" i="17"/>
  <c r="Q1380" i="17"/>
  <c r="Q1381" i="17"/>
  <c r="S1371" i="17"/>
  <c r="S1372" i="17"/>
  <c r="S1373" i="17"/>
  <c r="S1374" i="17"/>
  <c r="S1375" i="17"/>
  <c r="S1376" i="17"/>
  <c r="S1377" i="17"/>
  <c r="S1378" i="17"/>
  <c r="S1379" i="17"/>
  <c r="S1380" i="17"/>
  <c r="S1381" i="17"/>
  <c r="T1371" i="17"/>
  <c r="T1372" i="17"/>
  <c r="T1373" i="17"/>
  <c r="T1374" i="17"/>
  <c r="T1375" i="17"/>
  <c r="T1376" i="17"/>
  <c r="T1377" i="17"/>
  <c r="T1378" i="17"/>
  <c r="T1379" i="17"/>
  <c r="T1380" i="17"/>
  <c r="T1381" i="17"/>
  <c r="U1371" i="17"/>
  <c r="U1372" i="17"/>
  <c r="U1373" i="17"/>
  <c r="U1374" i="17"/>
  <c r="U1375" i="17"/>
  <c r="U1376" i="17"/>
  <c r="U1377" i="17"/>
  <c r="U1378" i="17"/>
  <c r="U1379" i="17"/>
  <c r="U1380" i="17"/>
  <c r="U1381" i="17"/>
  <c r="V1371" i="17"/>
  <c r="V1372" i="17"/>
  <c r="V1373" i="17"/>
  <c r="V1374" i="17"/>
  <c r="V1375" i="17"/>
  <c r="V1376" i="17"/>
  <c r="V1377" i="17"/>
  <c r="V1378" i="17"/>
  <c r="V1379" i="17"/>
  <c r="V1380" i="17"/>
  <c r="V1381" i="17"/>
  <c r="W1371" i="17"/>
  <c r="W1372" i="17"/>
  <c r="W1373" i="17"/>
  <c r="W1374" i="17"/>
  <c r="W1375" i="17"/>
  <c r="W1376" i="17"/>
  <c r="W1377" i="17"/>
  <c r="W1378" i="17"/>
  <c r="W1379" i="17"/>
  <c r="W1380" i="17"/>
  <c r="W1381" i="17"/>
  <c r="H1321" i="17"/>
  <c r="H1322" i="17"/>
  <c r="H1323" i="17"/>
  <c r="H1324" i="17"/>
  <c r="H1325" i="17"/>
  <c r="H1326" i="17"/>
  <c r="H1327" i="17"/>
  <c r="H1328" i="17"/>
  <c r="H1329" i="17"/>
  <c r="H1330" i="17"/>
  <c r="H1331" i="17"/>
  <c r="H1332" i="17"/>
  <c r="H1333" i="17"/>
  <c r="H1334" i="17"/>
  <c r="H1335" i="17"/>
  <c r="I1321" i="17"/>
  <c r="I1322" i="17"/>
  <c r="I1323" i="17"/>
  <c r="I1324" i="17"/>
  <c r="I1325" i="17"/>
  <c r="I1326" i="17"/>
  <c r="I1327" i="17"/>
  <c r="I1328" i="17"/>
  <c r="I1329" i="17"/>
  <c r="I1330" i="17"/>
  <c r="I1331" i="17"/>
  <c r="I1332" i="17"/>
  <c r="I1333" i="17"/>
  <c r="I1334" i="17"/>
  <c r="I1335" i="17"/>
  <c r="J1321" i="17"/>
  <c r="J1322" i="17"/>
  <c r="J1323" i="17"/>
  <c r="J1324" i="17"/>
  <c r="J1325" i="17"/>
  <c r="J1326" i="17"/>
  <c r="J1327" i="17"/>
  <c r="J1328" i="17"/>
  <c r="J1329" i="17"/>
  <c r="J1330" i="17"/>
  <c r="J1331" i="17"/>
  <c r="J1332" i="17"/>
  <c r="J1333" i="17"/>
  <c r="J1334" i="17"/>
  <c r="J1335" i="17"/>
  <c r="K1321" i="17"/>
  <c r="K1322" i="17"/>
  <c r="K1323" i="17"/>
  <c r="K1324" i="17"/>
  <c r="K1325" i="17"/>
  <c r="K1326" i="17"/>
  <c r="K1327" i="17"/>
  <c r="K1328" i="17"/>
  <c r="K1329" i="17"/>
  <c r="K1330" i="17"/>
  <c r="K1331" i="17"/>
  <c r="K1332" i="17"/>
  <c r="K1333" i="17"/>
  <c r="K1334" i="17"/>
  <c r="K1335" i="17"/>
  <c r="N1321" i="17"/>
  <c r="N1322" i="17"/>
  <c r="N1323" i="17"/>
  <c r="N1324" i="17"/>
  <c r="N1325" i="17"/>
  <c r="N1326" i="17"/>
  <c r="N1327" i="17"/>
  <c r="N1328" i="17"/>
  <c r="N1329" i="17"/>
  <c r="N1330" i="17"/>
  <c r="N1331" i="17"/>
  <c r="N1332" i="17"/>
  <c r="N1333" i="17"/>
  <c r="N1334" i="17"/>
  <c r="N1335" i="17"/>
  <c r="O1321" i="17"/>
  <c r="O1322" i="17"/>
  <c r="O1323" i="17"/>
  <c r="O1324" i="17"/>
  <c r="O1325" i="17"/>
  <c r="O1326" i="17"/>
  <c r="O1327" i="17"/>
  <c r="O1328" i="17"/>
  <c r="O1329" i="17"/>
  <c r="O1330" i="17"/>
  <c r="O1331" i="17"/>
  <c r="O1332" i="17"/>
  <c r="O1333" i="17"/>
  <c r="O1334" i="17"/>
  <c r="O1335" i="17"/>
  <c r="Q1321" i="17"/>
  <c r="Q1322" i="17"/>
  <c r="Q1323" i="17"/>
  <c r="Q1324" i="17"/>
  <c r="Q1325" i="17"/>
  <c r="Q1326" i="17"/>
  <c r="Q1327" i="17"/>
  <c r="Q1328" i="17"/>
  <c r="Q1329" i="17"/>
  <c r="Q1330" i="17"/>
  <c r="Q1331" i="17"/>
  <c r="Q1332" i="17"/>
  <c r="Q1333" i="17"/>
  <c r="Q1334" i="17"/>
  <c r="Q1335" i="17"/>
  <c r="S1321" i="17"/>
  <c r="S1322" i="17"/>
  <c r="S1323" i="17"/>
  <c r="S1324" i="17"/>
  <c r="S1325" i="17"/>
  <c r="S1326" i="17"/>
  <c r="S1327" i="17"/>
  <c r="S1328" i="17"/>
  <c r="S1329" i="17"/>
  <c r="S1330" i="17"/>
  <c r="S1331" i="17"/>
  <c r="S1332" i="17"/>
  <c r="S1333" i="17"/>
  <c r="S1334" i="17"/>
  <c r="S1335" i="17"/>
  <c r="T1321" i="17"/>
  <c r="T1322" i="17"/>
  <c r="T1323" i="17"/>
  <c r="T1324" i="17"/>
  <c r="T1325" i="17"/>
  <c r="T1326" i="17"/>
  <c r="T1327" i="17"/>
  <c r="T1328" i="17"/>
  <c r="T1329" i="17"/>
  <c r="T1330" i="17"/>
  <c r="T1331" i="17"/>
  <c r="T1332" i="17"/>
  <c r="T1333" i="17"/>
  <c r="T1334" i="17"/>
  <c r="T1335" i="17"/>
  <c r="U1321" i="17"/>
  <c r="U1322" i="17"/>
  <c r="U1323" i="17"/>
  <c r="U1324" i="17"/>
  <c r="U1325" i="17"/>
  <c r="U1326" i="17"/>
  <c r="U1327" i="17"/>
  <c r="U1328" i="17"/>
  <c r="U1329" i="17"/>
  <c r="U1330" i="17"/>
  <c r="U1331" i="17"/>
  <c r="U1332" i="17"/>
  <c r="U1333" i="17"/>
  <c r="U1334" i="17"/>
  <c r="U1335" i="17"/>
  <c r="V1321" i="17"/>
  <c r="V1322" i="17"/>
  <c r="V1323" i="17"/>
  <c r="V1324" i="17"/>
  <c r="V1325" i="17"/>
  <c r="V1326" i="17"/>
  <c r="V1327" i="17"/>
  <c r="V1328" i="17"/>
  <c r="V1329" i="17"/>
  <c r="V1330" i="17"/>
  <c r="V1331" i="17"/>
  <c r="V1332" i="17"/>
  <c r="V1333" i="17"/>
  <c r="V1334" i="17"/>
  <c r="V1335" i="17"/>
  <c r="W1321" i="17"/>
  <c r="W1322" i="17"/>
  <c r="W1323" i="17"/>
  <c r="W1324" i="17"/>
  <c r="W1325" i="17"/>
  <c r="W1326" i="17"/>
  <c r="W1327" i="17"/>
  <c r="W1328" i="17"/>
  <c r="W1329" i="17"/>
  <c r="W1330" i="17"/>
  <c r="W1331" i="17"/>
  <c r="W1332" i="17"/>
  <c r="W1333" i="17"/>
  <c r="W1334" i="17"/>
  <c r="W1335" i="17"/>
  <c r="H1307" i="17"/>
  <c r="H1308" i="17"/>
  <c r="H1309" i="17"/>
  <c r="H1310" i="17"/>
  <c r="H1311" i="17"/>
  <c r="H1312" i="17"/>
  <c r="H1313" i="17"/>
  <c r="H1314" i="17"/>
  <c r="H1315" i="17"/>
  <c r="H1316" i="17"/>
  <c r="H1317" i="17"/>
  <c r="H1318" i="17"/>
  <c r="H1319" i="17"/>
  <c r="I1307" i="17"/>
  <c r="I1308" i="17"/>
  <c r="I1309" i="17"/>
  <c r="I1310" i="17"/>
  <c r="I1311" i="17"/>
  <c r="I1312" i="17"/>
  <c r="I1313" i="17"/>
  <c r="I1314" i="17"/>
  <c r="I1315" i="17"/>
  <c r="I1316" i="17"/>
  <c r="I1317" i="17"/>
  <c r="I1318" i="17"/>
  <c r="I1319" i="17"/>
  <c r="J1307" i="17"/>
  <c r="J1308" i="17"/>
  <c r="J1309" i="17"/>
  <c r="J1310" i="17"/>
  <c r="J1311" i="17"/>
  <c r="J1312" i="17"/>
  <c r="J1313" i="17"/>
  <c r="J1314" i="17"/>
  <c r="J1315" i="17"/>
  <c r="J1316" i="17"/>
  <c r="J1317" i="17"/>
  <c r="J1318" i="17"/>
  <c r="J1319" i="17"/>
  <c r="K1307" i="17"/>
  <c r="K1308" i="17"/>
  <c r="K1309" i="17"/>
  <c r="K1310" i="17"/>
  <c r="K1311" i="17"/>
  <c r="K1312" i="17"/>
  <c r="K1313" i="17"/>
  <c r="K1314" i="17"/>
  <c r="K1315" i="17"/>
  <c r="K1316" i="17"/>
  <c r="K1317" i="17"/>
  <c r="K1318" i="17"/>
  <c r="K1319" i="17"/>
  <c r="N1307" i="17"/>
  <c r="N1308" i="17"/>
  <c r="N1309" i="17"/>
  <c r="N1310" i="17"/>
  <c r="N1311" i="17"/>
  <c r="N1312" i="17"/>
  <c r="N1313" i="17"/>
  <c r="N1314" i="17"/>
  <c r="N1315" i="17"/>
  <c r="N1316" i="17"/>
  <c r="N1317" i="17"/>
  <c r="N1318" i="17"/>
  <c r="N1319" i="17"/>
  <c r="O1307" i="17"/>
  <c r="O1308" i="17"/>
  <c r="O1309" i="17"/>
  <c r="O1310" i="17"/>
  <c r="O1311" i="17"/>
  <c r="O1312" i="17"/>
  <c r="O1313" i="17"/>
  <c r="O1314" i="17"/>
  <c r="O1315" i="17"/>
  <c r="O1316" i="17"/>
  <c r="O1317" i="17"/>
  <c r="O1318" i="17"/>
  <c r="O1319" i="17"/>
  <c r="Q1307" i="17"/>
  <c r="Q1308" i="17"/>
  <c r="Q1309" i="17"/>
  <c r="Q1310" i="17"/>
  <c r="Q1311" i="17"/>
  <c r="Q1312" i="17"/>
  <c r="Q1313" i="17"/>
  <c r="Q1314" i="17"/>
  <c r="Q1315" i="17"/>
  <c r="Q1316" i="17"/>
  <c r="Q1317" i="17"/>
  <c r="Q1318" i="17"/>
  <c r="Q1319" i="17"/>
  <c r="S1307" i="17"/>
  <c r="S1308" i="17"/>
  <c r="S1309" i="17"/>
  <c r="S1310" i="17"/>
  <c r="S1311" i="17"/>
  <c r="S1312" i="17"/>
  <c r="S1313" i="17"/>
  <c r="S1314" i="17"/>
  <c r="S1315" i="17"/>
  <c r="S1316" i="17"/>
  <c r="S1317" i="17"/>
  <c r="S1318" i="17"/>
  <c r="S1319" i="17"/>
  <c r="T1307" i="17"/>
  <c r="T1308" i="17"/>
  <c r="T1309" i="17"/>
  <c r="T1310" i="17"/>
  <c r="T1311" i="17"/>
  <c r="T1312" i="17"/>
  <c r="T1313" i="17"/>
  <c r="T1314" i="17"/>
  <c r="T1315" i="17"/>
  <c r="T1316" i="17"/>
  <c r="T1317" i="17"/>
  <c r="T1318" i="17"/>
  <c r="T1319" i="17"/>
  <c r="U1307" i="17"/>
  <c r="U1308" i="17"/>
  <c r="U1309" i="17"/>
  <c r="U1310" i="17"/>
  <c r="U1311" i="17"/>
  <c r="U1312" i="17"/>
  <c r="U1313" i="17"/>
  <c r="U1314" i="17"/>
  <c r="U1315" i="17"/>
  <c r="U1316" i="17"/>
  <c r="U1317" i="17"/>
  <c r="U1318" i="17"/>
  <c r="U1319" i="17"/>
  <c r="V1307" i="17"/>
  <c r="V1308" i="17"/>
  <c r="V1309" i="17"/>
  <c r="V1310" i="17"/>
  <c r="V1311" i="17"/>
  <c r="V1312" i="17"/>
  <c r="V1313" i="17"/>
  <c r="V1314" i="17"/>
  <c r="V1315" i="17"/>
  <c r="V1316" i="17"/>
  <c r="V1317" i="17"/>
  <c r="V1318" i="17"/>
  <c r="V1319" i="17"/>
  <c r="W1307" i="17"/>
  <c r="W1308" i="17"/>
  <c r="W1309" i="17"/>
  <c r="W1310" i="17"/>
  <c r="W1311" i="17"/>
  <c r="W1312" i="17"/>
  <c r="W1313" i="17"/>
  <c r="W1314" i="17"/>
  <c r="W1315" i="17"/>
  <c r="W1316" i="17"/>
  <c r="W1317" i="17"/>
  <c r="W1318" i="17"/>
  <c r="W1319" i="17"/>
  <c r="H1235" i="17"/>
  <c r="H1236" i="17"/>
  <c r="H1237" i="17"/>
  <c r="I1235" i="17"/>
  <c r="I1236" i="17"/>
  <c r="I1237" i="17"/>
  <c r="J1235" i="17"/>
  <c r="J1236" i="17"/>
  <c r="J1237" i="17"/>
  <c r="K1235" i="17"/>
  <c r="K1236" i="17"/>
  <c r="K1237" i="17"/>
  <c r="N1235" i="17"/>
  <c r="N1236" i="17"/>
  <c r="N1237" i="17"/>
  <c r="O1235" i="17"/>
  <c r="O1236" i="17"/>
  <c r="O1237" i="17"/>
  <c r="Q1235" i="17"/>
  <c r="Q1236" i="17"/>
  <c r="Q1237" i="17"/>
  <c r="S1235" i="17"/>
  <c r="S1236" i="17"/>
  <c r="S1237" i="17"/>
  <c r="T1235" i="17"/>
  <c r="T1236" i="17"/>
  <c r="T1237" i="17"/>
  <c r="U1235" i="17"/>
  <c r="U1236" i="17"/>
  <c r="U1237" i="17"/>
  <c r="V1235" i="17"/>
  <c r="V1236" i="17"/>
  <c r="V1237" i="17"/>
  <c r="W1235" i="17"/>
  <c r="W1236" i="17"/>
  <c r="W1237" i="17"/>
  <c r="H1221" i="17"/>
  <c r="H1222" i="17"/>
  <c r="H1223" i="17"/>
  <c r="H1224" i="17"/>
  <c r="H1225" i="17"/>
  <c r="H1227" i="17"/>
  <c r="H1228" i="17"/>
  <c r="H1229" i="17"/>
  <c r="H1230" i="17"/>
  <c r="H1231" i="17"/>
  <c r="H1232" i="17"/>
  <c r="H1233" i="17"/>
  <c r="H1234" i="17"/>
  <c r="I1221" i="17"/>
  <c r="I1222" i="17"/>
  <c r="I1223" i="17"/>
  <c r="I1224" i="17"/>
  <c r="I1225" i="17"/>
  <c r="I1227" i="17"/>
  <c r="I1228" i="17"/>
  <c r="I1229" i="17"/>
  <c r="I1230" i="17"/>
  <c r="I1231" i="17"/>
  <c r="I1232" i="17"/>
  <c r="I1233" i="17"/>
  <c r="I1234" i="17"/>
  <c r="J1221" i="17"/>
  <c r="J1222" i="17"/>
  <c r="J1223" i="17"/>
  <c r="J1224" i="17"/>
  <c r="J1225" i="17"/>
  <c r="J1227" i="17"/>
  <c r="J1228" i="17"/>
  <c r="J1229" i="17"/>
  <c r="J1230" i="17"/>
  <c r="J1231" i="17"/>
  <c r="J1232" i="17"/>
  <c r="J1233" i="17"/>
  <c r="J1234" i="17"/>
  <c r="K1221" i="17"/>
  <c r="K1222" i="17"/>
  <c r="K1223" i="17"/>
  <c r="K1224" i="17"/>
  <c r="K1225" i="17"/>
  <c r="K1227" i="17"/>
  <c r="K1228" i="17"/>
  <c r="K1229" i="17"/>
  <c r="K1230" i="17"/>
  <c r="K1231" i="17"/>
  <c r="K1232" i="17"/>
  <c r="K1233" i="17"/>
  <c r="K1234" i="17"/>
  <c r="N1221" i="17"/>
  <c r="N1222" i="17"/>
  <c r="N1223" i="17"/>
  <c r="N1224" i="17"/>
  <c r="N1225" i="17"/>
  <c r="N1227" i="17"/>
  <c r="N1228" i="17"/>
  <c r="N1229" i="17"/>
  <c r="N1230" i="17"/>
  <c r="N1231" i="17"/>
  <c r="N1232" i="17"/>
  <c r="N1233" i="17"/>
  <c r="N1234" i="17"/>
  <c r="O1221" i="17"/>
  <c r="O1222" i="17"/>
  <c r="O1223" i="17"/>
  <c r="O1224" i="17"/>
  <c r="O1225" i="17"/>
  <c r="O1227" i="17"/>
  <c r="O1228" i="17"/>
  <c r="O1229" i="17"/>
  <c r="O1230" i="17"/>
  <c r="O1231" i="17"/>
  <c r="O1232" i="17"/>
  <c r="O1233" i="17"/>
  <c r="O1234" i="17"/>
  <c r="Q1221" i="17"/>
  <c r="Q1222" i="17"/>
  <c r="Q1223" i="17"/>
  <c r="Q1224" i="17"/>
  <c r="Q1225" i="17"/>
  <c r="Q1227" i="17"/>
  <c r="Q1228" i="17"/>
  <c r="Q1229" i="17"/>
  <c r="Q1230" i="17"/>
  <c r="Q1231" i="17"/>
  <c r="Q1232" i="17"/>
  <c r="Q1233" i="17"/>
  <c r="Q1234" i="17"/>
  <c r="S1221" i="17"/>
  <c r="S1222" i="17"/>
  <c r="S1223" i="17"/>
  <c r="S1224" i="17"/>
  <c r="S1225" i="17"/>
  <c r="S1227" i="17"/>
  <c r="S1228" i="17"/>
  <c r="S1229" i="17"/>
  <c r="S1230" i="17"/>
  <c r="S1231" i="17"/>
  <c r="S1232" i="17"/>
  <c r="S1233" i="17"/>
  <c r="S1234" i="17"/>
  <c r="T1221" i="17"/>
  <c r="T1222" i="17"/>
  <c r="T1223" i="17"/>
  <c r="T1224" i="17"/>
  <c r="T1225" i="17"/>
  <c r="T1227" i="17"/>
  <c r="T1228" i="17"/>
  <c r="T1229" i="17"/>
  <c r="T1230" i="17"/>
  <c r="T1231" i="17"/>
  <c r="T1232" i="17"/>
  <c r="T1233" i="17"/>
  <c r="T1234" i="17"/>
  <c r="U1221" i="17"/>
  <c r="U1222" i="17"/>
  <c r="U1223" i="17"/>
  <c r="U1224" i="17"/>
  <c r="U1225" i="17"/>
  <c r="U1227" i="17"/>
  <c r="U1228" i="17"/>
  <c r="U1229" i="17"/>
  <c r="U1230" i="17"/>
  <c r="U1231" i="17"/>
  <c r="U1232" i="17"/>
  <c r="U1233" i="17"/>
  <c r="U1234" i="17"/>
  <c r="V1221" i="17"/>
  <c r="V1222" i="17"/>
  <c r="V1223" i="17"/>
  <c r="V1224" i="17"/>
  <c r="V1225" i="17"/>
  <c r="V1227" i="17"/>
  <c r="V1228" i="17"/>
  <c r="V1229" i="17"/>
  <c r="V1230" i="17"/>
  <c r="V1231" i="17"/>
  <c r="V1232" i="17"/>
  <c r="V1233" i="17"/>
  <c r="V1234" i="17"/>
  <c r="W1221" i="17"/>
  <c r="W1222" i="17"/>
  <c r="W1223" i="17"/>
  <c r="W1224" i="17"/>
  <c r="W1225" i="17"/>
  <c r="W1227" i="17"/>
  <c r="W1228" i="17"/>
  <c r="W1229" i="17"/>
  <c r="W1230" i="17"/>
  <c r="W1231" i="17"/>
  <c r="W1232" i="17"/>
  <c r="W1233" i="17"/>
  <c r="W1234" i="17"/>
  <c r="H1183" i="17"/>
  <c r="H1184" i="17"/>
  <c r="H1185" i="17"/>
  <c r="I1183" i="17"/>
  <c r="I1184" i="17"/>
  <c r="I1185" i="17"/>
  <c r="J1183" i="17"/>
  <c r="J1184" i="17"/>
  <c r="J1185" i="17"/>
  <c r="K1183" i="17"/>
  <c r="K1184" i="17"/>
  <c r="K1185" i="17"/>
  <c r="N1183" i="17"/>
  <c r="N1184" i="17"/>
  <c r="N1185" i="17"/>
  <c r="O1183" i="17"/>
  <c r="O1184" i="17"/>
  <c r="O1185" i="17"/>
  <c r="Q1183" i="17"/>
  <c r="Q1184" i="17"/>
  <c r="Q1185" i="17"/>
  <c r="S1183" i="17"/>
  <c r="S1184" i="17"/>
  <c r="S1185" i="17"/>
  <c r="T1183" i="17"/>
  <c r="T1184" i="17"/>
  <c r="T1185" i="17"/>
  <c r="U1183" i="17"/>
  <c r="U1184" i="17"/>
  <c r="U1185" i="17"/>
  <c r="V1183" i="17"/>
  <c r="V1184" i="17"/>
  <c r="V1185" i="17"/>
  <c r="W1183" i="17"/>
  <c r="W1184" i="17"/>
  <c r="W1185" i="17"/>
  <c r="H1168" i="17"/>
  <c r="H1169" i="17"/>
  <c r="H1170" i="17"/>
  <c r="H1171" i="17"/>
  <c r="H1172" i="17"/>
  <c r="H1173" i="17"/>
  <c r="H1174" i="17"/>
  <c r="H1175" i="17"/>
  <c r="H1176" i="17"/>
  <c r="H1177" i="17"/>
  <c r="H1178" i="17"/>
  <c r="H1179" i="17"/>
  <c r="H1180" i="17"/>
  <c r="H1181" i="17"/>
  <c r="H1182" i="17"/>
  <c r="I1168" i="17"/>
  <c r="I1169" i="17"/>
  <c r="I1170" i="17"/>
  <c r="I1171" i="17"/>
  <c r="I1172" i="17"/>
  <c r="I1173" i="17"/>
  <c r="I1174" i="17"/>
  <c r="I1175" i="17"/>
  <c r="I1176" i="17"/>
  <c r="I1177" i="17"/>
  <c r="I1178" i="17"/>
  <c r="I1179" i="17"/>
  <c r="I1180" i="17"/>
  <c r="I1181" i="17"/>
  <c r="I1182" i="17"/>
  <c r="J1168" i="17"/>
  <c r="J1169" i="17"/>
  <c r="J1170" i="17"/>
  <c r="J1171" i="17"/>
  <c r="J1172" i="17"/>
  <c r="J1173" i="17"/>
  <c r="J1174" i="17"/>
  <c r="J1175" i="17"/>
  <c r="J1176" i="17"/>
  <c r="J1177" i="17"/>
  <c r="J1178" i="17"/>
  <c r="J1179" i="17"/>
  <c r="J1180" i="17"/>
  <c r="J1181" i="17"/>
  <c r="J1182" i="17"/>
  <c r="K1168" i="17"/>
  <c r="K1169" i="17"/>
  <c r="K1170" i="17"/>
  <c r="K1171" i="17"/>
  <c r="K1172" i="17"/>
  <c r="K1173" i="17"/>
  <c r="K1174" i="17"/>
  <c r="K1175" i="17"/>
  <c r="K1176" i="17"/>
  <c r="K1177" i="17"/>
  <c r="K1178" i="17"/>
  <c r="K1179" i="17"/>
  <c r="K1180" i="17"/>
  <c r="K1181" i="17"/>
  <c r="K1182" i="17"/>
  <c r="N1168" i="17"/>
  <c r="N1169" i="17"/>
  <c r="N1170" i="17"/>
  <c r="N1171" i="17"/>
  <c r="N1172" i="17"/>
  <c r="N1173" i="17"/>
  <c r="N1174" i="17"/>
  <c r="N1175" i="17"/>
  <c r="N1176" i="17"/>
  <c r="N1177" i="17"/>
  <c r="N1178" i="17"/>
  <c r="N1179" i="17"/>
  <c r="N1180" i="17"/>
  <c r="N1181" i="17"/>
  <c r="N1182" i="17"/>
  <c r="O1168" i="17"/>
  <c r="O1169" i="17"/>
  <c r="O1170" i="17"/>
  <c r="O1171" i="17"/>
  <c r="O1172" i="17"/>
  <c r="O1173" i="17"/>
  <c r="O1174" i="17"/>
  <c r="O1175" i="17"/>
  <c r="O1176" i="17"/>
  <c r="O1177" i="17"/>
  <c r="O1178" i="17"/>
  <c r="O1179" i="17"/>
  <c r="O1180" i="17"/>
  <c r="O1181" i="17"/>
  <c r="O1182" i="17"/>
  <c r="Q1168" i="17"/>
  <c r="Q1169" i="17"/>
  <c r="Q1170" i="17"/>
  <c r="Q1171" i="17"/>
  <c r="Q1172" i="17"/>
  <c r="Q1173" i="17"/>
  <c r="Q1174" i="17"/>
  <c r="Q1175" i="17"/>
  <c r="Q1176" i="17"/>
  <c r="Q1177" i="17"/>
  <c r="Q1178" i="17"/>
  <c r="Q1179" i="17"/>
  <c r="Q1180" i="17"/>
  <c r="Q1181" i="17"/>
  <c r="Q1182" i="17"/>
  <c r="S1168" i="17"/>
  <c r="S1169" i="17"/>
  <c r="S1170" i="17"/>
  <c r="S1171" i="17"/>
  <c r="S1172" i="17"/>
  <c r="S1173" i="17"/>
  <c r="S1174" i="17"/>
  <c r="S1175" i="17"/>
  <c r="S1176" i="17"/>
  <c r="S1177" i="17"/>
  <c r="S1178" i="17"/>
  <c r="S1179" i="17"/>
  <c r="S1180" i="17"/>
  <c r="S1181" i="17"/>
  <c r="S1182" i="17"/>
  <c r="T1168" i="17"/>
  <c r="T1169" i="17"/>
  <c r="T1170" i="17"/>
  <c r="T1171" i="17"/>
  <c r="T1172" i="17"/>
  <c r="T1173" i="17"/>
  <c r="T1174" i="17"/>
  <c r="T1175" i="17"/>
  <c r="T1176" i="17"/>
  <c r="T1177" i="17"/>
  <c r="T1178" i="17"/>
  <c r="T1179" i="17"/>
  <c r="T1180" i="17"/>
  <c r="T1181" i="17"/>
  <c r="T1182" i="17"/>
  <c r="U1168" i="17"/>
  <c r="U1169" i="17"/>
  <c r="U1170" i="17"/>
  <c r="U1171" i="17"/>
  <c r="U1172" i="17"/>
  <c r="U1173" i="17"/>
  <c r="U1174" i="17"/>
  <c r="U1175" i="17"/>
  <c r="U1176" i="17"/>
  <c r="U1177" i="17"/>
  <c r="U1178" i="17"/>
  <c r="U1179" i="17"/>
  <c r="U1180" i="17"/>
  <c r="U1181" i="17"/>
  <c r="U1182" i="17"/>
  <c r="V1168" i="17"/>
  <c r="V1169" i="17"/>
  <c r="V1170" i="17"/>
  <c r="V1171" i="17"/>
  <c r="V1172" i="17"/>
  <c r="V1173" i="17"/>
  <c r="V1174" i="17"/>
  <c r="V1175" i="17"/>
  <c r="V1176" i="17"/>
  <c r="V1177" i="17"/>
  <c r="V1178" i="17"/>
  <c r="V1179" i="17"/>
  <c r="V1180" i="17"/>
  <c r="V1181" i="17"/>
  <c r="V1182" i="17"/>
  <c r="W1168" i="17"/>
  <c r="W1169" i="17"/>
  <c r="W1170" i="17"/>
  <c r="W1171" i="17"/>
  <c r="W1172" i="17"/>
  <c r="W1173" i="17"/>
  <c r="W1174" i="17"/>
  <c r="W1175" i="17"/>
  <c r="W1176" i="17"/>
  <c r="W1177" i="17"/>
  <c r="W1178" i="17"/>
  <c r="W1179" i="17"/>
  <c r="W1180" i="17"/>
  <c r="W1181" i="17"/>
  <c r="W1182" i="17"/>
  <c r="H1141" i="17"/>
  <c r="H1142" i="17"/>
  <c r="H1143" i="17"/>
  <c r="I1141" i="17"/>
  <c r="I1142" i="17"/>
  <c r="I1143" i="17"/>
  <c r="J1141" i="17"/>
  <c r="J1142" i="17"/>
  <c r="J1143" i="17"/>
  <c r="K1141" i="17"/>
  <c r="K1142" i="17"/>
  <c r="K1143" i="17"/>
  <c r="N1141" i="17"/>
  <c r="N1142" i="17"/>
  <c r="N1143" i="17"/>
  <c r="O1141" i="17"/>
  <c r="O1142" i="17"/>
  <c r="O1143" i="17"/>
  <c r="Q1141" i="17"/>
  <c r="Q1142" i="17"/>
  <c r="Q1143" i="17"/>
  <c r="S1141" i="17"/>
  <c r="S1142" i="17"/>
  <c r="S1143" i="17"/>
  <c r="T1141" i="17"/>
  <c r="T1142" i="17"/>
  <c r="T1143" i="17"/>
  <c r="U1141" i="17"/>
  <c r="U1142" i="17"/>
  <c r="U1143" i="17"/>
  <c r="V1141" i="17"/>
  <c r="V1142" i="17"/>
  <c r="V1143" i="17"/>
  <c r="W1141" i="17"/>
  <c r="W1142" i="17"/>
  <c r="W1143" i="17"/>
  <c r="H1136" i="17"/>
  <c r="I1136" i="17"/>
  <c r="J1136" i="17"/>
  <c r="K1136" i="17"/>
  <c r="N1136" i="17"/>
  <c r="O1136" i="17"/>
  <c r="Q1136" i="17"/>
  <c r="S1136" i="17"/>
  <c r="T1136" i="17"/>
  <c r="U1136" i="17"/>
  <c r="V1136" i="17"/>
  <c r="W1136" i="17"/>
  <c r="H1137" i="17"/>
  <c r="H1138" i="17"/>
  <c r="I1137" i="17"/>
  <c r="I1138" i="17"/>
  <c r="J1137" i="17"/>
  <c r="J1138" i="17"/>
  <c r="K1137" i="17"/>
  <c r="K1138" i="17"/>
  <c r="N1137" i="17"/>
  <c r="N1138" i="17"/>
  <c r="O1137" i="17"/>
  <c r="O1138" i="17"/>
  <c r="Q1137" i="17"/>
  <c r="Q1138" i="17"/>
  <c r="S1137" i="17"/>
  <c r="S1138" i="17"/>
  <c r="T1137" i="17"/>
  <c r="T1138" i="17"/>
  <c r="U1137" i="17"/>
  <c r="U1138" i="17"/>
  <c r="V1137" i="17"/>
  <c r="V1138" i="17"/>
  <c r="W1137" i="17"/>
  <c r="W1138" i="17"/>
  <c r="H1140" i="17"/>
  <c r="I1140" i="17"/>
  <c r="J1140" i="17"/>
  <c r="K1140" i="17"/>
  <c r="N1140" i="17"/>
  <c r="O1140" i="17"/>
  <c r="Q1140" i="17"/>
  <c r="S1140" i="17"/>
  <c r="T1140" i="17"/>
  <c r="U1140" i="17"/>
  <c r="V1140" i="17"/>
  <c r="W1140" i="17"/>
  <c r="H1139" i="17"/>
  <c r="I1139" i="17"/>
  <c r="J1139" i="17"/>
  <c r="K1139" i="17"/>
  <c r="N1139" i="17"/>
  <c r="O1139" i="17"/>
  <c r="Q1139" i="17"/>
  <c r="S1139" i="17"/>
  <c r="T1139" i="17"/>
  <c r="U1139" i="17"/>
  <c r="V1139" i="17"/>
  <c r="W1139" i="17"/>
  <c r="H1121" i="17"/>
  <c r="H1122" i="17"/>
  <c r="H1123" i="17"/>
  <c r="H1124" i="17"/>
  <c r="H1125" i="17"/>
  <c r="H1126" i="17"/>
  <c r="H1127" i="17"/>
  <c r="H1128" i="17"/>
  <c r="H1129" i="17"/>
  <c r="H1130" i="17"/>
  <c r="H1131" i="17"/>
  <c r="H1132" i="17"/>
  <c r="H1133" i="17"/>
  <c r="H1134" i="17"/>
  <c r="I1121" i="17"/>
  <c r="I1122" i="17"/>
  <c r="I1123" i="17"/>
  <c r="I1124" i="17"/>
  <c r="I1125" i="17"/>
  <c r="I1126" i="17"/>
  <c r="I1127" i="17"/>
  <c r="I1128" i="17"/>
  <c r="I1129" i="17"/>
  <c r="I1130" i="17"/>
  <c r="I1131" i="17"/>
  <c r="I1132" i="17"/>
  <c r="I1133" i="17"/>
  <c r="I1134" i="17"/>
  <c r="J1121" i="17"/>
  <c r="J1122" i="17"/>
  <c r="J1123" i="17"/>
  <c r="J1124" i="17"/>
  <c r="J1125" i="17"/>
  <c r="J1126" i="17"/>
  <c r="J1127" i="17"/>
  <c r="J1128" i="17"/>
  <c r="J1129" i="17"/>
  <c r="J1130" i="17"/>
  <c r="J1131" i="17"/>
  <c r="J1132" i="17"/>
  <c r="J1133" i="17"/>
  <c r="J1134" i="17"/>
  <c r="K1121" i="17"/>
  <c r="K1122" i="17"/>
  <c r="K1123" i="17"/>
  <c r="K1124" i="17"/>
  <c r="K1125" i="17"/>
  <c r="K1126" i="17"/>
  <c r="K1127" i="17"/>
  <c r="K1128" i="17"/>
  <c r="K1129" i="17"/>
  <c r="K1130" i="17"/>
  <c r="K1131" i="17"/>
  <c r="K1132" i="17"/>
  <c r="K1133" i="17"/>
  <c r="K1134" i="17"/>
  <c r="N1121" i="17"/>
  <c r="N1122" i="17"/>
  <c r="N1123" i="17"/>
  <c r="N1124" i="17"/>
  <c r="N1125" i="17"/>
  <c r="N1126" i="17"/>
  <c r="N1127" i="17"/>
  <c r="N1128" i="17"/>
  <c r="N1129" i="17"/>
  <c r="N1130" i="17"/>
  <c r="N1131" i="17"/>
  <c r="N1132" i="17"/>
  <c r="N1133" i="17"/>
  <c r="N1134" i="17"/>
  <c r="O1121" i="17"/>
  <c r="O1122" i="17"/>
  <c r="O1123" i="17"/>
  <c r="O1124" i="17"/>
  <c r="O1125" i="17"/>
  <c r="O1126" i="17"/>
  <c r="O1127" i="17"/>
  <c r="O1128" i="17"/>
  <c r="O1129" i="17"/>
  <c r="O1130" i="17"/>
  <c r="O1131" i="17"/>
  <c r="O1132" i="17"/>
  <c r="O1133" i="17"/>
  <c r="O1134" i="17"/>
  <c r="Q1121" i="17"/>
  <c r="Q1122" i="17"/>
  <c r="Q1123" i="17"/>
  <c r="Q1124" i="17"/>
  <c r="Q1125" i="17"/>
  <c r="Q1126" i="17"/>
  <c r="Q1127" i="17"/>
  <c r="Q1128" i="17"/>
  <c r="Q1129" i="17"/>
  <c r="Q1130" i="17"/>
  <c r="Q1131" i="17"/>
  <c r="Q1132" i="17"/>
  <c r="Q1133" i="17"/>
  <c r="Q1134" i="17"/>
  <c r="S1121" i="17"/>
  <c r="S1122" i="17"/>
  <c r="S1123" i="17"/>
  <c r="S1124" i="17"/>
  <c r="S1125" i="17"/>
  <c r="S1126" i="17"/>
  <c r="S1127" i="17"/>
  <c r="S1128" i="17"/>
  <c r="S1129" i="17"/>
  <c r="S1130" i="17"/>
  <c r="S1131" i="17"/>
  <c r="S1132" i="17"/>
  <c r="S1133" i="17"/>
  <c r="S1134" i="17"/>
  <c r="T1121" i="17"/>
  <c r="T1122" i="17"/>
  <c r="T1123" i="17"/>
  <c r="T1124" i="17"/>
  <c r="T1125" i="17"/>
  <c r="T1126" i="17"/>
  <c r="T1127" i="17"/>
  <c r="T1128" i="17"/>
  <c r="T1129" i="17"/>
  <c r="T1130" i="17"/>
  <c r="T1131" i="17"/>
  <c r="T1132" i="17"/>
  <c r="T1133" i="17"/>
  <c r="T1134" i="17"/>
  <c r="U1121" i="17"/>
  <c r="U1122" i="17"/>
  <c r="U1123" i="17"/>
  <c r="U1124" i="17"/>
  <c r="U1125" i="17"/>
  <c r="U1126" i="17"/>
  <c r="U1127" i="17"/>
  <c r="U1128" i="17"/>
  <c r="U1129" i="17"/>
  <c r="U1130" i="17"/>
  <c r="U1131" i="17"/>
  <c r="U1132" i="17"/>
  <c r="U1133" i="17"/>
  <c r="U1134" i="17"/>
  <c r="V1121" i="17"/>
  <c r="V1122" i="17"/>
  <c r="V1123" i="17"/>
  <c r="V1124" i="17"/>
  <c r="V1125" i="17"/>
  <c r="V1126" i="17"/>
  <c r="V1127" i="17"/>
  <c r="V1128" i="17"/>
  <c r="V1129" i="17"/>
  <c r="V1130" i="17"/>
  <c r="V1131" i="17"/>
  <c r="V1132" i="17"/>
  <c r="V1133" i="17"/>
  <c r="V1134" i="17"/>
  <c r="W1121" i="17"/>
  <c r="W1122" i="17"/>
  <c r="W1123" i="17"/>
  <c r="W1124" i="17"/>
  <c r="W1125" i="17"/>
  <c r="W1126" i="17"/>
  <c r="W1127" i="17"/>
  <c r="W1128" i="17"/>
  <c r="W1129" i="17"/>
  <c r="W1130" i="17"/>
  <c r="W1131" i="17"/>
  <c r="W1132" i="17"/>
  <c r="W1133" i="17"/>
  <c r="W1134" i="17"/>
  <c r="H1108" i="17"/>
  <c r="H1109" i="17"/>
  <c r="H1110" i="17"/>
  <c r="H1111" i="17"/>
  <c r="H1112" i="17"/>
  <c r="H1113" i="17"/>
  <c r="H1114" i="17"/>
  <c r="H1115" i="17"/>
  <c r="I1108" i="17"/>
  <c r="I1109" i="17"/>
  <c r="I1110" i="17"/>
  <c r="I1111" i="17"/>
  <c r="I1112" i="17"/>
  <c r="I1113" i="17"/>
  <c r="I1114" i="17"/>
  <c r="I1115" i="17"/>
  <c r="J1108" i="17"/>
  <c r="J1109" i="17"/>
  <c r="J1110" i="17"/>
  <c r="J1111" i="17"/>
  <c r="J1112" i="17"/>
  <c r="J1113" i="17"/>
  <c r="J1114" i="17"/>
  <c r="J1115" i="17"/>
  <c r="K1108" i="17"/>
  <c r="K1109" i="17"/>
  <c r="K1110" i="17"/>
  <c r="K1111" i="17"/>
  <c r="K1112" i="17"/>
  <c r="K1113" i="17"/>
  <c r="K1114" i="17"/>
  <c r="K1115" i="17"/>
  <c r="N1108" i="17"/>
  <c r="N1109" i="17"/>
  <c r="N1110" i="17"/>
  <c r="N1111" i="17"/>
  <c r="N1112" i="17"/>
  <c r="N1113" i="17"/>
  <c r="N1114" i="17"/>
  <c r="N1115" i="17"/>
  <c r="O1108" i="17"/>
  <c r="O1109" i="17"/>
  <c r="O1110" i="17"/>
  <c r="O1111" i="17"/>
  <c r="O1112" i="17"/>
  <c r="O1113" i="17"/>
  <c r="O1114" i="17"/>
  <c r="O1115" i="17"/>
  <c r="Q1108" i="17"/>
  <c r="Q1109" i="17"/>
  <c r="Q1110" i="17"/>
  <c r="Q1111" i="17"/>
  <c r="Q1112" i="17"/>
  <c r="Q1113" i="17"/>
  <c r="Q1114" i="17"/>
  <c r="Q1115" i="17"/>
  <c r="S1108" i="17"/>
  <c r="S1109" i="17"/>
  <c r="S1110" i="17"/>
  <c r="S1111" i="17"/>
  <c r="S1112" i="17"/>
  <c r="S1113" i="17"/>
  <c r="S1114" i="17"/>
  <c r="S1115" i="17"/>
  <c r="T1108" i="17"/>
  <c r="T1109" i="17"/>
  <c r="T1110" i="17"/>
  <c r="T1111" i="17"/>
  <c r="T1112" i="17"/>
  <c r="T1113" i="17"/>
  <c r="T1114" i="17"/>
  <c r="T1115" i="17"/>
  <c r="U1108" i="17"/>
  <c r="U1109" i="17"/>
  <c r="U1110" i="17"/>
  <c r="U1111" i="17"/>
  <c r="U1112" i="17"/>
  <c r="U1113" i="17"/>
  <c r="U1114" i="17"/>
  <c r="U1115" i="17"/>
  <c r="V1108" i="17"/>
  <c r="V1109" i="17"/>
  <c r="V1110" i="17"/>
  <c r="V1111" i="17"/>
  <c r="V1112" i="17"/>
  <c r="V1113" i="17"/>
  <c r="V1114" i="17"/>
  <c r="V1115" i="17"/>
  <c r="W1108" i="17"/>
  <c r="W1109" i="17"/>
  <c r="W1110" i="17"/>
  <c r="W1111" i="17"/>
  <c r="W1112" i="17"/>
  <c r="W1113" i="17"/>
  <c r="W1114" i="17"/>
  <c r="W1115" i="17"/>
  <c r="H1098" i="17"/>
  <c r="H1099" i="17"/>
  <c r="H1100" i="17"/>
  <c r="H1101" i="17"/>
  <c r="H1102" i="17"/>
  <c r="H1103" i="17"/>
  <c r="H1104" i="17"/>
  <c r="H1105" i="17"/>
  <c r="H1106" i="17"/>
  <c r="H1107" i="17"/>
  <c r="H1116" i="17"/>
  <c r="H1117" i="17"/>
  <c r="H1118" i="17"/>
  <c r="H1119" i="17"/>
  <c r="I1098" i="17"/>
  <c r="I1099" i="17"/>
  <c r="I1100" i="17"/>
  <c r="I1101" i="17"/>
  <c r="I1102" i="17"/>
  <c r="I1103" i="17"/>
  <c r="I1104" i="17"/>
  <c r="I1105" i="17"/>
  <c r="I1106" i="17"/>
  <c r="I1107" i="17"/>
  <c r="I1116" i="17"/>
  <c r="I1117" i="17"/>
  <c r="I1118" i="17"/>
  <c r="I1119" i="17"/>
  <c r="J1098" i="17"/>
  <c r="J1099" i="17"/>
  <c r="J1100" i="17"/>
  <c r="J1101" i="17"/>
  <c r="J1102" i="17"/>
  <c r="J1103" i="17"/>
  <c r="J1104" i="17"/>
  <c r="J1105" i="17"/>
  <c r="J1106" i="17"/>
  <c r="J1107" i="17"/>
  <c r="J1116" i="17"/>
  <c r="J1117" i="17"/>
  <c r="J1118" i="17"/>
  <c r="J1119" i="17"/>
  <c r="K1098" i="17"/>
  <c r="K1099" i="17"/>
  <c r="K1100" i="17"/>
  <c r="K1101" i="17"/>
  <c r="K1102" i="17"/>
  <c r="K1103" i="17"/>
  <c r="K1104" i="17"/>
  <c r="K1105" i="17"/>
  <c r="K1106" i="17"/>
  <c r="K1107" i="17"/>
  <c r="K1116" i="17"/>
  <c r="K1117" i="17"/>
  <c r="K1118" i="17"/>
  <c r="K1119" i="17"/>
  <c r="N1098" i="17"/>
  <c r="N1099" i="17"/>
  <c r="N1100" i="17"/>
  <c r="N1101" i="17"/>
  <c r="N1102" i="17"/>
  <c r="N1103" i="17"/>
  <c r="N1104" i="17"/>
  <c r="N1105" i="17"/>
  <c r="N1106" i="17"/>
  <c r="N1107" i="17"/>
  <c r="N1116" i="17"/>
  <c r="N1117" i="17"/>
  <c r="N1118" i="17"/>
  <c r="N1119" i="17"/>
  <c r="O1098" i="17"/>
  <c r="O1099" i="17"/>
  <c r="O1100" i="17"/>
  <c r="O1101" i="17"/>
  <c r="O1102" i="17"/>
  <c r="O1103" i="17"/>
  <c r="O1104" i="17"/>
  <c r="O1105" i="17"/>
  <c r="O1106" i="17"/>
  <c r="O1107" i="17"/>
  <c r="O1116" i="17"/>
  <c r="O1117" i="17"/>
  <c r="O1118" i="17"/>
  <c r="O1119" i="17"/>
  <c r="Q1098" i="17"/>
  <c r="Q1099" i="17"/>
  <c r="Q1100" i="17"/>
  <c r="Q1101" i="17"/>
  <c r="Q1102" i="17"/>
  <c r="Q1103" i="17"/>
  <c r="Q1104" i="17"/>
  <c r="Q1105" i="17"/>
  <c r="Q1106" i="17"/>
  <c r="Q1107" i="17"/>
  <c r="Q1116" i="17"/>
  <c r="Q1117" i="17"/>
  <c r="Q1118" i="17"/>
  <c r="Q1119" i="17"/>
  <c r="S1098" i="17"/>
  <c r="S1099" i="17"/>
  <c r="S1100" i="17"/>
  <c r="S1101" i="17"/>
  <c r="S1102" i="17"/>
  <c r="S1103" i="17"/>
  <c r="S1104" i="17"/>
  <c r="S1105" i="17"/>
  <c r="S1106" i="17"/>
  <c r="S1107" i="17"/>
  <c r="S1116" i="17"/>
  <c r="S1117" i="17"/>
  <c r="S1118" i="17"/>
  <c r="S1119" i="17"/>
  <c r="T1098" i="17"/>
  <c r="T1099" i="17"/>
  <c r="T1100" i="17"/>
  <c r="T1101" i="17"/>
  <c r="T1102" i="17"/>
  <c r="T1103" i="17"/>
  <c r="T1104" i="17"/>
  <c r="T1105" i="17"/>
  <c r="T1106" i="17"/>
  <c r="T1107" i="17"/>
  <c r="T1116" i="17"/>
  <c r="T1117" i="17"/>
  <c r="T1118" i="17"/>
  <c r="T1119" i="17"/>
  <c r="U1098" i="17"/>
  <c r="U1099" i="17"/>
  <c r="U1100" i="17"/>
  <c r="U1101" i="17"/>
  <c r="U1102" i="17"/>
  <c r="U1103" i="17"/>
  <c r="U1104" i="17"/>
  <c r="U1105" i="17"/>
  <c r="U1106" i="17"/>
  <c r="U1107" i="17"/>
  <c r="U1116" i="17"/>
  <c r="U1117" i="17"/>
  <c r="U1118" i="17"/>
  <c r="U1119" i="17"/>
  <c r="V1098" i="17"/>
  <c r="V1099" i="17"/>
  <c r="V1100" i="17"/>
  <c r="V1101" i="17"/>
  <c r="V1102" i="17"/>
  <c r="V1103" i="17"/>
  <c r="V1104" i="17"/>
  <c r="V1105" i="17"/>
  <c r="V1106" i="17"/>
  <c r="V1107" i="17"/>
  <c r="V1116" i="17"/>
  <c r="V1117" i="17"/>
  <c r="V1118" i="17"/>
  <c r="V1119" i="17"/>
  <c r="W1098" i="17"/>
  <c r="W1099" i="17"/>
  <c r="W1100" i="17"/>
  <c r="W1101" i="17"/>
  <c r="W1102" i="17"/>
  <c r="W1103" i="17"/>
  <c r="W1104" i="17"/>
  <c r="W1105" i="17"/>
  <c r="W1106" i="17"/>
  <c r="W1107" i="17"/>
  <c r="W1116" i="17"/>
  <c r="W1117" i="17"/>
  <c r="W1118" i="17"/>
  <c r="W1119" i="17"/>
  <c r="H1082" i="17"/>
  <c r="H1083" i="17"/>
  <c r="H1084" i="17"/>
  <c r="H1085" i="17"/>
  <c r="H1086" i="17"/>
  <c r="H1087" i="17"/>
  <c r="H1088" i="17"/>
  <c r="H1089" i="17"/>
  <c r="H1090" i="17"/>
  <c r="H1091" i="17"/>
  <c r="H1092" i="17"/>
  <c r="H1093" i="17"/>
  <c r="H1094" i="17"/>
  <c r="H1095" i="17"/>
  <c r="H1096" i="17"/>
  <c r="I1082" i="17"/>
  <c r="I1083" i="17"/>
  <c r="I1084" i="17"/>
  <c r="I1085" i="17"/>
  <c r="I1086" i="17"/>
  <c r="I1087" i="17"/>
  <c r="I1088" i="17"/>
  <c r="I1089" i="17"/>
  <c r="I1090" i="17"/>
  <c r="I1091" i="17"/>
  <c r="I1092" i="17"/>
  <c r="I1093" i="17"/>
  <c r="I1094" i="17"/>
  <c r="I1095" i="17"/>
  <c r="I1096" i="17"/>
  <c r="J1082" i="17"/>
  <c r="J1083" i="17"/>
  <c r="J1084" i="17"/>
  <c r="J1085" i="17"/>
  <c r="J1086" i="17"/>
  <c r="J1087" i="17"/>
  <c r="J1088" i="17"/>
  <c r="J1089" i="17"/>
  <c r="J1090" i="17"/>
  <c r="J1091" i="17"/>
  <c r="J1092" i="17"/>
  <c r="J1093" i="17"/>
  <c r="J1094" i="17"/>
  <c r="J1095" i="17"/>
  <c r="J1096" i="17"/>
  <c r="K1082" i="17"/>
  <c r="K1083" i="17"/>
  <c r="K1084" i="17"/>
  <c r="K1085" i="17"/>
  <c r="K1086" i="17"/>
  <c r="K1087" i="17"/>
  <c r="K1088" i="17"/>
  <c r="K1089" i="17"/>
  <c r="K1090" i="17"/>
  <c r="K1091" i="17"/>
  <c r="K1092" i="17"/>
  <c r="K1093" i="17"/>
  <c r="K1094" i="17"/>
  <c r="K1095" i="17"/>
  <c r="K1096" i="17"/>
  <c r="N1082" i="17"/>
  <c r="N1083" i="17"/>
  <c r="N1084" i="17"/>
  <c r="N1085" i="17"/>
  <c r="N1086" i="17"/>
  <c r="N1087" i="17"/>
  <c r="N1088" i="17"/>
  <c r="N1089" i="17"/>
  <c r="N1090" i="17"/>
  <c r="N1091" i="17"/>
  <c r="N1092" i="17"/>
  <c r="N1093" i="17"/>
  <c r="N1094" i="17"/>
  <c r="N1095" i="17"/>
  <c r="N1096" i="17"/>
  <c r="O1082" i="17"/>
  <c r="O1083" i="17"/>
  <c r="O1084" i="17"/>
  <c r="O1085" i="17"/>
  <c r="O1086" i="17"/>
  <c r="O1087" i="17"/>
  <c r="O1088" i="17"/>
  <c r="O1089" i="17"/>
  <c r="O1090" i="17"/>
  <c r="O1091" i="17"/>
  <c r="O1092" i="17"/>
  <c r="O1093" i="17"/>
  <c r="O1094" i="17"/>
  <c r="O1095" i="17"/>
  <c r="O1096" i="17"/>
  <c r="Q1082" i="17"/>
  <c r="Q1083" i="17"/>
  <c r="Q1084" i="17"/>
  <c r="Q1085" i="17"/>
  <c r="Q1086" i="17"/>
  <c r="Q1087" i="17"/>
  <c r="Q1088" i="17"/>
  <c r="Q1089" i="17"/>
  <c r="Q1090" i="17"/>
  <c r="Q1091" i="17"/>
  <c r="Q1092" i="17"/>
  <c r="Q1093" i="17"/>
  <c r="Q1094" i="17"/>
  <c r="Q1095" i="17"/>
  <c r="Q1096" i="17"/>
  <c r="S1082" i="17"/>
  <c r="S1083" i="17"/>
  <c r="S1084" i="17"/>
  <c r="S1085" i="17"/>
  <c r="S1086" i="17"/>
  <c r="S1087" i="17"/>
  <c r="S1088" i="17"/>
  <c r="S1089" i="17"/>
  <c r="S1090" i="17"/>
  <c r="S1091" i="17"/>
  <c r="S1092" i="17"/>
  <c r="S1093" i="17"/>
  <c r="S1094" i="17"/>
  <c r="S1095" i="17"/>
  <c r="S1096" i="17"/>
  <c r="T1082" i="17"/>
  <c r="T1083" i="17"/>
  <c r="T1084" i="17"/>
  <c r="T1085" i="17"/>
  <c r="T1086" i="17"/>
  <c r="T1087" i="17"/>
  <c r="T1088" i="17"/>
  <c r="T1089" i="17"/>
  <c r="T1090" i="17"/>
  <c r="T1091" i="17"/>
  <c r="T1092" i="17"/>
  <c r="T1093" i="17"/>
  <c r="T1094" i="17"/>
  <c r="T1095" i="17"/>
  <c r="T1096" i="17"/>
  <c r="U1082" i="17"/>
  <c r="U1083" i="17"/>
  <c r="U1084" i="17"/>
  <c r="U1085" i="17"/>
  <c r="U1086" i="17"/>
  <c r="U1087" i="17"/>
  <c r="U1088" i="17"/>
  <c r="U1089" i="17"/>
  <c r="U1090" i="17"/>
  <c r="U1091" i="17"/>
  <c r="U1092" i="17"/>
  <c r="U1093" i="17"/>
  <c r="U1094" i="17"/>
  <c r="U1095" i="17"/>
  <c r="U1096" i="17"/>
  <c r="V1082" i="17"/>
  <c r="V1083" i="17"/>
  <c r="V1084" i="17"/>
  <c r="V1085" i="17"/>
  <c r="V1086" i="17"/>
  <c r="V1087" i="17"/>
  <c r="V1088" i="17"/>
  <c r="V1089" i="17"/>
  <c r="V1090" i="17"/>
  <c r="V1091" i="17"/>
  <c r="V1092" i="17"/>
  <c r="V1093" i="17"/>
  <c r="V1094" i="17"/>
  <c r="V1095" i="17"/>
  <c r="V1096" i="17"/>
  <c r="W1082" i="17"/>
  <c r="W1083" i="17"/>
  <c r="W1084" i="17"/>
  <c r="W1085" i="17"/>
  <c r="W1086" i="17"/>
  <c r="W1087" i="17"/>
  <c r="W1088" i="17"/>
  <c r="W1089" i="17"/>
  <c r="W1090" i="17"/>
  <c r="W1091" i="17"/>
  <c r="W1092" i="17"/>
  <c r="W1093" i="17"/>
  <c r="W1094" i="17"/>
  <c r="W1095" i="17"/>
  <c r="W1096" i="17"/>
  <c r="H1069" i="17"/>
  <c r="H1070" i="17"/>
  <c r="H1071" i="17"/>
  <c r="H1072" i="17"/>
  <c r="H1073" i="17"/>
  <c r="H1074" i="17"/>
  <c r="H1075" i="17"/>
  <c r="H1076" i="17"/>
  <c r="H1077" i="17"/>
  <c r="H1078" i="17"/>
  <c r="H1079" i="17"/>
  <c r="H1080" i="17"/>
  <c r="H1081" i="17"/>
  <c r="I1069" i="17"/>
  <c r="I1070" i="17"/>
  <c r="I1071" i="17"/>
  <c r="I1072" i="17"/>
  <c r="I1073" i="17"/>
  <c r="I1074" i="17"/>
  <c r="I1075" i="17"/>
  <c r="I1076" i="17"/>
  <c r="I1077" i="17"/>
  <c r="I1078" i="17"/>
  <c r="I1079" i="17"/>
  <c r="I1080" i="17"/>
  <c r="I1081" i="17"/>
  <c r="J1069" i="17"/>
  <c r="J1070" i="17"/>
  <c r="J1071" i="17"/>
  <c r="J1072" i="17"/>
  <c r="J1073" i="17"/>
  <c r="J1074" i="17"/>
  <c r="J1075" i="17"/>
  <c r="J1076" i="17"/>
  <c r="J1077" i="17"/>
  <c r="J1078" i="17"/>
  <c r="J1079" i="17"/>
  <c r="J1080" i="17"/>
  <c r="J1081" i="17"/>
  <c r="K1069" i="17"/>
  <c r="K1070" i="17"/>
  <c r="K1071" i="17"/>
  <c r="K1072" i="17"/>
  <c r="K1073" i="17"/>
  <c r="K1074" i="17"/>
  <c r="K1075" i="17"/>
  <c r="K1076" i="17"/>
  <c r="K1077" i="17"/>
  <c r="K1078" i="17"/>
  <c r="K1079" i="17"/>
  <c r="K1080" i="17"/>
  <c r="K1081" i="17"/>
  <c r="N1069" i="17"/>
  <c r="N1070" i="17"/>
  <c r="N1071" i="17"/>
  <c r="N1072" i="17"/>
  <c r="N1073" i="17"/>
  <c r="N1074" i="17"/>
  <c r="N1075" i="17"/>
  <c r="N1076" i="17"/>
  <c r="N1077" i="17"/>
  <c r="N1078" i="17"/>
  <c r="N1079" i="17"/>
  <c r="N1080" i="17"/>
  <c r="N1081" i="17"/>
  <c r="O1069" i="17"/>
  <c r="O1070" i="17"/>
  <c r="O1071" i="17"/>
  <c r="O1072" i="17"/>
  <c r="O1073" i="17"/>
  <c r="O1074" i="17"/>
  <c r="O1075" i="17"/>
  <c r="O1076" i="17"/>
  <c r="O1077" i="17"/>
  <c r="O1078" i="17"/>
  <c r="O1079" i="17"/>
  <c r="O1080" i="17"/>
  <c r="O1081" i="17"/>
  <c r="Q1069" i="17"/>
  <c r="Q1070" i="17"/>
  <c r="Q1071" i="17"/>
  <c r="Q1072" i="17"/>
  <c r="Q1073" i="17"/>
  <c r="Q1074" i="17"/>
  <c r="Q1075" i="17"/>
  <c r="Q1076" i="17"/>
  <c r="Q1077" i="17"/>
  <c r="Q1078" i="17"/>
  <c r="Q1079" i="17"/>
  <c r="Q1080" i="17"/>
  <c r="Q1081" i="17"/>
  <c r="S1069" i="17"/>
  <c r="S1070" i="17"/>
  <c r="S1071" i="17"/>
  <c r="S1072" i="17"/>
  <c r="S1073" i="17"/>
  <c r="S1074" i="17"/>
  <c r="S1075" i="17"/>
  <c r="S1076" i="17"/>
  <c r="S1077" i="17"/>
  <c r="S1078" i="17"/>
  <c r="S1079" i="17"/>
  <c r="S1080" i="17"/>
  <c r="S1081" i="17"/>
  <c r="T1069" i="17"/>
  <c r="T1070" i="17"/>
  <c r="T1071" i="17"/>
  <c r="T1072" i="17"/>
  <c r="T1073" i="17"/>
  <c r="T1074" i="17"/>
  <c r="T1075" i="17"/>
  <c r="T1076" i="17"/>
  <c r="T1077" i="17"/>
  <c r="T1078" i="17"/>
  <c r="T1079" i="17"/>
  <c r="T1080" i="17"/>
  <c r="T1081" i="17"/>
  <c r="U1069" i="17"/>
  <c r="U1070" i="17"/>
  <c r="U1071" i="17"/>
  <c r="U1072" i="17"/>
  <c r="U1073" i="17"/>
  <c r="U1074" i="17"/>
  <c r="U1075" i="17"/>
  <c r="U1076" i="17"/>
  <c r="U1077" i="17"/>
  <c r="U1078" i="17"/>
  <c r="U1079" i="17"/>
  <c r="U1080" i="17"/>
  <c r="U1081" i="17"/>
  <c r="V1069" i="17"/>
  <c r="V1070" i="17"/>
  <c r="V1071" i="17"/>
  <c r="V1072" i="17"/>
  <c r="V1073" i="17"/>
  <c r="V1074" i="17"/>
  <c r="V1075" i="17"/>
  <c r="V1076" i="17"/>
  <c r="V1077" i="17"/>
  <c r="V1078" i="17"/>
  <c r="V1079" i="17"/>
  <c r="V1080" i="17"/>
  <c r="V1081" i="17"/>
  <c r="W1069" i="17"/>
  <c r="W1070" i="17"/>
  <c r="W1071" i="17"/>
  <c r="W1072" i="17"/>
  <c r="W1073" i="17"/>
  <c r="W1074" i="17"/>
  <c r="W1075" i="17"/>
  <c r="W1076" i="17"/>
  <c r="W1077" i="17"/>
  <c r="W1078" i="17"/>
  <c r="W1079" i="17"/>
  <c r="W1080" i="17"/>
  <c r="W1081" i="17"/>
  <c r="H1057" i="17"/>
  <c r="H1058" i="17"/>
  <c r="H1059" i="17"/>
  <c r="H1060" i="17"/>
  <c r="H1061" i="17"/>
  <c r="H1062" i="17"/>
  <c r="H1063" i="17"/>
  <c r="H1064" i="17"/>
  <c r="H1065" i="17"/>
  <c r="H1066" i="17"/>
  <c r="H1067" i="17"/>
  <c r="I1057" i="17"/>
  <c r="I1058" i="17"/>
  <c r="I1059" i="17"/>
  <c r="I1060" i="17"/>
  <c r="I1061" i="17"/>
  <c r="I1062" i="17"/>
  <c r="I1063" i="17"/>
  <c r="I1064" i="17"/>
  <c r="I1065" i="17"/>
  <c r="I1066" i="17"/>
  <c r="I1067" i="17"/>
  <c r="J1057" i="17"/>
  <c r="J1058" i="17"/>
  <c r="J1059" i="17"/>
  <c r="J1060" i="17"/>
  <c r="J1061" i="17"/>
  <c r="J1062" i="17"/>
  <c r="J1063" i="17"/>
  <c r="J1064" i="17"/>
  <c r="J1065" i="17"/>
  <c r="J1066" i="17"/>
  <c r="J1067" i="17"/>
  <c r="K1057" i="17"/>
  <c r="K1058" i="17"/>
  <c r="K1059" i="17"/>
  <c r="K1060" i="17"/>
  <c r="K1061" i="17"/>
  <c r="K1062" i="17"/>
  <c r="K1063" i="17"/>
  <c r="K1064" i="17"/>
  <c r="K1065" i="17"/>
  <c r="K1066" i="17"/>
  <c r="K1067" i="17"/>
  <c r="N1057" i="17"/>
  <c r="N1058" i="17"/>
  <c r="N1059" i="17"/>
  <c r="N1060" i="17"/>
  <c r="N1061" i="17"/>
  <c r="N1062" i="17"/>
  <c r="N1063" i="17"/>
  <c r="N1064" i="17"/>
  <c r="N1065" i="17"/>
  <c r="N1066" i="17"/>
  <c r="N1067" i="17"/>
  <c r="O1057" i="17"/>
  <c r="O1058" i="17"/>
  <c r="O1059" i="17"/>
  <c r="O1060" i="17"/>
  <c r="O1061" i="17"/>
  <c r="O1062" i="17"/>
  <c r="O1063" i="17"/>
  <c r="O1064" i="17"/>
  <c r="O1065" i="17"/>
  <c r="O1066" i="17"/>
  <c r="O1067" i="17"/>
  <c r="Q1057" i="17"/>
  <c r="Q1058" i="17"/>
  <c r="Q1059" i="17"/>
  <c r="Q1060" i="17"/>
  <c r="Q1061" i="17"/>
  <c r="Q1062" i="17"/>
  <c r="Q1063" i="17"/>
  <c r="Q1064" i="17"/>
  <c r="Q1065" i="17"/>
  <c r="Q1066" i="17"/>
  <c r="Q1067" i="17"/>
  <c r="S1057" i="17"/>
  <c r="S1058" i="17"/>
  <c r="S1059" i="17"/>
  <c r="S1060" i="17"/>
  <c r="S1061" i="17"/>
  <c r="S1062" i="17"/>
  <c r="S1063" i="17"/>
  <c r="S1064" i="17"/>
  <c r="S1065" i="17"/>
  <c r="S1066" i="17"/>
  <c r="S1067" i="17"/>
  <c r="T1057" i="17"/>
  <c r="T1058" i="17"/>
  <c r="T1059" i="17"/>
  <c r="T1060" i="17"/>
  <c r="T1061" i="17"/>
  <c r="T1062" i="17"/>
  <c r="T1063" i="17"/>
  <c r="T1064" i="17"/>
  <c r="T1065" i="17"/>
  <c r="T1066" i="17"/>
  <c r="T1067" i="17"/>
  <c r="U1057" i="17"/>
  <c r="U1058" i="17"/>
  <c r="U1059" i="17"/>
  <c r="U1060" i="17"/>
  <c r="U1061" i="17"/>
  <c r="U1062" i="17"/>
  <c r="U1063" i="17"/>
  <c r="U1064" i="17"/>
  <c r="U1065" i="17"/>
  <c r="U1066" i="17"/>
  <c r="U1067" i="17"/>
  <c r="V1057" i="17"/>
  <c r="V1058" i="17"/>
  <c r="V1059" i="17"/>
  <c r="V1060" i="17"/>
  <c r="V1061" i="17"/>
  <c r="V1062" i="17"/>
  <c r="V1063" i="17"/>
  <c r="V1064" i="17"/>
  <c r="V1065" i="17"/>
  <c r="V1066" i="17"/>
  <c r="V1067" i="17"/>
  <c r="W1057" i="17"/>
  <c r="W1058" i="17"/>
  <c r="W1059" i="17"/>
  <c r="W1060" i="17"/>
  <c r="W1061" i="17"/>
  <c r="W1062" i="17"/>
  <c r="W1063" i="17"/>
  <c r="W1064" i="17"/>
  <c r="W1065" i="17"/>
  <c r="W1066" i="17"/>
  <c r="W1067" i="17"/>
  <c r="H1052" i="17"/>
  <c r="H1053" i="17"/>
  <c r="H1054" i="17"/>
  <c r="H1055" i="17"/>
  <c r="I1052" i="17"/>
  <c r="I1053" i="17"/>
  <c r="I1054" i="17"/>
  <c r="I1055" i="17"/>
  <c r="J1052" i="17"/>
  <c r="J1053" i="17"/>
  <c r="J1054" i="17"/>
  <c r="J1055" i="17"/>
  <c r="K1052" i="17"/>
  <c r="K1053" i="17"/>
  <c r="K1054" i="17"/>
  <c r="K1055" i="17"/>
  <c r="N1052" i="17"/>
  <c r="N1053" i="17"/>
  <c r="N1054" i="17"/>
  <c r="N1055" i="17"/>
  <c r="O1052" i="17"/>
  <c r="O1053" i="17"/>
  <c r="O1054" i="17"/>
  <c r="O1055" i="17"/>
  <c r="Q1052" i="17"/>
  <c r="Q1053" i="17"/>
  <c r="Q1054" i="17"/>
  <c r="Q1055" i="17"/>
  <c r="S1052" i="17"/>
  <c r="S1053" i="17"/>
  <c r="S1054" i="17"/>
  <c r="S1055" i="17"/>
  <c r="T1052" i="17"/>
  <c r="T1053" i="17"/>
  <c r="T1054" i="17"/>
  <c r="T1055" i="17"/>
  <c r="U1052" i="17"/>
  <c r="U1053" i="17"/>
  <c r="U1054" i="17"/>
  <c r="U1055" i="17"/>
  <c r="V1052" i="17"/>
  <c r="V1053" i="17"/>
  <c r="V1054" i="17"/>
  <c r="V1055" i="17"/>
  <c r="W1052" i="17"/>
  <c r="W1053" i="17"/>
  <c r="W1054" i="17"/>
  <c r="W1055" i="17"/>
  <c r="H1049" i="17"/>
  <c r="H1050" i="17"/>
  <c r="I1049" i="17"/>
  <c r="I1050" i="17"/>
  <c r="J1049" i="17"/>
  <c r="J1050" i="17"/>
  <c r="K1049" i="17"/>
  <c r="K1050" i="17"/>
  <c r="N1049" i="17"/>
  <c r="N1050" i="17"/>
  <c r="O1049" i="17"/>
  <c r="O1050" i="17"/>
  <c r="Q1049" i="17"/>
  <c r="Q1050" i="17"/>
  <c r="S1049" i="17"/>
  <c r="S1050" i="17"/>
  <c r="T1049" i="17"/>
  <c r="T1050" i="17"/>
  <c r="U1049" i="17"/>
  <c r="U1050" i="17"/>
  <c r="V1049" i="17"/>
  <c r="V1050" i="17"/>
  <c r="W1049" i="17"/>
  <c r="W1050" i="17"/>
  <c r="H1033" i="17"/>
  <c r="H1034" i="17"/>
  <c r="H1035" i="17"/>
  <c r="H1036" i="17"/>
  <c r="H1037" i="17"/>
  <c r="H1039" i="17"/>
  <c r="H1040" i="17"/>
  <c r="H1041" i="17"/>
  <c r="H1042" i="17"/>
  <c r="H1043" i="17"/>
  <c r="H1044" i="17"/>
  <c r="H1045" i="17"/>
  <c r="H1046" i="17"/>
  <c r="H1047" i="17"/>
  <c r="H1048" i="17"/>
  <c r="I1033" i="17"/>
  <c r="I1034" i="17"/>
  <c r="I1035" i="17"/>
  <c r="I1036" i="17"/>
  <c r="I1037" i="17"/>
  <c r="I1039" i="17"/>
  <c r="I1040" i="17"/>
  <c r="I1041" i="17"/>
  <c r="I1042" i="17"/>
  <c r="I1043" i="17"/>
  <c r="I1044" i="17"/>
  <c r="I1045" i="17"/>
  <c r="I1046" i="17"/>
  <c r="I1047" i="17"/>
  <c r="I1048" i="17"/>
  <c r="J1033" i="17"/>
  <c r="J1034" i="17"/>
  <c r="J1035" i="17"/>
  <c r="J1036" i="17"/>
  <c r="J1037" i="17"/>
  <c r="J1039" i="17"/>
  <c r="J1040" i="17"/>
  <c r="J1041" i="17"/>
  <c r="J1042" i="17"/>
  <c r="J1043" i="17"/>
  <c r="J1044" i="17"/>
  <c r="J1045" i="17"/>
  <c r="J1046" i="17"/>
  <c r="J1047" i="17"/>
  <c r="J1048" i="17"/>
  <c r="K1033" i="17"/>
  <c r="K1034" i="17"/>
  <c r="K1035" i="17"/>
  <c r="K1036" i="17"/>
  <c r="K1037" i="17"/>
  <c r="K1039" i="17"/>
  <c r="K1040" i="17"/>
  <c r="K1041" i="17"/>
  <c r="K1042" i="17"/>
  <c r="K1043" i="17"/>
  <c r="K1044" i="17"/>
  <c r="K1045" i="17"/>
  <c r="K1046" i="17"/>
  <c r="K1047" i="17"/>
  <c r="K1048" i="17"/>
  <c r="N1033" i="17"/>
  <c r="N1034" i="17"/>
  <c r="N1035" i="17"/>
  <c r="N1036" i="17"/>
  <c r="N1037" i="17"/>
  <c r="N1039" i="17"/>
  <c r="N1040" i="17"/>
  <c r="N1041" i="17"/>
  <c r="N1042" i="17"/>
  <c r="N1043" i="17"/>
  <c r="N1044" i="17"/>
  <c r="N1045" i="17"/>
  <c r="N1046" i="17"/>
  <c r="N1047" i="17"/>
  <c r="N1048" i="17"/>
  <c r="O1033" i="17"/>
  <c r="O1034" i="17"/>
  <c r="O1035" i="17"/>
  <c r="O1036" i="17"/>
  <c r="O1037" i="17"/>
  <c r="O1039" i="17"/>
  <c r="O1040" i="17"/>
  <c r="O1041" i="17"/>
  <c r="O1042" i="17"/>
  <c r="O1043" i="17"/>
  <c r="O1044" i="17"/>
  <c r="O1045" i="17"/>
  <c r="O1046" i="17"/>
  <c r="O1047" i="17"/>
  <c r="O1048" i="17"/>
  <c r="Q1033" i="17"/>
  <c r="Q1034" i="17"/>
  <c r="Q1035" i="17"/>
  <c r="Q1036" i="17"/>
  <c r="Q1037" i="17"/>
  <c r="Q1039" i="17"/>
  <c r="Q1040" i="17"/>
  <c r="Q1041" i="17"/>
  <c r="Q1042" i="17"/>
  <c r="Q1043" i="17"/>
  <c r="Q1044" i="17"/>
  <c r="Q1045" i="17"/>
  <c r="Q1046" i="17"/>
  <c r="Q1047" i="17"/>
  <c r="Q1048" i="17"/>
  <c r="S1033" i="17"/>
  <c r="S1034" i="17"/>
  <c r="S1035" i="17"/>
  <c r="S1036" i="17"/>
  <c r="S1037" i="17"/>
  <c r="S1039" i="17"/>
  <c r="S1040" i="17"/>
  <c r="S1041" i="17"/>
  <c r="S1042" i="17"/>
  <c r="S1043" i="17"/>
  <c r="S1044" i="17"/>
  <c r="S1045" i="17"/>
  <c r="S1046" i="17"/>
  <c r="S1047" i="17"/>
  <c r="S1048" i="17"/>
  <c r="T1033" i="17"/>
  <c r="T1034" i="17"/>
  <c r="T1035" i="17"/>
  <c r="T1036" i="17"/>
  <c r="T1037" i="17"/>
  <c r="T1039" i="17"/>
  <c r="T1040" i="17"/>
  <c r="T1041" i="17"/>
  <c r="T1042" i="17"/>
  <c r="T1043" i="17"/>
  <c r="T1044" i="17"/>
  <c r="T1045" i="17"/>
  <c r="T1046" i="17"/>
  <c r="T1047" i="17"/>
  <c r="T1048" i="17"/>
  <c r="U1033" i="17"/>
  <c r="U1034" i="17"/>
  <c r="U1035" i="17"/>
  <c r="U1036" i="17"/>
  <c r="U1037" i="17"/>
  <c r="U1039" i="17"/>
  <c r="U1040" i="17"/>
  <c r="U1041" i="17"/>
  <c r="U1042" i="17"/>
  <c r="U1043" i="17"/>
  <c r="U1044" i="17"/>
  <c r="U1045" i="17"/>
  <c r="U1046" i="17"/>
  <c r="U1047" i="17"/>
  <c r="U1048" i="17"/>
  <c r="V1033" i="17"/>
  <c r="V1034" i="17"/>
  <c r="V1035" i="17"/>
  <c r="V1036" i="17"/>
  <c r="V1037" i="17"/>
  <c r="V1039" i="17"/>
  <c r="V1040" i="17"/>
  <c r="V1041" i="17"/>
  <c r="V1042" i="17"/>
  <c r="V1043" i="17"/>
  <c r="V1044" i="17"/>
  <c r="V1045" i="17"/>
  <c r="V1046" i="17"/>
  <c r="V1047" i="17"/>
  <c r="V1048" i="17"/>
  <c r="W1033" i="17"/>
  <c r="W1034" i="17"/>
  <c r="W1035" i="17"/>
  <c r="W1036" i="17"/>
  <c r="W1037" i="17"/>
  <c r="W1039" i="17"/>
  <c r="W1040" i="17"/>
  <c r="W1041" i="17"/>
  <c r="W1042" i="17"/>
  <c r="W1043" i="17"/>
  <c r="W1044" i="17"/>
  <c r="W1045" i="17"/>
  <c r="W1046" i="17"/>
  <c r="W1047" i="17"/>
  <c r="W1048" i="17"/>
  <c r="H1027" i="17"/>
  <c r="H1028" i="17"/>
  <c r="H1029" i="17"/>
  <c r="H1030" i="17"/>
  <c r="H1031" i="17"/>
  <c r="I1027" i="17"/>
  <c r="I1028" i="17"/>
  <c r="I1029" i="17"/>
  <c r="I1030" i="17"/>
  <c r="I1031" i="17"/>
  <c r="J1027" i="17"/>
  <c r="J1028" i="17"/>
  <c r="J1029" i="17"/>
  <c r="J1030" i="17"/>
  <c r="J1031" i="17"/>
  <c r="K1027" i="17"/>
  <c r="K1028" i="17"/>
  <c r="K1029" i="17"/>
  <c r="K1030" i="17"/>
  <c r="K1031" i="17"/>
  <c r="N1027" i="17"/>
  <c r="N1028" i="17"/>
  <c r="N1029" i="17"/>
  <c r="N1030" i="17"/>
  <c r="N1031" i="17"/>
  <c r="O1027" i="17"/>
  <c r="O1028" i="17"/>
  <c r="O1029" i="17"/>
  <c r="O1030" i="17"/>
  <c r="O1031" i="17"/>
  <c r="Q1027" i="17"/>
  <c r="Q1028" i="17"/>
  <c r="Q1029" i="17"/>
  <c r="Q1030" i="17"/>
  <c r="Q1031" i="17"/>
  <c r="S1027" i="17"/>
  <c r="S1028" i="17"/>
  <c r="S1029" i="17"/>
  <c r="S1030" i="17"/>
  <c r="S1031" i="17"/>
  <c r="T1027" i="17"/>
  <c r="T1028" i="17"/>
  <c r="T1029" i="17"/>
  <c r="T1030" i="17"/>
  <c r="T1031" i="17"/>
  <c r="U1027" i="17"/>
  <c r="U1028" i="17"/>
  <c r="U1029" i="17"/>
  <c r="U1030" i="17"/>
  <c r="U1031" i="17"/>
  <c r="V1027" i="17"/>
  <c r="V1028" i="17"/>
  <c r="V1029" i="17"/>
  <c r="V1030" i="17"/>
  <c r="V1031" i="17"/>
  <c r="W1027" i="17"/>
  <c r="W1028" i="17"/>
  <c r="W1029" i="17"/>
  <c r="W1030" i="17"/>
  <c r="W1031" i="17"/>
  <c r="H995" i="17"/>
  <c r="H996" i="17"/>
  <c r="H997" i="17"/>
  <c r="H998" i="17"/>
  <c r="H999" i="17"/>
  <c r="H1000" i="17"/>
  <c r="H1001" i="17"/>
  <c r="H1002" i="17"/>
  <c r="H1003" i="17"/>
  <c r="H1004" i="17"/>
  <c r="H1005" i="17"/>
  <c r="H1006" i="17"/>
  <c r="H1007" i="17"/>
  <c r="H1008" i="17"/>
  <c r="H1009" i="17"/>
  <c r="H1010" i="17"/>
  <c r="H1011" i="17"/>
  <c r="H1012" i="17"/>
  <c r="H1013" i="17"/>
  <c r="H1014" i="17"/>
  <c r="H1015" i="17"/>
  <c r="H1016" i="17"/>
  <c r="H1017" i="17"/>
  <c r="H1018" i="17"/>
  <c r="H1019" i="17"/>
  <c r="H1020" i="17"/>
  <c r="H1021"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J995" i="17"/>
  <c r="J996" i="17"/>
  <c r="J997" i="17"/>
  <c r="J998" i="17"/>
  <c r="J999" i="17"/>
  <c r="J1000" i="17"/>
  <c r="J1001" i="17"/>
  <c r="J1002" i="17"/>
  <c r="J1003" i="17"/>
  <c r="J1004" i="17"/>
  <c r="J1005" i="17"/>
  <c r="J1006" i="17"/>
  <c r="J1007" i="17"/>
  <c r="J1008" i="17"/>
  <c r="J1009" i="17"/>
  <c r="J1010" i="17"/>
  <c r="J1011" i="17"/>
  <c r="J1012" i="17"/>
  <c r="J1013" i="17"/>
  <c r="J1014" i="17"/>
  <c r="J1015" i="17"/>
  <c r="J1016" i="17"/>
  <c r="J1017" i="17"/>
  <c r="J1018" i="17"/>
  <c r="J1019" i="17"/>
  <c r="J1020" i="17"/>
  <c r="J1021" i="17"/>
  <c r="K995" i="17"/>
  <c r="K996" i="17"/>
  <c r="K997" i="17"/>
  <c r="K998" i="17"/>
  <c r="K999" i="17"/>
  <c r="K1000" i="17"/>
  <c r="K1001" i="17"/>
  <c r="K1002" i="17"/>
  <c r="K1003" i="17"/>
  <c r="K1004" i="17"/>
  <c r="K1005" i="17"/>
  <c r="K1006" i="17"/>
  <c r="K1007" i="17"/>
  <c r="K1008" i="17"/>
  <c r="K1009" i="17"/>
  <c r="K1010" i="17"/>
  <c r="K1011" i="17"/>
  <c r="K1012" i="17"/>
  <c r="K1013" i="17"/>
  <c r="K1014" i="17"/>
  <c r="K1015" i="17"/>
  <c r="K1016" i="17"/>
  <c r="K1017" i="17"/>
  <c r="K1018" i="17"/>
  <c r="K1019" i="17"/>
  <c r="K1020" i="17"/>
  <c r="K1021"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O995" i="17"/>
  <c r="O996" i="17"/>
  <c r="O997" i="17"/>
  <c r="O998" i="17"/>
  <c r="O999" i="17"/>
  <c r="O1000" i="17"/>
  <c r="O1001" i="17"/>
  <c r="O1002" i="17"/>
  <c r="O1003" i="17"/>
  <c r="O1004" i="17"/>
  <c r="O1005" i="17"/>
  <c r="O1006" i="17"/>
  <c r="O1007" i="17"/>
  <c r="O1008" i="17"/>
  <c r="O1009" i="17"/>
  <c r="O1010" i="17"/>
  <c r="O1011" i="17"/>
  <c r="O1012" i="17"/>
  <c r="O1013" i="17"/>
  <c r="O1014" i="17"/>
  <c r="O1015" i="17"/>
  <c r="O1016" i="17"/>
  <c r="O1017" i="17"/>
  <c r="O1018" i="17"/>
  <c r="O1019" i="17"/>
  <c r="O1020" i="17"/>
  <c r="O1021" i="17"/>
  <c r="Q995" i="17"/>
  <c r="Q996" i="17"/>
  <c r="Q997" i="17"/>
  <c r="Q998" i="17"/>
  <c r="Q999" i="17"/>
  <c r="Q1000" i="17"/>
  <c r="Q1001" i="17"/>
  <c r="Q1002" i="17"/>
  <c r="Q1003" i="17"/>
  <c r="Q1004" i="17"/>
  <c r="Q1005" i="17"/>
  <c r="Q1006" i="17"/>
  <c r="Q1007" i="17"/>
  <c r="Q1008" i="17"/>
  <c r="Q1009" i="17"/>
  <c r="Q1010" i="17"/>
  <c r="Q1011" i="17"/>
  <c r="Q1012" i="17"/>
  <c r="Q1013" i="17"/>
  <c r="Q1014" i="17"/>
  <c r="Q1015" i="17"/>
  <c r="Q1016" i="17"/>
  <c r="Q1017" i="17"/>
  <c r="Q1018" i="17"/>
  <c r="Q1019" i="17"/>
  <c r="Q1020" i="17"/>
  <c r="Q1021" i="17"/>
  <c r="S995" i="17"/>
  <c r="S996" i="17"/>
  <c r="S997" i="17"/>
  <c r="S998" i="17"/>
  <c r="S999" i="17"/>
  <c r="S1000" i="17"/>
  <c r="S1001" i="17"/>
  <c r="S1002" i="17"/>
  <c r="S1003" i="17"/>
  <c r="S1004" i="17"/>
  <c r="S1005" i="17"/>
  <c r="S1006" i="17"/>
  <c r="S1007" i="17"/>
  <c r="S1008" i="17"/>
  <c r="S1009" i="17"/>
  <c r="S1010" i="17"/>
  <c r="S1011" i="17"/>
  <c r="S1012" i="17"/>
  <c r="S1013" i="17"/>
  <c r="S1014" i="17"/>
  <c r="S1015" i="17"/>
  <c r="S1016" i="17"/>
  <c r="S1017" i="17"/>
  <c r="S1018" i="17"/>
  <c r="S1019" i="17"/>
  <c r="S1020" i="17"/>
  <c r="S1021" i="17"/>
  <c r="T995" i="17"/>
  <c r="T996" i="17"/>
  <c r="T997" i="17"/>
  <c r="T998" i="17"/>
  <c r="T999" i="17"/>
  <c r="T1000" i="17"/>
  <c r="T1001" i="17"/>
  <c r="T1002" i="17"/>
  <c r="T1003" i="17"/>
  <c r="T1004" i="17"/>
  <c r="T1005" i="17"/>
  <c r="T1006" i="17"/>
  <c r="T1007" i="17"/>
  <c r="T1008" i="17"/>
  <c r="T1009" i="17"/>
  <c r="T1010" i="17"/>
  <c r="T1011" i="17"/>
  <c r="T1012" i="17"/>
  <c r="T1013" i="17"/>
  <c r="T1014" i="17"/>
  <c r="T1015" i="17"/>
  <c r="T1016" i="17"/>
  <c r="T1017" i="17"/>
  <c r="T1018" i="17"/>
  <c r="T1019" i="17"/>
  <c r="T1020" i="17"/>
  <c r="T1021" i="17"/>
  <c r="U995" i="17"/>
  <c r="U996" i="17"/>
  <c r="U997" i="17"/>
  <c r="U998" i="17"/>
  <c r="U999" i="17"/>
  <c r="U1000" i="17"/>
  <c r="U1001" i="17"/>
  <c r="U1002" i="17"/>
  <c r="U1003" i="17"/>
  <c r="U1004" i="17"/>
  <c r="U1005" i="17"/>
  <c r="U1006" i="17"/>
  <c r="U1007" i="17"/>
  <c r="U1008" i="17"/>
  <c r="U1009" i="17"/>
  <c r="U1010" i="17"/>
  <c r="U1011" i="17"/>
  <c r="U1012" i="17"/>
  <c r="U1013" i="17"/>
  <c r="U1014" i="17"/>
  <c r="U1015" i="17"/>
  <c r="U1016" i="17"/>
  <c r="U1017" i="17"/>
  <c r="U1018" i="17"/>
  <c r="U1019" i="17"/>
  <c r="U1020" i="17"/>
  <c r="U1021" i="17"/>
  <c r="V995" i="17"/>
  <c r="V996" i="17"/>
  <c r="V997" i="17"/>
  <c r="V998" i="17"/>
  <c r="V999" i="17"/>
  <c r="V1000" i="17"/>
  <c r="V1001" i="17"/>
  <c r="V1002" i="17"/>
  <c r="V1003" i="17"/>
  <c r="V1004" i="17"/>
  <c r="V1005" i="17"/>
  <c r="V1006" i="17"/>
  <c r="V1007" i="17"/>
  <c r="V1008" i="17"/>
  <c r="V1009" i="17"/>
  <c r="V1010" i="17"/>
  <c r="V1011" i="17"/>
  <c r="V1012" i="17"/>
  <c r="V1013" i="17"/>
  <c r="V1014" i="17"/>
  <c r="V1015" i="17"/>
  <c r="V1016" i="17"/>
  <c r="V1017" i="17"/>
  <c r="V1018" i="17"/>
  <c r="V1019" i="17"/>
  <c r="V1020" i="17"/>
  <c r="V1021" i="17"/>
  <c r="W995" i="17"/>
  <c r="W996" i="17"/>
  <c r="W997" i="17"/>
  <c r="W998" i="17"/>
  <c r="W999" i="17"/>
  <c r="W1000" i="17"/>
  <c r="W1001" i="17"/>
  <c r="W1002" i="17"/>
  <c r="W1003" i="17"/>
  <c r="W1004" i="17"/>
  <c r="W1005" i="17"/>
  <c r="W1006" i="17"/>
  <c r="W1007" i="17"/>
  <c r="W1008" i="17"/>
  <c r="W1009" i="17"/>
  <c r="W1010" i="17"/>
  <c r="W1011" i="17"/>
  <c r="W1012" i="17"/>
  <c r="W1013" i="17"/>
  <c r="W1014" i="17"/>
  <c r="W1015" i="17"/>
  <c r="W1016" i="17"/>
  <c r="W1017" i="17"/>
  <c r="W1018" i="17"/>
  <c r="W1019" i="17"/>
  <c r="W1020" i="17"/>
  <c r="W1021" i="17"/>
  <c r="H983" i="17"/>
  <c r="H984" i="17"/>
  <c r="H985" i="17"/>
  <c r="H986" i="17"/>
  <c r="H987" i="17"/>
  <c r="H988" i="17"/>
  <c r="H989" i="17"/>
  <c r="H990" i="17"/>
  <c r="H991" i="17"/>
  <c r="H992" i="17"/>
  <c r="H993" i="17"/>
  <c r="H994" i="17"/>
  <c r="H1022" i="17"/>
  <c r="H1023" i="17"/>
  <c r="H1024" i="17"/>
  <c r="H1025" i="17"/>
  <c r="H1026" i="17"/>
  <c r="I983" i="17"/>
  <c r="I984" i="17"/>
  <c r="I985" i="17"/>
  <c r="I986" i="17"/>
  <c r="I987" i="17"/>
  <c r="I988" i="17"/>
  <c r="I989" i="17"/>
  <c r="I990" i="17"/>
  <c r="I991" i="17"/>
  <c r="I992" i="17"/>
  <c r="I993" i="17"/>
  <c r="I994" i="17"/>
  <c r="I1022" i="17"/>
  <c r="I1023" i="17"/>
  <c r="I1024" i="17"/>
  <c r="I1025" i="17"/>
  <c r="I1026" i="17"/>
  <c r="J983" i="17"/>
  <c r="J984" i="17"/>
  <c r="J985" i="17"/>
  <c r="J986" i="17"/>
  <c r="J987" i="17"/>
  <c r="J988" i="17"/>
  <c r="J989" i="17"/>
  <c r="J990" i="17"/>
  <c r="J991" i="17"/>
  <c r="J992" i="17"/>
  <c r="J993" i="17"/>
  <c r="J994" i="17"/>
  <c r="J1022" i="17"/>
  <c r="J1023" i="17"/>
  <c r="J1024" i="17"/>
  <c r="J1025" i="17"/>
  <c r="J1026" i="17"/>
  <c r="K983" i="17"/>
  <c r="K984" i="17"/>
  <c r="K985" i="17"/>
  <c r="K986" i="17"/>
  <c r="K987" i="17"/>
  <c r="K988" i="17"/>
  <c r="K989" i="17"/>
  <c r="K990" i="17"/>
  <c r="K991" i="17"/>
  <c r="K992" i="17"/>
  <c r="K993" i="17"/>
  <c r="K994" i="17"/>
  <c r="K1022" i="17"/>
  <c r="K1023" i="17"/>
  <c r="K1024" i="17"/>
  <c r="K1025" i="17"/>
  <c r="K1026" i="17"/>
  <c r="N983" i="17"/>
  <c r="N984" i="17"/>
  <c r="N985" i="17"/>
  <c r="N986" i="17"/>
  <c r="N987" i="17"/>
  <c r="N988" i="17"/>
  <c r="N989" i="17"/>
  <c r="N990" i="17"/>
  <c r="N991" i="17"/>
  <c r="N992" i="17"/>
  <c r="N993" i="17"/>
  <c r="N994" i="17"/>
  <c r="N1022" i="17"/>
  <c r="N1023" i="17"/>
  <c r="N1024" i="17"/>
  <c r="N1025" i="17"/>
  <c r="N1026" i="17"/>
  <c r="O983" i="17"/>
  <c r="O984" i="17"/>
  <c r="O985" i="17"/>
  <c r="O986" i="17"/>
  <c r="O987" i="17"/>
  <c r="O988" i="17"/>
  <c r="O989" i="17"/>
  <c r="O990" i="17"/>
  <c r="O991" i="17"/>
  <c r="O992" i="17"/>
  <c r="O993" i="17"/>
  <c r="O994" i="17"/>
  <c r="O1022" i="17"/>
  <c r="O1023" i="17"/>
  <c r="O1024" i="17"/>
  <c r="O1025" i="17"/>
  <c r="O1026" i="17"/>
  <c r="Q983" i="17"/>
  <c r="Q984" i="17"/>
  <c r="Q985" i="17"/>
  <c r="Q986" i="17"/>
  <c r="Q987" i="17"/>
  <c r="Q988" i="17"/>
  <c r="Q989" i="17"/>
  <c r="Q990" i="17"/>
  <c r="Q991" i="17"/>
  <c r="Q992" i="17"/>
  <c r="Q993" i="17"/>
  <c r="Q994" i="17"/>
  <c r="Q1022" i="17"/>
  <c r="Q1023" i="17"/>
  <c r="Q1024" i="17"/>
  <c r="Q1025" i="17"/>
  <c r="Q1026" i="17"/>
  <c r="S983" i="17"/>
  <c r="S984" i="17"/>
  <c r="S985" i="17"/>
  <c r="S986" i="17"/>
  <c r="S987" i="17"/>
  <c r="S988" i="17"/>
  <c r="S989" i="17"/>
  <c r="S990" i="17"/>
  <c r="S991" i="17"/>
  <c r="S992" i="17"/>
  <c r="S993" i="17"/>
  <c r="S994" i="17"/>
  <c r="S1022" i="17"/>
  <c r="S1023" i="17"/>
  <c r="S1024" i="17"/>
  <c r="S1025" i="17"/>
  <c r="S1026" i="17"/>
  <c r="T983" i="17"/>
  <c r="T984" i="17"/>
  <c r="T985" i="17"/>
  <c r="T986" i="17"/>
  <c r="T987" i="17"/>
  <c r="T988" i="17"/>
  <c r="T989" i="17"/>
  <c r="T990" i="17"/>
  <c r="T991" i="17"/>
  <c r="T992" i="17"/>
  <c r="T993" i="17"/>
  <c r="T994" i="17"/>
  <c r="T1022" i="17"/>
  <c r="T1023" i="17"/>
  <c r="T1024" i="17"/>
  <c r="T1025" i="17"/>
  <c r="T1026" i="17"/>
  <c r="U983" i="17"/>
  <c r="U984" i="17"/>
  <c r="U985" i="17"/>
  <c r="U986" i="17"/>
  <c r="U987" i="17"/>
  <c r="U988" i="17"/>
  <c r="U989" i="17"/>
  <c r="U990" i="17"/>
  <c r="U991" i="17"/>
  <c r="U992" i="17"/>
  <c r="U993" i="17"/>
  <c r="U994" i="17"/>
  <c r="U1022" i="17"/>
  <c r="U1023" i="17"/>
  <c r="U1024" i="17"/>
  <c r="U1025" i="17"/>
  <c r="U1026" i="17"/>
  <c r="V983" i="17"/>
  <c r="V984" i="17"/>
  <c r="V985" i="17"/>
  <c r="V986" i="17"/>
  <c r="V987" i="17"/>
  <c r="V988" i="17"/>
  <c r="V989" i="17"/>
  <c r="V990" i="17"/>
  <c r="V991" i="17"/>
  <c r="V992" i="17"/>
  <c r="V993" i="17"/>
  <c r="V994" i="17"/>
  <c r="V1022" i="17"/>
  <c r="V1023" i="17"/>
  <c r="V1024" i="17"/>
  <c r="V1025" i="17"/>
  <c r="V1026" i="17"/>
  <c r="W983" i="17"/>
  <c r="W984" i="17"/>
  <c r="W985" i="17"/>
  <c r="W986" i="17"/>
  <c r="W987" i="17"/>
  <c r="W988" i="17"/>
  <c r="W989" i="17"/>
  <c r="W990" i="17"/>
  <c r="W991" i="17"/>
  <c r="W992" i="17"/>
  <c r="W993" i="17"/>
  <c r="W994" i="17"/>
  <c r="W1022" i="17"/>
  <c r="W1023" i="17"/>
  <c r="W1024" i="17"/>
  <c r="W1025" i="17"/>
  <c r="W1026" i="17"/>
  <c r="H966" i="17"/>
  <c r="H967" i="17"/>
  <c r="H968" i="17"/>
  <c r="H969" i="17"/>
  <c r="H971" i="17"/>
  <c r="H972" i="17"/>
  <c r="H973" i="17"/>
  <c r="H974" i="17"/>
  <c r="H975" i="17"/>
  <c r="H976" i="17"/>
  <c r="H977" i="17"/>
  <c r="H978" i="17"/>
  <c r="H979" i="17"/>
  <c r="H980" i="17"/>
  <c r="H981" i="17"/>
  <c r="I966" i="17"/>
  <c r="I967" i="17"/>
  <c r="I968" i="17"/>
  <c r="I969" i="17"/>
  <c r="I971" i="17"/>
  <c r="I972" i="17"/>
  <c r="I973" i="17"/>
  <c r="I974" i="17"/>
  <c r="I975" i="17"/>
  <c r="I976" i="17"/>
  <c r="I977" i="17"/>
  <c r="I978" i="17"/>
  <c r="I979" i="17"/>
  <c r="I980" i="17"/>
  <c r="I981" i="17"/>
  <c r="J966" i="17"/>
  <c r="J967" i="17"/>
  <c r="J968" i="17"/>
  <c r="J969" i="17"/>
  <c r="J971" i="17"/>
  <c r="J972" i="17"/>
  <c r="J973" i="17"/>
  <c r="J974" i="17"/>
  <c r="J975" i="17"/>
  <c r="J976" i="17"/>
  <c r="J977" i="17"/>
  <c r="J978" i="17"/>
  <c r="J979" i="17"/>
  <c r="J980" i="17"/>
  <c r="J981" i="17"/>
  <c r="K966" i="17"/>
  <c r="K967" i="17"/>
  <c r="K968" i="17"/>
  <c r="K969" i="17"/>
  <c r="K971" i="17"/>
  <c r="K972" i="17"/>
  <c r="K973" i="17"/>
  <c r="K974" i="17"/>
  <c r="K975" i="17"/>
  <c r="K976" i="17"/>
  <c r="K977" i="17"/>
  <c r="K978" i="17"/>
  <c r="K979" i="17"/>
  <c r="K980" i="17"/>
  <c r="K981" i="17"/>
  <c r="N966" i="17"/>
  <c r="N967" i="17"/>
  <c r="N968" i="17"/>
  <c r="N969" i="17"/>
  <c r="N971" i="17"/>
  <c r="N972" i="17"/>
  <c r="N973" i="17"/>
  <c r="N974" i="17"/>
  <c r="N975" i="17"/>
  <c r="N976" i="17"/>
  <c r="N977" i="17"/>
  <c r="N978" i="17"/>
  <c r="N979" i="17"/>
  <c r="N980" i="17"/>
  <c r="N981" i="17"/>
  <c r="O966" i="17"/>
  <c r="O967" i="17"/>
  <c r="O968" i="17"/>
  <c r="O969" i="17"/>
  <c r="O971" i="17"/>
  <c r="O972" i="17"/>
  <c r="O973" i="17"/>
  <c r="O974" i="17"/>
  <c r="O975" i="17"/>
  <c r="O976" i="17"/>
  <c r="O977" i="17"/>
  <c r="O978" i="17"/>
  <c r="O979" i="17"/>
  <c r="O980" i="17"/>
  <c r="O981" i="17"/>
  <c r="Q966" i="17"/>
  <c r="Q967" i="17"/>
  <c r="Q968" i="17"/>
  <c r="Q969" i="17"/>
  <c r="Q971" i="17"/>
  <c r="Q972" i="17"/>
  <c r="Q973" i="17"/>
  <c r="Q974" i="17"/>
  <c r="Q975" i="17"/>
  <c r="Q976" i="17"/>
  <c r="Q977" i="17"/>
  <c r="Q978" i="17"/>
  <c r="Q979" i="17"/>
  <c r="Q980" i="17"/>
  <c r="Q981" i="17"/>
  <c r="S966" i="17"/>
  <c r="S967" i="17"/>
  <c r="S968" i="17"/>
  <c r="S969" i="17"/>
  <c r="S971" i="17"/>
  <c r="S972" i="17"/>
  <c r="S973" i="17"/>
  <c r="S974" i="17"/>
  <c r="S975" i="17"/>
  <c r="S976" i="17"/>
  <c r="S977" i="17"/>
  <c r="S978" i="17"/>
  <c r="S979" i="17"/>
  <c r="S980" i="17"/>
  <c r="S981" i="17"/>
  <c r="T966" i="17"/>
  <c r="T967" i="17"/>
  <c r="T968" i="17"/>
  <c r="T969" i="17"/>
  <c r="T971" i="17"/>
  <c r="T972" i="17"/>
  <c r="T973" i="17"/>
  <c r="T974" i="17"/>
  <c r="T975" i="17"/>
  <c r="T976" i="17"/>
  <c r="T977" i="17"/>
  <c r="T978" i="17"/>
  <c r="T979" i="17"/>
  <c r="T980" i="17"/>
  <c r="T981" i="17"/>
  <c r="U966" i="17"/>
  <c r="U967" i="17"/>
  <c r="U968" i="17"/>
  <c r="U969" i="17"/>
  <c r="U971" i="17"/>
  <c r="U972" i="17"/>
  <c r="U973" i="17"/>
  <c r="U974" i="17"/>
  <c r="U975" i="17"/>
  <c r="U976" i="17"/>
  <c r="U977" i="17"/>
  <c r="U978" i="17"/>
  <c r="U979" i="17"/>
  <c r="U980" i="17"/>
  <c r="U981" i="17"/>
  <c r="V966" i="17"/>
  <c r="V967" i="17"/>
  <c r="V968" i="17"/>
  <c r="V969" i="17"/>
  <c r="V971" i="17"/>
  <c r="V972" i="17"/>
  <c r="V973" i="17"/>
  <c r="V974" i="17"/>
  <c r="V975" i="17"/>
  <c r="V976" i="17"/>
  <c r="V977" i="17"/>
  <c r="V978" i="17"/>
  <c r="V979" i="17"/>
  <c r="V980" i="17"/>
  <c r="V981" i="17"/>
  <c r="W966" i="17"/>
  <c r="W967" i="17"/>
  <c r="W968" i="17"/>
  <c r="W969" i="17"/>
  <c r="W971" i="17"/>
  <c r="W972" i="17"/>
  <c r="W973" i="17"/>
  <c r="W974" i="17"/>
  <c r="W975" i="17"/>
  <c r="W976" i="17"/>
  <c r="W977" i="17"/>
  <c r="W978" i="17"/>
  <c r="W979" i="17"/>
  <c r="W980" i="17"/>
  <c r="W981" i="17"/>
  <c r="H959" i="17"/>
  <c r="H960" i="17"/>
  <c r="H961" i="17"/>
  <c r="H962" i="17"/>
  <c r="H963" i="17"/>
  <c r="H964" i="17"/>
  <c r="I959" i="17"/>
  <c r="I960" i="17"/>
  <c r="I961" i="17"/>
  <c r="I962" i="17"/>
  <c r="I963" i="17"/>
  <c r="I964" i="17"/>
  <c r="J959" i="17"/>
  <c r="J960" i="17"/>
  <c r="J961" i="17"/>
  <c r="J962" i="17"/>
  <c r="J963" i="17"/>
  <c r="J964" i="17"/>
  <c r="K959" i="17"/>
  <c r="K960" i="17"/>
  <c r="K961" i="17"/>
  <c r="K962" i="17"/>
  <c r="K963" i="17"/>
  <c r="K964" i="17"/>
  <c r="N959" i="17"/>
  <c r="N960" i="17"/>
  <c r="N961" i="17"/>
  <c r="N962" i="17"/>
  <c r="N963" i="17"/>
  <c r="N964" i="17"/>
  <c r="O959" i="17"/>
  <c r="O960" i="17"/>
  <c r="O961" i="17"/>
  <c r="O962" i="17"/>
  <c r="O963" i="17"/>
  <c r="O964" i="17"/>
  <c r="Q959" i="17"/>
  <c r="Q960" i="17"/>
  <c r="Q961" i="17"/>
  <c r="Q962" i="17"/>
  <c r="Q963" i="17"/>
  <c r="Q964" i="17"/>
  <c r="S959" i="17"/>
  <c r="S960" i="17"/>
  <c r="S961" i="17"/>
  <c r="S962" i="17"/>
  <c r="S963" i="17"/>
  <c r="S964" i="17"/>
  <c r="T959" i="17"/>
  <c r="T960" i="17"/>
  <c r="T961" i="17"/>
  <c r="T962" i="17"/>
  <c r="T963" i="17"/>
  <c r="T964" i="17"/>
  <c r="U959" i="17"/>
  <c r="U960" i="17"/>
  <c r="U961" i="17"/>
  <c r="U962" i="17"/>
  <c r="U963" i="17"/>
  <c r="U964" i="17"/>
  <c r="V959" i="17"/>
  <c r="V960" i="17"/>
  <c r="V961" i="17"/>
  <c r="V962" i="17"/>
  <c r="V963" i="17"/>
  <c r="V964" i="17"/>
  <c r="W959" i="17"/>
  <c r="W960" i="17"/>
  <c r="W961" i="17"/>
  <c r="W962" i="17"/>
  <c r="W963" i="17"/>
  <c r="W964" i="17"/>
  <c r="H947" i="17"/>
  <c r="H948" i="17"/>
  <c r="H949" i="17"/>
  <c r="H950" i="17"/>
  <c r="H951" i="17"/>
  <c r="H952" i="17"/>
  <c r="H953" i="17"/>
  <c r="H954" i="17"/>
  <c r="H955" i="17"/>
  <c r="H957" i="17"/>
  <c r="I947" i="17"/>
  <c r="I948" i="17"/>
  <c r="I949" i="17"/>
  <c r="I950" i="17"/>
  <c r="I951" i="17"/>
  <c r="I952" i="17"/>
  <c r="I953" i="17"/>
  <c r="I954" i="17"/>
  <c r="I955" i="17"/>
  <c r="I957" i="17"/>
  <c r="J947" i="17"/>
  <c r="J948" i="17"/>
  <c r="J949" i="17"/>
  <c r="J950" i="17"/>
  <c r="J951" i="17"/>
  <c r="J952" i="17"/>
  <c r="J953" i="17"/>
  <c r="J954" i="17"/>
  <c r="J955" i="17"/>
  <c r="J957" i="17"/>
  <c r="K947" i="17"/>
  <c r="K948" i="17"/>
  <c r="K949" i="17"/>
  <c r="K950" i="17"/>
  <c r="K951" i="17"/>
  <c r="K952" i="17"/>
  <c r="K953" i="17"/>
  <c r="K954" i="17"/>
  <c r="K955" i="17"/>
  <c r="K957" i="17"/>
  <c r="N947" i="17"/>
  <c r="N948" i="17"/>
  <c r="N949" i="17"/>
  <c r="N950" i="17"/>
  <c r="N951" i="17"/>
  <c r="N952" i="17"/>
  <c r="N953" i="17"/>
  <c r="N954" i="17"/>
  <c r="N955" i="17"/>
  <c r="N957" i="17"/>
  <c r="O947" i="17"/>
  <c r="O948" i="17"/>
  <c r="O949" i="17"/>
  <c r="O950" i="17"/>
  <c r="O951" i="17"/>
  <c r="O952" i="17"/>
  <c r="O953" i="17"/>
  <c r="O954" i="17"/>
  <c r="O955" i="17"/>
  <c r="O957" i="17"/>
  <c r="Q947" i="17"/>
  <c r="Q948" i="17"/>
  <c r="Q949" i="17"/>
  <c r="Q950" i="17"/>
  <c r="Q951" i="17"/>
  <c r="Q952" i="17"/>
  <c r="Q953" i="17"/>
  <c r="Q954" i="17"/>
  <c r="Q955" i="17"/>
  <c r="Q957" i="17"/>
  <c r="S947" i="17"/>
  <c r="S948" i="17"/>
  <c r="S949" i="17"/>
  <c r="S950" i="17"/>
  <c r="S951" i="17"/>
  <c r="S952" i="17"/>
  <c r="S953" i="17"/>
  <c r="S954" i="17"/>
  <c r="S955" i="17"/>
  <c r="S957" i="17"/>
  <c r="T947" i="17"/>
  <c r="T948" i="17"/>
  <c r="T949" i="17"/>
  <c r="T950" i="17"/>
  <c r="T951" i="17"/>
  <c r="T952" i="17"/>
  <c r="T953" i="17"/>
  <c r="T954" i="17"/>
  <c r="T955" i="17"/>
  <c r="T957" i="17"/>
  <c r="U947" i="17"/>
  <c r="U948" i="17"/>
  <c r="U949" i="17"/>
  <c r="U950" i="17"/>
  <c r="U951" i="17"/>
  <c r="U952" i="17"/>
  <c r="U953" i="17"/>
  <c r="U954" i="17"/>
  <c r="U955" i="17"/>
  <c r="U957" i="17"/>
  <c r="V947" i="17"/>
  <c r="V948" i="17"/>
  <c r="V949" i="17"/>
  <c r="V950" i="17"/>
  <c r="V951" i="17"/>
  <c r="V952" i="17"/>
  <c r="V953" i="17"/>
  <c r="V954" i="17"/>
  <c r="V955" i="17"/>
  <c r="V957" i="17"/>
  <c r="W947" i="17"/>
  <c r="W948" i="17"/>
  <c r="W949" i="17"/>
  <c r="W950" i="17"/>
  <c r="W951" i="17"/>
  <c r="W952" i="17"/>
  <c r="W953" i="17"/>
  <c r="W954" i="17"/>
  <c r="W955" i="17"/>
  <c r="W957" i="17"/>
  <c r="H935" i="17"/>
  <c r="H936" i="17"/>
  <c r="H937" i="17"/>
  <c r="H938" i="17"/>
  <c r="H939" i="17"/>
  <c r="H940" i="17"/>
  <c r="H943" i="17"/>
  <c r="H944" i="17"/>
  <c r="H945" i="17"/>
  <c r="I935" i="17"/>
  <c r="I936" i="17"/>
  <c r="I937" i="17"/>
  <c r="I938" i="17"/>
  <c r="I939" i="17"/>
  <c r="I940" i="17"/>
  <c r="I943" i="17"/>
  <c r="I944" i="17"/>
  <c r="I945" i="17"/>
  <c r="J935" i="17"/>
  <c r="J936" i="17"/>
  <c r="J937" i="17"/>
  <c r="J938" i="17"/>
  <c r="J939" i="17"/>
  <c r="J940" i="17"/>
  <c r="J943" i="17"/>
  <c r="J944" i="17"/>
  <c r="J945" i="17"/>
  <c r="K935" i="17"/>
  <c r="K936" i="17"/>
  <c r="K937" i="17"/>
  <c r="K938" i="17"/>
  <c r="K939" i="17"/>
  <c r="K940" i="17"/>
  <c r="K943" i="17"/>
  <c r="K944" i="17"/>
  <c r="K945" i="17"/>
  <c r="N935" i="17"/>
  <c r="N936" i="17"/>
  <c r="N937" i="17"/>
  <c r="N938" i="17"/>
  <c r="N939" i="17"/>
  <c r="N940" i="17"/>
  <c r="N943" i="17"/>
  <c r="N944" i="17"/>
  <c r="N945" i="17"/>
  <c r="O935" i="17"/>
  <c r="O936" i="17"/>
  <c r="O937" i="17"/>
  <c r="O938" i="17"/>
  <c r="O939" i="17"/>
  <c r="O940" i="17"/>
  <c r="O943" i="17"/>
  <c r="O944" i="17"/>
  <c r="O945" i="17"/>
  <c r="Q935" i="17"/>
  <c r="Q936" i="17"/>
  <c r="Q937" i="17"/>
  <c r="Q938" i="17"/>
  <c r="Q939" i="17"/>
  <c r="Q940" i="17"/>
  <c r="Q943" i="17"/>
  <c r="Q944" i="17"/>
  <c r="Q945" i="17"/>
  <c r="S935" i="17"/>
  <c r="S936" i="17"/>
  <c r="S937" i="17"/>
  <c r="S938" i="17"/>
  <c r="S939" i="17"/>
  <c r="S940" i="17"/>
  <c r="S943" i="17"/>
  <c r="S944" i="17"/>
  <c r="S945" i="17"/>
  <c r="T935" i="17"/>
  <c r="T936" i="17"/>
  <c r="T937" i="17"/>
  <c r="T938" i="17"/>
  <c r="T939" i="17"/>
  <c r="T940" i="17"/>
  <c r="T943" i="17"/>
  <c r="T944" i="17"/>
  <c r="T945" i="17"/>
  <c r="U935" i="17"/>
  <c r="U936" i="17"/>
  <c r="U937" i="17"/>
  <c r="U938" i="17"/>
  <c r="U939" i="17"/>
  <c r="U940" i="17"/>
  <c r="U943" i="17"/>
  <c r="U944" i="17"/>
  <c r="U945" i="17"/>
  <c r="V935" i="17"/>
  <c r="V936" i="17"/>
  <c r="V937" i="17"/>
  <c r="V938" i="17"/>
  <c r="V939" i="17"/>
  <c r="V940" i="17"/>
  <c r="V943" i="17"/>
  <c r="V944" i="17"/>
  <c r="V945" i="17"/>
  <c r="W935" i="17"/>
  <c r="W936" i="17"/>
  <c r="W937" i="17"/>
  <c r="W938" i="17"/>
  <c r="W939" i="17"/>
  <c r="W940" i="17"/>
  <c r="W943" i="17"/>
  <c r="W944" i="17"/>
  <c r="W945" i="17"/>
  <c r="H925" i="17"/>
  <c r="H926" i="17"/>
  <c r="H927" i="17"/>
  <c r="H928" i="17"/>
  <c r="H929" i="17"/>
  <c r="H930" i="17"/>
  <c r="I925" i="17"/>
  <c r="I926" i="17"/>
  <c r="I927" i="17"/>
  <c r="I928" i="17"/>
  <c r="I929" i="17"/>
  <c r="I930" i="17"/>
  <c r="J925" i="17"/>
  <c r="J926" i="17"/>
  <c r="J927" i="17"/>
  <c r="J928" i="17"/>
  <c r="J929" i="17"/>
  <c r="J930" i="17"/>
  <c r="K925" i="17"/>
  <c r="K926" i="17"/>
  <c r="K927" i="17"/>
  <c r="K928" i="17"/>
  <c r="K929" i="17"/>
  <c r="K930" i="17"/>
  <c r="N925" i="17"/>
  <c r="N926" i="17"/>
  <c r="N927" i="17"/>
  <c r="N928" i="17"/>
  <c r="N929" i="17"/>
  <c r="N930" i="17"/>
  <c r="O925" i="17"/>
  <c r="O926" i="17"/>
  <c r="O927" i="17"/>
  <c r="O928" i="17"/>
  <c r="O929" i="17"/>
  <c r="O930" i="17"/>
  <c r="Q925" i="17"/>
  <c r="Q926" i="17"/>
  <c r="Q927" i="17"/>
  <c r="Q928" i="17"/>
  <c r="Q929" i="17"/>
  <c r="Q930" i="17"/>
  <c r="S925" i="17"/>
  <c r="S926" i="17"/>
  <c r="S927" i="17"/>
  <c r="S928" i="17"/>
  <c r="S929" i="17"/>
  <c r="S930" i="17"/>
  <c r="T925" i="17"/>
  <c r="T926" i="17"/>
  <c r="T927" i="17"/>
  <c r="T928" i="17"/>
  <c r="T929" i="17"/>
  <c r="T930" i="17"/>
  <c r="U925" i="17"/>
  <c r="U926" i="17"/>
  <c r="U927" i="17"/>
  <c r="U928" i="17"/>
  <c r="U929" i="17"/>
  <c r="U930" i="17"/>
  <c r="V925" i="17"/>
  <c r="V926" i="17"/>
  <c r="V927" i="17"/>
  <c r="V928" i="17"/>
  <c r="V929" i="17"/>
  <c r="V930" i="17"/>
  <c r="W925" i="17"/>
  <c r="W926" i="17"/>
  <c r="W927" i="17"/>
  <c r="W928" i="17"/>
  <c r="W929" i="17"/>
  <c r="W930" i="17"/>
  <c r="H899" i="17"/>
  <c r="H900" i="17"/>
  <c r="H901" i="17"/>
  <c r="H902" i="17"/>
  <c r="H903" i="17"/>
  <c r="H904" i="17"/>
  <c r="H905" i="17"/>
  <c r="H906" i="17"/>
  <c r="H907" i="17"/>
  <c r="H919" i="17"/>
  <c r="H920" i="17"/>
  <c r="H921" i="17"/>
  <c r="H923" i="17"/>
  <c r="H924" i="17"/>
  <c r="H931" i="17"/>
  <c r="H932" i="17"/>
  <c r="H933" i="17"/>
  <c r="H934" i="17"/>
  <c r="I899" i="17"/>
  <c r="I900" i="17"/>
  <c r="I901" i="17"/>
  <c r="I902" i="17"/>
  <c r="I903" i="17"/>
  <c r="I904" i="17"/>
  <c r="I905" i="17"/>
  <c r="I906" i="17"/>
  <c r="I907" i="17"/>
  <c r="I919" i="17"/>
  <c r="I920" i="17"/>
  <c r="I921" i="17"/>
  <c r="I923" i="17"/>
  <c r="I924" i="17"/>
  <c r="I931" i="17"/>
  <c r="I932" i="17"/>
  <c r="I933" i="17"/>
  <c r="I934" i="17"/>
  <c r="J899" i="17"/>
  <c r="J900" i="17"/>
  <c r="J901" i="17"/>
  <c r="J902" i="17"/>
  <c r="J903" i="17"/>
  <c r="J904" i="17"/>
  <c r="J905" i="17"/>
  <c r="J906" i="17"/>
  <c r="J907" i="17"/>
  <c r="J919" i="17"/>
  <c r="J920" i="17"/>
  <c r="J921" i="17"/>
  <c r="J923" i="17"/>
  <c r="J924" i="17"/>
  <c r="J931" i="17"/>
  <c r="J932" i="17"/>
  <c r="J933" i="17"/>
  <c r="J934" i="17"/>
  <c r="K899" i="17"/>
  <c r="K900" i="17"/>
  <c r="K901" i="17"/>
  <c r="K902" i="17"/>
  <c r="K903" i="17"/>
  <c r="K904" i="17"/>
  <c r="K905" i="17"/>
  <c r="K906" i="17"/>
  <c r="K907" i="17"/>
  <c r="K919" i="17"/>
  <c r="K920" i="17"/>
  <c r="K921" i="17"/>
  <c r="K923" i="17"/>
  <c r="K924" i="17"/>
  <c r="K931" i="17"/>
  <c r="K932" i="17"/>
  <c r="K933" i="17"/>
  <c r="K934" i="17"/>
  <c r="N899" i="17"/>
  <c r="N900" i="17"/>
  <c r="N901" i="17"/>
  <c r="N902" i="17"/>
  <c r="N903" i="17"/>
  <c r="N904" i="17"/>
  <c r="N905" i="17"/>
  <c r="N906" i="17"/>
  <c r="N907" i="17"/>
  <c r="N919" i="17"/>
  <c r="N920" i="17"/>
  <c r="N921" i="17"/>
  <c r="N923" i="17"/>
  <c r="N924" i="17"/>
  <c r="N931" i="17"/>
  <c r="N932" i="17"/>
  <c r="N933" i="17"/>
  <c r="N934" i="17"/>
  <c r="O899" i="17"/>
  <c r="O900" i="17"/>
  <c r="O901" i="17"/>
  <c r="O902" i="17"/>
  <c r="O903" i="17"/>
  <c r="O904" i="17"/>
  <c r="O905" i="17"/>
  <c r="O906" i="17"/>
  <c r="O907" i="17"/>
  <c r="O919" i="17"/>
  <c r="O920" i="17"/>
  <c r="O921" i="17"/>
  <c r="O923" i="17"/>
  <c r="O924" i="17"/>
  <c r="O931" i="17"/>
  <c r="O932" i="17"/>
  <c r="O933" i="17"/>
  <c r="O934" i="17"/>
  <c r="Q899" i="17"/>
  <c r="Q900" i="17"/>
  <c r="Q901" i="17"/>
  <c r="Q902" i="17"/>
  <c r="Q903" i="17"/>
  <c r="Q904" i="17"/>
  <c r="Q905" i="17"/>
  <c r="Q906" i="17"/>
  <c r="Q907" i="17"/>
  <c r="Q919" i="17"/>
  <c r="Q920" i="17"/>
  <c r="Q921" i="17"/>
  <c r="Q923" i="17"/>
  <c r="Q924" i="17"/>
  <c r="Q931" i="17"/>
  <c r="Q932" i="17"/>
  <c r="Q933" i="17"/>
  <c r="Q934" i="17"/>
  <c r="S899" i="17"/>
  <c r="S900" i="17"/>
  <c r="S901" i="17"/>
  <c r="S902" i="17"/>
  <c r="S903" i="17"/>
  <c r="S904" i="17"/>
  <c r="S905" i="17"/>
  <c r="S906" i="17"/>
  <c r="S907" i="17"/>
  <c r="S919" i="17"/>
  <c r="S920" i="17"/>
  <c r="S921" i="17"/>
  <c r="S923" i="17"/>
  <c r="S924" i="17"/>
  <c r="S931" i="17"/>
  <c r="S932" i="17"/>
  <c r="S933" i="17"/>
  <c r="S934" i="17"/>
  <c r="T899" i="17"/>
  <c r="T900" i="17"/>
  <c r="T901" i="17"/>
  <c r="T902" i="17"/>
  <c r="T903" i="17"/>
  <c r="T904" i="17"/>
  <c r="T905" i="17"/>
  <c r="T906" i="17"/>
  <c r="T907" i="17"/>
  <c r="T919" i="17"/>
  <c r="T920" i="17"/>
  <c r="T921" i="17"/>
  <c r="T923" i="17"/>
  <c r="T924" i="17"/>
  <c r="T931" i="17"/>
  <c r="T932" i="17"/>
  <c r="T933" i="17"/>
  <c r="T934" i="17"/>
  <c r="U899" i="17"/>
  <c r="U900" i="17"/>
  <c r="U901" i="17"/>
  <c r="U902" i="17"/>
  <c r="U903" i="17"/>
  <c r="U904" i="17"/>
  <c r="U905" i="17"/>
  <c r="U906" i="17"/>
  <c r="U907" i="17"/>
  <c r="U919" i="17"/>
  <c r="U920" i="17"/>
  <c r="U921" i="17"/>
  <c r="U923" i="17"/>
  <c r="U924" i="17"/>
  <c r="U931" i="17"/>
  <c r="U932" i="17"/>
  <c r="U933" i="17"/>
  <c r="U934" i="17"/>
  <c r="V899" i="17"/>
  <c r="V900" i="17"/>
  <c r="V901" i="17"/>
  <c r="V902" i="17"/>
  <c r="V903" i="17"/>
  <c r="V904" i="17"/>
  <c r="V905" i="17"/>
  <c r="V906" i="17"/>
  <c r="V907" i="17"/>
  <c r="V919" i="17"/>
  <c r="V920" i="17"/>
  <c r="V921" i="17"/>
  <c r="V923" i="17"/>
  <c r="V924" i="17"/>
  <c r="V931" i="17"/>
  <c r="V932" i="17"/>
  <c r="V933" i="17"/>
  <c r="V934" i="17"/>
  <c r="W899" i="17"/>
  <c r="W900" i="17"/>
  <c r="W901" i="17"/>
  <c r="W902" i="17"/>
  <c r="W903" i="17"/>
  <c r="W904" i="17"/>
  <c r="W905" i="17"/>
  <c r="W906" i="17"/>
  <c r="W907" i="17"/>
  <c r="W919" i="17"/>
  <c r="W920" i="17"/>
  <c r="W921" i="17"/>
  <c r="W923" i="17"/>
  <c r="W924" i="17"/>
  <c r="W931" i="17"/>
  <c r="W932" i="17"/>
  <c r="W933" i="17"/>
  <c r="W934" i="17"/>
  <c r="H884" i="17"/>
  <c r="H885" i="17"/>
  <c r="H886" i="17"/>
  <c r="H887" i="17"/>
  <c r="H888" i="17"/>
  <c r="H889" i="17"/>
  <c r="H890" i="17"/>
  <c r="I884" i="17"/>
  <c r="I885" i="17"/>
  <c r="I886" i="17"/>
  <c r="I887" i="17"/>
  <c r="I888" i="17"/>
  <c r="I889" i="17"/>
  <c r="I890" i="17"/>
  <c r="J884" i="17"/>
  <c r="J885" i="17"/>
  <c r="J886" i="17"/>
  <c r="J887" i="17"/>
  <c r="J888" i="17"/>
  <c r="J889" i="17"/>
  <c r="J890" i="17"/>
  <c r="K884" i="17"/>
  <c r="K885" i="17"/>
  <c r="K886" i="17"/>
  <c r="K887" i="17"/>
  <c r="K888" i="17"/>
  <c r="K889" i="17"/>
  <c r="K890" i="17"/>
  <c r="N884" i="17"/>
  <c r="N885" i="17"/>
  <c r="N886" i="17"/>
  <c r="N887" i="17"/>
  <c r="N888" i="17"/>
  <c r="N889" i="17"/>
  <c r="N890" i="17"/>
  <c r="O884" i="17"/>
  <c r="O885" i="17"/>
  <c r="O886" i="17"/>
  <c r="O887" i="17"/>
  <c r="O888" i="17"/>
  <c r="O889" i="17"/>
  <c r="O890" i="17"/>
  <c r="Q884" i="17"/>
  <c r="Q885" i="17"/>
  <c r="Q886" i="17"/>
  <c r="Q887" i="17"/>
  <c r="Q888" i="17"/>
  <c r="Q889" i="17"/>
  <c r="Q890" i="17"/>
  <c r="S884" i="17"/>
  <c r="S885" i="17"/>
  <c r="S886" i="17"/>
  <c r="S887" i="17"/>
  <c r="S888" i="17"/>
  <c r="S889" i="17"/>
  <c r="S890" i="17"/>
  <c r="T884" i="17"/>
  <c r="T885" i="17"/>
  <c r="T886" i="17"/>
  <c r="T887" i="17"/>
  <c r="T888" i="17"/>
  <c r="T889" i="17"/>
  <c r="T890" i="17"/>
  <c r="U884" i="17"/>
  <c r="U885" i="17"/>
  <c r="U886" i="17"/>
  <c r="U887" i="17"/>
  <c r="U888" i="17"/>
  <c r="U889" i="17"/>
  <c r="U890" i="17"/>
  <c r="V884" i="17"/>
  <c r="V885" i="17"/>
  <c r="V886" i="17"/>
  <c r="V887" i="17"/>
  <c r="V888" i="17"/>
  <c r="V889" i="17"/>
  <c r="V890" i="17"/>
  <c r="W884" i="17"/>
  <c r="W885" i="17"/>
  <c r="W886" i="17"/>
  <c r="W887" i="17"/>
  <c r="W888" i="17"/>
  <c r="W889" i="17"/>
  <c r="W890" i="17"/>
  <c r="H879" i="17"/>
  <c r="H880" i="17"/>
  <c r="H881" i="17"/>
  <c r="H882" i="17"/>
  <c r="H883" i="17"/>
  <c r="H891" i="17"/>
  <c r="H892" i="17"/>
  <c r="H893" i="17"/>
  <c r="H894" i="17"/>
  <c r="H895" i="17"/>
  <c r="H896" i="17"/>
  <c r="H897" i="17"/>
  <c r="I879" i="17"/>
  <c r="I880" i="17"/>
  <c r="I881" i="17"/>
  <c r="I882" i="17"/>
  <c r="I883" i="17"/>
  <c r="I891" i="17"/>
  <c r="I892" i="17"/>
  <c r="I893" i="17"/>
  <c r="I894" i="17"/>
  <c r="I895" i="17"/>
  <c r="I896" i="17"/>
  <c r="I897" i="17"/>
  <c r="J879" i="17"/>
  <c r="J880" i="17"/>
  <c r="J881" i="17"/>
  <c r="J882" i="17"/>
  <c r="J883" i="17"/>
  <c r="J891" i="17"/>
  <c r="J892" i="17"/>
  <c r="J893" i="17"/>
  <c r="J894" i="17"/>
  <c r="J895" i="17"/>
  <c r="J896" i="17"/>
  <c r="J897" i="17"/>
  <c r="K879" i="17"/>
  <c r="K880" i="17"/>
  <c r="K881" i="17"/>
  <c r="K882" i="17"/>
  <c r="K883" i="17"/>
  <c r="K891" i="17"/>
  <c r="K892" i="17"/>
  <c r="K893" i="17"/>
  <c r="K894" i="17"/>
  <c r="K895" i="17"/>
  <c r="K896" i="17"/>
  <c r="K897" i="17"/>
  <c r="N879" i="17"/>
  <c r="N880" i="17"/>
  <c r="N881" i="17"/>
  <c r="N882" i="17"/>
  <c r="N883" i="17"/>
  <c r="N891" i="17"/>
  <c r="N892" i="17"/>
  <c r="N893" i="17"/>
  <c r="N894" i="17"/>
  <c r="N895" i="17"/>
  <c r="N896" i="17"/>
  <c r="N897" i="17"/>
  <c r="O879" i="17"/>
  <c r="O880" i="17"/>
  <c r="O881" i="17"/>
  <c r="O882" i="17"/>
  <c r="O883" i="17"/>
  <c r="O891" i="17"/>
  <c r="O892" i="17"/>
  <c r="O893" i="17"/>
  <c r="O894" i="17"/>
  <c r="O895" i="17"/>
  <c r="O896" i="17"/>
  <c r="O897" i="17"/>
  <c r="Q879" i="17"/>
  <c r="Q880" i="17"/>
  <c r="Q881" i="17"/>
  <c r="Q882" i="17"/>
  <c r="Q883" i="17"/>
  <c r="Q891" i="17"/>
  <c r="Q892" i="17"/>
  <c r="Q893" i="17"/>
  <c r="Q894" i="17"/>
  <c r="Q895" i="17"/>
  <c r="Q896" i="17"/>
  <c r="Q897" i="17"/>
  <c r="S879" i="17"/>
  <c r="S880" i="17"/>
  <c r="S881" i="17"/>
  <c r="S882" i="17"/>
  <c r="S883" i="17"/>
  <c r="S891" i="17"/>
  <c r="S892" i="17"/>
  <c r="S893" i="17"/>
  <c r="S894" i="17"/>
  <c r="S895" i="17"/>
  <c r="S896" i="17"/>
  <c r="S897" i="17"/>
  <c r="T879" i="17"/>
  <c r="T880" i="17"/>
  <c r="T881" i="17"/>
  <c r="T882" i="17"/>
  <c r="T883" i="17"/>
  <c r="T891" i="17"/>
  <c r="T892" i="17"/>
  <c r="T893" i="17"/>
  <c r="T894" i="17"/>
  <c r="T895" i="17"/>
  <c r="T896" i="17"/>
  <c r="T897" i="17"/>
  <c r="U879" i="17"/>
  <c r="U880" i="17"/>
  <c r="U881" i="17"/>
  <c r="U882" i="17"/>
  <c r="U883" i="17"/>
  <c r="U891" i="17"/>
  <c r="U892" i="17"/>
  <c r="U893" i="17"/>
  <c r="U894" i="17"/>
  <c r="U895" i="17"/>
  <c r="U896" i="17"/>
  <c r="U897" i="17"/>
  <c r="V879" i="17"/>
  <c r="V880" i="17"/>
  <c r="V881" i="17"/>
  <c r="V882" i="17"/>
  <c r="V883" i="17"/>
  <c r="V891" i="17"/>
  <c r="V892" i="17"/>
  <c r="V893" i="17"/>
  <c r="V894" i="17"/>
  <c r="V895" i="17"/>
  <c r="V896" i="17"/>
  <c r="V897" i="17"/>
  <c r="W879" i="17"/>
  <c r="W880" i="17"/>
  <c r="W881" i="17"/>
  <c r="W882" i="17"/>
  <c r="W883" i="17"/>
  <c r="W891" i="17"/>
  <c r="W892" i="17"/>
  <c r="W893" i="17"/>
  <c r="W894" i="17"/>
  <c r="W895" i="17"/>
  <c r="W896" i="17"/>
  <c r="W897" i="17"/>
  <c r="H840" i="17"/>
  <c r="H841" i="17"/>
  <c r="H842" i="17"/>
  <c r="H843" i="17"/>
  <c r="H844" i="17"/>
  <c r="H845" i="17"/>
  <c r="H846" i="17"/>
  <c r="H847" i="17"/>
  <c r="H848" i="17"/>
  <c r="H849" i="17"/>
  <c r="H850" i="17"/>
  <c r="H851" i="17"/>
  <c r="H852" i="17"/>
  <c r="H853" i="17"/>
  <c r="H854" i="17"/>
  <c r="H855" i="17"/>
  <c r="I840" i="17"/>
  <c r="I841" i="17"/>
  <c r="I842" i="17"/>
  <c r="I843" i="17"/>
  <c r="I844" i="17"/>
  <c r="I845" i="17"/>
  <c r="I846" i="17"/>
  <c r="I847" i="17"/>
  <c r="I848" i="17"/>
  <c r="I849" i="17"/>
  <c r="I850" i="17"/>
  <c r="I851" i="17"/>
  <c r="I852" i="17"/>
  <c r="I853" i="17"/>
  <c r="I854" i="17"/>
  <c r="I855" i="17"/>
  <c r="J840" i="17"/>
  <c r="J841" i="17"/>
  <c r="J842" i="17"/>
  <c r="J843" i="17"/>
  <c r="J844" i="17"/>
  <c r="J845" i="17"/>
  <c r="J846" i="17"/>
  <c r="J847" i="17"/>
  <c r="J848" i="17"/>
  <c r="J849" i="17"/>
  <c r="J850" i="17"/>
  <c r="J851" i="17"/>
  <c r="J852" i="17"/>
  <c r="J853" i="17"/>
  <c r="J854" i="17"/>
  <c r="J855" i="17"/>
  <c r="K840" i="17"/>
  <c r="K841" i="17"/>
  <c r="K842" i="17"/>
  <c r="K843" i="17"/>
  <c r="K844" i="17"/>
  <c r="K845" i="17"/>
  <c r="K846" i="17"/>
  <c r="K847" i="17"/>
  <c r="K848" i="17"/>
  <c r="K849" i="17"/>
  <c r="K850" i="17"/>
  <c r="K851" i="17"/>
  <c r="K852" i="17"/>
  <c r="K853" i="17"/>
  <c r="K854" i="17"/>
  <c r="K855" i="17"/>
  <c r="N840" i="17"/>
  <c r="N841" i="17"/>
  <c r="N842" i="17"/>
  <c r="N843" i="17"/>
  <c r="N844" i="17"/>
  <c r="N845" i="17"/>
  <c r="N846" i="17"/>
  <c r="N847" i="17"/>
  <c r="N848" i="17"/>
  <c r="N849" i="17"/>
  <c r="N850" i="17"/>
  <c r="N851" i="17"/>
  <c r="N852" i="17"/>
  <c r="N853" i="17"/>
  <c r="N854" i="17"/>
  <c r="N855" i="17"/>
  <c r="O840" i="17"/>
  <c r="O841" i="17"/>
  <c r="O842" i="17"/>
  <c r="O843" i="17"/>
  <c r="O844" i="17"/>
  <c r="O845" i="17"/>
  <c r="O846" i="17"/>
  <c r="O847" i="17"/>
  <c r="O848" i="17"/>
  <c r="O849" i="17"/>
  <c r="O850" i="17"/>
  <c r="O851" i="17"/>
  <c r="O852" i="17"/>
  <c r="O853" i="17"/>
  <c r="O854" i="17"/>
  <c r="O855" i="17"/>
  <c r="Q840" i="17"/>
  <c r="Q841" i="17"/>
  <c r="Q842" i="17"/>
  <c r="Q843" i="17"/>
  <c r="Q844" i="17"/>
  <c r="Q845" i="17"/>
  <c r="Q846" i="17"/>
  <c r="Q847" i="17"/>
  <c r="Q848" i="17"/>
  <c r="Q849" i="17"/>
  <c r="Q850" i="17"/>
  <c r="Q851" i="17"/>
  <c r="Q852" i="17"/>
  <c r="Q853" i="17"/>
  <c r="Q854" i="17"/>
  <c r="Q855" i="17"/>
  <c r="S840" i="17"/>
  <c r="S841" i="17"/>
  <c r="S842" i="17"/>
  <c r="S843" i="17"/>
  <c r="S844" i="17"/>
  <c r="S845" i="17"/>
  <c r="S846" i="17"/>
  <c r="S847" i="17"/>
  <c r="S848" i="17"/>
  <c r="S849" i="17"/>
  <c r="S850" i="17"/>
  <c r="S851" i="17"/>
  <c r="S852" i="17"/>
  <c r="S853" i="17"/>
  <c r="S854" i="17"/>
  <c r="S855" i="17"/>
  <c r="T840" i="17"/>
  <c r="T841" i="17"/>
  <c r="T842" i="17"/>
  <c r="T843" i="17"/>
  <c r="T844" i="17"/>
  <c r="T845" i="17"/>
  <c r="T846" i="17"/>
  <c r="T847" i="17"/>
  <c r="T848" i="17"/>
  <c r="T849" i="17"/>
  <c r="T850" i="17"/>
  <c r="T851" i="17"/>
  <c r="T852" i="17"/>
  <c r="T853" i="17"/>
  <c r="T854" i="17"/>
  <c r="T855" i="17"/>
  <c r="U840" i="17"/>
  <c r="U841" i="17"/>
  <c r="U842" i="17"/>
  <c r="U843" i="17"/>
  <c r="U844" i="17"/>
  <c r="U845" i="17"/>
  <c r="U846" i="17"/>
  <c r="U847" i="17"/>
  <c r="U848" i="17"/>
  <c r="U849" i="17"/>
  <c r="U850" i="17"/>
  <c r="U851" i="17"/>
  <c r="U852" i="17"/>
  <c r="U853" i="17"/>
  <c r="U854" i="17"/>
  <c r="U855" i="17"/>
  <c r="V840" i="17"/>
  <c r="V841" i="17"/>
  <c r="V842" i="17"/>
  <c r="V843" i="17"/>
  <c r="V844" i="17"/>
  <c r="V845" i="17"/>
  <c r="V846" i="17"/>
  <c r="V847" i="17"/>
  <c r="V848" i="17"/>
  <c r="V849" i="17"/>
  <c r="V850" i="17"/>
  <c r="V851" i="17"/>
  <c r="V852" i="17"/>
  <c r="V853" i="17"/>
  <c r="V854" i="17"/>
  <c r="V855" i="17"/>
  <c r="W840" i="17"/>
  <c r="W841" i="17"/>
  <c r="W842" i="17"/>
  <c r="W843" i="17"/>
  <c r="W844" i="17"/>
  <c r="W845" i="17"/>
  <c r="W846" i="17"/>
  <c r="W847" i="17"/>
  <c r="W848" i="17"/>
  <c r="W849" i="17"/>
  <c r="W850" i="17"/>
  <c r="W851" i="17"/>
  <c r="W852" i="17"/>
  <c r="W853" i="17"/>
  <c r="W854" i="17"/>
  <c r="W855" i="17"/>
  <c r="H830" i="17"/>
  <c r="I830" i="17"/>
  <c r="J830" i="17"/>
  <c r="K830" i="17"/>
  <c r="N830" i="17"/>
  <c r="O830" i="17"/>
  <c r="Q830" i="17"/>
  <c r="S830" i="17"/>
  <c r="T830" i="17"/>
  <c r="U830" i="17"/>
  <c r="V830" i="17"/>
  <c r="W830" i="17"/>
  <c r="H811" i="17"/>
  <c r="H812" i="17"/>
  <c r="H813" i="17"/>
  <c r="H814" i="17"/>
  <c r="H815" i="17"/>
  <c r="H816" i="17"/>
  <c r="H818" i="17"/>
  <c r="H819" i="17"/>
  <c r="H820" i="17"/>
  <c r="H821" i="17"/>
  <c r="H822" i="17"/>
  <c r="H823" i="17"/>
  <c r="H824" i="17"/>
  <c r="H825" i="17"/>
  <c r="H826" i="17"/>
  <c r="H827" i="17"/>
  <c r="H828" i="17"/>
  <c r="H829" i="17"/>
  <c r="I811" i="17"/>
  <c r="I812" i="17"/>
  <c r="I813" i="17"/>
  <c r="I814" i="17"/>
  <c r="I815" i="17"/>
  <c r="I816" i="17"/>
  <c r="I818" i="17"/>
  <c r="I819" i="17"/>
  <c r="I820" i="17"/>
  <c r="I821" i="17"/>
  <c r="I822" i="17"/>
  <c r="I823" i="17"/>
  <c r="I824" i="17"/>
  <c r="I825" i="17"/>
  <c r="I826" i="17"/>
  <c r="I827" i="17"/>
  <c r="I828" i="17"/>
  <c r="I829" i="17"/>
  <c r="J811" i="17"/>
  <c r="J812" i="17"/>
  <c r="J813" i="17"/>
  <c r="J814" i="17"/>
  <c r="J815" i="17"/>
  <c r="J816" i="17"/>
  <c r="J818" i="17"/>
  <c r="J819" i="17"/>
  <c r="J820" i="17"/>
  <c r="J821" i="17"/>
  <c r="J822" i="17"/>
  <c r="J823" i="17"/>
  <c r="J824" i="17"/>
  <c r="J825" i="17"/>
  <c r="J826" i="17"/>
  <c r="J827" i="17"/>
  <c r="J828" i="17"/>
  <c r="J829" i="17"/>
  <c r="K811" i="17"/>
  <c r="K812" i="17"/>
  <c r="K813" i="17"/>
  <c r="K814" i="17"/>
  <c r="K815" i="17"/>
  <c r="K816" i="17"/>
  <c r="K818" i="17"/>
  <c r="K819" i="17"/>
  <c r="K820" i="17"/>
  <c r="K821" i="17"/>
  <c r="K822" i="17"/>
  <c r="K823" i="17"/>
  <c r="K824" i="17"/>
  <c r="K825" i="17"/>
  <c r="K826" i="17"/>
  <c r="K827" i="17"/>
  <c r="K828" i="17"/>
  <c r="K829" i="17"/>
  <c r="N811" i="17"/>
  <c r="N812" i="17"/>
  <c r="N813" i="17"/>
  <c r="N814" i="17"/>
  <c r="N815" i="17"/>
  <c r="N816" i="17"/>
  <c r="N818" i="17"/>
  <c r="N819" i="17"/>
  <c r="N820" i="17"/>
  <c r="N821" i="17"/>
  <c r="N822" i="17"/>
  <c r="N823" i="17"/>
  <c r="N824" i="17"/>
  <c r="N825" i="17"/>
  <c r="N826" i="17"/>
  <c r="N827" i="17"/>
  <c r="N828" i="17"/>
  <c r="N829" i="17"/>
  <c r="O811" i="17"/>
  <c r="O812" i="17"/>
  <c r="O813" i="17"/>
  <c r="O814" i="17"/>
  <c r="O815" i="17"/>
  <c r="O816" i="17"/>
  <c r="O818" i="17"/>
  <c r="O819" i="17"/>
  <c r="O820" i="17"/>
  <c r="O821" i="17"/>
  <c r="O822" i="17"/>
  <c r="O823" i="17"/>
  <c r="O824" i="17"/>
  <c r="O825" i="17"/>
  <c r="O826" i="17"/>
  <c r="O827" i="17"/>
  <c r="O828" i="17"/>
  <c r="O829" i="17"/>
  <c r="Q811" i="17"/>
  <c r="Q812" i="17"/>
  <c r="Q813" i="17"/>
  <c r="Q814" i="17"/>
  <c r="Q815" i="17"/>
  <c r="Q816" i="17"/>
  <c r="Q818" i="17"/>
  <c r="Q819" i="17"/>
  <c r="Q820" i="17"/>
  <c r="Q821" i="17"/>
  <c r="Q822" i="17"/>
  <c r="Q823" i="17"/>
  <c r="Q824" i="17"/>
  <c r="Q825" i="17"/>
  <c r="Q826" i="17"/>
  <c r="Q827" i="17"/>
  <c r="Q828" i="17"/>
  <c r="Q829" i="17"/>
  <c r="S811" i="17"/>
  <c r="S812" i="17"/>
  <c r="S813" i="17"/>
  <c r="S814" i="17"/>
  <c r="S815" i="17"/>
  <c r="S816" i="17"/>
  <c r="S818" i="17"/>
  <c r="S819" i="17"/>
  <c r="S820" i="17"/>
  <c r="S821" i="17"/>
  <c r="S822" i="17"/>
  <c r="S823" i="17"/>
  <c r="S824" i="17"/>
  <c r="S825" i="17"/>
  <c r="S826" i="17"/>
  <c r="S827" i="17"/>
  <c r="S828" i="17"/>
  <c r="S829" i="17"/>
  <c r="T811" i="17"/>
  <c r="T812" i="17"/>
  <c r="T813" i="17"/>
  <c r="T814" i="17"/>
  <c r="T815" i="17"/>
  <c r="T816" i="17"/>
  <c r="T818" i="17"/>
  <c r="T819" i="17"/>
  <c r="T820" i="17"/>
  <c r="T821" i="17"/>
  <c r="T822" i="17"/>
  <c r="T823" i="17"/>
  <c r="T824" i="17"/>
  <c r="T825" i="17"/>
  <c r="T826" i="17"/>
  <c r="T827" i="17"/>
  <c r="T828" i="17"/>
  <c r="T829" i="17"/>
  <c r="U811" i="17"/>
  <c r="U812" i="17"/>
  <c r="U813" i="17"/>
  <c r="U814" i="17"/>
  <c r="U815" i="17"/>
  <c r="U816" i="17"/>
  <c r="U818" i="17"/>
  <c r="U819" i="17"/>
  <c r="U820" i="17"/>
  <c r="U821" i="17"/>
  <c r="U822" i="17"/>
  <c r="U823" i="17"/>
  <c r="U824" i="17"/>
  <c r="U825" i="17"/>
  <c r="U826" i="17"/>
  <c r="U827" i="17"/>
  <c r="U828" i="17"/>
  <c r="U829" i="17"/>
  <c r="V811" i="17"/>
  <c r="V812" i="17"/>
  <c r="V813" i="17"/>
  <c r="V814" i="17"/>
  <c r="V815" i="17"/>
  <c r="V816" i="17"/>
  <c r="V818" i="17"/>
  <c r="V819" i="17"/>
  <c r="V820" i="17"/>
  <c r="V821" i="17"/>
  <c r="V822" i="17"/>
  <c r="V823" i="17"/>
  <c r="V824" i="17"/>
  <c r="V825" i="17"/>
  <c r="V826" i="17"/>
  <c r="V827" i="17"/>
  <c r="V828" i="17"/>
  <c r="V829" i="17"/>
  <c r="W811" i="17"/>
  <c r="W812" i="17"/>
  <c r="W813" i="17"/>
  <c r="W814" i="17"/>
  <c r="W815" i="17"/>
  <c r="W816" i="17"/>
  <c r="W818" i="17"/>
  <c r="W819" i="17"/>
  <c r="W820" i="17"/>
  <c r="W821" i="17"/>
  <c r="W822" i="17"/>
  <c r="W823" i="17"/>
  <c r="W824" i="17"/>
  <c r="W825" i="17"/>
  <c r="W826" i="17"/>
  <c r="W827" i="17"/>
  <c r="W828" i="17"/>
  <c r="W829" i="17"/>
  <c r="H802" i="17"/>
  <c r="H803" i="17"/>
  <c r="H804" i="17"/>
  <c r="H805" i="17"/>
  <c r="H806" i="17"/>
  <c r="H807" i="17"/>
  <c r="H808" i="17"/>
  <c r="H809" i="17"/>
  <c r="I802" i="17"/>
  <c r="I803" i="17"/>
  <c r="I804" i="17"/>
  <c r="I805" i="17"/>
  <c r="I806" i="17"/>
  <c r="I807" i="17"/>
  <c r="I808" i="17"/>
  <c r="I809" i="17"/>
  <c r="J802" i="17"/>
  <c r="J803" i="17"/>
  <c r="J804" i="17"/>
  <c r="J805" i="17"/>
  <c r="J806" i="17"/>
  <c r="J807" i="17"/>
  <c r="J808" i="17"/>
  <c r="J809" i="17"/>
  <c r="K802" i="17"/>
  <c r="K803" i="17"/>
  <c r="K804" i="17"/>
  <c r="K805" i="17"/>
  <c r="K806" i="17"/>
  <c r="K807" i="17"/>
  <c r="K808" i="17"/>
  <c r="K809" i="17"/>
  <c r="N802" i="17"/>
  <c r="N803" i="17"/>
  <c r="N804" i="17"/>
  <c r="N805" i="17"/>
  <c r="N806" i="17"/>
  <c r="N807" i="17"/>
  <c r="N808" i="17"/>
  <c r="N809" i="17"/>
  <c r="O802" i="17"/>
  <c r="O803" i="17"/>
  <c r="O804" i="17"/>
  <c r="O805" i="17"/>
  <c r="O806" i="17"/>
  <c r="O807" i="17"/>
  <c r="O808" i="17"/>
  <c r="O809" i="17"/>
  <c r="Q802" i="17"/>
  <c r="Q803" i="17"/>
  <c r="Q804" i="17"/>
  <c r="Q805" i="17"/>
  <c r="Q806" i="17"/>
  <c r="Q807" i="17"/>
  <c r="Q808" i="17"/>
  <c r="Q809" i="17"/>
  <c r="S802" i="17"/>
  <c r="S803" i="17"/>
  <c r="S804" i="17"/>
  <c r="S805" i="17"/>
  <c r="S806" i="17"/>
  <c r="S807" i="17"/>
  <c r="S808" i="17"/>
  <c r="S809" i="17"/>
  <c r="T802" i="17"/>
  <c r="T803" i="17"/>
  <c r="T804" i="17"/>
  <c r="T805" i="17"/>
  <c r="T806" i="17"/>
  <c r="T807" i="17"/>
  <c r="T808" i="17"/>
  <c r="T809" i="17"/>
  <c r="U802" i="17"/>
  <c r="U803" i="17"/>
  <c r="U804" i="17"/>
  <c r="U805" i="17"/>
  <c r="U806" i="17"/>
  <c r="U807" i="17"/>
  <c r="U808" i="17"/>
  <c r="U809" i="17"/>
  <c r="V802" i="17"/>
  <c r="V803" i="17"/>
  <c r="V804" i="17"/>
  <c r="V805" i="17"/>
  <c r="V806" i="17"/>
  <c r="V807" i="17"/>
  <c r="V808" i="17"/>
  <c r="V809" i="17"/>
  <c r="W802" i="17"/>
  <c r="W803" i="17"/>
  <c r="W804" i="17"/>
  <c r="W805" i="17"/>
  <c r="W806" i="17"/>
  <c r="W807" i="17"/>
  <c r="W808" i="17"/>
  <c r="W809" i="17"/>
  <c r="H795" i="17"/>
  <c r="H796" i="17"/>
  <c r="H797" i="17"/>
  <c r="H798" i="17"/>
  <c r="H799" i="17"/>
  <c r="H800" i="17"/>
  <c r="I795" i="17"/>
  <c r="I796" i="17"/>
  <c r="I797" i="17"/>
  <c r="I798" i="17"/>
  <c r="I799" i="17"/>
  <c r="I800" i="17"/>
  <c r="J795" i="17"/>
  <c r="J796" i="17"/>
  <c r="J797" i="17"/>
  <c r="J798" i="17"/>
  <c r="J799" i="17"/>
  <c r="J800" i="17"/>
  <c r="K795" i="17"/>
  <c r="K796" i="17"/>
  <c r="K797" i="17"/>
  <c r="K798" i="17"/>
  <c r="K799" i="17"/>
  <c r="K800" i="17"/>
  <c r="N795" i="17"/>
  <c r="N796" i="17"/>
  <c r="N797" i="17"/>
  <c r="N798" i="17"/>
  <c r="N799" i="17"/>
  <c r="N800" i="17"/>
  <c r="O795" i="17"/>
  <c r="O796" i="17"/>
  <c r="O797" i="17"/>
  <c r="O798" i="17"/>
  <c r="O799" i="17"/>
  <c r="O800" i="17"/>
  <c r="Q795" i="17"/>
  <c r="Q796" i="17"/>
  <c r="Q797" i="17"/>
  <c r="Q798" i="17"/>
  <c r="Q799" i="17"/>
  <c r="Q800" i="17"/>
  <c r="S795" i="17"/>
  <c r="S796" i="17"/>
  <c r="S797" i="17"/>
  <c r="S798" i="17"/>
  <c r="S799" i="17"/>
  <c r="S800" i="17"/>
  <c r="T795" i="17"/>
  <c r="T796" i="17"/>
  <c r="T797" i="17"/>
  <c r="T798" i="17"/>
  <c r="T799" i="17"/>
  <c r="T800" i="17"/>
  <c r="U795" i="17"/>
  <c r="U796" i="17"/>
  <c r="U797" i="17"/>
  <c r="U798" i="17"/>
  <c r="U799" i="17"/>
  <c r="U800" i="17"/>
  <c r="V795" i="17"/>
  <c r="V796" i="17"/>
  <c r="V797" i="17"/>
  <c r="V798" i="17"/>
  <c r="V799" i="17"/>
  <c r="V800" i="17"/>
  <c r="W795" i="17"/>
  <c r="W796" i="17"/>
  <c r="W797" i="17"/>
  <c r="W798" i="17"/>
  <c r="W799" i="17"/>
  <c r="W800" i="17"/>
  <c r="H745" i="17"/>
  <c r="H746" i="17"/>
  <c r="H747" i="17"/>
  <c r="H748" i="17"/>
  <c r="H749" i="17"/>
  <c r="H750" i="17"/>
  <c r="H751" i="17"/>
  <c r="H752" i="17"/>
  <c r="H753" i="17"/>
  <c r="H754" i="17"/>
  <c r="I745" i="17"/>
  <c r="I746" i="17"/>
  <c r="I747" i="17"/>
  <c r="I748" i="17"/>
  <c r="I749" i="17"/>
  <c r="I750" i="17"/>
  <c r="I751" i="17"/>
  <c r="I752" i="17"/>
  <c r="I753" i="17"/>
  <c r="I754" i="17"/>
  <c r="J745" i="17"/>
  <c r="J746" i="17"/>
  <c r="J747" i="17"/>
  <c r="J748" i="17"/>
  <c r="J749" i="17"/>
  <c r="J750" i="17"/>
  <c r="J751" i="17"/>
  <c r="J752" i="17"/>
  <c r="J753" i="17"/>
  <c r="J754" i="17"/>
  <c r="K745" i="17"/>
  <c r="K746" i="17"/>
  <c r="K747" i="17"/>
  <c r="K748" i="17"/>
  <c r="K749" i="17"/>
  <c r="K750" i="17"/>
  <c r="K751" i="17"/>
  <c r="K752" i="17"/>
  <c r="K753" i="17"/>
  <c r="K754" i="17"/>
  <c r="N745" i="17"/>
  <c r="N746" i="17"/>
  <c r="N747" i="17"/>
  <c r="N748" i="17"/>
  <c r="N749" i="17"/>
  <c r="N750" i="17"/>
  <c r="N751" i="17"/>
  <c r="N752" i="17"/>
  <c r="N753" i="17"/>
  <c r="N754" i="17"/>
  <c r="O745" i="17"/>
  <c r="O746" i="17"/>
  <c r="O747" i="17"/>
  <c r="O748" i="17"/>
  <c r="O749" i="17"/>
  <c r="O750" i="17"/>
  <c r="O751" i="17"/>
  <c r="O752" i="17"/>
  <c r="O753" i="17"/>
  <c r="O754" i="17"/>
  <c r="Q745" i="17"/>
  <c r="Q746" i="17"/>
  <c r="Q747" i="17"/>
  <c r="Q748" i="17"/>
  <c r="Q749" i="17"/>
  <c r="Q750" i="17"/>
  <c r="Q751" i="17"/>
  <c r="Q752" i="17"/>
  <c r="Q753" i="17"/>
  <c r="Q754" i="17"/>
  <c r="S745" i="17"/>
  <c r="S746" i="17"/>
  <c r="S747" i="17"/>
  <c r="S748" i="17"/>
  <c r="S749" i="17"/>
  <c r="S750" i="17"/>
  <c r="S751" i="17"/>
  <c r="S752" i="17"/>
  <c r="S753" i="17"/>
  <c r="S754" i="17"/>
  <c r="T745" i="17"/>
  <c r="T746" i="17"/>
  <c r="T747" i="17"/>
  <c r="T748" i="17"/>
  <c r="T749" i="17"/>
  <c r="T750" i="17"/>
  <c r="T751" i="17"/>
  <c r="T752" i="17"/>
  <c r="T753" i="17"/>
  <c r="T754" i="17"/>
  <c r="U745" i="17"/>
  <c r="U746" i="17"/>
  <c r="U747" i="17"/>
  <c r="U748" i="17"/>
  <c r="U749" i="17"/>
  <c r="U750" i="17"/>
  <c r="U751" i="17"/>
  <c r="U752" i="17"/>
  <c r="U753" i="17"/>
  <c r="U754" i="17"/>
  <c r="V745" i="17"/>
  <c r="V746" i="17"/>
  <c r="V747" i="17"/>
  <c r="V748" i="17"/>
  <c r="V749" i="17"/>
  <c r="V750" i="17"/>
  <c r="V751" i="17"/>
  <c r="V752" i="17"/>
  <c r="V753" i="17"/>
  <c r="V754" i="17"/>
  <c r="W745" i="17"/>
  <c r="W746" i="17"/>
  <c r="W747" i="17"/>
  <c r="W748" i="17"/>
  <c r="W749" i="17"/>
  <c r="W750" i="17"/>
  <c r="W751" i="17"/>
  <c r="W752" i="17"/>
  <c r="W753" i="17"/>
  <c r="W754" i="17"/>
  <c r="H733" i="17"/>
  <c r="H734" i="17"/>
  <c r="H735" i="17"/>
  <c r="H736" i="17"/>
  <c r="H737" i="17"/>
  <c r="H738" i="17"/>
  <c r="H739" i="17"/>
  <c r="H740" i="17"/>
  <c r="H741" i="17"/>
  <c r="H742" i="17"/>
  <c r="H743" i="17"/>
  <c r="H744" i="17"/>
  <c r="I733" i="17"/>
  <c r="I734" i="17"/>
  <c r="I735" i="17"/>
  <c r="I736" i="17"/>
  <c r="I737" i="17"/>
  <c r="I738" i="17"/>
  <c r="I739" i="17"/>
  <c r="I740" i="17"/>
  <c r="I741" i="17"/>
  <c r="I742" i="17"/>
  <c r="I743" i="17"/>
  <c r="I744" i="17"/>
  <c r="J733" i="17"/>
  <c r="J734" i="17"/>
  <c r="J735" i="17"/>
  <c r="J736" i="17"/>
  <c r="J737" i="17"/>
  <c r="J738" i="17"/>
  <c r="J739" i="17"/>
  <c r="J740" i="17"/>
  <c r="J741" i="17"/>
  <c r="J742" i="17"/>
  <c r="J743" i="17"/>
  <c r="J744" i="17"/>
  <c r="K733" i="17"/>
  <c r="K734" i="17"/>
  <c r="K735" i="17"/>
  <c r="K736" i="17"/>
  <c r="K737" i="17"/>
  <c r="K738" i="17"/>
  <c r="K739" i="17"/>
  <c r="K740" i="17"/>
  <c r="K741" i="17"/>
  <c r="K742" i="17"/>
  <c r="K743" i="17"/>
  <c r="K744" i="17"/>
  <c r="N733" i="17"/>
  <c r="N734" i="17"/>
  <c r="N735" i="17"/>
  <c r="N736" i="17"/>
  <c r="N737" i="17"/>
  <c r="N738" i="17"/>
  <c r="N739" i="17"/>
  <c r="N740" i="17"/>
  <c r="N741" i="17"/>
  <c r="N742" i="17"/>
  <c r="N743" i="17"/>
  <c r="N744" i="17"/>
  <c r="O733" i="17"/>
  <c r="O734" i="17"/>
  <c r="O735" i="17"/>
  <c r="O736" i="17"/>
  <c r="O737" i="17"/>
  <c r="O738" i="17"/>
  <c r="O739" i="17"/>
  <c r="O740" i="17"/>
  <c r="O741" i="17"/>
  <c r="O742" i="17"/>
  <c r="O743" i="17"/>
  <c r="O744" i="17"/>
  <c r="Q733" i="17"/>
  <c r="Q734" i="17"/>
  <c r="Q735" i="17"/>
  <c r="Q736" i="17"/>
  <c r="Q737" i="17"/>
  <c r="Q738" i="17"/>
  <c r="Q739" i="17"/>
  <c r="Q740" i="17"/>
  <c r="Q741" i="17"/>
  <c r="Q742" i="17"/>
  <c r="Q743" i="17"/>
  <c r="Q744" i="17"/>
  <c r="S733" i="17"/>
  <c r="S734" i="17"/>
  <c r="S735" i="17"/>
  <c r="S736" i="17"/>
  <c r="S737" i="17"/>
  <c r="S738" i="17"/>
  <c r="S739" i="17"/>
  <c r="S740" i="17"/>
  <c r="S741" i="17"/>
  <c r="S742" i="17"/>
  <c r="S743" i="17"/>
  <c r="S744" i="17"/>
  <c r="T733" i="17"/>
  <c r="T734" i="17"/>
  <c r="T735" i="17"/>
  <c r="T736" i="17"/>
  <c r="T737" i="17"/>
  <c r="T738" i="17"/>
  <c r="T739" i="17"/>
  <c r="T740" i="17"/>
  <c r="T741" i="17"/>
  <c r="T742" i="17"/>
  <c r="T743" i="17"/>
  <c r="T744" i="17"/>
  <c r="U733" i="17"/>
  <c r="U734" i="17"/>
  <c r="U735" i="17"/>
  <c r="U736" i="17"/>
  <c r="U737" i="17"/>
  <c r="U738" i="17"/>
  <c r="U739" i="17"/>
  <c r="U740" i="17"/>
  <c r="U741" i="17"/>
  <c r="U742" i="17"/>
  <c r="U743" i="17"/>
  <c r="U744" i="17"/>
  <c r="V733" i="17"/>
  <c r="V734" i="17"/>
  <c r="V735" i="17"/>
  <c r="V736" i="17"/>
  <c r="V737" i="17"/>
  <c r="V738" i="17"/>
  <c r="V739" i="17"/>
  <c r="V740" i="17"/>
  <c r="V741" i="17"/>
  <c r="V742" i="17"/>
  <c r="V743" i="17"/>
  <c r="V744" i="17"/>
  <c r="W733" i="17"/>
  <c r="W734" i="17"/>
  <c r="W735" i="17"/>
  <c r="W736" i="17"/>
  <c r="W737" i="17"/>
  <c r="W738" i="17"/>
  <c r="W739" i="17"/>
  <c r="W740" i="17"/>
  <c r="W741" i="17"/>
  <c r="W742" i="17"/>
  <c r="W743" i="17"/>
  <c r="W744" i="17"/>
  <c r="H729" i="17"/>
  <c r="H730" i="17"/>
  <c r="H731" i="17"/>
  <c r="I729" i="17"/>
  <c r="I730" i="17"/>
  <c r="I731" i="17"/>
  <c r="J729" i="17"/>
  <c r="J730" i="17"/>
  <c r="J731" i="17"/>
  <c r="K729" i="17"/>
  <c r="K730" i="17"/>
  <c r="K731" i="17"/>
  <c r="N729" i="17"/>
  <c r="N730" i="17"/>
  <c r="N731" i="17"/>
  <c r="O729" i="17"/>
  <c r="O730" i="17"/>
  <c r="O731" i="17"/>
  <c r="Q729" i="17"/>
  <c r="Q730" i="17"/>
  <c r="Q731" i="17"/>
  <c r="S729" i="17"/>
  <c r="S730" i="17"/>
  <c r="S731" i="17"/>
  <c r="T729" i="17"/>
  <c r="T730" i="17"/>
  <c r="T731" i="17"/>
  <c r="U729" i="17"/>
  <c r="U730" i="17"/>
  <c r="U731" i="17"/>
  <c r="V729" i="17"/>
  <c r="V730" i="17"/>
  <c r="V731" i="17"/>
  <c r="W729" i="17"/>
  <c r="W730" i="17"/>
  <c r="W731" i="17"/>
  <c r="H686" i="17"/>
  <c r="H687" i="17"/>
  <c r="H688" i="17"/>
  <c r="H689" i="17"/>
  <c r="H690" i="17"/>
  <c r="H691" i="17"/>
  <c r="H692" i="17"/>
  <c r="H693" i="17"/>
  <c r="H694" i="17"/>
  <c r="H695" i="17"/>
  <c r="H696" i="17"/>
  <c r="H697" i="17"/>
  <c r="H698" i="17"/>
  <c r="H699" i="17"/>
  <c r="H700" i="17"/>
  <c r="H701" i="17"/>
  <c r="H702" i="17"/>
  <c r="H703" i="17"/>
  <c r="H704" i="17"/>
  <c r="H705" i="17"/>
  <c r="I686" i="17"/>
  <c r="I687" i="17"/>
  <c r="I688" i="17"/>
  <c r="I689" i="17"/>
  <c r="I690" i="17"/>
  <c r="I691" i="17"/>
  <c r="I692" i="17"/>
  <c r="I693" i="17"/>
  <c r="I694" i="17"/>
  <c r="I695" i="17"/>
  <c r="I696" i="17"/>
  <c r="I697" i="17"/>
  <c r="I698" i="17"/>
  <c r="I699" i="17"/>
  <c r="I700" i="17"/>
  <c r="I701" i="17"/>
  <c r="I702" i="17"/>
  <c r="I703" i="17"/>
  <c r="I704" i="17"/>
  <c r="I705" i="17"/>
  <c r="J686" i="17"/>
  <c r="J687" i="17"/>
  <c r="J688" i="17"/>
  <c r="J689" i="17"/>
  <c r="J690" i="17"/>
  <c r="J691" i="17"/>
  <c r="J692" i="17"/>
  <c r="J693" i="17"/>
  <c r="J694" i="17"/>
  <c r="J695" i="17"/>
  <c r="J696" i="17"/>
  <c r="J697" i="17"/>
  <c r="J698" i="17"/>
  <c r="J699" i="17"/>
  <c r="J700" i="17"/>
  <c r="J701" i="17"/>
  <c r="J702" i="17"/>
  <c r="J703" i="17"/>
  <c r="J704" i="17"/>
  <c r="J705" i="17"/>
  <c r="K686" i="17"/>
  <c r="K687" i="17"/>
  <c r="K688" i="17"/>
  <c r="K689" i="17"/>
  <c r="K690" i="17"/>
  <c r="K691" i="17"/>
  <c r="K692" i="17"/>
  <c r="K693" i="17"/>
  <c r="K694" i="17"/>
  <c r="K695" i="17"/>
  <c r="K696" i="17"/>
  <c r="K697" i="17"/>
  <c r="K698" i="17"/>
  <c r="K699" i="17"/>
  <c r="K700" i="17"/>
  <c r="K701" i="17"/>
  <c r="K702" i="17"/>
  <c r="K703" i="17"/>
  <c r="K704" i="17"/>
  <c r="K705" i="17"/>
  <c r="N686" i="17"/>
  <c r="N687" i="17"/>
  <c r="N688" i="17"/>
  <c r="N689" i="17"/>
  <c r="N690" i="17"/>
  <c r="N691" i="17"/>
  <c r="N692" i="17"/>
  <c r="N693" i="17"/>
  <c r="N694" i="17"/>
  <c r="N695" i="17"/>
  <c r="N696" i="17"/>
  <c r="N697" i="17"/>
  <c r="N698" i="17"/>
  <c r="N699" i="17"/>
  <c r="N700" i="17"/>
  <c r="N701" i="17"/>
  <c r="N702" i="17"/>
  <c r="N703" i="17"/>
  <c r="N704" i="17"/>
  <c r="N705" i="17"/>
  <c r="O686" i="17"/>
  <c r="O687" i="17"/>
  <c r="O688" i="17"/>
  <c r="O689" i="17"/>
  <c r="O690" i="17"/>
  <c r="O691" i="17"/>
  <c r="O692" i="17"/>
  <c r="O693" i="17"/>
  <c r="O694" i="17"/>
  <c r="O695" i="17"/>
  <c r="O696" i="17"/>
  <c r="O697" i="17"/>
  <c r="O698" i="17"/>
  <c r="O699" i="17"/>
  <c r="O700" i="17"/>
  <c r="O701" i="17"/>
  <c r="O702" i="17"/>
  <c r="O703" i="17"/>
  <c r="O704" i="17"/>
  <c r="O705" i="17"/>
  <c r="Q686" i="17"/>
  <c r="Q687" i="17"/>
  <c r="Q688" i="17"/>
  <c r="Q689" i="17"/>
  <c r="Q690" i="17"/>
  <c r="Q691" i="17"/>
  <c r="Q692" i="17"/>
  <c r="Q693" i="17"/>
  <c r="Q694" i="17"/>
  <c r="Q695" i="17"/>
  <c r="Q696" i="17"/>
  <c r="Q697" i="17"/>
  <c r="Q698" i="17"/>
  <c r="Q699" i="17"/>
  <c r="Q700" i="17"/>
  <c r="Q701" i="17"/>
  <c r="Q702" i="17"/>
  <c r="Q703" i="17"/>
  <c r="Q704" i="17"/>
  <c r="Q705" i="17"/>
  <c r="S686" i="17"/>
  <c r="S687" i="17"/>
  <c r="S688" i="17"/>
  <c r="S689" i="17"/>
  <c r="S690" i="17"/>
  <c r="S691" i="17"/>
  <c r="S692" i="17"/>
  <c r="S693" i="17"/>
  <c r="S694" i="17"/>
  <c r="S695" i="17"/>
  <c r="S696" i="17"/>
  <c r="S697" i="17"/>
  <c r="S698" i="17"/>
  <c r="S699" i="17"/>
  <c r="S700" i="17"/>
  <c r="S701" i="17"/>
  <c r="S702" i="17"/>
  <c r="S703" i="17"/>
  <c r="S704" i="17"/>
  <c r="S705" i="17"/>
  <c r="T686" i="17"/>
  <c r="T687" i="17"/>
  <c r="T688" i="17"/>
  <c r="T689" i="17"/>
  <c r="T690" i="17"/>
  <c r="T691" i="17"/>
  <c r="T692" i="17"/>
  <c r="T693" i="17"/>
  <c r="T694" i="17"/>
  <c r="T695" i="17"/>
  <c r="T696" i="17"/>
  <c r="T697" i="17"/>
  <c r="T698" i="17"/>
  <c r="T699" i="17"/>
  <c r="T700" i="17"/>
  <c r="T701" i="17"/>
  <c r="T702" i="17"/>
  <c r="T703" i="17"/>
  <c r="T704" i="17"/>
  <c r="T705" i="17"/>
  <c r="U686" i="17"/>
  <c r="U687" i="17"/>
  <c r="U688" i="17"/>
  <c r="U689" i="17"/>
  <c r="U690" i="17"/>
  <c r="U691" i="17"/>
  <c r="U692" i="17"/>
  <c r="U693" i="17"/>
  <c r="U694" i="17"/>
  <c r="U695" i="17"/>
  <c r="U696" i="17"/>
  <c r="U697" i="17"/>
  <c r="U698" i="17"/>
  <c r="U699" i="17"/>
  <c r="U700" i="17"/>
  <c r="U701" i="17"/>
  <c r="U702" i="17"/>
  <c r="U703" i="17"/>
  <c r="U704" i="17"/>
  <c r="U705" i="17"/>
  <c r="V686" i="17"/>
  <c r="V687" i="17"/>
  <c r="V688" i="17"/>
  <c r="V689" i="17"/>
  <c r="V690" i="17"/>
  <c r="V691" i="17"/>
  <c r="V692" i="17"/>
  <c r="V693" i="17"/>
  <c r="V694" i="17"/>
  <c r="V695" i="17"/>
  <c r="V696" i="17"/>
  <c r="V697" i="17"/>
  <c r="V698" i="17"/>
  <c r="V699" i="17"/>
  <c r="V700" i="17"/>
  <c r="V701" i="17"/>
  <c r="V702" i="17"/>
  <c r="V703" i="17"/>
  <c r="V704" i="17"/>
  <c r="V705" i="17"/>
  <c r="W686" i="17"/>
  <c r="W687" i="17"/>
  <c r="W688" i="17"/>
  <c r="W689" i="17"/>
  <c r="W690" i="17"/>
  <c r="W691" i="17"/>
  <c r="W692" i="17"/>
  <c r="W693" i="17"/>
  <c r="W694" i="17"/>
  <c r="W695" i="17"/>
  <c r="W696" i="17"/>
  <c r="W697" i="17"/>
  <c r="W698" i="17"/>
  <c r="W699" i="17"/>
  <c r="W700" i="17"/>
  <c r="W701" i="17"/>
  <c r="W702" i="17"/>
  <c r="W703" i="17"/>
  <c r="W704" i="17"/>
  <c r="W705" i="17"/>
  <c r="H681" i="17"/>
  <c r="H682" i="17"/>
  <c r="H683" i="17"/>
  <c r="H684" i="17"/>
  <c r="H685" i="17"/>
  <c r="H709" i="17"/>
  <c r="H710" i="17"/>
  <c r="H711" i="17"/>
  <c r="H723" i="17"/>
  <c r="H724" i="17"/>
  <c r="H725" i="17"/>
  <c r="H726" i="17"/>
  <c r="H727" i="17"/>
  <c r="H728" i="17"/>
  <c r="I681" i="17"/>
  <c r="I682" i="17"/>
  <c r="I683" i="17"/>
  <c r="I684" i="17"/>
  <c r="I685" i="17"/>
  <c r="I709" i="17"/>
  <c r="I710" i="17"/>
  <c r="I711" i="17"/>
  <c r="I723" i="17"/>
  <c r="I724" i="17"/>
  <c r="I725" i="17"/>
  <c r="I726" i="17"/>
  <c r="I727" i="17"/>
  <c r="I728" i="17"/>
  <c r="J681" i="17"/>
  <c r="J682" i="17"/>
  <c r="J683" i="17"/>
  <c r="J684" i="17"/>
  <c r="J685" i="17"/>
  <c r="J709" i="17"/>
  <c r="J710" i="17"/>
  <c r="J711" i="17"/>
  <c r="J723" i="17"/>
  <c r="J724" i="17"/>
  <c r="J725" i="17"/>
  <c r="J726" i="17"/>
  <c r="J727" i="17"/>
  <c r="J728" i="17"/>
  <c r="K681" i="17"/>
  <c r="K682" i="17"/>
  <c r="K683" i="17"/>
  <c r="K684" i="17"/>
  <c r="K685" i="17"/>
  <c r="K709" i="17"/>
  <c r="K710" i="17"/>
  <c r="K711" i="17"/>
  <c r="K723" i="17"/>
  <c r="K724" i="17"/>
  <c r="K725" i="17"/>
  <c r="K726" i="17"/>
  <c r="K727" i="17"/>
  <c r="K728" i="17"/>
  <c r="N681" i="17"/>
  <c r="N682" i="17"/>
  <c r="N683" i="17"/>
  <c r="N684" i="17"/>
  <c r="N685" i="17"/>
  <c r="N709" i="17"/>
  <c r="N710" i="17"/>
  <c r="N711" i="17"/>
  <c r="N723" i="17"/>
  <c r="N724" i="17"/>
  <c r="N725" i="17"/>
  <c r="N726" i="17"/>
  <c r="N727" i="17"/>
  <c r="N728" i="17"/>
  <c r="O681" i="17"/>
  <c r="O682" i="17"/>
  <c r="O683" i="17"/>
  <c r="O684" i="17"/>
  <c r="O685" i="17"/>
  <c r="O709" i="17"/>
  <c r="O710" i="17"/>
  <c r="O711" i="17"/>
  <c r="O723" i="17"/>
  <c r="O724" i="17"/>
  <c r="O725" i="17"/>
  <c r="O726" i="17"/>
  <c r="O727" i="17"/>
  <c r="O728" i="17"/>
  <c r="Q681" i="17"/>
  <c r="Q682" i="17"/>
  <c r="Q683" i="17"/>
  <c r="Q684" i="17"/>
  <c r="Q685" i="17"/>
  <c r="Q709" i="17"/>
  <c r="Q710" i="17"/>
  <c r="Q711" i="17"/>
  <c r="Q723" i="17"/>
  <c r="Q724" i="17"/>
  <c r="Q725" i="17"/>
  <c r="Q726" i="17"/>
  <c r="Q727" i="17"/>
  <c r="Q728" i="17"/>
  <c r="S681" i="17"/>
  <c r="S682" i="17"/>
  <c r="S683" i="17"/>
  <c r="S684" i="17"/>
  <c r="S685" i="17"/>
  <c r="S709" i="17"/>
  <c r="S710" i="17"/>
  <c r="S711" i="17"/>
  <c r="S723" i="17"/>
  <c r="S724" i="17"/>
  <c r="S725" i="17"/>
  <c r="S726" i="17"/>
  <c r="S727" i="17"/>
  <c r="S728" i="17"/>
  <c r="T681" i="17"/>
  <c r="T682" i="17"/>
  <c r="T683" i="17"/>
  <c r="T684" i="17"/>
  <c r="T685" i="17"/>
  <c r="T709" i="17"/>
  <c r="T710" i="17"/>
  <c r="T711" i="17"/>
  <c r="T723" i="17"/>
  <c r="T724" i="17"/>
  <c r="T725" i="17"/>
  <c r="T726" i="17"/>
  <c r="T727" i="17"/>
  <c r="T728" i="17"/>
  <c r="U681" i="17"/>
  <c r="U682" i="17"/>
  <c r="U683" i="17"/>
  <c r="U684" i="17"/>
  <c r="U685" i="17"/>
  <c r="U709" i="17"/>
  <c r="U710" i="17"/>
  <c r="U711" i="17"/>
  <c r="U723" i="17"/>
  <c r="U724" i="17"/>
  <c r="U725" i="17"/>
  <c r="U726" i="17"/>
  <c r="U727" i="17"/>
  <c r="U728" i="17"/>
  <c r="V681" i="17"/>
  <c r="V682" i="17"/>
  <c r="V683" i="17"/>
  <c r="V684" i="17"/>
  <c r="V685" i="17"/>
  <c r="V709" i="17"/>
  <c r="V710" i="17"/>
  <c r="V711" i="17"/>
  <c r="V723" i="17"/>
  <c r="V724" i="17"/>
  <c r="V725" i="17"/>
  <c r="V726" i="17"/>
  <c r="V727" i="17"/>
  <c r="V728" i="17"/>
  <c r="W681" i="17"/>
  <c r="W682" i="17"/>
  <c r="W683" i="17"/>
  <c r="W684" i="17"/>
  <c r="W685" i="17"/>
  <c r="W709" i="17"/>
  <c r="W710" i="17"/>
  <c r="W711" i="17"/>
  <c r="W723" i="17"/>
  <c r="W724" i="17"/>
  <c r="W725" i="17"/>
  <c r="W726" i="17"/>
  <c r="W727" i="17"/>
  <c r="W728" i="17"/>
  <c r="H672" i="17"/>
  <c r="H673" i="17"/>
  <c r="H674" i="17"/>
  <c r="H675" i="17"/>
  <c r="H676" i="17"/>
  <c r="H677" i="17"/>
  <c r="H678" i="17"/>
  <c r="H679" i="17"/>
  <c r="I672" i="17"/>
  <c r="I673" i="17"/>
  <c r="I674" i="17"/>
  <c r="I675" i="17"/>
  <c r="I676" i="17"/>
  <c r="I677" i="17"/>
  <c r="I678" i="17"/>
  <c r="I679" i="17"/>
  <c r="J672" i="17"/>
  <c r="J673" i="17"/>
  <c r="J674" i="17"/>
  <c r="J675" i="17"/>
  <c r="J676" i="17"/>
  <c r="J677" i="17"/>
  <c r="J678" i="17"/>
  <c r="J679" i="17"/>
  <c r="K672" i="17"/>
  <c r="K673" i="17"/>
  <c r="K674" i="17"/>
  <c r="K675" i="17"/>
  <c r="K676" i="17"/>
  <c r="K677" i="17"/>
  <c r="K678" i="17"/>
  <c r="K679" i="17"/>
  <c r="N672" i="17"/>
  <c r="N673" i="17"/>
  <c r="N674" i="17"/>
  <c r="N675" i="17"/>
  <c r="N676" i="17"/>
  <c r="N677" i="17"/>
  <c r="N678" i="17"/>
  <c r="N679" i="17"/>
  <c r="O672" i="17"/>
  <c r="O673" i="17"/>
  <c r="O674" i="17"/>
  <c r="O675" i="17"/>
  <c r="O676" i="17"/>
  <c r="O677" i="17"/>
  <c r="O678" i="17"/>
  <c r="O679" i="17"/>
  <c r="Q672" i="17"/>
  <c r="Q673" i="17"/>
  <c r="Q674" i="17"/>
  <c r="Q675" i="17"/>
  <c r="Q676" i="17"/>
  <c r="Q677" i="17"/>
  <c r="Q678" i="17"/>
  <c r="Q679" i="17"/>
  <c r="S672" i="17"/>
  <c r="S673" i="17"/>
  <c r="S674" i="17"/>
  <c r="S675" i="17"/>
  <c r="S676" i="17"/>
  <c r="S677" i="17"/>
  <c r="S678" i="17"/>
  <c r="S679" i="17"/>
  <c r="T672" i="17"/>
  <c r="T673" i="17"/>
  <c r="T674" i="17"/>
  <c r="T675" i="17"/>
  <c r="T676" i="17"/>
  <c r="T677" i="17"/>
  <c r="T678" i="17"/>
  <c r="T679" i="17"/>
  <c r="U672" i="17"/>
  <c r="U673" i="17"/>
  <c r="U674" i="17"/>
  <c r="U675" i="17"/>
  <c r="U676" i="17"/>
  <c r="U677" i="17"/>
  <c r="U678" i="17"/>
  <c r="U679" i="17"/>
  <c r="V672" i="17"/>
  <c r="V673" i="17"/>
  <c r="V674" i="17"/>
  <c r="V675" i="17"/>
  <c r="V676" i="17"/>
  <c r="V677" i="17"/>
  <c r="V678" i="17"/>
  <c r="V679" i="17"/>
  <c r="W672" i="17"/>
  <c r="W673" i="17"/>
  <c r="W674" i="17"/>
  <c r="W675" i="17"/>
  <c r="W676" i="17"/>
  <c r="W677" i="17"/>
  <c r="W678" i="17"/>
  <c r="W679" i="17"/>
  <c r="H624" i="17"/>
  <c r="H625" i="17"/>
  <c r="H626" i="17"/>
  <c r="H627" i="17"/>
  <c r="H642" i="17"/>
  <c r="H643" i="17"/>
  <c r="H644" i="17"/>
  <c r="H645" i="17"/>
  <c r="H646" i="17"/>
  <c r="H647" i="17"/>
  <c r="H648" i="17"/>
  <c r="H649" i="17"/>
  <c r="H650" i="17"/>
  <c r="H651" i="17"/>
  <c r="H652" i="17"/>
  <c r="H653" i="17"/>
  <c r="H654" i="17"/>
  <c r="H655" i="17"/>
  <c r="H656" i="17"/>
  <c r="H657" i="17"/>
  <c r="H658" i="17"/>
  <c r="H659" i="17"/>
  <c r="H660" i="17"/>
  <c r="I624" i="17"/>
  <c r="I625" i="17"/>
  <c r="I626" i="17"/>
  <c r="I627" i="17"/>
  <c r="I642" i="17"/>
  <c r="I643" i="17"/>
  <c r="I644" i="17"/>
  <c r="I645" i="17"/>
  <c r="I646" i="17"/>
  <c r="I647" i="17"/>
  <c r="I648" i="17"/>
  <c r="I649" i="17"/>
  <c r="I650" i="17"/>
  <c r="I651" i="17"/>
  <c r="I652" i="17"/>
  <c r="I653" i="17"/>
  <c r="I654" i="17"/>
  <c r="I655" i="17"/>
  <c r="I656" i="17"/>
  <c r="I657" i="17"/>
  <c r="I658" i="17"/>
  <c r="I659" i="17"/>
  <c r="I660" i="17"/>
  <c r="J624" i="17"/>
  <c r="J625" i="17"/>
  <c r="J626" i="17"/>
  <c r="J627" i="17"/>
  <c r="J642" i="17"/>
  <c r="J643" i="17"/>
  <c r="J644" i="17"/>
  <c r="J645" i="17"/>
  <c r="J646" i="17"/>
  <c r="J647" i="17"/>
  <c r="J648" i="17"/>
  <c r="J649" i="17"/>
  <c r="J650" i="17"/>
  <c r="J651" i="17"/>
  <c r="J652" i="17"/>
  <c r="J653" i="17"/>
  <c r="J654" i="17"/>
  <c r="J655" i="17"/>
  <c r="J656" i="17"/>
  <c r="J657" i="17"/>
  <c r="J658" i="17"/>
  <c r="J659" i="17"/>
  <c r="J660" i="17"/>
  <c r="K624" i="17"/>
  <c r="K625" i="17"/>
  <c r="K626" i="17"/>
  <c r="K627" i="17"/>
  <c r="K642" i="17"/>
  <c r="K643" i="17"/>
  <c r="K644" i="17"/>
  <c r="K645" i="17"/>
  <c r="K646" i="17"/>
  <c r="K647" i="17"/>
  <c r="K648" i="17"/>
  <c r="K649" i="17"/>
  <c r="K650" i="17"/>
  <c r="K651" i="17"/>
  <c r="K652" i="17"/>
  <c r="K653" i="17"/>
  <c r="K654" i="17"/>
  <c r="K655" i="17"/>
  <c r="K656" i="17"/>
  <c r="K657" i="17"/>
  <c r="K658" i="17"/>
  <c r="K659" i="17"/>
  <c r="K660" i="17"/>
  <c r="N624" i="17"/>
  <c r="N625" i="17"/>
  <c r="N626" i="17"/>
  <c r="N627" i="17"/>
  <c r="N642" i="17"/>
  <c r="N643" i="17"/>
  <c r="N644" i="17"/>
  <c r="N645" i="17"/>
  <c r="N646" i="17"/>
  <c r="N647" i="17"/>
  <c r="N648" i="17"/>
  <c r="N649" i="17"/>
  <c r="N650" i="17"/>
  <c r="N651" i="17"/>
  <c r="N652" i="17"/>
  <c r="N653" i="17"/>
  <c r="N654" i="17"/>
  <c r="N655" i="17"/>
  <c r="N656" i="17"/>
  <c r="N657" i="17"/>
  <c r="N658" i="17"/>
  <c r="N659" i="17"/>
  <c r="N660" i="17"/>
  <c r="O624" i="17"/>
  <c r="O625" i="17"/>
  <c r="O626" i="17"/>
  <c r="O627" i="17"/>
  <c r="O642" i="17"/>
  <c r="O643" i="17"/>
  <c r="O644" i="17"/>
  <c r="O645" i="17"/>
  <c r="O646" i="17"/>
  <c r="O647" i="17"/>
  <c r="O648" i="17"/>
  <c r="O649" i="17"/>
  <c r="O650" i="17"/>
  <c r="O651" i="17"/>
  <c r="O652" i="17"/>
  <c r="O653" i="17"/>
  <c r="O654" i="17"/>
  <c r="O655" i="17"/>
  <c r="O656" i="17"/>
  <c r="O657" i="17"/>
  <c r="O658" i="17"/>
  <c r="O659" i="17"/>
  <c r="O660" i="17"/>
  <c r="Q624" i="17"/>
  <c r="Q625" i="17"/>
  <c r="Q626" i="17"/>
  <c r="Q627" i="17"/>
  <c r="Q642" i="17"/>
  <c r="Q643" i="17"/>
  <c r="Q644" i="17"/>
  <c r="Q645" i="17"/>
  <c r="Q646" i="17"/>
  <c r="Q647" i="17"/>
  <c r="Q648" i="17"/>
  <c r="Q649" i="17"/>
  <c r="Q650" i="17"/>
  <c r="Q651" i="17"/>
  <c r="Q652" i="17"/>
  <c r="Q653" i="17"/>
  <c r="Q654" i="17"/>
  <c r="Q655" i="17"/>
  <c r="Q656" i="17"/>
  <c r="Q657" i="17"/>
  <c r="Q658" i="17"/>
  <c r="Q659" i="17"/>
  <c r="Q660" i="17"/>
  <c r="S624" i="17"/>
  <c r="S625" i="17"/>
  <c r="S626" i="17"/>
  <c r="S627" i="17"/>
  <c r="S642" i="17"/>
  <c r="S643" i="17"/>
  <c r="S644" i="17"/>
  <c r="S645" i="17"/>
  <c r="S646" i="17"/>
  <c r="S647" i="17"/>
  <c r="S648" i="17"/>
  <c r="S649" i="17"/>
  <c r="S650" i="17"/>
  <c r="S651" i="17"/>
  <c r="S652" i="17"/>
  <c r="S653" i="17"/>
  <c r="S654" i="17"/>
  <c r="S655" i="17"/>
  <c r="S656" i="17"/>
  <c r="S657" i="17"/>
  <c r="S658" i="17"/>
  <c r="S659" i="17"/>
  <c r="S660" i="17"/>
  <c r="T624" i="17"/>
  <c r="T625" i="17"/>
  <c r="T626" i="17"/>
  <c r="T627" i="17"/>
  <c r="T642" i="17"/>
  <c r="T643" i="17"/>
  <c r="T644" i="17"/>
  <c r="T645" i="17"/>
  <c r="T646" i="17"/>
  <c r="T647" i="17"/>
  <c r="T648" i="17"/>
  <c r="T649" i="17"/>
  <c r="T650" i="17"/>
  <c r="T651" i="17"/>
  <c r="T652" i="17"/>
  <c r="T653" i="17"/>
  <c r="T654" i="17"/>
  <c r="T655" i="17"/>
  <c r="T656" i="17"/>
  <c r="T657" i="17"/>
  <c r="T658" i="17"/>
  <c r="T659" i="17"/>
  <c r="T660" i="17"/>
  <c r="U624" i="17"/>
  <c r="U625" i="17"/>
  <c r="U626" i="17"/>
  <c r="U627" i="17"/>
  <c r="U642" i="17"/>
  <c r="U643" i="17"/>
  <c r="U644" i="17"/>
  <c r="U645" i="17"/>
  <c r="U646" i="17"/>
  <c r="U647" i="17"/>
  <c r="U648" i="17"/>
  <c r="U649" i="17"/>
  <c r="U650" i="17"/>
  <c r="U651" i="17"/>
  <c r="U652" i="17"/>
  <c r="U653" i="17"/>
  <c r="U654" i="17"/>
  <c r="U655" i="17"/>
  <c r="U656" i="17"/>
  <c r="U657" i="17"/>
  <c r="U658" i="17"/>
  <c r="U659" i="17"/>
  <c r="U660" i="17"/>
  <c r="V624" i="17"/>
  <c r="V625" i="17"/>
  <c r="V626" i="17"/>
  <c r="V627" i="17"/>
  <c r="V642" i="17"/>
  <c r="V643" i="17"/>
  <c r="V644" i="17"/>
  <c r="V645" i="17"/>
  <c r="V646" i="17"/>
  <c r="V647" i="17"/>
  <c r="V648" i="17"/>
  <c r="V649" i="17"/>
  <c r="V650" i="17"/>
  <c r="V651" i="17"/>
  <c r="V652" i="17"/>
  <c r="V653" i="17"/>
  <c r="V654" i="17"/>
  <c r="V655" i="17"/>
  <c r="V656" i="17"/>
  <c r="V657" i="17"/>
  <c r="V658" i="17"/>
  <c r="V659" i="17"/>
  <c r="V660" i="17"/>
  <c r="W624" i="17"/>
  <c r="W625" i="17"/>
  <c r="W626" i="17"/>
  <c r="W627" i="17"/>
  <c r="W642" i="17"/>
  <c r="W643" i="17"/>
  <c r="W644" i="17"/>
  <c r="W645" i="17"/>
  <c r="W646" i="17"/>
  <c r="W647" i="17"/>
  <c r="W648" i="17"/>
  <c r="W649" i="17"/>
  <c r="W650" i="17"/>
  <c r="W651" i="17"/>
  <c r="W652" i="17"/>
  <c r="W653" i="17"/>
  <c r="W654" i="17"/>
  <c r="W655" i="17"/>
  <c r="W656" i="17"/>
  <c r="W657" i="17"/>
  <c r="W658" i="17"/>
  <c r="W659" i="17"/>
  <c r="W660" i="17"/>
  <c r="H620" i="17"/>
  <c r="H621" i="17"/>
  <c r="H622" i="17"/>
  <c r="H623" i="17"/>
  <c r="H661" i="17"/>
  <c r="H662" i="17"/>
  <c r="H663" i="17"/>
  <c r="H664" i="17"/>
  <c r="H665" i="17"/>
  <c r="H666" i="17"/>
  <c r="H667" i="17"/>
  <c r="H668" i="17"/>
  <c r="H669" i="17"/>
  <c r="H670" i="17"/>
  <c r="H671" i="17"/>
  <c r="I620" i="17"/>
  <c r="I621" i="17"/>
  <c r="I622" i="17"/>
  <c r="I623" i="17"/>
  <c r="I661" i="17"/>
  <c r="I662" i="17"/>
  <c r="I663" i="17"/>
  <c r="I664" i="17"/>
  <c r="I665" i="17"/>
  <c r="I666" i="17"/>
  <c r="I667" i="17"/>
  <c r="I668" i="17"/>
  <c r="I669" i="17"/>
  <c r="I670" i="17"/>
  <c r="I671" i="17"/>
  <c r="J620" i="17"/>
  <c r="J621" i="17"/>
  <c r="J622" i="17"/>
  <c r="J623" i="17"/>
  <c r="J661" i="17"/>
  <c r="J662" i="17"/>
  <c r="J663" i="17"/>
  <c r="J664" i="17"/>
  <c r="J665" i="17"/>
  <c r="J666" i="17"/>
  <c r="J667" i="17"/>
  <c r="J668" i="17"/>
  <c r="J669" i="17"/>
  <c r="J670" i="17"/>
  <c r="J671" i="17"/>
  <c r="K620" i="17"/>
  <c r="K621" i="17"/>
  <c r="K622" i="17"/>
  <c r="K623" i="17"/>
  <c r="K661" i="17"/>
  <c r="K662" i="17"/>
  <c r="K663" i="17"/>
  <c r="K664" i="17"/>
  <c r="K665" i="17"/>
  <c r="K666" i="17"/>
  <c r="K667" i="17"/>
  <c r="K668" i="17"/>
  <c r="K669" i="17"/>
  <c r="K670" i="17"/>
  <c r="K671" i="17"/>
  <c r="N620" i="17"/>
  <c r="N621" i="17"/>
  <c r="N622" i="17"/>
  <c r="N623" i="17"/>
  <c r="N661" i="17"/>
  <c r="N662" i="17"/>
  <c r="N663" i="17"/>
  <c r="N664" i="17"/>
  <c r="N665" i="17"/>
  <c r="N666" i="17"/>
  <c r="N667" i="17"/>
  <c r="N668" i="17"/>
  <c r="N669" i="17"/>
  <c r="N670" i="17"/>
  <c r="N671" i="17"/>
  <c r="O620" i="17"/>
  <c r="O621" i="17"/>
  <c r="O622" i="17"/>
  <c r="O623" i="17"/>
  <c r="O661" i="17"/>
  <c r="O662" i="17"/>
  <c r="O663" i="17"/>
  <c r="O664" i="17"/>
  <c r="O665" i="17"/>
  <c r="O666" i="17"/>
  <c r="O667" i="17"/>
  <c r="O668" i="17"/>
  <c r="O669" i="17"/>
  <c r="O670" i="17"/>
  <c r="O671" i="17"/>
  <c r="Q620" i="17"/>
  <c r="Q621" i="17"/>
  <c r="Q622" i="17"/>
  <c r="Q623" i="17"/>
  <c r="Q661" i="17"/>
  <c r="Q662" i="17"/>
  <c r="Q663" i="17"/>
  <c r="Q664" i="17"/>
  <c r="Q665" i="17"/>
  <c r="Q666" i="17"/>
  <c r="Q667" i="17"/>
  <c r="Q668" i="17"/>
  <c r="Q669" i="17"/>
  <c r="Q670" i="17"/>
  <c r="Q671" i="17"/>
  <c r="S620" i="17"/>
  <c r="S621" i="17"/>
  <c r="S622" i="17"/>
  <c r="S623" i="17"/>
  <c r="S661" i="17"/>
  <c r="S662" i="17"/>
  <c r="S663" i="17"/>
  <c r="S664" i="17"/>
  <c r="S665" i="17"/>
  <c r="S666" i="17"/>
  <c r="S667" i="17"/>
  <c r="S668" i="17"/>
  <c r="S669" i="17"/>
  <c r="S670" i="17"/>
  <c r="S671" i="17"/>
  <c r="T620" i="17"/>
  <c r="T621" i="17"/>
  <c r="T622" i="17"/>
  <c r="T623" i="17"/>
  <c r="T661" i="17"/>
  <c r="T662" i="17"/>
  <c r="T663" i="17"/>
  <c r="T664" i="17"/>
  <c r="T665" i="17"/>
  <c r="T666" i="17"/>
  <c r="T667" i="17"/>
  <c r="T668" i="17"/>
  <c r="T669" i="17"/>
  <c r="T670" i="17"/>
  <c r="T671" i="17"/>
  <c r="U620" i="17"/>
  <c r="U621" i="17"/>
  <c r="U622" i="17"/>
  <c r="U623" i="17"/>
  <c r="U661" i="17"/>
  <c r="U662" i="17"/>
  <c r="U663" i="17"/>
  <c r="U664" i="17"/>
  <c r="U665" i="17"/>
  <c r="U666" i="17"/>
  <c r="U667" i="17"/>
  <c r="U668" i="17"/>
  <c r="U669" i="17"/>
  <c r="U670" i="17"/>
  <c r="U671" i="17"/>
  <c r="V620" i="17"/>
  <c r="V621" i="17"/>
  <c r="V622" i="17"/>
  <c r="V623" i="17"/>
  <c r="V661" i="17"/>
  <c r="V662" i="17"/>
  <c r="V663" i="17"/>
  <c r="V664" i="17"/>
  <c r="V665" i="17"/>
  <c r="V666" i="17"/>
  <c r="V667" i="17"/>
  <c r="V668" i="17"/>
  <c r="V669" i="17"/>
  <c r="V670" i="17"/>
  <c r="V671" i="17"/>
  <c r="W620" i="17"/>
  <c r="W621" i="17"/>
  <c r="W622" i="17"/>
  <c r="W623" i="17"/>
  <c r="W661" i="17"/>
  <c r="W662" i="17"/>
  <c r="W663" i="17"/>
  <c r="W664" i="17"/>
  <c r="W665" i="17"/>
  <c r="W666" i="17"/>
  <c r="W667" i="17"/>
  <c r="W668" i="17"/>
  <c r="W669" i="17"/>
  <c r="W670" i="17"/>
  <c r="W671" i="17"/>
  <c r="H606" i="17"/>
  <c r="H607" i="17"/>
  <c r="H608" i="17"/>
  <c r="H609" i="17"/>
  <c r="H610" i="17"/>
  <c r="H611" i="17"/>
  <c r="H612" i="17"/>
  <c r="H613" i="17"/>
  <c r="H614" i="17"/>
  <c r="H615" i="17"/>
  <c r="H616" i="17"/>
  <c r="H617" i="17"/>
  <c r="H618" i="17"/>
  <c r="I606" i="17"/>
  <c r="I607" i="17"/>
  <c r="I608" i="17"/>
  <c r="I609" i="17"/>
  <c r="I610" i="17"/>
  <c r="I611" i="17"/>
  <c r="I612" i="17"/>
  <c r="I613" i="17"/>
  <c r="I614" i="17"/>
  <c r="I615" i="17"/>
  <c r="I616" i="17"/>
  <c r="I617" i="17"/>
  <c r="I618" i="17"/>
  <c r="J606" i="17"/>
  <c r="J607" i="17"/>
  <c r="J608" i="17"/>
  <c r="J609" i="17"/>
  <c r="J610" i="17"/>
  <c r="J611" i="17"/>
  <c r="J612" i="17"/>
  <c r="J613" i="17"/>
  <c r="J614" i="17"/>
  <c r="J615" i="17"/>
  <c r="J616" i="17"/>
  <c r="J617" i="17"/>
  <c r="J618" i="17"/>
  <c r="K606" i="17"/>
  <c r="K607" i="17"/>
  <c r="K608" i="17"/>
  <c r="K609" i="17"/>
  <c r="K610" i="17"/>
  <c r="K611" i="17"/>
  <c r="K612" i="17"/>
  <c r="K613" i="17"/>
  <c r="K614" i="17"/>
  <c r="K615" i="17"/>
  <c r="K616" i="17"/>
  <c r="K617" i="17"/>
  <c r="K618" i="17"/>
  <c r="N606" i="17"/>
  <c r="N607" i="17"/>
  <c r="N608" i="17"/>
  <c r="N609" i="17"/>
  <c r="N610" i="17"/>
  <c r="N611" i="17"/>
  <c r="N612" i="17"/>
  <c r="N613" i="17"/>
  <c r="N614" i="17"/>
  <c r="N615" i="17"/>
  <c r="N616" i="17"/>
  <c r="N617" i="17"/>
  <c r="N618" i="17"/>
  <c r="O606" i="17"/>
  <c r="O607" i="17"/>
  <c r="O608" i="17"/>
  <c r="O609" i="17"/>
  <c r="O610" i="17"/>
  <c r="O611" i="17"/>
  <c r="O612" i="17"/>
  <c r="O613" i="17"/>
  <c r="O614" i="17"/>
  <c r="O615" i="17"/>
  <c r="O616" i="17"/>
  <c r="O617" i="17"/>
  <c r="O618" i="17"/>
  <c r="Q606" i="17"/>
  <c r="Q607" i="17"/>
  <c r="Q608" i="17"/>
  <c r="Q609" i="17"/>
  <c r="Q610" i="17"/>
  <c r="Q611" i="17"/>
  <c r="Q612" i="17"/>
  <c r="Q613" i="17"/>
  <c r="Q614" i="17"/>
  <c r="Q615" i="17"/>
  <c r="Q616" i="17"/>
  <c r="Q617" i="17"/>
  <c r="Q618" i="17"/>
  <c r="S606" i="17"/>
  <c r="S607" i="17"/>
  <c r="S608" i="17"/>
  <c r="S609" i="17"/>
  <c r="S610" i="17"/>
  <c r="S611" i="17"/>
  <c r="S612" i="17"/>
  <c r="S613" i="17"/>
  <c r="S614" i="17"/>
  <c r="S615" i="17"/>
  <c r="S616" i="17"/>
  <c r="S617" i="17"/>
  <c r="S618" i="17"/>
  <c r="T606" i="17"/>
  <c r="T607" i="17"/>
  <c r="T608" i="17"/>
  <c r="T609" i="17"/>
  <c r="T610" i="17"/>
  <c r="T611" i="17"/>
  <c r="T612" i="17"/>
  <c r="T613" i="17"/>
  <c r="T614" i="17"/>
  <c r="T615" i="17"/>
  <c r="T616" i="17"/>
  <c r="T617" i="17"/>
  <c r="T618" i="17"/>
  <c r="U606" i="17"/>
  <c r="U607" i="17"/>
  <c r="U608" i="17"/>
  <c r="U609" i="17"/>
  <c r="U610" i="17"/>
  <c r="U611" i="17"/>
  <c r="U612" i="17"/>
  <c r="U613" i="17"/>
  <c r="U614" i="17"/>
  <c r="U615" i="17"/>
  <c r="U616" i="17"/>
  <c r="U617" i="17"/>
  <c r="U618" i="17"/>
  <c r="V606" i="17"/>
  <c r="V607" i="17"/>
  <c r="V608" i="17"/>
  <c r="V609" i="17"/>
  <c r="V610" i="17"/>
  <c r="V611" i="17"/>
  <c r="V612" i="17"/>
  <c r="V613" i="17"/>
  <c r="V614" i="17"/>
  <c r="V615" i="17"/>
  <c r="V616" i="17"/>
  <c r="V617" i="17"/>
  <c r="V618" i="17"/>
  <c r="W606" i="17"/>
  <c r="W607" i="17"/>
  <c r="W608" i="17"/>
  <c r="W609" i="17"/>
  <c r="W610" i="17"/>
  <c r="W611" i="17"/>
  <c r="W612" i="17"/>
  <c r="W613" i="17"/>
  <c r="W614" i="17"/>
  <c r="W615" i="17"/>
  <c r="W616" i="17"/>
  <c r="W617" i="17"/>
  <c r="W618" i="17"/>
  <c r="H591" i="17"/>
  <c r="H592" i="17"/>
  <c r="H593" i="17"/>
  <c r="H594" i="17"/>
  <c r="H595" i="17"/>
  <c r="H596" i="17"/>
  <c r="H597" i="17"/>
  <c r="H598" i="17"/>
  <c r="H599" i="17"/>
  <c r="H600" i="17"/>
  <c r="H601" i="17"/>
  <c r="H602" i="17"/>
  <c r="H603" i="17"/>
  <c r="H604" i="17"/>
  <c r="I591" i="17"/>
  <c r="I592" i="17"/>
  <c r="I593" i="17"/>
  <c r="I594" i="17"/>
  <c r="I595" i="17"/>
  <c r="I596" i="17"/>
  <c r="I597" i="17"/>
  <c r="I598" i="17"/>
  <c r="I599" i="17"/>
  <c r="I600" i="17"/>
  <c r="I601" i="17"/>
  <c r="I602" i="17"/>
  <c r="I603" i="17"/>
  <c r="I604" i="17"/>
  <c r="J591" i="17"/>
  <c r="J592" i="17"/>
  <c r="J593" i="17"/>
  <c r="J594" i="17"/>
  <c r="J595" i="17"/>
  <c r="J596" i="17"/>
  <c r="J597" i="17"/>
  <c r="J598" i="17"/>
  <c r="J599" i="17"/>
  <c r="J600" i="17"/>
  <c r="J601" i="17"/>
  <c r="J602" i="17"/>
  <c r="J603" i="17"/>
  <c r="J604" i="17"/>
  <c r="K591" i="17"/>
  <c r="K592" i="17"/>
  <c r="K593" i="17"/>
  <c r="K594" i="17"/>
  <c r="K595" i="17"/>
  <c r="K596" i="17"/>
  <c r="K597" i="17"/>
  <c r="K598" i="17"/>
  <c r="K599" i="17"/>
  <c r="K600" i="17"/>
  <c r="K601" i="17"/>
  <c r="K602" i="17"/>
  <c r="K603" i="17"/>
  <c r="K604" i="17"/>
  <c r="N591" i="17"/>
  <c r="N592" i="17"/>
  <c r="N593" i="17"/>
  <c r="N594" i="17"/>
  <c r="N595" i="17"/>
  <c r="N596" i="17"/>
  <c r="N597" i="17"/>
  <c r="N598" i="17"/>
  <c r="N599" i="17"/>
  <c r="N600" i="17"/>
  <c r="N601" i="17"/>
  <c r="N602" i="17"/>
  <c r="N603" i="17"/>
  <c r="N604" i="17"/>
  <c r="O591" i="17"/>
  <c r="O592" i="17"/>
  <c r="O593" i="17"/>
  <c r="O594" i="17"/>
  <c r="O595" i="17"/>
  <c r="O596" i="17"/>
  <c r="O597" i="17"/>
  <c r="O598" i="17"/>
  <c r="O599" i="17"/>
  <c r="O600" i="17"/>
  <c r="O601" i="17"/>
  <c r="O602" i="17"/>
  <c r="O603" i="17"/>
  <c r="O604" i="17"/>
  <c r="Q591" i="17"/>
  <c r="Q592" i="17"/>
  <c r="Q593" i="17"/>
  <c r="Q594" i="17"/>
  <c r="Q595" i="17"/>
  <c r="Q596" i="17"/>
  <c r="Q597" i="17"/>
  <c r="Q598" i="17"/>
  <c r="Q599" i="17"/>
  <c r="Q600" i="17"/>
  <c r="Q601" i="17"/>
  <c r="Q602" i="17"/>
  <c r="Q603" i="17"/>
  <c r="Q604" i="17"/>
  <c r="S591" i="17"/>
  <c r="S592" i="17"/>
  <c r="S593" i="17"/>
  <c r="S594" i="17"/>
  <c r="S595" i="17"/>
  <c r="S596" i="17"/>
  <c r="S597" i="17"/>
  <c r="S598" i="17"/>
  <c r="S599" i="17"/>
  <c r="S600" i="17"/>
  <c r="S601" i="17"/>
  <c r="S602" i="17"/>
  <c r="S603" i="17"/>
  <c r="S604" i="17"/>
  <c r="T591" i="17"/>
  <c r="T592" i="17"/>
  <c r="T593" i="17"/>
  <c r="T594" i="17"/>
  <c r="T595" i="17"/>
  <c r="T596" i="17"/>
  <c r="T597" i="17"/>
  <c r="T598" i="17"/>
  <c r="T599" i="17"/>
  <c r="T600" i="17"/>
  <c r="T601" i="17"/>
  <c r="T602" i="17"/>
  <c r="T603" i="17"/>
  <c r="T604" i="17"/>
  <c r="U591" i="17"/>
  <c r="U592" i="17"/>
  <c r="U593" i="17"/>
  <c r="U594" i="17"/>
  <c r="U595" i="17"/>
  <c r="U596" i="17"/>
  <c r="U597" i="17"/>
  <c r="U598" i="17"/>
  <c r="U599" i="17"/>
  <c r="U600" i="17"/>
  <c r="U601" i="17"/>
  <c r="U602" i="17"/>
  <c r="U603" i="17"/>
  <c r="U604" i="17"/>
  <c r="V591" i="17"/>
  <c r="V592" i="17"/>
  <c r="V593" i="17"/>
  <c r="V594" i="17"/>
  <c r="V595" i="17"/>
  <c r="V596" i="17"/>
  <c r="V597" i="17"/>
  <c r="V598" i="17"/>
  <c r="V599" i="17"/>
  <c r="V600" i="17"/>
  <c r="V601" i="17"/>
  <c r="V602" i="17"/>
  <c r="V603" i="17"/>
  <c r="V604" i="17"/>
  <c r="W591" i="17"/>
  <c r="W592" i="17"/>
  <c r="W593" i="17"/>
  <c r="W594" i="17"/>
  <c r="W595" i="17"/>
  <c r="W596" i="17"/>
  <c r="W597" i="17"/>
  <c r="W598" i="17"/>
  <c r="W599" i="17"/>
  <c r="W600" i="17"/>
  <c r="W601" i="17"/>
  <c r="W602" i="17"/>
  <c r="W603" i="17"/>
  <c r="W604" i="17"/>
  <c r="H586" i="17"/>
  <c r="H587" i="17"/>
  <c r="H588" i="17"/>
  <c r="H589" i="17"/>
  <c r="I586" i="17"/>
  <c r="I587" i="17"/>
  <c r="I588" i="17"/>
  <c r="I589" i="17"/>
  <c r="J586" i="17"/>
  <c r="J587" i="17"/>
  <c r="J588" i="17"/>
  <c r="J589" i="17"/>
  <c r="K586" i="17"/>
  <c r="K587" i="17"/>
  <c r="K588" i="17"/>
  <c r="K589" i="17"/>
  <c r="N586" i="17"/>
  <c r="N587" i="17"/>
  <c r="N588" i="17"/>
  <c r="N589" i="17"/>
  <c r="O586" i="17"/>
  <c r="O587" i="17"/>
  <c r="O588" i="17"/>
  <c r="O589" i="17"/>
  <c r="Q586" i="17"/>
  <c r="Q587" i="17"/>
  <c r="Q588" i="17"/>
  <c r="Q589" i="17"/>
  <c r="S586" i="17"/>
  <c r="S587" i="17"/>
  <c r="S588" i="17"/>
  <c r="S589" i="17"/>
  <c r="T586" i="17"/>
  <c r="T587" i="17"/>
  <c r="T588" i="17"/>
  <c r="T589" i="17"/>
  <c r="U586" i="17"/>
  <c r="U587" i="17"/>
  <c r="U588" i="17"/>
  <c r="U589" i="17"/>
  <c r="V586" i="17"/>
  <c r="V587" i="17"/>
  <c r="V588" i="17"/>
  <c r="V589" i="17"/>
  <c r="W586" i="17"/>
  <c r="W587" i="17"/>
  <c r="W588" i="17"/>
  <c r="W589" i="17"/>
  <c r="H585" i="17"/>
  <c r="I585" i="17"/>
  <c r="J585" i="17"/>
  <c r="K585" i="17"/>
  <c r="N585" i="17"/>
  <c r="O585" i="17"/>
  <c r="Q585" i="17"/>
  <c r="S585" i="17"/>
  <c r="T585" i="17"/>
  <c r="U585" i="17"/>
  <c r="V585" i="17"/>
  <c r="W585" i="17"/>
  <c r="H567" i="17"/>
  <c r="H568" i="17"/>
  <c r="H569" i="17"/>
  <c r="H570" i="17"/>
  <c r="H571" i="17"/>
  <c r="H572" i="17"/>
  <c r="H573" i="17"/>
  <c r="H574" i="17"/>
  <c r="H575" i="17"/>
  <c r="H576" i="17"/>
  <c r="H577" i="17"/>
  <c r="H578" i="17"/>
  <c r="H579" i="17"/>
  <c r="H580" i="17"/>
  <c r="H581" i="17"/>
  <c r="H582" i="17"/>
  <c r="H583" i="17"/>
  <c r="H584" i="17"/>
  <c r="I567" i="17"/>
  <c r="I568" i="17"/>
  <c r="I569" i="17"/>
  <c r="I570" i="17"/>
  <c r="I571" i="17"/>
  <c r="I572" i="17"/>
  <c r="I573" i="17"/>
  <c r="I574" i="17"/>
  <c r="I575" i="17"/>
  <c r="I576" i="17"/>
  <c r="I577" i="17"/>
  <c r="I578" i="17"/>
  <c r="I579" i="17"/>
  <c r="I580" i="17"/>
  <c r="I581" i="17"/>
  <c r="I582" i="17"/>
  <c r="I583" i="17"/>
  <c r="I584" i="17"/>
  <c r="J567" i="17"/>
  <c r="J568" i="17"/>
  <c r="J569" i="17"/>
  <c r="J570" i="17"/>
  <c r="J571" i="17"/>
  <c r="J572" i="17"/>
  <c r="J573" i="17"/>
  <c r="J574" i="17"/>
  <c r="J575" i="17"/>
  <c r="J576" i="17"/>
  <c r="J577" i="17"/>
  <c r="J578" i="17"/>
  <c r="J579" i="17"/>
  <c r="J580" i="17"/>
  <c r="J581" i="17"/>
  <c r="J582" i="17"/>
  <c r="J583" i="17"/>
  <c r="J584" i="17"/>
  <c r="K567" i="17"/>
  <c r="K568" i="17"/>
  <c r="K569" i="17"/>
  <c r="K570" i="17"/>
  <c r="K571" i="17"/>
  <c r="K572" i="17"/>
  <c r="K573" i="17"/>
  <c r="K574" i="17"/>
  <c r="K575" i="17"/>
  <c r="K576" i="17"/>
  <c r="K577" i="17"/>
  <c r="K578" i="17"/>
  <c r="K579" i="17"/>
  <c r="K580" i="17"/>
  <c r="K581" i="17"/>
  <c r="K582" i="17"/>
  <c r="K583" i="17"/>
  <c r="K584" i="17"/>
  <c r="N567" i="17"/>
  <c r="N568" i="17"/>
  <c r="N569" i="17"/>
  <c r="N570" i="17"/>
  <c r="N571" i="17"/>
  <c r="N572" i="17"/>
  <c r="N573" i="17"/>
  <c r="N574" i="17"/>
  <c r="N575" i="17"/>
  <c r="N576" i="17"/>
  <c r="N577" i="17"/>
  <c r="N578" i="17"/>
  <c r="N579" i="17"/>
  <c r="N580" i="17"/>
  <c r="N581" i="17"/>
  <c r="N582" i="17"/>
  <c r="N583" i="17"/>
  <c r="N584" i="17"/>
  <c r="O567" i="17"/>
  <c r="O568" i="17"/>
  <c r="O569" i="17"/>
  <c r="O570" i="17"/>
  <c r="O571" i="17"/>
  <c r="O572" i="17"/>
  <c r="O573" i="17"/>
  <c r="O574" i="17"/>
  <c r="O575" i="17"/>
  <c r="O576" i="17"/>
  <c r="O577" i="17"/>
  <c r="O578" i="17"/>
  <c r="O579" i="17"/>
  <c r="O580" i="17"/>
  <c r="O581" i="17"/>
  <c r="O582" i="17"/>
  <c r="O583" i="17"/>
  <c r="O584" i="17"/>
  <c r="Q567" i="17"/>
  <c r="Q568" i="17"/>
  <c r="Q569" i="17"/>
  <c r="Q570" i="17"/>
  <c r="Q571" i="17"/>
  <c r="Q572" i="17"/>
  <c r="Q573" i="17"/>
  <c r="Q574" i="17"/>
  <c r="Q575" i="17"/>
  <c r="Q576" i="17"/>
  <c r="Q577" i="17"/>
  <c r="Q578" i="17"/>
  <c r="Q579" i="17"/>
  <c r="Q580" i="17"/>
  <c r="Q581" i="17"/>
  <c r="Q582" i="17"/>
  <c r="Q583" i="17"/>
  <c r="Q584" i="17"/>
  <c r="S567" i="17"/>
  <c r="S568" i="17"/>
  <c r="S569" i="17"/>
  <c r="S570" i="17"/>
  <c r="S571" i="17"/>
  <c r="S572" i="17"/>
  <c r="S573" i="17"/>
  <c r="S574" i="17"/>
  <c r="S575" i="17"/>
  <c r="S576" i="17"/>
  <c r="S577" i="17"/>
  <c r="S578" i="17"/>
  <c r="S579" i="17"/>
  <c r="S580" i="17"/>
  <c r="S581" i="17"/>
  <c r="S582" i="17"/>
  <c r="S583" i="17"/>
  <c r="S584" i="17"/>
  <c r="T567" i="17"/>
  <c r="T568" i="17"/>
  <c r="T569" i="17"/>
  <c r="T570" i="17"/>
  <c r="T571" i="17"/>
  <c r="T572" i="17"/>
  <c r="T573" i="17"/>
  <c r="T574" i="17"/>
  <c r="T575" i="17"/>
  <c r="T576" i="17"/>
  <c r="T577" i="17"/>
  <c r="T578" i="17"/>
  <c r="T579" i="17"/>
  <c r="T580" i="17"/>
  <c r="T581" i="17"/>
  <c r="T582" i="17"/>
  <c r="T583" i="17"/>
  <c r="T584" i="17"/>
  <c r="U567" i="17"/>
  <c r="U568" i="17"/>
  <c r="U569" i="17"/>
  <c r="U570" i="17"/>
  <c r="U571" i="17"/>
  <c r="U572" i="17"/>
  <c r="U573" i="17"/>
  <c r="U574" i="17"/>
  <c r="U575" i="17"/>
  <c r="U576" i="17"/>
  <c r="U577" i="17"/>
  <c r="U578" i="17"/>
  <c r="U579" i="17"/>
  <c r="U580" i="17"/>
  <c r="U581" i="17"/>
  <c r="U582" i="17"/>
  <c r="U583" i="17"/>
  <c r="U584" i="17"/>
  <c r="V567" i="17"/>
  <c r="V568" i="17"/>
  <c r="V569" i="17"/>
  <c r="V570" i="17"/>
  <c r="V571" i="17"/>
  <c r="V572" i="17"/>
  <c r="V573" i="17"/>
  <c r="V574" i="17"/>
  <c r="V575" i="17"/>
  <c r="V576" i="17"/>
  <c r="V577" i="17"/>
  <c r="V578" i="17"/>
  <c r="V579" i="17"/>
  <c r="V580" i="17"/>
  <c r="V581" i="17"/>
  <c r="V582" i="17"/>
  <c r="V583" i="17"/>
  <c r="V584" i="17"/>
  <c r="W567" i="17"/>
  <c r="W568" i="17"/>
  <c r="W569" i="17"/>
  <c r="W570" i="17"/>
  <c r="W571" i="17"/>
  <c r="W572" i="17"/>
  <c r="W573" i="17"/>
  <c r="W574" i="17"/>
  <c r="W575" i="17"/>
  <c r="W576" i="17"/>
  <c r="W577" i="17"/>
  <c r="W578" i="17"/>
  <c r="W579" i="17"/>
  <c r="W580" i="17"/>
  <c r="W581" i="17"/>
  <c r="W582" i="17"/>
  <c r="W583" i="17"/>
  <c r="W584" i="17"/>
  <c r="H548" i="17"/>
  <c r="H549" i="17"/>
  <c r="H550" i="17"/>
  <c r="H551" i="17"/>
  <c r="H552" i="17"/>
  <c r="H553" i="17"/>
  <c r="H554" i="17"/>
  <c r="H555" i="17"/>
  <c r="H556" i="17"/>
  <c r="H557" i="17"/>
  <c r="H558" i="17"/>
  <c r="H559" i="17"/>
  <c r="H560" i="17"/>
  <c r="H563" i="17"/>
  <c r="H564" i="17"/>
  <c r="H565" i="17"/>
  <c r="I548" i="17"/>
  <c r="I549" i="17"/>
  <c r="I550" i="17"/>
  <c r="I551" i="17"/>
  <c r="I552" i="17"/>
  <c r="I553" i="17"/>
  <c r="I554" i="17"/>
  <c r="I555" i="17"/>
  <c r="I556" i="17"/>
  <c r="I557" i="17"/>
  <c r="I558" i="17"/>
  <c r="I559" i="17"/>
  <c r="I560" i="17"/>
  <c r="I563" i="17"/>
  <c r="I564" i="17"/>
  <c r="I565" i="17"/>
  <c r="J548" i="17"/>
  <c r="J549" i="17"/>
  <c r="J550" i="17"/>
  <c r="J551" i="17"/>
  <c r="J552" i="17"/>
  <c r="J553" i="17"/>
  <c r="J554" i="17"/>
  <c r="J555" i="17"/>
  <c r="J556" i="17"/>
  <c r="J557" i="17"/>
  <c r="J558" i="17"/>
  <c r="J559" i="17"/>
  <c r="J560" i="17"/>
  <c r="J563" i="17"/>
  <c r="J564" i="17"/>
  <c r="J565" i="17"/>
  <c r="K548" i="17"/>
  <c r="K549" i="17"/>
  <c r="K550" i="17"/>
  <c r="K551" i="17"/>
  <c r="K552" i="17"/>
  <c r="K553" i="17"/>
  <c r="K554" i="17"/>
  <c r="K555" i="17"/>
  <c r="K556" i="17"/>
  <c r="K557" i="17"/>
  <c r="K558" i="17"/>
  <c r="K559" i="17"/>
  <c r="K560" i="17"/>
  <c r="K563" i="17"/>
  <c r="K564" i="17"/>
  <c r="K565" i="17"/>
  <c r="N548" i="17"/>
  <c r="N549" i="17"/>
  <c r="N550" i="17"/>
  <c r="N551" i="17"/>
  <c r="N552" i="17"/>
  <c r="N553" i="17"/>
  <c r="N554" i="17"/>
  <c r="N555" i="17"/>
  <c r="N556" i="17"/>
  <c r="N557" i="17"/>
  <c r="N558" i="17"/>
  <c r="N559" i="17"/>
  <c r="N560" i="17"/>
  <c r="N563" i="17"/>
  <c r="N564" i="17"/>
  <c r="N565" i="17"/>
  <c r="O548" i="17"/>
  <c r="O549" i="17"/>
  <c r="O550" i="17"/>
  <c r="O551" i="17"/>
  <c r="O552" i="17"/>
  <c r="O553" i="17"/>
  <c r="O554" i="17"/>
  <c r="O555" i="17"/>
  <c r="O556" i="17"/>
  <c r="O557" i="17"/>
  <c r="O558" i="17"/>
  <c r="O559" i="17"/>
  <c r="O560" i="17"/>
  <c r="O563" i="17"/>
  <c r="O564" i="17"/>
  <c r="O565" i="17"/>
  <c r="Q548" i="17"/>
  <c r="Q549" i="17"/>
  <c r="Q550" i="17"/>
  <c r="Q551" i="17"/>
  <c r="Q552" i="17"/>
  <c r="Q553" i="17"/>
  <c r="Q554" i="17"/>
  <c r="Q555" i="17"/>
  <c r="Q556" i="17"/>
  <c r="Q557" i="17"/>
  <c r="Q558" i="17"/>
  <c r="Q559" i="17"/>
  <c r="Q560" i="17"/>
  <c r="Q563" i="17"/>
  <c r="Q564" i="17"/>
  <c r="Q565" i="17"/>
  <c r="S548" i="17"/>
  <c r="S549" i="17"/>
  <c r="S550" i="17"/>
  <c r="S551" i="17"/>
  <c r="S552" i="17"/>
  <c r="S553" i="17"/>
  <c r="S554" i="17"/>
  <c r="S555" i="17"/>
  <c r="S556" i="17"/>
  <c r="S557" i="17"/>
  <c r="S558" i="17"/>
  <c r="S559" i="17"/>
  <c r="S560" i="17"/>
  <c r="S563" i="17"/>
  <c r="S564" i="17"/>
  <c r="S565" i="17"/>
  <c r="T548" i="17"/>
  <c r="T549" i="17"/>
  <c r="T550" i="17"/>
  <c r="T551" i="17"/>
  <c r="T552" i="17"/>
  <c r="T553" i="17"/>
  <c r="T554" i="17"/>
  <c r="T555" i="17"/>
  <c r="T556" i="17"/>
  <c r="T557" i="17"/>
  <c r="T558" i="17"/>
  <c r="T559" i="17"/>
  <c r="T560" i="17"/>
  <c r="T563" i="17"/>
  <c r="T564" i="17"/>
  <c r="T565" i="17"/>
  <c r="U548" i="17"/>
  <c r="U549" i="17"/>
  <c r="U550" i="17"/>
  <c r="U551" i="17"/>
  <c r="U552" i="17"/>
  <c r="U553" i="17"/>
  <c r="U554" i="17"/>
  <c r="U555" i="17"/>
  <c r="U556" i="17"/>
  <c r="U557" i="17"/>
  <c r="U558" i="17"/>
  <c r="U559" i="17"/>
  <c r="U560" i="17"/>
  <c r="U563" i="17"/>
  <c r="U564" i="17"/>
  <c r="U565" i="17"/>
  <c r="V548" i="17"/>
  <c r="V549" i="17"/>
  <c r="V550" i="17"/>
  <c r="V551" i="17"/>
  <c r="V552" i="17"/>
  <c r="V553" i="17"/>
  <c r="V554" i="17"/>
  <c r="V555" i="17"/>
  <c r="V556" i="17"/>
  <c r="V557" i="17"/>
  <c r="V558" i="17"/>
  <c r="V559" i="17"/>
  <c r="V560" i="17"/>
  <c r="V563" i="17"/>
  <c r="V564" i="17"/>
  <c r="V565" i="17"/>
  <c r="W548" i="17"/>
  <c r="W549" i="17"/>
  <c r="W550" i="17"/>
  <c r="W551" i="17"/>
  <c r="W552" i="17"/>
  <c r="W553" i="17"/>
  <c r="W554" i="17"/>
  <c r="W555" i="17"/>
  <c r="W556" i="17"/>
  <c r="W557" i="17"/>
  <c r="W558" i="17"/>
  <c r="W559" i="17"/>
  <c r="W560" i="17"/>
  <c r="W563" i="17"/>
  <c r="W564" i="17"/>
  <c r="W565" i="17"/>
  <c r="H535" i="17"/>
  <c r="H536" i="17"/>
  <c r="H537" i="17"/>
  <c r="H538" i="17"/>
  <c r="H539" i="17"/>
  <c r="H540" i="17"/>
  <c r="H541" i="17"/>
  <c r="H542" i="17"/>
  <c r="H543" i="17"/>
  <c r="H544" i="17"/>
  <c r="H545" i="17"/>
  <c r="H546" i="17"/>
  <c r="I535" i="17"/>
  <c r="I536" i="17"/>
  <c r="I537" i="17"/>
  <c r="I538" i="17"/>
  <c r="I539" i="17"/>
  <c r="I540" i="17"/>
  <c r="I541" i="17"/>
  <c r="I542" i="17"/>
  <c r="I543" i="17"/>
  <c r="I544" i="17"/>
  <c r="I545" i="17"/>
  <c r="I546" i="17"/>
  <c r="J535" i="17"/>
  <c r="J536" i="17"/>
  <c r="J537" i="17"/>
  <c r="J538" i="17"/>
  <c r="J539" i="17"/>
  <c r="J540" i="17"/>
  <c r="J541" i="17"/>
  <c r="J542" i="17"/>
  <c r="J543" i="17"/>
  <c r="J544" i="17"/>
  <c r="J545" i="17"/>
  <c r="J546" i="17"/>
  <c r="K535" i="17"/>
  <c r="K536" i="17"/>
  <c r="K537" i="17"/>
  <c r="K538" i="17"/>
  <c r="K539" i="17"/>
  <c r="K540" i="17"/>
  <c r="K541" i="17"/>
  <c r="K542" i="17"/>
  <c r="K543" i="17"/>
  <c r="K544" i="17"/>
  <c r="K545" i="17"/>
  <c r="K546" i="17"/>
  <c r="N535" i="17"/>
  <c r="N536" i="17"/>
  <c r="N537" i="17"/>
  <c r="N538" i="17"/>
  <c r="N539" i="17"/>
  <c r="N540" i="17"/>
  <c r="N541" i="17"/>
  <c r="N542" i="17"/>
  <c r="N543" i="17"/>
  <c r="N544" i="17"/>
  <c r="N545" i="17"/>
  <c r="N546" i="17"/>
  <c r="O535" i="17"/>
  <c r="O536" i="17"/>
  <c r="O537" i="17"/>
  <c r="O538" i="17"/>
  <c r="O539" i="17"/>
  <c r="O540" i="17"/>
  <c r="O541" i="17"/>
  <c r="O542" i="17"/>
  <c r="O543" i="17"/>
  <c r="O544" i="17"/>
  <c r="O545" i="17"/>
  <c r="O546" i="17"/>
  <c r="Q535" i="17"/>
  <c r="Q536" i="17"/>
  <c r="Q537" i="17"/>
  <c r="Q538" i="17"/>
  <c r="Q539" i="17"/>
  <c r="Q540" i="17"/>
  <c r="Q541" i="17"/>
  <c r="Q542" i="17"/>
  <c r="Q543" i="17"/>
  <c r="Q544" i="17"/>
  <c r="Q545" i="17"/>
  <c r="Q546" i="17"/>
  <c r="S535" i="17"/>
  <c r="S536" i="17"/>
  <c r="S537" i="17"/>
  <c r="S538" i="17"/>
  <c r="S539" i="17"/>
  <c r="S540" i="17"/>
  <c r="S541" i="17"/>
  <c r="S542" i="17"/>
  <c r="S543" i="17"/>
  <c r="S544" i="17"/>
  <c r="S545" i="17"/>
  <c r="S546" i="17"/>
  <c r="T535" i="17"/>
  <c r="T536" i="17"/>
  <c r="T537" i="17"/>
  <c r="T538" i="17"/>
  <c r="T539" i="17"/>
  <c r="T540" i="17"/>
  <c r="T541" i="17"/>
  <c r="T542" i="17"/>
  <c r="T543" i="17"/>
  <c r="T544" i="17"/>
  <c r="T545" i="17"/>
  <c r="T546" i="17"/>
  <c r="U535" i="17"/>
  <c r="U536" i="17"/>
  <c r="U537" i="17"/>
  <c r="U538" i="17"/>
  <c r="U539" i="17"/>
  <c r="U540" i="17"/>
  <c r="U541" i="17"/>
  <c r="U542" i="17"/>
  <c r="U543" i="17"/>
  <c r="U544" i="17"/>
  <c r="U545" i="17"/>
  <c r="U546" i="17"/>
  <c r="V535" i="17"/>
  <c r="V536" i="17"/>
  <c r="V537" i="17"/>
  <c r="V538" i="17"/>
  <c r="V539" i="17"/>
  <c r="V540" i="17"/>
  <c r="V541" i="17"/>
  <c r="V542" i="17"/>
  <c r="V543" i="17"/>
  <c r="V544" i="17"/>
  <c r="V545" i="17"/>
  <c r="V546" i="17"/>
  <c r="W535" i="17"/>
  <c r="W536" i="17"/>
  <c r="W537" i="17"/>
  <c r="W538" i="17"/>
  <c r="W539" i="17"/>
  <c r="W540" i="17"/>
  <c r="W541" i="17"/>
  <c r="W542" i="17"/>
  <c r="W543" i="17"/>
  <c r="W544" i="17"/>
  <c r="W545" i="17"/>
  <c r="W546" i="17"/>
  <c r="H512" i="17"/>
  <c r="H513" i="17"/>
  <c r="H514" i="17"/>
  <c r="H515" i="17"/>
  <c r="H516" i="17"/>
  <c r="H517" i="17"/>
  <c r="H518" i="17"/>
  <c r="H519" i="17"/>
  <c r="H531" i="17"/>
  <c r="H532" i="17"/>
  <c r="H533" i="17"/>
  <c r="I512" i="17"/>
  <c r="I513" i="17"/>
  <c r="I514" i="17"/>
  <c r="I515" i="17"/>
  <c r="I516" i="17"/>
  <c r="I517" i="17"/>
  <c r="I518" i="17"/>
  <c r="I519" i="17"/>
  <c r="I531" i="17"/>
  <c r="I532" i="17"/>
  <c r="I533" i="17"/>
  <c r="J512" i="17"/>
  <c r="J513" i="17"/>
  <c r="J514" i="17"/>
  <c r="J515" i="17"/>
  <c r="J516" i="17"/>
  <c r="J517" i="17"/>
  <c r="J518" i="17"/>
  <c r="J519" i="17"/>
  <c r="J531" i="17"/>
  <c r="J532" i="17"/>
  <c r="J533" i="17"/>
  <c r="K512" i="17"/>
  <c r="K513" i="17"/>
  <c r="K514" i="17"/>
  <c r="K515" i="17"/>
  <c r="K516" i="17"/>
  <c r="K517" i="17"/>
  <c r="K518" i="17"/>
  <c r="K519" i="17"/>
  <c r="K531" i="17"/>
  <c r="K532" i="17"/>
  <c r="K533" i="17"/>
  <c r="N512" i="17"/>
  <c r="N513" i="17"/>
  <c r="N514" i="17"/>
  <c r="N515" i="17"/>
  <c r="N516" i="17"/>
  <c r="N517" i="17"/>
  <c r="N518" i="17"/>
  <c r="N519" i="17"/>
  <c r="N531" i="17"/>
  <c r="N532" i="17"/>
  <c r="N533" i="17"/>
  <c r="O512" i="17"/>
  <c r="O513" i="17"/>
  <c r="O514" i="17"/>
  <c r="O515" i="17"/>
  <c r="O516" i="17"/>
  <c r="O517" i="17"/>
  <c r="O518" i="17"/>
  <c r="O519" i="17"/>
  <c r="O531" i="17"/>
  <c r="O532" i="17"/>
  <c r="O533" i="17"/>
  <c r="Q512" i="17"/>
  <c r="Q513" i="17"/>
  <c r="Q514" i="17"/>
  <c r="Q515" i="17"/>
  <c r="Q516" i="17"/>
  <c r="Q517" i="17"/>
  <c r="Q518" i="17"/>
  <c r="Q519" i="17"/>
  <c r="Q531" i="17"/>
  <c r="Q532" i="17"/>
  <c r="Q533" i="17"/>
  <c r="S512" i="17"/>
  <c r="S513" i="17"/>
  <c r="S514" i="17"/>
  <c r="S515" i="17"/>
  <c r="S516" i="17"/>
  <c r="S517" i="17"/>
  <c r="S518" i="17"/>
  <c r="S519" i="17"/>
  <c r="S531" i="17"/>
  <c r="S532" i="17"/>
  <c r="S533" i="17"/>
  <c r="T512" i="17"/>
  <c r="T513" i="17"/>
  <c r="T514" i="17"/>
  <c r="T515" i="17"/>
  <c r="T516" i="17"/>
  <c r="T517" i="17"/>
  <c r="T518" i="17"/>
  <c r="T519" i="17"/>
  <c r="T531" i="17"/>
  <c r="T532" i="17"/>
  <c r="T533" i="17"/>
  <c r="U512" i="17"/>
  <c r="U513" i="17"/>
  <c r="U514" i="17"/>
  <c r="U515" i="17"/>
  <c r="U516" i="17"/>
  <c r="U517" i="17"/>
  <c r="U518" i="17"/>
  <c r="U519" i="17"/>
  <c r="U531" i="17"/>
  <c r="U532" i="17"/>
  <c r="U533" i="17"/>
  <c r="V512" i="17"/>
  <c r="V513" i="17"/>
  <c r="V514" i="17"/>
  <c r="V515" i="17"/>
  <c r="V516" i="17"/>
  <c r="V517" i="17"/>
  <c r="V518" i="17"/>
  <c r="V519" i="17"/>
  <c r="V531" i="17"/>
  <c r="V532" i="17"/>
  <c r="V533" i="17"/>
  <c r="W512" i="17"/>
  <c r="W513" i="17"/>
  <c r="W514" i="17"/>
  <c r="W515" i="17"/>
  <c r="W516" i="17"/>
  <c r="W517" i="17"/>
  <c r="W518" i="17"/>
  <c r="W519" i="17"/>
  <c r="W531" i="17"/>
  <c r="W532" i="17"/>
  <c r="W533" i="17"/>
  <c r="H498" i="17"/>
  <c r="H499" i="17"/>
  <c r="H502" i="17"/>
  <c r="H503" i="17"/>
  <c r="H504" i="17"/>
  <c r="H505" i="17"/>
  <c r="H506" i="17"/>
  <c r="H507" i="17"/>
  <c r="H508" i="17"/>
  <c r="H509" i="17"/>
  <c r="H510" i="17"/>
  <c r="H511" i="17"/>
  <c r="I498" i="17"/>
  <c r="I499" i="17"/>
  <c r="I502" i="17"/>
  <c r="I503" i="17"/>
  <c r="I504" i="17"/>
  <c r="I505" i="17"/>
  <c r="I506" i="17"/>
  <c r="I507" i="17"/>
  <c r="I508" i="17"/>
  <c r="I509" i="17"/>
  <c r="I510" i="17"/>
  <c r="I511" i="17"/>
  <c r="J498" i="17"/>
  <c r="J499" i="17"/>
  <c r="J502" i="17"/>
  <c r="J503" i="17"/>
  <c r="J504" i="17"/>
  <c r="J505" i="17"/>
  <c r="J506" i="17"/>
  <c r="J507" i="17"/>
  <c r="J508" i="17"/>
  <c r="J509" i="17"/>
  <c r="J510" i="17"/>
  <c r="J511" i="17"/>
  <c r="K498" i="17"/>
  <c r="K499" i="17"/>
  <c r="K502" i="17"/>
  <c r="K503" i="17"/>
  <c r="K504" i="17"/>
  <c r="K505" i="17"/>
  <c r="K506" i="17"/>
  <c r="K507" i="17"/>
  <c r="K508" i="17"/>
  <c r="K509" i="17"/>
  <c r="K510" i="17"/>
  <c r="K511" i="17"/>
  <c r="N498" i="17"/>
  <c r="N499" i="17"/>
  <c r="N502" i="17"/>
  <c r="N503" i="17"/>
  <c r="N504" i="17"/>
  <c r="N505" i="17"/>
  <c r="N506" i="17"/>
  <c r="N507" i="17"/>
  <c r="N508" i="17"/>
  <c r="N509" i="17"/>
  <c r="N510" i="17"/>
  <c r="N511" i="17"/>
  <c r="O498" i="17"/>
  <c r="O499" i="17"/>
  <c r="O502" i="17"/>
  <c r="O503" i="17"/>
  <c r="O504" i="17"/>
  <c r="O505" i="17"/>
  <c r="O506" i="17"/>
  <c r="O507" i="17"/>
  <c r="O508" i="17"/>
  <c r="O509" i="17"/>
  <c r="O510" i="17"/>
  <c r="O511" i="17"/>
  <c r="Q498" i="17"/>
  <c r="Q499" i="17"/>
  <c r="Q502" i="17"/>
  <c r="Q503" i="17"/>
  <c r="Q504" i="17"/>
  <c r="Q505" i="17"/>
  <c r="Q506" i="17"/>
  <c r="Q507" i="17"/>
  <c r="Q508" i="17"/>
  <c r="Q509" i="17"/>
  <c r="Q510" i="17"/>
  <c r="Q511" i="17"/>
  <c r="S498" i="17"/>
  <c r="S499" i="17"/>
  <c r="S502" i="17"/>
  <c r="S503" i="17"/>
  <c r="S504" i="17"/>
  <c r="S505" i="17"/>
  <c r="S506" i="17"/>
  <c r="S507" i="17"/>
  <c r="S508" i="17"/>
  <c r="S509" i="17"/>
  <c r="S510" i="17"/>
  <c r="S511" i="17"/>
  <c r="T498" i="17"/>
  <c r="T499" i="17"/>
  <c r="T502" i="17"/>
  <c r="T503" i="17"/>
  <c r="T504" i="17"/>
  <c r="T505" i="17"/>
  <c r="T506" i="17"/>
  <c r="T507" i="17"/>
  <c r="T508" i="17"/>
  <c r="T509" i="17"/>
  <c r="T510" i="17"/>
  <c r="T511" i="17"/>
  <c r="U498" i="17"/>
  <c r="U499" i="17"/>
  <c r="U502" i="17"/>
  <c r="U503" i="17"/>
  <c r="U504" i="17"/>
  <c r="U505" i="17"/>
  <c r="U506" i="17"/>
  <c r="U507" i="17"/>
  <c r="U508" i="17"/>
  <c r="U509" i="17"/>
  <c r="U510" i="17"/>
  <c r="U511" i="17"/>
  <c r="V498" i="17"/>
  <c r="V499" i="17"/>
  <c r="V502" i="17"/>
  <c r="V503" i="17"/>
  <c r="V504" i="17"/>
  <c r="V505" i="17"/>
  <c r="V506" i="17"/>
  <c r="V507" i="17"/>
  <c r="V508" i="17"/>
  <c r="V509" i="17"/>
  <c r="V510" i="17"/>
  <c r="V511" i="17"/>
  <c r="W498" i="17"/>
  <c r="W499" i="17"/>
  <c r="W502" i="17"/>
  <c r="W503" i="17"/>
  <c r="W504" i="17"/>
  <c r="W505" i="17"/>
  <c r="W506" i="17"/>
  <c r="W507" i="17"/>
  <c r="W508" i="17"/>
  <c r="W509" i="17"/>
  <c r="W510" i="17"/>
  <c r="W511" i="17"/>
  <c r="H490" i="17"/>
  <c r="H491" i="17"/>
  <c r="H492" i="17"/>
  <c r="H493" i="17"/>
  <c r="H494" i="17"/>
  <c r="H495" i="17"/>
  <c r="H496" i="17"/>
  <c r="I490" i="17"/>
  <c r="I491" i="17"/>
  <c r="I492" i="17"/>
  <c r="I493" i="17"/>
  <c r="I494" i="17"/>
  <c r="I495" i="17"/>
  <c r="I496" i="17"/>
  <c r="J490" i="17"/>
  <c r="J491" i="17"/>
  <c r="J492" i="17"/>
  <c r="J493" i="17"/>
  <c r="J494" i="17"/>
  <c r="J495" i="17"/>
  <c r="J496" i="17"/>
  <c r="K490" i="17"/>
  <c r="K491" i="17"/>
  <c r="K492" i="17"/>
  <c r="K493" i="17"/>
  <c r="K494" i="17"/>
  <c r="K495" i="17"/>
  <c r="K496" i="17"/>
  <c r="N490" i="17"/>
  <c r="N491" i="17"/>
  <c r="N492" i="17"/>
  <c r="N493" i="17"/>
  <c r="N494" i="17"/>
  <c r="N495" i="17"/>
  <c r="N496" i="17"/>
  <c r="O490" i="17"/>
  <c r="O491" i="17"/>
  <c r="O492" i="17"/>
  <c r="O493" i="17"/>
  <c r="O494" i="17"/>
  <c r="O495" i="17"/>
  <c r="O496" i="17"/>
  <c r="Q490" i="17"/>
  <c r="Q491" i="17"/>
  <c r="Q492" i="17"/>
  <c r="Q493" i="17"/>
  <c r="Q494" i="17"/>
  <c r="Q495" i="17"/>
  <c r="Q496" i="17"/>
  <c r="S490" i="17"/>
  <c r="S491" i="17"/>
  <c r="S492" i="17"/>
  <c r="S493" i="17"/>
  <c r="S494" i="17"/>
  <c r="S495" i="17"/>
  <c r="S496" i="17"/>
  <c r="T490" i="17"/>
  <c r="T491" i="17"/>
  <c r="T492" i="17"/>
  <c r="T493" i="17"/>
  <c r="T494" i="17"/>
  <c r="T495" i="17"/>
  <c r="T496" i="17"/>
  <c r="U490" i="17"/>
  <c r="U491" i="17"/>
  <c r="U492" i="17"/>
  <c r="U493" i="17"/>
  <c r="U494" i="17"/>
  <c r="U495" i="17"/>
  <c r="U496" i="17"/>
  <c r="V490" i="17"/>
  <c r="V491" i="17"/>
  <c r="V492" i="17"/>
  <c r="V493" i="17"/>
  <c r="V494" i="17"/>
  <c r="V495" i="17"/>
  <c r="V496" i="17"/>
  <c r="W490" i="17"/>
  <c r="W491" i="17"/>
  <c r="W492" i="17"/>
  <c r="W493" i="17"/>
  <c r="W494" i="17"/>
  <c r="W495" i="17"/>
  <c r="W496" i="17"/>
  <c r="H476" i="17"/>
  <c r="H477" i="17"/>
  <c r="H478" i="17"/>
  <c r="H479" i="17"/>
  <c r="H480" i="17"/>
  <c r="H481" i="17"/>
  <c r="H482" i="17"/>
  <c r="H483" i="17"/>
  <c r="H484" i="17"/>
  <c r="H485" i="17"/>
  <c r="H486" i="17"/>
  <c r="H487" i="17"/>
  <c r="H488" i="17"/>
  <c r="I476" i="17"/>
  <c r="I477" i="17"/>
  <c r="I478" i="17"/>
  <c r="I479" i="17"/>
  <c r="I480" i="17"/>
  <c r="I481" i="17"/>
  <c r="I482" i="17"/>
  <c r="I483" i="17"/>
  <c r="I484" i="17"/>
  <c r="I485" i="17"/>
  <c r="I486" i="17"/>
  <c r="I487" i="17"/>
  <c r="I488" i="17"/>
  <c r="J476" i="17"/>
  <c r="J477" i="17"/>
  <c r="J478" i="17"/>
  <c r="J479" i="17"/>
  <c r="J480" i="17"/>
  <c r="J481" i="17"/>
  <c r="J482" i="17"/>
  <c r="J483" i="17"/>
  <c r="J484" i="17"/>
  <c r="J485" i="17"/>
  <c r="J486" i="17"/>
  <c r="J487" i="17"/>
  <c r="J488" i="17"/>
  <c r="K476" i="17"/>
  <c r="K477" i="17"/>
  <c r="K478" i="17"/>
  <c r="K479" i="17"/>
  <c r="K480" i="17"/>
  <c r="K481" i="17"/>
  <c r="K482" i="17"/>
  <c r="K483" i="17"/>
  <c r="K484" i="17"/>
  <c r="K485" i="17"/>
  <c r="K486" i="17"/>
  <c r="K487" i="17"/>
  <c r="K488" i="17"/>
  <c r="N476" i="17"/>
  <c r="N477" i="17"/>
  <c r="N478" i="17"/>
  <c r="N479" i="17"/>
  <c r="N480" i="17"/>
  <c r="N481" i="17"/>
  <c r="N482" i="17"/>
  <c r="N483" i="17"/>
  <c r="N484" i="17"/>
  <c r="N485" i="17"/>
  <c r="N486" i="17"/>
  <c r="N487" i="17"/>
  <c r="N488" i="17"/>
  <c r="O476" i="17"/>
  <c r="O477" i="17"/>
  <c r="O478" i="17"/>
  <c r="O479" i="17"/>
  <c r="O480" i="17"/>
  <c r="O481" i="17"/>
  <c r="O482" i="17"/>
  <c r="O483" i="17"/>
  <c r="O484" i="17"/>
  <c r="O485" i="17"/>
  <c r="O486" i="17"/>
  <c r="O487" i="17"/>
  <c r="O488" i="17"/>
  <c r="Q476" i="17"/>
  <c r="Q477" i="17"/>
  <c r="Q478" i="17"/>
  <c r="Q479" i="17"/>
  <c r="Q480" i="17"/>
  <c r="Q481" i="17"/>
  <c r="Q482" i="17"/>
  <c r="Q483" i="17"/>
  <c r="Q484" i="17"/>
  <c r="Q485" i="17"/>
  <c r="Q486" i="17"/>
  <c r="Q487" i="17"/>
  <c r="Q488" i="17"/>
  <c r="S476" i="17"/>
  <c r="S477" i="17"/>
  <c r="S478" i="17"/>
  <c r="S479" i="17"/>
  <c r="S480" i="17"/>
  <c r="S481" i="17"/>
  <c r="S482" i="17"/>
  <c r="S483" i="17"/>
  <c r="S484" i="17"/>
  <c r="S485" i="17"/>
  <c r="S486" i="17"/>
  <c r="S487" i="17"/>
  <c r="S488" i="17"/>
  <c r="T476" i="17"/>
  <c r="T477" i="17"/>
  <c r="T478" i="17"/>
  <c r="T479" i="17"/>
  <c r="T480" i="17"/>
  <c r="T481" i="17"/>
  <c r="T482" i="17"/>
  <c r="T483" i="17"/>
  <c r="T484" i="17"/>
  <c r="T485" i="17"/>
  <c r="T486" i="17"/>
  <c r="T487" i="17"/>
  <c r="T488" i="17"/>
  <c r="U476" i="17"/>
  <c r="U477" i="17"/>
  <c r="U478" i="17"/>
  <c r="U479" i="17"/>
  <c r="U480" i="17"/>
  <c r="U481" i="17"/>
  <c r="U482" i="17"/>
  <c r="U483" i="17"/>
  <c r="U484" i="17"/>
  <c r="U485" i="17"/>
  <c r="U486" i="17"/>
  <c r="U487" i="17"/>
  <c r="U488" i="17"/>
  <c r="V476" i="17"/>
  <c r="V477" i="17"/>
  <c r="V478" i="17"/>
  <c r="V479" i="17"/>
  <c r="V480" i="17"/>
  <c r="V481" i="17"/>
  <c r="V482" i="17"/>
  <c r="V483" i="17"/>
  <c r="V484" i="17"/>
  <c r="V485" i="17"/>
  <c r="V486" i="17"/>
  <c r="V487" i="17"/>
  <c r="V488" i="17"/>
  <c r="W476" i="17"/>
  <c r="W477" i="17"/>
  <c r="W478" i="17"/>
  <c r="W479" i="17"/>
  <c r="W480" i="17"/>
  <c r="W481" i="17"/>
  <c r="W482" i="17"/>
  <c r="W483" i="17"/>
  <c r="W484" i="17"/>
  <c r="W485" i="17"/>
  <c r="W486" i="17"/>
  <c r="W487" i="17"/>
  <c r="W488" i="17"/>
  <c r="H461" i="17"/>
  <c r="H462" i="17"/>
  <c r="H463" i="17"/>
  <c r="H464" i="17"/>
  <c r="H465" i="17"/>
  <c r="H466" i="17"/>
  <c r="H467" i="17"/>
  <c r="H468" i="17"/>
  <c r="H469" i="17"/>
  <c r="H470" i="17"/>
  <c r="H471" i="17"/>
  <c r="H472" i="17"/>
  <c r="H473" i="17"/>
  <c r="H474" i="17"/>
  <c r="I461" i="17"/>
  <c r="I462" i="17"/>
  <c r="I463" i="17"/>
  <c r="I464" i="17"/>
  <c r="I465" i="17"/>
  <c r="I466" i="17"/>
  <c r="I467" i="17"/>
  <c r="I468" i="17"/>
  <c r="I469" i="17"/>
  <c r="I470" i="17"/>
  <c r="I471" i="17"/>
  <c r="I472" i="17"/>
  <c r="I473" i="17"/>
  <c r="I474" i="17"/>
  <c r="J461" i="17"/>
  <c r="J462" i="17"/>
  <c r="J463" i="17"/>
  <c r="J464" i="17"/>
  <c r="J465" i="17"/>
  <c r="J466" i="17"/>
  <c r="J467" i="17"/>
  <c r="J468" i="17"/>
  <c r="J469" i="17"/>
  <c r="J470" i="17"/>
  <c r="J471" i="17"/>
  <c r="J472" i="17"/>
  <c r="J473" i="17"/>
  <c r="J474" i="17"/>
  <c r="K461" i="17"/>
  <c r="K462" i="17"/>
  <c r="K463" i="17"/>
  <c r="K464" i="17"/>
  <c r="K465" i="17"/>
  <c r="K466" i="17"/>
  <c r="K467" i="17"/>
  <c r="K468" i="17"/>
  <c r="K469" i="17"/>
  <c r="K470" i="17"/>
  <c r="K471" i="17"/>
  <c r="K472" i="17"/>
  <c r="K473" i="17"/>
  <c r="K474" i="17"/>
  <c r="N461" i="17"/>
  <c r="N462" i="17"/>
  <c r="N463" i="17"/>
  <c r="N464" i="17"/>
  <c r="N465" i="17"/>
  <c r="N466" i="17"/>
  <c r="N467" i="17"/>
  <c r="N468" i="17"/>
  <c r="N469" i="17"/>
  <c r="N470" i="17"/>
  <c r="N471" i="17"/>
  <c r="N472" i="17"/>
  <c r="N473" i="17"/>
  <c r="N474" i="17"/>
  <c r="O461" i="17"/>
  <c r="O462" i="17"/>
  <c r="O463" i="17"/>
  <c r="O464" i="17"/>
  <c r="O465" i="17"/>
  <c r="O466" i="17"/>
  <c r="O467" i="17"/>
  <c r="O468" i="17"/>
  <c r="O469" i="17"/>
  <c r="O470" i="17"/>
  <c r="O471" i="17"/>
  <c r="O472" i="17"/>
  <c r="O473" i="17"/>
  <c r="O474" i="17"/>
  <c r="Q461" i="17"/>
  <c r="Q462" i="17"/>
  <c r="Q463" i="17"/>
  <c r="Q464" i="17"/>
  <c r="Q465" i="17"/>
  <c r="Q466" i="17"/>
  <c r="Q467" i="17"/>
  <c r="Q468" i="17"/>
  <c r="Q469" i="17"/>
  <c r="Q470" i="17"/>
  <c r="Q471" i="17"/>
  <c r="Q472" i="17"/>
  <c r="Q473" i="17"/>
  <c r="Q474" i="17"/>
  <c r="S461" i="17"/>
  <c r="S462" i="17"/>
  <c r="S463" i="17"/>
  <c r="S464" i="17"/>
  <c r="S465" i="17"/>
  <c r="S466" i="17"/>
  <c r="S467" i="17"/>
  <c r="S468" i="17"/>
  <c r="S469" i="17"/>
  <c r="S470" i="17"/>
  <c r="S471" i="17"/>
  <c r="S472" i="17"/>
  <c r="S473" i="17"/>
  <c r="S474" i="17"/>
  <c r="T461" i="17"/>
  <c r="T462" i="17"/>
  <c r="T463" i="17"/>
  <c r="T464" i="17"/>
  <c r="T465" i="17"/>
  <c r="T466" i="17"/>
  <c r="T467" i="17"/>
  <c r="T468" i="17"/>
  <c r="T469" i="17"/>
  <c r="T470" i="17"/>
  <c r="T471" i="17"/>
  <c r="T472" i="17"/>
  <c r="T473" i="17"/>
  <c r="T474" i="17"/>
  <c r="U461" i="17"/>
  <c r="U462" i="17"/>
  <c r="U463" i="17"/>
  <c r="U464" i="17"/>
  <c r="U465" i="17"/>
  <c r="U466" i="17"/>
  <c r="U467" i="17"/>
  <c r="U468" i="17"/>
  <c r="U469" i="17"/>
  <c r="U470" i="17"/>
  <c r="U471" i="17"/>
  <c r="U472" i="17"/>
  <c r="U473" i="17"/>
  <c r="U474" i="17"/>
  <c r="V461" i="17"/>
  <c r="V462" i="17"/>
  <c r="V463" i="17"/>
  <c r="V464" i="17"/>
  <c r="V465" i="17"/>
  <c r="V466" i="17"/>
  <c r="V467" i="17"/>
  <c r="V468" i="17"/>
  <c r="V469" i="17"/>
  <c r="V470" i="17"/>
  <c r="V471" i="17"/>
  <c r="V472" i="17"/>
  <c r="V473" i="17"/>
  <c r="V474" i="17"/>
  <c r="W461" i="17"/>
  <c r="W462" i="17"/>
  <c r="W463" i="17"/>
  <c r="W464" i="17"/>
  <c r="W465" i="17"/>
  <c r="W466" i="17"/>
  <c r="W467" i="17"/>
  <c r="W468" i="17"/>
  <c r="W469" i="17"/>
  <c r="W470" i="17"/>
  <c r="W471" i="17"/>
  <c r="W472" i="17"/>
  <c r="W473" i="17"/>
  <c r="W474" i="17"/>
  <c r="H457" i="17"/>
  <c r="H458" i="17"/>
  <c r="H459" i="17"/>
  <c r="I457" i="17"/>
  <c r="I458" i="17"/>
  <c r="I459" i="17"/>
  <c r="J457" i="17"/>
  <c r="J458" i="17"/>
  <c r="J459" i="17"/>
  <c r="K457" i="17"/>
  <c r="K458" i="17"/>
  <c r="K459" i="17"/>
  <c r="N457" i="17"/>
  <c r="N458" i="17"/>
  <c r="N459" i="17"/>
  <c r="O457" i="17"/>
  <c r="O458" i="17"/>
  <c r="O459" i="17"/>
  <c r="Q457" i="17"/>
  <c r="Q458" i="17"/>
  <c r="Q459" i="17"/>
  <c r="S457" i="17"/>
  <c r="S458" i="17"/>
  <c r="S459" i="17"/>
  <c r="T457" i="17"/>
  <c r="T458" i="17"/>
  <c r="T459" i="17"/>
  <c r="U457" i="17"/>
  <c r="U458" i="17"/>
  <c r="U459" i="17"/>
  <c r="V457" i="17"/>
  <c r="V458" i="17"/>
  <c r="V459" i="17"/>
  <c r="W457" i="17"/>
  <c r="W458" i="17"/>
  <c r="W459" i="17"/>
  <c r="H456" i="17"/>
  <c r="I456" i="17"/>
  <c r="J456" i="17"/>
  <c r="K456" i="17"/>
  <c r="N456" i="17"/>
  <c r="O456" i="17"/>
  <c r="Q456" i="17"/>
  <c r="S456" i="17"/>
  <c r="T456" i="17"/>
  <c r="U456" i="17"/>
  <c r="V456" i="17"/>
  <c r="W456" i="17"/>
  <c r="H435" i="17"/>
  <c r="H436" i="17"/>
  <c r="H437" i="17"/>
  <c r="H438" i="17"/>
  <c r="H439" i="17"/>
  <c r="H440" i="17"/>
  <c r="H441" i="17"/>
  <c r="H442" i="17"/>
  <c r="H443" i="17"/>
  <c r="H444" i="17"/>
  <c r="H445" i="17"/>
  <c r="H446" i="17"/>
  <c r="H447" i="17"/>
  <c r="H448" i="17"/>
  <c r="H449" i="17"/>
  <c r="H450" i="17"/>
  <c r="H451" i="17"/>
  <c r="H452" i="17"/>
  <c r="H453" i="17"/>
  <c r="H454" i="17"/>
  <c r="H455" i="17"/>
  <c r="I435" i="17"/>
  <c r="I436" i="17"/>
  <c r="I437" i="17"/>
  <c r="I438" i="17"/>
  <c r="I439" i="17"/>
  <c r="I440" i="17"/>
  <c r="I441" i="17"/>
  <c r="I442" i="17"/>
  <c r="I443" i="17"/>
  <c r="I444" i="17"/>
  <c r="I445" i="17"/>
  <c r="I446" i="17"/>
  <c r="I447" i="17"/>
  <c r="I448" i="17"/>
  <c r="I449" i="17"/>
  <c r="I450" i="17"/>
  <c r="I451" i="17"/>
  <c r="I452" i="17"/>
  <c r="I453" i="17"/>
  <c r="I454" i="17"/>
  <c r="I455" i="17"/>
  <c r="J435" i="17"/>
  <c r="J436" i="17"/>
  <c r="J437" i="17"/>
  <c r="J438" i="17"/>
  <c r="J439" i="17"/>
  <c r="J440" i="17"/>
  <c r="J441" i="17"/>
  <c r="J442" i="17"/>
  <c r="J443" i="17"/>
  <c r="J444" i="17"/>
  <c r="J445" i="17"/>
  <c r="J446" i="17"/>
  <c r="J447" i="17"/>
  <c r="J448" i="17"/>
  <c r="J449" i="17"/>
  <c r="J450" i="17"/>
  <c r="J451" i="17"/>
  <c r="J452" i="17"/>
  <c r="J453" i="17"/>
  <c r="J454" i="17"/>
  <c r="J455" i="17"/>
  <c r="K435" i="17"/>
  <c r="K436" i="17"/>
  <c r="K437" i="17"/>
  <c r="K438" i="17"/>
  <c r="K439" i="17"/>
  <c r="K440" i="17"/>
  <c r="K441" i="17"/>
  <c r="K442" i="17"/>
  <c r="K443" i="17"/>
  <c r="K444" i="17"/>
  <c r="K445" i="17"/>
  <c r="K446" i="17"/>
  <c r="K447" i="17"/>
  <c r="K448" i="17"/>
  <c r="K449" i="17"/>
  <c r="K450" i="17"/>
  <c r="K451" i="17"/>
  <c r="K452" i="17"/>
  <c r="K453" i="17"/>
  <c r="K454" i="17"/>
  <c r="K455" i="17"/>
  <c r="N435" i="17"/>
  <c r="N436" i="17"/>
  <c r="N437" i="17"/>
  <c r="N438" i="17"/>
  <c r="N439" i="17"/>
  <c r="N440" i="17"/>
  <c r="N441" i="17"/>
  <c r="N442" i="17"/>
  <c r="N443" i="17"/>
  <c r="N444" i="17"/>
  <c r="N445" i="17"/>
  <c r="N446" i="17"/>
  <c r="N447" i="17"/>
  <c r="N448" i="17"/>
  <c r="N449" i="17"/>
  <c r="N450" i="17"/>
  <c r="N451" i="17"/>
  <c r="N452" i="17"/>
  <c r="N453" i="17"/>
  <c r="N454" i="17"/>
  <c r="N455" i="17"/>
  <c r="O435" i="17"/>
  <c r="O436" i="17"/>
  <c r="O437" i="17"/>
  <c r="O438" i="17"/>
  <c r="O439" i="17"/>
  <c r="O440" i="17"/>
  <c r="O441" i="17"/>
  <c r="O442" i="17"/>
  <c r="O443" i="17"/>
  <c r="O444" i="17"/>
  <c r="O445" i="17"/>
  <c r="O446" i="17"/>
  <c r="O447" i="17"/>
  <c r="O448" i="17"/>
  <c r="O449" i="17"/>
  <c r="O450" i="17"/>
  <c r="O451" i="17"/>
  <c r="O452" i="17"/>
  <c r="O453" i="17"/>
  <c r="O454" i="17"/>
  <c r="O455" i="17"/>
  <c r="Q435" i="17"/>
  <c r="Q436" i="17"/>
  <c r="Q437" i="17"/>
  <c r="Q438" i="17"/>
  <c r="Q439" i="17"/>
  <c r="Q440" i="17"/>
  <c r="Q441" i="17"/>
  <c r="Q442" i="17"/>
  <c r="Q443" i="17"/>
  <c r="Q444" i="17"/>
  <c r="Q445" i="17"/>
  <c r="Q446" i="17"/>
  <c r="Q447" i="17"/>
  <c r="Q448" i="17"/>
  <c r="Q449" i="17"/>
  <c r="Q450" i="17"/>
  <c r="Q451" i="17"/>
  <c r="Q452" i="17"/>
  <c r="Q453" i="17"/>
  <c r="Q454" i="17"/>
  <c r="Q455" i="17"/>
  <c r="S435" i="17"/>
  <c r="S436" i="17"/>
  <c r="S437" i="17"/>
  <c r="S438" i="17"/>
  <c r="S439" i="17"/>
  <c r="S440" i="17"/>
  <c r="S441" i="17"/>
  <c r="S442" i="17"/>
  <c r="S443" i="17"/>
  <c r="S444" i="17"/>
  <c r="S445" i="17"/>
  <c r="S446" i="17"/>
  <c r="S447" i="17"/>
  <c r="S448" i="17"/>
  <c r="S449" i="17"/>
  <c r="S450" i="17"/>
  <c r="S451" i="17"/>
  <c r="S452" i="17"/>
  <c r="S453" i="17"/>
  <c r="S454" i="17"/>
  <c r="S455" i="17"/>
  <c r="T435" i="17"/>
  <c r="T436" i="17"/>
  <c r="T437" i="17"/>
  <c r="T438" i="17"/>
  <c r="T439" i="17"/>
  <c r="T440" i="17"/>
  <c r="T441" i="17"/>
  <c r="T442" i="17"/>
  <c r="T443" i="17"/>
  <c r="T444" i="17"/>
  <c r="T445" i="17"/>
  <c r="T446" i="17"/>
  <c r="T447" i="17"/>
  <c r="T448" i="17"/>
  <c r="T449" i="17"/>
  <c r="T450" i="17"/>
  <c r="T451" i="17"/>
  <c r="T452" i="17"/>
  <c r="T453" i="17"/>
  <c r="T454" i="17"/>
  <c r="T455" i="17"/>
  <c r="U435" i="17"/>
  <c r="U436" i="17"/>
  <c r="U437" i="17"/>
  <c r="U438" i="17"/>
  <c r="U439" i="17"/>
  <c r="U440" i="17"/>
  <c r="U441" i="17"/>
  <c r="U442" i="17"/>
  <c r="U443" i="17"/>
  <c r="U444" i="17"/>
  <c r="U445" i="17"/>
  <c r="U446" i="17"/>
  <c r="U447" i="17"/>
  <c r="U448" i="17"/>
  <c r="U449" i="17"/>
  <c r="U450" i="17"/>
  <c r="U451" i="17"/>
  <c r="U452" i="17"/>
  <c r="U453" i="17"/>
  <c r="U454" i="17"/>
  <c r="U455" i="17"/>
  <c r="V435" i="17"/>
  <c r="V436" i="17"/>
  <c r="V437" i="17"/>
  <c r="V438" i="17"/>
  <c r="V439" i="17"/>
  <c r="V440" i="17"/>
  <c r="V441" i="17"/>
  <c r="V442" i="17"/>
  <c r="V443" i="17"/>
  <c r="V444" i="17"/>
  <c r="V445" i="17"/>
  <c r="V446" i="17"/>
  <c r="V447" i="17"/>
  <c r="V448" i="17"/>
  <c r="V449" i="17"/>
  <c r="V450" i="17"/>
  <c r="V451" i="17"/>
  <c r="V452" i="17"/>
  <c r="V453" i="17"/>
  <c r="V454" i="17"/>
  <c r="V455" i="17"/>
  <c r="W435" i="17"/>
  <c r="W436" i="17"/>
  <c r="W437" i="17"/>
  <c r="W438" i="17"/>
  <c r="W439" i="17"/>
  <c r="W440" i="17"/>
  <c r="W441" i="17"/>
  <c r="W442" i="17"/>
  <c r="W443" i="17"/>
  <c r="W444" i="17"/>
  <c r="W445" i="17"/>
  <c r="W446" i="17"/>
  <c r="W447" i="17"/>
  <c r="W448" i="17"/>
  <c r="W449" i="17"/>
  <c r="W450" i="17"/>
  <c r="W451" i="17"/>
  <c r="W452" i="17"/>
  <c r="W453" i="17"/>
  <c r="W454" i="17"/>
  <c r="W455" i="17"/>
  <c r="H422" i="17"/>
  <c r="H423" i="17"/>
  <c r="H424" i="17"/>
  <c r="H425" i="17"/>
  <c r="H426" i="17"/>
  <c r="H427" i="17"/>
  <c r="H428" i="17"/>
  <c r="H429" i="17"/>
  <c r="H430" i="17"/>
  <c r="H431" i="17"/>
  <c r="H432" i="17"/>
  <c r="H433" i="17"/>
  <c r="I422" i="17"/>
  <c r="I423" i="17"/>
  <c r="I424" i="17"/>
  <c r="I425" i="17"/>
  <c r="I426" i="17"/>
  <c r="I427" i="17"/>
  <c r="I428" i="17"/>
  <c r="I429" i="17"/>
  <c r="I430" i="17"/>
  <c r="I431" i="17"/>
  <c r="I432" i="17"/>
  <c r="I433" i="17"/>
  <c r="J422" i="17"/>
  <c r="J423" i="17"/>
  <c r="J424" i="17"/>
  <c r="J425" i="17"/>
  <c r="J426" i="17"/>
  <c r="J427" i="17"/>
  <c r="J428" i="17"/>
  <c r="J429" i="17"/>
  <c r="J430" i="17"/>
  <c r="J431" i="17"/>
  <c r="J432" i="17"/>
  <c r="J433" i="17"/>
  <c r="K422" i="17"/>
  <c r="K423" i="17"/>
  <c r="K424" i="17"/>
  <c r="K425" i="17"/>
  <c r="K426" i="17"/>
  <c r="K427" i="17"/>
  <c r="K428" i="17"/>
  <c r="K429" i="17"/>
  <c r="K430" i="17"/>
  <c r="K431" i="17"/>
  <c r="K432" i="17"/>
  <c r="K433" i="17"/>
  <c r="N422" i="17"/>
  <c r="N423" i="17"/>
  <c r="N424" i="17"/>
  <c r="N425" i="17"/>
  <c r="N426" i="17"/>
  <c r="N427" i="17"/>
  <c r="N428" i="17"/>
  <c r="N429" i="17"/>
  <c r="N430" i="17"/>
  <c r="N431" i="17"/>
  <c r="N432" i="17"/>
  <c r="N433" i="17"/>
  <c r="O422" i="17"/>
  <c r="O423" i="17"/>
  <c r="O424" i="17"/>
  <c r="O425" i="17"/>
  <c r="O426" i="17"/>
  <c r="O427" i="17"/>
  <c r="O428" i="17"/>
  <c r="O429" i="17"/>
  <c r="O430" i="17"/>
  <c r="O431" i="17"/>
  <c r="O432" i="17"/>
  <c r="O433" i="17"/>
  <c r="Q422" i="17"/>
  <c r="Q423" i="17"/>
  <c r="Q424" i="17"/>
  <c r="Q425" i="17"/>
  <c r="Q426" i="17"/>
  <c r="Q427" i="17"/>
  <c r="Q428" i="17"/>
  <c r="Q429" i="17"/>
  <c r="Q430" i="17"/>
  <c r="Q431" i="17"/>
  <c r="Q432" i="17"/>
  <c r="Q433" i="17"/>
  <c r="S422" i="17"/>
  <c r="S423" i="17"/>
  <c r="S424" i="17"/>
  <c r="S425" i="17"/>
  <c r="S426" i="17"/>
  <c r="S427" i="17"/>
  <c r="S428" i="17"/>
  <c r="S429" i="17"/>
  <c r="S430" i="17"/>
  <c r="S431" i="17"/>
  <c r="S432" i="17"/>
  <c r="S433" i="17"/>
  <c r="T422" i="17"/>
  <c r="T423" i="17"/>
  <c r="T424" i="17"/>
  <c r="T425" i="17"/>
  <c r="T426" i="17"/>
  <c r="T427" i="17"/>
  <c r="T428" i="17"/>
  <c r="T429" i="17"/>
  <c r="T430" i="17"/>
  <c r="T431" i="17"/>
  <c r="T432" i="17"/>
  <c r="T433" i="17"/>
  <c r="U422" i="17"/>
  <c r="U423" i="17"/>
  <c r="U424" i="17"/>
  <c r="U425" i="17"/>
  <c r="U426" i="17"/>
  <c r="U427" i="17"/>
  <c r="U428" i="17"/>
  <c r="U429" i="17"/>
  <c r="U430" i="17"/>
  <c r="U431" i="17"/>
  <c r="U432" i="17"/>
  <c r="U433" i="17"/>
  <c r="V422" i="17"/>
  <c r="V423" i="17"/>
  <c r="V424" i="17"/>
  <c r="V425" i="17"/>
  <c r="V426" i="17"/>
  <c r="V427" i="17"/>
  <c r="V428" i="17"/>
  <c r="V429" i="17"/>
  <c r="V430" i="17"/>
  <c r="V431" i="17"/>
  <c r="V432" i="17"/>
  <c r="V433" i="17"/>
  <c r="W422" i="17"/>
  <c r="W423" i="17"/>
  <c r="W424" i="17"/>
  <c r="W425" i="17"/>
  <c r="W426" i="17"/>
  <c r="W427" i="17"/>
  <c r="W428" i="17"/>
  <c r="W429" i="17"/>
  <c r="W430" i="17"/>
  <c r="W431" i="17"/>
  <c r="W432" i="17"/>
  <c r="W433" i="17"/>
  <c r="H417" i="17"/>
  <c r="H418" i="17"/>
  <c r="H419" i="17"/>
  <c r="H420" i="17"/>
  <c r="I417" i="17"/>
  <c r="I418" i="17"/>
  <c r="I419" i="17"/>
  <c r="I420" i="17"/>
  <c r="J417" i="17"/>
  <c r="J418" i="17"/>
  <c r="J419" i="17"/>
  <c r="J420" i="17"/>
  <c r="K417" i="17"/>
  <c r="K418" i="17"/>
  <c r="K419" i="17"/>
  <c r="K420" i="17"/>
  <c r="N417" i="17"/>
  <c r="N418" i="17"/>
  <c r="N419" i="17"/>
  <c r="N420" i="17"/>
  <c r="O417" i="17"/>
  <c r="O418" i="17"/>
  <c r="O419" i="17"/>
  <c r="O420" i="17"/>
  <c r="Q417" i="17"/>
  <c r="Q418" i="17"/>
  <c r="Q419" i="17"/>
  <c r="Q420" i="17"/>
  <c r="S417" i="17"/>
  <c r="S418" i="17"/>
  <c r="S419" i="17"/>
  <c r="S420" i="17"/>
  <c r="T417" i="17"/>
  <c r="T418" i="17"/>
  <c r="T419" i="17"/>
  <c r="T420" i="17"/>
  <c r="U417" i="17"/>
  <c r="U418" i="17"/>
  <c r="U419" i="17"/>
  <c r="U420" i="17"/>
  <c r="V417" i="17"/>
  <c r="V418" i="17"/>
  <c r="V419" i="17"/>
  <c r="V420" i="17"/>
  <c r="W417" i="17"/>
  <c r="W418" i="17"/>
  <c r="W419" i="17"/>
  <c r="W420" i="17"/>
  <c r="H399" i="17"/>
  <c r="H400" i="17"/>
  <c r="H401" i="17"/>
  <c r="H402" i="17"/>
  <c r="H403" i="17"/>
  <c r="H404" i="17"/>
  <c r="H405" i="17"/>
  <c r="H406" i="17"/>
  <c r="H407" i="17"/>
  <c r="H408" i="17"/>
  <c r="H409" i="17"/>
  <c r="H410" i="17"/>
  <c r="H411" i="17"/>
  <c r="H412" i="17"/>
  <c r="H413" i="17"/>
  <c r="H414" i="17"/>
  <c r="H415" i="17"/>
  <c r="H416" i="17"/>
  <c r="I399" i="17"/>
  <c r="I400" i="17"/>
  <c r="I401" i="17"/>
  <c r="I402" i="17"/>
  <c r="I403" i="17"/>
  <c r="I404" i="17"/>
  <c r="I405" i="17"/>
  <c r="I406" i="17"/>
  <c r="I407" i="17"/>
  <c r="I408" i="17"/>
  <c r="I409" i="17"/>
  <c r="I410" i="17"/>
  <c r="I411" i="17"/>
  <c r="I412" i="17"/>
  <c r="I413" i="17"/>
  <c r="I414" i="17"/>
  <c r="I415" i="17"/>
  <c r="I416" i="17"/>
  <c r="J399" i="17"/>
  <c r="J400" i="17"/>
  <c r="J401" i="17"/>
  <c r="J402" i="17"/>
  <c r="J403" i="17"/>
  <c r="J404" i="17"/>
  <c r="J405" i="17"/>
  <c r="J406" i="17"/>
  <c r="J407" i="17"/>
  <c r="J408" i="17"/>
  <c r="J409" i="17"/>
  <c r="J410" i="17"/>
  <c r="J411" i="17"/>
  <c r="J412" i="17"/>
  <c r="J413" i="17"/>
  <c r="J414" i="17"/>
  <c r="J415" i="17"/>
  <c r="J416" i="17"/>
  <c r="K399" i="17"/>
  <c r="K400" i="17"/>
  <c r="K401" i="17"/>
  <c r="K402" i="17"/>
  <c r="K403" i="17"/>
  <c r="K404" i="17"/>
  <c r="K405" i="17"/>
  <c r="K406" i="17"/>
  <c r="K407" i="17"/>
  <c r="K408" i="17"/>
  <c r="K409" i="17"/>
  <c r="K410" i="17"/>
  <c r="K411" i="17"/>
  <c r="K412" i="17"/>
  <c r="K413" i="17"/>
  <c r="K414" i="17"/>
  <c r="K415" i="17"/>
  <c r="K416" i="17"/>
  <c r="N399" i="17"/>
  <c r="N400" i="17"/>
  <c r="N401" i="17"/>
  <c r="N402" i="17"/>
  <c r="N403" i="17"/>
  <c r="N404" i="17"/>
  <c r="N405" i="17"/>
  <c r="N406" i="17"/>
  <c r="N407" i="17"/>
  <c r="N408" i="17"/>
  <c r="N409" i="17"/>
  <c r="N410" i="17"/>
  <c r="N411" i="17"/>
  <c r="N412" i="17"/>
  <c r="N413" i="17"/>
  <c r="N414" i="17"/>
  <c r="N415" i="17"/>
  <c r="N416" i="17"/>
  <c r="O399" i="17"/>
  <c r="O400" i="17"/>
  <c r="O401" i="17"/>
  <c r="O402" i="17"/>
  <c r="O403" i="17"/>
  <c r="O404" i="17"/>
  <c r="O405" i="17"/>
  <c r="O406" i="17"/>
  <c r="O407" i="17"/>
  <c r="O408" i="17"/>
  <c r="O409" i="17"/>
  <c r="O410" i="17"/>
  <c r="O411" i="17"/>
  <c r="O412" i="17"/>
  <c r="O413" i="17"/>
  <c r="O414" i="17"/>
  <c r="O415" i="17"/>
  <c r="O416" i="17"/>
  <c r="Q399" i="17"/>
  <c r="Q400" i="17"/>
  <c r="Q401" i="17"/>
  <c r="Q402" i="17"/>
  <c r="Q403" i="17"/>
  <c r="Q404" i="17"/>
  <c r="Q405" i="17"/>
  <c r="Q406" i="17"/>
  <c r="Q407" i="17"/>
  <c r="Q408" i="17"/>
  <c r="Q409" i="17"/>
  <c r="Q410" i="17"/>
  <c r="Q411" i="17"/>
  <c r="Q412" i="17"/>
  <c r="Q413" i="17"/>
  <c r="Q414" i="17"/>
  <c r="Q415" i="17"/>
  <c r="Q416" i="17"/>
  <c r="S399" i="17"/>
  <c r="S400" i="17"/>
  <c r="S401" i="17"/>
  <c r="S402" i="17"/>
  <c r="S403" i="17"/>
  <c r="S404" i="17"/>
  <c r="S405" i="17"/>
  <c r="S406" i="17"/>
  <c r="S407" i="17"/>
  <c r="S408" i="17"/>
  <c r="S409" i="17"/>
  <c r="S410" i="17"/>
  <c r="S411" i="17"/>
  <c r="S412" i="17"/>
  <c r="S413" i="17"/>
  <c r="S414" i="17"/>
  <c r="S415" i="17"/>
  <c r="S416" i="17"/>
  <c r="T399" i="17"/>
  <c r="T400" i="17"/>
  <c r="T401" i="17"/>
  <c r="T402" i="17"/>
  <c r="T403" i="17"/>
  <c r="T404" i="17"/>
  <c r="T405" i="17"/>
  <c r="T406" i="17"/>
  <c r="T407" i="17"/>
  <c r="T408" i="17"/>
  <c r="T409" i="17"/>
  <c r="T410" i="17"/>
  <c r="T411" i="17"/>
  <c r="T412" i="17"/>
  <c r="T413" i="17"/>
  <c r="T414" i="17"/>
  <c r="T415" i="17"/>
  <c r="T416" i="17"/>
  <c r="U399" i="17"/>
  <c r="U400" i="17"/>
  <c r="U401" i="17"/>
  <c r="U402" i="17"/>
  <c r="U403" i="17"/>
  <c r="U404" i="17"/>
  <c r="U405" i="17"/>
  <c r="U406" i="17"/>
  <c r="U407" i="17"/>
  <c r="U408" i="17"/>
  <c r="U409" i="17"/>
  <c r="U410" i="17"/>
  <c r="U411" i="17"/>
  <c r="U412" i="17"/>
  <c r="U413" i="17"/>
  <c r="U414" i="17"/>
  <c r="U415" i="17"/>
  <c r="U416" i="17"/>
  <c r="V399" i="17"/>
  <c r="V400" i="17"/>
  <c r="V401" i="17"/>
  <c r="V402" i="17"/>
  <c r="V403" i="17"/>
  <c r="V404" i="17"/>
  <c r="V405" i="17"/>
  <c r="V406" i="17"/>
  <c r="V407" i="17"/>
  <c r="V408" i="17"/>
  <c r="V409" i="17"/>
  <c r="V410" i="17"/>
  <c r="V411" i="17"/>
  <c r="V412" i="17"/>
  <c r="V413" i="17"/>
  <c r="V414" i="17"/>
  <c r="V415" i="17"/>
  <c r="V416" i="17"/>
  <c r="W399" i="17"/>
  <c r="W400" i="17"/>
  <c r="W401" i="17"/>
  <c r="W402" i="17"/>
  <c r="W403" i="17"/>
  <c r="W404" i="17"/>
  <c r="W405" i="17"/>
  <c r="W406" i="17"/>
  <c r="W407" i="17"/>
  <c r="W408" i="17"/>
  <c r="W409" i="17"/>
  <c r="W410" i="17"/>
  <c r="W411" i="17"/>
  <c r="W412" i="17"/>
  <c r="W413" i="17"/>
  <c r="W414" i="17"/>
  <c r="W415" i="17"/>
  <c r="W416" i="17"/>
  <c r="H392" i="17"/>
  <c r="H393" i="17"/>
  <c r="H394" i="17"/>
  <c r="H395" i="17"/>
  <c r="H396" i="17"/>
  <c r="H397" i="17"/>
  <c r="I392" i="17"/>
  <c r="I393" i="17"/>
  <c r="I394" i="17"/>
  <c r="I395" i="17"/>
  <c r="I396" i="17"/>
  <c r="I397" i="17"/>
  <c r="J392" i="17"/>
  <c r="J393" i="17"/>
  <c r="J394" i="17"/>
  <c r="J395" i="17"/>
  <c r="J396" i="17"/>
  <c r="J397" i="17"/>
  <c r="K392" i="17"/>
  <c r="K393" i="17"/>
  <c r="K394" i="17"/>
  <c r="K395" i="17"/>
  <c r="K396" i="17"/>
  <c r="K397" i="17"/>
  <c r="N392" i="17"/>
  <c r="N393" i="17"/>
  <c r="N394" i="17"/>
  <c r="N395" i="17"/>
  <c r="N396" i="17"/>
  <c r="N397" i="17"/>
  <c r="O392" i="17"/>
  <c r="O393" i="17"/>
  <c r="O394" i="17"/>
  <c r="O395" i="17"/>
  <c r="O396" i="17"/>
  <c r="O397" i="17"/>
  <c r="Q392" i="17"/>
  <c r="Q393" i="17"/>
  <c r="Q394" i="17"/>
  <c r="Q395" i="17"/>
  <c r="Q396" i="17"/>
  <c r="Q397" i="17"/>
  <c r="S392" i="17"/>
  <c r="S393" i="17"/>
  <c r="S394" i="17"/>
  <c r="S395" i="17"/>
  <c r="S396" i="17"/>
  <c r="S397" i="17"/>
  <c r="T392" i="17"/>
  <c r="T393" i="17"/>
  <c r="T394" i="17"/>
  <c r="T395" i="17"/>
  <c r="T396" i="17"/>
  <c r="T397" i="17"/>
  <c r="U392" i="17"/>
  <c r="U393" i="17"/>
  <c r="U394" i="17"/>
  <c r="U395" i="17"/>
  <c r="U396" i="17"/>
  <c r="U397" i="17"/>
  <c r="V392" i="17"/>
  <c r="V393" i="17"/>
  <c r="V394" i="17"/>
  <c r="V395" i="17"/>
  <c r="V396" i="17"/>
  <c r="V397" i="17"/>
  <c r="W392" i="17"/>
  <c r="W393" i="17"/>
  <c r="W394" i="17"/>
  <c r="W395" i="17"/>
  <c r="W396" i="17"/>
  <c r="W397" i="17"/>
  <c r="H381" i="17"/>
  <c r="H382" i="17"/>
  <c r="H383" i="17"/>
  <c r="H384" i="17"/>
  <c r="H385" i="17"/>
  <c r="H386" i="17"/>
  <c r="H387" i="17"/>
  <c r="H388" i="17"/>
  <c r="H389" i="17"/>
  <c r="H390" i="17"/>
  <c r="H391" i="17"/>
  <c r="I381" i="17"/>
  <c r="I382" i="17"/>
  <c r="I383" i="17"/>
  <c r="I384" i="17"/>
  <c r="I385" i="17"/>
  <c r="I386" i="17"/>
  <c r="I387" i="17"/>
  <c r="I388" i="17"/>
  <c r="I389" i="17"/>
  <c r="I390" i="17"/>
  <c r="I391" i="17"/>
  <c r="J381" i="17"/>
  <c r="J382" i="17"/>
  <c r="J383" i="17"/>
  <c r="J384" i="17"/>
  <c r="J385" i="17"/>
  <c r="J386" i="17"/>
  <c r="J387" i="17"/>
  <c r="J388" i="17"/>
  <c r="J389" i="17"/>
  <c r="J390" i="17"/>
  <c r="J391" i="17"/>
  <c r="K381" i="17"/>
  <c r="K382" i="17"/>
  <c r="K383" i="17"/>
  <c r="K384" i="17"/>
  <c r="K385" i="17"/>
  <c r="K386" i="17"/>
  <c r="K387" i="17"/>
  <c r="K388" i="17"/>
  <c r="K389" i="17"/>
  <c r="K390" i="17"/>
  <c r="K391" i="17"/>
  <c r="N381" i="17"/>
  <c r="N382" i="17"/>
  <c r="N383" i="17"/>
  <c r="N384" i="17"/>
  <c r="N385" i="17"/>
  <c r="N386" i="17"/>
  <c r="N387" i="17"/>
  <c r="N388" i="17"/>
  <c r="N389" i="17"/>
  <c r="N390" i="17"/>
  <c r="N391" i="17"/>
  <c r="O381" i="17"/>
  <c r="O382" i="17"/>
  <c r="O383" i="17"/>
  <c r="O384" i="17"/>
  <c r="O385" i="17"/>
  <c r="O386" i="17"/>
  <c r="O387" i="17"/>
  <c r="O388" i="17"/>
  <c r="O389" i="17"/>
  <c r="O390" i="17"/>
  <c r="O391" i="17"/>
  <c r="Q381" i="17"/>
  <c r="Q382" i="17"/>
  <c r="Q383" i="17"/>
  <c r="Q384" i="17"/>
  <c r="Q385" i="17"/>
  <c r="Q386" i="17"/>
  <c r="Q387" i="17"/>
  <c r="Q388" i="17"/>
  <c r="Q389" i="17"/>
  <c r="Q390" i="17"/>
  <c r="Q391" i="17"/>
  <c r="S381" i="17"/>
  <c r="S382" i="17"/>
  <c r="S383" i="17"/>
  <c r="S384" i="17"/>
  <c r="S385" i="17"/>
  <c r="S386" i="17"/>
  <c r="S387" i="17"/>
  <c r="S388" i="17"/>
  <c r="S389" i="17"/>
  <c r="S390" i="17"/>
  <c r="S391" i="17"/>
  <c r="T381" i="17"/>
  <c r="T382" i="17"/>
  <c r="T383" i="17"/>
  <c r="T384" i="17"/>
  <c r="T385" i="17"/>
  <c r="T386" i="17"/>
  <c r="T387" i="17"/>
  <c r="T388" i="17"/>
  <c r="T389" i="17"/>
  <c r="T390" i="17"/>
  <c r="T391" i="17"/>
  <c r="U381" i="17"/>
  <c r="U382" i="17"/>
  <c r="U383" i="17"/>
  <c r="U384" i="17"/>
  <c r="U385" i="17"/>
  <c r="U386" i="17"/>
  <c r="U387" i="17"/>
  <c r="U388" i="17"/>
  <c r="U389" i="17"/>
  <c r="U390" i="17"/>
  <c r="U391" i="17"/>
  <c r="V381" i="17"/>
  <c r="V382" i="17"/>
  <c r="V383" i="17"/>
  <c r="V384" i="17"/>
  <c r="V385" i="17"/>
  <c r="V386" i="17"/>
  <c r="V387" i="17"/>
  <c r="V388" i="17"/>
  <c r="V389" i="17"/>
  <c r="V390" i="17"/>
  <c r="V391" i="17"/>
  <c r="W381" i="17"/>
  <c r="W382" i="17"/>
  <c r="W383" i="17"/>
  <c r="W384" i="17"/>
  <c r="W385" i="17"/>
  <c r="W386" i="17"/>
  <c r="W387" i="17"/>
  <c r="W388" i="17"/>
  <c r="W389" i="17"/>
  <c r="W390" i="17"/>
  <c r="W391" i="17"/>
  <c r="H372" i="17"/>
  <c r="H373" i="17"/>
  <c r="H374" i="17"/>
  <c r="H375" i="17"/>
  <c r="H376" i="17"/>
  <c r="H378" i="17"/>
  <c r="H379" i="17"/>
  <c r="I372" i="17"/>
  <c r="I373" i="17"/>
  <c r="I374" i="17"/>
  <c r="I375" i="17"/>
  <c r="I376" i="17"/>
  <c r="I378" i="17"/>
  <c r="I379" i="17"/>
  <c r="J372" i="17"/>
  <c r="J373" i="17"/>
  <c r="J374" i="17"/>
  <c r="J375" i="17"/>
  <c r="J376" i="17"/>
  <c r="J378" i="17"/>
  <c r="J379" i="17"/>
  <c r="K372" i="17"/>
  <c r="K373" i="17"/>
  <c r="K374" i="17"/>
  <c r="K375" i="17"/>
  <c r="K376" i="17"/>
  <c r="K378" i="17"/>
  <c r="K379" i="17"/>
  <c r="N372" i="17"/>
  <c r="N373" i="17"/>
  <c r="N374" i="17"/>
  <c r="N375" i="17"/>
  <c r="N376" i="17"/>
  <c r="N378" i="17"/>
  <c r="N379" i="17"/>
  <c r="O372" i="17"/>
  <c r="O373" i="17"/>
  <c r="O374" i="17"/>
  <c r="O375" i="17"/>
  <c r="O376" i="17"/>
  <c r="O378" i="17"/>
  <c r="O379" i="17"/>
  <c r="Q372" i="17"/>
  <c r="Q373" i="17"/>
  <c r="Q374" i="17"/>
  <c r="Q375" i="17"/>
  <c r="Q376" i="17"/>
  <c r="Q378" i="17"/>
  <c r="Q379" i="17"/>
  <c r="S372" i="17"/>
  <c r="S373" i="17"/>
  <c r="S374" i="17"/>
  <c r="S375" i="17"/>
  <c r="S376" i="17"/>
  <c r="S378" i="17"/>
  <c r="S379" i="17"/>
  <c r="T372" i="17"/>
  <c r="T373" i="17"/>
  <c r="T374" i="17"/>
  <c r="T375" i="17"/>
  <c r="T376" i="17"/>
  <c r="T378" i="17"/>
  <c r="T379" i="17"/>
  <c r="U372" i="17"/>
  <c r="U373" i="17"/>
  <c r="U374" i="17"/>
  <c r="U375" i="17"/>
  <c r="U376" i="17"/>
  <c r="U378" i="17"/>
  <c r="U379" i="17"/>
  <c r="V372" i="17"/>
  <c r="V373" i="17"/>
  <c r="V374" i="17"/>
  <c r="V375" i="17"/>
  <c r="V376" i="17"/>
  <c r="V378" i="17"/>
  <c r="V379" i="17"/>
  <c r="W372" i="17"/>
  <c r="W373" i="17"/>
  <c r="W374" i="17"/>
  <c r="W375" i="17"/>
  <c r="W376" i="17"/>
  <c r="W378" i="17"/>
  <c r="W379" i="17"/>
  <c r="H366" i="17"/>
  <c r="H367" i="17"/>
  <c r="H368" i="17"/>
  <c r="H369" i="17"/>
  <c r="H370" i="17"/>
  <c r="H371" i="17"/>
  <c r="I366" i="17"/>
  <c r="I367" i="17"/>
  <c r="I368" i="17"/>
  <c r="I369" i="17"/>
  <c r="I370" i="17"/>
  <c r="I371" i="17"/>
  <c r="J366" i="17"/>
  <c r="J367" i="17"/>
  <c r="J368" i="17"/>
  <c r="J369" i="17"/>
  <c r="J370" i="17"/>
  <c r="J371" i="17"/>
  <c r="K366" i="17"/>
  <c r="K367" i="17"/>
  <c r="K368" i="17"/>
  <c r="K369" i="17"/>
  <c r="K370" i="17"/>
  <c r="K371" i="17"/>
  <c r="N366" i="17"/>
  <c r="N367" i="17"/>
  <c r="N368" i="17"/>
  <c r="N369" i="17"/>
  <c r="N370" i="17"/>
  <c r="N371" i="17"/>
  <c r="O366" i="17"/>
  <c r="O367" i="17"/>
  <c r="O368" i="17"/>
  <c r="O369" i="17"/>
  <c r="O370" i="17"/>
  <c r="O371" i="17"/>
  <c r="Q366" i="17"/>
  <c r="Q367" i="17"/>
  <c r="Q368" i="17"/>
  <c r="Q369" i="17"/>
  <c r="Q370" i="17"/>
  <c r="Q371" i="17"/>
  <c r="S366" i="17"/>
  <c r="S367" i="17"/>
  <c r="S368" i="17"/>
  <c r="S369" i="17"/>
  <c r="S370" i="17"/>
  <c r="S371" i="17"/>
  <c r="T366" i="17"/>
  <c r="T367" i="17"/>
  <c r="T368" i="17"/>
  <c r="T369" i="17"/>
  <c r="T370" i="17"/>
  <c r="T371" i="17"/>
  <c r="U366" i="17"/>
  <c r="U367" i="17"/>
  <c r="U368" i="17"/>
  <c r="U369" i="17"/>
  <c r="U370" i="17"/>
  <c r="U371" i="17"/>
  <c r="V366" i="17"/>
  <c r="V367" i="17"/>
  <c r="V368" i="17"/>
  <c r="V369" i="17"/>
  <c r="V370" i="17"/>
  <c r="V371" i="17"/>
  <c r="W366" i="17"/>
  <c r="W367" i="17"/>
  <c r="W368" i="17"/>
  <c r="W369" i="17"/>
  <c r="W370" i="17"/>
  <c r="W371" i="17"/>
  <c r="H295" i="17"/>
  <c r="H296" i="17"/>
  <c r="H297" i="17"/>
  <c r="H298" i="17"/>
  <c r="H299" i="17"/>
  <c r="H300" i="17"/>
  <c r="H301" i="17"/>
  <c r="H302" i="17"/>
  <c r="H303" i="17"/>
  <c r="H304" i="17"/>
  <c r="H305" i="17"/>
  <c r="H306" i="17"/>
  <c r="H307" i="17"/>
  <c r="H309" i="17"/>
  <c r="H311" i="17"/>
  <c r="H312" i="17"/>
  <c r="H313" i="17"/>
  <c r="H314" i="17"/>
  <c r="H317" i="17"/>
  <c r="H319" i="17"/>
  <c r="H320" i="17"/>
  <c r="H321" i="17"/>
  <c r="H322" i="17"/>
  <c r="H323" i="17"/>
  <c r="H327" i="17"/>
  <c r="H328" i="17"/>
  <c r="H332" i="17"/>
  <c r="H334" i="17"/>
  <c r="H335" i="17"/>
  <c r="H337" i="17"/>
  <c r="H338" i="17"/>
  <c r="H339" i="17"/>
  <c r="H340" i="17"/>
  <c r="H341" i="17"/>
  <c r="H342" i="17"/>
  <c r="H343" i="17"/>
  <c r="H344" i="17"/>
  <c r="H345" i="17"/>
  <c r="H346" i="17"/>
  <c r="H347" i="17"/>
  <c r="I295" i="17"/>
  <c r="I296" i="17"/>
  <c r="I297" i="17"/>
  <c r="I298" i="17"/>
  <c r="I299" i="17"/>
  <c r="I300" i="17"/>
  <c r="I301" i="17"/>
  <c r="I302" i="17"/>
  <c r="I303" i="17"/>
  <c r="I304" i="17"/>
  <c r="I305" i="17"/>
  <c r="I306" i="17"/>
  <c r="I307" i="17"/>
  <c r="I309" i="17"/>
  <c r="I311" i="17"/>
  <c r="I312" i="17"/>
  <c r="I313" i="17"/>
  <c r="I314" i="17"/>
  <c r="I317" i="17"/>
  <c r="I319" i="17"/>
  <c r="I320" i="17"/>
  <c r="I321" i="17"/>
  <c r="I322" i="17"/>
  <c r="I323" i="17"/>
  <c r="I327" i="17"/>
  <c r="I328" i="17"/>
  <c r="I332" i="17"/>
  <c r="I334" i="17"/>
  <c r="I335" i="17"/>
  <c r="I337" i="17"/>
  <c r="I338" i="17"/>
  <c r="I339" i="17"/>
  <c r="I340" i="17"/>
  <c r="I341" i="17"/>
  <c r="I342" i="17"/>
  <c r="I343" i="17"/>
  <c r="I344" i="17"/>
  <c r="I345" i="17"/>
  <c r="I346" i="17"/>
  <c r="I347" i="17"/>
  <c r="J295" i="17"/>
  <c r="J296" i="17"/>
  <c r="J297" i="17"/>
  <c r="J298" i="17"/>
  <c r="J299" i="17"/>
  <c r="J300" i="17"/>
  <c r="J301" i="17"/>
  <c r="J302" i="17"/>
  <c r="J303" i="17"/>
  <c r="J304" i="17"/>
  <c r="J305" i="17"/>
  <c r="J306" i="17"/>
  <c r="J307" i="17"/>
  <c r="J309" i="17"/>
  <c r="J311" i="17"/>
  <c r="J312" i="17"/>
  <c r="J313" i="17"/>
  <c r="J314" i="17"/>
  <c r="J317" i="17"/>
  <c r="J319" i="17"/>
  <c r="J320" i="17"/>
  <c r="J321" i="17"/>
  <c r="J322" i="17"/>
  <c r="J323" i="17"/>
  <c r="J327" i="17"/>
  <c r="J328" i="17"/>
  <c r="J332" i="17"/>
  <c r="J334" i="17"/>
  <c r="J335" i="17"/>
  <c r="J337" i="17"/>
  <c r="J338" i="17"/>
  <c r="J339" i="17"/>
  <c r="J340" i="17"/>
  <c r="J341" i="17"/>
  <c r="J342" i="17"/>
  <c r="J343" i="17"/>
  <c r="J344" i="17"/>
  <c r="J345" i="17"/>
  <c r="J346" i="17"/>
  <c r="J347" i="17"/>
  <c r="K295" i="17"/>
  <c r="K296" i="17"/>
  <c r="K297" i="17"/>
  <c r="K298" i="17"/>
  <c r="K299" i="17"/>
  <c r="K300" i="17"/>
  <c r="K301" i="17"/>
  <c r="K302" i="17"/>
  <c r="K303" i="17"/>
  <c r="K304" i="17"/>
  <c r="K305" i="17"/>
  <c r="K306" i="17"/>
  <c r="K307" i="17"/>
  <c r="K309" i="17"/>
  <c r="K311" i="17"/>
  <c r="K312" i="17"/>
  <c r="K313" i="17"/>
  <c r="K314" i="17"/>
  <c r="K317" i="17"/>
  <c r="K319" i="17"/>
  <c r="K320" i="17"/>
  <c r="K321" i="17"/>
  <c r="K322" i="17"/>
  <c r="K323" i="17"/>
  <c r="K327" i="17"/>
  <c r="K328" i="17"/>
  <c r="K332" i="17"/>
  <c r="K334" i="17"/>
  <c r="K335" i="17"/>
  <c r="K337" i="17"/>
  <c r="K338" i="17"/>
  <c r="K339" i="17"/>
  <c r="K340" i="17"/>
  <c r="K341" i="17"/>
  <c r="K342" i="17"/>
  <c r="K343" i="17"/>
  <c r="K344" i="17"/>
  <c r="K345" i="17"/>
  <c r="K346" i="17"/>
  <c r="K347" i="17"/>
  <c r="N295" i="17"/>
  <c r="N296" i="17"/>
  <c r="N297" i="17"/>
  <c r="N298" i="17"/>
  <c r="N299" i="17"/>
  <c r="N300" i="17"/>
  <c r="N301" i="17"/>
  <c r="N302" i="17"/>
  <c r="N303" i="17"/>
  <c r="N304" i="17"/>
  <c r="N305" i="17"/>
  <c r="N306" i="17"/>
  <c r="N307" i="17"/>
  <c r="N309" i="17"/>
  <c r="N311" i="17"/>
  <c r="N312" i="17"/>
  <c r="N313" i="17"/>
  <c r="N314" i="17"/>
  <c r="N317" i="17"/>
  <c r="N319" i="17"/>
  <c r="N320" i="17"/>
  <c r="N321" i="17"/>
  <c r="N322" i="17"/>
  <c r="N323" i="17"/>
  <c r="N327" i="17"/>
  <c r="N328" i="17"/>
  <c r="N332" i="17"/>
  <c r="N334" i="17"/>
  <c r="N335" i="17"/>
  <c r="N337" i="17"/>
  <c r="N338" i="17"/>
  <c r="N339" i="17"/>
  <c r="N340" i="17"/>
  <c r="N341" i="17"/>
  <c r="N342" i="17"/>
  <c r="N343" i="17"/>
  <c r="N344" i="17"/>
  <c r="N345" i="17"/>
  <c r="N346" i="17"/>
  <c r="N347" i="17"/>
  <c r="O295" i="17"/>
  <c r="O296" i="17"/>
  <c r="O297" i="17"/>
  <c r="O298" i="17"/>
  <c r="O299" i="17"/>
  <c r="O300" i="17"/>
  <c r="O301" i="17"/>
  <c r="O302" i="17"/>
  <c r="O303" i="17"/>
  <c r="O304" i="17"/>
  <c r="O305" i="17"/>
  <c r="O306" i="17"/>
  <c r="O307" i="17"/>
  <c r="O309" i="17"/>
  <c r="O311" i="17"/>
  <c r="O312" i="17"/>
  <c r="O313" i="17"/>
  <c r="O314" i="17"/>
  <c r="O317" i="17"/>
  <c r="O319" i="17"/>
  <c r="O320" i="17"/>
  <c r="O321" i="17"/>
  <c r="O322" i="17"/>
  <c r="O323" i="17"/>
  <c r="O327" i="17"/>
  <c r="O328" i="17"/>
  <c r="O332" i="17"/>
  <c r="O334" i="17"/>
  <c r="O335" i="17"/>
  <c r="O337" i="17"/>
  <c r="O338" i="17"/>
  <c r="O339" i="17"/>
  <c r="O340" i="17"/>
  <c r="O341" i="17"/>
  <c r="O342" i="17"/>
  <c r="O343" i="17"/>
  <c r="O344" i="17"/>
  <c r="O345" i="17"/>
  <c r="O346" i="17"/>
  <c r="O347" i="17"/>
  <c r="Q295" i="17"/>
  <c r="Q296" i="17"/>
  <c r="Q297" i="17"/>
  <c r="Q298" i="17"/>
  <c r="Q299" i="17"/>
  <c r="Q300" i="17"/>
  <c r="Q301" i="17"/>
  <c r="Q302" i="17"/>
  <c r="Q303" i="17"/>
  <c r="Q304" i="17"/>
  <c r="Q305" i="17"/>
  <c r="Q306" i="17"/>
  <c r="Q307" i="17"/>
  <c r="Q309" i="17"/>
  <c r="Q311" i="17"/>
  <c r="Q312" i="17"/>
  <c r="Q313" i="17"/>
  <c r="Q314" i="17"/>
  <c r="Q317" i="17"/>
  <c r="Q319" i="17"/>
  <c r="Q320" i="17"/>
  <c r="Q321" i="17"/>
  <c r="Q322" i="17"/>
  <c r="Q323" i="17"/>
  <c r="Q327" i="17"/>
  <c r="Q328" i="17"/>
  <c r="Q332" i="17"/>
  <c r="Q334" i="17"/>
  <c r="Q335" i="17"/>
  <c r="Q337" i="17"/>
  <c r="Q338" i="17"/>
  <c r="Q339" i="17"/>
  <c r="Q340" i="17"/>
  <c r="Q341" i="17"/>
  <c r="Q342" i="17"/>
  <c r="Q343" i="17"/>
  <c r="Q344" i="17"/>
  <c r="Q345" i="17"/>
  <c r="Q346" i="17"/>
  <c r="Q347" i="17"/>
  <c r="S295" i="17"/>
  <c r="S296" i="17"/>
  <c r="S297" i="17"/>
  <c r="S298" i="17"/>
  <c r="S299" i="17"/>
  <c r="S300" i="17"/>
  <c r="S301" i="17"/>
  <c r="S302" i="17"/>
  <c r="S303" i="17"/>
  <c r="S304" i="17"/>
  <c r="S305" i="17"/>
  <c r="S306" i="17"/>
  <c r="S307" i="17"/>
  <c r="S309" i="17"/>
  <c r="S311" i="17"/>
  <c r="S312" i="17"/>
  <c r="S313" i="17"/>
  <c r="S314" i="17"/>
  <c r="S317" i="17"/>
  <c r="S319" i="17"/>
  <c r="S320" i="17"/>
  <c r="S321" i="17"/>
  <c r="S322" i="17"/>
  <c r="S323" i="17"/>
  <c r="S327" i="17"/>
  <c r="S328" i="17"/>
  <c r="S332" i="17"/>
  <c r="S334" i="17"/>
  <c r="S335" i="17"/>
  <c r="S337" i="17"/>
  <c r="S338" i="17"/>
  <c r="S339" i="17"/>
  <c r="S340" i="17"/>
  <c r="S341" i="17"/>
  <c r="S342" i="17"/>
  <c r="S343" i="17"/>
  <c r="S344" i="17"/>
  <c r="S345" i="17"/>
  <c r="S346" i="17"/>
  <c r="S347" i="17"/>
  <c r="T295" i="17"/>
  <c r="T296" i="17"/>
  <c r="T297" i="17"/>
  <c r="T298" i="17"/>
  <c r="T299" i="17"/>
  <c r="T300" i="17"/>
  <c r="T301" i="17"/>
  <c r="T302" i="17"/>
  <c r="T303" i="17"/>
  <c r="T304" i="17"/>
  <c r="T305" i="17"/>
  <c r="T306" i="17"/>
  <c r="T307" i="17"/>
  <c r="T309" i="17"/>
  <c r="T311" i="17"/>
  <c r="T312" i="17"/>
  <c r="T313" i="17"/>
  <c r="T314" i="17"/>
  <c r="T317" i="17"/>
  <c r="T319" i="17"/>
  <c r="T320" i="17"/>
  <c r="T321" i="17"/>
  <c r="T322" i="17"/>
  <c r="T323" i="17"/>
  <c r="T327" i="17"/>
  <c r="T328" i="17"/>
  <c r="T332" i="17"/>
  <c r="T334" i="17"/>
  <c r="T335" i="17"/>
  <c r="T337" i="17"/>
  <c r="T338" i="17"/>
  <c r="T339" i="17"/>
  <c r="T340" i="17"/>
  <c r="T341" i="17"/>
  <c r="T342" i="17"/>
  <c r="T343" i="17"/>
  <c r="T344" i="17"/>
  <c r="T345" i="17"/>
  <c r="T346" i="17"/>
  <c r="T347" i="17"/>
  <c r="U295" i="17"/>
  <c r="U296" i="17"/>
  <c r="U297" i="17"/>
  <c r="U298" i="17"/>
  <c r="U299" i="17"/>
  <c r="U300" i="17"/>
  <c r="U301" i="17"/>
  <c r="U302" i="17"/>
  <c r="U303" i="17"/>
  <c r="U304" i="17"/>
  <c r="U305" i="17"/>
  <c r="U306" i="17"/>
  <c r="U307" i="17"/>
  <c r="U309" i="17"/>
  <c r="U311" i="17"/>
  <c r="U312" i="17"/>
  <c r="U313" i="17"/>
  <c r="U314" i="17"/>
  <c r="U317" i="17"/>
  <c r="U319" i="17"/>
  <c r="U320" i="17"/>
  <c r="U321" i="17"/>
  <c r="U322" i="17"/>
  <c r="U323" i="17"/>
  <c r="U327" i="17"/>
  <c r="U328" i="17"/>
  <c r="U332" i="17"/>
  <c r="U334" i="17"/>
  <c r="U335" i="17"/>
  <c r="U337" i="17"/>
  <c r="U338" i="17"/>
  <c r="U339" i="17"/>
  <c r="U340" i="17"/>
  <c r="U341" i="17"/>
  <c r="U342" i="17"/>
  <c r="U343" i="17"/>
  <c r="U344" i="17"/>
  <c r="U345" i="17"/>
  <c r="U346" i="17"/>
  <c r="U347" i="17"/>
  <c r="V295" i="17"/>
  <c r="V296" i="17"/>
  <c r="V297" i="17"/>
  <c r="V298" i="17"/>
  <c r="V299" i="17"/>
  <c r="V300" i="17"/>
  <c r="V301" i="17"/>
  <c r="V302" i="17"/>
  <c r="V303" i="17"/>
  <c r="V304" i="17"/>
  <c r="V305" i="17"/>
  <c r="V306" i="17"/>
  <c r="V307" i="17"/>
  <c r="V309" i="17"/>
  <c r="V311" i="17"/>
  <c r="V312" i="17"/>
  <c r="V313" i="17"/>
  <c r="V314" i="17"/>
  <c r="V317" i="17"/>
  <c r="V319" i="17"/>
  <c r="V320" i="17"/>
  <c r="V321" i="17"/>
  <c r="V322" i="17"/>
  <c r="V323" i="17"/>
  <c r="V327" i="17"/>
  <c r="V328" i="17"/>
  <c r="V332" i="17"/>
  <c r="V334" i="17"/>
  <c r="V335" i="17"/>
  <c r="V337" i="17"/>
  <c r="V338" i="17"/>
  <c r="V339" i="17"/>
  <c r="V340" i="17"/>
  <c r="V341" i="17"/>
  <c r="V342" i="17"/>
  <c r="V343" i="17"/>
  <c r="V344" i="17"/>
  <c r="V345" i="17"/>
  <c r="V346" i="17"/>
  <c r="V347" i="17"/>
  <c r="W295" i="17"/>
  <c r="W296" i="17"/>
  <c r="W297" i="17"/>
  <c r="W298" i="17"/>
  <c r="W299" i="17"/>
  <c r="W300" i="17"/>
  <c r="W301" i="17"/>
  <c r="W302" i="17"/>
  <c r="W303" i="17"/>
  <c r="W304" i="17"/>
  <c r="W305" i="17"/>
  <c r="W306" i="17"/>
  <c r="W307" i="17"/>
  <c r="W309" i="17"/>
  <c r="W311" i="17"/>
  <c r="W312" i="17"/>
  <c r="W313" i="17"/>
  <c r="W314" i="17"/>
  <c r="W317" i="17"/>
  <c r="W319" i="17"/>
  <c r="W320" i="17"/>
  <c r="W321" i="17"/>
  <c r="W322" i="17"/>
  <c r="W323" i="17"/>
  <c r="W327" i="17"/>
  <c r="W328" i="17"/>
  <c r="W332" i="17"/>
  <c r="W334" i="17"/>
  <c r="W335" i="17"/>
  <c r="W337" i="17"/>
  <c r="W338" i="17"/>
  <c r="W339" i="17"/>
  <c r="W340" i="17"/>
  <c r="W341" i="17"/>
  <c r="W342" i="17"/>
  <c r="W343" i="17"/>
  <c r="W344" i="17"/>
  <c r="W345" i="17"/>
  <c r="W346" i="17"/>
  <c r="W347" i="17"/>
  <c r="H294" i="17"/>
  <c r="I294" i="17"/>
  <c r="J294" i="17"/>
  <c r="K294" i="17"/>
  <c r="N294" i="17"/>
  <c r="O294" i="17"/>
  <c r="Q294" i="17"/>
  <c r="S294" i="17"/>
  <c r="T294" i="17"/>
  <c r="U294" i="17"/>
  <c r="V294" i="17"/>
  <c r="W294" i="17"/>
  <c r="H293" i="17"/>
  <c r="H365" i="17"/>
  <c r="H380" i="17"/>
  <c r="H398" i="17"/>
  <c r="H421" i="17"/>
  <c r="H434" i="17"/>
  <c r="H460" i="17"/>
  <c r="H475" i="17"/>
  <c r="H489" i="17"/>
  <c r="H497" i="17"/>
  <c r="H547" i="17"/>
  <c r="H566" i="17"/>
  <c r="H590" i="17"/>
  <c r="H605" i="17"/>
  <c r="H619" i="17"/>
  <c r="H680" i="17"/>
  <c r="H732" i="17"/>
  <c r="H794" i="17"/>
  <c r="H801" i="17"/>
  <c r="H810" i="17"/>
  <c r="H839" i="17"/>
  <c r="H878" i="17"/>
  <c r="H898" i="17"/>
  <c r="H946" i="17"/>
  <c r="H958" i="17"/>
  <c r="H965" i="17"/>
  <c r="H982" i="17"/>
  <c r="H1032" i="17"/>
  <c r="H1051" i="17"/>
  <c r="H1056" i="17"/>
  <c r="H1068" i="17"/>
  <c r="H1097" i="17"/>
  <c r="H1120" i="17"/>
  <c r="H1135" i="17"/>
  <c r="H1167" i="17"/>
  <c r="H1220" i="17"/>
  <c r="H1306" i="17"/>
  <c r="H1320" i="17"/>
  <c r="H1370" i="17"/>
  <c r="H1448" i="17"/>
  <c r="H1473" i="17"/>
  <c r="H1533" i="17"/>
  <c r="H1596" i="17"/>
  <c r="H1623" i="17"/>
  <c r="H233" i="17"/>
  <c r="H348" i="17"/>
  <c r="H755" i="17"/>
  <c r="H831" i="17"/>
  <c r="H858" i="17"/>
  <c r="H1144" i="17"/>
  <c r="H1186" i="17"/>
  <c r="H1238" i="17"/>
  <c r="H1267" i="17"/>
  <c r="H1390" i="17"/>
  <c r="H1413" i="17"/>
  <c r="H1427" i="17"/>
  <c r="H1516" i="17"/>
  <c r="H1518" i="17"/>
  <c r="H1550" i="17"/>
  <c r="H1572" i="17"/>
  <c r="H1632" i="17"/>
  <c r="H1944" i="17"/>
  <c r="H2022" i="17"/>
  <c r="H2027" i="17"/>
  <c r="H2240" i="17"/>
  <c r="H2250" i="17"/>
  <c r="H2285" i="17"/>
  <c r="H2300" i="17"/>
  <c r="H2317" i="17"/>
  <c r="H2342" i="17"/>
  <c r="H2355" i="17"/>
  <c r="H2362" i="17"/>
  <c r="H2380" i="17"/>
  <c r="H2390" i="17"/>
  <c r="H2403" i="17"/>
  <c r="H2424" i="17"/>
  <c r="H2445" i="17"/>
  <c r="H2460" i="17"/>
  <c r="H2476" i="17"/>
  <c r="I293" i="17"/>
  <c r="I365" i="17"/>
  <c r="I380" i="17"/>
  <c r="I398" i="17"/>
  <c r="I421" i="17"/>
  <c r="I434" i="17"/>
  <c r="I460" i="17"/>
  <c r="I475" i="17"/>
  <c r="I489" i="17"/>
  <c r="I497" i="17"/>
  <c r="I547" i="17"/>
  <c r="I566" i="17"/>
  <c r="I590" i="17"/>
  <c r="I605" i="17"/>
  <c r="I619" i="17"/>
  <c r="I680" i="17"/>
  <c r="I732" i="17"/>
  <c r="I794" i="17"/>
  <c r="I801" i="17"/>
  <c r="I810" i="17"/>
  <c r="I839" i="17"/>
  <c r="I878" i="17"/>
  <c r="I898" i="17"/>
  <c r="I946" i="17"/>
  <c r="I958" i="17"/>
  <c r="I965" i="17"/>
  <c r="I982" i="17"/>
  <c r="I1032" i="17"/>
  <c r="I1051" i="17"/>
  <c r="I1056" i="17"/>
  <c r="I1068" i="17"/>
  <c r="I1097" i="17"/>
  <c r="I1120" i="17"/>
  <c r="I1135" i="17"/>
  <c r="I1167" i="17"/>
  <c r="I1220" i="17"/>
  <c r="I1306" i="17"/>
  <c r="I1320" i="17"/>
  <c r="I1370" i="17"/>
  <c r="I1448" i="17"/>
  <c r="I1473" i="17"/>
  <c r="I1533" i="17"/>
  <c r="I1596" i="17"/>
  <c r="I1623" i="17"/>
  <c r="I233" i="17"/>
  <c r="I348" i="17"/>
  <c r="I755" i="17"/>
  <c r="I831" i="17"/>
  <c r="I858" i="17"/>
  <c r="I1144" i="17"/>
  <c r="I1186" i="17"/>
  <c r="I1238" i="17"/>
  <c r="I1267" i="17"/>
  <c r="I1390" i="17"/>
  <c r="I1413" i="17"/>
  <c r="I1427" i="17"/>
  <c r="I1516" i="17"/>
  <c r="I1518" i="17"/>
  <c r="I1550" i="17"/>
  <c r="I1572" i="17"/>
  <c r="I1632" i="17"/>
  <c r="I1944" i="17"/>
  <c r="I2022" i="17"/>
  <c r="I2027" i="17"/>
  <c r="I2240" i="17"/>
  <c r="I2250" i="17"/>
  <c r="I2285" i="17"/>
  <c r="I2300" i="17"/>
  <c r="I2317" i="17"/>
  <c r="I2342" i="17"/>
  <c r="I2355" i="17"/>
  <c r="I2362" i="17"/>
  <c r="I2380" i="17"/>
  <c r="I2390" i="17"/>
  <c r="I2403" i="17"/>
  <c r="I2424" i="17"/>
  <c r="I2445" i="17"/>
  <c r="I2460" i="17"/>
  <c r="I2476" i="17"/>
  <c r="J293" i="17"/>
  <c r="J365" i="17"/>
  <c r="J380" i="17"/>
  <c r="J398" i="17"/>
  <c r="J421" i="17"/>
  <c r="J434" i="17"/>
  <c r="J460" i="17"/>
  <c r="J475" i="17"/>
  <c r="J489" i="17"/>
  <c r="J497" i="17"/>
  <c r="J547" i="17"/>
  <c r="J566" i="17"/>
  <c r="J590" i="17"/>
  <c r="J605" i="17"/>
  <c r="J619" i="17"/>
  <c r="J680" i="17"/>
  <c r="J732" i="17"/>
  <c r="J794" i="17"/>
  <c r="J801" i="17"/>
  <c r="J810" i="17"/>
  <c r="J839" i="17"/>
  <c r="J878" i="17"/>
  <c r="J898" i="17"/>
  <c r="J946" i="17"/>
  <c r="J958" i="17"/>
  <c r="J965" i="17"/>
  <c r="J982" i="17"/>
  <c r="J1032" i="17"/>
  <c r="J1051" i="17"/>
  <c r="J1056" i="17"/>
  <c r="J1068" i="17"/>
  <c r="J1097" i="17"/>
  <c r="J1120" i="17"/>
  <c r="J1135" i="17"/>
  <c r="J1167" i="17"/>
  <c r="J1220" i="17"/>
  <c r="J1306" i="17"/>
  <c r="J1320" i="17"/>
  <c r="J1370" i="17"/>
  <c r="J1448" i="17"/>
  <c r="J1473" i="17"/>
  <c r="J1533" i="17"/>
  <c r="J1596" i="17"/>
  <c r="J1623" i="17"/>
  <c r="J233" i="17"/>
  <c r="J348" i="17"/>
  <c r="J755" i="17"/>
  <c r="J831" i="17"/>
  <c r="J858" i="17"/>
  <c r="J1144" i="17"/>
  <c r="J1186" i="17"/>
  <c r="J1238" i="17"/>
  <c r="J1267" i="17"/>
  <c r="J1390" i="17"/>
  <c r="J1413" i="17"/>
  <c r="J1427" i="17"/>
  <c r="J1516" i="17"/>
  <c r="J1518" i="17"/>
  <c r="J1550" i="17"/>
  <c r="J1572" i="17"/>
  <c r="J1632" i="17"/>
  <c r="J1944" i="17"/>
  <c r="J2022" i="17"/>
  <c r="J2027" i="17"/>
  <c r="J2240" i="17"/>
  <c r="J2250" i="17"/>
  <c r="J2285" i="17"/>
  <c r="J2300" i="17"/>
  <c r="J2317" i="17"/>
  <c r="J2342" i="17"/>
  <c r="J2355" i="17"/>
  <c r="J2362" i="17"/>
  <c r="J2380" i="17"/>
  <c r="J2390" i="17"/>
  <c r="J2403" i="17"/>
  <c r="J2424" i="17"/>
  <c r="J2445" i="17"/>
  <c r="J2460" i="17"/>
  <c r="J2476" i="17"/>
  <c r="K293" i="17"/>
  <c r="K365" i="17"/>
  <c r="K380" i="17"/>
  <c r="K398" i="17"/>
  <c r="K421" i="17"/>
  <c r="K434" i="17"/>
  <c r="K460" i="17"/>
  <c r="K475" i="17"/>
  <c r="K489" i="17"/>
  <c r="K497" i="17"/>
  <c r="K547" i="17"/>
  <c r="K566" i="17"/>
  <c r="K590" i="17"/>
  <c r="K605" i="17"/>
  <c r="K619" i="17"/>
  <c r="K680" i="17"/>
  <c r="K732" i="17"/>
  <c r="K794" i="17"/>
  <c r="K801" i="17"/>
  <c r="K810" i="17"/>
  <c r="K839" i="17"/>
  <c r="K878" i="17"/>
  <c r="K898" i="17"/>
  <c r="K946" i="17"/>
  <c r="K958" i="17"/>
  <c r="K965" i="17"/>
  <c r="K982" i="17"/>
  <c r="K1032" i="17"/>
  <c r="K1051" i="17"/>
  <c r="K1056" i="17"/>
  <c r="K1068" i="17"/>
  <c r="K1097" i="17"/>
  <c r="K1120" i="17"/>
  <c r="K1135" i="17"/>
  <c r="K1167" i="17"/>
  <c r="K1220" i="17"/>
  <c r="K1306" i="17"/>
  <c r="K1320" i="17"/>
  <c r="K1370" i="17"/>
  <c r="K1448" i="17"/>
  <c r="K1473" i="17"/>
  <c r="K1533" i="17"/>
  <c r="K1596" i="17"/>
  <c r="K1623" i="17"/>
  <c r="K233" i="17"/>
  <c r="K348" i="17"/>
  <c r="K755" i="17"/>
  <c r="K831" i="17"/>
  <c r="K858" i="17"/>
  <c r="K1144" i="17"/>
  <c r="K1186" i="17"/>
  <c r="K1238" i="17"/>
  <c r="K1267" i="17"/>
  <c r="K1390" i="17"/>
  <c r="K1413" i="17"/>
  <c r="K1427" i="17"/>
  <c r="K1516" i="17"/>
  <c r="K1518" i="17"/>
  <c r="K1550" i="17"/>
  <c r="K1572" i="17"/>
  <c r="K1632" i="17"/>
  <c r="K1944" i="17"/>
  <c r="K2022" i="17"/>
  <c r="K2027" i="17"/>
  <c r="K2240" i="17"/>
  <c r="K2250" i="17"/>
  <c r="K2285" i="17"/>
  <c r="K2300" i="17"/>
  <c r="K2317" i="17"/>
  <c r="K2342" i="17"/>
  <c r="K2355" i="17"/>
  <c r="K2362" i="17"/>
  <c r="K2380" i="17"/>
  <c r="K2390" i="17"/>
  <c r="K2403" i="17"/>
  <c r="K2424" i="17"/>
  <c r="K2445" i="17"/>
  <c r="K2460" i="17"/>
  <c r="K2476" i="17"/>
  <c r="N293" i="17"/>
  <c r="N365" i="17"/>
  <c r="N380" i="17"/>
  <c r="N398" i="17"/>
  <c r="N421" i="17"/>
  <c r="N434" i="17"/>
  <c r="N460" i="17"/>
  <c r="N475" i="17"/>
  <c r="N489" i="17"/>
  <c r="N497" i="17"/>
  <c r="N547" i="17"/>
  <c r="N566" i="17"/>
  <c r="N590" i="17"/>
  <c r="N605" i="17"/>
  <c r="N619" i="17"/>
  <c r="N680" i="17"/>
  <c r="N732" i="17"/>
  <c r="N794" i="17"/>
  <c r="N801" i="17"/>
  <c r="N810" i="17"/>
  <c r="N839" i="17"/>
  <c r="N878" i="17"/>
  <c r="N898" i="17"/>
  <c r="N946" i="17"/>
  <c r="N958" i="17"/>
  <c r="N965" i="17"/>
  <c r="N982" i="17"/>
  <c r="N1032" i="17"/>
  <c r="N1051" i="17"/>
  <c r="N1056" i="17"/>
  <c r="N1068" i="17"/>
  <c r="N1097" i="17"/>
  <c r="N1120" i="17"/>
  <c r="N1135" i="17"/>
  <c r="N1167" i="17"/>
  <c r="N1220" i="17"/>
  <c r="N1306" i="17"/>
  <c r="N1320" i="17"/>
  <c r="N1370" i="17"/>
  <c r="N1448" i="17"/>
  <c r="N1473" i="17"/>
  <c r="N1533" i="17"/>
  <c r="N1596" i="17"/>
  <c r="N1623" i="17"/>
  <c r="N233" i="17"/>
  <c r="N348" i="17"/>
  <c r="N755" i="17"/>
  <c r="N831" i="17"/>
  <c r="N858" i="17"/>
  <c r="N1144" i="17"/>
  <c r="N1186" i="17"/>
  <c r="N1238" i="17"/>
  <c r="N1267" i="17"/>
  <c r="N1390" i="17"/>
  <c r="N1413" i="17"/>
  <c r="N1427" i="17"/>
  <c r="N1516" i="17"/>
  <c r="N1518" i="17"/>
  <c r="N1550" i="17"/>
  <c r="N1572" i="17"/>
  <c r="N1632" i="17"/>
  <c r="N1944" i="17"/>
  <c r="N2022" i="17"/>
  <c r="N2027" i="17"/>
  <c r="N2240" i="17"/>
  <c r="N2250" i="17"/>
  <c r="N2285" i="17"/>
  <c r="N2300" i="17"/>
  <c r="N2317" i="17"/>
  <c r="N2342" i="17"/>
  <c r="N2355" i="17"/>
  <c r="N2362" i="17"/>
  <c r="N2380" i="17"/>
  <c r="N2390" i="17"/>
  <c r="N2403" i="17"/>
  <c r="N2424" i="17"/>
  <c r="N2445" i="17"/>
  <c r="N2460" i="17"/>
  <c r="N2476" i="17"/>
  <c r="O293" i="17"/>
  <c r="O365" i="17"/>
  <c r="O380" i="17"/>
  <c r="O398" i="17"/>
  <c r="O421" i="17"/>
  <c r="O434" i="17"/>
  <c r="O460" i="17"/>
  <c r="O475" i="17"/>
  <c r="O489" i="17"/>
  <c r="O497" i="17"/>
  <c r="O547" i="17"/>
  <c r="O566" i="17"/>
  <c r="O590" i="17"/>
  <c r="O605" i="17"/>
  <c r="O619" i="17"/>
  <c r="O680" i="17"/>
  <c r="O732" i="17"/>
  <c r="O794" i="17"/>
  <c r="O801" i="17"/>
  <c r="O810" i="17"/>
  <c r="O839" i="17"/>
  <c r="O878" i="17"/>
  <c r="O898" i="17"/>
  <c r="O946" i="17"/>
  <c r="O958" i="17"/>
  <c r="O965" i="17"/>
  <c r="O982" i="17"/>
  <c r="O1032" i="17"/>
  <c r="O1051" i="17"/>
  <c r="O1056" i="17"/>
  <c r="O1068" i="17"/>
  <c r="O1097" i="17"/>
  <c r="O1120" i="17"/>
  <c r="O1135" i="17"/>
  <c r="O1167" i="17"/>
  <c r="O1220" i="17"/>
  <c r="O1306" i="17"/>
  <c r="O1320" i="17"/>
  <c r="O1370" i="17"/>
  <c r="O1448" i="17"/>
  <c r="O1473" i="17"/>
  <c r="O1533" i="17"/>
  <c r="O1596" i="17"/>
  <c r="O1623" i="17"/>
  <c r="O233" i="17"/>
  <c r="O348" i="17"/>
  <c r="O755" i="17"/>
  <c r="O831" i="17"/>
  <c r="O858" i="17"/>
  <c r="O1144" i="17"/>
  <c r="O1186" i="17"/>
  <c r="O1238" i="17"/>
  <c r="O1267" i="17"/>
  <c r="O1390" i="17"/>
  <c r="O1413" i="17"/>
  <c r="O1427" i="17"/>
  <c r="O1516" i="17"/>
  <c r="O1518" i="17"/>
  <c r="O1550" i="17"/>
  <c r="O1572" i="17"/>
  <c r="O1632" i="17"/>
  <c r="O1944" i="17"/>
  <c r="O2022" i="17"/>
  <c r="O2027" i="17"/>
  <c r="O2240" i="17"/>
  <c r="O2250" i="17"/>
  <c r="O2285" i="17"/>
  <c r="O2300" i="17"/>
  <c r="O2317" i="17"/>
  <c r="O2342" i="17"/>
  <c r="O2355" i="17"/>
  <c r="O2362" i="17"/>
  <c r="O2380" i="17"/>
  <c r="O2390" i="17"/>
  <c r="O2403" i="17"/>
  <c r="O2424" i="17"/>
  <c r="O2445" i="17"/>
  <c r="O2460" i="17"/>
  <c r="O2476" i="17"/>
  <c r="Q293" i="17"/>
  <c r="Q365" i="17"/>
  <c r="Q380" i="17"/>
  <c r="Q398" i="17"/>
  <c r="Q421" i="17"/>
  <c r="Q434" i="17"/>
  <c r="Q460" i="17"/>
  <c r="Q475" i="17"/>
  <c r="Q489" i="17"/>
  <c r="Q497" i="17"/>
  <c r="Q547" i="17"/>
  <c r="Q566" i="17"/>
  <c r="Q590" i="17"/>
  <c r="Q605" i="17"/>
  <c r="Q619" i="17"/>
  <c r="Q680" i="17"/>
  <c r="Q732" i="17"/>
  <c r="Q794" i="17"/>
  <c r="Q801" i="17"/>
  <c r="Q810" i="17"/>
  <c r="Q839" i="17"/>
  <c r="Q878" i="17"/>
  <c r="Q898" i="17"/>
  <c r="Q946" i="17"/>
  <c r="Q958" i="17"/>
  <c r="Q965" i="17"/>
  <c r="Q982" i="17"/>
  <c r="Q1032" i="17"/>
  <c r="Q1051" i="17"/>
  <c r="Q1056" i="17"/>
  <c r="Q1068" i="17"/>
  <c r="Q1097" i="17"/>
  <c r="Q1120" i="17"/>
  <c r="Q1135" i="17"/>
  <c r="Q1167" i="17"/>
  <c r="Q1220" i="17"/>
  <c r="Q1306" i="17"/>
  <c r="Q1320" i="17"/>
  <c r="Q1370" i="17"/>
  <c r="Q1448" i="17"/>
  <c r="Q1473" i="17"/>
  <c r="Q1533" i="17"/>
  <c r="Q1596" i="17"/>
  <c r="Q1623" i="17"/>
  <c r="Q233" i="17"/>
  <c r="Q348" i="17"/>
  <c r="Q755" i="17"/>
  <c r="Q831" i="17"/>
  <c r="Q858" i="17"/>
  <c r="Q1144" i="17"/>
  <c r="Q1186" i="17"/>
  <c r="Q1238" i="17"/>
  <c r="Q1267" i="17"/>
  <c r="Q1390" i="17"/>
  <c r="Q1413" i="17"/>
  <c r="Q1427" i="17"/>
  <c r="Q1516" i="17"/>
  <c r="Q1518" i="17"/>
  <c r="Q1550" i="17"/>
  <c r="Q1572" i="17"/>
  <c r="Q1632" i="17"/>
  <c r="Q1944" i="17"/>
  <c r="Q2022" i="17"/>
  <c r="Q2027" i="17"/>
  <c r="Q2240" i="17"/>
  <c r="Q2250" i="17"/>
  <c r="Q2285" i="17"/>
  <c r="Q2300" i="17"/>
  <c r="Q2317" i="17"/>
  <c r="Q2342" i="17"/>
  <c r="Q2355" i="17"/>
  <c r="Q2362" i="17"/>
  <c r="Q2380" i="17"/>
  <c r="Q2390" i="17"/>
  <c r="Q2403" i="17"/>
  <c r="Q2424" i="17"/>
  <c r="Q2445" i="17"/>
  <c r="Q2460" i="17"/>
  <c r="Q2476" i="17"/>
  <c r="S293" i="17"/>
  <c r="S365" i="17"/>
  <c r="S380" i="17"/>
  <c r="S398" i="17"/>
  <c r="S421" i="17"/>
  <c r="S434" i="17"/>
  <c r="S460" i="17"/>
  <c r="S475" i="17"/>
  <c r="S489" i="17"/>
  <c r="S497" i="17"/>
  <c r="S547" i="17"/>
  <c r="S566" i="17"/>
  <c r="S590" i="17"/>
  <c r="S605" i="17"/>
  <c r="S619" i="17"/>
  <c r="S680" i="17"/>
  <c r="S732" i="17"/>
  <c r="S794" i="17"/>
  <c r="S801" i="17"/>
  <c r="S810" i="17"/>
  <c r="S839" i="17"/>
  <c r="S878" i="17"/>
  <c r="S898" i="17"/>
  <c r="S946" i="17"/>
  <c r="S958" i="17"/>
  <c r="S965" i="17"/>
  <c r="S982" i="17"/>
  <c r="S1032" i="17"/>
  <c r="S1051" i="17"/>
  <c r="S1056" i="17"/>
  <c r="S1068" i="17"/>
  <c r="S1097" i="17"/>
  <c r="S1120" i="17"/>
  <c r="S1135" i="17"/>
  <c r="S1167" i="17"/>
  <c r="S1220" i="17"/>
  <c r="S1306" i="17"/>
  <c r="S1320" i="17"/>
  <c r="S1370" i="17"/>
  <c r="S1448" i="17"/>
  <c r="S1473" i="17"/>
  <c r="S1533" i="17"/>
  <c r="S1596" i="17"/>
  <c r="S1623" i="17"/>
  <c r="S233" i="17"/>
  <c r="S348" i="17"/>
  <c r="S755" i="17"/>
  <c r="S831" i="17"/>
  <c r="S858" i="17"/>
  <c r="S1144" i="17"/>
  <c r="S1186" i="17"/>
  <c r="S1238" i="17"/>
  <c r="S1267" i="17"/>
  <c r="S1390" i="17"/>
  <c r="S1413" i="17"/>
  <c r="S1427" i="17"/>
  <c r="S1516" i="17"/>
  <c r="S1518" i="17"/>
  <c r="S1550" i="17"/>
  <c r="S1572" i="17"/>
  <c r="S1632" i="17"/>
  <c r="S1944" i="17"/>
  <c r="S2022" i="17"/>
  <c r="S2027" i="17"/>
  <c r="S2240" i="17"/>
  <c r="S2250" i="17"/>
  <c r="S2285" i="17"/>
  <c r="S2300" i="17"/>
  <c r="S2317" i="17"/>
  <c r="S2342" i="17"/>
  <c r="S2355" i="17"/>
  <c r="S2362" i="17"/>
  <c r="S2380" i="17"/>
  <c r="S2390" i="17"/>
  <c r="S2403" i="17"/>
  <c r="S2424" i="17"/>
  <c r="S2445" i="17"/>
  <c r="S2460" i="17"/>
  <c r="S2476" i="17"/>
  <c r="T293" i="17"/>
  <c r="T365" i="17"/>
  <c r="T380" i="17"/>
  <c r="T398" i="17"/>
  <c r="T421" i="17"/>
  <c r="T434" i="17"/>
  <c r="T460" i="17"/>
  <c r="T475" i="17"/>
  <c r="T489" i="17"/>
  <c r="T497" i="17"/>
  <c r="T547" i="17"/>
  <c r="T566" i="17"/>
  <c r="T590" i="17"/>
  <c r="T605" i="17"/>
  <c r="T619" i="17"/>
  <c r="T680" i="17"/>
  <c r="T732" i="17"/>
  <c r="T794" i="17"/>
  <c r="T801" i="17"/>
  <c r="T810" i="17"/>
  <c r="T839" i="17"/>
  <c r="T878" i="17"/>
  <c r="T898" i="17"/>
  <c r="T946" i="17"/>
  <c r="T958" i="17"/>
  <c r="T965" i="17"/>
  <c r="T982" i="17"/>
  <c r="T1032" i="17"/>
  <c r="T1051" i="17"/>
  <c r="T1056" i="17"/>
  <c r="T1068" i="17"/>
  <c r="T1097" i="17"/>
  <c r="T1120" i="17"/>
  <c r="T1135" i="17"/>
  <c r="T1167" i="17"/>
  <c r="T1220" i="17"/>
  <c r="T1306" i="17"/>
  <c r="T1320" i="17"/>
  <c r="T1370" i="17"/>
  <c r="T1448" i="17"/>
  <c r="T1473" i="17"/>
  <c r="T1533" i="17"/>
  <c r="T1596" i="17"/>
  <c r="T1623" i="17"/>
  <c r="T233" i="17"/>
  <c r="T348" i="17"/>
  <c r="T755" i="17"/>
  <c r="T831" i="17"/>
  <c r="T858" i="17"/>
  <c r="T1144" i="17"/>
  <c r="T1186" i="17"/>
  <c r="T1238" i="17"/>
  <c r="T1267" i="17"/>
  <c r="T1390" i="17"/>
  <c r="T1413" i="17"/>
  <c r="T1427" i="17"/>
  <c r="T1516" i="17"/>
  <c r="T1518" i="17"/>
  <c r="T1550" i="17"/>
  <c r="T1572" i="17"/>
  <c r="T1632" i="17"/>
  <c r="T1944" i="17"/>
  <c r="T2022" i="17"/>
  <c r="T2027" i="17"/>
  <c r="T2240" i="17"/>
  <c r="T2250" i="17"/>
  <c r="T2285" i="17"/>
  <c r="T2300" i="17"/>
  <c r="T2317" i="17"/>
  <c r="T2342" i="17"/>
  <c r="T2355" i="17"/>
  <c r="T2362" i="17"/>
  <c r="T2380" i="17"/>
  <c r="T2390" i="17"/>
  <c r="T2403" i="17"/>
  <c r="T2424" i="17"/>
  <c r="T2445" i="17"/>
  <c r="T2460" i="17"/>
  <c r="T2476" i="17"/>
  <c r="U293" i="17"/>
  <c r="U365" i="17"/>
  <c r="U380" i="17"/>
  <c r="U398" i="17"/>
  <c r="U421" i="17"/>
  <c r="U434" i="17"/>
  <c r="U460" i="17"/>
  <c r="U475" i="17"/>
  <c r="U489" i="17"/>
  <c r="U497" i="17"/>
  <c r="U547" i="17"/>
  <c r="U566" i="17"/>
  <c r="U590" i="17"/>
  <c r="U605" i="17"/>
  <c r="U619" i="17"/>
  <c r="U680" i="17"/>
  <c r="U732" i="17"/>
  <c r="U794" i="17"/>
  <c r="U801" i="17"/>
  <c r="U810" i="17"/>
  <c r="U839" i="17"/>
  <c r="U878" i="17"/>
  <c r="U898" i="17"/>
  <c r="U946" i="17"/>
  <c r="U958" i="17"/>
  <c r="U965" i="17"/>
  <c r="U982" i="17"/>
  <c r="U1032" i="17"/>
  <c r="U1051" i="17"/>
  <c r="U1056" i="17"/>
  <c r="U1068" i="17"/>
  <c r="U1097" i="17"/>
  <c r="U1120" i="17"/>
  <c r="U1135" i="17"/>
  <c r="U1167" i="17"/>
  <c r="U1220" i="17"/>
  <c r="U1306" i="17"/>
  <c r="U1320" i="17"/>
  <c r="U1370" i="17"/>
  <c r="U1448" i="17"/>
  <c r="U1473" i="17"/>
  <c r="U1533" i="17"/>
  <c r="U1596" i="17"/>
  <c r="U1623" i="17"/>
  <c r="U233" i="17"/>
  <c r="U348" i="17"/>
  <c r="U755" i="17"/>
  <c r="U831" i="17"/>
  <c r="U858" i="17"/>
  <c r="U1144" i="17"/>
  <c r="U1186" i="17"/>
  <c r="U1238" i="17"/>
  <c r="U1267" i="17"/>
  <c r="U1390" i="17"/>
  <c r="U1413" i="17"/>
  <c r="U1427" i="17"/>
  <c r="U1516" i="17"/>
  <c r="U1518" i="17"/>
  <c r="U1550" i="17"/>
  <c r="U1572" i="17"/>
  <c r="U1632" i="17"/>
  <c r="U1944" i="17"/>
  <c r="U2022" i="17"/>
  <c r="U2027" i="17"/>
  <c r="U2240" i="17"/>
  <c r="U2250" i="17"/>
  <c r="U2285" i="17"/>
  <c r="U2300" i="17"/>
  <c r="U2317" i="17"/>
  <c r="U2342" i="17"/>
  <c r="U2355" i="17"/>
  <c r="U2362" i="17"/>
  <c r="U2380" i="17"/>
  <c r="U2390" i="17"/>
  <c r="U2403" i="17"/>
  <c r="U2424" i="17"/>
  <c r="U2445" i="17"/>
  <c r="U2460" i="17"/>
  <c r="U2476" i="17"/>
  <c r="V293" i="17"/>
  <c r="V365" i="17"/>
  <c r="V380" i="17"/>
  <c r="V398" i="17"/>
  <c r="V421" i="17"/>
  <c r="V434" i="17"/>
  <c r="V460" i="17"/>
  <c r="V475" i="17"/>
  <c r="V489" i="17"/>
  <c r="V497" i="17"/>
  <c r="V547" i="17"/>
  <c r="V566" i="17"/>
  <c r="V590" i="17"/>
  <c r="V605" i="17"/>
  <c r="V619" i="17"/>
  <c r="V680" i="17"/>
  <c r="V732" i="17"/>
  <c r="V794" i="17"/>
  <c r="V801" i="17"/>
  <c r="V810" i="17"/>
  <c r="V839" i="17"/>
  <c r="V878" i="17"/>
  <c r="V898" i="17"/>
  <c r="V946" i="17"/>
  <c r="V958" i="17"/>
  <c r="V965" i="17"/>
  <c r="V982" i="17"/>
  <c r="V1032" i="17"/>
  <c r="V1051" i="17"/>
  <c r="V1056" i="17"/>
  <c r="V1068" i="17"/>
  <c r="V1097" i="17"/>
  <c r="V1120" i="17"/>
  <c r="V1135" i="17"/>
  <c r="V1167" i="17"/>
  <c r="V1220" i="17"/>
  <c r="V1306" i="17"/>
  <c r="V1320" i="17"/>
  <c r="V1370" i="17"/>
  <c r="V1448" i="17"/>
  <c r="V1473" i="17"/>
  <c r="V1533" i="17"/>
  <c r="V1596" i="17"/>
  <c r="V1623" i="17"/>
  <c r="V233" i="17"/>
  <c r="V348" i="17"/>
  <c r="V755" i="17"/>
  <c r="V831" i="17"/>
  <c r="V858" i="17"/>
  <c r="V1144" i="17"/>
  <c r="V1186" i="17"/>
  <c r="V1238" i="17"/>
  <c r="V1267" i="17"/>
  <c r="V1390" i="17"/>
  <c r="V1413" i="17"/>
  <c r="V1427" i="17"/>
  <c r="V1516" i="17"/>
  <c r="V1518" i="17"/>
  <c r="V1550" i="17"/>
  <c r="V1572" i="17"/>
  <c r="V1632" i="17"/>
  <c r="V1944" i="17"/>
  <c r="V2022" i="17"/>
  <c r="V2027" i="17"/>
  <c r="V2240" i="17"/>
  <c r="V2250" i="17"/>
  <c r="V2285" i="17"/>
  <c r="V2300" i="17"/>
  <c r="V2317" i="17"/>
  <c r="V2342" i="17"/>
  <c r="V2355" i="17"/>
  <c r="V2362" i="17"/>
  <c r="V2380" i="17"/>
  <c r="V2390" i="17"/>
  <c r="V2403" i="17"/>
  <c r="V2424" i="17"/>
  <c r="V2445" i="17"/>
  <c r="V2460" i="17"/>
  <c r="V2476" i="17"/>
  <c r="W293" i="17"/>
  <c r="W365" i="17"/>
  <c r="W380" i="17"/>
  <c r="W398" i="17"/>
  <c r="W421" i="17"/>
  <c r="W434" i="17"/>
  <c r="W460" i="17"/>
  <c r="W475" i="17"/>
  <c r="W489" i="17"/>
  <c r="W497" i="17"/>
  <c r="W547" i="17"/>
  <c r="W566" i="17"/>
  <c r="W590" i="17"/>
  <c r="W605" i="17"/>
  <c r="W619" i="17"/>
  <c r="W680" i="17"/>
  <c r="W732" i="17"/>
  <c r="W794" i="17"/>
  <c r="W801" i="17"/>
  <c r="W810" i="17"/>
  <c r="W839" i="17"/>
  <c r="W878" i="17"/>
  <c r="W898" i="17"/>
  <c r="W946" i="17"/>
  <c r="W958" i="17"/>
  <c r="W965" i="17"/>
  <c r="W982" i="17"/>
  <c r="W1032" i="17"/>
  <c r="W1051" i="17"/>
  <c r="W1056" i="17"/>
  <c r="W1068" i="17"/>
  <c r="W1097" i="17"/>
  <c r="W1120" i="17"/>
  <c r="W1135" i="17"/>
  <c r="W1167" i="17"/>
  <c r="W1220" i="17"/>
  <c r="W1306" i="17"/>
  <c r="W1320" i="17"/>
  <c r="W1370" i="17"/>
  <c r="W1448" i="17"/>
  <c r="W1473" i="17"/>
  <c r="W1533" i="17"/>
  <c r="W1596" i="17"/>
  <c r="W1623" i="17"/>
  <c r="W233" i="17"/>
  <c r="W348" i="17"/>
  <c r="W755" i="17"/>
  <c r="W831" i="17"/>
  <c r="W858" i="17"/>
  <c r="W1144" i="17"/>
  <c r="W1186" i="17"/>
  <c r="W1238" i="17"/>
  <c r="W1267" i="17"/>
  <c r="W1390" i="17"/>
  <c r="W1413" i="17"/>
  <c r="W1427" i="17"/>
  <c r="W1516" i="17"/>
  <c r="W1518" i="17"/>
  <c r="W1550" i="17"/>
  <c r="W1572" i="17"/>
  <c r="W1632" i="17"/>
  <c r="W1944" i="17"/>
  <c r="W2022" i="17"/>
  <c r="W2027" i="17"/>
  <c r="W2240" i="17"/>
  <c r="W2250" i="17"/>
  <c r="W2285" i="17"/>
  <c r="W2300" i="17"/>
  <c r="W2317" i="17"/>
  <c r="W2342" i="17"/>
  <c r="W2355" i="17"/>
  <c r="W2362" i="17"/>
  <c r="W2380" i="17"/>
  <c r="W2390" i="17"/>
  <c r="W2403" i="17"/>
  <c r="W2424" i="17"/>
  <c r="W2445" i="17"/>
  <c r="W2460" i="17"/>
  <c r="W2476" i="17"/>
  <c r="H226" i="17"/>
  <c r="I226" i="17"/>
  <c r="J226" i="17"/>
  <c r="K226" i="17"/>
  <c r="N226" i="17"/>
  <c r="O226" i="17"/>
  <c r="Q226" i="17"/>
  <c r="S226" i="17"/>
  <c r="T226" i="17"/>
  <c r="U226" i="17"/>
  <c r="V226" i="17"/>
  <c r="W226" i="17"/>
  <c r="H225" i="17"/>
  <c r="I225" i="17"/>
  <c r="J225" i="17"/>
  <c r="K225" i="17"/>
  <c r="N225" i="17"/>
  <c r="O225" i="17"/>
  <c r="Q225" i="17"/>
  <c r="S225" i="17"/>
  <c r="T225" i="17"/>
  <c r="U225" i="17"/>
  <c r="V225" i="17"/>
  <c r="W225" i="17"/>
  <c r="H224" i="17"/>
  <c r="I224" i="17"/>
  <c r="J224" i="17"/>
  <c r="K224" i="17"/>
  <c r="N224" i="17"/>
  <c r="O224" i="17"/>
  <c r="Q224" i="17"/>
  <c r="S224" i="17"/>
  <c r="T224" i="17"/>
  <c r="U224" i="17"/>
  <c r="V224" i="17"/>
  <c r="W224" i="17"/>
  <c r="H223" i="17"/>
  <c r="I223" i="17"/>
  <c r="J223" i="17"/>
  <c r="K223" i="17"/>
  <c r="N223" i="17"/>
  <c r="O223" i="17"/>
  <c r="Q223" i="17"/>
  <c r="S223" i="17"/>
  <c r="T223" i="17"/>
  <c r="U223" i="17"/>
  <c r="V223" i="17"/>
  <c r="W223" i="17"/>
  <c r="H222" i="17"/>
  <c r="I222" i="17"/>
  <c r="J222" i="17"/>
  <c r="K222" i="17"/>
  <c r="N222" i="17"/>
  <c r="O222" i="17"/>
  <c r="Q222" i="17"/>
  <c r="S222" i="17"/>
  <c r="T222" i="17"/>
  <c r="U222" i="17"/>
  <c r="V222" i="17"/>
  <c r="W222" i="17"/>
  <c r="H221" i="17"/>
  <c r="I221" i="17"/>
  <c r="J221" i="17"/>
  <c r="K221" i="17"/>
  <c r="N221" i="17"/>
  <c r="O221" i="17"/>
  <c r="Q221" i="17"/>
  <c r="S221" i="17"/>
  <c r="T221" i="17"/>
  <c r="U221" i="17"/>
  <c r="V221" i="17"/>
  <c r="W221" i="17"/>
  <c r="H220" i="17"/>
  <c r="I220" i="17"/>
  <c r="J220" i="17"/>
  <c r="K220" i="17"/>
  <c r="N220" i="17"/>
  <c r="O220" i="17"/>
  <c r="Q220" i="17"/>
  <c r="S220" i="17"/>
  <c r="T220" i="17"/>
  <c r="U220" i="17"/>
  <c r="V220" i="17"/>
  <c r="W220" i="17"/>
  <c r="H219" i="17"/>
  <c r="I219" i="17"/>
  <c r="J219" i="17"/>
  <c r="K219" i="17"/>
  <c r="N219" i="17"/>
  <c r="O219" i="17"/>
  <c r="Q219" i="17"/>
  <c r="S219" i="17"/>
  <c r="T219" i="17"/>
  <c r="U219" i="17"/>
  <c r="V219" i="17"/>
  <c r="W219" i="17"/>
  <c r="H218" i="17"/>
  <c r="I218" i="17"/>
  <c r="J218" i="17"/>
  <c r="K218" i="17"/>
  <c r="N218" i="17"/>
  <c r="O218" i="17"/>
  <c r="Q218" i="17"/>
  <c r="S218" i="17"/>
  <c r="T218" i="17"/>
  <c r="U218" i="17"/>
  <c r="V218" i="17"/>
  <c r="W218" i="17"/>
  <c r="H217" i="17"/>
  <c r="I217" i="17"/>
  <c r="J217" i="17"/>
  <c r="K217" i="17"/>
  <c r="N217" i="17"/>
  <c r="O217" i="17"/>
  <c r="Q217" i="17"/>
  <c r="S217" i="17"/>
  <c r="T217" i="17"/>
  <c r="U217" i="17"/>
  <c r="V217" i="17"/>
  <c r="W217" i="17"/>
  <c r="H215" i="17"/>
  <c r="I215" i="17"/>
  <c r="J215" i="17"/>
  <c r="K215" i="17"/>
  <c r="N215" i="17"/>
  <c r="O215" i="17"/>
  <c r="Q215" i="17"/>
  <c r="S215" i="17"/>
  <c r="T215" i="17"/>
  <c r="U215" i="17"/>
  <c r="V215" i="17"/>
  <c r="W215" i="17"/>
  <c r="H212" i="17"/>
  <c r="I212" i="17"/>
  <c r="J212" i="17"/>
  <c r="K212" i="17"/>
  <c r="N212" i="17"/>
  <c r="O212" i="17"/>
  <c r="Q212" i="17"/>
  <c r="S212" i="17"/>
  <c r="T212" i="17"/>
  <c r="U212" i="17"/>
  <c r="V212" i="17"/>
  <c r="W212" i="17"/>
  <c r="H211" i="17"/>
  <c r="I211" i="17"/>
  <c r="J211" i="17"/>
  <c r="K211" i="17"/>
  <c r="N211" i="17"/>
  <c r="O211" i="17"/>
  <c r="Q211" i="17"/>
  <c r="S211" i="17"/>
  <c r="T211" i="17"/>
  <c r="U211" i="17"/>
  <c r="V211" i="17"/>
  <c r="W211" i="17"/>
  <c r="H210" i="17"/>
  <c r="I210" i="17"/>
  <c r="J210" i="17"/>
  <c r="K210" i="17"/>
  <c r="N210" i="17"/>
  <c r="O210" i="17"/>
  <c r="Q210" i="17"/>
  <c r="S210" i="17"/>
  <c r="T210" i="17"/>
  <c r="U210" i="17"/>
  <c r="V210" i="17"/>
  <c r="W210" i="17"/>
  <c r="H209" i="17"/>
  <c r="I209" i="17"/>
  <c r="J209" i="17"/>
  <c r="K209" i="17"/>
  <c r="N209" i="17"/>
  <c r="O209" i="17"/>
  <c r="Q209" i="17"/>
  <c r="S209" i="17"/>
  <c r="T209" i="17"/>
  <c r="U209" i="17"/>
  <c r="V209" i="17"/>
  <c r="W209" i="17"/>
  <c r="H208" i="17"/>
  <c r="I208" i="17"/>
  <c r="J208" i="17"/>
  <c r="K208" i="17"/>
  <c r="N208" i="17"/>
  <c r="O208" i="17"/>
  <c r="Q208" i="17"/>
  <c r="S208" i="17"/>
  <c r="T208" i="17"/>
  <c r="U208" i="17"/>
  <c r="V208" i="17"/>
  <c r="W208" i="17"/>
  <c r="H207" i="17"/>
  <c r="I207" i="17"/>
  <c r="J207" i="17"/>
  <c r="K207" i="17"/>
  <c r="N207" i="17"/>
  <c r="O207" i="17"/>
  <c r="Q207" i="17"/>
  <c r="S207" i="17"/>
  <c r="T207" i="17"/>
  <c r="U207" i="17"/>
  <c r="V207" i="17"/>
  <c r="W207" i="17"/>
  <c r="H206" i="17"/>
  <c r="I206" i="17"/>
  <c r="J206" i="17"/>
  <c r="K206" i="17"/>
  <c r="N206" i="17"/>
  <c r="O206" i="17"/>
  <c r="Q206" i="17"/>
  <c r="S206" i="17"/>
  <c r="T206" i="17"/>
  <c r="U206" i="17"/>
  <c r="V206" i="17"/>
  <c r="W206" i="17"/>
  <c r="H205" i="17"/>
  <c r="I205" i="17"/>
  <c r="J205" i="17"/>
  <c r="K205" i="17"/>
  <c r="N205" i="17"/>
  <c r="O205" i="17"/>
  <c r="Q205" i="17"/>
  <c r="S205" i="17"/>
  <c r="T205" i="17"/>
  <c r="U205" i="17"/>
  <c r="V205" i="17"/>
  <c r="W205" i="17"/>
  <c r="H204" i="17"/>
  <c r="I204" i="17"/>
  <c r="J204" i="17"/>
  <c r="K204" i="17"/>
  <c r="N204" i="17"/>
  <c r="O204" i="17"/>
  <c r="Q204" i="17"/>
  <c r="S204" i="17"/>
  <c r="T204" i="17"/>
  <c r="U204" i="17"/>
  <c r="V204" i="17"/>
  <c r="W204" i="17"/>
  <c r="H203" i="17"/>
  <c r="I203" i="17"/>
  <c r="J203" i="17"/>
  <c r="K203" i="17"/>
  <c r="N203" i="17"/>
  <c r="O203" i="17"/>
  <c r="Q203" i="17"/>
  <c r="S203" i="17"/>
  <c r="T203" i="17"/>
  <c r="U203" i="17"/>
  <c r="V203" i="17"/>
  <c r="W203" i="17"/>
  <c r="H105" i="17"/>
  <c r="I105" i="17"/>
  <c r="J105" i="17"/>
  <c r="K105" i="17"/>
  <c r="N105" i="17"/>
  <c r="O105" i="17"/>
  <c r="Q105" i="17"/>
  <c r="S105" i="17"/>
  <c r="T105" i="17"/>
  <c r="U105" i="17"/>
  <c r="V105" i="17"/>
  <c r="W105" i="17"/>
  <c r="H104" i="17"/>
  <c r="I104" i="17"/>
  <c r="J104" i="17"/>
  <c r="K104" i="17"/>
  <c r="N104" i="17"/>
  <c r="O104" i="17"/>
  <c r="Q104" i="17"/>
  <c r="S104" i="17"/>
  <c r="T104" i="17"/>
  <c r="U104" i="17"/>
  <c r="V104" i="17"/>
  <c r="W104" i="17"/>
  <c r="H103" i="17"/>
  <c r="I103" i="17"/>
  <c r="J103" i="17"/>
  <c r="K103" i="17"/>
  <c r="N103" i="17"/>
  <c r="O103" i="17"/>
  <c r="Q103" i="17"/>
  <c r="S103" i="17"/>
  <c r="T103" i="17"/>
  <c r="U103" i="17"/>
  <c r="V103" i="17"/>
  <c r="W103" i="17"/>
  <c r="H102" i="17"/>
  <c r="I102" i="17"/>
  <c r="J102" i="17"/>
  <c r="K102" i="17"/>
  <c r="N102" i="17"/>
  <c r="O102" i="17"/>
  <c r="Q102" i="17"/>
  <c r="S102" i="17"/>
  <c r="T102" i="17"/>
  <c r="U102" i="17"/>
  <c r="V102" i="17"/>
  <c r="W102" i="17"/>
  <c r="H101" i="17"/>
  <c r="I101" i="17"/>
  <c r="J101" i="17"/>
  <c r="K101" i="17"/>
  <c r="N101" i="17"/>
  <c r="O101" i="17"/>
  <c r="Q101" i="17"/>
  <c r="S101" i="17"/>
  <c r="T101" i="17"/>
  <c r="U101" i="17"/>
  <c r="V101" i="17"/>
  <c r="W101" i="17"/>
  <c r="H100" i="17"/>
  <c r="I100" i="17"/>
  <c r="J100" i="17"/>
  <c r="K100" i="17"/>
  <c r="N100" i="17"/>
  <c r="O100" i="17"/>
  <c r="Q100" i="17"/>
  <c r="S100" i="17"/>
  <c r="T100" i="17"/>
  <c r="U100" i="17"/>
  <c r="V100" i="17"/>
  <c r="W100" i="17"/>
  <c r="H99" i="17"/>
  <c r="I99" i="17"/>
  <c r="J99" i="17"/>
  <c r="K99" i="17"/>
  <c r="N99" i="17"/>
  <c r="O99" i="17"/>
  <c r="Q99" i="17"/>
  <c r="S99" i="17"/>
  <c r="T99" i="17"/>
  <c r="U99" i="17"/>
  <c r="V99" i="17"/>
  <c r="W99" i="17"/>
  <c r="H98" i="17"/>
  <c r="I98" i="17"/>
  <c r="J98" i="17"/>
  <c r="K98" i="17"/>
  <c r="N98" i="17"/>
  <c r="O98" i="17"/>
  <c r="Q98" i="17"/>
  <c r="S98" i="17"/>
  <c r="T98" i="17"/>
  <c r="U98" i="17"/>
  <c r="V98" i="17"/>
  <c r="W98" i="17"/>
  <c r="H97" i="17"/>
  <c r="I97" i="17"/>
  <c r="J97" i="17"/>
  <c r="K97" i="17"/>
  <c r="N97" i="17"/>
  <c r="O97" i="17"/>
  <c r="Q97" i="17"/>
  <c r="S97" i="17"/>
  <c r="T97" i="17"/>
  <c r="U97" i="17"/>
  <c r="V97" i="17"/>
  <c r="W97" i="17"/>
  <c r="H96" i="17"/>
  <c r="I96" i="17"/>
  <c r="J96" i="17"/>
  <c r="K96" i="17"/>
  <c r="N96" i="17"/>
  <c r="O96" i="17"/>
  <c r="Q96" i="17"/>
  <c r="S96" i="17"/>
  <c r="T96" i="17"/>
  <c r="U96" i="17"/>
  <c r="V96" i="17"/>
  <c r="W96" i="17"/>
  <c r="H95" i="17"/>
  <c r="I95" i="17"/>
  <c r="J95" i="17"/>
  <c r="K95" i="17"/>
  <c r="N95" i="17"/>
  <c r="O95" i="17"/>
  <c r="Q95" i="17"/>
  <c r="S95" i="17"/>
  <c r="T95" i="17"/>
  <c r="U95" i="17"/>
  <c r="V95" i="17"/>
  <c r="W95" i="17"/>
  <c r="H94" i="17"/>
  <c r="I94" i="17"/>
  <c r="J94" i="17"/>
  <c r="K94" i="17"/>
  <c r="N94" i="17"/>
  <c r="O94" i="17"/>
  <c r="Q94" i="17"/>
  <c r="S94" i="17"/>
  <c r="T94" i="17"/>
  <c r="U94" i="17"/>
  <c r="V94" i="17"/>
  <c r="W94" i="17"/>
  <c r="H93" i="17"/>
  <c r="I93" i="17"/>
  <c r="J93" i="17"/>
  <c r="K93" i="17"/>
  <c r="N93" i="17"/>
  <c r="O93" i="17"/>
  <c r="Q93" i="17"/>
  <c r="S93" i="17"/>
  <c r="T93" i="17"/>
  <c r="U93" i="17"/>
  <c r="V93" i="17"/>
  <c r="W93" i="17"/>
  <c r="H92" i="17"/>
  <c r="I92" i="17"/>
  <c r="J92" i="17"/>
  <c r="K92" i="17"/>
  <c r="N92" i="17"/>
  <c r="O92" i="17"/>
  <c r="Q92" i="17"/>
  <c r="S92" i="17"/>
  <c r="T92" i="17"/>
  <c r="U92" i="17"/>
  <c r="V92" i="17"/>
  <c r="W92" i="17"/>
  <c r="H91" i="17"/>
  <c r="I91" i="17"/>
  <c r="J91" i="17"/>
  <c r="K91" i="17"/>
  <c r="N91" i="17"/>
  <c r="O91" i="17"/>
  <c r="Q91" i="17"/>
  <c r="S91" i="17"/>
  <c r="T91" i="17"/>
  <c r="U91" i="17"/>
  <c r="V91" i="17"/>
  <c r="W91" i="17"/>
  <c r="H90" i="17"/>
  <c r="I90" i="17"/>
  <c r="J90" i="17"/>
  <c r="K90" i="17"/>
  <c r="N90" i="17"/>
  <c r="O90" i="17"/>
  <c r="Q90" i="17"/>
  <c r="S90" i="17"/>
  <c r="T90" i="17"/>
  <c r="U90" i="17"/>
  <c r="V90" i="17"/>
  <c r="W90" i="17"/>
  <c r="H89" i="17"/>
  <c r="I89" i="17"/>
  <c r="J89" i="17"/>
  <c r="K89" i="17"/>
  <c r="N89" i="17"/>
  <c r="O89" i="17"/>
  <c r="Q89" i="17"/>
  <c r="S89" i="17"/>
  <c r="T89" i="17"/>
  <c r="U89" i="17"/>
  <c r="V89" i="17"/>
  <c r="W89" i="17"/>
  <c r="H88" i="17"/>
  <c r="I88" i="17"/>
  <c r="J88" i="17"/>
  <c r="K88" i="17"/>
  <c r="N88" i="17"/>
  <c r="O88" i="17"/>
  <c r="Q88" i="17"/>
  <c r="S88" i="17"/>
  <c r="T88" i="17"/>
  <c r="U88" i="17"/>
  <c r="V88" i="17"/>
  <c r="W88" i="17"/>
  <c r="H87" i="17"/>
  <c r="I87" i="17"/>
  <c r="J87" i="17"/>
  <c r="K87" i="17"/>
  <c r="N87" i="17"/>
  <c r="O87" i="17"/>
  <c r="Q87" i="17"/>
  <c r="S87" i="17"/>
  <c r="T87" i="17"/>
  <c r="U87" i="17"/>
  <c r="V87" i="17"/>
  <c r="W87" i="17"/>
  <c r="H86" i="17"/>
  <c r="I86" i="17"/>
  <c r="J86" i="17"/>
  <c r="K86" i="17"/>
  <c r="N86" i="17"/>
  <c r="O86" i="17"/>
  <c r="Q86" i="17"/>
  <c r="S86" i="17"/>
  <c r="T86" i="17"/>
  <c r="U86" i="17"/>
  <c r="V86" i="17"/>
  <c r="W86" i="17"/>
  <c r="H85" i="17"/>
  <c r="I85" i="17"/>
  <c r="J85" i="17"/>
  <c r="K85" i="17"/>
  <c r="N85" i="17"/>
  <c r="O85" i="17"/>
  <c r="Q85" i="17"/>
  <c r="S85" i="17"/>
  <c r="T85" i="17"/>
  <c r="U85" i="17"/>
  <c r="V85" i="17"/>
  <c r="W85" i="17"/>
  <c r="H81" i="17"/>
  <c r="I81" i="17"/>
  <c r="J81" i="17"/>
  <c r="K81" i="17"/>
  <c r="N81" i="17"/>
  <c r="O81" i="17"/>
  <c r="Q81" i="17"/>
  <c r="S81" i="17"/>
  <c r="T81" i="17"/>
  <c r="U81" i="17"/>
  <c r="V81" i="17"/>
  <c r="W81" i="17"/>
  <c r="H80" i="17"/>
  <c r="I80" i="17"/>
  <c r="J80" i="17"/>
  <c r="K80" i="17"/>
  <c r="N80" i="17"/>
  <c r="O80" i="17"/>
  <c r="Q80" i="17"/>
  <c r="S80" i="17"/>
  <c r="T80" i="17"/>
  <c r="U80" i="17"/>
  <c r="V80" i="17"/>
  <c r="W80" i="17"/>
  <c r="H79" i="17"/>
  <c r="I79" i="17"/>
  <c r="J79" i="17"/>
  <c r="K79" i="17"/>
  <c r="N79" i="17"/>
  <c r="O79" i="17"/>
  <c r="Q79" i="17"/>
  <c r="S79" i="17"/>
  <c r="T79" i="17"/>
  <c r="U79" i="17"/>
  <c r="V79" i="17"/>
  <c r="W79" i="17"/>
  <c r="H78" i="17"/>
  <c r="I78" i="17"/>
  <c r="K78" i="17"/>
  <c r="N78" i="17"/>
  <c r="O78" i="17"/>
  <c r="Q78" i="17"/>
  <c r="S78" i="17"/>
  <c r="T78" i="17"/>
  <c r="U78" i="17"/>
  <c r="V78" i="17"/>
  <c r="W78" i="17"/>
  <c r="H77" i="17"/>
  <c r="I77" i="17"/>
  <c r="J77" i="17"/>
  <c r="K77" i="17"/>
  <c r="N77" i="17"/>
  <c r="O77" i="17"/>
  <c r="Q77" i="17"/>
  <c r="S77" i="17"/>
  <c r="T77" i="17"/>
  <c r="U77" i="17"/>
  <c r="V77" i="17"/>
  <c r="W77" i="17"/>
  <c r="H76" i="17"/>
  <c r="I76" i="17"/>
  <c r="J76" i="17"/>
  <c r="K76" i="17"/>
  <c r="N76" i="17"/>
  <c r="O76" i="17"/>
  <c r="Q76" i="17"/>
  <c r="S76" i="17"/>
  <c r="T76" i="17"/>
  <c r="U76" i="17"/>
  <c r="V76" i="17"/>
  <c r="W76" i="17"/>
  <c r="H75" i="17"/>
  <c r="I75" i="17"/>
  <c r="J75" i="17"/>
  <c r="K75" i="17"/>
  <c r="N75" i="17"/>
  <c r="O75" i="17"/>
  <c r="Q75" i="17"/>
  <c r="S75" i="17"/>
  <c r="T75" i="17"/>
  <c r="U75" i="17"/>
  <c r="V75" i="17"/>
  <c r="W75" i="17"/>
  <c r="H74" i="17"/>
  <c r="I74" i="17"/>
  <c r="J74" i="17"/>
  <c r="K74" i="17"/>
  <c r="N74" i="17"/>
  <c r="O74" i="17"/>
  <c r="Q74" i="17"/>
  <c r="S74" i="17"/>
  <c r="T74" i="17"/>
  <c r="U74" i="17"/>
  <c r="V74" i="17"/>
  <c r="W74" i="17"/>
  <c r="H73" i="17"/>
  <c r="I73" i="17"/>
  <c r="J73" i="17"/>
  <c r="K73" i="17"/>
  <c r="N73" i="17"/>
  <c r="O73" i="17"/>
  <c r="Q73" i="17"/>
  <c r="S73" i="17"/>
  <c r="T73" i="17"/>
  <c r="U73" i="17"/>
  <c r="V73" i="17"/>
  <c r="W73" i="17"/>
  <c r="H72" i="17"/>
  <c r="I72" i="17"/>
  <c r="J72" i="17"/>
  <c r="K72" i="17"/>
  <c r="N72" i="17"/>
  <c r="O72" i="17"/>
  <c r="Q72" i="17"/>
  <c r="S72" i="17"/>
  <c r="T72" i="17"/>
  <c r="U72" i="17"/>
  <c r="V72" i="17"/>
  <c r="W72" i="17"/>
  <c r="H71" i="17"/>
  <c r="I71" i="17"/>
  <c r="J71" i="17"/>
  <c r="K71" i="17"/>
  <c r="N71" i="17"/>
  <c r="O71" i="17"/>
  <c r="Q71" i="17"/>
  <c r="S71" i="17"/>
  <c r="T71" i="17"/>
  <c r="U71" i="17"/>
  <c r="V71" i="17"/>
  <c r="W71" i="17"/>
  <c r="H70" i="17"/>
  <c r="I70" i="17"/>
  <c r="J70" i="17"/>
  <c r="K70" i="17"/>
  <c r="N70" i="17"/>
  <c r="O70" i="17"/>
  <c r="Q70" i="17"/>
  <c r="S70" i="17"/>
  <c r="T70" i="17"/>
  <c r="U70" i="17"/>
  <c r="V70" i="17"/>
  <c r="W70" i="17"/>
  <c r="H69" i="17"/>
  <c r="I69" i="17"/>
  <c r="J69" i="17"/>
  <c r="K69" i="17"/>
  <c r="N69" i="17"/>
  <c r="O69" i="17"/>
  <c r="Q69" i="17"/>
  <c r="S69" i="17"/>
  <c r="T69" i="17"/>
  <c r="U69" i="17"/>
  <c r="V69" i="17"/>
  <c r="W69" i="17"/>
  <c r="H68" i="17"/>
  <c r="I68" i="17"/>
  <c r="J68" i="17"/>
  <c r="K68" i="17"/>
  <c r="N68" i="17"/>
  <c r="O68" i="17"/>
  <c r="Q68" i="17"/>
  <c r="S68" i="17"/>
  <c r="T68" i="17"/>
  <c r="U68" i="17"/>
  <c r="V68" i="17"/>
  <c r="W68" i="17"/>
  <c r="H67" i="17"/>
  <c r="I67" i="17"/>
  <c r="J67" i="17"/>
  <c r="K67" i="17"/>
  <c r="N67" i="17"/>
  <c r="O67" i="17"/>
  <c r="Q67" i="17"/>
  <c r="S67" i="17"/>
  <c r="T67" i="17"/>
  <c r="U67" i="17"/>
  <c r="V67" i="17"/>
  <c r="W67" i="17"/>
  <c r="H66" i="17"/>
  <c r="I66" i="17"/>
  <c r="J66" i="17"/>
  <c r="K66" i="17"/>
  <c r="N66" i="17"/>
  <c r="O66" i="17"/>
  <c r="Q66" i="17"/>
  <c r="S66" i="17"/>
  <c r="T66" i="17"/>
  <c r="U66" i="17"/>
  <c r="V66" i="17"/>
  <c r="W66" i="17"/>
  <c r="H65" i="17"/>
  <c r="I65" i="17"/>
  <c r="J65" i="17"/>
  <c r="K65" i="17"/>
  <c r="N65" i="17"/>
  <c r="O65" i="17"/>
  <c r="Q65" i="17"/>
  <c r="S65" i="17"/>
  <c r="T65" i="17"/>
  <c r="U65" i="17"/>
  <c r="V65" i="17"/>
  <c r="W65" i="17"/>
  <c r="H64" i="17"/>
  <c r="I64" i="17"/>
  <c r="J64" i="17"/>
  <c r="K64" i="17"/>
  <c r="N64" i="17"/>
  <c r="O64" i="17"/>
  <c r="Q64" i="17"/>
  <c r="S64" i="17"/>
  <c r="T64" i="17"/>
  <c r="U64" i="17"/>
  <c r="V64" i="17"/>
  <c r="W64" i="17"/>
  <c r="H63" i="17"/>
  <c r="I63" i="17"/>
  <c r="J63" i="17"/>
  <c r="K63" i="17"/>
  <c r="N63" i="17"/>
  <c r="O63" i="17"/>
  <c r="Q63" i="17"/>
  <c r="S63" i="17"/>
  <c r="T63" i="17"/>
  <c r="U63" i="17"/>
  <c r="V63" i="17"/>
  <c r="W63" i="17"/>
  <c r="H62" i="17"/>
  <c r="I62" i="17"/>
  <c r="J62" i="17"/>
  <c r="K62" i="17"/>
  <c r="N62" i="17"/>
  <c r="O62" i="17"/>
  <c r="Q62" i="17"/>
  <c r="S62" i="17"/>
  <c r="T62" i="17"/>
  <c r="U62" i="17"/>
  <c r="V62" i="17"/>
  <c r="W62" i="17"/>
  <c r="H61" i="17"/>
  <c r="I61" i="17"/>
  <c r="J61" i="17"/>
  <c r="K61" i="17"/>
  <c r="N61" i="17"/>
  <c r="O61" i="17"/>
  <c r="Q61" i="17"/>
  <c r="S61" i="17"/>
  <c r="T61" i="17"/>
  <c r="U61" i="17"/>
  <c r="V61" i="17"/>
  <c r="W61" i="17"/>
  <c r="H56" i="17"/>
  <c r="I56" i="17"/>
  <c r="J56" i="17"/>
  <c r="K56" i="17"/>
  <c r="N56" i="17"/>
  <c r="O56" i="17"/>
  <c r="Q56" i="17"/>
  <c r="S56" i="17"/>
  <c r="T56" i="17"/>
  <c r="U56" i="17"/>
  <c r="V56" i="17"/>
  <c r="W56" i="17"/>
  <c r="H55" i="17"/>
  <c r="I55" i="17"/>
  <c r="J55" i="17"/>
  <c r="K55" i="17"/>
  <c r="N55" i="17"/>
  <c r="O55" i="17"/>
  <c r="Q55" i="17"/>
  <c r="S55" i="17"/>
  <c r="T55" i="17"/>
  <c r="U55" i="17"/>
  <c r="V55" i="17"/>
  <c r="W55" i="17"/>
  <c r="H54" i="17"/>
  <c r="I54" i="17"/>
  <c r="J54" i="17"/>
  <c r="K54" i="17"/>
  <c r="N54" i="17"/>
  <c r="O54" i="17"/>
  <c r="Q54" i="17"/>
  <c r="S54" i="17"/>
  <c r="T54" i="17"/>
  <c r="U54" i="17"/>
  <c r="V54" i="17"/>
  <c r="W54" i="17"/>
  <c r="H52" i="17"/>
  <c r="I52" i="17"/>
  <c r="J52" i="17"/>
  <c r="K52" i="17"/>
  <c r="N52" i="17"/>
  <c r="O52" i="17"/>
  <c r="Q52" i="17"/>
  <c r="S52" i="17"/>
  <c r="T52" i="17"/>
  <c r="U52" i="17"/>
  <c r="V52" i="17"/>
  <c r="W52" i="17"/>
  <c r="H51" i="17"/>
  <c r="I51" i="17"/>
  <c r="J51" i="17"/>
  <c r="K51" i="17"/>
  <c r="N51" i="17"/>
  <c r="O51" i="17"/>
  <c r="Q51" i="17"/>
  <c r="S51" i="17"/>
  <c r="T51" i="17"/>
  <c r="U51" i="17"/>
  <c r="V51" i="17"/>
  <c r="W51" i="17"/>
  <c r="H50" i="17"/>
  <c r="I50" i="17"/>
  <c r="J50" i="17"/>
  <c r="K50" i="17"/>
  <c r="N50" i="17"/>
  <c r="O50" i="17"/>
  <c r="Q50" i="17"/>
  <c r="S50" i="17"/>
  <c r="T50" i="17"/>
  <c r="U50" i="17"/>
  <c r="V50" i="17"/>
  <c r="W50" i="17"/>
  <c r="H49" i="17"/>
  <c r="I49" i="17"/>
  <c r="J49" i="17"/>
  <c r="K49" i="17"/>
  <c r="N49" i="17"/>
  <c r="O49" i="17"/>
  <c r="Q49" i="17"/>
  <c r="S49" i="17"/>
  <c r="T49" i="17"/>
  <c r="U49" i="17"/>
  <c r="V49" i="17"/>
  <c r="W49" i="17"/>
  <c r="H45" i="17"/>
  <c r="I45" i="17"/>
  <c r="J45" i="17"/>
  <c r="K45" i="17"/>
  <c r="N45" i="17"/>
  <c r="O45" i="17"/>
  <c r="Q45" i="17"/>
  <c r="S45" i="17"/>
  <c r="T45" i="17"/>
  <c r="U45" i="17"/>
  <c r="V45" i="17"/>
  <c r="W45" i="17"/>
  <c r="H43" i="17"/>
  <c r="I43" i="17"/>
  <c r="J43" i="17"/>
  <c r="K43" i="17"/>
  <c r="N43" i="17"/>
  <c r="O43" i="17"/>
  <c r="Q43" i="17"/>
  <c r="S43" i="17"/>
  <c r="T43" i="17"/>
  <c r="U43" i="17"/>
  <c r="V43" i="17"/>
  <c r="W43" i="17"/>
  <c r="H42" i="17"/>
  <c r="I42" i="17"/>
  <c r="J42" i="17"/>
  <c r="K42" i="17"/>
  <c r="N42" i="17"/>
  <c r="O42" i="17"/>
  <c r="Q42" i="17"/>
  <c r="S42" i="17"/>
  <c r="T42" i="17"/>
  <c r="U42" i="17"/>
  <c r="V42" i="17"/>
  <c r="W42" i="17"/>
  <c r="H41" i="17"/>
  <c r="I41" i="17"/>
  <c r="K41" i="17"/>
  <c r="N41" i="17"/>
  <c r="O41" i="17"/>
  <c r="Q41" i="17"/>
  <c r="S41" i="17"/>
  <c r="T41" i="17"/>
  <c r="U41" i="17"/>
  <c r="V41" i="17"/>
  <c r="W41" i="17"/>
  <c r="H40" i="17"/>
  <c r="I40" i="17"/>
  <c r="J40" i="17"/>
  <c r="K40" i="17"/>
  <c r="N40" i="17"/>
  <c r="O40" i="17"/>
  <c r="Q40" i="17"/>
  <c r="S40" i="17"/>
  <c r="T40" i="17"/>
  <c r="U40" i="17"/>
  <c r="V40" i="17"/>
  <c r="W40" i="17"/>
  <c r="H39" i="17"/>
  <c r="I39" i="17"/>
  <c r="J39" i="17"/>
  <c r="K39" i="17"/>
  <c r="N39" i="17"/>
  <c r="O39" i="17"/>
  <c r="Q39" i="17"/>
  <c r="S39" i="17"/>
  <c r="T39" i="17"/>
  <c r="U39" i="17"/>
  <c r="V39" i="17"/>
  <c r="W39" i="17"/>
  <c r="H38" i="17"/>
  <c r="I38" i="17"/>
  <c r="J38" i="17"/>
  <c r="K38" i="17"/>
  <c r="N38" i="17"/>
  <c r="O38" i="17"/>
  <c r="Q38" i="17"/>
  <c r="S38" i="17"/>
  <c r="T38" i="17"/>
  <c r="U38" i="17"/>
  <c r="V38" i="17"/>
  <c r="W38" i="17"/>
  <c r="H37" i="17"/>
  <c r="I37" i="17"/>
  <c r="J37" i="17"/>
  <c r="K37" i="17"/>
  <c r="N37" i="17"/>
  <c r="O37" i="17"/>
  <c r="Q37" i="17"/>
  <c r="S37" i="17"/>
  <c r="T37" i="17"/>
  <c r="U37" i="17"/>
  <c r="V37" i="17"/>
  <c r="W37" i="17"/>
  <c r="H36" i="17"/>
  <c r="I36" i="17"/>
  <c r="J36" i="17"/>
  <c r="K36" i="17"/>
  <c r="N36" i="17"/>
  <c r="O36" i="17"/>
  <c r="Q36" i="17"/>
  <c r="S36" i="17"/>
  <c r="T36" i="17"/>
  <c r="U36" i="17"/>
  <c r="V36" i="17"/>
  <c r="W36" i="17"/>
  <c r="H35" i="17"/>
  <c r="I35" i="17"/>
  <c r="J35" i="17"/>
  <c r="K35" i="17"/>
  <c r="N35" i="17"/>
  <c r="O35" i="17"/>
  <c r="Q35" i="17"/>
  <c r="S35" i="17"/>
  <c r="T35" i="17"/>
  <c r="U35" i="17"/>
  <c r="V35" i="17"/>
  <c r="W35" i="17"/>
  <c r="H34" i="17"/>
  <c r="I34" i="17"/>
  <c r="J34" i="17"/>
  <c r="K34" i="17"/>
  <c r="N34" i="17"/>
  <c r="O34" i="17"/>
  <c r="Q34" i="17"/>
  <c r="S34" i="17"/>
  <c r="T34" i="17"/>
  <c r="U34" i="17"/>
  <c r="V34" i="17"/>
  <c r="W34" i="17"/>
  <c r="H33" i="17"/>
  <c r="I33" i="17"/>
  <c r="J33" i="17"/>
  <c r="K33" i="17"/>
  <c r="N33" i="17"/>
  <c r="O33" i="17"/>
  <c r="Q33" i="17"/>
  <c r="S33" i="17"/>
  <c r="T33" i="17"/>
  <c r="U33" i="17"/>
  <c r="V33" i="17"/>
  <c r="W33" i="17"/>
  <c r="H32" i="17"/>
  <c r="I32" i="17"/>
  <c r="J32" i="17"/>
  <c r="K32" i="17"/>
  <c r="N32" i="17"/>
  <c r="O32" i="17"/>
  <c r="Q32" i="17"/>
  <c r="S32" i="17"/>
  <c r="T32" i="17"/>
  <c r="U32" i="17"/>
  <c r="V32" i="17"/>
  <c r="W32" i="17"/>
  <c r="H19" i="17"/>
  <c r="I19" i="17"/>
  <c r="J19" i="17"/>
  <c r="K19" i="17"/>
  <c r="N19" i="17"/>
  <c r="O19" i="17"/>
  <c r="Q19" i="17"/>
  <c r="S19" i="17"/>
  <c r="T19" i="17"/>
  <c r="U19" i="17"/>
  <c r="V19" i="17"/>
  <c r="W19" i="17"/>
  <c r="J31" i="17"/>
  <c r="H31" i="17"/>
  <c r="I31" i="17"/>
  <c r="K31" i="17"/>
  <c r="N31" i="17"/>
  <c r="O31" i="17"/>
  <c r="Q31" i="17"/>
  <c r="S31" i="17"/>
  <c r="T31" i="17"/>
  <c r="U31" i="17"/>
  <c r="V31" i="17"/>
  <c r="W31" i="17"/>
  <c r="H30" i="17"/>
  <c r="I30" i="17"/>
  <c r="J30" i="17"/>
  <c r="K30" i="17"/>
  <c r="N30" i="17"/>
  <c r="O30" i="17"/>
  <c r="Q30" i="17"/>
  <c r="S30" i="17"/>
  <c r="T30" i="17"/>
  <c r="U30" i="17"/>
  <c r="V30" i="17"/>
  <c r="W30" i="17"/>
  <c r="H28" i="17"/>
  <c r="I28" i="17"/>
  <c r="J28" i="17"/>
  <c r="K28" i="17"/>
  <c r="N28" i="17"/>
  <c r="O28" i="17"/>
  <c r="Q28" i="17"/>
  <c r="S28" i="17"/>
  <c r="T28" i="17"/>
  <c r="U28" i="17"/>
  <c r="V28" i="17"/>
  <c r="W28" i="17"/>
  <c r="H27" i="17"/>
  <c r="I27" i="17"/>
  <c r="J27" i="17"/>
  <c r="K27" i="17"/>
  <c r="N27" i="17"/>
  <c r="O27" i="17"/>
  <c r="Q27" i="17"/>
  <c r="S27" i="17"/>
  <c r="T27" i="17"/>
  <c r="U27" i="17"/>
  <c r="V27" i="17"/>
  <c r="W27" i="17"/>
  <c r="H26" i="17"/>
  <c r="I26" i="17"/>
  <c r="J26" i="17"/>
  <c r="K26" i="17"/>
  <c r="N26" i="17"/>
  <c r="O26" i="17"/>
  <c r="Q26" i="17"/>
  <c r="S26" i="17"/>
  <c r="T26" i="17"/>
  <c r="U26" i="17"/>
  <c r="V26" i="17"/>
  <c r="W26" i="17"/>
  <c r="H25" i="17"/>
  <c r="I25" i="17"/>
  <c r="J25" i="17"/>
  <c r="K25" i="17"/>
  <c r="N25" i="17"/>
  <c r="O25" i="17"/>
  <c r="Q25" i="17"/>
  <c r="S25" i="17"/>
  <c r="T25" i="17"/>
  <c r="U25" i="17"/>
  <c r="V25" i="17"/>
  <c r="W25" i="17"/>
  <c r="H24" i="17"/>
  <c r="I24" i="17"/>
  <c r="J24" i="17"/>
  <c r="K24" i="17"/>
  <c r="N24" i="17"/>
  <c r="O24" i="17"/>
  <c r="Q24" i="17"/>
  <c r="S24" i="17"/>
  <c r="T24" i="17"/>
  <c r="U24" i="17"/>
  <c r="V24" i="17"/>
  <c r="W24" i="17"/>
  <c r="H23" i="17"/>
  <c r="I23" i="17"/>
  <c r="J23" i="17"/>
  <c r="K23" i="17"/>
  <c r="N23" i="17"/>
  <c r="O23" i="17"/>
  <c r="Q23" i="17"/>
  <c r="S23" i="17"/>
  <c r="T23" i="17"/>
  <c r="U23" i="17"/>
  <c r="V23" i="17"/>
  <c r="W23" i="17"/>
  <c r="H22" i="17"/>
  <c r="I22" i="17"/>
  <c r="J22" i="17"/>
  <c r="K22" i="17"/>
  <c r="N22" i="17"/>
  <c r="O22" i="17"/>
  <c r="Q22" i="17"/>
  <c r="S22" i="17"/>
  <c r="T22" i="17"/>
  <c r="U22" i="17"/>
  <c r="V22" i="17"/>
  <c r="W22" i="17"/>
  <c r="H21" i="17"/>
  <c r="I21" i="17"/>
  <c r="J21" i="17"/>
  <c r="K21" i="17"/>
  <c r="N21" i="17"/>
  <c r="O21" i="17"/>
  <c r="Q21" i="17"/>
  <c r="S21" i="17"/>
  <c r="T21" i="17"/>
  <c r="U21" i="17"/>
  <c r="V21" i="17"/>
  <c r="W21" i="17"/>
  <c r="H20" i="17"/>
  <c r="I20" i="17"/>
  <c r="J20" i="17"/>
  <c r="K20" i="17"/>
  <c r="N20" i="17"/>
  <c r="O20" i="17"/>
  <c r="Q20" i="17"/>
  <c r="S20" i="17"/>
  <c r="T20" i="17"/>
  <c r="U20" i="17"/>
  <c r="V20" i="17"/>
  <c r="W20" i="17"/>
  <c r="O3" i="17"/>
  <c r="O4" i="17"/>
  <c r="O5" i="17"/>
  <c r="O6" i="17"/>
  <c r="O7" i="17"/>
  <c r="O8" i="17"/>
  <c r="O9" i="17"/>
  <c r="O10" i="17"/>
  <c r="O11" i="17"/>
  <c r="O12" i="17"/>
  <c r="O13" i="17"/>
  <c r="O14" i="17"/>
  <c r="O15" i="17"/>
  <c r="O16" i="17"/>
  <c r="O17" i="17"/>
  <c r="O18" i="17"/>
  <c r="O2" i="17"/>
  <c r="N3" i="17"/>
  <c r="N4" i="17"/>
  <c r="N5" i="17"/>
  <c r="N6" i="17"/>
  <c r="N7" i="17"/>
  <c r="N8" i="17"/>
  <c r="N9" i="17"/>
  <c r="N10" i="17"/>
  <c r="N11" i="17"/>
  <c r="N12" i="17"/>
  <c r="N13" i="17"/>
  <c r="N14" i="17"/>
  <c r="N15" i="17"/>
  <c r="N16" i="17"/>
  <c r="N17" i="17"/>
  <c r="N18" i="17"/>
  <c r="N2" i="17"/>
  <c r="K3" i="17"/>
  <c r="K4" i="17"/>
  <c r="K5" i="17"/>
  <c r="K6" i="17"/>
  <c r="K7" i="17"/>
  <c r="K8" i="17"/>
  <c r="K9" i="17"/>
  <c r="K10" i="17"/>
  <c r="K11" i="17"/>
  <c r="K12" i="17"/>
  <c r="K13" i="17"/>
  <c r="K14" i="17"/>
  <c r="K15" i="17"/>
  <c r="K16" i="17"/>
  <c r="K17" i="17"/>
  <c r="K18" i="17"/>
  <c r="K2" i="17"/>
  <c r="I3" i="17"/>
  <c r="I4" i="17"/>
  <c r="I5" i="17"/>
  <c r="I6" i="17"/>
  <c r="I7" i="17"/>
  <c r="I8" i="17"/>
  <c r="I9" i="17"/>
  <c r="I10" i="17"/>
  <c r="I11" i="17"/>
  <c r="I12" i="17"/>
  <c r="I13" i="17"/>
  <c r="I14" i="17"/>
  <c r="I15" i="17"/>
  <c r="I16" i="17"/>
  <c r="I17" i="17"/>
  <c r="I18" i="17"/>
  <c r="J2" i="17"/>
  <c r="J3" i="17"/>
  <c r="J4" i="17"/>
  <c r="J5" i="17"/>
  <c r="J6" i="17"/>
  <c r="J7" i="17"/>
  <c r="J8" i="17"/>
  <c r="J9" i="17"/>
  <c r="J10" i="17"/>
  <c r="J11" i="17"/>
  <c r="J12" i="17"/>
  <c r="J13" i="17"/>
  <c r="J14" i="17"/>
  <c r="J15" i="17"/>
  <c r="J16" i="17"/>
  <c r="J17" i="17"/>
  <c r="J18" i="17"/>
  <c r="H18" i="17"/>
  <c r="Q18" i="17"/>
  <c r="S18" i="17"/>
  <c r="T18" i="17"/>
  <c r="U18" i="17"/>
  <c r="V18" i="17"/>
  <c r="W18" i="17"/>
  <c r="H17" i="17"/>
  <c r="Q17" i="17"/>
  <c r="S17" i="17"/>
  <c r="T17" i="17"/>
  <c r="U17" i="17"/>
  <c r="V17" i="17"/>
  <c r="W17" i="17"/>
  <c r="H16" i="17"/>
  <c r="Q16" i="17"/>
  <c r="S16" i="17"/>
  <c r="T16" i="17"/>
  <c r="U16" i="17"/>
  <c r="V16" i="17"/>
  <c r="W16" i="17"/>
  <c r="H15" i="17"/>
  <c r="Q15" i="17"/>
  <c r="S15" i="17"/>
  <c r="T15" i="17"/>
  <c r="U15" i="17"/>
  <c r="V15" i="17"/>
  <c r="W15" i="17"/>
  <c r="H14" i="17"/>
  <c r="Q14" i="17"/>
  <c r="S14" i="17"/>
  <c r="T14" i="17"/>
  <c r="U14" i="17"/>
  <c r="V14" i="17"/>
  <c r="W14" i="17"/>
  <c r="H13" i="17"/>
  <c r="Q13" i="17"/>
  <c r="S13" i="17"/>
  <c r="T13" i="17"/>
  <c r="U13" i="17"/>
  <c r="V13" i="17"/>
  <c r="W13" i="17"/>
  <c r="H12" i="17"/>
  <c r="Q12" i="17"/>
  <c r="S12" i="17"/>
  <c r="T12" i="17"/>
  <c r="U12" i="17"/>
  <c r="V12" i="17"/>
  <c r="W12" i="17"/>
  <c r="H11" i="17"/>
  <c r="Q11" i="17"/>
  <c r="S11" i="17"/>
  <c r="T11" i="17"/>
  <c r="U11" i="17"/>
  <c r="V11" i="17"/>
  <c r="W11" i="17"/>
  <c r="H10" i="17"/>
  <c r="Q10" i="17"/>
  <c r="S10" i="17"/>
  <c r="T10" i="17"/>
  <c r="U10" i="17"/>
  <c r="V10" i="17"/>
  <c r="W10" i="17"/>
  <c r="H9" i="17"/>
  <c r="Q9" i="17"/>
  <c r="S9" i="17"/>
  <c r="T9" i="17"/>
  <c r="U9" i="17"/>
  <c r="V9" i="17"/>
  <c r="W9" i="17"/>
  <c r="H8" i="17"/>
  <c r="Q8" i="17"/>
  <c r="S8" i="17"/>
  <c r="T8" i="17"/>
  <c r="U8" i="17"/>
  <c r="V8" i="17"/>
  <c r="W8" i="17"/>
  <c r="H7" i="17"/>
  <c r="Q7" i="17"/>
  <c r="S7" i="17"/>
  <c r="T7" i="17"/>
  <c r="U7" i="17"/>
  <c r="V7" i="17"/>
  <c r="W7" i="17"/>
  <c r="H6" i="17"/>
  <c r="Q6" i="17"/>
  <c r="S6" i="17"/>
  <c r="T6" i="17"/>
  <c r="U6" i="17"/>
  <c r="V6" i="17"/>
  <c r="W6" i="17"/>
  <c r="H5" i="17"/>
  <c r="Q5" i="17"/>
  <c r="S5" i="17"/>
  <c r="T5" i="17"/>
  <c r="U5" i="17"/>
  <c r="V5" i="17"/>
  <c r="W5" i="17"/>
  <c r="H4" i="17"/>
  <c r="Q4" i="17"/>
  <c r="S4" i="17"/>
  <c r="T4" i="17"/>
  <c r="U4" i="17"/>
  <c r="V4" i="17"/>
  <c r="W4" i="17"/>
  <c r="H3" i="17"/>
  <c r="Q3" i="17"/>
  <c r="S3" i="17"/>
  <c r="T3" i="17"/>
  <c r="U3" i="17"/>
  <c r="V3" i="17"/>
  <c r="W3" i="17"/>
  <c r="I2" i="17"/>
  <c r="H2" i="17"/>
  <c r="Q2" i="17"/>
  <c r="S2" i="17"/>
  <c r="T2" i="17"/>
  <c r="U2" i="17"/>
  <c r="V2" i="17"/>
  <c r="W2" i="17"/>
  <c r="P103" i="16"/>
  <c r="P104" i="16"/>
  <c r="P2" i="16"/>
  <c r="P3" i="16"/>
  <c r="P4" i="16"/>
  <c r="P5" i="16"/>
  <c r="P6" i="16"/>
  <c r="P11" i="16"/>
  <c r="P13" i="16"/>
  <c r="P15" i="16"/>
  <c r="P16" i="16"/>
  <c r="P17" i="16"/>
  <c r="P18" i="16"/>
  <c r="P19" i="16"/>
  <c r="P20" i="16"/>
  <c r="P21" i="16"/>
  <c r="P22" i="16"/>
  <c r="P23" i="16"/>
  <c r="P24" i="16"/>
  <c r="P25" i="16"/>
  <c r="P26" i="16"/>
  <c r="P27" i="16"/>
  <c r="P28" i="16"/>
  <c r="P29" i="16"/>
  <c r="P30" i="16"/>
  <c r="P32" i="16"/>
  <c r="P33" i="16"/>
  <c r="P34" i="16"/>
  <c r="P36" i="16"/>
  <c r="P38" i="16"/>
  <c r="P39" i="16"/>
  <c r="P40" i="16"/>
  <c r="P41" i="16"/>
  <c r="P42" i="16"/>
  <c r="P43" i="16"/>
  <c r="P44" i="16"/>
  <c r="P45" i="16"/>
  <c r="P46" i="16"/>
  <c r="P47" i="16"/>
  <c r="P48" i="16"/>
  <c r="P49" i="16"/>
  <c r="P50" i="16"/>
  <c r="P52" i="16"/>
  <c r="P54" i="16"/>
  <c r="P57" i="16"/>
  <c r="P58" i="16"/>
  <c r="P60" i="16"/>
  <c r="P66" i="16"/>
  <c r="P67" i="16"/>
  <c r="P70" i="16"/>
  <c r="P73" i="16"/>
  <c r="P74" i="16"/>
  <c r="P12" i="16"/>
  <c r="P14" i="16"/>
  <c r="P31" i="16"/>
  <c r="P35" i="16"/>
  <c r="P37" i="16"/>
  <c r="P51" i="16"/>
  <c r="P53" i="16"/>
  <c r="P55" i="16"/>
  <c r="P56" i="16"/>
  <c r="P63" i="16"/>
  <c r="P64" i="16"/>
  <c r="P65" i="16"/>
  <c r="P68" i="16"/>
  <c r="P69" i="16"/>
  <c r="P71" i="16"/>
  <c r="P72" i="16"/>
  <c r="P75" i="16"/>
  <c r="P90" i="16"/>
  <c r="P91" i="16"/>
  <c r="P92" i="16"/>
  <c r="P99" i="16"/>
  <c r="P100" i="16"/>
  <c r="P101" i="16"/>
  <c r="P102" i="16"/>
  <c r="P105" i="16"/>
  <c r="P106" i="16"/>
  <c r="P107" i="16"/>
  <c r="P108" i="16"/>
  <c r="P109" i="16"/>
  <c r="P110" i="16"/>
  <c r="P111" i="16"/>
  <c r="P112" i="16"/>
  <c r="P113" i="16"/>
  <c r="P114" i="16"/>
  <c r="P115" i="16"/>
  <c r="T103" i="16"/>
  <c r="T104" i="16"/>
  <c r="T2" i="16"/>
  <c r="T3" i="16"/>
  <c r="T4" i="16"/>
  <c r="T5" i="16"/>
  <c r="T6" i="16"/>
  <c r="T11" i="16"/>
  <c r="T13" i="16"/>
  <c r="T15" i="16"/>
  <c r="T16" i="16"/>
  <c r="T17" i="16"/>
  <c r="T18" i="16"/>
  <c r="T19" i="16"/>
  <c r="T20" i="16"/>
  <c r="T21" i="16"/>
  <c r="T22" i="16"/>
  <c r="T23" i="16"/>
  <c r="T24" i="16"/>
  <c r="T25" i="16"/>
  <c r="T26" i="16"/>
  <c r="T27" i="16"/>
  <c r="T28" i="16"/>
  <c r="T29" i="16"/>
  <c r="T30" i="16"/>
  <c r="T32" i="16"/>
  <c r="T33" i="16"/>
  <c r="T34" i="16"/>
  <c r="T36" i="16"/>
  <c r="T38" i="16"/>
  <c r="T39" i="16"/>
  <c r="T40" i="16"/>
  <c r="T41" i="16"/>
  <c r="T42" i="16"/>
  <c r="T43" i="16"/>
  <c r="T44" i="16"/>
  <c r="T45" i="16"/>
  <c r="T46" i="16"/>
  <c r="T47" i="16"/>
  <c r="T48" i="16"/>
  <c r="T49" i="16"/>
  <c r="T50" i="16"/>
  <c r="T52" i="16"/>
  <c r="T54" i="16"/>
  <c r="T57" i="16"/>
  <c r="T58" i="16"/>
  <c r="T60" i="16"/>
  <c r="T66" i="16"/>
  <c r="T67" i="16"/>
  <c r="T70" i="16"/>
  <c r="T73" i="16"/>
  <c r="T74" i="16"/>
  <c r="T12" i="16"/>
  <c r="T14" i="16"/>
  <c r="T31" i="16"/>
  <c r="T35" i="16"/>
  <c r="T37" i="16"/>
  <c r="T51" i="16"/>
  <c r="T53" i="16"/>
  <c r="T55" i="16"/>
  <c r="T56" i="16"/>
  <c r="T63" i="16"/>
  <c r="T64" i="16"/>
  <c r="T65" i="16"/>
  <c r="T68" i="16"/>
  <c r="T69" i="16"/>
  <c r="T71" i="16"/>
  <c r="T72" i="16"/>
  <c r="T75" i="16"/>
  <c r="T90" i="16"/>
  <c r="T91" i="16"/>
  <c r="T92" i="16"/>
  <c r="T99" i="16"/>
  <c r="T100" i="16"/>
  <c r="T101" i="16"/>
  <c r="T102" i="16"/>
  <c r="T105" i="16"/>
  <c r="T106" i="16"/>
  <c r="T107" i="16"/>
  <c r="T108" i="16"/>
  <c r="T109" i="16"/>
  <c r="T110" i="16"/>
  <c r="T111" i="16"/>
  <c r="T112" i="16"/>
  <c r="T113" i="16"/>
  <c r="T114" i="16"/>
  <c r="T115" i="16"/>
  <c r="N207" i="5"/>
  <c r="R207" i="5"/>
  <c r="N203" i="5"/>
  <c r="N204" i="5"/>
  <c r="G34" i="6" s="1"/>
  <c r="N205" i="5"/>
  <c r="N206" i="5"/>
  <c r="R203" i="5"/>
  <c r="R204" i="5"/>
  <c r="R205" i="5"/>
  <c r="R206" i="5"/>
  <c r="P175" i="5"/>
  <c r="P86" i="5"/>
  <c r="P85" i="5"/>
  <c r="P167" i="5"/>
  <c r="P97" i="5"/>
  <c r="P166" i="5"/>
  <c r="P154" i="5"/>
  <c r="D34" i="6"/>
  <c r="D35" i="6"/>
  <c r="D36" i="6"/>
  <c r="D37" i="6"/>
  <c r="E34" i="6"/>
  <c r="E35" i="6"/>
  <c r="E36" i="6"/>
  <c r="E37" i="6"/>
  <c r="G35" i="6"/>
  <c r="G36" i="6"/>
  <c r="G37" i="6"/>
  <c r="J34" i="6"/>
  <c r="J35" i="6"/>
  <c r="J36" i="6"/>
  <c r="J37" i="6"/>
  <c r="K34" i="6"/>
  <c r="K35" i="6"/>
  <c r="K36" i="6"/>
  <c r="K37" i="6"/>
  <c r="M34" i="6"/>
  <c r="M35" i="6"/>
  <c r="M36" i="6"/>
  <c r="M37" i="6"/>
  <c r="O34" i="6"/>
  <c r="O35" i="6"/>
  <c r="O36" i="6"/>
  <c r="O37" i="6"/>
  <c r="P34" i="6"/>
  <c r="P35" i="6"/>
  <c r="P36" i="6"/>
  <c r="P37" i="6"/>
  <c r="Q34" i="6"/>
  <c r="Q35" i="6"/>
  <c r="Q36" i="6"/>
  <c r="Q37" i="6"/>
  <c r="R34" i="6"/>
  <c r="R35" i="6"/>
  <c r="R36" i="6"/>
  <c r="R37" i="6"/>
  <c r="S34" i="6"/>
  <c r="S35" i="6"/>
  <c r="S36" i="6"/>
  <c r="S37" i="6"/>
  <c r="D33" i="6"/>
  <c r="E33" i="6"/>
  <c r="G33" i="6"/>
  <c r="J33" i="6"/>
  <c r="K33" i="6"/>
  <c r="M33" i="6"/>
  <c r="O33" i="6"/>
  <c r="P33" i="6"/>
  <c r="Q33" i="6"/>
  <c r="R33" i="6"/>
  <c r="S33" i="6"/>
  <c r="D40" i="6"/>
  <c r="D42" i="6"/>
  <c r="D41" i="6"/>
  <c r="E40" i="6"/>
  <c r="E42" i="6"/>
  <c r="E41" i="6"/>
  <c r="J40" i="6"/>
  <c r="J42" i="6"/>
  <c r="J41" i="6"/>
  <c r="K40" i="6"/>
  <c r="K42" i="6"/>
  <c r="K41" i="6"/>
  <c r="M40" i="6"/>
  <c r="M42" i="6"/>
  <c r="M41" i="6"/>
  <c r="O40" i="6"/>
  <c r="O42" i="6"/>
  <c r="O41" i="6"/>
  <c r="P40" i="6"/>
  <c r="P42" i="6"/>
  <c r="P41" i="6"/>
  <c r="Q40" i="6"/>
  <c r="Q42" i="6"/>
  <c r="Q41" i="6"/>
  <c r="R40" i="6"/>
  <c r="R42" i="6"/>
  <c r="R41" i="6"/>
  <c r="S40" i="6"/>
  <c r="S42" i="6"/>
  <c r="S41" i="6"/>
  <c r="N201" i="5"/>
  <c r="F41" i="6" s="1"/>
  <c r="N202" i="5"/>
  <c r="F34" i="6" s="1"/>
  <c r="R201" i="5"/>
  <c r="R202" i="5"/>
  <c r="N200" i="5"/>
  <c r="G462" i="6" s="1"/>
  <c r="R200" i="5"/>
  <c r="D476" i="6"/>
  <c r="E476" i="6"/>
  <c r="J476" i="6"/>
  <c r="K476" i="6"/>
  <c r="M476" i="6"/>
  <c r="O476" i="6"/>
  <c r="P476" i="6"/>
  <c r="Q476" i="6"/>
  <c r="R476" i="6"/>
  <c r="S476" i="6"/>
  <c r="D475" i="6"/>
  <c r="E475" i="6"/>
  <c r="J475" i="6"/>
  <c r="K475" i="6"/>
  <c r="M475" i="6"/>
  <c r="O475" i="6"/>
  <c r="P475" i="6"/>
  <c r="Q475" i="6"/>
  <c r="R475" i="6"/>
  <c r="S475" i="6"/>
  <c r="D479" i="6"/>
  <c r="E479" i="6"/>
  <c r="J479" i="6"/>
  <c r="K479" i="6"/>
  <c r="M479" i="6"/>
  <c r="O479" i="6"/>
  <c r="P479" i="6"/>
  <c r="Q479" i="6"/>
  <c r="R479" i="6"/>
  <c r="S479" i="6"/>
  <c r="D462" i="6"/>
  <c r="E462" i="6"/>
  <c r="J462" i="6"/>
  <c r="K462" i="6"/>
  <c r="M462" i="6"/>
  <c r="O462" i="6"/>
  <c r="P462" i="6"/>
  <c r="Q462" i="6"/>
  <c r="R462" i="6"/>
  <c r="S462" i="6"/>
  <c r="D472" i="6"/>
  <c r="D484" i="6"/>
  <c r="D477" i="6"/>
  <c r="D478" i="6"/>
  <c r="E472" i="6"/>
  <c r="E484" i="6"/>
  <c r="E477" i="6"/>
  <c r="E478" i="6"/>
  <c r="J472" i="6"/>
  <c r="J484" i="6"/>
  <c r="J477" i="6"/>
  <c r="J478" i="6"/>
  <c r="K472" i="6"/>
  <c r="K484" i="6"/>
  <c r="K477" i="6"/>
  <c r="K478" i="6"/>
  <c r="M472" i="6"/>
  <c r="M484" i="6"/>
  <c r="M477" i="6"/>
  <c r="M478" i="6"/>
  <c r="O472" i="6"/>
  <c r="O484" i="6"/>
  <c r="O477" i="6"/>
  <c r="O478" i="6"/>
  <c r="P472" i="6"/>
  <c r="P484" i="6"/>
  <c r="P477" i="6"/>
  <c r="P478" i="6"/>
  <c r="Q472" i="6"/>
  <c r="Q484" i="6"/>
  <c r="Q477" i="6"/>
  <c r="Q478" i="6"/>
  <c r="R472" i="6"/>
  <c r="R484" i="6"/>
  <c r="R477" i="6"/>
  <c r="R478" i="6"/>
  <c r="S472" i="6"/>
  <c r="S484" i="6"/>
  <c r="S477" i="6"/>
  <c r="S478" i="6"/>
  <c r="D481" i="6"/>
  <c r="D482" i="6"/>
  <c r="D471" i="6"/>
  <c r="D473" i="6"/>
  <c r="D474" i="6"/>
  <c r="D480" i="6"/>
  <c r="D483" i="6"/>
  <c r="E481" i="6"/>
  <c r="E482" i="6"/>
  <c r="E471" i="6"/>
  <c r="E473" i="6"/>
  <c r="E474" i="6"/>
  <c r="E480" i="6"/>
  <c r="E483" i="6"/>
  <c r="J481" i="6"/>
  <c r="J482" i="6"/>
  <c r="J471" i="6"/>
  <c r="J473" i="6"/>
  <c r="J474" i="6"/>
  <c r="J480" i="6"/>
  <c r="J483" i="6"/>
  <c r="K481" i="6"/>
  <c r="K482" i="6"/>
  <c r="K471" i="6"/>
  <c r="K473" i="6"/>
  <c r="K474" i="6"/>
  <c r="K480" i="6"/>
  <c r="K483" i="6"/>
  <c r="M481" i="6"/>
  <c r="M482" i="6"/>
  <c r="M471" i="6"/>
  <c r="M473" i="6"/>
  <c r="M474" i="6"/>
  <c r="M480" i="6"/>
  <c r="M483" i="6"/>
  <c r="O481" i="6"/>
  <c r="O482" i="6"/>
  <c r="O471" i="6"/>
  <c r="O473" i="6"/>
  <c r="O474" i="6"/>
  <c r="O480" i="6"/>
  <c r="O483" i="6"/>
  <c r="P481" i="6"/>
  <c r="P482" i="6"/>
  <c r="P471" i="6"/>
  <c r="P473" i="6"/>
  <c r="P474" i="6"/>
  <c r="P480" i="6"/>
  <c r="P483" i="6"/>
  <c r="Q481" i="6"/>
  <c r="Q482" i="6"/>
  <c r="Q471" i="6"/>
  <c r="Q473" i="6"/>
  <c r="Q474" i="6"/>
  <c r="Q480" i="6"/>
  <c r="Q483" i="6"/>
  <c r="R481" i="6"/>
  <c r="R482" i="6"/>
  <c r="R471" i="6"/>
  <c r="R473" i="6"/>
  <c r="R474" i="6"/>
  <c r="R480" i="6"/>
  <c r="R483" i="6"/>
  <c r="S481" i="6"/>
  <c r="S482" i="6"/>
  <c r="S471" i="6"/>
  <c r="S473" i="6"/>
  <c r="S474" i="6"/>
  <c r="S480" i="6"/>
  <c r="S483" i="6"/>
  <c r="D289" i="6"/>
  <c r="D460" i="6"/>
  <c r="E289" i="6"/>
  <c r="E460" i="6"/>
  <c r="J289" i="6"/>
  <c r="J460" i="6"/>
  <c r="K289" i="6"/>
  <c r="K460" i="6"/>
  <c r="M289" i="6"/>
  <c r="M460" i="6"/>
  <c r="O289" i="6"/>
  <c r="O460" i="6"/>
  <c r="P289" i="6"/>
  <c r="P460" i="6"/>
  <c r="Q289" i="6"/>
  <c r="Q460" i="6"/>
  <c r="R289" i="6"/>
  <c r="R460" i="6"/>
  <c r="S289" i="6"/>
  <c r="S460" i="6"/>
  <c r="B33" i="15"/>
  <c r="C33" i="15"/>
  <c r="D33" i="15"/>
  <c r="E33" i="15"/>
  <c r="F33" i="15"/>
  <c r="G33" i="15"/>
  <c r="H33" i="15"/>
  <c r="I33" i="15"/>
  <c r="J33" i="15"/>
  <c r="K33" i="15"/>
  <c r="L33" i="15"/>
  <c r="N33" i="15"/>
  <c r="O33" i="15"/>
  <c r="P33" i="15"/>
  <c r="Q33" i="15"/>
  <c r="R33" i="15"/>
  <c r="S33" i="15"/>
  <c r="T33" i="15"/>
  <c r="U33" i="15"/>
  <c r="V33" i="15"/>
  <c r="M33" i="15"/>
  <c r="B34" i="15"/>
  <c r="C34" i="15"/>
  <c r="D34" i="15"/>
  <c r="E34" i="15"/>
  <c r="F34" i="15"/>
  <c r="G34" i="15"/>
  <c r="H34" i="15"/>
  <c r="I34" i="15"/>
  <c r="J34" i="15"/>
  <c r="K34" i="15"/>
  <c r="L34" i="15"/>
  <c r="N34" i="15"/>
  <c r="O34" i="15"/>
  <c r="P34" i="15"/>
  <c r="Q34" i="15"/>
  <c r="R34" i="15"/>
  <c r="S34" i="15"/>
  <c r="T34" i="15"/>
  <c r="T35" i="15" s="1"/>
  <c r="U34" i="15"/>
  <c r="V34" i="15"/>
  <c r="M34" i="15"/>
  <c r="R7" i="6"/>
  <c r="R8" i="6"/>
  <c r="R9" i="6"/>
  <c r="R3" i="6"/>
  <c r="R5" i="6"/>
  <c r="R6" i="6"/>
  <c r="R4" i="6"/>
  <c r="R2" i="6"/>
  <c r="R10" i="6"/>
  <c r="R20" i="6"/>
  <c r="R21" i="6"/>
  <c r="R13" i="6"/>
  <c r="R14" i="6"/>
  <c r="R23" i="6"/>
  <c r="R16" i="6"/>
  <c r="R17" i="6"/>
  <c r="R18" i="6"/>
  <c r="R19" i="6"/>
  <c r="R12" i="6"/>
  <c r="R22" i="6"/>
  <c r="R15" i="6"/>
  <c r="R28" i="6"/>
  <c r="R29" i="6"/>
  <c r="R27" i="6"/>
  <c r="R24" i="6"/>
  <c r="R25" i="6"/>
  <c r="R26" i="6"/>
  <c r="R11" i="6"/>
  <c r="R30" i="6"/>
  <c r="R31" i="6"/>
  <c r="R32" i="6"/>
  <c r="R38" i="6"/>
  <c r="R39" i="6"/>
  <c r="R48" i="6"/>
  <c r="R46" i="6"/>
  <c r="R47" i="6"/>
  <c r="R50" i="6"/>
  <c r="R51" i="6"/>
  <c r="R44" i="6"/>
  <c r="R49" i="6"/>
  <c r="R45" i="6"/>
  <c r="R43" i="6"/>
  <c r="R53" i="6"/>
  <c r="R63" i="6"/>
  <c r="R66" i="6"/>
  <c r="R62" i="6"/>
  <c r="R64" i="6"/>
  <c r="R65" i="6"/>
  <c r="R58" i="6"/>
  <c r="R60" i="6"/>
  <c r="R59" i="6"/>
  <c r="R61" i="6"/>
  <c r="R55" i="6"/>
  <c r="R54" i="6"/>
  <c r="R56" i="6"/>
  <c r="R57" i="6"/>
  <c r="R52" i="6"/>
  <c r="R67" i="6"/>
  <c r="R77" i="6"/>
  <c r="R76" i="6"/>
  <c r="R70" i="6"/>
  <c r="R75" i="6"/>
  <c r="R71" i="6"/>
  <c r="R68" i="6"/>
  <c r="R69" i="6"/>
  <c r="R72" i="6"/>
  <c r="R73" i="6"/>
  <c r="R74" i="6"/>
  <c r="R78" i="6"/>
  <c r="R89" i="6"/>
  <c r="R84" i="6"/>
  <c r="R90" i="6"/>
  <c r="R83" i="6"/>
  <c r="R85" i="6"/>
  <c r="R86" i="6"/>
  <c r="R87" i="6"/>
  <c r="R88" i="6"/>
  <c r="R79" i="6"/>
  <c r="R80" i="6"/>
  <c r="R81" i="6"/>
  <c r="R82" i="6"/>
  <c r="R91" i="6"/>
  <c r="R92" i="6"/>
  <c r="R93" i="6"/>
  <c r="R94" i="6"/>
  <c r="R98" i="6"/>
  <c r="R99" i="6"/>
  <c r="R100" i="6"/>
  <c r="R102" i="6"/>
  <c r="R104" i="6"/>
  <c r="R106" i="6"/>
  <c r="R101" i="6"/>
  <c r="R105" i="6"/>
  <c r="R97" i="6"/>
  <c r="R96" i="6"/>
  <c r="R95" i="6"/>
  <c r="R103" i="6"/>
  <c r="R117" i="6"/>
  <c r="R120" i="6"/>
  <c r="R109" i="6"/>
  <c r="R110" i="6"/>
  <c r="R111" i="6"/>
  <c r="R112" i="6"/>
  <c r="R113" i="6"/>
  <c r="R114" i="6"/>
  <c r="R116" i="6"/>
  <c r="R115" i="6"/>
  <c r="R107" i="6"/>
  <c r="R108" i="6"/>
  <c r="R118" i="6"/>
  <c r="R119" i="6"/>
  <c r="R124" i="6"/>
  <c r="R125" i="6"/>
  <c r="R126" i="6"/>
  <c r="R128" i="6"/>
  <c r="R129" i="6"/>
  <c r="R130" i="6"/>
  <c r="R131" i="6"/>
  <c r="R132" i="6"/>
  <c r="R133" i="6"/>
  <c r="R135" i="6"/>
  <c r="R136" i="6"/>
  <c r="R137" i="6"/>
  <c r="R141" i="6"/>
  <c r="R138" i="6"/>
  <c r="R139" i="6"/>
  <c r="R140" i="6"/>
  <c r="R127" i="6"/>
  <c r="R134" i="6"/>
  <c r="R123" i="6"/>
  <c r="R122" i="6"/>
  <c r="R121" i="6"/>
  <c r="R145" i="6"/>
  <c r="R144" i="6"/>
  <c r="R151" i="6"/>
  <c r="R152" i="6"/>
  <c r="R148" i="6"/>
  <c r="R149" i="6"/>
  <c r="R150" i="6"/>
  <c r="R146" i="6"/>
  <c r="R147" i="6"/>
  <c r="R143" i="6"/>
  <c r="R142" i="6"/>
  <c r="R154" i="6"/>
  <c r="R155" i="6"/>
  <c r="R156" i="6"/>
  <c r="R157" i="6"/>
  <c r="R165" i="6"/>
  <c r="R167" i="6"/>
  <c r="R168" i="6"/>
  <c r="R158" i="6"/>
  <c r="R160" i="6"/>
  <c r="R162" i="6"/>
  <c r="R163" i="6"/>
  <c r="R164" i="6"/>
  <c r="R153" i="6"/>
  <c r="R161" i="6"/>
  <c r="R166" i="6"/>
  <c r="R159" i="6"/>
  <c r="R169" i="6"/>
  <c r="R178" i="6"/>
  <c r="R179" i="6"/>
  <c r="R180" i="6"/>
  <c r="R181" i="6"/>
  <c r="R171" i="6"/>
  <c r="R173" i="6"/>
  <c r="R184" i="6"/>
  <c r="R175" i="6"/>
  <c r="R172" i="6"/>
  <c r="R170" i="6"/>
  <c r="R177" i="6"/>
  <c r="R174" i="6"/>
  <c r="R190" i="6"/>
  <c r="R176" i="6"/>
  <c r="R189" i="6"/>
  <c r="R191" i="6"/>
  <c r="R187" i="6"/>
  <c r="R188" i="6"/>
  <c r="R182" i="6"/>
  <c r="R183" i="6"/>
  <c r="R192" i="6"/>
  <c r="R185" i="6"/>
  <c r="R186" i="6"/>
  <c r="R265" i="6"/>
  <c r="R264" i="6"/>
  <c r="R197" i="6"/>
  <c r="R198" i="6"/>
  <c r="R262" i="6"/>
  <c r="R263" i="6"/>
  <c r="R266" i="6"/>
  <c r="R269" i="6"/>
  <c r="R267" i="6"/>
  <c r="R194" i="6"/>
  <c r="R195" i="6"/>
  <c r="R196" i="6"/>
  <c r="R268" i="6"/>
  <c r="R193"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76" i="6"/>
  <c r="R277" i="6"/>
  <c r="R278" i="6"/>
  <c r="R279" i="6"/>
  <c r="R280" i="6"/>
  <c r="R281" i="6"/>
  <c r="R274" i="6"/>
  <c r="R275" i="6"/>
  <c r="R272" i="6"/>
  <c r="R273" i="6"/>
  <c r="R271" i="6"/>
  <c r="R270" i="6"/>
  <c r="R283" i="6"/>
  <c r="R284" i="6"/>
  <c r="R285" i="6"/>
  <c r="R286" i="6"/>
  <c r="R287" i="6"/>
  <c r="R288" i="6"/>
  <c r="R282" i="6"/>
  <c r="R341" i="6"/>
  <c r="R342" i="6"/>
  <c r="R346" i="6"/>
  <c r="R344" i="6"/>
  <c r="R345" i="6"/>
  <c r="R343" i="6"/>
  <c r="R360" i="6"/>
  <c r="R357" i="6"/>
  <c r="R358" i="6"/>
  <c r="R290" i="6"/>
  <c r="R291" i="6"/>
  <c r="R292" i="6"/>
  <c r="R293" i="6"/>
  <c r="R294" i="6"/>
  <c r="R295" i="6"/>
  <c r="R296" i="6"/>
  <c r="R297" i="6"/>
  <c r="R298" i="6"/>
  <c r="R299" i="6"/>
  <c r="R359" i="6"/>
  <c r="R363" i="6"/>
  <c r="R365" i="6"/>
  <c r="R350" i="6"/>
  <c r="R362" i="6"/>
  <c r="R361" i="6"/>
  <c r="R349" i="6"/>
  <c r="R367" i="6"/>
  <c r="R351" i="6"/>
  <c r="R352" i="6"/>
  <c r="R369" i="6"/>
  <c r="R371" i="6"/>
  <c r="R353" i="6"/>
  <c r="R354" i="6"/>
  <c r="R373" i="6"/>
  <c r="R355" i="6"/>
  <c r="R356" i="6"/>
  <c r="R348" i="6"/>
  <c r="R347" i="6"/>
  <c r="R383" i="6"/>
  <c r="R389" i="6"/>
  <c r="R385" i="6"/>
  <c r="R403" i="6"/>
  <c r="R381" i="6"/>
  <c r="R387" i="6"/>
  <c r="R377" i="6"/>
  <c r="R405" i="6"/>
  <c r="R391" i="6"/>
  <c r="R406" i="6"/>
  <c r="R393" i="6"/>
  <c r="R395" i="6"/>
  <c r="R397" i="6"/>
  <c r="R399" i="6"/>
  <c r="R401" i="6"/>
  <c r="R404" i="6"/>
  <c r="R379" i="6"/>
  <c r="R375" i="6"/>
  <c r="R407" i="6"/>
  <c r="R412" i="6"/>
  <c r="R411" i="6"/>
  <c r="R410" i="6"/>
  <c r="R409" i="6"/>
  <c r="R408" i="6"/>
  <c r="R420" i="6"/>
  <c r="R414" i="6"/>
  <c r="R416" i="6"/>
  <c r="R418" i="6"/>
  <c r="R422" i="6"/>
  <c r="R424" i="6"/>
  <c r="R426" i="6"/>
  <c r="R428" i="6"/>
  <c r="R430" i="6"/>
  <c r="R432" i="6"/>
  <c r="R434" i="6"/>
  <c r="R436" i="6"/>
  <c r="R438" i="6"/>
  <c r="R440" i="6"/>
  <c r="R442" i="6"/>
  <c r="R364" i="6"/>
  <c r="R366" i="6"/>
  <c r="R368" i="6"/>
  <c r="R370" i="6"/>
  <c r="R372" i="6"/>
  <c r="R374" i="6"/>
  <c r="R376" i="6"/>
  <c r="R378" i="6"/>
  <c r="R380" i="6"/>
  <c r="R382" i="6"/>
  <c r="R384" i="6"/>
  <c r="R386" i="6"/>
  <c r="R388" i="6"/>
  <c r="R390" i="6"/>
  <c r="R392" i="6"/>
  <c r="R394" i="6"/>
  <c r="R396" i="6"/>
  <c r="R398" i="6"/>
  <c r="R400" i="6"/>
  <c r="R402" i="6"/>
  <c r="R444" i="6"/>
  <c r="R446" i="6"/>
  <c r="R413" i="6"/>
  <c r="R415" i="6"/>
  <c r="R417" i="6"/>
  <c r="R419" i="6"/>
  <c r="R421" i="6"/>
  <c r="R423" i="6"/>
  <c r="R425" i="6"/>
  <c r="R427" i="6"/>
  <c r="R429" i="6"/>
  <c r="R431" i="6"/>
  <c r="R433" i="6"/>
  <c r="R435" i="6"/>
  <c r="R437" i="6"/>
  <c r="R439" i="6"/>
  <c r="R441" i="6"/>
  <c r="R443" i="6"/>
  <c r="R445" i="6"/>
  <c r="R447" i="6"/>
  <c r="R449" i="6"/>
  <c r="R451" i="6"/>
  <c r="R453" i="6"/>
  <c r="R455" i="6"/>
  <c r="R457" i="6"/>
  <c r="R459" i="6"/>
  <c r="R461" i="6"/>
  <c r="R463" i="6"/>
  <c r="R464" i="6"/>
  <c r="R465" i="6"/>
  <c r="R466" i="6"/>
  <c r="R467" i="6"/>
  <c r="R468" i="6"/>
  <c r="R469" i="6"/>
  <c r="R470" i="6"/>
  <c r="R448" i="6"/>
  <c r="R450" i="6"/>
  <c r="R452" i="6"/>
  <c r="R454" i="6"/>
  <c r="R456" i="6"/>
  <c r="R458" i="6"/>
  <c r="R485" i="6"/>
  <c r="R487" i="6"/>
  <c r="R494" i="6"/>
  <c r="R496" i="6"/>
  <c r="R532" i="6"/>
  <c r="R500"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9" i="6"/>
  <c r="R537" i="6"/>
  <c r="R486" i="6"/>
  <c r="R488" i="6"/>
  <c r="R489" i="6"/>
  <c r="R490" i="6"/>
  <c r="R491" i="6"/>
  <c r="R495" i="6"/>
  <c r="R501" i="6"/>
  <c r="R528" i="6"/>
  <c r="R530" i="6"/>
  <c r="R535" i="6"/>
  <c r="R497" i="6"/>
  <c r="R498" i="6"/>
  <c r="R499" i="6"/>
  <c r="R533" i="6"/>
  <c r="R534" i="6"/>
  <c r="R536" i="6"/>
  <c r="R492" i="6"/>
  <c r="R493" i="6"/>
  <c r="R531" i="6"/>
  <c r="R312" i="6"/>
  <c r="R313" i="6"/>
  <c r="R319" i="6"/>
  <c r="R326" i="6"/>
  <c r="R327" i="6"/>
  <c r="R337" i="6"/>
  <c r="R310" i="6"/>
  <c r="R332" i="6"/>
  <c r="R330" i="6"/>
  <c r="R331" i="6"/>
  <c r="R333" i="6"/>
  <c r="R334" i="6"/>
  <c r="R335" i="6"/>
  <c r="R336" i="6"/>
  <c r="R305" i="6"/>
  <c r="R306" i="6"/>
  <c r="R307" i="6"/>
  <c r="R308" i="6"/>
  <c r="R309" i="6"/>
  <c r="R311" i="6"/>
  <c r="R314" i="6"/>
  <c r="R315" i="6"/>
  <c r="R316" i="6"/>
  <c r="R317" i="6"/>
  <c r="R318" i="6"/>
  <c r="R340" i="6"/>
  <c r="R320" i="6"/>
  <c r="R321" i="6"/>
  <c r="R322" i="6"/>
  <c r="R323" i="6"/>
  <c r="R324" i="6"/>
  <c r="R325" i="6"/>
  <c r="R328" i="6"/>
  <c r="R329" i="6"/>
  <c r="R338" i="6"/>
  <c r="R339" i="6"/>
  <c r="R303" i="6"/>
  <c r="R304" i="6"/>
  <c r="R300" i="6"/>
  <c r="R301" i="6"/>
  <c r="R302" i="6"/>
  <c r="K7" i="6"/>
  <c r="K8" i="6"/>
  <c r="K9" i="6"/>
  <c r="K3" i="6"/>
  <c r="K5" i="6"/>
  <c r="K6" i="6"/>
  <c r="K4" i="6"/>
  <c r="K2" i="6"/>
  <c r="K10" i="6"/>
  <c r="K20" i="6"/>
  <c r="K21" i="6"/>
  <c r="K13" i="6"/>
  <c r="K14" i="6"/>
  <c r="K23" i="6"/>
  <c r="K16" i="6"/>
  <c r="K17" i="6"/>
  <c r="K18" i="6"/>
  <c r="K19" i="6"/>
  <c r="K12" i="6"/>
  <c r="K22" i="6"/>
  <c r="K15" i="6"/>
  <c r="K28" i="6"/>
  <c r="K29" i="6"/>
  <c r="K27" i="6"/>
  <c r="K24" i="6"/>
  <c r="K25" i="6"/>
  <c r="K26" i="6"/>
  <c r="K11" i="6"/>
  <c r="K30" i="6"/>
  <c r="K31" i="6"/>
  <c r="K32" i="6"/>
  <c r="K38" i="6"/>
  <c r="K39" i="6"/>
  <c r="K48" i="6"/>
  <c r="K46" i="6"/>
  <c r="K47" i="6"/>
  <c r="K50" i="6"/>
  <c r="K51" i="6"/>
  <c r="K44" i="6"/>
  <c r="K49" i="6"/>
  <c r="K45" i="6"/>
  <c r="K43" i="6"/>
  <c r="K53" i="6"/>
  <c r="K63" i="6"/>
  <c r="K66" i="6"/>
  <c r="K62" i="6"/>
  <c r="K64" i="6"/>
  <c r="K65" i="6"/>
  <c r="K58" i="6"/>
  <c r="K60" i="6"/>
  <c r="K59" i="6"/>
  <c r="K61" i="6"/>
  <c r="K55" i="6"/>
  <c r="K54" i="6"/>
  <c r="K56" i="6"/>
  <c r="K57" i="6"/>
  <c r="K52" i="6"/>
  <c r="K67" i="6"/>
  <c r="K77" i="6"/>
  <c r="K76" i="6"/>
  <c r="K70" i="6"/>
  <c r="K75" i="6"/>
  <c r="K71" i="6"/>
  <c r="K68" i="6"/>
  <c r="K69" i="6"/>
  <c r="K72" i="6"/>
  <c r="K73" i="6"/>
  <c r="K74" i="6"/>
  <c r="K78" i="6"/>
  <c r="K89" i="6"/>
  <c r="K84" i="6"/>
  <c r="K90" i="6"/>
  <c r="K83" i="6"/>
  <c r="K85" i="6"/>
  <c r="K86" i="6"/>
  <c r="K87" i="6"/>
  <c r="K88" i="6"/>
  <c r="K79" i="6"/>
  <c r="K80" i="6"/>
  <c r="K81" i="6"/>
  <c r="K82" i="6"/>
  <c r="K91" i="6"/>
  <c r="K92" i="6"/>
  <c r="K93" i="6"/>
  <c r="K94" i="6"/>
  <c r="K98" i="6"/>
  <c r="K99" i="6"/>
  <c r="K100" i="6"/>
  <c r="K102" i="6"/>
  <c r="K104" i="6"/>
  <c r="K106" i="6"/>
  <c r="K101" i="6"/>
  <c r="K105" i="6"/>
  <c r="K97" i="6"/>
  <c r="K96" i="6"/>
  <c r="K95" i="6"/>
  <c r="K103" i="6"/>
  <c r="K117" i="6"/>
  <c r="K120" i="6"/>
  <c r="K109" i="6"/>
  <c r="K110" i="6"/>
  <c r="K111" i="6"/>
  <c r="K112" i="6"/>
  <c r="K113" i="6"/>
  <c r="K114" i="6"/>
  <c r="K116" i="6"/>
  <c r="K115" i="6"/>
  <c r="K107" i="6"/>
  <c r="K108" i="6"/>
  <c r="K118" i="6"/>
  <c r="K119" i="6"/>
  <c r="K124" i="6"/>
  <c r="K125" i="6"/>
  <c r="K126" i="6"/>
  <c r="K128" i="6"/>
  <c r="K129" i="6"/>
  <c r="K130" i="6"/>
  <c r="K131" i="6"/>
  <c r="K132" i="6"/>
  <c r="K133" i="6"/>
  <c r="K135" i="6"/>
  <c r="K136" i="6"/>
  <c r="K137" i="6"/>
  <c r="K141" i="6"/>
  <c r="K138" i="6"/>
  <c r="K139" i="6"/>
  <c r="K140" i="6"/>
  <c r="K127" i="6"/>
  <c r="K134" i="6"/>
  <c r="K123" i="6"/>
  <c r="K122" i="6"/>
  <c r="K121" i="6"/>
  <c r="K145" i="6"/>
  <c r="K144" i="6"/>
  <c r="K151" i="6"/>
  <c r="K152" i="6"/>
  <c r="K148" i="6"/>
  <c r="K149" i="6"/>
  <c r="K150" i="6"/>
  <c r="K146" i="6"/>
  <c r="K147" i="6"/>
  <c r="K143" i="6"/>
  <c r="K142" i="6"/>
  <c r="K154" i="6"/>
  <c r="K155" i="6"/>
  <c r="K156" i="6"/>
  <c r="K157" i="6"/>
  <c r="K165" i="6"/>
  <c r="K167" i="6"/>
  <c r="K168" i="6"/>
  <c r="K158" i="6"/>
  <c r="K160" i="6"/>
  <c r="K162" i="6"/>
  <c r="K163" i="6"/>
  <c r="K164" i="6"/>
  <c r="K153" i="6"/>
  <c r="K161" i="6"/>
  <c r="K166" i="6"/>
  <c r="K159" i="6"/>
  <c r="K169" i="6"/>
  <c r="K178" i="6"/>
  <c r="K179" i="6"/>
  <c r="K180" i="6"/>
  <c r="K181" i="6"/>
  <c r="K171" i="6"/>
  <c r="K173" i="6"/>
  <c r="K184" i="6"/>
  <c r="K175" i="6"/>
  <c r="K172" i="6"/>
  <c r="K170" i="6"/>
  <c r="K177" i="6"/>
  <c r="K174" i="6"/>
  <c r="K190" i="6"/>
  <c r="K176" i="6"/>
  <c r="K189" i="6"/>
  <c r="K191" i="6"/>
  <c r="K187" i="6"/>
  <c r="K188" i="6"/>
  <c r="K182" i="6"/>
  <c r="K183" i="6"/>
  <c r="K192" i="6"/>
  <c r="K185" i="6"/>
  <c r="K186" i="6"/>
  <c r="K265" i="6"/>
  <c r="K264" i="6"/>
  <c r="K197" i="6"/>
  <c r="K198" i="6"/>
  <c r="K262" i="6"/>
  <c r="K263" i="6"/>
  <c r="K266" i="6"/>
  <c r="K269" i="6"/>
  <c r="K267" i="6"/>
  <c r="K194" i="6"/>
  <c r="K195" i="6"/>
  <c r="K196" i="6"/>
  <c r="K268" i="6"/>
  <c r="K193"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76" i="6"/>
  <c r="K277" i="6"/>
  <c r="K278" i="6"/>
  <c r="K279" i="6"/>
  <c r="K280" i="6"/>
  <c r="K281" i="6"/>
  <c r="K274" i="6"/>
  <c r="K275" i="6"/>
  <c r="K272" i="6"/>
  <c r="K273" i="6"/>
  <c r="K271" i="6"/>
  <c r="K270" i="6"/>
  <c r="K283" i="6"/>
  <c r="K284" i="6"/>
  <c r="K285" i="6"/>
  <c r="K286" i="6"/>
  <c r="K287" i="6"/>
  <c r="K288" i="6"/>
  <c r="K282" i="6"/>
  <c r="K341" i="6"/>
  <c r="K342" i="6"/>
  <c r="K346" i="6"/>
  <c r="K344" i="6"/>
  <c r="K345" i="6"/>
  <c r="K343" i="6"/>
  <c r="K360" i="6"/>
  <c r="K357" i="6"/>
  <c r="K358" i="6"/>
  <c r="K290" i="6"/>
  <c r="K291" i="6"/>
  <c r="K292" i="6"/>
  <c r="K293" i="6"/>
  <c r="K294" i="6"/>
  <c r="K295" i="6"/>
  <c r="K296" i="6"/>
  <c r="K297" i="6"/>
  <c r="K298" i="6"/>
  <c r="K299" i="6"/>
  <c r="K359" i="6"/>
  <c r="K363" i="6"/>
  <c r="K365" i="6"/>
  <c r="K350" i="6"/>
  <c r="K362" i="6"/>
  <c r="K361" i="6"/>
  <c r="K349" i="6"/>
  <c r="K367" i="6"/>
  <c r="K351" i="6"/>
  <c r="K352" i="6"/>
  <c r="K369" i="6"/>
  <c r="K371" i="6"/>
  <c r="K353" i="6"/>
  <c r="K354" i="6"/>
  <c r="K373" i="6"/>
  <c r="K355" i="6"/>
  <c r="K356" i="6"/>
  <c r="K348" i="6"/>
  <c r="K347" i="6"/>
  <c r="K383" i="6"/>
  <c r="K389" i="6"/>
  <c r="K385" i="6"/>
  <c r="K403" i="6"/>
  <c r="K381" i="6"/>
  <c r="K387" i="6"/>
  <c r="K377" i="6"/>
  <c r="K405" i="6"/>
  <c r="K391" i="6"/>
  <c r="K406" i="6"/>
  <c r="K393" i="6"/>
  <c r="K395" i="6"/>
  <c r="K397" i="6"/>
  <c r="K399" i="6"/>
  <c r="K401" i="6"/>
  <c r="K404" i="6"/>
  <c r="K379" i="6"/>
  <c r="K375" i="6"/>
  <c r="K407" i="6"/>
  <c r="K412" i="6"/>
  <c r="K411" i="6"/>
  <c r="K410" i="6"/>
  <c r="K409" i="6"/>
  <c r="K408" i="6"/>
  <c r="K420" i="6"/>
  <c r="K414" i="6"/>
  <c r="K416" i="6"/>
  <c r="K418" i="6"/>
  <c r="K422" i="6"/>
  <c r="K424" i="6"/>
  <c r="K426" i="6"/>
  <c r="K428" i="6"/>
  <c r="K430" i="6"/>
  <c r="K432" i="6"/>
  <c r="K434" i="6"/>
  <c r="K436" i="6"/>
  <c r="K438" i="6"/>
  <c r="K440" i="6"/>
  <c r="K442" i="6"/>
  <c r="K364" i="6"/>
  <c r="K366" i="6"/>
  <c r="K368" i="6"/>
  <c r="K370" i="6"/>
  <c r="K372" i="6"/>
  <c r="K374" i="6"/>
  <c r="K376" i="6"/>
  <c r="K378" i="6"/>
  <c r="K380" i="6"/>
  <c r="K382" i="6"/>
  <c r="K384" i="6"/>
  <c r="K386" i="6"/>
  <c r="K388" i="6"/>
  <c r="K390" i="6"/>
  <c r="K392" i="6"/>
  <c r="K394" i="6"/>
  <c r="K396" i="6"/>
  <c r="K398" i="6"/>
  <c r="K400" i="6"/>
  <c r="K402" i="6"/>
  <c r="K444" i="6"/>
  <c r="K446" i="6"/>
  <c r="K413" i="6"/>
  <c r="K415" i="6"/>
  <c r="K417" i="6"/>
  <c r="K419" i="6"/>
  <c r="K421" i="6"/>
  <c r="K423" i="6"/>
  <c r="K425" i="6"/>
  <c r="K427" i="6"/>
  <c r="K429" i="6"/>
  <c r="K431" i="6"/>
  <c r="K433" i="6"/>
  <c r="K435" i="6"/>
  <c r="K437" i="6"/>
  <c r="K439" i="6"/>
  <c r="K441" i="6"/>
  <c r="K443" i="6"/>
  <c r="K445" i="6"/>
  <c r="K447" i="6"/>
  <c r="K449" i="6"/>
  <c r="K451" i="6"/>
  <c r="K453" i="6"/>
  <c r="K455" i="6"/>
  <c r="K457" i="6"/>
  <c r="K459" i="6"/>
  <c r="K461" i="6"/>
  <c r="K463" i="6"/>
  <c r="K464" i="6"/>
  <c r="K465" i="6"/>
  <c r="K466" i="6"/>
  <c r="K467" i="6"/>
  <c r="K468" i="6"/>
  <c r="K469" i="6"/>
  <c r="K470" i="6"/>
  <c r="K448" i="6"/>
  <c r="K450" i="6"/>
  <c r="K452" i="6"/>
  <c r="K454" i="6"/>
  <c r="K456" i="6"/>
  <c r="K458" i="6"/>
  <c r="K485" i="6"/>
  <c r="K487" i="6"/>
  <c r="K494" i="6"/>
  <c r="K496" i="6"/>
  <c r="K532" i="6"/>
  <c r="K500"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9" i="6"/>
  <c r="K537" i="6"/>
  <c r="K486" i="6"/>
  <c r="K488" i="6"/>
  <c r="K489" i="6"/>
  <c r="K490" i="6"/>
  <c r="K491" i="6"/>
  <c r="K495" i="6"/>
  <c r="K501" i="6"/>
  <c r="K528" i="6"/>
  <c r="K530" i="6"/>
  <c r="K535" i="6"/>
  <c r="K497" i="6"/>
  <c r="K498" i="6"/>
  <c r="K499" i="6"/>
  <c r="K533" i="6"/>
  <c r="K534" i="6"/>
  <c r="K536" i="6"/>
  <c r="K492" i="6"/>
  <c r="K493" i="6"/>
  <c r="K531" i="6"/>
  <c r="K312" i="6"/>
  <c r="K313" i="6"/>
  <c r="K319" i="6"/>
  <c r="K326" i="6"/>
  <c r="K327" i="6"/>
  <c r="K337" i="6"/>
  <c r="K310" i="6"/>
  <c r="K332" i="6"/>
  <c r="K330" i="6"/>
  <c r="K331" i="6"/>
  <c r="K333" i="6"/>
  <c r="K334" i="6"/>
  <c r="K335" i="6"/>
  <c r="K336" i="6"/>
  <c r="K305" i="6"/>
  <c r="K306" i="6"/>
  <c r="K307" i="6"/>
  <c r="K308" i="6"/>
  <c r="K309" i="6"/>
  <c r="K311" i="6"/>
  <c r="K314" i="6"/>
  <c r="K315" i="6"/>
  <c r="K316" i="6"/>
  <c r="K317" i="6"/>
  <c r="K318" i="6"/>
  <c r="K340" i="6"/>
  <c r="K320" i="6"/>
  <c r="K321" i="6"/>
  <c r="K322" i="6"/>
  <c r="K323" i="6"/>
  <c r="K324" i="6"/>
  <c r="K325" i="6"/>
  <c r="K328" i="6"/>
  <c r="K329" i="6"/>
  <c r="K338" i="6"/>
  <c r="K339" i="6"/>
  <c r="K303" i="6"/>
  <c r="K304" i="6"/>
  <c r="K300" i="6"/>
  <c r="K301" i="6"/>
  <c r="K302" i="6"/>
  <c r="J7" i="6"/>
  <c r="J8" i="6"/>
  <c r="J9" i="6"/>
  <c r="J3" i="6"/>
  <c r="J5" i="6"/>
  <c r="J6" i="6"/>
  <c r="J4" i="6"/>
  <c r="J2" i="6"/>
  <c r="J10" i="6"/>
  <c r="J20" i="6"/>
  <c r="J21" i="6"/>
  <c r="J13" i="6"/>
  <c r="J14" i="6"/>
  <c r="J23" i="6"/>
  <c r="J16" i="6"/>
  <c r="J17" i="6"/>
  <c r="J18" i="6"/>
  <c r="J19" i="6"/>
  <c r="J12" i="6"/>
  <c r="J22" i="6"/>
  <c r="J15" i="6"/>
  <c r="J28" i="6"/>
  <c r="J29" i="6"/>
  <c r="J27" i="6"/>
  <c r="J24" i="6"/>
  <c r="J25" i="6"/>
  <c r="J26" i="6"/>
  <c r="J11" i="6"/>
  <c r="J30" i="6"/>
  <c r="J31" i="6"/>
  <c r="J32" i="6"/>
  <c r="J38" i="6"/>
  <c r="J39" i="6"/>
  <c r="J48" i="6"/>
  <c r="J46" i="6"/>
  <c r="J47" i="6"/>
  <c r="J50" i="6"/>
  <c r="J51" i="6"/>
  <c r="J44" i="6"/>
  <c r="J49" i="6"/>
  <c r="J45" i="6"/>
  <c r="J43" i="6"/>
  <c r="J53" i="6"/>
  <c r="J63" i="6"/>
  <c r="J66" i="6"/>
  <c r="J62" i="6"/>
  <c r="J64" i="6"/>
  <c r="J65" i="6"/>
  <c r="J58" i="6"/>
  <c r="J60" i="6"/>
  <c r="J59" i="6"/>
  <c r="J61" i="6"/>
  <c r="J55" i="6"/>
  <c r="J54" i="6"/>
  <c r="J56" i="6"/>
  <c r="J57" i="6"/>
  <c r="J52" i="6"/>
  <c r="J67" i="6"/>
  <c r="J77" i="6"/>
  <c r="J76" i="6"/>
  <c r="J70" i="6"/>
  <c r="J75" i="6"/>
  <c r="J71" i="6"/>
  <c r="J68" i="6"/>
  <c r="J69" i="6"/>
  <c r="J72" i="6"/>
  <c r="J73" i="6"/>
  <c r="J74" i="6"/>
  <c r="J78" i="6"/>
  <c r="J89" i="6"/>
  <c r="J84" i="6"/>
  <c r="J90" i="6"/>
  <c r="J83" i="6"/>
  <c r="J85" i="6"/>
  <c r="J86" i="6"/>
  <c r="J87" i="6"/>
  <c r="J88" i="6"/>
  <c r="J79" i="6"/>
  <c r="J80" i="6"/>
  <c r="J81" i="6"/>
  <c r="J82" i="6"/>
  <c r="J91" i="6"/>
  <c r="J92" i="6"/>
  <c r="J93" i="6"/>
  <c r="J94" i="6"/>
  <c r="J98" i="6"/>
  <c r="J99" i="6"/>
  <c r="J100" i="6"/>
  <c r="J102" i="6"/>
  <c r="J104" i="6"/>
  <c r="J106" i="6"/>
  <c r="J101" i="6"/>
  <c r="J105" i="6"/>
  <c r="J97" i="6"/>
  <c r="J96" i="6"/>
  <c r="J95" i="6"/>
  <c r="J103" i="6"/>
  <c r="J117" i="6"/>
  <c r="J120" i="6"/>
  <c r="J109" i="6"/>
  <c r="J110" i="6"/>
  <c r="J111" i="6"/>
  <c r="J112" i="6"/>
  <c r="J113" i="6"/>
  <c r="J114" i="6"/>
  <c r="J116" i="6"/>
  <c r="J115" i="6"/>
  <c r="J107" i="6"/>
  <c r="J108" i="6"/>
  <c r="J118" i="6"/>
  <c r="J119" i="6"/>
  <c r="J124" i="6"/>
  <c r="J125" i="6"/>
  <c r="J126" i="6"/>
  <c r="J128" i="6"/>
  <c r="J129" i="6"/>
  <c r="J130" i="6"/>
  <c r="J131" i="6"/>
  <c r="J132" i="6"/>
  <c r="J133" i="6"/>
  <c r="J135" i="6"/>
  <c r="J136" i="6"/>
  <c r="J137" i="6"/>
  <c r="J141" i="6"/>
  <c r="J138" i="6"/>
  <c r="J139" i="6"/>
  <c r="J140" i="6"/>
  <c r="J127" i="6"/>
  <c r="J134" i="6"/>
  <c r="J123" i="6"/>
  <c r="J122" i="6"/>
  <c r="J121" i="6"/>
  <c r="J145" i="6"/>
  <c r="J144" i="6"/>
  <c r="J151" i="6"/>
  <c r="J152" i="6"/>
  <c r="J148" i="6"/>
  <c r="J149" i="6"/>
  <c r="J150" i="6"/>
  <c r="J146" i="6"/>
  <c r="J147" i="6"/>
  <c r="J143" i="6"/>
  <c r="J142" i="6"/>
  <c r="J154" i="6"/>
  <c r="J155" i="6"/>
  <c r="J156" i="6"/>
  <c r="J157" i="6"/>
  <c r="J165" i="6"/>
  <c r="J167" i="6"/>
  <c r="J168" i="6"/>
  <c r="J158" i="6"/>
  <c r="J160" i="6"/>
  <c r="J162" i="6"/>
  <c r="J163" i="6"/>
  <c r="J164" i="6"/>
  <c r="J153" i="6"/>
  <c r="J161" i="6"/>
  <c r="J166" i="6"/>
  <c r="J159" i="6"/>
  <c r="J169" i="6"/>
  <c r="J178" i="6"/>
  <c r="J179" i="6"/>
  <c r="J180" i="6"/>
  <c r="J181" i="6"/>
  <c r="J171" i="6"/>
  <c r="J173" i="6"/>
  <c r="J184" i="6"/>
  <c r="J175" i="6"/>
  <c r="J172" i="6"/>
  <c r="J170" i="6"/>
  <c r="J177" i="6"/>
  <c r="J174" i="6"/>
  <c r="J190" i="6"/>
  <c r="J176" i="6"/>
  <c r="J189" i="6"/>
  <c r="J191" i="6"/>
  <c r="J187" i="6"/>
  <c r="J188" i="6"/>
  <c r="J182" i="6"/>
  <c r="J183" i="6"/>
  <c r="J192" i="6"/>
  <c r="J185" i="6"/>
  <c r="J186" i="6"/>
  <c r="J265" i="6"/>
  <c r="J264" i="6"/>
  <c r="J197" i="6"/>
  <c r="J198" i="6"/>
  <c r="J262" i="6"/>
  <c r="J263" i="6"/>
  <c r="J266" i="6"/>
  <c r="J269" i="6"/>
  <c r="J267" i="6"/>
  <c r="J194" i="6"/>
  <c r="J195" i="6"/>
  <c r="J196" i="6"/>
  <c r="J268" i="6"/>
  <c r="J193"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76" i="6"/>
  <c r="J277" i="6"/>
  <c r="J278" i="6"/>
  <c r="J279" i="6"/>
  <c r="J280" i="6"/>
  <c r="J281" i="6"/>
  <c r="J274" i="6"/>
  <c r="J275" i="6"/>
  <c r="J272" i="6"/>
  <c r="J273" i="6"/>
  <c r="J271" i="6"/>
  <c r="J270" i="6"/>
  <c r="J283" i="6"/>
  <c r="J284" i="6"/>
  <c r="J285" i="6"/>
  <c r="J286" i="6"/>
  <c r="J287" i="6"/>
  <c r="J288" i="6"/>
  <c r="J282" i="6"/>
  <c r="J341" i="6"/>
  <c r="J342" i="6"/>
  <c r="J346" i="6"/>
  <c r="J344" i="6"/>
  <c r="J345" i="6"/>
  <c r="J343" i="6"/>
  <c r="J360" i="6"/>
  <c r="J357" i="6"/>
  <c r="J358" i="6"/>
  <c r="J290" i="6"/>
  <c r="J291" i="6"/>
  <c r="J292" i="6"/>
  <c r="J293" i="6"/>
  <c r="J294" i="6"/>
  <c r="J295" i="6"/>
  <c r="J296" i="6"/>
  <c r="J297" i="6"/>
  <c r="J298" i="6"/>
  <c r="J299" i="6"/>
  <c r="J359" i="6"/>
  <c r="J363" i="6"/>
  <c r="J365" i="6"/>
  <c r="J350" i="6"/>
  <c r="J362" i="6"/>
  <c r="J361" i="6"/>
  <c r="J349" i="6"/>
  <c r="J367" i="6"/>
  <c r="J351" i="6"/>
  <c r="J352" i="6"/>
  <c r="J369" i="6"/>
  <c r="J371" i="6"/>
  <c r="J353" i="6"/>
  <c r="J354" i="6"/>
  <c r="J373" i="6"/>
  <c r="J355" i="6"/>
  <c r="J356" i="6"/>
  <c r="J348" i="6"/>
  <c r="J347" i="6"/>
  <c r="J383" i="6"/>
  <c r="J389" i="6"/>
  <c r="J385" i="6"/>
  <c r="J403" i="6"/>
  <c r="J381" i="6"/>
  <c r="J387" i="6"/>
  <c r="J377" i="6"/>
  <c r="J405" i="6"/>
  <c r="J391" i="6"/>
  <c r="J406" i="6"/>
  <c r="J393" i="6"/>
  <c r="J395" i="6"/>
  <c r="J397" i="6"/>
  <c r="J399" i="6"/>
  <c r="J401" i="6"/>
  <c r="J404" i="6"/>
  <c r="J379" i="6"/>
  <c r="J375" i="6"/>
  <c r="J407" i="6"/>
  <c r="J412" i="6"/>
  <c r="J411" i="6"/>
  <c r="J410" i="6"/>
  <c r="J409" i="6"/>
  <c r="J408" i="6"/>
  <c r="J420" i="6"/>
  <c r="J414" i="6"/>
  <c r="J416" i="6"/>
  <c r="J418" i="6"/>
  <c r="J422" i="6"/>
  <c r="J424" i="6"/>
  <c r="J426" i="6"/>
  <c r="J428" i="6"/>
  <c r="J430" i="6"/>
  <c r="J432" i="6"/>
  <c r="J434" i="6"/>
  <c r="J436" i="6"/>
  <c r="J438" i="6"/>
  <c r="J440" i="6"/>
  <c r="J442" i="6"/>
  <c r="J364" i="6"/>
  <c r="J366" i="6"/>
  <c r="J368" i="6"/>
  <c r="J370" i="6"/>
  <c r="J372" i="6"/>
  <c r="J374" i="6"/>
  <c r="J376" i="6"/>
  <c r="J378" i="6"/>
  <c r="J380" i="6"/>
  <c r="J382" i="6"/>
  <c r="J384" i="6"/>
  <c r="J386" i="6"/>
  <c r="J388" i="6"/>
  <c r="J390" i="6"/>
  <c r="J392" i="6"/>
  <c r="J394" i="6"/>
  <c r="J396" i="6"/>
  <c r="J398" i="6"/>
  <c r="J400" i="6"/>
  <c r="J402" i="6"/>
  <c r="J444" i="6"/>
  <c r="J446" i="6"/>
  <c r="J413" i="6"/>
  <c r="J415" i="6"/>
  <c r="J417" i="6"/>
  <c r="J419" i="6"/>
  <c r="J421" i="6"/>
  <c r="J423" i="6"/>
  <c r="J425" i="6"/>
  <c r="J427" i="6"/>
  <c r="J429" i="6"/>
  <c r="J431" i="6"/>
  <c r="J433" i="6"/>
  <c r="J435" i="6"/>
  <c r="J437" i="6"/>
  <c r="J439" i="6"/>
  <c r="J441" i="6"/>
  <c r="J443" i="6"/>
  <c r="J445" i="6"/>
  <c r="J447" i="6"/>
  <c r="J449" i="6"/>
  <c r="J451" i="6"/>
  <c r="J453" i="6"/>
  <c r="J455" i="6"/>
  <c r="J457" i="6"/>
  <c r="J459" i="6"/>
  <c r="J461" i="6"/>
  <c r="J463" i="6"/>
  <c r="J464" i="6"/>
  <c r="J465" i="6"/>
  <c r="J466" i="6"/>
  <c r="J467" i="6"/>
  <c r="J468" i="6"/>
  <c r="J469" i="6"/>
  <c r="J470" i="6"/>
  <c r="J448" i="6"/>
  <c r="J450" i="6"/>
  <c r="J452" i="6"/>
  <c r="J454" i="6"/>
  <c r="J456" i="6"/>
  <c r="J458" i="6"/>
  <c r="J485" i="6"/>
  <c r="J487" i="6"/>
  <c r="J494" i="6"/>
  <c r="J496" i="6"/>
  <c r="J532" i="6"/>
  <c r="J500"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9" i="6"/>
  <c r="J537" i="6"/>
  <c r="J486" i="6"/>
  <c r="J488" i="6"/>
  <c r="J489" i="6"/>
  <c r="J490" i="6"/>
  <c r="J491" i="6"/>
  <c r="J495" i="6"/>
  <c r="J501" i="6"/>
  <c r="J528" i="6"/>
  <c r="J530" i="6"/>
  <c r="J535" i="6"/>
  <c r="J497" i="6"/>
  <c r="J498" i="6"/>
  <c r="J499" i="6"/>
  <c r="J533" i="6"/>
  <c r="J534" i="6"/>
  <c r="J536" i="6"/>
  <c r="J492" i="6"/>
  <c r="J493" i="6"/>
  <c r="J531" i="6"/>
  <c r="J312" i="6"/>
  <c r="J313" i="6"/>
  <c r="J319" i="6"/>
  <c r="J326" i="6"/>
  <c r="J327" i="6"/>
  <c r="J337" i="6"/>
  <c r="J310" i="6"/>
  <c r="J332" i="6"/>
  <c r="J330" i="6"/>
  <c r="J331" i="6"/>
  <c r="J333" i="6"/>
  <c r="J334" i="6"/>
  <c r="J335" i="6"/>
  <c r="J336" i="6"/>
  <c r="J305" i="6"/>
  <c r="J306" i="6"/>
  <c r="J307" i="6"/>
  <c r="J308" i="6"/>
  <c r="J309" i="6"/>
  <c r="J311" i="6"/>
  <c r="J314" i="6"/>
  <c r="J315" i="6"/>
  <c r="J316" i="6"/>
  <c r="J317" i="6"/>
  <c r="J318" i="6"/>
  <c r="J340" i="6"/>
  <c r="J320" i="6"/>
  <c r="J321" i="6"/>
  <c r="J322" i="6"/>
  <c r="J323" i="6"/>
  <c r="J324" i="6"/>
  <c r="J325" i="6"/>
  <c r="J328" i="6"/>
  <c r="J329" i="6"/>
  <c r="J338" i="6"/>
  <c r="J339" i="6"/>
  <c r="J303" i="6"/>
  <c r="J304" i="6"/>
  <c r="J300" i="6"/>
  <c r="J301" i="6"/>
  <c r="J302" i="6"/>
  <c r="E7" i="6"/>
  <c r="E8" i="6"/>
  <c r="E9" i="6"/>
  <c r="E3" i="6"/>
  <c r="E5" i="6"/>
  <c r="E6" i="6"/>
  <c r="E4" i="6"/>
  <c r="E2" i="6"/>
  <c r="E10" i="6"/>
  <c r="E20" i="6"/>
  <c r="E21" i="6"/>
  <c r="E13" i="6"/>
  <c r="E14" i="6"/>
  <c r="E23" i="6"/>
  <c r="E16" i="6"/>
  <c r="E17" i="6"/>
  <c r="E18" i="6"/>
  <c r="E19" i="6"/>
  <c r="E12" i="6"/>
  <c r="E22" i="6"/>
  <c r="E15" i="6"/>
  <c r="E28" i="6"/>
  <c r="E29" i="6"/>
  <c r="E27" i="6"/>
  <c r="E24" i="6"/>
  <c r="E25" i="6"/>
  <c r="E26" i="6"/>
  <c r="E11" i="6"/>
  <c r="E30" i="6"/>
  <c r="E31" i="6"/>
  <c r="E32" i="6"/>
  <c r="E38" i="6"/>
  <c r="E39" i="6"/>
  <c r="E48" i="6"/>
  <c r="E46" i="6"/>
  <c r="E47" i="6"/>
  <c r="E50" i="6"/>
  <c r="E51" i="6"/>
  <c r="E44" i="6"/>
  <c r="E49" i="6"/>
  <c r="E45" i="6"/>
  <c r="E43" i="6"/>
  <c r="E53" i="6"/>
  <c r="E63" i="6"/>
  <c r="E66" i="6"/>
  <c r="E62" i="6"/>
  <c r="E64" i="6"/>
  <c r="E65" i="6"/>
  <c r="E58" i="6"/>
  <c r="E60" i="6"/>
  <c r="E59" i="6"/>
  <c r="E61" i="6"/>
  <c r="E55" i="6"/>
  <c r="E54" i="6"/>
  <c r="E56" i="6"/>
  <c r="E57" i="6"/>
  <c r="E52" i="6"/>
  <c r="E67" i="6"/>
  <c r="E77" i="6"/>
  <c r="E76" i="6"/>
  <c r="E70" i="6"/>
  <c r="E75" i="6"/>
  <c r="E71" i="6"/>
  <c r="E68" i="6"/>
  <c r="E69" i="6"/>
  <c r="E72" i="6"/>
  <c r="E73" i="6"/>
  <c r="E74" i="6"/>
  <c r="E78" i="6"/>
  <c r="E89" i="6"/>
  <c r="E84" i="6"/>
  <c r="E90" i="6"/>
  <c r="E83" i="6"/>
  <c r="E85" i="6"/>
  <c r="E86" i="6"/>
  <c r="E87" i="6"/>
  <c r="E88" i="6"/>
  <c r="E79" i="6"/>
  <c r="E80" i="6"/>
  <c r="E81" i="6"/>
  <c r="E82" i="6"/>
  <c r="E91" i="6"/>
  <c r="E92" i="6"/>
  <c r="E93" i="6"/>
  <c r="E94" i="6"/>
  <c r="E98" i="6"/>
  <c r="E99" i="6"/>
  <c r="E100" i="6"/>
  <c r="E102" i="6"/>
  <c r="E104" i="6"/>
  <c r="E106" i="6"/>
  <c r="E101" i="6"/>
  <c r="E105" i="6"/>
  <c r="E97" i="6"/>
  <c r="E96" i="6"/>
  <c r="E95" i="6"/>
  <c r="E103" i="6"/>
  <c r="E117" i="6"/>
  <c r="E120" i="6"/>
  <c r="E109" i="6"/>
  <c r="E110" i="6"/>
  <c r="E111" i="6"/>
  <c r="E112" i="6"/>
  <c r="E113" i="6"/>
  <c r="E114" i="6"/>
  <c r="E116" i="6"/>
  <c r="E115" i="6"/>
  <c r="E107" i="6"/>
  <c r="E108" i="6"/>
  <c r="E118" i="6"/>
  <c r="E119" i="6"/>
  <c r="E124" i="6"/>
  <c r="E125" i="6"/>
  <c r="E126" i="6"/>
  <c r="E128" i="6"/>
  <c r="E129" i="6"/>
  <c r="E130" i="6"/>
  <c r="E131" i="6"/>
  <c r="E132" i="6"/>
  <c r="E133" i="6"/>
  <c r="E135" i="6"/>
  <c r="E136" i="6"/>
  <c r="E137" i="6"/>
  <c r="E141" i="6"/>
  <c r="E138" i="6"/>
  <c r="E139" i="6"/>
  <c r="E140" i="6"/>
  <c r="E127" i="6"/>
  <c r="E134" i="6"/>
  <c r="E123" i="6"/>
  <c r="E122" i="6"/>
  <c r="E121" i="6"/>
  <c r="E145" i="6"/>
  <c r="E144" i="6"/>
  <c r="E151" i="6"/>
  <c r="E152" i="6"/>
  <c r="E148" i="6"/>
  <c r="E149" i="6"/>
  <c r="E150" i="6"/>
  <c r="E146" i="6"/>
  <c r="E147" i="6"/>
  <c r="E143" i="6"/>
  <c r="E142" i="6"/>
  <c r="E154" i="6"/>
  <c r="E155" i="6"/>
  <c r="E156" i="6"/>
  <c r="E157" i="6"/>
  <c r="E165" i="6"/>
  <c r="E167" i="6"/>
  <c r="E168" i="6"/>
  <c r="E158" i="6"/>
  <c r="E160" i="6"/>
  <c r="E162" i="6"/>
  <c r="E163" i="6"/>
  <c r="E164" i="6"/>
  <c r="E153" i="6"/>
  <c r="E161" i="6"/>
  <c r="E166" i="6"/>
  <c r="E159" i="6"/>
  <c r="E169" i="6"/>
  <c r="E178" i="6"/>
  <c r="E179" i="6"/>
  <c r="E180" i="6"/>
  <c r="E181" i="6"/>
  <c r="E171" i="6"/>
  <c r="E173" i="6"/>
  <c r="E184" i="6"/>
  <c r="E175" i="6"/>
  <c r="E172" i="6"/>
  <c r="E170" i="6"/>
  <c r="E177" i="6"/>
  <c r="E174" i="6"/>
  <c r="E190" i="6"/>
  <c r="E176" i="6"/>
  <c r="E189" i="6"/>
  <c r="E191" i="6"/>
  <c r="E187" i="6"/>
  <c r="E188" i="6"/>
  <c r="E182" i="6"/>
  <c r="E183" i="6"/>
  <c r="E192" i="6"/>
  <c r="E185" i="6"/>
  <c r="E186" i="6"/>
  <c r="E265" i="6"/>
  <c r="E264" i="6"/>
  <c r="E197" i="6"/>
  <c r="E198" i="6"/>
  <c r="E262" i="6"/>
  <c r="E263" i="6"/>
  <c r="E266" i="6"/>
  <c r="E269" i="6"/>
  <c r="E267" i="6"/>
  <c r="E194" i="6"/>
  <c r="E195" i="6"/>
  <c r="E196" i="6"/>
  <c r="E268" i="6"/>
  <c r="E193"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76" i="6"/>
  <c r="E277" i="6"/>
  <c r="E278" i="6"/>
  <c r="E279" i="6"/>
  <c r="E280" i="6"/>
  <c r="E281" i="6"/>
  <c r="E274" i="6"/>
  <c r="E275" i="6"/>
  <c r="E272" i="6"/>
  <c r="E273" i="6"/>
  <c r="E271" i="6"/>
  <c r="E270" i="6"/>
  <c r="E283" i="6"/>
  <c r="E284" i="6"/>
  <c r="E285" i="6"/>
  <c r="E286" i="6"/>
  <c r="E287" i="6"/>
  <c r="E288" i="6"/>
  <c r="E282" i="6"/>
  <c r="E341" i="6"/>
  <c r="E342" i="6"/>
  <c r="E346" i="6"/>
  <c r="E344" i="6"/>
  <c r="E345" i="6"/>
  <c r="E343" i="6"/>
  <c r="E360" i="6"/>
  <c r="E357" i="6"/>
  <c r="E358" i="6"/>
  <c r="E290" i="6"/>
  <c r="E291" i="6"/>
  <c r="E292" i="6"/>
  <c r="E293" i="6"/>
  <c r="E294" i="6"/>
  <c r="E295" i="6"/>
  <c r="E296" i="6"/>
  <c r="E297" i="6"/>
  <c r="E298" i="6"/>
  <c r="E299" i="6"/>
  <c r="E359" i="6"/>
  <c r="E363" i="6"/>
  <c r="E365" i="6"/>
  <c r="E350" i="6"/>
  <c r="E362" i="6"/>
  <c r="E361" i="6"/>
  <c r="E349" i="6"/>
  <c r="E367" i="6"/>
  <c r="E351" i="6"/>
  <c r="E352" i="6"/>
  <c r="E369" i="6"/>
  <c r="E371" i="6"/>
  <c r="E353" i="6"/>
  <c r="E354" i="6"/>
  <c r="E373" i="6"/>
  <c r="E355" i="6"/>
  <c r="E356" i="6"/>
  <c r="E348" i="6"/>
  <c r="E347" i="6"/>
  <c r="E383" i="6"/>
  <c r="E389" i="6"/>
  <c r="E385" i="6"/>
  <c r="E403" i="6"/>
  <c r="E381" i="6"/>
  <c r="E387" i="6"/>
  <c r="E377" i="6"/>
  <c r="E405" i="6"/>
  <c r="E391" i="6"/>
  <c r="E406" i="6"/>
  <c r="E393" i="6"/>
  <c r="E395" i="6"/>
  <c r="E397" i="6"/>
  <c r="E399" i="6"/>
  <c r="E401" i="6"/>
  <c r="E404" i="6"/>
  <c r="E379" i="6"/>
  <c r="E375" i="6"/>
  <c r="E407" i="6"/>
  <c r="E412" i="6"/>
  <c r="E411" i="6"/>
  <c r="E410" i="6"/>
  <c r="E409" i="6"/>
  <c r="E408" i="6"/>
  <c r="E420" i="6"/>
  <c r="E414" i="6"/>
  <c r="E416" i="6"/>
  <c r="E418" i="6"/>
  <c r="E422" i="6"/>
  <c r="E424" i="6"/>
  <c r="E426" i="6"/>
  <c r="E428" i="6"/>
  <c r="E430" i="6"/>
  <c r="E432" i="6"/>
  <c r="E434" i="6"/>
  <c r="E436" i="6"/>
  <c r="E438" i="6"/>
  <c r="E440" i="6"/>
  <c r="E442" i="6"/>
  <c r="E364" i="6"/>
  <c r="E366" i="6"/>
  <c r="E368" i="6"/>
  <c r="E370" i="6"/>
  <c r="E372" i="6"/>
  <c r="E374" i="6"/>
  <c r="E376" i="6"/>
  <c r="E378" i="6"/>
  <c r="E380" i="6"/>
  <c r="E382" i="6"/>
  <c r="E384" i="6"/>
  <c r="E386" i="6"/>
  <c r="E388" i="6"/>
  <c r="E390" i="6"/>
  <c r="E392" i="6"/>
  <c r="E394" i="6"/>
  <c r="E396" i="6"/>
  <c r="E398" i="6"/>
  <c r="E400" i="6"/>
  <c r="E402" i="6"/>
  <c r="E444" i="6"/>
  <c r="E446" i="6"/>
  <c r="E413" i="6"/>
  <c r="E415" i="6"/>
  <c r="E417" i="6"/>
  <c r="E419" i="6"/>
  <c r="E421" i="6"/>
  <c r="E423" i="6"/>
  <c r="E425" i="6"/>
  <c r="E427" i="6"/>
  <c r="E429" i="6"/>
  <c r="E431" i="6"/>
  <c r="E433" i="6"/>
  <c r="E435" i="6"/>
  <c r="E437" i="6"/>
  <c r="E439" i="6"/>
  <c r="E441" i="6"/>
  <c r="E443" i="6"/>
  <c r="E445" i="6"/>
  <c r="E447" i="6"/>
  <c r="E449" i="6"/>
  <c r="E451" i="6"/>
  <c r="E453" i="6"/>
  <c r="E455" i="6"/>
  <c r="E457" i="6"/>
  <c r="E459" i="6"/>
  <c r="E461" i="6"/>
  <c r="E463" i="6"/>
  <c r="E464" i="6"/>
  <c r="E465" i="6"/>
  <c r="E466" i="6"/>
  <c r="E467" i="6"/>
  <c r="E468" i="6"/>
  <c r="E469" i="6"/>
  <c r="E470" i="6"/>
  <c r="E448" i="6"/>
  <c r="E450" i="6"/>
  <c r="E452" i="6"/>
  <c r="E454" i="6"/>
  <c r="E456" i="6"/>
  <c r="E458" i="6"/>
  <c r="E485" i="6"/>
  <c r="E487" i="6"/>
  <c r="E494" i="6"/>
  <c r="E496" i="6"/>
  <c r="E532" i="6"/>
  <c r="E500"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9" i="6"/>
  <c r="E537" i="6"/>
  <c r="E486" i="6"/>
  <c r="E488" i="6"/>
  <c r="E489" i="6"/>
  <c r="E490" i="6"/>
  <c r="E491" i="6"/>
  <c r="E495" i="6"/>
  <c r="E501" i="6"/>
  <c r="E528" i="6"/>
  <c r="E530" i="6"/>
  <c r="E535" i="6"/>
  <c r="E497" i="6"/>
  <c r="E498" i="6"/>
  <c r="E499" i="6"/>
  <c r="E533" i="6"/>
  <c r="E534" i="6"/>
  <c r="E536" i="6"/>
  <c r="E492" i="6"/>
  <c r="E493" i="6"/>
  <c r="E531" i="6"/>
  <c r="E312" i="6"/>
  <c r="E313" i="6"/>
  <c r="E319" i="6"/>
  <c r="E326" i="6"/>
  <c r="E327" i="6"/>
  <c r="E337" i="6"/>
  <c r="E310" i="6"/>
  <c r="E332" i="6"/>
  <c r="E330" i="6"/>
  <c r="E331" i="6"/>
  <c r="E333" i="6"/>
  <c r="E334" i="6"/>
  <c r="E335" i="6"/>
  <c r="E336" i="6"/>
  <c r="E305" i="6"/>
  <c r="E306" i="6"/>
  <c r="E307" i="6"/>
  <c r="E308" i="6"/>
  <c r="E309" i="6"/>
  <c r="E311" i="6"/>
  <c r="E314" i="6"/>
  <c r="E315" i="6"/>
  <c r="E316" i="6"/>
  <c r="E317" i="6"/>
  <c r="E318" i="6"/>
  <c r="E340" i="6"/>
  <c r="E320" i="6"/>
  <c r="E321" i="6"/>
  <c r="E322" i="6"/>
  <c r="E323" i="6"/>
  <c r="E324" i="6"/>
  <c r="E325" i="6"/>
  <c r="E328" i="6"/>
  <c r="E329" i="6"/>
  <c r="E338" i="6"/>
  <c r="E339" i="6"/>
  <c r="E303" i="6"/>
  <c r="E304" i="6"/>
  <c r="E300" i="6"/>
  <c r="E301" i="6"/>
  <c r="E302" i="6"/>
  <c r="D7" i="6"/>
  <c r="D8" i="6"/>
  <c r="D9" i="6"/>
  <c r="D3" i="6"/>
  <c r="D5" i="6"/>
  <c r="D6" i="6"/>
  <c r="D4" i="6"/>
  <c r="D2" i="6"/>
  <c r="D10" i="6"/>
  <c r="D20" i="6"/>
  <c r="D21" i="6"/>
  <c r="D13" i="6"/>
  <c r="D14" i="6"/>
  <c r="D23" i="6"/>
  <c r="D16" i="6"/>
  <c r="D17" i="6"/>
  <c r="D18" i="6"/>
  <c r="D19" i="6"/>
  <c r="D12" i="6"/>
  <c r="D22" i="6"/>
  <c r="D15" i="6"/>
  <c r="D28" i="6"/>
  <c r="D29" i="6"/>
  <c r="D27" i="6"/>
  <c r="D24" i="6"/>
  <c r="D25" i="6"/>
  <c r="D26" i="6"/>
  <c r="D11" i="6"/>
  <c r="D30" i="6"/>
  <c r="D31" i="6"/>
  <c r="D32" i="6"/>
  <c r="D38" i="6"/>
  <c r="D39" i="6"/>
  <c r="D48" i="6"/>
  <c r="D46" i="6"/>
  <c r="D47" i="6"/>
  <c r="D50" i="6"/>
  <c r="D51" i="6"/>
  <c r="D44" i="6"/>
  <c r="D49" i="6"/>
  <c r="D45" i="6"/>
  <c r="D43" i="6"/>
  <c r="D53" i="6"/>
  <c r="D63" i="6"/>
  <c r="D66" i="6"/>
  <c r="D62" i="6"/>
  <c r="D64" i="6"/>
  <c r="D65" i="6"/>
  <c r="D58" i="6"/>
  <c r="D60" i="6"/>
  <c r="D59" i="6"/>
  <c r="D61" i="6"/>
  <c r="D55" i="6"/>
  <c r="D54" i="6"/>
  <c r="D56" i="6"/>
  <c r="D57" i="6"/>
  <c r="D52" i="6"/>
  <c r="D67" i="6"/>
  <c r="D77" i="6"/>
  <c r="D76" i="6"/>
  <c r="D70" i="6"/>
  <c r="D75" i="6"/>
  <c r="D71" i="6"/>
  <c r="D68" i="6"/>
  <c r="D69" i="6"/>
  <c r="D72" i="6"/>
  <c r="D73" i="6"/>
  <c r="D74" i="6"/>
  <c r="D78" i="6"/>
  <c r="D89" i="6"/>
  <c r="D84" i="6"/>
  <c r="D90" i="6"/>
  <c r="D83" i="6"/>
  <c r="D85" i="6"/>
  <c r="D86" i="6"/>
  <c r="D87" i="6"/>
  <c r="D88" i="6"/>
  <c r="D79" i="6"/>
  <c r="D80" i="6"/>
  <c r="D81" i="6"/>
  <c r="D82" i="6"/>
  <c r="D91" i="6"/>
  <c r="D92" i="6"/>
  <c r="D93" i="6"/>
  <c r="D94" i="6"/>
  <c r="D98" i="6"/>
  <c r="D99" i="6"/>
  <c r="D100" i="6"/>
  <c r="D102" i="6"/>
  <c r="D104" i="6"/>
  <c r="D106" i="6"/>
  <c r="D101" i="6"/>
  <c r="D105" i="6"/>
  <c r="D97" i="6"/>
  <c r="D96" i="6"/>
  <c r="D95" i="6"/>
  <c r="D103" i="6"/>
  <c r="D117" i="6"/>
  <c r="D120" i="6"/>
  <c r="D109" i="6"/>
  <c r="D110" i="6"/>
  <c r="D111" i="6"/>
  <c r="D112" i="6"/>
  <c r="D113" i="6"/>
  <c r="D114" i="6"/>
  <c r="D116" i="6"/>
  <c r="D115" i="6"/>
  <c r="D107" i="6"/>
  <c r="D108" i="6"/>
  <c r="D118" i="6"/>
  <c r="D119" i="6"/>
  <c r="D124" i="6"/>
  <c r="D125" i="6"/>
  <c r="D126" i="6"/>
  <c r="D128" i="6"/>
  <c r="D129" i="6"/>
  <c r="D130" i="6"/>
  <c r="D131" i="6"/>
  <c r="D132" i="6"/>
  <c r="D133" i="6"/>
  <c r="D135" i="6"/>
  <c r="D136" i="6"/>
  <c r="D137" i="6"/>
  <c r="D141" i="6"/>
  <c r="D138" i="6"/>
  <c r="D139" i="6"/>
  <c r="D140" i="6"/>
  <c r="D127" i="6"/>
  <c r="D134" i="6"/>
  <c r="D123" i="6"/>
  <c r="D122" i="6"/>
  <c r="D121" i="6"/>
  <c r="D145" i="6"/>
  <c r="D144" i="6"/>
  <c r="D151" i="6"/>
  <c r="D152" i="6"/>
  <c r="D148" i="6"/>
  <c r="D149" i="6"/>
  <c r="D150" i="6"/>
  <c r="D146" i="6"/>
  <c r="D147" i="6"/>
  <c r="D143" i="6"/>
  <c r="D142" i="6"/>
  <c r="D154" i="6"/>
  <c r="D155" i="6"/>
  <c r="D156" i="6"/>
  <c r="D157" i="6"/>
  <c r="D165" i="6"/>
  <c r="D167" i="6"/>
  <c r="D168" i="6"/>
  <c r="D158" i="6"/>
  <c r="D160" i="6"/>
  <c r="D162" i="6"/>
  <c r="D163" i="6"/>
  <c r="D164" i="6"/>
  <c r="D153" i="6"/>
  <c r="D161" i="6"/>
  <c r="D166" i="6"/>
  <c r="D159" i="6"/>
  <c r="D169" i="6"/>
  <c r="D178" i="6"/>
  <c r="D179" i="6"/>
  <c r="D180" i="6"/>
  <c r="D181" i="6"/>
  <c r="D171" i="6"/>
  <c r="D173" i="6"/>
  <c r="D184" i="6"/>
  <c r="D175" i="6"/>
  <c r="D172" i="6"/>
  <c r="D170" i="6"/>
  <c r="D177" i="6"/>
  <c r="D174" i="6"/>
  <c r="D190" i="6"/>
  <c r="D176" i="6"/>
  <c r="D189" i="6"/>
  <c r="D191" i="6"/>
  <c r="D187" i="6"/>
  <c r="D188" i="6"/>
  <c r="D182" i="6"/>
  <c r="D183" i="6"/>
  <c r="D192" i="6"/>
  <c r="D185" i="6"/>
  <c r="D186" i="6"/>
  <c r="D265" i="6"/>
  <c r="D264" i="6"/>
  <c r="D197" i="6"/>
  <c r="D198" i="6"/>
  <c r="D262" i="6"/>
  <c r="D263" i="6"/>
  <c r="D266" i="6"/>
  <c r="D269" i="6"/>
  <c r="D267" i="6"/>
  <c r="D194" i="6"/>
  <c r="D195" i="6"/>
  <c r="D196" i="6"/>
  <c r="D268" i="6"/>
  <c r="D193"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76" i="6"/>
  <c r="D277" i="6"/>
  <c r="D278" i="6"/>
  <c r="D279" i="6"/>
  <c r="D280" i="6"/>
  <c r="D281" i="6"/>
  <c r="D274" i="6"/>
  <c r="D275" i="6"/>
  <c r="D272" i="6"/>
  <c r="D273" i="6"/>
  <c r="D271" i="6"/>
  <c r="D270" i="6"/>
  <c r="D283" i="6"/>
  <c r="D284" i="6"/>
  <c r="D285" i="6"/>
  <c r="D286" i="6"/>
  <c r="D287" i="6"/>
  <c r="D288" i="6"/>
  <c r="D282" i="6"/>
  <c r="D341" i="6"/>
  <c r="D342" i="6"/>
  <c r="D346" i="6"/>
  <c r="D344" i="6"/>
  <c r="D345" i="6"/>
  <c r="D343" i="6"/>
  <c r="D360" i="6"/>
  <c r="D357" i="6"/>
  <c r="D358" i="6"/>
  <c r="D290" i="6"/>
  <c r="D291" i="6"/>
  <c r="D292" i="6"/>
  <c r="D293" i="6"/>
  <c r="D294" i="6"/>
  <c r="D295" i="6"/>
  <c r="D296" i="6"/>
  <c r="D297" i="6"/>
  <c r="D298" i="6"/>
  <c r="D299" i="6"/>
  <c r="D359" i="6"/>
  <c r="D363" i="6"/>
  <c r="D365" i="6"/>
  <c r="D350" i="6"/>
  <c r="D362" i="6"/>
  <c r="D361" i="6"/>
  <c r="D349" i="6"/>
  <c r="D367" i="6"/>
  <c r="D351" i="6"/>
  <c r="D352" i="6"/>
  <c r="D369" i="6"/>
  <c r="D371" i="6"/>
  <c r="D353" i="6"/>
  <c r="D354" i="6"/>
  <c r="D373" i="6"/>
  <c r="D355" i="6"/>
  <c r="D356" i="6"/>
  <c r="D348" i="6"/>
  <c r="D347" i="6"/>
  <c r="D383" i="6"/>
  <c r="D389" i="6"/>
  <c r="D385" i="6"/>
  <c r="D403" i="6"/>
  <c r="D381" i="6"/>
  <c r="D387" i="6"/>
  <c r="D377" i="6"/>
  <c r="D405" i="6"/>
  <c r="D391" i="6"/>
  <c r="D406" i="6"/>
  <c r="D393" i="6"/>
  <c r="D395" i="6"/>
  <c r="D397" i="6"/>
  <c r="D399" i="6"/>
  <c r="D401" i="6"/>
  <c r="D404" i="6"/>
  <c r="D379" i="6"/>
  <c r="D375" i="6"/>
  <c r="D407" i="6"/>
  <c r="D412" i="6"/>
  <c r="D411" i="6"/>
  <c r="D410" i="6"/>
  <c r="D409" i="6"/>
  <c r="D408" i="6"/>
  <c r="D420" i="6"/>
  <c r="D414" i="6"/>
  <c r="D416" i="6"/>
  <c r="D418" i="6"/>
  <c r="D422" i="6"/>
  <c r="D424" i="6"/>
  <c r="D426" i="6"/>
  <c r="D428" i="6"/>
  <c r="D430" i="6"/>
  <c r="D432" i="6"/>
  <c r="D434" i="6"/>
  <c r="D436" i="6"/>
  <c r="D438" i="6"/>
  <c r="D440" i="6"/>
  <c r="D442" i="6"/>
  <c r="D364" i="6"/>
  <c r="D366" i="6"/>
  <c r="D368" i="6"/>
  <c r="D370" i="6"/>
  <c r="D372" i="6"/>
  <c r="D374" i="6"/>
  <c r="D376" i="6"/>
  <c r="D378" i="6"/>
  <c r="D380" i="6"/>
  <c r="D382" i="6"/>
  <c r="D384" i="6"/>
  <c r="D386" i="6"/>
  <c r="D388" i="6"/>
  <c r="D390" i="6"/>
  <c r="D392" i="6"/>
  <c r="D394" i="6"/>
  <c r="D396" i="6"/>
  <c r="D398" i="6"/>
  <c r="D400" i="6"/>
  <c r="D402" i="6"/>
  <c r="D444" i="6"/>
  <c r="D446" i="6"/>
  <c r="D413" i="6"/>
  <c r="D415" i="6"/>
  <c r="D417" i="6"/>
  <c r="D419" i="6"/>
  <c r="D421" i="6"/>
  <c r="D423" i="6"/>
  <c r="D425" i="6"/>
  <c r="D427" i="6"/>
  <c r="D429" i="6"/>
  <c r="D431" i="6"/>
  <c r="D433" i="6"/>
  <c r="D435" i="6"/>
  <c r="D437" i="6"/>
  <c r="D439" i="6"/>
  <c r="D441" i="6"/>
  <c r="D443" i="6"/>
  <c r="D445" i="6"/>
  <c r="D447" i="6"/>
  <c r="D449" i="6"/>
  <c r="D451" i="6"/>
  <c r="D453" i="6"/>
  <c r="D455" i="6"/>
  <c r="D457" i="6"/>
  <c r="D459" i="6"/>
  <c r="D461" i="6"/>
  <c r="D463" i="6"/>
  <c r="D464" i="6"/>
  <c r="D465" i="6"/>
  <c r="D466" i="6"/>
  <c r="D467" i="6"/>
  <c r="D468" i="6"/>
  <c r="D469" i="6"/>
  <c r="D470" i="6"/>
  <c r="D448" i="6"/>
  <c r="D450" i="6"/>
  <c r="D452" i="6"/>
  <c r="D454" i="6"/>
  <c r="D456" i="6"/>
  <c r="D458" i="6"/>
  <c r="D485" i="6"/>
  <c r="D487" i="6"/>
  <c r="D494" i="6"/>
  <c r="D496" i="6"/>
  <c r="D532" i="6"/>
  <c r="D500"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9" i="6"/>
  <c r="D537" i="6"/>
  <c r="D486" i="6"/>
  <c r="D488" i="6"/>
  <c r="D489" i="6"/>
  <c r="D490" i="6"/>
  <c r="D491" i="6"/>
  <c r="D495" i="6"/>
  <c r="D501" i="6"/>
  <c r="D528" i="6"/>
  <c r="D530" i="6"/>
  <c r="D535" i="6"/>
  <c r="D497" i="6"/>
  <c r="D498" i="6"/>
  <c r="D499" i="6"/>
  <c r="D533" i="6"/>
  <c r="D534" i="6"/>
  <c r="D536" i="6"/>
  <c r="D492" i="6"/>
  <c r="D493" i="6"/>
  <c r="D531" i="6"/>
  <c r="D312" i="6"/>
  <c r="D313" i="6"/>
  <c r="D319" i="6"/>
  <c r="D326" i="6"/>
  <c r="D327" i="6"/>
  <c r="D337" i="6"/>
  <c r="D310" i="6"/>
  <c r="D332" i="6"/>
  <c r="D330" i="6"/>
  <c r="D331" i="6"/>
  <c r="D333" i="6"/>
  <c r="D334" i="6"/>
  <c r="D335" i="6"/>
  <c r="D336" i="6"/>
  <c r="D305" i="6"/>
  <c r="D306" i="6"/>
  <c r="D307" i="6"/>
  <c r="D308" i="6"/>
  <c r="D309" i="6"/>
  <c r="D311" i="6"/>
  <c r="D314" i="6"/>
  <c r="D315" i="6"/>
  <c r="D316" i="6"/>
  <c r="D317" i="6"/>
  <c r="D318" i="6"/>
  <c r="D340" i="6"/>
  <c r="D320" i="6"/>
  <c r="D321" i="6"/>
  <c r="D322" i="6"/>
  <c r="D323" i="6"/>
  <c r="D324" i="6"/>
  <c r="D325" i="6"/>
  <c r="D328" i="6"/>
  <c r="D329" i="6"/>
  <c r="D338" i="6"/>
  <c r="D339" i="6"/>
  <c r="D303" i="6"/>
  <c r="D304" i="6"/>
  <c r="D300" i="6"/>
  <c r="D301" i="6"/>
  <c r="D302" i="6"/>
  <c r="N199" i="5"/>
  <c r="G301" i="6" s="1"/>
  <c r="R199" i="5"/>
  <c r="N178" i="5"/>
  <c r="G310" i="6" s="1"/>
  <c r="N179" i="5"/>
  <c r="G332" i="6" s="1"/>
  <c r="N180" i="5"/>
  <c r="G330" i="6" s="1"/>
  <c r="N181" i="5"/>
  <c r="G331" i="6" s="1"/>
  <c r="N182" i="5"/>
  <c r="G334" i="6" s="1"/>
  <c r="N183" i="5"/>
  <c r="G335" i="6" s="1"/>
  <c r="N184" i="5"/>
  <c r="G336" i="6" s="1"/>
  <c r="N185" i="5"/>
  <c r="N186" i="5"/>
  <c r="G307" i="6" s="1"/>
  <c r="N187" i="5"/>
  <c r="G314" i="6" s="1"/>
  <c r="N188" i="5"/>
  <c r="G315" i="6" s="1"/>
  <c r="N189" i="5"/>
  <c r="G316" i="6" s="1"/>
  <c r="N190" i="5"/>
  <c r="G317" i="6" s="1"/>
  <c r="N191" i="5"/>
  <c r="G340" i="6" s="1"/>
  <c r="N192" i="5"/>
  <c r="G323" i="6" s="1"/>
  <c r="N193" i="5"/>
  <c r="G325" i="6" s="1"/>
  <c r="N194" i="5"/>
  <c r="G328" i="6" s="1"/>
  <c r="N195" i="5"/>
  <c r="G338" i="6" s="1"/>
  <c r="N196" i="5"/>
  <c r="G339" i="6" s="1"/>
  <c r="N197" i="5"/>
  <c r="G303" i="6" s="1"/>
  <c r="N198" i="5"/>
  <c r="G300" i="6" s="1"/>
  <c r="R178" i="5"/>
  <c r="R179" i="5"/>
  <c r="R180" i="5"/>
  <c r="R181" i="5"/>
  <c r="R182" i="5"/>
  <c r="R183" i="5"/>
  <c r="R184" i="5"/>
  <c r="R185" i="5"/>
  <c r="R186" i="5"/>
  <c r="R187" i="5"/>
  <c r="R188" i="5"/>
  <c r="R189" i="5"/>
  <c r="R190" i="5"/>
  <c r="R191" i="5"/>
  <c r="R192" i="5"/>
  <c r="R193" i="5"/>
  <c r="R194" i="5"/>
  <c r="R195" i="5"/>
  <c r="R196" i="5"/>
  <c r="R197" i="5"/>
  <c r="R198" i="5"/>
  <c r="M338" i="6"/>
  <c r="M339" i="6"/>
  <c r="M303" i="6"/>
  <c r="M304" i="6"/>
  <c r="M300" i="6"/>
  <c r="M301" i="6"/>
  <c r="M302" i="6"/>
  <c r="O338" i="6"/>
  <c r="O339" i="6"/>
  <c r="O303" i="6"/>
  <c r="O304" i="6"/>
  <c r="O300" i="6"/>
  <c r="O301" i="6"/>
  <c r="O302" i="6"/>
  <c r="P338" i="6"/>
  <c r="P339" i="6"/>
  <c r="P303" i="6"/>
  <c r="P304" i="6"/>
  <c r="P300" i="6"/>
  <c r="P301" i="6"/>
  <c r="P302" i="6"/>
  <c r="Q338" i="6"/>
  <c r="Q339" i="6"/>
  <c r="Q303" i="6"/>
  <c r="Q304" i="6"/>
  <c r="Q300" i="6"/>
  <c r="Q301" i="6"/>
  <c r="Q302" i="6"/>
  <c r="S338" i="6"/>
  <c r="S339" i="6"/>
  <c r="S303" i="6"/>
  <c r="S304" i="6"/>
  <c r="S300" i="6"/>
  <c r="S301" i="6"/>
  <c r="S302" i="6"/>
  <c r="M329" i="6"/>
  <c r="O329" i="6"/>
  <c r="P329" i="6"/>
  <c r="Q329" i="6"/>
  <c r="S329" i="6"/>
  <c r="M324" i="6"/>
  <c r="M325" i="6"/>
  <c r="M328" i="6"/>
  <c r="O324" i="6"/>
  <c r="O325" i="6"/>
  <c r="O328" i="6"/>
  <c r="P324" i="6"/>
  <c r="P325" i="6"/>
  <c r="P328" i="6"/>
  <c r="Q324" i="6"/>
  <c r="Q325" i="6"/>
  <c r="Q328" i="6"/>
  <c r="S324" i="6"/>
  <c r="S325" i="6"/>
  <c r="S328" i="6"/>
  <c r="M323" i="6"/>
  <c r="O323" i="6"/>
  <c r="P323" i="6"/>
  <c r="Q323" i="6"/>
  <c r="S323" i="6"/>
  <c r="M322" i="6"/>
  <c r="O322" i="6"/>
  <c r="P322" i="6"/>
  <c r="Q322" i="6"/>
  <c r="S322" i="6"/>
  <c r="M314" i="6"/>
  <c r="M315" i="6"/>
  <c r="M316" i="6"/>
  <c r="M317" i="6"/>
  <c r="M318" i="6"/>
  <c r="M340" i="6"/>
  <c r="M320" i="6"/>
  <c r="M321" i="6"/>
  <c r="O314" i="6"/>
  <c r="O315" i="6"/>
  <c r="O316" i="6"/>
  <c r="O317" i="6"/>
  <c r="O318" i="6"/>
  <c r="O340" i="6"/>
  <c r="O320" i="6"/>
  <c r="O321" i="6"/>
  <c r="P314" i="6"/>
  <c r="P315" i="6"/>
  <c r="P316" i="6"/>
  <c r="P317" i="6"/>
  <c r="P318" i="6"/>
  <c r="P340" i="6"/>
  <c r="P320" i="6"/>
  <c r="P321" i="6"/>
  <c r="Q314" i="6"/>
  <c r="Q315" i="6"/>
  <c r="Q316" i="6"/>
  <c r="Q317" i="6"/>
  <c r="Q318" i="6"/>
  <c r="Q340" i="6"/>
  <c r="Q320" i="6"/>
  <c r="Q321" i="6"/>
  <c r="S314" i="6"/>
  <c r="S315" i="6"/>
  <c r="S316" i="6"/>
  <c r="S317" i="6"/>
  <c r="S318" i="6"/>
  <c r="S340" i="6"/>
  <c r="S320" i="6"/>
  <c r="S321" i="6"/>
  <c r="M310" i="6"/>
  <c r="M332" i="6"/>
  <c r="M330" i="6"/>
  <c r="M331" i="6"/>
  <c r="M333" i="6"/>
  <c r="M334" i="6"/>
  <c r="M335" i="6"/>
  <c r="M336" i="6"/>
  <c r="M305" i="6"/>
  <c r="M306" i="6"/>
  <c r="M307" i="6"/>
  <c r="M308" i="6"/>
  <c r="M309" i="6"/>
  <c r="M311" i="6"/>
  <c r="O310" i="6"/>
  <c r="O332" i="6"/>
  <c r="O330" i="6"/>
  <c r="O331" i="6"/>
  <c r="O333" i="6"/>
  <c r="O334" i="6"/>
  <c r="O335" i="6"/>
  <c r="O336" i="6"/>
  <c r="O305" i="6"/>
  <c r="O306" i="6"/>
  <c r="O307" i="6"/>
  <c r="O308" i="6"/>
  <c r="O309" i="6"/>
  <c r="O311" i="6"/>
  <c r="P310" i="6"/>
  <c r="P332" i="6"/>
  <c r="P330" i="6"/>
  <c r="P331" i="6"/>
  <c r="P333" i="6"/>
  <c r="P334" i="6"/>
  <c r="P335" i="6"/>
  <c r="P336" i="6"/>
  <c r="P305" i="6"/>
  <c r="P306" i="6"/>
  <c r="P307" i="6"/>
  <c r="P308" i="6"/>
  <c r="P309" i="6"/>
  <c r="P311" i="6"/>
  <c r="Q310" i="6"/>
  <c r="Q332" i="6"/>
  <c r="Q330" i="6"/>
  <c r="Q331" i="6"/>
  <c r="Q333" i="6"/>
  <c r="Q334" i="6"/>
  <c r="Q335" i="6"/>
  <c r="Q336" i="6"/>
  <c r="Q305" i="6"/>
  <c r="Q306" i="6"/>
  <c r="Q307" i="6"/>
  <c r="Q308" i="6"/>
  <c r="Q309" i="6"/>
  <c r="Q311" i="6"/>
  <c r="S310" i="6"/>
  <c r="S332" i="6"/>
  <c r="S330" i="6"/>
  <c r="S331" i="6"/>
  <c r="S333" i="6"/>
  <c r="S334" i="6"/>
  <c r="S335" i="6"/>
  <c r="S336" i="6"/>
  <c r="S305" i="6"/>
  <c r="S306" i="6"/>
  <c r="S307" i="6"/>
  <c r="S308" i="6"/>
  <c r="S309" i="6"/>
  <c r="S311" i="6"/>
  <c r="N176" i="5"/>
  <c r="G312" i="6" s="1"/>
  <c r="N177" i="5"/>
  <c r="G313" i="6" s="1"/>
  <c r="R176" i="5"/>
  <c r="R177" i="5"/>
  <c r="M337" i="6"/>
  <c r="O337" i="6"/>
  <c r="P337" i="6"/>
  <c r="Q337" i="6"/>
  <c r="S337" i="6"/>
  <c r="M326" i="6"/>
  <c r="M327" i="6"/>
  <c r="O326" i="6"/>
  <c r="O327" i="6"/>
  <c r="P326" i="6"/>
  <c r="P327" i="6"/>
  <c r="Q326" i="6"/>
  <c r="Q327" i="6"/>
  <c r="S326" i="6"/>
  <c r="S327" i="6"/>
  <c r="M312" i="6"/>
  <c r="M313" i="6"/>
  <c r="M319" i="6"/>
  <c r="O312" i="6"/>
  <c r="O313" i="6"/>
  <c r="O319" i="6"/>
  <c r="P312" i="6"/>
  <c r="P313" i="6"/>
  <c r="P319" i="6"/>
  <c r="Q312" i="6"/>
  <c r="Q313" i="6"/>
  <c r="Q319" i="6"/>
  <c r="S312" i="6"/>
  <c r="S313" i="6"/>
  <c r="S319" i="6"/>
  <c r="N175" i="5"/>
  <c r="F332" i="6" s="1"/>
  <c r="M438" i="6"/>
  <c r="O438" i="6"/>
  <c r="P438" i="6"/>
  <c r="Q438" i="6"/>
  <c r="S438" i="6"/>
  <c r="M454" i="6"/>
  <c r="O454" i="6"/>
  <c r="P454" i="6"/>
  <c r="Q454" i="6"/>
  <c r="S454" i="6"/>
  <c r="N129" i="5"/>
  <c r="G520" i="6" s="1"/>
  <c r="R129" i="5"/>
  <c r="N173" i="5"/>
  <c r="G166" i="6" s="1"/>
  <c r="N174" i="5"/>
  <c r="G436" i="6" s="1"/>
  <c r="R173" i="5"/>
  <c r="R174" i="5"/>
  <c r="M432" i="6"/>
  <c r="M434" i="6"/>
  <c r="M436" i="6"/>
  <c r="M159" i="6"/>
  <c r="M442" i="6"/>
  <c r="M444" i="6"/>
  <c r="M448" i="6"/>
  <c r="M458" i="6"/>
  <c r="M426" i="6"/>
  <c r="M424" i="6"/>
  <c r="O432" i="6"/>
  <c r="O434" i="6"/>
  <c r="O436" i="6"/>
  <c r="O159" i="6"/>
  <c r="O442" i="6"/>
  <c r="O444" i="6"/>
  <c r="O448" i="6"/>
  <c r="O458" i="6"/>
  <c r="O426" i="6"/>
  <c r="O424" i="6"/>
  <c r="P432" i="6"/>
  <c r="P434" i="6"/>
  <c r="P436" i="6"/>
  <c r="P159" i="6"/>
  <c r="P442" i="6"/>
  <c r="P444" i="6"/>
  <c r="P448" i="6"/>
  <c r="P458" i="6"/>
  <c r="P426" i="6"/>
  <c r="P424" i="6"/>
  <c r="Q432" i="6"/>
  <c r="Q434" i="6"/>
  <c r="Q436" i="6"/>
  <c r="Q159" i="6"/>
  <c r="Q442" i="6"/>
  <c r="Q444" i="6"/>
  <c r="Q448" i="6"/>
  <c r="Q458" i="6"/>
  <c r="Q426" i="6"/>
  <c r="Q424" i="6"/>
  <c r="S432" i="6"/>
  <c r="S434" i="6"/>
  <c r="S436" i="6"/>
  <c r="S159" i="6"/>
  <c r="S442" i="6"/>
  <c r="S444" i="6"/>
  <c r="S448" i="6"/>
  <c r="S458" i="6"/>
  <c r="S426" i="6"/>
  <c r="S424" i="6"/>
  <c r="M452" i="6"/>
  <c r="M450" i="6"/>
  <c r="M456" i="6"/>
  <c r="M440" i="6"/>
  <c r="M446" i="6"/>
  <c r="M166" i="6"/>
  <c r="M428" i="6"/>
  <c r="M430" i="6"/>
  <c r="O452" i="6"/>
  <c r="O450" i="6"/>
  <c r="O456" i="6"/>
  <c r="O440" i="6"/>
  <c r="O446" i="6"/>
  <c r="O166" i="6"/>
  <c r="O428" i="6"/>
  <c r="O430" i="6"/>
  <c r="P452" i="6"/>
  <c r="P450" i="6"/>
  <c r="P456" i="6"/>
  <c r="P440" i="6"/>
  <c r="P446" i="6"/>
  <c r="P166" i="6"/>
  <c r="P428" i="6"/>
  <c r="P430" i="6"/>
  <c r="Q452" i="6"/>
  <c r="Q450" i="6"/>
  <c r="Q456" i="6"/>
  <c r="Q440" i="6"/>
  <c r="Q446" i="6"/>
  <c r="Q166" i="6"/>
  <c r="Q428" i="6"/>
  <c r="Q430" i="6"/>
  <c r="S452" i="6"/>
  <c r="S450" i="6"/>
  <c r="S456" i="6"/>
  <c r="S440" i="6"/>
  <c r="S446" i="6"/>
  <c r="S166" i="6"/>
  <c r="S428" i="6"/>
  <c r="S430" i="6"/>
  <c r="N172" i="5"/>
  <c r="G161" i="6" s="1"/>
  <c r="R172" i="5"/>
  <c r="M161" i="6"/>
  <c r="O161" i="6"/>
  <c r="P161" i="6"/>
  <c r="Q161" i="6"/>
  <c r="S161" i="6"/>
  <c r="R87" i="5"/>
  <c r="N168" i="5"/>
  <c r="G89" i="6" s="1"/>
  <c r="N169" i="5"/>
  <c r="G90" i="6" s="1"/>
  <c r="N170" i="5"/>
  <c r="G86" i="6" s="1"/>
  <c r="N171" i="5"/>
  <c r="G81" i="6" s="1"/>
  <c r="R168" i="5"/>
  <c r="R169" i="5"/>
  <c r="R170" i="5"/>
  <c r="R171" i="5"/>
  <c r="M86" i="6"/>
  <c r="M87" i="6"/>
  <c r="M88" i="6"/>
  <c r="M81" i="6"/>
  <c r="M82" i="6"/>
  <c r="O86" i="6"/>
  <c r="O87" i="6"/>
  <c r="O88" i="6"/>
  <c r="O81" i="6"/>
  <c r="O82" i="6"/>
  <c r="P86" i="6"/>
  <c r="P87" i="6"/>
  <c r="P88" i="6"/>
  <c r="P81" i="6"/>
  <c r="P82" i="6"/>
  <c r="Q86" i="6"/>
  <c r="Q87" i="6"/>
  <c r="Q88" i="6"/>
  <c r="Q81" i="6"/>
  <c r="Q82" i="6"/>
  <c r="S86" i="6"/>
  <c r="S87" i="6"/>
  <c r="S88" i="6"/>
  <c r="S81" i="6"/>
  <c r="S82" i="6"/>
  <c r="M89" i="6"/>
  <c r="M84" i="6"/>
  <c r="M90" i="6"/>
  <c r="M83" i="6"/>
  <c r="M85" i="6"/>
  <c r="O89" i="6"/>
  <c r="O84" i="6"/>
  <c r="O90" i="6"/>
  <c r="O83" i="6"/>
  <c r="O85" i="6"/>
  <c r="P89" i="6"/>
  <c r="P84" i="6"/>
  <c r="P90" i="6"/>
  <c r="P83" i="6"/>
  <c r="P85" i="6"/>
  <c r="Q89" i="6"/>
  <c r="Q84" i="6"/>
  <c r="Q90" i="6"/>
  <c r="Q83" i="6"/>
  <c r="Q85" i="6"/>
  <c r="S89" i="6"/>
  <c r="S84" i="6"/>
  <c r="S90" i="6"/>
  <c r="S83" i="6"/>
  <c r="S85" i="6"/>
  <c r="M422" i="6"/>
  <c r="O422" i="6"/>
  <c r="P422" i="6"/>
  <c r="Q422" i="6"/>
  <c r="S422" i="6"/>
  <c r="M78" i="6"/>
  <c r="O78" i="6"/>
  <c r="P78" i="6"/>
  <c r="Q78" i="6"/>
  <c r="S78" i="6"/>
  <c r="M39" i="6"/>
  <c r="O39" i="6"/>
  <c r="P39" i="6"/>
  <c r="Q39" i="6"/>
  <c r="S39" i="6"/>
  <c r="M30" i="6"/>
  <c r="O30" i="6"/>
  <c r="P30" i="6"/>
  <c r="Q30" i="6"/>
  <c r="S30" i="6"/>
  <c r="M11" i="6"/>
  <c r="O11" i="6"/>
  <c r="P11" i="6"/>
  <c r="Q11" i="6"/>
  <c r="S11" i="6"/>
  <c r="N167" i="5"/>
  <c r="F78" i="6" s="1"/>
  <c r="M31" i="6"/>
  <c r="M32" i="6"/>
  <c r="O31" i="6"/>
  <c r="O32" i="6"/>
  <c r="P31" i="6"/>
  <c r="P32" i="6"/>
  <c r="Q31" i="6"/>
  <c r="Q32" i="6"/>
  <c r="S31" i="6"/>
  <c r="S32" i="6"/>
  <c r="N166" i="5"/>
  <c r="F31" i="6" s="1"/>
  <c r="N84" i="5"/>
  <c r="F39" i="6" s="1"/>
  <c r="N8" i="5"/>
  <c r="G68" i="6" s="1"/>
  <c r="N9" i="5"/>
  <c r="F66" i="6" s="1"/>
  <c r="N10" i="5"/>
  <c r="F94" i="6" s="1"/>
  <c r="N49" i="5"/>
  <c r="F98" i="6" s="1"/>
  <c r="N50" i="5"/>
  <c r="F111" i="6" s="1"/>
  <c r="N15" i="5"/>
  <c r="R15" i="5"/>
  <c r="N16" i="5"/>
  <c r="F341" i="6" s="1"/>
  <c r="N11" i="5"/>
  <c r="F135" i="6" s="1"/>
  <c r="N18" i="5"/>
  <c r="G133" i="6" s="1"/>
  <c r="R18" i="5"/>
  <c r="N19" i="5"/>
  <c r="R19" i="5"/>
  <c r="N20" i="5"/>
  <c r="G482" i="6" s="1"/>
  <c r="R20" i="5"/>
  <c r="N21" i="5"/>
  <c r="F228" i="6" s="1"/>
  <c r="R21" i="5"/>
  <c r="N22" i="5"/>
  <c r="G141" i="6" s="1"/>
  <c r="R22" i="5"/>
  <c r="N23" i="5"/>
  <c r="F261" i="6" s="1"/>
  <c r="R23" i="5"/>
  <c r="N24" i="5"/>
  <c r="R24" i="5"/>
  <c r="N25" i="5"/>
  <c r="G276" i="6" s="1"/>
  <c r="R25" i="5"/>
  <c r="N26" i="5"/>
  <c r="R26" i="5"/>
  <c r="N27" i="5"/>
  <c r="R27" i="5"/>
  <c r="N28" i="5"/>
  <c r="N29" i="5"/>
  <c r="G269" i="6" s="1"/>
  <c r="R29" i="5"/>
  <c r="N30" i="5"/>
  <c r="G266" i="6" s="1"/>
  <c r="R30" i="5"/>
  <c r="N31" i="5"/>
  <c r="G262" i="6" s="1"/>
  <c r="R31" i="5"/>
  <c r="N32" i="5"/>
  <c r="G198" i="6" s="1"/>
  <c r="R32" i="5"/>
  <c r="N33" i="5"/>
  <c r="G197" i="6" s="1"/>
  <c r="R33" i="5"/>
  <c r="N34" i="5"/>
  <c r="G163" i="6" s="1"/>
  <c r="R34" i="5"/>
  <c r="N35" i="5"/>
  <c r="F254" i="6" s="1"/>
  <c r="R35" i="5"/>
  <c r="N36" i="5"/>
  <c r="F255" i="6" s="1"/>
  <c r="R36" i="5"/>
  <c r="N37" i="5"/>
  <c r="G134" i="6" s="1"/>
  <c r="R37" i="5"/>
  <c r="N38" i="5"/>
  <c r="F205" i="6" s="1"/>
  <c r="R38" i="5"/>
  <c r="N39" i="5"/>
  <c r="F206" i="6" s="1"/>
  <c r="R39" i="5"/>
  <c r="N40" i="5"/>
  <c r="G51" i="6" s="1"/>
  <c r="R40" i="5"/>
  <c r="N41" i="5"/>
  <c r="G49" i="6" s="1"/>
  <c r="R41" i="5"/>
  <c r="N42" i="5"/>
  <c r="R42" i="5"/>
  <c r="N43" i="5"/>
  <c r="R43" i="5"/>
  <c r="N44" i="5"/>
  <c r="F209" i="6" s="1"/>
  <c r="R44" i="5"/>
  <c r="N45" i="5"/>
  <c r="G357" i="6" s="1"/>
  <c r="R45" i="5"/>
  <c r="N46" i="5"/>
  <c r="R46" i="5"/>
  <c r="N47" i="5"/>
  <c r="G54" i="6" s="1"/>
  <c r="R47" i="5"/>
  <c r="N48" i="5"/>
  <c r="G57" i="6" s="1"/>
  <c r="R48" i="5"/>
  <c r="N12" i="5"/>
  <c r="F144" i="6" s="1"/>
  <c r="N13" i="5"/>
  <c r="F156" i="6" s="1"/>
  <c r="O413" i="6"/>
  <c r="O415" i="6"/>
  <c r="O417" i="6"/>
  <c r="O52" i="6"/>
  <c r="O43" i="6"/>
  <c r="M186" i="6"/>
  <c r="O186" i="6"/>
  <c r="P186" i="6"/>
  <c r="Q186" i="6"/>
  <c r="S186" i="6"/>
  <c r="M185" i="6"/>
  <c r="O185" i="6"/>
  <c r="P185" i="6"/>
  <c r="Q185" i="6"/>
  <c r="S185" i="6"/>
  <c r="S192" i="6"/>
  <c r="Q192" i="6"/>
  <c r="P192" i="6"/>
  <c r="O192" i="6"/>
  <c r="M192" i="6"/>
  <c r="S176" i="6"/>
  <c r="S189" i="6"/>
  <c r="S191" i="6"/>
  <c r="S187" i="6"/>
  <c r="S188" i="6"/>
  <c r="S182" i="6"/>
  <c r="S183" i="6"/>
  <c r="S537" i="6"/>
  <c r="S486" i="6"/>
  <c r="S488" i="6"/>
  <c r="S489" i="6"/>
  <c r="S490" i="6"/>
  <c r="S491" i="6"/>
  <c r="S495" i="6"/>
  <c r="S501" i="6"/>
  <c r="S528" i="6"/>
  <c r="S530" i="6"/>
  <c r="S535" i="6"/>
  <c r="S497" i="6"/>
  <c r="S498" i="6"/>
  <c r="S499" i="6"/>
  <c r="S533" i="6"/>
  <c r="S534" i="6"/>
  <c r="S536" i="6"/>
  <c r="S492" i="6"/>
  <c r="S493" i="6"/>
  <c r="S531" i="6"/>
  <c r="S2" i="6"/>
  <c r="S10" i="6"/>
  <c r="S38" i="6"/>
  <c r="S364" i="6"/>
  <c r="S366" i="6"/>
  <c r="S368" i="6"/>
  <c r="S370" i="6"/>
  <c r="S372" i="6"/>
  <c r="S374" i="6"/>
  <c r="S376" i="6"/>
  <c r="S378" i="6"/>
  <c r="S380" i="6"/>
  <c r="S382" i="6"/>
  <c r="S384" i="6"/>
  <c r="S386" i="6"/>
  <c r="S388" i="6"/>
  <c r="S390" i="6"/>
  <c r="S392" i="6"/>
  <c r="S394" i="6"/>
  <c r="S396" i="6"/>
  <c r="S398" i="6"/>
  <c r="S400" i="6"/>
  <c r="S402" i="6"/>
  <c r="S413" i="6"/>
  <c r="S415" i="6"/>
  <c r="S417" i="6"/>
  <c r="S419" i="6"/>
  <c r="S421" i="6"/>
  <c r="S423" i="6"/>
  <c r="S425" i="6"/>
  <c r="S427" i="6"/>
  <c r="S429" i="6"/>
  <c r="S431" i="6"/>
  <c r="S433" i="6"/>
  <c r="S435" i="6"/>
  <c r="S437" i="6"/>
  <c r="S439" i="6"/>
  <c r="S441" i="6"/>
  <c r="S443" i="6"/>
  <c r="S445" i="6"/>
  <c r="S447" i="6"/>
  <c r="S449" i="6"/>
  <c r="S451" i="6"/>
  <c r="S453" i="6"/>
  <c r="S455" i="6"/>
  <c r="S457" i="6"/>
  <c r="S459" i="6"/>
  <c r="S461" i="6"/>
  <c r="S463" i="6"/>
  <c r="S464" i="6"/>
  <c r="S465" i="6"/>
  <c r="S466" i="6"/>
  <c r="S467" i="6"/>
  <c r="S468" i="6"/>
  <c r="S469" i="6"/>
  <c r="S470" i="6"/>
  <c r="S178" i="6"/>
  <c r="S179" i="6"/>
  <c r="S180" i="6"/>
  <c r="S181" i="6"/>
  <c r="S171" i="6"/>
  <c r="S173" i="6"/>
  <c r="S184" i="6"/>
  <c r="S175" i="6"/>
  <c r="S172" i="6"/>
  <c r="S170" i="6"/>
  <c r="S177" i="6"/>
  <c r="S174" i="6"/>
  <c r="S190" i="6"/>
  <c r="S253" i="6"/>
  <c r="S254" i="6"/>
  <c r="S255" i="6"/>
  <c r="S256" i="6"/>
  <c r="S257" i="6"/>
  <c r="S258" i="6"/>
  <c r="S259" i="6"/>
  <c r="S260" i="6"/>
  <c r="S261" i="6"/>
  <c r="S412" i="6"/>
  <c r="S411" i="6"/>
  <c r="S103" i="6"/>
  <c r="S108" i="6"/>
  <c r="S118" i="6"/>
  <c r="S119" i="6"/>
  <c r="S410" i="6"/>
  <c r="S409" i="6"/>
  <c r="S408" i="6"/>
  <c r="S416" i="6"/>
  <c r="S418" i="6"/>
  <c r="S342" i="6"/>
  <c r="S346" i="6"/>
  <c r="S344" i="6"/>
  <c r="S345" i="6"/>
  <c r="S343" i="6"/>
  <c r="S77" i="6"/>
  <c r="S76" i="6"/>
  <c r="S70" i="6"/>
  <c r="S75" i="6"/>
  <c r="S71" i="6"/>
  <c r="S68" i="6"/>
  <c r="S69" i="6"/>
  <c r="S72" i="6"/>
  <c r="S73" i="6"/>
  <c r="S74" i="6"/>
  <c r="S43" i="6"/>
  <c r="S52" i="6"/>
  <c r="S290" i="6"/>
  <c r="S291" i="6"/>
  <c r="S292" i="6"/>
  <c r="S293" i="6"/>
  <c r="S294" i="6"/>
  <c r="S295" i="6"/>
  <c r="S296" i="6"/>
  <c r="S297" i="6"/>
  <c r="S298" i="6"/>
  <c r="S299" i="6"/>
  <c r="S92" i="6"/>
  <c r="S93" i="6"/>
  <c r="S94" i="6"/>
  <c r="S487" i="6"/>
  <c r="S494" i="6"/>
  <c r="S496" i="6"/>
  <c r="S532" i="6"/>
  <c r="S500"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9" i="6"/>
  <c r="S277" i="6"/>
  <c r="S278" i="6"/>
  <c r="S279" i="6"/>
  <c r="S280" i="6"/>
  <c r="S281" i="6"/>
  <c r="S274" i="6"/>
  <c r="S275" i="6"/>
  <c r="S272" i="6"/>
  <c r="S273" i="6"/>
  <c r="S271" i="6"/>
  <c r="S283" i="6"/>
  <c r="S284" i="6"/>
  <c r="S285" i="6"/>
  <c r="S286" i="6"/>
  <c r="S287" i="6"/>
  <c r="S288" i="6"/>
  <c r="S124" i="6"/>
  <c r="S125" i="6"/>
  <c r="S126" i="6"/>
  <c r="S128" i="6"/>
  <c r="S129" i="6"/>
  <c r="S130" i="6"/>
  <c r="S131" i="6"/>
  <c r="S132" i="6"/>
  <c r="S133" i="6"/>
  <c r="S135" i="6"/>
  <c r="S136" i="6"/>
  <c r="S137" i="6"/>
  <c r="S141" i="6"/>
  <c r="S138" i="6"/>
  <c r="S139" i="6"/>
  <c r="S140" i="6"/>
  <c r="S127" i="6"/>
  <c r="S134" i="6"/>
  <c r="S123" i="6"/>
  <c r="S122" i="6"/>
  <c r="S145" i="6"/>
  <c r="S144" i="6"/>
  <c r="S151" i="6"/>
  <c r="S152" i="6"/>
  <c r="S148" i="6"/>
  <c r="S149" i="6"/>
  <c r="S150" i="6"/>
  <c r="S146" i="6"/>
  <c r="S147" i="6"/>
  <c r="S143" i="6"/>
  <c r="S154" i="6"/>
  <c r="S155" i="6"/>
  <c r="S156" i="6"/>
  <c r="S157" i="6"/>
  <c r="S165" i="6"/>
  <c r="S167" i="6"/>
  <c r="S168" i="6"/>
  <c r="S158" i="6"/>
  <c r="S160" i="6"/>
  <c r="S162" i="6"/>
  <c r="S163" i="6"/>
  <c r="S164" i="6"/>
  <c r="S265" i="6"/>
  <c r="S264" i="6"/>
  <c r="S197" i="6"/>
  <c r="S198" i="6"/>
  <c r="S262" i="6"/>
  <c r="S263" i="6"/>
  <c r="S266" i="6"/>
  <c r="S269" i="6"/>
  <c r="S267" i="6"/>
  <c r="S268" i="6"/>
  <c r="S48" i="6"/>
  <c r="S46" i="6"/>
  <c r="S47" i="6"/>
  <c r="S50" i="6"/>
  <c r="S51" i="6"/>
  <c r="S44" i="6"/>
  <c r="S49" i="6"/>
  <c r="S45" i="6"/>
  <c r="S53" i="6"/>
  <c r="S63" i="6"/>
  <c r="S66" i="6"/>
  <c r="S62" i="6"/>
  <c r="S64" i="6"/>
  <c r="S65" i="6"/>
  <c r="S58" i="6"/>
  <c r="S60" i="6"/>
  <c r="S59" i="6"/>
  <c r="S61" i="6"/>
  <c r="S55" i="6"/>
  <c r="S54" i="6"/>
  <c r="S56" i="6"/>
  <c r="S57" i="6"/>
  <c r="S79" i="6"/>
  <c r="S80" i="6"/>
  <c r="S98" i="6"/>
  <c r="S99" i="6"/>
  <c r="S100" i="6"/>
  <c r="S102" i="6"/>
  <c r="S104" i="6"/>
  <c r="S106" i="6"/>
  <c r="S101" i="6"/>
  <c r="S105" i="6"/>
  <c r="S97" i="6"/>
  <c r="S96" i="6"/>
  <c r="S117" i="6"/>
  <c r="S120" i="6"/>
  <c r="S109" i="6"/>
  <c r="S110" i="6"/>
  <c r="S111" i="6"/>
  <c r="S112" i="6"/>
  <c r="S113" i="6"/>
  <c r="S114" i="6"/>
  <c r="S116" i="6"/>
  <c r="S115" i="6"/>
  <c r="S383" i="6"/>
  <c r="S389" i="6"/>
  <c r="S385" i="6"/>
  <c r="S403" i="6"/>
  <c r="S381" i="6"/>
  <c r="S387" i="6"/>
  <c r="S377" i="6"/>
  <c r="S405" i="6"/>
  <c r="S391" i="6"/>
  <c r="S406" i="6"/>
  <c r="S393" i="6"/>
  <c r="S395" i="6"/>
  <c r="S397" i="6"/>
  <c r="S399" i="6"/>
  <c r="S401" i="6"/>
  <c r="S404" i="6"/>
  <c r="S379" i="6"/>
  <c r="S360" i="6"/>
  <c r="S357" i="6"/>
  <c r="S358" i="6"/>
  <c r="S359" i="6"/>
  <c r="S363" i="6"/>
  <c r="S365" i="6"/>
  <c r="S350" i="6"/>
  <c r="S362" i="6"/>
  <c r="S361" i="6"/>
  <c r="S349" i="6"/>
  <c r="S367" i="6"/>
  <c r="S351" i="6"/>
  <c r="S352" i="6"/>
  <c r="S369" i="6"/>
  <c r="S371" i="6"/>
  <c r="S353" i="6"/>
  <c r="S354" i="6"/>
  <c r="S373" i="6"/>
  <c r="S355" i="6"/>
  <c r="S356" i="6"/>
  <c r="S348" i="6"/>
  <c r="S420" i="6"/>
  <c r="S7" i="6"/>
  <c r="S8" i="6"/>
  <c r="S9" i="6"/>
  <c r="S3" i="6"/>
  <c r="S5" i="6"/>
  <c r="S6" i="6"/>
  <c r="S4" i="6"/>
  <c r="S20" i="6"/>
  <c r="S91" i="6"/>
  <c r="S21" i="6"/>
  <c r="S121" i="6"/>
  <c r="S13" i="6"/>
  <c r="S142" i="6"/>
  <c r="S14" i="6"/>
  <c r="S153" i="6"/>
  <c r="S23" i="6"/>
  <c r="S169" i="6"/>
  <c r="S16" i="6"/>
  <c r="S193" i="6"/>
  <c r="S17" i="6"/>
  <c r="S341" i="6"/>
  <c r="S18" i="6"/>
  <c r="S407" i="6"/>
  <c r="S19" i="6"/>
  <c r="S67" i="6"/>
  <c r="S12" i="6"/>
  <c r="S95" i="6"/>
  <c r="S22" i="6"/>
  <c r="S107" i="6"/>
  <c r="S15" i="6"/>
  <c r="S28" i="6"/>
  <c r="S347" i="6"/>
  <c r="S29" i="6"/>
  <c r="S375" i="6"/>
  <c r="S27" i="6"/>
  <c r="S24" i="6"/>
  <c r="S414" i="6"/>
  <c r="S25" i="6"/>
  <c r="S26" i="6"/>
  <c r="S485" i="6"/>
  <c r="S194" i="6"/>
  <c r="S195" i="6"/>
  <c r="S196" i="6"/>
  <c r="S270" i="6"/>
  <c r="S282"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76" i="6"/>
  <c r="N160" i="5"/>
  <c r="G190" i="6" s="1"/>
  <c r="N161" i="5"/>
  <c r="G176" i="6" s="1"/>
  <c r="N162" i="5"/>
  <c r="G189" i="6" s="1"/>
  <c r="N163" i="5"/>
  <c r="G187" i="6" s="1"/>
  <c r="N164" i="5"/>
  <c r="N165" i="5"/>
  <c r="G192" i="6" s="1"/>
  <c r="M191" i="6"/>
  <c r="M187" i="6"/>
  <c r="M188" i="6"/>
  <c r="M182" i="6"/>
  <c r="M183" i="6"/>
  <c r="O191" i="6"/>
  <c r="O187" i="6"/>
  <c r="O188" i="6"/>
  <c r="O182" i="6"/>
  <c r="O183" i="6"/>
  <c r="P191" i="6"/>
  <c r="P187" i="6"/>
  <c r="P188" i="6"/>
  <c r="P182" i="6"/>
  <c r="P183" i="6"/>
  <c r="Q191" i="6"/>
  <c r="Q187" i="6"/>
  <c r="Q188" i="6"/>
  <c r="Q182" i="6"/>
  <c r="Q183" i="6"/>
  <c r="M190" i="6"/>
  <c r="M176" i="6"/>
  <c r="M189" i="6"/>
  <c r="O190" i="6"/>
  <c r="O176" i="6"/>
  <c r="O189" i="6"/>
  <c r="P190" i="6"/>
  <c r="P176" i="6"/>
  <c r="P189" i="6"/>
  <c r="Q190" i="6"/>
  <c r="Q176" i="6"/>
  <c r="Q189" i="6"/>
  <c r="M174" i="6"/>
  <c r="O174" i="6"/>
  <c r="P174" i="6"/>
  <c r="Q174" i="6"/>
  <c r="M184" i="6"/>
  <c r="M175" i="6"/>
  <c r="M172" i="6"/>
  <c r="M170" i="6"/>
  <c r="M177" i="6"/>
  <c r="O184" i="6"/>
  <c r="O175" i="6"/>
  <c r="O172" i="6"/>
  <c r="O170" i="6"/>
  <c r="O177" i="6"/>
  <c r="P184" i="6"/>
  <c r="P175" i="6"/>
  <c r="P172" i="6"/>
  <c r="P170" i="6"/>
  <c r="P177" i="6"/>
  <c r="Q184" i="6"/>
  <c r="Q175" i="6"/>
  <c r="Q172" i="6"/>
  <c r="Q170" i="6"/>
  <c r="Q177" i="6"/>
  <c r="M171" i="6"/>
  <c r="M173" i="6"/>
  <c r="O171" i="6"/>
  <c r="O173" i="6"/>
  <c r="P171" i="6"/>
  <c r="P173" i="6"/>
  <c r="Q171" i="6"/>
  <c r="Q173" i="6"/>
  <c r="P470" i="6"/>
  <c r="Q470" i="6"/>
  <c r="P178" i="6"/>
  <c r="Q178" i="6"/>
  <c r="P179" i="6"/>
  <c r="Q179" i="6"/>
  <c r="P180" i="6"/>
  <c r="Q180" i="6"/>
  <c r="P181" i="6"/>
  <c r="Q181" i="6"/>
  <c r="M178" i="6"/>
  <c r="M179" i="6"/>
  <c r="M180" i="6"/>
  <c r="M181" i="6"/>
  <c r="O178" i="6"/>
  <c r="O179" i="6"/>
  <c r="O180" i="6"/>
  <c r="O181" i="6"/>
  <c r="N159" i="5"/>
  <c r="G74" i="6" s="1"/>
  <c r="M470" i="6"/>
  <c r="O470" i="6"/>
  <c r="M466" i="6"/>
  <c r="M467" i="6"/>
  <c r="M468" i="6"/>
  <c r="M469" i="6"/>
  <c r="O466" i="6"/>
  <c r="O467" i="6"/>
  <c r="O468" i="6"/>
  <c r="O469" i="6"/>
  <c r="P466" i="6"/>
  <c r="P467" i="6"/>
  <c r="P468" i="6"/>
  <c r="P469" i="6"/>
  <c r="Q466" i="6"/>
  <c r="Q467" i="6"/>
  <c r="Q468" i="6"/>
  <c r="Q469" i="6"/>
  <c r="A56" i="10"/>
  <c r="A54" i="10"/>
  <c r="A52" i="10"/>
  <c r="A50" i="10"/>
  <c r="A48" i="10"/>
  <c r="A46" i="10"/>
  <c r="A77" i="8"/>
  <c r="A76" i="8"/>
  <c r="A79" i="8"/>
  <c r="A80" i="8"/>
  <c r="A81" i="8"/>
  <c r="A44" i="10"/>
  <c r="A76" i="9"/>
  <c r="A78" i="8"/>
  <c r="A120" i="10"/>
  <c r="Q91" i="6"/>
  <c r="Q121" i="6"/>
  <c r="Q142" i="6"/>
  <c r="Q153" i="6"/>
  <c r="Q169" i="6"/>
  <c r="Q193" i="6"/>
  <c r="Q341" i="6"/>
  <c r="Q407" i="6"/>
  <c r="Q67" i="6"/>
  <c r="Q95" i="6"/>
  <c r="Q107" i="6"/>
  <c r="Q347" i="6"/>
  <c r="Q375" i="6"/>
  <c r="Q414" i="6"/>
  <c r="Q485" i="6"/>
  <c r="Q194" i="6"/>
  <c r="Q195" i="6"/>
  <c r="Q196" i="6"/>
  <c r="Q270" i="6"/>
  <c r="Q282"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 i="6"/>
  <c r="Q10" i="6"/>
  <c r="Q38" i="6"/>
  <c r="Q364" i="6"/>
  <c r="Q290" i="6"/>
  <c r="Q291" i="6"/>
  <c r="Q292" i="6"/>
  <c r="Q293" i="6"/>
  <c r="Q294" i="6"/>
  <c r="Q295" i="6"/>
  <c r="Q296" i="6"/>
  <c r="Q297" i="6"/>
  <c r="Q298" i="6"/>
  <c r="Q299" i="6"/>
  <c r="Q366" i="6"/>
  <c r="Q368" i="6"/>
  <c r="Q370" i="6"/>
  <c r="Q372" i="6"/>
  <c r="Q374" i="6"/>
  <c r="Q376" i="6"/>
  <c r="Q378" i="6"/>
  <c r="Q380" i="6"/>
  <c r="Q382" i="6"/>
  <c r="Q384" i="6"/>
  <c r="Q386" i="6"/>
  <c r="Q388" i="6"/>
  <c r="Q390" i="6"/>
  <c r="Q392" i="6"/>
  <c r="Q394" i="6"/>
  <c r="Q396" i="6"/>
  <c r="Q398" i="6"/>
  <c r="Q400" i="6"/>
  <c r="Q402" i="6"/>
  <c r="Q419" i="6"/>
  <c r="Q421" i="6"/>
  <c r="Q423" i="6"/>
  <c r="Q425" i="6"/>
  <c r="Q427" i="6"/>
  <c r="Q429" i="6"/>
  <c r="Q431" i="6"/>
  <c r="Q433" i="6"/>
  <c r="Q435" i="6"/>
  <c r="Q437" i="6"/>
  <c r="Q439" i="6"/>
  <c r="Q441" i="6"/>
  <c r="Q443" i="6"/>
  <c r="Q445" i="6"/>
  <c r="Q447" i="6"/>
  <c r="Q449" i="6"/>
  <c r="Q451" i="6"/>
  <c r="Q453" i="6"/>
  <c r="Q455" i="6"/>
  <c r="Q457" i="6"/>
  <c r="Q459" i="6"/>
  <c r="Q461" i="6"/>
  <c r="Q463" i="6"/>
  <c r="Q464" i="6"/>
  <c r="Q465" i="6"/>
  <c r="Q276" i="6"/>
  <c r="Q277" i="6"/>
  <c r="Q278" i="6"/>
  <c r="Q279" i="6"/>
  <c r="Q280" i="6"/>
  <c r="Q281" i="6"/>
  <c r="Q283" i="6"/>
  <c r="Q284" i="6"/>
  <c r="Q285" i="6"/>
  <c r="Q286" i="6"/>
  <c r="Q287" i="6"/>
  <c r="Q288" i="6"/>
  <c r="Q145" i="6"/>
  <c r="Q144" i="6"/>
  <c r="Q154" i="6"/>
  <c r="Q155" i="6"/>
  <c r="Q156" i="6"/>
  <c r="Q157" i="6"/>
  <c r="Q265" i="6"/>
  <c r="Q264" i="6"/>
  <c r="Q48" i="6"/>
  <c r="Q53" i="6"/>
  <c r="Q63" i="6"/>
  <c r="Q66" i="6"/>
  <c r="Q62" i="6"/>
  <c r="Q64" i="6"/>
  <c r="Q65" i="6"/>
  <c r="Q79" i="6"/>
  <c r="Q80" i="6"/>
  <c r="Q98" i="6"/>
  <c r="Q99" i="6"/>
  <c r="Q100" i="6"/>
  <c r="Q117" i="6"/>
  <c r="Q120" i="6"/>
  <c r="Q383" i="6"/>
  <c r="Q389" i="6"/>
  <c r="Q360" i="6"/>
  <c r="Q357" i="6"/>
  <c r="Q358" i="6"/>
  <c r="Q359" i="6"/>
  <c r="Q363" i="6"/>
  <c r="Q365" i="6"/>
  <c r="Q350" i="6"/>
  <c r="Q362" i="6"/>
  <c r="Q420" i="6"/>
  <c r="Q7" i="6"/>
  <c r="Q8" i="6"/>
  <c r="Q412" i="6"/>
  <c r="Q342" i="6"/>
  <c r="Q346" i="6"/>
  <c r="Q77" i="6"/>
  <c r="Q76" i="6"/>
  <c r="Q92" i="6"/>
  <c r="Q93" i="6"/>
  <c r="Q94" i="6"/>
  <c r="Q275" i="6"/>
  <c r="Q124" i="6"/>
  <c r="Q125" i="6"/>
  <c r="Q126" i="6"/>
  <c r="Q128" i="6"/>
  <c r="Q129" i="6"/>
  <c r="Q130" i="6"/>
  <c r="Q131" i="6"/>
  <c r="Q132" i="6"/>
  <c r="Q133" i="6"/>
  <c r="Q135" i="6"/>
  <c r="Q136" i="6"/>
  <c r="Q137" i="6"/>
  <c r="Q141" i="6"/>
  <c r="Q138" i="6"/>
  <c r="Q139" i="6"/>
  <c r="Q140" i="6"/>
  <c r="Q127" i="6"/>
  <c r="Q134" i="6"/>
  <c r="Q151" i="6"/>
  <c r="Q152" i="6"/>
  <c r="Q148" i="6"/>
  <c r="Q149" i="6"/>
  <c r="Q150" i="6"/>
  <c r="Q165" i="6"/>
  <c r="Q167" i="6"/>
  <c r="Q168" i="6"/>
  <c r="Q158" i="6"/>
  <c r="Q160" i="6"/>
  <c r="Q162" i="6"/>
  <c r="Q163" i="6"/>
  <c r="Q164" i="6"/>
  <c r="Q197" i="6"/>
  <c r="Q198" i="6"/>
  <c r="Q262" i="6"/>
  <c r="Q263" i="6"/>
  <c r="Q266" i="6"/>
  <c r="Q269" i="6"/>
  <c r="Q267" i="6"/>
  <c r="Q268" i="6"/>
  <c r="Q46" i="6"/>
  <c r="Q47" i="6"/>
  <c r="Q50" i="6"/>
  <c r="Q51" i="6"/>
  <c r="Q44" i="6"/>
  <c r="Q49" i="6"/>
  <c r="Q45" i="6"/>
  <c r="Q58" i="6"/>
  <c r="Q60" i="6"/>
  <c r="Q59" i="6"/>
  <c r="Q61" i="6"/>
  <c r="Q55" i="6"/>
  <c r="Q54" i="6"/>
  <c r="Q56" i="6"/>
  <c r="Q57" i="6"/>
  <c r="Q102" i="6"/>
  <c r="Q104" i="6"/>
  <c r="Q106" i="6"/>
  <c r="Q101" i="6"/>
  <c r="Q105" i="6"/>
  <c r="Q97" i="6"/>
  <c r="Q96" i="6"/>
  <c r="Q109" i="6"/>
  <c r="Q110" i="6"/>
  <c r="Q111" i="6"/>
  <c r="Q112" i="6"/>
  <c r="Q113" i="6"/>
  <c r="Q114" i="6"/>
  <c r="Q116" i="6"/>
  <c r="Q115" i="6"/>
  <c r="Q385" i="6"/>
  <c r="Q403" i="6"/>
  <c r="Q381" i="6"/>
  <c r="Q387" i="6"/>
  <c r="Q377" i="6"/>
  <c r="Q405" i="6"/>
  <c r="Q391" i="6"/>
  <c r="Q406" i="6"/>
  <c r="Q393" i="6"/>
  <c r="Q395" i="6"/>
  <c r="Q397" i="6"/>
  <c r="Q399" i="6"/>
  <c r="Q401" i="6"/>
  <c r="Q404" i="6"/>
  <c r="Q379" i="6"/>
  <c r="Q361" i="6"/>
  <c r="Q349" i="6"/>
  <c r="Q367" i="6"/>
  <c r="Q351" i="6"/>
  <c r="Q352" i="6"/>
  <c r="Q369" i="6"/>
  <c r="Q371" i="6"/>
  <c r="Q353" i="6"/>
  <c r="Q354" i="6"/>
  <c r="Q373" i="6"/>
  <c r="Q355" i="6"/>
  <c r="Q356" i="6"/>
  <c r="Q348" i="6"/>
  <c r="Q5" i="6"/>
  <c r="Q6" i="6"/>
  <c r="Q411" i="6"/>
  <c r="Q103" i="6"/>
  <c r="Q108" i="6"/>
  <c r="Q118" i="6"/>
  <c r="Q119" i="6"/>
  <c r="Q410" i="6"/>
  <c r="Q409" i="6"/>
  <c r="Q408" i="6"/>
  <c r="Q416" i="6"/>
  <c r="Q418" i="6"/>
  <c r="Q344" i="6"/>
  <c r="Q345" i="6"/>
  <c r="Q343" i="6"/>
  <c r="Q70" i="6"/>
  <c r="Q75" i="6"/>
  <c r="Q71" i="6"/>
  <c r="Q68" i="6"/>
  <c r="Q69" i="6"/>
  <c r="Q72" i="6"/>
  <c r="Q73" i="6"/>
  <c r="Q74" i="6"/>
  <c r="Q487" i="6"/>
  <c r="Q494" i="6"/>
  <c r="Q496" i="6"/>
  <c r="Q532" i="6"/>
  <c r="Q500"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9" i="6"/>
  <c r="Q537" i="6"/>
  <c r="Q486" i="6"/>
  <c r="Q488" i="6"/>
  <c r="Q489" i="6"/>
  <c r="Q490" i="6"/>
  <c r="Q491" i="6"/>
  <c r="Q495" i="6"/>
  <c r="Q501" i="6"/>
  <c r="Q528" i="6"/>
  <c r="Q530" i="6"/>
  <c r="Q535" i="6"/>
  <c r="Q497" i="6"/>
  <c r="Q498" i="6"/>
  <c r="Q499" i="6"/>
  <c r="Q533" i="6"/>
  <c r="Q534" i="6"/>
  <c r="Q536" i="6"/>
  <c r="Q492" i="6"/>
  <c r="Q493" i="6"/>
  <c r="Q531" i="6"/>
  <c r="Q274" i="6"/>
  <c r="Q272" i="6"/>
  <c r="Q273" i="6"/>
  <c r="Q271" i="6"/>
  <c r="Q123" i="6"/>
  <c r="Q122" i="6"/>
  <c r="Q146" i="6"/>
  <c r="Q147" i="6"/>
  <c r="Q143" i="6"/>
  <c r="Q9" i="6"/>
  <c r="Q3" i="6"/>
  <c r="Q4" i="6"/>
  <c r="Q20" i="6"/>
  <c r="Q21" i="6"/>
  <c r="Q13" i="6"/>
  <c r="Q14" i="6"/>
  <c r="Q23" i="6"/>
  <c r="Q16" i="6"/>
  <c r="Q17" i="6"/>
  <c r="Q18" i="6"/>
  <c r="Q19" i="6"/>
  <c r="Q12" i="6"/>
  <c r="Q22" i="6"/>
  <c r="Q15" i="6"/>
  <c r="Q28" i="6"/>
  <c r="Q29" i="6"/>
  <c r="Q27" i="6"/>
  <c r="Q24" i="6"/>
  <c r="Q25" i="6"/>
  <c r="Q26" i="6"/>
  <c r="P91" i="6"/>
  <c r="P121" i="6"/>
  <c r="P142" i="6"/>
  <c r="P153" i="6"/>
  <c r="P169" i="6"/>
  <c r="P193" i="6"/>
  <c r="P341" i="6"/>
  <c r="P407" i="6"/>
  <c r="P67" i="6"/>
  <c r="P95" i="6"/>
  <c r="P107" i="6"/>
  <c r="P347" i="6"/>
  <c r="P375" i="6"/>
  <c r="P414" i="6"/>
  <c r="P485" i="6"/>
  <c r="P194" i="6"/>
  <c r="P195" i="6"/>
  <c r="P196" i="6"/>
  <c r="P270" i="6"/>
  <c r="P282"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 i="6"/>
  <c r="P10" i="6"/>
  <c r="P38" i="6"/>
  <c r="P364" i="6"/>
  <c r="P290" i="6"/>
  <c r="P291" i="6"/>
  <c r="P292" i="6"/>
  <c r="P293" i="6"/>
  <c r="P294" i="6"/>
  <c r="P295" i="6"/>
  <c r="P296" i="6"/>
  <c r="P297" i="6"/>
  <c r="P298" i="6"/>
  <c r="P299" i="6"/>
  <c r="P366" i="6"/>
  <c r="P368" i="6"/>
  <c r="P370" i="6"/>
  <c r="P372" i="6"/>
  <c r="P374" i="6"/>
  <c r="P376" i="6"/>
  <c r="P378" i="6"/>
  <c r="P380" i="6"/>
  <c r="P382" i="6"/>
  <c r="P384" i="6"/>
  <c r="P386" i="6"/>
  <c r="P388" i="6"/>
  <c r="P390" i="6"/>
  <c r="P392" i="6"/>
  <c r="P394" i="6"/>
  <c r="P396" i="6"/>
  <c r="P398" i="6"/>
  <c r="P400" i="6"/>
  <c r="P402" i="6"/>
  <c r="P419" i="6"/>
  <c r="P421" i="6"/>
  <c r="P423" i="6"/>
  <c r="P425" i="6"/>
  <c r="P427" i="6"/>
  <c r="P429" i="6"/>
  <c r="P431" i="6"/>
  <c r="P433" i="6"/>
  <c r="P435" i="6"/>
  <c r="P437" i="6"/>
  <c r="P439" i="6"/>
  <c r="P441" i="6"/>
  <c r="P443" i="6"/>
  <c r="P445" i="6"/>
  <c r="P447" i="6"/>
  <c r="P449" i="6"/>
  <c r="P451" i="6"/>
  <c r="P453" i="6"/>
  <c r="P455" i="6"/>
  <c r="P457" i="6"/>
  <c r="P459" i="6"/>
  <c r="P461" i="6"/>
  <c r="P463" i="6"/>
  <c r="P464" i="6"/>
  <c r="P465" i="6"/>
  <c r="P276" i="6"/>
  <c r="P277" i="6"/>
  <c r="P278" i="6"/>
  <c r="P279" i="6"/>
  <c r="P280" i="6"/>
  <c r="P281" i="6"/>
  <c r="P283" i="6"/>
  <c r="P284" i="6"/>
  <c r="P285" i="6"/>
  <c r="P286" i="6"/>
  <c r="P287" i="6"/>
  <c r="P288" i="6"/>
  <c r="P145" i="6"/>
  <c r="P144" i="6"/>
  <c r="P154" i="6"/>
  <c r="P155" i="6"/>
  <c r="P156" i="6"/>
  <c r="P157" i="6"/>
  <c r="P265" i="6"/>
  <c r="P264" i="6"/>
  <c r="P48" i="6"/>
  <c r="P53" i="6"/>
  <c r="P63" i="6"/>
  <c r="P66" i="6"/>
  <c r="P62" i="6"/>
  <c r="P64" i="6"/>
  <c r="P65" i="6"/>
  <c r="P79" i="6"/>
  <c r="P80" i="6"/>
  <c r="P98" i="6"/>
  <c r="P99" i="6"/>
  <c r="P100" i="6"/>
  <c r="P117" i="6"/>
  <c r="P120" i="6"/>
  <c r="P383" i="6"/>
  <c r="P389" i="6"/>
  <c r="P360" i="6"/>
  <c r="P357" i="6"/>
  <c r="P358" i="6"/>
  <c r="P359" i="6"/>
  <c r="P363" i="6"/>
  <c r="P365" i="6"/>
  <c r="P350" i="6"/>
  <c r="P362" i="6"/>
  <c r="P420" i="6"/>
  <c r="P7" i="6"/>
  <c r="P8" i="6"/>
  <c r="P412" i="6"/>
  <c r="P342" i="6"/>
  <c r="P346" i="6"/>
  <c r="P77" i="6"/>
  <c r="P76" i="6"/>
  <c r="P92" i="6"/>
  <c r="P93" i="6"/>
  <c r="P94" i="6"/>
  <c r="P275" i="6"/>
  <c r="P124" i="6"/>
  <c r="P125" i="6"/>
  <c r="P126" i="6"/>
  <c r="P128" i="6"/>
  <c r="P129" i="6"/>
  <c r="P130" i="6"/>
  <c r="P131" i="6"/>
  <c r="P132" i="6"/>
  <c r="P133" i="6"/>
  <c r="P135" i="6"/>
  <c r="P136" i="6"/>
  <c r="P137" i="6"/>
  <c r="P141" i="6"/>
  <c r="P138" i="6"/>
  <c r="P139" i="6"/>
  <c r="P140" i="6"/>
  <c r="P127" i="6"/>
  <c r="P134" i="6"/>
  <c r="P151" i="6"/>
  <c r="P152" i="6"/>
  <c r="P148" i="6"/>
  <c r="P149" i="6"/>
  <c r="P150" i="6"/>
  <c r="P165" i="6"/>
  <c r="P167" i="6"/>
  <c r="P168" i="6"/>
  <c r="P158" i="6"/>
  <c r="P160" i="6"/>
  <c r="P162" i="6"/>
  <c r="P163" i="6"/>
  <c r="P164" i="6"/>
  <c r="P197" i="6"/>
  <c r="P198" i="6"/>
  <c r="P262" i="6"/>
  <c r="P263" i="6"/>
  <c r="P266" i="6"/>
  <c r="P269" i="6"/>
  <c r="P267" i="6"/>
  <c r="P268" i="6"/>
  <c r="P46" i="6"/>
  <c r="P47" i="6"/>
  <c r="P50" i="6"/>
  <c r="P51" i="6"/>
  <c r="P44" i="6"/>
  <c r="P49" i="6"/>
  <c r="P45" i="6"/>
  <c r="P58" i="6"/>
  <c r="P60" i="6"/>
  <c r="P59" i="6"/>
  <c r="P61" i="6"/>
  <c r="P55" i="6"/>
  <c r="P54" i="6"/>
  <c r="P56" i="6"/>
  <c r="P57" i="6"/>
  <c r="P102" i="6"/>
  <c r="P104" i="6"/>
  <c r="P106" i="6"/>
  <c r="P101" i="6"/>
  <c r="P105" i="6"/>
  <c r="P97" i="6"/>
  <c r="P96" i="6"/>
  <c r="P109" i="6"/>
  <c r="P110" i="6"/>
  <c r="P111" i="6"/>
  <c r="P112" i="6"/>
  <c r="P113" i="6"/>
  <c r="P114" i="6"/>
  <c r="P116" i="6"/>
  <c r="P115" i="6"/>
  <c r="P385" i="6"/>
  <c r="P403" i="6"/>
  <c r="P381" i="6"/>
  <c r="P387" i="6"/>
  <c r="P377" i="6"/>
  <c r="P405" i="6"/>
  <c r="P391" i="6"/>
  <c r="P406" i="6"/>
  <c r="P393" i="6"/>
  <c r="P395" i="6"/>
  <c r="P397" i="6"/>
  <c r="P399" i="6"/>
  <c r="P401" i="6"/>
  <c r="P404" i="6"/>
  <c r="P379" i="6"/>
  <c r="P361" i="6"/>
  <c r="P349" i="6"/>
  <c r="P367" i="6"/>
  <c r="P351" i="6"/>
  <c r="P352" i="6"/>
  <c r="P369" i="6"/>
  <c r="P371" i="6"/>
  <c r="P353" i="6"/>
  <c r="P354" i="6"/>
  <c r="P373" i="6"/>
  <c r="P355" i="6"/>
  <c r="P356" i="6"/>
  <c r="P348" i="6"/>
  <c r="P5" i="6"/>
  <c r="P6" i="6"/>
  <c r="P411" i="6"/>
  <c r="P103" i="6"/>
  <c r="P108" i="6"/>
  <c r="P118" i="6"/>
  <c r="P119" i="6"/>
  <c r="P410" i="6"/>
  <c r="P409" i="6"/>
  <c r="P408" i="6"/>
  <c r="P416" i="6"/>
  <c r="P418" i="6"/>
  <c r="P344" i="6"/>
  <c r="P345" i="6"/>
  <c r="P343" i="6"/>
  <c r="P70" i="6"/>
  <c r="P75" i="6"/>
  <c r="P71" i="6"/>
  <c r="P68" i="6"/>
  <c r="P69" i="6"/>
  <c r="P72" i="6"/>
  <c r="P73" i="6"/>
  <c r="P74" i="6"/>
  <c r="P487" i="6"/>
  <c r="P494" i="6"/>
  <c r="P496" i="6"/>
  <c r="P532" i="6"/>
  <c r="P500"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9" i="6"/>
  <c r="P537" i="6"/>
  <c r="P486" i="6"/>
  <c r="P488" i="6"/>
  <c r="P489" i="6"/>
  <c r="P490" i="6"/>
  <c r="P491" i="6"/>
  <c r="P495" i="6"/>
  <c r="P501" i="6"/>
  <c r="P528" i="6"/>
  <c r="P530" i="6"/>
  <c r="P535" i="6"/>
  <c r="P497" i="6"/>
  <c r="P498" i="6"/>
  <c r="P499" i="6"/>
  <c r="P533" i="6"/>
  <c r="P534" i="6"/>
  <c r="P536" i="6"/>
  <c r="P492" i="6"/>
  <c r="P493" i="6"/>
  <c r="P531" i="6"/>
  <c r="P274" i="6"/>
  <c r="P272" i="6"/>
  <c r="P273" i="6"/>
  <c r="P271" i="6"/>
  <c r="P123" i="6"/>
  <c r="P122" i="6"/>
  <c r="P146" i="6"/>
  <c r="P147" i="6"/>
  <c r="P143" i="6"/>
  <c r="P9" i="6"/>
  <c r="P3" i="6"/>
  <c r="P4" i="6"/>
  <c r="P20" i="6"/>
  <c r="P21" i="6"/>
  <c r="P13" i="6"/>
  <c r="P14" i="6"/>
  <c r="P23" i="6"/>
  <c r="P16" i="6"/>
  <c r="P17" i="6"/>
  <c r="P18" i="6"/>
  <c r="P19" i="6"/>
  <c r="P12" i="6"/>
  <c r="P22" i="6"/>
  <c r="P15" i="6"/>
  <c r="P28" i="6"/>
  <c r="P29" i="6"/>
  <c r="P27" i="6"/>
  <c r="P24" i="6"/>
  <c r="P25" i="6"/>
  <c r="P26" i="6"/>
  <c r="O24" i="6"/>
  <c r="O25" i="6"/>
  <c r="O27" i="6"/>
  <c r="O28" i="6"/>
  <c r="O15" i="6"/>
  <c r="O19" i="6"/>
  <c r="O18" i="6"/>
  <c r="O17" i="6"/>
  <c r="O16" i="6"/>
  <c r="O13" i="6"/>
  <c r="O14" i="6"/>
  <c r="O22" i="6"/>
  <c r="O29" i="6"/>
  <c r="R158" i="5"/>
  <c r="N158" i="5"/>
  <c r="G27" i="6" s="1"/>
  <c r="R157" i="5"/>
  <c r="N157" i="5"/>
  <c r="G29" i="6" s="1"/>
  <c r="R156" i="5"/>
  <c r="N156" i="5"/>
  <c r="F468" i="6" s="1"/>
  <c r="R155" i="5"/>
  <c r="N155" i="5"/>
  <c r="G13" i="6" s="1"/>
  <c r="O26" i="6"/>
  <c r="O23" i="6"/>
  <c r="M26" i="6"/>
  <c r="M25" i="6"/>
  <c r="M24" i="6"/>
  <c r="M27" i="6"/>
  <c r="M29" i="6"/>
  <c r="M28" i="6"/>
  <c r="M15" i="6"/>
  <c r="M22" i="6"/>
  <c r="M12" i="6"/>
  <c r="O12" i="6"/>
  <c r="M19" i="6"/>
  <c r="M18" i="6"/>
  <c r="M17" i="6"/>
  <c r="M16" i="6"/>
  <c r="M23" i="6"/>
  <c r="M14" i="6"/>
  <c r="O21" i="6"/>
  <c r="O20" i="6"/>
  <c r="M13" i="6"/>
  <c r="N154" i="5"/>
  <c r="M21" i="6"/>
  <c r="M20" i="6"/>
  <c r="R2" i="5"/>
  <c r="R3" i="5"/>
  <c r="R4" i="5"/>
  <c r="R7" i="5"/>
  <c r="R51" i="5"/>
  <c r="R52" i="5"/>
  <c r="R53" i="5"/>
  <c r="R54" i="5"/>
  <c r="R55" i="5"/>
  <c r="R56" i="5"/>
  <c r="R57" i="5"/>
  <c r="R58" i="5"/>
  <c r="R59" i="5"/>
  <c r="R60" i="5"/>
  <c r="R61" i="5"/>
  <c r="R64" i="5"/>
  <c r="R65" i="5"/>
  <c r="R66" i="5"/>
  <c r="R67" i="5"/>
  <c r="R68" i="5"/>
  <c r="R69" i="5"/>
  <c r="R70" i="5"/>
  <c r="R71" i="5"/>
  <c r="R72" i="5"/>
  <c r="R73" i="5"/>
  <c r="R74" i="5"/>
  <c r="R75" i="5"/>
  <c r="R76" i="5"/>
  <c r="R77" i="5"/>
  <c r="R78" i="5"/>
  <c r="R79" i="5"/>
  <c r="R81" i="5"/>
  <c r="R82" i="5"/>
  <c r="R83" i="5"/>
  <c r="R88" i="5"/>
  <c r="R89" i="5"/>
  <c r="R90" i="5"/>
  <c r="R91" i="5"/>
  <c r="R92" i="5"/>
  <c r="R93" i="5"/>
  <c r="R94" i="5"/>
  <c r="R96"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30" i="5"/>
  <c r="R131" i="5"/>
  <c r="R132" i="5"/>
  <c r="R133" i="5"/>
  <c r="R134" i="5"/>
  <c r="R135" i="5"/>
  <c r="R136" i="5"/>
  <c r="R137" i="5"/>
  <c r="R138" i="5"/>
  <c r="R139" i="5"/>
  <c r="R140" i="5"/>
  <c r="R141" i="5"/>
  <c r="R142" i="5"/>
  <c r="R143" i="5"/>
  <c r="R144" i="5"/>
  <c r="R145" i="5"/>
  <c r="R146" i="5"/>
  <c r="R147" i="5"/>
  <c r="R148" i="5"/>
  <c r="R149" i="5"/>
  <c r="R150" i="5"/>
  <c r="R151" i="5"/>
  <c r="R152" i="5"/>
  <c r="R153" i="5"/>
  <c r="N96" i="5"/>
  <c r="G452" i="6" s="1"/>
  <c r="M465" i="6"/>
  <c r="O465" i="6"/>
  <c r="M464" i="6"/>
  <c r="O464" i="6"/>
  <c r="M437" i="6"/>
  <c r="M439" i="6"/>
  <c r="M441" i="6"/>
  <c r="M443" i="6"/>
  <c r="M445" i="6"/>
  <c r="M447" i="6"/>
  <c r="M449" i="6"/>
  <c r="M451" i="6"/>
  <c r="M453" i="6"/>
  <c r="M455" i="6"/>
  <c r="M457" i="6"/>
  <c r="M459" i="6"/>
  <c r="M461" i="6"/>
  <c r="M463" i="6"/>
  <c r="O437" i="6"/>
  <c r="O439" i="6"/>
  <c r="O441" i="6"/>
  <c r="O443" i="6"/>
  <c r="O445" i="6"/>
  <c r="O447" i="6"/>
  <c r="O449" i="6"/>
  <c r="O451" i="6"/>
  <c r="O453" i="6"/>
  <c r="O455" i="6"/>
  <c r="O457" i="6"/>
  <c r="O459" i="6"/>
  <c r="O461" i="6"/>
  <c r="O463" i="6"/>
  <c r="M386" i="6"/>
  <c r="M388" i="6"/>
  <c r="M390" i="6"/>
  <c r="M392" i="6"/>
  <c r="M394" i="6"/>
  <c r="M396" i="6"/>
  <c r="M398" i="6"/>
  <c r="M400" i="6"/>
  <c r="M402" i="6"/>
  <c r="M419" i="6"/>
  <c r="M421" i="6"/>
  <c r="M423" i="6"/>
  <c r="M425" i="6"/>
  <c r="M427" i="6"/>
  <c r="M429" i="6"/>
  <c r="M431" i="6"/>
  <c r="M433" i="6"/>
  <c r="M435" i="6"/>
  <c r="O386" i="6"/>
  <c r="O388" i="6"/>
  <c r="O390" i="6"/>
  <c r="O392" i="6"/>
  <c r="O394" i="6"/>
  <c r="O396" i="6"/>
  <c r="O398" i="6"/>
  <c r="O400" i="6"/>
  <c r="O402" i="6"/>
  <c r="O419" i="6"/>
  <c r="O421" i="6"/>
  <c r="O423" i="6"/>
  <c r="O425" i="6"/>
  <c r="O427" i="6"/>
  <c r="O429" i="6"/>
  <c r="O431" i="6"/>
  <c r="O433" i="6"/>
  <c r="O435" i="6"/>
  <c r="M382" i="6"/>
  <c r="M384" i="6"/>
  <c r="M291" i="6"/>
  <c r="M292" i="6"/>
  <c r="M293" i="6"/>
  <c r="M294" i="6"/>
  <c r="M295" i="6"/>
  <c r="M296" i="6"/>
  <c r="M297" i="6"/>
  <c r="M298" i="6"/>
  <c r="M299" i="6"/>
  <c r="M366" i="6"/>
  <c r="M368" i="6"/>
  <c r="M370" i="6"/>
  <c r="M372" i="6"/>
  <c r="M374" i="6"/>
  <c r="O382" i="6"/>
  <c r="O384" i="6"/>
  <c r="O291" i="6"/>
  <c r="O292" i="6"/>
  <c r="O293" i="6"/>
  <c r="O294" i="6"/>
  <c r="O295" i="6"/>
  <c r="O296" i="6"/>
  <c r="O297" i="6"/>
  <c r="O298" i="6"/>
  <c r="O299" i="6"/>
  <c r="O366" i="6"/>
  <c r="O368" i="6"/>
  <c r="O370" i="6"/>
  <c r="O372" i="6"/>
  <c r="O374" i="6"/>
  <c r="M364" i="6"/>
  <c r="M290" i="6"/>
  <c r="M376" i="6"/>
  <c r="M378" i="6"/>
  <c r="M380" i="6"/>
  <c r="O364" i="6"/>
  <c r="O290" i="6"/>
  <c r="O376" i="6"/>
  <c r="O378" i="6"/>
  <c r="O380" i="6"/>
  <c r="M38" i="6"/>
  <c r="O38" i="6"/>
  <c r="O10" i="6"/>
  <c r="O2" i="6"/>
  <c r="M10" i="6"/>
  <c r="M2" i="6"/>
  <c r="N152" i="5"/>
  <c r="N153" i="5"/>
  <c r="N151" i="5"/>
  <c r="F257" i="6" s="1"/>
  <c r="M275" i="6"/>
  <c r="M277" i="6"/>
  <c r="M281" i="6"/>
  <c r="M278" i="6"/>
  <c r="M279" i="6"/>
  <c r="M280" i="6"/>
  <c r="N149" i="5"/>
  <c r="N150" i="5"/>
  <c r="N3" i="5"/>
  <c r="G285" i="6" s="1"/>
  <c r="N4" i="5"/>
  <c r="F196" i="6" s="1"/>
  <c r="N5" i="5"/>
  <c r="F281" i="6" s="1"/>
  <c r="N6" i="5"/>
  <c r="F285" i="6" s="1"/>
  <c r="N7" i="5"/>
  <c r="G124" i="6" s="1"/>
  <c r="N14" i="5"/>
  <c r="F266" i="6" s="1"/>
  <c r="N17" i="5"/>
  <c r="N51" i="5"/>
  <c r="G99" i="6" s="1"/>
  <c r="N52" i="5"/>
  <c r="G352" i="6" s="1"/>
  <c r="N53" i="5"/>
  <c r="G104" i="6" s="1"/>
  <c r="N54" i="5"/>
  <c r="G106" i="6" s="1"/>
  <c r="N55" i="5"/>
  <c r="G101" i="6" s="1"/>
  <c r="N56" i="5"/>
  <c r="G105" i="6" s="1"/>
  <c r="N57" i="5"/>
  <c r="G97" i="6" s="1"/>
  <c r="N58" i="5"/>
  <c r="N59" i="5"/>
  <c r="N60" i="5"/>
  <c r="G115" i="6" s="1"/>
  <c r="N61" i="5"/>
  <c r="N62" i="5"/>
  <c r="F367" i="6" s="1"/>
  <c r="N63" i="5"/>
  <c r="F387" i="6" s="1"/>
  <c r="N64" i="5"/>
  <c r="G381" i="6" s="1"/>
  <c r="N65" i="5"/>
  <c r="G377" i="6" s="1"/>
  <c r="N66" i="5"/>
  <c r="N67" i="5"/>
  <c r="G379" i="6" s="1"/>
  <c r="N68" i="5"/>
  <c r="G360" i="6" s="1"/>
  <c r="N69" i="5"/>
  <c r="G358" i="6" s="1"/>
  <c r="N70" i="5"/>
  <c r="G359" i="6" s="1"/>
  <c r="N71" i="5"/>
  <c r="F220" i="6" s="1"/>
  <c r="N72" i="5"/>
  <c r="G365" i="6" s="1"/>
  <c r="N73" i="5"/>
  <c r="G349" i="6" s="1"/>
  <c r="N74" i="5"/>
  <c r="G367" i="6" s="1"/>
  <c r="N75" i="5"/>
  <c r="G351" i="6" s="1"/>
  <c r="N76" i="5"/>
  <c r="G369" i="6" s="1"/>
  <c r="N77" i="5"/>
  <c r="G371" i="6" s="1"/>
  <c r="N78" i="5"/>
  <c r="G353" i="6" s="1"/>
  <c r="N79" i="5"/>
  <c r="G348" i="6" s="1"/>
  <c r="N80" i="5"/>
  <c r="N81" i="5"/>
  <c r="F245" i="6" s="1"/>
  <c r="N82" i="5"/>
  <c r="N83" i="5"/>
  <c r="N85" i="5"/>
  <c r="F430" i="6" s="1"/>
  <c r="N86" i="5"/>
  <c r="F532" i="6" s="1"/>
  <c r="N87" i="5"/>
  <c r="G282" i="6" s="1"/>
  <c r="N88" i="5"/>
  <c r="G224" i="6" s="1"/>
  <c r="N89" i="5"/>
  <c r="N90" i="5"/>
  <c r="G240" i="6" s="1"/>
  <c r="N91" i="5"/>
  <c r="G248" i="6" s="1"/>
  <c r="N92" i="5"/>
  <c r="G256" i="6" s="1"/>
  <c r="N93" i="5"/>
  <c r="G466" i="6" s="1"/>
  <c r="N94" i="5"/>
  <c r="G261" i="6" s="1"/>
  <c r="N95" i="5"/>
  <c r="N97" i="5"/>
  <c r="F38" i="6" s="1"/>
  <c r="N98" i="5"/>
  <c r="N99" i="5"/>
  <c r="F453" i="6" s="1"/>
  <c r="N100" i="5"/>
  <c r="G489" i="6" s="1"/>
  <c r="N101" i="5"/>
  <c r="G416" i="6" s="1"/>
  <c r="N102" i="5"/>
  <c r="N103" i="5"/>
  <c r="G491" i="6" s="1"/>
  <c r="N104" i="5"/>
  <c r="G494" i="6" s="1"/>
  <c r="N105" i="5"/>
  <c r="F364" i="6" s="1"/>
  <c r="N106" i="5"/>
  <c r="N107" i="5"/>
  <c r="G188" i="6" s="1"/>
  <c r="N108" i="5"/>
  <c r="G532" i="6" s="1"/>
  <c r="N109" i="5"/>
  <c r="G500" i="6" s="1"/>
  <c r="N110" i="5"/>
  <c r="G501" i="6" s="1"/>
  <c r="N111" i="5"/>
  <c r="G502" i="6" s="1"/>
  <c r="N112" i="5"/>
  <c r="G503" i="6" s="1"/>
  <c r="N113" i="5"/>
  <c r="G504" i="6" s="1"/>
  <c r="N114" i="5"/>
  <c r="G505" i="6" s="1"/>
  <c r="N115" i="5"/>
  <c r="G506" i="6" s="1"/>
  <c r="N116" i="5"/>
  <c r="G507" i="6" s="1"/>
  <c r="N117" i="5"/>
  <c r="G508" i="6" s="1"/>
  <c r="N118" i="5"/>
  <c r="G509" i="6" s="1"/>
  <c r="N119" i="5"/>
  <c r="G510" i="6" s="1"/>
  <c r="N120" i="5"/>
  <c r="G511" i="6" s="1"/>
  <c r="N121" i="5"/>
  <c r="G512" i="6" s="1"/>
  <c r="N122" i="5"/>
  <c r="G513" i="6" s="1"/>
  <c r="N123" i="5"/>
  <c r="G514" i="6" s="1"/>
  <c r="N124" i="5"/>
  <c r="G515" i="6" s="1"/>
  <c r="N125" i="5"/>
  <c r="G516" i="6" s="1"/>
  <c r="N126" i="5"/>
  <c r="G517" i="6" s="1"/>
  <c r="N127" i="5"/>
  <c r="G518" i="6" s="1"/>
  <c r="N128" i="5"/>
  <c r="G519" i="6" s="1"/>
  <c r="N130" i="5"/>
  <c r="G521" i="6" s="1"/>
  <c r="N131" i="5"/>
  <c r="N132" i="5"/>
  <c r="G523" i="6" s="1"/>
  <c r="N133" i="5"/>
  <c r="G524" i="6" s="1"/>
  <c r="N134" i="5"/>
  <c r="G525" i="6" s="1"/>
  <c r="N135" i="5"/>
  <c r="G526" i="6" s="1"/>
  <c r="N136" i="5"/>
  <c r="G527" i="6" s="1"/>
  <c r="N137" i="5"/>
  <c r="G528" i="6" s="1"/>
  <c r="N138" i="5"/>
  <c r="G529" i="6" s="1"/>
  <c r="N139" i="5"/>
  <c r="G530" i="6" s="1"/>
  <c r="N140" i="5"/>
  <c r="G535" i="6" s="1"/>
  <c r="N141" i="5"/>
  <c r="F433" i="6" s="1"/>
  <c r="N142" i="5"/>
  <c r="F435" i="6" s="1"/>
  <c r="N143" i="5"/>
  <c r="G191" i="6" s="1"/>
  <c r="N144" i="5"/>
  <c r="G537" i="6" s="1"/>
  <c r="N145" i="5"/>
  <c r="G64" i="6" s="1"/>
  <c r="N146" i="5"/>
  <c r="G65" i="6" s="1"/>
  <c r="N147" i="5"/>
  <c r="G66" i="6" s="1"/>
  <c r="N148" i="5"/>
  <c r="F447" i="6" s="1"/>
  <c r="N2" i="5"/>
  <c r="M499" i="6"/>
  <c r="O499" i="6"/>
  <c r="M513" i="6"/>
  <c r="O513" i="6"/>
  <c r="M501" i="6"/>
  <c r="M528" i="6"/>
  <c r="M530" i="6"/>
  <c r="M531" i="6"/>
  <c r="M535" i="6"/>
  <c r="O501" i="6"/>
  <c r="O528" i="6"/>
  <c r="O530" i="6"/>
  <c r="O531" i="6"/>
  <c r="O535" i="6"/>
  <c r="M489" i="6"/>
  <c r="M490" i="6"/>
  <c r="M491" i="6"/>
  <c r="M492" i="6"/>
  <c r="M493" i="6"/>
  <c r="M495" i="6"/>
  <c r="O489" i="6"/>
  <c r="O490" i="6"/>
  <c r="O491" i="6"/>
  <c r="O492" i="6"/>
  <c r="O493" i="6"/>
  <c r="O495" i="6"/>
  <c r="M521" i="6"/>
  <c r="M522" i="6"/>
  <c r="M523" i="6"/>
  <c r="M524" i="6"/>
  <c r="M525" i="6"/>
  <c r="M526" i="6"/>
  <c r="M527" i="6"/>
  <c r="M529" i="6"/>
  <c r="M537" i="6"/>
  <c r="M533" i="6"/>
  <c r="M534" i="6"/>
  <c r="M536" i="6"/>
  <c r="M486" i="6"/>
  <c r="M488" i="6"/>
  <c r="O521" i="6"/>
  <c r="O522" i="6"/>
  <c r="O523" i="6"/>
  <c r="O524" i="6"/>
  <c r="O525" i="6"/>
  <c r="O526" i="6"/>
  <c r="O527" i="6"/>
  <c r="O529" i="6"/>
  <c r="O537" i="6"/>
  <c r="O533" i="6"/>
  <c r="O534" i="6"/>
  <c r="O536" i="6"/>
  <c r="O486" i="6"/>
  <c r="O488" i="6"/>
  <c r="M512" i="6"/>
  <c r="M514" i="6"/>
  <c r="M515" i="6"/>
  <c r="M516" i="6"/>
  <c r="M517" i="6"/>
  <c r="M518" i="6"/>
  <c r="M519" i="6"/>
  <c r="M520" i="6"/>
  <c r="O512" i="6"/>
  <c r="O514" i="6"/>
  <c r="O515" i="6"/>
  <c r="O516" i="6"/>
  <c r="O517" i="6"/>
  <c r="O518" i="6"/>
  <c r="O519" i="6"/>
  <c r="O520" i="6"/>
  <c r="M504" i="6"/>
  <c r="M505" i="6"/>
  <c r="M506" i="6"/>
  <c r="M507" i="6"/>
  <c r="M508" i="6"/>
  <c r="M509" i="6"/>
  <c r="M510" i="6"/>
  <c r="M511" i="6"/>
  <c r="O504" i="6"/>
  <c r="O505" i="6"/>
  <c r="O506" i="6"/>
  <c r="O507" i="6"/>
  <c r="O508" i="6"/>
  <c r="O509" i="6"/>
  <c r="O510" i="6"/>
  <c r="O511" i="6"/>
  <c r="M503" i="6"/>
  <c r="O503" i="6"/>
  <c r="M502" i="6"/>
  <c r="O502" i="6"/>
  <c r="M500" i="6"/>
  <c r="O500" i="6"/>
  <c r="M498" i="6"/>
  <c r="O498" i="6"/>
  <c r="M497" i="6"/>
  <c r="O497" i="6"/>
  <c r="M532" i="6"/>
  <c r="O532" i="6"/>
  <c r="M496" i="6"/>
  <c r="O496" i="6"/>
  <c r="M494" i="6"/>
  <c r="O494" i="6"/>
  <c r="M487" i="6"/>
  <c r="O487" i="6"/>
  <c r="M94" i="6"/>
  <c r="O94" i="6"/>
  <c r="M93" i="6"/>
  <c r="O93" i="6"/>
  <c r="M92" i="6"/>
  <c r="O92" i="6"/>
  <c r="M52" i="6"/>
  <c r="M43" i="6"/>
  <c r="M417" i="6"/>
  <c r="M415" i="6"/>
  <c r="M413" i="6"/>
  <c r="M73" i="6"/>
  <c r="M74" i="6"/>
  <c r="O73" i="6"/>
  <c r="O74" i="6"/>
  <c r="M69" i="6"/>
  <c r="M72" i="6"/>
  <c r="O69" i="6"/>
  <c r="O72" i="6"/>
  <c r="M71" i="6"/>
  <c r="M68" i="6"/>
  <c r="O71" i="6"/>
  <c r="O68" i="6"/>
  <c r="M70" i="6"/>
  <c r="M75" i="6"/>
  <c r="O70" i="6"/>
  <c r="O75" i="6"/>
  <c r="M76" i="6"/>
  <c r="O76" i="6"/>
  <c r="M77" i="6"/>
  <c r="O77" i="6"/>
  <c r="M343" i="6"/>
  <c r="O343" i="6"/>
  <c r="M345" i="6"/>
  <c r="O345" i="6"/>
  <c r="M344" i="6"/>
  <c r="O344" i="6"/>
  <c r="M346" i="6"/>
  <c r="O346" i="6"/>
  <c r="M342" i="6"/>
  <c r="O342" i="6"/>
  <c r="M416" i="6"/>
  <c r="O416" i="6"/>
  <c r="M418" i="6"/>
  <c r="O418" i="6"/>
  <c r="M410" i="6"/>
  <c r="O410" i="6"/>
  <c r="M409" i="6"/>
  <c r="O409" i="6"/>
  <c r="M408" i="6"/>
  <c r="O408" i="6"/>
  <c r="M108" i="6"/>
  <c r="O108" i="6"/>
  <c r="M118" i="6"/>
  <c r="O118" i="6"/>
  <c r="M119" i="6"/>
  <c r="O119" i="6"/>
  <c r="M103" i="6"/>
  <c r="O103" i="6"/>
  <c r="O7" i="6"/>
  <c r="O8" i="6"/>
  <c r="O9" i="6"/>
  <c r="O3" i="6"/>
  <c r="O5" i="6"/>
  <c r="O6" i="6"/>
  <c r="O4" i="6"/>
  <c r="O229" i="6"/>
  <c r="O244" i="6"/>
  <c r="O230" i="6"/>
  <c r="O232" i="6"/>
  <c r="O245" i="6"/>
  <c r="O214" i="6"/>
  <c r="O199" i="6"/>
  <c r="O231" i="6"/>
  <c r="O241" i="6"/>
  <c r="O216" i="6"/>
  <c r="O208" i="6"/>
  <c r="O211" i="6"/>
  <c r="O215" i="6"/>
  <c r="O210" i="6"/>
  <c r="O250" i="6"/>
  <c r="O239" i="6"/>
  <c r="O48" i="6"/>
  <c r="O46" i="6"/>
  <c r="O47" i="6"/>
  <c r="O50" i="6"/>
  <c r="O51" i="6"/>
  <c r="O44" i="6"/>
  <c r="O49" i="6"/>
  <c r="O45" i="6"/>
  <c r="O53" i="6"/>
  <c r="O63" i="6"/>
  <c r="O66" i="6"/>
  <c r="O62" i="6"/>
  <c r="O64" i="6"/>
  <c r="O65" i="6"/>
  <c r="O58" i="6"/>
  <c r="O60" i="6"/>
  <c r="O59" i="6"/>
  <c r="O61" i="6"/>
  <c r="O55" i="6"/>
  <c r="O54" i="6"/>
  <c r="O56" i="6"/>
  <c r="O57" i="6"/>
  <c r="O243" i="6"/>
  <c r="O246" i="6"/>
  <c r="O251" i="6"/>
  <c r="O247" i="6"/>
  <c r="O236" i="6"/>
  <c r="O225" i="6"/>
  <c r="O212" i="6"/>
  <c r="O256" i="6"/>
  <c r="O235" i="6"/>
  <c r="O91" i="6"/>
  <c r="O98" i="6"/>
  <c r="O99" i="6"/>
  <c r="O100" i="6"/>
  <c r="O102" i="6"/>
  <c r="O104" i="6"/>
  <c r="O106" i="6"/>
  <c r="O101" i="6"/>
  <c r="O105" i="6"/>
  <c r="O97" i="6"/>
  <c r="O96" i="6"/>
  <c r="O95" i="6"/>
  <c r="O117" i="6"/>
  <c r="O120" i="6"/>
  <c r="O109" i="6"/>
  <c r="O110" i="6"/>
  <c r="O111" i="6"/>
  <c r="O112" i="6"/>
  <c r="O113" i="6"/>
  <c r="O114" i="6"/>
  <c r="O116" i="6"/>
  <c r="O115" i="6"/>
  <c r="O107" i="6"/>
  <c r="O234" i="6"/>
  <c r="O124" i="6"/>
  <c r="O125" i="6"/>
  <c r="O126" i="6"/>
  <c r="O128" i="6"/>
  <c r="O129" i="6"/>
  <c r="O130" i="6"/>
  <c r="O131" i="6"/>
  <c r="O132" i="6"/>
  <c r="O133" i="6"/>
  <c r="O135" i="6"/>
  <c r="O136" i="6"/>
  <c r="O137" i="6"/>
  <c r="O141" i="6"/>
  <c r="O138" i="6"/>
  <c r="O139" i="6"/>
  <c r="O140" i="6"/>
  <c r="O127" i="6"/>
  <c r="O134" i="6"/>
  <c r="O123" i="6"/>
  <c r="O122" i="6"/>
  <c r="O121" i="6"/>
  <c r="O145" i="6"/>
  <c r="O144" i="6"/>
  <c r="O151" i="6"/>
  <c r="O152" i="6"/>
  <c r="O148" i="6"/>
  <c r="O149" i="6"/>
  <c r="O150" i="6"/>
  <c r="O146" i="6"/>
  <c r="O147" i="6"/>
  <c r="O143" i="6"/>
  <c r="O142" i="6"/>
  <c r="O154" i="6"/>
  <c r="O155" i="6"/>
  <c r="O156" i="6"/>
  <c r="O157" i="6"/>
  <c r="O165" i="6"/>
  <c r="O167" i="6"/>
  <c r="O168" i="6"/>
  <c r="O158" i="6"/>
  <c r="O160" i="6"/>
  <c r="O162" i="6"/>
  <c r="O163" i="6"/>
  <c r="O164" i="6"/>
  <c r="O153" i="6"/>
  <c r="O169" i="6"/>
  <c r="O265" i="6"/>
  <c r="O264" i="6"/>
  <c r="O197" i="6"/>
  <c r="O198" i="6"/>
  <c r="O262" i="6"/>
  <c r="O263" i="6"/>
  <c r="O266" i="6"/>
  <c r="O269" i="6"/>
  <c r="O267" i="6"/>
  <c r="O268" i="6"/>
  <c r="O193" i="6"/>
  <c r="O257" i="6"/>
  <c r="O259" i="6"/>
  <c r="O276" i="6"/>
  <c r="O277" i="6"/>
  <c r="O278" i="6"/>
  <c r="O279" i="6"/>
  <c r="O280" i="6"/>
  <c r="O281" i="6"/>
  <c r="O274" i="6"/>
  <c r="O275" i="6"/>
  <c r="O272" i="6"/>
  <c r="O273" i="6"/>
  <c r="O271" i="6"/>
  <c r="O270" i="6"/>
  <c r="O283" i="6"/>
  <c r="O284" i="6"/>
  <c r="O285" i="6"/>
  <c r="O286" i="6"/>
  <c r="O287" i="6"/>
  <c r="O288" i="6"/>
  <c r="O282" i="6"/>
  <c r="O341" i="6"/>
  <c r="O205" i="6"/>
  <c r="O233" i="6"/>
  <c r="O360" i="6"/>
  <c r="O357" i="6"/>
  <c r="O358" i="6"/>
  <c r="O359" i="6"/>
  <c r="O363" i="6"/>
  <c r="O365" i="6"/>
  <c r="O350" i="6"/>
  <c r="O362" i="6"/>
  <c r="O361" i="6"/>
  <c r="O349" i="6"/>
  <c r="O367" i="6"/>
  <c r="O351" i="6"/>
  <c r="O352" i="6"/>
  <c r="O369" i="6"/>
  <c r="O371" i="6"/>
  <c r="O353" i="6"/>
  <c r="O354" i="6"/>
  <c r="O373" i="6"/>
  <c r="O355" i="6"/>
  <c r="O356" i="6"/>
  <c r="O348" i="6"/>
  <c r="O347" i="6"/>
  <c r="O383" i="6"/>
  <c r="O389" i="6"/>
  <c r="O385" i="6"/>
  <c r="O403" i="6"/>
  <c r="O381" i="6"/>
  <c r="O387" i="6"/>
  <c r="O377" i="6"/>
  <c r="O405" i="6"/>
  <c r="O391" i="6"/>
  <c r="O406" i="6"/>
  <c r="O393" i="6"/>
  <c r="O395" i="6"/>
  <c r="O397" i="6"/>
  <c r="O399" i="6"/>
  <c r="O401" i="6"/>
  <c r="O404" i="6"/>
  <c r="O379" i="6"/>
  <c r="O375" i="6"/>
  <c r="O407" i="6"/>
  <c r="O412" i="6"/>
  <c r="O411" i="6"/>
  <c r="O420" i="6"/>
  <c r="O414" i="6"/>
  <c r="O258" i="6"/>
  <c r="O240" i="6"/>
  <c r="O218" i="6"/>
  <c r="O237" i="6"/>
  <c r="O255" i="6"/>
  <c r="O219" i="6"/>
  <c r="O252" i="6"/>
  <c r="O79" i="6"/>
  <c r="O253" i="6"/>
  <c r="O80" i="6"/>
  <c r="O254" i="6"/>
  <c r="O217" i="6"/>
  <c r="O227" i="6"/>
  <c r="O228" i="6"/>
  <c r="O238" i="6"/>
  <c r="O242" i="6"/>
  <c r="O260" i="6"/>
  <c r="O220" i="6"/>
  <c r="O261" i="6"/>
  <c r="O209" i="6"/>
  <c r="O221" i="6"/>
  <c r="O222" i="6"/>
  <c r="O226" i="6"/>
  <c r="O206" i="6"/>
  <c r="O223" i="6"/>
  <c r="O224" i="6"/>
  <c r="O213" i="6"/>
  <c r="O200" i="6"/>
  <c r="O201" i="6"/>
  <c r="O202" i="6"/>
  <c r="O204" i="6"/>
  <c r="O207" i="6"/>
  <c r="O203" i="6"/>
  <c r="O485" i="6"/>
  <c r="O67" i="6"/>
  <c r="O249" i="6"/>
  <c r="O248" i="6"/>
  <c r="O194" i="6"/>
  <c r="O195" i="6"/>
  <c r="O196" i="6"/>
  <c r="M350" i="6"/>
  <c r="M271" i="6"/>
  <c r="M273" i="6"/>
  <c r="M272" i="6"/>
  <c r="M274" i="6"/>
  <c r="M146" i="6"/>
  <c r="M122" i="6"/>
  <c r="M123" i="6"/>
  <c r="M57" i="6"/>
  <c r="M64" i="6"/>
  <c r="M65" i="6"/>
  <c r="M61" i="6"/>
  <c r="M55" i="6"/>
  <c r="M54" i="6"/>
  <c r="M56" i="6"/>
  <c r="M58" i="6"/>
  <c r="M66" i="6"/>
  <c r="M62" i="6"/>
  <c r="M3" i="6"/>
  <c r="M5" i="6"/>
  <c r="M7" i="6"/>
  <c r="M8" i="6"/>
  <c r="M9" i="6"/>
  <c r="M6" i="6"/>
  <c r="M4" i="6"/>
  <c r="M147" i="6"/>
  <c r="M143" i="6"/>
  <c r="M286" i="6"/>
  <c r="M287" i="6"/>
  <c r="M276" i="6"/>
  <c r="M284" i="6"/>
  <c r="M285" i="6"/>
  <c r="M288" i="6"/>
  <c r="M283" i="6"/>
  <c r="M124" i="6"/>
  <c r="M125" i="6"/>
  <c r="M126" i="6"/>
  <c r="M128" i="6"/>
  <c r="M129" i="6"/>
  <c r="M130" i="6"/>
  <c r="M131" i="6"/>
  <c r="M132" i="6"/>
  <c r="M133" i="6"/>
  <c r="M135" i="6"/>
  <c r="M136" i="6"/>
  <c r="M137" i="6"/>
  <c r="M141" i="6"/>
  <c r="M138" i="6"/>
  <c r="M139" i="6"/>
  <c r="M140" i="6"/>
  <c r="M127" i="6"/>
  <c r="M134" i="6"/>
  <c r="M145" i="6"/>
  <c r="M144" i="6"/>
  <c r="M148" i="6"/>
  <c r="M149" i="6"/>
  <c r="M150" i="6"/>
  <c r="M151" i="6"/>
  <c r="M152" i="6"/>
  <c r="M154" i="6"/>
  <c r="M155" i="6"/>
  <c r="M156" i="6"/>
  <c r="M157" i="6"/>
  <c r="M165" i="6"/>
  <c r="M167" i="6"/>
  <c r="M168" i="6"/>
  <c r="M158" i="6"/>
  <c r="M160" i="6"/>
  <c r="M162" i="6"/>
  <c r="M163" i="6"/>
  <c r="M164" i="6"/>
  <c r="M265" i="6"/>
  <c r="M264" i="6"/>
  <c r="M197" i="6"/>
  <c r="M198" i="6"/>
  <c r="M262" i="6"/>
  <c r="M263" i="6"/>
  <c r="M266" i="6"/>
  <c r="M269" i="6"/>
  <c r="M267" i="6"/>
  <c r="M268" i="6"/>
  <c r="M48" i="6"/>
  <c r="M46" i="6"/>
  <c r="M47" i="6"/>
  <c r="M50" i="6"/>
  <c r="M51" i="6"/>
  <c r="M44" i="6"/>
  <c r="M49" i="6"/>
  <c r="M45" i="6"/>
  <c r="M53" i="6"/>
  <c r="M63" i="6"/>
  <c r="M60" i="6"/>
  <c r="M59" i="6"/>
  <c r="M79" i="6"/>
  <c r="M80" i="6"/>
  <c r="M98" i="6"/>
  <c r="M99" i="6"/>
  <c r="M100" i="6"/>
  <c r="M102" i="6"/>
  <c r="M104" i="6"/>
  <c r="M106" i="6"/>
  <c r="M101" i="6"/>
  <c r="M105" i="6"/>
  <c r="M97" i="6"/>
  <c r="M96" i="6"/>
  <c r="M117" i="6"/>
  <c r="M120" i="6"/>
  <c r="M109" i="6"/>
  <c r="M110" i="6"/>
  <c r="M111" i="6"/>
  <c r="M112" i="6"/>
  <c r="M113" i="6"/>
  <c r="M114" i="6"/>
  <c r="M116" i="6"/>
  <c r="M115" i="6"/>
  <c r="M383" i="6"/>
  <c r="M389" i="6"/>
  <c r="M385" i="6"/>
  <c r="M403" i="6"/>
  <c r="M381" i="6"/>
  <c r="M387" i="6"/>
  <c r="M377" i="6"/>
  <c r="M405" i="6"/>
  <c r="M391" i="6"/>
  <c r="M406" i="6"/>
  <c r="M393" i="6"/>
  <c r="M395" i="6"/>
  <c r="M397" i="6"/>
  <c r="M399" i="6"/>
  <c r="M401" i="6"/>
  <c r="M404" i="6"/>
  <c r="M379" i="6"/>
  <c r="M360" i="6"/>
  <c r="M357" i="6"/>
  <c r="M358" i="6"/>
  <c r="M359" i="6"/>
  <c r="M363" i="6"/>
  <c r="M365" i="6"/>
  <c r="M362" i="6"/>
  <c r="M361" i="6"/>
  <c r="M349" i="6"/>
  <c r="M367" i="6"/>
  <c r="M351" i="6"/>
  <c r="M352" i="6"/>
  <c r="M369" i="6"/>
  <c r="M371" i="6"/>
  <c r="M353" i="6"/>
  <c r="M354" i="6"/>
  <c r="M373" i="6"/>
  <c r="M355" i="6"/>
  <c r="M356" i="6"/>
  <c r="M348" i="6"/>
  <c r="M420" i="6"/>
  <c r="M91" i="6"/>
  <c r="M121" i="6"/>
  <c r="M142" i="6"/>
  <c r="M153" i="6"/>
  <c r="M169" i="6"/>
  <c r="M193" i="6"/>
  <c r="M341" i="6"/>
  <c r="M407" i="6"/>
  <c r="M67" i="6"/>
  <c r="M95" i="6"/>
  <c r="M107" i="6"/>
  <c r="M347" i="6"/>
  <c r="M375" i="6"/>
  <c r="M414" i="6"/>
  <c r="M485" i="6"/>
  <c r="M194" i="6"/>
  <c r="M195" i="6"/>
  <c r="M196" i="6"/>
  <c r="M270" i="6"/>
  <c r="M282"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412" i="6"/>
  <c r="M411" i="6"/>
  <c r="P118" i="17" l="1"/>
  <c r="P128" i="17"/>
  <c r="P119" i="17"/>
  <c r="P117" i="17"/>
  <c r="P116" i="17"/>
  <c r="P138" i="17"/>
  <c r="P136" i="17"/>
  <c r="P133" i="17"/>
  <c r="P141" i="17"/>
  <c r="P139" i="17"/>
  <c r="P137" i="17"/>
  <c r="P2151" i="17"/>
  <c r="P2147" i="17"/>
  <c r="P2146" i="17"/>
  <c r="P2201" i="17"/>
  <c r="P1777" i="17"/>
  <c r="P2206" i="17"/>
  <c r="P2205" i="17"/>
  <c r="P2494" i="17"/>
  <c r="P1717" i="17"/>
  <c r="P2496" i="17"/>
  <c r="P2495" i="17"/>
  <c r="P2493" i="17"/>
  <c r="P2128" i="17"/>
  <c r="P2126" i="17"/>
  <c r="P2492" i="17"/>
  <c r="P2204" i="17"/>
  <c r="P2203" i="17"/>
  <c r="P2202" i="17"/>
  <c r="P2200" i="17"/>
  <c r="P2129" i="17"/>
  <c r="P2127" i="17"/>
  <c r="P2125" i="17"/>
  <c r="P2199" i="17"/>
  <c r="P2198" i="17"/>
  <c r="P2197" i="17"/>
  <c r="P1790" i="17"/>
  <c r="P131" i="17"/>
  <c r="P2196" i="17"/>
  <c r="P2120" i="17"/>
  <c r="P2195" i="17"/>
  <c r="P2118" i="17"/>
  <c r="P2119" i="17"/>
  <c r="P2124" i="17"/>
  <c r="P2123" i="17"/>
  <c r="P2122" i="17"/>
  <c r="P2121" i="17"/>
  <c r="P2115" i="17"/>
  <c r="P1821" i="17"/>
  <c r="P2117" i="17"/>
  <c r="P1780" i="17"/>
  <c r="P2116" i="17"/>
  <c r="P2114" i="17"/>
  <c r="P1788" i="17"/>
  <c r="P1787" i="17"/>
  <c r="P1786" i="17"/>
  <c r="P1785" i="17"/>
  <c r="P1803" i="17"/>
  <c r="P1825" i="17"/>
  <c r="P1782" i="17"/>
  <c r="P1781" i="17"/>
  <c r="P1820" i="17"/>
  <c r="P1784" i="17"/>
  <c r="P1779" i="17"/>
  <c r="P1814" i="17"/>
  <c r="P1808" i="17"/>
  <c r="P1824" i="17"/>
  <c r="P1819" i="17"/>
  <c r="P1798" i="17"/>
  <c r="P1797" i="17"/>
  <c r="P1818" i="17"/>
  <c r="P1816" i="17"/>
  <c r="P1807" i="17"/>
  <c r="P1745" i="17"/>
  <c r="P1813" i="17"/>
  <c r="P1760" i="17"/>
  <c r="P1809" i="17"/>
  <c r="P1795" i="17"/>
  <c r="P1810" i="17"/>
  <c r="P1805" i="17"/>
  <c r="P1822" i="17"/>
  <c r="P1826" i="17"/>
  <c r="P1823" i="17"/>
  <c r="P1817" i="17"/>
  <c r="P1801" i="17"/>
  <c r="P1769" i="17"/>
  <c r="P1753" i="17"/>
  <c r="P1811" i="17"/>
  <c r="P1768" i="17"/>
  <c r="P1752" i="17"/>
  <c r="P1815" i="17"/>
  <c r="P1758" i="17"/>
  <c r="P1812" i="17"/>
  <c r="P1744" i="17"/>
  <c r="P1804" i="17"/>
  <c r="P1802" i="17"/>
  <c r="P1800" i="17"/>
  <c r="P1796" i="17"/>
  <c r="P1794" i="17"/>
  <c r="P1793" i="17"/>
  <c r="P1806" i="17"/>
  <c r="P1771" i="17"/>
  <c r="P1799" i="17"/>
  <c r="P1765" i="17"/>
  <c r="P1749" i="17"/>
  <c r="P1759" i="17"/>
  <c r="P1773" i="17"/>
  <c r="P1757" i="17"/>
  <c r="P1791" i="17"/>
  <c r="P1755" i="17"/>
  <c r="P1766" i="17"/>
  <c r="P1764" i="17"/>
  <c r="P1767" i="17"/>
  <c r="P1751" i="17"/>
  <c r="P1729" i="17"/>
  <c r="P1737" i="17"/>
  <c r="P1770" i="17"/>
  <c r="P1746" i="17"/>
  <c r="P1742" i="17"/>
  <c r="P1728" i="17"/>
  <c r="P1727" i="17"/>
  <c r="P1726" i="17"/>
  <c r="P1772" i="17"/>
  <c r="P1756" i="17"/>
  <c r="P1774" i="17"/>
  <c r="P1763" i="17"/>
  <c r="P1762" i="17"/>
  <c r="P1761" i="17"/>
  <c r="P1754" i="17"/>
  <c r="P1750" i="17"/>
  <c r="P1748" i="17"/>
  <c r="P1747" i="17"/>
  <c r="P1740" i="17"/>
  <c r="P1741" i="17"/>
  <c r="P1731" i="17"/>
  <c r="P1849" i="17"/>
  <c r="P1730" i="17"/>
  <c r="P1735" i="17"/>
  <c r="P1723" i="17"/>
  <c r="P1792" i="17"/>
  <c r="P1775" i="17"/>
  <c r="P1743" i="17"/>
  <c r="P1739" i="17"/>
  <c r="P1738" i="17"/>
  <c r="P1736" i="17"/>
  <c r="P1734" i="17"/>
  <c r="P1733" i="17"/>
  <c r="P1732" i="17"/>
  <c r="P1725" i="17"/>
  <c r="P1722" i="17"/>
  <c r="P1724" i="17"/>
  <c r="P1721" i="17"/>
  <c r="P556" i="17"/>
  <c r="P1828" i="17"/>
  <c r="P1859" i="17"/>
  <c r="P1858" i="17"/>
  <c r="P1857" i="17"/>
  <c r="P1852" i="17"/>
  <c r="P1850" i="17"/>
  <c r="P1854" i="17"/>
  <c r="P1853" i="17"/>
  <c r="P1851" i="17"/>
  <c r="P1848" i="17"/>
  <c r="P1678" i="17"/>
  <c r="P1677" i="17"/>
  <c r="P1836" i="17"/>
  <c r="P2225" i="17"/>
  <c r="P1832" i="17"/>
  <c r="P1829" i="17"/>
  <c r="P1835" i="17"/>
  <c r="P1834" i="17"/>
  <c r="P1833" i="17"/>
  <c r="P1831" i="17"/>
  <c r="P2230" i="17"/>
  <c r="P2226" i="17"/>
  <c r="P1830" i="17"/>
  <c r="P1827" i="17"/>
  <c r="P1676" i="17"/>
  <c r="P2215" i="17"/>
  <c r="P2224" i="17"/>
  <c r="P2231" i="17"/>
  <c r="P2229" i="17"/>
  <c r="P2216" i="17"/>
  <c r="P2211" i="17"/>
  <c r="P2222" i="17"/>
  <c r="P2221" i="17"/>
  <c r="P2228" i="17"/>
  <c r="P2227" i="17"/>
  <c r="P2214" i="17"/>
  <c r="P2213" i="17"/>
  <c r="P2223" i="17"/>
  <c r="P2212" i="17"/>
  <c r="P2208" i="17"/>
  <c r="P2210" i="17"/>
  <c r="P2209" i="17"/>
  <c r="P2219" i="17"/>
  <c r="P2220" i="17"/>
  <c r="P2218" i="17"/>
  <c r="P2217" i="17"/>
  <c r="P2207" i="17"/>
  <c r="P1686" i="17"/>
  <c r="P1668" i="17"/>
  <c r="P1683" i="17"/>
  <c r="P1679" i="17"/>
  <c r="P1685" i="17"/>
  <c r="P1682" i="17"/>
  <c r="P1701" i="17"/>
  <c r="P1684" i="17"/>
  <c r="P1681" i="17"/>
  <c r="P1680" i="17"/>
  <c r="P1674" i="17"/>
  <c r="P1675" i="17"/>
  <c r="P1673" i="17"/>
  <c r="P1672" i="17"/>
  <c r="P1671" i="17"/>
  <c r="P1670" i="17"/>
  <c r="P1669" i="17"/>
  <c r="P1667" i="17"/>
  <c r="P1720" i="17"/>
  <c r="P1665" i="17"/>
  <c r="P1662" i="17"/>
  <c r="P1666" i="17"/>
  <c r="P1660" i="17"/>
  <c r="P1664" i="17"/>
  <c r="P1663" i="17"/>
  <c r="P1661" i="17"/>
  <c r="P1659" i="17"/>
  <c r="P1658" i="17"/>
  <c r="P1657" i="17"/>
  <c r="P1706" i="17"/>
  <c r="P1712" i="17"/>
  <c r="P1719" i="17"/>
  <c r="P1718" i="17"/>
  <c r="P1702" i="17"/>
  <c r="P1941" i="17"/>
  <c r="P1708" i="17"/>
  <c r="P1705" i="17"/>
  <c r="P1868" i="17"/>
  <c r="P1711" i="17"/>
  <c r="P1707" i="17"/>
  <c r="P1714" i="17"/>
  <c r="P1713" i="17"/>
  <c r="P1693" i="17"/>
  <c r="P1704" i="17"/>
  <c r="P1688" i="17"/>
  <c r="P1695" i="17"/>
  <c r="P1710" i="17"/>
  <c r="P1690" i="17"/>
  <c r="P1709" i="17"/>
  <c r="P1716" i="17"/>
  <c r="P1715" i="17"/>
  <c r="P1842" i="17"/>
  <c r="P1703" i="17"/>
  <c r="P1936" i="17"/>
  <c r="P1920" i="17"/>
  <c r="P1697" i="17"/>
  <c r="P1696" i="17"/>
  <c r="P1700" i="17"/>
  <c r="P1699" i="17"/>
  <c r="P1698" i="17"/>
  <c r="P1694" i="17"/>
  <c r="P1692" i="17"/>
  <c r="P1691" i="17"/>
  <c r="P1689" i="17"/>
  <c r="P1687" i="17"/>
  <c r="P1933" i="17"/>
  <c r="P1917" i="17"/>
  <c r="P1940" i="17"/>
  <c r="P1943" i="17"/>
  <c r="P112" i="17"/>
  <c r="P1893" i="17"/>
  <c r="P2177" i="17"/>
  <c r="P1935" i="17"/>
  <c r="P1903" i="17"/>
  <c r="P1887" i="17"/>
  <c r="P1932" i="17"/>
  <c r="P1916" i="17"/>
  <c r="P1929" i="17"/>
  <c r="P1899" i="17"/>
  <c r="P111" i="17"/>
  <c r="P1898" i="17"/>
  <c r="P1927" i="17"/>
  <c r="P1942" i="17"/>
  <c r="P1926" i="17"/>
  <c r="P1910" i="17"/>
  <c r="P1892" i="17"/>
  <c r="P1902" i="17"/>
  <c r="P1921" i="17"/>
  <c r="P1939" i="17"/>
  <c r="P1938" i="17"/>
  <c r="P1937" i="17"/>
  <c r="P1882" i="17"/>
  <c r="P1879" i="17"/>
  <c r="P1900" i="17"/>
  <c r="P1905" i="17"/>
  <c r="P1889" i="17"/>
  <c r="P1919" i="17"/>
  <c r="P1934" i="17"/>
  <c r="P1918" i="17"/>
  <c r="P1925" i="17"/>
  <c r="P1931" i="17"/>
  <c r="P1915" i="17"/>
  <c r="P1930" i="17"/>
  <c r="P1914" i="17"/>
  <c r="P1908" i="17"/>
  <c r="P1928" i="17"/>
  <c r="P1924" i="17"/>
  <c r="P1923" i="17"/>
  <c r="P1922" i="17"/>
  <c r="P1912" i="17"/>
  <c r="P1911" i="17"/>
  <c r="P1894" i="17"/>
  <c r="P1913" i="17"/>
  <c r="P1886" i="17"/>
  <c r="P1901" i="17"/>
  <c r="P1651" i="17"/>
  <c r="P1909" i="17"/>
  <c r="P1880" i="17"/>
  <c r="P1897" i="17"/>
  <c r="P1896" i="17"/>
  <c r="P1890" i="17"/>
  <c r="P110" i="17"/>
  <c r="P1878" i="17"/>
  <c r="P1895" i="17"/>
  <c r="P1907" i="17"/>
  <c r="P1906" i="17"/>
  <c r="P1904" i="17"/>
  <c r="P1891" i="17"/>
  <c r="P1888" i="17"/>
  <c r="P1844" i="17"/>
  <c r="P1653" i="17"/>
  <c r="P1884" i="17"/>
  <c r="P1883" i="17"/>
  <c r="P1881" i="17"/>
  <c r="P1885" i="17"/>
  <c r="P1877" i="17"/>
  <c r="P1866" i="17"/>
  <c r="P1865" i="17"/>
  <c r="P1867" i="17"/>
  <c r="P1862" i="17"/>
  <c r="P1841" i="17"/>
  <c r="P1870" i="17"/>
  <c r="P1863" i="17"/>
  <c r="P1864" i="17"/>
  <c r="P1861" i="17"/>
  <c r="P1843" i="17"/>
  <c r="P1840" i="17"/>
  <c r="P1839" i="17"/>
  <c r="P1838" i="17"/>
  <c r="P1837" i="17"/>
  <c r="P2175" i="17"/>
  <c r="P1875" i="17"/>
  <c r="P1869" i="17"/>
  <c r="P1871" i="17"/>
  <c r="P1876" i="17"/>
  <c r="P1874" i="17"/>
  <c r="P1873" i="17"/>
  <c r="P1872" i="17"/>
  <c r="P1652" i="17"/>
  <c r="P2160" i="17"/>
  <c r="P2179" i="17"/>
  <c r="P1650" i="17"/>
  <c r="P1656" i="17"/>
  <c r="P113" i="17"/>
  <c r="P1655" i="17"/>
  <c r="P1654" i="17"/>
  <c r="P1649" i="17"/>
  <c r="P2157" i="17"/>
  <c r="P2500" i="17"/>
  <c r="P2489" i="17"/>
  <c r="P2498" i="17"/>
  <c r="P2501" i="17"/>
  <c r="P2152" i="17"/>
  <c r="P2180" i="17"/>
  <c r="P2188" i="17"/>
  <c r="P2488" i="17"/>
  <c r="P2497" i="17"/>
  <c r="P2491" i="17"/>
  <c r="P2503" i="17"/>
  <c r="P2490" i="17"/>
  <c r="P2502" i="17"/>
  <c r="P2499" i="17"/>
  <c r="P2487" i="17"/>
  <c r="P2154" i="17"/>
  <c r="P2136" i="17"/>
  <c r="P2187" i="17"/>
  <c r="P2168" i="17"/>
  <c r="P2186" i="17"/>
  <c r="P2185" i="17"/>
  <c r="P2131" i="17"/>
  <c r="P2194" i="17"/>
  <c r="P2153" i="17"/>
  <c r="P2178" i="17"/>
  <c r="P2143" i="17"/>
  <c r="P2156" i="17"/>
  <c r="P2134" i="17"/>
  <c r="P2181" i="17"/>
  <c r="P2192" i="17"/>
  <c r="P2190" i="17"/>
  <c r="P2193" i="17"/>
  <c r="P2182" i="17"/>
  <c r="P2189" i="17"/>
  <c r="P2183" i="17"/>
  <c r="P2148" i="17"/>
  <c r="P2158" i="17"/>
  <c r="P2191" i="17"/>
  <c r="P2184" i="17"/>
  <c r="P2167" i="17"/>
  <c r="P2169" i="17"/>
  <c r="P2174" i="17"/>
  <c r="P2173" i="17"/>
  <c r="P2165" i="17"/>
  <c r="P2176" i="17"/>
  <c r="P2172" i="17"/>
  <c r="P2171" i="17"/>
  <c r="P2170" i="17"/>
  <c r="P2239" i="17"/>
  <c r="P2150" i="17"/>
  <c r="P2155" i="17"/>
  <c r="P2163" i="17"/>
  <c r="P2161" i="17"/>
  <c r="P2159" i="17"/>
  <c r="P2166" i="17"/>
  <c r="P2164" i="17"/>
  <c r="P2162" i="17"/>
  <c r="P2149" i="17"/>
  <c r="P2144" i="17"/>
  <c r="P2142" i="17"/>
  <c r="P2135" i="17"/>
  <c r="P2133" i="17"/>
  <c r="P2141" i="17"/>
  <c r="P2140" i="17"/>
  <c r="P2139" i="17"/>
  <c r="P2138" i="17"/>
  <c r="P2137" i="17"/>
  <c r="P2132" i="17"/>
  <c r="P2130" i="17"/>
  <c r="P164" i="17"/>
  <c r="P184" i="17"/>
  <c r="P148" i="17"/>
  <c r="P2237" i="17"/>
  <c r="P2236" i="17"/>
  <c r="P149" i="17"/>
  <c r="P2235" i="17"/>
  <c r="P2233" i="17"/>
  <c r="P2238" i="17"/>
  <c r="P2234" i="17"/>
  <c r="P2232" i="17"/>
  <c r="P151" i="17"/>
  <c r="P150" i="17"/>
  <c r="P147" i="17"/>
  <c r="P146" i="17"/>
  <c r="P145" i="17"/>
  <c r="P144" i="17"/>
  <c r="P161" i="17"/>
  <c r="P135" i="17"/>
  <c r="P198" i="17"/>
  <c r="P143" i="17"/>
  <c r="P142" i="17"/>
  <c r="P140" i="17"/>
  <c r="P134" i="17"/>
  <c r="P132" i="17"/>
  <c r="P121" i="17"/>
  <c r="P183" i="17"/>
  <c r="P177" i="17"/>
  <c r="P182" i="17"/>
  <c r="P180" i="17"/>
  <c r="P187" i="17"/>
  <c r="P202" i="17"/>
  <c r="P179" i="17"/>
  <c r="P200" i="17"/>
  <c r="P190" i="17"/>
  <c r="P201" i="17"/>
  <c r="P191" i="17"/>
  <c r="P195" i="17"/>
  <c r="P178" i="17"/>
  <c r="P193" i="17"/>
  <c r="P192" i="17"/>
  <c r="P189" i="17"/>
  <c r="P188" i="17"/>
  <c r="P186" i="17"/>
  <c r="P185" i="17"/>
  <c r="P181" i="17"/>
  <c r="P199" i="17"/>
  <c r="P197" i="17"/>
  <c r="P196" i="17"/>
  <c r="P194" i="17"/>
  <c r="P2081" i="17"/>
  <c r="P176" i="17"/>
  <c r="P175" i="17"/>
  <c r="P169" i="17"/>
  <c r="P162" i="17"/>
  <c r="P171" i="17"/>
  <c r="P170" i="17"/>
  <c r="P174" i="17"/>
  <c r="P173" i="17"/>
  <c r="P156" i="17"/>
  <c r="P155" i="17"/>
  <c r="P165" i="17"/>
  <c r="P172" i="17"/>
  <c r="P168" i="17"/>
  <c r="P160" i="17"/>
  <c r="P167" i="17"/>
  <c r="P166" i="17"/>
  <c r="P159" i="17"/>
  <c r="P154" i="17"/>
  <c r="P163" i="17"/>
  <c r="P158" i="17"/>
  <c r="P157" i="17"/>
  <c r="P153" i="17"/>
  <c r="P152" i="17"/>
  <c r="P2110" i="17"/>
  <c r="P115" i="17"/>
  <c r="P124" i="17"/>
  <c r="P122" i="17"/>
  <c r="P114" i="17"/>
  <c r="P120" i="17"/>
  <c r="P123" i="17"/>
  <c r="P109" i="17"/>
  <c r="P130" i="17"/>
  <c r="P129" i="17"/>
  <c r="P127" i="17"/>
  <c r="P126" i="17"/>
  <c r="P125" i="17"/>
  <c r="P108" i="17"/>
  <c r="P2074" i="17"/>
  <c r="P107" i="17"/>
  <c r="P2095" i="17"/>
  <c r="P2100" i="17"/>
  <c r="P106" i="17"/>
  <c r="P2108" i="17"/>
  <c r="P2088" i="17"/>
  <c r="P2082" i="17"/>
  <c r="P2107" i="17"/>
  <c r="P2098" i="17"/>
  <c r="P2105" i="17"/>
  <c r="P2072" i="17"/>
  <c r="P2111" i="17"/>
  <c r="P2109" i="17"/>
  <c r="P2106" i="17"/>
  <c r="P2099" i="17"/>
  <c r="P2092" i="17"/>
  <c r="P2090" i="17"/>
  <c r="P2104" i="17"/>
  <c r="P2101" i="17"/>
  <c r="P2097" i="17"/>
  <c r="P2096" i="17"/>
  <c r="P2094" i="17"/>
  <c r="P2112" i="17"/>
  <c r="P2103" i="17"/>
  <c r="P2102" i="17"/>
  <c r="P2073" i="17"/>
  <c r="P2071" i="17"/>
  <c r="P2070" i="17"/>
  <c r="P2093" i="17"/>
  <c r="P2078" i="17"/>
  <c r="P2091" i="17"/>
  <c r="P2089" i="17"/>
  <c r="P2087" i="17"/>
  <c r="P2086" i="17"/>
  <c r="P2079" i="17"/>
  <c r="P2085" i="17"/>
  <c r="P2080" i="17"/>
  <c r="P2113" i="17"/>
  <c r="P2084" i="17"/>
  <c r="P2083" i="17"/>
  <c r="P2075" i="17"/>
  <c r="P2077" i="17"/>
  <c r="P2076" i="17"/>
  <c r="P2069" i="17"/>
  <c r="P2064" i="17"/>
  <c r="P2050" i="17"/>
  <c r="P2058" i="17"/>
  <c r="P2062" i="17"/>
  <c r="P2065" i="17"/>
  <c r="P2063" i="17"/>
  <c r="P2061" i="17"/>
  <c r="P2067" i="17"/>
  <c r="P2059" i="17"/>
  <c r="P2068" i="17"/>
  <c r="P2066" i="17"/>
  <c r="P2060" i="17"/>
  <c r="P1339" i="17"/>
  <c r="P2057" i="17"/>
  <c r="P1342" i="17"/>
  <c r="P1345" i="17"/>
  <c r="P2051" i="17"/>
  <c r="P2048" i="17"/>
  <c r="P2047" i="17"/>
  <c r="P2045" i="17"/>
  <c r="P2049" i="17"/>
  <c r="P2046" i="17"/>
  <c r="P2044" i="17"/>
  <c r="P2054" i="17"/>
  <c r="P2055" i="17"/>
  <c r="P2053" i="17"/>
  <c r="P2052" i="17"/>
  <c r="P2056" i="17"/>
  <c r="P1368" i="17"/>
  <c r="P1340" i="17"/>
  <c r="P1349" i="17"/>
  <c r="P1348" i="17"/>
  <c r="P1341" i="17"/>
  <c r="P1347" i="17"/>
  <c r="P1346" i="17"/>
  <c r="P1344" i="17"/>
  <c r="P1362" i="17"/>
  <c r="P1361" i="17"/>
  <c r="P1360" i="17"/>
  <c r="P1365" i="17"/>
  <c r="P1356" i="17"/>
  <c r="P1369" i="17"/>
  <c r="P1367" i="17"/>
  <c r="P1359" i="17"/>
  <c r="P1358" i="17"/>
  <c r="P1357" i="17"/>
  <c r="P1355" i="17"/>
  <c r="P1350" i="17"/>
  <c r="P1364" i="17"/>
  <c r="P1363" i="17"/>
  <c r="P1353" i="17"/>
  <c r="P1366" i="17"/>
  <c r="P1354" i="17"/>
  <c r="P1338" i="17"/>
  <c r="P1343" i="17"/>
  <c r="P1352" i="17"/>
  <c r="P1351" i="17"/>
  <c r="P1336" i="17"/>
  <c r="P1337" i="17"/>
  <c r="P554" i="17"/>
  <c r="P565" i="17"/>
  <c r="P1205" i="17"/>
  <c r="P1206" i="17"/>
  <c r="P1204" i="17"/>
  <c r="P1203" i="17"/>
  <c r="P1202" i="17"/>
  <c r="P1200" i="17"/>
  <c r="P1207" i="17"/>
  <c r="P1201" i="17"/>
  <c r="P1199" i="17"/>
  <c r="P2013" i="17"/>
  <c r="P2010" i="17"/>
  <c r="P1291" i="17"/>
  <c r="P638" i="17"/>
  <c r="P1965" i="17"/>
  <c r="P1984" i="17"/>
  <c r="P2011" i="17"/>
  <c r="P2005" i="17"/>
  <c r="P2008" i="17"/>
  <c r="P2009" i="17"/>
  <c r="P2014" i="17"/>
  <c r="P2012" i="17"/>
  <c r="P2007" i="17"/>
  <c r="P2006" i="17"/>
  <c r="P1986" i="17"/>
  <c r="P2002" i="17"/>
  <c r="P2001" i="17"/>
  <c r="P2000" i="17"/>
  <c r="P1985" i="17"/>
  <c r="P1989" i="17"/>
  <c r="P1999" i="17"/>
  <c r="P2003" i="17"/>
  <c r="P2035" i="17"/>
  <c r="P1281" i="17"/>
  <c r="P1988" i="17"/>
  <c r="P1987" i="17"/>
  <c r="P1972" i="17"/>
  <c r="P1971" i="17"/>
  <c r="P1978" i="17"/>
  <c r="P1975" i="17"/>
  <c r="P1977" i="17"/>
  <c r="P1981" i="17"/>
  <c r="P1976" i="17"/>
  <c r="P1974" i="17"/>
  <c r="P1980" i="17"/>
  <c r="P1973" i="17"/>
  <c r="P1979" i="17"/>
  <c r="P353" i="17"/>
  <c r="P1289" i="17"/>
  <c r="P1969" i="17"/>
  <c r="P1968" i="17"/>
  <c r="P1967" i="17"/>
  <c r="P1964" i="17"/>
  <c r="P1218" i="17"/>
  <c r="P1290" i="17"/>
  <c r="P1189" i="17"/>
  <c r="P1190" i="17"/>
  <c r="P1226" i="17"/>
  <c r="P1038" i="17"/>
  <c r="P970" i="17"/>
  <c r="P922" i="17"/>
  <c r="P630" i="17"/>
  <c r="P628" i="17"/>
  <c r="P956" i="17"/>
  <c r="P636" i="17"/>
  <c r="P634" i="17"/>
  <c r="P857" i="17"/>
  <c r="P856" i="17"/>
  <c r="P631" i="17"/>
  <c r="P632" i="17"/>
  <c r="P641" i="17"/>
  <c r="P640" i="17"/>
  <c r="P635" i="17"/>
  <c r="P633" i="17"/>
  <c r="P637" i="17"/>
  <c r="P629" i="17"/>
  <c r="P639" i="17"/>
  <c r="P1286" i="17"/>
  <c r="P562" i="17"/>
  <c r="P561" i="17"/>
  <c r="P534" i="17"/>
  <c r="P1085" i="17"/>
  <c r="P216" i="17"/>
  <c r="P214" i="17"/>
  <c r="P1084" i="17"/>
  <c r="P1037" i="17"/>
  <c r="P2331" i="17"/>
  <c r="P2334" i="17"/>
  <c r="P2333" i="17"/>
  <c r="P2332" i="17"/>
  <c r="P1570" i="17"/>
  <c r="P1567" i="17"/>
  <c r="P1569" i="17"/>
  <c r="P1568" i="17"/>
  <c r="P1082" i="17"/>
  <c r="P1600" i="17"/>
  <c r="P1088" i="17"/>
  <c r="P1540" i="17"/>
  <c r="P941" i="17"/>
  <c r="P2262" i="17"/>
  <c r="P1605" i="17"/>
  <c r="P1604" i="17"/>
  <c r="P1603" i="17"/>
  <c r="P1602" i="17"/>
  <c r="P1293" i="17"/>
  <c r="P1534" i="17"/>
  <c r="P529" i="17"/>
  <c r="P1040" i="17"/>
  <c r="P2263" i="17"/>
  <c r="P2261" i="17"/>
  <c r="P918" i="17"/>
  <c r="P1548" i="17"/>
  <c r="P355" i="17"/>
  <c r="P1212" i="17"/>
  <c r="P1211" i="17"/>
  <c r="P1209" i="17"/>
  <c r="P1214" i="17"/>
  <c r="P1213" i="17"/>
  <c r="P715" i="17"/>
  <c r="P1210" i="17"/>
  <c r="P1481" i="17"/>
  <c r="P1480" i="17"/>
  <c r="P1479" i="17"/>
  <c r="P1478" i="17"/>
  <c r="P942" i="17"/>
  <c r="P717" i="17"/>
  <c r="P714" i="17"/>
  <c r="P917" i="17"/>
  <c r="P525" i="17"/>
  <c r="P523" i="17"/>
  <c r="P916" i="17"/>
  <c r="P910" i="17"/>
  <c r="P913" i="17"/>
  <c r="P909" i="17"/>
  <c r="P908" i="17"/>
  <c r="P912" i="17"/>
  <c r="P915" i="17"/>
  <c r="P911" i="17"/>
  <c r="P914" i="17"/>
  <c r="P722" i="17"/>
  <c r="P1538" i="17"/>
  <c r="P721" i="17"/>
  <c r="P720" i="17"/>
  <c r="P718" i="17"/>
  <c r="P716" i="17"/>
  <c r="P817" i="17"/>
  <c r="P713" i="17"/>
  <c r="P712" i="17"/>
  <c r="P719" i="17"/>
  <c r="P707" i="17"/>
  <c r="P521" i="17"/>
  <c r="P708" i="17"/>
  <c r="P706" i="17"/>
  <c r="P326" i="17"/>
  <c r="P528" i="17"/>
  <c r="P526" i="17"/>
  <c r="P358" i="17"/>
  <c r="P527" i="17"/>
  <c r="P530" i="17"/>
  <c r="P1096" i="17"/>
  <c r="P1537" i="17"/>
  <c r="P522" i="17"/>
  <c r="P520" i="17"/>
  <c r="P324" i="17"/>
  <c r="P500" i="17"/>
  <c r="P524" i="17"/>
  <c r="P1292" i="17"/>
  <c r="P549" i="17"/>
  <c r="P501" i="17"/>
  <c r="P1544" i="17"/>
  <c r="P1087" i="17"/>
  <c r="P1294" i="17"/>
  <c r="P1095" i="17"/>
  <c r="P1094" i="17"/>
  <c r="P559" i="17"/>
  <c r="P377" i="17"/>
  <c r="P336" i="17"/>
  <c r="P333" i="17"/>
  <c r="P331" i="17"/>
  <c r="P330" i="17"/>
  <c r="P329" i="17"/>
  <c r="P325" i="17"/>
  <c r="P318" i="17"/>
  <c r="P1046" i="17"/>
  <c r="P316" i="17"/>
  <c r="P315" i="17"/>
  <c r="P310" i="17"/>
  <c r="P308" i="17"/>
  <c r="P1541" i="17"/>
  <c r="P230" i="17"/>
  <c r="P1041" i="17"/>
  <c r="P232" i="17"/>
  <c r="P231" i="17"/>
  <c r="P229" i="17"/>
  <c r="P228" i="17"/>
  <c r="P227" i="17"/>
  <c r="P2466" i="17"/>
  <c r="P59" i="17"/>
  <c r="P2470" i="17"/>
  <c r="P213" i="17"/>
  <c r="P84" i="17"/>
  <c r="P83" i="17"/>
  <c r="P82" i="17"/>
  <c r="P53" i="17"/>
  <c r="P60" i="17"/>
  <c r="P58" i="17"/>
  <c r="P57" i="17"/>
  <c r="P46" i="17"/>
  <c r="P2465" i="17"/>
  <c r="P2414" i="17"/>
  <c r="P2427" i="17"/>
  <c r="P2411" i="17"/>
  <c r="P48" i="17"/>
  <c r="P2448" i="17"/>
  <c r="P2451" i="17"/>
  <c r="P47" i="17"/>
  <c r="P2469" i="17"/>
  <c r="P44" i="17"/>
  <c r="P2461" i="17"/>
  <c r="P2486" i="17"/>
  <c r="P2425" i="17"/>
  <c r="P2454" i="17"/>
  <c r="P29" i="17"/>
  <c r="P2481" i="17"/>
  <c r="P2473" i="17"/>
  <c r="P2471" i="17"/>
  <c r="P2468" i="17"/>
  <c r="P2438" i="17"/>
  <c r="P2452" i="17"/>
  <c r="P2467" i="17"/>
  <c r="P2450" i="17"/>
  <c r="P2447" i="17"/>
  <c r="P2453" i="17"/>
  <c r="P2472" i="17"/>
  <c r="P2480" i="17"/>
  <c r="P2484" i="17"/>
  <c r="P2449" i="17"/>
  <c r="P2479" i="17"/>
  <c r="P2483" i="17"/>
  <c r="P2464" i="17"/>
  <c r="P2409" i="17"/>
  <c r="P2462" i="17"/>
  <c r="P2478" i="17"/>
  <c r="P2482" i="17"/>
  <c r="P2475" i="17"/>
  <c r="P2474" i="17"/>
  <c r="P2477" i="17"/>
  <c r="P2485" i="17"/>
  <c r="P2463" i="17"/>
  <c r="P2418" i="17"/>
  <c r="P2417" i="17"/>
  <c r="P2436" i="17"/>
  <c r="P2442" i="17"/>
  <c r="P2441" i="17"/>
  <c r="P2372" i="17"/>
  <c r="P2458" i="17"/>
  <c r="P2459" i="17"/>
  <c r="P2457" i="17"/>
  <c r="P2456" i="17"/>
  <c r="P2413" i="17"/>
  <c r="P2455" i="17"/>
  <c r="P2446" i="17"/>
  <c r="P2426" i="17"/>
  <c r="P2443" i="17"/>
  <c r="P2432" i="17"/>
  <c r="P2437" i="17"/>
  <c r="P2435" i="17"/>
  <c r="P2382" i="17"/>
  <c r="P2389" i="17"/>
  <c r="P2440" i="17"/>
  <c r="P2419" i="17"/>
  <c r="P2404" i="17"/>
  <c r="P2405" i="17"/>
  <c r="P2444" i="17"/>
  <c r="P2399" i="17"/>
  <c r="P2416" i="17"/>
  <c r="P2434" i="17"/>
  <c r="P2392" i="17"/>
  <c r="P2439" i="17"/>
  <c r="P2433" i="17"/>
  <c r="P2412" i="17"/>
  <c r="P2407" i="17"/>
  <c r="P2406" i="17"/>
  <c r="P2428" i="17"/>
  <c r="P2431" i="17"/>
  <c r="P2430" i="17"/>
  <c r="P2429" i="17"/>
  <c r="P2408" i="17"/>
  <c r="P2322" i="17"/>
  <c r="P2394" i="17"/>
  <c r="P2421" i="17"/>
  <c r="P2415" i="17"/>
  <c r="P2410" i="17"/>
  <c r="P2423" i="17"/>
  <c r="P2384" i="17"/>
  <c r="P2422" i="17"/>
  <c r="P2420" i="17"/>
  <c r="P2378" i="17"/>
  <c r="P2377" i="17"/>
  <c r="P2379" i="17"/>
  <c r="P2401" i="17"/>
  <c r="P2386" i="17"/>
  <c r="P2402" i="17"/>
  <c r="P2400" i="17"/>
  <c r="P2383" i="17"/>
  <c r="P2385" i="17"/>
  <c r="P2398" i="17"/>
  <c r="P2397" i="17"/>
  <c r="P2396" i="17"/>
  <c r="P2395" i="17"/>
  <c r="P2391" i="17"/>
  <c r="P2393" i="17"/>
  <c r="P2381" i="17"/>
  <c r="P2340" i="17"/>
  <c r="P2368" i="17"/>
  <c r="P2388" i="17"/>
  <c r="P2387" i="17"/>
  <c r="P2375" i="17"/>
  <c r="P2376" i="17"/>
  <c r="P2365" i="17"/>
  <c r="P2364" i="17"/>
  <c r="P2370" i="17"/>
  <c r="P2367" i="17"/>
  <c r="P2374" i="17"/>
  <c r="P2373" i="17"/>
  <c r="P2371" i="17"/>
  <c r="P2369" i="17"/>
  <c r="P2363" i="17"/>
  <c r="P2351" i="17"/>
  <c r="P2356" i="17"/>
  <c r="P2366" i="17"/>
  <c r="P2358" i="17"/>
  <c r="P2357" i="17"/>
  <c r="P2345" i="17"/>
  <c r="P2338" i="17"/>
  <c r="P2321" i="17"/>
  <c r="P2326" i="17"/>
  <c r="P2361" i="17"/>
  <c r="P2360" i="17"/>
  <c r="P2359" i="17"/>
  <c r="P2339" i="17"/>
  <c r="P2336" i="17"/>
  <c r="P2319" i="17"/>
  <c r="P2346" i="17"/>
  <c r="P2349" i="17"/>
  <c r="P2354" i="17"/>
  <c r="P2353" i="17"/>
  <c r="P2352" i="17"/>
  <c r="P2335" i="17"/>
  <c r="P2320" i="17"/>
  <c r="P2323" i="17"/>
  <c r="P2344" i="17"/>
  <c r="P2343" i="17"/>
  <c r="P2350" i="17"/>
  <c r="P2348" i="17"/>
  <c r="P2347" i="17"/>
  <c r="P2310" i="17"/>
  <c r="P2241" i="17"/>
  <c r="P2276" i="17"/>
  <c r="P2296" i="17"/>
  <c r="P2283" i="17"/>
  <c r="P2341" i="17"/>
  <c r="P2330" i="17"/>
  <c r="P2325" i="17"/>
  <c r="P2306" i="17"/>
  <c r="P2324" i="17"/>
  <c r="P2329" i="17"/>
  <c r="P2328" i="17"/>
  <c r="P2327" i="17"/>
  <c r="P2337" i="17"/>
  <c r="P2318" i="17"/>
  <c r="P2304" i="17"/>
  <c r="P2313" i="17"/>
  <c r="P2311" i="17"/>
  <c r="P2302" i="17"/>
  <c r="P2315" i="17"/>
  <c r="P2305" i="17"/>
  <c r="P2316" i="17"/>
  <c r="P2314" i="17"/>
  <c r="P2312" i="17"/>
  <c r="P2309" i="17"/>
  <c r="P2297" i="17"/>
  <c r="P2307" i="17"/>
  <c r="P2308" i="17"/>
  <c r="P2303" i="17"/>
  <c r="P2301" i="17"/>
  <c r="P2275" i="17"/>
  <c r="P2030" i="17"/>
  <c r="P2294" i="17"/>
  <c r="P2281" i="17"/>
  <c r="P1285" i="17"/>
  <c r="P2259" i="17"/>
  <c r="P2295" i="17"/>
  <c r="P2245" i="17"/>
  <c r="P2299" i="17"/>
  <c r="P2293" i="17"/>
  <c r="P1970" i="17"/>
  <c r="P2269" i="17"/>
  <c r="P2298" i="17"/>
  <c r="P2292" i="17"/>
  <c r="P2288" i="17"/>
  <c r="P2286" i="17"/>
  <c r="P2274" i="17"/>
  <c r="P2291" i="17"/>
  <c r="P2290" i="17"/>
  <c r="P2289" i="17"/>
  <c r="P2256" i="17"/>
  <c r="P2279" i="17"/>
  <c r="P2278" i="17"/>
  <c r="P2287" i="17"/>
  <c r="P2033" i="17"/>
  <c r="P2277" i="17"/>
  <c r="P2273" i="17"/>
  <c r="P2284" i="17"/>
  <c r="P1992" i="17"/>
  <c r="P1546" i="17"/>
  <c r="P2272" i="17"/>
  <c r="P2267" i="17"/>
  <c r="P2282" i="17"/>
  <c r="P1284" i="17"/>
  <c r="P2280" i="17"/>
  <c r="P2271" i="17"/>
  <c r="P2264" i="17"/>
  <c r="P2255" i="17"/>
  <c r="P2026" i="17"/>
  <c r="P2258" i="17"/>
  <c r="P2244" i="17"/>
  <c r="P1287" i="17"/>
  <c r="P2270" i="17"/>
  <c r="P2268" i="17"/>
  <c r="P2266" i="17"/>
  <c r="P2265" i="17"/>
  <c r="P2251" i="17"/>
  <c r="P2015" i="17"/>
  <c r="P2247" i="17"/>
  <c r="P2260" i="17"/>
  <c r="P1523" i="17"/>
  <c r="P1990" i="17"/>
  <c r="P2257" i="17"/>
  <c r="P2254" i="17"/>
  <c r="P2253" i="17"/>
  <c r="P2252" i="17"/>
  <c r="P2246" i="17"/>
  <c r="P1953" i="17"/>
  <c r="P2031" i="17"/>
  <c r="P2019" i="17"/>
  <c r="P2028" i="17"/>
  <c r="P2249" i="17"/>
  <c r="P1997" i="17"/>
  <c r="P2248" i="17"/>
  <c r="P2243" i="17"/>
  <c r="P2242" i="17"/>
  <c r="P1998" i="17"/>
  <c r="P2032" i="17"/>
  <c r="P1283" i="17"/>
  <c r="P1282" i="17"/>
  <c r="P2023" i="17"/>
  <c r="P2036" i="17"/>
  <c r="P2034" i="17"/>
  <c r="P2040" i="17"/>
  <c r="P2041" i="17"/>
  <c r="P2039" i="17"/>
  <c r="P2038" i="17"/>
  <c r="P2037" i="17"/>
  <c r="P2029" i="17"/>
  <c r="P2021" i="17"/>
  <c r="P1961" i="17"/>
  <c r="P2043" i="17"/>
  <c r="P2020" i="17"/>
  <c r="P1960" i="17"/>
  <c r="P1945" i="17"/>
  <c r="P2042" i="17"/>
  <c r="P1288" i="17"/>
  <c r="P1528" i="17"/>
  <c r="P1551" i="17"/>
  <c r="P2025" i="17"/>
  <c r="P1563" i="17"/>
  <c r="P1641" i="17"/>
  <c r="P1982" i="17"/>
  <c r="P2024" i="17"/>
  <c r="P1950" i="17"/>
  <c r="P2018" i="17"/>
  <c r="P1947" i="17"/>
  <c r="P1962" i="17"/>
  <c r="P2004" i="17"/>
  <c r="P1995" i="17"/>
  <c r="P1958" i="17"/>
  <c r="P1556" i="17"/>
  <c r="P1959" i="17"/>
  <c r="P1554" i="17"/>
  <c r="P1566" i="17"/>
  <c r="P1648" i="17"/>
  <c r="P1966" i="17"/>
  <c r="P1949" i="17"/>
  <c r="P1963" i="17"/>
  <c r="P1948" i="17"/>
  <c r="P1993" i="17"/>
  <c r="P1955" i="17"/>
  <c r="P1633" i="17"/>
  <c r="P1647" i="17"/>
  <c r="P1646" i="17"/>
  <c r="P1593" i="17"/>
  <c r="P2017" i="17"/>
  <c r="P2016" i="17"/>
  <c r="P1994" i="17"/>
  <c r="P1957" i="17"/>
  <c r="P1581" i="17"/>
  <c r="P1951" i="17"/>
  <c r="P1946" i="17"/>
  <c r="P1996" i="17"/>
  <c r="P1584" i="17"/>
  <c r="P1991" i="17"/>
  <c r="P1983" i="17"/>
  <c r="P1956" i="17"/>
  <c r="P1954" i="17"/>
  <c r="P1952" i="17"/>
  <c r="P1595" i="17"/>
  <c r="P1555" i="17"/>
  <c r="P1644" i="17"/>
  <c r="P1565" i="17"/>
  <c r="P1636" i="17"/>
  <c r="P1571" i="17"/>
  <c r="P1637" i="17"/>
  <c r="P1645" i="17"/>
  <c r="P1643" i="17"/>
  <c r="P1642" i="17"/>
  <c r="P1589" i="17"/>
  <c r="P1573" i="17"/>
  <c r="P1640" i="17"/>
  <c r="P1639" i="17"/>
  <c r="P1594" i="17"/>
  <c r="P1638" i="17"/>
  <c r="P1525" i="17"/>
  <c r="P1635" i="17"/>
  <c r="P1634" i="17"/>
  <c r="P1586" i="17"/>
  <c r="P1559" i="17"/>
  <c r="P1591" i="17"/>
  <c r="P1575" i="17"/>
  <c r="P1592" i="17"/>
  <c r="P1577" i="17"/>
  <c r="P1576" i="17"/>
  <c r="P1590" i="17"/>
  <c r="P1574" i="17"/>
  <c r="P1588" i="17"/>
  <c r="P1587" i="17"/>
  <c r="P1583" i="17"/>
  <c r="P1582" i="17"/>
  <c r="P1585" i="17"/>
  <c r="P1580" i="17"/>
  <c r="P1579" i="17"/>
  <c r="P1578" i="17"/>
  <c r="P1418" i="17"/>
  <c r="P1557" i="17"/>
  <c r="P1552" i="17"/>
  <c r="P1562" i="17"/>
  <c r="P1561" i="17"/>
  <c r="P1519" i="17"/>
  <c r="P1553" i="17"/>
  <c r="P1564" i="17"/>
  <c r="P1560" i="17"/>
  <c r="P1558" i="17"/>
  <c r="P1275" i="17"/>
  <c r="P1531" i="17"/>
  <c r="P1526" i="17"/>
  <c r="P1524" i="17"/>
  <c r="P1522" i="17"/>
  <c r="P1520" i="17"/>
  <c r="P1532" i="17"/>
  <c r="P1530" i="17"/>
  <c r="P1529" i="17"/>
  <c r="P1527" i="17"/>
  <c r="P1432" i="17"/>
  <c r="P1521" i="17"/>
  <c r="P1430" i="17"/>
  <c r="P1157" i="17"/>
  <c r="P1438" i="17"/>
  <c r="P1439" i="17"/>
  <c r="P1280" i="17"/>
  <c r="P1421" i="17"/>
  <c r="P1444" i="17"/>
  <c r="P1517" i="17"/>
  <c r="P1419" i="17"/>
  <c r="P1446" i="17"/>
  <c r="P1445" i="17"/>
  <c r="P1406" i="17"/>
  <c r="P1443" i="17"/>
  <c r="P1442" i="17"/>
  <c r="P1447" i="17"/>
  <c r="P1429" i="17"/>
  <c r="P1441" i="17"/>
  <c r="P1440" i="17"/>
  <c r="P1397" i="17"/>
  <c r="P1414" i="17"/>
  <c r="P1437" i="17"/>
  <c r="P1436" i="17"/>
  <c r="P1435" i="17"/>
  <c r="P1426" i="17"/>
  <c r="P1431" i="17"/>
  <c r="P1434" i="17"/>
  <c r="P1433" i="17"/>
  <c r="P1428" i="17"/>
  <c r="P1425" i="17"/>
  <c r="P352" i="17"/>
  <c r="P1423" i="17"/>
  <c r="P1422" i="17"/>
  <c r="P1417" i="17"/>
  <c r="P1402" i="17"/>
  <c r="P1295" i="17"/>
  <c r="P1424" i="17"/>
  <c r="P1420" i="17"/>
  <c r="P1416" i="17"/>
  <c r="P1415" i="17"/>
  <c r="P1404" i="17"/>
  <c r="P1412" i="17"/>
  <c r="P1411" i="17"/>
  <c r="P1403" i="17"/>
  <c r="P1401" i="17"/>
  <c r="P1398" i="17"/>
  <c r="P1396" i="17"/>
  <c r="P1304" i="17"/>
  <c r="P1298" i="17"/>
  <c r="P1395" i="17"/>
  <c r="P1394" i="17"/>
  <c r="P1269" i="17"/>
  <c r="P1405" i="17"/>
  <c r="P1410" i="17"/>
  <c r="P1409" i="17"/>
  <c r="P1408" i="17"/>
  <c r="P1407" i="17"/>
  <c r="P1393" i="17"/>
  <c r="P1270" i="17"/>
  <c r="P1391" i="17"/>
  <c r="P1400" i="17"/>
  <c r="P1274" i="17"/>
  <c r="P1399" i="17"/>
  <c r="P1273" i="17"/>
  <c r="P1303" i="17"/>
  <c r="P1392" i="17"/>
  <c r="P1301" i="17"/>
  <c r="P1253" i="17"/>
  <c r="P1272" i="17"/>
  <c r="P1271" i="17"/>
  <c r="P1268" i="17"/>
  <c r="P1296" i="17"/>
  <c r="P1302" i="17"/>
  <c r="P1300" i="17"/>
  <c r="P1299" i="17"/>
  <c r="P1297" i="17"/>
  <c r="P1247" i="17"/>
  <c r="P1245" i="17"/>
  <c r="P1279" i="17"/>
  <c r="P1278" i="17"/>
  <c r="P1305" i="17"/>
  <c r="P1277" i="17"/>
  <c r="P1276" i="17"/>
  <c r="P1208" i="17"/>
  <c r="P1241" i="17"/>
  <c r="P1251" i="17"/>
  <c r="P1266" i="17"/>
  <c r="P1195" i="17"/>
  <c r="P1258" i="17"/>
  <c r="P1242" i="17"/>
  <c r="P1239" i="17"/>
  <c r="P1263" i="17"/>
  <c r="P1262" i="17"/>
  <c r="P1256" i="17"/>
  <c r="P1240" i="17"/>
  <c r="P1255" i="17"/>
  <c r="P1449" i="17"/>
  <c r="P1254" i="17"/>
  <c r="P1265" i="17"/>
  <c r="P1264" i="17"/>
  <c r="P1216" i="17"/>
  <c r="P1261" i="17"/>
  <c r="P1154" i="17"/>
  <c r="P1243" i="17"/>
  <c r="P1257" i="17"/>
  <c r="P1260" i="17"/>
  <c r="P1259" i="17"/>
  <c r="P877" i="17"/>
  <c r="P1248" i="17"/>
  <c r="P1246" i="17"/>
  <c r="P1033" i="17"/>
  <c r="P866" i="17"/>
  <c r="P1244" i="17"/>
  <c r="P1191" i="17"/>
  <c r="P874" i="17"/>
  <c r="P1252" i="17"/>
  <c r="P1250" i="17"/>
  <c r="P1249" i="17"/>
  <c r="P1048" i="17"/>
  <c r="P1146" i="17"/>
  <c r="P1197" i="17"/>
  <c r="P1196" i="17"/>
  <c r="P1219" i="17"/>
  <c r="P1217" i="17"/>
  <c r="P1453" i="17"/>
  <c r="P1194" i="17"/>
  <c r="P1215" i="17"/>
  <c r="P1187" i="17"/>
  <c r="P1198" i="17"/>
  <c r="P1193" i="17"/>
  <c r="P1192" i="17"/>
  <c r="P1188" i="17"/>
  <c r="P1163" i="17"/>
  <c r="P1153" i="17"/>
  <c r="P875" i="17"/>
  <c r="P1147" i="17"/>
  <c r="P1158" i="17"/>
  <c r="P1161" i="17"/>
  <c r="P787" i="17"/>
  <c r="P838" i="17"/>
  <c r="P1151" i="17"/>
  <c r="P1166" i="17"/>
  <c r="P1165" i="17"/>
  <c r="P1164" i="17"/>
  <c r="P1162" i="17"/>
  <c r="P1160" i="17"/>
  <c r="P860" i="17"/>
  <c r="P1042" i="17"/>
  <c r="P876" i="17"/>
  <c r="P1145" i="17"/>
  <c r="P1159" i="17"/>
  <c r="P1156" i="17"/>
  <c r="P1155" i="17"/>
  <c r="P777" i="17"/>
  <c r="P764" i="17"/>
  <c r="P864" i="17"/>
  <c r="P1150" i="17"/>
  <c r="P1149" i="17"/>
  <c r="P1152" i="17"/>
  <c r="P1148" i="17"/>
  <c r="P869" i="17"/>
  <c r="P867" i="17"/>
  <c r="P774" i="17"/>
  <c r="P761" i="17"/>
  <c r="P256" i="17"/>
  <c r="P240" i="17"/>
  <c r="P263" i="17"/>
  <c r="P772" i="17"/>
  <c r="P832" i="17"/>
  <c r="P859" i="17"/>
  <c r="P770" i="17"/>
  <c r="P870" i="17"/>
  <c r="P872" i="17"/>
  <c r="P868" i="17"/>
  <c r="P871" i="17"/>
  <c r="P873" i="17"/>
  <c r="P835" i="17"/>
  <c r="P836" i="17"/>
  <c r="P861" i="17"/>
  <c r="P865" i="17"/>
  <c r="P863" i="17"/>
  <c r="P862" i="17"/>
  <c r="P773" i="17"/>
  <c r="P760" i="17"/>
  <c r="P833" i="17"/>
  <c r="P792" i="17"/>
  <c r="P759" i="17"/>
  <c r="P789" i="17"/>
  <c r="P766" i="17"/>
  <c r="P779" i="17"/>
  <c r="P837" i="17"/>
  <c r="P834" i="17"/>
  <c r="P288" i="17"/>
  <c r="P776" i="17"/>
  <c r="P775" i="17"/>
  <c r="P762" i="17"/>
  <c r="P778" i="17"/>
  <c r="P763" i="17"/>
  <c r="P784" i="17"/>
  <c r="P781" i="17"/>
  <c r="P758" i="17"/>
  <c r="P771" i="17"/>
  <c r="P289" i="17"/>
  <c r="P769" i="17"/>
  <c r="P768" i="17"/>
  <c r="P767" i="17"/>
  <c r="P765" i="17"/>
  <c r="P791" i="17"/>
  <c r="P790" i="17"/>
  <c r="P788" i="17"/>
  <c r="P786" i="17"/>
  <c r="P785" i="17"/>
  <c r="P245" i="17"/>
  <c r="P268" i="17"/>
  <c r="P783" i="17"/>
  <c r="P782" i="17"/>
  <c r="P354" i="17"/>
  <c r="P780" i="17"/>
  <c r="P757" i="17"/>
  <c r="P793" i="17"/>
  <c r="P756" i="17"/>
  <c r="P284" i="17"/>
  <c r="P1626" i="17"/>
  <c r="P364" i="17"/>
  <c r="P269" i="17"/>
  <c r="P258" i="17"/>
  <c r="P360" i="17"/>
  <c r="P267" i="17"/>
  <c r="P266" i="17"/>
  <c r="P287" i="17"/>
  <c r="P285" i="17"/>
  <c r="P1450" i="17"/>
  <c r="P249" i="17"/>
  <c r="P247" i="17"/>
  <c r="P363" i="17"/>
  <c r="P359" i="17"/>
  <c r="P357" i="17"/>
  <c r="P350" i="17"/>
  <c r="P280" i="17"/>
  <c r="P279" i="17"/>
  <c r="P278" i="17"/>
  <c r="P277" i="17"/>
  <c r="P242" i="17"/>
  <c r="P274" i="17"/>
  <c r="P271" i="17"/>
  <c r="P290" i="17"/>
  <c r="P286" i="17"/>
  <c r="P252" i="17"/>
  <c r="P272" i="17"/>
  <c r="P238" i="17"/>
  <c r="P270" i="17"/>
  <c r="P281" i="17"/>
  <c r="P283" i="17"/>
  <c r="P282" i="17"/>
  <c r="P276" i="17"/>
  <c r="P265" i="17"/>
  <c r="P1615" i="17"/>
  <c r="P275" i="17"/>
  <c r="P259" i="17"/>
  <c r="P262" i="17"/>
  <c r="P244" i="17"/>
  <c r="P292" i="17"/>
  <c r="P261" i="17"/>
  <c r="P291" i="17"/>
  <c r="P260" i="17"/>
  <c r="P273" i="17"/>
  <c r="P264" i="17"/>
  <c r="P243" i="17"/>
  <c r="P1627" i="17"/>
  <c r="P251" i="17"/>
  <c r="P250" i="17"/>
  <c r="P253" i="17"/>
  <c r="P1622" i="17"/>
  <c r="P246" i="17"/>
  <c r="P257" i="17"/>
  <c r="P255" i="17"/>
  <c r="P254" i="17"/>
  <c r="P248" i="17"/>
  <c r="P241" i="17"/>
  <c r="P234" i="17"/>
  <c r="P1625" i="17"/>
  <c r="P1617" i="17"/>
  <c r="P1093" i="17"/>
  <c r="P1616" i="17"/>
  <c r="P237" i="17"/>
  <c r="P235" i="17"/>
  <c r="P239" i="17"/>
  <c r="P236" i="17"/>
  <c r="P1611" i="17"/>
  <c r="P1510" i="17"/>
  <c r="P1624" i="17"/>
  <c r="P1384" i="17"/>
  <c r="P1501" i="17"/>
  <c r="P1618" i="17"/>
  <c r="P1631" i="17"/>
  <c r="P1620" i="17"/>
  <c r="P1630" i="17"/>
  <c r="P1629" i="17"/>
  <c r="P1628" i="17"/>
  <c r="P1547" i="17"/>
  <c r="P1613" i="17"/>
  <c r="P1621" i="17"/>
  <c r="P1612" i="17"/>
  <c r="P1610" i="17"/>
  <c r="P1609" i="17"/>
  <c r="P1375" i="17"/>
  <c r="P1536" i="17"/>
  <c r="P1598" i="17"/>
  <c r="P1619" i="17"/>
  <c r="P1506" i="17"/>
  <c r="P1512" i="17"/>
  <c r="P1460" i="17"/>
  <c r="P1608" i="17"/>
  <c r="P1457" i="17"/>
  <c r="P1601" i="17"/>
  <c r="P1599" i="17"/>
  <c r="P1597" i="17"/>
  <c r="P1614" i="17"/>
  <c r="P1493" i="17"/>
  <c r="P1461" i="17"/>
  <c r="P1607" i="17"/>
  <c r="P1606" i="17"/>
  <c r="P1463" i="17"/>
  <c r="P1462" i="17"/>
  <c r="P1327" i="17"/>
  <c r="P1507" i="17"/>
  <c r="P1539" i="17"/>
  <c r="P1459" i="17"/>
  <c r="P1232" i="17"/>
  <c r="P1458" i="17"/>
  <c r="P1503" i="17"/>
  <c r="P1456" i="17"/>
  <c r="P1502" i="17"/>
  <c r="P1535" i="17"/>
  <c r="P1455" i="17"/>
  <c r="P1454" i="17"/>
  <c r="P1515" i="17"/>
  <c r="P1508" i="17"/>
  <c r="P1451" i="17"/>
  <c r="P1495" i="17"/>
  <c r="P1545" i="17"/>
  <c r="P1509" i="17"/>
  <c r="P1491" i="17"/>
  <c r="P1514" i="17"/>
  <c r="P1513" i="17"/>
  <c r="P1452" i="17"/>
  <c r="P1549" i="17"/>
  <c r="P1543" i="17"/>
  <c r="P1542" i="17"/>
  <c r="P1499" i="17"/>
  <c r="P1466" i="17"/>
  <c r="P1511" i="17"/>
  <c r="P1477" i="17"/>
  <c r="P1476" i="17"/>
  <c r="P1475" i="17"/>
  <c r="P1470" i="17"/>
  <c r="P1464" i="17"/>
  <c r="P1469" i="17"/>
  <c r="P1490" i="17"/>
  <c r="P1500" i="17"/>
  <c r="P1496" i="17"/>
  <c r="P1494" i="17"/>
  <c r="P1482" i="17"/>
  <c r="P1505" i="17"/>
  <c r="P1504" i="17"/>
  <c r="P1498" i="17"/>
  <c r="P1497" i="17"/>
  <c r="P1492" i="17"/>
  <c r="P1486" i="17"/>
  <c r="P1483" i="17"/>
  <c r="P1488" i="17"/>
  <c r="P1485" i="17"/>
  <c r="P1484" i="17"/>
  <c r="P1474" i="17"/>
  <c r="P1489" i="17"/>
  <c r="P1487" i="17"/>
  <c r="P1468" i="17"/>
  <c r="P1472" i="17"/>
  <c r="P1471" i="17"/>
  <c r="P1467" i="17"/>
  <c r="P1389" i="17"/>
  <c r="P1386" i="17"/>
  <c r="P1383" i="17"/>
  <c r="P1465" i="17"/>
  <c r="P1332" i="17"/>
  <c r="P1388" i="17"/>
  <c r="P1330" i="17"/>
  <c r="P1329" i="17"/>
  <c r="P1387" i="17"/>
  <c r="P1317" i="17"/>
  <c r="P1381" i="17"/>
  <c r="P1334" i="17"/>
  <c r="P1385" i="17"/>
  <c r="P1382" i="17"/>
  <c r="P1230" i="17"/>
  <c r="P1315" i="17"/>
  <c r="P1380" i="17"/>
  <c r="P1379" i="17"/>
  <c r="P1374" i="17"/>
  <c r="P1378" i="17"/>
  <c r="P1377" i="17"/>
  <c r="P1376" i="17"/>
  <c r="P1371" i="17"/>
  <c r="P1331" i="17"/>
  <c r="P1373" i="17"/>
  <c r="P1372" i="17"/>
  <c r="P1324" i="17"/>
  <c r="P1322" i="17"/>
  <c r="P1321" i="17"/>
  <c r="P1335" i="17"/>
  <c r="P1333" i="17"/>
  <c r="P1221" i="17"/>
  <c r="P1307" i="17"/>
  <c r="P1328" i="17"/>
  <c r="P1326" i="17"/>
  <c r="P1325" i="17"/>
  <c r="P1323" i="17"/>
  <c r="P1173" i="17"/>
  <c r="P1171" i="17"/>
  <c r="P1319" i="17"/>
  <c r="P1313" i="17"/>
  <c r="P1312" i="17"/>
  <c r="P1316" i="17"/>
  <c r="P1224" i="17"/>
  <c r="P1314" i="17"/>
  <c r="P1310" i="17"/>
  <c r="P1311" i="17"/>
  <c r="P1308" i="17"/>
  <c r="P1318" i="17"/>
  <c r="P1309" i="17"/>
  <c r="P1179" i="17"/>
  <c r="P1225" i="17"/>
  <c r="P1222" i="17"/>
  <c r="P1185" i="17"/>
  <c r="P1235" i="17"/>
  <c r="P1180" i="17"/>
  <c r="P1228" i="17"/>
  <c r="P1175" i="17"/>
  <c r="P1233" i="17"/>
  <c r="P1237" i="17"/>
  <c r="P1236" i="17"/>
  <c r="P1178" i="17"/>
  <c r="P1229" i="17"/>
  <c r="P1227" i="17"/>
  <c r="P1223" i="17"/>
  <c r="P1183" i="17"/>
  <c r="P1234" i="17"/>
  <c r="P1231" i="17"/>
  <c r="P1172" i="17"/>
  <c r="P1181" i="17"/>
  <c r="P1184" i="17"/>
  <c r="P548" i="17"/>
  <c r="P1108" i="17"/>
  <c r="P1176" i="17"/>
  <c r="P1121" i="17"/>
  <c r="P1170" i="17"/>
  <c r="P1182" i="17"/>
  <c r="P1177" i="17"/>
  <c r="P1174" i="17"/>
  <c r="P1169" i="17"/>
  <c r="P1168" i="17"/>
  <c r="P1122" i="17"/>
  <c r="P1109" i="17"/>
  <c r="P1141" i="17"/>
  <c r="P1112" i="17"/>
  <c r="P1132" i="17"/>
  <c r="P1142" i="17"/>
  <c r="P1143" i="17"/>
  <c r="P1138" i="17"/>
  <c r="P1136" i="17"/>
  <c r="P1139" i="17"/>
  <c r="P1110" i="17"/>
  <c r="P1137" i="17"/>
  <c r="P1133" i="17"/>
  <c r="P1140" i="17"/>
  <c r="P1111" i="17"/>
  <c r="P1134" i="17"/>
  <c r="P1131" i="17"/>
  <c r="P563" i="17"/>
  <c r="P1105" i="17"/>
  <c r="P1115" i="17"/>
  <c r="P923" i="17"/>
  <c r="P1114" i="17"/>
  <c r="P1113" i="17"/>
  <c r="P1083" i="17"/>
  <c r="P1130" i="17"/>
  <c r="P1129" i="17"/>
  <c r="P1128" i="17"/>
  <c r="P1127" i="17"/>
  <c r="P1126" i="17"/>
  <c r="P1125" i="17"/>
  <c r="P1124" i="17"/>
  <c r="P1123" i="17"/>
  <c r="P1118" i="17"/>
  <c r="P1116" i="17"/>
  <c r="P1073" i="17"/>
  <c r="P1117" i="17"/>
  <c r="P1100" i="17"/>
  <c r="P1099" i="17"/>
  <c r="P1098" i="17"/>
  <c r="P1119" i="17"/>
  <c r="P1107" i="17"/>
  <c r="P1106" i="17"/>
  <c r="P1104" i="17"/>
  <c r="P1103" i="17"/>
  <c r="P1102" i="17"/>
  <c r="P1101" i="17"/>
  <c r="P1086" i="17"/>
  <c r="P1070" i="17"/>
  <c r="P1061" i="17"/>
  <c r="P1049" i="17"/>
  <c r="P1077" i="17"/>
  <c r="P1055" i="17"/>
  <c r="P1092" i="17"/>
  <c r="P1075" i="17"/>
  <c r="P1090" i="17"/>
  <c r="P935" i="17"/>
  <c r="P1080" i="17"/>
  <c r="P1036" i="17"/>
  <c r="P1091" i="17"/>
  <c r="P1089" i="17"/>
  <c r="P1081" i="17"/>
  <c r="P1035" i="17"/>
  <c r="P1058" i="17"/>
  <c r="P1076" i="17"/>
  <c r="P1062" i="17"/>
  <c r="P1074" i="17"/>
  <c r="P1067" i="17"/>
  <c r="P1072" i="17"/>
  <c r="P1069" i="17"/>
  <c r="P1039" i="17"/>
  <c r="P1079" i="17"/>
  <c r="P1078" i="17"/>
  <c r="P1071" i="17"/>
  <c r="P1052" i="17"/>
  <c r="P1018" i="17"/>
  <c r="P1003" i="17"/>
  <c r="P1034" i="17"/>
  <c r="P1054" i="17"/>
  <c r="P983" i="17"/>
  <c r="P972" i="17"/>
  <c r="P1053" i="17"/>
  <c r="P1060" i="17"/>
  <c r="P1057" i="17"/>
  <c r="P827" i="17"/>
  <c r="P1066" i="17"/>
  <c r="P1065" i="17"/>
  <c r="P1064" i="17"/>
  <c r="P1063" i="17"/>
  <c r="P1059" i="17"/>
  <c r="P1045" i="17"/>
  <c r="P951" i="17"/>
  <c r="P1044" i="17"/>
  <c r="P1043" i="17"/>
  <c r="P1022" i="17"/>
  <c r="P1050" i="17"/>
  <c r="P1021" i="17"/>
  <c r="P1020" i="17"/>
  <c r="P1005" i="17"/>
  <c r="P1015" i="17"/>
  <c r="P1000" i="17"/>
  <c r="P993" i="17"/>
  <c r="P1016" i="17"/>
  <c r="P1001" i="17"/>
  <c r="P1012" i="17"/>
  <c r="P1030" i="17"/>
  <c r="P1011" i="17"/>
  <c r="P1047" i="17"/>
  <c r="P1031" i="17"/>
  <c r="P1013" i="17"/>
  <c r="P998" i="17"/>
  <c r="P1027" i="17"/>
  <c r="P1019" i="17"/>
  <c r="P955" i="17"/>
  <c r="P1008" i="17"/>
  <c r="P1029" i="17"/>
  <c r="P960" i="17"/>
  <c r="P1010" i="17"/>
  <c r="P995" i="17"/>
  <c r="P1024" i="17"/>
  <c r="P1025" i="17"/>
  <c r="P1028" i="17"/>
  <c r="P1004" i="17"/>
  <c r="P994" i="17"/>
  <c r="P1014" i="17"/>
  <c r="P999" i="17"/>
  <c r="P1017" i="17"/>
  <c r="P1002" i="17"/>
  <c r="P977" i="17"/>
  <c r="P975" i="17"/>
  <c r="P1026" i="17"/>
  <c r="P985" i="17"/>
  <c r="P1009" i="17"/>
  <c r="P996" i="17"/>
  <c r="P968" i="17"/>
  <c r="P992" i="17"/>
  <c r="P1023" i="17"/>
  <c r="P1007" i="17"/>
  <c r="P1006" i="17"/>
  <c r="P997" i="17"/>
  <c r="P991" i="17"/>
  <c r="P971" i="17"/>
  <c r="P990" i="17"/>
  <c r="P984" i="17"/>
  <c r="P989" i="17"/>
  <c r="P988" i="17"/>
  <c r="P987" i="17"/>
  <c r="P986" i="17"/>
  <c r="P959" i="17"/>
  <c r="P976" i="17"/>
  <c r="P974" i="17"/>
  <c r="P969" i="17"/>
  <c r="P967" i="17"/>
  <c r="P938" i="17"/>
  <c r="P936" i="17"/>
  <c r="P957" i="17"/>
  <c r="P948" i="17"/>
  <c r="P979" i="17"/>
  <c r="P981" i="17"/>
  <c r="P980" i="17"/>
  <c r="P978" i="17"/>
  <c r="P973" i="17"/>
  <c r="P966" i="17"/>
  <c r="P937" i="17"/>
  <c r="P963" i="17"/>
  <c r="P841" i="17"/>
  <c r="P886" i="17"/>
  <c r="P953" i="17"/>
  <c r="P920" i="17"/>
  <c r="P950" i="17"/>
  <c r="P964" i="17"/>
  <c r="P949" i="17"/>
  <c r="P962" i="17"/>
  <c r="P961" i="17"/>
  <c r="P947" i="17"/>
  <c r="P954" i="17"/>
  <c r="P952" i="17"/>
  <c r="P926" i="17"/>
  <c r="P944" i="17"/>
  <c r="P884" i="17"/>
  <c r="P902" i="17"/>
  <c r="P943" i="17"/>
  <c r="P940" i="17"/>
  <c r="P939" i="17"/>
  <c r="P921" i="17"/>
  <c r="P906" i="17"/>
  <c r="P905" i="17"/>
  <c r="P907" i="17"/>
  <c r="P945" i="17"/>
  <c r="P927" i="17"/>
  <c r="P889" i="17"/>
  <c r="P900" i="17"/>
  <c r="P842" i="17"/>
  <c r="P882" i="17"/>
  <c r="P888" i="17"/>
  <c r="P924" i="17"/>
  <c r="P934" i="17"/>
  <c r="P930" i="17"/>
  <c r="P929" i="17"/>
  <c r="P928" i="17"/>
  <c r="P925" i="17"/>
  <c r="P901" i="17"/>
  <c r="P933" i="17"/>
  <c r="P932" i="17"/>
  <c r="P931" i="17"/>
  <c r="P919" i="17"/>
  <c r="P904" i="17"/>
  <c r="P903" i="17"/>
  <c r="P899" i="17"/>
  <c r="P883" i="17"/>
  <c r="P850" i="17"/>
  <c r="P887" i="17"/>
  <c r="P896" i="17"/>
  <c r="P824" i="17"/>
  <c r="P844" i="17"/>
  <c r="P823" i="17"/>
  <c r="P825" i="17"/>
  <c r="P843" i="17"/>
  <c r="P846" i="17"/>
  <c r="P881" i="17"/>
  <c r="P879" i="17"/>
  <c r="P849" i="17"/>
  <c r="P897" i="17"/>
  <c r="P895" i="17"/>
  <c r="P894" i="17"/>
  <c r="P893" i="17"/>
  <c r="P892" i="17"/>
  <c r="P891" i="17"/>
  <c r="P890" i="17"/>
  <c r="P885" i="17"/>
  <c r="P848" i="17"/>
  <c r="P880" i="17"/>
  <c r="P826" i="17"/>
  <c r="P854" i="17"/>
  <c r="P852" i="17"/>
  <c r="P814" i="17"/>
  <c r="P853" i="17"/>
  <c r="P851" i="17"/>
  <c r="P847" i="17"/>
  <c r="P845" i="17"/>
  <c r="P820" i="17"/>
  <c r="P855" i="17"/>
  <c r="P840" i="17"/>
  <c r="P828" i="17"/>
  <c r="P830" i="17"/>
  <c r="P662" i="17"/>
  <c r="P651" i="17"/>
  <c r="P803" i="17"/>
  <c r="P802" i="17"/>
  <c r="P658" i="17"/>
  <c r="P642" i="17"/>
  <c r="P818" i="17"/>
  <c r="P813" i="17"/>
  <c r="P819" i="17"/>
  <c r="P829" i="17"/>
  <c r="P812" i="17"/>
  <c r="P808" i="17"/>
  <c r="P811" i="17"/>
  <c r="P806" i="17"/>
  <c r="P822" i="17"/>
  <c r="P821" i="17"/>
  <c r="P816" i="17"/>
  <c r="P815" i="17"/>
  <c r="P726" i="17"/>
  <c r="P725" i="17"/>
  <c r="P740" i="17"/>
  <c r="P695" i="17"/>
  <c r="P807" i="17"/>
  <c r="P805" i="17"/>
  <c r="P804" i="17"/>
  <c r="P748" i="17"/>
  <c r="P743" i="17"/>
  <c r="P799" i="17"/>
  <c r="P797" i="17"/>
  <c r="P738" i="17"/>
  <c r="P809" i="17"/>
  <c r="P798" i="17"/>
  <c r="P796" i="17"/>
  <c r="P564" i="17"/>
  <c r="P800" i="17"/>
  <c r="P795" i="17"/>
  <c r="P746" i="17"/>
  <c r="P711" i="17"/>
  <c r="P739" i="17"/>
  <c r="P659" i="17"/>
  <c r="P643" i="17"/>
  <c r="P753" i="17"/>
  <c r="P699" i="17"/>
  <c r="P742" i="17"/>
  <c r="P750" i="17"/>
  <c r="P749" i="17"/>
  <c r="P751" i="17"/>
  <c r="P747" i="17"/>
  <c r="P724" i="17"/>
  <c r="P723" i="17"/>
  <c r="P741" i="17"/>
  <c r="P745" i="17"/>
  <c r="P754" i="17"/>
  <c r="P737" i="17"/>
  <c r="P736" i="17"/>
  <c r="P702" i="17"/>
  <c r="P687" i="17"/>
  <c r="P735" i="17"/>
  <c r="P752" i="17"/>
  <c r="P685" i="17"/>
  <c r="P684" i="17"/>
  <c r="P734" i="17"/>
  <c r="P733" i="17"/>
  <c r="P744" i="17"/>
  <c r="P710" i="17"/>
  <c r="P709" i="17"/>
  <c r="P690" i="17"/>
  <c r="P730" i="17"/>
  <c r="P683" i="17"/>
  <c r="P682" i="17"/>
  <c r="P681" i="17"/>
  <c r="P646" i="17"/>
  <c r="P536" i="17"/>
  <c r="P678" i="17"/>
  <c r="P729" i="17"/>
  <c r="P691" i="17"/>
  <c r="P572" i="17"/>
  <c r="P731" i="17"/>
  <c r="P704" i="17"/>
  <c r="P688" i="17"/>
  <c r="P705" i="17"/>
  <c r="P689" i="17"/>
  <c r="P692" i="17"/>
  <c r="P679" i="17"/>
  <c r="P701" i="17"/>
  <c r="P686" i="17"/>
  <c r="P648" i="17"/>
  <c r="P677" i="17"/>
  <c r="P621" i="17"/>
  <c r="P676" i="17"/>
  <c r="P698" i="17"/>
  <c r="P697" i="17"/>
  <c r="P693" i="17"/>
  <c r="P696" i="17"/>
  <c r="P728" i="17"/>
  <c r="P727" i="17"/>
  <c r="P703" i="17"/>
  <c r="P700" i="17"/>
  <c r="P694" i="17"/>
  <c r="P675" i="17"/>
  <c r="P612" i="17"/>
  <c r="P674" i="17"/>
  <c r="P673" i="17"/>
  <c r="P672" i="17"/>
  <c r="P656" i="17"/>
  <c r="P623" i="17"/>
  <c r="P578" i="17"/>
  <c r="P610" i="17"/>
  <c r="P607" i="17"/>
  <c r="P626" i="17"/>
  <c r="P647" i="17"/>
  <c r="P654" i="17"/>
  <c r="P624" i="17"/>
  <c r="P622" i="17"/>
  <c r="P650" i="17"/>
  <c r="P657" i="17"/>
  <c r="P627" i="17"/>
  <c r="P609" i="17"/>
  <c r="P649" i="17"/>
  <c r="P620" i="17"/>
  <c r="P655" i="17"/>
  <c r="P625" i="17"/>
  <c r="P671" i="17"/>
  <c r="P606" i="17"/>
  <c r="P668" i="17"/>
  <c r="P667" i="17"/>
  <c r="P661" i="17"/>
  <c r="P660" i="17"/>
  <c r="P653" i="17"/>
  <c r="P652" i="17"/>
  <c r="P645" i="17"/>
  <c r="P644" i="17"/>
  <c r="P669" i="17"/>
  <c r="P670" i="17"/>
  <c r="P666" i="17"/>
  <c r="P665" i="17"/>
  <c r="P664" i="17"/>
  <c r="P663" i="17"/>
  <c r="P617" i="17"/>
  <c r="P574" i="17"/>
  <c r="P603" i="17"/>
  <c r="P618" i="17"/>
  <c r="P519" i="17"/>
  <c r="P600" i="17"/>
  <c r="P615" i="17"/>
  <c r="P613" i="17"/>
  <c r="P608" i="17"/>
  <c r="P616" i="17"/>
  <c r="P614" i="17"/>
  <c r="P611" i="17"/>
  <c r="P582" i="17"/>
  <c r="P567" i="17"/>
  <c r="P599" i="17"/>
  <c r="P594" i="17"/>
  <c r="P593" i="17"/>
  <c r="P604" i="17"/>
  <c r="P598" i="17"/>
  <c r="P596" i="17"/>
  <c r="P428" i="17"/>
  <c r="P595" i="17"/>
  <c r="P592" i="17"/>
  <c r="P591" i="17"/>
  <c r="P587" i="17"/>
  <c r="P586" i="17"/>
  <c r="P602" i="17"/>
  <c r="P601" i="17"/>
  <c r="P597" i="17"/>
  <c r="P541" i="17"/>
  <c r="P585" i="17"/>
  <c r="P588" i="17"/>
  <c r="P570" i="17"/>
  <c r="P584" i="17"/>
  <c r="P543" i="17"/>
  <c r="P517" i="17"/>
  <c r="P577" i="17"/>
  <c r="P576" i="17"/>
  <c r="P589" i="17"/>
  <c r="P456" i="17"/>
  <c r="P545" i="17"/>
  <c r="P575" i="17"/>
  <c r="P546" i="17"/>
  <c r="P571" i="17"/>
  <c r="P569" i="17"/>
  <c r="P581" i="17"/>
  <c r="P583" i="17"/>
  <c r="P568" i="17"/>
  <c r="P579" i="17"/>
  <c r="P580" i="17"/>
  <c r="P573" i="17"/>
  <c r="P539" i="17"/>
  <c r="P513" i="17"/>
  <c r="P551" i="17"/>
  <c r="P544" i="17"/>
  <c r="P542" i="17"/>
  <c r="P540" i="17"/>
  <c r="P471" i="17"/>
  <c r="P558" i="17"/>
  <c r="P538" i="17"/>
  <c r="P555" i="17"/>
  <c r="P537" i="17"/>
  <c r="P535" i="17"/>
  <c r="P474" i="17"/>
  <c r="P560" i="17"/>
  <c r="P557" i="17"/>
  <c r="P553" i="17"/>
  <c r="P552" i="17"/>
  <c r="P550" i="17"/>
  <c r="P516" i="17"/>
  <c r="P469" i="17"/>
  <c r="P494" i="17"/>
  <c r="P498" i="17"/>
  <c r="P511" i="17"/>
  <c r="P510" i="17"/>
  <c r="P515" i="17"/>
  <c r="P473" i="17"/>
  <c r="P472" i="17"/>
  <c r="P476" i="17"/>
  <c r="P507" i="17"/>
  <c r="P504" i="17"/>
  <c r="P518" i="17"/>
  <c r="P423" i="17"/>
  <c r="P454" i="17"/>
  <c r="P438" i="17"/>
  <c r="P503" i="17"/>
  <c r="P425" i="17"/>
  <c r="P512" i="17"/>
  <c r="P490" i="17"/>
  <c r="P505" i="17"/>
  <c r="P496" i="17"/>
  <c r="P495" i="17"/>
  <c r="P499" i="17"/>
  <c r="P514" i="17"/>
  <c r="P533" i="17"/>
  <c r="P532" i="17"/>
  <c r="P531" i="17"/>
  <c r="P481" i="17"/>
  <c r="P478" i="17"/>
  <c r="P491" i="17"/>
  <c r="P506" i="17"/>
  <c r="P509" i="17"/>
  <c r="P508" i="17"/>
  <c r="P502" i="17"/>
  <c r="P461" i="17"/>
  <c r="P484" i="17"/>
  <c r="P405" i="17"/>
  <c r="P450" i="17"/>
  <c r="P477" i="17"/>
  <c r="P493" i="17"/>
  <c r="P486" i="17"/>
  <c r="P462" i="17"/>
  <c r="P446" i="17"/>
  <c r="P492" i="17"/>
  <c r="P483" i="17"/>
  <c r="P448" i="17"/>
  <c r="P470" i="17"/>
  <c r="P458" i="17"/>
  <c r="P488" i="17"/>
  <c r="P487" i="17"/>
  <c r="P485" i="17"/>
  <c r="P482" i="17"/>
  <c r="P480" i="17"/>
  <c r="P479" i="17"/>
  <c r="P455" i="17"/>
  <c r="P439" i="17"/>
  <c r="P468" i="17"/>
  <c r="P466" i="17"/>
  <c r="P427" i="17"/>
  <c r="P467" i="17"/>
  <c r="P464" i="17"/>
  <c r="P465" i="17"/>
  <c r="P452" i="17"/>
  <c r="P440" i="17"/>
  <c r="P463" i="17"/>
  <c r="P426" i="17"/>
  <c r="P441" i="17"/>
  <c r="P457" i="17"/>
  <c r="P459" i="17"/>
  <c r="P435" i="17"/>
  <c r="P443" i="17"/>
  <c r="P442" i="17"/>
  <c r="P410" i="17"/>
  <c r="P422" i="17"/>
  <c r="P436" i="17"/>
  <c r="P449" i="17"/>
  <c r="P424" i="17"/>
  <c r="P447" i="17"/>
  <c r="P451" i="17"/>
  <c r="P453" i="17"/>
  <c r="P445" i="17"/>
  <c r="P444" i="17"/>
  <c r="P437" i="17"/>
  <c r="P433" i="17"/>
  <c r="P430" i="17"/>
  <c r="P390" i="17"/>
  <c r="P397" i="17"/>
  <c r="P392" i="17"/>
  <c r="P432" i="17"/>
  <c r="P429" i="17"/>
  <c r="P404" i="17"/>
  <c r="P431" i="17"/>
  <c r="P419" i="17"/>
  <c r="P409" i="17"/>
  <c r="P417" i="17"/>
  <c r="P420" i="17"/>
  <c r="P7" i="17"/>
  <c r="P79" i="17"/>
  <c r="P386" i="17"/>
  <c r="P401" i="17"/>
  <c r="P342" i="17"/>
  <c r="P396" i="17"/>
  <c r="P408" i="17"/>
  <c r="P407" i="17"/>
  <c r="P418" i="17"/>
  <c r="P219" i="17"/>
  <c r="P414" i="17"/>
  <c r="P382" i="17"/>
  <c r="P406" i="17"/>
  <c r="P403" i="17"/>
  <c r="P415" i="17"/>
  <c r="P399" i="17"/>
  <c r="P402" i="17"/>
  <c r="P416" i="17"/>
  <c r="P413" i="17"/>
  <c r="P412" i="17"/>
  <c r="P411" i="17"/>
  <c r="P400" i="17"/>
  <c r="P395" i="17"/>
  <c r="P337" i="17"/>
  <c r="P385" i="17"/>
  <c r="P381" i="17"/>
  <c r="P383" i="17"/>
  <c r="P345" i="17"/>
  <c r="P322" i="17"/>
  <c r="P343" i="17"/>
  <c r="P320" i="17"/>
  <c r="P299" i="17"/>
  <c r="P388" i="17"/>
  <c r="P394" i="17"/>
  <c r="P393" i="17"/>
  <c r="P298" i="17"/>
  <c r="P391" i="17"/>
  <c r="P389" i="17"/>
  <c r="P344" i="17"/>
  <c r="P321" i="17"/>
  <c r="P300" i="17"/>
  <c r="P387" i="17"/>
  <c r="P384" i="17"/>
  <c r="P375" i="17"/>
  <c r="P2240" i="17"/>
  <c r="P858" i="17"/>
  <c r="P1120" i="17"/>
  <c r="P293" i="17"/>
  <c r="P301" i="17"/>
  <c r="P335" i="17"/>
  <c r="P319" i="17"/>
  <c r="P305" i="17"/>
  <c r="P339" i="17"/>
  <c r="P303" i="17"/>
  <c r="P379" i="17"/>
  <c r="P378" i="17"/>
  <c r="P376" i="17"/>
  <c r="P369" i="17"/>
  <c r="P372" i="17"/>
  <c r="P2403" i="17"/>
  <c r="P1550" i="17"/>
  <c r="P1596" i="17"/>
  <c r="P547" i="17"/>
  <c r="P1518" i="17"/>
  <c r="P965" i="17"/>
  <c r="P497" i="17"/>
  <c r="P1056" i="17"/>
  <c r="P374" i="17"/>
  <c r="P373" i="17"/>
  <c r="P605" i="17"/>
  <c r="P366" i="17"/>
  <c r="P371" i="17"/>
  <c r="P370" i="17"/>
  <c r="P982" i="17"/>
  <c r="P2380" i="17"/>
  <c r="P338" i="17"/>
  <c r="P215" i="17"/>
  <c r="P220" i="17"/>
  <c r="P226" i="17"/>
  <c r="P1572" i="17"/>
  <c r="P1623" i="17"/>
  <c r="P566" i="17"/>
  <c r="P368" i="17"/>
  <c r="P367" i="17"/>
  <c r="P2424" i="17"/>
  <c r="P1032" i="17"/>
  <c r="P1533" i="17"/>
  <c r="P1516" i="17"/>
  <c r="P1473" i="17"/>
  <c r="P958" i="17"/>
  <c r="P489" i="17"/>
  <c r="P313" i="17"/>
  <c r="P295" i="17"/>
  <c r="P304" i="17"/>
  <c r="P312" i="17"/>
  <c r="P732" i="17"/>
  <c r="P831" i="17"/>
  <c r="P1097" i="17"/>
  <c r="P680" i="17"/>
  <c r="P347" i="17"/>
  <c r="P346" i="17"/>
  <c r="P2476" i="17"/>
  <c r="P2022" i="17"/>
  <c r="P755" i="17"/>
  <c r="P1068" i="17"/>
  <c r="P619" i="17"/>
  <c r="P2460" i="17"/>
  <c r="P1944" i="17"/>
  <c r="P311" i="17"/>
  <c r="P309" i="17"/>
  <c r="P334" i="17"/>
  <c r="P307" i="17"/>
  <c r="P2390" i="17"/>
  <c r="P332" i="17"/>
  <c r="P306" i="17"/>
  <c r="P328" i="17"/>
  <c r="P946" i="17"/>
  <c r="P475" i="17"/>
  <c r="P327" i="17"/>
  <c r="P341" i="17"/>
  <c r="P317" i="17"/>
  <c r="P297" i="17"/>
  <c r="P323" i="17"/>
  <c r="P314" i="17"/>
  <c r="P302" i="17"/>
  <c r="P340" i="17"/>
  <c r="P296" i="17"/>
  <c r="P2355" i="17"/>
  <c r="P1413" i="17"/>
  <c r="P1370" i="17"/>
  <c r="P898" i="17"/>
  <c r="P460" i="17"/>
  <c r="P2342" i="17"/>
  <c r="P1390" i="17"/>
  <c r="P1320" i="17"/>
  <c r="P878" i="17"/>
  <c r="P434" i="17"/>
  <c r="P1427" i="17"/>
  <c r="P1448" i="17"/>
  <c r="P2362" i="17"/>
  <c r="P2027" i="17"/>
  <c r="P294" i="17"/>
  <c r="P1267" i="17"/>
  <c r="P839" i="17"/>
  <c r="P2317" i="17"/>
  <c r="P1306" i="17"/>
  <c r="P421" i="17"/>
  <c r="P348" i="17"/>
  <c r="P2300" i="17"/>
  <c r="P1238" i="17"/>
  <c r="P1220" i="17"/>
  <c r="P810" i="17"/>
  <c r="P398" i="17"/>
  <c r="P2285" i="17"/>
  <c r="P1186" i="17"/>
  <c r="P1167" i="17"/>
  <c r="P801" i="17"/>
  <c r="P380" i="17"/>
  <c r="P17" i="17"/>
  <c r="P233" i="17"/>
  <c r="P1051" i="17"/>
  <c r="P212" i="17"/>
  <c r="P221" i="17"/>
  <c r="P223" i="17"/>
  <c r="P88" i="17"/>
  <c r="P92" i="17"/>
  <c r="P96" i="17"/>
  <c r="P100" i="17"/>
  <c r="P209" i="17"/>
  <c r="P2250" i="17"/>
  <c r="P1144" i="17"/>
  <c r="P1135" i="17"/>
  <c r="P794" i="17"/>
  <c r="P365" i="17"/>
  <c r="P78" i="17"/>
  <c r="P87" i="17"/>
  <c r="P91" i="17"/>
  <c r="P95" i="17"/>
  <c r="P99" i="17"/>
  <c r="P103" i="17"/>
  <c r="P208" i="17"/>
  <c r="P211" i="17"/>
  <c r="P86" i="17"/>
  <c r="P90" i="17"/>
  <c r="P94" i="17"/>
  <c r="P98" i="17"/>
  <c r="P2445" i="17"/>
  <c r="P1632" i="17"/>
  <c r="P590" i="17"/>
  <c r="P85" i="17"/>
  <c r="P93" i="17"/>
  <c r="P97" i="17"/>
  <c r="P105" i="17"/>
  <c r="P210" i="17"/>
  <c r="P218" i="17"/>
  <c r="P224" i="17"/>
  <c r="P225" i="17"/>
  <c r="P222" i="17"/>
  <c r="P217" i="17"/>
  <c r="P207" i="17"/>
  <c r="P206" i="17"/>
  <c r="P205" i="17"/>
  <c r="P204" i="17"/>
  <c r="P203" i="17"/>
  <c r="P101" i="17"/>
  <c r="P104" i="17"/>
  <c r="P102" i="17"/>
  <c r="P89" i="17"/>
  <c r="P51" i="17"/>
  <c r="P56" i="17"/>
  <c r="P61" i="17"/>
  <c r="P65" i="17"/>
  <c r="P69" i="17"/>
  <c r="P73" i="17"/>
  <c r="P77" i="17"/>
  <c r="P81" i="17"/>
  <c r="P55" i="17"/>
  <c r="P64" i="17"/>
  <c r="P68" i="17"/>
  <c r="P72" i="17"/>
  <c r="P76" i="17"/>
  <c r="P80" i="17"/>
  <c r="P54" i="17"/>
  <c r="P63" i="17"/>
  <c r="P67" i="17"/>
  <c r="P71" i="17"/>
  <c r="P75" i="17"/>
  <c r="P52" i="17"/>
  <c r="P62" i="17"/>
  <c r="P66" i="17"/>
  <c r="P70" i="17"/>
  <c r="P74" i="17"/>
  <c r="P37" i="17"/>
  <c r="P43" i="17"/>
  <c r="P50" i="17"/>
  <c r="P49" i="17"/>
  <c r="P11" i="17"/>
  <c r="P40" i="17"/>
  <c r="P35" i="17"/>
  <c r="P39" i="17"/>
  <c r="P38" i="17"/>
  <c r="P42" i="17"/>
  <c r="P13" i="17"/>
  <c r="P41" i="17"/>
  <c r="P45" i="17"/>
  <c r="P36" i="17"/>
  <c r="P34" i="17"/>
  <c r="P33" i="17"/>
  <c r="P32" i="17"/>
  <c r="P14" i="17"/>
  <c r="P15" i="17"/>
  <c r="P10" i="17"/>
  <c r="P6" i="17"/>
  <c r="P5" i="17"/>
  <c r="P19" i="17"/>
  <c r="P25" i="17"/>
  <c r="P12" i="17"/>
  <c r="P21" i="17"/>
  <c r="P28" i="17"/>
  <c r="P8" i="17"/>
  <c r="P4" i="17"/>
  <c r="P22" i="17"/>
  <c r="P26" i="17"/>
  <c r="P31" i="17"/>
  <c r="P23" i="17"/>
  <c r="P30" i="17"/>
  <c r="P27" i="17"/>
  <c r="P24" i="17"/>
  <c r="P20" i="17"/>
  <c r="P16" i="17"/>
  <c r="P9" i="17"/>
  <c r="P18" i="17"/>
  <c r="P3" i="17"/>
  <c r="P2" i="17"/>
  <c r="G306" i="6"/>
  <c r="R35" i="15"/>
  <c r="O35" i="15"/>
  <c r="N35" i="15"/>
  <c r="E35" i="15"/>
  <c r="V35" i="15"/>
  <c r="K35" i="15"/>
  <c r="I35" i="15"/>
  <c r="F42" i="6"/>
  <c r="F40" i="6"/>
  <c r="Q35" i="15"/>
  <c r="H35" i="15"/>
  <c r="L41" i="6"/>
  <c r="U35" i="15"/>
  <c r="L35" i="15"/>
  <c r="D35" i="15"/>
  <c r="F35" i="15"/>
  <c r="S35" i="15"/>
  <c r="C35" i="15"/>
  <c r="B35" i="15"/>
  <c r="M35" i="15"/>
  <c r="G35" i="15"/>
  <c r="J35" i="15"/>
  <c r="P35" i="15"/>
  <c r="G42" i="6"/>
  <c r="G40" i="6"/>
  <c r="F37" i="6"/>
  <c r="F33" i="6"/>
  <c r="F36" i="6"/>
  <c r="F35" i="6"/>
  <c r="G41" i="6"/>
  <c r="L34" i="6"/>
  <c r="L37" i="6"/>
  <c r="L36" i="6"/>
  <c r="L35" i="6"/>
  <c r="L42" i="6"/>
  <c r="L40" i="6"/>
  <c r="L33" i="6"/>
  <c r="L479" i="6"/>
  <c r="G476" i="6"/>
  <c r="F476" i="6"/>
  <c r="L476" i="6"/>
  <c r="F475" i="6"/>
  <c r="G475" i="6"/>
  <c r="L475" i="6"/>
  <c r="L166" i="6"/>
  <c r="L484" i="6"/>
  <c r="G479" i="6"/>
  <c r="F479" i="6"/>
  <c r="G44" i="6"/>
  <c r="G304" i="6"/>
  <c r="L462" i="6"/>
  <c r="L472" i="6"/>
  <c r="L474" i="6"/>
  <c r="F462" i="6"/>
  <c r="L483" i="6"/>
  <c r="L471" i="6"/>
  <c r="L477" i="6"/>
  <c r="G481" i="6"/>
  <c r="G474" i="6"/>
  <c r="F483" i="6"/>
  <c r="F484" i="6"/>
  <c r="F477" i="6"/>
  <c r="G473" i="6"/>
  <c r="F480" i="6"/>
  <c r="F482" i="6"/>
  <c r="F472" i="6"/>
  <c r="G471" i="6"/>
  <c r="F481" i="6"/>
  <c r="G478" i="6"/>
  <c r="L473" i="6"/>
  <c r="L480" i="6"/>
  <c r="F474" i="6"/>
  <c r="G477" i="6"/>
  <c r="F473" i="6"/>
  <c r="G484" i="6"/>
  <c r="G483" i="6"/>
  <c r="F471" i="6"/>
  <c r="G472" i="6"/>
  <c r="G480" i="6"/>
  <c r="F478" i="6"/>
  <c r="L478" i="6"/>
  <c r="L289" i="6"/>
  <c r="L482" i="6"/>
  <c r="L481" i="6"/>
  <c r="G460" i="6"/>
  <c r="G289" i="6"/>
  <c r="F460" i="6"/>
  <c r="F289" i="6"/>
  <c r="L460" i="6"/>
  <c r="L318" i="6"/>
  <c r="L316" i="6"/>
  <c r="L311" i="6"/>
  <c r="L334" i="6"/>
  <c r="G177" i="6"/>
  <c r="G522" i="6"/>
  <c r="G87" i="6"/>
  <c r="G174" i="6"/>
  <c r="G496" i="6"/>
  <c r="G71" i="6"/>
  <c r="F10" i="6"/>
  <c r="G3" i="6"/>
  <c r="G227" i="6"/>
  <c r="G228" i="6"/>
  <c r="G229" i="6"/>
  <c r="G230" i="6"/>
  <c r="G231" i="6"/>
  <c r="G337" i="6"/>
  <c r="G62" i="6"/>
  <c r="G404" i="6"/>
  <c r="G82" i="6"/>
  <c r="G96" i="6"/>
  <c r="G446" i="6"/>
  <c r="G20" i="6"/>
  <c r="G76" i="6"/>
  <c r="G329" i="6"/>
  <c r="G132" i="6"/>
  <c r="G184" i="6"/>
  <c r="G420" i="6"/>
  <c r="G279" i="6"/>
  <c r="G286" i="6"/>
  <c r="G470" i="6"/>
  <c r="G419" i="6"/>
  <c r="F69" i="6"/>
  <c r="F67" i="6"/>
  <c r="F72" i="6"/>
  <c r="F77" i="6"/>
  <c r="F73" i="6"/>
  <c r="F76" i="6"/>
  <c r="F74" i="6"/>
  <c r="G173" i="6"/>
  <c r="G343" i="6"/>
  <c r="G15" i="6"/>
  <c r="F71" i="6"/>
  <c r="G373" i="6"/>
  <c r="G458" i="6"/>
  <c r="G24" i="6"/>
  <c r="G168" i="6"/>
  <c r="G32" i="6"/>
  <c r="G361" i="6"/>
  <c r="G136" i="6"/>
  <c r="G403" i="6"/>
  <c r="G412" i="6"/>
  <c r="G77" i="6"/>
  <c r="G120" i="6"/>
  <c r="G165" i="6"/>
  <c r="G333" i="6"/>
  <c r="G185" i="6"/>
  <c r="G148" i="6"/>
  <c r="G130" i="6"/>
  <c r="G158" i="6"/>
  <c r="F300" i="6"/>
  <c r="F324" i="6"/>
  <c r="F316" i="6"/>
  <c r="F305" i="6"/>
  <c r="F310" i="6"/>
  <c r="F493" i="6"/>
  <c r="F535" i="6"/>
  <c r="F488" i="6"/>
  <c r="F523" i="6"/>
  <c r="F515" i="6"/>
  <c r="F507" i="6"/>
  <c r="F496" i="6"/>
  <c r="F450" i="6"/>
  <c r="F464" i="6"/>
  <c r="F449" i="6"/>
  <c r="F417" i="6"/>
  <c r="F396" i="6"/>
  <c r="F380" i="6"/>
  <c r="F428" i="6"/>
  <c r="F408" i="6"/>
  <c r="F404" i="6"/>
  <c r="F405" i="6"/>
  <c r="F347" i="6"/>
  <c r="F369" i="6"/>
  <c r="F365" i="6"/>
  <c r="F294" i="6"/>
  <c r="F343" i="6"/>
  <c r="F287" i="6"/>
  <c r="F272" i="6"/>
  <c r="F276" i="6"/>
  <c r="F246" i="6"/>
  <c r="F238" i="6"/>
  <c r="F230" i="6"/>
  <c r="F222" i="6"/>
  <c r="F214" i="6"/>
  <c r="F207" i="6"/>
  <c r="F199" i="6"/>
  <c r="F185" i="6"/>
  <c r="F176" i="6"/>
  <c r="F173" i="6"/>
  <c r="F166" i="6"/>
  <c r="F168" i="6"/>
  <c r="F150" i="6"/>
  <c r="F127" i="6"/>
  <c r="F126" i="6"/>
  <c r="F100" i="6"/>
  <c r="F89" i="6"/>
  <c r="F65" i="6"/>
  <c r="G311" i="6"/>
  <c r="G454" i="6"/>
  <c r="G432" i="6"/>
  <c r="G169" i="6"/>
  <c r="G95" i="6"/>
  <c r="G38" i="6"/>
  <c r="G495" i="6"/>
  <c r="G318" i="6"/>
  <c r="G70" i="6"/>
  <c r="G194" i="6"/>
  <c r="G202" i="6"/>
  <c r="G209" i="6"/>
  <c r="G217" i="6"/>
  <c r="G225" i="6"/>
  <c r="G423" i="6"/>
  <c r="G439" i="6"/>
  <c r="G467" i="6"/>
  <c r="G195" i="6"/>
  <c r="G203" i="6"/>
  <c r="G210" i="6"/>
  <c r="G218" i="6"/>
  <c r="G226" i="6"/>
  <c r="G425" i="6"/>
  <c r="G441" i="6"/>
  <c r="G196" i="6"/>
  <c r="G204" i="6"/>
  <c r="G211" i="6"/>
  <c r="G219" i="6"/>
  <c r="G427" i="6"/>
  <c r="G443" i="6"/>
  <c r="G205" i="6"/>
  <c r="G212" i="6"/>
  <c r="G220" i="6"/>
  <c r="G413" i="6"/>
  <c r="G429" i="6"/>
  <c r="G445" i="6"/>
  <c r="G206" i="6"/>
  <c r="G213" i="6"/>
  <c r="G221" i="6"/>
  <c r="G415" i="6"/>
  <c r="G431" i="6"/>
  <c r="G447" i="6"/>
  <c r="G199" i="6"/>
  <c r="G207" i="6"/>
  <c r="G214" i="6"/>
  <c r="G222" i="6"/>
  <c r="G417" i="6"/>
  <c r="G433" i="6"/>
  <c r="G449" i="6"/>
  <c r="G200" i="6"/>
  <c r="G215" i="6"/>
  <c r="G223" i="6"/>
  <c r="G435" i="6"/>
  <c r="G451" i="6"/>
  <c r="G411" i="6"/>
  <c r="G536" i="6"/>
  <c r="G21" i="6"/>
  <c r="G448" i="6"/>
  <c r="G157" i="6"/>
  <c r="G19" i="6"/>
  <c r="G181" i="6"/>
  <c r="G399" i="6"/>
  <c r="G147" i="6"/>
  <c r="G297" i="6"/>
  <c r="G370" i="6"/>
  <c r="G386" i="6"/>
  <c r="G402" i="6"/>
  <c r="G290" i="6"/>
  <c r="G298" i="6"/>
  <c r="G372" i="6"/>
  <c r="G388" i="6"/>
  <c r="G468" i="6"/>
  <c r="G291" i="6"/>
  <c r="G299" i="6"/>
  <c r="G374" i="6"/>
  <c r="G390" i="6"/>
  <c r="G292" i="6"/>
  <c r="G376" i="6"/>
  <c r="G392" i="6"/>
  <c r="G293" i="6"/>
  <c r="G378" i="6"/>
  <c r="G394" i="6"/>
  <c r="G294" i="6"/>
  <c r="G380" i="6"/>
  <c r="G396" i="6"/>
  <c r="G295" i="6"/>
  <c r="G366" i="6"/>
  <c r="G382" i="6"/>
  <c r="G398" i="6"/>
  <c r="G53" i="6"/>
  <c r="G92" i="6"/>
  <c r="G487" i="6"/>
  <c r="G110" i="6"/>
  <c r="G383" i="6"/>
  <c r="G103" i="6"/>
  <c r="G499" i="6"/>
  <c r="F120" i="6"/>
  <c r="F115" i="6"/>
  <c r="F109" i="6"/>
  <c r="F107" i="6"/>
  <c r="F112" i="6"/>
  <c r="F119" i="6"/>
  <c r="F304" i="6"/>
  <c r="F323" i="6"/>
  <c r="F315" i="6"/>
  <c r="F336" i="6"/>
  <c r="F337" i="6"/>
  <c r="F492" i="6"/>
  <c r="F530" i="6"/>
  <c r="F486" i="6"/>
  <c r="F522" i="6"/>
  <c r="F514" i="6"/>
  <c r="F506" i="6"/>
  <c r="F494" i="6"/>
  <c r="F448" i="6"/>
  <c r="F463" i="6"/>
  <c r="F431" i="6"/>
  <c r="F415" i="6"/>
  <c r="F394" i="6"/>
  <c r="F378" i="6"/>
  <c r="F442" i="6"/>
  <c r="F426" i="6"/>
  <c r="F409" i="6"/>
  <c r="F401" i="6"/>
  <c r="F377" i="6"/>
  <c r="F348" i="6"/>
  <c r="F352" i="6"/>
  <c r="F363" i="6"/>
  <c r="F293" i="6"/>
  <c r="F345" i="6"/>
  <c r="F286" i="6"/>
  <c r="F275" i="6"/>
  <c r="F253" i="6"/>
  <c r="F237" i="6"/>
  <c r="F229" i="6"/>
  <c r="F221" i="6"/>
  <c r="F213" i="6"/>
  <c r="F193" i="6"/>
  <c r="F263" i="6"/>
  <c r="F192" i="6"/>
  <c r="F190" i="6"/>
  <c r="F171" i="6"/>
  <c r="F161" i="6"/>
  <c r="F167" i="6"/>
  <c r="F149" i="6"/>
  <c r="F139" i="6"/>
  <c r="F125" i="6"/>
  <c r="F110" i="6"/>
  <c r="F62" i="6"/>
  <c r="G319" i="6"/>
  <c r="G414" i="6"/>
  <c r="G216" i="6"/>
  <c r="G160" i="6"/>
  <c r="G100" i="6"/>
  <c r="F4" i="6"/>
  <c r="G170" i="6"/>
  <c r="F2" i="6"/>
  <c r="G122" i="6"/>
  <c r="F7" i="6"/>
  <c r="F8" i="6"/>
  <c r="G12" i="6"/>
  <c r="G108" i="6"/>
  <c r="F9" i="6"/>
  <c r="F3" i="6"/>
  <c r="F5" i="6"/>
  <c r="G39" i="6"/>
  <c r="G52" i="6"/>
  <c r="G270" i="6"/>
  <c r="G341" i="6"/>
  <c r="G407" i="6"/>
  <c r="G2" i="6"/>
  <c r="G43" i="6"/>
  <c r="G67" i="6"/>
  <c r="G91" i="6"/>
  <c r="G10" i="6"/>
  <c r="G422" i="6"/>
  <c r="G485" i="6"/>
  <c r="G107" i="6"/>
  <c r="G121" i="6"/>
  <c r="G153" i="6"/>
  <c r="G78" i="6"/>
  <c r="G193" i="6"/>
  <c r="G11" i="6"/>
  <c r="G347" i="6"/>
  <c r="G30" i="6"/>
  <c r="G142" i="6"/>
  <c r="G4" i="6"/>
  <c r="G123" i="6"/>
  <c r="G302" i="6"/>
  <c r="G424" i="6"/>
  <c r="G171" i="6"/>
  <c r="G143" i="6"/>
  <c r="G408" i="6"/>
  <c r="G14" i="6"/>
  <c r="F16" i="6"/>
  <c r="F29" i="6"/>
  <c r="F17" i="6"/>
  <c r="F27" i="6"/>
  <c r="F18" i="6"/>
  <c r="F24" i="6"/>
  <c r="F20" i="6"/>
  <c r="F19" i="6"/>
  <c r="F25" i="6"/>
  <c r="F21" i="6"/>
  <c r="F12" i="6"/>
  <c r="F26" i="6"/>
  <c r="F13" i="6"/>
  <c r="F22" i="6"/>
  <c r="F11" i="6"/>
  <c r="F14" i="6"/>
  <c r="F15" i="6"/>
  <c r="G26" i="6"/>
  <c r="G140" i="6"/>
  <c r="G346" i="6"/>
  <c r="G138" i="6"/>
  <c r="G167" i="6"/>
  <c r="G135" i="6"/>
  <c r="G162" i="6"/>
  <c r="G150" i="6"/>
  <c r="G268" i="6"/>
  <c r="G22" i="6"/>
  <c r="G79" i="6"/>
  <c r="G80" i="6"/>
  <c r="G117" i="6"/>
  <c r="F104" i="6"/>
  <c r="F106" i="6"/>
  <c r="F101" i="6"/>
  <c r="G320" i="6"/>
  <c r="F99" i="6"/>
  <c r="F96" i="6"/>
  <c r="F83" i="6"/>
  <c r="F85" i="6"/>
  <c r="F86" i="6"/>
  <c r="F87" i="6"/>
  <c r="F84" i="6"/>
  <c r="F303" i="6"/>
  <c r="F322" i="6"/>
  <c r="F314" i="6"/>
  <c r="F335" i="6"/>
  <c r="F327" i="6"/>
  <c r="F536" i="6"/>
  <c r="F528" i="6"/>
  <c r="F537" i="6"/>
  <c r="F521" i="6"/>
  <c r="F513" i="6"/>
  <c r="F505" i="6"/>
  <c r="F487" i="6"/>
  <c r="F470" i="6"/>
  <c r="F461" i="6"/>
  <c r="F445" i="6"/>
  <c r="F429" i="6"/>
  <c r="F413" i="6"/>
  <c r="F392" i="6"/>
  <c r="F376" i="6"/>
  <c r="F440" i="6"/>
  <c r="F424" i="6"/>
  <c r="F410" i="6"/>
  <c r="F399" i="6"/>
  <c r="F356" i="6"/>
  <c r="F351" i="6"/>
  <c r="F359" i="6"/>
  <c r="F292" i="6"/>
  <c r="F344" i="6"/>
  <c r="F274" i="6"/>
  <c r="F260" i="6"/>
  <c r="F252" i="6"/>
  <c r="F244" i="6"/>
  <c r="F236" i="6"/>
  <c r="F212" i="6"/>
  <c r="F268" i="6"/>
  <c r="F262" i="6"/>
  <c r="F183" i="6"/>
  <c r="F174" i="6"/>
  <c r="F181" i="6"/>
  <c r="F153" i="6"/>
  <c r="F157" i="6"/>
  <c r="F148" i="6"/>
  <c r="F138" i="6"/>
  <c r="F124" i="6"/>
  <c r="F117" i="6"/>
  <c r="F68" i="6"/>
  <c r="G498" i="6"/>
  <c r="G453" i="6"/>
  <c r="G375" i="6"/>
  <c r="G271" i="6"/>
  <c r="G208" i="6"/>
  <c r="G154" i="6"/>
  <c r="G31" i="6"/>
  <c r="G456" i="6"/>
  <c r="G363" i="6"/>
  <c r="G60" i="6"/>
  <c r="G444" i="6"/>
  <c r="G327" i="6"/>
  <c r="G534" i="6"/>
  <c r="G119" i="6"/>
  <c r="G183" i="6"/>
  <c r="G274" i="6"/>
  <c r="G55" i="6"/>
  <c r="G112" i="6"/>
  <c r="G45" i="6"/>
  <c r="G385" i="6"/>
  <c r="G84" i="6"/>
  <c r="G50" i="6"/>
  <c r="G405" i="6"/>
  <c r="G164" i="6"/>
  <c r="F80" i="6"/>
  <c r="G58" i="6"/>
  <c r="G102" i="6"/>
  <c r="G354" i="6"/>
  <c r="G72" i="6"/>
  <c r="G116" i="6"/>
  <c r="G418" i="6"/>
  <c r="F91" i="6"/>
  <c r="G128" i="6"/>
  <c r="F92" i="6"/>
  <c r="F93" i="6"/>
  <c r="G88" i="6"/>
  <c r="G391" i="6"/>
  <c r="G430" i="6"/>
  <c r="G497" i="6"/>
  <c r="F339" i="6"/>
  <c r="F321" i="6"/>
  <c r="F311" i="6"/>
  <c r="F334" i="6"/>
  <c r="F326" i="6"/>
  <c r="F534" i="6"/>
  <c r="F501" i="6"/>
  <c r="F529" i="6"/>
  <c r="F520" i="6"/>
  <c r="F512" i="6"/>
  <c r="F504" i="6"/>
  <c r="F485" i="6"/>
  <c r="F469" i="6"/>
  <c r="F459" i="6"/>
  <c r="F443" i="6"/>
  <c r="F427" i="6"/>
  <c r="F446" i="6"/>
  <c r="F390" i="6"/>
  <c r="F374" i="6"/>
  <c r="F438" i="6"/>
  <c r="F422" i="6"/>
  <c r="F411" i="6"/>
  <c r="F397" i="6"/>
  <c r="F381" i="6"/>
  <c r="F355" i="6"/>
  <c r="F299" i="6"/>
  <c r="F291" i="6"/>
  <c r="F346" i="6"/>
  <c r="F284" i="6"/>
  <c r="F259" i="6"/>
  <c r="F251" i="6"/>
  <c r="F243" i="6"/>
  <c r="F235" i="6"/>
  <c r="F227" i="6"/>
  <c r="F219" i="6"/>
  <c r="F211" i="6"/>
  <c r="F204" i="6"/>
  <c r="F198" i="6"/>
  <c r="F182" i="6"/>
  <c r="F177" i="6"/>
  <c r="F180" i="6"/>
  <c r="F164" i="6"/>
  <c r="F152" i="6"/>
  <c r="F136" i="6"/>
  <c r="F118" i="6"/>
  <c r="F103" i="6"/>
  <c r="F82" i="6"/>
  <c r="F75" i="6"/>
  <c r="F49" i="6"/>
  <c r="F28" i="6"/>
  <c r="G490" i="6"/>
  <c r="G437" i="6"/>
  <c r="G406" i="6"/>
  <c r="G278" i="6"/>
  <c r="G201" i="6"/>
  <c r="G152" i="6"/>
  <c r="G28" i="6"/>
  <c r="G257" i="6"/>
  <c r="G258" i="6"/>
  <c r="G259" i="6"/>
  <c r="G326" i="6"/>
  <c r="G533" i="6"/>
  <c r="G59" i="6"/>
  <c r="G401" i="6"/>
  <c r="G442" i="6"/>
  <c r="G118" i="6"/>
  <c r="G283" i="6"/>
  <c r="G182" i="6"/>
  <c r="G438" i="6"/>
  <c r="G159" i="6"/>
  <c r="G18" i="6"/>
  <c r="G180" i="6"/>
  <c r="G397" i="6"/>
  <c r="G146" i="6"/>
  <c r="F165" i="6"/>
  <c r="G9" i="6"/>
  <c r="G322" i="6"/>
  <c r="G25" i="6"/>
  <c r="G139" i="6"/>
  <c r="G69" i="6"/>
  <c r="G114" i="6"/>
  <c r="F58" i="6"/>
  <c r="F52" i="6"/>
  <c r="G85" i="6"/>
  <c r="G126" i="6"/>
  <c r="F60" i="6"/>
  <c r="G46" i="6"/>
  <c r="F53" i="6"/>
  <c r="F59" i="6"/>
  <c r="F63" i="6"/>
  <c r="F61" i="6"/>
  <c r="G98" i="6"/>
  <c r="G428" i="6"/>
  <c r="G493" i="6"/>
  <c r="G350" i="6"/>
  <c r="G309" i="6"/>
  <c r="F64" i="6"/>
  <c r="F56" i="6"/>
  <c r="F338" i="6"/>
  <c r="F320" i="6"/>
  <c r="F309" i="6"/>
  <c r="F333" i="6"/>
  <c r="F319" i="6"/>
  <c r="F533" i="6"/>
  <c r="F495" i="6"/>
  <c r="F527" i="6"/>
  <c r="F519" i="6"/>
  <c r="F511" i="6"/>
  <c r="F503" i="6"/>
  <c r="F458" i="6"/>
  <c r="F457" i="6"/>
  <c r="F441" i="6"/>
  <c r="F425" i="6"/>
  <c r="F444" i="6"/>
  <c r="F388" i="6"/>
  <c r="F372" i="6"/>
  <c r="F436" i="6"/>
  <c r="F418" i="6"/>
  <c r="F412" i="6"/>
  <c r="F395" i="6"/>
  <c r="F403" i="6"/>
  <c r="F373" i="6"/>
  <c r="F349" i="6"/>
  <c r="F298" i="6"/>
  <c r="F290" i="6"/>
  <c r="F342" i="6"/>
  <c r="F283" i="6"/>
  <c r="F280" i="6"/>
  <c r="F258" i="6"/>
  <c r="F250" i="6"/>
  <c r="F242" i="6"/>
  <c r="F234" i="6"/>
  <c r="F226" i="6"/>
  <c r="F218" i="6"/>
  <c r="F210" i="6"/>
  <c r="F203" i="6"/>
  <c r="F195" i="6"/>
  <c r="F197" i="6"/>
  <c r="F188" i="6"/>
  <c r="F170" i="6"/>
  <c r="F179" i="6"/>
  <c r="F163" i="6"/>
  <c r="F155" i="6"/>
  <c r="F108" i="6"/>
  <c r="F95" i="6"/>
  <c r="F81" i="6"/>
  <c r="F70" i="6"/>
  <c r="F51" i="6"/>
  <c r="F23" i="6"/>
  <c r="G421" i="6"/>
  <c r="G389" i="6"/>
  <c r="G267" i="6"/>
  <c r="G127" i="6"/>
  <c r="G23" i="6"/>
  <c r="G284" i="6"/>
  <c r="G277" i="6"/>
  <c r="G469" i="6"/>
  <c r="G252" i="6"/>
  <c r="G253" i="6"/>
  <c r="G254" i="6"/>
  <c r="G364" i="6"/>
  <c r="G255" i="6"/>
  <c r="G83" i="6"/>
  <c r="G109" i="6"/>
  <c r="G409" i="6"/>
  <c r="G486" i="6"/>
  <c r="G281" i="6"/>
  <c r="G288" i="6"/>
  <c r="G264" i="6"/>
  <c r="G434" i="6"/>
  <c r="G17" i="6"/>
  <c r="G156" i="6"/>
  <c r="G179" i="6"/>
  <c r="G395" i="6"/>
  <c r="G8" i="6"/>
  <c r="G129" i="6"/>
  <c r="F146" i="6"/>
  <c r="G345" i="6"/>
  <c r="G321" i="6"/>
  <c r="G273" i="6"/>
  <c r="F151" i="6"/>
  <c r="F142" i="6"/>
  <c r="G61" i="6"/>
  <c r="G450" i="6"/>
  <c r="G324" i="6"/>
  <c r="G48" i="6"/>
  <c r="G356" i="6"/>
  <c r="G16" i="6"/>
  <c r="G155" i="6"/>
  <c r="G178" i="6"/>
  <c r="G393" i="6"/>
  <c r="G7" i="6"/>
  <c r="G73" i="6"/>
  <c r="G355" i="6"/>
  <c r="F128" i="6"/>
  <c r="F137" i="6"/>
  <c r="F122" i="6"/>
  <c r="G344" i="6"/>
  <c r="F129" i="6"/>
  <c r="F141" i="6"/>
  <c r="F121" i="6"/>
  <c r="G145" i="6"/>
  <c r="G263" i="6"/>
  <c r="G272" i="6"/>
  <c r="G531" i="6"/>
  <c r="F132" i="6"/>
  <c r="F140" i="6"/>
  <c r="G125" i="6"/>
  <c r="F45" i="6"/>
  <c r="G342" i="6"/>
  <c r="F48" i="6"/>
  <c r="F43" i="6"/>
  <c r="F46" i="6"/>
  <c r="G387" i="6"/>
  <c r="F47" i="6"/>
  <c r="G492" i="6"/>
  <c r="G144" i="6"/>
  <c r="G308" i="6"/>
  <c r="G5" i="6"/>
  <c r="G56" i="6"/>
  <c r="F44" i="6"/>
  <c r="F329" i="6"/>
  <c r="F340" i="6"/>
  <c r="F308" i="6"/>
  <c r="F331" i="6"/>
  <c r="F313" i="6"/>
  <c r="F499" i="6"/>
  <c r="F491" i="6"/>
  <c r="F526" i="6"/>
  <c r="F518" i="6"/>
  <c r="F510" i="6"/>
  <c r="F502" i="6"/>
  <c r="F456" i="6"/>
  <c r="F467" i="6"/>
  <c r="F455" i="6"/>
  <c r="F439" i="6"/>
  <c r="F423" i="6"/>
  <c r="F402" i="6"/>
  <c r="F386" i="6"/>
  <c r="F370" i="6"/>
  <c r="F434" i="6"/>
  <c r="F416" i="6"/>
  <c r="F407" i="6"/>
  <c r="F393" i="6"/>
  <c r="F385" i="6"/>
  <c r="F354" i="6"/>
  <c r="F361" i="6"/>
  <c r="F297" i="6"/>
  <c r="F358" i="6"/>
  <c r="F270" i="6"/>
  <c r="F279" i="6"/>
  <c r="F249" i="6"/>
  <c r="F241" i="6"/>
  <c r="F233" i="6"/>
  <c r="F225" i="6"/>
  <c r="F217" i="6"/>
  <c r="F202" i="6"/>
  <c r="F194" i="6"/>
  <c r="F264" i="6"/>
  <c r="F187" i="6"/>
  <c r="F172" i="6"/>
  <c r="F178" i="6"/>
  <c r="F162" i="6"/>
  <c r="F154" i="6"/>
  <c r="F145" i="6"/>
  <c r="F133" i="6"/>
  <c r="F116" i="6"/>
  <c r="F97" i="6"/>
  <c r="F79" i="6"/>
  <c r="F57" i="6"/>
  <c r="F50" i="6"/>
  <c r="F6" i="6"/>
  <c r="G400" i="6"/>
  <c r="G265" i="6"/>
  <c r="G6" i="6"/>
  <c r="G249" i="6"/>
  <c r="G455" i="6"/>
  <c r="G250" i="6"/>
  <c r="G457" i="6"/>
  <c r="G251" i="6"/>
  <c r="G459" i="6"/>
  <c r="G260" i="6"/>
  <c r="G461" i="6"/>
  <c r="G463" i="6"/>
  <c r="G246" i="6"/>
  <c r="G247" i="6"/>
  <c r="G137" i="6"/>
  <c r="G151" i="6"/>
  <c r="G186" i="6"/>
  <c r="G149" i="6"/>
  <c r="G47" i="6"/>
  <c r="G410" i="6"/>
  <c r="G440" i="6"/>
  <c r="G75" i="6"/>
  <c r="G131" i="6"/>
  <c r="F302" i="6"/>
  <c r="F328" i="6"/>
  <c r="F318" i="6"/>
  <c r="F307" i="6"/>
  <c r="F330" i="6"/>
  <c r="F312" i="6"/>
  <c r="F498" i="6"/>
  <c r="F490" i="6"/>
  <c r="F525" i="6"/>
  <c r="F517" i="6"/>
  <c r="F509" i="6"/>
  <c r="F500" i="6"/>
  <c r="F454" i="6"/>
  <c r="F466" i="6"/>
  <c r="F437" i="6"/>
  <c r="F421" i="6"/>
  <c r="F400" i="6"/>
  <c r="F384" i="6"/>
  <c r="F368" i="6"/>
  <c r="F432" i="6"/>
  <c r="F414" i="6"/>
  <c r="F375" i="6"/>
  <c r="F406" i="6"/>
  <c r="F389" i="6"/>
  <c r="F353" i="6"/>
  <c r="F362" i="6"/>
  <c r="F296" i="6"/>
  <c r="F357" i="6"/>
  <c r="F282" i="6"/>
  <c r="F271" i="6"/>
  <c r="F278" i="6"/>
  <c r="F256" i="6"/>
  <c r="F248" i="6"/>
  <c r="F240" i="6"/>
  <c r="F232" i="6"/>
  <c r="F224" i="6"/>
  <c r="F216" i="6"/>
  <c r="F208" i="6"/>
  <c r="F201" i="6"/>
  <c r="F267" i="6"/>
  <c r="F265" i="6"/>
  <c r="F191" i="6"/>
  <c r="F175" i="6"/>
  <c r="F169" i="6"/>
  <c r="F160" i="6"/>
  <c r="F143" i="6"/>
  <c r="F123" i="6"/>
  <c r="F131" i="6"/>
  <c r="F114" i="6"/>
  <c r="F105" i="6"/>
  <c r="F88" i="6"/>
  <c r="F54" i="6"/>
  <c r="G384" i="6"/>
  <c r="G362" i="6"/>
  <c r="G172" i="6"/>
  <c r="G93" i="6"/>
  <c r="G305" i="6"/>
  <c r="G488" i="6"/>
  <c r="G233" i="6"/>
  <c r="G241" i="6"/>
  <c r="G234" i="6"/>
  <c r="G242" i="6"/>
  <c r="G235" i="6"/>
  <c r="G243" i="6"/>
  <c r="G236" i="6"/>
  <c r="G244" i="6"/>
  <c r="G237" i="6"/>
  <c r="G245" i="6"/>
  <c r="G238" i="6"/>
  <c r="G464" i="6"/>
  <c r="G239" i="6"/>
  <c r="G465" i="6"/>
  <c r="G426" i="6"/>
  <c r="G94" i="6"/>
  <c r="G111" i="6"/>
  <c r="G280" i="6"/>
  <c r="G287" i="6"/>
  <c r="G63" i="6"/>
  <c r="G275" i="6"/>
  <c r="F32" i="6"/>
  <c r="F30" i="6"/>
  <c r="F301" i="6"/>
  <c r="F325" i="6"/>
  <c r="F317" i="6"/>
  <c r="F306" i="6"/>
  <c r="F531" i="6"/>
  <c r="F497" i="6"/>
  <c r="F489" i="6"/>
  <c r="F524" i="6"/>
  <c r="F516" i="6"/>
  <c r="F508" i="6"/>
  <c r="F452" i="6"/>
  <c r="F465" i="6"/>
  <c r="F451" i="6"/>
  <c r="F419" i="6"/>
  <c r="F398" i="6"/>
  <c r="F382" i="6"/>
  <c r="F366" i="6"/>
  <c r="F420" i="6"/>
  <c r="F379" i="6"/>
  <c r="F391" i="6"/>
  <c r="F383" i="6"/>
  <c r="F371" i="6"/>
  <c r="F350" i="6"/>
  <c r="F295" i="6"/>
  <c r="F360" i="6"/>
  <c r="F288" i="6"/>
  <c r="F273" i="6"/>
  <c r="F277" i="6"/>
  <c r="F247" i="6"/>
  <c r="F239" i="6"/>
  <c r="F231" i="6"/>
  <c r="F223" i="6"/>
  <c r="F215" i="6"/>
  <c r="F200" i="6"/>
  <c r="F269" i="6"/>
  <c r="F186" i="6"/>
  <c r="F189" i="6"/>
  <c r="F184" i="6"/>
  <c r="F159" i="6"/>
  <c r="F158" i="6"/>
  <c r="F147" i="6"/>
  <c r="F134" i="6"/>
  <c r="F130" i="6"/>
  <c r="F113" i="6"/>
  <c r="F102" i="6"/>
  <c r="F90" i="6"/>
  <c r="F55" i="6"/>
  <c r="G368" i="6"/>
  <c r="G296" i="6"/>
  <c r="G232" i="6"/>
  <c r="G175" i="6"/>
  <c r="G113" i="6"/>
  <c r="L315" i="6"/>
  <c r="L320" i="6"/>
  <c r="L317" i="6"/>
  <c r="L303" i="6"/>
  <c r="L314" i="6"/>
  <c r="L340" i="6"/>
  <c r="L302" i="6"/>
  <c r="L324" i="6"/>
  <c r="L300" i="6"/>
  <c r="L307" i="6"/>
  <c r="L330" i="6"/>
  <c r="L301" i="6"/>
  <c r="L308" i="6"/>
  <c r="L331" i="6"/>
  <c r="L304" i="6"/>
  <c r="L306" i="6"/>
  <c r="L332" i="6"/>
  <c r="L336" i="6"/>
  <c r="L339" i="6"/>
  <c r="L338" i="6"/>
  <c r="L329" i="6"/>
  <c r="L328" i="6"/>
  <c r="L323" i="6"/>
  <c r="L325" i="6"/>
  <c r="L322" i="6"/>
  <c r="L321" i="6"/>
  <c r="L309" i="6"/>
  <c r="L335" i="6"/>
  <c r="L333" i="6"/>
  <c r="L305" i="6"/>
  <c r="L310" i="6"/>
  <c r="L327" i="6"/>
  <c r="L337" i="6"/>
  <c r="L326" i="6"/>
  <c r="L319" i="6"/>
  <c r="L313" i="6"/>
  <c r="L312" i="6"/>
  <c r="L438" i="6"/>
  <c r="L454" i="6"/>
  <c r="L456" i="6"/>
  <c r="L446" i="6"/>
  <c r="L440" i="6"/>
  <c r="L450" i="6"/>
  <c r="L430" i="6"/>
  <c r="L428" i="6"/>
  <c r="L452" i="6"/>
  <c r="L448" i="6"/>
  <c r="L159" i="6"/>
  <c r="L444" i="6"/>
  <c r="L432" i="6"/>
  <c r="L424" i="6"/>
  <c r="L436" i="6"/>
  <c r="L434" i="6"/>
  <c r="L442" i="6"/>
  <c r="L426" i="6"/>
  <c r="L458" i="6"/>
  <c r="L161" i="6"/>
  <c r="L374" i="6"/>
  <c r="L82" i="6"/>
  <c r="L81" i="6"/>
  <c r="L88" i="6"/>
  <c r="L87" i="6"/>
  <c r="L86" i="6"/>
  <c r="L83" i="6"/>
  <c r="L90" i="6"/>
  <c r="L84" i="6"/>
  <c r="L89" i="6"/>
  <c r="L85" i="6"/>
  <c r="L422" i="6"/>
  <c r="L78" i="6"/>
  <c r="L39" i="6"/>
  <c r="L292" i="6"/>
  <c r="L295" i="6"/>
  <c r="L30" i="6"/>
  <c r="L11" i="6"/>
  <c r="L297" i="6"/>
  <c r="L296" i="6"/>
  <c r="L32" i="6"/>
  <c r="L31" i="6"/>
  <c r="L185" i="6"/>
  <c r="L186" i="6"/>
  <c r="L192" i="6"/>
  <c r="L366" i="6"/>
  <c r="L191" i="6"/>
  <c r="L190" i="6"/>
  <c r="L172" i="6"/>
  <c r="L188" i="6"/>
  <c r="L181" i="6"/>
  <c r="L182" i="6"/>
  <c r="L173" i="6"/>
  <c r="L180" i="6"/>
  <c r="L177" i="6"/>
  <c r="L179" i="6"/>
  <c r="L170" i="6"/>
  <c r="L178" i="6"/>
  <c r="L183" i="6"/>
  <c r="L187" i="6"/>
  <c r="L176" i="6"/>
  <c r="L189" i="6"/>
  <c r="L174" i="6"/>
  <c r="L175" i="6"/>
  <c r="L184" i="6"/>
  <c r="L171" i="6"/>
  <c r="L466" i="6"/>
  <c r="L470" i="6"/>
  <c r="L469" i="6"/>
  <c r="L468" i="6"/>
  <c r="L467" i="6"/>
  <c r="L505" i="6"/>
  <c r="L19" i="6"/>
  <c r="L12" i="6"/>
  <c r="L14" i="6"/>
  <c r="L16" i="6"/>
  <c r="L15" i="6"/>
  <c r="L23" i="6"/>
  <c r="L22" i="6"/>
  <c r="L20" i="6"/>
  <c r="L21" i="6"/>
  <c r="L18" i="6"/>
  <c r="L13" i="6"/>
  <c r="L17" i="6"/>
  <c r="L28" i="6"/>
  <c r="L29" i="6"/>
  <c r="L27" i="6"/>
  <c r="L24" i="6"/>
  <c r="L25" i="6"/>
  <c r="L26" i="6"/>
  <c r="L384" i="6"/>
  <c r="L464" i="6"/>
  <c r="L455" i="6"/>
  <c r="L439" i="6"/>
  <c r="L465" i="6"/>
  <c r="L419" i="6"/>
  <c r="L392" i="6"/>
  <c r="L461" i="6"/>
  <c r="L453" i="6"/>
  <c r="L451" i="6"/>
  <c r="L445" i="6"/>
  <c r="L459" i="6"/>
  <c r="L443" i="6"/>
  <c r="L437" i="6"/>
  <c r="L449" i="6"/>
  <c r="L382" i="6"/>
  <c r="L457" i="6"/>
  <c r="L425" i="6"/>
  <c r="L394" i="6"/>
  <c r="L441" i="6"/>
  <c r="L429" i="6"/>
  <c r="L290" i="6"/>
  <c r="L463" i="6"/>
  <c r="L447" i="6"/>
  <c r="L398" i="6"/>
  <c r="L423" i="6"/>
  <c r="L368" i="6"/>
  <c r="L433" i="6"/>
  <c r="L386" i="6"/>
  <c r="L390" i="6"/>
  <c r="L427" i="6"/>
  <c r="L435" i="6"/>
  <c r="L388" i="6"/>
  <c r="L421" i="6"/>
  <c r="L372" i="6"/>
  <c r="L370" i="6"/>
  <c r="L294" i="6"/>
  <c r="L293" i="6"/>
  <c r="L380" i="6"/>
  <c r="L299" i="6"/>
  <c r="L291" i="6"/>
  <c r="L298" i="6"/>
  <c r="L402" i="6"/>
  <c r="L396" i="6"/>
  <c r="L431" i="6"/>
  <c r="L400" i="6"/>
  <c r="L378" i="6"/>
  <c r="L364" i="6"/>
  <c r="L376" i="6"/>
  <c r="L2" i="6"/>
  <c r="L10" i="6"/>
  <c r="L38" i="6"/>
  <c r="L512" i="6"/>
  <c r="L518" i="6"/>
  <c r="L504" i="6"/>
  <c r="L514" i="6"/>
  <c r="L499" i="6"/>
  <c r="L535" i="6"/>
  <c r="L507" i="6"/>
  <c r="L520" i="6"/>
  <c r="L501" i="6"/>
  <c r="L534" i="6"/>
  <c r="L493" i="6"/>
  <c r="L516" i="6"/>
  <c r="L506" i="6"/>
  <c r="L533" i="6"/>
  <c r="L522" i="6"/>
  <c r="L497" i="6"/>
  <c r="L515" i="6"/>
  <c r="L510" i="6"/>
  <c r="L508" i="6"/>
  <c r="L523" i="6"/>
  <c r="L495" i="6"/>
  <c r="L408" i="6"/>
  <c r="L409" i="6"/>
  <c r="L418" i="6"/>
  <c r="L342" i="6"/>
  <c r="L344" i="6"/>
  <c r="L343" i="6"/>
  <c r="L75" i="6"/>
  <c r="L68" i="6"/>
  <c r="L72" i="6"/>
  <c r="L69" i="6"/>
  <c r="L73" i="6"/>
  <c r="L417" i="6"/>
  <c r="L93" i="6"/>
  <c r="L487" i="6"/>
  <c r="L532" i="6"/>
  <c r="L502" i="6"/>
  <c r="L511" i="6"/>
  <c r="L509" i="6"/>
  <c r="L519" i="6"/>
  <c r="L517" i="6"/>
  <c r="L486" i="6"/>
  <c r="L536" i="6"/>
  <c r="L527" i="6"/>
  <c r="L525" i="6"/>
  <c r="L524" i="6"/>
  <c r="L531" i="6"/>
  <c r="L528" i="6"/>
  <c r="L413" i="6"/>
  <c r="L119" i="6"/>
  <c r="L94" i="6"/>
  <c r="L492" i="6"/>
  <c r="L490" i="6"/>
  <c r="L118" i="6"/>
  <c r="L513" i="6"/>
  <c r="L74" i="6"/>
  <c r="L530" i="6"/>
  <c r="L71" i="6"/>
  <c r="L500" i="6"/>
  <c r="L491" i="6"/>
  <c r="L489" i="6"/>
  <c r="L345" i="6"/>
  <c r="L77" i="6"/>
  <c r="L43" i="6"/>
  <c r="L70" i="6"/>
  <c r="L537" i="6"/>
  <c r="L521" i="6"/>
  <c r="L108" i="6"/>
  <c r="L410" i="6"/>
  <c r="L346" i="6"/>
  <c r="L76" i="6"/>
  <c r="L92" i="6"/>
  <c r="L494" i="6"/>
  <c r="L503" i="6"/>
  <c r="L529" i="6"/>
  <c r="L103" i="6"/>
  <c r="L488" i="6"/>
  <c r="L526" i="6"/>
  <c r="L415" i="6"/>
  <c r="L52" i="6"/>
  <c r="L496" i="6"/>
  <c r="L498" i="6"/>
  <c r="L416" i="6"/>
  <c r="L200" i="6"/>
  <c r="L209" i="6"/>
  <c r="L217" i="6"/>
  <c r="L237" i="6"/>
  <c r="L412" i="6"/>
  <c r="L395" i="6"/>
  <c r="L403" i="6"/>
  <c r="L8" i="6"/>
  <c r="L373" i="6"/>
  <c r="L349" i="6"/>
  <c r="L357" i="6"/>
  <c r="L286" i="6"/>
  <c r="L275" i="6"/>
  <c r="L276" i="6"/>
  <c r="L263" i="6"/>
  <c r="L164" i="6"/>
  <c r="L157" i="6"/>
  <c r="L150" i="6"/>
  <c r="L122" i="6"/>
  <c r="L137" i="6"/>
  <c r="L128" i="6"/>
  <c r="L114" i="6"/>
  <c r="L95" i="6"/>
  <c r="L100" i="6"/>
  <c r="L225" i="6"/>
  <c r="L54" i="6"/>
  <c r="L64" i="6"/>
  <c r="L51" i="6"/>
  <c r="L215" i="6"/>
  <c r="L245" i="6"/>
  <c r="L3" i="6"/>
  <c r="L485" i="6"/>
  <c r="L213" i="6"/>
  <c r="L261" i="6"/>
  <c r="L254" i="6"/>
  <c r="L218" i="6"/>
  <c r="L407" i="6"/>
  <c r="L393" i="6"/>
  <c r="L385" i="6"/>
  <c r="L354" i="6"/>
  <c r="L361" i="6"/>
  <c r="L360" i="6"/>
  <c r="L285" i="6"/>
  <c r="L274" i="6"/>
  <c r="L259" i="6"/>
  <c r="L262" i="6"/>
  <c r="L163" i="6"/>
  <c r="L156" i="6"/>
  <c r="L149" i="6"/>
  <c r="L123" i="6"/>
  <c r="L136" i="6"/>
  <c r="L126" i="6"/>
  <c r="L113" i="6"/>
  <c r="L96" i="6"/>
  <c r="L99" i="6"/>
  <c r="L236" i="6"/>
  <c r="L55" i="6"/>
  <c r="L62" i="6"/>
  <c r="L50" i="6"/>
  <c r="L211" i="6"/>
  <c r="L232" i="6"/>
  <c r="L9" i="6"/>
  <c r="L248" i="6"/>
  <c r="L202" i="6"/>
  <c r="L222" i="6"/>
  <c r="L228" i="6"/>
  <c r="L219" i="6"/>
  <c r="L420" i="6"/>
  <c r="L399" i="6"/>
  <c r="L387" i="6"/>
  <c r="L356" i="6"/>
  <c r="L351" i="6"/>
  <c r="L359" i="6"/>
  <c r="L288" i="6"/>
  <c r="L273" i="6"/>
  <c r="L277" i="6"/>
  <c r="L269" i="6"/>
  <c r="L169" i="6"/>
  <c r="L167" i="6"/>
  <c r="L147" i="6"/>
  <c r="L145" i="6"/>
  <c r="L138" i="6"/>
  <c r="L130" i="6"/>
  <c r="L115" i="6"/>
  <c r="L120" i="6"/>
  <c r="L104" i="6"/>
  <c r="L256" i="6"/>
  <c r="L57" i="6"/>
  <c r="L58" i="6"/>
  <c r="L49" i="6"/>
  <c r="L250" i="6"/>
  <c r="L199" i="6"/>
  <c r="L6" i="6"/>
  <c r="L249" i="6"/>
  <c r="L201" i="6"/>
  <c r="L221" i="6"/>
  <c r="L227" i="6"/>
  <c r="L255" i="6"/>
  <c r="L411" i="6"/>
  <c r="L397" i="6"/>
  <c r="L381" i="6"/>
  <c r="L355" i="6"/>
  <c r="L367" i="6"/>
  <c r="L358" i="6"/>
  <c r="L287" i="6"/>
  <c r="L272" i="6"/>
  <c r="L266" i="6"/>
  <c r="L153" i="6"/>
  <c r="L165" i="6"/>
  <c r="L146" i="6"/>
  <c r="L121" i="6"/>
  <c r="L141" i="6"/>
  <c r="L129" i="6"/>
  <c r="L116" i="6"/>
  <c r="L117" i="6"/>
  <c r="L102" i="6"/>
  <c r="L212" i="6"/>
  <c r="L56" i="6"/>
  <c r="L65" i="6"/>
  <c r="L44" i="6"/>
  <c r="L210" i="6"/>
  <c r="L214" i="6"/>
  <c r="L5" i="6"/>
  <c r="L203" i="6"/>
  <c r="L224" i="6"/>
  <c r="L220" i="6"/>
  <c r="L80" i="6"/>
  <c r="L240" i="6"/>
  <c r="L375" i="6"/>
  <c r="L406" i="6"/>
  <c r="L389" i="6"/>
  <c r="L353" i="6"/>
  <c r="L362" i="6"/>
  <c r="L233" i="6"/>
  <c r="L284" i="6"/>
  <c r="L281" i="6"/>
  <c r="L257" i="6"/>
  <c r="L198" i="6"/>
  <c r="L162" i="6"/>
  <c r="L155" i="6"/>
  <c r="L148" i="6"/>
  <c r="L134" i="6"/>
  <c r="L135" i="6"/>
  <c r="L125" i="6"/>
  <c r="L112" i="6"/>
  <c r="L97" i="6"/>
  <c r="L247" i="6"/>
  <c r="L61" i="6"/>
  <c r="L66" i="6"/>
  <c r="L47" i="6"/>
  <c r="L208" i="6"/>
  <c r="L230" i="6"/>
  <c r="L7" i="6"/>
  <c r="L196" i="6"/>
  <c r="L223" i="6"/>
  <c r="L260" i="6"/>
  <c r="L253" i="6"/>
  <c r="L258" i="6"/>
  <c r="L379" i="6"/>
  <c r="L391" i="6"/>
  <c r="L383" i="6"/>
  <c r="L371" i="6"/>
  <c r="L350" i="6"/>
  <c r="L205" i="6"/>
  <c r="L283" i="6"/>
  <c r="L280" i="6"/>
  <c r="L193" i="6"/>
  <c r="L197" i="6"/>
  <c r="L160" i="6"/>
  <c r="L154" i="6"/>
  <c r="L152" i="6"/>
  <c r="L127" i="6"/>
  <c r="L133" i="6"/>
  <c r="L124" i="6"/>
  <c r="L111" i="6"/>
  <c r="L105" i="6"/>
  <c r="L98" i="6"/>
  <c r="L251" i="6"/>
  <c r="L63" i="6"/>
  <c r="L46" i="6"/>
  <c r="L216" i="6"/>
  <c r="L244" i="6"/>
  <c r="L67" i="6"/>
  <c r="L195" i="6"/>
  <c r="L207" i="6"/>
  <c r="L206" i="6"/>
  <c r="L242" i="6"/>
  <c r="L79" i="6"/>
  <c r="L404" i="6"/>
  <c r="L405" i="6"/>
  <c r="L347" i="6"/>
  <c r="L369" i="6"/>
  <c r="L365" i="6"/>
  <c r="L341" i="6"/>
  <c r="L270" i="6"/>
  <c r="L279" i="6"/>
  <c r="L268" i="6"/>
  <c r="L264" i="6"/>
  <c r="L158" i="6"/>
  <c r="L142" i="6"/>
  <c r="L151" i="6"/>
  <c r="L140" i="6"/>
  <c r="L132" i="6"/>
  <c r="L234" i="6"/>
  <c r="L110" i="6"/>
  <c r="L101" i="6"/>
  <c r="L91" i="6"/>
  <c r="L246" i="6"/>
  <c r="L59" i="6"/>
  <c r="L53" i="6"/>
  <c r="L48" i="6"/>
  <c r="L241" i="6"/>
  <c r="L229" i="6"/>
  <c r="L194" i="6"/>
  <c r="L204" i="6"/>
  <c r="L226" i="6"/>
  <c r="L238" i="6"/>
  <c r="L252" i="6"/>
  <c r="L414" i="6"/>
  <c r="L401" i="6"/>
  <c r="L377" i="6"/>
  <c r="L348" i="6"/>
  <c r="L352" i="6"/>
  <c r="L363" i="6"/>
  <c r="L282" i="6"/>
  <c r="L271" i="6"/>
  <c r="L278" i="6"/>
  <c r="L267" i="6"/>
  <c r="L265" i="6"/>
  <c r="L168" i="6"/>
  <c r="L143" i="6"/>
  <c r="L144" i="6"/>
  <c r="L139" i="6"/>
  <c r="L131" i="6"/>
  <c r="L107" i="6"/>
  <c r="L109" i="6"/>
  <c r="L106" i="6"/>
  <c r="L235" i="6"/>
  <c r="L243" i="6"/>
  <c r="L60" i="6"/>
  <c r="L45" i="6"/>
  <c r="L239" i="6"/>
  <c r="L231" i="6"/>
  <c r="L4" i="6"/>
  <c r="Q98" i="5" l="1"/>
  <c r="P84" i="5"/>
  <c r="Q97" i="5"/>
  <c r="O97" i="5" s="1"/>
  <c r="P98" i="5"/>
  <c r="P159" i="5"/>
  <c r="Q175" i="5"/>
  <c r="O175" i="5" s="1"/>
  <c r="R175" i="5" s="1"/>
  <c r="P50" i="5"/>
  <c r="Q16" i="5"/>
  <c r="P62" i="5"/>
  <c r="P14" i="5"/>
  <c r="Q63" i="5"/>
  <c r="P63" i="5"/>
  <c r="Q49" i="5"/>
  <c r="P13" i="5"/>
  <c r="P28" i="5"/>
  <c r="P6" i="5"/>
  <c r="Q10" i="5"/>
  <c r="P95" i="5"/>
  <c r="P16" i="5"/>
  <c r="P17" i="5"/>
  <c r="Q28" i="5"/>
  <c r="Q95" i="5"/>
  <c r="Q8" i="5"/>
  <c r="Q14" i="5"/>
  <c r="Q159" i="5"/>
  <c r="Q86" i="5"/>
  <c r="O86" i="5" s="1"/>
  <c r="Q166" i="5"/>
  <c r="O166" i="5" s="1"/>
  <c r="R166" i="5" s="1"/>
  <c r="Q85" i="5"/>
  <c r="O85" i="5" s="1"/>
  <c r="Q11" i="5"/>
  <c r="P49" i="5"/>
  <c r="Q50" i="5"/>
  <c r="Q6" i="5"/>
  <c r="P5" i="5"/>
  <c r="P8" i="5"/>
  <c r="P11" i="5"/>
  <c r="Q80" i="5"/>
  <c r="P12" i="5"/>
  <c r="Q17" i="5"/>
  <c r="Q9" i="5"/>
  <c r="P9" i="5"/>
  <c r="Q13" i="5"/>
  <c r="Q12" i="5"/>
  <c r="Q5" i="5"/>
  <c r="P80" i="5"/>
  <c r="Q84" i="5"/>
  <c r="O84" i="5" s="1"/>
  <c r="Q62" i="5"/>
  <c r="P10" i="5"/>
  <c r="Q154" i="5"/>
  <c r="O154" i="5" s="1"/>
  <c r="Q167" i="5"/>
  <c r="O167" i="5" s="1"/>
  <c r="R167" i="5" s="1"/>
  <c r="O98" i="5"/>
  <c r="O159" i="5" l="1"/>
  <c r="O50" i="5"/>
  <c r="O8" i="5"/>
  <c r="O16" i="5"/>
  <c r="O10" i="5"/>
  <c r="O11" i="5"/>
  <c r="O9" i="5"/>
  <c r="O49" i="5"/>
  <c r="O28" i="5"/>
  <c r="O12" i="5"/>
  <c r="O13" i="5"/>
  <c r="O6" i="5"/>
  <c r="O5" i="5"/>
  <c r="O62" i="5"/>
  <c r="O14" i="5"/>
  <c r="O95" i="5"/>
  <c r="O80" i="5"/>
  <c r="O17" i="5"/>
  <c r="O6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tc={58EE496D-A3BB-4531-A164-98C3E8DF978D}</author>
    <author>tc={4CDDE2BC-C69F-4DFF-835E-176421B26624}</author>
  </authors>
  <commentList>
    <comment ref="D9" authorId="0" shapeId="0" xr:uid="{58EE496D-A3BB-4531-A164-98C3E8DF978D}">
      <text>
        <t>[Threaded comment]
Your version of Excel allows you to read this threaded comment; however, any edits to it will get removed if the file is opened in a newer version of Excel. Learn more: https://go.microsoft.com/fwlink/?linkid=870924
Comment:
    See “Target standard” (references) from “GIS-Relationshops” for ideas</t>
      </text>
    </comment>
    <comment ref="D12" authorId="1" shapeId="0" xr:uid="{4CDDE2BC-C69F-4DFF-835E-176421B26624}">
      <text>
        <t>[Threaded comment]
Your version of Excel allows you to read this threaded comment; however, any edits to it will get removed if the file is opened in a newer version of Excel. Learn more: https://go.microsoft.com/fwlink/?linkid=870924
Comment:
    Can we use abstract for generating keywords/subdomains that can be used for grouping/themes etc. See some red keywords as examples.
Reply:
    Iryna has done some work in file: Standards by ISO TC 211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tc={C0FDDE41-FDA9-4CB9-BAAD-3D352FDA38EB}</author>
    <author>tc={40B8AEFE-7E79-4ADA-962C-2C66B3C93C77}</author>
    <author>tc={08283FCC-0A5F-4485-B729-09A05EDF71A4}</author>
    <author>tc={D0723153-A725-4723-BE72-F25B5FDA21C6}</author>
    <author>tc={C29D8465-C733-4E1B-8F0C-6CA5C9863B33}</author>
    <author>tc={BEA7CC68-5B4B-4DC8-97EF-E731E26501D8}</author>
    <author>tc={8CC69ED2-EB69-4100-9FF0-BC82FF6941D6}</author>
    <author>tc={2EE5E2C5-27DB-47B5-9F33-95DD70338714}</author>
    <author>tc={650A215C-3E6A-4727-B419-295A06C553C6}</author>
    <author>tc={29D2B409-A200-460D-8605-0C43AE4C1250}</author>
    <author>tc={2BDD7392-DA73-432A-8D24-C259DB85C44F}</author>
    <author>tc={34C80239-2FC3-4390-95C8-A4B3F13DFD75}</author>
    <author>tc={923C6732-1018-43DD-9D88-F191DDD56ABA}</author>
    <author>tc={11440109-F748-4BE5-8FF4-561E2548D4AF}</author>
    <author>tc={689F3DBF-F3DC-4C28-B942-83A1955B148B}</author>
    <author>tc={A493E175-A1C5-49BF-A899-16DF5DFE316B}</author>
    <author>tc={92FC2781-C72F-42BD-89B5-0A1569FEEC37}</author>
    <author>tc={C46B2ED3-7235-481C-A90D-D57E40791234}</author>
  </authors>
  <commentList>
    <comment ref="D1" authorId="0" shapeId="0" xr:uid="{C0FDDE41-FDA9-4CB9-BAAD-3D352FDA38EB}">
      <text>
        <t>[Threaded comment]
Your version of Excel allows you to read this threaded comment; however, any edits to it will get removed if the file is opened in a newer version of Excel. Learn more: https://go.microsoft.com/fwlink/?linkid=870924
Comment:
    Can we use abstract for generating keywords/subdomains that can be used for grouping/themes etc. See some red keywords as examples.</t>
      </text>
    </comment>
    <comment ref="G1" authorId="1" shapeId="0" xr:uid="{40B8AEFE-7E79-4ADA-962C-2C66B3C93C77}">
      <text>
        <t>[Threaded comment]
Your version of Excel allows you to read this threaded comment; however, any edits to it will get removed if the file is opened in a newer version of Excel. Learn more: https://go.microsoft.com/fwlink/?linkid=870924
Comment:
    If “CEN” , “EN” available then: “Technical specification” page.
If “ISO” only, then title page “First edition” or ISO.org “Publication date” (should indicate the same month/year)</t>
      </text>
    </comment>
    <comment ref="H1" authorId="2" shapeId="0" xr:uid="{08283FCC-0A5F-4485-B729-09A05EDF71A4}">
      <text>
        <t xml:space="preserve">[Threaded comment]
Your version of Excel allows you to read this threaded comment; however, any edits to it will get removed if the file is opened in a newer version of Excel. Learn more: https://go.microsoft.com/fwlink/?linkid=870924
Comment:
    If “CEN” , “EN” available then: “Technical specification” page.
If “ISO” only, then title page “First edition” or ISO.org “Publication date” (should indicate the same month/year)
</t>
      </text>
    </comment>
    <comment ref="I1" authorId="3" shapeId="0" xr:uid="{D0723153-A725-4723-BE72-F25B5FDA21C6}">
      <text>
        <t>[Threaded comment]
Your version of Excel allows you to read this threaded comment; however, any edits to it will get removed if the file is opened in a newer version of Excel. Learn more: https://go.microsoft.com/fwlink/?linkid=870924
Comment:
    If “Corrigendum” is available for major release. Indicates the latest if multiple exists.</t>
      </text>
    </comment>
    <comment ref="J1" authorId="4" shapeId="0" xr:uid="{C29D8465-C733-4E1B-8F0C-6CA5C9863B33}">
      <text>
        <t>[Threaded comment]
Your version of Excel allows you to read this threaded comment; however, any edits to it will get removed if the file is opened in a newer version of Excel. Learn more: https://go.microsoft.com/fwlink/?linkid=870924
Comment:
    Included ICS classifier</t>
      </text>
    </comment>
    <comment ref="K1" authorId="5" shapeId="0" xr:uid="{BEA7CC68-5B4B-4DC8-97EF-E731E26501D8}">
      <text>
        <t>[Threaded comment]
Your version of Excel allows you to read this threaded comment; however, any edits to it will get removed if the file is opened in a newer version of Excel. Learn more: https://go.microsoft.com/fwlink/?linkid=870924
Comment:
    This could be some keyword-based or domain based “Type”?</t>
      </text>
    </comment>
    <comment ref="P1" authorId="6" shapeId="0" xr:uid="{8CC69ED2-EB69-4100-9FF0-BC82FF6941D6}">
      <text>
        <t>[Threaded comment]
Your version of Excel allows you to read this threaded comment; however, any edits to it will get removed if the file is opened in a newer version of Excel. Learn more: https://go.microsoft.com/fwlink/?linkid=870924
Comment:
    Not yet calculated!</t>
      </text>
    </comment>
    <comment ref="Q1" authorId="7" shapeId="0" xr:uid="{2EE5E2C5-27DB-47B5-9F33-95DD70338714}">
      <text>
        <t xml:space="preserve">[Threaded comment]
Your version of Excel allows you to read this threaded comment; however, any edits to it will get removed if the file is opened in a newer version of Excel. Learn more: https://go.microsoft.com/fwlink/?linkid=870924
Comment:
    Not yet calculated!
</t>
      </text>
    </comment>
    <comment ref="R1" authorId="8" shapeId="0" xr:uid="{650A215C-3E6A-4727-B419-295A06C553C6}">
      <text>
        <t xml:space="preserve">[Threaded comment]
Your version of Excel allows you to read this threaded comment; however, any edits to it will get removed if the file is opened in a newer version of Excel. Learn more: https://go.microsoft.com/fwlink/?linkid=870924
Comment:
    Not yet calculated!
</t>
      </text>
    </comment>
    <comment ref="S1" authorId="9" shapeId="0" xr:uid="{29D2B409-A200-460D-8605-0C43AE4C1250}">
      <text>
        <t xml:space="preserve">[Threaded comment]
Your version of Excel allows you to read this threaded comment; however, any edits to it will get removed if the file is opened in a newer version of Excel. Learn more: https://go.microsoft.com/fwlink/?linkid=870924
Comment:
    Not yet calculated!
</t>
      </text>
    </comment>
    <comment ref="T1" authorId="10" shapeId="0" xr:uid="{2BDD7392-DA73-432A-8D24-C259DB85C44F}">
      <text>
        <t xml:space="preserve">[Threaded comment]
Your version of Excel allows you to read this threaded comment; however, any edits to it will get removed if the file is opened in a newer version of Excel. Learn more: https://go.microsoft.com/fwlink/?linkid=870924
Comment:
    Not yet calculated!
</t>
      </text>
    </comment>
    <comment ref="B7" authorId="11" shapeId="0" xr:uid="{34C80239-2FC3-4390-95C8-A4B3F13DFD75}">
      <text>
        <t>[Threaded comment]
Your version of Excel allows you to read this threaded comment; however, any edits to it will get removed if the file is opened in a newer version of Excel. Learn more: https://go.microsoft.com/fwlink/?linkid=870924
Comment:
    Also in BIM landscape</t>
      </text>
    </comment>
    <comment ref="B9" authorId="12" shapeId="0" xr:uid="{923C6732-1018-43DD-9D88-F191DDD56ABA}">
      <text>
        <t>[Threaded comment]
Your version of Excel allows you to read this threaded comment; however, any edits to it will get removed if the file is opened in a newer version of Excel. Learn more: https://go.microsoft.com/fwlink/?linkid=870924
Comment:
    Also in BIM landscape</t>
      </text>
    </comment>
    <comment ref="I18" authorId="13" shapeId="0" xr:uid="{11440109-F748-4BE5-8FF4-561E2548D4AF}">
      <text>
        <t>[Threaded comment]
Your version of Excel allows you to read this threaded comment; however, any edits to it will get removed if the file is opened in a newer version of Excel. Learn more: https://go.microsoft.com/fwlink/?linkid=870924
Comment:
    AC</t>
      </text>
    </comment>
    <comment ref="H21" authorId="14" shapeId="0" xr:uid="{689F3DBF-F3DC-4C28-B942-83A1955B148B}">
      <text>
        <t>[Threaded comment]
Your version of Excel allows you to read this threaded comment; however, any edits to it will get removed if the file is opened in a newer version of Excel. Learn more: https://go.microsoft.com/fwlink/?linkid=870924
Comment:
    AC</t>
      </text>
    </comment>
    <comment ref="I21" authorId="15" shapeId="0" xr:uid="{A493E175-A1C5-49BF-A899-16DF5DFE316B}">
      <text>
        <t>[Threaded comment]
Your version of Excel allows you to read this threaded comment; however, any edits to it will get removed if the file is opened in a newer version of Excel. Learn more: https://go.microsoft.com/fwlink/?linkid=870924
Comment:
    AC</t>
      </text>
    </comment>
    <comment ref="B90" authorId="16" shapeId="0" xr:uid="{92FC2781-C72F-42BD-89B5-0A1569FEEC37}">
      <text>
        <t>[Threaded comment]
Your version of Excel allows you to read this threaded comment; however, any edits to it will get removed if the file is opened in a newer version of Excel. Learn more: https://go.microsoft.com/fwlink/?linkid=870924
Comment:
    Will be replaced by: https://www.iso.org/standard/89014.html</t>
      </text>
    </comment>
    <comment ref="B95" authorId="17" shapeId="0" xr:uid="{C46B2ED3-7235-481C-A90D-D57E40791234}">
      <text>
        <t xml:space="preserve">[Threaded comment]
Your version of Excel allows you to read this threaded comment; however, any edits to it will get removed if the file is opened in a newer version of Excel. Learn more: https://go.microsoft.com/fwlink/?linkid=870924
Comment:
    Nuclear? BIM included.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tc={1D239AEA-518D-422F-BC64-7501518092C3}</author>
    <author>tc={CACE98CF-1F48-4BF5-A15F-612B89EB9993}</author>
    <author>tc={927DA893-BE12-48BA-AC1D-6911D5E61DDC}</author>
    <author>tc={6E112D52-E4E2-4513-8F98-076F9CE55436}</author>
    <author>tc={1398061B-5D35-45DB-A601-772E92E4F20A}</author>
    <author>tc={1E46154F-AFBF-4C29-A123-9C9BF23EEF8E}</author>
    <author>tc={51B8CD19-5B76-42C0-8B97-A7E3DD552328}</author>
    <author>tc={FB33AFAD-4F8C-4327-91A8-827ED36F077A}</author>
    <author>tc={9D676063-25D7-4AEF-88F9-CF387178B498}</author>
    <author>tc={44212717-92E9-4CFD-94B8-87F7262A22AD}</author>
    <author>tc={61B30A24-ED0C-467E-807D-817A68DB6C58}</author>
    <author>tc={EEBD4395-94A5-4F84-B0DB-4563251FB753}</author>
    <author>tc={497FEBDD-168B-48F1-AD92-15CA4CACD4C4}</author>
    <author>tc={3674D6E9-087D-4EC2-BE64-A5DBBAFD0365}</author>
    <author>tc={967A9341-220E-4D83-A75C-2BB1D894698B}</author>
    <author>tc={1FAB1548-818E-4566-8732-F7AFD2421E5C}</author>
    <author>tc={FA941BBF-17C8-43EF-BDAC-EEF5C8F879C0}</author>
    <author>tc={09C389F8-8A19-47F6-BC56-389EE7803A82}</author>
    <author>tc={A8343DFB-C1D5-4EAA-9783-7687CC69F0B8}</author>
    <author>tc={6E8917C8-66DA-4517-A7D7-C6F0729B4929}</author>
    <author>tc={6D99340A-63BB-47C8-886C-181E3371AFC7}</author>
    <author>tc={B149A6B4-DE94-4AB8-8AC5-459E95D11A6F}</author>
  </authors>
  <commentList>
    <comment ref="D1" authorId="0" shapeId="0" xr:uid="{1D239AEA-518D-422F-BC64-7501518092C3}">
      <text>
        <t>[Threaded comment]
Your version of Excel allows you to read this threaded comment; however, any edits to it will get removed if the file is opened in a newer version of Excel. Learn more: https://go.microsoft.com/fwlink/?linkid=870924
Comment:
    New standard</t>
      </text>
    </comment>
    <comment ref="D36" authorId="1" shapeId="0" xr:uid="{CACE98CF-1F48-4BF5-A15F-612B89EB9993}">
      <text>
        <t>[Threaded comment]
Your version of Excel allows you to read this threaded comment; however, any edits to it will get removed if the file is opened in a newer version of Excel. Learn more: https://go.microsoft.com/fwlink/?linkid=870924
Comment:
    Original: 19101</t>
      </text>
    </comment>
    <comment ref="D381" authorId="2" shapeId="0" xr:uid="{927DA893-BE12-48BA-AC1D-6911D5E61DDC}">
      <text>
        <t>[Threaded comment]
Your version of Excel allows you to read this threaded comment; however, any edits to it will get removed if the file is opened in a newer version of Excel. Learn more: https://go.microsoft.com/fwlink/?linkid=870924
Comment:
    Original: 19101</t>
      </text>
    </comment>
    <comment ref="D396" authorId="3" shapeId="0" xr:uid="{6E112D52-E4E2-4513-8F98-076F9CE55436}">
      <text>
        <t>[Threaded comment]
Your version of Excel allows you to read this threaded comment; however, any edits to it will get removed if the file is opened in a newer version of Excel. Learn more: https://go.microsoft.com/fwlink/?linkid=870924
Comment:
    Simply part of “Part 1”</t>
      </text>
    </comment>
    <comment ref="D498" authorId="4" shapeId="0" xr:uid="{1398061B-5D35-45DB-A601-772E92E4F20A}">
      <text>
        <t>[Threaded comment]
Your version of Excel allows you to read this threaded comment; however, any edits to it will get removed if the file is opened in a newer version of Excel. Learn more: https://go.microsoft.com/fwlink/?linkid=870924
Comment:
    Single standard instead of multiple from 11.2023</t>
      </text>
    </comment>
    <comment ref="D535" authorId="5" shapeId="0" xr:uid="{1E46154F-AFBF-4C29-A123-9C9BF23EEF8E}">
      <text>
        <t>[Threaded comment]
Your version of Excel allows you to read this threaded comment; however, any edits to it will get removed if the file is opened in a newer version of Excel. Learn more: https://go.microsoft.com/fwlink/?linkid=870924
Comment:
    Original: 19101</t>
      </text>
    </comment>
    <comment ref="D614" authorId="6" shapeId="0" xr:uid="{51B8CD19-5B76-42C0-8B97-A7E3DD552328}">
      <text>
        <t>[Threaded comment]
Your version of Excel allows you to read this threaded comment; however, any edits to it will get removed if the file is opened in a newer version of Excel. Learn more: https://go.microsoft.com/fwlink/?linkid=870924
Comment:
    Original: 19101</t>
      </text>
    </comment>
    <comment ref="D647" authorId="7" shapeId="0" xr:uid="{FB33AFAD-4F8C-4327-91A8-827ED36F077A}">
      <text>
        <t>[Threaded comment]
Your version of Excel allows you to read this threaded comment; however, any edits to it will get removed if the file is opened in a newer version of Excel. Learn more: https://go.microsoft.com/fwlink/?linkid=870924
Comment:
    Original: 19101</t>
      </text>
    </comment>
    <comment ref="D808" authorId="8" shapeId="0" xr:uid="{9D676063-25D7-4AEF-88F9-CF387178B498}">
      <text>
        <t>[Threaded comment]
Your version of Excel allows you to read this threaded comment; however, any edits to it will get removed if the file is opened in a newer version of Excel. Learn more: https://go.microsoft.com/fwlink/?linkid=870924
Comment:
    Original: 19101</t>
      </text>
    </comment>
    <comment ref="D923" authorId="9" shapeId="0" xr:uid="{44212717-92E9-4CFD-94B8-87F7262A22AD}">
      <text>
        <t>[Threaded comment]
Your version of Excel allows you to read this threaded comment; however, any edits to it will get removed if the file is opened in a newer version of Excel. Learn more: https://go.microsoft.com/fwlink/?linkid=870924
Comment:
    Original: 19101</t>
      </text>
    </comment>
    <comment ref="D959" authorId="10" shapeId="0" xr:uid="{61B30A24-ED0C-467E-807D-817A68DB6C58}">
      <text>
        <t>[Threaded comment]
Your version of Excel allows you to read this threaded comment; however, any edits to it will get removed if the file is opened in a newer version of Excel. Learn more: https://go.microsoft.com/fwlink/?linkid=870924
Comment:
    Original: 19101</t>
      </text>
    </comment>
    <comment ref="D971" authorId="11" shapeId="0" xr:uid="{EEBD4395-94A5-4F84-B0DB-4563251FB753}">
      <text>
        <t>[Threaded comment]
Your version of Excel allows you to read this threaded comment; however, any edits to it will get removed if the file is opened in a newer version of Excel. Learn more: https://go.microsoft.com/fwlink/?linkid=870924
Comment:
    Original: 19101</t>
      </text>
    </comment>
    <comment ref="D980" authorId="12" shapeId="0" xr:uid="{497FEBDD-168B-48F1-AD92-15CA4CACD4C4}">
      <text>
        <t>[Threaded comment]
Your version of Excel allows you to read this threaded comment; however, any edits to it will get removed if the file is opened in a newer version of Excel. Learn more: https://go.microsoft.com/fwlink/?linkid=870924
Comment:
    Simply part of “Part 1”</t>
      </text>
    </comment>
    <comment ref="D997" authorId="13" shapeId="0" xr:uid="{3674D6E9-087D-4EC2-BE64-A5DBBAFD0365}">
      <text>
        <t>[Threaded comment]
Your version of Excel allows you to read this threaded comment; however, any edits to it will get removed if the file is opened in a newer version of Excel. Learn more: https://go.microsoft.com/fwlink/?linkid=870924
Comment:
    Original: 19101</t>
      </text>
    </comment>
    <comment ref="D1062" authorId="14" shapeId="0" xr:uid="{967A9341-220E-4D83-A75C-2BB1D894698B}">
      <text>
        <t>[Threaded comment]
Your version of Excel allows you to read this threaded comment; however, any edits to it will get removed if the file is opened in a newer version of Excel. Learn more: https://go.microsoft.com/fwlink/?linkid=870924
Comment:
    Original: 19101</t>
      </text>
    </comment>
    <comment ref="D1082" authorId="15" shapeId="0" xr:uid="{1FAB1548-818E-4566-8732-F7AFD2421E5C}">
      <text>
        <t>[Threaded comment]
Your version of Excel allows you to read this threaded comment; however, any edits to it will get removed if the file is opened in a newer version of Excel. Learn more: https://go.microsoft.com/fwlink/?linkid=870924
Comment:
    Original: 19101</t>
      </text>
    </comment>
    <comment ref="D1108" authorId="16" shapeId="0" xr:uid="{FA941BBF-17C8-43EF-BDAC-EEF5C8F879C0}">
      <text>
        <t>[Threaded comment]
Your version of Excel allows you to read this threaded comment; however, any edits to it will get removed if the file is opened in a newer version of Excel. Learn more: https://go.microsoft.com/fwlink/?linkid=870924
Comment:
    Original: 19101</t>
      </text>
    </comment>
    <comment ref="D1127" authorId="17" shapeId="0" xr:uid="{09C389F8-8A19-47F6-BC56-389EE7803A82}">
      <text>
        <t>[Threaded comment]
Your version of Excel allows you to read this threaded comment; however, any edits to it will get removed if the file is opened in a newer version of Excel. Learn more: https://go.microsoft.com/fwlink/?linkid=870924
Comment:
    Original: 19101</t>
      </text>
    </comment>
    <comment ref="D1159" authorId="18" shapeId="0" xr:uid="{A8343DFB-C1D5-4EAA-9783-7687CC69F0B8}">
      <text>
        <t>[Threaded comment]
Your version of Excel allows you to read this threaded comment; however, any edits to it will get removed if the file is opened in a newer version of Excel. Learn more: https://go.microsoft.com/fwlink/?linkid=870924
Comment:
    Original: 19101</t>
      </text>
    </comment>
    <comment ref="D1945" authorId="19" shapeId="0" xr:uid="{6E8917C8-66DA-4517-A7D7-C6F0729B4929}">
      <text>
        <t>[Threaded comment]
Your version of Excel allows you to read this threaded comment; however, any edits to it will get removed if the file is opened in a newer version of Excel. Learn more: https://go.microsoft.com/fwlink/?linkid=870924
Comment:
    Original: 19101</t>
      </text>
    </comment>
    <comment ref="D2268" authorId="20" shapeId="0" xr:uid="{6D99340A-63BB-47C8-886C-181E3371AFC7}">
      <text>
        <t>[Threaded comment]
Your version of Excel allows you to read this threaded comment; however, any edits to it will get removed if the file is opened in a newer version of Excel. Learn more: https://go.microsoft.com/fwlink/?linkid=870924
Comment:
    Original: 19101</t>
      </text>
    </comment>
    <comment ref="C2473" authorId="21" shapeId="0" xr:uid="{B149A6B4-DE94-4AB8-8AC5-459E95D11A6F}">
      <text>
        <t>[Threaded comment]
Your version of Excel allows you to read this threaded comment; however, any edits to it will get removed if the file is opened in a newer version of Excel. Learn more: https://go.microsoft.com/fwlink/?linkid=870924
Comment:
    https://isprs-annals.copernicus.org/articles/IV-2-W1/3/2016/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5" authorId="0" shapeId="0" xr:uid="{B16AEA5C-62E2-44BE-9590-40C2929B4F3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link is for DIN CEN/TR 17439
</t>
        </r>
      </text>
    </comment>
  </commentList>
</comments>
</file>

<file path=xl/sharedStrings.xml><?xml version="1.0" encoding="utf-8"?>
<sst xmlns="http://schemas.openxmlformats.org/spreadsheetml/2006/main" count="19732" uniqueCount="2128">
  <si>
    <t>ID</t>
  </si>
  <si>
    <t>Standard Number</t>
  </si>
  <si>
    <t>Title</t>
  </si>
  <si>
    <t>Abstract</t>
  </si>
  <si>
    <t>Web Links</t>
  </si>
  <si>
    <t>First Year</t>
  </si>
  <si>
    <t>Current Year</t>
  </si>
  <si>
    <t>Type</t>
  </si>
  <si>
    <t>Is CEN?</t>
  </si>
  <si>
    <t>CEN Committee</t>
  </si>
  <si>
    <t>Is ISO?</t>
  </si>
  <si>
    <t>ISO Committee</t>
  </si>
  <si>
    <t>Is BSI (UK)?</t>
  </si>
  <si>
    <t>Colour_Type_calculation</t>
  </si>
  <si>
    <t>Degree Centrality</t>
  </si>
  <si>
    <t>In-Degree Centrality</t>
  </si>
  <si>
    <t>Out-Degree Centrality</t>
  </si>
  <si>
    <t>Eigencentrality</t>
  </si>
  <si>
    <t>W3C-OWL2-SPEC</t>
  </si>
  <si>
    <t>ICT</t>
  </si>
  <si>
    <t>W3C-RDF11-CONCEPTS</t>
  </si>
  <si>
    <t>W3C-XML-DATATYPES</t>
  </si>
  <si>
    <t>CEN/TR 17439</t>
  </si>
  <si>
    <t>Guidance on how to implement EN ISO 19650-1 and -2 in Europe</t>
  </si>
  <si>
    <t>The scope of this guidance is deliberately restricted only to refer to EN ISO 19650-1 and -2, highlighting and describing the manner in which to use it -and not extending or contradicting the scope and content of the standard The document aims simply to provide minimum supporting text to achieve a basic understanding and ability to implement EN ISO 19650-1 and -2. In each country, each client, each team can use this guidance to provide the best response to information management in each project. This document explains the terms and definitions, explains the concepts and principles and how to use them, and gives typical examples with clear explanations. It should be noted that in this guidance, Information Management is considered as a part of the Project Management. This guidance is intended to demonstrate how the standard works at European level, which is neutral, agnostic, and applicable to any of the following circumstances: - the nature of contracts: e. g. public; private, alliances, global, partnership, - the actors' functions: e. g. through the programming, design, construction phases, from small agencies, SMEs to large firms, large companies, - the types of works: e. g. simple, complex, new, rehabilitated, housing, infrastructure.</t>
  </si>
  <si>
    <t>https://www.en-standard.eu/din-cen-tr-17439-guidance-on-how-to-implement-en-iso-19650-1-and-2-in-europe/</t>
  </si>
  <si>
    <t>BIM</t>
  </si>
  <si>
    <t>Yes</t>
  </si>
  <si>
    <t>CEN/TC 442</t>
  </si>
  <si>
    <t>No</t>
  </si>
  <si>
    <t>CEN/TR 17654</t>
  </si>
  <si>
    <t>Guideline for the implementation of BIM Execution Plans (BEP) and Exchange Information Requirements (EIR) on European level based on EN ISO 19650-1 and -2</t>
  </si>
  <si>
    <t>https://www.en-standard.eu/une-cen-tr-17654-2021-guideline-for-the-implementation-of-exchange-information-requirements-eir-and-bim-execution-plans-bep-on-european-level-based-on-en-iso-19650-1-and-2-endorsed-by-asociacion-espa-ola-de-normalizacion-in-february-of-2023/</t>
  </si>
  <si>
    <t>IEC 82045-1</t>
  </si>
  <si>
    <t>Document management — Part 1: Principles and methods</t>
  </si>
  <si>
    <t>CEN/TR 17741</t>
  </si>
  <si>
    <t>Guidance for understanding and utilize EN/ISO 29481-1 Building information models - Information delivery manual - Part 1: Methodology and format</t>
  </si>
  <si>
    <t>https://www.en-standard.eu/une-cen-tr-17741-2021-guidance-for-understanding-and-utilize-en-iso-29481-1-building-information-models-information-delivery-manual-part-1-methodology-and-format-endorsed-by-asociacion-espa-ola-de-normalizacion-in-february-of-2022/</t>
  </si>
  <si>
    <t>CEN/TR 17920</t>
  </si>
  <si>
    <t xml:space="preserve">BIM in infrastructure - Standardization need and recommendations </t>
  </si>
  <si>
    <t>The scope of this document is as per the scope of CEN/TC 442/WG 6, that is: - Identify key stakeholders. - Investigate existing activities within standardization for BIM in infrastructure (3.1). - Formulate the need for standardization related to the implementation of BIM for infrastructure (3.1) in Europe, not covered by existing standards and ongoing standards development. - Make recommendation on whether standards are to be developed and if so, how this can be done. For the purpose of this document, the term 'BIM standards' is a loose reference to standards available for the use of BIM, including those under the responsibility of CEN/TC 442, ISO/TC 211 and ISO/TC 59. It is not a defined term.</t>
  </si>
  <si>
    <t>https://www.en-standard.eu/pd-cen-tr-17920-2023-bim-in-infrastructure-standardization-need-and-recommendations/</t>
  </si>
  <si>
    <t>CEN/TR 18077</t>
  </si>
  <si>
    <t>Building information modelling — Digital twins applied to the built environment — Use cases</t>
  </si>
  <si>
    <t xml:space="preserve">This document collates case studies of digital twins applied to the built environment, including infrastructures, in Europe. These case studies have been obtained from CEN experts and related EU research projects. This document identifies common characteristics to support further standardization work. </t>
  </si>
  <si>
    <t xml:space="preserve">https://standards.cencenelec.eu/dyn/www/f?p=CEN:110:0::::FSP_PROJECT,FSP_ORG_ID:77702,1991542&amp;cs=17F136AFC5DA4EF3744EE6C2F50A2FC9D </t>
  </si>
  <si>
    <t>EN 17412-1</t>
  </si>
  <si>
    <t>EN 17549-2</t>
  </si>
  <si>
    <t>BIM - Information structure based on EN ISO 16739 1 to exchange data templates and data sheets for construction objects Part 2. Configurable construction objects and requirements</t>
  </si>
  <si>
    <t xml:space="preserve">The digital transformation of the construction industry includes also the digital transformation of the supply chaine of construction products. With EN ISO 16739-1 exists an open language to design, transfer and maintain construction models. The construction models (e.g. of a building) contain a digital twin of real-life products. The data of these products should be transported in a digital format on the way from the factory to the building owner. This product data should be expressed also in an easy and open way. The creators of product data files should be able to do this manually or automatically, as they like it. The users of product data should be able to use it to: • Express their requirements related to products • Describe configurable products • Import product data easily in the BIM models at any stage of the project (design, construction, operation) • Export product data easily from the BIM models at any stage of the project (design, construction, operation) These scenarios fit in the business models of manufacturers, planners, construction companies and facility managers. The working group 4 of CEN-TC442 has published proposals for creating new work items in the sector of CEN regarding the storage and the transport of product data in the sector of building information modelling (BIM): EN ISO 16739-1:2018: Industry Foundation Classes (IFC) for data sharing in the construction and facility management industries- Part 1: Data schema EN ISO 12006-3: Building construction – Organization of information about construction works – Part 3: Framework for object-oriented information prEN ISO 23386: Building information modelling and other digital processes used in Construction – Methodology to describe, author and maintain properties in interconnected dictionaries prEN ISO 23387: Data templates for construction works entities, Part 1: Objects, collections, and relationships defining the general structure of data templates This standard defines a format to negotiate product data templates, express requirements and describe configurable products and therefore fills the missing link between the product data sources (e.g. catalogs) from the manufacturers and the BIM models of the designers, builders, and owners. </t>
  </si>
  <si>
    <t>https://www.en-standard.eu/bs-en-17549-2-2023-building-information-modelling-information-structure-based-on-en-iso-16739-1-to-exchange-data-templates-and-data-sheets-for-construction-objects-configurable-construction-objects-and-requirements/</t>
  </si>
  <si>
    <t>EN 17632-1</t>
  </si>
  <si>
    <t>BIM - Semantic Modelling and Linking (SML)</t>
  </si>
  <si>
    <t>This document specifies the detailed process and criteria for decision makings when executing an information exchange as specified by the ISO 19650 series to ensure the quality of the resulting project information model or asset information model. It details the implementation of the concepts in ISO 19650-1 and is applicable to any information exchange within the delivery stages covered by ISO 19650-2 and operational trigger events covered by ISO 19650-3. This document is applicable to assets of all sizes and all levels of complexity. This includes portfolios of buildings, campuses, infrastructure networks, individual buildings and pieces of infrastructure. The requirements in this document should be applied in a way that is appropriate to the scale and complexity of the asset. This document makes use of the phrase “shall consider”. This phrase is used to introduce a list of items that the person in question is required to think about carefully in connection with the primary requirement described in the subclause. The amount of thought involved, the time taken to complete it, and the need for supporting evidence depend on the complexity of the asset, the experience of the person(s) involved, and the requirements of any national policy on introducing building information modelling. On a relatively small or straightforward asset, it can be possible to complete, or dismiss as not relevant, some of these “shall consider” items very quickly. One way to help identify which of the “shall consider” statements are relevant can be to review each statement and create templates for assets of different sizes and complexity.</t>
  </si>
  <si>
    <t>https://www.en-standard.eu/din-en-17632-semantischer-modellierungs-und-verknupfungsstandard-smls-fur-die-datenintegration-in-der-gebauten-umwelt-deutsche-und-englische-fassung-pren-17632-2021/</t>
  </si>
  <si>
    <t>EN 17632-2</t>
  </si>
  <si>
    <t>Building information modelling (BIM) —
Semantic modelling and linking (SML)</t>
  </si>
  <si>
    <t>This document addresses syntactic and semantic interoperability for information describing assets going through their life cycle in the built environment. It assumes the underlying technical interoperability provided already by the Internet/World Wide Web (WWW) technology-stack. The syntactic aspects relate to the Linked Data (LD)/Semantic Web (SW) formats and the SPARQL direct access method provided. The semantic aspects relate to the LD/SW-based information models in the form of thesauri and ontologies giving meaning to the information. The following information architecture (Figure 1) applies. This document specifies: - a conceptual "L1: Information language" with four RDF-based language bindings being SKOS, RDFS, OWL and SHACL, including: - a choice of 'linked data'/RDF-based formats (to be used for all modelling and language levels); and - a generic Top Level Information Model of a total "M1: Information model", here "an upper ontology", including: - a set of generic information modelling patterns for identification, annotation, enumeration datatypes, complex quality/quantity modelling, decomposition and grouping. This modelling approach for information models and information sets is relevant within the built environment from multiple perspectives such as: - Building information modelling (BIM); - Geographical information systems (GIS); - Systems engineering (SE); - Monitoring &amp; control (M&amp;C); and - Electronic document management (EDM). Annex E discusses in an informative way how the information models and sets relevant for these different worlds can be linked together using LD/SW technology. This document does not specify a full meta-'information model', sometimes referred to as a 'Knowledge Model (KM)'. EN ISO 12006-3 provides such an often used model for the built environment. In Annex D, Subclause D.3 it is shown how this existing model can be made compliant to this document. The only direct support for this meta level comes in the form of the possibility to define 'types' (enumeration types or concept types) and 'objectifications' as metaconcepts. This document does not specify a meta-'information language' since this is already provided by the concrete RDF-based language bindings (being RDFS). The scope of this document in general excludes the following: - Business process modelling; - Software implementation aspects; - Information packaging and transportation/transaction aspects already handled by ISO TC59/SC13 Information container for linked document delivery (ICDD) ([13]) respectively various information delivery manual (IDM) / information exchange requirements (EIR)-related initiatives; and - Domain-specific (here: 'built environment'-specific) content modelling in the form of concepts, attributes and relations at end-user level (the actual ontologies themselves) beyond a generic top level information model ('upper ontology') and modelling and linking patterns.</t>
  </si>
  <si>
    <t xml:space="preserve">https://standards.cencenelec.eu/dyn/www/f?p=CEN:110:0::::FSP_PROJECT,FSP_ORG_ID:67839,1991542&amp;cs=1BCE2DE4154949B53FB406C2D4EE5011D </t>
  </si>
  <si>
    <t>ISO 21500</t>
  </si>
  <si>
    <t>Guidance on project management</t>
  </si>
  <si>
    <t>https://www.iso.org/standard/40835.html</t>
  </si>
  <si>
    <t>PM</t>
  </si>
  <si>
    <t>ISO 12006-2</t>
  </si>
  <si>
    <t xml:space="preserve">Building construction – Organization of information about construction works - Part 2: Framework for classification </t>
  </si>
  <si>
    <t>ISO 12006-2:2015 defines a framework for the development of built environment classification systems. It identifies a set of recommended classification table titles for a range of information object classes according to particular views, e.g. by form or function, supported by definitions. It shows how the object classes classified in each table are related, as a series of systems and sub-systems, e.g. in a building information model.
ISO 12006-2:2015 does not provide a complete operational classification system, nor does it provide the content of the tables, though it does give examples. It is intended for use by organizations which develop and publish such classification systems and tables, which may vary in detail to suit local needs. However, if this part of ISO 12006 is applied in the development of local classification systems and tables, then harmonization between them will be facilitated.
ISO 12006-2:2015 applies to the complete life cycle of construction works, including briefing, design, documentation, construction, operation and maintenance, and demolition. It applies to both building and civil engineering works, including associated engineering services and landscaping.</t>
  </si>
  <si>
    <t>https://www.iso.org/standard/61753.html</t>
  </si>
  <si>
    <t>ISO/TC 59/SC 13</t>
  </si>
  <si>
    <t>ISO 12006-3</t>
  </si>
  <si>
    <t>Building construction - Organization of information about construction works - Part 3: Framework for object-oriented information</t>
  </si>
  <si>
    <t>ISO 12006-3:2007 specifies a language-independent information model which can be used for the development of dictionaries used to store or provide information about construction works. It enables classification systems, information models, object models and process models to be referenced from within a common framework.</t>
  </si>
  <si>
    <t>https://www.iso.org/standard/38706.html</t>
  </si>
  <si>
    <t>ISO 31000</t>
  </si>
  <si>
    <t>Risk management. Guidelines</t>
  </si>
  <si>
    <t>ISO 55000</t>
  </si>
  <si>
    <t>Asset management — Overview, principles and terminology</t>
  </si>
  <si>
    <t>FM</t>
  </si>
  <si>
    <t>ISO 6707-1</t>
  </si>
  <si>
    <t>Buildings and civil engineering works — Vocabulary - Part 1: General terms</t>
  </si>
  <si>
    <t>Construction</t>
  </si>
  <si>
    <t>ISO 6707-2</t>
  </si>
  <si>
    <t>Buildings and civil engineering works — Vocabulary - Part 2: Contract and communication terms</t>
  </si>
  <si>
    <t>ISO/TS 8000-1</t>
  </si>
  <si>
    <t>Data quality. Part 1: Overview</t>
  </si>
  <si>
    <t>Industrial Automation</t>
  </si>
  <si>
    <t>ISO 9001</t>
  </si>
  <si>
    <t>Quality management systems. Requirements.</t>
  </si>
  <si>
    <t>Quality Management</t>
  </si>
  <si>
    <t>ISO/IEC 19510</t>
  </si>
  <si>
    <t>Information technology — Object Management Group Business Process Model and Notation</t>
  </si>
  <si>
    <t>ISO/IEC 21320‑1</t>
  </si>
  <si>
    <t>Information technology — Document Container File — Part 1: Core</t>
  </si>
  <si>
    <t>ISO/IEC 27000</t>
  </si>
  <si>
    <t>Information technology — Security techniques — Information security management systems — Overview and vocabulary</t>
  </si>
  <si>
    <t>ISO/IEC/IEEE 24765</t>
  </si>
  <si>
    <t>Systems and software engineering — Vocabulary</t>
  </si>
  <si>
    <t>ISO 12911</t>
  </si>
  <si>
    <t>Organization and digitization of information about buildings and civil engineering works, including building information modelling (BIM) — Framework for specification of BIM implementation</t>
  </si>
  <si>
    <t>https://www.iso.org/standard/79692.html?browse=tc</t>
  </si>
  <si>
    <t>ISO/IEC 27001</t>
  </si>
  <si>
    <t>Information security management</t>
  </si>
  <si>
    <t>ISO 22300</t>
  </si>
  <si>
    <t>Security and resilience — Vocabulary</t>
  </si>
  <si>
    <t>Other</t>
  </si>
  <si>
    <t>ISO 19011</t>
  </si>
  <si>
    <t>Guidelines for auditing management systems</t>
  </si>
  <si>
    <t>ISO 16530-1</t>
  </si>
  <si>
    <t>Petroleum and natural gas industries — Well integrity — Part 1: Life cycle governance</t>
  </si>
  <si>
    <t>ISO 14298</t>
  </si>
  <si>
    <t>Graphic technology — Management of security printing processes</t>
  </si>
  <si>
    <t>ISO 55001</t>
  </si>
  <si>
    <t xml:space="preserve">Asset management — Management systems — Requirements </t>
  </si>
  <si>
    <t>ISO 55002</t>
  </si>
  <si>
    <t>Asset management — Management systems — Guidelines for the application of ISO 55001</t>
  </si>
  <si>
    <t>ISO 41001</t>
  </si>
  <si>
    <t>Facility management. Management systems. Requirements with guidance for use.</t>
  </si>
  <si>
    <t>ISO 37500</t>
  </si>
  <si>
    <t>Guidance on outsourcing</t>
  </si>
  <si>
    <t>ISO 22274</t>
  </si>
  <si>
    <t>Systems to manage terminology, knowledge and content — Concept-related aspects for developing and internationalizing classification systems</t>
  </si>
  <si>
    <t>ISO/IEC 15288</t>
  </si>
  <si>
    <t>Systems and software engineering — System life cycle processes</t>
  </si>
  <si>
    <t>ISO/IEC 81346-1</t>
  </si>
  <si>
    <t>Industrial systems, installations and equipment and industrial products — Structuring principles and reference designations — Part 1: Basic rules</t>
  </si>
  <si>
    <t>ISO 704</t>
  </si>
  <si>
    <t>Terminology work — Principles and methods</t>
  </si>
  <si>
    <t>ISO 1087</t>
  </si>
  <si>
    <t>Terminology work and terminology science — Vocabulary</t>
  </si>
  <si>
    <t>ISO 10303-11</t>
  </si>
  <si>
    <t>Industrial automation systems and integration — Product data representation and exchange — Part 11: Description methods: The EXPRESS language reference manual</t>
  </si>
  <si>
    <t>ISO/IEC 10646</t>
  </si>
  <si>
    <t>Information technology — Universal Coded Character Set (UCS)</t>
  </si>
  <si>
    <t>ISO 3166-1</t>
  </si>
  <si>
    <t>Codes for the representation of names of countries and their subdivisions — Part 1: Country code</t>
  </si>
  <si>
    <t>ISO 10303-41</t>
  </si>
  <si>
    <t>Industrial automation systems and integration — Product data representation and exchange — Part 41: Integrated generic resource: Fundamentals of product description and support</t>
  </si>
  <si>
    <t>ISO 10303-221</t>
  </si>
  <si>
    <t>Industrial automation systems and integration — Product data representation and exchange — Part 221: Application protocol: Functional data and their schematic representation for process plants</t>
  </si>
  <si>
    <t>ISO 15926-2</t>
  </si>
  <si>
    <t>Industrial automation systems and integration — Integration of life-cycle data for process plants including oil and gas production facilities — Part 2: Data model</t>
  </si>
  <si>
    <t>ISO 16354</t>
  </si>
  <si>
    <t>Guidelines for knowledge libraries and object libraries</t>
  </si>
  <si>
    <t>The aim of ISO 16354:2013 is to distinguish categories of knowledge libraries and to lay the foundation for uniform structures and content of such knowledge libraries and for commonality in their usage. By drawing up a number of guidelines, a guiding principle is provided for new libraries as well as for upgrading existing libraries. Without these guidelines there is an undesirable amount of freedom, so that the various libraries may become too heterogeneous. This would render the comparison, linking and integrated usage of these libraries very complex, if not impossible.
The objective of ISO 16354:2013 is to categorize knowledge libraries and object libraries and to provide recommendations for the creation of such libraries. Libraries that are compliant with the guidelines of ISO 16354:2013 may be more easily linked to, or integrated with other libraries.
The target audience of ISO 16354:2013 consists of developers of knowledge libraries, builders of translation software or interfaces between knowledge libraries, certifying bodies and builders of applications who must base their work on the knowledge libraries laid down.</t>
  </si>
  <si>
    <t>https://www.iso.org/standard/56434.html?browse=tc</t>
  </si>
  <si>
    <t>ISO 16739-1</t>
  </si>
  <si>
    <t>Industry Foundation Classes (IFC) for data sharing in the construction and facility management industries - Part 1: Data schema</t>
  </si>
  <si>
    <t>The Industry Foundation Classes, IFC, are an open international standard for Building Information Model (BIM) data that are exchanged and shared among software applications used by the various participants in the construction or facility management industry sector. The standard includes definitions that cover data required for buildings over their life cycle. This release, and upcoming releases, extend the scope to include data definitions for infrastructure assets over their life cycle as well.
The Industry Foundation Classes specify a data schema and an exchange file format structure. The data schema is defined in
- EXPRESS data specification language, defined in ISO 10303-11,
- XML Schema definition language (XSD), defined in XML Schema W3C Recommendation,
whereas the EXPRESS schema definition is the source and the XML schema definition is generated from the EXPRESS schema according to the mapping rules defined in ISO 10303-28. The exchange file formats for exchanging and sharing data according to the conceptual schema are
- Clear text encoding of the exchange structure, defined in ISO 10303-21,
- Extensible Markup Language (XML), defined in XML W3C Recommendation.
Alternative exchange file formats may be used if they conform to the data schemas.
ISO 16739-1:2017 of IFC consists of the data schemas, represented as an EXPRESS schema and an XML schema, and reference data, represented as definitions of property and quantity names, and formal and informative descriptions.
A subset of the data schema and referenced data is referred to as a Model View Definition (MVD). A particular MVD is defined to support one or many recognized workflows in the construction and facility management industry sector. Each workflow identifies data exchange requirements for software applications. Conforming software applications need to identity the model view definition they conform to.</t>
  </si>
  <si>
    <t>https://www.iso.org/standard/70303.html</t>
  </si>
  <si>
    <t>ISO 13584-25</t>
  </si>
  <si>
    <t>Industrial automation systems and integration — Parts library — Part 25: Logical resource: Logical model of supplier library with aggregate values and explicit content</t>
  </si>
  <si>
    <t>ISO 13584-42</t>
  </si>
  <si>
    <t>Industrial automation systems and integration — Parts library — Part 42: Description methodology: Methodology for structuring parts families</t>
  </si>
  <si>
    <t>ISO/IEC 19505-1</t>
  </si>
  <si>
    <t>Information technology — Object Management Group Unified Modeling Language (OMG UML) — Part 1: Infrastructure</t>
  </si>
  <si>
    <t>ISO/TS 29002-5</t>
  </si>
  <si>
    <t>Industrial automation systems and integration — Exchange of characteristic data — Part 5: Identification scheme</t>
  </si>
  <si>
    <t>ISO 16484-2</t>
  </si>
  <si>
    <t>Building automation and control systems (BACS).</t>
  </si>
  <si>
    <t>ISO/TS 13399-5</t>
  </si>
  <si>
    <t>Cutting tool data representation and exchange — Part 5: Reference dictionary for assembly items</t>
  </si>
  <si>
    <t>ISO 10303-42</t>
  </si>
  <si>
    <t>Industrial automation systems and integration — Product data representation and exchange — Part 42: Integrated generic resource: Geometric and topological representation</t>
  </si>
  <si>
    <t>IEC 61360</t>
  </si>
  <si>
    <t>Standard data element types with associated classification scheme for electric components - Part 1: Definitions - Principles and methods</t>
  </si>
  <si>
    <t>ISO 10303-28</t>
  </si>
  <si>
    <t>Industrial automation systems and integration — Product data representation and exchange — Part 28: Implementation methods: XML representations of EXPRESS schemas and data, using XML schemas</t>
  </si>
  <si>
    <t>ISO 13584-31</t>
  </si>
  <si>
    <t>Industrial automation systems and integration — Parts library — Part 31: Implementation resources: Geometric programming interface</t>
  </si>
  <si>
    <t>ISO 10303-1</t>
  </si>
  <si>
    <t>Industrial automation systems and integration — Product data representation and exchange — Part 1: Overview and fundamental principles</t>
  </si>
  <si>
    <t>ISO 16757-1</t>
  </si>
  <si>
    <t>Data structures for electronic product catalogues for building services - Part 1: Concepts, architecture and model</t>
  </si>
  <si>
    <t>The primary purpose of ISO 16757 is the provision of data structures for electronic product catalogues to transmit building services product data automatically into models of building services software applications. This includes a meta model for the specification of product classes and their properties and a meta model for the product data which is exchanged in product catalogues. Product data has to follow the specifications for their product groups.
ISO 16757-1:2015 specifies
the underlying concepts,
a generic model specifying the available modelling elements and their relationships, and
a framework for the specification of the Content Parts by describing the elements which are to be provided by these Parts.</t>
  </si>
  <si>
    <t>https://www.iso.org/standard/57613.html</t>
  </si>
  <si>
    <t>ISO 16757-2</t>
  </si>
  <si>
    <t>Data structures for electronic product catalogues for building services — Part 2: Geometry</t>
  </si>
  <si>
    <t>ISO 16757-2:2016 describes the modelling of building services product geometry. The description is optimized for the interchange of product catalogue data and includes
- shapes for representing the product itself,
- symbolic shapes for the visualization of the product's function in schematic diagrams,
- spaces for functional requirements,
- surfaces for visualization, and
- ports to represent connectivity between different objects.
The shape and space geometry is expressed as Constructive Solid Geometry (CSG) based on geometric primitives concatenated to boundary representations by Boolean operations. ISO 16757-2:2016 uses the applicable primitives from ISO 10303‑42 and from ISO 16739 and adds primitives which are required for the special geometry of building services products. For symbolic shapes, line elements are also used.
ISO 16757-2:2016 neither describes the inner structure and internal functionality of the product nor the manufacturing information because this is typically not published within a product catalogue.
Building services products can have millions of variant dimensions. To avoid the exchange of millions of geometries, a parametric model is introduced which allows the derivation of variant-specific geometries from the generic model. This is necessary to reduce the data to be exchanged in a catalogue to a manageable size. The parametric model will result in smaller data files, which can be easier transmitted during data exchanges.
The geometry model used does not contain any drawing information such as views, line styles or hatching.</t>
  </si>
  <si>
    <t>https://www.iso.org/standard/62080.html</t>
  </si>
  <si>
    <t>ISO 10140-4</t>
  </si>
  <si>
    <t>Acoustics — Laboratory measurement of sound insulation of building elements — Part 4: Measurement procedures and requirements</t>
  </si>
  <si>
    <t>EN 12058</t>
  </si>
  <si>
    <t>Natural stone products - Slabs for floors and stairs - Requirements</t>
  </si>
  <si>
    <t>ISO 80000-1</t>
  </si>
  <si>
    <t>Quantities and units — Part 1: General</t>
  </si>
  <si>
    <t>EN 771-1</t>
  </si>
  <si>
    <t>Specification for masonry units - Part 1: Clay masonry units</t>
  </si>
  <si>
    <t>ISO 639‑1</t>
  </si>
  <si>
    <t>Codes for the representation of names of languages — Part 1: Alpha-2 code</t>
  </si>
  <si>
    <t>ISO 3166‑2</t>
  </si>
  <si>
    <t>Codes for the representation of names of countries and their subdivisions — Part 2: Country subdivision code</t>
  </si>
  <si>
    <t>ISO 4217</t>
  </si>
  <si>
    <t>Codes for the representation of currencies</t>
  </si>
  <si>
    <t>ISO 8601-1</t>
  </si>
  <si>
    <t>Date and time — Representations for information interchange — Part 1: Basic rules</t>
  </si>
  <si>
    <t>ISO/IEC 11404</t>
  </si>
  <si>
    <t>Information technology — General-Purpose Datatypes (GPD)</t>
  </si>
  <si>
    <t>ISO 10077‑1</t>
  </si>
  <si>
    <t>Thermal performance of windows, doors and shutters — Calculation of thermal transmittance — Part 1: General</t>
  </si>
  <si>
    <t>ISO/IEC 11578</t>
  </si>
  <si>
    <t>Information technology — Open Systems Interconnection — Remote Procedure Call (RPC)</t>
  </si>
  <si>
    <t>ISO 13302</t>
  </si>
  <si>
    <t>Sensory analysis — Methods for assessing modifications to the flavour of foodstuffs due to packaging</t>
  </si>
  <si>
    <t>ISO/IEC 15418</t>
  </si>
  <si>
    <t>Information technology — Automatic identification and data capture techniques — GS1 Application Identifiers and ASC MH10 Data Identifiers and maintenance</t>
  </si>
  <si>
    <t>ISO/IEC 15459‑6</t>
  </si>
  <si>
    <t>Information technology — Automatic identification and data capture techniques — Unique identification — Part 6: Groupings</t>
  </si>
  <si>
    <t>ISO 15836-1</t>
  </si>
  <si>
    <t>Information and documentation — The Dublin Core metadata element set</t>
  </si>
  <si>
    <t>EN 771-2</t>
  </si>
  <si>
    <t>Specification for masonry units - Part 2: Calcium silicate masonry units</t>
  </si>
  <si>
    <t>ISO 19650-1</t>
  </si>
  <si>
    <t>Organization and digitization of information about buildings and civil engineering works, including BIM - Information management using BIM - Part 1: Concepts and principles</t>
  </si>
  <si>
    <t>This document outlines the concepts and principles for information management at a stage of maturity described as "building information modelling (BIM) according to the ISO 19650 series".
This document provides recommendations for a framework to manage information including exchanging, recording, versioning and organizing for all actors.
This document is applicable to the whole life cycle of any built asset, including strategic planning, initial design, engineering, development, documentation and construction, day-to-day operation, maintenance, refurbishment, repair and end-of-life.
This document can be adapted to assets or projects of any scale and complexity, so as not to hamper the flexibility and versatility that characterize the large range of potential procurement strategies and so as to address the cost of implementing this document.</t>
  </si>
  <si>
    <t>https://www.iso.org/standard/68078.html</t>
  </si>
  <si>
    <t>ISO 19650-2</t>
  </si>
  <si>
    <t>Organization and digitization of information about buildings and civil engineering works, including BIM - Information management using BIM -  Part 2: Delivery phase of the assets</t>
  </si>
  <si>
    <t>This document specifies requirements for information management, in the form of a management process, within the context of the delivery phase of assets and the exchanges of information within it, using building information modelling.
This document can be applied to all types of assets and by all types and sizes of organizations, regardless of the chosen procurement strategy.</t>
  </si>
  <si>
    <t>https://www.iso.org/standard/68080.html</t>
  </si>
  <si>
    <t>IEC 82045-2</t>
  </si>
  <si>
    <t>Document management — Part 2: Metadata elements and information reference model</t>
  </si>
  <si>
    <t>ISO/IEC 13249-3</t>
  </si>
  <si>
    <t>Information technology — Database languages — SQL multimedia and application packages — Part 3: Spatial</t>
  </si>
  <si>
    <t>ISO 21511</t>
  </si>
  <si>
    <t>Work breakdown structures for project and programme management</t>
  </si>
  <si>
    <t>ISO 19650-3</t>
  </si>
  <si>
    <t>Organization and digitization of information about buildings and civil engineering works, including BIM - Information management using BIM - Part 3: Operational phase of the assets</t>
  </si>
  <si>
    <t>This document specifies requirements for information management, in the form of a management process, within the context of the operational phase of assets and the exchanges of information within it, using building information modelling.
This document can be applied to all types of assets and by organizations of all types and sizes involved in the operational phase of assets.
The requirements in this document can be achieved through direct actions carried out by the organization in question or can be delegated to another party.</t>
  </si>
  <si>
    <t>https://www.iso.org/standard/75109.html</t>
  </si>
  <si>
    <t>ISO 19650-4</t>
  </si>
  <si>
    <t>Organization and digitization of information about buildings and civil engineering works, including building information modelling (BIM) - Information management using building information modelling - Part 4: Information exchange</t>
  </si>
  <si>
    <t>This document specifies the detailed process and criteria for decision makings when executing an information exchange as specified by the ISO 19650 series to ensure the quality of the resulting project information model or asset information model. It details the implementation of the concepts in ISO 19650-1 and is applicable to any information exchange within the delivery stages covered by ISO 19650-2 and operational trigger events covered by ISO 19650-3.
This document is applicable to assets of all sizes and all levels of complexity. This includes portfolios of buildings, campuses, infrastructure networks, individual buildings and pieces of infrastructure. The requirements in this document should be applied in a way that is appropriate to the scale and complexity of the asset. This document makes use of the phrase “shall consider”. This phrase is used to introduce a list of items that the person in question is required to think about carefully in connection with the primary requirement described in the subclause. The amount of thought involved, the time taken to complete it, and the need for supporting evidence depend on the complexity of the asset, the experience of the person(s) involved, and the requirements of any national policy on introducing building information modelling. On a relatively small or straightforward asset, it can be possible to complete, or dismiss as not relevant, some of these “shall consider” items very quickly. One way to help identify which of the “shall consider” statements are relevant can be to review each statement and create templates for assets of different sizes and complexity.</t>
  </si>
  <si>
    <t>https://www.iso.org/standard/78246.html</t>
  </si>
  <si>
    <t>ISO 19650-5</t>
  </si>
  <si>
    <t xml:space="preserve">Organization and digitization of information about buildings and civil engineering works, including BIM - Information management using BIM -  Part 5: Security-minded approach to information management </t>
  </si>
  <si>
    <t>This document specifies the principles and requirements for security-minded information management at a stage of maturity described as "building information modelling (BIM) according to the ISO 19650 series", and as defined in ISO 19650-1, as well as the security-minded management of sensitive information that is obtained, created, processed and stored as part of, or in relation to, any other initiative, project, asset, product or service.
It addresses the steps required to create and cultivate an appropriate and proportionate security mindset and culture across organizations with access to sensitive information, including the need to monitor and audit compliance.
The approach outlined is applicable throughout the lifecycle of an initiative, project, asset, product or service, whether planned or existing, where sensitive information is obtained, created, processed and/or stored.
This document is intended for use by any organization involved in the use of information management and technologies in the creation, design, construction, manufacture, operation, management, modification, improvement, demolition and/or recycling of assets or products, as well as the provision of services, within the built environment. It will also be of interest and relevance to those organizations wishing to protect their commercial information, personal information and intellectual property.</t>
  </si>
  <si>
    <t>https://www.iso.org/standard/74206.html</t>
  </si>
  <si>
    <t>BIM anchor</t>
  </si>
  <si>
    <t>Anchor</t>
  </si>
  <si>
    <t>ICT anchor</t>
  </si>
  <si>
    <t>Construction anchor</t>
  </si>
  <si>
    <t>Other anchor</t>
  </si>
  <si>
    <t>Industrial Automation anchor</t>
  </si>
  <si>
    <t>FM anchor</t>
  </si>
  <si>
    <t>PM anchor</t>
  </si>
  <si>
    <t>Quality anchor</t>
  </si>
  <si>
    <t>ISO 21597-1</t>
  </si>
  <si>
    <t xml:space="preserve">Information container for linked document delivery - Exchange specification - Part 1: Container </t>
  </si>
  <si>
    <t>This document defines an open and stable container format to exchange files of a heterogeneous nature to deliver, store and archive documents that describe an asset throughout its entire lifecycle.
It is suitable for all parties dealing with information concerning the built environment, where there is a need to exchange multiple documents and their interrelationships, either as part of the process or as contracted deliverables. The format is intended to use resources either included in the container (such as documents) or referenced remotely (such as web resources). A key feature is that the container can include information about the relationships between the documents. Relevant use-cases reflect the need for information exchange during the entire life cycle of any built asset and can include, but are not limited to, the handover of
- a published bidding package,
- required project deliverables at a specific project stage (e.g. when proposing different design scenarios),
- shared information as background or for further development,
- published approval packages, or
- information about versions between partners to provide a means to reference particular states of the information and track changes.</t>
  </si>
  <si>
    <t>https://www.iso.org/standard/74389.html</t>
  </si>
  <si>
    <t>ISO 639-1</t>
  </si>
  <si>
    <t>ISO 21597-2</t>
  </si>
  <si>
    <t>Information container for linked document delivery - Exchange specification - Part 2: Link types</t>
  </si>
  <si>
    <t>This document provides the opportunity to add information about the contents of a container by further specializing the generic types of links specified in ISO 21597-1. The defined link types have been chosen to enhance the use of the container by allowing the addition of semantic relationships that are human interpretable to provide greater clarity about those links.</t>
  </si>
  <si>
    <t>https://www.iso.org/standard/74390.html</t>
  </si>
  <si>
    <t>ISO 22014</t>
  </si>
  <si>
    <t>Library objects for architecture, engineering, construction and use</t>
  </si>
  <si>
    <t>This document specifies requirements for defining structure and content for library objects to support project inception, brief, design, tendering, construction, operations, use and demolition, supporting the development of information throughout the process, in connection with building information modelling (BIM) and the organization of the objects into libraries. This document does the following: Establishes requirements for defining template objects, generic objects and product objects in data-driven library and design processes. Establishes requirements for graphical symbols and other graphic conventions for use on drawings for the built environment, giving principles and definitions for the symbolic and simplified visual presentation of objects. It also describes a rationale of symbolism which establishes rules for the design of graphical symbols and other graphic conventions and gives recommendations for the application of those rules and the ways in which symbolism should be used. Defines the purposes of characterizing the shape and measurement of library objects. Defines the purposes of specifying and assessing properties for library objects. It defines the information appropriate for specific uses, including specification of the desired outcome (typically by designers and engineers) and the selection of identified products (typically by contractors and subcontractors). It also gives recommendations for the application of assemblies in integrated BIM working. Refers to the Industry Foundation Classes (IFC) schema as a common object model. This document is applicable to all professionals and service providers who produce and use library objects with generic and product-specific information. This group includes, but is not limited to, product manufacturers and suppliers, library authors, designers and engineers, contractors, owners, maintainers and commissioners.</t>
  </si>
  <si>
    <t>https://standards.cencenelec.eu/dyn/www/f?p=CEN:110:0::::FSP_PROJECT,FSP_ORG_ID:75869,1991542&amp;cs=16BFC8B55361DE81D971CAFC260A8A820</t>
  </si>
  <si>
    <t>ISO/TC 10/SC 8</t>
  </si>
  <si>
    <t>ISO 10303-21</t>
  </si>
  <si>
    <t>Industrial automation systems and integration — Product data representation and exchange — Part 21: Implementation methods: Clear text encoding of the exchange structure</t>
  </si>
  <si>
    <t>ISO 10303-21:2016 specifies an exchange format that allows product data described in the EXPRESS language to be transferred from one computer system to another. ISO 10303-21:2016 adds anchor, reference and signature sections to support external references, support for compressed exchange structures in an archive, digital signatures and UTF-8 character encoding.</t>
  </si>
  <si>
    <t>https://www.iso.org/standard/63141.html</t>
  </si>
  <si>
    <t>ISO 10303-22</t>
  </si>
  <si>
    <t>Industrial automation systems and integration — Product data representation and exchange — Part 22: Implementation methods: Standard data access interface</t>
  </si>
  <si>
    <t>https://www.iso.org/standard/25097.html</t>
  </si>
  <si>
    <t>ISO 10303-239</t>
  </si>
  <si>
    <t>Industrial automation systems and integration — Product data representation and exchange — Part 239: Application protocol: Product life cycle support</t>
  </si>
  <si>
    <t>https://www.iso.org/standard/54791.html</t>
  </si>
  <si>
    <t>ISO 10918-1</t>
  </si>
  <si>
    <t>Information technology — Digital compression and coding of continuous-tone still images: Requirements and guidelines</t>
  </si>
  <si>
    <t>https://www.iso.org/standard/18902.html</t>
  </si>
  <si>
    <t>ISO 11354-1</t>
  </si>
  <si>
    <t>Advanced automation technologies and their applications — Requirements for establishing manufacturing enterprise process interoperability — Part 1: Framework for enterprise interoperability</t>
  </si>
  <si>
    <t>https://www.iso.org/standard/50417.html</t>
  </si>
  <si>
    <t>ISO 14199</t>
  </si>
  <si>
    <t>Health informatics — Information models — Biomedical Research Integrated Domain Group (BRIDG) Model</t>
  </si>
  <si>
    <t>https://www.iso.org/standard/66767.html</t>
  </si>
  <si>
    <t>HIS</t>
  </si>
  <si>
    <t>ISO 15686-1</t>
  </si>
  <si>
    <t>Buildings and constructed assets — Service life planning — Part 1: General principles and framework</t>
  </si>
  <si>
    <t xml:space="preserve">ISO 15686-1:2011 identifies and establishes general principles for service life planning and a systematic framework for undertaking service life planning of a planned building or construction work throughout its life cycle (or remaining life cycle for existing buildings or construction works).
The life cycle incorporates initiation, project definition, design, construction, commissioning, operation, maintenance, refurbishment, replacement, deconstruction and ultimate disposal, recycling or re-use of the asset (or parts thereof), including its components, systems and building services.
ISO 15686-1:2011 is applicable to the service life planning of individual buildings. </t>
  </si>
  <si>
    <t>https://www.iso.org/standard/45798.html</t>
  </si>
  <si>
    <t>ISO 15926</t>
  </si>
  <si>
    <t>Integration of life-cycle data for process plants, including oil and gas production facilities</t>
  </si>
  <si>
    <t>ISO/IEC 15948</t>
  </si>
  <si>
    <t>Information technology — Computer graphics and image processing — Portable Network Graphics (PNG): Functional specification</t>
  </si>
  <si>
    <t>ISO 22378</t>
  </si>
  <si>
    <t>Security and resilience — Authenticity, integrity and trust for products and documents — Guidelines for interoperable object identification and related authentication systems to deter counterfeiting and illicit trade</t>
  </si>
  <si>
    <t>ISO 18308</t>
  </si>
  <si>
    <t>Health informatics — Requirements for an electronic health record architecture</t>
  </si>
  <si>
    <t>ISO 18435-3</t>
  </si>
  <si>
    <t>Industrial automation systems and integration — Diagnostics, capability assessment and maintenance applications integration — Part 3: Applications integration description method</t>
  </si>
  <si>
    <t>ISO 19101-1</t>
  </si>
  <si>
    <t>Geographic information — Reference model — Part 1: Fundamentals</t>
  </si>
  <si>
    <t>GIS</t>
  </si>
  <si>
    <t>ISO 19103</t>
  </si>
  <si>
    <t>Geographic information — Conceptual schema language</t>
  </si>
  <si>
    <t>ISO 19104</t>
  </si>
  <si>
    <t>Geographic information — Terminology</t>
  </si>
  <si>
    <t>ISO 19105</t>
  </si>
  <si>
    <t>Geographic information — Conformance and testing</t>
  </si>
  <si>
    <t>ISO 19107</t>
  </si>
  <si>
    <t>Geographic information — Spatial schema</t>
  </si>
  <si>
    <t>ISO 19108</t>
  </si>
  <si>
    <t>Geographic information — Temporal schema</t>
  </si>
  <si>
    <t>ISO 19109</t>
  </si>
  <si>
    <t>Geographic information — Rules for application schema</t>
  </si>
  <si>
    <t>ISO 19110</t>
  </si>
  <si>
    <t>Geographic information — Methodology for feature cataloguing</t>
  </si>
  <si>
    <t>ISO 19111</t>
  </si>
  <si>
    <t>Geographic information — Referencing by coordinates</t>
  </si>
  <si>
    <t>ISO 19112</t>
  </si>
  <si>
    <t>Geographic information — Spatial referencing by geographic identifiers</t>
  </si>
  <si>
    <t>ISO 19115-1</t>
  </si>
  <si>
    <t>Geographic information — Metadata — Part 1: Fundamentals</t>
  </si>
  <si>
    <t>ISO 19118</t>
  </si>
  <si>
    <t>Geographic information — Encoding</t>
  </si>
  <si>
    <t>ISO 19119</t>
  </si>
  <si>
    <t>Geographic information — Services</t>
  </si>
  <si>
    <t>ISO 19123-1</t>
  </si>
  <si>
    <t>Geographic information — Schema for coverage geometry and functions — Part 1: Fundamentals</t>
  </si>
  <si>
    <t>ISO 19126</t>
  </si>
  <si>
    <t>Geographic information — Feature concept dictionaries and registers</t>
  </si>
  <si>
    <t>ISO 19127</t>
  </si>
  <si>
    <t>Geographic information — Geodetic register</t>
  </si>
  <si>
    <t>ISO 19128</t>
  </si>
  <si>
    <t>Geographic information — Web map server interface</t>
  </si>
  <si>
    <t>ISO 19131</t>
  </si>
  <si>
    <t>Geographic information — Data product specifications</t>
  </si>
  <si>
    <t>ISO 19132</t>
  </si>
  <si>
    <t>Geographic information — Location-based services — Reference model</t>
  </si>
  <si>
    <t>ISO 19133</t>
  </si>
  <si>
    <t>Geographic information — Location-based services — Tracking and navigation</t>
  </si>
  <si>
    <t>ISO 19136-1</t>
  </si>
  <si>
    <t>Geographic information — Geography Markup Language (GML) — Part 1: Fundamentals</t>
  </si>
  <si>
    <t>ISO 19137</t>
  </si>
  <si>
    <t>Geographic information — Core profile of the spatial schema</t>
  </si>
  <si>
    <t>ISO 19141</t>
  </si>
  <si>
    <t>Geographic information — Schema for moving features</t>
  </si>
  <si>
    <t>ISO 19142</t>
  </si>
  <si>
    <t>Geographic information — Web Feature Service</t>
  </si>
  <si>
    <t>ISO 19143</t>
  </si>
  <si>
    <t>Geographic information — Filter encoding</t>
  </si>
  <si>
    <t>ISO 19148</t>
  </si>
  <si>
    <t>Geographic information — Linear referencing</t>
  </si>
  <si>
    <t>ISO 19150-2</t>
  </si>
  <si>
    <t>Geographic information — Ontology — Part 2: Rules for developing ontologies in the Web Ontology Language (OWL)</t>
  </si>
  <si>
    <t>ISO 19157-1</t>
  </si>
  <si>
    <t>Geographic information — Data quality</t>
  </si>
  <si>
    <t>ISO 19168-1</t>
  </si>
  <si>
    <t>Geographic information — Geospatial API for features — Part 1: Core</t>
  </si>
  <si>
    <t>ISO 25964-2</t>
  </si>
  <si>
    <t>Information and documentation — Thesauri and interoperability with other vocabularies — Part 2: Interoperability with other vocabularies</t>
  </si>
  <si>
    <t>ISO 29500-1</t>
  </si>
  <si>
    <t>Information technology — Document description and processing languages — Office Open XML File Formats — Part 1: Fundamentals and Markup Language Reference</t>
  </si>
  <si>
    <t>ISO 32000-1</t>
  </si>
  <si>
    <t>Document management — Portable document format — Part 1: PDF 1.7</t>
  </si>
  <si>
    <t>ISO/IEC 9075-1</t>
  </si>
  <si>
    <t>Information technology — Database languages — SQL — Part 1: Framework (SQL/Framework)</t>
  </si>
  <si>
    <t>ISO/IEC 19505-2</t>
  </si>
  <si>
    <t>Information technology — Object Management Group Unified Modeling Language (OMG UML) — Part 2: Superstructure</t>
  </si>
  <si>
    <t>ISO/IEC 20802-1</t>
  </si>
  <si>
    <t>Information technology — Open data protocol (OData) v4.0 — Part 1: Core</t>
  </si>
  <si>
    <t>ISO/IEC 20802-2</t>
  </si>
  <si>
    <t>Information technology — Open data protocol (OData) v4.0 — Part 2: OData JSON Format</t>
  </si>
  <si>
    <t>ISO/IEC 9834-8</t>
  </si>
  <si>
    <t>Information technology — Procedures for the operation of object identifier registration authorities — Part 8: Generation of universally unique identifiers (UUIDs) and their use in object identifiers</t>
  </si>
  <si>
    <t>PD ISO TR 22299</t>
  </si>
  <si>
    <t>Document management — Digital file format recommendations for long-term storage</t>
  </si>
  <si>
    <t>W3C-RDF11-SCHEMA</t>
  </si>
  <si>
    <t>W3C-RDF11-XML</t>
  </si>
  <si>
    <t>ISO 21502</t>
  </si>
  <si>
    <t>Project, programme and portfolio management. Guidance on project management</t>
  </si>
  <si>
    <t>GIS Anchor</t>
  </si>
  <si>
    <t>HIS Anchor</t>
  </si>
  <si>
    <t>ISO 22263</t>
  </si>
  <si>
    <t>Organization of information about construction works — Framework for management of project information</t>
  </si>
  <si>
    <t>ISO 22263:2008 specifies a framework for the organization of project information (process-related as well as product-related) in construction projects. Its purpose is to facilitate control, exchange, retrieval and use of relevant information about the project and the construction entity. It is intended for all agents in the project organization in management of the construction process as a whole and in coordination of its sub-processes and activities.
This framework consists of a number of generic parameters that are applicable to projects of varying complexity, size and duration and is adaptable to national, local and project-specific variations of the construction process.</t>
  </si>
  <si>
    <t>EN 15221-5</t>
  </si>
  <si>
    <t>Facility Management - Part 5: Guidance on Facility Management processes</t>
  </si>
  <si>
    <t>ISO/TS 14253-4</t>
  </si>
  <si>
    <t>Geometrical product specifications (GPS) — Inspection by measurement of workpieces and measuring equipment — Part 4: Background on functional limits and specification limits in decision rules</t>
  </si>
  <si>
    <t>ISO/TS 21089</t>
  </si>
  <si>
    <t>Health informatics — Trusted end-to-end information flows</t>
  </si>
  <si>
    <t>01/04/0218</t>
  </si>
  <si>
    <t>ISO/TR 20547-2</t>
  </si>
  <si>
    <t>Information technology — Big data reference architecture — Part 2: Use cases and derived requirements</t>
  </si>
  <si>
    <t>ISO 23386</t>
  </si>
  <si>
    <t>BIM and other digital processes used in construction - Methodology to describe, author and maintain properties in interconnected data dictionaries</t>
  </si>
  <si>
    <t>This document establishes the rules for defining properties used in construction and a methodology for authoring and maintaining them, for a confident and seamless digital share among stakeholders following a BIM process.
Regarding the definition of properties and groups of properties, this document provides:
— definitions of properties and groups of properties as a list of attributes;
— definitions of all the provided attributes.
Regarding the authoring and maintaining process, this document provides:
— definitions and roles of applicants;
— definitions and roles of experts and the commission of experts;
— definitions of request's attributes;
— definitions of expert's attributes;
— requirements to establish the management rules to interconnect data dictionaries through the mapping process for properties and groups of properties.
To apply the methodology of this document, it is presupposed that the following are in place:
— an established governance model for a data dictionary;
— a framework for a network of data dictionaries.
It is not in the scope of this document to provide the content of the interconnected data dictionaries.</t>
  </si>
  <si>
    <t>https://www.iso.org/standard/75401.html</t>
  </si>
  <si>
    <t>ISO/IEC 29500</t>
  </si>
  <si>
    <t>Document description and processing languages — Office Open XML file
formats</t>
  </si>
  <si>
    <t>ISO 19005</t>
  </si>
  <si>
    <t>Document management — Electronic document file format for long-term
preservation</t>
  </si>
  <si>
    <t>ISO/IEC 26300-1</t>
  </si>
  <si>
    <t>Information technology — Open Document Format for Office Applications (OpenDocument) v1.2 — Part 1: OpenDocument Schema</t>
  </si>
  <si>
    <t>ISO/IEC 10918-1</t>
  </si>
  <si>
    <t>Information technology — Digital compression and coding of continuous-tone
still images</t>
  </si>
  <si>
    <t>ISO 21597</t>
  </si>
  <si>
    <t>Information container for linked document delivery — Exchange specification</t>
  </si>
  <si>
    <t>ISO/TR 22299</t>
  </si>
  <si>
    <t>Document management — Digital file format recommendations for long-term
storage</t>
  </si>
  <si>
    <t>ISO 23387</t>
  </si>
  <si>
    <t>BIM - Data templates for construction objects used in the life cycle of built assets - Concepts and principles</t>
  </si>
  <si>
    <t>This document sets out the principles and structure for data templates for construction objects. It is developed to support digital processes using machine-readable formats using a standard data structure to exchange information about any type of construction object, e.g. product, system, assembly, space, building etc., used in the inception, brief, design, production, operation and demolition of facilities.
This document provides the specification of a taxonomy model that defines concepts from ISO 12006-3:2007, i.e. objects, collections and relationships between them, to support the information need for the specific purpose of the data template.
This document provides an EXPRESS specification with extensions of the EXPRESS-G notation and specification from ISO 12006-3:2007. These extensions have been provided to support market needs developed since the publication of ISO 12006-3 in 2007.
This document provides the rules for linking between data templates and IFC classes within a data dictionary based on ISO 12006-3:2007.
This document provides the rules for linking between data templates and classification systems within a data dictionary based on ISO 12006-3:2007.
The target audience of this document is software developers and not construction industry domain experts appointed to create data templates based on sources describing information needs.
It is not in the scope of this document to provide the content of any data templates. The data structure provided is intended to be used for developing specific data templates based on standards developed in ISO/IEC, CEN/CENELEC, national standardization organizations, or other sources describing information needs.</t>
  </si>
  <si>
    <t>https://www.iso.org/standard/75403.html</t>
  </si>
  <si>
    <t>ISO 29481-1</t>
  </si>
  <si>
    <t>BIM - Information delivery manual - Part 1: Methodology and format</t>
  </si>
  <si>
    <t>ISO 29481-1:2016 specifies
- a methodology that links the business processes undertaken during the construction of built facilities with the specification of information that is required by these processes, and
- a way to map and describe the information processes across the life cycle of construction works.
ISO 29481-1:2016 is intended to facilitate interoperability between software applications used during all stages of the life cycle of construction works, including briefing, design, documentation, construction, operation and maintenance, and demolition. It promotes digital collaboration between actors in the construction process and provides a basis for accurate, reliable, repeatable and high-quality information exchange.</t>
  </si>
  <si>
    <t>https://www.iso.org/standard/60553.html</t>
  </si>
  <si>
    <t>ISO/IEC 646</t>
  </si>
  <si>
    <t>Information technology — ISO 7-bit coded character set for information interchange</t>
  </si>
  <si>
    <t>ISO/IEC 8859-1</t>
  </si>
  <si>
    <t>Information technology — 8-bit single-byte coded graphic character sets —
Part 1: Latin alphabet No. 1</t>
  </si>
  <si>
    <t>ISO 13584</t>
  </si>
  <si>
    <t>Industrial automation systems and integration — Parts library</t>
  </si>
  <si>
    <t>DIN 6779-2</t>
  </si>
  <si>
    <t xml:space="preserve">Structuring principles for technical products and technical product documentation - Part 2: Letter codes - Main classes and subclasses of objects according to their purpose or task </t>
  </si>
  <si>
    <t>ISO 41011</t>
  </si>
  <si>
    <t>Facility management - Vocabulary</t>
  </si>
  <si>
    <t>ISO 7200</t>
  </si>
  <si>
    <t>Technical product documentation — Data fields in title blocks and document headers</t>
  </si>
  <si>
    <t>ISO 20616-1</t>
  </si>
  <si>
    <t>Graphic technology — File format for quality control and metadata — Part 1:
Print requirements eXchange (PRX)</t>
  </si>
  <si>
    <t>ISO 29481-2</t>
  </si>
  <si>
    <t>BIM - Information delivery manual - Part 2: Interaction framework</t>
  </si>
  <si>
    <t>ISO 29481-2:2012 specifies a methodology and format for describing ?coordination acts' between actors in a building construction project during all life cycle stages.
It therefore specifies
a methodology that describes an interaction framework,
an appropriate way to map responsibilities and interactions that provides a process context for information flow,
a format in which the interaction framework should be specified.
ISO 29481-2:2012 is intended to facilitate interoperability between software applications used in the construction process, to promote digital collaboration between actors in the building construction process, and to provide a basis for accurate, reliable, repeatable, and high-quality information exchange.</t>
  </si>
  <si>
    <t>https://www.iso.org/standard/55691.html</t>
  </si>
  <si>
    <t>ISO 13567-1</t>
  </si>
  <si>
    <t>Technical product documentation — Organization and naming of layers for CAD — Part 1: Overview and principles</t>
  </si>
  <si>
    <t>Technical Product Description</t>
  </si>
  <si>
    <t>ISO 13567-2</t>
  </si>
  <si>
    <t>Technical product documentation — Organization and naming of layers for CAD — Part 2: Concepts, format and codes used in construction documentation</t>
  </si>
  <si>
    <t>ISO 128</t>
  </si>
  <si>
    <t>Technical product documentation (TPD) — General principles of presentation</t>
  </si>
  <si>
    <t>ISO 639</t>
  </si>
  <si>
    <t>Code for individual languages and language groups</t>
  </si>
  <si>
    <t>ISO 4157</t>
  </si>
  <si>
    <t>Construction drawings — Designation systems</t>
  </si>
  <si>
    <t>ISO 5456</t>
  </si>
  <si>
    <t>Technical drawings — Projection methods</t>
  </si>
  <si>
    <t>ISO 6707-3</t>
  </si>
  <si>
    <t>Buildings and civil engineering works — Vocabulary — Part 3: Sustainability terms</t>
  </si>
  <si>
    <t>ISO 7519</t>
  </si>
  <si>
    <t>Technical product documentation (TPD) — Construction documentation — General principles of presentation for general arrangement and assembly drawings</t>
  </si>
  <si>
    <t>ISO 29481-3</t>
  </si>
  <si>
    <t>BIM - Information delivery manual — Part 3: Data schema and classification</t>
  </si>
  <si>
    <t>ISO 29481-2:2012 specifies a methodology and format for describing ?coordination acts' between actors in a building construction project during all life cycle stages.</t>
  </si>
  <si>
    <t>https://www.iso.org/standard/81261.html</t>
  </si>
  <si>
    <t>ISO 10303-18</t>
  </si>
  <si>
    <t>Industrial automation systems and integration — Product data representation and
exchange — Part 28: Implementation methods: XML representations of EXPRESS schemas and data,
using XML schemas</t>
  </si>
  <si>
    <t>ISO 10628</t>
  </si>
  <si>
    <t>Diagrams for the chemical and petrochemical industry</t>
  </si>
  <si>
    <t>ISO 14084-1</t>
  </si>
  <si>
    <t>Process diagrams for power plants — Part 1: Specification for diagrams</t>
  </si>
  <si>
    <t>ISO 14084-2</t>
  </si>
  <si>
    <t>Process diagrams for power plants — Part 2: Graphical symbols</t>
  </si>
  <si>
    <t>ISO 15519-1</t>
  </si>
  <si>
    <t>Specification for diagrams for process industry — Part 1: General rules</t>
  </si>
  <si>
    <t>ISO 15519-2</t>
  </si>
  <si>
    <t>Specifications for diagrams for process industry — Part 2: Measurement and control</t>
  </si>
  <si>
    <t>ISO/TS 15926-4</t>
  </si>
  <si>
    <t>Industrial automation systems and integration — Integration of life-cycle data for
process plants including oil and gas production facilities — Part 4: Initial reference data</t>
  </si>
  <si>
    <t>ISO 22057</t>
  </si>
  <si>
    <t>Sustainability in buildings and civil engineering works — Data templates for the use of
environmental product declarations (EPDs) for construction products in building information
modelling (BIM)</t>
  </si>
  <si>
    <t>Sustainability</t>
  </si>
  <si>
    <t>ISO 22727</t>
  </si>
  <si>
    <t>Graphical symbols — Creation and design of public information symbols — Requirements</t>
  </si>
  <si>
    <t>ISO 24156-1</t>
  </si>
  <si>
    <t>Graphic notations for concept modelling in terminology work and its relationship with UML
— Part 1: Guidelines for using UML notation in terminology work</t>
  </si>
  <si>
    <t>ISO 81714-1</t>
  </si>
  <si>
    <t>Design of graphical symbols for use in the technical documentation of products —
Part 1: Basic rules</t>
  </si>
  <si>
    <t>ISO/IEC 2382</t>
  </si>
  <si>
    <t>Information technology — Vocabulary</t>
  </si>
  <si>
    <t>IEC 81346</t>
  </si>
  <si>
    <t>Industrial systems, installations and equipment and industrial products —
Structuring principles and reference designations</t>
  </si>
  <si>
    <t>EN 15804</t>
  </si>
  <si>
    <t>Sustainability of construction works - Environmental product declarations - Core rules for the
product category of construction products</t>
  </si>
  <si>
    <t>EN 15978</t>
  </si>
  <si>
    <t>Sustainability of construction works - Assessment of environmental performance of buildings
- Calculation method</t>
  </si>
  <si>
    <t>IEC 62023</t>
  </si>
  <si>
    <t>Structuring of technical information and documentation</t>
  </si>
  <si>
    <t>ISO 7817-1</t>
  </si>
  <si>
    <t>Building information modelling — Level of information need — Part 1: Concepts and
principles</t>
  </si>
  <si>
    <t>This document specifies concepts and principles to establish a methodology for specifying level of information need and information deliveries in a consistent way when using building information modelling (BIM).
This document specifies the characteristics of different levels used for defining the detail and extent of information required to be exchanged and delivered throughout the life cycle of built assets. It gives guidelines for principles required to specify information needs.
The concepts and principles in this document can be applied for a general information exchange and while in progress, for a generally agreed way of information exchange between parties in a collaborative work process, as well as for an appointment with specified information delivery.
This document is applicable to the whole life cycle of any built asset, including strategic planning, initial design, engineering, development, documentation and construction, day-to-day operation, maintenance, refurbishment, repair and end-of-life.</t>
  </si>
  <si>
    <t>https://www.iso.org/standard/82914.html</t>
  </si>
  <si>
    <t>ISO/TR 23262</t>
  </si>
  <si>
    <t>GIS (geospatial) / BIM interoperability</t>
  </si>
  <si>
    <t>This document investigates barriers and proposes measures to improve interoperability between geospatial and BIM domains, namely, to align GIS standards developed by ISO/TC 211 and BIM standards developed by ISO/TC 59/SC 13.
Where relevant this document takes into account work and documents from other organizations and committees, such as buildingSMART, International (bSI), Open Geospatial Consortium (OGC) and Comité Européen de Normalisation (CEN). The focus is to identify future topics for standardization and possible revision needs of existing standards.
This document investigates conceptual and technological barriers between GIS and BIM domains at the data, service and process levels, as defined by ISO 11354 (all parts).</t>
  </si>
  <si>
    <t>https://www.iso.org/standard/75105.html</t>
  </si>
  <si>
    <t>ISO 23247-1</t>
  </si>
  <si>
    <t>Automation systems and integration — Digital twin framework for manufacturing — Part 1: Overview and general principles</t>
  </si>
  <si>
    <t>ISO 23247-2</t>
  </si>
  <si>
    <t>Automation systems and integration — Digital twin framework for manufacturing — Part 2: Reference architecture</t>
  </si>
  <si>
    <t>ISO 23247-3</t>
  </si>
  <si>
    <t>Automation systems and integration — Digital twin framework for manufacturing — Part 3: Digital representation of manufacturing elements</t>
  </si>
  <si>
    <t>ISO 23247-4</t>
  </si>
  <si>
    <t>Automation systems and integration — Digital twin framework for manufacturing — Part 4: Information exchange</t>
  </si>
  <si>
    <t>ISO/TR 24464</t>
  </si>
  <si>
    <t>Automation systems and integration — Industrial data — Visualization elements of
digital twins</t>
  </si>
  <si>
    <t>Id</t>
  </si>
  <si>
    <t>Source Standard Number</t>
  </si>
  <si>
    <t>Target Standard Number</t>
  </si>
  <si>
    <t>Source Calculation</t>
  </si>
  <si>
    <t>Target Calculation</t>
  </si>
  <si>
    <t>Source Colour</t>
  </si>
  <si>
    <t>Target Colour</t>
  </si>
  <si>
    <t>Link</t>
  </si>
  <si>
    <t>Source Type</t>
  </si>
  <si>
    <t>Target Type</t>
  </si>
  <si>
    <t>Inter-BIM Relationship</t>
  </si>
  <si>
    <t>Weight _calculation</t>
  </si>
  <si>
    <t>Rank Pedro</t>
  </si>
  <si>
    <t>Weight Pedro_calculation</t>
  </si>
  <si>
    <t>Category</t>
  </si>
  <si>
    <t>Category Colour</t>
  </si>
  <si>
    <t>timeset_calculation</t>
  </si>
  <si>
    <t>Colour_calculation</t>
  </si>
  <si>
    <t>Label</t>
  </si>
  <si>
    <t>Directed</t>
  </si>
  <si>
    <t>Implicit</t>
  </si>
  <si>
    <t>High</t>
  </si>
  <si>
    <t>Normative</t>
  </si>
  <si>
    <t>Informative</t>
  </si>
  <si>
    <t>Low</t>
  </si>
  <si>
    <t>GIS anchor</t>
  </si>
  <si>
    <t>Medium</t>
  </si>
  <si>
    <t>HIS anchor</t>
  </si>
  <si>
    <t>Role</t>
  </si>
  <si>
    <t>Relevance</t>
  </si>
  <si>
    <t>Client</t>
  </si>
  <si>
    <t>Contractor</t>
  </si>
  <si>
    <t>Designer</t>
  </si>
  <si>
    <t>Not Relevant</t>
  </si>
  <si>
    <t>Facility Manager</t>
  </si>
  <si>
    <t>Manufacturer</t>
  </si>
  <si>
    <t>Permit Agency</t>
  </si>
  <si>
    <t>Project Manager</t>
  </si>
  <si>
    <t>Software Developer</t>
  </si>
  <si>
    <t>Project Phase</t>
  </si>
  <si>
    <t>Briefing</t>
  </si>
  <si>
    <t>True</t>
  </si>
  <si>
    <t>False</t>
  </si>
  <si>
    <t>Operation &amp; Maintenance</t>
  </si>
  <si>
    <t>Decommissioning</t>
  </si>
  <si>
    <t>Manufacturing &amp; Construction</t>
  </si>
  <si>
    <t>Design</t>
  </si>
  <si>
    <t>Handover</t>
  </si>
  <si>
    <t>Strategic Definition</t>
  </si>
  <si>
    <t>Procurement</t>
  </si>
  <si>
    <t>Topic</t>
  </si>
  <si>
    <t>BIM Execution Plan (BEP)</t>
  </si>
  <si>
    <t>Essential</t>
  </si>
  <si>
    <t>Classification</t>
  </si>
  <si>
    <t>COBie</t>
  </si>
  <si>
    <t>Relevant</t>
  </si>
  <si>
    <t>Common Data Environment (CDE)</t>
  </si>
  <si>
    <t>Data Dictionary</t>
  </si>
  <si>
    <t>Data Template</t>
  </si>
  <si>
    <t>Geographic Information System (GIS)</t>
  </si>
  <si>
    <t>IFC</t>
  </si>
  <si>
    <t>Information Container</t>
  </si>
  <si>
    <t>Information Delivery Manual (IDM)</t>
  </si>
  <si>
    <t>Information Delivery Plan (MIDP/TIDP)</t>
  </si>
  <si>
    <t>Information Delivery Specification (IDS)</t>
  </si>
  <si>
    <t>Information Management</t>
  </si>
  <si>
    <t>Information Model (PIM/AIM)</t>
  </si>
  <si>
    <t>Information Requirements (EIR / OIR  / AIR / PIR)</t>
  </si>
  <si>
    <t>Level of Information Need (LOIN)</t>
  </si>
  <si>
    <t>Linked Data</t>
  </si>
  <si>
    <t>Model View Definition (MVD)</t>
  </si>
  <si>
    <t>Software Implementation</t>
  </si>
  <si>
    <t xml:space="preserve">No </t>
  </si>
  <si>
    <t>IDM</t>
  </si>
  <si>
    <t>IDS</t>
  </si>
  <si>
    <t>MVD</t>
  </si>
  <si>
    <t>LOIN</t>
  </si>
  <si>
    <t>CDE</t>
  </si>
  <si>
    <t>BEP</t>
  </si>
  <si>
    <t>IFD</t>
  </si>
  <si>
    <t>Information Model</t>
  </si>
  <si>
    <t>MIDP/TIDP</t>
  </si>
  <si>
    <t>(E/O/A/P)IR</t>
  </si>
  <si>
    <t>(A/P)IM</t>
  </si>
  <si>
    <t>CEN/TR 17439-1</t>
  </si>
  <si>
    <t>implicit</t>
  </si>
  <si>
    <t>NO</t>
  </si>
  <si>
    <t>All</t>
  </si>
  <si>
    <t>Count of overall relevance</t>
  </si>
  <si>
    <t>Cybersecurity</t>
  </si>
  <si>
    <t>Data Exchange</t>
  </si>
  <si>
    <t>Information Requirements</t>
  </si>
  <si>
    <t>Products</t>
  </si>
  <si>
    <t>Project Delivery</t>
  </si>
  <si>
    <t>Project Operation</t>
  </si>
  <si>
    <t>Terminology</t>
  </si>
  <si>
    <t>Phase</t>
  </si>
  <si>
    <t>Domain</t>
  </si>
  <si>
    <t>Colour</t>
  </si>
  <si>
    <t>Colour HEX</t>
  </si>
  <si>
    <t>#70AD47</t>
  </si>
  <si>
    <t>#7030A0</t>
  </si>
  <si>
    <t>#9BC2E6</t>
  </si>
  <si>
    <t>#8497B0</t>
  </si>
  <si>
    <t>#ED7D31</t>
  </si>
  <si>
    <t>#4472C4</t>
  </si>
  <si>
    <t>#44546A</t>
  </si>
  <si>
    <t>#FFC000</t>
  </si>
  <si>
    <t>#C00000</t>
  </si>
  <si>
    <t>#F2E536</t>
  </si>
  <si>
    <t>#B1D751</t>
  </si>
  <si>
    <t>#595959</t>
  </si>
  <si>
    <t>#F2F2F2</t>
  </si>
  <si>
    <t>BIM (Building Information Modelling)</t>
  </si>
  <si>
    <t>ICT (Information &amp; Comm. Tech.)</t>
  </si>
  <si>
    <t>GIS (Geographic Information)</t>
  </si>
  <si>
    <t>HIS (Health Information)</t>
  </si>
  <si>
    <t>FM (Facilities Management)</t>
  </si>
  <si>
    <t>PM (Project Management)</t>
  </si>
  <si>
    <t>Topic General</t>
  </si>
  <si>
    <t>Column1</t>
  </si>
  <si>
    <t>EN 17549-1</t>
  </si>
  <si>
    <t>CEN ISO/TS 19139-1</t>
  </si>
  <si>
    <t>CEN ISO/TS 19144-3</t>
  </si>
  <si>
    <t>CEN/TR 15449-1</t>
  </si>
  <si>
    <t>CEN/TR 15449-2</t>
  </si>
  <si>
    <t>CEN/TR 15449-3</t>
  </si>
  <si>
    <t>CEN/TR 15449-4</t>
  </si>
  <si>
    <t>CEN/TR 15449-5</t>
  </si>
  <si>
    <t>ISO 19101-2</t>
  </si>
  <si>
    <t>ISO 19123-2</t>
  </si>
  <si>
    <t>ISO 19130-1</t>
  </si>
  <si>
    <t>ISO 19145</t>
  </si>
  <si>
    <t>ISO 19147</t>
  </si>
  <si>
    <t>ISO 19150-4</t>
  </si>
  <si>
    <t>ISO 19154</t>
  </si>
  <si>
    <t>ISO 19155</t>
  </si>
  <si>
    <t>ISO 19155-2</t>
  </si>
  <si>
    <t>ISO 19157</t>
  </si>
  <si>
    <t>ISO 19161-1</t>
  </si>
  <si>
    <t>ISO 19162</t>
  </si>
  <si>
    <t>ISO 19165-1</t>
  </si>
  <si>
    <t>ISO 19165-2</t>
  </si>
  <si>
    <t>ISO 19170-1</t>
  </si>
  <si>
    <t>ISO/TR 19121</t>
  </si>
  <si>
    <t>ISO/TR 19167</t>
  </si>
  <si>
    <t>ISO/TR 19169</t>
  </si>
  <si>
    <t>ISO/TS 19124-1</t>
  </si>
  <si>
    <t>ISO/TS 19129</t>
  </si>
  <si>
    <t>ISO/TS 19130-2</t>
  </si>
  <si>
    <t>ISO/TS 19130-3</t>
  </si>
  <si>
    <t>ISO/TS 19139-1</t>
  </si>
  <si>
    <t>ISO/TS 19144-3</t>
  </si>
  <si>
    <t>ISO/TS 19150-1</t>
  </si>
  <si>
    <t>ISO/TS 19157-2</t>
  </si>
  <si>
    <t>ISO/TS 19158</t>
  </si>
  <si>
    <t>ISO/TS 19159-1</t>
  </si>
  <si>
    <t>ISO/TS 19159-2</t>
  </si>
  <si>
    <t>ISO/TS 19159-3</t>
  </si>
  <si>
    <t>ISO/TS 19159-4</t>
  </si>
  <si>
    <t>ISO/TS 19163-1</t>
  </si>
  <si>
    <t>ISO/TS 19163-2</t>
  </si>
  <si>
    <t>ISO/TS 19166</t>
  </si>
  <si>
    <t>ISO/TS 37172</t>
  </si>
  <si>
    <t>https://www.iso.org/standard/67253.html</t>
  </si>
  <si>
    <t>ISO/TC 211</t>
  </si>
  <si>
    <t>This document defines XML based encoding rules for conceptual schemas specifying types that describe geographic resources. The encoding rules support the UML profile as used in the UML models commonly used in the standards developed by ISO/TC 211. The encoding rules use XML schema for the output data structure schema. The encoding rules described in this document are not applicable for encoding UML application schema for geographic features (see ISO 19136 for those rules).</t>
  </si>
  <si>
    <t>ICS</t>
  </si>
  <si>
    <t>35.240.70</t>
  </si>
  <si>
    <t>35.240.70; 07.040</t>
  </si>
  <si>
    <t>35.240.70; 01.040.35</t>
  </si>
  <si>
    <t>13.020.20</t>
  </si>
  <si>
    <t>CEN/TC 287</t>
  </si>
  <si>
    <t>This document specifies a Land Use Meta Language (LUML) expressed as a UML metamodel that allows different Land Use classification systems to be described. This document recognizes that there are a number of Land Use classification systems in existence. It provides a common reference structure for the comparison and integration of data for any generic Land Use classification system, but does not intend to replace those classification systems. This document complements ISO 19144-2 on Land Cover Meta Language (LCML) and can be used independently to describe Land Use or together with ISO 19144-2 to describe a combined Land Cover Land Use.</t>
  </si>
  <si>
    <t>https://www.iso.org/standard/85091.html</t>
  </si>
  <si>
    <t>Geographic information - Spatial data infrastructures - Part 1: Reference model</t>
  </si>
  <si>
    <t>This part of the Technical Report provides a reference model for a Spatial Data Infrastructure (SDI). It covers framework standards and identifies the relevant standards, technical specifications, technical reports and guidelines. This part of the Technical Report provides a context model for the other parts of this Technical Report applying general architecture standards. The intended readership of this Technical Report are those people who are responsible for creating frameworks for SDIs, experts contributing to INSPIRE, experts in information and communication technologies and e-government that need to familiarise themselves with geographic information and SDI concepts, and standards developers and writers.</t>
  </si>
  <si>
    <t>https://www.en-standard.eu/pd-cen-tr-15449-1-2012-geographic-information-spatial-data-infrastructures-reference-model/</t>
  </si>
  <si>
    <t>Geographic information - Spatial data infrastructures - Part 2: Best practices</t>
  </si>
  <si>
    <t>This part of the Technical Report provides best practices regarding Spatial Data Infrastructures (SDIs), referencing to the outcomes of the projects in the frame of the European Union funding programmes. It summarises the deliverables of projects, structured according to the reference model defined in Part 1 of this Technical Report, to be made available in an on-line repository where the relevant outcomes are collected and classified in order to provide a structured sets of recommendations for implementing SDIs at the European, national and sub-national levels. This collection refers mainly to the projects funded by the European Union funding programmes: this choice is driven by the wide vision and analysis which such kind of projects can provide and the wide numbers of stakeholders which have been involved. The outcomes delivered by these relevant practices are collected into a document registry available through the CEN/TC 287 web site. This part of the Technical Report defines the processes and the content of these projects and documents registries, which will help making them more accessible and re-usable. It provides the relevant project deliverables addressing the main SDI issues as described in the other parts of this Technical Report. The intended readership of this Technical Report are those people who are responsible for creating frameworks for SDI, experts contributing to INSPIRE, experts in information and communication technologies and e-government that need to familiarize themselves with geographic information and SDI concepts, and standards developers and writers.</t>
  </si>
  <si>
    <t>https://www.en-standard.eu/pd-cen-tr-15449-2-2012-geographic-information-spatial-data-infrastructures-best-practices/</t>
  </si>
  <si>
    <t>Geographic information - Spatial data infrastructures - Part 3: Data centric view</t>
  </si>
  <si>
    <t>Part 3 of the Technical Report describes a data-centric view of a Spatial Data Infrastructure (SDI). The Data Centric view addresses the concepts of semantic interoperability, the methodology for developing data specifications through the application of the relevant International Standards, and the content of such specifications including Application Schemas, Feature Catalogues, General Feature Model, Data Lifecycle Management and Data Quality, Data Access and Data Transformation. The intended readership of this Technical Report are those people who are responsible for creating frameworks for SDI, experts contributing to INSPIRE, experts in information and communication technologies and e-government that need to familiarise themselves with geographic information and SDI concepts, and standards developers and writers.</t>
  </si>
  <si>
    <t>https://www.en-standard.eu/pd-cen-tr-15449-3-2012-geographic-information-spatial-data-infrastructures-data-centric-view/</t>
  </si>
  <si>
    <t>Geographic information - Spatial Data Infrastructure - Service centric view</t>
  </si>
  <si>
    <t>This Technical Report describes a service-centric view of a Spatial Data Infrastructure (SDI). The Service Centric view addresses the concepts of service specifications, the methodology for developing service specifications through the application of the relevant International Standards, and the content of such service specifications described from the perspective of the five Reference Model of Open Distributed Processing (RM-ODP) viewpoints: the enterprise viewpoint addresses service aspects from an organisational, business and user perspective; the computational viewpoint addresses service aspects from a system architect perspective; the information viewpoint addresses service aspects from a geospatial information expert perspective; the engineering viewpoint addresses service aspects from a system designer perspective; the technology viewpoint addresses service aspects from a system builder and implementer perspective. The intended readership of this Technical Report is those people who are responsible for creating frameworks for SDI, experts contributing to INSPIRE experts in information and communication technologies and e-government that need to familiarise themselves with geographic information and SDI concepts, and standards developers and writers.</t>
  </si>
  <si>
    <t>https://www.en-standard.eu/pd-cen-tr-15449-4-2013-geographic-information-spatial-data-infrastructure-service-centric-view/</t>
  </si>
  <si>
    <t>Geographic information - Spatial data infrastructures - Part 5: Validation and testing</t>
  </si>
  <si>
    <t>This part of the Technical Report provides guidance for validation and testing of data, metadata and services, as the main Spatial Data Infrastructure (SDI) components defined in other parts of CEN/TR 15449.
The guidance is given by means of examples of the validation and testing process required to assure conformance with the requirements existing in the relevant standards and guidelines.</t>
  </si>
  <si>
    <t>n/a</t>
  </si>
  <si>
    <t>This part of ISO 19101 defines the reference model for standardization in the field of geographic information. This reference model describes the notion of interoperability and sets forth the fundamentals by which this standardization takes place.
Although structured in the context of information technology and information technology standards, this part of ISO 19101 is independent of any application development method or technology
implementation approach.</t>
  </si>
  <si>
    <t>https://www.iso.org/standard/59164.html</t>
  </si>
  <si>
    <t>This document specifies provisions for the use of a conceptual schema language within the context of modelling geographic information. The chosen conceptual schema language is a subset of the Unified Modeling Language (UML).
This document specifies a UML profile for modelling geographic information.
This document specifies a set of core data types for use in conceptual schemas.
The standardization target type of this document is conceptual schemas describing geographic information.</t>
  </si>
  <si>
    <t>https://www.iso.org/standard/83454.html</t>
  </si>
  <si>
    <t>This document specifies the framework, concepts and methodology for conformance testing and criteria to be achieved to claim conformance to the family of applicable standardization documents regarding geographic information and relevant application domains. This document provides a framework for specifying abstract test suites composed of abstract test cases grouped in conformance classes and for defining the procedures to be followed during conformance testing.
Conformance can be claimed for data or software products or services or by specifications including any profile or functional standard. The structure of, and relationships between, conformance classes as defined in this document underly a systematic approach to configuration management involving managing dependencies within and between modules.</t>
  </si>
  <si>
    <t>https://www.iso.org/standard/76457.html</t>
  </si>
  <si>
    <t>Geographic information - Profiles</t>
  </si>
  <si>
    <t>This International Standard is intended to define the concept of a profile of the ISO geographic information standards developed by ISO/TC 211 and to provide guidance for the creation of such profiles. Only those components of specifications that meet the definition of a profile contained herein can be established and managed through the mechanisms described in this International Standard.</t>
  </si>
  <si>
    <t>https://www.iso.org/standard/26011.html</t>
  </si>
  <si>
    <t>This document specifies conceptual schemas for describing the spatial characteristics of geographic entities, and a set of spatial operations consistent with these schemas. It treats "vector" geometry and topology. It defines standard spatial operations for use in access, query, management, processing and data exchange of geographic information for spatial (geometric and topological) objects. Because of the nature of geographic information, these geometric coordinate spaces will normally have up to three spatial dimensions, one temporal dimension and any number of other spatially dependent parameters as needed by the applications. In general, the topological dimension of the spatial projections of the geometric objects will be at most three.</t>
  </si>
  <si>
    <t>https://www.iso.org/standard/66175.html</t>
  </si>
  <si>
    <t>Geographic information - Temporal schema</t>
  </si>
  <si>
    <t>This International Standard defines concepts for describing temporal characteristics of geographic information. It depends upon existing information technology standards for the interchange of temporal information. It provides a basis for defining temporal feature attributes, feature operations, and feature associations, and for defining the temporal aspects of metadata about geographic information. Since this International Standard is concerned with the temporal characteristics of geographic information as they are abstracted from the real world, it emphasizes valid time rather than transaction time.</t>
  </si>
  <si>
    <t>https://www.iso.org/standard/26013.html</t>
  </si>
  <si>
    <t>06.2008</t>
  </si>
  <si>
    <t>This document defines the General Feature Model (GFM) as the metamodel for creating application schemas in the context of geo-information modelling. The GFM is explained and implemented as rules for creating and documenting application schemas, including principles for the definition of features.
This document is applicable to:
—     conceptual modelling of features and their properties from a universe of discourse;
—     definition of application schemas;
—     general rules for using a conceptual schema language for application schemas;
—     rules for application schemas using UML as the conceptual schema language;
—     transition from the concepts in the conceptual model to the data types in the application schema;
—     integration of standardized schemas from other ISO geographic information standards with the application schema.
This document does not apply to:
—     choice of one particular conceptual schema language for application schemas;
—     definition of any particular application schemas;
—     representation of feature types and their properties in a feature catalogue;
—     representation of metadata;
—     rules for mapping one application schema to another;
—     implementation of the application schema in a computer environment;
—     computer system and application software design;
—     programming.</t>
  </si>
  <si>
    <t>https://www.iso.org/standard/84700.html</t>
  </si>
  <si>
    <t>ISO 19110:2016 defines the methodology for cataloguing feature types. This document specifies how feature types can be organized into a feature catalogue and presented to the users of a set of geographic data. This document is applicable to creating catalogues of feature types in previously uncatalogued domains and to revising existing feature catalogues to comply with standard practice. This document applies to the cataloguing of feature types that are represented in digital form. Its principles can be extended to the cataloguing of other forms of geographic data. Feature catalogues are independent of feature concept dictionaries defined in ISO 19126 and can be specified without having to use or create a Feature Concept Dictionary.
ISO 19110:2016 is applicable to the definition of geographic features at the type level. This document is not applicable to the representation of individual instances of each type. This document excludes portrayal schemas as specified in ISO 19117.
ISO 19110:2016 may be used as a basis for defining the universe of discourse being modelled in a particular application, or to standardize general aspects of real world features being modelled in more than one application.</t>
  </si>
  <si>
    <t>https://www.iso.org/standard/57303.html</t>
  </si>
  <si>
    <t>This document defines the conceptual schema for the description of referencing by coordinates. It describes the minimum data required to define coordinate reference systems. This document supports the definition of:
— spatial coordinate reference systems where coordinate values do not change with time. The system may:
— be geodetic and apply on a national or regional basis, or
— apply locally such as for a building or construction site, or
— apply locally to an image or image sensor;
— be referenced to a moving platform such as a car, a ship, an aircraft or a spacecraft. Such a coordinate reference system can be related to a second coordinate reference system which is referenced to the Earth through a transformation that includes a time element;
— spatial coordinate reference systems in which coordinate values of points on or near the surface of the earth change with time due to tectonic plate motion or other crustal deformation. Such dynamic systems include time evolution, however they remain spatial in nature;
— parametric coordinate reference systems which use a non-spatial parameter that varies monotonically with height or depth;
— temporal coordinate reference systems which use dateTime, temporal count or temporal measure quantities that vary monotonically with time;
— mixed spatial, parametric or temporal coordinate reference systems.
The definition of a coordinate reference system does not change with time, although in some cases some of the defining parameters can include a rate of change of the parameter. The coordinate values within a dynamic and in a temporal coordinate reference system can change with time.
This document also describes the conceptual schema for defining the information required to describe operations that change coordinate values.
In addition to the minimum data required for the definition of the coordinate reference system or coordinate operation, the conceptual schema allows additional descriptive information - coordinate reference system metadata - to be provided.
This document is applicable to producers and users of geographic information. Although it is applicable to digital geographic data, the principles described in this document can be extended to many other forms of spatial data such as maps, charts and text documents.</t>
  </si>
  <si>
    <t>08.2023</t>
  </si>
  <si>
    <t>https://www.iso.org/standard/74039.html</t>
  </si>
  <si>
    <t>AC Year</t>
  </si>
  <si>
    <t>This document defines the conceptual schema for spatial references based on geographic identifiers. It establishes a general model for spatial referencing using geographic identifiers and defines the components of a spatial reference system. It also specifies a conceptual scheme for a gazetteer.
Spatial referencing by coordinates is addressed in ISO 19111. However, a mechanism for recording complementary coordinate references is included in this document.
This document enables producers of data to define spatial reference systems using geographic identifiers and assists users in understanding the spatial references used in datasets. It enables gazetteers to be constructed in a consistent manner and supports the development of other standards in the field of geographic information.
This document is applicable to digital geographic data, and its principles may be extended to other forms of geographic data such as maps, charts and textual documents.</t>
  </si>
  <si>
    <t>https://www.iso.org/standard/70742.html</t>
  </si>
  <si>
    <t>This International Standard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 This International Standard is applicable to:  - the cataloguing of all types of resources, clearinghouse activities, and the full description of datasets and services; - geographic services, geographic datasets, dataset series, and individual geographic features and feature properties. This International Standard defines: - mandatory and conditional metadata sections, metadata entities, and metadata elements; - the minimum set of metadata required to serve the full range of metadata applications (data discovery, determining data fitness for use, data access, data transfer, and use of digital data and services); - optional metadata elements – to allow for a more extensive standard description of resources, if required; - a method for extending metadata to fit specialized needs. Though this International Standard is applicable to digital data and services, its principles can be extended to many other types of resources such as maps, charts, and textual documents as well as non-geographic data. Certain conditional metadata elements may not apply to these other forms of data.</t>
  </si>
  <si>
    <t>12.2020</t>
  </si>
  <si>
    <t>https://www.iso.org/standard/53798.html</t>
  </si>
  <si>
    <t>This document extends ISO 19115-1:2014 by defining the schema required for an enhanced description of the acquisition and processing of geographic information, including imagery. Included are the properties of measuring systems and the numerical methods and computational procedures used to derive geographic information from the data acquired by them. This document also provides the XML encoding for acquisition and processing metadata thereby extending the XML schemas defined in ISO/TS 19115-3.</t>
  </si>
  <si>
    <t>03.2022</t>
  </si>
  <si>
    <t>https://www.iso.org/standard/67039.html</t>
  </si>
  <si>
    <t>This document defines an integrated XML implementation of ISO 19115-1 and ISO 19115-2 by defining the following artefacts:
—     a set of XML schema required to validate metadata instance documents conforming to conceptual model elements defined in ISO 19115-1 and ISO 19115-2; and
—     a set of ISO/IEC 19757-3 (Schematron) rules that implement validation constraints in the ISO 19115-1 and ISO 19115-2 UML models that are not validated by the XML schema.
This document describes the procedure used to generate XML schemas from ISO geographic information conceptual models related to metadata. The XML schemas are generated directly from the conceptual UML model (8.5).</t>
  </si>
  <si>
    <t>https://www.iso.org/standard/80874.html</t>
  </si>
  <si>
    <t>This document specifies the data structure and content of an interface that permits communication between position-providing device(s) and position-using device(s) enabling the position-using device(s) to obtain and unambiguously interpret position information and determine, based on a measure of the degree of reliability, whether the resulting position information meets the requirements of the intended use.
A standardized interface for positioning allows the integration of reliable position information obtained from non-specific positioning technologies and is useful in various location-focused information applications, such as surveying, navigation, intelligent transportation systems (ITS) and location-based services (LBS).</t>
  </si>
  <si>
    <t>https://www.iso.org/standard/87480.html</t>
  </si>
  <si>
    <t>ISO 19117:2012 specifies a conceptual schema for describing symbols, portrayal functions that map geospatial features to symbols, and the collection of symbols and portrayal functions into portrayal catalogues. This conceptual schema can be used in the design of portrayal systems. It allows feature data to be separate from portrayal data, permitting data to be portrayed in a dataset independent manner.</t>
  </si>
  <si>
    <t>https://www.iso.org/standard/46226.html</t>
  </si>
  <si>
    <t>This International Standard specifies the requirements for defining encoding rules for use for the interchange of data that conform to the geographic information in the set of International Standards known as the “ISO 19100 series”. This International Standard specifies - requirements for creating encoding rules based on UML schemas, - requirements for creating encoding services, and - requirements for XML-based encoding rules for neutral interchange of data. This International Standard does not specify any digital media, does not define any transfer services or transfer protocols, nor does it specify how to encode inline large images.</t>
  </si>
  <si>
    <t>https://www.iso.org/standard/44212.html</t>
  </si>
  <si>
    <t>This International Standard defines requirements for how platform neutral and platform specific specification of services shall be created, in order to allow for one service to be specified independently of one or more underlying distributed computing platforms.
This International Standard defines requirements for a further mapping from platform neutral to platform specific service specifications, in order to enable conformant and interoperable service implementations.
This International Standard addresses the Meta:Service foundation of the ISO geographic information reference model described in ISO 19101-1:2014, Clause 6 and Clause 8, respectively.
This International Standard defines how geographic services shall be categorised according to a service taxonomy based on architectural areas and allows also for services to be categorised according to a usage life cycle perspective, as well as according to domain specific and user defined service taxonomies, providing support for easier publication and discovery of services.</t>
  </si>
  <si>
    <t>https://www.iso.org/standard/59221.html</t>
  </si>
  <si>
    <t>This document defines a conceptual schema for coverages. A coverage is a mapping from a spatial, temporal or spatiotemporal domain to attribute values sharing the same attribute type. A coverage domain consists of a collection of direct positions in a coordinate space that can be defined in terms of spatial and/or temporal dimensions, as well as non-spatiotemporal (in ISO 19111:2019, “parametric”) dimensions. Examples of coverages include point clouds, grids, meshes, triangulated irregular networks, and polygon sets. Coverages are the prevailing data structures in a number of application areas, such as remote sensing, meteorology and mapping of depth, elevation, soil and vegetation. This document defines the coverage concept including the relationship between the domain of a coverage and its associated attribute range. This document defines the characteristics of the domain. The characteristics of the attribute range are not defined in this document, but are defined in implementation standards. Consequently, the standardization target of this document consists of implementation standards, not concrete implementations themselves.</t>
  </si>
  <si>
    <t>https://www.iso.org/standard/70743.html</t>
  </si>
  <si>
    <t>This document defines a coverage processing language for server-side extraction, filtering, processing, analytics, and fusion of multi-dimensional geospatial coverages representing, for example, spatio-temporal sensor, image, simulation, or statistics datacubes. Services implementing this language provide access to original or derived sets of coverage information, in forms that are useful for client-side consumption. This document relies on the ISO 19123-1 abstract coverage model. In this edition, regular and irregular multi-dimensional grids are supported for axes that can carry spatial, temporal or any other semantics. Future editions will additionally support further axis types as well as further coverage types from ISO 19123-1, specifically, point clouds and meshes.</t>
  </si>
  <si>
    <t>https://www.iso.org/standard/83611.html</t>
  </si>
  <si>
    <t>Geographic information - Simple feature access - Part 1: Common architecture</t>
  </si>
  <si>
    <t>This part of ISO 19125 establishes a common architecture and defines terms to use within the architecture.This part of ISO 19125 does not attempt to standardize and does not depend upon any part of the mechanism by which Types are added and maintained, including the following: a) syntax and functionality provided for defining types; b) syntax and functionality provided for defining functions;</t>
  </si>
  <si>
    <t>https://www.iso.org/standard/40114.html</t>
  </si>
  <si>
    <t>This document specifies a schema for feature concept dictionaries to be established and managed as registers. It does not specify schemas for feature catalogues or for the management of feature catalogues as registers. However, as feature catalogues are often derived from feature concept dictionaries, this document does specify a schema for a hierarchical register of feature concept dictionaries and feature catalogues. These registers are in accordance with ISO 19135‑1.</t>
  </si>
  <si>
    <t>https://www.iso.org/standard/78898.html</t>
  </si>
  <si>
    <t>Geographic information - Web map server interface</t>
  </si>
  <si>
    <t>This International Standard specifies the behaviour of a service that produces spatially referenced maps dynamically from geographic information. It specifies operations to retrieve a description of the maps offered by a server to retrieve a map, and to query a server about features displayed on a map. This International Standard is applicable to pictorial renderings of maps in a graphical format; it is not applicable to retrieval of actual feature data or coverage data values.</t>
  </si>
  <si>
    <t>https://www.iso.org/standard/32546.html</t>
  </si>
  <si>
    <t>This document describes requirements for the specification of geographic data products, based upon the concepts of other International Standards in the ISO 19100 family of standards. It also provides guidance in the creation of data product specifications, so that they can be easily understood and fit for their intended purpose.
This document specifies XML encoding of data product specifications.
This document provides OWL representation of the underlying UML model. See Annex F.
This document is intended for use by data producers, data providers, service providers and potential users of data products.</t>
  </si>
  <si>
    <t>https://www.iso.org/standard/85092.html</t>
  </si>
  <si>
    <t>Geographic information - Location-based services - Reference model</t>
  </si>
  <si>
    <t>This International Standard defines a reference model and a conceptual framework for location-based services (LBS), and describes the basic principles by which LBS applications may interoperate. This framework references or contains an ontology, a taxonomy, a set of design patterns and a core set of LBS service abstract specifications in UML. This International Standard further specifies the framework's relationship to other frameworks, applications and services for geographic information and to client applications.</t>
  </si>
  <si>
    <t>https://www.iso.org/standard/40601.html</t>
  </si>
  <si>
    <t>Geographic information - Location-based services - Tracking and navigation</t>
  </si>
  <si>
    <t>This International Standard describes the data types, and operations associated with those types, for the implementation of tracking and navigation services. This International Standard is designed to specify web services that can be made available to wireless devices through web-resident proxy applications, but is not restricted to that environment.</t>
  </si>
  <si>
    <t>https://www.iso.org/standard/32551.html</t>
  </si>
  <si>
    <t>Geographic information - Location-based services - Multimodal routing and navigation</t>
  </si>
  <si>
    <t>This International Standard specifies the data types and their associated operations for the implementation of multimodal location-based services for routing and navigation. It is designed to specify web services that may be made available to wireless devices through web-resident proxy applications, but is not limited to that environment.</t>
  </si>
  <si>
    <t>https://www.iso.org/standard/32552.html</t>
  </si>
  <si>
    <t>This part of ISO 19135 specifies procedures to be followed in establishing, maintaining, and publishing registers of unique, unambiguous, and permanent identifiers and meanings that are assigned to items of geographic information. In order to accomplish this purpose, this part of ISO 19135 specifies elements that are necessary to manage the registration of these items.</t>
  </si>
  <si>
    <t>03.2021</t>
  </si>
  <si>
    <t>https://www.iso.org/standard/54721.html</t>
  </si>
  <si>
    <t>The Geography Markup Language (GML) is an XML encoding in accordance with ISO 19118 for the transport and storage of geographic information modelled in accordance with the conceptual modelling framework used in the ISO 19100 series of International Standards and including both the spatial and non-spatial properties of geographic features.
This document defines the XML Schema syntax, mechanisms and conventions that:
— provide an open, vendor-neutral framework for the description of geospatial application schemas for the transport and storage of geographic information in XML;
— allow profiles that support proper subsets of GML framework descriptive capabilities;
— support the description of geospatial application schemas for specialized domains and information communities;
— enable the creation and maintenance of linked geographic application schemas and datasets;
— support the storage and transport of application schemas and datasets;
— increase the ability of organizations to share geographic application schemas and the information they describe.
Implementers can decide to store geographic application schemas and information in GML, or they can decide to convert from some other storage format on demand and use GML only for schema and data transport.
NOTE If an ISO 19109 conformant application schema described in UML is used as the basis for the storage and transportation of geographic information, this document provides normative rules for the mapping of such an application schema to a GML application schema in XML Schema and, as such, to an XML encoding for data with a logical structure in accordance with the ISO 19109 conformant application schema.</t>
  </si>
  <si>
    <t>https://www.iso.org/standard/75676.html</t>
  </si>
  <si>
    <t>The Geography Markup Language (GML) is an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
ISO 19136-2:2015 defines the XML Schema syntax, mechanisms and conventions that:
-provide an open, vendor-neutral framework for the description of geospatial application schemas for the transport and storage of geographic information in XML;
-allow profiles that support proper subsets of GML framework descriptive capabilities;
-support the description of geospatial application schemas for specialized domains and information communities;
-enable the creation and maintenance of linked geographic application schemas and datasets;
-support the storage and transport of application schemas and datasets;
-increase the ability of organizations to share geographic application schemas and the information they describe.
Implementers may decide to store geographic application schemas and information in GML, or they may decide to convert from some other storage format on demand and use GML only for schema and data transport.
ISO 19136-2:2015 builds on ISO 19136:2007 (GML 3.2), and extends it with additional schema components and requirements.
NOTE If an ISO 19109 conformant application schema described in UML is used as the basis for the storage and transportation of geographic information, this part of ISO 19136 provides normative rules for the mapping of such an application schema to a GML application schema in XML Schema and, as such, to an XML encoding for data with a logical structure in accordance with the ISO 19109 conformant application schema.</t>
  </si>
  <si>
    <t>https://www.iso.org/standard/61585.html</t>
  </si>
  <si>
    <t>Geographic information - Core profile of the spatial schema</t>
  </si>
  <si>
    <t>This International Standard defines a core profile of the spatial schema specified in ISO 19107 that specifies, in accordance with ISO 19106, a minimal set of geometric elements necessary for the efficient creation of application schemata. This International Standard supports many of the spatial data formats and description languages already developed and in broad use within several nations or liaison organizations.</t>
  </si>
  <si>
    <t>https://www.iso.org/standard/32555.html</t>
  </si>
  <si>
    <t>Geographic information - Schema for moving features</t>
  </si>
  <si>
    <t>This International Standard defines a method to describe the geometry of a feature that moves as a rigid body. Such movement has the following characteristics. a)  The feature moves within any domain composed of spatial objects as specified in ISO 19107. b)  The feature may move along a planned route, but it may deviate from the planned route. c)  Motion may be influenced by physical forces, such as orbital, gravitational, or inertial forces. d)  Motion of a feature may influence or be influenced by other features, for example: 1)  The moving feature might follow a predefined route (e.g. road), perhaps part of a network, and might change routes at known points (e.g. bus stops, waypoints). 2)  Two or more moving features may be “pulled” together or pushed apart (e.g. an airplane will be refuelled during flight, a predator detects and tracks a prey, refugee groups join forces). 3)  Two or more moving features may be constrained to maintain a given spatial relationship for some period (e.g. tractor and trailer, convoy).</t>
  </si>
  <si>
    <t>https://www.iso.org/standard/41445.html</t>
  </si>
  <si>
    <t>This International Standard specifies the behaviour of a web feature service that provides transactions on and access to geographic features in a manner independent of the underlying data store. It specifies discovery operations, query operations, locking operations,  transaction operations and operations to manage stored parameterized query expressions. Discovery operations allow  the service to be interrogated to determine its capabilities and to retrieve the application schema that defines the feature types that the service offers. Query operations allow features or values of feature properties to be retrieved from the underlying data store based upon constraints, defined by the client, on feature properties. Locking operations allow exclusive access to features for the purpose of modifying or deleting features. Transaction operations allow features to be created, changed, replaced and deleted from the underlying data store. Stored query operations allow clients to create, drop, list and describe parameterized query expressions that are stored by the server and can be repeatedly invoked using different parameter values.</t>
  </si>
  <si>
    <t>https://www.iso.org/standard/42136.html</t>
  </si>
  <si>
    <t>This International Standard describes an XML and KVP encoding of a system neutral syntax for expressing projections, selection and sorting clauses collectively called a query expression. These components are modular and intended to be used together or individually by other standards which reference this International Standard. EXAMPLE 1 ISO 19142 makes use of some or all of these components. This International Standard defines an abstract component, named AbstractQueryExpression, from which other specifications can subclass concrete query elements to implement query operations. This International Standard also defines an additional abstract query component, named AbstractAdhocQueryExpresison, which is derived from AbstractQueryExpression and from which other specifications can subclass concrete query elements which follow the following query pattern: An abstract query element from which service specifications can subclass a concrete query element that implements a query operation that allows a client to specify a list of resource types, an optional projection clause, an optional selection clause, and an optional sorting clause to query a subset of resources that satisfy the selection clause. This pattern is referred to as an ad hoc query pattern since the server is not aware of the query until it is submitted for processing. This is in contrast to a stored query expression, which is stored and can be invoked by name or identifier. This International Standard also describes an XML and KVP encoding of a system-neutral representation of a select clause. The XML representation is easily validated, parsed and transformed into a server-specific language required to retrieve or modify object instances stored in some persistent object store.</t>
  </si>
  <si>
    <t>https://www.iso.org/standard/42137.html</t>
  </si>
  <si>
    <t>This part of ISO 19144 establishes the structure of a geographic information classification system, together with the mechanism for defining and registering the classifiers for such a system. It specifies the use of discrete coverages to represent the result of applying the classification system to a particular area and defines the technical structure of a register of classifiers in accordance with ISO 19135. The structure can be used to develop specific classification systems that address particular application areas, specified in other parts of ISO 19144.</t>
  </si>
  <si>
    <t>08.2012</t>
  </si>
  <si>
    <t>https://www.iso.org/standard/32562.html</t>
  </si>
  <si>
    <t>This document specifies a Land Cover Meta Language (LCML) expressed as a UML metamodel that allows different Land Cover classification systems to be described based on physiognomic aspects. This document recognizes that a number of Land Cover classification systems exist. It provides a common reference structure for the comparison and integration of data for any generic Land Cover classification system, but does not intend to replace those classification systems.</t>
  </si>
  <si>
    <t>https://www.iso.org/standard/81259.html</t>
  </si>
  <si>
    <r>
      <t xml:space="preserve">This document establishes a methodology for cross-mapping </t>
    </r>
    <r>
      <rPr>
        <sz val="11"/>
        <color rgb="FFFF0000"/>
        <rFont val="Calibri"/>
        <family val="2"/>
        <scheme val="minor"/>
      </rPr>
      <t>vocabularies</t>
    </r>
    <r>
      <rPr>
        <sz val="11"/>
        <rFont val="Calibri"/>
        <family val="2"/>
        <scheme val="minor"/>
      </rPr>
      <t>. It also specifies an implementation of ISO 19135-1:2015 for the purpose of registering cross-mapped vocabulary entries.
Methodologies for the development of ontologies and taxonomies that relate to geographic information and geomatics are not within the scope of this document.</t>
    </r>
  </si>
  <si>
    <t>https://www.iso.org/standard/72217.html</t>
  </si>
  <si>
    <t>This document specifies a conceptual schema for locations relative to a one-dimensional object as measurement along (and optionally offset from) that object. It defines a description of the data and operations required to use and support linear referencing.
This document is applicable to transportation, utilities, environmental protection, location-based services and other applications which define locations relative to linear objects. For ease of reading, most examples discussed in this document come from the transportation domain.</t>
  </si>
  <si>
    <t>Geographic information - Linear referencing</t>
  </si>
  <si>
    <t>https://www.iso.org/standard/75150.html</t>
  </si>
  <si>
    <t>Geographic information - Cross-domain vocabularies</t>
  </si>
  <si>
    <t>Geographic information - Classification systems - Part 2: Land Cover Meta Language (LCML)</t>
  </si>
  <si>
    <t>Geographic information - Ontology - Part 6: Service ontology register</t>
  </si>
  <si>
    <t>This document establishes a standard registration and maintenance mechanism for the registration of ISO 19150-4-conformant geographic information service ontologies.
This document makes use of ISO 19135-1 whenever appropriate.
This document does not define semantics operators or rules for ontologies, and does not develop any application ontology.
In relation to ISO 19101-1:2014, 6.2, this document defines and formalizes the following purposes of the ISO geographic information reference model:
—     geographic information service components and their behaviour for data processing purposes over the Web; and
—     OWL ontologies to cast ISO/TC 211 International Standards to benefit from and support the Semantic Web.
In relation to ISO 19101-1:2014, 8.3, this document addresses the Application:Procedural foundation of the ISO geographic information reference model.</t>
  </si>
  <si>
    <t>https://www.iso.org/standard/80867.html</t>
  </si>
  <si>
    <t>Geographic information - Land Administration Domain Model (LADM) - Part 1: Generic conceptual model</t>
  </si>
  <si>
    <t>This document:
—     defines a reference Land Administration Domain Model (LADM) covering basic information-related components of land administration/georegulation;
—     provides an abstract, conceptual model with packages related to:
—     parties (people and organizations),
—     basic administrative units, rights, responsibilities and restrictions (RRRs),
—     spatial units,
—     a generic conceptual model (sources and versioned object);
—     provides terminology for land administration/georegulation, based on various national and international systems, that is as simple as possible in order to be useful in practice. The terminology allows a shared description of different formal or informal practices and procedures in various jurisdictions;
—     provides a content model independent of encoding, allowing for the support of various encodings;
—     provides a basis for national and regional profiles;
—     enables the combining of land administration/georegulation information from different sources in a coherent manner.
The following are outside the scope of this document:
—     interference with (national) land administration/georegulation laws with potentially legal implications due to the possibility of describing different types of systems but in the same notation;
—     construction of external databases with party data, address data, land cover data, physical utility network data, archive data and taxation data. However, the LADM provides stereotype classes for these data sets to indicate which data set elements the LADM expects from these external sources, if available.
This document provides the concepts and basic structure for standardization in the land administration/georegulation domain. It defines a general schema that permits regulatory information to be described. It also allows for the relationship to multiple parties and groups to be expressed together with a referencing structure so that sourcing of all information systems can be maintained. This document establishes the common elements and basic schema upon which more detailed schema can be established.</t>
  </si>
  <si>
    <t>https://www.iso.org/standard/81263.html</t>
  </si>
  <si>
    <t>Geographic information - Land Administration Domain Model (LADM) - Part 3: Marine georegulation</t>
  </si>
  <si>
    <t>This document specifies the concepts and structure for standardization for georegulation in the marine space.
This document addresses the information structures related to management of legal spaces (such as the international maritime limits and boundaries, marine living and non-living resources management areas, marine conservation areas, etc.) and their related rights and obligations.
This document establishes the common elements and basic schema to structure marine georegulation information system. It builds upon the common components defined in ISO 19152-1.</t>
  </si>
  <si>
    <t>https://www.iso.org/standard/81264.html</t>
  </si>
  <si>
    <t>Geographic information - Observations, measurements and samples</t>
  </si>
  <si>
    <t>This document defines a conceptual schema for observations, for features involved in the observation process, and for features involved in sampling when making observations. These provide models for the exchange of information describing observation acts and their results, both within and between different scientific and technical communities.
Observations commonly involve sampling of an ultimate feature-of-interest. This document defines a common set of sample types according to their spatial, material (for ex situ observations) or statistical nature. The schema includes relationships between sample features (sub-sampling, derived samples).
This document concerns only externally visible interfaces and places no restriction on the underlying implementations other than what is needed to satisfy the interface specifications in the actual situation.</t>
  </si>
  <si>
    <t>https://www.iso.org/standard/82463.html</t>
  </si>
  <si>
    <t>Geographic information - Data quality - Part 1: General requirements</t>
  </si>
  <si>
    <t>This document establishes the principles for describing the quality of geographic data. It:
—    defines a well-considered system of components for describing data quality;
—    defines the process for defining additional, domain-specific components for describing data quality;
—    specifies components and the content structure of data quality measures;
—    describes general procedures for evaluating the quality of geographic data;
—    establishes principles for reporting data quality.
This document is applicable to data producers providing quality information to describe and assess how well a dataset conforms to its product specification and to data users attempting to determine whether or not specific geographic data are of sufficient quality for their particular application.
This document does not attempt to define minimum acceptable levels of quality for geographic data. Such information is usually present as a requirement in a data product specification, defined in accordance with ISO 19131, for example.</t>
  </si>
  <si>
    <t>https://www.iso.org/standard/78900.html</t>
  </si>
  <si>
    <t>Geographic information - Indoor feature model</t>
  </si>
  <si>
    <t>This document specifies a core semantic classification system of essential indoor features to describe indoor environments required commonly in various location-based indoor applications of buildings. The scope includes the following:
—     semantic description of indoor features and their attributes;
—     feature association between indoor features.
The semantic classification system in this document is compatible with the building model defined in existing related standards. Geometric and topological descriptions of indoor features are not considered in this document. This document does not apply to other architectural structures, such as tunnels.</t>
  </si>
  <si>
    <t>https://www.iso.org/standard/83153.html</t>
  </si>
  <si>
    <t>Geographic information - Geospatial API for features - Part 1: Core</t>
  </si>
  <si>
    <t>This document specifies the behaviour of Web APIs that provide access to features in a dataset independently of the underlying data store. This document defines discovery and query operations.
Discovery operations enable clients to interrogate the API, including the API definition and metadata about the feature collections provided by the API, to determine the capabilities of the API and retrieve information about available distributions of the dataset.
Query operations enable clients to retrieve features from the underlying data store based upon simple selection criteria, defined by the client.</t>
  </si>
  <si>
    <t>https://www.iso.org/standard/86508.html</t>
  </si>
  <si>
    <t>Geographic information - Geospatial API for features - Part 2: Coordinate Reference Systems by Reference</t>
  </si>
  <si>
    <t>This document specifies an extension to the Geospatial API for Features — Part 1: Core standard that defines the behaviour of a server that supports the ability to present geometry valued properties in a response document in one from a list of supported Coordinates Reference Systems (CRS).
Each supported CRS is specified by reference using a uniform resource identifier (URI).
This document specifies:
—    how, for each offered feature collection, a server advertises the list of supported CRS identifiers;
—    how the coordinates of geometry valued feature properties can be accessed in one of the supported CRSs;
—    how features can be accessed from the server using a bounding box specified in one of the supported CRSs; and
—    how a server can declare the CRS used to present feature resources.</t>
  </si>
  <si>
    <t>https://www.iso.org/standard/82464.html</t>
  </si>
  <si>
    <t>Geographic information -- Reference model -- Part 2: Imagery</t>
  </si>
  <si>
    <t>This document defines a reference model for standardization in the field of geographic imagery processing. This reference model identifies the scope of the standardization activity being undertaken and the context in which it takes place. The reference model includes gridded data with an emphasis on imagery. Although structured in the context of information technology and information technology standards, this document is independent of any application development method or technology implementation approach.</t>
  </si>
  <si>
    <t>https://www.iso.org/standard/69325.html</t>
  </si>
  <si>
    <t>Geographic information -- Terminology</t>
  </si>
  <si>
    <t>ISO 19104:2016 specifies requirements for the collection, management and publication of terminology in the field of geographic information.
The scope of this document includes
-      selection of concepts, harmonization of concepts and development of concept systems,
-      structure and content of terminological entries,
-      term selection,
-      definition preparation,
-      cultural and linguistic adaptation,
-      layout and formatting requirements in rendered documents, and
-      establishment and management of terminology registers.
ISO 19104:2016 is applicable to International Standards and Technical Specifications in the field of geographic information.</t>
  </si>
  <si>
    <t>https://www.iso.org/standard/63541.html</t>
  </si>
  <si>
    <t>Geographic information -- Schema for coverage geometry and functions -- Part 2: Coverage implementation schema</t>
  </si>
  <si>
    <t>This document specifies a concrete[1] implementable, conformance-testable coverage structure based on the abstract schema for coverages defined in the ISO 19123 schema for coverage geometry. This document defines a structure that is suitable for encoding in many encoding formats.
[1] "concrete" is used here as a contrast to "abstract" in the sense described in the Introduction.</t>
  </si>
  <si>
    <t>https://www.iso.org/standard/70948.html</t>
  </si>
  <si>
    <t>Geographic information -- Geodetic register</t>
  </si>
  <si>
    <t>This document defines the management and operations of the ISO geodetic register and identifies the data elements, in accordance with ISO 19111:2007 and the core schema within ISO 19135-1:2015, required within the geodetic register.</t>
  </si>
  <si>
    <t>https://www.iso.org/standard/67252.html</t>
  </si>
  <si>
    <t>Geographic information -- Imagery sensor models for geopositioning -- Part 1: Fundamentals</t>
  </si>
  <si>
    <t>This document identifies the information required to determine the relationship between the position of a remotely sensed pixel in image coordinates and its geoposition. It supports exploitation of remotely sensed images. It defines the metadata to be distributed with the image to enable user determination of geographic position from the observations.
This document specifies several ways in which information in support of geopositioning can be provided.
a)    It may be provided as a sensor description with the associated physical and geometric information necessary to rigorously construct a PSM. For the case where precise geoposition information is needed, this document identifies the mathematical equations for rigorously constructing PSMs that relate 2D image space to 3D ground space and the calculation of the associated propagated errors. This document provides detailed information for three types of passive electro-optical/ IR sensors (frame, pushbroom and whiskbroom) and for an active microwave sensing system SAR. It provides a framework by which these sensor models can be extended to other sensor types.
b)    It can be provided as a TRM, using functions whose coefficients are based on a PSM so that they provide information for precise geopositioning, including the calculation of errors, as precisely as the PSM they replace.
c)    It can be provided as a CM that provides a functional fitting based on observed relationships between the geopositions of a set of GCPs and their image coordinates.
d)    It can be provided as a set of GCPs that can be used to develop a CM or to refine a PSM or TRM.
This document does not specify either how users derive geoposition data or the format or content of the data the users generate.</t>
  </si>
  <si>
    <t>https://www.iso.org/standard/66847.html</t>
  </si>
  <si>
    <t>Geographic information -- Registry of representations of geographic point location</t>
  </si>
  <si>
    <t>ISO 19145:2013 specifies the process for establishing, maintaining and publishing registers of representation of geographic point location in compliance with ISO 19135. It identifies and describes the information elements and the structure of a register of representations of geographic point location including the elements for the conversion of one representation to another.
ISO 19145:2013 also specifies the XML implementation of the required XML extension to ISO/TS 19135-2, for the implementation of a register of geographic point location representations.</t>
  </si>
  <si>
    <t>https://www.iso.org/standard/32563.html</t>
  </si>
  <si>
    <t>Geographic information -- Transfer Nodes</t>
  </si>
  <si>
    <t>ISO 19147:2015 specifies the data types and code lists associated with those types for the implementation of transfer nodes and their services in transport modelling and location based services.
It includes the following:
?   defines transfer nodes in a multimodal way so that the definition is general and valid for all types of transport means and modes;
?   links transfer nodes to a location;
?   focuses on the attributes defining the transfer node in relation to nodes in mode-specific networks;
?   defines the attributes of transfer nodes that are relevant for travel planning and modelling of interoperable transport systems by transport planners;
?   defines a set of services and facilities that may be related to transfer nodes and a way to provide information on accessibility, deviations and restrictions related to these services and facilities.
ISO 19147:2015 is applicable for transport infrastructure owners and operators when defining and/or describing their transport infrastructure and for transport-related Service Providers when providing information to travellers and others.
It is limited to the transport of persons and is also limited to the static getting-on and getting-off points. The main focus is on transfer nodes being part of public transport networks, that are located in road networks, but this International Standard is also applicable for transfer nodes in rail networks and in air and sea transport networks.</t>
  </si>
  <si>
    <t>https://www.iso.org/standard/44874.html</t>
  </si>
  <si>
    <t>Geographic information -- Ontology -- Part 2: Rules for developing ontologies in the Web Ontology Language (OWL)</t>
  </si>
  <si>
    <t>ISO 19150-2:2015 defines rules and guidelines for the development of ontologies to support better the interoperability of geographic information over the Semantic Web. The Web Ontology Language (OWL) is the language adopted for ontologies.
It defines the conversion of the UML static view modeling elements used in the ISO geographic information standards into OWL. It further defines conversion rules for describing application schemas based on the General Feature Model defined in ISO 19109 into OWL.
It does not define semantics operators, rules for service ontologies, and does not develop any ontology.</t>
  </si>
  <si>
    <t>https://www.iso.org/standard/57466.html</t>
  </si>
  <si>
    <t>01.2019</t>
  </si>
  <si>
    <t>Geographic information -- Ontology -- Part 4: Service ontology</t>
  </si>
  <si>
    <t>This document sets a framework for geographic information service ontology and the description of geographic information Web services in Web Ontology Language (OWL).
OWL is the language adopted for ontologies.
This document makes use of service metadata (ISO 19115-1) and service definitions (ISO 19119) whenever appropriate.
This document does not define semantics operators, rules for ontologies, and does not develop any application ontology.
In relation to ISO 19101-1:2014, 6.2, this document defines and formalizes the following purpose of the ISO geographic information reference model:
-  geographic information service components and their behaviour for data processing purposes over the Web, and
-  OWL ontologies to cast ISO/TC 211 standards to benefit from and support the Semantic Web.
In relation to ISO 19101-1:2014, 8.3, this document addresses the Meta:Service foundation of the ISO geographic information reference model.</t>
  </si>
  <si>
    <t>https://www.iso.org/standard/72177.html</t>
  </si>
  <si>
    <t>Geographic information -- Ubiquitous public access -- Reference model</t>
  </si>
  <si>
    <t>ISO 19154:2014 defines a reference model for ubiquitous public access (UPA) to geographic
information. This reference model uses standard concepts from both the Open distributed processing
— Reference model (RM-ODP) in ISO/IEC 10746-1 and ISO 19101.
The reference model specified in this International Standard defines the following:
— conceptual models for ubiquitous public access (UPA) to geographic information;
— a reference model and framework to support current and future specification development in this area;
— the semantics of information and processing within systems and services for the UPA of
geographic information;
— the architectural relationship between this International Standard and other ISO geographic
information standards.
This International Standard is applicable to location-based services (LBS), ubiquitous computing
environments, linked open data, and other domains that require a seamless public access to
geographic information.
Although structured in the context of information technology and information technology standards,
this International Standard is independent of any application development method or technology
implementation approach.</t>
  </si>
  <si>
    <t>https://www.iso.org/standard/32572.html</t>
  </si>
  <si>
    <t>Geographic information -- Place Identifier (PI) architecture</t>
  </si>
  <si>
    <t>ISO 19155:2012 specifies an architecture that defines a reference model with an encoding method for an identifier of a place. The concept of "place" within ISO 19155:2012 includes "places" not only in the real world but also those in the virtual world. These "places" are identified using either coordinate identifiers, geographic identifiers, or virtual world identifiers such as URI. In ISO 19155:2012, an identifier of a place is referred to as a Place Identifier (PI).
The reference model defines a mechanism to match multiple Place Identifiers to the same place. In addition, a data structure and set of service interfaces are also defined in this reference model.
ISO 19155:2012 is applicable to location based services, emergency management services and other application domains that require a common architecture, across specific domains, for the representation of place descriptions using coordinate, geographic, or virtual world identifiers.</t>
  </si>
  <si>
    <t>https://www.iso.org/standard/32573.html</t>
  </si>
  <si>
    <t>Geographic information -- Place Identifier (PI) architecture -- Part 2: Place Identifier (PI) linking</t>
  </si>
  <si>
    <t>ISO 19155-2:2017 defines the following three mechanisms for linking Place Identifiers (PIs) (see ISO 19155) to features or objects existing in other encodings:
-      Id attribute of a GML object (gml:id) as defined in ISO 19136;
-      Universally Unique Identifier (UUID) as defined in IETF RFC 4122;
-      Uniform Resource Locator (URL) as defined in IETF RFC 1738.
These PI linking mechanisms are enabled using xlink:href as defined in W3C XML Linking Language (XLink).
While the identifiers of these features or objects can sometimes identify a place, within the scope of this document, the identifiers of features or objects existing in other encoding domains are referred to conceptually as other identifiers.
This document further defines that when PIs are encoded, as specified in ISO 19155, using the Geography Markup Language (GML) (ISO 19136), they are linked using gml:id to other GML encoded features. The details of encoding GML instances using gml:id are specified in a normative annex.
Additional normative annexes define encodings for linking Place Identifiers to other identifiers using UUID and URL and present examples for their use.
ISO 19155-2:2017 is applicable to location-based services, linked open data, robotic assisted services and other application domains that require a relationship between PIs and objects in either the real or virtual world.
ISO 19155-2:2017 is not about creating a registry of Place Identifiers linked to specific features or objects, and support of linking mechanisms other than gml:id, UUID, and URL is out of the scope of this document.</t>
  </si>
  <si>
    <t>https://www.iso.org/standard/63593.html</t>
  </si>
  <si>
    <t>Geographic information -- Geodetic references -- Part 1: International terrestrial reference system (ITRS)</t>
  </si>
  <si>
    <t>This document provides the basic information and the requirements related to the International Terrestrial Reference System (ITRS), its definition, its realizations and how to access and use these realizations.
This document:
-  describes ITRS following the definitions and terminology adopted by the International Union of Geodesy and Geophysics (IUGG), the International Association of Geodesy (IAG) and the International Astronomical Union (IAU);
-  describes different categories of ITRS realizations: its primary realization, labelled the International Terrestrial Reference Frame (ITRF), other existing realizations of reference systems that are mathematically derived from the ITRS, and realizations that are aligned to the ITRF, such as GNSS-specific reference frames;
-  categorizes procedures for realizing the ITRS.</t>
  </si>
  <si>
    <t>https://www.iso.org/standard/70655.html</t>
  </si>
  <si>
    <t>Geographic information -- Well-known text representation of coordinate reference systems</t>
  </si>
  <si>
    <t>This document defines the structure and content of a text string implementation of the abstract model for coordinate reference systems described in ISO 19111. The string defines frequently needed types of coordinate reference systems and coordinate operations in a self-contained form that is easily readable by machines and by humans. The essence is its simplicity; as a consequence there are some constraints upon the more open content allowed in ISO 19111. To retain simplicity in the well-known text (WKT) description of coordinate reference systems and coordinate operations, the scope of this document excludes parameter grouping and pass-through coordinate operations. The text string provides a means for humans and machines to correctly and unambiguously interpret and utilise a coordinate reference system definition with look-ups or cross references only to define coordinate operation mathematics. A WKT string is not suitable for the storage of definitions of coordinate reference systems or coordinate operations because it omits metadata about the source of the data and may omit metadata about the applicability of the information.</t>
  </si>
  <si>
    <t>https://www.iso.org/standard/76496.html</t>
  </si>
  <si>
    <t>Geographic information -- Preservation of digital data and metadata -- Part 1: Fundamentals</t>
  </si>
  <si>
    <t>ISO 19165-1:2018 defines a preservation metadata extension of ISO 19115-1.
ISO 19165-1:2018 defines the requirements for the long-term preservation of digital geospatial data. These data also include metadata, representation information, provenance, context and any other content items that capture the knowledge that are necessary to fully understand and reuse the archived data. This document also refers to characteristics of data formats that are useful for the purpose of archiving.
Geospatial data are preserved as a geospatial information package (IP). This document defines the requirements of the geospatial archival IP and details of the geospatial submission and the dissemination IPs. A geospatial archival IP is fully self-describing and allows a future reconstruction of the dataset without external documentation. The functional requirements for a preservation archive are defined in Annex D.
ISO 19165-1:2018 complements standards developed by ISO/TC 211 as well as other ISO standards such as ISO 14721.</t>
  </si>
  <si>
    <t>https://www.iso.org/standard/67325.html</t>
  </si>
  <si>
    <t>Geographic information -- Preservation of digital data and metadata -- Part 2: Content specifications for Earth observation data and derived digital products</t>
  </si>
  <si>
    <t>This document aims to extend the long-term preservation of digital geospatial data to provide details about content describing the provenance and context specific to data from missions that observe the Earth using spaceborne, airborne or in situ instruments.</t>
  </si>
  <si>
    <t>https://www.iso.org/standard/73810.html</t>
  </si>
  <si>
    <t>Geographic information — Discrete Global Grid Systems Specifications — Part 1: Core Reference System and Operations, and Equal Area Earth Reference System</t>
  </si>
  <si>
    <t>This document supports the definition of:
-  A Discrete Global Grid Systems (DGGS) core comprising:
-  an RS using zonal identifiers with structured geometry, and
-  functions providing import, export and topological query,
-  Common spatio-temporal classes for geometry, topology, RS using zonal identifiers, zonal identifiers and zones, based on ISO 19111 CRS. The spatio-temporal scope is constrained to:
-  spatial elements that are invariant through all time, and
-  temporal elements that are invariant across all space.
-  Equal-Area Earth Reference Systems (EAERSs) for Equal-Area Earth DGGS.</t>
  </si>
  <si>
    <t>https://www.iso.org/standard/32588.html</t>
  </si>
  <si>
    <t>Geographic information -- Imagery and gridded data</t>
  </si>
  <si>
    <t>https://www.iso.org/standard/29775.html</t>
  </si>
  <si>
    <t>This Technical Report reviews the manner in which raster and gridded data is currently being handled in the Geomatics community in order to propose how this type of data should be supported by geographic information standards. 
This Technical Report identifies those aspects of imagery and gridded data that have been standardized or are being standardized in other ISO committees and external standards organizations, and that influence or support the establishment of raster and gridded data standards for geographic information. It also describes the components of those identified ISO and external imagery and gridded data standards that can be harmonized with the ISO 19100 series of geographic information/geomatics standards.
A plan is presented for ISO/TC 211 to address imagery and gridded data in an integrated manner, within the ISO 19100 series of geographic information standards.</t>
  </si>
  <si>
    <t>Application of ubiquitous public access to-geographic information to an air quality information service</t>
  </si>
  <si>
    <t>This document facilitates an understanding of the Ubiquitous Public Access (UPA) context information model, as defined in ISO 19154, to establish a UPA-to-Geographic Information (GI) environment. In addition, this document illustrates how the UPA context information model is designed and implemented to provide an air quality information service from a geographic information system (GIS)-based air quality information system. The UPA context information model for air quality information is only a sample of all possible examples to realize the UPA-to-GI that could satisfy the requirements of ISO 19154.</t>
  </si>
  <si>
    <t>https://www.iso.org/standard/75148.html</t>
  </si>
  <si>
    <t>Geographic Information — Gap-analysis: mapping and describing the differences between the current GDF and ISO/TC 211 conceptual models to suggest ways to harmonize and resolve conflicting issues</t>
  </si>
  <si>
    <t>This document maps and describes the differences between GDF (ISO 20524 series), from ISO/TC 204, and conceptual models from the ISO 19100 family, from ISO/TC 211, and suggests ways to harmonize and resolve issues of conflict.
Throughout this document, reference to GDF refers to GDF v5.1, ISO 20524-1 and ISO 20524-2, unless expressly identified otherwise. Where necessary, reference will be made to Part 1 or Part 2.</t>
  </si>
  <si>
    <t>https://www.iso.org/standard/32587.html</t>
  </si>
  <si>
    <t>Geographic information — Calibration and validation of remote sensing data and derived products — Part 1: Fundamentals</t>
  </si>
  <si>
    <t>The ISO 19124 series is focused on calibration and validation (Cal/Val) of remote sensing data, which are collected by a sensor on-board a platform in a mission, and products derived in part or whole from the data. The ISO 19124 series defines the metadata related to the calibration and validation process that has not been defined in other ISO/TC 211 International Standards. The metadata allows the data providers to provide a standardized description of the Cal/Val process they have applied to the data. It allows the data users to get the same forms of metadata from different data providers.
This document addresses the overall framework and common calibration and validation processes related to Earth observation data and derived products from different types of remote sensors.
Subsequent parts in the ISO 19124 series will target data from specific sensors, for example, infrared, ultraviolet/visible/near-infrared, microwave, or broadband, products derived from those data, and calibration and validation sites.
Calibration addresses a geometric, radiometric, or spectral correction of the data. Validation addresses an evaluation of the quality and the accuracy of the data and the derived products.</t>
  </si>
  <si>
    <t>https://www.iso.org/standard/79352.html</t>
  </si>
  <si>
    <t>Geographic information -- Imagery, gridded and coverage data framework</t>
  </si>
  <si>
    <t>ISO/TS 19129:2009 defines the framework for imagery, gridded and coverage data. This framework defines a content model for the content type imagery and for other specific content types that can be represented as coverage data. These content models are represented as a set of generic UML patterns for application schemas.</t>
  </si>
  <si>
    <t>https://www.iso.org/standard/43041.html</t>
  </si>
  <si>
    <t>Scope/Abstract</t>
  </si>
  <si>
    <t>Geographic information -- Imagery sensor models for geopositioning -- Part 2: SAR, InSAR, lidar and sonar</t>
  </si>
  <si>
    <t>ISO/TS 19130-2:2014 supports exploitation of remotely sensed images. It specifies the sensor models and metadata for geopositioning images remotely sensed by Synthetic Aperture Radar (SAR), Interferometric Synthetic Aperture Radar (InSAR), LIght Detection And Ranging (lidar), and SOund Navigation And Ranging (sonar) sensors. The specification also defines the metadata needed for the aerial triangulation of airborne and spaceborne images.
ISO/TS 19130-2:2014 specifies the detailed information that shall be provided for a sensor description of SAR, InSAR, lidar, and sonar sensors with the associated physical and geometric information necessary to rigorously construct a physical sensor model. For the case where precise geoposition information is needed, this Technical Specification identifies the mathematical formulae for rigorously constructing physical sensor models that relate two-dimensional image space to three-dimensional ground space and the calculation of the associated propagated error.
ISO/TS 19130-2:2014 does not specify either how users derive geoposition data or the format or content of the data the users generate.</t>
  </si>
  <si>
    <t>https://www.iso.org/standard/56113.html</t>
  </si>
  <si>
    <t>Geographic information — Imagery sensor models for geopositioning — Part 3: Implementation schema</t>
  </si>
  <si>
    <t>This document defines the XML Schema implementation of imagery sensor geopositioning models defined in ISO 19130-1 and ISO/TS 19130-2. It applies XML Schema inheritance and extension based on the OGC SensorML and OGC SWE Common Data Model.
Instead of introducing an XML Schema based on the UML models defined in ISO 19130-1 and ISO/TS 19130-2, it leverages the existing OGC SensorML by first introducing a semantic mapping from the model elements defined in ISO 19130-1 and ISO/TS 19130-2 to OGC SensorML, and then defining the detailed schema inheritance and extensions based on OGC SensorML to fully support encoding of the imagery sensor models for geopositioning defined in ISO 19130-1 and ISO/TS 19130-2.</t>
  </si>
  <si>
    <t>https://www.iso.org/standard/74074.html</t>
  </si>
  <si>
    <t>Geographic information -- Ontology -- Part 1: Framework</t>
  </si>
  <si>
    <t>ISO/TS 19150-1:2012 defines the framework for semantic interoperability of geographic information. This framework defines a high level model of the components required to handle semantics in the ISO geographic information standards with the use of ontologies.</t>
  </si>
  <si>
    <t>2012.11</t>
  </si>
  <si>
    <t>https://www.iso.org/standard/57465.html</t>
  </si>
  <si>
    <t>Geographic information -- Data quality -- Part 2: XML schema implementation</t>
  </si>
  <si>
    <t>ISO/TS 19157-2:2016 defines data quality encoding in XML. It is an XML schema implementation derived from ISO 19157:2013 and the data quality related concepts from ISO 19115-2.</t>
  </si>
  <si>
    <t>2016.12</t>
  </si>
  <si>
    <t>https://www.iso.org/standard/66197.html</t>
  </si>
  <si>
    <t>Geographic information -- Quality assurance of data supply</t>
  </si>
  <si>
    <t>ISO/TS 19158:2012 provides a framework for quality assurance specific to geographic information. It is based upon the quality principles and quality evaluation procedures of geographic information identified in ISO 19157 and the general quality management principles defined in ISO 9000.
The framework defined in ISO/TS 19158:2012 enables a customer to satisfy itself that its suppliers, both internal and external, are capable of delivering geographic information to the required quality. Fundamental to the framework is the assurance of the supplier's ability to understand and meet the quality requirements. Through the quality assurance framework both the customer and the supplier are able to consider the quality required at the earliest opportunity in the production/update process.
Principles and responsibilities of the relationship between the customer and the supplier that facilitate the framework are provided. The responsibility for the quality assessment procedure is shared between the customer and the supplier.
ISO/TS 19158:2012 is applicable to customers and suppliers of all geographic information where the quality of the product may be impacted upon by the supplier's processes in any of the following scenarios:
1) there is an agreement or legislation for the supply of data acquisition services,
2) data acquisition services are being tendered for, and
3) one or more suppliers exist in the supply chain.
ISO/TS 19158:2012 is not applicable for the supply of legacy datasets or ?off the shelf' products where there is no further data production or update activity to manage.</t>
  </si>
  <si>
    <t>2012.10</t>
  </si>
  <si>
    <t>https://www.iso.org/standard/32576.html</t>
  </si>
  <si>
    <t>Geographic information -- Calibration and validation of remote sensing imagery sensors and data -- Part 1: Optical sensors</t>
  </si>
  <si>
    <t>ISO/TS 19159-1:2014 defines the calibration and validation of airborne and spaceborne remote sensing imagery sensors. The term "calibration" refers to geometry, radiometry, and spectral, and includes the instrument calibration in a laboratory as well as in situ calibration methods. The validation methods address validation of the calibration information.</t>
  </si>
  <si>
    <t>2014.07</t>
  </si>
  <si>
    <t>https://www.iso.org/standard/60080.html</t>
  </si>
  <si>
    <t>Geographic information -- Calibration and validation of remote sensing imagery sensors and data -- Part 2: Lidar</t>
  </si>
  <si>
    <t>ISO/TS 19159-2:2016 defines the data capture method, the relationships between the coordinate reference systems and their parameters, as well as the calibration of airborne lidar (light detection and ranging) sensors.
ISO/TS 19159-2:2016 also standardizes the service metadata for the data capture method, the relationships between the coordinate reference systems and their parameters and the calibration procedures of airborne lidar systems as well as the associated data types and code lists that have not been defined in other ISO geographic information international standards.</t>
  </si>
  <si>
    <t>2016.04</t>
  </si>
  <si>
    <t>https://www.iso.org/standard/64768.html</t>
  </si>
  <si>
    <t>Geographic information -- Calibration and validation of remote sensing imagery sensors and data -- Part 3: SAR/InSAR</t>
  </si>
  <si>
    <t>This document defines the calibration of SAR/InSAR sensors and validation of SAR/InSAR calibration information.
This document addresses earth based remote sensing. The specified sensors include airborne and spaceborne SAR/InSAR sensors.
This document also addresses the metadata related to calibration and validation.</t>
  </si>
  <si>
    <t>2018.05</t>
  </si>
  <si>
    <t>https://www.iso.org/standard/74032.html</t>
  </si>
  <si>
    <t>his document defines the calibration of space-borne passive microwave radiometers and the validation of the calibrated information.</t>
  </si>
  <si>
    <t>2022.11</t>
  </si>
  <si>
    <t>https://www.iso.org/standard/66769.html</t>
  </si>
  <si>
    <t>Geographic information -- Content components and encoding rules for imagery and gridded data -- Part 1: Content model</t>
  </si>
  <si>
    <t>ISO/TS 19163-1:2016 classifies imagery and regularly spaced gridded thematic data into types based on attribute property, sensor type and spatial property, and defines an encoding-neutral content model for the required components for each type of data. It also specifies logical data structures and the rules for encoding the content components in the structures.
The binding between the content and a specific encoding format will be defined in the subsequent parts of ISO 19163.
ISO/TS 19163-1:2016 does not address LiDAR, SONAR data and ungeoreferenced gridded data.
The logical data structures and the rules for encoding the content components will be addressed in the subsequent parts of ISO 19163.</t>
  </si>
  <si>
    <t>2016.01</t>
  </si>
  <si>
    <t>https://www.iso.org/standard/32581.html</t>
  </si>
  <si>
    <t>Geographic information -- Content components and encoding rules for imagery and gridded data -- Part 2: Implementation schema</t>
  </si>
  <si>
    <t>This document specifies an implementation schema based on the content models for geographic imagery and gridded thematic data defined in the ISO/TS 19163-1.
This document defines a structure that is suitable for binding content components and specific encoding formats. It also provides an implementation schema for binding a concrete, implementable, conformance-testable coverage structure as defined in ISO 19123-2.</t>
  </si>
  <si>
    <t>2020.07</t>
  </si>
  <si>
    <t>https://www.iso.org/standard/74930.html</t>
  </si>
  <si>
    <t>Geographic information — BIM to GIS conceptual mapping (B2GM)</t>
  </si>
  <si>
    <t>This document defines the conceptual framework and mechanisms for mapping information elements from Building Information Modelling (BIM) to Geographic Information Systems (GIS) to access the required information based on specific user requirements.
The conceptual framework for mapping BIM information to GIS is defined with the following three mapping mechanisms:
-  BIM to GIS Perspective Definition (B2G PD);
-  BIM to GIS Element Mapping (B2G EM);
-  BIM to GIS LOD Mapping (B2G LM).
This document does not describe physical schema integration or mapping between BIM and GIS models because the physical schema integration or mapping between two heterogeneous models is very complex and can cause a variety of ambiguity problems. Developing a unified information model between BIM and GIS is a desirable goal, but it is out of the scope of this document.
The scope of this document includes the following:
-  definition for BIM to GIS conceptual mapping requirement description;
-  definition of BIM to GIS conceptual mapping framework and component;
-  definition of mapping for export from one schema into another.
The following concepts are outside the scope:
-  definition of any particular mapping application requirement and mechanism;
-  bi-directional mapping method between BIM and GIS;
-  definition of physical schema mapping between BIM and GIS;
-  definition of coordinate system mapping between BIM and GIS.
NOTE    For cases involving requirements related to Geo-referencing for providing the position and orientation of the BIM model based on GIS, there exist other standards such as ISO 19111 and the Information Delivery Manual (IDM) from buildingSMART on Geo-referencing BIM.
- definition of relationship mapping between BIM and GIS;
-  implementation of the application schema.</t>
  </si>
  <si>
    <t>2021.05</t>
  </si>
  <si>
    <t>https://www.iso.org/standard/78899.html</t>
  </si>
  <si>
    <t>Smart community infrastructures — Data exchange and sharing for community infrastructures based on geographic information</t>
  </si>
  <si>
    <t>This document provides a framework for data exchange and sharing based on geographic information for smart community infrastructures, along with specific application scenarios.</t>
  </si>
  <si>
    <t>2022.10</t>
  </si>
  <si>
    <t>https://www.iso.org/standard/81292.html</t>
  </si>
  <si>
    <t>ISO/TC 268/SC 1</t>
  </si>
  <si>
    <t>2013.07</t>
  </si>
  <si>
    <t>2015.04</t>
  </si>
  <si>
    <t>2005.01</t>
  </si>
  <si>
    <t>2014.11</t>
  </si>
  <si>
    <t>2024.10</t>
  </si>
  <si>
    <t>2022.07</t>
  </si>
  <si>
    <t>2006.03</t>
  </si>
  <si>
    <t>2019.12</t>
  </si>
  <si>
    <t>2015.12</t>
  </si>
  <si>
    <t>2025.07</t>
  </si>
  <si>
    <t>2006.07</t>
  </si>
  <si>
    <t>2016.07</t>
  </si>
  <si>
    <t>2007.07</t>
  </si>
  <si>
    <t>2020.03</t>
  </si>
  <si>
    <t>2019.03</t>
  </si>
  <si>
    <t>2014.04</t>
  </si>
  <si>
    <t>2010.01</t>
  </si>
  <si>
    <t>2019.02</t>
  </si>
  <si>
    <t>2023.08</t>
  </si>
  <si>
    <t>2025.04</t>
  </si>
  <si>
    <t>2014.03</t>
  </si>
  <si>
    <t>2011.10</t>
  </si>
  <si>
    <t>2006.06</t>
  </si>
  <si>
    <t>2016.02</t>
  </si>
  <si>
    <t>2007.03</t>
  </si>
  <si>
    <t>2023.07</t>
  </si>
  <si>
    <t>2009.11</t>
  </si>
  <si>
    <t>2021.06</t>
  </si>
  <si>
    <t>2008.01</t>
  </si>
  <si>
    <t>2008.04</t>
  </si>
  <si>
    <t>2022.12</t>
  </si>
  <si>
    <t>2008.08</t>
  </si>
  <si>
    <t>2015.11</t>
  </si>
  <si>
    <t>2009.03</t>
  </si>
  <si>
    <t>2020.04</t>
  </si>
  <si>
    <t>2018.09</t>
  </si>
  <si>
    <t>2009.08</t>
  </si>
  <si>
    <t>2010.12</t>
  </si>
  <si>
    <t>2012.04</t>
  </si>
  <si>
    <t>2023.12</t>
  </si>
  <si>
    <t>2010.11</t>
  </si>
  <si>
    <t>2018.06</t>
  </si>
  <si>
    <t>2012.02</t>
  </si>
  <si>
    <t>2021.04</t>
  </si>
  <si>
    <t>2024.01</t>
  </si>
  <si>
    <t>2024.07</t>
  </si>
  <si>
    <t>2023.05</t>
  </si>
  <si>
    <t>2013.12</t>
  </si>
  <si>
    <t>2023.04</t>
  </si>
  <si>
    <t>2024.08</t>
  </si>
  <si>
    <t>2025.01</t>
  </si>
  <si>
    <t>2008.06</t>
  </si>
  <si>
    <t>2008.11</t>
  </si>
  <si>
    <t>2016.10</t>
  </si>
  <si>
    <t>2018.10</t>
  </si>
  <si>
    <t>2005.06</t>
  </si>
  <si>
    <t>2010.06</t>
  </si>
  <si>
    <t>2013.02</t>
  </si>
  <si>
    <t>2015.06</t>
  </si>
  <si>
    <t>2015.07</t>
  </si>
  <si>
    <t>2019.05</t>
  </si>
  <si>
    <t>2017.08</t>
  </si>
  <si>
    <t>2020.01</t>
  </si>
  <si>
    <t>2015.08</t>
  </si>
  <si>
    <t>2019.07</t>
  </si>
  <si>
    <t>2000.10</t>
  </si>
  <si>
    <t>2009.04</t>
  </si>
  <si>
    <t>2014.01</t>
  </si>
  <si>
    <t>2022.03</t>
  </si>
  <si>
    <t>GIS-Standards</t>
  </si>
  <si>
    <t>Following "BIM Landscape" columns with some additions/clarifications (check column comments)</t>
  </si>
  <si>
    <t>ToDo-s</t>
  </si>
  <si>
    <t>Status</t>
  </si>
  <si>
    <t>Done</t>
  </si>
  <si>
    <t>Responsible</t>
  </si>
  <si>
    <t>Raido</t>
  </si>
  <si>
    <t>???</t>
  </si>
  <si>
    <t>Source #1</t>
  </si>
  <si>
    <t>GIS-Relationships</t>
  </si>
  <si>
    <t>Suggest additional GIS related sources to be included?</t>
  </si>
  <si>
    <t>Check blue tabs - all others are from BIM Landscape - for reference and further validation. Calculations not yet working!</t>
  </si>
  <si>
    <t>Geographic information - XML schema implementation - Part 1: Encoding rules</t>
  </si>
  <si>
    <t>Geographic information - Classification systems - Part 3: Land Use Meta Language (LUML)</t>
  </si>
  <si>
    <t>Geographic information - Reference model - Part 1: Fundamentals</t>
  </si>
  <si>
    <t>Geographic information - Conceptual schema language</t>
  </si>
  <si>
    <t>Geographic information - Conformance and testing</t>
  </si>
  <si>
    <t>Geographic information - Spatial schema</t>
  </si>
  <si>
    <t>Geographic information - General feature model and rules for application schema</t>
  </si>
  <si>
    <t>Geographic information - Methodology for feature cataloguing</t>
  </si>
  <si>
    <t>Geographic information - Referencing by coordinates</t>
  </si>
  <si>
    <t>Geographic information - Spatial referencing by geographic identifiers</t>
  </si>
  <si>
    <t>Geographic information - Metadata - Part 1: Fundamentals</t>
  </si>
  <si>
    <t>Geographic information - Metadata - Part 2: Extensions for acquisition and processing</t>
  </si>
  <si>
    <t>Geographic information - Metadata - Part 3: XML schema implementation for fundamental concepts</t>
  </si>
  <si>
    <t>Geographic information - Positioning services</t>
  </si>
  <si>
    <t>Geographic information - Portrayal</t>
  </si>
  <si>
    <t>Geographic information - Encoding</t>
  </si>
  <si>
    <t>Geographic information - Services</t>
  </si>
  <si>
    <t>Geographic information - Schema for coverage geometry and functions - Part 1: Fundamentals</t>
  </si>
  <si>
    <t>Geographic information - Schema for coverage geometry and functions - Part 3: Processing fundamentals</t>
  </si>
  <si>
    <t>Geographic information - Feature concept dictionaries and registers</t>
  </si>
  <si>
    <t>Geographic information - Data product specifications</t>
  </si>
  <si>
    <t>Geographic information - Procedures for item registration - Part 1: Fundamentals</t>
  </si>
  <si>
    <t>Geographic information - Geography Markup Language (GML) - Part 1: Fundamentals</t>
  </si>
  <si>
    <t>Geographic information - Geography Markup Language (GML) - Part 2: Extended schemas and encoding rules</t>
  </si>
  <si>
    <t>Geographic information - Web Feature Service</t>
  </si>
  <si>
    <t>Geographic information - Filter encoding</t>
  </si>
  <si>
    <t>Geographic information - Classification systems - Part 1: Classification system structure</t>
  </si>
  <si>
    <t>Keywords/subdomain extractions from abstract/scope?</t>
  </si>
  <si>
    <t>ISO 19136</t>
  </si>
  <si>
    <t>ISO 19144-1</t>
  </si>
  <si>
    <t>ISO 19144-2</t>
  </si>
  <si>
    <t>ISO 19152-1</t>
  </si>
  <si>
    <t>ISO 19106</t>
  </si>
  <si>
    <t>ISO 19115-2</t>
  </si>
  <si>
    <t>ISO 19115-3</t>
  </si>
  <si>
    <t>ISO 19116</t>
  </si>
  <si>
    <t>ISO 19117</t>
  </si>
  <si>
    <t>ISO 19123-3</t>
  </si>
  <si>
    <t>ISO 19125-1</t>
  </si>
  <si>
    <t>ISO 19134</t>
  </si>
  <si>
    <t>ISO 19135-1</t>
  </si>
  <si>
    <t>ISO 19136-2</t>
  </si>
  <si>
    <t>ISO 19146</t>
  </si>
  <si>
    <t>ISO 19150-6</t>
  </si>
  <si>
    <t>ISO 19152-3</t>
  </si>
  <si>
    <t>ISO 19156</t>
  </si>
  <si>
    <t>ISO 19164</t>
  </si>
  <si>
    <t>ISO 19168-2</t>
  </si>
  <si>
    <t>ISO/IEC 10181-1</t>
  </si>
  <si>
    <t>ISO/IEC 10181-2</t>
  </si>
  <si>
    <t>ISO/IEC 10181-3</t>
  </si>
  <si>
    <t>ISO/IEC 10181-4</t>
  </si>
  <si>
    <t>ISO/IEC 10181-5</t>
  </si>
  <si>
    <t>ISO/IEC 10181-6</t>
  </si>
  <si>
    <t>ISO/IEC 10181-7</t>
  </si>
  <si>
    <t>ISO/IEC 10746-1</t>
  </si>
  <si>
    <t>ISO/IEC 10746-2</t>
  </si>
  <si>
    <t>ISO/IEC 10746-3</t>
  </si>
  <si>
    <t>ISO/IEC 10746-4</t>
  </si>
  <si>
    <t>ISO/IEC 19793</t>
  </si>
  <si>
    <t>ISO 7498-2</t>
  </si>
  <si>
    <t>ISO 8601-2</t>
  </si>
  <si>
    <t>ISO/IEC 2382-1</t>
  </si>
  <si>
    <t>ISO/IEC TR 10000-1</t>
  </si>
  <si>
    <t>ISO 20524-1</t>
  </si>
  <si>
    <t>ISO 20524-2</t>
  </si>
  <si>
    <t>ISO/TR 9007</t>
  </si>
  <si>
    <t>ISO/IEC 21838-1</t>
  </si>
  <si>
    <t>ISO 5127</t>
  </si>
  <si>
    <t>ISO 80000-3</t>
  </si>
  <si>
    <t>ISO 34000</t>
  </si>
  <si>
    <t>ISO/IEC 19501</t>
  </si>
  <si>
    <t>ISO/IEC 15944-10</t>
  </si>
  <si>
    <t>EN 1068</t>
  </si>
  <si>
    <t>NBS FIPS 45</t>
  </si>
  <si>
    <t>ISO 2108</t>
  </si>
  <si>
    <t>ISO 25964-1</t>
  </si>
  <si>
    <t>ISO 17369</t>
  </si>
  <si>
    <t>ISO/IEC Guide 2</t>
  </si>
  <si>
    <t>OGC 08-131r3</t>
  </si>
  <si>
    <t>ISO/IEC 18477-4</t>
  </si>
  <si>
    <t>ISO/IEC 9646-1</t>
  </si>
  <si>
    <t>ISO 10303-31</t>
  </si>
  <si>
    <t>ISO/IEC 10641</t>
  </si>
  <si>
    <t>ISO/IEC 9646-2</t>
  </si>
  <si>
    <t>ISO/IEC 17025</t>
  </si>
  <si>
    <t>ISO/IEC 9646-5</t>
  </si>
  <si>
    <t>ES 201 873-1</t>
  </si>
  <si>
    <t>ISO/IEC TR 10000-3</t>
  </si>
  <si>
    <t>ISO/IEC Directives, Part 2</t>
  </si>
  <si>
    <t>ISO 19114</t>
  </si>
  <si>
    <t>ISO 19115</t>
  </si>
  <si>
    <t>ISO 19123</t>
  </si>
  <si>
    <t>ISO/IEC TR 10000-2</t>
  </si>
  <si>
    <t>ISO/IEC Directives, JTC 1</t>
  </si>
  <si>
    <t>IHO S-57</t>
  </si>
  <si>
    <t>ISO 19125-2</t>
  </si>
  <si>
    <t>ISO 80000-2</t>
  </si>
  <si>
    <t>IEEE 754</t>
  </si>
  <si>
    <t>ISO 31-1</t>
  </si>
  <si>
    <t>ISO 1000</t>
  </si>
  <si>
    <t>ISO 8601</t>
  </si>
  <si>
    <t>ISO 31-2</t>
  </si>
  <si>
    <t>OMG UML 2.5.1</t>
  </si>
  <si>
    <t>IETF RFC 5141</t>
  </si>
  <si>
    <t>IETF RFC 5646</t>
  </si>
  <si>
    <t>OMG OCL</t>
  </si>
  <si>
    <t>ISO/TS 19139</t>
  </si>
  <si>
    <t>ISO/IEC/IEEE 9945</t>
  </si>
  <si>
    <t>ISO 19160-1</t>
  </si>
  <si>
    <t>ISO 639 (all parts)</t>
  </si>
  <si>
    <t>ISO 3166 (all parts)</t>
  </si>
  <si>
    <t>ISO 19111-2</t>
  </si>
  <si>
    <t>IETF RFC 3986</t>
  </si>
  <si>
    <t>ISO 690</t>
  </si>
  <si>
    <t>ISO/IEC 11179 (all parts)</t>
  </si>
  <si>
    <t>ISO 15489-1</t>
  </si>
  <si>
    <t>ISO 15511</t>
  </si>
  <si>
    <t>ISO 15836</t>
  </si>
  <si>
    <t>ISO 19101</t>
  </si>
  <si>
    <t>ISO 23081-1</t>
  </si>
  <si>
    <t>ISO 23950</t>
  </si>
  <si>
    <t>ISO 24619</t>
  </si>
  <si>
    <t>IETF RFC 1738</t>
  </si>
  <si>
    <t>IETF RFC 2056</t>
  </si>
  <si>
    <t>ISO/IEC 2382-17</t>
  </si>
  <si>
    <t>ISO 8879</t>
  </si>
  <si>
    <t>ISO/TS 19101-2</t>
  </si>
  <si>
    <t>ISO/TS 19130</t>
  </si>
  <si>
    <t>ISO/IEC Guide 99</t>
  </si>
  <si>
    <t>ISO 639-2</t>
  </si>
  <si>
    <t>ISO/IEC 19757-3</t>
  </si>
  <si>
    <t>OGC 02-009</t>
  </si>
  <si>
    <t>W3C xmlschema-1</t>
  </si>
  <si>
    <t>W3C xmlschema-2</t>
  </si>
  <si>
    <t>ISO/IEC Guide 98-3</t>
  </si>
  <si>
    <t>ISO 3534-2</t>
  </si>
  <si>
    <t>ISO 5725-3</t>
  </si>
  <si>
    <t>ISO 6709</t>
  </si>
  <si>
    <t>ISO/IEC 16350</t>
  </si>
  <si>
    <t>ISO/IEC 2022</t>
  </si>
  <si>
    <t>ISO/IEC 8211</t>
  </si>
  <si>
    <t>ISO/IEC 11179-3</t>
  </si>
  <si>
    <t>ISO 19113</t>
  </si>
  <si>
    <t>ISO 19135</t>
  </si>
  <si>
    <t>IETF STD 1</t>
  </si>
  <si>
    <t>W3C charmod-norm</t>
  </si>
  <si>
    <t>OMG SoaML 1.01</t>
  </si>
  <si>
    <t>ISO 19150 (all parts)</t>
  </si>
  <si>
    <t>ISO/IEC 9075 (all parts)</t>
  </si>
  <si>
    <t>ISO/IEC 14882</t>
  </si>
  <si>
    <t>OASIS SOA-RAF 1.0</t>
  </si>
  <si>
    <t>OASIS SOA-RM 1.0</t>
  </si>
  <si>
    <t>OMG UML 2.0</t>
  </si>
  <si>
    <t>OGC 09-146r6</t>
  </si>
  <si>
    <t>OGC 09-110r4</t>
  </si>
  <si>
    <t>DCOM 1.0</t>
  </si>
  <si>
    <t>ISO 8601 (all parts)</t>
  </si>
  <si>
    <t>ISO/IEC 9973</t>
  </si>
  <si>
    <t>IEC 60027-2</t>
  </si>
  <si>
    <t>OMG UML 2.1.1</t>
  </si>
  <si>
    <t>UCUM 1.5</t>
  </si>
  <si>
    <t>IANA MIME Media Types</t>
  </si>
  <si>
    <t>ISO 9000</t>
  </si>
  <si>
    <t>ISO 14825</t>
  </si>
  <si>
    <t>ISO/IEC TR 10000 (all parts)</t>
  </si>
  <si>
    <t>ISO/IEC TR 21000-1</t>
  </si>
  <si>
    <t>ISO/IEC 21000-5</t>
  </si>
  <si>
    <t>ISO 6523</t>
  </si>
  <si>
    <t>ISO/IEC 11179-6</t>
  </si>
  <si>
    <t>IETF RFC 2396</t>
  </si>
  <si>
    <t>OGC 99-105r2</t>
  </si>
  <si>
    <t>OGC 00-106</t>
  </si>
  <si>
    <t>OGC 99-108r2</t>
  </si>
  <si>
    <t>OGC 99-110</t>
  </si>
  <si>
    <t>OGC 10-004r3</t>
  </si>
  <si>
    <t>ISO/TS 19139 (all parts)</t>
  </si>
  <si>
    <t>IETF RFC 4646</t>
  </si>
  <si>
    <t>OGC 06-121r3</t>
  </si>
  <si>
    <t>OGC 07-092r3</t>
  </si>
  <si>
    <t>CGI/1.1</t>
  </si>
  <si>
    <t>IETF RFC 2045</t>
  </si>
  <si>
    <t>OGC 02-058</t>
  </si>
  <si>
    <t>OGC 04-094</t>
  </si>
  <si>
    <t>OGC 07-092r2</t>
  </si>
  <si>
    <t>OGC 09-144r1</t>
  </si>
  <si>
    <t>ISO/IEC 14651</t>
  </si>
  <si>
    <t>ISO/IEC 14977</t>
  </si>
  <si>
    <t>OGC 06-131r3</t>
  </si>
  <si>
    <t>ISO/IEC 13211-1</t>
  </si>
  <si>
    <t>ISO 860</t>
  </si>
  <si>
    <t>ISO 1087-1</t>
  </si>
  <si>
    <t>ISO 3534-1</t>
  </si>
  <si>
    <t>OGC 06-121r9</t>
  </si>
  <si>
    <t>IHO S-100 4.0.0</t>
  </si>
  <si>
    <t>IHO S-121 1.0.0</t>
  </si>
  <si>
    <t>OGC 15-111r1</t>
  </si>
  <si>
    <t>ISO 19106-1</t>
  </si>
  <si>
    <t>ISO 19152-2</t>
  </si>
  <si>
    <t>IHO Geospatial Information Registry 3.1</t>
  </si>
  <si>
    <t>IHO S-32</t>
  </si>
  <si>
    <t>JCGM 200</t>
  </si>
  <si>
    <t>OGC 12-000r2</t>
  </si>
  <si>
    <t>OGC 12-006</t>
  </si>
  <si>
    <t>OGC 08094r1</t>
  </si>
  <si>
    <t>OGC 15-107</t>
  </si>
  <si>
    <t>ISO 2859 (all parts)</t>
  </si>
  <si>
    <t>ISO 3951-1</t>
  </si>
  <si>
    <t>ISO 8000-2</t>
  </si>
  <si>
    <t>ISO 19160-3</t>
  </si>
  <si>
    <t>ISO/IEC 25012</t>
  </si>
  <si>
    <t>ISO/IEC 25020</t>
  </si>
  <si>
    <t>ISO/IEC 25022</t>
  </si>
  <si>
    <t>ISO/IEC 25023</t>
  </si>
  <si>
    <t>ISO/IEC 25024</t>
  </si>
  <si>
    <t>OGC 15-097r1</t>
  </si>
  <si>
    <t>ISO 19157-3</t>
  </si>
  <si>
    <t>OGC 19-011r4</t>
  </si>
  <si>
    <t>OGC CityGML Part 1 20-010</t>
  </si>
  <si>
    <t>OGC CityGML 3.0 20-066</t>
  </si>
  <si>
    <t>OGC 21-006r2</t>
  </si>
  <si>
    <t>IETF RFC 2818</t>
  </si>
  <si>
    <t>IETF RFC 3339</t>
  </si>
  <si>
    <t>IETF RFC 7230-7235</t>
  </si>
  <si>
    <t>IETF RFC 8288</t>
  </si>
  <si>
    <t>OGC 10-100r3</t>
  </si>
  <si>
    <t>IETF RFC 7946</t>
  </si>
  <si>
    <t>WHATWG HTML</t>
  </si>
  <si>
    <t>IANA Link Relation Types</t>
  </si>
  <si>
    <t>OGC 09-025r2</t>
  </si>
  <si>
    <t>W3C dwbp</t>
  </si>
  <si>
    <t>W3C vocab-dcat</t>
  </si>
  <si>
    <t>OGC API</t>
  </si>
  <si>
    <t>ISO 15836-2</t>
  </si>
  <si>
    <t>IETF RFC 7232</t>
  </si>
  <si>
    <t>IETF RFC 6749</t>
  </si>
  <si>
    <t>IETF RFC 2626</t>
  </si>
  <si>
    <t>OGC 08-038r7</t>
  </si>
  <si>
    <t>W3C sdw-bp</t>
  </si>
  <si>
    <t>ANSI/INCITS 172-2002</t>
  </si>
  <si>
    <t>GeoTIFF Revision 1.0</t>
  </si>
  <si>
    <t>IEC 61966-2-2</t>
  </si>
  <si>
    <t>ISO 12640-1</t>
  </si>
  <si>
    <t>ISO 12640-2</t>
  </si>
  <si>
    <t>ISO 12640-3</t>
  </si>
  <si>
    <t>ISO 14721</t>
  </si>
  <si>
    <t>ISO 15930-1</t>
  </si>
  <si>
    <t>ISO 22028-1</t>
  </si>
  <si>
    <t>ISO 22028-2</t>
  </si>
  <si>
    <t>ISO 22028-3</t>
  </si>
  <si>
    <t>ISO 80000-7</t>
  </si>
  <si>
    <t>ISO/IEC 12087-1</t>
  </si>
  <si>
    <t>ISO/IEC 12087-5</t>
  </si>
  <si>
    <t>ISO/IEC 13249-5</t>
  </si>
  <si>
    <t>ISO/IEC 13249-6</t>
  </si>
  <si>
    <t>ISO/IEC 15444-1</t>
  </si>
  <si>
    <t>ISO/IEC 15444-4</t>
  </si>
  <si>
    <t>ISO/IEC 18023-3</t>
  </si>
  <si>
    <t>OGC 00-115</t>
  </si>
  <si>
    <t>OGC 01-082</t>
  </si>
  <si>
    <t>OGC 03-105</t>
  </si>
  <si>
    <t>OGC 03-019</t>
  </si>
  <si>
    <t>OGC 03-016</t>
  </si>
  <si>
    <t>OGC 03-018r1</t>
  </si>
  <si>
    <t>STANAG 4545</t>
  </si>
  <si>
    <t>STANAG 4559</t>
  </si>
  <si>
    <t>TIFF Revision 6.0</t>
  </si>
  <si>
    <t>ISO 10241-1</t>
  </si>
  <si>
    <t>ISO 10241-2</t>
  </si>
  <si>
    <t>ISO 12615</t>
  </si>
  <si>
    <t>ISO 15924</t>
  </si>
  <si>
    <t>ISO/IEC Guide 21-1</t>
  </si>
  <si>
    <t>OGC 08-094r1</t>
  </si>
  <si>
    <t>IETF RFC 2183</t>
  </si>
  <si>
    <t>IETF RFC 2387</t>
  </si>
  <si>
    <t>IETF RFC 2392</t>
  </si>
  <si>
    <t>IETF RFC 7159</t>
  </si>
  <si>
    <t>OGC 09-110r3</t>
  </si>
  <si>
    <t>OGC 09-146r8</t>
  </si>
  <si>
    <t>OGC 12-000</t>
  </si>
  <si>
    <t>OGC 13-102r2</t>
  </si>
  <si>
    <t>OGC 14-121</t>
  </si>
  <si>
    <t>OGC 16-083</t>
  </si>
  <si>
    <t>OGC 09-146r2</t>
  </si>
  <si>
    <t>OGC 12-100r1</t>
  </si>
  <si>
    <t>OGC 14-100r2</t>
  </si>
  <si>
    <t>OGC 16-083r3</t>
  </si>
  <si>
    <t>OGC 10-129r1</t>
  </si>
  <si>
    <t>OGC 08-068r3</t>
  </si>
  <si>
    <t>DIN 18716-1</t>
  </si>
  <si>
    <t>DIN 18716-2</t>
  </si>
  <si>
    <t>DIN 18716-3</t>
  </si>
  <si>
    <t>IHO S-44</t>
  </si>
  <si>
    <t>ISO/IEC 2382-15</t>
  </si>
  <si>
    <t>OGC 05-029r4</t>
  </si>
  <si>
    <t>ISO 3166</t>
  </si>
  <si>
    <t>EN 12896</t>
  </si>
  <si>
    <t>CEN/TS 15531 (all parts)</t>
  </si>
  <si>
    <t>OMG UML 2.2</t>
  </si>
  <si>
    <t>IETF RFC 5234</t>
  </si>
  <si>
    <t>IETF RFC 5013</t>
  </si>
  <si>
    <t>OMG UML 2.4.1</t>
  </si>
  <si>
    <t>W3C cooluris</t>
  </si>
  <si>
    <t>OGC 06-042</t>
  </si>
  <si>
    <t>OWL-S 1.2</t>
  </si>
  <si>
    <t>ISO 19125</t>
  </si>
  <si>
    <t>GeoNames Ontology</t>
  </si>
  <si>
    <t>IETF RFC 4151</t>
  </si>
  <si>
    <t>IETF RFC 4122</t>
  </si>
  <si>
    <t>ISO 16739</t>
  </si>
  <si>
    <t>OGC 12-019</t>
  </si>
  <si>
    <t>OGC 14-005r3</t>
  </si>
  <si>
    <t>OGC 99-036</t>
  </si>
  <si>
    <t>OGC 06-103r4</t>
  </si>
  <si>
    <t>OGC 01-009</t>
  </si>
  <si>
    <t>OGC 09-083r3</t>
  </si>
  <si>
    <t>Open Group Base Specifications Issue 7</t>
  </si>
  <si>
    <t>ISO/IEC 9075-2</t>
  </si>
  <si>
    <t>CEOS WGISS-DSIG 1.0</t>
  </si>
  <si>
    <t>ECMA 376</t>
  </si>
  <si>
    <t>PREMIS Data Dictionary for Preservation Metadata, version 2.2</t>
  </si>
  <si>
    <t>ISO 9660</t>
  </si>
  <si>
    <t>ISO 16363</t>
  </si>
  <si>
    <t>ISO 19152</t>
  </si>
  <si>
    <t>ISO/IEC 29500-2</t>
  </si>
  <si>
    <t>ISO 19157-2</t>
  </si>
  <si>
    <t>ISO 16919</t>
  </si>
  <si>
    <t>ESIP PCCS</t>
  </si>
  <si>
    <t>ESA/CEOS/WGISS PDSC</t>
  </si>
  <si>
    <t>CEOS ARD</t>
  </si>
  <si>
    <t>CCSDS XFDU</t>
  </si>
  <si>
    <t>QA4EO Operational Guidelines 3.0</t>
  </si>
  <si>
    <t>OGC 05-042r2</t>
  </si>
  <si>
    <t>OGC 16-071r3</t>
  </si>
  <si>
    <t>OGC 17-089r1</t>
  </si>
  <si>
    <t>ISO/IEC 11544</t>
  </si>
  <si>
    <t>ISO/IEC 12087-2</t>
  </si>
  <si>
    <t>ISO/IEC 12087-3</t>
  </si>
  <si>
    <t>ISO/IEC 12089</t>
  </si>
  <si>
    <t>ISO 12639</t>
  </si>
  <si>
    <t>OGC 98-107</t>
  </si>
  <si>
    <t>STANAG 7074</t>
  </si>
  <si>
    <t>ISO 18158</t>
  </si>
  <si>
    <t>OMG MDA 2.0</t>
  </si>
  <si>
    <t>CEN/TS 17268</t>
  </si>
  <si>
    <t>ISO/IEC 7498-1</t>
  </si>
  <si>
    <t>ISO/IEC 8825</t>
  </si>
  <si>
    <t>ISO/IEC 10746 (all parts)</t>
  </si>
  <si>
    <t>ISO/IEC 13249-5</t>
  </si>
  <si>
    <t>ISO/IEC 15444-2</t>
  </si>
  <si>
    <t>ANSI T1.523-2001</t>
  </si>
  <si>
    <t>FGDC STD-009-1999</t>
  </si>
  <si>
    <t>FGDC STD-012-2002</t>
  </si>
  <si>
    <t>FGDC STD-001-1998</t>
  </si>
  <si>
    <t>ASTM E2544-11a</t>
  </si>
  <si>
    <t>IHO C-13</t>
  </si>
  <si>
    <t>NISTIR 7117</t>
  </si>
  <si>
    <t>OMG ODM</t>
  </si>
  <si>
    <t>ISO 12233</t>
  </si>
  <si>
    <t>ISO 12718</t>
  </si>
  <si>
    <t>IEC 88528-11</t>
  </si>
  <si>
    <t>ASTM E2807 11</t>
  </si>
  <si>
    <t>ISO 20930</t>
  </si>
  <si>
    <t>ISO 12005</t>
  </si>
  <si>
    <t>ISO 9241-5</t>
  </si>
  <si>
    <t>IEEE 145</t>
  </si>
  <si>
    <t>ANSI/IEEE Std 100</t>
  </si>
  <si>
    <t>ISO 13537</t>
  </si>
  <si>
    <t>ISO/IEC 1989</t>
  </si>
  <si>
    <t>ISO/IEC 18023-1</t>
  </si>
  <si>
    <t>ISO/IEC 29134</t>
  </si>
  <si>
    <t>ISO 37100</t>
  </si>
  <si>
    <t>ISO 37156</t>
  </si>
  <si>
    <t>ISO/TR 37171</t>
  </si>
  <si>
    <t>Target Current Number</t>
  </si>
  <si>
    <t>APA LBCS</t>
  </si>
  <si>
    <t>CEN/TR 15449</t>
  </si>
  <si>
    <t>OMG MOF 2.0</t>
  </si>
  <si>
    <t>OGC 07-147r2</t>
  </si>
  <si>
    <t>OGC 11-052r4</t>
  </si>
  <si>
    <t>HMMG UML</t>
  </si>
  <si>
    <t>OGC 06-104r4</t>
  </si>
  <si>
    <t>OMG OCL 2.4</t>
  </si>
  <si>
    <t>OMG SBVR 1.5</t>
  </si>
  <si>
    <t>OMG UML 1.5</t>
  </si>
  <si>
    <t>IANA Character Sets</t>
  </si>
  <si>
    <t>IETF RFC 2978</t>
  </si>
  <si>
    <t>IETF RFC 3987</t>
  </si>
  <si>
    <t>Open Group C706 DCE 1.1</t>
  </si>
  <si>
    <t>IETF RFC 9562</t>
  </si>
  <si>
    <t>ITU X.667</t>
  </si>
  <si>
    <t>OGC 07-012</t>
  </si>
  <si>
    <t>3GPP Release 4</t>
  </si>
  <si>
    <t>ISO 3166-2</t>
  </si>
  <si>
    <t>ISO 3166-3</t>
  </si>
  <si>
    <t>ISO/IEC 11179-1</t>
  </si>
  <si>
    <t>ISO/IEC 11179-5</t>
  </si>
  <si>
    <t>ISO/IEC 11179-4</t>
  </si>
  <si>
    <t>ISO/IEC TR 11179-2</t>
  </si>
  <si>
    <t>ISO/IEC 11179-30</t>
  </si>
  <si>
    <t>ISO/IEC 11179-31</t>
  </si>
  <si>
    <t>ISO/IEC 11179-32</t>
  </si>
  <si>
    <t>ISO/IEC 11179-33</t>
  </si>
  <si>
    <t>ISO/IEC 11179-34</t>
  </si>
  <si>
    <t>ISO/IEC 11179-35</t>
  </si>
  <si>
    <t>ISO/IEC 9075-3</t>
  </si>
  <si>
    <t>ISO/IEC 9075-4</t>
  </si>
  <si>
    <t>ISO/IEC 9075-5</t>
  </si>
  <si>
    <t>ISO/IEC 9075-9</t>
  </si>
  <si>
    <t>ISO/IEC 9075-10</t>
  </si>
  <si>
    <t>ISO/IEC 9075-11</t>
  </si>
  <si>
    <t>ISO/IEC 9075-13</t>
  </si>
  <si>
    <t>ISO/IEC 9075-14</t>
  </si>
  <si>
    <t>ISO/IEC 9075-15</t>
  </si>
  <si>
    <t>ISO/IEC 9075-16</t>
  </si>
  <si>
    <t>ISO 2859-1</t>
  </si>
  <si>
    <t>ISO 2859-2</t>
  </si>
  <si>
    <t>ISO 2859-3</t>
  </si>
  <si>
    <t>ISO 2859-4</t>
  </si>
  <si>
    <t>ISO 2859-5</t>
  </si>
  <si>
    <t>CEN/TS 15531-4</t>
  </si>
  <si>
    <t>CEN/TS 15531-5</t>
  </si>
  <si>
    <t>CEN/TS 15531-6</t>
  </si>
  <si>
    <t>CEN/TS 15531-7</t>
  </si>
  <si>
    <t>Target NonCurrent Number</t>
  </si>
  <si>
    <t>CEOS/WGISS Glossary of Acronyms and Terms 1.2</t>
  </si>
  <si>
    <t>DGIWG DIGEST Part 4</t>
  </si>
  <si>
    <t>FGDC-STD-001-1998</t>
  </si>
  <si>
    <t>ISO Guide 31</t>
  </si>
  <si>
    <t>IEEE 521</t>
  </si>
  <si>
    <t>IEEE 686</t>
  </si>
  <si>
    <t>IETF RFC 2616</t>
  </si>
  <si>
    <t>IETF RFC 7231</t>
  </si>
  <si>
    <t>IETF RFC 7233</t>
  </si>
  <si>
    <t>IETF RFC 7234</t>
  </si>
  <si>
    <t>IETF RFC 7235</t>
  </si>
  <si>
    <t>IETF RFC 7230</t>
  </si>
  <si>
    <t>BuildingSMART IFC 4.1.0.0</t>
  </si>
  <si>
    <t>01.060</t>
  </si>
  <si>
    <t>01.020; 01.120</t>
  </si>
  <si>
    <t>25.040.40</t>
  </si>
  <si>
    <t>01.020; 01.040.01</t>
  </si>
  <si>
    <t>31.260</t>
  </si>
  <si>
    <t>37.040.10</t>
  </si>
  <si>
    <t>01.020</t>
  </si>
  <si>
    <t>35.240.30; 37.100.99</t>
  </si>
  <si>
    <t>01.040.19; 19.100</t>
  </si>
  <si>
    <t>49.140</t>
  </si>
  <si>
    <t>03.220.20; 35.240.60</t>
  </si>
  <si>
    <t>01.140.20</t>
  </si>
  <si>
    <t>35.240.30</t>
  </si>
  <si>
    <t>01.140.10; 01.140.20</t>
  </si>
  <si>
    <t>03.120.20; 49.140</t>
  </si>
  <si>
    <t>35.240.01</t>
  </si>
  <si>
    <t>01.020; 13.040.30</t>
  </si>
  <si>
    <t>03.100.70; 03.120.20</t>
  </si>
  <si>
    <t>01.040.35; 35.240.70</t>
  </si>
  <si>
    <t>07.040; 35.240.70</t>
  </si>
  <si>
    <t>ISO/CD TS 19144-4</t>
  </si>
  <si>
    <t>Geographic information - Land Administration Domain Model (LADM) - Part 2: Land registration</t>
  </si>
  <si>
    <t>2025.06</t>
  </si>
  <si>
    <t>ISO 19152-4</t>
  </si>
  <si>
    <t>ISO 19152-5</t>
  </si>
  <si>
    <t>Geographic information — Land Administration Domain Model (LADM) — Part 4: Valuation information</t>
  </si>
  <si>
    <t>This document:
a) builds on the models established in ISO 19152-1 and ISO 19152-2 to cover the valuation aspect of the Land Administration Domain Model (LADM);
b) provides an abstract conceptual model covering:
1) values (assessed values, valuation procedures, mass valuation);
2) transaction prices;
3) sales statistics;
4) valuation units (parcel (legal space parcel), building, condominium unit, valuation unit group).
c) provides terminology for the valuation component of land administration/georegulation, based on various national and international systems, that is as simple as possible in order to be useful in practice. The terminology allows a shared description of different formal or informal practices and procedures in various jurisdictions;
d) specifies a content model independent of encoding that can be employed as a basis for local, national and regional profiles for valuation processes; and
e) enables the combining of valuation information from different sources in a coherent manner.
NOTE This document does not interfere with national property valuation-related regulations with potential legal implications.</t>
  </si>
  <si>
    <t>https://www.iso.org/standard/81265.html</t>
  </si>
  <si>
    <t>https://www.iso.org/standard/81266.html</t>
  </si>
  <si>
    <t>This document:
— defines a reference land administration domain model (LADM) covering basic information-related components of land registration (including elements above and below the surface of the Earth);
— provides an abstract, conceptual model with three packages and one sub-package related to:
— parties (people and organizations);
— basic administrative units, rights, responsibilities and restrictions (RRRs);
— spatial units (parcels, and the legal space of buildings and utility networks and other geometry) with a sub-package on surveying and spatial representation (geometry and topology);
— provides terminology for land administration (LA), based on various national and international systems, that is as simple as possible in order to be useful in practice. The terminology allows a shared description of different formal or informal practices and procedures in various jurisdictions;
— provides a platform for comparison and monitoring that is based on indicators;
— provides a basis for national and regional profiles; and
— enables the combination of land administration information from different sources in a coherent manner.
The following is outside the scope of this document:
— interference with (national) land administration laws with potentially legal implications; and
— construction of external databases with party data, address data, land cover data, physical utility network data, archive data and taxation data. However, the LADM provides stereotype classes for these data sets to indicate which data set elements the LADM expects from these external sources, if available.
This document provides the concepts and the detailed structure for standardization in the land administration domain.</t>
  </si>
  <si>
    <t>https://www.iso.org/standard/81267.html</t>
  </si>
  <si>
    <t>Geographic information — Land Administration Domain Model (LADM)</t>
  </si>
  <si>
    <t>This document:
— specifies a reference land administration domain model (LADM) covering basic information-related components of spatial plan information on land/water and elements below/on/above the surface of the Earth with 2D/3D/4D (3D + time) geometric representation;
— provides an abstract, conceptual model with packages related to:
— plan unit, i.e. the smallest homogenous area/space (2D/3D/4D) with assigned function/purpose, e.g. office, education, retail;
— plan block, i.e. a set of neighbouring plan units decided on by planning authorities, e.g. high-density residential area, nature area, heavy industry area;
— plan group unit, i.e. areas corresponding to the higher planning levels;
— plan group, i.e. hierarchy in spatial plans consisting of multiple plan blocks, e.g.:
— continent/regional-wide (e.g. European regions),
— country-wide (e.g. Indonesia, the Netherlands),
— island,
— state or region province,
— municipality or city, and
— urban or rural;
— permit, i.e. something that is granted to a party which gives the party permission to undertake an activity which would otherwise be restricted;
— defines terminology for spatial plan information as part of land administration, based on various national and international systems, that is as simple as possible in order to be useful in practice. The terminology allows a shared description of different formal or informal practices and procedures in various jurisdictions;
— provides a platform for comparison and monitoring of spatial planning information based on Sustainable Development Goal (SDG) indicators;
— provides an approach to modelling the integration of spatial plan information (outputs of spatial plans) into land administration;
— provides a basis for national and regional profiles;
— enables the combining of land-use planning and land development planning in land administration information from different sources in a coherent manner;
— allows for the relationship to multiple parties and groups to be expressed together with a referencing structure so that the sourcing of all information systems can be maintained. It reuses core LADM classes so that sourcing of all information systems can be maintained;
— establishes the common elements and basic schema for spatial plan information upon which a more detailed schema can be established.
NOTE This document does not interfere with (national) and sub-national spatial planning laws.</t>
  </si>
  <si>
    <t>37.040.99; 37.100.01</t>
  </si>
  <si>
    <t>03.120.30</t>
  </si>
  <si>
    <t>01.140.30</t>
  </si>
  <si>
    <t>01.040.01; 01.140.30</t>
  </si>
  <si>
    <t>01.040.03; 03.120.30</t>
  </si>
  <si>
    <t>01.140.30; 03.060</t>
  </si>
  <si>
    <t>01.040.01; 01.140.20</t>
  </si>
  <si>
    <t>03.120.30; 17.020</t>
  </si>
  <si>
    <t>35.040.50</t>
  </si>
  <si>
    <t>01.040.91; 01.040.93; 91.010.01; 93.010</t>
  </si>
  <si>
    <t>35.100.01</t>
  </si>
  <si>
    <t>01.040.25; 25.040.40</t>
  </si>
  <si>
    <t>01.040.03; 03.100.70; 03.120.10</t>
  </si>
  <si>
    <t>03.120.10</t>
  </si>
  <si>
    <t>13.180; 35.180</t>
  </si>
  <si>
    <t>ISO/IEC 9660</t>
  </si>
  <si>
    <t>35.220.30</t>
  </si>
  <si>
    <t>ISO 33401</t>
  </si>
  <si>
    <t xml:space="preserve">71.040.30 </t>
  </si>
  <si>
    <t>ISO 17572-1</t>
  </si>
  <si>
    <t>03.220.01; 35.240.60</t>
  </si>
  <si>
    <t>35.140</t>
  </si>
  <si>
    <t>35.040.10</t>
  </si>
  <si>
    <t>35.080</t>
  </si>
  <si>
    <t>35.040.30</t>
  </si>
  <si>
    <t>35.060</t>
  </si>
  <si>
    <t>35.100.70</t>
  </si>
  <si>
    <t>35.040.40</t>
  </si>
  <si>
    <t>35.240.63</t>
  </si>
  <si>
    <t>03.120.20</t>
  </si>
  <si>
    <t>35.020</t>
  </si>
  <si>
    <t>01.040.35; 35.060</t>
  </si>
  <si>
    <t>01.040.35; 35.020</t>
  </si>
  <si>
    <t>35.030</t>
  </si>
  <si>
    <t>35.060; 35.240.30</t>
  </si>
  <si>
    <t>35.100.60</t>
  </si>
  <si>
    <t>ISO/IEC 8825-1</t>
  </si>
  <si>
    <t>ISO/IEC Directives, Part 1</t>
  </si>
  <si>
    <t>01.040.01; 01.120</t>
  </si>
  <si>
    <t>01.120</t>
  </si>
  <si>
    <t>17.020</t>
  </si>
  <si>
    <t>01.040.17; 17.020</t>
  </si>
  <si>
    <t>35.100.05</t>
  </si>
  <si>
    <t>01.040.35; 35.080</t>
  </si>
  <si>
    <t>ISO/IEC TR 19764</t>
  </si>
  <si>
    <t>01.120; 35.240.20</t>
  </si>
  <si>
    <t>ISO/IEC TR 9789</t>
  </si>
  <si>
    <t>ISPRS CityGML</t>
  </si>
  <si>
    <t>ITU BT.470</t>
  </si>
  <si>
    <t>ITU BT.601</t>
  </si>
  <si>
    <t>NITFS MIL-STD-2500A</t>
  </si>
  <si>
    <t>NITFS N0106-97</t>
  </si>
  <si>
    <t>NASA 423-SPEC-001</t>
  </si>
  <si>
    <t>OASIS genericode 1.0</t>
  </si>
  <si>
    <t>OGC 15-078r6</t>
  </si>
  <si>
    <t>OGC 98-106r2</t>
  </si>
  <si>
    <t>OGC 09-146r1</t>
  </si>
  <si>
    <t>OGC 20-094</t>
  </si>
  <si>
    <t>OGC 16-103r2</t>
  </si>
  <si>
    <t>OGC 15-104r5</t>
  </si>
  <si>
    <t>OGC 21-060r2</t>
  </si>
  <si>
    <t>OMG UML 1.1</t>
  </si>
  <si>
    <t>OMG CORBA</t>
  </si>
  <si>
    <t>OMG UML 1.3</t>
  </si>
  <si>
    <t>OMG XML 2.0</t>
  </si>
  <si>
    <t>OpenAPI Specification 3.0.3</t>
  </si>
  <si>
    <t>OpenGIS 96-015R1</t>
  </si>
  <si>
    <t>OpenGIS 96-025</t>
  </si>
  <si>
    <t>SDTS FIPS 173</t>
  </si>
  <si>
    <t>NITFS MIL-STD-188-198A</t>
  </si>
  <si>
    <t>NITFS MIL-STD-188-199</t>
  </si>
  <si>
    <t>USGS EO-1</t>
  </si>
  <si>
    <t>W3C xmlschema-0</t>
  </si>
  <si>
    <t>W3C xmlbase</t>
  </si>
  <si>
    <t>W3C xpath</t>
  </si>
  <si>
    <t>W3C geo</t>
  </si>
  <si>
    <t>W3C json-ld10</t>
  </si>
  <si>
    <t>W3C json-ld-api10</t>
  </si>
  <si>
    <t>W3C owl2</t>
  </si>
  <si>
    <t>W3C owl2-rdf</t>
  </si>
  <si>
    <t>W3C owl2-primer</t>
  </si>
  <si>
    <t>W3C owl-s</t>
  </si>
  <si>
    <t>W3C owl-s11</t>
  </si>
  <si>
    <t>W3C rdf</t>
  </si>
  <si>
    <t>W3C rdf11</t>
  </si>
  <si>
    <t>W3C trig</t>
  </si>
  <si>
    <t>W3C rdf11-concepts</t>
  </si>
  <si>
    <t>W3C rdfcore</t>
  </si>
  <si>
    <t>W3C rdf-syntax-grammar</t>
  </si>
  <si>
    <t>W3C rec-dom-level-1</t>
  </si>
  <si>
    <t>W3C rdf-schema</t>
  </si>
  <si>
    <t>W3C xml-names</t>
  </si>
  <si>
    <t>W3C skos-reference</t>
  </si>
  <si>
    <t>W3C soap12-part1</t>
  </si>
  <si>
    <t>W3C sparql11-query</t>
  </si>
  <si>
    <t>W3C svg10</t>
  </si>
  <si>
    <t>W3C svg11</t>
  </si>
  <si>
    <t>W3C svgtiny12</t>
  </si>
  <si>
    <t>W3C swsf-swso</t>
  </si>
  <si>
    <t>W3C turtle</t>
  </si>
  <si>
    <t>W3C urischemes</t>
  </si>
  <si>
    <t>W3C urls-in-data</t>
  </si>
  <si>
    <t>W3C svg2-draft</t>
  </si>
  <si>
    <t>W3C ws-gloss</t>
  </si>
  <si>
    <t>W3C wsdl11</t>
  </si>
  <si>
    <t>W3C wsmo-primer</t>
  </si>
  <si>
    <t>W3C wsmo-lite</t>
  </si>
  <si>
    <t>W3C xpath10</t>
  </si>
  <si>
    <t>W3C xptr-xmlns</t>
  </si>
  <si>
    <t>W3C xptr</t>
  </si>
  <si>
    <t>W3C xptr-element</t>
  </si>
  <si>
    <t>W3C xquery-10</t>
  </si>
  <si>
    <t>W3C xslt-10</t>
  </si>
  <si>
    <t>W3C xpath-10</t>
  </si>
  <si>
    <t>W3C xpath-20</t>
  </si>
  <si>
    <t>W3C xml-names-10</t>
  </si>
  <si>
    <t>W3C xml-10</t>
  </si>
  <si>
    <t>W3C xlink-11</t>
  </si>
  <si>
    <t>W3C xlink-10</t>
  </si>
  <si>
    <t>W3C smil-20</t>
  </si>
  <si>
    <t>ISO/IEC 8859-2</t>
  </si>
  <si>
    <t>ISO/IEC 8859-3</t>
  </si>
  <si>
    <t>ISO/IEC 8859-4</t>
  </si>
  <si>
    <t>ISO/IEC 8859-5</t>
  </si>
  <si>
    <t>ISO/IEC 8859-6</t>
  </si>
  <si>
    <t>ISO/IEC 8859-7</t>
  </si>
  <si>
    <t>ISO/IEC 8859-8</t>
  </si>
  <si>
    <t>ISO/IEC 8859-9</t>
  </si>
  <si>
    <t>ISO/IEC 8859-10</t>
  </si>
  <si>
    <t>ISO/IEC 8859-11</t>
  </si>
  <si>
    <t>ISO/IEC 8859-13</t>
  </si>
  <si>
    <t>ISO/IEC 8859-14</t>
  </si>
  <si>
    <t>ISO/IEC 8859-15</t>
  </si>
  <si>
    <t>ISO/IEC 8859-16</t>
  </si>
  <si>
    <t>ISO/IEC 8632-1</t>
  </si>
  <si>
    <t>ISO/IEC 8632-3</t>
  </si>
  <si>
    <t>ISO/IEC 8632-4</t>
  </si>
  <si>
    <t>ISO/IEC 6523-2</t>
  </si>
  <si>
    <t>ISO/IEC 6523-1</t>
  </si>
  <si>
    <t>ISO/IEC 8824-1</t>
  </si>
  <si>
    <t>ISO/IEC 8824-2</t>
  </si>
  <si>
    <t>ISO/IEC 8824-3</t>
  </si>
  <si>
    <t>ISO/IEC 8824-4</t>
  </si>
  <si>
    <t>ISO/IEC 10918-2</t>
  </si>
  <si>
    <t>ISO/IEC 10918-3</t>
  </si>
  <si>
    <t>ISO/IEC 10918-4</t>
  </si>
  <si>
    <t>ISO/IEC 10918-5</t>
  </si>
  <si>
    <t>ISO/IEC 10918-6</t>
  </si>
  <si>
    <t>ISO/IEC 10918-7</t>
  </si>
  <si>
    <t>ISO/IEC 13522-1</t>
  </si>
  <si>
    <t>ISO/IEC 13522-3</t>
  </si>
  <si>
    <t>ISO/IEC 13522-5</t>
  </si>
  <si>
    <t>ISO/IEC 13522-6</t>
  </si>
  <si>
    <t>ISO/IEC 13522-7</t>
  </si>
  <si>
    <t>ISO/IEC 13522-8</t>
  </si>
  <si>
    <t>ISO/IEC 13818-1</t>
  </si>
  <si>
    <t>ISO/IEC 13818-2</t>
  </si>
  <si>
    <t>ISO/IEC 13818-3</t>
  </si>
  <si>
    <t>ISO/IEC 13818-4</t>
  </si>
  <si>
    <t>ISO/IEC 13818-5</t>
  </si>
  <si>
    <t>ISO/IEC 13818-6</t>
  </si>
  <si>
    <t>ISO/IEC 13818-7</t>
  </si>
  <si>
    <t>ISO/IEC 13818-9</t>
  </si>
  <si>
    <t>ISO/IEC 13818-10</t>
  </si>
  <si>
    <t>ISO/IEC 13818-11</t>
  </si>
  <si>
    <t>ISO/IEC 13818-12</t>
  </si>
  <si>
    <t>ASPRS LAS 1.4-R11</t>
  </si>
  <si>
    <t>NIST Technical Note 1551</t>
  </si>
  <si>
    <t>OGC/ISO/IHO UN-GGIM</t>
  </si>
  <si>
    <t>Target First Year</t>
  </si>
  <si>
    <t>Target Current Year</t>
  </si>
  <si>
    <t>EN 15531-1</t>
  </si>
  <si>
    <t>EN 15531-2</t>
  </si>
  <si>
    <t>EN 15531-3</t>
  </si>
  <si>
    <t>35.240.99</t>
  </si>
  <si>
    <t>01.040.07; 01.040.37; 07.040; 37.040.01</t>
  </si>
  <si>
    <t>DIN 18716</t>
  </si>
  <si>
    <t>11.020; 35.240.01</t>
  </si>
  <si>
    <t>EN 12896-1</t>
  </si>
  <si>
    <t>EN 12896-2</t>
  </si>
  <si>
    <t>EN 12896-3</t>
  </si>
  <si>
    <t>EN 12896-4</t>
  </si>
  <si>
    <t>EN 12896-5</t>
  </si>
  <si>
    <t>EN 12896-6</t>
  </si>
  <si>
    <t>EN 12896-7</t>
  </si>
  <si>
    <t>EN 12896-8</t>
  </si>
  <si>
    <t>EN 12896-9</t>
  </si>
  <si>
    <t>EN 12896-10</t>
  </si>
  <si>
    <t>35.240.60</t>
  </si>
  <si>
    <t>53.020.20</t>
  </si>
  <si>
    <t>33.040.01; 35.060</t>
  </si>
  <si>
    <t>01.060; 33.020</t>
  </si>
  <si>
    <t>33.160.60; 37.080</t>
  </si>
  <si>
    <t>29.160.01</t>
  </si>
  <si>
    <t>?</t>
  </si>
  <si>
    <t>IETF RFC 4248</t>
  </si>
  <si>
    <t>ISO/TS 19138; ISO 19157</t>
  </si>
  <si>
    <t>to be updated</t>
  </si>
  <si>
    <t>ISO 2859 (all parts), to be updated</t>
  </si>
  <si>
    <t>under development</t>
  </si>
  <si>
    <t>ISO/IEC 11179 (all parts), to be replaced</t>
  </si>
  <si>
    <t>ISO/IEC 9075 (all parts), to be updated</t>
  </si>
  <si>
    <t>2026.xx</t>
  </si>
  <si>
    <t>EN/ISO standards references (Geographic information) (normative/informative)</t>
  </si>
  <si>
    <t>EN/ISO standards ("BIM"+"GIS") (normative/informative)</t>
  </si>
  <si>
    <t>BIM + GIS</t>
  </si>
  <si>
    <t>ISO/TR 16214</t>
  </si>
  <si>
    <t>Review of geospatial and building information modelling (BIM) terminological entries</t>
  </si>
  <si>
    <t>ISO/DIS 37189</t>
  </si>
  <si>
    <t>ISO 37175</t>
  </si>
  <si>
    <t>Smart community infrastructures — Operation and maintenance of utility tunnels</t>
  </si>
  <si>
    <t>ISO 15686-10</t>
  </si>
  <si>
    <t>Buildings and constructed assets -- Service life planning -- Part 10: When to assess functional performance</t>
  </si>
  <si>
    <t>ISO 15686-7</t>
  </si>
  <si>
    <t>Buildings and constructed assets -- Service life planning -- Part 7: Performance evaluation for feedback of service life data from practice</t>
  </si>
  <si>
    <t>ISO/TR 41016</t>
  </si>
  <si>
    <t>Facility management — Overview of available technologies</t>
  </si>
  <si>
    <t>ISO/TR 20123</t>
  </si>
  <si>
    <t>Automation systems and integration — Industrial data — Nuclear digital ecosystem specifications</t>
  </si>
  <si>
    <t>ISO/TS 81346-101</t>
  </si>
  <si>
    <t>Industrial systems, installations and equipment and industrial products — Structuring principles and reference designations — Part 101: Modelling concepts, guidelines and requirements for power supply systems</t>
  </si>
  <si>
    <t>ISO/IEC TS 5147</t>
  </si>
  <si>
    <t>Information technology — Computer graphics, image processing and environmental data representation — Guidelines for representation and visualization of smart cities</t>
  </si>
  <si>
    <t>ISO/DIS 37187</t>
  </si>
  <si>
    <t>ISO/TR 37112</t>
  </si>
  <si>
    <t>Sustainable cities and communities — Case studies in how smart city operating models support an effective public-health emergency response</t>
  </si>
  <si>
    <t>Information container for linked document delivery -- Exchange specification -- Part 1: Container</t>
  </si>
  <si>
    <t>ISO 37166</t>
  </si>
  <si>
    <t>Smart community infrastructures — Urban data integration framework for smart city planning (SCP)</t>
  </si>
  <si>
    <t>ISO/TR 19175</t>
  </si>
  <si>
    <t>Geographic information — Gap analysis of geospatial standards for indoor-outdoor seamless navigation</t>
  </si>
  <si>
    <t>33.070.40; 35.240.70</t>
  </si>
  <si>
    <t>Information technology — JPEG 2000 image coding system — Part 2: Extensions</t>
  </si>
  <si>
    <t>ISO/TR 19174</t>
  </si>
  <si>
    <t>Geographic information — Securing interoperability among heterogeneous city domain information models</t>
  </si>
  <si>
    <t>13.020.20; 35.240.01</t>
  </si>
  <si>
    <t>ISO 37108</t>
  </si>
  <si>
    <t>Sustainable cities and communities — Business districts — Guidance for practical local implementation of ISO 37101</t>
  </si>
  <si>
    <t>Buildings and constructed assets -- Service life planning -- Part 1: General principles and framework</t>
  </si>
  <si>
    <t>91.040.01</t>
  </si>
  <si>
    <t>ISO 37104</t>
  </si>
  <si>
    <t>Sustainable cities and communities -- Transforming our cities -- Guidance for practical local implementation of ISO 37101</t>
  </si>
  <si>
    <t>ISO/CD 23143-1</t>
  </si>
  <si>
    <t>ISO/CD 23143-2</t>
  </si>
  <si>
    <t>ISO/CD 23143-3</t>
  </si>
  <si>
    <t>Information exchange between BIM and GIS — Part 2: Facilitating data exchange through metadata.</t>
  </si>
  <si>
    <t>Information exchange between BIM and GIS — Part 1: Core principles and specifications</t>
  </si>
  <si>
    <t>Information exchange between BIM and GIS — Part 3: Linking abstract concepts in BIM and GIS standards</t>
  </si>
  <si>
    <t>Comment</t>
  </si>
  <si>
    <t>Geographic information — Calibration and validation of remote sensing imagery sensors and data — Part 4: Space-borne passive microwave radiometers</t>
  </si>
  <si>
    <t>ISO 28258</t>
  </si>
  <si>
    <t>ISO/IEC 5218</t>
  </si>
  <si>
    <t>ANSI/NISO Z39.19</t>
  </si>
  <si>
    <t>CaLAThe</t>
  </si>
  <si>
    <t>LandVoc</t>
  </si>
  <si>
    <t>This document analyses a feasible way to accommodate interoperability elements for the data component of a spatial data infrastructure (SDI) and extend the meta model framework for interoperability (MFI) in securing interoperability among heterogeneous domain information models under the smart city context.
This document:
a) outlines the interoperability issues for city domain information models;
b) reviews relevant standards and best practices and examines methodologies or solutions to tackle the interoperability issues;
c) supposes a use case and provides an example to secure interoperability among different domain information models using model registry;
d) specifies technical requirements in concern about how to apply the interoperability elements of the meta model framework to support the interoperability of smart city services;
e) highlights the standardization items to be developed to secure interoperability.</t>
  </si>
  <si>
    <t>https://www.iso.org/standard/32592.html</t>
  </si>
  <si>
    <t>ISO/TC 211; ISO/TC 287</t>
  </si>
  <si>
    <t>ISO/IEC 5087-1</t>
  </si>
  <si>
    <t>ISO/IEC 5087-2</t>
  </si>
  <si>
    <t>ISO/IEC 30145-2</t>
  </si>
  <si>
    <t>ISO/IEC 30145-3</t>
  </si>
  <si>
    <t>ISO/IEC 19763-1</t>
  </si>
  <si>
    <t>ETSI GS CIM 009</t>
  </si>
  <si>
    <t>UN-GGIM</t>
  </si>
  <si>
    <t>ISO/IEC 19763-3</t>
  </si>
  <si>
    <t>ISO/IEC 19763-6</t>
  </si>
  <si>
    <t>ISO/IEC 19763-10</t>
  </si>
  <si>
    <t>The objective of this document is to analyse gaps in geospatial standards for indoor-outdoor seamless navigation. This document is intended to be used by designers, developers and providers of outdoor or indoor navigation services.
This document:
a) specifies the concepts for the indoor-outdoor seamless navigation;
b) outlines conceptual architecture and scenarios (or use-cases) for indoor-outdoor seamless navigation;
c) analyses the gap of the current geospatial standards for implementing the indoor-outdoor seamless navigation;
d) highlights standardization items to be proceeded to get more interoperability.</t>
  </si>
  <si>
    <t>https://www.iso.org/standard/86329.html</t>
  </si>
  <si>
    <t>ISO 17438-1</t>
  </si>
  <si>
    <t>ISO 17438-3</t>
  </si>
  <si>
    <t>ASAM OpenDRIVE</t>
  </si>
  <si>
    <t>ISO 17438-2</t>
  </si>
  <si>
    <t>OGC 20-010</t>
  </si>
  <si>
    <t>ISO/TC 184</t>
  </si>
  <si>
    <t>This document provides:
— a review and summary of the adoption of digital methods and technology in the national nuclear sectors;
— a summary of the state of the art of some of the standards supporting the digital representation and interoperability of industrial data;
— orientation on the use of these standards for model-based systems engineering (MBSE) in order to achieve a nuclear digital ecosystem (NDE);
— a high-level roadmap of the stages by which this ecosystem can be achieved, taking into account the maturity of the actors of the ecosystem, their relationships and the added value of using advanced standards.
NOTE The complete reports from the participating entities are presented in Annexes A to G.
This document includes the following:
— the systems composing the nuclear facilities and their input, output, and other products resulting from interactions in the nuclear system or with its environment;
— the material accounting and the corresponding requirements;
— waste management: all types of nuclear waste produced during processes and activities, and their properties are considered for a seamless management of information in the whole value chain of the nuclear ecosystem.</t>
  </si>
  <si>
    <t>https://www.iso.org/standard/86092.html</t>
  </si>
  <si>
    <t>ISA/IEC 62443</t>
  </si>
  <si>
    <t>IEC 61508</t>
  </si>
  <si>
    <t>ISO 19443</t>
  </si>
  <si>
    <t>INFCIRC/274/Rev1</t>
  </si>
  <si>
    <t>ANSI/NIRMA CM 1.0</t>
  </si>
  <si>
    <t>IAEA-TECDOC-1651</t>
  </si>
  <si>
    <t>IEC 81346-1</t>
  </si>
  <si>
    <t>ISO 81346-10</t>
  </si>
  <si>
    <t>ISO 8000-8</t>
  </si>
  <si>
    <t>ISO/TS 18101-1</t>
  </si>
  <si>
    <t>ISO/IEC/IEEE 15288</t>
  </si>
  <si>
    <t>ISO/IEC 27034-5</t>
  </si>
  <si>
    <t>ISO 10007</t>
  </si>
  <si>
    <t>ISO/IEC/IEEE 29148</t>
  </si>
  <si>
    <t>IEC 81346-2</t>
  </si>
  <si>
    <t>EN 17412</t>
  </si>
  <si>
    <t>EN 17632</t>
  </si>
  <si>
    <t>ISO 19650 (all parts)</t>
  </si>
  <si>
    <t>JCGM 100</t>
  </si>
  <si>
    <t>NTA 8035</t>
  </si>
  <si>
    <t>ISO/IEC TS 27034-5-1</t>
  </si>
  <si>
    <t>ISO/TC 59</t>
  </si>
  <si>
    <t>This part of ISO 15686 identifies and establishes general principles for service life planning and a systematic framework for undertaking service life planning of a planned building or construction work throughout its life cycle (or remaining life cycle for existing buildings or construction works).
The life cycle incorporates initiation, project definition, design, construction, commissioning, operation, maintenance, refurbishment, replacement, deconstruction and ultimate disposal, recycling or re-use of the asset (or parts thereof), including its components, systems and building services.
This part of ISO 15686 is applicable to the service life planning of individual buildings.
NOTE A series of service life plans can be used as input data to the strategic property management of a number of buildings.</t>
  </si>
  <si>
    <t>ISO 9223</t>
  </si>
  <si>
    <t>ISO 12006</t>
  </si>
  <si>
    <t>ISO 12944-2</t>
  </si>
  <si>
    <t>ISO 14001</t>
  </si>
  <si>
    <t>ISO 14040</t>
  </si>
  <si>
    <t>ISO 15392</t>
  </si>
  <si>
    <t>ISO 15686-2</t>
  </si>
  <si>
    <t>ISO 15686-3</t>
  </si>
  <si>
    <t>ISO 15686-5</t>
  </si>
  <si>
    <t>ISO 15686-8</t>
  </si>
  <si>
    <t>ISO/PAS 16739</t>
  </si>
  <si>
    <t>BS 729</t>
  </si>
  <si>
    <t>BS 3416</t>
  </si>
  <si>
    <t>BS 5493</t>
  </si>
  <si>
    <t>BS 5977-1</t>
  </si>
  <si>
    <t>BS 5977-2</t>
  </si>
  <si>
    <t>BS 7543</t>
  </si>
  <si>
    <t>BS 8000 (all parts)</t>
  </si>
  <si>
    <t>CSA S478</t>
  </si>
  <si>
    <t>ASTME 632-82</t>
  </si>
  <si>
    <t>ISO 15686-4</t>
  </si>
  <si>
    <t>Building Construction -- Service Life Planning -- Part 4: Service Life Planning using Building Information Modelling</t>
  </si>
  <si>
    <t>This part of ISO 15686 provides information and guidance on the use of standards for information exchange for service life planning of buildings and constructed assets and their components as well as the required supporting data.
It provides guidance on structuring information from existing data sources to enable delivery of their information content in a structure that conforms to international standards for information exchange. In particular, reference is made to ISO 16739. The Construction Operations Building Information Exchange (COBie) standard for the exchange of facility information in tabular data are used as an alternative representation. COBie is a tabular representation of a handover view of the IFC schema.
It is also applicable to the exchange of service life information between categories of design and information management software applications that have standards-based information exchange interfaces including:
a) Building construction Information Modelling (BIM);
b) Computer Aided Facilities Management (CAFM).
Excluded from this part of the standard are
— information exchange using proprietary methods, and
— processing and analysis of data within individual software applications, though examples are provided.
The main target audience is the Information manager who will use the framework to assist in structuring the International, national or project/facility level BIM guidance document.
This Standard specifies the structure and representation of service life data. It is focused on key exchange requirements underlying the common transactions.
This document may be used for a variety of purposes
a) to achieve and maintain a common understanding within the national and project contexts;
b) to establish the desired outcomes and to define appropriate quality;
c) to identify appropriate management effort and tools;
d) to identify necessary effort and resourcing.
Service life planning involves the application of data about elements within a building or constructed assets to enable their design, predicted or estimated service life to be determined and communicated. Buildings are increasingly designed using Building Information Modelling (BIM), an approach that can provide a specification of all the objects in building and how they are aggregated into parts, assemblies and systems. An architect or engineer can define the objects using BIM; it is anticipated that the actor having the service life planning role will apply service life data to these objects and make the data available for other purposes through the use of data exchange standards.
Using information exchange standards to describe the structure of service life planning information is important because it normalizes the way in which service life information should be delivered from source to user so that relevant different attributes can be exchanged and a range of software applications can be used to capture the information.</t>
  </si>
  <si>
    <t>https://www.iso.org/standard/59150.html</t>
  </si>
  <si>
    <t xml:space="preserve">91.040.01 </t>
  </si>
  <si>
    <t>ISO/TC 59/SC 14</t>
  </si>
  <si>
    <t>ISO 14020</t>
  </si>
  <si>
    <t>ISO 14021</t>
  </si>
  <si>
    <t>ISO 14024</t>
  </si>
  <si>
    <t>ISO 14025</t>
  </si>
  <si>
    <t>ISO 14044</t>
  </si>
  <si>
    <t>ISO 21929-1</t>
  </si>
  <si>
    <t>ISO 21930</t>
  </si>
  <si>
    <t>ISO 21931-1</t>
  </si>
  <si>
    <t>EN 15942</t>
  </si>
  <si>
    <t>This document provides a generic basis for performance evaluation for feedback of service life data from existing buildings and constructed assets, including a definition of the terms to be used and the description of how the (technical) performance can be described and documented to ensure consistencies.
The purpose of this document is to describe the principles for service life performance surveys and evaluation with an emphasis on technical recommendations. It describes a generic methodology, including the terms to be used, that provides guidance on the planning, documentation and inspection phases, as well as on analysis and interpretation of performance evaluations, both on the object (single building) and network (stock of buildings) level. While maintenance planning is outside the scope of this document, maintenance-driven inspections and subsequent recommended actions could have significant effects upon service life and performance.</t>
  </si>
  <si>
    <t>https://www.iso.org/standard/61149.html</t>
  </si>
  <si>
    <t>ISO 4628-2</t>
  </si>
  <si>
    <t>ISO 4628-4</t>
  </si>
  <si>
    <t>ISO 4628-5</t>
  </si>
  <si>
    <t>ISO 4628-6</t>
  </si>
  <si>
    <t>ISO 9224</t>
  </si>
  <si>
    <t>ISO 9225</t>
  </si>
  <si>
    <t>ISO 9226</t>
  </si>
  <si>
    <t>ISO 11844-1</t>
  </si>
  <si>
    <t>ISO 15927-3</t>
  </si>
  <si>
    <t>BS 8104</t>
  </si>
  <si>
    <t>CSA Z320-11</t>
  </si>
  <si>
    <t>JIS K 5600-8-6</t>
  </si>
  <si>
    <t>JIS K 5600-47</t>
  </si>
  <si>
    <t>JIS Z 8722</t>
  </si>
  <si>
    <t>JIS Z 8741</t>
  </si>
  <si>
    <t>NS 3424</t>
  </si>
  <si>
    <t>IEC 60812</t>
  </si>
  <si>
    <t>This part of ISO 15686 establishes when to specify or verify functional performance requirements during the service life of buildings and building-related facilities, and when to check the capability of buildings and facilities to meet identified requirements.1)
This part of ISO 15686 is applicable to any scope of holdings, whether a set (or portfolio) of buildings, a single building (large or small) or a facility which is part of a building (such as one group of spaces, one floor or several floors). It is applicable to the range of roles of stakeholders, from the owners and managers to the occupants, tenants or other users. It is intended to be used with ISO 15686-1, ISO 15686-2, ISO 15686-3, ISO 15686-5, ISO 15686-6, ISO 15686-7, ISO 15686-8 and ISO 15686-9.
NOTE 1 The principles and methods can be applied to a single-family residence, but this part of ISO 15686 calls for greater frequency and extent of assessing demand and supply than is typically appropriate.2)
NOTE 2 The application of this part of ISO 15686 can be required by the client or by any entity having authority, including regulatory authority.
NOTE 3 In Table 2, the column entitled “Outputs called for by other parts of ISO 15686” is provided to show how outputs from other parts of ISO 15686 occur at each phase, whether or not this part of ISO 15686 requires action or output.</t>
  </si>
  <si>
    <t>https://www.iso.org/standard/44859.html</t>
  </si>
  <si>
    <t>ISO 9241-11</t>
  </si>
  <si>
    <t>ASTM E1334</t>
  </si>
  <si>
    <t>ASTM E1679</t>
  </si>
  <si>
    <t>ASTM WBDG2000</t>
  </si>
  <si>
    <t>This document provides an overview of the available facility management (FM) technologies. This document is applicable to facility managers, their teams and their stakeholders. It aligns specifically with ISO/TR 41013, the ISO 19650 series and the ISO 41000 family of standards as part of an integrated framework to achieve FM best practice.
This document outlines various long-term benefits and enhanced value that can be derived progressively by the operators, occupants and owners of facilities, worldwide, via the effective application of technology. This document includes, defines and categorises systems, equipment, methodologies and software applications that are available.
This framework defines how facility managers can understand and integrate digital practice and technologies in the built environment.</t>
  </si>
  <si>
    <t>https://www.iso.org/standard/68172.html</t>
  </si>
  <si>
    <t xml:space="preserve">03.080.10 </t>
  </si>
  <si>
    <t>ISO/TC 267</t>
  </si>
  <si>
    <t>ISO 41012</t>
  </si>
  <si>
    <t>ISO/TR 41013</t>
  </si>
  <si>
    <t>ISO 41014</t>
  </si>
  <si>
    <t>This document investigates barriers and proposes measures to improve interoperability between geospatial and BIM domains, namely, to align GIS standards developed by ISO/TC 211 and BIM standards developed by ISO/TC 59/SC 13.
Where relevant this document takes into account work and documents from other organizations and committees, such as buildingSMART, International (bSI), Open Geospatial Consortium (OGC) and Comité Européen de Normalisation (CEN). The focus is to identify future topics for standardization and possible revision needs of existing standards.
This document investigates conceptual and technological barriers between GIS and BIM domains at the data, service and process levels, as defined by ISO 11354 (all parts).</t>
  </si>
  <si>
    <t>35.240.67; 35.240.70</t>
  </si>
  <si>
    <t>ISO 11354 (all parts)</t>
  </si>
  <si>
    <t>ISO 12006 (all parts)</t>
  </si>
  <si>
    <t>ISO/TR 13054</t>
  </si>
  <si>
    <t>ISO/TS 13399-4</t>
  </si>
  <si>
    <t>ISO 16739-1</t>
  </si>
  <si>
    <t>ISO 16757 (all parts)</t>
  </si>
  <si>
    <t>ISO 19101 (all parts)</t>
  </si>
  <si>
    <t>ISO 19136 (all parts)</t>
  </si>
  <si>
    <t>ISO 29481 (all parts)</t>
  </si>
  <si>
    <t>OGC 05-007r7</t>
  </si>
  <si>
    <t>OGC 12-168r6</t>
  </si>
  <si>
    <t>OGC 12-176r7</t>
  </si>
  <si>
    <t>OGC 15-001r4</t>
  </si>
  <si>
    <t>OGC 19-091r2</t>
  </si>
  <si>
    <t>This document gives guidelines to support the application of the ISO 81346 and IEC 81346 series to power supply systems. It also specifies best practice for its use and implementation depending on the user and situation. The application of this document supports harmonization within and between the power supply technical domains and industries.
Introductory examples of the use of reference designation systems (RDS) can be found in Annex A and Annex B. Annex C provides an example of a conversion table between an example structuring system and the classes specified in this document and other parts of the ISO 81346 and IEC 81346 series.</t>
  </si>
  <si>
    <t>https://www.iso.org/standard/81285.html</t>
  </si>
  <si>
    <t>01.110</t>
  </si>
  <si>
    <t>ISO/TC 10/SC 10</t>
  </si>
  <si>
    <t>ISO 4157-2</t>
  </si>
  <si>
    <t>ISO 26324</t>
  </si>
  <si>
    <t>ISO 81346-12</t>
  </si>
  <si>
    <t>IEC 62683-1</t>
  </si>
  <si>
    <t>IEC/TR 63213</t>
  </si>
  <si>
    <t>This document defines an open and stable container format to exchange files of a heterogeneous nature to deliver, store and archive documents that describe an asset throughout its entire lifecycle.
It is suitable for all parties dealing with information concerning the built environment, where there is a need to exchange multiple documents and their interrelationships, either as part of the process or as contracted deliverables. The format is intended to use resources either included in the container (such as documents) or referenced remotely (such as web resources). A key feature is that the container can include information about the relationships between the documents. Relevant use-cases reflect the need for information exchange during the entire life cycle of any built asset and can include, but are not limited to, the handover of
1. a published bidding package,
2. required project deliverables at a specific project stage (e.g. when proposing different design scenarios),
3. shared information as background or for further development,
4. published approval packages, or
5. information about versions between partners to provide a means to reference particular states of the information and track changes.</t>
  </si>
  <si>
    <t xml:space="preserve">35.240.67; 91.010.01 </t>
  </si>
  <si>
    <t>ISO/IEC 21320-1</t>
  </si>
  <si>
    <t>W3C owl2-syntax</t>
  </si>
  <si>
    <t>W3C xmlschema11-2</t>
  </si>
  <si>
    <t>This document specifies guidelines for the representation and visualization of smart cities. This document:
a) describes the concepts of a smart city, smart city object and smart city data,
b) describes categories of data associated with smart cities,
c) provides guidance for representation of smart cities,
d) describes guidance for visualization of smart cities,
e) provides guidance in selecting the appropriate representation and visualization technique for different categories of smart city data using standards, and
f) provides use cases for applying standards to the representation and visualization of smart cities.</t>
  </si>
  <si>
    <t>ISO/IEC JTC 1/SC 24</t>
  </si>
  <si>
    <t>https://www.iso.org/standard/80918.html</t>
  </si>
  <si>
    <t>ISO/IEC 19774-1</t>
  </si>
  <si>
    <t>ISO/IEC 19774-2</t>
  </si>
  <si>
    <t>ISO/IEC 19775-1</t>
  </si>
  <si>
    <t>ISO/IEC 30146</t>
  </si>
  <si>
    <t>This Recommendation | International Standard defines a set of lossless (bit-preserving) and lossy compression methods for coding continuous-tone, bi-level, grey-scale, colour digital still images, or multi-component images.
This Recommendation | International Standard:
— specifies extended decoding processes for converting compressed image data to reconstructed image data;
— specifies an extended codestream syntax containing information for interpreting the compressed image data;
— specifies an extended file format;
— specifies a container to store image metadata;
— defines a standard set of image metadata;
— provides guidance on extended encoding processes for converting source image data to compressed image data;
— provides guidance on how to implement these processes in practice.</t>
  </si>
  <si>
    <t>ISO/IEC JTC 1/SC 29</t>
  </si>
  <si>
    <t>https://www.iso.org/standard/84573.html</t>
  </si>
  <si>
    <t>ISO/IEC 15444-6</t>
  </si>
  <si>
    <t>ISO/IEC 15444-15</t>
  </si>
  <si>
    <t>ISO/IEC 29199-2</t>
  </si>
  <si>
    <t>ITU-T H.273</t>
  </si>
  <si>
    <t>ISO/IEC 23091-2</t>
  </si>
  <si>
    <t>ITU-T T.42</t>
  </si>
  <si>
    <t>ITU-T T.45</t>
  </si>
  <si>
    <t>IEC 61966-2-1</t>
  </si>
  <si>
    <t>IETF RFC 1321</t>
  </si>
  <si>
    <t>IETF RFC 2630</t>
  </si>
  <si>
    <t>ISO 10126-2</t>
  </si>
  <si>
    <t>ISO 15076-1</t>
  </si>
  <si>
    <t>ISO/IEC 23001-1</t>
  </si>
  <si>
    <t>ISO/IEC 21122-1</t>
  </si>
  <si>
    <t>ISO/IEC 60559</t>
  </si>
  <si>
    <t>ANSI X9.30.2</t>
  </si>
  <si>
    <t>FIPS 186-5</t>
  </si>
  <si>
    <t>PIMA 7667</t>
  </si>
  <si>
    <t>This document provides an overview of terminological entries relating to building information modelling (BIM) as well as those relating to geographic information or geomatics. This document identifies terminological entries which are identical, equivalent (i.e. synonyms), homonymous, and entries which are unique to their respective domains.
This document does not provide recommendations to resolve terminology homonyms.</t>
  </si>
  <si>
    <t>https://www.iso.org/standard/84517.html</t>
  </si>
  <si>
    <t xml:space="preserve">01.040.35; 01.040.91; 35.240.67; 35.240.70 </t>
  </si>
  <si>
    <t>ISO 10303-227</t>
  </si>
  <si>
    <t>ISO 15930-7</t>
  </si>
  <si>
    <t>ISO 30300</t>
  </si>
  <si>
    <t>ISO 6707-4</t>
  </si>
  <si>
    <t>This document establishes a data framework that involves possible multi-source common data through standardized data integration and sharing mechanisms. It includes recommendations for:
— precision, dimensions of the data, data collection, updates and storing mechanisms;
— a data model for data integration, data standardization and data fusion approaches for heterogeneous smart city infrastructure data;
— a data security level and sharable attributes for all involved data, principles on data sharing or exchange.
This document focuses on the integration and application of heterogeneous data from urban infrastructure systems, such as water, transport, energy, drainage and waste, so as to support smart city planning (SCP). It contains case studies, in Annex A, of various smart city projects.</t>
  </si>
  <si>
    <t>https://www.iso.org/standard/69252.html</t>
  </si>
  <si>
    <t xml:space="preserve">13.020.20 </t>
  </si>
  <si>
    <t>ISO 10795</t>
  </si>
  <si>
    <t>ISO 14817-1</t>
  </si>
  <si>
    <t>ISO/IEC 20546</t>
  </si>
  <si>
    <t>ISO/IEC 20547-3</t>
  </si>
  <si>
    <t>ISO 24523</t>
  </si>
  <si>
    <t>ISO 37120</t>
  </si>
  <si>
    <t>ISO 37122</t>
  </si>
  <si>
    <t>ISO 37123</t>
  </si>
  <si>
    <t>ISO/TR 37150</t>
  </si>
  <si>
    <t>ISO 37155 (all parts)</t>
  </si>
  <si>
    <t>IEC Guide 120</t>
  </si>
  <si>
    <t>GB/T 25056</t>
  </si>
  <si>
    <t>GB/T 20988</t>
  </si>
  <si>
    <t>GB/T 33132</t>
  </si>
  <si>
    <t>BS/PAS 183</t>
  </si>
  <si>
    <t>This document specifies requirements and recommendations for the operation and maintenance of utility tunnels in terms of application, safety, energy conservation, advanced technology and economic rationality. This document aims to ensure the sustainable development as well as safe and stable operation and maintenance of utility tunnels.
This document is applicable to communities of any size that have utility tunnels.</t>
  </si>
  <si>
    <t>https://www.iso.org/standard/82837.html</t>
  </si>
  <si>
    <t>This document provides guidance on how to implement and maintain a management system for sustainable development based on ISO 37101 principles, specifically in the context of cities, but applicable to other forms of settlement. This document:
— provides guidance for practical implementation of a management system for sustainable development in cities and other settlements, based on ISO 37101;
— establishes a methodological framework for the systematic evaluation of the sustainable development schemes and achievements in the city or other settlements, based on the cross-analysis of the six purposes of sustainability and the 12 areas of action of ISO 37101;
— illustrates how other International Standards can be used to support successful implementation of ISO 37101, including, in particular, ISO 37120 (which recommends a suite of city indicators mapped against the six purposes of ISO 37101) and ISO 37106 (which provides practical guidance on how to implement joined-up delivery and innovation across organizational boundaries within the city or settlement).
This document is intended for organizing bodies, decision-makers, executive officers and managers in cities – usually, in the first instance, the relevant local governments.
This document is intended to help cities become more sustainable, through the implementation at city level of strategies, programmes, projects, plans and services referred to in this document as schemes (see Note 1 and 3.7). It also provides a platform to help demonstrate and communicate their commitment, progress and achievements.
NOTE 1 In this document, the term “scheme” is used to cover strategies, programs, projects, plans and services.
NOTE 2 The guidance can be used for city-wide strategies, but also, potentially, for some sector-specific schemes at a city level.
This document is applicable to a range of types and scales of communities: cities, towns, villages or other kinds of human settlements with defined boundaries.
NOTE 3 In this document, the term “city” refers to cities, towns, villages or other kind of human settlements with defined territorial boundaries and administrative authority.
The approach is in line with other deliverables developed by ISO/TC 268 and ISO/TC 268/SC 1 that could be identified as the ISO 371XX family.
This document can be used in whole or in part to establish or systematically improve a community-based sustainable development management system. It provides additional operational instructions and examples regarding ways of meeting the 37101 requirements.</t>
  </si>
  <si>
    <t>https://www.iso.org/standard/69895.html</t>
  </si>
  <si>
    <t>ISO/TC 268</t>
  </si>
  <si>
    <t>ISO 37101</t>
  </si>
  <si>
    <t>ISO 18091</t>
  </si>
  <si>
    <t>ISO 37106</t>
  </si>
  <si>
    <t>ISO 37153</t>
  </si>
  <si>
    <t>This document provides guidance on how to implement and maintain a management system for sustainable development in cities and communities according to ISO 37101 in the context of a business district.
This document defines the business district and presents the procedure to follow to establish and implement a sustainable development policy and continuous improvement initiative for the duration of the business district’s lifecycle.
This document identifies the general principles of sustainable development management and how to apply them in a business district, within both new developments and in operations to upgrade and renovate existing ones. It relates to all interested parties and all stages of the business district lifecycle, including planning, design, construction, operation, maintenance and renovation.
This document is intended to serve as the basis for assessing and improving economic, social, environmental, infrastructure, and governance outcomes and to provide guidance for conducting comparative analyses for business districts.</t>
  </si>
  <si>
    <t>https://www.iso.org/standard/62067.html</t>
  </si>
  <si>
    <t>ISO 14064-1</t>
  </si>
  <si>
    <t>ISO 22325</t>
  </si>
  <si>
    <t>ISO 26000</t>
  </si>
  <si>
    <t>ISO 37301</t>
  </si>
  <si>
    <t>ISO/IEC 38500</t>
  </si>
  <si>
    <t>ISO/IEC/TR 38502</t>
  </si>
  <si>
    <t>AFNOR NF P14-010-1</t>
  </si>
  <si>
    <t>AFNOR NF P14-010-2</t>
  </si>
  <si>
    <t>SAC GB/T 40763</t>
  </si>
  <si>
    <t>SAC GB/T 50378</t>
  </si>
  <si>
    <t>This document identifies good practice case studies of smart city responses to COVID-19 through the use of smart technologies, smart data, smart decision-making and smart ways of working. In particular, it aims to demonstrate how the principles for smart city operating models recommended in ISO 37106 can deliver improved outcomes in public-health emergency management (PHEM), at every stage of the command-and-control process for emergency management and incident response set out in ISO 22320.
This document is intended to inform ISO 371131, which recommends a framework of good practices that can be used in responding to future public-health emergencies.</t>
  </si>
  <si>
    <t>https://www.iso.org/standard/80335.html</t>
  </si>
  <si>
    <t xml:space="preserve">03.100.01; 13.020.20 </t>
  </si>
  <si>
    <t>ISO/TS 37107</t>
  </si>
  <si>
    <t>ISO/IEC/TS 17021-8</t>
  </si>
  <si>
    <t>ISO/IEC 27004</t>
  </si>
  <si>
    <t>ISO 22316</t>
  </si>
  <si>
    <t>ISO 22315</t>
  </si>
  <si>
    <t>ISO 22326</t>
  </si>
  <si>
    <t>ISO 22320</t>
  </si>
  <si>
    <t>ISO 22327</t>
  </si>
  <si>
    <t>ISO/TR 22351</t>
  </si>
  <si>
    <t>ISO Guide 82</t>
  </si>
  <si>
    <t>CEN/TS 17091</t>
  </si>
  <si>
    <t>ISO 22319</t>
  </si>
  <si>
    <t>ISO/IEC 27005</t>
  </si>
  <si>
    <t>ISO 37113</t>
  </si>
  <si>
    <t>ISO 37110</t>
  </si>
  <si>
    <t>This document specifies the requirements of the City Information Modelling (CIM) platform for the information modelling process of smart city construction, operation and maintenance.
This document applies to both building and infrastructure assets and management of the CIM platform and its related applications and scenarios, including community infrastructures such as transportation, communication, energy, roads, logistics, and the activities of stakeholders both organizations and citizens, apply for governments, enterprises, schools, health care, and families, etc.
NOTE Annex A outlines case studies of data exchange and sharing of CIM platform in smart community.</t>
  </si>
  <si>
    <t>https://www.iso.org/standard/69273.html</t>
  </si>
  <si>
    <t xml:space="preserve">91.020; 35.240.99 </t>
  </si>
  <si>
    <t>ISO/IEC 20924</t>
  </si>
  <si>
    <t>ISO/IEC 30182</t>
  </si>
  <si>
    <t>This document gives guidance for applying data-driven approach to visualize infrastructures in newly developing areas.</t>
  </si>
  <si>
    <t>https://www.iso.org/standard/69275.html</t>
  </si>
  <si>
    <t>https://www.iso.org/standard/87373.html</t>
  </si>
  <si>
    <t>https://www.iso.org/standard/87376.html</t>
  </si>
  <si>
    <r>
      <t>Smart community infrastructures — Guidelines on data exchange and sharing of city information modelling platform (</t>
    </r>
    <r>
      <rPr>
        <sz val="11"/>
        <color theme="5"/>
        <rFont val="Calibri"/>
        <family val="2"/>
        <scheme val="minor"/>
      </rPr>
      <t>UNDER DEVELOPMENT)</t>
    </r>
  </si>
  <si>
    <r>
      <t>Smart community infrastructure — Guidance for data-driven visualization in newly developing areas (</t>
    </r>
    <r>
      <rPr>
        <sz val="11"/>
        <color theme="5"/>
        <rFont val="Calibri"/>
        <family val="2"/>
        <scheme val="minor"/>
      </rPr>
      <t>UNDER DEVELOPMENT</t>
    </r>
    <r>
      <rPr>
        <sz val="11"/>
        <color theme="1"/>
        <rFont val="Calibri"/>
        <family val="2"/>
        <scheme val="minor"/>
      </rPr>
      <t>)</t>
    </r>
  </si>
  <si>
    <t>This document establishes the core principles and specifications for enabling structured and semantically
consistent information exchange between BIM and GIS. It provides a comprehensive framework for
understanding, planning, and implementing information exchanges that span both the built asset domain and
the geographic systems domain.
This document provides a conceptual framework, built around eight perspectives on BIM-GIS information
exchange: life cycle, process, product, data, exchange, actor, geospatial, and standards perspectives, how they
shape, dictate, or constrain the structuring and execution of information exchanges, and the relationships
between them and their application to specific use cases.
It also addresses the following key elements:
— Requirements definition and hierarchy for BIM-GIS information exchanges
— Services enabling exchange and integration, transformation, query and analysis, and visualization and
communication
— Functions supporting spatial registration and georeferencing, data harmonization, linking, analytical
operations, and workflow management
— Resources including data and information types, formats, and their characteristics
— Repositories for centralized data management, translation and integration, and specialized storage
It provides guidance on:
— Use case definition, services, and functions specification
— Application schema considerations addressing fundamental differences between BIM and GIS data
structures
— Data resources management including objects, entities, and features
— Position and location management including georeferencing levels, metadata requirements, and
implementation tasks
— Coordinate reference system selection and transformation parameters
— Georeferencing, including levels of georeferencing, metadata requirements and georeferencing tasks</t>
  </si>
  <si>
    <t>draft (not public)</t>
  </si>
  <si>
    <t>ISO 24014-1</t>
  </si>
  <si>
    <t>CWA 18186</t>
  </si>
  <si>
    <t>ISO 23611-6</t>
  </si>
  <si>
    <t>ISO 14306</t>
  </si>
  <si>
    <t>ISO/IEC 14776-413</t>
  </si>
  <si>
    <t>ISO/IEC/IEEE 26511</t>
  </si>
  <si>
    <t>prCEN/TS ISO 19166</t>
  </si>
  <si>
    <t>This document provides guidelines for the exchange of information between BIM and GIS through metadata.
This document explains the role that metadata plays in facilitating data exchange within the framework of the
standards referenced in ISO(AWI 23143-1, Clause 6.
This document offers a perspective on leveraging metadata to ensure interoperability between BIM and GIS.
It builds on the core principles established in ISO/AWI 23143-1 by presenting how metadata supports
communication between the two domains, thereby facilitating seamless data exchange
This document defines a framework for facilitating information exchange between Building Information
Modelling (BIM) and Geographic Information Systems (GIS) through metadata-driven interoperability. It
specifies methods for identifying, cross-mapping, and semantically aligning metadata elements defined in the
IDM Data Schema (ISO 29481-3:2022[1]) and the GIS Metadata Schema (ISO 19115-1:2014[2]), enabling
structured transformation between the two domains.
The scope of this part includes:
1) Establishing metadata-based cross-mapping rules to support the semantic translation of information
between BIM and GIS;
2) Supporting bidirectional information requests and responses, where each domain (BIM or GIS) can serve
as either information provider or consumer;
3) Utilizing a metadata registry according to the ISO/IEC 11179 series to manage and align metadata
vocabularies, value domains, and mappings;
4) Enabling metadata-driven exchange of geospatial and construction-related information across
heterogeneous application schemas (e.g., IFC, CityGML, InfraGML);
5) Supporting Level of Information Need (LoIN)-based request that can be interpreted across domains via
mapped metadata.</t>
  </si>
  <si>
    <t>ISO/IEC TR 20943-5</t>
  </si>
  <si>
    <t>ISO/TS 18876-1</t>
  </si>
  <si>
    <t>https://www.iso.org/standard/89397.html</t>
  </si>
  <si>
    <t>This document establishes a methodology for linking abstract concepts within Building Information Modelling
(BIM) and Geographic Information System (GIS) standards and specifies structural mechanisms for organizing
their interconnected relationships, aiming to facilitate cross-domain information exchange.
Methodologies for the development of RDF that relate to BIM and GIS are not within the scope of this
document.</t>
  </si>
  <si>
    <t>ISO/TS 19321</t>
  </si>
  <si>
    <t>ISO/CD TS 19144-4 (NOT PUBLIC)</t>
  </si>
  <si>
    <t>Geographic information — Classification systems
Part 4: Registration and implementation aspects</t>
  </si>
  <si>
    <t>https://www.iso.org/standard/87033.html</t>
  </si>
  <si>
    <t>03.100.01</t>
  </si>
  <si>
    <t>13.020.20; 35.240.63</t>
  </si>
  <si>
    <t>EIA-649-C</t>
  </si>
  <si>
    <t>91.010.99; 91.060.50</t>
  </si>
  <si>
    <t>91.010.99; 91.040.01</t>
  </si>
  <si>
    <t>35.240.67</t>
  </si>
  <si>
    <t>EN 9132</t>
  </si>
  <si>
    <t>03.100.70; 03.120.10; 49.020</t>
  </si>
  <si>
    <t>03.120.01; 03.120.30; 21.020</t>
  </si>
  <si>
    <t>IEC 61360-1</t>
  </si>
  <si>
    <t>31.020</t>
  </si>
  <si>
    <t>IEC 61360-2</t>
  </si>
  <si>
    <t>IEC 61360-6</t>
  </si>
  <si>
    <t>IEC 61360-7</t>
  </si>
  <si>
    <t>01.110; 25.040.40; 31.020</t>
  </si>
  <si>
    <t>IEC 61508-0</t>
  </si>
  <si>
    <t>IEC 61508-1</t>
  </si>
  <si>
    <t>25.040.40; 29.020; 35.240.50</t>
  </si>
  <si>
    <t>13.110; 25.040.40; 29.020</t>
  </si>
  <si>
    <t>IEC 61508-2</t>
  </si>
  <si>
    <t>IEC 61508-3</t>
  </si>
  <si>
    <t>25.040.40; 29.020</t>
  </si>
  <si>
    <t>IEC 61508-4</t>
  </si>
  <si>
    <t>IEC 61508-5</t>
  </si>
  <si>
    <t>IEC 61508-6</t>
  </si>
  <si>
    <t>IEC 61508; to be updated</t>
  </si>
  <si>
    <t>25.040.40; 35.240.50</t>
  </si>
  <si>
    <t>IEC 61508-7</t>
  </si>
  <si>
    <t>33.200</t>
  </si>
  <si>
    <t>all parts, first mapped</t>
  </si>
  <si>
    <t>IEC 61850-7</t>
  </si>
  <si>
    <t>IEC 61987</t>
  </si>
  <si>
    <t>29.130.20</t>
  </si>
  <si>
    <t>01.110; 29.020</t>
  </si>
  <si>
    <t>01.110; 35.240.01</t>
  </si>
  <si>
    <t>17.220.20</t>
  </si>
  <si>
    <t>ISO 10303</t>
  </si>
  <si>
    <t xml:space="preserve">35.240.50 </t>
  </si>
  <si>
    <t xml:space="preserve">49.140; 01.040.49 </t>
  </si>
  <si>
    <t>ISO 11354-2</t>
  </si>
  <si>
    <t xml:space="preserve">25.040.01 </t>
  </si>
  <si>
    <t xml:space="preserve">77.060 </t>
  </si>
  <si>
    <t>ISO 12006 (all parts), to be updated</t>
  </si>
  <si>
    <t>2001-11</t>
  </si>
  <si>
    <t>ISO 12006, to be updated</t>
  </si>
  <si>
    <t xml:space="preserve">91.010.01 </t>
  </si>
  <si>
    <t>91.010.01</t>
  </si>
  <si>
    <t>2001-10</t>
  </si>
  <si>
    <t>87.020</t>
  </si>
  <si>
    <t>ISO 13399</t>
  </si>
  <si>
    <t xml:space="preserve">25.100.01; 35.240.50 </t>
  </si>
  <si>
    <t>25.100.01; 35.240.50</t>
  </si>
  <si>
    <t xml:space="preserve">25.040.40 </t>
  </si>
  <si>
    <t xml:space="preserve">03.100.70; 13.020.10 </t>
  </si>
  <si>
    <t xml:space="preserve">13.020.50 </t>
  </si>
  <si>
    <t xml:space="preserve">13.020.10; 13.020.60 </t>
  </si>
  <si>
    <t>13.020.40</t>
  </si>
  <si>
    <t>35.240.80</t>
  </si>
  <si>
    <t>25.040.01</t>
  </si>
  <si>
    <t>ISO 14306-1</t>
  </si>
  <si>
    <t xml:space="preserve">03.120.10; 27.120.01 </t>
  </si>
  <si>
    <t>ISO 19650-6</t>
  </si>
  <si>
    <t>ISO 19650 (all parts), to be updated</t>
  </si>
  <si>
    <t xml:space="preserve">93.010; 35.240.67; 91.010.01 </t>
  </si>
  <si>
    <t>ISO 81346-12:2018</t>
  </si>
  <si>
    <t>IEC 81346-2:2019</t>
  </si>
  <si>
    <t>ISO 15784-1</t>
  </si>
  <si>
    <t xml:space="preserve">35.240.60; 43.040.15 </t>
  </si>
  <si>
    <t>ISO 37151</t>
  </si>
  <si>
    <t>2013-11</t>
  </si>
  <si>
    <t>01.040.35; 01.040.91; 35.240.67; 35.240.70</t>
  </si>
  <si>
    <t>03.080.10</t>
  </si>
  <si>
    <t>75.020; 25.040.40</t>
  </si>
  <si>
    <t>35.030; 03.100.70</t>
  </si>
  <si>
    <t>13.020.20; 35.240.99</t>
  </si>
  <si>
    <t>35.200</t>
  </si>
  <si>
    <t>35.020; 01.040.35</t>
  </si>
  <si>
    <t>35.040.30; 35.040.40</t>
  </si>
  <si>
    <t>77.060</t>
  </si>
  <si>
    <t>01.120; 13.020.01</t>
  </si>
  <si>
    <t>ISO 37105</t>
  </si>
  <si>
    <t>35.240.67; 91.010.01</t>
  </si>
  <si>
    <t>ISO 8000-1</t>
  </si>
  <si>
    <t xml:space="preserve">01.040.25; 25.040.40 </t>
  </si>
  <si>
    <t>01.040.91; 91.010.20</t>
  </si>
  <si>
    <t>93.010; 01.040.91; 01.040.93; 03.080.10; 91.010.01</t>
  </si>
  <si>
    <t>03.100.01; 03.100.02; 03.100.70</t>
  </si>
  <si>
    <t>03.080.01</t>
  </si>
  <si>
    <t>03.080.10; 03.100.70</t>
  </si>
  <si>
    <t>01.100.30</t>
  </si>
  <si>
    <t>87.040</t>
  </si>
  <si>
    <t>01.040.03; 03.100.01</t>
  </si>
  <si>
    <t>03.100.70; 13.020.20</t>
  </si>
  <si>
    <t>03.100.01; 13.020.20</t>
  </si>
  <si>
    <t>ISO 37155-1</t>
  </si>
  <si>
    <t>ISO 37155-2</t>
  </si>
  <si>
    <t>ISO 29481 (all parts), to be updated</t>
  </si>
  <si>
    <t>03.100.40</t>
  </si>
  <si>
    <t>35.240.67; 91.040.01</t>
  </si>
  <si>
    <t>01.020; 35.240.60</t>
  </si>
  <si>
    <t>03.100.02</t>
  </si>
  <si>
    <t>13.080.01</t>
  </si>
  <si>
    <t>03.080.30; 13.060.20; 13.060.30</t>
  </si>
  <si>
    <t>13.080.05; 13.080.30</t>
  </si>
  <si>
    <t>ISO 22328-2</t>
  </si>
  <si>
    <t>01.080.10</t>
  </si>
  <si>
    <t>ISO 16757-4</t>
  </si>
  <si>
    <t>ISO 16757-5</t>
  </si>
  <si>
    <t>03.160; 03.100.70</t>
  </si>
  <si>
    <t>ISO 15926-1</t>
  </si>
  <si>
    <t>07.060; 91.120.10</t>
  </si>
  <si>
    <t>37.100.99</t>
  </si>
  <si>
    <t>ISO/TS 15686-9</t>
  </si>
  <si>
    <t>EN/ISO standards included  (Geographic information), ca 90 standards</t>
  </si>
  <si>
    <t>EN/ISO standards ("BIM"+"GIS"), +25 standards</t>
  </si>
  <si>
    <t>Deliverable</t>
  </si>
  <si>
    <t>Article structure, data visualization possibilities</t>
  </si>
  <si>
    <t>Not started</t>
  </si>
  <si>
    <t xml:space="preserve">Data visualization (ex. </t>
  </si>
  <si>
    <t>https://gephi.org/ - is it good enough for our workflows?)</t>
  </si>
  <si>
    <t>What additional columns are needed in this Excel?</t>
  </si>
  <si>
    <t>How to find connections to BIM Landscape Explorer - in terms of standards</t>
  </si>
  <si>
    <t>Structure and introductory parts for a future article (How BIM and GIS standards interrelates with each other)</t>
  </si>
  <si>
    <t>Building up tables with calculated key values (currently most of them are N/A)</t>
  </si>
  <si>
    <t>To use BIM Landscape values or …</t>
  </si>
  <si>
    <t>neo4j - commerical? (if someone has access?)</t>
  </si>
  <si>
    <t>ISO ICS groups</t>
  </si>
  <si>
    <t>Any other tool for visualization?</t>
  </si>
  <si>
    <t>Source #2</t>
  </si>
  <si>
    <t xml:space="preserve">BIM (Level of Information need - apperance etc) vs GIS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</si>
</sst>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6" x14ac:knownFonts="1">
    <font>
      <sz val="11"/>
      <color theme="1"/>
      <name val="Calibri"/>
      <family val="2"/>
      <scheme val="minor"/>
    </font>
    <font>
      <sz val="11"/>
      <name val="Calibri"/>
      <family val="2"/>
      <scheme val="minor"/>
    </font>
    <font>
      <b/>
      <sz val="11"/>
      <name val="Calibri"/>
      <family val="2"/>
      <scheme val="minor"/>
    </font>
    <font>
      <sz val="8"/>
      <name val="Calibri"/>
      <family val="2"/>
      <scheme val="minor"/>
    </font>
    <font>
      <u/>
      <sz val="11"/>
      <color theme="10"/>
      <name val="Calibri"/>
      <family val="2"/>
      <scheme val="minor"/>
    </font>
    <font>
      <sz val="11"/>
      <name val="Calibri"/>
      <family val="2"/>
    </font>
    <font>
      <sz val="11"/>
      <color rgb="FF000000"/>
      <name val="Calibri"/>
      <family val="2"/>
    </font>
    <font>
      <b/>
      <sz val="11"/>
      <color theme="1"/>
      <name val="Calibri"/>
      <family val="2"/>
      <scheme val="minor"/>
    </font>
    <font>
      <sz val="11"/>
      <color rgb="FF444444"/>
      <name val="Calibri"/>
      <family val="2"/>
      <charset val="1"/>
    </font>
    <font>
      <sz val="11"/>
      <color rgb="FFFF0000"/>
      <name val="Calibri"/>
      <family val="2"/>
      <scheme val="minor"/>
    </font>
    <font>
      <sz val="10"/>
      <color rgb="FF000000"/>
      <name val="Arial"/>
      <family val="2"/>
    </font>
    <font>
      <sz val="11"/>
      <color theme="9"/>
      <name val="Calibri"/>
      <family val="2"/>
      <scheme val="minor"/>
    </font>
    <font>
      <sz val="10"/>
      <name val="Arial"/>
      <family val="2"/>
    </font>
    <font>
      <sz val="11"/>
      <color rgb="FFFFC000"/>
      <name val="Calibri"/>
      <family val="2"/>
      <scheme val="minor"/>
    </font>
    <font>
      <sz val="11"/>
      <color theme="5"/>
      <name val="Calibri"/>
      <family val="2"/>
      <scheme val="minor"/>
    </font>
    <font>
      <strike/>
      <sz val="11"/>
      <color theme="1"/>
      <name val="Calibri"/>
      <family val="2"/>
      <scheme val="minor"/>
    </font>
  </fonts>
  <fills count="31">
    <fill>
      <patternFill patternType="none"/>
    </fill>
    <fill>
      <patternFill patternType="gray125"/>
    </fill>
    <fill>
      <patternFill patternType="solid">
        <fgColor theme="5"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rgb="FF7030A0"/>
        <bgColor indexed="64"/>
      </patternFill>
    </fill>
    <fill>
      <patternFill patternType="solid">
        <fgColor rgb="FFC00000"/>
        <bgColor indexed="64"/>
      </patternFill>
    </fill>
    <fill>
      <patternFill patternType="solid">
        <fgColor rgb="FFF2F2F2"/>
        <bgColor indexed="64"/>
      </patternFill>
    </fill>
    <fill>
      <patternFill patternType="solid">
        <fgColor rgb="FF70AD47"/>
        <bgColor indexed="64"/>
      </patternFill>
    </fill>
    <fill>
      <patternFill patternType="solid">
        <fgColor rgb="FFED7D31"/>
        <bgColor indexed="64"/>
      </patternFill>
    </fill>
    <fill>
      <patternFill patternType="solid">
        <fgColor rgb="FF595959"/>
        <bgColor indexed="64"/>
      </patternFill>
    </fill>
    <fill>
      <patternFill patternType="solid">
        <fgColor rgb="FF4472C4"/>
        <bgColor indexed="64"/>
      </patternFill>
    </fill>
    <fill>
      <patternFill patternType="solid">
        <fgColor rgb="FF44546A"/>
        <bgColor indexed="64"/>
      </patternFill>
    </fill>
    <fill>
      <patternFill patternType="solid">
        <fgColor rgb="FFFFC000"/>
        <bgColor indexed="64"/>
      </patternFill>
    </fill>
    <fill>
      <patternFill patternType="solid">
        <fgColor rgb="FFEDEDED"/>
        <bgColor rgb="FFEDEDED"/>
      </patternFill>
    </fill>
    <fill>
      <patternFill patternType="solid">
        <fgColor rgb="FFBF8F00"/>
        <bgColor indexed="64"/>
      </patternFill>
    </fill>
    <fill>
      <patternFill patternType="solid">
        <fgColor theme="6" tint="0.79998168889431442"/>
        <bgColor theme="6" tint="0.79998168889431442"/>
      </patternFill>
    </fill>
    <fill>
      <patternFill patternType="solid">
        <fgColor theme="4" tint="0.39997558519241921"/>
        <bgColor indexed="64"/>
      </patternFill>
    </fill>
    <fill>
      <patternFill patternType="solid">
        <fgColor rgb="FF8497B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2E536"/>
        <bgColor indexed="64"/>
      </patternFill>
    </fill>
    <fill>
      <patternFill patternType="solid">
        <fgColor rgb="FFB1D751"/>
        <bgColor indexed="64"/>
      </patternFill>
    </fill>
    <fill>
      <patternFill patternType="solid">
        <fgColor rgb="FFCCCCFF"/>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bgColor indexed="64"/>
      </patternFill>
    </fill>
    <fill>
      <patternFill patternType="solid">
        <fgColor rgb="FF92D050"/>
        <bgColor indexed="64"/>
      </patternFill>
    </fill>
    <fill>
      <patternFill patternType="solid">
        <fgColor rgb="FFFFFFFF"/>
        <bgColor indexed="64"/>
      </patternFill>
    </fill>
  </fills>
  <borders count="13">
    <border>
      <left/>
      <right/>
      <top/>
      <bottom/>
      <diagonal/>
    </border>
    <border>
      <left/>
      <right/>
      <top/>
      <bottom style="thin">
        <color theme="6"/>
      </bottom>
      <diagonal/>
    </border>
    <border>
      <left/>
      <right/>
      <top style="thin">
        <color theme="6" tint="0.39997558519241921"/>
      </top>
      <bottom style="thin">
        <color theme="6" tint="0.39997558519241921"/>
      </bottom>
      <diagonal/>
    </border>
    <border>
      <left/>
      <right/>
      <top style="thin">
        <color rgb="FFC9C9C9"/>
      </top>
      <bottom style="thin">
        <color rgb="FFC9C9C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theme="6" tint="0.39997558519241921"/>
      </top>
      <bottom style="thin">
        <color theme="6" tint="0.39997558519241921"/>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diagonal/>
    </border>
    <border>
      <left/>
      <right/>
      <top style="thin">
        <color theme="6" tint="0.39997558519241921"/>
      </top>
      <bottom/>
      <diagonal/>
    </border>
  </borders>
  <cellStyleXfs count="2">
    <xf numFmtId="0" fontId="0" fillId="0" borderId="0"/>
    <xf numFmtId="0" fontId="4" fillId="0" borderId="0" applyNumberFormat="0" applyFill="0" applyBorder="0" applyAlignment="0" applyProtection="0"/>
  </cellStyleXfs>
  <cellXfs count="125">
    <xf numFmtId="0" fontId="0" fillId="0" borderId="0" xfId="0"/>
    <xf numFmtId="0" fontId="1" fillId="0" borderId="0" xfId="0" applyFont="1"/>
    <xf numFmtId="0" fontId="0" fillId="2" borderId="0" xfId="0" applyFill="1"/>
    <xf numFmtId="0" fontId="2" fillId="0" borderId="1" xfId="0" applyFont="1" applyBorder="1" applyAlignment="1">
      <alignment horizontal="center" vertical="center" wrapText="1"/>
    </xf>
    <xf numFmtId="14" fontId="0" fillId="0" borderId="0" xfId="0" applyNumberFormat="1"/>
    <xf numFmtId="14" fontId="0" fillId="2" borderId="0" xfId="0" applyNumberFormat="1" applyFill="1"/>
    <xf numFmtId="14" fontId="0" fillId="4" borderId="0" xfId="0" applyNumberFormat="1" applyFill="1"/>
    <xf numFmtId="0" fontId="0" fillId="0" borderId="2" xfId="0" applyBorder="1"/>
    <xf numFmtId="0" fontId="0" fillId="0" borderId="0" xfId="0" applyAlignment="1">
      <alignment vertical="center"/>
    </xf>
    <xf numFmtId="0" fontId="2" fillId="0" borderId="1" xfId="0" applyFont="1" applyBorder="1" applyAlignment="1">
      <alignment horizontal="center" vertical="center"/>
    </xf>
    <xf numFmtId="0" fontId="4" fillId="14" borderId="3" xfId="1" applyFill="1" applyBorder="1" applyAlignment="1"/>
    <xf numFmtId="0" fontId="0" fillId="15" borderId="0" xfId="0" applyFill="1"/>
    <xf numFmtId="0" fontId="6" fillId="0" borderId="0" xfId="0" applyFont="1"/>
    <xf numFmtId="0" fontId="0" fillId="0" borderId="3" xfId="0" applyBorder="1"/>
    <xf numFmtId="0" fontId="4" fillId="0" borderId="3" xfId="1" applyBorder="1"/>
    <xf numFmtId="164" fontId="2" fillId="0" borderId="1" xfId="0" applyNumberFormat="1" applyFont="1" applyBorder="1" applyAlignment="1">
      <alignment horizontal="center" vertical="center" wrapText="1"/>
    </xf>
    <xf numFmtId="164" fontId="0" fillId="0" borderId="0" xfId="0" applyNumberFormat="1"/>
    <xf numFmtId="0" fontId="7" fillId="0" borderId="0" xfId="0" applyFont="1"/>
    <xf numFmtId="0" fontId="1" fillId="0" borderId="3" xfId="1" applyFont="1" applyFill="1" applyBorder="1" applyAlignment="1"/>
    <xf numFmtId="0" fontId="1" fillId="0" borderId="0" xfId="1" applyFont="1" applyFill="1" applyBorder="1" applyAlignment="1"/>
    <xf numFmtId="2" fontId="0" fillId="0" borderId="0" xfId="0" applyNumberFormat="1"/>
    <xf numFmtId="0" fontId="1" fillId="0" borderId="3" xfId="1" applyFont="1" applyFill="1" applyBorder="1"/>
    <xf numFmtId="0" fontId="0" fillId="16" borderId="0" xfId="0" applyFill="1"/>
    <xf numFmtId="0" fontId="0" fillId="19" borderId="0" xfId="0" applyFill="1"/>
    <xf numFmtId="0" fontId="8" fillId="0" borderId="0" xfId="0" applyFont="1"/>
    <xf numFmtId="0" fontId="4" fillId="0" borderId="3" xfId="1" applyFill="1" applyBorder="1" applyAlignment="1"/>
    <xf numFmtId="0" fontId="1" fillId="0" borderId="2" xfId="0" applyFont="1" applyBorder="1"/>
    <xf numFmtId="0" fontId="0" fillId="7" borderId="4" xfId="0" applyFill="1" applyBorder="1"/>
    <xf numFmtId="0" fontId="0" fillId="8" borderId="5" xfId="0" applyFill="1" applyBorder="1"/>
    <xf numFmtId="0" fontId="0" fillId="10" borderId="6" xfId="0" applyFill="1" applyBorder="1"/>
    <xf numFmtId="0" fontId="0" fillId="5" borderId="5" xfId="0" applyFill="1" applyBorder="1"/>
    <xf numFmtId="0" fontId="0" fillId="17" borderId="5" xfId="0" applyFill="1" applyBorder="1"/>
    <xf numFmtId="0" fontId="0" fillId="6" borderId="6" xfId="0" applyFill="1" applyBorder="1"/>
    <xf numFmtId="0" fontId="0" fillId="18" borderId="5" xfId="0" applyFill="1" applyBorder="1"/>
    <xf numFmtId="0" fontId="0" fillId="13" borderId="6" xfId="0" applyFill="1" applyBorder="1"/>
    <xf numFmtId="0" fontId="0" fillId="9" borderId="5" xfId="0" applyFill="1" applyBorder="1"/>
    <xf numFmtId="0" fontId="0" fillId="12" borderId="6" xfId="0" applyFill="1" applyBorder="1"/>
    <xf numFmtId="0" fontId="0" fillId="11" borderId="4" xfId="0" applyFill="1" applyBorder="1"/>
    <xf numFmtId="0" fontId="7" fillId="0" borderId="0" xfId="0" applyFont="1" applyAlignment="1">
      <alignment horizontal="left" indent="1"/>
    </xf>
    <xf numFmtId="0" fontId="0" fillId="0" borderId="0" xfId="0" applyAlignment="1">
      <alignment horizontal="left" indent="1"/>
    </xf>
    <xf numFmtId="0" fontId="0" fillId="0" borderId="7" xfId="0" applyBorder="1"/>
    <xf numFmtId="0" fontId="0" fillId="0" borderId="8" xfId="0" applyBorder="1"/>
    <xf numFmtId="0" fontId="1" fillId="0" borderId="8" xfId="0" applyFont="1" applyBorder="1"/>
    <xf numFmtId="0" fontId="0" fillId="0" borderId="9" xfId="0" applyBorder="1"/>
    <xf numFmtId="0" fontId="7" fillId="20" borderId="4" xfId="0" applyFont="1" applyFill="1" applyBorder="1"/>
    <xf numFmtId="0" fontId="5" fillId="14" borderId="0" xfId="0" applyFont="1" applyFill="1"/>
    <xf numFmtId="0" fontId="4" fillId="0" borderId="0" xfId="1" applyFill="1" applyBorder="1" applyAlignment="1"/>
    <xf numFmtId="0" fontId="0" fillId="0" borderId="10" xfId="0" applyBorder="1"/>
    <xf numFmtId="0" fontId="0" fillId="0" borderId="6" xfId="0" applyBorder="1"/>
    <xf numFmtId="0" fontId="0" fillId="21" borderId="5" xfId="0" applyFill="1" applyBorder="1" applyAlignment="1">
      <alignment vertical="center"/>
    </xf>
    <xf numFmtId="0" fontId="0" fillId="0" borderId="5" xfId="0" applyBorder="1"/>
    <xf numFmtId="0" fontId="2" fillId="21" borderId="1" xfId="0" applyFont="1" applyFill="1" applyBorder="1" applyAlignment="1">
      <alignment horizontal="center" vertical="center" wrapText="1"/>
    </xf>
    <xf numFmtId="0" fontId="2" fillId="21" borderId="0" xfId="0" applyFont="1" applyFill="1" applyAlignment="1">
      <alignment horizontal="center" vertical="center" wrapText="1"/>
    </xf>
    <xf numFmtId="164" fontId="2" fillId="21" borderId="0" xfId="0" applyNumberFormat="1" applyFont="1" applyFill="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2" fontId="0" fillId="0" borderId="0" xfId="0" applyNumberFormat="1" applyAlignment="1">
      <alignment horizontal="center" vertical="center"/>
    </xf>
    <xf numFmtId="14" fontId="0" fillId="0" borderId="0" xfId="0" applyNumberFormat="1" applyAlignment="1">
      <alignment horizontal="center" vertical="center"/>
    </xf>
    <xf numFmtId="0" fontId="0" fillId="0" borderId="11" xfId="0" applyBorder="1"/>
    <xf numFmtId="0" fontId="5" fillId="0" borderId="0" xfId="0" applyFont="1"/>
    <xf numFmtId="0" fontId="4" fillId="0" borderId="0" xfId="1" applyBorder="1"/>
    <xf numFmtId="0" fontId="0" fillId="22" borderId="0" xfId="0" applyFill="1"/>
    <xf numFmtId="0" fontId="0" fillId="16" borderId="2" xfId="0" applyFill="1" applyBorder="1"/>
    <xf numFmtId="0" fontId="1" fillId="16" borderId="2" xfId="0" applyFont="1" applyFill="1" applyBorder="1"/>
    <xf numFmtId="0" fontId="0" fillId="0" borderId="0" xfId="0" applyAlignment="1">
      <alignment horizontal="right"/>
    </xf>
    <xf numFmtId="0" fontId="4" fillId="14" borderId="0" xfId="1" applyFill="1" applyBorder="1" applyAlignment="1"/>
    <xf numFmtId="164"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alignment vertical="top"/>
    </xf>
    <xf numFmtId="0" fontId="0" fillId="23" borderId="6" xfId="0" applyFill="1" applyBorder="1"/>
    <xf numFmtId="0" fontId="0" fillId="24" borderId="6" xfId="0" applyFill="1" applyBorder="1"/>
    <xf numFmtId="0" fontId="0" fillId="25" borderId="0" xfId="0" applyFill="1"/>
    <xf numFmtId="0" fontId="5" fillId="0" borderId="3" xfId="0" applyFont="1" applyBorder="1"/>
    <xf numFmtId="0" fontId="4" fillId="0" borderId="0" xfId="1"/>
    <xf numFmtId="0" fontId="0" fillId="0" borderId="12" xfId="0" applyBorder="1"/>
    <xf numFmtId="49" fontId="0" fillId="0" borderId="5" xfId="0" applyNumberFormat="1" applyBorder="1"/>
    <xf numFmtId="49" fontId="0" fillId="0" borderId="10" xfId="0" applyNumberFormat="1" applyBorder="1"/>
    <xf numFmtId="49" fontId="0" fillId="0" borderId="0" xfId="0" applyNumberFormat="1"/>
    <xf numFmtId="49" fontId="0" fillId="0" borderId="0" xfId="0" applyNumberFormat="1" applyAlignment="1">
      <alignment vertical="center"/>
    </xf>
    <xf numFmtId="0" fontId="0" fillId="26" borderId="0" xfId="0" applyFill="1"/>
    <xf numFmtId="0" fontId="0" fillId="27" borderId="0" xfId="0" applyFill="1"/>
    <xf numFmtId="49" fontId="0" fillId="26" borderId="0" xfId="0" applyNumberFormat="1" applyFill="1"/>
    <xf numFmtId="49" fontId="0" fillId="27" borderId="0" xfId="0" applyNumberFormat="1" applyFill="1"/>
    <xf numFmtId="0" fontId="0" fillId="26" borderId="0" xfId="0" applyFill="1" applyAlignment="1">
      <alignment horizontal="center"/>
    </xf>
    <xf numFmtId="0" fontId="0" fillId="26" borderId="0" xfId="0" applyFill="1" applyAlignment="1">
      <alignment horizontal="center" vertical="center"/>
    </xf>
    <xf numFmtId="0" fontId="4" fillId="0" borderId="0" xfId="1" applyFill="1" applyBorder="1"/>
    <xf numFmtId="0" fontId="5" fillId="14" borderId="3" xfId="0" applyFont="1" applyFill="1" applyBorder="1"/>
    <xf numFmtId="0" fontId="2" fillId="0" borderId="1" xfId="0" applyFont="1" applyBorder="1" applyAlignment="1">
      <alignment horizontal="center" vertical="top" wrapText="1"/>
    </xf>
    <xf numFmtId="0" fontId="0" fillId="0" borderId="0" xfId="0" applyAlignment="1">
      <alignment vertical="top" wrapText="1"/>
    </xf>
    <xf numFmtId="0" fontId="1" fillId="0" borderId="0" xfId="0" applyFont="1" applyAlignment="1">
      <alignment vertical="top" wrapText="1"/>
    </xf>
    <xf numFmtId="0" fontId="4" fillId="0" borderId="0" xfId="1" applyFill="1"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164" fontId="0" fillId="0" borderId="0" xfId="0" applyNumberFormat="1" applyAlignment="1">
      <alignment vertical="top"/>
    </xf>
    <xf numFmtId="2" fontId="0" fillId="0" borderId="0" xfId="0" applyNumberFormat="1" applyAlignment="1">
      <alignment vertical="top"/>
    </xf>
    <xf numFmtId="0" fontId="4" fillId="0" borderId="0" xfId="1" applyAlignment="1">
      <alignment vertical="top" wrapText="1"/>
    </xf>
    <xf numFmtId="0" fontId="9" fillId="0" borderId="0" xfId="0" applyFont="1" applyAlignment="1">
      <alignment vertical="top" wrapText="1"/>
    </xf>
    <xf numFmtId="0" fontId="0" fillId="28" borderId="0" xfId="0" applyFill="1"/>
    <xf numFmtId="0" fontId="0" fillId="0" borderId="0" xfId="0" applyAlignment="1">
      <alignment horizontal="left"/>
    </xf>
    <xf numFmtId="164" fontId="2" fillId="0" borderId="1" xfId="0" applyNumberFormat="1" applyFont="1" applyBorder="1" applyAlignment="1">
      <alignment horizontal="center" vertical="top" wrapText="1"/>
    </xf>
    <xf numFmtId="0" fontId="0" fillId="29" borderId="0" xfId="0" applyFill="1"/>
    <xf numFmtId="0" fontId="9" fillId="0" borderId="0" xfId="0" applyFont="1"/>
    <xf numFmtId="0" fontId="0" fillId="0" borderId="0" xfId="0" applyAlignment="1">
      <alignment wrapText="1"/>
    </xf>
    <xf numFmtId="0" fontId="10" fillId="30" borderId="0" xfId="0" applyFont="1" applyFill="1" applyAlignment="1">
      <alignment vertical="center" wrapText="1"/>
    </xf>
    <xf numFmtId="0" fontId="11" fillId="0" borderId="0" xfId="0" applyFont="1"/>
    <xf numFmtId="49" fontId="1" fillId="0" borderId="0" xfId="0" applyNumberFormat="1" applyFont="1"/>
    <xf numFmtId="49" fontId="1" fillId="0" borderId="0" xfId="0" applyNumberFormat="1" applyFont="1" applyAlignment="1">
      <alignment vertical="top" wrapText="1"/>
    </xf>
    <xf numFmtId="49" fontId="1" fillId="0" borderId="0" xfId="0" applyNumberFormat="1" applyFont="1" applyAlignment="1">
      <alignment wrapText="1"/>
    </xf>
    <xf numFmtId="49" fontId="12" fillId="30" borderId="0" xfId="0" applyNumberFormat="1" applyFont="1" applyFill="1" applyAlignment="1">
      <alignment vertical="center" wrapText="1"/>
    </xf>
    <xf numFmtId="2" fontId="0" fillId="0" borderId="0" xfId="0" applyNumberFormat="1" applyAlignment="1">
      <alignment horizontal="center" vertical="top" wrapText="1"/>
    </xf>
    <xf numFmtId="2" fontId="0" fillId="0" borderId="0" xfId="0" applyNumberFormat="1" applyAlignment="1">
      <alignment horizontal="center" vertical="top"/>
    </xf>
    <xf numFmtId="2" fontId="1" fillId="0" borderId="0" xfId="0" applyNumberFormat="1" applyFont="1" applyAlignment="1">
      <alignment horizontal="center" vertical="top"/>
    </xf>
    <xf numFmtId="2" fontId="12" fillId="30" borderId="0" xfId="0" applyNumberFormat="1" applyFont="1" applyFill="1" applyAlignment="1">
      <alignment horizontal="center" vertical="top" wrapText="1"/>
    </xf>
    <xf numFmtId="0" fontId="1" fillId="0" borderId="0" xfId="1" applyFont="1" applyFill="1" applyAlignment="1">
      <alignment vertical="top" wrapText="1"/>
    </xf>
    <xf numFmtId="0" fontId="13" fillId="0" borderId="0" xfId="0" applyFont="1" applyAlignment="1">
      <alignment vertical="top" wrapText="1"/>
    </xf>
    <xf numFmtId="0" fontId="13" fillId="0" borderId="0" xfId="0" applyFont="1"/>
    <xf numFmtId="0" fontId="14" fillId="0" borderId="0" xfId="0" applyFont="1" applyAlignment="1">
      <alignment vertical="top" wrapText="1"/>
    </xf>
    <xf numFmtId="0" fontId="1" fillId="0" borderId="0" xfId="0" applyFont="1" applyAlignment="1">
      <alignment wrapText="1"/>
    </xf>
    <xf numFmtId="0" fontId="12" fillId="30" borderId="0" xfId="0" applyFont="1" applyFill="1" applyAlignment="1">
      <alignment vertical="center" wrapText="1"/>
    </xf>
    <xf numFmtId="2" fontId="0" fillId="0" borderId="0" xfId="0" applyNumberFormat="1" applyAlignment="1">
      <alignment horizontal="left" vertical="top"/>
    </xf>
    <xf numFmtId="0" fontId="0" fillId="0" borderId="0" xfId="0" applyAlignment="1">
      <alignment horizontal="left"/>
    </xf>
    <xf numFmtId="0" fontId="15" fillId="0" borderId="0" xfId="0" applyFont="1"/>
    <xf numFmtId="0" fontId="9" fillId="0" borderId="0" xfId="0" applyFont="1" applyAlignment="1">
      <alignment horizontal="left"/>
    </xf>
  </cellXfs>
  <cellStyles count="2">
    <cellStyle name="Hyperlink" xfId="1" builtinId="8"/>
    <cellStyle name="Normal" xfId="0" builtinId="0"/>
  </cellStyles>
  <dxfs count="129">
    <dxf>
      <font>
        <color auto="1"/>
      </font>
      <fill>
        <patternFill>
          <bgColor rgb="FFFF0000"/>
        </patternFill>
      </fill>
    </dxf>
    <dxf>
      <font>
        <color auto="1"/>
      </font>
      <fill>
        <patternFill>
          <bgColor theme="5"/>
        </patternFill>
      </fill>
    </dxf>
    <dxf>
      <font>
        <color auto="1"/>
      </font>
      <fill>
        <patternFill>
          <bgColor theme="7"/>
        </patternFill>
      </fill>
    </dxf>
    <dxf>
      <font>
        <color auto="1"/>
      </font>
      <fill>
        <patternFill>
          <bgColor rgb="FFFF0000"/>
        </patternFill>
      </fill>
    </dxf>
    <dxf>
      <font>
        <color auto="1"/>
      </font>
      <fill>
        <patternFill>
          <bgColor theme="5"/>
        </patternFill>
      </fill>
    </dxf>
    <dxf>
      <font>
        <color auto="1"/>
      </font>
      <fill>
        <patternFill>
          <bgColor theme="7"/>
        </patternFill>
      </fill>
    </dxf>
    <dxf>
      <font>
        <color auto="1"/>
      </font>
      <fill>
        <patternFill>
          <bgColor rgb="FFFF0000"/>
        </patternFill>
      </fill>
    </dxf>
    <dxf>
      <font>
        <color auto="1"/>
      </font>
      <fill>
        <patternFill>
          <bgColor theme="5"/>
        </patternFill>
      </fill>
    </dxf>
    <dxf>
      <font>
        <color auto="1"/>
      </font>
      <fill>
        <patternFill>
          <bgColor theme="7"/>
        </patternFill>
      </fill>
    </dxf>
    <dxf>
      <fill>
        <patternFill>
          <bgColor rgb="FFFF0000"/>
        </patternFill>
      </fill>
    </dxf>
    <dxf>
      <fill>
        <patternFill>
          <bgColor rgb="FFFF0000"/>
        </patternFill>
      </fill>
    </dxf>
    <dxf>
      <fill>
        <patternFill patternType="none"/>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CCCCFF"/>
        </patternFill>
      </fill>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numFmt numFmtId="164" formatCode="0.0000"/>
      <fill>
        <patternFill patternType="solid">
          <fgColor indexed="64"/>
          <bgColor theme="0" tint="-0.14999847407452621"/>
        </patternFill>
      </fill>
      <alignment horizontal="center"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alignment horizontal="general" vertical="center" textRotation="0" wrapText="0" indent="0" justifyLastLine="0" shrinkToFit="0" readingOrder="0"/>
    </dxf>
    <dxf>
      <numFmt numFmtId="30" formatCode="@"/>
      <fill>
        <patternFill patternType="none"/>
      </fill>
    </dxf>
    <dxf>
      <alignment horizontal="general" vertical="center" textRotation="0" wrapText="0" indent="0" justifyLastLine="0" shrinkToFit="0" readingOrder="0"/>
    </dxf>
    <dxf>
      <fill>
        <patternFill patternType="none"/>
      </fill>
    </dxf>
    <dxf>
      <alignment horizontal="general" vertical="center" textRotation="0" wrapText="0" indent="0" justifyLastLine="0" shrinkToFit="0" readingOrder="0"/>
    </dxf>
    <dxf>
      <numFmt numFmtId="0" formatCode="General"/>
    </dxf>
    <dxf>
      <numFmt numFmtId="19" formatCode="dd/mm/yyyy"/>
    </dxf>
    <dxf>
      <numFmt numFmtId="0" formatCode="General"/>
      <fill>
        <patternFill patternType="solid">
          <fgColor indexed="64"/>
          <bgColor rgb="FF92D050"/>
        </patternFill>
      </fill>
    </dxf>
    <dxf>
      <numFmt numFmtId="0" formatCode="General"/>
      <fill>
        <patternFill patternType="solid">
          <fgColor indexed="64"/>
          <bgColor rgb="FF92D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0.0000"/>
    </dxf>
    <dxf>
      <numFmt numFmtId="164" formatCode="0.0000"/>
    </dxf>
    <dxf>
      <numFmt numFmtId="0" formatCode="General"/>
    </dxf>
    <dxf>
      <fill>
        <patternFill patternType="solid">
          <fgColor indexed="64"/>
          <bgColor theme="6" tint="0.39997558519241921"/>
        </patternFill>
      </fill>
    </dxf>
    <dxf>
      <fill>
        <patternFill patternType="solid">
          <fgColor indexed="64"/>
          <bgColor theme="6" tint="0.39997558519241921"/>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border outline="0">
        <top style="thin">
          <color theme="6"/>
        </top>
      </border>
    </dxf>
    <dxf>
      <border outline="0">
        <bottom style="thin">
          <color theme="6"/>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theme="6" tint="0.39997558519241921"/>
        </left>
        <right style="thin">
          <color theme="6" tint="0.39997558519241921"/>
        </right>
        <top/>
        <bottom/>
      </border>
    </dxf>
    <dxf>
      <numFmt numFmtId="0" formatCode="General"/>
    </dxf>
    <dxf>
      <numFmt numFmtId="19" formatCode="dd/mm/yyyy"/>
    </dxf>
    <dxf>
      <numFmt numFmtId="0" formatCode="General"/>
      <fill>
        <patternFill patternType="solid">
          <fgColor indexed="64"/>
          <bgColor rgb="FF92D050"/>
        </patternFill>
      </fill>
    </dxf>
    <dxf>
      <numFmt numFmtId="0" formatCode="General"/>
      <fill>
        <patternFill patternType="solid">
          <fgColor indexed="64"/>
          <bgColor rgb="FF92D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color auto="1"/>
      </font>
      <numFmt numFmtId="30" formatCode="@"/>
    </dxf>
    <dxf>
      <numFmt numFmtId="2" formatCode="0.00"/>
      <alignment horizontal="center" vertical="top" textRotation="0" indent="0" justifyLastLine="0" shrinkToFit="0" readingOrder="0"/>
    </dxf>
    <dxf>
      <numFmt numFmtId="2" formatCode="0.00"/>
      <alignment horizontal="center" vertical="top" textRotation="0" indent="0" justifyLastLine="0" shrinkToFit="0" readingOrder="0"/>
    </dxf>
    <dxf>
      <font>
        <strike val="0"/>
        <outline val="0"/>
        <shadow val="0"/>
        <u val="none"/>
        <vertAlign val="baseline"/>
        <color auto="1"/>
      </font>
    </dxf>
    <dxf>
      <alignment horizontal="center" vertical="bottom" textRotation="0" wrapText="0" indent="0" justifyLastLine="0" shrinkToFit="0" readingOrder="0"/>
    </dxf>
    <dxf>
      <numFmt numFmtId="2" formatCode="0.00"/>
      <alignment horizontal="general" vertical="top" textRotation="0" indent="0" justifyLastLine="0" shrinkToFit="0" readingOrder="0"/>
    </dxf>
    <dxf>
      <numFmt numFmtId="164" formatCode="0.0000"/>
      <alignment horizontal="general" vertical="top" textRotation="0" indent="0" justifyLastLine="0" shrinkToFit="0" readingOrder="0"/>
    </dxf>
    <dxf>
      <numFmt numFmtId="164" formatCode="0.0000"/>
      <alignment horizontal="general" vertical="top" textRotation="0" indent="0" justifyLastLine="0" shrinkToFit="0" readingOrder="0"/>
    </dxf>
    <dxf>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fill>
        <patternFill patternType="solid">
          <fgColor indexed="64"/>
          <bgColor theme="6" tint="0.39997558519241921"/>
        </patternFill>
      </fill>
      <alignment vertical="top" textRotation="0" wrapText="1" indent="0" justifyLastLine="0" shrinkToFit="0" readingOrder="0"/>
    </dxf>
    <dxf>
      <numFmt numFmtId="30" formatCode="@"/>
      <alignment horizontal="center" vertical="top" textRotation="0" wrapText="1" indent="0" justifyLastLine="0" shrinkToFit="0" readingOrder="0"/>
    </dxf>
    <dxf>
      <numFmt numFmtId="30" formatCode="@"/>
      <fill>
        <patternFill patternType="solid">
          <fgColor indexed="64"/>
          <bgColor theme="6" tint="0.39997558519241921"/>
        </patternFill>
      </fill>
      <alignment horizontal="center" vertical="top" textRotation="0" wrapText="1" indent="0" justifyLastLine="0" shrinkToFit="0" readingOrder="0"/>
    </dxf>
    <dxf>
      <numFmt numFmtId="30" formatCode="@"/>
      <fill>
        <patternFill patternType="solid">
          <fgColor indexed="64"/>
          <bgColor theme="6" tint="0.3999755851924192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center" vertical="top" textRotation="0" wrapText="1" indent="0" justifyLastLine="0" shrinkToFit="0" readingOrder="0"/>
    </dxf>
    <dxf>
      <border outline="0">
        <top style="thin">
          <color rgb="FFA5A5A5"/>
        </top>
      </border>
    </dxf>
    <dxf>
      <border outline="0">
        <bottom style="thin">
          <color rgb="FFA5A5A5"/>
        </bottom>
      </border>
    </dxf>
    <dxf>
      <font>
        <b/>
        <i val="0"/>
        <strike val="0"/>
        <condense val="0"/>
        <extend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theme="6" tint="0.39997558519241921"/>
        </left>
        <right style="thin">
          <color theme="6" tint="0.39997558519241921"/>
        </right>
        <top/>
        <bottom/>
      </border>
    </dxf>
  </dxfs>
  <tableStyles count="1" defaultTableStyle="TableStyleMedium2" defaultPivotStyle="PivotStyleLight16">
    <tableStyle name="Style de segment 1" pivot="0" table="0" count="0" xr9:uid="{00000000-0011-0000-FFFF-FFFF00000000}"/>
  </tableStyles>
  <colors>
    <mruColors>
      <color rgb="FFCCCCFF"/>
      <color rgb="FFB1D751"/>
      <color rgb="FFF2E536"/>
      <color rgb="FF8497B0"/>
      <color rgb="FFFFC000"/>
      <color rgb="FFC00000"/>
      <color rgb="FF44546A"/>
      <color rgb="FF4472C4"/>
      <color rgb="FF595959"/>
      <color rgb="FFED7D31"/>
    </mruColors>
  </colors>
  <extLst>
    <ext xmlns:x14="http://schemas.microsoft.com/office/spreadsheetml/2009/9/main" uri="{EB79DEF2-80B8-43e5-95BD-54CBDDF9020C}">
      <x14:slicerStyles defaultSlicerStyle="Style de segment 1">
        <x14:slicerStyle name="Style de segment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4763</xdr:colOff>
      <xdr:row>2</xdr:row>
      <xdr:rowOff>176213</xdr:rowOff>
    </xdr:from>
    <xdr:to>
      <xdr:col>3</xdr:col>
      <xdr:colOff>628651</xdr:colOff>
      <xdr:row>6</xdr:row>
      <xdr:rowOff>147638</xdr:rowOff>
    </xdr:to>
    <xdr:sp macro="" textlink="">
      <xdr:nvSpPr>
        <xdr:cNvPr id="2" name="Rectangle 1">
          <a:extLst>
            <a:ext uri="{FF2B5EF4-FFF2-40B4-BE49-F238E27FC236}">
              <a16:creationId xmlns:a16="http://schemas.microsoft.com/office/drawing/2014/main" id="{FA03D27A-A8A2-8D83-4DBC-80C59B29B70A}"/>
            </a:ext>
          </a:extLst>
        </xdr:cNvPr>
        <xdr:cNvSpPr/>
      </xdr:nvSpPr>
      <xdr:spPr>
        <a:xfrm>
          <a:off x="1300163" y="538163"/>
          <a:ext cx="1271588" cy="695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START</a:t>
          </a:r>
          <a:endParaRPr lang="et-EE" sz="1100"/>
        </a:p>
      </xdr:txBody>
    </xdr:sp>
    <xdr:clientData/>
  </xdr:twoCellAnchor>
  <xdr:twoCellAnchor>
    <xdr:from>
      <xdr:col>5</xdr:col>
      <xdr:colOff>9526</xdr:colOff>
      <xdr:row>2</xdr:row>
      <xdr:rowOff>176213</xdr:rowOff>
    </xdr:from>
    <xdr:to>
      <xdr:col>6</xdr:col>
      <xdr:colOff>633414</xdr:colOff>
      <xdr:row>6</xdr:row>
      <xdr:rowOff>147638</xdr:rowOff>
    </xdr:to>
    <xdr:sp macro="" textlink="">
      <xdr:nvSpPr>
        <xdr:cNvPr id="3" name="Rectangle 2">
          <a:extLst>
            <a:ext uri="{FF2B5EF4-FFF2-40B4-BE49-F238E27FC236}">
              <a16:creationId xmlns:a16="http://schemas.microsoft.com/office/drawing/2014/main" id="{D8AB05BE-D400-4EB4-A375-4014B3C548C1}"/>
            </a:ext>
          </a:extLst>
        </xdr:cNvPr>
        <xdr:cNvSpPr/>
      </xdr:nvSpPr>
      <xdr:spPr>
        <a:xfrm>
          <a:off x="3248026" y="538163"/>
          <a:ext cx="1271588"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CEN/ISO</a:t>
          </a:r>
          <a:r>
            <a:rPr lang="en-US" sz="1100" baseline="0">
              <a:solidFill>
                <a:sysClr val="windowText" lastClr="000000"/>
              </a:solidFill>
            </a:rPr>
            <a:t> standards</a:t>
          </a:r>
        </a:p>
        <a:p>
          <a:pPr algn="ctr"/>
          <a:r>
            <a:rPr lang="en-US" sz="1100" baseline="0">
              <a:solidFill>
                <a:sysClr val="windowText" lastClr="000000"/>
              </a:solidFill>
            </a:rPr>
            <a:t>"Geographic information"</a:t>
          </a:r>
          <a:endParaRPr lang="et-EE" sz="1100">
            <a:solidFill>
              <a:sysClr val="windowText" lastClr="000000"/>
            </a:solidFill>
          </a:endParaRPr>
        </a:p>
      </xdr:txBody>
    </xdr:sp>
    <xdr:clientData/>
  </xdr:twoCellAnchor>
  <xdr:twoCellAnchor>
    <xdr:from>
      <xdr:col>8</xdr:col>
      <xdr:colOff>381014</xdr:colOff>
      <xdr:row>3</xdr:row>
      <xdr:rowOff>4763</xdr:rowOff>
    </xdr:from>
    <xdr:to>
      <xdr:col>11</xdr:col>
      <xdr:colOff>209563</xdr:colOff>
      <xdr:row>6</xdr:row>
      <xdr:rowOff>157163</xdr:rowOff>
    </xdr:to>
    <xdr:sp macro="" textlink="">
      <xdr:nvSpPr>
        <xdr:cNvPr id="5" name="Rectangle 4">
          <a:extLst>
            <a:ext uri="{FF2B5EF4-FFF2-40B4-BE49-F238E27FC236}">
              <a16:creationId xmlns:a16="http://schemas.microsoft.com/office/drawing/2014/main" id="{4B364ED5-0A15-43F5-ADE6-EB5C96F3A542}"/>
            </a:ext>
          </a:extLst>
        </xdr:cNvPr>
        <xdr:cNvSpPr/>
      </xdr:nvSpPr>
      <xdr:spPr>
        <a:xfrm>
          <a:off x="5562614" y="547688"/>
          <a:ext cx="1771649"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Around 90 published</a:t>
          </a:r>
          <a:r>
            <a:rPr lang="en-US" sz="1100" baseline="0">
              <a:solidFill>
                <a:sysClr val="windowText" lastClr="000000"/>
              </a:solidFill>
            </a:rPr>
            <a:t> standards</a:t>
          </a:r>
          <a:endParaRPr lang="et-EE" sz="1100">
            <a:solidFill>
              <a:sysClr val="windowText" lastClr="000000"/>
            </a:solidFill>
          </a:endParaRPr>
        </a:p>
      </xdr:txBody>
    </xdr:sp>
    <xdr:clientData/>
  </xdr:twoCellAnchor>
  <xdr:twoCellAnchor>
    <xdr:from>
      <xdr:col>8</xdr:col>
      <xdr:colOff>390539</xdr:colOff>
      <xdr:row>8</xdr:row>
      <xdr:rowOff>23813</xdr:rowOff>
    </xdr:from>
    <xdr:to>
      <xdr:col>11</xdr:col>
      <xdr:colOff>238138</xdr:colOff>
      <xdr:row>11</xdr:row>
      <xdr:rowOff>85725</xdr:rowOff>
    </xdr:to>
    <xdr:sp macro="" textlink="">
      <xdr:nvSpPr>
        <xdr:cNvPr id="6" name="Rectangle 5">
          <a:extLst>
            <a:ext uri="{FF2B5EF4-FFF2-40B4-BE49-F238E27FC236}">
              <a16:creationId xmlns:a16="http://schemas.microsoft.com/office/drawing/2014/main" id="{3C5310BF-4C21-488A-9709-86A9686D1EC0}"/>
            </a:ext>
          </a:extLst>
        </xdr:cNvPr>
        <xdr:cNvSpPr/>
      </xdr:nvSpPr>
      <xdr:spPr>
        <a:xfrm>
          <a:off x="5572139" y="1471613"/>
          <a:ext cx="1790699" cy="6048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35.240.70</a:t>
          </a:r>
        </a:p>
        <a:p>
          <a:pPr algn="ctr"/>
          <a:r>
            <a:rPr lang="en-US" sz="1100">
              <a:solidFill>
                <a:sysClr val="windowText" lastClr="000000"/>
              </a:solidFill>
            </a:rPr>
            <a:t>(</a:t>
          </a:r>
          <a:r>
            <a:rPr lang="et-EE" sz="1100" b="0" i="0" u="none" strike="noStrike">
              <a:solidFill>
                <a:sysClr val="windowText" lastClr="000000"/>
              </a:solidFill>
              <a:effectLst/>
              <a:latin typeface="+mn-lt"/>
              <a:ea typeface="+mn-ea"/>
              <a:cs typeface="+mn-cs"/>
            </a:rPr>
            <a:t>IT applications in science</a:t>
          </a:r>
          <a:r>
            <a:rPr lang="en-US">
              <a:solidFill>
                <a:sysClr val="windowText" lastClr="000000"/>
              </a:solidFill>
              <a:effectLst/>
            </a:rPr>
            <a:t>) (most of standards)</a:t>
          </a:r>
          <a:endParaRPr lang="et-EE" sz="1100">
            <a:solidFill>
              <a:sysClr val="windowText" lastClr="000000"/>
            </a:solidFill>
          </a:endParaRPr>
        </a:p>
      </xdr:txBody>
    </xdr:sp>
    <xdr:clientData/>
  </xdr:twoCellAnchor>
  <xdr:twoCellAnchor>
    <xdr:from>
      <xdr:col>9</xdr:col>
      <xdr:colOff>157176</xdr:colOff>
      <xdr:row>12</xdr:row>
      <xdr:rowOff>9526</xdr:rowOff>
    </xdr:from>
    <xdr:to>
      <xdr:col>12</xdr:col>
      <xdr:colOff>500076</xdr:colOff>
      <xdr:row>15</xdr:row>
      <xdr:rowOff>152400</xdr:rowOff>
    </xdr:to>
    <xdr:sp macro="" textlink="">
      <xdr:nvSpPr>
        <xdr:cNvPr id="7" name="Rectangle 6">
          <a:extLst>
            <a:ext uri="{FF2B5EF4-FFF2-40B4-BE49-F238E27FC236}">
              <a16:creationId xmlns:a16="http://schemas.microsoft.com/office/drawing/2014/main" id="{72369C3D-1E5E-44E2-80DC-9CB7E8BE5779}"/>
            </a:ext>
          </a:extLst>
        </xdr:cNvPr>
        <xdr:cNvSpPr/>
      </xdr:nvSpPr>
      <xdr:spPr>
        <a:xfrm>
          <a:off x="5986476" y="2181226"/>
          <a:ext cx="2286000" cy="68579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07.040</a:t>
          </a:r>
        </a:p>
        <a:p>
          <a:pPr marL="0" indent="0" algn="ctr"/>
          <a:r>
            <a:rPr lang="en-US" sz="1100">
              <a:solidFill>
                <a:sysClr val="windowText" lastClr="000000"/>
              </a:solidFill>
              <a:latin typeface="+mn-lt"/>
              <a:ea typeface="+mn-ea"/>
              <a:cs typeface="+mn-cs"/>
            </a:rPr>
            <a:t>(</a:t>
          </a:r>
          <a:r>
            <a:rPr lang="et-EE" sz="1100">
              <a:solidFill>
                <a:sysClr val="windowText" lastClr="000000"/>
              </a:solidFill>
              <a:latin typeface="+mn-lt"/>
              <a:ea typeface="+mn-ea"/>
              <a:cs typeface="+mn-cs"/>
            </a:rPr>
            <a:t>Astronomy. Geodesy. Geography</a:t>
          </a:r>
          <a:r>
            <a:rPr lang="en-US" sz="1100">
              <a:solidFill>
                <a:sysClr val="windowText" lastClr="000000"/>
              </a:solidFill>
              <a:latin typeface="+mn-lt"/>
              <a:ea typeface="+mn-ea"/>
              <a:cs typeface="+mn-cs"/>
            </a:rPr>
            <a:t>), as additional group (6 standards)</a:t>
          </a:r>
          <a:endParaRPr lang="et-EE" sz="1100">
            <a:solidFill>
              <a:sysClr val="windowText" lastClr="000000"/>
            </a:solidFill>
            <a:latin typeface="+mn-lt"/>
            <a:ea typeface="+mn-ea"/>
            <a:cs typeface="+mn-cs"/>
          </a:endParaRPr>
        </a:p>
      </xdr:txBody>
    </xdr:sp>
    <xdr:clientData/>
  </xdr:twoCellAnchor>
  <xdr:twoCellAnchor>
    <xdr:from>
      <xdr:col>9</xdr:col>
      <xdr:colOff>161937</xdr:colOff>
      <xdr:row>16</xdr:row>
      <xdr:rowOff>61915</xdr:rowOff>
    </xdr:from>
    <xdr:to>
      <xdr:col>12</xdr:col>
      <xdr:colOff>514363</xdr:colOff>
      <xdr:row>20</xdr:row>
      <xdr:rowOff>90487</xdr:rowOff>
    </xdr:to>
    <xdr:sp macro="" textlink="">
      <xdr:nvSpPr>
        <xdr:cNvPr id="8" name="Rectangle 7">
          <a:extLst>
            <a:ext uri="{FF2B5EF4-FFF2-40B4-BE49-F238E27FC236}">
              <a16:creationId xmlns:a16="http://schemas.microsoft.com/office/drawing/2014/main" id="{97D622B8-0982-466B-8A0D-6C5582269804}"/>
            </a:ext>
          </a:extLst>
        </xdr:cNvPr>
        <xdr:cNvSpPr/>
      </xdr:nvSpPr>
      <xdr:spPr>
        <a:xfrm>
          <a:off x="5991237" y="2957515"/>
          <a:ext cx="2295526" cy="75247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01.040.35</a:t>
          </a:r>
          <a:r>
            <a:rPr lang="et-EE">
              <a:solidFill>
                <a:sysClr val="windowText" lastClr="000000"/>
              </a:solidFill>
              <a:effectLst/>
            </a:rPr>
            <a:t> </a:t>
          </a:r>
          <a:endParaRPr lang="en-US" sz="1100">
            <a:solidFill>
              <a:sysClr val="windowText" lastClr="000000"/>
            </a:solidFill>
            <a:latin typeface="+mn-lt"/>
            <a:ea typeface="+mn-ea"/>
            <a:cs typeface="+mn-cs"/>
          </a:endParaRPr>
        </a:p>
        <a:p>
          <a:pPr marL="0" indent="0" algn="ctr"/>
          <a:r>
            <a:rPr lang="en-US" sz="1100">
              <a:solidFill>
                <a:sysClr val="windowText" lastClr="000000"/>
              </a:solidFill>
              <a:latin typeface="+mn-lt"/>
              <a:ea typeface="+mn-ea"/>
              <a:cs typeface="+mn-cs"/>
            </a:rPr>
            <a:t>(</a:t>
          </a:r>
          <a:r>
            <a:rPr lang="et-EE" sz="1100">
              <a:solidFill>
                <a:sysClr val="windowText" lastClr="000000"/>
              </a:solidFill>
              <a:latin typeface="+mn-lt"/>
              <a:ea typeface="+mn-ea"/>
              <a:cs typeface="+mn-cs"/>
            </a:rPr>
            <a:t>Information technology (Vocabularies)</a:t>
          </a:r>
          <a:r>
            <a:rPr lang="en-US" sz="1100">
              <a:solidFill>
                <a:sysClr val="windowText" lastClr="000000"/>
              </a:solidFill>
              <a:latin typeface="+mn-lt"/>
              <a:ea typeface="+mn-ea"/>
              <a:cs typeface="+mn-cs"/>
            </a:rPr>
            <a:t>), as additional group (1 standard)</a:t>
          </a:r>
          <a:endParaRPr lang="et-EE" sz="1100">
            <a:solidFill>
              <a:sysClr val="windowText" lastClr="000000"/>
            </a:solidFill>
            <a:latin typeface="+mn-lt"/>
            <a:ea typeface="+mn-ea"/>
            <a:cs typeface="+mn-cs"/>
          </a:endParaRPr>
        </a:p>
      </xdr:txBody>
    </xdr:sp>
    <xdr:clientData/>
  </xdr:twoCellAnchor>
  <xdr:twoCellAnchor>
    <xdr:from>
      <xdr:col>8</xdr:col>
      <xdr:colOff>414350</xdr:colOff>
      <xdr:row>20</xdr:row>
      <xdr:rowOff>166687</xdr:rowOff>
    </xdr:from>
    <xdr:to>
      <xdr:col>11</xdr:col>
      <xdr:colOff>261949</xdr:colOff>
      <xdr:row>24</xdr:row>
      <xdr:rowOff>171450</xdr:rowOff>
    </xdr:to>
    <xdr:sp macro="" textlink="">
      <xdr:nvSpPr>
        <xdr:cNvPr id="9" name="Rectangle 8">
          <a:extLst>
            <a:ext uri="{FF2B5EF4-FFF2-40B4-BE49-F238E27FC236}">
              <a16:creationId xmlns:a16="http://schemas.microsoft.com/office/drawing/2014/main" id="{04859F79-C983-47C5-84C1-1AD42BA09E28}"/>
            </a:ext>
          </a:extLst>
        </xdr:cNvPr>
        <xdr:cNvSpPr/>
      </xdr:nvSpPr>
      <xdr:spPr>
        <a:xfrm>
          <a:off x="5595950" y="3786187"/>
          <a:ext cx="1790699" cy="728663"/>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13.020.20</a:t>
          </a:r>
        </a:p>
        <a:p>
          <a:pPr algn="ctr"/>
          <a:r>
            <a:rPr lang="en-US" sz="1100">
              <a:solidFill>
                <a:sysClr val="windowText" lastClr="000000"/>
              </a:solidFill>
            </a:rPr>
            <a:t>(</a:t>
          </a:r>
          <a:r>
            <a:rPr lang="et-EE" sz="1100" b="0" i="0" u="none" strike="noStrike">
              <a:solidFill>
                <a:sysClr val="windowText" lastClr="000000"/>
              </a:solidFill>
              <a:effectLst/>
              <a:latin typeface="+mn-lt"/>
              <a:ea typeface="+mn-ea"/>
              <a:cs typeface="+mn-cs"/>
            </a:rPr>
            <a:t>Environmental economics. Sustainability</a:t>
          </a:r>
          <a:r>
            <a:rPr lang="en-US">
              <a:solidFill>
                <a:sysClr val="windowText" lastClr="000000"/>
              </a:solidFill>
              <a:effectLst/>
            </a:rPr>
            <a:t>) (1 standard)</a:t>
          </a:r>
          <a:endParaRPr lang="et-EE" sz="1100">
            <a:solidFill>
              <a:sysClr val="windowText" lastClr="000000"/>
            </a:solidFill>
          </a:endParaRPr>
        </a:p>
      </xdr:txBody>
    </xdr:sp>
    <xdr:clientData/>
  </xdr:twoCellAnchor>
  <xdr:twoCellAnchor>
    <xdr:from>
      <xdr:col>14</xdr:col>
      <xdr:colOff>219076</xdr:colOff>
      <xdr:row>3</xdr:row>
      <xdr:rowOff>19051</xdr:rowOff>
    </xdr:from>
    <xdr:to>
      <xdr:col>17</xdr:col>
      <xdr:colOff>47625</xdr:colOff>
      <xdr:row>6</xdr:row>
      <xdr:rowOff>171451</xdr:rowOff>
    </xdr:to>
    <xdr:sp macro="" textlink="">
      <xdr:nvSpPr>
        <xdr:cNvPr id="10" name="Rectangle 9">
          <a:extLst>
            <a:ext uri="{FF2B5EF4-FFF2-40B4-BE49-F238E27FC236}">
              <a16:creationId xmlns:a16="http://schemas.microsoft.com/office/drawing/2014/main" id="{B624F424-1E56-4DD1-8DE8-DD52D2DE2CB8}"/>
            </a:ext>
          </a:extLst>
        </xdr:cNvPr>
        <xdr:cNvSpPr/>
      </xdr:nvSpPr>
      <xdr:spPr>
        <a:xfrm>
          <a:off x="9286876" y="561976"/>
          <a:ext cx="1771649"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"90 published</a:t>
          </a:r>
          <a:r>
            <a:rPr lang="en-US" sz="1100" baseline="0">
              <a:solidFill>
                <a:sysClr val="windowText" lastClr="000000"/>
              </a:solidFill>
            </a:rPr>
            <a:t> standards" -&gt; all normative/informative references (~590 unique)</a:t>
          </a:r>
          <a:endParaRPr lang="et-EE" sz="1100">
            <a:solidFill>
              <a:sysClr val="windowText" lastClr="000000"/>
            </a:solidFill>
          </a:endParaRPr>
        </a:p>
      </xdr:txBody>
    </xdr:sp>
    <xdr:clientData/>
  </xdr:twoCellAnchor>
  <xdr:twoCellAnchor>
    <xdr:from>
      <xdr:col>18</xdr:col>
      <xdr:colOff>238126</xdr:colOff>
      <xdr:row>18</xdr:row>
      <xdr:rowOff>42864</xdr:rowOff>
    </xdr:from>
    <xdr:to>
      <xdr:col>21</xdr:col>
      <xdr:colOff>123826</xdr:colOff>
      <xdr:row>21</xdr:row>
      <xdr:rowOff>28576</xdr:rowOff>
    </xdr:to>
    <xdr:sp macro="" textlink="">
      <xdr:nvSpPr>
        <xdr:cNvPr id="11" name="Rectangle 10">
          <a:extLst>
            <a:ext uri="{FF2B5EF4-FFF2-40B4-BE49-F238E27FC236}">
              <a16:creationId xmlns:a16="http://schemas.microsoft.com/office/drawing/2014/main" id="{AC3CFD6C-8C19-4A2A-8DB9-74C7D2F2021D}"/>
            </a:ext>
          </a:extLst>
        </xdr:cNvPr>
        <xdr:cNvSpPr/>
      </xdr:nvSpPr>
      <xdr:spPr>
        <a:xfrm>
          <a:off x="11896726" y="3300414"/>
          <a:ext cx="1828800" cy="5286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35 - Information technology</a:t>
          </a:r>
          <a:endParaRPr lang="et-EE" sz="1100">
            <a:solidFill>
              <a:sysClr val="windowText" lastClr="000000"/>
            </a:solidFill>
            <a:latin typeface="+mn-lt"/>
            <a:ea typeface="+mn-ea"/>
            <a:cs typeface="+mn-cs"/>
          </a:endParaRPr>
        </a:p>
      </xdr:txBody>
    </xdr:sp>
    <xdr:clientData/>
  </xdr:twoCellAnchor>
  <xdr:twoCellAnchor>
    <xdr:from>
      <xdr:col>15</xdr:col>
      <xdr:colOff>214313</xdr:colOff>
      <xdr:row>8</xdr:row>
      <xdr:rowOff>9526</xdr:rowOff>
    </xdr:from>
    <xdr:to>
      <xdr:col>18</xdr:col>
      <xdr:colOff>100013</xdr:colOff>
      <xdr:row>9</xdr:row>
      <xdr:rowOff>85725</xdr:rowOff>
    </xdr:to>
    <xdr:sp macro="" textlink="">
      <xdr:nvSpPr>
        <xdr:cNvPr id="12" name="Rectangle 11">
          <a:extLst>
            <a:ext uri="{FF2B5EF4-FFF2-40B4-BE49-F238E27FC236}">
              <a16:creationId xmlns:a16="http://schemas.microsoft.com/office/drawing/2014/main" id="{EF82B1BB-BC62-4E6E-84C5-A60B56E38209}"/>
            </a:ext>
          </a:extLst>
        </xdr:cNvPr>
        <xdr:cNvSpPr/>
      </xdr:nvSpPr>
      <xdr:spPr>
        <a:xfrm>
          <a:off x="9929813" y="1457326"/>
          <a:ext cx="1828800" cy="2571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01 - Terminology</a:t>
          </a:r>
          <a:endParaRPr lang="et-EE" sz="1100">
            <a:solidFill>
              <a:sysClr val="windowText" lastClr="000000"/>
            </a:solidFill>
          </a:endParaRPr>
        </a:p>
      </xdr:txBody>
    </xdr:sp>
    <xdr:clientData/>
  </xdr:twoCellAnchor>
  <xdr:twoCellAnchor>
    <xdr:from>
      <xdr:col>15</xdr:col>
      <xdr:colOff>219075</xdr:colOff>
      <xdr:row>11</xdr:row>
      <xdr:rowOff>4763</xdr:rowOff>
    </xdr:from>
    <xdr:to>
      <xdr:col>18</xdr:col>
      <xdr:colOff>104775</xdr:colOff>
      <xdr:row>12</xdr:row>
      <xdr:rowOff>123823</xdr:rowOff>
    </xdr:to>
    <xdr:sp macro="" textlink="">
      <xdr:nvSpPr>
        <xdr:cNvPr id="13" name="Rectangle 12">
          <a:extLst>
            <a:ext uri="{FF2B5EF4-FFF2-40B4-BE49-F238E27FC236}">
              <a16:creationId xmlns:a16="http://schemas.microsoft.com/office/drawing/2014/main" id="{4FB15CE7-5BFC-42F9-93CB-99D09A428F74}"/>
            </a:ext>
          </a:extLst>
        </xdr:cNvPr>
        <xdr:cNvSpPr/>
      </xdr:nvSpPr>
      <xdr:spPr>
        <a:xfrm>
          <a:off x="9934575" y="1995488"/>
          <a:ext cx="1828800" cy="30003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07 - Natural and applied sciences</a:t>
          </a:r>
          <a:endParaRPr lang="et-EE" sz="1100">
            <a:solidFill>
              <a:sysClr val="windowText" lastClr="000000"/>
            </a:solidFill>
          </a:endParaRPr>
        </a:p>
      </xdr:txBody>
    </xdr:sp>
    <xdr:clientData/>
  </xdr:twoCellAnchor>
  <xdr:twoCellAnchor>
    <xdr:from>
      <xdr:col>15</xdr:col>
      <xdr:colOff>214312</xdr:colOff>
      <xdr:row>9</xdr:row>
      <xdr:rowOff>123826</xdr:rowOff>
    </xdr:from>
    <xdr:to>
      <xdr:col>18</xdr:col>
      <xdr:colOff>100012</xdr:colOff>
      <xdr:row>10</xdr:row>
      <xdr:rowOff>123826</xdr:rowOff>
    </xdr:to>
    <xdr:sp macro="" textlink="">
      <xdr:nvSpPr>
        <xdr:cNvPr id="14" name="Rectangle 13">
          <a:extLst>
            <a:ext uri="{FF2B5EF4-FFF2-40B4-BE49-F238E27FC236}">
              <a16:creationId xmlns:a16="http://schemas.microsoft.com/office/drawing/2014/main" id="{CD62D06E-6437-45EF-A98F-8923BE4A86EC}"/>
            </a:ext>
          </a:extLst>
        </xdr:cNvPr>
        <xdr:cNvSpPr/>
      </xdr:nvSpPr>
      <xdr:spPr>
        <a:xfrm>
          <a:off x="9929812" y="1752601"/>
          <a:ext cx="1828800" cy="18097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03 - Services. Admin.</a:t>
          </a:r>
          <a:endParaRPr lang="et-EE" sz="1100">
            <a:solidFill>
              <a:sysClr val="windowText" lastClr="000000"/>
            </a:solidFill>
          </a:endParaRPr>
        </a:p>
      </xdr:txBody>
    </xdr:sp>
    <xdr:clientData/>
  </xdr:twoCellAnchor>
  <xdr:twoCellAnchor>
    <xdr:from>
      <xdr:col>15</xdr:col>
      <xdr:colOff>233363</xdr:colOff>
      <xdr:row>13</xdr:row>
      <xdr:rowOff>9526</xdr:rowOff>
    </xdr:from>
    <xdr:to>
      <xdr:col>18</xdr:col>
      <xdr:colOff>119063</xdr:colOff>
      <xdr:row>14</xdr:row>
      <xdr:rowOff>71436</xdr:rowOff>
    </xdr:to>
    <xdr:sp macro="" textlink="">
      <xdr:nvSpPr>
        <xdr:cNvPr id="15" name="Rectangle 14">
          <a:extLst>
            <a:ext uri="{FF2B5EF4-FFF2-40B4-BE49-F238E27FC236}">
              <a16:creationId xmlns:a16="http://schemas.microsoft.com/office/drawing/2014/main" id="{2DFC1C03-5B15-47AF-A1E2-A0FF7950878C}"/>
            </a:ext>
          </a:extLst>
        </xdr:cNvPr>
        <xdr:cNvSpPr/>
      </xdr:nvSpPr>
      <xdr:spPr>
        <a:xfrm>
          <a:off x="9948863" y="2362201"/>
          <a:ext cx="1828800" cy="24288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11 - Healt care technology</a:t>
          </a:r>
          <a:endParaRPr lang="et-EE" sz="1100">
            <a:solidFill>
              <a:sysClr val="windowText" lastClr="000000"/>
            </a:solidFill>
          </a:endParaRPr>
        </a:p>
      </xdr:txBody>
    </xdr:sp>
    <xdr:clientData/>
  </xdr:twoCellAnchor>
  <xdr:twoCellAnchor>
    <xdr:from>
      <xdr:col>18</xdr:col>
      <xdr:colOff>242889</xdr:colOff>
      <xdr:row>8</xdr:row>
      <xdr:rowOff>9525</xdr:rowOff>
    </xdr:from>
    <xdr:to>
      <xdr:col>21</xdr:col>
      <xdr:colOff>128589</xdr:colOff>
      <xdr:row>10</xdr:row>
      <xdr:rowOff>138112</xdr:rowOff>
    </xdr:to>
    <xdr:sp macro="" textlink="">
      <xdr:nvSpPr>
        <xdr:cNvPr id="16" name="Rectangle 15">
          <a:extLst>
            <a:ext uri="{FF2B5EF4-FFF2-40B4-BE49-F238E27FC236}">
              <a16:creationId xmlns:a16="http://schemas.microsoft.com/office/drawing/2014/main" id="{CA4AB028-511B-437E-9D1C-35B25C33B146}"/>
            </a:ext>
          </a:extLst>
        </xdr:cNvPr>
        <xdr:cNvSpPr/>
      </xdr:nvSpPr>
      <xdr:spPr>
        <a:xfrm>
          <a:off x="11901489" y="1457325"/>
          <a:ext cx="1828800" cy="49053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25 - Manufacturing engineering</a:t>
          </a:r>
          <a:endParaRPr lang="et-EE" sz="1100">
            <a:solidFill>
              <a:sysClr val="windowText" lastClr="000000"/>
            </a:solidFill>
          </a:endParaRPr>
        </a:p>
      </xdr:txBody>
    </xdr:sp>
    <xdr:clientData/>
  </xdr:twoCellAnchor>
  <xdr:twoCellAnchor>
    <xdr:from>
      <xdr:col>18</xdr:col>
      <xdr:colOff>247651</xdr:colOff>
      <xdr:row>15</xdr:row>
      <xdr:rowOff>100014</xdr:rowOff>
    </xdr:from>
    <xdr:to>
      <xdr:col>21</xdr:col>
      <xdr:colOff>133351</xdr:colOff>
      <xdr:row>17</xdr:row>
      <xdr:rowOff>161926</xdr:rowOff>
    </xdr:to>
    <xdr:sp macro="" textlink="">
      <xdr:nvSpPr>
        <xdr:cNvPr id="17" name="Rectangle 16">
          <a:extLst>
            <a:ext uri="{FF2B5EF4-FFF2-40B4-BE49-F238E27FC236}">
              <a16:creationId xmlns:a16="http://schemas.microsoft.com/office/drawing/2014/main" id="{C1224D5D-6D2B-48C6-944A-E73466747EF9}"/>
            </a:ext>
          </a:extLst>
        </xdr:cNvPr>
        <xdr:cNvSpPr/>
      </xdr:nvSpPr>
      <xdr:spPr>
        <a:xfrm>
          <a:off x="11906251" y="2814639"/>
          <a:ext cx="1828800" cy="42386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33 - Telecommunications. Audio and video engineering.</a:t>
          </a:r>
          <a:endParaRPr lang="et-EE" sz="1100">
            <a:solidFill>
              <a:sysClr val="windowText" lastClr="000000"/>
            </a:solidFill>
          </a:endParaRPr>
        </a:p>
      </xdr:txBody>
    </xdr:sp>
    <xdr:clientData/>
  </xdr:twoCellAnchor>
  <xdr:twoCellAnchor>
    <xdr:from>
      <xdr:col>15</xdr:col>
      <xdr:colOff>266701</xdr:colOff>
      <xdr:row>17</xdr:row>
      <xdr:rowOff>104775</xdr:rowOff>
    </xdr:from>
    <xdr:to>
      <xdr:col>18</xdr:col>
      <xdr:colOff>152401</xdr:colOff>
      <xdr:row>20</xdr:row>
      <xdr:rowOff>109535</xdr:rowOff>
    </xdr:to>
    <xdr:sp macro="" textlink="">
      <xdr:nvSpPr>
        <xdr:cNvPr id="18" name="Rectangle 17">
          <a:extLst>
            <a:ext uri="{FF2B5EF4-FFF2-40B4-BE49-F238E27FC236}">
              <a16:creationId xmlns:a16="http://schemas.microsoft.com/office/drawing/2014/main" id="{E99428AC-72DE-48BD-8475-27BCE9879AD3}"/>
            </a:ext>
          </a:extLst>
        </xdr:cNvPr>
        <xdr:cNvSpPr/>
      </xdr:nvSpPr>
      <xdr:spPr>
        <a:xfrm>
          <a:off x="9982201" y="3181350"/>
          <a:ext cx="1828800" cy="54768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17 - Metrology and measurement</a:t>
          </a:r>
          <a:endParaRPr lang="et-EE" sz="1100">
            <a:solidFill>
              <a:sysClr val="windowText" lastClr="000000"/>
            </a:solidFill>
          </a:endParaRPr>
        </a:p>
      </xdr:txBody>
    </xdr:sp>
    <xdr:clientData/>
  </xdr:twoCellAnchor>
  <xdr:twoCellAnchor>
    <xdr:from>
      <xdr:col>18</xdr:col>
      <xdr:colOff>238127</xdr:colOff>
      <xdr:row>21</xdr:row>
      <xdr:rowOff>95252</xdr:rowOff>
    </xdr:from>
    <xdr:to>
      <xdr:col>21</xdr:col>
      <xdr:colOff>123827</xdr:colOff>
      <xdr:row>22</xdr:row>
      <xdr:rowOff>176212</xdr:rowOff>
    </xdr:to>
    <xdr:sp macro="" textlink="">
      <xdr:nvSpPr>
        <xdr:cNvPr id="19" name="Rectangle 18">
          <a:extLst>
            <a:ext uri="{FF2B5EF4-FFF2-40B4-BE49-F238E27FC236}">
              <a16:creationId xmlns:a16="http://schemas.microsoft.com/office/drawing/2014/main" id="{2967DC6F-2112-487B-A9D5-799BE7DF5CD4}"/>
            </a:ext>
          </a:extLst>
        </xdr:cNvPr>
        <xdr:cNvSpPr/>
      </xdr:nvSpPr>
      <xdr:spPr>
        <a:xfrm>
          <a:off x="11896727" y="3895727"/>
          <a:ext cx="1828800" cy="26193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37 - Image technology</a:t>
          </a:r>
          <a:endParaRPr lang="et-EE" sz="1100">
            <a:solidFill>
              <a:sysClr val="windowText" lastClr="000000"/>
            </a:solidFill>
          </a:endParaRPr>
        </a:p>
      </xdr:txBody>
    </xdr:sp>
    <xdr:clientData/>
  </xdr:twoCellAnchor>
  <xdr:twoCellAnchor>
    <xdr:from>
      <xdr:col>21</xdr:col>
      <xdr:colOff>228601</xdr:colOff>
      <xdr:row>8</xdr:row>
      <xdr:rowOff>3</xdr:rowOff>
    </xdr:from>
    <xdr:to>
      <xdr:col>24</xdr:col>
      <xdr:colOff>114301</xdr:colOff>
      <xdr:row>10</xdr:row>
      <xdr:rowOff>133352</xdr:rowOff>
    </xdr:to>
    <xdr:sp macro="" textlink="">
      <xdr:nvSpPr>
        <xdr:cNvPr id="20" name="Rectangle 19">
          <a:extLst>
            <a:ext uri="{FF2B5EF4-FFF2-40B4-BE49-F238E27FC236}">
              <a16:creationId xmlns:a16="http://schemas.microsoft.com/office/drawing/2014/main" id="{E1C0BA0F-0735-4F4A-805C-28A1B92BC99D}"/>
            </a:ext>
          </a:extLst>
        </xdr:cNvPr>
        <xdr:cNvSpPr/>
      </xdr:nvSpPr>
      <xdr:spPr>
        <a:xfrm>
          <a:off x="13830301" y="1447803"/>
          <a:ext cx="1828800" cy="49529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49 - </a:t>
          </a:r>
          <a:r>
            <a:rPr lang="et-EE" sz="1100" b="0" i="0" u="none" strike="noStrike">
              <a:solidFill>
                <a:sysClr val="windowText" lastClr="000000"/>
              </a:solidFill>
              <a:effectLst/>
              <a:latin typeface="+mn-lt"/>
              <a:ea typeface="+mn-ea"/>
              <a:cs typeface="+mn-cs"/>
            </a:rPr>
            <a:t>Aircraft and space vehicle engineering</a:t>
          </a:r>
          <a:r>
            <a:rPr lang="et-EE">
              <a:solidFill>
                <a:sysClr val="windowText" lastClr="000000"/>
              </a:solidFill>
              <a:effectLst/>
            </a:rPr>
            <a:t> </a:t>
          </a:r>
          <a:endParaRPr lang="et-EE" sz="1100">
            <a:solidFill>
              <a:sysClr val="windowText" lastClr="000000"/>
            </a:solidFill>
          </a:endParaRPr>
        </a:p>
      </xdr:txBody>
    </xdr:sp>
    <xdr:clientData/>
  </xdr:twoCellAnchor>
  <xdr:twoCellAnchor>
    <xdr:from>
      <xdr:col>21</xdr:col>
      <xdr:colOff>242889</xdr:colOff>
      <xdr:row>11</xdr:row>
      <xdr:rowOff>14290</xdr:rowOff>
    </xdr:from>
    <xdr:to>
      <xdr:col>24</xdr:col>
      <xdr:colOff>128589</xdr:colOff>
      <xdr:row>13</xdr:row>
      <xdr:rowOff>119064</xdr:rowOff>
    </xdr:to>
    <xdr:sp macro="" textlink="">
      <xdr:nvSpPr>
        <xdr:cNvPr id="21" name="Rectangle 20">
          <a:extLst>
            <a:ext uri="{FF2B5EF4-FFF2-40B4-BE49-F238E27FC236}">
              <a16:creationId xmlns:a16="http://schemas.microsoft.com/office/drawing/2014/main" id="{DFBDCDD6-10CC-487B-8D5A-9651FE8BAB34}"/>
            </a:ext>
          </a:extLst>
        </xdr:cNvPr>
        <xdr:cNvSpPr/>
      </xdr:nvSpPr>
      <xdr:spPr>
        <a:xfrm>
          <a:off x="13844589" y="2005015"/>
          <a:ext cx="1828800" cy="46672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53 - </a:t>
          </a:r>
          <a:r>
            <a:rPr lang="et-EE" sz="1100" b="0" i="0" u="none" strike="noStrike">
              <a:solidFill>
                <a:sysClr val="windowText" lastClr="000000"/>
              </a:solidFill>
              <a:effectLst/>
              <a:latin typeface="+mn-lt"/>
              <a:ea typeface="+mn-ea"/>
              <a:cs typeface="+mn-cs"/>
            </a:rPr>
            <a:t>Materials handling equipment</a:t>
          </a:r>
          <a:endParaRPr lang="et-EE" sz="1100">
            <a:solidFill>
              <a:sysClr val="windowText" lastClr="000000"/>
            </a:solidFill>
          </a:endParaRPr>
        </a:p>
      </xdr:txBody>
    </xdr:sp>
    <xdr:clientData/>
  </xdr:twoCellAnchor>
  <xdr:twoCellAnchor>
    <xdr:from>
      <xdr:col>21</xdr:col>
      <xdr:colOff>233363</xdr:colOff>
      <xdr:row>14</xdr:row>
      <xdr:rowOff>19052</xdr:rowOff>
    </xdr:from>
    <xdr:to>
      <xdr:col>24</xdr:col>
      <xdr:colOff>119063</xdr:colOff>
      <xdr:row>17</xdr:row>
      <xdr:rowOff>19051</xdr:rowOff>
    </xdr:to>
    <xdr:sp macro="" textlink="">
      <xdr:nvSpPr>
        <xdr:cNvPr id="22" name="Rectangle 21">
          <a:extLst>
            <a:ext uri="{FF2B5EF4-FFF2-40B4-BE49-F238E27FC236}">
              <a16:creationId xmlns:a16="http://schemas.microsoft.com/office/drawing/2014/main" id="{56509128-6B56-47FF-B259-CE0D5C2F757D}"/>
            </a:ext>
          </a:extLst>
        </xdr:cNvPr>
        <xdr:cNvSpPr/>
      </xdr:nvSpPr>
      <xdr:spPr>
        <a:xfrm>
          <a:off x="13835063" y="2552702"/>
          <a:ext cx="1828800" cy="54292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71 - </a:t>
          </a:r>
          <a:r>
            <a:rPr lang="et-EE" sz="1100" b="0" i="0" u="none" strike="noStrike">
              <a:solidFill>
                <a:sysClr val="windowText" lastClr="000000"/>
              </a:solidFill>
              <a:effectLst/>
              <a:latin typeface="+mn-lt"/>
              <a:ea typeface="+mn-ea"/>
              <a:cs typeface="+mn-cs"/>
            </a:rPr>
            <a:t>Chemical technology</a:t>
          </a:r>
          <a:endParaRPr lang="et-EE" sz="1100">
            <a:solidFill>
              <a:sysClr val="windowText" lastClr="000000"/>
            </a:solidFill>
          </a:endParaRPr>
        </a:p>
      </xdr:txBody>
    </xdr:sp>
    <xdr:clientData/>
  </xdr:twoCellAnchor>
  <xdr:twoCellAnchor>
    <xdr:from>
      <xdr:col>18</xdr:col>
      <xdr:colOff>242888</xdr:colOff>
      <xdr:row>11</xdr:row>
      <xdr:rowOff>14288</xdr:rowOff>
    </xdr:from>
    <xdr:to>
      <xdr:col>21</xdr:col>
      <xdr:colOff>128588</xdr:colOff>
      <xdr:row>12</xdr:row>
      <xdr:rowOff>104774</xdr:rowOff>
    </xdr:to>
    <xdr:sp macro="" textlink="">
      <xdr:nvSpPr>
        <xdr:cNvPr id="23" name="Rectangle 22">
          <a:extLst>
            <a:ext uri="{FF2B5EF4-FFF2-40B4-BE49-F238E27FC236}">
              <a16:creationId xmlns:a16="http://schemas.microsoft.com/office/drawing/2014/main" id="{A0CCCD8E-A78B-47BE-870A-76595B5D6611}"/>
            </a:ext>
          </a:extLst>
        </xdr:cNvPr>
        <xdr:cNvSpPr/>
      </xdr:nvSpPr>
      <xdr:spPr>
        <a:xfrm>
          <a:off x="11901488" y="2005013"/>
          <a:ext cx="1828800" cy="27146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29 - </a:t>
          </a:r>
          <a:r>
            <a:rPr lang="et-EE" sz="1100" b="0" i="0" u="none" strike="noStrike">
              <a:solidFill>
                <a:sysClr val="windowText" lastClr="000000"/>
              </a:solidFill>
              <a:effectLst/>
              <a:latin typeface="+mn-lt"/>
              <a:ea typeface="+mn-ea"/>
              <a:cs typeface="+mn-cs"/>
            </a:rPr>
            <a:t>Electrical engineering</a:t>
          </a:r>
          <a:endParaRPr lang="et-EE" sz="1100">
            <a:solidFill>
              <a:sysClr val="windowText" lastClr="000000"/>
            </a:solidFill>
          </a:endParaRPr>
        </a:p>
      </xdr:txBody>
    </xdr:sp>
    <xdr:clientData/>
  </xdr:twoCellAnchor>
  <xdr:twoCellAnchor>
    <xdr:from>
      <xdr:col>18</xdr:col>
      <xdr:colOff>238125</xdr:colOff>
      <xdr:row>12</xdr:row>
      <xdr:rowOff>176215</xdr:rowOff>
    </xdr:from>
    <xdr:to>
      <xdr:col>21</xdr:col>
      <xdr:colOff>123825</xdr:colOff>
      <xdr:row>15</xdr:row>
      <xdr:rowOff>28576</xdr:rowOff>
    </xdr:to>
    <xdr:sp macro="" textlink="">
      <xdr:nvSpPr>
        <xdr:cNvPr id="24" name="Rectangle 23">
          <a:extLst>
            <a:ext uri="{FF2B5EF4-FFF2-40B4-BE49-F238E27FC236}">
              <a16:creationId xmlns:a16="http://schemas.microsoft.com/office/drawing/2014/main" id="{6E36591A-F9A6-4039-BE27-246100061A17}"/>
            </a:ext>
          </a:extLst>
        </xdr:cNvPr>
        <xdr:cNvSpPr/>
      </xdr:nvSpPr>
      <xdr:spPr>
        <a:xfrm>
          <a:off x="11896725" y="2347915"/>
          <a:ext cx="1828800" cy="395286"/>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31 - </a:t>
          </a:r>
          <a:r>
            <a:rPr lang="et-EE" sz="1100" b="0" i="0" u="none" strike="noStrike">
              <a:solidFill>
                <a:sysClr val="windowText" lastClr="000000"/>
              </a:solidFill>
              <a:effectLst/>
              <a:latin typeface="+mn-lt"/>
              <a:ea typeface="+mn-ea"/>
              <a:cs typeface="+mn-cs"/>
            </a:rPr>
            <a:t>Electronics</a:t>
          </a:r>
          <a:endParaRPr lang="et-EE" sz="1100">
            <a:solidFill>
              <a:sysClr val="windowText" lastClr="000000"/>
            </a:solidFill>
          </a:endParaRPr>
        </a:p>
      </xdr:txBody>
    </xdr:sp>
    <xdr:clientData/>
  </xdr:twoCellAnchor>
  <xdr:twoCellAnchor>
    <xdr:from>
      <xdr:col>15</xdr:col>
      <xdr:colOff>242888</xdr:colOff>
      <xdr:row>14</xdr:row>
      <xdr:rowOff>142876</xdr:rowOff>
    </xdr:from>
    <xdr:to>
      <xdr:col>18</xdr:col>
      <xdr:colOff>128588</xdr:colOff>
      <xdr:row>17</xdr:row>
      <xdr:rowOff>23813</xdr:rowOff>
    </xdr:to>
    <xdr:sp macro="" textlink="">
      <xdr:nvSpPr>
        <xdr:cNvPr id="25" name="Rectangle 24">
          <a:extLst>
            <a:ext uri="{FF2B5EF4-FFF2-40B4-BE49-F238E27FC236}">
              <a16:creationId xmlns:a16="http://schemas.microsoft.com/office/drawing/2014/main" id="{26AE36B7-BF87-481B-B053-6449C45B1478}"/>
            </a:ext>
          </a:extLst>
        </xdr:cNvPr>
        <xdr:cNvSpPr/>
      </xdr:nvSpPr>
      <xdr:spPr>
        <a:xfrm>
          <a:off x="9958388" y="2676526"/>
          <a:ext cx="1828800" cy="423862"/>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13 - </a:t>
          </a:r>
          <a:r>
            <a:rPr lang="et-EE" sz="1100" b="0" i="0" u="none" strike="noStrike">
              <a:solidFill>
                <a:sysClr val="windowText" lastClr="000000"/>
              </a:solidFill>
              <a:effectLst/>
              <a:latin typeface="+mn-lt"/>
              <a:ea typeface="+mn-ea"/>
              <a:cs typeface="+mn-cs"/>
            </a:rPr>
            <a:t>Environment. Health protection. Safety</a:t>
          </a:r>
          <a:r>
            <a:rPr lang="en-US" sz="1100" b="0" i="0" u="none" strike="noStrike">
              <a:solidFill>
                <a:sysClr val="windowText" lastClr="000000"/>
              </a:solidFill>
              <a:effectLst/>
              <a:latin typeface="+mn-lt"/>
              <a:ea typeface="+mn-ea"/>
              <a:cs typeface="+mn-cs"/>
            </a:rPr>
            <a:t>.</a:t>
          </a:r>
          <a:endParaRPr lang="et-EE" sz="1100">
            <a:solidFill>
              <a:sysClr val="windowText" lastClr="000000"/>
            </a:solidFill>
          </a:endParaRPr>
        </a:p>
      </xdr:txBody>
    </xdr:sp>
    <xdr:clientData/>
  </xdr:twoCellAnchor>
  <xdr:twoCellAnchor>
    <xdr:from>
      <xdr:col>3</xdr:col>
      <xdr:colOff>628651</xdr:colOff>
      <xdr:row>4</xdr:row>
      <xdr:rowOff>161926</xdr:rowOff>
    </xdr:from>
    <xdr:to>
      <xdr:col>5</xdr:col>
      <xdr:colOff>9526</xdr:colOff>
      <xdr:row>4</xdr:row>
      <xdr:rowOff>161926</xdr:rowOff>
    </xdr:to>
    <xdr:cxnSp macro="">
      <xdr:nvCxnSpPr>
        <xdr:cNvPr id="27" name="Straight Arrow Connector 26">
          <a:extLst>
            <a:ext uri="{FF2B5EF4-FFF2-40B4-BE49-F238E27FC236}">
              <a16:creationId xmlns:a16="http://schemas.microsoft.com/office/drawing/2014/main" id="{B8326F0D-F6CF-318B-52FC-699B2D72C510}"/>
            </a:ext>
          </a:extLst>
        </xdr:cNvPr>
        <xdr:cNvCxnSpPr>
          <a:stCxn id="2" idx="3"/>
          <a:endCxn id="3" idx="1"/>
        </xdr:cNvCxnSpPr>
      </xdr:nvCxnSpPr>
      <xdr:spPr>
        <a:xfrm>
          <a:off x="2571751" y="885826"/>
          <a:ext cx="676275"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633414</xdr:colOff>
      <xdr:row>4</xdr:row>
      <xdr:rowOff>161926</xdr:rowOff>
    </xdr:from>
    <xdr:to>
      <xdr:col>8</xdr:col>
      <xdr:colOff>381014</xdr:colOff>
      <xdr:row>4</xdr:row>
      <xdr:rowOff>171451</xdr:rowOff>
    </xdr:to>
    <xdr:cxnSp macro="">
      <xdr:nvCxnSpPr>
        <xdr:cNvPr id="28" name="Straight Arrow Connector 27">
          <a:extLst>
            <a:ext uri="{FF2B5EF4-FFF2-40B4-BE49-F238E27FC236}">
              <a16:creationId xmlns:a16="http://schemas.microsoft.com/office/drawing/2014/main" id="{EDF5E25D-5A1B-4E96-BBC0-BBF396ADE183}"/>
            </a:ext>
          </a:extLst>
        </xdr:cNvPr>
        <xdr:cNvCxnSpPr>
          <a:stCxn id="3" idx="3"/>
          <a:endCxn id="5" idx="1"/>
        </xdr:cNvCxnSpPr>
      </xdr:nvCxnSpPr>
      <xdr:spPr>
        <a:xfrm>
          <a:off x="4519614" y="885826"/>
          <a:ext cx="1043000" cy="9525"/>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209563</xdr:colOff>
      <xdr:row>4</xdr:row>
      <xdr:rowOff>171451</xdr:rowOff>
    </xdr:from>
    <xdr:to>
      <xdr:col>14</xdr:col>
      <xdr:colOff>219076</xdr:colOff>
      <xdr:row>5</xdr:row>
      <xdr:rowOff>4764</xdr:rowOff>
    </xdr:to>
    <xdr:cxnSp macro="">
      <xdr:nvCxnSpPr>
        <xdr:cNvPr id="31" name="Straight Arrow Connector 30">
          <a:extLst>
            <a:ext uri="{FF2B5EF4-FFF2-40B4-BE49-F238E27FC236}">
              <a16:creationId xmlns:a16="http://schemas.microsoft.com/office/drawing/2014/main" id="{C7A0AA73-C2CF-43B7-8CB4-74D788752C19}"/>
            </a:ext>
          </a:extLst>
        </xdr:cNvPr>
        <xdr:cNvCxnSpPr>
          <a:stCxn id="5" idx="3"/>
          <a:endCxn id="10" idx="1"/>
        </xdr:cNvCxnSpPr>
      </xdr:nvCxnSpPr>
      <xdr:spPr>
        <a:xfrm>
          <a:off x="7334263" y="895351"/>
          <a:ext cx="1952613" cy="14288"/>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23814</xdr:colOff>
      <xdr:row>25</xdr:row>
      <xdr:rowOff>171450</xdr:rowOff>
    </xdr:from>
    <xdr:to>
      <xdr:col>4</xdr:col>
      <xdr:colOff>2</xdr:colOff>
      <xdr:row>29</xdr:row>
      <xdr:rowOff>142875</xdr:rowOff>
    </xdr:to>
    <xdr:sp macro="" textlink="">
      <xdr:nvSpPr>
        <xdr:cNvPr id="34" name="Rectangle 33">
          <a:extLst>
            <a:ext uri="{FF2B5EF4-FFF2-40B4-BE49-F238E27FC236}">
              <a16:creationId xmlns:a16="http://schemas.microsoft.com/office/drawing/2014/main" id="{1F6445DA-40C1-4A38-9EA6-050B78C8EF2A}"/>
            </a:ext>
          </a:extLst>
        </xdr:cNvPr>
        <xdr:cNvSpPr/>
      </xdr:nvSpPr>
      <xdr:spPr>
        <a:xfrm>
          <a:off x="1319214" y="4695825"/>
          <a:ext cx="1271588"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CEN/ISO</a:t>
          </a:r>
          <a:r>
            <a:rPr lang="en-US" sz="1100" baseline="0">
              <a:solidFill>
                <a:sysClr val="windowText" lastClr="000000"/>
              </a:solidFill>
            </a:rPr>
            <a:t> standards</a:t>
          </a:r>
        </a:p>
        <a:p>
          <a:pPr algn="ctr"/>
          <a:r>
            <a:rPr lang="en-US" sz="1100" baseline="0">
              <a:solidFill>
                <a:sysClr val="windowText" lastClr="000000"/>
              </a:solidFill>
            </a:rPr>
            <a:t>"BIM + GIS"</a:t>
          </a:r>
          <a:endParaRPr lang="et-EE" sz="1100">
            <a:solidFill>
              <a:sysClr val="windowText" lastClr="000000"/>
            </a:solidFill>
          </a:endParaRPr>
        </a:p>
      </xdr:txBody>
    </xdr:sp>
    <xdr:clientData/>
  </xdr:twoCellAnchor>
  <xdr:twoCellAnchor>
    <xdr:from>
      <xdr:col>19</xdr:col>
      <xdr:colOff>547688</xdr:colOff>
      <xdr:row>4</xdr:row>
      <xdr:rowOff>61912</xdr:rowOff>
    </xdr:from>
    <xdr:to>
      <xdr:col>23</xdr:col>
      <xdr:colOff>238126</xdr:colOff>
      <xdr:row>6</xdr:row>
      <xdr:rowOff>161925</xdr:rowOff>
    </xdr:to>
    <xdr:sp macro="" textlink="">
      <xdr:nvSpPr>
        <xdr:cNvPr id="35" name="Thought Bubble: Cloud 34">
          <a:extLst>
            <a:ext uri="{FF2B5EF4-FFF2-40B4-BE49-F238E27FC236}">
              <a16:creationId xmlns:a16="http://schemas.microsoft.com/office/drawing/2014/main" id="{36772D49-0DD0-81EC-FEB2-8F9C011EFFF7}"/>
            </a:ext>
          </a:extLst>
        </xdr:cNvPr>
        <xdr:cNvSpPr/>
      </xdr:nvSpPr>
      <xdr:spPr>
        <a:xfrm>
          <a:off x="12853988" y="785812"/>
          <a:ext cx="2281238" cy="461963"/>
        </a:xfrm>
        <a:prstGeom prst="cloudCallou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IFC (16739-1) (3/90)</a:t>
          </a:r>
          <a:endParaRPr lang="et-EE" sz="1100">
            <a:solidFill>
              <a:sysClr val="windowText" lastClr="000000"/>
            </a:solidFill>
          </a:endParaRPr>
        </a:p>
      </xdr:txBody>
    </xdr:sp>
    <xdr:clientData/>
  </xdr:twoCellAnchor>
  <xdr:twoCellAnchor>
    <xdr:from>
      <xdr:col>2</xdr:col>
      <xdr:colOff>640557</xdr:colOff>
      <xdr:row>6</xdr:row>
      <xdr:rowOff>147638</xdr:rowOff>
    </xdr:from>
    <xdr:to>
      <xdr:col>3</xdr:col>
      <xdr:colOff>11908</xdr:colOff>
      <xdr:row>25</xdr:row>
      <xdr:rowOff>171450</xdr:rowOff>
    </xdr:to>
    <xdr:cxnSp macro="">
      <xdr:nvCxnSpPr>
        <xdr:cNvPr id="37" name="Straight Arrow Connector 36">
          <a:extLst>
            <a:ext uri="{FF2B5EF4-FFF2-40B4-BE49-F238E27FC236}">
              <a16:creationId xmlns:a16="http://schemas.microsoft.com/office/drawing/2014/main" id="{B15D3715-4AF2-460C-BDF2-064D7CB041E3}"/>
            </a:ext>
          </a:extLst>
        </xdr:cNvPr>
        <xdr:cNvCxnSpPr>
          <a:stCxn id="2" idx="2"/>
          <a:endCxn id="34" idx="0"/>
        </xdr:cNvCxnSpPr>
      </xdr:nvCxnSpPr>
      <xdr:spPr>
        <a:xfrm>
          <a:off x="1935957" y="1233488"/>
          <a:ext cx="19051" cy="3462337"/>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4764</xdr:colOff>
      <xdr:row>25</xdr:row>
      <xdr:rowOff>171450</xdr:rowOff>
    </xdr:from>
    <xdr:to>
      <xdr:col>6</xdr:col>
      <xdr:colOff>628652</xdr:colOff>
      <xdr:row>29</xdr:row>
      <xdr:rowOff>142875</xdr:rowOff>
    </xdr:to>
    <xdr:sp macro="" textlink="">
      <xdr:nvSpPr>
        <xdr:cNvPr id="40" name="Rectangle 39">
          <a:extLst>
            <a:ext uri="{FF2B5EF4-FFF2-40B4-BE49-F238E27FC236}">
              <a16:creationId xmlns:a16="http://schemas.microsoft.com/office/drawing/2014/main" id="{42E89D12-ECD7-45DD-9F2E-651635E18986}"/>
            </a:ext>
          </a:extLst>
        </xdr:cNvPr>
        <xdr:cNvSpPr/>
      </xdr:nvSpPr>
      <xdr:spPr>
        <a:xfrm>
          <a:off x="3243264" y="4695825"/>
          <a:ext cx="1271588"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25 standards (Additional topics)</a:t>
          </a:r>
          <a:endParaRPr lang="et-EE" sz="1100">
            <a:solidFill>
              <a:sysClr val="windowText" lastClr="000000"/>
            </a:solidFill>
          </a:endParaRPr>
        </a:p>
      </xdr:txBody>
    </xdr:sp>
    <xdr:clientData/>
  </xdr:twoCellAnchor>
  <xdr:twoCellAnchor>
    <xdr:from>
      <xdr:col>5</xdr:col>
      <xdr:colOff>219076</xdr:colOff>
      <xdr:row>34</xdr:row>
      <xdr:rowOff>4763</xdr:rowOff>
    </xdr:from>
    <xdr:to>
      <xdr:col>8</xdr:col>
      <xdr:colOff>66675</xdr:colOff>
      <xdr:row>37</xdr:row>
      <xdr:rowOff>66675</xdr:rowOff>
    </xdr:to>
    <xdr:sp macro="" textlink="">
      <xdr:nvSpPr>
        <xdr:cNvPr id="41" name="Rectangle 40">
          <a:extLst>
            <a:ext uri="{FF2B5EF4-FFF2-40B4-BE49-F238E27FC236}">
              <a16:creationId xmlns:a16="http://schemas.microsoft.com/office/drawing/2014/main" id="{9426C394-68FE-4AF6-B8DE-33E32332C2BF}"/>
            </a:ext>
          </a:extLst>
        </xdr:cNvPr>
        <xdr:cNvSpPr/>
      </xdr:nvSpPr>
      <xdr:spPr>
        <a:xfrm>
          <a:off x="3457576" y="6157913"/>
          <a:ext cx="1790699" cy="6048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Smart community infrastructures (2+1)</a:t>
          </a:r>
          <a:endParaRPr lang="et-EE" sz="1100">
            <a:solidFill>
              <a:sysClr val="windowText" lastClr="000000"/>
            </a:solidFill>
          </a:endParaRPr>
        </a:p>
      </xdr:txBody>
    </xdr:sp>
    <xdr:clientData/>
  </xdr:twoCellAnchor>
  <xdr:twoCellAnchor>
    <xdr:from>
      <xdr:col>8</xdr:col>
      <xdr:colOff>628651</xdr:colOff>
      <xdr:row>25</xdr:row>
      <xdr:rowOff>171450</xdr:rowOff>
    </xdr:from>
    <xdr:to>
      <xdr:col>11</xdr:col>
      <xdr:colOff>485774</xdr:colOff>
      <xdr:row>29</xdr:row>
      <xdr:rowOff>142875</xdr:rowOff>
    </xdr:to>
    <xdr:sp macro="" textlink="">
      <xdr:nvSpPr>
        <xdr:cNvPr id="42" name="Rectangle 41">
          <a:extLst>
            <a:ext uri="{FF2B5EF4-FFF2-40B4-BE49-F238E27FC236}">
              <a16:creationId xmlns:a16="http://schemas.microsoft.com/office/drawing/2014/main" id="{12DC5D31-2514-4178-8FAC-BB315484AB2F}"/>
            </a:ext>
          </a:extLst>
        </xdr:cNvPr>
        <xdr:cNvSpPr/>
      </xdr:nvSpPr>
      <xdr:spPr>
        <a:xfrm>
          <a:off x="5810251" y="4695825"/>
          <a:ext cx="1800223" cy="69532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t-EE" sz="1100">
            <a:solidFill>
              <a:sysClr val="windowText" lastClr="000000"/>
            </a:solidFill>
          </a:endParaRPr>
        </a:p>
      </xdr:txBody>
    </xdr:sp>
    <xdr:clientData/>
  </xdr:twoCellAnchor>
  <xdr:twoCellAnchor>
    <xdr:from>
      <xdr:col>4</xdr:col>
      <xdr:colOff>2</xdr:colOff>
      <xdr:row>27</xdr:row>
      <xdr:rowOff>157163</xdr:rowOff>
    </xdr:from>
    <xdr:to>
      <xdr:col>5</xdr:col>
      <xdr:colOff>4764</xdr:colOff>
      <xdr:row>27</xdr:row>
      <xdr:rowOff>157163</xdr:rowOff>
    </xdr:to>
    <xdr:cxnSp macro="">
      <xdr:nvCxnSpPr>
        <xdr:cNvPr id="43" name="Straight Arrow Connector 42">
          <a:extLst>
            <a:ext uri="{FF2B5EF4-FFF2-40B4-BE49-F238E27FC236}">
              <a16:creationId xmlns:a16="http://schemas.microsoft.com/office/drawing/2014/main" id="{4ACFED91-48E6-43C2-B145-832B83A3386C}"/>
            </a:ext>
          </a:extLst>
        </xdr:cNvPr>
        <xdr:cNvCxnSpPr>
          <a:stCxn id="34" idx="3"/>
          <a:endCxn id="40" idx="1"/>
        </xdr:cNvCxnSpPr>
      </xdr:nvCxnSpPr>
      <xdr:spPr>
        <a:xfrm>
          <a:off x="2590802" y="5043488"/>
          <a:ext cx="652462"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628652</xdr:colOff>
      <xdr:row>27</xdr:row>
      <xdr:rowOff>157163</xdr:rowOff>
    </xdr:from>
    <xdr:to>
      <xdr:col>8</xdr:col>
      <xdr:colOff>628651</xdr:colOff>
      <xdr:row>27</xdr:row>
      <xdr:rowOff>157163</xdr:rowOff>
    </xdr:to>
    <xdr:cxnSp macro="">
      <xdr:nvCxnSpPr>
        <xdr:cNvPr id="46" name="Straight Arrow Connector 45">
          <a:extLst>
            <a:ext uri="{FF2B5EF4-FFF2-40B4-BE49-F238E27FC236}">
              <a16:creationId xmlns:a16="http://schemas.microsoft.com/office/drawing/2014/main" id="{DA52FFE2-98CA-4A45-9535-F10A89DBB3AA}"/>
            </a:ext>
          </a:extLst>
        </xdr:cNvPr>
        <xdr:cNvCxnSpPr>
          <a:stCxn id="40" idx="3"/>
          <a:endCxn id="42" idx="1"/>
        </xdr:cNvCxnSpPr>
      </xdr:nvCxnSpPr>
      <xdr:spPr>
        <a:xfrm>
          <a:off x="4514852" y="5043488"/>
          <a:ext cx="1295399"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219076</xdr:colOff>
      <xdr:row>37</xdr:row>
      <xdr:rowOff>152401</xdr:rowOff>
    </xdr:from>
    <xdr:to>
      <xdr:col>8</xdr:col>
      <xdr:colOff>66675</xdr:colOff>
      <xdr:row>41</xdr:row>
      <xdr:rowOff>33338</xdr:rowOff>
    </xdr:to>
    <xdr:sp macro="" textlink="">
      <xdr:nvSpPr>
        <xdr:cNvPr id="49" name="Rectangle 48">
          <a:extLst>
            <a:ext uri="{FF2B5EF4-FFF2-40B4-BE49-F238E27FC236}">
              <a16:creationId xmlns:a16="http://schemas.microsoft.com/office/drawing/2014/main" id="{6E71ED3E-3296-4B82-9A6E-3177652B1B60}"/>
            </a:ext>
          </a:extLst>
        </xdr:cNvPr>
        <xdr:cNvSpPr/>
      </xdr:nvSpPr>
      <xdr:spPr>
        <a:xfrm>
          <a:off x="3457576" y="6848476"/>
          <a:ext cx="1790699" cy="6048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Sustainable cities and communities (3)</a:t>
          </a:r>
          <a:endParaRPr lang="et-EE" sz="1100">
            <a:solidFill>
              <a:sysClr val="windowText" lastClr="000000"/>
            </a:solidFill>
          </a:endParaRPr>
        </a:p>
      </xdr:txBody>
    </xdr:sp>
    <xdr:clientData/>
  </xdr:twoCellAnchor>
  <xdr:twoCellAnchor>
    <xdr:from>
      <xdr:col>5</xdr:col>
      <xdr:colOff>214313</xdr:colOff>
      <xdr:row>41</xdr:row>
      <xdr:rowOff>133350</xdr:rowOff>
    </xdr:from>
    <xdr:to>
      <xdr:col>8</xdr:col>
      <xdr:colOff>61912</xdr:colOff>
      <xdr:row>45</xdr:row>
      <xdr:rowOff>14287</xdr:rowOff>
    </xdr:to>
    <xdr:sp macro="" textlink="">
      <xdr:nvSpPr>
        <xdr:cNvPr id="51" name="Rectangle 50">
          <a:extLst>
            <a:ext uri="{FF2B5EF4-FFF2-40B4-BE49-F238E27FC236}">
              <a16:creationId xmlns:a16="http://schemas.microsoft.com/office/drawing/2014/main" id="{2700AF8A-730E-47E9-AC62-4FD924F93506}"/>
            </a:ext>
          </a:extLst>
        </xdr:cNvPr>
        <xdr:cNvSpPr/>
      </xdr:nvSpPr>
      <xdr:spPr>
        <a:xfrm>
          <a:off x="3452813" y="7553325"/>
          <a:ext cx="1790699" cy="60483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Buildings and constructed assets (3)</a:t>
          </a:r>
          <a:endParaRPr lang="et-EE" sz="1100">
            <a:solidFill>
              <a:sysClr val="windowText" lastClr="000000"/>
            </a:solidFill>
          </a:endParaRPr>
        </a:p>
      </xdr:txBody>
    </xdr:sp>
    <xdr:clientData/>
  </xdr:twoCellAnchor>
  <xdr:twoCellAnchor>
    <xdr:from>
      <xdr:col>5</xdr:col>
      <xdr:colOff>209551</xdr:colOff>
      <xdr:row>30</xdr:row>
      <xdr:rowOff>114301</xdr:rowOff>
    </xdr:from>
    <xdr:to>
      <xdr:col>8</xdr:col>
      <xdr:colOff>66674</xdr:colOff>
      <xdr:row>33</xdr:row>
      <xdr:rowOff>80964</xdr:rowOff>
    </xdr:to>
    <xdr:sp macro="" textlink="">
      <xdr:nvSpPr>
        <xdr:cNvPr id="52" name="Rectangle 51">
          <a:extLst>
            <a:ext uri="{FF2B5EF4-FFF2-40B4-BE49-F238E27FC236}">
              <a16:creationId xmlns:a16="http://schemas.microsoft.com/office/drawing/2014/main" id="{E9177726-E64F-45AF-8326-58C2AE834D70}"/>
            </a:ext>
          </a:extLst>
        </xdr:cNvPr>
        <xdr:cNvSpPr/>
      </xdr:nvSpPr>
      <xdr:spPr>
        <a:xfrm>
          <a:off x="3448051" y="5543551"/>
          <a:ext cx="1800223" cy="509588"/>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ysClr val="windowText" lastClr="000000"/>
              </a:solidFill>
              <a:latin typeface="+mn-lt"/>
              <a:ea typeface="+mn-ea"/>
              <a:cs typeface="+mn-cs"/>
            </a:rPr>
            <a:t>GIS (geospatial) / BIM interoperability (1)</a:t>
          </a:r>
          <a:endParaRPr lang="et-EE" sz="1100">
            <a:solidFill>
              <a:sysClr val="windowText" lastClr="000000"/>
            </a:solidFill>
            <a:latin typeface="+mn-lt"/>
            <a:ea typeface="+mn-ea"/>
            <a:cs typeface="+mn-cs"/>
          </a:endParaRPr>
        </a:p>
      </xdr:txBody>
    </xdr:sp>
    <xdr:clientData/>
  </xdr:twoCellAnchor>
  <xdr:twoCellAnchor>
    <xdr:from>
      <xdr:col>5</xdr:col>
      <xdr:colOff>200025</xdr:colOff>
      <xdr:row>45</xdr:row>
      <xdr:rowOff>114299</xdr:rowOff>
    </xdr:from>
    <xdr:to>
      <xdr:col>8</xdr:col>
      <xdr:colOff>47624</xdr:colOff>
      <xdr:row>48</xdr:row>
      <xdr:rowOff>176211</xdr:rowOff>
    </xdr:to>
    <xdr:sp macro="" textlink="">
      <xdr:nvSpPr>
        <xdr:cNvPr id="56" name="Rectangle 55">
          <a:extLst>
            <a:ext uri="{FF2B5EF4-FFF2-40B4-BE49-F238E27FC236}">
              <a16:creationId xmlns:a16="http://schemas.microsoft.com/office/drawing/2014/main" id="{3FCE0770-46CB-4487-91E0-AD4BF4FC804D}"/>
            </a:ext>
          </a:extLst>
        </xdr:cNvPr>
        <xdr:cNvSpPr/>
      </xdr:nvSpPr>
      <xdr:spPr>
        <a:xfrm>
          <a:off x="3438525" y="8258174"/>
          <a:ext cx="1790699" cy="604837"/>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Information exchange </a:t>
          </a:r>
        </a:p>
        <a:p>
          <a:pPr algn="ctr"/>
          <a:r>
            <a:rPr lang="en-US" sz="1100">
              <a:solidFill>
                <a:sysClr val="windowText" lastClr="000000"/>
              </a:solidFill>
            </a:rPr>
            <a:t>between BIM and GIS (3)</a:t>
          </a:r>
          <a:endParaRPr lang="et-EE" sz="1100">
            <a:solidFill>
              <a:sysClr val="windowText" lastClr="00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6A6E5A-725A-49DF-BAF6-D0C28C02C4E1}" name="TableStandards11" displayName="TableStandards11" ref="A1:T116" totalsRowShown="0" headerRowDxfId="128" headerRowBorderDxfId="127" tableBorderDxfId="126">
  <autoFilter ref="A1:T116" xr:uid="{2264D4E9-0A92-4824-857A-E5C1DED4F6A0}"/>
  <sortState xmlns:xlrd2="http://schemas.microsoft.com/office/spreadsheetml/2017/richdata2" ref="A2:T116">
    <sortCondition ref="B1:B116"/>
  </sortState>
  <tableColumns count="20">
    <tableColumn id="1" xr3:uid="{3A21CF12-2C15-4188-A677-2FCBE649B525}" name="ID" dataDxfId="125"/>
    <tableColumn id="2" xr3:uid="{157E4171-5860-473C-A30F-00126612536F}" name="Standard Number" dataDxfId="124"/>
    <tableColumn id="17" xr3:uid="{513D6CAA-DEF0-4CE6-B0B8-EDA42AEE3192}" name="Title" dataDxfId="123"/>
    <tableColumn id="34" xr3:uid="{49A8E690-7CB2-4879-BBDC-656EB0C2B295}" name="Scope/Abstract" dataDxfId="122"/>
    <tableColumn id="13" xr3:uid="{CA0DE305-114C-4F11-ABBA-8CEAC185B801}" name="Comment" dataDxfId="121"/>
    <tableColumn id="35" xr3:uid="{97BEC1EA-1616-4219-9061-DBEE497508B8}" name="Web Links" dataDxfId="120"/>
    <tableColumn id="3" xr3:uid="{CF9E1EDC-2F80-42FE-AA10-484886D42EDF}" name="First Year" dataDxfId="119"/>
    <tableColumn id="4" xr3:uid="{BA4B6170-298E-4221-A006-C4966E3FB757}" name="Current Year" dataDxfId="118"/>
    <tableColumn id="16" xr3:uid="{8B930C53-9472-43E9-A39A-17593B7EA0CA}" name="AC Year" dataDxfId="117"/>
    <tableColumn id="15" xr3:uid="{1B12F874-ED8A-4070-89B4-22EF8C2493DF}" name="ICS" dataDxfId="116"/>
    <tableColumn id="5" xr3:uid="{D5612878-A677-44D6-893E-35F69473CF17}" name="Type" dataDxfId="115"/>
    <tableColumn id="6" xr3:uid="{2DA07E10-72FD-4D90-860F-3802AD766EC9}" name="Is CEN?" dataDxfId="114"/>
    <tableColumn id="11" xr3:uid="{7C04A4E6-F531-427A-B326-B0B480660033}" name="CEN Committee" dataDxfId="113"/>
    <tableColumn id="10" xr3:uid="{3FEB804A-0039-4F5F-93B9-22B6E3BD71EF}" name="Is ISO?" dataDxfId="112"/>
    <tableColumn id="12" xr3:uid="{F8B4DBEB-0750-435F-9E0A-45EF611C98AD}" name="ISO Committee" dataDxfId="111"/>
    <tableColumn id="7" xr3:uid="{00E77782-02D5-431E-A207-EAB68A854255}" name="Colour_Type_calculation" dataDxfId="110">
      <calculatedColumnFormula>INDEX(Colours!$C$2:$C$14,MATCH(K2,Colours!$A$2:$A$14,0))</calculatedColumnFormula>
    </tableColumn>
    <tableColumn id="36" xr3:uid="{F43495A8-4A17-4453-BD6E-77F7B81B2D7A}" name="Degree Centrality" dataDxfId="109"/>
    <tableColumn id="8" xr3:uid="{6035848D-2EF4-4CDF-A6BC-757EA6DDEA93}" name="In-Degree Centrality" dataDxfId="108"/>
    <tableColumn id="9" xr3:uid="{6FD05C91-552B-4572-A4FF-9B08C3DADBE9}" name="Out-Degree Centrality" dataDxfId="107"/>
    <tableColumn id="37" xr3:uid="{E17275D1-ABB4-404C-BF4E-969D1E3190CD}" name="Eigencentrality" dataDxfId="106">
      <calculatedColumnFormula>3+TableStandards11[[#This Row],[Degree Centrality]]*17</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D7402B-5B7F-4C09-AD51-B9E81D452373}" name="TableRelationships12" displayName="TableRelationships12" ref="A1:X2503" totalsRowShown="0">
  <autoFilter ref="A1:X2503" xr:uid="{921F4067-E643-4B61-A650-32D23FD11AB3}"/>
  <sortState xmlns:xlrd2="http://schemas.microsoft.com/office/spreadsheetml/2017/richdata2" ref="A2:X2503">
    <sortCondition ref="A1:A2503"/>
  </sortState>
  <tableColumns count="24">
    <tableColumn id="1" xr3:uid="{F9958D7F-7EFA-4879-B028-AF4BD96D1F0D}" name="Id" dataDxfId="105"/>
    <tableColumn id="2" xr3:uid="{5BDCEE1F-2270-45D8-9EF5-61632ACBF18B}" name="Source Standard Number"/>
    <tableColumn id="3" xr3:uid="{1A736C61-D146-4594-BC0A-9764622E4F40}" name="Target Current Number"/>
    <tableColumn id="11" xr3:uid="{14ABDE87-30D4-4A51-9554-8973FF7ADB22}" name="Target NonCurrent Number" dataDxfId="104"/>
    <tableColumn id="20" xr3:uid="{F6A77755-7162-42B3-B903-BDFAE69E2C86}" name="Target First Year" dataDxfId="103"/>
    <tableColumn id="16" xr3:uid="{6EC6E621-25E6-4D4A-B46B-CC4B015220C3}" name="Target Current Year" dataDxfId="102"/>
    <tableColumn id="14" xr3:uid="{E1DB18F4-1B71-4765-8DB8-2EAA5386DB44}" name="ICS" dataDxfId="101"/>
    <tableColumn id="4" xr3:uid="{A4A4D808-5DDF-49F1-B4CA-CE3089A80A35}" name="Source Calculation" dataDxfId="100">
      <calculatedColumnFormula>INDEX('GIS-Standards'!$A$2:$A$305,MATCH(B2,'GIS-Standards'!$B$2:$B$305,0))</calculatedColumnFormula>
    </tableColumn>
    <tableColumn id="5" xr3:uid="{07F3F3C5-981D-4009-BB6B-EA352B804C19}" name="Target Calculation" dataDxfId="99">
      <calculatedColumnFormula>INDEX('GIS-Standards'!$A$2:$A$305,MATCH(C2,'GIS-Standards'!$B$2:$B$305,0))</calculatedColumnFormula>
    </tableColumn>
    <tableColumn id="18" xr3:uid="{5AD0D523-5289-41DA-ACAD-909097960FF4}" name="Source Colour" dataDxfId="98">
      <calculatedColumnFormula>INDEX('GIS-Standards'!$O$2:$O$305,MATCH(B2,'GIS-Standards'!$B$2:$B$305,0))</calculatedColumnFormula>
    </tableColumn>
    <tableColumn id="19" xr3:uid="{3341D6B7-2648-4598-AF1E-5D7F0EDD4D11}" name="Target Colour" dataDxfId="97">
      <calculatedColumnFormula>INDEX('GIS-Standards'!$O$2:$O$305,MATCH(C2,'GIS-Standards'!$B$2:$B$305,0))</calculatedColumnFormula>
    </tableColumn>
    <tableColumn id="8" xr3:uid="{6F7CD5D6-1B25-41E7-89C5-E79489F69763}" name="Type"/>
    <tableColumn id="9" xr3:uid="{F27943AF-6575-4CC6-840C-B059DA257971}" name="Link"/>
    <tableColumn id="24" xr3:uid="{55E173B9-DAD7-401C-AFD9-744F73B0D2C0}" name="Source Type" dataDxfId="96">
      <calculatedColumnFormula>INDEX('GIS-Standards'!$I$2:$I$305,MATCH(B2,'GIS-Standards'!$B$2:$B$305,0))</calculatedColumnFormula>
    </tableColumn>
    <tableColumn id="25" xr3:uid="{006426F1-0B87-4878-B375-9591B5C8E568}" name="Target Type" dataDxfId="95">
      <calculatedColumnFormula>INDEX('GIS-Standards'!$I$2:$I$305,MATCH(C2,'GIS-Standards'!$B$2:$B$305,0))</calculatedColumnFormula>
    </tableColumn>
    <tableColumn id="21" xr3:uid="{02858AA8-6918-41D6-ACE5-A40B897455F9}" name="Inter-BIM Relationship" dataDxfId="94">
      <calculatedColumnFormula>AND(TableRelationships12[[#This Row],[Source Type]]="BIM",TableRelationships12[[#This Row],[Target Type]]="BIM")</calculatedColumnFormula>
    </tableColumn>
    <tableColumn id="10" xr3:uid="{8449C2C5-D564-4907-A492-FF8E373EA341}" name="Weight _calculation" dataDxfId="93">
      <calculatedColumnFormula>IF(M2="Normative",6,IF(M2="Secondary",4,IF(M2="Anchor",2,1)))</calculatedColumnFormula>
    </tableColumn>
    <tableColumn id="12" xr3:uid="{03A4557C-AFBB-4B26-A8B0-BBE724FD6504}" name="Rank Pedro"/>
    <tableColumn id="23" xr3:uid="{6032523B-FC35-4ED3-B7D7-A02AA5283115}" name="Weight Pedro_calculation" dataDxfId="92">
      <calculatedColumnFormula>IF(R2="High",10,IF(R2="Medium",6,IF(R2="Low",2,1)))</calculatedColumnFormula>
    </tableColumn>
    <tableColumn id="6" xr3:uid="{9F102B5A-9A6B-41A6-A9C2-430A3073612B}" name="Category" dataDxfId="91">
      <calculatedColumnFormula>IF(TableRelationships12[[#This Row],[Rank Pedro]]="Low","linkCategory1",IF(TableRelationships12[[#This Row],[Rank Pedro]]="Medium","linkCategory2",IF(TableRelationships12[[#This Row],[Rank Pedro]]="High","linkCategory3","")))</calculatedColumnFormula>
    </tableColumn>
    <tableColumn id="7" xr3:uid="{F0459801-1C9A-4503-8DA3-18FD016820E8}" name="Category Colour" dataDxfId="90">
      <calculatedColumnFormula>IF(TableRelationships12[[#This Row],[Rank Pedro]]="Low","Pink",IF(TableRelationships12[[#This Row],[Rank Pedro]]="Medium","Purple",IF(TableRelationships12[[#This Row],[Rank Pedro]]="High","Brown","")))</calculatedColumnFormula>
    </tableColumn>
    <tableColumn id="13" xr3:uid="{76D7C039-8662-4681-B45E-CE3A813AF427}" name="timeset_calculation" dataDxfId="89">
      <calculatedColumnFormula>MAX(INDEX(Standards!$F$2:$F$296,MATCH(B2,Standards!$B$2:$B$296,0)),INDEX(Standards!$F$2:$F$296,MATCH(C2,Standards!$B$2:$B$296,0)))</calculatedColumnFormula>
    </tableColumn>
    <tableColumn id="15" xr3:uid="{08201A5F-612E-494B-ADBE-70781D2FB541}" name="Colour_calculation" dataDxfId="88">
      <calculatedColumnFormula>IF(M2="Normative", "#d6bf2a", IF(M2="Informative", "#2f89d1", 1))</calculatedColumnFormula>
    </tableColumn>
    <tableColumn id="17" xr3:uid="{E306E550-9510-4378-B348-E963819C7A57}" name="Label"/>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64D4E9-0A92-4824-857A-E5C1DED4F6A0}" name="TableStandards" displayName="TableStandards" ref="A1:R207" totalsRowShown="0" headerRowDxfId="87" headerRowBorderDxfId="86" tableBorderDxfId="85">
  <autoFilter ref="A1:R207" xr:uid="{2264D4E9-0A92-4824-857A-E5C1DED4F6A0}"/>
  <sortState xmlns:xlrd2="http://schemas.microsoft.com/office/spreadsheetml/2017/richdata2" ref="A2:R207">
    <sortCondition ref="A1:A207"/>
  </sortState>
  <tableColumns count="18">
    <tableColumn id="1" xr3:uid="{01D3CA3F-B469-46F0-BEDD-CCD57DB744A8}" name="ID"/>
    <tableColumn id="2" xr3:uid="{F60BDAE2-FBCB-4DC8-BDC2-1DC78CF8996C}" name="Standard Number"/>
    <tableColumn id="17" xr3:uid="{E349472C-13E0-461A-A901-ABE36C96767F}" name="Title"/>
    <tableColumn id="34" xr3:uid="{D8C9095E-D57C-4085-B7C0-80EEE187EE2B}" name="Abstract" dataDxfId="84"/>
    <tableColumn id="35" xr3:uid="{5B95370F-E6D4-4899-9C56-9A45C55F29DC}" name="Web Links" dataDxfId="83"/>
    <tableColumn id="3" xr3:uid="{E5DA0137-2DB6-4DF1-8D18-AA05F9F39463}" name="First Year" dataDxfId="82"/>
    <tableColumn id="4" xr3:uid="{81B798C6-1C47-4FCE-BAA5-9CFFC14FB48B}" name="Current Year" dataDxfId="81"/>
    <tableColumn id="5" xr3:uid="{436C90E9-DC2D-46A1-8263-9E427125FD44}" name="Type"/>
    <tableColumn id="6" xr3:uid="{DF59E833-5A3A-4CBD-8FAC-5C8E63BB3A8B}" name="Is CEN?"/>
    <tableColumn id="11" xr3:uid="{6EF71D20-DC6C-4F16-8A0A-51F04E72A172}" name="CEN Committee"/>
    <tableColumn id="10" xr3:uid="{989FEA23-02DE-4217-8DE0-D18B0701276C}" name="Is ISO?"/>
    <tableColumn id="12" xr3:uid="{F64BDAA2-4CD5-441E-971B-ABAFC08059A2}" name="ISO Committee"/>
    <tableColumn id="13" xr3:uid="{9813BE12-EC34-4A50-B937-55ED1AE636FE}" name="Is BSI (UK)?"/>
    <tableColumn id="7" xr3:uid="{07560342-BB92-48A7-88C7-88E474A4D40C}" name="Colour_Type_calculation" dataDxfId="80">
      <calculatedColumnFormula>INDEX(Colours!$C$2:$C$14,MATCH(H2,Colours!$A$2:$A$14,0))</calculatedColumnFormula>
    </tableColumn>
    <tableColumn id="36" xr3:uid="{74AB1610-A9A9-41B0-9220-62BDAF3B43C8}" name="Degree Centrality"/>
    <tableColumn id="8" xr3:uid="{EB8ED4A4-0FC9-4C04-898D-396620EF7F2E}" name="In-Degree Centrality" dataDxfId="79"/>
    <tableColumn id="9" xr3:uid="{B9738786-6D3F-43E0-977C-05EF448FE769}" name="Out-Degree Centrality" dataDxfId="78"/>
    <tableColumn id="37" xr3:uid="{D336B57B-80FC-4E42-A92C-9A72BEEECB3A}" name="Eigencentrality" dataDxfId="77">
      <calculatedColumnFormula>3+TableStandards[[#This Row],[Degree Centrality]]*17</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1F4067-E643-4B61-A650-32D23FD11AB3}" name="TableRelationships" displayName="TableRelationships" ref="A1:T537" totalsRowShown="0">
  <autoFilter ref="A1:T537" xr:uid="{921F4067-E643-4B61-A650-32D23FD11AB3}"/>
  <sortState xmlns:xlrd2="http://schemas.microsoft.com/office/spreadsheetml/2017/richdata2" ref="A2:T537">
    <sortCondition ref="B1:B537"/>
  </sortState>
  <tableColumns count="20">
    <tableColumn id="1" xr3:uid="{A9C01572-389C-460D-BB6B-3E7ADDEC5A01}" name="Id"/>
    <tableColumn id="2" xr3:uid="{5F10B50A-8163-4B08-BD06-5EF9B42746F2}" name="Source Standard Number"/>
    <tableColumn id="3" xr3:uid="{E9C062CB-DB7A-4938-B578-E93662CC7A1B}" name="Target Standard Number"/>
    <tableColumn id="4" xr3:uid="{B31F67CE-C97F-414B-98C0-F2FFE28E2B91}" name="Source Calculation" dataDxfId="76">
      <calculatedColumnFormula>INDEX(Standards!$A$2:$A$296,MATCH(B2,Standards!$B$2:$B$296,0))</calculatedColumnFormula>
    </tableColumn>
    <tableColumn id="5" xr3:uid="{D7D41FB8-E9E9-4A53-A424-0A9516D8CDA6}" name="Target Calculation" dataDxfId="75">
      <calculatedColumnFormula>INDEX(Standards!$A$2:$A$296,MATCH(C2,Standards!$B$2:$B$296,0))</calculatedColumnFormula>
    </tableColumn>
    <tableColumn id="18" xr3:uid="{53BBD292-4E96-4AAA-8053-58405B350DB4}" name="Source Colour" dataDxfId="74">
      <calculatedColumnFormula>INDEX(Standards!$N$2:$N$296,MATCH(B2,Standards!$B$2:$B$296,0))</calculatedColumnFormula>
    </tableColumn>
    <tableColumn id="19" xr3:uid="{A5E5A56A-4DFB-4937-AEDA-83BE32FA7617}" name="Target Colour" dataDxfId="73">
      <calculatedColumnFormula>INDEX(Standards!$N$2:$N$296,MATCH(C2,Standards!$B$2:$B$296,0))</calculatedColumnFormula>
    </tableColumn>
    <tableColumn id="8" xr3:uid="{42690942-31C9-42C9-8514-B59AF16B82E7}" name="Type"/>
    <tableColumn id="9" xr3:uid="{9D7C667A-84A8-4B09-9F69-4360021D96DF}" name="Link"/>
    <tableColumn id="24" xr3:uid="{757A0B4E-171C-4AD3-AD1B-5E25B0824723}" name="Source Type" dataDxfId="72">
      <calculatedColumnFormula>INDEX(Standards!$H$2:$H$296,MATCH(B2,Standards!$B$2:$B$296,0))</calculatedColumnFormula>
    </tableColumn>
    <tableColumn id="25" xr3:uid="{22375A91-39B4-4CB5-B217-58730FB0CF80}" name="Target Type" dataDxfId="71">
      <calculatedColumnFormula>INDEX(Standards!$H$2:$H$296,MATCH(C2,Standards!$B$2:$B$296,0))</calculatedColumnFormula>
    </tableColumn>
    <tableColumn id="21" xr3:uid="{645B4C9E-DCED-4F9D-8337-026CA96500AD}" name="Inter-BIM Relationship" dataDxfId="70">
      <calculatedColumnFormula>AND(TableRelationships[[#This Row],[Source Type]]="BIM",TableRelationships[[#This Row],[Target Type]]="BIM")</calculatedColumnFormula>
    </tableColumn>
    <tableColumn id="10" xr3:uid="{D569CB16-BF0E-4655-BA04-BDBF29DF45B3}" name="Weight _calculation" dataDxfId="69">
      <calculatedColumnFormula>IF(I2="Normative",6,IF(I2="Secondary",4,IF(I2="Anchor",2,1)))</calculatedColumnFormula>
    </tableColumn>
    <tableColumn id="12" xr3:uid="{E7E3D9F1-0B92-40AC-A382-758872D4F511}" name="Rank Pedro"/>
    <tableColumn id="23" xr3:uid="{5433BA28-80C6-4DD7-819B-606D60F92736}" name="Weight Pedro_calculation" dataDxfId="68">
      <calculatedColumnFormula>IF(N2="High",10,IF(N2="Medium",6,IF(N2="Low",2,1)))</calculatedColumnFormula>
    </tableColumn>
    <tableColumn id="6" xr3:uid="{5D7C0BA6-74D7-4B8E-A68F-0D97B0A2B8F9}" name="Category" dataDxfId="67">
      <calculatedColumnFormula>IF(TableRelationships[[#This Row],[Rank Pedro]]="Low","linkCategory1",IF(TableRelationships[[#This Row],[Rank Pedro]]="Medium","linkCategory2",IF(TableRelationships[[#This Row],[Rank Pedro]]="High","linkCategory3","")))</calculatedColumnFormula>
    </tableColumn>
    <tableColumn id="7" xr3:uid="{A3F9B3BB-CB83-4680-A4D3-A05675582CE3}" name="Category Colour" dataDxfId="66">
      <calculatedColumnFormula>IF(TableRelationships[[#This Row],[Rank Pedro]]="Low","Pink",IF(TableRelationships[[#This Row],[Rank Pedro]]="Medium","Purple",IF(TableRelationships[[#This Row],[Rank Pedro]]="High","Brown","")))</calculatedColumnFormula>
    </tableColumn>
    <tableColumn id="13" xr3:uid="{8CB7B9FE-8B23-41E4-BD34-A757AEFD0438}" name="timeset_calculation" dataDxfId="65">
      <calculatedColumnFormula>MAX(INDEX(Standards!$F$2:$F$296,MATCH(B2,Standards!$B$2:$B$296,0)),INDEX(Standards!$F$2:$F$296,MATCH(C2,Standards!$B$2:$B$296,0)))</calculatedColumnFormula>
    </tableColumn>
    <tableColumn id="15" xr3:uid="{ADA9352C-0CCA-4CF5-BEA3-B3FEEE652EB5}" name="Colour_calculation" dataDxfId="64">
      <calculatedColumnFormula>IF(I2="Normative", "#d6bf2a", IF(I2="Informative", "#2f89d1", 1))</calculatedColumnFormula>
    </tableColumn>
    <tableColumn id="17" xr3:uid="{75C3C242-01D1-47E3-BB2C-CB0D0940389F}" name="Label"/>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F59CFD-E9BD-4335-9761-DF97201F83B0}" name="TableRelevanceRoles" displayName="TableRelevanceRoles" ref="A1:C248" totalsRowShown="0" headerRowDxfId="63">
  <autoFilter ref="A1:C248" xr:uid="{54F59CFD-E9BD-4335-9761-DF97201F83B0}"/>
  <sortState xmlns:xlrd2="http://schemas.microsoft.com/office/spreadsheetml/2017/richdata2" ref="A2:C248">
    <sortCondition ref="A1:A248"/>
  </sortState>
  <tableColumns count="3">
    <tableColumn id="1" xr3:uid="{F8FBEE41-DF81-4A1B-9FBE-4A97BC4EC401}" name="Standard Number"/>
    <tableColumn id="2" xr3:uid="{1487B341-DCC4-49FE-BCA0-BE16332011AC}" name="Role"/>
    <tableColumn id="3" xr3:uid="{393AF3C8-BD82-4872-BFE7-765A8FC57B31}" name="Relevance" dataDxfId="62"/>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C85361-282E-4AC6-B82C-9F531B3DC8FF}" name="TableRelevancePhases" displayName="TableRelevancePhases" ref="A1:C249" totalsRowShown="0" headerRowDxfId="61">
  <autoFilter ref="A1:C249" xr:uid="{7FC85361-282E-4AC6-B82C-9F531B3DC8FF}"/>
  <sortState xmlns:xlrd2="http://schemas.microsoft.com/office/spreadsheetml/2017/richdata2" ref="A2:C249">
    <sortCondition ref="A1:A249"/>
  </sortState>
  <tableColumns count="3">
    <tableColumn id="1" xr3:uid="{1DB7C741-5B53-4BF5-A174-77E0FC9B3C0D}" name="Standard Number"/>
    <tableColumn id="2" xr3:uid="{3B069A28-8FA9-4238-AB2F-E85733F74849}" name="Project Phase"/>
    <tableColumn id="3" xr3:uid="{978BDCAC-E842-4432-9880-98C53A2AF5E9}" name="Relevance" dataDxfId="60"/>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4C78EE-499C-4E37-AF0F-E98EE326C6BA}" name="TableRelevanceTopics" displayName="TableRelevanceTopics" ref="A1:C590" totalsRowShown="0" headerRowDxfId="59">
  <autoFilter ref="A1:C590" xr:uid="{BB4C78EE-499C-4E37-AF0F-E98EE326C6BA}"/>
  <sortState xmlns:xlrd2="http://schemas.microsoft.com/office/spreadsheetml/2017/richdata2" ref="A2:C590">
    <sortCondition ref="A1:A590"/>
  </sortState>
  <tableColumns count="3">
    <tableColumn id="1" xr3:uid="{C417DB02-1503-4A95-99D2-9EFAD4FE3413}" name="Standard Number"/>
    <tableColumn id="2" xr3:uid="{179996B7-6B87-4CD8-8B5C-C32F4D956743}" name="Topic" dataDxfId="58"/>
    <tableColumn id="3" xr3:uid="{6902292D-3329-4B23-BF45-EEBC92F0A9F6}" name="Relevance" dataDxfId="57"/>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961803-2E56-4D56-9690-B45B9E6C6261}" name="TableRelevanceTopics2" displayName="TableRelevanceTopics2" ref="A1:V33" totalsRowCount="1" headerRowDxfId="56" dataDxfId="55">
  <autoFilter ref="A1:V32" xr:uid="{1A961803-2E56-4D56-9690-B45B9E6C6261}"/>
  <sortState xmlns:xlrd2="http://schemas.microsoft.com/office/spreadsheetml/2017/richdata2" ref="A2:V32">
    <sortCondition ref="A1:A32"/>
  </sortState>
  <tableColumns count="22">
    <tableColumn id="1" xr3:uid="{B07D158B-C697-420A-86E3-9A00F5739749}" name="Standard Number" totalsRowLabel="NO" totalsRowDxfId="54"/>
    <tableColumn id="2" xr3:uid="{96263EC1-E213-4D57-8EEB-A6684B25FADF}" name="Software Implementation" totalsRowFunction="custom" dataDxfId="53" totalsRowDxfId="52">
      <totalsRowFormula>COUNTIF(TableRelevanceTopics2[Software Implementation],$M$2)</totalsRowFormula>
    </tableColumn>
    <tableColumn id="3" xr3:uid="{D10B4645-C754-4938-A3EE-163F8D8B073A}" name="Information Management" totalsRowFunction="custom" totalsRowDxfId="51">
      <totalsRowFormula>COUNTIF(TableRelevanceTopics2[Information Management],$M$2)</totalsRowFormula>
    </tableColumn>
    <tableColumn id="4" xr3:uid="{39E33322-DFE6-4526-A4F2-68D52F5D2408}" name="IDM" totalsRowFunction="custom" dataDxfId="50" totalsRowDxfId="49">
      <totalsRowFormula>COUNTIF(TableRelevanceTopics2[IDM],$M$2)</totalsRowFormula>
    </tableColumn>
    <tableColumn id="5" xr3:uid="{7AAF6DC1-B430-4F17-AA4C-2E326D1E6CCC}" name="IDS" totalsRowFunction="custom" totalsRowDxfId="48">
      <totalsRowFormula>COUNTIF(TableRelevanceTopics2[IDS],$M$2)</totalsRowFormula>
    </tableColumn>
    <tableColumn id="6" xr3:uid="{E23CFC47-A814-4AC7-B6F4-B4FE7246B051}" name="MVD" totalsRowFunction="custom" dataDxfId="47" totalsRowDxfId="46">
      <totalsRowFormula>COUNTIF(TableRelevanceTopics2[MVD],$M$2)</totalsRowFormula>
    </tableColumn>
    <tableColumn id="7" xr3:uid="{4EA1E775-C1DF-4F45-98A5-0E7B7603C07A}" name="LOIN" totalsRowFunction="custom" dataDxfId="45" totalsRowDxfId="44">
      <totalsRowFormula>COUNTIF(TableRelevanceTopics2[LOIN],$M$2)</totalsRowFormula>
    </tableColumn>
    <tableColumn id="8" xr3:uid="{F2C4C220-0F96-43FF-8C10-172CB62562E5}" name="CDE" totalsRowFunction="custom" dataDxfId="43" totalsRowDxfId="42">
      <totalsRowFormula>COUNTIF(TableRelevanceTopics2[CDE],$M$2)</totalsRowFormula>
    </tableColumn>
    <tableColumn id="9" xr3:uid="{A8C13B44-F2D3-4FBC-86C8-9E95BA454D74}" name="Information Container" totalsRowFunction="custom" dataDxfId="41" totalsRowDxfId="40">
      <totalsRowFormula>COUNTIF(TableRelevanceTopics2[Information Container],$M$2)</totalsRowFormula>
    </tableColumn>
    <tableColumn id="10" xr3:uid="{50427915-3399-485D-8A4D-281448E123E5}" name="BEP" totalsRowFunction="custom" dataDxfId="39" totalsRowDxfId="38">
      <totalsRowFormula>COUNTIF(TableRelevanceTopics2[BEP],$M$2)</totalsRowFormula>
    </tableColumn>
    <tableColumn id="11" xr3:uid="{739E943B-D37A-415C-86B1-20C25127E5D4}" name="Classification" totalsRowFunction="custom" dataDxfId="37" totalsRowDxfId="36">
      <totalsRowFormula>COUNTIF(TableRelevanceTopics2[Classification],$M$2)</totalsRowFormula>
    </tableColumn>
    <tableColumn id="12" xr3:uid="{CCCE666D-5F20-4ED8-A730-3F545ECB20F9}" name="IFC" totalsRowFunction="custom" dataDxfId="35" totalsRowDxfId="34">
      <totalsRowFormula>COUNTIF(TableRelevanceTopics2[IFC],$M$2)</totalsRowFormula>
    </tableColumn>
    <tableColumn id="13" xr3:uid="{01E1FEDD-FD19-4997-B35E-6DA5CD6AD15F}" name="Linked Data" totalsRowFunction="custom" dataDxfId="33" totalsRowDxfId="32">
      <totalsRowFormula>COUNTIF(TableRelevanceTopics2[Linked Data],$M$2)</totalsRowFormula>
    </tableColumn>
    <tableColumn id="14" xr3:uid="{D3B381BE-C090-4846-AD7F-6159C4F6ECD0}" name="IFD" totalsRowFunction="custom" dataDxfId="31" totalsRowDxfId="30">
      <totalsRowFormula>COUNTIF(TableRelevanceTopics2[IFD],$M$2)</totalsRowFormula>
    </tableColumn>
    <tableColumn id="15" xr3:uid="{68B562C8-FC22-47F6-AD88-653258C74B73}" name="Data Dictionary" totalsRowFunction="custom" dataDxfId="29" totalsRowDxfId="28">
      <totalsRowFormula>COUNTIF(TableRelevanceTopics2[Data Dictionary],$M$2)</totalsRowFormula>
    </tableColumn>
    <tableColumn id="16" xr3:uid="{B099E759-D1E2-415F-9087-02518004D7FB}" name="COBie" totalsRowFunction="custom" dataDxfId="27" totalsRowDxfId="26">
      <totalsRowFormula>COUNTIF(TableRelevanceTopics2[COBie],$M$2)</totalsRowFormula>
    </tableColumn>
    <tableColumn id="17" xr3:uid="{B8CAF6B5-15B1-4DA3-80AB-4FAA2F8C9B08}" name="Information Model" totalsRowFunction="custom" dataDxfId="25" totalsRowDxfId="24">
      <totalsRowFormula>COUNTIF(TableRelevanceTopics2[Information Model],$M$2)</totalsRowFormula>
    </tableColumn>
    <tableColumn id="18" xr3:uid="{4F65636D-94FF-454B-99D3-B201A3BFE023}" name="Data Template" totalsRowFunction="custom" dataDxfId="23" totalsRowDxfId="22">
      <totalsRowFormula>COUNTIF(TableRelevanceTopics2[Data Template],$M$2)</totalsRowFormula>
    </tableColumn>
    <tableColumn id="19" xr3:uid="{5D9EAC4F-D298-4821-9ADD-67D80D06B51C}" name="GIS" totalsRowFunction="custom" dataDxfId="21" totalsRowDxfId="20">
      <totalsRowFormula>COUNTIF(TableRelevanceTopics2[GIS],$M$2)</totalsRowFormula>
    </tableColumn>
    <tableColumn id="20" xr3:uid="{3CA70177-A903-491F-BBC3-D66533F60F50}" name="MIDP/TIDP" totalsRowFunction="custom" dataDxfId="19" totalsRowDxfId="18">
      <totalsRowFormula>COUNTIF(TableRelevanceTopics2[MIDP/TIDP],$M$2)</totalsRowFormula>
    </tableColumn>
    <tableColumn id="21" xr3:uid="{167080D9-6AD5-4A21-A64E-C10A90055A95}" name="(E/O/A/P)IR" totalsRowFunction="custom" totalsRowDxfId="17">
      <totalsRowFormula>COUNTIF(TableRelevanceTopics2[(E/O/A/P)IR],$M$2)</totalsRowFormula>
    </tableColumn>
    <tableColumn id="22" xr3:uid="{350DC62E-749B-4186-9412-73967A65615B}" name="(A/P)IM" totalsRowFunction="custom" dataDxfId="16" totalsRowDxfId="15">
      <totalsRowFormula>COUNTIF(TableRelevanceTopics2[(A/P)IM],$M$2)</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D37286-6D52-4D5B-9798-AF472FC3E546}" name="TableRoleTopicGeneral" displayName="TableRoleTopicGeneral" ref="A1:B57" totalsRowShown="0" headerRowDxfId="14">
  <autoFilter ref="A1:B57" xr:uid="{5DD37286-6D52-4D5B-9798-AF472FC3E546}"/>
  <sortState xmlns:xlrd2="http://schemas.microsoft.com/office/spreadsheetml/2017/richdata2" ref="A2:B57">
    <sortCondition ref="A1:A57"/>
  </sortState>
  <tableColumns count="2">
    <tableColumn id="1" xr3:uid="{4539D39C-2DA9-45E0-BBA6-D827EDE60916}" name="Role"/>
    <tableColumn id="2" xr3:uid="{02467E4D-1D55-4D84-B93B-0EE1C527E22A}" name="Topic"/>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0D4E1F-395E-4697-B25E-153F027B9BFE}" name="TableRolePhase" displayName="TableRolePhase" ref="A1:B65" totalsRowShown="0" headerRowDxfId="13">
  <autoFilter ref="A1:B65" xr:uid="{5DD37286-6D52-4D5B-9798-AF472FC3E546}"/>
  <sortState xmlns:xlrd2="http://schemas.microsoft.com/office/spreadsheetml/2017/richdata2" ref="A2:B65">
    <sortCondition ref="A1:A65"/>
  </sortState>
  <tableColumns count="2">
    <tableColumn id="1" xr3:uid="{96BC9D64-FC1A-4687-88FE-B79CEBCA797B}" name="Role"/>
    <tableColumn id="2" xr3:uid="{EE2678D5-04D0-43E1-B361-9465C422BE70}" name="Phase"/>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43CA60-D24E-4F59-950B-465B92DD6063}" name="TableRelevanceTopicsGeneral" displayName="TableRelevanceTopicsGeneral" ref="A1:D176" totalsRowShown="0" headerRowDxfId="12">
  <autoFilter ref="A1:D176" xr:uid="{7FC85361-282E-4AC6-B82C-9F531B3DC8FF}"/>
  <sortState xmlns:xlrd2="http://schemas.microsoft.com/office/spreadsheetml/2017/richdata2" ref="A2:D176">
    <sortCondition ref="A1:A176"/>
  </sortState>
  <tableColumns count="4">
    <tableColumn id="1" xr3:uid="{97A278E6-03DC-4F9F-B704-4E93370D86FD}" name="Standard Number"/>
    <tableColumn id="2" xr3:uid="{ED9956F5-626F-4A3D-ABF2-D98C17BAF3EB}" name="Topic General"/>
    <tableColumn id="3" xr3:uid="{254209CB-D0DF-4BFA-9A3F-3F467E175B1E}" name="Relevance" dataDxfId="11"/>
    <tableColumn id="4" xr3:uid="{625A6D71-F3BF-4DC4-AB14-0EAF056A47B1}" name="Column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dT="2025-10-01T07:48:55.28" personId="{00000000-0000-0000-0000-000000000000}" id="{58EE496D-A3BB-4531-A164-98C3E8DF978D}">
    <text>See “Target standard” (references) from “GIS-Relationshops” for ideas</text>
  </threadedComment>
  <threadedComment ref="D12" dT="2025-10-01T07:15:31.17" personId="{00000000-0000-0000-0000-000000000000}" id="{4CDDE2BC-C69F-4DFF-835E-176421B26624}">
    <text xml:space="preserve">Can we use abstract for generating keywords/subdomains that can be used for grouping/themes etc. See some red keywords as examples.
</text>
  </threadedComment>
  <threadedComment ref="D12" dT="2025-10-01T10:02:07.45" personId="{00000000-0000-0000-0000-000000000000}" id="{88E2291B-278A-40E6-A731-61B505F57984}" parentId="{4CDDE2BC-C69F-4DFF-835E-176421B26624}">
    <text>Iryna has done some work in file: Standards by ISO TC 211</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10-01T07:14:51.95" personId="{00000000-0000-0000-0000-000000000000}" id="{C0FDDE41-FDA9-4CB9-BAAD-3D352FDA38EB}">
    <text>Can we use abstract for generating keywords/subdomains that can be used for grouping/themes etc. See some red keywords as examples.</text>
  </threadedComment>
  <threadedComment ref="G1" dT="2025-09-30T18:48:58.09" personId="{00000000-0000-0000-0000-000000000000}" id="{40B8AEFE-7E79-4ADA-962C-2C66B3C93C77}">
    <text>If “CEN” , “EN” available then: “Technical specification” page.
If “ISO” only, then title page “First edition” or ISO.org “Publication date” (should indicate the same month/year)</text>
  </threadedComment>
  <threadedComment ref="H1" dT="2025-09-30T18:49:04.67" personId="{00000000-0000-0000-0000-000000000000}" id="{08283FCC-0A5F-4485-B729-09A05EDF71A4}">
    <text xml:space="preserve">If “CEN” , “EN” available then: “Technical specification” page.
If “ISO” only, then title page “First edition” or ISO.org “Publication date” (should indicate the same month/year)
</text>
  </threadedComment>
  <threadedComment ref="I1" dT="2025-09-30T18:50:31.78" personId="{00000000-0000-0000-0000-000000000000}" id="{D0723153-A725-4723-BE72-F25B5FDA21C6}">
    <text>If “Corrigendum” is available for major release. Indicates the latest if multiple exists.</text>
  </threadedComment>
  <threadedComment ref="J1" dT="2025-10-01T07:09:58.38" personId="{00000000-0000-0000-0000-000000000000}" id="{C29D8465-C733-4E1B-8F0C-6CA5C9863B33}">
    <text>Included ICS classifier</text>
  </threadedComment>
  <threadedComment ref="K1" dT="2025-10-01T07:17:54.65" personId="{00000000-0000-0000-0000-000000000000}" id="{BEA7CC68-5B4B-4DC8-97EF-E731E26501D8}">
    <text>This could be some keyword-based or domain based “Type”?</text>
  </threadedComment>
  <threadedComment ref="P1" dT="2025-10-01T07:16:54.57" personId="{00000000-0000-0000-0000-000000000000}" id="{8CC69ED2-EB69-4100-9FF0-BC82FF6941D6}">
    <text>Not yet calculated!</text>
  </threadedComment>
  <threadedComment ref="Q1" dT="2025-10-01T07:16:58.70" personId="{00000000-0000-0000-0000-000000000000}" id="{2EE5E2C5-27DB-47B5-9F33-95DD70338714}">
    <text xml:space="preserve">Not yet calculated!
</text>
  </threadedComment>
  <threadedComment ref="R1" dT="2025-10-01T07:17:02.78" personId="{00000000-0000-0000-0000-000000000000}" id="{650A215C-3E6A-4727-B419-295A06C553C6}">
    <text xml:space="preserve">Not yet calculated!
</text>
  </threadedComment>
  <threadedComment ref="S1" dT="2025-10-01T07:17:06.91" personId="{00000000-0000-0000-0000-000000000000}" id="{29D2B409-A200-460D-8605-0C43AE4C1250}">
    <text xml:space="preserve">Not yet calculated!
</text>
  </threadedComment>
  <threadedComment ref="T1" dT="2025-10-01T07:17:12.02" personId="{00000000-0000-0000-0000-000000000000}" id="{2BDD7392-DA73-432A-8D24-C259DB85C44F}">
    <text xml:space="preserve">Not yet calculated!
</text>
  </threadedComment>
  <threadedComment ref="B7" dT="2025-11-25T10:07:34.42" personId="{00000000-0000-0000-0000-000000000000}" id="{34C80239-2FC3-4390-95C8-A4B3F13DFD75}">
    <text>Also in BIM landscape</text>
  </threadedComment>
  <threadedComment ref="B9" dT="2025-11-25T10:07:34.42" personId="{00000000-0000-0000-0000-000000000000}" id="{923C6732-1018-43DD-9D88-F191DDD56ABA}">
    <text>Also in BIM landscape</text>
  </threadedComment>
  <threadedComment ref="I18" dT="2025-09-30T14:54:28.86" personId="{00000000-0000-0000-0000-000000000000}" id="{11440109-F748-4BE5-8FF4-561E2548D4AF}">
    <text>AC</text>
  </threadedComment>
  <threadedComment ref="H21" dT="2025-09-30T14:59:39.93" personId="{00000000-0000-0000-0000-000000000000}" id="{689F3DBF-F3DC-4C28-B942-83A1955B148B}">
    <text>AC</text>
  </threadedComment>
  <threadedComment ref="I21" dT="2025-09-30T14:59:39.93" personId="{00000000-0000-0000-0000-000000000000}" id="{A493E175-A1C5-49BF-A899-16DF5DFE316B}">
    <text>AC</text>
  </threadedComment>
  <threadedComment ref="B90" dT="2025-09-30T19:25:37.41" personId="{00000000-0000-0000-0000-000000000000}" id="{92FC2781-C72F-42BD-89B5-0A1569FEEC37}">
    <text>Will be replaced by: https://www.iso.org/standard/89014.html</text>
    <extLst>
      <x:ext xmlns:xltc2="http://schemas.microsoft.com/office/spreadsheetml/2020/threadedcomments2" uri="{F7C98A9C-CBB3-438F-8F68-D28B6AF4A901}">
        <xltc2:checksum>105397980</xltc2:checksum>
        <xltc2:hyperlink startIndex="21" length="39" url="https://www.iso.org/standard/89014.html"/>
      </x:ext>
    </extLst>
  </threadedComment>
  <threadedComment ref="B95" dT="2025-11-25T09:43:04.87" personId="{00000000-0000-0000-0000-000000000000}" id="{C46B2ED3-7235-481C-A90D-D57E40791234}">
    <text xml:space="preserve">Nuclear? BIM included. </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5-11-19T09:30:31.54" personId="{00000000-0000-0000-0000-000000000000}" id="{1D239AEA-518D-422F-BC64-7501518092C3}">
    <text>New standard</text>
  </threadedComment>
  <threadedComment ref="D36" dT="2025-10-01T07:55:40.02" personId="{00000000-0000-0000-0000-000000000000}" id="{CACE98CF-1F48-4BF5-A15F-612B89EB9993}">
    <text>Original: 19101</text>
  </threadedComment>
  <threadedComment ref="D381" dT="2025-10-01T07:55:40.02" personId="{00000000-0000-0000-0000-000000000000}" id="{927DA893-BE12-48BA-AC1D-6911D5E61DDC}">
    <text>Original: 19101</text>
  </threadedComment>
  <threadedComment ref="D396" dT="2025-11-20T20:42:51.84" personId="{00000000-0000-0000-0000-000000000000}" id="{6E112D52-E4E2-4513-8F98-076F9CE55436}">
    <text>Simply part of “Part 1”</text>
  </threadedComment>
  <threadedComment ref="D498" dT="2025-11-20T09:07:13.52" personId="{00000000-0000-0000-0000-000000000000}" id="{1398061B-5D35-45DB-A601-772E92E4F20A}">
    <text>Single standard instead of multiple from 11.2023</text>
  </threadedComment>
  <threadedComment ref="D535" dT="2025-10-01T07:55:40.02" personId="{00000000-0000-0000-0000-000000000000}" id="{1E46154F-AFBF-4C29-A123-9C9BF23EEF8E}">
    <text>Original: 19101</text>
  </threadedComment>
  <threadedComment ref="D614" dT="2025-10-01T07:55:40.02" personId="{00000000-0000-0000-0000-000000000000}" id="{51B8CD19-5B76-42C0-8B97-A7E3DD552328}">
    <text>Original: 19101</text>
  </threadedComment>
  <threadedComment ref="D647" dT="2025-10-01T07:55:40.02" personId="{00000000-0000-0000-0000-000000000000}" id="{FB33AFAD-4F8C-4327-91A8-827ED36F077A}">
    <text>Original: 19101</text>
  </threadedComment>
  <threadedComment ref="D808" dT="2025-10-01T07:55:40.02" personId="{00000000-0000-0000-0000-000000000000}" id="{9D676063-25D7-4AEF-88F9-CF387178B498}">
    <text>Original: 19101</text>
  </threadedComment>
  <threadedComment ref="D923" dT="2025-10-01T07:55:40.02" personId="{00000000-0000-0000-0000-000000000000}" id="{44212717-92E9-4CFD-94B8-87F7262A22AD}">
    <text>Original: 19101</text>
  </threadedComment>
  <threadedComment ref="D959" dT="2025-10-01T07:55:40.02" personId="{00000000-0000-0000-0000-000000000000}" id="{61B30A24-ED0C-467E-807D-817A68DB6C58}">
    <text>Original: 19101</text>
  </threadedComment>
  <threadedComment ref="D971" dT="2025-10-01T07:55:40.02" personId="{00000000-0000-0000-0000-000000000000}" id="{EEBD4395-94A5-4F84-B0DB-4563251FB753}">
    <text>Original: 19101</text>
  </threadedComment>
  <threadedComment ref="D980" dT="2025-11-20T20:42:51.84" personId="{00000000-0000-0000-0000-000000000000}" id="{497FEBDD-168B-48F1-AD92-15CA4CACD4C4}">
    <text>Simply part of “Part 1”</text>
  </threadedComment>
  <threadedComment ref="D997" dT="2025-10-01T07:55:40.02" personId="{00000000-0000-0000-0000-000000000000}" id="{3674D6E9-087D-4EC2-BE64-A5DBBAFD0365}">
    <text>Original: 19101</text>
  </threadedComment>
  <threadedComment ref="D1062" dT="2025-10-01T07:55:40.02" personId="{00000000-0000-0000-0000-000000000000}" id="{967A9341-220E-4D83-A75C-2BB1D894698B}">
    <text>Original: 19101</text>
  </threadedComment>
  <threadedComment ref="D1082" dT="2025-10-01T07:55:40.02" personId="{00000000-0000-0000-0000-000000000000}" id="{1FAB1548-818E-4566-8732-F7AFD2421E5C}">
    <text>Original: 19101</text>
  </threadedComment>
  <threadedComment ref="D1108" dT="2025-10-01T07:55:40.02" personId="{00000000-0000-0000-0000-000000000000}" id="{FA941BBF-17C8-43EF-BDAC-EEF5C8F879C0}">
    <text>Original: 19101</text>
  </threadedComment>
  <threadedComment ref="D1127" dT="2025-10-01T07:55:40.02" personId="{00000000-0000-0000-0000-000000000000}" id="{09C389F8-8A19-47F6-BC56-389EE7803A82}">
    <text>Original: 19101</text>
  </threadedComment>
  <threadedComment ref="D1159" dT="2025-10-01T07:55:40.02" personId="{00000000-0000-0000-0000-000000000000}" id="{A8343DFB-C1D5-4EAA-9783-7687CC69F0B8}">
    <text>Original: 19101</text>
  </threadedComment>
  <threadedComment ref="D1945" dT="2025-10-01T07:55:40.02" personId="{00000000-0000-0000-0000-000000000000}" id="{6E8917C8-66DA-4517-A7D7-C6F0729B4929}">
    <text>Original: 19101</text>
  </threadedComment>
  <threadedComment ref="D2268" dT="2025-10-01T07:55:40.02" personId="{00000000-0000-0000-0000-000000000000}" id="{6D99340A-63BB-47C8-886C-181E3371AFC7}">
    <text>Original: 19101</text>
  </threadedComment>
  <threadedComment ref="C2473" dT="2025-11-20T21:26:55.54" personId="{00000000-0000-0000-0000-000000000000}" id="{B149A6B4-DE94-4AB8-8AC5-459E95D11A6F}">
    <text>https://isprs-annals.copernicus.org/articles/IV-2-W1/3/2016/</text>
    <extLst>
      <x:ext xmlns:xltc2="http://schemas.microsoft.com/office/spreadsheetml/2020/threadedcomments2" uri="{F7C98A9C-CBB3-438F-8F68-D28B6AF4A901}">
        <xltc2:checksum>2211220350</xltc2:checksum>
        <xltc2:hyperlink startIndex="0" length="60" url="https://isprs-annals.copernicus.org/articles/IV-2-W1/3/2016/"/>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ephi.org/%20-%20is%20it%20good%20enough%20for%20our%20workflows?)"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iso.org/standard/40114.html" TargetMode="External"/><Relationship Id="rId117" Type="http://schemas.openxmlformats.org/officeDocument/2006/relationships/comments" Target="../comments2.xml"/><Relationship Id="rId21" Type="http://schemas.openxmlformats.org/officeDocument/2006/relationships/hyperlink" Target="https://www.iso.org/standard/46226.html" TargetMode="External"/><Relationship Id="rId42" Type="http://schemas.openxmlformats.org/officeDocument/2006/relationships/hyperlink" Target="https://www.iso.org/standard/72217.html" TargetMode="External"/><Relationship Id="rId47" Type="http://schemas.openxmlformats.org/officeDocument/2006/relationships/hyperlink" Target="https://www.iso.org/standard/82463.html" TargetMode="External"/><Relationship Id="rId63" Type="http://schemas.openxmlformats.org/officeDocument/2006/relationships/hyperlink" Target="https://www.iso.org/standard/63593.html" TargetMode="External"/><Relationship Id="rId68" Type="http://schemas.openxmlformats.org/officeDocument/2006/relationships/hyperlink" Target="https://www.iso.org/standard/32588.html" TargetMode="External"/><Relationship Id="rId84" Type="http://schemas.openxmlformats.org/officeDocument/2006/relationships/hyperlink" Target="https://www.iso.org/standard/74930.html" TargetMode="External"/><Relationship Id="rId89" Type="http://schemas.openxmlformats.org/officeDocument/2006/relationships/hyperlink" Target="https://www.iso.org/standard/81267.html" TargetMode="External"/><Relationship Id="rId112" Type="http://schemas.openxmlformats.org/officeDocument/2006/relationships/hyperlink" Target="https://www.iso.org/standard/87376.html" TargetMode="External"/><Relationship Id="rId16" Type="http://schemas.openxmlformats.org/officeDocument/2006/relationships/hyperlink" Target="https://www.iso.org/standard/70742.html" TargetMode="External"/><Relationship Id="rId107" Type="http://schemas.openxmlformats.org/officeDocument/2006/relationships/hyperlink" Target="https://www.iso.org/standard/62067.html" TargetMode="External"/><Relationship Id="rId11" Type="http://schemas.openxmlformats.org/officeDocument/2006/relationships/hyperlink" Target="https://www.iso.org/standard/66175.html" TargetMode="External"/><Relationship Id="rId32" Type="http://schemas.openxmlformats.org/officeDocument/2006/relationships/hyperlink" Target="https://www.iso.org/standard/32552.html" TargetMode="External"/><Relationship Id="rId37" Type="http://schemas.openxmlformats.org/officeDocument/2006/relationships/hyperlink" Target="https://www.iso.org/standard/41445.html" TargetMode="External"/><Relationship Id="rId53" Type="http://schemas.openxmlformats.org/officeDocument/2006/relationships/hyperlink" Target="https://www.iso.org/standard/63541.html" TargetMode="External"/><Relationship Id="rId58" Type="http://schemas.openxmlformats.org/officeDocument/2006/relationships/hyperlink" Target="https://www.iso.org/standard/44874.html" TargetMode="External"/><Relationship Id="rId74" Type="http://schemas.openxmlformats.org/officeDocument/2006/relationships/hyperlink" Target="https://www.iso.org/standard/56113.html" TargetMode="External"/><Relationship Id="rId79" Type="http://schemas.openxmlformats.org/officeDocument/2006/relationships/hyperlink" Target="https://www.iso.org/standard/60080.html" TargetMode="External"/><Relationship Id="rId102" Type="http://schemas.openxmlformats.org/officeDocument/2006/relationships/hyperlink" Target="https://www.iso.org/standard/84573.html" TargetMode="External"/><Relationship Id="rId5" Type="http://schemas.openxmlformats.org/officeDocument/2006/relationships/hyperlink" Target="https://www.en-standard.eu/pd-cen-tr-15449-3-2012-geographic-information-spatial-data-infrastructures-data-centric-view/" TargetMode="External"/><Relationship Id="rId90" Type="http://schemas.openxmlformats.org/officeDocument/2006/relationships/hyperlink" Target="https://www.iso.org/standard/45798.html" TargetMode="External"/><Relationship Id="rId95" Type="http://schemas.openxmlformats.org/officeDocument/2006/relationships/hyperlink" Target="https://www.iso.org/standard/61149.html" TargetMode="External"/><Relationship Id="rId22" Type="http://schemas.openxmlformats.org/officeDocument/2006/relationships/hyperlink" Target="https://www.iso.org/standard/44212.html" TargetMode="External"/><Relationship Id="rId27" Type="http://schemas.openxmlformats.org/officeDocument/2006/relationships/hyperlink" Target="https://www.iso.org/standard/78898.html" TargetMode="External"/><Relationship Id="rId43" Type="http://schemas.openxmlformats.org/officeDocument/2006/relationships/hyperlink" Target="https://www.iso.org/standard/75150.html" TargetMode="External"/><Relationship Id="rId48" Type="http://schemas.openxmlformats.org/officeDocument/2006/relationships/hyperlink" Target="https://www.iso.org/standard/78900.html" TargetMode="External"/><Relationship Id="rId64" Type="http://schemas.openxmlformats.org/officeDocument/2006/relationships/hyperlink" Target="https://www.iso.org/standard/70655.html" TargetMode="External"/><Relationship Id="rId69" Type="http://schemas.openxmlformats.org/officeDocument/2006/relationships/hyperlink" Target="https://www.iso.org/standard/29775.html" TargetMode="External"/><Relationship Id="rId113" Type="http://schemas.openxmlformats.org/officeDocument/2006/relationships/hyperlink" Target="https://www.iso.org/standard/89397.html" TargetMode="External"/><Relationship Id="rId118" Type="http://schemas.microsoft.com/office/2017/10/relationships/threadedComment" Target="../threadedComments/threadedComment2.xml"/><Relationship Id="rId80" Type="http://schemas.openxmlformats.org/officeDocument/2006/relationships/hyperlink" Target="https://www.iso.org/standard/64768.html" TargetMode="External"/><Relationship Id="rId85" Type="http://schemas.openxmlformats.org/officeDocument/2006/relationships/hyperlink" Target="https://www.iso.org/standard/78899.html" TargetMode="External"/><Relationship Id="rId12" Type="http://schemas.openxmlformats.org/officeDocument/2006/relationships/hyperlink" Target="https://www.iso.org/standard/26013.html" TargetMode="External"/><Relationship Id="rId17" Type="http://schemas.openxmlformats.org/officeDocument/2006/relationships/hyperlink" Target="https://www.iso.org/standard/53798.html" TargetMode="External"/><Relationship Id="rId33" Type="http://schemas.openxmlformats.org/officeDocument/2006/relationships/hyperlink" Target="https://www.iso.org/standard/54721.html" TargetMode="External"/><Relationship Id="rId38" Type="http://schemas.openxmlformats.org/officeDocument/2006/relationships/hyperlink" Target="https://www.iso.org/standard/42136.html" TargetMode="External"/><Relationship Id="rId59" Type="http://schemas.openxmlformats.org/officeDocument/2006/relationships/hyperlink" Target="https://www.iso.org/standard/57466.html" TargetMode="External"/><Relationship Id="rId103" Type="http://schemas.openxmlformats.org/officeDocument/2006/relationships/hyperlink" Target="https://www.iso.org/standard/84517.html" TargetMode="External"/><Relationship Id="rId108" Type="http://schemas.openxmlformats.org/officeDocument/2006/relationships/hyperlink" Target="https://www.iso.org/standard/80335.html" TargetMode="External"/><Relationship Id="rId54" Type="http://schemas.openxmlformats.org/officeDocument/2006/relationships/hyperlink" Target="https://www.iso.org/standard/70948.html" TargetMode="External"/><Relationship Id="rId70" Type="http://schemas.openxmlformats.org/officeDocument/2006/relationships/hyperlink" Target="https://www.iso.org/standard/75148.html" TargetMode="External"/><Relationship Id="rId75" Type="http://schemas.openxmlformats.org/officeDocument/2006/relationships/hyperlink" Target="https://www.iso.org/standard/74074.html" TargetMode="External"/><Relationship Id="rId91" Type="http://schemas.openxmlformats.org/officeDocument/2006/relationships/hyperlink" Target="https://www.iso.org/standard/32592.html" TargetMode="External"/><Relationship Id="rId96" Type="http://schemas.openxmlformats.org/officeDocument/2006/relationships/hyperlink" Target="https://www.iso.org/standard/44859.html" TargetMode="External"/><Relationship Id="rId1" Type="http://schemas.openxmlformats.org/officeDocument/2006/relationships/hyperlink" Target="https://www.iso.org/standard/67253.html" TargetMode="External"/><Relationship Id="rId6" Type="http://schemas.openxmlformats.org/officeDocument/2006/relationships/hyperlink" Target="https://www.en-standard.eu/pd-cen-tr-15449-4-2013-geographic-information-spatial-data-infrastructure-service-centric-view/" TargetMode="External"/><Relationship Id="rId23" Type="http://schemas.openxmlformats.org/officeDocument/2006/relationships/hyperlink" Target="https://www.iso.org/standard/59221.html" TargetMode="External"/><Relationship Id="rId28" Type="http://schemas.openxmlformats.org/officeDocument/2006/relationships/hyperlink" Target="https://www.iso.org/standard/32546.html" TargetMode="External"/><Relationship Id="rId49" Type="http://schemas.openxmlformats.org/officeDocument/2006/relationships/hyperlink" Target="https://www.iso.org/standard/83153.html" TargetMode="External"/><Relationship Id="rId114" Type="http://schemas.openxmlformats.org/officeDocument/2006/relationships/hyperlink" Target="https://www.iso.org/standard/87033.html" TargetMode="External"/><Relationship Id="rId10" Type="http://schemas.openxmlformats.org/officeDocument/2006/relationships/hyperlink" Target="https://www.iso.org/standard/26011.html" TargetMode="External"/><Relationship Id="rId31" Type="http://schemas.openxmlformats.org/officeDocument/2006/relationships/hyperlink" Target="https://www.iso.org/standard/32551.html" TargetMode="External"/><Relationship Id="rId44" Type="http://schemas.openxmlformats.org/officeDocument/2006/relationships/hyperlink" Target="https://www.iso.org/standard/80867.html" TargetMode="External"/><Relationship Id="rId52" Type="http://schemas.openxmlformats.org/officeDocument/2006/relationships/hyperlink" Target="https://www.iso.org/standard/69325.html" TargetMode="External"/><Relationship Id="rId60" Type="http://schemas.openxmlformats.org/officeDocument/2006/relationships/hyperlink" Target="https://www.iso.org/standard/72177.html" TargetMode="External"/><Relationship Id="rId65" Type="http://schemas.openxmlformats.org/officeDocument/2006/relationships/hyperlink" Target="https://www.iso.org/standard/76496.html" TargetMode="External"/><Relationship Id="rId73" Type="http://schemas.openxmlformats.org/officeDocument/2006/relationships/hyperlink" Target="https://www.iso.org/standard/43041.html" TargetMode="External"/><Relationship Id="rId78" Type="http://schemas.openxmlformats.org/officeDocument/2006/relationships/hyperlink" Target="https://www.iso.org/standard/32576.html" TargetMode="External"/><Relationship Id="rId81" Type="http://schemas.openxmlformats.org/officeDocument/2006/relationships/hyperlink" Target="https://www.iso.org/standard/74032.html" TargetMode="External"/><Relationship Id="rId86" Type="http://schemas.openxmlformats.org/officeDocument/2006/relationships/hyperlink" Target="https://www.iso.org/standard/81292.html" TargetMode="External"/><Relationship Id="rId94" Type="http://schemas.openxmlformats.org/officeDocument/2006/relationships/hyperlink" Target="https://www.iso.org/standard/59150.html" TargetMode="External"/><Relationship Id="rId99" Type="http://schemas.openxmlformats.org/officeDocument/2006/relationships/hyperlink" Target="https://www.iso.org/standard/81285.html" TargetMode="External"/><Relationship Id="rId101" Type="http://schemas.openxmlformats.org/officeDocument/2006/relationships/hyperlink" Target="https://www.iso.org/standard/80918.html" TargetMode="External"/><Relationship Id="rId4" Type="http://schemas.openxmlformats.org/officeDocument/2006/relationships/hyperlink" Target="https://www.en-standard.eu/pd-cen-tr-15449-2-2012-geographic-information-spatial-data-infrastructures-best-practices/" TargetMode="External"/><Relationship Id="rId9" Type="http://schemas.openxmlformats.org/officeDocument/2006/relationships/hyperlink" Target="https://www.iso.org/standard/76457.html" TargetMode="External"/><Relationship Id="rId13" Type="http://schemas.openxmlformats.org/officeDocument/2006/relationships/hyperlink" Target="https://www.iso.org/standard/84700.html" TargetMode="External"/><Relationship Id="rId18" Type="http://schemas.openxmlformats.org/officeDocument/2006/relationships/hyperlink" Target="https://www.iso.org/standard/67039.html" TargetMode="External"/><Relationship Id="rId39" Type="http://schemas.openxmlformats.org/officeDocument/2006/relationships/hyperlink" Target="https://www.iso.org/standard/42137.html" TargetMode="External"/><Relationship Id="rId109" Type="http://schemas.openxmlformats.org/officeDocument/2006/relationships/hyperlink" Target="https://www.iso.org/standard/69273.html" TargetMode="External"/><Relationship Id="rId34" Type="http://schemas.openxmlformats.org/officeDocument/2006/relationships/hyperlink" Target="https://www.iso.org/standard/75676.html" TargetMode="External"/><Relationship Id="rId50" Type="http://schemas.openxmlformats.org/officeDocument/2006/relationships/hyperlink" Target="https://www.iso.org/standard/86508.html" TargetMode="External"/><Relationship Id="rId55" Type="http://schemas.openxmlformats.org/officeDocument/2006/relationships/hyperlink" Target="https://www.iso.org/standard/67252.html" TargetMode="External"/><Relationship Id="rId76" Type="http://schemas.openxmlformats.org/officeDocument/2006/relationships/hyperlink" Target="https://www.iso.org/standard/57465.html" TargetMode="External"/><Relationship Id="rId97" Type="http://schemas.openxmlformats.org/officeDocument/2006/relationships/hyperlink" Target="https://www.iso.org/standard/68172.html" TargetMode="External"/><Relationship Id="rId104" Type="http://schemas.openxmlformats.org/officeDocument/2006/relationships/hyperlink" Target="https://www.iso.org/standard/69252.html" TargetMode="External"/><Relationship Id="rId7" Type="http://schemas.openxmlformats.org/officeDocument/2006/relationships/hyperlink" Target="https://www.iso.org/standard/59164.html" TargetMode="External"/><Relationship Id="rId71" Type="http://schemas.openxmlformats.org/officeDocument/2006/relationships/hyperlink" Target="https://www.iso.org/standard/32587.html" TargetMode="External"/><Relationship Id="rId92" Type="http://schemas.openxmlformats.org/officeDocument/2006/relationships/hyperlink" Target="https://www.iso.org/standard/86329.html" TargetMode="External"/><Relationship Id="rId2" Type="http://schemas.openxmlformats.org/officeDocument/2006/relationships/hyperlink" Target="https://www.iso.org/standard/85091.html" TargetMode="External"/><Relationship Id="rId29" Type="http://schemas.openxmlformats.org/officeDocument/2006/relationships/hyperlink" Target="https://www.iso.org/standard/85092.html" TargetMode="External"/><Relationship Id="rId24" Type="http://schemas.openxmlformats.org/officeDocument/2006/relationships/hyperlink" Target="https://www.iso.org/standard/70743.html" TargetMode="External"/><Relationship Id="rId40" Type="http://schemas.openxmlformats.org/officeDocument/2006/relationships/hyperlink" Target="https://www.iso.org/standard/32562.html" TargetMode="External"/><Relationship Id="rId45" Type="http://schemas.openxmlformats.org/officeDocument/2006/relationships/hyperlink" Target="https://www.iso.org/standard/81263.html" TargetMode="External"/><Relationship Id="rId66" Type="http://schemas.openxmlformats.org/officeDocument/2006/relationships/hyperlink" Target="https://www.iso.org/standard/67325.html" TargetMode="External"/><Relationship Id="rId87" Type="http://schemas.openxmlformats.org/officeDocument/2006/relationships/hyperlink" Target="https://www.iso.org/standard/81264.html" TargetMode="External"/><Relationship Id="rId110" Type="http://schemas.openxmlformats.org/officeDocument/2006/relationships/hyperlink" Target="https://www.iso.org/standard/69275.html" TargetMode="External"/><Relationship Id="rId115" Type="http://schemas.openxmlformats.org/officeDocument/2006/relationships/vmlDrawing" Target="../drawings/vmlDrawing2.vml"/><Relationship Id="rId61" Type="http://schemas.openxmlformats.org/officeDocument/2006/relationships/hyperlink" Target="https://www.iso.org/standard/32572.html" TargetMode="External"/><Relationship Id="rId82" Type="http://schemas.openxmlformats.org/officeDocument/2006/relationships/hyperlink" Target="https://www.iso.org/standard/66769.html" TargetMode="External"/><Relationship Id="rId19" Type="http://schemas.openxmlformats.org/officeDocument/2006/relationships/hyperlink" Target="https://www.iso.org/standard/80874.html" TargetMode="External"/><Relationship Id="rId14" Type="http://schemas.openxmlformats.org/officeDocument/2006/relationships/hyperlink" Target="https://www.iso.org/standard/57303.html" TargetMode="External"/><Relationship Id="rId30" Type="http://schemas.openxmlformats.org/officeDocument/2006/relationships/hyperlink" Target="https://www.iso.org/standard/40601.html" TargetMode="External"/><Relationship Id="rId35" Type="http://schemas.openxmlformats.org/officeDocument/2006/relationships/hyperlink" Target="https://www.iso.org/standard/61585.html" TargetMode="External"/><Relationship Id="rId56" Type="http://schemas.openxmlformats.org/officeDocument/2006/relationships/hyperlink" Target="https://www.iso.org/standard/66847.html" TargetMode="External"/><Relationship Id="rId77" Type="http://schemas.openxmlformats.org/officeDocument/2006/relationships/hyperlink" Target="https://www.iso.org/standard/66197.html" TargetMode="External"/><Relationship Id="rId100" Type="http://schemas.openxmlformats.org/officeDocument/2006/relationships/hyperlink" Target="https://www.iso.org/standard/74389.html" TargetMode="External"/><Relationship Id="rId105" Type="http://schemas.openxmlformats.org/officeDocument/2006/relationships/hyperlink" Target="https://www.iso.org/standard/82837.html" TargetMode="External"/><Relationship Id="rId8" Type="http://schemas.openxmlformats.org/officeDocument/2006/relationships/hyperlink" Target="https://www.iso.org/standard/83454.html" TargetMode="External"/><Relationship Id="rId51" Type="http://schemas.openxmlformats.org/officeDocument/2006/relationships/hyperlink" Target="https://www.iso.org/standard/82464.html" TargetMode="External"/><Relationship Id="rId72" Type="http://schemas.openxmlformats.org/officeDocument/2006/relationships/hyperlink" Target="https://www.iso.org/standard/79352.html" TargetMode="External"/><Relationship Id="rId93" Type="http://schemas.openxmlformats.org/officeDocument/2006/relationships/hyperlink" Target="https://www.iso.org/standard/86092.html" TargetMode="External"/><Relationship Id="rId98" Type="http://schemas.openxmlformats.org/officeDocument/2006/relationships/hyperlink" Target="https://www.iso.org/standard/75105.html" TargetMode="External"/><Relationship Id="rId3" Type="http://schemas.openxmlformats.org/officeDocument/2006/relationships/hyperlink" Target="https://www.en-standard.eu/pd-cen-tr-15449-1-2012-geographic-information-spatial-data-infrastructures-reference-model/" TargetMode="External"/><Relationship Id="rId25" Type="http://schemas.openxmlformats.org/officeDocument/2006/relationships/hyperlink" Target="https://www.iso.org/standard/83611.html" TargetMode="External"/><Relationship Id="rId46" Type="http://schemas.openxmlformats.org/officeDocument/2006/relationships/hyperlink" Target="https://www.iso.org/standard/81265.html" TargetMode="External"/><Relationship Id="rId67" Type="http://schemas.openxmlformats.org/officeDocument/2006/relationships/hyperlink" Target="https://www.iso.org/standard/73810.html" TargetMode="External"/><Relationship Id="rId116" Type="http://schemas.openxmlformats.org/officeDocument/2006/relationships/table" Target="../tables/table1.xml"/><Relationship Id="rId20" Type="http://schemas.openxmlformats.org/officeDocument/2006/relationships/hyperlink" Target="https://www.iso.org/standard/87480.html" TargetMode="External"/><Relationship Id="rId41" Type="http://schemas.openxmlformats.org/officeDocument/2006/relationships/hyperlink" Target="https://www.iso.org/standard/81259.html" TargetMode="External"/><Relationship Id="rId62" Type="http://schemas.openxmlformats.org/officeDocument/2006/relationships/hyperlink" Target="https://www.iso.org/standard/32573.html" TargetMode="External"/><Relationship Id="rId83" Type="http://schemas.openxmlformats.org/officeDocument/2006/relationships/hyperlink" Target="https://www.iso.org/standard/32581.html" TargetMode="External"/><Relationship Id="rId88" Type="http://schemas.openxmlformats.org/officeDocument/2006/relationships/hyperlink" Target="https://www.iso.org/standard/81266.html" TargetMode="External"/><Relationship Id="rId111" Type="http://schemas.openxmlformats.org/officeDocument/2006/relationships/hyperlink" Target="https://www.iso.org/standard/87373.html" TargetMode="External"/><Relationship Id="rId15" Type="http://schemas.openxmlformats.org/officeDocument/2006/relationships/hyperlink" Target="https://www.iso.org/standard/74039.html" TargetMode="External"/><Relationship Id="rId36" Type="http://schemas.openxmlformats.org/officeDocument/2006/relationships/hyperlink" Target="https://www.iso.org/standard/32555.html" TargetMode="External"/><Relationship Id="rId57" Type="http://schemas.openxmlformats.org/officeDocument/2006/relationships/hyperlink" Target="https://www.iso.org/standard/32563.html" TargetMode="External"/><Relationship Id="rId106" Type="http://schemas.openxmlformats.org/officeDocument/2006/relationships/hyperlink" Target="https://www.iso.org/standard/69895.htm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so.org/standard/54791.html" TargetMode="External"/><Relationship Id="rId18" Type="http://schemas.openxmlformats.org/officeDocument/2006/relationships/hyperlink" Target="https://www.iso.org/standard/75109.html" TargetMode="External"/><Relationship Id="rId26" Type="http://schemas.openxmlformats.org/officeDocument/2006/relationships/hyperlink" Target="https://www.iso.org/standard/70303.html" TargetMode="External"/><Relationship Id="rId39" Type="http://schemas.openxmlformats.org/officeDocument/2006/relationships/hyperlink" Target="https://www.iso.org/standard/82914.html" TargetMode="External"/><Relationship Id="rId21" Type="http://schemas.openxmlformats.org/officeDocument/2006/relationships/hyperlink" Target="https://www.iso.org/standard/68078.html" TargetMode="External"/><Relationship Id="rId34" Type="http://schemas.openxmlformats.org/officeDocument/2006/relationships/hyperlink" Target="https://www.iso.org/standard/56434.html?browse=tc" TargetMode="External"/><Relationship Id="rId42" Type="http://schemas.openxmlformats.org/officeDocument/2006/relationships/comments" Target="../comments4.xml"/><Relationship Id="rId7" Type="http://schemas.openxmlformats.org/officeDocument/2006/relationships/hyperlink" Target="https://www.iso.org/standard/75401.html" TargetMode="External"/><Relationship Id="rId2" Type="http://schemas.openxmlformats.org/officeDocument/2006/relationships/hyperlink" Target="https://www.iso.org/standard/74390.html" TargetMode="External"/><Relationship Id="rId16" Type="http://schemas.openxmlformats.org/officeDocument/2006/relationships/hyperlink" Target="https://www.iso.org/standard/45798.html" TargetMode="External"/><Relationship Id="rId20" Type="http://schemas.openxmlformats.org/officeDocument/2006/relationships/hyperlink" Target="https://www.iso.org/standard/79692.html?browse=tc" TargetMode="External"/><Relationship Id="rId29" Type="http://schemas.openxmlformats.org/officeDocument/2006/relationships/hyperlink" Target="https://www.en-standard.eu/din-en-17632-semantischer-modellierungs-und-verknupfungsstandard-smls-fur-die-datenintegration-in-der-gebauten-umwelt-deutsche-und-englische-fassung-pren-17632-2021/" TargetMode="External"/><Relationship Id="rId41" Type="http://schemas.openxmlformats.org/officeDocument/2006/relationships/table" Target="../tables/table3.xml"/><Relationship Id="rId1" Type="http://schemas.openxmlformats.org/officeDocument/2006/relationships/hyperlink" Target="https://www.iso.org/standard/74389.html" TargetMode="External"/><Relationship Id="rId6" Type="http://schemas.openxmlformats.org/officeDocument/2006/relationships/hyperlink" Target="https://www.iso.org/standard/55691.html" TargetMode="External"/><Relationship Id="rId11" Type="http://schemas.openxmlformats.org/officeDocument/2006/relationships/hyperlink" Target="https://www.iso.org/standard/63141.html" TargetMode="External"/><Relationship Id="rId24" Type="http://schemas.openxmlformats.org/officeDocument/2006/relationships/hyperlink" Target="https://www.iso.org/standard/62080.html" TargetMode="External"/><Relationship Id="rId32" Type="http://schemas.openxmlformats.org/officeDocument/2006/relationships/hyperlink" Target="https://www.iso.org/standard/78246.html" TargetMode="External"/><Relationship Id="rId37" Type="http://schemas.openxmlformats.org/officeDocument/2006/relationships/hyperlink" Target="https://standards.cencenelec.eu/dyn/www/f?p=CEN:110:0::::FSP_PROJECT,FSP_ORG_ID:67839,1991542&amp;cs=1BCE2DE4154949B53FB406C2D4EE5011D" TargetMode="External"/><Relationship Id="rId40" Type="http://schemas.openxmlformats.org/officeDocument/2006/relationships/vmlDrawing" Target="../drawings/vmlDrawing4.vml"/><Relationship Id="rId5" Type="http://schemas.openxmlformats.org/officeDocument/2006/relationships/hyperlink" Target="https://www.iso.org/standard/75105.html" TargetMode="External"/><Relationship Id="rId15" Type="http://schemas.openxmlformats.org/officeDocument/2006/relationships/hyperlink" Target="https://www.iso.org/standard/66767.html" TargetMode="External"/><Relationship Id="rId23" Type="http://schemas.openxmlformats.org/officeDocument/2006/relationships/hyperlink" Target="https://www.iso.org/standard/40835.html" TargetMode="External"/><Relationship Id="rId28" Type="http://schemas.openxmlformats.org/officeDocument/2006/relationships/hyperlink" Target="https://www.iso.org/standard/61753.html" TargetMode="External"/><Relationship Id="rId36" Type="http://schemas.openxmlformats.org/officeDocument/2006/relationships/hyperlink" Target="https://standards.cencenelec.eu/dyn/www/f?p=CEN:110:0::::FSP_PROJECT,FSP_ORG_ID:75869,1991542&amp;cs=16BFC8B55361DE81D971CAFC260A8A820" TargetMode="External"/><Relationship Id="rId10" Type="http://schemas.openxmlformats.org/officeDocument/2006/relationships/hyperlink" Target="https://www.en-standard.eu/din-cen-tr-17439-guidance-on-how-to-implement-en-iso-19650-1-and-2-in-europe/" TargetMode="External"/><Relationship Id="rId19" Type="http://schemas.openxmlformats.org/officeDocument/2006/relationships/hyperlink" Target="https://www.iso.org/standard/68080.html" TargetMode="External"/><Relationship Id="rId31" Type="http://schemas.openxmlformats.org/officeDocument/2006/relationships/hyperlink" Target="https://www.en-standard.eu/une-cen-tr-17654-2021-guideline-for-the-implementation-of-exchange-information-requirements-eir-and-bim-execution-plans-bep-on-european-level-based-on-en-iso-19650-1-and-2-endorsed-by-asociacion-espa-ola-de-normalizacion-in-february-of-2023/" TargetMode="External"/><Relationship Id="rId4" Type="http://schemas.openxmlformats.org/officeDocument/2006/relationships/hyperlink" Target="https://www.iso.org/standard/81261.html" TargetMode="External"/><Relationship Id="rId9" Type="http://schemas.openxmlformats.org/officeDocument/2006/relationships/hyperlink" Target="https://www.iso.org/standard/60553.html" TargetMode="External"/><Relationship Id="rId14" Type="http://schemas.openxmlformats.org/officeDocument/2006/relationships/hyperlink" Target="https://www.iso.org/standard/50417.html" TargetMode="External"/><Relationship Id="rId22" Type="http://schemas.openxmlformats.org/officeDocument/2006/relationships/hyperlink" Target="https://www.iso.org/standard/40835.html" TargetMode="External"/><Relationship Id="rId27" Type="http://schemas.openxmlformats.org/officeDocument/2006/relationships/hyperlink" Target="https://www.iso.org/standard/38706.html" TargetMode="External"/><Relationship Id="rId30" Type="http://schemas.openxmlformats.org/officeDocument/2006/relationships/hyperlink" Target="https://www.en-standard.eu/une-cen-tr-17741-2021-guidance-for-understanding-and-utilize-en-iso-29481-1-building-information-models-information-delivery-manual-part-1-methodology-and-format-endorsed-by-asociacion-espa-ola-de-normalizacion-in-february-of-2022/" TargetMode="External"/><Relationship Id="rId35" Type="http://schemas.openxmlformats.org/officeDocument/2006/relationships/hyperlink" Target="https://www.en-standard.eu/pd-cen-tr-17920-2023-bim-in-infrastructure-standardization-need-and-recommendations/" TargetMode="External"/><Relationship Id="rId8" Type="http://schemas.openxmlformats.org/officeDocument/2006/relationships/hyperlink" Target="https://www.iso.org/standard/75403.html" TargetMode="External"/><Relationship Id="rId3" Type="http://schemas.openxmlformats.org/officeDocument/2006/relationships/hyperlink" Target="https://www.iso.org/standard/74206.html" TargetMode="External"/><Relationship Id="rId12" Type="http://schemas.openxmlformats.org/officeDocument/2006/relationships/hyperlink" Target="https://www.iso.org/standard/25097.html" TargetMode="External"/><Relationship Id="rId17" Type="http://schemas.openxmlformats.org/officeDocument/2006/relationships/hyperlink" Target="https://www.iso.org/standard/18902.html" TargetMode="External"/><Relationship Id="rId25" Type="http://schemas.openxmlformats.org/officeDocument/2006/relationships/hyperlink" Target="https://www.iso.org/standard/57613.html" TargetMode="External"/><Relationship Id="rId33" Type="http://schemas.openxmlformats.org/officeDocument/2006/relationships/hyperlink" Target="https://www.en-standard.eu/bs-en-17549-2-2023-building-information-modelling-information-structure-based-on-en-iso-16739-1-to-exchange-data-templates-and-data-sheets-for-construction-objects-configurable-construction-objects-and-requirements/" TargetMode="External"/><Relationship Id="rId38" Type="http://schemas.openxmlformats.org/officeDocument/2006/relationships/hyperlink" Target="https://standards.cencenelec.eu/dyn/www/f?p=CEN:110:0::::FSP_PROJECT,FSP_ORG_ID:77702,1991542&amp;cs=17F136AFC5DA4EF3744EE6C2F50A2FC9D"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F913-0FE7-4004-9CB0-2F919DCA8EB3}">
  <sheetPr>
    <tabColor theme="4"/>
  </sheetPr>
  <dimension ref="B2:N39"/>
  <sheetViews>
    <sheetView showGridLines="0" tabSelected="1" topLeftCell="A19" zoomScale="130" zoomScaleNormal="130" workbookViewId="0">
      <selection activeCell="D39" sqref="D39"/>
    </sheetView>
  </sheetViews>
  <sheetFormatPr defaultRowHeight="14.35" x14ac:dyDescent="0.5"/>
  <cols>
    <col min="2" max="2" width="18" customWidth="1"/>
    <col min="12" max="12" width="17.5859375" customWidth="1"/>
    <col min="13" max="13" width="12" customWidth="1"/>
    <col min="14" max="14" width="13" customWidth="1"/>
  </cols>
  <sheetData>
    <row r="2" spans="2:14" x14ac:dyDescent="0.5">
      <c r="B2" s="99" t="s">
        <v>1007</v>
      </c>
      <c r="C2" s="99"/>
      <c r="D2" s="99"/>
      <c r="E2" s="99"/>
      <c r="F2" s="99"/>
      <c r="G2" s="99"/>
      <c r="H2" s="99"/>
      <c r="I2" s="99"/>
      <c r="J2" s="99"/>
      <c r="K2" s="99"/>
      <c r="L2" s="99"/>
      <c r="M2" s="99"/>
      <c r="N2" s="99"/>
    </row>
    <row r="4" spans="2:14" x14ac:dyDescent="0.5">
      <c r="B4" s="99" t="s">
        <v>996</v>
      </c>
      <c r="C4" t="s">
        <v>997</v>
      </c>
    </row>
    <row r="6" spans="2:14" x14ac:dyDescent="0.5">
      <c r="C6" s="17" t="s">
        <v>998</v>
      </c>
      <c r="M6" s="17" t="s">
        <v>1001</v>
      </c>
      <c r="N6" s="17" t="s">
        <v>999</v>
      </c>
    </row>
    <row r="7" spans="2:14" x14ac:dyDescent="0.5">
      <c r="D7" t="s">
        <v>2111</v>
      </c>
      <c r="M7" t="s">
        <v>1002</v>
      </c>
      <c r="N7" t="s">
        <v>1000</v>
      </c>
    </row>
    <row r="8" spans="2:14" x14ac:dyDescent="0.5">
      <c r="D8" t="s">
        <v>2112</v>
      </c>
      <c r="M8" t="s">
        <v>1002</v>
      </c>
      <c r="N8" t="s">
        <v>1000</v>
      </c>
    </row>
    <row r="9" spans="2:14" x14ac:dyDescent="0.5">
      <c r="D9" s="122" t="s">
        <v>1006</v>
      </c>
      <c r="E9" s="122"/>
      <c r="F9" s="122"/>
      <c r="G9" s="122"/>
      <c r="H9" s="122"/>
      <c r="I9" s="122"/>
      <c r="M9" t="s">
        <v>1003</v>
      </c>
    </row>
    <row r="10" spans="2:14" x14ac:dyDescent="0.5">
      <c r="E10" t="s">
        <v>1004</v>
      </c>
      <c r="M10" t="s">
        <v>1003</v>
      </c>
    </row>
    <row r="11" spans="2:14" x14ac:dyDescent="0.5">
      <c r="E11" t="s">
        <v>2126</v>
      </c>
      <c r="M11" t="s">
        <v>1003</v>
      </c>
    </row>
    <row r="12" spans="2:14" x14ac:dyDescent="0.5">
      <c r="D12" s="124" t="s">
        <v>1035</v>
      </c>
      <c r="E12" s="124"/>
      <c r="F12" s="124"/>
      <c r="G12" s="124"/>
      <c r="H12" s="124"/>
      <c r="I12" s="124"/>
      <c r="J12" s="100"/>
      <c r="K12" s="100"/>
      <c r="L12" s="100"/>
      <c r="M12" t="s">
        <v>1003</v>
      </c>
    </row>
    <row r="17" spans="2:14" x14ac:dyDescent="0.5">
      <c r="B17" s="99" t="s">
        <v>1005</v>
      </c>
      <c r="C17" t="s">
        <v>997</v>
      </c>
    </row>
    <row r="19" spans="2:14" x14ac:dyDescent="0.5">
      <c r="C19" s="17" t="s">
        <v>998</v>
      </c>
      <c r="M19" s="17" t="s">
        <v>1001</v>
      </c>
      <c r="N19" s="17" t="s">
        <v>999</v>
      </c>
    </row>
    <row r="20" spans="2:14" x14ac:dyDescent="0.5">
      <c r="D20" t="s">
        <v>1682</v>
      </c>
      <c r="M20" t="s">
        <v>1002</v>
      </c>
      <c r="N20" t="s">
        <v>1000</v>
      </c>
    </row>
    <row r="21" spans="2:14" x14ac:dyDescent="0.5">
      <c r="D21" t="s">
        <v>1683</v>
      </c>
      <c r="M21" t="s">
        <v>1002</v>
      </c>
      <c r="N21" t="s">
        <v>1000</v>
      </c>
    </row>
    <row r="22" spans="2:14" x14ac:dyDescent="0.5">
      <c r="M22" t="s">
        <v>1003</v>
      </c>
    </row>
    <row r="23" spans="2:14" x14ac:dyDescent="0.5">
      <c r="M23" t="s">
        <v>1003</v>
      </c>
    </row>
    <row r="24" spans="2:14" x14ac:dyDescent="0.5">
      <c r="M24" t="s">
        <v>1003</v>
      </c>
    </row>
    <row r="26" spans="2:14" x14ac:dyDescent="0.5">
      <c r="B26" s="99" t="s">
        <v>2113</v>
      </c>
      <c r="C26" t="s">
        <v>2114</v>
      </c>
    </row>
    <row r="28" spans="2:14" x14ac:dyDescent="0.5">
      <c r="C28" s="17" t="s">
        <v>998</v>
      </c>
      <c r="M28" s="17" t="s">
        <v>1001</v>
      </c>
      <c r="N28" s="17" t="s">
        <v>999</v>
      </c>
    </row>
    <row r="29" spans="2:14" x14ac:dyDescent="0.5">
      <c r="D29" t="s">
        <v>2120</v>
      </c>
      <c r="M29" t="s">
        <v>1002</v>
      </c>
      <c r="N29" t="s">
        <v>2115</v>
      </c>
    </row>
    <row r="30" spans="2:14" x14ac:dyDescent="0.5">
      <c r="D30" t="s">
        <v>2116</v>
      </c>
      <c r="F30" s="75" t="s">
        <v>2117</v>
      </c>
      <c r="M30" t="s">
        <v>1003</v>
      </c>
    </row>
    <row r="31" spans="2:14" x14ac:dyDescent="0.5">
      <c r="E31" s="123" t="s">
        <v>2123</v>
      </c>
      <c r="F31" s="75"/>
    </row>
    <row r="32" spans="2:14" x14ac:dyDescent="0.5">
      <c r="E32" t="s">
        <v>2125</v>
      </c>
      <c r="F32" s="75"/>
    </row>
    <row r="33" spans="4:14" x14ac:dyDescent="0.5">
      <c r="E33" t="s">
        <v>2118</v>
      </c>
    </row>
    <row r="34" spans="4:14" x14ac:dyDescent="0.5">
      <c r="D34" t="s">
        <v>2121</v>
      </c>
      <c r="M34" t="s">
        <v>1002</v>
      </c>
      <c r="N34" t="s">
        <v>2115</v>
      </c>
    </row>
    <row r="35" spans="4:14" x14ac:dyDescent="0.5">
      <c r="E35" t="s">
        <v>2122</v>
      </c>
    </row>
    <row r="36" spans="4:14" x14ac:dyDescent="0.5">
      <c r="D36" t="s">
        <v>2119</v>
      </c>
    </row>
    <row r="37" spans="4:14" x14ac:dyDescent="0.5">
      <c r="E37" t="s">
        <v>2124</v>
      </c>
      <c r="M37" t="s">
        <v>1002</v>
      </c>
      <c r="N37" t="s">
        <v>2115</v>
      </c>
    </row>
    <row r="38" spans="4:14" x14ac:dyDescent="0.5">
      <c r="E38" t="s">
        <v>1003</v>
      </c>
    </row>
    <row r="39" spans="4:14" x14ac:dyDescent="0.5">
      <c r="D39" t="s">
        <v>2127</v>
      </c>
    </row>
  </sheetData>
  <mergeCells count="2">
    <mergeCell ref="D12:I12"/>
    <mergeCell ref="D9:I9"/>
  </mergeCells>
  <hyperlinks>
    <hyperlink ref="F30" r:id="rId1" xr:uid="{A2618A8E-D78A-4E28-B8E6-CE434F6854D7}"/>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682C-6E99-49E9-A626-E2B8D896C27C}">
  <sheetPr>
    <tabColor theme="4"/>
  </sheetPr>
  <dimension ref="A1:T116"/>
  <sheetViews>
    <sheetView zoomScale="85" zoomScaleNormal="85" workbookViewId="0">
      <pane ySplit="1" topLeftCell="A2" activePane="bottomLeft" state="frozen"/>
      <selection pane="bottomLeft" activeCell="B2" sqref="B2"/>
    </sheetView>
  </sheetViews>
  <sheetFormatPr defaultRowHeight="14.35" x14ac:dyDescent="0.5"/>
  <cols>
    <col min="1" max="1" width="7.8203125" style="93" bestFit="1" customWidth="1"/>
    <col min="2" max="2" width="19.1171875" style="90" customWidth="1"/>
    <col min="3" max="3" width="33.05859375" style="90" customWidth="1"/>
    <col min="4" max="4" width="34.5859375" style="90" customWidth="1"/>
    <col min="5" max="5" width="23.1171875" style="90" customWidth="1"/>
    <col min="6" max="6" width="21" style="90" customWidth="1"/>
    <col min="7" max="9" width="16.46875" style="90" customWidth="1"/>
    <col min="10" max="10" width="9.05859375" style="90" bestFit="1" customWidth="1"/>
    <col min="11" max="11" width="11" style="90" bestFit="1" customWidth="1"/>
    <col min="12" max="12" width="17.9375" style="90" bestFit="1" customWidth="1"/>
    <col min="13" max="13" width="10.5859375" style="90" bestFit="1" customWidth="1"/>
    <col min="14" max="14" width="21.41015625" style="90" customWidth="1"/>
    <col min="15" max="15" width="23.5859375" customWidth="1"/>
    <col min="16" max="19" width="22.5859375" style="95" customWidth="1"/>
    <col min="20" max="20" width="9.05859375" style="70"/>
  </cols>
  <sheetData>
    <row r="1" spans="1:20" ht="30.6" customHeight="1" x14ac:dyDescent="0.5">
      <c r="A1" s="89" t="s">
        <v>0</v>
      </c>
      <c r="B1" s="89" t="s">
        <v>1</v>
      </c>
      <c r="C1" s="89" t="s">
        <v>2</v>
      </c>
      <c r="D1" s="89" t="s">
        <v>876</v>
      </c>
      <c r="E1" s="89" t="s">
        <v>1727</v>
      </c>
      <c r="F1" s="89" t="s">
        <v>4</v>
      </c>
      <c r="G1" s="89" t="s">
        <v>5</v>
      </c>
      <c r="H1" s="89" t="s">
        <v>6</v>
      </c>
      <c r="I1" s="89" t="s">
        <v>714</v>
      </c>
      <c r="J1" s="89" t="s">
        <v>669</v>
      </c>
      <c r="K1" s="89" t="s">
        <v>7</v>
      </c>
      <c r="L1" s="89" t="s">
        <v>8</v>
      </c>
      <c r="M1" s="89" t="s">
        <v>9</v>
      </c>
      <c r="N1" s="89" t="s">
        <v>10</v>
      </c>
      <c r="O1" s="89" t="s">
        <v>11</v>
      </c>
      <c r="P1" s="89" t="s">
        <v>13</v>
      </c>
      <c r="Q1" s="101" t="s">
        <v>14</v>
      </c>
      <c r="R1" s="101" t="s">
        <v>15</v>
      </c>
      <c r="S1" s="101" t="s">
        <v>16</v>
      </c>
      <c r="T1" s="101" t="s">
        <v>17</v>
      </c>
    </row>
    <row r="2" spans="1:20" ht="258" x14ac:dyDescent="0.5">
      <c r="A2" s="93">
        <v>1</v>
      </c>
      <c r="B2" s="90" t="s">
        <v>626</v>
      </c>
      <c r="C2" s="90" t="s">
        <v>677</v>
      </c>
      <c r="D2" s="91" t="s">
        <v>678</v>
      </c>
      <c r="E2" s="91"/>
      <c r="F2" s="92" t="s">
        <v>679</v>
      </c>
      <c r="G2" s="94" t="s">
        <v>893</v>
      </c>
      <c r="H2" s="94" t="s">
        <v>893</v>
      </c>
      <c r="I2" s="93"/>
      <c r="J2" s="90" t="s">
        <v>671</v>
      </c>
      <c r="L2" s="90" t="s">
        <v>27</v>
      </c>
      <c r="M2" s="90" t="s">
        <v>674</v>
      </c>
      <c r="N2" s="90" t="s">
        <v>29</v>
      </c>
      <c r="O2" s="90"/>
      <c r="P2" s="70" t="e">
        <f>INDEX(Colours!$C$2:$C$14,MATCH(K2,Colours!$A$2:$A$14,0))</f>
        <v>#N/A</v>
      </c>
      <c r="T2" s="96">
        <f>3+TableStandards11[[#This Row],[Degree Centrality]]*17</f>
        <v>3</v>
      </c>
    </row>
    <row r="3" spans="1:20" ht="409.6" x14ac:dyDescent="0.5">
      <c r="A3" s="93">
        <v>2</v>
      </c>
      <c r="B3" s="90" t="s">
        <v>627</v>
      </c>
      <c r="C3" s="90" t="s">
        <v>680</v>
      </c>
      <c r="D3" s="91" t="s">
        <v>681</v>
      </c>
      <c r="E3" s="91"/>
      <c r="F3" s="92" t="s">
        <v>682</v>
      </c>
      <c r="G3" s="94" t="s">
        <v>893</v>
      </c>
      <c r="H3" s="94" t="s">
        <v>893</v>
      </c>
      <c r="I3" s="93"/>
      <c r="J3" s="90" t="s">
        <v>671</v>
      </c>
      <c r="L3" s="90" t="s">
        <v>27</v>
      </c>
      <c r="M3" s="90" t="s">
        <v>674</v>
      </c>
      <c r="N3" s="90" t="s">
        <v>29</v>
      </c>
      <c r="O3" s="90"/>
      <c r="P3" s="70" t="e">
        <f>INDEX(Colours!$C$2:$C$14,MATCH(K3,Colours!$A$2:$A$14,0))</f>
        <v>#N/A</v>
      </c>
      <c r="T3" s="96">
        <f>3+TableStandards11[[#This Row],[Degree Centrality]]*17</f>
        <v>3</v>
      </c>
    </row>
    <row r="4" spans="1:20" ht="315.35000000000002" x14ac:dyDescent="0.5">
      <c r="A4" s="93">
        <v>3</v>
      </c>
      <c r="B4" s="90" t="s">
        <v>628</v>
      </c>
      <c r="C4" s="90" t="s">
        <v>683</v>
      </c>
      <c r="D4" s="91" t="s">
        <v>684</v>
      </c>
      <c r="E4" s="91"/>
      <c r="F4" s="92" t="s">
        <v>685</v>
      </c>
      <c r="G4" s="94" t="s">
        <v>893</v>
      </c>
      <c r="H4" s="94" t="s">
        <v>893</v>
      </c>
      <c r="I4" s="93"/>
      <c r="J4" s="90" t="s">
        <v>671</v>
      </c>
      <c r="L4" s="90" t="s">
        <v>27</v>
      </c>
      <c r="M4" s="90" t="s">
        <v>674</v>
      </c>
      <c r="N4" s="90" t="s">
        <v>29</v>
      </c>
      <c r="O4" s="90"/>
      <c r="P4" s="70" t="e">
        <f>INDEX(Colours!$C$2:$C$14,MATCH(K4,Colours!$A$2:$A$14,0))</f>
        <v>#N/A</v>
      </c>
      <c r="T4" s="96">
        <f>3+TableStandards11[[#This Row],[Degree Centrality]]*17</f>
        <v>3</v>
      </c>
    </row>
    <row r="5" spans="1:20" ht="409.6" x14ac:dyDescent="0.5">
      <c r="A5" s="93">
        <v>4</v>
      </c>
      <c r="B5" s="90" t="s">
        <v>629</v>
      </c>
      <c r="C5" s="90" t="s">
        <v>686</v>
      </c>
      <c r="D5" s="91" t="s">
        <v>687</v>
      </c>
      <c r="E5" s="91"/>
      <c r="F5" s="92" t="s">
        <v>688</v>
      </c>
      <c r="G5" s="94" t="s">
        <v>927</v>
      </c>
      <c r="H5" s="94" t="s">
        <v>927</v>
      </c>
      <c r="I5" s="94"/>
      <c r="J5" s="90" t="s">
        <v>670</v>
      </c>
      <c r="L5" s="90" t="s">
        <v>27</v>
      </c>
      <c r="M5" s="90" t="s">
        <v>674</v>
      </c>
      <c r="N5" s="90" t="s">
        <v>29</v>
      </c>
      <c r="O5" s="90"/>
      <c r="P5" s="70" t="e">
        <f>INDEX(Colours!$C$2:$C$14,MATCH(K5,Colours!$A$2:$A$14,0))</f>
        <v>#N/A</v>
      </c>
      <c r="T5" s="96">
        <f>3+TableStandards11[[#This Row],[Degree Centrality]]*17</f>
        <v>3</v>
      </c>
    </row>
    <row r="6" spans="1:20" ht="157.69999999999999" x14ac:dyDescent="0.5">
      <c r="A6" s="93">
        <v>5</v>
      </c>
      <c r="B6" s="90" t="s">
        <v>630</v>
      </c>
      <c r="C6" s="90" t="s">
        <v>689</v>
      </c>
      <c r="D6" s="91" t="s">
        <v>690</v>
      </c>
      <c r="E6" s="91"/>
      <c r="F6" s="91" t="s">
        <v>691</v>
      </c>
      <c r="G6" s="94" t="s">
        <v>928</v>
      </c>
      <c r="H6" s="94" t="s">
        <v>928</v>
      </c>
      <c r="I6" s="94"/>
      <c r="J6" s="90" t="s">
        <v>671</v>
      </c>
      <c r="L6" s="90" t="s">
        <v>27</v>
      </c>
      <c r="M6" s="90" t="s">
        <v>674</v>
      </c>
      <c r="N6" s="90" t="s">
        <v>29</v>
      </c>
      <c r="O6" s="90"/>
      <c r="P6" s="70" t="e">
        <f>INDEX(Colours!$C$2:$C$14,MATCH(K6,Colours!$A$2:$A$14,0))</f>
        <v>#N/A</v>
      </c>
      <c r="T6" s="96">
        <f>3+TableStandards11[[#This Row],[Degree Centrality]]*17</f>
        <v>3</v>
      </c>
    </row>
    <row r="7" spans="1:20" ht="329.7" x14ac:dyDescent="0.5">
      <c r="A7" s="93">
        <v>6</v>
      </c>
      <c r="B7" s="90" t="s">
        <v>279</v>
      </c>
      <c r="C7" s="90" t="s">
        <v>1717</v>
      </c>
      <c r="D7" s="91" t="s">
        <v>1779</v>
      </c>
      <c r="E7" s="91" t="s">
        <v>1684</v>
      </c>
      <c r="F7" s="92" t="s">
        <v>282</v>
      </c>
      <c r="G7" s="91">
        <v>2000.09</v>
      </c>
      <c r="H7" s="91">
        <v>2011.05</v>
      </c>
      <c r="I7" s="91"/>
      <c r="J7" s="91" t="s">
        <v>1718</v>
      </c>
      <c r="K7" s="91"/>
      <c r="L7" s="91" t="s">
        <v>29</v>
      </c>
      <c r="M7" s="90" t="s">
        <v>691</v>
      </c>
      <c r="N7" s="90" t="s">
        <v>27</v>
      </c>
      <c r="O7" s="90" t="s">
        <v>1778</v>
      </c>
      <c r="P7" s="70" t="e">
        <f>INDEX(Colours!$C$2:$C$14,MATCH(K7,Colours!$A$2:$A$14,0))</f>
        <v>#N/A</v>
      </c>
      <c r="T7" s="96">
        <f>3+TableStandards11[[#This Row],[Degree Centrality]]*17</f>
        <v>3</v>
      </c>
    </row>
    <row r="8" spans="1:20" ht="409.6" x14ac:dyDescent="0.5">
      <c r="A8" s="93">
        <v>7</v>
      </c>
      <c r="B8" s="90" t="s">
        <v>1690</v>
      </c>
      <c r="C8" s="90" t="s">
        <v>1691</v>
      </c>
      <c r="D8" s="91" t="s">
        <v>1834</v>
      </c>
      <c r="E8" s="91" t="s">
        <v>1684</v>
      </c>
      <c r="F8" s="97" t="s">
        <v>1835</v>
      </c>
      <c r="G8" s="91">
        <v>2010.06</v>
      </c>
      <c r="H8" s="91">
        <v>2010.06</v>
      </c>
      <c r="I8" s="91"/>
      <c r="J8" s="91" t="s">
        <v>1804</v>
      </c>
      <c r="K8" s="91"/>
      <c r="L8" s="90" t="s">
        <v>29</v>
      </c>
      <c r="M8" s="90" t="s">
        <v>691</v>
      </c>
      <c r="N8" s="90" t="s">
        <v>27</v>
      </c>
      <c r="O8" s="90" t="s">
        <v>1805</v>
      </c>
      <c r="P8" s="70" t="e">
        <f>INDEX(Colours!$C$2:$C$14,MATCH(K8,Colours!$A$2:$A$14,0))</f>
        <v>#N/A</v>
      </c>
      <c r="T8" s="96">
        <f>3+TableStandards11[[#This Row],[Degree Centrality]]*17</f>
        <v>3</v>
      </c>
    </row>
    <row r="9" spans="1:20" ht="409.6" x14ac:dyDescent="0.5">
      <c r="A9" s="93">
        <v>8</v>
      </c>
      <c r="B9" s="90" t="s">
        <v>1800</v>
      </c>
      <c r="C9" s="90" t="s">
        <v>1801</v>
      </c>
      <c r="D9" s="91" t="s">
        <v>1802</v>
      </c>
      <c r="E9" s="91" t="s">
        <v>1684</v>
      </c>
      <c r="F9" s="92" t="s">
        <v>1803</v>
      </c>
      <c r="G9" s="115">
        <v>2014.01</v>
      </c>
      <c r="H9" s="115">
        <v>2014.01</v>
      </c>
      <c r="I9" s="115"/>
      <c r="J9" s="115" t="s">
        <v>1804</v>
      </c>
      <c r="K9" s="115"/>
      <c r="L9" s="115" t="s">
        <v>29</v>
      </c>
      <c r="M9" s="90" t="s">
        <v>691</v>
      </c>
      <c r="N9" s="90" t="s">
        <v>27</v>
      </c>
      <c r="O9" s="90" t="s">
        <v>1805</v>
      </c>
      <c r="P9" s="70" t="e">
        <f>INDEX(Colours!$C$2:$C$14,MATCH(K9,Colours!$A$2:$A$14,0))</f>
        <v>#N/A</v>
      </c>
      <c r="T9" s="96">
        <f>3+TableStandards11[[#This Row],[Degree Centrality]]*17</f>
        <v>3</v>
      </c>
    </row>
    <row r="10" spans="1:20" ht="372.7" x14ac:dyDescent="0.5">
      <c r="A10" s="93">
        <v>9</v>
      </c>
      <c r="B10" s="90" t="s">
        <v>1692</v>
      </c>
      <c r="C10" s="90" t="s">
        <v>1693</v>
      </c>
      <c r="D10" s="91" t="s">
        <v>1815</v>
      </c>
      <c r="E10" s="91" t="s">
        <v>1684</v>
      </c>
      <c r="F10" s="97" t="s">
        <v>1816</v>
      </c>
      <c r="G10" s="91">
        <v>2006.03</v>
      </c>
      <c r="H10" s="91">
        <v>2017.04</v>
      </c>
      <c r="I10" s="91"/>
      <c r="J10" s="91" t="s">
        <v>1804</v>
      </c>
      <c r="K10" s="91"/>
      <c r="L10" s="90" t="s">
        <v>29</v>
      </c>
      <c r="M10" s="90" t="s">
        <v>691</v>
      </c>
      <c r="N10" s="90" t="s">
        <v>27</v>
      </c>
      <c r="O10" s="90" t="s">
        <v>1805</v>
      </c>
      <c r="P10" s="70" t="e">
        <f>INDEX(Colours!$C$2:$C$14,MATCH(K10,Colours!$A$2:$A$14,0))</f>
        <v>#N/A</v>
      </c>
      <c r="T10" s="96">
        <f>3+TableStandards11[[#This Row],[Degree Centrality]]*17</f>
        <v>3</v>
      </c>
    </row>
    <row r="11" spans="1:20" ht="186.35" x14ac:dyDescent="0.5">
      <c r="A11" s="93">
        <v>10</v>
      </c>
      <c r="B11" s="90" t="s">
        <v>293</v>
      </c>
      <c r="C11" s="90" t="s">
        <v>1010</v>
      </c>
      <c r="D11" s="91" t="s">
        <v>692</v>
      </c>
      <c r="E11" s="91"/>
      <c r="F11" s="92" t="s">
        <v>693</v>
      </c>
      <c r="G11" s="94" t="s">
        <v>929</v>
      </c>
      <c r="H11" s="94" t="s">
        <v>930</v>
      </c>
      <c r="I11" s="94"/>
      <c r="J11" s="90" t="s">
        <v>670</v>
      </c>
      <c r="L11" s="90" t="s">
        <v>27</v>
      </c>
      <c r="M11" s="90" t="s">
        <v>674</v>
      </c>
      <c r="N11" s="90" t="s">
        <v>27</v>
      </c>
      <c r="O11" s="90" t="s">
        <v>667</v>
      </c>
      <c r="P11" s="70" t="e">
        <f>INDEX(Colours!$C$2:$C$14,MATCH(K11,Colours!$A$2:$A$14,0))</f>
        <v>#N/A</v>
      </c>
      <c r="T11" s="96">
        <f>3+TableStandards11[[#This Row],[Degree Centrality]]*17</f>
        <v>3</v>
      </c>
    </row>
    <row r="12" spans="1:20" ht="200.7" x14ac:dyDescent="0.5">
      <c r="A12" s="93">
        <v>11</v>
      </c>
      <c r="B12" s="90" t="s">
        <v>631</v>
      </c>
      <c r="C12" s="90" t="s">
        <v>809</v>
      </c>
      <c r="D12" s="91" t="s">
        <v>810</v>
      </c>
      <c r="E12" s="91"/>
      <c r="F12" s="97" t="s">
        <v>811</v>
      </c>
      <c r="G12" s="94" t="s">
        <v>978</v>
      </c>
      <c r="H12" s="94" t="s">
        <v>905</v>
      </c>
      <c r="I12" s="94"/>
      <c r="J12" s="90" t="s">
        <v>670</v>
      </c>
      <c r="L12" s="90" t="s">
        <v>29</v>
      </c>
      <c r="M12" s="90" t="s">
        <v>691</v>
      </c>
      <c r="N12" s="90" t="s">
        <v>27</v>
      </c>
      <c r="O12" s="90" t="s">
        <v>667</v>
      </c>
      <c r="P12" s="70" t="e">
        <f>INDEX(Colours!$C$2:$C$14,MATCH(K12,Colours!$A$2:$A$14,0))</f>
        <v>#N/A</v>
      </c>
      <c r="T12" s="96">
        <f>3+TableStandards11[[#This Row],[Degree Centrality]]*17</f>
        <v>3</v>
      </c>
    </row>
    <row r="13" spans="1:20" ht="186.35" x14ac:dyDescent="0.5">
      <c r="A13" s="93">
        <v>12</v>
      </c>
      <c r="B13" s="90" t="s">
        <v>296</v>
      </c>
      <c r="C13" s="90" t="s">
        <v>1011</v>
      </c>
      <c r="D13" s="91" t="s">
        <v>694</v>
      </c>
      <c r="E13" s="91"/>
      <c r="F13" s="92" t="s">
        <v>695</v>
      </c>
      <c r="G13" s="94" t="s">
        <v>931</v>
      </c>
      <c r="H13" s="94" t="s">
        <v>931</v>
      </c>
      <c r="I13" s="94"/>
      <c r="J13" s="90" t="s">
        <v>670</v>
      </c>
      <c r="L13" s="90" t="s">
        <v>27</v>
      </c>
      <c r="M13" s="90" t="s">
        <v>674</v>
      </c>
      <c r="N13" s="90" t="s">
        <v>27</v>
      </c>
      <c r="O13" s="90" t="s">
        <v>667</v>
      </c>
      <c r="P13" s="70" t="e">
        <f>INDEX(Colours!$C$2:$C$14,MATCH(K13,Colours!$A$2:$A$14,0))</f>
        <v>#N/A</v>
      </c>
      <c r="T13" s="96">
        <f>3+TableStandards11[[#This Row],[Degree Centrality]]*17</f>
        <v>3</v>
      </c>
    </row>
    <row r="14" spans="1:20" ht="301" x14ac:dyDescent="0.5">
      <c r="A14" s="93">
        <v>13</v>
      </c>
      <c r="B14" s="90" t="s">
        <v>298</v>
      </c>
      <c r="C14" s="90" t="s">
        <v>812</v>
      </c>
      <c r="D14" s="91" t="s">
        <v>813</v>
      </c>
      <c r="E14" s="91"/>
      <c r="F14" s="97" t="s">
        <v>814</v>
      </c>
      <c r="G14" s="94" t="s">
        <v>979</v>
      </c>
      <c r="H14" s="94" t="s">
        <v>980</v>
      </c>
      <c r="I14" s="94"/>
      <c r="J14" s="90" t="s">
        <v>672</v>
      </c>
      <c r="L14" s="90" t="s">
        <v>29</v>
      </c>
      <c r="M14" s="90" t="s">
        <v>691</v>
      </c>
      <c r="N14" s="90" t="s">
        <v>27</v>
      </c>
      <c r="O14" s="90" t="s">
        <v>667</v>
      </c>
      <c r="P14" s="70" t="e">
        <f>INDEX(Colours!$C$2:$C$14,MATCH(K14,Colours!$A$2:$A$14,0))</f>
        <v>#N/A</v>
      </c>
      <c r="T14" s="96">
        <f>3+TableStandards11[[#This Row],[Degree Centrality]]*17</f>
        <v>3</v>
      </c>
    </row>
    <row r="15" spans="1:20" ht="329.7" x14ac:dyDescent="0.5">
      <c r="A15" s="93">
        <v>14</v>
      </c>
      <c r="B15" s="90" t="s">
        <v>300</v>
      </c>
      <c r="C15" s="90" t="s">
        <v>1012</v>
      </c>
      <c r="D15" s="91" t="s">
        <v>696</v>
      </c>
      <c r="E15" s="91"/>
      <c r="F15" s="92" t="s">
        <v>697</v>
      </c>
      <c r="G15" s="94" t="s">
        <v>929</v>
      </c>
      <c r="H15" s="94" t="s">
        <v>932</v>
      </c>
      <c r="I15" s="94"/>
      <c r="J15" s="90" t="s">
        <v>670</v>
      </c>
      <c r="L15" s="90" t="s">
        <v>27</v>
      </c>
      <c r="M15" s="90" t="s">
        <v>674</v>
      </c>
      <c r="N15" s="90" t="s">
        <v>27</v>
      </c>
      <c r="O15" s="90" t="s">
        <v>667</v>
      </c>
      <c r="P15" s="70" t="e">
        <f>INDEX(Colours!$C$2:$C$14,MATCH(K15,Colours!$A$2:$A$14,0))</f>
        <v>#N/A</v>
      </c>
      <c r="T15" s="96">
        <f>3+TableStandards11[[#This Row],[Degree Centrality]]*17</f>
        <v>3</v>
      </c>
    </row>
    <row r="16" spans="1:20" ht="143.35" x14ac:dyDescent="0.5">
      <c r="A16" s="93">
        <v>15</v>
      </c>
      <c r="B16" s="90" t="s">
        <v>1040</v>
      </c>
      <c r="C16" s="90" t="s">
        <v>698</v>
      </c>
      <c r="D16" s="91" t="s">
        <v>699</v>
      </c>
      <c r="E16" s="91"/>
      <c r="F16" s="92" t="s">
        <v>700</v>
      </c>
      <c r="G16" s="94" t="s">
        <v>933</v>
      </c>
      <c r="H16" s="94" t="s">
        <v>933</v>
      </c>
      <c r="I16" s="94"/>
      <c r="J16" s="90" t="s">
        <v>670</v>
      </c>
      <c r="L16" s="90" t="s">
        <v>27</v>
      </c>
      <c r="M16" s="90" t="s">
        <v>674</v>
      </c>
      <c r="N16" s="90" t="s">
        <v>27</v>
      </c>
      <c r="O16" s="90" t="s">
        <v>667</v>
      </c>
      <c r="P16" s="70" t="e">
        <f>INDEX(Colours!$C$2:$C$14,MATCH(K16,Colours!$A$2:$A$14,0))</f>
        <v>#N/A</v>
      </c>
      <c r="T16" s="96">
        <f>3+TableStandards11[[#This Row],[Degree Centrality]]*17</f>
        <v>3</v>
      </c>
    </row>
    <row r="17" spans="1:20" ht="286.7" x14ac:dyDescent="0.5">
      <c r="A17" s="93">
        <v>16</v>
      </c>
      <c r="B17" s="90" t="s">
        <v>302</v>
      </c>
      <c r="C17" s="90" t="s">
        <v>1013</v>
      </c>
      <c r="D17" s="91" t="s">
        <v>701</v>
      </c>
      <c r="E17" s="91"/>
      <c r="F17" s="92" t="s">
        <v>702</v>
      </c>
      <c r="G17" s="94" t="s">
        <v>929</v>
      </c>
      <c r="H17" s="94" t="s">
        <v>934</v>
      </c>
      <c r="I17" s="94"/>
      <c r="J17" s="90" t="s">
        <v>670</v>
      </c>
      <c r="L17" s="90" t="s">
        <v>27</v>
      </c>
      <c r="M17" s="90" t="s">
        <v>674</v>
      </c>
      <c r="N17" s="90" t="s">
        <v>27</v>
      </c>
      <c r="O17" s="90" t="s">
        <v>667</v>
      </c>
      <c r="P17" s="70" t="e">
        <f>INDEX(Colours!$C$2:$C$14,MATCH(K17,Colours!$A$2:$A$14,0))</f>
        <v>#N/A</v>
      </c>
      <c r="T17" s="96">
        <f>3+TableStandards11[[#This Row],[Degree Centrality]]*17</f>
        <v>3</v>
      </c>
    </row>
    <row r="18" spans="1:20" ht="229.35" x14ac:dyDescent="0.5">
      <c r="A18" s="93">
        <v>17</v>
      </c>
      <c r="B18" s="90" t="s">
        <v>304</v>
      </c>
      <c r="C18" s="90" t="s">
        <v>703</v>
      </c>
      <c r="D18" s="91" t="s">
        <v>704</v>
      </c>
      <c r="E18" s="91"/>
      <c r="F18" s="92" t="s">
        <v>705</v>
      </c>
      <c r="G18" s="94" t="s">
        <v>929</v>
      </c>
      <c r="H18" s="94" t="s">
        <v>929</v>
      </c>
      <c r="I18" s="94" t="s">
        <v>706</v>
      </c>
      <c r="J18" s="90" t="s">
        <v>670</v>
      </c>
      <c r="L18" s="90" t="s">
        <v>27</v>
      </c>
      <c r="M18" s="90" t="s">
        <v>674</v>
      </c>
      <c r="N18" s="90" t="s">
        <v>27</v>
      </c>
      <c r="O18" s="90" t="s">
        <v>667</v>
      </c>
      <c r="P18" s="70" t="e">
        <f>INDEX(Colours!$C$2:$C$14,MATCH(K18,Colours!$A$2:$A$14,0))</f>
        <v>#N/A</v>
      </c>
      <c r="T18" s="96">
        <f>3+TableStandards11[[#This Row],[Degree Centrality]]*17</f>
        <v>3</v>
      </c>
    </row>
    <row r="19" spans="1:20" ht="409.6" x14ac:dyDescent="0.5">
      <c r="A19" s="93">
        <v>18</v>
      </c>
      <c r="B19" s="90" t="s">
        <v>306</v>
      </c>
      <c r="C19" s="90" t="s">
        <v>1014</v>
      </c>
      <c r="D19" s="91" t="s">
        <v>707</v>
      </c>
      <c r="E19" s="91"/>
      <c r="F19" s="92" t="s">
        <v>708</v>
      </c>
      <c r="G19" s="94" t="s">
        <v>935</v>
      </c>
      <c r="H19" s="94" t="s">
        <v>936</v>
      </c>
      <c r="I19" s="94"/>
      <c r="J19" s="90" t="s">
        <v>670</v>
      </c>
      <c r="L19" s="90" t="s">
        <v>27</v>
      </c>
      <c r="M19" s="90" t="s">
        <v>674</v>
      </c>
      <c r="N19" s="90" t="s">
        <v>27</v>
      </c>
      <c r="O19" s="90" t="s">
        <v>667</v>
      </c>
      <c r="P19" s="70" t="e">
        <f>INDEX(Colours!$C$2:$C$14,MATCH(K19,Colours!$A$2:$A$14,0))</f>
        <v>#N/A</v>
      </c>
      <c r="T19" s="96">
        <f>3+TableStandards11[[#This Row],[Degree Centrality]]*17</f>
        <v>3</v>
      </c>
    </row>
    <row r="20" spans="1:20" ht="409.6" x14ac:dyDescent="0.5">
      <c r="A20" s="93">
        <v>19</v>
      </c>
      <c r="B20" s="90" t="s">
        <v>308</v>
      </c>
      <c r="C20" s="90" t="s">
        <v>1015</v>
      </c>
      <c r="D20" s="91" t="s">
        <v>709</v>
      </c>
      <c r="E20" s="91"/>
      <c r="F20" s="92" t="s">
        <v>710</v>
      </c>
      <c r="G20" s="94" t="s">
        <v>937</v>
      </c>
      <c r="H20" s="94" t="s">
        <v>938</v>
      </c>
      <c r="I20" s="94"/>
      <c r="J20" s="90" t="s">
        <v>670</v>
      </c>
      <c r="L20" s="90" t="s">
        <v>27</v>
      </c>
      <c r="M20" s="90" t="s">
        <v>674</v>
      </c>
      <c r="N20" s="90" t="s">
        <v>27</v>
      </c>
      <c r="O20" s="90" t="s">
        <v>667</v>
      </c>
      <c r="P20" s="70" t="e">
        <f>INDEX(Colours!$C$2:$C$14,MATCH(K20,Colours!$A$2:$A$14,0))</f>
        <v>#N/A</v>
      </c>
      <c r="T20" s="96">
        <f>3+TableStandards11[[#This Row],[Degree Centrality]]*17</f>
        <v>3</v>
      </c>
    </row>
    <row r="21" spans="1:20" ht="409.6" x14ac:dyDescent="0.5">
      <c r="A21" s="93">
        <v>20</v>
      </c>
      <c r="B21" s="90" t="s">
        <v>310</v>
      </c>
      <c r="C21" s="90" t="s">
        <v>1016</v>
      </c>
      <c r="D21" s="91" t="s">
        <v>711</v>
      </c>
      <c r="E21" s="91"/>
      <c r="F21" s="92" t="s">
        <v>713</v>
      </c>
      <c r="G21" s="94" t="s">
        <v>939</v>
      </c>
      <c r="H21" s="94" t="s">
        <v>940</v>
      </c>
      <c r="I21" s="94" t="s">
        <v>712</v>
      </c>
      <c r="J21" s="90" t="s">
        <v>670</v>
      </c>
      <c r="L21" s="90" t="s">
        <v>27</v>
      </c>
      <c r="M21" s="90" t="s">
        <v>674</v>
      </c>
      <c r="N21" s="90" t="s">
        <v>27</v>
      </c>
      <c r="O21" s="90" t="s">
        <v>667</v>
      </c>
      <c r="P21" s="70" t="e">
        <f>INDEX(Colours!$C$2:$C$14,MATCH(K21,Colours!$A$2:$A$14,0))</f>
        <v>#N/A</v>
      </c>
      <c r="T21" s="96">
        <f>3+TableStandards11[[#This Row],[Degree Centrality]]*17</f>
        <v>3</v>
      </c>
    </row>
    <row r="22" spans="1:20" ht="387" x14ac:dyDescent="0.5">
      <c r="A22" s="93">
        <v>21</v>
      </c>
      <c r="B22" s="90" t="s">
        <v>312</v>
      </c>
      <c r="C22" s="90" t="s">
        <v>1017</v>
      </c>
      <c r="D22" s="91" t="s">
        <v>715</v>
      </c>
      <c r="E22" s="91"/>
      <c r="F22" s="92" t="s">
        <v>716</v>
      </c>
      <c r="G22" s="94" t="s">
        <v>929</v>
      </c>
      <c r="H22" s="94" t="s">
        <v>941</v>
      </c>
      <c r="I22" s="94"/>
      <c r="J22" s="90" t="s">
        <v>670</v>
      </c>
      <c r="L22" s="90" t="s">
        <v>27</v>
      </c>
      <c r="M22" s="90" t="s">
        <v>674</v>
      </c>
      <c r="N22" s="90" t="s">
        <v>27</v>
      </c>
      <c r="O22" s="90" t="s">
        <v>667</v>
      </c>
      <c r="P22" s="70" t="e">
        <f>INDEX(Colours!$C$2:$C$14,MATCH(K22,Colours!$A$2:$A$14,0))</f>
        <v>#N/A</v>
      </c>
      <c r="T22" s="96">
        <f>3+TableStandards11[[#This Row],[Degree Centrality]]*17</f>
        <v>3</v>
      </c>
    </row>
    <row r="23" spans="1:20" ht="409.6" x14ac:dyDescent="0.5">
      <c r="A23" s="93">
        <v>22</v>
      </c>
      <c r="B23" s="90" t="s">
        <v>314</v>
      </c>
      <c r="C23" s="90" t="s">
        <v>1018</v>
      </c>
      <c r="D23" s="91" t="s">
        <v>717</v>
      </c>
      <c r="E23" s="91"/>
      <c r="F23" s="92" t="s">
        <v>719</v>
      </c>
      <c r="G23" s="94" t="s">
        <v>929</v>
      </c>
      <c r="H23" s="94" t="s">
        <v>942</v>
      </c>
      <c r="I23" s="94" t="s">
        <v>718</v>
      </c>
      <c r="J23" s="90" t="s">
        <v>670</v>
      </c>
      <c r="L23" s="90" t="s">
        <v>27</v>
      </c>
      <c r="M23" s="90" t="s">
        <v>674</v>
      </c>
      <c r="N23" s="90" t="s">
        <v>27</v>
      </c>
      <c r="O23" s="90" t="s">
        <v>667</v>
      </c>
      <c r="P23" s="70" t="e">
        <f>INDEX(Colours!$C$2:$C$14,MATCH(K23,Colours!$A$2:$A$14,0))</f>
        <v>#N/A</v>
      </c>
      <c r="T23" s="96">
        <f>3+TableStandards11[[#This Row],[Degree Centrality]]*17</f>
        <v>3</v>
      </c>
    </row>
    <row r="24" spans="1:20" ht="200.7" x14ac:dyDescent="0.5">
      <c r="A24" s="93">
        <v>23</v>
      </c>
      <c r="B24" s="90" t="s">
        <v>1041</v>
      </c>
      <c r="C24" s="90" t="s">
        <v>1019</v>
      </c>
      <c r="D24" s="91" t="s">
        <v>720</v>
      </c>
      <c r="E24" s="91"/>
      <c r="F24" s="92" t="s">
        <v>722</v>
      </c>
      <c r="G24" s="94" t="s">
        <v>943</v>
      </c>
      <c r="H24" s="94" t="s">
        <v>944</v>
      </c>
      <c r="I24" s="94" t="s">
        <v>721</v>
      </c>
      <c r="J24" s="90" t="s">
        <v>670</v>
      </c>
      <c r="L24" s="90" t="s">
        <v>27</v>
      </c>
      <c r="M24" s="90" t="s">
        <v>674</v>
      </c>
      <c r="N24" s="90" t="s">
        <v>27</v>
      </c>
      <c r="O24" s="90" t="s">
        <v>667</v>
      </c>
      <c r="P24" s="70" t="e">
        <f>INDEX(Colours!$C$2:$C$14,MATCH(K24,Colours!$A$2:$A$14,0))</f>
        <v>#N/A</v>
      </c>
      <c r="T24" s="96">
        <f>3+TableStandards11[[#This Row],[Degree Centrality]]*17</f>
        <v>3</v>
      </c>
    </row>
    <row r="25" spans="1:20" ht="286.7" x14ac:dyDescent="0.5">
      <c r="A25" s="93">
        <v>24</v>
      </c>
      <c r="B25" s="90" t="s">
        <v>1042</v>
      </c>
      <c r="C25" s="90" t="s">
        <v>1020</v>
      </c>
      <c r="D25" s="91" t="s">
        <v>723</v>
      </c>
      <c r="E25" s="91"/>
      <c r="F25" s="92" t="s">
        <v>724</v>
      </c>
      <c r="G25" s="94" t="s">
        <v>945</v>
      </c>
      <c r="H25" s="94" t="s">
        <v>945</v>
      </c>
      <c r="I25" s="94"/>
      <c r="J25" s="90" t="s">
        <v>670</v>
      </c>
      <c r="L25" s="90" t="s">
        <v>27</v>
      </c>
      <c r="M25" s="90" t="s">
        <v>674</v>
      </c>
      <c r="N25" s="90" t="s">
        <v>27</v>
      </c>
      <c r="O25" s="90" t="s">
        <v>667</v>
      </c>
      <c r="P25" s="70" t="e">
        <f>INDEX(Colours!$C$2:$C$14,MATCH(K25,Colours!$A$2:$A$14,0))</f>
        <v>#N/A</v>
      </c>
      <c r="T25" s="96">
        <f>3+TableStandards11[[#This Row],[Degree Centrality]]*17</f>
        <v>3</v>
      </c>
    </row>
    <row r="26" spans="1:20" ht="286.7" x14ac:dyDescent="0.5">
      <c r="A26" s="93">
        <v>25</v>
      </c>
      <c r="B26" s="90" t="s">
        <v>1043</v>
      </c>
      <c r="C26" s="90" t="s">
        <v>1021</v>
      </c>
      <c r="D26" s="91" t="s">
        <v>725</v>
      </c>
      <c r="E26" s="91"/>
      <c r="F26" s="92" t="s">
        <v>726</v>
      </c>
      <c r="G26" s="94" t="s">
        <v>934</v>
      </c>
      <c r="H26" s="94" t="s">
        <v>946</v>
      </c>
      <c r="I26" s="94"/>
      <c r="J26" s="90" t="s">
        <v>670</v>
      </c>
      <c r="L26" s="90" t="s">
        <v>27</v>
      </c>
      <c r="M26" s="90" t="s">
        <v>674</v>
      </c>
      <c r="N26" s="90" t="s">
        <v>27</v>
      </c>
      <c r="O26" s="90" t="s">
        <v>667</v>
      </c>
      <c r="P26" s="70" t="e">
        <f>INDEX(Colours!$C$2:$C$14,MATCH(K26,Colours!$A$2:$A$14,0))</f>
        <v>#N/A</v>
      </c>
      <c r="T26" s="96">
        <f>3+TableStandards11[[#This Row],[Degree Centrality]]*17</f>
        <v>3</v>
      </c>
    </row>
    <row r="27" spans="1:20" ht="157.69999999999999" x14ac:dyDescent="0.5">
      <c r="A27" s="93">
        <v>26</v>
      </c>
      <c r="B27" s="90" t="s">
        <v>1044</v>
      </c>
      <c r="C27" s="90" t="s">
        <v>1022</v>
      </c>
      <c r="D27" s="91" t="s">
        <v>727</v>
      </c>
      <c r="E27" s="91"/>
      <c r="F27" s="92" t="s">
        <v>728</v>
      </c>
      <c r="G27" s="94" t="s">
        <v>937</v>
      </c>
      <c r="H27" s="94" t="s">
        <v>947</v>
      </c>
      <c r="I27" s="94"/>
      <c r="J27" s="90" t="s">
        <v>670</v>
      </c>
      <c r="L27" s="90" t="s">
        <v>27</v>
      </c>
      <c r="M27" s="90" t="s">
        <v>674</v>
      </c>
      <c r="N27" s="90" t="s">
        <v>27</v>
      </c>
      <c r="O27" s="90" t="s">
        <v>667</v>
      </c>
      <c r="P27" s="70" t="e">
        <f>INDEX(Colours!$C$2:$C$14,MATCH(K27,Colours!$A$2:$A$14,0))</f>
        <v>#N/A</v>
      </c>
      <c r="T27" s="96">
        <f>3+TableStandards11[[#This Row],[Degree Centrality]]*17</f>
        <v>3</v>
      </c>
    </row>
    <row r="28" spans="1:20" ht="243.7" x14ac:dyDescent="0.5">
      <c r="A28" s="93">
        <v>27</v>
      </c>
      <c r="B28" s="90" t="s">
        <v>316</v>
      </c>
      <c r="C28" s="90" t="s">
        <v>1023</v>
      </c>
      <c r="D28" s="91" t="s">
        <v>729</v>
      </c>
      <c r="E28" s="91"/>
      <c r="F28" s="92" t="s">
        <v>730</v>
      </c>
      <c r="G28" s="94" t="s">
        <v>937</v>
      </c>
      <c r="H28" s="94" t="s">
        <v>948</v>
      </c>
      <c r="I28" s="94"/>
      <c r="J28" s="90" t="s">
        <v>670</v>
      </c>
      <c r="L28" s="90" t="s">
        <v>27</v>
      </c>
      <c r="M28" s="90" t="s">
        <v>674</v>
      </c>
      <c r="N28" s="90" t="s">
        <v>27</v>
      </c>
      <c r="O28" s="90" t="s">
        <v>667</v>
      </c>
      <c r="P28" s="70" t="e">
        <f>INDEX(Colours!$C$2:$C$14,MATCH(K28,Colours!$A$2:$A$14,0))</f>
        <v>#N/A</v>
      </c>
      <c r="T28" s="96">
        <f>3+TableStandards11[[#This Row],[Degree Centrality]]*17</f>
        <v>3</v>
      </c>
    </row>
    <row r="29" spans="1:20" ht="401.35" x14ac:dyDescent="0.5">
      <c r="A29" s="93">
        <v>28</v>
      </c>
      <c r="B29" s="90" t="s">
        <v>318</v>
      </c>
      <c r="C29" s="90" t="s">
        <v>1024</v>
      </c>
      <c r="D29" s="91" t="s">
        <v>731</v>
      </c>
      <c r="E29" s="91"/>
      <c r="F29" s="92" t="s">
        <v>732</v>
      </c>
      <c r="G29" s="94" t="s">
        <v>949</v>
      </c>
      <c r="H29" s="94" t="s">
        <v>950</v>
      </c>
      <c r="I29" s="94"/>
      <c r="J29" s="90" t="s">
        <v>670</v>
      </c>
      <c r="L29" s="90" t="s">
        <v>27</v>
      </c>
      <c r="M29" s="90" t="s">
        <v>674</v>
      </c>
      <c r="N29" s="90" t="s">
        <v>27</v>
      </c>
      <c r="O29" s="90" t="s">
        <v>667</v>
      </c>
      <c r="P29" s="70" t="e">
        <f>INDEX(Colours!$C$2:$C$14,MATCH(K29,Colours!$A$2:$A$14,0))</f>
        <v>#N/A</v>
      </c>
      <c r="T29" s="96">
        <f>3+TableStandards11[[#This Row],[Degree Centrality]]*17</f>
        <v>3</v>
      </c>
    </row>
    <row r="30" spans="1:20" ht="409.6" x14ac:dyDescent="0.5">
      <c r="A30" s="93">
        <v>29</v>
      </c>
      <c r="B30" s="90" t="s">
        <v>320</v>
      </c>
      <c r="C30" s="90" t="s">
        <v>1025</v>
      </c>
      <c r="D30" s="91" t="s">
        <v>733</v>
      </c>
      <c r="E30" s="91"/>
      <c r="F30" s="92" t="s">
        <v>734</v>
      </c>
      <c r="G30" s="94" t="s">
        <v>951</v>
      </c>
      <c r="H30" s="94" t="s">
        <v>952</v>
      </c>
      <c r="I30" s="94"/>
      <c r="J30" s="90" t="s">
        <v>670</v>
      </c>
      <c r="L30" s="90" t="s">
        <v>27</v>
      </c>
      <c r="M30" s="90" t="s">
        <v>674</v>
      </c>
      <c r="N30" s="90" t="s">
        <v>27</v>
      </c>
      <c r="O30" s="90" t="s">
        <v>667</v>
      </c>
      <c r="P30" s="70" t="e">
        <f>INDEX(Colours!$C$2:$C$14,MATCH(K30,Colours!$A$2:$A$14,0))</f>
        <v>#N/A</v>
      </c>
      <c r="T30" s="96">
        <f>3+TableStandards11[[#This Row],[Degree Centrality]]*17</f>
        <v>3</v>
      </c>
    </row>
    <row r="31" spans="1:20" ht="157.69999999999999" x14ac:dyDescent="0.5">
      <c r="A31" s="93">
        <v>30</v>
      </c>
      <c r="B31" s="90" t="s">
        <v>632</v>
      </c>
      <c r="C31" s="90" t="s">
        <v>815</v>
      </c>
      <c r="D31" s="91" t="s">
        <v>816</v>
      </c>
      <c r="E31" s="91"/>
      <c r="F31" s="97" t="s">
        <v>817</v>
      </c>
      <c r="G31" s="94" t="s">
        <v>981</v>
      </c>
      <c r="H31" s="94" t="s">
        <v>981</v>
      </c>
      <c r="I31" s="94"/>
      <c r="J31" s="90" t="s">
        <v>670</v>
      </c>
      <c r="L31" s="90" t="s">
        <v>29</v>
      </c>
      <c r="M31" s="90" t="s">
        <v>691</v>
      </c>
      <c r="N31" s="90" t="s">
        <v>27</v>
      </c>
      <c r="O31" s="90" t="s">
        <v>667</v>
      </c>
      <c r="P31" s="70" t="e">
        <f>INDEX(Colours!$C$2:$C$14,MATCH(K31,Colours!$A$2:$A$14,0))</f>
        <v>#N/A</v>
      </c>
      <c r="T31" s="96">
        <f>3+TableStandards11[[#This Row],[Degree Centrality]]*17</f>
        <v>3</v>
      </c>
    </row>
    <row r="32" spans="1:20" ht="286.7" x14ac:dyDescent="0.5">
      <c r="A32" s="93">
        <v>31</v>
      </c>
      <c r="B32" s="90" t="s">
        <v>1045</v>
      </c>
      <c r="C32" s="90" t="s">
        <v>1026</v>
      </c>
      <c r="D32" s="91" t="s">
        <v>735</v>
      </c>
      <c r="E32" s="91"/>
      <c r="F32" s="92" t="s">
        <v>736</v>
      </c>
      <c r="G32" s="94" t="s">
        <v>952</v>
      </c>
      <c r="H32" s="94" t="s">
        <v>952</v>
      </c>
      <c r="I32" s="94"/>
      <c r="J32" s="90" t="s">
        <v>670</v>
      </c>
      <c r="L32" s="90" t="s">
        <v>27</v>
      </c>
      <c r="M32" s="90" t="s">
        <v>674</v>
      </c>
      <c r="N32" s="90" t="s">
        <v>27</v>
      </c>
      <c r="O32" s="90" t="s">
        <v>667</v>
      </c>
      <c r="P32" s="70" t="e">
        <f>INDEX(Colours!$C$2:$C$14,MATCH(K32,Colours!$A$2:$A$14,0))</f>
        <v>#N/A</v>
      </c>
      <c r="T32" s="96">
        <f>3+TableStandards11[[#This Row],[Degree Centrality]]*17</f>
        <v>3</v>
      </c>
    </row>
    <row r="33" spans="1:20" ht="157.69999999999999" x14ac:dyDescent="0.5">
      <c r="A33" s="93">
        <v>32</v>
      </c>
      <c r="B33" s="90" t="s">
        <v>1046</v>
      </c>
      <c r="C33" s="90" t="s">
        <v>737</v>
      </c>
      <c r="D33" s="91" t="s">
        <v>738</v>
      </c>
      <c r="E33" s="91"/>
      <c r="F33" s="92" t="s">
        <v>739</v>
      </c>
      <c r="G33" s="94" t="s">
        <v>933</v>
      </c>
      <c r="H33" s="94" t="s">
        <v>933</v>
      </c>
      <c r="I33" s="94"/>
      <c r="J33" s="90" t="s">
        <v>670</v>
      </c>
      <c r="L33" s="90" t="s">
        <v>27</v>
      </c>
      <c r="M33" s="90" t="s">
        <v>674</v>
      </c>
      <c r="N33" s="90" t="s">
        <v>27</v>
      </c>
      <c r="O33" s="90" t="s">
        <v>667</v>
      </c>
      <c r="P33" s="70" t="e">
        <f>INDEX(Colours!$C$2:$C$14,MATCH(K33,Colours!$A$2:$A$14,0))</f>
        <v>#N/A</v>
      </c>
      <c r="T33" s="96">
        <f>3+TableStandards11[[#This Row],[Degree Centrality]]*17</f>
        <v>3</v>
      </c>
    </row>
    <row r="34" spans="1:20" ht="186.35" x14ac:dyDescent="0.5">
      <c r="A34" s="93">
        <v>33</v>
      </c>
      <c r="B34" s="90" t="s">
        <v>322</v>
      </c>
      <c r="C34" s="90" t="s">
        <v>1027</v>
      </c>
      <c r="D34" s="91" t="s">
        <v>740</v>
      </c>
      <c r="E34" s="91"/>
      <c r="F34" s="92" t="s">
        <v>741</v>
      </c>
      <c r="G34" s="94" t="s">
        <v>953</v>
      </c>
      <c r="H34" s="94" t="s">
        <v>954</v>
      </c>
      <c r="I34" s="94"/>
      <c r="J34" s="90" t="s">
        <v>670</v>
      </c>
      <c r="L34" s="90" t="s">
        <v>27</v>
      </c>
      <c r="M34" s="90" t="s">
        <v>674</v>
      </c>
      <c r="N34" s="90" t="s">
        <v>27</v>
      </c>
      <c r="O34" s="90" t="s">
        <v>667</v>
      </c>
      <c r="P34" s="70" t="e">
        <f>INDEX(Colours!$C$2:$C$14,MATCH(K34,Colours!$A$2:$A$14,0))</f>
        <v>#N/A</v>
      </c>
      <c r="T34" s="96">
        <f>3+TableStandards11[[#This Row],[Degree Centrality]]*17</f>
        <v>3</v>
      </c>
    </row>
    <row r="35" spans="1:20" ht="86" x14ac:dyDescent="0.5">
      <c r="A35" s="93">
        <v>34</v>
      </c>
      <c r="B35" s="90" t="s">
        <v>324</v>
      </c>
      <c r="C35" s="90" t="s">
        <v>818</v>
      </c>
      <c r="D35" s="91" t="s">
        <v>819</v>
      </c>
      <c r="E35" s="91"/>
      <c r="F35" s="97" t="s">
        <v>820</v>
      </c>
      <c r="G35" s="94" t="s">
        <v>982</v>
      </c>
      <c r="H35" s="94" t="s">
        <v>944</v>
      </c>
      <c r="I35" s="94"/>
      <c r="J35" s="90" t="s">
        <v>671</v>
      </c>
      <c r="L35" s="90" t="s">
        <v>29</v>
      </c>
      <c r="M35" s="90" t="s">
        <v>691</v>
      </c>
      <c r="N35" s="90" t="s">
        <v>27</v>
      </c>
      <c r="O35" s="90" t="s">
        <v>667</v>
      </c>
      <c r="P35" s="70" t="e">
        <f>INDEX(Colours!$C$2:$C$14,MATCH(K35,Colours!$A$2:$A$14,0))</f>
        <v>#N/A</v>
      </c>
      <c r="T35" s="96">
        <f>3+TableStandards11[[#This Row],[Degree Centrality]]*17</f>
        <v>3</v>
      </c>
    </row>
    <row r="36" spans="1:20" ht="172" x14ac:dyDescent="0.5">
      <c r="A36" s="93">
        <v>35</v>
      </c>
      <c r="B36" s="90" t="s">
        <v>326</v>
      </c>
      <c r="C36" s="90" t="s">
        <v>742</v>
      </c>
      <c r="D36" s="91" t="s">
        <v>743</v>
      </c>
      <c r="E36" s="91"/>
      <c r="F36" s="92" t="s">
        <v>744</v>
      </c>
      <c r="G36" s="94" t="s">
        <v>955</v>
      </c>
      <c r="H36" s="94" t="s">
        <v>955</v>
      </c>
      <c r="I36" s="94"/>
      <c r="J36" s="90" t="s">
        <v>670</v>
      </c>
      <c r="L36" s="90" t="s">
        <v>27</v>
      </c>
      <c r="M36" s="90" t="s">
        <v>674</v>
      </c>
      <c r="N36" s="90" t="s">
        <v>27</v>
      </c>
      <c r="O36" s="90" t="s">
        <v>667</v>
      </c>
      <c r="P36" s="70" t="e">
        <f>INDEX(Colours!$C$2:$C$14,MATCH(K36,Colours!$A$2:$A$14,0))</f>
        <v>#N/A</v>
      </c>
      <c r="T36" s="96">
        <f>3+TableStandards11[[#This Row],[Degree Centrality]]*17</f>
        <v>3</v>
      </c>
    </row>
    <row r="37" spans="1:20" ht="409.6" x14ac:dyDescent="0.5">
      <c r="A37" s="93">
        <v>36</v>
      </c>
      <c r="B37" s="90" t="s">
        <v>633</v>
      </c>
      <c r="C37" s="90" t="s">
        <v>821</v>
      </c>
      <c r="D37" s="91" t="s">
        <v>822</v>
      </c>
      <c r="E37" s="91"/>
      <c r="F37" s="97" t="s">
        <v>823</v>
      </c>
      <c r="G37" s="94" t="s">
        <v>983</v>
      </c>
      <c r="H37" s="94" t="s">
        <v>962</v>
      </c>
      <c r="I37" s="94"/>
      <c r="J37" s="90" t="s">
        <v>670</v>
      </c>
      <c r="L37" s="90" t="s">
        <v>29</v>
      </c>
      <c r="M37" s="90" t="s">
        <v>691</v>
      </c>
      <c r="N37" s="90" t="s">
        <v>27</v>
      </c>
      <c r="O37" s="90" t="s">
        <v>667</v>
      </c>
      <c r="P37" s="70" t="e">
        <f>INDEX(Colours!$C$2:$C$14,MATCH(K37,Colours!$A$2:$A$14,0))</f>
        <v>#N/A</v>
      </c>
      <c r="T37" s="96">
        <f>3+TableStandards11[[#This Row],[Degree Centrality]]*17</f>
        <v>3</v>
      </c>
    </row>
    <row r="38" spans="1:20" ht="258" x14ac:dyDescent="0.5">
      <c r="A38" s="93">
        <v>37</v>
      </c>
      <c r="B38" s="90" t="s">
        <v>328</v>
      </c>
      <c r="C38" s="90" t="s">
        <v>1028</v>
      </c>
      <c r="D38" s="91" t="s">
        <v>745</v>
      </c>
      <c r="E38" s="91"/>
      <c r="F38" s="92" t="s">
        <v>746</v>
      </c>
      <c r="G38" s="94" t="s">
        <v>956</v>
      </c>
      <c r="H38" s="94" t="s">
        <v>957</v>
      </c>
      <c r="I38" s="94"/>
      <c r="J38" s="90" t="s">
        <v>670</v>
      </c>
      <c r="L38" s="90" t="s">
        <v>27</v>
      </c>
      <c r="M38" s="90" t="s">
        <v>674</v>
      </c>
      <c r="N38" s="90" t="s">
        <v>27</v>
      </c>
      <c r="O38" s="90" t="s">
        <v>667</v>
      </c>
      <c r="P38" s="70" t="e">
        <f>INDEX(Colours!$C$2:$C$14,MATCH(K38,Colours!$A$2:$A$14,0))</f>
        <v>#N/A</v>
      </c>
      <c r="T38" s="96">
        <f>3+TableStandards11[[#This Row],[Degree Centrality]]*17</f>
        <v>3</v>
      </c>
    </row>
    <row r="39" spans="1:20" ht="200.7" x14ac:dyDescent="0.5">
      <c r="A39" s="93">
        <v>38</v>
      </c>
      <c r="B39" s="90" t="s">
        <v>330</v>
      </c>
      <c r="C39" s="90" t="s">
        <v>747</v>
      </c>
      <c r="D39" s="91" t="s">
        <v>748</v>
      </c>
      <c r="E39" s="91"/>
      <c r="F39" s="92" t="s">
        <v>749</v>
      </c>
      <c r="G39" s="94" t="s">
        <v>958</v>
      </c>
      <c r="H39" s="94" t="s">
        <v>958</v>
      </c>
      <c r="I39" s="94"/>
      <c r="J39" s="90" t="s">
        <v>670</v>
      </c>
      <c r="L39" s="90" t="s">
        <v>27</v>
      </c>
      <c r="M39" s="90" t="s">
        <v>674</v>
      </c>
      <c r="N39" s="90" t="s">
        <v>27</v>
      </c>
      <c r="O39" s="90" t="s">
        <v>667</v>
      </c>
      <c r="P39" s="70" t="e">
        <f>INDEX(Colours!$C$2:$C$14,MATCH(K39,Colours!$A$2:$A$14,0))</f>
        <v>#N/A</v>
      </c>
      <c r="T39" s="96">
        <f>3+TableStandards11[[#This Row],[Degree Centrality]]*17</f>
        <v>3</v>
      </c>
    </row>
    <row r="40" spans="1:20" ht="129" x14ac:dyDescent="0.5">
      <c r="A40" s="93">
        <v>39</v>
      </c>
      <c r="B40" s="90" t="s">
        <v>332</v>
      </c>
      <c r="C40" s="90" t="s">
        <v>750</v>
      </c>
      <c r="D40" s="91" t="s">
        <v>751</v>
      </c>
      <c r="E40" s="91"/>
      <c r="F40" s="92" t="s">
        <v>752</v>
      </c>
      <c r="G40" s="94" t="s">
        <v>951</v>
      </c>
      <c r="H40" s="94" t="s">
        <v>951</v>
      </c>
      <c r="I40" s="94"/>
      <c r="J40" s="90" t="s">
        <v>670</v>
      </c>
      <c r="L40" s="90" t="s">
        <v>27</v>
      </c>
      <c r="M40" s="90" t="s">
        <v>674</v>
      </c>
      <c r="N40" s="90" t="s">
        <v>27</v>
      </c>
      <c r="O40" s="90" t="s">
        <v>667</v>
      </c>
      <c r="P40" s="70" t="e">
        <f>INDEX(Colours!$C$2:$C$14,MATCH(K40,Colours!$A$2:$A$14,0))</f>
        <v>#N/A</v>
      </c>
      <c r="T40" s="96">
        <f>3+TableStandards11[[#This Row],[Degree Centrality]]*17</f>
        <v>3</v>
      </c>
    </row>
    <row r="41" spans="1:20" ht="129" x14ac:dyDescent="0.5">
      <c r="A41" s="93">
        <v>40</v>
      </c>
      <c r="B41" s="90" t="s">
        <v>1047</v>
      </c>
      <c r="C41" s="90" t="s">
        <v>753</v>
      </c>
      <c r="D41" s="91" t="s">
        <v>754</v>
      </c>
      <c r="E41" s="91"/>
      <c r="F41" s="92" t="s">
        <v>755</v>
      </c>
      <c r="G41" s="94" t="s">
        <v>958</v>
      </c>
      <c r="H41" s="94" t="s">
        <v>958</v>
      </c>
      <c r="I41" s="94"/>
      <c r="J41" s="90" t="s">
        <v>670</v>
      </c>
      <c r="L41" s="90" t="s">
        <v>27</v>
      </c>
      <c r="M41" s="90" t="s">
        <v>674</v>
      </c>
      <c r="N41" s="90" t="s">
        <v>27</v>
      </c>
      <c r="O41" s="90" t="s">
        <v>667</v>
      </c>
      <c r="P41" s="70" t="e">
        <f>INDEX(Colours!$C$2:$C$14,MATCH(K41,Colours!$A$2:$A$14,0))</f>
        <v>#N/A</v>
      </c>
      <c r="T41" s="96">
        <f>3+TableStandards11[[#This Row],[Degree Centrality]]*17</f>
        <v>3</v>
      </c>
    </row>
    <row r="42" spans="1:20" ht="143.35" x14ac:dyDescent="0.5">
      <c r="A42" s="93">
        <v>41</v>
      </c>
      <c r="B42" s="90" t="s">
        <v>1048</v>
      </c>
      <c r="C42" s="90" t="s">
        <v>1029</v>
      </c>
      <c r="D42" s="91" t="s">
        <v>756</v>
      </c>
      <c r="E42" s="91"/>
      <c r="F42" s="92" t="s">
        <v>758</v>
      </c>
      <c r="G42" s="94" t="s">
        <v>951</v>
      </c>
      <c r="H42" s="94" t="s">
        <v>959</v>
      </c>
      <c r="I42" s="94" t="s">
        <v>757</v>
      </c>
      <c r="J42" s="90" t="s">
        <v>670</v>
      </c>
      <c r="L42" s="90" t="s">
        <v>27</v>
      </c>
      <c r="M42" s="90" t="s">
        <v>674</v>
      </c>
      <c r="N42" s="90" t="s">
        <v>27</v>
      </c>
      <c r="O42" s="90" t="s">
        <v>667</v>
      </c>
      <c r="P42" s="70" t="e">
        <f>INDEX(Colours!$C$2:$C$14,MATCH(K42,Colours!$A$2:$A$14,0))</f>
        <v>#N/A</v>
      </c>
      <c r="T42" s="96">
        <f>3+TableStandards11[[#This Row],[Degree Centrality]]*17</f>
        <v>3</v>
      </c>
    </row>
    <row r="43" spans="1:20" ht="409.6" x14ac:dyDescent="0.5">
      <c r="A43" s="93">
        <v>42</v>
      </c>
      <c r="B43" s="90" t="s">
        <v>334</v>
      </c>
      <c r="C43" s="90" t="s">
        <v>1030</v>
      </c>
      <c r="D43" s="91" t="s">
        <v>759</v>
      </c>
      <c r="E43" s="91"/>
      <c r="F43" s="92" t="s">
        <v>760</v>
      </c>
      <c r="G43" s="94" t="s">
        <v>960</v>
      </c>
      <c r="H43" s="94" t="s">
        <v>961</v>
      </c>
      <c r="I43" s="94"/>
      <c r="J43" s="90" t="s">
        <v>670</v>
      </c>
      <c r="L43" s="90" t="s">
        <v>27</v>
      </c>
      <c r="M43" s="90" t="s">
        <v>674</v>
      </c>
      <c r="N43" s="90" t="s">
        <v>27</v>
      </c>
      <c r="O43" s="90" t="s">
        <v>667</v>
      </c>
      <c r="P43" s="70" t="e">
        <f>INDEX(Colours!$C$2:$C$14,MATCH(K43,Colours!$A$2:$A$14,0))</f>
        <v>#N/A</v>
      </c>
      <c r="T43" s="96">
        <f>3+TableStandards11[[#This Row],[Degree Centrality]]*17</f>
        <v>3</v>
      </c>
    </row>
    <row r="44" spans="1:20" ht="409.6" x14ac:dyDescent="0.5">
      <c r="A44" s="93">
        <v>43</v>
      </c>
      <c r="B44" s="90" t="s">
        <v>1049</v>
      </c>
      <c r="C44" s="90" t="s">
        <v>1031</v>
      </c>
      <c r="D44" s="91" t="s">
        <v>761</v>
      </c>
      <c r="E44" s="91"/>
      <c r="F44" s="92" t="s">
        <v>762</v>
      </c>
      <c r="G44" s="94" t="s">
        <v>960</v>
      </c>
      <c r="H44" s="94" t="s">
        <v>962</v>
      </c>
      <c r="I44" s="94"/>
      <c r="J44" s="90" t="s">
        <v>670</v>
      </c>
      <c r="L44" s="90" t="s">
        <v>27</v>
      </c>
      <c r="M44" s="90" t="s">
        <v>674</v>
      </c>
      <c r="N44" s="90" t="s">
        <v>27</v>
      </c>
      <c r="O44" s="90" t="s">
        <v>667</v>
      </c>
      <c r="P44" s="70" t="e">
        <f>INDEX(Colours!$C$2:$C$14,MATCH(K44,Colours!$A$2:$A$14,0))</f>
        <v>#N/A</v>
      </c>
      <c r="T44" s="96">
        <f>3+TableStandards11[[#This Row],[Degree Centrality]]*17</f>
        <v>3</v>
      </c>
    </row>
    <row r="45" spans="1:20" ht="157.69999999999999" x14ac:dyDescent="0.5">
      <c r="A45" s="93">
        <v>44</v>
      </c>
      <c r="B45" s="90" t="s">
        <v>336</v>
      </c>
      <c r="C45" s="90" t="s">
        <v>763</v>
      </c>
      <c r="D45" s="91" t="s">
        <v>764</v>
      </c>
      <c r="E45" s="91"/>
      <c r="F45" s="92" t="s">
        <v>765</v>
      </c>
      <c r="G45" s="94" t="s">
        <v>956</v>
      </c>
      <c r="H45" s="94" t="s">
        <v>956</v>
      </c>
      <c r="I45" s="94"/>
      <c r="J45" s="90" t="s">
        <v>670</v>
      </c>
      <c r="L45" s="90" t="s">
        <v>27</v>
      </c>
      <c r="M45" s="90" t="s">
        <v>674</v>
      </c>
      <c r="N45" s="90" t="s">
        <v>27</v>
      </c>
      <c r="O45" s="90" t="s">
        <v>667</v>
      </c>
      <c r="P45" s="70" t="e">
        <f>INDEX(Colours!$C$2:$C$14,MATCH(K45,Colours!$A$2:$A$14,0))</f>
        <v>#N/A</v>
      </c>
      <c r="T45" s="96">
        <f>3+TableStandards11[[#This Row],[Degree Centrality]]*17</f>
        <v>3</v>
      </c>
    </row>
    <row r="46" spans="1:20" ht="372.7" x14ac:dyDescent="0.5">
      <c r="A46" s="93">
        <v>45</v>
      </c>
      <c r="B46" s="90" t="s">
        <v>338</v>
      </c>
      <c r="C46" s="90" t="s">
        <v>766</v>
      </c>
      <c r="D46" s="91" t="s">
        <v>767</v>
      </c>
      <c r="E46" s="91"/>
      <c r="F46" s="92" t="s">
        <v>768</v>
      </c>
      <c r="G46" s="94" t="s">
        <v>963</v>
      </c>
      <c r="H46" s="94" t="s">
        <v>963</v>
      </c>
      <c r="I46" s="94"/>
      <c r="J46" s="90" t="s">
        <v>670</v>
      </c>
      <c r="L46" s="90" t="s">
        <v>27</v>
      </c>
      <c r="M46" s="90" t="s">
        <v>674</v>
      </c>
      <c r="N46" s="90" t="s">
        <v>27</v>
      </c>
      <c r="O46" s="90" t="s">
        <v>667</v>
      </c>
      <c r="P46" s="70" t="e">
        <f>INDEX(Colours!$C$2:$C$14,MATCH(K46,Colours!$A$2:$A$14,0))</f>
        <v>#N/A</v>
      </c>
      <c r="T46" s="96">
        <f>3+TableStandards11[[#This Row],[Degree Centrality]]*17</f>
        <v>3</v>
      </c>
    </row>
    <row r="47" spans="1:20" ht="409.6" x14ac:dyDescent="0.5">
      <c r="A47" s="93">
        <v>46</v>
      </c>
      <c r="B47" s="90" t="s">
        <v>340</v>
      </c>
      <c r="C47" s="90" t="s">
        <v>1032</v>
      </c>
      <c r="D47" s="91" t="s">
        <v>769</v>
      </c>
      <c r="E47" s="91"/>
      <c r="F47" s="92" t="s">
        <v>770</v>
      </c>
      <c r="G47" s="94" t="s">
        <v>964</v>
      </c>
      <c r="H47" s="94" t="s">
        <v>964</v>
      </c>
      <c r="I47" s="94"/>
      <c r="J47" s="90" t="s">
        <v>670</v>
      </c>
      <c r="L47" s="90" t="s">
        <v>27</v>
      </c>
      <c r="M47" s="90" t="s">
        <v>674</v>
      </c>
      <c r="N47" s="90" t="s">
        <v>27</v>
      </c>
      <c r="O47" s="90" t="s">
        <v>667</v>
      </c>
      <c r="P47" s="70" t="e">
        <f>INDEX(Colours!$C$2:$C$14,MATCH(K47,Colours!$A$2:$A$14,0))</f>
        <v>#N/A</v>
      </c>
      <c r="T47" s="96">
        <f>3+TableStandards11[[#This Row],[Degree Centrality]]*17</f>
        <v>3</v>
      </c>
    </row>
    <row r="48" spans="1:20" ht="409.6" x14ac:dyDescent="0.5">
      <c r="A48" s="93">
        <v>47</v>
      </c>
      <c r="B48" s="90" t="s">
        <v>342</v>
      </c>
      <c r="C48" s="90" t="s">
        <v>1033</v>
      </c>
      <c r="D48" s="91" t="s">
        <v>771</v>
      </c>
      <c r="E48" s="91"/>
      <c r="F48" s="92" t="s">
        <v>772</v>
      </c>
      <c r="G48" s="94" t="s">
        <v>965</v>
      </c>
      <c r="H48" s="94" t="s">
        <v>965</v>
      </c>
      <c r="I48" s="94"/>
      <c r="J48" s="90" t="s">
        <v>670</v>
      </c>
      <c r="L48" s="90" t="s">
        <v>27</v>
      </c>
      <c r="M48" s="90" t="s">
        <v>674</v>
      </c>
      <c r="N48" s="90" t="s">
        <v>27</v>
      </c>
      <c r="O48" s="90" t="s">
        <v>667</v>
      </c>
      <c r="P48" s="70" t="e">
        <f>INDEX(Colours!$C$2:$C$14,MATCH(K48,Colours!$A$2:$A$14,0))</f>
        <v>#N/A</v>
      </c>
      <c r="T48" s="96">
        <f>3+TableStandards11[[#This Row],[Degree Centrality]]*17</f>
        <v>3</v>
      </c>
    </row>
    <row r="49" spans="1:20" ht="200.7" x14ac:dyDescent="0.5">
      <c r="A49" s="93">
        <v>48</v>
      </c>
      <c r="B49" s="90" t="s">
        <v>1037</v>
      </c>
      <c r="C49" s="90" t="s">
        <v>1034</v>
      </c>
      <c r="D49" s="91" t="s">
        <v>773</v>
      </c>
      <c r="E49" s="91"/>
      <c r="F49" s="92" t="s">
        <v>775</v>
      </c>
      <c r="G49" s="94" t="s">
        <v>965</v>
      </c>
      <c r="H49" s="94" t="s">
        <v>965</v>
      </c>
      <c r="I49" s="94" t="s">
        <v>774</v>
      </c>
      <c r="J49" s="90" t="s">
        <v>670</v>
      </c>
      <c r="L49" s="90" t="s">
        <v>27</v>
      </c>
      <c r="M49" s="90" t="s">
        <v>674</v>
      </c>
      <c r="N49" s="90" t="s">
        <v>27</v>
      </c>
      <c r="O49" s="90" t="s">
        <v>667</v>
      </c>
      <c r="P49" s="70" t="e">
        <f>INDEX(Colours!$C$2:$C$14,MATCH(K49,Colours!$A$2:$A$14,0))</f>
        <v>#N/A</v>
      </c>
      <c r="T49" s="96">
        <f>3+TableStandards11[[#This Row],[Degree Centrality]]*17</f>
        <v>3</v>
      </c>
    </row>
    <row r="50" spans="1:20" ht="172" x14ac:dyDescent="0.5">
      <c r="A50" s="93">
        <v>49</v>
      </c>
      <c r="B50" s="90" t="s">
        <v>1038</v>
      </c>
      <c r="C50" s="90" t="s">
        <v>784</v>
      </c>
      <c r="D50" s="91" t="s">
        <v>776</v>
      </c>
      <c r="E50" s="91"/>
      <c r="F50" s="92" t="s">
        <v>777</v>
      </c>
      <c r="G50" s="94" t="s">
        <v>966</v>
      </c>
      <c r="H50" s="94" t="s">
        <v>966</v>
      </c>
      <c r="I50" s="94"/>
      <c r="J50" s="90" t="s">
        <v>670</v>
      </c>
      <c r="L50" s="90" t="s">
        <v>27</v>
      </c>
      <c r="M50" s="90" t="s">
        <v>674</v>
      </c>
      <c r="N50" s="90" t="s">
        <v>27</v>
      </c>
      <c r="O50" s="90" t="s">
        <v>667</v>
      </c>
      <c r="P50" s="70" t="e">
        <f>INDEX(Colours!$C$2:$C$14,MATCH(K50,Colours!$A$2:$A$14,0))</f>
        <v>#N/A</v>
      </c>
      <c r="T50" s="96">
        <f>3+TableStandards11[[#This Row],[Degree Centrality]]*17</f>
        <v>3</v>
      </c>
    </row>
    <row r="51" spans="1:20" ht="215" x14ac:dyDescent="0.5">
      <c r="A51" s="93">
        <v>50</v>
      </c>
      <c r="B51" s="90" t="s">
        <v>634</v>
      </c>
      <c r="C51" s="90" t="s">
        <v>824</v>
      </c>
      <c r="D51" s="91" t="s">
        <v>825</v>
      </c>
      <c r="E51" s="91"/>
      <c r="F51" s="97" t="s">
        <v>826</v>
      </c>
      <c r="G51" s="94" t="s">
        <v>984</v>
      </c>
      <c r="H51" s="94" t="s">
        <v>984</v>
      </c>
      <c r="I51" s="94"/>
      <c r="J51" s="90" t="s">
        <v>670</v>
      </c>
      <c r="L51" s="90" t="s">
        <v>29</v>
      </c>
      <c r="M51" s="90" t="s">
        <v>691</v>
      </c>
      <c r="N51" s="90" t="s">
        <v>27</v>
      </c>
      <c r="O51" s="90" t="s">
        <v>667</v>
      </c>
      <c r="P51" s="70" t="e">
        <f>INDEX(Colours!$C$2:$C$14,MATCH(K51,Colours!$A$2:$A$14,0))</f>
        <v>#N/A</v>
      </c>
      <c r="T51" s="96">
        <f>3+TableStandards11[[#This Row],[Degree Centrality]]*17</f>
        <v>3</v>
      </c>
    </row>
    <row r="52" spans="1:20" ht="129" x14ac:dyDescent="0.5">
      <c r="A52" s="93">
        <v>51</v>
      </c>
      <c r="B52" s="90" t="s">
        <v>1050</v>
      </c>
      <c r="C52" s="90" t="s">
        <v>783</v>
      </c>
      <c r="D52" s="91" t="s">
        <v>778</v>
      </c>
      <c r="E52" s="91"/>
      <c r="F52" s="97" t="s">
        <v>779</v>
      </c>
      <c r="G52" s="94" t="s">
        <v>967</v>
      </c>
      <c r="H52" s="94" t="s">
        <v>968</v>
      </c>
      <c r="I52" s="94"/>
      <c r="J52" s="90" t="s">
        <v>670</v>
      </c>
      <c r="L52" s="90" t="s">
        <v>27</v>
      </c>
      <c r="M52" s="90" t="s">
        <v>674</v>
      </c>
      <c r="N52" s="90" t="s">
        <v>27</v>
      </c>
      <c r="O52" s="90" t="s">
        <v>667</v>
      </c>
      <c r="P52" s="70" t="e">
        <f>INDEX(Colours!$C$2:$C$14,MATCH(K52,Colours!$A$2:$A$14,0))</f>
        <v>#N/A</v>
      </c>
      <c r="T52" s="96">
        <f>3+TableStandards11[[#This Row],[Degree Centrality]]*17</f>
        <v>3</v>
      </c>
    </row>
    <row r="53" spans="1:20" ht="409.6" x14ac:dyDescent="0.5">
      <c r="A53" s="93">
        <v>52</v>
      </c>
      <c r="B53" s="90" t="s">
        <v>635</v>
      </c>
      <c r="C53" s="90" t="s">
        <v>827</v>
      </c>
      <c r="D53" s="91" t="s">
        <v>828</v>
      </c>
      <c r="E53" s="91"/>
      <c r="F53" s="97" t="s">
        <v>829</v>
      </c>
      <c r="G53" s="94" t="s">
        <v>985</v>
      </c>
      <c r="H53" s="94" t="s">
        <v>985</v>
      </c>
      <c r="I53" s="94"/>
      <c r="J53" s="90" t="s">
        <v>670</v>
      </c>
      <c r="L53" s="90" t="s">
        <v>29</v>
      </c>
      <c r="M53" s="90" t="s">
        <v>691</v>
      </c>
      <c r="N53" s="90" t="s">
        <v>27</v>
      </c>
      <c r="O53" s="90" t="s">
        <v>667</v>
      </c>
      <c r="P53" s="70" t="e">
        <f>INDEX(Colours!$C$2:$C$14,MATCH(K53,Colours!$A$2:$A$14,0))</f>
        <v>#N/A</v>
      </c>
      <c r="T53" s="96">
        <f>3+TableStandards11[[#This Row],[Degree Centrality]]*17</f>
        <v>3</v>
      </c>
    </row>
    <row r="54" spans="1:20" ht="215" x14ac:dyDescent="0.5">
      <c r="A54" s="93">
        <v>53</v>
      </c>
      <c r="B54" s="90" t="s">
        <v>344</v>
      </c>
      <c r="C54" s="90" t="s">
        <v>781</v>
      </c>
      <c r="D54" s="91" t="s">
        <v>780</v>
      </c>
      <c r="E54" s="91"/>
      <c r="F54" s="97" t="s">
        <v>782</v>
      </c>
      <c r="G54" s="94" t="s">
        <v>969</v>
      </c>
      <c r="H54" s="94" t="s">
        <v>970</v>
      </c>
      <c r="I54" s="94"/>
      <c r="J54" s="90" t="s">
        <v>670</v>
      </c>
      <c r="L54" s="90" t="s">
        <v>27</v>
      </c>
      <c r="M54" s="90" t="s">
        <v>674</v>
      </c>
      <c r="N54" s="90" t="s">
        <v>27</v>
      </c>
      <c r="O54" s="90" t="s">
        <v>667</v>
      </c>
      <c r="P54" s="70" t="e">
        <f>INDEX(Colours!$C$2:$C$14,MATCH(K54,Colours!$A$2:$A$14,0))</f>
        <v>#N/A</v>
      </c>
      <c r="T54" s="96">
        <f>3+TableStandards11[[#This Row],[Degree Centrality]]*17</f>
        <v>3</v>
      </c>
    </row>
    <row r="55" spans="1:20" ht="243.7" x14ac:dyDescent="0.5">
      <c r="A55" s="93">
        <v>54</v>
      </c>
      <c r="B55" s="90" t="s">
        <v>346</v>
      </c>
      <c r="C55" s="90" t="s">
        <v>830</v>
      </c>
      <c r="D55" s="91" t="s">
        <v>831</v>
      </c>
      <c r="E55" s="91"/>
      <c r="F55" s="97" t="s">
        <v>832</v>
      </c>
      <c r="G55" s="94" t="s">
        <v>986</v>
      </c>
      <c r="H55" s="94" t="s">
        <v>986</v>
      </c>
      <c r="I55" s="94" t="s">
        <v>833</v>
      </c>
      <c r="J55" s="90" t="s">
        <v>670</v>
      </c>
      <c r="L55" s="90" t="s">
        <v>29</v>
      </c>
      <c r="M55" s="90" t="s">
        <v>691</v>
      </c>
      <c r="N55" s="90" t="s">
        <v>27</v>
      </c>
      <c r="O55" s="90" t="s">
        <v>667</v>
      </c>
      <c r="P55" s="70" t="e">
        <f>INDEX(Colours!$C$2:$C$14,MATCH(K55,Colours!$A$2:$A$14,0))</f>
        <v>#N/A</v>
      </c>
      <c r="T55" s="96">
        <f>3+TableStandards11[[#This Row],[Degree Centrality]]*17</f>
        <v>3</v>
      </c>
    </row>
    <row r="56" spans="1:20" ht="401.35" x14ac:dyDescent="0.5">
      <c r="A56" s="93">
        <v>55</v>
      </c>
      <c r="B56" s="90" t="s">
        <v>636</v>
      </c>
      <c r="C56" s="90" t="s">
        <v>834</v>
      </c>
      <c r="D56" s="91" t="s">
        <v>835</v>
      </c>
      <c r="E56" s="91"/>
      <c r="F56" s="97" t="s">
        <v>836</v>
      </c>
      <c r="G56" s="94" t="s">
        <v>987</v>
      </c>
      <c r="H56" s="94" t="s">
        <v>987</v>
      </c>
      <c r="I56" s="94"/>
      <c r="J56" s="90" t="s">
        <v>670</v>
      </c>
      <c r="L56" s="90" t="s">
        <v>29</v>
      </c>
      <c r="M56" s="90" t="s">
        <v>691</v>
      </c>
      <c r="N56" s="90" t="s">
        <v>27</v>
      </c>
      <c r="O56" s="90" t="s">
        <v>667</v>
      </c>
      <c r="P56" s="70" t="e">
        <f>INDEX(Colours!$C$2:$C$14,MATCH(K56,Colours!$A$2:$A$14,0))</f>
        <v>#N/A</v>
      </c>
      <c r="T56" s="96">
        <f>3+TableStandards11[[#This Row],[Degree Centrality]]*17</f>
        <v>3</v>
      </c>
    </row>
    <row r="57" spans="1:20" ht="358.35" x14ac:dyDescent="0.5">
      <c r="A57" s="93">
        <v>56</v>
      </c>
      <c r="B57" s="90" t="s">
        <v>1051</v>
      </c>
      <c r="C57" s="90" t="s">
        <v>785</v>
      </c>
      <c r="D57" s="91" t="s">
        <v>786</v>
      </c>
      <c r="E57" s="91"/>
      <c r="F57" s="97" t="s">
        <v>787</v>
      </c>
      <c r="G57" s="94" t="s">
        <v>952</v>
      </c>
      <c r="H57" s="94" t="s">
        <v>952</v>
      </c>
      <c r="I57" s="94"/>
      <c r="J57" s="90" t="s">
        <v>670</v>
      </c>
      <c r="L57" s="90" t="s">
        <v>27</v>
      </c>
      <c r="M57" s="90" t="s">
        <v>674</v>
      </c>
      <c r="N57" s="90" t="s">
        <v>27</v>
      </c>
      <c r="O57" s="90" t="s">
        <v>667</v>
      </c>
      <c r="P57" s="70" t="e">
        <f>INDEX(Colours!$C$2:$C$14,MATCH(K57,Colours!$A$2:$A$14,0))</f>
        <v>#N/A</v>
      </c>
      <c r="T57" s="96">
        <f>3+TableStandards11[[#This Row],[Degree Centrality]]*17</f>
        <v>3</v>
      </c>
    </row>
    <row r="58" spans="1:20" ht="409.6" x14ac:dyDescent="0.5">
      <c r="A58" s="93">
        <v>57</v>
      </c>
      <c r="B58" s="90" t="s">
        <v>1039</v>
      </c>
      <c r="C58" s="90" t="s">
        <v>788</v>
      </c>
      <c r="D58" s="91" t="s">
        <v>789</v>
      </c>
      <c r="E58" s="91"/>
      <c r="F58" s="97" t="s">
        <v>790</v>
      </c>
      <c r="G58" s="94" t="s">
        <v>885</v>
      </c>
      <c r="H58" s="94" t="s">
        <v>971</v>
      </c>
      <c r="I58" s="94"/>
      <c r="J58" s="90" t="s">
        <v>670</v>
      </c>
      <c r="L58" s="90" t="s">
        <v>27</v>
      </c>
      <c r="M58" s="90" t="s">
        <v>674</v>
      </c>
      <c r="N58" s="90" t="s">
        <v>27</v>
      </c>
      <c r="O58" s="90" t="s">
        <v>667</v>
      </c>
      <c r="P58" s="70" t="e">
        <f>INDEX(Colours!$C$2:$C$14,MATCH(K58,Colours!$A$2:$A$14,0))</f>
        <v>#N/A</v>
      </c>
      <c r="T58" s="96">
        <f>3+TableStandards11[[#This Row],[Degree Centrality]]*17</f>
        <v>3</v>
      </c>
    </row>
    <row r="59" spans="1:20" ht="409.6" x14ac:dyDescent="0.5">
      <c r="A59" s="93">
        <v>58</v>
      </c>
      <c r="B59" s="90" t="s">
        <v>1206</v>
      </c>
      <c r="C59" s="90" t="s">
        <v>1467</v>
      </c>
      <c r="D59" s="91" t="s">
        <v>1475</v>
      </c>
      <c r="E59" s="91" t="s">
        <v>1684</v>
      </c>
      <c r="F59" s="92" t="s">
        <v>793</v>
      </c>
      <c r="G59" s="94" t="s">
        <v>885</v>
      </c>
      <c r="H59" s="94" t="s">
        <v>1468</v>
      </c>
      <c r="I59" s="94"/>
      <c r="J59" s="90" t="s">
        <v>670</v>
      </c>
      <c r="L59" s="90" t="s">
        <v>27</v>
      </c>
      <c r="M59" s="90" t="s">
        <v>674</v>
      </c>
      <c r="N59" s="90" t="s">
        <v>27</v>
      </c>
      <c r="O59" s="90" t="s">
        <v>667</v>
      </c>
      <c r="P59" s="70" t="e">
        <f>INDEX(Colours!$C$2:$C$14,MATCH(K59,Colours!$A$2:$A$14,0))</f>
        <v>#N/A</v>
      </c>
      <c r="T59" s="96">
        <f>3+TableStandards11[[#This Row],[Degree Centrality]]*17</f>
        <v>3</v>
      </c>
    </row>
    <row r="60" spans="1:20" ht="215" x14ac:dyDescent="0.5">
      <c r="A60" s="93">
        <v>59</v>
      </c>
      <c r="B60" s="90" t="s">
        <v>1052</v>
      </c>
      <c r="C60" s="90" t="s">
        <v>791</v>
      </c>
      <c r="D60" s="91" t="s">
        <v>792</v>
      </c>
      <c r="E60" s="91"/>
      <c r="F60" s="97" t="s">
        <v>1473</v>
      </c>
      <c r="G60" s="94" t="s">
        <v>885</v>
      </c>
      <c r="H60" s="94" t="s">
        <v>972</v>
      </c>
      <c r="I60" s="94"/>
      <c r="J60" s="90" t="s">
        <v>670</v>
      </c>
      <c r="L60" s="90" t="s">
        <v>27</v>
      </c>
      <c r="M60" s="90" t="s">
        <v>674</v>
      </c>
      <c r="N60" s="90" t="s">
        <v>27</v>
      </c>
      <c r="O60" s="90" t="s">
        <v>667</v>
      </c>
      <c r="P60" s="70" t="e">
        <f>INDEX(Colours!$C$2:$C$14,MATCH(K60,Colours!$A$2:$A$14,0))</f>
        <v>#N/A</v>
      </c>
      <c r="T60" s="96">
        <f>3+TableStandards11[[#This Row],[Degree Centrality]]*17</f>
        <v>3</v>
      </c>
    </row>
    <row r="61" spans="1:20" ht="409.6" x14ac:dyDescent="0.5">
      <c r="A61" s="93">
        <v>60</v>
      </c>
      <c r="B61" s="90" t="s">
        <v>1469</v>
      </c>
      <c r="C61" s="90" t="s">
        <v>1471</v>
      </c>
      <c r="D61" s="91" t="s">
        <v>1472</v>
      </c>
      <c r="E61" s="91"/>
      <c r="F61" s="92" t="s">
        <v>1474</v>
      </c>
      <c r="G61" s="94" t="s">
        <v>885</v>
      </c>
      <c r="H61" s="94" t="s">
        <v>936</v>
      </c>
      <c r="I61" s="94"/>
      <c r="J61" s="90" t="s">
        <v>670</v>
      </c>
      <c r="L61" s="90" t="s">
        <v>27</v>
      </c>
      <c r="M61" s="90" t="s">
        <v>674</v>
      </c>
      <c r="N61" s="90" t="s">
        <v>27</v>
      </c>
      <c r="O61" s="90" t="s">
        <v>667</v>
      </c>
      <c r="P61" s="70" t="e">
        <f>INDEX(Colours!$C$2:$C$14,MATCH(K61,Colours!$A$2:$A$14,0))</f>
        <v>#N/A</v>
      </c>
      <c r="T61" s="96">
        <f>3+TableStandards11[[#This Row],[Degree Centrality]]*17</f>
        <v>3</v>
      </c>
    </row>
    <row r="62" spans="1:20" ht="409.6" x14ac:dyDescent="0.5">
      <c r="A62" s="93">
        <v>61</v>
      </c>
      <c r="B62" s="90" t="s">
        <v>1470</v>
      </c>
      <c r="C62" s="90" t="s">
        <v>1477</v>
      </c>
      <c r="D62" s="91" t="s">
        <v>1478</v>
      </c>
      <c r="E62" s="91"/>
      <c r="F62" s="92" t="s">
        <v>1476</v>
      </c>
      <c r="G62" s="94" t="s">
        <v>885</v>
      </c>
      <c r="H62" s="91">
        <v>2025.08</v>
      </c>
      <c r="I62" s="91"/>
      <c r="J62" s="90" t="s">
        <v>670</v>
      </c>
      <c r="L62" s="90" t="s">
        <v>27</v>
      </c>
      <c r="M62" s="90" t="s">
        <v>674</v>
      </c>
      <c r="N62" s="90" t="s">
        <v>27</v>
      </c>
      <c r="O62" s="90" t="s">
        <v>667</v>
      </c>
      <c r="P62" s="70" t="e">
        <f>INDEX(Colours!$C$2:$C$14,MATCH(K62,Colours!$A$2:$A$14,0))</f>
        <v>#N/A</v>
      </c>
      <c r="T62" s="96">
        <f>3+TableStandards11[[#This Row],[Degree Centrality]]*17</f>
        <v>3</v>
      </c>
    </row>
    <row r="63" spans="1:20" ht="409.6" x14ac:dyDescent="0.5">
      <c r="A63" s="93">
        <v>62</v>
      </c>
      <c r="B63" s="90" t="s">
        <v>637</v>
      </c>
      <c r="C63" s="90" t="s">
        <v>837</v>
      </c>
      <c r="D63" s="91" t="s">
        <v>838</v>
      </c>
      <c r="E63" s="91"/>
      <c r="F63" s="97" t="s">
        <v>839</v>
      </c>
      <c r="G63" s="94" t="s">
        <v>930</v>
      </c>
      <c r="H63" s="94" t="s">
        <v>930</v>
      </c>
      <c r="I63" s="94"/>
      <c r="J63" s="90" t="s">
        <v>670</v>
      </c>
      <c r="L63" s="90" t="s">
        <v>29</v>
      </c>
      <c r="M63" s="90" t="s">
        <v>691</v>
      </c>
      <c r="N63" s="90" t="s">
        <v>27</v>
      </c>
      <c r="O63" s="90" t="s">
        <v>667</v>
      </c>
      <c r="P63" s="70" t="e">
        <f>INDEX(Colours!$C$2:$C$14,MATCH(K63,Colours!$A$2:$A$14,0))</f>
        <v>#N/A</v>
      </c>
      <c r="T63" s="96">
        <f>3+TableStandards11[[#This Row],[Degree Centrality]]*17</f>
        <v>3</v>
      </c>
    </row>
    <row r="64" spans="1:20" ht="358.35" x14ac:dyDescent="0.5">
      <c r="A64" s="93">
        <v>63</v>
      </c>
      <c r="B64" s="90" t="s">
        <v>638</v>
      </c>
      <c r="C64" s="90" t="s">
        <v>840</v>
      </c>
      <c r="D64" s="91" t="s">
        <v>841</v>
      </c>
      <c r="E64" s="91"/>
      <c r="F64" s="97" t="s">
        <v>842</v>
      </c>
      <c r="G64" s="94" t="s">
        <v>885</v>
      </c>
      <c r="H64" s="94" t="s">
        <v>885</v>
      </c>
      <c r="I64" s="94"/>
      <c r="J64" s="90" t="s">
        <v>670</v>
      </c>
      <c r="L64" s="90" t="s">
        <v>29</v>
      </c>
      <c r="M64" s="90" t="s">
        <v>691</v>
      </c>
      <c r="N64" s="90" t="s">
        <v>27</v>
      </c>
      <c r="O64" s="90" t="s">
        <v>667</v>
      </c>
      <c r="P64" s="70" t="e">
        <f>INDEX(Colours!$C$2:$C$14,MATCH(K64,Colours!$A$2:$A$14,0))</f>
        <v>#N/A</v>
      </c>
      <c r="T64" s="96">
        <f>3+TableStandards11[[#This Row],[Degree Centrality]]*17</f>
        <v>3</v>
      </c>
    </row>
    <row r="65" spans="1:20" ht="409.6" x14ac:dyDescent="0.5">
      <c r="A65" s="93">
        <v>64</v>
      </c>
      <c r="B65" s="90" t="s">
        <v>639</v>
      </c>
      <c r="C65" s="90" t="s">
        <v>843</v>
      </c>
      <c r="D65" s="91" t="s">
        <v>844</v>
      </c>
      <c r="E65" s="91"/>
      <c r="F65" s="97" t="s">
        <v>845</v>
      </c>
      <c r="G65" s="94" t="s">
        <v>988</v>
      </c>
      <c r="H65" s="94" t="s">
        <v>988</v>
      </c>
      <c r="I65" s="94"/>
      <c r="J65" s="90" t="s">
        <v>670</v>
      </c>
      <c r="L65" s="90" t="s">
        <v>29</v>
      </c>
      <c r="M65" s="90" t="s">
        <v>691</v>
      </c>
      <c r="N65" s="90" t="s">
        <v>27</v>
      </c>
      <c r="O65" s="90" t="s">
        <v>667</v>
      </c>
      <c r="P65" s="70" t="e">
        <f>INDEX(Colours!$C$2:$C$14,MATCH(K65,Colours!$A$2:$A$14,0))</f>
        <v>#N/A</v>
      </c>
      <c r="T65" s="96">
        <f>3+TableStandards11[[#This Row],[Degree Centrality]]*17</f>
        <v>3</v>
      </c>
    </row>
    <row r="66" spans="1:20" ht="329.7" x14ac:dyDescent="0.5">
      <c r="A66" s="93">
        <v>65</v>
      </c>
      <c r="B66" s="90" t="s">
        <v>1053</v>
      </c>
      <c r="C66" s="90" t="s">
        <v>794</v>
      </c>
      <c r="D66" s="91" t="s">
        <v>795</v>
      </c>
      <c r="E66" s="91"/>
      <c r="F66" s="97" t="s">
        <v>796</v>
      </c>
      <c r="G66" s="94" t="s">
        <v>927</v>
      </c>
      <c r="H66" s="94" t="s">
        <v>973</v>
      </c>
      <c r="I66" s="94"/>
      <c r="J66" s="90" t="s">
        <v>670</v>
      </c>
      <c r="L66" s="90" t="s">
        <v>27</v>
      </c>
      <c r="M66" s="90" t="s">
        <v>674</v>
      </c>
      <c r="N66" s="90" t="s">
        <v>27</v>
      </c>
      <c r="O66" s="90" t="s">
        <v>667</v>
      </c>
      <c r="P66" s="70" t="e">
        <f>INDEX(Colours!$C$2:$C$14,MATCH(K66,Colours!$A$2:$A$14,0))</f>
        <v>#N/A</v>
      </c>
      <c r="T66" s="96">
        <f>3+TableStandards11[[#This Row],[Degree Centrality]]*17</f>
        <v>3</v>
      </c>
    </row>
    <row r="67" spans="1:20" ht="401.35" x14ac:dyDescent="0.5">
      <c r="A67" s="93">
        <v>66</v>
      </c>
      <c r="B67" s="90" t="s">
        <v>348</v>
      </c>
      <c r="C67" s="90" t="s">
        <v>797</v>
      </c>
      <c r="D67" s="91" t="s">
        <v>798</v>
      </c>
      <c r="E67" s="91"/>
      <c r="F67" s="97" t="s">
        <v>799</v>
      </c>
      <c r="G67" s="94" t="s">
        <v>974</v>
      </c>
      <c r="H67" s="94" t="s">
        <v>975</v>
      </c>
      <c r="I67" s="94"/>
      <c r="J67" s="90" t="s">
        <v>670</v>
      </c>
      <c r="L67" s="90" t="s">
        <v>27</v>
      </c>
      <c r="M67" s="90" t="s">
        <v>674</v>
      </c>
      <c r="N67" s="90" t="s">
        <v>27</v>
      </c>
      <c r="O67" s="90" t="s">
        <v>667</v>
      </c>
      <c r="P67" s="70" t="e">
        <f>INDEX(Colours!$C$2:$C$14,MATCH(K67,Colours!$A$2:$A$14,0))</f>
        <v>#N/A</v>
      </c>
      <c r="T67" s="96">
        <f>3+TableStandards11[[#This Row],[Degree Centrality]]*17</f>
        <v>3</v>
      </c>
    </row>
    <row r="68" spans="1:20" ht="329.7" x14ac:dyDescent="0.5">
      <c r="A68" s="93">
        <v>67</v>
      </c>
      <c r="B68" s="90" t="s">
        <v>641</v>
      </c>
      <c r="C68" s="90" t="s">
        <v>846</v>
      </c>
      <c r="D68" s="91" t="s">
        <v>847</v>
      </c>
      <c r="E68" s="91"/>
      <c r="F68" s="97" t="s">
        <v>848</v>
      </c>
      <c r="G68" s="94" t="s">
        <v>989</v>
      </c>
      <c r="H68" s="94" t="s">
        <v>989</v>
      </c>
      <c r="I68" s="94"/>
      <c r="J68" s="90" t="s">
        <v>671</v>
      </c>
      <c r="L68" s="90" t="s">
        <v>29</v>
      </c>
      <c r="M68" s="90" t="s">
        <v>691</v>
      </c>
      <c r="N68" s="90" t="s">
        <v>27</v>
      </c>
      <c r="O68" s="90" t="s">
        <v>667</v>
      </c>
      <c r="P68" s="70" t="e">
        <f>INDEX(Colours!$C$2:$C$14,MATCH(K68,Colours!$A$2:$A$14,0))</f>
        <v>#N/A</v>
      </c>
      <c r="T68" s="96">
        <f>3+TableStandards11[[#This Row],[Degree Centrality]]*17</f>
        <v>3</v>
      </c>
    </row>
    <row r="69" spans="1:20" ht="409.6" x14ac:dyDescent="0.5">
      <c r="A69" s="93">
        <v>68</v>
      </c>
      <c r="B69" s="90" t="s">
        <v>642</v>
      </c>
      <c r="C69" s="90" t="s">
        <v>849</v>
      </c>
      <c r="D69" s="91" t="s">
        <v>850</v>
      </c>
      <c r="E69" s="91"/>
      <c r="F69" s="97" t="s">
        <v>851</v>
      </c>
      <c r="G69" s="94" t="s">
        <v>990</v>
      </c>
      <c r="H69" s="94" t="s">
        <v>991</v>
      </c>
      <c r="I69" s="94" t="s">
        <v>712</v>
      </c>
      <c r="J69" s="90" t="s">
        <v>670</v>
      </c>
      <c r="L69" s="90" t="s">
        <v>29</v>
      </c>
      <c r="M69" s="90" t="s">
        <v>691</v>
      </c>
      <c r="N69" s="90" t="s">
        <v>27</v>
      </c>
      <c r="O69" s="90" t="s">
        <v>667</v>
      </c>
      <c r="P69" s="70" t="e">
        <f>INDEX(Colours!$C$2:$C$14,MATCH(K69,Colours!$A$2:$A$14,0))</f>
        <v>#N/A</v>
      </c>
      <c r="T69" s="96">
        <f>3+TableStandards11[[#This Row],[Degree Centrality]]*17</f>
        <v>3</v>
      </c>
    </row>
    <row r="70" spans="1:20" ht="258" x14ac:dyDescent="0.5">
      <c r="A70" s="93">
        <v>69</v>
      </c>
      <c r="B70" s="90" t="s">
        <v>1054</v>
      </c>
      <c r="C70" s="90" t="s">
        <v>800</v>
      </c>
      <c r="D70" s="91" t="s">
        <v>801</v>
      </c>
      <c r="E70" s="91"/>
      <c r="F70" s="97" t="s">
        <v>802</v>
      </c>
      <c r="G70" s="94" t="s">
        <v>976</v>
      </c>
      <c r="H70" s="94" t="s">
        <v>976</v>
      </c>
      <c r="I70" s="94"/>
      <c r="J70" s="90" t="s">
        <v>670</v>
      </c>
      <c r="L70" s="90" t="s">
        <v>27</v>
      </c>
      <c r="M70" s="90" t="s">
        <v>674</v>
      </c>
      <c r="N70" s="90" t="s">
        <v>27</v>
      </c>
      <c r="O70" s="90" t="s">
        <v>667</v>
      </c>
      <c r="P70" s="70" t="e">
        <f>INDEX(Colours!$C$2:$C$14,MATCH(K70,Colours!$A$2:$A$14,0))</f>
        <v>#N/A</v>
      </c>
      <c r="T70" s="96">
        <f>3+TableStandards11[[#This Row],[Degree Centrality]]*17</f>
        <v>3</v>
      </c>
    </row>
    <row r="71" spans="1:20" ht="387" x14ac:dyDescent="0.5">
      <c r="A71" s="93">
        <v>70</v>
      </c>
      <c r="B71" s="90" t="s">
        <v>643</v>
      </c>
      <c r="C71" s="90" t="s">
        <v>852</v>
      </c>
      <c r="D71" s="91" t="s">
        <v>853</v>
      </c>
      <c r="E71" s="91"/>
      <c r="F71" s="97" t="s">
        <v>854</v>
      </c>
      <c r="G71" s="94" t="s">
        <v>905</v>
      </c>
      <c r="H71" s="94" t="s">
        <v>905</v>
      </c>
      <c r="I71" s="94"/>
      <c r="J71" s="90" t="s">
        <v>670</v>
      </c>
      <c r="L71" s="90" t="s">
        <v>29</v>
      </c>
      <c r="M71" s="90" t="s">
        <v>691</v>
      </c>
      <c r="N71" s="90" t="s">
        <v>27</v>
      </c>
      <c r="O71" s="90" t="s">
        <v>667</v>
      </c>
      <c r="P71" s="70" t="e">
        <f>INDEX(Colours!$C$2:$C$14,MATCH(K71,Colours!$A$2:$A$14,0))</f>
        <v>#N/A</v>
      </c>
      <c r="T71" s="96">
        <f>3+TableStandards11[[#This Row],[Degree Centrality]]*17</f>
        <v>3</v>
      </c>
    </row>
    <row r="72" spans="1:20" ht="100.35" x14ac:dyDescent="0.5">
      <c r="A72" s="93">
        <v>71</v>
      </c>
      <c r="B72" s="90" t="s">
        <v>644</v>
      </c>
      <c r="C72" s="90" t="s">
        <v>855</v>
      </c>
      <c r="D72" s="91" t="s">
        <v>856</v>
      </c>
      <c r="E72" s="91"/>
      <c r="F72" s="97" t="s">
        <v>857</v>
      </c>
      <c r="G72" s="94" t="s">
        <v>916</v>
      </c>
      <c r="H72" s="94" t="s">
        <v>916</v>
      </c>
      <c r="I72" s="94"/>
      <c r="J72" s="90" t="s">
        <v>670</v>
      </c>
      <c r="L72" s="90" t="s">
        <v>29</v>
      </c>
      <c r="M72" s="90" t="s">
        <v>691</v>
      </c>
      <c r="N72" s="90" t="s">
        <v>27</v>
      </c>
      <c r="O72" s="90" t="s">
        <v>667</v>
      </c>
      <c r="P72" s="70" t="e">
        <f>INDEX(Colours!$C$2:$C$14,MATCH(K72,Colours!$A$2:$A$14,0))</f>
        <v>#N/A</v>
      </c>
      <c r="T72" s="96">
        <f>3+TableStandards11[[#This Row],[Degree Centrality]]*17</f>
        <v>3</v>
      </c>
    </row>
    <row r="73" spans="1:20" ht="229.35" x14ac:dyDescent="0.5">
      <c r="A73" s="93">
        <v>72</v>
      </c>
      <c r="B73" s="90" t="s">
        <v>350</v>
      </c>
      <c r="C73" s="90" t="s">
        <v>803</v>
      </c>
      <c r="D73" s="91" t="s">
        <v>804</v>
      </c>
      <c r="E73" s="91"/>
      <c r="F73" s="97" t="s">
        <v>805</v>
      </c>
      <c r="G73" s="94" t="s">
        <v>954</v>
      </c>
      <c r="H73" s="94" t="s">
        <v>977</v>
      </c>
      <c r="I73" s="94"/>
      <c r="J73" s="90" t="s">
        <v>670</v>
      </c>
      <c r="L73" s="90" t="s">
        <v>27</v>
      </c>
      <c r="M73" s="90" t="s">
        <v>674</v>
      </c>
      <c r="N73" s="90" t="s">
        <v>27</v>
      </c>
      <c r="O73" s="90" t="s">
        <v>667</v>
      </c>
      <c r="P73" s="70" t="e">
        <f>INDEX(Colours!$C$2:$C$14,MATCH(K73,Colours!$A$2:$A$14,0))</f>
        <v>#N/A</v>
      </c>
      <c r="T73" s="96">
        <f>3+TableStandards11[[#This Row],[Degree Centrality]]*17</f>
        <v>3</v>
      </c>
    </row>
    <row r="74" spans="1:20" ht="329.7" x14ac:dyDescent="0.5">
      <c r="A74" s="93">
        <v>73</v>
      </c>
      <c r="B74" s="90" t="s">
        <v>1055</v>
      </c>
      <c r="C74" s="90" t="s">
        <v>806</v>
      </c>
      <c r="D74" s="91" t="s">
        <v>807</v>
      </c>
      <c r="E74" s="91"/>
      <c r="F74" s="97" t="s">
        <v>808</v>
      </c>
      <c r="G74" s="94" t="s">
        <v>924</v>
      </c>
      <c r="H74" s="94" t="s">
        <v>924</v>
      </c>
      <c r="I74" s="94"/>
      <c r="J74" s="90" t="s">
        <v>670</v>
      </c>
      <c r="L74" s="90" t="s">
        <v>27</v>
      </c>
      <c r="M74" s="90" t="s">
        <v>674</v>
      </c>
      <c r="N74" s="90" t="s">
        <v>27</v>
      </c>
      <c r="O74" s="90" t="s">
        <v>667</v>
      </c>
      <c r="P74" s="70" t="e">
        <f>INDEX(Colours!$C$2:$C$14,MATCH(K74,Colours!$A$2:$A$14,0))</f>
        <v>#N/A</v>
      </c>
      <c r="T74" s="96">
        <f>3+TableStandards11[[#This Row],[Degree Centrality]]*17</f>
        <v>3</v>
      </c>
    </row>
    <row r="75" spans="1:20" ht="258" x14ac:dyDescent="0.5">
      <c r="A75" s="93">
        <v>74</v>
      </c>
      <c r="B75" s="90" t="s">
        <v>645</v>
      </c>
      <c r="C75" s="90" t="s">
        <v>858</v>
      </c>
      <c r="D75" s="91" t="s">
        <v>859</v>
      </c>
      <c r="E75" s="91"/>
      <c r="F75" s="97" t="s">
        <v>860</v>
      </c>
      <c r="G75" s="94" t="s">
        <v>920</v>
      </c>
      <c r="H75" s="94" t="s">
        <v>920</v>
      </c>
      <c r="I75" s="94"/>
      <c r="J75" s="90" t="s">
        <v>670</v>
      </c>
      <c r="L75" s="90" t="s">
        <v>29</v>
      </c>
      <c r="M75" s="90" t="s">
        <v>691</v>
      </c>
      <c r="N75" s="90" t="s">
        <v>27</v>
      </c>
      <c r="O75" s="90" t="s">
        <v>667</v>
      </c>
      <c r="P75" s="70" t="e">
        <f>INDEX(Colours!$C$2:$C$14,MATCH(K75,Colours!$A$2:$A$14,0))</f>
        <v>#N/A</v>
      </c>
      <c r="T75" s="96">
        <f>3+TableStandards11[[#This Row],[Degree Centrality]]*17</f>
        <v>3</v>
      </c>
    </row>
    <row r="76" spans="1:20" ht="409.6" x14ac:dyDescent="0.5">
      <c r="A76" s="93">
        <v>75</v>
      </c>
      <c r="B76" s="90" t="s">
        <v>245</v>
      </c>
      <c r="C76" s="90" t="s">
        <v>1705</v>
      </c>
      <c r="D76" s="91" t="s">
        <v>1872</v>
      </c>
      <c r="E76" s="91" t="s">
        <v>1684</v>
      </c>
      <c r="F76" s="97" t="s">
        <v>248</v>
      </c>
      <c r="G76" s="91">
        <v>2020.04</v>
      </c>
      <c r="H76" s="91">
        <v>2020.04</v>
      </c>
      <c r="I76" s="91"/>
      <c r="J76" s="91" t="s">
        <v>1873</v>
      </c>
      <c r="L76" s="90" t="s">
        <v>29</v>
      </c>
      <c r="M76" s="90" t="s">
        <v>691</v>
      </c>
      <c r="N76" s="90" t="s">
        <v>27</v>
      </c>
      <c r="O76" s="90" t="s">
        <v>67</v>
      </c>
      <c r="P76" s="70" t="e">
        <f>INDEX(Colours!$C$2:$C$14,MATCH(K76,Colours!$A$2:$A$14,0))</f>
        <v>#N/A</v>
      </c>
      <c r="T76" s="96">
        <f>3+TableStandards11[[#This Row],[Degree Centrality]]*17</f>
        <v>3</v>
      </c>
    </row>
    <row r="77" spans="1:20" ht="409.6" x14ac:dyDescent="0.5">
      <c r="A77" s="93">
        <v>76</v>
      </c>
      <c r="B77" s="90" t="s">
        <v>1719</v>
      </c>
      <c r="C77" s="90" t="s">
        <v>1720</v>
      </c>
      <c r="D77" s="91" t="s">
        <v>1932</v>
      </c>
      <c r="E77" s="91" t="s">
        <v>1684</v>
      </c>
      <c r="F77" s="97" t="s">
        <v>1933</v>
      </c>
      <c r="G77" s="94">
        <v>2019.04</v>
      </c>
      <c r="H77" s="94">
        <v>2019.04</v>
      </c>
      <c r="I77" s="91"/>
      <c r="J77" s="91" t="s">
        <v>673</v>
      </c>
      <c r="K77" s="91"/>
      <c r="L77" s="91" t="s">
        <v>29</v>
      </c>
      <c r="M77" s="90" t="s">
        <v>691</v>
      </c>
      <c r="N77" s="90" t="s">
        <v>27</v>
      </c>
      <c r="O77" s="90" t="s">
        <v>1934</v>
      </c>
      <c r="P77" s="70" t="e">
        <f>INDEX(Colours!$C$2:$C$14,MATCH(K77,Colours!$A$2:$A$14,0))</f>
        <v>#N/A</v>
      </c>
      <c r="T77" s="96">
        <f>3+TableStandards11[[#This Row],[Degree Centrality]]*17</f>
        <v>3</v>
      </c>
    </row>
    <row r="78" spans="1:20" ht="409.6" x14ac:dyDescent="0.5">
      <c r="A78" s="93">
        <v>77</v>
      </c>
      <c r="B78" s="90" t="s">
        <v>1715</v>
      </c>
      <c r="C78" s="90" t="s">
        <v>1716</v>
      </c>
      <c r="D78" s="91" t="s">
        <v>1939</v>
      </c>
      <c r="E78" s="91" t="s">
        <v>1684</v>
      </c>
      <c r="F78" s="97" t="s">
        <v>1940</v>
      </c>
      <c r="G78" s="94">
        <v>2022.09</v>
      </c>
      <c r="H78" s="94">
        <v>2022.09</v>
      </c>
      <c r="I78" s="91"/>
      <c r="J78" s="91" t="s">
        <v>673</v>
      </c>
      <c r="K78" s="91"/>
      <c r="L78" s="91" t="s">
        <v>29</v>
      </c>
      <c r="M78" s="90" t="s">
        <v>691</v>
      </c>
      <c r="N78" s="90" t="s">
        <v>27</v>
      </c>
      <c r="O78" s="90" t="s">
        <v>1934</v>
      </c>
      <c r="P78" s="70" t="e">
        <f>INDEX(Colours!$C$2:$C$14,MATCH(K78,Colours!$A$2:$A$14,0))</f>
        <v>#N/A</v>
      </c>
      <c r="T78" s="96">
        <f>3+TableStandards11[[#This Row],[Degree Centrality]]*17</f>
        <v>3</v>
      </c>
    </row>
    <row r="79" spans="1:20" ht="329.7" x14ac:dyDescent="0.5">
      <c r="A79" s="93">
        <v>78</v>
      </c>
      <c r="B79" s="90" t="s">
        <v>1706</v>
      </c>
      <c r="C79" s="90" t="s">
        <v>1707</v>
      </c>
      <c r="D79" s="91" t="s">
        <v>1912</v>
      </c>
      <c r="E79" s="91" t="s">
        <v>1684</v>
      </c>
      <c r="F79" s="97" t="s">
        <v>1913</v>
      </c>
      <c r="G79" s="91">
        <v>2022.02</v>
      </c>
      <c r="H79" s="91">
        <v>2022.02</v>
      </c>
      <c r="I79" s="91"/>
      <c r="J79" s="91" t="s">
        <v>1914</v>
      </c>
      <c r="L79" s="90" t="s">
        <v>29</v>
      </c>
      <c r="M79" s="90" t="s">
        <v>691</v>
      </c>
      <c r="N79" s="90" t="s">
        <v>27</v>
      </c>
      <c r="O79" s="90" t="s">
        <v>926</v>
      </c>
      <c r="P79" s="70" t="e">
        <f>INDEX(Colours!$C$2:$C$14,MATCH(K79,Colours!$A$2:$A$14,0))</f>
        <v>#N/A</v>
      </c>
      <c r="T79" s="96">
        <f>3+TableStandards11[[#This Row],[Degree Centrality]]*17</f>
        <v>3</v>
      </c>
    </row>
    <row r="80" spans="1:20" ht="172" x14ac:dyDescent="0.5">
      <c r="A80" s="93">
        <v>79</v>
      </c>
      <c r="B80" s="90" t="s">
        <v>1688</v>
      </c>
      <c r="C80" s="90" t="s">
        <v>1689</v>
      </c>
      <c r="D80" s="91" t="s">
        <v>1930</v>
      </c>
      <c r="E80" s="91" t="s">
        <v>1684</v>
      </c>
      <c r="F80" s="97" t="s">
        <v>1931</v>
      </c>
      <c r="G80" s="94">
        <v>2024.08</v>
      </c>
      <c r="H80" s="94">
        <v>2024.08</v>
      </c>
      <c r="I80" s="91"/>
      <c r="J80" s="90" t="s">
        <v>673</v>
      </c>
      <c r="K80" s="91"/>
      <c r="L80" s="90" t="s">
        <v>29</v>
      </c>
      <c r="M80" s="90" t="s">
        <v>691</v>
      </c>
      <c r="N80" s="90" t="s">
        <v>27</v>
      </c>
      <c r="O80" s="90" t="s">
        <v>926</v>
      </c>
      <c r="P80" s="70" t="e">
        <f>INDEX(Colours!$C$2:$C$14,MATCH(K80,Colours!$A$2:$A$14,0))</f>
        <v>#N/A</v>
      </c>
      <c r="T80" s="96">
        <f>3+TableStandards11[[#This Row],[Degree Centrality]]*17</f>
        <v>3</v>
      </c>
    </row>
    <row r="81" spans="1:20" ht="57.35" x14ac:dyDescent="0.5">
      <c r="A81" s="93">
        <v>80</v>
      </c>
      <c r="B81" s="98" t="s">
        <v>1995</v>
      </c>
      <c r="C81" s="90" t="s">
        <v>1996</v>
      </c>
      <c r="D81" s="91" t="s">
        <v>691</v>
      </c>
      <c r="E81" s="91"/>
      <c r="F81" s="92" t="s">
        <v>1997</v>
      </c>
      <c r="G81" s="94" t="s">
        <v>1681</v>
      </c>
      <c r="H81" s="94" t="s">
        <v>1681</v>
      </c>
      <c r="I81" s="115"/>
      <c r="J81" s="115" t="s">
        <v>691</v>
      </c>
      <c r="K81" s="115"/>
      <c r="L81" s="115" t="s">
        <v>29</v>
      </c>
      <c r="M81" s="90" t="s">
        <v>691</v>
      </c>
      <c r="N81" s="90" t="s">
        <v>27</v>
      </c>
      <c r="O81" s="90" t="s">
        <v>667</v>
      </c>
      <c r="P81" s="70" t="e">
        <f>INDEX(Colours!$C$2:$C$14,MATCH(K81,Colours!$A$2:$A$14,0))</f>
        <v>#N/A</v>
      </c>
      <c r="T81" s="96">
        <f>3+TableStandards11[[#This Row],[Degree Centrality]]*17</f>
        <v>3</v>
      </c>
    </row>
    <row r="82" spans="1:20" ht="409.6" x14ac:dyDescent="0.5">
      <c r="A82" s="93">
        <v>81</v>
      </c>
      <c r="B82" s="98" t="s">
        <v>1721</v>
      </c>
      <c r="C82" s="90" t="s">
        <v>1725</v>
      </c>
      <c r="D82" s="98" t="s">
        <v>1980</v>
      </c>
      <c r="E82" s="91" t="s">
        <v>1684</v>
      </c>
      <c r="F82" s="97" t="s">
        <v>1976</v>
      </c>
      <c r="G82" s="94" t="s">
        <v>1681</v>
      </c>
      <c r="H82" s="94" t="s">
        <v>1681</v>
      </c>
      <c r="I82" s="91"/>
      <c r="J82" s="91" t="s">
        <v>691</v>
      </c>
      <c r="K82" s="91"/>
      <c r="L82" s="91" t="s">
        <v>29</v>
      </c>
      <c r="M82" s="90" t="s">
        <v>691</v>
      </c>
      <c r="N82" s="90" t="s">
        <v>27</v>
      </c>
      <c r="O82" s="90" t="s">
        <v>67</v>
      </c>
      <c r="P82" s="70" t="e">
        <f>INDEX(Colours!$C$2:$C$14,MATCH(K82,Colours!$A$2:$A$14,0))</f>
        <v>#N/A</v>
      </c>
      <c r="T82" s="96">
        <f>3+TableStandards11[[#This Row],[Degree Centrality]]*17</f>
        <v>3</v>
      </c>
    </row>
    <row r="83" spans="1:20" ht="409.6" x14ac:dyDescent="0.5">
      <c r="A83" s="93">
        <v>82</v>
      </c>
      <c r="B83" s="98" t="s">
        <v>1722</v>
      </c>
      <c r="C83" s="90" t="s">
        <v>1724</v>
      </c>
      <c r="D83" s="98" t="s">
        <v>1989</v>
      </c>
      <c r="E83" s="91" t="s">
        <v>1684</v>
      </c>
      <c r="F83" s="97" t="s">
        <v>1977</v>
      </c>
      <c r="G83" s="94" t="s">
        <v>1681</v>
      </c>
      <c r="H83" s="94" t="s">
        <v>1681</v>
      </c>
      <c r="I83" s="91"/>
      <c r="J83" s="91" t="s">
        <v>691</v>
      </c>
      <c r="K83" s="91"/>
      <c r="L83" s="91" t="s">
        <v>29</v>
      </c>
      <c r="M83" s="90" t="s">
        <v>691</v>
      </c>
      <c r="N83" s="90" t="s">
        <v>27</v>
      </c>
      <c r="O83" s="90" t="s">
        <v>67</v>
      </c>
      <c r="P83" s="70" t="e">
        <f>INDEX(Colours!$C$2:$C$14,MATCH(K83,Colours!$A$2:$A$14,0))</f>
        <v>#N/A</v>
      </c>
      <c r="T83" s="96">
        <f>3+TableStandards11[[#This Row],[Degree Centrality]]*17</f>
        <v>3</v>
      </c>
    </row>
    <row r="84" spans="1:20" ht="186.35" x14ac:dyDescent="0.5">
      <c r="A84" s="93">
        <v>83</v>
      </c>
      <c r="B84" s="98" t="s">
        <v>1723</v>
      </c>
      <c r="C84" s="90" t="s">
        <v>1726</v>
      </c>
      <c r="D84" s="98" t="s">
        <v>1993</v>
      </c>
      <c r="E84" s="91" t="s">
        <v>1684</v>
      </c>
      <c r="F84" s="97" t="s">
        <v>1992</v>
      </c>
      <c r="G84" s="94" t="s">
        <v>1681</v>
      </c>
      <c r="H84" s="94" t="s">
        <v>1681</v>
      </c>
      <c r="I84" s="91"/>
      <c r="J84" s="91" t="s">
        <v>691</v>
      </c>
      <c r="K84" s="91"/>
      <c r="L84" s="91" t="s">
        <v>29</v>
      </c>
      <c r="M84" s="90" t="s">
        <v>691</v>
      </c>
      <c r="N84" s="90" t="s">
        <v>27</v>
      </c>
      <c r="O84" s="90" t="s">
        <v>67</v>
      </c>
      <c r="P84" s="70" t="e">
        <f>INDEX(Colours!$C$2:$C$14,MATCH(K84,Colours!$A$2:$A$14,0))</f>
        <v>#N/A</v>
      </c>
      <c r="T84" s="96">
        <f>3+TableStandards11[[#This Row],[Degree Centrality]]*17</f>
        <v>3</v>
      </c>
    </row>
    <row r="85" spans="1:20" ht="272.35000000000002" x14ac:dyDescent="0.5">
      <c r="A85" s="93">
        <v>84</v>
      </c>
      <c r="B85" s="118" t="s">
        <v>1702</v>
      </c>
      <c r="C85" s="90" t="s">
        <v>1978</v>
      </c>
      <c r="D85" s="91" t="s">
        <v>1969</v>
      </c>
      <c r="E85" s="91" t="s">
        <v>1684</v>
      </c>
      <c r="F85" s="97" t="s">
        <v>1970</v>
      </c>
      <c r="G85" s="94" t="s">
        <v>1681</v>
      </c>
      <c r="H85" s="94" t="s">
        <v>1681</v>
      </c>
      <c r="I85" s="91"/>
      <c r="J85" s="91" t="s">
        <v>1971</v>
      </c>
      <c r="K85" s="91"/>
      <c r="L85" s="91" t="s">
        <v>29</v>
      </c>
      <c r="M85" s="90" t="s">
        <v>691</v>
      </c>
      <c r="N85" s="90" t="s">
        <v>27</v>
      </c>
      <c r="O85" s="90" t="s">
        <v>926</v>
      </c>
      <c r="P85" s="70" t="e">
        <f>INDEX(Colours!$C$2:$C$14,MATCH(K85,Colours!$A$2:$A$14,0))</f>
        <v>#N/A</v>
      </c>
      <c r="T85" s="96">
        <f>3+TableStandards11[[#This Row],[Degree Centrality]]*17</f>
        <v>3</v>
      </c>
    </row>
    <row r="86" spans="1:20" ht="57.35" x14ac:dyDescent="0.5">
      <c r="A86" s="93">
        <v>85</v>
      </c>
      <c r="B86" s="118" t="s">
        <v>1687</v>
      </c>
      <c r="C86" s="90" t="s">
        <v>1979</v>
      </c>
      <c r="D86" s="91" t="s">
        <v>1974</v>
      </c>
      <c r="E86" s="91" t="s">
        <v>1684</v>
      </c>
      <c r="F86" s="97" t="s">
        <v>1975</v>
      </c>
      <c r="G86" s="94" t="s">
        <v>1681</v>
      </c>
      <c r="H86" s="94" t="s">
        <v>1681</v>
      </c>
      <c r="I86" s="91"/>
      <c r="J86" s="91" t="s">
        <v>1914</v>
      </c>
      <c r="L86" s="90" t="s">
        <v>29</v>
      </c>
      <c r="M86" s="90" t="s">
        <v>691</v>
      </c>
      <c r="N86" s="90" t="s">
        <v>27</v>
      </c>
      <c r="O86" s="90" t="s">
        <v>926</v>
      </c>
      <c r="P86" s="70" t="e">
        <f>INDEX(Colours!$C$2:$C$14,MATCH(K86,Colours!$A$2:$A$14,0))</f>
        <v>#N/A</v>
      </c>
      <c r="T86" s="96">
        <f>3+TableStandards11[[#This Row],[Degree Centrality]]*17</f>
        <v>3</v>
      </c>
    </row>
    <row r="87" spans="1:20" ht="344" x14ac:dyDescent="0.5">
      <c r="A87" s="93">
        <v>86</v>
      </c>
      <c r="B87" s="90" t="s">
        <v>1357</v>
      </c>
      <c r="C87" s="90" t="s">
        <v>1711</v>
      </c>
      <c r="D87" s="91" t="s">
        <v>1884</v>
      </c>
      <c r="E87" s="91" t="s">
        <v>1684</v>
      </c>
      <c r="F87" s="97" t="s">
        <v>1886</v>
      </c>
      <c r="G87" s="91">
        <v>2004.05</v>
      </c>
      <c r="H87" s="91">
        <v>2023.11</v>
      </c>
      <c r="I87" s="91"/>
      <c r="J87" s="91" t="s">
        <v>1503</v>
      </c>
      <c r="K87" s="91"/>
      <c r="L87" s="91" t="s">
        <v>29</v>
      </c>
      <c r="M87" s="90" t="s">
        <v>691</v>
      </c>
      <c r="N87" s="90" t="s">
        <v>27</v>
      </c>
      <c r="O87" s="90" t="s">
        <v>1885</v>
      </c>
      <c r="P87" s="70" t="e">
        <f>INDEX(Colours!$C$2:$C$14,MATCH(K87,Colours!$A$2:$A$14,0))</f>
        <v>#N/A</v>
      </c>
      <c r="T87" s="96">
        <f>3+TableStandards11[[#This Row],[Degree Centrality]]*17</f>
        <v>3</v>
      </c>
    </row>
    <row r="88" spans="1:20" ht="272.35000000000002" x14ac:dyDescent="0.5">
      <c r="A88" s="93">
        <v>87</v>
      </c>
      <c r="B88" s="90" t="s">
        <v>1700</v>
      </c>
      <c r="C88" s="90" t="s">
        <v>1701</v>
      </c>
      <c r="D88" s="91" t="s">
        <v>1877</v>
      </c>
      <c r="E88" s="91" t="s">
        <v>1684</v>
      </c>
      <c r="F88" s="97" t="s">
        <v>1879</v>
      </c>
      <c r="G88" s="91">
        <v>2023.07</v>
      </c>
      <c r="H88" s="91">
        <v>2023.07</v>
      </c>
      <c r="I88" s="91"/>
      <c r="J88" s="91">
        <v>35.14</v>
      </c>
      <c r="K88" s="91"/>
      <c r="L88" s="90" t="s">
        <v>29</v>
      </c>
      <c r="M88" s="90" t="s">
        <v>691</v>
      </c>
      <c r="N88" s="90" t="s">
        <v>27</v>
      </c>
      <c r="O88" s="90" t="s">
        <v>1878</v>
      </c>
      <c r="P88" s="70" t="e">
        <f>INDEX(Colours!$C$2:$C$14,MATCH(K88,Colours!$A$2:$A$14,0))</f>
        <v>#N/A</v>
      </c>
      <c r="T88" s="96">
        <f>3+TableStandards11[[#This Row],[Degree Centrality]]*17</f>
        <v>3</v>
      </c>
    </row>
    <row r="89" spans="1:20" ht="172" x14ac:dyDescent="0.5">
      <c r="A89" s="93">
        <v>88</v>
      </c>
      <c r="B89" s="90" t="s">
        <v>1685</v>
      </c>
      <c r="C89" s="90" t="s">
        <v>1686</v>
      </c>
      <c r="D89" s="91" t="s">
        <v>1905</v>
      </c>
      <c r="E89" s="91" t="s">
        <v>1684</v>
      </c>
      <c r="F89" s="97" t="s">
        <v>1906</v>
      </c>
      <c r="G89" s="91">
        <v>2025.05</v>
      </c>
      <c r="H89" s="91">
        <v>2025.05</v>
      </c>
      <c r="I89" s="91"/>
      <c r="J89" s="91" t="s">
        <v>1907</v>
      </c>
      <c r="K89" s="91"/>
      <c r="L89" s="90" t="s">
        <v>29</v>
      </c>
      <c r="M89" s="90" t="s">
        <v>691</v>
      </c>
      <c r="N89" s="90" t="s">
        <v>27</v>
      </c>
      <c r="O89" s="90" t="s">
        <v>67</v>
      </c>
      <c r="P89" s="70" t="e">
        <f>INDEX(Colours!$C$2:$C$14,MATCH(K89,Colours!$A$2:$A$14,0))</f>
        <v>#N/A</v>
      </c>
      <c r="T89" s="96">
        <f>3+TableStandards11[[#This Row],[Degree Centrality]]*17</f>
        <v>3</v>
      </c>
    </row>
    <row r="90" spans="1:20" ht="372.7" x14ac:dyDescent="0.5">
      <c r="A90" s="93">
        <v>89</v>
      </c>
      <c r="B90" s="98" t="s">
        <v>646</v>
      </c>
      <c r="C90" s="90" t="s">
        <v>861</v>
      </c>
      <c r="D90" s="91" t="s">
        <v>863</v>
      </c>
      <c r="E90" s="91"/>
      <c r="F90" s="97" t="s">
        <v>862</v>
      </c>
      <c r="G90" s="94" t="s">
        <v>992</v>
      </c>
      <c r="H90" s="94" t="s">
        <v>992</v>
      </c>
      <c r="I90" s="94"/>
      <c r="J90" s="90" t="s">
        <v>670</v>
      </c>
      <c r="L90" s="90" t="s">
        <v>29</v>
      </c>
      <c r="M90" s="90" t="s">
        <v>691</v>
      </c>
      <c r="N90" s="90" t="s">
        <v>27</v>
      </c>
      <c r="O90" s="90" t="s">
        <v>667</v>
      </c>
      <c r="P90" s="70" t="e">
        <f>INDEX(Colours!$C$2:$C$14,MATCH(K90,Colours!$A$2:$A$14,0))</f>
        <v>#N/A</v>
      </c>
      <c r="T90" s="96">
        <f>3+TableStandards11[[#This Row],[Degree Centrality]]*17</f>
        <v>3</v>
      </c>
    </row>
    <row r="91" spans="1:20" ht="243.7" x14ac:dyDescent="0.5">
      <c r="A91" s="93">
        <v>90</v>
      </c>
      <c r="B91" s="90" t="s">
        <v>647</v>
      </c>
      <c r="C91" s="90" t="s">
        <v>864</v>
      </c>
      <c r="D91" s="91" t="s">
        <v>865</v>
      </c>
      <c r="E91" s="91"/>
      <c r="F91" s="97" t="s">
        <v>866</v>
      </c>
      <c r="G91" s="94" t="s">
        <v>934</v>
      </c>
      <c r="H91" s="94" t="s">
        <v>934</v>
      </c>
      <c r="I91" s="94"/>
      <c r="J91" s="90" t="s">
        <v>670</v>
      </c>
      <c r="L91" s="90" t="s">
        <v>29</v>
      </c>
      <c r="M91" s="90" t="s">
        <v>691</v>
      </c>
      <c r="N91" s="90" t="s">
        <v>27</v>
      </c>
      <c r="O91" s="90" t="s">
        <v>667</v>
      </c>
      <c r="P91" s="70" t="e">
        <f>INDEX(Colours!$C$2:$C$14,MATCH(K91,Colours!$A$2:$A$14,0))</f>
        <v>#N/A</v>
      </c>
      <c r="T91" s="96">
        <f>3+TableStandards11[[#This Row],[Degree Centrality]]*17</f>
        <v>3</v>
      </c>
    </row>
    <row r="92" spans="1:20" ht="157.69999999999999" x14ac:dyDescent="0.5">
      <c r="A92" s="93">
        <v>91</v>
      </c>
      <c r="B92" s="90" t="s">
        <v>648</v>
      </c>
      <c r="C92" s="90" t="s">
        <v>867</v>
      </c>
      <c r="D92" s="91" t="s">
        <v>868</v>
      </c>
      <c r="E92" s="91"/>
      <c r="F92" s="97" t="s">
        <v>869</v>
      </c>
      <c r="G92" s="94" t="s">
        <v>954</v>
      </c>
      <c r="H92" s="94" t="s">
        <v>954</v>
      </c>
      <c r="I92" s="94"/>
      <c r="J92" s="90" t="s">
        <v>670</v>
      </c>
      <c r="L92" s="90" t="s">
        <v>29</v>
      </c>
      <c r="M92" s="90" t="s">
        <v>691</v>
      </c>
      <c r="N92" s="90" t="s">
        <v>27</v>
      </c>
      <c r="O92" s="90" t="s">
        <v>667</v>
      </c>
      <c r="P92" s="70" t="e">
        <f>INDEX(Colours!$C$2:$C$14,MATCH(K92,Colours!$A$2:$A$14,0))</f>
        <v>#N/A</v>
      </c>
      <c r="T92" s="96">
        <f>3+TableStandards11[[#This Row],[Degree Centrality]]*17</f>
        <v>3</v>
      </c>
    </row>
    <row r="93" spans="1:20" ht="372.7" x14ac:dyDescent="0.5">
      <c r="A93" s="93">
        <v>92</v>
      </c>
      <c r="B93" s="90" t="s">
        <v>1712</v>
      </c>
      <c r="C93" s="90" t="s">
        <v>1713</v>
      </c>
      <c r="D93" s="91" t="s">
        <v>1734</v>
      </c>
      <c r="E93" s="91" t="s">
        <v>1684</v>
      </c>
      <c r="F93" s="92" t="s">
        <v>1735</v>
      </c>
      <c r="G93" s="115">
        <v>2025.05</v>
      </c>
      <c r="H93" s="115">
        <v>2025.05</v>
      </c>
      <c r="I93" s="115"/>
      <c r="J93" s="115" t="s">
        <v>1714</v>
      </c>
      <c r="K93" s="115"/>
      <c r="L93" s="115" t="s">
        <v>27</v>
      </c>
      <c r="M93" s="90" t="s">
        <v>674</v>
      </c>
      <c r="N93" s="90" t="s">
        <v>27</v>
      </c>
      <c r="O93" s="90" t="s">
        <v>1736</v>
      </c>
      <c r="P93" s="70" t="e">
        <f>INDEX(Colours!$C$2:$C$14,MATCH(K93,Colours!$A$2:$A$14,0))</f>
        <v>#N/A</v>
      </c>
      <c r="T93" s="96">
        <f>3+TableStandards11[[#This Row],[Degree Centrality]]*17</f>
        <v>3</v>
      </c>
    </row>
    <row r="94" spans="1:20" ht="243.7" x14ac:dyDescent="0.5">
      <c r="A94" s="93">
        <v>93</v>
      </c>
      <c r="B94" s="90" t="s">
        <v>1708</v>
      </c>
      <c r="C94" s="90" t="s">
        <v>1709</v>
      </c>
      <c r="D94" s="91" t="s">
        <v>1747</v>
      </c>
      <c r="E94" s="91" t="s">
        <v>1684</v>
      </c>
      <c r="F94" s="97" t="s">
        <v>1748</v>
      </c>
      <c r="G94" s="91">
        <v>2025.06</v>
      </c>
      <c r="H94" s="91">
        <v>2025.06</v>
      </c>
      <c r="I94" s="91"/>
      <c r="J94" s="91" t="s">
        <v>1710</v>
      </c>
      <c r="L94" s="115" t="s">
        <v>27</v>
      </c>
      <c r="M94" s="90" t="s">
        <v>674</v>
      </c>
      <c r="N94" s="90" t="s">
        <v>27</v>
      </c>
      <c r="O94" s="90" t="s">
        <v>1736</v>
      </c>
      <c r="P94" s="70" t="e">
        <f>INDEX(Colours!$C$2:$C$14,MATCH(K94,Colours!$A$2:$A$14,0))</f>
        <v>#N/A</v>
      </c>
      <c r="T94" s="96">
        <f>3+TableStandards11[[#This Row],[Degree Centrality]]*17</f>
        <v>3</v>
      </c>
    </row>
    <row r="95" spans="1:20" ht="409.6" x14ac:dyDescent="0.5">
      <c r="A95" s="93">
        <v>94</v>
      </c>
      <c r="B95" s="90" t="s">
        <v>1696</v>
      </c>
      <c r="C95" s="90" t="s">
        <v>1697</v>
      </c>
      <c r="D95" s="91" t="s">
        <v>1755</v>
      </c>
      <c r="E95" s="91" t="s">
        <v>1684</v>
      </c>
      <c r="F95" s="97" t="s">
        <v>1756</v>
      </c>
      <c r="G95" s="91">
        <v>2023.09</v>
      </c>
      <c r="H95" s="91">
        <v>2023.09</v>
      </c>
      <c r="I95" s="91"/>
      <c r="J95" s="91" t="s">
        <v>1448</v>
      </c>
      <c r="K95" s="91"/>
      <c r="L95" s="90" t="s">
        <v>29</v>
      </c>
      <c r="M95" s="90" t="s">
        <v>691</v>
      </c>
      <c r="N95" s="90" t="s">
        <v>27</v>
      </c>
      <c r="O95" s="90" t="s">
        <v>1754</v>
      </c>
      <c r="P95" s="70" t="e">
        <f>INDEX(Colours!$C$2:$C$14,MATCH(K95,Colours!$A$2:$A$14,0))</f>
        <v>#N/A</v>
      </c>
      <c r="T95" s="96">
        <f>3+TableStandards11[[#This Row],[Degree Centrality]]*17</f>
        <v>3</v>
      </c>
    </row>
    <row r="96" spans="1:20" ht="301" x14ac:dyDescent="0.5">
      <c r="A96" s="93">
        <v>95</v>
      </c>
      <c r="B96" s="90" t="s">
        <v>488</v>
      </c>
      <c r="C96" s="91" t="s">
        <v>489</v>
      </c>
      <c r="D96" s="91" t="s">
        <v>1847</v>
      </c>
      <c r="E96" s="91" t="s">
        <v>1684</v>
      </c>
      <c r="F96" s="97" t="s">
        <v>491</v>
      </c>
      <c r="G96" s="91">
        <v>2021.05</v>
      </c>
      <c r="H96" s="91">
        <v>2021.05</v>
      </c>
      <c r="I96" s="91"/>
      <c r="J96" s="91" t="s">
        <v>1848</v>
      </c>
      <c r="K96" s="91"/>
      <c r="L96" s="90" t="s">
        <v>29</v>
      </c>
      <c r="M96" s="90" t="s">
        <v>691</v>
      </c>
      <c r="N96" s="90" t="s">
        <v>27</v>
      </c>
      <c r="O96" s="90" t="s">
        <v>67</v>
      </c>
      <c r="P96" s="70" t="e">
        <f>INDEX(Colours!$C$2:$C$14,MATCH(K96,Colours!$A$2:$A$14,0))</f>
        <v>#N/A</v>
      </c>
      <c r="T96" s="96">
        <f>3+TableStandards11[[#This Row],[Degree Centrality]]*17</f>
        <v>3</v>
      </c>
    </row>
    <row r="97" spans="1:20" ht="258" x14ac:dyDescent="0.5">
      <c r="A97" s="93">
        <v>96</v>
      </c>
      <c r="B97" s="90" t="s">
        <v>1703</v>
      </c>
      <c r="C97" s="90" t="s">
        <v>1704</v>
      </c>
      <c r="D97" s="91" t="s">
        <v>1951</v>
      </c>
      <c r="E97" s="91" t="s">
        <v>1684</v>
      </c>
      <c r="F97" s="97" t="s">
        <v>1952</v>
      </c>
      <c r="G97" s="94">
        <v>2024.03</v>
      </c>
      <c r="H97" s="94">
        <v>2024.03</v>
      </c>
      <c r="I97" s="91"/>
      <c r="J97" s="91" t="s">
        <v>1953</v>
      </c>
      <c r="L97" s="90" t="s">
        <v>29</v>
      </c>
      <c r="M97" s="90" t="s">
        <v>691</v>
      </c>
      <c r="N97" s="90" t="s">
        <v>27</v>
      </c>
      <c r="O97" s="90" t="s">
        <v>1934</v>
      </c>
      <c r="P97" s="70" t="e">
        <f>INDEX(Colours!$C$2:$C$14,MATCH(K97,Colours!$A$2:$A$14,0))</f>
        <v>#N/A</v>
      </c>
      <c r="T97" s="96">
        <f>3+TableStandards11[[#This Row],[Degree Centrality]]*17</f>
        <v>3</v>
      </c>
    </row>
    <row r="98" spans="1:20" ht="315.35000000000002" x14ac:dyDescent="0.5">
      <c r="A98" s="93">
        <v>97</v>
      </c>
      <c r="B98" s="90" t="s">
        <v>1694</v>
      </c>
      <c r="C98" s="90" t="s">
        <v>1695</v>
      </c>
      <c r="D98" s="91" t="s">
        <v>1840</v>
      </c>
      <c r="E98" s="91" t="s">
        <v>1684</v>
      </c>
      <c r="F98" s="97" t="s">
        <v>1841</v>
      </c>
      <c r="G98" s="91">
        <v>2024.04</v>
      </c>
      <c r="H98" s="91">
        <v>2024.04</v>
      </c>
      <c r="I98" s="91"/>
      <c r="J98" s="91" t="s">
        <v>1842</v>
      </c>
      <c r="K98" s="91"/>
      <c r="L98" s="90" t="s">
        <v>29</v>
      </c>
      <c r="M98" s="90" t="s">
        <v>691</v>
      </c>
      <c r="N98" s="90" t="s">
        <v>27</v>
      </c>
      <c r="O98" s="90" t="s">
        <v>1843</v>
      </c>
      <c r="P98" s="70" t="e">
        <f>INDEX(Colours!$C$2:$C$14,MATCH(K98,Colours!$A$2:$A$14,0))</f>
        <v>#N/A</v>
      </c>
      <c r="T98" s="96">
        <f>3+TableStandards11[[#This Row],[Degree Centrality]]*17</f>
        <v>3</v>
      </c>
    </row>
    <row r="99" spans="1:20" ht="409.6" x14ac:dyDescent="0.5">
      <c r="A99" s="93">
        <v>98</v>
      </c>
      <c r="B99" s="90" t="s">
        <v>649</v>
      </c>
      <c r="C99" s="90" t="s">
        <v>870</v>
      </c>
      <c r="D99" s="91" t="s">
        <v>871</v>
      </c>
      <c r="E99" s="91"/>
      <c r="F99" s="97" t="s">
        <v>872</v>
      </c>
      <c r="G99" s="94" t="s">
        <v>975</v>
      </c>
      <c r="H99" s="94" t="s">
        <v>975</v>
      </c>
      <c r="I99" s="94"/>
      <c r="J99" s="90" t="s">
        <v>670</v>
      </c>
      <c r="L99" s="90" t="s">
        <v>29</v>
      </c>
      <c r="M99" s="90" t="s">
        <v>691</v>
      </c>
      <c r="N99" s="90" t="s">
        <v>27</v>
      </c>
      <c r="O99" s="90" t="s">
        <v>667</v>
      </c>
      <c r="P99" s="70" t="e">
        <f>INDEX(Colours!$C$2:$C$14,MATCH(K99,Colours!$A$2:$A$14,0))</f>
        <v>#N/A</v>
      </c>
      <c r="T99" s="96">
        <f>3+TableStandards11[[#This Row],[Degree Centrality]]*17</f>
        <v>3</v>
      </c>
    </row>
    <row r="100" spans="1:20" ht="129" x14ac:dyDescent="0.5">
      <c r="A100" s="93">
        <v>99</v>
      </c>
      <c r="B100" s="90" t="s">
        <v>650</v>
      </c>
      <c r="C100" s="90" t="s">
        <v>873</v>
      </c>
      <c r="D100" s="91" t="s">
        <v>874</v>
      </c>
      <c r="E100" s="91"/>
      <c r="F100" s="97" t="s">
        <v>875</v>
      </c>
      <c r="G100" s="94" t="s">
        <v>993</v>
      </c>
      <c r="H100" s="94" t="s">
        <v>993</v>
      </c>
      <c r="I100" s="94"/>
      <c r="J100" s="90" t="s">
        <v>670</v>
      </c>
      <c r="L100" s="90" t="s">
        <v>29</v>
      </c>
      <c r="M100" s="90" t="s">
        <v>691</v>
      </c>
      <c r="N100" s="90" t="s">
        <v>27</v>
      </c>
      <c r="O100" s="90" t="s">
        <v>667</v>
      </c>
      <c r="P100" s="70" t="e">
        <f>INDEX(Colours!$C$2:$C$14,MATCH(K100,Colours!$A$2:$A$14,0))</f>
        <v>#N/A</v>
      </c>
      <c r="T100" s="96">
        <f>3+TableStandards11[[#This Row],[Degree Centrality]]*17</f>
        <v>3</v>
      </c>
    </row>
    <row r="101" spans="1:20" ht="409.6" x14ac:dyDescent="0.5">
      <c r="A101" s="93">
        <v>100</v>
      </c>
      <c r="B101" s="90" t="s">
        <v>651</v>
      </c>
      <c r="C101" s="90" t="s">
        <v>877</v>
      </c>
      <c r="D101" s="91" t="s">
        <v>878</v>
      </c>
      <c r="E101" s="91"/>
      <c r="F101" s="97" t="s">
        <v>879</v>
      </c>
      <c r="G101" s="94" t="s">
        <v>994</v>
      </c>
      <c r="H101" s="94" t="s">
        <v>994</v>
      </c>
      <c r="I101" s="94"/>
      <c r="J101" s="90" t="s">
        <v>670</v>
      </c>
      <c r="L101" s="90" t="s">
        <v>29</v>
      </c>
      <c r="M101" s="90" t="s">
        <v>691</v>
      </c>
      <c r="N101" s="90" t="s">
        <v>27</v>
      </c>
      <c r="O101" s="90" t="s">
        <v>667</v>
      </c>
      <c r="P101" s="70" t="e">
        <f>INDEX(Colours!$C$2:$C$14,MATCH(K101,Colours!$A$2:$A$14,0))</f>
        <v>#N/A</v>
      </c>
      <c r="T101" s="96">
        <f>3+TableStandards11[[#This Row],[Degree Centrality]]*17</f>
        <v>3</v>
      </c>
    </row>
    <row r="102" spans="1:20" ht="286.7" x14ac:dyDescent="0.5">
      <c r="A102" s="93">
        <v>101</v>
      </c>
      <c r="B102" s="90" t="s">
        <v>652</v>
      </c>
      <c r="C102" s="90" t="s">
        <v>880</v>
      </c>
      <c r="D102" s="91" t="s">
        <v>881</v>
      </c>
      <c r="E102" s="91"/>
      <c r="F102" s="97" t="s">
        <v>882</v>
      </c>
      <c r="G102" s="94" t="s">
        <v>995</v>
      </c>
      <c r="H102" s="94" t="s">
        <v>995</v>
      </c>
      <c r="I102" s="94"/>
      <c r="J102" s="90" t="s">
        <v>670</v>
      </c>
      <c r="L102" s="90" t="s">
        <v>29</v>
      </c>
      <c r="M102" s="90" t="s">
        <v>691</v>
      </c>
      <c r="N102" s="90" t="s">
        <v>27</v>
      </c>
      <c r="O102" s="90" t="s">
        <v>667</v>
      </c>
      <c r="P102" s="70" t="e">
        <f>INDEX(Colours!$C$2:$C$14,MATCH(K102,Colours!$A$2:$A$14,0))</f>
        <v>#N/A</v>
      </c>
      <c r="T102" s="96">
        <f>3+TableStandards11[[#This Row],[Degree Centrality]]*17</f>
        <v>3</v>
      </c>
    </row>
    <row r="103" spans="1:20" ht="186.35" x14ac:dyDescent="0.5">
      <c r="A103" s="93">
        <v>102</v>
      </c>
      <c r="B103" s="90" t="s">
        <v>653</v>
      </c>
      <c r="C103" s="90" t="s">
        <v>1008</v>
      </c>
      <c r="D103" s="91" t="s">
        <v>668</v>
      </c>
      <c r="E103" s="91"/>
      <c r="F103" s="92" t="s">
        <v>666</v>
      </c>
      <c r="G103" s="93">
        <v>2007.04</v>
      </c>
      <c r="H103" s="93">
        <v>2019.03</v>
      </c>
      <c r="I103" s="93"/>
      <c r="J103" s="90" t="s">
        <v>670</v>
      </c>
      <c r="L103" s="90" t="s">
        <v>27</v>
      </c>
      <c r="M103" s="90" t="s">
        <v>674</v>
      </c>
      <c r="N103" s="90" t="s">
        <v>27</v>
      </c>
      <c r="O103" s="90" t="s">
        <v>667</v>
      </c>
      <c r="P103" s="70" t="e">
        <f>INDEX(Colours!$C$2:$C$14,MATCH(K103,Colours!$A$2:$A$14,0))</f>
        <v>#N/A</v>
      </c>
      <c r="Q103" s="70"/>
      <c r="T103" s="96">
        <f>3+TableStandards11[[#This Row],[Degree Centrality]]*17</f>
        <v>3</v>
      </c>
    </row>
    <row r="104" spans="1:20" ht="243.7" x14ac:dyDescent="0.5">
      <c r="A104" s="93">
        <v>103</v>
      </c>
      <c r="B104" s="90" t="s">
        <v>654</v>
      </c>
      <c r="C104" s="90" t="s">
        <v>1009</v>
      </c>
      <c r="D104" s="91" t="s">
        <v>675</v>
      </c>
      <c r="E104" s="91"/>
      <c r="F104" s="92" t="s">
        <v>676</v>
      </c>
      <c r="G104" s="93">
        <v>2024.11</v>
      </c>
      <c r="H104" s="93">
        <v>2024.11</v>
      </c>
      <c r="I104" s="93"/>
      <c r="J104" s="90" t="s">
        <v>670</v>
      </c>
      <c r="L104" s="90" t="s">
        <v>27</v>
      </c>
      <c r="M104" s="90" t="s">
        <v>674</v>
      </c>
      <c r="N104" s="90" t="s">
        <v>27</v>
      </c>
      <c r="O104" s="90" t="s">
        <v>667</v>
      </c>
      <c r="P104" s="70" t="e">
        <f>INDEX(Colours!$C$2:$C$14,MATCH(K104,Colours!$A$2:$A$14,0))</f>
        <v>#N/A</v>
      </c>
      <c r="T104" s="96">
        <f>3+TableStandards11[[#This Row],[Degree Centrality]]*17</f>
        <v>3</v>
      </c>
    </row>
    <row r="105" spans="1:20" ht="114.7" x14ac:dyDescent="0.5">
      <c r="A105" s="93">
        <v>104</v>
      </c>
      <c r="B105" s="90" t="s">
        <v>655</v>
      </c>
      <c r="C105" s="90" t="s">
        <v>883</v>
      </c>
      <c r="D105" s="91" t="s">
        <v>884</v>
      </c>
      <c r="E105" s="91"/>
      <c r="F105" s="97" t="s">
        <v>886</v>
      </c>
      <c r="G105" s="94" t="s">
        <v>885</v>
      </c>
      <c r="H105" s="94" t="s">
        <v>885</v>
      </c>
      <c r="I105" s="94"/>
      <c r="J105" s="90" t="s">
        <v>670</v>
      </c>
      <c r="L105" s="90" t="s">
        <v>29</v>
      </c>
      <c r="M105" s="90" t="s">
        <v>691</v>
      </c>
      <c r="N105" s="90" t="s">
        <v>27</v>
      </c>
      <c r="O105" s="90" t="s">
        <v>667</v>
      </c>
      <c r="P105" s="70" t="e">
        <f>INDEX(Colours!$C$2:$C$14,MATCH(K105,Colours!$A$2:$A$14,0))</f>
        <v>#N/A</v>
      </c>
      <c r="T105" s="96">
        <f>3+TableStandards11[[#This Row],[Degree Centrality]]*17</f>
        <v>3</v>
      </c>
    </row>
    <row r="106" spans="1:20" ht="71.7" x14ac:dyDescent="0.5">
      <c r="A106" s="93">
        <v>105</v>
      </c>
      <c r="B106" s="90" t="s">
        <v>656</v>
      </c>
      <c r="C106" s="90" t="s">
        <v>887</v>
      </c>
      <c r="D106" s="91" t="s">
        <v>888</v>
      </c>
      <c r="E106" s="91"/>
      <c r="F106" s="97" t="s">
        <v>890</v>
      </c>
      <c r="G106" s="94" t="s">
        <v>889</v>
      </c>
      <c r="H106" s="94" t="s">
        <v>889</v>
      </c>
      <c r="I106" s="94"/>
      <c r="J106" s="90" t="s">
        <v>670</v>
      </c>
      <c r="L106" s="90" t="s">
        <v>29</v>
      </c>
      <c r="M106" s="90" t="s">
        <v>691</v>
      </c>
      <c r="N106" s="90" t="s">
        <v>27</v>
      </c>
      <c r="O106" s="90" t="s">
        <v>667</v>
      </c>
      <c r="P106" s="70" t="e">
        <f>INDEX(Colours!$C$2:$C$14,MATCH(K106,Colours!$A$2:$A$14,0))</f>
        <v>#N/A</v>
      </c>
      <c r="T106" s="96">
        <f>3+TableStandards11[[#This Row],[Degree Centrality]]*17</f>
        <v>3</v>
      </c>
    </row>
    <row r="107" spans="1:20" ht="409.6" x14ac:dyDescent="0.5">
      <c r="A107" s="93">
        <v>106</v>
      </c>
      <c r="B107" s="90" t="s">
        <v>657</v>
      </c>
      <c r="C107" s="90" t="s">
        <v>891</v>
      </c>
      <c r="D107" s="91" t="s">
        <v>892</v>
      </c>
      <c r="E107" s="91"/>
      <c r="F107" s="97" t="s">
        <v>894</v>
      </c>
      <c r="G107" s="94" t="s">
        <v>893</v>
      </c>
      <c r="H107" s="94" t="s">
        <v>893</v>
      </c>
      <c r="I107" s="94"/>
      <c r="J107" s="90" t="s">
        <v>670</v>
      </c>
      <c r="L107" s="90" t="s">
        <v>29</v>
      </c>
      <c r="M107" s="90" t="s">
        <v>691</v>
      </c>
      <c r="N107" s="90" t="s">
        <v>27</v>
      </c>
      <c r="O107" s="90" t="s">
        <v>667</v>
      </c>
      <c r="P107" s="70" t="e">
        <f>INDEX(Colours!$C$2:$C$14,MATCH(K107,Colours!$A$2:$A$14,0))</f>
        <v>#N/A</v>
      </c>
      <c r="T107" s="96">
        <f>3+TableStandards11[[#This Row],[Degree Centrality]]*17</f>
        <v>3</v>
      </c>
    </row>
    <row r="108" spans="1:20" ht="129" x14ac:dyDescent="0.5">
      <c r="A108" s="93">
        <v>107</v>
      </c>
      <c r="B108" s="90" t="s">
        <v>658</v>
      </c>
      <c r="C108" s="90" t="s">
        <v>895</v>
      </c>
      <c r="D108" s="91" t="s">
        <v>896</v>
      </c>
      <c r="E108" s="91"/>
      <c r="F108" s="97" t="s">
        <v>898</v>
      </c>
      <c r="G108" s="94" t="s">
        <v>897</v>
      </c>
      <c r="H108" s="94" t="s">
        <v>897</v>
      </c>
      <c r="I108" s="94"/>
      <c r="J108" s="90" t="s">
        <v>670</v>
      </c>
      <c r="L108" s="90" t="s">
        <v>29</v>
      </c>
      <c r="M108" s="90" t="s">
        <v>691</v>
      </c>
      <c r="N108" s="90" t="s">
        <v>27</v>
      </c>
      <c r="O108" s="90" t="s">
        <v>667</v>
      </c>
      <c r="P108" s="70" t="e">
        <f>INDEX(Colours!$C$2:$C$14,MATCH(K108,Colours!$A$2:$A$14,0))</f>
        <v>#N/A</v>
      </c>
      <c r="T108" s="96">
        <f>3+TableStandards11[[#This Row],[Degree Centrality]]*17</f>
        <v>3</v>
      </c>
    </row>
    <row r="109" spans="1:20" ht="229.35" x14ac:dyDescent="0.5">
      <c r="A109" s="93">
        <v>108</v>
      </c>
      <c r="B109" s="90" t="s">
        <v>659</v>
      </c>
      <c r="C109" s="90" t="s">
        <v>899</v>
      </c>
      <c r="D109" s="91" t="s">
        <v>900</v>
      </c>
      <c r="E109" s="91"/>
      <c r="F109" s="97" t="s">
        <v>902</v>
      </c>
      <c r="G109" s="94" t="s">
        <v>901</v>
      </c>
      <c r="H109" s="94" t="s">
        <v>901</v>
      </c>
      <c r="I109" s="94"/>
      <c r="J109" s="90" t="s">
        <v>670</v>
      </c>
      <c r="L109" s="90" t="s">
        <v>29</v>
      </c>
      <c r="M109" s="90" t="s">
        <v>691</v>
      </c>
      <c r="N109" s="90" t="s">
        <v>27</v>
      </c>
      <c r="O109" s="90" t="s">
        <v>667</v>
      </c>
      <c r="P109" s="70" t="e">
        <f>INDEX(Colours!$C$2:$C$14,MATCH(K109,Colours!$A$2:$A$14,0))</f>
        <v>#N/A</v>
      </c>
      <c r="T109" s="96">
        <f>3+TableStandards11[[#This Row],[Degree Centrality]]*17</f>
        <v>3</v>
      </c>
    </row>
    <row r="110" spans="1:20" ht="143.35" x14ac:dyDescent="0.5">
      <c r="A110" s="93">
        <v>109</v>
      </c>
      <c r="B110" s="90" t="s">
        <v>660</v>
      </c>
      <c r="C110" s="90" t="s">
        <v>903</v>
      </c>
      <c r="D110" s="91" t="s">
        <v>904</v>
      </c>
      <c r="E110" s="91"/>
      <c r="F110" s="97" t="s">
        <v>906</v>
      </c>
      <c r="G110" s="94" t="s">
        <v>905</v>
      </c>
      <c r="H110" s="94" t="s">
        <v>905</v>
      </c>
      <c r="I110" s="94"/>
      <c r="J110" s="90" t="s">
        <v>670</v>
      </c>
      <c r="L110" s="90" t="s">
        <v>29</v>
      </c>
      <c r="M110" s="90" t="s">
        <v>691</v>
      </c>
      <c r="N110" s="90" t="s">
        <v>27</v>
      </c>
      <c r="O110" s="90" t="s">
        <v>667</v>
      </c>
      <c r="P110" s="70" t="e">
        <f>INDEX(Colours!$C$2:$C$14,MATCH(K110,Colours!$A$2:$A$14,0))</f>
        <v>#N/A</v>
      </c>
      <c r="T110" s="96">
        <f>3+TableStandards11[[#This Row],[Degree Centrality]]*17</f>
        <v>3</v>
      </c>
    </row>
    <row r="111" spans="1:20" ht="71.7" x14ac:dyDescent="0.5">
      <c r="A111" s="93">
        <v>110</v>
      </c>
      <c r="B111" s="90" t="s">
        <v>661</v>
      </c>
      <c r="C111" s="90" t="s">
        <v>1728</v>
      </c>
      <c r="D111" s="91" t="s">
        <v>907</v>
      </c>
      <c r="E111" s="91"/>
      <c r="F111" s="97" t="s">
        <v>909</v>
      </c>
      <c r="G111" s="94" t="s">
        <v>908</v>
      </c>
      <c r="H111" s="94" t="s">
        <v>908</v>
      </c>
      <c r="I111" s="94"/>
      <c r="J111" s="90" t="s">
        <v>670</v>
      </c>
      <c r="L111" s="90" t="s">
        <v>29</v>
      </c>
      <c r="M111" s="90" t="s">
        <v>691</v>
      </c>
      <c r="N111" s="90" t="s">
        <v>27</v>
      </c>
      <c r="O111" s="90" t="s">
        <v>667</v>
      </c>
      <c r="P111" s="70" t="e">
        <f>INDEX(Colours!$C$2:$C$14,MATCH(K111,Colours!$A$2:$A$14,0))</f>
        <v>#N/A</v>
      </c>
      <c r="T111" s="96">
        <f>3+TableStandards11[[#This Row],[Degree Centrality]]*17</f>
        <v>3</v>
      </c>
    </row>
    <row r="112" spans="1:20" ht="286.7" x14ac:dyDescent="0.5">
      <c r="A112" s="93">
        <v>111</v>
      </c>
      <c r="B112" s="90" t="s">
        <v>662</v>
      </c>
      <c r="C112" s="90" t="s">
        <v>910</v>
      </c>
      <c r="D112" s="91" t="s">
        <v>911</v>
      </c>
      <c r="E112" s="91"/>
      <c r="F112" s="97" t="s">
        <v>913</v>
      </c>
      <c r="G112" s="94" t="s">
        <v>912</v>
      </c>
      <c r="H112" s="94" t="s">
        <v>912</v>
      </c>
      <c r="I112" s="94"/>
      <c r="J112" s="90" t="s">
        <v>670</v>
      </c>
      <c r="L112" s="90" t="s">
        <v>29</v>
      </c>
      <c r="M112" s="90" t="s">
        <v>691</v>
      </c>
      <c r="N112" s="90" t="s">
        <v>27</v>
      </c>
      <c r="O112" s="90" t="s">
        <v>667</v>
      </c>
      <c r="P112" s="70" t="e">
        <f>INDEX(Colours!$C$2:$C$14,MATCH(K112,Colours!$A$2:$A$14,0))</f>
        <v>#N/A</v>
      </c>
      <c r="T112" s="96">
        <f>3+TableStandards11[[#This Row],[Degree Centrality]]*17</f>
        <v>3</v>
      </c>
    </row>
    <row r="113" spans="1:20" ht="172" x14ac:dyDescent="0.5">
      <c r="A113" s="93">
        <v>112</v>
      </c>
      <c r="B113" s="90" t="s">
        <v>663</v>
      </c>
      <c r="C113" s="90" t="s">
        <v>914</v>
      </c>
      <c r="D113" s="91" t="s">
        <v>915</v>
      </c>
      <c r="E113" s="91"/>
      <c r="F113" s="97" t="s">
        <v>917</v>
      </c>
      <c r="G113" s="94" t="s">
        <v>916</v>
      </c>
      <c r="H113" s="94" t="s">
        <v>916</v>
      </c>
      <c r="I113" s="94"/>
      <c r="J113" s="90" t="s">
        <v>670</v>
      </c>
      <c r="L113" s="90" t="s">
        <v>29</v>
      </c>
      <c r="M113" s="90" t="s">
        <v>691</v>
      </c>
      <c r="N113" s="90" t="s">
        <v>27</v>
      </c>
      <c r="O113" s="90" t="s">
        <v>667</v>
      </c>
      <c r="P113" s="70" t="e">
        <f>INDEX(Colours!$C$2:$C$14,MATCH(K113,Colours!$A$2:$A$14,0))</f>
        <v>#N/A</v>
      </c>
      <c r="T113" s="96">
        <f>3+TableStandards11[[#This Row],[Degree Centrality]]*17</f>
        <v>3</v>
      </c>
    </row>
    <row r="114" spans="1:20" ht="409.6" x14ac:dyDescent="0.5">
      <c r="A114" s="93">
        <v>113</v>
      </c>
      <c r="B114" s="90" t="s">
        <v>664</v>
      </c>
      <c r="C114" s="90" t="s">
        <v>918</v>
      </c>
      <c r="D114" s="91" t="s">
        <v>919</v>
      </c>
      <c r="E114" s="91"/>
      <c r="F114" s="97" t="s">
        <v>921</v>
      </c>
      <c r="G114" s="94" t="s">
        <v>920</v>
      </c>
      <c r="H114" s="94" t="s">
        <v>920</v>
      </c>
      <c r="I114" s="94"/>
      <c r="J114" s="90" t="s">
        <v>670</v>
      </c>
      <c r="L114" s="90" t="s">
        <v>29</v>
      </c>
      <c r="M114" s="90" t="s">
        <v>691</v>
      </c>
      <c r="N114" s="90" t="s">
        <v>27</v>
      </c>
      <c r="O114" s="90" t="s">
        <v>667</v>
      </c>
      <c r="P114" s="70" t="e">
        <f>INDEX(Colours!$C$2:$C$14,MATCH(K114,Colours!$A$2:$A$14,0))</f>
        <v>#N/A</v>
      </c>
      <c r="T114" s="96">
        <f>3+TableStandards11[[#This Row],[Degree Centrality]]*17</f>
        <v>3</v>
      </c>
    </row>
    <row r="115" spans="1:20" ht="71.7" x14ac:dyDescent="0.5">
      <c r="A115" s="93">
        <v>114</v>
      </c>
      <c r="B115" s="90" t="s">
        <v>665</v>
      </c>
      <c r="C115" s="90" t="s">
        <v>922</v>
      </c>
      <c r="D115" s="91" t="s">
        <v>923</v>
      </c>
      <c r="E115" s="91"/>
      <c r="F115" s="97" t="s">
        <v>925</v>
      </c>
      <c r="G115" s="94" t="s">
        <v>924</v>
      </c>
      <c r="H115" s="94" t="s">
        <v>924</v>
      </c>
      <c r="I115" s="94"/>
      <c r="J115" s="90" t="s">
        <v>673</v>
      </c>
      <c r="L115" s="90" t="s">
        <v>29</v>
      </c>
      <c r="M115" s="90" t="s">
        <v>691</v>
      </c>
      <c r="N115" s="90" t="s">
        <v>27</v>
      </c>
      <c r="O115" s="90" t="s">
        <v>926</v>
      </c>
      <c r="P115" s="70" t="e">
        <f>INDEX(Colours!$C$2:$C$14,MATCH(K115,Colours!$A$2:$A$14,0))</f>
        <v>#N/A</v>
      </c>
      <c r="T115" s="96">
        <f>3+TableStandards11[[#This Row],[Degree Centrality]]*17</f>
        <v>3</v>
      </c>
    </row>
    <row r="116" spans="1:20" ht="243.7" x14ac:dyDescent="0.5">
      <c r="A116" s="93">
        <v>115</v>
      </c>
      <c r="B116" s="90" t="s">
        <v>1698</v>
      </c>
      <c r="C116" s="90" t="s">
        <v>1699</v>
      </c>
      <c r="D116" s="91" t="s">
        <v>1863</v>
      </c>
      <c r="E116" s="91" t="s">
        <v>1684</v>
      </c>
      <c r="F116" s="97" t="s">
        <v>1864</v>
      </c>
      <c r="G116" s="91">
        <v>2025.01</v>
      </c>
      <c r="H116" s="91">
        <v>2025.01</v>
      </c>
      <c r="I116" s="91"/>
      <c r="J116" s="108" t="s">
        <v>1865</v>
      </c>
      <c r="K116" s="91"/>
      <c r="L116" s="90" t="s">
        <v>29</v>
      </c>
      <c r="M116" s="90" t="s">
        <v>691</v>
      </c>
      <c r="N116" s="90" t="s">
        <v>27</v>
      </c>
      <c r="O116" s="90" t="s">
        <v>1866</v>
      </c>
      <c r="P116" s="70" t="e">
        <f>INDEX(Colours!$C$2:$C$14,MATCH(K116,Colours!$A$2:$A$14,0))</f>
        <v>#N/A</v>
      </c>
      <c r="T116" s="96">
        <f>3+TableStandards11[[#This Row],[Degree Centrality]]*17</f>
        <v>3</v>
      </c>
    </row>
  </sheetData>
  <hyperlinks>
    <hyperlink ref="F103" r:id="rId1" xr:uid="{44AEE433-F035-4420-9F80-63695507FFA0}"/>
    <hyperlink ref="F104" r:id="rId2" xr:uid="{6FD8C00F-A498-4B84-B568-7AEA58160346}"/>
    <hyperlink ref="F2" r:id="rId3" xr:uid="{60EEF281-B2F1-4E55-8826-CE221D945AEF}"/>
    <hyperlink ref="F3" r:id="rId4" xr:uid="{9289EE66-DC18-42BD-AD83-A1D564CF3E93}"/>
    <hyperlink ref="F4" r:id="rId5" xr:uid="{4C5E9D28-894A-49FF-980D-AE61ADD5155E}"/>
    <hyperlink ref="F5" r:id="rId6" xr:uid="{CADC8111-CD14-470A-81CA-93FF2E9E46FC}"/>
    <hyperlink ref="F11" r:id="rId7" xr:uid="{4652B988-7B7D-44C2-A06B-4C93C52727EC}"/>
    <hyperlink ref="F13" r:id="rId8" xr:uid="{AE9E033D-490B-48EF-8569-AA389611D581}"/>
    <hyperlink ref="F15" r:id="rId9" xr:uid="{A360CDD3-2151-45D7-8C05-D6A869A09938}"/>
    <hyperlink ref="F16" r:id="rId10" xr:uid="{78FE5C3A-B68B-4B0C-A623-40660086B265}"/>
    <hyperlink ref="F17" r:id="rId11" xr:uid="{732DA8D3-78FA-40F3-B456-DD13ABC9AAC1}"/>
    <hyperlink ref="F18" r:id="rId12" xr:uid="{A76B0985-2D1B-4959-AA03-5545F2CDF937}"/>
    <hyperlink ref="F19" r:id="rId13" xr:uid="{CE026451-6A6C-4622-AA98-C2ED02AE9BA3}"/>
    <hyperlink ref="F20" r:id="rId14" xr:uid="{DA44D248-E683-4877-BBD5-F7BDB4062BAE}"/>
    <hyperlink ref="F21" r:id="rId15" xr:uid="{1A9318EB-C417-410D-9755-94950420E294}"/>
    <hyperlink ref="F22" r:id="rId16" xr:uid="{5195DD92-8609-46AC-B3BC-8AC78924335B}"/>
    <hyperlink ref="F23" r:id="rId17" xr:uid="{B287BEC5-BCE7-4936-9731-06BD7ECA4642}"/>
    <hyperlink ref="F24" r:id="rId18" xr:uid="{33320502-91F6-46F3-B214-4C4D6BC28D84}"/>
    <hyperlink ref="F25" r:id="rId19" xr:uid="{47F3885F-6171-4A16-B05E-3C71C8CA3DA9}"/>
    <hyperlink ref="F26" r:id="rId20" xr:uid="{E50BA07D-420D-4A52-89E8-6481C8E8AC28}"/>
    <hyperlink ref="F27" r:id="rId21" xr:uid="{CC99AC8F-8741-424A-8585-CFB1E72D5E08}"/>
    <hyperlink ref="F28" r:id="rId22" xr:uid="{B4C65765-7D63-4DA6-A830-BACF34C8AFDF}"/>
    <hyperlink ref="F29" r:id="rId23" xr:uid="{617CB8BF-906C-4C23-9816-D304CACB120F}"/>
    <hyperlink ref="F30" r:id="rId24" xr:uid="{47CE1E33-A9B7-4EA6-B836-13C4081FEC28}"/>
    <hyperlink ref="F32" r:id="rId25" xr:uid="{D8F017B4-C8B6-44E7-B15B-6BD77D48AC7A}"/>
    <hyperlink ref="F33" r:id="rId26" xr:uid="{682F8DAB-F2B4-4333-B90D-AD282DBF219C}"/>
    <hyperlink ref="F34" r:id="rId27" xr:uid="{BB730213-FEE8-4298-AE04-CB716D1B8DB7}"/>
    <hyperlink ref="F36" r:id="rId28" xr:uid="{54ECA8A7-8919-47B3-ACA6-730A3F657E3A}"/>
    <hyperlink ref="F38" r:id="rId29" xr:uid="{C59209C5-E47B-4C76-A501-86B8C0B58608}"/>
    <hyperlink ref="F39" r:id="rId30" xr:uid="{205EA73B-05AA-4662-AA96-9FBB7CDF47F0}"/>
    <hyperlink ref="F40" r:id="rId31" xr:uid="{EB1B9589-64EE-4543-8FFD-3CFEFEA7A527}"/>
    <hyperlink ref="F41" r:id="rId32" xr:uid="{BE970294-EDF0-4910-A54D-BBB5706D2BED}"/>
    <hyperlink ref="F42" r:id="rId33" xr:uid="{5972F5B3-CC23-40BF-B157-CF6CD3169212}"/>
    <hyperlink ref="F43" r:id="rId34" xr:uid="{3EBE3D51-6524-4350-98FD-5D41BD37460C}"/>
    <hyperlink ref="F44" r:id="rId35" xr:uid="{2BEF0B2B-9DF6-4AE9-ACA8-BDFF762872E1}"/>
    <hyperlink ref="F45" r:id="rId36" xr:uid="{875A5E05-D18B-4AC4-BD01-9B27C65088B4}"/>
    <hyperlink ref="F46" r:id="rId37" xr:uid="{E6AD30CE-3677-4C74-8CB9-328ECDD1C421}"/>
    <hyperlink ref="F47" r:id="rId38" xr:uid="{C1430325-1954-4866-9959-E3583174F969}"/>
    <hyperlink ref="F48" r:id="rId39" xr:uid="{AD82A39B-BACE-4B69-8C00-A47D066E037D}"/>
    <hyperlink ref="F49" r:id="rId40" xr:uid="{63C16703-B492-4BDE-B295-C261E5E3FCE8}"/>
    <hyperlink ref="F50" r:id="rId41" xr:uid="{A3B40549-CE87-4BBA-B700-5172494D8B94}"/>
    <hyperlink ref="F52" r:id="rId42" xr:uid="{86F2E6D2-EB3E-4D4C-8326-CD119131E497}"/>
    <hyperlink ref="F54" r:id="rId43" xr:uid="{7BF18674-59E7-4975-B732-4E06A26C6913}"/>
    <hyperlink ref="F57" r:id="rId44" xr:uid="{6F837726-14CF-4EE1-81C9-285B464EBBC9}"/>
    <hyperlink ref="F58" r:id="rId45" xr:uid="{1B0B231C-E95F-40B8-9FAE-3BD2206310AF}"/>
    <hyperlink ref="F60" r:id="rId46" xr:uid="{ABFA8C47-E26D-4BCF-AADA-6D4BC273A007}"/>
    <hyperlink ref="F66" r:id="rId47" xr:uid="{C7CDE42B-8CD2-4310-9D98-8383FC7DB1C3}"/>
    <hyperlink ref="F67" r:id="rId48" xr:uid="{60E87610-18AF-4D53-AD0A-0E7D1B99F768}"/>
    <hyperlink ref="F70" r:id="rId49" xr:uid="{F66A9A40-9FD6-4AA7-AA93-D16A7AC93854}"/>
    <hyperlink ref="F73" r:id="rId50" xr:uid="{5BBA9BF8-34DC-4107-B38C-9D1D93175911}"/>
    <hyperlink ref="F74" r:id="rId51" xr:uid="{7C52B1B8-708E-4817-A6BC-EF7F1D39A7A2}"/>
    <hyperlink ref="F12" r:id="rId52" xr:uid="{321644D9-209A-46DF-B40F-6986E44428CD}"/>
    <hyperlink ref="F14" r:id="rId53" xr:uid="{E49C87FC-460F-4E43-A9B7-735E41E37AEB}"/>
    <hyperlink ref="F31" r:id="rId54" xr:uid="{0A621DCD-36C3-4900-9945-E6A540486C9A}"/>
    <hyperlink ref="F35" r:id="rId55" xr:uid="{BCE3EB93-2647-4143-8D60-7F8DA156A507}"/>
    <hyperlink ref="F37" r:id="rId56" xr:uid="{247979F4-9149-48D4-AABD-4C07DF5A13A8}"/>
    <hyperlink ref="F51" r:id="rId57" xr:uid="{B3EEFFC5-B184-4079-810D-7E130FB35F3E}"/>
    <hyperlink ref="F53" r:id="rId58" xr:uid="{4A1D38FE-866F-45D1-8C90-8FF099D1D4BF}"/>
    <hyperlink ref="F55" r:id="rId59" xr:uid="{34313C6C-3172-4F80-916C-B183762B9C3D}"/>
    <hyperlink ref="F56" r:id="rId60" xr:uid="{C162B98E-1A6B-429F-BF16-7B4B7F335F91}"/>
    <hyperlink ref="F63" r:id="rId61" xr:uid="{1BB70076-1824-4540-A656-61EF639E5D6C}"/>
    <hyperlink ref="F64" r:id="rId62" xr:uid="{5C7D03D5-4283-464F-93EB-70D269F5A401}"/>
    <hyperlink ref="F65" r:id="rId63" xr:uid="{46BF8023-3C7D-477A-83D0-CD5156ADC4CD}"/>
    <hyperlink ref="F68" r:id="rId64" xr:uid="{FDCD6F39-2EBF-48B0-B984-28E1540F3216}"/>
    <hyperlink ref="F69" r:id="rId65" xr:uid="{40ED6DB5-B04C-47BB-A5D0-6FD1C08EAE0B}"/>
    <hyperlink ref="F71" r:id="rId66" xr:uid="{F3688B11-9C51-40B3-9315-0AC279BCAEF5}"/>
    <hyperlink ref="F72" r:id="rId67" xr:uid="{A22C04AE-D40B-450C-A296-CB44BA78C645}"/>
    <hyperlink ref="F75" r:id="rId68" xr:uid="{072E7A10-5A3D-498A-84A7-9DF80C439BC1}"/>
    <hyperlink ref="F90" r:id="rId69" xr:uid="{ECA1812B-DF3A-4936-BBCE-9CFB54303FD1}"/>
    <hyperlink ref="F91" r:id="rId70" xr:uid="{2BAAE9C1-88AC-4467-9CA7-927E6D7D1E1E}"/>
    <hyperlink ref="F92" r:id="rId71" xr:uid="{FAE8C51F-48F3-4C21-A62A-877B49B22A81}"/>
    <hyperlink ref="F99" r:id="rId72" xr:uid="{D758D5BF-4A3B-4E18-A026-C8B5E1A68D5D}"/>
    <hyperlink ref="F100" r:id="rId73" xr:uid="{67DAF428-3087-4360-B3C6-C5267D7E9254}"/>
    <hyperlink ref="F101" r:id="rId74" xr:uid="{5D71A709-B80B-428F-BAF0-B65D72E5AB96}"/>
    <hyperlink ref="F102" r:id="rId75" xr:uid="{DBB74026-79E3-443A-9362-9520C998571D}"/>
    <hyperlink ref="F105" r:id="rId76" xr:uid="{E6FF1C86-AAFF-4C5D-B988-98C0C775C5A5}"/>
    <hyperlink ref="F106" r:id="rId77" xr:uid="{0CA11A68-BBA1-473E-BF76-01B3727CA214}"/>
    <hyperlink ref="F107" r:id="rId78" xr:uid="{F2C69402-AFAC-46DD-BB9C-389D3A1330E0}"/>
    <hyperlink ref="F108" r:id="rId79" xr:uid="{C8B5E979-1641-4A1C-8DD8-5CCA71AB193F}"/>
    <hyperlink ref="F109" r:id="rId80" xr:uid="{5037F95C-6349-406F-9998-AB93DBCA15BA}"/>
    <hyperlink ref="F110" r:id="rId81" xr:uid="{5AE3710E-EC62-4398-8E09-A7322D3812CC}"/>
    <hyperlink ref="F111" r:id="rId82" xr:uid="{B439AC10-33E8-4FFB-A400-7609477D8B38}"/>
    <hyperlink ref="F112" r:id="rId83" xr:uid="{B4F9A53E-2C5E-41DC-9C86-84E4173791A0}"/>
    <hyperlink ref="F113" r:id="rId84" xr:uid="{0DBC684C-0EC2-436A-B394-370E2E35B4BC}"/>
    <hyperlink ref="F114" r:id="rId85" xr:uid="{5A823D48-17E7-49CD-9DBF-E3FB8C891327}"/>
    <hyperlink ref="F115" r:id="rId86" xr:uid="{5D32489F-4D4C-46A5-A30A-ACDB181EDD9C}"/>
    <hyperlink ref="F59" r:id="rId87" xr:uid="{A690BE6D-1428-4B31-9ECC-D59C2A3C70B2}"/>
    <hyperlink ref="F61" r:id="rId88" xr:uid="{F94F8A4E-EA04-46DB-98C9-8545C9A2CC41}"/>
    <hyperlink ref="F62" r:id="rId89" xr:uid="{717E8B04-A31B-4BE8-8783-CD1312CC39C3}"/>
    <hyperlink ref="F7" r:id="rId90" xr:uid="{0439AE47-BC5A-4234-9F02-6D589F3C9DC1}"/>
    <hyperlink ref="F93" r:id="rId91" xr:uid="{596B10E6-3F06-4577-B08D-5084C4E41F4F}"/>
    <hyperlink ref="F94" r:id="rId92" xr:uid="{AB2D40BD-C9C2-4BF9-8EB3-949E0E86BBD2}"/>
    <hyperlink ref="F95" r:id="rId93" xr:uid="{7CC41C36-5720-4F01-B08E-E21C6D2B16E8}"/>
    <hyperlink ref="F9" r:id="rId94" xr:uid="{83F5576D-13B5-47E2-B248-FD332223ECE2}"/>
    <hyperlink ref="F10" r:id="rId95" xr:uid="{E1891C68-D030-4A7E-A1D6-78FEA1D1165C}"/>
    <hyperlink ref="F8" r:id="rId96" xr:uid="{FAA13DB4-5BDB-40A1-9E93-944D54C09583}"/>
    <hyperlink ref="F98" r:id="rId97" xr:uid="{A746581B-B91C-41CE-A66D-42A46D2E6683}"/>
    <hyperlink ref="F96" r:id="rId98" xr:uid="{965370D5-0C13-4906-A842-1BAE9F8F3482}"/>
    <hyperlink ref="F116" r:id="rId99" xr:uid="{ED82EEF6-C407-4CE3-9E1A-93FA0356582E}"/>
    <hyperlink ref="F76" r:id="rId100" xr:uid="{FF7E2423-DCBA-40A9-8018-E8172D9A069B}"/>
    <hyperlink ref="F88" r:id="rId101" xr:uid="{D519999A-9C49-4AC1-8569-19008CB1554A}"/>
    <hyperlink ref="F87" r:id="rId102" xr:uid="{0CB208EC-5CB8-4CB3-A198-B94DDBAE2228}"/>
    <hyperlink ref="F89" r:id="rId103" xr:uid="{0AE5E09A-3547-41D3-A3D7-DB88CDFA9379}"/>
    <hyperlink ref="F79" r:id="rId104" xr:uid="{A27901C2-D24F-40E6-84DC-B303DFF152C2}"/>
    <hyperlink ref="F80" r:id="rId105" xr:uid="{EEEA0EDC-3958-4E74-93FF-A5CC66E543ED}"/>
    <hyperlink ref="F77" r:id="rId106" xr:uid="{64CD0D5D-6DA1-4F26-9078-EDC2A66E7FA9}"/>
    <hyperlink ref="F78" r:id="rId107" xr:uid="{C46689CD-845C-4567-8F6C-227EF6F42985}"/>
    <hyperlink ref="F97" r:id="rId108" xr:uid="{06EECED1-D2AB-4854-937E-A10A19A013E9}"/>
    <hyperlink ref="F85" r:id="rId109" xr:uid="{4A8D086F-0EC6-45D8-A5CC-AF47286C93FC}"/>
    <hyperlink ref="F86" r:id="rId110" xr:uid="{94E18660-DAE9-452A-8439-EF391F03150E}"/>
    <hyperlink ref="F82" r:id="rId111" xr:uid="{D8516B79-83AB-4A0B-BFD2-C5D80117E42A}"/>
    <hyperlink ref="F83" r:id="rId112" xr:uid="{554AC471-6D5E-42C9-B6C1-FB7D1819056B}"/>
    <hyperlink ref="F84" r:id="rId113" xr:uid="{B76052CE-4DCA-42AD-90AB-59A4B68A4292}"/>
    <hyperlink ref="F81" r:id="rId114" xr:uid="{B8593A3F-7EF1-408E-8231-E87B63C0655C}"/>
  </hyperlinks>
  <pageMargins left="0.7" right="0.7" top="0.75" bottom="0.75" header="0.3" footer="0.3"/>
  <legacyDrawing r:id="rId115"/>
  <tableParts count="1">
    <tablePart r:id="rId11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08E0-667F-4416-9255-3F6CCBD078C5}">
  <sheetPr>
    <tabColor theme="4"/>
  </sheetPr>
  <dimension ref="A1:X1048476"/>
  <sheetViews>
    <sheetView topLeftCell="A2445" workbookViewId="0">
      <selection activeCell="C227" sqref="C227"/>
    </sheetView>
  </sheetViews>
  <sheetFormatPr defaultRowHeight="14.35" x14ac:dyDescent="0.5"/>
  <cols>
    <col min="1" max="1" width="9.05859375" style="54"/>
    <col min="2" max="2" width="18.41015625" customWidth="1"/>
    <col min="3" max="3" width="49.234375" bestFit="1" customWidth="1"/>
    <col min="4" max="4" width="31" customWidth="1"/>
    <col min="5" max="5" width="18.3515625" style="112" customWidth="1"/>
    <col min="6" max="6" width="19.46875" style="112" customWidth="1"/>
    <col min="7" max="7" width="19.52734375" customWidth="1"/>
    <col min="8" max="8" width="13.41015625" customWidth="1"/>
    <col min="9" max="10" width="16.41015625" customWidth="1"/>
    <col min="11" max="15" width="12.41015625" customWidth="1"/>
    <col min="16" max="16" width="19" customWidth="1"/>
    <col min="17" max="20" width="13.87890625" customWidth="1"/>
    <col min="21" max="21" width="18.87890625" customWidth="1"/>
    <col min="22" max="22" width="18.41015625" customWidth="1"/>
  </cols>
  <sheetData>
    <row r="1" spans="1:24" x14ac:dyDescent="0.5">
      <c r="A1" s="54" t="s">
        <v>502</v>
      </c>
      <c r="B1" t="s">
        <v>503</v>
      </c>
      <c r="C1" t="s">
        <v>1382</v>
      </c>
      <c r="D1" t="s">
        <v>1432</v>
      </c>
      <c r="E1" s="112" t="s">
        <v>1648</v>
      </c>
      <c r="F1" s="112" t="s">
        <v>1649</v>
      </c>
      <c r="G1" t="s">
        <v>669</v>
      </c>
      <c r="H1" t="s">
        <v>505</v>
      </c>
      <c r="I1" t="s">
        <v>506</v>
      </c>
      <c r="J1" t="s">
        <v>507</v>
      </c>
      <c r="K1" t="s">
        <v>508</v>
      </c>
      <c r="L1" t="s">
        <v>7</v>
      </c>
      <c r="M1" t="s">
        <v>509</v>
      </c>
      <c r="N1" t="s">
        <v>510</v>
      </c>
      <c r="O1" t="s">
        <v>511</v>
      </c>
      <c r="P1" s="103" t="s">
        <v>512</v>
      </c>
      <c r="Q1" s="103" t="s">
        <v>513</v>
      </c>
      <c r="R1" s="103" t="s">
        <v>514</v>
      </c>
      <c r="S1" s="103" t="s">
        <v>515</v>
      </c>
      <c r="T1" s="103" t="s">
        <v>516</v>
      </c>
      <c r="U1" s="103" t="s">
        <v>517</v>
      </c>
      <c r="V1" s="103" t="s">
        <v>518</v>
      </c>
      <c r="W1" s="103" t="s">
        <v>519</v>
      </c>
      <c r="X1" s="103" t="s">
        <v>520</v>
      </c>
    </row>
    <row r="2" spans="1:24" x14ac:dyDescent="0.5">
      <c r="A2" s="54">
        <v>1</v>
      </c>
      <c r="B2" t="s">
        <v>624</v>
      </c>
      <c r="C2" t="s">
        <v>527</v>
      </c>
      <c r="D2" s="1"/>
      <c r="E2" s="112">
        <v>2007.04</v>
      </c>
      <c r="F2" s="112">
        <v>2019.03</v>
      </c>
      <c r="G2" s="90" t="s">
        <v>670</v>
      </c>
      <c r="H2" t="e">
        <f>INDEX('GIS-Standards'!$A$2:$A$305,MATCH(B2,'GIS-Standards'!$B$2:$B$305,0))</f>
        <v>#N/A</v>
      </c>
      <c r="I2" t="e">
        <f>INDEX('GIS-Standards'!$A$2:$A$305,MATCH(C2,'GIS-Standards'!$B$2:$B$305,0))</f>
        <v>#N/A</v>
      </c>
      <c r="J2" t="e">
        <f>INDEX('GIS-Standards'!$O$2:$O$305,MATCH(B2,'GIS-Standards'!$B$2:$B$305,0))</f>
        <v>#N/A</v>
      </c>
      <c r="K2" t="e">
        <f>INDEX('GIS-Standards'!$O$2:$O$305,MATCH(C2,'GIS-Standards'!$B$2:$B$305,0))</f>
        <v>#N/A</v>
      </c>
      <c r="M2" t="s">
        <v>237</v>
      </c>
      <c r="N2" t="e">
        <f>INDEX('GIS-Standards'!$I$2:$I$305,MATCH(B2,'GIS-Standards'!$B$2:$B$305,0))</f>
        <v>#N/A</v>
      </c>
      <c r="O2" t="e">
        <f>INDEX('GIS-Standards'!$I$2:$I$305,MATCH(C2,'GIS-Standards'!$B$2:$B$305,0))</f>
        <v>#N/A</v>
      </c>
      <c r="P2" t="e">
        <f>AND(TableRelationships12[[#This Row],[Source Type]]="BIM",TableRelationships12[[#This Row],[Target Type]]="BIM")</f>
        <v>#N/A</v>
      </c>
      <c r="Q2">
        <f t="shared" ref="Q2:Q65" si="0">IF(M2="Normative",6,IF(M2="Secondary",4,IF(M2="Anchor",2,1)))</f>
        <v>2</v>
      </c>
      <c r="S2">
        <f t="shared" ref="S2:S65" si="1">IF(R2="High",10,IF(R2="Medium",6,IF(R2="Low",2,1)))</f>
        <v>1</v>
      </c>
      <c r="T2" t="str">
        <f>IF(TableRelationships12[[#This Row],[Rank Pedro]]="Low","linkCategory1",IF(TableRelationships12[[#This Row],[Rank Pedro]]="Medium","linkCategory2",IF(TableRelationships12[[#This Row],[Rank Pedro]]="High","linkCategory3","")))</f>
        <v/>
      </c>
      <c r="U2" t="str">
        <f>IF(TableRelationships12[[#This Row],[Rank Pedro]]="Low","Pink",IF(TableRelationships12[[#This Row],[Rank Pedro]]="Medium","Purple",IF(TableRelationships12[[#This Row],[Rank Pedro]]="High","Brown","")))</f>
        <v/>
      </c>
      <c r="V2" s="4" t="e">
        <f>MAX(INDEX(Standards!$F$2:$F$296,MATCH(B2,Standards!$B$2:$B$296,0)),INDEX(Standards!$F$2:$F$296,MATCH(C2,Standards!$B$2:$B$296,0)))</f>
        <v>#N/A</v>
      </c>
      <c r="W2">
        <f t="shared" ref="W2:W65" si="2">IF(M2="Normative", "#d6bf2a", IF(M2="Informative", "#2f89d1", 1))</f>
        <v>1</v>
      </c>
    </row>
    <row r="3" spans="1:24" x14ac:dyDescent="0.5">
      <c r="A3" s="54">
        <v>2</v>
      </c>
      <c r="B3" t="s">
        <v>624</v>
      </c>
      <c r="C3" t="s">
        <v>316</v>
      </c>
      <c r="D3" s="1"/>
      <c r="E3" s="112">
        <v>2005.07</v>
      </c>
      <c r="F3" s="112">
        <v>2011.1</v>
      </c>
      <c r="G3" s="107" t="s">
        <v>670</v>
      </c>
      <c r="H3" t="e">
        <f>INDEX('GIS-Standards'!$A$2:$A$305,MATCH(B3,'GIS-Standards'!$B$2:$B$305,0))</f>
        <v>#N/A</v>
      </c>
      <c r="I3">
        <f>INDEX('GIS-Standards'!$A$2:$A$305,MATCH(C3,'GIS-Standards'!$B$2:$B$305,0))</f>
        <v>27</v>
      </c>
      <c r="J3" t="e">
        <f>INDEX('GIS-Standards'!$O$2:$O$305,MATCH(B3,'GIS-Standards'!$B$2:$B$305,0))</f>
        <v>#N/A</v>
      </c>
      <c r="K3" t="str">
        <f>INDEX('GIS-Standards'!$O$2:$O$305,MATCH(C3,'GIS-Standards'!$B$2:$B$305,0))</f>
        <v>ISO/TC 211</v>
      </c>
      <c r="M3" t="s">
        <v>524</v>
      </c>
      <c r="N3" t="e">
        <f>INDEX('GIS-Standards'!$I$2:$I$305,MATCH(B3,'GIS-Standards'!$B$2:$B$305,0))</f>
        <v>#N/A</v>
      </c>
      <c r="O3">
        <f>INDEX('GIS-Standards'!$I$2:$I$305,MATCH(C3,'GIS-Standards'!$B$2:$B$305,0))</f>
        <v>0</v>
      </c>
      <c r="P3" t="e">
        <f>AND(TableRelationships12[[#This Row],[Source Type]]="BIM",TableRelationships12[[#This Row],[Target Type]]="BIM")</f>
        <v>#N/A</v>
      </c>
      <c r="Q3">
        <f t="shared" si="0"/>
        <v>6</v>
      </c>
      <c r="S3">
        <f t="shared" si="1"/>
        <v>1</v>
      </c>
      <c r="T3" s="102" t="str">
        <f>IF(TableRelationships12[[#This Row],[Rank Pedro]]="Low","linkCategory1",IF(TableRelationships12[[#This Row],[Rank Pedro]]="Medium","linkCategory2",IF(TableRelationships12[[#This Row],[Rank Pedro]]="High","linkCategory3","")))</f>
        <v/>
      </c>
      <c r="U3" s="102" t="str">
        <f>IF(TableRelationships12[[#This Row],[Rank Pedro]]="Low","Pink",IF(TableRelationships12[[#This Row],[Rank Pedro]]="Medium","Purple",IF(TableRelationships12[[#This Row],[Rank Pedro]]="High","Brown","")))</f>
        <v/>
      </c>
      <c r="V3" s="4" t="e">
        <f>MAX(INDEX(Standards!$F$2:$F$296,MATCH(B3,Standards!$B$2:$B$296,0)),INDEX(Standards!$F$2:$F$296,MATCH(C3,Standards!$B$2:$B$296,0)))</f>
        <v>#N/A</v>
      </c>
      <c r="W3" t="str">
        <f t="shared" si="2"/>
        <v>#d6bf2a</v>
      </c>
    </row>
    <row r="4" spans="1:24" x14ac:dyDescent="0.5">
      <c r="A4" s="54">
        <v>3</v>
      </c>
      <c r="B4" t="s">
        <v>624</v>
      </c>
      <c r="C4" t="s">
        <v>1570</v>
      </c>
      <c r="D4" s="1"/>
      <c r="G4" s="107"/>
      <c r="H4" t="e">
        <f>INDEX('GIS-Standards'!$A$2:$A$305,MATCH(B4,'GIS-Standards'!$B$2:$B$305,0))</f>
        <v>#N/A</v>
      </c>
      <c r="I4" t="e">
        <f>INDEX('GIS-Standards'!$A$2:$A$305,MATCH(C4,'GIS-Standards'!$B$2:$B$305,0))</f>
        <v>#N/A</v>
      </c>
      <c r="J4" t="e">
        <f>INDEX('GIS-Standards'!$O$2:$O$305,MATCH(B4,'GIS-Standards'!$B$2:$B$305,0))</f>
        <v>#N/A</v>
      </c>
      <c r="K4" t="e">
        <f>INDEX('GIS-Standards'!$O$2:$O$305,MATCH(C4,'GIS-Standards'!$B$2:$B$305,0))</f>
        <v>#N/A</v>
      </c>
      <c r="M4" t="s">
        <v>524</v>
      </c>
      <c r="N4" t="e">
        <f>INDEX('GIS-Standards'!$I$2:$I$305,MATCH(B4,'GIS-Standards'!$B$2:$B$305,0))</f>
        <v>#N/A</v>
      </c>
      <c r="O4" t="e">
        <f>INDEX('GIS-Standards'!$I$2:$I$305,MATCH(C4,'GIS-Standards'!$B$2:$B$305,0))</f>
        <v>#N/A</v>
      </c>
      <c r="P4" t="e">
        <f>AND(TableRelationships12[[#This Row],[Source Type]]="BIM",TableRelationships12[[#This Row],[Target Type]]="BIM")</f>
        <v>#N/A</v>
      </c>
      <c r="Q4">
        <f t="shared" si="0"/>
        <v>6</v>
      </c>
      <c r="S4">
        <f t="shared" si="1"/>
        <v>1</v>
      </c>
      <c r="T4" s="102" t="str">
        <f>IF(TableRelationships12[[#This Row],[Rank Pedro]]="Low","linkCategory1",IF(TableRelationships12[[#This Row],[Rank Pedro]]="Medium","linkCategory2",IF(TableRelationships12[[#This Row],[Rank Pedro]]="High","linkCategory3","")))</f>
        <v/>
      </c>
      <c r="U4" s="102" t="str">
        <f>IF(TableRelationships12[[#This Row],[Rank Pedro]]="Low","Pink",IF(TableRelationships12[[#This Row],[Rank Pedro]]="Medium","Purple",IF(TableRelationships12[[#This Row],[Rank Pedro]]="High","Brown","")))</f>
        <v/>
      </c>
      <c r="V4" s="4" t="e">
        <f>MAX(INDEX(Standards!$F$2:$F$296,MATCH(B4,Standards!$B$2:$B$296,0)),INDEX(Standards!$F$2:$F$296,MATCH(C4,Standards!$B$2:$B$296,0)))</f>
        <v>#N/A</v>
      </c>
      <c r="W4" t="str">
        <f t="shared" si="2"/>
        <v>#d6bf2a</v>
      </c>
    </row>
    <row r="5" spans="1:24" x14ac:dyDescent="0.5">
      <c r="A5" s="54">
        <v>4</v>
      </c>
      <c r="B5" t="s">
        <v>624</v>
      </c>
      <c r="C5" t="s">
        <v>1141</v>
      </c>
      <c r="D5" s="1"/>
      <c r="G5" s="107"/>
      <c r="H5" t="e">
        <f>INDEX('GIS-Standards'!$A$2:$A$305,MATCH(B5,'GIS-Standards'!$B$2:$B$305,0))</f>
        <v>#N/A</v>
      </c>
      <c r="I5" t="e">
        <f>INDEX('GIS-Standards'!$A$2:$A$305,MATCH(C5,'GIS-Standards'!$B$2:$B$305,0))</f>
        <v>#N/A</v>
      </c>
      <c r="J5" t="e">
        <f>INDEX('GIS-Standards'!$O$2:$O$305,MATCH(B5,'GIS-Standards'!$B$2:$B$305,0))</f>
        <v>#N/A</v>
      </c>
      <c r="K5" t="e">
        <f>INDEX('GIS-Standards'!$O$2:$O$305,MATCH(C5,'GIS-Standards'!$B$2:$B$305,0))</f>
        <v>#N/A</v>
      </c>
      <c r="M5" t="s">
        <v>524</v>
      </c>
      <c r="N5" t="e">
        <f>INDEX('GIS-Standards'!$I$2:$I$305,MATCH(B5,'GIS-Standards'!$B$2:$B$305,0))</f>
        <v>#N/A</v>
      </c>
      <c r="O5" t="e">
        <f>INDEX('GIS-Standards'!$I$2:$I$305,MATCH(C5,'GIS-Standards'!$B$2:$B$305,0))</f>
        <v>#N/A</v>
      </c>
      <c r="P5" t="e">
        <f>AND(TableRelationships12[[#This Row],[Source Type]]="BIM",TableRelationships12[[#This Row],[Target Type]]="BIM")</f>
        <v>#N/A</v>
      </c>
      <c r="Q5">
        <f t="shared" si="0"/>
        <v>6</v>
      </c>
      <c r="S5">
        <f t="shared" si="1"/>
        <v>1</v>
      </c>
      <c r="T5" s="102" t="str">
        <f>IF(TableRelationships12[[#This Row],[Rank Pedro]]="Low","linkCategory1",IF(TableRelationships12[[#This Row],[Rank Pedro]]="Medium","linkCategory2",IF(TableRelationships12[[#This Row],[Rank Pedro]]="High","linkCategory3","")))</f>
        <v/>
      </c>
      <c r="U5" s="102" t="str">
        <f>IF(TableRelationships12[[#This Row],[Rank Pedro]]="Low","Pink",IF(TableRelationships12[[#This Row],[Rank Pedro]]="Medium","Purple",IF(TableRelationships12[[#This Row],[Rank Pedro]]="High","Brown","")))</f>
        <v/>
      </c>
      <c r="V5" s="4" t="e">
        <f>MAX(INDEX(Standards!$F$2:$F$296,MATCH(B5,Standards!$B$2:$B$296,0)),INDEX(Standards!$F$2:$F$296,MATCH(C5,Standards!$B$2:$B$296,0)))</f>
        <v>#N/A</v>
      </c>
      <c r="W5" t="str">
        <f t="shared" si="2"/>
        <v>#d6bf2a</v>
      </c>
    </row>
    <row r="6" spans="1:24" x14ac:dyDescent="0.5">
      <c r="A6" s="54">
        <v>5</v>
      </c>
      <c r="B6" t="s">
        <v>624</v>
      </c>
      <c r="C6" t="s">
        <v>1142</v>
      </c>
      <c r="D6" s="1"/>
      <c r="G6" s="107"/>
      <c r="H6" t="e">
        <f>INDEX('GIS-Standards'!$A$2:$A$305,MATCH(B6,'GIS-Standards'!$B$2:$B$305,0))</f>
        <v>#N/A</v>
      </c>
      <c r="I6" t="e">
        <f>INDEX('GIS-Standards'!$A$2:$A$305,MATCH(C6,'GIS-Standards'!$B$2:$B$305,0))</f>
        <v>#N/A</v>
      </c>
      <c r="J6" t="e">
        <f>INDEX('GIS-Standards'!$O$2:$O$305,MATCH(B6,'GIS-Standards'!$B$2:$B$305,0))</f>
        <v>#N/A</v>
      </c>
      <c r="K6" t="e">
        <f>INDEX('GIS-Standards'!$O$2:$O$305,MATCH(C6,'GIS-Standards'!$B$2:$B$305,0))</f>
        <v>#N/A</v>
      </c>
      <c r="M6" t="s">
        <v>524</v>
      </c>
      <c r="N6" t="e">
        <f>INDEX('GIS-Standards'!$I$2:$I$305,MATCH(B6,'GIS-Standards'!$B$2:$B$305,0))</f>
        <v>#N/A</v>
      </c>
      <c r="O6" t="e">
        <f>INDEX('GIS-Standards'!$I$2:$I$305,MATCH(C6,'GIS-Standards'!$B$2:$B$305,0))</f>
        <v>#N/A</v>
      </c>
      <c r="P6" t="e">
        <f>AND(TableRelationships12[[#This Row],[Source Type]]="BIM",TableRelationships12[[#This Row],[Target Type]]="BIM")</f>
        <v>#N/A</v>
      </c>
      <c r="Q6">
        <f t="shared" si="0"/>
        <v>6</v>
      </c>
      <c r="S6">
        <f t="shared" si="1"/>
        <v>1</v>
      </c>
      <c r="T6" s="102" t="str">
        <f>IF(TableRelationships12[[#This Row],[Rank Pedro]]="Low","linkCategory1",IF(TableRelationships12[[#This Row],[Rank Pedro]]="Medium","linkCategory2",IF(TableRelationships12[[#This Row],[Rank Pedro]]="High","linkCategory3","")))</f>
        <v/>
      </c>
      <c r="U6" s="102" t="str">
        <f>IF(TableRelationships12[[#This Row],[Rank Pedro]]="Low","Pink",IF(TableRelationships12[[#This Row],[Rank Pedro]]="Medium","Purple",IF(TableRelationships12[[#This Row],[Rank Pedro]]="High","Brown","")))</f>
        <v/>
      </c>
      <c r="V6" s="4" t="e">
        <f>MAX(INDEX(Standards!$F$2:$F$296,MATCH(B6,Standards!$B$2:$B$296,0)),INDEX(Standards!$F$2:$F$296,MATCH(C6,Standards!$B$2:$B$296,0)))</f>
        <v>#N/A</v>
      </c>
      <c r="W6" t="str">
        <f t="shared" si="2"/>
        <v>#d6bf2a</v>
      </c>
    </row>
    <row r="7" spans="1:24" x14ac:dyDescent="0.5">
      <c r="A7" s="54">
        <v>6</v>
      </c>
      <c r="B7" t="s">
        <v>624</v>
      </c>
      <c r="C7" t="s">
        <v>1595</v>
      </c>
      <c r="D7" s="1"/>
      <c r="G7" s="107"/>
      <c r="H7" t="e">
        <f>INDEX('GIS-Standards'!$A$2:$A$305,MATCH(B7,'GIS-Standards'!$B$2:$B$305,0))</f>
        <v>#N/A</v>
      </c>
      <c r="I7" t="e">
        <f>INDEX('GIS-Standards'!$A$2:$A$305,MATCH(C7,'GIS-Standards'!$B$2:$B$305,0))</f>
        <v>#N/A</v>
      </c>
      <c r="J7" t="e">
        <f>INDEX('GIS-Standards'!$O$2:$O$305,MATCH(B7,'GIS-Standards'!$B$2:$B$305,0))</f>
        <v>#N/A</v>
      </c>
      <c r="K7" t="e">
        <f>INDEX('GIS-Standards'!$O$2:$O$305,MATCH(C7,'GIS-Standards'!$B$2:$B$305,0))</f>
        <v>#N/A</v>
      </c>
      <c r="M7" t="s">
        <v>524</v>
      </c>
      <c r="N7" t="e">
        <f>INDEX('GIS-Standards'!$I$2:$I$305,MATCH(B7,'GIS-Standards'!$B$2:$B$305,0))</f>
        <v>#N/A</v>
      </c>
      <c r="O7" t="e">
        <f>INDEX('GIS-Standards'!$I$2:$I$305,MATCH(C7,'GIS-Standards'!$B$2:$B$305,0))</f>
        <v>#N/A</v>
      </c>
      <c r="P7" t="e">
        <f>AND(TableRelationships12[[#This Row],[Source Type]]="BIM",TableRelationships12[[#This Row],[Target Type]]="BIM")</f>
        <v>#N/A</v>
      </c>
      <c r="Q7">
        <f t="shared" si="0"/>
        <v>6</v>
      </c>
      <c r="S7">
        <f t="shared" si="1"/>
        <v>1</v>
      </c>
      <c r="T7" s="102" t="str">
        <f>IF(TableRelationships12[[#This Row],[Rank Pedro]]="Low","linkCategory1",IF(TableRelationships12[[#This Row],[Rank Pedro]]="Medium","linkCategory2",IF(TableRelationships12[[#This Row],[Rank Pedro]]="High","linkCategory3","")))</f>
        <v/>
      </c>
      <c r="U7" s="102" t="str">
        <f>IF(TableRelationships12[[#This Row],[Rank Pedro]]="Low","Pink",IF(TableRelationships12[[#This Row],[Rank Pedro]]="Medium","Purple",IF(TableRelationships12[[#This Row],[Rank Pedro]]="High","Brown","")))</f>
        <v/>
      </c>
      <c r="V7" s="4" t="e">
        <f>MAX(INDEX(Standards!$F$2:$F$296,MATCH(B7,Standards!$B$2:$B$296,0)),INDEX(Standards!$F$2:$F$296,MATCH(C7,Standards!$B$2:$B$296,0)))</f>
        <v>#N/A</v>
      </c>
      <c r="W7" t="str">
        <f t="shared" si="2"/>
        <v>#d6bf2a</v>
      </c>
    </row>
    <row r="8" spans="1:24" x14ac:dyDescent="0.5">
      <c r="A8" s="54">
        <v>7</v>
      </c>
      <c r="B8" t="s">
        <v>624</v>
      </c>
      <c r="C8" t="s">
        <v>1597</v>
      </c>
      <c r="D8" s="1"/>
      <c r="G8" s="107"/>
      <c r="H8" t="e">
        <f>INDEX('GIS-Standards'!$A$2:$A$305,MATCH(B8,'GIS-Standards'!$B$2:$B$305,0))</f>
        <v>#N/A</v>
      </c>
      <c r="I8" t="e">
        <f>INDEX('GIS-Standards'!$A$2:$A$305,MATCH(C8,'GIS-Standards'!$B$2:$B$305,0))</f>
        <v>#N/A</v>
      </c>
      <c r="J8" t="e">
        <f>INDEX('GIS-Standards'!$O$2:$O$305,MATCH(B8,'GIS-Standards'!$B$2:$B$305,0))</f>
        <v>#N/A</v>
      </c>
      <c r="K8" t="e">
        <f>INDEX('GIS-Standards'!$O$2:$O$305,MATCH(C8,'GIS-Standards'!$B$2:$B$305,0))</f>
        <v>#N/A</v>
      </c>
      <c r="M8" t="s">
        <v>524</v>
      </c>
      <c r="N8" t="e">
        <f>INDEX('GIS-Standards'!$I$2:$I$305,MATCH(B8,'GIS-Standards'!$B$2:$B$305,0))</f>
        <v>#N/A</v>
      </c>
      <c r="O8" t="e">
        <f>INDEX('GIS-Standards'!$I$2:$I$305,MATCH(C8,'GIS-Standards'!$B$2:$B$305,0))</f>
        <v>#N/A</v>
      </c>
      <c r="P8" t="e">
        <f>AND(TableRelationships12[[#This Row],[Source Type]]="BIM",TableRelationships12[[#This Row],[Target Type]]="BIM")</f>
        <v>#N/A</v>
      </c>
      <c r="Q8">
        <f t="shared" si="0"/>
        <v>6</v>
      </c>
      <c r="S8">
        <f t="shared" si="1"/>
        <v>1</v>
      </c>
      <c r="T8" s="102" t="str">
        <f>IF(TableRelationships12[[#This Row],[Rank Pedro]]="Low","linkCategory1",IF(TableRelationships12[[#This Row],[Rank Pedro]]="Medium","linkCategory2",IF(TableRelationships12[[#This Row],[Rank Pedro]]="High","linkCategory3","")))</f>
        <v/>
      </c>
      <c r="U8" s="102" t="str">
        <f>IF(TableRelationships12[[#This Row],[Rank Pedro]]="Low","Pink",IF(TableRelationships12[[#This Row],[Rank Pedro]]="Medium","Purple",IF(TableRelationships12[[#This Row],[Rank Pedro]]="High","Brown","")))</f>
        <v/>
      </c>
      <c r="V8" s="4" t="e">
        <f>MAX(INDEX(Standards!$F$2:$F$296,MATCH(B8,Standards!$B$2:$B$296,0)),INDEX(Standards!$F$2:$F$296,MATCH(C8,Standards!$B$2:$B$296,0)))</f>
        <v>#N/A</v>
      </c>
      <c r="W8" t="str">
        <f t="shared" si="2"/>
        <v>#d6bf2a</v>
      </c>
    </row>
    <row r="9" spans="1:24" x14ac:dyDescent="0.5">
      <c r="A9" s="54">
        <v>8</v>
      </c>
      <c r="B9" t="s">
        <v>624</v>
      </c>
      <c r="C9" t="s">
        <v>296</v>
      </c>
      <c r="D9" s="1"/>
      <c r="E9" s="112">
        <v>2005.07</v>
      </c>
      <c r="F9" s="112">
        <v>2024.09</v>
      </c>
      <c r="G9" s="107" t="s">
        <v>670</v>
      </c>
      <c r="H9" t="e">
        <f>INDEX('GIS-Standards'!$A$2:$A$305,MATCH(B9,'GIS-Standards'!$B$2:$B$305,0))</f>
        <v>#N/A</v>
      </c>
      <c r="I9">
        <f>INDEX('GIS-Standards'!$A$2:$A$305,MATCH(C9,'GIS-Standards'!$B$2:$B$305,0))</f>
        <v>12</v>
      </c>
      <c r="J9" t="e">
        <f>INDEX('GIS-Standards'!$O$2:$O$305,MATCH(B9,'GIS-Standards'!$B$2:$B$305,0))</f>
        <v>#N/A</v>
      </c>
      <c r="K9" t="str">
        <f>INDEX('GIS-Standards'!$O$2:$O$305,MATCH(C9,'GIS-Standards'!$B$2:$B$305,0))</f>
        <v>ISO/TC 211</v>
      </c>
      <c r="M9" t="s">
        <v>525</v>
      </c>
      <c r="N9" t="e">
        <f>INDEX('GIS-Standards'!$I$2:$I$305,MATCH(B9,'GIS-Standards'!$B$2:$B$305,0))</f>
        <v>#N/A</v>
      </c>
      <c r="O9">
        <f>INDEX('GIS-Standards'!$I$2:$I$305,MATCH(C9,'GIS-Standards'!$B$2:$B$305,0))</f>
        <v>0</v>
      </c>
      <c r="P9" t="e">
        <f>AND(TableRelationships12[[#This Row],[Source Type]]="BIM",TableRelationships12[[#This Row],[Target Type]]="BIM")</f>
        <v>#N/A</v>
      </c>
      <c r="Q9">
        <f t="shared" si="0"/>
        <v>1</v>
      </c>
      <c r="S9">
        <f t="shared" si="1"/>
        <v>1</v>
      </c>
      <c r="T9" s="102" t="str">
        <f>IF(TableRelationships12[[#This Row],[Rank Pedro]]="Low","linkCategory1",IF(TableRelationships12[[#This Row],[Rank Pedro]]="Medium","linkCategory2",IF(TableRelationships12[[#This Row],[Rank Pedro]]="High","linkCategory3","")))</f>
        <v/>
      </c>
      <c r="U9" s="102" t="str">
        <f>IF(TableRelationships12[[#This Row],[Rank Pedro]]="Low","Pink",IF(TableRelationships12[[#This Row],[Rank Pedro]]="Medium","Purple",IF(TableRelationships12[[#This Row],[Rank Pedro]]="High","Brown","")))</f>
        <v/>
      </c>
      <c r="V9" s="4" t="e">
        <f>MAX(INDEX(Standards!$F$2:$F$296,MATCH(B9,Standards!$B$2:$B$296,0)),INDEX(Standards!$F$2:$F$296,MATCH(C9,Standards!$B$2:$B$296,0)))</f>
        <v>#N/A</v>
      </c>
      <c r="W9" t="str">
        <f t="shared" si="2"/>
        <v>#2f89d1</v>
      </c>
    </row>
    <row r="10" spans="1:24" x14ac:dyDescent="0.5">
      <c r="A10" s="54">
        <v>9</v>
      </c>
      <c r="B10" t="s">
        <v>624</v>
      </c>
      <c r="C10" t="s">
        <v>300</v>
      </c>
      <c r="D10" s="1"/>
      <c r="E10" s="112">
        <v>2000.12</v>
      </c>
      <c r="F10" s="112">
        <v>2022.07</v>
      </c>
      <c r="G10" s="107" t="s">
        <v>670</v>
      </c>
      <c r="H10" t="e">
        <f>INDEX('GIS-Standards'!$A$2:$A$305,MATCH(B10,'GIS-Standards'!$B$2:$B$305,0))</f>
        <v>#N/A</v>
      </c>
      <c r="I10">
        <f>INDEX('GIS-Standards'!$A$2:$A$305,MATCH(C10,'GIS-Standards'!$B$2:$B$305,0))</f>
        <v>14</v>
      </c>
      <c r="J10" t="e">
        <f>INDEX('GIS-Standards'!$O$2:$O$305,MATCH(B10,'GIS-Standards'!$B$2:$B$305,0))</f>
        <v>#N/A</v>
      </c>
      <c r="K10" t="str">
        <f>INDEX('GIS-Standards'!$O$2:$O$305,MATCH(C10,'GIS-Standards'!$B$2:$B$305,0))</f>
        <v>ISO/TC 211</v>
      </c>
      <c r="M10" t="s">
        <v>525</v>
      </c>
      <c r="N10" t="e">
        <f>INDEX('GIS-Standards'!$I$2:$I$305,MATCH(B10,'GIS-Standards'!$B$2:$B$305,0))</f>
        <v>#N/A</v>
      </c>
      <c r="O10">
        <f>INDEX('GIS-Standards'!$I$2:$I$305,MATCH(C10,'GIS-Standards'!$B$2:$B$305,0))</f>
        <v>0</v>
      </c>
      <c r="P10" t="e">
        <f>AND(TableRelationships12[[#This Row],[Source Type]]="BIM",TableRelationships12[[#This Row],[Target Type]]="BIM")</f>
        <v>#N/A</v>
      </c>
      <c r="Q10">
        <f t="shared" si="0"/>
        <v>1</v>
      </c>
      <c r="S10">
        <f t="shared" si="1"/>
        <v>1</v>
      </c>
      <c r="T10" s="102" t="str">
        <f>IF(TableRelationships12[[#This Row],[Rank Pedro]]="Low","linkCategory1",IF(TableRelationships12[[#This Row],[Rank Pedro]]="Medium","linkCategory2",IF(TableRelationships12[[#This Row],[Rank Pedro]]="High","linkCategory3","")))</f>
        <v/>
      </c>
      <c r="U10" s="102" t="str">
        <f>IF(TableRelationships12[[#This Row],[Rank Pedro]]="Low","Pink",IF(TableRelationships12[[#This Row],[Rank Pedro]]="Medium","Purple",IF(TableRelationships12[[#This Row],[Rank Pedro]]="High","Brown","")))</f>
        <v/>
      </c>
      <c r="V10" s="4" t="e">
        <f>MAX(INDEX(Standards!$F$2:$F$296,MATCH(B10,Standards!$B$2:$B$296,0)),INDEX(Standards!$F$2:$F$296,MATCH(C10,Standards!$B$2:$B$296,0)))</f>
        <v>#N/A</v>
      </c>
      <c r="W10" t="str">
        <f t="shared" si="2"/>
        <v>#2f89d1</v>
      </c>
    </row>
    <row r="11" spans="1:24" x14ac:dyDescent="0.5">
      <c r="A11" s="54">
        <v>10</v>
      </c>
      <c r="B11" t="s">
        <v>624</v>
      </c>
      <c r="C11" t="s">
        <v>302</v>
      </c>
      <c r="D11" s="1"/>
      <c r="E11" s="112">
        <v>2003.05</v>
      </c>
      <c r="F11" s="112">
        <v>2019.12</v>
      </c>
      <c r="G11" s="107" t="s">
        <v>670</v>
      </c>
      <c r="H11" t="e">
        <f>INDEX('GIS-Standards'!$A$2:$A$305,MATCH(B11,'GIS-Standards'!$B$2:$B$305,0))</f>
        <v>#N/A</v>
      </c>
      <c r="I11">
        <f>INDEX('GIS-Standards'!$A$2:$A$305,MATCH(C11,'GIS-Standards'!$B$2:$B$305,0))</f>
        <v>16</v>
      </c>
      <c r="J11" t="e">
        <f>INDEX('GIS-Standards'!$O$2:$O$305,MATCH(B11,'GIS-Standards'!$B$2:$B$305,0))</f>
        <v>#N/A</v>
      </c>
      <c r="K11" t="str">
        <f>INDEX('GIS-Standards'!$O$2:$O$305,MATCH(C11,'GIS-Standards'!$B$2:$B$305,0))</f>
        <v>ISO/TC 211</v>
      </c>
      <c r="M11" t="s">
        <v>525</v>
      </c>
      <c r="N11" t="e">
        <f>INDEX('GIS-Standards'!$I$2:$I$305,MATCH(B11,'GIS-Standards'!$B$2:$B$305,0))</f>
        <v>#N/A</v>
      </c>
      <c r="O11">
        <f>INDEX('GIS-Standards'!$I$2:$I$305,MATCH(C11,'GIS-Standards'!$B$2:$B$305,0))</f>
        <v>0</v>
      </c>
      <c r="P11" t="e">
        <f>AND(TableRelationships12[[#This Row],[Source Type]]="BIM",TableRelationships12[[#This Row],[Target Type]]="BIM")</f>
        <v>#N/A</v>
      </c>
      <c r="Q11">
        <f t="shared" si="0"/>
        <v>1</v>
      </c>
      <c r="S11">
        <f t="shared" si="1"/>
        <v>1</v>
      </c>
      <c r="T11" s="102" t="str">
        <f>IF(TableRelationships12[[#This Row],[Rank Pedro]]="Low","linkCategory1",IF(TableRelationships12[[#This Row],[Rank Pedro]]="Medium","linkCategory2",IF(TableRelationships12[[#This Row],[Rank Pedro]]="High","linkCategory3","")))</f>
        <v/>
      </c>
      <c r="U11" s="102" t="str">
        <f>IF(TableRelationships12[[#This Row],[Rank Pedro]]="Low","Pink",IF(TableRelationships12[[#This Row],[Rank Pedro]]="Medium","Purple",IF(TableRelationships12[[#This Row],[Rank Pedro]]="High","Brown","")))</f>
        <v/>
      </c>
      <c r="V11" s="4" t="e">
        <f>MAX(INDEX(Standards!$F$2:$F$296,MATCH(B11,Standards!$B$2:$B$296,0)),INDEX(Standards!$F$2:$F$296,MATCH(C11,Standards!$B$2:$B$296,0)))</f>
        <v>#N/A</v>
      </c>
      <c r="W11" t="str">
        <f t="shared" si="2"/>
        <v>#2f89d1</v>
      </c>
    </row>
    <row r="12" spans="1:24" x14ac:dyDescent="0.5">
      <c r="A12" s="54">
        <v>11</v>
      </c>
      <c r="B12" t="s">
        <v>624</v>
      </c>
      <c r="C12" t="s">
        <v>308</v>
      </c>
      <c r="D12" s="1"/>
      <c r="E12" s="112">
        <v>2005.02</v>
      </c>
      <c r="F12" s="112">
        <v>2016.12</v>
      </c>
      <c r="G12" s="107" t="s">
        <v>670</v>
      </c>
      <c r="H12" t="e">
        <f>INDEX('GIS-Standards'!$A$2:$A$305,MATCH(B12,'GIS-Standards'!$B$2:$B$305,0))</f>
        <v>#N/A</v>
      </c>
      <c r="I12">
        <f>INDEX('GIS-Standards'!$A$2:$A$305,MATCH(C12,'GIS-Standards'!$B$2:$B$305,0))</f>
        <v>19</v>
      </c>
      <c r="J12" t="e">
        <f>INDEX('GIS-Standards'!$O$2:$O$305,MATCH(B12,'GIS-Standards'!$B$2:$B$305,0))</f>
        <v>#N/A</v>
      </c>
      <c r="K12" t="str">
        <f>INDEX('GIS-Standards'!$O$2:$O$305,MATCH(C12,'GIS-Standards'!$B$2:$B$305,0))</f>
        <v>ISO/TC 211</v>
      </c>
      <c r="M12" t="s">
        <v>525</v>
      </c>
      <c r="N12" t="e">
        <f>INDEX('GIS-Standards'!$I$2:$I$305,MATCH(B12,'GIS-Standards'!$B$2:$B$305,0))</f>
        <v>#N/A</v>
      </c>
      <c r="O12">
        <f>INDEX('GIS-Standards'!$I$2:$I$305,MATCH(C12,'GIS-Standards'!$B$2:$B$305,0))</f>
        <v>0</v>
      </c>
      <c r="P12" t="e">
        <f>AND(TableRelationships12[[#This Row],[Source Type]]="BIM",TableRelationships12[[#This Row],[Target Type]]="BIM")</f>
        <v>#N/A</v>
      </c>
      <c r="Q12">
        <f t="shared" si="0"/>
        <v>1</v>
      </c>
      <c r="S12">
        <f t="shared" si="1"/>
        <v>1</v>
      </c>
      <c r="T12" s="102" t="str">
        <f>IF(TableRelationships12[[#This Row],[Rank Pedro]]="Low","linkCategory1",IF(TableRelationships12[[#This Row],[Rank Pedro]]="Medium","linkCategory2",IF(TableRelationships12[[#This Row],[Rank Pedro]]="High","linkCategory3","")))</f>
        <v/>
      </c>
      <c r="U12" s="102" t="str">
        <f>IF(TableRelationships12[[#This Row],[Rank Pedro]]="Low","Pink",IF(TableRelationships12[[#This Row],[Rank Pedro]]="Medium","Purple",IF(TableRelationships12[[#This Row],[Rank Pedro]]="High","Brown","")))</f>
        <v/>
      </c>
      <c r="V12" s="4" t="e">
        <f>MAX(INDEX(Standards!$F$2:$F$296,MATCH(B12,Standards!$B$2:$B$296,0)),INDEX(Standards!$F$2:$F$296,MATCH(C12,Standards!$B$2:$B$296,0)))</f>
        <v>#N/A</v>
      </c>
      <c r="W12" t="str">
        <f t="shared" si="2"/>
        <v>#2f89d1</v>
      </c>
    </row>
    <row r="13" spans="1:24" x14ac:dyDescent="0.5">
      <c r="A13" s="54">
        <v>12</v>
      </c>
      <c r="B13" t="s">
        <v>624</v>
      </c>
      <c r="C13" t="s">
        <v>314</v>
      </c>
      <c r="D13" s="1"/>
      <c r="E13" s="112">
        <v>2003.05</v>
      </c>
      <c r="F13" s="112">
        <v>2020.11</v>
      </c>
      <c r="G13" s="107" t="s">
        <v>670</v>
      </c>
      <c r="H13" t="e">
        <f>INDEX('GIS-Standards'!$A$2:$A$305,MATCH(B13,'GIS-Standards'!$B$2:$B$305,0))</f>
        <v>#N/A</v>
      </c>
      <c r="I13">
        <f>INDEX('GIS-Standards'!$A$2:$A$305,MATCH(C13,'GIS-Standards'!$B$2:$B$305,0))</f>
        <v>22</v>
      </c>
      <c r="J13" t="e">
        <f>INDEX('GIS-Standards'!$O$2:$O$305,MATCH(B13,'GIS-Standards'!$B$2:$B$305,0))</f>
        <v>#N/A</v>
      </c>
      <c r="K13" t="str">
        <f>INDEX('GIS-Standards'!$O$2:$O$305,MATCH(C13,'GIS-Standards'!$B$2:$B$305,0))</f>
        <v>ISO/TC 211</v>
      </c>
      <c r="M13" t="s">
        <v>525</v>
      </c>
      <c r="N13" t="e">
        <f>INDEX('GIS-Standards'!$I$2:$I$305,MATCH(B13,'GIS-Standards'!$B$2:$B$305,0))</f>
        <v>#N/A</v>
      </c>
      <c r="O13" t="str">
        <f>INDEX('GIS-Standards'!$I$2:$I$305,MATCH(C13,'GIS-Standards'!$B$2:$B$305,0))</f>
        <v>12.2020</v>
      </c>
      <c r="P13" t="e">
        <f>AND(TableRelationships12[[#This Row],[Source Type]]="BIM",TableRelationships12[[#This Row],[Target Type]]="BIM")</f>
        <v>#N/A</v>
      </c>
      <c r="Q13">
        <f t="shared" si="0"/>
        <v>1</v>
      </c>
      <c r="S13">
        <f t="shared" si="1"/>
        <v>1</v>
      </c>
      <c r="T13" s="102" t="str">
        <f>IF(TableRelationships12[[#This Row],[Rank Pedro]]="Low","linkCategory1",IF(TableRelationships12[[#This Row],[Rank Pedro]]="Medium","linkCategory2",IF(TableRelationships12[[#This Row],[Rank Pedro]]="High","linkCategory3","")))</f>
        <v/>
      </c>
      <c r="U13" s="102" t="str">
        <f>IF(TableRelationships12[[#This Row],[Rank Pedro]]="Low","Pink",IF(TableRelationships12[[#This Row],[Rank Pedro]]="Medium","Purple",IF(TableRelationships12[[#This Row],[Rank Pedro]]="High","Brown","")))</f>
        <v/>
      </c>
      <c r="V13" s="4" t="e">
        <f>MAX(INDEX(Standards!$F$2:$F$296,MATCH(B13,Standards!$B$2:$B$296,0)),INDEX(Standards!$F$2:$F$296,MATCH(C13,Standards!$B$2:$B$296,0)))</f>
        <v>#N/A</v>
      </c>
      <c r="W13" t="str">
        <f t="shared" si="2"/>
        <v>#2f89d1</v>
      </c>
    </row>
    <row r="14" spans="1:24" x14ac:dyDescent="0.5">
      <c r="A14" s="54">
        <v>13</v>
      </c>
      <c r="B14" t="s">
        <v>624</v>
      </c>
      <c r="C14" t="s">
        <v>1042</v>
      </c>
      <c r="D14" s="1"/>
      <c r="E14" s="112">
        <v>2016.08</v>
      </c>
      <c r="F14" s="112">
        <v>2023.08</v>
      </c>
      <c r="G14" s="107" t="s">
        <v>670</v>
      </c>
      <c r="H14" t="e">
        <f>INDEX('GIS-Standards'!$A$2:$A$305,MATCH(B14,'GIS-Standards'!$B$2:$B$305,0))</f>
        <v>#N/A</v>
      </c>
      <c r="I14">
        <f>INDEX('GIS-Standards'!$A$2:$A$305,MATCH(C14,'GIS-Standards'!$B$2:$B$305,0))</f>
        <v>24</v>
      </c>
      <c r="J14" t="e">
        <f>INDEX('GIS-Standards'!$O$2:$O$305,MATCH(B14,'GIS-Standards'!$B$2:$B$305,0))</f>
        <v>#N/A</v>
      </c>
      <c r="K14" t="str">
        <f>INDEX('GIS-Standards'!$O$2:$O$305,MATCH(C14,'GIS-Standards'!$B$2:$B$305,0))</f>
        <v>ISO/TC 211</v>
      </c>
      <c r="M14" t="s">
        <v>525</v>
      </c>
      <c r="N14" t="e">
        <f>INDEX('GIS-Standards'!$I$2:$I$305,MATCH(B14,'GIS-Standards'!$B$2:$B$305,0))</f>
        <v>#N/A</v>
      </c>
      <c r="O14">
        <f>INDEX('GIS-Standards'!$I$2:$I$305,MATCH(C14,'GIS-Standards'!$B$2:$B$305,0))</f>
        <v>0</v>
      </c>
      <c r="P14" t="e">
        <f>AND(TableRelationships12[[#This Row],[Source Type]]="BIM",TableRelationships12[[#This Row],[Target Type]]="BIM")</f>
        <v>#N/A</v>
      </c>
      <c r="Q14">
        <f t="shared" si="0"/>
        <v>1</v>
      </c>
      <c r="S14">
        <f t="shared" si="1"/>
        <v>1</v>
      </c>
      <c r="T14" s="102" t="str">
        <f>IF(TableRelationships12[[#This Row],[Rank Pedro]]="Low","linkCategory1",IF(TableRelationships12[[#This Row],[Rank Pedro]]="Medium","linkCategory2",IF(TableRelationships12[[#This Row],[Rank Pedro]]="High","linkCategory3","")))</f>
        <v/>
      </c>
      <c r="U14" s="102" t="str">
        <f>IF(TableRelationships12[[#This Row],[Rank Pedro]]="Low","Pink",IF(TableRelationships12[[#This Row],[Rank Pedro]]="Medium","Purple",IF(TableRelationships12[[#This Row],[Rank Pedro]]="High","Brown","")))</f>
        <v/>
      </c>
      <c r="V14" s="4" t="e">
        <f>MAX(INDEX(Standards!$F$2:$F$296,MATCH(B14,Standards!$B$2:$B$296,0)),INDEX(Standards!$F$2:$F$296,MATCH(C14,Standards!$B$2:$B$296,0)))</f>
        <v>#N/A</v>
      </c>
      <c r="W14" t="str">
        <f t="shared" si="2"/>
        <v>#2f89d1</v>
      </c>
    </row>
    <row r="15" spans="1:24" x14ac:dyDescent="0.5">
      <c r="A15" s="54">
        <v>14</v>
      </c>
      <c r="B15" t="s">
        <v>624</v>
      </c>
      <c r="C15" t="s">
        <v>318</v>
      </c>
      <c r="D15" s="1"/>
      <c r="E15" s="112">
        <v>2005.02</v>
      </c>
      <c r="F15" s="112">
        <v>2016.01</v>
      </c>
      <c r="G15" s="107" t="s">
        <v>670</v>
      </c>
      <c r="H15" t="e">
        <f>INDEX('GIS-Standards'!$A$2:$A$305,MATCH(B15,'GIS-Standards'!$B$2:$B$305,0))</f>
        <v>#N/A</v>
      </c>
      <c r="I15">
        <f>INDEX('GIS-Standards'!$A$2:$A$305,MATCH(C15,'GIS-Standards'!$B$2:$B$305,0))</f>
        <v>28</v>
      </c>
      <c r="J15" t="e">
        <f>INDEX('GIS-Standards'!$O$2:$O$305,MATCH(B15,'GIS-Standards'!$B$2:$B$305,0))</f>
        <v>#N/A</v>
      </c>
      <c r="K15" t="str">
        <f>INDEX('GIS-Standards'!$O$2:$O$305,MATCH(C15,'GIS-Standards'!$B$2:$B$305,0))</f>
        <v>ISO/TC 211</v>
      </c>
      <c r="M15" t="s">
        <v>525</v>
      </c>
      <c r="N15" t="e">
        <f>INDEX('GIS-Standards'!$I$2:$I$305,MATCH(B15,'GIS-Standards'!$B$2:$B$305,0))</f>
        <v>#N/A</v>
      </c>
      <c r="O15">
        <f>INDEX('GIS-Standards'!$I$2:$I$305,MATCH(C15,'GIS-Standards'!$B$2:$B$305,0))</f>
        <v>0</v>
      </c>
      <c r="P15" t="e">
        <f>AND(TableRelationships12[[#This Row],[Source Type]]="BIM",TableRelationships12[[#This Row],[Target Type]]="BIM")</f>
        <v>#N/A</v>
      </c>
      <c r="Q15">
        <f t="shared" si="0"/>
        <v>1</v>
      </c>
      <c r="S15">
        <f t="shared" si="1"/>
        <v>1</v>
      </c>
      <c r="T15" s="102" t="str">
        <f>IF(TableRelationships12[[#This Row],[Rank Pedro]]="Low","linkCategory1",IF(TableRelationships12[[#This Row],[Rank Pedro]]="Medium","linkCategory2",IF(TableRelationships12[[#This Row],[Rank Pedro]]="High","linkCategory3","")))</f>
        <v/>
      </c>
      <c r="U15" s="102" t="str">
        <f>IF(TableRelationships12[[#This Row],[Rank Pedro]]="Low","Pink",IF(TableRelationships12[[#This Row],[Rank Pedro]]="Medium","Purple",IF(TableRelationships12[[#This Row],[Rank Pedro]]="High","Brown","")))</f>
        <v/>
      </c>
      <c r="V15" s="4" t="e">
        <f>MAX(INDEX(Standards!$F$2:$F$296,MATCH(B15,Standards!$B$2:$B$296,0)),INDEX(Standards!$F$2:$F$296,MATCH(C15,Standards!$B$2:$B$296,0)))</f>
        <v>#N/A</v>
      </c>
      <c r="W15" t="str">
        <f t="shared" si="2"/>
        <v>#2f89d1</v>
      </c>
    </row>
    <row r="16" spans="1:24" x14ac:dyDescent="0.5">
      <c r="A16" s="54">
        <v>15</v>
      </c>
      <c r="B16" t="s">
        <v>624</v>
      </c>
      <c r="C16" t="s">
        <v>334</v>
      </c>
      <c r="D16" s="1" t="s">
        <v>1036</v>
      </c>
      <c r="E16" s="113">
        <v>2007.09</v>
      </c>
      <c r="F16" s="113">
        <v>2020.01</v>
      </c>
      <c r="G16" s="107" t="s">
        <v>670</v>
      </c>
      <c r="H16" t="e">
        <f>INDEX('GIS-Standards'!$A$2:$A$305,MATCH(B16,'GIS-Standards'!$B$2:$B$305,0))</f>
        <v>#N/A</v>
      </c>
      <c r="I16">
        <f>INDEX('GIS-Standards'!$A$2:$A$305,MATCH(C16,'GIS-Standards'!$B$2:$B$305,0))</f>
        <v>42</v>
      </c>
      <c r="J16" t="e">
        <f>INDEX('GIS-Standards'!$O$2:$O$305,MATCH(B16,'GIS-Standards'!$B$2:$B$305,0))</f>
        <v>#N/A</v>
      </c>
      <c r="K16" t="str">
        <f>INDEX('GIS-Standards'!$O$2:$O$305,MATCH(C16,'GIS-Standards'!$B$2:$B$305,0))</f>
        <v>ISO/TC 211</v>
      </c>
      <c r="M16" t="s">
        <v>525</v>
      </c>
      <c r="N16" t="e">
        <f>INDEX('GIS-Standards'!$I$2:$I$305,MATCH(B16,'GIS-Standards'!$B$2:$B$305,0))</f>
        <v>#N/A</v>
      </c>
      <c r="O16">
        <f>INDEX('GIS-Standards'!$I$2:$I$305,MATCH(C16,'GIS-Standards'!$B$2:$B$305,0))</f>
        <v>0</v>
      </c>
      <c r="P16" t="e">
        <f>AND(TableRelationships12[[#This Row],[Source Type]]="BIM",TableRelationships12[[#This Row],[Target Type]]="BIM")</f>
        <v>#N/A</v>
      </c>
      <c r="Q16">
        <f t="shared" si="0"/>
        <v>1</v>
      </c>
      <c r="S16">
        <f t="shared" si="1"/>
        <v>1</v>
      </c>
      <c r="T16" s="102" t="str">
        <f>IF(TableRelationships12[[#This Row],[Rank Pedro]]="Low","linkCategory1",IF(TableRelationships12[[#This Row],[Rank Pedro]]="Medium","linkCategory2",IF(TableRelationships12[[#This Row],[Rank Pedro]]="High","linkCategory3","")))</f>
        <v/>
      </c>
      <c r="U16" s="102" t="str">
        <f>IF(TableRelationships12[[#This Row],[Rank Pedro]]="Low","Pink",IF(TableRelationships12[[#This Row],[Rank Pedro]]="Medium","Purple",IF(TableRelationships12[[#This Row],[Rank Pedro]]="High","Brown","")))</f>
        <v/>
      </c>
      <c r="V16" s="4" t="e">
        <f>MAX(INDEX(Standards!$F$2:$F$296,MATCH(B16,Standards!$B$2:$B$296,0)),INDEX(Standards!$F$2:$F$296,MATCH(C16,Standards!$B$2:$B$296,0)))</f>
        <v>#N/A</v>
      </c>
      <c r="W16" t="str">
        <f t="shared" si="2"/>
        <v>#2f89d1</v>
      </c>
    </row>
    <row r="17" spans="1:23" x14ac:dyDescent="0.5">
      <c r="A17" s="54">
        <v>16</v>
      </c>
      <c r="B17" t="s">
        <v>624</v>
      </c>
      <c r="C17" t="s">
        <v>348</v>
      </c>
      <c r="D17" s="1" t="s">
        <v>640</v>
      </c>
      <c r="E17" s="113">
        <v>2013.12</v>
      </c>
      <c r="F17" s="113">
        <v>2023.04</v>
      </c>
      <c r="G17" s="107" t="s">
        <v>670</v>
      </c>
      <c r="H17" t="e">
        <f>INDEX('GIS-Standards'!$A$2:$A$305,MATCH(B17,'GIS-Standards'!$B$2:$B$305,0))</f>
        <v>#N/A</v>
      </c>
      <c r="I17">
        <f>INDEX('GIS-Standards'!$A$2:$A$305,MATCH(C17,'GIS-Standards'!$B$2:$B$305,0))</f>
        <v>66</v>
      </c>
      <c r="J17" t="e">
        <f>INDEX('GIS-Standards'!$O$2:$O$305,MATCH(B17,'GIS-Standards'!$B$2:$B$305,0))</f>
        <v>#N/A</v>
      </c>
      <c r="K17" t="str">
        <f>INDEX('GIS-Standards'!$O$2:$O$305,MATCH(C17,'GIS-Standards'!$B$2:$B$305,0))</f>
        <v>ISO/TC 211</v>
      </c>
      <c r="M17" t="s">
        <v>525</v>
      </c>
      <c r="N17" t="e">
        <f>INDEX('GIS-Standards'!$I$2:$I$305,MATCH(B17,'GIS-Standards'!$B$2:$B$305,0))</f>
        <v>#N/A</v>
      </c>
      <c r="O17">
        <f>INDEX('GIS-Standards'!$I$2:$I$305,MATCH(C17,'GIS-Standards'!$B$2:$B$305,0))</f>
        <v>0</v>
      </c>
      <c r="P17" t="e">
        <f>AND(TableRelationships12[[#This Row],[Source Type]]="BIM",TableRelationships12[[#This Row],[Target Type]]="BIM")</f>
        <v>#N/A</v>
      </c>
      <c r="Q17">
        <f t="shared" si="0"/>
        <v>1</v>
      </c>
      <c r="S17">
        <f t="shared" si="1"/>
        <v>1</v>
      </c>
      <c r="T17" s="102" t="str">
        <f>IF(TableRelationships12[[#This Row],[Rank Pedro]]="Low","linkCategory1",IF(TableRelationships12[[#This Row],[Rank Pedro]]="Medium","linkCategory2",IF(TableRelationships12[[#This Row],[Rank Pedro]]="High","linkCategory3","")))</f>
        <v/>
      </c>
      <c r="U17" s="102" t="str">
        <f>IF(TableRelationships12[[#This Row],[Rank Pedro]]="Low","Pink",IF(TableRelationships12[[#This Row],[Rank Pedro]]="Medium","Purple",IF(TableRelationships12[[#This Row],[Rank Pedro]]="High","Brown","")))</f>
        <v/>
      </c>
      <c r="V17" s="4" t="e">
        <f>MAX(INDEX(Standards!$F$2:$F$296,MATCH(B17,Standards!$B$2:$B$296,0)),INDEX(Standards!$F$2:$F$296,MATCH(C17,Standards!$B$2:$B$296,0)))</f>
        <v>#N/A</v>
      </c>
      <c r="W17" t="str">
        <f t="shared" si="2"/>
        <v>#2f89d1</v>
      </c>
    </row>
    <row r="18" spans="1:23" x14ac:dyDescent="0.5">
      <c r="A18" s="54">
        <v>17</v>
      </c>
      <c r="B18" t="s">
        <v>624</v>
      </c>
      <c r="C18" t="s">
        <v>656</v>
      </c>
      <c r="D18" s="1"/>
      <c r="E18" s="112">
        <v>2016.12</v>
      </c>
      <c r="F18" s="112">
        <v>2016.12</v>
      </c>
      <c r="G18" s="107" t="s">
        <v>670</v>
      </c>
      <c r="H18" t="e">
        <f>INDEX('GIS-Standards'!$A$2:$A$305,MATCH(B18,'GIS-Standards'!$B$2:$B$305,0))</f>
        <v>#N/A</v>
      </c>
      <c r="I18">
        <f>INDEX('GIS-Standards'!$A$2:$A$305,MATCH(C18,'GIS-Standards'!$B$2:$B$305,0))</f>
        <v>105</v>
      </c>
      <c r="J18" t="e">
        <f>INDEX('GIS-Standards'!$O$2:$O$305,MATCH(B18,'GIS-Standards'!$B$2:$B$305,0))</f>
        <v>#N/A</v>
      </c>
      <c r="K18" t="str">
        <f>INDEX('GIS-Standards'!$O$2:$O$305,MATCH(C18,'GIS-Standards'!$B$2:$B$305,0))</f>
        <v>ISO/TC 211</v>
      </c>
      <c r="M18" t="s">
        <v>525</v>
      </c>
      <c r="N18" t="e">
        <f>INDEX('GIS-Standards'!$I$2:$I$305,MATCH(B18,'GIS-Standards'!$B$2:$B$305,0))</f>
        <v>#N/A</v>
      </c>
      <c r="O18">
        <f>INDEX('GIS-Standards'!$I$2:$I$305,MATCH(C18,'GIS-Standards'!$B$2:$B$305,0))</f>
        <v>0</v>
      </c>
      <c r="P18" t="e">
        <f>AND(TableRelationships12[[#This Row],[Source Type]]="BIM",TableRelationships12[[#This Row],[Target Type]]="BIM")</f>
        <v>#N/A</v>
      </c>
      <c r="Q18">
        <f t="shared" si="0"/>
        <v>1</v>
      </c>
      <c r="S18">
        <f t="shared" si="1"/>
        <v>1</v>
      </c>
      <c r="T18" s="102" t="str">
        <f>IF(TableRelationships12[[#This Row],[Rank Pedro]]="Low","linkCategory1",IF(TableRelationships12[[#This Row],[Rank Pedro]]="Medium","linkCategory2",IF(TableRelationships12[[#This Row],[Rank Pedro]]="High","linkCategory3","")))</f>
        <v/>
      </c>
      <c r="U18" s="102" t="str">
        <f>IF(TableRelationships12[[#This Row],[Rank Pedro]]="Low","Pink",IF(TableRelationships12[[#This Row],[Rank Pedro]]="Medium","Purple",IF(TableRelationships12[[#This Row],[Rank Pedro]]="High","Brown","")))</f>
        <v/>
      </c>
      <c r="V18" s="4" t="e">
        <f>MAX(INDEX(Standards!$F$2:$F$296,MATCH(B18,Standards!$B$2:$B$296,0)),INDEX(Standards!$F$2:$F$296,MATCH(C18,Standards!$B$2:$B$296,0)))</f>
        <v>#N/A</v>
      </c>
      <c r="W18" t="str">
        <f t="shared" si="2"/>
        <v>#2f89d1</v>
      </c>
    </row>
    <row r="19" spans="1:23" x14ac:dyDescent="0.5">
      <c r="A19" s="54">
        <v>18</v>
      </c>
      <c r="B19" s="90" t="s">
        <v>625</v>
      </c>
      <c r="C19" t="s">
        <v>527</v>
      </c>
      <c r="D19" s="1"/>
      <c r="E19" s="93">
        <v>2024.11</v>
      </c>
      <c r="F19" s="93">
        <v>2024.11</v>
      </c>
      <c r="G19" s="90" t="s">
        <v>670</v>
      </c>
      <c r="H19" t="e">
        <f>INDEX('GIS-Standards'!$A$2:$A$305,MATCH(B19,'GIS-Standards'!$B$2:$B$305,0))</f>
        <v>#N/A</v>
      </c>
      <c r="I19" t="e">
        <f>INDEX('GIS-Standards'!$A$2:$A$305,MATCH(C19,'GIS-Standards'!$B$2:$B$305,0))</f>
        <v>#N/A</v>
      </c>
      <c r="J19" t="e">
        <f>INDEX('GIS-Standards'!$O$2:$O$305,MATCH(B19,'GIS-Standards'!$B$2:$B$305,0))</f>
        <v>#N/A</v>
      </c>
      <c r="K19" t="e">
        <f>INDEX('GIS-Standards'!$O$2:$O$305,MATCH(C19,'GIS-Standards'!$B$2:$B$305,0))</f>
        <v>#N/A</v>
      </c>
      <c r="M19" t="s">
        <v>237</v>
      </c>
      <c r="N19" t="e">
        <f>INDEX('GIS-Standards'!$I$2:$I$305,MATCH(B19,'GIS-Standards'!$B$2:$B$305,0))</f>
        <v>#N/A</v>
      </c>
      <c r="O19" t="e">
        <f>INDEX('GIS-Standards'!$I$2:$I$305,MATCH(C19,'GIS-Standards'!$B$2:$B$305,0))</f>
        <v>#N/A</v>
      </c>
      <c r="P19" t="e">
        <f>AND(TableRelationships12[[#This Row],[Source Type]]="BIM",TableRelationships12[[#This Row],[Target Type]]="BIM")</f>
        <v>#N/A</v>
      </c>
      <c r="Q19">
        <f t="shared" si="0"/>
        <v>2</v>
      </c>
      <c r="S19">
        <f t="shared" si="1"/>
        <v>1</v>
      </c>
      <c r="T19" s="102" t="str">
        <f>IF(TableRelationships12[[#This Row],[Rank Pedro]]="Low","linkCategory1",IF(TableRelationships12[[#This Row],[Rank Pedro]]="Medium","linkCategory2",IF(TableRelationships12[[#This Row],[Rank Pedro]]="High","linkCategory3","")))</f>
        <v/>
      </c>
      <c r="U19" s="102" t="str">
        <f>IF(TableRelationships12[[#This Row],[Rank Pedro]]="Low","Pink",IF(TableRelationships12[[#This Row],[Rank Pedro]]="Medium","Purple",IF(TableRelationships12[[#This Row],[Rank Pedro]]="High","Brown","")))</f>
        <v/>
      </c>
      <c r="V19" s="4" t="e">
        <f>MAX(INDEX(Standards!$F$2:$F$296,MATCH(B19,Standards!$B$2:$B$296,0)),INDEX(Standards!$F$2:$F$296,MATCH(C19,Standards!$B$2:$B$296,0)))</f>
        <v>#N/A</v>
      </c>
      <c r="W19">
        <f t="shared" si="2"/>
        <v>1</v>
      </c>
    </row>
    <row r="20" spans="1:23" x14ac:dyDescent="0.5">
      <c r="A20" s="54">
        <v>19</v>
      </c>
      <c r="B20" s="90" t="s">
        <v>625</v>
      </c>
      <c r="C20" t="s">
        <v>296</v>
      </c>
      <c r="D20" s="1"/>
      <c r="E20" s="112">
        <v>2005.07</v>
      </c>
      <c r="F20" s="112">
        <v>2024.09</v>
      </c>
      <c r="G20" s="107" t="s">
        <v>670</v>
      </c>
      <c r="H20" t="e">
        <f>INDEX('GIS-Standards'!$A$2:$A$305,MATCH(B20,'GIS-Standards'!$B$2:$B$305,0))</f>
        <v>#N/A</v>
      </c>
      <c r="I20">
        <f>INDEX('GIS-Standards'!$A$2:$A$305,MATCH(C20,'GIS-Standards'!$B$2:$B$305,0))</f>
        <v>12</v>
      </c>
      <c r="J20" t="e">
        <f>INDEX('GIS-Standards'!$O$2:$O$305,MATCH(B20,'GIS-Standards'!$B$2:$B$305,0))</f>
        <v>#N/A</v>
      </c>
      <c r="K20" t="str">
        <f>INDEX('GIS-Standards'!$O$2:$O$305,MATCH(C20,'GIS-Standards'!$B$2:$B$305,0))</f>
        <v>ISO/TC 211</v>
      </c>
      <c r="M20" t="s">
        <v>524</v>
      </c>
      <c r="N20" t="e">
        <f>INDEX('GIS-Standards'!$I$2:$I$305,MATCH(B20,'GIS-Standards'!$B$2:$B$305,0))</f>
        <v>#N/A</v>
      </c>
      <c r="O20">
        <f>INDEX('GIS-Standards'!$I$2:$I$305,MATCH(C20,'GIS-Standards'!$B$2:$B$305,0))</f>
        <v>0</v>
      </c>
      <c r="P20" t="e">
        <f>AND(TableRelationships12[[#This Row],[Source Type]]="BIM",TableRelationships12[[#This Row],[Target Type]]="BIM")</f>
        <v>#N/A</v>
      </c>
      <c r="Q20">
        <f t="shared" si="0"/>
        <v>6</v>
      </c>
      <c r="S20">
        <f t="shared" si="1"/>
        <v>1</v>
      </c>
      <c r="T20" s="102" t="str">
        <f>IF(TableRelationships12[[#This Row],[Rank Pedro]]="Low","linkCategory1",IF(TableRelationships12[[#This Row],[Rank Pedro]]="Medium","linkCategory2",IF(TableRelationships12[[#This Row],[Rank Pedro]]="High","linkCategory3","")))</f>
        <v/>
      </c>
      <c r="U20" s="102" t="str">
        <f>IF(TableRelationships12[[#This Row],[Rank Pedro]]="Low","Pink",IF(TableRelationships12[[#This Row],[Rank Pedro]]="Medium","Purple",IF(TableRelationships12[[#This Row],[Rank Pedro]]="High","Brown","")))</f>
        <v/>
      </c>
      <c r="V20" s="4" t="e">
        <f>MAX(INDEX(Standards!$F$2:$F$296,MATCH(B20,Standards!$B$2:$B$296,0)),INDEX(Standards!$F$2:$F$296,MATCH(C20,Standards!$B$2:$B$296,0)))</f>
        <v>#N/A</v>
      </c>
      <c r="W20" t="str">
        <f t="shared" si="2"/>
        <v>#d6bf2a</v>
      </c>
    </row>
    <row r="21" spans="1:23" x14ac:dyDescent="0.5">
      <c r="A21" s="54">
        <v>20</v>
      </c>
      <c r="B21" s="90" t="s">
        <v>625</v>
      </c>
      <c r="C21" t="s">
        <v>320</v>
      </c>
      <c r="D21" s="1"/>
      <c r="E21" s="112">
        <v>2005.08</v>
      </c>
      <c r="F21" s="112">
        <v>2023.06</v>
      </c>
      <c r="G21" s="107" t="s">
        <v>670</v>
      </c>
      <c r="H21" t="e">
        <f>INDEX('GIS-Standards'!$A$2:$A$305,MATCH(B21,'GIS-Standards'!$B$2:$B$305,0))</f>
        <v>#N/A</v>
      </c>
      <c r="I21">
        <f>INDEX('GIS-Standards'!$A$2:$A$305,MATCH(C21,'GIS-Standards'!$B$2:$B$305,0))</f>
        <v>29</v>
      </c>
      <c r="J21" t="e">
        <f>INDEX('GIS-Standards'!$O$2:$O$305,MATCH(B21,'GIS-Standards'!$B$2:$B$305,0))</f>
        <v>#N/A</v>
      </c>
      <c r="K21" t="str">
        <f>INDEX('GIS-Standards'!$O$2:$O$305,MATCH(C21,'GIS-Standards'!$B$2:$B$305,0))</f>
        <v>ISO/TC 211</v>
      </c>
      <c r="M21" t="s">
        <v>524</v>
      </c>
      <c r="N21" t="e">
        <f>INDEX('GIS-Standards'!$I$2:$I$305,MATCH(B21,'GIS-Standards'!$B$2:$B$305,0))</f>
        <v>#N/A</v>
      </c>
      <c r="O21">
        <f>INDEX('GIS-Standards'!$I$2:$I$305,MATCH(C21,'GIS-Standards'!$B$2:$B$305,0))</f>
        <v>0</v>
      </c>
      <c r="P21" t="e">
        <f>AND(TableRelationships12[[#This Row],[Source Type]]="BIM",TableRelationships12[[#This Row],[Target Type]]="BIM")</f>
        <v>#N/A</v>
      </c>
      <c r="Q21">
        <f t="shared" si="0"/>
        <v>6</v>
      </c>
      <c r="S21">
        <f t="shared" si="1"/>
        <v>1</v>
      </c>
      <c r="T21" s="102" t="str">
        <f>IF(TableRelationships12[[#This Row],[Rank Pedro]]="Low","linkCategory1",IF(TableRelationships12[[#This Row],[Rank Pedro]]="Medium","linkCategory2",IF(TableRelationships12[[#This Row],[Rank Pedro]]="High","linkCategory3","")))</f>
        <v/>
      </c>
      <c r="U21" s="102" t="str">
        <f>IF(TableRelationships12[[#This Row],[Rank Pedro]]="Low","Pink",IF(TableRelationships12[[#This Row],[Rank Pedro]]="Medium","Purple",IF(TableRelationships12[[#This Row],[Rank Pedro]]="High","Brown","")))</f>
        <v/>
      </c>
      <c r="V21" s="4" t="e">
        <f>MAX(INDEX(Standards!$F$2:$F$296,MATCH(B21,Standards!$B$2:$B$296,0)),INDEX(Standards!$F$2:$F$296,MATCH(C21,Standards!$B$2:$B$296,0)))</f>
        <v>#N/A</v>
      </c>
      <c r="W21" t="str">
        <f t="shared" si="2"/>
        <v>#d6bf2a</v>
      </c>
    </row>
    <row r="22" spans="1:23" x14ac:dyDescent="0.5">
      <c r="A22" s="54">
        <v>21</v>
      </c>
      <c r="B22" s="90" t="s">
        <v>625</v>
      </c>
      <c r="C22" t="s">
        <v>1037</v>
      </c>
      <c r="D22" s="1"/>
      <c r="E22" s="112">
        <v>2009.09</v>
      </c>
      <c r="F22" s="112">
        <v>2012.08</v>
      </c>
      <c r="G22" s="107" t="s">
        <v>670</v>
      </c>
      <c r="H22" t="e">
        <f>INDEX('GIS-Standards'!$A$2:$A$305,MATCH(B22,'GIS-Standards'!$B$2:$B$305,0))</f>
        <v>#N/A</v>
      </c>
      <c r="I22">
        <f>INDEX('GIS-Standards'!$A$2:$A$305,MATCH(C22,'GIS-Standards'!$B$2:$B$305,0))</f>
        <v>48</v>
      </c>
      <c r="J22" t="e">
        <f>INDEX('GIS-Standards'!$O$2:$O$305,MATCH(B22,'GIS-Standards'!$B$2:$B$305,0))</f>
        <v>#N/A</v>
      </c>
      <c r="K22" t="str">
        <f>INDEX('GIS-Standards'!$O$2:$O$305,MATCH(C22,'GIS-Standards'!$B$2:$B$305,0))</f>
        <v>ISO/TC 211</v>
      </c>
      <c r="M22" t="s">
        <v>524</v>
      </c>
      <c r="N22" t="e">
        <f>INDEX('GIS-Standards'!$I$2:$I$305,MATCH(B22,'GIS-Standards'!$B$2:$B$305,0))</f>
        <v>#N/A</v>
      </c>
      <c r="O22" t="str">
        <f>INDEX('GIS-Standards'!$I$2:$I$305,MATCH(C22,'GIS-Standards'!$B$2:$B$305,0))</f>
        <v>08.2012</v>
      </c>
      <c r="P22" t="e">
        <f>AND(TableRelationships12[[#This Row],[Source Type]]="BIM",TableRelationships12[[#This Row],[Target Type]]="BIM")</f>
        <v>#N/A</v>
      </c>
      <c r="Q22">
        <f t="shared" si="0"/>
        <v>6</v>
      </c>
      <c r="S22">
        <f t="shared" si="1"/>
        <v>1</v>
      </c>
      <c r="T22" s="102" t="str">
        <f>IF(TableRelationships12[[#This Row],[Rank Pedro]]="Low","linkCategory1",IF(TableRelationships12[[#This Row],[Rank Pedro]]="Medium","linkCategory2",IF(TableRelationships12[[#This Row],[Rank Pedro]]="High","linkCategory3","")))</f>
        <v/>
      </c>
      <c r="U22" s="102" t="str">
        <f>IF(TableRelationships12[[#This Row],[Rank Pedro]]="Low","Pink",IF(TableRelationships12[[#This Row],[Rank Pedro]]="Medium","Purple",IF(TableRelationships12[[#This Row],[Rank Pedro]]="High","Brown","")))</f>
        <v/>
      </c>
      <c r="V22" s="4" t="e">
        <f>MAX(INDEX(Standards!$F$2:$F$296,MATCH(B22,Standards!$B$2:$B$296,0)),INDEX(Standards!$F$2:$F$296,MATCH(C22,Standards!$B$2:$B$296,0)))</f>
        <v>#N/A</v>
      </c>
      <c r="W22" t="str">
        <f t="shared" si="2"/>
        <v>#d6bf2a</v>
      </c>
    </row>
    <row r="23" spans="1:23" x14ac:dyDescent="0.5">
      <c r="A23" s="54">
        <v>22</v>
      </c>
      <c r="B23" s="90" t="s">
        <v>625</v>
      </c>
      <c r="C23" t="s">
        <v>1038</v>
      </c>
      <c r="D23" s="1"/>
      <c r="E23" s="112">
        <v>2012.07</v>
      </c>
      <c r="F23" s="112">
        <v>2023.12</v>
      </c>
      <c r="G23" s="107" t="s">
        <v>670</v>
      </c>
      <c r="H23" t="e">
        <f>INDEX('GIS-Standards'!$A$2:$A$305,MATCH(B23,'GIS-Standards'!$B$2:$B$305,0))</f>
        <v>#N/A</v>
      </c>
      <c r="I23">
        <f>INDEX('GIS-Standards'!$A$2:$A$305,MATCH(C23,'GIS-Standards'!$B$2:$B$305,0))</f>
        <v>49</v>
      </c>
      <c r="J23" t="e">
        <f>INDEX('GIS-Standards'!$O$2:$O$305,MATCH(B23,'GIS-Standards'!$B$2:$B$305,0))</f>
        <v>#N/A</v>
      </c>
      <c r="K23" t="str">
        <f>INDEX('GIS-Standards'!$O$2:$O$305,MATCH(C23,'GIS-Standards'!$B$2:$B$305,0))</f>
        <v>ISO/TC 211</v>
      </c>
      <c r="M23" t="s">
        <v>524</v>
      </c>
      <c r="N23" t="e">
        <f>INDEX('GIS-Standards'!$I$2:$I$305,MATCH(B23,'GIS-Standards'!$B$2:$B$305,0))</f>
        <v>#N/A</v>
      </c>
      <c r="O23">
        <f>INDEX('GIS-Standards'!$I$2:$I$305,MATCH(C23,'GIS-Standards'!$B$2:$B$305,0))</f>
        <v>0</v>
      </c>
      <c r="P23" t="e">
        <f>AND(TableRelationships12[[#This Row],[Source Type]]="BIM",TableRelationships12[[#This Row],[Target Type]]="BIM")</f>
        <v>#N/A</v>
      </c>
      <c r="Q23">
        <f t="shared" si="0"/>
        <v>6</v>
      </c>
      <c r="S23">
        <f t="shared" si="1"/>
        <v>1</v>
      </c>
      <c r="T23" s="102" t="str">
        <f>IF(TableRelationships12[[#This Row],[Rank Pedro]]="Low","linkCategory1",IF(TableRelationships12[[#This Row],[Rank Pedro]]="Medium","linkCategory2",IF(TableRelationships12[[#This Row],[Rank Pedro]]="High","linkCategory3","")))</f>
        <v/>
      </c>
      <c r="U23" s="102" t="str">
        <f>IF(TableRelationships12[[#This Row],[Rank Pedro]]="Low","Pink",IF(TableRelationships12[[#This Row],[Rank Pedro]]="Medium","Purple",IF(TableRelationships12[[#This Row],[Rank Pedro]]="High","Brown","")))</f>
        <v/>
      </c>
      <c r="V23" s="4" t="e">
        <f>MAX(INDEX(Standards!$F$2:$F$296,MATCH(B23,Standards!$B$2:$B$296,0)),INDEX(Standards!$F$2:$F$296,MATCH(C23,Standards!$B$2:$B$296,0)))</f>
        <v>#N/A</v>
      </c>
      <c r="W23" t="str">
        <f t="shared" si="2"/>
        <v>#d6bf2a</v>
      </c>
    </row>
    <row r="24" spans="1:23" x14ac:dyDescent="0.5">
      <c r="A24" s="54">
        <v>23</v>
      </c>
      <c r="B24" s="90" t="s">
        <v>625</v>
      </c>
      <c r="C24" t="s">
        <v>293</v>
      </c>
      <c r="D24" s="1"/>
      <c r="E24" s="112">
        <v>2002.07</v>
      </c>
      <c r="F24" s="112">
        <v>2014.11</v>
      </c>
      <c r="G24" s="107" t="s">
        <v>670</v>
      </c>
      <c r="H24" t="e">
        <f>INDEX('GIS-Standards'!$A$2:$A$305,MATCH(B24,'GIS-Standards'!$B$2:$B$305,0))</f>
        <v>#N/A</v>
      </c>
      <c r="I24">
        <f>INDEX('GIS-Standards'!$A$2:$A$305,MATCH(C24,'GIS-Standards'!$B$2:$B$305,0))</f>
        <v>10</v>
      </c>
      <c r="J24" t="e">
        <f>INDEX('GIS-Standards'!$O$2:$O$305,MATCH(B24,'GIS-Standards'!$B$2:$B$305,0))</f>
        <v>#N/A</v>
      </c>
      <c r="K24" t="str">
        <f>INDEX('GIS-Standards'!$O$2:$O$305,MATCH(C24,'GIS-Standards'!$B$2:$B$305,0))</f>
        <v>ISO/TC 211</v>
      </c>
      <c r="M24" t="s">
        <v>525</v>
      </c>
      <c r="N24" t="e">
        <f>INDEX('GIS-Standards'!$I$2:$I$305,MATCH(B24,'GIS-Standards'!$B$2:$B$305,0))</f>
        <v>#N/A</v>
      </c>
      <c r="O24">
        <f>INDEX('GIS-Standards'!$I$2:$I$305,MATCH(C24,'GIS-Standards'!$B$2:$B$305,0))</f>
        <v>0</v>
      </c>
      <c r="P24" t="e">
        <f>AND(TableRelationships12[[#This Row],[Source Type]]="BIM",TableRelationships12[[#This Row],[Target Type]]="BIM")</f>
        <v>#N/A</v>
      </c>
      <c r="Q24">
        <f t="shared" si="0"/>
        <v>1</v>
      </c>
      <c r="S24">
        <f t="shared" si="1"/>
        <v>1</v>
      </c>
      <c r="T24" s="102" t="str">
        <f>IF(TableRelationships12[[#This Row],[Rank Pedro]]="Low","linkCategory1",IF(TableRelationships12[[#This Row],[Rank Pedro]]="Medium","linkCategory2",IF(TableRelationships12[[#This Row],[Rank Pedro]]="High","linkCategory3","")))</f>
        <v/>
      </c>
      <c r="U24" s="102" t="str">
        <f>IF(TableRelationships12[[#This Row],[Rank Pedro]]="Low","Pink",IF(TableRelationships12[[#This Row],[Rank Pedro]]="Medium","Purple",IF(TableRelationships12[[#This Row],[Rank Pedro]]="High","Brown","")))</f>
        <v/>
      </c>
      <c r="V24" s="4" t="e">
        <f>MAX(INDEX(Standards!$F$2:$F$296,MATCH(B24,Standards!$B$2:$B$296,0)),INDEX(Standards!$F$2:$F$296,MATCH(C24,Standards!$B$2:$B$296,0)))</f>
        <v>#N/A</v>
      </c>
      <c r="W24" t="str">
        <f t="shared" si="2"/>
        <v>#2f89d1</v>
      </c>
    </row>
    <row r="25" spans="1:23" x14ac:dyDescent="0.5">
      <c r="A25" s="54">
        <v>24</v>
      </c>
      <c r="B25" s="90" t="s">
        <v>625</v>
      </c>
      <c r="C25" t="s">
        <v>300</v>
      </c>
      <c r="D25" s="1"/>
      <c r="E25" s="112">
        <v>2000.12</v>
      </c>
      <c r="F25" s="112">
        <v>2022.07</v>
      </c>
      <c r="G25" s="107" t="s">
        <v>670</v>
      </c>
      <c r="H25" t="e">
        <f>INDEX('GIS-Standards'!$A$2:$A$305,MATCH(B25,'GIS-Standards'!$B$2:$B$305,0))</f>
        <v>#N/A</v>
      </c>
      <c r="I25">
        <f>INDEX('GIS-Standards'!$A$2:$A$305,MATCH(C25,'GIS-Standards'!$B$2:$B$305,0))</f>
        <v>14</v>
      </c>
      <c r="J25" t="e">
        <f>INDEX('GIS-Standards'!$O$2:$O$305,MATCH(B25,'GIS-Standards'!$B$2:$B$305,0))</f>
        <v>#N/A</v>
      </c>
      <c r="K25" t="str">
        <f>INDEX('GIS-Standards'!$O$2:$O$305,MATCH(C25,'GIS-Standards'!$B$2:$B$305,0))</f>
        <v>ISO/TC 211</v>
      </c>
      <c r="M25" t="s">
        <v>525</v>
      </c>
      <c r="N25" t="e">
        <f>INDEX('GIS-Standards'!$I$2:$I$305,MATCH(B25,'GIS-Standards'!$B$2:$B$305,0))</f>
        <v>#N/A</v>
      </c>
      <c r="O25">
        <f>INDEX('GIS-Standards'!$I$2:$I$305,MATCH(C25,'GIS-Standards'!$B$2:$B$305,0))</f>
        <v>0</v>
      </c>
      <c r="P25" t="e">
        <f>AND(TableRelationships12[[#This Row],[Source Type]]="BIM",TableRelationships12[[#This Row],[Target Type]]="BIM")</f>
        <v>#N/A</v>
      </c>
      <c r="Q25">
        <f t="shared" si="0"/>
        <v>1</v>
      </c>
      <c r="S25">
        <f t="shared" si="1"/>
        <v>1</v>
      </c>
      <c r="T25" s="102" t="str">
        <f>IF(TableRelationships12[[#This Row],[Rank Pedro]]="Low","linkCategory1",IF(TableRelationships12[[#This Row],[Rank Pedro]]="Medium","linkCategory2",IF(TableRelationships12[[#This Row],[Rank Pedro]]="High","linkCategory3","")))</f>
        <v/>
      </c>
      <c r="U25" s="102" t="str">
        <f>IF(TableRelationships12[[#This Row],[Rank Pedro]]="Low","Pink",IF(TableRelationships12[[#This Row],[Rank Pedro]]="Medium","Purple",IF(TableRelationships12[[#This Row],[Rank Pedro]]="High","Brown","")))</f>
        <v/>
      </c>
      <c r="V25" s="4" t="e">
        <f>MAX(INDEX(Standards!$F$2:$F$296,MATCH(B25,Standards!$B$2:$B$296,0)),INDEX(Standards!$F$2:$F$296,MATCH(C25,Standards!$B$2:$B$296,0)))</f>
        <v>#N/A</v>
      </c>
      <c r="W25" t="str">
        <f t="shared" si="2"/>
        <v>#2f89d1</v>
      </c>
    </row>
    <row r="26" spans="1:23" x14ac:dyDescent="0.5">
      <c r="A26" s="54">
        <v>25</v>
      </c>
      <c r="B26" s="90" t="s">
        <v>625</v>
      </c>
      <c r="C26" t="s">
        <v>1048</v>
      </c>
      <c r="D26" s="1"/>
      <c r="E26" s="112">
        <v>2005.1</v>
      </c>
      <c r="F26" s="112">
        <v>2021.02</v>
      </c>
      <c r="G26" s="107" t="s">
        <v>670</v>
      </c>
      <c r="H26" t="e">
        <f>INDEX('GIS-Standards'!$A$2:$A$305,MATCH(B26,'GIS-Standards'!$B$2:$B$305,0))</f>
        <v>#N/A</v>
      </c>
      <c r="I26">
        <f>INDEX('GIS-Standards'!$A$2:$A$305,MATCH(C26,'GIS-Standards'!$B$2:$B$305,0))</f>
        <v>41</v>
      </c>
      <c r="J26" t="e">
        <f>INDEX('GIS-Standards'!$O$2:$O$305,MATCH(B26,'GIS-Standards'!$B$2:$B$305,0))</f>
        <v>#N/A</v>
      </c>
      <c r="K26" t="str">
        <f>INDEX('GIS-Standards'!$O$2:$O$305,MATCH(C26,'GIS-Standards'!$B$2:$B$305,0))</f>
        <v>ISO/TC 211</v>
      </c>
      <c r="M26" t="s">
        <v>525</v>
      </c>
      <c r="N26" t="e">
        <f>INDEX('GIS-Standards'!$I$2:$I$305,MATCH(B26,'GIS-Standards'!$B$2:$B$305,0))</f>
        <v>#N/A</v>
      </c>
      <c r="O26" t="str">
        <f>INDEX('GIS-Standards'!$I$2:$I$305,MATCH(C26,'GIS-Standards'!$B$2:$B$305,0))</f>
        <v>03.2021</v>
      </c>
      <c r="P26" t="e">
        <f>AND(TableRelationships12[[#This Row],[Source Type]]="BIM",TableRelationships12[[#This Row],[Target Type]]="BIM")</f>
        <v>#N/A</v>
      </c>
      <c r="Q26">
        <f t="shared" si="0"/>
        <v>1</v>
      </c>
      <c r="S26">
        <f t="shared" si="1"/>
        <v>1</v>
      </c>
      <c r="T26" s="102" t="str">
        <f>IF(TableRelationships12[[#This Row],[Rank Pedro]]="Low","linkCategory1",IF(TableRelationships12[[#This Row],[Rank Pedro]]="Medium","linkCategory2",IF(TableRelationships12[[#This Row],[Rank Pedro]]="High","linkCategory3","")))</f>
        <v/>
      </c>
      <c r="U26" s="102" t="str">
        <f>IF(TableRelationships12[[#This Row],[Rank Pedro]]="Low","Pink",IF(TableRelationships12[[#This Row],[Rank Pedro]]="Medium","Purple",IF(TableRelationships12[[#This Row],[Rank Pedro]]="High","Brown","")))</f>
        <v/>
      </c>
      <c r="V26" s="4" t="e">
        <f>MAX(INDEX(Standards!$F$2:$F$296,MATCH(B26,Standards!$B$2:$B$296,0)),INDEX(Standards!$F$2:$F$296,MATCH(C26,Standards!$B$2:$B$296,0)))</f>
        <v>#N/A</v>
      </c>
      <c r="W26" t="str">
        <f t="shared" si="2"/>
        <v>#2f89d1</v>
      </c>
    </row>
    <row r="27" spans="1:23" x14ac:dyDescent="0.5">
      <c r="A27" s="54">
        <v>26</v>
      </c>
      <c r="B27" s="91" t="s">
        <v>625</v>
      </c>
      <c r="C27" s="103" t="s">
        <v>1466</v>
      </c>
      <c r="D27" s="1" t="s">
        <v>1678</v>
      </c>
      <c r="E27" s="112" t="s">
        <v>1681</v>
      </c>
      <c r="F27" s="112" t="s">
        <v>1681</v>
      </c>
      <c r="G27" s="107" t="s">
        <v>670</v>
      </c>
      <c r="H27" t="e">
        <f>INDEX('GIS-Standards'!$A$2:$A$305,MATCH(B27,'GIS-Standards'!$B$2:$B$305,0))</f>
        <v>#N/A</v>
      </c>
      <c r="I27" t="e">
        <f>INDEX('GIS-Standards'!$A$2:$A$305,MATCH(C27,'GIS-Standards'!$B$2:$B$305,0))</f>
        <v>#N/A</v>
      </c>
      <c r="J27" t="e">
        <f>INDEX('GIS-Standards'!$O$2:$O$305,MATCH(B27,'GIS-Standards'!$B$2:$B$305,0))</f>
        <v>#N/A</v>
      </c>
      <c r="K27" t="e">
        <f>INDEX('GIS-Standards'!$O$2:$O$305,MATCH(C27,'GIS-Standards'!$B$2:$B$305,0))</f>
        <v>#N/A</v>
      </c>
      <c r="M27" t="s">
        <v>525</v>
      </c>
      <c r="N27" t="e">
        <f>INDEX('GIS-Standards'!$I$2:$I$305,MATCH(B27,'GIS-Standards'!$B$2:$B$305,0))</f>
        <v>#N/A</v>
      </c>
      <c r="O27" t="e">
        <f>INDEX('GIS-Standards'!$I$2:$I$305,MATCH(C27,'GIS-Standards'!$B$2:$B$305,0))</f>
        <v>#N/A</v>
      </c>
      <c r="P27" t="e">
        <f>AND(TableRelationships12[[#This Row],[Source Type]]="BIM",TableRelationships12[[#This Row],[Target Type]]="BIM")</f>
        <v>#N/A</v>
      </c>
      <c r="Q27">
        <f t="shared" si="0"/>
        <v>1</v>
      </c>
      <c r="S27">
        <f t="shared" si="1"/>
        <v>1</v>
      </c>
      <c r="T27" s="102" t="str">
        <f>IF(TableRelationships12[[#This Row],[Rank Pedro]]="Low","linkCategory1",IF(TableRelationships12[[#This Row],[Rank Pedro]]="Medium","linkCategory2",IF(TableRelationships12[[#This Row],[Rank Pedro]]="High","linkCategory3","")))</f>
        <v/>
      </c>
      <c r="U27" s="102" t="str">
        <f>IF(TableRelationships12[[#This Row],[Rank Pedro]]="Low","Pink",IF(TableRelationships12[[#This Row],[Rank Pedro]]="Medium","Purple",IF(TableRelationships12[[#This Row],[Rank Pedro]]="High","Brown","")))</f>
        <v/>
      </c>
      <c r="V27" s="4" t="e">
        <f>MAX(INDEX(Standards!$F$2:$F$296,MATCH(B27,Standards!$B$2:$B$296,0)),INDEX(Standards!$F$2:$F$296,MATCH(C27,Standards!$B$2:$B$296,0)))</f>
        <v>#N/A</v>
      </c>
      <c r="W27" t="str">
        <f t="shared" si="2"/>
        <v>#2f89d1</v>
      </c>
    </row>
    <row r="28" spans="1:23" x14ac:dyDescent="0.5">
      <c r="A28" s="54">
        <v>27</v>
      </c>
      <c r="B28" s="90" t="s">
        <v>625</v>
      </c>
      <c r="C28" t="s">
        <v>1039</v>
      </c>
      <c r="D28" s="1"/>
      <c r="E28" s="113">
        <v>2012.12</v>
      </c>
      <c r="F28" s="113">
        <v>2024.01</v>
      </c>
      <c r="G28" s="107" t="s">
        <v>670</v>
      </c>
      <c r="H28" t="e">
        <f>INDEX('GIS-Standards'!$A$2:$A$305,MATCH(B28,'GIS-Standards'!$B$2:$B$305,0))</f>
        <v>#N/A</v>
      </c>
      <c r="I28">
        <f>INDEX('GIS-Standards'!$A$2:$A$305,MATCH(C28,'GIS-Standards'!$B$2:$B$305,0))</f>
        <v>57</v>
      </c>
      <c r="J28" t="e">
        <f>INDEX('GIS-Standards'!$O$2:$O$305,MATCH(B28,'GIS-Standards'!$B$2:$B$305,0))</f>
        <v>#N/A</v>
      </c>
      <c r="K28" t="str">
        <f>INDEX('GIS-Standards'!$O$2:$O$305,MATCH(C28,'GIS-Standards'!$B$2:$B$305,0))</f>
        <v>ISO/TC 211</v>
      </c>
      <c r="M28" t="s">
        <v>525</v>
      </c>
      <c r="N28" t="e">
        <f>INDEX('GIS-Standards'!$I$2:$I$305,MATCH(B28,'GIS-Standards'!$B$2:$B$305,0))</f>
        <v>#N/A</v>
      </c>
      <c r="O28">
        <f>INDEX('GIS-Standards'!$I$2:$I$305,MATCH(C28,'GIS-Standards'!$B$2:$B$305,0))</f>
        <v>0</v>
      </c>
      <c r="P28" t="e">
        <f>AND(TableRelationships12[[#This Row],[Source Type]]="BIM",TableRelationships12[[#This Row],[Target Type]]="BIM")</f>
        <v>#N/A</v>
      </c>
      <c r="Q28">
        <f t="shared" si="0"/>
        <v>1</v>
      </c>
      <c r="S28">
        <f t="shared" si="1"/>
        <v>1</v>
      </c>
      <c r="T28" s="102" t="str">
        <f>IF(TableRelationships12[[#This Row],[Rank Pedro]]="Low","linkCategory1",IF(TableRelationships12[[#This Row],[Rank Pedro]]="Medium","linkCategory2",IF(TableRelationships12[[#This Row],[Rank Pedro]]="High","linkCategory3","")))</f>
        <v/>
      </c>
      <c r="U28" s="102" t="str">
        <f>IF(TableRelationships12[[#This Row],[Rank Pedro]]="Low","Pink",IF(TableRelationships12[[#This Row],[Rank Pedro]]="Medium","Purple",IF(TableRelationships12[[#This Row],[Rank Pedro]]="High","Brown","")))</f>
        <v/>
      </c>
      <c r="V28" s="4" t="e">
        <f>MAX(INDEX(Standards!$F$2:$F$296,MATCH(B28,Standards!$B$2:$B$296,0)),INDEX(Standards!$F$2:$F$296,MATCH(C28,Standards!$B$2:$B$296,0)))</f>
        <v>#N/A</v>
      </c>
      <c r="W28" t="str">
        <f t="shared" si="2"/>
        <v>#2f89d1</v>
      </c>
    </row>
    <row r="29" spans="1:23" x14ac:dyDescent="0.5">
      <c r="A29" s="54">
        <v>28</v>
      </c>
      <c r="B29" s="90" t="s">
        <v>625</v>
      </c>
      <c r="C29" t="s">
        <v>1383</v>
      </c>
      <c r="D29" s="1"/>
      <c r="G29" s="107"/>
      <c r="H29" t="e">
        <f>INDEX('GIS-Standards'!$A$2:$A$305,MATCH(B29,'GIS-Standards'!$B$2:$B$305,0))</f>
        <v>#N/A</v>
      </c>
      <c r="I29" t="e">
        <f>INDEX('GIS-Standards'!$A$2:$A$305,MATCH(C29,'GIS-Standards'!$B$2:$B$305,0))</f>
        <v>#N/A</v>
      </c>
      <c r="J29" t="e">
        <f>INDEX('GIS-Standards'!$O$2:$O$305,MATCH(B29,'GIS-Standards'!$B$2:$B$305,0))</f>
        <v>#N/A</v>
      </c>
      <c r="K29" t="e">
        <f>INDEX('GIS-Standards'!$O$2:$O$305,MATCH(C29,'GIS-Standards'!$B$2:$B$305,0))</f>
        <v>#N/A</v>
      </c>
      <c r="M29" t="s">
        <v>525</v>
      </c>
      <c r="N29" t="e">
        <f>INDEX('GIS-Standards'!$I$2:$I$305,MATCH(B29,'GIS-Standards'!$B$2:$B$305,0))</f>
        <v>#N/A</v>
      </c>
      <c r="O29" t="e">
        <f>INDEX('GIS-Standards'!$I$2:$I$305,MATCH(C29,'GIS-Standards'!$B$2:$B$305,0))</f>
        <v>#N/A</v>
      </c>
      <c r="P29" t="e">
        <f>AND(TableRelationships12[[#This Row],[Source Type]]="BIM",TableRelationships12[[#This Row],[Target Type]]="BIM")</f>
        <v>#N/A</v>
      </c>
      <c r="Q29">
        <f t="shared" si="0"/>
        <v>1</v>
      </c>
      <c r="S29">
        <f t="shared" si="1"/>
        <v>1</v>
      </c>
      <c r="T29" s="102" t="str">
        <f>IF(TableRelationships12[[#This Row],[Rank Pedro]]="Low","linkCategory1",IF(TableRelationships12[[#This Row],[Rank Pedro]]="Medium","linkCategory2",IF(TableRelationships12[[#This Row],[Rank Pedro]]="High","linkCategory3","")))</f>
        <v/>
      </c>
      <c r="U29" s="102" t="str">
        <f>IF(TableRelationships12[[#This Row],[Rank Pedro]]="Low","Pink",IF(TableRelationships12[[#This Row],[Rank Pedro]]="Medium","Purple",IF(TableRelationships12[[#This Row],[Rank Pedro]]="High","Brown","")))</f>
        <v/>
      </c>
      <c r="V29" s="4" t="e">
        <f>MAX(INDEX(Standards!$F$2:$F$296,MATCH(B29,Standards!$B$2:$B$296,0)),INDEX(Standards!$F$2:$F$296,MATCH(C29,Standards!$B$2:$B$296,0)))</f>
        <v>#N/A</v>
      </c>
      <c r="W29" t="str">
        <f t="shared" si="2"/>
        <v>#2f89d1</v>
      </c>
    </row>
    <row r="30" spans="1:23" x14ac:dyDescent="0.5">
      <c r="A30" s="54">
        <v>29</v>
      </c>
      <c r="B30" s="90" t="s">
        <v>625</v>
      </c>
      <c r="C30" t="s">
        <v>1111</v>
      </c>
      <c r="D30" s="1"/>
      <c r="G30" s="107"/>
      <c r="H30" t="e">
        <f>INDEX('GIS-Standards'!$A$2:$A$305,MATCH(B30,'GIS-Standards'!$B$2:$B$305,0))</f>
        <v>#N/A</v>
      </c>
      <c r="I30" t="e">
        <f>INDEX('GIS-Standards'!$A$2:$A$305,MATCH(C30,'GIS-Standards'!$B$2:$B$305,0))</f>
        <v>#N/A</v>
      </c>
      <c r="J30" t="e">
        <f>INDEX('GIS-Standards'!$O$2:$O$305,MATCH(B30,'GIS-Standards'!$B$2:$B$305,0))</f>
        <v>#N/A</v>
      </c>
      <c r="K30" t="e">
        <f>INDEX('GIS-Standards'!$O$2:$O$305,MATCH(C30,'GIS-Standards'!$B$2:$B$305,0))</f>
        <v>#N/A</v>
      </c>
      <c r="M30" t="s">
        <v>525</v>
      </c>
      <c r="N30" t="e">
        <f>INDEX('GIS-Standards'!$I$2:$I$305,MATCH(B30,'GIS-Standards'!$B$2:$B$305,0))</f>
        <v>#N/A</v>
      </c>
      <c r="O30" t="e">
        <f>INDEX('GIS-Standards'!$I$2:$I$305,MATCH(C30,'GIS-Standards'!$B$2:$B$305,0))</f>
        <v>#N/A</v>
      </c>
      <c r="P30" t="e">
        <f>AND(TableRelationships12[[#This Row],[Source Type]]="BIM",TableRelationships12[[#This Row],[Target Type]]="BIM")</f>
        <v>#N/A</v>
      </c>
      <c r="Q30">
        <f t="shared" si="0"/>
        <v>1</v>
      </c>
      <c r="S30">
        <f t="shared" si="1"/>
        <v>1</v>
      </c>
      <c r="T30" s="102" t="str">
        <f>IF(TableRelationships12[[#This Row],[Rank Pedro]]="Low","linkCategory1",IF(TableRelationships12[[#This Row],[Rank Pedro]]="Medium","linkCategory2",IF(TableRelationships12[[#This Row],[Rank Pedro]]="High","linkCategory3","")))</f>
        <v/>
      </c>
      <c r="U30" s="102" t="str">
        <f>IF(TableRelationships12[[#This Row],[Rank Pedro]]="Low","Pink",IF(TableRelationships12[[#This Row],[Rank Pedro]]="Medium","Purple",IF(TableRelationships12[[#This Row],[Rank Pedro]]="High","Brown","")))</f>
        <v/>
      </c>
      <c r="V30" s="4" t="e">
        <f>MAX(INDEX(Standards!$F$2:$F$296,MATCH(B30,Standards!$B$2:$B$296,0)),INDEX(Standards!$F$2:$F$296,MATCH(C30,Standards!$B$2:$B$296,0)))</f>
        <v>#N/A</v>
      </c>
      <c r="W30" t="str">
        <f t="shared" si="2"/>
        <v>#2f89d1</v>
      </c>
    </row>
    <row r="31" spans="1:23" x14ac:dyDescent="0.5">
      <c r="A31" s="54">
        <v>30</v>
      </c>
      <c r="B31" s="90" t="s">
        <v>626</v>
      </c>
      <c r="C31" t="s">
        <v>527</v>
      </c>
      <c r="D31" s="1"/>
      <c r="E31" s="112" t="s">
        <v>893</v>
      </c>
      <c r="F31" s="112" t="s">
        <v>893</v>
      </c>
      <c r="G31" s="90" t="s">
        <v>671</v>
      </c>
      <c r="H31">
        <f>INDEX('GIS-Standards'!$A$2:$A$305,MATCH(B31,'GIS-Standards'!$B$2:$B$305,0))</f>
        <v>1</v>
      </c>
      <c r="I31" t="e">
        <f>INDEX('GIS-Standards'!$A$2:$A$305,MATCH(C31,'GIS-Standards'!$B$2:$B$305,0))</f>
        <v>#N/A</v>
      </c>
      <c r="J31">
        <f>INDEX('GIS-Standards'!$O$2:$O$305,MATCH(B31,'GIS-Standards'!$B$2:$B$305,0))</f>
        <v>0</v>
      </c>
      <c r="K31" t="e">
        <f>INDEX('GIS-Standards'!$O$2:$O$305,MATCH(C31,'GIS-Standards'!$B$2:$B$305,0))</f>
        <v>#N/A</v>
      </c>
      <c r="M31" t="s">
        <v>237</v>
      </c>
      <c r="N31">
        <f>INDEX('GIS-Standards'!$I$2:$I$305,MATCH(B31,'GIS-Standards'!$B$2:$B$305,0))</f>
        <v>0</v>
      </c>
      <c r="O31" t="e">
        <f>INDEX('GIS-Standards'!$I$2:$I$305,MATCH(C31,'GIS-Standards'!$B$2:$B$305,0))</f>
        <v>#N/A</v>
      </c>
      <c r="P31" t="e">
        <f>AND(TableRelationships12[[#This Row],[Source Type]]="BIM",TableRelationships12[[#This Row],[Target Type]]="BIM")</f>
        <v>#N/A</v>
      </c>
      <c r="Q31">
        <f t="shared" si="0"/>
        <v>2</v>
      </c>
      <c r="S31">
        <f t="shared" si="1"/>
        <v>1</v>
      </c>
      <c r="T31" s="102" t="str">
        <f>IF(TableRelationships12[[#This Row],[Rank Pedro]]="Low","linkCategory1",IF(TableRelationships12[[#This Row],[Rank Pedro]]="Medium","linkCategory2",IF(TableRelationships12[[#This Row],[Rank Pedro]]="High","linkCategory3","")))</f>
        <v/>
      </c>
      <c r="U31" s="102" t="str">
        <f>IF(TableRelationships12[[#This Row],[Rank Pedro]]="Low","Pink",IF(TableRelationships12[[#This Row],[Rank Pedro]]="Medium","Purple",IF(TableRelationships12[[#This Row],[Rank Pedro]]="High","Brown","")))</f>
        <v/>
      </c>
      <c r="V31" s="4" t="e">
        <f>MAX(INDEX(Standards!$F$2:$F$296,MATCH(B31,Standards!$B$2:$B$296,0)),INDEX(Standards!$F$2:$F$296,MATCH(C31,Standards!$B$2:$B$296,0)))</f>
        <v>#N/A</v>
      </c>
      <c r="W31">
        <f t="shared" si="2"/>
        <v>1</v>
      </c>
    </row>
    <row r="32" spans="1:23" x14ac:dyDescent="0.5">
      <c r="A32" s="54">
        <v>31</v>
      </c>
      <c r="B32" s="90" t="s">
        <v>627</v>
      </c>
      <c r="C32" t="s">
        <v>527</v>
      </c>
      <c r="D32" s="1"/>
      <c r="E32" s="94" t="s">
        <v>893</v>
      </c>
      <c r="F32" s="94" t="s">
        <v>893</v>
      </c>
      <c r="G32" s="90" t="s">
        <v>671</v>
      </c>
      <c r="H32">
        <f>INDEX('GIS-Standards'!$A$2:$A$305,MATCH(B32,'GIS-Standards'!$B$2:$B$305,0))</f>
        <v>2</v>
      </c>
      <c r="I32" t="e">
        <f>INDEX('GIS-Standards'!$A$2:$A$305,MATCH(C32,'GIS-Standards'!$B$2:$B$305,0))</f>
        <v>#N/A</v>
      </c>
      <c r="J32">
        <f>INDEX('GIS-Standards'!$O$2:$O$305,MATCH(B32,'GIS-Standards'!$B$2:$B$305,0))</f>
        <v>0</v>
      </c>
      <c r="K32" t="e">
        <f>INDEX('GIS-Standards'!$O$2:$O$305,MATCH(C32,'GIS-Standards'!$B$2:$B$305,0))</f>
        <v>#N/A</v>
      </c>
      <c r="M32" t="s">
        <v>237</v>
      </c>
      <c r="N32">
        <f>INDEX('GIS-Standards'!$I$2:$I$305,MATCH(B32,'GIS-Standards'!$B$2:$B$305,0))</f>
        <v>0</v>
      </c>
      <c r="O32" t="e">
        <f>INDEX('GIS-Standards'!$I$2:$I$305,MATCH(C32,'GIS-Standards'!$B$2:$B$305,0))</f>
        <v>#N/A</v>
      </c>
      <c r="P32" t="e">
        <f>AND(TableRelationships12[[#This Row],[Source Type]]="BIM",TableRelationships12[[#This Row],[Target Type]]="BIM")</f>
        <v>#N/A</v>
      </c>
      <c r="Q32">
        <f t="shared" si="0"/>
        <v>2</v>
      </c>
      <c r="S32">
        <f t="shared" si="1"/>
        <v>1</v>
      </c>
      <c r="T32" s="102" t="str">
        <f>IF(TableRelationships12[[#This Row],[Rank Pedro]]="Low","linkCategory1",IF(TableRelationships12[[#This Row],[Rank Pedro]]="Medium","linkCategory2",IF(TableRelationships12[[#This Row],[Rank Pedro]]="High","linkCategory3","")))</f>
        <v/>
      </c>
      <c r="U32" s="102" t="str">
        <f>IF(TableRelationships12[[#This Row],[Rank Pedro]]="Low","Pink",IF(TableRelationships12[[#This Row],[Rank Pedro]]="Medium","Purple",IF(TableRelationships12[[#This Row],[Rank Pedro]]="High","Brown","")))</f>
        <v/>
      </c>
      <c r="V32" s="4" t="e">
        <f>MAX(INDEX(Standards!$F$2:$F$296,MATCH(B32,Standards!$B$2:$B$296,0)),INDEX(Standards!$F$2:$F$296,MATCH(C32,Standards!$B$2:$B$296,0)))</f>
        <v>#N/A</v>
      </c>
      <c r="W32">
        <f t="shared" si="2"/>
        <v>1</v>
      </c>
    </row>
    <row r="33" spans="1:23" x14ac:dyDescent="0.5">
      <c r="A33" s="54">
        <v>32</v>
      </c>
      <c r="B33" s="90" t="s">
        <v>627</v>
      </c>
      <c r="C33" t="s">
        <v>314</v>
      </c>
      <c r="D33" s="1" t="s">
        <v>1099</v>
      </c>
      <c r="E33" s="112">
        <v>2003.05</v>
      </c>
      <c r="F33" s="112">
        <v>2020.11</v>
      </c>
      <c r="G33" s="107" t="s">
        <v>670</v>
      </c>
      <c r="H33">
        <f>INDEX('GIS-Standards'!$A$2:$A$305,MATCH(B33,'GIS-Standards'!$B$2:$B$305,0))</f>
        <v>2</v>
      </c>
      <c r="I33" t="e">
        <f>INDEX('GIS-Standards'!$A$2:$A$305,MATCH(D33,'GIS-Standards'!$B$2:$B$305,0))</f>
        <v>#N/A</v>
      </c>
      <c r="J33">
        <f>INDEX('GIS-Standards'!$O$2:$O$305,MATCH(B33,'GIS-Standards'!$B$2:$B$305,0))</f>
        <v>0</v>
      </c>
      <c r="K33" t="e">
        <f>INDEX('GIS-Standards'!$O$2:$O$305,MATCH(D33,'GIS-Standards'!$B$2:$B$305,0))</f>
        <v>#N/A</v>
      </c>
      <c r="M33" t="s">
        <v>524</v>
      </c>
      <c r="N33">
        <f>INDEX('GIS-Standards'!$I$2:$I$305,MATCH(B33,'GIS-Standards'!$B$2:$B$305,0))</f>
        <v>0</v>
      </c>
      <c r="O33" t="e">
        <f>INDEX('GIS-Standards'!$I$2:$I$305,MATCH(D33,'GIS-Standards'!$B$2:$B$305,0))</f>
        <v>#N/A</v>
      </c>
      <c r="P33" t="e">
        <f>AND(TableRelationships12[[#This Row],[Source Type]]="BIM",TableRelationships12[[#This Row],[Target Type]]="BIM")</f>
        <v>#N/A</v>
      </c>
      <c r="Q33">
        <f t="shared" si="0"/>
        <v>6</v>
      </c>
      <c r="S33">
        <f t="shared" si="1"/>
        <v>1</v>
      </c>
      <c r="T33" s="102" t="str">
        <f>IF(TableRelationships12[[#This Row],[Rank Pedro]]="Low","linkCategory1",IF(TableRelationships12[[#This Row],[Rank Pedro]]="Medium","linkCategory2",IF(TableRelationships12[[#This Row],[Rank Pedro]]="High","linkCategory3","")))</f>
        <v/>
      </c>
      <c r="U33" s="102" t="str">
        <f>IF(TableRelationships12[[#This Row],[Rank Pedro]]="Low","Pink",IF(TableRelationships12[[#This Row],[Rank Pedro]]="Medium","Purple",IF(TableRelationships12[[#This Row],[Rank Pedro]]="High","Brown","")))</f>
        <v/>
      </c>
      <c r="V33" s="4" t="e">
        <f>MAX(INDEX(Standards!$F$2:$F$296,MATCH(B33,Standards!$B$2:$B$296,0)),INDEX(Standards!$F$2:$F$296,MATCH(D33,Standards!$B$2:$B$296,0)))</f>
        <v>#N/A</v>
      </c>
      <c r="W33" t="str">
        <f t="shared" si="2"/>
        <v>#d6bf2a</v>
      </c>
    </row>
    <row r="34" spans="1:23" x14ac:dyDescent="0.5">
      <c r="A34" s="54">
        <v>33</v>
      </c>
      <c r="B34" s="90" t="s">
        <v>627</v>
      </c>
      <c r="C34" t="s">
        <v>1048</v>
      </c>
      <c r="D34" s="1" t="s">
        <v>1152</v>
      </c>
      <c r="E34" s="112">
        <v>2005.1</v>
      </c>
      <c r="F34" s="112">
        <v>2021.02</v>
      </c>
      <c r="G34" s="107" t="s">
        <v>670</v>
      </c>
      <c r="H34">
        <f>INDEX('GIS-Standards'!$A$2:$A$305,MATCH(B34,'GIS-Standards'!$B$2:$B$305,0))</f>
        <v>2</v>
      </c>
      <c r="I34">
        <f>INDEX('GIS-Standards'!$A$2:$A$305,MATCH(C34,'GIS-Standards'!$B$2:$B$305,0))</f>
        <v>41</v>
      </c>
      <c r="J34">
        <f>INDEX('GIS-Standards'!$O$2:$O$305,MATCH(B34,'GIS-Standards'!$B$2:$B$305,0))</f>
        <v>0</v>
      </c>
      <c r="K34" t="str">
        <f>INDEX('GIS-Standards'!$O$2:$O$305,MATCH(C34,'GIS-Standards'!$B$2:$B$305,0))</f>
        <v>ISO/TC 211</v>
      </c>
      <c r="M34" t="s">
        <v>524</v>
      </c>
      <c r="N34">
        <f>INDEX('GIS-Standards'!$I$2:$I$305,MATCH(B34,'GIS-Standards'!$B$2:$B$305,0))</f>
        <v>0</v>
      </c>
      <c r="O34" t="str">
        <f>INDEX('GIS-Standards'!$I$2:$I$305,MATCH(C34,'GIS-Standards'!$B$2:$B$305,0))</f>
        <v>03.2021</v>
      </c>
      <c r="P34" t="b">
        <f>AND(TableRelationships12[[#This Row],[Source Type]]="BIM",TableRelationships12[[#This Row],[Target Type]]="BIM")</f>
        <v>0</v>
      </c>
      <c r="Q34">
        <f t="shared" si="0"/>
        <v>6</v>
      </c>
      <c r="S34">
        <f t="shared" si="1"/>
        <v>1</v>
      </c>
      <c r="T34" s="102" t="str">
        <f>IF(TableRelationships12[[#This Row],[Rank Pedro]]="Low","linkCategory1",IF(TableRelationships12[[#This Row],[Rank Pedro]]="Medium","linkCategory2",IF(TableRelationships12[[#This Row],[Rank Pedro]]="High","linkCategory3","")))</f>
        <v/>
      </c>
      <c r="U34" s="102" t="str">
        <f>IF(TableRelationships12[[#This Row],[Rank Pedro]]="Low","Pink",IF(TableRelationships12[[#This Row],[Rank Pedro]]="Medium","Purple",IF(TableRelationships12[[#This Row],[Rank Pedro]]="High","Brown","")))</f>
        <v/>
      </c>
      <c r="V34" s="4" t="e">
        <f>MAX(INDEX(Standards!$F$2:$F$296,MATCH(B34,Standards!$B$2:$B$296,0)),INDEX(Standards!$F$2:$F$296,MATCH(C34,Standards!$B$2:$B$296,0)))</f>
        <v>#N/A</v>
      </c>
      <c r="W34" t="str">
        <f t="shared" si="2"/>
        <v>#d6bf2a</v>
      </c>
    </row>
    <row r="35" spans="1:23" x14ac:dyDescent="0.5">
      <c r="A35" s="54">
        <v>34</v>
      </c>
      <c r="B35" s="90" t="s">
        <v>628</v>
      </c>
      <c r="C35" t="s">
        <v>527</v>
      </c>
      <c r="D35" s="1"/>
      <c r="E35" s="94" t="s">
        <v>893</v>
      </c>
      <c r="F35" s="94" t="s">
        <v>893</v>
      </c>
      <c r="G35" s="90" t="s">
        <v>671</v>
      </c>
      <c r="H35">
        <f>INDEX('GIS-Standards'!$A$2:$A$305,MATCH(B35,'GIS-Standards'!$B$2:$B$305,0))</f>
        <v>3</v>
      </c>
      <c r="I35" t="e">
        <f>INDEX('GIS-Standards'!$A$2:$A$305,MATCH(C35,'GIS-Standards'!$B$2:$B$305,0))</f>
        <v>#N/A</v>
      </c>
      <c r="J35">
        <f>INDEX('GIS-Standards'!$O$2:$O$305,MATCH(B35,'GIS-Standards'!$B$2:$B$305,0))</f>
        <v>0</v>
      </c>
      <c r="K35" t="e">
        <f>INDEX('GIS-Standards'!$O$2:$O$305,MATCH(C35,'GIS-Standards'!$B$2:$B$305,0))</f>
        <v>#N/A</v>
      </c>
      <c r="M35" t="s">
        <v>237</v>
      </c>
      <c r="N35">
        <f>INDEX('GIS-Standards'!$I$2:$I$305,MATCH(B35,'GIS-Standards'!$B$2:$B$305,0))</f>
        <v>0</v>
      </c>
      <c r="O35" t="e">
        <f>INDEX('GIS-Standards'!$I$2:$I$305,MATCH(C35,'GIS-Standards'!$B$2:$B$305,0))</f>
        <v>#N/A</v>
      </c>
      <c r="P35" t="e">
        <f>AND(TableRelationships12[[#This Row],[Source Type]]="BIM",TableRelationships12[[#This Row],[Target Type]]="BIM")</f>
        <v>#N/A</v>
      </c>
      <c r="Q35">
        <f t="shared" si="0"/>
        <v>2</v>
      </c>
      <c r="S35">
        <f t="shared" si="1"/>
        <v>1</v>
      </c>
      <c r="T35" s="102" t="str">
        <f>IF(TableRelationships12[[#This Row],[Rank Pedro]]="Low","linkCategory1",IF(TableRelationships12[[#This Row],[Rank Pedro]]="Medium","linkCategory2",IF(TableRelationships12[[#This Row],[Rank Pedro]]="High","linkCategory3","")))</f>
        <v/>
      </c>
      <c r="U35" s="102" t="str">
        <f>IF(TableRelationships12[[#This Row],[Rank Pedro]]="Low","Pink",IF(TableRelationships12[[#This Row],[Rank Pedro]]="Medium","Purple",IF(TableRelationships12[[#This Row],[Rank Pedro]]="High","Brown","")))</f>
        <v/>
      </c>
      <c r="V35" s="4" t="e">
        <f>MAX(INDEX(Standards!$F$2:$F$296,MATCH(B35,Standards!$B$2:$B$296,0)),INDEX(Standards!$F$2:$F$296,MATCH(C35,Standards!$B$2:$B$296,0)))</f>
        <v>#N/A</v>
      </c>
      <c r="W35">
        <f t="shared" si="2"/>
        <v>1</v>
      </c>
    </row>
    <row r="36" spans="1:23" x14ac:dyDescent="0.5">
      <c r="A36" s="54">
        <v>35</v>
      </c>
      <c r="B36" s="90" t="s">
        <v>628</v>
      </c>
      <c r="C36" t="s">
        <v>293</v>
      </c>
      <c r="D36" s="1" t="s">
        <v>1127</v>
      </c>
      <c r="E36" s="112">
        <v>2002.07</v>
      </c>
      <c r="F36" s="112">
        <v>2014.11</v>
      </c>
      <c r="G36" s="107" t="s">
        <v>670</v>
      </c>
      <c r="H36">
        <f>INDEX('GIS-Standards'!$A$2:$A$305,MATCH(B36,'GIS-Standards'!$B$2:$B$305,0))</f>
        <v>3</v>
      </c>
      <c r="I36" t="e">
        <f>INDEX('GIS-Standards'!$A$2:$A$305,MATCH(D36,'GIS-Standards'!$B$2:$B$305,0))</f>
        <v>#N/A</v>
      </c>
      <c r="J36">
        <f>INDEX('GIS-Standards'!$O$2:$O$305,MATCH(B36,'GIS-Standards'!$B$2:$B$305,0))</f>
        <v>0</v>
      </c>
      <c r="K36" t="e">
        <f>INDEX('GIS-Standards'!$O$2:$O$305,MATCH(D36,'GIS-Standards'!$B$2:$B$305,0))</f>
        <v>#N/A</v>
      </c>
      <c r="M36" t="s">
        <v>525</v>
      </c>
      <c r="N36">
        <f>INDEX('GIS-Standards'!$I$2:$I$305,MATCH(B36,'GIS-Standards'!$B$2:$B$305,0))</f>
        <v>0</v>
      </c>
      <c r="O36" t="e">
        <f>INDEX('GIS-Standards'!$I$2:$I$305,MATCH(D36,'GIS-Standards'!$B$2:$B$305,0))</f>
        <v>#N/A</v>
      </c>
      <c r="P36" t="e">
        <f>AND(TableRelationships12[[#This Row],[Source Type]]="BIM",TableRelationships12[[#This Row],[Target Type]]="BIM")</f>
        <v>#N/A</v>
      </c>
      <c r="Q36">
        <f t="shared" si="0"/>
        <v>1</v>
      </c>
      <c r="S36">
        <f t="shared" si="1"/>
        <v>1</v>
      </c>
      <c r="T36" s="102" t="str">
        <f>IF(TableRelationships12[[#This Row],[Rank Pedro]]="Low","linkCategory1",IF(TableRelationships12[[#This Row],[Rank Pedro]]="Medium","linkCategory2",IF(TableRelationships12[[#This Row],[Rank Pedro]]="High","linkCategory3","")))</f>
        <v/>
      </c>
      <c r="U36" s="102" t="str">
        <f>IF(TableRelationships12[[#This Row],[Rank Pedro]]="Low","Pink",IF(TableRelationships12[[#This Row],[Rank Pedro]]="Medium","Purple",IF(TableRelationships12[[#This Row],[Rank Pedro]]="High","Brown","")))</f>
        <v/>
      </c>
      <c r="V36" s="4" t="e">
        <f>MAX(INDEX(Standards!$F$2:$F$296,MATCH(B36,Standards!$B$2:$B$296,0)),INDEX(Standards!$F$2:$F$296,MATCH(D36,Standards!$B$2:$B$296,0)))</f>
        <v>#N/A</v>
      </c>
      <c r="W36" t="str">
        <f t="shared" si="2"/>
        <v>#2f89d1</v>
      </c>
    </row>
    <row r="37" spans="1:23" x14ac:dyDescent="0.5">
      <c r="A37" s="54">
        <v>36</v>
      </c>
      <c r="B37" s="90" t="s">
        <v>628</v>
      </c>
      <c r="C37" t="s">
        <v>296</v>
      </c>
      <c r="D37" s="1"/>
      <c r="E37" s="112">
        <v>2005.07</v>
      </c>
      <c r="F37" s="112">
        <v>2024.09</v>
      </c>
      <c r="G37" s="107" t="s">
        <v>670</v>
      </c>
      <c r="H37">
        <f>INDEX('GIS-Standards'!$A$2:$A$305,MATCH(B37,'GIS-Standards'!$B$2:$B$305,0))</f>
        <v>3</v>
      </c>
      <c r="I37">
        <f>INDEX('GIS-Standards'!$A$2:$A$305,MATCH(C37,'GIS-Standards'!$B$2:$B$305,0))</f>
        <v>12</v>
      </c>
      <c r="J37">
        <f>INDEX('GIS-Standards'!$O$2:$O$305,MATCH(B37,'GIS-Standards'!$B$2:$B$305,0))</f>
        <v>0</v>
      </c>
      <c r="K37" t="str">
        <f>INDEX('GIS-Standards'!$O$2:$O$305,MATCH(C37,'GIS-Standards'!$B$2:$B$305,0))</f>
        <v>ISO/TC 211</v>
      </c>
      <c r="M37" t="s">
        <v>525</v>
      </c>
      <c r="N37">
        <f>INDEX('GIS-Standards'!$I$2:$I$305,MATCH(B37,'GIS-Standards'!$B$2:$B$305,0))</f>
        <v>0</v>
      </c>
      <c r="O37">
        <f>INDEX('GIS-Standards'!$I$2:$I$305,MATCH(C37,'GIS-Standards'!$B$2:$B$305,0))</f>
        <v>0</v>
      </c>
      <c r="P37" t="b">
        <f>AND(TableRelationships12[[#This Row],[Source Type]]="BIM",TableRelationships12[[#This Row],[Target Type]]="BIM")</f>
        <v>0</v>
      </c>
      <c r="Q37">
        <f t="shared" si="0"/>
        <v>1</v>
      </c>
      <c r="S37">
        <f t="shared" si="1"/>
        <v>1</v>
      </c>
      <c r="T37" s="102" t="str">
        <f>IF(TableRelationships12[[#This Row],[Rank Pedro]]="Low","linkCategory1",IF(TableRelationships12[[#This Row],[Rank Pedro]]="Medium","linkCategory2",IF(TableRelationships12[[#This Row],[Rank Pedro]]="High","linkCategory3","")))</f>
        <v/>
      </c>
      <c r="U37" s="102" t="str">
        <f>IF(TableRelationships12[[#This Row],[Rank Pedro]]="Low","Pink",IF(TableRelationships12[[#This Row],[Rank Pedro]]="Medium","Purple",IF(TableRelationships12[[#This Row],[Rank Pedro]]="High","Brown","")))</f>
        <v/>
      </c>
      <c r="V37" s="4" t="e">
        <f>MAX(INDEX(Standards!$F$2:$F$296,MATCH(B37,Standards!$B$2:$B$296,0)),INDEX(Standards!$F$2:$F$296,MATCH(C37,Standards!$B$2:$B$296,0)))</f>
        <v>#N/A</v>
      </c>
      <c r="W37" t="str">
        <f t="shared" si="2"/>
        <v>#2f89d1</v>
      </c>
    </row>
    <row r="38" spans="1:23" x14ac:dyDescent="0.5">
      <c r="A38" s="54">
        <v>37</v>
      </c>
      <c r="B38" s="90" t="s">
        <v>628</v>
      </c>
      <c r="C38" t="s">
        <v>300</v>
      </c>
      <c r="D38" s="1"/>
      <c r="E38" s="112">
        <v>2000.12</v>
      </c>
      <c r="F38" s="112">
        <v>2022.07</v>
      </c>
      <c r="G38" s="107" t="s">
        <v>670</v>
      </c>
      <c r="H38">
        <f>INDEX('GIS-Standards'!$A$2:$A$305,MATCH(B38,'GIS-Standards'!$B$2:$B$305,0))</f>
        <v>3</v>
      </c>
      <c r="I38">
        <f>INDEX('GIS-Standards'!$A$2:$A$305,MATCH(C38,'GIS-Standards'!$B$2:$B$305,0))</f>
        <v>14</v>
      </c>
      <c r="J38">
        <f>INDEX('GIS-Standards'!$O$2:$O$305,MATCH(B38,'GIS-Standards'!$B$2:$B$305,0))</f>
        <v>0</v>
      </c>
      <c r="K38" t="str">
        <f>INDEX('GIS-Standards'!$O$2:$O$305,MATCH(C38,'GIS-Standards'!$B$2:$B$305,0))</f>
        <v>ISO/TC 211</v>
      </c>
      <c r="M38" t="s">
        <v>525</v>
      </c>
      <c r="N38">
        <f>INDEX('GIS-Standards'!$I$2:$I$305,MATCH(B38,'GIS-Standards'!$B$2:$B$305,0))</f>
        <v>0</v>
      </c>
      <c r="O38">
        <f>INDEX('GIS-Standards'!$I$2:$I$305,MATCH(C38,'GIS-Standards'!$B$2:$B$305,0))</f>
        <v>0</v>
      </c>
      <c r="P38" t="b">
        <f>AND(TableRelationships12[[#This Row],[Source Type]]="BIM",TableRelationships12[[#This Row],[Target Type]]="BIM")</f>
        <v>0</v>
      </c>
      <c r="Q38">
        <f t="shared" si="0"/>
        <v>1</v>
      </c>
      <c r="S38">
        <f t="shared" si="1"/>
        <v>1</v>
      </c>
      <c r="T38" s="102" t="str">
        <f>IF(TableRelationships12[[#This Row],[Rank Pedro]]="Low","linkCategory1",IF(TableRelationships12[[#This Row],[Rank Pedro]]="Medium","linkCategory2",IF(TableRelationships12[[#This Row],[Rank Pedro]]="High","linkCategory3","")))</f>
        <v/>
      </c>
      <c r="U38" s="102" t="str">
        <f>IF(TableRelationships12[[#This Row],[Rank Pedro]]="Low","Pink",IF(TableRelationships12[[#This Row],[Rank Pedro]]="Medium","Purple",IF(TableRelationships12[[#This Row],[Rank Pedro]]="High","Brown","")))</f>
        <v/>
      </c>
      <c r="V38" s="4" t="e">
        <f>MAX(INDEX(Standards!$F$2:$F$296,MATCH(B38,Standards!$B$2:$B$296,0)),INDEX(Standards!$F$2:$F$296,MATCH(C38,Standards!$B$2:$B$296,0)))</f>
        <v>#N/A</v>
      </c>
      <c r="W38" t="str">
        <f t="shared" si="2"/>
        <v>#2f89d1</v>
      </c>
    </row>
    <row r="39" spans="1:23" x14ac:dyDescent="0.5">
      <c r="A39" s="54">
        <v>38</v>
      </c>
      <c r="B39" s="90" t="s">
        <v>628</v>
      </c>
      <c r="C39" t="s">
        <v>302</v>
      </c>
      <c r="D39" s="1"/>
      <c r="E39" s="112">
        <v>2003.05</v>
      </c>
      <c r="F39" s="112">
        <v>2019.12</v>
      </c>
      <c r="G39" s="107" t="s">
        <v>670</v>
      </c>
      <c r="H39">
        <f>INDEX('GIS-Standards'!$A$2:$A$305,MATCH(B39,'GIS-Standards'!$B$2:$B$305,0))</f>
        <v>3</v>
      </c>
      <c r="I39">
        <f>INDEX('GIS-Standards'!$A$2:$A$305,MATCH(C39,'GIS-Standards'!$B$2:$B$305,0))</f>
        <v>16</v>
      </c>
      <c r="J39">
        <f>INDEX('GIS-Standards'!$O$2:$O$305,MATCH(B39,'GIS-Standards'!$B$2:$B$305,0))</f>
        <v>0</v>
      </c>
      <c r="K39" t="str">
        <f>INDEX('GIS-Standards'!$O$2:$O$305,MATCH(C39,'GIS-Standards'!$B$2:$B$305,0))</f>
        <v>ISO/TC 211</v>
      </c>
      <c r="M39" t="s">
        <v>525</v>
      </c>
      <c r="N39">
        <f>INDEX('GIS-Standards'!$I$2:$I$305,MATCH(B39,'GIS-Standards'!$B$2:$B$305,0))</f>
        <v>0</v>
      </c>
      <c r="O39">
        <f>INDEX('GIS-Standards'!$I$2:$I$305,MATCH(C39,'GIS-Standards'!$B$2:$B$305,0))</f>
        <v>0</v>
      </c>
      <c r="P39" t="b">
        <f>AND(TableRelationships12[[#This Row],[Source Type]]="BIM",TableRelationships12[[#This Row],[Target Type]]="BIM")</f>
        <v>0</v>
      </c>
      <c r="Q39">
        <f t="shared" si="0"/>
        <v>1</v>
      </c>
      <c r="S39">
        <f t="shared" si="1"/>
        <v>1</v>
      </c>
      <c r="T39" s="102" t="str">
        <f>IF(TableRelationships12[[#This Row],[Rank Pedro]]="Low","linkCategory1",IF(TableRelationships12[[#This Row],[Rank Pedro]]="Medium","linkCategory2",IF(TableRelationships12[[#This Row],[Rank Pedro]]="High","linkCategory3","")))</f>
        <v/>
      </c>
      <c r="U39" s="102" t="str">
        <f>IF(TableRelationships12[[#This Row],[Rank Pedro]]="Low","Pink",IF(TableRelationships12[[#This Row],[Rank Pedro]]="Medium","Purple",IF(TableRelationships12[[#This Row],[Rank Pedro]]="High","Brown","")))</f>
        <v/>
      </c>
      <c r="V39" s="4" t="e">
        <f>MAX(INDEX(Standards!$F$2:$F$296,MATCH(B39,Standards!$B$2:$B$296,0)),INDEX(Standards!$F$2:$F$296,MATCH(C39,Standards!$B$2:$B$296,0)))</f>
        <v>#N/A</v>
      </c>
      <c r="W39" t="str">
        <f t="shared" si="2"/>
        <v>#2f89d1</v>
      </c>
    </row>
    <row r="40" spans="1:23" x14ac:dyDescent="0.5">
      <c r="A40" s="54">
        <v>39</v>
      </c>
      <c r="B40" s="90" t="s">
        <v>628</v>
      </c>
      <c r="C40" t="s">
        <v>304</v>
      </c>
      <c r="D40" s="1"/>
      <c r="E40" s="112">
        <v>2002.09</v>
      </c>
      <c r="F40" s="112">
        <v>2006.1</v>
      </c>
      <c r="G40" s="107" t="s">
        <v>670</v>
      </c>
      <c r="H40">
        <f>INDEX('GIS-Standards'!$A$2:$A$305,MATCH(B40,'GIS-Standards'!$B$2:$B$305,0))</f>
        <v>3</v>
      </c>
      <c r="I40">
        <f>INDEX('GIS-Standards'!$A$2:$A$305,MATCH(C40,'GIS-Standards'!$B$2:$B$305,0))</f>
        <v>17</v>
      </c>
      <c r="J40">
        <f>INDEX('GIS-Standards'!$O$2:$O$305,MATCH(B40,'GIS-Standards'!$B$2:$B$305,0))</f>
        <v>0</v>
      </c>
      <c r="K40" t="str">
        <f>INDEX('GIS-Standards'!$O$2:$O$305,MATCH(C40,'GIS-Standards'!$B$2:$B$305,0))</f>
        <v>ISO/TC 211</v>
      </c>
      <c r="M40" t="s">
        <v>525</v>
      </c>
      <c r="N40">
        <f>INDEX('GIS-Standards'!$I$2:$I$305,MATCH(B40,'GIS-Standards'!$B$2:$B$305,0))</f>
        <v>0</v>
      </c>
      <c r="O40" t="str">
        <f>INDEX('GIS-Standards'!$I$2:$I$305,MATCH(C40,'GIS-Standards'!$B$2:$B$305,0))</f>
        <v>06.2008</v>
      </c>
      <c r="P40" t="b">
        <f>AND(TableRelationships12[[#This Row],[Source Type]]="BIM",TableRelationships12[[#This Row],[Target Type]]="BIM")</f>
        <v>0</v>
      </c>
      <c r="Q40">
        <f t="shared" si="0"/>
        <v>1</v>
      </c>
      <c r="S40">
        <f t="shared" si="1"/>
        <v>1</v>
      </c>
      <c r="T40" s="102" t="str">
        <f>IF(TableRelationships12[[#This Row],[Rank Pedro]]="Low","linkCategory1",IF(TableRelationships12[[#This Row],[Rank Pedro]]="Medium","linkCategory2",IF(TableRelationships12[[#This Row],[Rank Pedro]]="High","linkCategory3","")))</f>
        <v/>
      </c>
      <c r="U40" s="102" t="str">
        <f>IF(TableRelationships12[[#This Row],[Rank Pedro]]="Low","Pink",IF(TableRelationships12[[#This Row],[Rank Pedro]]="Medium","Purple",IF(TableRelationships12[[#This Row],[Rank Pedro]]="High","Brown","")))</f>
        <v/>
      </c>
      <c r="V40" s="4" t="e">
        <f>MAX(INDEX(Standards!$F$2:$F$296,MATCH(B40,Standards!$B$2:$B$296,0)),INDEX(Standards!$F$2:$F$296,MATCH(C40,Standards!$B$2:$B$296,0)))</f>
        <v>#N/A</v>
      </c>
      <c r="W40" t="str">
        <f t="shared" si="2"/>
        <v>#2f89d1</v>
      </c>
    </row>
    <row r="41" spans="1:23" x14ac:dyDescent="0.5">
      <c r="A41" s="54">
        <v>40</v>
      </c>
      <c r="B41" s="90" t="s">
        <v>628</v>
      </c>
      <c r="C41" t="s">
        <v>306</v>
      </c>
      <c r="D41" s="1"/>
      <c r="E41" s="112">
        <v>2005.06</v>
      </c>
      <c r="F41" s="112">
        <v>2025.07</v>
      </c>
      <c r="G41" s="107" t="s">
        <v>670</v>
      </c>
      <c r="H41">
        <f>INDEX('GIS-Standards'!$A$2:$A$305,MATCH(B41,'GIS-Standards'!$B$2:$B$305,0))</f>
        <v>3</v>
      </c>
      <c r="I41">
        <f>INDEX('GIS-Standards'!$A$2:$A$305,MATCH(C41,'GIS-Standards'!$B$2:$B$305,0))</f>
        <v>18</v>
      </c>
      <c r="J41">
        <f>INDEX('GIS-Standards'!$O$2:$O$305,MATCH(B41,'GIS-Standards'!$B$2:$B$305,0))</f>
        <v>0</v>
      </c>
      <c r="K41" t="str">
        <f>INDEX('GIS-Standards'!$O$2:$O$305,MATCH(C41,'GIS-Standards'!$B$2:$B$305,0))</f>
        <v>ISO/TC 211</v>
      </c>
      <c r="M41" t="s">
        <v>525</v>
      </c>
      <c r="N41">
        <f>INDEX('GIS-Standards'!$I$2:$I$305,MATCH(B41,'GIS-Standards'!$B$2:$B$305,0))</f>
        <v>0</v>
      </c>
      <c r="O41">
        <f>INDEX('GIS-Standards'!$I$2:$I$305,MATCH(C41,'GIS-Standards'!$B$2:$B$305,0))</f>
        <v>0</v>
      </c>
      <c r="P41" t="b">
        <f>AND(TableRelationships12[[#This Row],[Source Type]]="BIM",TableRelationships12[[#This Row],[Target Type]]="BIM")</f>
        <v>0</v>
      </c>
      <c r="Q41">
        <f t="shared" si="0"/>
        <v>1</v>
      </c>
      <c r="S41">
        <f t="shared" si="1"/>
        <v>1</v>
      </c>
      <c r="T41" s="102" t="str">
        <f>IF(TableRelationships12[[#This Row],[Rank Pedro]]="Low","linkCategory1",IF(TableRelationships12[[#This Row],[Rank Pedro]]="Medium","linkCategory2",IF(TableRelationships12[[#This Row],[Rank Pedro]]="High","linkCategory3","")))</f>
        <v/>
      </c>
      <c r="U41" s="102" t="str">
        <f>IF(TableRelationships12[[#This Row],[Rank Pedro]]="Low","Pink",IF(TableRelationships12[[#This Row],[Rank Pedro]]="Medium","Purple",IF(TableRelationships12[[#This Row],[Rank Pedro]]="High","Brown","")))</f>
        <v/>
      </c>
      <c r="V41" s="4" t="e">
        <f>MAX(INDEX(Standards!$F$2:$F$296,MATCH(B41,Standards!$B$2:$B$296,0)),INDEX(Standards!$F$2:$F$296,MATCH(C41,Standards!$B$2:$B$296,0)))</f>
        <v>#N/A</v>
      </c>
      <c r="W41" t="str">
        <f t="shared" si="2"/>
        <v>#2f89d1</v>
      </c>
    </row>
    <row r="42" spans="1:23" x14ac:dyDescent="0.5">
      <c r="A42" s="54">
        <v>41</v>
      </c>
      <c r="B42" s="90" t="s">
        <v>628</v>
      </c>
      <c r="C42" t="s">
        <v>308</v>
      </c>
      <c r="D42" s="1"/>
      <c r="E42" s="112">
        <v>2005.02</v>
      </c>
      <c r="F42" s="112">
        <v>2016.12</v>
      </c>
      <c r="G42" s="107" t="s">
        <v>670</v>
      </c>
      <c r="H42">
        <f>INDEX('GIS-Standards'!$A$2:$A$305,MATCH(B42,'GIS-Standards'!$B$2:$B$305,0))</f>
        <v>3</v>
      </c>
      <c r="I42">
        <f>INDEX('GIS-Standards'!$A$2:$A$305,MATCH(C42,'GIS-Standards'!$B$2:$B$305,0))</f>
        <v>19</v>
      </c>
      <c r="J42">
        <f>INDEX('GIS-Standards'!$O$2:$O$305,MATCH(B42,'GIS-Standards'!$B$2:$B$305,0))</f>
        <v>0</v>
      </c>
      <c r="K42" t="str">
        <f>INDEX('GIS-Standards'!$O$2:$O$305,MATCH(C42,'GIS-Standards'!$B$2:$B$305,0))</f>
        <v>ISO/TC 211</v>
      </c>
      <c r="M42" t="s">
        <v>525</v>
      </c>
      <c r="N42">
        <f>INDEX('GIS-Standards'!$I$2:$I$305,MATCH(B42,'GIS-Standards'!$B$2:$B$305,0))</f>
        <v>0</v>
      </c>
      <c r="O42">
        <f>INDEX('GIS-Standards'!$I$2:$I$305,MATCH(C42,'GIS-Standards'!$B$2:$B$305,0))</f>
        <v>0</v>
      </c>
      <c r="P42" t="b">
        <f>AND(TableRelationships12[[#This Row],[Source Type]]="BIM",TableRelationships12[[#This Row],[Target Type]]="BIM")</f>
        <v>0</v>
      </c>
      <c r="Q42">
        <f t="shared" si="0"/>
        <v>1</v>
      </c>
      <c r="S42">
        <f t="shared" si="1"/>
        <v>1</v>
      </c>
      <c r="T42" s="102" t="str">
        <f>IF(TableRelationships12[[#This Row],[Rank Pedro]]="Low","linkCategory1",IF(TableRelationships12[[#This Row],[Rank Pedro]]="Medium","linkCategory2",IF(TableRelationships12[[#This Row],[Rank Pedro]]="High","linkCategory3","")))</f>
        <v/>
      </c>
      <c r="U42" s="102" t="str">
        <f>IF(TableRelationships12[[#This Row],[Rank Pedro]]="Low","Pink",IF(TableRelationships12[[#This Row],[Rank Pedro]]="Medium","Purple",IF(TableRelationships12[[#This Row],[Rank Pedro]]="High","Brown","")))</f>
        <v/>
      </c>
      <c r="V42" s="4" t="e">
        <f>MAX(INDEX(Standards!$F$2:$F$296,MATCH(B42,Standards!$B$2:$B$296,0)),INDEX(Standards!$F$2:$F$296,MATCH(C42,Standards!$B$2:$B$296,0)))</f>
        <v>#N/A</v>
      </c>
      <c r="W42" t="str">
        <f t="shared" si="2"/>
        <v>#2f89d1</v>
      </c>
    </row>
    <row r="43" spans="1:23" x14ac:dyDescent="0.5">
      <c r="A43" s="54">
        <v>42</v>
      </c>
      <c r="B43" s="90" t="s">
        <v>628</v>
      </c>
      <c r="C43" t="s">
        <v>310</v>
      </c>
      <c r="D43" s="1"/>
      <c r="E43" s="112">
        <v>2003.02</v>
      </c>
      <c r="F43" s="112">
        <v>2023.08</v>
      </c>
      <c r="G43" s="107" t="s">
        <v>670</v>
      </c>
      <c r="H43">
        <f>INDEX('GIS-Standards'!$A$2:$A$305,MATCH(B43,'GIS-Standards'!$B$2:$B$305,0))</f>
        <v>3</v>
      </c>
      <c r="I43">
        <f>INDEX('GIS-Standards'!$A$2:$A$305,MATCH(C43,'GIS-Standards'!$B$2:$B$305,0))</f>
        <v>20</v>
      </c>
      <c r="J43">
        <f>INDEX('GIS-Standards'!$O$2:$O$305,MATCH(B43,'GIS-Standards'!$B$2:$B$305,0))</f>
        <v>0</v>
      </c>
      <c r="K43" t="str">
        <f>INDEX('GIS-Standards'!$O$2:$O$305,MATCH(C43,'GIS-Standards'!$B$2:$B$305,0))</f>
        <v>ISO/TC 211</v>
      </c>
      <c r="M43" t="s">
        <v>525</v>
      </c>
      <c r="N43">
        <f>INDEX('GIS-Standards'!$I$2:$I$305,MATCH(B43,'GIS-Standards'!$B$2:$B$305,0))</f>
        <v>0</v>
      </c>
      <c r="O43" t="str">
        <f>INDEX('GIS-Standards'!$I$2:$I$305,MATCH(C43,'GIS-Standards'!$B$2:$B$305,0))</f>
        <v>08.2023</v>
      </c>
      <c r="P43" t="b">
        <f>AND(TableRelationships12[[#This Row],[Source Type]]="BIM",TableRelationships12[[#This Row],[Target Type]]="BIM")</f>
        <v>0</v>
      </c>
      <c r="Q43">
        <f t="shared" si="0"/>
        <v>1</v>
      </c>
      <c r="S43">
        <f t="shared" si="1"/>
        <v>1</v>
      </c>
      <c r="T43" s="102" t="str">
        <f>IF(TableRelationships12[[#This Row],[Rank Pedro]]="Low","linkCategory1",IF(TableRelationships12[[#This Row],[Rank Pedro]]="Medium","linkCategory2",IF(TableRelationships12[[#This Row],[Rank Pedro]]="High","linkCategory3","")))</f>
        <v/>
      </c>
      <c r="U43" s="102" t="str">
        <f>IF(TableRelationships12[[#This Row],[Rank Pedro]]="Low","Pink",IF(TableRelationships12[[#This Row],[Rank Pedro]]="Medium","Purple",IF(TableRelationships12[[#This Row],[Rank Pedro]]="High","Brown","")))</f>
        <v/>
      </c>
      <c r="V43" s="4" t="e">
        <f>MAX(INDEX(Standards!$F$2:$F$296,MATCH(B43,Standards!$B$2:$B$296,0)),INDEX(Standards!$F$2:$F$296,MATCH(C43,Standards!$B$2:$B$296,0)))</f>
        <v>#N/A</v>
      </c>
      <c r="W43" t="str">
        <f t="shared" si="2"/>
        <v>#2f89d1</v>
      </c>
    </row>
    <row r="44" spans="1:23" x14ac:dyDescent="0.5">
      <c r="A44" s="54">
        <v>43</v>
      </c>
      <c r="B44" s="90" t="s">
        <v>628</v>
      </c>
      <c r="C44" t="s">
        <v>310</v>
      </c>
      <c r="D44" s="1" t="s">
        <v>1120</v>
      </c>
      <c r="E44" s="112">
        <v>2003.02</v>
      </c>
      <c r="F44" s="112">
        <v>2023.08</v>
      </c>
      <c r="G44" s="107" t="s">
        <v>670</v>
      </c>
      <c r="H44">
        <f>INDEX('GIS-Standards'!$A$2:$A$305,MATCH(B44,'GIS-Standards'!$B$2:$B$305,0))</f>
        <v>3</v>
      </c>
      <c r="I44">
        <f>INDEX('GIS-Standards'!$A$2:$A$305,MATCH(C44,'GIS-Standards'!$B$2:$B$305,0))</f>
        <v>20</v>
      </c>
      <c r="J44">
        <f>INDEX('GIS-Standards'!$O$2:$O$305,MATCH(B44,'GIS-Standards'!$B$2:$B$305,0))</f>
        <v>0</v>
      </c>
      <c r="K44" t="str">
        <f>INDEX('GIS-Standards'!$O$2:$O$305,MATCH(C44,'GIS-Standards'!$B$2:$B$305,0))</f>
        <v>ISO/TC 211</v>
      </c>
      <c r="M44" t="s">
        <v>525</v>
      </c>
      <c r="N44">
        <f>INDEX('GIS-Standards'!$I$2:$I$305,MATCH(B44,'GIS-Standards'!$B$2:$B$305,0))</f>
        <v>0</v>
      </c>
      <c r="O44" t="str">
        <f>INDEX('GIS-Standards'!$I$2:$I$305,MATCH(C44,'GIS-Standards'!$B$2:$B$305,0))</f>
        <v>08.2023</v>
      </c>
      <c r="P44" t="b">
        <f>AND(TableRelationships12[[#This Row],[Source Type]]="BIM",TableRelationships12[[#This Row],[Target Type]]="BIM")</f>
        <v>0</v>
      </c>
      <c r="Q44">
        <f t="shared" si="0"/>
        <v>1</v>
      </c>
      <c r="S44">
        <f t="shared" si="1"/>
        <v>1</v>
      </c>
      <c r="T44" s="102" t="str">
        <f>IF(TableRelationships12[[#This Row],[Rank Pedro]]="Low","linkCategory1",IF(TableRelationships12[[#This Row],[Rank Pedro]]="Medium","linkCategory2",IF(TableRelationships12[[#This Row],[Rank Pedro]]="High","linkCategory3","")))</f>
        <v/>
      </c>
      <c r="U44" s="102" t="str">
        <f>IF(TableRelationships12[[#This Row],[Rank Pedro]]="Low","Pink",IF(TableRelationships12[[#This Row],[Rank Pedro]]="Medium","Purple",IF(TableRelationships12[[#This Row],[Rank Pedro]]="High","Brown","")))</f>
        <v/>
      </c>
      <c r="V44" s="4" t="e">
        <f>MAX(INDEX(Standards!$F$2:$F$296,MATCH(B44,Standards!$B$2:$B$296,0)),INDEX(Standards!$F$2:$F$296,MATCH(C44,Standards!$B$2:$B$296,0)))</f>
        <v>#N/A</v>
      </c>
      <c r="W44" t="str">
        <f t="shared" si="2"/>
        <v>#2f89d1</v>
      </c>
    </row>
    <row r="45" spans="1:23" x14ac:dyDescent="0.5">
      <c r="A45" s="54">
        <v>44</v>
      </c>
      <c r="B45" s="90" t="s">
        <v>628</v>
      </c>
      <c r="C45" t="s">
        <v>312</v>
      </c>
      <c r="D45" s="1"/>
      <c r="E45" s="112">
        <v>2003.1</v>
      </c>
      <c r="F45" s="112">
        <v>2019.02</v>
      </c>
      <c r="G45" s="107" t="s">
        <v>670</v>
      </c>
      <c r="H45">
        <f>INDEX('GIS-Standards'!$A$2:$A$305,MATCH(B45,'GIS-Standards'!$B$2:$B$305,0))</f>
        <v>3</v>
      </c>
      <c r="I45">
        <f>INDEX('GIS-Standards'!$A$2:$A$305,MATCH(C45,'GIS-Standards'!$B$2:$B$305,0))</f>
        <v>21</v>
      </c>
      <c r="J45">
        <f>INDEX('GIS-Standards'!$O$2:$O$305,MATCH(B45,'GIS-Standards'!$B$2:$B$305,0))</f>
        <v>0</v>
      </c>
      <c r="K45" t="str">
        <f>INDEX('GIS-Standards'!$O$2:$O$305,MATCH(C45,'GIS-Standards'!$B$2:$B$305,0))</f>
        <v>ISO/TC 211</v>
      </c>
      <c r="M45" t="s">
        <v>525</v>
      </c>
      <c r="N45">
        <f>INDEX('GIS-Standards'!$I$2:$I$305,MATCH(B45,'GIS-Standards'!$B$2:$B$305,0))</f>
        <v>0</v>
      </c>
      <c r="O45">
        <f>INDEX('GIS-Standards'!$I$2:$I$305,MATCH(C45,'GIS-Standards'!$B$2:$B$305,0))</f>
        <v>0</v>
      </c>
      <c r="P45" t="b">
        <f>AND(TableRelationships12[[#This Row],[Source Type]]="BIM",TableRelationships12[[#This Row],[Target Type]]="BIM")</f>
        <v>0</v>
      </c>
      <c r="Q45">
        <f t="shared" si="0"/>
        <v>1</v>
      </c>
      <c r="S45">
        <f t="shared" si="1"/>
        <v>1</v>
      </c>
      <c r="T45" s="102" t="str">
        <f>IF(TableRelationships12[[#This Row],[Rank Pedro]]="Low","linkCategory1",IF(TableRelationships12[[#This Row],[Rank Pedro]]="Medium","linkCategory2",IF(TableRelationships12[[#This Row],[Rank Pedro]]="High","linkCategory3","")))</f>
        <v/>
      </c>
      <c r="U45" s="102" t="str">
        <f>IF(TableRelationships12[[#This Row],[Rank Pedro]]="Low","Pink",IF(TableRelationships12[[#This Row],[Rank Pedro]]="Medium","Purple",IF(TableRelationships12[[#This Row],[Rank Pedro]]="High","Brown","")))</f>
        <v/>
      </c>
      <c r="V45" s="4" t="e">
        <f>MAX(INDEX(Standards!$F$2:$F$296,MATCH(B45,Standards!$B$2:$B$296,0)),INDEX(Standards!$F$2:$F$296,MATCH(C45,Standards!$B$2:$B$296,0)))</f>
        <v>#N/A</v>
      </c>
      <c r="W45" t="str">
        <f t="shared" si="2"/>
        <v>#2f89d1</v>
      </c>
    </row>
    <row r="46" spans="1:23" x14ac:dyDescent="0.5">
      <c r="A46" s="54">
        <v>45</v>
      </c>
      <c r="B46" s="90" t="s">
        <v>628</v>
      </c>
      <c r="C46" t="s">
        <v>348</v>
      </c>
      <c r="D46" s="1" t="s">
        <v>1151</v>
      </c>
      <c r="E46" s="113">
        <v>2013.12</v>
      </c>
      <c r="F46" s="113">
        <v>2023.04</v>
      </c>
      <c r="G46" s="107" t="s">
        <v>670</v>
      </c>
      <c r="H46">
        <f>INDEX('GIS-Standards'!$A$2:$A$305,MATCH(B46,'GIS-Standards'!$B$2:$B$305,0))</f>
        <v>3</v>
      </c>
      <c r="I46">
        <f>INDEX('GIS-Standards'!$A$2:$A$305,MATCH(C46,'GIS-Standards'!$B$2:$B$305,0))</f>
        <v>66</v>
      </c>
      <c r="J46">
        <f>INDEX('GIS-Standards'!$O$2:$O$305,MATCH(B46,'GIS-Standards'!$B$2:$B$305,0))</f>
        <v>0</v>
      </c>
      <c r="K46" t="str">
        <f>INDEX('GIS-Standards'!$O$2:$O$305,MATCH(C46,'GIS-Standards'!$B$2:$B$305,0))</f>
        <v>ISO/TC 211</v>
      </c>
      <c r="M46" t="s">
        <v>525</v>
      </c>
      <c r="N46">
        <f>INDEX('GIS-Standards'!$I$2:$I$305,MATCH(B46,'GIS-Standards'!$B$2:$B$305,0))</f>
        <v>0</v>
      </c>
      <c r="O46">
        <f>INDEX('GIS-Standards'!$I$2:$I$305,MATCH(C46,'GIS-Standards'!$B$2:$B$305,0))</f>
        <v>0</v>
      </c>
      <c r="P46" t="b">
        <f>AND(TableRelationships12[[#This Row],[Source Type]]="BIM",TableRelationships12[[#This Row],[Target Type]]="BIM")</f>
        <v>0</v>
      </c>
      <c r="Q46">
        <f t="shared" si="0"/>
        <v>1</v>
      </c>
      <c r="S46">
        <f t="shared" si="1"/>
        <v>1</v>
      </c>
      <c r="T46" s="102" t="str">
        <f>IF(TableRelationships12[[#This Row],[Rank Pedro]]="Low","linkCategory1",IF(TableRelationships12[[#This Row],[Rank Pedro]]="Medium","linkCategory2",IF(TableRelationships12[[#This Row],[Rank Pedro]]="High","linkCategory3","")))</f>
        <v/>
      </c>
      <c r="U46" s="102" t="str">
        <f>IF(TableRelationships12[[#This Row],[Rank Pedro]]="Low","Pink",IF(TableRelationships12[[#This Row],[Rank Pedro]]="Medium","Purple",IF(TableRelationships12[[#This Row],[Rank Pedro]]="High","Brown","")))</f>
        <v/>
      </c>
      <c r="V46" s="4" t="e">
        <f>MAX(INDEX(Standards!$F$2:$F$296,MATCH(B46,Standards!$B$2:$B$296,0)),INDEX(Standards!$F$2:$F$296,MATCH(C46,Standards!$B$2:$B$296,0)))</f>
        <v>#N/A</v>
      </c>
      <c r="W46" t="str">
        <f t="shared" si="2"/>
        <v>#2f89d1</v>
      </c>
    </row>
    <row r="47" spans="1:23" x14ac:dyDescent="0.5">
      <c r="A47" s="54">
        <v>46</v>
      </c>
      <c r="B47" s="90" t="s">
        <v>628</v>
      </c>
      <c r="C47" t="s">
        <v>348</v>
      </c>
      <c r="D47" s="1" t="s">
        <v>1098</v>
      </c>
      <c r="E47" s="113">
        <v>2013.12</v>
      </c>
      <c r="F47" s="113">
        <v>2023.04</v>
      </c>
      <c r="G47" s="107" t="s">
        <v>670</v>
      </c>
      <c r="H47">
        <f>INDEX('GIS-Standards'!$A$2:$A$305,MATCH(B47,'GIS-Standards'!$B$2:$B$305,0))</f>
        <v>3</v>
      </c>
      <c r="I47">
        <f>INDEX('GIS-Standards'!$A$2:$A$305,MATCH(C47,'GIS-Standards'!$B$2:$B$305,0))</f>
        <v>66</v>
      </c>
      <c r="J47">
        <f>INDEX('GIS-Standards'!$O$2:$O$305,MATCH(B47,'GIS-Standards'!$B$2:$B$305,0))</f>
        <v>0</v>
      </c>
      <c r="K47" t="str">
        <f>INDEX('GIS-Standards'!$O$2:$O$305,MATCH(C47,'GIS-Standards'!$B$2:$B$305,0))</f>
        <v>ISO/TC 211</v>
      </c>
      <c r="M47" t="s">
        <v>525</v>
      </c>
      <c r="N47">
        <f>INDEX('GIS-Standards'!$I$2:$I$305,MATCH(B47,'GIS-Standards'!$B$2:$B$305,0))</f>
        <v>0</v>
      </c>
      <c r="O47">
        <f>INDEX('GIS-Standards'!$I$2:$I$305,MATCH(C47,'GIS-Standards'!$B$2:$B$305,0))</f>
        <v>0</v>
      </c>
      <c r="P47" t="b">
        <f>AND(TableRelationships12[[#This Row],[Source Type]]="BIM",TableRelationships12[[#This Row],[Target Type]]="BIM")</f>
        <v>0</v>
      </c>
      <c r="Q47">
        <f t="shared" si="0"/>
        <v>1</v>
      </c>
      <c r="S47">
        <f t="shared" si="1"/>
        <v>1</v>
      </c>
      <c r="T47" s="102" t="str">
        <f>IF(TableRelationships12[[#This Row],[Rank Pedro]]="Low","linkCategory1",IF(TableRelationships12[[#This Row],[Rank Pedro]]="Medium","linkCategory2",IF(TableRelationships12[[#This Row],[Rank Pedro]]="High","linkCategory3","")))</f>
        <v/>
      </c>
      <c r="U47" s="102" t="str">
        <f>IF(TableRelationships12[[#This Row],[Rank Pedro]]="Low","Pink",IF(TableRelationships12[[#This Row],[Rank Pedro]]="Medium","Purple",IF(TableRelationships12[[#This Row],[Rank Pedro]]="High","Brown","")))</f>
        <v/>
      </c>
      <c r="V47" s="4" t="e">
        <f>MAX(INDEX(Standards!$F$2:$F$296,MATCH(B47,Standards!$B$2:$B$296,0)),INDEX(Standards!$F$2:$F$296,MATCH(C47,Standards!$B$2:$B$296,0)))</f>
        <v>#N/A</v>
      </c>
      <c r="W47" t="str">
        <f t="shared" si="2"/>
        <v>#2f89d1</v>
      </c>
    </row>
    <row r="48" spans="1:23" x14ac:dyDescent="0.5">
      <c r="A48" s="54">
        <v>47</v>
      </c>
      <c r="B48" s="90" t="s">
        <v>628</v>
      </c>
      <c r="C48" t="s">
        <v>314</v>
      </c>
      <c r="D48" s="1" t="s">
        <v>1099</v>
      </c>
      <c r="E48" s="112">
        <v>2003.05</v>
      </c>
      <c r="F48" s="112">
        <v>2020.11</v>
      </c>
      <c r="G48" s="107" t="s">
        <v>670</v>
      </c>
      <c r="H48">
        <f>INDEX('GIS-Standards'!$A$2:$A$305,MATCH(B48,'GIS-Standards'!$B$2:$B$305,0))</f>
        <v>3</v>
      </c>
      <c r="I48">
        <f>INDEX('GIS-Standards'!$A$2:$A$305,MATCH(C48,'GIS-Standards'!$B$2:$B$305,0))</f>
        <v>22</v>
      </c>
      <c r="J48">
        <f>INDEX('GIS-Standards'!$O$2:$O$305,MATCH(B48,'GIS-Standards'!$B$2:$B$305,0))</f>
        <v>0</v>
      </c>
      <c r="K48" t="str">
        <f>INDEX('GIS-Standards'!$O$2:$O$305,MATCH(C48,'GIS-Standards'!$B$2:$B$305,0))</f>
        <v>ISO/TC 211</v>
      </c>
      <c r="M48" t="s">
        <v>525</v>
      </c>
      <c r="N48">
        <f>INDEX('GIS-Standards'!$I$2:$I$305,MATCH(B48,'GIS-Standards'!$B$2:$B$305,0))</f>
        <v>0</v>
      </c>
      <c r="O48" t="str">
        <f>INDEX('GIS-Standards'!$I$2:$I$305,MATCH(C48,'GIS-Standards'!$B$2:$B$305,0))</f>
        <v>12.2020</v>
      </c>
      <c r="P48" t="b">
        <f>AND(TableRelationships12[[#This Row],[Source Type]]="BIM",TableRelationships12[[#This Row],[Target Type]]="BIM")</f>
        <v>0</v>
      </c>
      <c r="Q48">
        <f t="shared" si="0"/>
        <v>1</v>
      </c>
      <c r="S48">
        <f t="shared" si="1"/>
        <v>1</v>
      </c>
      <c r="T48" s="102" t="str">
        <f>IF(TableRelationships12[[#This Row],[Rank Pedro]]="Low","linkCategory1",IF(TableRelationships12[[#This Row],[Rank Pedro]]="Medium","linkCategory2",IF(TableRelationships12[[#This Row],[Rank Pedro]]="High","linkCategory3","")))</f>
        <v/>
      </c>
      <c r="U48" s="102" t="str">
        <f>IF(TableRelationships12[[#This Row],[Rank Pedro]]="Low","Pink",IF(TableRelationships12[[#This Row],[Rank Pedro]]="Medium","Purple",IF(TableRelationships12[[#This Row],[Rank Pedro]]="High","Brown","")))</f>
        <v/>
      </c>
      <c r="V48" s="4" t="e">
        <f>MAX(INDEX(Standards!$F$2:$F$296,MATCH(B48,Standards!$B$2:$B$296,0)),INDEX(Standards!$F$2:$F$296,MATCH(C48,Standards!$B$2:$B$296,0)))</f>
        <v>#N/A</v>
      </c>
      <c r="W48" t="str">
        <f t="shared" si="2"/>
        <v>#2f89d1</v>
      </c>
    </row>
    <row r="49" spans="1:23" x14ac:dyDescent="0.5">
      <c r="A49" s="54">
        <v>48</v>
      </c>
      <c r="B49" s="90" t="s">
        <v>628</v>
      </c>
      <c r="C49" t="s">
        <v>1041</v>
      </c>
      <c r="D49" s="1"/>
      <c r="E49" s="112">
        <v>2009.02</v>
      </c>
      <c r="F49" s="112">
        <v>2022.03</v>
      </c>
      <c r="G49" s="107" t="s">
        <v>670</v>
      </c>
      <c r="H49">
        <f>INDEX('GIS-Standards'!$A$2:$A$305,MATCH(B49,'GIS-Standards'!$B$2:$B$305,0))</f>
        <v>3</v>
      </c>
      <c r="I49">
        <f>INDEX('GIS-Standards'!$A$2:$A$305,MATCH(C49,'GIS-Standards'!$B$2:$B$305,0))</f>
        <v>23</v>
      </c>
      <c r="J49">
        <f>INDEX('GIS-Standards'!$O$2:$O$305,MATCH(B49,'GIS-Standards'!$B$2:$B$305,0))</f>
        <v>0</v>
      </c>
      <c r="K49" t="str">
        <f>INDEX('GIS-Standards'!$O$2:$O$305,MATCH(C49,'GIS-Standards'!$B$2:$B$305,0))</f>
        <v>ISO/TC 211</v>
      </c>
      <c r="M49" t="s">
        <v>525</v>
      </c>
      <c r="N49">
        <f>INDEX('GIS-Standards'!$I$2:$I$305,MATCH(B49,'GIS-Standards'!$B$2:$B$305,0))</f>
        <v>0</v>
      </c>
      <c r="O49" t="str">
        <f>INDEX('GIS-Standards'!$I$2:$I$305,MATCH(C49,'GIS-Standards'!$B$2:$B$305,0))</f>
        <v>03.2022</v>
      </c>
      <c r="P49" t="b">
        <f>AND(TableRelationships12[[#This Row],[Source Type]]="BIM",TableRelationships12[[#This Row],[Target Type]]="BIM")</f>
        <v>0</v>
      </c>
      <c r="Q49">
        <f t="shared" si="0"/>
        <v>1</v>
      </c>
      <c r="S49">
        <f t="shared" si="1"/>
        <v>1</v>
      </c>
      <c r="T49" s="102" t="str">
        <f>IF(TableRelationships12[[#This Row],[Rank Pedro]]="Low","linkCategory1",IF(TableRelationships12[[#This Row],[Rank Pedro]]="Medium","linkCategory2",IF(TableRelationships12[[#This Row],[Rank Pedro]]="High","linkCategory3","")))</f>
        <v/>
      </c>
      <c r="U49" s="102" t="str">
        <f>IF(TableRelationships12[[#This Row],[Rank Pedro]]="Low","Pink",IF(TableRelationships12[[#This Row],[Rank Pedro]]="Medium","Purple",IF(TableRelationships12[[#This Row],[Rank Pedro]]="High","Brown","")))</f>
        <v/>
      </c>
      <c r="V49" s="4" t="e">
        <f>MAX(INDEX(Standards!$F$2:$F$296,MATCH(B49,Standards!$B$2:$B$296,0)),INDEX(Standards!$F$2:$F$296,MATCH(C49,Standards!$B$2:$B$296,0)))</f>
        <v>#N/A</v>
      </c>
      <c r="W49" t="str">
        <f t="shared" si="2"/>
        <v>#2f89d1</v>
      </c>
    </row>
    <row r="50" spans="1:23" x14ac:dyDescent="0.5">
      <c r="A50" s="54">
        <v>49</v>
      </c>
      <c r="B50" s="90" t="s">
        <v>628</v>
      </c>
      <c r="C50" t="s">
        <v>1044</v>
      </c>
      <c r="D50" s="1"/>
      <c r="E50" s="112">
        <v>2005.06</v>
      </c>
      <c r="F50" s="112">
        <v>2012.12</v>
      </c>
      <c r="G50" s="107" t="s">
        <v>670</v>
      </c>
      <c r="H50">
        <f>INDEX('GIS-Standards'!$A$2:$A$305,MATCH(B50,'GIS-Standards'!$B$2:$B$305,0))</f>
        <v>3</v>
      </c>
      <c r="I50">
        <f>INDEX('GIS-Standards'!$A$2:$A$305,MATCH(C50,'GIS-Standards'!$B$2:$B$305,0))</f>
        <v>26</v>
      </c>
      <c r="J50">
        <f>INDEX('GIS-Standards'!$O$2:$O$305,MATCH(B50,'GIS-Standards'!$B$2:$B$305,0))</f>
        <v>0</v>
      </c>
      <c r="K50" t="str">
        <f>INDEX('GIS-Standards'!$O$2:$O$305,MATCH(C50,'GIS-Standards'!$B$2:$B$305,0))</f>
        <v>ISO/TC 211</v>
      </c>
      <c r="M50" t="s">
        <v>525</v>
      </c>
      <c r="N50">
        <f>INDEX('GIS-Standards'!$I$2:$I$305,MATCH(B50,'GIS-Standards'!$B$2:$B$305,0))</f>
        <v>0</v>
      </c>
      <c r="O50">
        <f>INDEX('GIS-Standards'!$I$2:$I$305,MATCH(C50,'GIS-Standards'!$B$2:$B$305,0))</f>
        <v>0</v>
      </c>
      <c r="P50" t="b">
        <f>AND(TableRelationships12[[#This Row],[Source Type]]="BIM",TableRelationships12[[#This Row],[Target Type]]="BIM")</f>
        <v>0</v>
      </c>
      <c r="Q50">
        <f t="shared" si="0"/>
        <v>1</v>
      </c>
      <c r="S50">
        <f t="shared" si="1"/>
        <v>1</v>
      </c>
      <c r="T50" s="102" t="str">
        <f>IF(TableRelationships12[[#This Row],[Rank Pedro]]="Low","linkCategory1",IF(TableRelationships12[[#This Row],[Rank Pedro]]="Medium","linkCategory2",IF(TableRelationships12[[#This Row],[Rank Pedro]]="High","linkCategory3","")))</f>
        <v/>
      </c>
      <c r="U50" s="102" t="str">
        <f>IF(TableRelationships12[[#This Row],[Rank Pedro]]="Low","Pink",IF(TableRelationships12[[#This Row],[Rank Pedro]]="Medium","Purple",IF(TableRelationships12[[#This Row],[Rank Pedro]]="High","Brown","")))</f>
        <v/>
      </c>
      <c r="V50" s="4" t="e">
        <f>MAX(INDEX(Standards!$F$2:$F$296,MATCH(B50,Standards!$B$2:$B$296,0)),INDEX(Standards!$F$2:$F$296,MATCH(C50,Standards!$B$2:$B$296,0)))</f>
        <v>#N/A</v>
      </c>
      <c r="W50" t="str">
        <f t="shared" si="2"/>
        <v>#2f89d1</v>
      </c>
    </row>
    <row r="51" spans="1:23" x14ac:dyDescent="0.5">
      <c r="A51" s="54">
        <v>50</v>
      </c>
      <c r="B51" s="90" t="s">
        <v>628</v>
      </c>
      <c r="C51" t="s">
        <v>316</v>
      </c>
      <c r="D51" s="1"/>
      <c r="E51" s="112">
        <v>2005.07</v>
      </c>
      <c r="F51" s="112">
        <v>2011.1</v>
      </c>
      <c r="G51" s="107" t="s">
        <v>670</v>
      </c>
      <c r="H51">
        <f>INDEX('GIS-Standards'!$A$2:$A$305,MATCH(B51,'GIS-Standards'!$B$2:$B$305,0))</f>
        <v>3</v>
      </c>
      <c r="I51">
        <f>INDEX('GIS-Standards'!$A$2:$A$305,MATCH(C51,'GIS-Standards'!$B$2:$B$305,0))</f>
        <v>27</v>
      </c>
      <c r="J51">
        <f>INDEX('GIS-Standards'!$O$2:$O$305,MATCH(B51,'GIS-Standards'!$B$2:$B$305,0))</f>
        <v>0</v>
      </c>
      <c r="K51" t="str">
        <f>INDEX('GIS-Standards'!$O$2:$O$305,MATCH(C51,'GIS-Standards'!$B$2:$B$305,0))</f>
        <v>ISO/TC 211</v>
      </c>
      <c r="M51" t="s">
        <v>525</v>
      </c>
      <c r="N51">
        <f>INDEX('GIS-Standards'!$I$2:$I$305,MATCH(B51,'GIS-Standards'!$B$2:$B$305,0))</f>
        <v>0</v>
      </c>
      <c r="O51">
        <f>INDEX('GIS-Standards'!$I$2:$I$305,MATCH(C51,'GIS-Standards'!$B$2:$B$305,0))</f>
        <v>0</v>
      </c>
      <c r="P51" t="b">
        <f>AND(TableRelationships12[[#This Row],[Source Type]]="BIM",TableRelationships12[[#This Row],[Target Type]]="BIM")</f>
        <v>0</v>
      </c>
      <c r="Q51">
        <f t="shared" si="0"/>
        <v>1</v>
      </c>
      <c r="S51">
        <f t="shared" si="1"/>
        <v>1</v>
      </c>
      <c r="T51" s="102" t="str">
        <f>IF(TableRelationships12[[#This Row],[Rank Pedro]]="Low","linkCategory1",IF(TableRelationships12[[#This Row],[Rank Pedro]]="Medium","linkCategory2",IF(TableRelationships12[[#This Row],[Rank Pedro]]="High","linkCategory3","")))</f>
        <v/>
      </c>
      <c r="U51" s="102" t="str">
        <f>IF(TableRelationships12[[#This Row],[Rank Pedro]]="Low","Pink",IF(TableRelationships12[[#This Row],[Rank Pedro]]="Medium","Purple",IF(TableRelationships12[[#This Row],[Rank Pedro]]="High","Brown","")))</f>
        <v/>
      </c>
      <c r="V51" s="4" t="e">
        <f>MAX(INDEX(Standards!$F$2:$F$296,MATCH(B51,Standards!$B$2:$B$296,0)),INDEX(Standards!$F$2:$F$296,MATCH(C51,Standards!$B$2:$B$296,0)))</f>
        <v>#N/A</v>
      </c>
      <c r="W51" t="str">
        <f t="shared" si="2"/>
        <v>#2f89d1</v>
      </c>
    </row>
    <row r="52" spans="1:23" x14ac:dyDescent="0.5">
      <c r="A52" s="54">
        <v>51</v>
      </c>
      <c r="B52" s="90" t="s">
        <v>628</v>
      </c>
      <c r="C52" t="s">
        <v>1046</v>
      </c>
      <c r="D52" s="1"/>
      <c r="E52" s="112">
        <v>2004.08</v>
      </c>
      <c r="F52" s="112">
        <v>2004.11</v>
      </c>
      <c r="G52" s="107" t="s">
        <v>670</v>
      </c>
      <c r="H52">
        <f>INDEX('GIS-Standards'!$A$2:$A$305,MATCH(B52,'GIS-Standards'!$B$2:$B$305,0))</f>
        <v>3</v>
      </c>
      <c r="I52">
        <f>INDEX('GIS-Standards'!$A$2:$A$305,MATCH(C52,'GIS-Standards'!$B$2:$B$305,0))</f>
        <v>32</v>
      </c>
      <c r="J52">
        <f>INDEX('GIS-Standards'!$O$2:$O$305,MATCH(B52,'GIS-Standards'!$B$2:$B$305,0))</f>
        <v>0</v>
      </c>
      <c r="K52" t="str">
        <f>INDEX('GIS-Standards'!$O$2:$O$305,MATCH(C52,'GIS-Standards'!$B$2:$B$305,0))</f>
        <v>ISO/TC 211</v>
      </c>
      <c r="M52" t="s">
        <v>525</v>
      </c>
      <c r="N52">
        <f>INDEX('GIS-Standards'!$I$2:$I$305,MATCH(B52,'GIS-Standards'!$B$2:$B$305,0))</f>
        <v>0</v>
      </c>
      <c r="O52">
        <f>INDEX('GIS-Standards'!$I$2:$I$305,MATCH(C52,'GIS-Standards'!$B$2:$B$305,0))</f>
        <v>0</v>
      </c>
      <c r="P52" t="b">
        <f>AND(TableRelationships12[[#This Row],[Source Type]]="BIM",TableRelationships12[[#This Row],[Target Type]]="BIM")</f>
        <v>0</v>
      </c>
      <c r="Q52">
        <f t="shared" si="0"/>
        <v>1</v>
      </c>
      <c r="S52">
        <f t="shared" si="1"/>
        <v>1</v>
      </c>
      <c r="T52" s="102" t="str">
        <f>IF(TableRelationships12[[#This Row],[Rank Pedro]]="Low","linkCategory1",IF(TableRelationships12[[#This Row],[Rank Pedro]]="Medium","linkCategory2",IF(TableRelationships12[[#This Row],[Rank Pedro]]="High","linkCategory3","")))</f>
        <v/>
      </c>
      <c r="U52" s="102" t="str">
        <f>IF(TableRelationships12[[#This Row],[Rank Pedro]]="Low","Pink",IF(TableRelationships12[[#This Row],[Rank Pedro]]="Medium","Purple",IF(TableRelationships12[[#This Row],[Rank Pedro]]="High","Brown","")))</f>
        <v/>
      </c>
      <c r="V52" s="4" t="e">
        <f>MAX(INDEX(Standards!$F$2:$F$296,MATCH(B52,Standards!$B$2:$B$296,0)),INDEX(Standards!$F$2:$F$296,MATCH(C52,Standards!$B$2:$B$296,0)))</f>
        <v>#N/A</v>
      </c>
      <c r="W52" t="str">
        <f t="shared" si="2"/>
        <v>#2f89d1</v>
      </c>
    </row>
    <row r="53" spans="1:23" x14ac:dyDescent="0.5">
      <c r="A53" s="54">
        <v>52</v>
      </c>
      <c r="B53" s="90" t="s">
        <v>628</v>
      </c>
      <c r="C53" t="s">
        <v>1104</v>
      </c>
      <c r="D53" s="1"/>
      <c r="E53" s="112">
        <v>2004.08</v>
      </c>
      <c r="F53" s="112">
        <v>2004.08</v>
      </c>
      <c r="G53" s="107" t="s">
        <v>670</v>
      </c>
      <c r="H53">
        <f>INDEX('GIS-Standards'!$A$2:$A$305,MATCH(B53,'GIS-Standards'!$B$2:$B$305,0))</f>
        <v>3</v>
      </c>
      <c r="I53" t="e">
        <f>INDEX('GIS-Standards'!$A$2:$A$305,MATCH(C53,'GIS-Standards'!$B$2:$B$305,0))</f>
        <v>#N/A</v>
      </c>
      <c r="J53">
        <f>INDEX('GIS-Standards'!$O$2:$O$305,MATCH(B53,'GIS-Standards'!$B$2:$B$305,0))</f>
        <v>0</v>
      </c>
      <c r="K53" t="e">
        <f>INDEX('GIS-Standards'!$O$2:$O$305,MATCH(C53,'GIS-Standards'!$B$2:$B$305,0))</f>
        <v>#N/A</v>
      </c>
      <c r="M53" t="s">
        <v>525</v>
      </c>
      <c r="N53">
        <f>INDEX('GIS-Standards'!$I$2:$I$305,MATCH(B53,'GIS-Standards'!$B$2:$B$305,0))</f>
        <v>0</v>
      </c>
      <c r="O53" t="e">
        <f>INDEX('GIS-Standards'!$I$2:$I$305,MATCH(C53,'GIS-Standards'!$B$2:$B$305,0))</f>
        <v>#N/A</v>
      </c>
      <c r="P53" t="e">
        <f>AND(TableRelationships12[[#This Row],[Source Type]]="BIM",TableRelationships12[[#This Row],[Target Type]]="BIM")</f>
        <v>#N/A</v>
      </c>
      <c r="Q53">
        <f t="shared" si="0"/>
        <v>1</v>
      </c>
      <c r="S53">
        <f t="shared" si="1"/>
        <v>1</v>
      </c>
      <c r="T53" s="102" t="str">
        <f>IF(TableRelationships12[[#This Row],[Rank Pedro]]="Low","linkCategory1",IF(TableRelationships12[[#This Row],[Rank Pedro]]="Medium","linkCategory2",IF(TableRelationships12[[#This Row],[Rank Pedro]]="High","linkCategory3","")))</f>
        <v/>
      </c>
      <c r="U53" s="102" t="str">
        <f>IF(TableRelationships12[[#This Row],[Rank Pedro]]="Low","Pink",IF(TableRelationships12[[#This Row],[Rank Pedro]]="Medium","Purple",IF(TableRelationships12[[#This Row],[Rank Pedro]]="High","Brown","")))</f>
        <v/>
      </c>
      <c r="V53" s="4" t="e">
        <f>MAX(INDEX(Standards!$F$2:$F$296,MATCH(B53,Standards!$B$2:$B$296,0)),INDEX(Standards!$F$2:$F$296,MATCH(C53,Standards!$B$2:$B$296,0)))</f>
        <v>#N/A</v>
      </c>
      <c r="W53" t="str">
        <f t="shared" si="2"/>
        <v>#2f89d1</v>
      </c>
    </row>
    <row r="54" spans="1:23" x14ac:dyDescent="0.5">
      <c r="A54" s="54">
        <v>53</v>
      </c>
      <c r="B54" s="90" t="s">
        <v>628</v>
      </c>
      <c r="C54" t="s">
        <v>322</v>
      </c>
      <c r="D54" s="1"/>
      <c r="E54" s="112">
        <v>2009.11</v>
      </c>
      <c r="F54" s="112">
        <v>2021.05</v>
      </c>
      <c r="G54" s="107" t="s">
        <v>670</v>
      </c>
      <c r="H54">
        <f>INDEX('GIS-Standards'!$A$2:$A$305,MATCH(B54,'GIS-Standards'!$B$2:$B$305,0))</f>
        <v>3</v>
      </c>
      <c r="I54">
        <f>INDEX('GIS-Standards'!$A$2:$A$305,MATCH(C54,'GIS-Standards'!$B$2:$B$305,0))</f>
        <v>33</v>
      </c>
      <c r="J54">
        <f>INDEX('GIS-Standards'!$O$2:$O$305,MATCH(B54,'GIS-Standards'!$B$2:$B$305,0))</f>
        <v>0</v>
      </c>
      <c r="K54" t="str">
        <f>INDEX('GIS-Standards'!$O$2:$O$305,MATCH(C54,'GIS-Standards'!$B$2:$B$305,0))</f>
        <v>ISO/TC 211</v>
      </c>
      <c r="M54" t="s">
        <v>525</v>
      </c>
      <c r="N54">
        <f>INDEX('GIS-Standards'!$I$2:$I$305,MATCH(B54,'GIS-Standards'!$B$2:$B$305,0))</f>
        <v>0</v>
      </c>
      <c r="O54">
        <f>INDEX('GIS-Standards'!$I$2:$I$305,MATCH(C54,'GIS-Standards'!$B$2:$B$305,0))</f>
        <v>0</v>
      </c>
      <c r="P54" t="b">
        <f>AND(TableRelationships12[[#This Row],[Source Type]]="BIM",TableRelationships12[[#This Row],[Target Type]]="BIM")</f>
        <v>0</v>
      </c>
      <c r="Q54">
        <f t="shared" si="0"/>
        <v>1</v>
      </c>
      <c r="S54">
        <f t="shared" si="1"/>
        <v>1</v>
      </c>
      <c r="T54" s="102" t="str">
        <f>IF(TableRelationships12[[#This Row],[Rank Pedro]]="Low","linkCategory1",IF(TableRelationships12[[#This Row],[Rank Pedro]]="Medium","linkCategory2",IF(TableRelationships12[[#This Row],[Rank Pedro]]="High","linkCategory3","")))</f>
        <v/>
      </c>
      <c r="U54" s="102" t="str">
        <f>IF(TableRelationships12[[#This Row],[Rank Pedro]]="Low","Pink",IF(TableRelationships12[[#This Row],[Rank Pedro]]="Medium","Purple",IF(TableRelationships12[[#This Row],[Rank Pedro]]="High","Brown","")))</f>
        <v/>
      </c>
      <c r="V54" s="4" t="e">
        <f>MAX(INDEX(Standards!$F$2:$F$296,MATCH(B54,Standards!$B$2:$B$296,0)),INDEX(Standards!$F$2:$F$296,MATCH(C54,Standards!$B$2:$B$296,0)))</f>
        <v>#N/A</v>
      </c>
      <c r="W54" t="str">
        <f t="shared" si="2"/>
        <v>#2f89d1</v>
      </c>
    </row>
    <row r="55" spans="1:23" x14ac:dyDescent="0.5">
      <c r="A55" s="54">
        <v>54</v>
      </c>
      <c r="B55" s="90" t="s">
        <v>628</v>
      </c>
      <c r="C55" t="s">
        <v>324</v>
      </c>
      <c r="D55" s="1"/>
      <c r="E55" s="112">
        <v>2005.06</v>
      </c>
      <c r="F55" s="112">
        <v>2019.02</v>
      </c>
      <c r="G55" s="107" t="s">
        <v>1465</v>
      </c>
      <c r="H55">
        <f>INDEX('GIS-Standards'!$A$2:$A$305,MATCH(B55,'GIS-Standards'!$B$2:$B$305,0))</f>
        <v>3</v>
      </c>
      <c r="I55">
        <f>INDEX('GIS-Standards'!$A$2:$A$305,MATCH(C55,'GIS-Standards'!$B$2:$B$305,0))</f>
        <v>34</v>
      </c>
      <c r="J55">
        <f>INDEX('GIS-Standards'!$O$2:$O$305,MATCH(B55,'GIS-Standards'!$B$2:$B$305,0))</f>
        <v>0</v>
      </c>
      <c r="K55" t="str">
        <f>INDEX('GIS-Standards'!$O$2:$O$305,MATCH(C55,'GIS-Standards'!$B$2:$B$305,0))</f>
        <v>ISO/TC 211</v>
      </c>
      <c r="M55" t="s">
        <v>525</v>
      </c>
      <c r="N55">
        <f>INDEX('GIS-Standards'!$I$2:$I$305,MATCH(B55,'GIS-Standards'!$B$2:$B$305,0))</f>
        <v>0</v>
      </c>
      <c r="O55">
        <f>INDEX('GIS-Standards'!$I$2:$I$305,MATCH(C55,'GIS-Standards'!$B$2:$B$305,0))</f>
        <v>0</v>
      </c>
      <c r="P55" t="b">
        <f>AND(TableRelationships12[[#This Row],[Source Type]]="BIM",TableRelationships12[[#This Row],[Target Type]]="BIM")</f>
        <v>0</v>
      </c>
      <c r="Q55">
        <f t="shared" si="0"/>
        <v>1</v>
      </c>
      <c r="S55">
        <f t="shared" si="1"/>
        <v>1</v>
      </c>
      <c r="T55" s="102" t="str">
        <f>IF(TableRelationships12[[#This Row],[Rank Pedro]]="Low","linkCategory1",IF(TableRelationships12[[#This Row],[Rank Pedro]]="Medium","linkCategory2",IF(TableRelationships12[[#This Row],[Rank Pedro]]="High","linkCategory3","")))</f>
        <v/>
      </c>
      <c r="U55" s="102" t="str">
        <f>IF(TableRelationships12[[#This Row],[Rank Pedro]]="Low","Pink",IF(TableRelationships12[[#This Row],[Rank Pedro]]="Medium","Purple",IF(TableRelationships12[[#This Row],[Rank Pedro]]="High","Brown","")))</f>
        <v/>
      </c>
      <c r="V55" s="4" t="e">
        <f>MAX(INDEX(Standards!$F$2:$F$296,MATCH(B55,Standards!$B$2:$B$296,0)),INDEX(Standards!$F$2:$F$296,MATCH(C55,Standards!$B$2:$B$296,0)))</f>
        <v>#N/A</v>
      </c>
      <c r="W55" t="str">
        <f t="shared" si="2"/>
        <v>#2f89d1</v>
      </c>
    </row>
    <row r="56" spans="1:23" x14ac:dyDescent="0.5">
      <c r="A56" s="54">
        <v>55</v>
      </c>
      <c r="B56" s="90" t="s">
        <v>628</v>
      </c>
      <c r="C56" t="s">
        <v>328</v>
      </c>
      <c r="D56" s="1"/>
      <c r="E56" s="112">
        <v>2007.04</v>
      </c>
      <c r="F56" s="112">
        <v>2022.11</v>
      </c>
      <c r="G56" s="107" t="s">
        <v>670</v>
      </c>
      <c r="H56">
        <f>INDEX('GIS-Standards'!$A$2:$A$305,MATCH(B56,'GIS-Standards'!$B$2:$B$305,0))</f>
        <v>3</v>
      </c>
      <c r="I56">
        <f>INDEX('GIS-Standards'!$A$2:$A$305,MATCH(C56,'GIS-Standards'!$B$2:$B$305,0))</f>
        <v>37</v>
      </c>
      <c r="J56">
        <f>INDEX('GIS-Standards'!$O$2:$O$305,MATCH(B56,'GIS-Standards'!$B$2:$B$305,0))</f>
        <v>0</v>
      </c>
      <c r="K56" t="str">
        <f>INDEX('GIS-Standards'!$O$2:$O$305,MATCH(C56,'GIS-Standards'!$B$2:$B$305,0))</f>
        <v>ISO/TC 211</v>
      </c>
      <c r="M56" t="s">
        <v>525</v>
      </c>
      <c r="N56">
        <f>INDEX('GIS-Standards'!$I$2:$I$305,MATCH(B56,'GIS-Standards'!$B$2:$B$305,0))</f>
        <v>0</v>
      </c>
      <c r="O56">
        <f>INDEX('GIS-Standards'!$I$2:$I$305,MATCH(C56,'GIS-Standards'!$B$2:$B$305,0))</f>
        <v>0</v>
      </c>
      <c r="P56" t="b">
        <f>AND(TableRelationships12[[#This Row],[Source Type]]="BIM",TableRelationships12[[#This Row],[Target Type]]="BIM")</f>
        <v>0</v>
      </c>
      <c r="Q56">
        <f t="shared" si="0"/>
        <v>1</v>
      </c>
      <c r="S56">
        <f t="shared" si="1"/>
        <v>1</v>
      </c>
      <c r="T56" s="102" t="str">
        <f>IF(TableRelationships12[[#This Row],[Rank Pedro]]="Low","linkCategory1",IF(TableRelationships12[[#This Row],[Rank Pedro]]="Medium","linkCategory2",IF(TableRelationships12[[#This Row],[Rank Pedro]]="High","linkCategory3","")))</f>
        <v/>
      </c>
      <c r="U56" s="102" t="str">
        <f>IF(TableRelationships12[[#This Row],[Rank Pedro]]="Low","Pink",IF(TableRelationships12[[#This Row],[Rank Pedro]]="Medium","Purple",IF(TableRelationships12[[#This Row],[Rank Pedro]]="High","Brown","")))</f>
        <v/>
      </c>
      <c r="V56" s="4" t="e">
        <f>MAX(INDEX(Standards!$F$2:$F$296,MATCH(B56,Standards!$B$2:$B$296,0)),INDEX(Standards!$F$2:$F$296,MATCH(C56,Standards!$B$2:$B$296,0)))</f>
        <v>#N/A</v>
      </c>
      <c r="W56" t="str">
        <f t="shared" si="2"/>
        <v>#2f89d1</v>
      </c>
    </row>
    <row r="57" spans="1:23" x14ac:dyDescent="0.5">
      <c r="A57" s="54">
        <v>56</v>
      </c>
      <c r="B57" s="90" t="s">
        <v>628</v>
      </c>
      <c r="C57" t="s">
        <v>1048</v>
      </c>
      <c r="D57" s="1" t="s">
        <v>1152</v>
      </c>
      <c r="E57" s="112">
        <v>2005.1</v>
      </c>
      <c r="F57" s="112">
        <v>2021.02</v>
      </c>
      <c r="G57" s="107" t="s">
        <v>670</v>
      </c>
      <c r="H57">
        <f>INDEX('GIS-Standards'!$A$2:$A$305,MATCH(B57,'GIS-Standards'!$B$2:$B$305,0))</f>
        <v>3</v>
      </c>
      <c r="I57">
        <f>INDEX('GIS-Standards'!$A$2:$A$305,MATCH(C57,'GIS-Standards'!$B$2:$B$305,0))</f>
        <v>41</v>
      </c>
      <c r="J57">
        <f>INDEX('GIS-Standards'!$O$2:$O$305,MATCH(B57,'GIS-Standards'!$B$2:$B$305,0))</f>
        <v>0</v>
      </c>
      <c r="K57" t="str">
        <f>INDEX('GIS-Standards'!$O$2:$O$305,MATCH(C57,'GIS-Standards'!$B$2:$B$305,0))</f>
        <v>ISO/TC 211</v>
      </c>
      <c r="M57" t="s">
        <v>525</v>
      </c>
      <c r="N57">
        <f>INDEX('GIS-Standards'!$I$2:$I$305,MATCH(B57,'GIS-Standards'!$B$2:$B$305,0))</f>
        <v>0</v>
      </c>
      <c r="O57" t="str">
        <f>INDEX('GIS-Standards'!$I$2:$I$305,MATCH(C57,'GIS-Standards'!$B$2:$B$305,0))</f>
        <v>03.2021</v>
      </c>
      <c r="P57" t="b">
        <f>AND(TableRelationships12[[#This Row],[Source Type]]="BIM",TableRelationships12[[#This Row],[Target Type]]="BIM")</f>
        <v>0</v>
      </c>
      <c r="Q57">
        <f t="shared" si="0"/>
        <v>1</v>
      </c>
      <c r="S57">
        <f t="shared" si="1"/>
        <v>1</v>
      </c>
      <c r="T57" s="102" t="str">
        <f>IF(TableRelationships12[[#This Row],[Rank Pedro]]="Low","linkCategory1",IF(TableRelationships12[[#This Row],[Rank Pedro]]="Medium","linkCategory2",IF(TableRelationships12[[#This Row],[Rank Pedro]]="High","linkCategory3","")))</f>
        <v/>
      </c>
      <c r="U57" s="102" t="str">
        <f>IF(TableRelationships12[[#This Row],[Rank Pedro]]="Low","Pink",IF(TableRelationships12[[#This Row],[Rank Pedro]]="Medium","Purple",IF(TableRelationships12[[#This Row],[Rank Pedro]]="High","Brown","")))</f>
        <v/>
      </c>
      <c r="V57" s="4" t="e">
        <f>MAX(INDEX(Standards!$F$2:$F$296,MATCH(B57,Standards!$B$2:$B$296,0)),INDEX(Standards!$F$2:$F$296,MATCH(C57,Standards!$B$2:$B$296,0)))</f>
        <v>#N/A</v>
      </c>
      <c r="W57" t="str">
        <f t="shared" si="2"/>
        <v>#2f89d1</v>
      </c>
    </row>
    <row r="58" spans="1:23" x14ac:dyDescent="0.5">
      <c r="A58" s="54">
        <v>57</v>
      </c>
      <c r="B58" s="90" t="s">
        <v>628</v>
      </c>
      <c r="C58" t="s">
        <v>334</v>
      </c>
      <c r="D58" s="1" t="s">
        <v>1036</v>
      </c>
      <c r="E58" s="113">
        <v>2007.09</v>
      </c>
      <c r="F58" s="113">
        <v>2020.01</v>
      </c>
      <c r="G58" s="107" t="s">
        <v>670</v>
      </c>
      <c r="H58">
        <f>INDEX('GIS-Standards'!$A$2:$A$305,MATCH(B58,'GIS-Standards'!$B$2:$B$305,0))</f>
        <v>3</v>
      </c>
      <c r="I58">
        <f>INDEX('GIS-Standards'!$A$2:$A$305,MATCH(C58,'GIS-Standards'!$B$2:$B$305,0))</f>
        <v>42</v>
      </c>
      <c r="J58">
        <f>INDEX('GIS-Standards'!$O$2:$O$305,MATCH(B58,'GIS-Standards'!$B$2:$B$305,0))</f>
        <v>0</v>
      </c>
      <c r="K58" t="str">
        <f>INDEX('GIS-Standards'!$O$2:$O$305,MATCH(C58,'GIS-Standards'!$B$2:$B$305,0))</f>
        <v>ISO/TC 211</v>
      </c>
      <c r="M58" t="s">
        <v>525</v>
      </c>
      <c r="N58">
        <f>INDEX('GIS-Standards'!$I$2:$I$305,MATCH(B58,'GIS-Standards'!$B$2:$B$305,0))</f>
        <v>0</v>
      </c>
      <c r="O58">
        <f>INDEX('GIS-Standards'!$I$2:$I$305,MATCH(C58,'GIS-Standards'!$B$2:$B$305,0))</f>
        <v>0</v>
      </c>
      <c r="P58" t="b">
        <f>AND(TableRelationships12[[#This Row],[Source Type]]="BIM",TableRelationships12[[#This Row],[Target Type]]="BIM")</f>
        <v>0</v>
      </c>
      <c r="Q58">
        <f t="shared" si="0"/>
        <v>1</v>
      </c>
      <c r="S58">
        <f t="shared" si="1"/>
        <v>1</v>
      </c>
      <c r="T58" s="102" t="str">
        <f>IF(TableRelationships12[[#This Row],[Rank Pedro]]="Low","linkCategory1",IF(TableRelationships12[[#This Row],[Rank Pedro]]="Medium","linkCategory2",IF(TableRelationships12[[#This Row],[Rank Pedro]]="High","linkCategory3","")))</f>
        <v/>
      </c>
      <c r="U58" s="102" t="str">
        <f>IF(TableRelationships12[[#This Row],[Rank Pedro]]="Low","Pink",IF(TableRelationships12[[#This Row],[Rank Pedro]]="Medium","Purple",IF(TableRelationships12[[#This Row],[Rank Pedro]]="High","Brown","")))</f>
        <v/>
      </c>
      <c r="V58" s="4" t="e">
        <f>MAX(INDEX(Standards!$F$2:$F$296,MATCH(B58,Standards!$B$2:$B$296,0)),INDEX(Standards!$F$2:$F$296,MATCH(C58,Standards!$B$2:$B$296,0)))</f>
        <v>#N/A</v>
      </c>
      <c r="W58" t="str">
        <f t="shared" si="2"/>
        <v>#2f89d1</v>
      </c>
    </row>
    <row r="59" spans="1:23" x14ac:dyDescent="0.5">
      <c r="A59" s="54">
        <v>58</v>
      </c>
      <c r="B59" s="90" t="s">
        <v>628</v>
      </c>
      <c r="C59" t="s">
        <v>348</v>
      </c>
      <c r="D59" s="1" t="s">
        <v>1675</v>
      </c>
      <c r="E59" s="113">
        <v>2013.12</v>
      </c>
      <c r="F59" s="113">
        <v>2023.04</v>
      </c>
      <c r="G59" s="107" t="s">
        <v>670</v>
      </c>
      <c r="H59">
        <f>INDEX('GIS-Standards'!$A$2:$A$305,MATCH(B59,'GIS-Standards'!$B$2:$B$305,0))</f>
        <v>3</v>
      </c>
      <c r="I59">
        <f>INDEX('GIS-Standards'!$A$2:$A$305,MATCH(C59,'GIS-Standards'!$B$2:$B$305,0))</f>
        <v>66</v>
      </c>
      <c r="J59">
        <f>INDEX('GIS-Standards'!$O$2:$O$305,MATCH(B59,'GIS-Standards'!$B$2:$B$305,0))</f>
        <v>0</v>
      </c>
      <c r="K59" t="str">
        <f>INDEX('GIS-Standards'!$O$2:$O$305,MATCH(C59,'GIS-Standards'!$B$2:$B$305,0))</f>
        <v>ISO/TC 211</v>
      </c>
      <c r="M59" t="s">
        <v>525</v>
      </c>
      <c r="N59">
        <f>INDEX('GIS-Standards'!$I$2:$I$305,MATCH(B59,'GIS-Standards'!$B$2:$B$305,0))</f>
        <v>0</v>
      </c>
      <c r="O59">
        <f>INDEX('GIS-Standards'!$I$2:$I$305,MATCH(C59,'GIS-Standards'!$B$2:$B$305,0))</f>
        <v>0</v>
      </c>
      <c r="P59" t="b">
        <f>AND(TableRelationships12[[#This Row],[Source Type]]="BIM",TableRelationships12[[#This Row],[Target Type]]="BIM")</f>
        <v>0</v>
      </c>
      <c r="Q59">
        <f t="shared" si="0"/>
        <v>1</v>
      </c>
      <c r="S59">
        <f t="shared" si="1"/>
        <v>1</v>
      </c>
      <c r="T59" s="102" t="str">
        <f>IF(TableRelationships12[[#This Row],[Rank Pedro]]="Low","linkCategory1",IF(TableRelationships12[[#This Row],[Rank Pedro]]="Medium","linkCategory2",IF(TableRelationships12[[#This Row],[Rank Pedro]]="High","linkCategory3","")))</f>
        <v/>
      </c>
      <c r="U59" s="102" t="str">
        <f>IF(TableRelationships12[[#This Row],[Rank Pedro]]="Low","Pink",IF(TableRelationships12[[#This Row],[Rank Pedro]]="Medium","Purple",IF(TableRelationships12[[#This Row],[Rank Pedro]]="High","Brown","")))</f>
        <v/>
      </c>
      <c r="V59" s="4" t="e">
        <f>MAX(INDEX(Standards!$F$2:$F$296,MATCH(B59,Standards!$B$2:$B$296,0)),INDEX(Standards!$F$2:$F$296,MATCH(C59,Standards!$B$2:$B$296,0)))</f>
        <v>#N/A</v>
      </c>
      <c r="W59" t="str">
        <f t="shared" si="2"/>
        <v>#2f89d1</v>
      </c>
    </row>
    <row r="60" spans="1:23" x14ac:dyDescent="0.5">
      <c r="A60" s="54">
        <v>59</v>
      </c>
      <c r="B60" s="90" t="s">
        <v>628</v>
      </c>
      <c r="C60" t="s">
        <v>653</v>
      </c>
      <c r="D60" s="1" t="s">
        <v>1115</v>
      </c>
      <c r="E60" s="113">
        <v>2007.04</v>
      </c>
      <c r="F60" s="113">
        <v>2019.03</v>
      </c>
      <c r="G60" s="107" t="s">
        <v>670</v>
      </c>
      <c r="H60">
        <f>INDEX('GIS-Standards'!$A$2:$A$305,MATCH(B60,'GIS-Standards'!$B$2:$B$305,0))</f>
        <v>3</v>
      </c>
      <c r="I60">
        <f>INDEX('GIS-Standards'!$A$2:$A$305,MATCH(C60,'GIS-Standards'!$B$2:$B$305,0))</f>
        <v>102</v>
      </c>
      <c r="J60">
        <f>INDEX('GIS-Standards'!$O$2:$O$305,MATCH(B60,'GIS-Standards'!$B$2:$B$305,0))</f>
        <v>0</v>
      </c>
      <c r="K60" t="str">
        <f>INDEX('GIS-Standards'!$O$2:$O$305,MATCH(C60,'GIS-Standards'!$B$2:$B$305,0))</f>
        <v>ISO/TC 211</v>
      </c>
      <c r="M60" t="s">
        <v>525</v>
      </c>
      <c r="N60">
        <f>INDEX('GIS-Standards'!$I$2:$I$305,MATCH(B60,'GIS-Standards'!$B$2:$B$305,0))</f>
        <v>0</v>
      </c>
      <c r="O60">
        <f>INDEX('GIS-Standards'!$I$2:$I$305,MATCH(C60,'GIS-Standards'!$B$2:$B$305,0))</f>
        <v>0</v>
      </c>
      <c r="P60" t="b">
        <f>AND(TableRelationships12[[#This Row],[Source Type]]="BIM",TableRelationships12[[#This Row],[Target Type]]="BIM")</f>
        <v>0</v>
      </c>
      <c r="Q60">
        <f t="shared" si="0"/>
        <v>1</v>
      </c>
      <c r="S60">
        <f t="shared" si="1"/>
        <v>1</v>
      </c>
      <c r="T60" s="102" t="str">
        <f>IF(TableRelationships12[[#This Row],[Rank Pedro]]="Low","linkCategory1",IF(TableRelationships12[[#This Row],[Rank Pedro]]="Medium","linkCategory2",IF(TableRelationships12[[#This Row],[Rank Pedro]]="High","linkCategory3","")))</f>
        <v/>
      </c>
      <c r="U60" s="102" t="str">
        <f>IF(TableRelationships12[[#This Row],[Rank Pedro]]="Low","Pink",IF(TableRelationships12[[#This Row],[Rank Pedro]]="Medium","Purple",IF(TableRelationships12[[#This Row],[Rank Pedro]]="High","Brown","")))</f>
        <v/>
      </c>
      <c r="V60" s="4" t="e">
        <f>MAX(INDEX(Standards!$F$2:$F$296,MATCH(B60,Standards!$B$2:$B$296,0)),INDEX(Standards!$F$2:$F$296,MATCH(C60,Standards!$B$2:$B$296,0)))</f>
        <v>#N/A</v>
      </c>
      <c r="W60" t="str">
        <f t="shared" si="2"/>
        <v>#2f89d1</v>
      </c>
    </row>
    <row r="61" spans="1:23" x14ac:dyDescent="0.5">
      <c r="A61" s="54">
        <v>60</v>
      </c>
      <c r="B61" s="90" t="s">
        <v>629</v>
      </c>
      <c r="C61" t="s">
        <v>527</v>
      </c>
      <c r="D61" s="1"/>
      <c r="E61" s="94" t="s">
        <v>927</v>
      </c>
      <c r="F61" s="94" t="s">
        <v>927</v>
      </c>
      <c r="G61" s="90" t="s">
        <v>670</v>
      </c>
      <c r="H61">
        <f>INDEX('GIS-Standards'!$A$2:$A$305,MATCH(B61,'GIS-Standards'!$B$2:$B$305,0))</f>
        <v>4</v>
      </c>
      <c r="I61" t="e">
        <f>INDEX('GIS-Standards'!$A$2:$A$305,MATCH(C61,'GIS-Standards'!$B$2:$B$305,0))</f>
        <v>#N/A</v>
      </c>
      <c r="J61">
        <f>INDEX('GIS-Standards'!$O$2:$O$305,MATCH(B61,'GIS-Standards'!$B$2:$B$305,0))</f>
        <v>0</v>
      </c>
      <c r="K61" t="e">
        <f>INDEX('GIS-Standards'!$O$2:$O$305,MATCH(C61,'GIS-Standards'!$B$2:$B$305,0))</f>
        <v>#N/A</v>
      </c>
      <c r="M61" t="s">
        <v>237</v>
      </c>
      <c r="N61">
        <f>INDEX('GIS-Standards'!$I$2:$I$305,MATCH(B61,'GIS-Standards'!$B$2:$B$305,0))</f>
        <v>0</v>
      </c>
      <c r="O61" t="e">
        <f>INDEX('GIS-Standards'!$I$2:$I$305,MATCH(C61,'GIS-Standards'!$B$2:$B$305,0))</f>
        <v>#N/A</v>
      </c>
      <c r="P61" t="e">
        <f>AND(TableRelationships12[[#This Row],[Source Type]]="BIM",TableRelationships12[[#This Row],[Target Type]]="BIM")</f>
        <v>#N/A</v>
      </c>
      <c r="Q61">
        <f t="shared" si="0"/>
        <v>2</v>
      </c>
      <c r="S61">
        <f t="shared" si="1"/>
        <v>1</v>
      </c>
      <c r="T61" s="102" t="str">
        <f>IF(TableRelationships12[[#This Row],[Rank Pedro]]="Low","linkCategory1",IF(TableRelationships12[[#This Row],[Rank Pedro]]="Medium","linkCategory2",IF(TableRelationships12[[#This Row],[Rank Pedro]]="High","linkCategory3","")))</f>
        <v/>
      </c>
      <c r="U61" s="102" t="str">
        <f>IF(TableRelationships12[[#This Row],[Rank Pedro]]="Low","Pink",IF(TableRelationships12[[#This Row],[Rank Pedro]]="Medium","Purple",IF(TableRelationships12[[#This Row],[Rank Pedro]]="High","Brown","")))</f>
        <v/>
      </c>
      <c r="V61" s="4" t="e">
        <f>MAX(INDEX(Standards!$F$2:$F$296,MATCH(B61,Standards!$B$2:$B$296,0)),INDEX(Standards!$F$2:$F$296,MATCH(C61,Standards!$B$2:$B$296,0)))</f>
        <v>#N/A</v>
      </c>
      <c r="W61">
        <f t="shared" si="2"/>
        <v>1</v>
      </c>
    </row>
    <row r="62" spans="1:23" x14ac:dyDescent="0.5">
      <c r="A62" s="54">
        <v>61</v>
      </c>
      <c r="B62" s="90" t="s">
        <v>629</v>
      </c>
      <c r="C62" t="s">
        <v>1056</v>
      </c>
      <c r="D62" s="1"/>
      <c r="E62" s="112">
        <v>1996.08</v>
      </c>
      <c r="F62" s="112">
        <v>1996.08</v>
      </c>
      <c r="G62" s="107" t="s">
        <v>1489</v>
      </c>
      <c r="H62">
        <f>INDEX('GIS-Standards'!$A$2:$A$305,MATCH(B62,'GIS-Standards'!$B$2:$B$305,0))</f>
        <v>4</v>
      </c>
      <c r="I62" t="e">
        <f>INDEX('GIS-Standards'!$A$2:$A$305,MATCH(C62,'GIS-Standards'!$B$2:$B$305,0))</f>
        <v>#N/A</v>
      </c>
      <c r="J62">
        <f>INDEX('GIS-Standards'!$O$2:$O$305,MATCH(B62,'GIS-Standards'!$B$2:$B$305,0))</f>
        <v>0</v>
      </c>
      <c r="K62" t="e">
        <f>INDEX('GIS-Standards'!$O$2:$O$305,MATCH(C62,'GIS-Standards'!$B$2:$B$305,0))</f>
        <v>#N/A</v>
      </c>
      <c r="M62" t="s">
        <v>525</v>
      </c>
      <c r="N62">
        <f>INDEX('GIS-Standards'!$I$2:$I$305,MATCH(B62,'GIS-Standards'!$B$2:$B$305,0))</f>
        <v>0</v>
      </c>
      <c r="O62" t="e">
        <f>INDEX('GIS-Standards'!$I$2:$I$305,MATCH(C62,'GIS-Standards'!$B$2:$B$305,0))</f>
        <v>#N/A</v>
      </c>
      <c r="P62" t="e">
        <f>AND(TableRelationships12[[#This Row],[Source Type]]="BIM",TableRelationships12[[#This Row],[Target Type]]="BIM")</f>
        <v>#N/A</v>
      </c>
      <c r="Q62">
        <f t="shared" si="0"/>
        <v>1</v>
      </c>
      <c r="S62">
        <f t="shared" si="1"/>
        <v>1</v>
      </c>
      <c r="T62" s="102" t="str">
        <f>IF(TableRelationships12[[#This Row],[Rank Pedro]]="Low","linkCategory1",IF(TableRelationships12[[#This Row],[Rank Pedro]]="Medium","linkCategory2",IF(TableRelationships12[[#This Row],[Rank Pedro]]="High","linkCategory3","")))</f>
        <v/>
      </c>
      <c r="U62" s="102" t="str">
        <f>IF(TableRelationships12[[#This Row],[Rank Pedro]]="Low","Pink",IF(TableRelationships12[[#This Row],[Rank Pedro]]="Medium","Purple",IF(TableRelationships12[[#This Row],[Rank Pedro]]="High","Brown","")))</f>
        <v/>
      </c>
      <c r="V62" s="4" t="e">
        <f>MAX(INDEX(Standards!$F$2:$F$296,MATCH(B62,Standards!$B$2:$B$296,0)),INDEX(Standards!$F$2:$F$296,MATCH(C62,Standards!$B$2:$B$296,0)))</f>
        <v>#N/A</v>
      </c>
      <c r="W62" t="str">
        <f t="shared" si="2"/>
        <v>#2f89d1</v>
      </c>
    </row>
    <row r="63" spans="1:23" x14ac:dyDescent="0.5">
      <c r="A63" s="54">
        <v>62</v>
      </c>
      <c r="B63" s="90" t="s">
        <v>629</v>
      </c>
      <c r="C63" t="s">
        <v>1057</v>
      </c>
      <c r="D63" s="1"/>
      <c r="E63" s="112">
        <v>1996.05</v>
      </c>
      <c r="F63" s="112">
        <v>1996.05</v>
      </c>
      <c r="G63" s="107" t="s">
        <v>1489</v>
      </c>
      <c r="H63">
        <f>INDEX('GIS-Standards'!$A$2:$A$305,MATCH(B63,'GIS-Standards'!$B$2:$B$305,0))</f>
        <v>4</v>
      </c>
      <c r="I63" t="e">
        <f>INDEX('GIS-Standards'!$A$2:$A$305,MATCH(C63,'GIS-Standards'!$B$2:$B$305,0))</f>
        <v>#N/A</v>
      </c>
      <c r="J63">
        <f>INDEX('GIS-Standards'!$O$2:$O$305,MATCH(B63,'GIS-Standards'!$B$2:$B$305,0))</f>
        <v>0</v>
      </c>
      <c r="K63" t="e">
        <f>INDEX('GIS-Standards'!$O$2:$O$305,MATCH(C63,'GIS-Standards'!$B$2:$B$305,0))</f>
        <v>#N/A</v>
      </c>
      <c r="M63" t="s">
        <v>525</v>
      </c>
      <c r="N63">
        <f>INDEX('GIS-Standards'!$I$2:$I$305,MATCH(B63,'GIS-Standards'!$B$2:$B$305,0))</f>
        <v>0</v>
      </c>
      <c r="O63" t="e">
        <f>INDEX('GIS-Standards'!$I$2:$I$305,MATCH(C63,'GIS-Standards'!$B$2:$B$305,0))</f>
        <v>#N/A</v>
      </c>
      <c r="P63" t="e">
        <f>AND(TableRelationships12[[#This Row],[Source Type]]="BIM",TableRelationships12[[#This Row],[Target Type]]="BIM")</f>
        <v>#N/A</v>
      </c>
      <c r="Q63">
        <f t="shared" si="0"/>
        <v>1</v>
      </c>
      <c r="S63">
        <f t="shared" si="1"/>
        <v>1</v>
      </c>
      <c r="T63" s="102" t="str">
        <f>IF(TableRelationships12[[#This Row],[Rank Pedro]]="Low","linkCategory1",IF(TableRelationships12[[#This Row],[Rank Pedro]]="Medium","linkCategory2",IF(TableRelationships12[[#This Row],[Rank Pedro]]="High","linkCategory3","")))</f>
        <v/>
      </c>
      <c r="U63" s="102" t="str">
        <f>IF(TableRelationships12[[#This Row],[Rank Pedro]]="Low","Pink",IF(TableRelationships12[[#This Row],[Rank Pedro]]="Medium","Purple",IF(TableRelationships12[[#This Row],[Rank Pedro]]="High","Brown","")))</f>
        <v/>
      </c>
      <c r="V63" s="4" t="e">
        <f>MAX(INDEX(Standards!$F$2:$F$296,MATCH(B63,Standards!$B$2:$B$296,0)),INDEX(Standards!$F$2:$F$296,MATCH(C63,Standards!$B$2:$B$296,0)))</f>
        <v>#N/A</v>
      </c>
      <c r="W63" t="str">
        <f t="shared" si="2"/>
        <v>#2f89d1</v>
      </c>
    </row>
    <row r="64" spans="1:23" x14ac:dyDescent="0.5">
      <c r="A64" s="54">
        <v>63</v>
      </c>
      <c r="B64" s="90" t="s">
        <v>629</v>
      </c>
      <c r="C64" t="s">
        <v>1058</v>
      </c>
      <c r="D64" s="1"/>
      <c r="E64" s="112">
        <v>1996.09</v>
      </c>
      <c r="F64" s="112">
        <v>1996.09</v>
      </c>
      <c r="G64" s="107" t="s">
        <v>1489</v>
      </c>
      <c r="H64">
        <f>INDEX('GIS-Standards'!$A$2:$A$305,MATCH(B64,'GIS-Standards'!$B$2:$B$305,0))</f>
        <v>4</v>
      </c>
      <c r="I64" t="e">
        <f>INDEX('GIS-Standards'!$A$2:$A$305,MATCH(C64,'GIS-Standards'!$B$2:$B$305,0))</f>
        <v>#N/A</v>
      </c>
      <c r="J64">
        <f>INDEX('GIS-Standards'!$O$2:$O$305,MATCH(B64,'GIS-Standards'!$B$2:$B$305,0))</f>
        <v>0</v>
      </c>
      <c r="K64" t="e">
        <f>INDEX('GIS-Standards'!$O$2:$O$305,MATCH(C64,'GIS-Standards'!$B$2:$B$305,0))</f>
        <v>#N/A</v>
      </c>
      <c r="M64" t="s">
        <v>525</v>
      </c>
      <c r="N64">
        <f>INDEX('GIS-Standards'!$I$2:$I$305,MATCH(B64,'GIS-Standards'!$B$2:$B$305,0))</f>
        <v>0</v>
      </c>
      <c r="O64" t="e">
        <f>INDEX('GIS-Standards'!$I$2:$I$305,MATCH(C64,'GIS-Standards'!$B$2:$B$305,0))</f>
        <v>#N/A</v>
      </c>
      <c r="P64" t="e">
        <f>AND(TableRelationships12[[#This Row],[Source Type]]="BIM",TableRelationships12[[#This Row],[Target Type]]="BIM")</f>
        <v>#N/A</v>
      </c>
      <c r="Q64">
        <f t="shared" si="0"/>
        <v>1</v>
      </c>
      <c r="S64">
        <f t="shared" si="1"/>
        <v>1</v>
      </c>
      <c r="T64" s="102" t="str">
        <f>IF(TableRelationships12[[#This Row],[Rank Pedro]]="Low","linkCategory1",IF(TableRelationships12[[#This Row],[Rank Pedro]]="Medium","linkCategory2",IF(TableRelationships12[[#This Row],[Rank Pedro]]="High","linkCategory3","")))</f>
        <v/>
      </c>
      <c r="U64" s="102" t="str">
        <f>IF(TableRelationships12[[#This Row],[Rank Pedro]]="Low","Pink",IF(TableRelationships12[[#This Row],[Rank Pedro]]="Medium","Purple",IF(TableRelationships12[[#This Row],[Rank Pedro]]="High","Brown","")))</f>
        <v/>
      </c>
      <c r="V64" s="4" t="e">
        <f>MAX(INDEX(Standards!$F$2:$F$296,MATCH(B64,Standards!$B$2:$B$296,0)),INDEX(Standards!$F$2:$F$296,MATCH(C64,Standards!$B$2:$B$296,0)))</f>
        <v>#N/A</v>
      </c>
      <c r="W64" t="str">
        <f t="shared" si="2"/>
        <v>#2f89d1</v>
      </c>
    </row>
    <row r="65" spans="1:23" x14ac:dyDescent="0.5">
      <c r="A65" s="54">
        <v>64</v>
      </c>
      <c r="B65" s="90" t="s">
        <v>629</v>
      </c>
      <c r="C65" t="s">
        <v>1059</v>
      </c>
      <c r="D65" s="1"/>
      <c r="E65" s="112">
        <v>1997.04</v>
      </c>
      <c r="F65" s="112">
        <v>1997.04</v>
      </c>
      <c r="G65" s="107" t="s">
        <v>1489</v>
      </c>
      <c r="H65">
        <f>INDEX('GIS-Standards'!$A$2:$A$305,MATCH(B65,'GIS-Standards'!$B$2:$B$305,0))</f>
        <v>4</v>
      </c>
      <c r="I65" t="e">
        <f>INDEX('GIS-Standards'!$A$2:$A$305,MATCH(C65,'GIS-Standards'!$B$2:$B$305,0))</f>
        <v>#N/A</v>
      </c>
      <c r="J65">
        <f>INDEX('GIS-Standards'!$O$2:$O$305,MATCH(B65,'GIS-Standards'!$B$2:$B$305,0))</f>
        <v>0</v>
      </c>
      <c r="K65" t="e">
        <f>INDEX('GIS-Standards'!$O$2:$O$305,MATCH(C65,'GIS-Standards'!$B$2:$B$305,0))</f>
        <v>#N/A</v>
      </c>
      <c r="M65" t="s">
        <v>525</v>
      </c>
      <c r="N65">
        <f>INDEX('GIS-Standards'!$I$2:$I$305,MATCH(B65,'GIS-Standards'!$B$2:$B$305,0))</f>
        <v>0</v>
      </c>
      <c r="O65" t="e">
        <f>INDEX('GIS-Standards'!$I$2:$I$305,MATCH(C65,'GIS-Standards'!$B$2:$B$305,0))</f>
        <v>#N/A</v>
      </c>
      <c r="P65" t="e">
        <f>AND(TableRelationships12[[#This Row],[Source Type]]="BIM",TableRelationships12[[#This Row],[Target Type]]="BIM")</f>
        <v>#N/A</v>
      </c>
      <c r="Q65">
        <f t="shared" si="0"/>
        <v>1</v>
      </c>
      <c r="S65">
        <f t="shared" si="1"/>
        <v>1</v>
      </c>
      <c r="T65" s="102" t="str">
        <f>IF(TableRelationships12[[#This Row],[Rank Pedro]]="Low","linkCategory1",IF(TableRelationships12[[#This Row],[Rank Pedro]]="Medium","linkCategory2",IF(TableRelationships12[[#This Row],[Rank Pedro]]="High","linkCategory3","")))</f>
        <v/>
      </c>
      <c r="U65" s="102" t="str">
        <f>IF(TableRelationships12[[#This Row],[Rank Pedro]]="Low","Pink",IF(TableRelationships12[[#This Row],[Rank Pedro]]="Medium","Purple",IF(TableRelationships12[[#This Row],[Rank Pedro]]="High","Brown","")))</f>
        <v/>
      </c>
      <c r="V65" s="4" t="e">
        <f>MAX(INDEX(Standards!$F$2:$F$296,MATCH(B65,Standards!$B$2:$B$296,0)),INDEX(Standards!$F$2:$F$296,MATCH(C65,Standards!$B$2:$B$296,0)))</f>
        <v>#N/A</v>
      </c>
      <c r="W65" t="str">
        <f t="shared" si="2"/>
        <v>#2f89d1</v>
      </c>
    </row>
    <row r="66" spans="1:23" x14ac:dyDescent="0.5">
      <c r="A66" s="54">
        <v>65</v>
      </c>
      <c r="B66" s="90" t="s">
        <v>629</v>
      </c>
      <c r="C66" t="s">
        <v>1060</v>
      </c>
      <c r="D66" s="1"/>
      <c r="E66" s="112">
        <v>1996.09</v>
      </c>
      <c r="F66" s="112">
        <v>1996.09</v>
      </c>
      <c r="G66" s="107" t="s">
        <v>1489</v>
      </c>
      <c r="H66">
        <f>INDEX('GIS-Standards'!$A$2:$A$305,MATCH(B66,'GIS-Standards'!$B$2:$B$305,0))</f>
        <v>4</v>
      </c>
      <c r="I66" t="e">
        <f>INDEX('GIS-Standards'!$A$2:$A$305,MATCH(C66,'GIS-Standards'!$B$2:$B$305,0))</f>
        <v>#N/A</v>
      </c>
      <c r="J66">
        <f>INDEX('GIS-Standards'!$O$2:$O$305,MATCH(B66,'GIS-Standards'!$B$2:$B$305,0))</f>
        <v>0</v>
      </c>
      <c r="K66" t="e">
        <f>INDEX('GIS-Standards'!$O$2:$O$305,MATCH(C66,'GIS-Standards'!$B$2:$B$305,0))</f>
        <v>#N/A</v>
      </c>
      <c r="M66" t="s">
        <v>525</v>
      </c>
      <c r="N66">
        <f>INDEX('GIS-Standards'!$I$2:$I$305,MATCH(B66,'GIS-Standards'!$B$2:$B$305,0))</f>
        <v>0</v>
      </c>
      <c r="O66" t="e">
        <f>INDEX('GIS-Standards'!$I$2:$I$305,MATCH(C66,'GIS-Standards'!$B$2:$B$305,0))</f>
        <v>#N/A</v>
      </c>
      <c r="P66" t="e">
        <f>AND(TableRelationships12[[#This Row],[Source Type]]="BIM",TableRelationships12[[#This Row],[Target Type]]="BIM")</f>
        <v>#N/A</v>
      </c>
      <c r="Q66">
        <f t="shared" ref="Q66:Q129" si="3">IF(M66="Normative",6,IF(M66="Secondary",4,IF(M66="Anchor",2,1)))</f>
        <v>1</v>
      </c>
      <c r="S66">
        <f t="shared" ref="S66:S129" si="4">IF(R66="High",10,IF(R66="Medium",6,IF(R66="Low",2,1)))</f>
        <v>1</v>
      </c>
      <c r="T66" s="102" t="str">
        <f>IF(TableRelationships12[[#This Row],[Rank Pedro]]="Low","linkCategory1",IF(TableRelationships12[[#This Row],[Rank Pedro]]="Medium","linkCategory2",IF(TableRelationships12[[#This Row],[Rank Pedro]]="High","linkCategory3","")))</f>
        <v/>
      </c>
      <c r="U66" s="102" t="str">
        <f>IF(TableRelationships12[[#This Row],[Rank Pedro]]="Low","Pink",IF(TableRelationships12[[#This Row],[Rank Pedro]]="Medium","Purple",IF(TableRelationships12[[#This Row],[Rank Pedro]]="High","Brown","")))</f>
        <v/>
      </c>
      <c r="V66" s="4" t="e">
        <f>MAX(INDEX(Standards!$F$2:$F$296,MATCH(B66,Standards!$B$2:$B$296,0)),INDEX(Standards!$F$2:$F$296,MATCH(C66,Standards!$B$2:$B$296,0)))</f>
        <v>#N/A</v>
      </c>
      <c r="W66" t="str">
        <f t="shared" ref="W66:W129" si="5">IF(M66="Normative", "#d6bf2a", IF(M66="Informative", "#2f89d1", 1))</f>
        <v>#2f89d1</v>
      </c>
    </row>
    <row r="67" spans="1:23" x14ac:dyDescent="0.5">
      <c r="A67" s="54">
        <v>66</v>
      </c>
      <c r="B67" s="90" t="s">
        <v>629</v>
      </c>
      <c r="C67" t="s">
        <v>1061</v>
      </c>
      <c r="D67" s="1"/>
      <c r="E67" s="112">
        <v>1996.09</v>
      </c>
      <c r="F67" s="112">
        <v>1996.09</v>
      </c>
      <c r="G67" s="107" t="s">
        <v>1489</v>
      </c>
      <c r="H67">
        <f>INDEX('GIS-Standards'!$A$2:$A$305,MATCH(B67,'GIS-Standards'!$B$2:$B$305,0))</f>
        <v>4</v>
      </c>
      <c r="I67" t="e">
        <f>INDEX('GIS-Standards'!$A$2:$A$305,MATCH(C67,'GIS-Standards'!$B$2:$B$305,0))</f>
        <v>#N/A</v>
      </c>
      <c r="J67">
        <f>INDEX('GIS-Standards'!$O$2:$O$305,MATCH(B67,'GIS-Standards'!$B$2:$B$305,0))</f>
        <v>0</v>
      </c>
      <c r="K67" t="e">
        <f>INDEX('GIS-Standards'!$O$2:$O$305,MATCH(C67,'GIS-Standards'!$B$2:$B$305,0))</f>
        <v>#N/A</v>
      </c>
      <c r="M67" t="s">
        <v>525</v>
      </c>
      <c r="N67">
        <f>INDEX('GIS-Standards'!$I$2:$I$305,MATCH(B67,'GIS-Standards'!$B$2:$B$305,0))</f>
        <v>0</v>
      </c>
      <c r="O67" t="e">
        <f>INDEX('GIS-Standards'!$I$2:$I$305,MATCH(C67,'GIS-Standards'!$B$2:$B$305,0))</f>
        <v>#N/A</v>
      </c>
      <c r="P67" t="e">
        <f>AND(TableRelationships12[[#This Row],[Source Type]]="BIM",TableRelationships12[[#This Row],[Target Type]]="BIM")</f>
        <v>#N/A</v>
      </c>
      <c r="Q67">
        <f t="shared" si="3"/>
        <v>1</v>
      </c>
      <c r="S67">
        <f t="shared" si="4"/>
        <v>1</v>
      </c>
      <c r="T67" s="102" t="str">
        <f>IF(TableRelationships12[[#This Row],[Rank Pedro]]="Low","linkCategory1",IF(TableRelationships12[[#This Row],[Rank Pedro]]="Medium","linkCategory2",IF(TableRelationships12[[#This Row],[Rank Pedro]]="High","linkCategory3","")))</f>
        <v/>
      </c>
      <c r="U67" s="102" t="str">
        <f>IF(TableRelationships12[[#This Row],[Rank Pedro]]="Low","Pink",IF(TableRelationships12[[#This Row],[Rank Pedro]]="Medium","Purple",IF(TableRelationships12[[#This Row],[Rank Pedro]]="High","Brown","")))</f>
        <v/>
      </c>
      <c r="V67" s="4" t="e">
        <f>MAX(INDEX(Standards!$F$2:$F$296,MATCH(B67,Standards!$B$2:$B$296,0)),INDEX(Standards!$F$2:$F$296,MATCH(C67,Standards!$B$2:$B$296,0)))</f>
        <v>#N/A</v>
      </c>
      <c r="W67" t="str">
        <f t="shared" si="5"/>
        <v>#2f89d1</v>
      </c>
    </row>
    <row r="68" spans="1:23" x14ac:dyDescent="0.5">
      <c r="A68" s="54">
        <v>67</v>
      </c>
      <c r="B68" s="90" t="s">
        <v>629</v>
      </c>
      <c r="C68" t="s">
        <v>1062</v>
      </c>
      <c r="D68" s="1"/>
      <c r="E68" s="112">
        <v>1996.08</v>
      </c>
      <c r="F68" s="112">
        <v>1996.08</v>
      </c>
      <c r="G68" s="107" t="s">
        <v>1489</v>
      </c>
      <c r="H68">
        <f>INDEX('GIS-Standards'!$A$2:$A$305,MATCH(B68,'GIS-Standards'!$B$2:$B$305,0))</f>
        <v>4</v>
      </c>
      <c r="I68" t="e">
        <f>INDEX('GIS-Standards'!$A$2:$A$305,MATCH(C68,'GIS-Standards'!$B$2:$B$305,0))</f>
        <v>#N/A</v>
      </c>
      <c r="J68">
        <f>INDEX('GIS-Standards'!$O$2:$O$305,MATCH(B68,'GIS-Standards'!$B$2:$B$305,0))</f>
        <v>0</v>
      </c>
      <c r="K68" t="e">
        <f>INDEX('GIS-Standards'!$O$2:$O$305,MATCH(C68,'GIS-Standards'!$B$2:$B$305,0))</f>
        <v>#N/A</v>
      </c>
      <c r="M68" t="s">
        <v>525</v>
      </c>
      <c r="N68">
        <f>INDEX('GIS-Standards'!$I$2:$I$305,MATCH(B68,'GIS-Standards'!$B$2:$B$305,0))</f>
        <v>0</v>
      </c>
      <c r="O68" t="e">
        <f>INDEX('GIS-Standards'!$I$2:$I$305,MATCH(C68,'GIS-Standards'!$B$2:$B$305,0))</f>
        <v>#N/A</v>
      </c>
      <c r="P68" t="e">
        <f>AND(TableRelationships12[[#This Row],[Source Type]]="BIM",TableRelationships12[[#This Row],[Target Type]]="BIM")</f>
        <v>#N/A</v>
      </c>
      <c r="Q68">
        <f t="shared" si="3"/>
        <v>1</v>
      </c>
      <c r="S68">
        <f t="shared" si="4"/>
        <v>1</v>
      </c>
      <c r="T68" s="102" t="str">
        <f>IF(TableRelationships12[[#This Row],[Rank Pedro]]="Low","linkCategory1",IF(TableRelationships12[[#This Row],[Rank Pedro]]="Medium","linkCategory2",IF(TableRelationships12[[#This Row],[Rank Pedro]]="High","linkCategory3","")))</f>
        <v/>
      </c>
      <c r="U68" s="102" t="str">
        <f>IF(TableRelationships12[[#This Row],[Rank Pedro]]="Low","Pink",IF(TableRelationships12[[#This Row],[Rank Pedro]]="Medium","Purple",IF(TableRelationships12[[#This Row],[Rank Pedro]]="High","Brown","")))</f>
        <v/>
      </c>
      <c r="V68" s="4" t="e">
        <f>MAX(INDEX(Standards!$F$2:$F$296,MATCH(B68,Standards!$B$2:$B$296,0)),INDEX(Standards!$F$2:$F$296,MATCH(C68,Standards!$B$2:$B$296,0)))</f>
        <v>#N/A</v>
      </c>
      <c r="W68" t="str">
        <f t="shared" si="5"/>
        <v>#2f89d1</v>
      </c>
    </row>
    <row r="69" spans="1:23" x14ac:dyDescent="0.5">
      <c r="A69" s="54">
        <v>68</v>
      </c>
      <c r="B69" s="90" t="s">
        <v>629</v>
      </c>
      <c r="C69" t="s">
        <v>1063</v>
      </c>
      <c r="D69" s="1"/>
      <c r="E69" s="112">
        <v>1998.12</v>
      </c>
      <c r="F69" s="112">
        <v>1998.12</v>
      </c>
      <c r="G69" s="107" t="s">
        <v>1502</v>
      </c>
      <c r="H69">
        <f>INDEX('GIS-Standards'!$A$2:$A$305,MATCH(B69,'GIS-Standards'!$B$2:$B$305,0))</f>
        <v>4</v>
      </c>
      <c r="I69" t="e">
        <f>INDEX('GIS-Standards'!$A$2:$A$305,MATCH(C69,'GIS-Standards'!$B$2:$B$305,0))</f>
        <v>#N/A</v>
      </c>
      <c r="J69">
        <f>INDEX('GIS-Standards'!$O$2:$O$305,MATCH(B69,'GIS-Standards'!$B$2:$B$305,0))</f>
        <v>0</v>
      </c>
      <c r="K69" t="e">
        <f>INDEX('GIS-Standards'!$O$2:$O$305,MATCH(C69,'GIS-Standards'!$B$2:$B$305,0))</f>
        <v>#N/A</v>
      </c>
      <c r="M69" t="s">
        <v>525</v>
      </c>
      <c r="N69">
        <f>INDEX('GIS-Standards'!$I$2:$I$305,MATCH(B69,'GIS-Standards'!$B$2:$B$305,0))</f>
        <v>0</v>
      </c>
      <c r="O69" t="e">
        <f>INDEX('GIS-Standards'!$I$2:$I$305,MATCH(C69,'GIS-Standards'!$B$2:$B$305,0))</f>
        <v>#N/A</v>
      </c>
      <c r="P69" t="e">
        <f>AND(TableRelationships12[[#This Row],[Source Type]]="BIM",TableRelationships12[[#This Row],[Target Type]]="BIM")</f>
        <v>#N/A</v>
      </c>
      <c r="Q69">
        <f t="shared" si="3"/>
        <v>1</v>
      </c>
      <c r="S69">
        <f t="shared" si="4"/>
        <v>1</v>
      </c>
      <c r="T69" s="102" t="str">
        <f>IF(TableRelationships12[[#This Row],[Rank Pedro]]="Low","linkCategory1",IF(TableRelationships12[[#This Row],[Rank Pedro]]="Medium","linkCategory2",IF(TableRelationships12[[#This Row],[Rank Pedro]]="High","linkCategory3","")))</f>
        <v/>
      </c>
      <c r="U69" s="102" t="str">
        <f>IF(TableRelationships12[[#This Row],[Rank Pedro]]="Low","Pink",IF(TableRelationships12[[#This Row],[Rank Pedro]]="Medium","Purple",IF(TableRelationships12[[#This Row],[Rank Pedro]]="High","Brown","")))</f>
        <v/>
      </c>
      <c r="V69" s="4" t="e">
        <f>MAX(INDEX(Standards!$F$2:$F$296,MATCH(B69,Standards!$B$2:$B$296,0)),INDEX(Standards!$F$2:$F$296,MATCH(C69,Standards!$B$2:$B$296,0)))</f>
        <v>#N/A</v>
      </c>
      <c r="W69" t="str">
        <f t="shared" si="5"/>
        <v>#2f89d1</v>
      </c>
    </row>
    <row r="70" spans="1:23" x14ac:dyDescent="0.5">
      <c r="A70" s="54">
        <v>69</v>
      </c>
      <c r="B70" s="90" t="s">
        <v>629</v>
      </c>
      <c r="C70" t="s">
        <v>1064</v>
      </c>
      <c r="D70" s="1"/>
      <c r="E70" s="112">
        <v>1996.09</v>
      </c>
      <c r="F70" s="112">
        <v>2009.12</v>
      </c>
      <c r="G70" s="107" t="s">
        <v>1502</v>
      </c>
      <c r="H70">
        <f>INDEX('GIS-Standards'!$A$2:$A$305,MATCH(B70,'GIS-Standards'!$B$2:$B$305,0))</f>
        <v>4</v>
      </c>
      <c r="I70" t="e">
        <f>INDEX('GIS-Standards'!$A$2:$A$305,MATCH(C70,'GIS-Standards'!$B$2:$B$305,0))</f>
        <v>#N/A</v>
      </c>
      <c r="J70">
        <f>INDEX('GIS-Standards'!$O$2:$O$305,MATCH(B70,'GIS-Standards'!$B$2:$B$305,0))</f>
        <v>0</v>
      </c>
      <c r="K70" t="e">
        <f>INDEX('GIS-Standards'!$O$2:$O$305,MATCH(C70,'GIS-Standards'!$B$2:$B$305,0))</f>
        <v>#N/A</v>
      </c>
      <c r="M70" t="s">
        <v>525</v>
      </c>
      <c r="N70">
        <f>INDEX('GIS-Standards'!$I$2:$I$305,MATCH(B70,'GIS-Standards'!$B$2:$B$305,0))</f>
        <v>0</v>
      </c>
      <c r="O70" t="e">
        <f>INDEX('GIS-Standards'!$I$2:$I$305,MATCH(C70,'GIS-Standards'!$B$2:$B$305,0))</f>
        <v>#N/A</v>
      </c>
      <c r="P70" t="e">
        <f>AND(TableRelationships12[[#This Row],[Source Type]]="BIM",TableRelationships12[[#This Row],[Target Type]]="BIM")</f>
        <v>#N/A</v>
      </c>
      <c r="Q70">
        <f t="shared" si="3"/>
        <v>1</v>
      </c>
      <c r="S70">
        <f t="shared" si="4"/>
        <v>1</v>
      </c>
      <c r="T70" s="102" t="str">
        <f>IF(TableRelationships12[[#This Row],[Rank Pedro]]="Low","linkCategory1",IF(TableRelationships12[[#This Row],[Rank Pedro]]="Medium","linkCategory2",IF(TableRelationships12[[#This Row],[Rank Pedro]]="High","linkCategory3","")))</f>
        <v/>
      </c>
      <c r="U70" s="102" t="str">
        <f>IF(TableRelationships12[[#This Row],[Rank Pedro]]="Low","Pink",IF(TableRelationships12[[#This Row],[Rank Pedro]]="Medium","Purple",IF(TableRelationships12[[#This Row],[Rank Pedro]]="High","Brown","")))</f>
        <v/>
      </c>
      <c r="V70" s="4" t="e">
        <f>MAX(INDEX(Standards!$F$2:$F$296,MATCH(B70,Standards!$B$2:$B$296,0)),INDEX(Standards!$F$2:$F$296,MATCH(C70,Standards!$B$2:$B$296,0)))</f>
        <v>#N/A</v>
      </c>
      <c r="W70" t="str">
        <f t="shared" si="5"/>
        <v>#2f89d1</v>
      </c>
    </row>
    <row r="71" spans="1:23" x14ac:dyDescent="0.5">
      <c r="A71" s="54">
        <v>70</v>
      </c>
      <c r="B71" s="90" t="s">
        <v>629</v>
      </c>
      <c r="C71" t="s">
        <v>1065</v>
      </c>
      <c r="D71" s="1"/>
      <c r="E71" s="112">
        <v>1996.09</v>
      </c>
      <c r="F71" s="112">
        <v>2009.12</v>
      </c>
      <c r="G71" s="107" t="s">
        <v>1502</v>
      </c>
      <c r="H71">
        <f>INDEX('GIS-Standards'!$A$2:$A$305,MATCH(B71,'GIS-Standards'!$B$2:$B$305,0))</f>
        <v>4</v>
      </c>
      <c r="I71" t="e">
        <f>INDEX('GIS-Standards'!$A$2:$A$305,MATCH(C71,'GIS-Standards'!$B$2:$B$305,0))</f>
        <v>#N/A</v>
      </c>
      <c r="J71">
        <f>INDEX('GIS-Standards'!$O$2:$O$305,MATCH(B71,'GIS-Standards'!$B$2:$B$305,0))</f>
        <v>0</v>
      </c>
      <c r="K71" t="e">
        <f>INDEX('GIS-Standards'!$O$2:$O$305,MATCH(C71,'GIS-Standards'!$B$2:$B$305,0))</f>
        <v>#N/A</v>
      </c>
      <c r="M71" t="s">
        <v>525</v>
      </c>
      <c r="N71">
        <f>INDEX('GIS-Standards'!$I$2:$I$305,MATCH(B71,'GIS-Standards'!$B$2:$B$305,0))</f>
        <v>0</v>
      </c>
      <c r="O71" t="e">
        <f>INDEX('GIS-Standards'!$I$2:$I$305,MATCH(C71,'GIS-Standards'!$B$2:$B$305,0))</f>
        <v>#N/A</v>
      </c>
      <c r="P71" t="e">
        <f>AND(TableRelationships12[[#This Row],[Source Type]]="BIM",TableRelationships12[[#This Row],[Target Type]]="BIM")</f>
        <v>#N/A</v>
      </c>
      <c r="Q71">
        <f t="shared" si="3"/>
        <v>1</v>
      </c>
      <c r="S71">
        <f t="shared" si="4"/>
        <v>1</v>
      </c>
      <c r="T71" s="102" t="str">
        <f>IF(TableRelationships12[[#This Row],[Rank Pedro]]="Low","linkCategory1",IF(TableRelationships12[[#This Row],[Rank Pedro]]="Medium","linkCategory2",IF(TableRelationships12[[#This Row],[Rank Pedro]]="High","linkCategory3","")))</f>
        <v/>
      </c>
      <c r="U71" s="102" t="str">
        <f>IF(TableRelationships12[[#This Row],[Rank Pedro]]="Low","Pink",IF(TableRelationships12[[#This Row],[Rank Pedro]]="Medium","Purple",IF(TableRelationships12[[#This Row],[Rank Pedro]]="High","Brown","")))</f>
        <v/>
      </c>
      <c r="V71" s="4" t="e">
        <f>MAX(INDEX(Standards!$F$2:$F$296,MATCH(B71,Standards!$B$2:$B$296,0)),INDEX(Standards!$F$2:$F$296,MATCH(C71,Standards!$B$2:$B$296,0)))</f>
        <v>#N/A</v>
      </c>
      <c r="W71" t="str">
        <f t="shared" si="5"/>
        <v>#2f89d1</v>
      </c>
    </row>
    <row r="72" spans="1:23" x14ac:dyDescent="0.5">
      <c r="A72" s="54">
        <v>71</v>
      </c>
      <c r="B72" s="90" t="s">
        <v>629</v>
      </c>
      <c r="C72" t="s">
        <v>1066</v>
      </c>
      <c r="D72" s="1"/>
      <c r="E72" s="112">
        <v>1998.12</v>
      </c>
      <c r="F72" s="112">
        <v>2001.12</v>
      </c>
      <c r="G72" s="107" t="s">
        <v>1502</v>
      </c>
      <c r="H72">
        <f>INDEX('GIS-Standards'!$A$2:$A$305,MATCH(B72,'GIS-Standards'!$B$2:$B$305,0))</f>
        <v>4</v>
      </c>
      <c r="I72" t="e">
        <f>INDEX('GIS-Standards'!$A$2:$A$305,MATCH(C72,'GIS-Standards'!$B$2:$B$305,0))</f>
        <v>#N/A</v>
      </c>
      <c r="J72">
        <f>INDEX('GIS-Standards'!$O$2:$O$305,MATCH(B72,'GIS-Standards'!$B$2:$B$305,0))</f>
        <v>0</v>
      </c>
      <c r="K72" t="e">
        <f>INDEX('GIS-Standards'!$O$2:$O$305,MATCH(C72,'GIS-Standards'!$B$2:$B$305,0))</f>
        <v>#N/A</v>
      </c>
      <c r="M72" t="s">
        <v>525</v>
      </c>
      <c r="N72">
        <f>INDEX('GIS-Standards'!$I$2:$I$305,MATCH(B72,'GIS-Standards'!$B$2:$B$305,0))</f>
        <v>0</v>
      </c>
      <c r="O72" t="e">
        <f>INDEX('GIS-Standards'!$I$2:$I$305,MATCH(C72,'GIS-Standards'!$B$2:$B$305,0))</f>
        <v>#N/A</v>
      </c>
      <c r="P72" t="e">
        <f>AND(TableRelationships12[[#This Row],[Source Type]]="BIM",TableRelationships12[[#This Row],[Target Type]]="BIM")</f>
        <v>#N/A</v>
      </c>
      <c r="Q72">
        <f t="shared" si="3"/>
        <v>1</v>
      </c>
      <c r="S72">
        <f t="shared" si="4"/>
        <v>1</v>
      </c>
      <c r="T72" s="102" t="str">
        <f>IF(TableRelationships12[[#This Row],[Rank Pedro]]="Low","linkCategory1",IF(TableRelationships12[[#This Row],[Rank Pedro]]="Medium","linkCategory2",IF(TableRelationships12[[#This Row],[Rank Pedro]]="High","linkCategory3","")))</f>
        <v/>
      </c>
      <c r="U72" s="102" t="str">
        <f>IF(TableRelationships12[[#This Row],[Rank Pedro]]="Low","Pink",IF(TableRelationships12[[#This Row],[Rank Pedro]]="Medium","Purple",IF(TableRelationships12[[#This Row],[Rank Pedro]]="High","Brown","")))</f>
        <v/>
      </c>
      <c r="V72" s="4" t="e">
        <f>MAX(INDEX(Standards!$F$2:$F$296,MATCH(B72,Standards!$B$2:$B$296,0)),INDEX(Standards!$F$2:$F$296,MATCH(C72,Standards!$B$2:$B$296,0)))</f>
        <v>#N/A</v>
      </c>
      <c r="W72" t="str">
        <f t="shared" si="5"/>
        <v>#2f89d1</v>
      </c>
    </row>
    <row r="73" spans="1:23" x14ac:dyDescent="0.5">
      <c r="A73" s="54">
        <v>72</v>
      </c>
      <c r="B73" s="90" t="s">
        <v>629</v>
      </c>
      <c r="C73" t="s">
        <v>1067</v>
      </c>
      <c r="D73" s="1"/>
      <c r="E73" s="112">
        <v>2008.12</v>
      </c>
      <c r="F73" s="112">
        <v>2015.04</v>
      </c>
      <c r="G73" s="107" t="s">
        <v>1502</v>
      </c>
      <c r="H73">
        <f>INDEX('GIS-Standards'!$A$2:$A$305,MATCH(B73,'GIS-Standards'!$B$2:$B$305,0))</f>
        <v>4</v>
      </c>
      <c r="I73" t="e">
        <f>INDEX('GIS-Standards'!$A$2:$A$305,MATCH(C73,'GIS-Standards'!$B$2:$B$305,0))</f>
        <v>#N/A</v>
      </c>
      <c r="J73">
        <f>INDEX('GIS-Standards'!$O$2:$O$305,MATCH(B73,'GIS-Standards'!$B$2:$B$305,0))</f>
        <v>0</v>
      </c>
      <c r="K73" t="e">
        <f>INDEX('GIS-Standards'!$O$2:$O$305,MATCH(C73,'GIS-Standards'!$B$2:$B$305,0))</f>
        <v>#N/A</v>
      </c>
      <c r="M73" t="s">
        <v>525</v>
      </c>
      <c r="N73">
        <f>INDEX('GIS-Standards'!$I$2:$I$305,MATCH(B73,'GIS-Standards'!$B$2:$B$305,0))</f>
        <v>0</v>
      </c>
      <c r="O73" t="e">
        <f>INDEX('GIS-Standards'!$I$2:$I$305,MATCH(C73,'GIS-Standards'!$B$2:$B$305,0))</f>
        <v>#N/A</v>
      </c>
      <c r="P73" t="e">
        <f>AND(TableRelationships12[[#This Row],[Source Type]]="BIM",TableRelationships12[[#This Row],[Target Type]]="BIM")</f>
        <v>#N/A</v>
      </c>
      <c r="Q73">
        <f t="shared" si="3"/>
        <v>1</v>
      </c>
      <c r="S73">
        <f t="shared" si="4"/>
        <v>1</v>
      </c>
      <c r="T73" s="102" t="str">
        <f>IF(TableRelationships12[[#This Row],[Rank Pedro]]="Low","linkCategory1",IF(TableRelationships12[[#This Row],[Rank Pedro]]="Medium","linkCategory2",IF(TableRelationships12[[#This Row],[Rank Pedro]]="High","linkCategory3","")))</f>
        <v/>
      </c>
      <c r="U73" s="102" t="str">
        <f>IF(TableRelationships12[[#This Row],[Rank Pedro]]="Low","Pink",IF(TableRelationships12[[#This Row],[Rank Pedro]]="Medium","Purple",IF(TableRelationships12[[#This Row],[Rank Pedro]]="High","Brown","")))</f>
        <v/>
      </c>
      <c r="V73" s="4" t="e">
        <f>MAX(INDEX(Standards!$F$2:$F$296,MATCH(B73,Standards!$B$2:$B$296,0)),INDEX(Standards!$F$2:$F$296,MATCH(C73,Standards!$B$2:$B$296,0)))</f>
        <v>#N/A</v>
      </c>
      <c r="W73" t="str">
        <f t="shared" si="5"/>
        <v>#2f89d1</v>
      </c>
    </row>
    <row r="74" spans="1:23" x14ac:dyDescent="0.5">
      <c r="A74" s="54">
        <v>73</v>
      </c>
      <c r="B74" s="90" t="s">
        <v>629</v>
      </c>
      <c r="C74" t="s">
        <v>1068</v>
      </c>
      <c r="D74" s="1"/>
      <c r="E74" s="112">
        <v>1989.02</v>
      </c>
      <c r="F74" s="112">
        <v>1989.02</v>
      </c>
      <c r="G74" s="107" t="s">
        <v>1489</v>
      </c>
      <c r="H74">
        <f>INDEX('GIS-Standards'!$A$2:$A$305,MATCH(B74,'GIS-Standards'!$B$2:$B$305,0))</f>
        <v>4</v>
      </c>
      <c r="I74" t="e">
        <f>INDEX('GIS-Standards'!$A$2:$A$305,MATCH(C74,'GIS-Standards'!$B$2:$B$305,0))</f>
        <v>#N/A</v>
      </c>
      <c r="J74">
        <f>INDEX('GIS-Standards'!$O$2:$O$305,MATCH(B74,'GIS-Standards'!$B$2:$B$305,0))</f>
        <v>0</v>
      </c>
      <c r="K74" t="e">
        <f>INDEX('GIS-Standards'!$O$2:$O$305,MATCH(C74,'GIS-Standards'!$B$2:$B$305,0))</f>
        <v>#N/A</v>
      </c>
      <c r="M74" t="s">
        <v>525</v>
      </c>
      <c r="N74">
        <f>INDEX('GIS-Standards'!$I$2:$I$305,MATCH(B74,'GIS-Standards'!$B$2:$B$305,0))</f>
        <v>0</v>
      </c>
      <c r="O74" t="e">
        <f>INDEX('GIS-Standards'!$I$2:$I$305,MATCH(C74,'GIS-Standards'!$B$2:$B$305,0))</f>
        <v>#N/A</v>
      </c>
      <c r="P74" t="e">
        <f>AND(TableRelationships12[[#This Row],[Source Type]]="BIM",TableRelationships12[[#This Row],[Target Type]]="BIM")</f>
        <v>#N/A</v>
      </c>
      <c r="Q74">
        <f t="shared" si="3"/>
        <v>1</v>
      </c>
      <c r="S74">
        <f t="shared" si="4"/>
        <v>1</v>
      </c>
      <c r="T74" s="102" t="str">
        <f>IF(TableRelationships12[[#This Row],[Rank Pedro]]="Low","linkCategory1",IF(TableRelationships12[[#This Row],[Rank Pedro]]="Medium","linkCategory2",IF(TableRelationships12[[#This Row],[Rank Pedro]]="High","linkCategory3","")))</f>
        <v/>
      </c>
      <c r="U74" s="102" t="str">
        <f>IF(TableRelationships12[[#This Row],[Rank Pedro]]="Low","Pink",IF(TableRelationships12[[#This Row],[Rank Pedro]]="Medium","Purple",IF(TableRelationships12[[#This Row],[Rank Pedro]]="High","Brown","")))</f>
        <v/>
      </c>
      <c r="V74" s="4" t="e">
        <f>MAX(INDEX(Standards!$F$2:$F$296,MATCH(B74,Standards!$B$2:$B$296,0)),INDEX(Standards!$F$2:$F$296,MATCH(C74,Standards!$B$2:$B$296,0)))</f>
        <v>#N/A</v>
      </c>
      <c r="W74" t="str">
        <f t="shared" si="5"/>
        <v>#2f89d1</v>
      </c>
    </row>
    <row r="75" spans="1:23" x14ac:dyDescent="0.5">
      <c r="A75" s="54">
        <v>74</v>
      </c>
      <c r="B75" s="90" t="s">
        <v>629</v>
      </c>
      <c r="C75" t="s">
        <v>296</v>
      </c>
      <c r="D75" s="1"/>
      <c r="E75" s="112">
        <v>2005.07</v>
      </c>
      <c r="F75" s="112">
        <v>2024.09</v>
      </c>
      <c r="G75" s="107" t="s">
        <v>670</v>
      </c>
      <c r="H75">
        <f>INDEX('GIS-Standards'!$A$2:$A$305,MATCH(B75,'GIS-Standards'!$B$2:$B$305,0))</f>
        <v>4</v>
      </c>
      <c r="I75">
        <f>INDEX('GIS-Standards'!$A$2:$A$305,MATCH(C75,'GIS-Standards'!$B$2:$B$305,0))</f>
        <v>12</v>
      </c>
      <c r="J75">
        <f>INDEX('GIS-Standards'!$O$2:$O$305,MATCH(B75,'GIS-Standards'!$B$2:$B$305,0))</f>
        <v>0</v>
      </c>
      <c r="K75" t="str">
        <f>INDEX('GIS-Standards'!$O$2:$O$305,MATCH(C75,'GIS-Standards'!$B$2:$B$305,0))</f>
        <v>ISO/TC 211</v>
      </c>
      <c r="M75" t="s">
        <v>525</v>
      </c>
      <c r="N75">
        <f>INDEX('GIS-Standards'!$I$2:$I$305,MATCH(B75,'GIS-Standards'!$B$2:$B$305,0))</f>
        <v>0</v>
      </c>
      <c r="O75">
        <f>INDEX('GIS-Standards'!$I$2:$I$305,MATCH(C75,'GIS-Standards'!$B$2:$B$305,0))</f>
        <v>0</v>
      </c>
      <c r="P75" t="b">
        <f>AND(TableRelationships12[[#This Row],[Source Type]]="BIM",TableRelationships12[[#This Row],[Target Type]]="BIM")</f>
        <v>0</v>
      </c>
      <c r="Q75">
        <f t="shared" si="3"/>
        <v>1</v>
      </c>
      <c r="S75">
        <f t="shared" si="4"/>
        <v>1</v>
      </c>
      <c r="T75" s="102" t="str">
        <f>IF(TableRelationships12[[#This Row],[Rank Pedro]]="Low","linkCategory1",IF(TableRelationships12[[#This Row],[Rank Pedro]]="Medium","linkCategory2",IF(TableRelationships12[[#This Row],[Rank Pedro]]="High","linkCategory3","")))</f>
        <v/>
      </c>
      <c r="U75" s="102" t="str">
        <f>IF(TableRelationships12[[#This Row],[Rank Pedro]]="Low","Pink",IF(TableRelationships12[[#This Row],[Rank Pedro]]="Medium","Purple",IF(TableRelationships12[[#This Row],[Rank Pedro]]="High","Brown","")))</f>
        <v/>
      </c>
      <c r="V75" s="4" t="e">
        <f>MAX(INDEX(Standards!$F$2:$F$296,MATCH(B75,Standards!$B$2:$B$296,0)),INDEX(Standards!$F$2:$F$296,MATCH(C75,Standards!$B$2:$B$296,0)))</f>
        <v>#N/A</v>
      </c>
      <c r="W75" t="str">
        <f t="shared" si="5"/>
        <v>#2f89d1</v>
      </c>
    </row>
    <row r="76" spans="1:23" x14ac:dyDescent="0.5">
      <c r="A76" s="54">
        <v>75</v>
      </c>
      <c r="B76" s="90" t="s">
        <v>629</v>
      </c>
      <c r="C76" t="s">
        <v>302</v>
      </c>
      <c r="D76" s="1"/>
      <c r="E76" s="112">
        <v>2003.05</v>
      </c>
      <c r="F76" s="112">
        <v>2019.12</v>
      </c>
      <c r="G76" s="107" t="s">
        <v>670</v>
      </c>
      <c r="H76">
        <f>INDEX('GIS-Standards'!$A$2:$A$305,MATCH(B76,'GIS-Standards'!$B$2:$B$305,0))</f>
        <v>4</v>
      </c>
      <c r="I76">
        <f>INDEX('GIS-Standards'!$A$2:$A$305,MATCH(C76,'GIS-Standards'!$B$2:$B$305,0))</f>
        <v>16</v>
      </c>
      <c r="J76">
        <f>INDEX('GIS-Standards'!$O$2:$O$305,MATCH(B76,'GIS-Standards'!$B$2:$B$305,0))</f>
        <v>0</v>
      </c>
      <c r="K76" t="str">
        <f>INDEX('GIS-Standards'!$O$2:$O$305,MATCH(C76,'GIS-Standards'!$B$2:$B$305,0))</f>
        <v>ISO/TC 211</v>
      </c>
      <c r="M76" t="s">
        <v>525</v>
      </c>
      <c r="N76">
        <f>INDEX('GIS-Standards'!$I$2:$I$305,MATCH(B76,'GIS-Standards'!$B$2:$B$305,0))</f>
        <v>0</v>
      </c>
      <c r="O76">
        <f>INDEX('GIS-Standards'!$I$2:$I$305,MATCH(C76,'GIS-Standards'!$B$2:$B$305,0))</f>
        <v>0</v>
      </c>
      <c r="P76" t="b">
        <f>AND(TableRelationships12[[#This Row],[Source Type]]="BIM",TableRelationships12[[#This Row],[Target Type]]="BIM")</f>
        <v>0</v>
      </c>
      <c r="Q76">
        <f t="shared" si="3"/>
        <v>1</v>
      </c>
      <c r="S76">
        <f t="shared" si="4"/>
        <v>1</v>
      </c>
      <c r="T76" s="102" t="str">
        <f>IF(TableRelationships12[[#This Row],[Rank Pedro]]="Low","linkCategory1",IF(TableRelationships12[[#This Row],[Rank Pedro]]="Medium","linkCategory2",IF(TableRelationships12[[#This Row],[Rank Pedro]]="High","linkCategory3","")))</f>
        <v/>
      </c>
      <c r="U76" s="102" t="str">
        <f>IF(TableRelationships12[[#This Row],[Rank Pedro]]="Low","Pink",IF(TableRelationships12[[#This Row],[Rank Pedro]]="Medium","Purple",IF(TableRelationships12[[#This Row],[Rank Pedro]]="High","Brown","")))</f>
        <v/>
      </c>
      <c r="V76" s="4" t="e">
        <f>MAX(INDEX(Standards!$F$2:$F$296,MATCH(B76,Standards!$B$2:$B$296,0)),INDEX(Standards!$F$2:$F$296,MATCH(C76,Standards!$B$2:$B$296,0)))</f>
        <v>#N/A</v>
      </c>
      <c r="W76" t="str">
        <f t="shared" si="5"/>
        <v>#2f89d1</v>
      </c>
    </row>
    <row r="77" spans="1:23" x14ac:dyDescent="0.5">
      <c r="A77" s="54">
        <v>76</v>
      </c>
      <c r="B77" s="90" t="s">
        <v>629</v>
      </c>
      <c r="C77" t="s">
        <v>304</v>
      </c>
      <c r="D77" s="1"/>
      <c r="E77" s="112">
        <v>2002.09</v>
      </c>
      <c r="F77" s="112">
        <v>2006.1</v>
      </c>
      <c r="G77" s="107" t="s">
        <v>670</v>
      </c>
      <c r="H77">
        <f>INDEX('GIS-Standards'!$A$2:$A$305,MATCH(B77,'GIS-Standards'!$B$2:$B$305,0))</f>
        <v>4</v>
      </c>
      <c r="I77">
        <f>INDEX('GIS-Standards'!$A$2:$A$305,MATCH(C77,'GIS-Standards'!$B$2:$B$305,0))</f>
        <v>17</v>
      </c>
      <c r="J77">
        <f>INDEX('GIS-Standards'!$O$2:$O$305,MATCH(B77,'GIS-Standards'!$B$2:$B$305,0))</f>
        <v>0</v>
      </c>
      <c r="K77" t="str">
        <f>INDEX('GIS-Standards'!$O$2:$O$305,MATCH(C77,'GIS-Standards'!$B$2:$B$305,0))</f>
        <v>ISO/TC 211</v>
      </c>
      <c r="M77" t="s">
        <v>525</v>
      </c>
      <c r="N77">
        <f>INDEX('GIS-Standards'!$I$2:$I$305,MATCH(B77,'GIS-Standards'!$B$2:$B$305,0))</f>
        <v>0</v>
      </c>
      <c r="O77" t="str">
        <f>INDEX('GIS-Standards'!$I$2:$I$305,MATCH(C77,'GIS-Standards'!$B$2:$B$305,0))</f>
        <v>06.2008</v>
      </c>
      <c r="P77" t="b">
        <f>AND(TableRelationships12[[#This Row],[Source Type]]="BIM",TableRelationships12[[#This Row],[Target Type]]="BIM")</f>
        <v>0</v>
      </c>
      <c r="Q77">
        <f t="shared" si="3"/>
        <v>1</v>
      </c>
      <c r="S77">
        <f t="shared" si="4"/>
        <v>1</v>
      </c>
      <c r="T77" s="102" t="str">
        <f>IF(TableRelationships12[[#This Row],[Rank Pedro]]="Low","linkCategory1",IF(TableRelationships12[[#This Row],[Rank Pedro]]="Medium","linkCategory2",IF(TableRelationships12[[#This Row],[Rank Pedro]]="High","linkCategory3","")))</f>
        <v/>
      </c>
      <c r="U77" s="102" t="str">
        <f>IF(TableRelationships12[[#This Row],[Rank Pedro]]="Low","Pink",IF(TableRelationships12[[#This Row],[Rank Pedro]]="Medium","Purple",IF(TableRelationships12[[#This Row],[Rank Pedro]]="High","Brown","")))</f>
        <v/>
      </c>
      <c r="V77" s="4" t="e">
        <f>MAX(INDEX(Standards!$F$2:$F$296,MATCH(B77,Standards!$B$2:$B$296,0)),INDEX(Standards!$F$2:$F$296,MATCH(C77,Standards!$B$2:$B$296,0)))</f>
        <v>#N/A</v>
      </c>
      <c r="W77" t="str">
        <f t="shared" si="5"/>
        <v>#2f89d1</v>
      </c>
    </row>
    <row r="78" spans="1:23" x14ac:dyDescent="0.5">
      <c r="A78" s="54">
        <v>77</v>
      </c>
      <c r="B78" s="90" t="s">
        <v>629</v>
      </c>
      <c r="C78" t="s">
        <v>306</v>
      </c>
      <c r="D78" s="1"/>
      <c r="E78" s="112">
        <v>2005.06</v>
      </c>
      <c r="F78" s="112">
        <v>2025.07</v>
      </c>
      <c r="G78" s="107" t="s">
        <v>670</v>
      </c>
      <c r="H78">
        <f>INDEX('GIS-Standards'!$A$2:$A$305,MATCH(B78,'GIS-Standards'!$B$2:$B$305,0))</f>
        <v>4</v>
      </c>
      <c r="I78">
        <f>INDEX('GIS-Standards'!$A$2:$A$305,MATCH(C78,'GIS-Standards'!$B$2:$B$305,0))</f>
        <v>18</v>
      </c>
      <c r="J78">
        <f>INDEX('GIS-Standards'!$O$2:$O$305,MATCH(B78,'GIS-Standards'!$B$2:$B$305,0))</f>
        <v>0</v>
      </c>
      <c r="K78" t="str">
        <f>INDEX('GIS-Standards'!$O$2:$O$305,MATCH(C78,'GIS-Standards'!$B$2:$B$305,0))</f>
        <v>ISO/TC 211</v>
      </c>
      <c r="M78" t="s">
        <v>525</v>
      </c>
      <c r="N78">
        <f>INDEX('GIS-Standards'!$I$2:$I$305,MATCH(B78,'GIS-Standards'!$B$2:$B$305,0))</f>
        <v>0</v>
      </c>
      <c r="O78">
        <f>INDEX('GIS-Standards'!$I$2:$I$305,MATCH(C78,'GIS-Standards'!$B$2:$B$305,0))</f>
        <v>0</v>
      </c>
      <c r="P78" t="b">
        <f>AND(TableRelationships12[[#This Row],[Source Type]]="BIM",TableRelationships12[[#This Row],[Target Type]]="BIM")</f>
        <v>0</v>
      </c>
      <c r="Q78">
        <f t="shared" si="3"/>
        <v>1</v>
      </c>
      <c r="S78">
        <f t="shared" si="4"/>
        <v>1</v>
      </c>
      <c r="T78" s="102" t="str">
        <f>IF(TableRelationships12[[#This Row],[Rank Pedro]]="Low","linkCategory1",IF(TableRelationships12[[#This Row],[Rank Pedro]]="Medium","linkCategory2",IF(TableRelationships12[[#This Row],[Rank Pedro]]="High","linkCategory3","")))</f>
        <v/>
      </c>
      <c r="U78" s="102" t="str">
        <f>IF(TableRelationships12[[#This Row],[Rank Pedro]]="Low","Pink",IF(TableRelationships12[[#This Row],[Rank Pedro]]="Medium","Purple",IF(TableRelationships12[[#This Row],[Rank Pedro]]="High","Brown","")))</f>
        <v/>
      </c>
      <c r="V78" s="4" t="e">
        <f>MAX(INDEX(Standards!$F$2:$F$296,MATCH(B78,Standards!$B$2:$B$296,0)),INDEX(Standards!$F$2:$F$296,MATCH(C78,Standards!$B$2:$B$296,0)))</f>
        <v>#N/A</v>
      </c>
      <c r="W78" t="str">
        <f t="shared" si="5"/>
        <v>#2f89d1</v>
      </c>
    </row>
    <row r="79" spans="1:23" x14ac:dyDescent="0.5">
      <c r="A79" s="54">
        <v>78</v>
      </c>
      <c r="B79" s="90" t="s">
        <v>629</v>
      </c>
      <c r="C79" t="s">
        <v>308</v>
      </c>
      <c r="D79" s="1"/>
      <c r="E79" s="112">
        <v>2005.02</v>
      </c>
      <c r="F79" s="112">
        <v>2016.12</v>
      </c>
      <c r="G79" s="107" t="s">
        <v>670</v>
      </c>
      <c r="H79">
        <f>INDEX('GIS-Standards'!$A$2:$A$305,MATCH(B79,'GIS-Standards'!$B$2:$B$305,0))</f>
        <v>4</v>
      </c>
      <c r="I79">
        <f>INDEX('GIS-Standards'!$A$2:$A$305,MATCH(C79,'GIS-Standards'!$B$2:$B$305,0))</f>
        <v>19</v>
      </c>
      <c r="J79">
        <f>INDEX('GIS-Standards'!$O$2:$O$305,MATCH(B79,'GIS-Standards'!$B$2:$B$305,0))</f>
        <v>0</v>
      </c>
      <c r="K79" t="str">
        <f>INDEX('GIS-Standards'!$O$2:$O$305,MATCH(C79,'GIS-Standards'!$B$2:$B$305,0))</f>
        <v>ISO/TC 211</v>
      </c>
      <c r="M79" t="s">
        <v>525</v>
      </c>
      <c r="N79">
        <f>INDEX('GIS-Standards'!$I$2:$I$305,MATCH(B79,'GIS-Standards'!$B$2:$B$305,0))</f>
        <v>0</v>
      </c>
      <c r="O79">
        <f>INDEX('GIS-Standards'!$I$2:$I$305,MATCH(C79,'GIS-Standards'!$B$2:$B$305,0))</f>
        <v>0</v>
      </c>
      <c r="P79" t="b">
        <f>AND(TableRelationships12[[#This Row],[Source Type]]="BIM",TableRelationships12[[#This Row],[Target Type]]="BIM")</f>
        <v>0</v>
      </c>
      <c r="Q79">
        <f t="shared" si="3"/>
        <v>1</v>
      </c>
      <c r="S79">
        <f t="shared" si="4"/>
        <v>1</v>
      </c>
      <c r="T79" s="102" t="str">
        <f>IF(TableRelationships12[[#This Row],[Rank Pedro]]="Low","linkCategory1",IF(TableRelationships12[[#This Row],[Rank Pedro]]="Medium","linkCategory2",IF(TableRelationships12[[#This Row],[Rank Pedro]]="High","linkCategory3","")))</f>
        <v/>
      </c>
      <c r="U79" s="102" t="str">
        <f>IF(TableRelationships12[[#This Row],[Rank Pedro]]="Low","Pink",IF(TableRelationships12[[#This Row],[Rank Pedro]]="Medium","Purple",IF(TableRelationships12[[#This Row],[Rank Pedro]]="High","Brown","")))</f>
        <v/>
      </c>
      <c r="V79" s="4" t="e">
        <f>MAX(INDEX(Standards!$F$2:$F$296,MATCH(B79,Standards!$B$2:$B$296,0)),INDEX(Standards!$F$2:$F$296,MATCH(C79,Standards!$B$2:$B$296,0)))</f>
        <v>#N/A</v>
      </c>
      <c r="W79" t="str">
        <f t="shared" si="5"/>
        <v>#2f89d1</v>
      </c>
    </row>
    <row r="80" spans="1:23" x14ac:dyDescent="0.5">
      <c r="A80" s="54">
        <v>79</v>
      </c>
      <c r="B80" s="90" t="s">
        <v>629</v>
      </c>
      <c r="C80" t="s">
        <v>310</v>
      </c>
      <c r="D80" s="1"/>
      <c r="E80" s="112">
        <v>2003.02</v>
      </c>
      <c r="F80" s="112">
        <v>2023.08</v>
      </c>
      <c r="G80" s="107" t="s">
        <v>670</v>
      </c>
      <c r="H80">
        <f>INDEX('GIS-Standards'!$A$2:$A$305,MATCH(B80,'GIS-Standards'!$B$2:$B$305,0))</f>
        <v>4</v>
      </c>
      <c r="I80">
        <f>INDEX('GIS-Standards'!$A$2:$A$305,MATCH(C80,'GIS-Standards'!$B$2:$B$305,0))</f>
        <v>20</v>
      </c>
      <c r="J80">
        <f>INDEX('GIS-Standards'!$O$2:$O$305,MATCH(B80,'GIS-Standards'!$B$2:$B$305,0))</f>
        <v>0</v>
      </c>
      <c r="K80" t="str">
        <f>INDEX('GIS-Standards'!$O$2:$O$305,MATCH(C80,'GIS-Standards'!$B$2:$B$305,0))</f>
        <v>ISO/TC 211</v>
      </c>
      <c r="M80" t="s">
        <v>525</v>
      </c>
      <c r="N80">
        <f>INDEX('GIS-Standards'!$I$2:$I$305,MATCH(B80,'GIS-Standards'!$B$2:$B$305,0))</f>
        <v>0</v>
      </c>
      <c r="O80" t="str">
        <f>INDEX('GIS-Standards'!$I$2:$I$305,MATCH(C80,'GIS-Standards'!$B$2:$B$305,0))</f>
        <v>08.2023</v>
      </c>
      <c r="P80" t="b">
        <f>AND(TableRelationships12[[#This Row],[Source Type]]="BIM",TableRelationships12[[#This Row],[Target Type]]="BIM")</f>
        <v>0</v>
      </c>
      <c r="Q80">
        <f t="shared" si="3"/>
        <v>1</v>
      </c>
      <c r="S80">
        <f t="shared" si="4"/>
        <v>1</v>
      </c>
      <c r="T80" s="102" t="str">
        <f>IF(TableRelationships12[[#This Row],[Rank Pedro]]="Low","linkCategory1",IF(TableRelationships12[[#This Row],[Rank Pedro]]="Medium","linkCategory2",IF(TableRelationships12[[#This Row],[Rank Pedro]]="High","linkCategory3","")))</f>
        <v/>
      </c>
      <c r="U80" s="102" t="str">
        <f>IF(TableRelationships12[[#This Row],[Rank Pedro]]="Low","Pink",IF(TableRelationships12[[#This Row],[Rank Pedro]]="Medium","Purple",IF(TableRelationships12[[#This Row],[Rank Pedro]]="High","Brown","")))</f>
        <v/>
      </c>
      <c r="V80" s="4" t="e">
        <f>MAX(INDEX(Standards!$F$2:$F$296,MATCH(B80,Standards!$B$2:$B$296,0)),INDEX(Standards!$F$2:$F$296,MATCH(C80,Standards!$B$2:$B$296,0)))</f>
        <v>#N/A</v>
      </c>
      <c r="W80" t="str">
        <f t="shared" si="5"/>
        <v>#2f89d1</v>
      </c>
    </row>
    <row r="81" spans="1:23" x14ac:dyDescent="0.5">
      <c r="A81" s="54">
        <v>80</v>
      </c>
      <c r="B81" s="90" t="s">
        <v>629</v>
      </c>
      <c r="C81" t="s">
        <v>312</v>
      </c>
      <c r="D81" s="1"/>
      <c r="E81" s="112">
        <v>2003.1</v>
      </c>
      <c r="F81" s="112">
        <v>2019.02</v>
      </c>
      <c r="G81" s="107" t="s">
        <v>670</v>
      </c>
      <c r="H81">
        <f>INDEX('GIS-Standards'!$A$2:$A$305,MATCH(B81,'GIS-Standards'!$B$2:$B$305,0))</f>
        <v>4</v>
      </c>
      <c r="I81">
        <f>INDEX('GIS-Standards'!$A$2:$A$305,MATCH(C81,'GIS-Standards'!$B$2:$B$305,0))</f>
        <v>21</v>
      </c>
      <c r="J81">
        <f>INDEX('GIS-Standards'!$O$2:$O$305,MATCH(B81,'GIS-Standards'!$B$2:$B$305,0))</f>
        <v>0</v>
      </c>
      <c r="K81" t="str">
        <f>INDEX('GIS-Standards'!$O$2:$O$305,MATCH(C81,'GIS-Standards'!$B$2:$B$305,0))</f>
        <v>ISO/TC 211</v>
      </c>
      <c r="M81" t="s">
        <v>525</v>
      </c>
      <c r="N81">
        <f>INDEX('GIS-Standards'!$I$2:$I$305,MATCH(B81,'GIS-Standards'!$B$2:$B$305,0))</f>
        <v>0</v>
      </c>
      <c r="O81">
        <f>INDEX('GIS-Standards'!$I$2:$I$305,MATCH(C81,'GIS-Standards'!$B$2:$B$305,0))</f>
        <v>0</v>
      </c>
      <c r="P81" t="b">
        <f>AND(TableRelationships12[[#This Row],[Source Type]]="BIM",TableRelationships12[[#This Row],[Target Type]]="BIM")</f>
        <v>0</v>
      </c>
      <c r="Q81">
        <f t="shared" si="3"/>
        <v>1</v>
      </c>
      <c r="S81">
        <f t="shared" si="4"/>
        <v>1</v>
      </c>
      <c r="T81" s="102" t="str">
        <f>IF(TableRelationships12[[#This Row],[Rank Pedro]]="Low","linkCategory1",IF(TableRelationships12[[#This Row],[Rank Pedro]]="Medium","linkCategory2",IF(TableRelationships12[[#This Row],[Rank Pedro]]="High","linkCategory3","")))</f>
        <v/>
      </c>
      <c r="U81" s="102" t="str">
        <f>IF(TableRelationships12[[#This Row],[Rank Pedro]]="Low","Pink",IF(TableRelationships12[[#This Row],[Rank Pedro]]="Medium","Purple",IF(TableRelationships12[[#This Row],[Rank Pedro]]="High","Brown","")))</f>
        <v/>
      </c>
      <c r="V81" s="4" t="e">
        <f>MAX(INDEX(Standards!$F$2:$F$296,MATCH(B81,Standards!$B$2:$B$296,0)),INDEX(Standards!$F$2:$F$296,MATCH(C81,Standards!$B$2:$B$296,0)))</f>
        <v>#N/A</v>
      </c>
      <c r="W81" t="str">
        <f t="shared" si="5"/>
        <v>#2f89d1</v>
      </c>
    </row>
    <row r="82" spans="1:23" x14ac:dyDescent="0.5">
      <c r="A82" s="54">
        <v>81</v>
      </c>
      <c r="B82" s="90" t="s">
        <v>629</v>
      </c>
      <c r="C82" t="s">
        <v>348</v>
      </c>
      <c r="D82" s="1" t="s">
        <v>1151</v>
      </c>
      <c r="E82" s="113">
        <v>2013.12</v>
      </c>
      <c r="F82" s="113">
        <v>2023.04</v>
      </c>
      <c r="G82" s="107" t="s">
        <v>670</v>
      </c>
      <c r="H82">
        <f>INDEX('GIS-Standards'!$A$2:$A$305,MATCH(B82,'GIS-Standards'!$B$2:$B$305,0))</f>
        <v>4</v>
      </c>
      <c r="I82">
        <f>INDEX('GIS-Standards'!$A$2:$A$305,MATCH(C82,'GIS-Standards'!$B$2:$B$305,0))</f>
        <v>66</v>
      </c>
      <c r="J82">
        <f>INDEX('GIS-Standards'!$O$2:$O$305,MATCH(B82,'GIS-Standards'!$B$2:$B$305,0))</f>
        <v>0</v>
      </c>
      <c r="K82" t="str">
        <f>INDEX('GIS-Standards'!$O$2:$O$305,MATCH(C82,'GIS-Standards'!$B$2:$B$305,0))</f>
        <v>ISO/TC 211</v>
      </c>
      <c r="M82" t="s">
        <v>525</v>
      </c>
      <c r="N82">
        <f>INDEX('GIS-Standards'!$I$2:$I$305,MATCH(B82,'GIS-Standards'!$B$2:$B$305,0))</f>
        <v>0</v>
      </c>
      <c r="O82">
        <f>INDEX('GIS-Standards'!$I$2:$I$305,MATCH(C82,'GIS-Standards'!$B$2:$B$305,0))</f>
        <v>0</v>
      </c>
      <c r="P82" t="b">
        <f>AND(TableRelationships12[[#This Row],[Source Type]]="BIM",TableRelationships12[[#This Row],[Target Type]]="BIM")</f>
        <v>0</v>
      </c>
      <c r="Q82">
        <f t="shared" si="3"/>
        <v>1</v>
      </c>
      <c r="S82">
        <f t="shared" si="4"/>
        <v>1</v>
      </c>
      <c r="T82" s="102" t="str">
        <f>IF(TableRelationships12[[#This Row],[Rank Pedro]]="Low","linkCategory1",IF(TableRelationships12[[#This Row],[Rank Pedro]]="Medium","linkCategory2",IF(TableRelationships12[[#This Row],[Rank Pedro]]="High","linkCategory3","")))</f>
        <v/>
      </c>
      <c r="U82" s="102" t="str">
        <f>IF(TableRelationships12[[#This Row],[Rank Pedro]]="Low","Pink",IF(TableRelationships12[[#This Row],[Rank Pedro]]="Medium","Purple",IF(TableRelationships12[[#This Row],[Rank Pedro]]="High","Brown","")))</f>
        <v/>
      </c>
      <c r="V82" s="4" t="e">
        <f>MAX(INDEX(Standards!$F$2:$F$296,MATCH(B82,Standards!$B$2:$B$296,0)),INDEX(Standards!$F$2:$F$296,MATCH(C82,Standards!$B$2:$B$296,0)))</f>
        <v>#N/A</v>
      </c>
      <c r="W82" t="str">
        <f t="shared" si="5"/>
        <v>#2f89d1</v>
      </c>
    </row>
    <row r="83" spans="1:23" x14ac:dyDescent="0.5">
      <c r="A83" s="54">
        <v>82</v>
      </c>
      <c r="B83" s="90" t="s">
        <v>629</v>
      </c>
      <c r="C83" t="s">
        <v>348</v>
      </c>
      <c r="D83" s="1" t="s">
        <v>1098</v>
      </c>
      <c r="E83" s="113">
        <v>2013.12</v>
      </c>
      <c r="F83" s="113">
        <v>2023.04</v>
      </c>
      <c r="G83" s="107" t="s">
        <v>670</v>
      </c>
      <c r="H83">
        <f>INDEX('GIS-Standards'!$A$2:$A$305,MATCH(B83,'GIS-Standards'!$B$2:$B$305,0))</f>
        <v>4</v>
      </c>
      <c r="I83">
        <f>INDEX('GIS-Standards'!$A$2:$A$305,MATCH(C83,'GIS-Standards'!$B$2:$B$305,0))</f>
        <v>66</v>
      </c>
      <c r="J83">
        <f>INDEX('GIS-Standards'!$O$2:$O$305,MATCH(B83,'GIS-Standards'!$B$2:$B$305,0))</f>
        <v>0</v>
      </c>
      <c r="K83" t="str">
        <f>INDEX('GIS-Standards'!$O$2:$O$305,MATCH(C83,'GIS-Standards'!$B$2:$B$305,0))</f>
        <v>ISO/TC 211</v>
      </c>
      <c r="M83" t="s">
        <v>525</v>
      </c>
      <c r="N83">
        <f>INDEX('GIS-Standards'!$I$2:$I$305,MATCH(B83,'GIS-Standards'!$B$2:$B$305,0))</f>
        <v>0</v>
      </c>
      <c r="O83">
        <f>INDEX('GIS-Standards'!$I$2:$I$305,MATCH(C83,'GIS-Standards'!$B$2:$B$305,0))</f>
        <v>0</v>
      </c>
      <c r="P83" t="b">
        <f>AND(TableRelationships12[[#This Row],[Source Type]]="BIM",TableRelationships12[[#This Row],[Target Type]]="BIM")</f>
        <v>0</v>
      </c>
      <c r="Q83">
        <f t="shared" si="3"/>
        <v>1</v>
      </c>
      <c r="S83">
        <f t="shared" si="4"/>
        <v>1</v>
      </c>
      <c r="T83" s="102" t="str">
        <f>IF(TableRelationships12[[#This Row],[Rank Pedro]]="Low","linkCategory1",IF(TableRelationships12[[#This Row],[Rank Pedro]]="Medium","linkCategory2",IF(TableRelationships12[[#This Row],[Rank Pedro]]="High","linkCategory3","")))</f>
        <v/>
      </c>
      <c r="U83" s="102" t="str">
        <f>IF(TableRelationships12[[#This Row],[Rank Pedro]]="Low","Pink",IF(TableRelationships12[[#This Row],[Rank Pedro]]="Medium","Purple",IF(TableRelationships12[[#This Row],[Rank Pedro]]="High","Brown","")))</f>
        <v/>
      </c>
      <c r="V83" s="4" t="e">
        <f>MAX(INDEX(Standards!$F$2:$F$296,MATCH(B83,Standards!$B$2:$B$296,0)),INDEX(Standards!$F$2:$F$296,MATCH(C83,Standards!$B$2:$B$296,0)))</f>
        <v>#N/A</v>
      </c>
      <c r="W83" t="str">
        <f t="shared" si="5"/>
        <v>#2f89d1</v>
      </c>
    </row>
    <row r="84" spans="1:23" x14ac:dyDescent="0.5">
      <c r="A84" s="54">
        <v>83</v>
      </c>
      <c r="B84" s="90" t="s">
        <v>629</v>
      </c>
      <c r="C84" t="s">
        <v>314</v>
      </c>
      <c r="D84" s="1" t="s">
        <v>1099</v>
      </c>
      <c r="E84" s="112">
        <v>2003.05</v>
      </c>
      <c r="F84" s="112">
        <v>2020.11</v>
      </c>
      <c r="G84" s="107" t="s">
        <v>670</v>
      </c>
      <c r="H84">
        <f>INDEX('GIS-Standards'!$A$2:$A$305,MATCH(B84,'GIS-Standards'!$B$2:$B$305,0))</f>
        <v>4</v>
      </c>
      <c r="I84">
        <f>INDEX('GIS-Standards'!$A$2:$A$305,MATCH(C84,'GIS-Standards'!$B$2:$B$305,0))</f>
        <v>22</v>
      </c>
      <c r="J84">
        <f>INDEX('GIS-Standards'!$O$2:$O$305,MATCH(B84,'GIS-Standards'!$B$2:$B$305,0))</f>
        <v>0</v>
      </c>
      <c r="K84" t="str">
        <f>INDEX('GIS-Standards'!$O$2:$O$305,MATCH(C84,'GIS-Standards'!$B$2:$B$305,0))</f>
        <v>ISO/TC 211</v>
      </c>
      <c r="M84" t="s">
        <v>525</v>
      </c>
      <c r="N84">
        <f>INDEX('GIS-Standards'!$I$2:$I$305,MATCH(B84,'GIS-Standards'!$B$2:$B$305,0))</f>
        <v>0</v>
      </c>
      <c r="O84" t="str">
        <f>INDEX('GIS-Standards'!$I$2:$I$305,MATCH(C84,'GIS-Standards'!$B$2:$B$305,0))</f>
        <v>12.2020</v>
      </c>
      <c r="P84" t="b">
        <f>AND(TableRelationships12[[#This Row],[Source Type]]="BIM",TableRelationships12[[#This Row],[Target Type]]="BIM")</f>
        <v>0</v>
      </c>
      <c r="Q84">
        <f t="shared" si="3"/>
        <v>1</v>
      </c>
      <c r="S84">
        <f t="shared" si="4"/>
        <v>1</v>
      </c>
      <c r="T84" s="102" t="str">
        <f>IF(TableRelationships12[[#This Row],[Rank Pedro]]="Low","linkCategory1",IF(TableRelationships12[[#This Row],[Rank Pedro]]="Medium","linkCategory2",IF(TableRelationships12[[#This Row],[Rank Pedro]]="High","linkCategory3","")))</f>
        <v/>
      </c>
      <c r="U84" s="102" t="str">
        <f>IF(TableRelationships12[[#This Row],[Rank Pedro]]="Low","Pink",IF(TableRelationships12[[#This Row],[Rank Pedro]]="Medium","Purple",IF(TableRelationships12[[#This Row],[Rank Pedro]]="High","Brown","")))</f>
        <v/>
      </c>
      <c r="V84" s="4" t="e">
        <f>MAX(INDEX(Standards!$F$2:$F$296,MATCH(B84,Standards!$B$2:$B$296,0)),INDEX(Standards!$F$2:$F$296,MATCH(C84,Standards!$B$2:$B$296,0)))</f>
        <v>#N/A</v>
      </c>
      <c r="W84" t="str">
        <f t="shared" si="5"/>
        <v>#2f89d1</v>
      </c>
    </row>
    <row r="85" spans="1:23" x14ac:dyDescent="0.5">
      <c r="A85" s="54">
        <v>84</v>
      </c>
      <c r="B85" s="90" t="s">
        <v>629</v>
      </c>
      <c r="C85" t="s">
        <v>1043</v>
      </c>
      <c r="D85" s="1"/>
      <c r="E85" s="112">
        <v>2004.07</v>
      </c>
      <c r="F85" s="112">
        <v>2025.04</v>
      </c>
      <c r="G85" s="107" t="s">
        <v>670</v>
      </c>
      <c r="H85">
        <f>INDEX('GIS-Standards'!$A$2:$A$305,MATCH(B85,'GIS-Standards'!$B$2:$B$305,0))</f>
        <v>4</v>
      </c>
      <c r="I85">
        <f>INDEX('GIS-Standards'!$A$2:$A$305,MATCH(C85,'GIS-Standards'!$B$2:$B$305,0))</f>
        <v>25</v>
      </c>
      <c r="J85">
        <f>INDEX('GIS-Standards'!$O$2:$O$305,MATCH(B85,'GIS-Standards'!$B$2:$B$305,0))</f>
        <v>0</v>
      </c>
      <c r="K85" t="str">
        <f>INDEX('GIS-Standards'!$O$2:$O$305,MATCH(C85,'GIS-Standards'!$B$2:$B$305,0))</f>
        <v>ISO/TC 211</v>
      </c>
      <c r="M85" t="s">
        <v>525</v>
      </c>
      <c r="N85">
        <f>INDEX('GIS-Standards'!$I$2:$I$305,MATCH(B85,'GIS-Standards'!$B$2:$B$305,0))</f>
        <v>0</v>
      </c>
      <c r="O85">
        <f>INDEX('GIS-Standards'!$I$2:$I$305,MATCH(C85,'GIS-Standards'!$B$2:$B$305,0))</f>
        <v>0</v>
      </c>
      <c r="P85" t="b">
        <f>AND(TableRelationships12[[#This Row],[Source Type]]="BIM",TableRelationships12[[#This Row],[Target Type]]="BIM")</f>
        <v>0</v>
      </c>
      <c r="Q85">
        <f t="shared" si="3"/>
        <v>1</v>
      </c>
      <c r="S85">
        <f t="shared" si="4"/>
        <v>1</v>
      </c>
      <c r="T85" s="102" t="str">
        <f>IF(TableRelationships12[[#This Row],[Rank Pedro]]="Low","linkCategory1",IF(TableRelationships12[[#This Row],[Rank Pedro]]="Medium","linkCategory2",IF(TableRelationships12[[#This Row],[Rank Pedro]]="High","linkCategory3","")))</f>
        <v/>
      </c>
      <c r="U85" s="102" t="str">
        <f>IF(TableRelationships12[[#This Row],[Rank Pedro]]="Low","Pink",IF(TableRelationships12[[#This Row],[Rank Pedro]]="Medium","Purple",IF(TableRelationships12[[#This Row],[Rank Pedro]]="High","Brown","")))</f>
        <v/>
      </c>
      <c r="V85" s="4" t="e">
        <f>MAX(INDEX(Standards!$F$2:$F$296,MATCH(B85,Standards!$B$2:$B$296,0)),INDEX(Standards!$F$2:$F$296,MATCH(C85,Standards!$B$2:$B$296,0)))</f>
        <v>#N/A</v>
      </c>
      <c r="W85" t="str">
        <f t="shared" si="5"/>
        <v>#2f89d1</v>
      </c>
    </row>
    <row r="86" spans="1:23" x14ac:dyDescent="0.5">
      <c r="A86" s="54">
        <v>85</v>
      </c>
      <c r="B86" s="90" t="s">
        <v>629</v>
      </c>
      <c r="C86" t="s">
        <v>1044</v>
      </c>
      <c r="D86" s="1"/>
      <c r="E86" s="112">
        <v>2005.06</v>
      </c>
      <c r="F86" s="112">
        <v>2012.12</v>
      </c>
      <c r="G86" s="107" t="s">
        <v>670</v>
      </c>
      <c r="H86">
        <f>INDEX('GIS-Standards'!$A$2:$A$305,MATCH(B86,'GIS-Standards'!$B$2:$B$305,0))</f>
        <v>4</v>
      </c>
      <c r="I86">
        <f>INDEX('GIS-Standards'!$A$2:$A$305,MATCH(C86,'GIS-Standards'!$B$2:$B$305,0))</f>
        <v>26</v>
      </c>
      <c r="J86">
        <f>INDEX('GIS-Standards'!$O$2:$O$305,MATCH(B86,'GIS-Standards'!$B$2:$B$305,0))</f>
        <v>0</v>
      </c>
      <c r="K86" t="str">
        <f>INDEX('GIS-Standards'!$O$2:$O$305,MATCH(C86,'GIS-Standards'!$B$2:$B$305,0))</f>
        <v>ISO/TC 211</v>
      </c>
      <c r="M86" t="s">
        <v>525</v>
      </c>
      <c r="N86">
        <f>INDEX('GIS-Standards'!$I$2:$I$305,MATCH(B86,'GIS-Standards'!$B$2:$B$305,0))</f>
        <v>0</v>
      </c>
      <c r="O86">
        <f>INDEX('GIS-Standards'!$I$2:$I$305,MATCH(C86,'GIS-Standards'!$B$2:$B$305,0))</f>
        <v>0</v>
      </c>
      <c r="P86" t="b">
        <f>AND(TableRelationships12[[#This Row],[Source Type]]="BIM",TableRelationships12[[#This Row],[Target Type]]="BIM")</f>
        <v>0</v>
      </c>
      <c r="Q86">
        <f t="shared" si="3"/>
        <v>1</v>
      </c>
      <c r="S86">
        <f t="shared" si="4"/>
        <v>1</v>
      </c>
      <c r="T86" s="102" t="str">
        <f>IF(TableRelationships12[[#This Row],[Rank Pedro]]="Low","linkCategory1",IF(TableRelationships12[[#This Row],[Rank Pedro]]="Medium","linkCategory2",IF(TableRelationships12[[#This Row],[Rank Pedro]]="High","linkCategory3","")))</f>
        <v/>
      </c>
      <c r="U86" s="102" t="str">
        <f>IF(TableRelationships12[[#This Row],[Rank Pedro]]="Low","Pink",IF(TableRelationships12[[#This Row],[Rank Pedro]]="Medium","Purple",IF(TableRelationships12[[#This Row],[Rank Pedro]]="High","Brown","")))</f>
        <v/>
      </c>
      <c r="V86" s="4" t="e">
        <f>MAX(INDEX(Standards!$F$2:$F$296,MATCH(B86,Standards!$B$2:$B$296,0)),INDEX(Standards!$F$2:$F$296,MATCH(C86,Standards!$B$2:$B$296,0)))</f>
        <v>#N/A</v>
      </c>
      <c r="W86" t="str">
        <f t="shared" si="5"/>
        <v>#2f89d1</v>
      </c>
    </row>
    <row r="87" spans="1:23" x14ac:dyDescent="0.5">
      <c r="A87" s="54">
        <v>86</v>
      </c>
      <c r="B87" s="90" t="s">
        <v>629</v>
      </c>
      <c r="C87" t="s">
        <v>316</v>
      </c>
      <c r="D87" s="1"/>
      <c r="E87" s="112">
        <v>2005.07</v>
      </c>
      <c r="F87" s="112">
        <v>2011.1</v>
      </c>
      <c r="G87" s="107" t="s">
        <v>670</v>
      </c>
      <c r="H87">
        <f>INDEX('GIS-Standards'!$A$2:$A$305,MATCH(B87,'GIS-Standards'!$B$2:$B$305,0))</f>
        <v>4</v>
      </c>
      <c r="I87">
        <f>INDEX('GIS-Standards'!$A$2:$A$305,MATCH(C87,'GIS-Standards'!$B$2:$B$305,0))</f>
        <v>27</v>
      </c>
      <c r="J87">
        <f>INDEX('GIS-Standards'!$O$2:$O$305,MATCH(B87,'GIS-Standards'!$B$2:$B$305,0))</f>
        <v>0</v>
      </c>
      <c r="K87" t="str">
        <f>INDEX('GIS-Standards'!$O$2:$O$305,MATCH(C87,'GIS-Standards'!$B$2:$B$305,0))</f>
        <v>ISO/TC 211</v>
      </c>
      <c r="M87" t="s">
        <v>525</v>
      </c>
      <c r="N87">
        <f>INDEX('GIS-Standards'!$I$2:$I$305,MATCH(B87,'GIS-Standards'!$B$2:$B$305,0))</f>
        <v>0</v>
      </c>
      <c r="O87">
        <f>INDEX('GIS-Standards'!$I$2:$I$305,MATCH(C87,'GIS-Standards'!$B$2:$B$305,0))</f>
        <v>0</v>
      </c>
      <c r="P87" t="b">
        <f>AND(TableRelationships12[[#This Row],[Source Type]]="BIM",TableRelationships12[[#This Row],[Target Type]]="BIM")</f>
        <v>0</v>
      </c>
      <c r="Q87">
        <f t="shared" si="3"/>
        <v>1</v>
      </c>
      <c r="S87">
        <f t="shared" si="4"/>
        <v>1</v>
      </c>
      <c r="T87" s="102" t="str">
        <f>IF(TableRelationships12[[#This Row],[Rank Pedro]]="Low","linkCategory1",IF(TableRelationships12[[#This Row],[Rank Pedro]]="Medium","linkCategory2",IF(TableRelationships12[[#This Row],[Rank Pedro]]="High","linkCategory3","")))</f>
        <v/>
      </c>
      <c r="U87" s="102" t="str">
        <f>IF(TableRelationships12[[#This Row],[Rank Pedro]]="Low","Pink",IF(TableRelationships12[[#This Row],[Rank Pedro]]="Medium","Purple",IF(TableRelationships12[[#This Row],[Rank Pedro]]="High","Brown","")))</f>
        <v/>
      </c>
      <c r="V87" s="4" t="e">
        <f>MAX(INDEX(Standards!$F$2:$F$296,MATCH(B87,Standards!$B$2:$B$296,0)),INDEX(Standards!$F$2:$F$296,MATCH(C87,Standards!$B$2:$B$296,0)))</f>
        <v>#N/A</v>
      </c>
      <c r="W87" t="str">
        <f t="shared" si="5"/>
        <v>#2f89d1</v>
      </c>
    </row>
    <row r="88" spans="1:23" x14ac:dyDescent="0.5">
      <c r="A88" s="54">
        <v>87</v>
      </c>
      <c r="B88" s="90" t="s">
        <v>629</v>
      </c>
      <c r="C88" t="s">
        <v>318</v>
      </c>
      <c r="D88" s="1"/>
      <c r="E88" s="112">
        <v>2005.02</v>
      </c>
      <c r="F88" s="112">
        <v>2016.01</v>
      </c>
      <c r="G88" s="107" t="s">
        <v>670</v>
      </c>
      <c r="H88">
        <f>INDEX('GIS-Standards'!$A$2:$A$305,MATCH(B88,'GIS-Standards'!$B$2:$B$305,0))</f>
        <v>4</v>
      </c>
      <c r="I88">
        <f>INDEX('GIS-Standards'!$A$2:$A$305,MATCH(C88,'GIS-Standards'!$B$2:$B$305,0))</f>
        <v>28</v>
      </c>
      <c r="J88">
        <f>INDEX('GIS-Standards'!$O$2:$O$305,MATCH(B88,'GIS-Standards'!$B$2:$B$305,0))</f>
        <v>0</v>
      </c>
      <c r="K88" t="str">
        <f>INDEX('GIS-Standards'!$O$2:$O$305,MATCH(C88,'GIS-Standards'!$B$2:$B$305,0))</f>
        <v>ISO/TC 211</v>
      </c>
      <c r="M88" t="s">
        <v>525</v>
      </c>
      <c r="N88">
        <f>INDEX('GIS-Standards'!$I$2:$I$305,MATCH(B88,'GIS-Standards'!$B$2:$B$305,0))</f>
        <v>0</v>
      </c>
      <c r="O88">
        <f>INDEX('GIS-Standards'!$I$2:$I$305,MATCH(C88,'GIS-Standards'!$B$2:$B$305,0))</f>
        <v>0</v>
      </c>
      <c r="P88" t="b">
        <f>AND(TableRelationships12[[#This Row],[Source Type]]="BIM",TableRelationships12[[#This Row],[Target Type]]="BIM")</f>
        <v>0</v>
      </c>
      <c r="Q88">
        <f t="shared" si="3"/>
        <v>1</v>
      </c>
      <c r="S88">
        <f t="shared" si="4"/>
        <v>1</v>
      </c>
      <c r="T88" s="102" t="str">
        <f>IF(TableRelationships12[[#This Row],[Rank Pedro]]="Low","linkCategory1",IF(TableRelationships12[[#This Row],[Rank Pedro]]="Medium","linkCategory2",IF(TableRelationships12[[#This Row],[Rank Pedro]]="High","linkCategory3","")))</f>
        <v/>
      </c>
      <c r="U88" s="102" t="str">
        <f>IF(TableRelationships12[[#This Row],[Rank Pedro]]="Low","Pink",IF(TableRelationships12[[#This Row],[Rank Pedro]]="Medium","Purple",IF(TableRelationships12[[#This Row],[Rank Pedro]]="High","Brown","")))</f>
        <v/>
      </c>
      <c r="V88" s="4" t="e">
        <f>MAX(INDEX(Standards!$F$2:$F$296,MATCH(B88,Standards!$B$2:$B$296,0)),INDEX(Standards!$F$2:$F$296,MATCH(C88,Standards!$B$2:$B$296,0)))</f>
        <v>#N/A</v>
      </c>
      <c r="W88" t="str">
        <f t="shared" si="5"/>
        <v>#2f89d1</v>
      </c>
    </row>
    <row r="89" spans="1:23" x14ac:dyDescent="0.5">
      <c r="A89" s="54">
        <v>88</v>
      </c>
      <c r="B89" s="90" t="s">
        <v>630</v>
      </c>
      <c r="C89" t="s">
        <v>527</v>
      </c>
      <c r="D89" s="1"/>
      <c r="E89" s="94" t="s">
        <v>928</v>
      </c>
      <c r="F89" s="94" t="s">
        <v>928</v>
      </c>
      <c r="G89" s="90" t="s">
        <v>671</v>
      </c>
      <c r="H89">
        <f>INDEX('GIS-Standards'!$A$2:$A$305,MATCH(B89,'GIS-Standards'!$B$2:$B$305,0))</f>
        <v>5</v>
      </c>
      <c r="I89" t="e">
        <f>INDEX('GIS-Standards'!$A$2:$A$305,MATCH(C89,'GIS-Standards'!$B$2:$B$305,0))</f>
        <v>#N/A</v>
      </c>
      <c r="J89">
        <f>INDEX('GIS-Standards'!$O$2:$O$305,MATCH(B89,'GIS-Standards'!$B$2:$B$305,0))</f>
        <v>0</v>
      </c>
      <c r="K89" t="e">
        <f>INDEX('GIS-Standards'!$O$2:$O$305,MATCH(C89,'GIS-Standards'!$B$2:$B$305,0))</f>
        <v>#N/A</v>
      </c>
      <c r="M89" t="s">
        <v>237</v>
      </c>
      <c r="N89">
        <f>INDEX('GIS-Standards'!$I$2:$I$305,MATCH(B89,'GIS-Standards'!$B$2:$B$305,0))</f>
        <v>0</v>
      </c>
      <c r="O89" t="e">
        <f>INDEX('GIS-Standards'!$I$2:$I$305,MATCH(C89,'GIS-Standards'!$B$2:$B$305,0))</f>
        <v>#N/A</v>
      </c>
      <c r="P89" t="e">
        <f>AND(TableRelationships12[[#This Row],[Source Type]]="BIM",TableRelationships12[[#This Row],[Target Type]]="BIM")</f>
        <v>#N/A</v>
      </c>
      <c r="Q89">
        <f t="shared" si="3"/>
        <v>2</v>
      </c>
      <c r="S89">
        <f t="shared" si="4"/>
        <v>1</v>
      </c>
      <c r="T89" s="102" t="str">
        <f>IF(TableRelationships12[[#This Row],[Rank Pedro]]="Low","linkCategory1",IF(TableRelationships12[[#This Row],[Rank Pedro]]="Medium","linkCategory2",IF(TableRelationships12[[#This Row],[Rank Pedro]]="High","linkCategory3","")))</f>
        <v/>
      </c>
      <c r="U89" s="102" t="str">
        <f>IF(TableRelationships12[[#This Row],[Rank Pedro]]="Low","Pink",IF(TableRelationships12[[#This Row],[Rank Pedro]]="Medium","Purple",IF(TableRelationships12[[#This Row],[Rank Pedro]]="High","Brown","")))</f>
        <v/>
      </c>
      <c r="V89" s="4" t="e">
        <f>MAX(INDEX(Standards!$F$2:$F$296,MATCH(B89,Standards!$B$2:$B$296,0)),INDEX(Standards!$F$2:$F$296,MATCH(C89,Standards!$B$2:$B$296,0)))</f>
        <v>#N/A</v>
      </c>
      <c r="W89">
        <f t="shared" si="5"/>
        <v>1</v>
      </c>
    </row>
    <row r="90" spans="1:23" x14ac:dyDescent="0.5">
      <c r="A90" s="54">
        <v>89</v>
      </c>
      <c r="B90" s="90" t="s">
        <v>630</v>
      </c>
      <c r="C90" t="s">
        <v>300</v>
      </c>
      <c r="D90" s="1"/>
      <c r="E90" s="112">
        <v>2000.12</v>
      </c>
      <c r="F90" s="112">
        <v>2022.07</v>
      </c>
      <c r="G90" s="107" t="s">
        <v>670</v>
      </c>
      <c r="H90">
        <f>INDEX('GIS-Standards'!$A$2:$A$305,MATCH(B90,'GIS-Standards'!$B$2:$B$305,0))</f>
        <v>5</v>
      </c>
      <c r="I90">
        <f>INDEX('GIS-Standards'!$A$2:$A$305,MATCH(C90,'GIS-Standards'!$B$2:$B$305,0))</f>
        <v>14</v>
      </c>
      <c r="J90">
        <f>INDEX('GIS-Standards'!$O$2:$O$305,MATCH(B90,'GIS-Standards'!$B$2:$B$305,0))</f>
        <v>0</v>
      </c>
      <c r="K90" t="str">
        <f>INDEX('GIS-Standards'!$O$2:$O$305,MATCH(C90,'GIS-Standards'!$B$2:$B$305,0))</f>
        <v>ISO/TC 211</v>
      </c>
      <c r="M90" t="s">
        <v>524</v>
      </c>
      <c r="N90">
        <f>INDEX('GIS-Standards'!$I$2:$I$305,MATCH(B90,'GIS-Standards'!$B$2:$B$305,0))</f>
        <v>0</v>
      </c>
      <c r="O90">
        <f>INDEX('GIS-Standards'!$I$2:$I$305,MATCH(C90,'GIS-Standards'!$B$2:$B$305,0))</f>
        <v>0</v>
      </c>
      <c r="P90" t="b">
        <f>AND(TableRelationships12[[#This Row],[Source Type]]="BIM",TableRelationships12[[#This Row],[Target Type]]="BIM")</f>
        <v>0</v>
      </c>
      <c r="Q90">
        <f t="shared" si="3"/>
        <v>6</v>
      </c>
      <c r="S90">
        <f t="shared" si="4"/>
        <v>1</v>
      </c>
      <c r="T90" s="102" t="str">
        <f>IF(TableRelationships12[[#This Row],[Rank Pedro]]="Low","linkCategory1",IF(TableRelationships12[[#This Row],[Rank Pedro]]="Medium","linkCategory2",IF(TableRelationships12[[#This Row],[Rank Pedro]]="High","linkCategory3","")))</f>
        <v/>
      </c>
      <c r="U90" s="102" t="str">
        <f>IF(TableRelationships12[[#This Row],[Rank Pedro]]="Low","Pink",IF(TableRelationships12[[#This Row],[Rank Pedro]]="Medium","Purple",IF(TableRelationships12[[#This Row],[Rank Pedro]]="High","Brown","")))</f>
        <v/>
      </c>
      <c r="V90" s="4" t="e">
        <f>MAX(INDEX(Standards!$F$2:$F$296,MATCH(B90,Standards!$B$2:$B$296,0)),INDEX(Standards!$F$2:$F$296,MATCH(C90,Standards!$B$2:$B$296,0)))</f>
        <v>#N/A</v>
      </c>
      <c r="W90" t="str">
        <f t="shared" si="5"/>
        <v>#d6bf2a</v>
      </c>
    </row>
    <row r="91" spans="1:23" x14ac:dyDescent="0.5">
      <c r="A91" s="54">
        <v>90</v>
      </c>
      <c r="B91" s="90" t="s">
        <v>630</v>
      </c>
      <c r="C91" s="90" t="s">
        <v>626</v>
      </c>
      <c r="D91" s="91"/>
      <c r="E91" s="111">
        <v>2011.08</v>
      </c>
      <c r="F91" s="111">
        <v>2012.1</v>
      </c>
      <c r="G91" s="108" t="s">
        <v>1465</v>
      </c>
      <c r="H91">
        <f>INDEX('GIS-Standards'!$A$2:$A$305,MATCH(B91,'GIS-Standards'!$B$2:$B$305,0))</f>
        <v>5</v>
      </c>
      <c r="I91">
        <f>INDEX('GIS-Standards'!$A$2:$A$305,MATCH(C91,'GIS-Standards'!$B$2:$B$305,0))</f>
        <v>1</v>
      </c>
      <c r="J91">
        <f>INDEX('GIS-Standards'!$O$2:$O$305,MATCH(B91,'GIS-Standards'!$B$2:$B$305,0))</f>
        <v>0</v>
      </c>
      <c r="K91">
        <f>INDEX('GIS-Standards'!$O$2:$O$305,MATCH(C91,'GIS-Standards'!$B$2:$B$305,0))</f>
        <v>0</v>
      </c>
      <c r="M91" t="s">
        <v>525</v>
      </c>
      <c r="N91">
        <f>INDEX('GIS-Standards'!$I$2:$I$305,MATCH(B91,'GIS-Standards'!$B$2:$B$305,0))</f>
        <v>0</v>
      </c>
      <c r="O91">
        <f>INDEX('GIS-Standards'!$I$2:$I$305,MATCH(C91,'GIS-Standards'!$B$2:$B$305,0))</f>
        <v>0</v>
      </c>
      <c r="P91" t="b">
        <f>AND(TableRelationships12[[#This Row],[Source Type]]="BIM",TableRelationships12[[#This Row],[Target Type]]="BIM")</f>
        <v>0</v>
      </c>
      <c r="Q91">
        <f t="shared" si="3"/>
        <v>1</v>
      </c>
      <c r="S91">
        <f t="shared" si="4"/>
        <v>1</v>
      </c>
      <c r="T91" s="102" t="str">
        <f>IF(TableRelationships12[[#This Row],[Rank Pedro]]="Low","linkCategory1",IF(TableRelationships12[[#This Row],[Rank Pedro]]="Medium","linkCategory2",IF(TableRelationships12[[#This Row],[Rank Pedro]]="High","linkCategory3","")))</f>
        <v/>
      </c>
      <c r="U91" s="102" t="str">
        <f>IF(TableRelationships12[[#This Row],[Rank Pedro]]="Low","Pink",IF(TableRelationships12[[#This Row],[Rank Pedro]]="Medium","Purple",IF(TableRelationships12[[#This Row],[Rank Pedro]]="High","Brown","")))</f>
        <v/>
      </c>
      <c r="V91" s="4" t="e">
        <f>MAX(INDEX(Standards!$F$2:$F$296,MATCH(B91,Standards!$B$2:$B$296,0)),INDEX(Standards!$F$2:$F$296,MATCH(C91,Standards!$B$2:$B$296,0)))</f>
        <v>#N/A</v>
      </c>
      <c r="W91" t="str">
        <f t="shared" si="5"/>
        <v>#2f89d1</v>
      </c>
    </row>
    <row r="92" spans="1:23" x14ac:dyDescent="0.5">
      <c r="A92" s="54">
        <v>91</v>
      </c>
      <c r="B92" s="90" t="s">
        <v>630</v>
      </c>
      <c r="C92" s="90" t="s">
        <v>627</v>
      </c>
      <c r="D92" s="91"/>
      <c r="E92" s="111">
        <v>2011.08</v>
      </c>
      <c r="F92" s="111">
        <v>2012.1</v>
      </c>
      <c r="G92" s="108" t="s">
        <v>1465</v>
      </c>
      <c r="H92">
        <f>INDEX('GIS-Standards'!$A$2:$A$305,MATCH(B92,'GIS-Standards'!$B$2:$B$305,0))</f>
        <v>5</v>
      </c>
      <c r="I92">
        <f>INDEX('GIS-Standards'!$A$2:$A$305,MATCH(C92,'GIS-Standards'!$B$2:$B$305,0))</f>
        <v>2</v>
      </c>
      <c r="J92">
        <f>INDEX('GIS-Standards'!$O$2:$O$305,MATCH(B92,'GIS-Standards'!$B$2:$B$305,0))</f>
        <v>0</v>
      </c>
      <c r="K92">
        <f>INDEX('GIS-Standards'!$O$2:$O$305,MATCH(C92,'GIS-Standards'!$B$2:$B$305,0))</f>
        <v>0</v>
      </c>
      <c r="M92" t="s">
        <v>525</v>
      </c>
      <c r="N92">
        <f>INDEX('GIS-Standards'!$I$2:$I$305,MATCH(B92,'GIS-Standards'!$B$2:$B$305,0))</f>
        <v>0</v>
      </c>
      <c r="O92">
        <f>INDEX('GIS-Standards'!$I$2:$I$305,MATCH(C92,'GIS-Standards'!$B$2:$B$305,0))</f>
        <v>0</v>
      </c>
      <c r="P92" t="b">
        <f>AND(TableRelationships12[[#This Row],[Source Type]]="BIM",TableRelationships12[[#This Row],[Target Type]]="BIM")</f>
        <v>0</v>
      </c>
      <c r="Q92">
        <f t="shared" si="3"/>
        <v>1</v>
      </c>
      <c r="S92">
        <f t="shared" si="4"/>
        <v>1</v>
      </c>
      <c r="T92" s="102" t="str">
        <f>IF(TableRelationships12[[#This Row],[Rank Pedro]]="Low","linkCategory1",IF(TableRelationships12[[#This Row],[Rank Pedro]]="Medium","linkCategory2",IF(TableRelationships12[[#This Row],[Rank Pedro]]="High","linkCategory3","")))</f>
        <v/>
      </c>
      <c r="U92" s="102" t="str">
        <f>IF(TableRelationships12[[#This Row],[Rank Pedro]]="Low","Pink",IF(TableRelationships12[[#This Row],[Rank Pedro]]="Medium","Purple",IF(TableRelationships12[[#This Row],[Rank Pedro]]="High","Brown","")))</f>
        <v/>
      </c>
      <c r="V92" s="4" t="e">
        <f>MAX(INDEX(Standards!$F$2:$F$296,MATCH(B92,Standards!$B$2:$B$296,0)),INDEX(Standards!$F$2:$F$296,MATCH(C92,Standards!$B$2:$B$296,0)))</f>
        <v>#N/A</v>
      </c>
      <c r="W92" t="str">
        <f t="shared" si="5"/>
        <v>#2f89d1</v>
      </c>
    </row>
    <row r="93" spans="1:23" x14ac:dyDescent="0.5">
      <c r="A93" s="54">
        <v>92</v>
      </c>
      <c r="B93" s="90" t="s">
        <v>630</v>
      </c>
      <c r="C93" s="90" t="s">
        <v>628</v>
      </c>
      <c r="D93" s="91"/>
      <c r="E93" s="111">
        <v>2011.08</v>
      </c>
      <c r="F93" s="111">
        <v>2012.1</v>
      </c>
      <c r="G93" s="108" t="s">
        <v>1465</v>
      </c>
      <c r="H93">
        <f>INDEX('GIS-Standards'!$A$2:$A$305,MATCH(B93,'GIS-Standards'!$B$2:$B$305,0))</f>
        <v>5</v>
      </c>
      <c r="I93">
        <f>INDEX('GIS-Standards'!$A$2:$A$305,MATCH(C93,'GIS-Standards'!$B$2:$B$305,0))</f>
        <v>3</v>
      </c>
      <c r="J93">
        <f>INDEX('GIS-Standards'!$O$2:$O$305,MATCH(B93,'GIS-Standards'!$B$2:$B$305,0))</f>
        <v>0</v>
      </c>
      <c r="K93">
        <f>INDEX('GIS-Standards'!$O$2:$O$305,MATCH(C93,'GIS-Standards'!$B$2:$B$305,0))</f>
        <v>0</v>
      </c>
      <c r="M93" t="s">
        <v>525</v>
      </c>
      <c r="N93">
        <f>INDEX('GIS-Standards'!$I$2:$I$305,MATCH(B93,'GIS-Standards'!$B$2:$B$305,0))</f>
        <v>0</v>
      </c>
      <c r="O93">
        <f>INDEX('GIS-Standards'!$I$2:$I$305,MATCH(C93,'GIS-Standards'!$B$2:$B$305,0))</f>
        <v>0</v>
      </c>
      <c r="P93" t="b">
        <f>AND(TableRelationships12[[#This Row],[Source Type]]="BIM",TableRelationships12[[#This Row],[Target Type]]="BIM")</f>
        <v>0</v>
      </c>
      <c r="Q93">
        <f t="shared" si="3"/>
        <v>1</v>
      </c>
      <c r="S93">
        <f t="shared" si="4"/>
        <v>1</v>
      </c>
      <c r="T93" s="102" t="str">
        <f>IF(TableRelationships12[[#This Row],[Rank Pedro]]="Low","linkCategory1",IF(TableRelationships12[[#This Row],[Rank Pedro]]="Medium","linkCategory2",IF(TableRelationships12[[#This Row],[Rank Pedro]]="High","linkCategory3","")))</f>
        <v/>
      </c>
      <c r="U93" s="102" t="str">
        <f>IF(TableRelationships12[[#This Row],[Rank Pedro]]="Low","Pink",IF(TableRelationships12[[#This Row],[Rank Pedro]]="Medium","Purple",IF(TableRelationships12[[#This Row],[Rank Pedro]]="High","Brown","")))</f>
        <v/>
      </c>
      <c r="V93" s="4" t="e">
        <f>MAX(INDEX(Standards!$F$2:$F$296,MATCH(B93,Standards!$B$2:$B$296,0)),INDEX(Standards!$F$2:$F$296,MATCH(C93,Standards!$B$2:$B$296,0)))</f>
        <v>#N/A</v>
      </c>
      <c r="W93" t="str">
        <f t="shared" si="5"/>
        <v>#2f89d1</v>
      </c>
    </row>
    <row r="94" spans="1:23" x14ac:dyDescent="0.5">
      <c r="A94" s="54">
        <v>93</v>
      </c>
      <c r="B94" s="90" t="s">
        <v>630</v>
      </c>
      <c r="C94" s="90" t="s">
        <v>629</v>
      </c>
      <c r="D94" s="91"/>
      <c r="E94" s="111">
        <v>2013.07</v>
      </c>
      <c r="F94" s="111">
        <v>2013.07</v>
      </c>
      <c r="G94" s="108" t="s">
        <v>1465</v>
      </c>
      <c r="H94">
        <f>INDEX('GIS-Standards'!$A$2:$A$305,MATCH(B94,'GIS-Standards'!$B$2:$B$305,0))</f>
        <v>5</v>
      </c>
      <c r="I94">
        <f>INDEX('GIS-Standards'!$A$2:$A$305,MATCH(C94,'GIS-Standards'!$B$2:$B$305,0))</f>
        <v>4</v>
      </c>
      <c r="J94">
        <f>INDEX('GIS-Standards'!$O$2:$O$305,MATCH(B94,'GIS-Standards'!$B$2:$B$305,0))</f>
        <v>0</v>
      </c>
      <c r="K94">
        <f>INDEX('GIS-Standards'!$O$2:$O$305,MATCH(C94,'GIS-Standards'!$B$2:$B$305,0))</f>
        <v>0</v>
      </c>
      <c r="M94" t="s">
        <v>525</v>
      </c>
      <c r="N94">
        <f>INDEX('GIS-Standards'!$I$2:$I$305,MATCH(B94,'GIS-Standards'!$B$2:$B$305,0))</f>
        <v>0</v>
      </c>
      <c r="O94">
        <f>INDEX('GIS-Standards'!$I$2:$I$305,MATCH(C94,'GIS-Standards'!$B$2:$B$305,0))</f>
        <v>0</v>
      </c>
      <c r="P94" t="b">
        <f>AND(TableRelationships12[[#This Row],[Source Type]]="BIM",TableRelationships12[[#This Row],[Target Type]]="BIM")</f>
        <v>0</v>
      </c>
      <c r="Q94">
        <f t="shared" si="3"/>
        <v>1</v>
      </c>
      <c r="S94">
        <f t="shared" si="4"/>
        <v>1</v>
      </c>
      <c r="T94" s="102" t="str">
        <f>IF(TableRelationships12[[#This Row],[Rank Pedro]]="Low","linkCategory1",IF(TableRelationships12[[#This Row],[Rank Pedro]]="Medium","linkCategory2",IF(TableRelationships12[[#This Row],[Rank Pedro]]="High","linkCategory3","")))</f>
        <v/>
      </c>
      <c r="U94" s="102" t="str">
        <f>IF(TableRelationships12[[#This Row],[Rank Pedro]]="Low","Pink",IF(TableRelationships12[[#This Row],[Rank Pedro]]="Medium","Purple",IF(TableRelationships12[[#This Row],[Rank Pedro]]="High","Brown","")))</f>
        <v/>
      </c>
      <c r="V94" s="4" t="e">
        <f>MAX(INDEX(Standards!$F$2:$F$296,MATCH(B94,Standards!$B$2:$B$296,0)),INDEX(Standards!$F$2:$F$296,MATCH(C94,Standards!$B$2:$B$296,0)))</f>
        <v>#N/A</v>
      </c>
      <c r="W94" t="str">
        <f t="shared" si="5"/>
        <v>#2f89d1</v>
      </c>
    </row>
    <row r="95" spans="1:23" x14ac:dyDescent="0.5">
      <c r="A95" s="54">
        <v>94</v>
      </c>
      <c r="B95" s="90" t="s">
        <v>630</v>
      </c>
      <c r="C95" t="s">
        <v>310</v>
      </c>
      <c r="D95" s="1"/>
      <c r="E95" s="112">
        <v>2003.02</v>
      </c>
      <c r="F95" s="112">
        <v>2023.08</v>
      </c>
      <c r="G95" s="107" t="s">
        <v>670</v>
      </c>
      <c r="H95">
        <f>INDEX('GIS-Standards'!$A$2:$A$305,MATCH(B95,'GIS-Standards'!$B$2:$B$305,0))</f>
        <v>5</v>
      </c>
      <c r="I95">
        <f>INDEX('GIS-Standards'!$A$2:$A$305,MATCH(C95,'GIS-Standards'!$B$2:$B$305,0))</f>
        <v>20</v>
      </c>
      <c r="J95">
        <f>INDEX('GIS-Standards'!$O$2:$O$305,MATCH(B95,'GIS-Standards'!$B$2:$B$305,0))</f>
        <v>0</v>
      </c>
      <c r="K95" t="str">
        <f>INDEX('GIS-Standards'!$O$2:$O$305,MATCH(C95,'GIS-Standards'!$B$2:$B$305,0))</f>
        <v>ISO/TC 211</v>
      </c>
      <c r="M95" t="s">
        <v>525</v>
      </c>
      <c r="N95">
        <f>INDEX('GIS-Standards'!$I$2:$I$305,MATCH(B95,'GIS-Standards'!$B$2:$B$305,0))</f>
        <v>0</v>
      </c>
      <c r="O95" t="str">
        <f>INDEX('GIS-Standards'!$I$2:$I$305,MATCH(C95,'GIS-Standards'!$B$2:$B$305,0))</f>
        <v>08.2023</v>
      </c>
      <c r="P95" t="b">
        <f>AND(TableRelationships12[[#This Row],[Source Type]]="BIM",TableRelationships12[[#This Row],[Target Type]]="BIM")</f>
        <v>0</v>
      </c>
      <c r="Q95">
        <f t="shared" si="3"/>
        <v>1</v>
      </c>
      <c r="S95">
        <f t="shared" si="4"/>
        <v>1</v>
      </c>
      <c r="T95" s="102" t="str">
        <f>IF(TableRelationships12[[#This Row],[Rank Pedro]]="Low","linkCategory1",IF(TableRelationships12[[#This Row],[Rank Pedro]]="Medium","linkCategory2",IF(TableRelationships12[[#This Row],[Rank Pedro]]="High","linkCategory3","")))</f>
        <v/>
      </c>
      <c r="U95" s="102" t="str">
        <f>IF(TableRelationships12[[#This Row],[Rank Pedro]]="Low","Pink",IF(TableRelationships12[[#This Row],[Rank Pedro]]="Medium","Purple",IF(TableRelationships12[[#This Row],[Rank Pedro]]="High","Brown","")))</f>
        <v/>
      </c>
      <c r="V95" s="4" t="e">
        <f>MAX(INDEX(Standards!$F$2:$F$296,MATCH(B95,Standards!$B$2:$B$296,0)),INDEX(Standards!$F$2:$F$296,MATCH(C95,Standards!$B$2:$B$296,0)))</f>
        <v>#N/A</v>
      </c>
      <c r="W95" t="str">
        <f t="shared" si="5"/>
        <v>#2f89d1</v>
      </c>
    </row>
    <row r="96" spans="1:23" x14ac:dyDescent="0.5">
      <c r="A96" s="54">
        <v>95</v>
      </c>
      <c r="B96" s="90" t="s">
        <v>630</v>
      </c>
      <c r="C96" t="s">
        <v>316</v>
      </c>
      <c r="D96" s="1"/>
      <c r="E96" s="112">
        <v>2005.07</v>
      </c>
      <c r="F96" s="112">
        <v>2011.1</v>
      </c>
      <c r="G96" s="107" t="s">
        <v>670</v>
      </c>
      <c r="H96">
        <f>INDEX('GIS-Standards'!$A$2:$A$305,MATCH(B96,'GIS-Standards'!$B$2:$B$305,0))</f>
        <v>5</v>
      </c>
      <c r="I96">
        <f>INDEX('GIS-Standards'!$A$2:$A$305,MATCH(C96,'GIS-Standards'!$B$2:$B$305,0))</f>
        <v>27</v>
      </c>
      <c r="J96">
        <f>INDEX('GIS-Standards'!$O$2:$O$305,MATCH(B96,'GIS-Standards'!$B$2:$B$305,0))</f>
        <v>0</v>
      </c>
      <c r="K96" t="str">
        <f>INDEX('GIS-Standards'!$O$2:$O$305,MATCH(C96,'GIS-Standards'!$B$2:$B$305,0))</f>
        <v>ISO/TC 211</v>
      </c>
      <c r="M96" t="s">
        <v>525</v>
      </c>
      <c r="N96">
        <f>INDEX('GIS-Standards'!$I$2:$I$305,MATCH(B96,'GIS-Standards'!$B$2:$B$305,0))</f>
        <v>0</v>
      </c>
      <c r="O96">
        <f>INDEX('GIS-Standards'!$I$2:$I$305,MATCH(C96,'GIS-Standards'!$B$2:$B$305,0))</f>
        <v>0</v>
      </c>
      <c r="P96" t="b">
        <f>AND(TableRelationships12[[#This Row],[Source Type]]="BIM",TableRelationships12[[#This Row],[Target Type]]="BIM")</f>
        <v>0</v>
      </c>
      <c r="Q96">
        <f t="shared" si="3"/>
        <v>1</v>
      </c>
      <c r="S96">
        <f t="shared" si="4"/>
        <v>1</v>
      </c>
      <c r="T96" s="102" t="str">
        <f>IF(TableRelationships12[[#This Row],[Rank Pedro]]="Low","linkCategory1",IF(TableRelationships12[[#This Row],[Rank Pedro]]="Medium","linkCategory2",IF(TableRelationships12[[#This Row],[Rank Pedro]]="High","linkCategory3","")))</f>
        <v/>
      </c>
      <c r="U96" s="102" t="str">
        <f>IF(TableRelationships12[[#This Row],[Rank Pedro]]="Low","Pink",IF(TableRelationships12[[#This Row],[Rank Pedro]]="Medium","Purple",IF(TableRelationships12[[#This Row],[Rank Pedro]]="High","Brown","")))</f>
        <v/>
      </c>
      <c r="V96" s="4" t="e">
        <f>MAX(INDEX(Standards!$F$2:$F$296,MATCH(B96,Standards!$B$2:$B$296,0)),INDEX(Standards!$F$2:$F$296,MATCH(C96,Standards!$B$2:$B$296,0)))</f>
        <v>#N/A</v>
      </c>
      <c r="W96" t="str">
        <f t="shared" si="5"/>
        <v>#2f89d1</v>
      </c>
    </row>
    <row r="97" spans="1:23" x14ac:dyDescent="0.5">
      <c r="A97" s="54">
        <v>96</v>
      </c>
      <c r="B97" s="90" t="s">
        <v>630</v>
      </c>
      <c r="C97" t="s">
        <v>318</v>
      </c>
      <c r="D97" s="1"/>
      <c r="E97" s="112">
        <v>2005.02</v>
      </c>
      <c r="F97" s="112">
        <v>2016.01</v>
      </c>
      <c r="G97" s="107" t="s">
        <v>670</v>
      </c>
      <c r="H97">
        <f>INDEX('GIS-Standards'!$A$2:$A$305,MATCH(B97,'GIS-Standards'!$B$2:$B$305,0))</f>
        <v>5</v>
      </c>
      <c r="I97">
        <f>INDEX('GIS-Standards'!$A$2:$A$305,MATCH(C97,'GIS-Standards'!$B$2:$B$305,0))</f>
        <v>28</v>
      </c>
      <c r="J97">
        <f>INDEX('GIS-Standards'!$O$2:$O$305,MATCH(B97,'GIS-Standards'!$B$2:$B$305,0))</f>
        <v>0</v>
      </c>
      <c r="K97" t="str">
        <f>INDEX('GIS-Standards'!$O$2:$O$305,MATCH(C97,'GIS-Standards'!$B$2:$B$305,0))</f>
        <v>ISO/TC 211</v>
      </c>
      <c r="M97" t="s">
        <v>525</v>
      </c>
      <c r="N97">
        <f>INDEX('GIS-Standards'!$I$2:$I$305,MATCH(B97,'GIS-Standards'!$B$2:$B$305,0))</f>
        <v>0</v>
      </c>
      <c r="O97">
        <f>INDEX('GIS-Standards'!$I$2:$I$305,MATCH(C97,'GIS-Standards'!$B$2:$B$305,0))</f>
        <v>0</v>
      </c>
      <c r="P97" t="b">
        <f>AND(TableRelationships12[[#This Row],[Source Type]]="BIM",TableRelationships12[[#This Row],[Target Type]]="BIM")</f>
        <v>0</v>
      </c>
      <c r="Q97">
        <f t="shared" si="3"/>
        <v>1</v>
      </c>
      <c r="S97">
        <f t="shared" si="4"/>
        <v>1</v>
      </c>
      <c r="T97" s="102" t="str">
        <f>IF(TableRelationships12[[#This Row],[Rank Pedro]]="Low","linkCategory1",IF(TableRelationships12[[#This Row],[Rank Pedro]]="Medium","linkCategory2",IF(TableRelationships12[[#This Row],[Rank Pedro]]="High","linkCategory3","")))</f>
        <v/>
      </c>
      <c r="U97" s="102" t="str">
        <f>IF(TableRelationships12[[#This Row],[Rank Pedro]]="Low","Pink",IF(TableRelationships12[[#This Row],[Rank Pedro]]="Medium","Purple",IF(TableRelationships12[[#This Row],[Rank Pedro]]="High","Brown","")))</f>
        <v/>
      </c>
      <c r="V97" s="4" t="e">
        <f>MAX(INDEX(Standards!$F$2:$F$296,MATCH(B97,Standards!$B$2:$B$296,0)),INDEX(Standards!$F$2:$F$296,MATCH(C97,Standards!$B$2:$B$296,0)))</f>
        <v>#N/A</v>
      </c>
      <c r="W97" t="str">
        <f t="shared" si="5"/>
        <v>#2f89d1</v>
      </c>
    </row>
    <row r="98" spans="1:23" x14ac:dyDescent="0.5">
      <c r="A98" s="54">
        <v>97</v>
      </c>
      <c r="B98" s="90" t="s">
        <v>630</v>
      </c>
      <c r="C98" t="s">
        <v>1046</v>
      </c>
      <c r="D98" s="1"/>
      <c r="E98" s="112">
        <v>2004.08</v>
      </c>
      <c r="F98" s="112">
        <v>2004.11</v>
      </c>
      <c r="G98" s="107" t="s">
        <v>670</v>
      </c>
      <c r="H98">
        <f>INDEX('GIS-Standards'!$A$2:$A$305,MATCH(B98,'GIS-Standards'!$B$2:$B$305,0))</f>
        <v>5</v>
      </c>
      <c r="I98">
        <f>INDEX('GIS-Standards'!$A$2:$A$305,MATCH(C98,'GIS-Standards'!$B$2:$B$305,0))</f>
        <v>32</v>
      </c>
      <c r="J98">
        <f>INDEX('GIS-Standards'!$O$2:$O$305,MATCH(B98,'GIS-Standards'!$B$2:$B$305,0))</f>
        <v>0</v>
      </c>
      <c r="K98" t="str">
        <f>INDEX('GIS-Standards'!$O$2:$O$305,MATCH(C98,'GIS-Standards'!$B$2:$B$305,0))</f>
        <v>ISO/TC 211</v>
      </c>
      <c r="M98" t="s">
        <v>525</v>
      </c>
      <c r="N98">
        <f>INDEX('GIS-Standards'!$I$2:$I$305,MATCH(B98,'GIS-Standards'!$B$2:$B$305,0))</f>
        <v>0</v>
      </c>
      <c r="O98">
        <f>INDEX('GIS-Standards'!$I$2:$I$305,MATCH(C98,'GIS-Standards'!$B$2:$B$305,0))</f>
        <v>0</v>
      </c>
      <c r="P98" t="b">
        <f>AND(TableRelationships12[[#This Row],[Source Type]]="BIM",TableRelationships12[[#This Row],[Target Type]]="BIM")</f>
        <v>0</v>
      </c>
      <c r="Q98">
        <f t="shared" si="3"/>
        <v>1</v>
      </c>
      <c r="S98">
        <f t="shared" si="4"/>
        <v>1</v>
      </c>
      <c r="T98" s="102" t="str">
        <f>IF(TableRelationships12[[#This Row],[Rank Pedro]]="Low","linkCategory1",IF(TableRelationships12[[#This Row],[Rank Pedro]]="Medium","linkCategory2",IF(TableRelationships12[[#This Row],[Rank Pedro]]="High","linkCategory3","")))</f>
        <v/>
      </c>
      <c r="U98" s="102" t="str">
        <f>IF(TableRelationships12[[#This Row],[Rank Pedro]]="Low","Pink",IF(TableRelationships12[[#This Row],[Rank Pedro]]="Medium","Purple",IF(TableRelationships12[[#This Row],[Rank Pedro]]="High","Brown","")))</f>
        <v/>
      </c>
      <c r="V98" s="4" t="e">
        <f>MAX(INDEX(Standards!$F$2:$F$296,MATCH(B98,Standards!$B$2:$B$296,0)),INDEX(Standards!$F$2:$F$296,MATCH(C98,Standards!$B$2:$B$296,0)))</f>
        <v>#N/A</v>
      </c>
      <c r="W98" t="str">
        <f t="shared" si="5"/>
        <v>#2f89d1</v>
      </c>
    </row>
    <row r="99" spans="1:23" x14ac:dyDescent="0.5">
      <c r="A99" s="54">
        <v>98</v>
      </c>
      <c r="B99" s="90" t="s">
        <v>630</v>
      </c>
      <c r="C99" t="s">
        <v>326</v>
      </c>
      <c r="D99" s="1"/>
      <c r="E99" s="112">
        <v>2005.12</v>
      </c>
      <c r="F99" s="112">
        <v>2005.12</v>
      </c>
      <c r="G99" s="107" t="s">
        <v>670</v>
      </c>
      <c r="H99">
        <f>INDEX('GIS-Standards'!$A$2:$A$305,MATCH(B99,'GIS-Standards'!$B$2:$B$305,0))</f>
        <v>5</v>
      </c>
      <c r="I99">
        <f>INDEX('GIS-Standards'!$A$2:$A$305,MATCH(C99,'GIS-Standards'!$B$2:$B$305,0))</f>
        <v>35</v>
      </c>
      <c r="J99">
        <f>INDEX('GIS-Standards'!$O$2:$O$305,MATCH(B99,'GIS-Standards'!$B$2:$B$305,0))</f>
        <v>0</v>
      </c>
      <c r="K99" t="str">
        <f>INDEX('GIS-Standards'!$O$2:$O$305,MATCH(C99,'GIS-Standards'!$B$2:$B$305,0))</f>
        <v>ISO/TC 211</v>
      </c>
      <c r="M99" t="s">
        <v>525</v>
      </c>
      <c r="N99">
        <f>INDEX('GIS-Standards'!$I$2:$I$305,MATCH(B99,'GIS-Standards'!$B$2:$B$305,0))</f>
        <v>0</v>
      </c>
      <c r="O99">
        <f>INDEX('GIS-Standards'!$I$2:$I$305,MATCH(C99,'GIS-Standards'!$B$2:$B$305,0))</f>
        <v>0</v>
      </c>
      <c r="P99" t="b">
        <f>AND(TableRelationships12[[#This Row],[Source Type]]="BIM",TableRelationships12[[#This Row],[Target Type]]="BIM")</f>
        <v>0</v>
      </c>
      <c r="Q99">
        <f t="shared" si="3"/>
        <v>1</v>
      </c>
      <c r="S99">
        <f t="shared" si="4"/>
        <v>1</v>
      </c>
      <c r="T99" s="102" t="str">
        <f>IF(TableRelationships12[[#This Row],[Rank Pedro]]="Low","linkCategory1",IF(TableRelationships12[[#This Row],[Rank Pedro]]="Medium","linkCategory2",IF(TableRelationships12[[#This Row],[Rank Pedro]]="High","linkCategory3","")))</f>
        <v/>
      </c>
      <c r="U99" s="102" t="str">
        <f>IF(TableRelationships12[[#This Row],[Rank Pedro]]="Low","Pink",IF(TableRelationships12[[#This Row],[Rank Pedro]]="Medium","Purple",IF(TableRelationships12[[#This Row],[Rank Pedro]]="High","Brown","")))</f>
        <v/>
      </c>
      <c r="V99" s="4" t="e">
        <f>MAX(INDEX(Standards!$F$2:$F$296,MATCH(B99,Standards!$B$2:$B$296,0)),INDEX(Standards!$F$2:$F$296,MATCH(C99,Standards!$B$2:$B$296,0)))</f>
        <v>#N/A</v>
      </c>
      <c r="W99" t="str">
        <f t="shared" si="5"/>
        <v>#2f89d1</v>
      </c>
    </row>
    <row r="100" spans="1:23" x14ac:dyDescent="0.5">
      <c r="A100" s="54">
        <v>99</v>
      </c>
      <c r="B100" s="90" t="s">
        <v>630</v>
      </c>
      <c r="C100" t="s">
        <v>334</v>
      </c>
      <c r="D100" s="1" t="s">
        <v>1036</v>
      </c>
      <c r="E100" s="113">
        <v>2007.09</v>
      </c>
      <c r="F100" s="113">
        <v>2020.01</v>
      </c>
      <c r="G100" s="107" t="s">
        <v>670</v>
      </c>
      <c r="H100">
        <f>INDEX('GIS-Standards'!$A$2:$A$305,MATCH(B100,'GIS-Standards'!$B$2:$B$305,0))</f>
        <v>5</v>
      </c>
      <c r="I100">
        <f>INDEX('GIS-Standards'!$A$2:$A$305,MATCH(C100,'GIS-Standards'!$B$2:$B$305,0))</f>
        <v>42</v>
      </c>
      <c r="J100">
        <f>INDEX('GIS-Standards'!$O$2:$O$305,MATCH(B100,'GIS-Standards'!$B$2:$B$305,0))</f>
        <v>0</v>
      </c>
      <c r="K100" t="str">
        <f>INDEX('GIS-Standards'!$O$2:$O$305,MATCH(C100,'GIS-Standards'!$B$2:$B$305,0))</f>
        <v>ISO/TC 211</v>
      </c>
      <c r="M100" t="s">
        <v>525</v>
      </c>
      <c r="N100">
        <f>INDEX('GIS-Standards'!$I$2:$I$305,MATCH(B100,'GIS-Standards'!$B$2:$B$305,0))</f>
        <v>0</v>
      </c>
      <c r="O100">
        <f>INDEX('GIS-Standards'!$I$2:$I$305,MATCH(C100,'GIS-Standards'!$B$2:$B$305,0))</f>
        <v>0</v>
      </c>
      <c r="P100" t="b">
        <f>AND(TableRelationships12[[#This Row],[Source Type]]="BIM",TableRelationships12[[#This Row],[Target Type]]="BIM")</f>
        <v>0</v>
      </c>
      <c r="Q100">
        <f t="shared" si="3"/>
        <v>1</v>
      </c>
      <c r="S100">
        <f t="shared" si="4"/>
        <v>1</v>
      </c>
      <c r="T100" s="102" t="str">
        <f>IF(TableRelationships12[[#This Row],[Rank Pedro]]="Low","linkCategory1",IF(TableRelationships12[[#This Row],[Rank Pedro]]="Medium","linkCategory2",IF(TableRelationships12[[#This Row],[Rank Pedro]]="High","linkCategory3","")))</f>
        <v/>
      </c>
      <c r="U100" s="102" t="str">
        <f>IF(TableRelationships12[[#This Row],[Rank Pedro]]="Low","Pink",IF(TableRelationships12[[#This Row],[Rank Pedro]]="Medium","Purple",IF(TableRelationships12[[#This Row],[Rank Pedro]]="High","Brown","")))</f>
        <v/>
      </c>
      <c r="V100" s="4" t="e">
        <f>MAX(INDEX(Standards!$F$2:$F$296,MATCH(B100,Standards!$B$2:$B$296,0)),INDEX(Standards!$F$2:$F$296,MATCH(C100,Standards!$B$2:$B$296,0)))</f>
        <v>#N/A</v>
      </c>
      <c r="W100" t="str">
        <f t="shared" si="5"/>
        <v>#2f89d1</v>
      </c>
    </row>
    <row r="101" spans="1:23" x14ac:dyDescent="0.5">
      <c r="A101" s="54">
        <v>100</v>
      </c>
      <c r="B101" s="90" t="s">
        <v>630</v>
      </c>
      <c r="C101" t="s">
        <v>653</v>
      </c>
      <c r="D101" s="1" t="s">
        <v>1115</v>
      </c>
      <c r="E101" s="113">
        <v>2007.04</v>
      </c>
      <c r="F101" s="113">
        <v>2019.03</v>
      </c>
      <c r="G101" s="107" t="s">
        <v>670</v>
      </c>
      <c r="H101">
        <f>INDEX('GIS-Standards'!$A$2:$A$305,MATCH(B101,'GIS-Standards'!$B$2:$B$305,0))</f>
        <v>5</v>
      </c>
      <c r="I101">
        <f>INDEX('GIS-Standards'!$A$2:$A$305,MATCH(C101,'GIS-Standards'!$B$2:$B$305,0))</f>
        <v>102</v>
      </c>
      <c r="J101">
        <f>INDEX('GIS-Standards'!$O$2:$O$305,MATCH(B101,'GIS-Standards'!$B$2:$B$305,0))</f>
        <v>0</v>
      </c>
      <c r="K101" t="str">
        <f>INDEX('GIS-Standards'!$O$2:$O$305,MATCH(C101,'GIS-Standards'!$B$2:$B$305,0))</f>
        <v>ISO/TC 211</v>
      </c>
      <c r="M101" t="s">
        <v>525</v>
      </c>
      <c r="N101">
        <f>INDEX('GIS-Standards'!$I$2:$I$305,MATCH(B101,'GIS-Standards'!$B$2:$B$305,0))</f>
        <v>0</v>
      </c>
      <c r="O101">
        <f>INDEX('GIS-Standards'!$I$2:$I$305,MATCH(C101,'GIS-Standards'!$B$2:$B$305,0))</f>
        <v>0</v>
      </c>
      <c r="P101" t="b">
        <f>AND(TableRelationships12[[#This Row],[Source Type]]="BIM",TableRelationships12[[#This Row],[Target Type]]="BIM")</f>
        <v>0</v>
      </c>
      <c r="Q101">
        <f t="shared" si="3"/>
        <v>1</v>
      </c>
      <c r="S101">
        <f t="shared" si="4"/>
        <v>1</v>
      </c>
      <c r="T101" s="102" t="str">
        <f>IF(TableRelationships12[[#This Row],[Rank Pedro]]="Low","linkCategory1",IF(TableRelationships12[[#This Row],[Rank Pedro]]="Medium","linkCategory2",IF(TableRelationships12[[#This Row],[Rank Pedro]]="High","linkCategory3","")))</f>
        <v/>
      </c>
      <c r="U101" s="102" t="str">
        <f>IF(TableRelationships12[[#This Row],[Rank Pedro]]="Low","Pink",IF(TableRelationships12[[#This Row],[Rank Pedro]]="Medium","Purple",IF(TableRelationships12[[#This Row],[Rank Pedro]]="High","Brown","")))</f>
        <v/>
      </c>
      <c r="V101" s="4" t="e">
        <f>MAX(INDEX(Standards!$F$2:$F$296,MATCH(B101,Standards!$B$2:$B$296,0)),INDEX(Standards!$F$2:$F$296,MATCH(C101,Standards!$B$2:$B$296,0)))</f>
        <v>#N/A</v>
      </c>
      <c r="W101" t="str">
        <f t="shared" si="5"/>
        <v>#2f89d1</v>
      </c>
    </row>
    <row r="102" spans="1:23" x14ac:dyDescent="0.5">
      <c r="A102" s="54">
        <v>101</v>
      </c>
      <c r="B102" s="90" t="s">
        <v>630</v>
      </c>
      <c r="C102" t="s">
        <v>340</v>
      </c>
      <c r="D102" s="1"/>
      <c r="E102" s="112">
        <v>2010.12</v>
      </c>
      <c r="F102" s="112">
        <v>2010.12</v>
      </c>
      <c r="G102" s="107" t="s">
        <v>670</v>
      </c>
      <c r="H102">
        <f>INDEX('GIS-Standards'!$A$2:$A$305,MATCH(B102,'GIS-Standards'!$B$2:$B$305,0))</f>
        <v>5</v>
      </c>
      <c r="I102">
        <f>INDEX('GIS-Standards'!$A$2:$A$305,MATCH(C102,'GIS-Standards'!$B$2:$B$305,0))</f>
        <v>46</v>
      </c>
      <c r="J102">
        <f>INDEX('GIS-Standards'!$O$2:$O$305,MATCH(B102,'GIS-Standards'!$B$2:$B$305,0))</f>
        <v>0</v>
      </c>
      <c r="K102" t="str">
        <f>INDEX('GIS-Standards'!$O$2:$O$305,MATCH(C102,'GIS-Standards'!$B$2:$B$305,0))</f>
        <v>ISO/TC 211</v>
      </c>
      <c r="M102" t="s">
        <v>525</v>
      </c>
      <c r="N102">
        <f>INDEX('GIS-Standards'!$I$2:$I$305,MATCH(B102,'GIS-Standards'!$B$2:$B$305,0))</f>
        <v>0</v>
      </c>
      <c r="O102">
        <f>INDEX('GIS-Standards'!$I$2:$I$305,MATCH(C102,'GIS-Standards'!$B$2:$B$305,0))</f>
        <v>0</v>
      </c>
      <c r="P102" t="b">
        <f>AND(TableRelationships12[[#This Row],[Source Type]]="BIM",TableRelationships12[[#This Row],[Target Type]]="BIM")</f>
        <v>0</v>
      </c>
      <c r="Q102">
        <f t="shared" si="3"/>
        <v>1</v>
      </c>
      <c r="S102">
        <f t="shared" si="4"/>
        <v>1</v>
      </c>
      <c r="T102" s="102" t="str">
        <f>IF(TableRelationships12[[#This Row],[Rank Pedro]]="Low","linkCategory1",IF(TableRelationships12[[#This Row],[Rank Pedro]]="Medium","linkCategory2",IF(TableRelationships12[[#This Row],[Rank Pedro]]="High","linkCategory3","")))</f>
        <v/>
      </c>
      <c r="U102" s="102" t="str">
        <f>IF(TableRelationships12[[#This Row],[Rank Pedro]]="Low","Pink",IF(TableRelationships12[[#This Row],[Rank Pedro]]="Medium","Purple",IF(TableRelationships12[[#This Row],[Rank Pedro]]="High","Brown","")))</f>
        <v/>
      </c>
      <c r="V102" s="4" t="e">
        <f>MAX(INDEX(Standards!$F$2:$F$296,MATCH(B102,Standards!$B$2:$B$296,0)),INDEX(Standards!$F$2:$F$296,MATCH(C102,Standards!$B$2:$B$296,0)))</f>
        <v>#N/A</v>
      </c>
      <c r="W102" t="str">
        <f t="shared" si="5"/>
        <v>#2f89d1</v>
      </c>
    </row>
    <row r="103" spans="1:23" x14ac:dyDescent="0.5">
      <c r="A103" s="54">
        <v>102</v>
      </c>
      <c r="B103" s="90" t="s">
        <v>630</v>
      </c>
      <c r="C103" t="s">
        <v>342</v>
      </c>
      <c r="D103" s="1"/>
      <c r="E103" s="112">
        <v>2010.1</v>
      </c>
      <c r="F103" s="112">
        <v>2010.1</v>
      </c>
      <c r="G103" s="107" t="s">
        <v>670</v>
      </c>
      <c r="H103">
        <f>INDEX('GIS-Standards'!$A$2:$A$305,MATCH(B103,'GIS-Standards'!$B$2:$B$305,0))</f>
        <v>5</v>
      </c>
      <c r="I103">
        <f>INDEX('GIS-Standards'!$A$2:$A$305,MATCH(C103,'GIS-Standards'!$B$2:$B$305,0))</f>
        <v>47</v>
      </c>
      <c r="J103">
        <f>INDEX('GIS-Standards'!$O$2:$O$305,MATCH(B103,'GIS-Standards'!$B$2:$B$305,0))</f>
        <v>0</v>
      </c>
      <c r="K103" t="str">
        <f>INDEX('GIS-Standards'!$O$2:$O$305,MATCH(C103,'GIS-Standards'!$B$2:$B$305,0))</f>
        <v>ISO/TC 211</v>
      </c>
      <c r="M103" t="s">
        <v>525</v>
      </c>
      <c r="N103">
        <f>INDEX('GIS-Standards'!$I$2:$I$305,MATCH(B103,'GIS-Standards'!$B$2:$B$305,0))</f>
        <v>0</v>
      </c>
      <c r="O103">
        <f>INDEX('GIS-Standards'!$I$2:$I$305,MATCH(C103,'GIS-Standards'!$B$2:$B$305,0))</f>
        <v>0</v>
      </c>
      <c r="P103" t="b">
        <f>AND(TableRelationships12[[#This Row],[Source Type]]="BIM",TableRelationships12[[#This Row],[Target Type]]="BIM")</f>
        <v>0</v>
      </c>
      <c r="Q103">
        <f t="shared" si="3"/>
        <v>1</v>
      </c>
      <c r="S103">
        <f t="shared" si="4"/>
        <v>1</v>
      </c>
      <c r="T103" s="102" t="str">
        <f>IF(TableRelationships12[[#This Row],[Rank Pedro]]="Low","linkCategory1",IF(TableRelationships12[[#This Row],[Rank Pedro]]="Medium","linkCategory2",IF(TableRelationships12[[#This Row],[Rank Pedro]]="High","linkCategory3","")))</f>
        <v/>
      </c>
      <c r="U103" s="102" t="str">
        <f>IF(TableRelationships12[[#This Row],[Rank Pedro]]="Low","Pink",IF(TableRelationships12[[#This Row],[Rank Pedro]]="Medium","Purple",IF(TableRelationships12[[#This Row],[Rank Pedro]]="High","Brown","")))</f>
        <v/>
      </c>
      <c r="V103" s="4" t="e">
        <f>MAX(INDEX(Standards!$F$2:$F$296,MATCH(B103,Standards!$B$2:$B$296,0)),INDEX(Standards!$F$2:$F$296,MATCH(C103,Standards!$B$2:$B$296,0)))</f>
        <v>#N/A</v>
      </c>
      <c r="W103" t="str">
        <f t="shared" si="5"/>
        <v>#2f89d1</v>
      </c>
    </row>
    <row r="104" spans="1:23" x14ac:dyDescent="0.5">
      <c r="A104" s="54">
        <v>103</v>
      </c>
      <c r="B104" s="90" t="s">
        <v>630</v>
      </c>
      <c r="C104" t="s">
        <v>192</v>
      </c>
      <c r="D104" s="1" t="s">
        <v>1109</v>
      </c>
      <c r="E104" s="113">
        <v>1976.04</v>
      </c>
      <c r="F104" s="113">
        <v>2022.1</v>
      </c>
      <c r="G104" s="107" t="s">
        <v>1481</v>
      </c>
      <c r="H104">
        <f>INDEX('GIS-Standards'!$A$2:$A$305,MATCH(B104,'GIS-Standards'!$B$2:$B$305,0))</f>
        <v>5</v>
      </c>
      <c r="I104" t="e">
        <f>INDEX('GIS-Standards'!$A$2:$A$305,MATCH(C104,'GIS-Standards'!$B$2:$B$305,0))</f>
        <v>#N/A</v>
      </c>
      <c r="J104">
        <f>INDEX('GIS-Standards'!$O$2:$O$305,MATCH(B104,'GIS-Standards'!$B$2:$B$305,0))</f>
        <v>0</v>
      </c>
      <c r="K104" t="e">
        <f>INDEX('GIS-Standards'!$O$2:$O$305,MATCH(C104,'GIS-Standards'!$B$2:$B$305,0))</f>
        <v>#N/A</v>
      </c>
      <c r="M104" t="s">
        <v>525</v>
      </c>
      <c r="N104">
        <f>INDEX('GIS-Standards'!$I$2:$I$305,MATCH(B104,'GIS-Standards'!$B$2:$B$305,0))</f>
        <v>0</v>
      </c>
      <c r="O104" t="e">
        <f>INDEX('GIS-Standards'!$I$2:$I$305,MATCH(C104,'GIS-Standards'!$B$2:$B$305,0))</f>
        <v>#N/A</v>
      </c>
      <c r="P104" t="e">
        <f>AND(TableRelationships12[[#This Row],[Source Type]]="BIM",TableRelationships12[[#This Row],[Target Type]]="BIM")</f>
        <v>#N/A</v>
      </c>
      <c r="Q104">
        <f t="shared" si="3"/>
        <v>1</v>
      </c>
      <c r="S104">
        <f t="shared" si="4"/>
        <v>1</v>
      </c>
      <c r="T104" s="102" t="str">
        <f>IF(TableRelationships12[[#This Row],[Rank Pedro]]="Low","linkCategory1",IF(TableRelationships12[[#This Row],[Rank Pedro]]="Medium","linkCategory2",IF(TableRelationships12[[#This Row],[Rank Pedro]]="High","linkCategory3","")))</f>
        <v/>
      </c>
      <c r="U104" s="102" t="str">
        <f>IF(TableRelationships12[[#This Row],[Rank Pedro]]="Low","Pink",IF(TableRelationships12[[#This Row],[Rank Pedro]]="Medium","Purple",IF(TableRelationships12[[#This Row],[Rank Pedro]]="High","Brown","")))</f>
        <v/>
      </c>
      <c r="V104" s="4" t="e">
        <f>MAX(INDEX(Standards!$F$2:$F$296,MATCH(B104,Standards!$B$2:$B$296,0)),INDEX(Standards!$F$2:$F$296,MATCH(C104,Standards!$B$2:$B$296,0)))</f>
        <v>#N/A</v>
      </c>
      <c r="W104" t="str">
        <f t="shared" si="5"/>
        <v>#2f89d1</v>
      </c>
    </row>
    <row r="105" spans="1:23" x14ac:dyDescent="0.5">
      <c r="A105" s="54">
        <v>104</v>
      </c>
      <c r="B105" s="90" t="s">
        <v>630</v>
      </c>
      <c r="C105" t="s">
        <v>1069</v>
      </c>
      <c r="D105" s="1" t="s">
        <v>1109</v>
      </c>
      <c r="E105" s="113">
        <v>1976.04</v>
      </c>
      <c r="F105" s="113">
        <v>2025.01</v>
      </c>
      <c r="G105" s="107" t="s">
        <v>1481</v>
      </c>
      <c r="H105">
        <f>INDEX('GIS-Standards'!$A$2:$A$305,MATCH(B105,'GIS-Standards'!$B$2:$B$305,0))</f>
        <v>5</v>
      </c>
      <c r="I105" t="e">
        <f>INDEX('GIS-Standards'!$A$2:$A$305,MATCH(C105,'GIS-Standards'!$B$2:$B$305,0))</f>
        <v>#N/A</v>
      </c>
      <c r="J105">
        <f>INDEX('GIS-Standards'!$O$2:$O$305,MATCH(B105,'GIS-Standards'!$B$2:$B$305,0))</f>
        <v>0</v>
      </c>
      <c r="K105" t="e">
        <f>INDEX('GIS-Standards'!$O$2:$O$305,MATCH(C105,'GIS-Standards'!$B$2:$B$305,0))</f>
        <v>#N/A</v>
      </c>
      <c r="M105" t="s">
        <v>525</v>
      </c>
      <c r="N105">
        <f>INDEX('GIS-Standards'!$I$2:$I$305,MATCH(B105,'GIS-Standards'!$B$2:$B$305,0))</f>
        <v>0</v>
      </c>
      <c r="O105" t="e">
        <f>INDEX('GIS-Standards'!$I$2:$I$305,MATCH(C105,'GIS-Standards'!$B$2:$B$305,0))</f>
        <v>#N/A</v>
      </c>
      <c r="P105" t="e">
        <f>AND(TableRelationships12[[#This Row],[Source Type]]="BIM",TableRelationships12[[#This Row],[Target Type]]="BIM")</f>
        <v>#N/A</v>
      </c>
      <c r="Q105">
        <f t="shared" si="3"/>
        <v>1</v>
      </c>
      <c r="S105">
        <f t="shared" si="4"/>
        <v>1</v>
      </c>
      <c r="T105" s="102" t="str">
        <f>IF(TableRelationships12[[#This Row],[Rank Pedro]]="Low","linkCategory1",IF(TableRelationships12[[#This Row],[Rank Pedro]]="Medium","linkCategory2",IF(TableRelationships12[[#This Row],[Rank Pedro]]="High","linkCategory3","")))</f>
        <v/>
      </c>
      <c r="U105" s="102" t="str">
        <f>IF(TableRelationships12[[#This Row],[Rank Pedro]]="Low","Pink",IF(TableRelationships12[[#This Row],[Rank Pedro]]="Medium","Purple",IF(TableRelationships12[[#This Row],[Rank Pedro]]="High","Brown","")))</f>
        <v/>
      </c>
      <c r="V105" s="4" t="e">
        <f>MAX(INDEX(Standards!$F$2:$F$296,MATCH(B105,Standards!$B$2:$B$296,0)),INDEX(Standards!$F$2:$F$296,MATCH(C105,Standards!$B$2:$B$296,0)))</f>
        <v>#N/A</v>
      </c>
      <c r="W105" t="str">
        <f t="shared" si="5"/>
        <v>#2f89d1</v>
      </c>
    </row>
    <row r="106" spans="1:23" x14ac:dyDescent="0.5">
      <c r="A106" s="54">
        <v>105</v>
      </c>
      <c r="B106" s="90" t="s">
        <v>279</v>
      </c>
      <c r="C106" t="s">
        <v>527</v>
      </c>
      <c r="D106" s="1"/>
      <c r="E106" s="113">
        <v>2000.09</v>
      </c>
      <c r="F106" s="113">
        <v>2011.05</v>
      </c>
      <c r="G106" s="91" t="s">
        <v>1718</v>
      </c>
      <c r="H106">
        <f>INDEX('GIS-Standards'!$A$2:$A$305,MATCH(B106,'GIS-Standards'!$B$2:$B$305,0))</f>
        <v>6</v>
      </c>
      <c r="I106" t="e">
        <f>INDEX('GIS-Standards'!$A$2:$A$305,MATCH(C106,'GIS-Standards'!$B$2:$B$305,0))</f>
        <v>#N/A</v>
      </c>
      <c r="J106" t="str">
        <f>INDEX('GIS-Standards'!$O$2:$O$305,MATCH(B106,'GIS-Standards'!$B$2:$B$305,0))</f>
        <v>ISO/TC 59</v>
      </c>
      <c r="K106" t="e">
        <f>INDEX('GIS-Standards'!$O$2:$O$305,MATCH(C106,'GIS-Standards'!$B$2:$B$305,0))</f>
        <v>#N/A</v>
      </c>
      <c r="M106" t="s">
        <v>237</v>
      </c>
      <c r="N106">
        <f>INDEX('GIS-Standards'!$I$2:$I$305,MATCH(B106,'GIS-Standards'!$B$2:$B$305,0))</f>
        <v>0</v>
      </c>
      <c r="O106" t="e">
        <f>INDEX('GIS-Standards'!$I$2:$I$305,MATCH(C106,'GIS-Standards'!$B$2:$B$305,0))</f>
        <v>#N/A</v>
      </c>
      <c r="P106" t="e">
        <f>AND(TableRelationships12[[#This Row],[Source Type]]="BIM",TableRelationships12[[#This Row],[Target Type]]="BIM")</f>
        <v>#N/A</v>
      </c>
      <c r="Q106">
        <f t="shared" si="3"/>
        <v>2</v>
      </c>
      <c r="S106">
        <f t="shared" si="4"/>
        <v>1</v>
      </c>
      <c r="T106" s="102" t="str">
        <f>IF(TableRelationships12[[#This Row],[Rank Pedro]]="Low","linkCategory1",IF(TableRelationships12[[#This Row],[Rank Pedro]]="Medium","linkCategory2",IF(TableRelationships12[[#This Row],[Rank Pedro]]="High","linkCategory3","")))</f>
        <v/>
      </c>
      <c r="U106" s="102" t="str">
        <f>IF(TableRelationships12[[#This Row],[Rank Pedro]]="Low","Pink",IF(TableRelationships12[[#This Row],[Rank Pedro]]="Medium","Purple",IF(TableRelationships12[[#This Row],[Rank Pedro]]="High","Brown","")))</f>
        <v/>
      </c>
      <c r="V106" s="4">
        <f>MAX(INDEX(Standards!$F$2:$F$296,MATCH(B106,Standards!$B$2:$B$296,0)),INDEX(Standards!$F$2:$F$296,MATCH(C106,Standards!$B$2:$B$296,0)))</f>
        <v>36770</v>
      </c>
      <c r="W106">
        <f t="shared" si="5"/>
        <v>1</v>
      </c>
    </row>
    <row r="107" spans="1:23" x14ac:dyDescent="0.5">
      <c r="A107" s="54">
        <v>106</v>
      </c>
      <c r="B107" s="90" t="s">
        <v>279</v>
      </c>
      <c r="C107" t="s">
        <v>77</v>
      </c>
      <c r="D107" s="1"/>
      <c r="E107" s="112">
        <v>1983.12</v>
      </c>
      <c r="F107" s="112">
        <v>2020.08</v>
      </c>
      <c r="G107" s="107" t="s">
        <v>1488</v>
      </c>
      <c r="H107">
        <f>INDEX('GIS-Standards'!$A$2:$A$305,MATCH(B107,'GIS-Standards'!$B$2:$B$305,0))</f>
        <v>6</v>
      </c>
      <c r="I107" t="e">
        <f>INDEX('GIS-Standards'!$A$2:$A$305,MATCH(C107,'GIS-Standards'!$B$2:$B$305,0))</f>
        <v>#N/A</v>
      </c>
      <c r="J107" t="str">
        <f>INDEX('GIS-Standards'!$O$2:$O$305,MATCH(B107,'GIS-Standards'!$B$2:$B$305,0))</f>
        <v>ISO/TC 59</v>
      </c>
      <c r="K107" t="e">
        <f>INDEX('GIS-Standards'!$O$2:$O$305,MATCH(C107,'GIS-Standards'!$B$2:$B$305,0))</f>
        <v>#N/A</v>
      </c>
      <c r="M107" t="s">
        <v>524</v>
      </c>
      <c r="N107">
        <f>INDEX('GIS-Standards'!$I$2:$I$305,MATCH(B107,'GIS-Standards'!$B$2:$B$305,0))</f>
        <v>0</v>
      </c>
      <c r="O107" t="e">
        <f>INDEX('GIS-Standards'!$I$2:$I$305,MATCH(C107,'GIS-Standards'!$B$2:$B$305,0))</f>
        <v>#N/A</v>
      </c>
      <c r="P107" t="e">
        <f>AND(TableRelationships12[[#This Row],[Source Type]]="BIM",TableRelationships12[[#This Row],[Target Type]]="BIM")</f>
        <v>#N/A</v>
      </c>
      <c r="Q107">
        <f t="shared" si="3"/>
        <v>6</v>
      </c>
      <c r="S107">
        <f t="shared" si="4"/>
        <v>1</v>
      </c>
      <c r="T107" s="102" t="str">
        <f>IF(TableRelationships12[[#This Row],[Rank Pedro]]="Low","linkCategory1",IF(TableRelationships12[[#This Row],[Rank Pedro]]="Medium","linkCategory2",IF(TableRelationships12[[#This Row],[Rank Pedro]]="High","linkCategory3","")))</f>
        <v/>
      </c>
      <c r="U107" s="102" t="str">
        <f>IF(TableRelationships12[[#This Row],[Rank Pedro]]="Low","Pink",IF(TableRelationships12[[#This Row],[Rank Pedro]]="Medium","Purple",IF(TableRelationships12[[#This Row],[Rank Pedro]]="High","Brown","")))</f>
        <v/>
      </c>
      <c r="V107" s="4">
        <f>MAX(INDEX(Standards!$F$2:$F$296,MATCH(B107,Standards!$B$2:$B$296,0)),INDEX(Standards!$F$2:$F$296,MATCH(C107,Standards!$B$2:$B$296,0)))</f>
        <v>36770</v>
      </c>
      <c r="W107" t="str">
        <f t="shared" si="5"/>
        <v>#d6bf2a</v>
      </c>
    </row>
    <row r="108" spans="1:23" x14ac:dyDescent="0.5">
      <c r="A108" s="54">
        <v>107</v>
      </c>
      <c r="B108" s="90" t="s">
        <v>279</v>
      </c>
      <c r="C108" t="s">
        <v>1780</v>
      </c>
      <c r="D108" s="1"/>
      <c r="E108" s="113">
        <v>1992.02</v>
      </c>
      <c r="F108" s="113">
        <v>2012.02</v>
      </c>
      <c r="G108" s="107" t="s">
        <v>2076</v>
      </c>
      <c r="H108">
        <f>INDEX('GIS-Standards'!$A$2:$A$305,MATCH(B108,'GIS-Standards'!$B$2:$B$305,0))</f>
        <v>6</v>
      </c>
      <c r="I108" t="e">
        <f>INDEX('GIS-Standards'!$A$2:$A$305,MATCH(C108,'GIS-Standards'!$B$2:$B$305,0))</f>
        <v>#N/A</v>
      </c>
      <c r="J108" t="str">
        <f>INDEX('GIS-Standards'!$O$2:$O$305,MATCH(B108,'GIS-Standards'!$B$2:$B$305,0))</f>
        <v>ISO/TC 59</v>
      </c>
      <c r="K108" t="e">
        <f>INDEX('GIS-Standards'!$O$2:$O$305,MATCH(C108,'GIS-Standards'!$B$2:$B$305,0))</f>
        <v>#N/A</v>
      </c>
      <c r="M108" t="s">
        <v>525</v>
      </c>
      <c r="N108">
        <f>INDEX('GIS-Standards'!$I$2:$I$305,MATCH(B108,'GIS-Standards'!$B$2:$B$305,0))</f>
        <v>0</v>
      </c>
      <c r="O108" t="e">
        <f>INDEX('GIS-Standards'!$I$2:$I$305,MATCH(C108,'GIS-Standards'!$B$2:$B$305,0))</f>
        <v>#N/A</v>
      </c>
      <c r="P108" t="e">
        <f>AND(TableRelationships12[[#This Row],[Source Type]]="BIM",TableRelationships12[[#This Row],[Target Type]]="BIM")</f>
        <v>#N/A</v>
      </c>
      <c r="Q108">
        <f t="shared" si="3"/>
        <v>1</v>
      </c>
      <c r="S108">
        <f t="shared" si="4"/>
        <v>1</v>
      </c>
      <c r="T108" s="102" t="str">
        <f>IF(TableRelationships12[[#This Row],[Rank Pedro]]="Low","linkCategory1",IF(TableRelationships12[[#This Row],[Rank Pedro]]="Medium","linkCategory2",IF(TableRelationships12[[#This Row],[Rank Pedro]]="High","linkCategory3","")))</f>
        <v/>
      </c>
      <c r="U108" s="102" t="str">
        <f>IF(TableRelationships12[[#This Row],[Rank Pedro]]="Low","Pink",IF(TableRelationships12[[#This Row],[Rank Pedro]]="Medium","Purple",IF(TableRelationships12[[#This Row],[Rank Pedro]]="High","Brown","")))</f>
        <v/>
      </c>
      <c r="V108" s="4" t="e">
        <f>MAX(INDEX(Standards!$F$2:$F$296,MATCH(B108,Standards!$B$2:$B$296,0)),INDEX(Standards!$F$2:$F$296,MATCH(C108,Standards!$B$2:$B$296,0)))</f>
        <v>#N/A</v>
      </c>
      <c r="W108" t="str">
        <f t="shared" si="5"/>
        <v>#2f89d1</v>
      </c>
    </row>
    <row r="109" spans="1:23" x14ac:dyDescent="0.5">
      <c r="A109" s="54">
        <v>108</v>
      </c>
      <c r="B109" s="90" t="s">
        <v>279</v>
      </c>
      <c r="C109" t="s">
        <v>63</v>
      </c>
      <c r="D109" s="1" t="s">
        <v>2042</v>
      </c>
      <c r="E109" s="113" t="s">
        <v>2041</v>
      </c>
      <c r="F109" s="113">
        <v>2015.05</v>
      </c>
      <c r="G109" s="107" t="s">
        <v>2043</v>
      </c>
      <c r="H109">
        <f>INDEX('GIS-Standards'!$A$2:$A$305,MATCH(B109,'GIS-Standards'!$B$2:$B$305,0))</f>
        <v>6</v>
      </c>
      <c r="I109" t="e">
        <f>INDEX('GIS-Standards'!$A$2:$A$305,MATCH(C109,'GIS-Standards'!$B$2:$B$305,0))</f>
        <v>#N/A</v>
      </c>
      <c r="J109" t="str">
        <f>INDEX('GIS-Standards'!$O$2:$O$305,MATCH(B109,'GIS-Standards'!$B$2:$B$305,0))</f>
        <v>ISO/TC 59</v>
      </c>
      <c r="K109" t="e">
        <f>INDEX('GIS-Standards'!$O$2:$O$305,MATCH(C109,'GIS-Standards'!$B$2:$B$305,0))</f>
        <v>#N/A</v>
      </c>
      <c r="M109" t="s">
        <v>525</v>
      </c>
      <c r="N109">
        <f>INDEX('GIS-Standards'!$I$2:$I$305,MATCH(B109,'GIS-Standards'!$B$2:$B$305,0))</f>
        <v>0</v>
      </c>
      <c r="O109" t="e">
        <f>INDEX('GIS-Standards'!$I$2:$I$305,MATCH(C109,'GIS-Standards'!$B$2:$B$305,0))</f>
        <v>#N/A</v>
      </c>
      <c r="P109" t="e">
        <f>AND(TableRelationships12[[#This Row],[Source Type]]="BIM",TableRelationships12[[#This Row],[Target Type]]="BIM")</f>
        <v>#N/A</v>
      </c>
      <c r="Q109">
        <f t="shared" si="3"/>
        <v>1</v>
      </c>
      <c r="S109">
        <f t="shared" si="4"/>
        <v>1</v>
      </c>
      <c r="T109" s="102" t="str">
        <f>IF(TableRelationships12[[#This Row],[Rank Pedro]]="Low","linkCategory1",IF(TableRelationships12[[#This Row],[Rank Pedro]]="Medium","linkCategory2",IF(TableRelationships12[[#This Row],[Rank Pedro]]="High","linkCategory3","")))</f>
        <v/>
      </c>
      <c r="U109" s="102" t="str">
        <f>IF(TableRelationships12[[#This Row],[Rank Pedro]]="Low","Pink",IF(TableRelationships12[[#This Row],[Rank Pedro]]="Medium","Purple",IF(TableRelationships12[[#This Row],[Rank Pedro]]="High","Brown","")))</f>
        <v/>
      </c>
      <c r="V109" s="4">
        <f>MAX(INDEX(Standards!$F$2:$F$296,MATCH(B109,Standards!$B$2:$B$296,0)),INDEX(Standards!$F$2:$F$296,MATCH(C109,Standards!$B$2:$B$296,0)))</f>
        <v>37196</v>
      </c>
      <c r="W109" t="str">
        <f t="shared" si="5"/>
        <v>#2f89d1</v>
      </c>
    </row>
    <row r="110" spans="1:23" x14ac:dyDescent="0.5">
      <c r="A110" s="54">
        <v>109</v>
      </c>
      <c r="B110" s="90" t="s">
        <v>279</v>
      </c>
      <c r="C110" t="s">
        <v>1782</v>
      </c>
      <c r="D110" s="1"/>
      <c r="E110" s="113">
        <v>1998.05</v>
      </c>
      <c r="F110" s="113">
        <v>2017.11</v>
      </c>
      <c r="G110" s="107" t="s">
        <v>2046</v>
      </c>
      <c r="H110">
        <f>INDEX('GIS-Standards'!$A$2:$A$305,MATCH(B110,'GIS-Standards'!$B$2:$B$305,0))</f>
        <v>6</v>
      </c>
      <c r="I110" t="e">
        <f>INDEX('GIS-Standards'!$A$2:$A$305,MATCH(C110,'GIS-Standards'!$B$2:$B$305,0))</f>
        <v>#N/A</v>
      </c>
      <c r="J110" t="str">
        <f>INDEX('GIS-Standards'!$O$2:$O$305,MATCH(B110,'GIS-Standards'!$B$2:$B$305,0))</f>
        <v>ISO/TC 59</v>
      </c>
      <c r="K110" t="e">
        <f>INDEX('GIS-Standards'!$O$2:$O$305,MATCH(C110,'GIS-Standards'!$B$2:$B$305,0))</f>
        <v>#N/A</v>
      </c>
      <c r="M110" t="s">
        <v>525</v>
      </c>
      <c r="N110">
        <f>INDEX('GIS-Standards'!$I$2:$I$305,MATCH(B110,'GIS-Standards'!$B$2:$B$305,0))</f>
        <v>0</v>
      </c>
      <c r="O110" t="e">
        <f>INDEX('GIS-Standards'!$I$2:$I$305,MATCH(C110,'GIS-Standards'!$B$2:$B$305,0))</f>
        <v>#N/A</v>
      </c>
      <c r="P110" t="e">
        <f>AND(TableRelationships12[[#This Row],[Source Type]]="BIM",TableRelationships12[[#This Row],[Target Type]]="BIM")</f>
        <v>#N/A</v>
      </c>
      <c r="Q110">
        <f t="shared" si="3"/>
        <v>1</v>
      </c>
      <c r="S110">
        <f t="shared" si="4"/>
        <v>1</v>
      </c>
      <c r="T110" s="102" t="str">
        <f>IF(TableRelationships12[[#This Row],[Rank Pedro]]="Low","linkCategory1",IF(TableRelationships12[[#This Row],[Rank Pedro]]="Medium","linkCategory2",IF(TableRelationships12[[#This Row],[Rank Pedro]]="High","linkCategory3","")))</f>
        <v/>
      </c>
      <c r="U110" s="102" t="str">
        <f>IF(TableRelationships12[[#This Row],[Rank Pedro]]="Low","Pink",IF(TableRelationships12[[#This Row],[Rank Pedro]]="Medium","Purple",IF(TableRelationships12[[#This Row],[Rank Pedro]]="High","Brown","")))</f>
        <v/>
      </c>
      <c r="V110" s="4" t="e">
        <f>MAX(INDEX(Standards!$F$2:$F$296,MATCH(B110,Standards!$B$2:$B$296,0)),INDEX(Standards!$F$2:$F$296,MATCH(C110,Standards!$B$2:$B$296,0)))</f>
        <v>#N/A</v>
      </c>
      <c r="W110" t="str">
        <f t="shared" si="5"/>
        <v>#2f89d1</v>
      </c>
    </row>
    <row r="111" spans="1:23" x14ac:dyDescent="0.5">
      <c r="A111" s="54">
        <v>110</v>
      </c>
      <c r="B111" s="90" t="s">
        <v>279</v>
      </c>
      <c r="C111" t="s">
        <v>1783</v>
      </c>
      <c r="D111" s="1" t="s">
        <v>1676</v>
      </c>
      <c r="E111" s="113">
        <v>1996.09</v>
      </c>
      <c r="F111" s="113">
        <v>2024.02</v>
      </c>
      <c r="G111" s="107" t="s">
        <v>2051</v>
      </c>
      <c r="H111">
        <f>INDEX('GIS-Standards'!$A$2:$A$305,MATCH(B111,'GIS-Standards'!$B$2:$B$305,0))</f>
        <v>6</v>
      </c>
      <c r="I111" t="e">
        <f>INDEX('GIS-Standards'!$A$2:$A$305,MATCH(C111,'GIS-Standards'!$B$2:$B$305,0))</f>
        <v>#N/A</v>
      </c>
      <c r="J111" t="str">
        <f>INDEX('GIS-Standards'!$O$2:$O$305,MATCH(B111,'GIS-Standards'!$B$2:$B$305,0))</f>
        <v>ISO/TC 59</v>
      </c>
      <c r="K111" t="e">
        <f>INDEX('GIS-Standards'!$O$2:$O$305,MATCH(C111,'GIS-Standards'!$B$2:$B$305,0))</f>
        <v>#N/A</v>
      </c>
      <c r="M111" t="s">
        <v>525</v>
      </c>
      <c r="N111">
        <f>INDEX('GIS-Standards'!$I$2:$I$305,MATCH(B111,'GIS-Standards'!$B$2:$B$305,0))</f>
        <v>0</v>
      </c>
      <c r="O111" t="e">
        <f>INDEX('GIS-Standards'!$I$2:$I$305,MATCH(C111,'GIS-Standards'!$B$2:$B$305,0))</f>
        <v>#N/A</v>
      </c>
      <c r="P111" t="e">
        <f>AND(TableRelationships12[[#This Row],[Source Type]]="BIM",TableRelationships12[[#This Row],[Target Type]]="BIM")</f>
        <v>#N/A</v>
      </c>
      <c r="Q111">
        <f t="shared" si="3"/>
        <v>1</v>
      </c>
      <c r="S111">
        <f t="shared" si="4"/>
        <v>1</v>
      </c>
      <c r="T111" s="102" t="str">
        <f>IF(TableRelationships12[[#This Row],[Rank Pedro]]="Low","linkCategory1",IF(TableRelationships12[[#This Row],[Rank Pedro]]="Medium","linkCategory2",IF(TableRelationships12[[#This Row],[Rank Pedro]]="High","linkCategory3","")))</f>
        <v/>
      </c>
      <c r="U111" s="102" t="str">
        <f>IF(TableRelationships12[[#This Row],[Rank Pedro]]="Low","Pink",IF(TableRelationships12[[#This Row],[Rank Pedro]]="Medium","Purple",IF(TableRelationships12[[#This Row],[Rank Pedro]]="High","Brown","")))</f>
        <v/>
      </c>
      <c r="V111" s="4" t="e">
        <f>MAX(INDEX(Standards!$F$2:$F$296,MATCH(B111,Standards!$B$2:$B$296,0)),INDEX(Standards!$F$2:$F$296,MATCH(C111,Standards!$B$2:$B$296,0)))</f>
        <v>#N/A</v>
      </c>
      <c r="W111" t="str">
        <f t="shared" si="5"/>
        <v>#2f89d1</v>
      </c>
    </row>
    <row r="112" spans="1:23" x14ac:dyDescent="0.5">
      <c r="A112" s="54">
        <v>111</v>
      </c>
      <c r="B112" s="90" t="s">
        <v>279</v>
      </c>
      <c r="C112" t="s">
        <v>1784</v>
      </c>
      <c r="D112" s="1"/>
      <c r="E112" s="113">
        <v>1997.06</v>
      </c>
      <c r="F112" s="113">
        <v>2020.09</v>
      </c>
      <c r="G112" s="107" t="s">
        <v>2053</v>
      </c>
      <c r="H112">
        <f>INDEX('GIS-Standards'!$A$2:$A$305,MATCH(B112,'GIS-Standards'!$B$2:$B$305,0))</f>
        <v>6</v>
      </c>
      <c r="I112" t="e">
        <f>INDEX('GIS-Standards'!$A$2:$A$305,MATCH(C112,'GIS-Standards'!$B$2:$B$305,0))</f>
        <v>#N/A</v>
      </c>
      <c r="J112" t="str">
        <f>INDEX('GIS-Standards'!$O$2:$O$305,MATCH(B112,'GIS-Standards'!$B$2:$B$305,0))</f>
        <v>ISO/TC 59</v>
      </c>
      <c r="K112" t="e">
        <f>INDEX('GIS-Standards'!$O$2:$O$305,MATCH(C112,'GIS-Standards'!$B$2:$B$305,0))</f>
        <v>#N/A</v>
      </c>
      <c r="M112" t="s">
        <v>525</v>
      </c>
      <c r="N112">
        <f>INDEX('GIS-Standards'!$I$2:$I$305,MATCH(B112,'GIS-Standards'!$B$2:$B$305,0))</f>
        <v>0</v>
      </c>
      <c r="O112" t="e">
        <f>INDEX('GIS-Standards'!$I$2:$I$305,MATCH(C112,'GIS-Standards'!$B$2:$B$305,0))</f>
        <v>#N/A</v>
      </c>
      <c r="P112" t="e">
        <f>AND(TableRelationships12[[#This Row],[Source Type]]="BIM",TableRelationships12[[#This Row],[Target Type]]="BIM")</f>
        <v>#N/A</v>
      </c>
      <c r="Q112">
        <f t="shared" si="3"/>
        <v>1</v>
      </c>
      <c r="S112">
        <f t="shared" si="4"/>
        <v>1</v>
      </c>
      <c r="T112" s="102" t="str">
        <f>IF(TableRelationships12[[#This Row],[Rank Pedro]]="Low","linkCategory1",IF(TableRelationships12[[#This Row],[Rank Pedro]]="Medium","linkCategory2",IF(TableRelationships12[[#This Row],[Rank Pedro]]="High","linkCategory3","")))</f>
        <v/>
      </c>
      <c r="U112" s="102" t="str">
        <f>IF(TableRelationships12[[#This Row],[Rank Pedro]]="Low","Pink",IF(TableRelationships12[[#This Row],[Rank Pedro]]="Medium","Purple",IF(TableRelationships12[[#This Row],[Rank Pedro]]="High","Brown","")))</f>
        <v/>
      </c>
      <c r="V112" s="4" t="e">
        <f>MAX(INDEX(Standards!$F$2:$F$296,MATCH(B112,Standards!$B$2:$B$296,0)),INDEX(Standards!$F$2:$F$296,MATCH(C112,Standards!$B$2:$B$296,0)))</f>
        <v>#N/A</v>
      </c>
      <c r="W112" t="str">
        <f t="shared" si="5"/>
        <v>#2f89d1</v>
      </c>
    </row>
    <row r="113" spans="1:23" x14ac:dyDescent="0.5">
      <c r="A113" s="54">
        <v>112</v>
      </c>
      <c r="B113" s="90" t="s">
        <v>279</v>
      </c>
      <c r="C113" t="s">
        <v>1785</v>
      </c>
      <c r="D113" s="1"/>
      <c r="E113" s="113">
        <v>2008.05</v>
      </c>
      <c r="F113" s="113">
        <v>2019.12</v>
      </c>
      <c r="G113" s="107" t="s">
        <v>1718</v>
      </c>
      <c r="H113">
        <f>INDEX('GIS-Standards'!$A$2:$A$305,MATCH(B113,'GIS-Standards'!$B$2:$B$305,0))</f>
        <v>6</v>
      </c>
      <c r="I113" t="e">
        <f>INDEX('GIS-Standards'!$A$2:$A$305,MATCH(C113,'GIS-Standards'!$B$2:$B$305,0))</f>
        <v>#N/A</v>
      </c>
      <c r="J113" t="str">
        <f>INDEX('GIS-Standards'!$O$2:$O$305,MATCH(B113,'GIS-Standards'!$B$2:$B$305,0))</f>
        <v>ISO/TC 59</v>
      </c>
      <c r="K113" t="e">
        <f>INDEX('GIS-Standards'!$O$2:$O$305,MATCH(C113,'GIS-Standards'!$B$2:$B$305,0))</f>
        <v>#N/A</v>
      </c>
      <c r="M113" t="s">
        <v>525</v>
      </c>
      <c r="N113">
        <f>INDEX('GIS-Standards'!$I$2:$I$305,MATCH(B113,'GIS-Standards'!$B$2:$B$305,0))</f>
        <v>0</v>
      </c>
      <c r="O113" t="e">
        <f>INDEX('GIS-Standards'!$I$2:$I$305,MATCH(C113,'GIS-Standards'!$B$2:$B$305,0))</f>
        <v>#N/A</v>
      </c>
      <c r="P113" t="e">
        <f>AND(TableRelationships12[[#This Row],[Source Type]]="BIM",TableRelationships12[[#This Row],[Target Type]]="BIM")</f>
        <v>#N/A</v>
      </c>
      <c r="Q113">
        <f t="shared" si="3"/>
        <v>1</v>
      </c>
      <c r="S113">
        <f t="shared" si="4"/>
        <v>1</v>
      </c>
      <c r="T113" s="102" t="str">
        <f>IF(TableRelationships12[[#This Row],[Rank Pedro]]="Low","linkCategory1",IF(TableRelationships12[[#This Row],[Rank Pedro]]="Medium","linkCategory2",IF(TableRelationships12[[#This Row],[Rank Pedro]]="High","linkCategory3","")))</f>
        <v/>
      </c>
      <c r="U113" s="102" t="str">
        <f>IF(TableRelationships12[[#This Row],[Rank Pedro]]="Low","Pink",IF(TableRelationships12[[#This Row],[Rank Pedro]]="Medium","Purple",IF(TableRelationships12[[#This Row],[Rank Pedro]]="High","Brown","")))</f>
        <v/>
      </c>
      <c r="V113" s="4" t="e">
        <f>MAX(INDEX(Standards!$F$2:$F$296,MATCH(B113,Standards!$B$2:$B$296,0)),INDEX(Standards!$F$2:$F$296,MATCH(C113,Standards!$B$2:$B$296,0)))</f>
        <v>#N/A</v>
      </c>
      <c r="W113" t="str">
        <f t="shared" si="5"/>
        <v>#2f89d1</v>
      </c>
    </row>
    <row r="114" spans="1:23" x14ac:dyDescent="0.5">
      <c r="A114" s="54">
        <v>113</v>
      </c>
      <c r="B114" s="90" t="s">
        <v>279</v>
      </c>
      <c r="C114" t="s">
        <v>1786</v>
      </c>
      <c r="D114" s="1" t="s">
        <v>1676</v>
      </c>
      <c r="E114" s="113">
        <v>2001.03</v>
      </c>
      <c r="F114" s="113">
        <v>2012.06</v>
      </c>
      <c r="G114" s="107" t="s">
        <v>1718</v>
      </c>
      <c r="H114">
        <f>INDEX('GIS-Standards'!$A$2:$A$305,MATCH(B114,'GIS-Standards'!$B$2:$B$305,0))</f>
        <v>6</v>
      </c>
      <c r="I114" t="e">
        <f>INDEX('GIS-Standards'!$A$2:$A$305,MATCH(C114,'GIS-Standards'!$B$2:$B$305,0))</f>
        <v>#N/A</v>
      </c>
      <c r="J114" t="str">
        <f>INDEX('GIS-Standards'!$O$2:$O$305,MATCH(B114,'GIS-Standards'!$B$2:$B$305,0))</f>
        <v>ISO/TC 59</v>
      </c>
      <c r="K114" t="e">
        <f>INDEX('GIS-Standards'!$O$2:$O$305,MATCH(C114,'GIS-Standards'!$B$2:$B$305,0))</f>
        <v>#N/A</v>
      </c>
      <c r="M114" t="s">
        <v>525</v>
      </c>
      <c r="N114">
        <f>INDEX('GIS-Standards'!$I$2:$I$305,MATCH(B114,'GIS-Standards'!$B$2:$B$305,0))</f>
        <v>0</v>
      </c>
      <c r="O114" t="e">
        <f>INDEX('GIS-Standards'!$I$2:$I$305,MATCH(C114,'GIS-Standards'!$B$2:$B$305,0))</f>
        <v>#N/A</v>
      </c>
      <c r="P114" t="e">
        <f>AND(TableRelationships12[[#This Row],[Source Type]]="BIM",TableRelationships12[[#This Row],[Target Type]]="BIM")</f>
        <v>#N/A</v>
      </c>
      <c r="Q114">
        <f t="shared" si="3"/>
        <v>1</v>
      </c>
      <c r="S114">
        <f t="shared" si="4"/>
        <v>1</v>
      </c>
      <c r="T114" s="102" t="str">
        <f>IF(TableRelationships12[[#This Row],[Rank Pedro]]="Low","linkCategory1",IF(TableRelationships12[[#This Row],[Rank Pedro]]="Medium","linkCategory2",IF(TableRelationships12[[#This Row],[Rank Pedro]]="High","linkCategory3","")))</f>
        <v/>
      </c>
      <c r="U114" s="102" t="str">
        <f>IF(TableRelationships12[[#This Row],[Rank Pedro]]="Low","Pink",IF(TableRelationships12[[#This Row],[Rank Pedro]]="Medium","Purple",IF(TableRelationships12[[#This Row],[Rank Pedro]]="High","Brown","")))</f>
        <v/>
      </c>
      <c r="V114" s="4" t="e">
        <f>MAX(INDEX(Standards!$F$2:$F$296,MATCH(B114,Standards!$B$2:$B$296,0)),INDEX(Standards!$F$2:$F$296,MATCH(C114,Standards!$B$2:$B$296,0)))</f>
        <v>#N/A</v>
      </c>
      <c r="W114" t="str">
        <f t="shared" si="5"/>
        <v>#2f89d1</v>
      </c>
    </row>
    <row r="115" spans="1:23" x14ac:dyDescent="0.5">
      <c r="A115" s="54">
        <v>114</v>
      </c>
      <c r="B115" s="90" t="s">
        <v>279</v>
      </c>
      <c r="C115" t="s">
        <v>1787</v>
      </c>
      <c r="D115" s="1" t="s">
        <v>1676</v>
      </c>
      <c r="E115" s="113">
        <v>2002.08</v>
      </c>
      <c r="F115" s="113">
        <v>2002.08</v>
      </c>
      <c r="G115" s="107" t="s">
        <v>1718</v>
      </c>
      <c r="H115">
        <f>INDEX('GIS-Standards'!$A$2:$A$305,MATCH(B115,'GIS-Standards'!$B$2:$B$305,0))</f>
        <v>6</v>
      </c>
      <c r="I115" t="e">
        <f>INDEX('GIS-Standards'!$A$2:$A$305,MATCH(C115,'GIS-Standards'!$B$2:$B$305,0))</f>
        <v>#N/A</v>
      </c>
      <c r="J115" t="str">
        <f>INDEX('GIS-Standards'!$O$2:$O$305,MATCH(B115,'GIS-Standards'!$B$2:$B$305,0))</f>
        <v>ISO/TC 59</v>
      </c>
      <c r="K115" t="e">
        <f>INDEX('GIS-Standards'!$O$2:$O$305,MATCH(C115,'GIS-Standards'!$B$2:$B$305,0))</f>
        <v>#N/A</v>
      </c>
      <c r="M115" t="s">
        <v>525</v>
      </c>
      <c r="N115">
        <f>INDEX('GIS-Standards'!$I$2:$I$305,MATCH(B115,'GIS-Standards'!$B$2:$B$305,0))</f>
        <v>0</v>
      </c>
      <c r="O115" t="e">
        <f>INDEX('GIS-Standards'!$I$2:$I$305,MATCH(C115,'GIS-Standards'!$B$2:$B$305,0))</f>
        <v>#N/A</v>
      </c>
      <c r="P115" t="e">
        <f>AND(TableRelationships12[[#This Row],[Source Type]]="BIM",TableRelationships12[[#This Row],[Target Type]]="BIM")</f>
        <v>#N/A</v>
      </c>
      <c r="Q115">
        <f t="shared" si="3"/>
        <v>1</v>
      </c>
      <c r="S115">
        <f t="shared" si="4"/>
        <v>1</v>
      </c>
      <c r="T115" s="102" t="str">
        <f>IF(TableRelationships12[[#This Row],[Rank Pedro]]="Low","linkCategory1",IF(TableRelationships12[[#This Row],[Rank Pedro]]="Medium","linkCategory2",IF(TableRelationships12[[#This Row],[Rank Pedro]]="High","linkCategory3","")))</f>
        <v/>
      </c>
      <c r="U115" s="102" t="str">
        <f>IF(TableRelationships12[[#This Row],[Rank Pedro]]="Low","Pink",IF(TableRelationships12[[#This Row],[Rank Pedro]]="Medium","Purple",IF(TableRelationships12[[#This Row],[Rank Pedro]]="High","Brown","")))</f>
        <v/>
      </c>
      <c r="V115" s="4" t="e">
        <f>MAX(INDEX(Standards!$F$2:$F$296,MATCH(B115,Standards!$B$2:$B$296,0)),INDEX(Standards!$F$2:$F$296,MATCH(C115,Standards!$B$2:$B$296,0)))</f>
        <v>#N/A</v>
      </c>
      <c r="W115" t="str">
        <f t="shared" si="5"/>
        <v>#2f89d1</v>
      </c>
    </row>
    <row r="116" spans="1:23" x14ac:dyDescent="0.5">
      <c r="A116" s="54">
        <v>115</v>
      </c>
      <c r="B116" s="90" t="s">
        <v>279</v>
      </c>
      <c r="C116" t="s">
        <v>1788</v>
      </c>
      <c r="D116" s="1"/>
      <c r="E116" s="113">
        <v>2008.06</v>
      </c>
      <c r="F116" s="113">
        <v>2017.07</v>
      </c>
      <c r="G116" s="107" t="s">
        <v>1718</v>
      </c>
      <c r="H116">
        <f>INDEX('GIS-Standards'!$A$2:$A$305,MATCH(B116,'GIS-Standards'!$B$2:$B$305,0))</f>
        <v>6</v>
      </c>
      <c r="I116" t="e">
        <f>INDEX('GIS-Standards'!$A$2:$A$305,MATCH(C116,'GIS-Standards'!$B$2:$B$305,0))</f>
        <v>#N/A</v>
      </c>
      <c r="J116" t="str">
        <f>INDEX('GIS-Standards'!$O$2:$O$305,MATCH(B116,'GIS-Standards'!$B$2:$B$305,0))</f>
        <v>ISO/TC 59</v>
      </c>
      <c r="K116" t="e">
        <f>INDEX('GIS-Standards'!$O$2:$O$305,MATCH(C116,'GIS-Standards'!$B$2:$B$305,0))</f>
        <v>#N/A</v>
      </c>
      <c r="M116" t="s">
        <v>525</v>
      </c>
      <c r="N116">
        <f>INDEX('GIS-Standards'!$I$2:$I$305,MATCH(B116,'GIS-Standards'!$B$2:$B$305,0))</f>
        <v>0</v>
      </c>
      <c r="O116" t="e">
        <f>INDEX('GIS-Standards'!$I$2:$I$305,MATCH(C116,'GIS-Standards'!$B$2:$B$305,0))</f>
        <v>#N/A</v>
      </c>
      <c r="P116" t="e">
        <f>AND(TableRelationships12[[#This Row],[Source Type]]="BIM",TableRelationships12[[#This Row],[Target Type]]="BIM")</f>
        <v>#N/A</v>
      </c>
      <c r="Q116">
        <f t="shared" si="3"/>
        <v>1</v>
      </c>
      <c r="S116">
        <f t="shared" si="4"/>
        <v>1</v>
      </c>
      <c r="T116" s="102" t="str">
        <f>IF(TableRelationships12[[#This Row],[Rank Pedro]]="Low","linkCategory1",IF(TableRelationships12[[#This Row],[Rank Pedro]]="Medium","linkCategory2",IF(TableRelationships12[[#This Row],[Rank Pedro]]="High","linkCategory3","")))</f>
        <v/>
      </c>
      <c r="U116" s="102" t="str">
        <f>IF(TableRelationships12[[#This Row],[Rank Pedro]]="Low","Pink",IF(TableRelationships12[[#This Row],[Rank Pedro]]="Medium","Purple",IF(TableRelationships12[[#This Row],[Rank Pedro]]="High","Brown","")))</f>
        <v/>
      </c>
      <c r="V116" s="4" t="e">
        <f>MAX(INDEX(Standards!$F$2:$F$296,MATCH(B116,Standards!$B$2:$B$296,0)),INDEX(Standards!$F$2:$F$296,MATCH(C116,Standards!$B$2:$B$296,0)))</f>
        <v>#N/A</v>
      </c>
      <c r="W116" t="str">
        <f t="shared" si="5"/>
        <v>#2f89d1</v>
      </c>
    </row>
    <row r="117" spans="1:23" x14ac:dyDescent="0.5">
      <c r="A117" s="54">
        <v>116</v>
      </c>
      <c r="B117" s="90" t="s">
        <v>279</v>
      </c>
      <c r="C117" t="s">
        <v>1692</v>
      </c>
      <c r="D117" s="1"/>
      <c r="E117" s="113">
        <v>2006.03</v>
      </c>
      <c r="F117" s="113">
        <v>2017.07</v>
      </c>
      <c r="G117" s="107" t="s">
        <v>1718</v>
      </c>
      <c r="H117">
        <f>INDEX('GIS-Standards'!$A$2:$A$305,MATCH(B117,'GIS-Standards'!$B$2:$B$305,0))</f>
        <v>6</v>
      </c>
      <c r="I117">
        <f>INDEX('GIS-Standards'!$A$2:$A$305,MATCH(C117,'GIS-Standards'!$B$2:$B$305,0))</f>
        <v>9</v>
      </c>
      <c r="J117" t="str">
        <f>INDEX('GIS-Standards'!$O$2:$O$305,MATCH(B117,'GIS-Standards'!$B$2:$B$305,0))</f>
        <v>ISO/TC 59</v>
      </c>
      <c r="K117" t="str">
        <f>INDEX('GIS-Standards'!$O$2:$O$305,MATCH(C117,'GIS-Standards'!$B$2:$B$305,0))</f>
        <v>ISO/TC 59/SC 14</v>
      </c>
      <c r="M117" t="s">
        <v>525</v>
      </c>
      <c r="N117">
        <f>INDEX('GIS-Standards'!$I$2:$I$305,MATCH(B117,'GIS-Standards'!$B$2:$B$305,0))</f>
        <v>0</v>
      </c>
      <c r="O117">
        <f>INDEX('GIS-Standards'!$I$2:$I$305,MATCH(C117,'GIS-Standards'!$B$2:$B$305,0))</f>
        <v>0</v>
      </c>
      <c r="P117" t="b">
        <f>AND(TableRelationships12[[#This Row],[Source Type]]="BIM",TableRelationships12[[#This Row],[Target Type]]="BIM")</f>
        <v>0</v>
      </c>
      <c r="Q117">
        <f t="shared" si="3"/>
        <v>1</v>
      </c>
      <c r="S117">
        <f t="shared" si="4"/>
        <v>1</v>
      </c>
      <c r="T117" s="102" t="str">
        <f>IF(TableRelationships12[[#This Row],[Rank Pedro]]="Low","linkCategory1",IF(TableRelationships12[[#This Row],[Rank Pedro]]="Medium","linkCategory2",IF(TableRelationships12[[#This Row],[Rank Pedro]]="High","linkCategory3","")))</f>
        <v/>
      </c>
      <c r="U117" s="102" t="str">
        <f>IF(TableRelationships12[[#This Row],[Rank Pedro]]="Low","Pink",IF(TableRelationships12[[#This Row],[Rank Pedro]]="Medium","Purple",IF(TableRelationships12[[#This Row],[Rank Pedro]]="High","Brown","")))</f>
        <v/>
      </c>
      <c r="V117" s="4" t="e">
        <f>MAX(INDEX(Standards!$F$2:$F$296,MATCH(B117,Standards!$B$2:$B$296,0)),INDEX(Standards!$F$2:$F$296,MATCH(C117,Standards!$B$2:$B$296,0)))</f>
        <v>#N/A</v>
      </c>
      <c r="W117" t="str">
        <f t="shared" si="5"/>
        <v>#2f89d1</v>
      </c>
    </row>
    <row r="118" spans="1:23" x14ac:dyDescent="0.5">
      <c r="A118" s="54">
        <v>117</v>
      </c>
      <c r="B118" s="90" t="s">
        <v>279</v>
      </c>
      <c r="C118" t="s">
        <v>1789</v>
      </c>
      <c r="D118" s="1" t="s">
        <v>1676</v>
      </c>
      <c r="E118" s="113">
        <v>2008.06</v>
      </c>
      <c r="F118" s="113">
        <v>2008.06</v>
      </c>
      <c r="G118" s="107" t="s">
        <v>1718</v>
      </c>
      <c r="H118">
        <f>INDEX('GIS-Standards'!$A$2:$A$305,MATCH(B118,'GIS-Standards'!$B$2:$B$305,0))</f>
        <v>6</v>
      </c>
      <c r="I118" t="e">
        <f>INDEX('GIS-Standards'!$A$2:$A$305,MATCH(C118,'GIS-Standards'!$B$2:$B$305,0))</f>
        <v>#N/A</v>
      </c>
      <c r="J118" t="str">
        <f>INDEX('GIS-Standards'!$O$2:$O$305,MATCH(B118,'GIS-Standards'!$B$2:$B$305,0))</f>
        <v>ISO/TC 59</v>
      </c>
      <c r="K118" t="e">
        <f>INDEX('GIS-Standards'!$O$2:$O$305,MATCH(C118,'GIS-Standards'!$B$2:$B$305,0))</f>
        <v>#N/A</v>
      </c>
      <c r="M118" t="s">
        <v>525</v>
      </c>
      <c r="N118">
        <f>INDEX('GIS-Standards'!$I$2:$I$305,MATCH(B118,'GIS-Standards'!$B$2:$B$305,0))</f>
        <v>0</v>
      </c>
      <c r="O118" t="e">
        <f>INDEX('GIS-Standards'!$I$2:$I$305,MATCH(C118,'GIS-Standards'!$B$2:$B$305,0))</f>
        <v>#N/A</v>
      </c>
      <c r="P118" t="e">
        <f>AND(TableRelationships12[[#This Row],[Source Type]]="BIM",TableRelationships12[[#This Row],[Target Type]]="BIM")</f>
        <v>#N/A</v>
      </c>
      <c r="Q118">
        <f t="shared" si="3"/>
        <v>1</v>
      </c>
      <c r="S118">
        <f t="shared" si="4"/>
        <v>1</v>
      </c>
      <c r="T118" s="102" t="str">
        <f>IF(TableRelationships12[[#This Row],[Rank Pedro]]="Low","linkCategory1",IF(TableRelationships12[[#This Row],[Rank Pedro]]="Medium","linkCategory2",IF(TableRelationships12[[#This Row],[Rank Pedro]]="High","linkCategory3","")))</f>
        <v/>
      </c>
      <c r="U118" s="102" t="str">
        <f>IF(TableRelationships12[[#This Row],[Rank Pedro]]="Low","Pink",IF(TableRelationships12[[#This Row],[Rank Pedro]]="Medium","Purple",IF(TableRelationships12[[#This Row],[Rank Pedro]]="High","Brown","")))</f>
        <v/>
      </c>
      <c r="V118" s="4" t="e">
        <f>MAX(INDEX(Standards!$F$2:$F$296,MATCH(B118,Standards!$B$2:$B$296,0)),INDEX(Standards!$F$2:$F$296,MATCH(C118,Standards!$B$2:$B$296,0)))</f>
        <v>#N/A</v>
      </c>
      <c r="W118" t="str">
        <f t="shared" si="5"/>
        <v>#2f89d1</v>
      </c>
    </row>
    <row r="119" spans="1:23" x14ac:dyDescent="0.5">
      <c r="A119" s="54">
        <v>118</v>
      </c>
      <c r="B119" s="90" t="s">
        <v>279</v>
      </c>
      <c r="C119" t="s">
        <v>2110</v>
      </c>
      <c r="D119" s="1" t="s">
        <v>1676</v>
      </c>
      <c r="E119" s="113">
        <v>2008.12</v>
      </c>
      <c r="F119" s="113">
        <v>2008.12</v>
      </c>
      <c r="G119" s="107" t="s">
        <v>1718</v>
      </c>
      <c r="H119">
        <f>INDEX('GIS-Standards'!$A$2:$A$305,MATCH(B119,'GIS-Standards'!$B$2:$B$305,0))</f>
        <v>6</v>
      </c>
      <c r="I119" t="e">
        <f>INDEX('GIS-Standards'!$A$2:$A$305,MATCH(C119,'GIS-Standards'!$B$2:$B$305,0))</f>
        <v>#N/A</v>
      </c>
      <c r="J119" t="str">
        <f>INDEX('GIS-Standards'!$O$2:$O$305,MATCH(B119,'GIS-Standards'!$B$2:$B$305,0))</f>
        <v>ISO/TC 59</v>
      </c>
      <c r="K119" t="e">
        <f>INDEX('GIS-Standards'!$O$2:$O$305,MATCH(C119,'GIS-Standards'!$B$2:$B$305,0))</f>
        <v>#N/A</v>
      </c>
      <c r="M119" t="s">
        <v>525</v>
      </c>
      <c r="N119">
        <f>INDEX('GIS-Standards'!$I$2:$I$305,MATCH(B119,'GIS-Standards'!$B$2:$B$305,0))</f>
        <v>0</v>
      </c>
      <c r="O119" t="e">
        <f>INDEX('GIS-Standards'!$I$2:$I$305,MATCH(C119,'GIS-Standards'!$B$2:$B$305,0))</f>
        <v>#N/A</v>
      </c>
      <c r="P119" t="e">
        <f>AND(TableRelationships12[[#This Row],[Source Type]]="BIM",TableRelationships12[[#This Row],[Target Type]]="BIM")</f>
        <v>#N/A</v>
      </c>
      <c r="Q119">
        <f t="shared" si="3"/>
        <v>1</v>
      </c>
      <c r="S119">
        <f t="shared" si="4"/>
        <v>1</v>
      </c>
      <c r="T119" s="102" t="str">
        <f>IF(TableRelationships12[[#This Row],[Rank Pedro]]="Low","linkCategory1",IF(TableRelationships12[[#This Row],[Rank Pedro]]="Medium","linkCategory2",IF(TableRelationships12[[#This Row],[Rank Pedro]]="High","linkCategory3","")))</f>
        <v/>
      </c>
      <c r="U119" s="102" t="str">
        <f>IF(TableRelationships12[[#This Row],[Rank Pedro]]="Low","Pink",IF(TableRelationships12[[#This Row],[Rank Pedro]]="Medium","Purple",IF(TableRelationships12[[#This Row],[Rank Pedro]]="High","Brown","")))</f>
        <v/>
      </c>
      <c r="V119" s="4" t="e">
        <f>MAX(INDEX(Standards!$F$2:$F$296,MATCH(B119,Standards!$B$2:$B$296,0)),INDEX(Standards!$F$2:$F$296,MATCH(C119,Standards!$B$2:$B$296,0)))</f>
        <v>#N/A</v>
      </c>
      <c r="W119" t="str">
        <f t="shared" si="5"/>
        <v>#2f89d1</v>
      </c>
    </row>
    <row r="120" spans="1:23" x14ac:dyDescent="0.5">
      <c r="A120" s="54">
        <v>119</v>
      </c>
      <c r="B120" s="90" t="s">
        <v>279</v>
      </c>
      <c r="C120" t="s">
        <v>1690</v>
      </c>
      <c r="D120" s="1" t="s">
        <v>1676</v>
      </c>
      <c r="E120" s="113">
        <v>2010.06</v>
      </c>
      <c r="F120" s="113">
        <v>2010.06</v>
      </c>
      <c r="G120" s="107" t="s">
        <v>1718</v>
      </c>
      <c r="H120">
        <f>INDEX('GIS-Standards'!$A$2:$A$305,MATCH(B120,'GIS-Standards'!$B$2:$B$305,0))</f>
        <v>6</v>
      </c>
      <c r="I120">
        <f>INDEX('GIS-Standards'!$A$2:$A$305,MATCH(C120,'GIS-Standards'!$B$2:$B$305,0))</f>
        <v>7</v>
      </c>
      <c r="J120" t="str">
        <f>INDEX('GIS-Standards'!$O$2:$O$305,MATCH(B120,'GIS-Standards'!$B$2:$B$305,0))</f>
        <v>ISO/TC 59</v>
      </c>
      <c r="K120" t="str">
        <f>INDEX('GIS-Standards'!$O$2:$O$305,MATCH(C120,'GIS-Standards'!$B$2:$B$305,0))</f>
        <v>ISO/TC 59/SC 14</v>
      </c>
      <c r="M120" t="s">
        <v>525</v>
      </c>
      <c r="N120">
        <f>INDEX('GIS-Standards'!$I$2:$I$305,MATCH(B120,'GIS-Standards'!$B$2:$B$305,0))</f>
        <v>0</v>
      </c>
      <c r="O120">
        <f>INDEX('GIS-Standards'!$I$2:$I$305,MATCH(C120,'GIS-Standards'!$B$2:$B$305,0))</f>
        <v>0</v>
      </c>
      <c r="P120" t="b">
        <f>AND(TableRelationships12[[#This Row],[Source Type]]="BIM",TableRelationships12[[#This Row],[Target Type]]="BIM")</f>
        <v>0</v>
      </c>
      <c r="Q120">
        <f t="shared" si="3"/>
        <v>1</v>
      </c>
      <c r="S120">
        <f t="shared" si="4"/>
        <v>1</v>
      </c>
      <c r="T120" s="102" t="str">
        <f>IF(TableRelationships12[[#This Row],[Rank Pedro]]="Low","linkCategory1",IF(TableRelationships12[[#This Row],[Rank Pedro]]="Medium","linkCategory2",IF(TableRelationships12[[#This Row],[Rank Pedro]]="High","linkCategory3","")))</f>
        <v/>
      </c>
      <c r="U120" s="102" t="str">
        <f>IF(TableRelationships12[[#This Row],[Rank Pedro]]="Low","Pink",IF(TableRelationships12[[#This Row],[Rank Pedro]]="Medium","Purple",IF(TableRelationships12[[#This Row],[Rank Pedro]]="High","Brown","")))</f>
        <v/>
      </c>
      <c r="V120" s="4" t="e">
        <f>MAX(INDEX(Standards!$F$2:$F$296,MATCH(B120,Standards!$B$2:$B$296,0)),INDEX(Standards!$F$2:$F$296,MATCH(C120,Standards!$B$2:$B$296,0)))</f>
        <v>#N/A</v>
      </c>
      <c r="W120" t="str">
        <f t="shared" si="5"/>
        <v>#2f89d1</v>
      </c>
    </row>
    <row r="121" spans="1:23" x14ac:dyDescent="0.5">
      <c r="A121" s="54">
        <v>120</v>
      </c>
      <c r="B121" s="90" t="s">
        <v>279</v>
      </c>
      <c r="C121" t="s">
        <v>144</v>
      </c>
      <c r="D121" s="1" t="s">
        <v>1790</v>
      </c>
      <c r="E121" s="113">
        <v>2005.1</v>
      </c>
      <c r="F121" s="113">
        <v>2024.03</v>
      </c>
      <c r="G121" s="107" t="s">
        <v>1448</v>
      </c>
      <c r="H121">
        <f>INDEX('GIS-Standards'!$A$2:$A$305,MATCH(B121,'GIS-Standards'!$B$2:$B$305,0))</f>
        <v>6</v>
      </c>
      <c r="I121" t="e">
        <f>INDEX('GIS-Standards'!$A$2:$A$305,MATCH(C121,'GIS-Standards'!$B$2:$B$305,0))</f>
        <v>#N/A</v>
      </c>
      <c r="J121" t="str">
        <f>INDEX('GIS-Standards'!$O$2:$O$305,MATCH(B121,'GIS-Standards'!$B$2:$B$305,0))</f>
        <v>ISO/TC 59</v>
      </c>
      <c r="K121" t="e">
        <f>INDEX('GIS-Standards'!$O$2:$O$305,MATCH(C121,'GIS-Standards'!$B$2:$B$305,0))</f>
        <v>#N/A</v>
      </c>
      <c r="M121" t="s">
        <v>525</v>
      </c>
      <c r="N121">
        <f>INDEX('GIS-Standards'!$I$2:$I$305,MATCH(B121,'GIS-Standards'!$B$2:$B$305,0))</f>
        <v>0</v>
      </c>
      <c r="O121" t="e">
        <f>INDEX('GIS-Standards'!$I$2:$I$305,MATCH(C121,'GIS-Standards'!$B$2:$B$305,0))</f>
        <v>#N/A</v>
      </c>
      <c r="P121" t="e">
        <f>AND(TableRelationships12[[#This Row],[Source Type]]="BIM",TableRelationships12[[#This Row],[Target Type]]="BIM")</f>
        <v>#N/A</v>
      </c>
      <c r="Q121">
        <f t="shared" si="3"/>
        <v>1</v>
      </c>
      <c r="S121">
        <f t="shared" si="4"/>
        <v>1</v>
      </c>
      <c r="T121" s="102" t="str">
        <f>IF(TableRelationships12[[#This Row],[Rank Pedro]]="Low","linkCategory1",IF(TableRelationships12[[#This Row],[Rank Pedro]]="Medium","linkCategory2",IF(TableRelationships12[[#This Row],[Rank Pedro]]="High","linkCategory3","")))</f>
        <v/>
      </c>
      <c r="U121" s="102" t="str">
        <f>IF(TableRelationships12[[#This Row],[Rank Pedro]]="Low","Pink",IF(TableRelationships12[[#This Row],[Rank Pedro]]="Medium","Purple",IF(TableRelationships12[[#This Row],[Rank Pedro]]="High","Brown","")))</f>
        <v/>
      </c>
      <c r="V121" s="4">
        <f>MAX(INDEX(Standards!$F$2:$F$296,MATCH(B121,Standards!$B$2:$B$296,0)),INDEX(Standards!$F$2:$F$296,MATCH(C121,Standards!$B$2:$B$296,0)))</f>
        <v>38626</v>
      </c>
      <c r="W121" t="str">
        <f t="shared" si="5"/>
        <v>#2f89d1</v>
      </c>
    </row>
    <row r="122" spans="1:23" x14ac:dyDescent="0.5">
      <c r="A122" s="54">
        <v>121</v>
      </c>
      <c r="B122" s="90" t="s">
        <v>279</v>
      </c>
      <c r="C122" t="s">
        <v>1791</v>
      </c>
      <c r="D122" s="1"/>
      <c r="E122" s="113"/>
      <c r="F122" s="113"/>
      <c r="G122" s="107"/>
      <c r="H122">
        <f>INDEX('GIS-Standards'!$A$2:$A$305,MATCH(B122,'GIS-Standards'!$B$2:$B$305,0))</f>
        <v>6</v>
      </c>
      <c r="I122" t="e">
        <f>INDEX('GIS-Standards'!$A$2:$A$305,MATCH(C122,'GIS-Standards'!$B$2:$B$305,0))</f>
        <v>#N/A</v>
      </c>
      <c r="J122" t="str">
        <f>INDEX('GIS-Standards'!$O$2:$O$305,MATCH(B122,'GIS-Standards'!$B$2:$B$305,0))</f>
        <v>ISO/TC 59</v>
      </c>
      <c r="K122" t="e">
        <f>INDEX('GIS-Standards'!$O$2:$O$305,MATCH(C122,'GIS-Standards'!$B$2:$B$305,0))</f>
        <v>#N/A</v>
      </c>
      <c r="M122" t="s">
        <v>525</v>
      </c>
      <c r="N122">
        <f>INDEX('GIS-Standards'!$I$2:$I$305,MATCH(B122,'GIS-Standards'!$B$2:$B$305,0))</f>
        <v>0</v>
      </c>
      <c r="O122" t="e">
        <f>INDEX('GIS-Standards'!$I$2:$I$305,MATCH(C122,'GIS-Standards'!$B$2:$B$305,0))</f>
        <v>#N/A</v>
      </c>
      <c r="P122" t="e">
        <f>AND(TableRelationships12[[#This Row],[Source Type]]="BIM",TableRelationships12[[#This Row],[Target Type]]="BIM")</f>
        <v>#N/A</v>
      </c>
      <c r="Q122">
        <f t="shared" si="3"/>
        <v>1</v>
      </c>
      <c r="S122">
        <f t="shared" si="4"/>
        <v>1</v>
      </c>
      <c r="T122" s="102" t="str">
        <f>IF(TableRelationships12[[#This Row],[Rank Pedro]]="Low","linkCategory1",IF(TableRelationships12[[#This Row],[Rank Pedro]]="Medium","linkCategory2",IF(TableRelationships12[[#This Row],[Rank Pedro]]="High","linkCategory3","")))</f>
        <v/>
      </c>
      <c r="U122" s="102" t="str">
        <f>IF(TableRelationships12[[#This Row],[Rank Pedro]]="Low","Pink",IF(TableRelationships12[[#This Row],[Rank Pedro]]="Medium","Purple",IF(TableRelationships12[[#This Row],[Rank Pedro]]="High","Brown","")))</f>
        <v/>
      </c>
      <c r="V122" s="4" t="e">
        <f>MAX(INDEX(Standards!$F$2:$F$296,MATCH(B122,Standards!$B$2:$B$296,0)),INDEX(Standards!$F$2:$F$296,MATCH(C122,Standards!$B$2:$B$296,0)))</f>
        <v>#N/A</v>
      </c>
      <c r="W122" t="str">
        <f t="shared" si="5"/>
        <v>#2f89d1</v>
      </c>
    </row>
    <row r="123" spans="1:23" x14ac:dyDescent="0.5">
      <c r="A123" s="54">
        <v>122</v>
      </c>
      <c r="B123" s="90" t="s">
        <v>279</v>
      </c>
      <c r="C123" t="s">
        <v>1792</v>
      </c>
      <c r="D123" s="1"/>
      <c r="E123" s="113"/>
      <c r="F123" s="113"/>
      <c r="G123" s="107"/>
      <c r="H123">
        <f>INDEX('GIS-Standards'!$A$2:$A$305,MATCH(B123,'GIS-Standards'!$B$2:$B$305,0))</f>
        <v>6</v>
      </c>
      <c r="I123" t="e">
        <f>INDEX('GIS-Standards'!$A$2:$A$305,MATCH(C123,'GIS-Standards'!$B$2:$B$305,0))</f>
        <v>#N/A</v>
      </c>
      <c r="J123" t="str">
        <f>INDEX('GIS-Standards'!$O$2:$O$305,MATCH(B123,'GIS-Standards'!$B$2:$B$305,0))</f>
        <v>ISO/TC 59</v>
      </c>
      <c r="K123" t="e">
        <f>INDEX('GIS-Standards'!$O$2:$O$305,MATCH(C123,'GIS-Standards'!$B$2:$B$305,0))</f>
        <v>#N/A</v>
      </c>
      <c r="M123" t="s">
        <v>525</v>
      </c>
      <c r="N123">
        <f>INDEX('GIS-Standards'!$I$2:$I$305,MATCH(B123,'GIS-Standards'!$B$2:$B$305,0))</f>
        <v>0</v>
      </c>
      <c r="O123" t="e">
        <f>INDEX('GIS-Standards'!$I$2:$I$305,MATCH(C123,'GIS-Standards'!$B$2:$B$305,0))</f>
        <v>#N/A</v>
      </c>
      <c r="P123" t="e">
        <f>AND(TableRelationships12[[#This Row],[Source Type]]="BIM",TableRelationships12[[#This Row],[Target Type]]="BIM")</f>
        <v>#N/A</v>
      </c>
      <c r="Q123">
        <f t="shared" si="3"/>
        <v>1</v>
      </c>
      <c r="S123">
        <f t="shared" si="4"/>
        <v>1</v>
      </c>
      <c r="T123" s="102" t="str">
        <f>IF(TableRelationships12[[#This Row],[Rank Pedro]]="Low","linkCategory1",IF(TableRelationships12[[#This Row],[Rank Pedro]]="Medium","linkCategory2",IF(TableRelationships12[[#This Row],[Rank Pedro]]="High","linkCategory3","")))</f>
        <v/>
      </c>
      <c r="U123" s="102" t="str">
        <f>IF(TableRelationships12[[#This Row],[Rank Pedro]]="Low","Pink",IF(TableRelationships12[[#This Row],[Rank Pedro]]="Medium","Purple",IF(TableRelationships12[[#This Row],[Rank Pedro]]="High","Brown","")))</f>
        <v/>
      </c>
      <c r="V123" s="4" t="e">
        <f>MAX(INDEX(Standards!$F$2:$F$296,MATCH(B123,Standards!$B$2:$B$296,0)),INDEX(Standards!$F$2:$F$296,MATCH(C123,Standards!$B$2:$B$296,0)))</f>
        <v>#N/A</v>
      </c>
      <c r="W123" t="str">
        <f t="shared" si="5"/>
        <v>#2f89d1</v>
      </c>
    </row>
    <row r="124" spans="1:23" x14ac:dyDescent="0.5">
      <c r="A124" s="54">
        <v>123</v>
      </c>
      <c r="B124" s="90" t="s">
        <v>279</v>
      </c>
      <c r="C124" t="s">
        <v>1793</v>
      </c>
      <c r="D124" s="1"/>
      <c r="E124" s="113"/>
      <c r="F124" s="113"/>
      <c r="G124" s="107"/>
      <c r="H124">
        <f>INDEX('GIS-Standards'!$A$2:$A$305,MATCH(B124,'GIS-Standards'!$B$2:$B$305,0))</f>
        <v>6</v>
      </c>
      <c r="I124" t="e">
        <f>INDEX('GIS-Standards'!$A$2:$A$305,MATCH(C124,'GIS-Standards'!$B$2:$B$305,0))</f>
        <v>#N/A</v>
      </c>
      <c r="J124" t="str">
        <f>INDEX('GIS-Standards'!$O$2:$O$305,MATCH(B124,'GIS-Standards'!$B$2:$B$305,0))</f>
        <v>ISO/TC 59</v>
      </c>
      <c r="K124" t="e">
        <f>INDEX('GIS-Standards'!$O$2:$O$305,MATCH(C124,'GIS-Standards'!$B$2:$B$305,0))</f>
        <v>#N/A</v>
      </c>
      <c r="M124" t="s">
        <v>525</v>
      </c>
      <c r="N124">
        <f>INDEX('GIS-Standards'!$I$2:$I$305,MATCH(B124,'GIS-Standards'!$B$2:$B$305,0))</f>
        <v>0</v>
      </c>
      <c r="O124" t="e">
        <f>INDEX('GIS-Standards'!$I$2:$I$305,MATCH(C124,'GIS-Standards'!$B$2:$B$305,0))</f>
        <v>#N/A</v>
      </c>
      <c r="P124" t="e">
        <f>AND(TableRelationships12[[#This Row],[Source Type]]="BIM",TableRelationships12[[#This Row],[Target Type]]="BIM")</f>
        <v>#N/A</v>
      </c>
      <c r="Q124">
        <f t="shared" si="3"/>
        <v>1</v>
      </c>
      <c r="S124">
        <f t="shared" si="4"/>
        <v>1</v>
      </c>
      <c r="T124" s="102" t="str">
        <f>IF(TableRelationships12[[#This Row],[Rank Pedro]]="Low","linkCategory1",IF(TableRelationships12[[#This Row],[Rank Pedro]]="Medium","linkCategory2",IF(TableRelationships12[[#This Row],[Rank Pedro]]="High","linkCategory3","")))</f>
        <v/>
      </c>
      <c r="U124" s="102" t="str">
        <f>IF(TableRelationships12[[#This Row],[Rank Pedro]]="Low","Pink",IF(TableRelationships12[[#This Row],[Rank Pedro]]="Medium","Purple",IF(TableRelationships12[[#This Row],[Rank Pedro]]="High","Brown","")))</f>
        <v/>
      </c>
      <c r="V124" s="4" t="e">
        <f>MAX(INDEX(Standards!$F$2:$F$296,MATCH(B124,Standards!$B$2:$B$296,0)),INDEX(Standards!$F$2:$F$296,MATCH(C124,Standards!$B$2:$B$296,0)))</f>
        <v>#N/A</v>
      </c>
      <c r="W124" t="str">
        <f t="shared" si="5"/>
        <v>#2f89d1</v>
      </c>
    </row>
    <row r="125" spans="1:23" x14ac:dyDescent="0.5">
      <c r="A125" s="54">
        <v>124</v>
      </c>
      <c r="B125" s="90" t="s">
        <v>279</v>
      </c>
      <c r="C125" t="s">
        <v>1794</v>
      </c>
      <c r="D125" s="1"/>
      <c r="E125" s="113"/>
      <c r="F125" s="113"/>
      <c r="G125" s="107"/>
      <c r="H125">
        <f>INDEX('GIS-Standards'!$A$2:$A$305,MATCH(B125,'GIS-Standards'!$B$2:$B$305,0))</f>
        <v>6</v>
      </c>
      <c r="I125" t="e">
        <f>INDEX('GIS-Standards'!$A$2:$A$305,MATCH(C125,'GIS-Standards'!$B$2:$B$305,0))</f>
        <v>#N/A</v>
      </c>
      <c r="J125" t="str">
        <f>INDEX('GIS-Standards'!$O$2:$O$305,MATCH(B125,'GIS-Standards'!$B$2:$B$305,0))</f>
        <v>ISO/TC 59</v>
      </c>
      <c r="K125" t="e">
        <f>INDEX('GIS-Standards'!$O$2:$O$305,MATCH(C125,'GIS-Standards'!$B$2:$B$305,0))</f>
        <v>#N/A</v>
      </c>
      <c r="M125" t="s">
        <v>525</v>
      </c>
      <c r="N125">
        <f>INDEX('GIS-Standards'!$I$2:$I$305,MATCH(B125,'GIS-Standards'!$B$2:$B$305,0))</f>
        <v>0</v>
      </c>
      <c r="O125" t="e">
        <f>INDEX('GIS-Standards'!$I$2:$I$305,MATCH(C125,'GIS-Standards'!$B$2:$B$305,0))</f>
        <v>#N/A</v>
      </c>
      <c r="P125" t="e">
        <f>AND(TableRelationships12[[#This Row],[Source Type]]="BIM",TableRelationships12[[#This Row],[Target Type]]="BIM")</f>
        <v>#N/A</v>
      </c>
      <c r="Q125">
        <f t="shared" si="3"/>
        <v>1</v>
      </c>
      <c r="S125">
        <f t="shared" si="4"/>
        <v>1</v>
      </c>
      <c r="T125" s="102" t="str">
        <f>IF(TableRelationships12[[#This Row],[Rank Pedro]]="Low","linkCategory1",IF(TableRelationships12[[#This Row],[Rank Pedro]]="Medium","linkCategory2",IF(TableRelationships12[[#This Row],[Rank Pedro]]="High","linkCategory3","")))</f>
        <v/>
      </c>
      <c r="U125" s="102" t="str">
        <f>IF(TableRelationships12[[#This Row],[Rank Pedro]]="Low","Pink",IF(TableRelationships12[[#This Row],[Rank Pedro]]="Medium","Purple",IF(TableRelationships12[[#This Row],[Rank Pedro]]="High","Brown","")))</f>
        <v/>
      </c>
      <c r="V125" s="4" t="e">
        <f>MAX(INDEX(Standards!$F$2:$F$296,MATCH(B125,Standards!$B$2:$B$296,0)),INDEX(Standards!$F$2:$F$296,MATCH(C125,Standards!$B$2:$B$296,0)))</f>
        <v>#N/A</v>
      </c>
      <c r="W125" t="str">
        <f t="shared" si="5"/>
        <v>#2f89d1</v>
      </c>
    </row>
    <row r="126" spans="1:23" x14ac:dyDescent="0.5">
      <c r="A126" s="54">
        <v>125</v>
      </c>
      <c r="B126" s="90" t="s">
        <v>279</v>
      </c>
      <c r="C126" t="s">
        <v>1795</v>
      </c>
      <c r="D126" s="1"/>
      <c r="E126" s="113"/>
      <c r="F126" s="113"/>
      <c r="G126" s="107"/>
      <c r="H126">
        <f>INDEX('GIS-Standards'!$A$2:$A$305,MATCH(B126,'GIS-Standards'!$B$2:$B$305,0))</f>
        <v>6</v>
      </c>
      <c r="I126" t="e">
        <f>INDEX('GIS-Standards'!$A$2:$A$305,MATCH(C126,'GIS-Standards'!$B$2:$B$305,0))</f>
        <v>#N/A</v>
      </c>
      <c r="J126" t="str">
        <f>INDEX('GIS-Standards'!$O$2:$O$305,MATCH(B126,'GIS-Standards'!$B$2:$B$305,0))</f>
        <v>ISO/TC 59</v>
      </c>
      <c r="K126" t="e">
        <f>INDEX('GIS-Standards'!$O$2:$O$305,MATCH(C126,'GIS-Standards'!$B$2:$B$305,0))</f>
        <v>#N/A</v>
      </c>
      <c r="M126" t="s">
        <v>525</v>
      </c>
      <c r="N126">
        <f>INDEX('GIS-Standards'!$I$2:$I$305,MATCH(B126,'GIS-Standards'!$B$2:$B$305,0))</f>
        <v>0</v>
      </c>
      <c r="O126" t="e">
        <f>INDEX('GIS-Standards'!$I$2:$I$305,MATCH(C126,'GIS-Standards'!$B$2:$B$305,0))</f>
        <v>#N/A</v>
      </c>
      <c r="P126" t="e">
        <f>AND(TableRelationships12[[#This Row],[Source Type]]="BIM",TableRelationships12[[#This Row],[Target Type]]="BIM")</f>
        <v>#N/A</v>
      </c>
      <c r="Q126">
        <f t="shared" si="3"/>
        <v>1</v>
      </c>
      <c r="S126">
        <f t="shared" si="4"/>
        <v>1</v>
      </c>
      <c r="T126" s="102" t="str">
        <f>IF(TableRelationships12[[#This Row],[Rank Pedro]]="Low","linkCategory1",IF(TableRelationships12[[#This Row],[Rank Pedro]]="Medium","linkCategory2",IF(TableRelationships12[[#This Row],[Rank Pedro]]="High","linkCategory3","")))</f>
        <v/>
      </c>
      <c r="U126" s="102" t="str">
        <f>IF(TableRelationships12[[#This Row],[Rank Pedro]]="Low","Pink",IF(TableRelationships12[[#This Row],[Rank Pedro]]="Medium","Purple",IF(TableRelationships12[[#This Row],[Rank Pedro]]="High","Brown","")))</f>
        <v/>
      </c>
      <c r="V126" s="4" t="e">
        <f>MAX(INDEX(Standards!$F$2:$F$296,MATCH(B126,Standards!$B$2:$B$296,0)),INDEX(Standards!$F$2:$F$296,MATCH(C126,Standards!$B$2:$B$296,0)))</f>
        <v>#N/A</v>
      </c>
      <c r="W126" t="str">
        <f t="shared" si="5"/>
        <v>#2f89d1</v>
      </c>
    </row>
    <row r="127" spans="1:23" x14ac:dyDescent="0.5">
      <c r="A127" s="54">
        <v>126</v>
      </c>
      <c r="B127" s="90" t="s">
        <v>279</v>
      </c>
      <c r="C127" t="s">
        <v>1796</v>
      </c>
      <c r="D127" s="1"/>
      <c r="E127" s="113"/>
      <c r="F127" s="113"/>
      <c r="G127" s="107"/>
      <c r="H127">
        <f>INDEX('GIS-Standards'!$A$2:$A$305,MATCH(B127,'GIS-Standards'!$B$2:$B$305,0))</f>
        <v>6</v>
      </c>
      <c r="I127" t="e">
        <f>INDEX('GIS-Standards'!$A$2:$A$305,MATCH(C127,'GIS-Standards'!$B$2:$B$305,0))</f>
        <v>#N/A</v>
      </c>
      <c r="J127" t="str">
        <f>INDEX('GIS-Standards'!$O$2:$O$305,MATCH(B127,'GIS-Standards'!$B$2:$B$305,0))</f>
        <v>ISO/TC 59</v>
      </c>
      <c r="K127" t="e">
        <f>INDEX('GIS-Standards'!$O$2:$O$305,MATCH(C127,'GIS-Standards'!$B$2:$B$305,0))</f>
        <v>#N/A</v>
      </c>
      <c r="M127" t="s">
        <v>525</v>
      </c>
      <c r="N127">
        <f>INDEX('GIS-Standards'!$I$2:$I$305,MATCH(B127,'GIS-Standards'!$B$2:$B$305,0))</f>
        <v>0</v>
      </c>
      <c r="O127" t="e">
        <f>INDEX('GIS-Standards'!$I$2:$I$305,MATCH(C127,'GIS-Standards'!$B$2:$B$305,0))</f>
        <v>#N/A</v>
      </c>
      <c r="P127" t="e">
        <f>AND(TableRelationships12[[#This Row],[Source Type]]="BIM",TableRelationships12[[#This Row],[Target Type]]="BIM")</f>
        <v>#N/A</v>
      </c>
      <c r="Q127">
        <f t="shared" si="3"/>
        <v>1</v>
      </c>
      <c r="S127">
        <f t="shared" si="4"/>
        <v>1</v>
      </c>
      <c r="T127" s="102" t="str">
        <f>IF(TableRelationships12[[#This Row],[Rank Pedro]]="Low","linkCategory1",IF(TableRelationships12[[#This Row],[Rank Pedro]]="Medium","linkCategory2",IF(TableRelationships12[[#This Row],[Rank Pedro]]="High","linkCategory3","")))</f>
        <v/>
      </c>
      <c r="U127" s="102" t="str">
        <f>IF(TableRelationships12[[#This Row],[Rank Pedro]]="Low","Pink",IF(TableRelationships12[[#This Row],[Rank Pedro]]="Medium","Purple",IF(TableRelationships12[[#This Row],[Rank Pedro]]="High","Brown","")))</f>
        <v/>
      </c>
      <c r="V127" s="4" t="e">
        <f>MAX(INDEX(Standards!$F$2:$F$296,MATCH(B127,Standards!$B$2:$B$296,0)),INDEX(Standards!$F$2:$F$296,MATCH(C127,Standards!$B$2:$B$296,0)))</f>
        <v>#N/A</v>
      </c>
      <c r="W127" t="str">
        <f t="shared" si="5"/>
        <v>#2f89d1</v>
      </c>
    </row>
    <row r="128" spans="1:23" x14ac:dyDescent="0.5">
      <c r="A128" s="54">
        <v>127</v>
      </c>
      <c r="B128" s="90" t="s">
        <v>279</v>
      </c>
      <c r="C128" t="s">
        <v>1797</v>
      </c>
      <c r="D128" s="1"/>
      <c r="E128" s="113"/>
      <c r="F128" s="113"/>
      <c r="G128" s="107"/>
      <c r="H128">
        <f>INDEX('GIS-Standards'!$A$2:$A$305,MATCH(B128,'GIS-Standards'!$B$2:$B$305,0))</f>
        <v>6</v>
      </c>
      <c r="I128" t="e">
        <f>INDEX('GIS-Standards'!$A$2:$A$305,MATCH(C128,'GIS-Standards'!$B$2:$B$305,0))</f>
        <v>#N/A</v>
      </c>
      <c r="J128" t="str">
        <f>INDEX('GIS-Standards'!$O$2:$O$305,MATCH(B128,'GIS-Standards'!$B$2:$B$305,0))</f>
        <v>ISO/TC 59</v>
      </c>
      <c r="K128" t="e">
        <f>INDEX('GIS-Standards'!$O$2:$O$305,MATCH(C128,'GIS-Standards'!$B$2:$B$305,0))</f>
        <v>#N/A</v>
      </c>
      <c r="M128" t="s">
        <v>525</v>
      </c>
      <c r="N128">
        <f>INDEX('GIS-Standards'!$I$2:$I$305,MATCH(B128,'GIS-Standards'!$B$2:$B$305,0))</f>
        <v>0</v>
      </c>
      <c r="O128" t="e">
        <f>INDEX('GIS-Standards'!$I$2:$I$305,MATCH(C128,'GIS-Standards'!$B$2:$B$305,0))</f>
        <v>#N/A</v>
      </c>
      <c r="P128" t="e">
        <f>AND(TableRelationships12[[#This Row],[Source Type]]="BIM",TableRelationships12[[#This Row],[Target Type]]="BIM")</f>
        <v>#N/A</v>
      </c>
      <c r="Q128">
        <f t="shared" si="3"/>
        <v>1</v>
      </c>
      <c r="S128">
        <f t="shared" si="4"/>
        <v>1</v>
      </c>
      <c r="T128" s="102" t="str">
        <f>IF(TableRelationships12[[#This Row],[Rank Pedro]]="Low","linkCategory1",IF(TableRelationships12[[#This Row],[Rank Pedro]]="Medium","linkCategory2",IF(TableRelationships12[[#This Row],[Rank Pedro]]="High","linkCategory3","")))</f>
        <v/>
      </c>
      <c r="U128" s="102" t="str">
        <f>IF(TableRelationships12[[#This Row],[Rank Pedro]]="Low","Pink",IF(TableRelationships12[[#This Row],[Rank Pedro]]="Medium","Purple",IF(TableRelationships12[[#This Row],[Rank Pedro]]="High","Brown","")))</f>
        <v/>
      </c>
      <c r="V128" s="4" t="e">
        <f>MAX(INDEX(Standards!$F$2:$F$296,MATCH(B128,Standards!$B$2:$B$296,0)),INDEX(Standards!$F$2:$F$296,MATCH(C128,Standards!$B$2:$B$296,0)))</f>
        <v>#N/A</v>
      </c>
      <c r="W128" t="str">
        <f t="shared" si="5"/>
        <v>#2f89d1</v>
      </c>
    </row>
    <row r="129" spans="1:23" x14ac:dyDescent="0.5">
      <c r="A129" s="54">
        <v>128</v>
      </c>
      <c r="B129" s="90" t="s">
        <v>279</v>
      </c>
      <c r="C129" t="s">
        <v>1798</v>
      </c>
      <c r="D129" s="1"/>
      <c r="E129" s="113"/>
      <c r="F129" s="113"/>
      <c r="G129" s="107"/>
      <c r="H129">
        <f>INDEX('GIS-Standards'!$A$2:$A$305,MATCH(B129,'GIS-Standards'!$B$2:$B$305,0))</f>
        <v>6</v>
      </c>
      <c r="I129" t="e">
        <f>INDEX('GIS-Standards'!$A$2:$A$305,MATCH(C129,'GIS-Standards'!$B$2:$B$305,0))</f>
        <v>#N/A</v>
      </c>
      <c r="J129" t="str">
        <f>INDEX('GIS-Standards'!$O$2:$O$305,MATCH(B129,'GIS-Standards'!$B$2:$B$305,0))</f>
        <v>ISO/TC 59</v>
      </c>
      <c r="K129" t="e">
        <f>INDEX('GIS-Standards'!$O$2:$O$305,MATCH(C129,'GIS-Standards'!$B$2:$B$305,0))</f>
        <v>#N/A</v>
      </c>
      <c r="M129" t="s">
        <v>525</v>
      </c>
      <c r="N129">
        <f>INDEX('GIS-Standards'!$I$2:$I$305,MATCH(B129,'GIS-Standards'!$B$2:$B$305,0))</f>
        <v>0</v>
      </c>
      <c r="O129" t="e">
        <f>INDEX('GIS-Standards'!$I$2:$I$305,MATCH(C129,'GIS-Standards'!$B$2:$B$305,0))</f>
        <v>#N/A</v>
      </c>
      <c r="P129" t="e">
        <f>AND(TableRelationships12[[#This Row],[Source Type]]="BIM",TableRelationships12[[#This Row],[Target Type]]="BIM")</f>
        <v>#N/A</v>
      </c>
      <c r="Q129">
        <f t="shared" si="3"/>
        <v>1</v>
      </c>
      <c r="S129">
        <f t="shared" si="4"/>
        <v>1</v>
      </c>
      <c r="T129" s="102" t="str">
        <f>IF(TableRelationships12[[#This Row],[Rank Pedro]]="Low","linkCategory1",IF(TableRelationships12[[#This Row],[Rank Pedro]]="Medium","linkCategory2",IF(TableRelationships12[[#This Row],[Rank Pedro]]="High","linkCategory3","")))</f>
        <v/>
      </c>
      <c r="U129" s="102" t="str">
        <f>IF(TableRelationships12[[#This Row],[Rank Pedro]]="Low","Pink",IF(TableRelationships12[[#This Row],[Rank Pedro]]="Medium","Purple",IF(TableRelationships12[[#This Row],[Rank Pedro]]="High","Brown","")))</f>
        <v/>
      </c>
      <c r="V129" s="4" t="e">
        <f>MAX(INDEX(Standards!$F$2:$F$296,MATCH(B129,Standards!$B$2:$B$296,0)),INDEX(Standards!$F$2:$F$296,MATCH(C129,Standards!$B$2:$B$296,0)))</f>
        <v>#N/A</v>
      </c>
      <c r="W129" t="str">
        <f t="shared" si="5"/>
        <v>#2f89d1</v>
      </c>
    </row>
    <row r="130" spans="1:23" x14ac:dyDescent="0.5">
      <c r="A130" s="54">
        <v>129</v>
      </c>
      <c r="B130" s="90" t="s">
        <v>279</v>
      </c>
      <c r="C130" t="s">
        <v>1799</v>
      </c>
      <c r="D130" s="1"/>
      <c r="E130" s="113"/>
      <c r="F130" s="113"/>
      <c r="G130" s="107"/>
      <c r="H130">
        <f>INDEX('GIS-Standards'!$A$2:$A$305,MATCH(B130,'GIS-Standards'!$B$2:$B$305,0))</f>
        <v>6</v>
      </c>
      <c r="I130" t="e">
        <f>INDEX('GIS-Standards'!$A$2:$A$305,MATCH(C130,'GIS-Standards'!$B$2:$B$305,0))</f>
        <v>#N/A</v>
      </c>
      <c r="J130" t="str">
        <f>INDEX('GIS-Standards'!$O$2:$O$305,MATCH(B130,'GIS-Standards'!$B$2:$B$305,0))</f>
        <v>ISO/TC 59</v>
      </c>
      <c r="K130" t="e">
        <f>INDEX('GIS-Standards'!$O$2:$O$305,MATCH(C130,'GIS-Standards'!$B$2:$B$305,0))</f>
        <v>#N/A</v>
      </c>
      <c r="M130" t="s">
        <v>525</v>
      </c>
      <c r="N130">
        <f>INDEX('GIS-Standards'!$I$2:$I$305,MATCH(B130,'GIS-Standards'!$B$2:$B$305,0))</f>
        <v>0</v>
      </c>
      <c r="O130" t="e">
        <f>INDEX('GIS-Standards'!$I$2:$I$305,MATCH(C130,'GIS-Standards'!$B$2:$B$305,0))</f>
        <v>#N/A</v>
      </c>
      <c r="P130" t="e">
        <f>AND(TableRelationships12[[#This Row],[Source Type]]="BIM",TableRelationships12[[#This Row],[Target Type]]="BIM")</f>
        <v>#N/A</v>
      </c>
      <c r="Q130">
        <f t="shared" ref="Q130:Q193" si="6">IF(M130="Normative",6,IF(M130="Secondary",4,IF(M130="Anchor",2,1)))</f>
        <v>1</v>
      </c>
      <c r="S130">
        <f t="shared" ref="S130:S193" si="7">IF(R130="High",10,IF(R130="Medium",6,IF(R130="Low",2,1)))</f>
        <v>1</v>
      </c>
      <c r="T130" s="102" t="str">
        <f>IF(TableRelationships12[[#This Row],[Rank Pedro]]="Low","linkCategory1",IF(TableRelationships12[[#This Row],[Rank Pedro]]="Medium","linkCategory2",IF(TableRelationships12[[#This Row],[Rank Pedro]]="High","linkCategory3","")))</f>
        <v/>
      </c>
      <c r="U130" s="102" t="str">
        <f>IF(TableRelationships12[[#This Row],[Rank Pedro]]="Low","Pink",IF(TableRelationships12[[#This Row],[Rank Pedro]]="Medium","Purple",IF(TableRelationships12[[#This Row],[Rank Pedro]]="High","Brown","")))</f>
        <v/>
      </c>
      <c r="V130" s="4" t="e">
        <f>MAX(INDEX(Standards!$F$2:$F$296,MATCH(B130,Standards!$B$2:$B$296,0)),INDEX(Standards!$F$2:$F$296,MATCH(C130,Standards!$B$2:$B$296,0)))</f>
        <v>#N/A</v>
      </c>
      <c r="W130" t="str">
        <f t="shared" ref="W130:W193" si="8">IF(M130="Normative", "#d6bf2a", IF(M130="Informative", "#2f89d1", 1))</f>
        <v>#2f89d1</v>
      </c>
    </row>
    <row r="131" spans="1:23" x14ac:dyDescent="0.5">
      <c r="A131" s="54">
        <v>130</v>
      </c>
      <c r="B131" s="90" t="s">
        <v>279</v>
      </c>
      <c r="C131" t="s">
        <v>68</v>
      </c>
      <c r="D131" s="1" t="s">
        <v>1781</v>
      </c>
      <c r="E131" s="113" t="s">
        <v>2045</v>
      </c>
      <c r="F131" s="113">
        <v>2022.07</v>
      </c>
      <c r="G131" s="107" t="s">
        <v>2043</v>
      </c>
      <c r="H131">
        <f>INDEX('GIS-Standards'!$A$2:$A$305,MATCH(B131,'GIS-Standards'!$B$2:$B$305,0))</f>
        <v>6</v>
      </c>
      <c r="I131" t="e">
        <f>INDEX('GIS-Standards'!$A$2:$A$305,MATCH(C131,'GIS-Standards'!$B$2:$B$305,0))</f>
        <v>#N/A</v>
      </c>
      <c r="J131" t="str">
        <f>INDEX('GIS-Standards'!$O$2:$O$305,MATCH(B131,'GIS-Standards'!$B$2:$B$305,0))</f>
        <v>ISO/TC 59</v>
      </c>
      <c r="K131" t="e">
        <f>INDEX('GIS-Standards'!$O$2:$O$305,MATCH(C131,'GIS-Standards'!$B$2:$B$305,0))</f>
        <v>#N/A</v>
      </c>
      <c r="M131" t="s">
        <v>525</v>
      </c>
      <c r="N131">
        <f>INDEX('GIS-Standards'!$I$2:$I$305,MATCH(B131,'GIS-Standards'!$B$2:$B$305,0))</f>
        <v>0</v>
      </c>
      <c r="O131" t="e">
        <f>INDEX('GIS-Standards'!$I$2:$I$305,MATCH(C131,'GIS-Standards'!$B$2:$B$305,0))</f>
        <v>#N/A</v>
      </c>
      <c r="P131" t="e">
        <f>AND(TableRelationships12[[#This Row],[Source Type]]="BIM",TableRelationships12[[#This Row],[Target Type]]="BIM")</f>
        <v>#N/A</v>
      </c>
      <c r="Q131">
        <f t="shared" si="6"/>
        <v>1</v>
      </c>
      <c r="S131">
        <f t="shared" si="7"/>
        <v>1</v>
      </c>
      <c r="T131" s="102" t="str">
        <f>IF(TableRelationships12[[#This Row],[Rank Pedro]]="Low","linkCategory1",IF(TableRelationships12[[#This Row],[Rank Pedro]]="Medium","linkCategory2",IF(TableRelationships12[[#This Row],[Rank Pedro]]="High","linkCategory3","")))</f>
        <v/>
      </c>
      <c r="U131" s="102" t="str">
        <f>IF(TableRelationships12[[#This Row],[Rank Pedro]]="Low","Pink",IF(TableRelationships12[[#This Row],[Rank Pedro]]="Medium","Purple",IF(TableRelationships12[[#This Row],[Rank Pedro]]="High","Brown","")))</f>
        <v/>
      </c>
      <c r="V131" s="4">
        <f>MAX(INDEX(Standards!$F$2:$F$296,MATCH(B131,Standards!$B$2:$B$296,0)),INDEX(Standards!$F$2:$F$296,MATCH(C131,Standards!$B$2:$B$296,0)))</f>
        <v>37165</v>
      </c>
      <c r="W131" t="str">
        <f t="shared" si="8"/>
        <v>#2f89d1</v>
      </c>
    </row>
    <row r="132" spans="1:23" x14ac:dyDescent="0.5">
      <c r="A132" s="54">
        <v>131</v>
      </c>
      <c r="B132" s="90" t="s">
        <v>1690</v>
      </c>
      <c r="C132" t="s">
        <v>527</v>
      </c>
      <c r="D132" s="1"/>
      <c r="E132" s="113">
        <v>2010.06</v>
      </c>
      <c r="F132" s="113">
        <v>2010.06</v>
      </c>
      <c r="G132" s="91" t="s">
        <v>1804</v>
      </c>
      <c r="H132">
        <f>INDEX('GIS-Standards'!$A$2:$A$305,MATCH(B132,'GIS-Standards'!$B$2:$B$305,0))</f>
        <v>7</v>
      </c>
      <c r="I132" t="e">
        <f>INDEX('GIS-Standards'!$A$2:$A$305,MATCH(C132,'GIS-Standards'!$B$2:$B$305,0))</f>
        <v>#N/A</v>
      </c>
      <c r="J132" t="str">
        <f>INDEX('GIS-Standards'!$O$2:$O$305,MATCH(B132,'GIS-Standards'!$B$2:$B$305,0))</f>
        <v>ISO/TC 59/SC 14</v>
      </c>
      <c r="K132" t="e">
        <f>INDEX('GIS-Standards'!$O$2:$O$305,MATCH(C132,'GIS-Standards'!$B$2:$B$305,0))</f>
        <v>#N/A</v>
      </c>
      <c r="M132" t="s">
        <v>237</v>
      </c>
      <c r="N132">
        <f>INDEX('GIS-Standards'!$I$2:$I$305,MATCH(B132,'GIS-Standards'!$B$2:$B$305,0))</f>
        <v>0</v>
      </c>
      <c r="O132" t="e">
        <f>INDEX('GIS-Standards'!$I$2:$I$305,MATCH(C132,'GIS-Standards'!$B$2:$B$305,0))</f>
        <v>#N/A</v>
      </c>
      <c r="P132" t="e">
        <f>AND(TableRelationships12[[#This Row],[Source Type]]="BIM",TableRelationships12[[#This Row],[Target Type]]="BIM")</f>
        <v>#N/A</v>
      </c>
      <c r="Q132">
        <f t="shared" si="6"/>
        <v>2</v>
      </c>
      <c r="S132">
        <f t="shared" si="7"/>
        <v>1</v>
      </c>
      <c r="T132" s="102" t="str">
        <f>IF(TableRelationships12[[#This Row],[Rank Pedro]]="Low","linkCategory1",IF(TableRelationships12[[#This Row],[Rank Pedro]]="Medium","linkCategory2",IF(TableRelationships12[[#This Row],[Rank Pedro]]="High","linkCategory3","")))</f>
        <v/>
      </c>
      <c r="U132" s="102" t="str">
        <f>IF(TableRelationships12[[#This Row],[Rank Pedro]]="Low","Pink",IF(TableRelationships12[[#This Row],[Rank Pedro]]="Medium","Purple",IF(TableRelationships12[[#This Row],[Rank Pedro]]="High","Brown","")))</f>
        <v/>
      </c>
      <c r="V132" s="4" t="e">
        <f>MAX(INDEX(Standards!$F$2:$F$296,MATCH(B132,Standards!$B$2:$B$296,0)),INDEX(Standards!$F$2:$F$296,MATCH(C132,Standards!$B$2:$B$296,0)))</f>
        <v>#N/A</v>
      </c>
      <c r="W132">
        <f t="shared" si="8"/>
        <v>1</v>
      </c>
    </row>
    <row r="133" spans="1:23" x14ac:dyDescent="0.5">
      <c r="A133" s="54">
        <v>132</v>
      </c>
      <c r="B133" s="90" t="s">
        <v>1690</v>
      </c>
      <c r="C133" t="s">
        <v>77</v>
      </c>
      <c r="D133" s="1"/>
      <c r="E133" s="112">
        <v>1983.12</v>
      </c>
      <c r="F133" s="112">
        <v>2020.08</v>
      </c>
      <c r="G133" s="107" t="s">
        <v>1488</v>
      </c>
      <c r="H133">
        <f>INDEX('GIS-Standards'!$A$2:$A$305,MATCH(B133,'GIS-Standards'!$B$2:$B$305,0))</f>
        <v>7</v>
      </c>
      <c r="I133" t="e">
        <f>INDEX('GIS-Standards'!$A$2:$A$305,MATCH(C133,'GIS-Standards'!$B$2:$B$305,0))</f>
        <v>#N/A</v>
      </c>
      <c r="J133" t="str">
        <f>INDEX('GIS-Standards'!$O$2:$O$305,MATCH(B133,'GIS-Standards'!$B$2:$B$305,0))</f>
        <v>ISO/TC 59/SC 14</v>
      </c>
      <c r="K133" t="e">
        <f>INDEX('GIS-Standards'!$O$2:$O$305,MATCH(C133,'GIS-Standards'!$B$2:$B$305,0))</f>
        <v>#N/A</v>
      </c>
      <c r="M133" t="s">
        <v>524</v>
      </c>
      <c r="N133">
        <f>INDEX('GIS-Standards'!$I$2:$I$305,MATCH(B133,'GIS-Standards'!$B$2:$B$305,0))</f>
        <v>0</v>
      </c>
      <c r="O133" t="e">
        <f>INDEX('GIS-Standards'!$I$2:$I$305,MATCH(C133,'GIS-Standards'!$B$2:$B$305,0))</f>
        <v>#N/A</v>
      </c>
      <c r="P133" t="e">
        <f>AND(TableRelationships12[[#This Row],[Source Type]]="BIM",TableRelationships12[[#This Row],[Target Type]]="BIM")</f>
        <v>#N/A</v>
      </c>
      <c r="Q133">
        <f t="shared" si="6"/>
        <v>6</v>
      </c>
      <c r="S133">
        <f t="shared" si="7"/>
        <v>1</v>
      </c>
      <c r="T133" s="102" t="str">
        <f>IF(TableRelationships12[[#This Row],[Rank Pedro]]="Low","linkCategory1",IF(TableRelationships12[[#This Row],[Rank Pedro]]="Medium","linkCategory2",IF(TableRelationships12[[#This Row],[Rank Pedro]]="High","linkCategory3","")))</f>
        <v/>
      </c>
      <c r="U133" s="102" t="str">
        <f>IF(TableRelationships12[[#This Row],[Rank Pedro]]="Low","Pink",IF(TableRelationships12[[#This Row],[Rank Pedro]]="Medium","Purple",IF(TableRelationships12[[#This Row],[Rank Pedro]]="High","Brown","")))</f>
        <v/>
      </c>
      <c r="V133" s="4" t="e">
        <f>MAX(INDEX(Standards!$F$2:$F$296,MATCH(B133,Standards!$B$2:$B$296,0)),INDEX(Standards!$F$2:$F$296,MATCH(C133,Standards!$B$2:$B$296,0)))</f>
        <v>#N/A</v>
      </c>
      <c r="W133" t="str">
        <f t="shared" si="8"/>
        <v>#d6bf2a</v>
      </c>
    </row>
    <row r="134" spans="1:23" x14ac:dyDescent="0.5">
      <c r="A134" s="54">
        <v>133</v>
      </c>
      <c r="B134" s="90" t="s">
        <v>1690</v>
      </c>
      <c r="C134" t="s">
        <v>279</v>
      </c>
      <c r="D134" s="1" t="s">
        <v>1676</v>
      </c>
      <c r="E134" s="113">
        <v>2000.09</v>
      </c>
      <c r="F134" s="113">
        <v>2011.05</v>
      </c>
      <c r="G134" s="107" t="s">
        <v>1718</v>
      </c>
      <c r="H134">
        <f>INDEX('GIS-Standards'!$A$2:$A$305,MATCH(B134,'GIS-Standards'!$B$2:$B$305,0))</f>
        <v>7</v>
      </c>
      <c r="I134">
        <f>INDEX('GIS-Standards'!$A$2:$A$305,MATCH(C134,'GIS-Standards'!$B$2:$B$305,0))</f>
        <v>6</v>
      </c>
      <c r="J134" t="str">
        <f>INDEX('GIS-Standards'!$O$2:$O$305,MATCH(B134,'GIS-Standards'!$B$2:$B$305,0))</f>
        <v>ISO/TC 59/SC 14</v>
      </c>
      <c r="K134" t="str">
        <f>INDEX('GIS-Standards'!$O$2:$O$305,MATCH(C134,'GIS-Standards'!$B$2:$B$305,0))</f>
        <v>ISO/TC 59</v>
      </c>
      <c r="M134" t="s">
        <v>524</v>
      </c>
      <c r="N134">
        <f>INDEX('GIS-Standards'!$I$2:$I$305,MATCH(B134,'GIS-Standards'!$B$2:$B$305,0))</f>
        <v>0</v>
      </c>
      <c r="O134">
        <f>INDEX('GIS-Standards'!$I$2:$I$305,MATCH(C134,'GIS-Standards'!$B$2:$B$305,0))</f>
        <v>0</v>
      </c>
      <c r="P134" t="b">
        <f>AND(TableRelationships12[[#This Row],[Source Type]]="BIM",TableRelationships12[[#This Row],[Target Type]]="BIM")</f>
        <v>0</v>
      </c>
      <c r="Q134">
        <f t="shared" si="6"/>
        <v>6</v>
      </c>
      <c r="S134">
        <f t="shared" si="7"/>
        <v>1</v>
      </c>
      <c r="T134" s="102" t="str">
        <f>IF(TableRelationships12[[#This Row],[Rank Pedro]]="Low","linkCategory1",IF(TableRelationships12[[#This Row],[Rank Pedro]]="Medium","linkCategory2",IF(TableRelationships12[[#This Row],[Rank Pedro]]="High","linkCategory3","")))</f>
        <v/>
      </c>
      <c r="U134" s="102" t="str">
        <f>IF(TableRelationships12[[#This Row],[Rank Pedro]]="Low","Pink",IF(TableRelationships12[[#This Row],[Rank Pedro]]="Medium","Purple",IF(TableRelationships12[[#This Row],[Rank Pedro]]="High","Brown","")))</f>
        <v/>
      </c>
      <c r="V134" s="4" t="e">
        <f>MAX(INDEX(Standards!$F$2:$F$296,MATCH(B134,Standards!$B$2:$B$296,0)),INDEX(Standards!$F$2:$F$296,MATCH(C134,Standards!$B$2:$B$296,0)))</f>
        <v>#N/A</v>
      </c>
      <c r="W134" t="str">
        <f t="shared" si="8"/>
        <v>#d6bf2a</v>
      </c>
    </row>
    <row r="135" spans="1:23" x14ac:dyDescent="0.5">
      <c r="A135" s="54">
        <v>134</v>
      </c>
      <c r="B135" s="90" t="s">
        <v>1690</v>
      </c>
      <c r="C135" t="s">
        <v>1786</v>
      </c>
      <c r="D135" s="1" t="s">
        <v>1676</v>
      </c>
      <c r="E135" s="113">
        <v>2001.03</v>
      </c>
      <c r="F135" s="113">
        <v>2012.06</v>
      </c>
      <c r="G135" s="107" t="s">
        <v>1718</v>
      </c>
      <c r="H135">
        <f>INDEX('GIS-Standards'!$A$2:$A$305,MATCH(B135,'GIS-Standards'!$B$2:$B$305,0))</f>
        <v>7</v>
      </c>
      <c r="I135" t="e">
        <f>INDEX('GIS-Standards'!$A$2:$A$305,MATCH(C135,'GIS-Standards'!$B$2:$B$305,0))</f>
        <v>#N/A</v>
      </c>
      <c r="J135" t="str">
        <f>INDEX('GIS-Standards'!$O$2:$O$305,MATCH(B135,'GIS-Standards'!$B$2:$B$305,0))</f>
        <v>ISO/TC 59/SC 14</v>
      </c>
      <c r="K135" t="e">
        <f>INDEX('GIS-Standards'!$O$2:$O$305,MATCH(C135,'GIS-Standards'!$B$2:$B$305,0))</f>
        <v>#N/A</v>
      </c>
      <c r="M135" t="s">
        <v>524</v>
      </c>
      <c r="N135">
        <f>INDEX('GIS-Standards'!$I$2:$I$305,MATCH(B135,'GIS-Standards'!$B$2:$B$305,0))</f>
        <v>0</v>
      </c>
      <c r="O135" t="e">
        <f>INDEX('GIS-Standards'!$I$2:$I$305,MATCH(C135,'GIS-Standards'!$B$2:$B$305,0))</f>
        <v>#N/A</v>
      </c>
      <c r="P135" t="e">
        <f>AND(TableRelationships12[[#This Row],[Source Type]]="BIM",TableRelationships12[[#This Row],[Target Type]]="BIM")</f>
        <v>#N/A</v>
      </c>
      <c r="Q135">
        <f t="shared" si="6"/>
        <v>6</v>
      </c>
      <c r="S135">
        <f t="shared" si="7"/>
        <v>1</v>
      </c>
      <c r="T135" s="102" t="str">
        <f>IF(TableRelationships12[[#This Row],[Rank Pedro]]="Low","linkCategory1",IF(TableRelationships12[[#This Row],[Rank Pedro]]="Medium","linkCategory2",IF(TableRelationships12[[#This Row],[Rank Pedro]]="High","linkCategory3","")))</f>
        <v/>
      </c>
      <c r="U135" s="102" t="str">
        <f>IF(TableRelationships12[[#This Row],[Rank Pedro]]="Low","Pink",IF(TableRelationships12[[#This Row],[Rank Pedro]]="Medium","Purple",IF(TableRelationships12[[#This Row],[Rank Pedro]]="High","Brown","")))</f>
        <v/>
      </c>
      <c r="V135" s="4" t="e">
        <f>MAX(INDEX(Standards!$F$2:$F$296,MATCH(B135,Standards!$B$2:$B$296,0)),INDEX(Standards!$F$2:$F$296,MATCH(C135,Standards!$B$2:$B$296,0)))</f>
        <v>#N/A</v>
      </c>
      <c r="W135" t="str">
        <f t="shared" si="8"/>
        <v>#d6bf2a</v>
      </c>
    </row>
    <row r="136" spans="1:23" x14ac:dyDescent="0.5">
      <c r="A136" s="54">
        <v>135</v>
      </c>
      <c r="B136" s="90" t="s">
        <v>1690</v>
      </c>
      <c r="C136" t="s">
        <v>1787</v>
      </c>
      <c r="D136" s="1" t="s">
        <v>1676</v>
      </c>
      <c r="E136" s="113">
        <v>2002.08</v>
      </c>
      <c r="F136" s="113">
        <v>2002.08</v>
      </c>
      <c r="G136" s="107" t="s">
        <v>1718</v>
      </c>
      <c r="H136">
        <f>INDEX('GIS-Standards'!$A$2:$A$305,MATCH(B136,'GIS-Standards'!$B$2:$B$305,0))</f>
        <v>7</v>
      </c>
      <c r="I136" t="e">
        <f>INDEX('GIS-Standards'!$A$2:$A$305,MATCH(C136,'GIS-Standards'!$B$2:$B$305,0))</f>
        <v>#N/A</v>
      </c>
      <c r="J136" t="str">
        <f>INDEX('GIS-Standards'!$O$2:$O$305,MATCH(B136,'GIS-Standards'!$B$2:$B$305,0))</f>
        <v>ISO/TC 59/SC 14</v>
      </c>
      <c r="K136" t="e">
        <f>INDEX('GIS-Standards'!$O$2:$O$305,MATCH(C136,'GIS-Standards'!$B$2:$B$305,0))</f>
        <v>#N/A</v>
      </c>
      <c r="M136" t="s">
        <v>524</v>
      </c>
      <c r="N136">
        <f>INDEX('GIS-Standards'!$I$2:$I$305,MATCH(B136,'GIS-Standards'!$B$2:$B$305,0))</f>
        <v>0</v>
      </c>
      <c r="O136" t="e">
        <f>INDEX('GIS-Standards'!$I$2:$I$305,MATCH(C136,'GIS-Standards'!$B$2:$B$305,0))</f>
        <v>#N/A</v>
      </c>
      <c r="P136" t="e">
        <f>AND(TableRelationships12[[#This Row],[Source Type]]="BIM",TableRelationships12[[#This Row],[Target Type]]="BIM")</f>
        <v>#N/A</v>
      </c>
      <c r="Q136">
        <f t="shared" si="6"/>
        <v>6</v>
      </c>
      <c r="S136">
        <f t="shared" si="7"/>
        <v>1</v>
      </c>
      <c r="T136" s="102" t="str">
        <f>IF(TableRelationships12[[#This Row],[Rank Pedro]]="Low","linkCategory1",IF(TableRelationships12[[#This Row],[Rank Pedro]]="Medium","linkCategory2",IF(TableRelationships12[[#This Row],[Rank Pedro]]="High","linkCategory3","")))</f>
        <v/>
      </c>
      <c r="U136" s="102" t="str">
        <f>IF(TableRelationships12[[#This Row],[Rank Pedro]]="Low","Pink",IF(TableRelationships12[[#This Row],[Rank Pedro]]="Medium","Purple",IF(TableRelationships12[[#This Row],[Rank Pedro]]="High","Brown","")))</f>
        <v/>
      </c>
      <c r="V136" s="4" t="e">
        <f>MAX(INDEX(Standards!$F$2:$F$296,MATCH(B136,Standards!$B$2:$B$296,0)),INDEX(Standards!$F$2:$F$296,MATCH(C136,Standards!$B$2:$B$296,0)))</f>
        <v>#N/A</v>
      </c>
      <c r="W136" t="str">
        <f t="shared" si="8"/>
        <v>#d6bf2a</v>
      </c>
    </row>
    <row r="137" spans="1:23" x14ac:dyDescent="0.5">
      <c r="A137" s="54">
        <v>136</v>
      </c>
      <c r="B137" s="90" t="s">
        <v>1690</v>
      </c>
      <c r="C137" t="s">
        <v>1788</v>
      </c>
      <c r="D137" s="1"/>
      <c r="E137" s="113">
        <v>2008.06</v>
      </c>
      <c r="F137" s="113">
        <v>2017.07</v>
      </c>
      <c r="G137" s="107" t="s">
        <v>1718</v>
      </c>
      <c r="H137">
        <f>INDEX('GIS-Standards'!$A$2:$A$305,MATCH(B137,'GIS-Standards'!$B$2:$B$305,0))</f>
        <v>7</v>
      </c>
      <c r="I137" t="e">
        <f>INDEX('GIS-Standards'!$A$2:$A$305,MATCH(C137,'GIS-Standards'!$B$2:$B$305,0))</f>
        <v>#N/A</v>
      </c>
      <c r="J137" t="str">
        <f>INDEX('GIS-Standards'!$O$2:$O$305,MATCH(B137,'GIS-Standards'!$B$2:$B$305,0))</f>
        <v>ISO/TC 59/SC 14</v>
      </c>
      <c r="K137" t="e">
        <f>INDEX('GIS-Standards'!$O$2:$O$305,MATCH(C137,'GIS-Standards'!$B$2:$B$305,0))</f>
        <v>#N/A</v>
      </c>
      <c r="M137" t="s">
        <v>524</v>
      </c>
      <c r="N137">
        <f>INDEX('GIS-Standards'!$I$2:$I$305,MATCH(B137,'GIS-Standards'!$B$2:$B$305,0))</f>
        <v>0</v>
      </c>
      <c r="O137" t="e">
        <f>INDEX('GIS-Standards'!$I$2:$I$305,MATCH(C137,'GIS-Standards'!$B$2:$B$305,0))</f>
        <v>#N/A</v>
      </c>
      <c r="P137" t="e">
        <f>AND(TableRelationships12[[#This Row],[Source Type]]="BIM",TableRelationships12[[#This Row],[Target Type]]="BIM")</f>
        <v>#N/A</v>
      </c>
      <c r="Q137">
        <f t="shared" si="6"/>
        <v>6</v>
      </c>
      <c r="S137">
        <f t="shared" si="7"/>
        <v>1</v>
      </c>
      <c r="T137" s="102" t="str">
        <f>IF(TableRelationships12[[#This Row],[Rank Pedro]]="Low","linkCategory1",IF(TableRelationships12[[#This Row],[Rank Pedro]]="Medium","linkCategory2",IF(TableRelationships12[[#This Row],[Rank Pedro]]="High","linkCategory3","")))</f>
        <v/>
      </c>
      <c r="U137" s="102" t="str">
        <f>IF(TableRelationships12[[#This Row],[Rank Pedro]]="Low","Pink",IF(TableRelationships12[[#This Row],[Rank Pedro]]="Medium","Purple",IF(TableRelationships12[[#This Row],[Rank Pedro]]="High","Brown","")))</f>
        <v/>
      </c>
      <c r="V137" s="4" t="e">
        <f>MAX(INDEX(Standards!$F$2:$F$296,MATCH(B137,Standards!$B$2:$B$296,0)),INDEX(Standards!$F$2:$F$296,MATCH(C137,Standards!$B$2:$B$296,0)))</f>
        <v>#N/A</v>
      </c>
      <c r="W137" t="str">
        <f t="shared" si="8"/>
        <v>#d6bf2a</v>
      </c>
    </row>
    <row r="138" spans="1:23" x14ac:dyDescent="0.5">
      <c r="A138" s="54">
        <v>137</v>
      </c>
      <c r="B138" s="90" t="s">
        <v>1690</v>
      </c>
      <c r="C138" t="s">
        <v>1692</v>
      </c>
      <c r="D138" s="1"/>
      <c r="E138" s="113">
        <v>2006.03</v>
      </c>
      <c r="F138" s="113">
        <v>2017.07</v>
      </c>
      <c r="G138" s="107" t="s">
        <v>1718</v>
      </c>
      <c r="H138">
        <f>INDEX('GIS-Standards'!$A$2:$A$305,MATCH(B138,'GIS-Standards'!$B$2:$B$305,0))</f>
        <v>7</v>
      </c>
      <c r="I138">
        <f>INDEX('GIS-Standards'!$A$2:$A$305,MATCH(C138,'GIS-Standards'!$B$2:$B$305,0))</f>
        <v>9</v>
      </c>
      <c r="J138" t="str">
        <f>INDEX('GIS-Standards'!$O$2:$O$305,MATCH(B138,'GIS-Standards'!$B$2:$B$305,0))</f>
        <v>ISO/TC 59/SC 14</v>
      </c>
      <c r="K138" t="str">
        <f>INDEX('GIS-Standards'!$O$2:$O$305,MATCH(C138,'GIS-Standards'!$B$2:$B$305,0))</f>
        <v>ISO/TC 59/SC 14</v>
      </c>
      <c r="M138" t="s">
        <v>524</v>
      </c>
      <c r="N138">
        <f>INDEX('GIS-Standards'!$I$2:$I$305,MATCH(B138,'GIS-Standards'!$B$2:$B$305,0))</f>
        <v>0</v>
      </c>
      <c r="O138">
        <f>INDEX('GIS-Standards'!$I$2:$I$305,MATCH(C138,'GIS-Standards'!$B$2:$B$305,0))</f>
        <v>0</v>
      </c>
      <c r="P138" t="b">
        <f>AND(TableRelationships12[[#This Row],[Source Type]]="BIM",TableRelationships12[[#This Row],[Target Type]]="BIM")</f>
        <v>0</v>
      </c>
      <c r="Q138">
        <f t="shared" si="6"/>
        <v>6</v>
      </c>
      <c r="S138">
        <f t="shared" si="7"/>
        <v>1</v>
      </c>
      <c r="T138" s="102" t="str">
        <f>IF(TableRelationships12[[#This Row],[Rank Pedro]]="Low","linkCategory1",IF(TableRelationships12[[#This Row],[Rank Pedro]]="Medium","linkCategory2",IF(TableRelationships12[[#This Row],[Rank Pedro]]="High","linkCategory3","")))</f>
        <v/>
      </c>
      <c r="U138" s="102" t="str">
        <f>IF(TableRelationships12[[#This Row],[Rank Pedro]]="Low","Pink",IF(TableRelationships12[[#This Row],[Rank Pedro]]="Medium","Purple",IF(TableRelationships12[[#This Row],[Rank Pedro]]="High","Brown","")))</f>
        <v/>
      </c>
      <c r="V138" s="4" t="e">
        <f>MAX(INDEX(Standards!$F$2:$F$296,MATCH(B138,Standards!$B$2:$B$296,0)),INDEX(Standards!$F$2:$F$296,MATCH(C138,Standards!$B$2:$B$296,0)))</f>
        <v>#N/A</v>
      </c>
      <c r="W138" t="str">
        <f t="shared" si="8"/>
        <v>#d6bf2a</v>
      </c>
    </row>
    <row r="139" spans="1:23" x14ac:dyDescent="0.5">
      <c r="A139" s="54">
        <v>138</v>
      </c>
      <c r="B139" s="90" t="s">
        <v>1690</v>
      </c>
      <c r="C139" t="s">
        <v>1789</v>
      </c>
      <c r="D139" s="1" t="s">
        <v>1676</v>
      </c>
      <c r="E139" s="113">
        <v>2008.06</v>
      </c>
      <c r="F139" s="113">
        <v>2008.06</v>
      </c>
      <c r="G139" s="107" t="s">
        <v>1718</v>
      </c>
      <c r="H139">
        <f>INDEX('GIS-Standards'!$A$2:$A$305,MATCH(B139,'GIS-Standards'!$B$2:$B$305,0))</f>
        <v>7</v>
      </c>
      <c r="I139" t="e">
        <f>INDEX('GIS-Standards'!$A$2:$A$305,MATCH(C139,'GIS-Standards'!$B$2:$B$305,0))</f>
        <v>#N/A</v>
      </c>
      <c r="J139" t="str">
        <f>INDEX('GIS-Standards'!$O$2:$O$305,MATCH(B139,'GIS-Standards'!$B$2:$B$305,0))</f>
        <v>ISO/TC 59/SC 14</v>
      </c>
      <c r="K139" t="e">
        <f>INDEX('GIS-Standards'!$O$2:$O$305,MATCH(C139,'GIS-Standards'!$B$2:$B$305,0))</f>
        <v>#N/A</v>
      </c>
      <c r="M139" t="s">
        <v>524</v>
      </c>
      <c r="N139">
        <f>INDEX('GIS-Standards'!$I$2:$I$305,MATCH(B139,'GIS-Standards'!$B$2:$B$305,0))</f>
        <v>0</v>
      </c>
      <c r="O139" t="e">
        <f>INDEX('GIS-Standards'!$I$2:$I$305,MATCH(C139,'GIS-Standards'!$B$2:$B$305,0))</f>
        <v>#N/A</v>
      </c>
      <c r="P139" t="e">
        <f>AND(TableRelationships12[[#This Row],[Source Type]]="BIM",TableRelationships12[[#This Row],[Target Type]]="BIM")</f>
        <v>#N/A</v>
      </c>
      <c r="Q139">
        <f t="shared" si="6"/>
        <v>6</v>
      </c>
      <c r="S139">
        <f t="shared" si="7"/>
        <v>1</v>
      </c>
      <c r="T139" s="102" t="str">
        <f>IF(TableRelationships12[[#This Row],[Rank Pedro]]="Low","linkCategory1",IF(TableRelationships12[[#This Row],[Rank Pedro]]="Medium","linkCategory2",IF(TableRelationships12[[#This Row],[Rank Pedro]]="High","linkCategory3","")))</f>
        <v/>
      </c>
      <c r="U139" s="102" t="str">
        <f>IF(TableRelationships12[[#This Row],[Rank Pedro]]="Low","Pink",IF(TableRelationships12[[#This Row],[Rank Pedro]]="Medium","Purple",IF(TableRelationships12[[#This Row],[Rank Pedro]]="High","Brown","")))</f>
        <v/>
      </c>
      <c r="V139" s="4" t="e">
        <f>MAX(INDEX(Standards!$F$2:$F$296,MATCH(B139,Standards!$B$2:$B$296,0)),INDEX(Standards!$F$2:$F$296,MATCH(C139,Standards!$B$2:$B$296,0)))</f>
        <v>#N/A</v>
      </c>
      <c r="W139" t="str">
        <f t="shared" si="8"/>
        <v>#d6bf2a</v>
      </c>
    </row>
    <row r="140" spans="1:23" x14ac:dyDescent="0.5">
      <c r="A140" s="54">
        <v>139</v>
      </c>
      <c r="B140" s="90" t="s">
        <v>1690</v>
      </c>
      <c r="C140" t="s">
        <v>2110</v>
      </c>
      <c r="D140" s="1" t="s">
        <v>1676</v>
      </c>
      <c r="E140" s="113">
        <v>2008.12</v>
      </c>
      <c r="F140" s="113">
        <v>2008.12</v>
      </c>
      <c r="G140" s="107" t="s">
        <v>1718</v>
      </c>
      <c r="H140">
        <f>INDEX('GIS-Standards'!$A$2:$A$305,MATCH(B140,'GIS-Standards'!$B$2:$B$305,0))</f>
        <v>7</v>
      </c>
      <c r="I140" t="e">
        <f>INDEX('GIS-Standards'!$A$2:$A$305,MATCH(C140,'GIS-Standards'!$B$2:$B$305,0))</f>
        <v>#N/A</v>
      </c>
      <c r="J140" t="str">
        <f>INDEX('GIS-Standards'!$O$2:$O$305,MATCH(B140,'GIS-Standards'!$B$2:$B$305,0))</f>
        <v>ISO/TC 59/SC 14</v>
      </c>
      <c r="K140" t="e">
        <f>INDEX('GIS-Standards'!$O$2:$O$305,MATCH(C140,'GIS-Standards'!$B$2:$B$305,0))</f>
        <v>#N/A</v>
      </c>
      <c r="M140" t="s">
        <v>524</v>
      </c>
      <c r="N140">
        <f>INDEX('GIS-Standards'!$I$2:$I$305,MATCH(B140,'GIS-Standards'!$B$2:$B$305,0))</f>
        <v>0</v>
      </c>
      <c r="O140" t="e">
        <f>INDEX('GIS-Standards'!$I$2:$I$305,MATCH(C140,'GIS-Standards'!$B$2:$B$305,0))</f>
        <v>#N/A</v>
      </c>
      <c r="P140" t="e">
        <f>AND(TableRelationships12[[#This Row],[Source Type]]="BIM",TableRelationships12[[#This Row],[Target Type]]="BIM")</f>
        <v>#N/A</v>
      </c>
      <c r="Q140">
        <f t="shared" si="6"/>
        <v>6</v>
      </c>
      <c r="S140">
        <f t="shared" si="7"/>
        <v>1</v>
      </c>
      <c r="T140" s="102" t="str">
        <f>IF(TableRelationships12[[#This Row],[Rank Pedro]]="Low","linkCategory1",IF(TableRelationships12[[#This Row],[Rank Pedro]]="Medium","linkCategory2",IF(TableRelationships12[[#This Row],[Rank Pedro]]="High","linkCategory3","")))</f>
        <v/>
      </c>
      <c r="U140" s="102" t="str">
        <f>IF(TableRelationships12[[#This Row],[Rank Pedro]]="Low","Pink",IF(TableRelationships12[[#This Row],[Rank Pedro]]="Medium","Purple",IF(TableRelationships12[[#This Row],[Rank Pedro]]="High","Brown","")))</f>
        <v/>
      </c>
      <c r="V140" s="4" t="e">
        <f>MAX(INDEX(Standards!$F$2:$F$296,MATCH(B140,Standards!$B$2:$B$296,0)),INDEX(Standards!$F$2:$F$296,MATCH(C140,Standards!$B$2:$B$296,0)))</f>
        <v>#N/A</v>
      </c>
      <c r="W140" t="str">
        <f t="shared" si="8"/>
        <v>#d6bf2a</v>
      </c>
    </row>
    <row r="141" spans="1:23" x14ac:dyDescent="0.5">
      <c r="A141" s="54">
        <v>140</v>
      </c>
      <c r="B141" s="90" t="s">
        <v>1690</v>
      </c>
      <c r="C141" t="s">
        <v>1836</v>
      </c>
      <c r="D141" s="1"/>
      <c r="E141" s="113">
        <v>1998.03</v>
      </c>
      <c r="F141" s="113">
        <v>2018.03</v>
      </c>
      <c r="G141" s="107" t="s">
        <v>1493</v>
      </c>
      <c r="H141">
        <f>INDEX('GIS-Standards'!$A$2:$A$305,MATCH(B141,'GIS-Standards'!$B$2:$B$305,0))</f>
        <v>7</v>
      </c>
      <c r="I141" t="e">
        <f>INDEX('GIS-Standards'!$A$2:$A$305,MATCH(C141,'GIS-Standards'!$B$2:$B$305,0))</f>
        <v>#N/A</v>
      </c>
      <c r="J141" t="str">
        <f>INDEX('GIS-Standards'!$O$2:$O$305,MATCH(B141,'GIS-Standards'!$B$2:$B$305,0))</f>
        <v>ISO/TC 59/SC 14</v>
      </c>
      <c r="K141" t="e">
        <f>INDEX('GIS-Standards'!$O$2:$O$305,MATCH(C141,'GIS-Standards'!$B$2:$B$305,0))</f>
        <v>#N/A</v>
      </c>
      <c r="M141" t="s">
        <v>525</v>
      </c>
      <c r="N141">
        <f>INDEX('GIS-Standards'!$I$2:$I$305,MATCH(B141,'GIS-Standards'!$B$2:$B$305,0))</f>
        <v>0</v>
      </c>
      <c r="O141" t="e">
        <f>INDEX('GIS-Standards'!$I$2:$I$305,MATCH(C141,'GIS-Standards'!$B$2:$B$305,0))</f>
        <v>#N/A</v>
      </c>
      <c r="P141" t="e">
        <f>AND(TableRelationships12[[#This Row],[Source Type]]="BIM",TableRelationships12[[#This Row],[Target Type]]="BIM")</f>
        <v>#N/A</v>
      </c>
      <c r="Q141">
        <f t="shared" si="6"/>
        <v>1</v>
      </c>
      <c r="S141">
        <f t="shared" si="7"/>
        <v>1</v>
      </c>
      <c r="T141" s="102" t="str">
        <f>IF(TableRelationships12[[#This Row],[Rank Pedro]]="Low","linkCategory1",IF(TableRelationships12[[#This Row],[Rank Pedro]]="Medium","linkCategory2",IF(TableRelationships12[[#This Row],[Rank Pedro]]="High","linkCategory3","")))</f>
        <v/>
      </c>
      <c r="U141" s="102" t="str">
        <f>IF(TableRelationships12[[#This Row],[Rank Pedro]]="Low","Pink",IF(TableRelationships12[[#This Row],[Rank Pedro]]="Medium","Purple",IF(TableRelationships12[[#This Row],[Rank Pedro]]="High","Brown","")))</f>
        <v/>
      </c>
      <c r="V141" s="4" t="e">
        <f>MAX(INDEX(Standards!$F$2:$F$296,MATCH(B141,Standards!$B$2:$B$296,0)),INDEX(Standards!$F$2:$F$296,MATCH(C141,Standards!$B$2:$B$296,0)))</f>
        <v>#N/A</v>
      </c>
      <c r="W141" t="str">
        <f t="shared" si="8"/>
        <v>#2f89d1</v>
      </c>
    </row>
    <row r="142" spans="1:23" x14ac:dyDescent="0.5">
      <c r="A142" s="54">
        <v>141</v>
      </c>
      <c r="B142" s="90" t="s">
        <v>1690</v>
      </c>
      <c r="C142" t="s">
        <v>1784</v>
      </c>
      <c r="D142" s="1"/>
      <c r="E142" s="113">
        <v>1997.06</v>
      </c>
      <c r="F142" s="113">
        <v>2020.09</v>
      </c>
      <c r="G142" s="107" t="s">
        <v>2053</v>
      </c>
      <c r="H142">
        <f>INDEX('GIS-Standards'!$A$2:$A$305,MATCH(B142,'GIS-Standards'!$B$2:$B$305,0))</f>
        <v>7</v>
      </c>
      <c r="I142" t="e">
        <f>INDEX('GIS-Standards'!$A$2:$A$305,MATCH(C142,'GIS-Standards'!$B$2:$B$305,0))</f>
        <v>#N/A</v>
      </c>
      <c r="J142" t="str">
        <f>INDEX('GIS-Standards'!$O$2:$O$305,MATCH(B142,'GIS-Standards'!$B$2:$B$305,0))</f>
        <v>ISO/TC 59/SC 14</v>
      </c>
      <c r="K142" t="e">
        <f>INDEX('GIS-Standards'!$O$2:$O$305,MATCH(C142,'GIS-Standards'!$B$2:$B$305,0))</f>
        <v>#N/A</v>
      </c>
      <c r="M142" t="s">
        <v>525</v>
      </c>
      <c r="N142">
        <f>INDEX('GIS-Standards'!$I$2:$I$305,MATCH(B142,'GIS-Standards'!$B$2:$B$305,0))</f>
        <v>0</v>
      </c>
      <c r="O142" t="e">
        <f>INDEX('GIS-Standards'!$I$2:$I$305,MATCH(C142,'GIS-Standards'!$B$2:$B$305,0))</f>
        <v>#N/A</v>
      </c>
      <c r="P142" t="e">
        <f>AND(TableRelationships12[[#This Row],[Source Type]]="BIM",TableRelationships12[[#This Row],[Target Type]]="BIM")</f>
        <v>#N/A</v>
      </c>
      <c r="Q142">
        <f t="shared" si="6"/>
        <v>1</v>
      </c>
      <c r="S142">
        <f t="shared" si="7"/>
        <v>1</v>
      </c>
      <c r="T142" s="102" t="str">
        <f>IF(TableRelationships12[[#This Row],[Rank Pedro]]="Low","linkCategory1",IF(TableRelationships12[[#This Row],[Rank Pedro]]="Medium","linkCategory2",IF(TableRelationships12[[#This Row],[Rank Pedro]]="High","linkCategory3","")))</f>
        <v/>
      </c>
      <c r="U142" s="102" t="str">
        <f>IF(TableRelationships12[[#This Row],[Rank Pedro]]="Low","Pink",IF(TableRelationships12[[#This Row],[Rank Pedro]]="Medium","Purple",IF(TableRelationships12[[#This Row],[Rank Pedro]]="High","Brown","")))</f>
        <v/>
      </c>
      <c r="V142" s="4" t="e">
        <f>MAX(INDEX(Standards!$F$2:$F$296,MATCH(B142,Standards!$B$2:$B$296,0)),INDEX(Standards!$F$2:$F$296,MATCH(C142,Standards!$B$2:$B$296,0)))</f>
        <v>#N/A</v>
      </c>
      <c r="W142" t="str">
        <f t="shared" si="8"/>
        <v>#2f89d1</v>
      </c>
    </row>
    <row r="143" spans="1:23" x14ac:dyDescent="0.5">
      <c r="A143" s="54">
        <v>142</v>
      </c>
      <c r="B143" s="90" t="s">
        <v>1690</v>
      </c>
      <c r="C143" t="s">
        <v>1785</v>
      </c>
      <c r="D143" s="1"/>
      <c r="E143" s="113">
        <v>2008.05</v>
      </c>
      <c r="F143" s="113">
        <v>2019.12</v>
      </c>
      <c r="G143" s="107" t="s">
        <v>1718</v>
      </c>
      <c r="H143">
        <f>INDEX('GIS-Standards'!$A$2:$A$305,MATCH(B143,'GIS-Standards'!$B$2:$B$305,0))</f>
        <v>7</v>
      </c>
      <c r="I143" t="e">
        <f>INDEX('GIS-Standards'!$A$2:$A$305,MATCH(C143,'GIS-Standards'!$B$2:$B$305,0))</f>
        <v>#N/A</v>
      </c>
      <c r="J143" t="str">
        <f>INDEX('GIS-Standards'!$O$2:$O$305,MATCH(B143,'GIS-Standards'!$B$2:$B$305,0))</f>
        <v>ISO/TC 59/SC 14</v>
      </c>
      <c r="K143" t="e">
        <f>INDEX('GIS-Standards'!$O$2:$O$305,MATCH(C143,'GIS-Standards'!$B$2:$B$305,0))</f>
        <v>#N/A</v>
      </c>
      <c r="M143" t="s">
        <v>525</v>
      </c>
      <c r="N143">
        <f>INDEX('GIS-Standards'!$I$2:$I$305,MATCH(B143,'GIS-Standards'!$B$2:$B$305,0))</f>
        <v>0</v>
      </c>
      <c r="O143" t="e">
        <f>INDEX('GIS-Standards'!$I$2:$I$305,MATCH(C143,'GIS-Standards'!$B$2:$B$305,0))</f>
        <v>#N/A</v>
      </c>
      <c r="P143" t="e">
        <f>AND(TableRelationships12[[#This Row],[Source Type]]="BIM",TableRelationships12[[#This Row],[Target Type]]="BIM")</f>
        <v>#N/A</v>
      </c>
      <c r="Q143">
        <f t="shared" si="6"/>
        <v>1</v>
      </c>
      <c r="S143">
        <f t="shared" si="7"/>
        <v>1</v>
      </c>
      <c r="T143" s="102" t="str">
        <f>IF(TableRelationships12[[#This Row],[Rank Pedro]]="Low","linkCategory1",IF(TableRelationships12[[#This Row],[Rank Pedro]]="Medium","linkCategory2",IF(TableRelationships12[[#This Row],[Rank Pedro]]="High","linkCategory3","")))</f>
        <v/>
      </c>
      <c r="U143" s="102" t="str">
        <f>IF(TableRelationships12[[#This Row],[Rank Pedro]]="Low","Pink",IF(TableRelationships12[[#This Row],[Rank Pedro]]="Medium","Purple",IF(TableRelationships12[[#This Row],[Rank Pedro]]="High","Brown","")))</f>
        <v/>
      </c>
      <c r="V143" s="4" t="e">
        <f>MAX(INDEX(Standards!$F$2:$F$296,MATCH(B143,Standards!$B$2:$B$296,0)),INDEX(Standards!$F$2:$F$296,MATCH(C143,Standards!$B$2:$B$296,0)))</f>
        <v>#N/A</v>
      </c>
      <c r="W143" t="str">
        <f t="shared" si="8"/>
        <v>#2f89d1</v>
      </c>
    </row>
    <row r="144" spans="1:23" x14ac:dyDescent="0.5">
      <c r="A144" s="54">
        <v>143</v>
      </c>
      <c r="B144" s="90" t="s">
        <v>1690</v>
      </c>
      <c r="C144" t="s">
        <v>144</v>
      </c>
      <c r="D144" s="1" t="s">
        <v>1790</v>
      </c>
      <c r="E144" s="113">
        <v>2005.1</v>
      </c>
      <c r="F144" s="113">
        <v>2024.03</v>
      </c>
      <c r="G144" s="107" t="s">
        <v>1448</v>
      </c>
      <c r="H144">
        <f>INDEX('GIS-Standards'!$A$2:$A$305,MATCH(B144,'GIS-Standards'!$B$2:$B$305,0))</f>
        <v>7</v>
      </c>
      <c r="I144" t="e">
        <f>INDEX('GIS-Standards'!$A$2:$A$305,MATCH(C144,'GIS-Standards'!$B$2:$B$305,0))</f>
        <v>#N/A</v>
      </c>
      <c r="J144" t="str">
        <f>INDEX('GIS-Standards'!$O$2:$O$305,MATCH(B144,'GIS-Standards'!$B$2:$B$305,0))</f>
        <v>ISO/TC 59/SC 14</v>
      </c>
      <c r="K144" t="e">
        <f>INDEX('GIS-Standards'!$O$2:$O$305,MATCH(C144,'GIS-Standards'!$B$2:$B$305,0))</f>
        <v>#N/A</v>
      </c>
      <c r="M144" t="s">
        <v>525</v>
      </c>
      <c r="N144">
        <f>INDEX('GIS-Standards'!$I$2:$I$305,MATCH(B144,'GIS-Standards'!$B$2:$B$305,0))</f>
        <v>0</v>
      </c>
      <c r="O144" t="e">
        <f>INDEX('GIS-Standards'!$I$2:$I$305,MATCH(C144,'GIS-Standards'!$B$2:$B$305,0))</f>
        <v>#N/A</v>
      </c>
      <c r="P144" t="e">
        <f>AND(TableRelationships12[[#This Row],[Source Type]]="BIM",TableRelationships12[[#This Row],[Target Type]]="BIM")</f>
        <v>#N/A</v>
      </c>
      <c r="Q144">
        <f t="shared" si="6"/>
        <v>1</v>
      </c>
      <c r="S144">
        <f t="shared" si="7"/>
        <v>1</v>
      </c>
      <c r="T144" s="102" t="str">
        <f>IF(TableRelationships12[[#This Row],[Rank Pedro]]="Low","linkCategory1",IF(TableRelationships12[[#This Row],[Rank Pedro]]="Medium","linkCategory2",IF(TableRelationships12[[#This Row],[Rank Pedro]]="High","linkCategory3","")))</f>
        <v/>
      </c>
      <c r="U144" s="102" t="str">
        <f>IF(TableRelationships12[[#This Row],[Rank Pedro]]="Low","Pink",IF(TableRelationships12[[#This Row],[Rank Pedro]]="Medium","Purple",IF(TableRelationships12[[#This Row],[Rank Pedro]]="High","Brown","")))</f>
        <v/>
      </c>
      <c r="V144" s="4" t="e">
        <f>MAX(INDEX(Standards!$F$2:$F$296,MATCH(B144,Standards!$B$2:$B$296,0)),INDEX(Standards!$F$2:$F$296,MATCH(C144,Standards!$B$2:$B$296,0)))</f>
        <v>#N/A</v>
      </c>
      <c r="W144" t="str">
        <f t="shared" si="8"/>
        <v>#2f89d1</v>
      </c>
    </row>
    <row r="145" spans="1:23" x14ac:dyDescent="0.5">
      <c r="A145" s="54">
        <v>144</v>
      </c>
      <c r="B145" s="90" t="s">
        <v>1690</v>
      </c>
      <c r="C145" t="s">
        <v>1812</v>
      </c>
      <c r="D145" s="1"/>
      <c r="E145" s="113">
        <v>2007.1</v>
      </c>
      <c r="F145" s="113">
        <v>2017.07</v>
      </c>
      <c r="G145" s="107" t="s">
        <v>1718</v>
      </c>
      <c r="H145">
        <f>INDEX('GIS-Standards'!$A$2:$A$305,MATCH(B145,'GIS-Standards'!$B$2:$B$305,0))</f>
        <v>7</v>
      </c>
      <c r="I145" t="e">
        <f>INDEX('GIS-Standards'!$A$2:$A$305,MATCH(C145,'GIS-Standards'!$B$2:$B$305,0))</f>
        <v>#N/A</v>
      </c>
      <c r="J145" t="str">
        <f>INDEX('GIS-Standards'!$O$2:$O$305,MATCH(B145,'GIS-Standards'!$B$2:$B$305,0))</f>
        <v>ISO/TC 59/SC 14</v>
      </c>
      <c r="K145" t="e">
        <f>INDEX('GIS-Standards'!$O$2:$O$305,MATCH(C145,'GIS-Standards'!$B$2:$B$305,0))</f>
        <v>#N/A</v>
      </c>
      <c r="M145" t="s">
        <v>525</v>
      </c>
      <c r="N145">
        <f>INDEX('GIS-Standards'!$I$2:$I$305,MATCH(B145,'GIS-Standards'!$B$2:$B$305,0))</f>
        <v>0</v>
      </c>
      <c r="O145" t="e">
        <f>INDEX('GIS-Standards'!$I$2:$I$305,MATCH(C145,'GIS-Standards'!$B$2:$B$305,0))</f>
        <v>#N/A</v>
      </c>
      <c r="P145" t="e">
        <f>AND(TableRelationships12[[#This Row],[Source Type]]="BIM",TableRelationships12[[#This Row],[Target Type]]="BIM")</f>
        <v>#N/A</v>
      </c>
      <c r="Q145">
        <f t="shared" si="6"/>
        <v>1</v>
      </c>
      <c r="S145">
        <f t="shared" si="7"/>
        <v>1</v>
      </c>
      <c r="T145" s="102" t="str">
        <f>IF(TableRelationships12[[#This Row],[Rank Pedro]]="Low","linkCategory1",IF(TableRelationships12[[#This Row],[Rank Pedro]]="Medium","linkCategory2",IF(TableRelationships12[[#This Row],[Rank Pedro]]="High","linkCategory3","")))</f>
        <v/>
      </c>
      <c r="U145" s="102" t="str">
        <f>IF(TableRelationships12[[#This Row],[Rank Pedro]]="Low","Pink",IF(TableRelationships12[[#This Row],[Rank Pedro]]="Medium","Purple",IF(TableRelationships12[[#This Row],[Rank Pedro]]="High","Brown","")))</f>
        <v/>
      </c>
      <c r="V145" s="4" t="e">
        <f>MAX(INDEX(Standards!$F$2:$F$296,MATCH(B145,Standards!$B$2:$B$296,0)),INDEX(Standards!$F$2:$F$296,MATCH(C145,Standards!$B$2:$B$296,0)))</f>
        <v>#N/A</v>
      </c>
      <c r="W145" t="str">
        <f t="shared" si="8"/>
        <v>#2f89d1</v>
      </c>
    </row>
    <row r="146" spans="1:23" x14ac:dyDescent="0.5">
      <c r="A146" s="54">
        <v>145</v>
      </c>
      <c r="B146" s="90" t="s">
        <v>1690</v>
      </c>
      <c r="C146" t="s">
        <v>1813</v>
      </c>
      <c r="D146" s="1"/>
      <c r="E146" s="113">
        <v>2006.03</v>
      </c>
      <c r="F146" s="113">
        <v>2022.06</v>
      </c>
      <c r="G146" s="107" t="s">
        <v>1718</v>
      </c>
      <c r="H146">
        <f>INDEX('GIS-Standards'!$A$2:$A$305,MATCH(B146,'GIS-Standards'!$B$2:$B$305,0))</f>
        <v>7</v>
      </c>
      <c r="I146" t="e">
        <f>INDEX('GIS-Standards'!$A$2:$A$305,MATCH(C146,'GIS-Standards'!$B$2:$B$305,0))</f>
        <v>#N/A</v>
      </c>
      <c r="J146" t="str">
        <f>INDEX('GIS-Standards'!$O$2:$O$305,MATCH(B146,'GIS-Standards'!$B$2:$B$305,0))</f>
        <v>ISO/TC 59/SC 14</v>
      </c>
      <c r="K146" t="e">
        <f>INDEX('GIS-Standards'!$O$2:$O$305,MATCH(C146,'GIS-Standards'!$B$2:$B$305,0))</f>
        <v>#N/A</v>
      </c>
      <c r="M146" t="s">
        <v>525</v>
      </c>
      <c r="N146">
        <f>INDEX('GIS-Standards'!$I$2:$I$305,MATCH(B146,'GIS-Standards'!$B$2:$B$305,0))</f>
        <v>0</v>
      </c>
      <c r="O146" t="e">
        <f>INDEX('GIS-Standards'!$I$2:$I$305,MATCH(C146,'GIS-Standards'!$B$2:$B$305,0))</f>
        <v>#N/A</v>
      </c>
      <c r="P146" t="e">
        <f>AND(TableRelationships12[[#This Row],[Source Type]]="BIM",TableRelationships12[[#This Row],[Target Type]]="BIM")</f>
        <v>#N/A</v>
      </c>
      <c r="Q146">
        <f t="shared" si="6"/>
        <v>1</v>
      </c>
      <c r="S146">
        <f t="shared" si="7"/>
        <v>1</v>
      </c>
      <c r="T146" s="102" t="str">
        <f>IF(TableRelationships12[[#This Row],[Rank Pedro]]="Low","linkCategory1",IF(TableRelationships12[[#This Row],[Rank Pedro]]="Medium","linkCategory2",IF(TableRelationships12[[#This Row],[Rank Pedro]]="High","linkCategory3","")))</f>
        <v/>
      </c>
      <c r="U146" s="102" t="str">
        <f>IF(TableRelationships12[[#This Row],[Rank Pedro]]="Low","Pink",IF(TableRelationships12[[#This Row],[Rank Pedro]]="Medium","Purple",IF(TableRelationships12[[#This Row],[Rank Pedro]]="High","Brown","")))</f>
        <v/>
      </c>
      <c r="V146" s="4" t="e">
        <f>MAX(INDEX(Standards!$F$2:$F$296,MATCH(B146,Standards!$B$2:$B$296,0)),INDEX(Standards!$F$2:$F$296,MATCH(C146,Standards!$B$2:$B$296,0)))</f>
        <v>#N/A</v>
      </c>
      <c r="W146" t="str">
        <f t="shared" si="8"/>
        <v>#2f89d1</v>
      </c>
    </row>
    <row r="147" spans="1:23" x14ac:dyDescent="0.5">
      <c r="A147" s="54">
        <v>146</v>
      </c>
      <c r="B147" s="90" t="s">
        <v>1690</v>
      </c>
      <c r="C147" t="s">
        <v>376</v>
      </c>
      <c r="D147" s="1"/>
      <c r="E147" s="113">
        <v>2008.01</v>
      </c>
      <c r="F147" s="113">
        <v>2008.01</v>
      </c>
      <c r="G147" s="107" t="s">
        <v>2044</v>
      </c>
      <c r="H147">
        <f>INDEX('GIS-Standards'!$A$2:$A$305,MATCH(B147,'GIS-Standards'!$B$2:$B$305,0))</f>
        <v>7</v>
      </c>
      <c r="I147" t="e">
        <f>INDEX('GIS-Standards'!$A$2:$A$305,MATCH(C147,'GIS-Standards'!$B$2:$B$305,0))</f>
        <v>#N/A</v>
      </c>
      <c r="J147" t="str">
        <f>INDEX('GIS-Standards'!$O$2:$O$305,MATCH(B147,'GIS-Standards'!$B$2:$B$305,0))</f>
        <v>ISO/TC 59/SC 14</v>
      </c>
      <c r="K147" t="e">
        <f>INDEX('GIS-Standards'!$O$2:$O$305,MATCH(C147,'GIS-Standards'!$B$2:$B$305,0))</f>
        <v>#N/A</v>
      </c>
      <c r="M147" t="s">
        <v>525</v>
      </c>
      <c r="N147">
        <f>INDEX('GIS-Standards'!$I$2:$I$305,MATCH(B147,'GIS-Standards'!$B$2:$B$305,0))</f>
        <v>0</v>
      </c>
      <c r="O147" t="e">
        <f>INDEX('GIS-Standards'!$I$2:$I$305,MATCH(C147,'GIS-Standards'!$B$2:$B$305,0))</f>
        <v>#N/A</v>
      </c>
      <c r="P147" t="e">
        <f>AND(TableRelationships12[[#This Row],[Source Type]]="BIM",TableRelationships12[[#This Row],[Target Type]]="BIM")</f>
        <v>#N/A</v>
      </c>
      <c r="Q147">
        <f t="shared" si="6"/>
        <v>1</v>
      </c>
      <c r="S147">
        <f t="shared" si="7"/>
        <v>1</v>
      </c>
      <c r="T147" s="102" t="str">
        <f>IF(TableRelationships12[[#This Row],[Rank Pedro]]="Low","linkCategory1",IF(TableRelationships12[[#This Row],[Rank Pedro]]="Medium","linkCategory2",IF(TableRelationships12[[#This Row],[Rank Pedro]]="High","linkCategory3","")))</f>
        <v/>
      </c>
      <c r="U147" s="102" t="str">
        <f>IF(TableRelationships12[[#This Row],[Rank Pedro]]="Low","Pink",IF(TableRelationships12[[#This Row],[Rank Pedro]]="Medium","Purple",IF(TableRelationships12[[#This Row],[Rank Pedro]]="High","Brown","")))</f>
        <v/>
      </c>
      <c r="V147" s="4" t="e">
        <f>MAX(INDEX(Standards!$F$2:$F$296,MATCH(B147,Standards!$B$2:$B$296,0)),INDEX(Standards!$F$2:$F$296,MATCH(C147,Standards!$B$2:$B$296,0)))</f>
        <v>#N/A</v>
      </c>
      <c r="W147" t="str">
        <f t="shared" si="8"/>
        <v>#2f89d1</v>
      </c>
    </row>
    <row r="148" spans="1:23" x14ac:dyDescent="0.5">
      <c r="A148" s="54">
        <v>147</v>
      </c>
      <c r="B148" s="90" t="s">
        <v>1690</v>
      </c>
      <c r="C148" t="s">
        <v>408</v>
      </c>
      <c r="D148" s="1"/>
      <c r="E148" s="112">
        <v>2010.05</v>
      </c>
      <c r="F148" s="112">
        <v>2025.11</v>
      </c>
      <c r="G148" s="107" t="s">
        <v>2003</v>
      </c>
      <c r="H148">
        <f>INDEX('GIS-Standards'!$A$2:$A$305,MATCH(B148,'GIS-Standards'!$B$2:$B$305,0))</f>
        <v>7</v>
      </c>
      <c r="I148" t="e">
        <f>INDEX('GIS-Standards'!$A$2:$A$305,MATCH(C148,'GIS-Standards'!$B$2:$B$305,0))</f>
        <v>#N/A</v>
      </c>
      <c r="J148" t="str">
        <f>INDEX('GIS-Standards'!$O$2:$O$305,MATCH(B148,'GIS-Standards'!$B$2:$B$305,0))</f>
        <v>ISO/TC 59/SC 14</v>
      </c>
      <c r="K148" t="e">
        <f>INDEX('GIS-Standards'!$O$2:$O$305,MATCH(C148,'GIS-Standards'!$B$2:$B$305,0))</f>
        <v>#N/A</v>
      </c>
      <c r="M148" t="s">
        <v>525</v>
      </c>
      <c r="N148">
        <f>INDEX('GIS-Standards'!$I$2:$I$305,MATCH(B148,'GIS-Standards'!$B$2:$B$305,0))</f>
        <v>0</v>
      </c>
      <c r="O148" t="e">
        <f>INDEX('GIS-Standards'!$I$2:$I$305,MATCH(C148,'GIS-Standards'!$B$2:$B$305,0))</f>
        <v>#N/A</v>
      </c>
      <c r="P148" t="e">
        <f>AND(TableRelationships12[[#This Row],[Source Type]]="BIM",TableRelationships12[[#This Row],[Target Type]]="BIM")</f>
        <v>#N/A</v>
      </c>
      <c r="Q148">
        <f t="shared" si="6"/>
        <v>1</v>
      </c>
      <c r="S148">
        <f t="shared" si="7"/>
        <v>1</v>
      </c>
      <c r="T148" s="102" t="str">
        <f>IF(TableRelationships12[[#This Row],[Rank Pedro]]="Low","linkCategory1",IF(TableRelationships12[[#This Row],[Rank Pedro]]="Medium","linkCategory2",IF(TableRelationships12[[#This Row],[Rank Pedro]]="High","linkCategory3","")))</f>
        <v/>
      </c>
      <c r="U148" s="102" t="str">
        <f>IF(TableRelationships12[[#This Row],[Rank Pedro]]="Low","Pink",IF(TableRelationships12[[#This Row],[Rank Pedro]]="Medium","Purple",IF(TableRelationships12[[#This Row],[Rank Pedro]]="High","Brown","")))</f>
        <v/>
      </c>
      <c r="V148" s="4" t="e">
        <f>MAX(INDEX(Standards!$F$2:$F$296,MATCH(B148,Standards!$B$2:$B$296,0)),INDEX(Standards!$F$2:$F$296,MATCH(C148,Standards!$B$2:$B$296,0)))</f>
        <v>#N/A</v>
      </c>
      <c r="W148" t="str">
        <f t="shared" si="8"/>
        <v>#2f89d1</v>
      </c>
    </row>
    <row r="149" spans="1:23" x14ac:dyDescent="0.5">
      <c r="A149" s="54">
        <v>148</v>
      </c>
      <c r="B149" s="90" t="s">
        <v>1690</v>
      </c>
      <c r="C149" t="s">
        <v>1837</v>
      </c>
      <c r="D149" s="1"/>
      <c r="E149" s="113"/>
      <c r="F149" s="113"/>
      <c r="G149" s="107"/>
      <c r="H149">
        <f>INDEX('GIS-Standards'!$A$2:$A$305,MATCH(B149,'GIS-Standards'!$B$2:$B$305,0))</f>
        <v>7</v>
      </c>
      <c r="I149" t="e">
        <f>INDEX('GIS-Standards'!$A$2:$A$305,MATCH(C149,'GIS-Standards'!$B$2:$B$305,0))</f>
        <v>#N/A</v>
      </c>
      <c r="J149" t="str">
        <f>INDEX('GIS-Standards'!$O$2:$O$305,MATCH(B149,'GIS-Standards'!$B$2:$B$305,0))</f>
        <v>ISO/TC 59/SC 14</v>
      </c>
      <c r="K149" t="e">
        <f>INDEX('GIS-Standards'!$O$2:$O$305,MATCH(C149,'GIS-Standards'!$B$2:$B$305,0))</f>
        <v>#N/A</v>
      </c>
      <c r="M149" t="s">
        <v>525</v>
      </c>
      <c r="N149">
        <f>INDEX('GIS-Standards'!$I$2:$I$305,MATCH(B149,'GIS-Standards'!$B$2:$B$305,0))</f>
        <v>0</v>
      </c>
      <c r="O149" t="e">
        <f>INDEX('GIS-Standards'!$I$2:$I$305,MATCH(C149,'GIS-Standards'!$B$2:$B$305,0))</f>
        <v>#N/A</v>
      </c>
      <c r="P149" t="e">
        <f>AND(TableRelationships12[[#This Row],[Source Type]]="BIM",TableRelationships12[[#This Row],[Target Type]]="BIM")</f>
        <v>#N/A</v>
      </c>
      <c r="Q149">
        <f t="shared" si="6"/>
        <v>1</v>
      </c>
      <c r="S149">
        <f t="shared" si="7"/>
        <v>1</v>
      </c>
      <c r="T149" s="102" t="str">
        <f>IF(TableRelationships12[[#This Row],[Rank Pedro]]="Low","linkCategory1",IF(TableRelationships12[[#This Row],[Rank Pedro]]="Medium","linkCategory2",IF(TableRelationships12[[#This Row],[Rank Pedro]]="High","linkCategory3","")))</f>
        <v/>
      </c>
      <c r="U149" s="102" t="str">
        <f>IF(TableRelationships12[[#This Row],[Rank Pedro]]="Low","Pink",IF(TableRelationships12[[#This Row],[Rank Pedro]]="Medium","Purple",IF(TableRelationships12[[#This Row],[Rank Pedro]]="High","Brown","")))</f>
        <v/>
      </c>
      <c r="V149" s="4" t="e">
        <f>MAX(INDEX(Standards!$F$2:$F$296,MATCH(B149,Standards!$B$2:$B$296,0)),INDEX(Standards!$F$2:$F$296,MATCH(C149,Standards!$B$2:$B$296,0)))</f>
        <v>#N/A</v>
      </c>
      <c r="W149" t="str">
        <f t="shared" si="8"/>
        <v>#2f89d1</v>
      </c>
    </row>
    <row r="150" spans="1:23" x14ac:dyDescent="0.5">
      <c r="A150" s="54">
        <v>149</v>
      </c>
      <c r="B150" s="90" t="s">
        <v>1690</v>
      </c>
      <c r="C150" t="s">
        <v>1838</v>
      </c>
      <c r="D150" s="1"/>
      <c r="E150" s="113"/>
      <c r="F150" s="113"/>
      <c r="G150" s="107"/>
      <c r="H150">
        <f>INDEX('GIS-Standards'!$A$2:$A$305,MATCH(B150,'GIS-Standards'!$B$2:$B$305,0))</f>
        <v>7</v>
      </c>
      <c r="I150" t="e">
        <f>INDEX('GIS-Standards'!$A$2:$A$305,MATCH(C150,'GIS-Standards'!$B$2:$B$305,0))</f>
        <v>#N/A</v>
      </c>
      <c r="J150" t="str">
        <f>INDEX('GIS-Standards'!$O$2:$O$305,MATCH(B150,'GIS-Standards'!$B$2:$B$305,0))</f>
        <v>ISO/TC 59/SC 14</v>
      </c>
      <c r="K150" t="e">
        <f>INDEX('GIS-Standards'!$O$2:$O$305,MATCH(C150,'GIS-Standards'!$B$2:$B$305,0))</f>
        <v>#N/A</v>
      </c>
      <c r="M150" t="s">
        <v>525</v>
      </c>
      <c r="N150">
        <f>INDEX('GIS-Standards'!$I$2:$I$305,MATCH(B150,'GIS-Standards'!$B$2:$B$305,0))</f>
        <v>0</v>
      </c>
      <c r="O150" t="e">
        <f>INDEX('GIS-Standards'!$I$2:$I$305,MATCH(C150,'GIS-Standards'!$B$2:$B$305,0))</f>
        <v>#N/A</v>
      </c>
      <c r="P150" t="e">
        <f>AND(TableRelationships12[[#This Row],[Source Type]]="BIM",TableRelationships12[[#This Row],[Target Type]]="BIM")</f>
        <v>#N/A</v>
      </c>
      <c r="Q150">
        <f t="shared" si="6"/>
        <v>1</v>
      </c>
      <c r="S150">
        <f t="shared" si="7"/>
        <v>1</v>
      </c>
      <c r="T150" s="102" t="str">
        <f>IF(TableRelationships12[[#This Row],[Rank Pedro]]="Low","linkCategory1",IF(TableRelationships12[[#This Row],[Rank Pedro]]="Medium","linkCategory2",IF(TableRelationships12[[#This Row],[Rank Pedro]]="High","linkCategory3","")))</f>
        <v/>
      </c>
      <c r="U150" s="102" t="str">
        <f>IF(TableRelationships12[[#This Row],[Rank Pedro]]="Low","Pink",IF(TableRelationships12[[#This Row],[Rank Pedro]]="Medium","Purple",IF(TableRelationships12[[#This Row],[Rank Pedro]]="High","Brown","")))</f>
        <v/>
      </c>
      <c r="V150" s="4" t="e">
        <f>MAX(INDEX(Standards!$F$2:$F$296,MATCH(B150,Standards!$B$2:$B$296,0)),INDEX(Standards!$F$2:$F$296,MATCH(C150,Standards!$B$2:$B$296,0)))</f>
        <v>#N/A</v>
      </c>
      <c r="W150" t="str">
        <f t="shared" si="8"/>
        <v>#2f89d1</v>
      </c>
    </row>
    <row r="151" spans="1:23" x14ac:dyDescent="0.5">
      <c r="A151" s="54">
        <v>150</v>
      </c>
      <c r="B151" s="90" t="s">
        <v>1690</v>
      </c>
      <c r="C151" t="s">
        <v>1839</v>
      </c>
      <c r="D151" s="1"/>
      <c r="E151" s="113"/>
      <c r="F151" s="113"/>
      <c r="G151" s="107"/>
      <c r="H151">
        <f>INDEX('GIS-Standards'!$A$2:$A$305,MATCH(B151,'GIS-Standards'!$B$2:$B$305,0))</f>
        <v>7</v>
      </c>
      <c r="I151" t="e">
        <f>INDEX('GIS-Standards'!$A$2:$A$305,MATCH(C151,'GIS-Standards'!$B$2:$B$305,0))</f>
        <v>#N/A</v>
      </c>
      <c r="J151" t="str">
        <f>INDEX('GIS-Standards'!$O$2:$O$305,MATCH(B151,'GIS-Standards'!$B$2:$B$305,0))</f>
        <v>ISO/TC 59/SC 14</v>
      </c>
      <c r="K151" t="e">
        <f>INDEX('GIS-Standards'!$O$2:$O$305,MATCH(C151,'GIS-Standards'!$B$2:$B$305,0))</f>
        <v>#N/A</v>
      </c>
      <c r="M151" t="s">
        <v>525</v>
      </c>
      <c r="N151">
        <f>INDEX('GIS-Standards'!$I$2:$I$305,MATCH(B151,'GIS-Standards'!$B$2:$B$305,0))</f>
        <v>0</v>
      </c>
      <c r="O151" t="e">
        <f>INDEX('GIS-Standards'!$I$2:$I$305,MATCH(C151,'GIS-Standards'!$B$2:$B$305,0))</f>
        <v>#N/A</v>
      </c>
      <c r="P151" t="e">
        <f>AND(TableRelationships12[[#This Row],[Source Type]]="BIM",TableRelationships12[[#This Row],[Target Type]]="BIM")</f>
        <v>#N/A</v>
      </c>
      <c r="Q151">
        <f t="shared" si="6"/>
        <v>1</v>
      </c>
      <c r="S151">
        <f t="shared" si="7"/>
        <v>1</v>
      </c>
      <c r="T151" s="102" t="str">
        <f>IF(TableRelationships12[[#This Row],[Rank Pedro]]="Low","linkCategory1",IF(TableRelationships12[[#This Row],[Rank Pedro]]="Medium","linkCategory2",IF(TableRelationships12[[#This Row],[Rank Pedro]]="High","linkCategory3","")))</f>
        <v/>
      </c>
      <c r="U151" s="102" t="str">
        <f>IF(TableRelationships12[[#This Row],[Rank Pedro]]="Low","Pink",IF(TableRelationships12[[#This Row],[Rank Pedro]]="Medium","Purple",IF(TableRelationships12[[#This Row],[Rank Pedro]]="High","Brown","")))</f>
        <v/>
      </c>
      <c r="V151" s="4" t="e">
        <f>MAX(INDEX(Standards!$F$2:$F$296,MATCH(B151,Standards!$B$2:$B$296,0)),INDEX(Standards!$F$2:$F$296,MATCH(C151,Standards!$B$2:$B$296,0)))</f>
        <v>#N/A</v>
      </c>
      <c r="W151" t="str">
        <f t="shared" si="8"/>
        <v>#2f89d1</v>
      </c>
    </row>
    <row r="152" spans="1:23" x14ac:dyDescent="0.5">
      <c r="A152" s="54">
        <v>151</v>
      </c>
      <c r="B152" s="90" t="s">
        <v>1800</v>
      </c>
      <c r="C152" t="s">
        <v>527</v>
      </c>
      <c r="D152" s="1"/>
      <c r="E152" s="113">
        <v>2014.01</v>
      </c>
      <c r="F152" s="113">
        <v>2014.01</v>
      </c>
      <c r="G152" s="115" t="s">
        <v>1804</v>
      </c>
      <c r="H152">
        <f>INDEX('GIS-Standards'!$A$2:$A$305,MATCH(B152,'GIS-Standards'!$B$2:$B$305,0))</f>
        <v>8</v>
      </c>
      <c r="I152" t="e">
        <f>INDEX('GIS-Standards'!$A$2:$A$305,MATCH(C152,'GIS-Standards'!$B$2:$B$305,0))</f>
        <v>#N/A</v>
      </c>
      <c r="J152" t="str">
        <f>INDEX('GIS-Standards'!$O$2:$O$305,MATCH(B152,'GIS-Standards'!$B$2:$B$305,0))</f>
        <v>ISO/TC 59/SC 14</v>
      </c>
      <c r="K152" t="e">
        <f>INDEX('GIS-Standards'!$O$2:$O$305,MATCH(C152,'GIS-Standards'!$B$2:$B$305,0))</f>
        <v>#N/A</v>
      </c>
      <c r="M152" t="s">
        <v>237</v>
      </c>
      <c r="N152">
        <f>INDEX('GIS-Standards'!$I$2:$I$305,MATCH(B152,'GIS-Standards'!$B$2:$B$305,0))</f>
        <v>0</v>
      </c>
      <c r="O152" t="e">
        <f>INDEX('GIS-Standards'!$I$2:$I$305,MATCH(C152,'GIS-Standards'!$B$2:$B$305,0))</f>
        <v>#N/A</v>
      </c>
      <c r="P152" t="e">
        <f>AND(TableRelationships12[[#This Row],[Source Type]]="BIM",TableRelationships12[[#This Row],[Target Type]]="BIM")</f>
        <v>#N/A</v>
      </c>
      <c r="Q152">
        <f t="shared" si="6"/>
        <v>2</v>
      </c>
      <c r="S152">
        <f t="shared" si="7"/>
        <v>1</v>
      </c>
      <c r="T152" s="102" t="str">
        <f>IF(TableRelationships12[[#This Row],[Rank Pedro]]="Low","linkCategory1",IF(TableRelationships12[[#This Row],[Rank Pedro]]="Medium","linkCategory2",IF(TableRelationships12[[#This Row],[Rank Pedro]]="High","linkCategory3","")))</f>
        <v/>
      </c>
      <c r="U152" s="102" t="str">
        <f>IF(TableRelationships12[[#This Row],[Rank Pedro]]="Low","Pink",IF(TableRelationships12[[#This Row],[Rank Pedro]]="Medium","Purple",IF(TableRelationships12[[#This Row],[Rank Pedro]]="High","Brown","")))</f>
        <v/>
      </c>
      <c r="V152" s="4" t="e">
        <f>MAX(INDEX(Standards!$F$2:$F$296,MATCH(B152,Standards!$B$2:$B$296,0)),INDEX(Standards!$F$2:$F$296,MATCH(C152,Standards!$B$2:$B$296,0)))</f>
        <v>#N/A</v>
      </c>
      <c r="W152">
        <f t="shared" si="8"/>
        <v>1</v>
      </c>
    </row>
    <row r="153" spans="1:23" x14ac:dyDescent="0.5">
      <c r="A153" s="54">
        <v>152</v>
      </c>
      <c r="B153" s="90" t="s">
        <v>1800</v>
      </c>
      <c r="C153" t="s">
        <v>144</v>
      </c>
      <c r="D153" s="1"/>
      <c r="E153" s="112">
        <v>2013.04</v>
      </c>
      <c r="F153" s="112">
        <v>2024.03</v>
      </c>
      <c r="G153" s="107" t="s">
        <v>1448</v>
      </c>
      <c r="H153">
        <f>INDEX('GIS-Standards'!$A$2:$A$305,MATCH(B153,'GIS-Standards'!$B$2:$B$305,0))</f>
        <v>8</v>
      </c>
      <c r="I153" t="e">
        <f>INDEX('GIS-Standards'!$A$2:$A$305,MATCH(C153,'GIS-Standards'!$B$2:$B$305,0))</f>
        <v>#N/A</v>
      </c>
      <c r="J153" t="str">
        <f>INDEX('GIS-Standards'!$O$2:$O$305,MATCH(B153,'GIS-Standards'!$B$2:$B$305,0))</f>
        <v>ISO/TC 59/SC 14</v>
      </c>
      <c r="K153" t="e">
        <f>INDEX('GIS-Standards'!$O$2:$O$305,MATCH(C153,'GIS-Standards'!$B$2:$B$305,0))</f>
        <v>#N/A</v>
      </c>
      <c r="M153" t="s">
        <v>524</v>
      </c>
      <c r="N153">
        <f>INDEX('GIS-Standards'!$I$2:$I$305,MATCH(B153,'GIS-Standards'!$B$2:$B$305,0))</f>
        <v>0</v>
      </c>
      <c r="O153" t="e">
        <f>INDEX('GIS-Standards'!$I$2:$I$305,MATCH(C153,'GIS-Standards'!$B$2:$B$305,0))</f>
        <v>#N/A</v>
      </c>
      <c r="P153" t="e">
        <f>AND(TableRelationships12[[#This Row],[Source Type]]="BIM",TableRelationships12[[#This Row],[Target Type]]="BIM")</f>
        <v>#N/A</v>
      </c>
      <c r="Q153">
        <f t="shared" si="6"/>
        <v>6</v>
      </c>
      <c r="S153">
        <f t="shared" si="7"/>
        <v>1</v>
      </c>
      <c r="T153" s="102" t="str">
        <f>IF(TableRelationships12[[#This Row],[Rank Pedro]]="Low","linkCategory1",IF(TableRelationships12[[#This Row],[Rank Pedro]]="Medium","linkCategory2",IF(TableRelationships12[[#This Row],[Rank Pedro]]="High","linkCategory3","")))</f>
        <v/>
      </c>
      <c r="U153" s="102" t="str">
        <f>IF(TableRelationships12[[#This Row],[Rank Pedro]]="Low","Pink",IF(TableRelationships12[[#This Row],[Rank Pedro]]="Medium","Purple",IF(TableRelationships12[[#This Row],[Rank Pedro]]="High","Brown","")))</f>
        <v/>
      </c>
      <c r="V153" s="4" t="e">
        <f>MAX(INDEX(Standards!$F$2:$F$296,MATCH(B153,Standards!$B$2:$B$296,0)),INDEX(Standards!$F$2:$F$296,MATCH(C153,Standards!$B$2:$B$296,0)))</f>
        <v>#N/A</v>
      </c>
      <c r="W153" t="str">
        <f t="shared" si="8"/>
        <v>#d6bf2a</v>
      </c>
    </row>
    <row r="154" spans="1:23" x14ac:dyDescent="0.5">
      <c r="A154" s="54">
        <v>153</v>
      </c>
      <c r="B154" s="90" t="s">
        <v>1800</v>
      </c>
      <c r="C154" t="s">
        <v>128</v>
      </c>
      <c r="D154" s="1"/>
      <c r="E154" s="112">
        <v>1994.12</v>
      </c>
      <c r="F154" s="112">
        <v>2004.11</v>
      </c>
      <c r="G154" s="107" t="s">
        <v>1448</v>
      </c>
      <c r="H154">
        <f>INDEX('GIS-Standards'!$A$2:$A$305,MATCH(B154,'GIS-Standards'!$B$2:$B$305,0))</f>
        <v>8</v>
      </c>
      <c r="I154" t="e">
        <f>INDEX('GIS-Standards'!$A$2:$A$305,MATCH(C154,'GIS-Standards'!$B$2:$B$305,0))</f>
        <v>#N/A</v>
      </c>
      <c r="J154" t="str">
        <f>INDEX('GIS-Standards'!$O$2:$O$305,MATCH(B154,'GIS-Standards'!$B$2:$B$305,0))</f>
        <v>ISO/TC 59/SC 14</v>
      </c>
      <c r="K154" t="e">
        <f>INDEX('GIS-Standards'!$O$2:$O$305,MATCH(C154,'GIS-Standards'!$B$2:$B$305,0))</f>
        <v>#N/A</v>
      </c>
      <c r="M154" t="s">
        <v>525</v>
      </c>
      <c r="N154">
        <f>INDEX('GIS-Standards'!$I$2:$I$305,MATCH(B154,'GIS-Standards'!$B$2:$B$305,0))</f>
        <v>0</v>
      </c>
      <c r="O154" t="e">
        <f>INDEX('GIS-Standards'!$I$2:$I$305,MATCH(C154,'GIS-Standards'!$B$2:$B$305,0))</f>
        <v>#N/A</v>
      </c>
      <c r="P154" t="e">
        <f>AND(TableRelationships12[[#This Row],[Source Type]]="BIM",TableRelationships12[[#This Row],[Target Type]]="BIM")</f>
        <v>#N/A</v>
      </c>
      <c r="Q154">
        <f t="shared" si="6"/>
        <v>1</v>
      </c>
      <c r="S154">
        <f t="shared" si="7"/>
        <v>1</v>
      </c>
      <c r="T154" s="102" t="str">
        <f>IF(TableRelationships12[[#This Row],[Rank Pedro]]="Low","linkCategory1",IF(TableRelationships12[[#This Row],[Rank Pedro]]="Medium","linkCategory2",IF(TableRelationships12[[#This Row],[Rank Pedro]]="High","linkCategory3","")))</f>
        <v/>
      </c>
      <c r="U154" s="102" t="str">
        <f>IF(TableRelationships12[[#This Row],[Rank Pedro]]="Low","Pink",IF(TableRelationships12[[#This Row],[Rank Pedro]]="Medium","Purple",IF(TableRelationships12[[#This Row],[Rank Pedro]]="High","Brown","")))</f>
        <v/>
      </c>
      <c r="V154" s="4" t="e">
        <f>MAX(INDEX(Standards!$F$2:$F$296,MATCH(B154,Standards!$B$2:$B$296,0)),INDEX(Standards!$F$2:$F$296,MATCH(C154,Standards!$B$2:$B$296,0)))</f>
        <v>#N/A</v>
      </c>
      <c r="W154" t="str">
        <f t="shared" si="8"/>
        <v>#2f89d1</v>
      </c>
    </row>
    <row r="155" spans="1:23" x14ac:dyDescent="0.5">
      <c r="A155" s="54">
        <v>154</v>
      </c>
      <c r="B155" s="90" t="s">
        <v>1800</v>
      </c>
      <c r="C155" t="s">
        <v>259</v>
      </c>
      <c r="D155" s="1"/>
      <c r="E155" s="112">
        <v>2002.01</v>
      </c>
      <c r="F155" s="112">
        <v>2016.03</v>
      </c>
      <c r="G155" s="107" t="s">
        <v>1448</v>
      </c>
      <c r="H155">
        <f>INDEX('GIS-Standards'!$A$2:$A$305,MATCH(B155,'GIS-Standards'!$B$2:$B$305,0))</f>
        <v>8</v>
      </c>
      <c r="I155" t="e">
        <f>INDEX('GIS-Standards'!$A$2:$A$305,MATCH(C155,'GIS-Standards'!$B$2:$B$305,0))</f>
        <v>#N/A</v>
      </c>
      <c r="J155" t="str">
        <f>INDEX('GIS-Standards'!$O$2:$O$305,MATCH(B155,'GIS-Standards'!$B$2:$B$305,0))</f>
        <v>ISO/TC 59/SC 14</v>
      </c>
      <c r="K155" t="e">
        <f>INDEX('GIS-Standards'!$O$2:$O$305,MATCH(C155,'GIS-Standards'!$B$2:$B$305,0))</f>
        <v>#N/A</v>
      </c>
      <c r="M155" t="s">
        <v>525</v>
      </c>
      <c r="N155">
        <f>INDEX('GIS-Standards'!$I$2:$I$305,MATCH(B155,'GIS-Standards'!$B$2:$B$305,0))</f>
        <v>0</v>
      </c>
      <c r="O155" t="e">
        <f>INDEX('GIS-Standards'!$I$2:$I$305,MATCH(C155,'GIS-Standards'!$B$2:$B$305,0))</f>
        <v>#N/A</v>
      </c>
      <c r="P155" t="e">
        <f>AND(TableRelationships12[[#This Row],[Source Type]]="BIM",TableRelationships12[[#This Row],[Target Type]]="BIM")</f>
        <v>#N/A</v>
      </c>
      <c r="Q155">
        <f t="shared" si="6"/>
        <v>1</v>
      </c>
      <c r="S155">
        <f t="shared" si="7"/>
        <v>1</v>
      </c>
      <c r="T155" s="102" t="str">
        <f>IF(TableRelationships12[[#This Row],[Rank Pedro]]="Low","linkCategory1",IF(TableRelationships12[[#This Row],[Rank Pedro]]="Medium","linkCategory2",IF(TableRelationships12[[#This Row],[Rank Pedro]]="High","linkCategory3","")))</f>
        <v/>
      </c>
      <c r="U155" s="102" t="str">
        <f>IF(TableRelationships12[[#This Row],[Rank Pedro]]="Low","Pink",IF(TableRelationships12[[#This Row],[Rank Pedro]]="Medium","Purple",IF(TableRelationships12[[#This Row],[Rank Pedro]]="High","Brown","")))</f>
        <v/>
      </c>
      <c r="V155" s="4" t="e">
        <f>MAX(INDEX(Standards!$F$2:$F$296,MATCH(B155,Standards!$B$2:$B$296,0)),INDEX(Standards!$F$2:$F$296,MATCH(C155,Standards!$B$2:$B$296,0)))</f>
        <v>#N/A</v>
      </c>
      <c r="W155" t="str">
        <f t="shared" si="8"/>
        <v>#2f89d1</v>
      </c>
    </row>
    <row r="156" spans="1:23" x14ac:dyDescent="0.5">
      <c r="A156" s="54">
        <v>155</v>
      </c>
      <c r="B156" s="90" t="s">
        <v>1800</v>
      </c>
      <c r="C156" t="s">
        <v>164</v>
      </c>
      <c r="D156" s="1"/>
      <c r="E156" s="112">
        <v>2003.08</v>
      </c>
      <c r="F156" s="112">
        <v>2007.1</v>
      </c>
      <c r="G156" s="107" t="s">
        <v>1448</v>
      </c>
      <c r="H156">
        <f>INDEX('GIS-Standards'!$A$2:$A$305,MATCH(B156,'GIS-Standards'!$B$2:$B$305,0))</f>
        <v>8</v>
      </c>
      <c r="I156" t="e">
        <f>INDEX('GIS-Standards'!$A$2:$A$305,MATCH(C156,'GIS-Standards'!$B$2:$B$305,0))</f>
        <v>#N/A</v>
      </c>
      <c r="J156" t="str">
        <f>INDEX('GIS-Standards'!$O$2:$O$305,MATCH(B156,'GIS-Standards'!$B$2:$B$305,0))</f>
        <v>ISO/TC 59/SC 14</v>
      </c>
      <c r="K156" t="e">
        <f>INDEX('GIS-Standards'!$O$2:$O$305,MATCH(C156,'GIS-Standards'!$B$2:$B$305,0))</f>
        <v>#N/A</v>
      </c>
      <c r="M156" t="s">
        <v>525</v>
      </c>
      <c r="N156">
        <f>INDEX('GIS-Standards'!$I$2:$I$305,MATCH(B156,'GIS-Standards'!$B$2:$B$305,0))</f>
        <v>0</v>
      </c>
      <c r="O156" t="e">
        <f>INDEX('GIS-Standards'!$I$2:$I$305,MATCH(C156,'GIS-Standards'!$B$2:$B$305,0))</f>
        <v>#N/A</v>
      </c>
      <c r="P156" t="e">
        <f>AND(TableRelationships12[[#This Row],[Source Type]]="BIM",TableRelationships12[[#This Row],[Target Type]]="BIM")</f>
        <v>#N/A</v>
      </c>
      <c r="Q156">
        <f t="shared" si="6"/>
        <v>1</v>
      </c>
      <c r="S156">
        <f t="shared" si="7"/>
        <v>1</v>
      </c>
      <c r="T156" s="102" t="str">
        <f>IF(TableRelationships12[[#This Row],[Rank Pedro]]="Low","linkCategory1",IF(TableRelationships12[[#This Row],[Rank Pedro]]="Medium","linkCategory2",IF(TableRelationships12[[#This Row],[Rank Pedro]]="High","linkCategory3","")))</f>
        <v/>
      </c>
      <c r="U156" s="102" t="str">
        <f>IF(TableRelationships12[[#This Row],[Rank Pedro]]="Low","Pink",IF(TableRelationships12[[#This Row],[Rank Pedro]]="Medium","Purple",IF(TableRelationships12[[#This Row],[Rank Pedro]]="High","Brown","")))</f>
        <v/>
      </c>
      <c r="V156" s="4" t="e">
        <f>MAX(INDEX(Standards!$F$2:$F$296,MATCH(B156,Standards!$B$2:$B$296,0)),INDEX(Standards!$F$2:$F$296,MATCH(C156,Standards!$B$2:$B$296,0)))</f>
        <v>#N/A</v>
      </c>
      <c r="W156" t="str">
        <f t="shared" si="8"/>
        <v>#2f89d1</v>
      </c>
    </row>
    <row r="157" spans="1:23" x14ac:dyDescent="0.5">
      <c r="A157" s="54">
        <v>156</v>
      </c>
      <c r="B157" s="90" t="s">
        <v>1800</v>
      </c>
      <c r="C157" t="s">
        <v>68</v>
      </c>
      <c r="D157" s="1"/>
      <c r="E157" s="113" t="s">
        <v>2041</v>
      </c>
      <c r="F157" s="113">
        <v>2015.05</v>
      </c>
      <c r="G157" s="107" t="s">
        <v>2043</v>
      </c>
      <c r="H157">
        <f>INDEX('GIS-Standards'!$A$2:$A$305,MATCH(B157,'GIS-Standards'!$B$2:$B$305,0))</f>
        <v>8</v>
      </c>
      <c r="I157" t="e">
        <f>INDEX('GIS-Standards'!$A$2:$A$305,MATCH(C157,'GIS-Standards'!$B$2:$B$305,0))</f>
        <v>#N/A</v>
      </c>
      <c r="J157" t="str">
        <f>INDEX('GIS-Standards'!$O$2:$O$305,MATCH(B157,'GIS-Standards'!$B$2:$B$305,0))</f>
        <v>ISO/TC 59/SC 14</v>
      </c>
      <c r="K157" t="e">
        <f>INDEX('GIS-Standards'!$O$2:$O$305,MATCH(C157,'GIS-Standards'!$B$2:$B$305,0))</f>
        <v>#N/A</v>
      </c>
      <c r="M157" t="s">
        <v>525</v>
      </c>
      <c r="N157">
        <f>INDEX('GIS-Standards'!$I$2:$I$305,MATCH(B157,'GIS-Standards'!$B$2:$B$305,0))</f>
        <v>0</v>
      </c>
      <c r="O157" t="e">
        <f>INDEX('GIS-Standards'!$I$2:$I$305,MATCH(C157,'GIS-Standards'!$B$2:$B$305,0))</f>
        <v>#N/A</v>
      </c>
      <c r="P157" t="e">
        <f>AND(TableRelationships12[[#This Row],[Source Type]]="BIM",TableRelationships12[[#This Row],[Target Type]]="BIM")</f>
        <v>#N/A</v>
      </c>
      <c r="Q157">
        <f t="shared" si="6"/>
        <v>1</v>
      </c>
      <c r="S157">
        <f t="shared" si="7"/>
        <v>1</v>
      </c>
      <c r="T157" s="102" t="str">
        <f>IF(TableRelationships12[[#This Row],[Rank Pedro]]="Low","linkCategory1",IF(TableRelationships12[[#This Row],[Rank Pedro]]="Medium","linkCategory2",IF(TableRelationships12[[#This Row],[Rank Pedro]]="High","linkCategory3","")))</f>
        <v/>
      </c>
      <c r="U157" s="102" t="str">
        <f>IF(TableRelationships12[[#This Row],[Rank Pedro]]="Low","Pink",IF(TableRelationships12[[#This Row],[Rank Pedro]]="Medium","Purple",IF(TableRelationships12[[#This Row],[Rank Pedro]]="High","Brown","")))</f>
        <v/>
      </c>
      <c r="V157" s="4" t="e">
        <f>MAX(INDEX(Standards!$F$2:$F$296,MATCH(B157,Standards!$B$2:$B$296,0)),INDEX(Standards!$F$2:$F$296,MATCH(C157,Standards!$B$2:$B$296,0)))</f>
        <v>#N/A</v>
      </c>
      <c r="W157" t="str">
        <f t="shared" si="8"/>
        <v>#2f89d1</v>
      </c>
    </row>
    <row r="158" spans="1:23" x14ac:dyDescent="0.5">
      <c r="A158" s="54">
        <v>157</v>
      </c>
      <c r="B158" s="90" t="s">
        <v>1800</v>
      </c>
      <c r="C158" t="s">
        <v>1806</v>
      </c>
      <c r="D158" s="1"/>
      <c r="E158" s="113">
        <v>1998.08</v>
      </c>
      <c r="F158" s="113">
        <v>2022.12</v>
      </c>
      <c r="G158" s="107" t="s">
        <v>2052</v>
      </c>
      <c r="H158">
        <f>INDEX('GIS-Standards'!$A$2:$A$305,MATCH(B158,'GIS-Standards'!$B$2:$B$305,0))</f>
        <v>8</v>
      </c>
      <c r="I158" t="e">
        <f>INDEX('GIS-Standards'!$A$2:$A$305,MATCH(C158,'GIS-Standards'!$B$2:$B$305,0))</f>
        <v>#N/A</v>
      </c>
      <c r="J158" t="str">
        <f>INDEX('GIS-Standards'!$O$2:$O$305,MATCH(B158,'GIS-Standards'!$B$2:$B$305,0))</f>
        <v>ISO/TC 59/SC 14</v>
      </c>
      <c r="K158" t="e">
        <f>INDEX('GIS-Standards'!$O$2:$O$305,MATCH(C158,'GIS-Standards'!$B$2:$B$305,0))</f>
        <v>#N/A</v>
      </c>
      <c r="M158" t="s">
        <v>525</v>
      </c>
      <c r="N158">
        <f>INDEX('GIS-Standards'!$I$2:$I$305,MATCH(B158,'GIS-Standards'!$B$2:$B$305,0))</f>
        <v>0</v>
      </c>
      <c r="O158" t="e">
        <f>INDEX('GIS-Standards'!$I$2:$I$305,MATCH(C158,'GIS-Standards'!$B$2:$B$305,0))</f>
        <v>#N/A</v>
      </c>
      <c r="P158" t="e">
        <f>AND(TableRelationships12[[#This Row],[Source Type]]="BIM",TableRelationships12[[#This Row],[Target Type]]="BIM")</f>
        <v>#N/A</v>
      </c>
      <c r="Q158">
        <f t="shared" si="6"/>
        <v>1</v>
      </c>
      <c r="S158">
        <f t="shared" si="7"/>
        <v>1</v>
      </c>
      <c r="T158" s="102" t="str">
        <f>IF(TableRelationships12[[#This Row],[Rank Pedro]]="Low","linkCategory1",IF(TableRelationships12[[#This Row],[Rank Pedro]]="Medium","linkCategory2",IF(TableRelationships12[[#This Row],[Rank Pedro]]="High","linkCategory3","")))</f>
        <v/>
      </c>
      <c r="U158" s="102" t="str">
        <f>IF(TableRelationships12[[#This Row],[Rank Pedro]]="Low","Pink",IF(TableRelationships12[[#This Row],[Rank Pedro]]="Medium","Purple",IF(TableRelationships12[[#This Row],[Rank Pedro]]="High","Brown","")))</f>
        <v/>
      </c>
      <c r="V158" s="4" t="e">
        <f>MAX(INDEX(Standards!$F$2:$F$296,MATCH(B158,Standards!$B$2:$B$296,0)),INDEX(Standards!$F$2:$F$296,MATCH(C158,Standards!$B$2:$B$296,0)))</f>
        <v>#N/A</v>
      </c>
      <c r="W158" t="str">
        <f t="shared" si="8"/>
        <v>#2f89d1</v>
      </c>
    </row>
    <row r="159" spans="1:23" x14ac:dyDescent="0.5">
      <c r="A159" s="54">
        <v>158</v>
      </c>
      <c r="B159" s="90" t="s">
        <v>1800</v>
      </c>
      <c r="C159" t="s">
        <v>1807</v>
      </c>
      <c r="D159" s="1" t="s">
        <v>1676</v>
      </c>
      <c r="E159" s="113">
        <v>1999.09</v>
      </c>
      <c r="F159" s="113">
        <v>2021.07</v>
      </c>
      <c r="G159" s="107" t="s">
        <v>2052</v>
      </c>
      <c r="H159">
        <f>INDEX('GIS-Standards'!$A$2:$A$305,MATCH(B159,'GIS-Standards'!$B$2:$B$305,0))</f>
        <v>8</v>
      </c>
      <c r="I159" t="e">
        <f>INDEX('GIS-Standards'!$A$2:$A$305,MATCH(C159,'GIS-Standards'!$B$2:$B$305,0))</f>
        <v>#N/A</v>
      </c>
      <c r="J159" t="str">
        <f>INDEX('GIS-Standards'!$O$2:$O$305,MATCH(B159,'GIS-Standards'!$B$2:$B$305,0))</f>
        <v>ISO/TC 59/SC 14</v>
      </c>
      <c r="K159" t="e">
        <f>INDEX('GIS-Standards'!$O$2:$O$305,MATCH(C159,'GIS-Standards'!$B$2:$B$305,0))</f>
        <v>#N/A</v>
      </c>
      <c r="M159" t="s">
        <v>525</v>
      </c>
      <c r="N159">
        <f>INDEX('GIS-Standards'!$I$2:$I$305,MATCH(B159,'GIS-Standards'!$B$2:$B$305,0))</f>
        <v>0</v>
      </c>
      <c r="O159" t="e">
        <f>INDEX('GIS-Standards'!$I$2:$I$305,MATCH(C159,'GIS-Standards'!$B$2:$B$305,0))</f>
        <v>#N/A</v>
      </c>
      <c r="P159" t="e">
        <f>AND(TableRelationships12[[#This Row],[Source Type]]="BIM",TableRelationships12[[#This Row],[Target Type]]="BIM")</f>
        <v>#N/A</v>
      </c>
      <c r="Q159">
        <f t="shared" si="6"/>
        <v>1</v>
      </c>
      <c r="S159">
        <f t="shared" si="7"/>
        <v>1</v>
      </c>
      <c r="T159" s="102" t="str">
        <f>IF(TableRelationships12[[#This Row],[Rank Pedro]]="Low","linkCategory1",IF(TableRelationships12[[#This Row],[Rank Pedro]]="Medium","linkCategory2",IF(TableRelationships12[[#This Row],[Rank Pedro]]="High","linkCategory3","")))</f>
        <v/>
      </c>
      <c r="U159" s="102" t="str">
        <f>IF(TableRelationships12[[#This Row],[Rank Pedro]]="Low","Pink",IF(TableRelationships12[[#This Row],[Rank Pedro]]="Medium","Purple",IF(TableRelationships12[[#This Row],[Rank Pedro]]="High","Brown","")))</f>
        <v/>
      </c>
      <c r="V159" s="4" t="e">
        <f>MAX(INDEX(Standards!$F$2:$F$296,MATCH(B159,Standards!$B$2:$B$296,0)),INDEX(Standards!$F$2:$F$296,MATCH(C159,Standards!$B$2:$B$296,0)))</f>
        <v>#N/A</v>
      </c>
      <c r="W159" t="str">
        <f t="shared" si="8"/>
        <v>#2f89d1</v>
      </c>
    </row>
    <row r="160" spans="1:23" x14ac:dyDescent="0.5">
      <c r="A160" s="54">
        <v>159</v>
      </c>
      <c r="B160" s="90" t="s">
        <v>1800</v>
      </c>
      <c r="C160" t="s">
        <v>1808</v>
      </c>
      <c r="D160" s="1" t="s">
        <v>1676</v>
      </c>
      <c r="E160" s="113">
        <v>1999.03</v>
      </c>
      <c r="F160" s="113">
        <v>2018.02</v>
      </c>
      <c r="G160" s="107" t="s">
        <v>2052</v>
      </c>
      <c r="H160">
        <f>INDEX('GIS-Standards'!$A$2:$A$305,MATCH(B160,'GIS-Standards'!$B$2:$B$305,0))</f>
        <v>8</v>
      </c>
      <c r="I160" t="e">
        <f>INDEX('GIS-Standards'!$A$2:$A$305,MATCH(C160,'GIS-Standards'!$B$2:$B$305,0))</f>
        <v>#N/A</v>
      </c>
      <c r="J160" t="str">
        <f>INDEX('GIS-Standards'!$O$2:$O$305,MATCH(B160,'GIS-Standards'!$B$2:$B$305,0))</f>
        <v>ISO/TC 59/SC 14</v>
      </c>
      <c r="K160" t="e">
        <f>INDEX('GIS-Standards'!$O$2:$O$305,MATCH(C160,'GIS-Standards'!$B$2:$B$305,0))</f>
        <v>#N/A</v>
      </c>
      <c r="M160" t="s">
        <v>525</v>
      </c>
      <c r="N160">
        <f>INDEX('GIS-Standards'!$I$2:$I$305,MATCH(B160,'GIS-Standards'!$B$2:$B$305,0))</f>
        <v>0</v>
      </c>
      <c r="O160" t="e">
        <f>INDEX('GIS-Standards'!$I$2:$I$305,MATCH(C160,'GIS-Standards'!$B$2:$B$305,0))</f>
        <v>#N/A</v>
      </c>
      <c r="P160" t="e">
        <f>AND(TableRelationships12[[#This Row],[Source Type]]="BIM",TableRelationships12[[#This Row],[Target Type]]="BIM")</f>
        <v>#N/A</v>
      </c>
      <c r="Q160">
        <f t="shared" si="6"/>
        <v>1</v>
      </c>
      <c r="S160">
        <f t="shared" si="7"/>
        <v>1</v>
      </c>
      <c r="T160" s="102" t="str">
        <f>IF(TableRelationships12[[#This Row],[Rank Pedro]]="Low","linkCategory1",IF(TableRelationships12[[#This Row],[Rank Pedro]]="Medium","linkCategory2",IF(TableRelationships12[[#This Row],[Rank Pedro]]="High","linkCategory3","")))</f>
        <v/>
      </c>
      <c r="U160" s="102" t="str">
        <f>IF(TableRelationships12[[#This Row],[Rank Pedro]]="Low","Pink",IF(TableRelationships12[[#This Row],[Rank Pedro]]="Medium","Purple",IF(TableRelationships12[[#This Row],[Rank Pedro]]="High","Brown","")))</f>
        <v/>
      </c>
      <c r="V160" s="4" t="e">
        <f>MAX(INDEX(Standards!$F$2:$F$296,MATCH(B160,Standards!$B$2:$B$296,0)),INDEX(Standards!$F$2:$F$296,MATCH(C160,Standards!$B$2:$B$296,0)))</f>
        <v>#N/A</v>
      </c>
      <c r="W160" t="str">
        <f t="shared" si="8"/>
        <v>#2f89d1</v>
      </c>
    </row>
    <row r="161" spans="1:23" x14ac:dyDescent="0.5">
      <c r="A161" s="54">
        <v>160</v>
      </c>
      <c r="B161" s="90" t="s">
        <v>1800</v>
      </c>
      <c r="C161" t="s">
        <v>1809</v>
      </c>
      <c r="D161" s="1" t="s">
        <v>1676</v>
      </c>
      <c r="E161" s="113">
        <v>2000.03</v>
      </c>
      <c r="F161" s="113">
        <v>2006.07</v>
      </c>
      <c r="G161" s="107" t="s">
        <v>2052</v>
      </c>
      <c r="H161">
        <f>INDEX('GIS-Standards'!$A$2:$A$305,MATCH(B161,'GIS-Standards'!$B$2:$B$305,0))</f>
        <v>8</v>
      </c>
      <c r="I161" t="e">
        <f>INDEX('GIS-Standards'!$A$2:$A$305,MATCH(C161,'GIS-Standards'!$B$2:$B$305,0))</f>
        <v>#N/A</v>
      </c>
      <c r="J161" t="str">
        <f>INDEX('GIS-Standards'!$O$2:$O$305,MATCH(B161,'GIS-Standards'!$B$2:$B$305,0))</f>
        <v>ISO/TC 59/SC 14</v>
      </c>
      <c r="K161" t="e">
        <f>INDEX('GIS-Standards'!$O$2:$O$305,MATCH(C161,'GIS-Standards'!$B$2:$B$305,0))</f>
        <v>#N/A</v>
      </c>
      <c r="M161" t="s">
        <v>525</v>
      </c>
      <c r="N161">
        <f>INDEX('GIS-Standards'!$I$2:$I$305,MATCH(B161,'GIS-Standards'!$B$2:$B$305,0))</f>
        <v>0</v>
      </c>
      <c r="O161" t="e">
        <f>INDEX('GIS-Standards'!$I$2:$I$305,MATCH(C161,'GIS-Standards'!$B$2:$B$305,0))</f>
        <v>#N/A</v>
      </c>
      <c r="P161" t="e">
        <f>AND(TableRelationships12[[#This Row],[Source Type]]="BIM",TableRelationships12[[#This Row],[Target Type]]="BIM")</f>
        <v>#N/A</v>
      </c>
      <c r="Q161">
        <f t="shared" si="6"/>
        <v>1</v>
      </c>
      <c r="S161">
        <f t="shared" si="7"/>
        <v>1</v>
      </c>
      <c r="T161" s="102" t="str">
        <f>IF(TableRelationships12[[#This Row],[Rank Pedro]]="Low","linkCategory1",IF(TableRelationships12[[#This Row],[Rank Pedro]]="Medium","linkCategory2",IF(TableRelationships12[[#This Row],[Rank Pedro]]="High","linkCategory3","")))</f>
        <v/>
      </c>
      <c r="U161" s="102" t="str">
        <f>IF(TableRelationships12[[#This Row],[Rank Pedro]]="Low","Pink",IF(TableRelationships12[[#This Row],[Rank Pedro]]="Medium","Purple",IF(TableRelationships12[[#This Row],[Rank Pedro]]="High","Brown","")))</f>
        <v/>
      </c>
      <c r="V161" s="4" t="e">
        <f>MAX(INDEX(Standards!$F$2:$F$296,MATCH(B161,Standards!$B$2:$B$296,0)),INDEX(Standards!$F$2:$F$296,MATCH(C161,Standards!$B$2:$B$296,0)))</f>
        <v>#N/A</v>
      </c>
      <c r="W161" t="str">
        <f t="shared" si="8"/>
        <v>#2f89d1</v>
      </c>
    </row>
    <row r="162" spans="1:23" x14ac:dyDescent="0.5">
      <c r="A162" s="54">
        <v>161</v>
      </c>
      <c r="B162" s="90" t="s">
        <v>1800</v>
      </c>
      <c r="C162" t="s">
        <v>1784</v>
      </c>
      <c r="D162" s="1"/>
      <c r="E162" s="113">
        <v>1997.06</v>
      </c>
      <c r="F162" s="113">
        <v>2020.09</v>
      </c>
      <c r="G162" s="107" t="s">
        <v>2053</v>
      </c>
      <c r="H162">
        <f>INDEX('GIS-Standards'!$A$2:$A$305,MATCH(B162,'GIS-Standards'!$B$2:$B$305,0))</f>
        <v>8</v>
      </c>
      <c r="I162" t="e">
        <f>INDEX('GIS-Standards'!$A$2:$A$305,MATCH(C162,'GIS-Standards'!$B$2:$B$305,0))</f>
        <v>#N/A</v>
      </c>
      <c r="J162" t="str">
        <f>INDEX('GIS-Standards'!$O$2:$O$305,MATCH(B162,'GIS-Standards'!$B$2:$B$305,0))</f>
        <v>ISO/TC 59/SC 14</v>
      </c>
      <c r="K162" t="e">
        <f>INDEX('GIS-Standards'!$O$2:$O$305,MATCH(C162,'GIS-Standards'!$B$2:$B$305,0))</f>
        <v>#N/A</v>
      </c>
      <c r="M162" t="s">
        <v>525</v>
      </c>
      <c r="N162">
        <f>INDEX('GIS-Standards'!$I$2:$I$305,MATCH(B162,'GIS-Standards'!$B$2:$B$305,0))</f>
        <v>0</v>
      </c>
      <c r="O162" t="e">
        <f>INDEX('GIS-Standards'!$I$2:$I$305,MATCH(C162,'GIS-Standards'!$B$2:$B$305,0))</f>
        <v>#N/A</v>
      </c>
      <c r="P162" t="e">
        <f>AND(TableRelationships12[[#This Row],[Source Type]]="BIM",TableRelationships12[[#This Row],[Target Type]]="BIM")</f>
        <v>#N/A</v>
      </c>
      <c r="Q162">
        <f t="shared" si="6"/>
        <v>1</v>
      </c>
      <c r="S162">
        <f t="shared" si="7"/>
        <v>1</v>
      </c>
      <c r="T162" s="102" t="str">
        <f>IF(TableRelationships12[[#This Row],[Rank Pedro]]="Low","linkCategory1",IF(TableRelationships12[[#This Row],[Rank Pedro]]="Medium","linkCategory2",IF(TableRelationships12[[#This Row],[Rank Pedro]]="High","linkCategory3","")))</f>
        <v/>
      </c>
      <c r="U162" s="102" t="str">
        <f>IF(TableRelationships12[[#This Row],[Rank Pedro]]="Low","Pink",IF(TableRelationships12[[#This Row],[Rank Pedro]]="Medium","Purple",IF(TableRelationships12[[#This Row],[Rank Pedro]]="High","Brown","")))</f>
        <v/>
      </c>
      <c r="V162" s="4" t="e">
        <f>MAX(INDEX(Standards!$F$2:$F$296,MATCH(B162,Standards!$B$2:$B$296,0)),INDEX(Standards!$F$2:$F$296,MATCH(C162,Standards!$B$2:$B$296,0)))</f>
        <v>#N/A</v>
      </c>
      <c r="W162" t="str">
        <f t="shared" si="8"/>
        <v>#2f89d1</v>
      </c>
    </row>
    <row r="163" spans="1:23" x14ac:dyDescent="0.5">
      <c r="A163" s="54">
        <v>162</v>
      </c>
      <c r="B163" s="90" t="s">
        <v>1800</v>
      </c>
      <c r="C163" t="s">
        <v>1810</v>
      </c>
      <c r="D163" s="1"/>
      <c r="E163" s="113">
        <v>1997.06</v>
      </c>
      <c r="F163" s="113">
        <v>2020.09</v>
      </c>
      <c r="G163" s="107" t="s">
        <v>2053</v>
      </c>
      <c r="H163">
        <f>INDEX('GIS-Standards'!$A$2:$A$305,MATCH(B163,'GIS-Standards'!$B$2:$B$305,0))</f>
        <v>8</v>
      </c>
      <c r="I163" t="e">
        <f>INDEX('GIS-Standards'!$A$2:$A$305,MATCH(C163,'GIS-Standards'!$B$2:$B$305,0))</f>
        <v>#N/A</v>
      </c>
      <c r="J163" t="str">
        <f>INDEX('GIS-Standards'!$O$2:$O$305,MATCH(B163,'GIS-Standards'!$B$2:$B$305,0))</f>
        <v>ISO/TC 59/SC 14</v>
      </c>
      <c r="K163" t="e">
        <f>INDEX('GIS-Standards'!$O$2:$O$305,MATCH(C163,'GIS-Standards'!$B$2:$B$305,0))</f>
        <v>#N/A</v>
      </c>
      <c r="M163" t="s">
        <v>525</v>
      </c>
      <c r="N163">
        <f>INDEX('GIS-Standards'!$I$2:$I$305,MATCH(B163,'GIS-Standards'!$B$2:$B$305,0))</f>
        <v>0</v>
      </c>
      <c r="O163" t="e">
        <f>INDEX('GIS-Standards'!$I$2:$I$305,MATCH(C163,'GIS-Standards'!$B$2:$B$305,0))</f>
        <v>#N/A</v>
      </c>
      <c r="P163" t="e">
        <f>AND(TableRelationships12[[#This Row],[Source Type]]="BIM",TableRelationships12[[#This Row],[Target Type]]="BIM")</f>
        <v>#N/A</v>
      </c>
      <c r="Q163">
        <f t="shared" si="6"/>
        <v>1</v>
      </c>
      <c r="S163">
        <f t="shared" si="7"/>
        <v>1</v>
      </c>
      <c r="T163" s="102" t="str">
        <f>IF(TableRelationships12[[#This Row],[Rank Pedro]]="Low","linkCategory1",IF(TableRelationships12[[#This Row],[Rank Pedro]]="Medium","linkCategory2",IF(TableRelationships12[[#This Row],[Rank Pedro]]="High","linkCategory3","")))</f>
        <v/>
      </c>
      <c r="U163" s="102" t="str">
        <f>IF(TableRelationships12[[#This Row],[Rank Pedro]]="Low","Pink",IF(TableRelationships12[[#This Row],[Rank Pedro]]="Medium","Purple",IF(TableRelationships12[[#This Row],[Rank Pedro]]="High","Brown","")))</f>
        <v/>
      </c>
      <c r="V163" s="4" t="e">
        <f>MAX(INDEX(Standards!$F$2:$F$296,MATCH(B163,Standards!$B$2:$B$296,0)),INDEX(Standards!$F$2:$F$296,MATCH(C163,Standards!$B$2:$B$296,0)))</f>
        <v>#N/A</v>
      </c>
      <c r="W163" t="str">
        <f t="shared" si="8"/>
        <v>#2f89d1</v>
      </c>
    </row>
    <row r="164" spans="1:23" x14ac:dyDescent="0.5">
      <c r="A164" s="54">
        <v>163</v>
      </c>
      <c r="B164" s="90" t="s">
        <v>1800</v>
      </c>
      <c r="C164" t="s">
        <v>279</v>
      </c>
      <c r="D164" s="1" t="s">
        <v>1676</v>
      </c>
      <c r="E164" s="113">
        <v>2000.09</v>
      </c>
      <c r="F164" s="113">
        <v>2011.05</v>
      </c>
      <c r="G164" s="107" t="s">
        <v>1718</v>
      </c>
      <c r="H164">
        <f>INDEX('GIS-Standards'!$A$2:$A$305,MATCH(B164,'GIS-Standards'!$B$2:$B$305,0))</f>
        <v>8</v>
      </c>
      <c r="I164">
        <f>INDEX('GIS-Standards'!$A$2:$A$305,MATCH(C164,'GIS-Standards'!$B$2:$B$305,0))</f>
        <v>6</v>
      </c>
      <c r="J164" t="str">
        <f>INDEX('GIS-Standards'!$O$2:$O$305,MATCH(B164,'GIS-Standards'!$B$2:$B$305,0))</f>
        <v>ISO/TC 59/SC 14</v>
      </c>
      <c r="K164" t="str">
        <f>INDEX('GIS-Standards'!$O$2:$O$305,MATCH(C164,'GIS-Standards'!$B$2:$B$305,0))</f>
        <v>ISO/TC 59</v>
      </c>
      <c r="M164" t="s">
        <v>525</v>
      </c>
      <c r="N164">
        <f>INDEX('GIS-Standards'!$I$2:$I$305,MATCH(B164,'GIS-Standards'!$B$2:$B$305,0))</f>
        <v>0</v>
      </c>
      <c r="O164">
        <f>INDEX('GIS-Standards'!$I$2:$I$305,MATCH(C164,'GIS-Standards'!$B$2:$B$305,0))</f>
        <v>0</v>
      </c>
      <c r="P164" t="b">
        <f>AND(TableRelationships12[[#This Row],[Source Type]]="BIM",TableRelationships12[[#This Row],[Target Type]]="BIM")</f>
        <v>0</v>
      </c>
      <c r="Q164">
        <f t="shared" si="6"/>
        <v>1</v>
      </c>
      <c r="S164">
        <f t="shared" si="7"/>
        <v>1</v>
      </c>
      <c r="T164" s="102" t="str">
        <f>IF(TableRelationships12[[#This Row],[Rank Pedro]]="Low","linkCategory1",IF(TableRelationships12[[#This Row],[Rank Pedro]]="Medium","linkCategory2",IF(TableRelationships12[[#This Row],[Rank Pedro]]="High","linkCategory3","")))</f>
        <v/>
      </c>
      <c r="U164" s="102" t="str">
        <f>IF(TableRelationships12[[#This Row],[Rank Pedro]]="Low","Pink",IF(TableRelationships12[[#This Row],[Rank Pedro]]="Medium","Purple",IF(TableRelationships12[[#This Row],[Rank Pedro]]="High","Brown","")))</f>
        <v/>
      </c>
      <c r="V164" s="4" t="e">
        <f>MAX(INDEX(Standards!$F$2:$F$296,MATCH(B164,Standards!$B$2:$B$296,0)),INDEX(Standards!$F$2:$F$296,MATCH(C164,Standards!$B$2:$B$296,0)))</f>
        <v>#N/A</v>
      </c>
      <c r="W164" t="str">
        <f t="shared" si="8"/>
        <v>#2f89d1</v>
      </c>
    </row>
    <row r="165" spans="1:23" x14ac:dyDescent="0.5">
      <c r="A165" s="54">
        <v>164</v>
      </c>
      <c r="B165" s="90" t="s">
        <v>1800</v>
      </c>
      <c r="C165" t="s">
        <v>1786</v>
      </c>
      <c r="D165" s="1" t="s">
        <v>1676</v>
      </c>
      <c r="E165" s="113">
        <v>2001.03</v>
      </c>
      <c r="F165" s="113">
        <v>2012.06</v>
      </c>
      <c r="G165" s="107" t="s">
        <v>1718</v>
      </c>
      <c r="H165">
        <f>INDEX('GIS-Standards'!$A$2:$A$305,MATCH(B165,'GIS-Standards'!$B$2:$B$305,0))</f>
        <v>8</v>
      </c>
      <c r="I165" t="e">
        <f>INDEX('GIS-Standards'!$A$2:$A$305,MATCH(C165,'GIS-Standards'!$B$2:$B$305,0))</f>
        <v>#N/A</v>
      </c>
      <c r="J165" t="str">
        <f>INDEX('GIS-Standards'!$O$2:$O$305,MATCH(B165,'GIS-Standards'!$B$2:$B$305,0))</f>
        <v>ISO/TC 59/SC 14</v>
      </c>
      <c r="K165" t="e">
        <f>INDEX('GIS-Standards'!$O$2:$O$305,MATCH(C165,'GIS-Standards'!$B$2:$B$305,0))</f>
        <v>#N/A</v>
      </c>
      <c r="M165" t="s">
        <v>525</v>
      </c>
      <c r="N165">
        <f>INDEX('GIS-Standards'!$I$2:$I$305,MATCH(B165,'GIS-Standards'!$B$2:$B$305,0))</f>
        <v>0</v>
      </c>
      <c r="O165" t="e">
        <f>INDEX('GIS-Standards'!$I$2:$I$305,MATCH(C165,'GIS-Standards'!$B$2:$B$305,0))</f>
        <v>#N/A</v>
      </c>
      <c r="P165" t="e">
        <f>AND(TableRelationships12[[#This Row],[Source Type]]="BIM",TableRelationships12[[#This Row],[Target Type]]="BIM")</f>
        <v>#N/A</v>
      </c>
      <c r="Q165">
        <f t="shared" si="6"/>
        <v>1</v>
      </c>
      <c r="S165">
        <f t="shared" si="7"/>
        <v>1</v>
      </c>
      <c r="T165" s="102" t="str">
        <f>IF(TableRelationships12[[#This Row],[Rank Pedro]]="Low","linkCategory1",IF(TableRelationships12[[#This Row],[Rank Pedro]]="Medium","linkCategory2",IF(TableRelationships12[[#This Row],[Rank Pedro]]="High","linkCategory3","")))</f>
        <v/>
      </c>
      <c r="U165" s="102" t="str">
        <f>IF(TableRelationships12[[#This Row],[Rank Pedro]]="Low","Pink",IF(TableRelationships12[[#This Row],[Rank Pedro]]="Medium","Purple",IF(TableRelationships12[[#This Row],[Rank Pedro]]="High","Brown","")))</f>
        <v/>
      </c>
      <c r="V165" s="4" t="e">
        <f>MAX(INDEX(Standards!$F$2:$F$296,MATCH(B165,Standards!$B$2:$B$296,0)),INDEX(Standards!$F$2:$F$296,MATCH(C165,Standards!$B$2:$B$296,0)))</f>
        <v>#N/A</v>
      </c>
      <c r="W165" t="str">
        <f t="shared" si="8"/>
        <v>#2f89d1</v>
      </c>
    </row>
    <row r="166" spans="1:23" x14ac:dyDescent="0.5">
      <c r="A166" s="54">
        <v>165</v>
      </c>
      <c r="B166" s="90" t="s">
        <v>1800</v>
      </c>
      <c r="C166" t="s">
        <v>1788</v>
      </c>
      <c r="D166" s="1"/>
      <c r="E166" s="113">
        <v>2008.06</v>
      </c>
      <c r="F166" s="113">
        <v>2017.07</v>
      </c>
      <c r="G166" s="107" t="s">
        <v>1718</v>
      </c>
      <c r="H166">
        <f>INDEX('GIS-Standards'!$A$2:$A$305,MATCH(B166,'GIS-Standards'!$B$2:$B$305,0))</f>
        <v>8</v>
      </c>
      <c r="I166" t="e">
        <f>INDEX('GIS-Standards'!$A$2:$A$305,MATCH(C166,'GIS-Standards'!$B$2:$B$305,0))</f>
        <v>#N/A</v>
      </c>
      <c r="J166" t="str">
        <f>INDEX('GIS-Standards'!$O$2:$O$305,MATCH(B166,'GIS-Standards'!$B$2:$B$305,0))</f>
        <v>ISO/TC 59/SC 14</v>
      </c>
      <c r="K166" t="e">
        <f>INDEX('GIS-Standards'!$O$2:$O$305,MATCH(C166,'GIS-Standards'!$B$2:$B$305,0))</f>
        <v>#N/A</v>
      </c>
      <c r="M166" t="s">
        <v>525</v>
      </c>
      <c r="N166">
        <f>INDEX('GIS-Standards'!$I$2:$I$305,MATCH(B166,'GIS-Standards'!$B$2:$B$305,0))</f>
        <v>0</v>
      </c>
      <c r="O166" t="e">
        <f>INDEX('GIS-Standards'!$I$2:$I$305,MATCH(C166,'GIS-Standards'!$B$2:$B$305,0))</f>
        <v>#N/A</v>
      </c>
      <c r="P166" t="e">
        <f>AND(TableRelationships12[[#This Row],[Source Type]]="BIM",TableRelationships12[[#This Row],[Target Type]]="BIM")</f>
        <v>#N/A</v>
      </c>
      <c r="Q166">
        <f t="shared" si="6"/>
        <v>1</v>
      </c>
      <c r="S166">
        <f t="shared" si="7"/>
        <v>1</v>
      </c>
      <c r="T166" s="102" t="str">
        <f>IF(TableRelationships12[[#This Row],[Rank Pedro]]="Low","linkCategory1",IF(TableRelationships12[[#This Row],[Rank Pedro]]="Medium","linkCategory2",IF(TableRelationships12[[#This Row],[Rank Pedro]]="High","linkCategory3","")))</f>
        <v/>
      </c>
      <c r="U166" s="102" t="str">
        <f>IF(TableRelationships12[[#This Row],[Rank Pedro]]="Low","Pink",IF(TableRelationships12[[#This Row],[Rank Pedro]]="Medium","Purple",IF(TableRelationships12[[#This Row],[Rank Pedro]]="High","Brown","")))</f>
        <v/>
      </c>
      <c r="V166" s="4" t="e">
        <f>MAX(INDEX(Standards!$F$2:$F$296,MATCH(B166,Standards!$B$2:$B$296,0)),INDEX(Standards!$F$2:$F$296,MATCH(C166,Standards!$B$2:$B$296,0)))</f>
        <v>#N/A</v>
      </c>
      <c r="W166" t="str">
        <f t="shared" si="8"/>
        <v>#2f89d1</v>
      </c>
    </row>
    <row r="167" spans="1:23" x14ac:dyDescent="0.5">
      <c r="A167" s="54">
        <v>166</v>
      </c>
      <c r="B167" s="90" t="s">
        <v>1800</v>
      </c>
      <c r="C167" t="s">
        <v>1692</v>
      </c>
      <c r="D167" s="1"/>
      <c r="E167" s="113">
        <v>2006.03</v>
      </c>
      <c r="F167" s="113">
        <v>2017.07</v>
      </c>
      <c r="G167" s="107" t="s">
        <v>1718</v>
      </c>
      <c r="H167">
        <f>INDEX('GIS-Standards'!$A$2:$A$305,MATCH(B167,'GIS-Standards'!$B$2:$B$305,0))</f>
        <v>8</v>
      </c>
      <c r="I167">
        <f>INDEX('GIS-Standards'!$A$2:$A$305,MATCH(C167,'GIS-Standards'!$B$2:$B$305,0))</f>
        <v>9</v>
      </c>
      <c r="J167" t="str">
        <f>INDEX('GIS-Standards'!$O$2:$O$305,MATCH(B167,'GIS-Standards'!$B$2:$B$305,0))</f>
        <v>ISO/TC 59/SC 14</v>
      </c>
      <c r="K167" t="str">
        <f>INDEX('GIS-Standards'!$O$2:$O$305,MATCH(C167,'GIS-Standards'!$B$2:$B$305,0))</f>
        <v>ISO/TC 59/SC 14</v>
      </c>
      <c r="M167" t="s">
        <v>525</v>
      </c>
      <c r="N167">
        <f>INDEX('GIS-Standards'!$I$2:$I$305,MATCH(B167,'GIS-Standards'!$B$2:$B$305,0))</f>
        <v>0</v>
      </c>
      <c r="O167">
        <f>INDEX('GIS-Standards'!$I$2:$I$305,MATCH(C167,'GIS-Standards'!$B$2:$B$305,0))</f>
        <v>0</v>
      </c>
      <c r="P167" t="b">
        <f>AND(TableRelationships12[[#This Row],[Source Type]]="BIM",TableRelationships12[[#This Row],[Target Type]]="BIM")</f>
        <v>0</v>
      </c>
      <c r="Q167">
        <f t="shared" si="6"/>
        <v>1</v>
      </c>
      <c r="S167">
        <f t="shared" si="7"/>
        <v>1</v>
      </c>
      <c r="T167" s="102" t="str">
        <f>IF(TableRelationships12[[#This Row],[Rank Pedro]]="Low","linkCategory1",IF(TableRelationships12[[#This Row],[Rank Pedro]]="Medium","linkCategory2",IF(TableRelationships12[[#This Row],[Rank Pedro]]="High","linkCategory3","")))</f>
        <v/>
      </c>
      <c r="U167" s="102" t="str">
        <f>IF(TableRelationships12[[#This Row],[Rank Pedro]]="Low","Pink",IF(TableRelationships12[[#This Row],[Rank Pedro]]="Medium","Purple",IF(TableRelationships12[[#This Row],[Rank Pedro]]="High","Brown","")))</f>
        <v/>
      </c>
      <c r="V167" s="4" t="e">
        <f>MAX(INDEX(Standards!$F$2:$F$296,MATCH(B167,Standards!$B$2:$B$296,0)),INDEX(Standards!$F$2:$F$296,MATCH(C167,Standards!$B$2:$B$296,0)))</f>
        <v>#N/A</v>
      </c>
      <c r="W167" t="str">
        <f t="shared" si="8"/>
        <v>#2f89d1</v>
      </c>
    </row>
    <row r="168" spans="1:23" x14ac:dyDescent="0.5">
      <c r="A168" s="54">
        <v>167</v>
      </c>
      <c r="B168" s="90" t="s">
        <v>1800</v>
      </c>
      <c r="C168" t="s">
        <v>1789</v>
      </c>
      <c r="D168" s="1" t="s">
        <v>1676</v>
      </c>
      <c r="E168" s="113">
        <v>2008.06</v>
      </c>
      <c r="F168" s="113">
        <v>2008.06</v>
      </c>
      <c r="G168" s="107" t="s">
        <v>1718</v>
      </c>
      <c r="H168">
        <f>INDEX('GIS-Standards'!$A$2:$A$305,MATCH(B168,'GIS-Standards'!$B$2:$B$305,0))</f>
        <v>8</v>
      </c>
      <c r="I168" t="e">
        <f>INDEX('GIS-Standards'!$A$2:$A$305,MATCH(C168,'GIS-Standards'!$B$2:$B$305,0))</f>
        <v>#N/A</v>
      </c>
      <c r="J168" t="str">
        <f>INDEX('GIS-Standards'!$O$2:$O$305,MATCH(B168,'GIS-Standards'!$B$2:$B$305,0))</f>
        <v>ISO/TC 59/SC 14</v>
      </c>
      <c r="K168" t="e">
        <f>INDEX('GIS-Standards'!$O$2:$O$305,MATCH(C168,'GIS-Standards'!$B$2:$B$305,0))</f>
        <v>#N/A</v>
      </c>
      <c r="M168" t="s">
        <v>525</v>
      </c>
      <c r="N168">
        <f>INDEX('GIS-Standards'!$I$2:$I$305,MATCH(B168,'GIS-Standards'!$B$2:$B$305,0))</f>
        <v>0</v>
      </c>
      <c r="O168" t="e">
        <f>INDEX('GIS-Standards'!$I$2:$I$305,MATCH(C168,'GIS-Standards'!$B$2:$B$305,0))</f>
        <v>#N/A</v>
      </c>
      <c r="P168" t="e">
        <f>AND(TableRelationships12[[#This Row],[Source Type]]="BIM",TableRelationships12[[#This Row],[Target Type]]="BIM")</f>
        <v>#N/A</v>
      </c>
      <c r="Q168">
        <f t="shared" si="6"/>
        <v>1</v>
      </c>
      <c r="S168">
        <f t="shared" si="7"/>
        <v>1</v>
      </c>
      <c r="T168" s="102" t="str">
        <f>IF(TableRelationships12[[#This Row],[Rank Pedro]]="Low","linkCategory1",IF(TableRelationships12[[#This Row],[Rank Pedro]]="Medium","linkCategory2",IF(TableRelationships12[[#This Row],[Rank Pedro]]="High","linkCategory3","")))</f>
        <v/>
      </c>
      <c r="U168" s="102" t="str">
        <f>IF(TableRelationships12[[#This Row],[Rank Pedro]]="Low","Pink",IF(TableRelationships12[[#This Row],[Rank Pedro]]="Medium","Purple",IF(TableRelationships12[[#This Row],[Rank Pedro]]="High","Brown","")))</f>
        <v/>
      </c>
      <c r="V168" s="4" t="e">
        <f>MAX(INDEX(Standards!$F$2:$F$296,MATCH(B168,Standards!$B$2:$B$296,0)),INDEX(Standards!$F$2:$F$296,MATCH(C168,Standards!$B$2:$B$296,0)))</f>
        <v>#N/A</v>
      </c>
      <c r="W168" t="str">
        <f t="shared" si="8"/>
        <v>#2f89d1</v>
      </c>
    </row>
    <row r="169" spans="1:23" x14ac:dyDescent="0.5">
      <c r="A169" s="54">
        <v>168</v>
      </c>
      <c r="B169" s="90" t="s">
        <v>1800</v>
      </c>
      <c r="C169" t="s">
        <v>1811</v>
      </c>
      <c r="D169" s="1"/>
      <c r="E169" s="113">
        <v>2006.03</v>
      </c>
      <c r="F169" s="113">
        <v>2011.11</v>
      </c>
      <c r="G169" s="107" t="s">
        <v>1718</v>
      </c>
      <c r="H169">
        <f>INDEX('GIS-Standards'!$A$2:$A$305,MATCH(B169,'GIS-Standards'!$B$2:$B$305,0))</f>
        <v>8</v>
      </c>
      <c r="I169" t="e">
        <f>INDEX('GIS-Standards'!$A$2:$A$305,MATCH(C169,'GIS-Standards'!$B$2:$B$305,0))</f>
        <v>#N/A</v>
      </c>
      <c r="J169" t="str">
        <f>INDEX('GIS-Standards'!$O$2:$O$305,MATCH(B169,'GIS-Standards'!$B$2:$B$305,0))</f>
        <v>ISO/TC 59/SC 14</v>
      </c>
      <c r="K169" t="e">
        <f>INDEX('GIS-Standards'!$O$2:$O$305,MATCH(C169,'GIS-Standards'!$B$2:$B$305,0))</f>
        <v>#N/A</v>
      </c>
      <c r="M169" t="s">
        <v>525</v>
      </c>
      <c r="N169">
        <f>INDEX('GIS-Standards'!$I$2:$I$305,MATCH(B169,'GIS-Standards'!$B$2:$B$305,0))</f>
        <v>0</v>
      </c>
      <c r="O169" t="e">
        <f>INDEX('GIS-Standards'!$I$2:$I$305,MATCH(C169,'GIS-Standards'!$B$2:$B$305,0))</f>
        <v>#N/A</v>
      </c>
      <c r="P169" t="e">
        <f>AND(TableRelationships12[[#This Row],[Source Type]]="BIM",TableRelationships12[[#This Row],[Target Type]]="BIM")</f>
        <v>#N/A</v>
      </c>
      <c r="Q169">
        <f t="shared" si="6"/>
        <v>1</v>
      </c>
      <c r="S169">
        <f t="shared" si="7"/>
        <v>1</v>
      </c>
      <c r="T169" s="102" t="str">
        <f>IF(TableRelationships12[[#This Row],[Rank Pedro]]="Low","linkCategory1",IF(TableRelationships12[[#This Row],[Rank Pedro]]="Medium","linkCategory2",IF(TableRelationships12[[#This Row],[Rank Pedro]]="High","linkCategory3","")))</f>
        <v/>
      </c>
      <c r="U169" s="102" t="str">
        <f>IF(TableRelationships12[[#This Row],[Rank Pedro]]="Low","Pink",IF(TableRelationships12[[#This Row],[Rank Pedro]]="Medium","Purple",IF(TableRelationships12[[#This Row],[Rank Pedro]]="High","Brown","")))</f>
        <v/>
      </c>
      <c r="V169" s="4" t="e">
        <f>MAX(INDEX(Standards!$F$2:$F$296,MATCH(B169,Standards!$B$2:$B$296,0)),INDEX(Standards!$F$2:$F$296,MATCH(C169,Standards!$B$2:$B$296,0)))</f>
        <v>#N/A</v>
      </c>
      <c r="W169" t="str">
        <f t="shared" si="8"/>
        <v>#2f89d1</v>
      </c>
    </row>
    <row r="170" spans="1:23" x14ac:dyDescent="0.5">
      <c r="A170" s="54">
        <v>169</v>
      </c>
      <c r="B170" s="90" t="s">
        <v>1800</v>
      </c>
      <c r="C170" t="s">
        <v>1812</v>
      </c>
      <c r="D170" s="1"/>
      <c r="E170" s="113">
        <v>2007.1</v>
      </c>
      <c r="F170" s="113">
        <v>2017.07</v>
      </c>
      <c r="G170" s="107" t="s">
        <v>1718</v>
      </c>
      <c r="H170">
        <f>INDEX('GIS-Standards'!$A$2:$A$305,MATCH(B170,'GIS-Standards'!$B$2:$B$305,0))</f>
        <v>8</v>
      </c>
      <c r="I170" t="e">
        <f>INDEX('GIS-Standards'!$A$2:$A$305,MATCH(C170,'GIS-Standards'!$B$2:$B$305,0))</f>
        <v>#N/A</v>
      </c>
      <c r="J170" t="str">
        <f>INDEX('GIS-Standards'!$O$2:$O$305,MATCH(B170,'GIS-Standards'!$B$2:$B$305,0))</f>
        <v>ISO/TC 59/SC 14</v>
      </c>
      <c r="K170" t="e">
        <f>INDEX('GIS-Standards'!$O$2:$O$305,MATCH(C170,'GIS-Standards'!$B$2:$B$305,0))</f>
        <v>#N/A</v>
      </c>
      <c r="M170" t="s">
        <v>525</v>
      </c>
      <c r="N170">
        <f>INDEX('GIS-Standards'!$I$2:$I$305,MATCH(B170,'GIS-Standards'!$B$2:$B$305,0))</f>
        <v>0</v>
      </c>
      <c r="O170" t="e">
        <f>INDEX('GIS-Standards'!$I$2:$I$305,MATCH(C170,'GIS-Standards'!$B$2:$B$305,0))</f>
        <v>#N/A</v>
      </c>
      <c r="P170" t="e">
        <f>AND(TableRelationships12[[#This Row],[Source Type]]="BIM",TableRelationships12[[#This Row],[Target Type]]="BIM")</f>
        <v>#N/A</v>
      </c>
      <c r="Q170">
        <f t="shared" si="6"/>
        <v>1</v>
      </c>
      <c r="S170">
        <f t="shared" si="7"/>
        <v>1</v>
      </c>
      <c r="T170" s="102" t="str">
        <f>IF(TableRelationships12[[#This Row],[Rank Pedro]]="Low","linkCategory1",IF(TableRelationships12[[#This Row],[Rank Pedro]]="Medium","linkCategory2",IF(TableRelationships12[[#This Row],[Rank Pedro]]="High","linkCategory3","")))</f>
        <v/>
      </c>
      <c r="U170" s="102" t="str">
        <f>IF(TableRelationships12[[#This Row],[Rank Pedro]]="Low","Pink",IF(TableRelationships12[[#This Row],[Rank Pedro]]="Medium","Purple",IF(TableRelationships12[[#This Row],[Rank Pedro]]="High","Brown","")))</f>
        <v/>
      </c>
      <c r="V170" s="4" t="e">
        <f>MAX(INDEX(Standards!$F$2:$F$296,MATCH(B170,Standards!$B$2:$B$296,0)),INDEX(Standards!$F$2:$F$296,MATCH(C170,Standards!$B$2:$B$296,0)))</f>
        <v>#N/A</v>
      </c>
      <c r="W170" t="str">
        <f t="shared" si="8"/>
        <v>#2f89d1</v>
      </c>
    </row>
    <row r="171" spans="1:23" x14ac:dyDescent="0.5">
      <c r="A171" s="54">
        <v>170</v>
      </c>
      <c r="B171" s="90" t="s">
        <v>1800</v>
      </c>
      <c r="C171" t="s">
        <v>1813</v>
      </c>
      <c r="D171" s="1"/>
      <c r="E171" s="113">
        <v>2006.03</v>
      </c>
      <c r="F171" s="113">
        <v>2022.06</v>
      </c>
      <c r="G171" s="107" t="s">
        <v>1718</v>
      </c>
      <c r="H171">
        <f>INDEX('GIS-Standards'!$A$2:$A$305,MATCH(B171,'GIS-Standards'!$B$2:$B$305,0))</f>
        <v>8</v>
      </c>
      <c r="I171" t="e">
        <f>INDEX('GIS-Standards'!$A$2:$A$305,MATCH(C171,'GIS-Standards'!$B$2:$B$305,0))</f>
        <v>#N/A</v>
      </c>
      <c r="J171" t="str">
        <f>INDEX('GIS-Standards'!$O$2:$O$305,MATCH(B171,'GIS-Standards'!$B$2:$B$305,0))</f>
        <v>ISO/TC 59/SC 14</v>
      </c>
      <c r="K171" t="e">
        <f>INDEX('GIS-Standards'!$O$2:$O$305,MATCH(C171,'GIS-Standards'!$B$2:$B$305,0))</f>
        <v>#N/A</v>
      </c>
      <c r="M171" t="s">
        <v>525</v>
      </c>
      <c r="N171">
        <f>INDEX('GIS-Standards'!$I$2:$I$305,MATCH(B171,'GIS-Standards'!$B$2:$B$305,0))</f>
        <v>0</v>
      </c>
      <c r="O171" t="e">
        <f>INDEX('GIS-Standards'!$I$2:$I$305,MATCH(C171,'GIS-Standards'!$B$2:$B$305,0))</f>
        <v>#N/A</v>
      </c>
      <c r="P171" t="e">
        <f>AND(TableRelationships12[[#This Row],[Source Type]]="BIM",TableRelationships12[[#This Row],[Target Type]]="BIM")</f>
        <v>#N/A</v>
      </c>
      <c r="Q171">
        <f t="shared" si="6"/>
        <v>1</v>
      </c>
      <c r="S171">
        <f t="shared" si="7"/>
        <v>1</v>
      </c>
      <c r="T171" s="102" t="str">
        <f>IF(TableRelationships12[[#This Row],[Rank Pedro]]="Low","linkCategory1",IF(TableRelationships12[[#This Row],[Rank Pedro]]="Medium","linkCategory2",IF(TableRelationships12[[#This Row],[Rank Pedro]]="High","linkCategory3","")))</f>
        <v/>
      </c>
      <c r="U171" s="102" t="str">
        <f>IF(TableRelationships12[[#This Row],[Rank Pedro]]="Low","Pink",IF(TableRelationships12[[#This Row],[Rank Pedro]]="Medium","Purple",IF(TableRelationships12[[#This Row],[Rank Pedro]]="High","Brown","")))</f>
        <v/>
      </c>
      <c r="V171" s="4" t="e">
        <f>MAX(INDEX(Standards!$F$2:$F$296,MATCH(B171,Standards!$B$2:$B$296,0)),INDEX(Standards!$F$2:$F$296,MATCH(C171,Standards!$B$2:$B$296,0)))</f>
        <v>#N/A</v>
      </c>
      <c r="W171" t="str">
        <f t="shared" si="8"/>
        <v>#2f89d1</v>
      </c>
    </row>
    <row r="172" spans="1:23" x14ac:dyDescent="0.5">
      <c r="A172" s="54">
        <v>171</v>
      </c>
      <c r="B172" s="90" t="s">
        <v>1800</v>
      </c>
      <c r="C172" t="s">
        <v>408</v>
      </c>
      <c r="D172" s="1"/>
      <c r="E172" s="112">
        <v>2010.05</v>
      </c>
      <c r="F172" s="112">
        <v>2025.11</v>
      </c>
      <c r="G172" s="107" t="s">
        <v>2003</v>
      </c>
      <c r="H172">
        <f>INDEX('GIS-Standards'!$A$2:$A$305,MATCH(B172,'GIS-Standards'!$B$2:$B$305,0))</f>
        <v>8</v>
      </c>
      <c r="I172" t="e">
        <f>INDEX('GIS-Standards'!$A$2:$A$305,MATCH(C172,'GIS-Standards'!$B$2:$B$305,0))</f>
        <v>#N/A</v>
      </c>
      <c r="J172" t="str">
        <f>INDEX('GIS-Standards'!$O$2:$O$305,MATCH(B172,'GIS-Standards'!$B$2:$B$305,0))</f>
        <v>ISO/TC 59/SC 14</v>
      </c>
      <c r="K172" t="e">
        <f>INDEX('GIS-Standards'!$O$2:$O$305,MATCH(C172,'GIS-Standards'!$B$2:$B$305,0))</f>
        <v>#N/A</v>
      </c>
      <c r="M172" t="s">
        <v>525</v>
      </c>
      <c r="N172">
        <f>INDEX('GIS-Standards'!$I$2:$I$305,MATCH(B172,'GIS-Standards'!$B$2:$B$305,0))</f>
        <v>0</v>
      </c>
      <c r="O172" t="e">
        <f>INDEX('GIS-Standards'!$I$2:$I$305,MATCH(C172,'GIS-Standards'!$B$2:$B$305,0))</f>
        <v>#N/A</v>
      </c>
      <c r="P172" t="e">
        <f>AND(TableRelationships12[[#This Row],[Source Type]]="BIM",TableRelationships12[[#This Row],[Target Type]]="BIM")</f>
        <v>#N/A</v>
      </c>
      <c r="Q172">
        <f t="shared" si="6"/>
        <v>1</v>
      </c>
      <c r="S172">
        <f t="shared" si="7"/>
        <v>1</v>
      </c>
      <c r="T172" s="102" t="str">
        <f>IF(TableRelationships12[[#This Row],[Rank Pedro]]="Low","linkCategory1",IF(TableRelationships12[[#This Row],[Rank Pedro]]="Medium","linkCategory2",IF(TableRelationships12[[#This Row],[Rank Pedro]]="High","linkCategory3","")))</f>
        <v/>
      </c>
      <c r="U172" s="102" t="str">
        <f>IF(TableRelationships12[[#This Row],[Rank Pedro]]="Low","Pink",IF(TableRelationships12[[#This Row],[Rank Pedro]]="Medium","Purple",IF(TableRelationships12[[#This Row],[Rank Pedro]]="High","Brown","")))</f>
        <v/>
      </c>
      <c r="V172" s="4" t="e">
        <f>MAX(INDEX(Standards!$F$2:$F$296,MATCH(B172,Standards!$B$2:$B$296,0)),INDEX(Standards!$F$2:$F$296,MATCH(C172,Standards!$B$2:$B$296,0)))</f>
        <v>#N/A</v>
      </c>
      <c r="W172" t="str">
        <f t="shared" si="8"/>
        <v>#2f89d1</v>
      </c>
    </row>
    <row r="173" spans="1:23" x14ac:dyDescent="0.5">
      <c r="A173" s="54">
        <v>172</v>
      </c>
      <c r="B173" s="90" t="s">
        <v>1800</v>
      </c>
      <c r="C173" t="s">
        <v>478</v>
      </c>
      <c r="D173" s="1"/>
      <c r="E173" s="113">
        <v>2020.03</v>
      </c>
      <c r="F173" s="113">
        <v>2025.1</v>
      </c>
      <c r="G173" s="107" t="s">
        <v>2001</v>
      </c>
      <c r="H173">
        <f>INDEX('GIS-Standards'!$A$2:$A$305,MATCH(B173,'GIS-Standards'!$B$2:$B$305,0))</f>
        <v>8</v>
      </c>
      <c r="I173" t="e">
        <f>INDEX('GIS-Standards'!$A$2:$A$305,MATCH(C173,'GIS-Standards'!$B$2:$B$305,0))</f>
        <v>#N/A</v>
      </c>
      <c r="J173" t="str">
        <f>INDEX('GIS-Standards'!$O$2:$O$305,MATCH(B173,'GIS-Standards'!$B$2:$B$305,0))</f>
        <v>ISO/TC 59/SC 14</v>
      </c>
      <c r="K173" t="e">
        <f>INDEX('GIS-Standards'!$O$2:$O$305,MATCH(C173,'GIS-Standards'!$B$2:$B$305,0))</f>
        <v>#N/A</v>
      </c>
      <c r="M173" t="s">
        <v>525</v>
      </c>
      <c r="N173">
        <f>INDEX('GIS-Standards'!$I$2:$I$305,MATCH(B173,'GIS-Standards'!$B$2:$B$305,0))</f>
        <v>0</v>
      </c>
      <c r="O173" t="e">
        <f>INDEX('GIS-Standards'!$I$2:$I$305,MATCH(C173,'GIS-Standards'!$B$2:$B$305,0))</f>
        <v>#N/A</v>
      </c>
      <c r="P173" t="e">
        <f>AND(TableRelationships12[[#This Row],[Source Type]]="BIM",TableRelationships12[[#This Row],[Target Type]]="BIM")</f>
        <v>#N/A</v>
      </c>
      <c r="Q173">
        <f t="shared" si="6"/>
        <v>1</v>
      </c>
      <c r="S173">
        <f t="shared" si="7"/>
        <v>1</v>
      </c>
      <c r="T173" s="102" t="str">
        <f>IF(TableRelationships12[[#This Row],[Rank Pedro]]="Low","linkCategory1",IF(TableRelationships12[[#This Row],[Rank Pedro]]="Medium","linkCategory2",IF(TableRelationships12[[#This Row],[Rank Pedro]]="High","linkCategory3","")))</f>
        <v/>
      </c>
      <c r="U173" s="102" t="str">
        <f>IF(TableRelationships12[[#This Row],[Rank Pedro]]="Low","Pink",IF(TableRelationships12[[#This Row],[Rank Pedro]]="Medium","Purple",IF(TableRelationships12[[#This Row],[Rank Pedro]]="High","Brown","")))</f>
        <v/>
      </c>
      <c r="V173" s="4" t="e">
        <f>MAX(INDEX(Standards!$F$2:$F$296,MATCH(B173,Standards!$B$2:$B$296,0)),INDEX(Standards!$F$2:$F$296,MATCH(C173,Standards!$B$2:$B$296,0)))</f>
        <v>#N/A</v>
      </c>
      <c r="W173" t="str">
        <f t="shared" si="8"/>
        <v>#2f89d1</v>
      </c>
    </row>
    <row r="174" spans="1:23" x14ac:dyDescent="0.5">
      <c r="A174" s="54">
        <v>173</v>
      </c>
      <c r="B174" s="90" t="s">
        <v>1800</v>
      </c>
      <c r="C174" t="s">
        <v>1814</v>
      </c>
      <c r="D174" s="1"/>
      <c r="E174" s="113">
        <v>2011.1</v>
      </c>
      <c r="F174" s="113">
        <v>2021.11</v>
      </c>
      <c r="G174" s="107" t="s">
        <v>2002</v>
      </c>
      <c r="H174">
        <f>INDEX('GIS-Standards'!$A$2:$A$305,MATCH(B174,'GIS-Standards'!$B$2:$B$305,0))</f>
        <v>8</v>
      </c>
      <c r="I174" t="e">
        <f>INDEX('GIS-Standards'!$A$2:$A$305,MATCH(C174,'GIS-Standards'!$B$2:$B$305,0))</f>
        <v>#N/A</v>
      </c>
      <c r="J174" t="str">
        <f>INDEX('GIS-Standards'!$O$2:$O$305,MATCH(B174,'GIS-Standards'!$B$2:$B$305,0))</f>
        <v>ISO/TC 59/SC 14</v>
      </c>
      <c r="K174" t="e">
        <f>INDEX('GIS-Standards'!$O$2:$O$305,MATCH(C174,'GIS-Standards'!$B$2:$B$305,0))</f>
        <v>#N/A</v>
      </c>
      <c r="M174" t="s">
        <v>525</v>
      </c>
      <c r="N174">
        <f>INDEX('GIS-Standards'!$I$2:$I$305,MATCH(B174,'GIS-Standards'!$B$2:$B$305,0))</f>
        <v>0</v>
      </c>
      <c r="O174" t="e">
        <f>INDEX('GIS-Standards'!$I$2:$I$305,MATCH(C174,'GIS-Standards'!$B$2:$B$305,0))</f>
        <v>#N/A</v>
      </c>
      <c r="P174" t="e">
        <f>AND(TableRelationships12[[#This Row],[Source Type]]="BIM",TableRelationships12[[#This Row],[Target Type]]="BIM")</f>
        <v>#N/A</v>
      </c>
      <c r="Q174">
        <f t="shared" si="6"/>
        <v>1</v>
      </c>
      <c r="S174">
        <f t="shared" si="7"/>
        <v>1</v>
      </c>
      <c r="T174" s="102" t="str">
        <f>IF(TableRelationships12[[#This Row],[Rank Pedro]]="Low","linkCategory1",IF(TableRelationships12[[#This Row],[Rank Pedro]]="Medium","linkCategory2",IF(TableRelationships12[[#This Row],[Rank Pedro]]="High","linkCategory3","")))</f>
        <v/>
      </c>
      <c r="U174" s="102" t="str">
        <f>IF(TableRelationships12[[#This Row],[Rank Pedro]]="Low","Pink",IF(TableRelationships12[[#This Row],[Rank Pedro]]="Medium","Purple",IF(TableRelationships12[[#This Row],[Rank Pedro]]="High","Brown","")))</f>
        <v/>
      </c>
      <c r="V174" s="4" t="e">
        <f>MAX(INDEX(Standards!$F$2:$F$296,MATCH(B174,Standards!$B$2:$B$296,0)),INDEX(Standards!$F$2:$F$296,MATCH(C174,Standards!$B$2:$B$296,0)))</f>
        <v>#N/A</v>
      </c>
      <c r="W174" t="str">
        <f t="shared" si="8"/>
        <v>#2f89d1</v>
      </c>
    </row>
    <row r="175" spans="1:23" x14ac:dyDescent="0.5">
      <c r="A175" s="54">
        <v>174</v>
      </c>
      <c r="B175" s="90" t="s">
        <v>1692</v>
      </c>
      <c r="C175" t="s">
        <v>527</v>
      </c>
      <c r="D175" s="1"/>
      <c r="E175" s="113">
        <v>2006.03</v>
      </c>
      <c r="F175" s="113">
        <v>2017.04</v>
      </c>
      <c r="G175" s="91" t="s">
        <v>1804</v>
      </c>
      <c r="H175">
        <f>INDEX('GIS-Standards'!$A$2:$A$305,MATCH(B175,'GIS-Standards'!$B$2:$B$305,0))</f>
        <v>9</v>
      </c>
      <c r="I175" t="e">
        <f>INDEX('GIS-Standards'!$A$2:$A$305,MATCH(C175,'GIS-Standards'!$B$2:$B$305,0))</f>
        <v>#N/A</v>
      </c>
      <c r="J175" t="str">
        <f>INDEX('GIS-Standards'!$O$2:$O$305,MATCH(B175,'GIS-Standards'!$B$2:$B$305,0))</f>
        <v>ISO/TC 59/SC 14</v>
      </c>
      <c r="K175" t="e">
        <f>INDEX('GIS-Standards'!$O$2:$O$305,MATCH(C175,'GIS-Standards'!$B$2:$B$305,0))</f>
        <v>#N/A</v>
      </c>
      <c r="M175" t="s">
        <v>237</v>
      </c>
      <c r="N175">
        <f>INDEX('GIS-Standards'!$I$2:$I$305,MATCH(B175,'GIS-Standards'!$B$2:$B$305,0))</f>
        <v>0</v>
      </c>
      <c r="O175" t="e">
        <f>INDEX('GIS-Standards'!$I$2:$I$305,MATCH(C175,'GIS-Standards'!$B$2:$B$305,0))</f>
        <v>#N/A</v>
      </c>
      <c r="P175" t="e">
        <f>AND(TableRelationships12[[#This Row],[Source Type]]="BIM",TableRelationships12[[#This Row],[Target Type]]="BIM")</f>
        <v>#N/A</v>
      </c>
      <c r="Q175">
        <f t="shared" si="6"/>
        <v>2</v>
      </c>
      <c r="S175">
        <f t="shared" si="7"/>
        <v>1</v>
      </c>
      <c r="T175" s="102" t="str">
        <f>IF(TableRelationships12[[#This Row],[Rank Pedro]]="Low","linkCategory1",IF(TableRelationships12[[#This Row],[Rank Pedro]]="Medium","linkCategory2",IF(TableRelationships12[[#This Row],[Rank Pedro]]="High","linkCategory3","")))</f>
        <v/>
      </c>
      <c r="U175" s="102" t="str">
        <f>IF(TableRelationships12[[#This Row],[Rank Pedro]]="Low","Pink",IF(TableRelationships12[[#This Row],[Rank Pedro]]="Medium","Purple",IF(TableRelationships12[[#This Row],[Rank Pedro]]="High","Brown","")))</f>
        <v/>
      </c>
      <c r="V175" s="4" t="e">
        <f>MAX(INDEX(Standards!$F$2:$F$296,MATCH(B175,Standards!$B$2:$B$296,0)),INDEX(Standards!$F$2:$F$296,MATCH(C175,Standards!$B$2:$B$296,0)))</f>
        <v>#N/A</v>
      </c>
      <c r="W175">
        <f t="shared" si="8"/>
        <v>1</v>
      </c>
    </row>
    <row r="176" spans="1:23" x14ac:dyDescent="0.5">
      <c r="A176" s="54">
        <v>175</v>
      </c>
      <c r="B176" s="90" t="s">
        <v>1692</v>
      </c>
      <c r="C176" t="s">
        <v>279</v>
      </c>
      <c r="D176" s="1" t="s">
        <v>1676</v>
      </c>
      <c r="E176" s="113">
        <v>2000.09</v>
      </c>
      <c r="F176" s="113">
        <v>2011.05</v>
      </c>
      <c r="G176" s="107" t="s">
        <v>1718</v>
      </c>
      <c r="H176">
        <f>INDEX('GIS-Standards'!$A$2:$A$305,MATCH(B176,'GIS-Standards'!$B$2:$B$305,0))</f>
        <v>9</v>
      </c>
      <c r="I176">
        <f>INDEX('GIS-Standards'!$A$2:$A$305,MATCH(C176,'GIS-Standards'!$B$2:$B$305,0))</f>
        <v>6</v>
      </c>
      <c r="J176" t="str">
        <f>INDEX('GIS-Standards'!$O$2:$O$305,MATCH(B176,'GIS-Standards'!$B$2:$B$305,0))</f>
        <v>ISO/TC 59/SC 14</v>
      </c>
      <c r="K176" t="str">
        <f>INDEX('GIS-Standards'!$O$2:$O$305,MATCH(C176,'GIS-Standards'!$B$2:$B$305,0))</f>
        <v>ISO/TC 59</v>
      </c>
      <c r="M176" t="s">
        <v>524</v>
      </c>
      <c r="N176">
        <f>INDEX('GIS-Standards'!$I$2:$I$305,MATCH(B176,'GIS-Standards'!$B$2:$B$305,0))</f>
        <v>0</v>
      </c>
      <c r="O176">
        <f>INDEX('GIS-Standards'!$I$2:$I$305,MATCH(C176,'GIS-Standards'!$B$2:$B$305,0))</f>
        <v>0</v>
      </c>
      <c r="P176" t="b">
        <f>AND(TableRelationships12[[#This Row],[Source Type]]="BIM",TableRelationships12[[#This Row],[Target Type]]="BIM")</f>
        <v>0</v>
      </c>
      <c r="Q176">
        <f t="shared" si="6"/>
        <v>6</v>
      </c>
      <c r="S176">
        <f t="shared" si="7"/>
        <v>1</v>
      </c>
      <c r="T176" s="102" t="str">
        <f>IF(TableRelationships12[[#This Row],[Rank Pedro]]="Low","linkCategory1",IF(TableRelationships12[[#This Row],[Rank Pedro]]="Medium","linkCategory2",IF(TableRelationships12[[#This Row],[Rank Pedro]]="High","linkCategory3","")))</f>
        <v/>
      </c>
      <c r="U176" s="102" t="str">
        <f>IF(TableRelationships12[[#This Row],[Rank Pedro]]="Low","Pink",IF(TableRelationships12[[#This Row],[Rank Pedro]]="Medium","Purple",IF(TableRelationships12[[#This Row],[Rank Pedro]]="High","Brown","")))</f>
        <v/>
      </c>
      <c r="V176" s="4" t="e">
        <f>MAX(INDEX(Standards!$F$2:$F$296,MATCH(B176,Standards!$B$2:$B$296,0)),INDEX(Standards!$F$2:$F$296,MATCH(C176,Standards!$B$2:$B$296,0)))</f>
        <v>#N/A</v>
      </c>
      <c r="W176" t="str">
        <f t="shared" si="8"/>
        <v>#d6bf2a</v>
      </c>
    </row>
    <row r="177" spans="1:23" x14ac:dyDescent="0.5">
      <c r="A177" s="54">
        <v>176</v>
      </c>
      <c r="B177" s="90" t="s">
        <v>1692</v>
      </c>
      <c r="C177" t="s">
        <v>1786</v>
      </c>
      <c r="D177" s="1" t="s">
        <v>1676</v>
      </c>
      <c r="E177" s="113">
        <v>2001.03</v>
      </c>
      <c r="F177" s="113">
        <v>2012.06</v>
      </c>
      <c r="G177" s="107" t="s">
        <v>1718</v>
      </c>
      <c r="H177">
        <f>INDEX('GIS-Standards'!$A$2:$A$305,MATCH(B177,'GIS-Standards'!$B$2:$B$305,0))</f>
        <v>9</v>
      </c>
      <c r="I177" t="e">
        <f>INDEX('GIS-Standards'!$A$2:$A$305,MATCH(C177,'GIS-Standards'!$B$2:$B$305,0))</f>
        <v>#N/A</v>
      </c>
      <c r="J177" t="str">
        <f>INDEX('GIS-Standards'!$O$2:$O$305,MATCH(B177,'GIS-Standards'!$B$2:$B$305,0))</f>
        <v>ISO/TC 59/SC 14</v>
      </c>
      <c r="K177" t="e">
        <f>INDEX('GIS-Standards'!$O$2:$O$305,MATCH(C177,'GIS-Standards'!$B$2:$B$305,0))</f>
        <v>#N/A</v>
      </c>
      <c r="M177" t="s">
        <v>524</v>
      </c>
      <c r="N177">
        <f>INDEX('GIS-Standards'!$I$2:$I$305,MATCH(B177,'GIS-Standards'!$B$2:$B$305,0))</f>
        <v>0</v>
      </c>
      <c r="O177" t="e">
        <f>INDEX('GIS-Standards'!$I$2:$I$305,MATCH(C177,'GIS-Standards'!$B$2:$B$305,0))</f>
        <v>#N/A</v>
      </c>
      <c r="P177" t="e">
        <f>AND(TableRelationships12[[#This Row],[Source Type]]="BIM",TableRelationships12[[#This Row],[Target Type]]="BIM")</f>
        <v>#N/A</v>
      </c>
      <c r="Q177">
        <f t="shared" si="6"/>
        <v>6</v>
      </c>
      <c r="S177">
        <f t="shared" si="7"/>
        <v>1</v>
      </c>
      <c r="T177" s="102" t="str">
        <f>IF(TableRelationships12[[#This Row],[Rank Pedro]]="Low","linkCategory1",IF(TableRelationships12[[#This Row],[Rank Pedro]]="Medium","linkCategory2",IF(TableRelationships12[[#This Row],[Rank Pedro]]="High","linkCategory3","")))</f>
        <v/>
      </c>
      <c r="U177" s="102" t="str">
        <f>IF(TableRelationships12[[#This Row],[Rank Pedro]]="Low","Pink",IF(TableRelationships12[[#This Row],[Rank Pedro]]="Medium","Purple",IF(TableRelationships12[[#This Row],[Rank Pedro]]="High","Brown","")))</f>
        <v/>
      </c>
      <c r="V177" s="4" t="e">
        <f>MAX(INDEX(Standards!$F$2:$F$296,MATCH(B177,Standards!$B$2:$B$296,0)),INDEX(Standards!$F$2:$F$296,MATCH(C177,Standards!$B$2:$B$296,0)))</f>
        <v>#N/A</v>
      </c>
      <c r="W177" t="str">
        <f t="shared" si="8"/>
        <v>#d6bf2a</v>
      </c>
    </row>
    <row r="178" spans="1:23" x14ac:dyDescent="0.5">
      <c r="A178" s="54">
        <v>177</v>
      </c>
      <c r="B178" s="90" t="s">
        <v>1692</v>
      </c>
      <c r="C178" t="s">
        <v>1789</v>
      </c>
      <c r="D178" s="1" t="s">
        <v>1676</v>
      </c>
      <c r="E178" s="113">
        <v>2008.06</v>
      </c>
      <c r="F178" s="113">
        <v>2008.06</v>
      </c>
      <c r="G178" s="107" t="s">
        <v>1718</v>
      </c>
      <c r="H178">
        <f>INDEX('GIS-Standards'!$A$2:$A$305,MATCH(B178,'GIS-Standards'!$B$2:$B$305,0))</f>
        <v>9</v>
      </c>
      <c r="I178" t="e">
        <f>INDEX('GIS-Standards'!$A$2:$A$305,MATCH(C178,'GIS-Standards'!$B$2:$B$305,0))</f>
        <v>#N/A</v>
      </c>
      <c r="J178" t="str">
        <f>INDEX('GIS-Standards'!$O$2:$O$305,MATCH(B178,'GIS-Standards'!$B$2:$B$305,0))</f>
        <v>ISO/TC 59/SC 14</v>
      </c>
      <c r="K178" t="e">
        <f>INDEX('GIS-Standards'!$O$2:$O$305,MATCH(C178,'GIS-Standards'!$B$2:$B$305,0))</f>
        <v>#N/A</v>
      </c>
      <c r="M178" t="s">
        <v>524</v>
      </c>
      <c r="N178">
        <f>INDEX('GIS-Standards'!$I$2:$I$305,MATCH(B178,'GIS-Standards'!$B$2:$B$305,0))</f>
        <v>0</v>
      </c>
      <c r="O178" t="e">
        <f>INDEX('GIS-Standards'!$I$2:$I$305,MATCH(C178,'GIS-Standards'!$B$2:$B$305,0))</f>
        <v>#N/A</v>
      </c>
      <c r="P178" t="e">
        <f>AND(TableRelationships12[[#This Row],[Source Type]]="BIM",TableRelationships12[[#This Row],[Target Type]]="BIM")</f>
        <v>#N/A</v>
      </c>
      <c r="Q178">
        <f t="shared" si="6"/>
        <v>6</v>
      </c>
      <c r="S178">
        <f t="shared" si="7"/>
        <v>1</v>
      </c>
      <c r="T178" s="102" t="str">
        <f>IF(TableRelationships12[[#This Row],[Rank Pedro]]="Low","linkCategory1",IF(TableRelationships12[[#This Row],[Rank Pedro]]="Medium","linkCategory2",IF(TableRelationships12[[#This Row],[Rank Pedro]]="High","linkCategory3","")))</f>
        <v/>
      </c>
      <c r="U178" s="102" t="str">
        <f>IF(TableRelationships12[[#This Row],[Rank Pedro]]="Low","Pink",IF(TableRelationships12[[#This Row],[Rank Pedro]]="Medium","Purple",IF(TableRelationships12[[#This Row],[Rank Pedro]]="High","Brown","")))</f>
        <v/>
      </c>
      <c r="V178" s="4" t="e">
        <f>MAX(INDEX(Standards!$F$2:$F$296,MATCH(B178,Standards!$B$2:$B$296,0)),INDEX(Standards!$F$2:$F$296,MATCH(C178,Standards!$B$2:$B$296,0)))</f>
        <v>#N/A</v>
      </c>
      <c r="W178" t="str">
        <f t="shared" si="8"/>
        <v>#d6bf2a</v>
      </c>
    </row>
    <row r="179" spans="1:23" x14ac:dyDescent="0.5">
      <c r="A179" s="54">
        <v>178</v>
      </c>
      <c r="B179" s="90" t="s">
        <v>1692</v>
      </c>
      <c r="C179" t="s">
        <v>1817</v>
      </c>
      <c r="D179" s="1"/>
      <c r="E179" s="113">
        <v>1978.07</v>
      </c>
      <c r="F179" s="113">
        <v>2016.01</v>
      </c>
      <c r="G179" s="107" t="s">
        <v>2088</v>
      </c>
      <c r="H179">
        <f>INDEX('GIS-Standards'!$A$2:$A$305,MATCH(B179,'GIS-Standards'!$B$2:$B$305,0))</f>
        <v>9</v>
      </c>
      <c r="I179" t="e">
        <f>INDEX('GIS-Standards'!$A$2:$A$305,MATCH(C179,'GIS-Standards'!$B$2:$B$305,0))</f>
        <v>#N/A</v>
      </c>
      <c r="J179" t="str">
        <f>INDEX('GIS-Standards'!$O$2:$O$305,MATCH(B179,'GIS-Standards'!$B$2:$B$305,0))</f>
        <v>ISO/TC 59/SC 14</v>
      </c>
      <c r="K179" t="e">
        <f>INDEX('GIS-Standards'!$O$2:$O$305,MATCH(C179,'GIS-Standards'!$B$2:$B$305,0))</f>
        <v>#N/A</v>
      </c>
      <c r="M179" t="s">
        <v>525</v>
      </c>
      <c r="N179">
        <f>INDEX('GIS-Standards'!$I$2:$I$305,MATCH(B179,'GIS-Standards'!$B$2:$B$305,0))</f>
        <v>0</v>
      </c>
      <c r="O179" t="e">
        <f>INDEX('GIS-Standards'!$I$2:$I$305,MATCH(C179,'GIS-Standards'!$B$2:$B$305,0))</f>
        <v>#N/A</v>
      </c>
      <c r="P179" t="e">
        <f>AND(TableRelationships12[[#This Row],[Source Type]]="BIM",TableRelationships12[[#This Row],[Target Type]]="BIM")</f>
        <v>#N/A</v>
      </c>
      <c r="Q179">
        <f t="shared" si="6"/>
        <v>1</v>
      </c>
      <c r="S179">
        <f t="shared" si="7"/>
        <v>1</v>
      </c>
      <c r="T179" s="102" t="str">
        <f>IF(TableRelationships12[[#This Row],[Rank Pedro]]="Low","linkCategory1",IF(TableRelationships12[[#This Row],[Rank Pedro]]="Medium","linkCategory2",IF(TableRelationships12[[#This Row],[Rank Pedro]]="High","linkCategory3","")))</f>
        <v/>
      </c>
      <c r="U179" s="102" t="str">
        <f>IF(TableRelationships12[[#This Row],[Rank Pedro]]="Low","Pink",IF(TableRelationships12[[#This Row],[Rank Pedro]]="Medium","Purple",IF(TableRelationships12[[#This Row],[Rank Pedro]]="High","Brown","")))</f>
        <v/>
      </c>
      <c r="V179" s="4" t="e">
        <f>MAX(INDEX(Standards!$F$2:$F$296,MATCH(B179,Standards!$B$2:$B$296,0)),INDEX(Standards!$F$2:$F$296,MATCH(C179,Standards!$B$2:$B$296,0)))</f>
        <v>#N/A</v>
      </c>
      <c r="W179" t="str">
        <f t="shared" si="8"/>
        <v>#2f89d1</v>
      </c>
    </row>
    <row r="180" spans="1:23" x14ac:dyDescent="0.5">
      <c r="A180" s="54">
        <v>179</v>
      </c>
      <c r="B180" s="90" t="s">
        <v>1692</v>
      </c>
      <c r="C180" t="s">
        <v>1818</v>
      </c>
      <c r="D180" s="1"/>
      <c r="E180" s="113">
        <v>1982.05</v>
      </c>
      <c r="F180" s="113">
        <v>2016.01</v>
      </c>
      <c r="G180" s="107" t="s">
        <v>2088</v>
      </c>
      <c r="H180">
        <f>INDEX('GIS-Standards'!$A$2:$A$305,MATCH(B180,'GIS-Standards'!$B$2:$B$305,0))</f>
        <v>9</v>
      </c>
      <c r="I180" t="e">
        <f>INDEX('GIS-Standards'!$A$2:$A$305,MATCH(C180,'GIS-Standards'!$B$2:$B$305,0))</f>
        <v>#N/A</v>
      </c>
      <c r="J180" t="str">
        <f>INDEX('GIS-Standards'!$O$2:$O$305,MATCH(B180,'GIS-Standards'!$B$2:$B$305,0))</f>
        <v>ISO/TC 59/SC 14</v>
      </c>
      <c r="K180" t="e">
        <f>INDEX('GIS-Standards'!$O$2:$O$305,MATCH(C180,'GIS-Standards'!$B$2:$B$305,0))</f>
        <v>#N/A</v>
      </c>
      <c r="M180" t="s">
        <v>525</v>
      </c>
      <c r="N180">
        <f>INDEX('GIS-Standards'!$I$2:$I$305,MATCH(B180,'GIS-Standards'!$B$2:$B$305,0))</f>
        <v>0</v>
      </c>
      <c r="O180" t="e">
        <f>INDEX('GIS-Standards'!$I$2:$I$305,MATCH(C180,'GIS-Standards'!$B$2:$B$305,0))</f>
        <v>#N/A</v>
      </c>
      <c r="P180" t="e">
        <f>AND(TableRelationships12[[#This Row],[Source Type]]="BIM",TableRelationships12[[#This Row],[Target Type]]="BIM")</f>
        <v>#N/A</v>
      </c>
      <c r="Q180">
        <f t="shared" si="6"/>
        <v>1</v>
      </c>
      <c r="S180">
        <f t="shared" si="7"/>
        <v>1</v>
      </c>
      <c r="T180" s="102" t="str">
        <f>IF(TableRelationships12[[#This Row],[Rank Pedro]]="Low","linkCategory1",IF(TableRelationships12[[#This Row],[Rank Pedro]]="Medium","linkCategory2",IF(TableRelationships12[[#This Row],[Rank Pedro]]="High","linkCategory3","")))</f>
        <v/>
      </c>
      <c r="U180" s="102" t="str">
        <f>IF(TableRelationships12[[#This Row],[Rank Pedro]]="Low","Pink",IF(TableRelationships12[[#This Row],[Rank Pedro]]="Medium","Purple",IF(TableRelationships12[[#This Row],[Rank Pedro]]="High","Brown","")))</f>
        <v/>
      </c>
      <c r="V180" s="4" t="e">
        <f>MAX(INDEX(Standards!$F$2:$F$296,MATCH(B180,Standards!$B$2:$B$296,0)),INDEX(Standards!$F$2:$F$296,MATCH(C180,Standards!$B$2:$B$296,0)))</f>
        <v>#N/A</v>
      </c>
      <c r="W180" t="str">
        <f t="shared" si="8"/>
        <v>#2f89d1</v>
      </c>
    </row>
    <row r="181" spans="1:23" x14ac:dyDescent="0.5">
      <c r="A181" s="54">
        <v>180</v>
      </c>
      <c r="B181" s="90" t="s">
        <v>1692</v>
      </c>
      <c r="C181" t="s">
        <v>1819</v>
      </c>
      <c r="D181" s="1"/>
      <c r="E181" s="113">
        <v>1982.05</v>
      </c>
      <c r="F181" s="113">
        <v>2022.11</v>
      </c>
      <c r="G181" s="107" t="s">
        <v>2088</v>
      </c>
      <c r="H181">
        <f>INDEX('GIS-Standards'!$A$2:$A$305,MATCH(B181,'GIS-Standards'!$B$2:$B$305,0))</f>
        <v>9</v>
      </c>
      <c r="I181" t="e">
        <f>INDEX('GIS-Standards'!$A$2:$A$305,MATCH(C181,'GIS-Standards'!$B$2:$B$305,0))</f>
        <v>#N/A</v>
      </c>
      <c r="J181" t="str">
        <f>INDEX('GIS-Standards'!$O$2:$O$305,MATCH(B181,'GIS-Standards'!$B$2:$B$305,0))</f>
        <v>ISO/TC 59/SC 14</v>
      </c>
      <c r="K181" t="e">
        <f>INDEX('GIS-Standards'!$O$2:$O$305,MATCH(C181,'GIS-Standards'!$B$2:$B$305,0))</f>
        <v>#N/A</v>
      </c>
      <c r="M181" t="s">
        <v>525</v>
      </c>
      <c r="N181">
        <f>INDEX('GIS-Standards'!$I$2:$I$305,MATCH(B181,'GIS-Standards'!$B$2:$B$305,0))</f>
        <v>0</v>
      </c>
      <c r="O181" t="e">
        <f>INDEX('GIS-Standards'!$I$2:$I$305,MATCH(C181,'GIS-Standards'!$B$2:$B$305,0))</f>
        <v>#N/A</v>
      </c>
      <c r="P181" t="e">
        <f>AND(TableRelationships12[[#This Row],[Source Type]]="BIM",TableRelationships12[[#This Row],[Target Type]]="BIM")</f>
        <v>#N/A</v>
      </c>
      <c r="Q181">
        <f t="shared" si="6"/>
        <v>1</v>
      </c>
      <c r="S181">
        <f t="shared" si="7"/>
        <v>1</v>
      </c>
      <c r="T181" s="102" t="str">
        <f>IF(TableRelationships12[[#This Row],[Rank Pedro]]="Low","linkCategory1",IF(TableRelationships12[[#This Row],[Rank Pedro]]="Medium","linkCategory2",IF(TableRelationships12[[#This Row],[Rank Pedro]]="High","linkCategory3","")))</f>
        <v/>
      </c>
      <c r="U181" s="102" t="str">
        <f>IF(TableRelationships12[[#This Row],[Rank Pedro]]="Low","Pink",IF(TableRelationships12[[#This Row],[Rank Pedro]]="Medium","Purple",IF(TableRelationships12[[#This Row],[Rank Pedro]]="High","Brown","")))</f>
        <v/>
      </c>
      <c r="V181" s="4" t="e">
        <f>MAX(INDEX(Standards!$F$2:$F$296,MATCH(B181,Standards!$B$2:$B$296,0)),INDEX(Standards!$F$2:$F$296,MATCH(C181,Standards!$B$2:$B$296,0)))</f>
        <v>#N/A</v>
      </c>
      <c r="W181" t="str">
        <f t="shared" si="8"/>
        <v>#2f89d1</v>
      </c>
    </row>
    <row r="182" spans="1:23" x14ac:dyDescent="0.5">
      <c r="A182" s="54">
        <v>181</v>
      </c>
      <c r="B182" s="90" t="s">
        <v>1692</v>
      </c>
      <c r="C182" t="s">
        <v>1820</v>
      </c>
      <c r="D182" s="1"/>
      <c r="E182" s="113">
        <v>1990.12</v>
      </c>
      <c r="F182" s="113">
        <v>2023.1</v>
      </c>
      <c r="G182" s="107" t="s">
        <v>2088</v>
      </c>
      <c r="H182">
        <f>INDEX('GIS-Standards'!$A$2:$A$305,MATCH(B182,'GIS-Standards'!$B$2:$B$305,0))</f>
        <v>9</v>
      </c>
      <c r="I182" t="e">
        <f>INDEX('GIS-Standards'!$A$2:$A$305,MATCH(C182,'GIS-Standards'!$B$2:$B$305,0))</f>
        <v>#N/A</v>
      </c>
      <c r="J182" t="str">
        <f>INDEX('GIS-Standards'!$O$2:$O$305,MATCH(B182,'GIS-Standards'!$B$2:$B$305,0))</f>
        <v>ISO/TC 59/SC 14</v>
      </c>
      <c r="K182" t="e">
        <f>INDEX('GIS-Standards'!$O$2:$O$305,MATCH(C182,'GIS-Standards'!$B$2:$B$305,0))</f>
        <v>#N/A</v>
      </c>
      <c r="M182" t="s">
        <v>525</v>
      </c>
      <c r="N182">
        <f>INDEX('GIS-Standards'!$I$2:$I$305,MATCH(B182,'GIS-Standards'!$B$2:$B$305,0))</f>
        <v>0</v>
      </c>
      <c r="O182" t="e">
        <f>INDEX('GIS-Standards'!$I$2:$I$305,MATCH(C182,'GIS-Standards'!$B$2:$B$305,0))</f>
        <v>#N/A</v>
      </c>
      <c r="P182" t="e">
        <f>AND(TableRelationships12[[#This Row],[Source Type]]="BIM",TableRelationships12[[#This Row],[Target Type]]="BIM")</f>
        <v>#N/A</v>
      </c>
      <c r="Q182">
        <f t="shared" si="6"/>
        <v>1</v>
      </c>
      <c r="S182">
        <f t="shared" si="7"/>
        <v>1</v>
      </c>
      <c r="T182" s="102" t="str">
        <f>IF(TableRelationships12[[#This Row],[Rank Pedro]]="Low","linkCategory1",IF(TableRelationships12[[#This Row],[Rank Pedro]]="Medium","linkCategory2",IF(TableRelationships12[[#This Row],[Rank Pedro]]="High","linkCategory3","")))</f>
        <v/>
      </c>
      <c r="U182" s="102" t="str">
        <f>IF(TableRelationships12[[#This Row],[Rank Pedro]]="Low","Pink",IF(TableRelationships12[[#This Row],[Rank Pedro]]="Medium","Purple",IF(TableRelationships12[[#This Row],[Rank Pedro]]="High","Brown","")))</f>
        <v/>
      </c>
      <c r="V182" s="4" t="e">
        <f>MAX(INDEX(Standards!$F$2:$F$296,MATCH(B182,Standards!$B$2:$B$296,0)),INDEX(Standards!$F$2:$F$296,MATCH(C182,Standards!$B$2:$B$296,0)))</f>
        <v>#N/A</v>
      </c>
      <c r="W182" t="str">
        <f t="shared" si="8"/>
        <v>#2f89d1</v>
      </c>
    </row>
    <row r="183" spans="1:23" x14ac:dyDescent="0.5">
      <c r="A183" s="54">
        <v>182</v>
      </c>
      <c r="B183" s="90" t="s">
        <v>1692</v>
      </c>
      <c r="C183" t="s">
        <v>77</v>
      </c>
      <c r="D183" s="1"/>
      <c r="E183" s="112">
        <v>1983.12</v>
      </c>
      <c r="F183" s="112">
        <v>2020.08</v>
      </c>
      <c r="G183" s="107" t="s">
        <v>1488</v>
      </c>
      <c r="H183">
        <f>INDEX('GIS-Standards'!$A$2:$A$305,MATCH(B183,'GIS-Standards'!$B$2:$B$305,0))</f>
        <v>9</v>
      </c>
      <c r="I183" t="e">
        <f>INDEX('GIS-Standards'!$A$2:$A$305,MATCH(C183,'GIS-Standards'!$B$2:$B$305,0))</f>
        <v>#N/A</v>
      </c>
      <c r="J183" t="str">
        <f>INDEX('GIS-Standards'!$O$2:$O$305,MATCH(B183,'GIS-Standards'!$B$2:$B$305,0))</f>
        <v>ISO/TC 59/SC 14</v>
      </c>
      <c r="K183" t="e">
        <f>INDEX('GIS-Standards'!$O$2:$O$305,MATCH(C183,'GIS-Standards'!$B$2:$B$305,0))</f>
        <v>#N/A</v>
      </c>
      <c r="M183" t="s">
        <v>525</v>
      </c>
      <c r="N183">
        <f>INDEX('GIS-Standards'!$I$2:$I$305,MATCH(B183,'GIS-Standards'!$B$2:$B$305,0))</f>
        <v>0</v>
      </c>
      <c r="O183" t="e">
        <f>INDEX('GIS-Standards'!$I$2:$I$305,MATCH(C183,'GIS-Standards'!$B$2:$B$305,0))</f>
        <v>#N/A</v>
      </c>
      <c r="P183" t="e">
        <f>AND(TableRelationships12[[#This Row],[Source Type]]="BIM",TableRelationships12[[#This Row],[Target Type]]="BIM")</f>
        <v>#N/A</v>
      </c>
      <c r="Q183">
        <f t="shared" si="6"/>
        <v>1</v>
      </c>
      <c r="S183">
        <f t="shared" si="7"/>
        <v>1</v>
      </c>
      <c r="T183" s="102" t="str">
        <f>IF(TableRelationships12[[#This Row],[Rank Pedro]]="Low","linkCategory1",IF(TableRelationships12[[#This Row],[Rank Pedro]]="Medium","linkCategory2",IF(TableRelationships12[[#This Row],[Rank Pedro]]="High","linkCategory3","")))</f>
        <v/>
      </c>
      <c r="U183" s="102" t="str">
        <f>IF(TableRelationships12[[#This Row],[Rank Pedro]]="Low","Pink",IF(TableRelationships12[[#This Row],[Rank Pedro]]="Medium","Purple",IF(TableRelationships12[[#This Row],[Rank Pedro]]="High","Brown","")))</f>
        <v/>
      </c>
      <c r="V183" s="4" t="e">
        <f>MAX(INDEX(Standards!$F$2:$F$296,MATCH(B183,Standards!$B$2:$B$296,0)),INDEX(Standards!$F$2:$F$296,MATCH(C183,Standards!$B$2:$B$296,0)))</f>
        <v>#N/A</v>
      </c>
      <c r="W183" t="str">
        <f t="shared" si="8"/>
        <v>#2f89d1</v>
      </c>
    </row>
    <row r="184" spans="1:23" x14ac:dyDescent="0.5">
      <c r="A184" s="54">
        <v>183</v>
      </c>
      <c r="B184" s="90" t="s">
        <v>1692</v>
      </c>
      <c r="C184" t="s">
        <v>1780</v>
      </c>
      <c r="D184" s="1"/>
      <c r="E184" s="113">
        <v>1992.02</v>
      </c>
      <c r="F184" s="113">
        <v>2012.02</v>
      </c>
      <c r="G184" s="107" t="s">
        <v>2076</v>
      </c>
      <c r="H184">
        <f>INDEX('GIS-Standards'!$A$2:$A$305,MATCH(B184,'GIS-Standards'!$B$2:$B$305,0))</f>
        <v>9</v>
      </c>
      <c r="I184" t="e">
        <f>INDEX('GIS-Standards'!$A$2:$A$305,MATCH(C184,'GIS-Standards'!$B$2:$B$305,0))</f>
        <v>#N/A</v>
      </c>
      <c r="J184" t="str">
        <f>INDEX('GIS-Standards'!$O$2:$O$305,MATCH(B184,'GIS-Standards'!$B$2:$B$305,0))</f>
        <v>ISO/TC 59/SC 14</v>
      </c>
      <c r="K184" t="e">
        <f>INDEX('GIS-Standards'!$O$2:$O$305,MATCH(C184,'GIS-Standards'!$B$2:$B$305,0))</f>
        <v>#N/A</v>
      </c>
      <c r="M184" t="s">
        <v>525</v>
      </c>
      <c r="N184">
        <f>INDEX('GIS-Standards'!$I$2:$I$305,MATCH(B184,'GIS-Standards'!$B$2:$B$305,0))</f>
        <v>0</v>
      </c>
      <c r="O184" t="e">
        <f>INDEX('GIS-Standards'!$I$2:$I$305,MATCH(C184,'GIS-Standards'!$B$2:$B$305,0))</f>
        <v>#N/A</v>
      </c>
      <c r="P184" t="e">
        <f>AND(TableRelationships12[[#This Row],[Source Type]]="BIM",TableRelationships12[[#This Row],[Target Type]]="BIM")</f>
        <v>#N/A</v>
      </c>
      <c r="Q184">
        <f t="shared" si="6"/>
        <v>1</v>
      </c>
      <c r="S184">
        <f t="shared" si="7"/>
        <v>1</v>
      </c>
      <c r="T184" s="102" t="str">
        <f>IF(TableRelationships12[[#This Row],[Rank Pedro]]="Low","linkCategory1",IF(TableRelationships12[[#This Row],[Rank Pedro]]="Medium","linkCategory2",IF(TableRelationships12[[#This Row],[Rank Pedro]]="High","linkCategory3","")))</f>
        <v/>
      </c>
      <c r="U184" s="102" t="str">
        <f>IF(TableRelationships12[[#This Row],[Rank Pedro]]="Low","Pink",IF(TableRelationships12[[#This Row],[Rank Pedro]]="Medium","Purple",IF(TableRelationships12[[#This Row],[Rank Pedro]]="High","Brown","")))</f>
        <v/>
      </c>
      <c r="V184" s="4" t="e">
        <f>MAX(INDEX(Standards!$F$2:$F$296,MATCH(B184,Standards!$B$2:$B$296,0)),INDEX(Standards!$F$2:$F$296,MATCH(C184,Standards!$B$2:$B$296,0)))</f>
        <v>#N/A</v>
      </c>
      <c r="W184" t="str">
        <f t="shared" si="8"/>
        <v>#2f89d1</v>
      </c>
    </row>
    <row r="185" spans="1:23" x14ac:dyDescent="0.5">
      <c r="A185" s="54">
        <v>184</v>
      </c>
      <c r="B185" s="90" t="s">
        <v>1692</v>
      </c>
      <c r="C185" t="s">
        <v>1821</v>
      </c>
      <c r="D185" s="1"/>
      <c r="E185" s="113">
        <v>1992.02</v>
      </c>
      <c r="F185" s="113">
        <v>2012.02</v>
      </c>
      <c r="G185" s="107" t="s">
        <v>2076</v>
      </c>
      <c r="H185">
        <f>INDEX('GIS-Standards'!$A$2:$A$305,MATCH(B185,'GIS-Standards'!$B$2:$B$305,0))</f>
        <v>9</v>
      </c>
      <c r="I185" t="e">
        <f>INDEX('GIS-Standards'!$A$2:$A$305,MATCH(C185,'GIS-Standards'!$B$2:$B$305,0))</f>
        <v>#N/A</v>
      </c>
      <c r="J185" t="str">
        <f>INDEX('GIS-Standards'!$O$2:$O$305,MATCH(B185,'GIS-Standards'!$B$2:$B$305,0))</f>
        <v>ISO/TC 59/SC 14</v>
      </c>
      <c r="K185" t="e">
        <f>INDEX('GIS-Standards'!$O$2:$O$305,MATCH(C185,'GIS-Standards'!$B$2:$B$305,0))</f>
        <v>#N/A</v>
      </c>
      <c r="M185" t="s">
        <v>525</v>
      </c>
      <c r="N185">
        <f>INDEX('GIS-Standards'!$I$2:$I$305,MATCH(B185,'GIS-Standards'!$B$2:$B$305,0))</f>
        <v>0</v>
      </c>
      <c r="O185" t="e">
        <f>INDEX('GIS-Standards'!$I$2:$I$305,MATCH(C185,'GIS-Standards'!$B$2:$B$305,0))</f>
        <v>#N/A</v>
      </c>
      <c r="P185" t="e">
        <f>AND(TableRelationships12[[#This Row],[Source Type]]="BIM",TableRelationships12[[#This Row],[Target Type]]="BIM")</f>
        <v>#N/A</v>
      </c>
      <c r="Q185">
        <f t="shared" si="6"/>
        <v>1</v>
      </c>
      <c r="S185">
        <f t="shared" si="7"/>
        <v>1</v>
      </c>
      <c r="T185" s="102" t="str">
        <f>IF(TableRelationships12[[#This Row],[Rank Pedro]]="Low","linkCategory1",IF(TableRelationships12[[#This Row],[Rank Pedro]]="Medium","linkCategory2",IF(TableRelationships12[[#This Row],[Rank Pedro]]="High","linkCategory3","")))</f>
        <v/>
      </c>
      <c r="U185" s="102" t="str">
        <f>IF(TableRelationships12[[#This Row],[Rank Pedro]]="Low","Pink",IF(TableRelationships12[[#This Row],[Rank Pedro]]="Medium","Purple",IF(TableRelationships12[[#This Row],[Rank Pedro]]="High","Brown","")))</f>
        <v/>
      </c>
      <c r="V185" s="4" t="e">
        <f>MAX(INDEX(Standards!$F$2:$F$296,MATCH(B185,Standards!$B$2:$B$296,0)),INDEX(Standards!$F$2:$F$296,MATCH(C185,Standards!$B$2:$B$296,0)))</f>
        <v>#N/A</v>
      </c>
      <c r="W185" t="str">
        <f t="shared" si="8"/>
        <v>#2f89d1</v>
      </c>
    </row>
    <row r="186" spans="1:23" x14ac:dyDescent="0.5">
      <c r="A186" s="54">
        <v>185</v>
      </c>
      <c r="B186" s="90" t="s">
        <v>1692</v>
      </c>
      <c r="C186" t="s">
        <v>1822</v>
      </c>
      <c r="D186" s="1"/>
      <c r="E186" s="113">
        <v>1992.02</v>
      </c>
      <c r="F186" s="113">
        <v>2012.02</v>
      </c>
      <c r="G186" s="107" t="s">
        <v>2076</v>
      </c>
      <c r="H186">
        <f>INDEX('GIS-Standards'!$A$2:$A$305,MATCH(B186,'GIS-Standards'!$B$2:$B$305,0))</f>
        <v>9</v>
      </c>
      <c r="I186" t="e">
        <f>INDEX('GIS-Standards'!$A$2:$A$305,MATCH(C186,'GIS-Standards'!$B$2:$B$305,0))</f>
        <v>#N/A</v>
      </c>
      <c r="J186" t="str">
        <f>INDEX('GIS-Standards'!$O$2:$O$305,MATCH(B186,'GIS-Standards'!$B$2:$B$305,0))</f>
        <v>ISO/TC 59/SC 14</v>
      </c>
      <c r="K186" t="e">
        <f>INDEX('GIS-Standards'!$O$2:$O$305,MATCH(C186,'GIS-Standards'!$B$2:$B$305,0))</f>
        <v>#N/A</v>
      </c>
      <c r="M186" t="s">
        <v>525</v>
      </c>
      <c r="N186">
        <f>INDEX('GIS-Standards'!$I$2:$I$305,MATCH(B186,'GIS-Standards'!$B$2:$B$305,0))</f>
        <v>0</v>
      </c>
      <c r="O186" t="e">
        <f>INDEX('GIS-Standards'!$I$2:$I$305,MATCH(C186,'GIS-Standards'!$B$2:$B$305,0))</f>
        <v>#N/A</v>
      </c>
      <c r="P186" t="e">
        <f>AND(TableRelationships12[[#This Row],[Source Type]]="BIM",TableRelationships12[[#This Row],[Target Type]]="BIM")</f>
        <v>#N/A</v>
      </c>
      <c r="Q186">
        <f t="shared" si="6"/>
        <v>1</v>
      </c>
      <c r="S186">
        <f t="shared" si="7"/>
        <v>1</v>
      </c>
      <c r="T186" s="102" t="str">
        <f>IF(TableRelationships12[[#This Row],[Rank Pedro]]="Low","linkCategory1",IF(TableRelationships12[[#This Row],[Rank Pedro]]="Medium","linkCategory2",IF(TableRelationships12[[#This Row],[Rank Pedro]]="High","linkCategory3","")))</f>
        <v/>
      </c>
      <c r="U186" s="102" t="str">
        <f>IF(TableRelationships12[[#This Row],[Rank Pedro]]="Low","Pink",IF(TableRelationships12[[#This Row],[Rank Pedro]]="Medium","Purple",IF(TableRelationships12[[#This Row],[Rank Pedro]]="High","Brown","")))</f>
        <v/>
      </c>
      <c r="V186" s="4" t="e">
        <f>MAX(INDEX(Standards!$F$2:$F$296,MATCH(B186,Standards!$B$2:$B$296,0)),INDEX(Standards!$F$2:$F$296,MATCH(C186,Standards!$B$2:$B$296,0)))</f>
        <v>#N/A</v>
      </c>
      <c r="W186" t="str">
        <f t="shared" si="8"/>
        <v>#2f89d1</v>
      </c>
    </row>
    <row r="187" spans="1:23" x14ac:dyDescent="0.5">
      <c r="A187" s="54">
        <v>186</v>
      </c>
      <c r="B187" s="90" t="s">
        <v>1692</v>
      </c>
      <c r="C187" t="s">
        <v>1823</v>
      </c>
      <c r="D187" s="1"/>
      <c r="E187" s="113">
        <v>1992.02</v>
      </c>
      <c r="F187" s="113">
        <v>2012.02</v>
      </c>
      <c r="G187" s="107" t="s">
        <v>2076</v>
      </c>
      <c r="H187">
        <f>INDEX('GIS-Standards'!$A$2:$A$305,MATCH(B187,'GIS-Standards'!$B$2:$B$305,0))</f>
        <v>9</v>
      </c>
      <c r="I187" t="e">
        <f>INDEX('GIS-Standards'!$A$2:$A$305,MATCH(C187,'GIS-Standards'!$B$2:$B$305,0))</f>
        <v>#N/A</v>
      </c>
      <c r="J187" t="str">
        <f>INDEX('GIS-Standards'!$O$2:$O$305,MATCH(B187,'GIS-Standards'!$B$2:$B$305,0))</f>
        <v>ISO/TC 59/SC 14</v>
      </c>
      <c r="K187" t="e">
        <f>INDEX('GIS-Standards'!$O$2:$O$305,MATCH(C187,'GIS-Standards'!$B$2:$B$305,0))</f>
        <v>#N/A</v>
      </c>
      <c r="M187" t="s">
        <v>525</v>
      </c>
      <c r="N187">
        <f>INDEX('GIS-Standards'!$I$2:$I$305,MATCH(B187,'GIS-Standards'!$B$2:$B$305,0))</f>
        <v>0</v>
      </c>
      <c r="O187" t="e">
        <f>INDEX('GIS-Standards'!$I$2:$I$305,MATCH(C187,'GIS-Standards'!$B$2:$B$305,0))</f>
        <v>#N/A</v>
      </c>
      <c r="P187" t="e">
        <f>AND(TableRelationships12[[#This Row],[Source Type]]="BIM",TableRelationships12[[#This Row],[Target Type]]="BIM")</f>
        <v>#N/A</v>
      </c>
      <c r="Q187">
        <f t="shared" si="6"/>
        <v>1</v>
      </c>
      <c r="S187">
        <f t="shared" si="7"/>
        <v>1</v>
      </c>
      <c r="T187" s="102" t="str">
        <f>IF(TableRelationships12[[#This Row],[Rank Pedro]]="Low","linkCategory1",IF(TableRelationships12[[#This Row],[Rank Pedro]]="Medium","linkCategory2",IF(TableRelationships12[[#This Row],[Rank Pedro]]="High","linkCategory3","")))</f>
        <v/>
      </c>
      <c r="U187" s="102" t="str">
        <f>IF(TableRelationships12[[#This Row],[Rank Pedro]]="Low","Pink",IF(TableRelationships12[[#This Row],[Rank Pedro]]="Medium","Purple",IF(TableRelationships12[[#This Row],[Rank Pedro]]="High","Brown","")))</f>
        <v/>
      </c>
      <c r="V187" s="4" t="e">
        <f>MAX(INDEX(Standards!$F$2:$F$296,MATCH(B187,Standards!$B$2:$B$296,0)),INDEX(Standards!$F$2:$F$296,MATCH(C187,Standards!$B$2:$B$296,0)))</f>
        <v>#N/A</v>
      </c>
      <c r="W187" t="str">
        <f t="shared" si="8"/>
        <v>#2f89d1</v>
      </c>
    </row>
    <row r="188" spans="1:23" x14ac:dyDescent="0.5">
      <c r="A188" s="54">
        <v>187</v>
      </c>
      <c r="B188" s="90" t="s">
        <v>1692</v>
      </c>
      <c r="C188" t="s">
        <v>1824</v>
      </c>
      <c r="D188" s="1"/>
      <c r="E188" s="113">
        <v>2006.03</v>
      </c>
      <c r="F188" s="113">
        <v>2020.05</v>
      </c>
      <c r="G188" s="107" t="s">
        <v>2039</v>
      </c>
      <c r="H188">
        <f>INDEX('GIS-Standards'!$A$2:$A$305,MATCH(B188,'GIS-Standards'!$B$2:$B$305,0))</f>
        <v>9</v>
      </c>
      <c r="I188" t="e">
        <f>INDEX('GIS-Standards'!$A$2:$A$305,MATCH(C188,'GIS-Standards'!$B$2:$B$305,0))</f>
        <v>#N/A</v>
      </c>
      <c r="J188" t="str">
        <f>INDEX('GIS-Standards'!$O$2:$O$305,MATCH(B188,'GIS-Standards'!$B$2:$B$305,0))</f>
        <v>ISO/TC 59/SC 14</v>
      </c>
      <c r="K188" t="e">
        <f>INDEX('GIS-Standards'!$O$2:$O$305,MATCH(C188,'GIS-Standards'!$B$2:$B$305,0))</f>
        <v>#N/A</v>
      </c>
      <c r="M188" t="s">
        <v>525</v>
      </c>
      <c r="N188">
        <f>INDEX('GIS-Standards'!$I$2:$I$305,MATCH(B188,'GIS-Standards'!$B$2:$B$305,0))</f>
        <v>0</v>
      </c>
      <c r="O188" t="e">
        <f>INDEX('GIS-Standards'!$I$2:$I$305,MATCH(C188,'GIS-Standards'!$B$2:$B$305,0))</f>
        <v>#N/A</v>
      </c>
      <c r="P188" t="e">
        <f>AND(TableRelationships12[[#This Row],[Source Type]]="BIM",TableRelationships12[[#This Row],[Target Type]]="BIM")</f>
        <v>#N/A</v>
      </c>
      <c r="Q188">
        <f t="shared" si="6"/>
        <v>1</v>
      </c>
      <c r="S188">
        <f t="shared" si="7"/>
        <v>1</v>
      </c>
      <c r="T188" s="102" t="str">
        <f>IF(TableRelationships12[[#This Row],[Rank Pedro]]="Low","linkCategory1",IF(TableRelationships12[[#This Row],[Rank Pedro]]="Medium","linkCategory2",IF(TableRelationships12[[#This Row],[Rank Pedro]]="High","linkCategory3","")))</f>
        <v/>
      </c>
      <c r="U188" s="102" t="str">
        <f>IF(TableRelationships12[[#This Row],[Rank Pedro]]="Low","Pink",IF(TableRelationships12[[#This Row],[Rank Pedro]]="Medium","Purple",IF(TableRelationships12[[#This Row],[Rank Pedro]]="High","Brown","")))</f>
        <v/>
      </c>
      <c r="V188" s="4" t="e">
        <f>MAX(INDEX(Standards!$F$2:$F$296,MATCH(B188,Standards!$B$2:$B$296,0)),INDEX(Standards!$F$2:$F$296,MATCH(C188,Standards!$B$2:$B$296,0)))</f>
        <v>#N/A</v>
      </c>
      <c r="W188" t="str">
        <f t="shared" si="8"/>
        <v>#2f89d1</v>
      </c>
    </row>
    <row r="189" spans="1:23" x14ac:dyDescent="0.5">
      <c r="A189" s="54">
        <v>188</v>
      </c>
      <c r="B189" s="90" t="s">
        <v>1692</v>
      </c>
      <c r="C189" t="s">
        <v>1782</v>
      </c>
      <c r="D189" s="1"/>
      <c r="E189" s="113">
        <v>1998.05</v>
      </c>
      <c r="F189" s="113">
        <v>2017.11</v>
      </c>
      <c r="G189" s="107" t="s">
        <v>2046</v>
      </c>
      <c r="H189">
        <f>INDEX('GIS-Standards'!$A$2:$A$305,MATCH(B189,'GIS-Standards'!$B$2:$B$305,0))</f>
        <v>9</v>
      </c>
      <c r="I189" t="e">
        <f>INDEX('GIS-Standards'!$A$2:$A$305,MATCH(C189,'GIS-Standards'!$B$2:$B$305,0))</f>
        <v>#N/A</v>
      </c>
      <c r="J189" t="str">
        <f>INDEX('GIS-Standards'!$O$2:$O$305,MATCH(B189,'GIS-Standards'!$B$2:$B$305,0))</f>
        <v>ISO/TC 59/SC 14</v>
      </c>
      <c r="K189" t="e">
        <f>INDEX('GIS-Standards'!$O$2:$O$305,MATCH(C189,'GIS-Standards'!$B$2:$B$305,0))</f>
        <v>#N/A</v>
      </c>
      <c r="M189" t="s">
        <v>525</v>
      </c>
      <c r="N189">
        <f>INDEX('GIS-Standards'!$I$2:$I$305,MATCH(B189,'GIS-Standards'!$B$2:$B$305,0))</f>
        <v>0</v>
      </c>
      <c r="O189" t="e">
        <f>INDEX('GIS-Standards'!$I$2:$I$305,MATCH(C189,'GIS-Standards'!$B$2:$B$305,0))</f>
        <v>#N/A</v>
      </c>
      <c r="P189" t="e">
        <f>AND(TableRelationships12[[#This Row],[Source Type]]="BIM",TableRelationships12[[#This Row],[Target Type]]="BIM")</f>
        <v>#N/A</v>
      </c>
      <c r="Q189">
        <f t="shared" si="6"/>
        <v>1</v>
      </c>
      <c r="S189">
        <f t="shared" si="7"/>
        <v>1</v>
      </c>
      <c r="T189" s="102" t="str">
        <f>IF(TableRelationships12[[#This Row],[Rank Pedro]]="Low","linkCategory1",IF(TableRelationships12[[#This Row],[Rank Pedro]]="Medium","linkCategory2",IF(TableRelationships12[[#This Row],[Rank Pedro]]="High","linkCategory3","")))</f>
        <v/>
      </c>
      <c r="U189" s="102" t="str">
        <f>IF(TableRelationships12[[#This Row],[Rank Pedro]]="Low","Pink",IF(TableRelationships12[[#This Row],[Rank Pedro]]="Medium","Purple",IF(TableRelationships12[[#This Row],[Rank Pedro]]="High","Brown","")))</f>
        <v/>
      </c>
      <c r="V189" s="4" t="e">
        <f>MAX(INDEX(Standards!$F$2:$F$296,MATCH(B189,Standards!$B$2:$B$296,0)),INDEX(Standards!$F$2:$F$296,MATCH(C189,Standards!$B$2:$B$296,0)))</f>
        <v>#N/A</v>
      </c>
      <c r="W189" t="str">
        <f t="shared" si="8"/>
        <v>#2f89d1</v>
      </c>
    </row>
    <row r="190" spans="1:23" x14ac:dyDescent="0.5">
      <c r="A190" s="54">
        <v>189</v>
      </c>
      <c r="B190" s="90" t="s">
        <v>1692</v>
      </c>
      <c r="C190" t="s">
        <v>1787</v>
      </c>
      <c r="D190" s="1" t="s">
        <v>1676</v>
      </c>
      <c r="E190" s="113">
        <v>2002.08</v>
      </c>
      <c r="F190" s="113">
        <v>2002.08</v>
      </c>
      <c r="G190" s="107" t="s">
        <v>1718</v>
      </c>
      <c r="H190">
        <f>INDEX('GIS-Standards'!$A$2:$A$305,MATCH(B190,'GIS-Standards'!$B$2:$B$305,0))</f>
        <v>9</v>
      </c>
      <c r="I190" t="e">
        <f>INDEX('GIS-Standards'!$A$2:$A$305,MATCH(C190,'GIS-Standards'!$B$2:$B$305,0))</f>
        <v>#N/A</v>
      </c>
      <c r="J190" t="str">
        <f>INDEX('GIS-Standards'!$O$2:$O$305,MATCH(B190,'GIS-Standards'!$B$2:$B$305,0))</f>
        <v>ISO/TC 59/SC 14</v>
      </c>
      <c r="K190" t="e">
        <f>INDEX('GIS-Standards'!$O$2:$O$305,MATCH(C190,'GIS-Standards'!$B$2:$B$305,0))</f>
        <v>#N/A</v>
      </c>
      <c r="M190" t="s">
        <v>525</v>
      </c>
      <c r="N190">
        <f>INDEX('GIS-Standards'!$I$2:$I$305,MATCH(B190,'GIS-Standards'!$B$2:$B$305,0))</f>
        <v>0</v>
      </c>
      <c r="O190" t="e">
        <f>INDEX('GIS-Standards'!$I$2:$I$305,MATCH(C190,'GIS-Standards'!$B$2:$B$305,0))</f>
        <v>#N/A</v>
      </c>
      <c r="P190" t="e">
        <f>AND(TableRelationships12[[#This Row],[Source Type]]="BIM",TableRelationships12[[#This Row],[Target Type]]="BIM")</f>
        <v>#N/A</v>
      </c>
      <c r="Q190">
        <f t="shared" si="6"/>
        <v>1</v>
      </c>
      <c r="S190">
        <f t="shared" si="7"/>
        <v>1</v>
      </c>
      <c r="T190" s="102" t="str">
        <f>IF(TableRelationships12[[#This Row],[Rank Pedro]]="Low","linkCategory1",IF(TableRelationships12[[#This Row],[Rank Pedro]]="Medium","linkCategory2",IF(TableRelationships12[[#This Row],[Rank Pedro]]="High","linkCategory3","")))</f>
        <v/>
      </c>
      <c r="U190" s="102" t="str">
        <f>IF(TableRelationships12[[#This Row],[Rank Pedro]]="Low","Pink",IF(TableRelationships12[[#This Row],[Rank Pedro]]="Medium","Purple",IF(TableRelationships12[[#This Row],[Rank Pedro]]="High","Brown","")))</f>
        <v/>
      </c>
      <c r="V190" s="4" t="e">
        <f>MAX(INDEX(Standards!$F$2:$F$296,MATCH(B190,Standards!$B$2:$B$296,0)),INDEX(Standards!$F$2:$F$296,MATCH(C190,Standards!$B$2:$B$296,0)))</f>
        <v>#N/A</v>
      </c>
      <c r="W190" t="str">
        <f t="shared" si="8"/>
        <v>#2f89d1</v>
      </c>
    </row>
    <row r="191" spans="1:23" x14ac:dyDescent="0.5">
      <c r="A191" s="54">
        <v>190</v>
      </c>
      <c r="B191" s="90" t="s">
        <v>1692</v>
      </c>
      <c r="C191" t="s">
        <v>1800</v>
      </c>
      <c r="D191" s="1" t="s">
        <v>1676</v>
      </c>
      <c r="E191" s="113">
        <v>2014.01</v>
      </c>
      <c r="F191" s="113">
        <v>2014.01</v>
      </c>
      <c r="G191" s="107" t="s">
        <v>1718</v>
      </c>
      <c r="H191">
        <f>INDEX('GIS-Standards'!$A$2:$A$305,MATCH(B191,'GIS-Standards'!$B$2:$B$305,0))</f>
        <v>9</v>
      </c>
      <c r="I191">
        <f>INDEX('GIS-Standards'!$A$2:$A$305,MATCH(C191,'GIS-Standards'!$B$2:$B$305,0))</f>
        <v>8</v>
      </c>
      <c r="J191" t="str">
        <f>INDEX('GIS-Standards'!$O$2:$O$305,MATCH(B191,'GIS-Standards'!$B$2:$B$305,0))</f>
        <v>ISO/TC 59/SC 14</v>
      </c>
      <c r="K191" t="str">
        <f>INDEX('GIS-Standards'!$O$2:$O$305,MATCH(C191,'GIS-Standards'!$B$2:$B$305,0))</f>
        <v>ISO/TC 59/SC 14</v>
      </c>
      <c r="M191" t="s">
        <v>525</v>
      </c>
      <c r="N191">
        <f>INDEX('GIS-Standards'!$I$2:$I$305,MATCH(B191,'GIS-Standards'!$B$2:$B$305,0))</f>
        <v>0</v>
      </c>
      <c r="O191">
        <f>INDEX('GIS-Standards'!$I$2:$I$305,MATCH(C191,'GIS-Standards'!$B$2:$B$305,0))</f>
        <v>0</v>
      </c>
      <c r="P191" t="b">
        <f>AND(TableRelationships12[[#This Row],[Source Type]]="BIM",TableRelationships12[[#This Row],[Target Type]]="BIM")</f>
        <v>0</v>
      </c>
      <c r="Q191">
        <f t="shared" si="6"/>
        <v>1</v>
      </c>
      <c r="S191">
        <f t="shared" si="7"/>
        <v>1</v>
      </c>
      <c r="T191" s="102" t="str">
        <f>IF(TableRelationships12[[#This Row],[Rank Pedro]]="Low","linkCategory1",IF(TableRelationships12[[#This Row],[Rank Pedro]]="Medium","linkCategory2",IF(TableRelationships12[[#This Row],[Rank Pedro]]="High","linkCategory3","")))</f>
        <v/>
      </c>
      <c r="U191" s="102" t="str">
        <f>IF(TableRelationships12[[#This Row],[Rank Pedro]]="Low","Pink",IF(TableRelationships12[[#This Row],[Rank Pedro]]="Medium","Purple",IF(TableRelationships12[[#This Row],[Rank Pedro]]="High","Brown","")))</f>
        <v/>
      </c>
      <c r="V191" s="4" t="e">
        <f>MAX(INDEX(Standards!$F$2:$F$296,MATCH(B191,Standards!$B$2:$B$296,0)),INDEX(Standards!$F$2:$F$296,MATCH(C191,Standards!$B$2:$B$296,0)))</f>
        <v>#N/A</v>
      </c>
      <c r="W191" t="str">
        <f t="shared" si="8"/>
        <v>#2f89d1</v>
      </c>
    </row>
    <row r="192" spans="1:23" x14ac:dyDescent="0.5">
      <c r="A192" s="54">
        <v>191</v>
      </c>
      <c r="B192" s="90" t="s">
        <v>1692</v>
      </c>
      <c r="C192" t="s">
        <v>1690</v>
      </c>
      <c r="D192" s="1" t="s">
        <v>1676</v>
      </c>
      <c r="E192" s="113">
        <v>2010.06</v>
      </c>
      <c r="F192" s="113">
        <v>2010.06</v>
      </c>
      <c r="G192" s="107" t="s">
        <v>1718</v>
      </c>
      <c r="H192">
        <f>INDEX('GIS-Standards'!$A$2:$A$305,MATCH(B192,'GIS-Standards'!$B$2:$B$305,0))</f>
        <v>9</v>
      </c>
      <c r="I192">
        <f>INDEX('GIS-Standards'!$A$2:$A$305,MATCH(C192,'GIS-Standards'!$B$2:$B$305,0))</f>
        <v>7</v>
      </c>
      <c r="J192" t="str">
        <f>INDEX('GIS-Standards'!$O$2:$O$305,MATCH(B192,'GIS-Standards'!$B$2:$B$305,0))</f>
        <v>ISO/TC 59/SC 14</v>
      </c>
      <c r="K192" t="str">
        <f>INDEX('GIS-Standards'!$O$2:$O$305,MATCH(C192,'GIS-Standards'!$B$2:$B$305,0))</f>
        <v>ISO/TC 59/SC 14</v>
      </c>
      <c r="M192" t="s">
        <v>525</v>
      </c>
      <c r="N192">
        <f>INDEX('GIS-Standards'!$I$2:$I$305,MATCH(B192,'GIS-Standards'!$B$2:$B$305,0))</f>
        <v>0</v>
      </c>
      <c r="O192">
        <f>INDEX('GIS-Standards'!$I$2:$I$305,MATCH(C192,'GIS-Standards'!$B$2:$B$305,0))</f>
        <v>0</v>
      </c>
      <c r="P192" t="b">
        <f>AND(TableRelationships12[[#This Row],[Source Type]]="BIM",TableRelationships12[[#This Row],[Target Type]]="BIM")</f>
        <v>0</v>
      </c>
      <c r="Q192">
        <f t="shared" si="6"/>
        <v>1</v>
      </c>
      <c r="S192">
        <f t="shared" si="7"/>
        <v>1</v>
      </c>
      <c r="T192" s="102" t="str">
        <f>IF(TableRelationships12[[#This Row],[Rank Pedro]]="Low","linkCategory1",IF(TableRelationships12[[#This Row],[Rank Pedro]]="Medium","linkCategory2",IF(TableRelationships12[[#This Row],[Rank Pedro]]="High","linkCategory3","")))</f>
        <v/>
      </c>
      <c r="U192" s="102" t="str">
        <f>IF(TableRelationships12[[#This Row],[Rank Pedro]]="Low","Pink",IF(TableRelationships12[[#This Row],[Rank Pedro]]="Medium","Purple",IF(TableRelationships12[[#This Row],[Rank Pedro]]="High","Brown","")))</f>
        <v/>
      </c>
      <c r="V192" s="4" t="e">
        <f>MAX(INDEX(Standards!$F$2:$F$296,MATCH(B192,Standards!$B$2:$B$296,0)),INDEX(Standards!$F$2:$F$296,MATCH(C192,Standards!$B$2:$B$296,0)))</f>
        <v>#N/A</v>
      </c>
      <c r="W192" t="str">
        <f t="shared" si="8"/>
        <v>#2f89d1</v>
      </c>
    </row>
    <row r="193" spans="1:23" x14ac:dyDescent="0.5">
      <c r="A193" s="54">
        <v>192</v>
      </c>
      <c r="B193" s="90" t="s">
        <v>1692</v>
      </c>
      <c r="C193" t="s">
        <v>1825</v>
      </c>
      <c r="D193" s="1"/>
      <c r="E193" s="113">
        <v>2009.03</v>
      </c>
      <c r="F193" s="113">
        <v>2009.03</v>
      </c>
      <c r="G193" s="107" t="s">
        <v>2108</v>
      </c>
      <c r="H193">
        <f>INDEX('GIS-Standards'!$A$2:$A$305,MATCH(B193,'GIS-Standards'!$B$2:$B$305,0))</f>
        <v>9</v>
      </c>
      <c r="I193" t="e">
        <f>INDEX('GIS-Standards'!$A$2:$A$305,MATCH(C193,'GIS-Standards'!$B$2:$B$305,0))</f>
        <v>#N/A</v>
      </c>
      <c r="J193" t="str">
        <f>INDEX('GIS-Standards'!$O$2:$O$305,MATCH(B193,'GIS-Standards'!$B$2:$B$305,0))</f>
        <v>ISO/TC 59/SC 14</v>
      </c>
      <c r="K193" t="e">
        <f>INDEX('GIS-Standards'!$O$2:$O$305,MATCH(C193,'GIS-Standards'!$B$2:$B$305,0))</f>
        <v>#N/A</v>
      </c>
      <c r="M193" t="s">
        <v>525</v>
      </c>
      <c r="N193">
        <f>INDEX('GIS-Standards'!$I$2:$I$305,MATCH(B193,'GIS-Standards'!$B$2:$B$305,0))</f>
        <v>0</v>
      </c>
      <c r="O193" t="e">
        <f>INDEX('GIS-Standards'!$I$2:$I$305,MATCH(C193,'GIS-Standards'!$B$2:$B$305,0))</f>
        <v>#N/A</v>
      </c>
      <c r="P193" t="e">
        <f>AND(TableRelationships12[[#This Row],[Source Type]]="BIM",TableRelationships12[[#This Row],[Target Type]]="BIM")</f>
        <v>#N/A</v>
      </c>
      <c r="Q193">
        <f t="shared" si="6"/>
        <v>1</v>
      </c>
      <c r="S193">
        <f t="shared" si="7"/>
        <v>1</v>
      </c>
      <c r="T193" s="102" t="str">
        <f>IF(TableRelationships12[[#This Row],[Rank Pedro]]="Low","linkCategory1",IF(TableRelationships12[[#This Row],[Rank Pedro]]="Medium","linkCategory2",IF(TableRelationships12[[#This Row],[Rank Pedro]]="High","linkCategory3","")))</f>
        <v/>
      </c>
      <c r="U193" s="102" t="str">
        <f>IF(TableRelationships12[[#This Row],[Rank Pedro]]="Low","Pink",IF(TableRelationships12[[#This Row],[Rank Pedro]]="Medium","Purple",IF(TableRelationships12[[#This Row],[Rank Pedro]]="High","Brown","")))</f>
        <v/>
      </c>
      <c r="V193" s="4" t="e">
        <f>MAX(INDEX(Standards!$F$2:$F$296,MATCH(B193,Standards!$B$2:$B$296,0)),INDEX(Standards!$F$2:$F$296,MATCH(C193,Standards!$B$2:$B$296,0)))</f>
        <v>#N/A</v>
      </c>
      <c r="W193" t="str">
        <f t="shared" si="8"/>
        <v>#2f89d1</v>
      </c>
    </row>
    <row r="194" spans="1:23" x14ac:dyDescent="0.5">
      <c r="A194" s="54">
        <v>193</v>
      </c>
      <c r="B194" s="90" t="s">
        <v>1692</v>
      </c>
      <c r="C194" t="s">
        <v>1796</v>
      </c>
      <c r="D194" s="1"/>
      <c r="E194" s="113"/>
      <c r="F194" s="113"/>
      <c r="G194" s="107"/>
      <c r="H194">
        <f>INDEX('GIS-Standards'!$A$2:$A$305,MATCH(B194,'GIS-Standards'!$B$2:$B$305,0))</f>
        <v>9</v>
      </c>
      <c r="I194" t="e">
        <f>INDEX('GIS-Standards'!$A$2:$A$305,MATCH(C194,'GIS-Standards'!$B$2:$B$305,0))</f>
        <v>#N/A</v>
      </c>
      <c r="J194" t="str">
        <f>INDEX('GIS-Standards'!$O$2:$O$305,MATCH(B194,'GIS-Standards'!$B$2:$B$305,0))</f>
        <v>ISO/TC 59/SC 14</v>
      </c>
      <c r="K194" t="e">
        <f>INDEX('GIS-Standards'!$O$2:$O$305,MATCH(C194,'GIS-Standards'!$B$2:$B$305,0))</f>
        <v>#N/A</v>
      </c>
      <c r="M194" t="s">
        <v>525</v>
      </c>
      <c r="N194">
        <f>INDEX('GIS-Standards'!$I$2:$I$305,MATCH(B194,'GIS-Standards'!$B$2:$B$305,0))</f>
        <v>0</v>
      </c>
      <c r="O194" t="e">
        <f>INDEX('GIS-Standards'!$I$2:$I$305,MATCH(C194,'GIS-Standards'!$B$2:$B$305,0))</f>
        <v>#N/A</v>
      </c>
      <c r="P194" t="e">
        <f>AND(TableRelationships12[[#This Row],[Source Type]]="BIM",TableRelationships12[[#This Row],[Target Type]]="BIM")</f>
        <v>#N/A</v>
      </c>
      <c r="Q194">
        <f t="shared" ref="Q194:Q257" si="9">IF(M194="Normative",6,IF(M194="Secondary",4,IF(M194="Anchor",2,1)))</f>
        <v>1</v>
      </c>
      <c r="S194">
        <f t="shared" ref="S194:S257" si="10">IF(R194="High",10,IF(R194="Medium",6,IF(R194="Low",2,1)))</f>
        <v>1</v>
      </c>
      <c r="T194" s="102" t="str">
        <f>IF(TableRelationships12[[#This Row],[Rank Pedro]]="Low","linkCategory1",IF(TableRelationships12[[#This Row],[Rank Pedro]]="Medium","linkCategory2",IF(TableRelationships12[[#This Row],[Rank Pedro]]="High","linkCategory3","")))</f>
        <v/>
      </c>
      <c r="U194" s="102" t="str">
        <f>IF(TableRelationships12[[#This Row],[Rank Pedro]]="Low","Pink",IF(TableRelationships12[[#This Row],[Rank Pedro]]="Medium","Purple",IF(TableRelationships12[[#This Row],[Rank Pedro]]="High","Brown","")))</f>
        <v/>
      </c>
      <c r="V194" s="4" t="e">
        <f>MAX(INDEX(Standards!$F$2:$F$296,MATCH(B194,Standards!$B$2:$B$296,0)),INDEX(Standards!$F$2:$F$296,MATCH(C194,Standards!$B$2:$B$296,0)))</f>
        <v>#N/A</v>
      </c>
      <c r="W194" t="str">
        <f t="shared" ref="W194:W257" si="11">IF(M194="Normative", "#d6bf2a", IF(M194="Informative", "#2f89d1", 1))</f>
        <v>#2f89d1</v>
      </c>
    </row>
    <row r="195" spans="1:23" x14ac:dyDescent="0.5">
      <c r="A195" s="54">
        <v>194</v>
      </c>
      <c r="B195" s="90" t="s">
        <v>1692</v>
      </c>
      <c r="C195" t="s">
        <v>1826</v>
      </c>
      <c r="D195" s="1"/>
      <c r="E195" s="113"/>
      <c r="F195" s="113"/>
      <c r="G195" s="107"/>
      <c r="H195">
        <f>INDEX('GIS-Standards'!$A$2:$A$305,MATCH(B195,'GIS-Standards'!$B$2:$B$305,0))</f>
        <v>9</v>
      </c>
      <c r="I195" t="e">
        <f>INDEX('GIS-Standards'!$A$2:$A$305,MATCH(C195,'GIS-Standards'!$B$2:$B$305,0))</f>
        <v>#N/A</v>
      </c>
      <c r="J195" t="str">
        <f>INDEX('GIS-Standards'!$O$2:$O$305,MATCH(B195,'GIS-Standards'!$B$2:$B$305,0))</f>
        <v>ISO/TC 59/SC 14</v>
      </c>
      <c r="K195" t="e">
        <f>INDEX('GIS-Standards'!$O$2:$O$305,MATCH(C195,'GIS-Standards'!$B$2:$B$305,0))</f>
        <v>#N/A</v>
      </c>
      <c r="M195" t="s">
        <v>525</v>
      </c>
      <c r="N195">
        <f>INDEX('GIS-Standards'!$I$2:$I$305,MATCH(B195,'GIS-Standards'!$B$2:$B$305,0))</f>
        <v>0</v>
      </c>
      <c r="O195" t="e">
        <f>INDEX('GIS-Standards'!$I$2:$I$305,MATCH(C195,'GIS-Standards'!$B$2:$B$305,0))</f>
        <v>#N/A</v>
      </c>
      <c r="P195" t="e">
        <f>AND(TableRelationships12[[#This Row],[Source Type]]="BIM",TableRelationships12[[#This Row],[Target Type]]="BIM")</f>
        <v>#N/A</v>
      </c>
      <c r="Q195">
        <f t="shared" si="9"/>
        <v>1</v>
      </c>
      <c r="S195">
        <f t="shared" si="10"/>
        <v>1</v>
      </c>
      <c r="T195" s="102" t="str">
        <f>IF(TableRelationships12[[#This Row],[Rank Pedro]]="Low","linkCategory1",IF(TableRelationships12[[#This Row],[Rank Pedro]]="Medium","linkCategory2",IF(TableRelationships12[[#This Row],[Rank Pedro]]="High","linkCategory3","")))</f>
        <v/>
      </c>
      <c r="U195" s="102" t="str">
        <f>IF(TableRelationships12[[#This Row],[Rank Pedro]]="Low","Pink",IF(TableRelationships12[[#This Row],[Rank Pedro]]="Medium","Purple",IF(TableRelationships12[[#This Row],[Rank Pedro]]="High","Brown","")))</f>
        <v/>
      </c>
      <c r="V195" s="4" t="e">
        <f>MAX(INDEX(Standards!$F$2:$F$296,MATCH(B195,Standards!$B$2:$B$296,0)),INDEX(Standards!$F$2:$F$296,MATCH(C195,Standards!$B$2:$B$296,0)))</f>
        <v>#N/A</v>
      </c>
      <c r="W195" t="str">
        <f t="shared" si="11"/>
        <v>#2f89d1</v>
      </c>
    </row>
    <row r="196" spans="1:23" x14ac:dyDescent="0.5">
      <c r="A196" s="54">
        <v>195</v>
      </c>
      <c r="B196" s="90" t="s">
        <v>1692</v>
      </c>
      <c r="C196" t="s">
        <v>1827</v>
      </c>
      <c r="D196" s="1"/>
      <c r="E196" s="113"/>
      <c r="F196" s="113"/>
      <c r="G196" s="107"/>
      <c r="H196">
        <f>INDEX('GIS-Standards'!$A$2:$A$305,MATCH(B196,'GIS-Standards'!$B$2:$B$305,0))</f>
        <v>9</v>
      </c>
      <c r="I196" t="e">
        <f>INDEX('GIS-Standards'!$A$2:$A$305,MATCH(C196,'GIS-Standards'!$B$2:$B$305,0))</f>
        <v>#N/A</v>
      </c>
      <c r="J196" t="str">
        <f>INDEX('GIS-Standards'!$O$2:$O$305,MATCH(B196,'GIS-Standards'!$B$2:$B$305,0))</f>
        <v>ISO/TC 59/SC 14</v>
      </c>
      <c r="K196" t="e">
        <f>INDEX('GIS-Standards'!$O$2:$O$305,MATCH(C196,'GIS-Standards'!$B$2:$B$305,0))</f>
        <v>#N/A</v>
      </c>
      <c r="M196" t="s">
        <v>525</v>
      </c>
      <c r="N196">
        <f>INDEX('GIS-Standards'!$I$2:$I$305,MATCH(B196,'GIS-Standards'!$B$2:$B$305,0))</f>
        <v>0</v>
      </c>
      <c r="O196" t="e">
        <f>INDEX('GIS-Standards'!$I$2:$I$305,MATCH(C196,'GIS-Standards'!$B$2:$B$305,0))</f>
        <v>#N/A</v>
      </c>
      <c r="P196" t="e">
        <f>AND(TableRelationships12[[#This Row],[Source Type]]="BIM",TableRelationships12[[#This Row],[Target Type]]="BIM")</f>
        <v>#N/A</v>
      </c>
      <c r="Q196">
        <f t="shared" si="9"/>
        <v>1</v>
      </c>
      <c r="S196">
        <f t="shared" si="10"/>
        <v>1</v>
      </c>
      <c r="T196" s="102" t="str">
        <f>IF(TableRelationships12[[#This Row],[Rank Pedro]]="Low","linkCategory1",IF(TableRelationships12[[#This Row],[Rank Pedro]]="Medium","linkCategory2",IF(TableRelationships12[[#This Row],[Rank Pedro]]="High","linkCategory3","")))</f>
        <v/>
      </c>
      <c r="U196" s="102" t="str">
        <f>IF(TableRelationships12[[#This Row],[Rank Pedro]]="Low","Pink",IF(TableRelationships12[[#This Row],[Rank Pedro]]="Medium","Purple",IF(TableRelationships12[[#This Row],[Rank Pedro]]="High","Brown","")))</f>
        <v/>
      </c>
      <c r="V196" s="4" t="e">
        <f>MAX(INDEX(Standards!$F$2:$F$296,MATCH(B196,Standards!$B$2:$B$296,0)),INDEX(Standards!$F$2:$F$296,MATCH(C196,Standards!$B$2:$B$296,0)))</f>
        <v>#N/A</v>
      </c>
      <c r="W196" t="str">
        <f t="shared" si="11"/>
        <v>#2f89d1</v>
      </c>
    </row>
    <row r="197" spans="1:23" x14ac:dyDescent="0.5">
      <c r="A197" s="54">
        <v>196</v>
      </c>
      <c r="B197" s="90" t="s">
        <v>1692</v>
      </c>
      <c r="C197" t="s">
        <v>1828</v>
      </c>
      <c r="D197" s="1"/>
      <c r="E197" s="113"/>
      <c r="F197" s="113"/>
      <c r="G197" s="107"/>
      <c r="H197">
        <f>INDEX('GIS-Standards'!$A$2:$A$305,MATCH(B197,'GIS-Standards'!$B$2:$B$305,0))</f>
        <v>9</v>
      </c>
      <c r="I197" t="e">
        <f>INDEX('GIS-Standards'!$A$2:$A$305,MATCH(C197,'GIS-Standards'!$B$2:$B$305,0))</f>
        <v>#N/A</v>
      </c>
      <c r="J197" t="str">
        <f>INDEX('GIS-Standards'!$O$2:$O$305,MATCH(B197,'GIS-Standards'!$B$2:$B$305,0))</f>
        <v>ISO/TC 59/SC 14</v>
      </c>
      <c r="K197" t="e">
        <f>INDEX('GIS-Standards'!$O$2:$O$305,MATCH(C197,'GIS-Standards'!$B$2:$B$305,0))</f>
        <v>#N/A</v>
      </c>
      <c r="M197" t="s">
        <v>525</v>
      </c>
      <c r="N197">
        <f>INDEX('GIS-Standards'!$I$2:$I$305,MATCH(B197,'GIS-Standards'!$B$2:$B$305,0))</f>
        <v>0</v>
      </c>
      <c r="O197" t="e">
        <f>INDEX('GIS-Standards'!$I$2:$I$305,MATCH(C197,'GIS-Standards'!$B$2:$B$305,0))</f>
        <v>#N/A</v>
      </c>
      <c r="P197" t="e">
        <f>AND(TableRelationships12[[#This Row],[Source Type]]="BIM",TableRelationships12[[#This Row],[Target Type]]="BIM")</f>
        <v>#N/A</v>
      </c>
      <c r="Q197">
        <f t="shared" si="9"/>
        <v>1</v>
      </c>
      <c r="S197">
        <f t="shared" si="10"/>
        <v>1</v>
      </c>
      <c r="T197" s="102" t="str">
        <f>IF(TableRelationships12[[#This Row],[Rank Pedro]]="Low","linkCategory1",IF(TableRelationships12[[#This Row],[Rank Pedro]]="Medium","linkCategory2",IF(TableRelationships12[[#This Row],[Rank Pedro]]="High","linkCategory3","")))</f>
        <v/>
      </c>
      <c r="U197" s="102" t="str">
        <f>IF(TableRelationships12[[#This Row],[Rank Pedro]]="Low","Pink",IF(TableRelationships12[[#This Row],[Rank Pedro]]="Medium","Purple",IF(TableRelationships12[[#This Row],[Rank Pedro]]="High","Brown","")))</f>
        <v/>
      </c>
      <c r="V197" s="4" t="e">
        <f>MAX(INDEX(Standards!$F$2:$F$296,MATCH(B197,Standards!$B$2:$B$296,0)),INDEX(Standards!$F$2:$F$296,MATCH(C197,Standards!$B$2:$B$296,0)))</f>
        <v>#N/A</v>
      </c>
      <c r="W197" t="str">
        <f t="shared" si="11"/>
        <v>#2f89d1</v>
      </c>
    </row>
    <row r="198" spans="1:23" x14ac:dyDescent="0.5">
      <c r="A198" s="54">
        <v>197</v>
      </c>
      <c r="B198" s="90" t="s">
        <v>1692</v>
      </c>
      <c r="C198" t="s">
        <v>1829</v>
      </c>
      <c r="D198" s="1"/>
      <c r="E198" s="113"/>
      <c r="F198" s="113"/>
      <c r="G198" s="107"/>
      <c r="H198">
        <f>INDEX('GIS-Standards'!$A$2:$A$305,MATCH(B198,'GIS-Standards'!$B$2:$B$305,0))</f>
        <v>9</v>
      </c>
      <c r="I198" t="e">
        <f>INDEX('GIS-Standards'!$A$2:$A$305,MATCH(C198,'GIS-Standards'!$B$2:$B$305,0))</f>
        <v>#N/A</v>
      </c>
      <c r="J198" t="str">
        <f>INDEX('GIS-Standards'!$O$2:$O$305,MATCH(B198,'GIS-Standards'!$B$2:$B$305,0))</f>
        <v>ISO/TC 59/SC 14</v>
      </c>
      <c r="K198" t="e">
        <f>INDEX('GIS-Standards'!$O$2:$O$305,MATCH(C198,'GIS-Standards'!$B$2:$B$305,0))</f>
        <v>#N/A</v>
      </c>
      <c r="M198" t="s">
        <v>525</v>
      </c>
      <c r="N198">
        <f>INDEX('GIS-Standards'!$I$2:$I$305,MATCH(B198,'GIS-Standards'!$B$2:$B$305,0))</f>
        <v>0</v>
      </c>
      <c r="O198" t="e">
        <f>INDEX('GIS-Standards'!$I$2:$I$305,MATCH(C198,'GIS-Standards'!$B$2:$B$305,0))</f>
        <v>#N/A</v>
      </c>
      <c r="P198" t="e">
        <f>AND(TableRelationships12[[#This Row],[Source Type]]="BIM",TableRelationships12[[#This Row],[Target Type]]="BIM")</f>
        <v>#N/A</v>
      </c>
      <c r="Q198">
        <f t="shared" si="9"/>
        <v>1</v>
      </c>
      <c r="S198">
        <f t="shared" si="10"/>
        <v>1</v>
      </c>
      <c r="T198" s="102" t="str">
        <f>IF(TableRelationships12[[#This Row],[Rank Pedro]]="Low","linkCategory1",IF(TableRelationships12[[#This Row],[Rank Pedro]]="Medium","linkCategory2",IF(TableRelationships12[[#This Row],[Rank Pedro]]="High","linkCategory3","")))</f>
        <v/>
      </c>
      <c r="U198" s="102" t="str">
        <f>IF(TableRelationships12[[#This Row],[Rank Pedro]]="Low","Pink",IF(TableRelationships12[[#This Row],[Rank Pedro]]="Medium","Purple",IF(TableRelationships12[[#This Row],[Rank Pedro]]="High","Brown","")))</f>
        <v/>
      </c>
      <c r="V198" s="4" t="e">
        <f>MAX(INDEX(Standards!$F$2:$F$296,MATCH(B198,Standards!$B$2:$B$296,0)),INDEX(Standards!$F$2:$F$296,MATCH(C198,Standards!$B$2:$B$296,0)))</f>
        <v>#N/A</v>
      </c>
      <c r="W198" t="str">
        <f t="shared" si="11"/>
        <v>#2f89d1</v>
      </c>
    </row>
    <row r="199" spans="1:23" x14ac:dyDescent="0.5">
      <c r="A199" s="54">
        <v>198</v>
      </c>
      <c r="B199" s="90" t="s">
        <v>1692</v>
      </c>
      <c r="C199" t="s">
        <v>1830</v>
      </c>
      <c r="D199" s="1"/>
      <c r="E199" s="113"/>
      <c r="F199" s="113"/>
      <c r="G199" s="107"/>
      <c r="H199">
        <f>INDEX('GIS-Standards'!$A$2:$A$305,MATCH(B199,'GIS-Standards'!$B$2:$B$305,0))</f>
        <v>9</v>
      </c>
      <c r="I199" t="e">
        <f>INDEX('GIS-Standards'!$A$2:$A$305,MATCH(C199,'GIS-Standards'!$B$2:$B$305,0))</f>
        <v>#N/A</v>
      </c>
      <c r="J199" t="str">
        <f>INDEX('GIS-Standards'!$O$2:$O$305,MATCH(B199,'GIS-Standards'!$B$2:$B$305,0))</f>
        <v>ISO/TC 59/SC 14</v>
      </c>
      <c r="K199" t="e">
        <f>INDEX('GIS-Standards'!$O$2:$O$305,MATCH(C199,'GIS-Standards'!$B$2:$B$305,0))</f>
        <v>#N/A</v>
      </c>
      <c r="M199" t="s">
        <v>525</v>
      </c>
      <c r="N199">
        <f>INDEX('GIS-Standards'!$I$2:$I$305,MATCH(B199,'GIS-Standards'!$B$2:$B$305,0))</f>
        <v>0</v>
      </c>
      <c r="O199" t="e">
        <f>INDEX('GIS-Standards'!$I$2:$I$305,MATCH(C199,'GIS-Standards'!$B$2:$B$305,0))</f>
        <v>#N/A</v>
      </c>
      <c r="P199" t="e">
        <f>AND(TableRelationships12[[#This Row],[Source Type]]="BIM",TableRelationships12[[#This Row],[Target Type]]="BIM")</f>
        <v>#N/A</v>
      </c>
      <c r="Q199">
        <f t="shared" si="9"/>
        <v>1</v>
      </c>
      <c r="S199">
        <f t="shared" si="10"/>
        <v>1</v>
      </c>
      <c r="T199" s="102" t="str">
        <f>IF(TableRelationships12[[#This Row],[Rank Pedro]]="Low","linkCategory1",IF(TableRelationships12[[#This Row],[Rank Pedro]]="Medium","linkCategory2",IF(TableRelationships12[[#This Row],[Rank Pedro]]="High","linkCategory3","")))</f>
        <v/>
      </c>
      <c r="U199" s="102" t="str">
        <f>IF(TableRelationships12[[#This Row],[Rank Pedro]]="Low","Pink",IF(TableRelationships12[[#This Row],[Rank Pedro]]="Medium","Purple",IF(TableRelationships12[[#This Row],[Rank Pedro]]="High","Brown","")))</f>
        <v/>
      </c>
      <c r="V199" s="4" t="e">
        <f>MAX(INDEX(Standards!$F$2:$F$296,MATCH(B199,Standards!$B$2:$B$296,0)),INDEX(Standards!$F$2:$F$296,MATCH(C199,Standards!$B$2:$B$296,0)))</f>
        <v>#N/A</v>
      </c>
      <c r="W199" t="str">
        <f t="shared" si="11"/>
        <v>#2f89d1</v>
      </c>
    </row>
    <row r="200" spans="1:23" x14ac:dyDescent="0.5">
      <c r="A200" s="54">
        <v>199</v>
      </c>
      <c r="B200" s="90" t="s">
        <v>1692</v>
      </c>
      <c r="C200" t="s">
        <v>1831</v>
      </c>
      <c r="D200" s="1"/>
      <c r="E200" s="113"/>
      <c r="F200" s="113"/>
      <c r="G200" s="107"/>
      <c r="H200">
        <f>INDEX('GIS-Standards'!$A$2:$A$305,MATCH(B200,'GIS-Standards'!$B$2:$B$305,0))</f>
        <v>9</v>
      </c>
      <c r="I200" t="e">
        <f>INDEX('GIS-Standards'!$A$2:$A$305,MATCH(C200,'GIS-Standards'!$B$2:$B$305,0))</f>
        <v>#N/A</v>
      </c>
      <c r="J200" t="str">
        <f>INDEX('GIS-Standards'!$O$2:$O$305,MATCH(B200,'GIS-Standards'!$B$2:$B$305,0))</f>
        <v>ISO/TC 59/SC 14</v>
      </c>
      <c r="K200" t="e">
        <f>INDEX('GIS-Standards'!$O$2:$O$305,MATCH(C200,'GIS-Standards'!$B$2:$B$305,0))</f>
        <v>#N/A</v>
      </c>
      <c r="M200" t="s">
        <v>525</v>
      </c>
      <c r="N200">
        <f>INDEX('GIS-Standards'!$I$2:$I$305,MATCH(B200,'GIS-Standards'!$B$2:$B$305,0))</f>
        <v>0</v>
      </c>
      <c r="O200" t="e">
        <f>INDEX('GIS-Standards'!$I$2:$I$305,MATCH(C200,'GIS-Standards'!$B$2:$B$305,0))</f>
        <v>#N/A</v>
      </c>
      <c r="P200" t="e">
        <f>AND(TableRelationships12[[#This Row],[Source Type]]="BIM",TableRelationships12[[#This Row],[Target Type]]="BIM")</f>
        <v>#N/A</v>
      </c>
      <c r="Q200">
        <f t="shared" si="9"/>
        <v>1</v>
      </c>
      <c r="S200">
        <f t="shared" si="10"/>
        <v>1</v>
      </c>
      <c r="T200" s="102" t="str">
        <f>IF(TableRelationships12[[#This Row],[Rank Pedro]]="Low","linkCategory1",IF(TableRelationships12[[#This Row],[Rank Pedro]]="Medium","linkCategory2",IF(TableRelationships12[[#This Row],[Rank Pedro]]="High","linkCategory3","")))</f>
        <v/>
      </c>
      <c r="U200" s="102" t="str">
        <f>IF(TableRelationships12[[#This Row],[Rank Pedro]]="Low","Pink",IF(TableRelationships12[[#This Row],[Rank Pedro]]="Medium","Purple",IF(TableRelationships12[[#This Row],[Rank Pedro]]="High","Brown","")))</f>
        <v/>
      </c>
      <c r="V200" s="4" t="e">
        <f>MAX(INDEX(Standards!$F$2:$F$296,MATCH(B200,Standards!$B$2:$B$296,0)),INDEX(Standards!$F$2:$F$296,MATCH(C200,Standards!$B$2:$B$296,0)))</f>
        <v>#N/A</v>
      </c>
      <c r="W200" t="str">
        <f t="shared" si="11"/>
        <v>#2f89d1</v>
      </c>
    </row>
    <row r="201" spans="1:23" x14ac:dyDescent="0.5">
      <c r="A201" s="54">
        <v>200</v>
      </c>
      <c r="B201" s="90" t="s">
        <v>1692</v>
      </c>
      <c r="C201" t="s">
        <v>1832</v>
      </c>
      <c r="D201" s="1"/>
      <c r="E201" s="113"/>
      <c r="F201" s="113"/>
      <c r="G201" s="107"/>
      <c r="H201">
        <f>INDEX('GIS-Standards'!$A$2:$A$305,MATCH(B201,'GIS-Standards'!$B$2:$B$305,0))</f>
        <v>9</v>
      </c>
      <c r="I201" t="e">
        <f>INDEX('GIS-Standards'!$A$2:$A$305,MATCH(C201,'GIS-Standards'!$B$2:$B$305,0))</f>
        <v>#N/A</v>
      </c>
      <c r="J201" t="str">
        <f>INDEX('GIS-Standards'!$O$2:$O$305,MATCH(B201,'GIS-Standards'!$B$2:$B$305,0))</f>
        <v>ISO/TC 59/SC 14</v>
      </c>
      <c r="K201" t="e">
        <f>INDEX('GIS-Standards'!$O$2:$O$305,MATCH(C201,'GIS-Standards'!$B$2:$B$305,0))</f>
        <v>#N/A</v>
      </c>
      <c r="M201" t="s">
        <v>525</v>
      </c>
      <c r="N201">
        <f>INDEX('GIS-Standards'!$I$2:$I$305,MATCH(B201,'GIS-Standards'!$B$2:$B$305,0))</f>
        <v>0</v>
      </c>
      <c r="O201" t="e">
        <f>INDEX('GIS-Standards'!$I$2:$I$305,MATCH(C201,'GIS-Standards'!$B$2:$B$305,0))</f>
        <v>#N/A</v>
      </c>
      <c r="P201" t="e">
        <f>AND(TableRelationships12[[#This Row],[Source Type]]="BIM",TableRelationships12[[#This Row],[Target Type]]="BIM")</f>
        <v>#N/A</v>
      </c>
      <c r="Q201">
        <f t="shared" si="9"/>
        <v>1</v>
      </c>
      <c r="S201">
        <f t="shared" si="10"/>
        <v>1</v>
      </c>
      <c r="T201" s="102" t="str">
        <f>IF(TableRelationships12[[#This Row],[Rank Pedro]]="Low","linkCategory1",IF(TableRelationships12[[#This Row],[Rank Pedro]]="Medium","linkCategory2",IF(TableRelationships12[[#This Row],[Rank Pedro]]="High","linkCategory3","")))</f>
        <v/>
      </c>
      <c r="U201" s="102" t="str">
        <f>IF(TableRelationships12[[#This Row],[Rank Pedro]]="Low","Pink",IF(TableRelationships12[[#This Row],[Rank Pedro]]="Medium","Purple",IF(TableRelationships12[[#This Row],[Rank Pedro]]="High","Brown","")))</f>
        <v/>
      </c>
      <c r="V201" s="4" t="e">
        <f>MAX(INDEX(Standards!$F$2:$F$296,MATCH(B201,Standards!$B$2:$B$296,0)),INDEX(Standards!$F$2:$F$296,MATCH(C201,Standards!$B$2:$B$296,0)))</f>
        <v>#N/A</v>
      </c>
      <c r="W201" t="str">
        <f t="shared" si="11"/>
        <v>#2f89d1</v>
      </c>
    </row>
    <row r="202" spans="1:23" x14ac:dyDescent="0.5">
      <c r="A202" s="54">
        <v>201</v>
      </c>
      <c r="B202" s="90" t="s">
        <v>1692</v>
      </c>
      <c r="C202" t="s">
        <v>1833</v>
      </c>
      <c r="D202" s="1"/>
      <c r="E202" s="113">
        <v>2006.05</v>
      </c>
      <c r="F202" s="113">
        <v>2018.1</v>
      </c>
      <c r="G202" s="107" t="s">
        <v>2006</v>
      </c>
      <c r="H202">
        <f>INDEX('GIS-Standards'!$A$2:$A$305,MATCH(B202,'GIS-Standards'!$B$2:$B$305,0))</f>
        <v>9</v>
      </c>
      <c r="I202" t="e">
        <f>INDEX('GIS-Standards'!$A$2:$A$305,MATCH(C202,'GIS-Standards'!$B$2:$B$305,0))</f>
        <v>#N/A</v>
      </c>
      <c r="J202" t="str">
        <f>INDEX('GIS-Standards'!$O$2:$O$305,MATCH(B202,'GIS-Standards'!$B$2:$B$305,0))</f>
        <v>ISO/TC 59/SC 14</v>
      </c>
      <c r="K202" t="e">
        <f>INDEX('GIS-Standards'!$O$2:$O$305,MATCH(C202,'GIS-Standards'!$B$2:$B$305,0))</f>
        <v>#N/A</v>
      </c>
      <c r="M202" t="s">
        <v>525</v>
      </c>
      <c r="N202">
        <f>INDEX('GIS-Standards'!$I$2:$I$305,MATCH(B202,'GIS-Standards'!$B$2:$B$305,0))</f>
        <v>0</v>
      </c>
      <c r="O202" t="e">
        <f>INDEX('GIS-Standards'!$I$2:$I$305,MATCH(C202,'GIS-Standards'!$B$2:$B$305,0))</f>
        <v>#N/A</v>
      </c>
      <c r="P202" t="e">
        <f>AND(TableRelationships12[[#This Row],[Source Type]]="BIM",TableRelationships12[[#This Row],[Target Type]]="BIM")</f>
        <v>#N/A</v>
      </c>
      <c r="Q202">
        <f t="shared" si="9"/>
        <v>1</v>
      </c>
      <c r="S202">
        <f t="shared" si="10"/>
        <v>1</v>
      </c>
      <c r="T202" s="102" t="str">
        <f>IF(TableRelationships12[[#This Row],[Rank Pedro]]="Low","linkCategory1",IF(TableRelationships12[[#This Row],[Rank Pedro]]="Medium","linkCategory2",IF(TableRelationships12[[#This Row],[Rank Pedro]]="High","linkCategory3","")))</f>
        <v/>
      </c>
      <c r="U202" s="102" t="str">
        <f>IF(TableRelationships12[[#This Row],[Rank Pedro]]="Low","Pink",IF(TableRelationships12[[#This Row],[Rank Pedro]]="Medium","Purple",IF(TableRelationships12[[#This Row],[Rank Pedro]]="High","Brown","")))</f>
        <v/>
      </c>
      <c r="V202" s="4" t="e">
        <f>MAX(INDEX(Standards!$F$2:$F$296,MATCH(B202,Standards!$B$2:$B$296,0)),INDEX(Standards!$F$2:$F$296,MATCH(C202,Standards!$B$2:$B$296,0)))</f>
        <v>#N/A</v>
      </c>
      <c r="W202" t="str">
        <f t="shared" si="11"/>
        <v>#2f89d1</v>
      </c>
    </row>
    <row r="203" spans="1:23" x14ac:dyDescent="0.5">
      <c r="A203" s="54">
        <v>202</v>
      </c>
      <c r="B203" s="90" t="s">
        <v>293</v>
      </c>
      <c r="C203" t="s">
        <v>527</v>
      </c>
      <c r="D203" s="1"/>
      <c r="E203" s="112" t="s">
        <v>929</v>
      </c>
      <c r="F203" s="112" t="s">
        <v>930</v>
      </c>
      <c r="G203" s="107" t="s">
        <v>670</v>
      </c>
      <c r="H203">
        <f>INDEX('GIS-Standards'!$A$2:$A$305,MATCH(B203,'GIS-Standards'!$B$2:$B$305,0))</f>
        <v>10</v>
      </c>
      <c r="I203" t="e">
        <f>INDEX('GIS-Standards'!$A$2:$A$305,MATCH(C203,'GIS-Standards'!$B$2:$B$305,0))</f>
        <v>#N/A</v>
      </c>
      <c r="J203" t="str">
        <f>INDEX('GIS-Standards'!$O$2:$O$305,MATCH(B203,'GIS-Standards'!$B$2:$B$305,0))</f>
        <v>ISO/TC 211</v>
      </c>
      <c r="K203" t="e">
        <f>INDEX('GIS-Standards'!$O$2:$O$305,MATCH(C203,'GIS-Standards'!$B$2:$B$305,0))</f>
        <v>#N/A</v>
      </c>
      <c r="M203" t="s">
        <v>237</v>
      </c>
      <c r="N203">
        <f>INDEX('GIS-Standards'!$I$2:$I$305,MATCH(B203,'GIS-Standards'!$B$2:$B$305,0))</f>
        <v>0</v>
      </c>
      <c r="O203" t="e">
        <f>INDEX('GIS-Standards'!$I$2:$I$305,MATCH(C203,'GIS-Standards'!$B$2:$B$305,0))</f>
        <v>#N/A</v>
      </c>
      <c r="P203" t="e">
        <f>AND(TableRelationships12[[#This Row],[Source Type]]="BIM",TableRelationships12[[#This Row],[Target Type]]="BIM")</f>
        <v>#N/A</v>
      </c>
      <c r="Q203">
        <f t="shared" si="9"/>
        <v>2</v>
      </c>
      <c r="S203">
        <f t="shared" si="10"/>
        <v>1</v>
      </c>
      <c r="T203" s="102" t="str">
        <f>IF(TableRelationships12[[#This Row],[Rank Pedro]]="Low","linkCategory1",IF(TableRelationships12[[#This Row],[Rank Pedro]]="Medium","linkCategory2",IF(TableRelationships12[[#This Row],[Rank Pedro]]="High","linkCategory3","")))</f>
        <v/>
      </c>
      <c r="U203" s="102" t="str">
        <f>IF(TableRelationships12[[#This Row],[Rank Pedro]]="Low","Pink",IF(TableRelationships12[[#This Row],[Rank Pedro]]="Medium","Purple",IF(TableRelationships12[[#This Row],[Rank Pedro]]="High","Brown","")))</f>
        <v/>
      </c>
      <c r="V203" s="4">
        <f>MAX(INDEX(Standards!$F$2:$F$296,MATCH(B203,Standards!$B$2:$B$296,0)),INDEX(Standards!$F$2:$F$296,MATCH(C203,Standards!$B$2:$B$296,0)))</f>
        <v>37438</v>
      </c>
      <c r="W203">
        <f t="shared" si="11"/>
        <v>1</v>
      </c>
    </row>
    <row r="204" spans="1:23" x14ac:dyDescent="0.5">
      <c r="A204" s="54">
        <v>203</v>
      </c>
      <c r="B204" s="90" t="s">
        <v>293</v>
      </c>
      <c r="C204" t="s">
        <v>626</v>
      </c>
      <c r="D204" s="1" t="s">
        <v>1384</v>
      </c>
      <c r="E204" s="111">
        <v>2011.08</v>
      </c>
      <c r="F204" s="111">
        <v>2012.1</v>
      </c>
      <c r="G204" s="108" t="s">
        <v>1465</v>
      </c>
      <c r="H204">
        <f>INDEX('GIS-Standards'!$A$2:$A$305,MATCH(B204,'GIS-Standards'!$B$2:$B$305,0))</f>
        <v>10</v>
      </c>
      <c r="I204">
        <f>INDEX('GIS-Standards'!$A$2:$A$305,MATCH(C204,'GIS-Standards'!$B$2:$B$305,0))</f>
        <v>1</v>
      </c>
      <c r="J204" t="str">
        <f>INDEX('GIS-Standards'!$O$2:$O$305,MATCH(B204,'GIS-Standards'!$B$2:$B$305,0))</f>
        <v>ISO/TC 211</v>
      </c>
      <c r="K204">
        <f>INDEX('GIS-Standards'!$O$2:$O$305,MATCH(C204,'GIS-Standards'!$B$2:$B$305,0))</f>
        <v>0</v>
      </c>
      <c r="M204" t="s">
        <v>525</v>
      </c>
      <c r="N204">
        <f>INDEX('GIS-Standards'!$I$2:$I$305,MATCH(B204,'GIS-Standards'!$B$2:$B$305,0))</f>
        <v>0</v>
      </c>
      <c r="O204">
        <f>INDEX('GIS-Standards'!$I$2:$I$305,MATCH(C204,'GIS-Standards'!$B$2:$B$305,0))</f>
        <v>0</v>
      </c>
      <c r="P204" t="b">
        <f>AND(TableRelationships12[[#This Row],[Source Type]]="BIM",TableRelationships12[[#This Row],[Target Type]]="BIM")</f>
        <v>0</v>
      </c>
      <c r="Q204">
        <f t="shared" si="9"/>
        <v>1</v>
      </c>
      <c r="S204">
        <f t="shared" si="10"/>
        <v>1</v>
      </c>
      <c r="T204" s="102" t="str">
        <f>IF(TableRelationships12[[#This Row],[Rank Pedro]]="Low","linkCategory1",IF(TableRelationships12[[#This Row],[Rank Pedro]]="Medium","linkCategory2",IF(TableRelationships12[[#This Row],[Rank Pedro]]="High","linkCategory3","")))</f>
        <v/>
      </c>
      <c r="U204" s="102" t="str">
        <f>IF(TableRelationships12[[#This Row],[Rank Pedro]]="Low","Pink",IF(TableRelationships12[[#This Row],[Rank Pedro]]="Medium","Purple",IF(TableRelationships12[[#This Row],[Rank Pedro]]="High","Brown","")))</f>
        <v/>
      </c>
      <c r="V204" s="4" t="e">
        <f>MAX(INDEX(Standards!$F$2:$F$296,MATCH(B204,Standards!$B$2:$B$296,0)),INDEX(Standards!$F$2:$F$296,MATCH(C204,Standards!$B$2:$B$296,0)))</f>
        <v>#N/A</v>
      </c>
      <c r="W204" t="str">
        <f t="shared" si="11"/>
        <v>#2f89d1</v>
      </c>
    </row>
    <row r="205" spans="1:23" x14ac:dyDescent="0.5">
      <c r="A205" s="54">
        <v>204</v>
      </c>
      <c r="B205" s="90" t="s">
        <v>293</v>
      </c>
      <c r="C205" t="s">
        <v>627</v>
      </c>
      <c r="D205" s="1" t="s">
        <v>1384</v>
      </c>
      <c r="E205" s="111">
        <v>2011.08</v>
      </c>
      <c r="F205" s="111">
        <v>2012.1</v>
      </c>
      <c r="G205" s="108" t="s">
        <v>1465</v>
      </c>
      <c r="H205">
        <f>INDEX('GIS-Standards'!$A$2:$A$305,MATCH(B205,'GIS-Standards'!$B$2:$B$305,0))</f>
        <v>10</v>
      </c>
      <c r="I205">
        <f>INDEX('GIS-Standards'!$A$2:$A$305,MATCH(C205,'GIS-Standards'!$B$2:$B$305,0))</f>
        <v>2</v>
      </c>
      <c r="J205" t="str">
        <f>INDEX('GIS-Standards'!$O$2:$O$305,MATCH(B205,'GIS-Standards'!$B$2:$B$305,0))</f>
        <v>ISO/TC 211</v>
      </c>
      <c r="K205">
        <f>INDEX('GIS-Standards'!$O$2:$O$305,MATCH(C205,'GIS-Standards'!$B$2:$B$305,0))</f>
        <v>0</v>
      </c>
      <c r="M205" t="s">
        <v>525</v>
      </c>
      <c r="N205">
        <f>INDEX('GIS-Standards'!$I$2:$I$305,MATCH(B205,'GIS-Standards'!$B$2:$B$305,0))</f>
        <v>0</v>
      </c>
      <c r="O205">
        <f>INDEX('GIS-Standards'!$I$2:$I$305,MATCH(C205,'GIS-Standards'!$B$2:$B$305,0))</f>
        <v>0</v>
      </c>
      <c r="P205" t="b">
        <f>AND(TableRelationships12[[#This Row],[Source Type]]="BIM",TableRelationships12[[#This Row],[Target Type]]="BIM")</f>
        <v>0</v>
      </c>
      <c r="Q205">
        <f t="shared" si="9"/>
        <v>1</v>
      </c>
      <c r="S205">
        <f t="shared" si="10"/>
        <v>1</v>
      </c>
      <c r="T205" s="102" t="str">
        <f>IF(TableRelationships12[[#This Row],[Rank Pedro]]="Low","linkCategory1",IF(TableRelationships12[[#This Row],[Rank Pedro]]="Medium","linkCategory2",IF(TableRelationships12[[#This Row],[Rank Pedro]]="High","linkCategory3","")))</f>
        <v/>
      </c>
      <c r="U205" s="102" t="str">
        <f>IF(TableRelationships12[[#This Row],[Rank Pedro]]="Low","Pink",IF(TableRelationships12[[#This Row],[Rank Pedro]]="Medium","Purple",IF(TableRelationships12[[#This Row],[Rank Pedro]]="High","Brown","")))</f>
        <v/>
      </c>
      <c r="V205" s="4" t="e">
        <f>MAX(INDEX(Standards!$F$2:$F$296,MATCH(B205,Standards!$B$2:$B$296,0)),INDEX(Standards!$F$2:$F$296,MATCH(C205,Standards!$B$2:$B$296,0)))</f>
        <v>#N/A</v>
      </c>
      <c r="W205" t="str">
        <f t="shared" si="11"/>
        <v>#2f89d1</v>
      </c>
    </row>
    <row r="206" spans="1:23" x14ac:dyDescent="0.5">
      <c r="A206" s="54">
        <v>205</v>
      </c>
      <c r="B206" s="90" t="s">
        <v>293</v>
      </c>
      <c r="C206" t="s">
        <v>628</v>
      </c>
      <c r="D206" s="1" t="s">
        <v>1384</v>
      </c>
      <c r="E206" s="111">
        <v>2011.08</v>
      </c>
      <c r="F206" s="111">
        <v>2012.1</v>
      </c>
      <c r="G206" s="108" t="s">
        <v>1465</v>
      </c>
      <c r="H206">
        <f>INDEX('GIS-Standards'!$A$2:$A$305,MATCH(B206,'GIS-Standards'!$B$2:$B$305,0))</f>
        <v>10</v>
      </c>
      <c r="I206">
        <f>INDEX('GIS-Standards'!$A$2:$A$305,MATCH(C206,'GIS-Standards'!$B$2:$B$305,0))</f>
        <v>3</v>
      </c>
      <c r="J206" t="str">
        <f>INDEX('GIS-Standards'!$O$2:$O$305,MATCH(B206,'GIS-Standards'!$B$2:$B$305,0))</f>
        <v>ISO/TC 211</v>
      </c>
      <c r="K206">
        <f>INDEX('GIS-Standards'!$O$2:$O$305,MATCH(C206,'GIS-Standards'!$B$2:$B$305,0))</f>
        <v>0</v>
      </c>
      <c r="M206" t="s">
        <v>525</v>
      </c>
      <c r="N206">
        <f>INDEX('GIS-Standards'!$I$2:$I$305,MATCH(B206,'GIS-Standards'!$B$2:$B$305,0))</f>
        <v>0</v>
      </c>
      <c r="O206">
        <f>INDEX('GIS-Standards'!$I$2:$I$305,MATCH(C206,'GIS-Standards'!$B$2:$B$305,0))</f>
        <v>0</v>
      </c>
      <c r="P206" t="b">
        <f>AND(TableRelationships12[[#This Row],[Source Type]]="BIM",TableRelationships12[[#This Row],[Target Type]]="BIM")</f>
        <v>0</v>
      </c>
      <c r="Q206">
        <f t="shared" si="9"/>
        <v>1</v>
      </c>
      <c r="S206">
        <f t="shared" si="10"/>
        <v>1</v>
      </c>
      <c r="T206" s="102" t="str">
        <f>IF(TableRelationships12[[#This Row],[Rank Pedro]]="Low","linkCategory1",IF(TableRelationships12[[#This Row],[Rank Pedro]]="Medium","linkCategory2",IF(TableRelationships12[[#This Row],[Rank Pedro]]="High","linkCategory3","")))</f>
        <v/>
      </c>
      <c r="U206" s="102" t="str">
        <f>IF(TableRelationships12[[#This Row],[Rank Pedro]]="Low","Pink",IF(TableRelationships12[[#This Row],[Rank Pedro]]="Medium","Purple",IF(TableRelationships12[[#This Row],[Rank Pedro]]="High","Brown","")))</f>
        <v/>
      </c>
      <c r="V206" s="4" t="e">
        <f>MAX(INDEX(Standards!$F$2:$F$296,MATCH(B206,Standards!$B$2:$B$296,0)),INDEX(Standards!$F$2:$F$296,MATCH(C206,Standards!$B$2:$B$296,0)))</f>
        <v>#N/A</v>
      </c>
      <c r="W206" t="str">
        <f t="shared" si="11"/>
        <v>#2f89d1</v>
      </c>
    </row>
    <row r="207" spans="1:23" x14ac:dyDescent="0.5">
      <c r="A207" s="54">
        <v>206</v>
      </c>
      <c r="B207" s="90" t="s">
        <v>293</v>
      </c>
      <c r="C207" t="s">
        <v>629</v>
      </c>
      <c r="D207" s="1" t="s">
        <v>1384</v>
      </c>
      <c r="E207" s="111">
        <v>2013.07</v>
      </c>
      <c r="F207" s="111">
        <v>2013.07</v>
      </c>
      <c r="G207" s="108" t="s">
        <v>1465</v>
      </c>
      <c r="H207">
        <f>INDEX('GIS-Standards'!$A$2:$A$305,MATCH(B207,'GIS-Standards'!$B$2:$B$305,0))</f>
        <v>10</v>
      </c>
      <c r="I207">
        <f>INDEX('GIS-Standards'!$A$2:$A$305,MATCH(C207,'GIS-Standards'!$B$2:$B$305,0))</f>
        <v>4</v>
      </c>
      <c r="J207" t="str">
        <f>INDEX('GIS-Standards'!$O$2:$O$305,MATCH(B207,'GIS-Standards'!$B$2:$B$305,0))</f>
        <v>ISO/TC 211</v>
      </c>
      <c r="K207">
        <f>INDEX('GIS-Standards'!$O$2:$O$305,MATCH(C207,'GIS-Standards'!$B$2:$B$305,0))</f>
        <v>0</v>
      </c>
      <c r="M207" t="s">
        <v>525</v>
      </c>
      <c r="N207">
        <f>INDEX('GIS-Standards'!$I$2:$I$305,MATCH(B207,'GIS-Standards'!$B$2:$B$305,0))</f>
        <v>0</v>
      </c>
      <c r="O207">
        <f>INDEX('GIS-Standards'!$I$2:$I$305,MATCH(C207,'GIS-Standards'!$B$2:$B$305,0))</f>
        <v>0</v>
      </c>
      <c r="P207" t="b">
        <f>AND(TableRelationships12[[#This Row],[Source Type]]="BIM",TableRelationships12[[#This Row],[Target Type]]="BIM")</f>
        <v>0</v>
      </c>
      <c r="Q207">
        <f t="shared" si="9"/>
        <v>1</v>
      </c>
      <c r="S207">
        <f t="shared" si="10"/>
        <v>1</v>
      </c>
      <c r="T207" s="102" t="str">
        <f>IF(TableRelationships12[[#This Row],[Rank Pedro]]="Low","linkCategory1",IF(TableRelationships12[[#This Row],[Rank Pedro]]="Medium","linkCategory2",IF(TableRelationships12[[#This Row],[Rank Pedro]]="High","linkCategory3","")))</f>
        <v/>
      </c>
      <c r="U207" s="102" t="str">
        <f>IF(TableRelationships12[[#This Row],[Rank Pedro]]="Low","Pink",IF(TableRelationships12[[#This Row],[Rank Pedro]]="Medium","Purple",IF(TableRelationships12[[#This Row],[Rank Pedro]]="High","Brown","")))</f>
        <v/>
      </c>
      <c r="V207" s="4" t="e">
        <f>MAX(INDEX(Standards!$F$2:$F$296,MATCH(B207,Standards!$B$2:$B$296,0)),INDEX(Standards!$F$2:$F$296,MATCH(C207,Standards!$B$2:$B$296,0)))</f>
        <v>#N/A</v>
      </c>
      <c r="W207" t="str">
        <f t="shared" si="11"/>
        <v>#2f89d1</v>
      </c>
    </row>
    <row r="208" spans="1:23" x14ac:dyDescent="0.5">
      <c r="A208" s="54">
        <v>207</v>
      </c>
      <c r="B208" s="90" t="s">
        <v>293</v>
      </c>
      <c r="C208" t="s">
        <v>630</v>
      </c>
      <c r="D208" s="1" t="s">
        <v>1384</v>
      </c>
      <c r="E208" s="111">
        <v>2015.04</v>
      </c>
      <c r="F208" s="111">
        <v>2015.04</v>
      </c>
      <c r="G208" s="108" t="s">
        <v>1465</v>
      </c>
      <c r="H208">
        <f>INDEX('GIS-Standards'!$A$2:$A$305,MATCH(B208,'GIS-Standards'!$B$2:$B$305,0))</f>
        <v>10</v>
      </c>
      <c r="I208">
        <f>INDEX('GIS-Standards'!$A$2:$A$305,MATCH(C208,'GIS-Standards'!$B$2:$B$305,0))</f>
        <v>5</v>
      </c>
      <c r="J208" t="str">
        <f>INDEX('GIS-Standards'!$O$2:$O$305,MATCH(B208,'GIS-Standards'!$B$2:$B$305,0))</f>
        <v>ISO/TC 211</v>
      </c>
      <c r="K208">
        <f>INDEX('GIS-Standards'!$O$2:$O$305,MATCH(C208,'GIS-Standards'!$B$2:$B$305,0))</f>
        <v>0</v>
      </c>
      <c r="M208" t="s">
        <v>525</v>
      </c>
      <c r="N208">
        <f>INDEX('GIS-Standards'!$I$2:$I$305,MATCH(B208,'GIS-Standards'!$B$2:$B$305,0))</f>
        <v>0</v>
      </c>
      <c r="O208">
        <f>INDEX('GIS-Standards'!$I$2:$I$305,MATCH(C208,'GIS-Standards'!$B$2:$B$305,0))</f>
        <v>0</v>
      </c>
      <c r="P208" t="b">
        <f>AND(TableRelationships12[[#This Row],[Source Type]]="BIM",TableRelationships12[[#This Row],[Target Type]]="BIM")</f>
        <v>0</v>
      </c>
      <c r="Q208">
        <f t="shared" si="9"/>
        <v>1</v>
      </c>
      <c r="S208">
        <f t="shared" si="10"/>
        <v>1</v>
      </c>
      <c r="T208" s="102" t="str">
        <f>IF(TableRelationships12[[#This Row],[Rank Pedro]]="Low","linkCategory1",IF(TableRelationships12[[#This Row],[Rank Pedro]]="Medium","linkCategory2",IF(TableRelationships12[[#This Row],[Rank Pedro]]="High","linkCategory3","")))</f>
        <v/>
      </c>
      <c r="U208" s="102" t="str">
        <f>IF(TableRelationships12[[#This Row],[Rank Pedro]]="Low","Pink",IF(TableRelationships12[[#This Row],[Rank Pedro]]="Medium","Purple",IF(TableRelationships12[[#This Row],[Rank Pedro]]="High","Brown","")))</f>
        <v/>
      </c>
      <c r="V208" s="4" t="e">
        <f>MAX(INDEX(Standards!$F$2:$F$296,MATCH(B208,Standards!$B$2:$B$296,0)),INDEX(Standards!$F$2:$F$296,MATCH(C208,Standards!$B$2:$B$296,0)))</f>
        <v>#N/A</v>
      </c>
      <c r="W208" t="str">
        <f t="shared" si="11"/>
        <v>#2f89d1</v>
      </c>
    </row>
    <row r="209" spans="1:23" x14ac:dyDescent="0.5">
      <c r="A209" s="54">
        <v>208</v>
      </c>
      <c r="B209" s="90" t="s">
        <v>293</v>
      </c>
      <c r="C209" s="104" t="s">
        <v>474</v>
      </c>
      <c r="D209" s="1" t="s">
        <v>1070</v>
      </c>
      <c r="E209" s="113">
        <v>1974.12</v>
      </c>
      <c r="F209" s="113">
        <v>2022.1</v>
      </c>
      <c r="G209" s="107" t="s">
        <v>1511</v>
      </c>
      <c r="H209">
        <f>INDEX('GIS-Standards'!$A$2:$A$305,MATCH(B209,'GIS-Standards'!$B$2:$B$305,0))</f>
        <v>10</v>
      </c>
      <c r="I209" t="e">
        <f>INDEX('GIS-Standards'!$A$2:$A$305,MATCH(C209,'GIS-Standards'!$B$2:$B$305,0))</f>
        <v>#N/A</v>
      </c>
      <c r="J209" t="str">
        <f>INDEX('GIS-Standards'!$O$2:$O$305,MATCH(B209,'GIS-Standards'!$B$2:$B$305,0))</f>
        <v>ISO/TC 211</v>
      </c>
      <c r="K209" t="e">
        <f>INDEX('GIS-Standards'!$O$2:$O$305,MATCH(C209,'GIS-Standards'!$B$2:$B$305,0))</f>
        <v>#N/A</v>
      </c>
      <c r="M209" t="s">
        <v>525</v>
      </c>
      <c r="N209">
        <f>INDEX('GIS-Standards'!$I$2:$I$305,MATCH(B209,'GIS-Standards'!$B$2:$B$305,0))</f>
        <v>0</v>
      </c>
      <c r="O209" t="e">
        <f>INDEX('GIS-Standards'!$I$2:$I$305,MATCH(C209,'GIS-Standards'!$B$2:$B$305,0))</f>
        <v>#N/A</v>
      </c>
      <c r="P209" t="e">
        <f>AND(TableRelationships12[[#This Row],[Source Type]]="BIM",TableRelationships12[[#This Row],[Target Type]]="BIM")</f>
        <v>#N/A</v>
      </c>
      <c r="Q209">
        <f t="shared" si="9"/>
        <v>1</v>
      </c>
      <c r="S209">
        <f t="shared" si="10"/>
        <v>1</v>
      </c>
      <c r="T209" s="102" t="str">
        <f>IF(TableRelationships12[[#This Row],[Rank Pedro]]="Low","linkCategory1",IF(TableRelationships12[[#This Row],[Rank Pedro]]="Medium","linkCategory2",IF(TableRelationships12[[#This Row],[Rank Pedro]]="High","linkCategory3","")))</f>
        <v/>
      </c>
      <c r="U209" s="102" t="str">
        <f>IF(TableRelationships12[[#This Row],[Rank Pedro]]="Low","Pink",IF(TableRelationships12[[#This Row],[Rank Pedro]]="Medium","Purple",IF(TableRelationships12[[#This Row],[Rank Pedro]]="High","Brown","")))</f>
        <v/>
      </c>
      <c r="V209" s="4">
        <f>MAX(INDEX(Standards!$F$2:$F$296,MATCH(B209,Standards!$B$2:$B$296,0)),INDEX(Standards!$F$2:$F$296,MATCH(C209,Standards!$B$2:$B$296,0)))</f>
        <v>39600</v>
      </c>
      <c r="W209" t="str">
        <f t="shared" si="11"/>
        <v>#2f89d1</v>
      </c>
    </row>
    <row r="210" spans="1:23" x14ac:dyDescent="0.5">
      <c r="A210" s="54">
        <v>209</v>
      </c>
      <c r="B210" s="90" t="s">
        <v>293</v>
      </c>
      <c r="C210" t="s">
        <v>1063</v>
      </c>
      <c r="D210" s="1"/>
      <c r="E210" s="112">
        <v>1998.12</v>
      </c>
      <c r="F210" s="112">
        <v>1998.12</v>
      </c>
      <c r="G210" s="107" t="s">
        <v>1502</v>
      </c>
      <c r="H210">
        <f>INDEX('GIS-Standards'!$A$2:$A$305,MATCH(B210,'GIS-Standards'!$B$2:$B$305,0))</f>
        <v>10</v>
      </c>
      <c r="I210" t="e">
        <f>INDEX('GIS-Standards'!$A$2:$A$305,MATCH(C210,'GIS-Standards'!$B$2:$B$305,0))</f>
        <v>#N/A</v>
      </c>
      <c r="J210" t="str">
        <f>INDEX('GIS-Standards'!$O$2:$O$305,MATCH(B210,'GIS-Standards'!$B$2:$B$305,0))</f>
        <v>ISO/TC 211</v>
      </c>
      <c r="K210" t="e">
        <f>INDEX('GIS-Standards'!$O$2:$O$305,MATCH(C210,'GIS-Standards'!$B$2:$B$305,0))</f>
        <v>#N/A</v>
      </c>
      <c r="M210" t="s">
        <v>525</v>
      </c>
      <c r="N210">
        <f>INDEX('GIS-Standards'!$I$2:$I$305,MATCH(B210,'GIS-Standards'!$B$2:$B$305,0))</f>
        <v>0</v>
      </c>
      <c r="O210" t="e">
        <f>INDEX('GIS-Standards'!$I$2:$I$305,MATCH(C210,'GIS-Standards'!$B$2:$B$305,0))</f>
        <v>#N/A</v>
      </c>
      <c r="P210" t="e">
        <f>AND(TableRelationships12[[#This Row],[Source Type]]="BIM",TableRelationships12[[#This Row],[Target Type]]="BIM")</f>
        <v>#N/A</v>
      </c>
      <c r="Q210">
        <f t="shared" si="9"/>
        <v>1</v>
      </c>
      <c r="S210">
        <f t="shared" si="10"/>
        <v>1</v>
      </c>
      <c r="T210" s="102" t="str">
        <f>IF(TableRelationships12[[#This Row],[Rank Pedro]]="Low","linkCategory1",IF(TableRelationships12[[#This Row],[Rank Pedro]]="Medium","linkCategory2",IF(TableRelationships12[[#This Row],[Rank Pedro]]="High","linkCategory3","")))</f>
        <v/>
      </c>
      <c r="U210" s="102" t="str">
        <f>IF(TableRelationships12[[#This Row],[Rank Pedro]]="Low","Pink",IF(TableRelationships12[[#This Row],[Rank Pedro]]="Medium","Purple",IF(TableRelationships12[[#This Row],[Rank Pedro]]="High","Brown","")))</f>
        <v/>
      </c>
      <c r="V210" s="4" t="e">
        <f>MAX(INDEX(Standards!$F$2:$F$296,MATCH(B210,Standards!$B$2:$B$296,0)),INDEX(Standards!$F$2:$F$296,MATCH(C210,Standards!$B$2:$B$296,0)))</f>
        <v>#N/A</v>
      </c>
      <c r="W210" t="str">
        <f t="shared" si="11"/>
        <v>#2f89d1</v>
      </c>
    </row>
    <row r="211" spans="1:23" x14ac:dyDescent="0.5">
      <c r="A211" s="54">
        <v>210</v>
      </c>
      <c r="B211" s="90" t="s">
        <v>293</v>
      </c>
      <c r="C211" t="s">
        <v>1071</v>
      </c>
      <c r="D211" s="1"/>
      <c r="E211" s="112">
        <v>1990.05</v>
      </c>
      <c r="F211" s="112">
        <v>1998.11</v>
      </c>
      <c r="G211" s="107" t="s">
        <v>1521</v>
      </c>
      <c r="H211">
        <f>INDEX('GIS-Standards'!$A$2:$A$305,MATCH(B211,'GIS-Standards'!$B$2:$B$305,0))</f>
        <v>10</v>
      </c>
      <c r="I211" t="e">
        <f>INDEX('GIS-Standards'!$A$2:$A$305,MATCH(C211,'GIS-Standards'!$B$2:$B$305,0))</f>
        <v>#N/A</v>
      </c>
      <c r="J211" t="str">
        <f>INDEX('GIS-Standards'!$O$2:$O$305,MATCH(B211,'GIS-Standards'!$B$2:$B$305,0))</f>
        <v>ISO/TC 211</v>
      </c>
      <c r="K211" t="e">
        <f>INDEX('GIS-Standards'!$O$2:$O$305,MATCH(C211,'GIS-Standards'!$B$2:$B$305,0))</f>
        <v>#N/A</v>
      </c>
      <c r="M211" t="s">
        <v>525</v>
      </c>
      <c r="N211">
        <f>INDEX('GIS-Standards'!$I$2:$I$305,MATCH(B211,'GIS-Standards'!$B$2:$B$305,0))</f>
        <v>0</v>
      </c>
      <c r="O211" t="e">
        <f>INDEX('GIS-Standards'!$I$2:$I$305,MATCH(C211,'GIS-Standards'!$B$2:$B$305,0))</f>
        <v>#N/A</v>
      </c>
      <c r="P211" t="e">
        <f>AND(TableRelationships12[[#This Row],[Source Type]]="BIM",TableRelationships12[[#This Row],[Target Type]]="BIM")</f>
        <v>#N/A</v>
      </c>
      <c r="Q211">
        <f t="shared" si="9"/>
        <v>1</v>
      </c>
      <c r="S211">
        <f t="shared" si="10"/>
        <v>1</v>
      </c>
      <c r="T211" s="102" t="str">
        <f>IF(TableRelationships12[[#This Row],[Rank Pedro]]="Low","linkCategory1",IF(TableRelationships12[[#This Row],[Rank Pedro]]="Medium","linkCategory2",IF(TableRelationships12[[#This Row],[Rank Pedro]]="High","linkCategory3","")))</f>
        <v/>
      </c>
      <c r="U211" s="102" t="str">
        <f>IF(TableRelationships12[[#This Row],[Rank Pedro]]="Low","Pink",IF(TableRelationships12[[#This Row],[Rank Pedro]]="Medium","Purple",IF(TableRelationships12[[#This Row],[Rank Pedro]]="High","Brown","")))</f>
        <v/>
      </c>
      <c r="V211" s="4" t="e">
        <f>MAX(INDEX(Standards!$F$2:$F$296,MATCH(B211,Standards!$B$2:$B$296,0)),INDEX(Standards!$F$2:$F$296,MATCH(C211,Standards!$B$2:$B$296,0)))</f>
        <v>#N/A</v>
      </c>
      <c r="W211" t="str">
        <f t="shared" si="11"/>
        <v>#2f89d1</v>
      </c>
    </row>
    <row r="212" spans="1:23" x14ac:dyDescent="0.5">
      <c r="A212" s="54">
        <v>211</v>
      </c>
      <c r="B212" s="90" t="s">
        <v>293</v>
      </c>
      <c r="C212" t="s">
        <v>128</v>
      </c>
      <c r="D212" s="1"/>
      <c r="E212" s="112">
        <v>1994.12</v>
      </c>
      <c r="F212" s="112">
        <v>2004.11</v>
      </c>
      <c r="G212" s="107" t="s">
        <v>1448</v>
      </c>
      <c r="H212">
        <f>INDEX('GIS-Standards'!$A$2:$A$305,MATCH(B212,'GIS-Standards'!$B$2:$B$305,0))</f>
        <v>10</v>
      </c>
      <c r="I212" t="e">
        <f>INDEX('GIS-Standards'!$A$2:$A$305,MATCH(C212,'GIS-Standards'!$B$2:$B$305,0))</f>
        <v>#N/A</v>
      </c>
      <c r="J212" t="str">
        <f>INDEX('GIS-Standards'!$O$2:$O$305,MATCH(B212,'GIS-Standards'!$B$2:$B$305,0))</f>
        <v>ISO/TC 211</v>
      </c>
      <c r="K212" t="e">
        <f>INDEX('GIS-Standards'!$O$2:$O$305,MATCH(C212,'GIS-Standards'!$B$2:$B$305,0))</f>
        <v>#N/A</v>
      </c>
      <c r="M212" t="s">
        <v>525</v>
      </c>
      <c r="N212">
        <f>INDEX('GIS-Standards'!$I$2:$I$305,MATCH(B212,'GIS-Standards'!$B$2:$B$305,0))</f>
        <v>0</v>
      </c>
      <c r="O212" t="e">
        <f>INDEX('GIS-Standards'!$I$2:$I$305,MATCH(C212,'GIS-Standards'!$B$2:$B$305,0))</f>
        <v>#N/A</v>
      </c>
      <c r="P212" t="e">
        <f>AND(TableRelationships12[[#This Row],[Source Type]]="BIM",TableRelationships12[[#This Row],[Target Type]]="BIM")</f>
        <v>#N/A</v>
      </c>
      <c r="Q212">
        <f t="shared" si="9"/>
        <v>1</v>
      </c>
      <c r="S212">
        <f t="shared" si="10"/>
        <v>1</v>
      </c>
      <c r="T212" s="102" t="str">
        <f>IF(TableRelationships12[[#This Row],[Rank Pedro]]="Low","linkCategory1",IF(TableRelationships12[[#This Row],[Rank Pedro]]="Medium","linkCategory2",IF(TableRelationships12[[#This Row],[Rank Pedro]]="High","linkCategory3","")))</f>
        <v/>
      </c>
      <c r="U212" s="102" t="str">
        <f>IF(TableRelationships12[[#This Row],[Rank Pedro]]="Low","Pink",IF(TableRelationships12[[#This Row],[Rank Pedro]]="Medium","Purple",IF(TableRelationships12[[#This Row],[Rank Pedro]]="High","Brown","")))</f>
        <v/>
      </c>
      <c r="V212" s="4">
        <f>MAX(INDEX(Standards!$F$2:$F$296,MATCH(B212,Standards!$B$2:$B$296,0)),INDEX(Standards!$F$2:$F$296,MATCH(C212,Standards!$B$2:$B$296,0)))</f>
        <v>37438</v>
      </c>
      <c r="W212" t="str">
        <f t="shared" si="11"/>
        <v>#2f89d1</v>
      </c>
    </row>
    <row r="213" spans="1:23" x14ac:dyDescent="0.5">
      <c r="A213" s="54">
        <v>212</v>
      </c>
      <c r="B213" s="90" t="s">
        <v>293</v>
      </c>
      <c r="C213" t="s">
        <v>1072</v>
      </c>
      <c r="D213" s="1" t="s">
        <v>1172</v>
      </c>
      <c r="E213" s="113">
        <v>2011.07</v>
      </c>
      <c r="F213" s="113">
        <v>2020.03</v>
      </c>
      <c r="G213" s="107" t="s">
        <v>1456</v>
      </c>
      <c r="H213">
        <f>INDEX('GIS-Standards'!$A$2:$A$305,MATCH(B213,'GIS-Standards'!$B$2:$B$305,0))</f>
        <v>10</v>
      </c>
      <c r="I213" t="e">
        <f>INDEX('GIS-Standards'!$A$2:$A$305,MATCH(C213,'GIS-Standards'!$B$2:$B$305,0))</f>
        <v>#N/A</v>
      </c>
      <c r="J213" t="str">
        <f>INDEX('GIS-Standards'!$O$2:$O$305,MATCH(B213,'GIS-Standards'!$B$2:$B$305,0))</f>
        <v>ISO/TC 211</v>
      </c>
      <c r="K213" t="e">
        <f>INDEX('GIS-Standards'!$O$2:$O$305,MATCH(C213,'GIS-Standards'!$B$2:$B$305,0))</f>
        <v>#N/A</v>
      </c>
      <c r="M213" t="s">
        <v>525</v>
      </c>
      <c r="N213">
        <f>INDEX('GIS-Standards'!$I$2:$I$305,MATCH(B213,'GIS-Standards'!$B$2:$B$305,0))</f>
        <v>0</v>
      </c>
      <c r="O213" t="e">
        <f>INDEX('GIS-Standards'!$I$2:$I$305,MATCH(C213,'GIS-Standards'!$B$2:$B$305,0))</f>
        <v>#N/A</v>
      </c>
      <c r="P213" t="e">
        <f>AND(TableRelationships12[[#This Row],[Source Type]]="BIM",TableRelationships12[[#This Row],[Target Type]]="BIM")</f>
        <v>#N/A</v>
      </c>
      <c r="Q213">
        <f t="shared" si="9"/>
        <v>1</v>
      </c>
      <c r="S213">
        <f t="shared" si="10"/>
        <v>1</v>
      </c>
      <c r="T213" s="102" t="str">
        <f>IF(TableRelationships12[[#This Row],[Rank Pedro]]="Low","linkCategory1",IF(TableRelationships12[[#This Row],[Rank Pedro]]="Medium","linkCategory2",IF(TableRelationships12[[#This Row],[Rank Pedro]]="High","linkCategory3","")))</f>
        <v/>
      </c>
      <c r="U213" s="102" t="str">
        <f>IF(TableRelationships12[[#This Row],[Rank Pedro]]="Low","Pink",IF(TableRelationships12[[#This Row],[Rank Pedro]]="Medium","Purple",IF(TableRelationships12[[#This Row],[Rank Pedro]]="High","Brown","")))</f>
        <v/>
      </c>
      <c r="V213" s="4" t="e">
        <f>MAX(INDEX(Standards!$F$2:$F$296,MATCH(B213,Standards!$B$2:$B$296,0)),INDEX(Standards!$F$2:$F$296,MATCH(C213,Standards!$B$2:$B$296,0)))</f>
        <v>#N/A</v>
      </c>
      <c r="W213" t="str">
        <f t="shared" si="11"/>
        <v>#2f89d1</v>
      </c>
    </row>
    <row r="214" spans="1:23" x14ac:dyDescent="0.5">
      <c r="A214" s="54">
        <v>213</v>
      </c>
      <c r="B214" s="90" t="s">
        <v>293</v>
      </c>
      <c r="C214" t="s">
        <v>1073</v>
      </c>
      <c r="D214" s="1" t="s">
        <v>1172</v>
      </c>
      <c r="E214" s="113">
        <v>2011.07</v>
      </c>
      <c r="F214" s="113">
        <v>2020.11</v>
      </c>
      <c r="G214" s="107" t="s">
        <v>1456</v>
      </c>
      <c r="H214">
        <f>INDEX('GIS-Standards'!$A$2:$A$305,MATCH(B214,'GIS-Standards'!$B$2:$B$305,0))</f>
        <v>10</v>
      </c>
      <c r="I214" t="e">
        <f>INDEX('GIS-Standards'!$A$2:$A$305,MATCH(C214,'GIS-Standards'!$B$2:$B$305,0))</f>
        <v>#N/A</v>
      </c>
      <c r="J214" t="str">
        <f>INDEX('GIS-Standards'!$O$2:$O$305,MATCH(B214,'GIS-Standards'!$B$2:$B$305,0))</f>
        <v>ISO/TC 211</v>
      </c>
      <c r="K214" t="e">
        <f>INDEX('GIS-Standards'!$O$2:$O$305,MATCH(C214,'GIS-Standards'!$B$2:$B$305,0))</f>
        <v>#N/A</v>
      </c>
      <c r="M214" t="s">
        <v>525</v>
      </c>
      <c r="N214">
        <f>INDEX('GIS-Standards'!$I$2:$I$305,MATCH(B214,'GIS-Standards'!$B$2:$B$305,0))</f>
        <v>0</v>
      </c>
      <c r="O214" t="e">
        <f>INDEX('GIS-Standards'!$I$2:$I$305,MATCH(C214,'GIS-Standards'!$B$2:$B$305,0))</f>
        <v>#N/A</v>
      </c>
      <c r="P214" t="e">
        <f>AND(TableRelationships12[[#This Row],[Source Type]]="BIM",TableRelationships12[[#This Row],[Target Type]]="BIM")</f>
        <v>#N/A</v>
      </c>
      <c r="Q214">
        <f t="shared" si="9"/>
        <v>1</v>
      </c>
      <c r="S214">
        <f t="shared" si="10"/>
        <v>1</v>
      </c>
      <c r="T214" s="102" t="str">
        <f>IF(TableRelationships12[[#This Row],[Rank Pedro]]="Low","linkCategory1",IF(TableRelationships12[[#This Row],[Rank Pedro]]="Medium","linkCategory2",IF(TableRelationships12[[#This Row],[Rank Pedro]]="High","linkCategory3","")))</f>
        <v/>
      </c>
      <c r="U214" s="102" t="str">
        <f>IF(TableRelationships12[[#This Row],[Rank Pedro]]="Low","Pink",IF(TableRelationships12[[#This Row],[Rank Pedro]]="Medium","Purple",IF(TableRelationships12[[#This Row],[Rank Pedro]]="High","Brown","")))</f>
        <v/>
      </c>
      <c r="V214" s="4" t="e">
        <f>MAX(INDEX(Standards!$F$2:$F$296,MATCH(B214,Standards!$B$2:$B$296,0)),INDEX(Standards!$F$2:$F$296,MATCH(C214,Standards!$B$2:$B$296,0)))</f>
        <v>#N/A</v>
      </c>
      <c r="W214" t="str">
        <f t="shared" si="11"/>
        <v>#2f89d1</v>
      </c>
    </row>
    <row r="215" spans="1:23" x14ac:dyDescent="0.5">
      <c r="A215" s="54">
        <v>214</v>
      </c>
      <c r="B215" s="90" t="s">
        <v>293</v>
      </c>
      <c r="C215" t="s">
        <v>206</v>
      </c>
      <c r="D215" s="1" t="s">
        <v>1126</v>
      </c>
      <c r="E215" s="112">
        <v>2003.11</v>
      </c>
      <c r="F215" s="112">
        <v>2017.05</v>
      </c>
      <c r="G215" s="107" t="s">
        <v>1458</v>
      </c>
      <c r="H215">
        <f>INDEX('GIS-Standards'!$A$2:$A$305,MATCH(B215,'GIS-Standards'!$B$2:$B$305,0))</f>
        <v>10</v>
      </c>
      <c r="I215" t="e">
        <f>INDEX('GIS-Standards'!$A$2:$A$305,MATCH(D215,'GIS-Standards'!$B$2:$B$305,0))</f>
        <v>#N/A</v>
      </c>
      <c r="J215" t="str">
        <f>INDEX('GIS-Standards'!$O$2:$O$305,MATCH(B215,'GIS-Standards'!$B$2:$B$305,0))</f>
        <v>ISO/TC 211</v>
      </c>
      <c r="K215" t="e">
        <f>INDEX('GIS-Standards'!$O$2:$O$305,MATCH(D215,'GIS-Standards'!$B$2:$B$305,0))</f>
        <v>#N/A</v>
      </c>
      <c r="M215" t="s">
        <v>525</v>
      </c>
      <c r="N215">
        <f>INDEX('GIS-Standards'!$I$2:$I$305,MATCH(B215,'GIS-Standards'!$B$2:$B$305,0))</f>
        <v>0</v>
      </c>
      <c r="O215" t="e">
        <f>INDEX('GIS-Standards'!$I$2:$I$305,MATCH(D215,'GIS-Standards'!$B$2:$B$305,0))</f>
        <v>#N/A</v>
      </c>
      <c r="P215" t="e">
        <f>AND(TableRelationships12[[#This Row],[Source Type]]="BIM",TableRelationships12[[#This Row],[Target Type]]="BIM")</f>
        <v>#N/A</v>
      </c>
      <c r="Q215">
        <f t="shared" si="9"/>
        <v>1</v>
      </c>
      <c r="S215">
        <f t="shared" si="10"/>
        <v>1</v>
      </c>
      <c r="T215" s="102" t="str">
        <f>IF(TableRelationships12[[#This Row],[Rank Pedro]]="Low","linkCategory1",IF(TableRelationships12[[#This Row],[Rank Pedro]]="Medium","linkCategory2",IF(TableRelationships12[[#This Row],[Rank Pedro]]="High","linkCategory3","")))</f>
        <v/>
      </c>
      <c r="U215" s="102" t="str">
        <f>IF(TableRelationships12[[#This Row],[Rank Pedro]]="Low","Pink",IF(TableRelationships12[[#This Row],[Rank Pedro]]="Medium","Purple",IF(TableRelationships12[[#This Row],[Rank Pedro]]="High","Brown","")))</f>
        <v/>
      </c>
      <c r="V215" s="4" t="e">
        <f>MAX(INDEX(Standards!$F$2:$F$296,MATCH(B215,Standards!$B$2:$B$296,0)),INDEX(Standards!$F$2:$F$296,MATCH(D215,Standards!$B$2:$B$296,0)))</f>
        <v>#N/A</v>
      </c>
      <c r="W215" t="str">
        <f t="shared" si="11"/>
        <v>#2f89d1</v>
      </c>
    </row>
    <row r="216" spans="1:23" x14ac:dyDescent="0.5">
      <c r="A216" s="54">
        <v>215</v>
      </c>
      <c r="B216" s="90" t="s">
        <v>293</v>
      </c>
      <c r="C216" t="s">
        <v>1241</v>
      </c>
      <c r="D216" s="1" t="s">
        <v>1126</v>
      </c>
      <c r="E216" s="112">
        <v>2003.11</v>
      </c>
      <c r="F216" s="112">
        <v>2019.02</v>
      </c>
      <c r="G216" s="107"/>
      <c r="H216">
        <f>INDEX('GIS-Standards'!$A$2:$A$305,MATCH(B216,'GIS-Standards'!$B$2:$B$305,0))</f>
        <v>10</v>
      </c>
      <c r="I216" t="e">
        <f>INDEX('GIS-Standards'!$A$2:$A$305,MATCH(C216,'GIS-Standards'!$B$2:$B$305,0))</f>
        <v>#N/A</v>
      </c>
      <c r="J216" t="str">
        <f>INDEX('GIS-Standards'!$O$2:$O$305,MATCH(B216,'GIS-Standards'!$B$2:$B$305,0))</f>
        <v>ISO/TC 211</v>
      </c>
      <c r="K216" t="e">
        <f>INDEX('GIS-Standards'!$O$2:$O$305,MATCH(C216,'GIS-Standards'!$B$2:$B$305,0))</f>
        <v>#N/A</v>
      </c>
      <c r="M216" t="s">
        <v>525</v>
      </c>
      <c r="N216">
        <f>INDEX('GIS-Standards'!$I$2:$I$305,MATCH(B216,'GIS-Standards'!$B$2:$B$305,0))</f>
        <v>0</v>
      </c>
      <c r="O216" t="e">
        <f>INDEX('GIS-Standards'!$I$2:$I$305,MATCH(C216,'GIS-Standards'!$B$2:$B$305,0))</f>
        <v>#N/A</v>
      </c>
      <c r="P216" t="e">
        <f>AND(TableRelationships12[[#This Row],[Source Type]]="BIM",TableRelationships12[[#This Row],[Target Type]]="BIM")</f>
        <v>#N/A</v>
      </c>
      <c r="Q216">
        <f t="shared" si="9"/>
        <v>1</v>
      </c>
      <c r="S216">
        <f t="shared" si="10"/>
        <v>1</v>
      </c>
      <c r="T216" s="102" t="str">
        <f>IF(TableRelationships12[[#This Row],[Rank Pedro]]="Low","linkCategory1",IF(TableRelationships12[[#This Row],[Rank Pedro]]="Medium","linkCategory2",IF(TableRelationships12[[#This Row],[Rank Pedro]]="High","linkCategory3","")))</f>
        <v/>
      </c>
      <c r="U216" s="102" t="str">
        <f>IF(TableRelationships12[[#This Row],[Rank Pedro]]="Low","Pink",IF(TableRelationships12[[#This Row],[Rank Pedro]]="Medium","Purple",IF(TableRelationships12[[#This Row],[Rank Pedro]]="High","Brown","")))</f>
        <v/>
      </c>
      <c r="V216" s="4" t="e">
        <f>MAX(INDEX(Standards!$F$2:$F$296,MATCH(B216,Standards!$B$2:$B$296,0)),INDEX(Standards!$F$2:$F$296,MATCH(C216,Standards!$B$2:$B$296,0)))</f>
        <v>#N/A</v>
      </c>
      <c r="W216" t="str">
        <f t="shared" si="11"/>
        <v>#2f89d1</v>
      </c>
    </row>
    <row r="217" spans="1:23" x14ac:dyDescent="0.5">
      <c r="A217" s="54">
        <v>216</v>
      </c>
      <c r="B217" s="90" t="s">
        <v>293</v>
      </c>
      <c r="C217" t="s">
        <v>1040</v>
      </c>
      <c r="D217" s="1"/>
      <c r="E217" s="112">
        <v>2004.07</v>
      </c>
      <c r="F217" s="112">
        <v>2004.07</v>
      </c>
      <c r="G217" s="107" t="s">
        <v>670</v>
      </c>
      <c r="H217">
        <f>INDEX('GIS-Standards'!$A$2:$A$305,MATCH(B217,'GIS-Standards'!$B$2:$B$305,0))</f>
        <v>10</v>
      </c>
      <c r="I217">
        <f>INDEX('GIS-Standards'!$A$2:$A$305,MATCH(C217,'GIS-Standards'!$B$2:$B$305,0))</f>
        <v>15</v>
      </c>
      <c r="J217" t="str">
        <f>INDEX('GIS-Standards'!$O$2:$O$305,MATCH(B217,'GIS-Standards'!$B$2:$B$305,0))</f>
        <v>ISO/TC 211</v>
      </c>
      <c r="K217" t="str">
        <f>INDEX('GIS-Standards'!$O$2:$O$305,MATCH(C217,'GIS-Standards'!$B$2:$B$305,0))</f>
        <v>ISO/TC 211</v>
      </c>
      <c r="M217" t="s">
        <v>525</v>
      </c>
      <c r="N217">
        <f>INDEX('GIS-Standards'!$I$2:$I$305,MATCH(B217,'GIS-Standards'!$B$2:$B$305,0))</f>
        <v>0</v>
      </c>
      <c r="O217">
        <f>INDEX('GIS-Standards'!$I$2:$I$305,MATCH(C217,'GIS-Standards'!$B$2:$B$305,0))</f>
        <v>0</v>
      </c>
      <c r="P217" t="b">
        <f>AND(TableRelationships12[[#This Row],[Source Type]]="BIM",TableRelationships12[[#This Row],[Target Type]]="BIM")</f>
        <v>0</v>
      </c>
      <c r="Q217">
        <f t="shared" si="9"/>
        <v>1</v>
      </c>
      <c r="S217">
        <f t="shared" si="10"/>
        <v>1</v>
      </c>
      <c r="T217" s="102" t="str">
        <f>IF(TableRelationships12[[#This Row],[Rank Pedro]]="Low","linkCategory1",IF(TableRelationships12[[#This Row],[Rank Pedro]]="Medium","linkCategory2",IF(TableRelationships12[[#This Row],[Rank Pedro]]="High","linkCategory3","")))</f>
        <v/>
      </c>
      <c r="U217" s="102" t="str">
        <f>IF(TableRelationships12[[#This Row],[Rank Pedro]]="Low","Pink",IF(TableRelationships12[[#This Row],[Rank Pedro]]="Medium","Purple",IF(TableRelationships12[[#This Row],[Rank Pedro]]="High","Brown","")))</f>
        <v/>
      </c>
      <c r="V217" s="4" t="e">
        <f>MAX(INDEX(Standards!$F$2:$F$296,MATCH(B217,Standards!$B$2:$B$296,0)),INDEX(Standards!$F$2:$F$296,MATCH(C217,Standards!$B$2:$B$296,0)))</f>
        <v>#N/A</v>
      </c>
      <c r="W217" t="str">
        <f t="shared" si="11"/>
        <v>#2f89d1</v>
      </c>
    </row>
    <row r="218" spans="1:23" x14ac:dyDescent="0.5">
      <c r="A218" s="54">
        <v>217</v>
      </c>
      <c r="B218" s="90" t="s">
        <v>293</v>
      </c>
      <c r="C218" t="s">
        <v>306</v>
      </c>
      <c r="D218" s="1"/>
      <c r="E218" s="112">
        <v>2005.06</v>
      </c>
      <c r="F218" s="112">
        <v>2025.07</v>
      </c>
      <c r="G218" s="107" t="s">
        <v>670</v>
      </c>
      <c r="H218">
        <f>INDEX('GIS-Standards'!$A$2:$A$305,MATCH(B218,'GIS-Standards'!$B$2:$B$305,0))</f>
        <v>10</v>
      </c>
      <c r="I218">
        <f>INDEX('GIS-Standards'!$A$2:$A$305,MATCH(C218,'GIS-Standards'!$B$2:$B$305,0))</f>
        <v>18</v>
      </c>
      <c r="J218" t="str">
        <f>INDEX('GIS-Standards'!$O$2:$O$305,MATCH(B218,'GIS-Standards'!$B$2:$B$305,0))</f>
        <v>ISO/TC 211</v>
      </c>
      <c r="K218" t="str">
        <f>INDEX('GIS-Standards'!$O$2:$O$305,MATCH(C218,'GIS-Standards'!$B$2:$B$305,0))</f>
        <v>ISO/TC 211</v>
      </c>
      <c r="M218" t="s">
        <v>525</v>
      </c>
      <c r="N218">
        <f>INDEX('GIS-Standards'!$I$2:$I$305,MATCH(B218,'GIS-Standards'!$B$2:$B$305,0))</f>
        <v>0</v>
      </c>
      <c r="O218">
        <f>INDEX('GIS-Standards'!$I$2:$I$305,MATCH(C218,'GIS-Standards'!$B$2:$B$305,0))</f>
        <v>0</v>
      </c>
      <c r="P218" t="b">
        <f>AND(TableRelationships12[[#This Row],[Source Type]]="BIM",TableRelationships12[[#This Row],[Target Type]]="BIM")</f>
        <v>0</v>
      </c>
      <c r="Q218">
        <f t="shared" si="9"/>
        <v>1</v>
      </c>
      <c r="S218">
        <f t="shared" si="10"/>
        <v>1</v>
      </c>
      <c r="T218" s="102" t="str">
        <f>IF(TableRelationships12[[#This Row],[Rank Pedro]]="Low","linkCategory1",IF(TableRelationships12[[#This Row],[Rank Pedro]]="Medium","linkCategory2",IF(TableRelationships12[[#This Row],[Rank Pedro]]="High","linkCategory3","")))</f>
        <v/>
      </c>
      <c r="U218" s="102" t="str">
        <f>IF(TableRelationships12[[#This Row],[Rank Pedro]]="Low","Pink",IF(TableRelationships12[[#This Row],[Rank Pedro]]="Medium","Purple",IF(TableRelationships12[[#This Row],[Rank Pedro]]="High","Brown","")))</f>
        <v/>
      </c>
      <c r="V218" s="4">
        <f>MAX(INDEX(Standards!$F$2:$F$296,MATCH(B218,Standards!$B$2:$B$296,0)),INDEX(Standards!$F$2:$F$296,MATCH(C218,Standards!$B$2:$B$296,0)))</f>
        <v>38504</v>
      </c>
      <c r="W218" t="str">
        <f t="shared" si="11"/>
        <v>#2f89d1</v>
      </c>
    </row>
    <row r="219" spans="1:23" x14ac:dyDescent="0.5">
      <c r="A219" s="54">
        <v>218</v>
      </c>
      <c r="B219" s="90" t="s">
        <v>293</v>
      </c>
      <c r="C219" t="s">
        <v>316</v>
      </c>
      <c r="D219" s="1"/>
      <c r="E219" s="112">
        <v>2005.07</v>
      </c>
      <c r="F219" s="112">
        <v>2011.1</v>
      </c>
      <c r="G219" s="107" t="s">
        <v>670</v>
      </c>
      <c r="H219">
        <f>INDEX('GIS-Standards'!$A$2:$A$305,MATCH(B219,'GIS-Standards'!$B$2:$B$305,0))</f>
        <v>10</v>
      </c>
      <c r="I219">
        <f>INDEX('GIS-Standards'!$A$2:$A$305,MATCH(C219,'GIS-Standards'!$B$2:$B$305,0))</f>
        <v>27</v>
      </c>
      <c r="J219" t="str">
        <f>INDEX('GIS-Standards'!$O$2:$O$305,MATCH(B219,'GIS-Standards'!$B$2:$B$305,0))</f>
        <v>ISO/TC 211</v>
      </c>
      <c r="K219" t="str">
        <f>INDEX('GIS-Standards'!$O$2:$O$305,MATCH(C219,'GIS-Standards'!$B$2:$B$305,0))</f>
        <v>ISO/TC 211</v>
      </c>
      <c r="M219" t="s">
        <v>525</v>
      </c>
      <c r="N219">
        <f>INDEX('GIS-Standards'!$I$2:$I$305,MATCH(B219,'GIS-Standards'!$B$2:$B$305,0))</f>
        <v>0</v>
      </c>
      <c r="O219">
        <f>INDEX('GIS-Standards'!$I$2:$I$305,MATCH(C219,'GIS-Standards'!$B$2:$B$305,0))</f>
        <v>0</v>
      </c>
      <c r="P219" t="b">
        <f>AND(TableRelationships12[[#This Row],[Source Type]]="BIM",TableRelationships12[[#This Row],[Target Type]]="BIM")</f>
        <v>0</v>
      </c>
      <c r="Q219">
        <f t="shared" si="9"/>
        <v>1</v>
      </c>
      <c r="S219">
        <f t="shared" si="10"/>
        <v>1</v>
      </c>
      <c r="T219" s="102" t="str">
        <f>IF(TableRelationships12[[#This Row],[Rank Pedro]]="Low","linkCategory1",IF(TableRelationships12[[#This Row],[Rank Pedro]]="Medium","linkCategory2",IF(TableRelationships12[[#This Row],[Rank Pedro]]="High","linkCategory3","")))</f>
        <v/>
      </c>
      <c r="U219" s="102" t="str">
        <f>IF(TableRelationships12[[#This Row],[Rank Pedro]]="Low","Pink",IF(TableRelationships12[[#This Row],[Rank Pedro]]="Medium","Purple",IF(TableRelationships12[[#This Row],[Rank Pedro]]="High","Brown","")))</f>
        <v/>
      </c>
      <c r="V219" s="4">
        <f>MAX(INDEX(Standards!$F$2:$F$296,MATCH(B219,Standards!$B$2:$B$296,0)),INDEX(Standards!$F$2:$F$296,MATCH(C219,Standards!$B$2:$B$296,0)))</f>
        <v>38534</v>
      </c>
      <c r="W219" t="str">
        <f t="shared" si="11"/>
        <v>#2f89d1</v>
      </c>
    </row>
    <row r="220" spans="1:23" x14ac:dyDescent="0.5">
      <c r="A220" s="54">
        <v>219</v>
      </c>
      <c r="B220" s="90" t="s">
        <v>293</v>
      </c>
      <c r="C220" t="s">
        <v>318</v>
      </c>
      <c r="D220" s="1"/>
      <c r="E220" s="112">
        <v>2005.02</v>
      </c>
      <c r="F220" s="112">
        <v>2016.01</v>
      </c>
      <c r="G220" s="107" t="s">
        <v>670</v>
      </c>
      <c r="H220">
        <f>INDEX('GIS-Standards'!$A$2:$A$305,MATCH(B220,'GIS-Standards'!$B$2:$B$305,0))</f>
        <v>10</v>
      </c>
      <c r="I220">
        <f>INDEX('GIS-Standards'!$A$2:$A$305,MATCH(C220,'GIS-Standards'!$B$2:$B$305,0))</f>
        <v>28</v>
      </c>
      <c r="J220" t="str">
        <f>INDEX('GIS-Standards'!$O$2:$O$305,MATCH(B220,'GIS-Standards'!$B$2:$B$305,0))</f>
        <v>ISO/TC 211</v>
      </c>
      <c r="K220" t="str">
        <f>INDEX('GIS-Standards'!$O$2:$O$305,MATCH(C220,'GIS-Standards'!$B$2:$B$305,0))</f>
        <v>ISO/TC 211</v>
      </c>
      <c r="M220" t="s">
        <v>525</v>
      </c>
      <c r="N220">
        <f>INDEX('GIS-Standards'!$I$2:$I$305,MATCH(B220,'GIS-Standards'!$B$2:$B$305,0))</f>
        <v>0</v>
      </c>
      <c r="O220">
        <f>INDEX('GIS-Standards'!$I$2:$I$305,MATCH(C220,'GIS-Standards'!$B$2:$B$305,0))</f>
        <v>0</v>
      </c>
      <c r="P220" t="b">
        <f>AND(TableRelationships12[[#This Row],[Source Type]]="BIM",TableRelationships12[[#This Row],[Target Type]]="BIM")</f>
        <v>0</v>
      </c>
      <c r="Q220">
        <f t="shared" si="9"/>
        <v>1</v>
      </c>
      <c r="S220">
        <f t="shared" si="10"/>
        <v>1</v>
      </c>
      <c r="T220" s="102" t="str">
        <f>IF(TableRelationships12[[#This Row],[Rank Pedro]]="Low","linkCategory1",IF(TableRelationships12[[#This Row],[Rank Pedro]]="Medium","linkCategory2",IF(TableRelationships12[[#This Row],[Rank Pedro]]="High","linkCategory3","")))</f>
        <v/>
      </c>
      <c r="U220" s="102" t="str">
        <f>IF(TableRelationships12[[#This Row],[Rank Pedro]]="Low","Pink",IF(TableRelationships12[[#This Row],[Rank Pedro]]="Medium","Purple",IF(TableRelationships12[[#This Row],[Rank Pedro]]="High","Brown","")))</f>
        <v/>
      </c>
      <c r="V220" s="4">
        <f>MAX(INDEX(Standards!$F$2:$F$296,MATCH(B220,Standards!$B$2:$B$296,0)),INDEX(Standards!$F$2:$F$296,MATCH(C220,Standards!$B$2:$B$296,0)))</f>
        <v>38384</v>
      </c>
      <c r="W220" t="str">
        <f t="shared" si="11"/>
        <v>#2f89d1</v>
      </c>
    </row>
    <row r="221" spans="1:23" x14ac:dyDescent="0.5">
      <c r="A221" s="54">
        <v>220</v>
      </c>
      <c r="B221" s="90" t="s">
        <v>293</v>
      </c>
      <c r="C221" t="s">
        <v>334</v>
      </c>
      <c r="D221" s="1" t="s">
        <v>1036</v>
      </c>
      <c r="E221" s="113">
        <v>2007.09</v>
      </c>
      <c r="F221" s="113">
        <v>2020.01</v>
      </c>
      <c r="G221" s="107" t="s">
        <v>670</v>
      </c>
      <c r="H221">
        <f>INDEX('GIS-Standards'!$A$2:$A$305,MATCH(B221,'GIS-Standards'!$B$2:$B$305,0))</f>
        <v>10</v>
      </c>
      <c r="I221">
        <f>INDEX('GIS-Standards'!$A$2:$A$305,MATCH(C221,'GIS-Standards'!$B$2:$B$305,0))</f>
        <v>42</v>
      </c>
      <c r="J221" t="str">
        <f>INDEX('GIS-Standards'!$O$2:$O$305,MATCH(B221,'GIS-Standards'!$B$2:$B$305,0))</f>
        <v>ISO/TC 211</v>
      </c>
      <c r="K221" t="str">
        <f>INDEX('GIS-Standards'!$O$2:$O$305,MATCH(C221,'GIS-Standards'!$B$2:$B$305,0))</f>
        <v>ISO/TC 211</v>
      </c>
      <c r="M221" t="s">
        <v>525</v>
      </c>
      <c r="N221">
        <f>INDEX('GIS-Standards'!$I$2:$I$305,MATCH(B221,'GIS-Standards'!$B$2:$B$305,0))</f>
        <v>0</v>
      </c>
      <c r="O221">
        <f>INDEX('GIS-Standards'!$I$2:$I$305,MATCH(C221,'GIS-Standards'!$B$2:$B$305,0))</f>
        <v>0</v>
      </c>
      <c r="P221" t="b">
        <f>AND(TableRelationships12[[#This Row],[Source Type]]="BIM",TableRelationships12[[#This Row],[Target Type]]="BIM")</f>
        <v>0</v>
      </c>
      <c r="Q221">
        <f t="shared" si="9"/>
        <v>1</v>
      </c>
      <c r="S221">
        <f t="shared" si="10"/>
        <v>1</v>
      </c>
      <c r="T221" s="102" t="str">
        <f>IF(TableRelationships12[[#This Row],[Rank Pedro]]="Low","linkCategory1",IF(TableRelationships12[[#This Row],[Rank Pedro]]="Medium","linkCategory2",IF(TableRelationships12[[#This Row],[Rank Pedro]]="High","linkCategory3","")))</f>
        <v/>
      </c>
      <c r="U221" s="102" t="str">
        <f>IF(TableRelationships12[[#This Row],[Rank Pedro]]="Low","Pink",IF(TableRelationships12[[#This Row],[Rank Pedro]]="Medium","Purple",IF(TableRelationships12[[#This Row],[Rank Pedro]]="High","Brown","")))</f>
        <v/>
      </c>
      <c r="V221" s="4">
        <f>MAX(INDEX(Standards!$F$2:$F$296,MATCH(B221,Standards!$B$2:$B$296,0)),INDEX(Standards!$F$2:$F$296,MATCH(C221,Standards!$B$2:$B$296,0)))</f>
        <v>39326</v>
      </c>
      <c r="W221" t="str">
        <f t="shared" si="11"/>
        <v>#2f89d1</v>
      </c>
    </row>
    <row r="222" spans="1:23" x14ac:dyDescent="0.5">
      <c r="A222" s="54">
        <v>221</v>
      </c>
      <c r="B222" s="90" t="s">
        <v>293</v>
      </c>
      <c r="C222" t="s">
        <v>346</v>
      </c>
      <c r="D222" s="1"/>
      <c r="E222" s="112">
        <v>2015.07</v>
      </c>
      <c r="F222" s="112">
        <v>2019.01</v>
      </c>
      <c r="G222" s="107" t="s">
        <v>670</v>
      </c>
      <c r="H222">
        <f>INDEX('GIS-Standards'!$A$2:$A$305,MATCH(B222,'GIS-Standards'!$B$2:$B$305,0))</f>
        <v>10</v>
      </c>
      <c r="I222">
        <f>INDEX('GIS-Standards'!$A$2:$A$305,MATCH(C222,'GIS-Standards'!$B$2:$B$305,0))</f>
        <v>54</v>
      </c>
      <c r="J222" t="str">
        <f>INDEX('GIS-Standards'!$O$2:$O$305,MATCH(B222,'GIS-Standards'!$B$2:$B$305,0))</f>
        <v>ISO/TC 211</v>
      </c>
      <c r="K222" t="str">
        <f>INDEX('GIS-Standards'!$O$2:$O$305,MATCH(C222,'GIS-Standards'!$B$2:$B$305,0))</f>
        <v>ISO/TC 211</v>
      </c>
      <c r="M222" t="s">
        <v>525</v>
      </c>
      <c r="N222">
        <f>INDEX('GIS-Standards'!$I$2:$I$305,MATCH(B222,'GIS-Standards'!$B$2:$B$305,0))</f>
        <v>0</v>
      </c>
      <c r="O222" t="str">
        <f>INDEX('GIS-Standards'!$I$2:$I$305,MATCH(C222,'GIS-Standards'!$B$2:$B$305,0))</f>
        <v>01.2019</v>
      </c>
      <c r="P222" t="b">
        <f>AND(TableRelationships12[[#This Row],[Source Type]]="BIM",TableRelationships12[[#This Row],[Target Type]]="BIM")</f>
        <v>0</v>
      </c>
      <c r="Q222">
        <f t="shared" si="9"/>
        <v>1</v>
      </c>
      <c r="S222">
        <f t="shared" si="10"/>
        <v>1</v>
      </c>
      <c r="T222" s="102" t="str">
        <f>IF(TableRelationships12[[#This Row],[Rank Pedro]]="Low","linkCategory1",IF(TableRelationships12[[#This Row],[Rank Pedro]]="Medium","linkCategory2",IF(TableRelationships12[[#This Row],[Rank Pedro]]="High","linkCategory3","")))</f>
        <v/>
      </c>
      <c r="U222" s="102" t="str">
        <f>IF(TableRelationships12[[#This Row],[Rank Pedro]]="Low","Pink",IF(TableRelationships12[[#This Row],[Rank Pedro]]="Medium","Purple",IF(TableRelationships12[[#This Row],[Rank Pedro]]="High","Brown","")))</f>
        <v/>
      </c>
      <c r="V222" s="4">
        <f>MAX(INDEX(Standards!$F$2:$F$296,MATCH(B222,Standards!$B$2:$B$296,0)),INDEX(Standards!$F$2:$F$296,MATCH(C222,Standards!$B$2:$B$296,0)))</f>
        <v>42186</v>
      </c>
      <c r="W222" t="str">
        <f t="shared" si="11"/>
        <v>#2f89d1</v>
      </c>
    </row>
    <row r="223" spans="1:23" x14ac:dyDescent="0.5">
      <c r="A223" s="54">
        <v>222</v>
      </c>
      <c r="B223" s="90" t="s">
        <v>293</v>
      </c>
      <c r="C223" t="s">
        <v>1074</v>
      </c>
      <c r="D223" s="1"/>
      <c r="E223" s="112">
        <v>1987.07</v>
      </c>
      <c r="F223" s="112">
        <v>1987.07</v>
      </c>
      <c r="G223" s="107" t="s">
        <v>1489</v>
      </c>
      <c r="H223">
        <f>INDEX('GIS-Standards'!$A$2:$A$305,MATCH(B223,'GIS-Standards'!$B$2:$B$305,0))</f>
        <v>10</v>
      </c>
      <c r="I223" t="e">
        <f>INDEX('GIS-Standards'!$A$2:$A$305,MATCH(C223,'GIS-Standards'!$B$2:$B$305,0))</f>
        <v>#N/A</v>
      </c>
      <c r="J223" t="str">
        <f>INDEX('GIS-Standards'!$O$2:$O$305,MATCH(B223,'GIS-Standards'!$B$2:$B$305,0))</f>
        <v>ISO/TC 211</v>
      </c>
      <c r="K223" t="e">
        <f>INDEX('GIS-Standards'!$O$2:$O$305,MATCH(C223,'GIS-Standards'!$B$2:$B$305,0))</f>
        <v>#N/A</v>
      </c>
      <c r="M223" t="s">
        <v>525</v>
      </c>
      <c r="N223">
        <f>INDEX('GIS-Standards'!$I$2:$I$305,MATCH(B223,'GIS-Standards'!$B$2:$B$305,0))</f>
        <v>0</v>
      </c>
      <c r="O223" t="e">
        <f>INDEX('GIS-Standards'!$I$2:$I$305,MATCH(C223,'GIS-Standards'!$B$2:$B$305,0))</f>
        <v>#N/A</v>
      </c>
      <c r="P223" t="e">
        <f>AND(TableRelationships12[[#This Row],[Source Type]]="BIM",TableRelationships12[[#This Row],[Target Type]]="BIM")</f>
        <v>#N/A</v>
      </c>
      <c r="Q223">
        <f t="shared" si="9"/>
        <v>1</v>
      </c>
      <c r="S223">
        <f t="shared" si="10"/>
        <v>1</v>
      </c>
      <c r="T223" s="102" t="str">
        <f>IF(TableRelationships12[[#This Row],[Rank Pedro]]="Low","linkCategory1",IF(TableRelationships12[[#This Row],[Rank Pedro]]="Medium","linkCategory2",IF(TableRelationships12[[#This Row],[Rank Pedro]]="High","linkCategory3","")))</f>
        <v/>
      </c>
      <c r="U223" s="102" t="str">
        <f>IF(TableRelationships12[[#This Row],[Rank Pedro]]="Low","Pink",IF(TableRelationships12[[#This Row],[Rank Pedro]]="Medium","Purple",IF(TableRelationships12[[#This Row],[Rank Pedro]]="High","Brown","")))</f>
        <v/>
      </c>
      <c r="V223" s="4" t="e">
        <f>MAX(INDEX(Standards!$F$2:$F$296,MATCH(B223,Standards!$B$2:$B$296,0)),INDEX(Standards!$F$2:$F$296,MATCH(C223,Standards!$B$2:$B$296,0)))</f>
        <v>#N/A</v>
      </c>
      <c r="W223" t="str">
        <f t="shared" si="11"/>
        <v>#2f89d1</v>
      </c>
    </row>
    <row r="224" spans="1:23" x14ac:dyDescent="0.5">
      <c r="A224" s="54">
        <v>223</v>
      </c>
      <c r="B224" s="90" t="s">
        <v>293</v>
      </c>
      <c r="C224" t="s">
        <v>296</v>
      </c>
      <c r="D224" s="1"/>
      <c r="E224" s="112">
        <v>2005.07</v>
      </c>
      <c r="F224" s="112">
        <v>2024.09</v>
      </c>
      <c r="G224" s="107" t="s">
        <v>670</v>
      </c>
      <c r="H224">
        <f>INDEX('GIS-Standards'!$A$2:$A$305,MATCH(B224,'GIS-Standards'!$B$2:$B$305,0))</f>
        <v>10</v>
      </c>
      <c r="I224">
        <f>INDEX('GIS-Standards'!$A$2:$A$305,MATCH(C224,'GIS-Standards'!$B$2:$B$305,0))</f>
        <v>12</v>
      </c>
      <c r="J224" t="str">
        <f>INDEX('GIS-Standards'!$O$2:$O$305,MATCH(B224,'GIS-Standards'!$B$2:$B$305,0))</f>
        <v>ISO/TC 211</v>
      </c>
      <c r="K224" t="str">
        <f>INDEX('GIS-Standards'!$O$2:$O$305,MATCH(C224,'GIS-Standards'!$B$2:$B$305,0))</f>
        <v>ISO/TC 211</v>
      </c>
      <c r="M224" t="s">
        <v>525</v>
      </c>
      <c r="N224">
        <f>INDEX('GIS-Standards'!$I$2:$I$305,MATCH(B224,'GIS-Standards'!$B$2:$B$305,0))</f>
        <v>0</v>
      </c>
      <c r="O224">
        <f>INDEX('GIS-Standards'!$I$2:$I$305,MATCH(C224,'GIS-Standards'!$B$2:$B$305,0))</f>
        <v>0</v>
      </c>
      <c r="P224" t="b">
        <f>AND(TableRelationships12[[#This Row],[Source Type]]="BIM",TableRelationships12[[#This Row],[Target Type]]="BIM")</f>
        <v>0</v>
      </c>
      <c r="Q224">
        <f t="shared" si="9"/>
        <v>1</v>
      </c>
      <c r="S224">
        <f t="shared" si="10"/>
        <v>1</v>
      </c>
      <c r="T224" s="102" t="str">
        <f>IF(TableRelationships12[[#This Row],[Rank Pedro]]="Low","linkCategory1",IF(TableRelationships12[[#This Row],[Rank Pedro]]="Medium","linkCategory2",IF(TableRelationships12[[#This Row],[Rank Pedro]]="High","linkCategory3","")))</f>
        <v/>
      </c>
      <c r="U224" s="102" t="str">
        <f>IF(TableRelationships12[[#This Row],[Rank Pedro]]="Low","Pink",IF(TableRelationships12[[#This Row],[Rank Pedro]]="Medium","Purple",IF(TableRelationships12[[#This Row],[Rank Pedro]]="High","Brown","")))</f>
        <v/>
      </c>
      <c r="V224" s="4">
        <f>MAX(INDEX(Standards!$F$2:$F$296,MATCH(B224,Standards!$B$2:$B$296,0)),INDEX(Standards!$F$2:$F$296,MATCH(C224,Standards!$B$2:$B$296,0)))</f>
        <v>38534</v>
      </c>
      <c r="W224" t="str">
        <f t="shared" si="11"/>
        <v>#2f89d1</v>
      </c>
    </row>
    <row r="225" spans="1:23" x14ac:dyDescent="0.5">
      <c r="A225" s="54">
        <v>224</v>
      </c>
      <c r="B225" s="90" t="s">
        <v>293</v>
      </c>
      <c r="C225" t="s">
        <v>653</v>
      </c>
      <c r="D225" s="1" t="s">
        <v>1115</v>
      </c>
      <c r="E225" s="113">
        <v>2007.04</v>
      </c>
      <c r="F225" s="113">
        <v>2019.03</v>
      </c>
      <c r="G225" s="107" t="s">
        <v>670</v>
      </c>
      <c r="H225">
        <f>INDEX('GIS-Standards'!$A$2:$A$305,MATCH(B225,'GIS-Standards'!$B$2:$B$305,0))</f>
        <v>10</v>
      </c>
      <c r="I225">
        <f>INDEX('GIS-Standards'!$A$2:$A$305,MATCH(C225,'GIS-Standards'!$B$2:$B$305,0))</f>
        <v>102</v>
      </c>
      <c r="J225" t="str">
        <f>INDEX('GIS-Standards'!$O$2:$O$305,MATCH(B225,'GIS-Standards'!$B$2:$B$305,0))</f>
        <v>ISO/TC 211</v>
      </c>
      <c r="K225" t="str">
        <f>INDEX('GIS-Standards'!$O$2:$O$305,MATCH(C225,'GIS-Standards'!$B$2:$B$305,0))</f>
        <v>ISO/TC 211</v>
      </c>
      <c r="M225" t="s">
        <v>525</v>
      </c>
      <c r="N225">
        <f>INDEX('GIS-Standards'!$I$2:$I$305,MATCH(B225,'GIS-Standards'!$B$2:$B$305,0))</f>
        <v>0</v>
      </c>
      <c r="O225">
        <f>INDEX('GIS-Standards'!$I$2:$I$305,MATCH(C225,'GIS-Standards'!$B$2:$B$305,0))</f>
        <v>0</v>
      </c>
      <c r="P225" t="b">
        <f>AND(TableRelationships12[[#This Row],[Source Type]]="BIM",TableRelationships12[[#This Row],[Target Type]]="BIM")</f>
        <v>0</v>
      </c>
      <c r="Q225">
        <f t="shared" si="9"/>
        <v>1</v>
      </c>
      <c r="S225">
        <f t="shared" si="10"/>
        <v>1</v>
      </c>
      <c r="T225" s="102" t="str">
        <f>IF(TableRelationships12[[#This Row],[Rank Pedro]]="Low","linkCategory1",IF(TableRelationships12[[#This Row],[Rank Pedro]]="Medium","linkCategory2",IF(TableRelationships12[[#This Row],[Rank Pedro]]="High","linkCategory3","")))</f>
        <v/>
      </c>
      <c r="U225" s="102" t="str">
        <f>IF(TableRelationships12[[#This Row],[Rank Pedro]]="Low","Pink",IF(TableRelationships12[[#This Row],[Rank Pedro]]="Medium","Purple",IF(TableRelationships12[[#This Row],[Rank Pedro]]="High","Brown","")))</f>
        <v/>
      </c>
      <c r="V225" s="4" t="e">
        <f>MAX(INDEX(Standards!$F$2:$F$296,MATCH(B225,Standards!$B$2:$B$296,0)),INDEX(Standards!$F$2:$F$296,MATCH(C225,Standards!$B$2:$B$296,0)))</f>
        <v>#N/A</v>
      </c>
      <c r="W225" t="str">
        <f t="shared" si="11"/>
        <v>#2f89d1</v>
      </c>
    </row>
    <row r="226" spans="1:23" x14ac:dyDescent="0.5">
      <c r="A226" s="54">
        <v>225</v>
      </c>
      <c r="B226" s="90" t="s">
        <v>293</v>
      </c>
      <c r="C226" t="s">
        <v>655</v>
      </c>
      <c r="D226" s="1"/>
      <c r="E226" s="112">
        <v>2012.11</v>
      </c>
      <c r="F226" s="112">
        <v>2012.11</v>
      </c>
      <c r="G226" s="107" t="s">
        <v>670</v>
      </c>
      <c r="H226">
        <f>INDEX('GIS-Standards'!$A$2:$A$305,MATCH(B226,'GIS-Standards'!$B$2:$B$305,0))</f>
        <v>10</v>
      </c>
      <c r="I226">
        <f>INDEX('GIS-Standards'!$A$2:$A$305,MATCH(C226,'GIS-Standards'!$B$2:$B$305,0))</f>
        <v>104</v>
      </c>
      <c r="J226" t="str">
        <f>INDEX('GIS-Standards'!$O$2:$O$305,MATCH(B226,'GIS-Standards'!$B$2:$B$305,0))</f>
        <v>ISO/TC 211</v>
      </c>
      <c r="K226" t="str">
        <f>INDEX('GIS-Standards'!$O$2:$O$305,MATCH(C226,'GIS-Standards'!$B$2:$B$305,0))</f>
        <v>ISO/TC 211</v>
      </c>
      <c r="M226" t="s">
        <v>525</v>
      </c>
      <c r="N226">
        <f>INDEX('GIS-Standards'!$I$2:$I$305,MATCH(B226,'GIS-Standards'!$B$2:$B$305,0))</f>
        <v>0</v>
      </c>
      <c r="O226">
        <f>INDEX('GIS-Standards'!$I$2:$I$305,MATCH(C226,'GIS-Standards'!$B$2:$B$305,0))</f>
        <v>0</v>
      </c>
      <c r="P226" t="b">
        <f>AND(TableRelationships12[[#This Row],[Source Type]]="BIM",TableRelationships12[[#This Row],[Target Type]]="BIM")</f>
        <v>0</v>
      </c>
      <c r="Q226">
        <f t="shared" si="9"/>
        <v>1</v>
      </c>
      <c r="S226">
        <f t="shared" si="10"/>
        <v>1</v>
      </c>
      <c r="T226" s="102" t="str">
        <f>IF(TableRelationships12[[#This Row],[Rank Pedro]]="Low","linkCategory1",IF(TableRelationships12[[#This Row],[Rank Pedro]]="Medium","linkCategory2",IF(TableRelationships12[[#This Row],[Rank Pedro]]="High","linkCategory3","")))</f>
        <v/>
      </c>
      <c r="U226" s="102" t="str">
        <f>IF(TableRelationships12[[#This Row],[Rank Pedro]]="Low","Pink",IF(TableRelationships12[[#This Row],[Rank Pedro]]="Medium","Purple",IF(TableRelationships12[[#This Row],[Rank Pedro]]="High","Brown","")))</f>
        <v/>
      </c>
      <c r="V226" s="4" t="e">
        <f>MAX(INDEX(Standards!$F$2:$F$296,MATCH(B226,Standards!$B$2:$B$296,0)),INDEX(Standards!$F$2:$F$296,MATCH(C226,Standards!$B$2:$B$296,0)))</f>
        <v>#N/A</v>
      </c>
      <c r="W226" t="str">
        <f t="shared" si="11"/>
        <v>#2f89d1</v>
      </c>
    </row>
    <row r="227" spans="1:23" x14ac:dyDescent="0.5">
      <c r="A227" s="54">
        <v>226</v>
      </c>
      <c r="B227" s="90" t="s">
        <v>293</v>
      </c>
      <c r="C227" t="s">
        <v>1385</v>
      </c>
      <c r="D227" s="1"/>
      <c r="G227" s="107"/>
      <c r="H227">
        <f>INDEX('GIS-Standards'!$A$2:$A$305,MATCH(B227,'GIS-Standards'!$B$2:$B$305,0))</f>
        <v>10</v>
      </c>
      <c r="I227" t="e">
        <f>INDEX('GIS-Standards'!$A$2:$A$305,MATCH(C227,'GIS-Standards'!$B$2:$B$305,0))</f>
        <v>#N/A</v>
      </c>
      <c r="J227" t="str">
        <f>INDEX('GIS-Standards'!$O$2:$O$305,MATCH(B227,'GIS-Standards'!$B$2:$B$305,0))</f>
        <v>ISO/TC 211</v>
      </c>
      <c r="K227" t="e">
        <f>INDEX('GIS-Standards'!$O$2:$O$305,MATCH(C227,'GIS-Standards'!$B$2:$B$305,0))</f>
        <v>#N/A</v>
      </c>
      <c r="M227" t="s">
        <v>525</v>
      </c>
      <c r="N227">
        <f>INDEX('GIS-Standards'!$I$2:$I$305,MATCH(B227,'GIS-Standards'!$B$2:$B$305,0))</f>
        <v>0</v>
      </c>
      <c r="O227" t="e">
        <f>INDEX('GIS-Standards'!$I$2:$I$305,MATCH(C227,'GIS-Standards'!$B$2:$B$305,0))</f>
        <v>#N/A</v>
      </c>
      <c r="P227" t="e">
        <f>AND(TableRelationships12[[#This Row],[Source Type]]="BIM",TableRelationships12[[#This Row],[Target Type]]="BIM")</f>
        <v>#N/A</v>
      </c>
      <c r="Q227">
        <f t="shared" si="9"/>
        <v>1</v>
      </c>
      <c r="S227">
        <f t="shared" si="10"/>
        <v>1</v>
      </c>
      <c r="T227" s="102" t="str">
        <f>IF(TableRelationships12[[#This Row],[Rank Pedro]]="Low","linkCategory1",IF(TableRelationships12[[#This Row],[Rank Pedro]]="Medium","linkCategory2",IF(TableRelationships12[[#This Row],[Rank Pedro]]="High","linkCategory3","")))</f>
        <v/>
      </c>
      <c r="U227" s="102" t="str">
        <f>IF(TableRelationships12[[#This Row],[Rank Pedro]]="Low","Pink",IF(TableRelationships12[[#This Row],[Rank Pedro]]="Medium","Purple",IF(TableRelationships12[[#This Row],[Rank Pedro]]="High","Brown","")))</f>
        <v/>
      </c>
      <c r="V227" s="4" t="e">
        <f>MAX(INDEX(Standards!$F$2:$F$296,MATCH(B227,Standards!$B$2:$B$296,0)),INDEX(Standards!$F$2:$F$296,MATCH(C227,Standards!$B$2:$B$296,0)))</f>
        <v>#N/A</v>
      </c>
      <c r="W227" t="str">
        <f t="shared" si="11"/>
        <v>#2f89d1</v>
      </c>
    </row>
    <row r="228" spans="1:23" x14ac:dyDescent="0.5">
      <c r="A228" s="54">
        <v>227</v>
      </c>
      <c r="B228" s="90" t="s">
        <v>293</v>
      </c>
      <c r="C228" t="s">
        <v>1306</v>
      </c>
      <c r="D228" s="1"/>
      <c r="G228" s="107"/>
      <c r="H228">
        <f>INDEX('GIS-Standards'!$A$2:$A$305,MATCH(B228,'GIS-Standards'!$B$2:$B$305,0))</f>
        <v>10</v>
      </c>
      <c r="I228" t="e">
        <f>INDEX('GIS-Standards'!$A$2:$A$305,MATCH(C228,'GIS-Standards'!$B$2:$B$305,0))</f>
        <v>#N/A</v>
      </c>
      <c r="J228" t="str">
        <f>INDEX('GIS-Standards'!$O$2:$O$305,MATCH(B228,'GIS-Standards'!$B$2:$B$305,0))</f>
        <v>ISO/TC 211</v>
      </c>
      <c r="K228" t="e">
        <f>INDEX('GIS-Standards'!$O$2:$O$305,MATCH(C228,'GIS-Standards'!$B$2:$B$305,0))</f>
        <v>#N/A</v>
      </c>
      <c r="M228" t="s">
        <v>525</v>
      </c>
      <c r="N228">
        <f>INDEX('GIS-Standards'!$I$2:$I$305,MATCH(B228,'GIS-Standards'!$B$2:$B$305,0))</f>
        <v>0</v>
      </c>
      <c r="O228" t="e">
        <f>INDEX('GIS-Standards'!$I$2:$I$305,MATCH(C228,'GIS-Standards'!$B$2:$B$305,0))</f>
        <v>#N/A</v>
      </c>
      <c r="P228" t="e">
        <f>AND(TableRelationships12[[#This Row],[Source Type]]="BIM",TableRelationships12[[#This Row],[Target Type]]="BIM")</f>
        <v>#N/A</v>
      </c>
      <c r="Q228">
        <f t="shared" si="9"/>
        <v>1</v>
      </c>
      <c r="S228">
        <f t="shared" si="10"/>
        <v>1</v>
      </c>
      <c r="T228" s="102" t="str">
        <f>IF(TableRelationships12[[#This Row],[Rank Pedro]]="Low","linkCategory1",IF(TableRelationships12[[#This Row],[Rank Pedro]]="Medium","linkCategory2",IF(TableRelationships12[[#This Row],[Rank Pedro]]="High","linkCategory3","")))</f>
        <v/>
      </c>
      <c r="U228" s="102" t="str">
        <f>IF(TableRelationships12[[#This Row],[Rank Pedro]]="Low","Pink",IF(TableRelationships12[[#This Row],[Rank Pedro]]="Medium","Purple",IF(TableRelationships12[[#This Row],[Rank Pedro]]="High","Brown","")))</f>
        <v/>
      </c>
      <c r="V228" s="4" t="e">
        <f>MAX(INDEX(Standards!$F$2:$F$296,MATCH(B228,Standards!$B$2:$B$296,0)),INDEX(Standards!$F$2:$F$296,MATCH(C228,Standards!$B$2:$B$296,0)))</f>
        <v>#N/A</v>
      </c>
      <c r="W228" t="str">
        <f t="shared" si="11"/>
        <v>#2f89d1</v>
      </c>
    </row>
    <row r="229" spans="1:23" x14ac:dyDescent="0.5">
      <c r="A229" s="54">
        <v>228</v>
      </c>
      <c r="B229" s="90" t="s">
        <v>293</v>
      </c>
      <c r="C229" t="s">
        <v>1386</v>
      </c>
      <c r="D229" s="1"/>
      <c r="G229" s="107"/>
      <c r="H229">
        <f>INDEX('GIS-Standards'!$A$2:$A$305,MATCH(B229,'GIS-Standards'!$B$2:$B$305,0))</f>
        <v>10</v>
      </c>
      <c r="I229" t="e">
        <f>INDEX('GIS-Standards'!$A$2:$A$305,MATCH(C229,'GIS-Standards'!$B$2:$B$305,0))</f>
        <v>#N/A</v>
      </c>
      <c r="J229" t="str">
        <f>INDEX('GIS-Standards'!$O$2:$O$305,MATCH(B229,'GIS-Standards'!$B$2:$B$305,0))</f>
        <v>ISO/TC 211</v>
      </c>
      <c r="K229" t="e">
        <f>INDEX('GIS-Standards'!$O$2:$O$305,MATCH(C229,'GIS-Standards'!$B$2:$B$305,0))</f>
        <v>#N/A</v>
      </c>
      <c r="M229" t="s">
        <v>525</v>
      </c>
      <c r="N229">
        <f>INDEX('GIS-Standards'!$I$2:$I$305,MATCH(B229,'GIS-Standards'!$B$2:$B$305,0))</f>
        <v>0</v>
      </c>
      <c r="O229" t="e">
        <f>INDEX('GIS-Standards'!$I$2:$I$305,MATCH(C229,'GIS-Standards'!$B$2:$B$305,0))</f>
        <v>#N/A</v>
      </c>
      <c r="P229" t="e">
        <f>AND(TableRelationships12[[#This Row],[Source Type]]="BIM",TableRelationships12[[#This Row],[Target Type]]="BIM")</f>
        <v>#N/A</v>
      </c>
      <c r="Q229">
        <f t="shared" si="9"/>
        <v>1</v>
      </c>
      <c r="S229">
        <f t="shared" si="10"/>
        <v>1</v>
      </c>
      <c r="T229" s="102" t="str">
        <f>IF(TableRelationships12[[#This Row],[Rank Pedro]]="Low","linkCategory1",IF(TableRelationships12[[#This Row],[Rank Pedro]]="Medium","linkCategory2",IF(TableRelationships12[[#This Row],[Rank Pedro]]="High","linkCategory3","")))</f>
        <v/>
      </c>
      <c r="U229" s="102" t="str">
        <f>IF(TableRelationships12[[#This Row],[Rank Pedro]]="Low","Pink",IF(TableRelationships12[[#This Row],[Rank Pedro]]="Medium","Purple",IF(TableRelationships12[[#This Row],[Rank Pedro]]="High","Brown","")))</f>
        <v/>
      </c>
      <c r="V229" s="4" t="e">
        <f>MAX(INDEX(Standards!$F$2:$F$296,MATCH(B229,Standards!$B$2:$B$296,0)),INDEX(Standards!$F$2:$F$296,MATCH(C229,Standards!$B$2:$B$296,0)))</f>
        <v>#N/A</v>
      </c>
      <c r="W229" t="str">
        <f t="shared" si="11"/>
        <v>#2f89d1</v>
      </c>
    </row>
    <row r="230" spans="1:23" x14ac:dyDescent="0.5">
      <c r="A230" s="54">
        <v>229</v>
      </c>
      <c r="B230" s="90" t="s">
        <v>293</v>
      </c>
      <c r="C230" t="s">
        <v>1387</v>
      </c>
      <c r="D230" s="1"/>
      <c r="G230" s="107"/>
      <c r="H230">
        <f>INDEX('GIS-Standards'!$A$2:$A$305,MATCH(B230,'GIS-Standards'!$B$2:$B$305,0))</f>
        <v>10</v>
      </c>
      <c r="I230" t="e">
        <f>INDEX('GIS-Standards'!$A$2:$A$305,MATCH(C230,'GIS-Standards'!$B$2:$B$305,0))</f>
        <v>#N/A</v>
      </c>
      <c r="J230" t="str">
        <f>INDEX('GIS-Standards'!$O$2:$O$305,MATCH(B230,'GIS-Standards'!$B$2:$B$305,0))</f>
        <v>ISO/TC 211</v>
      </c>
      <c r="K230" t="e">
        <f>INDEX('GIS-Standards'!$O$2:$O$305,MATCH(C230,'GIS-Standards'!$B$2:$B$305,0))</f>
        <v>#N/A</v>
      </c>
      <c r="M230" t="s">
        <v>525</v>
      </c>
      <c r="N230">
        <f>INDEX('GIS-Standards'!$I$2:$I$305,MATCH(B230,'GIS-Standards'!$B$2:$B$305,0))</f>
        <v>0</v>
      </c>
      <c r="O230" t="e">
        <f>INDEX('GIS-Standards'!$I$2:$I$305,MATCH(C230,'GIS-Standards'!$B$2:$B$305,0))</f>
        <v>#N/A</v>
      </c>
      <c r="P230" t="e">
        <f>AND(TableRelationships12[[#This Row],[Source Type]]="BIM",TableRelationships12[[#This Row],[Target Type]]="BIM")</f>
        <v>#N/A</v>
      </c>
      <c r="Q230">
        <f t="shared" si="9"/>
        <v>1</v>
      </c>
      <c r="S230">
        <f t="shared" si="10"/>
        <v>1</v>
      </c>
      <c r="T230" s="102" t="str">
        <f>IF(TableRelationships12[[#This Row],[Rank Pedro]]="Low","linkCategory1",IF(TableRelationships12[[#This Row],[Rank Pedro]]="Medium","linkCategory2",IF(TableRelationships12[[#This Row],[Rank Pedro]]="High","linkCategory3","")))</f>
        <v/>
      </c>
      <c r="U230" s="102" t="str">
        <f>IF(TableRelationships12[[#This Row],[Rank Pedro]]="Low","Pink",IF(TableRelationships12[[#This Row],[Rank Pedro]]="Medium","Purple",IF(TableRelationships12[[#This Row],[Rank Pedro]]="High","Brown","")))</f>
        <v/>
      </c>
      <c r="V230" s="4" t="e">
        <f>MAX(INDEX(Standards!$F$2:$F$296,MATCH(B230,Standards!$B$2:$B$296,0)),INDEX(Standards!$F$2:$F$296,MATCH(C230,Standards!$B$2:$B$296,0)))</f>
        <v>#N/A</v>
      </c>
      <c r="W230" t="str">
        <f t="shared" si="11"/>
        <v>#2f89d1</v>
      </c>
    </row>
    <row r="231" spans="1:23" x14ac:dyDescent="0.5">
      <c r="A231" s="54">
        <v>230</v>
      </c>
      <c r="B231" s="90" t="s">
        <v>293</v>
      </c>
      <c r="C231" t="s">
        <v>1141</v>
      </c>
      <c r="D231" s="1"/>
      <c r="G231" s="107"/>
      <c r="H231">
        <f>INDEX('GIS-Standards'!$A$2:$A$305,MATCH(B231,'GIS-Standards'!$B$2:$B$305,0))</f>
        <v>10</v>
      </c>
      <c r="I231" t="e">
        <f>INDEX('GIS-Standards'!$A$2:$A$305,MATCH(C231,'GIS-Standards'!$B$2:$B$305,0))</f>
        <v>#N/A</v>
      </c>
      <c r="J231" t="str">
        <f>INDEX('GIS-Standards'!$O$2:$O$305,MATCH(B231,'GIS-Standards'!$B$2:$B$305,0))</f>
        <v>ISO/TC 211</v>
      </c>
      <c r="K231" t="e">
        <f>INDEX('GIS-Standards'!$O$2:$O$305,MATCH(C231,'GIS-Standards'!$B$2:$B$305,0))</f>
        <v>#N/A</v>
      </c>
      <c r="M231" t="s">
        <v>525</v>
      </c>
      <c r="N231">
        <f>INDEX('GIS-Standards'!$I$2:$I$305,MATCH(B231,'GIS-Standards'!$B$2:$B$305,0))</f>
        <v>0</v>
      </c>
      <c r="O231" t="e">
        <f>INDEX('GIS-Standards'!$I$2:$I$305,MATCH(C231,'GIS-Standards'!$B$2:$B$305,0))</f>
        <v>#N/A</v>
      </c>
      <c r="P231" t="e">
        <f>AND(TableRelationships12[[#This Row],[Source Type]]="BIM",TableRelationships12[[#This Row],[Target Type]]="BIM")</f>
        <v>#N/A</v>
      </c>
      <c r="Q231">
        <f t="shared" si="9"/>
        <v>1</v>
      </c>
      <c r="S231">
        <f t="shared" si="10"/>
        <v>1</v>
      </c>
      <c r="T231" s="102" t="str">
        <f>IF(TableRelationships12[[#This Row],[Rank Pedro]]="Low","linkCategory1",IF(TableRelationships12[[#This Row],[Rank Pedro]]="Medium","linkCategory2",IF(TableRelationships12[[#This Row],[Rank Pedro]]="High","linkCategory3","")))</f>
        <v/>
      </c>
      <c r="U231" s="102" t="str">
        <f>IF(TableRelationships12[[#This Row],[Rank Pedro]]="Low","Pink",IF(TableRelationships12[[#This Row],[Rank Pedro]]="Medium","Purple",IF(TableRelationships12[[#This Row],[Rank Pedro]]="High","Brown","")))</f>
        <v/>
      </c>
      <c r="V231" s="4" t="e">
        <f>MAX(INDEX(Standards!$F$2:$F$296,MATCH(B231,Standards!$B$2:$B$296,0)),INDEX(Standards!$F$2:$F$296,MATCH(C231,Standards!$B$2:$B$296,0)))</f>
        <v>#N/A</v>
      </c>
      <c r="W231" t="str">
        <f t="shared" si="11"/>
        <v>#2f89d1</v>
      </c>
    </row>
    <row r="232" spans="1:23" x14ac:dyDescent="0.5">
      <c r="A232" s="54">
        <v>231</v>
      </c>
      <c r="B232" s="90" t="s">
        <v>293</v>
      </c>
      <c r="C232" t="s">
        <v>1557</v>
      </c>
      <c r="D232" s="1"/>
      <c r="G232" s="107"/>
      <c r="H232">
        <f>INDEX('GIS-Standards'!$A$2:$A$305,MATCH(B232,'GIS-Standards'!$B$2:$B$305,0))</f>
        <v>10</v>
      </c>
      <c r="I232" t="e">
        <f>INDEX('GIS-Standards'!$A$2:$A$305,MATCH(C232,'GIS-Standards'!$B$2:$B$305,0))</f>
        <v>#N/A</v>
      </c>
      <c r="J232" t="str">
        <f>INDEX('GIS-Standards'!$O$2:$O$305,MATCH(B232,'GIS-Standards'!$B$2:$B$305,0))</f>
        <v>ISO/TC 211</v>
      </c>
      <c r="K232" t="e">
        <f>INDEX('GIS-Standards'!$O$2:$O$305,MATCH(C232,'GIS-Standards'!$B$2:$B$305,0))</f>
        <v>#N/A</v>
      </c>
      <c r="M232" t="s">
        <v>525</v>
      </c>
      <c r="N232">
        <f>INDEX('GIS-Standards'!$I$2:$I$305,MATCH(B232,'GIS-Standards'!$B$2:$B$305,0))</f>
        <v>0</v>
      </c>
      <c r="O232" t="e">
        <f>INDEX('GIS-Standards'!$I$2:$I$305,MATCH(C232,'GIS-Standards'!$B$2:$B$305,0))</f>
        <v>#N/A</v>
      </c>
      <c r="P232" t="e">
        <f>AND(TableRelationships12[[#This Row],[Source Type]]="BIM",TableRelationships12[[#This Row],[Target Type]]="BIM")</f>
        <v>#N/A</v>
      </c>
      <c r="Q232">
        <f t="shared" si="9"/>
        <v>1</v>
      </c>
      <c r="S232">
        <f t="shared" si="10"/>
        <v>1</v>
      </c>
      <c r="T232" s="102" t="str">
        <f>IF(TableRelationships12[[#This Row],[Rank Pedro]]="Low","linkCategory1",IF(TableRelationships12[[#This Row],[Rank Pedro]]="Medium","linkCategory2",IF(TableRelationships12[[#This Row],[Rank Pedro]]="High","linkCategory3","")))</f>
        <v/>
      </c>
      <c r="U232" s="102" t="str">
        <f>IF(TableRelationships12[[#This Row],[Rank Pedro]]="Low","Pink",IF(TableRelationships12[[#This Row],[Rank Pedro]]="Medium","Purple",IF(TableRelationships12[[#This Row],[Rank Pedro]]="High","Brown","")))</f>
        <v/>
      </c>
      <c r="V232" s="4" t="e">
        <f>MAX(INDEX(Standards!$F$2:$F$296,MATCH(B232,Standards!$B$2:$B$296,0)),INDEX(Standards!$F$2:$F$296,MATCH(C232,Standards!$B$2:$B$296,0)))</f>
        <v>#N/A</v>
      </c>
      <c r="W232" t="str">
        <f t="shared" si="11"/>
        <v>#2f89d1</v>
      </c>
    </row>
    <row r="233" spans="1:23" x14ac:dyDescent="0.5">
      <c r="A233" s="54">
        <v>232</v>
      </c>
      <c r="B233" s="90" t="s">
        <v>631</v>
      </c>
      <c r="C233" t="s">
        <v>527</v>
      </c>
      <c r="D233" s="1"/>
      <c r="E233" s="112" t="s">
        <v>978</v>
      </c>
      <c r="F233" s="112" t="s">
        <v>905</v>
      </c>
      <c r="G233" s="107" t="s">
        <v>670</v>
      </c>
      <c r="H233">
        <f>INDEX('GIS-Standards'!$A$2:$A$305,MATCH(B233,'GIS-Standards'!$B$2:$B$305,0))</f>
        <v>11</v>
      </c>
      <c r="I233" t="e">
        <f>INDEX('GIS-Standards'!$A$2:$A$305,MATCH(C233,'GIS-Standards'!$B$2:$B$305,0))</f>
        <v>#N/A</v>
      </c>
      <c r="J233" t="str">
        <f>INDEX('GIS-Standards'!$O$2:$O$305,MATCH(B233,'GIS-Standards'!$B$2:$B$305,0))</f>
        <v>ISO/TC 211</v>
      </c>
      <c r="K233" t="e">
        <f>INDEX('GIS-Standards'!$O$2:$O$305,MATCH(C233,'GIS-Standards'!$B$2:$B$305,0))</f>
        <v>#N/A</v>
      </c>
      <c r="M233" t="s">
        <v>237</v>
      </c>
      <c r="N233">
        <f>INDEX('GIS-Standards'!$I$2:$I$305,MATCH(B233,'GIS-Standards'!$B$2:$B$305,0))</f>
        <v>0</v>
      </c>
      <c r="O233" t="e">
        <f>INDEX('GIS-Standards'!$I$2:$I$305,MATCH(C233,'GIS-Standards'!$B$2:$B$305,0))</f>
        <v>#N/A</v>
      </c>
      <c r="P233" t="e">
        <f>AND(TableRelationships12[[#This Row],[Source Type]]="BIM",TableRelationships12[[#This Row],[Target Type]]="BIM")</f>
        <v>#N/A</v>
      </c>
      <c r="Q233">
        <f t="shared" si="9"/>
        <v>2</v>
      </c>
      <c r="S233">
        <f t="shared" si="10"/>
        <v>1</v>
      </c>
      <c r="T233" s="102" t="str">
        <f>IF(TableRelationships12[[#This Row],[Rank Pedro]]="Low","linkCategory1",IF(TableRelationships12[[#This Row],[Rank Pedro]]="Medium","linkCategory2",IF(TableRelationships12[[#This Row],[Rank Pedro]]="High","linkCategory3","")))</f>
        <v/>
      </c>
      <c r="U233" s="102" t="str">
        <f>IF(TableRelationships12[[#This Row],[Rank Pedro]]="Low","Pink",IF(TableRelationships12[[#This Row],[Rank Pedro]]="Medium","Purple",IF(TableRelationships12[[#This Row],[Rank Pedro]]="High","Brown","")))</f>
        <v/>
      </c>
      <c r="V233" s="4" t="e">
        <f>MAX(INDEX(Standards!$F$2:$F$296,MATCH(B233,Standards!$B$2:$B$296,0)),INDEX(Standards!$F$2:$F$296,MATCH(C233,Standards!$B$2:$B$296,0)))</f>
        <v>#N/A</v>
      </c>
      <c r="W233">
        <f t="shared" si="11"/>
        <v>1</v>
      </c>
    </row>
    <row r="234" spans="1:23" x14ac:dyDescent="0.5">
      <c r="A234" s="54">
        <v>233</v>
      </c>
      <c r="B234" s="90" t="s">
        <v>631</v>
      </c>
      <c r="C234" t="s">
        <v>314</v>
      </c>
      <c r="D234" s="1"/>
      <c r="E234" s="112">
        <v>2003.05</v>
      </c>
      <c r="F234" s="112">
        <v>2020.11</v>
      </c>
      <c r="G234" s="107" t="s">
        <v>670</v>
      </c>
      <c r="H234">
        <f>INDEX('GIS-Standards'!$A$2:$A$305,MATCH(B234,'GIS-Standards'!$B$2:$B$305,0))</f>
        <v>11</v>
      </c>
      <c r="I234">
        <f>INDEX('GIS-Standards'!$A$2:$A$305,MATCH(C234,'GIS-Standards'!$B$2:$B$305,0))</f>
        <v>22</v>
      </c>
      <c r="J234" t="str">
        <f>INDEX('GIS-Standards'!$O$2:$O$305,MATCH(B234,'GIS-Standards'!$B$2:$B$305,0))</f>
        <v>ISO/TC 211</v>
      </c>
      <c r="K234" t="str">
        <f>INDEX('GIS-Standards'!$O$2:$O$305,MATCH(C234,'GIS-Standards'!$B$2:$B$305,0))</f>
        <v>ISO/TC 211</v>
      </c>
      <c r="M234" t="s">
        <v>524</v>
      </c>
      <c r="N234">
        <f>INDEX('GIS-Standards'!$I$2:$I$305,MATCH(B234,'GIS-Standards'!$B$2:$B$305,0))</f>
        <v>0</v>
      </c>
      <c r="O234" t="str">
        <f>INDEX('GIS-Standards'!$I$2:$I$305,MATCH(C234,'GIS-Standards'!$B$2:$B$305,0))</f>
        <v>12.2020</v>
      </c>
      <c r="P234" t="b">
        <f>AND(TableRelationships12[[#This Row],[Source Type]]="BIM",TableRelationships12[[#This Row],[Target Type]]="BIM")</f>
        <v>0</v>
      </c>
      <c r="Q234">
        <f t="shared" si="9"/>
        <v>6</v>
      </c>
      <c r="S234">
        <f t="shared" si="10"/>
        <v>1</v>
      </c>
      <c r="T234" s="102" t="str">
        <f>IF(TableRelationships12[[#This Row],[Rank Pedro]]="Low","linkCategory1",IF(TableRelationships12[[#This Row],[Rank Pedro]]="Medium","linkCategory2",IF(TableRelationships12[[#This Row],[Rank Pedro]]="High","linkCategory3","")))</f>
        <v/>
      </c>
      <c r="U234" s="102" t="str">
        <f>IF(TableRelationships12[[#This Row],[Rank Pedro]]="Low","Pink",IF(TableRelationships12[[#This Row],[Rank Pedro]]="Medium","Purple",IF(TableRelationships12[[#This Row],[Rank Pedro]]="High","Brown","")))</f>
        <v/>
      </c>
      <c r="V234" s="4" t="e">
        <f>MAX(INDEX(Standards!$F$2:$F$296,MATCH(B234,Standards!$B$2:$B$296,0)),INDEX(Standards!$F$2:$F$296,MATCH(C234,Standards!$B$2:$B$296,0)))</f>
        <v>#N/A</v>
      </c>
      <c r="W234" t="str">
        <f t="shared" si="11"/>
        <v>#d6bf2a</v>
      </c>
    </row>
    <row r="235" spans="1:23" x14ac:dyDescent="0.5">
      <c r="A235" s="54">
        <v>234</v>
      </c>
      <c r="B235" s="90" t="s">
        <v>631</v>
      </c>
      <c r="C235" t="s">
        <v>1041</v>
      </c>
      <c r="D235" s="1"/>
      <c r="E235" s="112">
        <v>2009.02</v>
      </c>
      <c r="F235" s="112">
        <v>2022.03</v>
      </c>
      <c r="G235" s="107" t="s">
        <v>670</v>
      </c>
      <c r="H235">
        <f>INDEX('GIS-Standards'!$A$2:$A$305,MATCH(B235,'GIS-Standards'!$B$2:$B$305,0))</f>
        <v>11</v>
      </c>
      <c r="I235">
        <f>INDEX('GIS-Standards'!$A$2:$A$305,MATCH(C235,'GIS-Standards'!$B$2:$B$305,0))</f>
        <v>23</v>
      </c>
      <c r="J235" t="str">
        <f>INDEX('GIS-Standards'!$O$2:$O$305,MATCH(B235,'GIS-Standards'!$B$2:$B$305,0))</f>
        <v>ISO/TC 211</v>
      </c>
      <c r="K235" t="str">
        <f>INDEX('GIS-Standards'!$O$2:$O$305,MATCH(C235,'GIS-Standards'!$B$2:$B$305,0))</f>
        <v>ISO/TC 211</v>
      </c>
      <c r="M235" t="s">
        <v>524</v>
      </c>
      <c r="N235">
        <f>INDEX('GIS-Standards'!$I$2:$I$305,MATCH(B235,'GIS-Standards'!$B$2:$B$305,0))</f>
        <v>0</v>
      </c>
      <c r="O235" t="str">
        <f>INDEX('GIS-Standards'!$I$2:$I$305,MATCH(C235,'GIS-Standards'!$B$2:$B$305,0))</f>
        <v>03.2022</v>
      </c>
      <c r="P235" t="b">
        <f>AND(TableRelationships12[[#This Row],[Source Type]]="BIM",TableRelationships12[[#This Row],[Target Type]]="BIM")</f>
        <v>0</v>
      </c>
      <c r="Q235">
        <f t="shared" si="9"/>
        <v>6</v>
      </c>
      <c r="S235">
        <f t="shared" si="10"/>
        <v>1</v>
      </c>
      <c r="T235" s="102" t="str">
        <f>IF(TableRelationships12[[#This Row],[Rank Pedro]]="Low","linkCategory1",IF(TableRelationships12[[#This Row],[Rank Pedro]]="Medium","linkCategory2",IF(TableRelationships12[[#This Row],[Rank Pedro]]="High","linkCategory3","")))</f>
        <v/>
      </c>
      <c r="U235" s="102" t="str">
        <f>IF(TableRelationships12[[#This Row],[Rank Pedro]]="Low","Pink",IF(TableRelationships12[[#This Row],[Rank Pedro]]="Medium","Purple",IF(TableRelationships12[[#This Row],[Rank Pedro]]="High","Brown","")))</f>
        <v/>
      </c>
      <c r="V235" s="4" t="e">
        <f>MAX(INDEX(Standards!$F$2:$F$296,MATCH(B235,Standards!$B$2:$B$296,0)),INDEX(Standards!$F$2:$F$296,MATCH(C235,Standards!$B$2:$B$296,0)))</f>
        <v>#N/A</v>
      </c>
      <c r="W235" t="str">
        <f t="shared" si="11"/>
        <v>#d6bf2a</v>
      </c>
    </row>
    <row r="236" spans="1:23" x14ac:dyDescent="0.5">
      <c r="A236" s="54">
        <v>235</v>
      </c>
      <c r="B236" s="90" t="s">
        <v>631</v>
      </c>
      <c r="C236" t="s">
        <v>318</v>
      </c>
      <c r="D236" s="1"/>
      <c r="E236" s="112">
        <v>2005.02</v>
      </c>
      <c r="F236" s="112">
        <v>2016.01</v>
      </c>
      <c r="G236" s="107" t="s">
        <v>670</v>
      </c>
      <c r="H236">
        <f>INDEX('GIS-Standards'!$A$2:$A$305,MATCH(B236,'GIS-Standards'!$B$2:$B$305,0))</f>
        <v>11</v>
      </c>
      <c r="I236">
        <f>INDEX('GIS-Standards'!$A$2:$A$305,MATCH(C236,'GIS-Standards'!$B$2:$B$305,0))</f>
        <v>28</v>
      </c>
      <c r="J236" t="str">
        <f>INDEX('GIS-Standards'!$O$2:$O$305,MATCH(B236,'GIS-Standards'!$B$2:$B$305,0))</f>
        <v>ISO/TC 211</v>
      </c>
      <c r="K236" t="str">
        <f>INDEX('GIS-Standards'!$O$2:$O$305,MATCH(C236,'GIS-Standards'!$B$2:$B$305,0))</f>
        <v>ISO/TC 211</v>
      </c>
      <c r="M236" t="s">
        <v>524</v>
      </c>
      <c r="N236">
        <f>INDEX('GIS-Standards'!$I$2:$I$305,MATCH(B236,'GIS-Standards'!$B$2:$B$305,0))</f>
        <v>0</v>
      </c>
      <c r="O236">
        <f>INDEX('GIS-Standards'!$I$2:$I$305,MATCH(C236,'GIS-Standards'!$B$2:$B$305,0))</f>
        <v>0</v>
      </c>
      <c r="P236" t="b">
        <f>AND(TableRelationships12[[#This Row],[Source Type]]="BIM",TableRelationships12[[#This Row],[Target Type]]="BIM")</f>
        <v>0</v>
      </c>
      <c r="Q236">
        <f t="shared" si="9"/>
        <v>6</v>
      </c>
      <c r="S236">
        <f t="shared" si="10"/>
        <v>1</v>
      </c>
      <c r="T236" s="102" t="str">
        <f>IF(TableRelationships12[[#This Row],[Rank Pedro]]="Low","linkCategory1",IF(TableRelationships12[[#This Row],[Rank Pedro]]="Medium","linkCategory2",IF(TableRelationships12[[#This Row],[Rank Pedro]]="High","linkCategory3","")))</f>
        <v/>
      </c>
      <c r="U236" s="102" t="str">
        <f>IF(TableRelationships12[[#This Row],[Rank Pedro]]="Low","Pink",IF(TableRelationships12[[#This Row],[Rank Pedro]]="Medium","Purple",IF(TableRelationships12[[#This Row],[Rank Pedro]]="High","Brown","")))</f>
        <v/>
      </c>
      <c r="V236" s="4" t="e">
        <f>MAX(INDEX(Standards!$F$2:$F$296,MATCH(B236,Standards!$B$2:$B$296,0)),INDEX(Standards!$F$2:$F$296,MATCH(C236,Standards!$B$2:$B$296,0)))</f>
        <v>#N/A</v>
      </c>
      <c r="W236" t="str">
        <f t="shared" si="11"/>
        <v>#d6bf2a</v>
      </c>
    </row>
    <row r="237" spans="1:23" x14ac:dyDescent="0.5">
      <c r="A237" s="54">
        <v>236</v>
      </c>
      <c r="B237" s="90" t="s">
        <v>631</v>
      </c>
      <c r="C237" t="s">
        <v>320</v>
      </c>
      <c r="D237" s="1" t="s">
        <v>1100</v>
      </c>
      <c r="E237" s="112">
        <v>2005.08</v>
      </c>
      <c r="F237" s="112">
        <v>2023.06</v>
      </c>
      <c r="G237" s="107" t="s">
        <v>670</v>
      </c>
      <c r="H237">
        <f>INDEX('GIS-Standards'!$A$2:$A$305,MATCH(B237,'GIS-Standards'!$B$2:$B$305,0))</f>
        <v>11</v>
      </c>
      <c r="I237">
        <f>INDEX('GIS-Standards'!$A$2:$A$305,MATCH(C237,'GIS-Standards'!$B$2:$B$305,0))</f>
        <v>29</v>
      </c>
      <c r="J237" t="str">
        <f>INDEX('GIS-Standards'!$O$2:$O$305,MATCH(B237,'GIS-Standards'!$B$2:$B$305,0))</f>
        <v>ISO/TC 211</v>
      </c>
      <c r="K237" t="str">
        <f>INDEX('GIS-Standards'!$O$2:$O$305,MATCH(C237,'GIS-Standards'!$B$2:$B$305,0))</f>
        <v>ISO/TC 211</v>
      </c>
      <c r="M237" t="s">
        <v>524</v>
      </c>
      <c r="N237">
        <f>INDEX('GIS-Standards'!$I$2:$I$305,MATCH(B237,'GIS-Standards'!$B$2:$B$305,0))</f>
        <v>0</v>
      </c>
      <c r="O237">
        <f>INDEX('GIS-Standards'!$I$2:$I$305,MATCH(C237,'GIS-Standards'!$B$2:$B$305,0))</f>
        <v>0</v>
      </c>
      <c r="P237" t="b">
        <f>AND(TableRelationships12[[#This Row],[Source Type]]="BIM",TableRelationships12[[#This Row],[Target Type]]="BIM")</f>
        <v>0</v>
      </c>
      <c r="Q237">
        <f t="shared" si="9"/>
        <v>6</v>
      </c>
      <c r="S237">
        <f t="shared" si="10"/>
        <v>1</v>
      </c>
      <c r="T237" s="102" t="str">
        <f>IF(TableRelationships12[[#This Row],[Rank Pedro]]="Low","linkCategory1",IF(TableRelationships12[[#This Row],[Rank Pedro]]="Medium","linkCategory2",IF(TableRelationships12[[#This Row],[Rank Pedro]]="High","linkCategory3","")))</f>
        <v/>
      </c>
      <c r="U237" s="102" t="str">
        <f>IF(TableRelationships12[[#This Row],[Rank Pedro]]="Low","Pink",IF(TableRelationships12[[#This Row],[Rank Pedro]]="Medium","Purple",IF(TableRelationships12[[#This Row],[Rank Pedro]]="High","Brown","")))</f>
        <v/>
      </c>
      <c r="V237" s="4" t="e">
        <f>MAX(INDEX(Standards!$F$2:$F$296,MATCH(B237,Standards!$B$2:$B$296,0)),INDEX(Standards!$F$2:$F$296,MATCH(C237,Standards!$B$2:$B$296,0)))</f>
        <v>#N/A</v>
      </c>
      <c r="W237" t="str">
        <f t="shared" si="11"/>
        <v>#d6bf2a</v>
      </c>
    </row>
    <row r="238" spans="1:23" x14ac:dyDescent="0.5">
      <c r="A238" s="54">
        <v>237</v>
      </c>
      <c r="B238" s="90" t="s">
        <v>631</v>
      </c>
      <c r="C238" t="s">
        <v>633</v>
      </c>
      <c r="D238" s="1"/>
      <c r="E238" s="112">
        <v>2010.06</v>
      </c>
      <c r="F238" s="112">
        <v>2018.09</v>
      </c>
      <c r="G238" s="107" t="s">
        <v>670</v>
      </c>
      <c r="H238">
        <f>INDEX('GIS-Standards'!$A$2:$A$305,MATCH(B238,'GIS-Standards'!$B$2:$B$305,0))</f>
        <v>11</v>
      </c>
      <c r="I238">
        <f>INDEX('GIS-Standards'!$A$2:$A$305,MATCH(C238,'GIS-Standards'!$B$2:$B$305,0))</f>
        <v>36</v>
      </c>
      <c r="J238" t="str">
        <f>INDEX('GIS-Standards'!$O$2:$O$305,MATCH(B238,'GIS-Standards'!$B$2:$B$305,0))</f>
        <v>ISO/TC 211</v>
      </c>
      <c r="K238" t="str">
        <f>INDEX('GIS-Standards'!$O$2:$O$305,MATCH(C238,'GIS-Standards'!$B$2:$B$305,0))</f>
        <v>ISO/TC 211</v>
      </c>
      <c r="M238" t="s">
        <v>524</v>
      </c>
      <c r="N238">
        <f>INDEX('GIS-Standards'!$I$2:$I$305,MATCH(B238,'GIS-Standards'!$B$2:$B$305,0))</f>
        <v>0</v>
      </c>
      <c r="O238">
        <f>INDEX('GIS-Standards'!$I$2:$I$305,MATCH(C238,'GIS-Standards'!$B$2:$B$305,0))</f>
        <v>0</v>
      </c>
      <c r="P238" t="b">
        <f>AND(TableRelationships12[[#This Row],[Source Type]]="BIM",TableRelationships12[[#This Row],[Target Type]]="BIM")</f>
        <v>0</v>
      </c>
      <c r="Q238">
        <f t="shared" si="9"/>
        <v>6</v>
      </c>
      <c r="S238">
        <f t="shared" si="10"/>
        <v>1</v>
      </c>
      <c r="T238" s="102" t="str">
        <f>IF(TableRelationships12[[#This Row],[Rank Pedro]]="Low","linkCategory1",IF(TableRelationships12[[#This Row],[Rank Pedro]]="Medium","linkCategory2",IF(TableRelationships12[[#This Row],[Rank Pedro]]="High","linkCategory3","")))</f>
        <v/>
      </c>
      <c r="U238" s="102" t="str">
        <f>IF(TableRelationships12[[#This Row],[Rank Pedro]]="Low","Pink",IF(TableRelationships12[[#This Row],[Rank Pedro]]="Medium","Purple",IF(TableRelationships12[[#This Row],[Rank Pedro]]="High","Brown","")))</f>
        <v/>
      </c>
      <c r="V238" s="4" t="e">
        <f>MAX(INDEX(Standards!$F$2:$F$296,MATCH(B238,Standards!$B$2:$B$296,0)),INDEX(Standards!$F$2:$F$296,MATCH(C238,Standards!$B$2:$B$296,0)))</f>
        <v>#N/A</v>
      </c>
      <c r="W238" t="str">
        <f t="shared" si="11"/>
        <v>#d6bf2a</v>
      </c>
    </row>
    <row r="239" spans="1:23" x14ac:dyDescent="0.5">
      <c r="A239" s="54">
        <v>238</v>
      </c>
      <c r="B239" s="90" t="s">
        <v>631</v>
      </c>
      <c r="C239" t="s">
        <v>1247</v>
      </c>
      <c r="D239" s="1"/>
      <c r="G239" s="107"/>
      <c r="H239">
        <f>INDEX('GIS-Standards'!$A$2:$A$305,MATCH(B239,'GIS-Standards'!$B$2:$B$305,0))</f>
        <v>11</v>
      </c>
      <c r="I239" t="e">
        <f>INDEX('GIS-Standards'!$A$2:$A$305,MATCH(C239,'GIS-Standards'!$B$2:$B$305,0))</f>
        <v>#N/A</v>
      </c>
      <c r="J239" t="str">
        <f>INDEX('GIS-Standards'!$O$2:$O$305,MATCH(B239,'GIS-Standards'!$B$2:$B$305,0))</f>
        <v>ISO/TC 211</v>
      </c>
      <c r="K239" t="e">
        <f>INDEX('GIS-Standards'!$O$2:$O$305,MATCH(C239,'GIS-Standards'!$B$2:$B$305,0))</f>
        <v>#N/A</v>
      </c>
      <c r="M239" t="s">
        <v>525</v>
      </c>
      <c r="N239">
        <f>INDEX('GIS-Standards'!$I$2:$I$305,MATCH(B239,'GIS-Standards'!$B$2:$B$305,0))</f>
        <v>0</v>
      </c>
      <c r="O239" t="e">
        <f>INDEX('GIS-Standards'!$I$2:$I$305,MATCH(C239,'GIS-Standards'!$B$2:$B$305,0))</f>
        <v>#N/A</v>
      </c>
      <c r="P239" t="e">
        <f>AND(TableRelationships12[[#This Row],[Source Type]]="BIM",TableRelationships12[[#This Row],[Target Type]]="BIM")</f>
        <v>#N/A</v>
      </c>
      <c r="Q239">
        <f t="shared" si="9"/>
        <v>1</v>
      </c>
      <c r="S239">
        <f t="shared" si="10"/>
        <v>1</v>
      </c>
      <c r="T239" s="102" t="str">
        <f>IF(TableRelationships12[[#This Row],[Rank Pedro]]="Low","linkCategory1",IF(TableRelationships12[[#This Row],[Rank Pedro]]="Medium","linkCategory2",IF(TableRelationships12[[#This Row],[Rank Pedro]]="High","linkCategory3","")))</f>
        <v/>
      </c>
      <c r="U239" s="102" t="str">
        <f>IF(TableRelationships12[[#This Row],[Rank Pedro]]="Low","Pink",IF(TableRelationships12[[#This Row],[Rank Pedro]]="Medium","Purple",IF(TableRelationships12[[#This Row],[Rank Pedro]]="High","Brown","")))</f>
        <v/>
      </c>
      <c r="V239" s="4" t="e">
        <f>MAX(INDEX(Standards!$F$2:$F$296,MATCH(B239,Standards!$B$2:$B$296,0)),INDEX(Standards!$F$2:$F$296,MATCH(C239,Standards!$B$2:$B$296,0)))</f>
        <v>#N/A</v>
      </c>
      <c r="W239" t="str">
        <f t="shared" si="11"/>
        <v>#2f89d1</v>
      </c>
    </row>
    <row r="240" spans="1:23" x14ac:dyDescent="0.5">
      <c r="A240" s="54">
        <v>239</v>
      </c>
      <c r="B240" s="90" t="s">
        <v>631</v>
      </c>
      <c r="C240" t="s">
        <v>1248</v>
      </c>
      <c r="D240" s="1"/>
      <c r="G240" s="107"/>
      <c r="H240">
        <f>INDEX('GIS-Standards'!$A$2:$A$305,MATCH(B240,'GIS-Standards'!$B$2:$B$305,0))</f>
        <v>11</v>
      </c>
      <c r="I240" t="e">
        <f>INDEX('GIS-Standards'!$A$2:$A$305,MATCH(C240,'GIS-Standards'!$B$2:$B$305,0))</f>
        <v>#N/A</v>
      </c>
      <c r="J240" t="str">
        <f>INDEX('GIS-Standards'!$O$2:$O$305,MATCH(B240,'GIS-Standards'!$B$2:$B$305,0))</f>
        <v>ISO/TC 211</v>
      </c>
      <c r="K240" t="e">
        <f>INDEX('GIS-Standards'!$O$2:$O$305,MATCH(C240,'GIS-Standards'!$B$2:$B$305,0))</f>
        <v>#N/A</v>
      </c>
      <c r="M240" t="s">
        <v>525</v>
      </c>
      <c r="N240">
        <f>INDEX('GIS-Standards'!$I$2:$I$305,MATCH(B240,'GIS-Standards'!$B$2:$B$305,0))</f>
        <v>0</v>
      </c>
      <c r="O240" t="e">
        <f>INDEX('GIS-Standards'!$I$2:$I$305,MATCH(C240,'GIS-Standards'!$B$2:$B$305,0))</f>
        <v>#N/A</v>
      </c>
      <c r="P240" t="e">
        <f>AND(TableRelationships12[[#This Row],[Source Type]]="BIM",TableRelationships12[[#This Row],[Target Type]]="BIM")</f>
        <v>#N/A</v>
      </c>
      <c r="Q240">
        <f t="shared" si="9"/>
        <v>1</v>
      </c>
      <c r="S240">
        <f t="shared" si="10"/>
        <v>1</v>
      </c>
      <c r="T240" s="102" t="str">
        <f>IF(TableRelationships12[[#This Row],[Rank Pedro]]="Low","linkCategory1",IF(TableRelationships12[[#This Row],[Rank Pedro]]="Medium","linkCategory2",IF(TableRelationships12[[#This Row],[Rank Pedro]]="High","linkCategory3","")))</f>
        <v/>
      </c>
      <c r="U240" s="102" t="str">
        <f>IF(TableRelationships12[[#This Row],[Rank Pedro]]="Low","Pink",IF(TableRelationships12[[#This Row],[Rank Pedro]]="Medium","Purple",IF(TableRelationships12[[#This Row],[Rank Pedro]]="High","Brown","")))</f>
        <v/>
      </c>
      <c r="V240" s="4" t="e">
        <f>MAX(INDEX(Standards!$F$2:$F$296,MATCH(B240,Standards!$B$2:$B$296,0)),INDEX(Standards!$F$2:$F$296,MATCH(C240,Standards!$B$2:$B$296,0)))</f>
        <v>#N/A</v>
      </c>
      <c r="W240" t="str">
        <f t="shared" si="11"/>
        <v>#2f89d1</v>
      </c>
    </row>
    <row r="241" spans="1:23" x14ac:dyDescent="0.5">
      <c r="A241" s="54">
        <v>240</v>
      </c>
      <c r="B241" s="90" t="s">
        <v>631</v>
      </c>
      <c r="C241" t="s">
        <v>1249</v>
      </c>
      <c r="D241" s="1"/>
      <c r="E241" s="112">
        <v>2003.01</v>
      </c>
      <c r="F241" s="112">
        <v>2003.08</v>
      </c>
      <c r="G241" s="107" t="s">
        <v>1671</v>
      </c>
      <c r="H241">
        <f>INDEX('GIS-Standards'!$A$2:$A$305,MATCH(B241,'GIS-Standards'!$B$2:$B$305,0))</f>
        <v>11</v>
      </c>
      <c r="I241" t="e">
        <f>INDEX('GIS-Standards'!$A$2:$A$305,MATCH(C241,'GIS-Standards'!$B$2:$B$305,0))</f>
        <v>#N/A</v>
      </c>
      <c r="J241" t="str">
        <f>INDEX('GIS-Standards'!$O$2:$O$305,MATCH(B241,'GIS-Standards'!$B$2:$B$305,0))</f>
        <v>ISO/TC 211</v>
      </c>
      <c r="K241" t="e">
        <f>INDEX('GIS-Standards'!$O$2:$O$305,MATCH(C241,'GIS-Standards'!$B$2:$B$305,0))</f>
        <v>#N/A</v>
      </c>
      <c r="M241" t="s">
        <v>525</v>
      </c>
      <c r="N241">
        <f>INDEX('GIS-Standards'!$I$2:$I$305,MATCH(B241,'GIS-Standards'!$B$2:$B$305,0))</f>
        <v>0</v>
      </c>
      <c r="O241" t="e">
        <f>INDEX('GIS-Standards'!$I$2:$I$305,MATCH(C241,'GIS-Standards'!$B$2:$B$305,0))</f>
        <v>#N/A</v>
      </c>
      <c r="P241" t="e">
        <f>AND(TableRelationships12[[#This Row],[Source Type]]="BIM",TableRelationships12[[#This Row],[Target Type]]="BIM")</f>
        <v>#N/A</v>
      </c>
      <c r="Q241">
        <f t="shared" si="9"/>
        <v>1</v>
      </c>
      <c r="S241">
        <f t="shared" si="10"/>
        <v>1</v>
      </c>
      <c r="T241" s="102" t="str">
        <f>IF(TableRelationships12[[#This Row],[Rank Pedro]]="Low","linkCategory1",IF(TableRelationships12[[#This Row],[Rank Pedro]]="Medium","linkCategory2",IF(TableRelationships12[[#This Row],[Rank Pedro]]="High","linkCategory3","")))</f>
        <v/>
      </c>
      <c r="U241" s="102" t="str">
        <f>IF(TableRelationships12[[#This Row],[Rank Pedro]]="Low","Pink",IF(TableRelationships12[[#This Row],[Rank Pedro]]="Medium","Purple",IF(TableRelationships12[[#This Row],[Rank Pedro]]="High","Brown","")))</f>
        <v/>
      </c>
      <c r="V241" s="4" t="e">
        <f>MAX(INDEX(Standards!$F$2:$F$296,MATCH(B241,Standards!$B$2:$B$296,0)),INDEX(Standards!$F$2:$F$296,MATCH(C241,Standards!$B$2:$B$296,0)))</f>
        <v>#N/A</v>
      </c>
      <c r="W241" t="str">
        <f t="shared" si="11"/>
        <v>#2f89d1</v>
      </c>
    </row>
    <row r="242" spans="1:23" x14ac:dyDescent="0.5">
      <c r="A242" s="54">
        <v>241</v>
      </c>
      <c r="B242" s="90" t="s">
        <v>631</v>
      </c>
      <c r="C242" t="s">
        <v>1437</v>
      </c>
      <c r="D242" s="1"/>
      <c r="E242" s="112">
        <v>2003.01</v>
      </c>
      <c r="F242" s="112">
        <v>2019.06</v>
      </c>
      <c r="G242" s="107"/>
      <c r="H242">
        <f>INDEX('GIS-Standards'!$A$2:$A$305,MATCH(B242,'GIS-Standards'!$B$2:$B$305,0))</f>
        <v>11</v>
      </c>
      <c r="I242" t="e">
        <f>INDEX('GIS-Standards'!$A$2:$A$305,MATCH(C242,'GIS-Standards'!$B$2:$B$305,0))</f>
        <v>#N/A</v>
      </c>
      <c r="J242" t="str">
        <f>INDEX('GIS-Standards'!$O$2:$O$305,MATCH(B242,'GIS-Standards'!$B$2:$B$305,0))</f>
        <v>ISO/TC 211</v>
      </c>
      <c r="K242" t="e">
        <f>INDEX('GIS-Standards'!$O$2:$O$305,MATCH(C242,'GIS-Standards'!$B$2:$B$305,0))</f>
        <v>#N/A</v>
      </c>
      <c r="M242" t="s">
        <v>525</v>
      </c>
      <c r="N242">
        <f>INDEX('GIS-Standards'!$I$2:$I$305,MATCH(B242,'GIS-Standards'!$B$2:$B$305,0))</f>
        <v>0</v>
      </c>
      <c r="O242" t="e">
        <f>INDEX('GIS-Standards'!$I$2:$I$305,MATCH(C242,'GIS-Standards'!$B$2:$B$305,0))</f>
        <v>#N/A</v>
      </c>
      <c r="P242" t="e">
        <f>AND(TableRelationships12[[#This Row],[Source Type]]="BIM",TableRelationships12[[#This Row],[Target Type]]="BIM")</f>
        <v>#N/A</v>
      </c>
      <c r="Q242">
        <f t="shared" si="9"/>
        <v>1</v>
      </c>
      <c r="S242">
        <f t="shared" si="10"/>
        <v>1</v>
      </c>
      <c r="T242" s="102" t="str">
        <f>IF(TableRelationships12[[#This Row],[Rank Pedro]]="Low","linkCategory1",IF(TableRelationships12[[#This Row],[Rank Pedro]]="Medium","linkCategory2",IF(TableRelationships12[[#This Row],[Rank Pedro]]="High","linkCategory3","")))</f>
        <v/>
      </c>
      <c r="U242" s="102" t="str">
        <f>IF(TableRelationships12[[#This Row],[Rank Pedro]]="Low","Pink",IF(TableRelationships12[[#This Row],[Rank Pedro]]="Medium","Purple",IF(TableRelationships12[[#This Row],[Rank Pedro]]="High","Brown","")))</f>
        <v/>
      </c>
      <c r="V242" s="4" t="e">
        <f>MAX(INDEX(Standards!$F$2:$F$296,MATCH(B242,Standards!$B$2:$B$296,0)),INDEX(Standards!$F$2:$F$296,MATCH(C242,Standards!$B$2:$B$296,0)))</f>
        <v>#N/A</v>
      </c>
      <c r="W242" t="str">
        <f t="shared" si="11"/>
        <v>#2f89d1</v>
      </c>
    </row>
    <row r="243" spans="1:23" x14ac:dyDescent="0.5">
      <c r="A243" s="54">
        <v>242</v>
      </c>
      <c r="B243" s="90" t="s">
        <v>631</v>
      </c>
      <c r="C243" t="s">
        <v>1438</v>
      </c>
      <c r="D243" s="1"/>
      <c r="E243" s="112">
        <v>1982.1</v>
      </c>
      <c r="F243" s="112">
        <v>2024.12</v>
      </c>
      <c r="G243" s="107"/>
      <c r="H243">
        <f>INDEX('GIS-Standards'!$A$2:$A$305,MATCH(B243,'GIS-Standards'!$B$2:$B$305,0))</f>
        <v>11</v>
      </c>
      <c r="I243" t="e">
        <f>INDEX('GIS-Standards'!$A$2:$A$305,MATCH(C243,'GIS-Standards'!$B$2:$B$305,0))</f>
        <v>#N/A</v>
      </c>
      <c r="J243" t="str">
        <f>INDEX('GIS-Standards'!$O$2:$O$305,MATCH(B243,'GIS-Standards'!$B$2:$B$305,0))</f>
        <v>ISO/TC 211</v>
      </c>
      <c r="K243" t="e">
        <f>INDEX('GIS-Standards'!$O$2:$O$305,MATCH(C243,'GIS-Standards'!$B$2:$B$305,0))</f>
        <v>#N/A</v>
      </c>
      <c r="M243" t="s">
        <v>525</v>
      </c>
      <c r="N243">
        <f>INDEX('GIS-Standards'!$I$2:$I$305,MATCH(B243,'GIS-Standards'!$B$2:$B$305,0))</f>
        <v>0</v>
      </c>
      <c r="O243" t="e">
        <f>INDEX('GIS-Standards'!$I$2:$I$305,MATCH(C243,'GIS-Standards'!$B$2:$B$305,0))</f>
        <v>#N/A</v>
      </c>
      <c r="P243" t="e">
        <f>AND(TableRelationships12[[#This Row],[Source Type]]="BIM",TableRelationships12[[#This Row],[Target Type]]="BIM")</f>
        <v>#N/A</v>
      </c>
      <c r="Q243">
        <f t="shared" si="9"/>
        <v>1</v>
      </c>
      <c r="S243">
        <f t="shared" si="10"/>
        <v>1</v>
      </c>
      <c r="T243" s="102" t="str">
        <f>IF(TableRelationships12[[#This Row],[Rank Pedro]]="Low","linkCategory1",IF(TableRelationships12[[#This Row],[Rank Pedro]]="Medium","linkCategory2",IF(TableRelationships12[[#This Row],[Rank Pedro]]="High","linkCategory3","")))</f>
        <v/>
      </c>
      <c r="U243" s="102" t="str">
        <f>IF(TableRelationships12[[#This Row],[Rank Pedro]]="Low","Pink",IF(TableRelationships12[[#This Row],[Rank Pedro]]="Medium","Purple",IF(TableRelationships12[[#This Row],[Rank Pedro]]="High","Brown","")))</f>
        <v/>
      </c>
      <c r="V243" s="4" t="e">
        <f>MAX(INDEX(Standards!$F$2:$F$296,MATCH(B243,Standards!$B$2:$B$296,0)),INDEX(Standards!$F$2:$F$296,MATCH(C243,Standards!$B$2:$B$296,0)))</f>
        <v>#N/A</v>
      </c>
      <c r="W243" t="str">
        <f t="shared" si="11"/>
        <v>#2f89d1</v>
      </c>
    </row>
    <row r="244" spans="1:23" x14ac:dyDescent="0.5">
      <c r="A244" s="54">
        <v>243</v>
      </c>
      <c r="B244" s="90" t="s">
        <v>631</v>
      </c>
      <c r="C244" t="s">
        <v>1250</v>
      </c>
      <c r="D244" s="1"/>
      <c r="E244" s="112">
        <v>1997.12</v>
      </c>
      <c r="F244" s="112">
        <v>2004.09</v>
      </c>
      <c r="G244" s="107" t="s">
        <v>1453</v>
      </c>
      <c r="H244">
        <f>INDEX('GIS-Standards'!$A$2:$A$305,MATCH(B244,'GIS-Standards'!$B$2:$B$305,0))</f>
        <v>11</v>
      </c>
      <c r="I244" t="e">
        <f>INDEX('GIS-Standards'!$A$2:$A$305,MATCH(C244,'GIS-Standards'!$B$2:$B$305,0))</f>
        <v>#N/A</v>
      </c>
      <c r="J244" t="str">
        <f>INDEX('GIS-Standards'!$O$2:$O$305,MATCH(B244,'GIS-Standards'!$B$2:$B$305,0))</f>
        <v>ISO/TC 211</v>
      </c>
      <c r="K244" t="e">
        <f>INDEX('GIS-Standards'!$O$2:$O$305,MATCH(C244,'GIS-Standards'!$B$2:$B$305,0))</f>
        <v>#N/A</v>
      </c>
      <c r="M244" t="s">
        <v>525</v>
      </c>
      <c r="N244">
        <f>INDEX('GIS-Standards'!$I$2:$I$305,MATCH(B244,'GIS-Standards'!$B$2:$B$305,0))</f>
        <v>0</v>
      </c>
      <c r="O244" t="e">
        <f>INDEX('GIS-Standards'!$I$2:$I$305,MATCH(C244,'GIS-Standards'!$B$2:$B$305,0))</f>
        <v>#N/A</v>
      </c>
      <c r="P244" t="e">
        <f>AND(TableRelationships12[[#This Row],[Source Type]]="BIM",TableRelationships12[[#This Row],[Target Type]]="BIM")</f>
        <v>#N/A</v>
      </c>
      <c r="Q244">
        <f t="shared" si="9"/>
        <v>1</v>
      </c>
      <c r="S244">
        <f t="shared" si="10"/>
        <v>1</v>
      </c>
      <c r="T244" s="102" t="str">
        <f>IF(TableRelationships12[[#This Row],[Rank Pedro]]="Low","linkCategory1",IF(TableRelationships12[[#This Row],[Rank Pedro]]="Medium","linkCategory2",IF(TableRelationships12[[#This Row],[Rank Pedro]]="High","linkCategory3","")))</f>
        <v/>
      </c>
      <c r="U244" s="102" t="str">
        <f>IF(TableRelationships12[[#This Row],[Rank Pedro]]="Low","Pink",IF(TableRelationships12[[#This Row],[Rank Pedro]]="Medium","Purple",IF(TableRelationships12[[#This Row],[Rank Pedro]]="High","Brown","")))</f>
        <v/>
      </c>
      <c r="V244" s="4" t="e">
        <f>MAX(INDEX(Standards!$F$2:$F$296,MATCH(B244,Standards!$B$2:$B$296,0)),INDEX(Standards!$F$2:$F$296,MATCH(C244,Standards!$B$2:$B$296,0)))</f>
        <v>#N/A</v>
      </c>
      <c r="W244" t="str">
        <f t="shared" si="11"/>
        <v>#2f89d1</v>
      </c>
    </row>
    <row r="245" spans="1:23" x14ac:dyDescent="0.5">
      <c r="A245" s="54">
        <v>244</v>
      </c>
      <c r="B245" s="90" t="s">
        <v>631</v>
      </c>
      <c r="C245" t="s">
        <v>1251</v>
      </c>
      <c r="D245" s="1"/>
      <c r="E245" s="112">
        <v>2004.07</v>
      </c>
      <c r="F245" s="112">
        <v>2008.11</v>
      </c>
      <c r="G245" s="107" t="s">
        <v>1453</v>
      </c>
      <c r="H245">
        <f>INDEX('GIS-Standards'!$A$2:$A$305,MATCH(B245,'GIS-Standards'!$B$2:$B$305,0))</f>
        <v>11</v>
      </c>
      <c r="I245" t="e">
        <f>INDEX('GIS-Standards'!$A$2:$A$305,MATCH(C245,'GIS-Standards'!$B$2:$B$305,0))</f>
        <v>#N/A</v>
      </c>
      <c r="J245" t="str">
        <f>INDEX('GIS-Standards'!$O$2:$O$305,MATCH(B245,'GIS-Standards'!$B$2:$B$305,0))</f>
        <v>ISO/TC 211</v>
      </c>
      <c r="K245" t="e">
        <f>INDEX('GIS-Standards'!$O$2:$O$305,MATCH(C245,'GIS-Standards'!$B$2:$B$305,0))</f>
        <v>#N/A</v>
      </c>
      <c r="M245" t="s">
        <v>525</v>
      </c>
      <c r="N245">
        <f>INDEX('GIS-Standards'!$I$2:$I$305,MATCH(B245,'GIS-Standards'!$B$2:$B$305,0))</f>
        <v>0</v>
      </c>
      <c r="O245" t="e">
        <f>INDEX('GIS-Standards'!$I$2:$I$305,MATCH(C245,'GIS-Standards'!$B$2:$B$305,0))</f>
        <v>#N/A</v>
      </c>
      <c r="P245" t="e">
        <f>AND(TableRelationships12[[#This Row],[Source Type]]="BIM",TableRelationships12[[#This Row],[Target Type]]="BIM")</f>
        <v>#N/A</v>
      </c>
      <c r="Q245">
        <f t="shared" si="9"/>
        <v>1</v>
      </c>
      <c r="S245">
        <f t="shared" si="10"/>
        <v>1</v>
      </c>
      <c r="T245" s="102" t="str">
        <f>IF(TableRelationships12[[#This Row],[Rank Pedro]]="Low","linkCategory1",IF(TableRelationships12[[#This Row],[Rank Pedro]]="Medium","linkCategory2",IF(TableRelationships12[[#This Row],[Rank Pedro]]="High","linkCategory3","")))</f>
        <v/>
      </c>
      <c r="U245" s="102" t="str">
        <f>IF(TableRelationships12[[#This Row],[Rank Pedro]]="Low","Pink",IF(TableRelationships12[[#This Row],[Rank Pedro]]="Medium","Purple",IF(TableRelationships12[[#This Row],[Rank Pedro]]="High","Brown","")))</f>
        <v/>
      </c>
      <c r="V245" s="4" t="e">
        <f>MAX(INDEX(Standards!$F$2:$F$296,MATCH(B245,Standards!$B$2:$B$296,0)),INDEX(Standards!$F$2:$F$296,MATCH(C245,Standards!$B$2:$B$296,0)))</f>
        <v>#N/A</v>
      </c>
      <c r="W245" t="str">
        <f t="shared" si="11"/>
        <v>#2f89d1</v>
      </c>
    </row>
    <row r="246" spans="1:23" x14ac:dyDescent="0.5">
      <c r="A246" s="54">
        <v>245</v>
      </c>
      <c r="B246" s="90" t="s">
        <v>631</v>
      </c>
      <c r="C246" t="s">
        <v>1252</v>
      </c>
      <c r="D246" s="1"/>
      <c r="E246" s="112">
        <v>2007.07</v>
      </c>
      <c r="F246" s="112">
        <v>2022.08</v>
      </c>
      <c r="G246" s="107" t="s">
        <v>1453</v>
      </c>
      <c r="H246">
        <f>INDEX('GIS-Standards'!$A$2:$A$305,MATCH(B246,'GIS-Standards'!$B$2:$B$305,0))</f>
        <v>11</v>
      </c>
      <c r="I246" t="e">
        <f>INDEX('GIS-Standards'!$A$2:$A$305,MATCH(C246,'GIS-Standards'!$B$2:$B$305,0))</f>
        <v>#N/A</v>
      </c>
      <c r="J246" t="str">
        <f>INDEX('GIS-Standards'!$O$2:$O$305,MATCH(B246,'GIS-Standards'!$B$2:$B$305,0))</f>
        <v>ISO/TC 211</v>
      </c>
      <c r="K246" t="e">
        <f>INDEX('GIS-Standards'!$O$2:$O$305,MATCH(C246,'GIS-Standards'!$B$2:$B$305,0))</f>
        <v>#N/A</v>
      </c>
      <c r="M246" t="s">
        <v>525</v>
      </c>
      <c r="N246">
        <f>INDEX('GIS-Standards'!$I$2:$I$305,MATCH(B246,'GIS-Standards'!$B$2:$B$305,0))</f>
        <v>0</v>
      </c>
      <c r="O246" t="e">
        <f>INDEX('GIS-Standards'!$I$2:$I$305,MATCH(C246,'GIS-Standards'!$B$2:$B$305,0))</f>
        <v>#N/A</v>
      </c>
      <c r="P246" t="e">
        <f>AND(TableRelationships12[[#This Row],[Source Type]]="BIM",TableRelationships12[[#This Row],[Target Type]]="BIM")</f>
        <v>#N/A</v>
      </c>
      <c r="Q246">
        <f t="shared" si="9"/>
        <v>1</v>
      </c>
      <c r="S246">
        <f t="shared" si="10"/>
        <v>1</v>
      </c>
      <c r="T246" s="102" t="str">
        <f>IF(TableRelationships12[[#This Row],[Rank Pedro]]="Low","linkCategory1",IF(TableRelationships12[[#This Row],[Rank Pedro]]="Medium","linkCategory2",IF(TableRelationships12[[#This Row],[Rank Pedro]]="High","linkCategory3","")))</f>
        <v/>
      </c>
      <c r="U246" s="102" t="str">
        <f>IF(TableRelationships12[[#This Row],[Rank Pedro]]="Low","Pink",IF(TableRelationships12[[#This Row],[Rank Pedro]]="Medium","Purple",IF(TableRelationships12[[#This Row],[Rank Pedro]]="High","Brown","")))</f>
        <v/>
      </c>
      <c r="V246" s="4" t="e">
        <f>MAX(INDEX(Standards!$F$2:$F$296,MATCH(B246,Standards!$B$2:$B$296,0)),INDEX(Standards!$F$2:$F$296,MATCH(C246,Standards!$B$2:$B$296,0)))</f>
        <v>#N/A</v>
      </c>
      <c r="W246" t="str">
        <f t="shared" si="11"/>
        <v>#2f89d1</v>
      </c>
    </row>
    <row r="247" spans="1:23" x14ac:dyDescent="0.5">
      <c r="A247" s="54">
        <v>246</v>
      </c>
      <c r="B247" s="90" t="s">
        <v>631</v>
      </c>
      <c r="C247" t="s">
        <v>1253</v>
      </c>
      <c r="D247" s="1"/>
      <c r="E247" s="112">
        <v>2012.09</v>
      </c>
      <c r="F247" s="112">
        <v>2025.03</v>
      </c>
      <c r="G247" s="107" t="s">
        <v>1455</v>
      </c>
      <c r="H247">
        <f>INDEX('GIS-Standards'!$A$2:$A$305,MATCH(B247,'GIS-Standards'!$B$2:$B$305,0))</f>
        <v>11</v>
      </c>
      <c r="I247" t="e">
        <f>INDEX('GIS-Standards'!$A$2:$A$305,MATCH(C247,'GIS-Standards'!$B$2:$B$305,0))</f>
        <v>#N/A</v>
      </c>
      <c r="J247" t="str">
        <f>INDEX('GIS-Standards'!$O$2:$O$305,MATCH(B247,'GIS-Standards'!$B$2:$B$305,0))</f>
        <v>ISO/TC 211</v>
      </c>
      <c r="K247" t="e">
        <f>INDEX('GIS-Standards'!$O$2:$O$305,MATCH(C247,'GIS-Standards'!$B$2:$B$305,0))</f>
        <v>#N/A</v>
      </c>
      <c r="M247" t="s">
        <v>525</v>
      </c>
      <c r="N247">
        <f>INDEX('GIS-Standards'!$I$2:$I$305,MATCH(B247,'GIS-Standards'!$B$2:$B$305,0))</f>
        <v>0</v>
      </c>
      <c r="O247" t="e">
        <f>INDEX('GIS-Standards'!$I$2:$I$305,MATCH(C247,'GIS-Standards'!$B$2:$B$305,0))</f>
        <v>#N/A</v>
      </c>
      <c r="P247" t="e">
        <f>AND(TableRelationships12[[#This Row],[Source Type]]="BIM",TableRelationships12[[#This Row],[Target Type]]="BIM")</f>
        <v>#N/A</v>
      </c>
      <c r="Q247">
        <f t="shared" si="9"/>
        <v>1</v>
      </c>
      <c r="S247">
        <f t="shared" si="10"/>
        <v>1</v>
      </c>
      <c r="T247" s="102" t="str">
        <f>IF(TableRelationships12[[#This Row],[Rank Pedro]]="Low","linkCategory1",IF(TableRelationships12[[#This Row],[Rank Pedro]]="Medium","linkCategory2",IF(TableRelationships12[[#This Row],[Rank Pedro]]="High","linkCategory3","")))</f>
        <v/>
      </c>
      <c r="U247" s="102" t="str">
        <f>IF(TableRelationships12[[#This Row],[Rank Pedro]]="Low","Pink",IF(TableRelationships12[[#This Row],[Rank Pedro]]="Medium","Purple",IF(TableRelationships12[[#This Row],[Rank Pedro]]="High","Brown","")))</f>
        <v/>
      </c>
      <c r="V247" s="4" t="e">
        <f>MAX(INDEX(Standards!$F$2:$F$296,MATCH(B247,Standards!$B$2:$B$296,0)),INDEX(Standards!$F$2:$F$296,MATCH(C247,Standards!$B$2:$B$296,0)))</f>
        <v>#N/A</v>
      </c>
      <c r="W247" t="str">
        <f t="shared" si="11"/>
        <v>#2f89d1</v>
      </c>
    </row>
    <row r="248" spans="1:23" x14ac:dyDescent="0.5">
      <c r="A248" s="54">
        <v>247</v>
      </c>
      <c r="B248" s="90" t="s">
        <v>631</v>
      </c>
      <c r="C248" t="s">
        <v>1254</v>
      </c>
      <c r="D248" s="1"/>
      <c r="E248" s="112">
        <v>2001.12</v>
      </c>
      <c r="F248" s="112">
        <v>2001.12</v>
      </c>
      <c r="G248" s="107" t="s">
        <v>1453</v>
      </c>
      <c r="H248">
        <f>INDEX('GIS-Standards'!$A$2:$A$305,MATCH(B248,'GIS-Standards'!$B$2:$B$305,0))</f>
        <v>11</v>
      </c>
      <c r="I248" t="e">
        <f>INDEX('GIS-Standards'!$A$2:$A$305,MATCH(C248,'GIS-Standards'!$B$2:$B$305,0))</f>
        <v>#N/A</v>
      </c>
      <c r="J248" t="str">
        <f>INDEX('GIS-Standards'!$O$2:$O$305,MATCH(B248,'GIS-Standards'!$B$2:$B$305,0))</f>
        <v>ISO/TC 211</v>
      </c>
      <c r="K248" t="e">
        <f>INDEX('GIS-Standards'!$O$2:$O$305,MATCH(C248,'GIS-Standards'!$B$2:$B$305,0))</f>
        <v>#N/A</v>
      </c>
      <c r="M248" t="s">
        <v>525</v>
      </c>
      <c r="N248">
        <f>INDEX('GIS-Standards'!$I$2:$I$305,MATCH(B248,'GIS-Standards'!$B$2:$B$305,0))</f>
        <v>0</v>
      </c>
      <c r="O248" t="e">
        <f>INDEX('GIS-Standards'!$I$2:$I$305,MATCH(C248,'GIS-Standards'!$B$2:$B$305,0))</f>
        <v>#N/A</v>
      </c>
      <c r="P248" t="e">
        <f>AND(TableRelationships12[[#This Row],[Source Type]]="BIM",TableRelationships12[[#This Row],[Target Type]]="BIM")</f>
        <v>#N/A</v>
      </c>
      <c r="Q248">
        <f t="shared" si="9"/>
        <v>1</v>
      </c>
      <c r="S248">
        <f t="shared" si="10"/>
        <v>1</v>
      </c>
      <c r="T248" s="102" t="str">
        <f>IF(TableRelationships12[[#This Row],[Rank Pedro]]="Low","linkCategory1",IF(TableRelationships12[[#This Row],[Rank Pedro]]="Medium","linkCategory2",IF(TableRelationships12[[#This Row],[Rank Pedro]]="High","linkCategory3","")))</f>
        <v/>
      </c>
      <c r="U248" s="102" t="str">
        <f>IF(TableRelationships12[[#This Row],[Rank Pedro]]="Low","Pink",IF(TableRelationships12[[#This Row],[Rank Pedro]]="Medium","Purple",IF(TableRelationships12[[#This Row],[Rank Pedro]]="High","Brown","")))</f>
        <v/>
      </c>
      <c r="V248" s="4" t="e">
        <f>MAX(INDEX(Standards!$F$2:$F$296,MATCH(B248,Standards!$B$2:$B$296,0)),INDEX(Standards!$F$2:$F$296,MATCH(C248,Standards!$B$2:$B$296,0)))</f>
        <v>#N/A</v>
      </c>
      <c r="W248" t="str">
        <f t="shared" si="11"/>
        <v>#2f89d1</v>
      </c>
    </row>
    <row r="249" spans="1:23" x14ac:dyDescent="0.5">
      <c r="A249" s="54">
        <v>248</v>
      </c>
      <c r="B249" s="90" t="s">
        <v>631</v>
      </c>
      <c r="C249" t="s">
        <v>293</v>
      </c>
      <c r="D249" s="1"/>
      <c r="E249" s="112">
        <v>2002.07</v>
      </c>
      <c r="F249" s="112">
        <v>2014.11</v>
      </c>
      <c r="G249" s="107" t="s">
        <v>670</v>
      </c>
      <c r="H249">
        <f>INDEX('GIS-Standards'!$A$2:$A$305,MATCH(B249,'GIS-Standards'!$B$2:$B$305,0))</f>
        <v>11</v>
      </c>
      <c r="I249">
        <f>INDEX('GIS-Standards'!$A$2:$A$305,MATCH(C249,'GIS-Standards'!$B$2:$B$305,0))</f>
        <v>10</v>
      </c>
      <c r="J249" t="str">
        <f>INDEX('GIS-Standards'!$O$2:$O$305,MATCH(B249,'GIS-Standards'!$B$2:$B$305,0))</f>
        <v>ISO/TC 211</v>
      </c>
      <c r="K249" t="str">
        <f>INDEX('GIS-Standards'!$O$2:$O$305,MATCH(C249,'GIS-Standards'!$B$2:$B$305,0))</f>
        <v>ISO/TC 211</v>
      </c>
      <c r="M249" t="s">
        <v>525</v>
      </c>
      <c r="N249">
        <f>INDEX('GIS-Standards'!$I$2:$I$305,MATCH(B249,'GIS-Standards'!$B$2:$B$305,0))</f>
        <v>0</v>
      </c>
      <c r="O249">
        <f>INDEX('GIS-Standards'!$I$2:$I$305,MATCH(C249,'GIS-Standards'!$B$2:$B$305,0))</f>
        <v>0</v>
      </c>
      <c r="P249" t="b">
        <f>AND(TableRelationships12[[#This Row],[Source Type]]="BIM",TableRelationships12[[#This Row],[Target Type]]="BIM")</f>
        <v>0</v>
      </c>
      <c r="Q249">
        <f t="shared" si="9"/>
        <v>1</v>
      </c>
      <c r="S249">
        <f t="shared" si="10"/>
        <v>1</v>
      </c>
      <c r="T249" s="102" t="str">
        <f>IF(TableRelationships12[[#This Row],[Rank Pedro]]="Low","linkCategory1",IF(TableRelationships12[[#This Row],[Rank Pedro]]="Medium","linkCategory2",IF(TableRelationships12[[#This Row],[Rank Pedro]]="High","linkCategory3","")))</f>
        <v/>
      </c>
      <c r="U249" s="102" t="str">
        <f>IF(TableRelationships12[[#This Row],[Rank Pedro]]="Low","Pink",IF(TableRelationships12[[#This Row],[Rank Pedro]]="Medium","Purple",IF(TableRelationships12[[#This Row],[Rank Pedro]]="High","Brown","")))</f>
        <v/>
      </c>
      <c r="V249" s="4" t="e">
        <f>MAX(INDEX(Standards!$F$2:$F$296,MATCH(B249,Standards!$B$2:$B$296,0)),INDEX(Standards!$F$2:$F$296,MATCH(C249,Standards!$B$2:$B$296,0)))</f>
        <v>#N/A</v>
      </c>
      <c r="W249" t="str">
        <f t="shared" si="11"/>
        <v>#2f89d1</v>
      </c>
    </row>
    <row r="250" spans="1:23" x14ac:dyDescent="0.5">
      <c r="A250" s="54">
        <v>249</v>
      </c>
      <c r="B250" s="90" t="s">
        <v>631</v>
      </c>
      <c r="C250" t="s">
        <v>296</v>
      </c>
      <c r="D250" s="1"/>
      <c r="E250" s="112">
        <v>2005.07</v>
      </c>
      <c r="F250" s="112">
        <v>2024.09</v>
      </c>
      <c r="G250" s="107" t="s">
        <v>670</v>
      </c>
      <c r="H250">
        <f>INDEX('GIS-Standards'!$A$2:$A$305,MATCH(B250,'GIS-Standards'!$B$2:$B$305,0))</f>
        <v>11</v>
      </c>
      <c r="I250">
        <f>INDEX('GIS-Standards'!$A$2:$A$305,MATCH(C250,'GIS-Standards'!$B$2:$B$305,0))</f>
        <v>12</v>
      </c>
      <c r="J250" t="str">
        <f>INDEX('GIS-Standards'!$O$2:$O$305,MATCH(B250,'GIS-Standards'!$B$2:$B$305,0))</f>
        <v>ISO/TC 211</v>
      </c>
      <c r="K250" t="str">
        <f>INDEX('GIS-Standards'!$O$2:$O$305,MATCH(C250,'GIS-Standards'!$B$2:$B$305,0))</f>
        <v>ISO/TC 211</v>
      </c>
      <c r="M250" t="s">
        <v>525</v>
      </c>
      <c r="N250">
        <f>INDEX('GIS-Standards'!$I$2:$I$305,MATCH(B250,'GIS-Standards'!$B$2:$B$305,0))</f>
        <v>0</v>
      </c>
      <c r="O250">
        <f>INDEX('GIS-Standards'!$I$2:$I$305,MATCH(C250,'GIS-Standards'!$B$2:$B$305,0))</f>
        <v>0</v>
      </c>
      <c r="P250" t="b">
        <f>AND(TableRelationships12[[#This Row],[Source Type]]="BIM",TableRelationships12[[#This Row],[Target Type]]="BIM")</f>
        <v>0</v>
      </c>
      <c r="Q250">
        <f t="shared" si="9"/>
        <v>1</v>
      </c>
      <c r="S250">
        <f t="shared" si="10"/>
        <v>1</v>
      </c>
      <c r="T250" s="102" t="str">
        <f>IF(TableRelationships12[[#This Row],[Rank Pedro]]="Low","linkCategory1",IF(TableRelationships12[[#This Row],[Rank Pedro]]="Medium","linkCategory2",IF(TableRelationships12[[#This Row],[Rank Pedro]]="High","linkCategory3","")))</f>
        <v/>
      </c>
      <c r="U250" s="102" t="str">
        <f>IF(TableRelationships12[[#This Row],[Rank Pedro]]="Low","Pink",IF(TableRelationships12[[#This Row],[Rank Pedro]]="Medium","Purple",IF(TableRelationships12[[#This Row],[Rank Pedro]]="High","Brown","")))</f>
        <v/>
      </c>
      <c r="V250" s="4" t="e">
        <f>MAX(INDEX(Standards!$F$2:$F$296,MATCH(B250,Standards!$B$2:$B$296,0)),INDEX(Standards!$F$2:$F$296,MATCH(C250,Standards!$B$2:$B$296,0)))</f>
        <v>#N/A</v>
      </c>
      <c r="W250" t="str">
        <f t="shared" si="11"/>
        <v>#2f89d1</v>
      </c>
    </row>
    <row r="251" spans="1:23" x14ac:dyDescent="0.5">
      <c r="A251" s="54">
        <v>250</v>
      </c>
      <c r="B251" s="90" t="s">
        <v>631</v>
      </c>
      <c r="C251" t="s">
        <v>306</v>
      </c>
      <c r="D251" s="1"/>
      <c r="E251" s="112">
        <v>2005.06</v>
      </c>
      <c r="F251" s="112">
        <v>2025.07</v>
      </c>
      <c r="G251" s="107" t="s">
        <v>670</v>
      </c>
      <c r="H251">
        <f>INDEX('GIS-Standards'!$A$2:$A$305,MATCH(B251,'GIS-Standards'!$B$2:$B$305,0))</f>
        <v>11</v>
      </c>
      <c r="I251">
        <f>INDEX('GIS-Standards'!$A$2:$A$305,MATCH(C251,'GIS-Standards'!$B$2:$B$305,0))</f>
        <v>18</v>
      </c>
      <c r="J251" t="str">
        <f>INDEX('GIS-Standards'!$O$2:$O$305,MATCH(B251,'GIS-Standards'!$B$2:$B$305,0))</f>
        <v>ISO/TC 211</v>
      </c>
      <c r="K251" t="str">
        <f>INDEX('GIS-Standards'!$O$2:$O$305,MATCH(C251,'GIS-Standards'!$B$2:$B$305,0))</f>
        <v>ISO/TC 211</v>
      </c>
      <c r="M251" t="s">
        <v>525</v>
      </c>
      <c r="N251">
        <f>INDEX('GIS-Standards'!$I$2:$I$305,MATCH(B251,'GIS-Standards'!$B$2:$B$305,0))</f>
        <v>0</v>
      </c>
      <c r="O251">
        <f>INDEX('GIS-Standards'!$I$2:$I$305,MATCH(C251,'GIS-Standards'!$B$2:$B$305,0))</f>
        <v>0</v>
      </c>
      <c r="P251" t="b">
        <f>AND(TableRelationships12[[#This Row],[Source Type]]="BIM",TableRelationships12[[#This Row],[Target Type]]="BIM")</f>
        <v>0</v>
      </c>
      <c r="Q251">
        <f t="shared" si="9"/>
        <v>1</v>
      </c>
      <c r="S251">
        <f t="shared" si="10"/>
        <v>1</v>
      </c>
      <c r="T251" s="102" t="str">
        <f>IF(TableRelationships12[[#This Row],[Rank Pedro]]="Low","linkCategory1",IF(TableRelationships12[[#This Row],[Rank Pedro]]="Medium","linkCategory2",IF(TableRelationships12[[#This Row],[Rank Pedro]]="High","linkCategory3","")))</f>
        <v/>
      </c>
      <c r="U251" s="102" t="str">
        <f>IF(TableRelationships12[[#This Row],[Rank Pedro]]="Low","Pink",IF(TableRelationships12[[#This Row],[Rank Pedro]]="Medium","Purple",IF(TableRelationships12[[#This Row],[Rank Pedro]]="High","Brown","")))</f>
        <v/>
      </c>
      <c r="V251" s="4" t="e">
        <f>MAX(INDEX(Standards!$F$2:$F$296,MATCH(B251,Standards!$B$2:$B$296,0)),INDEX(Standards!$F$2:$F$296,MATCH(C251,Standards!$B$2:$B$296,0)))</f>
        <v>#N/A</v>
      </c>
      <c r="W251" t="str">
        <f t="shared" si="11"/>
        <v>#2f89d1</v>
      </c>
    </row>
    <row r="252" spans="1:23" x14ac:dyDescent="0.5">
      <c r="A252" s="54">
        <v>251</v>
      </c>
      <c r="B252" s="90" t="s">
        <v>631</v>
      </c>
      <c r="C252" t="s">
        <v>308</v>
      </c>
      <c r="D252" s="1"/>
      <c r="E252" s="112">
        <v>2005.02</v>
      </c>
      <c r="F252" s="112">
        <v>2016.12</v>
      </c>
      <c r="G252" s="107" t="s">
        <v>670</v>
      </c>
      <c r="H252">
        <f>INDEX('GIS-Standards'!$A$2:$A$305,MATCH(B252,'GIS-Standards'!$B$2:$B$305,0))</f>
        <v>11</v>
      </c>
      <c r="I252">
        <f>INDEX('GIS-Standards'!$A$2:$A$305,MATCH(C252,'GIS-Standards'!$B$2:$B$305,0))</f>
        <v>19</v>
      </c>
      <c r="J252" t="str">
        <f>INDEX('GIS-Standards'!$O$2:$O$305,MATCH(B252,'GIS-Standards'!$B$2:$B$305,0))</f>
        <v>ISO/TC 211</v>
      </c>
      <c r="K252" t="str">
        <f>INDEX('GIS-Standards'!$O$2:$O$305,MATCH(C252,'GIS-Standards'!$B$2:$B$305,0))</f>
        <v>ISO/TC 211</v>
      </c>
      <c r="M252" t="s">
        <v>525</v>
      </c>
      <c r="N252">
        <f>INDEX('GIS-Standards'!$I$2:$I$305,MATCH(B252,'GIS-Standards'!$B$2:$B$305,0))</f>
        <v>0</v>
      </c>
      <c r="O252">
        <f>INDEX('GIS-Standards'!$I$2:$I$305,MATCH(C252,'GIS-Standards'!$B$2:$B$305,0))</f>
        <v>0</v>
      </c>
      <c r="P252" t="b">
        <f>AND(TableRelationships12[[#This Row],[Source Type]]="BIM",TableRelationships12[[#This Row],[Target Type]]="BIM")</f>
        <v>0</v>
      </c>
      <c r="Q252">
        <f t="shared" si="9"/>
        <v>1</v>
      </c>
      <c r="S252">
        <f t="shared" si="10"/>
        <v>1</v>
      </c>
      <c r="T252" s="102" t="str">
        <f>IF(TableRelationships12[[#This Row],[Rank Pedro]]="Low","linkCategory1",IF(TableRelationships12[[#This Row],[Rank Pedro]]="Medium","linkCategory2",IF(TableRelationships12[[#This Row],[Rank Pedro]]="High","linkCategory3","")))</f>
        <v/>
      </c>
      <c r="U252" s="102" t="str">
        <f>IF(TableRelationships12[[#This Row],[Rank Pedro]]="Low","Pink",IF(TableRelationships12[[#This Row],[Rank Pedro]]="Medium","Purple",IF(TableRelationships12[[#This Row],[Rank Pedro]]="High","Brown","")))</f>
        <v/>
      </c>
      <c r="V252" s="4" t="e">
        <f>MAX(INDEX(Standards!$F$2:$F$296,MATCH(B252,Standards!$B$2:$B$296,0)),INDEX(Standards!$F$2:$F$296,MATCH(C252,Standards!$B$2:$B$296,0)))</f>
        <v>#N/A</v>
      </c>
      <c r="W252" t="str">
        <f t="shared" si="11"/>
        <v>#2f89d1</v>
      </c>
    </row>
    <row r="253" spans="1:23" x14ac:dyDescent="0.5">
      <c r="A253" s="54">
        <v>252</v>
      </c>
      <c r="B253" s="90" t="s">
        <v>631</v>
      </c>
      <c r="C253" t="s">
        <v>1043</v>
      </c>
      <c r="D253" s="1"/>
      <c r="E253" s="112">
        <v>2004.07</v>
      </c>
      <c r="F253" s="112">
        <v>2025.04</v>
      </c>
      <c r="G253" s="107" t="s">
        <v>670</v>
      </c>
      <c r="H253">
        <f>INDEX('GIS-Standards'!$A$2:$A$305,MATCH(B253,'GIS-Standards'!$B$2:$B$305,0))</f>
        <v>11</v>
      </c>
      <c r="I253">
        <f>INDEX('GIS-Standards'!$A$2:$A$305,MATCH(C253,'GIS-Standards'!$B$2:$B$305,0))</f>
        <v>25</v>
      </c>
      <c r="J253" t="str">
        <f>INDEX('GIS-Standards'!$O$2:$O$305,MATCH(B253,'GIS-Standards'!$B$2:$B$305,0))</f>
        <v>ISO/TC 211</v>
      </c>
      <c r="K253" t="str">
        <f>INDEX('GIS-Standards'!$O$2:$O$305,MATCH(C253,'GIS-Standards'!$B$2:$B$305,0))</f>
        <v>ISO/TC 211</v>
      </c>
      <c r="M253" t="s">
        <v>525</v>
      </c>
      <c r="N253">
        <f>INDEX('GIS-Standards'!$I$2:$I$305,MATCH(B253,'GIS-Standards'!$B$2:$B$305,0))</f>
        <v>0</v>
      </c>
      <c r="O253">
        <f>INDEX('GIS-Standards'!$I$2:$I$305,MATCH(C253,'GIS-Standards'!$B$2:$B$305,0))</f>
        <v>0</v>
      </c>
      <c r="P253" t="b">
        <f>AND(TableRelationships12[[#This Row],[Source Type]]="BIM",TableRelationships12[[#This Row],[Target Type]]="BIM")</f>
        <v>0</v>
      </c>
      <c r="Q253">
        <f t="shared" si="9"/>
        <v>1</v>
      </c>
      <c r="S253">
        <f t="shared" si="10"/>
        <v>1</v>
      </c>
      <c r="T253" s="102" t="str">
        <f>IF(TableRelationships12[[#This Row],[Rank Pedro]]="Low","linkCategory1",IF(TableRelationships12[[#This Row],[Rank Pedro]]="Medium","linkCategory2",IF(TableRelationships12[[#This Row],[Rank Pedro]]="High","linkCategory3","")))</f>
        <v/>
      </c>
      <c r="U253" s="102" t="str">
        <f>IF(TableRelationships12[[#This Row],[Rank Pedro]]="Low","Pink",IF(TableRelationships12[[#This Row],[Rank Pedro]]="Medium","Purple",IF(TableRelationships12[[#This Row],[Rank Pedro]]="High","Brown","")))</f>
        <v/>
      </c>
      <c r="V253" s="4" t="e">
        <f>MAX(INDEX(Standards!$F$2:$F$296,MATCH(B253,Standards!$B$2:$B$296,0)),INDEX(Standards!$F$2:$F$296,MATCH(C253,Standards!$B$2:$B$296,0)))</f>
        <v>#N/A</v>
      </c>
      <c r="W253" t="str">
        <f t="shared" si="11"/>
        <v>#2f89d1</v>
      </c>
    </row>
    <row r="254" spans="1:23" x14ac:dyDescent="0.5">
      <c r="A254" s="54">
        <v>253</v>
      </c>
      <c r="B254" s="90" t="s">
        <v>631</v>
      </c>
      <c r="C254" t="s">
        <v>1044</v>
      </c>
      <c r="D254" s="1"/>
      <c r="E254" s="112">
        <v>2005.06</v>
      </c>
      <c r="F254" s="112">
        <v>2012.12</v>
      </c>
      <c r="G254" s="107" t="s">
        <v>670</v>
      </c>
      <c r="H254">
        <f>INDEX('GIS-Standards'!$A$2:$A$305,MATCH(B254,'GIS-Standards'!$B$2:$B$305,0))</f>
        <v>11</v>
      </c>
      <c r="I254">
        <f>INDEX('GIS-Standards'!$A$2:$A$305,MATCH(C254,'GIS-Standards'!$B$2:$B$305,0))</f>
        <v>26</v>
      </c>
      <c r="J254" t="str">
        <f>INDEX('GIS-Standards'!$O$2:$O$305,MATCH(B254,'GIS-Standards'!$B$2:$B$305,0))</f>
        <v>ISO/TC 211</v>
      </c>
      <c r="K254" t="str">
        <f>INDEX('GIS-Standards'!$O$2:$O$305,MATCH(C254,'GIS-Standards'!$B$2:$B$305,0))</f>
        <v>ISO/TC 211</v>
      </c>
      <c r="M254" t="s">
        <v>525</v>
      </c>
      <c r="N254">
        <f>INDEX('GIS-Standards'!$I$2:$I$305,MATCH(B254,'GIS-Standards'!$B$2:$B$305,0))</f>
        <v>0</v>
      </c>
      <c r="O254">
        <f>INDEX('GIS-Standards'!$I$2:$I$305,MATCH(C254,'GIS-Standards'!$B$2:$B$305,0))</f>
        <v>0</v>
      </c>
      <c r="P254" t="b">
        <f>AND(TableRelationships12[[#This Row],[Source Type]]="BIM",TableRelationships12[[#This Row],[Target Type]]="BIM")</f>
        <v>0</v>
      </c>
      <c r="Q254">
        <f t="shared" si="9"/>
        <v>1</v>
      </c>
      <c r="S254">
        <f t="shared" si="10"/>
        <v>1</v>
      </c>
      <c r="T254" s="102" t="str">
        <f>IF(TableRelationships12[[#This Row],[Rank Pedro]]="Low","linkCategory1",IF(TableRelationships12[[#This Row],[Rank Pedro]]="Medium","linkCategory2",IF(TableRelationships12[[#This Row],[Rank Pedro]]="High","linkCategory3","")))</f>
        <v/>
      </c>
      <c r="U254" s="102" t="str">
        <f>IF(TableRelationships12[[#This Row],[Rank Pedro]]="Low","Pink",IF(TableRelationships12[[#This Row],[Rank Pedro]]="Medium","Purple",IF(TableRelationships12[[#This Row],[Rank Pedro]]="High","Brown","")))</f>
        <v/>
      </c>
      <c r="V254" s="4" t="e">
        <f>MAX(INDEX(Standards!$F$2:$F$296,MATCH(B254,Standards!$B$2:$B$296,0)),INDEX(Standards!$F$2:$F$296,MATCH(C254,Standards!$B$2:$B$296,0)))</f>
        <v>#N/A</v>
      </c>
      <c r="W254" t="str">
        <f t="shared" si="11"/>
        <v>#2f89d1</v>
      </c>
    </row>
    <row r="255" spans="1:23" x14ac:dyDescent="0.5">
      <c r="A255" s="54">
        <v>254</v>
      </c>
      <c r="B255" s="90" t="s">
        <v>631</v>
      </c>
      <c r="C255" t="s">
        <v>316</v>
      </c>
      <c r="D255" s="1"/>
      <c r="E255" s="112">
        <v>2005.07</v>
      </c>
      <c r="F255" s="112">
        <v>2011.1</v>
      </c>
      <c r="G255" s="107" t="s">
        <v>670</v>
      </c>
      <c r="H255">
        <f>INDEX('GIS-Standards'!$A$2:$A$305,MATCH(B255,'GIS-Standards'!$B$2:$B$305,0))</f>
        <v>11</v>
      </c>
      <c r="I255">
        <f>INDEX('GIS-Standards'!$A$2:$A$305,MATCH(C255,'GIS-Standards'!$B$2:$B$305,0))</f>
        <v>27</v>
      </c>
      <c r="J255" t="str">
        <f>INDEX('GIS-Standards'!$O$2:$O$305,MATCH(B255,'GIS-Standards'!$B$2:$B$305,0))</f>
        <v>ISO/TC 211</v>
      </c>
      <c r="K255" t="str">
        <f>INDEX('GIS-Standards'!$O$2:$O$305,MATCH(C255,'GIS-Standards'!$B$2:$B$305,0))</f>
        <v>ISO/TC 211</v>
      </c>
      <c r="M255" t="s">
        <v>525</v>
      </c>
      <c r="N255">
        <f>INDEX('GIS-Standards'!$I$2:$I$305,MATCH(B255,'GIS-Standards'!$B$2:$B$305,0))</f>
        <v>0</v>
      </c>
      <c r="O255">
        <f>INDEX('GIS-Standards'!$I$2:$I$305,MATCH(C255,'GIS-Standards'!$B$2:$B$305,0))</f>
        <v>0</v>
      </c>
      <c r="P255" t="b">
        <f>AND(TableRelationships12[[#This Row],[Source Type]]="BIM",TableRelationships12[[#This Row],[Target Type]]="BIM")</f>
        <v>0</v>
      </c>
      <c r="Q255">
        <f t="shared" si="9"/>
        <v>1</v>
      </c>
      <c r="S255">
        <f t="shared" si="10"/>
        <v>1</v>
      </c>
      <c r="T255" s="102" t="str">
        <f>IF(TableRelationships12[[#This Row],[Rank Pedro]]="Low","linkCategory1",IF(TableRelationships12[[#This Row],[Rank Pedro]]="Medium","linkCategory2",IF(TableRelationships12[[#This Row],[Rank Pedro]]="High","linkCategory3","")))</f>
        <v/>
      </c>
      <c r="U255" s="102" t="str">
        <f>IF(TableRelationships12[[#This Row],[Rank Pedro]]="Low","Pink",IF(TableRelationships12[[#This Row],[Rank Pedro]]="Medium","Purple",IF(TableRelationships12[[#This Row],[Rank Pedro]]="High","Brown","")))</f>
        <v/>
      </c>
      <c r="V255" s="4" t="e">
        <f>MAX(INDEX(Standards!$F$2:$F$296,MATCH(B255,Standards!$B$2:$B$296,0)),INDEX(Standards!$F$2:$F$296,MATCH(C255,Standards!$B$2:$B$296,0)))</f>
        <v>#N/A</v>
      </c>
      <c r="W255" t="str">
        <f t="shared" si="11"/>
        <v>#2f89d1</v>
      </c>
    </row>
    <row r="256" spans="1:23" x14ac:dyDescent="0.5">
      <c r="A256" s="54">
        <v>255</v>
      </c>
      <c r="B256" s="90" t="s">
        <v>631</v>
      </c>
      <c r="C256" t="s">
        <v>1255</v>
      </c>
      <c r="D256" s="1"/>
      <c r="E256" s="112">
        <v>2004.03</v>
      </c>
      <c r="F256" s="112">
        <v>2016.03</v>
      </c>
      <c r="G256" s="107" t="s">
        <v>1479</v>
      </c>
      <c r="H256">
        <f>INDEX('GIS-Standards'!$A$2:$A$305,MATCH(B256,'GIS-Standards'!$B$2:$B$305,0))</f>
        <v>11</v>
      </c>
      <c r="I256" t="e">
        <f>INDEX('GIS-Standards'!$A$2:$A$305,MATCH(C256,'GIS-Standards'!$B$2:$B$305,0))</f>
        <v>#N/A</v>
      </c>
      <c r="J256" t="str">
        <f>INDEX('GIS-Standards'!$O$2:$O$305,MATCH(B256,'GIS-Standards'!$B$2:$B$305,0))</f>
        <v>ISO/TC 211</v>
      </c>
      <c r="K256" t="e">
        <f>INDEX('GIS-Standards'!$O$2:$O$305,MATCH(C256,'GIS-Standards'!$B$2:$B$305,0))</f>
        <v>#N/A</v>
      </c>
      <c r="M256" t="s">
        <v>525</v>
      </c>
      <c r="N256">
        <f>INDEX('GIS-Standards'!$I$2:$I$305,MATCH(B256,'GIS-Standards'!$B$2:$B$305,0))</f>
        <v>0</v>
      </c>
      <c r="O256" t="e">
        <f>INDEX('GIS-Standards'!$I$2:$I$305,MATCH(C256,'GIS-Standards'!$B$2:$B$305,0))</f>
        <v>#N/A</v>
      </c>
      <c r="P256" t="e">
        <f>AND(TableRelationships12[[#This Row],[Source Type]]="BIM",TableRelationships12[[#This Row],[Target Type]]="BIM")</f>
        <v>#N/A</v>
      </c>
      <c r="Q256">
        <f t="shared" si="9"/>
        <v>1</v>
      </c>
      <c r="S256">
        <f t="shared" si="10"/>
        <v>1</v>
      </c>
      <c r="T256" s="102" t="str">
        <f>IF(TableRelationships12[[#This Row],[Rank Pedro]]="Low","linkCategory1",IF(TableRelationships12[[#This Row],[Rank Pedro]]="Medium","linkCategory2",IF(TableRelationships12[[#This Row],[Rank Pedro]]="High","linkCategory3","")))</f>
        <v/>
      </c>
      <c r="U256" s="102" t="str">
        <f>IF(TableRelationships12[[#This Row],[Rank Pedro]]="Low","Pink",IF(TableRelationships12[[#This Row],[Rank Pedro]]="Medium","Purple",IF(TableRelationships12[[#This Row],[Rank Pedro]]="High","Brown","")))</f>
        <v/>
      </c>
      <c r="V256" s="4" t="e">
        <f>MAX(INDEX(Standards!$F$2:$F$296,MATCH(B256,Standards!$B$2:$B$296,0)),INDEX(Standards!$F$2:$F$296,MATCH(C256,Standards!$B$2:$B$296,0)))</f>
        <v>#N/A</v>
      </c>
      <c r="W256" t="str">
        <f t="shared" si="11"/>
        <v>#2f89d1</v>
      </c>
    </row>
    <row r="257" spans="1:23" x14ac:dyDescent="0.5">
      <c r="A257" s="54">
        <v>256</v>
      </c>
      <c r="B257" s="90" t="s">
        <v>631</v>
      </c>
      <c r="C257" t="s">
        <v>1256</v>
      </c>
      <c r="D257" s="1"/>
      <c r="E257" s="112">
        <v>2006.08</v>
      </c>
      <c r="F257" s="112">
        <v>2013.04</v>
      </c>
      <c r="G257" s="107" t="s">
        <v>1479</v>
      </c>
      <c r="H257">
        <f>INDEX('GIS-Standards'!$A$2:$A$305,MATCH(B257,'GIS-Standards'!$B$2:$B$305,0))</f>
        <v>11</v>
      </c>
      <c r="I257" t="e">
        <f>INDEX('GIS-Standards'!$A$2:$A$305,MATCH(C257,'GIS-Standards'!$B$2:$B$305,0))</f>
        <v>#N/A</v>
      </c>
      <c r="J257" t="str">
        <f>INDEX('GIS-Standards'!$O$2:$O$305,MATCH(B257,'GIS-Standards'!$B$2:$B$305,0))</f>
        <v>ISO/TC 211</v>
      </c>
      <c r="K257" t="e">
        <f>INDEX('GIS-Standards'!$O$2:$O$305,MATCH(C257,'GIS-Standards'!$B$2:$B$305,0))</f>
        <v>#N/A</v>
      </c>
      <c r="M257" t="s">
        <v>525</v>
      </c>
      <c r="N257">
        <f>INDEX('GIS-Standards'!$I$2:$I$305,MATCH(B257,'GIS-Standards'!$B$2:$B$305,0))</f>
        <v>0</v>
      </c>
      <c r="O257" t="e">
        <f>INDEX('GIS-Standards'!$I$2:$I$305,MATCH(C257,'GIS-Standards'!$B$2:$B$305,0))</f>
        <v>#N/A</v>
      </c>
      <c r="P257" t="e">
        <f>AND(TableRelationships12[[#This Row],[Source Type]]="BIM",TableRelationships12[[#This Row],[Target Type]]="BIM")</f>
        <v>#N/A</v>
      </c>
      <c r="Q257">
        <f t="shared" si="9"/>
        <v>1</v>
      </c>
      <c r="S257">
        <f t="shared" si="10"/>
        <v>1</v>
      </c>
      <c r="T257" s="102" t="str">
        <f>IF(TableRelationships12[[#This Row],[Rank Pedro]]="Low","linkCategory1",IF(TableRelationships12[[#This Row],[Rank Pedro]]="Medium","linkCategory2",IF(TableRelationships12[[#This Row],[Rank Pedro]]="High","linkCategory3","")))</f>
        <v/>
      </c>
      <c r="U257" s="102" t="str">
        <f>IF(TableRelationships12[[#This Row],[Rank Pedro]]="Low","Pink",IF(TableRelationships12[[#This Row],[Rank Pedro]]="Medium","Purple",IF(TableRelationships12[[#This Row],[Rank Pedro]]="High","Brown","")))</f>
        <v/>
      </c>
      <c r="V257" s="4" t="e">
        <f>MAX(INDEX(Standards!$F$2:$F$296,MATCH(B257,Standards!$B$2:$B$296,0)),INDEX(Standards!$F$2:$F$296,MATCH(C257,Standards!$B$2:$B$296,0)))</f>
        <v>#N/A</v>
      </c>
      <c r="W257" t="str">
        <f t="shared" si="11"/>
        <v>#2f89d1</v>
      </c>
    </row>
    <row r="258" spans="1:23" x14ac:dyDescent="0.5">
      <c r="A258" s="54">
        <v>257</v>
      </c>
      <c r="B258" s="90" t="s">
        <v>631</v>
      </c>
      <c r="C258" t="s">
        <v>1257</v>
      </c>
      <c r="D258" s="1"/>
      <c r="E258" s="112">
        <v>2012.08</v>
      </c>
      <c r="F258" s="112">
        <v>2023.01</v>
      </c>
      <c r="G258" s="107" t="s">
        <v>1479</v>
      </c>
      <c r="H258">
        <f>INDEX('GIS-Standards'!$A$2:$A$305,MATCH(B258,'GIS-Standards'!$B$2:$B$305,0))</f>
        <v>11</v>
      </c>
      <c r="I258" t="e">
        <f>INDEX('GIS-Standards'!$A$2:$A$305,MATCH(C258,'GIS-Standards'!$B$2:$B$305,0))</f>
        <v>#N/A</v>
      </c>
      <c r="J258" t="str">
        <f>INDEX('GIS-Standards'!$O$2:$O$305,MATCH(B258,'GIS-Standards'!$B$2:$B$305,0))</f>
        <v>ISO/TC 211</v>
      </c>
      <c r="K258" t="e">
        <f>INDEX('GIS-Standards'!$O$2:$O$305,MATCH(C258,'GIS-Standards'!$B$2:$B$305,0))</f>
        <v>#N/A</v>
      </c>
      <c r="M258" t="s">
        <v>525</v>
      </c>
      <c r="N258">
        <f>INDEX('GIS-Standards'!$I$2:$I$305,MATCH(B258,'GIS-Standards'!$B$2:$B$305,0))</f>
        <v>0</v>
      </c>
      <c r="O258" t="e">
        <f>INDEX('GIS-Standards'!$I$2:$I$305,MATCH(C258,'GIS-Standards'!$B$2:$B$305,0))</f>
        <v>#N/A</v>
      </c>
      <c r="P258" t="e">
        <f>AND(TableRelationships12[[#This Row],[Source Type]]="BIM",TableRelationships12[[#This Row],[Target Type]]="BIM")</f>
        <v>#N/A</v>
      </c>
      <c r="Q258">
        <f t="shared" ref="Q258:Q321" si="12">IF(M258="Normative",6,IF(M258="Secondary",4,IF(M258="Anchor",2,1)))</f>
        <v>1</v>
      </c>
      <c r="S258">
        <f t="shared" ref="S258:S321" si="13">IF(R258="High",10,IF(R258="Medium",6,IF(R258="Low",2,1)))</f>
        <v>1</v>
      </c>
      <c r="T258" s="102" t="str">
        <f>IF(TableRelationships12[[#This Row],[Rank Pedro]]="Low","linkCategory1",IF(TableRelationships12[[#This Row],[Rank Pedro]]="Medium","linkCategory2",IF(TableRelationships12[[#This Row],[Rank Pedro]]="High","linkCategory3","")))</f>
        <v/>
      </c>
      <c r="U258" s="102" t="str">
        <f>IF(TableRelationships12[[#This Row],[Rank Pedro]]="Low","Pink",IF(TableRelationships12[[#This Row],[Rank Pedro]]="Medium","Purple",IF(TableRelationships12[[#This Row],[Rank Pedro]]="High","Brown","")))</f>
        <v/>
      </c>
      <c r="V258" s="4" t="e">
        <f>MAX(INDEX(Standards!$F$2:$F$296,MATCH(B258,Standards!$B$2:$B$296,0)),INDEX(Standards!$F$2:$F$296,MATCH(C258,Standards!$B$2:$B$296,0)))</f>
        <v>#N/A</v>
      </c>
      <c r="W258" t="str">
        <f t="shared" ref="W258:W321" si="14">IF(M258="Normative", "#d6bf2a", IF(M258="Informative", "#2f89d1", 1))</f>
        <v>#2f89d1</v>
      </c>
    </row>
    <row r="259" spans="1:23" x14ac:dyDescent="0.5">
      <c r="A259" s="54">
        <v>258</v>
      </c>
      <c r="B259" s="90" t="s">
        <v>631</v>
      </c>
      <c r="C259" t="s">
        <v>182</v>
      </c>
      <c r="D259" s="1"/>
      <c r="E259" s="113">
        <v>1981.07</v>
      </c>
      <c r="F259" s="113">
        <v>2022.12</v>
      </c>
      <c r="G259" s="107" t="s">
        <v>1446</v>
      </c>
      <c r="H259">
        <f>INDEX('GIS-Standards'!$A$2:$A$305,MATCH(B259,'GIS-Standards'!$B$2:$B$305,0))</f>
        <v>11</v>
      </c>
      <c r="I259" t="e">
        <f>INDEX('GIS-Standards'!$A$2:$A$305,MATCH(C259,'GIS-Standards'!$B$2:$B$305,0))</f>
        <v>#N/A</v>
      </c>
      <c r="J259" t="str">
        <f>INDEX('GIS-Standards'!$O$2:$O$305,MATCH(B259,'GIS-Standards'!$B$2:$B$305,0))</f>
        <v>ISO/TC 211</v>
      </c>
      <c r="K259" t="e">
        <f>INDEX('GIS-Standards'!$O$2:$O$305,MATCH(C259,'GIS-Standards'!$B$2:$B$305,0))</f>
        <v>#N/A</v>
      </c>
      <c r="M259" t="s">
        <v>525</v>
      </c>
      <c r="N259">
        <f>INDEX('GIS-Standards'!$I$2:$I$305,MATCH(B259,'GIS-Standards'!$B$2:$B$305,0))</f>
        <v>0</v>
      </c>
      <c r="O259" t="e">
        <f>INDEX('GIS-Standards'!$I$2:$I$305,MATCH(C259,'GIS-Standards'!$B$2:$B$305,0))</f>
        <v>#N/A</v>
      </c>
      <c r="P259" t="e">
        <f>AND(TableRelationships12[[#This Row],[Source Type]]="BIM",TableRelationships12[[#This Row],[Target Type]]="BIM")</f>
        <v>#N/A</v>
      </c>
      <c r="Q259">
        <f t="shared" si="12"/>
        <v>1</v>
      </c>
      <c r="S259">
        <f t="shared" si="13"/>
        <v>1</v>
      </c>
      <c r="T259" s="102" t="str">
        <f>IF(TableRelationships12[[#This Row],[Rank Pedro]]="Low","linkCategory1",IF(TableRelationships12[[#This Row],[Rank Pedro]]="Medium","linkCategory2",IF(TableRelationships12[[#This Row],[Rank Pedro]]="High","linkCategory3","")))</f>
        <v/>
      </c>
      <c r="U259" s="102" t="str">
        <f>IF(TableRelationships12[[#This Row],[Rank Pedro]]="Low","Pink",IF(TableRelationships12[[#This Row],[Rank Pedro]]="Medium","Purple",IF(TableRelationships12[[#This Row],[Rank Pedro]]="High","Brown","")))</f>
        <v/>
      </c>
      <c r="V259" s="4" t="e">
        <f>MAX(INDEX(Standards!$F$2:$F$296,MATCH(B259,Standards!$B$2:$B$296,0)),INDEX(Standards!$F$2:$F$296,MATCH(C259,Standards!$B$2:$B$296,0)))</f>
        <v>#N/A</v>
      </c>
      <c r="W259" t="str">
        <f t="shared" si="14"/>
        <v>#2f89d1</v>
      </c>
    </row>
    <row r="260" spans="1:23" x14ac:dyDescent="0.5">
      <c r="A260" s="54">
        <v>259</v>
      </c>
      <c r="B260" s="90" t="s">
        <v>631</v>
      </c>
      <c r="C260" t="s">
        <v>1258</v>
      </c>
      <c r="D260" s="1"/>
      <c r="E260" s="112">
        <v>1980.12</v>
      </c>
      <c r="F260" s="112">
        <v>2025.07</v>
      </c>
      <c r="G260" s="107" t="s">
        <v>1446</v>
      </c>
      <c r="H260">
        <f>INDEX('GIS-Standards'!$A$2:$A$305,MATCH(B260,'GIS-Standards'!$B$2:$B$305,0))</f>
        <v>11</v>
      </c>
      <c r="I260" t="e">
        <f>INDEX('GIS-Standards'!$A$2:$A$305,MATCH(C260,'GIS-Standards'!$B$2:$B$305,0))</f>
        <v>#N/A</v>
      </c>
      <c r="J260" t="str">
        <f>INDEX('GIS-Standards'!$O$2:$O$305,MATCH(B260,'GIS-Standards'!$B$2:$B$305,0))</f>
        <v>ISO/TC 211</v>
      </c>
      <c r="K260" t="e">
        <f>INDEX('GIS-Standards'!$O$2:$O$305,MATCH(C260,'GIS-Standards'!$B$2:$B$305,0))</f>
        <v>#N/A</v>
      </c>
      <c r="M260" t="s">
        <v>525</v>
      </c>
      <c r="N260">
        <f>INDEX('GIS-Standards'!$I$2:$I$305,MATCH(B260,'GIS-Standards'!$B$2:$B$305,0))</f>
        <v>0</v>
      </c>
      <c r="O260" t="e">
        <f>INDEX('GIS-Standards'!$I$2:$I$305,MATCH(C260,'GIS-Standards'!$B$2:$B$305,0))</f>
        <v>#N/A</v>
      </c>
      <c r="P260" t="e">
        <f>AND(TableRelationships12[[#This Row],[Source Type]]="BIM",TableRelationships12[[#This Row],[Target Type]]="BIM")</f>
        <v>#N/A</v>
      </c>
      <c r="Q260">
        <f t="shared" si="12"/>
        <v>1</v>
      </c>
      <c r="S260">
        <f t="shared" si="13"/>
        <v>1</v>
      </c>
      <c r="T260" s="102" t="str">
        <f>IF(TableRelationships12[[#This Row],[Rank Pedro]]="Low","linkCategory1",IF(TableRelationships12[[#This Row],[Rank Pedro]]="Medium","linkCategory2",IF(TableRelationships12[[#This Row],[Rank Pedro]]="High","linkCategory3","")))</f>
        <v/>
      </c>
      <c r="U260" s="102" t="str">
        <f>IF(TableRelationships12[[#This Row],[Rank Pedro]]="Low","Pink",IF(TableRelationships12[[#This Row],[Rank Pedro]]="Medium","Purple",IF(TableRelationships12[[#This Row],[Rank Pedro]]="High","Brown","")))</f>
        <v/>
      </c>
      <c r="V260" s="4" t="e">
        <f>MAX(INDEX(Standards!$F$2:$F$296,MATCH(B260,Standards!$B$2:$B$296,0)),INDEX(Standards!$F$2:$F$296,MATCH(C260,Standards!$B$2:$B$296,0)))</f>
        <v>#N/A</v>
      </c>
      <c r="W260" t="str">
        <f t="shared" si="14"/>
        <v>#2f89d1</v>
      </c>
    </row>
    <row r="261" spans="1:23" x14ac:dyDescent="0.5">
      <c r="A261" s="54">
        <v>260</v>
      </c>
      <c r="B261" s="90" t="s">
        <v>631</v>
      </c>
      <c r="C261" t="s">
        <v>474</v>
      </c>
      <c r="D261" s="1"/>
      <c r="E261" s="113">
        <v>1974.12</v>
      </c>
      <c r="F261" s="113">
        <v>2022.1</v>
      </c>
      <c r="G261" s="107" t="s">
        <v>1511</v>
      </c>
      <c r="H261">
        <f>INDEX('GIS-Standards'!$A$2:$A$305,MATCH(B261,'GIS-Standards'!$B$2:$B$305,0))</f>
        <v>11</v>
      </c>
      <c r="I261" t="e">
        <f>INDEX('GIS-Standards'!$A$2:$A$305,MATCH(C261,'GIS-Standards'!$B$2:$B$305,0))</f>
        <v>#N/A</v>
      </c>
      <c r="J261" t="str">
        <f>INDEX('GIS-Standards'!$O$2:$O$305,MATCH(B261,'GIS-Standards'!$B$2:$B$305,0))</f>
        <v>ISO/TC 211</v>
      </c>
      <c r="K261" t="e">
        <f>INDEX('GIS-Standards'!$O$2:$O$305,MATCH(C261,'GIS-Standards'!$B$2:$B$305,0))</f>
        <v>#N/A</v>
      </c>
      <c r="M261" t="s">
        <v>525</v>
      </c>
      <c r="N261">
        <f>INDEX('GIS-Standards'!$I$2:$I$305,MATCH(B261,'GIS-Standards'!$B$2:$B$305,0))</f>
        <v>0</v>
      </c>
      <c r="O261" t="e">
        <f>INDEX('GIS-Standards'!$I$2:$I$305,MATCH(C261,'GIS-Standards'!$B$2:$B$305,0))</f>
        <v>#N/A</v>
      </c>
      <c r="P261" t="e">
        <f>AND(TableRelationships12[[#This Row],[Source Type]]="BIM",TableRelationships12[[#This Row],[Target Type]]="BIM")</f>
        <v>#N/A</v>
      </c>
      <c r="Q261">
        <f t="shared" si="12"/>
        <v>1</v>
      </c>
      <c r="S261">
        <f t="shared" si="13"/>
        <v>1</v>
      </c>
      <c r="T261" s="102" t="str">
        <f>IF(TableRelationships12[[#This Row],[Rank Pedro]]="Low","linkCategory1",IF(TableRelationships12[[#This Row],[Rank Pedro]]="Medium","linkCategory2",IF(TableRelationships12[[#This Row],[Rank Pedro]]="High","linkCategory3","")))</f>
        <v/>
      </c>
      <c r="U261" s="102" t="str">
        <f>IF(TableRelationships12[[#This Row],[Rank Pedro]]="Low","Pink",IF(TableRelationships12[[#This Row],[Rank Pedro]]="Medium","Purple",IF(TableRelationships12[[#This Row],[Rank Pedro]]="High","Brown","")))</f>
        <v/>
      </c>
      <c r="V261" s="4" t="e">
        <f>MAX(INDEX(Standards!$F$2:$F$296,MATCH(B261,Standards!$B$2:$B$296,0)),INDEX(Standards!$F$2:$F$296,MATCH(C261,Standards!$B$2:$B$296,0)))</f>
        <v>#N/A</v>
      </c>
      <c r="W261" t="str">
        <f t="shared" si="14"/>
        <v>#2f89d1</v>
      </c>
    </row>
    <row r="262" spans="1:23" x14ac:dyDescent="0.5">
      <c r="A262" s="54">
        <v>261</v>
      </c>
      <c r="B262" s="90" t="s">
        <v>631</v>
      </c>
      <c r="C262" t="s">
        <v>1166</v>
      </c>
      <c r="D262" s="1" t="s">
        <v>1676</v>
      </c>
      <c r="E262" s="113">
        <v>1988.12</v>
      </c>
      <c r="F262" s="113">
        <v>2013.07</v>
      </c>
      <c r="G262" s="107" t="s">
        <v>1500</v>
      </c>
      <c r="H262">
        <f>INDEX('GIS-Standards'!$A$2:$A$305,MATCH(B262,'GIS-Standards'!$B$2:$B$305,0))</f>
        <v>11</v>
      </c>
      <c r="I262" t="e">
        <f>INDEX('GIS-Standards'!$A$2:$A$305,MATCH(C262,'GIS-Standards'!$B$2:$B$305,0))</f>
        <v>#N/A</v>
      </c>
      <c r="J262" t="str">
        <f>INDEX('GIS-Standards'!$O$2:$O$305,MATCH(B262,'GIS-Standards'!$B$2:$B$305,0))</f>
        <v>ISO/TC 211</v>
      </c>
      <c r="K262" t="e">
        <f>INDEX('GIS-Standards'!$O$2:$O$305,MATCH(C262,'GIS-Standards'!$B$2:$B$305,0))</f>
        <v>#N/A</v>
      </c>
      <c r="M262" t="s">
        <v>525</v>
      </c>
      <c r="N262">
        <f>INDEX('GIS-Standards'!$I$2:$I$305,MATCH(B262,'GIS-Standards'!$B$2:$B$305,0))</f>
        <v>0</v>
      </c>
      <c r="O262" t="e">
        <f>INDEX('GIS-Standards'!$I$2:$I$305,MATCH(C262,'GIS-Standards'!$B$2:$B$305,0))</f>
        <v>#N/A</v>
      </c>
      <c r="P262" t="e">
        <f>AND(TableRelationships12[[#This Row],[Source Type]]="BIM",TableRelationships12[[#This Row],[Target Type]]="BIM")</f>
        <v>#N/A</v>
      </c>
      <c r="Q262">
        <f t="shared" si="12"/>
        <v>1</v>
      </c>
      <c r="S262">
        <f t="shared" si="13"/>
        <v>1</v>
      </c>
      <c r="T262" s="102" t="str">
        <f>IF(TableRelationships12[[#This Row],[Rank Pedro]]="Low","linkCategory1",IF(TableRelationships12[[#This Row],[Rank Pedro]]="Medium","linkCategory2",IF(TableRelationships12[[#This Row],[Rank Pedro]]="High","linkCategory3","")))</f>
        <v/>
      </c>
      <c r="U262" s="102" t="str">
        <f>IF(TableRelationships12[[#This Row],[Rank Pedro]]="Low","Pink",IF(TableRelationships12[[#This Row],[Rank Pedro]]="Medium","Purple",IF(TableRelationships12[[#This Row],[Rank Pedro]]="High","Brown","")))</f>
        <v/>
      </c>
      <c r="V262" s="4" t="e">
        <f>MAX(INDEX(Standards!$F$2:$F$296,MATCH(B262,Standards!$B$2:$B$296,0)),INDEX(Standards!$F$2:$F$296,MATCH(C262,Standards!$B$2:$B$296,0)))</f>
        <v>#N/A</v>
      </c>
      <c r="W262" t="str">
        <f t="shared" si="14"/>
        <v>#2f89d1</v>
      </c>
    </row>
    <row r="263" spans="1:23" x14ac:dyDescent="0.5">
      <c r="A263" s="54">
        <v>262</v>
      </c>
      <c r="B263" s="90" t="s">
        <v>631</v>
      </c>
      <c r="C263" t="s">
        <v>1063</v>
      </c>
      <c r="D263" s="1"/>
      <c r="E263" s="112">
        <v>1998.12</v>
      </c>
      <c r="F263" s="112">
        <v>1998.12</v>
      </c>
      <c r="G263" s="107" t="s">
        <v>1502</v>
      </c>
      <c r="H263">
        <f>INDEX('GIS-Standards'!$A$2:$A$305,MATCH(B263,'GIS-Standards'!$B$2:$B$305,0))</f>
        <v>11</v>
      </c>
      <c r="I263" t="e">
        <f>INDEX('GIS-Standards'!$A$2:$A$305,MATCH(C263,'GIS-Standards'!$B$2:$B$305,0))</f>
        <v>#N/A</v>
      </c>
      <c r="J263" t="str">
        <f>INDEX('GIS-Standards'!$O$2:$O$305,MATCH(B263,'GIS-Standards'!$B$2:$B$305,0))</f>
        <v>ISO/TC 211</v>
      </c>
      <c r="K263" t="e">
        <f>INDEX('GIS-Standards'!$O$2:$O$305,MATCH(C263,'GIS-Standards'!$B$2:$B$305,0))</f>
        <v>#N/A</v>
      </c>
      <c r="M263" t="s">
        <v>525</v>
      </c>
      <c r="N263">
        <f>INDEX('GIS-Standards'!$I$2:$I$305,MATCH(B263,'GIS-Standards'!$B$2:$B$305,0))</f>
        <v>0</v>
      </c>
      <c r="O263" t="e">
        <f>INDEX('GIS-Standards'!$I$2:$I$305,MATCH(C263,'GIS-Standards'!$B$2:$B$305,0))</f>
        <v>#N/A</v>
      </c>
      <c r="P263" t="e">
        <f>AND(TableRelationships12[[#This Row],[Source Type]]="BIM",TableRelationships12[[#This Row],[Target Type]]="BIM")</f>
        <v>#N/A</v>
      </c>
      <c r="Q263">
        <f t="shared" si="12"/>
        <v>1</v>
      </c>
      <c r="S263">
        <f t="shared" si="13"/>
        <v>1</v>
      </c>
      <c r="T263" s="102" t="str">
        <f>IF(TableRelationships12[[#This Row],[Rank Pedro]]="Low","linkCategory1",IF(TableRelationships12[[#This Row],[Rank Pedro]]="Medium","linkCategory2",IF(TableRelationships12[[#This Row],[Rank Pedro]]="High","linkCategory3","")))</f>
        <v/>
      </c>
      <c r="U263" s="102" t="str">
        <f>IF(TableRelationships12[[#This Row],[Rank Pedro]]="Low","Pink",IF(TableRelationships12[[#This Row],[Rank Pedro]]="Medium","Purple",IF(TableRelationships12[[#This Row],[Rank Pedro]]="High","Brown","")))</f>
        <v/>
      </c>
      <c r="V263" s="4" t="e">
        <f>MAX(INDEX(Standards!$F$2:$F$296,MATCH(B263,Standards!$B$2:$B$296,0)),INDEX(Standards!$F$2:$F$296,MATCH(C263,Standards!$B$2:$B$296,0)))</f>
        <v>#N/A</v>
      </c>
      <c r="W263" t="str">
        <f t="shared" si="14"/>
        <v>#2f89d1</v>
      </c>
    </row>
    <row r="264" spans="1:23" x14ac:dyDescent="0.5">
      <c r="A264" s="54">
        <v>263</v>
      </c>
      <c r="B264" s="90" t="s">
        <v>631</v>
      </c>
      <c r="C264" t="s">
        <v>1064</v>
      </c>
      <c r="D264" s="1"/>
      <c r="E264" s="112">
        <v>1996.09</v>
      </c>
      <c r="F264" s="112">
        <v>2009.12</v>
      </c>
      <c r="G264" s="107" t="s">
        <v>1502</v>
      </c>
      <c r="H264">
        <f>INDEX('GIS-Standards'!$A$2:$A$305,MATCH(B264,'GIS-Standards'!$B$2:$B$305,0))</f>
        <v>11</v>
      </c>
      <c r="I264" t="e">
        <f>INDEX('GIS-Standards'!$A$2:$A$305,MATCH(C264,'GIS-Standards'!$B$2:$B$305,0))</f>
        <v>#N/A</v>
      </c>
      <c r="J264" t="str">
        <f>INDEX('GIS-Standards'!$O$2:$O$305,MATCH(B264,'GIS-Standards'!$B$2:$B$305,0))</f>
        <v>ISO/TC 211</v>
      </c>
      <c r="K264" t="e">
        <f>INDEX('GIS-Standards'!$O$2:$O$305,MATCH(C264,'GIS-Standards'!$B$2:$B$305,0))</f>
        <v>#N/A</v>
      </c>
      <c r="M264" t="s">
        <v>525</v>
      </c>
      <c r="N264">
        <f>INDEX('GIS-Standards'!$I$2:$I$305,MATCH(B264,'GIS-Standards'!$B$2:$B$305,0))</f>
        <v>0</v>
      </c>
      <c r="O264" t="e">
        <f>INDEX('GIS-Standards'!$I$2:$I$305,MATCH(C264,'GIS-Standards'!$B$2:$B$305,0))</f>
        <v>#N/A</v>
      </c>
      <c r="P264" t="e">
        <f>AND(TableRelationships12[[#This Row],[Source Type]]="BIM",TableRelationships12[[#This Row],[Target Type]]="BIM")</f>
        <v>#N/A</v>
      </c>
      <c r="Q264">
        <f t="shared" si="12"/>
        <v>1</v>
      </c>
      <c r="S264">
        <f t="shared" si="13"/>
        <v>1</v>
      </c>
      <c r="T264" s="102" t="str">
        <f>IF(TableRelationships12[[#This Row],[Rank Pedro]]="Low","linkCategory1",IF(TableRelationships12[[#This Row],[Rank Pedro]]="Medium","linkCategory2",IF(TableRelationships12[[#This Row],[Rank Pedro]]="High","linkCategory3","")))</f>
        <v/>
      </c>
      <c r="U264" s="102" t="str">
        <f>IF(TableRelationships12[[#This Row],[Rank Pedro]]="Low","Pink",IF(TableRelationships12[[#This Row],[Rank Pedro]]="Medium","Purple",IF(TableRelationships12[[#This Row],[Rank Pedro]]="High","Brown","")))</f>
        <v/>
      </c>
      <c r="V264" s="4" t="e">
        <f>MAX(INDEX(Standards!$F$2:$F$296,MATCH(B264,Standards!$B$2:$B$296,0)),INDEX(Standards!$F$2:$F$296,MATCH(C264,Standards!$B$2:$B$296,0)))</f>
        <v>#N/A</v>
      </c>
      <c r="W264" t="str">
        <f t="shared" si="14"/>
        <v>#2f89d1</v>
      </c>
    </row>
    <row r="265" spans="1:23" x14ac:dyDescent="0.5">
      <c r="A265" s="54">
        <v>264</v>
      </c>
      <c r="B265" s="90" t="s">
        <v>631</v>
      </c>
      <c r="C265" t="s">
        <v>1065</v>
      </c>
      <c r="D265" s="1"/>
      <c r="E265" s="112">
        <v>1996.09</v>
      </c>
      <c r="F265" s="112">
        <v>2009.12</v>
      </c>
      <c r="G265" s="107" t="s">
        <v>1502</v>
      </c>
      <c r="H265">
        <f>INDEX('GIS-Standards'!$A$2:$A$305,MATCH(B265,'GIS-Standards'!$B$2:$B$305,0))</f>
        <v>11</v>
      </c>
      <c r="I265" t="e">
        <f>INDEX('GIS-Standards'!$A$2:$A$305,MATCH(C265,'GIS-Standards'!$B$2:$B$305,0))</f>
        <v>#N/A</v>
      </c>
      <c r="J265" t="str">
        <f>INDEX('GIS-Standards'!$O$2:$O$305,MATCH(B265,'GIS-Standards'!$B$2:$B$305,0))</f>
        <v>ISO/TC 211</v>
      </c>
      <c r="K265" t="e">
        <f>INDEX('GIS-Standards'!$O$2:$O$305,MATCH(C265,'GIS-Standards'!$B$2:$B$305,0))</f>
        <v>#N/A</v>
      </c>
      <c r="M265" t="s">
        <v>525</v>
      </c>
      <c r="N265">
        <f>INDEX('GIS-Standards'!$I$2:$I$305,MATCH(B265,'GIS-Standards'!$B$2:$B$305,0))</f>
        <v>0</v>
      </c>
      <c r="O265" t="e">
        <f>INDEX('GIS-Standards'!$I$2:$I$305,MATCH(C265,'GIS-Standards'!$B$2:$B$305,0))</f>
        <v>#N/A</v>
      </c>
      <c r="P265" t="e">
        <f>AND(TableRelationships12[[#This Row],[Source Type]]="BIM",TableRelationships12[[#This Row],[Target Type]]="BIM")</f>
        <v>#N/A</v>
      </c>
      <c r="Q265">
        <f t="shared" si="12"/>
        <v>1</v>
      </c>
      <c r="S265">
        <f t="shared" si="13"/>
        <v>1</v>
      </c>
      <c r="T265" s="102" t="str">
        <f>IF(TableRelationships12[[#This Row],[Rank Pedro]]="Low","linkCategory1",IF(TableRelationships12[[#This Row],[Rank Pedro]]="Medium","linkCategory2",IF(TableRelationships12[[#This Row],[Rank Pedro]]="High","linkCategory3","")))</f>
        <v/>
      </c>
      <c r="U265" s="102" t="str">
        <f>IF(TableRelationships12[[#This Row],[Rank Pedro]]="Low","Pink",IF(TableRelationships12[[#This Row],[Rank Pedro]]="Medium","Purple",IF(TableRelationships12[[#This Row],[Rank Pedro]]="High","Brown","")))</f>
        <v/>
      </c>
      <c r="V265" s="4" t="e">
        <f>MAX(INDEX(Standards!$F$2:$F$296,MATCH(B265,Standards!$B$2:$B$296,0)),INDEX(Standards!$F$2:$F$296,MATCH(C265,Standards!$B$2:$B$296,0)))</f>
        <v>#N/A</v>
      </c>
      <c r="W265" t="str">
        <f t="shared" si="14"/>
        <v>#2f89d1</v>
      </c>
    </row>
    <row r="266" spans="1:23" x14ac:dyDescent="0.5">
      <c r="A266" s="54">
        <v>265</v>
      </c>
      <c r="B266" s="90" t="s">
        <v>631</v>
      </c>
      <c r="C266" t="s">
        <v>1259</v>
      </c>
      <c r="D266" s="1"/>
      <c r="E266" s="112">
        <v>1995.04</v>
      </c>
      <c r="F266" s="112">
        <v>1995.04</v>
      </c>
      <c r="G266" s="107" t="s">
        <v>1500</v>
      </c>
      <c r="H266">
        <f>INDEX('GIS-Standards'!$A$2:$A$305,MATCH(B266,'GIS-Standards'!$B$2:$B$305,0))</f>
        <v>11</v>
      </c>
      <c r="I266" t="e">
        <f>INDEX('GIS-Standards'!$A$2:$A$305,MATCH(C266,'GIS-Standards'!$B$2:$B$305,0))</f>
        <v>#N/A</v>
      </c>
      <c r="J266" t="str">
        <f>INDEX('GIS-Standards'!$O$2:$O$305,MATCH(B266,'GIS-Standards'!$B$2:$B$305,0))</f>
        <v>ISO/TC 211</v>
      </c>
      <c r="K266" t="e">
        <f>INDEX('GIS-Standards'!$O$2:$O$305,MATCH(C266,'GIS-Standards'!$B$2:$B$305,0))</f>
        <v>#N/A</v>
      </c>
      <c r="M266" t="s">
        <v>525</v>
      </c>
      <c r="N266">
        <f>INDEX('GIS-Standards'!$I$2:$I$305,MATCH(B266,'GIS-Standards'!$B$2:$B$305,0))</f>
        <v>0</v>
      </c>
      <c r="O266" t="e">
        <f>INDEX('GIS-Standards'!$I$2:$I$305,MATCH(C266,'GIS-Standards'!$B$2:$B$305,0))</f>
        <v>#N/A</v>
      </c>
      <c r="P266" t="e">
        <f>AND(TableRelationships12[[#This Row],[Source Type]]="BIM",TableRelationships12[[#This Row],[Target Type]]="BIM")</f>
        <v>#N/A</v>
      </c>
      <c r="Q266">
        <f t="shared" si="12"/>
        <v>1</v>
      </c>
      <c r="S266">
        <f t="shared" si="13"/>
        <v>1</v>
      </c>
      <c r="T266" s="102" t="str">
        <f>IF(TableRelationships12[[#This Row],[Rank Pedro]]="Low","linkCategory1",IF(TableRelationships12[[#This Row],[Rank Pedro]]="Medium","linkCategory2",IF(TableRelationships12[[#This Row],[Rank Pedro]]="High","linkCategory3","")))</f>
        <v/>
      </c>
      <c r="U266" s="102" t="str">
        <f>IF(TableRelationships12[[#This Row],[Rank Pedro]]="Low","Pink",IF(TableRelationships12[[#This Row],[Rank Pedro]]="Medium","Purple",IF(TableRelationships12[[#This Row],[Rank Pedro]]="High","Brown","")))</f>
        <v/>
      </c>
      <c r="V266" s="4" t="e">
        <f>MAX(INDEX(Standards!$F$2:$F$296,MATCH(B266,Standards!$B$2:$B$296,0)),INDEX(Standards!$F$2:$F$296,MATCH(C266,Standards!$B$2:$B$296,0)))</f>
        <v>#N/A</v>
      </c>
      <c r="W266" t="str">
        <f t="shared" si="14"/>
        <v>#2f89d1</v>
      </c>
    </row>
    <row r="267" spans="1:23" x14ac:dyDescent="0.5">
      <c r="A267" s="54">
        <v>266</v>
      </c>
      <c r="B267" s="90" t="s">
        <v>631</v>
      </c>
      <c r="C267" t="s">
        <v>1260</v>
      </c>
      <c r="D267" s="1"/>
      <c r="E267" s="112">
        <v>1998.1</v>
      </c>
      <c r="F267" s="112">
        <v>2025.08</v>
      </c>
      <c r="G267" s="107" t="s">
        <v>1500</v>
      </c>
      <c r="H267">
        <f>INDEX('GIS-Standards'!$A$2:$A$305,MATCH(B267,'GIS-Standards'!$B$2:$B$305,0))</f>
        <v>11</v>
      </c>
      <c r="I267" t="e">
        <f>INDEX('GIS-Standards'!$A$2:$A$305,MATCH(C267,'GIS-Standards'!$B$2:$B$305,0))</f>
        <v>#N/A</v>
      </c>
      <c r="J267" t="str">
        <f>INDEX('GIS-Standards'!$O$2:$O$305,MATCH(B267,'GIS-Standards'!$B$2:$B$305,0))</f>
        <v>ISO/TC 211</v>
      </c>
      <c r="K267" t="e">
        <f>INDEX('GIS-Standards'!$O$2:$O$305,MATCH(C267,'GIS-Standards'!$B$2:$B$305,0))</f>
        <v>#N/A</v>
      </c>
      <c r="M267" t="s">
        <v>525</v>
      </c>
      <c r="N267">
        <f>INDEX('GIS-Standards'!$I$2:$I$305,MATCH(B267,'GIS-Standards'!$B$2:$B$305,0))</f>
        <v>0</v>
      </c>
      <c r="O267" t="e">
        <f>INDEX('GIS-Standards'!$I$2:$I$305,MATCH(C267,'GIS-Standards'!$B$2:$B$305,0))</f>
        <v>#N/A</v>
      </c>
      <c r="P267" t="e">
        <f>AND(TableRelationships12[[#This Row],[Source Type]]="BIM",TableRelationships12[[#This Row],[Target Type]]="BIM")</f>
        <v>#N/A</v>
      </c>
      <c r="Q267">
        <f t="shared" si="12"/>
        <v>1</v>
      </c>
      <c r="S267">
        <f t="shared" si="13"/>
        <v>1</v>
      </c>
      <c r="T267" s="102" t="str">
        <f>IF(TableRelationships12[[#This Row],[Rank Pedro]]="Low","linkCategory1",IF(TableRelationships12[[#This Row],[Rank Pedro]]="Medium","linkCategory2",IF(TableRelationships12[[#This Row],[Rank Pedro]]="High","linkCategory3","")))</f>
        <v/>
      </c>
      <c r="U267" s="102" t="str">
        <f>IF(TableRelationships12[[#This Row],[Rank Pedro]]="Low","Pink",IF(TableRelationships12[[#This Row],[Rank Pedro]]="Medium","Purple",IF(TableRelationships12[[#This Row],[Rank Pedro]]="High","Brown","")))</f>
        <v/>
      </c>
      <c r="V267" s="4" t="e">
        <f>MAX(INDEX(Standards!$F$2:$F$296,MATCH(B267,Standards!$B$2:$B$296,0)),INDEX(Standards!$F$2:$F$296,MATCH(C267,Standards!$B$2:$B$296,0)))</f>
        <v>#N/A</v>
      </c>
      <c r="W267" t="str">
        <f t="shared" si="14"/>
        <v>#2f89d1</v>
      </c>
    </row>
    <row r="268" spans="1:23" x14ac:dyDescent="0.5">
      <c r="A268" s="54">
        <v>267</v>
      </c>
      <c r="B268" s="90" t="s">
        <v>631</v>
      </c>
      <c r="C268" t="s">
        <v>1261</v>
      </c>
      <c r="D268" s="1"/>
      <c r="E268" s="112">
        <v>2001.05</v>
      </c>
      <c r="F268" s="112">
        <v>2003.11</v>
      </c>
      <c r="G268" s="107" t="s">
        <v>1504</v>
      </c>
      <c r="H268">
        <f>INDEX('GIS-Standards'!$A$2:$A$305,MATCH(B268,'GIS-Standards'!$B$2:$B$305,0))</f>
        <v>11</v>
      </c>
      <c r="I268" t="e">
        <f>INDEX('GIS-Standards'!$A$2:$A$305,MATCH(C268,'GIS-Standards'!$B$2:$B$305,0))</f>
        <v>#N/A</v>
      </c>
      <c r="J268" t="str">
        <f>INDEX('GIS-Standards'!$O$2:$O$305,MATCH(B268,'GIS-Standards'!$B$2:$B$305,0))</f>
        <v>ISO/TC 211</v>
      </c>
      <c r="K268" t="e">
        <f>INDEX('GIS-Standards'!$O$2:$O$305,MATCH(C268,'GIS-Standards'!$B$2:$B$305,0))</f>
        <v>#N/A</v>
      </c>
      <c r="M268" t="s">
        <v>525</v>
      </c>
      <c r="N268">
        <f>INDEX('GIS-Standards'!$I$2:$I$305,MATCH(B268,'GIS-Standards'!$B$2:$B$305,0))</f>
        <v>0</v>
      </c>
      <c r="O268" t="e">
        <f>INDEX('GIS-Standards'!$I$2:$I$305,MATCH(C268,'GIS-Standards'!$B$2:$B$305,0))</f>
        <v>#N/A</v>
      </c>
      <c r="P268" t="e">
        <f>AND(TableRelationships12[[#This Row],[Source Type]]="BIM",TableRelationships12[[#This Row],[Target Type]]="BIM")</f>
        <v>#N/A</v>
      </c>
      <c r="Q268">
        <f t="shared" si="12"/>
        <v>1</v>
      </c>
      <c r="S268">
        <f t="shared" si="13"/>
        <v>1</v>
      </c>
      <c r="T268" s="102" t="str">
        <f>IF(TableRelationships12[[#This Row],[Rank Pedro]]="Low","linkCategory1",IF(TableRelationships12[[#This Row],[Rank Pedro]]="Medium","linkCategory2",IF(TableRelationships12[[#This Row],[Rank Pedro]]="High","linkCategory3","")))</f>
        <v/>
      </c>
      <c r="U268" s="102" t="str">
        <f>IF(TableRelationships12[[#This Row],[Rank Pedro]]="Low","Pink",IF(TableRelationships12[[#This Row],[Rank Pedro]]="Medium","Purple",IF(TableRelationships12[[#This Row],[Rank Pedro]]="High","Brown","")))</f>
        <v/>
      </c>
      <c r="V268" s="4" t="e">
        <f>MAX(INDEX(Standards!$F$2:$F$296,MATCH(B268,Standards!$B$2:$B$296,0)),INDEX(Standards!$F$2:$F$296,MATCH(C268,Standards!$B$2:$B$296,0)))</f>
        <v>#N/A</v>
      </c>
      <c r="W268" t="str">
        <f t="shared" si="14"/>
        <v>#2f89d1</v>
      </c>
    </row>
    <row r="269" spans="1:23" x14ac:dyDescent="0.5">
      <c r="A269" s="54">
        <v>268</v>
      </c>
      <c r="B269" s="90" t="s">
        <v>631</v>
      </c>
      <c r="C269" t="s">
        <v>1262</v>
      </c>
      <c r="D269" s="1"/>
      <c r="E269" s="112">
        <v>2002.12</v>
      </c>
      <c r="F269" s="112">
        <v>2006.11</v>
      </c>
      <c r="G269" s="107" t="s">
        <v>1504</v>
      </c>
      <c r="H269">
        <f>INDEX('GIS-Standards'!$A$2:$A$305,MATCH(B269,'GIS-Standards'!$B$2:$B$305,0))</f>
        <v>11</v>
      </c>
      <c r="I269" t="e">
        <f>INDEX('GIS-Standards'!$A$2:$A$305,MATCH(C269,'GIS-Standards'!$B$2:$B$305,0))</f>
        <v>#N/A</v>
      </c>
      <c r="J269" t="str">
        <f>INDEX('GIS-Standards'!$O$2:$O$305,MATCH(B269,'GIS-Standards'!$B$2:$B$305,0))</f>
        <v>ISO/TC 211</v>
      </c>
      <c r="K269" t="e">
        <f>INDEX('GIS-Standards'!$O$2:$O$305,MATCH(C269,'GIS-Standards'!$B$2:$B$305,0))</f>
        <v>#N/A</v>
      </c>
      <c r="M269" t="s">
        <v>525</v>
      </c>
      <c r="N269">
        <f>INDEX('GIS-Standards'!$I$2:$I$305,MATCH(B269,'GIS-Standards'!$B$2:$B$305,0))</f>
        <v>0</v>
      </c>
      <c r="O269" t="e">
        <f>INDEX('GIS-Standards'!$I$2:$I$305,MATCH(C269,'GIS-Standards'!$B$2:$B$305,0))</f>
        <v>#N/A</v>
      </c>
      <c r="P269" t="e">
        <f>AND(TableRelationships12[[#This Row],[Source Type]]="BIM",TableRelationships12[[#This Row],[Target Type]]="BIM")</f>
        <v>#N/A</v>
      </c>
      <c r="Q269">
        <f t="shared" si="12"/>
        <v>1</v>
      </c>
      <c r="S269">
        <f t="shared" si="13"/>
        <v>1</v>
      </c>
      <c r="T269" s="102" t="str">
        <f>IF(TableRelationships12[[#This Row],[Rank Pedro]]="Low","linkCategory1",IF(TableRelationships12[[#This Row],[Rank Pedro]]="Medium","linkCategory2",IF(TableRelationships12[[#This Row],[Rank Pedro]]="High","linkCategory3","")))</f>
        <v/>
      </c>
      <c r="U269" s="102" t="str">
        <f>IF(TableRelationships12[[#This Row],[Rank Pedro]]="Low","Pink",IF(TableRelationships12[[#This Row],[Rank Pedro]]="Medium","Purple",IF(TableRelationships12[[#This Row],[Rank Pedro]]="High","Brown","")))</f>
        <v/>
      </c>
      <c r="V269" s="4" t="e">
        <f>MAX(INDEX(Standards!$F$2:$F$296,MATCH(B269,Standards!$B$2:$B$296,0)),INDEX(Standards!$F$2:$F$296,MATCH(C269,Standards!$B$2:$B$296,0)))</f>
        <v>#N/A</v>
      </c>
      <c r="W269" t="str">
        <f t="shared" si="14"/>
        <v>#2f89d1</v>
      </c>
    </row>
    <row r="270" spans="1:23" x14ac:dyDescent="0.5">
      <c r="A270" s="54">
        <v>269</v>
      </c>
      <c r="B270" s="90" t="s">
        <v>631</v>
      </c>
      <c r="C270" t="s">
        <v>1263</v>
      </c>
      <c r="D270" s="1"/>
      <c r="E270" s="112">
        <v>2000.12</v>
      </c>
      <c r="F270" s="112">
        <v>2024.11</v>
      </c>
      <c r="G270" s="107" t="s">
        <v>1503</v>
      </c>
      <c r="H270">
        <f>INDEX('GIS-Standards'!$A$2:$A$305,MATCH(B270,'GIS-Standards'!$B$2:$B$305,0))</f>
        <v>11</v>
      </c>
      <c r="I270" t="e">
        <f>INDEX('GIS-Standards'!$A$2:$A$305,MATCH(C270,'GIS-Standards'!$B$2:$B$305,0))</f>
        <v>#N/A</v>
      </c>
      <c r="J270" t="str">
        <f>INDEX('GIS-Standards'!$O$2:$O$305,MATCH(B270,'GIS-Standards'!$B$2:$B$305,0))</f>
        <v>ISO/TC 211</v>
      </c>
      <c r="K270" t="e">
        <f>INDEX('GIS-Standards'!$O$2:$O$305,MATCH(C270,'GIS-Standards'!$B$2:$B$305,0))</f>
        <v>#N/A</v>
      </c>
      <c r="M270" t="s">
        <v>525</v>
      </c>
      <c r="N270">
        <f>INDEX('GIS-Standards'!$I$2:$I$305,MATCH(B270,'GIS-Standards'!$B$2:$B$305,0))</f>
        <v>0</v>
      </c>
      <c r="O270" t="e">
        <f>INDEX('GIS-Standards'!$I$2:$I$305,MATCH(C270,'GIS-Standards'!$B$2:$B$305,0))</f>
        <v>#N/A</v>
      </c>
      <c r="P270" t="e">
        <f>AND(TableRelationships12[[#This Row],[Source Type]]="BIM",TableRelationships12[[#This Row],[Target Type]]="BIM")</f>
        <v>#N/A</v>
      </c>
      <c r="Q270">
        <f t="shared" si="12"/>
        <v>1</v>
      </c>
      <c r="S270">
        <f t="shared" si="13"/>
        <v>1</v>
      </c>
      <c r="T270" s="102" t="str">
        <f>IF(TableRelationships12[[#This Row],[Rank Pedro]]="Low","linkCategory1",IF(TableRelationships12[[#This Row],[Rank Pedro]]="Medium","linkCategory2",IF(TableRelationships12[[#This Row],[Rank Pedro]]="High","linkCategory3","")))</f>
        <v/>
      </c>
      <c r="U270" s="102" t="str">
        <f>IF(TableRelationships12[[#This Row],[Rank Pedro]]="Low","Pink",IF(TableRelationships12[[#This Row],[Rank Pedro]]="Medium","Purple",IF(TableRelationships12[[#This Row],[Rank Pedro]]="High","Brown","")))</f>
        <v/>
      </c>
      <c r="V270" s="4" t="e">
        <f>MAX(INDEX(Standards!$F$2:$F$296,MATCH(B270,Standards!$B$2:$B$296,0)),INDEX(Standards!$F$2:$F$296,MATCH(C270,Standards!$B$2:$B$296,0)))</f>
        <v>#N/A</v>
      </c>
      <c r="W270" t="str">
        <f t="shared" si="14"/>
        <v>#2f89d1</v>
      </c>
    </row>
    <row r="271" spans="1:23" x14ac:dyDescent="0.5">
      <c r="A271" s="54">
        <v>270</v>
      </c>
      <c r="B271" s="90" t="s">
        <v>631</v>
      </c>
      <c r="C271" t="s">
        <v>1264</v>
      </c>
      <c r="D271" s="1" t="s">
        <v>1676</v>
      </c>
      <c r="E271" s="112">
        <v>2002.11</v>
      </c>
      <c r="F271" s="112">
        <v>2024.05</v>
      </c>
      <c r="G271" s="107" t="s">
        <v>1503</v>
      </c>
      <c r="H271">
        <f>INDEX('GIS-Standards'!$A$2:$A$305,MATCH(B271,'GIS-Standards'!$B$2:$B$305,0))</f>
        <v>11</v>
      </c>
      <c r="I271" t="e">
        <f>INDEX('GIS-Standards'!$A$2:$A$305,MATCH(C271,'GIS-Standards'!$B$2:$B$305,0))</f>
        <v>#N/A</v>
      </c>
      <c r="J271" t="str">
        <f>INDEX('GIS-Standards'!$O$2:$O$305,MATCH(B271,'GIS-Standards'!$B$2:$B$305,0))</f>
        <v>ISO/TC 211</v>
      </c>
      <c r="K271" t="e">
        <f>INDEX('GIS-Standards'!$O$2:$O$305,MATCH(C271,'GIS-Standards'!$B$2:$B$305,0))</f>
        <v>#N/A</v>
      </c>
      <c r="M271" t="s">
        <v>525</v>
      </c>
      <c r="N271">
        <f>INDEX('GIS-Standards'!$I$2:$I$305,MATCH(B271,'GIS-Standards'!$B$2:$B$305,0))</f>
        <v>0</v>
      </c>
      <c r="O271" t="e">
        <f>INDEX('GIS-Standards'!$I$2:$I$305,MATCH(C271,'GIS-Standards'!$B$2:$B$305,0))</f>
        <v>#N/A</v>
      </c>
      <c r="P271" t="e">
        <f>AND(TableRelationships12[[#This Row],[Source Type]]="BIM",TableRelationships12[[#This Row],[Target Type]]="BIM")</f>
        <v>#N/A</v>
      </c>
      <c r="Q271">
        <f t="shared" si="12"/>
        <v>1</v>
      </c>
      <c r="S271">
        <f t="shared" si="13"/>
        <v>1</v>
      </c>
      <c r="T271" s="102" t="str">
        <f>IF(TableRelationships12[[#This Row],[Rank Pedro]]="Low","linkCategory1",IF(TableRelationships12[[#This Row],[Rank Pedro]]="Medium","linkCategory2",IF(TableRelationships12[[#This Row],[Rank Pedro]]="High","linkCategory3","")))</f>
        <v/>
      </c>
      <c r="U271" s="102" t="str">
        <f>IF(TableRelationships12[[#This Row],[Rank Pedro]]="Low","Pink",IF(TableRelationships12[[#This Row],[Rank Pedro]]="Medium","Purple",IF(TableRelationships12[[#This Row],[Rank Pedro]]="High","Brown","")))</f>
        <v/>
      </c>
      <c r="V271" s="4" t="e">
        <f>MAX(INDEX(Standards!$F$2:$F$296,MATCH(B271,Standards!$B$2:$B$296,0)),INDEX(Standards!$F$2:$F$296,MATCH(C271,Standards!$B$2:$B$296,0)))</f>
        <v>#N/A</v>
      </c>
      <c r="W271" t="str">
        <f t="shared" si="14"/>
        <v>#2f89d1</v>
      </c>
    </row>
    <row r="272" spans="1:23" x14ac:dyDescent="0.5">
      <c r="A272" s="54">
        <v>271</v>
      </c>
      <c r="B272" s="90" t="s">
        <v>631</v>
      </c>
      <c r="C272" t="s">
        <v>1265</v>
      </c>
      <c r="D272" s="1"/>
      <c r="E272" s="112">
        <v>2006.07</v>
      </c>
      <c r="F272" s="112">
        <v>2012.06</v>
      </c>
      <c r="G272" s="107" t="s">
        <v>1500</v>
      </c>
      <c r="H272">
        <f>INDEX('GIS-Standards'!$A$2:$A$305,MATCH(B272,'GIS-Standards'!$B$2:$B$305,0))</f>
        <v>11</v>
      </c>
      <c r="I272" t="e">
        <f>INDEX('GIS-Standards'!$A$2:$A$305,MATCH(C272,'GIS-Standards'!$B$2:$B$305,0))</f>
        <v>#N/A</v>
      </c>
      <c r="J272" t="str">
        <f>INDEX('GIS-Standards'!$O$2:$O$305,MATCH(B272,'GIS-Standards'!$B$2:$B$305,0))</f>
        <v>ISO/TC 211</v>
      </c>
      <c r="K272" t="e">
        <f>INDEX('GIS-Standards'!$O$2:$O$305,MATCH(C272,'GIS-Standards'!$B$2:$B$305,0))</f>
        <v>#N/A</v>
      </c>
      <c r="M272" t="s">
        <v>525</v>
      </c>
      <c r="N272">
        <f>INDEX('GIS-Standards'!$I$2:$I$305,MATCH(B272,'GIS-Standards'!$B$2:$B$305,0))</f>
        <v>0</v>
      </c>
      <c r="O272" t="e">
        <f>INDEX('GIS-Standards'!$I$2:$I$305,MATCH(C272,'GIS-Standards'!$B$2:$B$305,0))</f>
        <v>#N/A</v>
      </c>
      <c r="P272" t="e">
        <f>AND(TableRelationships12[[#This Row],[Source Type]]="BIM",TableRelationships12[[#This Row],[Target Type]]="BIM")</f>
        <v>#N/A</v>
      </c>
      <c r="Q272">
        <f t="shared" si="12"/>
        <v>1</v>
      </c>
      <c r="S272">
        <f t="shared" si="13"/>
        <v>1</v>
      </c>
      <c r="T272" s="102" t="str">
        <f>IF(TableRelationships12[[#This Row],[Rank Pedro]]="Low","linkCategory1",IF(TableRelationships12[[#This Row],[Rank Pedro]]="Medium","linkCategory2",IF(TableRelationships12[[#This Row],[Rank Pedro]]="High","linkCategory3","")))</f>
        <v/>
      </c>
      <c r="U272" s="102" t="str">
        <f>IF(TableRelationships12[[#This Row],[Rank Pedro]]="Low","Pink",IF(TableRelationships12[[#This Row],[Rank Pedro]]="Medium","Purple",IF(TableRelationships12[[#This Row],[Rank Pedro]]="High","Brown","")))</f>
        <v/>
      </c>
      <c r="V272" s="4" t="e">
        <f>MAX(INDEX(Standards!$F$2:$F$296,MATCH(B272,Standards!$B$2:$B$296,0)),INDEX(Standards!$F$2:$F$296,MATCH(C272,Standards!$B$2:$B$296,0)))</f>
        <v>#N/A</v>
      </c>
      <c r="W272" t="str">
        <f t="shared" si="14"/>
        <v>#2f89d1</v>
      </c>
    </row>
    <row r="273" spans="1:23" x14ac:dyDescent="0.5">
      <c r="A273" s="54">
        <v>272</v>
      </c>
      <c r="B273" s="90" t="s">
        <v>631</v>
      </c>
      <c r="C273" t="s">
        <v>650</v>
      </c>
      <c r="D273" s="1"/>
      <c r="E273" s="112">
        <v>2009.04</v>
      </c>
      <c r="F273" s="112">
        <v>2009.04</v>
      </c>
      <c r="G273" s="107" t="s">
        <v>670</v>
      </c>
      <c r="H273">
        <f>INDEX('GIS-Standards'!$A$2:$A$305,MATCH(B273,'GIS-Standards'!$B$2:$B$305,0))</f>
        <v>11</v>
      </c>
      <c r="I273">
        <f>INDEX('GIS-Standards'!$A$2:$A$305,MATCH(C273,'GIS-Standards'!$B$2:$B$305,0))</f>
        <v>99</v>
      </c>
      <c r="J273" t="str">
        <f>INDEX('GIS-Standards'!$O$2:$O$305,MATCH(B273,'GIS-Standards'!$B$2:$B$305,0))</f>
        <v>ISO/TC 211</v>
      </c>
      <c r="K273" t="str">
        <f>INDEX('GIS-Standards'!$O$2:$O$305,MATCH(C273,'GIS-Standards'!$B$2:$B$305,0))</f>
        <v>ISO/TC 211</v>
      </c>
      <c r="M273" t="s">
        <v>525</v>
      </c>
      <c r="N273">
        <f>INDEX('GIS-Standards'!$I$2:$I$305,MATCH(B273,'GIS-Standards'!$B$2:$B$305,0))</f>
        <v>0</v>
      </c>
      <c r="O273">
        <f>INDEX('GIS-Standards'!$I$2:$I$305,MATCH(C273,'GIS-Standards'!$B$2:$B$305,0))</f>
        <v>0</v>
      </c>
      <c r="P273" t="b">
        <f>AND(TableRelationships12[[#This Row],[Source Type]]="BIM",TableRelationships12[[#This Row],[Target Type]]="BIM")</f>
        <v>0</v>
      </c>
      <c r="Q273">
        <f t="shared" si="12"/>
        <v>1</v>
      </c>
      <c r="S273">
        <f t="shared" si="13"/>
        <v>1</v>
      </c>
      <c r="T273" s="102" t="str">
        <f>IF(TableRelationships12[[#This Row],[Rank Pedro]]="Low","linkCategory1",IF(TableRelationships12[[#This Row],[Rank Pedro]]="Medium","linkCategory2",IF(TableRelationships12[[#This Row],[Rank Pedro]]="High","linkCategory3","")))</f>
        <v/>
      </c>
      <c r="U273" s="102" t="str">
        <f>IF(TableRelationships12[[#This Row],[Rank Pedro]]="Low","Pink",IF(TableRelationships12[[#This Row],[Rank Pedro]]="Medium","Purple",IF(TableRelationships12[[#This Row],[Rank Pedro]]="High","Brown","")))</f>
        <v/>
      </c>
      <c r="V273" s="4" t="e">
        <f>MAX(INDEX(Standards!$F$2:$F$296,MATCH(B273,Standards!$B$2:$B$296,0)),INDEX(Standards!$F$2:$F$296,MATCH(C273,Standards!$B$2:$B$296,0)))</f>
        <v>#N/A</v>
      </c>
      <c r="W273" t="str">
        <f t="shared" si="14"/>
        <v>#2f89d1</v>
      </c>
    </row>
    <row r="274" spans="1:23" x14ac:dyDescent="0.5">
      <c r="A274" s="54">
        <v>273</v>
      </c>
      <c r="B274" s="90" t="s">
        <v>631</v>
      </c>
      <c r="C274" t="s">
        <v>651</v>
      </c>
      <c r="D274" s="1" t="s">
        <v>1676</v>
      </c>
      <c r="E274" s="112">
        <v>2014.01</v>
      </c>
      <c r="F274" s="112">
        <v>2014.01</v>
      </c>
      <c r="G274" s="107" t="s">
        <v>670</v>
      </c>
      <c r="H274">
        <f>INDEX('GIS-Standards'!$A$2:$A$305,MATCH(B274,'GIS-Standards'!$B$2:$B$305,0))</f>
        <v>11</v>
      </c>
      <c r="I274">
        <f>INDEX('GIS-Standards'!$A$2:$A$305,MATCH(C274,'GIS-Standards'!$B$2:$B$305,0))</f>
        <v>100</v>
      </c>
      <c r="J274" t="str">
        <f>INDEX('GIS-Standards'!$O$2:$O$305,MATCH(B274,'GIS-Standards'!$B$2:$B$305,0))</f>
        <v>ISO/TC 211</v>
      </c>
      <c r="K274" t="str">
        <f>INDEX('GIS-Standards'!$O$2:$O$305,MATCH(C274,'GIS-Standards'!$B$2:$B$305,0))</f>
        <v>ISO/TC 211</v>
      </c>
      <c r="M274" t="s">
        <v>525</v>
      </c>
      <c r="N274">
        <f>INDEX('GIS-Standards'!$I$2:$I$305,MATCH(B274,'GIS-Standards'!$B$2:$B$305,0))</f>
        <v>0</v>
      </c>
      <c r="O274">
        <f>INDEX('GIS-Standards'!$I$2:$I$305,MATCH(C274,'GIS-Standards'!$B$2:$B$305,0))</f>
        <v>0</v>
      </c>
      <c r="P274" t="b">
        <f>AND(TableRelationships12[[#This Row],[Source Type]]="BIM",TableRelationships12[[#This Row],[Target Type]]="BIM")</f>
        <v>0</v>
      </c>
      <c r="Q274">
        <f t="shared" si="12"/>
        <v>1</v>
      </c>
      <c r="S274">
        <f t="shared" si="13"/>
        <v>1</v>
      </c>
      <c r="T274" s="102" t="str">
        <f>IF(TableRelationships12[[#This Row],[Rank Pedro]]="Low","linkCategory1",IF(TableRelationships12[[#This Row],[Rank Pedro]]="Medium","linkCategory2",IF(TableRelationships12[[#This Row],[Rank Pedro]]="High","linkCategory3","")))</f>
        <v/>
      </c>
      <c r="U274" s="102" t="str">
        <f>IF(TableRelationships12[[#This Row],[Rank Pedro]]="Low","Pink",IF(TableRelationships12[[#This Row],[Rank Pedro]]="Medium","Purple",IF(TableRelationships12[[#This Row],[Rank Pedro]]="High","Brown","")))</f>
        <v/>
      </c>
      <c r="V274" s="4" t="e">
        <f>MAX(INDEX(Standards!$F$2:$F$296,MATCH(B274,Standards!$B$2:$B$296,0)),INDEX(Standards!$F$2:$F$296,MATCH(C274,Standards!$B$2:$B$296,0)))</f>
        <v>#N/A</v>
      </c>
      <c r="W274" t="str">
        <f t="shared" si="14"/>
        <v>#2f89d1</v>
      </c>
    </row>
    <row r="275" spans="1:23" x14ac:dyDescent="0.5">
      <c r="A275" s="54">
        <v>274</v>
      </c>
      <c r="B275" s="90" t="s">
        <v>631</v>
      </c>
      <c r="C275" t="s">
        <v>658</v>
      </c>
      <c r="D275" s="1"/>
      <c r="E275" s="112">
        <v>2014.07</v>
      </c>
      <c r="F275" s="112">
        <v>2014.07</v>
      </c>
      <c r="G275" s="107" t="s">
        <v>670</v>
      </c>
      <c r="H275">
        <f>INDEX('GIS-Standards'!$A$2:$A$305,MATCH(B275,'GIS-Standards'!$B$2:$B$305,0))</f>
        <v>11</v>
      </c>
      <c r="I275">
        <f>INDEX('GIS-Standards'!$A$2:$A$305,MATCH(C275,'GIS-Standards'!$B$2:$B$305,0))</f>
        <v>107</v>
      </c>
      <c r="J275" t="str">
        <f>INDEX('GIS-Standards'!$O$2:$O$305,MATCH(B275,'GIS-Standards'!$B$2:$B$305,0))</f>
        <v>ISO/TC 211</v>
      </c>
      <c r="K275" t="str">
        <f>INDEX('GIS-Standards'!$O$2:$O$305,MATCH(C275,'GIS-Standards'!$B$2:$B$305,0))</f>
        <v>ISO/TC 211</v>
      </c>
      <c r="M275" t="s">
        <v>525</v>
      </c>
      <c r="N275">
        <f>INDEX('GIS-Standards'!$I$2:$I$305,MATCH(B275,'GIS-Standards'!$B$2:$B$305,0))</f>
        <v>0</v>
      </c>
      <c r="O275">
        <f>INDEX('GIS-Standards'!$I$2:$I$305,MATCH(C275,'GIS-Standards'!$B$2:$B$305,0))</f>
        <v>0</v>
      </c>
      <c r="P275" t="b">
        <f>AND(TableRelationships12[[#This Row],[Source Type]]="BIM",TableRelationships12[[#This Row],[Target Type]]="BIM")</f>
        <v>0</v>
      </c>
      <c r="Q275">
        <f t="shared" si="12"/>
        <v>1</v>
      </c>
      <c r="S275">
        <f t="shared" si="13"/>
        <v>1</v>
      </c>
      <c r="T275" s="102" t="str">
        <f>IF(TableRelationships12[[#This Row],[Rank Pedro]]="Low","linkCategory1",IF(TableRelationships12[[#This Row],[Rank Pedro]]="Medium","linkCategory2",IF(TableRelationships12[[#This Row],[Rank Pedro]]="High","linkCategory3","")))</f>
        <v/>
      </c>
      <c r="U275" s="102" t="str">
        <f>IF(TableRelationships12[[#This Row],[Rank Pedro]]="Low","Pink",IF(TableRelationships12[[#This Row],[Rank Pedro]]="Medium","Purple",IF(TableRelationships12[[#This Row],[Rank Pedro]]="High","Brown","")))</f>
        <v/>
      </c>
      <c r="V275" s="4" t="e">
        <f>MAX(INDEX(Standards!$F$2:$F$296,MATCH(B275,Standards!$B$2:$B$296,0)),INDEX(Standards!$F$2:$F$296,MATCH(C275,Standards!$B$2:$B$296,0)))</f>
        <v>#N/A</v>
      </c>
      <c r="W275" t="str">
        <f t="shared" si="14"/>
        <v>#2f89d1</v>
      </c>
    </row>
    <row r="276" spans="1:23" x14ac:dyDescent="0.5">
      <c r="A276" s="54">
        <v>275</v>
      </c>
      <c r="B276" s="90" t="s">
        <v>631</v>
      </c>
      <c r="C276" t="s">
        <v>659</v>
      </c>
      <c r="D276" s="1"/>
      <c r="E276" s="112">
        <v>2016.04</v>
      </c>
      <c r="F276" s="112">
        <v>2016.04</v>
      </c>
      <c r="G276" s="107" t="s">
        <v>670</v>
      </c>
      <c r="H276">
        <f>INDEX('GIS-Standards'!$A$2:$A$305,MATCH(B276,'GIS-Standards'!$B$2:$B$305,0))</f>
        <v>11</v>
      </c>
      <c r="I276">
        <f>INDEX('GIS-Standards'!$A$2:$A$305,MATCH(C276,'GIS-Standards'!$B$2:$B$305,0))</f>
        <v>108</v>
      </c>
      <c r="J276" t="str">
        <f>INDEX('GIS-Standards'!$O$2:$O$305,MATCH(B276,'GIS-Standards'!$B$2:$B$305,0))</f>
        <v>ISO/TC 211</v>
      </c>
      <c r="K276" t="str">
        <f>INDEX('GIS-Standards'!$O$2:$O$305,MATCH(C276,'GIS-Standards'!$B$2:$B$305,0))</f>
        <v>ISO/TC 211</v>
      </c>
      <c r="M276" t="s">
        <v>525</v>
      </c>
      <c r="N276">
        <f>INDEX('GIS-Standards'!$I$2:$I$305,MATCH(B276,'GIS-Standards'!$B$2:$B$305,0))</f>
        <v>0</v>
      </c>
      <c r="O276">
        <f>INDEX('GIS-Standards'!$I$2:$I$305,MATCH(C276,'GIS-Standards'!$B$2:$B$305,0))</f>
        <v>0</v>
      </c>
      <c r="P276" t="b">
        <f>AND(TableRelationships12[[#This Row],[Source Type]]="BIM",TableRelationships12[[#This Row],[Target Type]]="BIM")</f>
        <v>0</v>
      </c>
      <c r="Q276">
        <f t="shared" si="12"/>
        <v>1</v>
      </c>
      <c r="S276">
        <f t="shared" si="13"/>
        <v>1</v>
      </c>
      <c r="T276" s="102" t="str">
        <f>IF(TableRelationships12[[#This Row],[Rank Pedro]]="Low","linkCategory1",IF(TableRelationships12[[#This Row],[Rank Pedro]]="Medium","linkCategory2",IF(TableRelationships12[[#This Row],[Rank Pedro]]="High","linkCategory3","")))</f>
        <v/>
      </c>
      <c r="U276" s="102" t="str">
        <f>IF(TableRelationships12[[#This Row],[Rank Pedro]]="Low","Pink",IF(TableRelationships12[[#This Row],[Rank Pedro]]="Medium","Purple",IF(TableRelationships12[[#This Row],[Rank Pedro]]="High","Brown","")))</f>
        <v/>
      </c>
      <c r="V276" s="4" t="e">
        <f>MAX(INDEX(Standards!$F$2:$F$296,MATCH(B276,Standards!$B$2:$B$296,0)),INDEX(Standards!$F$2:$F$296,MATCH(C276,Standards!$B$2:$B$296,0)))</f>
        <v>#N/A</v>
      </c>
      <c r="W276" t="str">
        <f t="shared" si="14"/>
        <v>#2f89d1</v>
      </c>
    </row>
    <row r="277" spans="1:23" x14ac:dyDescent="0.5">
      <c r="A277" s="54">
        <v>276</v>
      </c>
      <c r="B277" s="90" t="s">
        <v>631</v>
      </c>
      <c r="C277" t="s">
        <v>662</v>
      </c>
      <c r="D277" s="1"/>
      <c r="E277" s="112">
        <v>2016.01</v>
      </c>
      <c r="F277" s="112">
        <v>2016.01</v>
      </c>
      <c r="G277" s="107" t="s">
        <v>670</v>
      </c>
      <c r="H277">
        <f>INDEX('GIS-Standards'!$A$2:$A$305,MATCH(B277,'GIS-Standards'!$B$2:$B$305,0))</f>
        <v>11</v>
      </c>
      <c r="I277">
        <f>INDEX('GIS-Standards'!$A$2:$A$305,MATCH(C277,'GIS-Standards'!$B$2:$B$305,0))</f>
        <v>111</v>
      </c>
      <c r="J277" t="str">
        <f>INDEX('GIS-Standards'!$O$2:$O$305,MATCH(B277,'GIS-Standards'!$B$2:$B$305,0))</f>
        <v>ISO/TC 211</v>
      </c>
      <c r="K277" t="str">
        <f>INDEX('GIS-Standards'!$O$2:$O$305,MATCH(C277,'GIS-Standards'!$B$2:$B$305,0))</f>
        <v>ISO/TC 211</v>
      </c>
      <c r="M277" t="s">
        <v>525</v>
      </c>
      <c r="N277">
        <f>INDEX('GIS-Standards'!$I$2:$I$305,MATCH(B277,'GIS-Standards'!$B$2:$B$305,0))</f>
        <v>0</v>
      </c>
      <c r="O277">
        <f>INDEX('GIS-Standards'!$I$2:$I$305,MATCH(C277,'GIS-Standards'!$B$2:$B$305,0))</f>
        <v>0</v>
      </c>
      <c r="P277" t="b">
        <f>AND(TableRelationships12[[#This Row],[Source Type]]="BIM",TableRelationships12[[#This Row],[Target Type]]="BIM")</f>
        <v>0</v>
      </c>
      <c r="Q277">
        <f t="shared" si="12"/>
        <v>1</v>
      </c>
      <c r="S277">
        <f t="shared" si="13"/>
        <v>1</v>
      </c>
      <c r="T277" s="102" t="str">
        <f>IF(TableRelationships12[[#This Row],[Rank Pedro]]="Low","linkCategory1",IF(TableRelationships12[[#This Row],[Rank Pedro]]="Medium","linkCategory2",IF(TableRelationships12[[#This Row],[Rank Pedro]]="High","linkCategory3","")))</f>
        <v/>
      </c>
      <c r="U277" s="102" t="str">
        <f>IF(TableRelationships12[[#This Row],[Rank Pedro]]="Low","Pink",IF(TableRelationships12[[#This Row],[Rank Pedro]]="Medium","Purple",IF(TableRelationships12[[#This Row],[Rank Pedro]]="High","Brown","")))</f>
        <v/>
      </c>
      <c r="V277" s="4" t="e">
        <f>MAX(INDEX(Standards!$F$2:$F$296,MATCH(B277,Standards!$B$2:$B$296,0)),INDEX(Standards!$F$2:$F$296,MATCH(C277,Standards!$B$2:$B$296,0)))</f>
        <v>#N/A</v>
      </c>
      <c r="W277" t="str">
        <f t="shared" si="14"/>
        <v>#2f89d1</v>
      </c>
    </row>
    <row r="278" spans="1:23" x14ac:dyDescent="0.5">
      <c r="A278" s="54">
        <v>277</v>
      </c>
      <c r="B278" s="90" t="s">
        <v>631</v>
      </c>
      <c r="C278" t="s">
        <v>1527</v>
      </c>
      <c r="D278" s="1"/>
      <c r="G278" s="107"/>
      <c r="H278">
        <f>INDEX('GIS-Standards'!$A$2:$A$305,MATCH(B278,'GIS-Standards'!$B$2:$B$305,0))</f>
        <v>11</v>
      </c>
      <c r="I278" t="e">
        <f>INDEX('GIS-Standards'!$A$2:$A$305,MATCH(C278,'GIS-Standards'!$B$2:$B$305,0))</f>
        <v>#N/A</v>
      </c>
      <c r="J278" t="str">
        <f>INDEX('GIS-Standards'!$O$2:$O$305,MATCH(B278,'GIS-Standards'!$B$2:$B$305,0))</f>
        <v>ISO/TC 211</v>
      </c>
      <c r="K278" t="e">
        <f>INDEX('GIS-Standards'!$O$2:$O$305,MATCH(C278,'GIS-Standards'!$B$2:$B$305,0))</f>
        <v>#N/A</v>
      </c>
      <c r="M278" t="s">
        <v>525</v>
      </c>
      <c r="N278">
        <f>INDEX('GIS-Standards'!$I$2:$I$305,MATCH(B278,'GIS-Standards'!$B$2:$B$305,0))</f>
        <v>0</v>
      </c>
      <c r="O278" t="e">
        <f>INDEX('GIS-Standards'!$I$2:$I$305,MATCH(C278,'GIS-Standards'!$B$2:$B$305,0))</f>
        <v>#N/A</v>
      </c>
      <c r="P278" t="e">
        <f>AND(TableRelationships12[[#This Row],[Source Type]]="BIM",TableRelationships12[[#This Row],[Target Type]]="BIM")</f>
        <v>#N/A</v>
      </c>
      <c r="Q278">
        <f t="shared" si="12"/>
        <v>1</v>
      </c>
      <c r="S278">
        <f t="shared" si="13"/>
        <v>1</v>
      </c>
      <c r="T278" s="102" t="str">
        <f>IF(TableRelationships12[[#This Row],[Rank Pedro]]="Low","linkCategory1",IF(TableRelationships12[[#This Row],[Rank Pedro]]="Medium","linkCategory2",IF(TableRelationships12[[#This Row],[Rank Pedro]]="High","linkCategory3","")))</f>
        <v/>
      </c>
      <c r="U278" s="102" t="str">
        <f>IF(TableRelationships12[[#This Row],[Rank Pedro]]="Low","Pink",IF(TableRelationships12[[#This Row],[Rank Pedro]]="Medium","Purple",IF(TableRelationships12[[#This Row],[Rank Pedro]]="High","Brown","")))</f>
        <v/>
      </c>
      <c r="V278" s="4" t="e">
        <f>MAX(INDEX(Standards!$F$2:$F$296,MATCH(B278,Standards!$B$2:$B$296,0)),INDEX(Standards!$F$2:$F$296,MATCH(C278,Standards!$B$2:$B$296,0)))</f>
        <v>#N/A</v>
      </c>
      <c r="W278" t="str">
        <f t="shared" si="14"/>
        <v>#2f89d1</v>
      </c>
    </row>
    <row r="279" spans="1:23" x14ac:dyDescent="0.5">
      <c r="A279" s="54">
        <v>278</v>
      </c>
      <c r="B279" s="90" t="s">
        <v>631</v>
      </c>
      <c r="C279" t="s">
        <v>1528</v>
      </c>
      <c r="D279" s="1"/>
      <c r="G279" s="107"/>
      <c r="H279">
        <f>INDEX('GIS-Standards'!$A$2:$A$305,MATCH(B279,'GIS-Standards'!$B$2:$B$305,0))</f>
        <v>11</v>
      </c>
      <c r="I279" t="e">
        <f>INDEX('GIS-Standards'!$A$2:$A$305,MATCH(C279,'GIS-Standards'!$B$2:$B$305,0))</f>
        <v>#N/A</v>
      </c>
      <c r="J279" t="str">
        <f>INDEX('GIS-Standards'!$O$2:$O$305,MATCH(B279,'GIS-Standards'!$B$2:$B$305,0))</f>
        <v>ISO/TC 211</v>
      </c>
      <c r="K279" t="e">
        <f>INDEX('GIS-Standards'!$O$2:$O$305,MATCH(C279,'GIS-Standards'!$B$2:$B$305,0))</f>
        <v>#N/A</v>
      </c>
      <c r="M279" t="s">
        <v>525</v>
      </c>
      <c r="N279">
        <f>INDEX('GIS-Standards'!$I$2:$I$305,MATCH(B279,'GIS-Standards'!$B$2:$B$305,0))</f>
        <v>0</v>
      </c>
      <c r="O279" t="e">
        <f>INDEX('GIS-Standards'!$I$2:$I$305,MATCH(C279,'GIS-Standards'!$B$2:$B$305,0))</f>
        <v>#N/A</v>
      </c>
      <c r="P279" t="e">
        <f>AND(TableRelationships12[[#This Row],[Source Type]]="BIM",TableRelationships12[[#This Row],[Target Type]]="BIM")</f>
        <v>#N/A</v>
      </c>
      <c r="Q279">
        <f t="shared" si="12"/>
        <v>1</v>
      </c>
      <c r="S279">
        <f t="shared" si="13"/>
        <v>1</v>
      </c>
      <c r="T279" s="102" t="str">
        <f>IF(TableRelationships12[[#This Row],[Rank Pedro]]="Low","linkCategory1",IF(TableRelationships12[[#This Row],[Rank Pedro]]="Medium","linkCategory2",IF(TableRelationships12[[#This Row],[Rank Pedro]]="High","linkCategory3","")))</f>
        <v/>
      </c>
      <c r="U279" s="102" t="str">
        <f>IF(TableRelationships12[[#This Row],[Rank Pedro]]="Low","Pink",IF(TableRelationships12[[#This Row],[Rank Pedro]]="Medium","Purple",IF(TableRelationships12[[#This Row],[Rank Pedro]]="High","Brown","")))</f>
        <v/>
      </c>
      <c r="V279" s="4" t="e">
        <f>MAX(INDEX(Standards!$F$2:$F$296,MATCH(B279,Standards!$B$2:$B$296,0)),INDEX(Standards!$F$2:$F$296,MATCH(C279,Standards!$B$2:$B$296,0)))</f>
        <v>#N/A</v>
      </c>
      <c r="W279" t="str">
        <f t="shared" si="14"/>
        <v>#2f89d1</v>
      </c>
    </row>
    <row r="280" spans="1:23" x14ac:dyDescent="0.5">
      <c r="A280" s="54">
        <v>279</v>
      </c>
      <c r="B280" s="90" t="s">
        <v>631</v>
      </c>
      <c r="C280" t="s">
        <v>1530</v>
      </c>
      <c r="D280" s="1"/>
      <c r="G280" s="107"/>
      <c r="H280">
        <f>INDEX('GIS-Standards'!$A$2:$A$305,MATCH(B280,'GIS-Standards'!$B$2:$B$305,0))</f>
        <v>11</v>
      </c>
      <c r="I280" t="e">
        <f>INDEX('GIS-Standards'!$A$2:$A$305,MATCH(C280,'GIS-Standards'!$B$2:$B$305,0))</f>
        <v>#N/A</v>
      </c>
      <c r="J280" t="str">
        <f>INDEX('GIS-Standards'!$O$2:$O$305,MATCH(B280,'GIS-Standards'!$B$2:$B$305,0))</f>
        <v>ISO/TC 211</v>
      </c>
      <c r="K280" t="e">
        <f>INDEX('GIS-Standards'!$O$2:$O$305,MATCH(C280,'GIS-Standards'!$B$2:$B$305,0))</f>
        <v>#N/A</v>
      </c>
      <c r="M280" t="s">
        <v>525</v>
      </c>
      <c r="N280">
        <f>INDEX('GIS-Standards'!$I$2:$I$305,MATCH(B280,'GIS-Standards'!$B$2:$B$305,0))</f>
        <v>0</v>
      </c>
      <c r="O280" t="e">
        <f>INDEX('GIS-Standards'!$I$2:$I$305,MATCH(C280,'GIS-Standards'!$B$2:$B$305,0))</f>
        <v>#N/A</v>
      </c>
      <c r="P280" t="e">
        <f>AND(TableRelationships12[[#This Row],[Source Type]]="BIM",TableRelationships12[[#This Row],[Target Type]]="BIM")</f>
        <v>#N/A</v>
      </c>
      <c r="Q280">
        <f t="shared" si="12"/>
        <v>1</v>
      </c>
      <c r="S280">
        <f t="shared" si="13"/>
        <v>1</v>
      </c>
      <c r="T280" s="102" t="str">
        <f>IF(TableRelationships12[[#This Row],[Rank Pedro]]="Low","linkCategory1",IF(TableRelationships12[[#This Row],[Rank Pedro]]="Medium","linkCategory2",IF(TableRelationships12[[#This Row],[Rank Pedro]]="High","linkCategory3","")))</f>
        <v/>
      </c>
      <c r="U280" s="102" t="str">
        <f>IF(TableRelationships12[[#This Row],[Rank Pedro]]="Low","Pink",IF(TableRelationships12[[#This Row],[Rank Pedro]]="Medium","Purple",IF(TableRelationships12[[#This Row],[Rank Pedro]]="High","Brown","")))</f>
        <v/>
      </c>
      <c r="V280" s="4" t="e">
        <f>MAX(INDEX(Standards!$F$2:$F$296,MATCH(B280,Standards!$B$2:$B$296,0)),INDEX(Standards!$F$2:$F$296,MATCH(C280,Standards!$B$2:$B$296,0)))</f>
        <v>#N/A</v>
      </c>
      <c r="W280" t="str">
        <f t="shared" si="14"/>
        <v>#2f89d1</v>
      </c>
    </row>
    <row r="281" spans="1:23" x14ac:dyDescent="0.5">
      <c r="A281" s="54">
        <v>280</v>
      </c>
      <c r="B281" s="90" t="s">
        <v>631</v>
      </c>
      <c r="C281" t="s">
        <v>1266</v>
      </c>
      <c r="D281" s="1"/>
      <c r="G281" s="107"/>
      <c r="H281">
        <f>INDEX('GIS-Standards'!$A$2:$A$305,MATCH(B281,'GIS-Standards'!$B$2:$B$305,0))</f>
        <v>11</v>
      </c>
      <c r="I281" t="e">
        <f>INDEX('GIS-Standards'!$A$2:$A$305,MATCH(C281,'GIS-Standards'!$B$2:$B$305,0))</f>
        <v>#N/A</v>
      </c>
      <c r="J281" t="str">
        <f>INDEX('GIS-Standards'!$O$2:$O$305,MATCH(B281,'GIS-Standards'!$B$2:$B$305,0))</f>
        <v>ISO/TC 211</v>
      </c>
      <c r="K281" t="e">
        <f>INDEX('GIS-Standards'!$O$2:$O$305,MATCH(C281,'GIS-Standards'!$B$2:$B$305,0))</f>
        <v>#N/A</v>
      </c>
      <c r="M281" t="s">
        <v>525</v>
      </c>
      <c r="N281">
        <f>INDEX('GIS-Standards'!$I$2:$I$305,MATCH(B281,'GIS-Standards'!$B$2:$B$305,0))</f>
        <v>0</v>
      </c>
      <c r="O281" t="e">
        <f>INDEX('GIS-Standards'!$I$2:$I$305,MATCH(C281,'GIS-Standards'!$B$2:$B$305,0))</f>
        <v>#N/A</v>
      </c>
      <c r="P281" t="e">
        <f>AND(TableRelationships12[[#This Row],[Source Type]]="BIM",TableRelationships12[[#This Row],[Target Type]]="BIM")</f>
        <v>#N/A</v>
      </c>
      <c r="Q281">
        <f t="shared" si="12"/>
        <v>1</v>
      </c>
      <c r="S281">
        <f t="shared" si="13"/>
        <v>1</v>
      </c>
      <c r="T281" s="102" t="str">
        <f>IF(TableRelationships12[[#This Row],[Rank Pedro]]="Low","linkCategory1",IF(TableRelationships12[[#This Row],[Rank Pedro]]="Medium","linkCategory2",IF(TableRelationships12[[#This Row],[Rank Pedro]]="High","linkCategory3","")))</f>
        <v/>
      </c>
      <c r="U281" s="102" t="str">
        <f>IF(TableRelationships12[[#This Row],[Rank Pedro]]="Low","Pink",IF(TableRelationships12[[#This Row],[Rank Pedro]]="Medium","Purple",IF(TableRelationships12[[#This Row],[Rank Pedro]]="High","Brown","")))</f>
        <v/>
      </c>
      <c r="V281" s="4" t="e">
        <f>MAX(INDEX(Standards!$F$2:$F$296,MATCH(B281,Standards!$B$2:$B$296,0)),INDEX(Standards!$F$2:$F$296,MATCH(C281,Standards!$B$2:$B$296,0)))</f>
        <v>#N/A</v>
      </c>
      <c r="W281" t="str">
        <f t="shared" si="14"/>
        <v>#2f89d1</v>
      </c>
    </row>
    <row r="282" spans="1:23" x14ac:dyDescent="0.5">
      <c r="A282" s="54">
        <v>281</v>
      </c>
      <c r="B282" s="90" t="s">
        <v>631</v>
      </c>
      <c r="C282" t="s">
        <v>1267</v>
      </c>
      <c r="D282" s="1"/>
      <c r="G282" s="107"/>
      <c r="H282">
        <f>INDEX('GIS-Standards'!$A$2:$A$305,MATCH(B282,'GIS-Standards'!$B$2:$B$305,0))</f>
        <v>11</v>
      </c>
      <c r="I282" t="e">
        <f>INDEX('GIS-Standards'!$A$2:$A$305,MATCH(C282,'GIS-Standards'!$B$2:$B$305,0))</f>
        <v>#N/A</v>
      </c>
      <c r="J282" t="str">
        <f>INDEX('GIS-Standards'!$O$2:$O$305,MATCH(B282,'GIS-Standards'!$B$2:$B$305,0))</f>
        <v>ISO/TC 211</v>
      </c>
      <c r="K282" t="e">
        <f>INDEX('GIS-Standards'!$O$2:$O$305,MATCH(C282,'GIS-Standards'!$B$2:$B$305,0))</f>
        <v>#N/A</v>
      </c>
      <c r="M282" t="s">
        <v>525</v>
      </c>
      <c r="N282">
        <f>INDEX('GIS-Standards'!$I$2:$I$305,MATCH(B282,'GIS-Standards'!$B$2:$B$305,0))</f>
        <v>0</v>
      </c>
      <c r="O282" t="e">
        <f>INDEX('GIS-Standards'!$I$2:$I$305,MATCH(C282,'GIS-Standards'!$B$2:$B$305,0))</f>
        <v>#N/A</v>
      </c>
      <c r="P282" t="e">
        <f>AND(TableRelationships12[[#This Row],[Source Type]]="BIM",TableRelationships12[[#This Row],[Target Type]]="BIM")</f>
        <v>#N/A</v>
      </c>
      <c r="Q282">
        <f t="shared" si="12"/>
        <v>1</v>
      </c>
      <c r="S282">
        <f t="shared" si="13"/>
        <v>1</v>
      </c>
      <c r="T282" s="102" t="str">
        <f>IF(TableRelationships12[[#This Row],[Rank Pedro]]="Low","linkCategory1",IF(TableRelationships12[[#This Row],[Rank Pedro]]="Medium","linkCategory2",IF(TableRelationships12[[#This Row],[Rank Pedro]]="High","linkCategory3","")))</f>
        <v/>
      </c>
      <c r="U282" s="102" t="str">
        <f>IF(TableRelationships12[[#This Row],[Rank Pedro]]="Low","Pink",IF(TableRelationships12[[#This Row],[Rank Pedro]]="Medium","Purple",IF(TableRelationships12[[#This Row],[Rank Pedro]]="High","Brown","")))</f>
        <v/>
      </c>
      <c r="V282" s="4" t="e">
        <f>MAX(INDEX(Standards!$F$2:$F$296,MATCH(B282,Standards!$B$2:$B$296,0)),INDEX(Standards!$F$2:$F$296,MATCH(C282,Standards!$B$2:$B$296,0)))</f>
        <v>#N/A</v>
      </c>
      <c r="W282" t="str">
        <f t="shared" si="14"/>
        <v>#2f89d1</v>
      </c>
    </row>
    <row r="283" spans="1:23" x14ac:dyDescent="0.5">
      <c r="A283" s="54">
        <v>282</v>
      </c>
      <c r="B283" s="90" t="s">
        <v>631</v>
      </c>
      <c r="C283" t="s">
        <v>1268</v>
      </c>
      <c r="D283" s="1"/>
      <c r="G283" s="107"/>
      <c r="H283">
        <f>INDEX('GIS-Standards'!$A$2:$A$305,MATCH(B283,'GIS-Standards'!$B$2:$B$305,0))</f>
        <v>11</v>
      </c>
      <c r="I283" t="e">
        <f>INDEX('GIS-Standards'!$A$2:$A$305,MATCH(C283,'GIS-Standards'!$B$2:$B$305,0))</f>
        <v>#N/A</v>
      </c>
      <c r="J283" t="str">
        <f>INDEX('GIS-Standards'!$O$2:$O$305,MATCH(B283,'GIS-Standards'!$B$2:$B$305,0))</f>
        <v>ISO/TC 211</v>
      </c>
      <c r="K283" t="e">
        <f>INDEX('GIS-Standards'!$O$2:$O$305,MATCH(C283,'GIS-Standards'!$B$2:$B$305,0))</f>
        <v>#N/A</v>
      </c>
      <c r="M283" t="s">
        <v>525</v>
      </c>
      <c r="N283">
        <f>INDEX('GIS-Standards'!$I$2:$I$305,MATCH(B283,'GIS-Standards'!$B$2:$B$305,0))</f>
        <v>0</v>
      </c>
      <c r="O283" t="e">
        <f>INDEX('GIS-Standards'!$I$2:$I$305,MATCH(C283,'GIS-Standards'!$B$2:$B$305,0))</f>
        <v>#N/A</v>
      </c>
      <c r="P283" t="e">
        <f>AND(TableRelationships12[[#This Row],[Source Type]]="BIM",TableRelationships12[[#This Row],[Target Type]]="BIM")</f>
        <v>#N/A</v>
      </c>
      <c r="Q283">
        <f t="shared" si="12"/>
        <v>1</v>
      </c>
      <c r="S283">
        <f t="shared" si="13"/>
        <v>1</v>
      </c>
      <c r="T283" s="102" t="str">
        <f>IF(TableRelationships12[[#This Row],[Rank Pedro]]="Low","linkCategory1",IF(TableRelationships12[[#This Row],[Rank Pedro]]="Medium","linkCategory2",IF(TableRelationships12[[#This Row],[Rank Pedro]]="High","linkCategory3","")))</f>
        <v/>
      </c>
      <c r="U283" s="102" t="str">
        <f>IF(TableRelationships12[[#This Row],[Rank Pedro]]="Low","Pink",IF(TableRelationships12[[#This Row],[Rank Pedro]]="Medium","Purple",IF(TableRelationships12[[#This Row],[Rank Pedro]]="High","Brown","")))</f>
        <v/>
      </c>
      <c r="V283" s="4" t="e">
        <f>MAX(INDEX(Standards!$F$2:$F$296,MATCH(B283,Standards!$B$2:$B$296,0)),INDEX(Standards!$F$2:$F$296,MATCH(C283,Standards!$B$2:$B$296,0)))</f>
        <v>#N/A</v>
      </c>
      <c r="W283" t="str">
        <f t="shared" si="14"/>
        <v>#2f89d1</v>
      </c>
    </row>
    <row r="284" spans="1:23" x14ac:dyDescent="0.5">
      <c r="A284" s="54">
        <v>283</v>
      </c>
      <c r="B284" s="90" t="s">
        <v>631</v>
      </c>
      <c r="C284" t="s">
        <v>1269</v>
      </c>
      <c r="D284" s="1"/>
      <c r="G284" s="107"/>
      <c r="H284">
        <f>INDEX('GIS-Standards'!$A$2:$A$305,MATCH(B284,'GIS-Standards'!$B$2:$B$305,0))</f>
        <v>11</v>
      </c>
      <c r="I284" t="e">
        <f>INDEX('GIS-Standards'!$A$2:$A$305,MATCH(C284,'GIS-Standards'!$B$2:$B$305,0))</f>
        <v>#N/A</v>
      </c>
      <c r="J284" t="str">
        <f>INDEX('GIS-Standards'!$O$2:$O$305,MATCH(B284,'GIS-Standards'!$B$2:$B$305,0))</f>
        <v>ISO/TC 211</v>
      </c>
      <c r="K284" t="e">
        <f>INDEX('GIS-Standards'!$O$2:$O$305,MATCH(C284,'GIS-Standards'!$B$2:$B$305,0))</f>
        <v>#N/A</v>
      </c>
      <c r="M284" t="s">
        <v>525</v>
      </c>
      <c r="N284">
        <f>INDEX('GIS-Standards'!$I$2:$I$305,MATCH(B284,'GIS-Standards'!$B$2:$B$305,0))</f>
        <v>0</v>
      </c>
      <c r="O284" t="e">
        <f>INDEX('GIS-Standards'!$I$2:$I$305,MATCH(C284,'GIS-Standards'!$B$2:$B$305,0))</f>
        <v>#N/A</v>
      </c>
      <c r="P284" t="e">
        <f>AND(TableRelationships12[[#This Row],[Source Type]]="BIM",TableRelationships12[[#This Row],[Target Type]]="BIM")</f>
        <v>#N/A</v>
      </c>
      <c r="Q284">
        <f t="shared" si="12"/>
        <v>1</v>
      </c>
      <c r="S284">
        <f t="shared" si="13"/>
        <v>1</v>
      </c>
      <c r="T284" s="102" t="str">
        <f>IF(TableRelationships12[[#This Row],[Rank Pedro]]="Low","linkCategory1",IF(TableRelationships12[[#This Row],[Rank Pedro]]="Medium","linkCategory2",IF(TableRelationships12[[#This Row],[Rank Pedro]]="High","linkCategory3","")))</f>
        <v/>
      </c>
      <c r="U284" s="102" t="str">
        <f>IF(TableRelationships12[[#This Row],[Rank Pedro]]="Low","Pink",IF(TableRelationships12[[#This Row],[Rank Pedro]]="Medium","Purple",IF(TableRelationships12[[#This Row],[Rank Pedro]]="High","Brown","")))</f>
        <v/>
      </c>
      <c r="V284" s="4" t="e">
        <f>MAX(INDEX(Standards!$F$2:$F$296,MATCH(B284,Standards!$B$2:$B$296,0)),INDEX(Standards!$F$2:$F$296,MATCH(C284,Standards!$B$2:$B$296,0)))</f>
        <v>#N/A</v>
      </c>
      <c r="W284" t="str">
        <f t="shared" si="14"/>
        <v>#2f89d1</v>
      </c>
    </row>
    <row r="285" spans="1:23" x14ac:dyDescent="0.5">
      <c r="A285" s="54">
        <v>284</v>
      </c>
      <c r="B285" s="90" t="s">
        <v>631</v>
      </c>
      <c r="C285" t="s">
        <v>1267</v>
      </c>
      <c r="D285" s="1"/>
      <c r="G285" s="107"/>
      <c r="H285">
        <f>INDEX('GIS-Standards'!$A$2:$A$305,MATCH(B285,'GIS-Standards'!$B$2:$B$305,0))</f>
        <v>11</v>
      </c>
      <c r="I285" t="e">
        <f>INDEX('GIS-Standards'!$A$2:$A$305,MATCH(C285,'GIS-Standards'!$B$2:$B$305,0))</f>
        <v>#N/A</v>
      </c>
      <c r="J285" t="str">
        <f>INDEX('GIS-Standards'!$O$2:$O$305,MATCH(B285,'GIS-Standards'!$B$2:$B$305,0))</f>
        <v>ISO/TC 211</v>
      </c>
      <c r="K285" t="e">
        <f>INDEX('GIS-Standards'!$O$2:$O$305,MATCH(C285,'GIS-Standards'!$B$2:$B$305,0))</f>
        <v>#N/A</v>
      </c>
      <c r="M285" t="s">
        <v>525</v>
      </c>
      <c r="N285">
        <f>INDEX('GIS-Standards'!$I$2:$I$305,MATCH(B285,'GIS-Standards'!$B$2:$B$305,0))</f>
        <v>0</v>
      </c>
      <c r="O285" t="e">
        <f>INDEX('GIS-Standards'!$I$2:$I$305,MATCH(C285,'GIS-Standards'!$B$2:$B$305,0))</f>
        <v>#N/A</v>
      </c>
      <c r="P285" t="e">
        <f>AND(TableRelationships12[[#This Row],[Source Type]]="BIM",TableRelationships12[[#This Row],[Target Type]]="BIM")</f>
        <v>#N/A</v>
      </c>
      <c r="Q285">
        <f t="shared" si="12"/>
        <v>1</v>
      </c>
      <c r="S285">
        <f t="shared" si="13"/>
        <v>1</v>
      </c>
      <c r="T285" s="102" t="str">
        <f>IF(TableRelationships12[[#This Row],[Rank Pedro]]="Low","linkCategory1",IF(TableRelationships12[[#This Row],[Rank Pedro]]="Medium","linkCategory2",IF(TableRelationships12[[#This Row],[Rank Pedro]]="High","linkCategory3","")))</f>
        <v/>
      </c>
      <c r="U285" s="102" t="str">
        <f>IF(TableRelationships12[[#This Row],[Rank Pedro]]="Low","Pink",IF(TableRelationships12[[#This Row],[Rank Pedro]]="Medium","Purple",IF(TableRelationships12[[#This Row],[Rank Pedro]]="High","Brown","")))</f>
        <v/>
      </c>
      <c r="V285" s="4" t="e">
        <f>MAX(INDEX(Standards!$F$2:$F$296,MATCH(B285,Standards!$B$2:$B$296,0)),INDEX(Standards!$F$2:$F$296,MATCH(C285,Standards!$B$2:$B$296,0)))</f>
        <v>#N/A</v>
      </c>
      <c r="W285" t="str">
        <f t="shared" si="14"/>
        <v>#2f89d1</v>
      </c>
    </row>
    <row r="286" spans="1:23" x14ac:dyDescent="0.5">
      <c r="A286" s="54">
        <v>285</v>
      </c>
      <c r="B286" s="90" t="s">
        <v>631</v>
      </c>
      <c r="C286" t="s">
        <v>1270</v>
      </c>
      <c r="D286" s="1"/>
      <c r="G286" s="107"/>
      <c r="H286">
        <f>INDEX('GIS-Standards'!$A$2:$A$305,MATCH(B286,'GIS-Standards'!$B$2:$B$305,0))</f>
        <v>11</v>
      </c>
      <c r="I286" t="e">
        <f>INDEX('GIS-Standards'!$A$2:$A$305,MATCH(C286,'GIS-Standards'!$B$2:$B$305,0))</f>
        <v>#N/A</v>
      </c>
      <c r="J286" t="str">
        <f>INDEX('GIS-Standards'!$O$2:$O$305,MATCH(B286,'GIS-Standards'!$B$2:$B$305,0))</f>
        <v>ISO/TC 211</v>
      </c>
      <c r="K286" t="e">
        <f>INDEX('GIS-Standards'!$O$2:$O$305,MATCH(C286,'GIS-Standards'!$B$2:$B$305,0))</f>
        <v>#N/A</v>
      </c>
      <c r="M286" t="s">
        <v>525</v>
      </c>
      <c r="N286">
        <f>INDEX('GIS-Standards'!$I$2:$I$305,MATCH(B286,'GIS-Standards'!$B$2:$B$305,0))</f>
        <v>0</v>
      </c>
      <c r="O286" t="e">
        <f>INDEX('GIS-Standards'!$I$2:$I$305,MATCH(C286,'GIS-Standards'!$B$2:$B$305,0))</f>
        <v>#N/A</v>
      </c>
      <c r="P286" t="e">
        <f>AND(TableRelationships12[[#This Row],[Source Type]]="BIM",TableRelationships12[[#This Row],[Target Type]]="BIM")</f>
        <v>#N/A</v>
      </c>
      <c r="Q286">
        <f t="shared" si="12"/>
        <v>1</v>
      </c>
      <c r="S286">
        <f t="shared" si="13"/>
        <v>1</v>
      </c>
      <c r="T286" s="102" t="str">
        <f>IF(TableRelationships12[[#This Row],[Rank Pedro]]="Low","linkCategory1",IF(TableRelationships12[[#This Row],[Rank Pedro]]="Medium","linkCategory2",IF(TableRelationships12[[#This Row],[Rank Pedro]]="High","linkCategory3","")))</f>
        <v/>
      </c>
      <c r="U286" s="102" t="str">
        <f>IF(TableRelationships12[[#This Row],[Rank Pedro]]="Low","Pink",IF(TableRelationships12[[#This Row],[Rank Pedro]]="Medium","Purple",IF(TableRelationships12[[#This Row],[Rank Pedro]]="High","Brown","")))</f>
        <v/>
      </c>
      <c r="V286" s="4" t="e">
        <f>MAX(INDEX(Standards!$F$2:$F$296,MATCH(B286,Standards!$B$2:$B$296,0)),INDEX(Standards!$F$2:$F$296,MATCH(C286,Standards!$B$2:$B$296,0)))</f>
        <v>#N/A</v>
      </c>
      <c r="W286" t="str">
        <f t="shared" si="14"/>
        <v>#2f89d1</v>
      </c>
    </row>
    <row r="287" spans="1:23" x14ac:dyDescent="0.5">
      <c r="A287" s="54">
        <v>286</v>
      </c>
      <c r="B287" s="90" t="s">
        <v>631</v>
      </c>
      <c r="C287" t="s">
        <v>1271</v>
      </c>
      <c r="D287" s="1"/>
      <c r="G287" s="107"/>
      <c r="H287">
        <f>INDEX('GIS-Standards'!$A$2:$A$305,MATCH(B287,'GIS-Standards'!$B$2:$B$305,0))</f>
        <v>11</v>
      </c>
      <c r="I287" t="e">
        <f>INDEX('GIS-Standards'!$A$2:$A$305,MATCH(C287,'GIS-Standards'!$B$2:$B$305,0))</f>
        <v>#N/A</v>
      </c>
      <c r="J287" t="str">
        <f>INDEX('GIS-Standards'!$O$2:$O$305,MATCH(B287,'GIS-Standards'!$B$2:$B$305,0))</f>
        <v>ISO/TC 211</v>
      </c>
      <c r="K287" t="e">
        <f>INDEX('GIS-Standards'!$O$2:$O$305,MATCH(C287,'GIS-Standards'!$B$2:$B$305,0))</f>
        <v>#N/A</v>
      </c>
      <c r="M287" t="s">
        <v>525</v>
      </c>
      <c r="N287">
        <f>INDEX('GIS-Standards'!$I$2:$I$305,MATCH(B287,'GIS-Standards'!$B$2:$B$305,0))</f>
        <v>0</v>
      </c>
      <c r="O287" t="e">
        <f>INDEX('GIS-Standards'!$I$2:$I$305,MATCH(C287,'GIS-Standards'!$B$2:$B$305,0))</f>
        <v>#N/A</v>
      </c>
      <c r="P287" t="e">
        <f>AND(TableRelationships12[[#This Row],[Source Type]]="BIM",TableRelationships12[[#This Row],[Target Type]]="BIM")</f>
        <v>#N/A</v>
      </c>
      <c r="Q287">
        <f t="shared" si="12"/>
        <v>1</v>
      </c>
      <c r="S287">
        <f t="shared" si="13"/>
        <v>1</v>
      </c>
      <c r="T287" s="102" t="str">
        <f>IF(TableRelationships12[[#This Row],[Rank Pedro]]="Low","linkCategory1",IF(TableRelationships12[[#This Row],[Rank Pedro]]="Medium","linkCategory2",IF(TableRelationships12[[#This Row],[Rank Pedro]]="High","linkCategory3","")))</f>
        <v/>
      </c>
      <c r="U287" s="102" t="str">
        <f>IF(TableRelationships12[[#This Row],[Rank Pedro]]="Low","Pink",IF(TableRelationships12[[#This Row],[Rank Pedro]]="Medium","Purple",IF(TableRelationships12[[#This Row],[Rank Pedro]]="High","Brown","")))</f>
        <v/>
      </c>
      <c r="V287" s="4" t="e">
        <f>MAX(INDEX(Standards!$F$2:$F$296,MATCH(B287,Standards!$B$2:$B$296,0)),INDEX(Standards!$F$2:$F$296,MATCH(C287,Standards!$B$2:$B$296,0)))</f>
        <v>#N/A</v>
      </c>
      <c r="W287" t="str">
        <f t="shared" si="14"/>
        <v>#2f89d1</v>
      </c>
    </row>
    <row r="288" spans="1:23" x14ac:dyDescent="0.5">
      <c r="A288" s="54">
        <v>287</v>
      </c>
      <c r="B288" s="90" t="s">
        <v>631</v>
      </c>
      <c r="C288" t="s">
        <v>1272</v>
      </c>
      <c r="D288" s="1"/>
      <c r="G288" s="107"/>
      <c r="H288">
        <f>INDEX('GIS-Standards'!$A$2:$A$305,MATCH(B288,'GIS-Standards'!$B$2:$B$305,0))</f>
        <v>11</v>
      </c>
      <c r="I288" t="e">
        <f>INDEX('GIS-Standards'!$A$2:$A$305,MATCH(C288,'GIS-Standards'!$B$2:$B$305,0))</f>
        <v>#N/A</v>
      </c>
      <c r="J288" t="str">
        <f>INDEX('GIS-Standards'!$O$2:$O$305,MATCH(B288,'GIS-Standards'!$B$2:$B$305,0))</f>
        <v>ISO/TC 211</v>
      </c>
      <c r="K288" t="e">
        <f>INDEX('GIS-Standards'!$O$2:$O$305,MATCH(C288,'GIS-Standards'!$B$2:$B$305,0))</f>
        <v>#N/A</v>
      </c>
      <c r="M288" t="s">
        <v>525</v>
      </c>
      <c r="N288">
        <f>INDEX('GIS-Standards'!$I$2:$I$305,MATCH(B288,'GIS-Standards'!$B$2:$B$305,0))</f>
        <v>0</v>
      </c>
      <c r="O288" t="e">
        <f>INDEX('GIS-Standards'!$I$2:$I$305,MATCH(C288,'GIS-Standards'!$B$2:$B$305,0))</f>
        <v>#N/A</v>
      </c>
      <c r="P288" t="e">
        <f>AND(TableRelationships12[[#This Row],[Source Type]]="BIM",TableRelationships12[[#This Row],[Target Type]]="BIM")</f>
        <v>#N/A</v>
      </c>
      <c r="Q288">
        <f t="shared" si="12"/>
        <v>1</v>
      </c>
      <c r="S288">
        <f t="shared" si="13"/>
        <v>1</v>
      </c>
      <c r="T288" s="102" t="str">
        <f>IF(TableRelationships12[[#This Row],[Rank Pedro]]="Low","linkCategory1",IF(TableRelationships12[[#This Row],[Rank Pedro]]="Medium","linkCategory2",IF(TableRelationships12[[#This Row],[Rank Pedro]]="High","linkCategory3","")))</f>
        <v/>
      </c>
      <c r="U288" s="102" t="str">
        <f>IF(TableRelationships12[[#This Row],[Rank Pedro]]="Low","Pink",IF(TableRelationships12[[#This Row],[Rank Pedro]]="Medium","Purple",IF(TableRelationships12[[#This Row],[Rank Pedro]]="High","Brown","")))</f>
        <v/>
      </c>
      <c r="V288" s="4" t="e">
        <f>MAX(INDEX(Standards!$F$2:$F$296,MATCH(B288,Standards!$B$2:$B$296,0)),INDEX(Standards!$F$2:$F$296,MATCH(C288,Standards!$B$2:$B$296,0)))</f>
        <v>#N/A</v>
      </c>
      <c r="W288" t="str">
        <f t="shared" si="14"/>
        <v>#2f89d1</v>
      </c>
    </row>
    <row r="289" spans="1:23" x14ac:dyDescent="0.5">
      <c r="A289" s="54">
        <v>288</v>
      </c>
      <c r="B289" s="90" t="s">
        <v>631</v>
      </c>
      <c r="C289" t="s">
        <v>1273</v>
      </c>
      <c r="D289" s="1"/>
      <c r="G289" s="107"/>
      <c r="H289">
        <f>INDEX('GIS-Standards'!$A$2:$A$305,MATCH(B289,'GIS-Standards'!$B$2:$B$305,0))</f>
        <v>11</v>
      </c>
      <c r="I289" t="e">
        <f>INDEX('GIS-Standards'!$A$2:$A$305,MATCH(C289,'GIS-Standards'!$B$2:$B$305,0))</f>
        <v>#N/A</v>
      </c>
      <c r="J289" t="str">
        <f>INDEX('GIS-Standards'!$O$2:$O$305,MATCH(B289,'GIS-Standards'!$B$2:$B$305,0))</f>
        <v>ISO/TC 211</v>
      </c>
      <c r="K289" t="e">
        <f>INDEX('GIS-Standards'!$O$2:$O$305,MATCH(C289,'GIS-Standards'!$B$2:$B$305,0))</f>
        <v>#N/A</v>
      </c>
      <c r="M289" t="s">
        <v>525</v>
      </c>
      <c r="N289">
        <f>INDEX('GIS-Standards'!$I$2:$I$305,MATCH(B289,'GIS-Standards'!$B$2:$B$305,0))</f>
        <v>0</v>
      </c>
      <c r="O289" t="e">
        <f>INDEX('GIS-Standards'!$I$2:$I$305,MATCH(C289,'GIS-Standards'!$B$2:$B$305,0))</f>
        <v>#N/A</v>
      </c>
      <c r="P289" t="e">
        <f>AND(TableRelationships12[[#This Row],[Source Type]]="BIM",TableRelationships12[[#This Row],[Target Type]]="BIM")</f>
        <v>#N/A</v>
      </c>
      <c r="Q289">
        <f t="shared" si="12"/>
        <v>1</v>
      </c>
      <c r="S289">
        <f t="shared" si="13"/>
        <v>1</v>
      </c>
      <c r="T289" s="102" t="str">
        <f>IF(TableRelationships12[[#This Row],[Rank Pedro]]="Low","linkCategory1",IF(TableRelationships12[[#This Row],[Rank Pedro]]="Medium","linkCategory2",IF(TableRelationships12[[#This Row],[Rank Pedro]]="High","linkCategory3","")))</f>
        <v/>
      </c>
      <c r="U289" s="102" t="str">
        <f>IF(TableRelationships12[[#This Row],[Rank Pedro]]="Low","Pink",IF(TableRelationships12[[#This Row],[Rank Pedro]]="Medium","Purple",IF(TableRelationships12[[#This Row],[Rank Pedro]]="High","Brown","")))</f>
        <v/>
      </c>
      <c r="V289" s="4" t="e">
        <f>MAX(INDEX(Standards!$F$2:$F$296,MATCH(B289,Standards!$B$2:$B$296,0)),INDEX(Standards!$F$2:$F$296,MATCH(C289,Standards!$B$2:$B$296,0)))</f>
        <v>#N/A</v>
      </c>
      <c r="W289" t="str">
        <f t="shared" si="14"/>
        <v>#2f89d1</v>
      </c>
    </row>
    <row r="290" spans="1:23" x14ac:dyDescent="0.5">
      <c r="A290" s="54">
        <v>289</v>
      </c>
      <c r="B290" s="90" t="s">
        <v>631</v>
      </c>
      <c r="C290" t="s">
        <v>1274</v>
      </c>
      <c r="D290" s="1"/>
      <c r="G290" s="107"/>
      <c r="H290">
        <f>INDEX('GIS-Standards'!$A$2:$A$305,MATCH(B290,'GIS-Standards'!$B$2:$B$305,0))</f>
        <v>11</v>
      </c>
      <c r="I290" t="e">
        <f>INDEX('GIS-Standards'!$A$2:$A$305,MATCH(C290,'GIS-Standards'!$B$2:$B$305,0))</f>
        <v>#N/A</v>
      </c>
      <c r="J290" t="str">
        <f>INDEX('GIS-Standards'!$O$2:$O$305,MATCH(B290,'GIS-Standards'!$B$2:$B$305,0))</f>
        <v>ISO/TC 211</v>
      </c>
      <c r="K290" t="e">
        <f>INDEX('GIS-Standards'!$O$2:$O$305,MATCH(C290,'GIS-Standards'!$B$2:$B$305,0))</f>
        <v>#N/A</v>
      </c>
      <c r="M290" t="s">
        <v>525</v>
      </c>
      <c r="N290">
        <f>INDEX('GIS-Standards'!$I$2:$I$305,MATCH(B290,'GIS-Standards'!$B$2:$B$305,0))</f>
        <v>0</v>
      </c>
      <c r="O290" t="e">
        <f>INDEX('GIS-Standards'!$I$2:$I$305,MATCH(C290,'GIS-Standards'!$B$2:$B$305,0))</f>
        <v>#N/A</v>
      </c>
      <c r="P290" t="e">
        <f>AND(TableRelationships12[[#This Row],[Source Type]]="BIM",TableRelationships12[[#This Row],[Target Type]]="BIM")</f>
        <v>#N/A</v>
      </c>
      <c r="Q290">
        <f t="shared" si="12"/>
        <v>1</v>
      </c>
      <c r="S290">
        <f t="shared" si="13"/>
        <v>1</v>
      </c>
      <c r="T290" s="102" t="str">
        <f>IF(TableRelationships12[[#This Row],[Rank Pedro]]="Low","linkCategory1",IF(TableRelationships12[[#This Row],[Rank Pedro]]="Medium","linkCategory2",IF(TableRelationships12[[#This Row],[Rank Pedro]]="High","linkCategory3","")))</f>
        <v/>
      </c>
      <c r="U290" s="102" t="str">
        <f>IF(TableRelationships12[[#This Row],[Rank Pedro]]="Low","Pink",IF(TableRelationships12[[#This Row],[Rank Pedro]]="Medium","Purple",IF(TableRelationships12[[#This Row],[Rank Pedro]]="High","Brown","")))</f>
        <v/>
      </c>
      <c r="V290" s="4" t="e">
        <f>MAX(INDEX(Standards!$F$2:$F$296,MATCH(B290,Standards!$B$2:$B$296,0)),INDEX(Standards!$F$2:$F$296,MATCH(C290,Standards!$B$2:$B$296,0)))</f>
        <v>#N/A</v>
      </c>
      <c r="W290" t="str">
        <f t="shared" si="14"/>
        <v>#2f89d1</v>
      </c>
    </row>
    <row r="291" spans="1:23" x14ac:dyDescent="0.5">
      <c r="A291" s="54">
        <v>290</v>
      </c>
      <c r="B291" s="90" t="s">
        <v>631</v>
      </c>
      <c r="C291" t="s">
        <v>1548</v>
      </c>
      <c r="D291" s="1"/>
      <c r="G291" s="107"/>
      <c r="H291">
        <f>INDEX('GIS-Standards'!$A$2:$A$305,MATCH(B291,'GIS-Standards'!$B$2:$B$305,0))</f>
        <v>11</v>
      </c>
      <c r="I291" t="e">
        <f>INDEX('GIS-Standards'!$A$2:$A$305,MATCH(C291,'GIS-Standards'!$B$2:$B$305,0))</f>
        <v>#N/A</v>
      </c>
      <c r="J291" t="str">
        <f>INDEX('GIS-Standards'!$O$2:$O$305,MATCH(B291,'GIS-Standards'!$B$2:$B$305,0))</f>
        <v>ISO/TC 211</v>
      </c>
      <c r="K291" t="e">
        <f>INDEX('GIS-Standards'!$O$2:$O$305,MATCH(C291,'GIS-Standards'!$B$2:$B$305,0))</f>
        <v>#N/A</v>
      </c>
      <c r="M291" t="s">
        <v>525</v>
      </c>
      <c r="N291">
        <f>INDEX('GIS-Standards'!$I$2:$I$305,MATCH(B291,'GIS-Standards'!$B$2:$B$305,0))</f>
        <v>0</v>
      </c>
      <c r="O291" t="e">
        <f>INDEX('GIS-Standards'!$I$2:$I$305,MATCH(C291,'GIS-Standards'!$B$2:$B$305,0))</f>
        <v>#N/A</v>
      </c>
      <c r="P291" t="e">
        <f>AND(TableRelationships12[[#This Row],[Source Type]]="BIM",TableRelationships12[[#This Row],[Target Type]]="BIM")</f>
        <v>#N/A</v>
      </c>
      <c r="Q291">
        <f t="shared" si="12"/>
        <v>1</v>
      </c>
      <c r="S291">
        <f t="shared" si="13"/>
        <v>1</v>
      </c>
      <c r="T291" s="102" t="str">
        <f>IF(TableRelationships12[[#This Row],[Rank Pedro]]="Low","linkCategory1",IF(TableRelationships12[[#This Row],[Rank Pedro]]="Medium","linkCategory2",IF(TableRelationships12[[#This Row],[Rank Pedro]]="High","linkCategory3","")))</f>
        <v/>
      </c>
      <c r="U291" s="102" t="str">
        <f>IF(TableRelationships12[[#This Row],[Rank Pedro]]="Low","Pink",IF(TableRelationships12[[#This Row],[Rank Pedro]]="Medium","Purple",IF(TableRelationships12[[#This Row],[Rank Pedro]]="High","Brown","")))</f>
        <v/>
      </c>
      <c r="V291" s="4" t="e">
        <f>MAX(INDEX(Standards!$F$2:$F$296,MATCH(B291,Standards!$B$2:$B$296,0)),INDEX(Standards!$F$2:$F$296,MATCH(C291,Standards!$B$2:$B$296,0)))</f>
        <v>#N/A</v>
      </c>
      <c r="W291" t="str">
        <f t="shared" si="14"/>
        <v>#2f89d1</v>
      </c>
    </row>
    <row r="292" spans="1:23" x14ac:dyDescent="0.5">
      <c r="A292" s="54">
        <v>291</v>
      </c>
      <c r="B292" s="90" t="s">
        <v>631</v>
      </c>
      <c r="C292" t="s">
        <v>1549</v>
      </c>
      <c r="D292" s="1"/>
      <c r="G292" s="107"/>
      <c r="H292">
        <f>INDEX('GIS-Standards'!$A$2:$A$305,MATCH(B292,'GIS-Standards'!$B$2:$B$305,0))</f>
        <v>11</v>
      </c>
      <c r="I292" t="e">
        <f>INDEX('GIS-Standards'!$A$2:$A$305,MATCH(C292,'GIS-Standards'!$B$2:$B$305,0))</f>
        <v>#N/A</v>
      </c>
      <c r="J292" t="str">
        <f>INDEX('GIS-Standards'!$O$2:$O$305,MATCH(B292,'GIS-Standards'!$B$2:$B$305,0))</f>
        <v>ISO/TC 211</v>
      </c>
      <c r="K292" t="e">
        <f>INDEX('GIS-Standards'!$O$2:$O$305,MATCH(C292,'GIS-Standards'!$B$2:$B$305,0))</f>
        <v>#N/A</v>
      </c>
      <c r="M292" t="s">
        <v>525</v>
      </c>
      <c r="N292">
        <f>INDEX('GIS-Standards'!$I$2:$I$305,MATCH(B292,'GIS-Standards'!$B$2:$B$305,0))</f>
        <v>0</v>
      </c>
      <c r="O292" t="e">
        <f>INDEX('GIS-Standards'!$I$2:$I$305,MATCH(C292,'GIS-Standards'!$B$2:$B$305,0))</f>
        <v>#N/A</v>
      </c>
      <c r="P292" t="e">
        <f>AND(TableRelationships12[[#This Row],[Source Type]]="BIM",TableRelationships12[[#This Row],[Target Type]]="BIM")</f>
        <v>#N/A</v>
      </c>
      <c r="Q292">
        <f t="shared" si="12"/>
        <v>1</v>
      </c>
      <c r="S292">
        <f t="shared" si="13"/>
        <v>1</v>
      </c>
      <c r="T292" s="102" t="str">
        <f>IF(TableRelationships12[[#This Row],[Rank Pedro]]="Low","linkCategory1",IF(TableRelationships12[[#This Row],[Rank Pedro]]="Medium","linkCategory2",IF(TableRelationships12[[#This Row],[Rank Pedro]]="High","linkCategory3","")))</f>
        <v/>
      </c>
      <c r="U292" s="102" t="str">
        <f>IF(TableRelationships12[[#This Row],[Rank Pedro]]="Low","Pink",IF(TableRelationships12[[#This Row],[Rank Pedro]]="Medium","Purple",IF(TableRelationships12[[#This Row],[Rank Pedro]]="High","Brown","")))</f>
        <v/>
      </c>
      <c r="V292" s="4" t="e">
        <f>MAX(INDEX(Standards!$F$2:$F$296,MATCH(B292,Standards!$B$2:$B$296,0)),INDEX(Standards!$F$2:$F$296,MATCH(C292,Standards!$B$2:$B$296,0)))</f>
        <v>#N/A</v>
      </c>
      <c r="W292" t="str">
        <f t="shared" si="14"/>
        <v>#2f89d1</v>
      </c>
    </row>
    <row r="293" spans="1:23" x14ac:dyDescent="0.5">
      <c r="A293" s="54">
        <v>292</v>
      </c>
      <c r="B293" s="90" t="s">
        <v>296</v>
      </c>
      <c r="C293" t="s">
        <v>527</v>
      </c>
      <c r="D293" s="1"/>
      <c r="E293" s="112" t="s">
        <v>931</v>
      </c>
      <c r="F293" s="112" t="s">
        <v>931</v>
      </c>
      <c r="G293" s="107" t="s">
        <v>670</v>
      </c>
      <c r="H293">
        <f>INDEX('GIS-Standards'!$A$2:$A$305,MATCH(B293,'GIS-Standards'!$B$2:$B$305,0))</f>
        <v>12</v>
      </c>
      <c r="I293" t="e">
        <f>INDEX('GIS-Standards'!$A$2:$A$305,MATCH(C293,'GIS-Standards'!$B$2:$B$305,0))</f>
        <v>#N/A</v>
      </c>
      <c r="J293" t="str">
        <f>INDEX('GIS-Standards'!$O$2:$O$305,MATCH(B293,'GIS-Standards'!$B$2:$B$305,0))</f>
        <v>ISO/TC 211</v>
      </c>
      <c r="K293" t="e">
        <f>INDEX('GIS-Standards'!$O$2:$O$305,MATCH(C293,'GIS-Standards'!$B$2:$B$305,0))</f>
        <v>#N/A</v>
      </c>
      <c r="M293" t="s">
        <v>237</v>
      </c>
      <c r="N293">
        <f>INDEX('GIS-Standards'!$I$2:$I$305,MATCH(B293,'GIS-Standards'!$B$2:$B$305,0))</f>
        <v>0</v>
      </c>
      <c r="O293" t="e">
        <f>INDEX('GIS-Standards'!$I$2:$I$305,MATCH(C293,'GIS-Standards'!$B$2:$B$305,0))</f>
        <v>#N/A</v>
      </c>
      <c r="P293" t="e">
        <f>AND(TableRelationships12[[#This Row],[Source Type]]="BIM",TableRelationships12[[#This Row],[Target Type]]="BIM")</f>
        <v>#N/A</v>
      </c>
      <c r="Q293">
        <f t="shared" si="12"/>
        <v>2</v>
      </c>
      <c r="S293">
        <f t="shared" si="13"/>
        <v>1</v>
      </c>
      <c r="T293" s="102" t="str">
        <f>IF(TableRelationships12[[#This Row],[Rank Pedro]]="Low","linkCategory1",IF(TableRelationships12[[#This Row],[Rank Pedro]]="Medium","linkCategory2",IF(TableRelationships12[[#This Row],[Rank Pedro]]="High","linkCategory3","")))</f>
        <v/>
      </c>
      <c r="U293" s="102" t="str">
        <f>IF(TableRelationships12[[#This Row],[Rank Pedro]]="Low","Pink",IF(TableRelationships12[[#This Row],[Rank Pedro]]="Medium","Purple",IF(TableRelationships12[[#This Row],[Rank Pedro]]="High","Brown","")))</f>
        <v/>
      </c>
      <c r="V293" s="4">
        <f>MAX(INDEX(Standards!$F$2:$F$296,MATCH(B293,Standards!$B$2:$B$296,0)),INDEX(Standards!$F$2:$F$296,MATCH(C293,Standards!$B$2:$B$296,0)))</f>
        <v>38534</v>
      </c>
      <c r="W293">
        <f t="shared" si="14"/>
        <v>1</v>
      </c>
    </row>
    <row r="294" spans="1:23" x14ac:dyDescent="0.5">
      <c r="A294" s="54">
        <v>293</v>
      </c>
      <c r="B294" s="90" t="s">
        <v>296</v>
      </c>
      <c r="C294" t="s">
        <v>1111</v>
      </c>
      <c r="D294" s="1"/>
      <c r="G294" s="107"/>
      <c r="H294">
        <f>INDEX('GIS-Standards'!$A$2:$A$305,MATCH(B294,'GIS-Standards'!$B$2:$B$305,0))</f>
        <v>12</v>
      </c>
      <c r="I294" t="e">
        <f>INDEX('GIS-Standards'!$A$2:$A$305,MATCH(C294,'GIS-Standards'!$B$2:$B$305,0))</f>
        <v>#N/A</v>
      </c>
      <c r="J294" t="str">
        <f>INDEX('GIS-Standards'!$O$2:$O$305,MATCH(B294,'GIS-Standards'!$B$2:$B$305,0))</f>
        <v>ISO/TC 211</v>
      </c>
      <c r="K294" t="e">
        <f>INDEX('GIS-Standards'!$O$2:$O$305,MATCH(C294,'GIS-Standards'!$B$2:$B$305,0))</f>
        <v>#N/A</v>
      </c>
      <c r="M294" t="s">
        <v>524</v>
      </c>
      <c r="N294">
        <f>INDEX('GIS-Standards'!$I$2:$I$305,MATCH(B294,'GIS-Standards'!$B$2:$B$305,0))</f>
        <v>0</v>
      </c>
      <c r="O294" t="e">
        <f>INDEX('GIS-Standards'!$I$2:$I$305,MATCH(C294,'GIS-Standards'!$B$2:$B$305,0))</f>
        <v>#N/A</v>
      </c>
      <c r="P294" t="e">
        <f>AND(TableRelationships12[[#This Row],[Source Type]]="BIM",TableRelationships12[[#This Row],[Target Type]]="BIM")</f>
        <v>#N/A</v>
      </c>
      <c r="Q294">
        <f t="shared" si="12"/>
        <v>6</v>
      </c>
      <c r="S294">
        <f t="shared" si="13"/>
        <v>1</v>
      </c>
      <c r="T294" s="102" t="str">
        <f>IF(TableRelationships12[[#This Row],[Rank Pedro]]="Low","linkCategory1",IF(TableRelationships12[[#This Row],[Rank Pedro]]="Medium","linkCategory2",IF(TableRelationships12[[#This Row],[Rank Pedro]]="High","linkCategory3","")))</f>
        <v/>
      </c>
      <c r="U294" s="102" t="str">
        <f>IF(TableRelationships12[[#This Row],[Rank Pedro]]="Low","Pink",IF(TableRelationships12[[#This Row],[Rank Pedro]]="Medium","Purple",IF(TableRelationships12[[#This Row],[Rank Pedro]]="High","Brown","")))</f>
        <v/>
      </c>
      <c r="V294" s="4" t="e">
        <f>MAX(INDEX(Standards!$F$2:$F$296,MATCH(B294,Standards!$B$2:$B$296,0)),INDEX(Standards!$F$2:$F$296,MATCH(C294,Standards!$B$2:$B$296,0)))</f>
        <v>#N/A</v>
      </c>
      <c r="W294" t="str">
        <f t="shared" si="14"/>
        <v>#d6bf2a</v>
      </c>
    </row>
    <row r="295" spans="1:23" x14ac:dyDescent="0.5">
      <c r="A295" s="54">
        <v>294</v>
      </c>
      <c r="B295" s="90" t="s">
        <v>296</v>
      </c>
      <c r="C295" t="s">
        <v>296</v>
      </c>
      <c r="D295" s="1"/>
      <c r="E295" s="112">
        <v>2005.07</v>
      </c>
      <c r="F295" s="112">
        <v>2024.09</v>
      </c>
      <c r="G295" s="107" t="s">
        <v>670</v>
      </c>
      <c r="H295">
        <f>INDEX('GIS-Standards'!$A$2:$A$305,MATCH(B295,'GIS-Standards'!$B$2:$B$305,0))</f>
        <v>12</v>
      </c>
      <c r="I295">
        <f>INDEX('GIS-Standards'!$A$2:$A$305,MATCH(C295,'GIS-Standards'!$B$2:$B$305,0))</f>
        <v>12</v>
      </c>
      <c r="J295" t="str">
        <f>INDEX('GIS-Standards'!$O$2:$O$305,MATCH(B295,'GIS-Standards'!$B$2:$B$305,0))</f>
        <v>ISO/TC 211</v>
      </c>
      <c r="K295" t="str">
        <f>INDEX('GIS-Standards'!$O$2:$O$305,MATCH(C295,'GIS-Standards'!$B$2:$B$305,0))</f>
        <v>ISO/TC 211</v>
      </c>
      <c r="M295" t="s">
        <v>525</v>
      </c>
      <c r="N295">
        <f>INDEX('GIS-Standards'!$I$2:$I$305,MATCH(B295,'GIS-Standards'!$B$2:$B$305,0))</f>
        <v>0</v>
      </c>
      <c r="O295">
        <f>INDEX('GIS-Standards'!$I$2:$I$305,MATCH(C295,'GIS-Standards'!$B$2:$B$305,0))</f>
        <v>0</v>
      </c>
      <c r="P295" t="b">
        <f>AND(TableRelationships12[[#This Row],[Source Type]]="BIM",TableRelationships12[[#This Row],[Target Type]]="BIM")</f>
        <v>0</v>
      </c>
      <c r="Q295">
        <f t="shared" si="12"/>
        <v>1</v>
      </c>
      <c r="S295">
        <f t="shared" si="13"/>
        <v>1</v>
      </c>
      <c r="T295" s="102" t="str">
        <f>IF(TableRelationships12[[#This Row],[Rank Pedro]]="Low","linkCategory1",IF(TableRelationships12[[#This Row],[Rank Pedro]]="Medium","linkCategory2",IF(TableRelationships12[[#This Row],[Rank Pedro]]="High","linkCategory3","")))</f>
        <v/>
      </c>
      <c r="U295" s="102" t="str">
        <f>IF(TableRelationships12[[#This Row],[Rank Pedro]]="Low","Pink",IF(TableRelationships12[[#This Row],[Rank Pedro]]="Medium","Purple",IF(TableRelationships12[[#This Row],[Rank Pedro]]="High","Brown","")))</f>
        <v/>
      </c>
      <c r="V295" s="4">
        <f>MAX(INDEX(Standards!$F$2:$F$296,MATCH(B295,Standards!$B$2:$B$296,0)),INDEX(Standards!$F$2:$F$296,MATCH(C295,Standards!$B$2:$B$296,0)))</f>
        <v>38534</v>
      </c>
      <c r="W295" t="str">
        <f t="shared" si="14"/>
        <v>#2f89d1</v>
      </c>
    </row>
    <row r="296" spans="1:23" x14ac:dyDescent="0.5">
      <c r="A296" s="54">
        <v>295</v>
      </c>
      <c r="B296" s="90" t="s">
        <v>296</v>
      </c>
      <c r="C296" t="s">
        <v>194</v>
      </c>
      <c r="D296" s="1" t="s">
        <v>1676</v>
      </c>
      <c r="E296" s="112">
        <v>1996.12</v>
      </c>
      <c r="F296" s="112">
        <v>2007.12</v>
      </c>
      <c r="G296" s="107" t="s">
        <v>1504</v>
      </c>
      <c r="H296">
        <f>INDEX('GIS-Standards'!$A$2:$A$305,MATCH(B296,'GIS-Standards'!$B$2:$B$305,0))</f>
        <v>12</v>
      </c>
      <c r="I296" t="e">
        <f>INDEX('GIS-Standards'!$A$2:$A$305,MATCH(C296,'GIS-Standards'!$B$2:$B$305,0))</f>
        <v>#N/A</v>
      </c>
      <c r="J296" t="str">
        <f>INDEX('GIS-Standards'!$O$2:$O$305,MATCH(B296,'GIS-Standards'!$B$2:$B$305,0))</f>
        <v>ISO/TC 211</v>
      </c>
      <c r="K296" t="e">
        <f>INDEX('GIS-Standards'!$O$2:$O$305,MATCH(C296,'GIS-Standards'!$B$2:$B$305,0))</f>
        <v>#N/A</v>
      </c>
      <c r="M296" t="s">
        <v>525</v>
      </c>
      <c r="N296">
        <f>INDEX('GIS-Standards'!$I$2:$I$305,MATCH(B296,'GIS-Standards'!$B$2:$B$305,0))</f>
        <v>0</v>
      </c>
      <c r="O296" t="e">
        <f>INDEX('GIS-Standards'!$I$2:$I$305,MATCH(C296,'GIS-Standards'!$B$2:$B$305,0))</f>
        <v>#N/A</v>
      </c>
      <c r="P296" t="e">
        <f>AND(TableRelationships12[[#This Row],[Source Type]]="BIM",TableRelationships12[[#This Row],[Target Type]]="BIM")</f>
        <v>#N/A</v>
      </c>
      <c r="Q296">
        <f t="shared" si="12"/>
        <v>1</v>
      </c>
      <c r="S296">
        <f t="shared" si="13"/>
        <v>1</v>
      </c>
      <c r="T296" s="102" t="str">
        <f>IF(TableRelationships12[[#This Row],[Rank Pedro]]="Low","linkCategory1",IF(TableRelationships12[[#This Row],[Rank Pedro]]="Medium","linkCategory2",IF(TableRelationships12[[#This Row],[Rank Pedro]]="High","linkCategory3","")))</f>
        <v/>
      </c>
      <c r="U296" s="102" t="str">
        <f>IF(TableRelationships12[[#This Row],[Rank Pedro]]="Low","Pink",IF(TableRelationships12[[#This Row],[Rank Pedro]]="Medium","Purple",IF(TableRelationships12[[#This Row],[Rank Pedro]]="High","Brown","")))</f>
        <v/>
      </c>
      <c r="V296" s="4">
        <f>MAX(INDEX(Standards!$F$2:$F$296,MATCH(B296,Standards!$B$2:$B$296,0)),INDEX(Standards!$F$2:$F$296,MATCH(C296,Standards!$B$2:$B$296,0)))</f>
        <v>38534</v>
      </c>
      <c r="W296" t="str">
        <f t="shared" si="14"/>
        <v>#2f89d1</v>
      </c>
    </row>
    <row r="297" spans="1:23" x14ac:dyDescent="0.5">
      <c r="A297" s="54">
        <v>296</v>
      </c>
      <c r="B297" s="90" t="s">
        <v>296</v>
      </c>
      <c r="C297" t="s">
        <v>360</v>
      </c>
      <c r="D297" s="1"/>
      <c r="E297" s="112">
        <v>2012.04</v>
      </c>
      <c r="F297" s="112">
        <v>2012.04</v>
      </c>
      <c r="G297" s="107" t="s">
        <v>1504</v>
      </c>
      <c r="H297">
        <f>INDEX('GIS-Standards'!$A$2:$A$305,MATCH(B297,'GIS-Standards'!$B$2:$B$305,0))</f>
        <v>12</v>
      </c>
      <c r="I297" t="e">
        <f>INDEX('GIS-Standards'!$A$2:$A$305,MATCH(C297,'GIS-Standards'!$B$2:$B$305,0))</f>
        <v>#N/A</v>
      </c>
      <c r="J297" t="str">
        <f>INDEX('GIS-Standards'!$O$2:$O$305,MATCH(B297,'GIS-Standards'!$B$2:$B$305,0))</f>
        <v>ISO/TC 211</v>
      </c>
      <c r="K297" t="e">
        <f>INDEX('GIS-Standards'!$O$2:$O$305,MATCH(C297,'GIS-Standards'!$B$2:$B$305,0))</f>
        <v>#N/A</v>
      </c>
      <c r="M297" t="s">
        <v>525</v>
      </c>
      <c r="N297">
        <f>INDEX('GIS-Standards'!$I$2:$I$305,MATCH(B297,'GIS-Standards'!$B$2:$B$305,0))</f>
        <v>0</v>
      </c>
      <c r="O297" t="e">
        <f>INDEX('GIS-Standards'!$I$2:$I$305,MATCH(C297,'GIS-Standards'!$B$2:$B$305,0))</f>
        <v>#N/A</v>
      </c>
      <c r="P297" t="e">
        <f>AND(TableRelationships12[[#This Row],[Source Type]]="BIM",TableRelationships12[[#This Row],[Target Type]]="BIM")</f>
        <v>#N/A</v>
      </c>
      <c r="Q297">
        <f t="shared" si="12"/>
        <v>1</v>
      </c>
      <c r="S297">
        <f t="shared" si="13"/>
        <v>1</v>
      </c>
      <c r="T297" s="102" t="str">
        <f>IF(TableRelationships12[[#This Row],[Rank Pedro]]="Low","linkCategory1",IF(TableRelationships12[[#This Row],[Rank Pedro]]="Medium","linkCategory2",IF(TableRelationships12[[#This Row],[Rank Pedro]]="High","linkCategory3","")))</f>
        <v/>
      </c>
      <c r="U297" s="102" t="str">
        <f>IF(TableRelationships12[[#This Row],[Rank Pedro]]="Low","Pink",IF(TableRelationships12[[#This Row],[Rank Pedro]]="Medium","Purple",IF(TableRelationships12[[#This Row],[Rank Pedro]]="High","Brown","")))</f>
        <v/>
      </c>
      <c r="V297" s="4">
        <f>MAX(INDEX(Standards!$F$2:$F$296,MATCH(B297,Standards!$B$2:$B$296,0)),INDEX(Standards!$F$2:$F$296,MATCH(C297,Standards!$B$2:$B$296,0)))</f>
        <v>41000</v>
      </c>
      <c r="W297" t="str">
        <f t="shared" si="14"/>
        <v>#2f89d1</v>
      </c>
    </row>
    <row r="298" spans="1:23" x14ac:dyDescent="0.5">
      <c r="A298" s="54">
        <v>297</v>
      </c>
      <c r="B298" s="90" t="s">
        <v>296</v>
      </c>
      <c r="C298" t="s">
        <v>1309</v>
      </c>
      <c r="D298" s="1"/>
      <c r="G298" s="107"/>
      <c r="H298">
        <f>INDEX('GIS-Standards'!$A$2:$A$305,MATCH(B298,'GIS-Standards'!$B$2:$B$305,0))</f>
        <v>12</v>
      </c>
      <c r="I298" t="e">
        <f>INDEX('GIS-Standards'!$A$2:$A$305,MATCH(C298,'GIS-Standards'!$B$2:$B$305,0))</f>
        <v>#N/A</v>
      </c>
      <c r="J298" t="str">
        <f>INDEX('GIS-Standards'!$O$2:$O$305,MATCH(B298,'GIS-Standards'!$B$2:$B$305,0))</f>
        <v>ISO/TC 211</v>
      </c>
      <c r="K298" t="e">
        <f>INDEX('GIS-Standards'!$O$2:$O$305,MATCH(C298,'GIS-Standards'!$B$2:$B$305,0))</f>
        <v>#N/A</v>
      </c>
      <c r="M298" t="s">
        <v>525</v>
      </c>
      <c r="N298">
        <f>INDEX('GIS-Standards'!$I$2:$I$305,MATCH(B298,'GIS-Standards'!$B$2:$B$305,0))</f>
        <v>0</v>
      </c>
      <c r="O298" t="e">
        <f>INDEX('GIS-Standards'!$I$2:$I$305,MATCH(C298,'GIS-Standards'!$B$2:$B$305,0))</f>
        <v>#N/A</v>
      </c>
      <c r="P298" t="e">
        <f>AND(TableRelationships12[[#This Row],[Source Type]]="BIM",TableRelationships12[[#This Row],[Target Type]]="BIM")</f>
        <v>#N/A</v>
      </c>
      <c r="Q298">
        <f t="shared" si="12"/>
        <v>1</v>
      </c>
      <c r="S298">
        <f t="shared" si="13"/>
        <v>1</v>
      </c>
      <c r="T298" s="102" t="str">
        <f>IF(TableRelationships12[[#This Row],[Rank Pedro]]="Low","linkCategory1",IF(TableRelationships12[[#This Row],[Rank Pedro]]="Medium","linkCategory2",IF(TableRelationships12[[#This Row],[Rank Pedro]]="High","linkCategory3","")))</f>
        <v/>
      </c>
      <c r="U298" s="102" t="str">
        <f>IF(TableRelationships12[[#This Row],[Rank Pedro]]="Low","Pink",IF(TableRelationships12[[#This Row],[Rank Pedro]]="Medium","Purple",IF(TableRelationships12[[#This Row],[Rank Pedro]]="High","Brown","")))</f>
        <v/>
      </c>
      <c r="V298" s="4" t="e">
        <f>MAX(INDEX(Standards!$F$2:$F$296,MATCH(B298,Standards!$B$2:$B$296,0)),INDEX(Standards!$F$2:$F$296,MATCH(C298,Standards!$B$2:$B$296,0)))</f>
        <v>#N/A</v>
      </c>
      <c r="W298" t="str">
        <f t="shared" si="14"/>
        <v>#2f89d1</v>
      </c>
    </row>
    <row r="299" spans="1:23" x14ac:dyDescent="0.5">
      <c r="A299" s="54">
        <v>298</v>
      </c>
      <c r="B299" s="90" t="s">
        <v>296</v>
      </c>
      <c r="C299" t="s">
        <v>316</v>
      </c>
      <c r="D299" s="1"/>
      <c r="E299" s="112">
        <v>2005.07</v>
      </c>
      <c r="F299" s="112">
        <v>2011.1</v>
      </c>
      <c r="G299" s="107" t="s">
        <v>670</v>
      </c>
      <c r="H299">
        <f>INDEX('GIS-Standards'!$A$2:$A$305,MATCH(B299,'GIS-Standards'!$B$2:$B$305,0))</f>
        <v>12</v>
      </c>
      <c r="I299">
        <f>INDEX('GIS-Standards'!$A$2:$A$305,MATCH(C299,'GIS-Standards'!$B$2:$B$305,0))</f>
        <v>27</v>
      </c>
      <c r="J299" t="str">
        <f>INDEX('GIS-Standards'!$O$2:$O$305,MATCH(B299,'GIS-Standards'!$B$2:$B$305,0))</f>
        <v>ISO/TC 211</v>
      </c>
      <c r="K299" t="str">
        <f>INDEX('GIS-Standards'!$O$2:$O$305,MATCH(C299,'GIS-Standards'!$B$2:$B$305,0))</f>
        <v>ISO/TC 211</v>
      </c>
      <c r="M299" t="s">
        <v>525</v>
      </c>
      <c r="N299">
        <f>INDEX('GIS-Standards'!$I$2:$I$305,MATCH(B299,'GIS-Standards'!$B$2:$B$305,0))</f>
        <v>0</v>
      </c>
      <c r="O299">
        <f>INDEX('GIS-Standards'!$I$2:$I$305,MATCH(C299,'GIS-Standards'!$B$2:$B$305,0))</f>
        <v>0</v>
      </c>
      <c r="P299" t="b">
        <f>AND(TableRelationships12[[#This Row],[Source Type]]="BIM",TableRelationships12[[#This Row],[Target Type]]="BIM")</f>
        <v>0</v>
      </c>
      <c r="Q299">
        <f t="shared" si="12"/>
        <v>1</v>
      </c>
      <c r="S299">
        <f t="shared" si="13"/>
        <v>1</v>
      </c>
      <c r="T299" s="102" t="str">
        <f>IF(TableRelationships12[[#This Row],[Rank Pedro]]="Low","linkCategory1",IF(TableRelationships12[[#This Row],[Rank Pedro]]="Medium","linkCategory2",IF(TableRelationships12[[#This Row],[Rank Pedro]]="High","linkCategory3","")))</f>
        <v/>
      </c>
      <c r="U299" s="102" t="str">
        <f>IF(TableRelationships12[[#This Row],[Rank Pedro]]="Low","Pink",IF(TableRelationships12[[#This Row],[Rank Pedro]]="Medium","Purple",IF(TableRelationships12[[#This Row],[Rank Pedro]]="High","Brown","")))</f>
        <v/>
      </c>
      <c r="V299" s="4">
        <f>MAX(INDEX(Standards!$F$2:$F$296,MATCH(B299,Standards!$B$2:$B$296,0)),INDEX(Standards!$F$2:$F$296,MATCH(C299,Standards!$B$2:$B$296,0)))</f>
        <v>38534</v>
      </c>
      <c r="W299" t="str">
        <f t="shared" si="14"/>
        <v>#2f89d1</v>
      </c>
    </row>
    <row r="300" spans="1:23" x14ac:dyDescent="0.5">
      <c r="A300" s="54">
        <v>299</v>
      </c>
      <c r="B300" s="90" t="s">
        <v>296</v>
      </c>
      <c r="C300" t="s">
        <v>306</v>
      </c>
      <c r="D300" s="1"/>
      <c r="E300" s="112">
        <v>2005.06</v>
      </c>
      <c r="F300" s="112">
        <v>2025.07</v>
      </c>
      <c r="G300" s="107" t="s">
        <v>670</v>
      </c>
      <c r="H300">
        <f>INDEX('GIS-Standards'!$A$2:$A$305,MATCH(B300,'GIS-Standards'!$B$2:$B$305,0))</f>
        <v>12</v>
      </c>
      <c r="I300">
        <f>INDEX('GIS-Standards'!$A$2:$A$305,MATCH(C300,'GIS-Standards'!$B$2:$B$305,0))</f>
        <v>18</v>
      </c>
      <c r="J300" t="str">
        <f>INDEX('GIS-Standards'!$O$2:$O$305,MATCH(B300,'GIS-Standards'!$B$2:$B$305,0))</f>
        <v>ISO/TC 211</v>
      </c>
      <c r="K300" t="str">
        <f>INDEX('GIS-Standards'!$O$2:$O$305,MATCH(C300,'GIS-Standards'!$B$2:$B$305,0))</f>
        <v>ISO/TC 211</v>
      </c>
      <c r="M300" t="s">
        <v>525</v>
      </c>
      <c r="N300">
        <f>INDEX('GIS-Standards'!$I$2:$I$305,MATCH(B300,'GIS-Standards'!$B$2:$B$305,0))</f>
        <v>0</v>
      </c>
      <c r="O300">
        <f>INDEX('GIS-Standards'!$I$2:$I$305,MATCH(C300,'GIS-Standards'!$B$2:$B$305,0))</f>
        <v>0</v>
      </c>
      <c r="P300" t="b">
        <f>AND(TableRelationships12[[#This Row],[Source Type]]="BIM",TableRelationships12[[#This Row],[Target Type]]="BIM")</f>
        <v>0</v>
      </c>
      <c r="Q300">
        <f t="shared" si="12"/>
        <v>1</v>
      </c>
      <c r="S300">
        <f t="shared" si="13"/>
        <v>1</v>
      </c>
      <c r="T300" s="102" t="str">
        <f>IF(TableRelationships12[[#This Row],[Rank Pedro]]="Low","linkCategory1",IF(TableRelationships12[[#This Row],[Rank Pedro]]="Medium","linkCategory2",IF(TableRelationships12[[#This Row],[Rank Pedro]]="High","linkCategory3","")))</f>
        <v/>
      </c>
      <c r="U300" s="102" t="str">
        <f>IF(TableRelationships12[[#This Row],[Rank Pedro]]="Low","Pink",IF(TableRelationships12[[#This Row],[Rank Pedro]]="Medium","Purple",IF(TableRelationships12[[#This Row],[Rank Pedro]]="High","Brown","")))</f>
        <v/>
      </c>
      <c r="V300" s="4">
        <f>MAX(INDEX(Standards!$F$2:$F$296,MATCH(B300,Standards!$B$2:$B$296,0)),INDEX(Standards!$F$2:$F$296,MATCH(C300,Standards!$B$2:$B$296,0)))</f>
        <v>38534</v>
      </c>
      <c r="W300" t="str">
        <f t="shared" si="14"/>
        <v>#2f89d1</v>
      </c>
    </row>
    <row r="301" spans="1:23" x14ac:dyDescent="0.5">
      <c r="A301" s="54">
        <v>300</v>
      </c>
      <c r="B301" s="90" t="s">
        <v>296</v>
      </c>
      <c r="C301" t="s">
        <v>302</v>
      </c>
      <c r="D301" s="1"/>
      <c r="E301" s="112">
        <v>2003.05</v>
      </c>
      <c r="F301" s="112">
        <v>2019.12</v>
      </c>
      <c r="G301" s="107" t="s">
        <v>670</v>
      </c>
      <c r="H301">
        <f>INDEX('GIS-Standards'!$A$2:$A$305,MATCH(B301,'GIS-Standards'!$B$2:$B$305,0))</f>
        <v>12</v>
      </c>
      <c r="I301">
        <f>INDEX('GIS-Standards'!$A$2:$A$305,MATCH(C301,'GIS-Standards'!$B$2:$B$305,0))</f>
        <v>16</v>
      </c>
      <c r="J301" t="str">
        <f>INDEX('GIS-Standards'!$O$2:$O$305,MATCH(B301,'GIS-Standards'!$B$2:$B$305,0))</f>
        <v>ISO/TC 211</v>
      </c>
      <c r="K301" t="str">
        <f>INDEX('GIS-Standards'!$O$2:$O$305,MATCH(C301,'GIS-Standards'!$B$2:$B$305,0))</f>
        <v>ISO/TC 211</v>
      </c>
      <c r="M301" t="s">
        <v>525</v>
      </c>
      <c r="N301">
        <f>INDEX('GIS-Standards'!$I$2:$I$305,MATCH(B301,'GIS-Standards'!$B$2:$B$305,0))</f>
        <v>0</v>
      </c>
      <c r="O301">
        <f>INDEX('GIS-Standards'!$I$2:$I$305,MATCH(C301,'GIS-Standards'!$B$2:$B$305,0))</f>
        <v>0</v>
      </c>
      <c r="P301" t="b">
        <f>AND(TableRelationships12[[#This Row],[Source Type]]="BIM",TableRelationships12[[#This Row],[Target Type]]="BIM")</f>
        <v>0</v>
      </c>
      <c r="Q301">
        <f t="shared" si="12"/>
        <v>1</v>
      </c>
      <c r="S301">
        <f t="shared" si="13"/>
        <v>1</v>
      </c>
      <c r="T301" s="102" t="str">
        <f>IF(TableRelationships12[[#This Row],[Rank Pedro]]="Low","linkCategory1",IF(TableRelationships12[[#This Row],[Rank Pedro]]="Medium","linkCategory2",IF(TableRelationships12[[#This Row],[Rank Pedro]]="High","linkCategory3","")))</f>
        <v/>
      </c>
      <c r="U301" s="102" t="str">
        <f>IF(TableRelationships12[[#This Row],[Rank Pedro]]="Low","Pink",IF(TableRelationships12[[#This Row],[Rank Pedro]]="Medium","Purple",IF(TableRelationships12[[#This Row],[Rank Pedro]]="High","Brown","")))</f>
        <v/>
      </c>
      <c r="V301" s="4">
        <f>MAX(INDEX(Standards!$F$2:$F$296,MATCH(B301,Standards!$B$2:$B$296,0)),INDEX(Standards!$F$2:$F$296,MATCH(C301,Standards!$B$2:$B$296,0)))</f>
        <v>38534</v>
      </c>
      <c r="W301" t="str">
        <f t="shared" si="14"/>
        <v>#2f89d1</v>
      </c>
    </row>
    <row r="302" spans="1:23" x14ac:dyDescent="0.5">
      <c r="A302" s="54">
        <v>301</v>
      </c>
      <c r="B302" s="90" t="s">
        <v>296</v>
      </c>
      <c r="C302" t="s">
        <v>293</v>
      </c>
      <c r="D302" s="1"/>
      <c r="E302" s="112">
        <v>2002.07</v>
      </c>
      <c r="F302" s="112">
        <v>2014.11</v>
      </c>
      <c r="G302" s="107" t="s">
        <v>670</v>
      </c>
      <c r="H302">
        <f>INDEX('GIS-Standards'!$A$2:$A$305,MATCH(B302,'GIS-Standards'!$B$2:$B$305,0))</f>
        <v>12</v>
      </c>
      <c r="I302">
        <f>INDEX('GIS-Standards'!$A$2:$A$305,MATCH(C302,'GIS-Standards'!$B$2:$B$305,0))</f>
        <v>10</v>
      </c>
      <c r="J302" t="str">
        <f>INDEX('GIS-Standards'!$O$2:$O$305,MATCH(B302,'GIS-Standards'!$B$2:$B$305,0))</f>
        <v>ISO/TC 211</v>
      </c>
      <c r="K302" t="str">
        <f>INDEX('GIS-Standards'!$O$2:$O$305,MATCH(C302,'GIS-Standards'!$B$2:$B$305,0))</f>
        <v>ISO/TC 211</v>
      </c>
      <c r="M302" t="s">
        <v>525</v>
      </c>
      <c r="N302">
        <f>INDEX('GIS-Standards'!$I$2:$I$305,MATCH(B302,'GIS-Standards'!$B$2:$B$305,0))</f>
        <v>0</v>
      </c>
      <c r="O302">
        <f>INDEX('GIS-Standards'!$I$2:$I$305,MATCH(C302,'GIS-Standards'!$B$2:$B$305,0))</f>
        <v>0</v>
      </c>
      <c r="P302" t="b">
        <f>AND(TableRelationships12[[#This Row],[Source Type]]="BIM",TableRelationships12[[#This Row],[Target Type]]="BIM")</f>
        <v>0</v>
      </c>
      <c r="Q302">
        <f t="shared" si="12"/>
        <v>1</v>
      </c>
      <c r="S302">
        <f t="shared" si="13"/>
        <v>1</v>
      </c>
      <c r="T302" s="102" t="str">
        <f>IF(TableRelationships12[[#This Row],[Rank Pedro]]="Low","linkCategory1",IF(TableRelationships12[[#This Row],[Rank Pedro]]="Medium","linkCategory2",IF(TableRelationships12[[#This Row],[Rank Pedro]]="High","linkCategory3","")))</f>
        <v/>
      </c>
      <c r="U302" s="102" t="str">
        <f>IF(TableRelationships12[[#This Row],[Rank Pedro]]="Low","Pink",IF(TableRelationships12[[#This Row],[Rank Pedro]]="Medium","Purple",IF(TableRelationships12[[#This Row],[Rank Pedro]]="High","Brown","")))</f>
        <v/>
      </c>
      <c r="V302" s="4">
        <f>MAX(INDEX(Standards!$F$2:$F$296,MATCH(B302,Standards!$B$2:$B$296,0)),INDEX(Standards!$F$2:$F$296,MATCH(C302,Standards!$B$2:$B$296,0)))</f>
        <v>38534</v>
      </c>
      <c r="W302" t="str">
        <f t="shared" si="14"/>
        <v>#2f89d1</v>
      </c>
    </row>
    <row r="303" spans="1:23" x14ac:dyDescent="0.5">
      <c r="A303" s="54">
        <v>302</v>
      </c>
      <c r="B303" s="90" t="s">
        <v>296</v>
      </c>
      <c r="C303" t="s">
        <v>474</v>
      </c>
      <c r="D303" s="1"/>
      <c r="E303" s="113">
        <v>1974.12</v>
      </c>
      <c r="F303" s="113">
        <v>2022.1</v>
      </c>
      <c r="G303" s="107" t="s">
        <v>1511</v>
      </c>
      <c r="H303">
        <f>INDEX('GIS-Standards'!$A$2:$A$305,MATCH(B303,'GIS-Standards'!$B$2:$B$305,0))</f>
        <v>12</v>
      </c>
      <c r="I303" t="e">
        <f>INDEX('GIS-Standards'!$A$2:$A$305,MATCH(C303,'GIS-Standards'!$B$2:$B$305,0))</f>
        <v>#N/A</v>
      </c>
      <c r="J303" t="str">
        <f>INDEX('GIS-Standards'!$O$2:$O$305,MATCH(B303,'GIS-Standards'!$B$2:$B$305,0))</f>
        <v>ISO/TC 211</v>
      </c>
      <c r="K303" t="e">
        <f>INDEX('GIS-Standards'!$O$2:$O$305,MATCH(C303,'GIS-Standards'!$B$2:$B$305,0))</f>
        <v>#N/A</v>
      </c>
      <c r="M303" t="s">
        <v>525</v>
      </c>
      <c r="N303">
        <f>INDEX('GIS-Standards'!$I$2:$I$305,MATCH(B303,'GIS-Standards'!$B$2:$B$305,0))</f>
        <v>0</v>
      </c>
      <c r="O303" t="e">
        <f>INDEX('GIS-Standards'!$I$2:$I$305,MATCH(C303,'GIS-Standards'!$B$2:$B$305,0))</f>
        <v>#N/A</v>
      </c>
      <c r="P303" t="e">
        <f>AND(TableRelationships12[[#This Row],[Source Type]]="BIM",TableRelationships12[[#This Row],[Target Type]]="BIM")</f>
        <v>#N/A</v>
      </c>
      <c r="Q303">
        <f t="shared" si="12"/>
        <v>1</v>
      </c>
      <c r="S303">
        <f t="shared" si="13"/>
        <v>1</v>
      </c>
      <c r="T303" s="102" t="str">
        <f>IF(TableRelationships12[[#This Row],[Rank Pedro]]="Low","linkCategory1",IF(TableRelationships12[[#This Row],[Rank Pedro]]="Medium","linkCategory2",IF(TableRelationships12[[#This Row],[Rank Pedro]]="High","linkCategory3","")))</f>
        <v/>
      </c>
      <c r="U303" s="102" t="str">
        <f>IF(TableRelationships12[[#This Row],[Rank Pedro]]="Low","Pink",IF(TableRelationships12[[#This Row],[Rank Pedro]]="Medium","Purple",IF(TableRelationships12[[#This Row],[Rank Pedro]]="High","Brown","")))</f>
        <v/>
      </c>
      <c r="V303" s="4">
        <f>MAX(INDEX(Standards!$F$2:$F$296,MATCH(B303,Standards!$B$2:$B$296,0)),INDEX(Standards!$F$2:$F$296,MATCH(C303,Standards!$B$2:$B$296,0)))</f>
        <v>39600</v>
      </c>
      <c r="W303" t="str">
        <f t="shared" si="14"/>
        <v>#2f89d1</v>
      </c>
    </row>
    <row r="304" spans="1:23" x14ac:dyDescent="0.5">
      <c r="A304" s="54">
        <v>303</v>
      </c>
      <c r="B304" s="90" t="s">
        <v>296</v>
      </c>
      <c r="C304" t="s">
        <v>126</v>
      </c>
      <c r="D304" s="1"/>
      <c r="E304" s="112">
        <v>1990.04</v>
      </c>
      <c r="F304" s="112">
        <v>2019.09</v>
      </c>
      <c r="G304" s="107" t="s">
        <v>1449</v>
      </c>
      <c r="H304">
        <f>INDEX('GIS-Standards'!$A$2:$A$305,MATCH(B304,'GIS-Standards'!$B$2:$B$305,0))</f>
        <v>12</v>
      </c>
      <c r="I304" t="e">
        <f>INDEX('GIS-Standards'!$A$2:$A$305,MATCH(C304,'GIS-Standards'!$B$2:$B$305,0))</f>
        <v>#N/A</v>
      </c>
      <c r="J304" t="str">
        <f>INDEX('GIS-Standards'!$O$2:$O$305,MATCH(B304,'GIS-Standards'!$B$2:$B$305,0))</f>
        <v>ISO/TC 211</v>
      </c>
      <c r="K304" t="e">
        <f>INDEX('GIS-Standards'!$O$2:$O$305,MATCH(C304,'GIS-Standards'!$B$2:$B$305,0))</f>
        <v>#N/A</v>
      </c>
      <c r="M304" t="s">
        <v>525</v>
      </c>
      <c r="N304">
        <f>INDEX('GIS-Standards'!$I$2:$I$305,MATCH(B304,'GIS-Standards'!$B$2:$B$305,0))</f>
        <v>0</v>
      </c>
      <c r="O304" t="e">
        <f>INDEX('GIS-Standards'!$I$2:$I$305,MATCH(C304,'GIS-Standards'!$B$2:$B$305,0))</f>
        <v>#N/A</v>
      </c>
      <c r="P304" t="e">
        <f>AND(TableRelationships12[[#This Row],[Source Type]]="BIM",TableRelationships12[[#This Row],[Target Type]]="BIM")</f>
        <v>#N/A</v>
      </c>
      <c r="Q304">
        <f t="shared" si="12"/>
        <v>1</v>
      </c>
      <c r="S304">
        <f t="shared" si="13"/>
        <v>1</v>
      </c>
      <c r="T304" s="102" t="str">
        <f>IF(TableRelationships12[[#This Row],[Rank Pedro]]="Low","linkCategory1",IF(TableRelationships12[[#This Row],[Rank Pedro]]="Medium","linkCategory2",IF(TableRelationships12[[#This Row],[Rank Pedro]]="High","linkCategory3","")))</f>
        <v/>
      </c>
      <c r="U304" s="102" t="str">
        <f>IF(TableRelationships12[[#This Row],[Rank Pedro]]="Low","Pink",IF(TableRelationships12[[#This Row],[Rank Pedro]]="Medium","Purple",IF(TableRelationships12[[#This Row],[Rank Pedro]]="High","Brown","")))</f>
        <v/>
      </c>
      <c r="V304" s="4">
        <f>MAX(INDEX(Standards!$F$2:$F$296,MATCH(B304,Standards!$B$2:$B$296,0)),INDEX(Standards!$F$2:$F$296,MATCH(C304,Standards!$B$2:$B$296,0)))</f>
        <v>38534</v>
      </c>
      <c r="W304" t="str">
        <f t="shared" si="14"/>
        <v>#2f89d1</v>
      </c>
    </row>
    <row r="305" spans="1:23" x14ac:dyDescent="0.5">
      <c r="A305" s="54">
        <v>304</v>
      </c>
      <c r="B305" s="90" t="s">
        <v>296</v>
      </c>
      <c r="C305" t="s">
        <v>1075</v>
      </c>
      <c r="D305" s="1"/>
      <c r="E305" s="112">
        <v>2021.08</v>
      </c>
      <c r="F305" s="112">
        <v>2021.08</v>
      </c>
      <c r="G305" s="107" t="s">
        <v>1510</v>
      </c>
      <c r="H305">
        <f>INDEX('GIS-Standards'!$A$2:$A$305,MATCH(B305,'GIS-Standards'!$B$2:$B$305,0))</f>
        <v>12</v>
      </c>
      <c r="I305" t="e">
        <f>INDEX('GIS-Standards'!$A$2:$A$305,MATCH(C305,'GIS-Standards'!$B$2:$B$305,0))</f>
        <v>#N/A</v>
      </c>
      <c r="J305" t="str">
        <f>INDEX('GIS-Standards'!$O$2:$O$305,MATCH(B305,'GIS-Standards'!$B$2:$B$305,0))</f>
        <v>ISO/TC 211</v>
      </c>
      <c r="K305" t="e">
        <f>INDEX('GIS-Standards'!$O$2:$O$305,MATCH(C305,'GIS-Standards'!$B$2:$B$305,0))</f>
        <v>#N/A</v>
      </c>
      <c r="M305" t="s">
        <v>525</v>
      </c>
      <c r="N305">
        <f>INDEX('GIS-Standards'!$I$2:$I$305,MATCH(B305,'GIS-Standards'!$B$2:$B$305,0))</f>
        <v>0</v>
      </c>
      <c r="O305" t="e">
        <f>INDEX('GIS-Standards'!$I$2:$I$305,MATCH(C305,'GIS-Standards'!$B$2:$B$305,0))</f>
        <v>#N/A</v>
      </c>
      <c r="P305" t="e">
        <f>AND(TableRelationships12[[#This Row],[Source Type]]="BIM",TableRelationships12[[#This Row],[Target Type]]="BIM")</f>
        <v>#N/A</v>
      </c>
      <c r="Q305">
        <f t="shared" si="12"/>
        <v>1</v>
      </c>
      <c r="S305">
        <f t="shared" si="13"/>
        <v>1</v>
      </c>
      <c r="T305" s="102" t="str">
        <f>IF(TableRelationships12[[#This Row],[Rank Pedro]]="Low","linkCategory1",IF(TableRelationships12[[#This Row],[Rank Pedro]]="Medium","linkCategory2",IF(TableRelationships12[[#This Row],[Rank Pedro]]="High","linkCategory3","")))</f>
        <v/>
      </c>
      <c r="U305" s="102" t="str">
        <f>IF(TableRelationships12[[#This Row],[Rank Pedro]]="Low","Pink",IF(TableRelationships12[[#This Row],[Rank Pedro]]="Medium","Purple",IF(TableRelationships12[[#This Row],[Rank Pedro]]="High","Brown","")))</f>
        <v/>
      </c>
      <c r="V305" s="4" t="e">
        <f>MAX(INDEX(Standards!$F$2:$F$296,MATCH(B305,Standards!$B$2:$B$296,0)),INDEX(Standards!$F$2:$F$296,MATCH(C305,Standards!$B$2:$B$296,0)))</f>
        <v>#N/A</v>
      </c>
      <c r="W305" t="str">
        <f t="shared" si="14"/>
        <v>#2f89d1</v>
      </c>
    </row>
    <row r="306" spans="1:23" x14ac:dyDescent="0.5">
      <c r="A306" s="54">
        <v>305</v>
      </c>
      <c r="B306" s="90" t="s">
        <v>296</v>
      </c>
      <c r="C306" t="s">
        <v>1048</v>
      </c>
      <c r="D306" s="1"/>
      <c r="E306" s="112">
        <v>2005.1</v>
      </c>
      <c r="F306" s="112">
        <v>2021.02</v>
      </c>
      <c r="G306" s="107" t="s">
        <v>670</v>
      </c>
      <c r="H306">
        <f>INDEX('GIS-Standards'!$A$2:$A$305,MATCH(B306,'GIS-Standards'!$B$2:$B$305,0))</f>
        <v>12</v>
      </c>
      <c r="I306">
        <f>INDEX('GIS-Standards'!$A$2:$A$305,MATCH(C306,'GIS-Standards'!$B$2:$B$305,0))</f>
        <v>41</v>
      </c>
      <c r="J306" t="str">
        <f>INDEX('GIS-Standards'!$O$2:$O$305,MATCH(B306,'GIS-Standards'!$B$2:$B$305,0))</f>
        <v>ISO/TC 211</v>
      </c>
      <c r="K306" t="str">
        <f>INDEX('GIS-Standards'!$O$2:$O$305,MATCH(C306,'GIS-Standards'!$B$2:$B$305,0))</f>
        <v>ISO/TC 211</v>
      </c>
      <c r="M306" t="s">
        <v>525</v>
      </c>
      <c r="N306">
        <f>INDEX('GIS-Standards'!$I$2:$I$305,MATCH(B306,'GIS-Standards'!$B$2:$B$305,0))</f>
        <v>0</v>
      </c>
      <c r="O306" t="str">
        <f>INDEX('GIS-Standards'!$I$2:$I$305,MATCH(C306,'GIS-Standards'!$B$2:$B$305,0))</f>
        <v>03.2021</v>
      </c>
      <c r="P306" t="b">
        <f>AND(TableRelationships12[[#This Row],[Source Type]]="BIM",TableRelationships12[[#This Row],[Target Type]]="BIM")</f>
        <v>0</v>
      </c>
      <c r="Q306">
        <f t="shared" si="12"/>
        <v>1</v>
      </c>
      <c r="S306">
        <f t="shared" si="13"/>
        <v>1</v>
      </c>
      <c r="T306" s="102" t="str">
        <f>IF(TableRelationships12[[#This Row],[Rank Pedro]]="Low","linkCategory1",IF(TableRelationships12[[#This Row],[Rank Pedro]]="Medium","linkCategory2",IF(TableRelationships12[[#This Row],[Rank Pedro]]="High","linkCategory3","")))</f>
        <v/>
      </c>
      <c r="U306" s="102" t="str">
        <f>IF(TableRelationships12[[#This Row],[Rank Pedro]]="Low","Pink",IF(TableRelationships12[[#This Row],[Rank Pedro]]="Medium","Purple",IF(TableRelationships12[[#This Row],[Rank Pedro]]="High","Brown","")))</f>
        <v/>
      </c>
      <c r="V306" s="4" t="e">
        <f>MAX(INDEX(Standards!$F$2:$F$296,MATCH(B306,Standards!$B$2:$B$296,0)),INDEX(Standards!$F$2:$F$296,MATCH(C306,Standards!$B$2:$B$296,0)))</f>
        <v>#N/A</v>
      </c>
      <c r="W306" t="str">
        <f t="shared" si="14"/>
        <v>#2f89d1</v>
      </c>
    </row>
    <row r="307" spans="1:23" x14ac:dyDescent="0.5">
      <c r="A307" s="54">
        <v>306</v>
      </c>
      <c r="B307" s="90" t="s">
        <v>296</v>
      </c>
      <c r="C307" t="s">
        <v>94</v>
      </c>
      <c r="D307" s="1" t="s">
        <v>1676</v>
      </c>
      <c r="E307" s="112">
        <v>2010.12</v>
      </c>
      <c r="F307" s="112">
        <v>2017.09</v>
      </c>
      <c r="G307" s="107" t="s">
        <v>1522</v>
      </c>
      <c r="H307">
        <f>INDEX('GIS-Standards'!$A$2:$A$305,MATCH(B307,'GIS-Standards'!$B$2:$B$305,0))</f>
        <v>12</v>
      </c>
      <c r="I307" t="e">
        <f>INDEX('GIS-Standards'!$A$2:$A$305,MATCH(C307,'GIS-Standards'!$B$2:$B$305,0))</f>
        <v>#N/A</v>
      </c>
      <c r="J307" t="str">
        <f>INDEX('GIS-Standards'!$O$2:$O$305,MATCH(B307,'GIS-Standards'!$B$2:$B$305,0))</f>
        <v>ISO/TC 211</v>
      </c>
      <c r="K307" t="e">
        <f>INDEX('GIS-Standards'!$O$2:$O$305,MATCH(C307,'GIS-Standards'!$B$2:$B$305,0))</f>
        <v>#N/A</v>
      </c>
      <c r="M307" t="s">
        <v>525</v>
      </c>
      <c r="N307">
        <f>INDEX('GIS-Standards'!$I$2:$I$305,MATCH(B307,'GIS-Standards'!$B$2:$B$305,0))</f>
        <v>0</v>
      </c>
      <c r="O307" t="e">
        <f>INDEX('GIS-Standards'!$I$2:$I$305,MATCH(C307,'GIS-Standards'!$B$2:$B$305,0))</f>
        <v>#N/A</v>
      </c>
      <c r="P307" t="e">
        <f>AND(TableRelationships12[[#This Row],[Source Type]]="BIM",TableRelationships12[[#This Row],[Target Type]]="BIM")</f>
        <v>#N/A</v>
      </c>
      <c r="Q307">
        <f t="shared" si="12"/>
        <v>1</v>
      </c>
      <c r="S307">
        <f t="shared" si="13"/>
        <v>1</v>
      </c>
      <c r="T307" s="102" t="str">
        <f>IF(TableRelationships12[[#This Row],[Rank Pedro]]="Low","linkCategory1",IF(TableRelationships12[[#This Row],[Rank Pedro]]="Medium","linkCategory2",IF(TableRelationships12[[#This Row],[Rank Pedro]]="High","linkCategory3","")))</f>
        <v/>
      </c>
      <c r="U307" s="102" t="str">
        <f>IF(TableRelationships12[[#This Row],[Rank Pedro]]="Low","Pink",IF(TableRelationships12[[#This Row],[Rank Pedro]]="Medium","Purple",IF(TableRelationships12[[#This Row],[Rank Pedro]]="High","Brown","")))</f>
        <v/>
      </c>
      <c r="V307" s="4">
        <f>MAX(INDEX(Standards!$F$2:$F$296,MATCH(B307,Standards!$B$2:$B$296,0)),INDEX(Standards!$F$2:$F$296,MATCH(C307,Standards!$B$2:$B$296,0)))</f>
        <v>40179</v>
      </c>
      <c r="W307" t="str">
        <f t="shared" si="14"/>
        <v>#2f89d1</v>
      </c>
    </row>
    <row r="308" spans="1:23" x14ac:dyDescent="0.5">
      <c r="A308" s="54">
        <v>307</v>
      </c>
      <c r="B308" s="90" t="s">
        <v>296</v>
      </c>
      <c r="C308" t="s">
        <v>1351</v>
      </c>
      <c r="D308" s="1"/>
      <c r="G308" s="107"/>
      <c r="H308">
        <f>INDEX('GIS-Standards'!$A$2:$A$305,MATCH(B308,'GIS-Standards'!$B$2:$B$305,0))</f>
        <v>12</v>
      </c>
      <c r="I308" t="e">
        <f>INDEX('GIS-Standards'!$A$2:$A$305,MATCH(C308,'GIS-Standards'!$B$2:$B$305,0))</f>
        <v>#N/A</v>
      </c>
      <c r="J308" t="str">
        <f>INDEX('GIS-Standards'!$O$2:$O$305,MATCH(B308,'GIS-Standards'!$B$2:$B$305,0))</f>
        <v>ISO/TC 211</v>
      </c>
      <c r="K308" t="e">
        <f>INDEX('GIS-Standards'!$O$2:$O$305,MATCH(C308,'GIS-Standards'!$B$2:$B$305,0))</f>
        <v>#N/A</v>
      </c>
      <c r="M308" t="s">
        <v>525</v>
      </c>
      <c r="N308">
        <f>INDEX('GIS-Standards'!$I$2:$I$305,MATCH(B308,'GIS-Standards'!$B$2:$B$305,0))</f>
        <v>0</v>
      </c>
      <c r="O308" t="e">
        <f>INDEX('GIS-Standards'!$I$2:$I$305,MATCH(C308,'GIS-Standards'!$B$2:$B$305,0))</f>
        <v>#N/A</v>
      </c>
      <c r="P308" t="e">
        <f>AND(TableRelationships12[[#This Row],[Source Type]]="BIM",TableRelationships12[[#This Row],[Target Type]]="BIM")</f>
        <v>#N/A</v>
      </c>
      <c r="Q308">
        <f t="shared" si="12"/>
        <v>1</v>
      </c>
      <c r="S308">
        <f t="shared" si="13"/>
        <v>1</v>
      </c>
      <c r="T308" s="102" t="str">
        <f>IF(TableRelationships12[[#This Row],[Rank Pedro]]="Low","linkCategory1",IF(TableRelationships12[[#This Row],[Rank Pedro]]="Medium","linkCategory2",IF(TableRelationships12[[#This Row],[Rank Pedro]]="High","linkCategory3","")))</f>
        <v/>
      </c>
      <c r="U308" s="102" t="str">
        <f>IF(TableRelationships12[[#This Row],[Rank Pedro]]="Low","Pink",IF(TableRelationships12[[#This Row],[Rank Pedro]]="Medium","Purple",IF(TableRelationships12[[#This Row],[Rank Pedro]]="High","Brown","")))</f>
        <v/>
      </c>
      <c r="V308" s="4" t="e">
        <f>MAX(INDEX(Standards!$F$2:$F$296,MATCH(B308,Standards!$B$2:$B$296,0)),INDEX(Standards!$F$2:$F$296,MATCH(C308,Standards!$B$2:$B$296,0)))</f>
        <v>#N/A</v>
      </c>
      <c r="W308" t="str">
        <f t="shared" si="14"/>
        <v>#2f89d1</v>
      </c>
    </row>
    <row r="309" spans="1:23" x14ac:dyDescent="0.5">
      <c r="A309" s="54">
        <v>308</v>
      </c>
      <c r="B309" s="90" t="s">
        <v>296</v>
      </c>
      <c r="C309" s="104" t="s">
        <v>1076</v>
      </c>
      <c r="D309" s="119"/>
      <c r="E309" s="111">
        <v>1983.12</v>
      </c>
      <c r="F309" s="111">
        <v>2017.05</v>
      </c>
      <c r="G309" s="109" t="s">
        <v>1485</v>
      </c>
      <c r="H309">
        <f>INDEX('GIS-Standards'!$A$2:$A$305,MATCH(B309,'GIS-Standards'!$B$2:$B$305,0))</f>
        <v>12</v>
      </c>
      <c r="I309" t="e">
        <f>INDEX('GIS-Standards'!$A$2:$A$305,MATCH(C309,'GIS-Standards'!$B$2:$B$305,0))</f>
        <v>#N/A</v>
      </c>
      <c r="J309" t="str">
        <f>INDEX('GIS-Standards'!$O$2:$O$305,MATCH(B309,'GIS-Standards'!$B$2:$B$305,0))</f>
        <v>ISO/TC 211</v>
      </c>
      <c r="K309" t="e">
        <f>INDEX('GIS-Standards'!$O$2:$O$305,MATCH(C309,'GIS-Standards'!$B$2:$B$305,0))</f>
        <v>#N/A</v>
      </c>
      <c r="M309" t="s">
        <v>525</v>
      </c>
      <c r="N309">
        <f>INDEX('GIS-Standards'!$I$2:$I$305,MATCH(B309,'GIS-Standards'!$B$2:$B$305,0))</f>
        <v>0</v>
      </c>
      <c r="O309" t="e">
        <f>INDEX('GIS-Standards'!$I$2:$I$305,MATCH(C309,'GIS-Standards'!$B$2:$B$305,0))</f>
        <v>#N/A</v>
      </c>
      <c r="P309" t="e">
        <f>AND(TableRelationships12[[#This Row],[Source Type]]="BIM",TableRelationships12[[#This Row],[Target Type]]="BIM")</f>
        <v>#N/A</v>
      </c>
      <c r="Q309">
        <f t="shared" si="12"/>
        <v>1</v>
      </c>
      <c r="S309">
        <f t="shared" si="13"/>
        <v>1</v>
      </c>
      <c r="T309" s="102" t="str">
        <f>IF(TableRelationships12[[#This Row],[Rank Pedro]]="Low","linkCategory1",IF(TableRelationships12[[#This Row],[Rank Pedro]]="Medium","linkCategory2",IF(TableRelationships12[[#This Row],[Rank Pedro]]="High","linkCategory3","")))</f>
        <v/>
      </c>
      <c r="U309" s="102" t="str">
        <f>IF(TableRelationships12[[#This Row],[Rank Pedro]]="Low","Pink",IF(TableRelationships12[[#This Row],[Rank Pedro]]="Medium","Purple",IF(TableRelationships12[[#This Row],[Rank Pedro]]="High","Brown","")))</f>
        <v/>
      </c>
      <c r="V309" s="4" t="e">
        <f>MAX(INDEX(Standards!$F$2:$F$296,MATCH(B309,Standards!$B$2:$B$296,0)),INDEX(Standards!$F$2:$F$296,MATCH(C309,Standards!$B$2:$B$296,0)))</f>
        <v>#N/A</v>
      </c>
      <c r="W309" t="str">
        <f t="shared" si="14"/>
        <v>#2f89d1</v>
      </c>
    </row>
    <row r="310" spans="1:23" x14ac:dyDescent="0.5">
      <c r="A310" s="54">
        <v>309</v>
      </c>
      <c r="B310" s="90" t="s">
        <v>296</v>
      </c>
      <c r="C310" s="104" t="s">
        <v>1388</v>
      </c>
      <c r="D310" s="119"/>
      <c r="E310" s="111"/>
      <c r="F310" s="111"/>
      <c r="G310" s="121"/>
      <c r="H310">
        <f>INDEX('GIS-Standards'!$A$2:$A$305,MATCH(B310,'GIS-Standards'!$B$2:$B$305,0))</f>
        <v>12</v>
      </c>
      <c r="I310" t="e">
        <f>INDEX('GIS-Standards'!$A$2:$A$305,MATCH(C310,'GIS-Standards'!$B$2:$B$305,0))</f>
        <v>#N/A</v>
      </c>
      <c r="J310" t="str">
        <f>INDEX('GIS-Standards'!$O$2:$O$305,MATCH(B310,'GIS-Standards'!$B$2:$B$305,0))</f>
        <v>ISO/TC 211</v>
      </c>
      <c r="K310" t="e">
        <f>INDEX('GIS-Standards'!$O$2:$O$305,MATCH(C310,'GIS-Standards'!$B$2:$B$305,0))</f>
        <v>#N/A</v>
      </c>
      <c r="M310" t="s">
        <v>525</v>
      </c>
      <c r="N310">
        <f>INDEX('GIS-Standards'!$I$2:$I$305,MATCH(B310,'GIS-Standards'!$B$2:$B$305,0))</f>
        <v>0</v>
      </c>
      <c r="O310" t="e">
        <f>INDEX('GIS-Standards'!$I$2:$I$305,MATCH(C310,'GIS-Standards'!$B$2:$B$305,0))</f>
        <v>#N/A</v>
      </c>
      <c r="P310" t="e">
        <f>AND(TableRelationships12[[#This Row],[Source Type]]="BIM",TableRelationships12[[#This Row],[Target Type]]="BIM")</f>
        <v>#N/A</v>
      </c>
      <c r="Q310">
        <f t="shared" si="12"/>
        <v>1</v>
      </c>
      <c r="S310">
        <f t="shared" si="13"/>
        <v>1</v>
      </c>
      <c r="T310" s="102" t="str">
        <f>IF(TableRelationships12[[#This Row],[Rank Pedro]]="Low","linkCategory1",IF(TableRelationships12[[#This Row],[Rank Pedro]]="Medium","linkCategory2",IF(TableRelationships12[[#This Row],[Rank Pedro]]="High","linkCategory3","")))</f>
        <v/>
      </c>
      <c r="U310" s="102" t="str">
        <f>IF(TableRelationships12[[#This Row],[Rank Pedro]]="Low","Pink",IF(TableRelationships12[[#This Row],[Rank Pedro]]="Medium","Purple",IF(TableRelationships12[[#This Row],[Rank Pedro]]="High","Brown","")))</f>
        <v/>
      </c>
      <c r="V310" s="4" t="e">
        <f>MAX(INDEX(Standards!$F$2:$F$296,MATCH(B310,Standards!$B$2:$B$296,0)),INDEX(Standards!$F$2:$F$296,MATCH(C310,Standards!$B$2:$B$296,0)))</f>
        <v>#N/A</v>
      </c>
      <c r="W310" t="str">
        <f t="shared" si="14"/>
        <v>#2f89d1</v>
      </c>
    </row>
    <row r="311" spans="1:23" x14ac:dyDescent="0.5">
      <c r="A311" s="54">
        <v>310</v>
      </c>
      <c r="B311" s="90" t="s">
        <v>296</v>
      </c>
      <c r="C311" t="s">
        <v>152</v>
      </c>
      <c r="D311" s="1"/>
      <c r="E311" s="112">
        <v>2012.04</v>
      </c>
      <c r="F311" s="112">
        <v>2012.04</v>
      </c>
      <c r="G311" s="107" t="s">
        <v>1504</v>
      </c>
      <c r="H311">
        <f>INDEX('GIS-Standards'!$A$2:$A$305,MATCH(B311,'GIS-Standards'!$B$2:$B$305,0))</f>
        <v>12</v>
      </c>
      <c r="I311" t="e">
        <f>INDEX('GIS-Standards'!$A$2:$A$305,MATCH(C311,'GIS-Standards'!$B$2:$B$305,0))</f>
        <v>#N/A</v>
      </c>
      <c r="J311" t="str">
        <f>INDEX('GIS-Standards'!$O$2:$O$305,MATCH(B311,'GIS-Standards'!$B$2:$B$305,0))</f>
        <v>ISO/TC 211</v>
      </c>
      <c r="K311" t="e">
        <f>INDEX('GIS-Standards'!$O$2:$O$305,MATCH(C311,'GIS-Standards'!$B$2:$B$305,0))</f>
        <v>#N/A</v>
      </c>
      <c r="M311" t="s">
        <v>525</v>
      </c>
      <c r="N311">
        <f>INDEX('GIS-Standards'!$I$2:$I$305,MATCH(B311,'GIS-Standards'!$B$2:$B$305,0))</f>
        <v>0</v>
      </c>
      <c r="O311" t="e">
        <f>INDEX('GIS-Standards'!$I$2:$I$305,MATCH(C311,'GIS-Standards'!$B$2:$B$305,0))</f>
        <v>#N/A</v>
      </c>
      <c r="P311" t="e">
        <f>AND(TableRelationships12[[#This Row],[Source Type]]="BIM",TableRelationships12[[#This Row],[Target Type]]="BIM")</f>
        <v>#N/A</v>
      </c>
      <c r="Q311">
        <f t="shared" si="12"/>
        <v>1</v>
      </c>
      <c r="S311">
        <f t="shared" si="13"/>
        <v>1</v>
      </c>
      <c r="T311" s="102" t="str">
        <f>IF(TableRelationships12[[#This Row],[Rank Pedro]]="Low","linkCategory1",IF(TableRelationships12[[#This Row],[Rank Pedro]]="Medium","linkCategory2",IF(TableRelationships12[[#This Row],[Rank Pedro]]="High","linkCategory3","")))</f>
        <v/>
      </c>
      <c r="U311" s="102" t="str">
        <f>IF(TableRelationships12[[#This Row],[Rank Pedro]]="Low","Pink",IF(TableRelationships12[[#This Row],[Rank Pedro]]="Medium","Purple",IF(TableRelationships12[[#This Row],[Rank Pedro]]="High","Brown","")))</f>
        <v/>
      </c>
      <c r="V311" s="4">
        <f>MAX(INDEX(Standards!$F$2:$F$296,MATCH(B311,Standards!$B$2:$B$296,0)),INDEX(Standards!$F$2:$F$296,MATCH(C311,Standards!$B$2:$B$296,0)))</f>
        <v>40909</v>
      </c>
      <c r="W311" t="str">
        <f t="shared" si="14"/>
        <v>#2f89d1</v>
      </c>
    </row>
    <row r="312" spans="1:23" x14ac:dyDescent="0.5">
      <c r="A312" s="54">
        <v>311</v>
      </c>
      <c r="B312" s="90" t="s">
        <v>296</v>
      </c>
      <c r="C312" t="s">
        <v>1321</v>
      </c>
      <c r="D312" s="1"/>
      <c r="G312" s="107"/>
      <c r="H312">
        <f>INDEX('GIS-Standards'!$A$2:$A$305,MATCH(B312,'GIS-Standards'!$B$2:$B$305,0))</f>
        <v>12</v>
      </c>
      <c r="I312" t="e">
        <f>INDEX('GIS-Standards'!$A$2:$A$305,MATCH(C312,'GIS-Standards'!$B$2:$B$305,0))</f>
        <v>#N/A</v>
      </c>
      <c r="J312" t="str">
        <f>INDEX('GIS-Standards'!$O$2:$O$305,MATCH(B312,'GIS-Standards'!$B$2:$B$305,0))</f>
        <v>ISO/TC 211</v>
      </c>
      <c r="K312" t="e">
        <f>INDEX('GIS-Standards'!$O$2:$O$305,MATCH(C312,'GIS-Standards'!$B$2:$B$305,0))</f>
        <v>#N/A</v>
      </c>
      <c r="M312" t="s">
        <v>525</v>
      </c>
      <c r="N312">
        <f>INDEX('GIS-Standards'!$I$2:$I$305,MATCH(B312,'GIS-Standards'!$B$2:$B$305,0))</f>
        <v>0</v>
      </c>
      <c r="O312" t="e">
        <f>INDEX('GIS-Standards'!$I$2:$I$305,MATCH(C312,'GIS-Standards'!$B$2:$B$305,0))</f>
        <v>#N/A</v>
      </c>
      <c r="P312" t="e">
        <f>AND(TableRelationships12[[#This Row],[Source Type]]="BIM",TableRelationships12[[#This Row],[Target Type]]="BIM")</f>
        <v>#N/A</v>
      </c>
      <c r="Q312">
        <f t="shared" si="12"/>
        <v>1</v>
      </c>
      <c r="S312">
        <f t="shared" si="13"/>
        <v>1</v>
      </c>
      <c r="T312" s="102" t="str">
        <f>IF(TableRelationships12[[#This Row],[Rank Pedro]]="Low","linkCategory1",IF(TableRelationships12[[#This Row],[Rank Pedro]]="Medium","linkCategory2",IF(TableRelationships12[[#This Row],[Rank Pedro]]="High","linkCategory3","")))</f>
        <v/>
      </c>
      <c r="U312" s="102" t="str">
        <f>IF(TableRelationships12[[#This Row],[Rank Pedro]]="Low","Pink",IF(TableRelationships12[[#This Row],[Rank Pedro]]="Medium","Purple",IF(TableRelationships12[[#This Row],[Rank Pedro]]="High","Brown","")))</f>
        <v/>
      </c>
      <c r="V312" s="4" t="e">
        <f>MAX(INDEX(Standards!$F$2:$F$296,MATCH(B312,Standards!$B$2:$B$296,0)),INDEX(Standards!$F$2:$F$296,MATCH(C312,Standards!$B$2:$B$296,0)))</f>
        <v>#N/A</v>
      </c>
      <c r="W312" t="str">
        <f t="shared" si="14"/>
        <v>#2f89d1</v>
      </c>
    </row>
    <row r="313" spans="1:23" x14ac:dyDescent="0.5">
      <c r="A313" s="54">
        <v>312</v>
      </c>
      <c r="B313" s="90" t="s">
        <v>296</v>
      </c>
      <c r="C313" t="s">
        <v>1389</v>
      </c>
      <c r="D313" s="1"/>
      <c r="G313" s="107"/>
      <c r="H313">
        <f>INDEX('GIS-Standards'!$A$2:$A$305,MATCH(B313,'GIS-Standards'!$B$2:$B$305,0))</f>
        <v>12</v>
      </c>
      <c r="I313" t="e">
        <f>INDEX('GIS-Standards'!$A$2:$A$305,MATCH(C313,'GIS-Standards'!$B$2:$B$305,0))</f>
        <v>#N/A</v>
      </c>
      <c r="J313" t="str">
        <f>INDEX('GIS-Standards'!$O$2:$O$305,MATCH(B313,'GIS-Standards'!$B$2:$B$305,0))</f>
        <v>ISO/TC 211</v>
      </c>
      <c r="K313" t="e">
        <f>INDEX('GIS-Standards'!$O$2:$O$305,MATCH(C313,'GIS-Standards'!$B$2:$B$305,0))</f>
        <v>#N/A</v>
      </c>
      <c r="M313" t="s">
        <v>525</v>
      </c>
      <c r="N313">
        <f>INDEX('GIS-Standards'!$I$2:$I$305,MATCH(B313,'GIS-Standards'!$B$2:$B$305,0))</f>
        <v>0</v>
      </c>
      <c r="O313" t="e">
        <f>INDEX('GIS-Standards'!$I$2:$I$305,MATCH(C313,'GIS-Standards'!$B$2:$B$305,0))</f>
        <v>#N/A</v>
      </c>
      <c r="P313" t="e">
        <f>AND(TableRelationships12[[#This Row],[Source Type]]="BIM",TableRelationships12[[#This Row],[Target Type]]="BIM")</f>
        <v>#N/A</v>
      </c>
      <c r="Q313">
        <f t="shared" si="12"/>
        <v>1</v>
      </c>
      <c r="S313">
        <f t="shared" si="13"/>
        <v>1</v>
      </c>
      <c r="T313" s="102" t="str">
        <f>IF(TableRelationships12[[#This Row],[Rank Pedro]]="Low","linkCategory1",IF(TableRelationships12[[#This Row],[Rank Pedro]]="Medium","linkCategory2",IF(TableRelationships12[[#This Row],[Rank Pedro]]="High","linkCategory3","")))</f>
        <v/>
      </c>
      <c r="U313" s="102" t="str">
        <f>IF(TableRelationships12[[#This Row],[Rank Pedro]]="Low","Pink",IF(TableRelationships12[[#This Row],[Rank Pedro]]="Medium","Purple",IF(TableRelationships12[[#This Row],[Rank Pedro]]="High","Brown","")))</f>
        <v/>
      </c>
      <c r="V313" s="4" t="e">
        <f>MAX(INDEX(Standards!$F$2:$F$296,MATCH(B313,Standards!$B$2:$B$296,0)),INDEX(Standards!$F$2:$F$296,MATCH(C313,Standards!$B$2:$B$296,0)))</f>
        <v>#N/A</v>
      </c>
      <c r="W313" t="str">
        <f t="shared" si="14"/>
        <v>#2f89d1</v>
      </c>
    </row>
    <row r="314" spans="1:23" x14ac:dyDescent="0.5">
      <c r="A314" s="54">
        <v>313</v>
      </c>
      <c r="B314" s="90" t="s">
        <v>296</v>
      </c>
      <c r="C314" t="s">
        <v>1233</v>
      </c>
      <c r="D314" s="1"/>
      <c r="G314" s="107"/>
      <c r="H314">
        <f>INDEX('GIS-Standards'!$A$2:$A$305,MATCH(B314,'GIS-Standards'!$B$2:$B$305,0))</f>
        <v>12</v>
      </c>
      <c r="I314" t="e">
        <f>INDEX('GIS-Standards'!$A$2:$A$305,MATCH(C314,'GIS-Standards'!$B$2:$B$305,0))</f>
        <v>#N/A</v>
      </c>
      <c r="J314" t="str">
        <f>INDEX('GIS-Standards'!$O$2:$O$305,MATCH(B314,'GIS-Standards'!$B$2:$B$305,0))</f>
        <v>ISO/TC 211</v>
      </c>
      <c r="K314" t="e">
        <f>INDEX('GIS-Standards'!$O$2:$O$305,MATCH(C314,'GIS-Standards'!$B$2:$B$305,0))</f>
        <v>#N/A</v>
      </c>
      <c r="M314" t="s">
        <v>525</v>
      </c>
      <c r="N314">
        <f>INDEX('GIS-Standards'!$I$2:$I$305,MATCH(B314,'GIS-Standards'!$B$2:$B$305,0))</f>
        <v>0</v>
      </c>
      <c r="O314" t="e">
        <f>INDEX('GIS-Standards'!$I$2:$I$305,MATCH(C314,'GIS-Standards'!$B$2:$B$305,0))</f>
        <v>#N/A</v>
      </c>
      <c r="P314" t="e">
        <f>AND(TableRelationships12[[#This Row],[Source Type]]="BIM",TableRelationships12[[#This Row],[Target Type]]="BIM")</f>
        <v>#N/A</v>
      </c>
      <c r="Q314">
        <f t="shared" si="12"/>
        <v>1</v>
      </c>
      <c r="S314">
        <f t="shared" si="13"/>
        <v>1</v>
      </c>
      <c r="T314" s="102" t="str">
        <f>IF(TableRelationships12[[#This Row],[Rank Pedro]]="Low","linkCategory1",IF(TableRelationships12[[#This Row],[Rank Pedro]]="Medium","linkCategory2",IF(TableRelationships12[[#This Row],[Rank Pedro]]="High","linkCategory3","")))</f>
        <v/>
      </c>
      <c r="U314" s="102" t="str">
        <f>IF(TableRelationships12[[#This Row],[Rank Pedro]]="Low","Pink",IF(TableRelationships12[[#This Row],[Rank Pedro]]="Medium","Purple",IF(TableRelationships12[[#This Row],[Rank Pedro]]="High","Brown","")))</f>
        <v/>
      </c>
      <c r="V314" s="4" t="e">
        <f>MAX(INDEX(Standards!$F$2:$F$296,MATCH(B314,Standards!$B$2:$B$296,0)),INDEX(Standards!$F$2:$F$296,MATCH(C314,Standards!$B$2:$B$296,0)))</f>
        <v>#N/A</v>
      </c>
      <c r="W314" t="str">
        <f t="shared" si="14"/>
        <v>#2f89d1</v>
      </c>
    </row>
    <row r="315" spans="1:23" x14ac:dyDescent="0.5">
      <c r="A315" s="54">
        <v>314</v>
      </c>
      <c r="B315" s="90" t="s">
        <v>296</v>
      </c>
      <c r="C315" t="s">
        <v>1390</v>
      </c>
      <c r="D315" s="1"/>
      <c r="G315" s="107"/>
      <c r="H315">
        <f>INDEX('GIS-Standards'!$A$2:$A$305,MATCH(B315,'GIS-Standards'!$B$2:$B$305,0))</f>
        <v>12</v>
      </c>
      <c r="I315" t="e">
        <f>INDEX('GIS-Standards'!$A$2:$A$305,MATCH(C315,'GIS-Standards'!$B$2:$B$305,0))</f>
        <v>#N/A</v>
      </c>
      <c r="J315" t="str">
        <f>INDEX('GIS-Standards'!$O$2:$O$305,MATCH(B315,'GIS-Standards'!$B$2:$B$305,0))</f>
        <v>ISO/TC 211</v>
      </c>
      <c r="K315" t="e">
        <f>INDEX('GIS-Standards'!$O$2:$O$305,MATCH(C315,'GIS-Standards'!$B$2:$B$305,0))</f>
        <v>#N/A</v>
      </c>
      <c r="M315" t="s">
        <v>525</v>
      </c>
      <c r="N315">
        <f>INDEX('GIS-Standards'!$I$2:$I$305,MATCH(B315,'GIS-Standards'!$B$2:$B$305,0))</f>
        <v>0</v>
      </c>
      <c r="O315" t="e">
        <f>INDEX('GIS-Standards'!$I$2:$I$305,MATCH(C315,'GIS-Standards'!$B$2:$B$305,0))</f>
        <v>#N/A</v>
      </c>
      <c r="P315" t="e">
        <f>AND(TableRelationships12[[#This Row],[Source Type]]="BIM",TableRelationships12[[#This Row],[Target Type]]="BIM")</f>
        <v>#N/A</v>
      </c>
      <c r="Q315">
        <f t="shared" si="12"/>
        <v>1</v>
      </c>
      <c r="S315">
        <f t="shared" si="13"/>
        <v>1</v>
      </c>
      <c r="T315" s="102" t="str">
        <f>IF(TableRelationships12[[#This Row],[Rank Pedro]]="Low","linkCategory1",IF(TableRelationships12[[#This Row],[Rank Pedro]]="Medium","linkCategory2",IF(TableRelationships12[[#This Row],[Rank Pedro]]="High","linkCategory3","")))</f>
        <v/>
      </c>
      <c r="U315" s="102" t="str">
        <f>IF(TableRelationships12[[#This Row],[Rank Pedro]]="Low","Pink",IF(TableRelationships12[[#This Row],[Rank Pedro]]="Medium","Purple",IF(TableRelationships12[[#This Row],[Rank Pedro]]="High","Brown","")))</f>
        <v/>
      </c>
      <c r="V315" s="4" t="e">
        <f>MAX(INDEX(Standards!$F$2:$F$296,MATCH(B315,Standards!$B$2:$B$296,0)),INDEX(Standards!$F$2:$F$296,MATCH(C315,Standards!$B$2:$B$296,0)))</f>
        <v>#N/A</v>
      </c>
      <c r="W315" t="str">
        <f t="shared" si="14"/>
        <v>#2f89d1</v>
      </c>
    </row>
    <row r="316" spans="1:23" x14ac:dyDescent="0.5">
      <c r="A316" s="54">
        <v>315</v>
      </c>
      <c r="B316" s="90" t="s">
        <v>296</v>
      </c>
      <c r="C316" t="s">
        <v>1391</v>
      </c>
      <c r="D316" s="1"/>
      <c r="G316" s="107"/>
      <c r="H316">
        <f>INDEX('GIS-Standards'!$A$2:$A$305,MATCH(B316,'GIS-Standards'!$B$2:$B$305,0))</f>
        <v>12</v>
      </c>
      <c r="I316" t="e">
        <f>INDEX('GIS-Standards'!$A$2:$A$305,MATCH(C316,'GIS-Standards'!$B$2:$B$305,0))</f>
        <v>#N/A</v>
      </c>
      <c r="J316" t="str">
        <f>INDEX('GIS-Standards'!$O$2:$O$305,MATCH(B316,'GIS-Standards'!$B$2:$B$305,0))</f>
        <v>ISO/TC 211</v>
      </c>
      <c r="K316" t="e">
        <f>INDEX('GIS-Standards'!$O$2:$O$305,MATCH(C316,'GIS-Standards'!$B$2:$B$305,0))</f>
        <v>#N/A</v>
      </c>
      <c r="M316" t="s">
        <v>525</v>
      </c>
      <c r="N316">
        <f>INDEX('GIS-Standards'!$I$2:$I$305,MATCH(B316,'GIS-Standards'!$B$2:$B$305,0))</f>
        <v>0</v>
      </c>
      <c r="O316" t="e">
        <f>INDEX('GIS-Standards'!$I$2:$I$305,MATCH(C316,'GIS-Standards'!$B$2:$B$305,0))</f>
        <v>#N/A</v>
      </c>
      <c r="P316" t="e">
        <f>AND(TableRelationships12[[#This Row],[Source Type]]="BIM",TableRelationships12[[#This Row],[Target Type]]="BIM")</f>
        <v>#N/A</v>
      </c>
      <c r="Q316">
        <f t="shared" si="12"/>
        <v>1</v>
      </c>
      <c r="S316">
        <f t="shared" si="13"/>
        <v>1</v>
      </c>
      <c r="T316" s="102" t="str">
        <f>IF(TableRelationships12[[#This Row],[Rank Pedro]]="Low","linkCategory1",IF(TableRelationships12[[#This Row],[Rank Pedro]]="Medium","linkCategory2",IF(TableRelationships12[[#This Row],[Rank Pedro]]="High","linkCategory3","")))</f>
        <v/>
      </c>
      <c r="U316" s="102" t="str">
        <f>IF(TableRelationships12[[#This Row],[Rank Pedro]]="Low","Pink",IF(TableRelationships12[[#This Row],[Rank Pedro]]="Medium","Purple",IF(TableRelationships12[[#This Row],[Rank Pedro]]="High","Brown","")))</f>
        <v/>
      </c>
      <c r="V316" s="4" t="e">
        <f>MAX(INDEX(Standards!$F$2:$F$296,MATCH(B316,Standards!$B$2:$B$296,0)),INDEX(Standards!$F$2:$F$296,MATCH(C316,Standards!$B$2:$B$296,0)))</f>
        <v>#N/A</v>
      </c>
      <c r="W316" t="str">
        <f t="shared" si="14"/>
        <v>#2f89d1</v>
      </c>
    </row>
    <row r="317" spans="1:23" x14ac:dyDescent="0.5">
      <c r="A317" s="54">
        <v>316</v>
      </c>
      <c r="B317" s="90" t="s">
        <v>296</v>
      </c>
      <c r="C317" t="s">
        <v>1040</v>
      </c>
      <c r="D317" s="1"/>
      <c r="E317" s="112">
        <v>2004.07</v>
      </c>
      <c r="F317" s="112">
        <v>2004.07</v>
      </c>
      <c r="G317" s="107" t="s">
        <v>670</v>
      </c>
      <c r="H317">
        <f>INDEX('GIS-Standards'!$A$2:$A$305,MATCH(B317,'GIS-Standards'!$B$2:$B$305,0))</f>
        <v>12</v>
      </c>
      <c r="I317">
        <f>INDEX('GIS-Standards'!$A$2:$A$305,MATCH(C317,'GIS-Standards'!$B$2:$B$305,0))</f>
        <v>15</v>
      </c>
      <c r="J317" t="str">
        <f>INDEX('GIS-Standards'!$O$2:$O$305,MATCH(B317,'GIS-Standards'!$B$2:$B$305,0))</f>
        <v>ISO/TC 211</v>
      </c>
      <c r="K317" t="str">
        <f>INDEX('GIS-Standards'!$O$2:$O$305,MATCH(C317,'GIS-Standards'!$B$2:$B$305,0))</f>
        <v>ISO/TC 211</v>
      </c>
      <c r="M317" t="s">
        <v>525</v>
      </c>
      <c r="N317">
        <f>INDEX('GIS-Standards'!$I$2:$I$305,MATCH(B317,'GIS-Standards'!$B$2:$B$305,0))</f>
        <v>0</v>
      </c>
      <c r="O317">
        <f>INDEX('GIS-Standards'!$I$2:$I$305,MATCH(C317,'GIS-Standards'!$B$2:$B$305,0))</f>
        <v>0</v>
      </c>
      <c r="P317" t="b">
        <f>AND(TableRelationships12[[#This Row],[Source Type]]="BIM",TableRelationships12[[#This Row],[Target Type]]="BIM")</f>
        <v>0</v>
      </c>
      <c r="Q317">
        <f t="shared" si="12"/>
        <v>1</v>
      </c>
      <c r="S317">
        <f t="shared" si="13"/>
        <v>1</v>
      </c>
      <c r="T317" s="102" t="str">
        <f>IF(TableRelationships12[[#This Row],[Rank Pedro]]="Low","linkCategory1",IF(TableRelationships12[[#This Row],[Rank Pedro]]="Medium","linkCategory2",IF(TableRelationships12[[#This Row],[Rank Pedro]]="High","linkCategory3","")))</f>
        <v/>
      </c>
      <c r="U317" s="102" t="str">
        <f>IF(TableRelationships12[[#This Row],[Rank Pedro]]="Low","Pink",IF(TableRelationships12[[#This Row],[Rank Pedro]]="Medium","Purple",IF(TableRelationships12[[#This Row],[Rank Pedro]]="High","Brown","")))</f>
        <v/>
      </c>
      <c r="V317" s="4" t="e">
        <f>MAX(INDEX(Standards!$F$2:$F$296,MATCH(B317,Standards!$B$2:$B$296,0)),INDEX(Standards!$F$2:$F$296,MATCH(C317,Standards!$B$2:$B$296,0)))</f>
        <v>#N/A</v>
      </c>
      <c r="W317" t="str">
        <f t="shared" si="14"/>
        <v>#2f89d1</v>
      </c>
    </row>
    <row r="318" spans="1:23" x14ac:dyDescent="0.5">
      <c r="A318" s="54">
        <v>317</v>
      </c>
      <c r="B318" s="90" t="s">
        <v>296</v>
      </c>
      <c r="C318" t="s">
        <v>1392</v>
      </c>
      <c r="D318" s="1"/>
      <c r="G318" s="107"/>
      <c r="H318">
        <f>INDEX('GIS-Standards'!$A$2:$A$305,MATCH(B318,'GIS-Standards'!$B$2:$B$305,0))</f>
        <v>12</v>
      </c>
      <c r="I318" t="e">
        <f>INDEX('GIS-Standards'!$A$2:$A$305,MATCH(C318,'GIS-Standards'!$B$2:$B$305,0))</f>
        <v>#N/A</v>
      </c>
      <c r="J318" t="str">
        <f>INDEX('GIS-Standards'!$O$2:$O$305,MATCH(B318,'GIS-Standards'!$B$2:$B$305,0))</f>
        <v>ISO/TC 211</v>
      </c>
      <c r="K318" t="e">
        <f>INDEX('GIS-Standards'!$O$2:$O$305,MATCH(C318,'GIS-Standards'!$B$2:$B$305,0))</f>
        <v>#N/A</v>
      </c>
      <c r="M318" t="s">
        <v>525</v>
      </c>
      <c r="N318">
        <f>INDEX('GIS-Standards'!$I$2:$I$305,MATCH(B318,'GIS-Standards'!$B$2:$B$305,0))</f>
        <v>0</v>
      </c>
      <c r="O318" t="e">
        <f>INDEX('GIS-Standards'!$I$2:$I$305,MATCH(C318,'GIS-Standards'!$B$2:$B$305,0))</f>
        <v>#N/A</v>
      </c>
      <c r="P318" t="e">
        <f>AND(TableRelationships12[[#This Row],[Source Type]]="BIM",TableRelationships12[[#This Row],[Target Type]]="BIM")</f>
        <v>#N/A</v>
      </c>
      <c r="Q318">
        <f t="shared" si="12"/>
        <v>1</v>
      </c>
      <c r="S318">
        <f t="shared" si="13"/>
        <v>1</v>
      </c>
      <c r="T318" s="102" t="str">
        <f>IF(TableRelationships12[[#This Row],[Rank Pedro]]="Low","linkCategory1",IF(TableRelationships12[[#This Row],[Rank Pedro]]="Medium","linkCategory2",IF(TableRelationships12[[#This Row],[Rank Pedro]]="High","linkCategory3","")))</f>
        <v/>
      </c>
      <c r="U318" s="102" t="str">
        <f>IF(TableRelationships12[[#This Row],[Rank Pedro]]="Low","Pink",IF(TableRelationships12[[#This Row],[Rank Pedro]]="Medium","Purple",IF(TableRelationships12[[#This Row],[Rank Pedro]]="High","Brown","")))</f>
        <v/>
      </c>
      <c r="V318" s="4" t="e">
        <f>MAX(INDEX(Standards!$F$2:$F$296,MATCH(B318,Standards!$B$2:$B$296,0)),INDEX(Standards!$F$2:$F$296,MATCH(C318,Standards!$B$2:$B$296,0)))</f>
        <v>#N/A</v>
      </c>
      <c r="W318" t="str">
        <f t="shared" si="14"/>
        <v>#2f89d1</v>
      </c>
    </row>
    <row r="319" spans="1:23" x14ac:dyDescent="0.5">
      <c r="A319" s="54">
        <v>318</v>
      </c>
      <c r="B319" s="90" t="s">
        <v>296</v>
      </c>
      <c r="C319" t="s">
        <v>124</v>
      </c>
      <c r="D319" s="1"/>
      <c r="E319" s="112">
        <v>1987.07</v>
      </c>
      <c r="F319" s="112">
        <v>2022.07</v>
      </c>
      <c r="G319" s="107" t="s">
        <v>1452</v>
      </c>
      <c r="H319">
        <f>INDEX('GIS-Standards'!$A$2:$A$305,MATCH(B319,'GIS-Standards'!$B$2:$B$305,0))</f>
        <v>12</v>
      </c>
      <c r="I319" t="e">
        <f>INDEX('GIS-Standards'!$A$2:$A$305,MATCH(C319,'GIS-Standards'!$B$2:$B$305,0))</f>
        <v>#N/A</v>
      </c>
      <c r="J319" t="str">
        <f>INDEX('GIS-Standards'!$O$2:$O$305,MATCH(B319,'GIS-Standards'!$B$2:$B$305,0))</f>
        <v>ISO/TC 211</v>
      </c>
      <c r="K319" t="e">
        <f>INDEX('GIS-Standards'!$O$2:$O$305,MATCH(C319,'GIS-Standards'!$B$2:$B$305,0))</f>
        <v>#N/A</v>
      </c>
      <c r="M319" t="s">
        <v>525</v>
      </c>
      <c r="N319">
        <f>INDEX('GIS-Standards'!$I$2:$I$305,MATCH(B319,'GIS-Standards'!$B$2:$B$305,0))</f>
        <v>0</v>
      </c>
      <c r="O319" t="e">
        <f>INDEX('GIS-Standards'!$I$2:$I$305,MATCH(C319,'GIS-Standards'!$B$2:$B$305,0))</f>
        <v>#N/A</v>
      </c>
      <c r="P319" t="e">
        <f>AND(TableRelationships12[[#This Row],[Source Type]]="BIM",TableRelationships12[[#This Row],[Target Type]]="BIM")</f>
        <v>#N/A</v>
      </c>
      <c r="Q319">
        <f t="shared" si="12"/>
        <v>1</v>
      </c>
      <c r="S319">
        <f t="shared" si="13"/>
        <v>1</v>
      </c>
      <c r="T319" s="102" t="str">
        <f>IF(TableRelationships12[[#This Row],[Rank Pedro]]="Low","linkCategory1",IF(TableRelationships12[[#This Row],[Rank Pedro]]="Medium","linkCategory2",IF(TableRelationships12[[#This Row],[Rank Pedro]]="High","linkCategory3","")))</f>
        <v/>
      </c>
      <c r="U319" s="102" t="str">
        <f>IF(TableRelationships12[[#This Row],[Rank Pedro]]="Low","Pink",IF(TableRelationships12[[#This Row],[Rank Pedro]]="Medium","Purple",IF(TableRelationships12[[#This Row],[Rank Pedro]]="High","Brown","")))</f>
        <v/>
      </c>
      <c r="V319" s="4">
        <f>MAX(INDEX(Standards!$F$2:$F$296,MATCH(B319,Standards!$B$2:$B$296,0)),INDEX(Standards!$F$2:$F$296,MATCH(C319,Standards!$B$2:$B$296,0)))</f>
        <v>38534</v>
      </c>
      <c r="W319" t="str">
        <f t="shared" si="14"/>
        <v>#2f89d1</v>
      </c>
    </row>
    <row r="320" spans="1:23" x14ac:dyDescent="0.5">
      <c r="A320" s="54">
        <v>319</v>
      </c>
      <c r="B320" s="90" t="s">
        <v>296</v>
      </c>
      <c r="C320" t="s">
        <v>132</v>
      </c>
      <c r="D320" s="1"/>
      <c r="E320" s="112">
        <v>1997.09</v>
      </c>
      <c r="F320" s="112">
        <v>2020.08</v>
      </c>
      <c r="G320" s="107" t="s">
        <v>1481</v>
      </c>
      <c r="H320">
        <f>INDEX('GIS-Standards'!$A$2:$A$305,MATCH(B320,'GIS-Standards'!$B$2:$B$305,0))</f>
        <v>12</v>
      </c>
      <c r="I320" t="e">
        <f>INDEX('GIS-Standards'!$A$2:$A$305,MATCH(C320,'GIS-Standards'!$B$2:$B$305,0))</f>
        <v>#N/A</v>
      </c>
      <c r="J320" t="str">
        <f>INDEX('GIS-Standards'!$O$2:$O$305,MATCH(B320,'GIS-Standards'!$B$2:$B$305,0))</f>
        <v>ISO/TC 211</v>
      </c>
      <c r="K320" t="e">
        <f>INDEX('GIS-Standards'!$O$2:$O$305,MATCH(C320,'GIS-Standards'!$B$2:$B$305,0))</f>
        <v>#N/A</v>
      </c>
      <c r="M320" t="s">
        <v>525</v>
      </c>
      <c r="N320">
        <f>INDEX('GIS-Standards'!$I$2:$I$305,MATCH(B320,'GIS-Standards'!$B$2:$B$305,0))</f>
        <v>0</v>
      </c>
      <c r="O320" t="e">
        <f>INDEX('GIS-Standards'!$I$2:$I$305,MATCH(C320,'GIS-Standards'!$B$2:$B$305,0))</f>
        <v>#N/A</v>
      </c>
      <c r="P320" t="e">
        <f>AND(TableRelationships12[[#This Row],[Source Type]]="BIM",TableRelationships12[[#This Row],[Target Type]]="BIM")</f>
        <v>#N/A</v>
      </c>
      <c r="Q320">
        <f t="shared" si="12"/>
        <v>1</v>
      </c>
      <c r="S320">
        <f t="shared" si="13"/>
        <v>1</v>
      </c>
      <c r="T320" s="102" t="str">
        <f>IF(TableRelationships12[[#This Row],[Rank Pedro]]="Low","linkCategory1",IF(TableRelationships12[[#This Row],[Rank Pedro]]="Medium","linkCategory2",IF(TableRelationships12[[#This Row],[Rank Pedro]]="High","linkCategory3","")))</f>
        <v/>
      </c>
      <c r="U320" s="102" t="str">
        <f>IF(TableRelationships12[[#This Row],[Rank Pedro]]="Low","Pink",IF(TableRelationships12[[#This Row],[Rank Pedro]]="Medium","Purple",IF(TableRelationships12[[#This Row],[Rank Pedro]]="High","Brown","")))</f>
        <v/>
      </c>
      <c r="V320" s="4">
        <f>MAX(INDEX(Standards!$F$2:$F$296,MATCH(B320,Standards!$B$2:$B$296,0)),INDEX(Standards!$F$2:$F$296,MATCH(C320,Standards!$B$2:$B$296,0)))</f>
        <v>38534</v>
      </c>
      <c r="W320" t="str">
        <f t="shared" si="14"/>
        <v>#2f89d1</v>
      </c>
    </row>
    <row r="321" spans="1:23" x14ac:dyDescent="0.5">
      <c r="A321" s="54">
        <v>320</v>
      </c>
      <c r="B321" s="90" t="s">
        <v>296</v>
      </c>
      <c r="C321" t="s">
        <v>130</v>
      </c>
      <c r="D321" s="1"/>
      <c r="E321" s="112">
        <v>1993.05</v>
      </c>
      <c r="F321" s="112">
        <v>2025.06</v>
      </c>
      <c r="G321" s="107" t="s">
        <v>1501</v>
      </c>
      <c r="H321">
        <f>INDEX('GIS-Standards'!$A$2:$A$305,MATCH(B321,'GIS-Standards'!$B$2:$B$305,0))</f>
        <v>12</v>
      </c>
      <c r="I321" t="e">
        <f>INDEX('GIS-Standards'!$A$2:$A$305,MATCH(C321,'GIS-Standards'!$B$2:$B$305,0))</f>
        <v>#N/A</v>
      </c>
      <c r="J321" t="str">
        <f>INDEX('GIS-Standards'!$O$2:$O$305,MATCH(B321,'GIS-Standards'!$B$2:$B$305,0))</f>
        <v>ISO/TC 211</v>
      </c>
      <c r="K321" t="e">
        <f>INDEX('GIS-Standards'!$O$2:$O$305,MATCH(C321,'GIS-Standards'!$B$2:$B$305,0))</f>
        <v>#N/A</v>
      </c>
      <c r="M321" t="s">
        <v>525</v>
      </c>
      <c r="N321">
        <f>INDEX('GIS-Standards'!$I$2:$I$305,MATCH(B321,'GIS-Standards'!$B$2:$B$305,0))</f>
        <v>0</v>
      </c>
      <c r="O321" t="e">
        <f>INDEX('GIS-Standards'!$I$2:$I$305,MATCH(C321,'GIS-Standards'!$B$2:$B$305,0))</f>
        <v>#N/A</v>
      </c>
      <c r="P321" t="e">
        <f>AND(TableRelationships12[[#This Row],[Source Type]]="BIM",TableRelationships12[[#This Row],[Target Type]]="BIM")</f>
        <v>#N/A</v>
      </c>
      <c r="Q321">
        <f t="shared" si="12"/>
        <v>1</v>
      </c>
      <c r="S321">
        <f t="shared" si="13"/>
        <v>1</v>
      </c>
      <c r="T321" s="102" t="str">
        <f>IF(TableRelationships12[[#This Row],[Rank Pedro]]="Low","linkCategory1",IF(TableRelationships12[[#This Row],[Rank Pedro]]="Medium","linkCategory2",IF(TableRelationships12[[#This Row],[Rank Pedro]]="High","linkCategory3","")))</f>
        <v/>
      </c>
      <c r="U321" s="102" t="str">
        <f>IF(TableRelationships12[[#This Row],[Rank Pedro]]="Low","Pink",IF(TableRelationships12[[#This Row],[Rank Pedro]]="Medium","Purple",IF(TableRelationships12[[#This Row],[Rank Pedro]]="High","Brown","")))</f>
        <v/>
      </c>
      <c r="V321" s="4">
        <f>MAX(INDEX(Standards!$F$2:$F$296,MATCH(B321,Standards!$B$2:$B$296,0)),INDEX(Standards!$F$2:$F$296,MATCH(C321,Standards!$B$2:$B$296,0)))</f>
        <v>38534</v>
      </c>
      <c r="W321" t="str">
        <f t="shared" si="14"/>
        <v>#2f89d1</v>
      </c>
    </row>
    <row r="322" spans="1:23" x14ac:dyDescent="0.5">
      <c r="A322" s="54">
        <v>321</v>
      </c>
      <c r="B322" s="90" t="s">
        <v>296</v>
      </c>
      <c r="C322" t="s">
        <v>1077</v>
      </c>
      <c r="D322" s="1"/>
      <c r="E322" s="112">
        <v>1978.03</v>
      </c>
      <c r="F322" s="112">
        <v>2025.07</v>
      </c>
      <c r="G322" s="107" t="s">
        <v>1446</v>
      </c>
      <c r="H322">
        <f>INDEX('GIS-Standards'!$A$2:$A$305,MATCH(B322,'GIS-Standards'!$B$2:$B$305,0))</f>
        <v>12</v>
      </c>
      <c r="I322" t="e">
        <f>INDEX('GIS-Standards'!$A$2:$A$305,MATCH(C322,'GIS-Standards'!$B$2:$B$305,0))</f>
        <v>#N/A</v>
      </c>
      <c r="J322" t="str">
        <f>INDEX('GIS-Standards'!$O$2:$O$305,MATCH(B322,'GIS-Standards'!$B$2:$B$305,0))</f>
        <v>ISO/TC 211</v>
      </c>
      <c r="K322" t="e">
        <f>INDEX('GIS-Standards'!$O$2:$O$305,MATCH(C322,'GIS-Standards'!$B$2:$B$305,0))</f>
        <v>#N/A</v>
      </c>
      <c r="M322" t="s">
        <v>525</v>
      </c>
      <c r="N322">
        <f>INDEX('GIS-Standards'!$I$2:$I$305,MATCH(B322,'GIS-Standards'!$B$2:$B$305,0))</f>
        <v>0</v>
      </c>
      <c r="O322" t="e">
        <f>INDEX('GIS-Standards'!$I$2:$I$305,MATCH(C322,'GIS-Standards'!$B$2:$B$305,0))</f>
        <v>#N/A</v>
      </c>
      <c r="P322" t="e">
        <f>AND(TableRelationships12[[#This Row],[Source Type]]="BIM",TableRelationships12[[#This Row],[Target Type]]="BIM")</f>
        <v>#N/A</v>
      </c>
      <c r="Q322">
        <f t="shared" ref="Q322:Q385" si="15">IF(M322="Normative",6,IF(M322="Secondary",4,IF(M322="Anchor",2,1)))</f>
        <v>1</v>
      </c>
      <c r="S322">
        <f t="shared" ref="S322:S385" si="16">IF(R322="High",10,IF(R322="Medium",6,IF(R322="Low",2,1)))</f>
        <v>1</v>
      </c>
      <c r="T322" s="102" t="str">
        <f>IF(TableRelationships12[[#This Row],[Rank Pedro]]="Low","linkCategory1",IF(TableRelationships12[[#This Row],[Rank Pedro]]="Medium","linkCategory2",IF(TableRelationships12[[#This Row],[Rank Pedro]]="High","linkCategory3","")))</f>
        <v/>
      </c>
      <c r="U322" s="102" t="str">
        <f>IF(TableRelationships12[[#This Row],[Rank Pedro]]="Low","Pink",IF(TableRelationships12[[#This Row],[Rank Pedro]]="Medium","Purple",IF(TableRelationships12[[#This Row],[Rank Pedro]]="High","Brown","")))</f>
        <v/>
      </c>
      <c r="V322" s="4" t="e">
        <f>MAX(INDEX(Standards!$F$2:$F$296,MATCH(B322,Standards!$B$2:$B$296,0)),INDEX(Standards!$F$2:$F$296,MATCH(C322,Standards!$B$2:$B$296,0)))</f>
        <v>#N/A</v>
      </c>
      <c r="W322" t="str">
        <f t="shared" ref="W322:W385" si="17">IF(M322="Normative", "#d6bf2a", IF(M322="Informative", "#2f89d1", 1))</f>
        <v>#2f89d1</v>
      </c>
    </row>
    <row r="323" spans="1:23" x14ac:dyDescent="0.5">
      <c r="A323" s="54">
        <v>322</v>
      </c>
      <c r="B323" s="90" t="s">
        <v>296</v>
      </c>
      <c r="C323" t="s">
        <v>1142</v>
      </c>
      <c r="D323" s="1"/>
      <c r="G323" s="107"/>
      <c r="H323">
        <f>INDEX('GIS-Standards'!$A$2:$A$305,MATCH(B323,'GIS-Standards'!$B$2:$B$305,0))</f>
        <v>12</v>
      </c>
      <c r="I323" t="e">
        <f>INDEX('GIS-Standards'!$A$2:$A$305,MATCH(C323,'GIS-Standards'!$B$2:$B$305,0))</f>
        <v>#N/A</v>
      </c>
      <c r="J323" t="str">
        <f>INDEX('GIS-Standards'!$O$2:$O$305,MATCH(B323,'GIS-Standards'!$B$2:$B$305,0))</f>
        <v>ISO/TC 211</v>
      </c>
      <c r="K323" t="e">
        <f>INDEX('GIS-Standards'!$O$2:$O$305,MATCH(C323,'GIS-Standards'!$B$2:$B$305,0))</f>
        <v>#N/A</v>
      </c>
      <c r="M323" t="s">
        <v>525</v>
      </c>
      <c r="N323">
        <f>INDEX('GIS-Standards'!$I$2:$I$305,MATCH(B323,'GIS-Standards'!$B$2:$B$305,0))</f>
        <v>0</v>
      </c>
      <c r="O323" t="e">
        <f>INDEX('GIS-Standards'!$I$2:$I$305,MATCH(C323,'GIS-Standards'!$B$2:$B$305,0))</f>
        <v>#N/A</v>
      </c>
      <c r="P323" t="e">
        <f>AND(TableRelationships12[[#This Row],[Source Type]]="BIM",TableRelationships12[[#This Row],[Target Type]]="BIM")</f>
        <v>#N/A</v>
      </c>
      <c r="Q323">
        <f t="shared" si="15"/>
        <v>1</v>
      </c>
      <c r="S323">
        <f t="shared" si="16"/>
        <v>1</v>
      </c>
      <c r="T323" s="102" t="str">
        <f>IF(TableRelationships12[[#This Row],[Rank Pedro]]="Low","linkCategory1",IF(TableRelationships12[[#This Row],[Rank Pedro]]="Medium","linkCategory2",IF(TableRelationships12[[#This Row],[Rank Pedro]]="High","linkCategory3","")))</f>
        <v/>
      </c>
      <c r="U323" s="102" t="str">
        <f>IF(TableRelationships12[[#This Row],[Rank Pedro]]="Low","Pink",IF(TableRelationships12[[#This Row],[Rank Pedro]]="Medium","Purple",IF(TableRelationships12[[#This Row],[Rank Pedro]]="High","Brown","")))</f>
        <v/>
      </c>
      <c r="V323" s="4" t="e">
        <f>MAX(INDEX(Standards!$F$2:$F$296,MATCH(B323,Standards!$B$2:$B$296,0)),INDEX(Standards!$F$2:$F$296,MATCH(C323,Standards!$B$2:$B$296,0)))</f>
        <v>#N/A</v>
      </c>
      <c r="W323" t="str">
        <f t="shared" si="17"/>
        <v>#2f89d1</v>
      </c>
    </row>
    <row r="324" spans="1:23" x14ac:dyDescent="0.5">
      <c r="A324" s="54">
        <v>323</v>
      </c>
      <c r="B324" s="90" t="s">
        <v>296</v>
      </c>
      <c r="C324" t="s">
        <v>1393</v>
      </c>
      <c r="D324" s="1"/>
      <c r="F324" s="112">
        <v>2024.06</v>
      </c>
      <c r="G324" s="107"/>
      <c r="H324">
        <f>INDEX('GIS-Standards'!$A$2:$A$305,MATCH(B324,'GIS-Standards'!$B$2:$B$305,0))</f>
        <v>12</v>
      </c>
      <c r="I324" t="e">
        <f>INDEX('GIS-Standards'!$A$2:$A$305,MATCH(C324,'GIS-Standards'!$B$2:$B$305,0))</f>
        <v>#N/A</v>
      </c>
      <c r="J324" t="str">
        <f>INDEX('GIS-Standards'!$O$2:$O$305,MATCH(B324,'GIS-Standards'!$B$2:$B$305,0))</f>
        <v>ISO/TC 211</v>
      </c>
      <c r="K324" t="e">
        <f>INDEX('GIS-Standards'!$O$2:$O$305,MATCH(C324,'GIS-Standards'!$B$2:$B$305,0))</f>
        <v>#N/A</v>
      </c>
      <c r="M324" t="s">
        <v>525</v>
      </c>
      <c r="N324">
        <f>INDEX('GIS-Standards'!$I$2:$I$305,MATCH(B324,'GIS-Standards'!$B$2:$B$305,0))</f>
        <v>0</v>
      </c>
      <c r="O324" t="e">
        <f>INDEX('GIS-Standards'!$I$2:$I$305,MATCH(C324,'GIS-Standards'!$B$2:$B$305,0))</f>
        <v>#N/A</v>
      </c>
      <c r="P324" t="e">
        <f>AND(TableRelationships12[[#This Row],[Source Type]]="BIM",TableRelationships12[[#This Row],[Target Type]]="BIM")</f>
        <v>#N/A</v>
      </c>
      <c r="Q324">
        <f t="shared" si="15"/>
        <v>1</v>
      </c>
      <c r="S324">
        <f t="shared" si="16"/>
        <v>1</v>
      </c>
      <c r="T324" s="102" t="str">
        <f>IF(TableRelationships12[[#This Row],[Rank Pedro]]="Low","linkCategory1",IF(TableRelationships12[[#This Row],[Rank Pedro]]="Medium","linkCategory2",IF(TableRelationships12[[#This Row],[Rank Pedro]]="High","linkCategory3","")))</f>
        <v/>
      </c>
      <c r="U324" s="102" t="str">
        <f>IF(TableRelationships12[[#This Row],[Rank Pedro]]="Low","Pink",IF(TableRelationships12[[#This Row],[Rank Pedro]]="Medium","Purple",IF(TableRelationships12[[#This Row],[Rank Pedro]]="High","Brown","")))</f>
        <v/>
      </c>
      <c r="V324" s="4" t="e">
        <f>MAX(INDEX(Standards!$F$2:$F$296,MATCH(B324,Standards!$B$2:$B$296,0)),INDEX(Standards!$F$2:$F$296,MATCH(C324,Standards!$B$2:$B$296,0)))</f>
        <v>#N/A</v>
      </c>
      <c r="W324" t="str">
        <f t="shared" si="17"/>
        <v>#2f89d1</v>
      </c>
    </row>
    <row r="325" spans="1:23" x14ac:dyDescent="0.5">
      <c r="A325" s="54">
        <v>324</v>
      </c>
      <c r="B325" s="90" t="s">
        <v>296</v>
      </c>
      <c r="C325" t="s">
        <v>1394</v>
      </c>
      <c r="D325" s="1"/>
      <c r="E325" s="112">
        <v>2000.1</v>
      </c>
      <c r="G325" s="107"/>
      <c r="H325">
        <f>INDEX('GIS-Standards'!$A$2:$A$305,MATCH(B325,'GIS-Standards'!$B$2:$B$305,0))</f>
        <v>12</v>
      </c>
      <c r="I325" t="e">
        <f>INDEX('GIS-Standards'!$A$2:$A$305,MATCH(C325,'GIS-Standards'!$B$2:$B$305,0))</f>
        <v>#N/A</v>
      </c>
      <c r="J325" t="str">
        <f>INDEX('GIS-Standards'!$O$2:$O$305,MATCH(B325,'GIS-Standards'!$B$2:$B$305,0))</f>
        <v>ISO/TC 211</v>
      </c>
      <c r="K325" t="e">
        <f>INDEX('GIS-Standards'!$O$2:$O$305,MATCH(C325,'GIS-Standards'!$B$2:$B$305,0))</f>
        <v>#N/A</v>
      </c>
      <c r="M325" t="s">
        <v>525</v>
      </c>
      <c r="N325">
        <f>INDEX('GIS-Standards'!$I$2:$I$305,MATCH(B325,'GIS-Standards'!$B$2:$B$305,0))</f>
        <v>0</v>
      </c>
      <c r="O325" t="e">
        <f>INDEX('GIS-Standards'!$I$2:$I$305,MATCH(C325,'GIS-Standards'!$B$2:$B$305,0))</f>
        <v>#N/A</v>
      </c>
      <c r="P325" t="e">
        <f>AND(TableRelationships12[[#This Row],[Source Type]]="BIM",TableRelationships12[[#This Row],[Target Type]]="BIM")</f>
        <v>#N/A</v>
      </c>
      <c r="Q325">
        <f t="shared" si="15"/>
        <v>1</v>
      </c>
      <c r="S325">
        <f t="shared" si="16"/>
        <v>1</v>
      </c>
      <c r="T325" s="102" t="str">
        <f>IF(TableRelationships12[[#This Row],[Rank Pedro]]="Low","linkCategory1",IF(TableRelationships12[[#This Row],[Rank Pedro]]="Medium","linkCategory2",IF(TableRelationships12[[#This Row],[Rank Pedro]]="High","linkCategory3","")))</f>
        <v/>
      </c>
      <c r="U325" s="102" t="str">
        <f>IF(TableRelationships12[[#This Row],[Rank Pedro]]="Low","Pink",IF(TableRelationships12[[#This Row],[Rank Pedro]]="Medium","Purple",IF(TableRelationships12[[#This Row],[Rank Pedro]]="High","Brown","")))</f>
        <v/>
      </c>
      <c r="V325" s="4" t="e">
        <f>MAX(INDEX(Standards!$F$2:$F$296,MATCH(B325,Standards!$B$2:$B$296,0)),INDEX(Standards!$F$2:$F$296,MATCH(C325,Standards!$B$2:$B$296,0)))</f>
        <v>#N/A</v>
      </c>
      <c r="W325" t="str">
        <f t="shared" si="17"/>
        <v>#2f89d1</v>
      </c>
    </row>
    <row r="326" spans="1:23" x14ac:dyDescent="0.5">
      <c r="A326" s="54">
        <v>325</v>
      </c>
      <c r="B326" s="90" t="s">
        <v>296</v>
      </c>
      <c r="C326" t="s">
        <v>1395</v>
      </c>
      <c r="D326" s="1"/>
      <c r="E326" s="112">
        <v>2005.01</v>
      </c>
      <c r="G326" s="107"/>
      <c r="H326">
        <f>INDEX('GIS-Standards'!$A$2:$A$305,MATCH(B326,'GIS-Standards'!$B$2:$B$305,0))</f>
        <v>12</v>
      </c>
      <c r="I326" t="e">
        <f>INDEX('GIS-Standards'!$A$2:$A$305,MATCH(C326,'GIS-Standards'!$B$2:$B$305,0))</f>
        <v>#N/A</v>
      </c>
      <c r="J326" t="str">
        <f>INDEX('GIS-Standards'!$O$2:$O$305,MATCH(B326,'GIS-Standards'!$B$2:$B$305,0))</f>
        <v>ISO/TC 211</v>
      </c>
      <c r="K326" t="e">
        <f>INDEX('GIS-Standards'!$O$2:$O$305,MATCH(C326,'GIS-Standards'!$B$2:$B$305,0))</f>
        <v>#N/A</v>
      </c>
      <c r="M326" t="s">
        <v>525</v>
      </c>
      <c r="N326">
        <f>INDEX('GIS-Standards'!$I$2:$I$305,MATCH(B326,'GIS-Standards'!$B$2:$B$305,0))</f>
        <v>0</v>
      </c>
      <c r="O326" t="e">
        <f>INDEX('GIS-Standards'!$I$2:$I$305,MATCH(C326,'GIS-Standards'!$B$2:$B$305,0))</f>
        <v>#N/A</v>
      </c>
      <c r="P326" t="e">
        <f>AND(TableRelationships12[[#This Row],[Source Type]]="BIM",TableRelationships12[[#This Row],[Target Type]]="BIM")</f>
        <v>#N/A</v>
      </c>
      <c r="Q326">
        <f t="shared" si="15"/>
        <v>1</v>
      </c>
      <c r="S326">
        <f t="shared" si="16"/>
        <v>1</v>
      </c>
      <c r="T326" s="102" t="str">
        <f>IF(TableRelationships12[[#This Row],[Rank Pedro]]="Low","linkCategory1",IF(TableRelationships12[[#This Row],[Rank Pedro]]="Medium","linkCategory2",IF(TableRelationships12[[#This Row],[Rank Pedro]]="High","linkCategory3","")))</f>
        <v/>
      </c>
      <c r="U326" s="102" t="str">
        <f>IF(TableRelationships12[[#This Row],[Rank Pedro]]="Low","Pink",IF(TableRelationships12[[#This Row],[Rank Pedro]]="Medium","Purple",IF(TableRelationships12[[#This Row],[Rank Pedro]]="High","Brown","")))</f>
        <v/>
      </c>
      <c r="V326" s="4" t="e">
        <f>MAX(INDEX(Standards!$F$2:$F$296,MATCH(B326,Standards!$B$2:$B$296,0)),INDEX(Standards!$F$2:$F$296,MATCH(C326,Standards!$B$2:$B$296,0)))</f>
        <v>#N/A</v>
      </c>
      <c r="W326" t="str">
        <f t="shared" si="17"/>
        <v>#2f89d1</v>
      </c>
    </row>
    <row r="327" spans="1:23" x14ac:dyDescent="0.5">
      <c r="A327" s="54">
        <v>326</v>
      </c>
      <c r="B327" s="90" t="s">
        <v>296</v>
      </c>
      <c r="C327" t="s">
        <v>1078</v>
      </c>
      <c r="D327" s="1"/>
      <c r="E327" s="112">
        <v>2023.1</v>
      </c>
      <c r="F327" s="112">
        <v>2023.1</v>
      </c>
      <c r="G327" s="107" t="s">
        <v>1482</v>
      </c>
      <c r="H327">
        <f>INDEX('GIS-Standards'!$A$2:$A$305,MATCH(B327,'GIS-Standards'!$B$2:$B$305,0))</f>
        <v>12</v>
      </c>
      <c r="I327" t="e">
        <f>INDEX('GIS-Standards'!$A$2:$A$305,MATCH(C327,'GIS-Standards'!$B$2:$B$305,0))</f>
        <v>#N/A</v>
      </c>
      <c r="J327" t="str">
        <f>INDEX('GIS-Standards'!$O$2:$O$305,MATCH(B327,'GIS-Standards'!$B$2:$B$305,0))</f>
        <v>ISO/TC 211</v>
      </c>
      <c r="K327" t="e">
        <f>INDEX('GIS-Standards'!$O$2:$O$305,MATCH(C327,'GIS-Standards'!$B$2:$B$305,0))</f>
        <v>#N/A</v>
      </c>
      <c r="M327" t="s">
        <v>525</v>
      </c>
      <c r="N327">
        <f>INDEX('GIS-Standards'!$I$2:$I$305,MATCH(B327,'GIS-Standards'!$B$2:$B$305,0))</f>
        <v>0</v>
      </c>
      <c r="O327" t="e">
        <f>INDEX('GIS-Standards'!$I$2:$I$305,MATCH(C327,'GIS-Standards'!$B$2:$B$305,0))</f>
        <v>#N/A</v>
      </c>
      <c r="P327" t="e">
        <f>AND(TableRelationships12[[#This Row],[Source Type]]="BIM",TableRelationships12[[#This Row],[Target Type]]="BIM")</f>
        <v>#N/A</v>
      </c>
      <c r="Q327">
        <f t="shared" si="15"/>
        <v>1</v>
      </c>
      <c r="S327">
        <f t="shared" si="16"/>
        <v>1</v>
      </c>
      <c r="T327" s="102" t="str">
        <f>IF(TableRelationships12[[#This Row],[Rank Pedro]]="Low","linkCategory1",IF(TableRelationships12[[#This Row],[Rank Pedro]]="Medium","linkCategory2",IF(TableRelationships12[[#This Row],[Rank Pedro]]="High","linkCategory3","")))</f>
        <v/>
      </c>
      <c r="U327" s="102" t="str">
        <f>IF(TableRelationships12[[#This Row],[Rank Pedro]]="Low","Pink",IF(TableRelationships12[[#This Row],[Rank Pedro]]="Medium","Purple",IF(TableRelationships12[[#This Row],[Rank Pedro]]="High","Brown","")))</f>
        <v/>
      </c>
      <c r="V327" s="4" t="e">
        <f>MAX(INDEX(Standards!$F$2:$F$296,MATCH(B327,Standards!$B$2:$B$296,0)),INDEX(Standards!$F$2:$F$296,MATCH(C327,Standards!$B$2:$B$296,0)))</f>
        <v>#N/A</v>
      </c>
      <c r="W327" t="str">
        <f t="shared" si="17"/>
        <v>#2f89d1</v>
      </c>
    </row>
    <row r="328" spans="1:23" x14ac:dyDescent="0.5">
      <c r="A328" s="54">
        <v>327</v>
      </c>
      <c r="B328" s="90" t="s">
        <v>296</v>
      </c>
      <c r="C328" t="s">
        <v>192</v>
      </c>
      <c r="D328" s="1"/>
      <c r="E328" s="113">
        <v>1976.04</v>
      </c>
      <c r="F328" s="113">
        <v>2022.1</v>
      </c>
      <c r="G328" s="107" t="s">
        <v>1481</v>
      </c>
      <c r="H328">
        <f>INDEX('GIS-Standards'!$A$2:$A$305,MATCH(B328,'GIS-Standards'!$B$2:$B$305,0))</f>
        <v>12</v>
      </c>
      <c r="I328" t="e">
        <f>INDEX('GIS-Standards'!$A$2:$A$305,MATCH(C328,'GIS-Standards'!$B$2:$B$305,0))</f>
        <v>#N/A</v>
      </c>
      <c r="J328" t="str">
        <f>INDEX('GIS-Standards'!$O$2:$O$305,MATCH(B328,'GIS-Standards'!$B$2:$B$305,0))</f>
        <v>ISO/TC 211</v>
      </c>
      <c r="K328" t="e">
        <f>INDEX('GIS-Standards'!$O$2:$O$305,MATCH(C328,'GIS-Standards'!$B$2:$B$305,0))</f>
        <v>#N/A</v>
      </c>
      <c r="M328" t="s">
        <v>525</v>
      </c>
      <c r="N328">
        <f>INDEX('GIS-Standards'!$I$2:$I$305,MATCH(B328,'GIS-Standards'!$B$2:$B$305,0))</f>
        <v>0</v>
      </c>
      <c r="O328" t="e">
        <f>INDEX('GIS-Standards'!$I$2:$I$305,MATCH(C328,'GIS-Standards'!$B$2:$B$305,0))</f>
        <v>#N/A</v>
      </c>
      <c r="P328" t="e">
        <f>AND(TableRelationships12[[#This Row],[Source Type]]="BIM",TableRelationships12[[#This Row],[Target Type]]="BIM")</f>
        <v>#N/A</v>
      </c>
      <c r="Q328">
        <f t="shared" si="15"/>
        <v>1</v>
      </c>
      <c r="S328">
        <f t="shared" si="16"/>
        <v>1</v>
      </c>
      <c r="T328" s="102" t="str">
        <f>IF(TableRelationships12[[#This Row],[Rank Pedro]]="Low","linkCategory1",IF(TableRelationships12[[#This Row],[Rank Pedro]]="Medium","linkCategory2",IF(TableRelationships12[[#This Row],[Rank Pedro]]="High","linkCategory3","")))</f>
        <v/>
      </c>
      <c r="U328" s="102" t="str">
        <f>IF(TableRelationships12[[#This Row],[Rank Pedro]]="Low","Pink",IF(TableRelationships12[[#This Row],[Rank Pedro]]="Medium","Purple",IF(TableRelationships12[[#This Row],[Rank Pedro]]="High","Brown","")))</f>
        <v/>
      </c>
      <c r="V328" s="4">
        <f>MAX(INDEX(Standards!$F$2:$F$296,MATCH(B328,Standards!$B$2:$B$296,0)),INDEX(Standards!$F$2:$F$296,MATCH(C328,Standards!$B$2:$B$296,0)))</f>
        <v>43466</v>
      </c>
      <c r="W328" t="str">
        <f t="shared" si="17"/>
        <v>#2f89d1</v>
      </c>
    </row>
    <row r="329" spans="1:23" x14ac:dyDescent="0.5">
      <c r="A329" s="54">
        <v>328</v>
      </c>
      <c r="B329" s="90" t="s">
        <v>296</v>
      </c>
      <c r="C329" t="s">
        <v>1121</v>
      </c>
      <c r="D329" s="1"/>
      <c r="E329" s="112">
        <v>2005.01</v>
      </c>
      <c r="G329" s="107"/>
      <c r="H329">
        <f>INDEX('GIS-Standards'!$A$2:$A$305,MATCH(B329,'GIS-Standards'!$B$2:$B$305,0))</f>
        <v>12</v>
      </c>
      <c r="I329" t="e">
        <f>INDEX('GIS-Standards'!$A$2:$A$305,MATCH(C329,'GIS-Standards'!$B$2:$B$305,0))</f>
        <v>#N/A</v>
      </c>
      <c r="J329" t="str">
        <f>INDEX('GIS-Standards'!$O$2:$O$305,MATCH(B329,'GIS-Standards'!$B$2:$B$305,0))</f>
        <v>ISO/TC 211</v>
      </c>
      <c r="K329" t="e">
        <f>INDEX('GIS-Standards'!$O$2:$O$305,MATCH(C329,'GIS-Standards'!$B$2:$B$305,0))</f>
        <v>#N/A</v>
      </c>
      <c r="M329" t="s">
        <v>525</v>
      </c>
      <c r="N329">
        <f>INDEX('GIS-Standards'!$I$2:$I$305,MATCH(B329,'GIS-Standards'!$B$2:$B$305,0))</f>
        <v>0</v>
      </c>
      <c r="O329" t="e">
        <f>INDEX('GIS-Standards'!$I$2:$I$305,MATCH(C329,'GIS-Standards'!$B$2:$B$305,0))</f>
        <v>#N/A</v>
      </c>
      <c r="P329" t="e">
        <f>AND(TableRelationships12[[#This Row],[Source Type]]="BIM",TableRelationships12[[#This Row],[Target Type]]="BIM")</f>
        <v>#N/A</v>
      </c>
      <c r="Q329">
        <f t="shared" si="15"/>
        <v>1</v>
      </c>
      <c r="S329">
        <f t="shared" si="16"/>
        <v>1</v>
      </c>
      <c r="T329" s="102" t="str">
        <f>IF(TableRelationships12[[#This Row],[Rank Pedro]]="Low","linkCategory1",IF(TableRelationships12[[#This Row],[Rank Pedro]]="Medium","linkCategory2",IF(TableRelationships12[[#This Row],[Rank Pedro]]="High","linkCategory3","")))</f>
        <v/>
      </c>
      <c r="U329" s="102" t="str">
        <f>IF(TableRelationships12[[#This Row],[Rank Pedro]]="Low","Pink",IF(TableRelationships12[[#This Row],[Rank Pedro]]="Medium","Purple",IF(TableRelationships12[[#This Row],[Rank Pedro]]="High","Brown","")))</f>
        <v/>
      </c>
      <c r="V329" s="4" t="e">
        <f>MAX(INDEX(Standards!$F$2:$F$296,MATCH(B329,Standards!$B$2:$B$296,0)),INDEX(Standards!$F$2:$F$296,MATCH(C329,Standards!$B$2:$B$296,0)))</f>
        <v>#N/A</v>
      </c>
      <c r="W329" t="str">
        <f t="shared" si="17"/>
        <v>#2f89d1</v>
      </c>
    </row>
    <row r="330" spans="1:23" x14ac:dyDescent="0.5">
      <c r="A330" s="54">
        <v>329</v>
      </c>
      <c r="B330" s="90" t="s">
        <v>296</v>
      </c>
      <c r="C330" t="s">
        <v>1396</v>
      </c>
      <c r="D330" s="1"/>
      <c r="G330" s="107"/>
      <c r="H330">
        <f>INDEX('GIS-Standards'!$A$2:$A$305,MATCH(B330,'GIS-Standards'!$B$2:$B$305,0))</f>
        <v>12</v>
      </c>
      <c r="I330" t="e">
        <f>INDEX('GIS-Standards'!$A$2:$A$305,MATCH(C330,'GIS-Standards'!$B$2:$B$305,0))</f>
        <v>#N/A</v>
      </c>
      <c r="J330" t="str">
        <f>INDEX('GIS-Standards'!$O$2:$O$305,MATCH(B330,'GIS-Standards'!$B$2:$B$305,0))</f>
        <v>ISO/TC 211</v>
      </c>
      <c r="K330" t="e">
        <f>INDEX('GIS-Standards'!$O$2:$O$305,MATCH(C330,'GIS-Standards'!$B$2:$B$305,0))</f>
        <v>#N/A</v>
      </c>
      <c r="M330" t="s">
        <v>525</v>
      </c>
      <c r="N330">
        <f>INDEX('GIS-Standards'!$I$2:$I$305,MATCH(B330,'GIS-Standards'!$B$2:$B$305,0))</f>
        <v>0</v>
      </c>
      <c r="O330" t="e">
        <f>INDEX('GIS-Standards'!$I$2:$I$305,MATCH(C330,'GIS-Standards'!$B$2:$B$305,0))</f>
        <v>#N/A</v>
      </c>
      <c r="P330" t="e">
        <f>AND(TableRelationships12[[#This Row],[Source Type]]="BIM",TableRelationships12[[#This Row],[Target Type]]="BIM")</f>
        <v>#N/A</v>
      </c>
      <c r="Q330">
        <f t="shared" si="15"/>
        <v>1</v>
      </c>
      <c r="S330">
        <f t="shared" si="16"/>
        <v>1</v>
      </c>
      <c r="T330" s="102" t="str">
        <f>IF(TableRelationships12[[#This Row],[Rank Pedro]]="Low","linkCategory1",IF(TableRelationships12[[#This Row],[Rank Pedro]]="Medium","linkCategory2",IF(TableRelationships12[[#This Row],[Rank Pedro]]="High","linkCategory3","")))</f>
        <v/>
      </c>
      <c r="U330" s="102" t="str">
        <f>IF(TableRelationships12[[#This Row],[Rank Pedro]]="Low","Pink",IF(TableRelationships12[[#This Row],[Rank Pedro]]="Medium","Purple",IF(TableRelationships12[[#This Row],[Rank Pedro]]="High","Brown","")))</f>
        <v/>
      </c>
      <c r="V330" s="4" t="e">
        <f>MAX(INDEX(Standards!$F$2:$F$296,MATCH(B330,Standards!$B$2:$B$296,0)),INDEX(Standards!$F$2:$F$296,MATCH(C330,Standards!$B$2:$B$296,0)))</f>
        <v>#N/A</v>
      </c>
      <c r="W330" t="str">
        <f t="shared" si="17"/>
        <v>#2f89d1</v>
      </c>
    </row>
    <row r="331" spans="1:23" x14ac:dyDescent="0.5">
      <c r="A331" s="54">
        <v>330</v>
      </c>
      <c r="B331" s="90" t="s">
        <v>296</v>
      </c>
      <c r="C331" t="s">
        <v>1397</v>
      </c>
      <c r="D331" s="1"/>
      <c r="E331" s="112">
        <v>2024.05</v>
      </c>
      <c r="G331" s="107"/>
      <c r="H331">
        <f>INDEX('GIS-Standards'!$A$2:$A$305,MATCH(B331,'GIS-Standards'!$B$2:$B$305,0))</f>
        <v>12</v>
      </c>
      <c r="I331" t="e">
        <f>INDEX('GIS-Standards'!$A$2:$A$305,MATCH(C331,'GIS-Standards'!$B$2:$B$305,0))</f>
        <v>#N/A</v>
      </c>
      <c r="J331" t="str">
        <f>INDEX('GIS-Standards'!$O$2:$O$305,MATCH(B331,'GIS-Standards'!$B$2:$B$305,0))</f>
        <v>ISO/TC 211</v>
      </c>
      <c r="K331" t="e">
        <f>INDEX('GIS-Standards'!$O$2:$O$305,MATCH(C331,'GIS-Standards'!$B$2:$B$305,0))</f>
        <v>#N/A</v>
      </c>
      <c r="M331" t="s">
        <v>525</v>
      </c>
      <c r="N331">
        <f>INDEX('GIS-Standards'!$I$2:$I$305,MATCH(B331,'GIS-Standards'!$B$2:$B$305,0))</f>
        <v>0</v>
      </c>
      <c r="O331" t="e">
        <f>INDEX('GIS-Standards'!$I$2:$I$305,MATCH(C331,'GIS-Standards'!$B$2:$B$305,0))</f>
        <v>#N/A</v>
      </c>
      <c r="P331" t="e">
        <f>AND(TableRelationships12[[#This Row],[Source Type]]="BIM",TableRelationships12[[#This Row],[Target Type]]="BIM")</f>
        <v>#N/A</v>
      </c>
      <c r="Q331">
        <f t="shared" si="15"/>
        <v>1</v>
      </c>
      <c r="S331">
        <f t="shared" si="16"/>
        <v>1</v>
      </c>
      <c r="T331" s="102" t="str">
        <f>IF(TableRelationships12[[#This Row],[Rank Pedro]]="Low","linkCategory1",IF(TableRelationships12[[#This Row],[Rank Pedro]]="Medium","linkCategory2",IF(TableRelationships12[[#This Row],[Rank Pedro]]="High","linkCategory3","")))</f>
        <v/>
      </c>
      <c r="U331" s="102" t="str">
        <f>IF(TableRelationships12[[#This Row],[Rank Pedro]]="Low","Pink",IF(TableRelationships12[[#This Row],[Rank Pedro]]="Medium","Purple",IF(TableRelationships12[[#This Row],[Rank Pedro]]="High","Brown","")))</f>
        <v/>
      </c>
      <c r="V331" s="4" t="e">
        <f>MAX(INDEX(Standards!$F$2:$F$296,MATCH(B331,Standards!$B$2:$B$296,0)),INDEX(Standards!$F$2:$F$296,MATCH(C331,Standards!$B$2:$B$296,0)))</f>
        <v>#N/A</v>
      </c>
      <c r="W331" t="str">
        <f t="shared" si="17"/>
        <v>#2f89d1</v>
      </c>
    </row>
    <row r="332" spans="1:23" x14ac:dyDescent="0.5">
      <c r="A332" s="54">
        <v>331</v>
      </c>
      <c r="B332" s="90" t="s">
        <v>296</v>
      </c>
      <c r="C332" t="s">
        <v>366</v>
      </c>
      <c r="D332" s="1"/>
      <c r="E332" s="113">
        <v>2005.07</v>
      </c>
      <c r="F332" s="113">
        <v>2014.08</v>
      </c>
      <c r="G332" s="107" t="s">
        <v>1489</v>
      </c>
      <c r="H332">
        <f>INDEX('GIS-Standards'!$A$2:$A$305,MATCH(B332,'GIS-Standards'!$B$2:$B$305,0))</f>
        <v>12</v>
      </c>
      <c r="I332" t="e">
        <f>INDEX('GIS-Standards'!$A$2:$A$305,MATCH(C332,'GIS-Standards'!$B$2:$B$305,0))</f>
        <v>#N/A</v>
      </c>
      <c r="J332" t="str">
        <f>INDEX('GIS-Standards'!$O$2:$O$305,MATCH(B332,'GIS-Standards'!$B$2:$B$305,0))</f>
        <v>ISO/TC 211</v>
      </c>
      <c r="K332" t="e">
        <f>INDEX('GIS-Standards'!$O$2:$O$305,MATCH(C332,'GIS-Standards'!$B$2:$B$305,0))</f>
        <v>#N/A</v>
      </c>
      <c r="M332" t="s">
        <v>525</v>
      </c>
      <c r="N332">
        <f>INDEX('GIS-Standards'!$I$2:$I$305,MATCH(B332,'GIS-Standards'!$B$2:$B$305,0))</f>
        <v>0</v>
      </c>
      <c r="O332" t="e">
        <f>INDEX('GIS-Standards'!$I$2:$I$305,MATCH(C332,'GIS-Standards'!$B$2:$B$305,0))</f>
        <v>#N/A</v>
      </c>
      <c r="P332" t="e">
        <f>AND(TableRelationships12[[#This Row],[Source Type]]="BIM",TableRelationships12[[#This Row],[Target Type]]="BIM")</f>
        <v>#N/A</v>
      </c>
      <c r="Q332">
        <f t="shared" si="15"/>
        <v>1</v>
      </c>
      <c r="S332">
        <f t="shared" si="16"/>
        <v>1</v>
      </c>
      <c r="T332" s="102" t="str">
        <f>IF(TableRelationships12[[#This Row],[Rank Pedro]]="Low","linkCategory1",IF(TableRelationships12[[#This Row],[Rank Pedro]]="Medium","linkCategory2",IF(TableRelationships12[[#This Row],[Rank Pedro]]="High","linkCategory3","")))</f>
        <v/>
      </c>
      <c r="U332" s="102" t="str">
        <f>IF(TableRelationships12[[#This Row],[Rank Pedro]]="Low","Pink",IF(TableRelationships12[[#This Row],[Rank Pedro]]="Medium","Purple",IF(TableRelationships12[[#This Row],[Rank Pedro]]="High","Brown","")))</f>
        <v/>
      </c>
      <c r="V332" s="4">
        <f>MAX(INDEX(Standards!$F$2:$F$296,MATCH(B332,Standards!$B$2:$B$296,0)),INDEX(Standards!$F$2:$F$296,MATCH(C332,Standards!$B$2:$B$296,0)))</f>
        <v>38534</v>
      </c>
      <c r="W332" t="str">
        <f t="shared" si="17"/>
        <v>#2f89d1</v>
      </c>
    </row>
    <row r="333" spans="1:23" x14ac:dyDescent="0.5">
      <c r="A333" s="54">
        <v>332</v>
      </c>
      <c r="B333" s="90" t="s">
        <v>296</v>
      </c>
      <c r="C333" t="s">
        <v>1398</v>
      </c>
      <c r="D333" s="1"/>
      <c r="G333" s="107"/>
      <c r="H333">
        <f>INDEX('GIS-Standards'!$A$2:$A$305,MATCH(B333,'GIS-Standards'!$B$2:$B$305,0))</f>
        <v>12</v>
      </c>
      <c r="I333" t="e">
        <f>INDEX('GIS-Standards'!$A$2:$A$305,MATCH(C333,'GIS-Standards'!$B$2:$B$305,0))</f>
        <v>#N/A</v>
      </c>
      <c r="J333" t="str">
        <f>INDEX('GIS-Standards'!$O$2:$O$305,MATCH(B333,'GIS-Standards'!$B$2:$B$305,0))</f>
        <v>ISO/TC 211</v>
      </c>
      <c r="K333" t="e">
        <f>INDEX('GIS-Standards'!$O$2:$O$305,MATCH(C333,'GIS-Standards'!$B$2:$B$305,0))</f>
        <v>#N/A</v>
      </c>
      <c r="M333" t="s">
        <v>525</v>
      </c>
      <c r="N333">
        <f>INDEX('GIS-Standards'!$I$2:$I$305,MATCH(B333,'GIS-Standards'!$B$2:$B$305,0))</f>
        <v>0</v>
      </c>
      <c r="O333" t="e">
        <f>INDEX('GIS-Standards'!$I$2:$I$305,MATCH(C333,'GIS-Standards'!$B$2:$B$305,0))</f>
        <v>#N/A</v>
      </c>
      <c r="P333" t="e">
        <f>AND(TableRelationships12[[#This Row],[Source Type]]="BIM",TableRelationships12[[#This Row],[Target Type]]="BIM")</f>
        <v>#N/A</v>
      </c>
      <c r="Q333">
        <f t="shared" si="15"/>
        <v>1</v>
      </c>
      <c r="S333">
        <f t="shared" si="16"/>
        <v>1</v>
      </c>
      <c r="T333" s="102" t="str">
        <f>IF(TableRelationships12[[#This Row],[Rank Pedro]]="Low","linkCategory1",IF(TableRelationships12[[#This Row],[Rank Pedro]]="Medium","linkCategory2",IF(TableRelationships12[[#This Row],[Rank Pedro]]="High","linkCategory3","")))</f>
        <v/>
      </c>
      <c r="U333" s="102" t="str">
        <f>IF(TableRelationships12[[#This Row],[Rank Pedro]]="Low","Pink",IF(TableRelationships12[[#This Row],[Rank Pedro]]="Medium","Purple",IF(TableRelationships12[[#This Row],[Rank Pedro]]="High","Brown","")))</f>
        <v/>
      </c>
      <c r="V333" s="4" t="e">
        <f>MAX(INDEX(Standards!$F$2:$F$296,MATCH(B333,Standards!$B$2:$B$296,0)),INDEX(Standards!$F$2:$F$296,MATCH(C333,Standards!$B$2:$B$296,0)))</f>
        <v>#N/A</v>
      </c>
      <c r="W333" t="str">
        <f t="shared" si="17"/>
        <v>#2f89d1</v>
      </c>
    </row>
    <row r="334" spans="1:23" x14ac:dyDescent="0.5">
      <c r="A334" s="54">
        <v>333</v>
      </c>
      <c r="B334" s="90" t="s">
        <v>296</v>
      </c>
      <c r="C334" t="s">
        <v>320</v>
      </c>
      <c r="D334" s="1"/>
      <c r="E334" s="112">
        <v>2005.08</v>
      </c>
      <c r="F334" s="112">
        <v>2023.06</v>
      </c>
      <c r="G334" s="107" t="s">
        <v>670</v>
      </c>
      <c r="H334">
        <f>INDEX('GIS-Standards'!$A$2:$A$305,MATCH(B334,'GIS-Standards'!$B$2:$B$305,0))</f>
        <v>12</v>
      </c>
      <c r="I334">
        <f>INDEX('GIS-Standards'!$A$2:$A$305,MATCH(C334,'GIS-Standards'!$B$2:$B$305,0))</f>
        <v>29</v>
      </c>
      <c r="J334" t="str">
        <f>INDEX('GIS-Standards'!$O$2:$O$305,MATCH(B334,'GIS-Standards'!$B$2:$B$305,0))</f>
        <v>ISO/TC 211</v>
      </c>
      <c r="K334" t="str">
        <f>INDEX('GIS-Standards'!$O$2:$O$305,MATCH(C334,'GIS-Standards'!$B$2:$B$305,0))</f>
        <v>ISO/TC 211</v>
      </c>
      <c r="M334" t="s">
        <v>525</v>
      </c>
      <c r="N334">
        <f>INDEX('GIS-Standards'!$I$2:$I$305,MATCH(B334,'GIS-Standards'!$B$2:$B$305,0))</f>
        <v>0</v>
      </c>
      <c r="O334">
        <f>INDEX('GIS-Standards'!$I$2:$I$305,MATCH(C334,'GIS-Standards'!$B$2:$B$305,0))</f>
        <v>0</v>
      </c>
      <c r="P334" t="b">
        <f>AND(TableRelationships12[[#This Row],[Source Type]]="BIM",TableRelationships12[[#This Row],[Target Type]]="BIM")</f>
        <v>0</v>
      </c>
      <c r="Q334">
        <f t="shared" si="15"/>
        <v>1</v>
      </c>
      <c r="S334">
        <f t="shared" si="16"/>
        <v>1</v>
      </c>
      <c r="T334" s="102" t="str">
        <f>IF(TableRelationships12[[#This Row],[Rank Pedro]]="Low","linkCategory1",IF(TableRelationships12[[#This Row],[Rank Pedro]]="Medium","linkCategory2",IF(TableRelationships12[[#This Row],[Rank Pedro]]="High","linkCategory3","")))</f>
        <v/>
      </c>
      <c r="U334" s="102" t="str">
        <f>IF(TableRelationships12[[#This Row],[Rank Pedro]]="Low","Pink",IF(TableRelationships12[[#This Row],[Rank Pedro]]="Medium","Purple",IF(TableRelationships12[[#This Row],[Rank Pedro]]="High","Brown","")))</f>
        <v/>
      </c>
      <c r="V334" s="4">
        <f>MAX(INDEX(Standards!$F$2:$F$296,MATCH(B334,Standards!$B$2:$B$296,0)),INDEX(Standards!$F$2:$F$296,MATCH(C334,Standards!$B$2:$B$296,0)))</f>
        <v>38565</v>
      </c>
      <c r="W334" t="str">
        <f t="shared" si="17"/>
        <v>#2f89d1</v>
      </c>
    </row>
    <row r="335" spans="1:23" x14ac:dyDescent="0.5">
      <c r="A335" s="54">
        <v>334</v>
      </c>
      <c r="B335" s="90" t="s">
        <v>296</v>
      </c>
      <c r="C335" t="s">
        <v>1079</v>
      </c>
      <c r="D335" s="1"/>
      <c r="E335" s="112">
        <v>2005.04</v>
      </c>
      <c r="F335" s="112">
        <v>2005.04</v>
      </c>
      <c r="G335" s="107" t="s">
        <v>1502</v>
      </c>
      <c r="H335">
        <f>INDEX('GIS-Standards'!$A$2:$A$305,MATCH(B335,'GIS-Standards'!$B$2:$B$305,0))</f>
        <v>12</v>
      </c>
      <c r="I335" t="e">
        <f>INDEX('GIS-Standards'!$A$2:$A$305,MATCH(C335,'GIS-Standards'!$B$2:$B$305,0))</f>
        <v>#N/A</v>
      </c>
      <c r="J335" t="str">
        <f>INDEX('GIS-Standards'!$O$2:$O$305,MATCH(B335,'GIS-Standards'!$B$2:$B$305,0))</f>
        <v>ISO/TC 211</v>
      </c>
      <c r="K335" t="e">
        <f>INDEX('GIS-Standards'!$O$2:$O$305,MATCH(C335,'GIS-Standards'!$B$2:$B$305,0))</f>
        <v>#N/A</v>
      </c>
      <c r="M335" t="s">
        <v>525</v>
      </c>
      <c r="N335">
        <f>INDEX('GIS-Standards'!$I$2:$I$305,MATCH(B335,'GIS-Standards'!$B$2:$B$305,0))</f>
        <v>0</v>
      </c>
      <c r="O335" t="e">
        <f>INDEX('GIS-Standards'!$I$2:$I$305,MATCH(C335,'GIS-Standards'!$B$2:$B$305,0))</f>
        <v>#N/A</v>
      </c>
      <c r="P335" t="e">
        <f>AND(TableRelationships12[[#This Row],[Source Type]]="BIM",TableRelationships12[[#This Row],[Target Type]]="BIM")</f>
        <v>#N/A</v>
      </c>
      <c r="Q335">
        <f t="shared" si="15"/>
        <v>1</v>
      </c>
      <c r="S335">
        <f t="shared" si="16"/>
        <v>1</v>
      </c>
      <c r="T335" s="102" t="str">
        <f>IF(TableRelationships12[[#This Row],[Rank Pedro]]="Low","linkCategory1",IF(TableRelationships12[[#This Row],[Rank Pedro]]="Medium","linkCategory2",IF(TableRelationships12[[#This Row],[Rank Pedro]]="High","linkCategory3","")))</f>
        <v/>
      </c>
      <c r="U335" s="102" t="str">
        <f>IF(TableRelationships12[[#This Row],[Rank Pedro]]="Low","Pink",IF(TableRelationships12[[#This Row],[Rank Pedro]]="Medium","Purple",IF(TableRelationships12[[#This Row],[Rank Pedro]]="High","Brown","")))</f>
        <v/>
      </c>
      <c r="V335" s="4" t="e">
        <f>MAX(INDEX(Standards!$F$2:$F$296,MATCH(B335,Standards!$B$2:$B$296,0)),INDEX(Standards!$F$2:$F$296,MATCH(C335,Standards!$B$2:$B$296,0)))</f>
        <v>#N/A</v>
      </c>
      <c r="W335" t="str">
        <f t="shared" si="17"/>
        <v>#2f89d1</v>
      </c>
    </row>
    <row r="336" spans="1:23" x14ac:dyDescent="0.5">
      <c r="A336" s="54">
        <v>335</v>
      </c>
      <c r="B336" s="90" t="s">
        <v>296</v>
      </c>
      <c r="C336" t="s">
        <v>296</v>
      </c>
      <c r="D336" s="1"/>
      <c r="E336" s="112">
        <v>2005.07</v>
      </c>
      <c r="F336" s="112">
        <v>2024.09</v>
      </c>
      <c r="G336" s="107" t="s">
        <v>670</v>
      </c>
      <c r="H336">
        <f>INDEX('GIS-Standards'!$A$2:$A$305,MATCH(B336,'GIS-Standards'!$B$2:$B$305,0))</f>
        <v>12</v>
      </c>
      <c r="I336">
        <f>INDEX('GIS-Standards'!$A$2:$A$305,MATCH(C336,'GIS-Standards'!$B$2:$B$305,0))</f>
        <v>12</v>
      </c>
      <c r="J336" t="str">
        <f>INDEX('GIS-Standards'!$O$2:$O$305,MATCH(B336,'GIS-Standards'!$B$2:$B$305,0))</f>
        <v>ISO/TC 211</v>
      </c>
      <c r="K336" t="str">
        <f>INDEX('GIS-Standards'!$O$2:$O$305,MATCH(C336,'GIS-Standards'!$B$2:$B$305,0))</f>
        <v>ISO/TC 211</v>
      </c>
      <c r="M336" t="s">
        <v>525</v>
      </c>
      <c r="N336">
        <f>INDEX('GIS-Standards'!$I$2:$I$305,MATCH(B336,'GIS-Standards'!$B$2:$B$305,0))</f>
        <v>0</v>
      </c>
      <c r="O336">
        <f>INDEX('GIS-Standards'!$I$2:$I$305,MATCH(C336,'GIS-Standards'!$B$2:$B$305,0))</f>
        <v>0</v>
      </c>
      <c r="P336" t="b">
        <f>AND(TableRelationships12[[#This Row],[Source Type]]="BIM",TableRelationships12[[#This Row],[Target Type]]="BIM")</f>
        <v>0</v>
      </c>
      <c r="Q336">
        <f t="shared" si="15"/>
        <v>1</v>
      </c>
      <c r="S336">
        <f t="shared" si="16"/>
        <v>1</v>
      </c>
      <c r="T336" s="102" t="str">
        <f>IF(TableRelationships12[[#This Row],[Rank Pedro]]="Low","linkCategory1",IF(TableRelationships12[[#This Row],[Rank Pedro]]="Medium","linkCategory2",IF(TableRelationships12[[#This Row],[Rank Pedro]]="High","linkCategory3","")))</f>
        <v/>
      </c>
      <c r="U336" s="102" t="str">
        <f>IF(TableRelationships12[[#This Row],[Rank Pedro]]="Low","Pink",IF(TableRelationships12[[#This Row],[Rank Pedro]]="Medium","Purple",IF(TableRelationships12[[#This Row],[Rank Pedro]]="High","Brown","")))</f>
        <v/>
      </c>
      <c r="V336" s="4">
        <f>MAX(INDEX(Standards!$F$2:$F$296,MATCH(B336,Standards!$B$2:$B$296,0)),INDEX(Standards!$F$2:$F$296,MATCH(C336,Standards!$B$2:$B$296,0)))</f>
        <v>38534</v>
      </c>
      <c r="W336" t="str">
        <f t="shared" si="17"/>
        <v>#2f89d1</v>
      </c>
    </row>
    <row r="337" spans="1:23" x14ac:dyDescent="0.5">
      <c r="A337" s="54">
        <v>336</v>
      </c>
      <c r="B337" s="90" t="s">
        <v>296</v>
      </c>
      <c r="C337" t="s">
        <v>1525</v>
      </c>
      <c r="D337" s="1"/>
      <c r="E337" s="113">
        <v>1994.12</v>
      </c>
      <c r="F337" s="113">
        <v>1994.12</v>
      </c>
      <c r="G337" s="107" t="s">
        <v>1487</v>
      </c>
      <c r="H337">
        <f>INDEX('GIS-Standards'!$A$2:$A$305,MATCH(B337,'GIS-Standards'!$B$2:$B$305,0))</f>
        <v>12</v>
      </c>
      <c r="I337" t="e">
        <f>INDEX('GIS-Standards'!$A$2:$A$305,MATCH(C337,'GIS-Standards'!$B$2:$B$305,0))</f>
        <v>#N/A</v>
      </c>
      <c r="J337" t="str">
        <f>INDEX('GIS-Standards'!$O$2:$O$305,MATCH(B337,'GIS-Standards'!$B$2:$B$305,0))</f>
        <v>ISO/TC 211</v>
      </c>
      <c r="K337" t="e">
        <f>INDEX('GIS-Standards'!$O$2:$O$305,MATCH(C337,'GIS-Standards'!$B$2:$B$305,0))</f>
        <v>#N/A</v>
      </c>
      <c r="M337" t="s">
        <v>525</v>
      </c>
      <c r="N337">
        <f>INDEX('GIS-Standards'!$I$2:$I$305,MATCH(B337,'GIS-Standards'!$B$2:$B$305,0))</f>
        <v>0</v>
      </c>
      <c r="O337" t="e">
        <f>INDEX('GIS-Standards'!$I$2:$I$305,MATCH(C337,'GIS-Standards'!$B$2:$B$305,0))</f>
        <v>#N/A</v>
      </c>
      <c r="P337" t="e">
        <f>AND(TableRelationships12[[#This Row],[Source Type]]="BIM",TableRelationships12[[#This Row],[Target Type]]="BIM")</f>
        <v>#N/A</v>
      </c>
      <c r="Q337">
        <f t="shared" si="15"/>
        <v>1</v>
      </c>
      <c r="S337">
        <f t="shared" si="16"/>
        <v>1</v>
      </c>
      <c r="T337" s="102" t="str">
        <f>IF(TableRelationships12[[#This Row],[Rank Pedro]]="Low","linkCategory1",IF(TableRelationships12[[#This Row],[Rank Pedro]]="Medium","linkCategory2",IF(TableRelationships12[[#This Row],[Rank Pedro]]="High","linkCategory3","")))</f>
        <v/>
      </c>
      <c r="U337" s="102" t="str">
        <f>IF(TableRelationships12[[#This Row],[Rank Pedro]]="Low","Pink",IF(TableRelationships12[[#This Row],[Rank Pedro]]="Medium","Purple",IF(TableRelationships12[[#This Row],[Rank Pedro]]="High","Brown","")))</f>
        <v/>
      </c>
      <c r="V337" s="4" t="e">
        <f>MAX(INDEX(Standards!$F$2:$F$296,MATCH(B337,Standards!$B$2:$B$296,0)),INDEX(Standards!$F$2:$F$296,MATCH(C337,Standards!$B$2:$B$296,0)))</f>
        <v>#N/A</v>
      </c>
      <c r="W337" t="str">
        <f t="shared" si="17"/>
        <v>#2f89d1</v>
      </c>
    </row>
    <row r="338" spans="1:23" x14ac:dyDescent="0.5">
      <c r="A338" s="54">
        <v>337</v>
      </c>
      <c r="B338" s="90" t="s">
        <v>296</v>
      </c>
      <c r="C338" t="s">
        <v>1080</v>
      </c>
      <c r="D338" s="1"/>
      <c r="E338" s="112">
        <v>2013.02</v>
      </c>
      <c r="F338" s="112">
        <v>2023.06</v>
      </c>
      <c r="G338" s="107" t="s">
        <v>1507</v>
      </c>
      <c r="H338">
        <f>INDEX('GIS-Standards'!$A$2:$A$305,MATCH(B338,'GIS-Standards'!$B$2:$B$305,0))</f>
        <v>12</v>
      </c>
      <c r="I338" t="e">
        <f>INDEX('GIS-Standards'!$A$2:$A$305,MATCH(C338,'GIS-Standards'!$B$2:$B$305,0))</f>
        <v>#N/A</v>
      </c>
      <c r="J338" t="str">
        <f>INDEX('GIS-Standards'!$O$2:$O$305,MATCH(B338,'GIS-Standards'!$B$2:$B$305,0))</f>
        <v>ISO/TC 211</v>
      </c>
      <c r="K338" t="e">
        <f>INDEX('GIS-Standards'!$O$2:$O$305,MATCH(C338,'GIS-Standards'!$B$2:$B$305,0))</f>
        <v>#N/A</v>
      </c>
      <c r="M338" t="s">
        <v>525</v>
      </c>
      <c r="N338">
        <f>INDEX('GIS-Standards'!$I$2:$I$305,MATCH(B338,'GIS-Standards'!$B$2:$B$305,0))</f>
        <v>0</v>
      </c>
      <c r="O338" t="e">
        <f>INDEX('GIS-Standards'!$I$2:$I$305,MATCH(C338,'GIS-Standards'!$B$2:$B$305,0))</f>
        <v>#N/A</v>
      </c>
      <c r="P338" t="e">
        <f>AND(TableRelationships12[[#This Row],[Source Type]]="BIM",TableRelationships12[[#This Row],[Target Type]]="BIM")</f>
        <v>#N/A</v>
      </c>
      <c r="Q338">
        <f t="shared" si="15"/>
        <v>1</v>
      </c>
      <c r="S338">
        <f t="shared" si="16"/>
        <v>1</v>
      </c>
      <c r="T338" s="102" t="str">
        <f>IF(TableRelationships12[[#This Row],[Rank Pedro]]="Low","linkCategory1",IF(TableRelationships12[[#This Row],[Rank Pedro]]="Medium","linkCategory2",IF(TableRelationships12[[#This Row],[Rank Pedro]]="High","linkCategory3","")))</f>
        <v/>
      </c>
      <c r="U338" s="102" t="str">
        <f>IF(TableRelationships12[[#This Row],[Rank Pedro]]="Low","Pink",IF(TableRelationships12[[#This Row],[Rank Pedro]]="Medium","Purple",IF(TableRelationships12[[#This Row],[Rank Pedro]]="High","Brown","")))</f>
        <v/>
      </c>
      <c r="V338" s="4" t="e">
        <f>MAX(INDEX(Standards!$F$2:$F$296,MATCH(B338,Standards!$B$2:$B$296,0)),INDEX(Standards!$F$2:$F$296,MATCH(C338,Standards!$B$2:$B$296,0)))</f>
        <v>#N/A</v>
      </c>
      <c r="W338" t="str">
        <f t="shared" si="17"/>
        <v>#2f89d1</v>
      </c>
    </row>
    <row r="339" spans="1:23" x14ac:dyDescent="0.5">
      <c r="A339" s="54">
        <v>338</v>
      </c>
      <c r="B339" s="90" t="s">
        <v>296</v>
      </c>
      <c r="C339" t="s">
        <v>1081</v>
      </c>
      <c r="D339" s="1"/>
      <c r="E339" s="112">
        <v>2005.06</v>
      </c>
      <c r="F339" s="112">
        <v>2005.06</v>
      </c>
      <c r="G339" s="107" t="s">
        <v>1656</v>
      </c>
      <c r="H339">
        <f>INDEX('GIS-Standards'!$A$2:$A$305,MATCH(B339,'GIS-Standards'!$B$2:$B$305,0))</f>
        <v>12</v>
      </c>
      <c r="I339" t="e">
        <f>INDEX('GIS-Standards'!$A$2:$A$305,MATCH(C339,'GIS-Standards'!$B$2:$B$305,0))</f>
        <v>#N/A</v>
      </c>
      <c r="J339" t="str">
        <f>INDEX('GIS-Standards'!$O$2:$O$305,MATCH(B339,'GIS-Standards'!$B$2:$B$305,0))</f>
        <v>ISO/TC 211</v>
      </c>
      <c r="K339" t="e">
        <f>INDEX('GIS-Standards'!$O$2:$O$305,MATCH(C339,'GIS-Standards'!$B$2:$B$305,0))</f>
        <v>#N/A</v>
      </c>
      <c r="M339" t="s">
        <v>525</v>
      </c>
      <c r="N339">
        <f>INDEX('GIS-Standards'!$I$2:$I$305,MATCH(B339,'GIS-Standards'!$B$2:$B$305,0))</f>
        <v>0</v>
      </c>
      <c r="O339" t="e">
        <f>INDEX('GIS-Standards'!$I$2:$I$305,MATCH(C339,'GIS-Standards'!$B$2:$B$305,0))</f>
        <v>#N/A</v>
      </c>
      <c r="P339" t="e">
        <f>AND(TableRelationships12[[#This Row],[Source Type]]="BIM",TableRelationships12[[#This Row],[Target Type]]="BIM")</f>
        <v>#N/A</v>
      </c>
      <c r="Q339">
        <f t="shared" si="15"/>
        <v>1</v>
      </c>
      <c r="S339">
        <f t="shared" si="16"/>
        <v>1</v>
      </c>
      <c r="T339" s="102" t="str">
        <f>IF(TableRelationships12[[#This Row],[Rank Pedro]]="Low","linkCategory1",IF(TableRelationships12[[#This Row],[Rank Pedro]]="Medium","linkCategory2",IF(TableRelationships12[[#This Row],[Rank Pedro]]="High","linkCategory3","")))</f>
        <v/>
      </c>
      <c r="U339" s="102" t="str">
        <f>IF(TableRelationships12[[#This Row],[Rank Pedro]]="Low","Pink",IF(TableRelationships12[[#This Row],[Rank Pedro]]="Medium","Purple",IF(TableRelationships12[[#This Row],[Rank Pedro]]="High","Brown","")))</f>
        <v/>
      </c>
      <c r="V339" s="4" t="e">
        <f>MAX(INDEX(Standards!$F$2:$F$296,MATCH(B339,Standards!$B$2:$B$296,0)),INDEX(Standards!$F$2:$F$296,MATCH(C339,Standards!$B$2:$B$296,0)))</f>
        <v>#N/A</v>
      </c>
      <c r="W339" t="str">
        <f t="shared" si="17"/>
        <v>#2f89d1</v>
      </c>
    </row>
    <row r="340" spans="1:23" x14ac:dyDescent="0.5">
      <c r="A340" s="54">
        <v>339</v>
      </c>
      <c r="B340" s="90" t="s">
        <v>296</v>
      </c>
      <c r="C340" t="s">
        <v>1082</v>
      </c>
      <c r="D340" s="1"/>
      <c r="G340" s="107"/>
      <c r="H340">
        <f>INDEX('GIS-Standards'!$A$2:$A$305,MATCH(B340,'GIS-Standards'!$B$2:$B$305,0))</f>
        <v>12</v>
      </c>
      <c r="I340" t="e">
        <f>INDEX('GIS-Standards'!$A$2:$A$305,MATCH(C340,'GIS-Standards'!$B$2:$B$305,0))</f>
        <v>#N/A</v>
      </c>
      <c r="J340" t="str">
        <f>INDEX('GIS-Standards'!$O$2:$O$305,MATCH(B340,'GIS-Standards'!$B$2:$B$305,0))</f>
        <v>ISO/TC 211</v>
      </c>
      <c r="K340" t="e">
        <f>INDEX('GIS-Standards'!$O$2:$O$305,MATCH(C340,'GIS-Standards'!$B$2:$B$305,0))</f>
        <v>#N/A</v>
      </c>
      <c r="M340" t="s">
        <v>525</v>
      </c>
      <c r="N340">
        <f>INDEX('GIS-Standards'!$I$2:$I$305,MATCH(B340,'GIS-Standards'!$B$2:$B$305,0))</f>
        <v>0</v>
      </c>
      <c r="O340" t="e">
        <f>INDEX('GIS-Standards'!$I$2:$I$305,MATCH(C340,'GIS-Standards'!$B$2:$B$305,0))</f>
        <v>#N/A</v>
      </c>
      <c r="P340" t="e">
        <f>AND(TableRelationships12[[#This Row],[Source Type]]="BIM",TableRelationships12[[#This Row],[Target Type]]="BIM")</f>
        <v>#N/A</v>
      </c>
      <c r="Q340">
        <f t="shared" si="15"/>
        <v>1</v>
      </c>
      <c r="S340">
        <f t="shared" si="16"/>
        <v>1</v>
      </c>
      <c r="T340" s="102" t="str">
        <f>IF(TableRelationships12[[#This Row],[Rank Pedro]]="Low","linkCategory1",IF(TableRelationships12[[#This Row],[Rank Pedro]]="Medium","linkCategory2",IF(TableRelationships12[[#This Row],[Rank Pedro]]="High","linkCategory3","")))</f>
        <v/>
      </c>
      <c r="U340" s="102" t="str">
        <f>IF(TableRelationships12[[#This Row],[Rank Pedro]]="Low","Pink",IF(TableRelationships12[[#This Row],[Rank Pedro]]="Medium","Purple",IF(TableRelationships12[[#This Row],[Rank Pedro]]="High","Brown","")))</f>
        <v/>
      </c>
      <c r="V340" s="4" t="e">
        <f>MAX(INDEX(Standards!$F$2:$F$296,MATCH(B340,Standards!$B$2:$B$296,0)),INDEX(Standards!$F$2:$F$296,MATCH(C340,Standards!$B$2:$B$296,0)))</f>
        <v>#N/A</v>
      </c>
      <c r="W340" t="str">
        <f t="shared" si="17"/>
        <v>#2f89d1</v>
      </c>
    </row>
    <row r="341" spans="1:23" x14ac:dyDescent="0.5">
      <c r="A341" s="54">
        <v>340</v>
      </c>
      <c r="B341" s="90" t="s">
        <v>296</v>
      </c>
      <c r="C341" t="s">
        <v>1083</v>
      </c>
      <c r="D341" s="1"/>
      <c r="E341" s="112">
        <v>2005.06</v>
      </c>
      <c r="F341" s="112">
        <v>2017.12</v>
      </c>
      <c r="G341" s="107" t="s">
        <v>1457</v>
      </c>
      <c r="H341">
        <f>INDEX('GIS-Standards'!$A$2:$A$305,MATCH(B341,'GIS-Standards'!$B$2:$B$305,0))</f>
        <v>12</v>
      </c>
      <c r="I341" t="e">
        <f>INDEX('GIS-Standards'!$A$2:$A$305,MATCH(C341,'GIS-Standards'!$B$2:$B$305,0))</f>
        <v>#N/A</v>
      </c>
      <c r="J341" t="str">
        <f>INDEX('GIS-Standards'!$O$2:$O$305,MATCH(B341,'GIS-Standards'!$B$2:$B$305,0))</f>
        <v>ISO/TC 211</v>
      </c>
      <c r="K341" t="e">
        <f>INDEX('GIS-Standards'!$O$2:$O$305,MATCH(C341,'GIS-Standards'!$B$2:$B$305,0))</f>
        <v>#N/A</v>
      </c>
      <c r="M341" t="s">
        <v>525</v>
      </c>
      <c r="N341">
        <f>INDEX('GIS-Standards'!$I$2:$I$305,MATCH(B341,'GIS-Standards'!$B$2:$B$305,0))</f>
        <v>0</v>
      </c>
      <c r="O341" t="e">
        <f>INDEX('GIS-Standards'!$I$2:$I$305,MATCH(C341,'GIS-Standards'!$B$2:$B$305,0))</f>
        <v>#N/A</v>
      </c>
      <c r="P341" t="e">
        <f>AND(TableRelationships12[[#This Row],[Source Type]]="BIM",TableRelationships12[[#This Row],[Target Type]]="BIM")</f>
        <v>#N/A</v>
      </c>
      <c r="Q341">
        <f t="shared" si="15"/>
        <v>1</v>
      </c>
      <c r="S341">
        <f t="shared" si="16"/>
        <v>1</v>
      </c>
      <c r="T341" s="102" t="str">
        <f>IF(TableRelationships12[[#This Row],[Rank Pedro]]="Low","linkCategory1",IF(TableRelationships12[[#This Row],[Rank Pedro]]="Medium","linkCategory2",IF(TableRelationships12[[#This Row],[Rank Pedro]]="High","linkCategory3","")))</f>
        <v/>
      </c>
      <c r="U341" s="102" t="str">
        <f>IF(TableRelationships12[[#This Row],[Rank Pedro]]="Low","Pink",IF(TableRelationships12[[#This Row],[Rank Pedro]]="Medium","Purple",IF(TableRelationships12[[#This Row],[Rank Pedro]]="High","Brown","")))</f>
        <v/>
      </c>
      <c r="V341" s="4" t="e">
        <f>MAX(INDEX(Standards!$F$2:$F$296,MATCH(B341,Standards!$B$2:$B$296,0)),INDEX(Standards!$F$2:$F$296,MATCH(C341,Standards!$B$2:$B$296,0)))</f>
        <v>#N/A</v>
      </c>
      <c r="W341" t="str">
        <f t="shared" si="17"/>
        <v>#2f89d1</v>
      </c>
    </row>
    <row r="342" spans="1:23" x14ac:dyDescent="0.5">
      <c r="A342" s="54">
        <v>341</v>
      </c>
      <c r="B342" s="90" t="s">
        <v>296</v>
      </c>
      <c r="C342" t="s">
        <v>1084</v>
      </c>
      <c r="D342" s="1" t="s">
        <v>1676</v>
      </c>
      <c r="E342" s="112">
        <v>1985.02</v>
      </c>
      <c r="F342" s="112">
        <v>2011.08</v>
      </c>
      <c r="G342" s="107" t="s">
        <v>1457</v>
      </c>
      <c r="H342">
        <f>INDEX('GIS-Standards'!$A$2:$A$305,MATCH(B342,'GIS-Standards'!$B$2:$B$305,0))</f>
        <v>12</v>
      </c>
      <c r="I342" t="e">
        <f>INDEX('GIS-Standards'!$A$2:$A$305,MATCH(C342,'GIS-Standards'!$B$2:$B$305,0))</f>
        <v>#N/A</v>
      </c>
      <c r="J342" t="str">
        <f>INDEX('GIS-Standards'!$O$2:$O$305,MATCH(B342,'GIS-Standards'!$B$2:$B$305,0))</f>
        <v>ISO/TC 211</v>
      </c>
      <c r="K342" t="e">
        <f>INDEX('GIS-Standards'!$O$2:$O$305,MATCH(C342,'GIS-Standards'!$B$2:$B$305,0))</f>
        <v>#N/A</v>
      </c>
      <c r="M342" t="s">
        <v>525</v>
      </c>
      <c r="N342">
        <f>INDEX('GIS-Standards'!$I$2:$I$305,MATCH(B342,'GIS-Standards'!$B$2:$B$305,0))</f>
        <v>0</v>
      </c>
      <c r="O342" t="e">
        <f>INDEX('GIS-Standards'!$I$2:$I$305,MATCH(C342,'GIS-Standards'!$B$2:$B$305,0))</f>
        <v>#N/A</v>
      </c>
      <c r="P342" t="e">
        <f>AND(TableRelationships12[[#This Row],[Source Type]]="BIM",TableRelationships12[[#This Row],[Target Type]]="BIM")</f>
        <v>#N/A</v>
      </c>
      <c r="Q342">
        <f t="shared" si="15"/>
        <v>1</v>
      </c>
      <c r="S342">
        <f t="shared" si="16"/>
        <v>1</v>
      </c>
      <c r="T342" s="102" t="str">
        <f>IF(TableRelationships12[[#This Row],[Rank Pedro]]="Low","linkCategory1",IF(TableRelationships12[[#This Row],[Rank Pedro]]="Medium","linkCategory2",IF(TableRelationships12[[#This Row],[Rank Pedro]]="High","linkCategory3","")))</f>
        <v/>
      </c>
      <c r="U342" s="102" t="str">
        <f>IF(TableRelationships12[[#This Row],[Rank Pedro]]="Low","Pink",IF(TableRelationships12[[#This Row],[Rank Pedro]]="Medium","Purple",IF(TableRelationships12[[#This Row],[Rank Pedro]]="High","Brown","")))</f>
        <v/>
      </c>
      <c r="V342" s="4" t="e">
        <f>MAX(INDEX(Standards!$F$2:$F$296,MATCH(B342,Standards!$B$2:$B$296,0)),INDEX(Standards!$F$2:$F$296,MATCH(C342,Standards!$B$2:$B$296,0)))</f>
        <v>#N/A</v>
      </c>
      <c r="W342" t="str">
        <f t="shared" si="17"/>
        <v>#2f89d1</v>
      </c>
    </row>
    <row r="343" spans="1:23" x14ac:dyDescent="0.5">
      <c r="A343" s="54">
        <v>342</v>
      </c>
      <c r="B343" s="90" t="s">
        <v>296</v>
      </c>
      <c r="C343" t="s">
        <v>190</v>
      </c>
      <c r="D343" s="1"/>
      <c r="E343" s="112">
        <v>1978.02</v>
      </c>
      <c r="F343" s="112">
        <v>2015.08</v>
      </c>
      <c r="G343" s="107" t="s">
        <v>1484</v>
      </c>
      <c r="H343">
        <f>INDEX('GIS-Standards'!$A$2:$A$305,MATCH(B343,'GIS-Standards'!$B$2:$B$305,0))</f>
        <v>12</v>
      </c>
      <c r="I343" t="e">
        <f>INDEX('GIS-Standards'!$A$2:$A$305,MATCH(C343,'GIS-Standards'!$B$2:$B$305,0))</f>
        <v>#N/A</v>
      </c>
      <c r="J343" t="str">
        <f>INDEX('GIS-Standards'!$O$2:$O$305,MATCH(B343,'GIS-Standards'!$B$2:$B$305,0))</f>
        <v>ISO/TC 211</v>
      </c>
      <c r="K343" t="e">
        <f>INDEX('GIS-Standards'!$O$2:$O$305,MATCH(C343,'GIS-Standards'!$B$2:$B$305,0))</f>
        <v>#N/A</v>
      </c>
      <c r="M343" t="s">
        <v>525</v>
      </c>
      <c r="N343">
        <f>INDEX('GIS-Standards'!$I$2:$I$305,MATCH(B343,'GIS-Standards'!$B$2:$B$305,0))</f>
        <v>0</v>
      </c>
      <c r="O343" t="e">
        <f>INDEX('GIS-Standards'!$I$2:$I$305,MATCH(C343,'GIS-Standards'!$B$2:$B$305,0))</f>
        <v>#N/A</v>
      </c>
      <c r="P343" t="e">
        <f>AND(TableRelationships12[[#This Row],[Source Type]]="BIM",TableRelationships12[[#This Row],[Target Type]]="BIM")</f>
        <v>#N/A</v>
      </c>
      <c r="Q343">
        <f t="shared" si="15"/>
        <v>1</v>
      </c>
      <c r="S343">
        <f t="shared" si="16"/>
        <v>1</v>
      </c>
      <c r="T343" s="102" t="str">
        <f>IF(TableRelationships12[[#This Row],[Rank Pedro]]="Low","linkCategory1",IF(TableRelationships12[[#This Row],[Rank Pedro]]="Medium","linkCategory2",IF(TableRelationships12[[#This Row],[Rank Pedro]]="High","linkCategory3","")))</f>
        <v/>
      </c>
      <c r="U343" s="102" t="str">
        <f>IF(TableRelationships12[[#This Row],[Rank Pedro]]="Low","Pink",IF(TableRelationships12[[#This Row],[Rank Pedro]]="Medium","Purple",IF(TableRelationships12[[#This Row],[Rank Pedro]]="High","Brown","")))</f>
        <v/>
      </c>
      <c r="V343" s="4">
        <f>MAX(INDEX(Standards!$F$2:$F$296,MATCH(B343,Standards!$B$2:$B$296,0)),INDEX(Standards!$F$2:$F$296,MATCH(C343,Standards!$B$2:$B$296,0)))</f>
        <v>38534</v>
      </c>
      <c r="W343" t="str">
        <f t="shared" si="17"/>
        <v>#2f89d1</v>
      </c>
    </row>
    <row r="344" spans="1:23" x14ac:dyDescent="0.5">
      <c r="A344" s="54">
        <v>343</v>
      </c>
      <c r="B344" s="90" t="s">
        <v>296</v>
      </c>
      <c r="C344" t="s">
        <v>1571</v>
      </c>
      <c r="D344" s="1"/>
      <c r="G344" s="107"/>
      <c r="H344">
        <f>INDEX('GIS-Standards'!$A$2:$A$305,MATCH(B344,'GIS-Standards'!$B$2:$B$305,0))</f>
        <v>12</v>
      </c>
      <c r="I344" t="e">
        <f>INDEX('GIS-Standards'!$A$2:$A$305,MATCH(C344,'GIS-Standards'!$B$2:$B$305,0))</f>
        <v>#N/A</v>
      </c>
      <c r="J344" t="str">
        <f>INDEX('GIS-Standards'!$O$2:$O$305,MATCH(B344,'GIS-Standards'!$B$2:$B$305,0))</f>
        <v>ISO/TC 211</v>
      </c>
      <c r="K344" t="e">
        <f>INDEX('GIS-Standards'!$O$2:$O$305,MATCH(C344,'GIS-Standards'!$B$2:$B$305,0))</f>
        <v>#N/A</v>
      </c>
      <c r="M344" t="s">
        <v>525</v>
      </c>
      <c r="N344">
        <f>INDEX('GIS-Standards'!$I$2:$I$305,MATCH(B344,'GIS-Standards'!$B$2:$B$305,0))</f>
        <v>0</v>
      </c>
      <c r="O344" t="e">
        <f>INDEX('GIS-Standards'!$I$2:$I$305,MATCH(C344,'GIS-Standards'!$B$2:$B$305,0))</f>
        <v>#N/A</v>
      </c>
      <c r="P344" t="e">
        <f>AND(TableRelationships12[[#This Row],[Source Type]]="BIM",TableRelationships12[[#This Row],[Target Type]]="BIM")</f>
        <v>#N/A</v>
      </c>
      <c r="Q344">
        <f t="shared" si="15"/>
        <v>1</v>
      </c>
      <c r="S344">
        <f t="shared" si="16"/>
        <v>1</v>
      </c>
      <c r="T344" s="102" t="str">
        <f>IF(TableRelationships12[[#This Row],[Rank Pedro]]="Low","linkCategory1",IF(TableRelationships12[[#This Row],[Rank Pedro]]="Medium","linkCategory2",IF(TableRelationships12[[#This Row],[Rank Pedro]]="High","linkCategory3","")))</f>
        <v/>
      </c>
      <c r="U344" s="102" t="str">
        <f>IF(TableRelationships12[[#This Row],[Rank Pedro]]="Low","Pink",IF(TableRelationships12[[#This Row],[Rank Pedro]]="Medium","Purple",IF(TableRelationships12[[#This Row],[Rank Pedro]]="High","Brown","")))</f>
        <v/>
      </c>
      <c r="V344" s="4" t="e">
        <f>MAX(INDEX(Standards!$F$2:$F$296,MATCH(B344,Standards!$B$2:$B$296,0)),INDEX(Standards!$F$2:$F$296,MATCH(C344,Standards!$B$2:$B$296,0)))</f>
        <v>#N/A</v>
      </c>
      <c r="W344" t="str">
        <f t="shared" si="17"/>
        <v>#2f89d1</v>
      </c>
    </row>
    <row r="345" spans="1:23" x14ac:dyDescent="0.5">
      <c r="A345" s="54">
        <v>344</v>
      </c>
      <c r="B345" s="90" t="s">
        <v>296</v>
      </c>
      <c r="C345" t="s">
        <v>1532</v>
      </c>
      <c r="D345" s="1"/>
      <c r="G345" s="107"/>
      <c r="H345">
        <f>INDEX('GIS-Standards'!$A$2:$A$305,MATCH(B345,'GIS-Standards'!$B$2:$B$305,0))</f>
        <v>12</v>
      </c>
      <c r="I345" t="e">
        <f>INDEX('GIS-Standards'!$A$2:$A$305,MATCH(C345,'GIS-Standards'!$B$2:$B$305,0))</f>
        <v>#N/A</v>
      </c>
      <c r="J345" t="str">
        <f>INDEX('GIS-Standards'!$O$2:$O$305,MATCH(B345,'GIS-Standards'!$B$2:$B$305,0))</f>
        <v>ISO/TC 211</v>
      </c>
      <c r="K345" t="e">
        <f>INDEX('GIS-Standards'!$O$2:$O$305,MATCH(C345,'GIS-Standards'!$B$2:$B$305,0))</f>
        <v>#N/A</v>
      </c>
      <c r="M345" t="s">
        <v>525</v>
      </c>
      <c r="N345">
        <f>INDEX('GIS-Standards'!$I$2:$I$305,MATCH(B345,'GIS-Standards'!$B$2:$B$305,0))</f>
        <v>0</v>
      </c>
      <c r="O345" t="e">
        <f>INDEX('GIS-Standards'!$I$2:$I$305,MATCH(C345,'GIS-Standards'!$B$2:$B$305,0))</f>
        <v>#N/A</v>
      </c>
      <c r="P345" t="e">
        <f>AND(TableRelationships12[[#This Row],[Source Type]]="BIM",TableRelationships12[[#This Row],[Target Type]]="BIM")</f>
        <v>#N/A</v>
      </c>
      <c r="Q345">
        <f t="shared" si="15"/>
        <v>1</v>
      </c>
      <c r="S345">
        <f t="shared" si="16"/>
        <v>1</v>
      </c>
      <c r="T345" s="102" t="str">
        <f>IF(TableRelationships12[[#This Row],[Rank Pedro]]="Low","linkCategory1",IF(TableRelationships12[[#This Row],[Rank Pedro]]="Medium","linkCategory2",IF(TableRelationships12[[#This Row],[Rank Pedro]]="High","linkCategory3","")))</f>
        <v/>
      </c>
      <c r="U345" s="102" t="str">
        <f>IF(TableRelationships12[[#This Row],[Rank Pedro]]="Low","Pink",IF(TableRelationships12[[#This Row],[Rank Pedro]]="Medium","Purple",IF(TableRelationships12[[#This Row],[Rank Pedro]]="High","Brown","")))</f>
        <v/>
      </c>
      <c r="V345" s="4" t="e">
        <f>MAX(INDEX(Standards!$F$2:$F$296,MATCH(B345,Standards!$B$2:$B$296,0)),INDEX(Standards!$F$2:$F$296,MATCH(C345,Standards!$B$2:$B$296,0)))</f>
        <v>#N/A</v>
      </c>
      <c r="W345" t="str">
        <f t="shared" si="17"/>
        <v>#2f89d1</v>
      </c>
    </row>
    <row r="346" spans="1:23" x14ac:dyDescent="0.5">
      <c r="A346" s="54">
        <v>345</v>
      </c>
      <c r="B346" s="90" t="s">
        <v>296</v>
      </c>
      <c r="C346" t="s">
        <v>437</v>
      </c>
      <c r="D346" s="1"/>
      <c r="E346" s="112">
        <v>1988.03</v>
      </c>
      <c r="F346" s="112">
        <v>2023.11</v>
      </c>
      <c r="G346" s="107" t="s">
        <v>1457</v>
      </c>
      <c r="H346">
        <f>INDEX('GIS-Standards'!$A$2:$A$305,MATCH(B346,'GIS-Standards'!$B$2:$B$305,0))</f>
        <v>12</v>
      </c>
      <c r="I346" t="e">
        <f>INDEX('GIS-Standards'!$A$2:$A$305,MATCH(C346,'GIS-Standards'!$B$2:$B$305,0))</f>
        <v>#N/A</v>
      </c>
      <c r="J346" t="str">
        <f>INDEX('GIS-Standards'!$O$2:$O$305,MATCH(B346,'GIS-Standards'!$B$2:$B$305,0))</f>
        <v>ISO/TC 211</v>
      </c>
      <c r="K346" t="e">
        <f>INDEX('GIS-Standards'!$O$2:$O$305,MATCH(C346,'GIS-Standards'!$B$2:$B$305,0))</f>
        <v>#N/A</v>
      </c>
      <c r="M346" t="s">
        <v>525</v>
      </c>
      <c r="N346">
        <f>INDEX('GIS-Standards'!$I$2:$I$305,MATCH(B346,'GIS-Standards'!$B$2:$B$305,0))</f>
        <v>0</v>
      </c>
      <c r="O346" t="e">
        <f>INDEX('GIS-Standards'!$I$2:$I$305,MATCH(C346,'GIS-Standards'!$B$2:$B$305,0))</f>
        <v>#N/A</v>
      </c>
      <c r="P346" t="e">
        <f>AND(TableRelationships12[[#This Row],[Source Type]]="BIM",TableRelationships12[[#This Row],[Target Type]]="BIM")</f>
        <v>#N/A</v>
      </c>
      <c r="Q346">
        <f t="shared" si="15"/>
        <v>1</v>
      </c>
      <c r="S346">
        <f t="shared" si="16"/>
        <v>1</v>
      </c>
      <c r="T346" s="102" t="str">
        <f>IF(TableRelationships12[[#This Row],[Rank Pedro]]="Low","linkCategory1",IF(TableRelationships12[[#This Row],[Rank Pedro]]="Medium","linkCategory2",IF(TableRelationships12[[#This Row],[Rank Pedro]]="High","linkCategory3","")))</f>
        <v/>
      </c>
      <c r="U346" s="102" t="str">
        <f>IF(TableRelationships12[[#This Row],[Rank Pedro]]="Low","Pink",IF(TableRelationships12[[#This Row],[Rank Pedro]]="Medium","Purple",IF(TableRelationships12[[#This Row],[Rank Pedro]]="High","Brown","")))</f>
        <v/>
      </c>
      <c r="V346" s="4">
        <f>MAX(INDEX(Standards!$F$2:$F$296,MATCH(B346,Standards!$B$2:$B$296,0)),INDEX(Standards!$F$2:$F$296,MATCH(C346,Standards!$B$2:$B$296,0)))</f>
        <v>38534</v>
      </c>
      <c r="W346" t="str">
        <f t="shared" si="17"/>
        <v>#2f89d1</v>
      </c>
    </row>
    <row r="347" spans="1:23" x14ac:dyDescent="0.5">
      <c r="A347" s="54">
        <v>346</v>
      </c>
      <c r="B347" s="90" t="s">
        <v>296</v>
      </c>
      <c r="C347" t="s">
        <v>1085</v>
      </c>
      <c r="D347" s="1"/>
      <c r="E347" s="112">
        <v>2005.12</v>
      </c>
      <c r="F347" s="112">
        <v>2013.01</v>
      </c>
      <c r="G347" s="107" t="s">
        <v>1461</v>
      </c>
      <c r="H347">
        <f>INDEX('GIS-Standards'!$A$2:$A$305,MATCH(B347,'GIS-Standards'!$B$2:$B$305,0))</f>
        <v>12</v>
      </c>
      <c r="I347" t="e">
        <f>INDEX('GIS-Standards'!$A$2:$A$305,MATCH(C347,'GIS-Standards'!$B$2:$B$305,0))</f>
        <v>#N/A</v>
      </c>
      <c r="J347" t="str">
        <f>INDEX('GIS-Standards'!$O$2:$O$305,MATCH(B347,'GIS-Standards'!$B$2:$B$305,0))</f>
        <v>ISO/TC 211</v>
      </c>
      <c r="K347" t="e">
        <f>INDEX('GIS-Standards'!$O$2:$O$305,MATCH(C347,'GIS-Standards'!$B$2:$B$305,0))</f>
        <v>#N/A</v>
      </c>
      <c r="M347" t="s">
        <v>525</v>
      </c>
      <c r="N347">
        <f>INDEX('GIS-Standards'!$I$2:$I$305,MATCH(B347,'GIS-Standards'!$B$2:$B$305,0))</f>
        <v>0</v>
      </c>
      <c r="O347" t="e">
        <f>INDEX('GIS-Standards'!$I$2:$I$305,MATCH(C347,'GIS-Standards'!$B$2:$B$305,0))</f>
        <v>#N/A</v>
      </c>
      <c r="P347" t="e">
        <f>AND(TableRelationships12[[#This Row],[Source Type]]="BIM",TableRelationships12[[#This Row],[Target Type]]="BIM")</f>
        <v>#N/A</v>
      </c>
      <c r="Q347">
        <f t="shared" si="15"/>
        <v>1</v>
      </c>
      <c r="S347">
        <f t="shared" si="16"/>
        <v>1</v>
      </c>
      <c r="T347" s="102" t="str">
        <f>IF(TableRelationships12[[#This Row],[Rank Pedro]]="Low","linkCategory1",IF(TableRelationships12[[#This Row],[Rank Pedro]]="Medium","linkCategory2",IF(TableRelationships12[[#This Row],[Rank Pedro]]="High","linkCategory3","")))</f>
        <v/>
      </c>
      <c r="U347" s="102" t="str">
        <f>IF(TableRelationships12[[#This Row],[Rank Pedro]]="Low","Pink",IF(TableRelationships12[[#This Row],[Rank Pedro]]="Medium","Purple",IF(TableRelationships12[[#This Row],[Rank Pedro]]="High","Brown","")))</f>
        <v/>
      </c>
      <c r="V347" s="4" t="e">
        <f>MAX(INDEX(Standards!$F$2:$F$296,MATCH(B347,Standards!$B$2:$B$296,0)),INDEX(Standards!$F$2:$F$296,MATCH(C347,Standards!$B$2:$B$296,0)))</f>
        <v>#N/A</v>
      </c>
      <c r="W347" t="str">
        <f t="shared" si="17"/>
        <v>#2f89d1</v>
      </c>
    </row>
    <row r="348" spans="1:23" x14ac:dyDescent="0.5">
      <c r="A348" s="54">
        <v>347</v>
      </c>
      <c r="B348" s="90" t="s">
        <v>298</v>
      </c>
      <c r="C348" t="s">
        <v>527</v>
      </c>
      <c r="D348" s="1"/>
      <c r="E348" s="112" t="s">
        <v>979</v>
      </c>
      <c r="F348" s="112" t="s">
        <v>980</v>
      </c>
      <c r="G348" s="121" t="s">
        <v>672</v>
      </c>
      <c r="H348">
        <f>INDEX('GIS-Standards'!$A$2:$A$305,MATCH(B348,'GIS-Standards'!$B$2:$B$305,0))</f>
        <v>13</v>
      </c>
      <c r="I348" t="e">
        <f>INDEX('GIS-Standards'!$A$2:$A$305,MATCH(C348,'GIS-Standards'!$B$2:$B$305,0))</f>
        <v>#N/A</v>
      </c>
      <c r="J348" t="str">
        <f>INDEX('GIS-Standards'!$O$2:$O$305,MATCH(B348,'GIS-Standards'!$B$2:$B$305,0))</f>
        <v>ISO/TC 211</v>
      </c>
      <c r="K348" t="e">
        <f>INDEX('GIS-Standards'!$O$2:$O$305,MATCH(C348,'GIS-Standards'!$B$2:$B$305,0))</f>
        <v>#N/A</v>
      </c>
      <c r="M348" t="s">
        <v>237</v>
      </c>
      <c r="N348">
        <f>INDEX('GIS-Standards'!$I$2:$I$305,MATCH(B348,'GIS-Standards'!$B$2:$B$305,0))</f>
        <v>0</v>
      </c>
      <c r="O348" t="e">
        <f>INDEX('GIS-Standards'!$I$2:$I$305,MATCH(C348,'GIS-Standards'!$B$2:$B$305,0))</f>
        <v>#N/A</v>
      </c>
      <c r="P348" t="e">
        <f>AND(TableRelationships12[[#This Row],[Source Type]]="BIM",TableRelationships12[[#This Row],[Target Type]]="BIM")</f>
        <v>#N/A</v>
      </c>
      <c r="Q348">
        <f t="shared" si="15"/>
        <v>2</v>
      </c>
      <c r="S348">
        <f t="shared" si="16"/>
        <v>1</v>
      </c>
      <c r="T348" s="102" t="str">
        <f>IF(TableRelationships12[[#This Row],[Rank Pedro]]="Low","linkCategory1",IF(TableRelationships12[[#This Row],[Rank Pedro]]="Medium","linkCategory2",IF(TableRelationships12[[#This Row],[Rank Pedro]]="High","linkCategory3","")))</f>
        <v/>
      </c>
      <c r="U348" s="102" t="str">
        <f>IF(TableRelationships12[[#This Row],[Rank Pedro]]="Low","Pink",IF(TableRelationships12[[#This Row],[Rank Pedro]]="Medium","Purple",IF(TableRelationships12[[#This Row],[Rank Pedro]]="High","Brown","")))</f>
        <v/>
      </c>
      <c r="V348" s="4">
        <f>MAX(INDEX(Standards!$F$2:$F$296,MATCH(B348,Standards!$B$2:$B$296,0)),INDEX(Standards!$F$2:$F$296,MATCH(C348,Standards!$B$2:$B$296,0)))</f>
        <v>39753</v>
      </c>
      <c r="W348">
        <f t="shared" si="17"/>
        <v>1</v>
      </c>
    </row>
    <row r="349" spans="1:23" x14ac:dyDescent="0.5">
      <c r="A349" s="54">
        <v>348</v>
      </c>
      <c r="B349" s="90" t="s">
        <v>298</v>
      </c>
      <c r="C349" t="s">
        <v>437</v>
      </c>
      <c r="D349" s="1" t="s">
        <v>1138</v>
      </c>
      <c r="E349" s="112">
        <v>1988.03</v>
      </c>
      <c r="F349" s="112">
        <v>2023.11</v>
      </c>
      <c r="G349" s="107" t="s">
        <v>1457</v>
      </c>
      <c r="H349">
        <f>INDEX('GIS-Standards'!$A$2:$A$305,MATCH(B349,'GIS-Standards'!$B$2:$B$305,0))</f>
        <v>13</v>
      </c>
      <c r="I349" t="e">
        <f>INDEX('GIS-Standards'!$A$2:$A$305,MATCH(C349,'GIS-Standards'!$B$2:$B$305,0))</f>
        <v>#N/A</v>
      </c>
      <c r="J349" t="str">
        <f>INDEX('GIS-Standards'!$O$2:$O$305,MATCH(B349,'GIS-Standards'!$B$2:$B$305,0))</f>
        <v>ISO/TC 211</v>
      </c>
      <c r="K349" t="e">
        <f>INDEX('GIS-Standards'!$O$2:$O$305,MATCH(C349,'GIS-Standards'!$B$2:$B$305,0))</f>
        <v>#N/A</v>
      </c>
      <c r="M349" t="s">
        <v>524</v>
      </c>
      <c r="N349">
        <f>INDEX('GIS-Standards'!$I$2:$I$305,MATCH(B349,'GIS-Standards'!$B$2:$B$305,0))</f>
        <v>0</v>
      </c>
      <c r="O349" t="e">
        <f>INDEX('GIS-Standards'!$I$2:$I$305,MATCH(C349,'GIS-Standards'!$B$2:$B$305,0))</f>
        <v>#N/A</v>
      </c>
      <c r="P349" t="e">
        <f>AND(TableRelationships12[[#This Row],[Source Type]]="BIM",TableRelationships12[[#This Row],[Target Type]]="BIM")</f>
        <v>#N/A</v>
      </c>
      <c r="Q349">
        <f t="shared" si="15"/>
        <v>6</v>
      </c>
      <c r="S349">
        <f t="shared" si="16"/>
        <v>1</v>
      </c>
      <c r="T349" s="102" t="str">
        <f>IF(TableRelationships12[[#This Row],[Rank Pedro]]="Low","linkCategory1",IF(TableRelationships12[[#This Row],[Rank Pedro]]="Medium","linkCategory2",IF(TableRelationships12[[#This Row],[Rank Pedro]]="High","linkCategory3","")))</f>
        <v/>
      </c>
      <c r="U349" s="102" t="str">
        <f>IF(TableRelationships12[[#This Row],[Rank Pedro]]="Low","Pink",IF(TableRelationships12[[#This Row],[Rank Pedro]]="Medium","Purple",IF(TableRelationships12[[#This Row],[Rank Pedro]]="High","Brown","")))</f>
        <v/>
      </c>
      <c r="V349" s="4">
        <f>MAX(INDEX(Standards!$F$2:$F$296,MATCH(B349,Standards!$B$2:$B$296,0)),INDEX(Standards!$F$2:$F$296,MATCH(C349,Standards!$B$2:$B$296,0)))</f>
        <v>39753</v>
      </c>
      <c r="W349" t="str">
        <f t="shared" si="17"/>
        <v>#d6bf2a</v>
      </c>
    </row>
    <row r="350" spans="1:23" x14ac:dyDescent="0.5">
      <c r="A350" s="54">
        <v>349</v>
      </c>
      <c r="B350" s="90" t="s">
        <v>298</v>
      </c>
      <c r="C350" t="s">
        <v>1122</v>
      </c>
      <c r="D350" s="1"/>
      <c r="E350" s="112">
        <v>1975.09</v>
      </c>
      <c r="F350" s="112">
        <v>2021.06</v>
      </c>
      <c r="G350" s="107" t="s">
        <v>1457</v>
      </c>
      <c r="H350">
        <f>INDEX('GIS-Standards'!$A$2:$A$305,MATCH(B350,'GIS-Standards'!$B$2:$B$305,0))</f>
        <v>13</v>
      </c>
      <c r="I350" t="e">
        <f>INDEX('GIS-Standards'!$A$2:$A$305,MATCH(C350,'GIS-Standards'!$B$2:$B$305,0))</f>
        <v>#N/A</v>
      </c>
      <c r="J350" t="str">
        <f>INDEX('GIS-Standards'!$O$2:$O$305,MATCH(B350,'GIS-Standards'!$B$2:$B$305,0))</f>
        <v>ISO/TC 211</v>
      </c>
      <c r="K350" t="e">
        <f>INDEX('GIS-Standards'!$O$2:$O$305,MATCH(C350,'GIS-Standards'!$B$2:$B$305,0))</f>
        <v>#N/A</v>
      </c>
      <c r="M350" t="s">
        <v>524</v>
      </c>
      <c r="N350">
        <f>INDEX('GIS-Standards'!$I$2:$I$305,MATCH(B350,'GIS-Standards'!$B$2:$B$305,0))</f>
        <v>0</v>
      </c>
      <c r="O350" t="e">
        <f>INDEX('GIS-Standards'!$I$2:$I$305,MATCH(C350,'GIS-Standards'!$B$2:$B$305,0))</f>
        <v>#N/A</v>
      </c>
      <c r="P350" t="e">
        <f>AND(TableRelationships12[[#This Row],[Source Type]]="BIM",TableRelationships12[[#This Row],[Target Type]]="BIM")</f>
        <v>#N/A</v>
      </c>
      <c r="Q350">
        <f t="shared" si="15"/>
        <v>6</v>
      </c>
      <c r="S350">
        <f t="shared" si="16"/>
        <v>1</v>
      </c>
      <c r="T350" s="102" t="str">
        <f>IF(TableRelationships12[[#This Row],[Rank Pedro]]="Low","linkCategory1",IF(TableRelationships12[[#This Row],[Rank Pedro]]="Medium","linkCategory2",IF(TableRelationships12[[#This Row],[Rank Pedro]]="High","linkCategory3","")))</f>
        <v/>
      </c>
      <c r="U350" s="102" t="str">
        <f>IF(TableRelationships12[[#This Row],[Rank Pedro]]="Low","Pink",IF(TableRelationships12[[#This Row],[Rank Pedro]]="Medium","Purple",IF(TableRelationships12[[#This Row],[Rank Pedro]]="High","Brown","")))</f>
        <v/>
      </c>
      <c r="V350" s="4" t="e">
        <f>MAX(INDEX(Standards!$F$2:$F$296,MATCH(B350,Standards!$B$2:$B$296,0)),INDEX(Standards!$F$2:$F$296,MATCH(C350,Standards!$B$2:$B$296,0)))</f>
        <v>#N/A</v>
      </c>
      <c r="W350" t="str">
        <f t="shared" si="17"/>
        <v>#d6bf2a</v>
      </c>
    </row>
    <row r="351" spans="1:23" x14ac:dyDescent="0.5">
      <c r="A351" s="54">
        <v>350</v>
      </c>
      <c r="B351" s="90" t="s">
        <v>298</v>
      </c>
      <c r="C351" t="s">
        <v>124</v>
      </c>
      <c r="D351" s="1"/>
      <c r="E351" s="112">
        <v>1987.07</v>
      </c>
      <c r="F351" s="112">
        <v>2022.07</v>
      </c>
      <c r="G351" s="107" t="s">
        <v>1452</v>
      </c>
      <c r="H351">
        <f>INDEX('GIS-Standards'!$A$2:$A$305,MATCH(B351,'GIS-Standards'!$B$2:$B$305,0))</f>
        <v>13</v>
      </c>
      <c r="I351" t="e">
        <f>INDEX('GIS-Standards'!$A$2:$A$305,MATCH(C351,'GIS-Standards'!$B$2:$B$305,0))</f>
        <v>#N/A</v>
      </c>
      <c r="J351" t="str">
        <f>INDEX('GIS-Standards'!$O$2:$O$305,MATCH(B351,'GIS-Standards'!$B$2:$B$305,0))</f>
        <v>ISO/TC 211</v>
      </c>
      <c r="K351" t="e">
        <f>INDEX('GIS-Standards'!$O$2:$O$305,MATCH(C351,'GIS-Standards'!$B$2:$B$305,0))</f>
        <v>#N/A</v>
      </c>
      <c r="M351" t="s">
        <v>524</v>
      </c>
      <c r="N351">
        <f>INDEX('GIS-Standards'!$I$2:$I$305,MATCH(B351,'GIS-Standards'!$B$2:$B$305,0))</f>
        <v>0</v>
      </c>
      <c r="O351" t="e">
        <f>INDEX('GIS-Standards'!$I$2:$I$305,MATCH(C351,'GIS-Standards'!$B$2:$B$305,0))</f>
        <v>#N/A</v>
      </c>
      <c r="P351" t="e">
        <f>AND(TableRelationships12[[#This Row],[Source Type]]="BIM",TableRelationships12[[#This Row],[Target Type]]="BIM")</f>
        <v>#N/A</v>
      </c>
      <c r="Q351">
        <f t="shared" si="15"/>
        <v>6</v>
      </c>
      <c r="S351">
        <f t="shared" si="16"/>
        <v>1</v>
      </c>
      <c r="T351" s="102" t="str">
        <f>IF(TableRelationships12[[#This Row],[Rank Pedro]]="Low","linkCategory1",IF(TableRelationships12[[#This Row],[Rank Pedro]]="Medium","linkCategory2",IF(TableRelationships12[[#This Row],[Rank Pedro]]="High","linkCategory3","")))</f>
        <v/>
      </c>
      <c r="U351" s="102" t="str">
        <f>IF(TableRelationships12[[#This Row],[Rank Pedro]]="Low","Pink",IF(TableRelationships12[[#This Row],[Rank Pedro]]="Medium","Purple",IF(TableRelationships12[[#This Row],[Rank Pedro]]="High","Brown","")))</f>
        <v/>
      </c>
      <c r="V351" s="4">
        <f>MAX(INDEX(Standards!$F$2:$F$296,MATCH(B351,Standards!$B$2:$B$296,0)),INDEX(Standards!$F$2:$F$296,MATCH(C351,Standards!$B$2:$B$296,0)))</f>
        <v>39753</v>
      </c>
      <c r="W351" t="str">
        <f t="shared" si="17"/>
        <v>#d6bf2a</v>
      </c>
    </row>
    <row r="352" spans="1:23" x14ac:dyDescent="0.5">
      <c r="A352" s="54">
        <v>351</v>
      </c>
      <c r="B352" s="90" t="s">
        <v>298</v>
      </c>
      <c r="C352" t="s">
        <v>1198</v>
      </c>
      <c r="D352" s="1"/>
      <c r="E352" s="112">
        <v>1968.1</v>
      </c>
      <c r="F352" s="112">
        <v>2007.11</v>
      </c>
      <c r="G352" s="107" t="s">
        <v>1452</v>
      </c>
      <c r="H352">
        <f>INDEX('GIS-Standards'!$A$2:$A$305,MATCH(B352,'GIS-Standards'!$B$2:$B$305,0))</f>
        <v>13</v>
      </c>
      <c r="I352" t="e">
        <f>INDEX('GIS-Standards'!$A$2:$A$305,MATCH(C352,'GIS-Standards'!$B$2:$B$305,0))</f>
        <v>#N/A</v>
      </c>
      <c r="J352" t="str">
        <f>INDEX('GIS-Standards'!$O$2:$O$305,MATCH(B352,'GIS-Standards'!$B$2:$B$305,0))</f>
        <v>ISO/TC 211</v>
      </c>
      <c r="K352" t="e">
        <f>INDEX('GIS-Standards'!$O$2:$O$305,MATCH(C352,'GIS-Standards'!$B$2:$B$305,0))</f>
        <v>#N/A</v>
      </c>
      <c r="M352" t="s">
        <v>524</v>
      </c>
      <c r="N352">
        <f>INDEX('GIS-Standards'!$I$2:$I$305,MATCH(B352,'GIS-Standards'!$B$2:$B$305,0))</f>
        <v>0</v>
      </c>
      <c r="O352" t="e">
        <f>INDEX('GIS-Standards'!$I$2:$I$305,MATCH(C352,'GIS-Standards'!$B$2:$B$305,0))</f>
        <v>#N/A</v>
      </c>
      <c r="P352" t="e">
        <f>AND(TableRelationships12[[#This Row],[Source Type]]="BIM",TableRelationships12[[#This Row],[Target Type]]="BIM")</f>
        <v>#N/A</v>
      </c>
      <c r="Q352">
        <f t="shared" si="15"/>
        <v>6</v>
      </c>
      <c r="S352">
        <f t="shared" si="16"/>
        <v>1</v>
      </c>
      <c r="T352" s="102" t="str">
        <f>IF(TableRelationships12[[#This Row],[Rank Pedro]]="Low","linkCategory1",IF(TableRelationships12[[#This Row],[Rank Pedro]]="Medium","linkCategory2",IF(TableRelationships12[[#This Row],[Rank Pedro]]="High","linkCategory3","")))</f>
        <v/>
      </c>
      <c r="U352" s="102" t="str">
        <f>IF(TableRelationships12[[#This Row],[Rank Pedro]]="Low","Pink",IF(TableRelationships12[[#This Row],[Rank Pedro]]="Medium","Purple",IF(TableRelationships12[[#This Row],[Rank Pedro]]="High","Brown","")))</f>
        <v/>
      </c>
      <c r="V352" s="4" t="e">
        <f>MAX(INDEX(Standards!$F$2:$F$296,MATCH(B352,Standards!$B$2:$B$296,0)),INDEX(Standards!$F$2:$F$296,MATCH(C352,Standards!$B$2:$B$296,0)))</f>
        <v>#N/A</v>
      </c>
      <c r="W352" t="str">
        <f t="shared" si="17"/>
        <v>#d6bf2a</v>
      </c>
    </row>
    <row r="353" spans="1:23" x14ac:dyDescent="0.5">
      <c r="A353" s="54">
        <v>352</v>
      </c>
      <c r="B353" s="90" t="s">
        <v>298</v>
      </c>
      <c r="C353" t="s">
        <v>132</v>
      </c>
      <c r="D353" s="1"/>
      <c r="E353" s="112">
        <v>1997.09</v>
      </c>
      <c r="F353" s="112">
        <v>2020.08</v>
      </c>
      <c r="G353" s="107" t="s">
        <v>1481</v>
      </c>
      <c r="H353">
        <f>INDEX('GIS-Standards'!$A$2:$A$305,MATCH(B353,'GIS-Standards'!$B$2:$B$305,0))</f>
        <v>13</v>
      </c>
      <c r="I353" t="e">
        <f>INDEX('GIS-Standards'!$A$2:$A$305,MATCH(C353,'GIS-Standards'!$B$2:$B$305,0))</f>
        <v>#N/A</v>
      </c>
      <c r="J353" t="str">
        <f>INDEX('GIS-Standards'!$O$2:$O$305,MATCH(B353,'GIS-Standards'!$B$2:$B$305,0))</f>
        <v>ISO/TC 211</v>
      </c>
      <c r="K353" t="e">
        <f>INDEX('GIS-Standards'!$O$2:$O$305,MATCH(C353,'GIS-Standards'!$B$2:$B$305,0))</f>
        <v>#N/A</v>
      </c>
      <c r="M353" t="s">
        <v>524</v>
      </c>
      <c r="N353">
        <f>INDEX('GIS-Standards'!$I$2:$I$305,MATCH(B353,'GIS-Standards'!$B$2:$B$305,0))</f>
        <v>0</v>
      </c>
      <c r="O353" t="e">
        <f>INDEX('GIS-Standards'!$I$2:$I$305,MATCH(C353,'GIS-Standards'!$B$2:$B$305,0))</f>
        <v>#N/A</v>
      </c>
      <c r="P353" t="e">
        <f>AND(TableRelationships12[[#This Row],[Source Type]]="BIM",TableRelationships12[[#This Row],[Target Type]]="BIM")</f>
        <v>#N/A</v>
      </c>
      <c r="Q353">
        <f t="shared" si="15"/>
        <v>6</v>
      </c>
      <c r="S353">
        <f t="shared" si="16"/>
        <v>1</v>
      </c>
      <c r="T353" s="102" t="str">
        <f>IF(TableRelationships12[[#This Row],[Rank Pedro]]="Low","linkCategory1",IF(TableRelationships12[[#This Row],[Rank Pedro]]="Medium","linkCategory2",IF(TableRelationships12[[#This Row],[Rank Pedro]]="High","linkCategory3","")))</f>
        <v/>
      </c>
      <c r="U353" s="102" t="str">
        <f>IF(TableRelationships12[[#This Row],[Rank Pedro]]="Low","Pink",IF(TableRelationships12[[#This Row],[Rank Pedro]]="Medium","Purple",IF(TableRelationships12[[#This Row],[Rank Pedro]]="High","Brown","")))</f>
        <v/>
      </c>
      <c r="V353" s="4">
        <f>MAX(INDEX(Standards!$F$2:$F$296,MATCH(B353,Standards!$B$2:$B$296,0)),INDEX(Standards!$F$2:$F$296,MATCH(C353,Standards!$B$2:$B$296,0)))</f>
        <v>39753</v>
      </c>
      <c r="W353" t="str">
        <f t="shared" si="17"/>
        <v>#d6bf2a</v>
      </c>
    </row>
    <row r="354" spans="1:23" x14ac:dyDescent="0.5">
      <c r="A354" s="54">
        <v>353</v>
      </c>
      <c r="B354" s="90" t="s">
        <v>298</v>
      </c>
      <c r="C354" t="s">
        <v>1275</v>
      </c>
      <c r="D354" s="1"/>
      <c r="E354" s="112">
        <v>1992.12</v>
      </c>
      <c r="F354" s="112">
        <v>2011.04</v>
      </c>
      <c r="G354" s="107" t="s">
        <v>1447</v>
      </c>
      <c r="H354">
        <f>INDEX('GIS-Standards'!$A$2:$A$305,MATCH(B354,'GIS-Standards'!$B$2:$B$305,0))</f>
        <v>13</v>
      </c>
      <c r="I354" t="e">
        <f>INDEX('GIS-Standards'!$A$2:$A$305,MATCH(C354,'GIS-Standards'!$B$2:$B$305,0))</f>
        <v>#N/A</v>
      </c>
      <c r="J354" t="str">
        <f>INDEX('GIS-Standards'!$O$2:$O$305,MATCH(B354,'GIS-Standards'!$B$2:$B$305,0))</f>
        <v>ISO/TC 211</v>
      </c>
      <c r="K354" t="e">
        <f>INDEX('GIS-Standards'!$O$2:$O$305,MATCH(C354,'GIS-Standards'!$B$2:$B$305,0))</f>
        <v>#N/A</v>
      </c>
      <c r="M354" t="s">
        <v>524</v>
      </c>
      <c r="N354">
        <f>INDEX('GIS-Standards'!$I$2:$I$305,MATCH(B354,'GIS-Standards'!$B$2:$B$305,0))</f>
        <v>0</v>
      </c>
      <c r="O354" t="e">
        <f>INDEX('GIS-Standards'!$I$2:$I$305,MATCH(C354,'GIS-Standards'!$B$2:$B$305,0))</f>
        <v>#N/A</v>
      </c>
      <c r="P354" t="e">
        <f>AND(TableRelationships12[[#This Row],[Source Type]]="BIM",TableRelationships12[[#This Row],[Target Type]]="BIM")</f>
        <v>#N/A</v>
      </c>
      <c r="Q354">
        <f t="shared" si="15"/>
        <v>6</v>
      </c>
      <c r="S354">
        <f t="shared" si="16"/>
        <v>1</v>
      </c>
      <c r="T354" s="102" t="str">
        <f>IF(TableRelationships12[[#This Row],[Rank Pedro]]="Low","linkCategory1",IF(TableRelationships12[[#This Row],[Rank Pedro]]="Medium","linkCategory2",IF(TableRelationships12[[#This Row],[Rank Pedro]]="High","linkCategory3","")))</f>
        <v/>
      </c>
      <c r="U354" s="102" t="str">
        <f>IF(TableRelationships12[[#This Row],[Rank Pedro]]="Low","Pink",IF(TableRelationships12[[#This Row],[Rank Pedro]]="Medium","Purple",IF(TableRelationships12[[#This Row],[Rank Pedro]]="High","Brown","")))</f>
        <v/>
      </c>
      <c r="V354" s="4" t="e">
        <f>MAX(INDEX(Standards!$F$2:$F$296,MATCH(B354,Standards!$B$2:$B$296,0)),INDEX(Standards!$F$2:$F$296,MATCH(C354,Standards!$B$2:$B$296,0)))</f>
        <v>#N/A</v>
      </c>
      <c r="W354" t="str">
        <f t="shared" si="17"/>
        <v>#d6bf2a</v>
      </c>
    </row>
    <row r="355" spans="1:23" x14ac:dyDescent="0.5">
      <c r="A355" s="54">
        <v>354</v>
      </c>
      <c r="B355" s="90" t="s">
        <v>298</v>
      </c>
      <c r="C355" t="s">
        <v>1276</v>
      </c>
      <c r="D355" s="1"/>
      <c r="E355" s="112">
        <v>2012.08</v>
      </c>
      <c r="F355" s="112">
        <v>2012.08</v>
      </c>
      <c r="G355" s="107" t="s">
        <v>1447</v>
      </c>
      <c r="H355">
        <f>INDEX('GIS-Standards'!$A$2:$A$305,MATCH(B355,'GIS-Standards'!$B$2:$B$305,0))</f>
        <v>13</v>
      </c>
      <c r="I355" t="e">
        <f>INDEX('GIS-Standards'!$A$2:$A$305,MATCH(C355,'GIS-Standards'!$B$2:$B$305,0))</f>
        <v>#N/A</v>
      </c>
      <c r="J355" t="str">
        <f>INDEX('GIS-Standards'!$O$2:$O$305,MATCH(B355,'GIS-Standards'!$B$2:$B$305,0))</f>
        <v>ISO/TC 211</v>
      </c>
      <c r="K355" t="e">
        <f>INDEX('GIS-Standards'!$O$2:$O$305,MATCH(C355,'GIS-Standards'!$B$2:$B$305,0))</f>
        <v>#N/A</v>
      </c>
      <c r="M355" t="s">
        <v>524</v>
      </c>
      <c r="N355">
        <f>INDEX('GIS-Standards'!$I$2:$I$305,MATCH(B355,'GIS-Standards'!$B$2:$B$305,0))</f>
        <v>0</v>
      </c>
      <c r="O355" t="e">
        <f>INDEX('GIS-Standards'!$I$2:$I$305,MATCH(C355,'GIS-Standards'!$B$2:$B$305,0))</f>
        <v>#N/A</v>
      </c>
      <c r="P355" t="e">
        <f>AND(TableRelationships12[[#This Row],[Source Type]]="BIM",TableRelationships12[[#This Row],[Target Type]]="BIM")</f>
        <v>#N/A</v>
      </c>
      <c r="Q355">
        <f t="shared" si="15"/>
        <v>6</v>
      </c>
      <c r="S355">
        <f t="shared" si="16"/>
        <v>1</v>
      </c>
      <c r="T355" s="102" t="str">
        <f>IF(TableRelationships12[[#This Row],[Rank Pedro]]="Low","linkCategory1",IF(TableRelationships12[[#This Row],[Rank Pedro]]="Medium","linkCategory2",IF(TableRelationships12[[#This Row],[Rank Pedro]]="High","linkCategory3","")))</f>
        <v/>
      </c>
      <c r="U355" s="102" t="str">
        <f>IF(TableRelationships12[[#This Row],[Rank Pedro]]="Low","Pink",IF(TableRelationships12[[#This Row],[Rank Pedro]]="Medium","Purple",IF(TableRelationships12[[#This Row],[Rank Pedro]]="High","Brown","")))</f>
        <v/>
      </c>
      <c r="V355" s="4" t="e">
        <f>MAX(INDEX(Standards!$F$2:$F$296,MATCH(B355,Standards!$B$2:$B$296,0)),INDEX(Standards!$F$2:$F$296,MATCH(C355,Standards!$B$2:$B$296,0)))</f>
        <v>#N/A</v>
      </c>
      <c r="W355" t="str">
        <f t="shared" si="17"/>
        <v>#d6bf2a</v>
      </c>
    </row>
    <row r="356" spans="1:23" x14ac:dyDescent="0.5">
      <c r="A356" s="54">
        <v>355</v>
      </c>
      <c r="B356" s="90" t="s">
        <v>298</v>
      </c>
      <c r="C356" t="s">
        <v>1277</v>
      </c>
      <c r="D356" s="1"/>
      <c r="E356" s="112">
        <v>2004.12</v>
      </c>
      <c r="F356" s="112">
        <v>2004.12</v>
      </c>
      <c r="G356" s="107" t="s">
        <v>1452</v>
      </c>
      <c r="H356">
        <f>INDEX('GIS-Standards'!$A$2:$A$305,MATCH(B356,'GIS-Standards'!$B$2:$B$305,0))</f>
        <v>13</v>
      </c>
      <c r="I356" t="e">
        <f>INDEX('GIS-Standards'!$A$2:$A$305,MATCH(C356,'GIS-Standards'!$B$2:$B$305,0))</f>
        <v>#N/A</v>
      </c>
      <c r="J356" t="str">
        <f>INDEX('GIS-Standards'!$O$2:$O$305,MATCH(B356,'GIS-Standards'!$B$2:$B$305,0))</f>
        <v>ISO/TC 211</v>
      </c>
      <c r="K356" t="e">
        <f>INDEX('GIS-Standards'!$O$2:$O$305,MATCH(C356,'GIS-Standards'!$B$2:$B$305,0))</f>
        <v>#N/A</v>
      </c>
      <c r="M356" t="s">
        <v>524</v>
      </c>
      <c r="N356">
        <f>INDEX('GIS-Standards'!$I$2:$I$305,MATCH(B356,'GIS-Standards'!$B$2:$B$305,0))</f>
        <v>0</v>
      </c>
      <c r="O356" t="e">
        <f>INDEX('GIS-Standards'!$I$2:$I$305,MATCH(C356,'GIS-Standards'!$B$2:$B$305,0))</f>
        <v>#N/A</v>
      </c>
      <c r="P356" t="e">
        <f>AND(TableRelationships12[[#This Row],[Source Type]]="BIM",TableRelationships12[[#This Row],[Target Type]]="BIM")</f>
        <v>#N/A</v>
      </c>
      <c r="Q356">
        <f t="shared" si="15"/>
        <v>6</v>
      </c>
      <c r="S356">
        <f t="shared" si="16"/>
        <v>1</v>
      </c>
      <c r="T356" s="102" t="str">
        <f>IF(TableRelationships12[[#This Row],[Rank Pedro]]="Low","linkCategory1",IF(TableRelationships12[[#This Row],[Rank Pedro]]="Medium","linkCategory2",IF(TableRelationships12[[#This Row],[Rank Pedro]]="High","linkCategory3","")))</f>
        <v/>
      </c>
      <c r="U356" s="102" t="str">
        <f>IF(TableRelationships12[[#This Row],[Rank Pedro]]="Low","Pink",IF(TableRelationships12[[#This Row],[Rank Pedro]]="Medium","Purple",IF(TableRelationships12[[#This Row],[Rank Pedro]]="High","Brown","")))</f>
        <v/>
      </c>
      <c r="V356" s="4" t="e">
        <f>MAX(INDEX(Standards!$F$2:$F$296,MATCH(B356,Standards!$B$2:$B$296,0)),INDEX(Standards!$F$2:$F$296,MATCH(C356,Standards!$B$2:$B$296,0)))</f>
        <v>#N/A</v>
      </c>
      <c r="W356" t="str">
        <f t="shared" si="17"/>
        <v>#d6bf2a</v>
      </c>
    </row>
    <row r="357" spans="1:23" x14ac:dyDescent="0.5">
      <c r="A357" s="54">
        <v>356</v>
      </c>
      <c r="B357" s="90" t="s">
        <v>298</v>
      </c>
      <c r="C357" t="s">
        <v>296</v>
      </c>
      <c r="D357" s="1"/>
      <c r="E357" s="112">
        <v>2005.07</v>
      </c>
      <c r="F357" s="112">
        <v>2024.09</v>
      </c>
      <c r="G357" s="107" t="s">
        <v>670</v>
      </c>
      <c r="H357">
        <f>INDEX('GIS-Standards'!$A$2:$A$305,MATCH(B357,'GIS-Standards'!$B$2:$B$305,0))</f>
        <v>13</v>
      </c>
      <c r="I357">
        <f>INDEX('GIS-Standards'!$A$2:$A$305,MATCH(C357,'GIS-Standards'!$B$2:$B$305,0))</f>
        <v>12</v>
      </c>
      <c r="J357" t="str">
        <f>INDEX('GIS-Standards'!$O$2:$O$305,MATCH(B357,'GIS-Standards'!$B$2:$B$305,0))</f>
        <v>ISO/TC 211</v>
      </c>
      <c r="K357" t="str">
        <f>INDEX('GIS-Standards'!$O$2:$O$305,MATCH(C357,'GIS-Standards'!$B$2:$B$305,0))</f>
        <v>ISO/TC 211</v>
      </c>
      <c r="M357" t="s">
        <v>524</v>
      </c>
      <c r="N357">
        <f>INDEX('GIS-Standards'!$I$2:$I$305,MATCH(B357,'GIS-Standards'!$B$2:$B$305,0))</f>
        <v>0</v>
      </c>
      <c r="O357">
        <f>INDEX('GIS-Standards'!$I$2:$I$305,MATCH(C357,'GIS-Standards'!$B$2:$B$305,0))</f>
        <v>0</v>
      </c>
      <c r="P357" t="b">
        <f>AND(TableRelationships12[[#This Row],[Source Type]]="BIM",TableRelationships12[[#This Row],[Target Type]]="BIM")</f>
        <v>0</v>
      </c>
      <c r="Q357">
        <f t="shared" si="15"/>
        <v>6</v>
      </c>
      <c r="S357">
        <f t="shared" si="16"/>
        <v>1</v>
      </c>
      <c r="T357" s="102" t="str">
        <f>IF(TableRelationships12[[#This Row],[Rank Pedro]]="Low","linkCategory1",IF(TableRelationships12[[#This Row],[Rank Pedro]]="Medium","linkCategory2",IF(TableRelationships12[[#This Row],[Rank Pedro]]="High","linkCategory3","")))</f>
        <v/>
      </c>
      <c r="U357" s="102" t="str">
        <f>IF(TableRelationships12[[#This Row],[Rank Pedro]]="Low","Pink",IF(TableRelationships12[[#This Row],[Rank Pedro]]="Medium","Purple",IF(TableRelationships12[[#This Row],[Rank Pedro]]="High","Brown","")))</f>
        <v/>
      </c>
      <c r="V357" s="4">
        <f>MAX(INDEX(Standards!$F$2:$F$296,MATCH(B357,Standards!$B$2:$B$296,0)),INDEX(Standards!$F$2:$F$296,MATCH(C357,Standards!$B$2:$B$296,0)))</f>
        <v>39753</v>
      </c>
      <c r="W357" t="str">
        <f t="shared" si="17"/>
        <v>#d6bf2a</v>
      </c>
    </row>
    <row r="358" spans="1:23" x14ac:dyDescent="0.5">
      <c r="A358" s="54">
        <v>357</v>
      </c>
      <c r="B358" s="90" t="s">
        <v>298</v>
      </c>
      <c r="C358" t="s">
        <v>1041</v>
      </c>
      <c r="D358" s="1"/>
      <c r="E358" s="112">
        <v>2009.02</v>
      </c>
      <c r="F358" s="112">
        <v>2022.03</v>
      </c>
      <c r="G358" s="107" t="s">
        <v>670</v>
      </c>
      <c r="H358">
        <f>INDEX('GIS-Standards'!$A$2:$A$305,MATCH(B358,'GIS-Standards'!$B$2:$B$305,0))</f>
        <v>13</v>
      </c>
      <c r="I358">
        <f>INDEX('GIS-Standards'!$A$2:$A$305,MATCH(C358,'GIS-Standards'!$B$2:$B$305,0))</f>
        <v>23</v>
      </c>
      <c r="J358" t="str">
        <f>INDEX('GIS-Standards'!$O$2:$O$305,MATCH(B358,'GIS-Standards'!$B$2:$B$305,0))</f>
        <v>ISO/TC 211</v>
      </c>
      <c r="K358" t="str">
        <f>INDEX('GIS-Standards'!$O$2:$O$305,MATCH(C358,'GIS-Standards'!$B$2:$B$305,0))</f>
        <v>ISO/TC 211</v>
      </c>
      <c r="M358" t="s">
        <v>524</v>
      </c>
      <c r="N358">
        <f>INDEX('GIS-Standards'!$I$2:$I$305,MATCH(B358,'GIS-Standards'!$B$2:$B$305,0))</f>
        <v>0</v>
      </c>
      <c r="O358" t="str">
        <f>INDEX('GIS-Standards'!$I$2:$I$305,MATCH(C358,'GIS-Standards'!$B$2:$B$305,0))</f>
        <v>03.2022</v>
      </c>
      <c r="P358" t="b">
        <f>AND(TableRelationships12[[#This Row],[Source Type]]="BIM",TableRelationships12[[#This Row],[Target Type]]="BIM")</f>
        <v>0</v>
      </c>
      <c r="Q358">
        <f t="shared" si="15"/>
        <v>6</v>
      </c>
      <c r="S358">
        <f t="shared" si="16"/>
        <v>1</v>
      </c>
      <c r="T358" s="102" t="str">
        <f>IF(TableRelationships12[[#This Row],[Rank Pedro]]="Low","linkCategory1",IF(TableRelationships12[[#This Row],[Rank Pedro]]="Medium","linkCategory2",IF(TableRelationships12[[#This Row],[Rank Pedro]]="High","linkCategory3","")))</f>
        <v/>
      </c>
      <c r="U358" s="102" t="str">
        <f>IF(TableRelationships12[[#This Row],[Rank Pedro]]="Low","Pink",IF(TableRelationships12[[#This Row],[Rank Pedro]]="Medium","Purple",IF(TableRelationships12[[#This Row],[Rank Pedro]]="High","Brown","")))</f>
        <v/>
      </c>
      <c r="V358" s="4" t="e">
        <f>MAX(INDEX(Standards!$F$2:$F$296,MATCH(B358,Standards!$B$2:$B$296,0)),INDEX(Standards!$F$2:$F$296,MATCH(C358,Standards!$B$2:$B$296,0)))</f>
        <v>#N/A</v>
      </c>
      <c r="W358" t="str">
        <f t="shared" si="17"/>
        <v>#d6bf2a</v>
      </c>
    </row>
    <row r="359" spans="1:23" x14ac:dyDescent="0.5">
      <c r="A359" s="54">
        <v>358</v>
      </c>
      <c r="B359" s="90" t="s">
        <v>298</v>
      </c>
      <c r="C359" t="s">
        <v>1048</v>
      </c>
      <c r="D359" s="1"/>
      <c r="E359" s="112">
        <v>2005.1</v>
      </c>
      <c r="F359" s="112">
        <v>2021.02</v>
      </c>
      <c r="G359" s="107" t="s">
        <v>670</v>
      </c>
      <c r="H359">
        <f>INDEX('GIS-Standards'!$A$2:$A$305,MATCH(B359,'GIS-Standards'!$B$2:$B$305,0))</f>
        <v>13</v>
      </c>
      <c r="I359">
        <f>INDEX('GIS-Standards'!$A$2:$A$305,MATCH(C359,'GIS-Standards'!$B$2:$B$305,0))</f>
        <v>41</v>
      </c>
      <c r="J359" t="str">
        <f>INDEX('GIS-Standards'!$O$2:$O$305,MATCH(B359,'GIS-Standards'!$B$2:$B$305,0))</f>
        <v>ISO/TC 211</v>
      </c>
      <c r="K359" t="str">
        <f>INDEX('GIS-Standards'!$O$2:$O$305,MATCH(C359,'GIS-Standards'!$B$2:$B$305,0))</f>
        <v>ISO/TC 211</v>
      </c>
      <c r="M359" t="s">
        <v>524</v>
      </c>
      <c r="N359">
        <f>INDEX('GIS-Standards'!$I$2:$I$305,MATCH(B359,'GIS-Standards'!$B$2:$B$305,0))</f>
        <v>0</v>
      </c>
      <c r="O359" t="str">
        <f>INDEX('GIS-Standards'!$I$2:$I$305,MATCH(C359,'GIS-Standards'!$B$2:$B$305,0))</f>
        <v>03.2021</v>
      </c>
      <c r="P359" t="b">
        <f>AND(TableRelationships12[[#This Row],[Source Type]]="BIM",TableRelationships12[[#This Row],[Target Type]]="BIM")</f>
        <v>0</v>
      </c>
      <c r="Q359">
        <f t="shared" si="15"/>
        <v>6</v>
      </c>
      <c r="S359">
        <f t="shared" si="16"/>
        <v>1</v>
      </c>
      <c r="T359" s="102" t="str">
        <f>IF(TableRelationships12[[#This Row],[Rank Pedro]]="Low","linkCategory1",IF(TableRelationships12[[#This Row],[Rank Pedro]]="Medium","linkCategory2",IF(TableRelationships12[[#This Row],[Rank Pedro]]="High","linkCategory3","")))</f>
        <v/>
      </c>
      <c r="U359" s="102" t="str">
        <f>IF(TableRelationships12[[#This Row],[Rank Pedro]]="Low","Pink",IF(TableRelationships12[[#This Row],[Rank Pedro]]="Medium","Purple",IF(TableRelationships12[[#This Row],[Rank Pedro]]="High","Brown","")))</f>
        <v/>
      </c>
      <c r="V359" s="4" t="e">
        <f>MAX(INDEX(Standards!$F$2:$F$296,MATCH(B359,Standards!$B$2:$B$296,0)),INDEX(Standards!$F$2:$F$296,MATCH(C359,Standards!$B$2:$B$296,0)))</f>
        <v>#N/A</v>
      </c>
      <c r="W359" t="str">
        <f t="shared" si="17"/>
        <v>#d6bf2a</v>
      </c>
    </row>
    <row r="360" spans="1:23" x14ac:dyDescent="0.5">
      <c r="A360" s="54">
        <v>359</v>
      </c>
      <c r="B360" s="90" t="s">
        <v>298</v>
      </c>
      <c r="C360" t="s">
        <v>126</v>
      </c>
      <c r="D360" s="1" t="s">
        <v>1199</v>
      </c>
      <c r="E360" s="112">
        <v>1990.04</v>
      </c>
      <c r="F360" s="112">
        <v>2019.09</v>
      </c>
      <c r="G360" s="107" t="s">
        <v>1449</v>
      </c>
      <c r="H360">
        <f>INDEX('GIS-Standards'!$A$2:$A$305,MATCH(B360,'GIS-Standards'!$B$2:$B$305,0))</f>
        <v>13</v>
      </c>
      <c r="I360" t="e">
        <f>INDEX('GIS-Standards'!$A$2:$A$305,MATCH(C360,'GIS-Standards'!$B$2:$B$305,0))</f>
        <v>#N/A</v>
      </c>
      <c r="J360" t="str">
        <f>INDEX('GIS-Standards'!$O$2:$O$305,MATCH(B360,'GIS-Standards'!$B$2:$B$305,0))</f>
        <v>ISO/TC 211</v>
      </c>
      <c r="K360" t="e">
        <f>INDEX('GIS-Standards'!$O$2:$O$305,MATCH(C360,'GIS-Standards'!$B$2:$B$305,0))</f>
        <v>#N/A</v>
      </c>
      <c r="M360" t="s">
        <v>525</v>
      </c>
      <c r="N360">
        <f>INDEX('GIS-Standards'!$I$2:$I$305,MATCH(B360,'GIS-Standards'!$B$2:$B$305,0))</f>
        <v>0</v>
      </c>
      <c r="O360" t="e">
        <f>INDEX('GIS-Standards'!$I$2:$I$305,MATCH(C360,'GIS-Standards'!$B$2:$B$305,0))</f>
        <v>#N/A</v>
      </c>
      <c r="P360" t="e">
        <f>AND(TableRelationships12[[#This Row],[Source Type]]="BIM",TableRelationships12[[#This Row],[Target Type]]="BIM")</f>
        <v>#N/A</v>
      </c>
      <c r="Q360">
        <f t="shared" si="15"/>
        <v>1</v>
      </c>
      <c r="S360">
        <f t="shared" si="16"/>
        <v>1</v>
      </c>
      <c r="T360" s="102" t="str">
        <f>IF(TableRelationships12[[#This Row],[Rank Pedro]]="Low","linkCategory1",IF(TableRelationships12[[#This Row],[Rank Pedro]]="Medium","linkCategory2",IF(TableRelationships12[[#This Row],[Rank Pedro]]="High","linkCategory3","")))</f>
        <v/>
      </c>
      <c r="U360" s="102" t="str">
        <f>IF(TableRelationships12[[#This Row],[Rank Pedro]]="Low","Pink",IF(TableRelationships12[[#This Row],[Rank Pedro]]="Medium","Purple",IF(TableRelationships12[[#This Row],[Rank Pedro]]="High","Brown","")))</f>
        <v/>
      </c>
      <c r="V360" s="4">
        <f>MAX(INDEX(Standards!$F$2:$F$296,MATCH(B360,Standards!$B$2:$B$296,0)),INDEX(Standards!$F$2:$F$296,MATCH(C360,Standards!$B$2:$B$296,0)))</f>
        <v>39753</v>
      </c>
      <c r="W360" t="str">
        <f t="shared" si="17"/>
        <v>#2f89d1</v>
      </c>
    </row>
    <row r="361" spans="1:23" x14ac:dyDescent="0.5">
      <c r="A361" s="54">
        <v>360</v>
      </c>
      <c r="B361" s="90" t="s">
        <v>298</v>
      </c>
      <c r="C361" t="s">
        <v>1076</v>
      </c>
      <c r="D361" s="1"/>
      <c r="E361" s="111">
        <v>1983.12</v>
      </c>
      <c r="F361" s="111">
        <v>2017.05</v>
      </c>
      <c r="G361" s="109" t="s">
        <v>1485</v>
      </c>
      <c r="H361">
        <f>INDEX('GIS-Standards'!$A$2:$A$305,MATCH(B361,'GIS-Standards'!$B$2:$B$305,0))</f>
        <v>13</v>
      </c>
      <c r="I361" t="e">
        <f>INDEX('GIS-Standards'!$A$2:$A$305,MATCH(C361,'GIS-Standards'!$B$2:$B$305,0))</f>
        <v>#N/A</v>
      </c>
      <c r="J361" t="str">
        <f>INDEX('GIS-Standards'!$O$2:$O$305,MATCH(B361,'GIS-Standards'!$B$2:$B$305,0))</f>
        <v>ISO/TC 211</v>
      </c>
      <c r="K361" t="e">
        <f>INDEX('GIS-Standards'!$O$2:$O$305,MATCH(C361,'GIS-Standards'!$B$2:$B$305,0))</f>
        <v>#N/A</v>
      </c>
      <c r="M361" t="s">
        <v>525</v>
      </c>
      <c r="N361">
        <f>INDEX('GIS-Standards'!$I$2:$I$305,MATCH(B361,'GIS-Standards'!$B$2:$B$305,0))</f>
        <v>0</v>
      </c>
      <c r="O361" t="e">
        <f>INDEX('GIS-Standards'!$I$2:$I$305,MATCH(C361,'GIS-Standards'!$B$2:$B$305,0))</f>
        <v>#N/A</v>
      </c>
      <c r="P361" t="e">
        <f>AND(TableRelationships12[[#This Row],[Source Type]]="BIM",TableRelationships12[[#This Row],[Target Type]]="BIM")</f>
        <v>#N/A</v>
      </c>
      <c r="Q361">
        <f t="shared" si="15"/>
        <v>1</v>
      </c>
      <c r="S361">
        <f t="shared" si="16"/>
        <v>1</v>
      </c>
      <c r="T361" s="102" t="str">
        <f>IF(TableRelationships12[[#This Row],[Rank Pedro]]="Low","linkCategory1",IF(TableRelationships12[[#This Row],[Rank Pedro]]="Medium","linkCategory2",IF(TableRelationships12[[#This Row],[Rank Pedro]]="High","linkCategory3","")))</f>
        <v/>
      </c>
      <c r="U361" s="102" t="str">
        <f>IF(TableRelationships12[[#This Row],[Rank Pedro]]="Low","Pink",IF(TableRelationships12[[#This Row],[Rank Pedro]]="Medium","Purple",IF(TableRelationships12[[#This Row],[Rank Pedro]]="High","Brown","")))</f>
        <v/>
      </c>
      <c r="V361" s="4" t="e">
        <f>MAX(INDEX(Standards!$F$2:$F$296,MATCH(B361,Standards!$B$2:$B$296,0)),INDEX(Standards!$F$2:$F$296,MATCH(C361,Standards!$B$2:$B$296,0)))</f>
        <v>#N/A</v>
      </c>
      <c r="W361" t="str">
        <f t="shared" si="17"/>
        <v>#2f89d1</v>
      </c>
    </row>
    <row r="362" spans="1:23" x14ac:dyDescent="0.5">
      <c r="A362" s="54">
        <v>361</v>
      </c>
      <c r="B362" s="90" t="s">
        <v>298</v>
      </c>
      <c r="C362" t="s">
        <v>1278</v>
      </c>
      <c r="D362" s="1"/>
      <c r="E362" s="112">
        <v>2004.02</v>
      </c>
      <c r="F362" s="112">
        <v>2025.07</v>
      </c>
      <c r="G362" s="107" t="s">
        <v>1459</v>
      </c>
      <c r="H362">
        <f>INDEX('GIS-Standards'!$A$2:$A$305,MATCH(B362,'GIS-Standards'!$B$2:$B$305,0))</f>
        <v>13</v>
      </c>
      <c r="I362" t="e">
        <f>INDEX('GIS-Standards'!$A$2:$A$305,MATCH(C362,'GIS-Standards'!$B$2:$B$305,0))</f>
        <v>#N/A</v>
      </c>
      <c r="J362" t="str">
        <f>INDEX('GIS-Standards'!$O$2:$O$305,MATCH(B362,'GIS-Standards'!$B$2:$B$305,0))</f>
        <v>ISO/TC 211</v>
      </c>
      <c r="K362" t="e">
        <f>INDEX('GIS-Standards'!$O$2:$O$305,MATCH(C362,'GIS-Standards'!$B$2:$B$305,0))</f>
        <v>#N/A</v>
      </c>
      <c r="M362" t="s">
        <v>525</v>
      </c>
      <c r="N362">
        <f>INDEX('GIS-Standards'!$I$2:$I$305,MATCH(B362,'GIS-Standards'!$B$2:$B$305,0))</f>
        <v>0</v>
      </c>
      <c r="O362" t="e">
        <f>INDEX('GIS-Standards'!$I$2:$I$305,MATCH(C362,'GIS-Standards'!$B$2:$B$305,0))</f>
        <v>#N/A</v>
      </c>
      <c r="P362" t="e">
        <f>AND(TableRelationships12[[#This Row],[Source Type]]="BIM",TableRelationships12[[#This Row],[Target Type]]="BIM")</f>
        <v>#N/A</v>
      </c>
      <c r="Q362">
        <f t="shared" si="15"/>
        <v>1</v>
      </c>
      <c r="S362">
        <f t="shared" si="16"/>
        <v>1</v>
      </c>
      <c r="T362" s="102" t="str">
        <f>IF(TableRelationships12[[#This Row],[Rank Pedro]]="Low","linkCategory1",IF(TableRelationships12[[#This Row],[Rank Pedro]]="Medium","linkCategory2",IF(TableRelationships12[[#This Row],[Rank Pedro]]="High","linkCategory3","")))</f>
        <v/>
      </c>
      <c r="U362" s="102" t="str">
        <f>IF(TableRelationships12[[#This Row],[Rank Pedro]]="Low","Pink",IF(TableRelationships12[[#This Row],[Rank Pedro]]="Medium","Purple",IF(TableRelationships12[[#This Row],[Rank Pedro]]="High","Brown","")))</f>
        <v/>
      </c>
      <c r="V362" s="4" t="e">
        <f>MAX(INDEX(Standards!$F$2:$F$296,MATCH(B362,Standards!$B$2:$B$296,0)),INDEX(Standards!$F$2:$F$296,MATCH(C362,Standards!$B$2:$B$296,0)))</f>
        <v>#N/A</v>
      </c>
      <c r="W362" t="str">
        <f t="shared" si="17"/>
        <v>#2f89d1</v>
      </c>
    </row>
    <row r="363" spans="1:23" x14ac:dyDescent="0.5">
      <c r="A363" s="54">
        <v>362</v>
      </c>
      <c r="B363" s="90" t="s">
        <v>298</v>
      </c>
      <c r="C363" t="s">
        <v>304</v>
      </c>
      <c r="D363" s="1"/>
      <c r="E363" s="112">
        <v>2002.09</v>
      </c>
      <c r="F363" s="112">
        <v>2006.1</v>
      </c>
      <c r="G363" s="107" t="s">
        <v>670</v>
      </c>
      <c r="H363">
        <f>INDEX('GIS-Standards'!$A$2:$A$305,MATCH(B363,'GIS-Standards'!$B$2:$B$305,0))</f>
        <v>13</v>
      </c>
      <c r="I363">
        <f>INDEX('GIS-Standards'!$A$2:$A$305,MATCH(C363,'GIS-Standards'!$B$2:$B$305,0))</f>
        <v>17</v>
      </c>
      <c r="J363" t="str">
        <f>INDEX('GIS-Standards'!$O$2:$O$305,MATCH(B363,'GIS-Standards'!$B$2:$B$305,0))</f>
        <v>ISO/TC 211</v>
      </c>
      <c r="K363" t="str">
        <f>INDEX('GIS-Standards'!$O$2:$O$305,MATCH(C363,'GIS-Standards'!$B$2:$B$305,0))</f>
        <v>ISO/TC 211</v>
      </c>
      <c r="M363" t="s">
        <v>525</v>
      </c>
      <c r="N363">
        <f>INDEX('GIS-Standards'!$I$2:$I$305,MATCH(B363,'GIS-Standards'!$B$2:$B$305,0))</f>
        <v>0</v>
      </c>
      <c r="O363" t="str">
        <f>INDEX('GIS-Standards'!$I$2:$I$305,MATCH(C363,'GIS-Standards'!$B$2:$B$305,0))</f>
        <v>06.2008</v>
      </c>
      <c r="P363" t="b">
        <f>AND(TableRelationships12[[#This Row],[Source Type]]="BIM",TableRelationships12[[#This Row],[Target Type]]="BIM")</f>
        <v>0</v>
      </c>
      <c r="Q363">
        <f t="shared" si="15"/>
        <v>1</v>
      </c>
      <c r="S363">
        <f t="shared" si="16"/>
        <v>1</v>
      </c>
      <c r="T363" s="102" t="str">
        <f>IF(TableRelationships12[[#This Row],[Rank Pedro]]="Low","linkCategory1",IF(TableRelationships12[[#This Row],[Rank Pedro]]="Medium","linkCategory2",IF(TableRelationships12[[#This Row],[Rank Pedro]]="High","linkCategory3","")))</f>
        <v/>
      </c>
      <c r="U363" s="102" t="str">
        <f>IF(TableRelationships12[[#This Row],[Rank Pedro]]="Low","Pink",IF(TableRelationships12[[#This Row],[Rank Pedro]]="Medium","Purple",IF(TableRelationships12[[#This Row],[Rank Pedro]]="High","Brown","")))</f>
        <v/>
      </c>
      <c r="V363" s="4">
        <f>MAX(INDEX(Standards!$F$2:$F$296,MATCH(B363,Standards!$B$2:$B$296,0)),INDEX(Standards!$F$2:$F$296,MATCH(C363,Standards!$B$2:$B$296,0)))</f>
        <v>39753</v>
      </c>
      <c r="W363" t="str">
        <f t="shared" si="17"/>
        <v>#2f89d1</v>
      </c>
    </row>
    <row r="364" spans="1:23" x14ac:dyDescent="0.5">
      <c r="A364" s="54">
        <v>363</v>
      </c>
      <c r="B364" s="90" t="s">
        <v>298</v>
      </c>
      <c r="C364" t="s">
        <v>1279</v>
      </c>
      <c r="D364" s="1"/>
      <c r="E364" s="112">
        <v>1981.1</v>
      </c>
      <c r="F364" s="112">
        <v>2005.05</v>
      </c>
      <c r="G364" s="107" t="s">
        <v>1518</v>
      </c>
      <c r="H364">
        <f>INDEX('GIS-Standards'!$A$2:$A$305,MATCH(B364,'GIS-Standards'!$B$2:$B$305,0))</f>
        <v>13</v>
      </c>
      <c r="I364" t="e">
        <f>INDEX('GIS-Standards'!$A$2:$A$305,MATCH(C364,'GIS-Standards'!$B$2:$B$305,0))</f>
        <v>#N/A</v>
      </c>
      <c r="J364" t="str">
        <f>INDEX('GIS-Standards'!$O$2:$O$305,MATCH(B364,'GIS-Standards'!$B$2:$B$305,0))</f>
        <v>ISO/TC 211</v>
      </c>
      <c r="K364" t="e">
        <f>INDEX('GIS-Standards'!$O$2:$O$305,MATCH(C364,'GIS-Standards'!$B$2:$B$305,0))</f>
        <v>#N/A</v>
      </c>
      <c r="M364" t="s">
        <v>525</v>
      </c>
      <c r="N364">
        <f>INDEX('GIS-Standards'!$I$2:$I$305,MATCH(B364,'GIS-Standards'!$B$2:$B$305,0))</f>
        <v>0</v>
      </c>
      <c r="O364" t="e">
        <f>INDEX('GIS-Standards'!$I$2:$I$305,MATCH(C364,'GIS-Standards'!$B$2:$B$305,0))</f>
        <v>#N/A</v>
      </c>
      <c r="P364" t="e">
        <f>AND(TableRelationships12[[#This Row],[Source Type]]="BIM",TableRelationships12[[#This Row],[Target Type]]="BIM")</f>
        <v>#N/A</v>
      </c>
      <c r="Q364">
        <f t="shared" si="15"/>
        <v>1</v>
      </c>
      <c r="S364">
        <f t="shared" si="16"/>
        <v>1</v>
      </c>
      <c r="T364" s="102" t="str">
        <f>IF(TableRelationships12[[#This Row],[Rank Pedro]]="Low","linkCategory1",IF(TableRelationships12[[#This Row],[Rank Pedro]]="Medium","linkCategory2",IF(TableRelationships12[[#This Row],[Rank Pedro]]="High","linkCategory3","")))</f>
        <v/>
      </c>
      <c r="U364" s="102" t="str">
        <f>IF(TableRelationships12[[#This Row],[Rank Pedro]]="Low","Pink",IF(TableRelationships12[[#This Row],[Rank Pedro]]="Medium","Purple",IF(TableRelationships12[[#This Row],[Rank Pedro]]="High","Brown","")))</f>
        <v/>
      </c>
      <c r="V364" s="4" t="e">
        <f>MAX(INDEX(Standards!$F$2:$F$296,MATCH(B364,Standards!$B$2:$B$296,0)),INDEX(Standards!$F$2:$F$296,MATCH(C364,Standards!$B$2:$B$296,0)))</f>
        <v>#N/A</v>
      </c>
      <c r="W364" t="str">
        <f t="shared" si="17"/>
        <v>#2f89d1</v>
      </c>
    </row>
    <row r="365" spans="1:23" x14ac:dyDescent="0.5">
      <c r="A365" s="54">
        <v>364</v>
      </c>
      <c r="B365" s="90" t="s">
        <v>300</v>
      </c>
      <c r="C365" t="s">
        <v>527</v>
      </c>
      <c r="D365" s="1"/>
      <c r="E365" s="112" t="s">
        <v>929</v>
      </c>
      <c r="F365" s="112" t="s">
        <v>932</v>
      </c>
      <c r="G365" s="121" t="s">
        <v>670</v>
      </c>
      <c r="H365">
        <f>INDEX('GIS-Standards'!$A$2:$A$305,MATCH(B365,'GIS-Standards'!$B$2:$B$305,0))</f>
        <v>14</v>
      </c>
      <c r="I365" t="e">
        <f>INDEX('GIS-Standards'!$A$2:$A$305,MATCH(C365,'GIS-Standards'!$B$2:$B$305,0))</f>
        <v>#N/A</v>
      </c>
      <c r="J365" t="str">
        <f>INDEX('GIS-Standards'!$O$2:$O$305,MATCH(B365,'GIS-Standards'!$B$2:$B$305,0))</f>
        <v>ISO/TC 211</v>
      </c>
      <c r="K365" t="e">
        <f>INDEX('GIS-Standards'!$O$2:$O$305,MATCH(C365,'GIS-Standards'!$B$2:$B$305,0))</f>
        <v>#N/A</v>
      </c>
      <c r="M365" t="s">
        <v>237</v>
      </c>
      <c r="N365">
        <f>INDEX('GIS-Standards'!$I$2:$I$305,MATCH(B365,'GIS-Standards'!$B$2:$B$305,0))</f>
        <v>0</v>
      </c>
      <c r="O365" t="e">
        <f>INDEX('GIS-Standards'!$I$2:$I$305,MATCH(C365,'GIS-Standards'!$B$2:$B$305,0))</f>
        <v>#N/A</v>
      </c>
      <c r="P365" t="e">
        <f>AND(TableRelationships12[[#This Row],[Source Type]]="BIM",TableRelationships12[[#This Row],[Target Type]]="BIM")</f>
        <v>#N/A</v>
      </c>
      <c r="Q365">
        <f t="shared" si="15"/>
        <v>2</v>
      </c>
      <c r="S365">
        <f t="shared" si="16"/>
        <v>1</v>
      </c>
      <c r="T365" s="102" t="str">
        <f>IF(TableRelationships12[[#This Row],[Rank Pedro]]="Low","linkCategory1",IF(TableRelationships12[[#This Row],[Rank Pedro]]="Medium","linkCategory2",IF(TableRelationships12[[#This Row],[Rank Pedro]]="High","linkCategory3","")))</f>
        <v/>
      </c>
      <c r="U365" s="102" t="str">
        <f>IF(TableRelationships12[[#This Row],[Rank Pedro]]="Low","Pink",IF(TableRelationships12[[#This Row],[Rank Pedro]]="Medium","Purple",IF(TableRelationships12[[#This Row],[Rank Pedro]]="High","Brown","")))</f>
        <v/>
      </c>
      <c r="V365" s="4">
        <f>MAX(INDEX(Standards!$F$2:$F$296,MATCH(B365,Standards!$B$2:$B$296,0)),INDEX(Standards!$F$2:$F$296,MATCH(C365,Standards!$B$2:$B$296,0)))</f>
        <v>36861</v>
      </c>
      <c r="W365">
        <f t="shared" si="17"/>
        <v>1</v>
      </c>
    </row>
    <row r="366" spans="1:23" x14ac:dyDescent="0.5">
      <c r="A366" s="54">
        <v>365</v>
      </c>
      <c r="B366" s="90" t="s">
        <v>300</v>
      </c>
      <c r="C366" t="s">
        <v>1086</v>
      </c>
      <c r="D366" s="1"/>
      <c r="E366" s="113">
        <v>1991.1</v>
      </c>
      <c r="F366" s="113">
        <v>2004.11</v>
      </c>
      <c r="G366" s="107" t="s">
        <v>1517</v>
      </c>
      <c r="H366">
        <f>INDEX('GIS-Standards'!$A$2:$A$305,MATCH(B366,'GIS-Standards'!$B$2:$B$305,0))</f>
        <v>14</v>
      </c>
      <c r="I366" t="e">
        <f>INDEX('GIS-Standards'!$A$2:$A$305,MATCH(C366,'GIS-Standards'!$B$2:$B$305,0))</f>
        <v>#N/A</v>
      </c>
      <c r="J366" t="str">
        <f>INDEX('GIS-Standards'!$O$2:$O$305,MATCH(B366,'GIS-Standards'!$B$2:$B$305,0))</f>
        <v>ISO/TC 211</v>
      </c>
      <c r="K366" t="e">
        <f>INDEX('GIS-Standards'!$O$2:$O$305,MATCH(C366,'GIS-Standards'!$B$2:$B$305,0))</f>
        <v>#N/A</v>
      </c>
      <c r="M366" t="s">
        <v>525</v>
      </c>
      <c r="N366">
        <f>INDEX('GIS-Standards'!$I$2:$I$305,MATCH(B366,'GIS-Standards'!$B$2:$B$305,0))</f>
        <v>0</v>
      </c>
      <c r="O366" t="e">
        <f>INDEX('GIS-Standards'!$I$2:$I$305,MATCH(C366,'GIS-Standards'!$B$2:$B$305,0))</f>
        <v>#N/A</v>
      </c>
      <c r="P366" t="e">
        <f>AND(TableRelationships12[[#This Row],[Source Type]]="BIM",TableRelationships12[[#This Row],[Target Type]]="BIM")</f>
        <v>#N/A</v>
      </c>
      <c r="Q366">
        <f t="shared" si="15"/>
        <v>1</v>
      </c>
      <c r="S366">
        <f t="shared" si="16"/>
        <v>1</v>
      </c>
      <c r="T366" s="102" t="str">
        <f>IF(TableRelationships12[[#This Row],[Rank Pedro]]="Low","linkCategory1",IF(TableRelationships12[[#This Row],[Rank Pedro]]="Medium","linkCategory2",IF(TableRelationships12[[#This Row],[Rank Pedro]]="High","linkCategory3","")))</f>
        <v/>
      </c>
      <c r="U366" s="102" t="str">
        <f>IF(TableRelationships12[[#This Row],[Rank Pedro]]="Low","Pink",IF(TableRelationships12[[#This Row],[Rank Pedro]]="Medium","Purple",IF(TableRelationships12[[#This Row],[Rank Pedro]]="High","Brown","")))</f>
        <v/>
      </c>
      <c r="V366" s="4" t="e">
        <f>MAX(INDEX(Standards!$F$2:$F$296,MATCH(B366,Standards!$B$2:$B$296,0)),INDEX(Standards!$F$2:$F$296,MATCH(C366,Standards!$B$2:$B$296,0)))</f>
        <v>#N/A</v>
      </c>
      <c r="W366" t="str">
        <f t="shared" si="17"/>
        <v>#2f89d1</v>
      </c>
    </row>
    <row r="367" spans="1:23" x14ac:dyDescent="0.5">
      <c r="A367" s="54">
        <v>366</v>
      </c>
      <c r="B367" s="90" t="s">
        <v>300</v>
      </c>
      <c r="C367" t="s">
        <v>1087</v>
      </c>
      <c r="D367" s="1"/>
      <c r="G367" s="107"/>
      <c r="H367">
        <f>INDEX('GIS-Standards'!$A$2:$A$305,MATCH(B367,'GIS-Standards'!$B$2:$B$305,0))</f>
        <v>14</v>
      </c>
      <c r="I367" t="e">
        <f>INDEX('GIS-Standards'!$A$2:$A$305,MATCH(C367,'GIS-Standards'!$B$2:$B$305,0))</f>
        <v>#N/A</v>
      </c>
      <c r="J367" t="str">
        <f>INDEX('GIS-Standards'!$O$2:$O$305,MATCH(B367,'GIS-Standards'!$B$2:$B$305,0))</f>
        <v>ISO/TC 211</v>
      </c>
      <c r="K367" t="e">
        <f>INDEX('GIS-Standards'!$O$2:$O$305,MATCH(C367,'GIS-Standards'!$B$2:$B$305,0))</f>
        <v>#N/A</v>
      </c>
      <c r="M367" t="s">
        <v>525</v>
      </c>
      <c r="N367">
        <f>INDEX('GIS-Standards'!$I$2:$I$305,MATCH(B367,'GIS-Standards'!$B$2:$B$305,0))</f>
        <v>0</v>
      </c>
      <c r="O367" t="e">
        <f>INDEX('GIS-Standards'!$I$2:$I$305,MATCH(C367,'GIS-Standards'!$B$2:$B$305,0))</f>
        <v>#N/A</v>
      </c>
      <c r="P367" t="e">
        <f>AND(TableRelationships12[[#This Row],[Source Type]]="BIM",TableRelationships12[[#This Row],[Target Type]]="BIM")</f>
        <v>#N/A</v>
      </c>
      <c r="Q367">
        <f t="shared" si="15"/>
        <v>1</v>
      </c>
      <c r="S367">
        <f t="shared" si="16"/>
        <v>1</v>
      </c>
      <c r="T367" s="102" t="str">
        <f>IF(TableRelationships12[[#This Row],[Rank Pedro]]="Low","linkCategory1",IF(TableRelationships12[[#This Row],[Rank Pedro]]="Medium","linkCategory2",IF(TableRelationships12[[#This Row],[Rank Pedro]]="High","linkCategory3","")))</f>
        <v/>
      </c>
      <c r="U367" s="102" t="str">
        <f>IF(TableRelationships12[[#This Row],[Rank Pedro]]="Low","Pink",IF(TableRelationships12[[#This Row],[Rank Pedro]]="Medium","Purple",IF(TableRelationships12[[#This Row],[Rank Pedro]]="High","Brown","")))</f>
        <v/>
      </c>
      <c r="V367" s="4" t="e">
        <f>MAX(INDEX(Standards!$F$2:$F$296,MATCH(B367,Standards!$B$2:$B$296,0)),INDEX(Standards!$F$2:$F$296,MATCH(C367,Standards!$B$2:$B$296,0)))</f>
        <v>#N/A</v>
      </c>
      <c r="W367" t="str">
        <f t="shared" si="17"/>
        <v>#2f89d1</v>
      </c>
    </row>
    <row r="368" spans="1:23" x14ac:dyDescent="0.5">
      <c r="A368" s="54">
        <v>367</v>
      </c>
      <c r="B368" s="90" t="s">
        <v>300</v>
      </c>
      <c r="C368" t="s">
        <v>1048</v>
      </c>
      <c r="D368" s="1"/>
      <c r="E368" s="112">
        <v>2005.1</v>
      </c>
      <c r="F368" s="112">
        <v>2021.02</v>
      </c>
      <c r="G368" s="107" t="s">
        <v>670</v>
      </c>
      <c r="H368">
        <f>INDEX('GIS-Standards'!$A$2:$A$305,MATCH(B368,'GIS-Standards'!$B$2:$B$305,0))</f>
        <v>14</v>
      </c>
      <c r="I368">
        <f>INDEX('GIS-Standards'!$A$2:$A$305,MATCH(C368,'GIS-Standards'!$B$2:$B$305,0))</f>
        <v>41</v>
      </c>
      <c r="J368" t="str">
        <f>INDEX('GIS-Standards'!$O$2:$O$305,MATCH(B368,'GIS-Standards'!$B$2:$B$305,0))</f>
        <v>ISO/TC 211</v>
      </c>
      <c r="K368" t="str">
        <f>INDEX('GIS-Standards'!$O$2:$O$305,MATCH(C368,'GIS-Standards'!$B$2:$B$305,0))</f>
        <v>ISO/TC 211</v>
      </c>
      <c r="M368" t="s">
        <v>525</v>
      </c>
      <c r="N368">
        <f>INDEX('GIS-Standards'!$I$2:$I$305,MATCH(B368,'GIS-Standards'!$B$2:$B$305,0))</f>
        <v>0</v>
      </c>
      <c r="O368" t="str">
        <f>INDEX('GIS-Standards'!$I$2:$I$305,MATCH(C368,'GIS-Standards'!$B$2:$B$305,0))</f>
        <v>03.2021</v>
      </c>
      <c r="P368" t="b">
        <f>AND(TableRelationships12[[#This Row],[Source Type]]="BIM",TableRelationships12[[#This Row],[Target Type]]="BIM")</f>
        <v>0</v>
      </c>
      <c r="Q368">
        <f t="shared" si="15"/>
        <v>1</v>
      </c>
      <c r="S368">
        <f t="shared" si="16"/>
        <v>1</v>
      </c>
      <c r="T368" s="102" t="str">
        <f>IF(TableRelationships12[[#This Row],[Rank Pedro]]="Low","linkCategory1",IF(TableRelationships12[[#This Row],[Rank Pedro]]="Medium","linkCategory2",IF(TableRelationships12[[#This Row],[Rank Pedro]]="High","linkCategory3","")))</f>
        <v/>
      </c>
      <c r="U368" s="102" t="str">
        <f>IF(TableRelationships12[[#This Row],[Rank Pedro]]="Low","Pink",IF(TableRelationships12[[#This Row],[Rank Pedro]]="Medium","Purple",IF(TableRelationships12[[#This Row],[Rank Pedro]]="High","Brown","")))</f>
        <v/>
      </c>
      <c r="V368" s="4" t="e">
        <f>MAX(INDEX(Standards!$F$2:$F$296,MATCH(B368,Standards!$B$2:$B$296,0)),INDEX(Standards!$F$2:$F$296,MATCH(C368,Standards!$B$2:$B$296,0)))</f>
        <v>#N/A</v>
      </c>
      <c r="W368" t="str">
        <f t="shared" si="17"/>
        <v>#2f89d1</v>
      </c>
    </row>
    <row r="369" spans="1:23" x14ac:dyDescent="0.5">
      <c r="A369" s="54">
        <v>368</v>
      </c>
      <c r="B369" s="90" t="s">
        <v>300</v>
      </c>
      <c r="C369" t="s">
        <v>1088</v>
      </c>
      <c r="D369" s="1"/>
      <c r="E369" s="112">
        <v>2017.1</v>
      </c>
      <c r="F369" s="112">
        <v>2023.02</v>
      </c>
      <c r="G369" s="107" t="s">
        <v>1503</v>
      </c>
      <c r="H369">
        <f>INDEX('GIS-Standards'!$A$2:$A$305,MATCH(B369,'GIS-Standards'!$B$2:$B$305,0))</f>
        <v>14</v>
      </c>
      <c r="I369" t="e">
        <f>INDEX('GIS-Standards'!$A$2:$A$305,MATCH(C369,'GIS-Standards'!$B$2:$B$305,0))</f>
        <v>#N/A</v>
      </c>
      <c r="J369" t="str">
        <f>INDEX('GIS-Standards'!$O$2:$O$305,MATCH(B369,'GIS-Standards'!$B$2:$B$305,0))</f>
        <v>ISO/TC 211</v>
      </c>
      <c r="K369" t="e">
        <f>INDEX('GIS-Standards'!$O$2:$O$305,MATCH(C369,'GIS-Standards'!$B$2:$B$305,0))</f>
        <v>#N/A</v>
      </c>
      <c r="M369" t="s">
        <v>525</v>
      </c>
      <c r="N369">
        <f>INDEX('GIS-Standards'!$I$2:$I$305,MATCH(B369,'GIS-Standards'!$B$2:$B$305,0))</f>
        <v>0</v>
      </c>
      <c r="O369" t="e">
        <f>INDEX('GIS-Standards'!$I$2:$I$305,MATCH(C369,'GIS-Standards'!$B$2:$B$305,0))</f>
        <v>#N/A</v>
      </c>
      <c r="P369" t="e">
        <f>AND(TableRelationships12[[#This Row],[Source Type]]="BIM",TableRelationships12[[#This Row],[Target Type]]="BIM")</f>
        <v>#N/A</v>
      </c>
      <c r="Q369">
        <f t="shared" si="15"/>
        <v>1</v>
      </c>
      <c r="S369">
        <f t="shared" si="16"/>
        <v>1</v>
      </c>
      <c r="T369" s="102" t="str">
        <f>IF(TableRelationships12[[#This Row],[Rank Pedro]]="Low","linkCategory1",IF(TableRelationships12[[#This Row],[Rank Pedro]]="Medium","linkCategory2",IF(TableRelationships12[[#This Row],[Rank Pedro]]="High","linkCategory3","")))</f>
        <v/>
      </c>
      <c r="U369" s="102" t="str">
        <f>IF(TableRelationships12[[#This Row],[Rank Pedro]]="Low","Pink",IF(TableRelationships12[[#This Row],[Rank Pedro]]="Medium","Purple",IF(TableRelationships12[[#This Row],[Rank Pedro]]="High","Brown","")))</f>
        <v/>
      </c>
      <c r="V369" s="4" t="e">
        <f>MAX(INDEX(Standards!$F$2:$F$296,MATCH(B369,Standards!$B$2:$B$296,0)),INDEX(Standards!$F$2:$F$296,MATCH(C369,Standards!$B$2:$B$296,0)))</f>
        <v>#N/A</v>
      </c>
      <c r="W369" t="str">
        <f t="shared" si="17"/>
        <v>#2f89d1</v>
      </c>
    </row>
    <row r="370" spans="1:23" x14ac:dyDescent="0.5">
      <c r="A370" s="54">
        <v>369</v>
      </c>
      <c r="B370" s="90" t="s">
        <v>300</v>
      </c>
      <c r="C370" t="s">
        <v>296</v>
      </c>
      <c r="D370" s="1"/>
      <c r="E370" s="112">
        <v>2005.07</v>
      </c>
      <c r="F370" s="112">
        <v>2024.09</v>
      </c>
      <c r="G370" s="107" t="s">
        <v>670</v>
      </c>
      <c r="H370">
        <f>INDEX('GIS-Standards'!$A$2:$A$305,MATCH(B370,'GIS-Standards'!$B$2:$B$305,0))</f>
        <v>14</v>
      </c>
      <c r="I370">
        <f>INDEX('GIS-Standards'!$A$2:$A$305,MATCH(C370,'GIS-Standards'!$B$2:$B$305,0))</f>
        <v>12</v>
      </c>
      <c r="J370" t="str">
        <f>INDEX('GIS-Standards'!$O$2:$O$305,MATCH(B370,'GIS-Standards'!$B$2:$B$305,0))</f>
        <v>ISO/TC 211</v>
      </c>
      <c r="K370" t="str">
        <f>INDEX('GIS-Standards'!$O$2:$O$305,MATCH(C370,'GIS-Standards'!$B$2:$B$305,0))</f>
        <v>ISO/TC 211</v>
      </c>
      <c r="M370" t="s">
        <v>525</v>
      </c>
      <c r="N370">
        <f>INDEX('GIS-Standards'!$I$2:$I$305,MATCH(B370,'GIS-Standards'!$B$2:$B$305,0))</f>
        <v>0</v>
      </c>
      <c r="O370">
        <f>INDEX('GIS-Standards'!$I$2:$I$305,MATCH(C370,'GIS-Standards'!$B$2:$B$305,0))</f>
        <v>0</v>
      </c>
      <c r="P370" t="b">
        <f>AND(TableRelationships12[[#This Row],[Source Type]]="BIM",TableRelationships12[[#This Row],[Target Type]]="BIM")</f>
        <v>0</v>
      </c>
      <c r="Q370">
        <f t="shared" si="15"/>
        <v>1</v>
      </c>
      <c r="S370">
        <f t="shared" si="16"/>
        <v>1</v>
      </c>
      <c r="T370" s="102" t="str">
        <f>IF(TableRelationships12[[#This Row],[Rank Pedro]]="Low","linkCategory1",IF(TableRelationships12[[#This Row],[Rank Pedro]]="Medium","linkCategory2",IF(TableRelationships12[[#This Row],[Rank Pedro]]="High","linkCategory3","")))</f>
        <v/>
      </c>
      <c r="U370" s="102" t="str">
        <f>IF(TableRelationships12[[#This Row],[Rank Pedro]]="Low","Pink",IF(TableRelationships12[[#This Row],[Rank Pedro]]="Medium","Purple",IF(TableRelationships12[[#This Row],[Rank Pedro]]="High","Brown","")))</f>
        <v/>
      </c>
      <c r="V370" s="4">
        <f>MAX(INDEX(Standards!$F$2:$F$296,MATCH(B370,Standards!$B$2:$B$296,0)),INDEX(Standards!$F$2:$F$296,MATCH(C370,Standards!$B$2:$B$296,0)))</f>
        <v>38534</v>
      </c>
      <c r="W370" t="str">
        <f t="shared" si="17"/>
        <v>#2f89d1</v>
      </c>
    </row>
    <row r="371" spans="1:23" x14ac:dyDescent="0.5">
      <c r="A371" s="54">
        <v>370</v>
      </c>
      <c r="B371" s="90" t="s">
        <v>300</v>
      </c>
      <c r="C371" t="s">
        <v>1089</v>
      </c>
      <c r="D371" s="1"/>
      <c r="E371" s="113">
        <v>1991.07</v>
      </c>
      <c r="F371" s="113">
        <v>1994.12</v>
      </c>
      <c r="G371" s="107" t="s">
        <v>1489</v>
      </c>
      <c r="H371">
        <f>INDEX('GIS-Standards'!$A$2:$A$305,MATCH(B371,'GIS-Standards'!$B$2:$B$305,0))</f>
        <v>14</v>
      </c>
      <c r="I371" t="e">
        <f>INDEX('GIS-Standards'!$A$2:$A$305,MATCH(C371,'GIS-Standards'!$B$2:$B$305,0))</f>
        <v>#N/A</v>
      </c>
      <c r="J371" t="str">
        <f>INDEX('GIS-Standards'!$O$2:$O$305,MATCH(B371,'GIS-Standards'!$B$2:$B$305,0))</f>
        <v>ISO/TC 211</v>
      </c>
      <c r="K371" t="e">
        <f>INDEX('GIS-Standards'!$O$2:$O$305,MATCH(C371,'GIS-Standards'!$B$2:$B$305,0))</f>
        <v>#N/A</v>
      </c>
      <c r="M371" t="s">
        <v>525</v>
      </c>
      <c r="N371">
        <f>INDEX('GIS-Standards'!$I$2:$I$305,MATCH(B371,'GIS-Standards'!$B$2:$B$305,0))</f>
        <v>0</v>
      </c>
      <c r="O371" t="e">
        <f>INDEX('GIS-Standards'!$I$2:$I$305,MATCH(C371,'GIS-Standards'!$B$2:$B$305,0))</f>
        <v>#N/A</v>
      </c>
      <c r="P371" t="e">
        <f>AND(TableRelationships12[[#This Row],[Source Type]]="BIM",TableRelationships12[[#This Row],[Target Type]]="BIM")</f>
        <v>#N/A</v>
      </c>
      <c r="Q371">
        <f t="shared" si="15"/>
        <v>1</v>
      </c>
      <c r="S371">
        <f t="shared" si="16"/>
        <v>1</v>
      </c>
      <c r="T371" s="102" t="str">
        <f>IF(TableRelationships12[[#This Row],[Rank Pedro]]="Low","linkCategory1",IF(TableRelationships12[[#This Row],[Rank Pedro]]="Medium","linkCategory2",IF(TableRelationships12[[#This Row],[Rank Pedro]]="High","linkCategory3","")))</f>
        <v/>
      </c>
      <c r="U371" s="102" t="str">
        <f>IF(TableRelationships12[[#This Row],[Rank Pedro]]="Low","Pink",IF(TableRelationships12[[#This Row],[Rank Pedro]]="Medium","Purple",IF(TableRelationships12[[#This Row],[Rank Pedro]]="High","Brown","")))</f>
        <v/>
      </c>
      <c r="V371" s="4" t="e">
        <f>MAX(INDEX(Standards!$F$2:$F$296,MATCH(B371,Standards!$B$2:$B$296,0)),INDEX(Standards!$F$2:$F$296,MATCH(C371,Standards!$B$2:$B$296,0)))</f>
        <v>#N/A</v>
      </c>
      <c r="W371" t="str">
        <f t="shared" si="17"/>
        <v>#2f89d1</v>
      </c>
    </row>
    <row r="372" spans="1:23" x14ac:dyDescent="0.5">
      <c r="A372" s="54">
        <v>371</v>
      </c>
      <c r="B372" s="90" t="s">
        <v>300</v>
      </c>
      <c r="C372" t="s">
        <v>1090</v>
      </c>
      <c r="D372" s="1"/>
      <c r="E372" s="112">
        <v>1994.12</v>
      </c>
      <c r="F372" s="112">
        <v>1994.12</v>
      </c>
      <c r="G372" s="107" t="s">
        <v>1448</v>
      </c>
      <c r="H372">
        <f>INDEX('GIS-Standards'!$A$2:$A$305,MATCH(B372,'GIS-Standards'!$B$2:$B$305,0))</f>
        <v>14</v>
      </c>
      <c r="I372" t="e">
        <f>INDEX('GIS-Standards'!$A$2:$A$305,MATCH(C372,'GIS-Standards'!$B$2:$B$305,0))</f>
        <v>#N/A</v>
      </c>
      <c r="J372" t="str">
        <f>INDEX('GIS-Standards'!$O$2:$O$305,MATCH(B372,'GIS-Standards'!$B$2:$B$305,0))</f>
        <v>ISO/TC 211</v>
      </c>
      <c r="K372" t="e">
        <f>INDEX('GIS-Standards'!$O$2:$O$305,MATCH(C372,'GIS-Standards'!$B$2:$B$305,0))</f>
        <v>#N/A</v>
      </c>
      <c r="M372" t="s">
        <v>525</v>
      </c>
      <c r="N372">
        <f>INDEX('GIS-Standards'!$I$2:$I$305,MATCH(B372,'GIS-Standards'!$B$2:$B$305,0))</f>
        <v>0</v>
      </c>
      <c r="O372" t="e">
        <f>INDEX('GIS-Standards'!$I$2:$I$305,MATCH(C372,'GIS-Standards'!$B$2:$B$305,0))</f>
        <v>#N/A</v>
      </c>
      <c r="P372" t="e">
        <f>AND(TableRelationships12[[#This Row],[Source Type]]="BIM",TableRelationships12[[#This Row],[Target Type]]="BIM")</f>
        <v>#N/A</v>
      </c>
      <c r="Q372">
        <f t="shared" si="15"/>
        <v>1</v>
      </c>
      <c r="S372">
        <f t="shared" si="16"/>
        <v>1</v>
      </c>
      <c r="T372" s="102" t="str">
        <f>IF(TableRelationships12[[#This Row],[Rank Pedro]]="Low","linkCategory1",IF(TableRelationships12[[#This Row],[Rank Pedro]]="Medium","linkCategory2",IF(TableRelationships12[[#This Row],[Rank Pedro]]="High","linkCategory3","")))</f>
        <v/>
      </c>
      <c r="U372" s="102" t="str">
        <f>IF(TableRelationships12[[#This Row],[Rank Pedro]]="Low","Pink",IF(TableRelationships12[[#This Row],[Rank Pedro]]="Medium","Purple",IF(TableRelationships12[[#This Row],[Rank Pedro]]="High","Brown","")))</f>
        <v/>
      </c>
      <c r="V372" s="4" t="e">
        <f>MAX(INDEX(Standards!$F$2:$F$296,MATCH(B372,Standards!$B$2:$B$296,0)),INDEX(Standards!$F$2:$F$296,MATCH(C372,Standards!$B$2:$B$296,0)))</f>
        <v>#N/A</v>
      </c>
      <c r="W372" t="str">
        <f t="shared" si="17"/>
        <v>#2f89d1</v>
      </c>
    </row>
    <row r="373" spans="1:23" x14ac:dyDescent="0.5">
      <c r="A373" s="54">
        <v>372</v>
      </c>
      <c r="B373" s="90" t="s">
        <v>300</v>
      </c>
      <c r="C373" t="s">
        <v>1091</v>
      </c>
      <c r="D373" s="1"/>
      <c r="E373" s="112">
        <v>1993.07</v>
      </c>
      <c r="F373" s="112">
        <v>1993.07</v>
      </c>
      <c r="G373" s="107" t="s">
        <v>1500</v>
      </c>
      <c r="H373">
        <f>INDEX('GIS-Standards'!$A$2:$A$305,MATCH(B373,'GIS-Standards'!$B$2:$B$305,0))</f>
        <v>14</v>
      </c>
      <c r="I373" t="e">
        <f>INDEX('GIS-Standards'!$A$2:$A$305,MATCH(C373,'GIS-Standards'!$B$2:$B$305,0))</f>
        <v>#N/A</v>
      </c>
      <c r="J373" t="str">
        <f>INDEX('GIS-Standards'!$O$2:$O$305,MATCH(B373,'GIS-Standards'!$B$2:$B$305,0))</f>
        <v>ISO/TC 211</v>
      </c>
      <c r="K373" t="e">
        <f>INDEX('GIS-Standards'!$O$2:$O$305,MATCH(C373,'GIS-Standards'!$B$2:$B$305,0))</f>
        <v>#N/A</v>
      </c>
      <c r="M373" t="s">
        <v>525</v>
      </c>
      <c r="N373">
        <f>INDEX('GIS-Standards'!$I$2:$I$305,MATCH(B373,'GIS-Standards'!$B$2:$B$305,0))</f>
        <v>0</v>
      </c>
      <c r="O373" t="e">
        <f>INDEX('GIS-Standards'!$I$2:$I$305,MATCH(C373,'GIS-Standards'!$B$2:$B$305,0))</f>
        <v>#N/A</v>
      </c>
      <c r="P373" t="e">
        <f>AND(TableRelationships12[[#This Row],[Source Type]]="BIM",TableRelationships12[[#This Row],[Target Type]]="BIM")</f>
        <v>#N/A</v>
      </c>
      <c r="Q373">
        <f t="shared" si="15"/>
        <v>1</v>
      </c>
      <c r="S373">
        <f t="shared" si="16"/>
        <v>1</v>
      </c>
      <c r="T373" s="102" t="str">
        <f>IF(TableRelationships12[[#This Row],[Rank Pedro]]="Low","linkCategory1",IF(TableRelationships12[[#This Row],[Rank Pedro]]="Medium","linkCategory2",IF(TableRelationships12[[#This Row],[Rank Pedro]]="High","linkCategory3","")))</f>
        <v/>
      </c>
      <c r="U373" s="102" t="str">
        <f>IF(TableRelationships12[[#This Row],[Rank Pedro]]="Low","Pink",IF(TableRelationships12[[#This Row],[Rank Pedro]]="Medium","Purple",IF(TableRelationships12[[#This Row],[Rank Pedro]]="High","Brown","")))</f>
        <v/>
      </c>
      <c r="V373" s="4" t="e">
        <f>MAX(INDEX(Standards!$F$2:$F$296,MATCH(B373,Standards!$B$2:$B$296,0)),INDEX(Standards!$F$2:$F$296,MATCH(C373,Standards!$B$2:$B$296,0)))</f>
        <v>#N/A</v>
      </c>
      <c r="W373" t="str">
        <f t="shared" si="17"/>
        <v>#2f89d1</v>
      </c>
    </row>
    <row r="374" spans="1:23" x14ac:dyDescent="0.5">
      <c r="A374" s="54">
        <v>373</v>
      </c>
      <c r="B374" s="90" t="s">
        <v>300</v>
      </c>
      <c r="C374" t="s">
        <v>1092</v>
      </c>
      <c r="D374" s="1"/>
      <c r="E374" s="113">
        <v>1991.07</v>
      </c>
      <c r="F374" s="113">
        <v>1994.12</v>
      </c>
      <c r="G374" s="107" t="s">
        <v>1489</v>
      </c>
      <c r="H374">
        <f>INDEX('GIS-Standards'!$A$2:$A$305,MATCH(B374,'GIS-Standards'!$B$2:$B$305,0))</f>
        <v>14</v>
      </c>
      <c r="I374" t="e">
        <f>INDEX('GIS-Standards'!$A$2:$A$305,MATCH(C374,'GIS-Standards'!$B$2:$B$305,0))</f>
        <v>#N/A</v>
      </c>
      <c r="J374" t="str">
        <f>INDEX('GIS-Standards'!$O$2:$O$305,MATCH(B374,'GIS-Standards'!$B$2:$B$305,0))</f>
        <v>ISO/TC 211</v>
      </c>
      <c r="K374" t="e">
        <f>INDEX('GIS-Standards'!$O$2:$O$305,MATCH(C374,'GIS-Standards'!$B$2:$B$305,0))</f>
        <v>#N/A</v>
      </c>
      <c r="M374" t="s">
        <v>525</v>
      </c>
      <c r="N374">
        <f>INDEX('GIS-Standards'!$I$2:$I$305,MATCH(B374,'GIS-Standards'!$B$2:$B$305,0))</f>
        <v>0</v>
      </c>
      <c r="O374" t="e">
        <f>INDEX('GIS-Standards'!$I$2:$I$305,MATCH(C374,'GIS-Standards'!$B$2:$B$305,0))</f>
        <v>#N/A</v>
      </c>
      <c r="P374" t="e">
        <f>AND(TableRelationships12[[#This Row],[Source Type]]="BIM",TableRelationships12[[#This Row],[Target Type]]="BIM")</f>
        <v>#N/A</v>
      </c>
      <c r="Q374">
        <f t="shared" si="15"/>
        <v>1</v>
      </c>
      <c r="S374">
        <f t="shared" si="16"/>
        <v>1</v>
      </c>
      <c r="T374" s="102" t="str">
        <f>IF(TableRelationships12[[#This Row],[Rank Pedro]]="Low","linkCategory1",IF(TableRelationships12[[#This Row],[Rank Pedro]]="Medium","linkCategory2",IF(TableRelationships12[[#This Row],[Rank Pedro]]="High","linkCategory3","")))</f>
        <v/>
      </c>
      <c r="U374" s="102" t="str">
        <f>IF(TableRelationships12[[#This Row],[Rank Pedro]]="Low","Pink",IF(TableRelationships12[[#This Row],[Rank Pedro]]="Medium","Purple",IF(TableRelationships12[[#This Row],[Rank Pedro]]="High","Brown","")))</f>
        <v/>
      </c>
      <c r="V374" s="4" t="e">
        <f>MAX(INDEX(Standards!$F$2:$F$296,MATCH(B374,Standards!$B$2:$B$296,0)),INDEX(Standards!$F$2:$F$296,MATCH(C374,Standards!$B$2:$B$296,0)))</f>
        <v>#N/A</v>
      </c>
      <c r="W374" t="str">
        <f t="shared" si="17"/>
        <v>#2f89d1</v>
      </c>
    </row>
    <row r="375" spans="1:23" x14ac:dyDescent="0.5">
      <c r="A375" s="54">
        <v>374</v>
      </c>
      <c r="B375" s="90" t="s">
        <v>300</v>
      </c>
      <c r="C375" t="s">
        <v>1093</v>
      </c>
      <c r="D375" s="1"/>
      <c r="E375" s="112">
        <v>1978.09</v>
      </c>
      <c r="F375" s="112">
        <v>2017.11</v>
      </c>
      <c r="G375" s="107" t="s">
        <v>1508</v>
      </c>
      <c r="H375">
        <f>INDEX('GIS-Standards'!$A$2:$A$305,MATCH(B375,'GIS-Standards'!$B$2:$B$305,0))</f>
        <v>14</v>
      </c>
      <c r="I375" t="e">
        <f>INDEX('GIS-Standards'!$A$2:$A$305,MATCH(C375,'GIS-Standards'!$B$2:$B$305,0))</f>
        <v>#N/A</v>
      </c>
      <c r="J375" t="str">
        <f>INDEX('GIS-Standards'!$O$2:$O$305,MATCH(B375,'GIS-Standards'!$B$2:$B$305,0))</f>
        <v>ISO/TC 211</v>
      </c>
      <c r="K375" t="e">
        <f>INDEX('GIS-Standards'!$O$2:$O$305,MATCH(C375,'GIS-Standards'!$B$2:$B$305,0))</f>
        <v>#N/A</v>
      </c>
      <c r="M375" t="s">
        <v>525</v>
      </c>
      <c r="N375">
        <f>INDEX('GIS-Standards'!$I$2:$I$305,MATCH(B375,'GIS-Standards'!$B$2:$B$305,0))</f>
        <v>0</v>
      </c>
      <c r="O375" t="e">
        <f>INDEX('GIS-Standards'!$I$2:$I$305,MATCH(C375,'GIS-Standards'!$B$2:$B$305,0))</f>
        <v>#N/A</v>
      </c>
      <c r="P375" t="e">
        <f>AND(TableRelationships12[[#This Row],[Source Type]]="BIM",TableRelationships12[[#This Row],[Target Type]]="BIM")</f>
        <v>#N/A</v>
      </c>
      <c r="Q375">
        <f t="shared" si="15"/>
        <v>1</v>
      </c>
      <c r="S375">
        <f t="shared" si="16"/>
        <v>1</v>
      </c>
      <c r="T375" s="102" t="str">
        <f>IF(TableRelationships12[[#This Row],[Rank Pedro]]="Low","linkCategory1",IF(TableRelationships12[[#This Row],[Rank Pedro]]="Medium","linkCategory2",IF(TableRelationships12[[#This Row],[Rank Pedro]]="High","linkCategory3","")))</f>
        <v/>
      </c>
      <c r="U375" s="102" t="str">
        <f>IF(TableRelationships12[[#This Row],[Rank Pedro]]="Low","Pink",IF(TableRelationships12[[#This Row],[Rank Pedro]]="Medium","Purple",IF(TableRelationships12[[#This Row],[Rank Pedro]]="High","Brown","")))</f>
        <v/>
      </c>
      <c r="V375" s="4" t="e">
        <f>MAX(INDEX(Standards!$F$2:$F$296,MATCH(B375,Standards!$B$2:$B$296,0)),INDEX(Standards!$F$2:$F$296,MATCH(C375,Standards!$B$2:$B$296,0)))</f>
        <v>#N/A</v>
      </c>
      <c r="W375" t="str">
        <f t="shared" si="17"/>
        <v>#2f89d1</v>
      </c>
    </row>
    <row r="376" spans="1:23" x14ac:dyDescent="0.5">
      <c r="A376" s="54">
        <v>375</v>
      </c>
      <c r="B376" s="90" t="s">
        <v>300</v>
      </c>
      <c r="C376" t="s">
        <v>1094</v>
      </c>
      <c r="D376" s="1"/>
      <c r="E376" s="113">
        <v>1991.07</v>
      </c>
      <c r="F376" s="113">
        <v>1994.12</v>
      </c>
      <c r="G376" s="107" t="s">
        <v>1489</v>
      </c>
      <c r="H376">
        <f>INDEX('GIS-Standards'!$A$2:$A$305,MATCH(B376,'GIS-Standards'!$B$2:$B$305,0))</f>
        <v>14</v>
      </c>
      <c r="I376" t="e">
        <f>INDEX('GIS-Standards'!$A$2:$A$305,MATCH(C376,'GIS-Standards'!$B$2:$B$305,0))</f>
        <v>#N/A</v>
      </c>
      <c r="J376" t="str">
        <f>INDEX('GIS-Standards'!$O$2:$O$305,MATCH(B376,'GIS-Standards'!$B$2:$B$305,0))</f>
        <v>ISO/TC 211</v>
      </c>
      <c r="K376" t="e">
        <f>INDEX('GIS-Standards'!$O$2:$O$305,MATCH(C376,'GIS-Standards'!$B$2:$B$305,0))</f>
        <v>#N/A</v>
      </c>
      <c r="M376" t="s">
        <v>525</v>
      </c>
      <c r="N376">
        <f>INDEX('GIS-Standards'!$I$2:$I$305,MATCH(B376,'GIS-Standards'!$B$2:$B$305,0))</f>
        <v>0</v>
      </c>
      <c r="O376" t="e">
        <f>INDEX('GIS-Standards'!$I$2:$I$305,MATCH(C376,'GIS-Standards'!$B$2:$B$305,0))</f>
        <v>#N/A</v>
      </c>
      <c r="P376" t="e">
        <f>AND(TableRelationships12[[#This Row],[Source Type]]="BIM",TableRelationships12[[#This Row],[Target Type]]="BIM")</f>
        <v>#N/A</v>
      </c>
      <c r="Q376">
        <f t="shared" si="15"/>
        <v>1</v>
      </c>
      <c r="S376">
        <f t="shared" si="16"/>
        <v>1</v>
      </c>
      <c r="T376" s="102" t="str">
        <f>IF(TableRelationships12[[#This Row],[Rank Pedro]]="Low","linkCategory1",IF(TableRelationships12[[#This Row],[Rank Pedro]]="Medium","linkCategory2",IF(TableRelationships12[[#This Row],[Rank Pedro]]="High","linkCategory3","")))</f>
        <v/>
      </c>
      <c r="U376" s="102" t="str">
        <f>IF(TableRelationships12[[#This Row],[Rank Pedro]]="Low","Pink",IF(TableRelationships12[[#This Row],[Rank Pedro]]="Medium","Purple",IF(TableRelationships12[[#This Row],[Rank Pedro]]="High","Brown","")))</f>
        <v/>
      </c>
      <c r="V376" s="4" t="e">
        <f>MAX(INDEX(Standards!$F$2:$F$296,MATCH(B376,Standards!$B$2:$B$296,0)),INDEX(Standards!$F$2:$F$296,MATCH(C376,Standards!$B$2:$B$296,0)))</f>
        <v>#N/A</v>
      </c>
      <c r="W376" t="str">
        <f t="shared" si="17"/>
        <v>#2f89d1</v>
      </c>
    </row>
    <row r="377" spans="1:23" x14ac:dyDescent="0.5">
      <c r="A377" s="54">
        <v>376</v>
      </c>
      <c r="B377" s="90" t="s">
        <v>300</v>
      </c>
      <c r="C377" t="s">
        <v>1399</v>
      </c>
      <c r="D377" s="1"/>
      <c r="G377" s="107"/>
      <c r="H377">
        <f>INDEX('GIS-Standards'!$A$2:$A$305,MATCH(B377,'GIS-Standards'!$B$2:$B$305,0))</f>
        <v>14</v>
      </c>
      <c r="I377" t="e">
        <f>INDEX('GIS-Standards'!$A$2:$A$305,MATCH(C377,'GIS-Standards'!$B$2:$B$305,0))</f>
        <v>#N/A</v>
      </c>
      <c r="J377" t="str">
        <f>INDEX('GIS-Standards'!$O$2:$O$305,MATCH(B377,'GIS-Standards'!$B$2:$B$305,0))</f>
        <v>ISO/TC 211</v>
      </c>
      <c r="K377" t="e">
        <f>INDEX('GIS-Standards'!$O$2:$O$305,MATCH(C377,'GIS-Standards'!$B$2:$B$305,0))</f>
        <v>#N/A</v>
      </c>
      <c r="M377" t="s">
        <v>525</v>
      </c>
      <c r="N377">
        <f>INDEX('GIS-Standards'!$I$2:$I$305,MATCH(B377,'GIS-Standards'!$B$2:$B$305,0))</f>
        <v>0</v>
      </c>
      <c r="O377" t="e">
        <f>INDEX('GIS-Standards'!$I$2:$I$305,MATCH(C377,'GIS-Standards'!$B$2:$B$305,0))</f>
        <v>#N/A</v>
      </c>
      <c r="P377" t="e">
        <f>AND(TableRelationships12[[#This Row],[Source Type]]="BIM",TableRelationships12[[#This Row],[Target Type]]="BIM")</f>
        <v>#N/A</v>
      </c>
      <c r="Q377">
        <f t="shared" si="15"/>
        <v>1</v>
      </c>
      <c r="S377">
        <f t="shared" si="16"/>
        <v>1</v>
      </c>
      <c r="T377" s="102" t="str">
        <f>IF(TableRelationships12[[#This Row],[Rank Pedro]]="Low","linkCategory1",IF(TableRelationships12[[#This Row],[Rank Pedro]]="Medium","linkCategory2",IF(TableRelationships12[[#This Row],[Rank Pedro]]="High","linkCategory3","")))</f>
        <v/>
      </c>
      <c r="U377" s="102" t="str">
        <f>IF(TableRelationships12[[#This Row],[Rank Pedro]]="Low","Pink",IF(TableRelationships12[[#This Row],[Rank Pedro]]="Medium","Purple",IF(TableRelationships12[[#This Row],[Rank Pedro]]="High","Brown","")))</f>
        <v/>
      </c>
      <c r="V377" s="4" t="e">
        <f>MAX(INDEX(Standards!$F$2:$F$296,MATCH(B377,Standards!$B$2:$B$296,0)),INDEX(Standards!$F$2:$F$296,MATCH(C377,Standards!$B$2:$B$296,0)))</f>
        <v>#N/A</v>
      </c>
      <c r="W377" t="str">
        <f t="shared" si="17"/>
        <v>#2f89d1</v>
      </c>
    </row>
    <row r="378" spans="1:23" x14ac:dyDescent="0.5">
      <c r="A378" s="54">
        <v>377</v>
      </c>
      <c r="B378" s="90" t="s">
        <v>300</v>
      </c>
      <c r="C378" t="s">
        <v>94</v>
      </c>
      <c r="D378" s="1" t="s">
        <v>1676</v>
      </c>
      <c r="E378" s="112">
        <v>2010.12</v>
      </c>
      <c r="F378" s="112">
        <v>2017.09</v>
      </c>
      <c r="G378" s="107" t="s">
        <v>1522</v>
      </c>
      <c r="H378">
        <f>INDEX('GIS-Standards'!$A$2:$A$305,MATCH(B378,'GIS-Standards'!$B$2:$B$305,0))</f>
        <v>14</v>
      </c>
      <c r="I378" t="e">
        <f>INDEX('GIS-Standards'!$A$2:$A$305,MATCH(C378,'GIS-Standards'!$B$2:$B$305,0))</f>
        <v>#N/A</v>
      </c>
      <c r="J378" t="str">
        <f>INDEX('GIS-Standards'!$O$2:$O$305,MATCH(B378,'GIS-Standards'!$B$2:$B$305,0))</f>
        <v>ISO/TC 211</v>
      </c>
      <c r="K378" t="e">
        <f>INDEX('GIS-Standards'!$O$2:$O$305,MATCH(C378,'GIS-Standards'!$B$2:$B$305,0))</f>
        <v>#N/A</v>
      </c>
      <c r="M378" t="s">
        <v>525</v>
      </c>
      <c r="N378">
        <f>INDEX('GIS-Standards'!$I$2:$I$305,MATCH(B378,'GIS-Standards'!$B$2:$B$305,0))</f>
        <v>0</v>
      </c>
      <c r="O378" t="e">
        <f>INDEX('GIS-Standards'!$I$2:$I$305,MATCH(C378,'GIS-Standards'!$B$2:$B$305,0))</f>
        <v>#N/A</v>
      </c>
      <c r="P378" t="e">
        <f>AND(TableRelationships12[[#This Row],[Source Type]]="BIM",TableRelationships12[[#This Row],[Target Type]]="BIM")</f>
        <v>#N/A</v>
      </c>
      <c r="Q378">
        <f t="shared" si="15"/>
        <v>1</v>
      </c>
      <c r="S378">
        <f t="shared" si="16"/>
        <v>1</v>
      </c>
      <c r="T378" s="102" t="str">
        <f>IF(TableRelationships12[[#This Row],[Rank Pedro]]="Low","linkCategory1",IF(TableRelationships12[[#This Row],[Rank Pedro]]="Medium","linkCategory2",IF(TableRelationships12[[#This Row],[Rank Pedro]]="High","linkCategory3","")))</f>
        <v/>
      </c>
      <c r="U378" s="102" t="str">
        <f>IF(TableRelationships12[[#This Row],[Rank Pedro]]="Low","Pink",IF(TableRelationships12[[#This Row],[Rank Pedro]]="Medium","Purple",IF(TableRelationships12[[#This Row],[Rank Pedro]]="High","Brown","")))</f>
        <v/>
      </c>
      <c r="V378" s="4">
        <f>MAX(INDEX(Standards!$F$2:$F$296,MATCH(B378,Standards!$B$2:$B$296,0)),INDEX(Standards!$F$2:$F$296,MATCH(C378,Standards!$B$2:$B$296,0)))</f>
        <v>40179</v>
      </c>
      <c r="W378" t="str">
        <f t="shared" si="17"/>
        <v>#2f89d1</v>
      </c>
    </row>
    <row r="379" spans="1:23" x14ac:dyDescent="0.5">
      <c r="A379" s="54">
        <v>378</v>
      </c>
      <c r="B379" s="90" t="s">
        <v>300</v>
      </c>
      <c r="C379" t="s">
        <v>1095</v>
      </c>
      <c r="D379" s="1"/>
      <c r="F379" s="112">
        <v>2024.11</v>
      </c>
      <c r="G379" s="107" t="s">
        <v>1669</v>
      </c>
      <c r="H379">
        <f>INDEX('GIS-Standards'!$A$2:$A$305,MATCH(B379,'GIS-Standards'!$B$2:$B$305,0))</f>
        <v>14</v>
      </c>
      <c r="I379" t="e">
        <f>INDEX('GIS-Standards'!$A$2:$A$305,MATCH(C379,'GIS-Standards'!$B$2:$B$305,0))</f>
        <v>#N/A</v>
      </c>
      <c r="J379" t="str">
        <f>INDEX('GIS-Standards'!$O$2:$O$305,MATCH(B379,'GIS-Standards'!$B$2:$B$305,0))</f>
        <v>ISO/TC 211</v>
      </c>
      <c r="K379" t="e">
        <f>INDEX('GIS-Standards'!$O$2:$O$305,MATCH(C379,'GIS-Standards'!$B$2:$B$305,0))</f>
        <v>#N/A</v>
      </c>
      <c r="M379" t="s">
        <v>525</v>
      </c>
      <c r="N379">
        <f>INDEX('GIS-Standards'!$I$2:$I$305,MATCH(B379,'GIS-Standards'!$B$2:$B$305,0))</f>
        <v>0</v>
      </c>
      <c r="O379" t="e">
        <f>INDEX('GIS-Standards'!$I$2:$I$305,MATCH(C379,'GIS-Standards'!$B$2:$B$305,0))</f>
        <v>#N/A</v>
      </c>
      <c r="P379" t="e">
        <f>AND(TableRelationships12[[#This Row],[Source Type]]="BIM",TableRelationships12[[#This Row],[Target Type]]="BIM")</f>
        <v>#N/A</v>
      </c>
      <c r="Q379">
        <f t="shared" si="15"/>
        <v>1</v>
      </c>
      <c r="S379">
        <f t="shared" si="16"/>
        <v>1</v>
      </c>
      <c r="T379" s="102" t="str">
        <f>IF(TableRelationships12[[#This Row],[Rank Pedro]]="Low","linkCategory1",IF(TableRelationships12[[#This Row],[Rank Pedro]]="Medium","linkCategory2",IF(TableRelationships12[[#This Row],[Rank Pedro]]="High","linkCategory3","")))</f>
        <v/>
      </c>
      <c r="U379" s="102" t="str">
        <f>IF(TableRelationships12[[#This Row],[Rank Pedro]]="Low","Pink",IF(TableRelationships12[[#This Row],[Rank Pedro]]="Medium","Purple",IF(TableRelationships12[[#This Row],[Rank Pedro]]="High","Brown","")))</f>
        <v/>
      </c>
      <c r="V379" s="4" t="e">
        <f>MAX(INDEX(Standards!$F$2:$F$296,MATCH(B379,Standards!$B$2:$B$296,0)),INDEX(Standards!$F$2:$F$296,MATCH(C379,Standards!$B$2:$B$296,0)))</f>
        <v>#N/A</v>
      </c>
      <c r="W379" t="str">
        <f t="shared" si="17"/>
        <v>#2f89d1</v>
      </c>
    </row>
    <row r="380" spans="1:23" x14ac:dyDescent="0.5">
      <c r="A380" s="54">
        <v>379</v>
      </c>
      <c r="B380" s="90" t="s">
        <v>1040</v>
      </c>
      <c r="C380" t="s">
        <v>527</v>
      </c>
      <c r="D380" s="1"/>
      <c r="E380" s="112" t="s">
        <v>933</v>
      </c>
      <c r="F380" s="112" t="s">
        <v>933</v>
      </c>
      <c r="G380" s="121" t="s">
        <v>670</v>
      </c>
      <c r="H380">
        <f>INDEX('GIS-Standards'!$A$2:$A$305,MATCH(B380,'GIS-Standards'!$B$2:$B$305,0))</f>
        <v>15</v>
      </c>
      <c r="I380" t="e">
        <f>INDEX('GIS-Standards'!$A$2:$A$305,MATCH(C380,'GIS-Standards'!$B$2:$B$305,0))</f>
        <v>#N/A</v>
      </c>
      <c r="J380" t="str">
        <f>INDEX('GIS-Standards'!$O$2:$O$305,MATCH(B380,'GIS-Standards'!$B$2:$B$305,0))</f>
        <v>ISO/TC 211</v>
      </c>
      <c r="K380" t="e">
        <f>INDEX('GIS-Standards'!$O$2:$O$305,MATCH(C380,'GIS-Standards'!$B$2:$B$305,0))</f>
        <v>#N/A</v>
      </c>
      <c r="M380" t="s">
        <v>237</v>
      </c>
      <c r="N380">
        <f>INDEX('GIS-Standards'!$I$2:$I$305,MATCH(B380,'GIS-Standards'!$B$2:$B$305,0))</f>
        <v>0</v>
      </c>
      <c r="O380" t="e">
        <f>INDEX('GIS-Standards'!$I$2:$I$305,MATCH(C380,'GIS-Standards'!$B$2:$B$305,0))</f>
        <v>#N/A</v>
      </c>
      <c r="P380" t="e">
        <f>AND(TableRelationships12[[#This Row],[Source Type]]="BIM",TableRelationships12[[#This Row],[Target Type]]="BIM")</f>
        <v>#N/A</v>
      </c>
      <c r="Q380">
        <f t="shared" si="15"/>
        <v>2</v>
      </c>
      <c r="S380">
        <f t="shared" si="16"/>
        <v>1</v>
      </c>
      <c r="T380" s="102" t="str">
        <f>IF(TableRelationships12[[#This Row],[Rank Pedro]]="Low","linkCategory1",IF(TableRelationships12[[#This Row],[Rank Pedro]]="Medium","linkCategory2",IF(TableRelationships12[[#This Row],[Rank Pedro]]="High","linkCategory3","")))</f>
        <v/>
      </c>
      <c r="U380" s="102" t="str">
        <f>IF(TableRelationships12[[#This Row],[Rank Pedro]]="Low","Pink",IF(TableRelationships12[[#This Row],[Rank Pedro]]="Medium","Purple",IF(TableRelationships12[[#This Row],[Rank Pedro]]="High","Brown","")))</f>
        <v/>
      </c>
      <c r="V380" s="4" t="e">
        <f>MAX(INDEX(Standards!$F$2:$F$296,MATCH(B380,Standards!$B$2:$B$296,0)),INDEX(Standards!$F$2:$F$296,MATCH(C380,Standards!$B$2:$B$296,0)))</f>
        <v>#N/A</v>
      </c>
      <c r="W380">
        <f t="shared" si="17"/>
        <v>1</v>
      </c>
    </row>
    <row r="381" spans="1:23" x14ac:dyDescent="0.5">
      <c r="A381" s="54">
        <v>380</v>
      </c>
      <c r="B381" s="90" t="s">
        <v>1040</v>
      </c>
      <c r="C381" t="s">
        <v>293</v>
      </c>
      <c r="D381" s="1" t="s">
        <v>1127</v>
      </c>
      <c r="E381" s="112">
        <v>2002.07</v>
      </c>
      <c r="F381" s="112">
        <v>2014.11</v>
      </c>
      <c r="G381" s="107" t="s">
        <v>670</v>
      </c>
      <c r="H381">
        <f>INDEX('GIS-Standards'!$A$2:$A$305,MATCH(B381,'GIS-Standards'!$B$2:$B$305,0))</f>
        <v>15</v>
      </c>
      <c r="I381" t="e">
        <f>INDEX('GIS-Standards'!$A$2:$A$305,MATCH(D381,'GIS-Standards'!$B$2:$B$305,0))</f>
        <v>#N/A</v>
      </c>
      <c r="J381" t="str">
        <f>INDEX('GIS-Standards'!$O$2:$O$305,MATCH(B381,'GIS-Standards'!$B$2:$B$305,0))</f>
        <v>ISO/TC 211</v>
      </c>
      <c r="K381" t="e">
        <f>INDEX('GIS-Standards'!$O$2:$O$305,MATCH(D381,'GIS-Standards'!$B$2:$B$305,0))</f>
        <v>#N/A</v>
      </c>
      <c r="M381" t="s">
        <v>524</v>
      </c>
      <c r="N381">
        <f>INDEX('GIS-Standards'!$I$2:$I$305,MATCH(B381,'GIS-Standards'!$B$2:$B$305,0))</f>
        <v>0</v>
      </c>
      <c r="O381" t="e">
        <f>INDEX('GIS-Standards'!$I$2:$I$305,MATCH(D381,'GIS-Standards'!$B$2:$B$305,0))</f>
        <v>#N/A</v>
      </c>
      <c r="P381" t="e">
        <f>AND(TableRelationships12[[#This Row],[Source Type]]="BIM",TableRelationships12[[#This Row],[Target Type]]="BIM")</f>
        <v>#N/A</v>
      </c>
      <c r="Q381">
        <f t="shared" si="15"/>
        <v>6</v>
      </c>
      <c r="S381">
        <f t="shared" si="16"/>
        <v>1</v>
      </c>
      <c r="T381" s="102" t="str">
        <f>IF(TableRelationships12[[#This Row],[Rank Pedro]]="Low","linkCategory1",IF(TableRelationships12[[#This Row],[Rank Pedro]]="Medium","linkCategory2",IF(TableRelationships12[[#This Row],[Rank Pedro]]="High","linkCategory3","")))</f>
        <v/>
      </c>
      <c r="U381" s="102" t="str">
        <f>IF(TableRelationships12[[#This Row],[Rank Pedro]]="Low","Pink",IF(TableRelationships12[[#This Row],[Rank Pedro]]="Medium","Purple",IF(TableRelationships12[[#This Row],[Rank Pedro]]="High","Brown","")))</f>
        <v/>
      </c>
      <c r="V381" s="4" t="e">
        <f>MAX(INDEX(Standards!$F$2:$F$296,MATCH(B381,Standards!$B$2:$B$296,0)),INDEX(Standards!$F$2:$F$296,MATCH(D381,Standards!$B$2:$B$296,0)))</f>
        <v>#N/A</v>
      </c>
      <c r="W381" t="str">
        <f t="shared" si="17"/>
        <v>#d6bf2a</v>
      </c>
    </row>
    <row r="382" spans="1:23" x14ac:dyDescent="0.5">
      <c r="A382" s="54">
        <v>381</v>
      </c>
      <c r="B382" s="90" t="s">
        <v>1040</v>
      </c>
      <c r="C382" t="s">
        <v>300</v>
      </c>
      <c r="D382" s="1"/>
      <c r="E382" s="112">
        <v>2000.12</v>
      </c>
      <c r="F382" s="112">
        <v>2022.07</v>
      </c>
      <c r="G382" s="107" t="s">
        <v>670</v>
      </c>
      <c r="H382">
        <f>INDEX('GIS-Standards'!$A$2:$A$305,MATCH(B382,'GIS-Standards'!$B$2:$B$305,0))</f>
        <v>15</v>
      </c>
      <c r="I382">
        <f>INDEX('GIS-Standards'!$A$2:$A$305,MATCH(C382,'GIS-Standards'!$B$2:$B$305,0))</f>
        <v>14</v>
      </c>
      <c r="J382" t="str">
        <f>INDEX('GIS-Standards'!$O$2:$O$305,MATCH(B382,'GIS-Standards'!$B$2:$B$305,0))</f>
        <v>ISO/TC 211</v>
      </c>
      <c r="K382" t="str">
        <f>INDEX('GIS-Standards'!$O$2:$O$305,MATCH(C382,'GIS-Standards'!$B$2:$B$305,0))</f>
        <v>ISO/TC 211</v>
      </c>
      <c r="M382" t="s">
        <v>524</v>
      </c>
      <c r="N382">
        <f>INDEX('GIS-Standards'!$I$2:$I$305,MATCH(B382,'GIS-Standards'!$B$2:$B$305,0))</f>
        <v>0</v>
      </c>
      <c r="O382">
        <f>INDEX('GIS-Standards'!$I$2:$I$305,MATCH(C382,'GIS-Standards'!$B$2:$B$305,0))</f>
        <v>0</v>
      </c>
      <c r="P382" t="b">
        <f>AND(TableRelationships12[[#This Row],[Source Type]]="BIM",TableRelationships12[[#This Row],[Target Type]]="BIM")</f>
        <v>0</v>
      </c>
      <c r="Q382">
        <f t="shared" si="15"/>
        <v>6</v>
      </c>
      <c r="S382">
        <f t="shared" si="16"/>
        <v>1</v>
      </c>
      <c r="T382" s="102" t="str">
        <f>IF(TableRelationships12[[#This Row],[Rank Pedro]]="Low","linkCategory1",IF(TableRelationships12[[#This Row],[Rank Pedro]]="Medium","linkCategory2",IF(TableRelationships12[[#This Row],[Rank Pedro]]="High","linkCategory3","")))</f>
        <v/>
      </c>
      <c r="U382" s="102" t="str">
        <f>IF(TableRelationships12[[#This Row],[Rank Pedro]]="Low","Pink",IF(TableRelationships12[[#This Row],[Rank Pedro]]="Medium","Purple",IF(TableRelationships12[[#This Row],[Rank Pedro]]="High","Brown","")))</f>
        <v/>
      </c>
      <c r="V382" s="4" t="e">
        <f>MAX(INDEX(Standards!$F$2:$F$296,MATCH(B382,Standards!$B$2:$B$296,0)),INDEX(Standards!$F$2:$F$296,MATCH(C382,Standards!$B$2:$B$296,0)))</f>
        <v>#N/A</v>
      </c>
      <c r="W382" t="str">
        <f t="shared" si="17"/>
        <v>#d6bf2a</v>
      </c>
    </row>
    <row r="383" spans="1:23" x14ac:dyDescent="0.5">
      <c r="A383" s="54">
        <v>382</v>
      </c>
      <c r="B383" s="90" t="s">
        <v>1040</v>
      </c>
      <c r="C383" t="s">
        <v>1096</v>
      </c>
      <c r="D383" s="1"/>
      <c r="E383" s="113">
        <v>1990.05</v>
      </c>
      <c r="F383" s="113">
        <v>1998.11</v>
      </c>
      <c r="G383" s="107" t="s">
        <v>1521</v>
      </c>
      <c r="H383">
        <f>INDEX('GIS-Standards'!$A$2:$A$305,MATCH(B383,'GIS-Standards'!$B$2:$B$305,0))</f>
        <v>15</v>
      </c>
      <c r="I383" t="e">
        <f>INDEX('GIS-Standards'!$A$2:$A$305,MATCH(C383,'GIS-Standards'!$B$2:$B$305,0))</f>
        <v>#N/A</v>
      </c>
      <c r="J383" t="str">
        <f>INDEX('GIS-Standards'!$O$2:$O$305,MATCH(B383,'GIS-Standards'!$B$2:$B$305,0))</f>
        <v>ISO/TC 211</v>
      </c>
      <c r="K383" t="e">
        <f>INDEX('GIS-Standards'!$O$2:$O$305,MATCH(C383,'GIS-Standards'!$B$2:$B$305,0))</f>
        <v>#N/A</v>
      </c>
      <c r="M383" t="s">
        <v>524</v>
      </c>
      <c r="N383">
        <f>INDEX('GIS-Standards'!$I$2:$I$305,MATCH(B383,'GIS-Standards'!$B$2:$B$305,0))</f>
        <v>0</v>
      </c>
      <c r="O383" t="e">
        <f>INDEX('GIS-Standards'!$I$2:$I$305,MATCH(C383,'GIS-Standards'!$B$2:$B$305,0))</f>
        <v>#N/A</v>
      </c>
      <c r="P383" t="e">
        <f>AND(TableRelationships12[[#This Row],[Source Type]]="BIM",TableRelationships12[[#This Row],[Target Type]]="BIM")</f>
        <v>#N/A</v>
      </c>
      <c r="Q383">
        <f t="shared" si="15"/>
        <v>6</v>
      </c>
      <c r="S383">
        <f t="shared" si="16"/>
        <v>1</v>
      </c>
      <c r="T383" s="102" t="str">
        <f>IF(TableRelationships12[[#This Row],[Rank Pedro]]="Low","linkCategory1",IF(TableRelationships12[[#This Row],[Rank Pedro]]="Medium","linkCategory2",IF(TableRelationships12[[#This Row],[Rank Pedro]]="High","linkCategory3","")))</f>
        <v/>
      </c>
      <c r="U383" s="102" t="str">
        <f>IF(TableRelationships12[[#This Row],[Rank Pedro]]="Low","Pink",IF(TableRelationships12[[#This Row],[Rank Pedro]]="Medium","Purple",IF(TableRelationships12[[#This Row],[Rank Pedro]]="High","Brown","")))</f>
        <v/>
      </c>
      <c r="V383" s="4" t="e">
        <f>MAX(INDEX(Standards!$F$2:$F$296,MATCH(B383,Standards!$B$2:$B$296,0)),INDEX(Standards!$F$2:$F$296,MATCH(C383,Standards!$B$2:$B$296,0)))</f>
        <v>#N/A</v>
      </c>
      <c r="W383" t="str">
        <f t="shared" si="17"/>
        <v>#d6bf2a</v>
      </c>
    </row>
    <row r="384" spans="1:23" x14ac:dyDescent="0.5">
      <c r="A384" s="54">
        <v>383</v>
      </c>
      <c r="B384" s="90" t="s">
        <v>1040</v>
      </c>
      <c r="C384" t="s">
        <v>1097</v>
      </c>
      <c r="D384" s="1"/>
      <c r="E384" s="113">
        <v>1987.01</v>
      </c>
      <c r="F384" s="113">
        <v>2024.01</v>
      </c>
      <c r="G384" s="107"/>
      <c r="H384">
        <f>INDEX('GIS-Standards'!$A$2:$A$305,MATCH(B384,'GIS-Standards'!$B$2:$B$305,0))</f>
        <v>15</v>
      </c>
      <c r="I384" t="e">
        <f>INDEX('GIS-Standards'!$A$2:$A$305,MATCH(C384,'GIS-Standards'!$B$2:$B$305,0))</f>
        <v>#N/A</v>
      </c>
      <c r="J384" t="str">
        <f>INDEX('GIS-Standards'!$O$2:$O$305,MATCH(B384,'GIS-Standards'!$B$2:$B$305,0))</f>
        <v>ISO/TC 211</v>
      </c>
      <c r="K384" t="e">
        <f>INDEX('GIS-Standards'!$O$2:$O$305,MATCH(C384,'GIS-Standards'!$B$2:$B$305,0))</f>
        <v>#N/A</v>
      </c>
      <c r="M384" t="s">
        <v>524</v>
      </c>
      <c r="N384">
        <f>INDEX('GIS-Standards'!$I$2:$I$305,MATCH(B384,'GIS-Standards'!$B$2:$B$305,0))</f>
        <v>0</v>
      </c>
      <c r="O384" t="e">
        <f>INDEX('GIS-Standards'!$I$2:$I$305,MATCH(C384,'GIS-Standards'!$B$2:$B$305,0))</f>
        <v>#N/A</v>
      </c>
      <c r="P384" t="e">
        <f>AND(TableRelationships12[[#This Row],[Source Type]]="BIM",TableRelationships12[[#This Row],[Target Type]]="BIM")</f>
        <v>#N/A</v>
      </c>
      <c r="Q384">
        <f t="shared" si="15"/>
        <v>6</v>
      </c>
      <c r="S384">
        <f t="shared" si="16"/>
        <v>1</v>
      </c>
      <c r="T384" s="102" t="str">
        <f>IF(TableRelationships12[[#This Row],[Rank Pedro]]="Low","linkCategory1",IF(TableRelationships12[[#This Row],[Rank Pedro]]="Medium","linkCategory2",IF(TableRelationships12[[#This Row],[Rank Pedro]]="High","linkCategory3","")))</f>
        <v/>
      </c>
      <c r="U384" s="102" t="str">
        <f>IF(TableRelationships12[[#This Row],[Rank Pedro]]="Low","Pink",IF(TableRelationships12[[#This Row],[Rank Pedro]]="Medium","Purple",IF(TableRelationships12[[#This Row],[Rank Pedro]]="High","Brown","")))</f>
        <v/>
      </c>
      <c r="V384" s="4" t="e">
        <f>MAX(INDEX(Standards!$F$2:$F$296,MATCH(B384,Standards!$B$2:$B$296,0)),INDEX(Standards!$F$2:$F$296,MATCH(C384,Standards!$B$2:$B$296,0)))</f>
        <v>#N/A</v>
      </c>
      <c r="W384" t="str">
        <f t="shared" si="17"/>
        <v>#d6bf2a</v>
      </c>
    </row>
    <row r="385" spans="1:23" x14ac:dyDescent="0.5">
      <c r="A385" s="54">
        <v>384</v>
      </c>
      <c r="B385" s="90" t="s">
        <v>1040</v>
      </c>
      <c r="C385" t="s">
        <v>302</v>
      </c>
      <c r="D385" s="1"/>
      <c r="E385" s="112">
        <v>2003.05</v>
      </c>
      <c r="F385" s="112">
        <v>2019.12</v>
      </c>
      <c r="G385" s="107" t="s">
        <v>670</v>
      </c>
      <c r="H385">
        <f>INDEX('GIS-Standards'!$A$2:$A$305,MATCH(B385,'GIS-Standards'!$B$2:$B$305,0))</f>
        <v>15</v>
      </c>
      <c r="I385">
        <f>INDEX('GIS-Standards'!$A$2:$A$305,MATCH(C385,'GIS-Standards'!$B$2:$B$305,0))</f>
        <v>16</v>
      </c>
      <c r="J385" t="str">
        <f>INDEX('GIS-Standards'!$O$2:$O$305,MATCH(B385,'GIS-Standards'!$B$2:$B$305,0))</f>
        <v>ISO/TC 211</v>
      </c>
      <c r="K385" t="str">
        <f>INDEX('GIS-Standards'!$O$2:$O$305,MATCH(C385,'GIS-Standards'!$B$2:$B$305,0))</f>
        <v>ISO/TC 211</v>
      </c>
      <c r="M385" t="s">
        <v>525</v>
      </c>
      <c r="N385">
        <f>INDEX('GIS-Standards'!$I$2:$I$305,MATCH(B385,'GIS-Standards'!$B$2:$B$305,0))</f>
        <v>0</v>
      </c>
      <c r="O385">
        <f>INDEX('GIS-Standards'!$I$2:$I$305,MATCH(C385,'GIS-Standards'!$B$2:$B$305,0))</f>
        <v>0</v>
      </c>
      <c r="P385" t="b">
        <f>AND(TableRelationships12[[#This Row],[Source Type]]="BIM",TableRelationships12[[#This Row],[Target Type]]="BIM")</f>
        <v>0</v>
      </c>
      <c r="Q385">
        <f t="shared" si="15"/>
        <v>1</v>
      </c>
      <c r="S385">
        <f t="shared" si="16"/>
        <v>1</v>
      </c>
      <c r="T385" s="102" t="str">
        <f>IF(TableRelationships12[[#This Row],[Rank Pedro]]="Low","linkCategory1",IF(TableRelationships12[[#This Row],[Rank Pedro]]="Medium","linkCategory2",IF(TableRelationships12[[#This Row],[Rank Pedro]]="High","linkCategory3","")))</f>
        <v/>
      </c>
      <c r="U385" s="102" t="str">
        <f>IF(TableRelationships12[[#This Row],[Rank Pedro]]="Low","Pink",IF(TableRelationships12[[#This Row],[Rank Pedro]]="Medium","Purple",IF(TableRelationships12[[#This Row],[Rank Pedro]]="High","Brown","")))</f>
        <v/>
      </c>
      <c r="V385" s="4" t="e">
        <f>MAX(INDEX(Standards!$F$2:$F$296,MATCH(B385,Standards!$B$2:$B$296,0)),INDEX(Standards!$F$2:$F$296,MATCH(C385,Standards!$B$2:$B$296,0)))</f>
        <v>#N/A</v>
      </c>
      <c r="W385" t="str">
        <f t="shared" si="17"/>
        <v>#2f89d1</v>
      </c>
    </row>
    <row r="386" spans="1:23" x14ac:dyDescent="0.5">
      <c r="A386" s="54">
        <v>385</v>
      </c>
      <c r="B386" s="90" t="s">
        <v>1040</v>
      </c>
      <c r="C386" t="s">
        <v>304</v>
      </c>
      <c r="D386" s="1"/>
      <c r="E386" s="112">
        <v>2002.09</v>
      </c>
      <c r="F386" s="112">
        <v>2006.1</v>
      </c>
      <c r="G386" s="107" t="s">
        <v>670</v>
      </c>
      <c r="H386">
        <f>INDEX('GIS-Standards'!$A$2:$A$305,MATCH(B386,'GIS-Standards'!$B$2:$B$305,0))</f>
        <v>15</v>
      </c>
      <c r="I386">
        <f>INDEX('GIS-Standards'!$A$2:$A$305,MATCH(C386,'GIS-Standards'!$B$2:$B$305,0))</f>
        <v>17</v>
      </c>
      <c r="J386" t="str">
        <f>INDEX('GIS-Standards'!$O$2:$O$305,MATCH(B386,'GIS-Standards'!$B$2:$B$305,0))</f>
        <v>ISO/TC 211</v>
      </c>
      <c r="K386" t="str">
        <f>INDEX('GIS-Standards'!$O$2:$O$305,MATCH(C386,'GIS-Standards'!$B$2:$B$305,0))</f>
        <v>ISO/TC 211</v>
      </c>
      <c r="M386" t="s">
        <v>525</v>
      </c>
      <c r="N386">
        <f>INDEX('GIS-Standards'!$I$2:$I$305,MATCH(B386,'GIS-Standards'!$B$2:$B$305,0))</f>
        <v>0</v>
      </c>
      <c r="O386" t="str">
        <f>INDEX('GIS-Standards'!$I$2:$I$305,MATCH(C386,'GIS-Standards'!$B$2:$B$305,0))</f>
        <v>06.2008</v>
      </c>
      <c r="P386" t="b">
        <f>AND(TableRelationships12[[#This Row],[Source Type]]="BIM",TableRelationships12[[#This Row],[Target Type]]="BIM")</f>
        <v>0</v>
      </c>
      <c r="Q386">
        <f t="shared" ref="Q386:Q449" si="18">IF(M386="Normative",6,IF(M386="Secondary",4,IF(M386="Anchor",2,1)))</f>
        <v>1</v>
      </c>
      <c r="S386">
        <f t="shared" ref="S386:S449" si="19">IF(R386="High",10,IF(R386="Medium",6,IF(R386="Low",2,1)))</f>
        <v>1</v>
      </c>
      <c r="T386" s="102" t="str">
        <f>IF(TableRelationships12[[#This Row],[Rank Pedro]]="Low","linkCategory1",IF(TableRelationships12[[#This Row],[Rank Pedro]]="Medium","linkCategory2",IF(TableRelationships12[[#This Row],[Rank Pedro]]="High","linkCategory3","")))</f>
        <v/>
      </c>
      <c r="U386" s="102" t="str">
        <f>IF(TableRelationships12[[#This Row],[Rank Pedro]]="Low","Pink",IF(TableRelationships12[[#This Row],[Rank Pedro]]="Medium","Purple",IF(TableRelationships12[[#This Row],[Rank Pedro]]="High","Brown","")))</f>
        <v/>
      </c>
      <c r="V386" s="4" t="e">
        <f>MAX(INDEX(Standards!$F$2:$F$296,MATCH(B386,Standards!$B$2:$B$296,0)),INDEX(Standards!$F$2:$F$296,MATCH(C386,Standards!$B$2:$B$296,0)))</f>
        <v>#N/A</v>
      </c>
      <c r="W386" t="str">
        <f t="shared" ref="W386:W449" si="20">IF(M386="Normative", "#d6bf2a", IF(M386="Informative", "#2f89d1", 1))</f>
        <v>#2f89d1</v>
      </c>
    </row>
    <row r="387" spans="1:23" x14ac:dyDescent="0.5">
      <c r="A387" s="54">
        <v>386</v>
      </c>
      <c r="B387" s="90" t="s">
        <v>1040</v>
      </c>
      <c r="C387" t="s">
        <v>306</v>
      </c>
      <c r="D387" s="1"/>
      <c r="E387" s="112">
        <v>2005.06</v>
      </c>
      <c r="F387" s="112">
        <v>2025.07</v>
      </c>
      <c r="G387" s="107" t="s">
        <v>670</v>
      </c>
      <c r="H387">
        <f>INDEX('GIS-Standards'!$A$2:$A$305,MATCH(B387,'GIS-Standards'!$B$2:$B$305,0))</f>
        <v>15</v>
      </c>
      <c r="I387">
        <f>INDEX('GIS-Standards'!$A$2:$A$305,MATCH(C387,'GIS-Standards'!$B$2:$B$305,0))</f>
        <v>18</v>
      </c>
      <c r="J387" t="str">
        <f>INDEX('GIS-Standards'!$O$2:$O$305,MATCH(B387,'GIS-Standards'!$B$2:$B$305,0))</f>
        <v>ISO/TC 211</v>
      </c>
      <c r="K387" t="str">
        <f>INDEX('GIS-Standards'!$O$2:$O$305,MATCH(C387,'GIS-Standards'!$B$2:$B$305,0))</f>
        <v>ISO/TC 211</v>
      </c>
      <c r="M387" t="s">
        <v>525</v>
      </c>
      <c r="N387">
        <f>INDEX('GIS-Standards'!$I$2:$I$305,MATCH(B387,'GIS-Standards'!$B$2:$B$305,0))</f>
        <v>0</v>
      </c>
      <c r="O387">
        <f>INDEX('GIS-Standards'!$I$2:$I$305,MATCH(C387,'GIS-Standards'!$B$2:$B$305,0))</f>
        <v>0</v>
      </c>
      <c r="P387" t="b">
        <f>AND(TableRelationships12[[#This Row],[Source Type]]="BIM",TableRelationships12[[#This Row],[Target Type]]="BIM")</f>
        <v>0</v>
      </c>
      <c r="Q387">
        <f t="shared" si="18"/>
        <v>1</v>
      </c>
      <c r="S387">
        <f t="shared" si="19"/>
        <v>1</v>
      </c>
      <c r="T387" s="102" t="str">
        <f>IF(TableRelationships12[[#This Row],[Rank Pedro]]="Low","linkCategory1",IF(TableRelationships12[[#This Row],[Rank Pedro]]="Medium","linkCategory2",IF(TableRelationships12[[#This Row],[Rank Pedro]]="High","linkCategory3","")))</f>
        <v/>
      </c>
      <c r="U387" s="102" t="str">
        <f>IF(TableRelationships12[[#This Row],[Rank Pedro]]="Low","Pink",IF(TableRelationships12[[#This Row],[Rank Pedro]]="Medium","Purple",IF(TableRelationships12[[#This Row],[Rank Pedro]]="High","Brown","")))</f>
        <v/>
      </c>
      <c r="V387" s="4" t="e">
        <f>MAX(INDEX(Standards!$F$2:$F$296,MATCH(B387,Standards!$B$2:$B$296,0)),INDEX(Standards!$F$2:$F$296,MATCH(C387,Standards!$B$2:$B$296,0)))</f>
        <v>#N/A</v>
      </c>
      <c r="W387" t="str">
        <f t="shared" si="20"/>
        <v>#2f89d1</v>
      </c>
    </row>
    <row r="388" spans="1:23" x14ac:dyDescent="0.5">
      <c r="A388" s="54">
        <v>387</v>
      </c>
      <c r="B388" s="90" t="s">
        <v>1040</v>
      </c>
      <c r="C388" t="s">
        <v>308</v>
      </c>
      <c r="D388" s="1"/>
      <c r="E388" s="112">
        <v>2005.02</v>
      </c>
      <c r="F388" s="112">
        <v>2016.12</v>
      </c>
      <c r="G388" s="107" t="s">
        <v>670</v>
      </c>
      <c r="H388">
        <f>INDEX('GIS-Standards'!$A$2:$A$305,MATCH(B388,'GIS-Standards'!$B$2:$B$305,0))</f>
        <v>15</v>
      </c>
      <c r="I388">
        <f>INDEX('GIS-Standards'!$A$2:$A$305,MATCH(C388,'GIS-Standards'!$B$2:$B$305,0))</f>
        <v>19</v>
      </c>
      <c r="J388" t="str">
        <f>INDEX('GIS-Standards'!$O$2:$O$305,MATCH(B388,'GIS-Standards'!$B$2:$B$305,0))</f>
        <v>ISO/TC 211</v>
      </c>
      <c r="K388" t="str">
        <f>INDEX('GIS-Standards'!$O$2:$O$305,MATCH(C388,'GIS-Standards'!$B$2:$B$305,0))</f>
        <v>ISO/TC 211</v>
      </c>
      <c r="M388" t="s">
        <v>525</v>
      </c>
      <c r="N388">
        <f>INDEX('GIS-Standards'!$I$2:$I$305,MATCH(B388,'GIS-Standards'!$B$2:$B$305,0))</f>
        <v>0</v>
      </c>
      <c r="O388">
        <f>INDEX('GIS-Standards'!$I$2:$I$305,MATCH(C388,'GIS-Standards'!$B$2:$B$305,0))</f>
        <v>0</v>
      </c>
      <c r="P388" t="b">
        <f>AND(TableRelationships12[[#This Row],[Source Type]]="BIM",TableRelationships12[[#This Row],[Target Type]]="BIM")</f>
        <v>0</v>
      </c>
      <c r="Q388">
        <f t="shared" si="18"/>
        <v>1</v>
      </c>
      <c r="S388">
        <f t="shared" si="19"/>
        <v>1</v>
      </c>
      <c r="T388" s="102" t="str">
        <f>IF(TableRelationships12[[#This Row],[Rank Pedro]]="Low","linkCategory1",IF(TableRelationships12[[#This Row],[Rank Pedro]]="Medium","linkCategory2",IF(TableRelationships12[[#This Row],[Rank Pedro]]="High","linkCategory3","")))</f>
        <v/>
      </c>
      <c r="U388" s="102" t="str">
        <f>IF(TableRelationships12[[#This Row],[Rank Pedro]]="Low","Pink",IF(TableRelationships12[[#This Row],[Rank Pedro]]="Medium","Purple",IF(TableRelationships12[[#This Row],[Rank Pedro]]="High","Brown","")))</f>
        <v/>
      </c>
      <c r="V388" s="4" t="e">
        <f>MAX(INDEX(Standards!$F$2:$F$296,MATCH(B388,Standards!$B$2:$B$296,0)),INDEX(Standards!$F$2:$F$296,MATCH(C388,Standards!$B$2:$B$296,0)))</f>
        <v>#N/A</v>
      </c>
      <c r="W388" t="str">
        <f t="shared" si="20"/>
        <v>#2f89d1</v>
      </c>
    </row>
    <row r="389" spans="1:23" x14ac:dyDescent="0.5">
      <c r="A389" s="54">
        <v>388</v>
      </c>
      <c r="B389" s="90" t="s">
        <v>1040</v>
      </c>
      <c r="C389" t="s">
        <v>310</v>
      </c>
      <c r="D389" s="1"/>
      <c r="E389" s="112">
        <v>2003.02</v>
      </c>
      <c r="F389" s="112">
        <v>2023.08</v>
      </c>
      <c r="G389" s="107" t="s">
        <v>670</v>
      </c>
      <c r="H389">
        <f>INDEX('GIS-Standards'!$A$2:$A$305,MATCH(B389,'GIS-Standards'!$B$2:$B$305,0))</f>
        <v>15</v>
      </c>
      <c r="I389">
        <f>INDEX('GIS-Standards'!$A$2:$A$305,MATCH(C389,'GIS-Standards'!$B$2:$B$305,0))</f>
        <v>20</v>
      </c>
      <c r="J389" t="str">
        <f>INDEX('GIS-Standards'!$O$2:$O$305,MATCH(B389,'GIS-Standards'!$B$2:$B$305,0))</f>
        <v>ISO/TC 211</v>
      </c>
      <c r="K389" t="str">
        <f>INDEX('GIS-Standards'!$O$2:$O$305,MATCH(C389,'GIS-Standards'!$B$2:$B$305,0))</f>
        <v>ISO/TC 211</v>
      </c>
      <c r="M389" t="s">
        <v>525</v>
      </c>
      <c r="N389">
        <f>INDEX('GIS-Standards'!$I$2:$I$305,MATCH(B389,'GIS-Standards'!$B$2:$B$305,0))</f>
        <v>0</v>
      </c>
      <c r="O389" t="str">
        <f>INDEX('GIS-Standards'!$I$2:$I$305,MATCH(C389,'GIS-Standards'!$B$2:$B$305,0))</f>
        <v>08.2023</v>
      </c>
      <c r="P389" t="b">
        <f>AND(TableRelationships12[[#This Row],[Source Type]]="BIM",TableRelationships12[[#This Row],[Target Type]]="BIM")</f>
        <v>0</v>
      </c>
      <c r="Q389">
        <f t="shared" si="18"/>
        <v>1</v>
      </c>
      <c r="S389">
        <f t="shared" si="19"/>
        <v>1</v>
      </c>
      <c r="T389" s="102" t="str">
        <f>IF(TableRelationships12[[#This Row],[Rank Pedro]]="Low","linkCategory1",IF(TableRelationships12[[#This Row],[Rank Pedro]]="Medium","linkCategory2",IF(TableRelationships12[[#This Row],[Rank Pedro]]="High","linkCategory3","")))</f>
        <v/>
      </c>
      <c r="U389" s="102" t="str">
        <f>IF(TableRelationships12[[#This Row],[Rank Pedro]]="Low","Pink",IF(TableRelationships12[[#This Row],[Rank Pedro]]="Medium","Purple",IF(TableRelationships12[[#This Row],[Rank Pedro]]="High","Brown","")))</f>
        <v/>
      </c>
      <c r="V389" s="4" t="e">
        <f>MAX(INDEX(Standards!$F$2:$F$296,MATCH(B389,Standards!$B$2:$B$296,0)),INDEX(Standards!$F$2:$F$296,MATCH(C389,Standards!$B$2:$B$296,0)))</f>
        <v>#N/A</v>
      </c>
      <c r="W389" t="str">
        <f t="shared" si="20"/>
        <v>#2f89d1</v>
      </c>
    </row>
    <row r="390" spans="1:23" x14ac:dyDescent="0.5">
      <c r="A390" s="54">
        <v>389</v>
      </c>
      <c r="B390" s="90" t="s">
        <v>1040</v>
      </c>
      <c r="C390" t="s">
        <v>348</v>
      </c>
      <c r="D390" s="1" t="s">
        <v>1098</v>
      </c>
      <c r="E390" s="113">
        <v>2013.12</v>
      </c>
      <c r="F390" s="113">
        <v>2023.04</v>
      </c>
      <c r="G390" s="107" t="s">
        <v>670</v>
      </c>
      <c r="H390">
        <f>INDEX('GIS-Standards'!$A$2:$A$305,MATCH(B390,'GIS-Standards'!$B$2:$B$305,0))</f>
        <v>15</v>
      </c>
      <c r="I390">
        <f>INDEX('GIS-Standards'!$A$2:$A$305,MATCH(C390,'GIS-Standards'!$B$2:$B$305,0))</f>
        <v>66</v>
      </c>
      <c r="J390" t="str">
        <f>INDEX('GIS-Standards'!$O$2:$O$305,MATCH(B390,'GIS-Standards'!$B$2:$B$305,0))</f>
        <v>ISO/TC 211</v>
      </c>
      <c r="K390" t="str">
        <f>INDEX('GIS-Standards'!$O$2:$O$305,MATCH(C390,'GIS-Standards'!$B$2:$B$305,0))</f>
        <v>ISO/TC 211</v>
      </c>
      <c r="M390" t="s">
        <v>525</v>
      </c>
      <c r="N390">
        <f>INDEX('GIS-Standards'!$I$2:$I$305,MATCH(B390,'GIS-Standards'!$B$2:$B$305,0))</f>
        <v>0</v>
      </c>
      <c r="O390">
        <f>INDEX('GIS-Standards'!$I$2:$I$305,MATCH(C390,'GIS-Standards'!$B$2:$B$305,0))</f>
        <v>0</v>
      </c>
      <c r="P390" t="b">
        <f>AND(TableRelationships12[[#This Row],[Source Type]]="BIM",TableRelationships12[[#This Row],[Target Type]]="BIM")</f>
        <v>0</v>
      </c>
      <c r="Q390">
        <f t="shared" si="18"/>
        <v>1</v>
      </c>
      <c r="S390">
        <f t="shared" si="19"/>
        <v>1</v>
      </c>
      <c r="T390" s="102" t="str">
        <f>IF(TableRelationships12[[#This Row],[Rank Pedro]]="Low","linkCategory1",IF(TableRelationships12[[#This Row],[Rank Pedro]]="Medium","linkCategory2",IF(TableRelationships12[[#This Row],[Rank Pedro]]="High","linkCategory3","")))</f>
        <v/>
      </c>
      <c r="U390" s="102" t="str">
        <f>IF(TableRelationships12[[#This Row],[Rank Pedro]]="Low","Pink",IF(TableRelationships12[[#This Row],[Rank Pedro]]="Medium","Purple",IF(TableRelationships12[[#This Row],[Rank Pedro]]="High","Brown","")))</f>
        <v/>
      </c>
      <c r="V390" s="4" t="e">
        <f>MAX(INDEX(Standards!$F$2:$F$296,MATCH(B390,Standards!$B$2:$B$296,0)),INDEX(Standards!$F$2:$F$296,MATCH(C390,Standards!$B$2:$B$296,0)))</f>
        <v>#N/A</v>
      </c>
      <c r="W390" t="str">
        <f t="shared" si="20"/>
        <v>#2f89d1</v>
      </c>
    </row>
    <row r="391" spans="1:23" x14ac:dyDescent="0.5">
      <c r="A391" s="54">
        <v>390</v>
      </c>
      <c r="B391" s="90" t="s">
        <v>1040</v>
      </c>
      <c r="C391" t="s">
        <v>314</v>
      </c>
      <c r="D391" s="1" t="s">
        <v>1099</v>
      </c>
      <c r="E391" s="112">
        <v>2003.05</v>
      </c>
      <c r="F391" s="112">
        <v>2020.11</v>
      </c>
      <c r="G391" s="107" t="s">
        <v>670</v>
      </c>
      <c r="H391">
        <f>INDEX('GIS-Standards'!$A$2:$A$305,MATCH(B391,'GIS-Standards'!$B$2:$B$305,0))</f>
        <v>15</v>
      </c>
      <c r="I391">
        <f>INDEX('GIS-Standards'!$A$2:$A$305,MATCH(C391,'GIS-Standards'!$B$2:$B$305,0))</f>
        <v>22</v>
      </c>
      <c r="J391" t="str">
        <f>INDEX('GIS-Standards'!$O$2:$O$305,MATCH(B391,'GIS-Standards'!$B$2:$B$305,0))</f>
        <v>ISO/TC 211</v>
      </c>
      <c r="K391" t="str">
        <f>INDEX('GIS-Standards'!$O$2:$O$305,MATCH(C391,'GIS-Standards'!$B$2:$B$305,0))</f>
        <v>ISO/TC 211</v>
      </c>
      <c r="M391" t="s">
        <v>525</v>
      </c>
      <c r="N391">
        <f>INDEX('GIS-Standards'!$I$2:$I$305,MATCH(B391,'GIS-Standards'!$B$2:$B$305,0))</f>
        <v>0</v>
      </c>
      <c r="O391" t="str">
        <f>INDEX('GIS-Standards'!$I$2:$I$305,MATCH(C391,'GIS-Standards'!$B$2:$B$305,0))</f>
        <v>12.2020</v>
      </c>
      <c r="P391" t="b">
        <f>AND(TableRelationships12[[#This Row],[Source Type]]="BIM",TableRelationships12[[#This Row],[Target Type]]="BIM")</f>
        <v>0</v>
      </c>
      <c r="Q391">
        <f t="shared" si="18"/>
        <v>1</v>
      </c>
      <c r="S391">
        <f t="shared" si="19"/>
        <v>1</v>
      </c>
      <c r="T391" s="102" t="str">
        <f>IF(TableRelationships12[[#This Row],[Rank Pedro]]="Low","linkCategory1",IF(TableRelationships12[[#This Row],[Rank Pedro]]="Medium","linkCategory2",IF(TableRelationships12[[#This Row],[Rank Pedro]]="High","linkCategory3","")))</f>
        <v/>
      </c>
      <c r="U391" s="102" t="str">
        <f>IF(TableRelationships12[[#This Row],[Rank Pedro]]="Low","Pink",IF(TableRelationships12[[#This Row],[Rank Pedro]]="Medium","Purple",IF(TableRelationships12[[#This Row],[Rank Pedro]]="High","Brown","")))</f>
        <v/>
      </c>
      <c r="V391" s="4" t="e">
        <f>MAX(INDEX(Standards!$F$2:$F$296,MATCH(B391,Standards!$B$2:$B$296,0)),INDEX(Standards!$F$2:$F$296,MATCH(C391,Standards!$B$2:$B$296,0)))</f>
        <v>#N/A</v>
      </c>
      <c r="W391" t="str">
        <f t="shared" si="20"/>
        <v>#2f89d1</v>
      </c>
    </row>
    <row r="392" spans="1:23" x14ac:dyDescent="0.5">
      <c r="A392" s="54">
        <v>391</v>
      </c>
      <c r="B392" s="90" t="s">
        <v>1040</v>
      </c>
      <c r="C392" t="s">
        <v>318</v>
      </c>
      <c r="D392" s="1"/>
      <c r="E392" s="112">
        <v>2005.02</v>
      </c>
      <c r="F392" s="112">
        <v>2016.01</v>
      </c>
      <c r="G392" s="107" t="s">
        <v>670</v>
      </c>
      <c r="H392">
        <f>INDEX('GIS-Standards'!$A$2:$A$305,MATCH(B392,'GIS-Standards'!$B$2:$B$305,0))</f>
        <v>15</v>
      </c>
      <c r="I392">
        <f>INDEX('GIS-Standards'!$A$2:$A$305,MATCH(C392,'GIS-Standards'!$B$2:$B$305,0))</f>
        <v>28</v>
      </c>
      <c r="J392" t="str">
        <f>INDEX('GIS-Standards'!$O$2:$O$305,MATCH(B392,'GIS-Standards'!$B$2:$B$305,0))</f>
        <v>ISO/TC 211</v>
      </c>
      <c r="K392" t="str">
        <f>INDEX('GIS-Standards'!$O$2:$O$305,MATCH(C392,'GIS-Standards'!$B$2:$B$305,0))</f>
        <v>ISO/TC 211</v>
      </c>
      <c r="M392" t="s">
        <v>525</v>
      </c>
      <c r="N392">
        <f>INDEX('GIS-Standards'!$I$2:$I$305,MATCH(B392,'GIS-Standards'!$B$2:$B$305,0))</f>
        <v>0</v>
      </c>
      <c r="O392">
        <f>INDEX('GIS-Standards'!$I$2:$I$305,MATCH(C392,'GIS-Standards'!$B$2:$B$305,0))</f>
        <v>0</v>
      </c>
      <c r="P392" t="b">
        <f>AND(TableRelationships12[[#This Row],[Source Type]]="BIM",TableRelationships12[[#This Row],[Target Type]]="BIM")</f>
        <v>0</v>
      </c>
      <c r="Q392">
        <f t="shared" si="18"/>
        <v>1</v>
      </c>
      <c r="S392">
        <f t="shared" si="19"/>
        <v>1</v>
      </c>
      <c r="T392" s="102" t="str">
        <f>IF(TableRelationships12[[#This Row],[Rank Pedro]]="Low","linkCategory1",IF(TableRelationships12[[#This Row],[Rank Pedro]]="Medium","linkCategory2",IF(TableRelationships12[[#This Row],[Rank Pedro]]="High","linkCategory3","")))</f>
        <v/>
      </c>
      <c r="U392" s="102" t="str">
        <f>IF(TableRelationships12[[#This Row],[Rank Pedro]]="Low","Pink",IF(TableRelationships12[[#This Row],[Rank Pedro]]="Medium","Purple",IF(TableRelationships12[[#This Row],[Rank Pedro]]="High","Brown","")))</f>
        <v/>
      </c>
      <c r="V392" s="4" t="e">
        <f>MAX(INDEX(Standards!$F$2:$F$296,MATCH(B392,Standards!$B$2:$B$296,0)),INDEX(Standards!$F$2:$F$296,MATCH(C392,Standards!$B$2:$B$296,0)))</f>
        <v>#N/A</v>
      </c>
      <c r="W392" t="str">
        <f t="shared" si="20"/>
        <v>#2f89d1</v>
      </c>
    </row>
    <row r="393" spans="1:23" x14ac:dyDescent="0.5">
      <c r="A393" s="54">
        <v>392</v>
      </c>
      <c r="B393" s="90" t="s">
        <v>1040</v>
      </c>
      <c r="C393" t="s">
        <v>320</v>
      </c>
      <c r="D393" s="1" t="s">
        <v>1100</v>
      </c>
      <c r="E393" s="112">
        <v>2005.08</v>
      </c>
      <c r="F393" s="112">
        <v>2023.06</v>
      </c>
      <c r="G393" s="107" t="s">
        <v>670</v>
      </c>
      <c r="H393">
        <f>INDEX('GIS-Standards'!$A$2:$A$305,MATCH(B393,'GIS-Standards'!$B$2:$B$305,0))</f>
        <v>15</v>
      </c>
      <c r="I393">
        <f>INDEX('GIS-Standards'!$A$2:$A$305,MATCH(C393,'GIS-Standards'!$B$2:$B$305,0))</f>
        <v>29</v>
      </c>
      <c r="J393" t="str">
        <f>INDEX('GIS-Standards'!$O$2:$O$305,MATCH(B393,'GIS-Standards'!$B$2:$B$305,0))</f>
        <v>ISO/TC 211</v>
      </c>
      <c r="K393" t="str">
        <f>INDEX('GIS-Standards'!$O$2:$O$305,MATCH(C393,'GIS-Standards'!$B$2:$B$305,0))</f>
        <v>ISO/TC 211</v>
      </c>
      <c r="M393" t="s">
        <v>525</v>
      </c>
      <c r="N393">
        <f>INDEX('GIS-Standards'!$I$2:$I$305,MATCH(B393,'GIS-Standards'!$B$2:$B$305,0))</f>
        <v>0</v>
      </c>
      <c r="O393">
        <f>INDEX('GIS-Standards'!$I$2:$I$305,MATCH(C393,'GIS-Standards'!$B$2:$B$305,0))</f>
        <v>0</v>
      </c>
      <c r="P393" t="b">
        <f>AND(TableRelationships12[[#This Row],[Source Type]]="BIM",TableRelationships12[[#This Row],[Target Type]]="BIM")</f>
        <v>0</v>
      </c>
      <c r="Q393">
        <f t="shared" si="18"/>
        <v>1</v>
      </c>
      <c r="S393">
        <f t="shared" si="19"/>
        <v>1</v>
      </c>
      <c r="T393" s="102" t="str">
        <f>IF(TableRelationships12[[#This Row],[Rank Pedro]]="Low","linkCategory1",IF(TableRelationships12[[#This Row],[Rank Pedro]]="Medium","linkCategory2",IF(TableRelationships12[[#This Row],[Rank Pedro]]="High","linkCategory3","")))</f>
        <v/>
      </c>
      <c r="U393" s="102" t="str">
        <f>IF(TableRelationships12[[#This Row],[Rank Pedro]]="Low","Pink",IF(TableRelationships12[[#This Row],[Rank Pedro]]="Medium","Purple",IF(TableRelationships12[[#This Row],[Rank Pedro]]="High","Brown","")))</f>
        <v/>
      </c>
      <c r="V393" s="4" t="e">
        <f>MAX(INDEX(Standards!$F$2:$F$296,MATCH(B393,Standards!$B$2:$B$296,0)),INDEX(Standards!$F$2:$F$296,MATCH(C393,Standards!$B$2:$B$296,0)))</f>
        <v>#N/A</v>
      </c>
      <c r="W393" t="str">
        <f t="shared" si="20"/>
        <v>#2f89d1</v>
      </c>
    </row>
    <row r="394" spans="1:23" x14ac:dyDescent="0.5">
      <c r="A394" s="54">
        <v>393</v>
      </c>
      <c r="B394" s="90" t="s">
        <v>1040</v>
      </c>
      <c r="C394" t="s">
        <v>1101</v>
      </c>
      <c r="D394" s="1"/>
      <c r="E394" s="112">
        <v>1990.05</v>
      </c>
      <c r="F394" s="112">
        <v>1998.11</v>
      </c>
      <c r="G394" s="107" t="s">
        <v>1521</v>
      </c>
      <c r="H394">
        <f>INDEX('GIS-Standards'!$A$2:$A$305,MATCH(B394,'GIS-Standards'!$B$2:$B$305,0))</f>
        <v>15</v>
      </c>
      <c r="I394" t="e">
        <f>INDEX('GIS-Standards'!$A$2:$A$305,MATCH(C394,'GIS-Standards'!$B$2:$B$305,0))</f>
        <v>#N/A</v>
      </c>
      <c r="J394" t="str">
        <f>INDEX('GIS-Standards'!$O$2:$O$305,MATCH(B394,'GIS-Standards'!$B$2:$B$305,0))</f>
        <v>ISO/TC 211</v>
      </c>
      <c r="K394" t="e">
        <f>INDEX('GIS-Standards'!$O$2:$O$305,MATCH(C394,'GIS-Standards'!$B$2:$B$305,0))</f>
        <v>#N/A</v>
      </c>
      <c r="M394" t="s">
        <v>525</v>
      </c>
      <c r="N394">
        <f>INDEX('GIS-Standards'!$I$2:$I$305,MATCH(B394,'GIS-Standards'!$B$2:$B$305,0))</f>
        <v>0</v>
      </c>
      <c r="O394" t="e">
        <f>INDEX('GIS-Standards'!$I$2:$I$305,MATCH(C394,'GIS-Standards'!$B$2:$B$305,0))</f>
        <v>#N/A</v>
      </c>
      <c r="P394" t="e">
        <f>AND(TableRelationships12[[#This Row],[Source Type]]="BIM",TableRelationships12[[#This Row],[Target Type]]="BIM")</f>
        <v>#N/A</v>
      </c>
      <c r="Q394">
        <f t="shared" si="18"/>
        <v>1</v>
      </c>
      <c r="S394">
        <f t="shared" si="19"/>
        <v>1</v>
      </c>
      <c r="T394" s="102" t="str">
        <f>IF(TableRelationships12[[#This Row],[Rank Pedro]]="Low","linkCategory1",IF(TableRelationships12[[#This Row],[Rank Pedro]]="Medium","linkCategory2",IF(TableRelationships12[[#This Row],[Rank Pedro]]="High","linkCategory3","")))</f>
        <v/>
      </c>
      <c r="U394" s="102" t="str">
        <f>IF(TableRelationships12[[#This Row],[Rank Pedro]]="Low","Pink",IF(TableRelationships12[[#This Row],[Rank Pedro]]="Medium","Purple",IF(TableRelationships12[[#This Row],[Rank Pedro]]="High","Brown","")))</f>
        <v/>
      </c>
      <c r="V394" s="4" t="e">
        <f>MAX(INDEX(Standards!$F$2:$F$296,MATCH(B394,Standards!$B$2:$B$296,0)),INDEX(Standards!$F$2:$F$296,MATCH(C394,Standards!$B$2:$B$296,0)))</f>
        <v>#N/A</v>
      </c>
      <c r="W394" t="str">
        <f t="shared" si="20"/>
        <v>#2f89d1</v>
      </c>
    </row>
    <row r="395" spans="1:23" x14ac:dyDescent="0.5">
      <c r="A395" s="54">
        <v>394</v>
      </c>
      <c r="B395" s="90" t="s">
        <v>1040</v>
      </c>
      <c r="C395" t="s">
        <v>1516</v>
      </c>
      <c r="D395" s="1"/>
      <c r="E395" s="113">
        <v>1987.01</v>
      </c>
      <c r="F395" s="113">
        <v>2024.01</v>
      </c>
      <c r="G395" s="107"/>
      <c r="H395">
        <f>INDEX('GIS-Standards'!$A$2:$A$305,MATCH(B395,'GIS-Standards'!$B$2:$B$305,0))</f>
        <v>15</v>
      </c>
      <c r="I395" t="e">
        <f>INDEX('GIS-Standards'!$A$2:$A$305,MATCH(C395,'GIS-Standards'!$B$2:$B$305,0))</f>
        <v>#N/A</v>
      </c>
      <c r="J395" t="str">
        <f>INDEX('GIS-Standards'!$O$2:$O$305,MATCH(B395,'GIS-Standards'!$B$2:$B$305,0))</f>
        <v>ISO/TC 211</v>
      </c>
      <c r="K395" t="e">
        <f>INDEX('GIS-Standards'!$O$2:$O$305,MATCH(C395,'GIS-Standards'!$B$2:$B$305,0))</f>
        <v>#N/A</v>
      </c>
      <c r="M395" t="s">
        <v>525</v>
      </c>
      <c r="N395">
        <f>INDEX('GIS-Standards'!$I$2:$I$305,MATCH(B395,'GIS-Standards'!$B$2:$B$305,0))</f>
        <v>0</v>
      </c>
      <c r="O395" t="e">
        <f>INDEX('GIS-Standards'!$I$2:$I$305,MATCH(C395,'GIS-Standards'!$B$2:$B$305,0))</f>
        <v>#N/A</v>
      </c>
      <c r="P395" t="e">
        <f>AND(TableRelationships12[[#This Row],[Source Type]]="BIM",TableRelationships12[[#This Row],[Target Type]]="BIM")</f>
        <v>#N/A</v>
      </c>
      <c r="Q395">
        <f t="shared" si="18"/>
        <v>1</v>
      </c>
      <c r="S395">
        <f t="shared" si="19"/>
        <v>1</v>
      </c>
      <c r="T395" s="102" t="str">
        <f>IF(TableRelationships12[[#This Row],[Rank Pedro]]="Low","linkCategory1",IF(TableRelationships12[[#This Row],[Rank Pedro]]="Medium","linkCategory2",IF(TableRelationships12[[#This Row],[Rank Pedro]]="High","linkCategory3","")))</f>
        <v/>
      </c>
      <c r="U395" s="102" t="str">
        <f>IF(TableRelationships12[[#This Row],[Rank Pedro]]="Low","Pink",IF(TableRelationships12[[#This Row],[Rank Pedro]]="Medium","Purple",IF(TableRelationships12[[#This Row],[Rank Pedro]]="High","Brown","")))</f>
        <v/>
      </c>
      <c r="V395" s="4" t="e">
        <f>MAX(INDEX(Standards!$F$2:$F$296,MATCH(B395,Standards!$B$2:$B$296,0)),INDEX(Standards!$F$2:$F$296,MATCH(C395,Standards!$B$2:$B$296,0)))</f>
        <v>#N/A</v>
      </c>
      <c r="W395" t="str">
        <f t="shared" si="20"/>
        <v>#2f89d1</v>
      </c>
    </row>
    <row r="396" spans="1:23" x14ac:dyDescent="0.5">
      <c r="A396" s="54">
        <v>395</v>
      </c>
      <c r="B396" s="90" t="s">
        <v>1040</v>
      </c>
      <c r="C396" t="s">
        <v>1516</v>
      </c>
      <c r="D396" s="1" t="s">
        <v>1102</v>
      </c>
      <c r="E396" s="113">
        <v>1987.01</v>
      </c>
      <c r="F396" s="113">
        <v>2024.01</v>
      </c>
      <c r="G396" s="107"/>
      <c r="H396">
        <f>INDEX('GIS-Standards'!$A$2:$A$305,MATCH(B396,'GIS-Standards'!$B$2:$B$305,0))</f>
        <v>15</v>
      </c>
      <c r="I396" t="e">
        <f>INDEX('GIS-Standards'!$A$2:$A$305,MATCH(C396,'GIS-Standards'!$B$2:$B$305,0))</f>
        <v>#N/A</v>
      </c>
      <c r="J396" t="str">
        <f>INDEX('GIS-Standards'!$O$2:$O$305,MATCH(B396,'GIS-Standards'!$B$2:$B$305,0))</f>
        <v>ISO/TC 211</v>
      </c>
      <c r="K396" t="e">
        <f>INDEX('GIS-Standards'!$O$2:$O$305,MATCH(C396,'GIS-Standards'!$B$2:$B$305,0))</f>
        <v>#N/A</v>
      </c>
      <c r="M396" t="s">
        <v>525</v>
      </c>
      <c r="N396">
        <f>INDEX('GIS-Standards'!$I$2:$I$305,MATCH(B396,'GIS-Standards'!$B$2:$B$305,0))</f>
        <v>0</v>
      </c>
      <c r="O396" t="e">
        <f>INDEX('GIS-Standards'!$I$2:$I$305,MATCH(C396,'GIS-Standards'!$B$2:$B$305,0))</f>
        <v>#N/A</v>
      </c>
      <c r="P396" t="e">
        <f>AND(TableRelationships12[[#This Row],[Source Type]]="BIM",TableRelationships12[[#This Row],[Target Type]]="BIM")</f>
        <v>#N/A</v>
      </c>
      <c r="Q396">
        <f t="shared" si="18"/>
        <v>1</v>
      </c>
      <c r="S396">
        <f t="shared" si="19"/>
        <v>1</v>
      </c>
      <c r="T396" s="102" t="str">
        <f>IF(TableRelationships12[[#This Row],[Rank Pedro]]="Low","linkCategory1",IF(TableRelationships12[[#This Row],[Rank Pedro]]="Medium","linkCategory2",IF(TableRelationships12[[#This Row],[Rank Pedro]]="High","linkCategory3","")))</f>
        <v/>
      </c>
      <c r="U396" s="102" t="str">
        <f>IF(TableRelationships12[[#This Row],[Rank Pedro]]="Low","Pink",IF(TableRelationships12[[#This Row],[Rank Pedro]]="Medium","Purple",IF(TableRelationships12[[#This Row],[Rank Pedro]]="High","Brown","")))</f>
        <v/>
      </c>
      <c r="V396" s="4" t="e">
        <f>MAX(INDEX(Standards!$F$2:$F$296,MATCH(B396,Standards!$B$2:$B$296,0)),INDEX(Standards!$F$2:$F$296,MATCH(C396,Standards!$B$2:$B$296,0)))</f>
        <v>#N/A</v>
      </c>
      <c r="W396" t="str">
        <f t="shared" si="20"/>
        <v>#2f89d1</v>
      </c>
    </row>
    <row r="397" spans="1:23" x14ac:dyDescent="0.5">
      <c r="A397" s="54">
        <v>396</v>
      </c>
      <c r="B397" s="90" t="s">
        <v>1040</v>
      </c>
      <c r="C397" t="s">
        <v>1103</v>
      </c>
      <c r="D397" s="1"/>
      <c r="G397" s="107"/>
      <c r="H397">
        <f>INDEX('GIS-Standards'!$A$2:$A$305,MATCH(B397,'GIS-Standards'!$B$2:$B$305,0))</f>
        <v>15</v>
      </c>
      <c r="I397" t="e">
        <f>INDEX('GIS-Standards'!$A$2:$A$305,MATCH(C397,'GIS-Standards'!$B$2:$B$305,0))</f>
        <v>#N/A</v>
      </c>
      <c r="J397" t="str">
        <f>INDEX('GIS-Standards'!$O$2:$O$305,MATCH(B397,'GIS-Standards'!$B$2:$B$305,0))</f>
        <v>ISO/TC 211</v>
      </c>
      <c r="K397" t="e">
        <f>INDEX('GIS-Standards'!$O$2:$O$305,MATCH(C397,'GIS-Standards'!$B$2:$B$305,0))</f>
        <v>#N/A</v>
      </c>
      <c r="M397" t="s">
        <v>525</v>
      </c>
      <c r="N397">
        <f>INDEX('GIS-Standards'!$I$2:$I$305,MATCH(B397,'GIS-Standards'!$B$2:$B$305,0))</f>
        <v>0</v>
      </c>
      <c r="O397" t="e">
        <f>INDEX('GIS-Standards'!$I$2:$I$305,MATCH(C397,'GIS-Standards'!$B$2:$B$305,0))</f>
        <v>#N/A</v>
      </c>
      <c r="P397" t="e">
        <f>AND(TableRelationships12[[#This Row],[Source Type]]="BIM",TableRelationships12[[#This Row],[Target Type]]="BIM")</f>
        <v>#N/A</v>
      </c>
      <c r="Q397">
        <f t="shared" si="18"/>
        <v>1</v>
      </c>
      <c r="S397">
        <f t="shared" si="19"/>
        <v>1</v>
      </c>
      <c r="T397" s="102" t="str">
        <f>IF(TableRelationships12[[#This Row],[Rank Pedro]]="Low","linkCategory1",IF(TableRelationships12[[#This Row],[Rank Pedro]]="Medium","linkCategory2",IF(TableRelationships12[[#This Row],[Rank Pedro]]="High","linkCategory3","")))</f>
        <v/>
      </c>
      <c r="U397" s="102" t="str">
        <f>IF(TableRelationships12[[#This Row],[Rank Pedro]]="Low","Pink",IF(TableRelationships12[[#This Row],[Rank Pedro]]="Medium","Purple",IF(TableRelationships12[[#This Row],[Rank Pedro]]="High","Brown","")))</f>
        <v/>
      </c>
      <c r="V397" s="4" t="e">
        <f>MAX(INDEX(Standards!$F$2:$F$296,MATCH(B397,Standards!$B$2:$B$296,0)),INDEX(Standards!$F$2:$F$296,MATCH(C397,Standards!$B$2:$B$296,0)))</f>
        <v>#N/A</v>
      </c>
      <c r="W397" t="str">
        <f t="shared" si="20"/>
        <v>#2f89d1</v>
      </c>
    </row>
    <row r="398" spans="1:23" x14ac:dyDescent="0.5">
      <c r="A398" s="54">
        <v>397</v>
      </c>
      <c r="B398" s="90" t="s">
        <v>302</v>
      </c>
      <c r="C398" t="s">
        <v>527</v>
      </c>
      <c r="D398" s="1"/>
      <c r="E398" s="112" t="s">
        <v>929</v>
      </c>
      <c r="F398" s="112" t="s">
        <v>934</v>
      </c>
      <c r="G398" s="121" t="s">
        <v>670</v>
      </c>
      <c r="H398">
        <f>INDEX('GIS-Standards'!$A$2:$A$305,MATCH(B398,'GIS-Standards'!$B$2:$B$305,0))</f>
        <v>16</v>
      </c>
      <c r="I398" t="e">
        <f>INDEX('GIS-Standards'!$A$2:$A$305,MATCH(C398,'GIS-Standards'!$B$2:$B$305,0))</f>
        <v>#N/A</v>
      </c>
      <c r="J398" t="str">
        <f>INDEX('GIS-Standards'!$O$2:$O$305,MATCH(B398,'GIS-Standards'!$B$2:$B$305,0))</f>
        <v>ISO/TC 211</v>
      </c>
      <c r="K398" t="e">
        <f>INDEX('GIS-Standards'!$O$2:$O$305,MATCH(C398,'GIS-Standards'!$B$2:$B$305,0))</f>
        <v>#N/A</v>
      </c>
      <c r="M398" t="s">
        <v>237</v>
      </c>
      <c r="N398">
        <f>INDEX('GIS-Standards'!$I$2:$I$305,MATCH(B398,'GIS-Standards'!$B$2:$B$305,0))</f>
        <v>0</v>
      </c>
      <c r="O398" t="e">
        <f>INDEX('GIS-Standards'!$I$2:$I$305,MATCH(C398,'GIS-Standards'!$B$2:$B$305,0))</f>
        <v>#N/A</v>
      </c>
      <c r="P398" t="e">
        <f>AND(TableRelationships12[[#This Row],[Source Type]]="BIM",TableRelationships12[[#This Row],[Target Type]]="BIM")</f>
        <v>#N/A</v>
      </c>
      <c r="Q398">
        <f t="shared" si="18"/>
        <v>2</v>
      </c>
      <c r="S398">
        <f t="shared" si="19"/>
        <v>1</v>
      </c>
      <c r="T398" s="102" t="str">
        <f>IF(TableRelationships12[[#This Row],[Rank Pedro]]="Low","linkCategory1",IF(TableRelationships12[[#This Row],[Rank Pedro]]="Medium","linkCategory2",IF(TableRelationships12[[#This Row],[Rank Pedro]]="High","linkCategory3","")))</f>
        <v/>
      </c>
      <c r="U398" s="102" t="str">
        <f>IF(TableRelationships12[[#This Row],[Rank Pedro]]="Low","Pink",IF(TableRelationships12[[#This Row],[Rank Pedro]]="Medium","Purple",IF(TableRelationships12[[#This Row],[Rank Pedro]]="High","Brown","")))</f>
        <v/>
      </c>
      <c r="V398" s="4">
        <f>MAX(INDEX(Standards!$F$2:$F$296,MATCH(B398,Standards!$B$2:$B$296,0)),INDEX(Standards!$F$2:$F$296,MATCH(C398,Standards!$B$2:$B$296,0)))</f>
        <v>37742</v>
      </c>
      <c r="W398">
        <f t="shared" si="20"/>
        <v>1</v>
      </c>
    </row>
    <row r="399" spans="1:23" x14ac:dyDescent="0.5">
      <c r="A399" s="54">
        <v>398</v>
      </c>
      <c r="B399" s="90" t="s">
        <v>302</v>
      </c>
      <c r="C399" t="s">
        <v>296</v>
      </c>
      <c r="D399" s="1"/>
      <c r="E399" s="112">
        <v>2005.07</v>
      </c>
      <c r="F399" s="112">
        <v>2024.09</v>
      </c>
      <c r="G399" s="107" t="s">
        <v>670</v>
      </c>
      <c r="H399">
        <f>INDEX('GIS-Standards'!$A$2:$A$305,MATCH(B399,'GIS-Standards'!$B$2:$B$305,0))</f>
        <v>16</v>
      </c>
      <c r="I399">
        <f>INDEX('GIS-Standards'!$A$2:$A$305,MATCH(C399,'GIS-Standards'!$B$2:$B$305,0))</f>
        <v>12</v>
      </c>
      <c r="J399" t="str">
        <f>INDEX('GIS-Standards'!$O$2:$O$305,MATCH(B399,'GIS-Standards'!$B$2:$B$305,0))</f>
        <v>ISO/TC 211</v>
      </c>
      <c r="K399" t="str">
        <f>INDEX('GIS-Standards'!$O$2:$O$305,MATCH(C399,'GIS-Standards'!$B$2:$B$305,0))</f>
        <v>ISO/TC 211</v>
      </c>
      <c r="M399" t="s">
        <v>524</v>
      </c>
      <c r="N399">
        <f>INDEX('GIS-Standards'!$I$2:$I$305,MATCH(B399,'GIS-Standards'!$B$2:$B$305,0))</f>
        <v>0</v>
      </c>
      <c r="O399">
        <f>INDEX('GIS-Standards'!$I$2:$I$305,MATCH(C399,'GIS-Standards'!$B$2:$B$305,0))</f>
        <v>0</v>
      </c>
      <c r="P399" t="b">
        <f>AND(TableRelationships12[[#This Row],[Source Type]]="BIM",TableRelationships12[[#This Row],[Target Type]]="BIM")</f>
        <v>0</v>
      </c>
      <c r="Q399">
        <f t="shared" si="18"/>
        <v>6</v>
      </c>
      <c r="S399">
        <f t="shared" si="19"/>
        <v>1</v>
      </c>
      <c r="T399" s="102" t="str">
        <f>IF(TableRelationships12[[#This Row],[Rank Pedro]]="Low","linkCategory1",IF(TableRelationships12[[#This Row],[Rank Pedro]]="Medium","linkCategory2",IF(TableRelationships12[[#This Row],[Rank Pedro]]="High","linkCategory3","")))</f>
        <v/>
      </c>
      <c r="U399" s="102" t="str">
        <f>IF(TableRelationships12[[#This Row],[Rank Pedro]]="Low","Pink",IF(TableRelationships12[[#This Row],[Rank Pedro]]="Medium","Purple",IF(TableRelationships12[[#This Row],[Rank Pedro]]="High","Brown","")))</f>
        <v/>
      </c>
      <c r="V399" s="4">
        <f>MAX(INDEX(Standards!$F$2:$F$296,MATCH(B399,Standards!$B$2:$B$296,0)),INDEX(Standards!$F$2:$F$296,MATCH(C399,Standards!$B$2:$B$296,0)))</f>
        <v>38534</v>
      </c>
      <c r="W399" t="str">
        <f t="shared" si="20"/>
        <v>#d6bf2a</v>
      </c>
    </row>
    <row r="400" spans="1:23" x14ac:dyDescent="0.5">
      <c r="A400" s="54">
        <v>399</v>
      </c>
      <c r="B400" s="90" t="s">
        <v>302</v>
      </c>
      <c r="C400" t="s">
        <v>304</v>
      </c>
      <c r="D400" s="1"/>
      <c r="E400" s="112">
        <v>2002.09</v>
      </c>
      <c r="F400" s="112">
        <v>2006.1</v>
      </c>
      <c r="G400" s="107" t="s">
        <v>670</v>
      </c>
      <c r="H400">
        <f>INDEX('GIS-Standards'!$A$2:$A$305,MATCH(B400,'GIS-Standards'!$B$2:$B$305,0))</f>
        <v>16</v>
      </c>
      <c r="I400">
        <f>INDEX('GIS-Standards'!$A$2:$A$305,MATCH(C400,'GIS-Standards'!$B$2:$B$305,0))</f>
        <v>17</v>
      </c>
      <c r="J400" t="str">
        <f>INDEX('GIS-Standards'!$O$2:$O$305,MATCH(B400,'GIS-Standards'!$B$2:$B$305,0))</f>
        <v>ISO/TC 211</v>
      </c>
      <c r="K400" t="str">
        <f>INDEX('GIS-Standards'!$O$2:$O$305,MATCH(C400,'GIS-Standards'!$B$2:$B$305,0))</f>
        <v>ISO/TC 211</v>
      </c>
      <c r="M400" t="s">
        <v>524</v>
      </c>
      <c r="N400">
        <f>INDEX('GIS-Standards'!$I$2:$I$305,MATCH(B400,'GIS-Standards'!$B$2:$B$305,0))</f>
        <v>0</v>
      </c>
      <c r="O400" t="str">
        <f>INDEX('GIS-Standards'!$I$2:$I$305,MATCH(C400,'GIS-Standards'!$B$2:$B$305,0))</f>
        <v>06.2008</v>
      </c>
      <c r="P400" t="b">
        <f>AND(TableRelationships12[[#This Row],[Source Type]]="BIM",TableRelationships12[[#This Row],[Target Type]]="BIM")</f>
        <v>0</v>
      </c>
      <c r="Q400">
        <f t="shared" si="18"/>
        <v>6</v>
      </c>
      <c r="S400">
        <f t="shared" si="19"/>
        <v>1</v>
      </c>
      <c r="T400" s="102" t="str">
        <f>IF(TableRelationships12[[#This Row],[Rank Pedro]]="Low","linkCategory1",IF(TableRelationships12[[#This Row],[Rank Pedro]]="Medium","linkCategory2",IF(TableRelationships12[[#This Row],[Rank Pedro]]="High","linkCategory3","")))</f>
        <v/>
      </c>
      <c r="U400" s="102" t="str">
        <f>IF(TableRelationships12[[#This Row],[Rank Pedro]]="Low","Pink",IF(TableRelationships12[[#This Row],[Rank Pedro]]="Medium","Purple",IF(TableRelationships12[[#This Row],[Rank Pedro]]="High","Brown","")))</f>
        <v/>
      </c>
      <c r="V400" s="4">
        <f>MAX(INDEX(Standards!$F$2:$F$296,MATCH(B400,Standards!$B$2:$B$296,0)),INDEX(Standards!$F$2:$F$296,MATCH(C400,Standards!$B$2:$B$296,0)))</f>
        <v>37742</v>
      </c>
      <c r="W400" t="str">
        <f t="shared" si="20"/>
        <v>#d6bf2a</v>
      </c>
    </row>
    <row r="401" spans="1:23" x14ac:dyDescent="0.5">
      <c r="A401" s="54">
        <v>400</v>
      </c>
      <c r="B401" s="90" t="s">
        <v>302</v>
      </c>
      <c r="C401" t="s">
        <v>306</v>
      </c>
      <c r="D401" s="1"/>
      <c r="E401" s="112">
        <v>2005.06</v>
      </c>
      <c r="F401" s="112">
        <v>2025.07</v>
      </c>
      <c r="G401" s="107" t="s">
        <v>670</v>
      </c>
      <c r="H401">
        <f>INDEX('GIS-Standards'!$A$2:$A$305,MATCH(B401,'GIS-Standards'!$B$2:$B$305,0))</f>
        <v>16</v>
      </c>
      <c r="I401">
        <f>INDEX('GIS-Standards'!$A$2:$A$305,MATCH(C401,'GIS-Standards'!$B$2:$B$305,0))</f>
        <v>18</v>
      </c>
      <c r="J401" t="str">
        <f>INDEX('GIS-Standards'!$O$2:$O$305,MATCH(B401,'GIS-Standards'!$B$2:$B$305,0))</f>
        <v>ISO/TC 211</v>
      </c>
      <c r="K401" t="str">
        <f>INDEX('GIS-Standards'!$O$2:$O$305,MATCH(C401,'GIS-Standards'!$B$2:$B$305,0))</f>
        <v>ISO/TC 211</v>
      </c>
      <c r="M401" t="s">
        <v>524</v>
      </c>
      <c r="N401">
        <f>INDEX('GIS-Standards'!$I$2:$I$305,MATCH(B401,'GIS-Standards'!$B$2:$B$305,0))</f>
        <v>0</v>
      </c>
      <c r="O401">
        <f>INDEX('GIS-Standards'!$I$2:$I$305,MATCH(C401,'GIS-Standards'!$B$2:$B$305,0))</f>
        <v>0</v>
      </c>
      <c r="P401" t="b">
        <f>AND(TableRelationships12[[#This Row],[Source Type]]="BIM",TableRelationships12[[#This Row],[Target Type]]="BIM")</f>
        <v>0</v>
      </c>
      <c r="Q401">
        <f t="shared" si="18"/>
        <v>6</v>
      </c>
      <c r="S401">
        <f t="shared" si="19"/>
        <v>1</v>
      </c>
      <c r="T401" s="102" t="str">
        <f>IF(TableRelationships12[[#This Row],[Rank Pedro]]="Low","linkCategory1",IF(TableRelationships12[[#This Row],[Rank Pedro]]="Medium","linkCategory2",IF(TableRelationships12[[#This Row],[Rank Pedro]]="High","linkCategory3","")))</f>
        <v/>
      </c>
      <c r="U401" s="102" t="str">
        <f>IF(TableRelationships12[[#This Row],[Rank Pedro]]="Low","Pink",IF(TableRelationships12[[#This Row],[Rank Pedro]]="Medium","Purple",IF(TableRelationships12[[#This Row],[Rank Pedro]]="High","Brown","")))</f>
        <v/>
      </c>
      <c r="V401" s="4">
        <f>MAX(INDEX(Standards!$F$2:$F$296,MATCH(B401,Standards!$B$2:$B$296,0)),INDEX(Standards!$F$2:$F$296,MATCH(C401,Standards!$B$2:$B$296,0)))</f>
        <v>38504</v>
      </c>
      <c r="W401" t="str">
        <f t="shared" si="20"/>
        <v>#d6bf2a</v>
      </c>
    </row>
    <row r="402" spans="1:23" x14ac:dyDescent="0.5">
      <c r="A402" s="54">
        <v>401</v>
      </c>
      <c r="B402" s="90" t="s">
        <v>302</v>
      </c>
      <c r="C402" t="s">
        <v>310</v>
      </c>
      <c r="D402" s="1"/>
      <c r="E402" s="112">
        <v>2003.02</v>
      </c>
      <c r="F402" s="112">
        <v>2023.08</v>
      </c>
      <c r="G402" s="107" t="s">
        <v>670</v>
      </c>
      <c r="H402">
        <f>INDEX('GIS-Standards'!$A$2:$A$305,MATCH(B402,'GIS-Standards'!$B$2:$B$305,0))</f>
        <v>16</v>
      </c>
      <c r="I402">
        <f>INDEX('GIS-Standards'!$A$2:$A$305,MATCH(C402,'GIS-Standards'!$B$2:$B$305,0))</f>
        <v>20</v>
      </c>
      <c r="J402" t="str">
        <f>INDEX('GIS-Standards'!$O$2:$O$305,MATCH(B402,'GIS-Standards'!$B$2:$B$305,0))</f>
        <v>ISO/TC 211</v>
      </c>
      <c r="K402" t="str">
        <f>INDEX('GIS-Standards'!$O$2:$O$305,MATCH(C402,'GIS-Standards'!$B$2:$B$305,0))</f>
        <v>ISO/TC 211</v>
      </c>
      <c r="M402" t="s">
        <v>524</v>
      </c>
      <c r="N402">
        <f>INDEX('GIS-Standards'!$I$2:$I$305,MATCH(B402,'GIS-Standards'!$B$2:$B$305,0))</f>
        <v>0</v>
      </c>
      <c r="O402" t="str">
        <f>INDEX('GIS-Standards'!$I$2:$I$305,MATCH(C402,'GIS-Standards'!$B$2:$B$305,0))</f>
        <v>08.2023</v>
      </c>
      <c r="P402" t="b">
        <f>AND(TableRelationships12[[#This Row],[Source Type]]="BIM",TableRelationships12[[#This Row],[Target Type]]="BIM")</f>
        <v>0</v>
      </c>
      <c r="Q402">
        <f t="shared" si="18"/>
        <v>6</v>
      </c>
      <c r="S402">
        <f t="shared" si="19"/>
        <v>1</v>
      </c>
      <c r="T402" s="102" t="str">
        <f>IF(TableRelationships12[[#This Row],[Rank Pedro]]="Low","linkCategory1",IF(TableRelationships12[[#This Row],[Rank Pedro]]="Medium","linkCategory2",IF(TableRelationships12[[#This Row],[Rank Pedro]]="High","linkCategory3","")))</f>
        <v/>
      </c>
      <c r="U402" s="102" t="str">
        <f>IF(TableRelationships12[[#This Row],[Rank Pedro]]="Low","Pink",IF(TableRelationships12[[#This Row],[Rank Pedro]]="Medium","Purple",IF(TableRelationships12[[#This Row],[Rank Pedro]]="High","Brown","")))</f>
        <v/>
      </c>
      <c r="V402" s="4">
        <f>MAX(INDEX(Standards!$F$2:$F$296,MATCH(B402,Standards!$B$2:$B$296,0)),INDEX(Standards!$F$2:$F$296,MATCH(C402,Standards!$B$2:$B$296,0)))</f>
        <v>37742</v>
      </c>
      <c r="W402" t="str">
        <f t="shared" si="20"/>
        <v>#d6bf2a</v>
      </c>
    </row>
    <row r="403" spans="1:23" x14ac:dyDescent="0.5">
      <c r="A403" s="54">
        <v>402</v>
      </c>
      <c r="B403" s="90" t="s">
        <v>302</v>
      </c>
      <c r="C403" t="s">
        <v>194</v>
      </c>
      <c r="D403" s="1"/>
      <c r="E403" s="112">
        <v>1996.12</v>
      </c>
      <c r="F403" s="112">
        <v>2007.12</v>
      </c>
      <c r="G403" s="107" t="s">
        <v>1504</v>
      </c>
      <c r="H403">
        <f>INDEX('GIS-Standards'!$A$2:$A$305,MATCH(B403,'GIS-Standards'!$B$2:$B$305,0))</f>
        <v>16</v>
      </c>
      <c r="I403" t="e">
        <f>INDEX('GIS-Standards'!$A$2:$A$305,MATCH(C403,'GIS-Standards'!$B$2:$B$305,0))</f>
        <v>#N/A</v>
      </c>
      <c r="J403" t="str">
        <f>INDEX('GIS-Standards'!$O$2:$O$305,MATCH(B403,'GIS-Standards'!$B$2:$B$305,0))</f>
        <v>ISO/TC 211</v>
      </c>
      <c r="K403" t="e">
        <f>INDEX('GIS-Standards'!$O$2:$O$305,MATCH(C403,'GIS-Standards'!$B$2:$B$305,0))</f>
        <v>#N/A</v>
      </c>
      <c r="M403" t="s">
        <v>524</v>
      </c>
      <c r="N403">
        <f>INDEX('GIS-Standards'!$I$2:$I$305,MATCH(B403,'GIS-Standards'!$B$2:$B$305,0))</f>
        <v>0</v>
      </c>
      <c r="O403" t="e">
        <f>INDEX('GIS-Standards'!$I$2:$I$305,MATCH(C403,'GIS-Standards'!$B$2:$B$305,0))</f>
        <v>#N/A</v>
      </c>
      <c r="P403" t="e">
        <f>AND(TableRelationships12[[#This Row],[Source Type]]="BIM",TableRelationships12[[#This Row],[Target Type]]="BIM")</f>
        <v>#N/A</v>
      </c>
      <c r="Q403">
        <f t="shared" si="18"/>
        <v>6</v>
      </c>
      <c r="S403">
        <f t="shared" si="19"/>
        <v>1</v>
      </c>
      <c r="T403" s="102" t="str">
        <f>IF(TableRelationships12[[#This Row],[Rank Pedro]]="Low","linkCategory1",IF(TableRelationships12[[#This Row],[Rank Pedro]]="Medium","linkCategory2",IF(TableRelationships12[[#This Row],[Rank Pedro]]="High","linkCategory3","")))</f>
        <v/>
      </c>
      <c r="U403" s="102" t="str">
        <f>IF(TableRelationships12[[#This Row],[Rank Pedro]]="Low","Pink",IF(TableRelationships12[[#This Row],[Rank Pedro]]="Medium","Purple",IF(TableRelationships12[[#This Row],[Rank Pedro]]="High","Brown","")))</f>
        <v/>
      </c>
      <c r="V403" s="4">
        <f>MAX(INDEX(Standards!$F$2:$F$296,MATCH(B403,Standards!$B$2:$B$296,0)),INDEX(Standards!$F$2:$F$296,MATCH(C403,Standards!$B$2:$B$296,0)))</f>
        <v>37742</v>
      </c>
      <c r="W403" t="str">
        <f t="shared" si="20"/>
        <v>#d6bf2a</v>
      </c>
    </row>
    <row r="404" spans="1:23" x14ac:dyDescent="0.5">
      <c r="A404" s="54">
        <v>403</v>
      </c>
      <c r="B404" s="90" t="s">
        <v>302</v>
      </c>
      <c r="C404" t="s">
        <v>360</v>
      </c>
      <c r="D404" s="1"/>
      <c r="E404" s="112">
        <v>2012.04</v>
      </c>
      <c r="F404" s="112">
        <v>2012.04</v>
      </c>
      <c r="G404" s="107" t="s">
        <v>1504</v>
      </c>
      <c r="H404">
        <f>INDEX('GIS-Standards'!$A$2:$A$305,MATCH(B404,'GIS-Standards'!$B$2:$B$305,0))</f>
        <v>16</v>
      </c>
      <c r="I404" t="e">
        <f>INDEX('GIS-Standards'!$A$2:$A$305,MATCH(C404,'GIS-Standards'!$B$2:$B$305,0))</f>
        <v>#N/A</v>
      </c>
      <c r="J404" t="str">
        <f>INDEX('GIS-Standards'!$O$2:$O$305,MATCH(B404,'GIS-Standards'!$B$2:$B$305,0))</f>
        <v>ISO/TC 211</v>
      </c>
      <c r="K404" t="e">
        <f>INDEX('GIS-Standards'!$O$2:$O$305,MATCH(C404,'GIS-Standards'!$B$2:$B$305,0))</f>
        <v>#N/A</v>
      </c>
      <c r="M404" t="s">
        <v>524</v>
      </c>
      <c r="N404">
        <f>INDEX('GIS-Standards'!$I$2:$I$305,MATCH(B404,'GIS-Standards'!$B$2:$B$305,0))</f>
        <v>0</v>
      </c>
      <c r="O404" t="e">
        <f>INDEX('GIS-Standards'!$I$2:$I$305,MATCH(C404,'GIS-Standards'!$B$2:$B$305,0))</f>
        <v>#N/A</v>
      </c>
      <c r="P404" t="e">
        <f>AND(TableRelationships12[[#This Row],[Source Type]]="BIM",TableRelationships12[[#This Row],[Target Type]]="BIM")</f>
        <v>#N/A</v>
      </c>
      <c r="Q404">
        <f t="shared" si="18"/>
        <v>6</v>
      </c>
      <c r="S404">
        <f t="shared" si="19"/>
        <v>1</v>
      </c>
      <c r="T404" s="102" t="str">
        <f>IF(TableRelationships12[[#This Row],[Rank Pedro]]="Low","linkCategory1",IF(TableRelationships12[[#This Row],[Rank Pedro]]="Medium","linkCategory2",IF(TableRelationships12[[#This Row],[Rank Pedro]]="High","linkCategory3","")))</f>
        <v/>
      </c>
      <c r="U404" s="102" t="str">
        <f>IF(TableRelationships12[[#This Row],[Rank Pedro]]="Low","Pink",IF(TableRelationships12[[#This Row],[Rank Pedro]]="Medium","Purple",IF(TableRelationships12[[#This Row],[Rank Pedro]]="High","Brown","")))</f>
        <v/>
      </c>
      <c r="V404" s="4">
        <f>MAX(INDEX(Standards!$F$2:$F$296,MATCH(B404,Standards!$B$2:$B$296,0)),INDEX(Standards!$F$2:$F$296,MATCH(C404,Standards!$B$2:$B$296,0)))</f>
        <v>41000</v>
      </c>
      <c r="W404" t="str">
        <f t="shared" si="20"/>
        <v>#d6bf2a</v>
      </c>
    </row>
    <row r="405" spans="1:23" x14ac:dyDescent="0.5">
      <c r="A405" s="54">
        <v>404</v>
      </c>
      <c r="B405" s="90" t="s">
        <v>302</v>
      </c>
      <c r="C405" t="s">
        <v>293</v>
      </c>
      <c r="D405" s="1"/>
      <c r="E405" s="112">
        <v>2002.07</v>
      </c>
      <c r="F405" s="112">
        <v>2014.11</v>
      </c>
      <c r="G405" s="107" t="s">
        <v>670</v>
      </c>
      <c r="H405">
        <f>INDEX('GIS-Standards'!$A$2:$A$305,MATCH(B405,'GIS-Standards'!$B$2:$B$305,0))</f>
        <v>16</v>
      </c>
      <c r="I405">
        <f>INDEX('GIS-Standards'!$A$2:$A$305,MATCH(C405,'GIS-Standards'!$B$2:$B$305,0))</f>
        <v>10</v>
      </c>
      <c r="J405" t="str">
        <f>INDEX('GIS-Standards'!$O$2:$O$305,MATCH(B405,'GIS-Standards'!$B$2:$B$305,0))</f>
        <v>ISO/TC 211</v>
      </c>
      <c r="K405" t="str">
        <f>INDEX('GIS-Standards'!$O$2:$O$305,MATCH(C405,'GIS-Standards'!$B$2:$B$305,0))</f>
        <v>ISO/TC 211</v>
      </c>
      <c r="M405" t="s">
        <v>525</v>
      </c>
      <c r="N405">
        <f>INDEX('GIS-Standards'!$I$2:$I$305,MATCH(B405,'GIS-Standards'!$B$2:$B$305,0))</f>
        <v>0</v>
      </c>
      <c r="O405">
        <f>INDEX('GIS-Standards'!$I$2:$I$305,MATCH(C405,'GIS-Standards'!$B$2:$B$305,0))</f>
        <v>0</v>
      </c>
      <c r="P405" t="b">
        <f>AND(TableRelationships12[[#This Row],[Source Type]]="BIM",TableRelationships12[[#This Row],[Target Type]]="BIM")</f>
        <v>0</v>
      </c>
      <c r="Q405">
        <f t="shared" si="18"/>
        <v>1</v>
      </c>
      <c r="S405">
        <f t="shared" si="19"/>
        <v>1</v>
      </c>
      <c r="T405" s="102" t="str">
        <f>IF(TableRelationships12[[#This Row],[Rank Pedro]]="Low","linkCategory1",IF(TableRelationships12[[#This Row],[Rank Pedro]]="Medium","linkCategory2",IF(TableRelationships12[[#This Row],[Rank Pedro]]="High","linkCategory3","")))</f>
        <v/>
      </c>
      <c r="U405" s="102" t="str">
        <f>IF(TableRelationships12[[#This Row],[Rank Pedro]]="Low","Pink",IF(TableRelationships12[[#This Row],[Rank Pedro]]="Medium","Purple",IF(TableRelationships12[[#This Row],[Rank Pedro]]="High","Brown","")))</f>
        <v/>
      </c>
      <c r="V405" s="4">
        <f>MAX(INDEX(Standards!$F$2:$F$296,MATCH(B405,Standards!$B$2:$B$296,0)),INDEX(Standards!$F$2:$F$296,MATCH(C405,Standards!$B$2:$B$296,0)))</f>
        <v>37742</v>
      </c>
      <c r="W405" t="str">
        <f t="shared" si="20"/>
        <v>#2f89d1</v>
      </c>
    </row>
    <row r="406" spans="1:23" x14ac:dyDescent="0.5">
      <c r="A406" s="54">
        <v>405</v>
      </c>
      <c r="B406" s="90" t="s">
        <v>302</v>
      </c>
      <c r="C406" t="s">
        <v>302</v>
      </c>
      <c r="D406" s="1"/>
      <c r="E406" s="112">
        <v>2003.05</v>
      </c>
      <c r="F406" s="112">
        <v>2019.12</v>
      </c>
      <c r="G406" s="107" t="s">
        <v>670</v>
      </c>
      <c r="H406">
        <f>INDEX('GIS-Standards'!$A$2:$A$305,MATCH(B406,'GIS-Standards'!$B$2:$B$305,0))</f>
        <v>16</v>
      </c>
      <c r="I406">
        <f>INDEX('GIS-Standards'!$A$2:$A$305,MATCH(C406,'GIS-Standards'!$B$2:$B$305,0))</f>
        <v>16</v>
      </c>
      <c r="J406" t="str">
        <f>INDEX('GIS-Standards'!$O$2:$O$305,MATCH(B406,'GIS-Standards'!$B$2:$B$305,0))</f>
        <v>ISO/TC 211</v>
      </c>
      <c r="K406" t="str">
        <f>INDEX('GIS-Standards'!$O$2:$O$305,MATCH(C406,'GIS-Standards'!$B$2:$B$305,0))</f>
        <v>ISO/TC 211</v>
      </c>
      <c r="M406" t="s">
        <v>525</v>
      </c>
      <c r="N406">
        <f>INDEX('GIS-Standards'!$I$2:$I$305,MATCH(B406,'GIS-Standards'!$B$2:$B$305,0))</f>
        <v>0</v>
      </c>
      <c r="O406">
        <f>INDEX('GIS-Standards'!$I$2:$I$305,MATCH(C406,'GIS-Standards'!$B$2:$B$305,0))</f>
        <v>0</v>
      </c>
      <c r="P406" t="b">
        <f>AND(TableRelationships12[[#This Row],[Source Type]]="BIM",TableRelationships12[[#This Row],[Target Type]]="BIM")</f>
        <v>0</v>
      </c>
      <c r="Q406">
        <f t="shared" si="18"/>
        <v>1</v>
      </c>
      <c r="S406">
        <f t="shared" si="19"/>
        <v>1</v>
      </c>
      <c r="T406" s="102" t="str">
        <f>IF(TableRelationships12[[#This Row],[Rank Pedro]]="Low","linkCategory1",IF(TableRelationships12[[#This Row],[Rank Pedro]]="Medium","linkCategory2",IF(TableRelationships12[[#This Row],[Rank Pedro]]="High","linkCategory3","")))</f>
        <v/>
      </c>
      <c r="U406" s="102" t="str">
        <f>IF(TableRelationships12[[#This Row],[Rank Pedro]]="Low","Pink",IF(TableRelationships12[[#This Row],[Rank Pedro]]="Medium","Purple",IF(TableRelationships12[[#This Row],[Rank Pedro]]="High","Brown","")))</f>
        <v/>
      </c>
      <c r="V406" s="4">
        <f>MAX(INDEX(Standards!$F$2:$F$296,MATCH(B406,Standards!$B$2:$B$296,0)),INDEX(Standards!$F$2:$F$296,MATCH(C406,Standards!$B$2:$B$296,0)))</f>
        <v>37742</v>
      </c>
      <c r="W406" t="str">
        <f t="shared" si="20"/>
        <v>#2f89d1</v>
      </c>
    </row>
    <row r="407" spans="1:23" x14ac:dyDescent="0.5">
      <c r="A407" s="54">
        <v>406</v>
      </c>
      <c r="B407" s="90" t="s">
        <v>302</v>
      </c>
      <c r="C407" t="s">
        <v>316</v>
      </c>
      <c r="D407" s="1"/>
      <c r="E407" s="112">
        <v>2005.07</v>
      </c>
      <c r="F407" s="112">
        <v>2011.1</v>
      </c>
      <c r="G407" s="107" t="s">
        <v>670</v>
      </c>
      <c r="H407">
        <f>INDEX('GIS-Standards'!$A$2:$A$305,MATCH(B407,'GIS-Standards'!$B$2:$B$305,0))</f>
        <v>16</v>
      </c>
      <c r="I407">
        <f>INDEX('GIS-Standards'!$A$2:$A$305,MATCH(C407,'GIS-Standards'!$B$2:$B$305,0))</f>
        <v>27</v>
      </c>
      <c r="J407" t="str">
        <f>INDEX('GIS-Standards'!$O$2:$O$305,MATCH(B407,'GIS-Standards'!$B$2:$B$305,0))</f>
        <v>ISO/TC 211</v>
      </c>
      <c r="K407" t="str">
        <f>INDEX('GIS-Standards'!$O$2:$O$305,MATCH(C407,'GIS-Standards'!$B$2:$B$305,0))</f>
        <v>ISO/TC 211</v>
      </c>
      <c r="M407" t="s">
        <v>525</v>
      </c>
      <c r="N407">
        <f>INDEX('GIS-Standards'!$I$2:$I$305,MATCH(B407,'GIS-Standards'!$B$2:$B$305,0))</f>
        <v>0</v>
      </c>
      <c r="O407">
        <f>INDEX('GIS-Standards'!$I$2:$I$305,MATCH(C407,'GIS-Standards'!$B$2:$B$305,0))</f>
        <v>0</v>
      </c>
      <c r="P407" t="b">
        <f>AND(TableRelationships12[[#This Row],[Source Type]]="BIM",TableRelationships12[[#This Row],[Target Type]]="BIM")</f>
        <v>0</v>
      </c>
      <c r="Q407">
        <f t="shared" si="18"/>
        <v>1</v>
      </c>
      <c r="S407">
        <f t="shared" si="19"/>
        <v>1</v>
      </c>
      <c r="T407" s="102" t="str">
        <f>IF(TableRelationships12[[#This Row],[Rank Pedro]]="Low","linkCategory1",IF(TableRelationships12[[#This Row],[Rank Pedro]]="Medium","linkCategory2",IF(TableRelationships12[[#This Row],[Rank Pedro]]="High","linkCategory3","")))</f>
        <v/>
      </c>
      <c r="U407" s="102" t="str">
        <f>IF(TableRelationships12[[#This Row],[Rank Pedro]]="Low","Pink",IF(TableRelationships12[[#This Row],[Rank Pedro]]="Medium","Purple",IF(TableRelationships12[[#This Row],[Rank Pedro]]="High","Brown","")))</f>
        <v/>
      </c>
      <c r="V407" s="4">
        <f>MAX(INDEX(Standards!$F$2:$F$296,MATCH(B407,Standards!$B$2:$B$296,0)),INDEX(Standards!$F$2:$F$296,MATCH(C407,Standards!$B$2:$B$296,0)))</f>
        <v>38534</v>
      </c>
      <c r="W407" t="str">
        <f t="shared" si="20"/>
        <v>#2f89d1</v>
      </c>
    </row>
    <row r="408" spans="1:23" x14ac:dyDescent="0.5">
      <c r="A408" s="54">
        <v>407</v>
      </c>
      <c r="B408" s="90" t="s">
        <v>302</v>
      </c>
      <c r="C408" t="s">
        <v>1046</v>
      </c>
      <c r="D408" s="1"/>
      <c r="E408" s="112">
        <v>2004.08</v>
      </c>
      <c r="F408" s="112">
        <v>2004.11</v>
      </c>
      <c r="G408" s="107" t="s">
        <v>670</v>
      </c>
      <c r="H408">
        <f>INDEX('GIS-Standards'!$A$2:$A$305,MATCH(B408,'GIS-Standards'!$B$2:$B$305,0))</f>
        <v>16</v>
      </c>
      <c r="I408">
        <f>INDEX('GIS-Standards'!$A$2:$A$305,MATCH(C408,'GIS-Standards'!$B$2:$B$305,0))</f>
        <v>32</v>
      </c>
      <c r="J408" t="str">
        <f>INDEX('GIS-Standards'!$O$2:$O$305,MATCH(B408,'GIS-Standards'!$B$2:$B$305,0))</f>
        <v>ISO/TC 211</v>
      </c>
      <c r="K408" t="str">
        <f>INDEX('GIS-Standards'!$O$2:$O$305,MATCH(C408,'GIS-Standards'!$B$2:$B$305,0))</f>
        <v>ISO/TC 211</v>
      </c>
      <c r="M408" t="s">
        <v>525</v>
      </c>
      <c r="N408">
        <f>INDEX('GIS-Standards'!$I$2:$I$305,MATCH(B408,'GIS-Standards'!$B$2:$B$305,0))</f>
        <v>0</v>
      </c>
      <c r="O408">
        <f>INDEX('GIS-Standards'!$I$2:$I$305,MATCH(C408,'GIS-Standards'!$B$2:$B$305,0))</f>
        <v>0</v>
      </c>
      <c r="P408" t="b">
        <f>AND(TableRelationships12[[#This Row],[Source Type]]="BIM",TableRelationships12[[#This Row],[Target Type]]="BIM")</f>
        <v>0</v>
      </c>
      <c r="Q408">
        <f t="shared" si="18"/>
        <v>1</v>
      </c>
      <c r="S408">
        <f t="shared" si="19"/>
        <v>1</v>
      </c>
      <c r="T408" s="102" t="str">
        <f>IF(TableRelationships12[[#This Row],[Rank Pedro]]="Low","linkCategory1",IF(TableRelationships12[[#This Row],[Rank Pedro]]="Medium","linkCategory2",IF(TableRelationships12[[#This Row],[Rank Pedro]]="High","linkCategory3","")))</f>
        <v/>
      </c>
      <c r="U408" s="102" t="str">
        <f>IF(TableRelationships12[[#This Row],[Rank Pedro]]="Low","Pink",IF(TableRelationships12[[#This Row],[Rank Pedro]]="Medium","Purple",IF(TableRelationships12[[#This Row],[Rank Pedro]]="High","Brown","")))</f>
        <v/>
      </c>
      <c r="V408" s="4" t="e">
        <f>MAX(INDEX(Standards!$F$2:$F$296,MATCH(B408,Standards!$B$2:$B$296,0)),INDEX(Standards!$F$2:$F$296,MATCH(C408,Standards!$B$2:$B$296,0)))</f>
        <v>#N/A</v>
      </c>
      <c r="W408" t="str">
        <f t="shared" si="20"/>
        <v>#2f89d1</v>
      </c>
    </row>
    <row r="409" spans="1:23" x14ac:dyDescent="0.5">
      <c r="A409" s="54">
        <v>408</v>
      </c>
      <c r="B409" s="90" t="s">
        <v>302</v>
      </c>
      <c r="C409" t="s">
        <v>1104</v>
      </c>
      <c r="D409" s="1"/>
      <c r="E409" s="112">
        <v>2004.08</v>
      </c>
      <c r="F409" s="112">
        <v>2004.08</v>
      </c>
      <c r="G409" s="107" t="s">
        <v>670</v>
      </c>
      <c r="H409">
        <f>INDEX('GIS-Standards'!$A$2:$A$305,MATCH(B409,'GIS-Standards'!$B$2:$B$305,0))</f>
        <v>16</v>
      </c>
      <c r="I409" t="e">
        <f>INDEX('GIS-Standards'!$A$2:$A$305,MATCH(C409,'GIS-Standards'!$B$2:$B$305,0))</f>
        <v>#N/A</v>
      </c>
      <c r="J409" t="str">
        <f>INDEX('GIS-Standards'!$O$2:$O$305,MATCH(B409,'GIS-Standards'!$B$2:$B$305,0))</f>
        <v>ISO/TC 211</v>
      </c>
      <c r="K409" t="e">
        <f>INDEX('GIS-Standards'!$O$2:$O$305,MATCH(C409,'GIS-Standards'!$B$2:$B$305,0))</f>
        <v>#N/A</v>
      </c>
      <c r="M409" t="s">
        <v>525</v>
      </c>
      <c r="N409">
        <f>INDEX('GIS-Standards'!$I$2:$I$305,MATCH(B409,'GIS-Standards'!$B$2:$B$305,0))</f>
        <v>0</v>
      </c>
      <c r="O409" t="e">
        <f>INDEX('GIS-Standards'!$I$2:$I$305,MATCH(C409,'GIS-Standards'!$B$2:$B$305,0))</f>
        <v>#N/A</v>
      </c>
      <c r="P409" t="e">
        <f>AND(TableRelationships12[[#This Row],[Source Type]]="BIM",TableRelationships12[[#This Row],[Target Type]]="BIM")</f>
        <v>#N/A</v>
      </c>
      <c r="Q409">
        <f t="shared" si="18"/>
        <v>1</v>
      </c>
      <c r="S409">
        <f t="shared" si="19"/>
        <v>1</v>
      </c>
      <c r="T409" s="102" t="str">
        <f>IF(TableRelationships12[[#This Row],[Rank Pedro]]="Low","linkCategory1",IF(TableRelationships12[[#This Row],[Rank Pedro]]="Medium","linkCategory2",IF(TableRelationships12[[#This Row],[Rank Pedro]]="High","linkCategory3","")))</f>
        <v/>
      </c>
      <c r="U409" s="102" t="str">
        <f>IF(TableRelationships12[[#This Row],[Rank Pedro]]="Low","Pink",IF(TableRelationships12[[#This Row],[Rank Pedro]]="Medium","Purple",IF(TableRelationships12[[#This Row],[Rank Pedro]]="High","Brown","")))</f>
        <v/>
      </c>
      <c r="V409" s="4" t="e">
        <f>MAX(INDEX(Standards!$F$2:$F$296,MATCH(B409,Standards!$B$2:$B$296,0)),INDEX(Standards!$F$2:$F$296,MATCH(C409,Standards!$B$2:$B$296,0)))</f>
        <v>#N/A</v>
      </c>
      <c r="W409" t="str">
        <f t="shared" si="20"/>
        <v>#2f89d1</v>
      </c>
    </row>
    <row r="410" spans="1:23" x14ac:dyDescent="0.5">
      <c r="A410" s="54">
        <v>409</v>
      </c>
      <c r="B410" s="90" t="s">
        <v>302</v>
      </c>
      <c r="C410" t="s">
        <v>334</v>
      </c>
      <c r="D410" s="1" t="s">
        <v>1036</v>
      </c>
      <c r="E410" s="113">
        <v>2007.09</v>
      </c>
      <c r="F410" s="113">
        <v>2020.01</v>
      </c>
      <c r="G410" s="107" t="s">
        <v>670</v>
      </c>
      <c r="H410">
        <f>INDEX('GIS-Standards'!$A$2:$A$305,MATCH(B410,'GIS-Standards'!$B$2:$B$305,0))</f>
        <v>16</v>
      </c>
      <c r="I410">
        <f>INDEX('GIS-Standards'!$A$2:$A$305,MATCH(C410,'GIS-Standards'!$B$2:$B$305,0))</f>
        <v>42</v>
      </c>
      <c r="J410" t="str">
        <f>INDEX('GIS-Standards'!$O$2:$O$305,MATCH(B410,'GIS-Standards'!$B$2:$B$305,0))</f>
        <v>ISO/TC 211</v>
      </c>
      <c r="K410" t="str">
        <f>INDEX('GIS-Standards'!$O$2:$O$305,MATCH(C410,'GIS-Standards'!$B$2:$B$305,0))</f>
        <v>ISO/TC 211</v>
      </c>
      <c r="M410" t="s">
        <v>525</v>
      </c>
      <c r="N410">
        <f>INDEX('GIS-Standards'!$I$2:$I$305,MATCH(B410,'GIS-Standards'!$B$2:$B$305,0))</f>
        <v>0</v>
      </c>
      <c r="O410">
        <f>INDEX('GIS-Standards'!$I$2:$I$305,MATCH(C410,'GIS-Standards'!$B$2:$B$305,0))</f>
        <v>0</v>
      </c>
      <c r="P410" t="b">
        <f>AND(TableRelationships12[[#This Row],[Source Type]]="BIM",TableRelationships12[[#This Row],[Target Type]]="BIM")</f>
        <v>0</v>
      </c>
      <c r="Q410">
        <f t="shared" si="18"/>
        <v>1</v>
      </c>
      <c r="S410">
        <f t="shared" si="19"/>
        <v>1</v>
      </c>
      <c r="T410" s="102" t="str">
        <f>IF(TableRelationships12[[#This Row],[Rank Pedro]]="Low","linkCategory1",IF(TableRelationships12[[#This Row],[Rank Pedro]]="Medium","linkCategory2",IF(TableRelationships12[[#This Row],[Rank Pedro]]="High","linkCategory3","")))</f>
        <v/>
      </c>
      <c r="U410" s="102" t="str">
        <f>IF(TableRelationships12[[#This Row],[Rank Pedro]]="Low","Pink",IF(TableRelationships12[[#This Row],[Rank Pedro]]="Medium","Purple",IF(TableRelationships12[[#This Row],[Rank Pedro]]="High","Brown","")))</f>
        <v/>
      </c>
      <c r="V410" s="4">
        <f>MAX(INDEX(Standards!$F$2:$F$296,MATCH(B410,Standards!$B$2:$B$296,0)),INDEX(Standards!$F$2:$F$296,MATCH(C410,Standards!$B$2:$B$296,0)))</f>
        <v>39326</v>
      </c>
      <c r="W410" t="str">
        <f t="shared" si="20"/>
        <v>#2f89d1</v>
      </c>
    </row>
    <row r="411" spans="1:23" x14ac:dyDescent="0.5">
      <c r="A411" s="54">
        <v>410</v>
      </c>
      <c r="B411" s="90" t="s">
        <v>302</v>
      </c>
      <c r="C411" t="s">
        <v>338</v>
      </c>
      <c r="D411" s="1"/>
      <c r="E411" s="112">
        <v>2008.06</v>
      </c>
      <c r="F411" s="112">
        <v>2008.06</v>
      </c>
      <c r="G411" s="107" t="s">
        <v>670</v>
      </c>
      <c r="H411">
        <f>INDEX('GIS-Standards'!$A$2:$A$305,MATCH(B411,'GIS-Standards'!$B$2:$B$305,0))</f>
        <v>16</v>
      </c>
      <c r="I411">
        <f>INDEX('GIS-Standards'!$A$2:$A$305,MATCH(C411,'GIS-Standards'!$B$2:$B$305,0))</f>
        <v>45</v>
      </c>
      <c r="J411" t="str">
        <f>INDEX('GIS-Standards'!$O$2:$O$305,MATCH(B411,'GIS-Standards'!$B$2:$B$305,0))</f>
        <v>ISO/TC 211</v>
      </c>
      <c r="K411" t="str">
        <f>INDEX('GIS-Standards'!$O$2:$O$305,MATCH(C411,'GIS-Standards'!$B$2:$B$305,0))</f>
        <v>ISO/TC 211</v>
      </c>
      <c r="M411" t="s">
        <v>525</v>
      </c>
      <c r="N411">
        <f>INDEX('GIS-Standards'!$I$2:$I$305,MATCH(B411,'GIS-Standards'!$B$2:$B$305,0))</f>
        <v>0</v>
      </c>
      <c r="O411">
        <f>INDEX('GIS-Standards'!$I$2:$I$305,MATCH(C411,'GIS-Standards'!$B$2:$B$305,0))</f>
        <v>0</v>
      </c>
      <c r="P411" t="b">
        <f>AND(TableRelationships12[[#This Row],[Source Type]]="BIM",TableRelationships12[[#This Row],[Target Type]]="BIM")</f>
        <v>0</v>
      </c>
      <c r="Q411">
        <f t="shared" si="18"/>
        <v>1</v>
      </c>
      <c r="S411">
        <f t="shared" si="19"/>
        <v>1</v>
      </c>
      <c r="T411" s="102" t="str">
        <f>IF(TableRelationships12[[#This Row],[Rank Pedro]]="Low","linkCategory1",IF(TableRelationships12[[#This Row],[Rank Pedro]]="Medium","linkCategory2",IF(TableRelationships12[[#This Row],[Rank Pedro]]="High","linkCategory3","")))</f>
        <v/>
      </c>
      <c r="U411" s="102" t="str">
        <f>IF(TableRelationships12[[#This Row],[Rank Pedro]]="Low","Pink",IF(TableRelationships12[[#This Row],[Rank Pedro]]="Medium","Purple",IF(TableRelationships12[[#This Row],[Rank Pedro]]="High","Brown","")))</f>
        <v/>
      </c>
      <c r="V411" s="4">
        <f>MAX(INDEX(Standards!$F$2:$F$296,MATCH(B411,Standards!$B$2:$B$296,0)),INDEX(Standards!$F$2:$F$296,MATCH(C411,Standards!$B$2:$B$296,0)))</f>
        <v>39600</v>
      </c>
      <c r="W411" t="str">
        <f t="shared" si="20"/>
        <v>#2f89d1</v>
      </c>
    </row>
    <row r="412" spans="1:23" x14ac:dyDescent="0.5">
      <c r="A412" s="54">
        <v>411</v>
      </c>
      <c r="B412" s="90" t="s">
        <v>302</v>
      </c>
      <c r="C412" t="s">
        <v>344</v>
      </c>
      <c r="D412" s="1"/>
      <c r="E412" s="112">
        <v>2012.02</v>
      </c>
      <c r="F412" s="112">
        <v>2021.04</v>
      </c>
      <c r="G412" s="107" t="s">
        <v>670</v>
      </c>
      <c r="H412">
        <f>INDEX('GIS-Standards'!$A$2:$A$305,MATCH(B412,'GIS-Standards'!$B$2:$B$305,0))</f>
        <v>16</v>
      </c>
      <c r="I412">
        <f>INDEX('GIS-Standards'!$A$2:$A$305,MATCH(C412,'GIS-Standards'!$B$2:$B$305,0))</f>
        <v>53</v>
      </c>
      <c r="J412" t="str">
        <f>INDEX('GIS-Standards'!$O$2:$O$305,MATCH(B412,'GIS-Standards'!$B$2:$B$305,0))</f>
        <v>ISO/TC 211</v>
      </c>
      <c r="K412" t="str">
        <f>INDEX('GIS-Standards'!$O$2:$O$305,MATCH(C412,'GIS-Standards'!$B$2:$B$305,0))</f>
        <v>ISO/TC 211</v>
      </c>
      <c r="M412" t="s">
        <v>525</v>
      </c>
      <c r="N412">
        <f>INDEX('GIS-Standards'!$I$2:$I$305,MATCH(B412,'GIS-Standards'!$B$2:$B$305,0))</f>
        <v>0</v>
      </c>
      <c r="O412">
        <f>INDEX('GIS-Standards'!$I$2:$I$305,MATCH(C412,'GIS-Standards'!$B$2:$B$305,0))</f>
        <v>0</v>
      </c>
      <c r="P412" t="b">
        <f>AND(TableRelationships12[[#This Row],[Source Type]]="BIM",TableRelationships12[[#This Row],[Target Type]]="BIM")</f>
        <v>0</v>
      </c>
      <c r="Q412">
        <f t="shared" si="18"/>
        <v>1</v>
      </c>
      <c r="S412">
        <f t="shared" si="19"/>
        <v>1</v>
      </c>
      <c r="T412" s="102" t="str">
        <f>IF(TableRelationships12[[#This Row],[Rank Pedro]]="Low","linkCategory1",IF(TableRelationships12[[#This Row],[Rank Pedro]]="Medium","linkCategory2",IF(TableRelationships12[[#This Row],[Rank Pedro]]="High","linkCategory3","")))</f>
        <v/>
      </c>
      <c r="U412" s="102" t="str">
        <f>IF(TableRelationships12[[#This Row],[Rank Pedro]]="Low","Pink",IF(TableRelationships12[[#This Row],[Rank Pedro]]="Medium","Purple",IF(TableRelationships12[[#This Row],[Rank Pedro]]="High","Brown","")))</f>
        <v/>
      </c>
      <c r="V412" s="4">
        <f>MAX(INDEX(Standards!$F$2:$F$296,MATCH(B412,Standards!$B$2:$B$296,0)),INDEX(Standards!$F$2:$F$296,MATCH(C412,Standards!$B$2:$B$296,0)))</f>
        <v>40940</v>
      </c>
      <c r="W412" t="str">
        <f t="shared" si="20"/>
        <v>#2f89d1</v>
      </c>
    </row>
    <row r="413" spans="1:23" x14ac:dyDescent="0.5">
      <c r="A413" s="54">
        <v>412</v>
      </c>
      <c r="B413" s="90" t="s">
        <v>302</v>
      </c>
      <c r="C413" t="s">
        <v>642</v>
      </c>
      <c r="D413" s="1"/>
      <c r="E413" s="112">
        <v>2015.08</v>
      </c>
      <c r="F413" s="112">
        <v>2023.08</v>
      </c>
      <c r="G413" s="107" t="s">
        <v>670</v>
      </c>
      <c r="H413">
        <f>INDEX('GIS-Standards'!$A$2:$A$305,MATCH(B413,'GIS-Standards'!$B$2:$B$305,0))</f>
        <v>16</v>
      </c>
      <c r="I413">
        <f>INDEX('GIS-Standards'!$A$2:$A$305,MATCH(C413,'GIS-Standards'!$B$2:$B$305,0))</f>
        <v>68</v>
      </c>
      <c r="J413" t="str">
        <f>INDEX('GIS-Standards'!$O$2:$O$305,MATCH(B413,'GIS-Standards'!$B$2:$B$305,0))</f>
        <v>ISO/TC 211</v>
      </c>
      <c r="K413" t="str">
        <f>INDEX('GIS-Standards'!$O$2:$O$305,MATCH(C413,'GIS-Standards'!$B$2:$B$305,0))</f>
        <v>ISO/TC 211</v>
      </c>
      <c r="M413" t="s">
        <v>525</v>
      </c>
      <c r="N413">
        <f>INDEX('GIS-Standards'!$I$2:$I$305,MATCH(B413,'GIS-Standards'!$B$2:$B$305,0))</f>
        <v>0</v>
      </c>
      <c r="O413" t="str">
        <f>INDEX('GIS-Standards'!$I$2:$I$305,MATCH(C413,'GIS-Standards'!$B$2:$B$305,0))</f>
        <v>08.2023</v>
      </c>
      <c r="P413" t="b">
        <f>AND(TableRelationships12[[#This Row],[Source Type]]="BIM",TableRelationships12[[#This Row],[Target Type]]="BIM")</f>
        <v>0</v>
      </c>
      <c r="Q413">
        <f t="shared" si="18"/>
        <v>1</v>
      </c>
      <c r="S413">
        <f t="shared" si="19"/>
        <v>1</v>
      </c>
      <c r="T413" s="102" t="str">
        <f>IF(TableRelationships12[[#This Row],[Rank Pedro]]="Low","linkCategory1",IF(TableRelationships12[[#This Row],[Rank Pedro]]="Medium","linkCategory2",IF(TableRelationships12[[#This Row],[Rank Pedro]]="High","linkCategory3","")))</f>
        <v/>
      </c>
      <c r="U413" s="102" t="str">
        <f>IF(TableRelationships12[[#This Row],[Rank Pedro]]="Low","Pink",IF(TableRelationships12[[#This Row],[Rank Pedro]]="Medium","Purple",IF(TableRelationships12[[#This Row],[Rank Pedro]]="High","Brown","")))</f>
        <v/>
      </c>
      <c r="V413" s="4" t="e">
        <f>MAX(INDEX(Standards!$F$2:$F$296,MATCH(B413,Standards!$B$2:$B$296,0)),INDEX(Standards!$F$2:$F$296,MATCH(C413,Standards!$B$2:$B$296,0)))</f>
        <v>#N/A</v>
      </c>
      <c r="W413" t="str">
        <f t="shared" si="20"/>
        <v>#2f89d1</v>
      </c>
    </row>
    <row r="414" spans="1:23" x14ac:dyDescent="0.5">
      <c r="A414" s="54">
        <v>413</v>
      </c>
      <c r="B414" s="90" t="s">
        <v>302</v>
      </c>
      <c r="C414" t="s">
        <v>1105</v>
      </c>
      <c r="D414" s="1"/>
      <c r="E414" s="112">
        <v>1978.03</v>
      </c>
      <c r="F414" s="112">
        <v>2019.08</v>
      </c>
      <c r="G414" s="107" t="s">
        <v>1446</v>
      </c>
      <c r="H414">
        <f>INDEX('GIS-Standards'!$A$2:$A$305,MATCH(B414,'GIS-Standards'!$B$2:$B$305,0))</f>
        <v>16</v>
      </c>
      <c r="I414" t="e">
        <f>INDEX('GIS-Standards'!$A$2:$A$305,MATCH(C414,'GIS-Standards'!$B$2:$B$305,0))</f>
        <v>#N/A</v>
      </c>
      <c r="J414" t="str">
        <f>INDEX('GIS-Standards'!$O$2:$O$305,MATCH(B414,'GIS-Standards'!$B$2:$B$305,0))</f>
        <v>ISO/TC 211</v>
      </c>
      <c r="K414" t="e">
        <f>INDEX('GIS-Standards'!$O$2:$O$305,MATCH(C414,'GIS-Standards'!$B$2:$B$305,0))</f>
        <v>#N/A</v>
      </c>
      <c r="M414" t="s">
        <v>525</v>
      </c>
      <c r="N414">
        <f>INDEX('GIS-Standards'!$I$2:$I$305,MATCH(B414,'GIS-Standards'!$B$2:$B$305,0))</f>
        <v>0</v>
      </c>
      <c r="O414" t="e">
        <f>INDEX('GIS-Standards'!$I$2:$I$305,MATCH(C414,'GIS-Standards'!$B$2:$B$305,0))</f>
        <v>#N/A</v>
      </c>
      <c r="P414" t="e">
        <f>AND(TableRelationships12[[#This Row],[Source Type]]="BIM",TableRelationships12[[#This Row],[Target Type]]="BIM")</f>
        <v>#N/A</v>
      </c>
      <c r="Q414">
        <f t="shared" si="18"/>
        <v>1</v>
      </c>
      <c r="S414">
        <f t="shared" si="19"/>
        <v>1</v>
      </c>
      <c r="T414" s="102" t="str">
        <f>IF(TableRelationships12[[#This Row],[Rank Pedro]]="Low","linkCategory1",IF(TableRelationships12[[#This Row],[Rank Pedro]]="Medium","linkCategory2",IF(TableRelationships12[[#This Row],[Rank Pedro]]="High","linkCategory3","")))</f>
        <v/>
      </c>
      <c r="U414" s="102" t="str">
        <f>IF(TableRelationships12[[#This Row],[Rank Pedro]]="Low","Pink",IF(TableRelationships12[[#This Row],[Rank Pedro]]="Medium","Purple",IF(TableRelationships12[[#This Row],[Rank Pedro]]="High","Brown","")))</f>
        <v/>
      </c>
      <c r="V414" s="4" t="e">
        <f>MAX(INDEX(Standards!$F$2:$F$296,MATCH(B414,Standards!$B$2:$B$296,0)),INDEX(Standards!$F$2:$F$296,MATCH(C414,Standards!$B$2:$B$296,0)))</f>
        <v>#N/A</v>
      </c>
      <c r="W414" t="str">
        <f t="shared" si="20"/>
        <v>#2f89d1</v>
      </c>
    </row>
    <row r="415" spans="1:23" x14ac:dyDescent="0.5">
      <c r="A415" s="54">
        <v>414</v>
      </c>
      <c r="B415" s="90" t="s">
        <v>302</v>
      </c>
      <c r="C415" t="s">
        <v>1049</v>
      </c>
      <c r="D415" s="1"/>
      <c r="E415" s="112">
        <v>2015.08</v>
      </c>
      <c r="F415" s="112">
        <v>2015.08</v>
      </c>
      <c r="G415" s="107" t="s">
        <v>670</v>
      </c>
      <c r="H415">
        <f>INDEX('GIS-Standards'!$A$2:$A$305,MATCH(B415,'GIS-Standards'!$B$2:$B$305,0))</f>
        <v>16</v>
      </c>
      <c r="I415">
        <f>INDEX('GIS-Standards'!$A$2:$A$305,MATCH(C415,'GIS-Standards'!$B$2:$B$305,0))</f>
        <v>43</v>
      </c>
      <c r="J415" t="str">
        <f>INDEX('GIS-Standards'!$O$2:$O$305,MATCH(B415,'GIS-Standards'!$B$2:$B$305,0))</f>
        <v>ISO/TC 211</v>
      </c>
      <c r="K415" t="str">
        <f>INDEX('GIS-Standards'!$O$2:$O$305,MATCH(C415,'GIS-Standards'!$B$2:$B$305,0))</f>
        <v>ISO/TC 211</v>
      </c>
      <c r="M415" t="s">
        <v>525</v>
      </c>
      <c r="N415">
        <f>INDEX('GIS-Standards'!$I$2:$I$305,MATCH(B415,'GIS-Standards'!$B$2:$B$305,0))</f>
        <v>0</v>
      </c>
      <c r="O415">
        <f>INDEX('GIS-Standards'!$I$2:$I$305,MATCH(C415,'GIS-Standards'!$B$2:$B$305,0))</f>
        <v>0</v>
      </c>
      <c r="P415" t="b">
        <f>AND(TableRelationships12[[#This Row],[Source Type]]="BIM",TableRelationships12[[#This Row],[Target Type]]="BIM")</f>
        <v>0</v>
      </c>
      <c r="Q415">
        <f t="shared" si="18"/>
        <v>1</v>
      </c>
      <c r="S415">
        <f t="shared" si="19"/>
        <v>1</v>
      </c>
      <c r="T415" s="102" t="str">
        <f>IF(TableRelationships12[[#This Row],[Rank Pedro]]="Low","linkCategory1",IF(TableRelationships12[[#This Row],[Rank Pedro]]="Medium","linkCategory2",IF(TableRelationships12[[#This Row],[Rank Pedro]]="High","linkCategory3","")))</f>
        <v/>
      </c>
      <c r="U415" s="102" t="str">
        <f>IF(TableRelationships12[[#This Row],[Rank Pedro]]="Low","Pink",IF(TableRelationships12[[#This Row],[Rank Pedro]]="Medium","Purple",IF(TableRelationships12[[#This Row],[Rank Pedro]]="High","Brown","")))</f>
        <v/>
      </c>
      <c r="V415" s="4" t="e">
        <f>MAX(INDEX(Standards!$F$2:$F$296,MATCH(B415,Standards!$B$2:$B$296,0)),INDEX(Standards!$F$2:$F$296,MATCH(C415,Standards!$B$2:$B$296,0)))</f>
        <v>#N/A</v>
      </c>
      <c r="W415" t="str">
        <f t="shared" si="20"/>
        <v>#2f89d1</v>
      </c>
    </row>
    <row r="416" spans="1:23" x14ac:dyDescent="0.5">
      <c r="A416" s="54">
        <v>415</v>
      </c>
      <c r="B416" s="90" t="s">
        <v>302</v>
      </c>
      <c r="C416" t="s">
        <v>220</v>
      </c>
      <c r="D416" s="1"/>
      <c r="E416" s="112">
        <v>1999.12</v>
      </c>
      <c r="F416" s="112">
        <v>2016.01</v>
      </c>
      <c r="G416" s="107" t="s">
        <v>1504</v>
      </c>
      <c r="H416">
        <f>INDEX('GIS-Standards'!$A$2:$A$305,MATCH(B416,'GIS-Standards'!$B$2:$B$305,0))</f>
        <v>16</v>
      </c>
      <c r="I416" t="e">
        <f>INDEX('GIS-Standards'!$A$2:$A$305,MATCH(C416,'GIS-Standards'!$B$2:$B$305,0))</f>
        <v>#N/A</v>
      </c>
      <c r="J416" t="str">
        <f>INDEX('GIS-Standards'!$O$2:$O$305,MATCH(B416,'GIS-Standards'!$B$2:$B$305,0))</f>
        <v>ISO/TC 211</v>
      </c>
      <c r="K416" t="e">
        <f>INDEX('GIS-Standards'!$O$2:$O$305,MATCH(C416,'GIS-Standards'!$B$2:$B$305,0))</f>
        <v>#N/A</v>
      </c>
      <c r="M416" t="s">
        <v>525</v>
      </c>
      <c r="N416">
        <f>INDEX('GIS-Standards'!$I$2:$I$305,MATCH(B416,'GIS-Standards'!$B$2:$B$305,0))</f>
        <v>0</v>
      </c>
      <c r="O416" t="e">
        <f>INDEX('GIS-Standards'!$I$2:$I$305,MATCH(C416,'GIS-Standards'!$B$2:$B$305,0))</f>
        <v>#N/A</v>
      </c>
      <c r="P416" t="e">
        <f>AND(TableRelationships12[[#This Row],[Source Type]]="BIM",TableRelationships12[[#This Row],[Target Type]]="BIM")</f>
        <v>#N/A</v>
      </c>
      <c r="Q416">
        <f t="shared" si="18"/>
        <v>1</v>
      </c>
      <c r="S416">
        <f t="shared" si="19"/>
        <v>1</v>
      </c>
      <c r="T416" s="102" t="str">
        <f>IF(TableRelationships12[[#This Row],[Rank Pedro]]="Low","linkCategory1",IF(TableRelationships12[[#This Row],[Rank Pedro]]="Medium","linkCategory2",IF(TableRelationships12[[#This Row],[Rank Pedro]]="High","linkCategory3","")))</f>
        <v/>
      </c>
      <c r="U416" s="102" t="str">
        <f>IF(TableRelationships12[[#This Row],[Rank Pedro]]="Low","Pink",IF(TableRelationships12[[#This Row],[Rank Pedro]]="Medium","Purple",IF(TableRelationships12[[#This Row],[Rank Pedro]]="High","Brown","")))</f>
        <v/>
      </c>
      <c r="V416" s="4">
        <f>MAX(INDEX(Standards!$F$2:$F$296,MATCH(B416,Standards!$B$2:$B$296,0)),INDEX(Standards!$F$2:$F$296,MATCH(C416,Standards!$B$2:$B$296,0)))</f>
        <v>37742</v>
      </c>
      <c r="W416" t="str">
        <f t="shared" si="20"/>
        <v>#2f89d1</v>
      </c>
    </row>
    <row r="417" spans="1:23" x14ac:dyDescent="0.5">
      <c r="A417" s="54">
        <v>416</v>
      </c>
      <c r="B417" s="90" t="s">
        <v>302</v>
      </c>
      <c r="C417" t="s">
        <v>1106</v>
      </c>
      <c r="D417" s="1"/>
      <c r="E417" s="112">
        <v>1985.03</v>
      </c>
      <c r="F417" s="112">
        <v>2019.07</v>
      </c>
      <c r="G417" s="107"/>
      <c r="H417">
        <f>INDEX('GIS-Standards'!$A$2:$A$305,MATCH(B417,'GIS-Standards'!$B$2:$B$305,0))</f>
        <v>16</v>
      </c>
      <c r="I417" t="e">
        <f>INDEX('GIS-Standards'!$A$2:$A$305,MATCH(C417,'GIS-Standards'!$B$2:$B$305,0))</f>
        <v>#N/A</v>
      </c>
      <c r="J417" t="str">
        <f>INDEX('GIS-Standards'!$O$2:$O$305,MATCH(B417,'GIS-Standards'!$B$2:$B$305,0))</f>
        <v>ISO/TC 211</v>
      </c>
      <c r="K417" t="e">
        <f>INDEX('GIS-Standards'!$O$2:$O$305,MATCH(C417,'GIS-Standards'!$B$2:$B$305,0))</f>
        <v>#N/A</v>
      </c>
      <c r="M417" t="s">
        <v>525</v>
      </c>
      <c r="N417">
        <f>INDEX('GIS-Standards'!$I$2:$I$305,MATCH(B417,'GIS-Standards'!$B$2:$B$305,0))</f>
        <v>0</v>
      </c>
      <c r="O417" t="e">
        <f>INDEX('GIS-Standards'!$I$2:$I$305,MATCH(C417,'GIS-Standards'!$B$2:$B$305,0))</f>
        <v>#N/A</v>
      </c>
      <c r="P417" t="e">
        <f>AND(TableRelationships12[[#This Row],[Source Type]]="BIM",TableRelationships12[[#This Row],[Target Type]]="BIM")</f>
        <v>#N/A</v>
      </c>
      <c r="Q417">
        <f t="shared" si="18"/>
        <v>1</v>
      </c>
      <c r="S417">
        <f t="shared" si="19"/>
        <v>1</v>
      </c>
      <c r="T417" s="102" t="str">
        <f>IF(TableRelationships12[[#This Row],[Rank Pedro]]="Low","linkCategory1",IF(TableRelationships12[[#This Row],[Rank Pedro]]="Medium","linkCategory2",IF(TableRelationships12[[#This Row],[Rank Pedro]]="High","linkCategory3","")))</f>
        <v/>
      </c>
      <c r="U417" s="102" t="str">
        <f>IF(TableRelationships12[[#This Row],[Rank Pedro]]="Low","Pink",IF(TableRelationships12[[#This Row],[Rank Pedro]]="Medium","Purple",IF(TableRelationships12[[#This Row],[Rank Pedro]]="High","Brown","")))</f>
        <v/>
      </c>
      <c r="V417" s="4" t="e">
        <f>MAX(INDEX(Standards!$F$2:$F$296,MATCH(B417,Standards!$B$2:$B$296,0)),INDEX(Standards!$F$2:$F$296,MATCH(C417,Standards!$B$2:$B$296,0)))</f>
        <v>#N/A</v>
      </c>
      <c r="W417" t="str">
        <f t="shared" si="20"/>
        <v>#2f89d1</v>
      </c>
    </row>
    <row r="418" spans="1:23" x14ac:dyDescent="0.5">
      <c r="A418" s="54">
        <v>417</v>
      </c>
      <c r="B418" s="90" t="s">
        <v>302</v>
      </c>
      <c r="C418" t="s">
        <v>1387</v>
      </c>
      <c r="D418" s="1"/>
      <c r="G418" s="107"/>
      <c r="H418">
        <f>INDEX('GIS-Standards'!$A$2:$A$305,MATCH(B418,'GIS-Standards'!$B$2:$B$305,0))</f>
        <v>16</v>
      </c>
      <c r="I418" t="e">
        <f>INDEX('GIS-Standards'!$A$2:$A$305,MATCH(C418,'GIS-Standards'!$B$2:$B$305,0))</f>
        <v>#N/A</v>
      </c>
      <c r="J418" t="str">
        <f>INDEX('GIS-Standards'!$O$2:$O$305,MATCH(B418,'GIS-Standards'!$B$2:$B$305,0))</f>
        <v>ISO/TC 211</v>
      </c>
      <c r="K418" t="e">
        <f>INDEX('GIS-Standards'!$O$2:$O$305,MATCH(C418,'GIS-Standards'!$B$2:$B$305,0))</f>
        <v>#N/A</v>
      </c>
      <c r="M418" t="s">
        <v>525</v>
      </c>
      <c r="N418">
        <f>INDEX('GIS-Standards'!$I$2:$I$305,MATCH(B418,'GIS-Standards'!$B$2:$B$305,0))</f>
        <v>0</v>
      </c>
      <c r="O418" t="e">
        <f>INDEX('GIS-Standards'!$I$2:$I$305,MATCH(C418,'GIS-Standards'!$B$2:$B$305,0))</f>
        <v>#N/A</v>
      </c>
      <c r="P418" t="e">
        <f>AND(TableRelationships12[[#This Row],[Source Type]]="BIM",TableRelationships12[[#This Row],[Target Type]]="BIM")</f>
        <v>#N/A</v>
      </c>
      <c r="Q418">
        <f t="shared" si="18"/>
        <v>1</v>
      </c>
      <c r="S418">
        <f t="shared" si="19"/>
        <v>1</v>
      </c>
      <c r="T418" s="102" t="str">
        <f>IF(TableRelationships12[[#This Row],[Rank Pedro]]="Low","linkCategory1",IF(TableRelationships12[[#This Row],[Rank Pedro]]="Medium","linkCategory2",IF(TableRelationships12[[#This Row],[Rank Pedro]]="High","linkCategory3","")))</f>
        <v/>
      </c>
      <c r="U418" s="102" t="str">
        <f>IF(TableRelationships12[[#This Row],[Rank Pedro]]="Low","Pink",IF(TableRelationships12[[#This Row],[Rank Pedro]]="Medium","Purple",IF(TableRelationships12[[#This Row],[Rank Pedro]]="High","Brown","")))</f>
        <v/>
      </c>
      <c r="V418" s="4" t="e">
        <f>MAX(INDEX(Standards!$F$2:$F$296,MATCH(B418,Standards!$B$2:$B$296,0)),INDEX(Standards!$F$2:$F$296,MATCH(C418,Standards!$B$2:$B$296,0)))</f>
        <v>#N/A</v>
      </c>
      <c r="W418" t="str">
        <f t="shared" si="20"/>
        <v>#2f89d1</v>
      </c>
    </row>
    <row r="419" spans="1:23" x14ac:dyDescent="0.5">
      <c r="A419" s="54">
        <v>418</v>
      </c>
      <c r="B419" s="90" t="s">
        <v>302</v>
      </c>
      <c r="C419" t="s">
        <v>1309</v>
      </c>
      <c r="D419" s="1"/>
      <c r="G419" s="107"/>
      <c r="H419">
        <f>INDEX('GIS-Standards'!$A$2:$A$305,MATCH(B419,'GIS-Standards'!$B$2:$B$305,0))</f>
        <v>16</v>
      </c>
      <c r="I419" t="e">
        <f>INDEX('GIS-Standards'!$A$2:$A$305,MATCH(C419,'GIS-Standards'!$B$2:$B$305,0))</f>
        <v>#N/A</v>
      </c>
      <c r="J419" t="str">
        <f>INDEX('GIS-Standards'!$O$2:$O$305,MATCH(B419,'GIS-Standards'!$B$2:$B$305,0))</f>
        <v>ISO/TC 211</v>
      </c>
      <c r="K419" t="e">
        <f>INDEX('GIS-Standards'!$O$2:$O$305,MATCH(C419,'GIS-Standards'!$B$2:$B$305,0))</f>
        <v>#N/A</v>
      </c>
      <c r="M419" t="s">
        <v>525</v>
      </c>
      <c r="N419">
        <f>INDEX('GIS-Standards'!$I$2:$I$305,MATCH(B419,'GIS-Standards'!$B$2:$B$305,0))</f>
        <v>0</v>
      </c>
      <c r="O419" t="e">
        <f>INDEX('GIS-Standards'!$I$2:$I$305,MATCH(C419,'GIS-Standards'!$B$2:$B$305,0))</f>
        <v>#N/A</v>
      </c>
      <c r="P419" t="e">
        <f>AND(TableRelationships12[[#This Row],[Source Type]]="BIM",TableRelationships12[[#This Row],[Target Type]]="BIM")</f>
        <v>#N/A</v>
      </c>
      <c r="Q419">
        <f t="shared" si="18"/>
        <v>1</v>
      </c>
      <c r="S419">
        <f t="shared" si="19"/>
        <v>1</v>
      </c>
      <c r="T419" s="102" t="str">
        <f>IF(TableRelationships12[[#This Row],[Rank Pedro]]="Low","linkCategory1",IF(TableRelationships12[[#This Row],[Rank Pedro]]="Medium","linkCategory2",IF(TableRelationships12[[#This Row],[Rank Pedro]]="High","linkCategory3","")))</f>
        <v/>
      </c>
      <c r="U419" s="102" t="str">
        <f>IF(TableRelationships12[[#This Row],[Rank Pedro]]="Low","Pink",IF(TableRelationships12[[#This Row],[Rank Pedro]]="Medium","Purple",IF(TableRelationships12[[#This Row],[Rank Pedro]]="High","Brown","")))</f>
        <v/>
      </c>
      <c r="V419" s="4" t="e">
        <f>MAX(INDEX(Standards!$F$2:$F$296,MATCH(B419,Standards!$B$2:$B$296,0)),INDEX(Standards!$F$2:$F$296,MATCH(C419,Standards!$B$2:$B$296,0)))</f>
        <v>#N/A</v>
      </c>
      <c r="W419" t="str">
        <f t="shared" si="20"/>
        <v>#2f89d1</v>
      </c>
    </row>
    <row r="420" spans="1:23" x14ac:dyDescent="0.5">
      <c r="A420" s="54">
        <v>419</v>
      </c>
      <c r="B420" s="90" t="s">
        <v>302</v>
      </c>
      <c r="C420" t="s">
        <v>1390</v>
      </c>
      <c r="D420" s="1"/>
      <c r="G420" s="107"/>
      <c r="H420">
        <f>INDEX('GIS-Standards'!$A$2:$A$305,MATCH(B420,'GIS-Standards'!$B$2:$B$305,0))</f>
        <v>16</v>
      </c>
      <c r="I420" t="e">
        <f>INDEX('GIS-Standards'!$A$2:$A$305,MATCH(C420,'GIS-Standards'!$B$2:$B$305,0))</f>
        <v>#N/A</v>
      </c>
      <c r="J420" t="str">
        <f>INDEX('GIS-Standards'!$O$2:$O$305,MATCH(B420,'GIS-Standards'!$B$2:$B$305,0))</f>
        <v>ISO/TC 211</v>
      </c>
      <c r="K420" t="e">
        <f>INDEX('GIS-Standards'!$O$2:$O$305,MATCH(C420,'GIS-Standards'!$B$2:$B$305,0))</f>
        <v>#N/A</v>
      </c>
      <c r="M420" t="s">
        <v>525</v>
      </c>
      <c r="N420">
        <f>INDEX('GIS-Standards'!$I$2:$I$305,MATCH(B420,'GIS-Standards'!$B$2:$B$305,0))</f>
        <v>0</v>
      </c>
      <c r="O420" t="e">
        <f>INDEX('GIS-Standards'!$I$2:$I$305,MATCH(C420,'GIS-Standards'!$B$2:$B$305,0))</f>
        <v>#N/A</v>
      </c>
      <c r="P420" t="e">
        <f>AND(TableRelationships12[[#This Row],[Source Type]]="BIM",TableRelationships12[[#This Row],[Target Type]]="BIM")</f>
        <v>#N/A</v>
      </c>
      <c r="Q420">
        <f t="shared" si="18"/>
        <v>1</v>
      </c>
      <c r="S420">
        <f t="shared" si="19"/>
        <v>1</v>
      </c>
      <c r="T420" s="102" t="str">
        <f>IF(TableRelationships12[[#This Row],[Rank Pedro]]="Low","linkCategory1",IF(TableRelationships12[[#This Row],[Rank Pedro]]="Medium","linkCategory2",IF(TableRelationships12[[#This Row],[Rank Pedro]]="High","linkCategory3","")))</f>
        <v/>
      </c>
      <c r="U420" s="102" t="str">
        <f>IF(TableRelationships12[[#This Row],[Rank Pedro]]="Low","Pink",IF(TableRelationships12[[#This Row],[Rank Pedro]]="Medium","Purple",IF(TableRelationships12[[#This Row],[Rank Pedro]]="High","Brown","")))</f>
        <v/>
      </c>
      <c r="V420" s="4" t="e">
        <f>MAX(INDEX(Standards!$F$2:$F$296,MATCH(B420,Standards!$B$2:$B$296,0)),INDEX(Standards!$F$2:$F$296,MATCH(C420,Standards!$B$2:$B$296,0)))</f>
        <v>#N/A</v>
      </c>
      <c r="W420" t="str">
        <f t="shared" si="20"/>
        <v>#2f89d1</v>
      </c>
    </row>
    <row r="421" spans="1:23" x14ac:dyDescent="0.5">
      <c r="A421" s="54">
        <v>420</v>
      </c>
      <c r="B421" s="90" t="s">
        <v>304</v>
      </c>
      <c r="C421" t="s">
        <v>527</v>
      </c>
      <c r="D421" s="1"/>
      <c r="E421" s="112" t="s">
        <v>929</v>
      </c>
      <c r="F421" s="112" t="s">
        <v>929</v>
      </c>
      <c r="G421" s="121" t="s">
        <v>670</v>
      </c>
      <c r="H421">
        <f>INDEX('GIS-Standards'!$A$2:$A$305,MATCH(B421,'GIS-Standards'!$B$2:$B$305,0))</f>
        <v>17</v>
      </c>
      <c r="I421" t="e">
        <f>INDEX('GIS-Standards'!$A$2:$A$305,MATCH(C421,'GIS-Standards'!$B$2:$B$305,0))</f>
        <v>#N/A</v>
      </c>
      <c r="J421" t="str">
        <f>INDEX('GIS-Standards'!$O$2:$O$305,MATCH(B421,'GIS-Standards'!$B$2:$B$305,0))</f>
        <v>ISO/TC 211</v>
      </c>
      <c r="K421" t="e">
        <f>INDEX('GIS-Standards'!$O$2:$O$305,MATCH(C421,'GIS-Standards'!$B$2:$B$305,0))</f>
        <v>#N/A</v>
      </c>
      <c r="M421" t="s">
        <v>237</v>
      </c>
      <c r="N421" t="str">
        <f>INDEX('GIS-Standards'!$I$2:$I$305,MATCH(B421,'GIS-Standards'!$B$2:$B$305,0))</f>
        <v>06.2008</v>
      </c>
      <c r="O421" t="e">
        <f>INDEX('GIS-Standards'!$I$2:$I$305,MATCH(C421,'GIS-Standards'!$B$2:$B$305,0))</f>
        <v>#N/A</v>
      </c>
      <c r="P421" t="e">
        <f>AND(TableRelationships12[[#This Row],[Source Type]]="BIM",TableRelationships12[[#This Row],[Target Type]]="BIM")</f>
        <v>#N/A</v>
      </c>
      <c r="Q421">
        <f t="shared" si="18"/>
        <v>2</v>
      </c>
      <c r="S421">
        <f t="shared" si="19"/>
        <v>1</v>
      </c>
      <c r="T421" s="102" t="str">
        <f>IF(TableRelationships12[[#This Row],[Rank Pedro]]="Low","linkCategory1",IF(TableRelationships12[[#This Row],[Rank Pedro]]="Medium","linkCategory2",IF(TableRelationships12[[#This Row],[Rank Pedro]]="High","linkCategory3","")))</f>
        <v/>
      </c>
      <c r="U421" s="102" t="str">
        <f>IF(TableRelationships12[[#This Row],[Rank Pedro]]="Low","Pink",IF(TableRelationships12[[#This Row],[Rank Pedro]]="Medium","Purple",IF(TableRelationships12[[#This Row],[Rank Pedro]]="High","Brown","")))</f>
        <v/>
      </c>
      <c r="V421" s="4">
        <f>MAX(INDEX(Standards!$F$2:$F$296,MATCH(B421,Standards!$B$2:$B$296,0)),INDEX(Standards!$F$2:$F$296,MATCH(C421,Standards!$B$2:$B$296,0)))</f>
        <v>37500</v>
      </c>
      <c r="W421">
        <f t="shared" si="20"/>
        <v>1</v>
      </c>
    </row>
    <row r="422" spans="1:23" x14ac:dyDescent="0.5">
      <c r="A422" s="54">
        <v>421</v>
      </c>
      <c r="B422" s="90" t="s">
        <v>304</v>
      </c>
      <c r="C422" t="s">
        <v>1077</v>
      </c>
      <c r="D422" s="1" t="s">
        <v>1107</v>
      </c>
      <c r="E422" s="112">
        <v>1978.03</v>
      </c>
      <c r="F422" s="112">
        <v>2025.07</v>
      </c>
      <c r="G422" s="107" t="s">
        <v>1446</v>
      </c>
      <c r="H422">
        <f>INDEX('GIS-Standards'!$A$2:$A$305,MATCH(B422,'GIS-Standards'!$B$2:$B$305,0))</f>
        <v>17</v>
      </c>
      <c r="I422" t="e">
        <f>INDEX('GIS-Standards'!$A$2:$A$305,MATCH(C422,'GIS-Standards'!$B$2:$B$305,0))</f>
        <v>#N/A</v>
      </c>
      <c r="J422" t="str">
        <f>INDEX('GIS-Standards'!$O$2:$O$305,MATCH(B422,'GIS-Standards'!$B$2:$B$305,0))</f>
        <v>ISO/TC 211</v>
      </c>
      <c r="K422" t="e">
        <f>INDEX('GIS-Standards'!$O$2:$O$305,MATCH(C422,'GIS-Standards'!$B$2:$B$305,0))</f>
        <v>#N/A</v>
      </c>
      <c r="M422" t="s">
        <v>524</v>
      </c>
      <c r="N422" t="str">
        <f>INDEX('GIS-Standards'!$I$2:$I$305,MATCH(B422,'GIS-Standards'!$B$2:$B$305,0))</f>
        <v>06.2008</v>
      </c>
      <c r="O422" t="e">
        <f>INDEX('GIS-Standards'!$I$2:$I$305,MATCH(C422,'GIS-Standards'!$B$2:$B$305,0))</f>
        <v>#N/A</v>
      </c>
      <c r="P422" t="e">
        <f>AND(TableRelationships12[[#This Row],[Source Type]]="BIM",TableRelationships12[[#This Row],[Target Type]]="BIM")</f>
        <v>#N/A</v>
      </c>
      <c r="Q422">
        <f t="shared" si="18"/>
        <v>6</v>
      </c>
      <c r="S422">
        <f t="shared" si="19"/>
        <v>1</v>
      </c>
      <c r="T422" s="102" t="str">
        <f>IF(TableRelationships12[[#This Row],[Rank Pedro]]="Low","linkCategory1",IF(TableRelationships12[[#This Row],[Rank Pedro]]="Medium","linkCategory2",IF(TableRelationships12[[#This Row],[Rank Pedro]]="High","linkCategory3","")))</f>
        <v/>
      </c>
      <c r="U422" s="102" t="str">
        <f>IF(TableRelationships12[[#This Row],[Rank Pedro]]="Low","Pink",IF(TableRelationships12[[#This Row],[Rank Pedro]]="Medium","Purple",IF(TableRelationships12[[#This Row],[Rank Pedro]]="High","Brown","")))</f>
        <v/>
      </c>
      <c r="V422" s="4" t="e">
        <f>MAX(INDEX(Standards!$F$2:$F$296,MATCH(B422,Standards!$B$2:$B$296,0)),INDEX(Standards!$F$2:$F$296,MATCH(C422,Standards!$B$2:$B$296,0)))</f>
        <v>#N/A</v>
      </c>
      <c r="W422" t="str">
        <f t="shared" si="20"/>
        <v>#d6bf2a</v>
      </c>
    </row>
    <row r="423" spans="1:23" x14ac:dyDescent="0.5">
      <c r="A423" s="54">
        <v>422</v>
      </c>
      <c r="B423" s="90" t="s">
        <v>304</v>
      </c>
      <c r="C423" t="s">
        <v>182</v>
      </c>
      <c r="D423" s="1" t="s">
        <v>1108</v>
      </c>
      <c r="E423" s="113">
        <v>1981.07</v>
      </c>
      <c r="F423" s="113">
        <v>2022.12</v>
      </c>
      <c r="G423" s="107" t="s">
        <v>1446</v>
      </c>
      <c r="H423">
        <f>INDEX('GIS-Standards'!$A$2:$A$305,MATCH(B423,'GIS-Standards'!$B$2:$B$305,0))</f>
        <v>17</v>
      </c>
      <c r="I423" t="e">
        <f>INDEX('GIS-Standards'!$A$2:$A$305,MATCH(D423,'GIS-Standards'!$B$2:$B$305,0))</f>
        <v>#N/A</v>
      </c>
      <c r="J423" t="str">
        <f>INDEX('GIS-Standards'!$O$2:$O$305,MATCH(B423,'GIS-Standards'!$B$2:$B$305,0))</f>
        <v>ISO/TC 211</v>
      </c>
      <c r="K423" t="e">
        <f>INDEX('GIS-Standards'!$O$2:$O$305,MATCH(D423,'GIS-Standards'!$B$2:$B$305,0))</f>
        <v>#N/A</v>
      </c>
      <c r="M423" t="s">
        <v>524</v>
      </c>
      <c r="N423" t="str">
        <f>INDEX('GIS-Standards'!$I$2:$I$305,MATCH(B423,'GIS-Standards'!$B$2:$B$305,0))</f>
        <v>06.2008</v>
      </c>
      <c r="O423" t="e">
        <f>INDEX('GIS-Standards'!$I$2:$I$305,MATCH(D423,'GIS-Standards'!$B$2:$B$305,0))</f>
        <v>#N/A</v>
      </c>
      <c r="P423" t="e">
        <f>AND(TableRelationships12[[#This Row],[Source Type]]="BIM",TableRelationships12[[#This Row],[Target Type]]="BIM")</f>
        <v>#N/A</v>
      </c>
      <c r="Q423">
        <f t="shared" si="18"/>
        <v>6</v>
      </c>
      <c r="S423">
        <f t="shared" si="19"/>
        <v>1</v>
      </c>
      <c r="T423" s="102" t="str">
        <f>IF(TableRelationships12[[#This Row],[Rank Pedro]]="Low","linkCategory1",IF(TableRelationships12[[#This Row],[Rank Pedro]]="Medium","linkCategory2",IF(TableRelationships12[[#This Row],[Rank Pedro]]="High","linkCategory3","")))</f>
        <v/>
      </c>
      <c r="U423" s="102" t="str">
        <f>IF(TableRelationships12[[#This Row],[Rank Pedro]]="Low","Pink",IF(TableRelationships12[[#This Row],[Rank Pedro]]="Medium","Purple",IF(TableRelationships12[[#This Row],[Rank Pedro]]="High","Brown","")))</f>
        <v/>
      </c>
      <c r="V423" s="4" t="e">
        <f>MAX(INDEX(Standards!$F$2:$F$296,MATCH(B423,Standards!$B$2:$B$296,0)),INDEX(Standards!$F$2:$F$296,MATCH(D423,Standards!$B$2:$B$296,0)))</f>
        <v>#N/A</v>
      </c>
      <c r="W423" t="str">
        <f t="shared" si="20"/>
        <v>#d6bf2a</v>
      </c>
    </row>
    <row r="424" spans="1:23" x14ac:dyDescent="0.5">
      <c r="A424" s="54">
        <v>423</v>
      </c>
      <c r="B424" s="90" t="s">
        <v>304</v>
      </c>
      <c r="C424" t="s">
        <v>194</v>
      </c>
      <c r="D424" s="1"/>
      <c r="E424" s="112">
        <v>1996.12</v>
      </c>
      <c r="F424" s="112">
        <v>2007.12</v>
      </c>
      <c r="G424" s="107" t="s">
        <v>1504</v>
      </c>
      <c r="H424">
        <f>INDEX('GIS-Standards'!$A$2:$A$305,MATCH(B424,'GIS-Standards'!$B$2:$B$305,0))</f>
        <v>17</v>
      </c>
      <c r="I424" t="e">
        <f>INDEX('GIS-Standards'!$A$2:$A$305,MATCH(C424,'GIS-Standards'!$B$2:$B$305,0))</f>
        <v>#N/A</v>
      </c>
      <c r="J424" t="str">
        <f>INDEX('GIS-Standards'!$O$2:$O$305,MATCH(B424,'GIS-Standards'!$B$2:$B$305,0))</f>
        <v>ISO/TC 211</v>
      </c>
      <c r="K424" t="e">
        <f>INDEX('GIS-Standards'!$O$2:$O$305,MATCH(C424,'GIS-Standards'!$B$2:$B$305,0))</f>
        <v>#N/A</v>
      </c>
      <c r="M424" t="s">
        <v>524</v>
      </c>
      <c r="N424" t="str">
        <f>INDEX('GIS-Standards'!$I$2:$I$305,MATCH(B424,'GIS-Standards'!$B$2:$B$305,0))</f>
        <v>06.2008</v>
      </c>
      <c r="O424" t="e">
        <f>INDEX('GIS-Standards'!$I$2:$I$305,MATCH(C424,'GIS-Standards'!$B$2:$B$305,0))</f>
        <v>#N/A</v>
      </c>
      <c r="P424" t="e">
        <f>AND(TableRelationships12[[#This Row],[Source Type]]="BIM",TableRelationships12[[#This Row],[Target Type]]="BIM")</f>
        <v>#N/A</v>
      </c>
      <c r="Q424">
        <f t="shared" si="18"/>
        <v>6</v>
      </c>
      <c r="S424">
        <f t="shared" si="19"/>
        <v>1</v>
      </c>
      <c r="T424" s="102" t="str">
        <f>IF(TableRelationships12[[#This Row],[Rank Pedro]]="Low","linkCategory1",IF(TableRelationships12[[#This Row],[Rank Pedro]]="Medium","linkCategory2",IF(TableRelationships12[[#This Row],[Rank Pedro]]="High","linkCategory3","")))</f>
        <v/>
      </c>
      <c r="U424" s="102" t="str">
        <f>IF(TableRelationships12[[#This Row],[Rank Pedro]]="Low","Pink",IF(TableRelationships12[[#This Row],[Rank Pedro]]="Medium","Purple",IF(TableRelationships12[[#This Row],[Rank Pedro]]="High","Brown","")))</f>
        <v/>
      </c>
      <c r="V424" s="4">
        <f>MAX(INDEX(Standards!$F$2:$F$296,MATCH(B424,Standards!$B$2:$B$296,0)),INDEX(Standards!$F$2:$F$296,MATCH(C424,Standards!$B$2:$B$296,0)))</f>
        <v>37500</v>
      </c>
      <c r="W424" t="str">
        <f t="shared" si="20"/>
        <v>#d6bf2a</v>
      </c>
    </row>
    <row r="425" spans="1:23" x14ac:dyDescent="0.5">
      <c r="A425" s="54">
        <v>424</v>
      </c>
      <c r="B425" s="90" t="s">
        <v>304</v>
      </c>
      <c r="C425" t="s">
        <v>296</v>
      </c>
      <c r="D425" s="1"/>
      <c r="E425" s="112">
        <v>2005.07</v>
      </c>
      <c r="F425" s="112">
        <v>2024.09</v>
      </c>
      <c r="G425" s="107" t="s">
        <v>670</v>
      </c>
      <c r="H425">
        <f>INDEX('GIS-Standards'!$A$2:$A$305,MATCH(B425,'GIS-Standards'!$B$2:$B$305,0))</f>
        <v>17</v>
      </c>
      <c r="I425">
        <f>INDEX('GIS-Standards'!$A$2:$A$305,MATCH(C425,'GIS-Standards'!$B$2:$B$305,0))</f>
        <v>12</v>
      </c>
      <c r="J425" t="str">
        <f>INDEX('GIS-Standards'!$O$2:$O$305,MATCH(B425,'GIS-Standards'!$B$2:$B$305,0))</f>
        <v>ISO/TC 211</v>
      </c>
      <c r="K425" t="str">
        <f>INDEX('GIS-Standards'!$O$2:$O$305,MATCH(C425,'GIS-Standards'!$B$2:$B$305,0))</f>
        <v>ISO/TC 211</v>
      </c>
      <c r="M425" t="s">
        <v>524</v>
      </c>
      <c r="N425" t="str">
        <f>INDEX('GIS-Standards'!$I$2:$I$305,MATCH(B425,'GIS-Standards'!$B$2:$B$305,0))</f>
        <v>06.2008</v>
      </c>
      <c r="O425">
        <f>INDEX('GIS-Standards'!$I$2:$I$305,MATCH(C425,'GIS-Standards'!$B$2:$B$305,0))</f>
        <v>0</v>
      </c>
      <c r="P425" t="b">
        <f>AND(TableRelationships12[[#This Row],[Source Type]]="BIM",TableRelationships12[[#This Row],[Target Type]]="BIM")</f>
        <v>0</v>
      </c>
      <c r="Q425">
        <f t="shared" si="18"/>
        <v>6</v>
      </c>
      <c r="S425">
        <f t="shared" si="19"/>
        <v>1</v>
      </c>
      <c r="T425" s="102" t="str">
        <f>IF(TableRelationships12[[#This Row],[Rank Pedro]]="Low","linkCategory1",IF(TableRelationships12[[#This Row],[Rank Pedro]]="Medium","linkCategory2",IF(TableRelationships12[[#This Row],[Rank Pedro]]="High","linkCategory3","")))</f>
        <v/>
      </c>
      <c r="U425" s="102" t="str">
        <f>IF(TableRelationships12[[#This Row],[Rank Pedro]]="Low","Pink",IF(TableRelationships12[[#This Row],[Rank Pedro]]="Medium","Purple",IF(TableRelationships12[[#This Row],[Rank Pedro]]="High","Brown","")))</f>
        <v/>
      </c>
      <c r="V425" s="4">
        <f>MAX(INDEX(Standards!$F$2:$F$296,MATCH(B425,Standards!$B$2:$B$296,0)),INDEX(Standards!$F$2:$F$296,MATCH(C425,Standards!$B$2:$B$296,0)))</f>
        <v>38534</v>
      </c>
      <c r="W425" t="str">
        <f t="shared" si="20"/>
        <v>#d6bf2a</v>
      </c>
    </row>
    <row r="426" spans="1:23" x14ac:dyDescent="0.5">
      <c r="A426" s="54">
        <v>425</v>
      </c>
      <c r="B426" s="90" t="s">
        <v>304</v>
      </c>
      <c r="C426" t="s">
        <v>302</v>
      </c>
      <c r="D426" s="1"/>
      <c r="E426" s="112">
        <v>2003.05</v>
      </c>
      <c r="F426" s="112">
        <v>2019.12</v>
      </c>
      <c r="G426" s="107" t="s">
        <v>670</v>
      </c>
      <c r="H426">
        <f>INDEX('GIS-Standards'!$A$2:$A$305,MATCH(B426,'GIS-Standards'!$B$2:$B$305,0))</f>
        <v>17</v>
      </c>
      <c r="I426">
        <f>INDEX('GIS-Standards'!$A$2:$A$305,MATCH(C426,'GIS-Standards'!$B$2:$B$305,0))</f>
        <v>16</v>
      </c>
      <c r="J426" t="str">
        <f>INDEX('GIS-Standards'!$O$2:$O$305,MATCH(B426,'GIS-Standards'!$B$2:$B$305,0))</f>
        <v>ISO/TC 211</v>
      </c>
      <c r="K426" t="str">
        <f>INDEX('GIS-Standards'!$O$2:$O$305,MATCH(C426,'GIS-Standards'!$B$2:$B$305,0))</f>
        <v>ISO/TC 211</v>
      </c>
      <c r="M426" t="s">
        <v>524</v>
      </c>
      <c r="N426" t="str">
        <f>INDEX('GIS-Standards'!$I$2:$I$305,MATCH(B426,'GIS-Standards'!$B$2:$B$305,0))</f>
        <v>06.2008</v>
      </c>
      <c r="O426">
        <f>INDEX('GIS-Standards'!$I$2:$I$305,MATCH(C426,'GIS-Standards'!$B$2:$B$305,0))</f>
        <v>0</v>
      </c>
      <c r="P426" t="b">
        <f>AND(TableRelationships12[[#This Row],[Source Type]]="BIM",TableRelationships12[[#This Row],[Target Type]]="BIM")</f>
        <v>0</v>
      </c>
      <c r="Q426">
        <f t="shared" si="18"/>
        <v>6</v>
      </c>
      <c r="S426">
        <f t="shared" si="19"/>
        <v>1</v>
      </c>
      <c r="T426" s="102" t="str">
        <f>IF(TableRelationships12[[#This Row],[Rank Pedro]]="Low","linkCategory1",IF(TableRelationships12[[#This Row],[Rank Pedro]]="Medium","linkCategory2",IF(TableRelationships12[[#This Row],[Rank Pedro]]="High","linkCategory3","")))</f>
        <v/>
      </c>
      <c r="U426" s="102" t="str">
        <f>IF(TableRelationships12[[#This Row],[Rank Pedro]]="Low","Pink",IF(TableRelationships12[[#This Row],[Rank Pedro]]="Medium","Purple",IF(TableRelationships12[[#This Row],[Rank Pedro]]="High","Brown","")))</f>
        <v/>
      </c>
      <c r="V426" s="4">
        <f>MAX(INDEX(Standards!$F$2:$F$296,MATCH(B426,Standards!$B$2:$B$296,0)),INDEX(Standards!$F$2:$F$296,MATCH(C426,Standards!$B$2:$B$296,0)))</f>
        <v>37742</v>
      </c>
      <c r="W426" t="str">
        <f t="shared" si="20"/>
        <v>#d6bf2a</v>
      </c>
    </row>
    <row r="427" spans="1:23" x14ac:dyDescent="0.5">
      <c r="A427" s="54">
        <v>426</v>
      </c>
      <c r="B427" s="90" t="s">
        <v>304</v>
      </c>
      <c r="C427" t="s">
        <v>306</v>
      </c>
      <c r="D427" s="1"/>
      <c r="E427" s="112">
        <v>2005.06</v>
      </c>
      <c r="F427" s="112">
        <v>2025.07</v>
      </c>
      <c r="G427" s="107" t="s">
        <v>670</v>
      </c>
      <c r="H427">
        <f>INDEX('GIS-Standards'!$A$2:$A$305,MATCH(B427,'GIS-Standards'!$B$2:$B$305,0))</f>
        <v>17</v>
      </c>
      <c r="I427">
        <f>INDEX('GIS-Standards'!$A$2:$A$305,MATCH(C427,'GIS-Standards'!$B$2:$B$305,0))</f>
        <v>18</v>
      </c>
      <c r="J427" t="str">
        <f>INDEX('GIS-Standards'!$O$2:$O$305,MATCH(B427,'GIS-Standards'!$B$2:$B$305,0))</f>
        <v>ISO/TC 211</v>
      </c>
      <c r="K427" t="str">
        <f>INDEX('GIS-Standards'!$O$2:$O$305,MATCH(C427,'GIS-Standards'!$B$2:$B$305,0))</f>
        <v>ISO/TC 211</v>
      </c>
      <c r="M427" t="s">
        <v>524</v>
      </c>
      <c r="N427" t="str">
        <f>INDEX('GIS-Standards'!$I$2:$I$305,MATCH(B427,'GIS-Standards'!$B$2:$B$305,0))</f>
        <v>06.2008</v>
      </c>
      <c r="O427">
        <f>INDEX('GIS-Standards'!$I$2:$I$305,MATCH(C427,'GIS-Standards'!$B$2:$B$305,0))</f>
        <v>0</v>
      </c>
      <c r="P427" t="b">
        <f>AND(TableRelationships12[[#This Row],[Source Type]]="BIM",TableRelationships12[[#This Row],[Target Type]]="BIM")</f>
        <v>0</v>
      </c>
      <c r="Q427">
        <f t="shared" si="18"/>
        <v>6</v>
      </c>
      <c r="S427">
        <f t="shared" si="19"/>
        <v>1</v>
      </c>
      <c r="T427" s="102" t="str">
        <f>IF(TableRelationships12[[#This Row],[Rank Pedro]]="Low","linkCategory1",IF(TableRelationships12[[#This Row],[Rank Pedro]]="Medium","linkCategory2",IF(TableRelationships12[[#This Row],[Rank Pedro]]="High","linkCategory3","")))</f>
        <v/>
      </c>
      <c r="U427" s="102" t="str">
        <f>IF(TableRelationships12[[#This Row],[Rank Pedro]]="Low","Pink",IF(TableRelationships12[[#This Row],[Rank Pedro]]="Medium","Purple",IF(TableRelationships12[[#This Row],[Rank Pedro]]="High","Brown","")))</f>
        <v/>
      </c>
      <c r="V427" s="4">
        <f>MAX(INDEX(Standards!$F$2:$F$296,MATCH(B427,Standards!$B$2:$B$296,0)),INDEX(Standards!$F$2:$F$296,MATCH(C427,Standards!$B$2:$B$296,0)))</f>
        <v>38504</v>
      </c>
      <c r="W427" t="str">
        <f t="shared" si="20"/>
        <v>#d6bf2a</v>
      </c>
    </row>
    <row r="428" spans="1:23" x14ac:dyDescent="0.5">
      <c r="A428" s="54">
        <v>427</v>
      </c>
      <c r="B428" s="90" t="s">
        <v>304</v>
      </c>
      <c r="C428" t="s">
        <v>308</v>
      </c>
      <c r="D428" s="1"/>
      <c r="E428" s="112">
        <v>2005.02</v>
      </c>
      <c r="F428" s="112">
        <v>2016.12</v>
      </c>
      <c r="G428" s="107" t="s">
        <v>670</v>
      </c>
      <c r="H428">
        <f>INDEX('GIS-Standards'!$A$2:$A$305,MATCH(B428,'GIS-Standards'!$B$2:$B$305,0))</f>
        <v>17</v>
      </c>
      <c r="I428">
        <f>INDEX('GIS-Standards'!$A$2:$A$305,MATCH(C428,'GIS-Standards'!$B$2:$B$305,0))</f>
        <v>19</v>
      </c>
      <c r="J428" t="str">
        <f>INDEX('GIS-Standards'!$O$2:$O$305,MATCH(B428,'GIS-Standards'!$B$2:$B$305,0))</f>
        <v>ISO/TC 211</v>
      </c>
      <c r="K428" t="str">
        <f>INDEX('GIS-Standards'!$O$2:$O$305,MATCH(C428,'GIS-Standards'!$B$2:$B$305,0))</f>
        <v>ISO/TC 211</v>
      </c>
      <c r="M428" t="s">
        <v>524</v>
      </c>
      <c r="N428" t="str">
        <f>INDEX('GIS-Standards'!$I$2:$I$305,MATCH(B428,'GIS-Standards'!$B$2:$B$305,0))</f>
        <v>06.2008</v>
      </c>
      <c r="O428">
        <f>INDEX('GIS-Standards'!$I$2:$I$305,MATCH(C428,'GIS-Standards'!$B$2:$B$305,0))</f>
        <v>0</v>
      </c>
      <c r="P428" t="b">
        <f>AND(TableRelationships12[[#This Row],[Source Type]]="BIM",TableRelationships12[[#This Row],[Target Type]]="BIM")</f>
        <v>0</v>
      </c>
      <c r="Q428">
        <f t="shared" si="18"/>
        <v>6</v>
      </c>
      <c r="S428">
        <f t="shared" si="19"/>
        <v>1</v>
      </c>
      <c r="T428" s="102" t="str">
        <f>IF(TableRelationships12[[#This Row],[Rank Pedro]]="Low","linkCategory1",IF(TableRelationships12[[#This Row],[Rank Pedro]]="Medium","linkCategory2",IF(TableRelationships12[[#This Row],[Rank Pedro]]="High","linkCategory3","")))</f>
        <v/>
      </c>
      <c r="U428" s="102" t="str">
        <f>IF(TableRelationships12[[#This Row],[Rank Pedro]]="Low","Pink",IF(TableRelationships12[[#This Row],[Rank Pedro]]="Medium","Purple",IF(TableRelationships12[[#This Row],[Rank Pedro]]="High","Brown","")))</f>
        <v/>
      </c>
      <c r="V428" s="4">
        <f>MAX(INDEX(Standards!$F$2:$F$296,MATCH(B428,Standards!$B$2:$B$296,0)),INDEX(Standards!$F$2:$F$296,MATCH(C428,Standards!$B$2:$B$296,0)))</f>
        <v>38384</v>
      </c>
      <c r="W428" t="str">
        <f t="shared" si="20"/>
        <v>#d6bf2a</v>
      </c>
    </row>
    <row r="429" spans="1:23" x14ac:dyDescent="0.5">
      <c r="A429" s="54">
        <v>428</v>
      </c>
      <c r="B429" s="90" t="s">
        <v>304</v>
      </c>
      <c r="C429" t="s">
        <v>310</v>
      </c>
      <c r="D429" s="1"/>
      <c r="E429" s="112">
        <v>2003.02</v>
      </c>
      <c r="F429" s="112">
        <v>2023.08</v>
      </c>
      <c r="G429" s="107" t="s">
        <v>670</v>
      </c>
      <c r="H429">
        <f>INDEX('GIS-Standards'!$A$2:$A$305,MATCH(B429,'GIS-Standards'!$B$2:$B$305,0))</f>
        <v>17</v>
      </c>
      <c r="I429">
        <f>INDEX('GIS-Standards'!$A$2:$A$305,MATCH(C429,'GIS-Standards'!$B$2:$B$305,0))</f>
        <v>20</v>
      </c>
      <c r="J429" t="str">
        <f>INDEX('GIS-Standards'!$O$2:$O$305,MATCH(B429,'GIS-Standards'!$B$2:$B$305,0))</f>
        <v>ISO/TC 211</v>
      </c>
      <c r="K429" t="str">
        <f>INDEX('GIS-Standards'!$O$2:$O$305,MATCH(C429,'GIS-Standards'!$B$2:$B$305,0))</f>
        <v>ISO/TC 211</v>
      </c>
      <c r="M429" t="s">
        <v>524</v>
      </c>
      <c r="N429" t="str">
        <f>INDEX('GIS-Standards'!$I$2:$I$305,MATCH(B429,'GIS-Standards'!$B$2:$B$305,0))</f>
        <v>06.2008</v>
      </c>
      <c r="O429" t="str">
        <f>INDEX('GIS-Standards'!$I$2:$I$305,MATCH(C429,'GIS-Standards'!$B$2:$B$305,0))</f>
        <v>08.2023</v>
      </c>
      <c r="P429" t="b">
        <f>AND(TableRelationships12[[#This Row],[Source Type]]="BIM",TableRelationships12[[#This Row],[Target Type]]="BIM")</f>
        <v>0</v>
      </c>
      <c r="Q429">
        <f t="shared" si="18"/>
        <v>6</v>
      </c>
      <c r="S429">
        <f t="shared" si="19"/>
        <v>1</v>
      </c>
      <c r="T429" s="102" t="str">
        <f>IF(TableRelationships12[[#This Row],[Rank Pedro]]="Low","linkCategory1",IF(TableRelationships12[[#This Row],[Rank Pedro]]="Medium","linkCategory2",IF(TableRelationships12[[#This Row],[Rank Pedro]]="High","linkCategory3","")))</f>
        <v/>
      </c>
      <c r="U429" s="102" t="str">
        <f>IF(TableRelationships12[[#This Row],[Rank Pedro]]="Low","Pink",IF(TableRelationships12[[#This Row],[Rank Pedro]]="Medium","Purple",IF(TableRelationships12[[#This Row],[Rank Pedro]]="High","Brown","")))</f>
        <v/>
      </c>
      <c r="V429" s="4">
        <f>MAX(INDEX(Standards!$F$2:$F$296,MATCH(B429,Standards!$B$2:$B$296,0)),INDEX(Standards!$F$2:$F$296,MATCH(C429,Standards!$B$2:$B$296,0)))</f>
        <v>37653</v>
      </c>
      <c r="W429" t="str">
        <f t="shared" si="20"/>
        <v>#d6bf2a</v>
      </c>
    </row>
    <row r="430" spans="1:23" x14ac:dyDescent="0.5">
      <c r="A430" s="54">
        <v>429</v>
      </c>
      <c r="B430" s="90" t="s">
        <v>304</v>
      </c>
      <c r="C430" t="s">
        <v>314</v>
      </c>
      <c r="D430" s="1" t="s">
        <v>1099</v>
      </c>
      <c r="E430" s="112">
        <v>2003.05</v>
      </c>
      <c r="F430" s="112">
        <v>2020.11</v>
      </c>
      <c r="G430" s="107" t="s">
        <v>670</v>
      </c>
      <c r="H430">
        <f>INDEX('GIS-Standards'!$A$2:$A$305,MATCH(B430,'GIS-Standards'!$B$2:$B$305,0))</f>
        <v>17</v>
      </c>
      <c r="I430">
        <f>INDEX('GIS-Standards'!$A$2:$A$305,MATCH(C430,'GIS-Standards'!$B$2:$B$305,0))</f>
        <v>22</v>
      </c>
      <c r="J430" t="str">
        <f>INDEX('GIS-Standards'!$O$2:$O$305,MATCH(B430,'GIS-Standards'!$B$2:$B$305,0))</f>
        <v>ISO/TC 211</v>
      </c>
      <c r="K430" t="str">
        <f>INDEX('GIS-Standards'!$O$2:$O$305,MATCH(C430,'GIS-Standards'!$B$2:$B$305,0))</f>
        <v>ISO/TC 211</v>
      </c>
      <c r="M430" t="s">
        <v>524</v>
      </c>
      <c r="N430" t="str">
        <f>INDEX('GIS-Standards'!$I$2:$I$305,MATCH(B430,'GIS-Standards'!$B$2:$B$305,0))</f>
        <v>06.2008</v>
      </c>
      <c r="O430" t="str">
        <f>INDEX('GIS-Standards'!$I$2:$I$305,MATCH(C430,'GIS-Standards'!$B$2:$B$305,0))</f>
        <v>12.2020</v>
      </c>
      <c r="P430" t="b">
        <f>AND(TableRelationships12[[#This Row],[Source Type]]="BIM",TableRelationships12[[#This Row],[Target Type]]="BIM")</f>
        <v>0</v>
      </c>
      <c r="Q430">
        <f t="shared" si="18"/>
        <v>6</v>
      </c>
      <c r="S430">
        <f t="shared" si="19"/>
        <v>1</v>
      </c>
      <c r="T430" s="102" t="str">
        <f>IF(TableRelationships12[[#This Row],[Rank Pedro]]="Low","linkCategory1",IF(TableRelationships12[[#This Row],[Rank Pedro]]="Medium","linkCategory2",IF(TableRelationships12[[#This Row],[Rank Pedro]]="High","linkCategory3","")))</f>
        <v/>
      </c>
      <c r="U430" s="102" t="str">
        <f>IF(TableRelationships12[[#This Row],[Rank Pedro]]="Low","Pink",IF(TableRelationships12[[#This Row],[Rank Pedro]]="Medium","Purple",IF(TableRelationships12[[#This Row],[Rank Pedro]]="High","Brown","")))</f>
        <v/>
      </c>
      <c r="V430" s="4">
        <f>MAX(INDEX(Standards!$F$2:$F$296,MATCH(B430,Standards!$B$2:$B$296,0)),INDEX(Standards!$F$2:$F$296,MATCH(C430,Standards!$B$2:$B$296,0)))</f>
        <v>37742</v>
      </c>
      <c r="W430" t="str">
        <f t="shared" si="20"/>
        <v>#d6bf2a</v>
      </c>
    </row>
    <row r="431" spans="1:23" x14ac:dyDescent="0.5">
      <c r="A431" s="54">
        <v>430</v>
      </c>
      <c r="B431" s="90" t="s">
        <v>304</v>
      </c>
      <c r="C431" t="s">
        <v>1077</v>
      </c>
      <c r="D431" s="1" t="s">
        <v>1110</v>
      </c>
      <c r="E431" s="112">
        <v>1978.03</v>
      </c>
      <c r="F431" s="112">
        <v>2025.07</v>
      </c>
      <c r="G431" s="107" t="s">
        <v>1446</v>
      </c>
      <c r="H431">
        <f>INDEX('GIS-Standards'!$A$2:$A$305,MATCH(B431,'GIS-Standards'!$B$2:$B$305,0))</f>
        <v>17</v>
      </c>
      <c r="I431" t="e">
        <f>INDEX('GIS-Standards'!$A$2:$A$305,MATCH(C431,'GIS-Standards'!$B$2:$B$305,0))</f>
        <v>#N/A</v>
      </c>
      <c r="J431" t="str">
        <f>INDEX('GIS-Standards'!$O$2:$O$305,MATCH(B431,'GIS-Standards'!$B$2:$B$305,0))</f>
        <v>ISO/TC 211</v>
      </c>
      <c r="K431" t="e">
        <f>INDEX('GIS-Standards'!$O$2:$O$305,MATCH(C431,'GIS-Standards'!$B$2:$B$305,0))</f>
        <v>#N/A</v>
      </c>
      <c r="M431" t="s">
        <v>525</v>
      </c>
      <c r="N431" t="str">
        <f>INDEX('GIS-Standards'!$I$2:$I$305,MATCH(B431,'GIS-Standards'!$B$2:$B$305,0))</f>
        <v>06.2008</v>
      </c>
      <c r="O431" t="e">
        <f>INDEX('GIS-Standards'!$I$2:$I$305,MATCH(C431,'GIS-Standards'!$B$2:$B$305,0))</f>
        <v>#N/A</v>
      </c>
      <c r="P431" t="e">
        <f>AND(TableRelationships12[[#This Row],[Source Type]]="BIM",TableRelationships12[[#This Row],[Target Type]]="BIM")</f>
        <v>#N/A</v>
      </c>
      <c r="Q431">
        <f t="shared" si="18"/>
        <v>1</v>
      </c>
      <c r="S431">
        <f t="shared" si="19"/>
        <v>1</v>
      </c>
      <c r="T431" s="102" t="str">
        <f>IF(TableRelationships12[[#This Row],[Rank Pedro]]="Low","linkCategory1",IF(TableRelationships12[[#This Row],[Rank Pedro]]="Medium","linkCategory2",IF(TableRelationships12[[#This Row],[Rank Pedro]]="High","linkCategory3","")))</f>
        <v/>
      </c>
      <c r="U431" s="102" t="str">
        <f>IF(TableRelationships12[[#This Row],[Rank Pedro]]="Low","Pink",IF(TableRelationships12[[#This Row],[Rank Pedro]]="Medium","Purple",IF(TableRelationships12[[#This Row],[Rank Pedro]]="High","Brown","")))</f>
        <v/>
      </c>
      <c r="V431" s="4" t="e">
        <f>MAX(INDEX(Standards!$F$2:$F$296,MATCH(B431,Standards!$B$2:$B$296,0)),INDEX(Standards!$F$2:$F$296,MATCH(C431,Standards!$B$2:$B$296,0)))</f>
        <v>#N/A</v>
      </c>
      <c r="W431" t="str">
        <f t="shared" si="20"/>
        <v>#2f89d1</v>
      </c>
    </row>
    <row r="432" spans="1:23" x14ac:dyDescent="0.5">
      <c r="A432" s="54">
        <v>431</v>
      </c>
      <c r="B432" s="90" t="s">
        <v>304</v>
      </c>
      <c r="C432" t="s">
        <v>298</v>
      </c>
      <c r="D432" s="1"/>
      <c r="E432" s="112">
        <v>2008.11</v>
      </c>
      <c r="F432" s="112">
        <v>2016.1</v>
      </c>
      <c r="G432" s="107" t="s">
        <v>1464</v>
      </c>
      <c r="H432">
        <f>INDEX('GIS-Standards'!$A$2:$A$305,MATCH(B432,'GIS-Standards'!$B$2:$B$305,0))</f>
        <v>17</v>
      </c>
      <c r="I432">
        <f>INDEX('GIS-Standards'!$A$2:$A$305,MATCH(C432,'GIS-Standards'!$B$2:$B$305,0))</f>
        <v>13</v>
      </c>
      <c r="J432" t="str">
        <f>INDEX('GIS-Standards'!$O$2:$O$305,MATCH(B432,'GIS-Standards'!$B$2:$B$305,0))</f>
        <v>ISO/TC 211</v>
      </c>
      <c r="K432" t="str">
        <f>INDEX('GIS-Standards'!$O$2:$O$305,MATCH(C432,'GIS-Standards'!$B$2:$B$305,0))</f>
        <v>ISO/TC 211</v>
      </c>
      <c r="M432" t="s">
        <v>525</v>
      </c>
      <c r="N432" t="str">
        <f>INDEX('GIS-Standards'!$I$2:$I$305,MATCH(B432,'GIS-Standards'!$B$2:$B$305,0))</f>
        <v>06.2008</v>
      </c>
      <c r="O432">
        <f>INDEX('GIS-Standards'!$I$2:$I$305,MATCH(C432,'GIS-Standards'!$B$2:$B$305,0))</f>
        <v>0</v>
      </c>
      <c r="P432" t="b">
        <f>AND(TableRelationships12[[#This Row],[Source Type]]="BIM",TableRelationships12[[#This Row],[Target Type]]="BIM")</f>
        <v>0</v>
      </c>
      <c r="Q432">
        <f t="shared" si="18"/>
        <v>1</v>
      </c>
      <c r="S432">
        <f t="shared" si="19"/>
        <v>1</v>
      </c>
      <c r="T432" s="102" t="str">
        <f>IF(TableRelationships12[[#This Row],[Rank Pedro]]="Low","linkCategory1",IF(TableRelationships12[[#This Row],[Rank Pedro]]="Medium","linkCategory2",IF(TableRelationships12[[#This Row],[Rank Pedro]]="High","linkCategory3","")))</f>
        <v/>
      </c>
      <c r="U432" s="102" t="str">
        <f>IF(TableRelationships12[[#This Row],[Rank Pedro]]="Low","Pink",IF(TableRelationships12[[#This Row],[Rank Pedro]]="Medium","Purple",IF(TableRelationships12[[#This Row],[Rank Pedro]]="High","Brown","")))</f>
        <v/>
      </c>
      <c r="V432" s="4">
        <f>MAX(INDEX(Standards!$F$2:$F$296,MATCH(B432,Standards!$B$2:$B$296,0)),INDEX(Standards!$F$2:$F$296,MATCH(C432,Standards!$B$2:$B$296,0)))</f>
        <v>39753</v>
      </c>
      <c r="W432" t="str">
        <f t="shared" si="20"/>
        <v>#2f89d1</v>
      </c>
    </row>
    <row r="433" spans="1:23" x14ac:dyDescent="0.5">
      <c r="A433" s="54">
        <v>432</v>
      </c>
      <c r="B433" s="90" t="s">
        <v>304</v>
      </c>
      <c r="C433" t="s">
        <v>1542</v>
      </c>
      <c r="D433" s="1"/>
      <c r="G433" s="107"/>
      <c r="H433">
        <f>INDEX('GIS-Standards'!$A$2:$A$305,MATCH(B433,'GIS-Standards'!$B$2:$B$305,0))</f>
        <v>17</v>
      </c>
      <c r="I433" t="e">
        <f>INDEX('GIS-Standards'!$A$2:$A$305,MATCH(C433,'GIS-Standards'!$B$2:$B$305,0))</f>
        <v>#N/A</v>
      </c>
      <c r="J433" t="str">
        <f>INDEX('GIS-Standards'!$O$2:$O$305,MATCH(B433,'GIS-Standards'!$B$2:$B$305,0))</f>
        <v>ISO/TC 211</v>
      </c>
      <c r="K433" t="e">
        <f>INDEX('GIS-Standards'!$O$2:$O$305,MATCH(C433,'GIS-Standards'!$B$2:$B$305,0))</f>
        <v>#N/A</v>
      </c>
      <c r="M433" t="s">
        <v>525</v>
      </c>
      <c r="N433" t="str">
        <f>INDEX('GIS-Standards'!$I$2:$I$305,MATCH(B433,'GIS-Standards'!$B$2:$B$305,0))</f>
        <v>06.2008</v>
      </c>
      <c r="O433" t="e">
        <f>INDEX('GIS-Standards'!$I$2:$I$305,MATCH(C433,'GIS-Standards'!$B$2:$B$305,0))</f>
        <v>#N/A</v>
      </c>
      <c r="P433" t="e">
        <f>AND(TableRelationships12[[#This Row],[Source Type]]="BIM",TableRelationships12[[#This Row],[Target Type]]="BIM")</f>
        <v>#N/A</v>
      </c>
      <c r="Q433">
        <f t="shared" si="18"/>
        <v>1</v>
      </c>
      <c r="S433">
        <f t="shared" si="19"/>
        <v>1</v>
      </c>
      <c r="T433" s="102" t="str">
        <f>IF(TableRelationships12[[#This Row],[Rank Pedro]]="Low","linkCategory1",IF(TableRelationships12[[#This Row],[Rank Pedro]]="Medium","linkCategory2",IF(TableRelationships12[[#This Row],[Rank Pedro]]="High","linkCategory3","")))</f>
        <v/>
      </c>
      <c r="U433" s="102" t="str">
        <f>IF(TableRelationships12[[#This Row],[Rank Pedro]]="Low","Pink",IF(TableRelationships12[[#This Row],[Rank Pedro]]="Medium","Purple",IF(TableRelationships12[[#This Row],[Rank Pedro]]="High","Brown","")))</f>
        <v/>
      </c>
      <c r="V433" s="4" t="e">
        <f>MAX(INDEX(Standards!$F$2:$F$296,MATCH(B433,Standards!$B$2:$B$296,0)),INDEX(Standards!$F$2:$F$296,MATCH(C433,Standards!$B$2:$B$296,0)))</f>
        <v>#N/A</v>
      </c>
      <c r="W433" t="str">
        <f t="shared" si="20"/>
        <v>#2f89d1</v>
      </c>
    </row>
    <row r="434" spans="1:23" x14ac:dyDescent="0.5">
      <c r="A434" s="54">
        <v>433</v>
      </c>
      <c r="B434" s="90" t="s">
        <v>306</v>
      </c>
      <c r="C434" t="s">
        <v>527</v>
      </c>
      <c r="D434" s="1"/>
      <c r="E434" s="112" t="s">
        <v>935</v>
      </c>
      <c r="F434" s="112" t="s">
        <v>936</v>
      </c>
      <c r="G434" s="121" t="s">
        <v>670</v>
      </c>
      <c r="H434">
        <f>INDEX('GIS-Standards'!$A$2:$A$305,MATCH(B434,'GIS-Standards'!$B$2:$B$305,0))</f>
        <v>18</v>
      </c>
      <c r="I434" t="e">
        <f>INDEX('GIS-Standards'!$A$2:$A$305,MATCH(C434,'GIS-Standards'!$B$2:$B$305,0))</f>
        <v>#N/A</v>
      </c>
      <c r="J434" t="str">
        <f>INDEX('GIS-Standards'!$O$2:$O$305,MATCH(B434,'GIS-Standards'!$B$2:$B$305,0))</f>
        <v>ISO/TC 211</v>
      </c>
      <c r="K434" t="e">
        <f>INDEX('GIS-Standards'!$O$2:$O$305,MATCH(C434,'GIS-Standards'!$B$2:$B$305,0))</f>
        <v>#N/A</v>
      </c>
      <c r="M434" t="s">
        <v>237</v>
      </c>
      <c r="N434">
        <f>INDEX('GIS-Standards'!$I$2:$I$305,MATCH(B434,'GIS-Standards'!$B$2:$B$305,0))</f>
        <v>0</v>
      </c>
      <c r="O434" t="e">
        <f>INDEX('GIS-Standards'!$I$2:$I$305,MATCH(C434,'GIS-Standards'!$B$2:$B$305,0))</f>
        <v>#N/A</v>
      </c>
      <c r="P434" t="e">
        <f>AND(TableRelationships12[[#This Row],[Source Type]]="BIM",TableRelationships12[[#This Row],[Target Type]]="BIM")</f>
        <v>#N/A</v>
      </c>
      <c r="Q434">
        <f t="shared" si="18"/>
        <v>2</v>
      </c>
      <c r="S434">
        <f t="shared" si="19"/>
        <v>1</v>
      </c>
      <c r="T434" s="102" t="str">
        <f>IF(TableRelationships12[[#This Row],[Rank Pedro]]="Low","linkCategory1",IF(TableRelationships12[[#This Row],[Rank Pedro]]="Medium","linkCategory2",IF(TableRelationships12[[#This Row],[Rank Pedro]]="High","linkCategory3","")))</f>
        <v/>
      </c>
      <c r="U434" s="102" t="str">
        <f>IF(TableRelationships12[[#This Row],[Rank Pedro]]="Low","Pink",IF(TableRelationships12[[#This Row],[Rank Pedro]]="Medium","Purple",IF(TableRelationships12[[#This Row],[Rank Pedro]]="High","Brown","")))</f>
        <v/>
      </c>
      <c r="V434" s="4">
        <f>MAX(INDEX(Standards!$F$2:$F$296,MATCH(B434,Standards!$B$2:$B$296,0)),INDEX(Standards!$F$2:$F$296,MATCH(C434,Standards!$B$2:$B$296,0)))</f>
        <v>38504</v>
      </c>
      <c r="W434">
        <f t="shared" si="20"/>
        <v>1</v>
      </c>
    </row>
    <row r="435" spans="1:23" x14ac:dyDescent="0.5">
      <c r="A435" s="54">
        <v>434</v>
      </c>
      <c r="B435" s="90" t="s">
        <v>306</v>
      </c>
      <c r="C435" t="s">
        <v>293</v>
      </c>
      <c r="D435" s="1"/>
      <c r="E435" s="112">
        <v>2002.07</v>
      </c>
      <c r="F435" s="112">
        <v>2014.11</v>
      </c>
      <c r="G435" s="107" t="s">
        <v>670</v>
      </c>
      <c r="H435">
        <f>INDEX('GIS-Standards'!$A$2:$A$305,MATCH(B435,'GIS-Standards'!$B$2:$B$305,0))</f>
        <v>18</v>
      </c>
      <c r="I435">
        <f>INDEX('GIS-Standards'!$A$2:$A$305,MATCH(C435,'GIS-Standards'!$B$2:$B$305,0))</f>
        <v>10</v>
      </c>
      <c r="J435" t="str">
        <f>INDEX('GIS-Standards'!$O$2:$O$305,MATCH(B435,'GIS-Standards'!$B$2:$B$305,0))</f>
        <v>ISO/TC 211</v>
      </c>
      <c r="K435" t="str">
        <f>INDEX('GIS-Standards'!$O$2:$O$305,MATCH(C435,'GIS-Standards'!$B$2:$B$305,0))</f>
        <v>ISO/TC 211</v>
      </c>
      <c r="M435" t="s">
        <v>525</v>
      </c>
      <c r="N435">
        <f>INDEX('GIS-Standards'!$I$2:$I$305,MATCH(B435,'GIS-Standards'!$B$2:$B$305,0))</f>
        <v>0</v>
      </c>
      <c r="O435">
        <f>INDEX('GIS-Standards'!$I$2:$I$305,MATCH(C435,'GIS-Standards'!$B$2:$B$305,0))</f>
        <v>0</v>
      </c>
      <c r="P435" t="b">
        <f>AND(TableRelationships12[[#This Row],[Source Type]]="BIM",TableRelationships12[[#This Row],[Target Type]]="BIM")</f>
        <v>0</v>
      </c>
      <c r="Q435">
        <f t="shared" si="18"/>
        <v>1</v>
      </c>
      <c r="S435">
        <f t="shared" si="19"/>
        <v>1</v>
      </c>
      <c r="T435" s="102" t="str">
        <f>IF(TableRelationships12[[#This Row],[Rank Pedro]]="Low","linkCategory1",IF(TableRelationships12[[#This Row],[Rank Pedro]]="Medium","linkCategory2",IF(TableRelationships12[[#This Row],[Rank Pedro]]="High","linkCategory3","")))</f>
        <v/>
      </c>
      <c r="U435" s="102" t="str">
        <f>IF(TableRelationships12[[#This Row],[Rank Pedro]]="Low","Pink",IF(TableRelationships12[[#This Row],[Rank Pedro]]="Medium","Purple",IF(TableRelationships12[[#This Row],[Rank Pedro]]="High","Brown","")))</f>
        <v/>
      </c>
      <c r="V435" s="4">
        <f>MAX(INDEX(Standards!$F$2:$F$296,MATCH(B435,Standards!$B$2:$B$296,0)),INDEX(Standards!$F$2:$F$296,MATCH(C435,Standards!$B$2:$B$296,0)))</f>
        <v>38504</v>
      </c>
      <c r="W435" t="str">
        <f t="shared" si="20"/>
        <v>#2f89d1</v>
      </c>
    </row>
    <row r="436" spans="1:23" x14ac:dyDescent="0.5">
      <c r="A436" s="54">
        <v>435</v>
      </c>
      <c r="B436" s="90" t="s">
        <v>306</v>
      </c>
      <c r="C436" t="s">
        <v>298</v>
      </c>
      <c r="D436" s="1"/>
      <c r="E436" s="112">
        <v>2008.11</v>
      </c>
      <c r="F436" s="112">
        <v>2016.1</v>
      </c>
      <c r="G436" s="107" t="s">
        <v>1464</v>
      </c>
      <c r="H436">
        <f>INDEX('GIS-Standards'!$A$2:$A$305,MATCH(B436,'GIS-Standards'!$B$2:$B$305,0))</f>
        <v>18</v>
      </c>
      <c r="I436">
        <f>INDEX('GIS-Standards'!$A$2:$A$305,MATCH(C436,'GIS-Standards'!$B$2:$B$305,0))</f>
        <v>13</v>
      </c>
      <c r="J436" t="str">
        <f>INDEX('GIS-Standards'!$O$2:$O$305,MATCH(B436,'GIS-Standards'!$B$2:$B$305,0))</f>
        <v>ISO/TC 211</v>
      </c>
      <c r="K436" t="str">
        <f>INDEX('GIS-Standards'!$O$2:$O$305,MATCH(C436,'GIS-Standards'!$B$2:$B$305,0))</f>
        <v>ISO/TC 211</v>
      </c>
      <c r="M436" t="s">
        <v>525</v>
      </c>
      <c r="N436">
        <f>INDEX('GIS-Standards'!$I$2:$I$305,MATCH(B436,'GIS-Standards'!$B$2:$B$305,0))</f>
        <v>0</v>
      </c>
      <c r="O436">
        <f>INDEX('GIS-Standards'!$I$2:$I$305,MATCH(C436,'GIS-Standards'!$B$2:$B$305,0))</f>
        <v>0</v>
      </c>
      <c r="P436" t="b">
        <f>AND(TableRelationships12[[#This Row],[Source Type]]="BIM",TableRelationships12[[#This Row],[Target Type]]="BIM")</f>
        <v>0</v>
      </c>
      <c r="Q436">
        <f t="shared" si="18"/>
        <v>1</v>
      </c>
      <c r="S436">
        <f t="shared" si="19"/>
        <v>1</v>
      </c>
      <c r="T436" s="102" t="str">
        <f>IF(TableRelationships12[[#This Row],[Rank Pedro]]="Low","linkCategory1",IF(TableRelationships12[[#This Row],[Rank Pedro]]="Medium","linkCategory2",IF(TableRelationships12[[#This Row],[Rank Pedro]]="High","linkCategory3","")))</f>
        <v/>
      </c>
      <c r="U436" s="102" t="str">
        <f>IF(TableRelationships12[[#This Row],[Rank Pedro]]="Low","Pink",IF(TableRelationships12[[#This Row],[Rank Pedro]]="Medium","Purple",IF(TableRelationships12[[#This Row],[Rank Pedro]]="High","Brown","")))</f>
        <v/>
      </c>
      <c r="V436" s="4">
        <f>MAX(INDEX(Standards!$F$2:$F$296,MATCH(B436,Standards!$B$2:$B$296,0)),INDEX(Standards!$F$2:$F$296,MATCH(C436,Standards!$B$2:$B$296,0)))</f>
        <v>39753</v>
      </c>
      <c r="W436" t="str">
        <f t="shared" si="20"/>
        <v>#2f89d1</v>
      </c>
    </row>
    <row r="437" spans="1:23" x14ac:dyDescent="0.5">
      <c r="A437" s="54">
        <v>436</v>
      </c>
      <c r="B437" s="90" t="s">
        <v>306</v>
      </c>
      <c r="C437" t="s">
        <v>300</v>
      </c>
      <c r="D437" s="1"/>
      <c r="E437" s="112">
        <v>2000.12</v>
      </c>
      <c r="F437" s="112">
        <v>2022.07</v>
      </c>
      <c r="G437" s="107" t="s">
        <v>670</v>
      </c>
      <c r="H437">
        <f>INDEX('GIS-Standards'!$A$2:$A$305,MATCH(B437,'GIS-Standards'!$B$2:$B$305,0))</f>
        <v>18</v>
      </c>
      <c r="I437">
        <f>INDEX('GIS-Standards'!$A$2:$A$305,MATCH(C437,'GIS-Standards'!$B$2:$B$305,0))</f>
        <v>14</v>
      </c>
      <c r="J437" t="str">
        <f>INDEX('GIS-Standards'!$O$2:$O$305,MATCH(B437,'GIS-Standards'!$B$2:$B$305,0))</f>
        <v>ISO/TC 211</v>
      </c>
      <c r="K437" t="str">
        <f>INDEX('GIS-Standards'!$O$2:$O$305,MATCH(C437,'GIS-Standards'!$B$2:$B$305,0))</f>
        <v>ISO/TC 211</v>
      </c>
      <c r="M437" t="s">
        <v>525</v>
      </c>
      <c r="N437">
        <f>INDEX('GIS-Standards'!$I$2:$I$305,MATCH(B437,'GIS-Standards'!$B$2:$B$305,0))</f>
        <v>0</v>
      </c>
      <c r="O437">
        <f>INDEX('GIS-Standards'!$I$2:$I$305,MATCH(C437,'GIS-Standards'!$B$2:$B$305,0))</f>
        <v>0</v>
      </c>
      <c r="P437" t="b">
        <f>AND(TableRelationships12[[#This Row],[Source Type]]="BIM",TableRelationships12[[#This Row],[Target Type]]="BIM")</f>
        <v>0</v>
      </c>
      <c r="Q437">
        <f t="shared" si="18"/>
        <v>1</v>
      </c>
      <c r="S437">
        <f t="shared" si="19"/>
        <v>1</v>
      </c>
      <c r="T437" s="102" t="str">
        <f>IF(TableRelationships12[[#This Row],[Rank Pedro]]="Low","linkCategory1",IF(TableRelationships12[[#This Row],[Rank Pedro]]="Medium","linkCategory2",IF(TableRelationships12[[#This Row],[Rank Pedro]]="High","linkCategory3","")))</f>
        <v/>
      </c>
      <c r="U437" s="102" t="str">
        <f>IF(TableRelationships12[[#This Row],[Rank Pedro]]="Low","Pink",IF(TableRelationships12[[#This Row],[Rank Pedro]]="Medium","Purple",IF(TableRelationships12[[#This Row],[Rank Pedro]]="High","Brown","")))</f>
        <v/>
      </c>
      <c r="V437" s="4">
        <f>MAX(INDEX(Standards!$F$2:$F$296,MATCH(B437,Standards!$B$2:$B$296,0)),INDEX(Standards!$F$2:$F$296,MATCH(C437,Standards!$B$2:$B$296,0)))</f>
        <v>38504</v>
      </c>
      <c r="W437" t="str">
        <f t="shared" si="20"/>
        <v>#2f89d1</v>
      </c>
    </row>
    <row r="438" spans="1:23" x14ac:dyDescent="0.5">
      <c r="A438" s="54">
        <v>437</v>
      </c>
      <c r="B438" s="90" t="s">
        <v>306</v>
      </c>
      <c r="C438" t="s">
        <v>302</v>
      </c>
      <c r="D438" s="1"/>
      <c r="E438" s="112">
        <v>2003.05</v>
      </c>
      <c r="F438" s="112">
        <v>2019.12</v>
      </c>
      <c r="G438" s="107" t="s">
        <v>670</v>
      </c>
      <c r="H438">
        <f>INDEX('GIS-Standards'!$A$2:$A$305,MATCH(B438,'GIS-Standards'!$B$2:$B$305,0))</f>
        <v>18</v>
      </c>
      <c r="I438">
        <f>INDEX('GIS-Standards'!$A$2:$A$305,MATCH(C438,'GIS-Standards'!$B$2:$B$305,0))</f>
        <v>16</v>
      </c>
      <c r="J438" t="str">
        <f>INDEX('GIS-Standards'!$O$2:$O$305,MATCH(B438,'GIS-Standards'!$B$2:$B$305,0))</f>
        <v>ISO/TC 211</v>
      </c>
      <c r="K438" t="str">
        <f>INDEX('GIS-Standards'!$O$2:$O$305,MATCH(C438,'GIS-Standards'!$B$2:$B$305,0))</f>
        <v>ISO/TC 211</v>
      </c>
      <c r="M438" t="s">
        <v>525</v>
      </c>
      <c r="N438">
        <f>INDEX('GIS-Standards'!$I$2:$I$305,MATCH(B438,'GIS-Standards'!$B$2:$B$305,0))</f>
        <v>0</v>
      </c>
      <c r="O438">
        <f>INDEX('GIS-Standards'!$I$2:$I$305,MATCH(C438,'GIS-Standards'!$B$2:$B$305,0))</f>
        <v>0</v>
      </c>
      <c r="P438" t="b">
        <f>AND(TableRelationships12[[#This Row],[Source Type]]="BIM",TableRelationships12[[#This Row],[Target Type]]="BIM")</f>
        <v>0</v>
      </c>
      <c r="Q438">
        <f t="shared" si="18"/>
        <v>1</v>
      </c>
      <c r="S438">
        <f t="shared" si="19"/>
        <v>1</v>
      </c>
      <c r="T438" s="102" t="str">
        <f>IF(TableRelationships12[[#This Row],[Rank Pedro]]="Low","linkCategory1",IF(TableRelationships12[[#This Row],[Rank Pedro]]="Medium","linkCategory2",IF(TableRelationships12[[#This Row],[Rank Pedro]]="High","linkCategory3","")))</f>
        <v/>
      </c>
      <c r="U438" s="102" t="str">
        <f>IF(TableRelationships12[[#This Row],[Rank Pedro]]="Low","Pink",IF(TableRelationships12[[#This Row],[Rank Pedro]]="Medium","Purple",IF(TableRelationships12[[#This Row],[Rank Pedro]]="High","Brown","")))</f>
        <v/>
      </c>
      <c r="V438" s="4">
        <f>MAX(INDEX(Standards!$F$2:$F$296,MATCH(B438,Standards!$B$2:$B$296,0)),INDEX(Standards!$F$2:$F$296,MATCH(C438,Standards!$B$2:$B$296,0)))</f>
        <v>38504</v>
      </c>
      <c r="W438" t="str">
        <f t="shared" si="20"/>
        <v>#2f89d1</v>
      </c>
    </row>
    <row r="439" spans="1:23" x14ac:dyDescent="0.5">
      <c r="A439" s="54">
        <v>438</v>
      </c>
      <c r="B439" s="90" t="s">
        <v>306</v>
      </c>
      <c r="C439" t="s">
        <v>304</v>
      </c>
      <c r="D439" s="1"/>
      <c r="E439" s="112">
        <v>2002.09</v>
      </c>
      <c r="F439" s="112">
        <v>2006.1</v>
      </c>
      <c r="G439" s="107" t="s">
        <v>670</v>
      </c>
      <c r="H439">
        <f>INDEX('GIS-Standards'!$A$2:$A$305,MATCH(B439,'GIS-Standards'!$B$2:$B$305,0))</f>
        <v>18</v>
      </c>
      <c r="I439">
        <f>INDEX('GIS-Standards'!$A$2:$A$305,MATCH(C439,'GIS-Standards'!$B$2:$B$305,0))</f>
        <v>17</v>
      </c>
      <c r="J439" t="str">
        <f>INDEX('GIS-Standards'!$O$2:$O$305,MATCH(B439,'GIS-Standards'!$B$2:$B$305,0))</f>
        <v>ISO/TC 211</v>
      </c>
      <c r="K439" t="str">
        <f>INDEX('GIS-Standards'!$O$2:$O$305,MATCH(C439,'GIS-Standards'!$B$2:$B$305,0))</f>
        <v>ISO/TC 211</v>
      </c>
      <c r="M439" t="s">
        <v>525</v>
      </c>
      <c r="N439">
        <f>INDEX('GIS-Standards'!$I$2:$I$305,MATCH(B439,'GIS-Standards'!$B$2:$B$305,0))</f>
        <v>0</v>
      </c>
      <c r="O439" t="str">
        <f>INDEX('GIS-Standards'!$I$2:$I$305,MATCH(C439,'GIS-Standards'!$B$2:$B$305,0))</f>
        <v>06.2008</v>
      </c>
      <c r="P439" t="b">
        <f>AND(TableRelationships12[[#This Row],[Source Type]]="BIM",TableRelationships12[[#This Row],[Target Type]]="BIM")</f>
        <v>0</v>
      </c>
      <c r="Q439">
        <f t="shared" si="18"/>
        <v>1</v>
      </c>
      <c r="S439">
        <f t="shared" si="19"/>
        <v>1</v>
      </c>
      <c r="T439" s="102" t="str">
        <f>IF(TableRelationships12[[#This Row],[Rank Pedro]]="Low","linkCategory1",IF(TableRelationships12[[#This Row],[Rank Pedro]]="Medium","linkCategory2",IF(TableRelationships12[[#This Row],[Rank Pedro]]="High","linkCategory3","")))</f>
        <v/>
      </c>
      <c r="U439" s="102" t="str">
        <f>IF(TableRelationships12[[#This Row],[Rank Pedro]]="Low","Pink",IF(TableRelationships12[[#This Row],[Rank Pedro]]="Medium","Purple",IF(TableRelationships12[[#This Row],[Rank Pedro]]="High","Brown","")))</f>
        <v/>
      </c>
      <c r="V439" s="4">
        <f>MAX(INDEX(Standards!$F$2:$F$296,MATCH(B439,Standards!$B$2:$B$296,0)),INDEX(Standards!$F$2:$F$296,MATCH(C439,Standards!$B$2:$B$296,0)))</f>
        <v>38504</v>
      </c>
      <c r="W439" t="str">
        <f t="shared" si="20"/>
        <v>#2f89d1</v>
      </c>
    </row>
    <row r="440" spans="1:23" x14ac:dyDescent="0.5">
      <c r="A440" s="54">
        <v>439</v>
      </c>
      <c r="B440" s="90" t="s">
        <v>306</v>
      </c>
      <c r="C440" t="s">
        <v>306</v>
      </c>
      <c r="D440" s="1"/>
      <c r="E440" s="112">
        <v>2005.06</v>
      </c>
      <c r="F440" s="112">
        <v>2025.07</v>
      </c>
      <c r="G440" s="107" t="s">
        <v>670</v>
      </c>
      <c r="H440">
        <f>INDEX('GIS-Standards'!$A$2:$A$305,MATCH(B440,'GIS-Standards'!$B$2:$B$305,0))</f>
        <v>18</v>
      </c>
      <c r="I440">
        <f>INDEX('GIS-Standards'!$A$2:$A$305,MATCH(C440,'GIS-Standards'!$B$2:$B$305,0))</f>
        <v>18</v>
      </c>
      <c r="J440" t="str">
        <f>INDEX('GIS-Standards'!$O$2:$O$305,MATCH(B440,'GIS-Standards'!$B$2:$B$305,0))</f>
        <v>ISO/TC 211</v>
      </c>
      <c r="K440" t="str">
        <f>INDEX('GIS-Standards'!$O$2:$O$305,MATCH(C440,'GIS-Standards'!$B$2:$B$305,0))</f>
        <v>ISO/TC 211</v>
      </c>
      <c r="M440" t="s">
        <v>525</v>
      </c>
      <c r="N440">
        <f>INDEX('GIS-Standards'!$I$2:$I$305,MATCH(B440,'GIS-Standards'!$B$2:$B$305,0))</f>
        <v>0</v>
      </c>
      <c r="O440">
        <f>INDEX('GIS-Standards'!$I$2:$I$305,MATCH(C440,'GIS-Standards'!$B$2:$B$305,0))</f>
        <v>0</v>
      </c>
      <c r="P440" t="b">
        <f>AND(TableRelationships12[[#This Row],[Source Type]]="BIM",TableRelationships12[[#This Row],[Target Type]]="BIM")</f>
        <v>0</v>
      </c>
      <c r="Q440">
        <f t="shared" si="18"/>
        <v>1</v>
      </c>
      <c r="S440">
        <f t="shared" si="19"/>
        <v>1</v>
      </c>
      <c r="T440" s="102" t="str">
        <f>IF(TableRelationships12[[#This Row],[Rank Pedro]]="Low","linkCategory1",IF(TableRelationships12[[#This Row],[Rank Pedro]]="Medium","linkCategory2",IF(TableRelationships12[[#This Row],[Rank Pedro]]="High","linkCategory3","")))</f>
        <v/>
      </c>
      <c r="U440" s="102" t="str">
        <f>IF(TableRelationships12[[#This Row],[Rank Pedro]]="Low","Pink",IF(TableRelationships12[[#This Row],[Rank Pedro]]="Medium","Purple",IF(TableRelationships12[[#This Row],[Rank Pedro]]="High","Brown","")))</f>
        <v/>
      </c>
      <c r="V440" s="4">
        <f>MAX(INDEX(Standards!$F$2:$F$296,MATCH(B440,Standards!$B$2:$B$296,0)),INDEX(Standards!$F$2:$F$296,MATCH(C440,Standards!$B$2:$B$296,0)))</f>
        <v>38504</v>
      </c>
      <c r="W440" t="str">
        <f t="shared" si="20"/>
        <v>#2f89d1</v>
      </c>
    </row>
    <row r="441" spans="1:23" x14ac:dyDescent="0.5">
      <c r="A441" s="54">
        <v>440</v>
      </c>
      <c r="B441" s="90" t="s">
        <v>306</v>
      </c>
      <c r="C441" t="s">
        <v>308</v>
      </c>
      <c r="D441" s="1"/>
      <c r="E441" s="112">
        <v>2005.02</v>
      </c>
      <c r="F441" s="112">
        <v>2016.12</v>
      </c>
      <c r="G441" s="107" t="s">
        <v>670</v>
      </c>
      <c r="H441">
        <f>INDEX('GIS-Standards'!$A$2:$A$305,MATCH(B441,'GIS-Standards'!$B$2:$B$305,0))</f>
        <v>18</v>
      </c>
      <c r="I441">
        <f>INDEX('GIS-Standards'!$A$2:$A$305,MATCH(C441,'GIS-Standards'!$B$2:$B$305,0))</f>
        <v>19</v>
      </c>
      <c r="J441" t="str">
        <f>INDEX('GIS-Standards'!$O$2:$O$305,MATCH(B441,'GIS-Standards'!$B$2:$B$305,0))</f>
        <v>ISO/TC 211</v>
      </c>
      <c r="K441" t="str">
        <f>INDEX('GIS-Standards'!$O$2:$O$305,MATCH(C441,'GIS-Standards'!$B$2:$B$305,0))</f>
        <v>ISO/TC 211</v>
      </c>
      <c r="M441" t="s">
        <v>525</v>
      </c>
      <c r="N441">
        <f>INDEX('GIS-Standards'!$I$2:$I$305,MATCH(B441,'GIS-Standards'!$B$2:$B$305,0))</f>
        <v>0</v>
      </c>
      <c r="O441">
        <f>INDEX('GIS-Standards'!$I$2:$I$305,MATCH(C441,'GIS-Standards'!$B$2:$B$305,0))</f>
        <v>0</v>
      </c>
      <c r="P441" t="b">
        <f>AND(TableRelationships12[[#This Row],[Source Type]]="BIM",TableRelationships12[[#This Row],[Target Type]]="BIM")</f>
        <v>0</v>
      </c>
      <c r="Q441">
        <f t="shared" si="18"/>
        <v>1</v>
      </c>
      <c r="S441">
        <f t="shared" si="19"/>
        <v>1</v>
      </c>
      <c r="T441" s="102" t="str">
        <f>IF(TableRelationships12[[#This Row],[Rank Pedro]]="Low","linkCategory1",IF(TableRelationships12[[#This Row],[Rank Pedro]]="Medium","linkCategory2",IF(TableRelationships12[[#This Row],[Rank Pedro]]="High","linkCategory3","")))</f>
        <v/>
      </c>
      <c r="U441" s="102" t="str">
        <f>IF(TableRelationships12[[#This Row],[Rank Pedro]]="Low","Pink",IF(TableRelationships12[[#This Row],[Rank Pedro]]="Medium","Purple",IF(TableRelationships12[[#This Row],[Rank Pedro]]="High","Brown","")))</f>
        <v/>
      </c>
      <c r="V441" s="4">
        <f>MAX(INDEX(Standards!$F$2:$F$296,MATCH(B441,Standards!$B$2:$B$296,0)),INDEX(Standards!$F$2:$F$296,MATCH(C441,Standards!$B$2:$B$296,0)))</f>
        <v>38504</v>
      </c>
      <c r="W441" t="str">
        <f t="shared" si="20"/>
        <v>#2f89d1</v>
      </c>
    </row>
    <row r="442" spans="1:23" x14ac:dyDescent="0.5">
      <c r="A442" s="54">
        <v>441</v>
      </c>
      <c r="B442" s="90" t="s">
        <v>306</v>
      </c>
      <c r="C442" t="s">
        <v>312</v>
      </c>
      <c r="D442" s="1"/>
      <c r="E442" s="112">
        <v>2003.1</v>
      </c>
      <c r="F442" s="112">
        <v>2019.02</v>
      </c>
      <c r="G442" s="107" t="s">
        <v>670</v>
      </c>
      <c r="H442">
        <f>INDEX('GIS-Standards'!$A$2:$A$305,MATCH(B442,'GIS-Standards'!$B$2:$B$305,0))</f>
        <v>18</v>
      </c>
      <c r="I442">
        <f>INDEX('GIS-Standards'!$A$2:$A$305,MATCH(C442,'GIS-Standards'!$B$2:$B$305,0))</f>
        <v>21</v>
      </c>
      <c r="J442" t="str">
        <f>INDEX('GIS-Standards'!$O$2:$O$305,MATCH(B442,'GIS-Standards'!$B$2:$B$305,0))</f>
        <v>ISO/TC 211</v>
      </c>
      <c r="K442" t="str">
        <f>INDEX('GIS-Standards'!$O$2:$O$305,MATCH(C442,'GIS-Standards'!$B$2:$B$305,0))</f>
        <v>ISO/TC 211</v>
      </c>
      <c r="M442" t="s">
        <v>525</v>
      </c>
      <c r="N442">
        <f>INDEX('GIS-Standards'!$I$2:$I$305,MATCH(B442,'GIS-Standards'!$B$2:$B$305,0))</f>
        <v>0</v>
      </c>
      <c r="O442">
        <f>INDEX('GIS-Standards'!$I$2:$I$305,MATCH(C442,'GIS-Standards'!$B$2:$B$305,0))</f>
        <v>0</v>
      </c>
      <c r="P442" t="b">
        <f>AND(TableRelationships12[[#This Row],[Source Type]]="BIM",TableRelationships12[[#This Row],[Target Type]]="BIM")</f>
        <v>0</v>
      </c>
      <c r="Q442">
        <f t="shared" si="18"/>
        <v>1</v>
      </c>
      <c r="S442">
        <f t="shared" si="19"/>
        <v>1</v>
      </c>
      <c r="T442" s="102" t="str">
        <f>IF(TableRelationships12[[#This Row],[Rank Pedro]]="Low","linkCategory1",IF(TableRelationships12[[#This Row],[Rank Pedro]]="Medium","linkCategory2",IF(TableRelationships12[[#This Row],[Rank Pedro]]="High","linkCategory3","")))</f>
        <v/>
      </c>
      <c r="U442" s="102" t="str">
        <f>IF(TableRelationships12[[#This Row],[Rank Pedro]]="Low","Pink",IF(TableRelationships12[[#This Row],[Rank Pedro]]="Medium","Purple",IF(TableRelationships12[[#This Row],[Rank Pedro]]="High","Brown","")))</f>
        <v/>
      </c>
      <c r="V442" s="4">
        <f>MAX(INDEX(Standards!$F$2:$F$296,MATCH(B442,Standards!$B$2:$B$296,0)),INDEX(Standards!$F$2:$F$296,MATCH(C442,Standards!$B$2:$B$296,0)))</f>
        <v>38504</v>
      </c>
      <c r="W442" t="str">
        <f t="shared" si="20"/>
        <v>#2f89d1</v>
      </c>
    </row>
    <row r="443" spans="1:23" x14ac:dyDescent="0.5">
      <c r="A443" s="54">
        <v>442</v>
      </c>
      <c r="B443" s="90" t="s">
        <v>306</v>
      </c>
      <c r="C443" t="s">
        <v>314</v>
      </c>
      <c r="D443" s="1"/>
      <c r="E443" s="112">
        <v>2003.05</v>
      </c>
      <c r="F443" s="112">
        <v>2020.11</v>
      </c>
      <c r="G443" s="107" t="s">
        <v>670</v>
      </c>
      <c r="H443">
        <f>INDEX('GIS-Standards'!$A$2:$A$305,MATCH(B443,'GIS-Standards'!$B$2:$B$305,0))</f>
        <v>18</v>
      </c>
      <c r="I443">
        <f>INDEX('GIS-Standards'!$A$2:$A$305,MATCH(C443,'GIS-Standards'!$B$2:$B$305,0))</f>
        <v>22</v>
      </c>
      <c r="J443" t="str">
        <f>INDEX('GIS-Standards'!$O$2:$O$305,MATCH(B443,'GIS-Standards'!$B$2:$B$305,0))</f>
        <v>ISO/TC 211</v>
      </c>
      <c r="K443" t="str">
        <f>INDEX('GIS-Standards'!$O$2:$O$305,MATCH(C443,'GIS-Standards'!$B$2:$B$305,0))</f>
        <v>ISO/TC 211</v>
      </c>
      <c r="M443" t="s">
        <v>525</v>
      </c>
      <c r="N443">
        <f>INDEX('GIS-Standards'!$I$2:$I$305,MATCH(B443,'GIS-Standards'!$B$2:$B$305,0))</f>
        <v>0</v>
      </c>
      <c r="O443" t="str">
        <f>INDEX('GIS-Standards'!$I$2:$I$305,MATCH(C443,'GIS-Standards'!$B$2:$B$305,0))</f>
        <v>12.2020</v>
      </c>
      <c r="P443" t="b">
        <f>AND(TableRelationships12[[#This Row],[Source Type]]="BIM",TableRelationships12[[#This Row],[Target Type]]="BIM")</f>
        <v>0</v>
      </c>
      <c r="Q443">
        <f t="shared" si="18"/>
        <v>1</v>
      </c>
      <c r="S443">
        <f t="shared" si="19"/>
        <v>1</v>
      </c>
      <c r="T443" s="102" t="str">
        <f>IF(TableRelationships12[[#This Row],[Rank Pedro]]="Low","linkCategory1",IF(TableRelationships12[[#This Row],[Rank Pedro]]="Medium","linkCategory2",IF(TableRelationships12[[#This Row],[Rank Pedro]]="High","linkCategory3","")))</f>
        <v/>
      </c>
      <c r="U443" s="102" t="str">
        <f>IF(TableRelationships12[[#This Row],[Rank Pedro]]="Low","Pink",IF(TableRelationships12[[#This Row],[Rank Pedro]]="Medium","Purple",IF(TableRelationships12[[#This Row],[Rank Pedro]]="High","Brown","")))</f>
        <v/>
      </c>
      <c r="V443" s="4">
        <f>MAX(INDEX(Standards!$F$2:$F$296,MATCH(B443,Standards!$B$2:$B$296,0)),INDEX(Standards!$F$2:$F$296,MATCH(C443,Standards!$B$2:$B$296,0)))</f>
        <v>38504</v>
      </c>
      <c r="W443" t="str">
        <f t="shared" si="20"/>
        <v>#2f89d1</v>
      </c>
    </row>
    <row r="444" spans="1:23" x14ac:dyDescent="0.5">
      <c r="A444" s="54">
        <v>443</v>
      </c>
      <c r="B444" s="90" t="s">
        <v>306</v>
      </c>
      <c r="C444" t="s">
        <v>1041</v>
      </c>
      <c r="D444" s="1"/>
      <c r="E444" s="112">
        <v>2009.02</v>
      </c>
      <c r="F444" s="112">
        <v>2022.03</v>
      </c>
      <c r="G444" s="107" t="s">
        <v>670</v>
      </c>
      <c r="H444">
        <f>INDEX('GIS-Standards'!$A$2:$A$305,MATCH(B444,'GIS-Standards'!$B$2:$B$305,0))</f>
        <v>18</v>
      </c>
      <c r="I444">
        <f>INDEX('GIS-Standards'!$A$2:$A$305,MATCH(C444,'GIS-Standards'!$B$2:$B$305,0))</f>
        <v>23</v>
      </c>
      <c r="J444" t="str">
        <f>INDEX('GIS-Standards'!$O$2:$O$305,MATCH(B444,'GIS-Standards'!$B$2:$B$305,0))</f>
        <v>ISO/TC 211</v>
      </c>
      <c r="K444" t="str">
        <f>INDEX('GIS-Standards'!$O$2:$O$305,MATCH(C444,'GIS-Standards'!$B$2:$B$305,0))</f>
        <v>ISO/TC 211</v>
      </c>
      <c r="M444" t="s">
        <v>525</v>
      </c>
      <c r="N444">
        <f>INDEX('GIS-Standards'!$I$2:$I$305,MATCH(B444,'GIS-Standards'!$B$2:$B$305,0))</f>
        <v>0</v>
      </c>
      <c r="O444" t="str">
        <f>INDEX('GIS-Standards'!$I$2:$I$305,MATCH(C444,'GIS-Standards'!$B$2:$B$305,0))</f>
        <v>03.2022</v>
      </c>
      <c r="P444" t="b">
        <f>AND(TableRelationships12[[#This Row],[Source Type]]="BIM",TableRelationships12[[#This Row],[Target Type]]="BIM")</f>
        <v>0</v>
      </c>
      <c r="Q444">
        <f t="shared" si="18"/>
        <v>1</v>
      </c>
      <c r="S444">
        <f t="shared" si="19"/>
        <v>1</v>
      </c>
      <c r="T444" s="102" t="str">
        <f>IF(TableRelationships12[[#This Row],[Rank Pedro]]="Low","linkCategory1",IF(TableRelationships12[[#This Row],[Rank Pedro]]="Medium","linkCategory2",IF(TableRelationships12[[#This Row],[Rank Pedro]]="High","linkCategory3","")))</f>
        <v/>
      </c>
      <c r="U444" s="102" t="str">
        <f>IF(TableRelationships12[[#This Row],[Rank Pedro]]="Low","Pink",IF(TableRelationships12[[#This Row],[Rank Pedro]]="Medium","Purple",IF(TableRelationships12[[#This Row],[Rank Pedro]]="High","Brown","")))</f>
        <v/>
      </c>
      <c r="V444" s="4" t="e">
        <f>MAX(INDEX(Standards!$F$2:$F$296,MATCH(B444,Standards!$B$2:$B$296,0)),INDEX(Standards!$F$2:$F$296,MATCH(C444,Standards!$B$2:$B$296,0)))</f>
        <v>#N/A</v>
      </c>
      <c r="W444" t="str">
        <f t="shared" si="20"/>
        <v>#2f89d1</v>
      </c>
    </row>
    <row r="445" spans="1:23" x14ac:dyDescent="0.5">
      <c r="A445" s="54">
        <v>444</v>
      </c>
      <c r="B445" s="90" t="s">
        <v>306</v>
      </c>
      <c r="C445" t="s">
        <v>316</v>
      </c>
      <c r="D445" s="1"/>
      <c r="E445" s="112">
        <v>2005.07</v>
      </c>
      <c r="F445" s="112">
        <v>2011.1</v>
      </c>
      <c r="G445" s="107" t="s">
        <v>670</v>
      </c>
      <c r="H445">
        <f>INDEX('GIS-Standards'!$A$2:$A$305,MATCH(B445,'GIS-Standards'!$B$2:$B$305,0))</f>
        <v>18</v>
      </c>
      <c r="I445">
        <f>INDEX('GIS-Standards'!$A$2:$A$305,MATCH(C445,'GIS-Standards'!$B$2:$B$305,0))</f>
        <v>27</v>
      </c>
      <c r="J445" t="str">
        <f>INDEX('GIS-Standards'!$O$2:$O$305,MATCH(B445,'GIS-Standards'!$B$2:$B$305,0))</f>
        <v>ISO/TC 211</v>
      </c>
      <c r="K445" t="str">
        <f>INDEX('GIS-Standards'!$O$2:$O$305,MATCH(C445,'GIS-Standards'!$B$2:$B$305,0))</f>
        <v>ISO/TC 211</v>
      </c>
      <c r="M445" t="s">
        <v>525</v>
      </c>
      <c r="N445">
        <f>INDEX('GIS-Standards'!$I$2:$I$305,MATCH(B445,'GIS-Standards'!$B$2:$B$305,0))</f>
        <v>0</v>
      </c>
      <c r="O445">
        <f>INDEX('GIS-Standards'!$I$2:$I$305,MATCH(C445,'GIS-Standards'!$B$2:$B$305,0))</f>
        <v>0</v>
      </c>
      <c r="P445" t="b">
        <f>AND(TableRelationships12[[#This Row],[Source Type]]="BIM",TableRelationships12[[#This Row],[Target Type]]="BIM")</f>
        <v>0</v>
      </c>
      <c r="Q445">
        <f t="shared" si="18"/>
        <v>1</v>
      </c>
      <c r="S445">
        <f t="shared" si="19"/>
        <v>1</v>
      </c>
      <c r="T445" s="102" t="str">
        <f>IF(TableRelationships12[[#This Row],[Rank Pedro]]="Low","linkCategory1",IF(TableRelationships12[[#This Row],[Rank Pedro]]="Medium","linkCategory2",IF(TableRelationships12[[#This Row],[Rank Pedro]]="High","linkCategory3","")))</f>
        <v/>
      </c>
      <c r="U445" s="102" t="str">
        <f>IF(TableRelationships12[[#This Row],[Rank Pedro]]="Low","Pink",IF(TableRelationships12[[#This Row],[Rank Pedro]]="Medium","Purple",IF(TableRelationships12[[#This Row],[Rank Pedro]]="High","Brown","")))</f>
        <v/>
      </c>
      <c r="V445" s="4">
        <f>MAX(INDEX(Standards!$F$2:$F$296,MATCH(B445,Standards!$B$2:$B$296,0)),INDEX(Standards!$F$2:$F$296,MATCH(C445,Standards!$B$2:$B$296,0)))</f>
        <v>38534</v>
      </c>
      <c r="W445" t="str">
        <f t="shared" si="20"/>
        <v>#2f89d1</v>
      </c>
    </row>
    <row r="446" spans="1:23" x14ac:dyDescent="0.5">
      <c r="A446" s="54">
        <v>445</v>
      </c>
      <c r="B446" s="90" t="s">
        <v>306</v>
      </c>
      <c r="C446" t="s">
        <v>318</v>
      </c>
      <c r="D446" s="1"/>
      <c r="E446" s="112">
        <v>2005.02</v>
      </c>
      <c r="F446" s="112">
        <v>2016.01</v>
      </c>
      <c r="G446" s="107" t="s">
        <v>670</v>
      </c>
      <c r="H446">
        <f>INDEX('GIS-Standards'!$A$2:$A$305,MATCH(B446,'GIS-Standards'!$B$2:$B$305,0))</f>
        <v>18</v>
      </c>
      <c r="I446">
        <f>INDEX('GIS-Standards'!$A$2:$A$305,MATCH(C446,'GIS-Standards'!$B$2:$B$305,0))</f>
        <v>28</v>
      </c>
      <c r="J446" t="str">
        <f>INDEX('GIS-Standards'!$O$2:$O$305,MATCH(B446,'GIS-Standards'!$B$2:$B$305,0))</f>
        <v>ISO/TC 211</v>
      </c>
      <c r="K446" t="str">
        <f>INDEX('GIS-Standards'!$O$2:$O$305,MATCH(C446,'GIS-Standards'!$B$2:$B$305,0))</f>
        <v>ISO/TC 211</v>
      </c>
      <c r="M446" t="s">
        <v>525</v>
      </c>
      <c r="N446">
        <f>INDEX('GIS-Standards'!$I$2:$I$305,MATCH(B446,'GIS-Standards'!$B$2:$B$305,0))</f>
        <v>0</v>
      </c>
      <c r="O446">
        <f>INDEX('GIS-Standards'!$I$2:$I$305,MATCH(C446,'GIS-Standards'!$B$2:$B$305,0))</f>
        <v>0</v>
      </c>
      <c r="P446" t="b">
        <f>AND(TableRelationships12[[#This Row],[Source Type]]="BIM",TableRelationships12[[#This Row],[Target Type]]="BIM")</f>
        <v>0</v>
      </c>
      <c r="Q446">
        <f t="shared" si="18"/>
        <v>1</v>
      </c>
      <c r="S446">
        <f t="shared" si="19"/>
        <v>1</v>
      </c>
      <c r="T446" s="102" t="str">
        <f>IF(TableRelationships12[[#This Row],[Rank Pedro]]="Low","linkCategory1",IF(TableRelationships12[[#This Row],[Rank Pedro]]="Medium","linkCategory2",IF(TableRelationships12[[#This Row],[Rank Pedro]]="High","linkCategory3","")))</f>
        <v/>
      </c>
      <c r="U446" s="102" t="str">
        <f>IF(TableRelationships12[[#This Row],[Rank Pedro]]="Low","Pink",IF(TableRelationships12[[#This Row],[Rank Pedro]]="Medium","Purple",IF(TableRelationships12[[#This Row],[Rank Pedro]]="High","Brown","")))</f>
        <v/>
      </c>
      <c r="V446" s="4">
        <f>MAX(INDEX(Standards!$F$2:$F$296,MATCH(B446,Standards!$B$2:$B$296,0)),INDEX(Standards!$F$2:$F$296,MATCH(C446,Standards!$B$2:$B$296,0)))</f>
        <v>38504</v>
      </c>
      <c r="W446" t="str">
        <f t="shared" si="20"/>
        <v>#2f89d1</v>
      </c>
    </row>
    <row r="447" spans="1:23" x14ac:dyDescent="0.5">
      <c r="A447" s="54">
        <v>446</v>
      </c>
      <c r="B447" s="90" t="s">
        <v>306</v>
      </c>
      <c r="C447" t="s">
        <v>320</v>
      </c>
      <c r="D447" s="1"/>
      <c r="E447" s="112">
        <v>2005.08</v>
      </c>
      <c r="F447" s="112">
        <v>2023.06</v>
      </c>
      <c r="G447" s="107" t="s">
        <v>670</v>
      </c>
      <c r="H447">
        <f>INDEX('GIS-Standards'!$A$2:$A$305,MATCH(B447,'GIS-Standards'!$B$2:$B$305,0))</f>
        <v>18</v>
      </c>
      <c r="I447">
        <f>INDEX('GIS-Standards'!$A$2:$A$305,MATCH(C447,'GIS-Standards'!$B$2:$B$305,0))</f>
        <v>29</v>
      </c>
      <c r="J447" t="str">
        <f>INDEX('GIS-Standards'!$O$2:$O$305,MATCH(B447,'GIS-Standards'!$B$2:$B$305,0))</f>
        <v>ISO/TC 211</v>
      </c>
      <c r="K447" t="str">
        <f>INDEX('GIS-Standards'!$O$2:$O$305,MATCH(C447,'GIS-Standards'!$B$2:$B$305,0))</f>
        <v>ISO/TC 211</v>
      </c>
      <c r="M447" t="s">
        <v>525</v>
      </c>
      <c r="N447">
        <f>INDEX('GIS-Standards'!$I$2:$I$305,MATCH(B447,'GIS-Standards'!$B$2:$B$305,0))</f>
        <v>0</v>
      </c>
      <c r="O447">
        <f>INDEX('GIS-Standards'!$I$2:$I$305,MATCH(C447,'GIS-Standards'!$B$2:$B$305,0))</f>
        <v>0</v>
      </c>
      <c r="P447" t="b">
        <f>AND(TableRelationships12[[#This Row],[Source Type]]="BIM",TableRelationships12[[#This Row],[Target Type]]="BIM")</f>
        <v>0</v>
      </c>
      <c r="Q447">
        <f t="shared" si="18"/>
        <v>1</v>
      </c>
      <c r="S447">
        <f t="shared" si="19"/>
        <v>1</v>
      </c>
      <c r="T447" s="102" t="str">
        <f>IF(TableRelationships12[[#This Row],[Rank Pedro]]="Low","linkCategory1",IF(TableRelationships12[[#This Row],[Rank Pedro]]="Medium","linkCategory2",IF(TableRelationships12[[#This Row],[Rank Pedro]]="High","linkCategory3","")))</f>
        <v/>
      </c>
      <c r="U447" s="102" t="str">
        <f>IF(TableRelationships12[[#This Row],[Rank Pedro]]="Low","Pink",IF(TableRelationships12[[#This Row],[Rank Pedro]]="Medium","Purple",IF(TableRelationships12[[#This Row],[Rank Pedro]]="High","Brown","")))</f>
        <v/>
      </c>
      <c r="V447" s="4">
        <f>MAX(INDEX(Standards!$F$2:$F$296,MATCH(B447,Standards!$B$2:$B$296,0)),INDEX(Standards!$F$2:$F$296,MATCH(C447,Standards!$B$2:$B$296,0)))</f>
        <v>38565</v>
      </c>
      <c r="W447" t="str">
        <f t="shared" si="20"/>
        <v>#2f89d1</v>
      </c>
    </row>
    <row r="448" spans="1:23" x14ac:dyDescent="0.5">
      <c r="A448" s="54">
        <v>447</v>
      </c>
      <c r="B448" s="90" t="s">
        <v>306</v>
      </c>
      <c r="C448" t="s">
        <v>334</v>
      </c>
      <c r="D448" s="1"/>
      <c r="E448" s="113">
        <v>2007.09</v>
      </c>
      <c r="F448" s="113">
        <v>2020.01</v>
      </c>
      <c r="G448" s="107" t="s">
        <v>670</v>
      </c>
      <c r="H448">
        <f>INDEX('GIS-Standards'!$A$2:$A$305,MATCH(B448,'GIS-Standards'!$B$2:$B$305,0))</f>
        <v>18</v>
      </c>
      <c r="I448">
        <f>INDEX('GIS-Standards'!$A$2:$A$305,MATCH(C448,'GIS-Standards'!$B$2:$B$305,0))</f>
        <v>42</v>
      </c>
      <c r="J448" t="str">
        <f>INDEX('GIS-Standards'!$O$2:$O$305,MATCH(B448,'GIS-Standards'!$B$2:$B$305,0))</f>
        <v>ISO/TC 211</v>
      </c>
      <c r="K448" t="str">
        <f>INDEX('GIS-Standards'!$O$2:$O$305,MATCH(C448,'GIS-Standards'!$B$2:$B$305,0))</f>
        <v>ISO/TC 211</v>
      </c>
      <c r="M448" t="s">
        <v>525</v>
      </c>
      <c r="N448">
        <f>INDEX('GIS-Standards'!$I$2:$I$305,MATCH(B448,'GIS-Standards'!$B$2:$B$305,0))</f>
        <v>0</v>
      </c>
      <c r="O448">
        <f>INDEX('GIS-Standards'!$I$2:$I$305,MATCH(C448,'GIS-Standards'!$B$2:$B$305,0))</f>
        <v>0</v>
      </c>
      <c r="P448" t="b">
        <f>AND(TableRelationships12[[#This Row],[Source Type]]="BIM",TableRelationships12[[#This Row],[Target Type]]="BIM")</f>
        <v>0</v>
      </c>
      <c r="Q448">
        <f t="shared" si="18"/>
        <v>1</v>
      </c>
      <c r="S448">
        <f t="shared" si="19"/>
        <v>1</v>
      </c>
      <c r="T448" s="102" t="str">
        <f>IF(TableRelationships12[[#This Row],[Rank Pedro]]="Low","linkCategory1",IF(TableRelationships12[[#This Row],[Rank Pedro]]="Medium","linkCategory2",IF(TableRelationships12[[#This Row],[Rank Pedro]]="High","linkCategory3","")))</f>
        <v/>
      </c>
      <c r="U448" s="102" t="str">
        <f>IF(TableRelationships12[[#This Row],[Rank Pedro]]="Low","Pink",IF(TableRelationships12[[#This Row],[Rank Pedro]]="Medium","Purple",IF(TableRelationships12[[#This Row],[Rank Pedro]]="High","Brown","")))</f>
        <v/>
      </c>
      <c r="V448" s="4">
        <f>MAX(INDEX(Standards!$F$2:$F$296,MATCH(B448,Standards!$B$2:$B$296,0)),INDEX(Standards!$F$2:$F$296,MATCH(C448,Standards!$B$2:$B$296,0)))</f>
        <v>39326</v>
      </c>
      <c r="W448" t="str">
        <f t="shared" si="20"/>
        <v>#2f89d1</v>
      </c>
    </row>
    <row r="449" spans="1:23" x14ac:dyDescent="0.5">
      <c r="A449" s="54">
        <v>448</v>
      </c>
      <c r="B449" s="90" t="s">
        <v>306</v>
      </c>
      <c r="C449" t="s">
        <v>342</v>
      </c>
      <c r="D449" s="1"/>
      <c r="E449" s="112">
        <v>2010.1</v>
      </c>
      <c r="F449" s="112">
        <v>2010.1</v>
      </c>
      <c r="G449" s="107" t="s">
        <v>670</v>
      </c>
      <c r="H449">
        <f>INDEX('GIS-Standards'!$A$2:$A$305,MATCH(B449,'GIS-Standards'!$B$2:$B$305,0))</f>
        <v>18</v>
      </c>
      <c r="I449">
        <f>INDEX('GIS-Standards'!$A$2:$A$305,MATCH(C449,'GIS-Standards'!$B$2:$B$305,0))</f>
        <v>47</v>
      </c>
      <c r="J449" t="str">
        <f>INDEX('GIS-Standards'!$O$2:$O$305,MATCH(B449,'GIS-Standards'!$B$2:$B$305,0))</f>
        <v>ISO/TC 211</v>
      </c>
      <c r="K449" t="str">
        <f>INDEX('GIS-Standards'!$O$2:$O$305,MATCH(C449,'GIS-Standards'!$B$2:$B$305,0))</f>
        <v>ISO/TC 211</v>
      </c>
      <c r="M449" t="s">
        <v>525</v>
      </c>
      <c r="N449">
        <f>INDEX('GIS-Standards'!$I$2:$I$305,MATCH(B449,'GIS-Standards'!$B$2:$B$305,0))</f>
        <v>0</v>
      </c>
      <c r="O449">
        <f>INDEX('GIS-Standards'!$I$2:$I$305,MATCH(C449,'GIS-Standards'!$B$2:$B$305,0))</f>
        <v>0</v>
      </c>
      <c r="P449" t="b">
        <f>AND(TableRelationships12[[#This Row],[Source Type]]="BIM",TableRelationships12[[#This Row],[Target Type]]="BIM")</f>
        <v>0</v>
      </c>
      <c r="Q449">
        <f t="shared" si="18"/>
        <v>1</v>
      </c>
      <c r="S449">
        <f t="shared" si="19"/>
        <v>1</v>
      </c>
      <c r="T449" s="102" t="str">
        <f>IF(TableRelationships12[[#This Row],[Rank Pedro]]="Low","linkCategory1",IF(TableRelationships12[[#This Row],[Rank Pedro]]="Medium","linkCategory2",IF(TableRelationships12[[#This Row],[Rank Pedro]]="High","linkCategory3","")))</f>
        <v/>
      </c>
      <c r="U449" s="102" t="str">
        <f>IF(TableRelationships12[[#This Row],[Rank Pedro]]="Low","Pink",IF(TableRelationships12[[#This Row],[Rank Pedro]]="Medium","Purple",IF(TableRelationships12[[#This Row],[Rank Pedro]]="High","Brown","")))</f>
        <v/>
      </c>
      <c r="V449" s="4">
        <f>MAX(INDEX(Standards!$F$2:$F$296,MATCH(B449,Standards!$B$2:$B$296,0)),INDEX(Standards!$F$2:$F$296,MATCH(C449,Standards!$B$2:$B$296,0)))</f>
        <v>40452</v>
      </c>
      <c r="W449" t="str">
        <f t="shared" si="20"/>
        <v>#2f89d1</v>
      </c>
    </row>
    <row r="450" spans="1:23" x14ac:dyDescent="0.5">
      <c r="A450" s="54">
        <v>449</v>
      </c>
      <c r="B450" s="90" t="s">
        <v>306</v>
      </c>
      <c r="C450" t="s">
        <v>346</v>
      </c>
      <c r="D450" s="1"/>
      <c r="E450" s="112">
        <v>2015.07</v>
      </c>
      <c r="F450" s="112">
        <v>2019.01</v>
      </c>
      <c r="G450" s="107" t="s">
        <v>670</v>
      </c>
      <c r="H450">
        <f>INDEX('GIS-Standards'!$A$2:$A$305,MATCH(B450,'GIS-Standards'!$B$2:$B$305,0))</f>
        <v>18</v>
      </c>
      <c r="I450">
        <f>INDEX('GIS-Standards'!$A$2:$A$305,MATCH(C450,'GIS-Standards'!$B$2:$B$305,0))</f>
        <v>54</v>
      </c>
      <c r="J450" t="str">
        <f>INDEX('GIS-Standards'!$O$2:$O$305,MATCH(B450,'GIS-Standards'!$B$2:$B$305,0))</f>
        <v>ISO/TC 211</v>
      </c>
      <c r="K450" t="str">
        <f>INDEX('GIS-Standards'!$O$2:$O$305,MATCH(C450,'GIS-Standards'!$B$2:$B$305,0))</f>
        <v>ISO/TC 211</v>
      </c>
      <c r="M450" t="s">
        <v>525</v>
      </c>
      <c r="N450">
        <f>INDEX('GIS-Standards'!$I$2:$I$305,MATCH(B450,'GIS-Standards'!$B$2:$B$305,0))</f>
        <v>0</v>
      </c>
      <c r="O450" t="str">
        <f>INDEX('GIS-Standards'!$I$2:$I$305,MATCH(C450,'GIS-Standards'!$B$2:$B$305,0))</f>
        <v>01.2019</v>
      </c>
      <c r="P450" t="b">
        <f>AND(TableRelationships12[[#This Row],[Source Type]]="BIM",TableRelationships12[[#This Row],[Target Type]]="BIM")</f>
        <v>0</v>
      </c>
      <c r="Q450">
        <f t="shared" ref="Q450:Q513" si="21">IF(M450="Normative",6,IF(M450="Secondary",4,IF(M450="Anchor",2,1)))</f>
        <v>1</v>
      </c>
      <c r="S450">
        <f t="shared" ref="S450:S513" si="22">IF(R450="High",10,IF(R450="Medium",6,IF(R450="Low",2,1)))</f>
        <v>1</v>
      </c>
      <c r="T450" s="102" t="str">
        <f>IF(TableRelationships12[[#This Row],[Rank Pedro]]="Low","linkCategory1",IF(TableRelationships12[[#This Row],[Rank Pedro]]="Medium","linkCategory2",IF(TableRelationships12[[#This Row],[Rank Pedro]]="High","linkCategory3","")))</f>
        <v/>
      </c>
      <c r="U450" s="102" t="str">
        <f>IF(TableRelationships12[[#This Row],[Rank Pedro]]="Low","Pink",IF(TableRelationships12[[#This Row],[Rank Pedro]]="Medium","Purple",IF(TableRelationships12[[#This Row],[Rank Pedro]]="High","Brown","")))</f>
        <v/>
      </c>
      <c r="V450" s="4">
        <f>MAX(INDEX(Standards!$F$2:$F$296,MATCH(B450,Standards!$B$2:$B$296,0)),INDEX(Standards!$F$2:$F$296,MATCH(C450,Standards!$B$2:$B$296,0)))</f>
        <v>42186</v>
      </c>
      <c r="W450" t="str">
        <f t="shared" ref="W450:W513" si="23">IF(M450="Normative", "#d6bf2a", IF(M450="Informative", "#2f89d1", 1))</f>
        <v>#2f89d1</v>
      </c>
    </row>
    <row r="451" spans="1:23" x14ac:dyDescent="0.5">
      <c r="A451" s="54">
        <v>450</v>
      </c>
      <c r="B451" s="90" t="s">
        <v>306</v>
      </c>
      <c r="C451" t="s">
        <v>1053</v>
      </c>
      <c r="D451" s="1"/>
      <c r="E451" s="113">
        <v>2011.12</v>
      </c>
      <c r="F451" s="113">
        <v>2023.04</v>
      </c>
      <c r="G451" s="107" t="s">
        <v>670</v>
      </c>
      <c r="H451">
        <f>INDEX('GIS-Standards'!$A$2:$A$305,MATCH(B451,'GIS-Standards'!$B$2:$B$305,0))</f>
        <v>18</v>
      </c>
      <c r="I451">
        <f>INDEX('GIS-Standards'!$A$2:$A$305,MATCH(C451,'GIS-Standards'!$B$2:$B$305,0))</f>
        <v>65</v>
      </c>
      <c r="J451" t="str">
        <f>INDEX('GIS-Standards'!$O$2:$O$305,MATCH(B451,'GIS-Standards'!$B$2:$B$305,0))</f>
        <v>ISO/TC 211</v>
      </c>
      <c r="K451" t="str">
        <f>INDEX('GIS-Standards'!$O$2:$O$305,MATCH(C451,'GIS-Standards'!$B$2:$B$305,0))</f>
        <v>ISO/TC 211</v>
      </c>
      <c r="M451" t="s">
        <v>525</v>
      </c>
      <c r="N451">
        <f>INDEX('GIS-Standards'!$I$2:$I$305,MATCH(B451,'GIS-Standards'!$B$2:$B$305,0))</f>
        <v>0</v>
      </c>
      <c r="O451">
        <f>INDEX('GIS-Standards'!$I$2:$I$305,MATCH(C451,'GIS-Standards'!$B$2:$B$305,0))</f>
        <v>0</v>
      </c>
      <c r="P451" t="b">
        <f>AND(TableRelationships12[[#This Row],[Source Type]]="BIM",TableRelationships12[[#This Row],[Target Type]]="BIM")</f>
        <v>0</v>
      </c>
      <c r="Q451">
        <f t="shared" si="21"/>
        <v>1</v>
      </c>
      <c r="S451">
        <f t="shared" si="22"/>
        <v>1</v>
      </c>
      <c r="T451" s="102" t="str">
        <f>IF(TableRelationships12[[#This Row],[Rank Pedro]]="Low","linkCategory1",IF(TableRelationships12[[#This Row],[Rank Pedro]]="Medium","linkCategory2",IF(TableRelationships12[[#This Row],[Rank Pedro]]="High","linkCategory3","")))</f>
        <v/>
      </c>
      <c r="U451" s="102" t="str">
        <f>IF(TableRelationships12[[#This Row],[Rank Pedro]]="Low","Pink",IF(TableRelationships12[[#This Row],[Rank Pedro]]="Medium","Purple",IF(TableRelationships12[[#This Row],[Rank Pedro]]="High","Brown","")))</f>
        <v/>
      </c>
      <c r="V451" s="4" t="e">
        <f>MAX(INDEX(Standards!$F$2:$F$296,MATCH(B451,Standards!$B$2:$B$296,0)),INDEX(Standards!$F$2:$F$296,MATCH(C451,Standards!$B$2:$B$296,0)))</f>
        <v>#N/A</v>
      </c>
      <c r="W451" t="str">
        <f t="shared" si="23"/>
        <v>#2f89d1</v>
      </c>
    </row>
    <row r="452" spans="1:23" x14ac:dyDescent="0.5">
      <c r="A452" s="54">
        <v>451</v>
      </c>
      <c r="B452" s="90" t="s">
        <v>306</v>
      </c>
      <c r="C452" t="s">
        <v>348</v>
      </c>
      <c r="D452" s="1"/>
      <c r="E452" s="113">
        <v>2013.12</v>
      </c>
      <c r="F452" s="113">
        <v>2023.04</v>
      </c>
      <c r="G452" s="107" t="s">
        <v>670</v>
      </c>
      <c r="H452">
        <f>INDEX('GIS-Standards'!$A$2:$A$305,MATCH(B452,'GIS-Standards'!$B$2:$B$305,0))</f>
        <v>18</v>
      </c>
      <c r="I452">
        <f>INDEX('GIS-Standards'!$A$2:$A$305,MATCH(C452,'GIS-Standards'!$B$2:$B$305,0))</f>
        <v>66</v>
      </c>
      <c r="J452" t="str">
        <f>INDEX('GIS-Standards'!$O$2:$O$305,MATCH(B452,'GIS-Standards'!$B$2:$B$305,0))</f>
        <v>ISO/TC 211</v>
      </c>
      <c r="K452" t="str">
        <f>INDEX('GIS-Standards'!$O$2:$O$305,MATCH(C452,'GIS-Standards'!$B$2:$B$305,0))</f>
        <v>ISO/TC 211</v>
      </c>
      <c r="M452" t="s">
        <v>525</v>
      </c>
      <c r="N452">
        <f>INDEX('GIS-Standards'!$I$2:$I$305,MATCH(B452,'GIS-Standards'!$B$2:$B$305,0))</f>
        <v>0</v>
      </c>
      <c r="O452">
        <f>INDEX('GIS-Standards'!$I$2:$I$305,MATCH(C452,'GIS-Standards'!$B$2:$B$305,0))</f>
        <v>0</v>
      </c>
      <c r="P452" t="b">
        <f>AND(TableRelationships12[[#This Row],[Source Type]]="BIM",TableRelationships12[[#This Row],[Target Type]]="BIM")</f>
        <v>0</v>
      </c>
      <c r="Q452">
        <f t="shared" si="21"/>
        <v>1</v>
      </c>
      <c r="S452">
        <f t="shared" si="22"/>
        <v>1</v>
      </c>
      <c r="T452" s="102" t="str">
        <f>IF(TableRelationships12[[#This Row],[Rank Pedro]]="Low","linkCategory1",IF(TableRelationships12[[#This Row],[Rank Pedro]]="Medium","linkCategory2",IF(TableRelationships12[[#This Row],[Rank Pedro]]="High","linkCategory3","")))</f>
        <v/>
      </c>
      <c r="U452" s="102" t="str">
        <f>IF(TableRelationships12[[#This Row],[Rank Pedro]]="Low","Pink",IF(TableRelationships12[[#This Row],[Rank Pedro]]="Medium","Purple",IF(TableRelationships12[[#This Row],[Rank Pedro]]="High","Brown","")))</f>
        <v/>
      </c>
      <c r="V452" s="4">
        <f>MAX(INDEX(Standards!$F$2:$F$296,MATCH(B452,Standards!$B$2:$B$296,0)),INDEX(Standards!$F$2:$F$296,MATCH(C452,Standards!$B$2:$B$296,0)))</f>
        <v>38504</v>
      </c>
      <c r="W452" t="str">
        <f t="shared" si="23"/>
        <v>#2f89d1</v>
      </c>
    </row>
    <row r="453" spans="1:23" x14ac:dyDescent="0.5">
      <c r="A453" s="54">
        <v>452</v>
      </c>
      <c r="B453" s="90" t="s">
        <v>306</v>
      </c>
      <c r="C453" t="s">
        <v>653</v>
      </c>
      <c r="D453" s="1"/>
      <c r="E453" s="113">
        <v>2007.04</v>
      </c>
      <c r="F453" s="113">
        <v>2019.03</v>
      </c>
      <c r="G453" s="107" t="s">
        <v>670</v>
      </c>
      <c r="H453">
        <f>INDEX('GIS-Standards'!$A$2:$A$305,MATCH(B453,'GIS-Standards'!$B$2:$B$305,0))</f>
        <v>18</v>
      </c>
      <c r="I453">
        <f>INDEX('GIS-Standards'!$A$2:$A$305,MATCH(C453,'GIS-Standards'!$B$2:$B$305,0))</f>
        <v>102</v>
      </c>
      <c r="J453" t="str">
        <f>INDEX('GIS-Standards'!$O$2:$O$305,MATCH(B453,'GIS-Standards'!$B$2:$B$305,0))</f>
        <v>ISO/TC 211</v>
      </c>
      <c r="K453" t="str">
        <f>INDEX('GIS-Standards'!$O$2:$O$305,MATCH(C453,'GIS-Standards'!$B$2:$B$305,0))</f>
        <v>ISO/TC 211</v>
      </c>
      <c r="M453" t="s">
        <v>525</v>
      </c>
      <c r="N453">
        <f>INDEX('GIS-Standards'!$I$2:$I$305,MATCH(B453,'GIS-Standards'!$B$2:$B$305,0))</f>
        <v>0</v>
      </c>
      <c r="O453">
        <f>INDEX('GIS-Standards'!$I$2:$I$305,MATCH(C453,'GIS-Standards'!$B$2:$B$305,0))</f>
        <v>0</v>
      </c>
      <c r="P453" t="b">
        <f>AND(TableRelationships12[[#This Row],[Source Type]]="BIM",TableRelationships12[[#This Row],[Target Type]]="BIM")</f>
        <v>0</v>
      </c>
      <c r="Q453">
        <f t="shared" si="21"/>
        <v>1</v>
      </c>
      <c r="S453">
        <f t="shared" si="22"/>
        <v>1</v>
      </c>
      <c r="T453" s="102" t="str">
        <f>IF(TableRelationships12[[#This Row],[Rank Pedro]]="Low","linkCategory1",IF(TableRelationships12[[#This Row],[Rank Pedro]]="Medium","linkCategory2",IF(TableRelationships12[[#This Row],[Rank Pedro]]="High","linkCategory3","")))</f>
        <v/>
      </c>
      <c r="U453" s="102" t="str">
        <f>IF(TableRelationships12[[#This Row],[Rank Pedro]]="Low","Pink",IF(TableRelationships12[[#This Row],[Rank Pedro]]="Medium","Purple",IF(TableRelationships12[[#This Row],[Rank Pedro]]="High","Brown","")))</f>
        <v/>
      </c>
      <c r="V453" s="4" t="e">
        <f>MAX(INDEX(Standards!$F$2:$F$296,MATCH(B453,Standards!$B$2:$B$296,0)),INDEX(Standards!$F$2:$F$296,MATCH(C453,Standards!$B$2:$B$296,0)))</f>
        <v>#N/A</v>
      </c>
      <c r="W453" t="str">
        <f t="shared" si="23"/>
        <v>#2f89d1</v>
      </c>
    </row>
    <row r="454" spans="1:23" x14ac:dyDescent="0.5">
      <c r="A454" s="54">
        <v>453</v>
      </c>
      <c r="B454" s="90" t="s">
        <v>306</v>
      </c>
      <c r="C454" t="s">
        <v>296</v>
      </c>
      <c r="D454" s="1"/>
      <c r="E454" s="112">
        <v>2005.07</v>
      </c>
      <c r="F454" s="112">
        <v>2024.09</v>
      </c>
      <c r="G454" s="107" t="s">
        <v>670</v>
      </c>
      <c r="H454">
        <f>INDEX('GIS-Standards'!$A$2:$A$305,MATCH(B454,'GIS-Standards'!$B$2:$B$305,0))</f>
        <v>18</v>
      </c>
      <c r="I454">
        <f>INDEX('GIS-Standards'!$A$2:$A$305,MATCH(C454,'GIS-Standards'!$B$2:$B$305,0))</f>
        <v>12</v>
      </c>
      <c r="J454" t="str">
        <f>INDEX('GIS-Standards'!$O$2:$O$305,MATCH(B454,'GIS-Standards'!$B$2:$B$305,0))</f>
        <v>ISO/TC 211</v>
      </c>
      <c r="K454" t="str">
        <f>INDEX('GIS-Standards'!$O$2:$O$305,MATCH(C454,'GIS-Standards'!$B$2:$B$305,0))</f>
        <v>ISO/TC 211</v>
      </c>
      <c r="M454" t="s">
        <v>525</v>
      </c>
      <c r="N454">
        <f>INDEX('GIS-Standards'!$I$2:$I$305,MATCH(B454,'GIS-Standards'!$B$2:$B$305,0))</f>
        <v>0</v>
      </c>
      <c r="O454">
        <f>INDEX('GIS-Standards'!$I$2:$I$305,MATCH(C454,'GIS-Standards'!$B$2:$B$305,0))</f>
        <v>0</v>
      </c>
      <c r="P454" t="b">
        <f>AND(TableRelationships12[[#This Row],[Source Type]]="BIM",TableRelationships12[[#This Row],[Target Type]]="BIM")</f>
        <v>0</v>
      </c>
      <c r="Q454">
        <f t="shared" si="21"/>
        <v>1</v>
      </c>
      <c r="S454">
        <f t="shared" si="22"/>
        <v>1</v>
      </c>
      <c r="T454" s="102" t="str">
        <f>IF(TableRelationships12[[#This Row],[Rank Pedro]]="Low","linkCategory1",IF(TableRelationships12[[#This Row],[Rank Pedro]]="Medium","linkCategory2",IF(TableRelationships12[[#This Row],[Rank Pedro]]="High","linkCategory3","")))</f>
        <v/>
      </c>
      <c r="U454" s="102" t="str">
        <f>IF(TableRelationships12[[#This Row],[Rank Pedro]]="Low","Pink",IF(TableRelationships12[[#This Row],[Rank Pedro]]="Medium","Purple",IF(TableRelationships12[[#This Row],[Rank Pedro]]="High","Brown","")))</f>
        <v/>
      </c>
      <c r="V454" s="4">
        <f>MAX(INDEX(Standards!$F$2:$F$296,MATCH(B454,Standards!$B$2:$B$296,0)),INDEX(Standards!$F$2:$F$296,MATCH(C454,Standards!$B$2:$B$296,0)))</f>
        <v>38534</v>
      </c>
      <c r="W454" t="str">
        <f t="shared" si="23"/>
        <v>#2f89d1</v>
      </c>
    </row>
    <row r="455" spans="1:23" x14ac:dyDescent="0.5">
      <c r="A455" s="54">
        <v>454</v>
      </c>
      <c r="B455" s="90" t="s">
        <v>306</v>
      </c>
      <c r="C455" t="s">
        <v>1111</v>
      </c>
      <c r="D455" s="1"/>
      <c r="G455" s="107"/>
      <c r="H455">
        <f>INDEX('GIS-Standards'!$A$2:$A$305,MATCH(B455,'GIS-Standards'!$B$2:$B$305,0))</f>
        <v>18</v>
      </c>
      <c r="I455" t="e">
        <f>INDEX('GIS-Standards'!$A$2:$A$305,MATCH(C455,'GIS-Standards'!$B$2:$B$305,0))</f>
        <v>#N/A</v>
      </c>
      <c r="J455" t="str">
        <f>INDEX('GIS-Standards'!$O$2:$O$305,MATCH(B455,'GIS-Standards'!$B$2:$B$305,0))</f>
        <v>ISO/TC 211</v>
      </c>
      <c r="K455" t="e">
        <f>INDEX('GIS-Standards'!$O$2:$O$305,MATCH(C455,'GIS-Standards'!$B$2:$B$305,0))</f>
        <v>#N/A</v>
      </c>
      <c r="M455" t="s">
        <v>525</v>
      </c>
      <c r="N455">
        <f>INDEX('GIS-Standards'!$I$2:$I$305,MATCH(B455,'GIS-Standards'!$B$2:$B$305,0))</f>
        <v>0</v>
      </c>
      <c r="O455" t="e">
        <f>INDEX('GIS-Standards'!$I$2:$I$305,MATCH(C455,'GIS-Standards'!$B$2:$B$305,0))</f>
        <v>#N/A</v>
      </c>
      <c r="P455" t="e">
        <f>AND(TableRelationships12[[#This Row],[Source Type]]="BIM",TableRelationships12[[#This Row],[Target Type]]="BIM")</f>
        <v>#N/A</v>
      </c>
      <c r="Q455">
        <f t="shared" si="21"/>
        <v>1</v>
      </c>
      <c r="S455">
        <f t="shared" si="22"/>
        <v>1</v>
      </c>
      <c r="T455" s="102" t="str">
        <f>IF(TableRelationships12[[#This Row],[Rank Pedro]]="Low","linkCategory1",IF(TableRelationships12[[#This Row],[Rank Pedro]]="Medium","linkCategory2",IF(TableRelationships12[[#This Row],[Rank Pedro]]="High","linkCategory3","")))</f>
        <v/>
      </c>
      <c r="U455" s="102" t="str">
        <f>IF(TableRelationships12[[#This Row],[Rank Pedro]]="Low","Pink",IF(TableRelationships12[[#This Row],[Rank Pedro]]="Medium","Purple",IF(TableRelationships12[[#This Row],[Rank Pedro]]="High","Brown","")))</f>
        <v/>
      </c>
      <c r="V455" s="4" t="e">
        <f>MAX(INDEX(Standards!$F$2:$F$296,MATCH(B455,Standards!$B$2:$B$296,0)),INDEX(Standards!$F$2:$F$296,MATCH(C455,Standards!$B$2:$B$296,0)))</f>
        <v>#N/A</v>
      </c>
      <c r="W455" t="str">
        <f t="shared" si="23"/>
        <v>#2f89d1</v>
      </c>
    </row>
    <row r="456" spans="1:23" x14ac:dyDescent="0.5">
      <c r="A456" s="54">
        <v>455</v>
      </c>
      <c r="B456" s="90" t="s">
        <v>306</v>
      </c>
      <c r="C456" t="s">
        <v>1112</v>
      </c>
      <c r="D456" s="1"/>
      <c r="E456" s="112">
        <v>2008.03</v>
      </c>
      <c r="G456" s="107"/>
      <c r="H456">
        <f>INDEX('GIS-Standards'!$A$2:$A$305,MATCH(B456,'GIS-Standards'!$B$2:$B$305,0))</f>
        <v>18</v>
      </c>
      <c r="I456" t="e">
        <f>INDEX('GIS-Standards'!$A$2:$A$305,MATCH(C456,'GIS-Standards'!$B$2:$B$305,0))</f>
        <v>#N/A</v>
      </c>
      <c r="J456" t="str">
        <f>INDEX('GIS-Standards'!$O$2:$O$305,MATCH(B456,'GIS-Standards'!$B$2:$B$305,0))</f>
        <v>ISO/TC 211</v>
      </c>
      <c r="K456" t="e">
        <f>INDEX('GIS-Standards'!$O$2:$O$305,MATCH(C456,'GIS-Standards'!$B$2:$B$305,0))</f>
        <v>#N/A</v>
      </c>
      <c r="M456" t="s">
        <v>525</v>
      </c>
      <c r="N456">
        <f>INDEX('GIS-Standards'!$I$2:$I$305,MATCH(B456,'GIS-Standards'!$B$2:$B$305,0))</f>
        <v>0</v>
      </c>
      <c r="O456" t="e">
        <f>INDEX('GIS-Standards'!$I$2:$I$305,MATCH(C456,'GIS-Standards'!$B$2:$B$305,0))</f>
        <v>#N/A</v>
      </c>
      <c r="P456" t="e">
        <f>AND(TableRelationships12[[#This Row],[Source Type]]="BIM",TableRelationships12[[#This Row],[Target Type]]="BIM")</f>
        <v>#N/A</v>
      </c>
      <c r="Q456">
        <f t="shared" si="21"/>
        <v>1</v>
      </c>
      <c r="S456">
        <f t="shared" si="22"/>
        <v>1</v>
      </c>
      <c r="T456" s="102" t="str">
        <f>IF(TableRelationships12[[#This Row],[Rank Pedro]]="Low","linkCategory1",IF(TableRelationships12[[#This Row],[Rank Pedro]]="Medium","linkCategory2",IF(TableRelationships12[[#This Row],[Rank Pedro]]="High","linkCategory3","")))</f>
        <v/>
      </c>
      <c r="U456" s="102" t="str">
        <f>IF(TableRelationships12[[#This Row],[Rank Pedro]]="Low","Pink",IF(TableRelationships12[[#This Row],[Rank Pedro]]="Medium","Purple",IF(TableRelationships12[[#This Row],[Rank Pedro]]="High","Brown","")))</f>
        <v/>
      </c>
      <c r="V456" s="4" t="e">
        <f>MAX(INDEX(Standards!$F$2:$F$296,MATCH(B456,Standards!$B$2:$B$296,0)),INDEX(Standards!$F$2:$F$296,MATCH(C456,Standards!$B$2:$B$296,0)))</f>
        <v>#N/A</v>
      </c>
      <c r="W456" t="str">
        <f t="shared" si="23"/>
        <v>#2f89d1</v>
      </c>
    </row>
    <row r="457" spans="1:23" x14ac:dyDescent="0.5">
      <c r="A457" s="54">
        <v>456</v>
      </c>
      <c r="B457" s="90" t="s">
        <v>306</v>
      </c>
      <c r="C457" t="s">
        <v>1113</v>
      </c>
      <c r="D457" s="1"/>
      <c r="E457" s="112">
        <v>2009.09</v>
      </c>
      <c r="G457" s="107"/>
      <c r="H457">
        <f>INDEX('GIS-Standards'!$A$2:$A$305,MATCH(B457,'GIS-Standards'!$B$2:$B$305,0))</f>
        <v>18</v>
      </c>
      <c r="I457" t="e">
        <f>INDEX('GIS-Standards'!$A$2:$A$305,MATCH(C457,'GIS-Standards'!$B$2:$B$305,0))</f>
        <v>#N/A</v>
      </c>
      <c r="J457" t="str">
        <f>INDEX('GIS-Standards'!$O$2:$O$305,MATCH(B457,'GIS-Standards'!$B$2:$B$305,0))</f>
        <v>ISO/TC 211</v>
      </c>
      <c r="K457" t="e">
        <f>INDEX('GIS-Standards'!$O$2:$O$305,MATCH(C457,'GIS-Standards'!$B$2:$B$305,0))</f>
        <v>#N/A</v>
      </c>
      <c r="M457" t="s">
        <v>525</v>
      </c>
      <c r="N457">
        <f>INDEX('GIS-Standards'!$I$2:$I$305,MATCH(B457,'GIS-Standards'!$B$2:$B$305,0))</f>
        <v>0</v>
      </c>
      <c r="O457" t="e">
        <f>INDEX('GIS-Standards'!$I$2:$I$305,MATCH(C457,'GIS-Standards'!$B$2:$B$305,0))</f>
        <v>#N/A</v>
      </c>
      <c r="P457" t="e">
        <f>AND(TableRelationships12[[#This Row],[Source Type]]="BIM",TableRelationships12[[#This Row],[Target Type]]="BIM")</f>
        <v>#N/A</v>
      </c>
      <c r="Q457">
        <f t="shared" si="21"/>
        <v>1</v>
      </c>
      <c r="S457">
        <f t="shared" si="22"/>
        <v>1</v>
      </c>
      <c r="T457" s="102" t="str">
        <f>IF(TableRelationships12[[#This Row],[Rank Pedro]]="Low","linkCategory1",IF(TableRelationships12[[#This Row],[Rank Pedro]]="Medium","linkCategory2",IF(TableRelationships12[[#This Row],[Rank Pedro]]="High","linkCategory3","")))</f>
        <v/>
      </c>
      <c r="U457" s="102" t="str">
        <f>IF(TableRelationships12[[#This Row],[Rank Pedro]]="Low","Pink",IF(TableRelationships12[[#This Row],[Rank Pedro]]="Medium","Purple",IF(TableRelationships12[[#This Row],[Rank Pedro]]="High","Brown","")))</f>
        <v/>
      </c>
      <c r="V457" s="4" t="e">
        <f>MAX(INDEX(Standards!$F$2:$F$296,MATCH(B457,Standards!$B$2:$B$296,0)),INDEX(Standards!$F$2:$F$296,MATCH(C457,Standards!$B$2:$B$296,0)))</f>
        <v>#N/A</v>
      </c>
      <c r="W457" t="str">
        <f t="shared" si="23"/>
        <v>#2f89d1</v>
      </c>
    </row>
    <row r="458" spans="1:23" x14ac:dyDescent="0.5">
      <c r="A458" s="54">
        <v>457</v>
      </c>
      <c r="B458" s="90" t="s">
        <v>306</v>
      </c>
      <c r="C458" t="s">
        <v>1321</v>
      </c>
      <c r="D458" s="1"/>
      <c r="G458" s="107"/>
      <c r="H458">
        <f>INDEX('GIS-Standards'!$A$2:$A$305,MATCH(B458,'GIS-Standards'!$B$2:$B$305,0))</f>
        <v>18</v>
      </c>
      <c r="I458" t="e">
        <f>INDEX('GIS-Standards'!$A$2:$A$305,MATCH(C458,'GIS-Standards'!$B$2:$B$305,0))</f>
        <v>#N/A</v>
      </c>
      <c r="J458" t="str">
        <f>INDEX('GIS-Standards'!$O$2:$O$305,MATCH(B458,'GIS-Standards'!$B$2:$B$305,0))</f>
        <v>ISO/TC 211</v>
      </c>
      <c r="K458" t="e">
        <f>INDEX('GIS-Standards'!$O$2:$O$305,MATCH(C458,'GIS-Standards'!$B$2:$B$305,0))</f>
        <v>#N/A</v>
      </c>
      <c r="M458" t="s">
        <v>525</v>
      </c>
      <c r="N458">
        <f>INDEX('GIS-Standards'!$I$2:$I$305,MATCH(B458,'GIS-Standards'!$B$2:$B$305,0))</f>
        <v>0</v>
      </c>
      <c r="O458" t="e">
        <f>INDEX('GIS-Standards'!$I$2:$I$305,MATCH(C458,'GIS-Standards'!$B$2:$B$305,0))</f>
        <v>#N/A</v>
      </c>
      <c r="P458" t="e">
        <f>AND(TableRelationships12[[#This Row],[Source Type]]="BIM",TableRelationships12[[#This Row],[Target Type]]="BIM")</f>
        <v>#N/A</v>
      </c>
      <c r="Q458">
        <f t="shared" si="21"/>
        <v>1</v>
      </c>
      <c r="S458">
        <f t="shared" si="22"/>
        <v>1</v>
      </c>
      <c r="T458" s="102" t="str">
        <f>IF(TableRelationships12[[#This Row],[Rank Pedro]]="Low","linkCategory1",IF(TableRelationships12[[#This Row],[Rank Pedro]]="Medium","linkCategory2",IF(TableRelationships12[[#This Row],[Rank Pedro]]="High","linkCategory3","")))</f>
        <v/>
      </c>
      <c r="U458" s="102" t="str">
        <f>IF(TableRelationships12[[#This Row],[Rank Pedro]]="Low","Pink",IF(TableRelationships12[[#This Row],[Rank Pedro]]="Medium","Purple",IF(TableRelationships12[[#This Row],[Rank Pedro]]="High","Brown","")))</f>
        <v/>
      </c>
      <c r="V458" s="4" t="e">
        <f>MAX(INDEX(Standards!$F$2:$F$296,MATCH(B458,Standards!$B$2:$B$296,0)),INDEX(Standards!$F$2:$F$296,MATCH(C458,Standards!$B$2:$B$296,0)))</f>
        <v>#N/A</v>
      </c>
      <c r="W458" t="str">
        <f t="shared" si="23"/>
        <v>#2f89d1</v>
      </c>
    </row>
    <row r="459" spans="1:23" x14ac:dyDescent="0.5">
      <c r="A459" s="54">
        <v>458</v>
      </c>
      <c r="B459" s="90" t="s">
        <v>306</v>
      </c>
      <c r="C459" t="s">
        <v>1114</v>
      </c>
      <c r="D459" s="1"/>
      <c r="G459" s="107"/>
      <c r="H459">
        <f>INDEX('GIS-Standards'!$A$2:$A$305,MATCH(B459,'GIS-Standards'!$B$2:$B$305,0))</f>
        <v>18</v>
      </c>
      <c r="I459" t="e">
        <f>INDEX('GIS-Standards'!$A$2:$A$305,MATCH(C459,'GIS-Standards'!$B$2:$B$305,0))</f>
        <v>#N/A</v>
      </c>
      <c r="J459" t="str">
        <f>INDEX('GIS-Standards'!$O$2:$O$305,MATCH(B459,'GIS-Standards'!$B$2:$B$305,0))</f>
        <v>ISO/TC 211</v>
      </c>
      <c r="K459" t="e">
        <f>INDEX('GIS-Standards'!$O$2:$O$305,MATCH(C459,'GIS-Standards'!$B$2:$B$305,0))</f>
        <v>#N/A</v>
      </c>
      <c r="M459" t="s">
        <v>525</v>
      </c>
      <c r="N459">
        <f>INDEX('GIS-Standards'!$I$2:$I$305,MATCH(B459,'GIS-Standards'!$B$2:$B$305,0))</f>
        <v>0</v>
      </c>
      <c r="O459" t="e">
        <f>INDEX('GIS-Standards'!$I$2:$I$305,MATCH(C459,'GIS-Standards'!$B$2:$B$305,0))</f>
        <v>#N/A</v>
      </c>
      <c r="P459" t="e">
        <f>AND(TableRelationships12[[#This Row],[Source Type]]="BIM",TableRelationships12[[#This Row],[Target Type]]="BIM")</f>
        <v>#N/A</v>
      </c>
      <c r="Q459">
        <f t="shared" si="21"/>
        <v>1</v>
      </c>
      <c r="S459">
        <f t="shared" si="22"/>
        <v>1</v>
      </c>
      <c r="T459" s="102" t="str">
        <f>IF(TableRelationships12[[#This Row],[Rank Pedro]]="Low","linkCategory1",IF(TableRelationships12[[#This Row],[Rank Pedro]]="Medium","linkCategory2",IF(TableRelationships12[[#This Row],[Rank Pedro]]="High","linkCategory3","")))</f>
        <v/>
      </c>
      <c r="U459" s="102" t="str">
        <f>IF(TableRelationships12[[#This Row],[Rank Pedro]]="Low","Pink",IF(TableRelationships12[[#This Row],[Rank Pedro]]="Medium","Purple",IF(TableRelationships12[[#This Row],[Rank Pedro]]="High","Brown","")))</f>
        <v/>
      </c>
      <c r="V459" s="4" t="e">
        <f>MAX(INDEX(Standards!$F$2:$F$296,MATCH(B459,Standards!$B$2:$B$296,0)),INDEX(Standards!$F$2:$F$296,MATCH(C459,Standards!$B$2:$B$296,0)))</f>
        <v>#N/A</v>
      </c>
      <c r="W459" t="str">
        <f t="shared" si="23"/>
        <v>#2f89d1</v>
      </c>
    </row>
    <row r="460" spans="1:23" x14ac:dyDescent="0.5">
      <c r="A460" s="54">
        <v>459</v>
      </c>
      <c r="B460" s="90" t="s">
        <v>308</v>
      </c>
      <c r="C460" t="s">
        <v>527</v>
      </c>
      <c r="D460" s="1"/>
      <c r="E460" s="112" t="s">
        <v>937</v>
      </c>
      <c r="F460" s="112" t="s">
        <v>938</v>
      </c>
      <c r="G460" s="121" t="s">
        <v>670</v>
      </c>
      <c r="H460">
        <f>INDEX('GIS-Standards'!$A$2:$A$305,MATCH(B460,'GIS-Standards'!$B$2:$B$305,0))</f>
        <v>19</v>
      </c>
      <c r="I460" t="e">
        <f>INDEX('GIS-Standards'!$A$2:$A$305,MATCH(C460,'GIS-Standards'!$B$2:$B$305,0))</f>
        <v>#N/A</v>
      </c>
      <c r="J460" t="str">
        <f>INDEX('GIS-Standards'!$O$2:$O$305,MATCH(B460,'GIS-Standards'!$B$2:$B$305,0))</f>
        <v>ISO/TC 211</v>
      </c>
      <c r="K460" t="e">
        <f>INDEX('GIS-Standards'!$O$2:$O$305,MATCH(C460,'GIS-Standards'!$B$2:$B$305,0))</f>
        <v>#N/A</v>
      </c>
      <c r="M460" t="s">
        <v>237</v>
      </c>
      <c r="N460">
        <f>INDEX('GIS-Standards'!$I$2:$I$305,MATCH(B460,'GIS-Standards'!$B$2:$B$305,0))</f>
        <v>0</v>
      </c>
      <c r="O460" t="e">
        <f>INDEX('GIS-Standards'!$I$2:$I$305,MATCH(C460,'GIS-Standards'!$B$2:$B$305,0))</f>
        <v>#N/A</v>
      </c>
      <c r="P460" t="e">
        <f>AND(TableRelationships12[[#This Row],[Source Type]]="BIM",TableRelationships12[[#This Row],[Target Type]]="BIM")</f>
        <v>#N/A</v>
      </c>
      <c r="Q460">
        <f t="shared" si="21"/>
        <v>2</v>
      </c>
      <c r="S460">
        <f t="shared" si="22"/>
        <v>1</v>
      </c>
      <c r="T460" s="102" t="str">
        <f>IF(TableRelationships12[[#This Row],[Rank Pedro]]="Low","linkCategory1",IF(TableRelationships12[[#This Row],[Rank Pedro]]="Medium","linkCategory2",IF(TableRelationships12[[#This Row],[Rank Pedro]]="High","linkCategory3","")))</f>
        <v/>
      </c>
      <c r="U460" s="102" t="str">
        <f>IF(TableRelationships12[[#This Row],[Rank Pedro]]="Low","Pink",IF(TableRelationships12[[#This Row],[Rank Pedro]]="Medium","Purple",IF(TableRelationships12[[#This Row],[Rank Pedro]]="High","Brown","")))</f>
        <v/>
      </c>
      <c r="V460" s="4">
        <f>MAX(INDEX(Standards!$F$2:$F$296,MATCH(B460,Standards!$B$2:$B$296,0)),INDEX(Standards!$F$2:$F$296,MATCH(C460,Standards!$B$2:$B$296,0)))</f>
        <v>38384</v>
      </c>
      <c r="W460">
        <f t="shared" si="23"/>
        <v>1</v>
      </c>
    </row>
    <row r="461" spans="1:23" x14ac:dyDescent="0.5">
      <c r="A461" s="54">
        <v>460</v>
      </c>
      <c r="B461" s="90" t="s">
        <v>308</v>
      </c>
      <c r="C461" t="s">
        <v>296</v>
      </c>
      <c r="D461" s="1"/>
      <c r="E461" s="112">
        <v>2005.07</v>
      </c>
      <c r="F461" s="112">
        <v>2024.09</v>
      </c>
      <c r="G461" s="107" t="s">
        <v>670</v>
      </c>
      <c r="H461">
        <f>INDEX('GIS-Standards'!$A$2:$A$305,MATCH(B461,'GIS-Standards'!$B$2:$B$305,0))</f>
        <v>19</v>
      </c>
      <c r="I461">
        <f>INDEX('GIS-Standards'!$A$2:$A$305,MATCH(C461,'GIS-Standards'!$B$2:$B$305,0))</f>
        <v>12</v>
      </c>
      <c r="J461" t="str">
        <f>INDEX('GIS-Standards'!$O$2:$O$305,MATCH(B461,'GIS-Standards'!$B$2:$B$305,0))</f>
        <v>ISO/TC 211</v>
      </c>
      <c r="K461" t="str">
        <f>INDEX('GIS-Standards'!$O$2:$O$305,MATCH(C461,'GIS-Standards'!$B$2:$B$305,0))</f>
        <v>ISO/TC 211</v>
      </c>
      <c r="M461" t="s">
        <v>524</v>
      </c>
      <c r="N461">
        <f>INDEX('GIS-Standards'!$I$2:$I$305,MATCH(B461,'GIS-Standards'!$B$2:$B$305,0))</f>
        <v>0</v>
      </c>
      <c r="O461">
        <f>INDEX('GIS-Standards'!$I$2:$I$305,MATCH(C461,'GIS-Standards'!$B$2:$B$305,0))</f>
        <v>0</v>
      </c>
      <c r="P461" t="b">
        <f>AND(TableRelationships12[[#This Row],[Source Type]]="BIM",TableRelationships12[[#This Row],[Target Type]]="BIM")</f>
        <v>0</v>
      </c>
      <c r="Q461">
        <f t="shared" si="21"/>
        <v>6</v>
      </c>
      <c r="S461">
        <f t="shared" si="22"/>
        <v>1</v>
      </c>
      <c r="T461" s="102" t="str">
        <f>IF(TableRelationships12[[#This Row],[Rank Pedro]]="Low","linkCategory1",IF(TableRelationships12[[#This Row],[Rank Pedro]]="Medium","linkCategory2",IF(TableRelationships12[[#This Row],[Rank Pedro]]="High","linkCategory3","")))</f>
        <v/>
      </c>
      <c r="U461" s="102" t="str">
        <f>IF(TableRelationships12[[#This Row],[Rank Pedro]]="Low","Pink",IF(TableRelationships12[[#This Row],[Rank Pedro]]="Medium","Purple",IF(TableRelationships12[[#This Row],[Rank Pedro]]="High","Brown","")))</f>
        <v/>
      </c>
      <c r="V461" s="4">
        <f>MAX(INDEX(Standards!$F$2:$F$296,MATCH(B461,Standards!$B$2:$B$296,0)),INDEX(Standards!$F$2:$F$296,MATCH(C461,Standards!$B$2:$B$296,0)))</f>
        <v>38534</v>
      </c>
      <c r="W461" t="str">
        <f t="shared" si="23"/>
        <v>#d6bf2a</v>
      </c>
    </row>
    <row r="462" spans="1:23" x14ac:dyDescent="0.5">
      <c r="A462" s="54">
        <v>461</v>
      </c>
      <c r="B462" s="90" t="s">
        <v>308</v>
      </c>
      <c r="C462" t="s">
        <v>306</v>
      </c>
      <c r="D462" s="1"/>
      <c r="E462" s="112">
        <v>2005.06</v>
      </c>
      <c r="F462" s="112">
        <v>2025.07</v>
      </c>
      <c r="G462" s="107" t="s">
        <v>670</v>
      </c>
      <c r="H462">
        <f>INDEX('GIS-Standards'!$A$2:$A$305,MATCH(B462,'GIS-Standards'!$B$2:$B$305,0))</f>
        <v>19</v>
      </c>
      <c r="I462">
        <f>INDEX('GIS-Standards'!$A$2:$A$305,MATCH(C462,'GIS-Standards'!$B$2:$B$305,0))</f>
        <v>18</v>
      </c>
      <c r="J462" t="str">
        <f>INDEX('GIS-Standards'!$O$2:$O$305,MATCH(B462,'GIS-Standards'!$B$2:$B$305,0))</f>
        <v>ISO/TC 211</v>
      </c>
      <c r="K462" t="str">
        <f>INDEX('GIS-Standards'!$O$2:$O$305,MATCH(C462,'GIS-Standards'!$B$2:$B$305,0))</f>
        <v>ISO/TC 211</v>
      </c>
      <c r="M462" t="s">
        <v>524</v>
      </c>
      <c r="N462">
        <f>INDEX('GIS-Standards'!$I$2:$I$305,MATCH(B462,'GIS-Standards'!$B$2:$B$305,0))</f>
        <v>0</v>
      </c>
      <c r="O462">
        <f>INDEX('GIS-Standards'!$I$2:$I$305,MATCH(C462,'GIS-Standards'!$B$2:$B$305,0))</f>
        <v>0</v>
      </c>
      <c r="P462" t="b">
        <f>AND(TableRelationships12[[#This Row],[Source Type]]="BIM",TableRelationships12[[#This Row],[Target Type]]="BIM")</f>
        <v>0</v>
      </c>
      <c r="Q462">
        <f t="shared" si="21"/>
        <v>6</v>
      </c>
      <c r="S462">
        <f t="shared" si="22"/>
        <v>1</v>
      </c>
      <c r="T462" s="102" t="str">
        <f>IF(TableRelationships12[[#This Row],[Rank Pedro]]="Low","linkCategory1",IF(TableRelationships12[[#This Row],[Rank Pedro]]="Medium","linkCategory2",IF(TableRelationships12[[#This Row],[Rank Pedro]]="High","linkCategory3","")))</f>
        <v/>
      </c>
      <c r="U462" s="102" t="str">
        <f>IF(TableRelationships12[[#This Row],[Rank Pedro]]="Low","Pink",IF(TableRelationships12[[#This Row],[Rank Pedro]]="Medium","Purple",IF(TableRelationships12[[#This Row],[Rank Pedro]]="High","Brown","")))</f>
        <v/>
      </c>
      <c r="V462" s="4">
        <f>MAX(INDEX(Standards!$F$2:$F$296,MATCH(B462,Standards!$B$2:$B$296,0)),INDEX(Standards!$F$2:$F$296,MATCH(C462,Standards!$B$2:$B$296,0)))</f>
        <v>38504</v>
      </c>
      <c r="W462" t="str">
        <f t="shared" si="23"/>
        <v>#d6bf2a</v>
      </c>
    </row>
    <row r="463" spans="1:23" x14ac:dyDescent="0.5">
      <c r="A463" s="54">
        <v>462</v>
      </c>
      <c r="B463" s="90" t="s">
        <v>308</v>
      </c>
      <c r="C463" t="s">
        <v>314</v>
      </c>
      <c r="D463" s="1"/>
      <c r="E463" s="112">
        <v>2003.05</v>
      </c>
      <c r="F463" s="112">
        <v>2020.11</v>
      </c>
      <c r="G463" s="107" t="s">
        <v>670</v>
      </c>
      <c r="H463">
        <f>INDEX('GIS-Standards'!$A$2:$A$305,MATCH(B463,'GIS-Standards'!$B$2:$B$305,0))</f>
        <v>19</v>
      </c>
      <c r="I463">
        <f>INDEX('GIS-Standards'!$A$2:$A$305,MATCH(C463,'GIS-Standards'!$B$2:$B$305,0))</f>
        <v>22</v>
      </c>
      <c r="J463" t="str">
        <f>INDEX('GIS-Standards'!$O$2:$O$305,MATCH(B463,'GIS-Standards'!$B$2:$B$305,0))</f>
        <v>ISO/TC 211</v>
      </c>
      <c r="K463" t="str">
        <f>INDEX('GIS-Standards'!$O$2:$O$305,MATCH(C463,'GIS-Standards'!$B$2:$B$305,0))</f>
        <v>ISO/TC 211</v>
      </c>
      <c r="M463" t="s">
        <v>524</v>
      </c>
      <c r="N463">
        <f>INDEX('GIS-Standards'!$I$2:$I$305,MATCH(B463,'GIS-Standards'!$B$2:$B$305,0))</f>
        <v>0</v>
      </c>
      <c r="O463" t="str">
        <f>INDEX('GIS-Standards'!$I$2:$I$305,MATCH(C463,'GIS-Standards'!$B$2:$B$305,0))</f>
        <v>12.2020</v>
      </c>
      <c r="P463" t="b">
        <f>AND(TableRelationships12[[#This Row],[Source Type]]="BIM",TableRelationships12[[#This Row],[Target Type]]="BIM")</f>
        <v>0</v>
      </c>
      <c r="Q463">
        <f t="shared" si="21"/>
        <v>6</v>
      </c>
      <c r="S463">
        <f t="shared" si="22"/>
        <v>1</v>
      </c>
      <c r="T463" s="102" t="str">
        <f>IF(TableRelationships12[[#This Row],[Rank Pedro]]="Low","linkCategory1",IF(TableRelationships12[[#This Row],[Rank Pedro]]="Medium","linkCategory2",IF(TableRelationships12[[#This Row],[Rank Pedro]]="High","linkCategory3","")))</f>
        <v/>
      </c>
      <c r="U463" s="102" t="str">
        <f>IF(TableRelationships12[[#This Row],[Rank Pedro]]="Low","Pink",IF(TableRelationships12[[#This Row],[Rank Pedro]]="Medium","Purple",IF(TableRelationships12[[#This Row],[Rank Pedro]]="High","Brown","")))</f>
        <v/>
      </c>
      <c r="V463" s="4">
        <f>MAX(INDEX(Standards!$F$2:$F$296,MATCH(B463,Standards!$B$2:$B$296,0)),INDEX(Standards!$F$2:$F$296,MATCH(C463,Standards!$B$2:$B$296,0)))</f>
        <v>38384</v>
      </c>
      <c r="W463" t="str">
        <f t="shared" si="23"/>
        <v>#d6bf2a</v>
      </c>
    </row>
    <row r="464" spans="1:23" x14ac:dyDescent="0.5">
      <c r="A464" s="54">
        <v>463</v>
      </c>
      <c r="B464" s="90" t="s">
        <v>308</v>
      </c>
      <c r="C464" t="s">
        <v>1042</v>
      </c>
      <c r="D464" s="1"/>
      <c r="E464" s="112">
        <v>2016.08</v>
      </c>
      <c r="F464" s="112">
        <v>2023.08</v>
      </c>
      <c r="G464" s="107" t="s">
        <v>670</v>
      </c>
      <c r="H464">
        <f>INDEX('GIS-Standards'!$A$2:$A$305,MATCH(B464,'GIS-Standards'!$B$2:$B$305,0))</f>
        <v>19</v>
      </c>
      <c r="I464">
        <f>INDEX('GIS-Standards'!$A$2:$A$305,MATCH(C464,'GIS-Standards'!$B$2:$B$305,0))</f>
        <v>24</v>
      </c>
      <c r="J464" t="str">
        <f>INDEX('GIS-Standards'!$O$2:$O$305,MATCH(B464,'GIS-Standards'!$B$2:$B$305,0))</f>
        <v>ISO/TC 211</v>
      </c>
      <c r="K464" t="str">
        <f>INDEX('GIS-Standards'!$O$2:$O$305,MATCH(C464,'GIS-Standards'!$B$2:$B$305,0))</f>
        <v>ISO/TC 211</v>
      </c>
      <c r="M464" t="s">
        <v>524</v>
      </c>
      <c r="N464">
        <f>INDEX('GIS-Standards'!$I$2:$I$305,MATCH(B464,'GIS-Standards'!$B$2:$B$305,0))</f>
        <v>0</v>
      </c>
      <c r="O464">
        <f>INDEX('GIS-Standards'!$I$2:$I$305,MATCH(C464,'GIS-Standards'!$B$2:$B$305,0))</f>
        <v>0</v>
      </c>
      <c r="P464" t="b">
        <f>AND(TableRelationships12[[#This Row],[Source Type]]="BIM",TableRelationships12[[#This Row],[Target Type]]="BIM")</f>
        <v>0</v>
      </c>
      <c r="Q464">
        <f t="shared" si="21"/>
        <v>6</v>
      </c>
      <c r="S464">
        <f t="shared" si="22"/>
        <v>1</v>
      </c>
      <c r="T464" s="102" t="str">
        <f>IF(TableRelationships12[[#This Row],[Rank Pedro]]="Low","linkCategory1",IF(TableRelationships12[[#This Row],[Rank Pedro]]="Medium","linkCategory2",IF(TableRelationships12[[#This Row],[Rank Pedro]]="High","linkCategory3","")))</f>
        <v/>
      </c>
      <c r="U464" s="102" t="str">
        <f>IF(TableRelationships12[[#This Row],[Rank Pedro]]="Low","Pink",IF(TableRelationships12[[#This Row],[Rank Pedro]]="Medium","Purple",IF(TableRelationships12[[#This Row],[Rank Pedro]]="High","Brown","")))</f>
        <v/>
      </c>
      <c r="V464" s="4" t="e">
        <f>MAX(INDEX(Standards!$F$2:$F$296,MATCH(B464,Standards!$B$2:$B$296,0)),INDEX(Standards!$F$2:$F$296,MATCH(C464,Standards!$B$2:$B$296,0)))</f>
        <v>#N/A</v>
      </c>
      <c r="W464" t="str">
        <f t="shared" si="23"/>
        <v>#d6bf2a</v>
      </c>
    </row>
    <row r="465" spans="1:23" x14ac:dyDescent="0.5">
      <c r="A465" s="54">
        <v>464</v>
      </c>
      <c r="B465" s="90" t="s">
        <v>308</v>
      </c>
      <c r="C465" t="s">
        <v>1048</v>
      </c>
      <c r="D465" s="1"/>
      <c r="E465" s="112">
        <v>2005.1</v>
      </c>
      <c r="F465" s="112">
        <v>2021.02</v>
      </c>
      <c r="G465" s="107" t="s">
        <v>670</v>
      </c>
      <c r="H465">
        <f>INDEX('GIS-Standards'!$A$2:$A$305,MATCH(B465,'GIS-Standards'!$B$2:$B$305,0))</f>
        <v>19</v>
      </c>
      <c r="I465">
        <f>INDEX('GIS-Standards'!$A$2:$A$305,MATCH(C465,'GIS-Standards'!$B$2:$B$305,0))</f>
        <v>41</v>
      </c>
      <c r="J465" t="str">
        <f>INDEX('GIS-Standards'!$O$2:$O$305,MATCH(B465,'GIS-Standards'!$B$2:$B$305,0))</f>
        <v>ISO/TC 211</v>
      </c>
      <c r="K465" t="str">
        <f>INDEX('GIS-Standards'!$O$2:$O$305,MATCH(C465,'GIS-Standards'!$B$2:$B$305,0))</f>
        <v>ISO/TC 211</v>
      </c>
      <c r="M465" t="s">
        <v>524</v>
      </c>
      <c r="N465">
        <f>INDEX('GIS-Standards'!$I$2:$I$305,MATCH(B465,'GIS-Standards'!$B$2:$B$305,0))</f>
        <v>0</v>
      </c>
      <c r="O465" t="str">
        <f>INDEX('GIS-Standards'!$I$2:$I$305,MATCH(C465,'GIS-Standards'!$B$2:$B$305,0))</f>
        <v>03.2021</v>
      </c>
      <c r="P465" t="b">
        <f>AND(TableRelationships12[[#This Row],[Source Type]]="BIM",TableRelationships12[[#This Row],[Target Type]]="BIM")</f>
        <v>0</v>
      </c>
      <c r="Q465">
        <f t="shared" si="21"/>
        <v>6</v>
      </c>
      <c r="S465">
        <f t="shared" si="22"/>
        <v>1</v>
      </c>
      <c r="T465" s="102" t="str">
        <f>IF(TableRelationships12[[#This Row],[Rank Pedro]]="Low","linkCategory1",IF(TableRelationships12[[#This Row],[Rank Pedro]]="Medium","linkCategory2",IF(TableRelationships12[[#This Row],[Rank Pedro]]="High","linkCategory3","")))</f>
        <v/>
      </c>
      <c r="U465" s="102" t="str">
        <f>IF(TableRelationships12[[#This Row],[Rank Pedro]]="Low","Pink",IF(TableRelationships12[[#This Row],[Rank Pedro]]="Medium","Purple",IF(TableRelationships12[[#This Row],[Rank Pedro]]="High","Brown","")))</f>
        <v/>
      </c>
      <c r="V465" s="4" t="e">
        <f>MAX(INDEX(Standards!$F$2:$F$296,MATCH(B465,Standards!$B$2:$B$296,0)),INDEX(Standards!$F$2:$F$296,MATCH(C465,Standards!$B$2:$B$296,0)))</f>
        <v>#N/A</v>
      </c>
      <c r="W465" t="str">
        <f t="shared" si="23"/>
        <v>#d6bf2a</v>
      </c>
    </row>
    <row r="466" spans="1:23" x14ac:dyDescent="0.5">
      <c r="A466" s="54">
        <v>465</v>
      </c>
      <c r="B466" s="90" t="s">
        <v>308</v>
      </c>
      <c r="C466" t="s">
        <v>653</v>
      </c>
      <c r="D466" s="1" t="s">
        <v>1115</v>
      </c>
      <c r="E466" s="113">
        <v>2007.04</v>
      </c>
      <c r="F466" s="113">
        <v>2019.03</v>
      </c>
      <c r="G466" s="107" t="s">
        <v>670</v>
      </c>
      <c r="H466">
        <f>INDEX('GIS-Standards'!$A$2:$A$305,MATCH(B466,'GIS-Standards'!$B$2:$B$305,0))</f>
        <v>19</v>
      </c>
      <c r="I466">
        <f>INDEX('GIS-Standards'!$A$2:$A$305,MATCH(C466,'GIS-Standards'!$B$2:$B$305,0))</f>
        <v>102</v>
      </c>
      <c r="J466" t="str">
        <f>INDEX('GIS-Standards'!$O$2:$O$305,MATCH(B466,'GIS-Standards'!$B$2:$B$305,0))</f>
        <v>ISO/TC 211</v>
      </c>
      <c r="K466" t="str">
        <f>INDEX('GIS-Standards'!$O$2:$O$305,MATCH(C466,'GIS-Standards'!$B$2:$B$305,0))</f>
        <v>ISO/TC 211</v>
      </c>
      <c r="M466" t="s">
        <v>524</v>
      </c>
      <c r="N466">
        <f>INDEX('GIS-Standards'!$I$2:$I$305,MATCH(B466,'GIS-Standards'!$B$2:$B$305,0))</f>
        <v>0</v>
      </c>
      <c r="O466">
        <f>INDEX('GIS-Standards'!$I$2:$I$305,MATCH(C466,'GIS-Standards'!$B$2:$B$305,0))</f>
        <v>0</v>
      </c>
      <c r="P466" t="b">
        <f>AND(TableRelationships12[[#This Row],[Source Type]]="BIM",TableRelationships12[[#This Row],[Target Type]]="BIM")</f>
        <v>0</v>
      </c>
      <c r="Q466">
        <f t="shared" si="21"/>
        <v>6</v>
      </c>
      <c r="S466">
        <f t="shared" si="22"/>
        <v>1</v>
      </c>
      <c r="T466" s="102" t="str">
        <f>IF(TableRelationships12[[#This Row],[Rank Pedro]]="Low","linkCategory1",IF(TableRelationships12[[#This Row],[Rank Pedro]]="Medium","linkCategory2",IF(TableRelationships12[[#This Row],[Rank Pedro]]="High","linkCategory3","")))</f>
        <v/>
      </c>
      <c r="U466" s="102" t="str">
        <f>IF(TableRelationships12[[#This Row],[Rank Pedro]]="Low","Pink",IF(TableRelationships12[[#This Row],[Rank Pedro]]="Medium","Purple",IF(TableRelationships12[[#This Row],[Rank Pedro]]="High","Brown","")))</f>
        <v/>
      </c>
      <c r="V466" s="4" t="e">
        <f>MAX(INDEX(Standards!$F$2:$F$296,MATCH(B466,Standards!$B$2:$B$296,0)),INDEX(Standards!$F$2:$F$296,MATCH(C466,Standards!$B$2:$B$296,0)))</f>
        <v>#N/A</v>
      </c>
      <c r="W466" t="str">
        <f t="shared" si="23"/>
        <v>#d6bf2a</v>
      </c>
    </row>
    <row r="467" spans="1:23" x14ac:dyDescent="0.5">
      <c r="A467" s="54">
        <v>466</v>
      </c>
      <c r="B467" s="90" t="s">
        <v>308</v>
      </c>
      <c r="C467" t="s">
        <v>293</v>
      </c>
      <c r="D467" s="1"/>
      <c r="E467" s="112">
        <v>2002.07</v>
      </c>
      <c r="F467" s="112">
        <v>2014.11</v>
      </c>
      <c r="G467" s="107" t="s">
        <v>670</v>
      </c>
      <c r="H467">
        <f>INDEX('GIS-Standards'!$A$2:$A$305,MATCH(B467,'GIS-Standards'!$B$2:$B$305,0))</f>
        <v>19</v>
      </c>
      <c r="I467">
        <f>INDEX('GIS-Standards'!$A$2:$A$305,MATCH(C467,'GIS-Standards'!$B$2:$B$305,0))</f>
        <v>10</v>
      </c>
      <c r="J467" t="str">
        <f>INDEX('GIS-Standards'!$O$2:$O$305,MATCH(B467,'GIS-Standards'!$B$2:$B$305,0))</f>
        <v>ISO/TC 211</v>
      </c>
      <c r="K467" t="str">
        <f>INDEX('GIS-Standards'!$O$2:$O$305,MATCH(C467,'GIS-Standards'!$B$2:$B$305,0))</f>
        <v>ISO/TC 211</v>
      </c>
      <c r="M467" t="s">
        <v>525</v>
      </c>
      <c r="N467">
        <f>INDEX('GIS-Standards'!$I$2:$I$305,MATCH(B467,'GIS-Standards'!$B$2:$B$305,0))</f>
        <v>0</v>
      </c>
      <c r="O467">
        <f>INDEX('GIS-Standards'!$I$2:$I$305,MATCH(C467,'GIS-Standards'!$B$2:$B$305,0))</f>
        <v>0</v>
      </c>
      <c r="P467" t="b">
        <f>AND(TableRelationships12[[#This Row],[Source Type]]="BIM",TableRelationships12[[#This Row],[Target Type]]="BIM")</f>
        <v>0</v>
      </c>
      <c r="Q467">
        <f t="shared" si="21"/>
        <v>1</v>
      </c>
      <c r="S467">
        <f t="shared" si="22"/>
        <v>1</v>
      </c>
      <c r="T467" s="102" t="str">
        <f>IF(TableRelationships12[[#This Row],[Rank Pedro]]="Low","linkCategory1",IF(TableRelationships12[[#This Row],[Rank Pedro]]="Medium","linkCategory2",IF(TableRelationships12[[#This Row],[Rank Pedro]]="High","linkCategory3","")))</f>
        <v/>
      </c>
      <c r="U467" s="102" t="str">
        <f>IF(TableRelationships12[[#This Row],[Rank Pedro]]="Low","Pink",IF(TableRelationships12[[#This Row],[Rank Pedro]]="Medium","Purple",IF(TableRelationships12[[#This Row],[Rank Pedro]]="High","Brown","")))</f>
        <v/>
      </c>
      <c r="V467" s="4">
        <f>MAX(INDEX(Standards!$F$2:$F$296,MATCH(B467,Standards!$B$2:$B$296,0)),INDEX(Standards!$F$2:$F$296,MATCH(C467,Standards!$B$2:$B$296,0)))</f>
        <v>38384</v>
      </c>
      <c r="W467" t="str">
        <f t="shared" si="23"/>
        <v>#2f89d1</v>
      </c>
    </row>
    <row r="468" spans="1:23" x14ac:dyDescent="0.5">
      <c r="A468" s="54">
        <v>467</v>
      </c>
      <c r="B468" s="90" t="s">
        <v>308</v>
      </c>
      <c r="C468" t="s">
        <v>302</v>
      </c>
      <c r="D468" s="1"/>
      <c r="E468" s="112">
        <v>2003.05</v>
      </c>
      <c r="F468" s="112">
        <v>2019.12</v>
      </c>
      <c r="G468" s="107" t="s">
        <v>670</v>
      </c>
      <c r="H468">
        <f>INDEX('GIS-Standards'!$A$2:$A$305,MATCH(B468,'GIS-Standards'!$B$2:$B$305,0))</f>
        <v>19</v>
      </c>
      <c r="I468">
        <f>INDEX('GIS-Standards'!$A$2:$A$305,MATCH(C468,'GIS-Standards'!$B$2:$B$305,0))</f>
        <v>16</v>
      </c>
      <c r="J468" t="str">
        <f>INDEX('GIS-Standards'!$O$2:$O$305,MATCH(B468,'GIS-Standards'!$B$2:$B$305,0))</f>
        <v>ISO/TC 211</v>
      </c>
      <c r="K468" t="str">
        <f>INDEX('GIS-Standards'!$O$2:$O$305,MATCH(C468,'GIS-Standards'!$B$2:$B$305,0))</f>
        <v>ISO/TC 211</v>
      </c>
      <c r="M468" t="s">
        <v>525</v>
      </c>
      <c r="N468">
        <f>INDEX('GIS-Standards'!$I$2:$I$305,MATCH(B468,'GIS-Standards'!$B$2:$B$305,0))</f>
        <v>0</v>
      </c>
      <c r="O468">
        <f>INDEX('GIS-Standards'!$I$2:$I$305,MATCH(C468,'GIS-Standards'!$B$2:$B$305,0))</f>
        <v>0</v>
      </c>
      <c r="P468" t="b">
        <f>AND(TableRelationships12[[#This Row],[Source Type]]="BIM",TableRelationships12[[#This Row],[Target Type]]="BIM")</f>
        <v>0</v>
      </c>
      <c r="Q468">
        <f t="shared" si="21"/>
        <v>1</v>
      </c>
      <c r="S468">
        <f t="shared" si="22"/>
        <v>1</v>
      </c>
      <c r="T468" s="102" t="str">
        <f>IF(TableRelationships12[[#This Row],[Rank Pedro]]="Low","linkCategory1",IF(TableRelationships12[[#This Row],[Rank Pedro]]="Medium","linkCategory2",IF(TableRelationships12[[#This Row],[Rank Pedro]]="High","linkCategory3","")))</f>
        <v/>
      </c>
      <c r="U468" s="102" t="str">
        <f>IF(TableRelationships12[[#This Row],[Rank Pedro]]="Low","Pink",IF(TableRelationships12[[#This Row],[Rank Pedro]]="Medium","Purple",IF(TableRelationships12[[#This Row],[Rank Pedro]]="High","Brown","")))</f>
        <v/>
      </c>
      <c r="V468" s="4">
        <f>MAX(INDEX(Standards!$F$2:$F$296,MATCH(B468,Standards!$B$2:$B$296,0)),INDEX(Standards!$F$2:$F$296,MATCH(C468,Standards!$B$2:$B$296,0)))</f>
        <v>38384</v>
      </c>
      <c r="W468" t="str">
        <f t="shared" si="23"/>
        <v>#2f89d1</v>
      </c>
    </row>
    <row r="469" spans="1:23" x14ac:dyDescent="0.5">
      <c r="A469" s="54">
        <v>468</v>
      </c>
      <c r="B469" s="90" t="s">
        <v>308</v>
      </c>
      <c r="C469" t="s">
        <v>304</v>
      </c>
      <c r="D469" s="1"/>
      <c r="E469" s="112">
        <v>2002.09</v>
      </c>
      <c r="F469" s="112">
        <v>2006.1</v>
      </c>
      <c r="G469" s="107" t="s">
        <v>670</v>
      </c>
      <c r="H469">
        <f>INDEX('GIS-Standards'!$A$2:$A$305,MATCH(B469,'GIS-Standards'!$B$2:$B$305,0))</f>
        <v>19</v>
      </c>
      <c r="I469">
        <f>INDEX('GIS-Standards'!$A$2:$A$305,MATCH(C469,'GIS-Standards'!$B$2:$B$305,0))</f>
        <v>17</v>
      </c>
      <c r="J469" t="str">
        <f>INDEX('GIS-Standards'!$O$2:$O$305,MATCH(B469,'GIS-Standards'!$B$2:$B$305,0))</f>
        <v>ISO/TC 211</v>
      </c>
      <c r="K469" t="str">
        <f>INDEX('GIS-Standards'!$O$2:$O$305,MATCH(C469,'GIS-Standards'!$B$2:$B$305,0))</f>
        <v>ISO/TC 211</v>
      </c>
      <c r="M469" t="s">
        <v>525</v>
      </c>
      <c r="N469">
        <f>INDEX('GIS-Standards'!$I$2:$I$305,MATCH(B469,'GIS-Standards'!$B$2:$B$305,0))</f>
        <v>0</v>
      </c>
      <c r="O469" t="str">
        <f>INDEX('GIS-Standards'!$I$2:$I$305,MATCH(C469,'GIS-Standards'!$B$2:$B$305,0))</f>
        <v>06.2008</v>
      </c>
      <c r="P469" t="b">
        <f>AND(TableRelationships12[[#This Row],[Source Type]]="BIM",TableRelationships12[[#This Row],[Target Type]]="BIM")</f>
        <v>0</v>
      </c>
      <c r="Q469">
        <f t="shared" si="21"/>
        <v>1</v>
      </c>
      <c r="S469">
        <f t="shared" si="22"/>
        <v>1</v>
      </c>
      <c r="T469" s="102" t="str">
        <f>IF(TableRelationships12[[#This Row],[Rank Pedro]]="Low","linkCategory1",IF(TableRelationships12[[#This Row],[Rank Pedro]]="Medium","linkCategory2",IF(TableRelationships12[[#This Row],[Rank Pedro]]="High","linkCategory3","")))</f>
        <v/>
      </c>
      <c r="U469" s="102" t="str">
        <f>IF(TableRelationships12[[#This Row],[Rank Pedro]]="Low","Pink",IF(TableRelationships12[[#This Row],[Rank Pedro]]="Medium","Purple",IF(TableRelationships12[[#This Row],[Rank Pedro]]="High","Brown","")))</f>
        <v/>
      </c>
      <c r="V469" s="4">
        <f>MAX(INDEX(Standards!$F$2:$F$296,MATCH(B469,Standards!$B$2:$B$296,0)),INDEX(Standards!$F$2:$F$296,MATCH(C469,Standards!$B$2:$B$296,0)))</f>
        <v>38384</v>
      </c>
      <c r="W469" t="str">
        <f t="shared" si="23"/>
        <v>#2f89d1</v>
      </c>
    </row>
    <row r="470" spans="1:23" x14ac:dyDescent="0.5">
      <c r="A470" s="54">
        <v>469</v>
      </c>
      <c r="B470" s="90" t="s">
        <v>308</v>
      </c>
      <c r="C470" t="s">
        <v>1044</v>
      </c>
      <c r="D470" s="1"/>
      <c r="E470" s="112">
        <v>2005.06</v>
      </c>
      <c r="F470" s="112">
        <v>2012.12</v>
      </c>
      <c r="G470" s="107" t="s">
        <v>670</v>
      </c>
      <c r="H470">
        <f>INDEX('GIS-Standards'!$A$2:$A$305,MATCH(B470,'GIS-Standards'!$B$2:$B$305,0))</f>
        <v>19</v>
      </c>
      <c r="I470">
        <f>INDEX('GIS-Standards'!$A$2:$A$305,MATCH(C470,'GIS-Standards'!$B$2:$B$305,0))</f>
        <v>26</v>
      </c>
      <c r="J470" t="str">
        <f>INDEX('GIS-Standards'!$O$2:$O$305,MATCH(B470,'GIS-Standards'!$B$2:$B$305,0))</f>
        <v>ISO/TC 211</v>
      </c>
      <c r="K470" t="str">
        <f>INDEX('GIS-Standards'!$O$2:$O$305,MATCH(C470,'GIS-Standards'!$B$2:$B$305,0))</f>
        <v>ISO/TC 211</v>
      </c>
      <c r="M470" t="s">
        <v>525</v>
      </c>
      <c r="N470">
        <f>INDEX('GIS-Standards'!$I$2:$I$305,MATCH(B470,'GIS-Standards'!$B$2:$B$305,0))</f>
        <v>0</v>
      </c>
      <c r="O470">
        <f>INDEX('GIS-Standards'!$I$2:$I$305,MATCH(C470,'GIS-Standards'!$B$2:$B$305,0))</f>
        <v>0</v>
      </c>
      <c r="P470" t="b">
        <f>AND(TableRelationships12[[#This Row],[Source Type]]="BIM",TableRelationships12[[#This Row],[Target Type]]="BIM")</f>
        <v>0</v>
      </c>
      <c r="Q470">
        <f t="shared" si="21"/>
        <v>1</v>
      </c>
      <c r="S470">
        <f t="shared" si="22"/>
        <v>1</v>
      </c>
      <c r="T470" s="102" t="str">
        <f>IF(TableRelationships12[[#This Row],[Rank Pedro]]="Low","linkCategory1",IF(TableRelationships12[[#This Row],[Rank Pedro]]="Medium","linkCategory2",IF(TableRelationships12[[#This Row],[Rank Pedro]]="High","linkCategory3","")))</f>
        <v/>
      </c>
      <c r="U470" s="102" t="str">
        <f>IF(TableRelationships12[[#This Row],[Rank Pedro]]="Low","Pink",IF(TableRelationships12[[#This Row],[Rank Pedro]]="Medium","Purple",IF(TableRelationships12[[#This Row],[Rank Pedro]]="High","Brown","")))</f>
        <v/>
      </c>
      <c r="V470" s="4" t="e">
        <f>MAX(INDEX(Standards!$F$2:$F$296,MATCH(B470,Standards!$B$2:$B$296,0)),INDEX(Standards!$F$2:$F$296,MATCH(C470,Standards!$B$2:$B$296,0)))</f>
        <v>#N/A</v>
      </c>
      <c r="W470" t="str">
        <f t="shared" si="23"/>
        <v>#2f89d1</v>
      </c>
    </row>
    <row r="471" spans="1:23" x14ac:dyDescent="0.5">
      <c r="A471" s="54">
        <v>470</v>
      </c>
      <c r="B471" s="90" t="s">
        <v>308</v>
      </c>
      <c r="C471" t="s">
        <v>322</v>
      </c>
      <c r="D471" s="1"/>
      <c r="E471" s="112">
        <v>2009.11</v>
      </c>
      <c r="F471" s="112">
        <v>2021.05</v>
      </c>
      <c r="G471" s="107" t="s">
        <v>670</v>
      </c>
      <c r="H471">
        <f>INDEX('GIS-Standards'!$A$2:$A$305,MATCH(B471,'GIS-Standards'!$B$2:$B$305,0))</f>
        <v>19</v>
      </c>
      <c r="I471">
        <f>INDEX('GIS-Standards'!$A$2:$A$305,MATCH(C471,'GIS-Standards'!$B$2:$B$305,0))</f>
        <v>33</v>
      </c>
      <c r="J471" t="str">
        <f>INDEX('GIS-Standards'!$O$2:$O$305,MATCH(B471,'GIS-Standards'!$B$2:$B$305,0))</f>
        <v>ISO/TC 211</v>
      </c>
      <c r="K471" t="str">
        <f>INDEX('GIS-Standards'!$O$2:$O$305,MATCH(C471,'GIS-Standards'!$B$2:$B$305,0))</f>
        <v>ISO/TC 211</v>
      </c>
      <c r="M471" t="s">
        <v>525</v>
      </c>
      <c r="N471">
        <f>INDEX('GIS-Standards'!$I$2:$I$305,MATCH(B471,'GIS-Standards'!$B$2:$B$305,0))</f>
        <v>0</v>
      </c>
      <c r="O471">
        <f>INDEX('GIS-Standards'!$I$2:$I$305,MATCH(C471,'GIS-Standards'!$B$2:$B$305,0))</f>
        <v>0</v>
      </c>
      <c r="P471" t="b">
        <f>AND(TableRelationships12[[#This Row],[Source Type]]="BIM",TableRelationships12[[#This Row],[Target Type]]="BIM")</f>
        <v>0</v>
      </c>
      <c r="Q471">
        <f t="shared" si="21"/>
        <v>1</v>
      </c>
      <c r="S471">
        <f t="shared" si="22"/>
        <v>1</v>
      </c>
      <c r="T471" s="102" t="str">
        <f>IF(TableRelationships12[[#This Row],[Rank Pedro]]="Low","linkCategory1",IF(TableRelationships12[[#This Row],[Rank Pedro]]="Medium","linkCategory2",IF(TableRelationships12[[#This Row],[Rank Pedro]]="High","linkCategory3","")))</f>
        <v/>
      </c>
      <c r="U471" s="102" t="str">
        <f>IF(TableRelationships12[[#This Row],[Rank Pedro]]="Low","Pink",IF(TableRelationships12[[#This Row],[Rank Pedro]]="Medium","Purple",IF(TableRelationships12[[#This Row],[Rank Pedro]]="High","Brown","")))</f>
        <v/>
      </c>
      <c r="V471" s="4">
        <f>MAX(INDEX(Standards!$F$2:$F$296,MATCH(B471,Standards!$B$2:$B$296,0)),INDEX(Standards!$F$2:$F$296,MATCH(C471,Standards!$B$2:$B$296,0)))</f>
        <v>40118</v>
      </c>
      <c r="W471" t="str">
        <f t="shared" si="23"/>
        <v>#2f89d1</v>
      </c>
    </row>
    <row r="472" spans="1:23" x14ac:dyDescent="0.5">
      <c r="A472" s="54">
        <v>471</v>
      </c>
      <c r="B472" s="90" t="s">
        <v>308</v>
      </c>
      <c r="C472" t="s">
        <v>334</v>
      </c>
      <c r="D472" s="1" t="s">
        <v>1036</v>
      </c>
      <c r="E472" s="113">
        <v>2007.09</v>
      </c>
      <c r="F472" s="113">
        <v>2020.01</v>
      </c>
      <c r="G472" s="107" t="s">
        <v>670</v>
      </c>
      <c r="H472">
        <f>INDEX('GIS-Standards'!$A$2:$A$305,MATCH(B472,'GIS-Standards'!$B$2:$B$305,0))</f>
        <v>19</v>
      </c>
      <c r="I472">
        <f>INDEX('GIS-Standards'!$A$2:$A$305,MATCH(C472,'GIS-Standards'!$B$2:$B$305,0))</f>
        <v>42</v>
      </c>
      <c r="J472" t="str">
        <f>INDEX('GIS-Standards'!$O$2:$O$305,MATCH(B472,'GIS-Standards'!$B$2:$B$305,0))</f>
        <v>ISO/TC 211</v>
      </c>
      <c r="K472" t="str">
        <f>INDEX('GIS-Standards'!$O$2:$O$305,MATCH(C472,'GIS-Standards'!$B$2:$B$305,0))</f>
        <v>ISO/TC 211</v>
      </c>
      <c r="M472" t="s">
        <v>525</v>
      </c>
      <c r="N472">
        <f>INDEX('GIS-Standards'!$I$2:$I$305,MATCH(B472,'GIS-Standards'!$B$2:$B$305,0))</f>
        <v>0</v>
      </c>
      <c r="O472">
        <f>INDEX('GIS-Standards'!$I$2:$I$305,MATCH(C472,'GIS-Standards'!$B$2:$B$305,0))</f>
        <v>0</v>
      </c>
      <c r="P472" t="b">
        <f>AND(TableRelationships12[[#This Row],[Source Type]]="BIM",TableRelationships12[[#This Row],[Target Type]]="BIM")</f>
        <v>0</v>
      </c>
      <c r="Q472">
        <f t="shared" si="21"/>
        <v>1</v>
      </c>
      <c r="S472">
        <f t="shared" si="22"/>
        <v>1</v>
      </c>
      <c r="T472" s="102" t="str">
        <f>IF(TableRelationships12[[#This Row],[Rank Pedro]]="Low","linkCategory1",IF(TableRelationships12[[#This Row],[Rank Pedro]]="Medium","linkCategory2",IF(TableRelationships12[[#This Row],[Rank Pedro]]="High","linkCategory3","")))</f>
        <v/>
      </c>
      <c r="U472" s="102" t="str">
        <f>IF(TableRelationships12[[#This Row],[Rank Pedro]]="Low","Pink",IF(TableRelationships12[[#This Row],[Rank Pedro]]="Medium","Purple",IF(TableRelationships12[[#This Row],[Rank Pedro]]="High","Brown","")))</f>
        <v/>
      </c>
      <c r="V472" s="4">
        <f>MAX(INDEX(Standards!$F$2:$F$296,MATCH(B472,Standards!$B$2:$B$296,0)),INDEX(Standards!$F$2:$F$296,MATCH(C472,Standards!$B$2:$B$296,0)))</f>
        <v>39326</v>
      </c>
      <c r="W472" t="str">
        <f t="shared" si="23"/>
        <v>#2f89d1</v>
      </c>
    </row>
    <row r="473" spans="1:23" x14ac:dyDescent="0.5">
      <c r="A473" s="54">
        <v>472</v>
      </c>
      <c r="B473" s="90" t="s">
        <v>308</v>
      </c>
      <c r="C473" t="s">
        <v>1434</v>
      </c>
      <c r="D473" s="1"/>
      <c r="G473" s="107"/>
      <c r="H473">
        <f>INDEX('GIS-Standards'!$A$2:$A$305,MATCH(B473,'GIS-Standards'!$B$2:$B$305,0))</f>
        <v>19</v>
      </c>
      <c r="I473" t="e">
        <f>INDEX('GIS-Standards'!$A$2:$A$305,MATCH(C473,'GIS-Standards'!$B$2:$B$305,0))</f>
        <v>#N/A</v>
      </c>
      <c r="J473" t="str">
        <f>INDEX('GIS-Standards'!$O$2:$O$305,MATCH(B473,'GIS-Standards'!$B$2:$B$305,0))</f>
        <v>ISO/TC 211</v>
      </c>
      <c r="K473" t="e">
        <f>INDEX('GIS-Standards'!$O$2:$O$305,MATCH(C473,'GIS-Standards'!$B$2:$B$305,0))</f>
        <v>#N/A</v>
      </c>
      <c r="M473" t="s">
        <v>525</v>
      </c>
      <c r="N473">
        <f>INDEX('GIS-Standards'!$I$2:$I$305,MATCH(B473,'GIS-Standards'!$B$2:$B$305,0))</f>
        <v>0</v>
      </c>
      <c r="O473" t="e">
        <f>INDEX('GIS-Standards'!$I$2:$I$305,MATCH(C473,'GIS-Standards'!$B$2:$B$305,0))</f>
        <v>#N/A</v>
      </c>
      <c r="P473" t="e">
        <f>AND(TableRelationships12[[#This Row],[Source Type]]="BIM",TableRelationships12[[#This Row],[Target Type]]="BIM")</f>
        <v>#N/A</v>
      </c>
      <c r="Q473">
        <f t="shared" si="21"/>
        <v>1</v>
      </c>
      <c r="S473">
        <f t="shared" si="22"/>
        <v>1</v>
      </c>
      <c r="T473" s="102" t="str">
        <f>IF(TableRelationships12[[#This Row],[Rank Pedro]]="Low","linkCategory1",IF(TableRelationships12[[#This Row],[Rank Pedro]]="Medium","linkCategory2",IF(TableRelationships12[[#This Row],[Rank Pedro]]="High","linkCategory3","")))</f>
        <v/>
      </c>
      <c r="U473" s="102" t="str">
        <f>IF(TableRelationships12[[#This Row],[Rank Pedro]]="Low","Pink",IF(TableRelationships12[[#This Row],[Rank Pedro]]="Medium","Purple",IF(TableRelationships12[[#This Row],[Rank Pedro]]="High","Brown","")))</f>
        <v/>
      </c>
      <c r="V473" s="4" t="e">
        <f>MAX(INDEX(Standards!$F$2:$F$296,MATCH(B473,Standards!$B$2:$B$296,0)),INDEX(Standards!$F$2:$F$296,MATCH(C473,Standards!$B$2:$B$296,0)))</f>
        <v>#N/A</v>
      </c>
      <c r="W473" t="str">
        <f t="shared" si="23"/>
        <v>#2f89d1</v>
      </c>
    </row>
    <row r="474" spans="1:23" x14ac:dyDescent="0.5">
      <c r="A474" s="54">
        <v>473</v>
      </c>
      <c r="B474" s="90" t="s">
        <v>308</v>
      </c>
      <c r="C474" t="s">
        <v>1178</v>
      </c>
      <c r="D474" s="1"/>
      <c r="E474" s="112">
        <v>1998.08</v>
      </c>
      <c r="G474" s="107"/>
      <c r="H474">
        <f>INDEX('GIS-Standards'!$A$2:$A$305,MATCH(B474,'GIS-Standards'!$B$2:$B$305,0))</f>
        <v>19</v>
      </c>
      <c r="I474" t="e">
        <f>INDEX('GIS-Standards'!$A$2:$A$305,MATCH(C474,'GIS-Standards'!$B$2:$B$305,0))</f>
        <v>#N/A</v>
      </c>
      <c r="J474" t="str">
        <f>INDEX('GIS-Standards'!$O$2:$O$305,MATCH(B474,'GIS-Standards'!$B$2:$B$305,0))</f>
        <v>ISO/TC 211</v>
      </c>
      <c r="K474" t="e">
        <f>INDEX('GIS-Standards'!$O$2:$O$305,MATCH(C474,'GIS-Standards'!$B$2:$B$305,0))</f>
        <v>#N/A</v>
      </c>
      <c r="M474" t="s">
        <v>525</v>
      </c>
      <c r="N474">
        <f>INDEX('GIS-Standards'!$I$2:$I$305,MATCH(B474,'GIS-Standards'!$B$2:$B$305,0))</f>
        <v>0</v>
      </c>
      <c r="O474" t="e">
        <f>INDEX('GIS-Standards'!$I$2:$I$305,MATCH(C474,'GIS-Standards'!$B$2:$B$305,0))</f>
        <v>#N/A</v>
      </c>
      <c r="P474" t="e">
        <f>AND(TableRelationships12[[#This Row],[Source Type]]="BIM",TableRelationships12[[#This Row],[Target Type]]="BIM")</f>
        <v>#N/A</v>
      </c>
      <c r="Q474">
        <f t="shared" si="21"/>
        <v>1</v>
      </c>
      <c r="S474">
        <f t="shared" si="22"/>
        <v>1</v>
      </c>
      <c r="T474" s="102" t="str">
        <f>IF(TableRelationships12[[#This Row],[Rank Pedro]]="Low","linkCategory1",IF(TableRelationships12[[#This Row],[Rank Pedro]]="Medium","linkCategory2",IF(TableRelationships12[[#This Row],[Rank Pedro]]="High","linkCategory3","")))</f>
        <v/>
      </c>
      <c r="U474" s="102" t="str">
        <f>IF(TableRelationships12[[#This Row],[Rank Pedro]]="Low","Pink",IF(TableRelationships12[[#This Row],[Rank Pedro]]="Medium","Purple",IF(TableRelationships12[[#This Row],[Rank Pedro]]="High","Brown","")))</f>
        <v/>
      </c>
      <c r="V474" s="4" t="e">
        <f>MAX(INDEX(Standards!$F$2:$F$296,MATCH(B474,Standards!$B$2:$B$296,0)),INDEX(Standards!$F$2:$F$296,MATCH(C474,Standards!$B$2:$B$296,0)))</f>
        <v>#N/A</v>
      </c>
      <c r="W474" t="str">
        <f t="shared" si="23"/>
        <v>#2f89d1</v>
      </c>
    </row>
    <row r="475" spans="1:23" x14ac:dyDescent="0.5">
      <c r="A475" s="54">
        <v>474</v>
      </c>
      <c r="B475" s="90" t="s">
        <v>310</v>
      </c>
      <c r="C475" t="s">
        <v>527</v>
      </c>
      <c r="D475" s="1"/>
      <c r="E475" s="112" t="s">
        <v>939</v>
      </c>
      <c r="F475" s="112" t="s">
        <v>940</v>
      </c>
      <c r="G475" s="121" t="s">
        <v>670</v>
      </c>
      <c r="H475">
        <f>INDEX('GIS-Standards'!$A$2:$A$305,MATCH(B475,'GIS-Standards'!$B$2:$B$305,0))</f>
        <v>20</v>
      </c>
      <c r="I475" t="e">
        <f>INDEX('GIS-Standards'!$A$2:$A$305,MATCH(C475,'GIS-Standards'!$B$2:$B$305,0))</f>
        <v>#N/A</v>
      </c>
      <c r="J475" t="str">
        <f>INDEX('GIS-Standards'!$O$2:$O$305,MATCH(B475,'GIS-Standards'!$B$2:$B$305,0))</f>
        <v>ISO/TC 211</v>
      </c>
      <c r="K475" t="e">
        <f>INDEX('GIS-Standards'!$O$2:$O$305,MATCH(C475,'GIS-Standards'!$B$2:$B$305,0))</f>
        <v>#N/A</v>
      </c>
      <c r="M475" t="s">
        <v>237</v>
      </c>
      <c r="N475" t="str">
        <f>INDEX('GIS-Standards'!$I$2:$I$305,MATCH(B475,'GIS-Standards'!$B$2:$B$305,0))</f>
        <v>08.2023</v>
      </c>
      <c r="O475" t="e">
        <f>INDEX('GIS-Standards'!$I$2:$I$305,MATCH(C475,'GIS-Standards'!$B$2:$B$305,0))</f>
        <v>#N/A</v>
      </c>
      <c r="P475" t="e">
        <f>AND(TableRelationships12[[#This Row],[Source Type]]="BIM",TableRelationships12[[#This Row],[Target Type]]="BIM")</f>
        <v>#N/A</v>
      </c>
      <c r="Q475">
        <f t="shared" si="21"/>
        <v>2</v>
      </c>
      <c r="S475">
        <f t="shared" si="22"/>
        <v>1</v>
      </c>
      <c r="T475" s="102" t="str">
        <f>IF(TableRelationships12[[#This Row],[Rank Pedro]]="Low","linkCategory1",IF(TableRelationships12[[#This Row],[Rank Pedro]]="Medium","linkCategory2",IF(TableRelationships12[[#This Row],[Rank Pedro]]="High","linkCategory3","")))</f>
        <v/>
      </c>
      <c r="U475" s="102" t="str">
        <f>IF(TableRelationships12[[#This Row],[Rank Pedro]]="Low","Pink",IF(TableRelationships12[[#This Row],[Rank Pedro]]="Medium","Purple",IF(TableRelationships12[[#This Row],[Rank Pedro]]="High","Brown","")))</f>
        <v/>
      </c>
      <c r="V475" s="4">
        <f>MAX(INDEX(Standards!$F$2:$F$296,MATCH(B475,Standards!$B$2:$B$296,0)),INDEX(Standards!$F$2:$F$296,MATCH(C475,Standards!$B$2:$B$296,0)))</f>
        <v>37653</v>
      </c>
      <c r="W475">
        <f t="shared" si="23"/>
        <v>1</v>
      </c>
    </row>
    <row r="476" spans="1:23" x14ac:dyDescent="0.5">
      <c r="A476" s="54">
        <v>475</v>
      </c>
      <c r="B476" s="90" t="s">
        <v>310</v>
      </c>
      <c r="C476" t="s">
        <v>296</v>
      </c>
      <c r="D476" s="1"/>
      <c r="E476" s="112">
        <v>2005.07</v>
      </c>
      <c r="F476" s="112">
        <v>2024.09</v>
      </c>
      <c r="G476" s="107" t="s">
        <v>670</v>
      </c>
      <c r="H476">
        <f>INDEX('GIS-Standards'!$A$2:$A$305,MATCH(B476,'GIS-Standards'!$B$2:$B$305,0))</f>
        <v>20</v>
      </c>
      <c r="I476">
        <f>INDEX('GIS-Standards'!$A$2:$A$305,MATCH(C476,'GIS-Standards'!$B$2:$B$305,0))</f>
        <v>12</v>
      </c>
      <c r="J476" t="str">
        <f>INDEX('GIS-Standards'!$O$2:$O$305,MATCH(B476,'GIS-Standards'!$B$2:$B$305,0))</f>
        <v>ISO/TC 211</v>
      </c>
      <c r="K476" t="str">
        <f>INDEX('GIS-Standards'!$O$2:$O$305,MATCH(C476,'GIS-Standards'!$B$2:$B$305,0))</f>
        <v>ISO/TC 211</v>
      </c>
      <c r="M476" t="s">
        <v>524</v>
      </c>
      <c r="N476" t="str">
        <f>INDEX('GIS-Standards'!$I$2:$I$305,MATCH(B476,'GIS-Standards'!$B$2:$B$305,0))</f>
        <v>08.2023</v>
      </c>
      <c r="O476">
        <f>INDEX('GIS-Standards'!$I$2:$I$305,MATCH(C476,'GIS-Standards'!$B$2:$B$305,0))</f>
        <v>0</v>
      </c>
      <c r="P476" t="b">
        <f>AND(TableRelationships12[[#This Row],[Source Type]]="BIM",TableRelationships12[[#This Row],[Target Type]]="BIM")</f>
        <v>0</v>
      </c>
      <c r="Q476">
        <f t="shared" si="21"/>
        <v>6</v>
      </c>
      <c r="S476">
        <f t="shared" si="22"/>
        <v>1</v>
      </c>
      <c r="T476" s="102" t="str">
        <f>IF(TableRelationships12[[#This Row],[Rank Pedro]]="Low","linkCategory1",IF(TableRelationships12[[#This Row],[Rank Pedro]]="Medium","linkCategory2",IF(TableRelationships12[[#This Row],[Rank Pedro]]="High","linkCategory3","")))</f>
        <v/>
      </c>
      <c r="U476" s="102" t="str">
        <f>IF(TableRelationships12[[#This Row],[Rank Pedro]]="Low","Pink",IF(TableRelationships12[[#This Row],[Rank Pedro]]="Medium","Purple",IF(TableRelationships12[[#This Row],[Rank Pedro]]="High","Brown","")))</f>
        <v/>
      </c>
      <c r="V476" s="4">
        <f>MAX(INDEX(Standards!$F$2:$F$296,MATCH(B476,Standards!$B$2:$B$296,0)),INDEX(Standards!$F$2:$F$296,MATCH(C476,Standards!$B$2:$B$296,0)))</f>
        <v>38534</v>
      </c>
      <c r="W476" t="str">
        <f t="shared" si="23"/>
        <v>#d6bf2a</v>
      </c>
    </row>
    <row r="477" spans="1:23" x14ac:dyDescent="0.5">
      <c r="A477" s="54">
        <v>476</v>
      </c>
      <c r="B477" s="90" t="s">
        <v>310</v>
      </c>
      <c r="C477" t="s">
        <v>314</v>
      </c>
      <c r="D477" s="1"/>
      <c r="E477" s="112">
        <v>2003.05</v>
      </c>
      <c r="F477" s="112">
        <v>2020.11</v>
      </c>
      <c r="G477" s="107" t="s">
        <v>670</v>
      </c>
      <c r="H477">
        <f>INDEX('GIS-Standards'!$A$2:$A$305,MATCH(B477,'GIS-Standards'!$B$2:$B$305,0))</f>
        <v>20</v>
      </c>
      <c r="I477">
        <f>INDEX('GIS-Standards'!$A$2:$A$305,MATCH(C477,'GIS-Standards'!$B$2:$B$305,0))</f>
        <v>22</v>
      </c>
      <c r="J477" t="str">
        <f>INDEX('GIS-Standards'!$O$2:$O$305,MATCH(B477,'GIS-Standards'!$B$2:$B$305,0))</f>
        <v>ISO/TC 211</v>
      </c>
      <c r="K477" t="str">
        <f>INDEX('GIS-Standards'!$O$2:$O$305,MATCH(C477,'GIS-Standards'!$B$2:$B$305,0))</f>
        <v>ISO/TC 211</v>
      </c>
      <c r="M477" t="s">
        <v>524</v>
      </c>
      <c r="N477" t="str">
        <f>INDEX('GIS-Standards'!$I$2:$I$305,MATCH(B477,'GIS-Standards'!$B$2:$B$305,0))</f>
        <v>08.2023</v>
      </c>
      <c r="O477" t="str">
        <f>INDEX('GIS-Standards'!$I$2:$I$305,MATCH(C477,'GIS-Standards'!$B$2:$B$305,0))</f>
        <v>12.2020</v>
      </c>
      <c r="P477" t="b">
        <f>AND(TableRelationships12[[#This Row],[Source Type]]="BIM",TableRelationships12[[#This Row],[Target Type]]="BIM")</f>
        <v>0</v>
      </c>
      <c r="Q477">
        <f t="shared" si="21"/>
        <v>6</v>
      </c>
      <c r="S477">
        <f t="shared" si="22"/>
        <v>1</v>
      </c>
      <c r="T477" s="102" t="str">
        <f>IF(TableRelationships12[[#This Row],[Rank Pedro]]="Low","linkCategory1",IF(TableRelationships12[[#This Row],[Rank Pedro]]="Medium","linkCategory2",IF(TableRelationships12[[#This Row],[Rank Pedro]]="High","linkCategory3","")))</f>
        <v/>
      </c>
      <c r="U477" s="102" t="str">
        <f>IF(TableRelationships12[[#This Row],[Rank Pedro]]="Low","Pink",IF(TableRelationships12[[#This Row],[Rank Pedro]]="Medium","Purple",IF(TableRelationships12[[#This Row],[Rank Pedro]]="High","Brown","")))</f>
        <v/>
      </c>
      <c r="V477" s="4">
        <f>MAX(INDEX(Standards!$F$2:$F$296,MATCH(B477,Standards!$B$2:$B$296,0)),INDEX(Standards!$F$2:$F$296,MATCH(C477,Standards!$B$2:$B$296,0)))</f>
        <v>37742</v>
      </c>
      <c r="W477" t="str">
        <f t="shared" si="23"/>
        <v>#d6bf2a</v>
      </c>
    </row>
    <row r="478" spans="1:23" x14ac:dyDescent="0.5">
      <c r="A478" s="54">
        <v>477</v>
      </c>
      <c r="B478" s="90" t="s">
        <v>310</v>
      </c>
      <c r="C478" t="s">
        <v>302</v>
      </c>
      <c r="D478" s="1"/>
      <c r="E478" s="112">
        <v>2003.05</v>
      </c>
      <c r="F478" s="112">
        <v>2019.12</v>
      </c>
      <c r="G478" s="107" t="s">
        <v>670</v>
      </c>
      <c r="H478">
        <f>INDEX('GIS-Standards'!$A$2:$A$305,MATCH(B478,'GIS-Standards'!$B$2:$B$305,0))</f>
        <v>20</v>
      </c>
      <c r="I478">
        <f>INDEX('GIS-Standards'!$A$2:$A$305,MATCH(C478,'GIS-Standards'!$B$2:$B$305,0))</f>
        <v>16</v>
      </c>
      <c r="J478" t="str">
        <f>INDEX('GIS-Standards'!$O$2:$O$305,MATCH(B478,'GIS-Standards'!$B$2:$B$305,0))</f>
        <v>ISO/TC 211</v>
      </c>
      <c r="K478" t="str">
        <f>INDEX('GIS-Standards'!$O$2:$O$305,MATCH(C478,'GIS-Standards'!$B$2:$B$305,0))</f>
        <v>ISO/TC 211</v>
      </c>
      <c r="M478" t="s">
        <v>525</v>
      </c>
      <c r="N478" t="str">
        <f>INDEX('GIS-Standards'!$I$2:$I$305,MATCH(B478,'GIS-Standards'!$B$2:$B$305,0))</f>
        <v>08.2023</v>
      </c>
      <c r="O478">
        <f>INDEX('GIS-Standards'!$I$2:$I$305,MATCH(C478,'GIS-Standards'!$B$2:$B$305,0))</f>
        <v>0</v>
      </c>
      <c r="P478" t="b">
        <f>AND(TableRelationships12[[#This Row],[Source Type]]="BIM",TableRelationships12[[#This Row],[Target Type]]="BIM")</f>
        <v>0</v>
      </c>
      <c r="Q478">
        <f t="shared" si="21"/>
        <v>1</v>
      </c>
      <c r="S478">
        <f t="shared" si="22"/>
        <v>1</v>
      </c>
      <c r="T478" s="102" t="str">
        <f>IF(TableRelationships12[[#This Row],[Rank Pedro]]="Low","linkCategory1",IF(TableRelationships12[[#This Row],[Rank Pedro]]="Medium","linkCategory2",IF(TableRelationships12[[#This Row],[Rank Pedro]]="High","linkCategory3","")))</f>
        <v/>
      </c>
      <c r="U478" s="102" t="str">
        <f>IF(TableRelationships12[[#This Row],[Rank Pedro]]="Low","Pink",IF(TableRelationships12[[#This Row],[Rank Pedro]]="Medium","Purple",IF(TableRelationships12[[#This Row],[Rank Pedro]]="High","Brown","")))</f>
        <v/>
      </c>
      <c r="V478" s="4">
        <f>MAX(INDEX(Standards!$F$2:$F$296,MATCH(B478,Standards!$B$2:$B$296,0)),INDEX(Standards!$F$2:$F$296,MATCH(C478,Standards!$B$2:$B$296,0)))</f>
        <v>37742</v>
      </c>
      <c r="W478" t="str">
        <f t="shared" si="23"/>
        <v>#2f89d1</v>
      </c>
    </row>
    <row r="479" spans="1:23" x14ac:dyDescent="0.5">
      <c r="A479" s="54">
        <v>478</v>
      </c>
      <c r="B479" s="90" t="s">
        <v>310</v>
      </c>
      <c r="C479" t="s">
        <v>304</v>
      </c>
      <c r="D479" s="1"/>
      <c r="E479" s="112">
        <v>2002.09</v>
      </c>
      <c r="F479" s="112">
        <v>2006.1</v>
      </c>
      <c r="G479" s="107" t="s">
        <v>670</v>
      </c>
      <c r="H479">
        <f>INDEX('GIS-Standards'!$A$2:$A$305,MATCH(B479,'GIS-Standards'!$B$2:$B$305,0))</f>
        <v>20</v>
      </c>
      <c r="I479">
        <f>INDEX('GIS-Standards'!$A$2:$A$305,MATCH(C479,'GIS-Standards'!$B$2:$B$305,0))</f>
        <v>17</v>
      </c>
      <c r="J479" t="str">
        <f>INDEX('GIS-Standards'!$O$2:$O$305,MATCH(B479,'GIS-Standards'!$B$2:$B$305,0))</f>
        <v>ISO/TC 211</v>
      </c>
      <c r="K479" t="str">
        <f>INDEX('GIS-Standards'!$O$2:$O$305,MATCH(C479,'GIS-Standards'!$B$2:$B$305,0))</f>
        <v>ISO/TC 211</v>
      </c>
      <c r="M479" t="s">
        <v>525</v>
      </c>
      <c r="N479" t="str">
        <f>INDEX('GIS-Standards'!$I$2:$I$305,MATCH(B479,'GIS-Standards'!$B$2:$B$305,0))</f>
        <v>08.2023</v>
      </c>
      <c r="O479" t="str">
        <f>INDEX('GIS-Standards'!$I$2:$I$305,MATCH(C479,'GIS-Standards'!$B$2:$B$305,0))</f>
        <v>06.2008</v>
      </c>
      <c r="P479" t="b">
        <f>AND(TableRelationships12[[#This Row],[Source Type]]="BIM",TableRelationships12[[#This Row],[Target Type]]="BIM")</f>
        <v>0</v>
      </c>
      <c r="Q479">
        <f t="shared" si="21"/>
        <v>1</v>
      </c>
      <c r="S479">
        <f t="shared" si="22"/>
        <v>1</v>
      </c>
      <c r="T479" s="102" t="str">
        <f>IF(TableRelationships12[[#This Row],[Rank Pedro]]="Low","linkCategory1",IF(TableRelationships12[[#This Row],[Rank Pedro]]="Medium","linkCategory2",IF(TableRelationships12[[#This Row],[Rank Pedro]]="High","linkCategory3","")))</f>
        <v/>
      </c>
      <c r="U479" s="102" t="str">
        <f>IF(TableRelationships12[[#This Row],[Rank Pedro]]="Low","Pink",IF(TableRelationships12[[#This Row],[Rank Pedro]]="Medium","Purple",IF(TableRelationships12[[#This Row],[Rank Pedro]]="High","Brown","")))</f>
        <v/>
      </c>
      <c r="V479" s="4">
        <f>MAX(INDEX(Standards!$F$2:$F$296,MATCH(B479,Standards!$B$2:$B$296,0)),INDEX(Standards!$F$2:$F$296,MATCH(C479,Standards!$B$2:$B$296,0)))</f>
        <v>37653</v>
      </c>
      <c r="W479" t="str">
        <f t="shared" si="23"/>
        <v>#2f89d1</v>
      </c>
    </row>
    <row r="480" spans="1:23" x14ac:dyDescent="0.5">
      <c r="A480" s="54">
        <v>479</v>
      </c>
      <c r="B480" s="90" t="s">
        <v>310</v>
      </c>
      <c r="C480" t="s">
        <v>312</v>
      </c>
      <c r="D480" s="1"/>
      <c r="E480" s="112">
        <v>2003.1</v>
      </c>
      <c r="F480" s="112">
        <v>2019.02</v>
      </c>
      <c r="G480" s="107" t="s">
        <v>670</v>
      </c>
      <c r="H480">
        <f>INDEX('GIS-Standards'!$A$2:$A$305,MATCH(B480,'GIS-Standards'!$B$2:$B$305,0))</f>
        <v>20</v>
      </c>
      <c r="I480">
        <f>INDEX('GIS-Standards'!$A$2:$A$305,MATCH(C480,'GIS-Standards'!$B$2:$B$305,0))</f>
        <v>21</v>
      </c>
      <c r="J480" t="str">
        <f>INDEX('GIS-Standards'!$O$2:$O$305,MATCH(B480,'GIS-Standards'!$B$2:$B$305,0))</f>
        <v>ISO/TC 211</v>
      </c>
      <c r="K480" t="str">
        <f>INDEX('GIS-Standards'!$O$2:$O$305,MATCH(C480,'GIS-Standards'!$B$2:$B$305,0))</f>
        <v>ISO/TC 211</v>
      </c>
      <c r="M480" t="s">
        <v>525</v>
      </c>
      <c r="N480" t="str">
        <f>INDEX('GIS-Standards'!$I$2:$I$305,MATCH(B480,'GIS-Standards'!$B$2:$B$305,0))</f>
        <v>08.2023</v>
      </c>
      <c r="O480">
        <f>INDEX('GIS-Standards'!$I$2:$I$305,MATCH(C480,'GIS-Standards'!$B$2:$B$305,0))</f>
        <v>0</v>
      </c>
      <c r="P480" t="b">
        <f>AND(TableRelationships12[[#This Row],[Source Type]]="BIM",TableRelationships12[[#This Row],[Target Type]]="BIM")</f>
        <v>0</v>
      </c>
      <c r="Q480">
        <f t="shared" si="21"/>
        <v>1</v>
      </c>
      <c r="S480">
        <f t="shared" si="22"/>
        <v>1</v>
      </c>
      <c r="T480" s="102" t="str">
        <f>IF(TableRelationships12[[#This Row],[Rank Pedro]]="Low","linkCategory1",IF(TableRelationships12[[#This Row],[Rank Pedro]]="Medium","linkCategory2",IF(TableRelationships12[[#This Row],[Rank Pedro]]="High","linkCategory3","")))</f>
        <v/>
      </c>
      <c r="U480" s="102" t="str">
        <f>IF(TableRelationships12[[#This Row],[Rank Pedro]]="Low","Pink",IF(TableRelationships12[[#This Row],[Rank Pedro]]="Medium","Purple",IF(TableRelationships12[[#This Row],[Rank Pedro]]="High","Brown","")))</f>
        <v/>
      </c>
      <c r="V480" s="4">
        <f>MAX(INDEX(Standards!$F$2:$F$296,MATCH(B480,Standards!$B$2:$B$296,0)),INDEX(Standards!$F$2:$F$296,MATCH(C480,Standards!$B$2:$B$296,0)))</f>
        <v>37895</v>
      </c>
      <c r="W480" t="str">
        <f t="shared" si="23"/>
        <v>#2f89d1</v>
      </c>
    </row>
    <row r="481" spans="1:23" x14ac:dyDescent="0.5">
      <c r="A481" s="54">
        <v>480</v>
      </c>
      <c r="B481" s="90" t="s">
        <v>310</v>
      </c>
      <c r="C481" t="s">
        <v>320</v>
      </c>
      <c r="D481" s="1" t="s">
        <v>1100</v>
      </c>
      <c r="E481" s="112">
        <v>2005.08</v>
      </c>
      <c r="F481" s="112">
        <v>2023.06</v>
      </c>
      <c r="G481" s="107" t="s">
        <v>670</v>
      </c>
      <c r="H481">
        <f>INDEX('GIS-Standards'!$A$2:$A$305,MATCH(B481,'GIS-Standards'!$B$2:$B$305,0))</f>
        <v>20</v>
      </c>
      <c r="I481">
        <f>INDEX('GIS-Standards'!$A$2:$A$305,MATCH(C481,'GIS-Standards'!$B$2:$B$305,0))</f>
        <v>29</v>
      </c>
      <c r="J481" t="str">
        <f>INDEX('GIS-Standards'!$O$2:$O$305,MATCH(B481,'GIS-Standards'!$B$2:$B$305,0))</f>
        <v>ISO/TC 211</v>
      </c>
      <c r="K481" t="str">
        <f>INDEX('GIS-Standards'!$O$2:$O$305,MATCH(C481,'GIS-Standards'!$B$2:$B$305,0))</f>
        <v>ISO/TC 211</v>
      </c>
      <c r="M481" t="s">
        <v>525</v>
      </c>
      <c r="N481" t="str">
        <f>INDEX('GIS-Standards'!$I$2:$I$305,MATCH(B481,'GIS-Standards'!$B$2:$B$305,0))</f>
        <v>08.2023</v>
      </c>
      <c r="O481">
        <f>INDEX('GIS-Standards'!$I$2:$I$305,MATCH(C481,'GIS-Standards'!$B$2:$B$305,0))</f>
        <v>0</v>
      </c>
      <c r="P481" t="b">
        <f>AND(TableRelationships12[[#This Row],[Source Type]]="BIM",TableRelationships12[[#This Row],[Target Type]]="BIM")</f>
        <v>0</v>
      </c>
      <c r="Q481">
        <f t="shared" si="21"/>
        <v>1</v>
      </c>
      <c r="S481">
        <f t="shared" si="22"/>
        <v>1</v>
      </c>
      <c r="T481" s="102" t="str">
        <f>IF(TableRelationships12[[#This Row],[Rank Pedro]]="Low","linkCategory1",IF(TableRelationships12[[#This Row],[Rank Pedro]]="Medium","linkCategory2",IF(TableRelationships12[[#This Row],[Rank Pedro]]="High","linkCategory3","")))</f>
        <v/>
      </c>
      <c r="U481" s="102" t="str">
        <f>IF(TableRelationships12[[#This Row],[Rank Pedro]]="Low","Pink",IF(TableRelationships12[[#This Row],[Rank Pedro]]="Medium","Purple",IF(TableRelationships12[[#This Row],[Rank Pedro]]="High","Brown","")))</f>
        <v/>
      </c>
      <c r="V481" s="4">
        <f>MAX(INDEX(Standards!$F$2:$F$296,MATCH(B481,Standards!$B$2:$B$296,0)),INDEX(Standards!$F$2:$F$296,MATCH(C481,Standards!$B$2:$B$296,0)))</f>
        <v>38565</v>
      </c>
      <c r="W481" t="str">
        <f t="shared" si="23"/>
        <v>#2f89d1</v>
      </c>
    </row>
    <row r="482" spans="1:23" x14ac:dyDescent="0.5">
      <c r="A482" s="54">
        <v>481</v>
      </c>
      <c r="B482" s="90" t="s">
        <v>310</v>
      </c>
      <c r="C482" t="s">
        <v>344</v>
      </c>
      <c r="D482" s="1"/>
      <c r="E482" s="112">
        <v>2012.02</v>
      </c>
      <c r="F482" s="112">
        <v>2021.04</v>
      </c>
      <c r="G482" s="107" t="s">
        <v>670</v>
      </c>
      <c r="H482">
        <f>INDEX('GIS-Standards'!$A$2:$A$305,MATCH(B482,'GIS-Standards'!$B$2:$B$305,0))</f>
        <v>20</v>
      </c>
      <c r="I482">
        <f>INDEX('GIS-Standards'!$A$2:$A$305,MATCH(C482,'GIS-Standards'!$B$2:$B$305,0))</f>
        <v>53</v>
      </c>
      <c r="J482" t="str">
        <f>INDEX('GIS-Standards'!$O$2:$O$305,MATCH(B482,'GIS-Standards'!$B$2:$B$305,0))</f>
        <v>ISO/TC 211</v>
      </c>
      <c r="K482" t="str">
        <f>INDEX('GIS-Standards'!$O$2:$O$305,MATCH(C482,'GIS-Standards'!$B$2:$B$305,0))</f>
        <v>ISO/TC 211</v>
      </c>
      <c r="M482" t="s">
        <v>525</v>
      </c>
      <c r="N482" t="str">
        <f>INDEX('GIS-Standards'!$I$2:$I$305,MATCH(B482,'GIS-Standards'!$B$2:$B$305,0))</f>
        <v>08.2023</v>
      </c>
      <c r="O482">
        <f>INDEX('GIS-Standards'!$I$2:$I$305,MATCH(C482,'GIS-Standards'!$B$2:$B$305,0))</f>
        <v>0</v>
      </c>
      <c r="P482" t="b">
        <f>AND(TableRelationships12[[#This Row],[Source Type]]="BIM",TableRelationships12[[#This Row],[Target Type]]="BIM")</f>
        <v>0</v>
      </c>
      <c r="Q482">
        <f t="shared" si="21"/>
        <v>1</v>
      </c>
      <c r="S482">
        <f t="shared" si="22"/>
        <v>1</v>
      </c>
      <c r="T482" s="102" t="str">
        <f>IF(TableRelationships12[[#This Row],[Rank Pedro]]="Low","linkCategory1",IF(TableRelationships12[[#This Row],[Rank Pedro]]="Medium","linkCategory2",IF(TableRelationships12[[#This Row],[Rank Pedro]]="High","linkCategory3","")))</f>
        <v/>
      </c>
      <c r="U482" s="102" t="str">
        <f>IF(TableRelationships12[[#This Row],[Rank Pedro]]="Low","Pink",IF(TableRelationships12[[#This Row],[Rank Pedro]]="Medium","Purple",IF(TableRelationships12[[#This Row],[Rank Pedro]]="High","Brown","")))</f>
        <v/>
      </c>
      <c r="V482" s="4">
        <f>MAX(INDEX(Standards!$F$2:$F$296,MATCH(B482,Standards!$B$2:$B$296,0)),INDEX(Standards!$F$2:$F$296,MATCH(C482,Standards!$B$2:$B$296,0)))</f>
        <v>40940</v>
      </c>
      <c r="W482" t="str">
        <f t="shared" si="23"/>
        <v>#2f89d1</v>
      </c>
    </row>
    <row r="483" spans="1:23" x14ac:dyDescent="0.5">
      <c r="A483" s="54">
        <v>482</v>
      </c>
      <c r="B483" s="90" t="s">
        <v>310</v>
      </c>
      <c r="C483" t="s">
        <v>348</v>
      </c>
      <c r="D483" s="1" t="s">
        <v>640</v>
      </c>
      <c r="E483" s="113">
        <v>2013.12</v>
      </c>
      <c r="F483" s="113">
        <v>2023.04</v>
      </c>
      <c r="G483" s="107" t="s">
        <v>670</v>
      </c>
      <c r="H483">
        <f>INDEX('GIS-Standards'!$A$2:$A$305,MATCH(B483,'GIS-Standards'!$B$2:$B$305,0))</f>
        <v>20</v>
      </c>
      <c r="I483">
        <f>INDEX('GIS-Standards'!$A$2:$A$305,MATCH(C483,'GIS-Standards'!$B$2:$B$305,0))</f>
        <v>66</v>
      </c>
      <c r="J483" t="str">
        <f>INDEX('GIS-Standards'!$O$2:$O$305,MATCH(B483,'GIS-Standards'!$B$2:$B$305,0))</f>
        <v>ISO/TC 211</v>
      </c>
      <c r="K483" t="str">
        <f>INDEX('GIS-Standards'!$O$2:$O$305,MATCH(C483,'GIS-Standards'!$B$2:$B$305,0))</f>
        <v>ISO/TC 211</v>
      </c>
      <c r="M483" t="s">
        <v>525</v>
      </c>
      <c r="N483" t="str">
        <f>INDEX('GIS-Standards'!$I$2:$I$305,MATCH(B483,'GIS-Standards'!$B$2:$B$305,0))</f>
        <v>08.2023</v>
      </c>
      <c r="O483">
        <f>INDEX('GIS-Standards'!$I$2:$I$305,MATCH(C483,'GIS-Standards'!$B$2:$B$305,0))</f>
        <v>0</v>
      </c>
      <c r="P483" t="b">
        <f>AND(TableRelationships12[[#This Row],[Source Type]]="BIM",TableRelationships12[[#This Row],[Target Type]]="BIM")</f>
        <v>0</v>
      </c>
      <c r="Q483">
        <f t="shared" si="21"/>
        <v>1</v>
      </c>
      <c r="S483">
        <f t="shared" si="22"/>
        <v>1</v>
      </c>
      <c r="T483" s="102" t="str">
        <f>IF(TableRelationships12[[#This Row],[Rank Pedro]]="Low","linkCategory1",IF(TableRelationships12[[#This Row],[Rank Pedro]]="Medium","linkCategory2",IF(TableRelationships12[[#This Row],[Rank Pedro]]="High","linkCategory3","")))</f>
        <v/>
      </c>
      <c r="U483" s="102" t="str">
        <f>IF(TableRelationships12[[#This Row],[Rank Pedro]]="Low","Pink",IF(TableRelationships12[[#This Row],[Rank Pedro]]="Medium","Purple",IF(TableRelationships12[[#This Row],[Rank Pedro]]="High","Brown","")))</f>
        <v/>
      </c>
      <c r="V483" s="4">
        <f>MAX(INDEX(Standards!$F$2:$F$296,MATCH(B483,Standards!$B$2:$B$296,0)),INDEX(Standards!$F$2:$F$296,MATCH(C483,Standards!$B$2:$B$296,0)))</f>
        <v>37653</v>
      </c>
      <c r="W483" t="str">
        <f t="shared" si="23"/>
        <v>#2f89d1</v>
      </c>
    </row>
    <row r="484" spans="1:23" x14ac:dyDescent="0.5">
      <c r="A484" s="54">
        <v>483</v>
      </c>
      <c r="B484" s="90" t="s">
        <v>310</v>
      </c>
      <c r="C484" t="s">
        <v>641</v>
      </c>
      <c r="D484" s="1"/>
      <c r="E484" s="112">
        <v>2020.01</v>
      </c>
      <c r="F484" s="112">
        <v>2020.01</v>
      </c>
      <c r="G484" s="107" t="s">
        <v>1465</v>
      </c>
      <c r="H484">
        <f>INDEX('GIS-Standards'!$A$2:$A$305,MATCH(B484,'GIS-Standards'!$B$2:$B$305,0))</f>
        <v>20</v>
      </c>
      <c r="I484">
        <f>INDEX('GIS-Standards'!$A$2:$A$305,MATCH(C484,'GIS-Standards'!$B$2:$B$305,0))</f>
        <v>67</v>
      </c>
      <c r="J484" t="str">
        <f>INDEX('GIS-Standards'!$O$2:$O$305,MATCH(B484,'GIS-Standards'!$B$2:$B$305,0))</f>
        <v>ISO/TC 211</v>
      </c>
      <c r="K484" t="str">
        <f>INDEX('GIS-Standards'!$O$2:$O$305,MATCH(C484,'GIS-Standards'!$B$2:$B$305,0))</f>
        <v>ISO/TC 211</v>
      </c>
      <c r="M484" t="s">
        <v>525</v>
      </c>
      <c r="N484" t="str">
        <f>INDEX('GIS-Standards'!$I$2:$I$305,MATCH(B484,'GIS-Standards'!$B$2:$B$305,0))</f>
        <v>08.2023</v>
      </c>
      <c r="O484">
        <f>INDEX('GIS-Standards'!$I$2:$I$305,MATCH(C484,'GIS-Standards'!$B$2:$B$305,0))</f>
        <v>0</v>
      </c>
      <c r="P484" t="b">
        <f>AND(TableRelationships12[[#This Row],[Source Type]]="BIM",TableRelationships12[[#This Row],[Target Type]]="BIM")</f>
        <v>0</v>
      </c>
      <c r="Q484">
        <f t="shared" si="21"/>
        <v>1</v>
      </c>
      <c r="S484">
        <f t="shared" si="22"/>
        <v>1</v>
      </c>
      <c r="T484" s="102" t="str">
        <f>IF(TableRelationships12[[#This Row],[Rank Pedro]]="Low","linkCategory1",IF(TableRelationships12[[#This Row],[Rank Pedro]]="Medium","linkCategory2",IF(TableRelationships12[[#This Row],[Rank Pedro]]="High","linkCategory3","")))</f>
        <v/>
      </c>
      <c r="U484" s="102" t="str">
        <f>IF(TableRelationships12[[#This Row],[Rank Pedro]]="Low","Pink",IF(TableRelationships12[[#This Row],[Rank Pedro]]="Medium","Purple",IF(TableRelationships12[[#This Row],[Rank Pedro]]="High","Brown","")))</f>
        <v/>
      </c>
      <c r="V484" s="4" t="e">
        <f>MAX(INDEX(Standards!$F$2:$F$296,MATCH(B484,Standards!$B$2:$B$296,0)),INDEX(Standards!$F$2:$F$296,MATCH(C484,Standards!$B$2:$B$296,0)))</f>
        <v>#N/A</v>
      </c>
      <c r="W484" t="str">
        <f t="shared" si="23"/>
        <v>#2f89d1</v>
      </c>
    </row>
    <row r="485" spans="1:23" x14ac:dyDescent="0.5">
      <c r="A485" s="54">
        <v>484</v>
      </c>
      <c r="B485" s="90" t="s">
        <v>310</v>
      </c>
      <c r="C485" t="s">
        <v>642</v>
      </c>
      <c r="D485" s="1"/>
      <c r="E485" s="112">
        <v>2015.08</v>
      </c>
      <c r="F485" s="112">
        <v>2023.08</v>
      </c>
      <c r="G485" s="107" t="s">
        <v>670</v>
      </c>
      <c r="H485">
        <f>INDEX('GIS-Standards'!$A$2:$A$305,MATCH(B485,'GIS-Standards'!$B$2:$B$305,0))</f>
        <v>20</v>
      </c>
      <c r="I485">
        <f>INDEX('GIS-Standards'!$A$2:$A$305,MATCH(C485,'GIS-Standards'!$B$2:$B$305,0))</f>
        <v>68</v>
      </c>
      <c r="J485" t="str">
        <f>INDEX('GIS-Standards'!$O$2:$O$305,MATCH(B485,'GIS-Standards'!$B$2:$B$305,0))</f>
        <v>ISO/TC 211</v>
      </c>
      <c r="K485" t="str">
        <f>INDEX('GIS-Standards'!$O$2:$O$305,MATCH(C485,'GIS-Standards'!$B$2:$B$305,0))</f>
        <v>ISO/TC 211</v>
      </c>
      <c r="M485" t="s">
        <v>525</v>
      </c>
      <c r="N485" t="str">
        <f>INDEX('GIS-Standards'!$I$2:$I$305,MATCH(B485,'GIS-Standards'!$B$2:$B$305,0))</f>
        <v>08.2023</v>
      </c>
      <c r="O485" t="str">
        <f>INDEX('GIS-Standards'!$I$2:$I$305,MATCH(C485,'GIS-Standards'!$B$2:$B$305,0))</f>
        <v>08.2023</v>
      </c>
      <c r="P485" t="b">
        <f>AND(TableRelationships12[[#This Row],[Source Type]]="BIM",TableRelationships12[[#This Row],[Target Type]]="BIM")</f>
        <v>0</v>
      </c>
      <c r="Q485">
        <f t="shared" si="21"/>
        <v>1</v>
      </c>
      <c r="S485">
        <f t="shared" si="22"/>
        <v>1</v>
      </c>
      <c r="T485" s="102" t="str">
        <f>IF(TableRelationships12[[#This Row],[Rank Pedro]]="Low","linkCategory1",IF(TableRelationships12[[#This Row],[Rank Pedro]]="Medium","linkCategory2",IF(TableRelationships12[[#This Row],[Rank Pedro]]="High","linkCategory3","")))</f>
        <v/>
      </c>
      <c r="U485" s="102" t="str">
        <f>IF(TableRelationships12[[#This Row],[Rank Pedro]]="Low","Pink",IF(TableRelationships12[[#This Row],[Rank Pedro]]="Medium","Purple",IF(TableRelationships12[[#This Row],[Rank Pedro]]="High","Brown","")))</f>
        <v/>
      </c>
      <c r="V485" s="4" t="e">
        <f>MAX(INDEX(Standards!$F$2:$F$296,MATCH(B485,Standards!$B$2:$B$296,0)),INDEX(Standards!$F$2:$F$296,MATCH(C485,Standards!$B$2:$B$296,0)))</f>
        <v>#N/A</v>
      </c>
      <c r="W485" t="str">
        <f t="shared" si="23"/>
        <v>#2f89d1</v>
      </c>
    </row>
    <row r="486" spans="1:23" x14ac:dyDescent="0.5">
      <c r="A486" s="54">
        <v>485</v>
      </c>
      <c r="B486" s="90" t="s">
        <v>310</v>
      </c>
      <c r="C486" t="s">
        <v>1079</v>
      </c>
      <c r="D486" s="1"/>
      <c r="E486" s="112">
        <v>2005.04</v>
      </c>
      <c r="F486" s="112">
        <v>2005.04</v>
      </c>
      <c r="G486" s="107" t="s">
        <v>1502</v>
      </c>
      <c r="H486">
        <f>INDEX('GIS-Standards'!$A$2:$A$305,MATCH(B486,'GIS-Standards'!$B$2:$B$305,0))</f>
        <v>20</v>
      </c>
      <c r="I486" t="e">
        <f>INDEX('GIS-Standards'!$A$2:$A$305,MATCH(C486,'GIS-Standards'!$B$2:$B$305,0))</f>
        <v>#N/A</v>
      </c>
      <c r="J486" t="str">
        <f>INDEX('GIS-Standards'!$O$2:$O$305,MATCH(B486,'GIS-Standards'!$B$2:$B$305,0))</f>
        <v>ISO/TC 211</v>
      </c>
      <c r="K486" t="e">
        <f>INDEX('GIS-Standards'!$O$2:$O$305,MATCH(C486,'GIS-Standards'!$B$2:$B$305,0))</f>
        <v>#N/A</v>
      </c>
      <c r="M486" t="s">
        <v>525</v>
      </c>
      <c r="N486" t="str">
        <f>INDEX('GIS-Standards'!$I$2:$I$305,MATCH(B486,'GIS-Standards'!$B$2:$B$305,0))</f>
        <v>08.2023</v>
      </c>
      <c r="O486" t="e">
        <f>INDEX('GIS-Standards'!$I$2:$I$305,MATCH(C486,'GIS-Standards'!$B$2:$B$305,0))</f>
        <v>#N/A</v>
      </c>
      <c r="P486" t="e">
        <f>AND(TableRelationships12[[#This Row],[Source Type]]="BIM",TableRelationships12[[#This Row],[Target Type]]="BIM")</f>
        <v>#N/A</v>
      </c>
      <c r="Q486">
        <f t="shared" si="21"/>
        <v>1</v>
      </c>
      <c r="S486">
        <f t="shared" si="22"/>
        <v>1</v>
      </c>
      <c r="T486" s="102" t="str">
        <f>IF(TableRelationships12[[#This Row],[Rank Pedro]]="Low","linkCategory1",IF(TableRelationships12[[#This Row],[Rank Pedro]]="Medium","linkCategory2",IF(TableRelationships12[[#This Row],[Rank Pedro]]="High","linkCategory3","")))</f>
        <v/>
      </c>
      <c r="U486" s="102" t="str">
        <f>IF(TableRelationships12[[#This Row],[Rank Pedro]]="Low","Pink",IF(TableRelationships12[[#This Row],[Rank Pedro]]="Medium","Purple",IF(TableRelationships12[[#This Row],[Rank Pedro]]="High","Brown","")))</f>
        <v/>
      </c>
      <c r="V486" s="4" t="e">
        <f>MAX(INDEX(Standards!$F$2:$F$296,MATCH(B486,Standards!$B$2:$B$296,0)),INDEX(Standards!$F$2:$F$296,MATCH(C486,Standards!$B$2:$B$296,0)))</f>
        <v>#N/A</v>
      </c>
      <c r="W486" t="str">
        <f t="shared" si="23"/>
        <v>#2f89d1</v>
      </c>
    </row>
    <row r="487" spans="1:23" x14ac:dyDescent="0.5">
      <c r="A487" s="54">
        <v>486</v>
      </c>
      <c r="B487" s="90" t="s">
        <v>310</v>
      </c>
      <c r="C487" t="s">
        <v>1116</v>
      </c>
      <c r="D487" s="1" t="s">
        <v>1676</v>
      </c>
      <c r="E487" s="112">
        <v>1990.12</v>
      </c>
      <c r="F487" s="112">
        <v>2009.09</v>
      </c>
      <c r="G487" s="107" t="s">
        <v>1504</v>
      </c>
      <c r="H487">
        <f>INDEX('GIS-Standards'!$A$2:$A$305,MATCH(B487,'GIS-Standards'!$B$2:$B$305,0))</f>
        <v>20</v>
      </c>
      <c r="I487" t="e">
        <f>INDEX('GIS-Standards'!$A$2:$A$305,MATCH(C487,'GIS-Standards'!$B$2:$B$305,0))</f>
        <v>#N/A</v>
      </c>
      <c r="J487" t="str">
        <f>INDEX('GIS-Standards'!$O$2:$O$305,MATCH(B487,'GIS-Standards'!$B$2:$B$305,0))</f>
        <v>ISO/TC 211</v>
      </c>
      <c r="K487" t="e">
        <f>INDEX('GIS-Standards'!$O$2:$O$305,MATCH(C487,'GIS-Standards'!$B$2:$B$305,0))</f>
        <v>#N/A</v>
      </c>
      <c r="M487" t="s">
        <v>525</v>
      </c>
      <c r="N487" t="str">
        <f>INDEX('GIS-Standards'!$I$2:$I$305,MATCH(B487,'GIS-Standards'!$B$2:$B$305,0))</f>
        <v>08.2023</v>
      </c>
      <c r="O487" t="e">
        <f>INDEX('GIS-Standards'!$I$2:$I$305,MATCH(C487,'GIS-Standards'!$B$2:$B$305,0))</f>
        <v>#N/A</v>
      </c>
      <c r="P487" t="e">
        <f>AND(TableRelationships12[[#This Row],[Source Type]]="BIM",TableRelationships12[[#This Row],[Target Type]]="BIM")</f>
        <v>#N/A</v>
      </c>
      <c r="Q487">
        <f t="shared" si="21"/>
        <v>1</v>
      </c>
      <c r="S487">
        <f t="shared" si="22"/>
        <v>1</v>
      </c>
      <c r="T487" s="102" t="str">
        <f>IF(TableRelationships12[[#This Row],[Rank Pedro]]="Low","linkCategory1",IF(TableRelationships12[[#This Row],[Rank Pedro]]="Medium","linkCategory2",IF(TableRelationships12[[#This Row],[Rank Pedro]]="High","linkCategory3","")))</f>
        <v/>
      </c>
      <c r="U487" s="102" t="str">
        <f>IF(TableRelationships12[[#This Row],[Rank Pedro]]="Low","Pink",IF(TableRelationships12[[#This Row],[Rank Pedro]]="Medium","Purple",IF(TableRelationships12[[#This Row],[Rank Pedro]]="High","Brown","")))</f>
        <v/>
      </c>
      <c r="V487" s="4" t="e">
        <f>MAX(INDEX(Standards!$F$2:$F$296,MATCH(B487,Standards!$B$2:$B$296,0)),INDEX(Standards!$F$2:$F$296,MATCH(C487,Standards!$B$2:$B$296,0)))</f>
        <v>#N/A</v>
      </c>
      <c r="W487" t="str">
        <f t="shared" si="23"/>
        <v>#2f89d1</v>
      </c>
    </row>
    <row r="488" spans="1:23" x14ac:dyDescent="0.5">
      <c r="A488" s="54">
        <v>487</v>
      </c>
      <c r="B488" s="90" t="s">
        <v>310</v>
      </c>
      <c r="C488" t="s">
        <v>1077</v>
      </c>
      <c r="D488" s="1"/>
      <c r="E488" s="112">
        <v>1978.03</v>
      </c>
      <c r="F488" s="112">
        <v>2025.07</v>
      </c>
      <c r="G488" s="107" t="s">
        <v>1446</v>
      </c>
      <c r="H488">
        <f>INDEX('GIS-Standards'!$A$2:$A$305,MATCH(B488,'GIS-Standards'!$B$2:$B$305,0))</f>
        <v>20</v>
      </c>
      <c r="I488" t="e">
        <f>INDEX('GIS-Standards'!$A$2:$A$305,MATCH(C488,'GIS-Standards'!$B$2:$B$305,0))</f>
        <v>#N/A</v>
      </c>
      <c r="J488" t="str">
        <f>INDEX('GIS-Standards'!$O$2:$O$305,MATCH(B488,'GIS-Standards'!$B$2:$B$305,0))</f>
        <v>ISO/TC 211</v>
      </c>
      <c r="K488" t="e">
        <f>INDEX('GIS-Standards'!$O$2:$O$305,MATCH(C488,'GIS-Standards'!$B$2:$B$305,0))</f>
        <v>#N/A</v>
      </c>
      <c r="M488" t="s">
        <v>525</v>
      </c>
      <c r="N488" t="str">
        <f>INDEX('GIS-Standards'!$I$2:$I$305,MATCH(B488,'GIS-Standards'!$B$2:$B$305,0))</f>
        <v>08.2023</v>
      </c>
      <c r="O488" t="e">
        <f>INDEX('GIS-Standards'!$I$2:$I$305,MATCH(C488,'GIS-Standards'!$B$2:$B$305,0))</f>
        <v>#N/A</v>
      </c>
      <c r="P488" t="e">
        <f>AND(TableRelationships12[[#This Row],[Source Type]]="BIM",TableRelationships12[[#This Row],[Target Type]]="BIM")</f>
        <v>#N/A</v>
      </c>
      <c r="Q488">
        <f t="shared" si="21"/>
        <v>1</v>
      </c>
      <c r="S488">
        <f t="shared" si="22"/>
        <v>1</v>
      </c>
      <c r="T488" s="102" t="str">
        <f>IF(TableRelationships12[[#This Row],[Rank Pedro]]="Low","linkCategory1",IF(TableRelationships12[[#This Row],[Rank Pedro]]="Medium","linkCategory2",IF(TableRelationships12[[#This Row],[Rank Pedro]]="High","linkCategory3","")))</f>
        <v/>
      </c>
      <c r="U488" s="102" t="str">
        <f>IF(TableRelationships12[[#This Row],[Rank Pedro]]="Low","Pink",IF(TableRelationships12[[#This Row],[Rank Pedro]]="Medium","Purple",IF(TableRelationships12[[#This Row],[Rank Pedro]]="High","Brown","")))</f>
        <v/>
      </c>
      <c r="V488" s="4" t="e">
        <f>MAX(INDEX(Standards!$F$2:$F$296,MATCH(B488,Standards!$B$2:$B$296,0)),INDEX(Standards!$F$2:$F$296,MATCH(C488,Standards!$B$2:$B$296,0)))</f>
        <v>#N/A</v>
      </c>
      <c r="W488" t="str">
        <f t="shared" si="23"/>
        <v>#2f89d1</v>
      </c>
    </row>
    <row r="489" spans="1:23" x14ac:dyDescent="0.5">
      <c r="A489" s="54">
        <v>488</v>
      </c>
      <c r="B489" s="90" t="s">
        <v>312</v>
      </c>
      <c r="C489" t="s">
        <v>527</v>
      </c>
      <c r="D489" s="1"/>
      <c r="E489" s="112" t="s">
        <v>929</v>
      </c>
      <c r="F489" s="112" t="s">
        <v>941</v>
      </c>
      <c r="G489" s="121" t="s">
        <v>670</v>
      </c>
      <c r="H489">
        <f>INDEX('GIS-Standards'!$A$2:$A$305,MATCH(B489,'GIS-Standards'!$B$2:$B$305,0))</f>
        <v>21</v>
      </c>
      <c r="I489" t="e">
        <f>INDEX('GIS-Standards'!$A$2:$A$305,MATCH(C489,'GIS-Standards'!$B$2:$B$305,0))</f>
        <v>#N/A</v>
      </c>
      <c r="J489" t="str">
        <f>INDEX('GIS-Standards'!$O$2:$O$305,MATCH(B489,'GIS-Standards'!$B$2:$B$305,0))</f>
        <v>ISO/TC 211</v>
      </c>
      <c r="K489" t="e">
        <f>INDEX('GIS-Standards'!$O$2:$O$305,MATCH(C489,'GIS-Standards'!$B$2:$B$305,0))</f>
        <v>#N/A</v>
      </c>
      <c r="M489" t="s">
        <v>237</v>
      </c>
      <c r="N489">
        <f>INDEX('GIS-Standards'!$I$2:$I$305,MATCH(B489,'GIS-Standards'!$B$2:$B$305,0))</f>
        <v>0</v>
      </c>
      <c r="O489" t="e">
        <f>INDEX('GIS-Standards'!$I$2:$I$305,MATCH(C489,'GIS-Standards'!$B$2:$B$305,0))</f>
        <v>#N/A</v>
      </c>
      <c r="P489" t="e">
        <f>AND(TableRelationships12[[#This Row],[Source Type]]="BIM",TableRelationships12[[#This Row],[Target Type]]="BIM")</f>
        <v>#N/A</v>
      </c>
      <c r="Q489">
        <f t="shared" si="21"/>
        <v>2</v>
      </c>
      <c r="S489">
        <f t="shared" si="22"/>
        <v>1</v>
      </c>
      <c r="T489" s="102" t="str">
        <f>IF(TableRelationships12[[#This Row],[Rank Pedro]]="Low","linkCategory1",IF(TableRelationships12[[#This Row],[Rank Pedro]]="Medium","linkCategory2",IF(TableRelationships12[[#This Row],[Rank Pedro]]="High","linkCategory3","")))</f>
        <v/>
      </c>
      <c r="U489" s="102" t="str">
        <f>IF(TableRelationships12[[#This Row],[Rank Pedro]]="Low","Pink",IF(TableRelationships12[[#This Row],[Rank Pedro]]="Medium","Purple",IF(TableRelationships12[[#This Row],[Rank Pedro]]="High","Brown","")))</f>
        <v/>
      </c>
      <c r="V489" s="4">
        <f>MAX(INDEX(Standards!$F$2:$F$296,MATCH(B489,Standards!$B$2:$B$296,0)),INDEX(Standards!$F$2:$F$296,MATCH(C489,Standards!$B$2:$B$296,0)))</f>
        <v>37895</v>
      </c>
      <c r="W489">
        <f t="shared" si="23"/>
        <v>1</v>
      </c>
    </row>
    <row r="490" spans="1:23" x14ac:dyDescent="0.5">
      <c r="A490" s="54">
        <v>489</v>
      </c>
      <c r="B490" s="90" t="s">
        <v>312</v>
      </c>
      <c r="C490" t="s">
        <v>302</v>
      </c>
      <c r="D490" s="1"/>
      <c r="E490" s="112">
        <v>2003.05</v>
      </c>
      <c r="F490" s="112">
        <v>2019.12</v>
      </c>
      <c r="G490" s="107" t="s">
        <v>670</v>
      </c>
      <c r="H490">
        <f>INDEX('GIS-Standards'!$A$2:$A$305,MATCH(B490,'GIS-Standards'!$B$2:$B$305,0))</f>
        <v>21</v>
      </c>
      <c r="I490">
        <f>INDEX('GIS-Standards'!$A$2:$A$305,MATCH(C490,'GIS-Standards'!$B$2:$B$305,0))</f>
        <v>16</v>
      </c>
      <c r="J490" t="str">
        <f>INDEX('GIS-Standards'!$O$2:$O$305,MATCH(B490,'GIS-Standards'!$B$2:$B$305,0))</f>
        <v>ISO/TC 211</v>
      </c>
      <c r="K490" t="str">
        <f>INDEX('GIS-Standards'!$O$2:$O$305,MATCH(C490,'GIS-Standards'!$B$2:$B$305,0))</f>
        <v>ISO/TC 211</v>
      </c>
      <c r="M490" t="s">
        <v>524</v>
      </c>
      <c r="N490">
        <f>INDEX('GIS-Standards'!$I$2:$I$305,MATCH(B490,'GIS-Standards'!$B$2:$B$305,0))</f>
        <v>0</v>
      </c>
      <c r="O490">
        <f>INDEX('GIS-Standards'!$I$2:$I$305,MATCH(C490,'GIS-Standards'!$B$2:$B$305,0))</f>
        <v>0</v>
      </c>
      <c r="P490" t="b">
        <f>AND(TableRelationships12[[#This Row],[Source Type]]="BIM",TableRelationships12[[#This Row],[Target Type]]="BIM")</f>
        <v>0</v>
      </c>
      <c r="Q490">
        <f t="shared" si="21"/>
        <v>6</v>
      </c>
      <c r="S490">
        <f t="shared" si="22"/>
        <v>1</v>
      </c>
      <c r="T490" s="102" t="str">
        <f>IF(TableRelationships12[[#This Row],[Rank Pedro]]="Low","linkCategory1",IF(TableRelationships12[[#This Row],[Rank Pedro]]="Medium","linkCategory2",IF(TableRelationships12[[#This Row],[Rank Pedro]]="High","linkCategory3","")))</f>
        <v/>
      </c>
      <c r="U490" s="102" t="str">
        <f>IF(TableRelationships12[[#This Row],[Rank Pedro]]="Low","Pink",IF(TableRelationships12[[#This Row],[Rank Pedro]]="Medium","Purple",IF(TableRelationships12[[#This Row],[Rank Pedro]]="High","Brown","")))</f>
        <v/>
      </c>
      <c r="V490" s="4">
        <f>MAX(INDEX(Standards!$F$2:$F$296,MATCH(B490,Standards!$B$2:$B$296,0)),INDEX(Standards!$F$2:$F$296,MATCH(C490,Standards!$B$2:$B$296,0)))</f>
        <v>37895</v>
      </c>
      <c r="W490" t="str">
        <f t="shared" si="23"/>
        <v>#d6bf2a</v>
      </c>
    </row>
    <row r="491" spans="1:23" x14ac:dyDescent="0.5">
      <c r="A491" s="54">
        <v>490</v>
      </c>
      <c r="B491" s="90" t="s">
        <v>312</v>
      </c>
      <c r="C491" t="s">
        <v>310</v>
      </c>
      <c r="D491" s="1"/>
      <c r="E491" s="112">
        <v>2003.02</v>
      </c>
      <c r="F491" s="112">
        <v>2023.08</v>
      </c>
      <c r="G491" s="107" t="s">
        <v>670</v>
      </c>
      <c r="H491">
        <f>INDEX('GIS-Standards'!$A$2:$A$305,MATCH(B491,'GIS-Standards'!$B$2:$B$305,0))</f>
        <v>21</v>
      </c>
      <c r="I491">
        <f>INDEX('GIS-Standards'!$A$2:$A$305,MATCH(C491,'GIS-Standards'!$B$2:$B$305,0))</f>
        <v>20</v>
      </c>
      <c r="J491" t="str">
        <f>INDEX('GIS-Standards'!$O$2:$O$305,MATCH(B491,'GIS-Standards'!$B$2:$B$305,0))</f>
        <v>ISO/TC 211</v>
      </c>
      <c r="K491" t="str">
        <f>INDEX('GIS-Standards'!$O$2:$O$305,MATCH(C491,'GIS-Standards'!$B$2:$B$305,0))</f>
        <v>ISO/TC 211</v>
      </c>
      <c r="M491" t="s">
        <v>524</v>
      </c>
      <c r="N491">
        <f>INDEX('GIS-Standards'!$I$2:$I$305,MATCH(B491,'GIS-Standards'!$B$2:$B$305,0))</f>
        <v>0</v>
      </c>
      <c r="O491" t="str">
        <f>INDEX('GIS-Standards'!$I$2:$I$305,MATCH(C491,'GIS-Standards'!$B$2:$B$305,0))</f>
        <v>08.2023</v>
      </c>
      <c r="P491" t="b">
        <f>AND(TableRelationships12[[#This Row],[Source Type]]="BIM",TableRelationships12[[#This Row],[Target Type]]="BIM")</f>
        <v>0</v>
      </c>
      <c r="Q491">
        <f t="shared" si="21"/>
        <v>6</v>
      </c>
      <c r="S491">
        <f t="shared" si="22"/>
        <v>1</v>
      </c>
      <c r="T491" s="102" t="str">
        <f>IF(TableRelationships12[[#This Row],[Rank Pedro]]="Low","linkCategory1",IF(TableRelationships12[[#This Row],[Rank Pedro]]="Medium","linkCategory2",IF(TableRelationships12[[#This Row],[Rank Pedro]]="High","linkCategory3","")))</f>
        <v/>
      </c>
      <c r="U491" s="102" t="str">
        <f>IF(TableRelationships12[[#This Row],[Rank Pedro]]="Low","Pink",IF(TableRelationships12[[#This Row],[Rank Pedro]]="Medium","Purple",IF(TableRelationships12[[#This Row],[Rank Pedro]]="High","Brown","")))</f>
        <v/>
      </c>
      <c r="V491" s="4">
        <f>MAX(INDEX(Standards!$F$2:$F$296,MATCH(B491,Standards!$B$2:$B$296,0)),INDEX(Standards!$F$2:$F$296,MATCH(C491,Standards!$B$2:$B$296,0)))</f>
        <v>37895</v>
      </c>
      <c r="W491" t="str">
        <f t="shared" si="23"/>
        <v>#d6bf2a</v>
      </c>
    </row>
    <row r="492" spans="1:23" x14ac:dyDescent="0.5">
      <c r="A492" s="54">
        <v>491</v>
      </c>
      <c r="B492" s="90" t="s">
        <v>312</v>
      </c>
      <c r="C492" t="s">
        <v>314</v>
      </c>
      <c r="D492" s="1"/>
      <c r="E492" s="112">
        <v>2003.05</v>
      </c>
      <c r="F492" s="112">
        <v>2020.11</v>
      </c>
      <c r="G492" s="107" t="s">
        <v>670</v>
      </c>
      <c r="H492">
        <f>INDEX('GIS-Standards'!$A$2:$A$305,MATCH(B492,'GIS-Standards'!$B$2:$B$305,0))</f>
        <v>21</v>
      </c>
      <c r="I492">
        <f>INDEX('GIS-Standards'!$A$2:$A$305,MATCH(C492,'GIS-Standards'!$B$2:$B$305,0))</f>
        <v>22</v>
      </c>
      <c r="J492" t="str">
        <f>INDEX('GIS-Standards'!$O$2:$O$305,MATCH(B492,'GIS-Standards'!$B$2:$B$305,0))</f>
        <v>ISO/TC 211</v>
      </c>
      <c r="K492" t="str">
        <f>INDEX('GIS-Standards'!$O$2:$O$305,MATCH(C492,'GIS-Standards'!$B$2:$B$305,0))</f>
        <v>ISO/TC 211</v>
      </c>
      <c r="M492" t="s">
        <v>524</v>
      </c>
      <c r="N492">
        <f>INDEX('GIS-Standards'!$I$2:$I$305,MATCH(B492,'GIS-Standards'!$B$2:$B$305,0))</f>
        <v>0</v>
      </c>
      <c r="O492" t="str">
        <f>INDEX('GIS-Standards'!$I$2:$I$305,MATCH(C492,'GIS-Standards'!$B$2:$B$305,0))</f>
        <v>12.2020</v>
      </c>
      <c r="P492" t="b">
        <f>AND(TableRelationships12[[#This Row],[Source Type]]="BIM",TableRelationships12[[#This Row],[Target Type]]="BIM")</f>
        <v>0</v>
      </c>
      <c r="Q492">
        <f t="shared" si="21"/>
        <v>6</v>
      </c>
      <c r="S492">
        <f t="shared" si="22"/>
        <v>1</v>
      </c>
      <c r="T492" s="102" t="str">
        <f>IF(TableRelationships12[[#This Row],[Rank Pedro]]="Low","linkCategory1",IF(TableRelationships12[[#This Row],[Rank Pedro]]="Medium","linkCategory2",IF(TableRelationships12[[#This Row],[Rank Pedro]]="High","linkCategory3","")))</f>
        <v/>
      </c>
      <c r="U492" s="102" t="str">
        <f>IF(TableRelationships12[[#This Row],[Rank Pedro]]="Low","Pink",IF(TableRelationships12[[#This Row],[Rank Pedro]]="Medium","Purple",IF(TableRelationships12[[#This Row],[Rank Pedro]]="High","Brown","")))</f>
        <v/>
      </c>
      <c r="V492" s="4">
        <f>MAX(INDEX(Standards!$F$2:$F$296,MATCH(B492,Standards!$B$2:$B$296,0)),INDEX(Standards!$F$2:$F$296,MATCH(C492,Standards!$B$2:$B$296,0)))</f>
        <v>37895</v>
      </c>
      <c r="W492" t="str">
        <f t="shared" si="23"/>
        <v>#d6bf2a</v>
      </c>
    </row>
    <row r="493" spans="1:23" x14ac:dyDescent="0.5">
      <c r="A493" s="54">
        <v>492</v>
      </c>
      <c r="B493" s="90" t="s">
        <v>312</v>
      </c>
      <c r="C493" t="s">
        <v>1048</v>
      </c>
      <c r="D493" s="1"/>
      <c r="E493" s="112">
        <v>2005.1</v>
      </c>
      <c r="F493" s="112">
        <v>2021.02</v>
      </c>
      <c r="G493" s="107" t="s">
        <v>670</v>
      </c>
      <c r="H493">
        <f>INDEX('GIS-Standards'!$A$2:$A$305,MATCH(B493,'GIS-Standards'!$B$2:$B$305,0))</f>
        <v>21</v>
      </c>
      <c r="I493">
        <f>INDEX('GIS-Standards'!$A$2:$A$305,MATCH(C493,'GIS-Standards'!$B$2:$B$305,0))</f>
        <v>41</v>
      </c>
      <c r="J493" t="str">
        <f>INDEX('GIS-Standards'!$O$2:$O$305,MATCH(B493,'GIS-Standards'!$B$2:$B$305,0))</f>
        <v>ISO/TC 211</v>
      </c>
      <c r="K493" t="str">
        <f>INDEX('GIS-Standards'!$O$2:$O$305,MATCH(C493,'GIS-Standards'!$B$2:$B$305,0))</f>
        <v>ISO/TC 211</v>
      </c>
      <c r="M493" t="s">
        <v>524</v>
      </c>
      <c r="N493">
        <f>INDEX('GIS-Standards'!$I$2:$I$305,MATCH(B493,'GIS-Standards'!$B$2:$B$305,0))</f>
        <v>0</v>
      </c>
      <c r="O493" t="str">
        <f>INDEX('GIS-Standards'!$I$2:$I$305,MATCH(C493,'GIS-Standards'!$B$2:$B$305,0))</f>
        <v>03.2021</v>
      </c>
      <c r="P493" t="b">
        <f>AND(TableRelationships12[[#This Row],[Source Type]]="BIM",TableRelationships12[[#This Row],[Target Type]]="BIM")</f>
        <v>0</v>
      </c>
      <c r="Q493">
        <f t="shared" si="21"/>
        <v>6</v>
      </c>
      <c r="S493">
        <f t="shared" si="22"/>
        <v>1</v>
      </c>
      <c r="T493" s="102" t="str">
        <f>IF(TableRelationships12[[#This Row],[Rank Pedro]]="Low","linkCategory1",IF(TableRelationships12[[#This Row],[Rank Pedro]]="Medium","linkCategory2",IF(TableRelationships12[[#This Row],[Rank Pedro]]="High","linkCategory3","")))</f>
        <v/>
      </c>
      <c r="U493" s="102" t="str">
        <f>IF(TableRelationships12[[#This Row],[Rank Pedro]]="Low","Pink",IF(TableRelationships12[[#This Row],[Rank Pedro]]="Medium","Purple",IF(TableRelationships12[[#This Row],[Rank Pedro]]="High","Brown","")))</f>
        <v/>
      </c>
      <c r="V493" s="4" t="e">
        <f>MAX(INDEX(Standards!$F$2:$F$296,MATCH(B493,Standards!$B$2:$B$296,0)),INDEX(Standards!$F$2:$F$296,MATCH(C493,Standards!$B$2:$B$296,0)))</f>
        <v>#N/A</v>
      </c>
      <c r="W493" t="str">
        <f t="shared" si="23"/>
        <v>#d6bf2a</v>
      </c>
    </row>
    <row r="494" spans="1:23" x14ac:dyDescent="0.5">
      <c r="A494" s="54">
        <v>493</v>
      </c>
      <c r="B494" s="90" t="s">
        <v>312</v>
      </c>
      <c r="C494" t="s">
        <v>132</v>
      </c>
      <c r="D494" s="1"/>
      <c r="E494" s="112">
        <v>1997.09</v>
      </c>
      <c r="F494" s="112">
        <v>2020.08</v>
      </c>
      <c r="G494" s="107" t="s">
        <v>1481</v>
      </c>
      <c r="H494">
        <f>INDEX('GIS-Standards'!$A$2:$A$305,MATCH(B494,'GIS-Standards'!$B$2:$B$305,0))</f>
        <v>21</v>
      </c>
      <c r="I494" t="e">
        <f>INDEX('GIS-Standards'!$A$2:$A$305,MATCH(C494,'GIS-Standards'!$B$2:$B$305,0))</f>
        <v>#N/A</v>
      </c>
      <c r="J494" t="str">
        <f>INDEX('GIS-Standards'!$O$2:$O$305,MATCH(B494,'GIS-Standards'!$B$2:$B$305,0))</f>
        <v>ISO/TC 211</v>
      </c>
      <c r="K494" t="e">
        <f>INDEX('GIS-Standards'!$O$2:$O$305,MATCH(C494,'GIS-Standards'!$B$2:$B$305,0))</f>
        <v>#N/A</v>
      </c>
      <c r="M494" t="s">
        <v>525</v>
      </c>
      <c r="N494">
        <f>INDEX('GIS-Standards'!$I$2:$I$305,MATCH(B494,'GIS-Standards'!$B$2:$B$305,0))</f>
        <v>0</v>
      </c>
      <c r="O494" t="e">
        <f>INDEX('GIS-Standards'!$I$2:$I$305,MATCH(C494,'GIS-Standards'!$B$2:$B$305,0))</f>
        <v>#N/A</v>
      </c>
      <c r="P494" t="e">
        <f>AND(TableRelationships12[[#This Row],[Source Type]]="BIM",TableRelationships12[[#This Row],[Target Type]]="BIM")</f>
        <v>#N/A</v>
      </c>
      <c r="Q494">
        <f t="shared" si="21"/>
        <v>1</v>
      </c>
      <c r="S494">
        <f t="shared" si="22"/>
        <v>1</v>
      </c>
      <c r="T494" s="102" t="str">
        <f>IF(TableRelationships12[[#This Row],[Rank Pedro]]="Low","linkCategory1",IF(TableRelationships12[[#This Row],[Rank Pedro]]="Medium","linkCategory2",IF(TableRelationships12[[#This Row],[Rank Pedro]]="High","linkCategory3","")))</f>
        <v/>
      </c>
      <c r="U494" s="102" t="str">
        <f>IF(TableRelationships12[[#This Row],[Rank Pedro]]="Low","Pink",IF(TableRelationships12[[#This Row],[Rank Pedro]]="Medium","Purple",IF(TableRelationships12[[#This Row],[Rank Pedro]]="High","Brown","")))</f>
        <v/>
      </c>
      <c r="V494" s="4">
        <f>MAX(INDEX(Standards!$F$2:$F$296,MATCH(B494,Standards!$B$2:$B$296,0)),INDEX(Standards!$F$2:$F$296,MATCH(C494,Standards!$B$2:$B$296,0)))</f>
        <v>37895</v>
      </c>
      <c r="W494" t="str">
        <f t="shared" si="23"/>
        <v>#2f89d1</v>
      </c>
    </row>
    <row r="495" spans="1:23" x14ac:dyDescent="0.5">
      <c r="A495" s="54">
        <v>494</v>
      </c>
      <c r="B495" s="90" t="s">
        <v>312</v>
      </c>
      <c r="C495" t="s">
        <v>344</v>
      </c>
      <c r="D495" s="1"/>
      <c r="E495" s="112">
        <v>2012.02</v>
      </c>
      <c r="F495" s="112">
        <v>2021.04</v>
      </c>
      <c r="G495" s="107" t="s">
        <v>670</v>
      </c>
      <c r="H495">
        <f>INDEX('GIS-Standards'!$A$2:$A$305,MATCH(B495,'GIS-Standards'!$B$2:$B$305,0))</f>
        <v>21</v>
      </c>
      <c r="I495">
        <f>INDEX('GIS-Standards'!$A$2:$A$305,MATCH(C495,'GIS-Standards'!$B$2:$B$305,0))</f>
        <v>53</v>
      </c>
      <c r="J495" t="str">
        <f>INDEX('GIS-Standards'!$O$2:$O$305,MATCH(B495,'GIS-Standards'!$B$2:$B$305,0))</f>
        <v>ISO/TC 211</v>
      </c>
      <c r="K495" t="str">
        <f>INDEX('GIS-Standards'!$O$2:$O$305,MATCH(C495,'GIS-Standards'!$B$2:$B$305,0))</f>
        <v>ISO/TC 211</v>
      </c>
      <c r="M495" t="s">
        <v>525</v>
      </c>
      <c r="N495">
        <f>INDEX('GIS-Standards'!$I$2:$I$305,MATCH(B495,'GIS-Standards'!$B$2:$B$305,0))</f>
        <v>0</v>
      </c>
      <c r="O495">
        <f>INDEX('GIS-Standards'!$I$2:$I$305,MATCH(C495,'GIS-Standards'!$B$2:$B$305,0))</f>
        <v>0</v>
      </c>
      <c r="P495" t="b">
        <f>AND(TableRelationships12[[#This Row],[Source Type]]="BIM",TableRelationships12[[#This Row],[Target Type]]="BIM")</f>
        <v>0</v>
      </c>
      <c r="Q495">
        <f t="shared" si="21"/>
        <v>1</v>
      </c>
      <c r="S495">
        <f t="shared" si="22"/>
        <v>1</v>
      </c>
      <c r="T495" s="102" t="str">
        <f>IF(TableRelationships12[[#This Row],[Rank Pedro]]="Low","linkCategory1",IF(TableRelationships12[[#This Row],[Rank Pedro]]="Medium","linkCategory2",IF(TableRelationships12[[#This Row],[Rank Pedro]]="High","linkCategory3","")))</f>
        <v/>
      </c>
      <c r="U495" s="102" t="str">
        <f>IF(TableRelationships12[[#This Row],[Rank Pedro]]="Low","Pink",IF(TableRelationships12[[#This Row],[Rank Pedro]]="Medium","Purple",IF(TableRelationships12[[#This Row],[Rank Pedro]]="High","Brown","")))</f>
        <v/>
      </c>
      <c r="V495" s="4">
        <f>MAX(INDEX(Standards!$F$2:$F$296,MATCH(B495,Standards!$B$2:$B$296,0)),INDEX(Standards!$F$2:$F$296,MATCH(C495,Standards!$B$2:$B$296,0)))</f>
        <v>40940</v>
      </c>
      <c r="W495" t="str">
        <f t="shared" si="23"/>
        <v>#2f89d1</v>
      </c>
    </row>
    <row r="496" spans="1:23" x14ac:dyDescent="0.5">
      <c r="A496" s="54">
        <v>495</v>
      </c>
      <c r="B496" s="90" t="s">
        <v>312</v>
      </c>
      <c r="C496" t="s">
        <v>1117</v>
      </c>
      <c r="D496" s="1"/>
      <c r="E496" s="112">
        <v>2015.12</v>
      </c>
      <c r="F496" s="112">
        <v>2015.12</v>
      </c>
      <c r="G496" s="107" t="s">
        <v>670</v>
      </c>
      <c r="H496">
        <f>INDEX('GIS-Standards'!$A$2:$A$305,MATCH(B496,'GIS-Standards'!$B$2:$B$305,0))</f>
        <v>21</v>
      </c>
      <c r="I496" t="e">
        <f>INDEX('GIS-Standards'!$A$2:$A$305,MATCH(C496,'GIS-Standards'!$B$2:$B$305,0))</f>
        <v>#N/A</v>
      </c>
      <c r="J496" t="str">
        <f>INDEX('GIS-Standards'!$O$2:$O$305,MATCH(B496,'GIS-Standards'!$B$2:$B$305,0))</f>
        <v>ISO/TC 211</v>
      </c>
      <c r="K496" t="e">
        <f>INDEX('GIS-Standards'!$O$2:$O$305,MATCH(C496,'GIS-Standards'!$B$2:$B$305,0))</f>
        <v>#N/A</v>
      </c>
      <c r="M496" t="s">
        <v>525</v>
      </c>
      <c r="N496">
        <f>INDEX('GIS-Standards'!$I$2:$I$305,MATCH(B496,'GIS-Standards'!$B$2:$B$305,0))</f>
        <v>0</v>
      </c>
      <c r="O496" t="e">
        <f>INDEX('GIS-Standards'!$I$2:$I$305,MATCH(C496,'GIS-Standards'!$B$2:$B$305,0))</f>
        <v>#N/A</v>
      </c>
      <c r="P496" t="e">
        <f>AND(TableRelationships12[[#This Row],[Source Type]]="BIM",TableRelationships12[[#This Row],[Target Type]]="BIM")</f>
        <v>#N/A</v>
      </c>
      <c r="Q496">
        <f t="shared" si="21"/>
        <v>1</v>
      </c>
      <c r="S496">
        <f t="shared" si="22"/>
        <v>1</v>
      </c>
      <c r="T496" s="102" t="str">
        <f>IF(TableRelationships12[[#This Row],[Rank Pedro]]="Low","linkCategory1",IF(TableRelationships12[[#This Row],[Rank Pedro]]="Medium","linkCategory2",IF(TableRelationships12[[#This Row],[Rank Pedro]]="High","linkCategory3","")))</f>
        <v/>
      </c>
      <c r="U496" s="102" t="str">
        <f>IF(TableRelationships12[[#This Row],[Rank Pedro]]="Low","Pink",IF(TableRelationships12[[#This Row],[Rank Pedro]]="Medium","Purple",IF(TableRelationships12[[#This Row],[Rank Pedro]]="High","Brown","")))</f>
        <v/>
      </c>
      <c r="V496" s="4" t="e">
        <f>MAX(INDEX(Standards!$F$2:$F$296,MATCH(B496,Standards!$B$2:$B$296,0)),INDEX(Standards!$F$2:$F$296,MATCH(C496,Standards!$B$2:$B$296,0)))</f>
        <v>#N/A</v>
      </c>
      <c r="W496" t="str">
        <f t="shared" si="23"/>
        <v>#2f89d1</v>
      </c>
    </row>
    <row r="497" spans="1:23" x14ac:dyDescent="0.5">
      <c r="A497" s="54">
        <v>496</v>
      </c>
      <c r="B497" s="90" t="s">
        <v>314</v>
      </c>
      <c r="C497" t="s">
        <v>527</v>
      </c>
      <c r="D497" s="1"/>
      <c r="E497" s="112" t="s">
        <v>929</v>
      </c>
      <c r="F497" s="112" t="s">
        <v>942</v>
      </c>
      <c r="G497" s="121" t="s">
        <v>670</v>
      </c>
      <c r="H497">
        <f>INDEX('GIS-Standards'!$A$2:$A$305,MATCH(B497,'GIS-Standards'!$B$2:$B$305,0))</f>
        <v>22</v>
      </c>
      <c r="I497" t="e">
        <f>INDEX('GIS-Standards'!$A$2:$A$305,MATCH(C497,'GIS-Standards'!$B$2:$B$305,0))</f>
        <v>#N/A</v>
      </c>
      <c r="J497" t="str">
        <f>INDEX('GIS-Standards'!$O$2:$O$305,MATCH(B497,'GIS-Standards'!$B$2:$B$305,0))</f>
        <v>ISO/TC 211</v>
      </c>
      <c r="K497" t="e">
        <f>INDEX('GIS-Standards'!$O$2:$O$305,MATCH(C497,'GIS-Standards'!$B$2:$B$305,0))</f>
        <v>#N/A</v>
      </c>
      <c r="M497" t="s">
        <v>237</v>
      </c>
      <c r="N497" t="str">
        <f>INDEX('GIS-Standards'!$I$2:$I$305,MATCH(B497,'GIS-Standards'!$B$2:$B$305,0))</f>
        <v>12.2020</v>
      </c>
      <c r="O497" t="e">
        <f>INDEX('GIS-Standards'!$I$2:$I$305,MATCH(C497,'GIS-Standards'!$B$2:$B$305,0))</f>
        <v>#N/A</v>
      </c>
      <c r="P497" t="e">
        <f>AND(TableRelationships12[[#This Row],[Source Type]]="BIM",TableRelationships12[[#This Row],[Target Type]]="BIM")</f>
        <v>#N/A</v>
      </c>
      <c r="Q497">
        <f t="shared" si="21"/>
        <v>2</v>
      </c>
      <c r="S497">
        <f t="shared" si="22"/>
        <v>1</v>
      </c>
      <c r="T497" s="102" t="str">
        <f>IF(TableRelationships12[[#This Row],[Rank Pedro]]="Low","linkCategory1",IF(TableRelationships12[[#This Row],[Rank Pedro]]="Medium","linkCategory2",IF(TableRelationships12[[#This Row],[Rank Pedro]]="High","linkCategory3","")))</f>
        <v/>
      </c>
      <c r="U497" s="102" t="str">
        <f>IF(TableRelationships12[[#This Row],[Rank Pedro]]="Low","Pink",IF(TableRelationships12[[#This Row],[Rank Pedro]]="Medium","Purple",IF(TableRelationships12[[#This Row],[Rank Pedro]]="High","Brown","")))</f>
        <v/>
      </c>
      <c r="V497" s="4">
        <f>MAX(INDEX(Standards!$F$2:$F$296,MATCH(B497,Standards!$B$2:$B$296,0)),INDEX(Standards!$F$2:$F$296,MATCH(C497,Standards!$B$2:$B$296,0)))</f>
        <v>37742</v>
      </c>
      <c r="W497">
        <f t="shared" si="23"/>
        <v>1</v>
      </c>
    </row>
    <row r="498" spans="1:23" x14ac:dyDescent="0.5">
      <c r="A498" s="54">
        <v>497</v>
      </c>
      <c r="B498" s="90" t="s">
        <v>314</v>
      </c>
      <c r="C498" t="s">
        <v>437</v>
      </c>
      <c r="D498" s="1" t="s">
        <v>1118</v>
      </c>
      <c r="E498" s="112">
        <v>1988.03</v>
      </c>
      <c r="F498" s="112">
        <v>2023.11</v>
      </c>
      <c r="G498" s="107" t="s">
        <v>1457</v>
      </c>
      <c r="H498">
        <f>INDEX('GIS-Standards'!$A$2:$A$305,MATCH(B498,'GIS-Standards'!$B$2:$B$305,0))</f>
        <v>22</v>
      </c>
      <c r="I498" t="e">
        <f>INDEX('GIS-Standards'!$A$2:$A$305,MATCH(C498,'GIS-Standards'!$B$2:$B$305,0))</f>
        <v>#N/A</v>
      </c>
      <c r="J498" t="str">
        <f>INDEX('GIS-Standards'!$O$2:$O$305,MATCH(B498,'GIS-Standards'!$B$2:$B$305,0))</f>
        <v>ISO/TC 211</v>
      </c>
      <c r="K498" t="e">
        <f>INDEX('GIS-Standards'!$O$2:$O$305,MATCH(C498,'GIS-Standards'!$B$2:$B$305,0))</f>
        <v>#N/A</v>
      </c>
      <c r="M498" t="s">
        <v>524</v>
      </c>
      <c r="N498" t="str">
        <f>INDEX('GIS-Standards'!$I$2:$I$305,MATCH(B498,'GIS-Standards'!$B$2:$B$305,0))</f>
        <v>12.2020</v>
      </c>
      <c r="O498" t="e">
        <f>INDEX('GIS-Standards'!$I$2:$I$305,MATCH(C498,'GIS-Standards'!$B$2:$B$305,0))</f>
        <v>#N/A</v>
      </c>
      <c r="P498" t="e">
        <f>AND(TableRelationships12[[#This Row],[Source Type]]="BIM",TableRelationships12[[#This Row],[Target Type]]="BIM")</f>
        <v>#N/A</v>
      </c>
      <c r="Q498">
        <f t="shared" si="21"/>
        <v>6</v>
      </c>
      <c r="S498">
        <f t="shared" si="22"/>
        <v>1</v>
      </c>
      <c r="T498" s="102" t="str">
        <f>IF(TableRelationships12[[#This Row],[Rank Pedro]]="Low","linkCategory1",IF(TableRelationships12[[#This Row],[Rank Pedro]]="Medium","linkCategory2",IF(TableRelationships12[[#This Row],[Rank Pedro]]="High","linkCategory3","")))</f>
        <v/>
      </c>
      <c r="U498" s="102" t="str">
        <f>IF(TableRelationships12[[#This Row],[Rank Pedro]]="Low","Pink",IF(TableRelationships12[[#This Row],[Rank Pedro]]="Medium","Purple",IF(TableRelationships12[[#This Row],[Rank Pedro]]="High","Brown","")))</f>
        <v/>
      </c>
      <c r="V498" s="4">
        <f>MAX(INDEX(Standards!$F$2:$F$296,MATCH(B498,Standards!$B$2:$B$296,0)),INDEX(Standards!$F$2:$F$296,MATCH(C498,Standards!$B$2:$B$296,0)))</f>
        <v>37742</v>
      </c>
      <c r="W498" t="str">
        <f t="shared" si="23"/>
        <v>#d6bf2a</v>
      </c>
    </row>
    <row r="499" spans="1:23" x14ac:dyDescent="0.5">
      <c r="A499" s="54">
        <v>498</v>
      </c>
      <c r="B499" s="90" t="s">
        <v>314</v>
      </c>
      <c r="C499" t="s">
        <v>132</v>
      </c>
      <c r="D499" s="1" t="s">
        <v>1119</v>
      </c>
      <c r="E499" s="112">
        <v>1997.09</v>
      </c>
      <c r="F499" s="112">
        <v>2020.08</v>
      </c>
      <c r="G499" s="107" t="s">
        <v>1481</v>
      </c>
      <c r="H499">
        <f>INDEX('GIS-Standards'!$A$2:$A$305,MATCH(B499,'GIS-Standards'!$B$2:$B$305,0))</f>
        <v>22</v>
      </c>
      <c r="I499" t="e">
        <f>INDEX('GIS-Standards'!$A$2:$A$305,MATCH(C499,'GIS-Standards'!$B$2:$B$305,0))</f>
        <v>#N/A</v>
      </c>
      <c r="J499" t="str">
        <f>INDEX('GIS-Standards'!$O$2:$O$305,MATCH(B499,'GIS-Standards'!$B$2:$B$305,0))</f>
        <v>ISO/TC 211</v>
      </c>
      <c r="K499" t="e">
        <f>INDEX('GIS-Standards'!$O$2:$O$305,MATCH(C499,'GIS-Standards'!$B$2:$B$305,0))</f>
        <v>#N/A</v>
      </c>
      <c r="M499" t="s">
        <v>524</v>
      </c>
      <c r="N499" t="str">
        <f>INDEX('GIS-Standards'!$I$2:$I$305,MATCH(B499,'GIS-Standards'!$B$2:$B$305,0))</f>
        <v>12.2020</v>
      </c>
      <c r="O499" t="e">
        <f>INDEX('GIS-Standards'!$I$2:$I$305,MATCH(C499,'GIS-Standards'!$B$2:$B$305,0))</f>
        <v>#N/A</v>
      </c>
      <c r="P499" t="e">
        <f>AND(TableRelationships12[[#This Row],[Source Type]]="BIM",TableRelationships12[[#This Row],[Target Type]]="BIM")</f>
        <v>#N/A</v>
      </c>
      <c r="Q499">
        <f t="shared" si="21"/>
        <v>6</v>
      </c>
      <c r="S499">
        <f t="shared" si="22"/>
        <v>1</v>
      </c>
      <c r="T499" s="102" t="str">
        <f>IF(TableRelationships12[[#This Row],[Rank Pedro]]="Low","linkCategory1",IF(TableRelationships12[[#This Row],[Rank Pedro]]="Medium","linkCategory2",IF(TableRelationships12[[#This Row],[Rank Pedro]]="High","linkCategory3","")))</f>
        <v/>
      </c>
      <c r="U499" s="102" t="str">
        <f>IF(TableRelationships12[[#This Row],[Rank Pedro]]="Low","Pink",IF(TableRelationships12[[#This Row],[Rank Pedro]]="Medium","Purple",IF(TableRelationships12[[#This Row],[Rank Pedro]]="High","Brown","")))</f>
        <v/>
      </c>
      <c r="V499" s="4">
        <f>MAX(INDEX(Standards!$F$2:$F$296,MATCH(B499,Standards!$B$2:$B$296,0)),INDEX(Standards!$F$2:$F$296,MATCH(C499,Standards!$B$2:$B$296,0)))</f>
        <v>37742</v>
      </c>
      <c r="W499" t="str">
        <f t="shared" si="23"/>
        <v>#d6bf2a</v>
      </c>
    </row>
    <row r="500" spans="1:23" x14ac:dyDescent="0.5">
      <c r="A500" s="54">
        <v>499</v>
      </c>
      <c r="B500" s="90" t="s">
        <v>314</v>
      </c>
      <c r="C500" t="s">
        <v>1401</v>
      </c>
      <c r="D500" s="1" t="s">
        <v>1119</v>
      </c>
      <c r="E500" s="113">
        <v>1998.12</v>
      </c>
      <c r="F500" s="112">
        <v>2020.08</v>
      </c>
      <c r="G500" s="107" t="s">
        <v>1481</v>
      </c>
      <c r="H500">
        <f>INDEX('GIS-Standards'!$A$2:$A$305,MATCH(B500,'GIS-Standards'!$B$2:$B$305,0))</f>
        <v>22</v>
      </c>
      <c r="I500" t="e">
        <f>INDEX('GIS-Standards'!$A$2:$A$305,MATCH(C500,'GIS-Standards'!$B$2:$B$305,0))</f>
        <v>#N/A</v>
      </c>
      <c r="J500" t="str">
        <f>INDEX('GIS-Standards'!$O$2:$O$305,MATCH(B500,'GIS-Standards'!$B$2:$B$305,0))</f>
        <v>ISO/TC 211</v>
      </c>
      <c r="K500" t="e">
        <f>INDEX('GIS-Standards'!$O$2:$O$305,MATCH(C500,'GIS-Standards'!$B$2:$B$305,0))</f>
        <v>#N/A</v>
      </c>
      <c r="M500" t="s">
        <v>524</v>
      </c>
      <c r="N500" t="str">
        <f>INDEX('GIS-Standards'!$I$2:$I$305,MATCH(B500,'GIS-Standards'!$B$2:$B$305,0))</f>
        <v>12.2020</v>
      </c>
      <c r="O500" t="e">
        <f>INDEX('GIS-Standards'!$I$2:$I$305,MATCH(C500,'GIS-Standards'!$B$2:$B$305,0))</f>
        <v>#N/A</v>
      </c>
      <c r="P500" t="e">
        <f>AND(TableRelationships12[[#This Row],[Source Type]]="BIM",TableRelationships12[[#This Row],[Target Type]]="BIM")</f>
        <v>#N/A</v>
      </c>
      <c r="Q500">
        <f t="shared" si="21"/>
        <v>6</v>
      </c>
      <c r="S500">
        <f t="shared" si="22"/>
        <v>1</v>
      </c>
      <c r="T500" s="102" t="str">
        <f>IF(TableRelationships12[[#This Row],[Rank Pedro]]="Low","linkCategory1",IF(TableRelationships12[[#This Row],[Rank Pedro]]="Medium","linkCategory2",IF(TableRelationships12[[#This Row],[Rank Pedro]]="High","linkCategory3","")))</f>
        <v/>
      </c>
      <c r="U500" s="102" t="str">
        <f>IF(TableRelationships12[[#This Row],[Rank Pedro]]="Low","Pink",IF(TableRelationships12[[#This Row],[Rank Pedro]]="Medium","Purple",IF(TableRelationships12[[#This Row],[Rank Pedro]]="High","Brown","")))</f>
        <v/>
      </c>
      <c r="V500" s="4" t="e">
        <f>MAX(INDEX(Standards!$F$2:$F$296,MATCH(B500,Standards!$B$2:$B$296,0)),INDEX(Standards!$F$2:$F$296,MATCH(C500,Standards!$B$2:$B$296,0)))</f>
        <v>#N/A</v>
      </c>
      <c r="W500" t="str">
        <f t="shared" si="23"/>
        <v>#d6bf2a</v>
      </c>
    </row>
    <row r="501" spans="1:23" x14ac:dyDescent="0.5">
      <c r="A501" s="54">
        <v>500</v>
      </c>
      <c r="B501" s="90" t="s">
        <v>314</v>
      </c>
      <c r="C501" t="s">
        <v>1402</v>
      </c>
      <c r="D501" s="1" t="s">
        <v>1119</v>
      </c>
      <c r="E501" s="113">
        <v>1999.03</v>
      </c>
      <c r="F501" s="112">
        <v>2020.08</v>
      </c>
      <c r="G501" s="107" t="s">
        <v>1481</v>
      </c>
      <c r="H501">
        <f>INDEX('GIS-Standards'!$A$2:$A$305,MATCH(B501,'GIS-Standards'!$B$2:$B$305,0))</f>
        <v>22</v>
      </c>
      <c r="I501" t="e">
        <f>INDEX('GIS-Standards'!$A$2:$A$305,MATCH(C501,'GIS-Standards'!$B$2:$B$305,0))</f>
        <v>#N/A</v>
      </c>
      <c r="J501" t="str">
        <f>INDEX('GIS-Standards'!$O$2:$O$305,MATCH(B501,'GIS-Standards'!$B$2:$B$305,0))</f>
        <v>ISO/TC 211</v>
      </c>
      <c r="K501" t="e">
        <f>INDEX('GIS-Standards'!$O$2:$O$305,MATCH(C501,'GIS-Standards'!$B$2:$B$305,0))</f>
        <v>#N/A</v>
      </c>
      <c r="M501" t="s">
        <v>524</v>
      </c>
      <c r="N501" t="str">
        <f>INDEX('GIS-Standards'!$I$2:$I$305,MATCH(B501,'GIS-Standards'!$B$2:$B$305,0))</f>
        <v>12.2020</v>
      </c>
      <c r="O501" t="e">
        <f>INDEX('GIS-Standards'!$I$2:$I$305,MATCH(C501,'GIS-Standards'!$B$2:$B$305,0))</f>
        <v>#N/A</v>
      </c>
      <c r="P501" t="e">
        <f>AND(TableRelationships12[[#This Row],[Source Type]]="BIM",TableRelationships12[[#This Row],[Target Type]]="BIM")</f>
        <v>#N/A</v>
      </c>
      <c r="Q501">
        <f t="shared" si="21"/>
        <v>6</v>
      </c>
      <c r="S501">
        <f t="shared" si="22"/>
        <v>1</v>
      </c>
      <c r="T501" s="102" t="str">
        <f>IF(TableRelationships12[[#This Row],[Rank Pedro]]="Low","linkCategory1",IF(TableRelationships12[[#This Row],[Rank Pedro]]="Medium","linkCategory2",IF(TableRelationships12[[#This Row],[Rank Pedro]]="High","linkCategory3","")))</f>
        <v/>
      </c>
      <c r="U501" s="102" t="str">
        <f>IF(TableRelationships12[[#This Row],[Rank Pedro]]="Low","Pink",IF(TableRelationships12[[#This Row],[Rank Pedro]]="Medium","Purple",IF(TableRelationships12[[#This Row],[Rank Pedro]]="High","Brown","")))</f>
        <v/>
      </c>
      <c r="V501" s="4" t="e">
        <f>MAX(INDEX(Standards!$F$2:$F$296,MATCH(B501,Standards!$B$2:$B$296,0)),INDEX(Standards!$F$2:$F$296,MATCH(C501,Standards!$B$2:$B$296,0)))</f>
        <v>#N/A</v>
      </c>
      <c r="W501" t="str">
        <f t="shared" si="23"/>
        <v>#d6bf2a</v>
      </c>
    </row>
    <row r="502" spans="1:23" x14ac:dyDescent="0.5">
      <c r="A502" s="54">
        <v>501</v>
      </c>
      <c r="B502" s="90" t="s">
        <v>314</v>
      </c>
      <c r="C502" t="s">
        <v>190</v>
      </c>
      <c r="D502" s="1"/>
      <c r="E502" s="112">
        <v>1978.02</v>
      </c>
      <c r="F502" s="112">
        <v>2015.08</v>
      </c>
      <c r="G502" s="107" t="s">
        <v>1484</v>
      </c>
      <c r="H502">
        <f>INDEX('GIS-Standards'!$A$2:$A$305,MATCH(B502,'GIS-Standards'!$B$2:$B$305,0))</f>
        <v>22</v>
      </c>
      <c r="I502" t="e">
        <f>INDEX('GIS-Standards'!$A$2:$A$305,MATCH(C502,'GIS-Standards'!$B$2:$B$305,0))</f>
        <v>#N/A</v>
      </c>
      <c r="J502" t="str">
        <f>INDEX('GIS-Standards'!$O$2:$O$305,MATCH(B502,'GIS-Standards'!$B$2:$B$305,0))</f>
        <v>ISO/TC 211</v>
      </c>
      <c r="K502" t="e">
        <f>INDEX('GIS-Standards'!$O$2:$O$305,MATCH(C502,'GIS-Standards'!$B$2:$B$305,0))</f>
        <v>#N/A</v>
      </c>
      <c r="M502" t="s">
        <v>524</v>
      </c>
      <c r="N502" t="str">
        <f>INDEX('GIS-Standards'!$I$2:$I$305,MATCH(B502,'GIS-Standards'!$B$2:$B$305,0))</f>
        <v>12.2020</v>
      </c>
      <c r="O502" t="e">
        <f>INDEX('GIS-Standards'!$I$2:$I$305,MATCH(C502,'GIS-Standards'!$B$2:$B$305,0))</f>
        <v>#N/A</v>
      </c>
      <c r="P502" t="e">
        <f>AND(TableRelationships12[[#This Row],[Source Type]]="BIM",TableRelationships12[[#This Row],[Target Type]]="BIM")</f>
        <v>#N/A</v>
      </c>
      <c r="Q502">
        <f t="shared" si="21"/>
        <v>6</v>
      </c>
      <c r="S502">
        <f t="shared" si="22"/>
        <v>1</v>
      </c>
      <c r="T502" s="102" t="str">
        <f>IF(TableRelationships12[[#This Row],[Rank Pedro]]="Low","linkCategory1",IF(TableRelationships12[[#This Row],[Rank Pedro]]="Medium","linkCategory2",IF(TableRelationships12[[#This Row],[Rank Pedro]]="High","linkCategory3","")))</f>
        <v/>
      </c>
      <c r="U502" s="102" t="str">
        <f>IF(TableRelationships12[[#This Row],[Rank Pedro]]="Low","Pink",IF(TableRelationships12[[#This Row],[Rank Pedro]]="Medium","Purple",IF(TableRelationships12[[#This Row],[Rank Pedro]]="High","Brown","")))</f>
        <v/>
      </c>
      <c r="V502" s="4">
        <f>MAX(INDEX(Standards!$F$2:$F$296,MATCH(B502,Standards!$B$2:$B$296,0)),INDEX(Standards!$F$2:$F$296,MATCH(C502,Standards!$B$2:$B$296,0)))</f>
        <v>37742</v>
      </c>
      <c r="W502" t="str">
        <f t="shared" si="23"/>
        <v>#d6bf2a</v>
      </c>
    </row>
    <row r="503" spans="1:23" x14ac:dyDescent="0.5">
      <c r="A503" s="54">
        <v>502</v>
      </c>
      <c r="B503" s="90" t="s">
        <v>314</v>
      </c>
      <c r="C503" t="s">
        <v>296</v>
      </c>
      <c r="D503" s="1"/>
      <c r="E503" s="112">
        <v>2005.07</v>
      </c>
      <c r="F503" s="112">
        <v>2024.09</v>
      </c>
      <c r="G503" s="107" t="s">
        <v>670</v>
      </c>
      <c r="H503">
        <f>INDEX('GIS-Standards'!$A$2:$A$305,MATCH(B503,'GIS-Standards'!$B$2:$B$305,0))</f>
        <v>22</v>
      </c>
      <c r="I503">
        <f>INDEX('GIS-Standards'!$A$2:$A$305,MATCH(C503,'GIS-Standards'!$B$2:$B$305,0))</f>
        <v>12</v>
      </c>
      <c r="J503" t="str">
        <f>INDEX('GIS-Standards'!$O$2:$O$305,MATCH(B503,'GIS-Standards'!$B$2:$B$305,0))</f>
        <v>ISO/TC 211</v>
      </c>
      <c r="K503" t="str">
        <f>INDEX('GIS-Standards'!$O$2:$O$305,MATCH(C503,'GIS-Standards'!$B$2:$B$305,0))</f>
        <v>ISO/TC 211</v>
      </c>
      <c r="M503" t="s">
        <v>524</v>
      </c>
      <c r="N503" t="str">
        <f>INDEX('GIS-Standards'!$I$2:$I$305,MATCH(B503,'GIS-Standards'!$B$2:$B$305,0))</f>
        <v>12.2020</v>
      </c>
      <c r="O503">
        <f>INDEX('GIS-Standards'!$I$2:$I$305,MATCH(C503,'GIS-Standards'!$B$2:$B$305,0))</f>
        <v>0</v>
      </c>
      <c r="P503" t="b">
        <f>AND(TableRelationships12[[#This Row],[Source Type]]="BIM",TableRelationships12[[#This Row],[Target Type]]="BIM")</f>
        <v>0</v>
      </c>
      <c r="Q503">
        <f t="shared" si="21"/>
        <v>6</v>
      </c>
      <c r="S503">
        <f t="shared" si="22"/>
        <v>1</v>
      </c>
      <c r="T503" s="102" t="str">
        <f>IF(TableRelationships12[[#This Row],[Rank Pedro]]="Low","linkCategory1",IF(TableRelationships12[[#This Row],[Rank Pedro]]="Medium","linkCategory2",IF(TableRelationships12[[#This Row],[Rank Pedro]]="High","linkCategory3","")))</f>
        <v/>
      </c>
      <c r="U503" s="102" t="str">
        <f>IF(TableRelationships12[[#This Row],[Rank Pedro]]="Low","Pink",IF(TableRelationships12[[#This Row],[Rank Pedro]]="Medium","Purple",IF(TableRelationships12[[#This Row],[Rank Pedro]]="High","Brown","")))</f>
        <v/>
      </c>
      <c r="V503" s="4">
        <f>MAX(INDEX(Standards!$F$2:$F$296,MATCH(B503,Standards!$B$2:$B$296,0)),INDEX(Standards!$F$2:$F$296,MATCH(C503,Standards!$B$2:$B$296,0)))</f>
        <v>38534</v>
      </c>
      <c r="W503" t="str">
        <f t="shared" si="23"/>
        <v>#d6bf2a</v>
      </c>
    </row>
    <row r="504" spans="1:23" x14ac:dyDescent="0.5">
      <c r="A504" s="54">
        <v>503</v>
      </c>
      <c r="B504" s="90" t="s">
        <v>314</v>
      </c>
      <c r="C504" t="s">
        <v>1040</v>
      </c>
      <c r="D504" s="1"/>
      <c r="E504" s="112">
        <v>2004.07</v>
      </c>
      <c r="F504" s="112">
        <v>2004.07</v>
      </c>
      <c r="G504" s="107" t="s">
        <v>670</v>
      </c>
      <c r="H504">
        <f>INDEX('GIS-Standards'!$A$2:$A$305,MATCH(B504,'GIS-Standards'!$B$2:$B$305,0))</f>
        <v>22</v>
      </c>
      <c r="I504">
        <f>INDEX('GIS-Standards'!$A$2:$A$305,MATCH(C504,'GIS-Standards'!$B$2:$B$305,0))</f>
        <v>15</v>
      </c>
      <c r="J504" t="str">
        <f>INDEX('GIS-Standards'!$O$2:$O$305,MATCH(B504,'GIS-Standards'!$B$2:$B$305,0))</f>
        <v>ISO/TC 211</v>
      </c>
      <c r="K504" t="str">
        <f>INDEX('GIS-Standards'!$O$2:$O$305,MATCH(C504,'GIS-Standards'!$B$2:$B$305,0))</f>
        <v>ISO/TC 211</v>
      </c>
      <c r="M504" t="s">
        <v>524</v>
      </c>
      <c r="N504" t="str">
        <f>INDEX('GIS-Standards'!$I$2:$I$305,MATCH(B504,'GIS-Standards'!$B$2:$B$305,0))</f>
        <v>12.2020</v>
      </c>
      <c r="O504">
        <f>INDEX('GIS-Standards'!$I$2:$I$305,MATCH(C504,'GIS-Standards'!$B$2:$B$305,0))</f>
        <v>0</v>
      </c>
      <c r="P504" t="b">
        <f>AND(TableRelationships12[[#This Row],[Source Type]]="BIM",TableRelationships12[[#This Row],[Target Type]]="BIM")</f>
        <v>0</v>
      </c>
      <c r="Q504">
        <f t="shared" si="21"/>
        <v>6</v>
      </c>
      <c r="S504">
        <f t="shared" si="22"/>
        <v>1</v>
      </c>
      <c r="T504" s="102" t="str">
        <f>IF(TableRelationships12[[#This Row],[Rank Pedro]]="Low","linkCategory1",IF(TableRelationships12[[#This Row],[Rank Pedro]]="Medium","linkCategory2",IF(TableRelationships12[[#This Row],[Rank Pedro]]="High","linkCategory3","")))</f>
        <v/>
      </c>
      <c r="U504" s="102" t="str">
        <f>IF(TableRelationships12[[#This Row],[Rank Pedro]]="Low","Pink",IF(TableRelationships12[[#This Row],[Rank Pedro]]="Medium","Purple",IF(TableRelationships12[[#This Row],[Rank Pedro]]="High","Brown","")))</f>
        <v/>
      </c>
      <c r="V504" s="4" t="e">
        <f>MAX(INDEX(Standards!$F$2:$F$296,MATCH(B504,Standards!$B$2:$B$296,0)),INDEX(Standards!$F$2:$F$296,MATCH(C504,Standards!$B$2:$B$296,0)))</f>
        <v>#N/A</v>
      </c>
      <c r="W504" t="str">
        <f t="shared" si="23"/>
        <v>#d6bf2a</v>
      </c>
    </row>
    <row r="505" spans="1:23" x14ac:dyDescent="0.5">
      <c r="A505" s="54">
        <v>504</v>
      </c>
      <c r="B505" s="90" t="s">
        <v>314</v>
      </c>
      <c r="C505" t="s">
        <v>302</v>
      </c>
      <c r="D505" s="1"/>
      <c r="E505" s="112">
        <v>2003.05</v>
      </c>
      <c r="F505" s="112">
        <v>2019.12</v>
      </c>
      <c r="G505" s="107" t="s">
        <v>670</v>
      </c>
      <c r="H505">
        <f>INDEX('GIS-Standards'!$A$2:$A$305,MATCH(B505,'GIS-Standards'!$B$2:$B$305,0))</f>
        <v>22</v>
      </c>
      <c r="I505">
        <f>INDEX('GIS-Standards'!$A$2:$A$305,MATCH(C505,'GIS-Standards'!$B$2:$B$305,0))</f>
        <v>16</v>
      </c>
      <c r="J505" t="str">
        <f>INDEX('GIS-Standards'!$O$2:$O$305,MATCH(B505,'GIS-Standards'!$B$2:$B$305,0))</f>
        <v>ISO/TC 211</v>
      </c>
      <c r="K505" t="str">
        <f>INDEX('GIS-Standards'!$O$2:$O$305,MATCH(C505,'GIS-Standards'!$B$2:$B$305,0))</f>
        <v>ISO/TC 211</v>
      </c>
      <c r="M505" t="s">
        <v>524</v>
      </c>
      <c r="N505" t="str">
        <f>INDEX('GIS-Standards'!$I$2:$I$305,MATCH(B505,'GIS-Standards'!$B$2:$B$305,0))</f>
        <v>12.2020</v>
      </c>
      <c r="O505">
        <f>INDEX('GIS-Standards'!$I$2:$I$305,MATCH(C505,'GIS-Standards'!$B$2:$B$305,0))</f>
        <v>0</v>
      </c>
      <c r="P505" t="b">
        <f>AND(TableRelationships12[[#This Row],[Source Type]]="BIM",TableRelationships12[[#This Row],[Target Type]]="BIM")</f>
        <v>0</v>
      </c>
      <c r="Q505">
        <f t="shared" si="21"/>
        <v>6</v>
      </c>
      <c r="S505">
        <f t="shared" si="22"/>
        <v>1</v>
      </c>
      <c r="T505" s="102" t="str">
        <f>IF(TableRelationships12[[#This Row],[Rank Pedro]]="Low","linkCategory1",IF(TableRelationships12[[#This Row],[Rank Pedro]]="Medium","linkCategory2",IF(TableRelationships12[[#This Row],[Rank Pedro]]="High","linkCategory3","")))</f>
        <v/>
      </c>
      <c r="U505" s="102" t="str">
        <f>IF(TableRelationships12[[#This Row],[Rank Pedro]]="Low","Pink",IF(TableRelationships12[[#This Row],[Rank Pedro]]="Medium","Purple",IF(TableRelationships12[[#This Row],[Rank Pedro]]="High","Brown","")))</f>
        <v/>
      </c>
      <c r="V505" s="4">
        <f>MAX(INDEX(Standards!$F$2:$F$296,MATCH(B505,Standards!$B$2:$B$296,0)),INDEX(Standards!$F$2:$F$296,MATCH(C505,Standards!$B$2:$B$296,0)))</f>
        <v>37742</v>
      </c>
      <c r="W505" t="str">
        <f t="shared" si="23"/>
        <v>#d6bf2a</v>
      </c>
    </row>
    <row r="506" spans="1:23" x14ac:dyDescent="0.5">
      <c r="A506" s="54">
        <v>505</v>
      </c>
      <c r="B506" s="90" t="s">
        <v>314</v>
      </c>
      <c r="C506" t="s">
        <v>304</v>
      </c>
      <c r="D506" s="1"/>
      <c r="E506" s="112">
        <v>2002.09</v>
      </c>
      <c r="F506" s="112">
        <v>2006.1</v>
      </c>
      <c r="G506" s="107" t="s">
        <v>670</v>
      </c>
      <c r="H506">
        <f>INDEX('GIS-Standards'!$A$2:$A$305,MATCH(B506,'GIS-Standards'!$B$2:$B$305,0))</f>
        <v>22</v>
      </c>
      <c r="I506">
        <f>INDEX('GIS-Standards'!$A$2:$A$305,MATCH(C506,'GIS-Standards'!$B$2:$B$305,0))</f>
        <v>17</v>
      </c>
      <c r="J506" t="str">
        <f>INDEX('GIS-Standards'!$O$2:$O$305,MATCH(B506,'GIS-Standards'!$B$2:$B$305,0))</f>
        <v>ISO/TC 211</v>
      </c>
      <c r="K506" t="str">
        <f>INDEX('GIS-Standards'!$O$2:$O$305,MATCH(C506,'GIS-Standards'!$B$2:$B$305,0))</f>
        <v>ISO/TC 211</v>
      </c>
      <c r="M506" t="s">
        <v>524</v>
      </c>
      <c r="N506" t="str">
        <f>INDEX('GIS-Standards'!$I$2:$I$305,MATCH(B506,'GIS-Standards'!$B$2:$B$305,0))</f>
        <v>12.2020</v>
      </c>
      <c r="O506" t="str">
        <f>INDEX('GIS-Standards'!$I$2:$I$305,MATCH(C506,'GIS-Standards'!$B$2:$B$305,0))</f>
        <v>06.2008</v>
      </c>
      <c r="P506" t="b">
        <f>AND(TableRelationships12[[#This Row],[Source Type]]="BIM",TableRelationships12[[#This Row],[Target Type]]="BIM")</f>
        <v>0</v>
      </c>
      <c r="Q506">
        <f t="shared" si="21"/>
        <v>6</v>
      </c>
      <c r="S506">
        <f t="shared" si="22"/>
        <v>1</v>
      </c>
      <c r="T506" s="102" t="str">
        <f>IF(TableRelationships12[[#This Row],[Rank Pedro]]="Low","linkCategory1",IF(TableRelationships12[[#This Row],[Rank Pedro]]="Medium","linkCategory2",IF(TableRelationships12[[#This Row],[Rank Pedro]]="High","linkCategory3","")))</f>
        <v/>
      </c>
      <c r="U506" s="102" t="str">
        <f>IF(TableRelationships12[[#This Row],[Rank Pedro]]="Low","Pink",IF(TableRelationships12[[#This Row],[Rank Pedro]]="Medium","Purple",IF(TableRelationships12[[#This Row],[Rank Pedro]]="High","Brown","")))</f>
        <v/>
      </c>
      <c r="V506" s="4">
        <f>MAX(INDEX(Standards!$F$2:$F$296,MATCH(B506,Standards!$B$2:$B$296,0)),INDEX(Standards!$F$2:$F$296,MATCH(C506,Standards!$B$2:$B$296,0)))</f>
        <v>37742</v>
      </c>
      <c r="W506" t="str">
        <f t="shared" si="23"/>
        <v>#d6bf2a</v>
      </c>
    </row>
    <row r="507" spans="1:23" x14ac:dyDescent="0.5">
      <c r="A507" s="54">
        <v>506</v>
      </c>
      <c r="B507" s="90" t="s">
        <v>314</v>
      </c>
      <c r="C507" t="s">
        <v>306</v>
      </c>
      <c r="D507" s="1"/>
      <c r="E507" s="112">
        <v>2005.06</v>
      </c>
      <c r="F507" s="112">
        <v>2025.07</v>
      </c>
      <c r="G507" s="107" t="s">
        <v>670</v>
      </c>
      <c r="H507">
        <f>INDEX('GIS-Standards'!$A$2:$A$305,MATCH(B507,'GIS-Standards'!$B$2:$B$305,0))</f>
        <v>22</v>
      </c>
      <c r="I507">
        <f>INDEX('GIS-Standards'!$A$2:$A$305,MATCH(C507,'GIS-Standards'!$B$2:$B$305,0))</f>
        <v>18</v>
      </c>
      <c r="J507" t="str">
        <f>INDEX('GIS-Standards'!$O$2:$O$305,MATCH(B507,'GIS-Standards'!$B$2:$B$305,0))</f>
        <v>ISO/TC 211</v>
      </c>
      <c r="K507" t="str">
        <f>INDEX('GIS-Standards'!$O$2:$O$305,MATCH(C507,'GIS-Standards'!$B$2:$B$305,0))</f>
        <v>ISO/TC 211</v>
      </c>
      <c r="M507" t="s">
        <v>524</v>
      </c>
      <c r="N507" t="str">
        <f>INDEX('GIS-Standards'!$I$2:$I$305,MATCH(B507,'GIS-Standards'!$B$2:$B$305,0))</f>
        <v>12.2020</v>
      </c>
      <c r="O507">
        <f>INDEX('GIS-Standards'!$I$2:$I$305,MATCH(C507,'GIS-Standards'!$B$2:$B$305,0))</f>
        <v>0</v>
      </c>
      <c r="P507" t="b">
        <f>AND(TableRelationships12[[#This Row],[Source Type]]="BIM",TableRelationships12[[#This Row],[Target Type]]="BIM")</f>
        <v>0</v>
      </c>
      <c r="Q507">
        <f t="shared" si="21"/>
        <v>6</v>
      </c>
      <c r="S507">
        <f t="shared" si="22"/>
        <v>1</v>
      </c>
      <c r="T507" s="102" t="str">
        <f>IF(TableRelationships12[[#This Row],[Rank Pedro]]="Low","linkCategory1",IF(TableRelationships12[[#This Row],[Rank Pedro]]="Medium","linkCategory2",IF(TableRelationships12[[#This Row],[Rank Pedro]]="High","linkCategory3","")))</f>
        <v/>
      </c>
      <c r="U507" s="102" t="str">
        <f>IF(TableRelationships12[[#This Row],[Rank Pedro]]="Low","Pink",IF(TableRelationships12[[#This Row],[Rank Pedro]]="Medium","Purple",IF(TableRelationships12[[#This Row],[Rank Pedro]]="High","Brown","")))</f>
        <v/>
      </c>
      <c r="V507" s="4">
        <f>MAX(INDEX(Standards!$F$2:$F$296,MATCH(B507,Standards!$B$2:$B$296,0)),INDEX(Standards!$F$2:$F$296,MATCH(C507,Standards!$B$2:$B$296,0)))</f>
        <v>38504</v>
      </c>
      <c r="W507" t="str">
        <f t="shared" si="23"/>
        <v>#d6bf2a</v>
      </c>
    </row>
    <row r="508" spans="1:23" x14ac:dyDescent="0.5">
      <c r="A508" s="54">
        <v>507</v>
      </c>
      <c r="B508" s="90" t="s">
        <v>314</v>
      </c>
      <c r="C508" t="s">
        <v>308</v>
      </c>
      <c r="D508" s="1"/>
      <c r="E508" s="112">
        <v>2005.02</v>
      </c>
      <c r="F508" s="112">
        <v>2016.12</v>
      </c>
      <c r="G508" s="107" t="s">
        <v>670</v>
      </c>
      <c r="H508">
        <f>INDEX('GIS-Standards'!$A$2:$A$305,MATCH(B508,'GIS-Standards'!$B$2:$B$305,0))</f>
        <v>22</v>
      </c>
      <c r="I508">
        <f>INDEX('GIS-Standards'!$A$2:$A$305,MATCH(C508,'GIS-Standards'!$B$2:$B$305,0))</f>
        <v>19</v>
      </c>
      <c r="J508" t="str">
        <f>INDEX('GIS-Standards'!$O$2:$O$305,MATCH(B508,'GIS-Standards'!$B$2:$B$305,0))</f>
        <v>ISO/TC 211</v>
      </c>
      <c r="K508" t="str">
        <f>INDEX('GIS-Standards'!$O$2:$O$305,MATCH(C508,'GIS-Standards'!$B$2:$B$305,0))</f>
        <v>ISO/TC 211</v>
      </c>
      <c r="M508" t="s">
        <v>524</v>
      </c>
      <c r="N508" t="str">
        <f>INDEX('GIS-Standards'!$I$2:$I$305,MATCH(B508,'GIS-Standards'!$B$2:$B$305,0))</f>
        <v>12.2020</v>
      </c>
      <c r="O508">
        <f>INDEX('GIS-Standards'!$I$2:$I$305,MATCH(C508,'GIS-Standards'!$B$2:$B$305,0))</f>
        <v>0</v>
      </c>
      <c r="P508" t="b">
        <f>AND(TableRelationships12[[#This Row],[Source Type]]="BIM",TableRelationships12[[#This Row],[Target Type]]="BIM")</f>
        <v>0</v>
      </c>
      <c r="Q508">
        <f t="shared" si="21"/>
        <v>6</v>
      </c>
      <c r="S508">
        <f t="shared" si="22"/>
        <v>1</v>
      </c>
      <c r="T508" s="102" t="str">
        <f>IF(TableRelationships12[[#This Row],[Rank Pedro]]="Low","linkCategory1",IF(TableRelationships12[[#This Row],[Rank Pedro]]="Medium","linkCategory2",IF(TableRelationships12[[#This Row],[Rank Pedro]]="High","linkCategory3","")))</f>
        <v/>
      </c>
      <c r="U508" s="102" t="str">
        <f>IF(TableRelationships12[[#This Row],[Rank Pedro]]="Low","Pink",IF(TableRelationships12[[#This Row],[Rank Pedro]]="Medium","Purple",IF(TableRelationships12[[#This Row],[Rank Pedro]]="High","Brown","")))</f>
        <v/>
      </c>
      <c r="V508" s="4">
        <f>MAX(INDEX(Standards!$F$2:$F$296,MATCH(B508,Standards!$B$2:$B$296,0)),INDEX(Standards!$F$2:$F$296,MATCH(C508,Standards!$B$2:$B$296,0)))</f>
        <v>38384</v>
      </c>
      <c r="W508" t="str">
        <f t="shared" si="23"/>
        <v>#d6bf2a</v>
      </c>
    </row>
    <row r="509" spans="1:23" x14ac:dyDescent="0.5">
      <c r="A509" s="54">
        <v>508</v>
      </c>
      <c r="B509" s="90" t="s">
        <v>314</v>
      </c>
      <c r="C509" t="s">
        <v>310</v>
      </c>
      <c r="D509" s="1"/>
      <c r="E509" s="112">
        <v>2003.02</v>
      </c>
      <c r="F509" s="112">
        <v>2023.08</v>
      </c>
      <c r="G509" s="107" t="s">
        <v>670</v>
      </c>
      <c r="H509">
        <f>INDEX('GIS-Standards'!$A$2:$A$305,MATCH(B509,'GIS-Standards'!$B$2:$B$305,0))</f>
        <v>22</v>
      </c>
      <c r="I509">
        <f>INDEX('GIS-Standards'!$A$2:$A$305,MATCH(C509,'GIS-Standards'!$B$2:$B$305,0))</f>
        <v>20</v>
      </c>
      <c r="J509" t="str">
        <f>INDEX('GIS-Standards'!$O$2:$O$305,MATCH(B509,'GIS-Standards'!$B$2:$B$305,0))</f>
        <v>ISO/TC 211</v>
      </c>
      <c r="K509" t="str">
        <f>INDEX('GIS-Standards'!$O$2:$O$305,MATCH(C509,'GIS-Standards'!$B$2:$B$305,0))</f>
        <v>ISO/TC 211</v>
      </c>
      <c r="M509" t="s">
        <v>524</v>
      </c>
      <c r="N509" t="str">
        <f>INDEX('GIS-Standards'!$I$2:$I$305,MATCH(B509,'GIS-Standards'!$B$2:$B$305,0))</f>
        <v>12.2020</v>
      </c>
      <c r="O509" t="str">
        <f>INDEX('GIS-Standards'!$I$2:$I$305,MATCH(C509,'GIS-Standards'!$B$2:$B$305,0))</f>
        <v>08.2023</v>
      </c>
      <c r="P509" t="b">
        <f>AND(TableRelationships12[[#This Row],[Source Type]]="BIM",TableRelationships12[[#This Row],[Target Type]]="BIM")</f>
        <v>0</v>
      </c>
      <c r="Q509">
        <f t="shared" si="21"/>
        <v>6</v>
      </c>
      <c r="S509">
        <f t="shared" si="22"/>
        <v>1</v>
      </c>
      <c r="T509" s="102" t="str">
        <f>IF(TableRelationships12[[#This Row],[Rank Pedro]]="Low","linkCategory1",IF(TableRelationships12[[#This Row],[Rank Pedro]]="Medium","linkCategory2",IF(TableRelationships12[[#This Row],[Rank Pedro]]="High","linkCategory3","")))</f>
        <v/>
      </c>
      <c r="U509" s="102" t="str">
        <f>IF(TableRelationships12[[#This Row],[Rank Pedro]]="Low","Pink",IF(TableRelationships12[[#This Row],[Rank Pedro]]="Medium","Purple",IF(TableRelationships12[[#This Row],[Rank Pedro]]="High","Brown","")))</f>
        <v/>
      </c>
      <c r="V509" s="4">
        <f>MAX(INDEX(Standards!$F$2:$F$296,MATCH(B509,Standards!$B$2:$B$296,0)),INDEX(Standards!$F$2:$F$296,MATCH(C509,Standards!$B$2:$B$296,0)))</f>
        <v>37742</v>
      </c>
      <c r="W509" t="str">
        <f t="shared" si="23"/>
        <v>#d6bf2a</v>
      </c>
    </row>
    <row r="510" spans="1:23" x14ac:dyDescent="0.5">
      <c r="A510" s="54">
        <v>509</v>
      </c>
      <c r="B510" s="90" t="s">
        <v>314</v>
      </c>
      <c r="C510" t="s">
        <v>310</v>
      </c>
      <c r="D510" s="1" t="s">
        <v>1120</v>
      </c>
      <c r="E510" s="112">
        <v>2003.02</v>
      </c>
      <c r="F510" s="112">
        <v>2023.08</v>
      </c>
      <c r="G510" s="107" t="s">
        <v>670</v>
      </c>
      <c r="H510">
        <f>INDEX('GIS-Standards'!$A$2:$A$305,MATCH(B510,'GIS-Standards'!$B$2:$B$305,0))</f>
        <v>22</v>
      </c>
      <c r="I510">
        <f>INDEX('GIS-Standards'!$A$2:$A$305,MATCH(C510,'GIS-Standards'!$B$2:$B$305,0))</f>
        <v>20</v>
      </c>
      <c r="J510" t="str">
        <f>INDEX('GIS-Standards'!$O$2:$O$305,MATCH(B510,'GIS-Standards'!$B$2:$B$305,0))</f>
        <v>ISO/TC 211</v>
      </c>
      <c r="K510" t="str">
        <f>INDEX('GIS-Standards'!$O$2:$O$305,MATCH(C510,'GIS-Standards'!$B$2:$B$305,0))</f>
        <v>ISO/TC 211</v>
      </c>
      <c r="M510" t="s">
        <v>524</v>
      </c>
      <c r="N510" t="str">
        <f>INDEX('GIS-Standards'!$I$2:$I$305,MATCH(B510,'GIS-Standards'!$B$2:$B$305,0))</f>
        <v>12.2020</v>
      </c>
      <c r="O510" t="str">
        <f>INDEX('GIS-Standards'!$I$2:$I$305,MATCH(C510,'GIS-Standards'!$B$2:$B$305,0))</f>
        <v>08.2023</v>
      </c>
      <c r="P510" t="b">
        <f>AND(TableRelationships12[[#This Row],[Source Type]]="BIM",TableRelationships12[[#This Row],[Target Type]]="BIM")</f>
        <v>0</v>
      </c>
      <c r="Q510">
        <f t="shared" si="21"/>
        <v>6</v>
      </c>
      <c r="S510">
        <f t="shared" si="22"/>
        <v>1</v>
      </c>
      <c r="T510" s="102" t="str">
        <f>IF(TableRelationships12[[#This Row],[Rank Pedro]]="Low","linkCategory1",IF(TableRelationships12[[#This Row],[Rank Pedro]]="Medium","linkCategory2",IF(TableRelationships12[[#This Row],[Rank Pedro]]="High","linkCategory3","")))</f>
        <v/>
      </c>
      <c r="U510" s="102" t="str">
        <f>IF(TableRelationships12[[#This Row],[Rank Pedro]]="Low","Pink",IF(TableRelationships12[[#This Row],[Rank Pedro]]="Medium","Purple",IF(TableRelationships12[[#This Row],[Rank Pedro]]="High","Brown","")))</f>
        <v/>
      </c>
      <c r="V510" s="4">
        <f>MAX(INDEX(Standards!$F$2:$F$296,MATCH(B510,Standards!$B$2:$B$296,0)),INDEX(Standards!$F$2:$F$296,MATCH(C510,Standards!$B$2:$B$296,0)))</f>
        <v>37742</v>
      </c>
      <c r="W510" t="str">
        <f t="shared" si="23"/>
        <v>#d6bf2a</v>
      </c>
    </row>
    <row r="511" spans="1:23" x14ac:dyDescent="0.5">
      <c r="A511" s="54">
        <v>510</v>
      </c>
      <c r="B511" s="90" t="s">
        <v>314</v>
      </c>
      <c r="C511" t="s">
        <v>312</v>
      </c>
      <c r="D511" s="1"/>
      <c r="E511" s="112">
        <v>2003.1</v>
      </c>
      <c r="F511" s="112">
        <v>2019.02</v>
      </c>
      <c r="G511" s="107" t="s">
        <v>670</v>
      </c>
      <c r="H511">
        <f>INDEX('GIS-Standards'!$A$2:$A$305,MATCH(B511,'GIS-Standards'!$B$2:$B$305,0))</f>
        <v>22</v>
      </c>
      <c r="I511">
        <f>INDEX('GIS-Standards'!$A$2:$A$305,MATCH(C511,'GIS-Standards'!$B$2:$B$305,0))</f>
        <v>21</v>
      </c>
      <c r="J511" t="str">
        <f>INDEX('GIS-Standards'!$O$2:$O$305,MATCH(B511,'GIS-Standards'!$B$2:$B$305,0))</f>
        <v>ISO/TC 211</v>
      </c>
      <c r="K511" t="str">
        <f>INDEX('GIS-Standards'!$O$2:$O$305,MATCH(C511,'GIS-Standards'!$B$2:$B$305,0))</f>
        <v>ISO/TC 211</v>
      </c>
      <c r="M511" t="s">
        <v>524</v>
      </c>
      <c r="N511" t="str">
        <f>INDEX('GIS-Standards'!$I$2:$I$305,MATCH(B511,'GIS-Standards'!$B$2:$B$305,0))</f>
        <v>12.2020</v>
      </c>
      <c r="O511">
        <f>INDEX('GIS-Standards'!$I$2:$I$305,MATCH(C511,'GIS-Standards'!$B$2:$B$305,0))</f>
        <v>0</v>
      </c>
      <c r="P511" t="b">
        <f>AND(TableRelationships12[[#This Row],[Source Type]]="BIM",TableRelationships12[[#This Row],[Target Type]]="BIM")</f>
        <v>0</v>
      </c>
      <c r="Q511">
        <f t="shared" si="21"/>
        <v>6</v>
      </c>
      <c r="S511">
        <f t="shared" si="22"/>
        <v>1</v>
      </c>
      <c r="T511" s="102" t="str">
        <f>IF(TableRelationships12[[#This Row],[Rank Pedro]]="Low","linkCategory1",IF(TableRelationships12[[#This Row],[Rank Pedro]]="Medium","linkCategory2",IF(TableRelationships12[[#This Row],[Rank Pedro]]="High","linkCategory3","")))</f>
        <v/>
      </c>
      <c r="U511" s="102" t="str">
        <f>IF(TableRelationships12[[#This Row],[Rank Pedro]]="Low","Pink",IF(TableRelationships12[[#This Row],[Rank Pedro]]="Medium","Purple",IF(TableRelationships12[[#This Row],[Rank Pedro]]="High","Brown","")))</f>
        <v/>
      </c>
      <c r="V511" s="4">
        <f>MAX(INDEX(Standards!$F$2:$F$296,MATCH(B511,Standards!$B$2:$B$296,0)),INDEX(Standards!$F$2:$F$296,MATCH(C511,Standards!$B$2:$B$296,0)))</f>
        <v>37895</v>
      </c>
      <c r="W511" t="str">
        <f t="shared" si="23"/>
        <v>#d6bf2a</v>
      </c>
    </row>
    <row r="512" spans="1:23" x14ac:dyDescent="0.5">
      <c r="A512" s="54">
        <v>511</v>
      </c>
      <c r="B512" s="90" t="s">
        <v>314</v>
      </c>
      <c r="C512" t="s">
        <v>318</v>
      </c>
      <c r="D512" s="1"/>
      <c r="E512" s="112">
        <v>2005.02</v>
      </c>
      <c r="F512" s="112">
        <v>2016.01</v>
      </c>
      <c r="G512" s="107" t="s">
        <v>670</v>
      </c>
      <c r="H512">
        <f>INDEX('GIS-Standards'!$A$2:$A$305,MATCH(B512,'GIS-Standards'!$B$2:$B$305,0))</f>
        <v>22</v>
      </c>
      <c r="I512">
        <f>INDEX('GIS-Standards'!$A$2:$A$305,MATCH(C512,'GIS-Standards'!$B$2:$B$305,0))</f>
        <v>28</v>
      </c>
      <c r="J512" t="str">
        <f>INDEX('GIS-Standards'!$O$2:$O$305,MATCH(B512,'GIS-Standards'!$B$2:$B$305,0))</f>
        <v>ISO/TC 211</v>
      </c>
      <c r="K512" t="str">
        <f>INDEX('GIS-Standards'!$O$2:$O$305,MATCH(C512,'GIS-Standards'!$B$2:$B$305,0))</f>
        <v>ISO/TC 211</v>
      </c>
      <c r="M512" t="s">
        <v>524</v>
      </c>
      <c r="N512" t="str">
        <f>INDEX('GIS-Standards'!$I$2:$I$305,MATCH(B512,'GIS-Standards'!$B$2:$B$305,0))</f>
        <v>12.2020</v>
      </c>
      <c r="O512">
        <f>INDEX('GIS-Standards'!$I$2:$I$305,MATCH(C512,'GIS-Standards'!$B$2:$B$305,0))</f>
        <v>0</v>
      </c>
      <c r="P512" t="b">
        <f>AND(TableRelationships12[[#This Row],[Source Type]]="BIM",TableRelationships12[[#This Row],[Target Type]]="BIM")</f>
        <v>0</v>
      </c>
      <c r="Q512">
        <f t="shared" si="21"/>
        <v>6</v>
      </c>
      <c r="S512">
        <f t="shared" si="22"/>
        <v>1</v>
      </c>
      <c r="T512" s="102" t="str">
        <f>IF(TableRelationships12[[#This Row],[Rank Pedro]]="Low","linkCategory1",IF(TableRelationships12[[#This Row],[Rank Pedro]]="Medium","linkCategory2",IF(TableRelationships12[[#This Row],[Rank Pedro]]="High","linkCategory3","")))</f>
        <v/>
      </c>
      <c r="U512" s="102" t="str">
        <f>IF(TableRelationships12[[#This Row],[Rank Pedro]]="Low","Pink",IF(TableRelationships12[[#This Row],[Rank Pedro]]="Medium","Purple",IF(TableRelationships12[[#This Row],[Rank Pedro]]="High","Brown","")))</f>
        <v/>
      </c>
      <c r="V512" s="4">
        <f>MAX(INDEX(Standards!$F$2:$F$296,MATCH(B512,Standards!$B$2:$B$296,0)),INDEX(Standards!$F$2:$F$296,MATCH(C512,Standards!$B$2:$B$296,0)))</f>
        <v>38384</v>
      </c>
      <c r="W512" t="str">
        <f t="shared" si="23"/>
        <v>#d6bf2a</v>
      </c>
    </row>
    <row r="513" spans="1:23" x14ac:dyDescent="0.5">
      <c r="A513" s="54">
        <v>512</v>
      </c>
      <c r="B513" s="90" t="s">
        <v>314</v>
      </c>
      <c r="C513" t="s">
        <v>348</v>
      </c>
      <c r="D513" s="1" t="s">
        <v>640</v>
      </c>
      <c r="E513" s="113">
        <v>2013.12</v>
      </c>
      <c r="F513" s="113">
        <v>2023.04</v>
      </c>
      <c r="G513" s="107" t="s">
        <v>670</v>
      </c>
      <c r="H513">
        <f>INDEX('GIS-Standards'!$A$2:$A$305,MATCH(B513,'GIS-Standards'!$B$2:$B$305,0))</f>
        <v>22</v>
      </c>
      <c r="I513">
        <f>INDEX('GIS-Standards'!$A$2:$A$305,MATCH(C513,'GIS-Standards'!$B$2:$B$305,0))</f>
        <v>66</v>
      </c>
      <c r="J513" t="str">
        <f>INDEX('GIS-Standards'!$O$2:$O$305,MATCH(B513,'GIS-Standards'!$B$2:$B$305,0))</f>
        <v>ISO/TC 211</v>
      </c>
      <c r="K513" t="str">
        <f>INDEX('GIS-Standards'!$O$2:$O$305,MATCH(C513,'GIS-Standards'!$B$2:$B$305,0))</f>
        <v>ISO/TC 211</v>
      </c>
      <c r="M513" t="s">
        <v>524</v>
      </c>
      <c r="N513" t="str">
        <f>INDEX('GIS-Standards'!$I$2:$I$305,MATCH(B513,'GIS-Standards'!$B$2:$B$305,0))</f>
        <v>12.2020</v>
      </c>
      <c r="O513">
        <f>INDEX('GIS-Standards'!$I$2:$I$305,MATCH(C513,'GIS-Standards'!$B$2:$B$305,0))</f>
        <v>0</v>
      </c>
      <c r="P513" t="b">
        <f>AND(TableRelationships12[[#This Row],[Source Type]]="BIM",TableRelationships12[[#This Row],[Target Type]]="BIM")</f>
        <v>0</v>
      </c>
      <c r="Q513">
        <f t="shared" si="21"/>
        <v>6</v>
      </c>
      <c r="S513">
        <f t="shared" si="22"/>
        <v>1</v>
      </c>
      <c r="T513" s="102" t="str">
        <f>IF(TableRelationships12[[#This Row],[Rank Pedro]]="Low","linkCategory1",IF(TableRelationships12[[#This Row],[Rank Pedro]]="Medium","linkCategory2",IF(TableRelationships12[[#This Row],[Rank Pedro]]="High","linkCategory3","")))</f>
        <v/>
      </c>
      <c r="U513" s="102" t="str">
        <f>IF(TableRelationships12[[#This Row],[Rank Pedro]]="Low","Pink",IF(TableRelationships12[[#This Row],[Rank Pedro]]="Medium","Purple",IF(TableRelationships12[[#This Row],[Rank Pedro]]="High","Brown","")))</f>
        <v/>
      </c>
      <c r="V513" s="4">
        <f>MAX(INDEX(Standards!$F$2:$F$296,MATCH(B513,Standards!$B$2:$B$296,0)),INDEX(Standards!$F$2:$F$296,MATCH(C513,Standards!$B$2:$B$296,0)))</f>
        <v>37742</v>
      </c>
      <c r="W513" t="str">
        <f t="shared" si="23"/>
        <v>#d6bf2a</v>
      </c>
    </row>
    <row r="514" spans="1:23" x14ac:dyDescent="0.5">
      <c r="A514" s="54">
        <v>513</v>
      </c>
      <c r="B514" s="90" t="s">
        <v>314</v>
      </c>
      <c r="C514" t="s">
        <v>1121</v>
      </c>
      <c r="D514" s="1"/>
      <c r="E514" s="112">
        <v>2005.01</v>
      </c>
      <c r="G514" s="107"/>
      <c r="H514">
        <f>INDEX('GIS-Standards'!$A$2:$A$305,MATCH(B514,'GIS-Standards'!$B$2:$B$305,0))</f>
        <v>22</v>
      </c>
      <c r="I514" t="e">
        <f>INDEX('GIS-Standards'!$A$2:$A$305,MATCH(C514,'GIS-Standards'!$B$2:$B$305,0))</f>
        <v>#N/A</v>
      </c>
      <c r="J514" t="str">
        <f>INDEX('GIS-Standards'!$O$2:$O$305,MATCH(B514,'GIS-Standards'!$B$2:$B$305,0))</f>
        <v>ISO/TC 211</v>
      </c>
      <c r="K514" t="e">
        <f>INDEX('GIS-Standards'!$O$2:$O$305,MATCH(C514,'GIS-Standards'!$B$2:$B$305,0))</f>
        <v>#N/A</v>
      </c>
      <c r="M514" t="s">
        <v>524</v>
      </c>
      <c r="N514" t="str">
        <f>INDEX('GIS-Standards'!$I$2:$I$305,MATCH(B514,'GIS-Standards'!$B$2:$B$305,0))</f>
        <v>12.2020</v>
      </c>
      <c r="O514" t="e">
        <f>INDEX('GIS-Standards'!$I$2:$I$305,MATCH(C514,'GIS-Standards'!$B$2:$B$305,0))</f>
        <v>#N/A</v>
      </c>
      <c r="P514" t="e">
        <f>AND(TableRelationships12[[#This Row],[Source Type]]="BIM",TableRelationships12[[#This Row],[Target Type]]="BIM")</f>
        <v>#N/A</v>
      </c>
      <c r="Q514">
        <f t="shared" ref="Q514:Q577" si="24">IF(M514="Normative",6,IF(M514="Secondary",4,IF(M514="Anchor",2,1)))</f>
        <v>6</v>
      </c>
      <c r="S514">
        <f t="shared" ref="S514:S577" si="25">IF(R514="High",10,IF(R514="Medium",6,IF(R514="Low",2,1)))</f>
        <v>1</v>
      </c>
      <c r="T514" s="102" t="str">
        <f>IF(TableRelationships12[[#This Row],[Rank Pedro]]="Low","linkCategory1",IF(TableRelationships12[[#This Row],[Rank Pedro]]="Medium","linkCategory2",IF(TableRelationships12[[#This Row],[Rank Pedro]]="High","linkCategory3","")))</f>
        <v/>
      </c>
      <c r="U514" s="102" t="str">
        <f>IF(TableRelationships12[[#This Row],[Rank Pedro]]="Low","Pink",IF(TableRelationships12[[#This Row],[Rank Pedro]]="Medium","Purple",IF(TableRelationships12[[#This Row],[Rank Pedro]]="High","Brown","")))</f>
        <v/>
      </c>
      <c r="V514" s="4" t="e">
        <f>MAX(INDEX(Standards!$F$2:$F$296,MATCH(B514,Standards!$B$2:$B$296,0)),INDEX(Standards!$F$2:$F$296,MATCH(C514,Standards!$B$2:$B$296,0)))</f>
        <v>#N/A</v>
      </c>
      <c r="W514" t="str">
        <f t="shared" ref="W514:W577" si="26">IF(M514="Normative", "#d6bf2a", IF(M514="Informative", "#2f89d1", 1))</f>
        <v>#d6bf2a</v>
      </c>
    </row>
    <row r="515" spans="1:23" x14ac:dyDescent="0.5">
      <c r="A515" s="54">
        <v>514</v>
      </c>
      <c r="B515" s="90" t="s">
        <v>314</v>
      </c>
      <c r="C515" t="s">
        <v>412</v>
      </c>
      <c r="D515" s="1"/>
      <c r="E515" s="112">
        <v>1983.07</v>
      </c>
      <c r="F515" s="112">
        <v>1991.12</v>
      </c>
      <c r="G515" s="107" t="s">
        <v>1501</v>
      </c>
      <c r="H515">
        <f>INDEX('GIS-Standards'!$A$2:$A$305,MATCH(B515,'GIS-Standards'!$B$2:$B$305,0))</f>
        <v>22</v>
      </c>
      <c r="I515" t="e">
        <f>INDEX('GIS-Standards'!$A$2:$A$305,MATCH(C515,'GIS-Standards'!$B$2:$B$305,0))</f>
        <v>#N/A</v>
      </c>
      <c r="J515" t="str">
        <f>INDEX('GIS-Standards'!$O$2:$O$305,MATCH(B515,'GIS-Standards'!$B$2:$B$305,0))</f>
        <v>ISO/TC 211</v>
      </c>
      <c r="K515" t="e">
        <f>INDEX('GIS-Standards'!$O$2:$O$305,MATCH(C515,'GIS-Standards'!$B$2:$B$305,0))</f>
        <v>#N/A</v>
      </c>
      <c r="M515" t="s">
        <v>525</v>
      </c>
      <c r="N515" t="str">
        <f>INDEX('GIS-Standards'!$I$2:$I$305,MATCH(B515,'GIS-Standards'!$B$2:$B$305,0))</f>
        <v>12.2020</v>
      </c>
      <c r="O515" t="e">
        <f>INDEX('GIS-Standards'!$I$2:$I$305,MATCH(C515,'GIS-Standards'!$B$2:$B$305,0))</f>
        <v>#N/A</v>
      </c>
      <c r="P515" t="e">
        <f>AND(TableRelationships12[[#This Row],[Source Type]]="BIM",TableRelationships12[[#This Row],[Target Type]]="BIM")</f>
        <v>#N/A</v>
      </c>
      <c r="Q515">
        <f t="shared" si="24"/>
        <v>1</v>
      </c>
      <c r="S515">
        <f t="shared" si="25"/>
        <v>1</v>
      </c>
      <c r="T515" s="102" t="str">
        <f>IF(TableRelationships12[[#This Row],[Rank Pedro]]="Low","linkCategory1",IF(TableRelationships12[[#This Row],[Rank Pedro]]="Medium","linkCategory2",IF(TableRelationships12[[#This Row],[Rank Pedro]]="High","linkCategory3","")))</f>
        <v/>
      </c>
      <c r="U515" s="102" t="str">
        <f>IF(TableRelationships12[[#This Row],[Rank Pedro]]="Low","Pink",IF(TableRelationships12[[#This Row],[Rank Pedro]]="Medium","Purple",IF(TableRelationships12[[#This Row],[Rank Pedro]]="High","Brown","")))</f>
        <v/>
      </c>
      <c r="V515" s="4">
        <f>MAX(INDEX(Standards!$F$2:$F$296,MATCH(B515,Standards!$B$2:$B$296,0)),INDEX(Standards!$F$2:$F$296,MATCH(C515,Standards!$B$2:$B$296,0)))</f>
        <v>37742</v>
      </c>
      <c r="W515" t="str">
        <f t="shared" si="26"/>
        <v>#2f89d1</v>
      </c>
    </row>
    <row r="516" spans="1:23" x14ac:dyDescent="0.5">
      <c r="A516" s="54">
        <v>515</v>
      </c>
      <c r="B516" s="90" t="s">
        <v>314</v>
      </c>
      <c r="C516" t="s">
        <v>1122</v>
      </c>
      <c r="D516" s="1"/>
      <c r="E516" s="112">
        <v>1975.09</v>
      </c>
      <c r="F516" s="112">
        <v>2021.06</v>
      </c>
      <c r="G516" s="107" t="s">
        <v>1457</v>
      </c>
      <c r="H516">
        <f>INDEX('GIS-Standards'!$A$2:$A$305,MATCH(B516,'GIS-Standards'!$B$2:$B$305,0))</f>
        <v>22</v>
      </c>
      <c r="I516" t="e">
        <f>INDEX('GIS-Standards'!$A$2:$A$305,MATCH(C516,'GIS-Standards'!$B$2:$B$305,0))</f>
        <v>#N/A</v>
      </c>
      <c r="J516" t="str">
        <f>INDEX('GIS-Standards'!$O$2:$O$305,MATCH(B516,'GIS-Standards'!$B$2:$B$305,0))</f>
        <v>ISO/TC 211</v>
      </c>
      <c r="K516" t="e">
        <f>INDEX('GIS-Standards'!$O$2:$O$305,MATCH(C516,'GIS-Standards'!$B$2:$B$305,0))</f>
        <v>#N/A</v>
      </c>
      <c r="M516" t="s">
        <v>525</v>
      </c>
      <c r="N516" t="str">
        <f>INDEX('GIS-Standards'!$I$2:$I$305,MATCH(B516,'GIS-Standards'!$B$2:$B$305,0))</f>
        <v>12.2020</v>
      </c>
      <c r="O516" t="e">
        <f>INDEX('GIS-Standards'!$I$2:$I$305,MATCH(C516,'GIS-Standards'!$B$2:$B$305,0))</f>
        <v>#N/A</v>
      </c>
      <c r="P516" t="e">
        <f>AND(TableRelationships12[[#This Row],[Source Type]]="BIM",TableRelationships12[[#This Row],[Target Type]]="BIM")</f>
        <v>#N/A</v>
      </c>
      <c r="Q516">
        <f t="shared" si="24"/>
        <v>1</v>
      </c>
      <c r="S516">
        <f t="shared" si="25"/>
        <v>1</v>
      </c>
      <c r="T516" s="102" t="str">
        <f>IF(TableRelationships12[[#This Row],[Rank Pedro]]="Low","linkCategory1",IF(TableRelationships12[[#This Row],[Rank Pedro]]="Medium","linkCategory2",IF(TableRelationships12[[#This Row],[Rank Pedro]]="High","linkCategory3","")))</f>
        <v/>
      </c>
      <c r="U516" s="102" t="str">
        <f>IF(TableRelationships12[[#This Row],[Rank Pedro]]="Low","Pink",IF(TableRelationships12[[#This Row],[Rank Pedro]]="Medium","Purple",IF(TableRelationships12[[#This Row],[Rank Pedro]]="High","Brown","")))</f>
        <v/>
      </c>
      <c r="V516" s="4" t="e">
        <f>MAX(INDEX(Standards!$F$2:$F$296,MATCH(B516,Standards!$B$2:$B$296,0)),INDEX(Standards!$F$2:$F$296,MATCH(C516,Standards!$B$2:$B$296,0)))</f>
        <v>#N/A</v>
      </c>
      <c r="W516" t="str">
        <f t="shared" si="26"/>
        <v>#2f89d1</v>
      </c>
    </row>
    <row r="517" spans="1:23" x14ac:dyDescent="0.5">
      <c r="A517" s="54">
        <v>516</v>
      </c>
      <c r="B517" s="90" t="s">
        <v>314</v>
      </c>
      <c r="C517" t="s">
        <v>1076</v>
      </c>
      <c r="D517" s="1"/>
      <c r="E517" s="111">
        <v>1983.12</v>
      </c>
      <c r="F517" s="111">
        <v>2017.05</v>
      </c>
      <c r="G517" s="109" t="s">
        <v>1485</v>
      </c>
      <c r="H517">
        <f>INDEX('GIS-Standards'!$A$2:$A$305,MATCH(B517,'GIS-Standards'!$B$2:$B$305,0))</f>
        <v>22</v>
      </c>
      <c r="I517" t="e">
        <f>INDEX('GIS-Standards'!$A$2:$A$305,MATCH(C517,'GIS-Standards'!$B$2:$B$305,0))</f>
        <v>#N/A</v>
      </c>
      <c r="J517" t="str">
        <f>INDEX('GIS-Standards'!$O$2:$O$305,MATCH(B517,'GIS-Standards'!$B$2:$B$305,0))</f>
        <v>ISO/TC 211</v>
      </c>
      <c r="K517" t="e">
        <f>INDEX('GIS-Standards'!$O$2:$O$305,MATCH(C517,'GIS-Standards'!$B$2:$B$305,0))</f>
        <v>#N/A</v>
      </c>
      <c r="M517" t="s">
        <v>525</v>
      </c>
      <c r="N517" t="str">
        <f>INDEX('GIS-Standards'!$I$2:$I$305,MATCH(B517,'GIS-Standards'!$B$2:$B$305,0))</f>
        <v>12.2020</v>
      </c>
      <c r="O517" t="e">
        <f>INDEX('GIS-Standards'!$I$2:$I$305,MATCH(C517,'GIS-Standards'!$B$2:$B$305,0))</f>
        <v>#N/A</v>
      </c>
      <c r="P517" t="e">
        <f>AND(TableRelationships12[[#This Row],[Source Type]]="BIM",TableRelationships12[[#This Row],[Target Type]]="BIM")</f>
        <v>#N/A</v>
      </c>
      <c r="Q517">
        <f t="shared" si="24"/>
        <v>1</v>
      </c>
      <c r="S517">
        <f t="shared" si="25"/>
        <v>1</v>
      </c>
      <c r="T517" s="102" t="str">
        <f>IF(TableRelationships12[[#This Row],[Rank Pedro]]="Low","linkCategory1",IF(TableRelationships12[[#This Row],[Rank Pedro]]="Medium","linkCategory2",IF(TableRelationships12[[#This Row],[Rank Pedro]]="High","linkCategory3","")))</f>
        <v/>
      </c>
      <c r="U517" s="102" t="str">
        <f>IF(TableRelationships12[[#This Row],[Rank Pedro]]="Low","Pink",IF(TableRelationships12[[#This Row],[Rank Pedro]]="Medium","Purple",IF(TableRelationships12[[#This Row],[Rank Pedro]]="High","Brown","")))</f>
        <v/>
      </c>
      <c r="V517" s="4" t="e">
        <f>MAX(INDEX(Standards!$F$2:$F$296,MATCH(B517,Standards!$B$2:$B$296,0)),INDEX(Standards!$F$2:$F$296,MATCH(C517,Standards!$B$2:$B$296,0)))</f>
        <v>#N/A</v>
      </c>
      <c r="W517" t="str">
        <f t="shared" si="26"/>
        <v>#2f89d1</v>
      </c>
    </row>
    <row r="518" spans="1:23" x14ac:dyDescent="0.5">
      <c r="A518" s="54">
        <v>517</v>
      </c>
      <c r="B518" s="90" t="s">
        <v>314</v>
      </c>
      <c r="C518" t="s">
        <v>130</v>
      </c>
      <c r="D518" s="1"/>
      <c r="E518" s="112">
        <v>1993.05</v>
      </c>
      <c r="F518" s="112">
        <v>2025.06</v>
      </c>
      <c r="G518" s="107" t="s">
        <v>1501</v>
      </c>
      <c r="H518">
        <f>INDEX('GIS-Standards'!$A$2:$A$305,MATCH(B518,'GIS-Standards'!$B$2:$B$305,0))</f>
        <v>22</v>
      </c>
      <c r="I518" t="e">
        <f>INDEX('GIS-Standards'!$A$2:$A$305,MATCH(C518,'GIS-Standards'!$B$2:$B$305,0))</f>
        <v>#N/A</v>
      </c>
      <c r="J518" t="str">
        <f>INDEX('GIS-Standards'!$O$2:$O$305,MATCH(B518,'GIS-Standards'!$B$2:$B$305,0))</f>
        <v>ISO/TC 211</v>
      </c>
      <c r="K518" t="e">
        <f>INDEX('GIS-Standards'!$O$2:$O$305,MATCH(C518,'GIS-Standards'!$B$2:$B$305,0))</f>
        <v>#N/A</v>
      </c>
      <c r="M518" t="s">
        <v>525</v>
      </c>
      <c r="N518" t="str">
        <f>INDEX('GIS-Standards'!$I$2:$I$305,MATCH(B518,'GIS-Standards'!$B$2:$B$305,0))</f>
        <v>12.2020</v>
      </c>
      <c r="O518" t="e">
        <f>INDEX('GIS-Standards'!$I$2:$I$305,MATCH(C518,'GIS-Standards'!$B$2:$B$305,0))</f>
        <v>#N/A</v>
      </c>
      <c r="P518" t="e">
        <f>AND(TableRelationships12[[#This Row],[Source Type]]="BIM",TableRelationships12[[#This Row],[Target Type]]="BIM")</f>
        <v>#N/A</v>
      </c>
      <c r="Q518">
        <f t="shared" si="24"/>
        <v>1</v>
      </c>
      <c r="S518">
        <f t="shared" si="25"/>
        <v>1</v>
      </c>
      <c r="T518" s="102" t="str">
        <f>IF(TableRelationships12[[#This Row],[Rank Pedro]]="Low","linkCategory1",IF(TableRelationships12[[#This Row],[Rank Pedro]]="Medium","linkCategory2",IF(TableRelationships12[[#This Row],[Rank Pedro]]="High","linkCategory3","")))</f>
        <v/>
      </c>
      <c r="U518" s="102" t="str">
        <f>IF(TableRelationships12[[#This Row],[Rank Pedro]]="Low","Pink",IF(TableRelationships12[[#This Row],[Rank Pedro]]="Medium","Purple",IF(TableRelationships12[[#This Row],[Rank Pedro]]="High","Brown","")))</f>
        <v/>
      </c>
      <c r="V518" s="4">
        <f>MAX(INDEX(Standards!$F$2:$F$296,MATCH(B518,Standards!$B$2:$B$296,0)),INDEX(Standards!$F$2:$F$296,MATCH(C518,Standards!$B$2:$B$296,0)))</f>
        <v>37742</v>
      </c>
      <c r="W518" t="str">
        <f t="shared" si="26"/>
        <v>#2f89d1</v>
      </c>
    </row>
    <row r="519" spans="1:23" x14ac:dyDescent="0.5">
      <c r="A519" s="54">
        <v>518</v>
      </c>
      <c r="B519" s="90" t="s">
        <v>314</v>
      </c>
      <c r="C519" t="s">
        <v>1403</v>
      </c>
      <c r="D519" s="1" t="s">
        <v>1123</v>
      </c>
      <c r="E519" s="112">
        <v>1999.12</v>
      </c>
      <c r="F519" s="112">
        <v>2023.01</v>
      </c>
      <c r="G519" s="107" t="s">
        <v>1487</v>
      </c>
      <c r="H519">
        <f>INDEX('GIS-Standards'!$A$2:$A$305,MATCH(B519,'GIS-Standards'!$B$2:$B$305,0))</f>
        <v>22</v>
      </c>
      <c r="I519" t="e">
        <f>INDEX('GIS-Standards'!$A$2:$A$305,MATCH(C519,'GIS-Standards'!$B$2:$B$305,0))</f>
        <v>#N/A</v>
      </c>
      <c r="J519" t="str">
        <f>INDEX('GIS-Standards'!$O$2:$O$305,MATCH(B519,'GIS-Standards'!$B$2:$B$305,0))</f>
        <v>ISO/TC 211</v>
      </c>
      <c r="K519" t="e">
        <f>INDEX('GIS-Standards'!$O$2:$O$305,MATCH(C519,'GIS-Standards'!$B$2:$B$305,0))</f>
        <v>#N/A</v>
      </c>
      <c r="M519" t="s">
        <v>525</v>
      </c>
      <c r="N519" t="str">
        <f>INDEX('GIS-Standards'!$I$2:$I$305,MATCH(B519,'GIS-Standards'!$B$2:$B$305,0))</f>
        <v>12.2020</v>
      </c>
      <c r="O519" t="e">
        <f>INDEX('GIS-Standards'!$I$2:$I$305,MATCH(C519,'GIS-Standards'!$B$2:$B$305,0))</f>
        <v>#N/A</v>
      </c>
      <c r="P519" t="e">
        <f>AND(TableRelationships12[[#This Row],[Source Type]]="BIM",TableRelationships12[[#This Row],[Target Type]]="BIM")</f>
        <v>#N/A</v>
      </c>
      <c r="Q519">
        <f t="shared" si="24"/>
        <v>1</v>
      </c>
      <c r="S519">
        <f t="shared" si="25"/>
        <v>1</v>
      </c>
      <c r="T519" s="102" t="str">
        <f>IF(TableRelationships12[[#This Row],[Rank Pedro]]="Low","linkCategory1",IF(TableRelationships12[[#This Row],[Rank Pedro]]="Medium","linkCategory2",IF(TableRelationships12[[#This Row],[Rank Pedro]]="High","linkCategory3","")))</f>
        <v/>
      </c>
      <c r="U519" s="102" t="str">
        <f>IF(TableRelationships12[[#This Row],[Rank Pedro]]="Low","Pink",IF(TableRelationships12[[#This Row],[Rank Pedro]]="Medium","Purple",IF(TableRelationships12[[#This Row],[Rank Pedro]]="High","Brown","")))</f>
        <v/>
      </c>
      <c r="V519" s="4" t="e">
        <f>MAX(INDEX(Standards!$F$2:$F$296,MATCH(B519,Standards!$B$2:$B$296,0)),INDEX(Standards!$F$2:$F$296,MATCH(C519,Standards!$B$2:$B$296,0)))</f>
        <v>#N/A</v>
      </c>
      <c r="W519" t="str">
        <f t="shared" si="26"/>
        <v>#2f89d1</v>
      </c>
    </row>
    <row r="520" spans="1:23" x14ac:dyDescent="0.5">
      <c r="A520" s="54">
        <v>519</v>
      </c>
      <c r="B520" s="90" t="s">
        <v>314</v>
      </c>
      <c r="C520" t="s">
        <v>1406</v>
      </c>
      <c r="D520" s="1" t="s">
        <v>1123</v>
      </c>
      <c r="E520" s="113">
        <v>2000.02</v>
      </c>
      <c r="F520" s="113">
        <v>2019.04</v>
      </c>
      <c r="G520" s="107" t="s">
        <v>1487</v>
      </c>
      <c r="H520">
        <f>INDEX('GIS-Standards'!$A$2:$A$305,MATCH(B520,'GIS-Standards'!$B$2:$B$305,0))</f>
        <v>22</v>
      </c>
      <c r="I520" t="e">
        <f>INDEX('GIS-Standards'!$A$2:$A$305,MATCH(C520,'GIS-Standards'!$B$2:$B$305,0))</f>
        <v>#N/A</v>
      </c>
      <c r="J520" t="str">
        <f>INDEX('GIS-Standards'!$O$2:$O$305,MATCH(B520,'GIS-Standards'!$B$2:$B$305,0))</f>
        <v>ISO/TC 211</v>
      </c>
      <c r="K520" t="e">
        <f>INDEX('GIS-Standards'!$O$2:$O$305,MATCH(C520,'GIS-Standards'!$B$2:$B$305,0))</f>
        <v>#N/A</v>
      </c>
      <c r="M520" t="s">
        <v>525</v>
      </c>
      <c r="N520" t="str">
        <f>INDEX('GIS-Standards'!$I$2:$I$305,MATCH(B520,'GIS-Standards'!$B$2:$B$305,0))</f>
        <v>12.2020</v>
      </c>
      <c r="O520" t="e">
        <f>INDEX('GIS-Standards'!$I$2:$I$305,MATCH(C520,'GIS-Standards'!$B$2:$B$305,0))</f>
        <v>#N/A</v>
      </c>
      <c r="P520" t="e">
        <f>AND(TableRelationships12[[#This Row],[Source Type]]="BIM",TableRelationships12[[#This Row],[Target Type]]="BIM")</f>
        <v>#N/A</v>
      </c>
      <c r="Q520">
        <f t="shared" si="24"/>
        <v>1</v>
      </c>
      <c r="S520">
        <f t="shared" si="25"/>
        <v>1</v>
      </c>
      <c r="T520" s="102" t="str">
        <f>IF(TableRelationships12[[#This Row],[Rank Pedro]]="Low","linkCategory1",IF(TableRelationships12[[#This Row],[Rank Pedro]]="Medium","linkCategory2",IF(TableRelationships12[[#This Row],[Rank Pedro]]="High","linkCategory3","")))</f>
        <v/>
      </c>
      <c r="U520" s="102" t="str">
        <f>IF(TableRelationships12[[#This Row],[Rank Pedro]]="Low","Pink",IF(TableRelationships12[[#This Row],[Rank Pedro]]="Medium","Purple",IF(TableRelationships12[[#This Row],[Rank Pedro]]="High","Brown","")))</f>
        <v/>
      </c>
      <c r="V520" s="4" t="e">
        <f>MAX(INDEX(Standards!$F$2:$F$296,MATCH(B520,Standards!$B$2:$B$296,0)),INDEX(Standards!$F$2:$F$296,MATCH(C520,Standards!$B$2:$B$296,0)))</f>
        <v>#N/A</v>
      </c>
      <c r="W520" t="str">
        <f t="shared" si="26"/>
        <v>#2f89d1</v>
      </c>
    </row>
    <row r="521" spans="1:23" x14ac:dyDescent="0.5">
      <c r="A521" s="54">
        <v>520</v>
      </c>
      <c r="B521" s="90" t="s">
        <v>314</v>
      </c>
      <c r="C521" t="s">
        <v>1150</v>
      </c>
      <c r="D521" s="1" t="s">
        <v>1123</v>
      </c>
      <c r="E521" s="112">
        <v>2013.02</v>
      </c>
      <c r="F521" s="112">
        <v>2023.01</v>
      </c>
      <c r="G521" s="107" t="s">
        <v>1487</v>
      </c>
      <c r="H521">
        <f>INDEX('GIS-Standards'!$A$2:$A$305,MATCH(B521,'GIS-Standards'!$B$2:$B$305,0))</f>
        <v>22</v>
      </c>
      <c r="I521" t="e">
        <f>INDEX('GIS-Standards'!$A$2:$A$305,MATCH(C521,'GIS-Standards'!$B$2:$B$305,0))</f>
        <v>#N/A</v>
      </c>
      <c r="J521" t="str">
        <f>INDEX('GIS-Standards'!$O$2:$O$305,MATCH(B521,'GIS-Standards'!$B$2:$B$305,0))</f>
        <v>ISO/TC 211</v>
      </c>
      <c r="K521" t="e">
        <f>INDEX('GIS-Standards'!$O$2:$O$305,MATCH(C521,'GIS-Standards'!$B$2:$B$305,0))</f>
        <v>#N/A</v>
      </c>
      <c r="M521" t="s">
        <v>525</v>
      </c>
      <c r="N521" t="str">
        <f>INDEX('GIS-Standards'!$I$2:$I$305,MATCH(B521,'GIS-Standards'!$B$2:$B$305,0))</f>
        <v>12.2020</v>
      </c>
      <c r="O521" t="e">
        <f>INDEX('GIS-Standards'!$I$2:$I$305,MATCH(C521,'GIS-Standards'!$B$2:$B$305,0))</f>
        <v>#N/A</v>
      </c>
      <c r="P521" t="e">
        <f>AND(TableRelationships12[[#This Row],[Source Type]]="BIM",TableRelationships12[[#This Row],[Target Type]]="BIM")</f>
        <v>#N/A</v>
      </c>
      <c r="Q521">
        <f t="shared" si="24"/>
        <v>1</v>
      </c>
      <c r="S521">
        <f t="shared" si="25"/>
        <v>1</v>
      </c>
      <c r="T521" s="102" t="str">
        <f>IF(TableRelationships12[[#This Row],[Rank Pedro]]="Low","linkCategory1",IF(TableRelationships12[[#This Row],[Rank Pedro]]="Medium","linkCategory2",IF(TableRelationships12[[#This Row],[Rank Pedro]]="High","linkCategory3","")))</f>
        <v/>
      </c>
      <c r="U521" s="102" t="str">
        <f>IF(TableRelationships12[[#This Row],[Rank Pedro]]="Low","Pink",IF(TableRelationships12[[#This Row],[Rank Pedro]]="Medium","Purple",IF(TableRelationships12[[#This Row],[Rank Pedro]]="High","Brown","")))</f>
        <v/>
      </c>
      <c r="V521" s="4" t="e">
        <f>MAX(INDEX(Standards!$F$2:$F$296,MATCH(B521,Standards!$B$2:$B$296,0)),INDEX(Standards!$F$2:$F$296,MATCH(C521,Standards!$B$2:$B$296,0)))</f>
        <v>#N/A</v>
      </c>
      <c r="W521" t="str">
        <f t="shared" si="26"/>
        <v>#2f89d1</v>
      </c>
    </row>
    <row r="522" spans="1:23" x14ac:dyDescent="0.5">
      <c r="A522" s="54">
        <v>521</v>
      </c>
      <c r="B522" s="90" t="s">
        <v>314</v>
      </c>
      <c r="C522" t="s">
        <v>1405</v>
      </c>
      <c r="D522" s="1" t="s">
        <v>1123</v>
      </c>
      <c r="E522" s="112">
        <v>1995.06</v>
      </c>
      <c r="F522" s="112">
        <v>2004.07</v>
      </c>
      <c r="G522" s="107" t="s">
        <v>1487</v>
      </c>
      <c r="H522">
        <f>INDEX('GIS-Standards'!$A$2:$A$305,MATCH(B522,'GIS-Standards'!$B$2:$B$305,0))</f>
        <v>22</v>
      </c>
      <c r="I522" t="e">
        <f>INDEX('GIS-Standards'!$A$2:$A$305,MATCH(C522,'GIS-Standards'!$B$2:$B$305,0))</f>
        <v>#N/A</v>
      </c>
      <c r="J522" t="str">
        <f>INDEX('GIS-Standards'!$O$2:$O$305,MATCH(B522,'GIS-Standards'!$B$2:$B$305,0))</f>
        <v>ISO/TC 211</v>
      </c>
      <c r="K522" t="e">
        <f>INDEX('GIS-Standards'!$O$2:$O$305,MATCH(C522,'GIS-Standards'!$B$2:$B$305,0))</f>
        <v>#N/A</v>
      </c>
      <c r="M522" t="s">
        <v>525</v>
      </c>
      <c r="N522" t="str">
        <f>INDEX('GIS-Standards'!$I$2:$I$305,MATCH(B522,'GIS-Standards'!$B$2:$B$305,0))</f>
        <v>12.2020</v>
      </c>
      <c r="O522" t="e">
        <f>INDEX('GIS-Standards'!$I$2:$I$305,MATCH(C522,'GIS-Standards'!$B$2:$B$305,0))</f>
        <v>#N/A</v>
      </c>
      <c r="P522" t="e">
        <f>AND(TableRelationships12[[#This Row],[Source Type]]="BIM",TableRelationships12[[#This Row],[Target Type]]="BIM")</f>
        <v>#N/A</v>
      </c>
      <c r="Q522">
        <f t="shared" si="24"/>
        <v>1</v>
      </c>
      <c r="S522">
        <f t="shared" si="25"/>
        <v>1</v>
      </c>
      <c r="T522" s="102" t="str">
        <f>IF(TableRelationships12[[#This Row],[Rank Pedro]]="Low","linkCategory1",IF(TableRelationships12[[#This Row],[Rank Pedro]]="Medium","linkCategory2",IF(TableRelationships12[[#This Row],[Rank Pedro]]="High","linkCategory3","")))</f>
        <v/>
      </c>
      <c r="U522" s="102" t="str">
        <f>IF(TableRelationships12[[#This Row],[Rank Pedro]]="Low","Pink",IF(TableRelationships12[[#This Row],[Rank Pedro]]="Medium","Purple",IF(TableRelationships12[[#This Row],[Rank Pedro]]="High","Brown","")))</f>
        <v/>
      </c>
      <c r="V522" s="4" t="e">
        <f>MAX(INDEX(Standards!$F$2:$F$296,MATCH(B522,Standards!$B$2:$B$296,0)),INDEX(Standards!$F$2:$F$296,MATCH(C522,Standards!$B$2:$B$296,0)))</f>
        <v>#N/A</v>
      </c>
      <c r="W522" t="str">
        <f t="shared" si="26"/>
        <v>#2f89d1</v>
      </c>
    </row>
    <row r="523" spans="1:23" x14ac:dyDescent="0.5">
      <c r="A523" s="54">
        <v>522</v>
      </c>
      <c r="B523" s="90" t="s">
        <v>314</v>
      </c>
      <c r="C523" t="s">
        <v>1404</v>
      </c>
      <c r="D523" s="1" t="s">
        <v>1679</v>
      </c>
      <c r="E523" s="112">
        <v>1995.11</v>
      </c>
      <c r="F523" s="112">
        <v>2015.04</v>
      </c>
      <c r="G523" s="107" t="s">
        <v>1487</v>
      </c>
      <c r="H523">
        <f>INDEX('GIS-Standards'!$A$2:$A$305,MATCH(B523,'GIS-Standards'!$B$2:$B$305,0))</f>
        <v>22</v>
      </c>
      <c r="I523" t="e">
        <f>INDEX('GIS-Standards'!$A$2:$A$305,MATCH(C523,'GIS-Standards'!$B$2:$B$305,0))</f>
        <v>#N/A</v>
      </c>
      <c r="J523" t="str">
        <f>INDEX('GIS-Standards'!$O$2:$O$305,MATCH(B523,'GIS-Standards'!$B$2:$B$305,0))</f>
        <v>ISO/TC 211</v>
      </c>
      <c r="K523" t="e">
        <f>INDEX('GIS-Standards'!$O$2:$O$305,MATCH(C523,'GIS-Standards'!$B$2:$B$305,0))</f>
        <v>#N/A</v>
      </c>
      <c r="M523" t="s">
        <v>525</v>
      </c>
      <c r="N523" t="str">
        <f>INDEX('GIS-Standards'!$I$2:$I$305,MATCH(B523,'GIS-Standards'!$B$2:$B$305,0))</f>
        <v>12.2020</v>
      </c>
      <c r="O523" t="e">
        <f>INDEX('GIS-Standards'!$I$2:$I$305,MATCH(C523,'GIS-Standards'!$B$2:$B$305,0))</f>
        <v>#N/A</v>
      </c>
      <c r="P523" t="e">
        <f>AND(TableRelationships12[[#This Row],[Source Type]]="BIM",TableRelationships12[[#This Row],[Target Type]]="BIM")</f>
        <v>#N/A</v>
      </c>
      <c r="Q523">
        <f t="shared" si="24"/>
        <v>1</v>
      </c>
      <c r="S523">
        <f t="shared" si="25"/>
        <v>1</v>
      </c>
      <c r="T523" s="102" t="str">
        <f>IF(TableRelationships12[[#This Row],[Rank Pedro]]="Low","linkCategory1",IF(TableRelationships12[[#This Row],[Rank Pedro]]="Medium","linkCategory2",IF(TableRelationships12[[#This Row],[Rank Pedro]]="High","linkCategory3","")))</f>
        <v/>
      </c>
      <c r="U523" s="102" t="str">
        <f>IF(TableRelationships12[[#This Row],[Rank Pedro]]="Low","Pink",IF(TableRelationships12[[#This Row],[Rank Pedro]]="Medium","Purple",IF(TableRelationships12[[#This Row],[Rank Pedro]]="High","Brown","")))</f>
        <v/>
      </c>
      <c r="V523" s="4" t="e">
        <f>MAX(INDEX(Standards!$F$2:$F$296,MATCH(B523,Standards!$B$2:$B$296,0)),INDEX(Standards!$F$2:$F$296,MATCH(C523,Standards!$B$2:$B$296,0)))</f>
        <v>#N/A</v>
      </c>
      <c r="W523" t="str">
        <f t="shared" si="26"/>
        <v>#2f89d1</v>
      </c>
    </row>
    <row r="524" spans="1:23" x14ac:dyDescent="0.5">
      <c r="A524" s="54">
        <v>523</v>
      </c>
      <c r="B524" s="90" t="s">
        <v>314</v>
      </c>
      <c r="C524" t="s">
        <v>1177</v>
      </c>
      <c r="D524" s="1" t="s">
        <v>1123</v>
      </c>
      <c r="E524" s="112">
        <v>1997.03</v>
      </c>
      <c r="F524" s="112">
        <v>2023.01</v>
      </c>
      <c r="G524" s="107" t="s">
        <v>1487</v>
      </c>
      <c r="H524">
        <f>INDEX('GIS-Standards'!$A$2:$A$305,MATCH(B524,'GIS-Standards'!$B$2:$B$305,0))</f>
        <v>22</v>
      </c>
      <c r="I524" t="e">
        <f>INDEX('GIS-Standards'!$A$2:$A$305,MATCH(C524,'GIS-Standards'!$B$2:$B$305,0))</f>
        <v>#N/A</v>
      </c>
      <c r="J524" t="str">
        <f>INDEX('GIS-Standards'!$O$2:$O$305,MATCH(B524,'GIS-Standards'!$B$2:$B$305,0))</f>
        <v>ISO/TC 211</v>
      </c>
      <c r="K524" t="e">
        <f>INDEX('GIS-Standards'!$O$2:$O$305,MATCH(C524,'GIS-Standards'!$B$2:$B$305,0))</f>
        <v>#N/A</v>
      </c>
      <c r="M524" t="s">
        <v>525</v>
      </c>
      <c r="N524" t="str">
        <f>INDEX('GIS-Standards'!$I$2:$I$305,MATCH(B524,'GIS-Standards'!$B$2:$B$305,0))</f>
        <v>12.2020</v>
      </c>
      <c r="O524" t="e">
        <f>INDEX('GIS-Standards'!$I$2:$I$305,MATCH(C524,'GIS-Standards'!$B$2:$B$305,0))</f>
        <v>#N/A</v>
      </c>
      <c r="P524" t="e">
        <f>AND(TableRelationships12[[#This Row],[Source Type]]="BIM",TableRelationships12[[#This Row],[Target Type]]="BIM")</f>
        <v>#N/A</v>
      </c>
      <c r="Q524">
        <f t="shared" si="24"/>
        <v>1</v>
      </c>
      <c r="S524">
        <f t="shared" si="25"/>
        <v>1</v>
      </c>
      <c r="T524" s="102" t="str">
        <f>IF(TableRelationships12[[#This Row],[Rank Pedro]]="Low","linkCategory1",IF(TableRelationships12[[#This Row],[Rank Pedro]]="Medium","linkCategory2",IF(TableRelationships12[[#This Row],[Rank Pedro]]="High","linkCategory3","")))</f>
        <v/>
      </c>
      <c r="U524" s="102" t="str">
        <f>IF(TableRelationships12[[#This Row],[Rank Pedro]]="Low","Pink",IF(TableRelationships12[[#This Row],[Rank Pedro]]="Medium","Purple",IF(TableRelationships12[[#This Row],[Rank Pedro]]="High","Brown","")))</f>
        <v/>
      </c>
      <c r="V524" s="4" t="e">
        <f>MAX(INDEX(Standards!$F$2:$F$296,MATCH(B524,Standards!$B$2:$B$296,0)),INDEX(Standards!$F$2:$F$296,MATCH(C524,Standards!$B$2:$B$296,0)))</f>
        <v>#N/A</v>
      </c>
      <c r="W524" t="str">
        <f t="shared" si="26"/>
        <v>#2f89d1</v>
      </c>
    </row>
    <row r="525" spans="1:23" x14ac:dyDescent="0.5">
      <c r="A525" s="54">
        <v>524</v>
      </c>
      <c r="B525" s="90" t="s">
        <v>314</v>
      </c>
      <c r="C525" t="s">
        <v>1407</v>
      </c>
      <c r="D525" s="1" t="s">
        <v>1123</v>
      </c>
      <c r="E525" s="112">
        <v>2019.11</v>
      </c>
      <c r="F525" s="112">
        <v>2023.01</v>
      </c>
      <c r="G525" s="107" t="s">
        <v>1487</v>
      </c>
      <c r="H525">
        <f>INDEX('GIS-Standards'!$A$2:$A$305,MATCH(B525,'GIS-Standards'!$B$2:$B$305,0))</f>
        <v>22</v>
      </c>
      <c r="I525" t="e">
        <f>INDEX('GIS-Standards'!$A$2:$A$305,MATCH(C525,'GIS-Standards'!$B$2:$B$305,0))</f>
        <v>#N/A</v>
      </c>
      <c r="J525" t="str">
        <f>INDEX('GIS-Standards'!$O$2:$O$305,MATCH(B525,'GIS-Standards'!$B$2:$B$305,0))</f>
        <v>ISO/TC 211</v>
      </c>
      <c r="K525" t="e">
        <f>INDEX('GIS-Standards'!$O$2:$O$305,MATCH(C525,'GIS-Standards'!$B$2:$B$305,0))</f>
        <v>#N/A</v>
      </c>
      <c r="M525" t="s">
        <v>525</v>
      </c>
      <c r="N525" t="str">
        <f>INDEX('GIS-Standards'!$I$2:$I$305,MATCH(B525,'GIS-Standards'!$B$2:$B$305,0))</f>
        <v>12.2020</v>
      </c>
      <c r="O525" t="e">
        <f>INDEX('GIS-Standards'!$I$2:$I$305,MATCH(C525,'GIS-Standards'!$B$2:$B$305,0))</f>
        <v>#N/A</v>
      </c>
      <c r="P525" t="e">
        <f>AND(TableRelationships12[[#This Row],[Source Type]]="BIM",TableRelationships12[[#This Row],[Target Type]]="BIM")</f>
        <v>#N/A</v>
      </c>
      <c r="Q525">
        <f t="shared" si="24"/>
        <v>1</v>
      </c>
      <c r="S525">
        <f t="shared" si="25"/>
        <v>1</v>
      </c>
      <c r="T525" s="102" t="str">
        <f>IF(TableRelationships12[[#This Row],[Rank Pedro]]="Low","linkCategory1",IF(TableRelationships12[[#This Row],[Rank Pedro]]="Medium","linkCategory2",IF(TableRelationships12[[#This Row],[Rank Pedro]]="High","linkCategory3","")))</f>
        <v/>
      </c>
      <c r="U525" s="102" t="str">
        <f>IF(TableRelationships12[[#This Row],[Rank Pedro]]="Low","Pink",IF(TableRelationships12[[#This Row],[Rank Pedro]]="Medium","Purple",IF(TableRelationships12[[#This Row],[Rank Pedro]]="High","Brown","")))</f>
        <v/>
      </c>
      <c r="V525" s="4" t="e">
        <f>MAX(INDEX(Standards!$F$2:$F$296,MATCH(B525,Standards!$B$2:$B$296,0)),INDEX(Standards!$F$2:$F$296,MATCH(C525,Standards!$B$2:$B$296,0)))</f>
        <v>#N/A</v>
      </c>
      <c r="W525" t="str">
        <f t="shared" si="26"/>
        <v>#2f89d1</v>
      </c>
    </row>
    <row r="526" spans="1:23" x14ac:dyDescent="0.5">
      <c r="A526" s="54">
        <v>525</v>
      </c>
      <c r="B526" s="90" t="s">
        <v>314</v>
      </c>
      <c r="C526" t="s">
        <v>1408</v>
      </c>
      <c r="D526" s="1" t="s">
        <v>1123</v>
      </c>
      <c r="E526" s="112">
        <v>2023.01</v>
      </c>
      <c r="F526" s="112">
        <v>2023.01</v>
      </c>
      <c r="G526" s="107" t="s">
        <v>1487</v>
      </c>
      <c r="H526">
        <f>INDEX('GIS-Standards'!$A$2:$A$305,MATCH(B526,'GIS-Standards'!$B$2:$B$305,0))</f>
        <v>22</v>
      </c>
      <c r="I526" t="e">
        <f>INDEX('GIS-Standards'!$A$2:$A$305,MATCH(C526,'GIS-Standards'!$B$2:$B$305,0))</f>
        <v>#N/A</v>
      </c>
      <c r="J526" t="str">
        <f>INDEX('GIS-Standards'!$O$2:$O$305,MATCH(B526,'GIS-Standards'!$B$2:$B$305,0))</f>
        <v>ISO/TC 211</v>
      </c>
      <c r="K526" t="e">
        <f>INDEX('GIS-Standards'!$O$2:$O$305,MATCH(C526,'GIS-Standards'!$B$2:$B$305,0))</f>
        <v>#N/A</v>
      </c>
      <c r="M526" t="s">
        <v>525</v>
      </c>
      <c r="N526" t="str">
        <f>INDEX('GIS-Standards'!$I$2:$I$305,MATCH(B526,'GIS-Standards'!$B$2:$B$305,0))</f>
        <v>12.2020</v>
      </c>
      <c r="O526" t="e">
        <f>INDEX('GIS-Standards'!$I$2:$I$305,MATCH(C526,'GIS-Standards'!$B$2:$B$305,0))</f>
        <v>#N/A</v>
      </c>
      <c r="P526" t="e">
        <f>AND(TableRelationships12[[#This Row],[Source Type]]="BIM",TableRelationships12[[#This Row],[Target Type]]="BIM")</f>
        <v>#N/A</v>
      </c>
      <c r="Q526">
        <f t="shared" si="24"/>
        <v>1</v>
      </c>
      <c r="S526">
        <f t="shared" si="25"/>
        <v>1</v>
      </c>
      <c r="T526" s="102" t="str">
        <f>IF(TableRelationships12[[#This Row],[Rank Pedro]]="Low","linkCategory1",IF(TableRelationships12[[#This Row],[Rank Pedro]]="Medium","linkCategory2",IF(TableRelationships12[[#This Row],[Rank Pedro]]="High","linkCategory3","")))</f>
        <v/>
      </c>
      <c r="U526" s="102" t="str">
        <f>IF(TableRelationships12[[#This Row],[Rank Pedro]]="Low","Pink",IF(TableRelationships12[[#This Row],[Rank Pedro]]="Medium","Purple",IF(TableRelationships12[[#This Row],[Rank Pedro]]="High","Brown","")))</f>
        <v/>
      </c>
      <c r="V526" s="4" t="e">
        <f>MAX(INDEX(Standards!$F$2:$F$296,MATCH(B526,Standards!$B$2:$B$296,0)),INDEX(Standards!$F$2:$F$296,MATCH(C526,Standards!$B$2:$B$296,0)))</f>
        <v>#N/A</v>
      </c>
      <c r="W526" t="str">
        <f t="shared" si="26"/>
        <v>#2f89d1</v>
      </c>
    </row>
    <row r="527" spans="1:23" x14ac:dyDescent="0.5">
      <c r="A527" s="54">
        <v>526</v>
      </c>
      <c r="B527" s="90" t="s">
        <v>314</v>
      </c>
      <c r="C527" t="s">
        <v>1409</v>
      </c>
      <c r="D527" s="1" t="s">
        <v>1123</v>
      </c>
      <c r="E527" s="112">
        <v>2023.01</v>
      </c>
      <c r="F527" s="112">
        <v>2023.01</v>
      </c>
      <c r="G527" s="107" t="s">
        <v>1487</v>
      </c>
      <c r="H527">
        <f>INDEX('GIS-Standards'!$A$2:$A$305,MATCH(B527,'GIS-Standards'!$B$2:$B$305,0))</f>
        <v>22</v>
      </c>
      <c r="I527" t="e">
        <f>INDEX('GIS-Standards'!$A$2:$A$305,MATCH(C527,'GIS-Standards'!$B$2:$B$305,0))</f>
        <v>#N/A</v>
      </c>
      <c r="J527" t="str">
        <f>INDEX('GIS-Standards'!$O$2:$O$305,MATCH(B527,'GIS-Standards'!$B$2:$B$305,0))</f>
        <v>ISO/TC 211</v>
      </c>
      <c r="K527" t="e">
        <f>INDEX('GIS-Standards'!$O$2:$O$305,MATCH(C527,'GIS-Standards'!$B$2:$B$305,0))</f>
        <v>#N/A</v>
      </c>
      <c r="M527" t="s">
        <v>525</v>
      </c>
      <c r="N527" t="str">
        <f>INDEX('GIS-Standards'!$I$2:$I$305,MATCH(B527,'GIS-Standards'!$B$2:$B$305,0))</f>
        <v>12.2020</v>
      </c>
      <c r="O527" t="e">
        <f>INDEX('GIS-Standards'!$I$2:$I$305,MATCH(C527,'GIS-Standards'!$B$2:$B$305,0))</f>
        <v>#N/A</v>
      </c>
      <c r="P527" t="e">
        <f>AND(TableRelationships12[[#This Row],[Source Type]]="BIM",TableRelationships12[[#This Row],[Target Type]]="BIM")</f>
        <v>#N/A</v>
      </c>
      <c r="Q527">
        <f t="shared" si="24"/>
        <v>1</v>
      </c>
      <c r="S527">
        <f t="shared" si="25"/>
        <v>1</v>
      </c>
      <c r="T527" s="102" t="str">
        <f>IF(TableRelationships12[[#This Row],[Rank Pedro]]="Low","linkCategory1",IF(TableRelationships12[[#This Row],[Rank Pedro]]="Medium","linkCategory2",IF(TableRelationships12[[#This Row],[Rank Pedro]]="High","linkCategory3","")))</f>
        <v/>
      </c>
      <c r="U527" s="102" t="str">
        <f>IF(TableRelationships12[[#This Row],[Rank Pedro]]="Low","Pink",IF(TableRelationships12[[#This Row],[Rank Pedro]]="Medium","Purple",IF(TableRelationships12[[#This Row],[Rank Pedro]]="High","Brown","")))</f>
        <v/>
      </c>
      <c r="V527" s="4" t="e">
        <f>MAX(INDEX(Standards!$F$2:$F$296,MATCH(B527,Standards!$B$2:$B$296,0)),INDEX(Standards!$F$2:$F$296,MATCH(C527,Standards!$B$2:$B$296,0)))</f>
        <v>#N/A</v>
      </c>
      <c r="W527" t="str">
        <f t="shared" si="26"/>
        <v>#2f89d1</v>
      </c>
    </row>
    <row r="528" spans="1:23" x14ac:dyDescent="0.5">
      <c r="A528" s="54">
        <v>527</v>
      </c>
      <c r="B528" s="90" t="s">
        <v>314</v>
      </c>
      <c r="C528" t="s">
        <v>1410</v>
      </c>
      <c r="D528" s="1" t="s">
        <v>1123</v>
      </c>
      <c r="E528" s="112">
        <v>2019.12</v>
      </c>
      <c r="F528" s="112">
        <v>2023.01</v>
      </c>
      <c r="G528" s="107" t="s">
        <v>1487</v>
      </c>
      <c r="H528">
        <f>INDEX('GIS-Standards'!$A$2:$A$305,MATCH(B528,'GIS-Standards'!$B$2:$B$305,0))</f>
        <v>22</v>
      </c>
      <c r="I528" t="e">
        <f>INDEX('GIS-Standards'!$A$2:$A$305,MATCH(C528,'GIS-Standards'!$B$2:$B$305,0))</f>
        <v>#N/A</v>
      </c>
      <c r="J528" t="str">
        <f>INDEX('GIS-Standards'!$O$2:$O$305,MATCH(B528,'GIS-Standards'!$B$2:$B$305,0))</f>
        <v>ISO/TC 211</v>
      </c>
      <c r="K528" t="e">
        <f>INDEX('GIS-Standards'!$O$2:$O$305,MATCH(C528,'GIS-Standards'!$B$2:$B$305,0))</f>
        <v>#N/A</v>
      </c>
      <c r="M528" t="s">
        <v>525</v>
      </c>
      <c r="N528" t="str">
        <f>INDEX('GIS-Standards'!$I$2:$I$305,MATCH(B528,'GIS-Standards'!$B$2:$B$305,0))</f>
        <v>12.2020</v>
      </c>
      <c r="O528" t="e">
        <f>INDEX('GIS-Standards'!$I$2:$I$305,MATCH(C528,'GIS-Standards'!$B$2:$B$305,0))</f>
        <v>#N/A</v>
      </c>
      <c r="P528" t="e">
        <f>AND(TableRelationships12[[#This Row],[Source Type]]="BIM",TableRelationships12[[#This Row],[Target Type]]="BIM")</f>
        <v>#N/A</v>
      </c>
      <c r="Q528">
        <f t="shared" si="24"/>
        <v>1</v>
      </c>
      <c r="S528">
        <f t="shared" si="25"/>
        <v>1</v>
      </c>
      <c r="T528" s="102" t="str">
        <f>IF(TableRelationships12[[#This Row],[Rank Pedro]]="Low","linkCategory1",IF(TableRelationships12[[#This Row],[Rank Pedro]]="Medium","linkCategory2",IF(TableRelationships12[[#This Row],[Rank Pedro]]="High","linkCategory3","")))</f>
        <v/>
      </c>
      <c r="U528" s="102" t="str">
        <f>IF(TableRelationships12[[#This Row],[Rank Pedro]]="Low","Pink",IF(TableRelationships12[[#This Row],[Rank Pedro]]="Medium","Purple",IF(TableRelationships12[[#This Row],[Rank Pedro]]="High","Brown","")))</f>
        <v/>
      </c>
      <c r="V528" s="4" t="e">
        <f>MAX(INDEX(Standards!$F$2:$F$296,MATCH(B528,Standards!$B$2:$B$296,0)),INDEX(Standards!$F$2:$F$296,MATCH(C528,Standards!$B$2:$B$296,0)))</f>
        <v>#N/A</v>
      </c>
      <c r="W528" t="str">
        <f t="shared" si="26"/>
        <v>#2f89d1</v>
      </c>
    </row>
    <row r="529" spans="1:23" x14ac:dyDescent="0.5">
      <c r="A529" s="54">
        <v>528</v>
      </c>
      <c r="B529" s="90" t="s">
        <v>314</v>
      </c>
      <c r="C529" t="s">
        <v>1411</v>
      </c>
      <c r="D529" s="1" t="s">
        <v>1123</v>
      </c>
      <c r="E529" s="112">
        <v>2024.05</v>
      </c>
      <c r="F529" s="112">
        <v>2024.05</v>
      </c>
      <c r="G529" s="107" t="s">
        <v>1487</v>
      </c>
      <c r="H529">
        <f>INDEX('GIS-Standards'!$A$2:$A$305,MATCH(B529,'GIS-Standards'!$B$2:$B$305,0))</f>
        <v>22</v>
      </c>
      <c r="I529" t="e">
        <f>INDEX('GIS-Standards'!$A$2:$A$305,MATCH(C529,'GIS-Standards'!$B$2:$B$305,0))</f>
        <v>#N/A</v>
      </c>
      <c r="J529" t="str">
        <f>INDEX('GIS-Standards'!$O$2:$O$305,MATCH(B529,'GIS-Standards'!$B$2:$B$305,0))</f>
        <v>ISO/TC 211</v>
      </c>
      <c r="K529" t="e">
        <f>INDEX('GIS-Standards'!$O$2:$O$305,MATCH(C529,'GIS-Standards'!$B$2:$B$305,0))</f>
        <v>#N/A</v>
      </c>
      <c r="M529" t="s">
        <v>525</v>
      </c>
      <c r="N529" t="str">
        <f>INDEX('GIS-Standards'!$I$2:$I$305,MATCH(B529,'GIS-Standards'!$B$2:$B$305,0))</f>
        <v>12.2020</v>
      </c>
      <c r="O529" t="e">
        <f>INDEX('GIS-Standards'!$I$2:$I$305,MATCH(C529,'GIS-Standards'!$B$2:$B$305,0))</f>
        <v>#N/A</v>
      </c>
      <c r="P529" t="e">
        <f>AND(TableRelationships12[[#This Row],[Source Type]]="BIM",TableRelationships12[[#This Row],[Target Type]]="BIM")</f>
        <v>#N/A</v>
      </c>
      <c r="Q529">
        <f t="shared" si="24"/>
        <v>1</v>
      </c>
      <c r="S529">
        <f t="shared" si="25"/>
        <v>1</v>
      </c>
      <c r="T529" s="102" t="str">
        <f>IF(TableRelationships12[[#This Row],[Rank Pedro]]="Low","linkCategory1",IF(TableRelationships12[[#This Row],[Rank Pedro]]="Medium","linkCategory2",IF(TableRelationships12[[#This Row],[Rank Pedro]]="High","linkCategory3","")))</f>
        <v/>
      </c>
      <c r="U529" s="102" t="str">
        <f>IF(TableRelationships12[[#This Row],[Rank Pedro]]="Low","Pink",IF(TableRelationships12[[#This Row],[Rank Pedro]]="Medium","Purple",IF(TableRelationships12[[#This Row],[Rank Pedro]]="High","Brown","")))</f>
        <v/>
      </c>
      <c r="V529" s="4" t="e">
        <f>MAX(INDEX(Standards!$F$2:$F$296,MATCH(B529,Standards!$B$2:$B$296,0)),INDEX(Standards!$F$2:$F$296,MATCH(C529,Standards!$B$2:$B$296,0)))</f>
        <v>#N/A</v>
      </c>
      <c r="W529" t="str">
        <f t="shared" si="26"/>
        <v>#2f89d1</v>
      </c>
    </row>
    <row r="530" spans="1:23" x14ac:dyDescent="0.5">
      <c r="A530" s="54">
        <v>529</v>
      </c>
      <c r="B530" s="90" t="s">
        <v>314</v>
      </c>
      <c r="C530" t="s">
        <v>1412</v>
      </c>
      <c r="D530" s="1" t="s">
        <v>1123</v>
      </c>
      <c r="E530" s="112">
        <v>2014.12</v>
      </c>
      <c r="F530" s="112">
        <v>2023.01</v>
      </c>
      <c r="G530" s="107" t="s">
        <v>1487</v>
      </c>
      <c r="H530">
        <f>INDEX('GIS-Standards'!$A$2:$A$305,MATCH(B530,'GIS-Standards'!$B$2:$B$305,0))</f>
        <v>22</v>
      </c>
      <c r="I530" t="e">
        <f>INDEX('GIS-Standards'!$A$2:$A$305,MATCH(C530,'GIS-Standards'!$B$2:$B$305,0))</f>
        <v>#N/A</v>
      </c>
      <c r="J530" t="str">
        <f>INDEX('GIS-Standards'!$O$2:$O$305,MATCH(B530,'GIS-Standards'!$B$2:$B$305,0))</f>
        <v>ISO/TC 211</v>
      </c>
      <c r="K530" t="e">
        <f>INDEX('GIS-Standards'!$O$2:$O$305,MATCH(C530,'GIS-Standards'!$B$2:$B$305,0))</f>
        <v>#N/A</v>
      </c>
      <c r="M530" t="s">
        <v>525</v>
      </c>
      <c r="N530" t="str">
        <f>INDEX('GIS-Standards'!$I$2:$I$305,MATCH(B530,'GIS-Standards'!$B$2:$B$305,0))</f>
        <v>12.2020</v>
      </c>
      <c r="O530" t="e">
        <f>INDEX('GIS-Standards'!$I$2:$I$305,MATCH(C530,'GIS-Standards'!$B$2:$B$305,0))</f>
        <v>#N/A</v>
      </c>
      <c r="P530" t="e">
        <f>AND(TableRelationships12[[#This Row],[Source Type]]="BIM",TableRelationships12[[#This Row],[Target Type]]="BIM")</f>
        <v>#N/A</v>
      </c>
      <c r="Q530">
        <f t="shared" si="24"/>
        <v>1</v>
      </c>
      <c r="S530">
        <f t="shared" si="25"/>
        <v>1</v>
      </c>
      <c r="T530" s="102" t="str">
        <f>IF(TableRelationships12[[#This Row],[Rank Pedro]]="Low","linkCategory1",IF(TableRelationships12[[#This Row],[Rank Pedro]]="Medium","linkCategory2",IF(TableRelationships12[[#This Row],[Rank Pedro]]="High","linkCategory3","")))</f>
        <v/>
      </c>
      <c r="U530" s="102" t="str">
        <f>IF(TableRelationships12[[#This Row],[Rank Pedro]]="Low","Pink",IF(TableRelationships12[[#This Row],[Rank Pedro]]="Medium","Purple",IF(TableRelationships12[[#This Row],[Rank Pedro]]="High","Brown","")))</f>
        <v/>
      </c>
      <c r="V530" s="4" t="e">
        <f>MAX(INDEX(Standards!$F$2:$F$296,MATCH(B530,Standards!$B$2:$B$296,0)),INDEX(Standards!$F$2:$F$296,MATCH(C530,Standards!$B$2:$B$296,0)))</f>
        <v>#N/A</v>
      </c>
      <c r="W530" t="str">
        <f t="shared" si="26"/>
        <v>#2f89d1</v>
      </c>
    </row>
    <row r="531" spans="1:23" x14ac:dyDescent="0.5">
      <c r="A531" s="54">
        <v>530</v>
      </c>
      <c r="B531" s="90" t="s">
        <v>314</v>
      </c>
      <c r="C531" t="s">
        <v>1124</v>
      </c>
      <c r="D531" s="1"/>
      <c r="E531" s="112">
        <v>2001.09</v>
      </c>
      <c r="F531" s="112">
        <v>2016.04</v>
      </c>
      <c r="G531" s="107" t="s">
        <v>1457</v>
      </c>
      <c r="H531">
        <f>INDEX('GIS-Standards'!$A$2:$A$305,MATCH(B531,'GIS-Standards'!$B$2:$B$305,0))</f>
        <v>22</v>
      </c>
      <c r="I531" t="e">
        <f>INDEX('GIS-Standards'!$A$2:$A$305,MATCH(C531,'GIS-Standards'!$B$2:$B$305,0))</f>
        <v>#N/A</v>
      </c>
      <c r="J531" t="str">
        <f>INDEX('GIS-Standards'!$O$2:$O$305,MATCH(B531,'GIS-Standards'!$B$2:$B$305,0))</f>
        <v>ISO/TC 211</v>
      </c>
      <c r="K531" t="e">
        <f>INDEX('GIS-Standards'!$O$2:$O$305,MATCH(C531,'GIS-Standards'!$B$2:$B$305,0))</f>
        <v>#N/A</v>
      </c>
      <c r="M531" t="s">
        <v>525</v>
      </c>
      <c r="N531" t="str">
        <f>INDEX('GIS-Standards'!$I$2:$I$305,MATCH(B531,'GIS-Standards'!$B$2:$B$305,0))</f>
        <v>12.2020</v>
      </c>
      <c r="O531" t="e">
        <f>INDEX('GIS-Standards'!$I$2:$I$305,MATCH(C531,'GIS-Standards'!$B$2:$B$305,0))</f>
        <v>#N/A</v>
      </c>
      <c r="P531" t="e">
        <f>AND(TableRelationships12[[#This Row],[Source Type]]="BIM",TableRelationships12[[#This Row],[Target Type]]="BIM")</f>
        <v>#N/A</v>
      </c>
      <c r="Q531">
        <f t="shared" si="24"/>
        <v>1</v>
      </c>
      <c r="S531">
        <f t="shared" si="25"/>
        <v>1</v>
      </c>
      <c r="T531" s="102" t="str">
        <f>IF(TableRelationships12[[#This Row],[Rank Pedro]]="Low","linkCategory1",IF(TableRelationships12[[#This Row],[Rank Pedro]]="Medium","linkCategory2",IF(TableRelationships12[[#This Row],[Rank Pedro]]="High","linkCategory3","")))</f>
        <v/>
      </c>
      <c r="U531" s="102" t="str">
        <f>IF(TableRelationships12[[#This Row],[Rank Pedro]]="Low","Pink",IF(TableRelationships12[[#This Row],[Rank Pedro]]="Medium","Purple",IF(TableRelationships12[[#This Row],[Rank Pedro]]="High","Brown","")))</f>
        <v/>
      </c>
      <c r="V531" s="4" t="e">
        <f>MAX(INDEX(Standards!$F$2:$F$296,MATCH(B531,Standards!$B$2:$B$296,0)),INDEX(Standards!$F$2:$F$296,MATCH(C531,Standards!$B$2:$B$296,0)))</f>
        <v>#N/A</v>
      </c>
      <c r="W531" t="str">
        <f t="shared" si="26"/>
        <v>#2f89d1</v>
      </c>
    </row>
    <row r="532" spans="1:23" x14ac:dyDescent="0.5">
      <c r="A532" s="54">
        <v>531</v>
      </c>
      <c r="B532" s="90" t="s">
        <v>314</v>
      </c>
      <c r="C532" t="s">
        <v>1125</v>
      </c>
      <c r="D532" s="1"/>
      <c r="E532" s="112">
        <v>2009.1</v>
      </c>
      <c r="F532" s="112">
        <v>2019.12</v>
      </c>
      <c r="G532" s="107" t="s">
        <v>1458</v>
      </c>
      <c r="H532">
        <f>INDEX('GIS-Standards'!$A$2:$A$305,MATCH(B532,'GIS-Standards'!$B$2:$B$305,0))</f>
        <v>22</v>
      </c>
      <c r="I532" t="e">
        <f>INDEX('GIS-Standards'!$A$2:$A$305,MATCH(C532,'GIS-Standards'!$B$2:$B$305,0))</f>
        <v>#N/A</v>
      </c>
      <c r="J532" t="str">
        <f>INDEX('GIS-Standards'!$O$2:$O$305,MATCH(B532,'GIS-Standards'!$B$2:$B$305,0))</f>
        <v>ISO/TC 211</v>
      </c>
      <c r="K532" t="e">
        <f>INDEX('GIS-Standards'!$O$2:$O$305,MATCH(C532,'GIS-Standards'!$B$2:$B$305,0))</f>
        <v>#N/A</v>
      </c>
      <c r="M532" t="s">
        <v>525</v>
      </c>
      <c r="N532" t="str">
        <f>INDEX('GIS-Standards'!$I$2:$I$305,MATCH(B532,'GIS-Standards'!$B$2:$B$305,0))</f>
        <v>12.2020</v>
      </c>
      <c r="O532" t="e">
        <f>INDEX('GIS-Standards'!$I$2:$I$305,MATCH(C532,'GIS-Standards'!$B$2:$B$305,0))</f>
        <v>#N/A</v>
      </c>
      <c r="P532" t="e">
        <f>AND(TableRelationships12[[#This Row],[Source Type]]="BIM",TableRelationships12[[#This Row],[Target Type]]="BIM")</f>
        <v>#N/A</v>
      </c>
      <c r="Q532">
        <f t="shared" si="24"/>
        <v>1</v>
      </c>
      <c r="S532">
        <f t="shared" si="25"/>
        <v>1</v>
      </c>
      <c r="T532" s="102" t="str">
        <f>IF(TableRelationships12[[#This Row],[Rank Pedro]]="Low","linkCategory1",IF(TableRelationships12[[#This Row],[Rank Pedro]]="Medium","linkCategory2",IF(TableRelationships12[[#This Row],[Rank Pedro]]="High","linkCategory3","")))</f>
        <v/>
      </c>
      <c r="U532" s="102" t="str">
        <f>IF(TableRelationships12[[#This Row],[Rank Pedro]]="Low","Pink",IF(TableRelationships12[[#This Row],[Rank Pedro]]="Medium","Purple",IF(TableRelationships12[[#This Row],[Rank Pedro]]="High","Brown","")))</f>
        <v/>
      </c>
      <c r="V532" s="4" t="e">
        <f>MAX(INDEX(Standards!$F$2:$F$296,MATCH(B532,Standards!$B$2:$B$296,0)),INDEX(Standards!$F$2:$F$296,MATCH(C532,Standards!$B$2:$B$296,0)))</f>
        <v>#N/A</v>
      </c>
      <c r="W532" t="str">
        <f t="shared" si="26"/>
        <v>#2f89d1</v>
      </c>
    </row>
    <row r="533" spans="1:23" x14ac:dyDescent="0.5">
      <c r="A533" s="54">
        <v>532</v>
      </c>
      <c r="B533" s="90" t="s">
        <v>314</v>
      </c>
      <c r="C533" t="s">
        <v>206</v>
      </c>
      <c r="D533" s="1" t="s">
        <v>1126</v>
      </c>
      <c r="E533" s="112">
        <v>2003.11</v>
      </c>
      <c r="F533" s="112">
        <v>2017.05</v>
      </c>
      <c r="G533" s="107" t="s">
        <v>1458</v>
      </c>
      <c r="H533">
        <f>INDEX('GIS-Standards'!$A$2:$A$305,MATCH(B533,'GIS-Standards'!$B$2:$B$305,0))</f>
        <v>22</v>
      </c>
      <c r="I533" t="e">
        <f>INDEX('GIS-Standards'!$A$2:$A$305,MATCH(D533,'GIS-Standards'!$B$2:$B$305,0))</f>
        <v>#N/A</v>
      </c>
      <c r="J533" t="str">
        <f>INDEX('GIS-Standards'!$O$2:$O$305,MATCH(B533,'GIS-Standards'!$B$2:$B$305,0))</f>
        <v>ISO/TC 211</v>
      </c>
      <c r="K533" t="e">
        <f>INDEX('GIS-Standards'!$O$2:$O$305,MATCH(D533,'GIS-Standards'!$B$2:$B$305,0))</f>
        <v>#N/A</v>
      </c>
      <c r="M533" t="s">
        <v>525</v>
      </c>
      <c r="N533" t="str">
        <f>INDEX('GIS-Standards'!$I$2:$I$305,MATCH(B533,'GIS-Standards'!$B$2:$B$305,0))</f>
        <v>12.2020</v>
      </c>
      <c r="O533" t="e">
        <f>INDEX('GIS-Standards'!$I$2:$I$305,MATCH(D533,'GIS-Standards'!$B$2:$B$305,0))</f>
        <v>#N/A</v>
      </c>
      <c r="P533" t="e">
        <f>AND(TableRelationships12[[#This Row],[Source Type]]="BIM",TableRelationships12[[#This Row],[Target Type]]="BIM")</f>
        <v>#N/A</v>
      </c>
      <c r="Q533">
        <f t="shared" si="24"/>
        <v>1</v>
      </c>
      <c r="S533">
        <f t="shared" si="25"/>
        <v>1</v>
      </c>
      <c r="T533" s="102" t="str">
        <f>IF(TableRelationships12[[#This Row],[Rank Pedro]]="Low","linkCategory1",IF(TableRelationships12[[#This Row],[Rank Pedro]]="Medium","linkCategory2",IF(TableRelationships12[[#This Row],[Rank Pedro]]="High","linkCategory3","")))</f>
        <v/>
      </c>
      <c r="U533" s="102" t="str">
        <f>IF(TableRelationships12[[#This Row],[Rank Pedro]]="Low","Pink",IF(TableRelationships12[[#This Row],[Rank Pedro]]="Medium","Purple",IF(TableRelationships12[[#This Row],[Rank Pedro]]="High","Brown","")))</f>
        <v/>
      </c>
      <c r="V533" s="4" t="e">
        <f>MAX(INDEX(Standards!$F$2:$F$296,MATCH(B533,Standards!$B$2:$B$296,0)),INDEX(Standards!$F$2:$F$296,MATCH(D533,Standards!$B$2:$B$296,0)))</f>
        <v>#N/A</v>
      </c>
      <c r="W533" t="str">
        <f t="shared" si="26"/>
        <v>#2f89d1</v>
      </c>
    </row>
    <row r="534" spans="1:23" x14ac:dyDescent="0.5">
      <c r="A534" s="54">
        <v>533</v>
      </c>
      <c r="B534" s="90" t="s">
        <v>314</v>
      </c>
      <c r="C534" t="s">
        <v>1241</v>
      </c>
      <c r="D534" s="1" t="s">
        <v>1126</v>
      </c>
      <c r="E534" s="112">
        <v>2003.11</v>
      </c>
      <c r="F534" s="112">
        <v>2019.02</v>
      </c>
      <c r="G534" s="107" t="s">
        <v>1458</v>
      </c>
      <c r="H534">
        <f>INDEX('GIS-Standards'!$A$2:$A$305,MATCH(B534,'GIS-Standards'!$B$2:$B$305,0))</f>
        <v>22</v>
      </c>
      <c r="I534" t="e">
        <f>INDEX('GIS-Standards'!$A$2:$A$305,MATCH(C534,'GIS-Standards'!$B$2:$B$305,0))</f>
        <v>#N/A</v>
      </c>
      <c r="J534" t="str">
        <f>INDEX('GIS-Standards'!$O$2:$O$305,MATCH(B534,'GIS-Standards'!$B$2:$B$305,0))</f>
        <v>ISO/TC 211</v>
      </c>
      <c r="K534" t="e">
        <f>INDEX('GIS-Standards'!$O$2:$O$305,MATCH(C534,'GIS-Standards'!$B$2:$B$305,0))</f>
        <v>#N/A</v>
      </c>
      <c r="M534" t="s">
        <v>525</v>
      </c>
      <c r="N534" t="str">
        <f>INDEX('GIS-Standards'!$I$2:$I$305,MATCH(B534,'GIS-Standards'!$B$2:$B$305,0))</f>
        <v>12.2020</v>
      </c>
      <c r="O534" t="e">
        <f>INDEX('GIS-Standards'!$I$2:$I$305,MATCH(C534,'GIS-Standards'!$B$2:$B$305,0))</f>
        <v>#N/A</v>
      </c>
      <c r="P534" t="e">
        <f>AND(TableRelationships12[[#This Row],[Source Type]]="BIM",TableRelationships12[[#This Row],[Target Type]]="BIM")</f>
        <v>#N/A</v>
      </c>
      <c r="Q534">
        <f t="shared" si="24"/>
        <v>1</v>
      </c>
      <c r="S534">
        <f t="shared" si="25"/>
        <v>1</v>
      </c>
      <c r="T534" s="102" t="str">
        <f>IF(TableRelationships12[[#This Row],[Rank Pedro]]="Low","linkCategory1",IF(TableRelationships12[[#This Row],[Rank Pedro]]="Medium","linkCategory2",IF(TableRelationships12[[#This Row],[Rank Pedro]]="High","linkCategory3","")))</f>
        <v/>
      </c>
      <c r="U534" s="102" t="str">
        <f>IF(TableRelationships12[[#This Row],[Rank Pedro]]="Low","Pink",IF(TableRelationships12[[#This Row],[Rank Pedro]]="Medium","Purple",IF(TableRelationships12[[#This Row],[Rank Pedro]]="High","Brown","")))</f>
        <v/>
      </c>
      <c r="V534" s="4" t="e">
        <f>MAX(INDEX(Standards!$F$2:$F$296,MATCH(B534,Standards!$B$2:$B$296,0)),INDEX(Standards!$F$2:$F$296,MATCH(C534,Standards!$B$2:$B$296,0)))</f>
        <v>#N/A</v>
      </c>
      <c r="W534" t="str">
        <f t="shared" si="26"/>
        <v>#2f89d1</v>
      </c>
    </row>
    <row r="535" spans="1:23" x14ac:dyDescent="0.5">
      <c r="A535" s="54">
        <v>534</v>
      </c>
      <c r="B535" s="90" t="s">
        <v>314</v>
      </c>
      <c r="C535" t="s">
        <v>293</v>
      </c>
      <c r="D535" s="1" t="s">
        <v>1127</v>
      </c>
      <c r="E535" s="112">
        <v>2002.07</v>
      </c>
      <c r="F535" s="112">
        <v>2014.11</v>
      </c>
      <c r="G535" s="107" t="s">
        <v>670</v>
      </c>
      <c r="H535">
        <f>INDEX('GIS-Standards'!$A$2:$A$305,MATCH(B535,'GIS-Standards'!$B$2:$B$305,0))</f>
        <v>22</v>
      </c>
      <c r="I535">
        <f>INDEX('GIS-Standards'!$A$2:$A$305,MATCH(C535,'GIS-Standards'!$B$2:$B$305,0))</f>
        <v>10</v>
      </c>
      <c r="J535" t="str">
        <f>INDEX('GIS-Standards'!$O$2:$O$305,MATCH(B535,'GIS-Standards'!$B$2:$B$305,0))</f>
        <v>ISO/TC 211</v>
      </c>
      <c r="K535" t="str">
        <f>INDEX('GIS-Standards'!$O$2:$O$305,MATCH(C535,'GIS-Standards'!$B$2:$B$305,0))</f>
        <v>ISO/TC 211</v>
      </c>
      <c r="M535" t="s">
        <v>525</v>
      </c>
      <c r="N535" t="str">
        <f>INDEX('GIS-Standards'!$I$2:$I$305,MATCH(B535,'GIS-Standards'!$B$2:$B$305,0))</f>
        <v>12.2020</v>
      </c>
      <c r="O535">
        <f>INDEX('GIS-Standards'!$I$2:$I$305,MATCH(C535,'GIS-Standards'!$B$2:$B$305,0))</f>
        <v>0</v>
      </c>
      <c r="P535" t="b">
        <f>AND(TableRelationships12[[#This Row],[Source Type]]="BIM",TableRelationships12[[#This Row],[Target Type]]="BIM")</f>
        <v>0</v>
      </c>
      <c r="Q535">
        <f t="shared" si="24"/>
        <v>1</v>
      </c>
      <c r="S535">
        <f t="shared" si="25"/>
        <v>1</v>
      </c>
      <c r="T535" s="102" t="str">
        <f>IF(TableRelationships12[[#This Row],[Rank Pedro]]="Low","linkCategory1",IF(TableRelationships12[[#This Row],[Rank Pedro]]="Medium","linkCategory2",IF(TableRelationships12[[#This Row],[Rank Pedro]]="High","linkCategory3","")))</f>
        <v/>
      </c>
      <c r="U535" s="102" t="str">
        <f>IF(TableRelationships12[[#This Row],[Rank Pedro]]="Low","Pink",IF(TableRelationships12[[#This Row],[Rank Pedro]]="Medium","Purple",IF(TableRelationships12[[#This Row],[Rank Pedro]]="High","Brown","")))</f>
        <v/>
      </c>
      <c r="V535" s="4">
        <f>MAX(INDEX(Standards!$F$2:$F$296,MATCH(B535,Standards!$B$2:$B$296,0)),INDEX(Standards!$F$2:$F$296,MATCH(C535,Standards!$B$2:$B$296,0)))</f>
        <v>37742</v>
      </c>
      <c r="W535" t="str">
        <f t="shared" si="26"/>
        <v>#2f89d1</v>
      </c>
    </row>
    <row r="536" spans="1:23" x14ac:dyDescent="0.5">
      <c r="A536" s="54">
        <v>535</v>
      </c>
      <c r="B536" s="90" t="s">
        <v>314</v>
      </c>
      <c r="C536" t="s">
        <v>298</v>
      </c>
      <c r="D536" s="1"/>
      <c r="E536" s="112">
        <v>2008.11</v>
      </c>
      <c r="F536" s="112">
        <v>2016.1</v>
      </c>
      <c r="G536" s="107" t="s">
        <v>1464</v>
      </c>
      <c r="H536">
        <f>INDEX('GIS-Standards'!$A$2:$A$305,MATCH(B536,'GIS-Standards'!$B$2:$B$305,0))</f>
        <v>22</v>
      </c>
      <c r="I536">
        <f>INDEX('GIS-Standards'!$A$2:$A$305,MATCH(C536,'GIS-Standards'!$B$2:$B$305,0))</f>
        <v>13</v>
      </c>
      <c r="J536" t="str">
        <f>INDEX('GIS-Standards'!$O$2:$O$305,MATCH(B536,'GIS-Standards'!$B$2:$B$305,0))</f>
        <v>ISO/TC 211</v>
      </c>
      <c r="K536" t="str">
        <f>INDEX('GIS-Standards'!$O$2:$O$305,MATCH(C536,'GIS-Standards'!$B$2:$B$305,0))</f>
        <v>ISO/TC 211</v>
      </c>
      <c r="M536" t="s">
        <v>525</v>
      </c>
      <c r="N536" t="str">
        <f>INDEX('GIS-Standards'!$I$2:$I$305,MATCH(B536,'GIS-Standards'!$B$2:$B$305,0))</f>
        <v>12.2020</v>
      </c>
      <c r="O536">
        <f>INDEX('GIS-Standards'!$I$2:$I$305,MATCH(C536,'GIS-Standards'!$B$2:$B$305,0))</f>
        <v>0</v>
      </c>
      <c r="P536" t="b">
        <f>AND(TableRelationships12[[#This Row],[Source Type]]="BIM",TableRelationships12[[#This Row],[Target Type]]="BIM")</f>
        <v>0</v>
      </c>
      <c r="Q536">
        <f t="shared" si="24"/>
        <v>1</v>
      </c>
      <c r="S536">
        <f t="shared" si="25"/>
        <v>1</v>
      </c>
      <c r="T536" s="102" t="str">
        <f>IF(TableRelationships12[[#This Row],[Rank Pedro]]="Low","linkCategory1",IF(TableRelationships12[[#This Row],[Rank Pedro]]="Medium","linkCategory2",IF(TableRelationships12[[#This Row],[Rank Pedro]]="High","linkCategory3","")))</f>
        <v/>
      </c>
      <c r="U536" s="102" t="str">
        <f>IF(TableRelationships12[[#This Row],[Rank Pedro]]="Low","Pink",IF(TableRelationships12[[#This Row],[Rank Pedro]]="Medium","Purple",IF(TableRelationships12[[#This Row],[Rank Pedro]]="High","Brown","")))</f>
        <v/>
      </c>
      <c r="V536" s="4">
        <f>MAX(INDEX(Standards!$F$2:$F$296,MATCH(B536,Standards!$B$2:$B$296,0)),INDEX(Standards!$F$2:$F$296,MATCH(C536,Standards!$B$2:$B$296,0)))</f>
        <v>39753</v>
      </c>
      <c r="W536" t="str">
        <f t="shared" si="26"/>
        <v>#2f89d1</v>
      </c>
    </row>
    <row r="537" spans="1:23" x14ac:dyDescent="0.5">
      <c r="A537" s="54">
        <v>536</v>
      </c>
      <c r="B537" s="90" t="s">
        <v>314</v>
      </c>
      <c r="C537" t="s">
        <v>1041</v>
      </c>
      <c r="D537" s="1"/>
      <c r="E537" s="112">
        <v>2009.02</v>
      </c>
      <c r="F537" s="112">
        <v>2022.03</v>
      </c>
      <c r="G537" s="107" t="s">
        <v>670</v>
      </c>
      <c r="H537">
        <f>INDEX('GIS-Standards'!$A$2:$A$305,MATCH(B537,'GIS-Standards'!$B$2:$B$305,0))</f>
        <v>22</v>
      </c>
      <c r="I537">
        <f>INDEX('GIS-Standards'!$A$2:$A$305,MATCH(C537,'GIS-Standards'!$B$2:$B$305,0))</f>
        <v>23</v>
      </c>
      <c r="J537" t="str">
        <f>INDEX('GIS-Standards'!$O$2:$O$305,MATCH(B537,'GIS-Standards'!$B$2:$B$305,0))</f>
        <v>ISO/TC 211</v>
      </c>
      <c r="K537" t="str">
        <f>INDEX('GIS-Standards'!$O$2:$O$305,MATCH(C537,'GIS-Standards'!$B$2:$B$305,0))</f>
        <v>ISO/TC 211</v>
      </c>
      <c r="M537" t="s">
        <v>525</v>
      </c>
      <c r="N537" t="str">
        <f>INDEX('GIS-Standards'!$I$2:$I$305,MATCH(B537,'GIS-Standards'!$B$2:$B$305,0))</f>
        <v>12.2020</v>
      </c>
      <c r="O537" t="str">
        <f>INDEX('GIS-Standards'!$I$2:$I$305,MATCH(C537,'GIS-Standards'!$B$2:$B$305,0))</f>
        <v>03.2022</v>
      </c>
      <c r="P537" t="b">
        <f>AND(TableRelationships12[[#This Row],[Source Type]]="BIM",TableRelationships12[[#This Row],[Target Type]]="BIM")</f>
        <v>0</v>
      </c>
      <c r="Q537">
        <f t="shared" si="24"/>
        <v>1</v>
      </c>
      <c r="S537">
        <f t="shared" si="25"/>
        <v>1</v>
      </c>
      <c r="T537" s="102" t="str">
        <f>IF(TableRelationships12[[#This Row],[Rank Pedro]]="Low","linkCategory1",IF(TableRelationships12[[#This Row],[Rank Pedro]]="Medium","linkCategory2",IF(TableRelationships12[[#This Row],[Rank Pedro]]="High","linkCategory3","")))</f>
        <v/>
      </c>
      <c r="U537" s="102" t="str">
        <f>IF(TableRelationships12[[#This Row],[Rank Pedro]]="Low","Pink",IF(TableRelationships12[[#This Row],[Rank Pedro]]="Medium","Purple",IF(TableRelationships12[[#This Row],[Rank Pedro]]="High","Brown","")))</f>
        <v/>
      </c>
      <c r="V537" s="4" t="e">
        <f>MAX(INDEX(Standards!$F$2:$F$296,MATCH(B537,Standards!$B$2:$B$296,0)),INDEX(Standards!$F$2:$F$296,MATCH(C537,Standards!$B$2:$B$296,0)))</f>
        <v>#N/A</v>
      </c>
      <c r="W537" t="str">
        <f t="shared" si="26"/>
        <v>#2f89d1</v>
      </c>
    </row>
    <row r="538" spans="1:23" x14ac:dyDescent="0.5">
      <c r="A538" s="54">
        <v>537</v>
      </c>
      <c r="B538" s="90" t="s">
        <v>314</v>
      </c>
      <c r="C538" t="s">
        <v>1043</v>
      </c>
      <c r="D538" s="1"/>
      <c r="E538" s="112">
        <v>2004.07</v>
      </c>
      <c r="F538" s="112">
        <v>2025.04</v>
      </c>
      <c r="G538" s="107" t="s">
        <v>670</v>
      </c>
      <c r="H538">
        <f>INDEX('GIS-Standards'!$A$2:$A$305,MATCH(B538,'GIS-Standards'!$B$2:$B$305,0))</f>
        <v>22</v>
      </c>
      <c r="I538">
        <f>INDEX('GIS-Standards'!$A$2:$A$305,MATCH(C538,'GIS-Standards'!$B$2:$B$305,0))</f>
        <v>25</v>
      </c>
      <c r="J538" t="str">
        <f>INDEX('GIS-Standards'!$O$2:$O$305,MATCH(B538,'GIS-Standards'!$B$2:$B$305,0))</f>
        <v>ISO/TC 211</v>
      </c>
      <c r="K538" t="str">
        <f>INDEX('GIS-Standards'!$O$2:$O$305,MATCH(C538,'GIS-Standards'!$B$2:$B$305,0))</f>
        <v>ISO/TC 211</v>
      </c>
      <c r="M538" t="s">
        <v>525</v>
      </c>
      <c r="N538" t="str">
        <f>INDEX('GIS-Standards'!$I$2:$I$305,MATCH(B538,'GIS-Standards'!$B$2:$B$305,0))</f>
        <v>12.2020</v>
      </c>
      <c r="O538">
        <f>INDEX('GIS-Standards'!$I$2:$I$305,MATCH(C538,'GIS-Standards'!$B$2:$B$305,0))</f>
        <v>0</v>
      </c>
      <c r="P538" t="b">
        <f>AND(TableRelationships12[[#This Row],[Source Type]]="BIM",TableRelationships12[[#This Row],[Target Type]]="BIM")</f>
        <v>0</v>
      </c>
      <c r="Q538">
        <f t="shared" si="24"/>
        <v>1</v>
      </c>
      <c r="S538">
        <f t="shared" si="25"/>
        <v>1</v>
      </c>
      <c r="T538" s="102" t="str">
        <f>IF(TableRelationships12[[#This Row],[Rank Pedro]]="Low","linkCategory1",IF(TableRelationships12[[#This Row],[Rank Pedro]]="Medium","linkCategory2",IF(TableRelationships12[[#This Row],[Rank Pedro]]="High","linkCategory3","")))</f>
        <v/>
      </c>
      <c r="U538" s="102" t="str">
        <f>IF(TableRelationships12[[#This Row],[Rank Pedro]]="Low","Pink",IF(TableRelationships12[[#This Row],[Rank Pedro]]="Medium","Purple",IF(TableRelationships12[[#This Row],[Rank Pedro]]="High","Brown","")))</f>
        <v/>
      </c>
      <c r="V538" s="4" t="e">
        <f>MAX(INDEX(Standards!$F$2:$F$296,MATCH(B538,Standards!$B$2:$B$296,0)),INDEX(Standards!$F$2:$F$296,MATCH(C538,Standards!$B$2:$B$296,0)))</f>
        <v>#N/A</v>
      </c>
      <c r="W538" t="str">
        <f t="shared" si="26"/>
        <v>#2f89d1</v>
      </c>
    </row>
    <row r="539" spans="1:23" x14ac:dyDescent="0.5">
      <c r="A539" s="54">
        <v>538</v>
      </c>
      <c r="B539" s="90" t="s">
        <v>314</v>
      </c>
      <c r="C539" t="s">
        <v>1044</v>
      </c>
      <c r="D539" s="1"/>
      <c r="E539" s="112">
        <v>2005.06</v>
      </c>
      <c r="F539" s="112">
        <v>2012.12</v>
      </c>
      <c r="G539" s="107" t="s">
        <v>670</v>
      </c>
      <c r="H539">
        <f>INDEX('GIS-Standards'!$A$2:$A$305,MATCH(B539,'GIS-Standards'!$B$2:$B$305,0))</f>
        <v>22</v>
      </c>
      <c r="I539">
        <f>INDEX('GIS-Standards'!$A$2:$A$305,MATCH(C539,'GIS-Standards'!$B$2:$B$305,0))</f>
        <v>26</v>
      </c>
      <c r="J539" t="str">
        <f>INDEX('GIS-Standards'!$O$2:$O$305,MATCH(B539,'GIS-Standards'!$B$2:$B$305,0))</f>
        <v>ISO/TC 211</v>
      </c>
      <c r="K539" t="str">
        <f>INDEX('GIS-Standards'!$O$2:$O$305,MATCH(C539,'GIS-Standards'!$B$2:$B$305,0))</f>
        <v>ISO/TC 211</v>
      </c>
      <c r="M539" t="s">
        <v>525</v>
      </c>
      <c r="N539" t="str">
        <f>INDEX('GIS-Standards'!$I$2:$I$305,MATCH(B539,'GIS-Standards'!$B$2:$B$305,0))</f>
        <v>12.2020</v>
      </c>
      <c r="O539">
        <f>INDEX('GIS-Standards'!$I$2:$I$305,MATCH(C539,'GIS-Standards'!$B$2:$B$305,0))</f>
        <v>0</v>
      </c>
      <c r="P539" t="b">
        <f>AND(TableRelationships12[[#This Row],[Source Type]]="BIM",TableRelationships12[[#This Row],[Target Type]]="BIM")</f>
        <v>0</v>
      </c>
      <c r="Q539">
        <f t="shared" si="24"/>
        <v>1</v>
      </c>
      <c r="S539">
        <f t="shared" si="25"/>
        <v>1</v>
      </c>
      <c r="T539" s="102" t="str">
        <f>IF(TableRelationships12[[#This Row],[Rank Pedro]]="Low","linkCategory1",IF(TableRelationships12[[#This Row],[Rank Pedro]]="Medium","linkCategory2",IF(TableRelationships12[[#This Row],[Rank Pedro]]="High","linkCategory3","")))</f>
        <v/>
      </c>
      <c r="U539" s="102" t="str">
        <f>IF(TableRelationships12[[#This Row],[Rank Pedro]]="Low","Pink",IF(TableRelationships12[[#This Row],[Rank Pedro]]="Medium","Purple",IF(TableRelationships12[[#This Row],[Rank Pedro]]="High","Brown","")))</f>
        <v/>
      </c>
      <c r="V539" s="4" t="e">
        <f>MAX(INDEX(Standards!$F$2:$F$296,MATCH(B539,Standards!$B$2:$B$296,0)),INDEX(Standards!$F$2:$F$296,MATCH(C539,Standards!$B$2:$B$296,0)))</f>
        <v>#N/A</v>
      </c>
      <c r="W539" t="str">
        <f t="shared" si="26"/>
        <v>#2f89d1</v>
      </c>
    </row>
    <row r="540" spans="1:23" x14ac:dyDescent="0.5">
      <c r="A540" s="54">
        <v>539</v>
      </c>
      <c r="B540" s="90" t="s">
        <v>314</v>
      </c>
      <c r="C540" t="s">
        <v>646</v>
      </c>
      <c r="D540" s="1" t="s">
        <v>1676</v>
      </c>
      <c r="E540" s="112">
        <v>2000.1</v>
      </c>
      <c r="F540" s="112">
        <v>2000.1</v>
      </c>
      <c r="G540" s="107" t="s">
        <v>670</v>
      </c>
      <c r="H540">
        <f>INDEX('GIS-Standards'!$A$2:$A$305,MATCH(B540,'GIS-Standards'!$B$2:$B$305,0))</f>
        <v>22</v>
      </c>
      <c r="I540">
        <f>INDEX('GIS-Standards'!$A$2:$A$305,MATCH(C540,'GIS-Standards'!$B$2:$B$305,0))</f>
        <v>89</v>
      </c>
      <c r="J540" t="str">
        <f>INDEX('GIS-Standards'!$O$2:$O$305,MATCH(B540,'GIS-Standards'!$B$2:$B$305,0))</f>
        <v>ISO/TC 211</v>
      </c>
      <c r="K540" t="str">
        <f>INDEX('GIS-Standards'!$O$2:$O$305,MATCH(C540,'GIS-Standards'!$B$2:$B$305,0))</f>
        <v>ISO/TC 211</v>
      </c>
      <c r="M540" t="s">
        <v>525</v>
      </c>
      <c r="N540" t="str">
        <f>INDEX('GIS-Standards'!$I$2:$I$305,MATCH(B540,'GIS-Standards'!$B$2:$B$305,0))</f>
        <v>12.2020</v>
      </c>
      <c r="O540">
        <f>INDEX('GIS-Standards'!$I$2:$I$305,MATCH(C540,'GIS-Standards'!$B$2:$B$305,0))</f>
        <v>0</v>
      </c>
      <c r="P540" t="b">
        <f>AND(TableRelationships12[[#This Row],[Source Type]]="BIM",TableRelationships12[[#This Row],[Target Type]]="BIM")</f>
        <v>0</v>
      </c>
      <c r="Q540">
        <f t="shared" si="24"/>
        <v>1</v>
      </c>
      <c r="S540">
        <f t="shared" si="25"/>
        <v>1</v>
      </c>
      <c r="T540" s="102" t="str">
        <f>IF(TableRelationships12[[#This Row],[Rank Pedro]]="Low","linkCategory1",IF(TableRelationships12[[#This Row],[Rank Pedro]]="Medium","linkCategory2",IF(TableRelationships12[[#This Row],[Rank Pedro]]="High","linkCategory3","")))</f>
        <v/>
      </c>
      <c r="U540" s="102" t="str">
        <f>IF(TableRelationships12[[#This Row],[Rank Pedro]]="Low","Pink",IF(TableRelationships12[[#This Row],[Rank Pedro]]="Medium","Purple",IF(TableRelationships12[[#This Row],[Rank Pedro]]="High","Brown","")))</f>
        <v/>
      </c>
      <c r="V540" s="4" t="e">
        <f>MAX(INDEX(Standards!$F$2:$F$296,MATCH(B540,Standards!$B$2:$B$296,0)),INDEX(Standards!$F$2:$F$296,MATCH(C540,Standards!$B$2:$B$296,0)))</f>
        <v>#N/A</v>
      </c>
      <c r="W540" t="str">
        <f t="shared" si="26"/>
        <v>#2f89d1</v>
      </c>
    </row>
    <row r="541" spans="1:23" x14ac:dyDescent="0.5">
      <c r="A541" s="54">
        <v>540</v>
      </c>
      <c r="B541" s="90" t="s">
        <v>314</v>
      </c>
      <c r="C541" t="s">
        <v>320</v>
      </c>
      <c r="D541" s="1" t="s">
        <v>1100</v>
      </c>
      <c r="E541" s="112">
        <v>2005.08</v>
      </c>
      <c r="F541" s="112">
        <v>2023.06</v>
      </c>
      <c r="G541" s="107" t="s">
        <v>670</v>
      </c>
      <c r="H541">
        <f>INDEX('GIS-Standards'!$A$2:$A$305,MATCH(B541,'GIS-Standards'!$B$2:$B$305,0))</f>
        <v>22</v>
      </c>
      <c r="I541">
        <f>INDEX('GIS-Standards'!$A$2:$A$305,MATCH(C541,'GIS-Standards'!$B$2:$B$305,0))</f>
        <v>29</v>
      </c>
      <c r="J541" t="str">
        <f>INDEX('GIS-Standards'!$O$2:$O$305,MATCH(B541,'GIS-Standards'!$B$2:$B$305,0))</f>
        <v>ISO/TC 211</v>
      </c>
      <c r="K541" t="str">
        <f>INDEX('GIS-Standards'!$O$2:$O$305,MATCH(C541,'GIS-Standards'!$B$2:$B$305,0))</f>
        <v>ISO/TC 211</v>
      </c>
      <c r="M541" t="s">
        <v>525</v>
      </c>
      <c r="N541" t="str">
        <f>INDEX('GIS-Standards'!$I$2:$I$305,MATCH(B541,'GIS-Standards'!$B$2:$B$305,0))</f>
        <v>12.2020</v>
      </c>
      <c r="O541">
        <f>INDEX('GIS-Standards'!$I$2:$I$305,MATCH(C541,'GIS-Standards'!$B$2:$B$305,0))</f>
        <v>0</v>
      </c>
      <c r="P541" t="b">
        <f>AND(TableRelationships12[[#This Row],[Source Type]]="BIM",TableRelationships12[[#This Row],[Target Type]]="BIM")</f>
        <v>0</v>
      </c>
      <c r="Q541">
        <f t="shared" si="24"/>
        <v>1</v>
      </c>
      <c r="S541">
        <f t="shared" si="25"/>
        <v>1</v>
      </c>
      <c r="T541" s="102" t="str">
        <f>IF(TableRelationships12[[#This Row],[Rank Pedro]]="Low","linkCategory1",IF(TableRelationships12[[#This Row],[Rank Pedro]]="Medium","linkCategory2",IF(TableRelationships12[[#This Row],[Rank Pedro]]="High","linkCategory3","")))</f>
        <v/>
      </c>
      <c r="U541" s="102" t="str">
        <f>IF(TableRelationships12[[#This Row],[Rank Pedro]]="Low","Pink",IF(TableRelationships12[[#This Row],[Rank Pedro]]="Medium","Purple",IF(TableRelationships12[[#This Row],[Rank Pedro]]="High","Brown","")))</f>
        <v/>
      </c>
      <c r="V541" s="4">
        <f>MAX(INDEX(Standards!$F$2:$F$296,MATCH(B541,Standards!$B$2:$B$296,0)),INDEX(Standards!$F$2:$F$296,MATCH(C541,Standards!$B$2:$B$296,0)))</f>
        <v>38565</v>
      </c>
      <c r="W541" t="str">
        <f t="shared" si="26"/>
        <v>#2f89d1</v>
      </c>
    </row>
    <row r="542" spans="1:23" x14ac:dyDescent="0.5">
      <c r="A542" s="54">
        <v>541</v>
      </c>
      <c r="B542" s="90" t="s">
        <v>314</v>
      </c>
      <c r="C542" t="s">
        <v>1128</v>
      </c>
      <c r="D542" s="1"/>
      <c r="E542" s="112">
        <v>2006.01</v>
      </c>
      <c r="F542" s="112">
        <v>2017.1</v>
      </c>
      <c r="G542" s="107" t="s">
        <v>1457</v>
      </c>
      <c r="H542">
        <f>INDEX('GIS-Standards'!$A$2:$A$305,MATCH(B542,'GIS-Standards'!$B$2:$B$305,0))</f>
        <v>22</v>
      </c>
      <c r="I542" t="e">
        <f>INDEX('GIS-Standards'!$A$2:$A$305,MATCH(C542,'GIS-Standards'!$B$2:$B$305,0))</f>
        <v>#N/A</v>
      </c>
      <c r="J542" t="str">
        <f>INDEX('GIS-Standards'!$O$2:$O$305,MATCH(B542,'GIS-Standards'!$B$2:$B$305,0))</f>
        <v>ISO/TC 211</v>
      </c>
      <c r="K542" t="e">
        <f>INDEX('GIS-Standards'!$O$2:$O$305,MATCH(C542,'GIS-Standards'!$B$2:$B$305,0))</f>
        <v>#N/A</v>
      </c>
      <c r="M542" t="s">
        <v>525</v>
      </c>
      <c r="N542" t="str">
        <f>INDEX('GIS-Standards'!$I$2:$I$305,MATCH(B542,'GIS-Standards'!$B$2:$B$305,0))</f>
        <v>12.2020</v>
      </c>
      <c r="O542" t="e">
        <f>INDEX('GIS-Standards'!$I$2:$I$305,MATCH(C542,'GIS-Standards'!$B$2:$B$305,0))</f>
        <v>#N/A</v>
      </c>
      <c r="P542" t="e">
        <f>AND(TableRelationships12[[#This Row],[Source Type]]="BIM",TableRelationships12[[#This Row],[Target Type]]="BIM")</f>
        <v>#N/A</v>
      </c>
      <c r="Q542">
        <f t="shared" si="24"/>
        <v>1</v>
      </c>
      <c r="S542">
        <f t="shared" si="25"/>
        <v>1</v>
      </c>
      <c r="T542" s="102" t="str">
        <f>IF(TableRelationships12[[#This Row],[Rank Pedro]]="Low","linkCategory1",IF(TableRelationships12[[#This Row],[Rank Pedro]]="Medium","linkCategory2",IF(TableRelationships12[[#This Row],[Rank Pedro]]="High","linkCategory3","")))</f>
        <v/>
      </c>
      <c r="U542" s="102" t="str">
        <f>IF(TableRelationships12[[#This Row],[Rank Pedro]]="Low","Pink",IF(TableRelationships12[[#This Row],[Rank Pedro]]="Medium","Purple",IF(TableRelationships12[[#This Row],[Rank Pedro]]="High","Brown","")))</f>
        <v/>
      </c>
      <c r="V542" s="4" t="e">
        <f>MAX(INDEX(Standards!$F$2:$F$296,MATCH(B542,Standards!$B$2:$B$296,0)),INDEX(Standards!$F$2:$F$296,MATCH(C542,Standards!$B$2:$B$296,0)))</f>
        <v>#N/A</v>
      </c>
      <c r="W542" t="str">
        <f t="shared" si="26"/>
        <v>#2f89d1</v>
      </c>
    </row>
    <row r="543" spans="1:23" x14ac:dyDescent="0.5">
      <c r="A543" s="54">
        <v>542</v>
      </c>
      <c r="B543" s="90" t="s">
        <v>314</v>
      </c>
      <c r="C543" t="s">
        <v>1129</v>
      </c>
      <c r="D543" s="1"/>
      <c r="E543" s="112">
        <v>1998.07</v>
      </c>
      <c r="F543" s="112">
        <v>1998.07</v>
      </c>
      <c r="G543" s="107" t="s">
        <v>670</v>
      </c>
      <c r="H543">
        <f>INDEX('GIS-Standards'!$A$2:$A$305,MATCH(B543,'GIS-Standards'!$B$2:$B$305,0))</f>
        <v>22</v>
      </c>
      <c r="I543" t="e">
        <f>INDEX('GIS-Standards'!$A$2:$A$305,MATCH(C543,'GIS-Standards'!$B$2:$B$305,0))</f>
        <v>#N/A</v>
      </c>
      <c r="J543" t="str">
        <f>INDEX('GIS-Standards'!$O$2:$O$305,MATCH(B543,'GIS-Standards'!$B$2:$B$305,0))</f>
        <v>ISO/TC 211</v>
      </c>
      <c r="K543" t="e">
        <f>INDEX('GIS-Standards'!$O$2:$O$305,MATCH(C543,'GIS-Standards'!$B$2:$B$305,0))</f>
        <v>#N/A</v>
      </c>
      <c r="M543" t="s">
        <v>525</v>
      </c>
      <c r="N543" t="str">
        <f>INDEX('GIS-Standards'!$I$2:$I$305,MATCH(B543,'GIS-Standards'!$B$2:$B$305,0))</f>
        <v>12.2020</v>
      </c>
      <c r="O543" t="e">
        <f>INDEX('GIS-Standards'!$I$2:$I$305,MATCH(C543,'GIS-Standards'!$B$2:$B$305,0))</f>
        <v>#N/A</v>
      </c>
      <c r="P543" t="e">
        <f>AND(TableRelationships12[[#This Row],[Source Type]]="BIM",TableRelationships12[[#This Row],[Target Type]]="BIM")</f>
        <v>#N/A</v>
      </c>
      <c r="Q543">
        <f t="shared" si="24"/>
        <v>1</v>
      </c>
      <c r="S543">
        <f t="shared" si="25"/>
        <v>1</v>
      </c>
      <c r="T543" s="102" t="str">
        <f>IF(TableRelationships12[[#This Row],[Rank Pedro]]="Low","linkCategory1",IF(TableRelationships12[[#This Row],[Rank Pedro]]="Medium","linkCategory2",IF(TableRelationships12[[#This Row],[Rank Pedro]]="High","linkCategory3","")))</f>
        <v/>
      </c>
      <c r="U543" s="102" t="str">
        <f>IF(TableRelationships12[[#This Row],[Rank Pedro]]="Low","Pink",IF(TableRelationships12[[#This Row],[Rank Pedro]]="Medium","Purple",IF(TableRelationships12[[#This Row],[Rank Pedro]]="High","Brown","")))</f>
        <v/>
      </c>
      <c r="V543" s="4" t="e">
        <f>MAX(INDEX(Standards!$F$2:$F$296,MATCH(B543,Standards!$B$2:$B$296,0)),INDEX(Standards!$F$2:$F$296,MATCH(C543,Standards!$B$2:$B$296,0)))</f>
        <v>#N/A</v>
      </c>
      <c r="W543" t="str">
        <f t="shared" si="26"/>
        <v>#2f89d1</v>
      </c>
    </row>
    <row r="544" spans="1:23" x14ac:dyDescent="0.5">
      <c r="A544" s="54">
        <v>543</v>
      </c>
      <c r="B544" s="90" t="s">
        <v>314</v>
      </c>
      <c r="C544" t="s">
        <v>1130</v>
      </c>
      <c r="D544" s="1"/>
      <c r="E544" s="112">
        <v>2011.05</v>
      </c>
      <c r="F544" s="112">
        <v>2011.05</v>
      </c>
      <c r="G544" s="107" t="s">
        <v>1457</v>
      </c>
      <c r="H544">
        <f>INDEX('GIS-Standards'!$A$2:$A$305,MATCH(B544,'GIS-Standards'!$B$2:$B$305,0))</f>
        <v>22</v>
      </c>
      <c r="I544" t="e">
        <f>INDEX('GIS-Standards'!$A$2:$A$305,MATCH(C544,'GIS-Standards'!$B$2:$B$305,0))</f>
        <v>#N/A</v>
      </c>
      <c r="J544" t="str">
        <f>INDEX('GIS-Standards'!$O$2:$O$305,MATCH(B544,'GIS-Standards'!$B$2:$B$305,0))</f>
        <v>ISO/TC 211</v>
      </c>
      <c r="K544" t="e">
        <f>INDEX('GIS-Standards'!$O$2:$O$305,MATCH(C544,'GIS-Standards'!$B$2:$B$305,0))</f>
        <v>#N/A</v>
      </c>
      <c r="M544" t="s">
        <v>525</v>
      </c>
      <c r="N544" t="str">
        <f>INDEX('GIS-Standards'!$I$2:$I$305,MATCH(B544,'GIS-Standards'!$B$2:$B$305,0))</f>
        <v>12.2020</v>
      </c>
      <c r="O544" t="e">
        <f>INDEX('GIS-Standards'!$I$2:$I$305,MATCH(C544,'GIS-Standards'!$B$2:$B$305,0))</f>
        <v>#N/A</v>
      </c>
      <c r="P544" t="e">
        <f>AND(TableRelationships12[[#This Row],[Source Type]]="BIM",TableRelationships12[[#This Row],[Target Type]]="BIM")</f>
        <v>#N/A</v>
      </c>
      <c r="Q544">
        <f t="shared" si="24"/>
        <v>1</v>
      </c>
      <c r="S544">
        <f t="shared" si="25"/>
        <v>1</v>
      </c>
      <c r="T544" s="102" t="str">
        <f>IF(TableRelationships12[[#This Row],[Rank Pedro]]="Low","linkCategory1",IF(TableRelationships12[[#This Row],[Rank Pedro]]="Medium","linkCategory2",IF(TableRelationships12[[#This Row],[Rank Pedro]]="High","linkCategory3","")))</f>
        <v/>
      </c>
      <c r="U544" s="102" t="str">
        <f>IF(TableRelationships12[[#This Row],[Rank Pedro]]="Low","Pink",IF(TableRelationships12[[#This Row],[Rank Pedro]]="Medium","Purple",IF(TableRelationships12[[#This Row],[Rank Pedro]]="High","Brown","")))</f>
        <v/>
      </c>
      <c r="V544" s="4" t="e">
        <f>MAX(INDEX(Standards!$F$2:$F$296,MATCH(B544,Standards!$B$2:$B$296,0)),INDEX(Standards!$F$2:$F$296,MATCH(C544,Standards!$B$2:$B$296,0)))</f>
        <v>#N/A</v>
      </c>
      <c r="W544" t="str">
        <f t="shared" si="26"/>
        <v>#2f89d1</v>
      </c>
    </row>
    <row r="545" spans="1:23" x14ac:dyDescent="0.5">
      <c r="A545" s="54">
        <v>544</v>
      </c>
      <c r="B545" s="90" t="s">
        <v>314</v>
      </c>
      <c r="C545" s="106" t="s">
        <v>1674</v>
      </c>
      <c r="D545" s="1" t="s">
        <v>1131</v>
      </c>
      <c r="E545" s="112">
        <v>1994.12</v>
      </c>
      <c r="F545" s="112">
        <v>2005.1</v>
      </c>
      <c r="G545" s="107"/>
      <c r="H545">
        <f>INDEX('GIS-Standards'!$A$2:$A$305,MATCH(B545,'GIS-Standards'!$B$2:$B$305,0))</f>
        <v>22</v>
      </c>
      <c r="I545" t="e">
        <f>INDEX('GIS-Standards'!$A$2:$A$305,MATCH(C545,'GIS-Standards'!$B$2:$B$305,0))</f>
        <v>#N/A</v>
      </c>
      <c r="J545" t="str">
        <f>INDEX('GIS-Standards'!$O$2:$O$305,MATCH(B545,'GIS-Standards'!$B$2:$B$305,0))</f>
        <v>ISO/TC 211</v>
      </c>
      <c r="K545" t="e">
        <f>INDEX('GIS-Standards'!$O$2:$O$305,MATCH(C545,'GIS-Standards'!$B$2:$B$305,0))</f>
        <v>#N/A</v>
      </c>
      <c r="M545" t="s">
        <v>525</v>
      </c>
      <c r="N545" t="str">
        <f>INDEX('GIS-Standards'!$I$2:$I$305,MATCH(B545,'GIS-Standards'!$B$2:$B$305,0))</f>
        <v>12.2020</v>
      </c>
      <c r="O545" t="e">
        <f>INDEX('GIS-Standards'!$I$2:$I$305,MATCH(C545,'GIS-Standards'!$B$2:$B$305,0))</f>
        <v>#N/A</v>
      </c>
      <c r="P545" t="e">
        <f>AND(TableRelationships12[[#This Row],[Source Type]]="BIM",TableRelationships12[[#This Row],[Target Type]]="BIM")</f>
        <v>#N/A</v>
      </c>
      <c r="Q545">
        <f t="shared" si="24"/>
        <v>1</v>
      </c>
      <c r="S545">
        <f t="shared" si="25"/>
        <v>1</v>
      </c>
      <c r="T545" s="102" t="str">
        <f>IF(TableRelationships12[[#This Row],[Rank Pedro]]="Low","linkCategory1",IF(TableRelationships12[[#This Row],[Rank Pedro]]="Medium","linkCategory2",IF(TableRelationships12[[#This Row],[Rank Pedro]]="High","linkCategory3","")))</f>
        <v/>
      </c>
      <c r="U545" s="102" t="str">
        <f>IF(TableRelationships12[[#This Row],[Rank Pedro]]="Low","Pink",IF(TableRelationships12[[#This Row],[Rank Pedro]]="Medium","Purple",IF(TableRelationships12[[#This Row],[Rank Pedro]]="High","Brown","")))</f>
        <v/>
      </c>
      <c r="V545" s="4" t="e">
        <f>MAX(INDEX(Standards!$F$2:$F$296,MATCH(B545,Standards!$B$2:$B$296,0)),INDEX(Standards!$F$2:$F$296,MATCH(C545,Standards!$B$2:$B$296,0)))</f>
        <v>#N/A</v>
      </c>
      <c r="W545" t="str">
        <f t="shared" si="26"/>
        <v>#2f89d1</v>
      </c>
    </row>
    <row r="546" spans="1:23" x14ac:dyDescent="0.5">
      <c r="A546" s="54">
        <v>545</v>
      </c>
      <c r="B546" s="90" t="s">
        <v>314</v>
      </c>
      <c r="C546" t="s">
        <v>1132</v>
      </c>
      <c r="D546" s="1"/>
      <c r="E546" s="112">
        <v>1996.11</v>
      </c>
      <c r="G546" s="107"/>
      <c r="H546">
        <f>INDEX('GIS-Standards'!$A$2:$A$305,MATCH(B546,'GIS-Standards'!$B$2:$B$305,0))</f>
        <v>22</v>
      </c>
      <c r="I546" t="e">
        <f>INDEX('GIS-Standards'!$A$2:$A$305,MATCH(C546,'GIS-Standards'!$B$2:$B$305,0))</f>
        <v>#N/A</v>
      </c>
      <c r="J546" t="str">
        <f>INDEX('GIS-Standards'!$O$2:$O$305,MATCH(B546,'GIS-Standards'!$B$2:$B$305,0))</f>
        <v>ISO/TC 211</v>
      </c>
      <c r="K546" t="e">
        <f>INDEX('GIS-Standards'!$O$2:$O$305,MATCH(C546,'GIS-Standards'!$B$2:$B$305,0))</f>
        <v>#N/A</v>
      </c>
      <c r="M546" t="s">
        <v>525</v>
      </c>
      <c r="N546" t="str">
        <f>INDEX('GIS-Standards'!$I$2:$I$305,MATCH(B546,'GIS-Standards'!$B$2:$B$305,0))</f>
        <v>12.2020</v>
      </c>
      <c r="O546" t="e">
        <f>INDEX('GIS-Standards'!$I$2:$I$305,MATCH(C546,'GIS-Standards'!$B$2:$B$305,0))</f>
        <v>#N/A</v>
      </c>
      <c r="P546" t="e">
        <f>AND(TableRelationships12[[#This Row],[Source Type]]="BIM",TableRelationships12[[#This Row],[Target Type]]="BIM")</f>
        <v>#N/A</v>
      </c>
      <c r="Q546">
        <f t="shared" si="24"/>
        <v>1</v>
      </c>
      <c r="S546">
        <f t="shared" si="25"/>
        <v>1</v>
      </c>
      <c r="T546" s="102" t="str">
        <f>IF(TableRelationships12[[#This Row],[Rank Pedro]]="Low","linkCategory1",IF(TableRelationships12[[#This Row],[Rank Pedro]]="Medium","linkCategory2",IF(TableRelationships12[[#This Row],[Rank Pedro]]="High","linkCategory3","")))</f>
        <v/>
      </c>
      <c r="U546" s="102" t="str">
        <f>IF(TableRelationships12[[#This Row],[Rank Pedro]]="Low","Pink",IF(TableRelationships12[[#This Row],[Rank Pedro]]="Medium","Purple",IF(TableRelationships12[[#This Row],[Rank Pedro]]="High","Brown","")))</f>
        <v/>
      </c>
      <c r="V546" s="4" t="e">
        <f>MAX(INDEX(Standards!$F$2:$F$296,MATCH(B546,Standards!$B$2:$B$296,0)),INDEX(Standards!$F$2:$F$296,MATCH(C546,Standards!$B$2:$B$296,0)))</f>
        <v>#N/A</v>
      </c>
      <c r="W546" t="str">
        <f t="shared" si="26"/>
        <v>#2f89d1</v>
      </c>
    </row>
    <row r="547" spans="1:23" x14ac:dyDescent="0.5">
      <c r="A547" s="54">
        <v>546</v>
      </c>
      <c r="B547" s="90" t="s">
        <v>1041</v>
      </c>
      <c r="C547" t="s">
        <v>527</v>
      </c>
      <c r="D547" s="1"/>
      <c r="E547" s="112" t="s">
        <v>943</v>
      </c>
      <c r="F547" s="112" t="s">
        <v>944</v>
      </c>
      <c r="G547" s="121" t="s">
        <v>670</v>
      </c>
      <c r="H547">
        <f>INDEX('GIS-Standards'!$A$2:$A$305,MATCH(B547,'GIS-Standards'!$B$2:$B$305,0))</f>
        <v>23</v>
      </c>
      <c r="I547" t="e">
        <f>INDEX('GIS-Standards'!$A$2:$A$305,MATCH(C547,'GIS-Standards'!$B$2:$B$305,0))</f>
        <v>#N/A</v>
      </c>
      <c r="J547" t="str">
        <f>INDEX('GIS-Standards'!$O$2:$O$305,MATCH(B547,'GIS-Standards'!$B$2:$B$305,0))</f>
        <v>ISO/TC 211</v>
      </c>
      <c r="K547" t="e">
        <f>INDEX('GIS-Standards'!$O$2:$O$305,MATCH(C547,'GIS-Standards'!$B$2:$B$305,0))</f>
        <v>#N/A</v>
      </c>
      <c r="M547" t="s">
        <v>237</v>
      </c>
      <c r="N547" t="str">
        <f>INDEX('GIS-Standards'!$I$2:$I$305,MATCH(B547,'GIS-Standards'!$B$2:$B$305,0))</f>
        <v>03.2022</v>
      </c>
      <c r="O547" t="e">
        <f>INDEX('GIS-Standards'!$I$2:$I$305,MATCH(C547,'GIS-Standards'!$B$2:$B$305,0))</f>
        <v>#N/A</v>
      </c>
      <c r="P547" t="e">
        <f>AND(TableRelationships12[[#This Row],[Source Type]]="BIM",TableRelationships12[[#This Row],[Target Type]]="BIM")</f>
        <v>#N/A</v>
      </c>
      <c r="Q547">
        <f t="shared" si="24"/>
        <v>2</v>
      </c>
      <c r="S547">
        <f t="shared" si="25"/>
        <v>1</v>
      </c>
      <c r="T547" s="102" t="str">
        <f>IF(TableRelationships12[[#This Row],[Rank Pedro]]="Low","linkCategory1",IF(TableRelationships12[[#This Row],[Rank Pedro]]="Medium","linkCategory2",IF(TableRelationships12[[#This Row],[Rank Pedro]]="High","linkCategory3","")))</f>
        <v/>
      </c>
      <c r="U547" s="102" t="str">
        <f>IF(TableRelationships12[[#This Row],[Rank Pedro]]="Low","Pink",IF(TableRelationships12[[#This Row],[Rank Pedro]]="Medium","Purple",IF(TableRelationships12[[#This Row],[Rank Pedro]]="High","Brown","")))</f>
        <v/>
      </c>
      <c r="V547" s="4" t="e">
        <f>MAX(INDEX(Standards!$F$2:$F$296,MATCH(B547,Standards!$B$2:$B$296,0)),INDEX(Standards!$F$2:$F$296,MATCH(C547,Standards!$B$2:$B$296,0)))</f>
        <v>#N/A</v>
      </c>
      <c r="W547">
        <f t="shared" si="26"/>
        <v>1</v>
      </c>
    </row>
    <row r="548" spans="1:23" x14ac:dyDescent="0.5">
      <c r="A548" s="54">
        <v>547</v>
      </c>
      <c r="B548" s="90" t="s">
        <v>1041</v>
      </c>
      <c r="C548" t="s">
        <v>296</v>
      </c>
      <c r="D548" s="1"/>
      <c r="E548" s="112">
        <v>2005.07</v>
      </c>
      <c r="F548" s="112">
        <v>2024.09</v>
      </c>
      <c r="G548" s="107" t="s">
        <v>670</v>
      </c>
      <c r="H548">
        <f>INDEX('GIS-Standards'!$A$2:$A$305,MATCH(B548,'GIS-Standards'!$B$2:$B$305,0))</f>
        <v>23</v>
      </c>
      <c r="I548">
        <f>INDEX('GIS-Standards'!$A$2:$A$305,MATCH(C548,'GIS-Standards'!$B$2:$B$305,0))</f>
        <v>12</v>
      </c>
      <c r="J548" t="str">
        <f>INDEX('GIS-Standards'!$O$2:$O$305,MATCH(B548,'GIS-Standards'!$B$2:$B$305,0))</f>
        <v>ISO/TC 211</v>
      </c>
      <c r="K548" t="str">
        <f>INDEX('GIS-Standards'!$O$2:$O$305,MATCH(C548,'GIS-Standards'!$B$2:$B$305,0))</f>
        <v>ISO/TC 211</v>
      </c>
      <c r="M548" t="s">
        <v>524</v>
      </c>
      <c r="N548" t="str">
        <f>INDEX('GIS-Standards'!$I$2:$I$305,MATCH(B548,'GIS-Standards'!$B$2:$B$305,0))</f>
        <v>03.2022</v>
      </c>
      <c r="O548">
        <f>INDEX('GIS-Standards'!$I$2:$I$305,MATCH(C548,'GIS-Standards'!$B$2:$B$305,0))</f>
        <v>0</v>
      </c>
      <c r="P548" t="b">
        <f>AND(TableRelationships12[[#This Row],[Source Type]]="BIM",TableRelationships12[[#This Row],[Target Type]]="BIM")</f>
        <v>0</v>
      </c>
      <c r="Q548">
        <f t="shared" si="24"/>
        <v>6</v>
      </c>
      <c r="S548">
        <f t="shared" si="25"/>
        <v>1</v>
      </c>
      <c r="T548" s="102" t="str">
        <f>IF(TableRelationships12[[#This Row],[Rank Pedro]]="Low","linkCategory1",IF(TableRelationships12[[#This Row],[Rank Pedro]]="Medium","linkCategory2",IF(TableRelationships12[[#This Row],[Rank Pedro]]="High","linkCategory3","")))</f>
        <v/>
      </c>
      <c r="U548" s="102" t="str">
        <f>IF(TableRelationships12[[#This Row],[Rank Pedro]]="Low","Pink",IF(TableRelationships12[[#This Row],[Rank Pedro]]="Medium","Purple",IF(TableRelationships12[[#This Row],[Rank Pedro]]="High","Brown","")))</f>
        <v/>
      </c>
      <c r="V548" s="4" t="e">
        <f>MAX(INDEX(Standards!$F$2:$F$296,MATCH(B548,Standards!$B$2:$B$296,0)),INDEX(Standards!$F$2:$F$296,MATCH(C548,Standards!$B$2:$B$296,0)))</f>
        <v>#N/A</v>
      </c>
      <c r="W548" t="str">
        <f t="shared" si="26"/>
        <v>#d6bf2a</v>
      </c>
    </row>
    <row r="549" spans="1:23" x14ac:dyDescent="0.5">
      <c r="A549" s="54">
        <v>548</v>
      </c>
      <c r="B549" s="90" t="s">
        <v>1041</v>
      </c>
      <c r="C549" t="s">
        <v>314</v>
      </c>
      <c r="D549" s="1"/>
      <c r="E549" s="112">
        <v>2003.05</v>
      </c>
      <c r="F549" s="112">
        <v>2020.11</v>
      </c>
      <c r="G549" s="107" t="s">
        <v>670</v>
      </c>
      <c r="H549">
        <f>INDEX('GIS-Standards'!$A$2:$A$305,MATCH(B549,'GIS-Standards'!$B$2:$B$305,0))</f>
        <v>23</v>
      </c>
      <c r="I549">
        <f>INDEX('GIS-Standards'!$A$2:$A$305,MATCH(C549,'GIS-Standards'!$B$2:$B$305,0))</f>
        <v>22</v>
      </c>
      <c r="J549" t="str">
        <f>INDEX('GIS-Standards'!$O$2:$O$305,MATCH(B549,'GIS-Standards'!$B$2:$B$305,0))</f>
        <v>ISO/TC 211</v>
      </c>
      <c r="K549" t="str">
        <f>INDEX('GIS-Standards'!$O$2:$O$305,MATCH(C549,'GIS-Standards'!$B$2:$B$305,0))</f>
        <v>ISO/TC 211</v>
      </c>
      <c r="M549" t="s">
        <v>524</v>
      </c>
      <c r="N549" t="str">
        <f>INDEX('GIS-Standards'!$I$2:$I$305,MATCH(B549,'GIS-Standards'!$B$2:$B$305,0))</f>
        <v>03.2022</v>
      </c>
      <c r="O549" t="str">
        <f>INDEX('GIS-Standards'!$I$2:$I$305,MATCH(C549,'GIS-Standards'!$B$2:$B$305,0))</f>
        <v>12.2020</v>
      </c>
      <c r="P549" t="b">
        <f>AND(TableRelationships12[[#This Row],[Source Type]]="BIM",TableRelationships12[[#This Row],[Target Type]]="BIM")</f>
        <v>0</v>
      </c>
      <c r="Q549">
        <f t="shared" si="24"/>
        <v>6</v>
      </c>
      <c r="S549">
        <f t="shared" si="25"/>
        <v>1</v>
      </c>
      <c r="T549" s="102" t="str">
        <f>IF(TableRelationships12[[#This Row],[Rank Pedro]]="Low","linkCategory1",IF(TableRelationships12[[#This Row],[Rank Pedro]]="Medium","linkCategory2",IF(TableRelationships12[[#This Row],[Rank Pedro]]="High","linkCategory3","")))</f>
        <v/>
      </c>
      <c r="U549" s="102" t="str">
        <f>IF(TableRelationships12[[#This Row],[Rank Pedro]]="Low","Pink",IF(TableRelationships12[[#This Row],[Rank Pedro]]="Medium","Purple",IF(TableRelationships12[[#This Row],[Rank Pedro]]="High","Brown","")))</f>
        <v/>
      </c>
      <c r="V549" s="4" t="e">
        <f>MAX(INDEX(Standards!$F$2:$F$296,MATCH(B549,Standards!$B$2:$B$296,0)),INDEX(Standards!$F$2:$F$296,MATCH(C549,Standards!$B$2:$B$296,0)))</f>
        <v>#N/A</v>
      </c>
      <c r="W549" t="str">
        <f t="shared" si="26"/>
        <v>#d6bf2a</v>
      </c>
    </row>
    <row r="550" spans="1:23" x14ac:dyDescent="0.5">
      <c r="A550" s="54">
        <v>549</v>
      </c>
      <c r="B550" s="90" t="s">
        <v>1041</v>
      </c>
      <c r="C550" t="s">
        <v>348</v>
      </c>
      <c r="D550" s="1" t="s">
        <v>640</v>
      </c>
      <c r="E550" s="113">
        <v>2013.12</v>
      </c>
      <c r="F550" s="113">
        <v>2023.04</v>
      </c>
      <c r="G550" s="107" t="s">
        <v>670</v>
      </c>
      <c r="H550">
        <f>INDEX('GIS-Standards'!$A$2:$A$305,MATCH(B550,'GIS-Standards'!$B$2:$B$305,0))</f>
        <v>23</v>
      </c>
      <c r="I550">
        <f>INDEX('GIS-Standards'!$A$2:$A$305,MATCH(C550,'GIS-Standards'!$B$2:$B$305,0))</f>
        <v>66</v>
      </c>
      <c r="J550" t="str">
        <f>INDEX('GIS-Standards'!$O$2:$O$305,MATCH(B550,'GIS-Standards'!$B$2:$B$305,0))</f>
        <v>ISO/TC 211</v>
      </c>
      <c r="K550" t="str">
        <f>INDEX('GIS-Standards'!$O$2:$O$305,MATCH(C550,'GIS-Standards'!$B$2:$B$305,0))</f>
        <v>ISO/TC 211</v>
      </c>
      <c r="M550" t="s">
        <v>524</v>
      </c>
      <c r="N550" t="str">
        <f>INDEX('GIS-Standards'!$I$2:$I$305,MATCH(B550,'GIS-Standards'!$B$2:$B$305,0))</f>
        <v>03.2022</v>
      </c>
      <c r="O550">
        <f>INDEX('GIS-Standards'!$I$2:$I$305,MATCH(C550,'GIS-Standards'!$B$2:$B$305,0))</f>
        <v>0</v>
      </c>
      <c r="P550" t="b">
        <f>AND(TableRelationships12[[#This Row],[Source Type]]="BIM",TableRelationships12[[#This Row],[Target Type]]="BIM")</f>
        <v>0</v>
      </c>
      <c r="Q550">
        <f t="shared" si="24"/>
        <v>6</v>
      </c>
      <c r="S550">
        <f t="shared" si="25"/>
        <v>1</v>
      </c>
      <c r="T550" s="102" t="str">
        <f>IF(TableRelationships12[[#This Row],[Rank Pedro]]="Low","linkCategory1",IF(TableRelationships12[[#This Row],[Rank Pedro]]="Medium","linkCategory2",IF(TableRelationships12[[#This Row],[Rank Pedro]]="High","linkCategory3","")))</f>
        <v/>
      </c>
      <c r="U550" s="102" t="str">
        <f>IF(TableRelationships12[[#This Row],[Rank Pedro]]="Low","Pink",IF(TableRelationships12[[#This Row],[Rank Pedro]]="Medium","Purple",IF(TableRelationships12[[#This Row],[Rank Pedro]]="High","Brown","")))</f>
        <v/>
      </c>
      <c r="V550" s="4" t="e">
        <f>MAX(INDEX(Standards!$F$2:$F$296,MATCH(B550,Standards!$B$2:$B$296,0)),INDEX(Standards!$F$2:$F$296,MATCH(C550,Standards!$B$2:$B$296,0)))</f>
        <v>#N/A</v>
      </c>
      <c r="W550" t="str">
        <f t="shared" si="26"/>
        <v>#d6bf2a</v>
      </c>
    </row>
    <row r="551" spans="1:23" x14ac:dyDescent="0.5">
      <c r="A551" s="54">
        <v>550</v>
      </c>
      <c r="B551" s="90" t="s">
        <v>1041</v>
      </c>
      <c r="C551" t="s">
        <v>1079</v>
      </c>
      <c r="D551" s="1"/>
      <c r="E551" s="112">
        <v>2005.04</v>
      </c>
      <c r="F551" s="112">
        <v>2005.04</v>
      </c>
      <c r="G551" s="107" t="s">
        <v>1502</v>
      </c>
      <c r="H551">
        <f>INDEX('GIS-Standards'!$A$2:$A$305,MATCH(B551,'GIS-Standards'!$B$2:$B$305,0))</f>
        <v>23</v>
      </c>
      <c r="I551" t="e">
        <f>INDEX('GIS-Standards'!$A$2:$A$305,MATCH(C551,'GIS-Standards'!$B$2:$B$305,0))</f>
        <v>#N/A</v>
      </c>
      <c r="J551" t="str">
        <f>INDEX('GIS-Standards'!$O$2:$O$305,MATCH(B551,'GIS-Standards'!$B$2:$B$305,0))</f>
        <v>ISO/TC 211</v>
      </c>
      <c r="K551" t="e">
        <f>INDEX('GIS-Standards'!$O$2:$O$305,MATCH(C551,'GIS-Standards'!$B$2:$B$305,0))</f>
        <v>#N/A</v>
      </c>
      <c r="M551" t="s">
        <v>524</v>
      </c>
      <c r="N551" t="str">
        <f>INDEX('GIS-Standards'!$I$2:$I$305,MATCH(B551,'GIS-Standards'!$B$2:$B$305,0))</f>
        <v>03.2022</v>
      </c>
      <c r="O551" t="e">
        <f>INDEX('GIS-Standards'!$I$2:$I$305,MATCH(C551,'GIS-Standards'!$B$2:$B$305,0))</f>
        <v>#N/A</v>
      </c>
      <c r="P551" t="e">
        <f>AND(TableRelationships12[[#This Row],[Source Type]]="BIM",TableRelationships12[[#This Row],[Target Type]]="BIM")</f>
        <v>#N/A</v>
      </c>
      <c r="Q551">
        <f t="shared" si="24"/>
        <v>6</v>
      </c>
      <c r="S551">
        <f t="shared" si="25"/>
        <v>1</v>
      </c>
      <c r="T551" s="102" t="str">
        <f>IF(TableRelationships12[[#This Row],[Rank Pedro]]="Low","linkCategory1",IF(TableRelationships12[[#This Row],[Rank Pedro]]="Medium","linkCategory2",IF(TableRelationships12[[#This Row],[Rank Pedro]]="High","linkCategory3","")))</f>
        <v/>
      </c>
      <c r="U551" s="102" t="str">
        <f>IF(TableRelationships12[[#This Row],[Rank Pedro]]="Low","Pink",IF(TableRelationships12[[#This Row],[Rank Pedro]]="Medium","Purple",IF(TableRelationships12[[#This Row],[Rank Pedro]]="High","Brown","")))</f>
        <v/>
      </c>
      <c r="V551" s="4" t="e">
        <f>MAX(INDEX(Standards!$F$2:$F$296,MATCH(B551,Standards!$B$2:$B$296,0)),INDEX(Standards!$F$2:$F$296,MATCH(C551,Standards!$B$2:$B$296,0)))</f>
        <v>#N/A</v>
      </c>
      <c r="W551" t="str">
        <f t="shared" si="26"/>
        <v>#d6bf2a</v>
      </c>
    </row>
    <row r="552" spans="1:23" x14ac:dyDescent="0.5">
      <c r="A552" s="54">
        <v>551</v>
      </c>
      <c r="B552" s="90" t="s">
        <v>1041</v>
      </c>
      <c r="C552" s="104" t="s">
        <v>474</v>
      </c>
      <c r="D552" s="1" t="s">
        <v>1070</v>
      </c>
      <c r="E552" s="113">
        <v>1974.12</v>
      </c>
      <c r="F552" s="113">
        <v>2022.1</v>
      </c>
      <c r="G552" s="107" t="s">
        <v>1511</v>
      </c>
      <c r="H552">
        <f>INDEX('GIS-Standards'!$A$2:$A$305,MATCH(B552,'GIS-Standards'!$B$2:$B$305,0))</f>
        <v>23</v>
      </c>
      <c r="I552" t="e">
        <f>INDEX('GIS-Standards'!$A$2:$A$305,MATCH(C552,'GIS-Standards'!$B$2:$B$305,0))</f>
        <v>#N/A</v>
      </c>
      <c r="J552" t="str">
        <f>INDEX('GIS-Standards'!$O$2:$O$305,MATCH(B552,'GIS-Standards'!$B$2:$B$305,0))</f>
        <v>ISO/TC 211</v>
      </c>
      <c r="K552" t="e">
        <f>INDEX('GIS-Standards'!$O$2:$O$305,MATCH(C552,'GIS-Standards'!$B$2:$B$305,0))</f>
        <v>#N/A</v>
      </c>
      <c r="M552" t="s">
        <v>525</v>
      </c>
      <c r="N552" t="str">
        <f>INDEX('GIS-Standards'!$I$2:$I$305,MATCH(B552,'GIS-Standards'!$B$2:$B$305,0))</f>
        <v>03.2022</v>
      </c>
      <c r="O552" t="e">
        <f>INDEX('GIS-Standards'!$I$2:$I$305,MATCH(C552,'GIS-Standards'!$B$2:$B$305,0))</f>
        <v>#N/A</v>
      </c>
      <c r="P552" t="e">
        <f>AND(TableRelationships12[[#This Row],[Source Type]]="BIM",TableRelationships12[[#This Row],[Target Type]]="BIM")</f>
        <v>#N/A</v>
      </c>
      <c r="Q552">
        <f t="shared" si="24"/>
        <v>1</v>
      </c>
      <c r="S552">
        <f t="shared" si="25"/>
        <v>1</v>
      </c>
      <c r="T552" s="102" t="str">
        <f>IF(TableRelationships12[[#This Row],[Rank Pedro]]="Low","linkCategory1",IF(TableRelationships12[[#This Row],[Rank Pedro]]="Medium","linkCategory2",IF(TableRelationships12[[#This Row],[Rank Pedro]]="High","linkCategory3","")))</f>
        <v/>
      </c>
      <c r="U552" s="102" t="str">
        <f>IF(TableRelationships12[[#This Row],[Rank Pedro]]="Low","Pink",IF(TableRelationships12[[#This Row],[Rank Pedro]]="Medium","Purple",IF(TableRelationships12[[#This Row],[Rank Pedro]]="High","Brown","")))</f>
        <v/>
      </c>
      <c r="V552" s="4" t="e">
        <f>MAX(INDEX(Standards!$F$2:$F$296,MATCH(B552,Standards!$B$2:$B$296,0)),INDEX(Standards!$F$2:$F$296,MATCH(C552,Standards!$B$2:$B$296,0)))</f>
        <v>#N/A</v>
      </c>
      <c r="W552" t="str">
        <f t="shared" si="26"/>
        <v>#2f89d1</v>
      </c>
    </row>
    <row r="553" spans="1:23" x14ac:dyDescent="0.5">
      <c r="A553" s="54">
        <v>552</v>
      </c>
      <c r="B553" s="90" t="s">
        <v>1041</v>
      </c>
      <c r="C553" s="104" t="s">
        <v>474</v>
      </c>
      <c r="D553" s="1" t="s">
        <v>1133</v>
      </c>
      <c r="E553" s="113">
        <v>1974.12</v>
      </c>
      <c r="F553" s="113">
        <v>2022.1</v>
      </c>
      <c r="G553" s="107" t="s">
        <v>1511</v>
      </c>
      <c r="H553">
        <f>INDEX('GIS-Standards'!$A$2:$A$305,MATCH(B553,'GIS-Standards'!$B$2:$B$305,0))</f>
        <v>23</v>
      </c>
      <c r="I553" t="e">
        <f>INDEX('GIS-Standards'!$A$2:$A$305,MATCH(C553,'GIS-Standards'!$B$2:$B$305,0))</f>
        <v>#N/A</v>
      </c>
      <c r="J553" t="str">
        <f>INDEX('GIS-Standards'!$O$2:$O$305,MATCH(B553,'GIS-Standards'!$B$2:$B$305,0))</f>
        <v>ISO/TC 211</v>
      </c>
      <c r="K553" t="e">
        <f>INDEX('GIS-Standards'!$O$2:$O$305,MATCH(C553,'GIS-Standards'!$B$2:$B$305,0))</f>
        <v>#N/A</v>
      </c>
      <c r="M553" t="s">
        <v>525</v>
      </c>
      <c r="N553" t="str">
        <f>INDEX('GIS-Standards'!$I$2:$I$305,MATCH(B553,'GIS-Standards'!$B$2:$B$305,0))</f>
        <v>03.2022</v>
      </c>
      <c r="O553" t="e">
        <f>INDEX('GIS-Standards'!$I$2:$I$305,MATCH(C553,'GIS-Standards'!$B$2:$B$305,0))</f>
        <v>#N/A</v>
      </c>
      <c r="P553" t="e">
        <f>AND(TableRelationships12[[#This Row],[Source Type]]="BIM",TableRelationships12[[#This Row],[Target Type]]="BIM")</f>
        <v>#N/A</v>
      </c>
      <c r="Q553">
        <f t="shared" si="24"/>
        <v>1</v>
      </c>
      <c r="S553">
        <f t="shared" si="25"/>
        <v>1</v>
      </c>
      <c r="T553" s="102" t="str">
        <f>IF(TableRelationships12[[#This Row],[Rank Pedro]]="Low","linkCategory1",IF(TableRelationships12[[#This Row],[Rank Pedro]]="Medium","linkCategory2",IF(TableRelationships12[[#This Row],[Rank Pedro]]="High","linkCategory3","")))</f>
        <v/>
      </c>
      <c r="U553" s="102" t="str">
        <f>IF(TableRelationships12[[#This Row],[Rank Pedro]]="Low","Pink",IF(TableRelationships12[[#This Row],[Rank Pedro]]="Medium","Purple",IF(TableRelationships12[[#This Row],[Rank Pedro]]="High","Brown","")))</f>
        <v/>
      </c>
      <c r="V553" s="4" t="e">
        <f>MAX(INDEX(Standards!$F$2:$F$296,MATCH(B553,Standards!$B$2:$B$296,0)),INDEX(Standards!$F$2:$F$296,MATCH(C553,Standards!$B$2:$B$296,0)))</f>
        <v>#N/A</v>
      </c>
      <c r="W553" t="str">
        <f t="shared" si="26"/>
        <v>#2f89d1</v>
      </c>
    </row>
    <row r="554" spans="1:23" x14ac:dyDescent="0.5">
      <c r="A554" s="54">
        <v>553</v>
      </c>
      <c r="B554" s="90" t="s">
        <v>1041</v>
      </c>
      <c r="C554" t="s">
        <v>1134</v>
      </c>
      <c r="D554" s="1"/>
      <c r="E554" s="112">
        <v>1986.1</v>
      </c>
      <c r="F554" s="112">
        <v>1988.07</v>
      </c>
      <c r="G554" s="107" t="s">
        <v>1458</v>
      </c>
      <c r="H554">
        <f>INDEX('GIS-Standards'!$A$2:$A$305,MATCH(B554,'GIS-Standards'!$B$2:$B$305,0))</f>
        <v>23</v>
      </c>
      <c r="I554" t="e">
        <f>INDEX('GIS-Standards'!$A$2:$A$305,MATCH(C554,'GIS-Standards'!$B$2:$B$305,0))</f>
        <v>#N/A</v>
      </c>
      <c r="J554" t="str">
        <f>INDEX('GIS-Standards'!$O$2:$O$305,MATCH(B554,'GIS-Standards'!$B$2:$B$305,0))</f>
        <v>ISO/TC 211</v>
      </c>
      <c r="K554" t="e">
        <f>INDEX('GIS-Standards'!$O$2:$O$305,MATCH(C554,'GIS-Standards'!$B$2:$B$305,0))</f>
        <v>#N/A</v>
      </c>
      <c r="M554" t="s">
        <v>525</v>
      </c>
      <c r="N554" t="str">
        <f>INDEX('GIS-Standards'!$I$2:$I$305,MATCH(B554,'GIS-Standards'!$B$2:$B$305,0))</f>
        <v>03.2022</v>
      </c>
      <c r="O554" t="e">
        <f>INDEX('GIS-Standards'!$I$2:$I$305,MATCH(C554,'GIS-Standards'!$B$2:$B$305,0))</f>
        <v>#N/A</v>
      </c>
      <c r="P554" t="e">
        <f>AND(TableRelationships12[[#This Row],[Source Type]]="BIM",TableRelationships12[[#This Row],[Target Type]]="BIM")</f>
        <v>#N/A</v>
      </c>
      <c r="Q554">
        <f t="shared" si="24"/>
        <v>1</v>
      </c>
      <c r="S554">
        <f t="shared" si="25"/>
        <v>1</v>
      </c>
      <c r="T554" s="102" t="str">
        <f>IF(TableRelationships12[[#This Row],[Rank Pedro]]="Low","linkCategory1",IF(TableRelationships12[[#This Row],[Rank Pedro]]="Medium","linkCategory2",IF(TableRelationships12[[#This Row],[Rank Pedro]]="High","linkCategory3","")))</f>
        <v/>
      </c>
      <c r="U554" s="102" t="str">
        <f>IF(TableRelationships12[[#This Row],[Rank Pedro]]="Low","Pink",IF(TableRelationships12[[#This Row],[Rank Pedro]]="Medium","Purple",IF(TableRelationships12[[#This Row],[Rank Pedro]]="High","Brown","")))</f>
        <v/>
      </c>
      <c r="V554" s="4" t="e">
        <f>MAX(INDEX(Standards!$F$2:$F$296,MATCH(B554,Standards!$B$2:$B$296,0)),INDEX(Standards!$F$2:$F$296,MATCH(C554,Standards!$B$2:$B$296,0)))</f>
        <v>#N/A</v>
      </c>
      <c r="W554" t="str">
        <f t="shared" si="26"/>
        <v>#2f89d1</v>
      </c>
    </row>
    <row r="555" spans="1:23" x14ac:dyDescent="0.5">
      <c r="A555" s="54">
        <v>554</v>
      </c>
      <c r="B555" s="90" t="s">
        <v>1041</v>
      </c>
      <c r="C555" t="s">
        <v>646</v>
      </c>
      <c r="D555" s="1" t="s">
        <v>1676</v>
      </c>
      <c r="E555" s="112">
        <v>2000.1</v>
      </c>
      <c r="F555" s="112">
        <v>2000.1</v>
      </c>
      <c r="G555" s="107" t="s">
        <v>670</v>
      </c>
      <c r="H555">
        <f>INDEX('GIS-Standards'!$A$2:$A$305,MATCH(B555,'GIS-Standards'!$B$2:$B$305,0))</f>
        <v>23</v>
      </c>
      <c r="I555">
        <f>INDEX('GIS-Standards'!$A$2:$A$305,MATCH(C555,'GIS-Standards'!$B$2:$B$305,0))</f>
        <v>89</v>
      </c>
      <c r="J555" t="str">
        <f>INDEX('GIS-Standards'!$O$2:$O$305,MATCH(B555,'GIS-Standards'!$B$2:$B$305,0))</f>
        <v>ISO/TC 211</v>
      </c>
      <c r="K555" t="str">
        <f>INDEX('GIS-Standards'!$O$2:$O$305,MATCH(C555,'GIS-Standards'!$B$2:$B$305,0))</f>
        <v>ISO/TC 211</v>
      </c>
      <c r="M555" t="s">
        <v>525</v>
      </c>
      <c r="N555" t="str">
        <f>INDEX('GIS-Standards'!$I$2:$I$305,MATCH(B555,'GIS-Standards'!$B$2:$B$305,0))</f>
        <v>03.2022</v>
      </c>
      <c r="O555">
        <f>INDEX('GIS-Standards'!$I$2:$I$305,MATCH(C555,'GIS-Standards'!$B$2:$B$305,0))</f>
        <v>0</v>
      </c>
      <c r="P555" t="b">
        <f>AND(TableRelationships12[[#This Row],[Source Type]]="BIM",TableRelationships12[[#This Row],[Target Type]]="BIM")</f>
        <v>0</v>
      </c>
      <c r="Q555">
        <f t="shared" si="24"/>
        <v>1</v>
      </c>
      <c r="S555">
        <f t="shared" si="25"/>
        <v>1</v>
      </c>
      <c r="T555" s="102" t="str">
        <f>IF(TableRelationships12[[#This Row],[Rank Pedro]]="Low","linkCategory1",IF(TableRelationships12[[#This Row],[Rank Pedro]]="Medium","linkCategory2",IF(TableRelationships12[[#This Row],[Rank Pedro]]="High","linkCategory3","")))</f>
        <v/>
      </c>
      <c r="U555" s="102" t="str">
        <f>IF(TableRelationships12[[#This Row],[Rank Pedro]]="Low","Pink",IF(TableRelationships12[[#This Row],[Rank Pedro]]="Medium","Purple",IF(TableRelationships12[[#This Row],[Rank Pedro]]="High","Brown","")))</f>
        <v/>
      </c>
      <c r="V555" s="4" t="e">
        <f>MAX(INDEX(Standards!$F$2:$F$296,MATCH(B555,Standards!$B$2:$B$296,0)),INDEX(Standards!$F$2:$F$296,MATCH(C555,Standards!$B$2:$B$296,0)))</f>
        <v>#N/A</v>
      </c>
      <c r="W555" t="str">
        <f t="shared" si="26"/>
        <v>#2f89d1</v>
      </c>
    </row>
    <row r="556" spans="1:23" x14ac:dyDescent="0.5">
      <c r="A556" s="54">
        <v>555</v>
      </c>
      <c r="B556" s="90" t="s">
        <v>1041</v>
      </c>
      <c r="C556" t="s">
        <v>631</v>
      </c>
      <c r="D556" s="1" t="s">
        <v>1135</v>
      </c>
      <c r="E556" s="112">
        <v>2008.06</v>
      </c>
      <c r="F556" s="112">
        <v>2018.05</v>
      </c>
      <c r="G556" s="107" t="s">
        <v>670</v>
      </c>
      <c r="H556">
        <f>INDEX('GIS-Standards'!$A$2:$A$305,MATCH(B556,'GIS-Standards'!$B$2:$B$305,0))</f>
        <v>23</v>
      </c>
      <c r="I556">
        <f>INDEX('GIS-Standards'!$A$2:$A$305,MATCH(C556,'GIS-Standards'!$B$2:$B$305,0))</f>
        <v>11</v>
      </c>
      <c r="J556" t="str">
        <f>INDEX('GIS-Standards'!$O$2:$O$305,MATCH(B556,'GIS-Standards'!$B$2:$B$305,0))</f>
        <v>ISO/TC 211</v>
      </c>
      <c r="K556" t="str">
        <f>INDEX('GIS-Standards'!$O$2:$O$305,MATCH(C556,'GIS-Standards'!$B$2:$B$305,0))</f>
        <v>ISO/TC 211</v>
      </c>
      <c r="M556" t="s">
        <v>525</v>
      </c>
      <c r="N556" t="str">
        <f>INDEX('GIS-Standards'!$I$2:$I$305,MATCH(B556,'GIS-Standards'!$B$2:$B$305,0))</f>
        <v>03.2022</v>
      </c>
      <c r="O556">
        <f>INDEX('GIS-Standards'!$I$2:$I$305,MATCH(C556,'GIS-Standards'!$B$2:$B$305,0))</f>
        <v>0</v>
      </c>
      <c r="P556" t="b">
        <f>AND(TableRelationships12[[#This Row],[Source Type]]="BIM",TableRelationships12[[#This Row],[Target Type]]="BIM")</f>
        <v>0</v>
      </c>
      <c r="Q556">
        <f t="shared" si="24"/>
        <v>1</v>
      </c>
      <c r="S556">
        <f t="shared" si="25"/>
        <v>1</v>
      </c>
      <c r="T556" s="102" t="str">
        <f>IF(TableRelationships12[[#This Row],[Rank Pedro]]="Low","linkCategory1",IF(TableRelationships12[[#This Row],[Rank Pedro]]="Medium","linkCategory2",IF(TableRelationships12[[#This Row],[Rank Pedro]]="High","linkCategory3","")))</f>
        <v/>
      </c>
      <c r="U556" s="102" t="str">
        <f>IF(TableRelationships12[[#This Row],[Rank Pedro]]="Low","Pink",IF(TableRelationships12[[#This Row],[Rank Pedro]]="Medium","Purple",IF(TableRelationships12[[#This Row],[Rank Pedro]]="High","Brown","")))</f>
        <v/>
      </c>
      <c r="V556" s="4" t="e">
        <f>MAX(INDEX(Standards!$F$2:$F$296,MATCH(B556,Standards!$B$2:$B$296,0)),INDEX(Standards!$F$2:$F$296,MATCH(C556,Standards!$B$2:$B$296,0)))</f>
        <v>#N/A</v>
      </c>
      <c r="W556" t="str">
        <f t="shared" si="26"/>
        <v>#2f89d1</v>
      </c>
    </row>
    <row r="557" spans="1:23" x14ac:dyDescent="0.5">
      <c r="A557" s="54">
        <v>556</v>
      </c>
      <c r="B557" s="90" t="s">
        <v>1041</v>
      </c>
      <c r="C557" t="s">
        <v>304</v>
      </c>
      <c r="D557" s="1"/>
      <c r="E557" s="112">
        <v>2002.09</v>
      </c>
      <c r="F557" s="112">
        <v>2006.1</v>
      </c>
      <c r="G557" s="107" t="s">
        <v>670</v>
      </c>
      <c r="H557">
        <f>INDEX('GIS-Standards'!$A$2:$A$305,MATCH(B557,'GIS-Standards'!$B$2:$B$305,0))</f>
        <v>23</v>
      </c>
      <c r="I557">
        <f>INDEX('GIS-Standards'!$A$2:$A$305,MATCH(C557,'GIS-Standards'!$B$2:$B$305,0))</f>
        <v>17</v>
      </c>
      <c r="J557" t="str">
        <f>INDEX('GIS-Standards'!$O$2:$O$305,MATCH(B557,'GIS-Standards'!$B$2:$B$305,0))</f>
        <v>ISO/TC 211</v>
      </c>
      <c r="K557" t="str">
        <f>INDEX('GIS-Standards'!$O$2:$O$305,MATCH(C557,'GIS-Standards'!$B$2:$B$305,0))</f>
        <v>ISO/TC 211</v>
      </c>
      <c r="M557" t="s">
        <v>525</v>
      </c>
      <c r="N557" t="str">
        <f>INDEX('GIS-Standards'!$I$2:$I$305,MATCH(B557,'GIS-Standards'!$B$2:$B$305,0))</f>
        <v>03.2022</v>
      </c>
      <c r="O557" t="str">
        <f>INDEX('GIS-Standards'!$I$2:$I$305,MATCH(C557,'GIS-Standards'!$B$2:$B$305,0))</f>
        <v>06.2008</v>
      </c>
      <c r="P557" t="b">
        <f>AND(TableRelationships12[[#This Row],[Source Type]]="BIM",TableRelationships12[[#This Row],[Target Type]]="BIM")</f>
        <v>0</v>
      </c>
      <c r="Q557">
        <f t="shared" si="24"/>
        <v>1</v>
      </c>
      <c r="S557">
        <f t="shared" si="25"/>
        <v>1</v>
      </c>
      <c r="T557" s="102" t="str">
        <f>IF(TableRelationships12[[#This Row],[Rank Pedro]]="Low","linkCategory1",IF(TableRelationships12[[#This Row],[Rank Pedro]]="Medium","linkCategory2",IF(TableRelationships12[[#This Row],[Rank Pedro]]="High","linkCategory3","")))</f>
        <v/>
      </c>
      <c r="U557" s="102" t="str">
        <f>IF(TableRelationships12[[#This Row],[Rank Pedro]]="Low","Pink",IF(TableRelationships12[[#This Row],[Rank Pedro]]="Medium","Purple",IF(TableRelationships12[[#This Row],[Rank Pedro]]="High","Brown","")))</f>
        <v/>
      </c>
      <c r="V557" s="4" t="e">
        <f>MAX(INDEX(Standards!$F$2:$F$296,MATCH(B557,Standards!$B$2:$B$296,0)),INDEX(Standards!$F$2:$F$296,MATCH(C557,Standards!$B$2:$B$296,0)))</f>
        <v>#N/A</v>
      </c>
      <c r="W557" t="str">
        <f t="shared" si="26"/>
        <v>#2f89d1</v>
      </c>
    </row>
    <row r="558" spans="1:23" x14ac:dyDescent="0.5">
      <c r="A558" s="54">
        <v>557</v>
      </c>
      <c r="B558" s="90" t="s">
        <v>1041</v>
      </c>
      <c r="C558" t="s">
        <v>306</v>
      </c>
      <c r="D558" s="1"/>
      <c r="E558" s="112">
        <v>2005.06</v>
      </c>
      <c r="F558" s="112">
        <v>2025.07</v>
      </c>
      <c r="G558" s="107" t="s">
        <v>670</v>
      </c>
      <c r="H558">
        <f>INDEX('GIS-Standards'!$A$2:$A$305,MATCH(B558,'GIS-Standards'!$B$2:$B$305,0))</f>
        <v>23</v>
      </c>
      <c r="I558">
        <f>INDEX('GIS-Standards'!$A$2:$A$305,MATCH(C558,'GIS-Standards'!$B$2:$B$305,0))</f>
        <v>18</v>
      </c>
      <c r="J558" t="str">
        <f>INDEX('GIS-Standards'!$O$2:$O$305,MATCH(B558,'GIS-Standards'!$B$2:$B$305,0))</f>
        <v>ISO/TC 211</v>
      </c>
      <c r="K558" t="str">
        <f>INDEX('GIS-Standards'!$O$2:$O$305,MATCH(C558,'GIS-Standards'!$B$2:$B$305,0))</f>
        <v>ISO/TC 211</v>
      </c>
      <c r="M558" t="s">
        <v>525</v>
      </c>
      <c r="N558" t="str">
        <f>INDEX('GIS-Standards'!$I$2:$I$305,MATCH(B558,'GIS-Standards'!$B$2:$B$305,0))</f>
        <v>03.2022</v>
      </c>
      <c r="O558">
        <f>INDEX('GIS-Standards'!$I$2:$I$305,MATCH(C558,'GIS-Standards'!$B$2:$B$305,0))</f>
        <v>0</v>
      </c>
      <c r="P558" t="b">
        <f>AND(TableRelationships12[[#This Row],[Source Type]]="BIM",TableRelationships12[[#This Row],[Target Type]]="BIM")</f>
        <v>0</v>
      </c>
      <c r="Q558">
        <f t="shared" si="24"/>
        <v>1</v>
      </c>
      <c r="S558">
        <f t="shared" si="25"/>
        <v>1</v>
      </c>
      <c r="T558" s="102" t="str">
        <f>IF(TableRelationships12[[#This Row],[Rank Pedro]]="Low","linkCategory1",IF(TableRelationships12[[#This Row],[Rank Pedro]]="Medium","linkCategory2",IF(TableRelationships12[[#This Row],[Rank Pedro]]="High","linkCategory3","")))</f>
        <v/>
      </c>
      <c r="U558" s="102" t="str">
        <f>IF(TableRelationships12[[#This Row],[Rank Pedro]]="Low","Pink",IF(TableRelationships12[[#This Row],[Rank Pedro]]="Medium","Purple",IF(TableRelationships12[[#This Row],[Rank Pedro]]="High","Brown","")))</f>
        <v/>
      </c>
      <c r="V558" s="4" t="e">
        <f>MAX(INDEX(Standards!$F$2:$F$296,MATCH(B558,Standards!$B$2:$B$296,0)),INDEX(Standards!$F$2:$F$296,MATCH(C558,Standards!$B$2:$B$296,0)))</f>
        <v>#N/A</v>
      </c>
      <c r="W558" t="str">
        <f t="shared" si="26"/>
        <v>#2f89d1</v>
      </c>
    </row>
    <row r="559" spans="1:23" x14ac:dyDescent="0.5">
      <c r="A559" s="54">
        <v>558</v>
      </c>
      <c r="B559" s="90" t="s">
        <v>1041</v>
      </c>
      <c r="C559" t="s">
        <v>320</v>
      </c>
      <c r="D559" s="1" t="s">
        <v>1100</v>
      </c>
      <c r="E559" s="112">
        <v>2005.08</v>
      </c>
      <c r="F559" s="112">
        <v>2023.06</v>
      </c>
      <c r="G559" s="107" t="s">
        <v>670</v>
      </c>
      <c r="H559">
        <f>INDEX('GIS-Standards'!$A$2:$A$305,MATCH(B559,'GIS-Standards'!$B$2:$B$305,0))</f>
        <v>23</v>
      </c>
      <c r="I559">
        <f>INDEX('GIS-Standards'!$A$2:$A$305,MATCH(C559,'GIS-Standards'!$B$2:$B$305,0))</f>
        <v>29</v>
      </c>
      <c r="J559" t="str">
        <f>INDEX('GIS-Standards'!$O$2:$O$305,MATCH(B559,'GIS-Standards'!$B$2:$B$305,0))</f>
        <v>ISO/TC 211</v>
      </c>
      <c r="K559" t="str">
        <f>INDEX('GIS-Standards'!$O$2:$O$305,MATCH(C559,'GIS-Standards'!$B$2:$B$305,0))</f>
        <v>ISO/TC 211</v>
      </c>
      <c r="M559" t="s">
        <v>525</v>
      </c>
      <c r="N559" t="str">
        <f>INDEX('GIS-Standards'!$I$2:$I$305,MATCH(B559,'GIS-Standards'!$B$2:$B$305,0))</f>
        <v>03.2022</v>
      </c>
      <c r="O559">
        <f>INDEX('GIS-Standards'!$I$2:$I$305,MATCH(C559,'GIS-Standards'!$B$2:$B$305,0))</f>
        <v>0</v>
      </c>
      <c r="P559" t="b">
        <f>AND(TableRelationships12[[#This Row],[Source Type]]="BIM",TableRelationships12[[#This Row],[Target Type]]="BIM")</f>
        <v>0</v>
      </c>
      <c r="Q559">
        <f t="shared" si="24"/>
        <v>1</v>
      </c>
      <c r="S559">
        <f t="shared" si="25"/>
        <v>1</v>
      </c>
      <c r="T559" s="102" t="str">
        <f>IF(TableRelationships12[[#This Row],[Rank Pedro]]="Low","linkCategory1",IF(TableRelationships12[[#This Row],[Rank Pedro]]="Medium","linkCategory2",IF(TableRelationships12[[#This Row],[Rank Pedro]]="High","linkCategory3","")))</f>
        <v/>
      </c>
      <c r="U559" s="102" t="str">
        <f>IF(TableRelationships12[[#This Row],[Rank Pedro]]="Low","Pink",IF(TableRelationships12[[#This Row],[Rank Pedro]]="Medium","Purple",IF(TableRelationships12[[#This Row],[Rank Pedro]]="High","Brown","")))</f>
        <v/>
      </c>
      <c r="V559" s="4" t="e">
        <f>MAX(INDEX(Standards!$F$2:$F$296,MATCH(B559,Standards!$B$2:$B$296,0)),INDEX(Standards!$F$2:$F$296,MATCH(C559,Standards!$B$2:$B$296,0)))</f>
        <v>#N/A</v>
      </c>
      <c r="W559" t="str">
        <f t="shared" si="26"/>
        <v>#2f89d1</v>
      </c>
    </row>
    <row r="560" spans="1:23" x14ac:dyDescent="0.5">
      <c r="A560" s="54">
        <v>559</v>
      </c>
      <c r="B560" s="90" t="s">
        <v>1041</v>
      </c>
      <c r="C560" t="s">
        <v>633</v>
      </c>
      <c r="D560" s="1"/>
      <c r="E560" s="112">
        <v>2010.06</v>
      </c>
      <c r="F560" s="112">
        <v>2018.09</v>
      </c>
      <c r="G560" s="107" t="s">
        <v>670</v>
      </c>
      <c r="H560">
        <f>INDEX('GIS-Standards'!$A$2:$A$305,MATCH(B560,'GIS-Standards'!$B$2:$B$305,0))</f>
        <v>23</v>
      </c>
      <c r="I560">
        <f>INDEX('GIS-Standards'!$A$2:$A$305,MATCH(C560,'GIS-Standards'!$B$2:$B$305,0))</f>
        <v>36</v>
      </c>
      <c r="J560" t="str">
        <f>INDEX('GIS-Standards'!$O$2:$O$305,MATCH(B560,'GIS-Standards'!$B$2:$B$305,0))</f>
        <v>ISO/TC 211</v>
      </c>
      <c r="K560" t="str">
        <f>INDEX('GIS-Standards'!$O$2:$O$305,MATCH(C560,'GIS-Standards'!$B$2:$B$305,0))</f>
        <v>ISO/TC 211</v>
      </c>
      <c r="M560" t="s">
        <v>525</v>
      </c>
      <c r="N560" t="str">
        <f>INDEX('GIS-Standards'!$I$2:$I$305,MATCH(B560,'GIS-Standards'!$B$2:$B$305,0))</f>
        <v>03.2022</v>
      </c>
      <c r="O560">
        <f>INDEX('GIS-Standards'!$I$2:$I$305,MATCH(C560,'GIS-Standards'!$B$2:$B$305,0))</f>
        <v>0</v>
      </c>
      <c r="P560" t="b">
        <f>AND(TableRelationships12[[#This Row],[Source Type]]="BIM",TableRelationships12[[#This Row],[Target Type]]="BIM")</f>
        <v>0</v>
      </c>
      <c r="Q560">
        <f t="shared" si="24"/>
        <v>1</v>
      </c>
      <c r="S560">
        <f t="shared" si="25"/>
        <v>1</v>
      </c>
      <c r="T560" s="102" t="str">
        <f>IF(TableRelationships12[[#This Row],[Rank Pedro]]="Low","linkCategory1",IF(TableRelationships12[[#This Row],[Rank Pedro]]="Medium","linkCategory2",IF(TableRelationships12[[#This Row],[Rank Pedro]]="High","linkCategory3","")))</f>
        <v/>
      </c>
      <c r="U560" s="102" t="str">
        <f>IF(TableRelationships12[[#This Row],[Rank Pedro]]="Low","Pink",IF(TableRelationships12[[#This Row],[Rank Pedro]]="Medium","Purple",IF(TableRelationships12[[#This Row],[Rank Pedro]]="High","Brown","")))</f>
        <v/>
      </c>
      <c r="V560" s="4" t="e">
        <f>MAX(INDEX(Standards!$F$2:$F$296,MATCH(B560,Standards!$B$2:$B$296,0)),INDEX(Standards!$F$2:$F$296,MATCH(C560,Standards!$B$2:$B$296,0)))</f>
        <v>#N/A</v>
      </c>
      <c r="W560" t="str">
        <f t="shared" si="26"/>
        <v>#2f89d1</v>
      </c>
    </row>
    <row r="561" spans="1:23" x14ac:dyDescent="0.5">
      <c r="A561" s="54">
        <v>560</v>
      </c>
      <c r="B561" s="90" t="s">
        <v>1041</v>
      </c>
      <c r="C561" t="s">
        <v>651</v>
      </c>
      <c r="D561" s="1" t="s">
        <v>1676</v>
      </c>
      <c r="E561" s="112">
        <v>2014.01</v>
      </c>
      <c r="F561" s="112">
        <v>2014.01</v>
      </c>
      <c r="G561" s="107" t="s">
        <v>670</v>
      </c>
      <c r="H561">
        <f>INDEX('GIS-Standards'!$A$2:$A$305,MATCH(B561,'GIS-Standards'!$B$2:$B$305,0))</f>
        <v>23</v>
      </c>
      <c r="I561">
        <f>INDEX('GIS-Standards'!$A$2:$A$305,MATCH(C561,'GIS-Standards'!$B$2:$B$305,0))</f>
        <v>100</v>
      </c>
      <c r="J561" t="str">
        <f>INDEX('GIS-Standards'!$O$2:$O$305,MATCH(B561,'GIS-Standards'!$B$2:$B$305,0))</f>
        <v>ISO/TC 211</v>
      </c>
      <c r="K561" t="str">
        <f>INDEX('GIS-Standards'!$O$2:$O$305,MATCH(C561,'GIS-Standards'!$B$2:$B$305,0))</f>
        <v>ISO/TC 211</v>
      </c>
      <c r="M561" t="s">
        <v>525</v>
      </c>
      <c r="N561" t="str">
        <f>INDEX('GIS-Standards'!$I$2:$I$305,MATCH(B561,'GIS-Standards'!$B$2:$B$305,0))</f>
        <v>03.2022</v>
      </c>
      <c r="O561">
        <f>INDEX('GIS-Standards'!$I$2:$I$305,MATCH(C561,'GIS-Standards'!$B$2:$B$305,0))</f>
        <v>0</v>
      </c>
      <c r="P561" t="b">
        <f>AND(TableRelationships12[[#This Row],[Source Type]]="BIM",TableRelationships12[[#This Row],[Target Type]]="BIM")</f>
        <v>0</v>
      </c>
      <c r="Q561">
        <f t="shared" si="24"/>
        <v>1</v>
      </c>
      <c r="S561">
        <f t="shared" si="25"/>
        <v>1</v>
      </c>
      <c r="T561" s="102" t="str">
        <f>IF(TableRelationships12[[#This Row],[Rank Pedro]]="Low","linkCategory1",IF(TableRelationships12[[#This Row],[Rank Pedro]]="Medium","linkCategory2",IF(TableRelationships12[[#This Row],[Rank Pedro]]="High","linkCategory3","")))</f>
        <v/>
      </c>
      <c r="U561" s="102" t="str">
        <f>IF(TableRelationships12[[#This Row],[Rank Pedro]]="Low","Pink",IF(TableRelationships12[[#This Row],[Rank Pedro]]="Medium","Purple",IF(TableRelationships12[[#This Row],[Rank Pedro]]="High","Brown","")))</f>
        <v/>
      </c>
      <c r="V561" s="4" t="e">
        <f>MAX(INDEX(Standards!$F$2:$F$296,MATCH(B561,Standards!$B$2:$B$296,0)),INDEX(Standards!$F$2:$F$296,MATCH(C561,Standards!$B$2:$B$296,0)))</f>
        <v>#N/A</v>
      </c>
      <c r="W561" t="str">
        <f t="shared" si="26"/>
        <v>#2f89d1</v>
      </c>
    </row>
    <row r="562" spans="1:23" x14ac:dyDescent="0.5">
      <c r="A562" s="54">
        <v>561</v>
      </c>
      <c r="B562" s="90" t="s">
        <v>1041</v>
      </c>
      <c r="C562" t="s">
        <v>652</v>
      </c>
      <c r="D562" s="1"/>
      <c r="E562" s="112">
        <v>2022.03</v>
      </c>
      <c r="F562" s="112">
        <v>2022.03</v>
      </c>
      <c r="G562" s="107" t="s">
        <v>670</v>
      </c>
      <c r="H562">
        <f>INDEX('GIS-Standards'!$A$2:$A$305,MATCH(B562,'GIS-Standards'!$B$2:$B$305,0))</f>
        <v>23</v>
      </c>
      <c r="I562">
        <f>INDEX('GIS-Standards'!$A$2:$A$305,MATCH(C562,'GIS-Standards'!$B$2:$B$305,0))</f>
        <v>101</v>
      </c>
      <c r="J562" t="str">
        <f>INDEX('GIS-Standards'!$O$2:$O$305,MATCH(B562,'GIS-Standards'!$B$2:$B$305,0))</f>
        <v>ISO/TC 211</v>
      </c>
      <c r="K562" t="str">
        <f>INDEX('GIS-Standards'!$O$2:$O$305,MATCH(C562,'GIS-Standards'!$B$2:$B$305,0))</f>
        <v>ISO/TC 211</v>
      </c>
      <c r="M562" t="s">
        <v>525</v>
      </c>
      <c r="N562" t="str">
        <f>INDEX('GIS-Standards'!$I$2:$I$305,MATCH(B562,'GIS-Standards'!$B$2:$B$305,0))</f>
        <v>03.2022</v>
      </c>
      <c r="O562">
        <f>INDEX('GIS-Standards'!$I$2:$I$305,MATCH(C562,'GIS-Standards'!$B$2:$B$305,0))</f>
        <v>0</v>
      </c>
      <c r="P562" t="b">
        <f>AND(TableRelationships12[[#This Row],[Source Type]]="BIM",TableRelationships12[[#This Row],[Target Type]]="BIM")</f>
        <v>0</v>
      </c>
      <c r="Q562">
        <f t="shared" si="24"/>
        <v>1</v>
      </c>
      <c r="S562">
        <f t="shared" si="25"/>
        <v>1</v>
      </c>
      <c r="T562" s="102" t="str">
        <f>IF(TableRelationships12[[#This Row],[Rank Pedro]]="Low","linkCategory1",IF(TableRelationships12[[#This Row],[Rank Pedro]]="Medium","linkCategory2",IF(TableRelationships12[[#This Row],[Rank Pedro]]="High","linkCategory3","")))</f>
        <v/>
      </c>
      <c r="U562" s="102" t="str">
        <f>IF(TableRelationships12[[#This Row],[Rank Pedro]]="Low","Pink",IF(TableRelationships12[[#This Row],[Rank Pedro]]="Medium","Purple",IF(TableRelationships12[[#This Row],[Rank Pedro]]="High","Brown","")))</f>
        <v/>
      </c>
      <c r="V562" s="4" t="e">
        <f>MAX(INDEX(Standards!$F$2:$F$296,MATCH(B562,Standards!$B$2:$B$296,0)),INDEX(Standards!$F$2:$F$296,MATCH(C562,Standards!$B$2:$B$296,0)))</f>
        <v>#N/A</v>
      </c>
      <c r="W562" t="str">
        <f t="shared" si="26"/>
        <v>#2f89d1</v>
      </c>
    </row>
    <row r="563" spans="1:23" x14ac:dyDescent="0.5">
      <c r="A563" s="54">
        <v>562</v>
      </c>
      <c r="B563" s="90" t="s">
        <v>1041</v>
      </c>
      <c r="C563" t="s">
        <v>1137</v>
      </c>
      <c r="D563" s="1" t="s">
        <v>1676</v>
      </c>
      <c r="E563" s="112">
        <v>1993.01</v>
      </c>
      <c r="F563" s="112">
        <v>2010.09</v>
      </c>
      <c r="G563" s="107" t="s">
        <v>1520</v>
      </c>
      <c r="H563">
        <f>INDEX('GIS-Standards'!$A$2:$A$305,MATCH(B563,'GIS-Standards'!$B$2:$B$305,0))</f>
        <v>23</v>
      </c>
      <c r="I563" t="e">
        <f>INDEX('GIS-Standards'!$A$2:$A$305,MATCH(C563,'GIS-Standards'!$B$2:$B$305,0))</f>
        <v>#N/A</v>
      </c>
      <c r="J563" t="str">
        <f>INDEX('GIS-Standards'!$O$2:$O$305,MATCH(B563,'GIS-Standards'!$B$2:$B$305,0))</f>
        <v>ISO/TC 211</v>
      </c>
      <c r="K563" t="e">
        <f>INDEX('GIS-Standards'!$O$2:$O$305,MATCH(C563,'GIS-Standards'!$B$2:$B$305,0))</f>
        <v>#N/A</v>
      </c>
      <c r="M563" t="s">
        <v>525</v>
      </c>
      <c r="N563" t="str">
        <f>INDEX('GIS-Standards'!$I$2:$I$305,MATCH(B563,'GIS-Standards'!$B$2:$B$305,0))</f>
        <v>03.2022</v>
      </c>
      <c r="O563" t="e">
        <f>INDEX('GIS-Standards'!$I$2:$I$305,MATCH(C563,'GIS-Standards'!$B$2:$B$305,0))</f>
        <v>#N/A</v>
      </c>
      <c r="P563" t="e">
        <f>AND(TableRelationships12[[#This Row],[Source Type]]="BIM",TableRelationships12[[#This Row],[Target Type]]="BIM")</f>
        <v>#N/A</v>
      </c>
      <c r="Q563">
        <f t="shared" si="24"/>
        <v>1</v>
      </c>
      <c r="S563">
        <f t="shared" si="25"/>
        <v>1</v>
      </c>
      <c r="T563" s="102" t="str">
        <f>IF(TableRelationships12[[#This Row],[Rank Pedro]]="Low","linkCategory1",IF(TableRelationships12[[#This Row],[Rank Pedro]]="Medium","linkCategory2",IF(TableRelationships12[[#This Row],[Rank Pedro]]="High","linkCategory3","")))</f>
        <v/>
      </c>
      <c r="U563" s="102" t="str">
        <f>IF(TableRelationships12[[#This Row],[Rank Pedro]]="Low","Pink",IF(TableRelationships12[[#This Row],[Rank Pedro]]="Medium","Purple",IF(TableRelationships12[[#This Row],[Rank Pedro]]="High","Brown","")))</f>
        <v/>
      </c>
      <c r="V563" s="4" t="e">
        <f>MAX(INDEX(Standards!$F$2:$F$296,MATCH(B563,Standards!$B$2:$B$296,0)),INDEX(Standards!$F$2:$F$296,MATCH(C563,Standards!$B$2:$B$296,0)))</f>
        <v>#N/A</v>
      </c>
      <c r="W563" t="str">
        <f t="shared" si="26"/>
        <v>#2f89d1</v>
      </c>
    </row>
    <row r="564" spans="1:23" x14ac:dyDescent="0.5">
      <c r="A564" s="54">
        <v>563</v>
      </c>
      <c r="B564" s="90" t="s">
        <v>1041</v>
      </c>
      <c r="C564" t="s">
        <v>474</v>
      </c>
      <c r="D564" s="1"/>
      <c r="E564" s="113">
        <v>1974.12</v>
      </c>
      <c r="F564" s="113">
        <v>2022.1</v>
      </c>
      <c r="G564" s="107" t="s">
        <v>1511</v>
      </c>
      <c r="H564">
        <f>INDEX('GIS-Standards'!$A$2:$A$305,MATCH(B564,'GIS-Standards'!$B$2:$B$305,0))</f>
        <v>23</v>
      </c>
      <c r="I564" t="e">
        <f>INDEX('GIS-Standards'!$A$2:$A$305,MATCH(C564,'GIS-Standards'!$B$2:$B$305,0))</f>
        <v>#N/A</v>
      </c>
      <c r="J564" t="str">
        <f>INDEX('GIS-Standards'!$O$2:$O$305,MATCH(B564,'GIS-Standards'!$B$2:$B$305,0))</f>
        <v>ISO/TC 211</v>
      </c>
      <c r="K564" t="e">
        <f>INDEX('GIS-Standards'!$O$2:$O$305,MATCH(C564,'GIS-Standards'!$B$2:$B$305,0))</f>
        <v>#N/A</v>
      </c>
      <c r="M564" t="s">
        <v>525</v>
      </c>
      <c r="N564" t="str">
        <f>INDEX('GIS-Standards'!$I$2:$I$305,MATCH(B564,'GIS-Standards'!$B$2:$B$305,0))</f>
        <v>03.2022</v>
      </c>
      <c r="O564" t="e">
        <f>INDEX('GIS-Standards'!$I$2:$I$305,MATCH(C564,'GIS-Standards'!$B$2:$B$305,0))</f>
        <v>#N/A</v>
      </c>
      <c r="P564" t="e">
        <f>AND(TableRelationships12[[#This Row],[Source Type]]="BIM",TableRelationships12[[#This Row],[Target Type]]="BIM")</f>
        <v>#N/A</v>
      </c>
      <c r="Q564">
        <f t="shared" si="24"/>
        <v>1</v>
      </c>
      <c r="S564">
        <f t="shared" si="25"/>
        <v>1</v>
      </c>
      <c r="T564" s="102" t="str">
        <f>IF(TableRelationships12[[#This Row],[Rank Pedro]]="Low","linkCategory1",IF(TableRelationships12[[#This Row],[Rank Pedro]]="Medium","linkCategory2",IF(TableRelationships12[[#This Row],[Rank Pedro]]="High","linkCategory3","")))</f>
        <v/>
      </c>
      <c r="U564" s="102" t="str">
        <f>IF(TableRelationships12[[#This Row],[Rank Pedro]]="Low","Pink",IF(TableRelationships12[[#This Row],[Rank Pedro]]="Medium","Purple",IF(TableRelationships12[[#This Row],[Rank Pedro]]="High","Brown","")))</f>
        <v/>
      </c>
      <c r="V564" s="4" t="e">
        <f>MAX(INDEX(Standards!$F$2:$F$296,MATCH(B564,Standards!$B$2:$B$296,0)),INDEX(Standards!$F$2:$F$296,MATCH(C564,Standards!$B$2:$B$296,0)))</f>
        <v>#N/A</v>
      </c>
      <c r="W564" t="str">
        <f t="shared" si="26"/>
        <v>#2f89d1</v>
      </c>
    </row>
    <row r="565" spans="1:23" x14ac:dyDescent="0.5">
      <c r="A565" s="54">
        <v>564</v>
      </c>
      <c r="B565" s="90" t="s">
        <v>1041</v>
      </c>
      <c r="C565" t="s">
        <v>1042</v>
      </c>
      <c r="D565" s="1"/>
      <c r="E565" s="112">
        <v>2016.08</v>
      </c>
      <c r="F565" s="112">
        <v>2023.08</v>
      </c>
      <c r="G565" s="107" t="s">
        <v>670</v>
      </c>
      <c r="H565">
        <f>INDEX('GIS-Standards'!$A$2:$A$305,MATCH(B565,'GIS-Standards'!$B$2:$B$305,0))</f>
        <v>23</v>
      </c>
      <c r="I565">
        <f>INDEX('GIS-Standards'!$A$2:$A$305,MATCH(C565,'GIS-Standards'!$B$2:$B$305,0))</f>
        <v>24</v>
      </c>
      <c r="J565" t="str">
        <f>INDEX('GIS-Standards'!$O$2:$O$305,MATCH(B565,'GIS-Standards'!$B$2:$B$305,0))</f>
        <v>ISO/TC 211</v>
      </c>
      <c r="K565" t="str">
        <f>INDEX('GIS-Standards'!$O$2:$O$305,MATCH(C565,'GIS-Standards'!$B$2:$B$305,0))</f>
        <v>ISO/TC 211</v>
      </c>
      <c r="M565" t="s">
        <v>525</v>
      </c>
      <c r="N565" t="str">
        <f>INDEX('GIS-Standards'!$I$2:$I$305,MATCH(B565,'GIS-Standards'!$B$2:$B$305,0))</f>
        <v>03.2022</v>
      </c>
      <c r="O565">
        <f>INDEX('GIS-Standards'!$I$2:$I$305,MATCH(C565,'GIS-Standards'!$B$2:$B$305,0))</f>
        <v>0</v>
      </c>
      <c r="P565" t="b">
        <f>AND(TableRelationships12[[#This Row],[Source Type]]="BIM",TableRelationships12[[#This Row],[Target Type]]="BIM")</f>
        <v>0</v>
      </c>
      <c r="Q565">
        <f t="shared" si="24"/>
        <v>1</v>
      </c>
      <c r="S565">
        <f t="shared" si="25"/>
        <v>1</v>
      </c>
      <c r="T565" s="102" t="str">
        <f>IF(TableRelationships12[[#This Row],[Rank Pedro]]="Low","linkCategory1",IF(TableRelationships12[[#This Row],[Rank Pedro]]="Medium","linkCategory2",IF(TableRelationships12[[#This Row],[Rank Pedro]]="High","linkCategory3","")))</f>
        <v/>
      </c>
      <c r="U565" s="102" t="str">
        <f>IF(TableRelationships12[[#This Row],[Rank Pedro]]="Low","Pink",IF(TableRelationships12[[#This Row],[Rank Pedro]]="Medium","Purple",IF(TableRelationships12[[#This Row],[Rank Pedro]]="High","Brown","")))</f>
        <v/>
      </c>
      <c r="V565" s="4" t="e">
        <f>MAX(INDEX(Standards!$F$2:$F$296,MATCH(B565,Standards!$B$2:$B$296,0)),INDEX(Standards!$F$2:$F$296,MATCH(C565,Standards!$B$2:$B$296,0)))</f>
        <v>#N/A</v>
      </c>
      <c r="W565" t="str">
        <f t="shared" si="26"/>
        <v>#2f89d1</v>
      </c>
    </row>
    <row r="566" spans="1:23" x14ac:dyDescent="0.5">
      <c r="A566" s="54">
        <v>565</v>
      </c>
      <c r="B566" s="90" t="s">
        <v>1042</v>
      </c>
      <c r="C566" t="s">
        <v>527</v>
      </c>
      <c r="D566" s="1"/>
      <c r="E566" s="112" t="s">
        <v>945</v>
      </c>
      <c r="F566" s="112" t="s">
        <v>945</v>
      </c>
      <c r="G566" s="121" t="s">
        <v>670</v>
      </c>
      <c r="H566">
        <f>INDEX('GIS-Standards'!$A$2:$A$305,MATCH(B566,'GIS-Standards'!$B$2:$B$305,0))</f>
        <v>24</v>
      </c>
      <c r="I566" t="e">
        <f>INDEX('GIS-Standards'!$A$2:$A$305,MATCH(C566,'GIS-Standards'!$B$2:$B$305,0))</f>
        <v>#N/A</v>
      </c>
      <c r="J566" t="str">
        <f>INDEX('GIS-Standards'!$O$2:$O$305,MATCH(B566,'GIS-Standards'!$B$2:$B$305,0))</f>
        <v>ISO/TC 211</v>
      </c>
      <c r="K566" t="e">
        <f>INDEX('GIS-Standards'!$O$2:$O$305,MATCH(C566,'GIS-Standards'!$B$2:$B$305,0))</f>
        <v>#N/A</v>
      </c>
      <c r="M566" t="s">
        <v>237</v>
      </c>
      <c r="N566">
        <f>INDEX('GIS-Standards'!$I$2:$I$305,MATCH(B566,'GIS-Standards'!$B$2:$B$305,0))</f>
        <v>0</v>
      </c>
      <c r="O566" t="e">
        <f>INDEX('GIS-Standards'!$I$2:$I$305,MATCH(C566,'GIS-Standards'!$B$2:$B$305,0))</f>
        <v>#N/A</v>
      </c>
      <c r="P566" t="e">
        <f>AND(TableRelationships12[[#This Row],[Source Type]]="BIM",TableRelationships12[[#This Row],[Target Type]]="BIM")</f>
        <v>#N/A</v>
      </c>
      <c r="Q566">
        <f t="shared" si="24"/>
        <v>2</v>
      </c>
      <c r="S566">
        <f t="shared" si="25"/>
        <v>1</v>
      </c>
      <c r="T566" s="102" t="str">
        <f>IF(TableRelationships12[[#This Row],[Rank Pedro]]="Low","linkCategory1",IF(TableRelationships12[[#This Row],[Rank Pedro]]="Medium","linkCategory2",IF(TableRelationships12[[#This Row],[Rank Pedro]]="High","linkCategory3","")))</f>
        <v/>
      </c>
      <c r="U566" s="102" t="str">
        <f>IF(TableRelationships12[[#This Row],[Rank Pedro]]="Low","Pink",IF(TableRelationships12[[#This Row],[Rank Pedro]]="Medium","Purple",IF(TableRelationships12[[#This Row],[Rank Pedro]]="High","Brown","")))</f>
        <v/>
      </c>
      <c r="V566" s="4" t="e">
        <f>MAX(INDEX(Standards!$F$2:$F$296,MATCH(B566,Standards!$B$2:$B$296,0)),INDEX(Standards!$F$2:$F$296,MATCH(C566,Standards!$B$2:$B$296,0)))</f>
        <v>#N/A</v>
      </c>
      <c r="W566">
        <f t="shared" si="26"/>
        <v>1</v>
      </c>
    </row>
    <row r="567" spans="1:23" x14ac:dyDescent="0.5">
      <c r="A567" s="54">
        <v>566</v>
      </c>
      <c r="B567" s="90" t="s">
        <v>1042</v>
      </c>
      <c r="C567" t="s">
        <v>296</v>
      </c>
      <c r="D567" s="1"/>
      <c r="E567" s="112">
        <v>2005.07</v>
      </c>
      <c r="F567" s="112">
        <v>2024.09</v>
      </c>
      <c r="G567" s="107" t="s">
        <v>670</v>
      </c>
      <c r="H567">
        <f>INDEX('GIS-Standards'!$A$2:$A$305,MATCH(B567,'GIS-Standards'!$B$2:$B$305,0))</f>
        <v>24</v>
      </c>
      <c r="I567">
        <f>INDEX('GIS-Standards'!$A$2:$A$305,MATCH(C567,'GIS-Standards'!$B$2:$B$305,0))</f>
        <v>12</v>
      </c>
      <c r="J567" t="str">
        <f>INDEX('GIS-Standards'!$O$2:$O$305,MATCH(B567,'GIS-Standards'!$B$2:$B$305,0))</f>
        <v>ISO/TC 211</v>
      </c>
      <c r="K567" t="str">
        <f>INDEX('GIS-Standards'!$O$2:$O$305,MATCH(C567,'GIS-Standards'!$B$2:$B$305,0))</f>
        <v>ISO/TC 211</v>
      </c>
      <c r="M567" t="s">
        <v>524</v>
      </c>
      <c r="N567">
        <f>INDEX('GIS-Standards'!$I$2:$I$305,MATCH(B567,'GIS-Standards'!$B$2:$B$305,0))</f>
        <v>0</v>
      </c>
      <c r="O567">
        <f>INDEX('GIS-Standards'!$I$2:$I$305,MATCH(C567,'GIS-Standards'!$B$2:$B$305,0))</f>
        <v>0</v>
      </c>
      <c r="P567" t="b">
        <f>AND(TableRelationships12[[#This Row],[Source Type]]="BIM",TableRelationships12[[#This Row],[Target Type]]="BIM")</f>
        <v>0</v>
      </c>
      <c r="Q567">
        <f t="shared" si="24"/>
        <v>6</v>
      </c>
      <c r="S567">
        <f t="shared" si="25"/>
        <v>1</v>
      </c>
      <c r="T567" s="102" t="str">
        <f>IF(TableRelationships12[[#This Row],[Rank Pedro]]="Low","linkCategory1",IF(TableRelationships12[[#This Row],[Rank Pedro]]="Medium","linkCategory2",IF(TableRelationships12[[#This Row],[Rank Pedro]]="High","linkCategory3","")))</f>
        <v/>
      </c>
      <c r="U567" s="102" t="str">
        <f>IF(TableRelationships12[[#This Row],[Rank Pedro]]="Low","Pink",IF(TableRelationships12[[#This Row],[Rank Pedro]]="Medium","Purple",IF(TableRelationships12[[#This Row],[Rank Pedro]]="High","Brown","")))</f>
        <v/>
      </c>
      <c r="V567" s="4" t="e">
        <f>MAX(INDEX(Standards!$F$2:$F$296,MATCH(B567,Standards!$B$2:$B$296,0)),INDEX(Standards!$F$2:$F$296,MATCH(C567,Standards!$B$2:$B$296,0)))</f>
        <v>#N/A</v>
      </c>
      <c r="W567" t="str">
        <f t="shared" si="26"/>
        <v>#d6bf2a</v>
      </c>
    </row>
    <row r="568" spans="1:23" x14ac:dyDescent="0.5">
      <c r="A568" s="54">
        <v>567</v>
      </c>
      <c r="B568" s="90" t="s">
        <v>1042</v>
      </c>
      <c r="C568" t="s">
        <v>308</v>
      </c>
      <c r="D568" s="1"/>
      <c r="E568" s="112">
        <v>2005.02</v>
      </c>
      <c r="F568" s="112">
        <v>2016.12</v>
      </c>
      <c r="G568" s="107" t="s">
        <v>670</v>
      </c>
      <c r="H568">
        <f>INDEX('GIS-Standards'!$A$2:$A$305,MATCH(B568,'GIS-Standards'!$B$2:$B$305,0))</f>
        <v>24</v>
      </c>
      <c r="I568">
        <f>INDEX('GIS-Standards'!$A$2:$A$305,MATCH(C568,'GIS-Standards'!$B$2:$B$305,0))</f>
        <v>19</v>
      </c>
      <c r="J568" t="str">
        <f>INDEX('GIS-Standards'!$O$2:$O$305,MATCH(B568,'GIS-Standards'!$B$2:$B$305,0))</f>
        <v>ISO/TC 211</v>
      </c>
      <c r="K568" t="str">
        <f>INDEX('GIS-Standards'!$O$2:$O$305,MATCH(C568,'GIS-Standards'!$B$2:$B$305,0))</f>
        <v>ISO/TC 211</v>
      </c>
      <c r="M568" t="s">
        <v>524</v>
      </c>
      <c r="N568">
        <f>INDEX('GIS-Standards'!$I$2:$I$305,MATCH(B568,'GIS-Standards'!$B$2:$B$305,0))</f>
        <v>0</v>
      </c>
      <c r="O568">
        <f>INDEX('GIS-Standards'!$I$2:$I$305,MATCH(C568,'GIS-Standards'!$B$2:$B$305,0))</f>
        <v>0</v>
      </c>
      <c r="P568" t="b">
        <f>AND(TableRelationships12[[#This Row],[Source Type]]="BIM",TableRelationships12[[#This Row],[Target Type]]="BIM")</f>
        <v>0</v>
      </c>
      <c r="Q568">
        <f t="shared" si="24"/>
        <v>6</v>
      </c>
      <c r="S568">
        <f t="shared" si="25"/>
        <v>1</v>
      </c>
      <c r="T568" s="102" t="str">
        <f>IF(TableRelationships12[[#This Row],[Rank Pedro]]="Low","linkCategory1",IF(TableRelationships12[[#This Row],[Rank Pedro]]="Medium","linkCategory2",IF(TableRelationships12[[#This Row],[Rank Pedro]]="High","linkCategory3","")))</f>
        <v/>
      </c>
      <c r="U568" s="102" t="str">
        <f>IF(TableRelationships12[[#This Row],[Rank Pedro]]="Low","Pink",IF(TableRelationships12[[#This Row],[Rank Pedro]]="Medium","Purple",IF(TableRelationships12[[#This Row],[Rank Pedro]]="High","Brown","")))</f>
        <v/>
      </c>
      <c r="V568" s="4" t="e">
        <f>MAX(INDEX(Standards!$F$2:$F$296,MATCH(B568,Standards!$B$2:$B$296,0)),INDEX(Standards!$F$2:$F$296,MATCH(C568,Standards!$B$2:$B$296,0)))</f>
        <v>#N/A</v>
      </c>
      <c r="W568" t="str">
        <f t="shared" si="26"/>
        <v>#d6bf2a</v>
      </c>
    </row>
    <row r="569" spans="1:23" x14ac:dyDescent="0.5">
      <c r="A569" s="54">
        <v>568</v>
      </c>
      <c r="B569" s="90" t="s">
        <v>1042</v>
      </c>
      <c r="C569" t="s">
        <v>314</v>
      </c>
      <c r="D569" s="1"/>
      <c r="E569" s="112">
        <v>2003.05</v>
      </c>
      <c r="F569" s="112">
        <v>2020.11</v>
      </c>
      <c r="G569" s="107" t="s">
        <v>670</v>
      </c>
      <c r="H569">
        <f>INDEX('GIS-Standards'!$A$2:$A$305,MATCH(B569,'GIS-Standards'!$B$2:$B$305,0))</f>
        <v>24</v>
      </c>
      <c r="I569">
        <f>INDEX('GIS-Standards'!$A$2:$A$305,MATCH(C569,'GIS-Standards'!$B$2:$B$305,0))</f>
        <v>22</v>
      </c>
      <c r="J569" t="str">
        <f>INDEX('GIS-Standards'!$O$2:$O$305,MATCH(B569,'GIS-Standards'!$B$2:$B$305,0))</f>
        <v>ISO/TC 211</v>
      </c>
      <c r="K569" t="str">
        <f>INDEX('GIS-Standards'!$O$2:$O$305,MATCH(C569,'GIS-Standards'!$B$2:$B$305,0))</f>
        <v>ISO/TC 211</v>
      </c>
      <c r="M569" t="s">
        <v>524</v>
      </c>
      <c r="N569">
        <f>INDEX('GIS-Standards'!$I$2:$I$305,MATCH(B569,'GIS-Standards'!$B$2:$B$305,0))</f>
        <v>0</v>
      </c>
      <c r="O569" t="str">
        <f>INDEX('GIS-Standards'!$I$2:$I$305,MATCH(C569,'GIS-Standards'!$B$2:$B$305,0))</f>
        <v>12.2020</v>
      </c>
      <c r="P569" t="b">
        <f>AND(TableRelationships12[[#This Row],[Source Type]]="BIM",TableRelationships12[[#This Row],[Target Type]]="BIM")</f>
        <v>0</v>
      </c>
      <c r="Q569">
        <f t="shared" si="24"/>
        <v>6</v>
      </c>
      <c r="S569">
        <f t="shared" si="25"/>
        <v>1</v>
      </c>
      <c r="T569" s="102" t="str">
        <f>IF(TableRelationships12[[#This Row],[Rank Pedro]]="Low","linkCategory1",IF(TableRelationships12[[#This Row],[Rank Pedro]]="Medium","linkCategory2",IF(TableRelationships12[[#This Row],[Rank Pedro]]="High","linkCategory3","")))</f>
        <v/>
      </c>
      <c r="U569" s="102" t="str">
        <f>IF(TableRelationships12[[#This Row],[Rank Pedro]]="Low","Pink",IF(TableRelationships12[[#This Row],[Rank Pedro]]="Medium","Purple",IF(TableRelationships12[[#This Row],[Rank Pedro]]="High","Brown","")))</f>
        <v/>
      </c>
      <c r="V569" s="4" t="e">
        <f>MAX(INDEX(Standards!$F$2:$F$296,MATCH(B569,Standards!$B$2:$B$296,0)),INDEX(Standards!$F$2:$F$296,MATCH(C569,Standards!$B$2:$B$296,0)))</f>
        <v>#N/A</v>
      </c>
      <c r="W569" t="str">
        <f t="shared" si="26"/>
        <v>#d6bf2a</v>
      </c>
    </row>
    <row r="570" spans="1:23" x14ac:dyDescent="0.5">
      <c r="A570" s="54">
        <v>569</v>
      </c>
      <c r="B570" s="90" t="s">
        <v>1042</v>
      </c>
      <c r="C570" t="s">
        <v>1041</v>
      </c>
      <c r="D570" s="1"/>
      <c r="E570" s="112">
        <v>2009.02</v>
      </c>
      <c r="F570" s="112">
        <v>2022.03</v>
      </c>
      <c r="G570" s="107" t="s">
        <v>670</v>
      </c>
      <c r="H570">
        <f>INDEX('GIS-Standards'!$A$2:$A$305,MATCH(B570,'GIS-Standards'!$B$2:$B$305,0))</f>
        <v>24</v>
      </c>
      <c r="I570">
        <f>INDEX('GIS-Standards'!$A$2:$A$305,MATCH(C570,'GIS-Standards'!$B$2:$B$305,0))</f>
        <v>23</v>
      </c>
      <c r="J570" t="str">
        <f>INDEX('GIS-Standards'!$O$2:$O$305,MATCH(B570,'GIS-Standards'!$B$2:$B$305,0))</f>
        <v>ISO/TC 211</v>
      </c>
      <c r="K570" t="str">
        <f>INDEX('GIS-Standards'!$O$2:$O$305,MATCH(C570,'GIS-Standards'!$B$2:$B$305,0))</f>
        <v>ISO/TC 211</v>
      </c>
      <c r="M570" t="s">
        <v>524</v>
      </c>
      <c r="N570">
        <f>INDEX('GIS-Standards'!$I$2:$I$305,MATCH(B570,'GIS-Standards'!$B$2:$B$305,0))</f>
        <v>0</v>
      </c>
      <c r="O570" t="str">
        <f>INDEX('GIS-Standards'!$I$2:$I$305,MATCH(C570,'GIS-Standards'!$B$2:$B$305,0))</f>
        <v>03.2022</v>
      </c>
      <c r="P570" t="b">
        <f>AND(TableRelationships12[[#This Row],[Source Type]]="BIM",TableRelationships12[[#This Row],[Target Type]]="BIM")</f>
        <v>0</v>
      </c>
      <c r="Q570">
        <f t="shared" si="24"/>
        <v>6</v>
      </c>
      <c r="S570">
        <f t="shared" si="25"/>
        <v>1</v>
      </c>
      <c r="T570" s="102" t="str">
        <f>IF(TableRelationships12[[#This Row],[Rank Pedro]]="Low","linkCategory1",IF(TableRelationships12[[#This Row],[Rank Pedro]]="Medium","linkCategory2",IF(TableRelationships12[[#This Row],[Rank Pedro]]="High","linkCategory3","")))</f>
        <v/>
      </c>
      <c r="U570" s="102" t="str">
        <f>IF(TableRelationships12[[#This Row],[Rank Pedro]]="Low","Pink",IF(TableRelationships12[[#This Row],[Rank Pedro]]="Medium","Purple",IF(TableRelationships12[[#This Row],[Rank Pedro]]="High","Brown","")))</f>
        <v/>
      </c>
      <c r="V570" s="4" t="e">
        <f>MAX(INDEX(Standards!$F$2:$F$296,MATCH(B570,Standards!$B$2:$B$296,0)),INDEX(Standards!$F$2:$F$296,MATCH(C570,Standards!$B$2:$B$296,0)))</f>
        <v>#N/A</v>
      </c>
      <c r="W570" t="str">
        <f t="shared" si="26"/>
        <v>#d6bf2a</v>
      </c>
    </row>
    <row r="571" spans="1:23" x14ac:dyDescent="0.5">
      <c r="A571" s="54">
        <v>570</v>
      </c>
      <c r="B571" s="90" t="s">
        <v>1042</v>
      </c>
      <c r="C571" t="s">
        <v>334</v>
      </c>
      <c r="D571" s="1"/>
      <c r="E571" s="113">
        <v>2007.09</v>
      </c>
      <c r="F571" s="113">
        <v>2020.01</v>
      </c>
      <c r="G571" s="107" t="s">
        <v>670</v>
      </c>
      <c r="H571">
        <f>INDEX('GIS-Standards'!$A$2:$A$305,MATCH(B571,'GIS-Standards'!$B$2:$B$305,0))</f>
        <v>24</v>
      </c>
      <c r="I571">
        <f>INDEX('GIS-Standards'!$A$2:$A$305,MATCH(C571,'GIS-Standards'!$B$2:$B$305,0))</f>
        <v>42</v>
      </c>
      <c r="J571" t="str">
        <f>INDEX('GIS-Standards'!$O$2:$O$305,MATCH(B571,'GIS-Standards'!$B$2:$B$305,0))</f>
        <v>ISO/TC 211</v>
      </c>
      <c r="K571" t="str">
        <f>INDEX('GIS-Standards'!$O$2:$O$305,MATCH(C571,'GIS-Standards'!$B$2:$B$305,0))</f>
        <v>ISO/TC 211</v>
      </c>
      <c r="M571" t="s">
        <v>524</v>
      </c>
      <c r="N571">
        <f>INDEX('GIS-Standards'!$I$2:$I$305,MATCH(B571,'GIS-Standards'!$B$2:$B$305,0))</f>
        <v>0</v>
      </c>
      <c r="O571">
        <f>INDEX('GIS-Standards'!$I$2:$I$305,MATCH(C571,'GIS-Standards'!$B$2:$B$305,0))</f>
        <v>0</v>
      </c>
      <c r="P571" t="b">
        <f>AND(TableRelationships12[[#This Row],[Source Type]]="BIM",TableRelationships12[[#This Row],[Target Type]]="BIM")</f>
        <v>0</v>
      </c>
      <c r="Q571">
        <f t="shared" si="24"/>
        <v>6</v>
      </c>
      <c r="S571">
        <f t="shared" si="25"/>
        <v>1</v>
      </c>
      <c r="T571" s="102" t="str">
        <f>IF(TableRelationships12[[#This Row],[Rank Pedro]]="Low","linkCategory1",IF(TableRelationships12[[#This Row],[Rank Pedro]]="Medium","linkCategory2",IF(TableRelationships12[[#This Row],[Rank Pedro]]="High","linkCategory3","")))</f>
        <v/>
      </c>
      <c r="U571" s="102" t="str">
        <f>IF(TableRelationships12[[#This Row],[Rank Pedro]]="Low","Pink",IF(TableRelationships12[[#This Row],[Rank Pedro]]="Medium","Purple",IF(TableRelationships12[[#This Row],[Rank Pedro]]="High","Brown","")))</f>
        <v/>
      </c>
      <c r="V571" s="4" t="e">
        <f>MAX(INDEX(Standards!$F$2:$F$296,MATCH(B571,Standards!$B$2:$B$296,0)),INDEX(Standards!$F$2:$F$296,MATCH(C571,Standards!$B$2:$B$296,0)))</f>
        <v>#N/A</v>
      </c>
      <c r="W571" t="str">
        <f t="shared" si="26"/>
        <v>#d6bf2a</v>
      </c>
    </row>
    <row r="572" spans="1:23" x14ac:dyDescent="0.5">
      <c r="A572" s="54">
        <v>571</v>
      </c>
      <c r="B572" s="90" t="s">
        <v>1042</v>
      </c>
      <c r="C572" t="s">
        <v>653</v>
      </c>
      <c r="D572" s="1"/>
      <c r="E572" s="113">
        <v>2007.04</v>
      </c>
      <c r="F572" s="113">
        <v>2019.03</v>
      </c>
      <c r="G572" s="107" t="s">
        <v>670</v>
      </c>
      <c r="H572">
        <f>INDEX('GIS-Standards'!$A$2:$A$305,MATCH(B572,'GIS-Standards'!$B$2:$B$305,0))</f>
        <v>24</v>
      </c>
      <c r="I572">
        <f>INDEX('GIS-Standards'!$A$2:$A$305,MATCH(C572,'GIS-Standards'!$B$2:$B$305,0))</f>
        <v>102</v>
      </c>
      <c r="J572" t="str">
        <f>INDEX('GIS-Standards'!$O$2:$O$305,MATCH(B572,'GIS-Standards'!$B$2:$B$305,0))</f>
        <v>ISO/TC 211</v>
      </c>
      <c r="K572" t="str">
        <f>INDEX('GIS-Standards'!$O$2:$O$305,MATCH(C572,'GIS-Standards'!$B$2:$B$305,0))</f>
        <v>ISO/TC 211</v>
      </c>
      <c r="M572" t="s">
        <v>524</v>
      </c>
      <c r="N572">
        <f>INDEX('GIS-Standards'!$I$2:$I$305,MATCH(B572,'GIS-Standards'!$B$2:$B$305,0))</f>
        <v>0</v>
      </c>
      <c r="O572">
        <f>INDEX('GIS-Standards'!$I$2:$I$305,MATCH(C572,'GIS-Standards'!$B$2:$B$305,0))</f>
        <v>0</v>
      </c>
      <c r="P572" t="b">
        <f>AND(TableRelationships12[[#This Row],[Source Type]]="BIM",TableRelationships12[[#This Row],[Target Type]]="BIM")</f>
        <v>0</v>
      </c>
      <c r="Q572">
        <f t="shared" si="24"/>
        <v>6</v>
      </c>
      <c r="S572">
        <f t="shared" si="25"/>
        <v>1</v>
      </c>
      <c r="T572" s="102" t="str">
        <f>IF(TableRelationships12[[#This Row],[Rank Pedro]]="Low","linkCategory1",IF(TableRelationships12[[#This Row],[Rank Pedro]]="Medium","linkCategory2",IF(TableRelationships12[[#This Row],[Rank Pedro]]="High","linkCategory3","")))</f>
        <v/>
      </c>
      <c r="U572" s="102" t="str">
        <f>IF(TableRelationships12[[#This Row],[Rank Pedro]]="Low","Pink",IF(TableRelationships12[[#This Row],[Rank Pedro]]="Medium","Purple",IF(TableRelationships12[[#This Row],[Rank Pedro]]="High","Brown","")))</f>
        <v/>
      </c>
      <c r="V572" s="4" t="e">
        <f>MAX(INDEX(Standards!$F$2:$F$296,MATCH(B572,Standards!$B$2:$B$296,0)),INDEX(Standards!$F$2:$F$296,MATCH(C572,Standards!$B$2:$B$296,0)))</f>
        <v>#N/A</v>
      </c>
      <c r="W572" t="str">
        <f t="shared" si="26"/>
        <v>#d6bf2a</v>
      </c>
    </row>
    <row r="573" spans="1:23" x14ac:dyDescent="0.5">
      <c r="A573" s="54">
        <v>572</v>
      </c>
      <c r="B573" s="90" t="s">
        <v>1042</v>
      </c>
      <c r="C573" t="s">
        <v>437</v>
      </c>
      <c r="D573" s="1" t="s">
        <v>1138</v>
      </c>
      <c r="E573" s="112">
        <v>1988.03</v>
      </c>
      <c r="F573" s="112">
        <v>2023.11</v>
      </c>
      <c r="G573" s="107" t="s">
        <v>1457</v>
      </c>
      <c r="H573">
        <f>INDEX('GIS-Standards'!$A$2:$A$305,MATCH(B573,'GIS-Standards'!$B$2:$B$305,0))</f>
        <v>24</v>
      </c>
      <c r="I573" t="e">
        <f>INDEX('GIS-Standards'!$A$2:$A$305,MATCH(C573,'GIS-Standards'!$B$2:$B$305,0))</f>
        <v>#N/A</v>
      </c>
      <c r="J573" t="str">
        <f>INDEX('GIS-Standards'!$O$2:$O$305,MATCH(B573,'GIS-Standards'!$B$2:$B$305,0))</f>
        <v>ISO/TC 211</v>
      </c>
      <c r="K573" t="e">
        <f>INDEX('GIS-Standards'!$O$2:$O$305,MATCH(C573,'GIS-Standards'!$B$2:$B$305,0))</f>
        <v>#N/A</v>
      </c>
      <c r="M573" t="s">
        <v>525</v>
      </c>
      <c r="N573">
        <f>INDEX('GIS-Standards'!$I$2:$I$305,MATCH(B573,'GIS-Standards'!$B$2:$B$305,0))</f>
        <v>0</v>
      </c>
      <c r="O573" t="e">
        <f>INDEX('GIS-Standards'!$I$2:$I$305,MATCH(C573,'GIS-Standards'!$B$2:$B$305,0))</f>
        <v>#N/A</v>
      </c>
      <c r="P573" t="e">
        <f>AND(TableRelationships12[[#This Row],[Source Type]]="BIM",TableRelationships12[[#This Row],[Target Type]]="BIM")</f>
        <v>#N/A</v>
      </c>
      <c r="Q573">
        <f t="shared" si="24"/>
        <v>1</v>
      </c>
      <c r="S573">
        <f t="shared" si="25"/>
        <v>1</v>
      </c>
      <c r="T573" s="102" t="str">
        <f>IF(TableRelationships12[[#This Row],[Rank Pedro]]="Low","linkCategory1",IF(TableRelationships12[[#This Row],[Rank Pedro]]="Medium","linkCategory2",IF(TableRelationships12[[#This Row],[Rank Pedro]]="High","linkCategory3","")))</f>
        <v/>
      </c>
      <c r="U573" s="102" t="str">
        <f>IF(TableRelationships12[[#This Row],[Rank Pedro]]="Low","Pink",IF(TableRelationships12[[#This Row],[Rank Pedro]]="Medium","Purple",IF(TableRelationships12[[#This Row],[Rank Pedro]]="High","Brown","")))</f>
        <v/>
      </c>
      <c r="V573" s="4" t="e">
        <f>MAX(INDEX(Standards!$F$2:$F$296,MATCH(B573,Standards!$B$2:$B$296,0)),INDEX(Standards!$F$2:$F$296,MATCH(C573,Standards!$B$2:$B$296,0)))</f>
        <v>#N/A</v>
      </c>
      <c r="W573" t="str">
        <f t="shared" si="26"/>
        <v>#2f89d1</v>
      </c>
    </row>
    <row r="574" spans="1:23" x14ac:dyDescent="0.5">
      <c r="A574" s="54">
        <v>573</v>
      </c>
      <c r="B574" s="90" t="s">
        <v>1042</v>
      </c>
      <c r="C574" t="s">
        <v>132</v>
      </c>
      <c r="D574" s="1"/>
      <c r="E574" s="112">
        <v>1997.09</v>
      </c>
      <c r="F574" s="112">
        <v>2020.08</v>
      </c>
      <c r="G574" s="107" t="s">
        <v>1481</v>
      </c>
      <c r="H574">
        <f>INDEX('GIS-Standards'!$A$2:$A$305,MATCH(B574,'GIS-Standards'!$B$2:$B$305,0))</f>
        <v>24</v>
      </c>
      <c r="I574" t="e">
        <f>INDEX('GIS-Standards'!$A$2:$A$305,MATCH(C574,'GIS-Standards'!$B$2:$B$305,0))</f>
        <v>#N/A</v>
      </c>
      <c r="J574" t="str">
        <f>INDEX('GIS-Standards'!$O$2:$O$305,MATCH(B574,'GIS-Standards'!$B$2:$B$305,0))</f>
        <v>ISO/TC 211</v>
      </c>
      <c r="K574" t="e">
        <f>INDEX('GIS-Standards'!$O$2:$O$305,MATCH(C574,'GIS-Standards'!$B$2:$B$305,0))</f>
        <v>#N/A</v>
      </c>
      <c r="M574" t="s">
        <v>525</v>
      </c>
      <c r="N574">
        <f>INDEX('GIS-Standards'!$I$2:$I$305,MATCH(B574,'GIS-Standards'!$B$2:$B$305,0))</f>
        <v>0</v>
      </c>
      <c r="O574" t="e">
        <f>INDEX('GIS-Standards'!$I$2:$I$305,MATCH(C574,'GIS-Standards'!$B$2:$B$305,0))</f>
        <v>#N/A</v>
      </c>
      <c r="P574" t="e">
        <f>AND(TableRelationships12[[#This Row],[Source Type]]="BIM",TableRelationships12[[#This Row],[Target Type]]="BIM")</f>
        <v>#N/A</v>
      </c>
      <c r="Q574">
        <f t="shared" si="24"/>
        <v>1</v>
      </c>
      <c r="S574">
        <f t="shared" si="25"/>
        <v>1</v>
      </c>
      <c r="T574" s="102" t="str">
        <f>IF(TableRelationships12[[#This Row],[Rank Pedro]]="Low","linkCategory1",IF(TableRelationships12[[#This Row],[Rank Pedro]]="Medium","linkCategory2",IF(TableRelationships12[[#This Row],[Rank Pedro]]="High","linkCategory3","")))</f>
        <v/>
      </c>
      <c r="U574" s="102" t="str">
        <f>IF(TableRelationships12[[#This Row],[Rank Pedro]]="Low","Pink",IF(TableRelationships12[[#This Row],[Rank Pedro]]="Medium","Purple",IF(TableRelationships12[[#This Row],[Rank Pedro]]="High","Brown","")))</f>
        <v/>
      </c>
      <c r="V574" s="4" t="e">
        <f>MAX(INDEX(Standards!$F$2:$F$296,MATCH(B574,Standards!$B$2:$B$296,0)),INDEX(Standards!$F$2:$F$296,MATCH(C574,Standards!$B$2:$B$296,0)))</f>
        <v>#N/A</v>
      </c>
      <c r="W574" t="str">
        <f t="shared" si="26"/>
        <v>#2f89d1</v>
      </c>
    </row>
    <row r="575" spans="1:23" x14ac:dyDescent="0.5">
      <c r="A575" s="54">
        <v>574</v>
      </c>
      <c r="B575" s="90" t="s">
        <v>1042</v>
      </c>
      <c r="C575" t="s">
        <v>1041</v>
      </c>
      <c r="D575" s="1"/>
      <c r="E575" s="112">
        <v>2009.02</v>
      </c>
      <c r="F575" s="112">
        <v>2022.03</v>
      </c>
      <c r="G575" s="107" t="s">
        <v>670</v>
      </c>
      <c r="H575">
        <f>INDEX('GIS-Standards'!$A$2:$A$305,MATCH(B575,'GIS-Standards'!$B$2:$B$305,0))</f>
        <v>24</v>
      </c>
      <c r="I575">
        <f>INDEX('GIS-Standards'!$A$2:$A$305,MATCH(C575,'GIS-Standards'!$B$2:$B$305,0))</f>
        <v>23</v>
      </c>
      <c r="J575" t="str">
        <f>INDEX('GIS-Standards'!$O$2:$O$305,MATCH(B575,'GIS-Standards'!$B$2:$B$305,0))</f>
        <v>ISO/TC 211</v>
      </c>
      <c r="K575" t="str">
        <f>INDEX('GIS-Standards'!$O$2:$O$305,MATCH(C575,'GIS-Standards'!$B$2:$B$305,0))</f>
        <v>ISO/TC 211</v>
      </c>
      <c r="M575" t="s">
        <v>525</v>
      </c>
      <c r="N575">
        <f>INDEX('GIS-Standards'!$I$2:$I$305,MATCH(B575,'GIS-Standards'!$B$2:$B$305,0))</f>
        <v>0</v>
      </c>
      <c r="O575" t="str">
        <f>INDEX('GIS-Standards'!$I$2:$I$305,MATCH(C575,'GIS-Standards'!$B$2:$B$305,0))</f>
        <v>03.2022</v>
      </c>
      <c r="P575" t="b">
        <f>AND(TableRelationships12[[#This Row],[Source Type]]="BIM",TableRelationships12[[#This Row],[Target Type]]="BIM")</f>
        <v>0</v>
      </c>
      <c r="Q575">
        <f t="shared" si="24"/>
        <v>1</v>
      </c>
      <c r="S575">
        <f t="shared" si="25"/>
        <v>1</v>
      </c>
      <c r="T575" s="102" t="str">
        <f>IF(TableRelationships12[[#This Row],[Rank Pedro]]="Low","linkCategory1",IF(TableRelationships12[[#This Row],[Rank Pedro]]="Medium","linkCategory2",IF(TableRelationships12[[#This Row],[Rank Pedro]]="High","linkCategory3","")))</f>
        <v/>
      </c>
      <c r="U575" s="102" t="str">
        <f>IF(TableRelationships12[[#This Row],[Rank Pedro]]="Low","Pink",IF(TableRelationships12[[#This Row],[Rank Pedro]]="Medium","Purple",IF(TableRelationships12[[#This Row],[Rank Pedro]]="High","Brown","")))</f>
        <v/>
      </c>
      <c r="V575" s="4" t="e">
        <f>MAX(INDEX(Standards!$F$2:$F$296,MATCH(B575,Standards!$B$2:$B$296,0)),INDEX(Standards!$F$2:$F$296,MATCH(C575,Standards!$B$2:$B$296,0)))</f>
        <v>#N/A</v>
      </c>
      <c r="W575" t="str">
        <f t="shared" si="26"/>
        <v>#2f89d1</v>
      </c>
    </row>
    <row r="576" spans="1:23" x14ac:dyDescent="0.5">
      <c r="A576" s="54">
        <v>575</v>
      </c>
      <c r="B576" s="90" t="s">
        <v>1042</v>
      </c>
      <c r="C576" t="s">
        <v>316</v>
      </c>
      <c r="D576" s="1"/>
      <c r="E576" s="112">
        <v>2005.07</v>
      </c>
      <c r="F576" s="112">
        <v>2011.1</v>
      </c>
      <c r="G576" s="107" t="s">
        <v>670</v>
      </c>
      <c r="H576">
        <f>INDEX('GIS-Standards'!$A$2:$A$305,MATCH(B576,'GIS-Standards'!$B$2:$B$305,0))</f>
        <v>24</v>
      </c>
      <c r="I576">
        <f>INDEX('GIS-Standards'!$A$2:$A$305,MATCH(C576,'GIS-Standards'!$B$2:$B$305,0))</f>
        <v>27</v>
      </c>
      <c r="J576" t="str">
        <f>INDEX('GIS-Standards'!$O$2:$O$305,MATCH(B576,'GIS-Standards'!$B$2:$B$305,0))</f>
        <v>ISO/TC 211</v>
      </c>
      <c r="K576" t="str">
        <f>INDEX('GIS-Standards'!$O$2:$O$305,MATCH(C576,'GIS-Standards'!$B$2:$B$305,0))</f>
        <v>ISO/TC 211</v>
      </c>
      <c r="M576" t="s">
        <v>525</v>
      </c>
      <c r="N576">
        <f>INDEX('GIS-Standards'!$I$2:$I$305,MATCH(B576,'GIS-Standards'!$B$2:$B$305,0))</f>
        <v>0</v>
      </c>
      <c r="O576">
        <f>INDEX('GIS-Standards'!$I$2:$I$305,MATCH(C576,'GIS-Standards'!$B$2:$B$305,0))</f>
        <v>0</v>
      </c>
      <c r="P576" t="b">
        <f>AND(TableRelationships12[[#This Row],[Source Type]]="BIM",TableRelationships12[[#This Row],[Target Type]]="BIM")</f>
        <v>0</v>
      </c>
      <c r="Q576">
        <f t="shared" si="24"/>
        <v>1</v>
      </c>
      <c r="S576">
        <f t="shared" si="25"/>
        <v>1</v>
      </c>
      <c r="T576" s="102" t="str">
        <f>IF(TableRelationships12[[#This Row],[Rank Pedro]]="Low","linkCategory1",IF(TableRelationships12[[#This Row],[Rank Pedro]]="Medium","linkCategory2",IF(TableRelationships12[[#This Row],[Rank Pedro]]="High","linkCategory3","")))</f>
        <v/>
      </c>
      <c r="U576" s="102" t="str">
        <f>IF(TableRelationships12[[#This Row],[Rank Pedro]]="Low","Pink",IF(TableRelationships12[[#This Row],[Rank Pedro]]="Medium","Purple",IF(TableRelationships12[[#This Row],[Rank Pedro]]="High","Brown","")))</f>
        <v/>
      </c>
      <c r="V576" s="4" t="e">
        <f>MAX(INDEX(Standards!$F$2:$F$296,MATCH(B576,Standards!$B$2:$B$296,0)),INDEX(Standards!$F$2:$F$296,MATCH(C576,Standards!$B$2:$B$296,0)))</f>
        <v>#N/A</v>
      </c>
      <c r="W576" t="str">
        <f t="shared" si="26"/>
        <v>#2f89d1</v>
      </c>
    </row>
    <row r="577" spans="1:23" x14ac:dyDescent="0.5">
      <c r="A577" s="54">
        <v>576</v>
      </c>
      <c r="B577" s="90" t="s">
        <v>1042</v>
      </c>
      <c r="C577" t="s">
        <v>318</v>
      </c>
      <c r="D577" s="1"/>
      <c r="E577" s="112">
        <v>2005.02</v>
      </c>
      <c r="F577" s="112">
        <v>2016.01</v>
      </c>
      <c r="G577" s="107" t="s">
        <v>670</v>
      </c>
      <c r="H577">
        <f>INDEX('GIS-Standards'!$A$2:$A$305,MATCH(B577,'GIS-Standards'!$B$2:$B$305,0))</f>
        <v>24</v>
      </c>
      <c r="I577">
        <f>INDEX('GIS-Standards'!$A$2:$A$305,MATCH(C577,'GIS-Standards'!$B$2:$B$305,0))</f>
        <v>28</v>
      </c>
      <c r="J577" t="str">
        <f>INDEX('GIS-Standards'!$O$2:$O$305,MATCH(B577,'GIS-Standards'!$B$2:$B$305,0))</f>
        <v>ISO/TC 211</v>
      </c>
      <c r="K577" t="str">
        <f>INDEX('GIS-Standards'!$O$2:$O$305,MATCH(C577,'GIS-Standards'!$B$2:$B$305,0))</f>
        <v>ISO/TC 211</v>
      </c>
      <c r="M577" t="s">
        <v>525</v>
      </c>
      <c r="N577">
        <f>INDEX('GIS-Standards'!$I$2:$I$305,MATCH(B577,'GIS-Standards'!$B$2:$B$305,0))</f>
        <v>0</v>
      </c>
      <c r="O577">
        <f>INDEX('GIS-Standards'!$I$2:$I$305,MATCH(C577,'GIS-Standards'!$B$2:$B$305,0))</f>
        <v>0</v>
      </c>
      <c r="P577" t="b">
        <f>AND(TableRelationships12[[#This Row],[Source Type]]="BIM",TableRelationships12[[#This Row],[Target Type]]="BIM")</f>
        <v>0</v>
      </c>
      <c r="Q577">
        <f t="shared" si="24"/>
        <v>1</v>
      </c>
      <c r="S577">
        <f t="shared" si="25"/>
        <v>1</v>
      </c>
      <c r="T577" s="102" t="str">
        <f>IF(TableRelationships12[[#This Row],[Rank Pedro]]="Low","linkCategory1",IF(TableRelationships12[[#This Row],[Rank Pedro]]="Medium","linkCategory2",IF(TableRelationships12[[#This Row],[Rank Pedro]]="High","linkCategory3","")))</f>
        <v/>
      </c>
      <c r="U577" s="102" t="str">
        <f>IF(TableRelationships12[[#This Row],[Rank Pedro]]="Low","Pink",IF(TableRelationships12[[#This Row],[Rank Pedro]]="Medium","Purple",IF(TableRelationships12[[#This Row],[Rank Pedro]]="High","Brown","")))</f>
        <v/>
      </c>
      <c r="V577" s="4" t="e">
        <f>MAX(INDEX(Standards!$F$2:$F$296,MATCH(B577,Standards!$B$2:$B$296,0)),INDEX(Standards!$F$2:$F$296,MATCH(C577,Standards!$B$2:$B$296,0)))</f>
        <v>#N/A</v>
      </c>
      <c r="W577" t="str">
        <f t="shared" si="26"/>
        <v>#2f89d1</v>
      </c>
    </row>
    <row r="578" spans="1:23" x14ac:dyDescent="0.5">
      <c r="A578" s="54">
        <v>577</v>
      </c>
      <c r="B578" s="90" t="s">
        <v>1042</v>
      </c>
      <c r="C578" t="s">
        <v>653</v>
      </c>
      <c r="D578" s="1" t="s">
        <v>1115</v>
      </c>
      <c r="E578" s="113">
        <v>2007.04</v>
      </c>
      <c r="F578" s="113">
        <v>2019.03</v>
      </c>
      <c r="G578" s="107" t="s">
        <v>670</v>
      </c>
      <c r="H578">
        <f>INDEX('GIS-Standards'!$A$2:$A$305,MATCH(B578,'GIS-Standards'!$B$2:$B$305,0))</f>
        <v>24</v>
      </c>
      <c r="I578">
        <f>INDEX('GIS-Standards'!$A$2:$A$305,MATCH(C578,'GIS-Standards'!$B$2:$B$305,0))</f>
        <v>102</v>
      </c>
      <c r="J578" t="str">
        <f>INDEX('GIS-Standards'!$O$2:$O$305,MATCH(B578,'GIS-Standards'!$B$2:$B$305,0))</f>
        <v>ISO/TC 211</v>
      </c>
      <c r="K578" t="str">
        <f>INDEX('GIS-Standards'!$O$2:$O$305,MATCH(C578,'GIS-Standards'!$B$2:$B$305,0))</f>
        <v>ISO/TC 211</v>
      </c>
      <c r="M578" t="s">
        <v>525</v>
      </c>
      <c r="N578">
        <f>INDEX('GIS-Standards'!$I$2:$I$305,MATCH(B578,'GIS-Standards'!$B$2:$B$305,0))</f>
        <v>0</v>
      </c>
      <c r="O578">
        <f>INDEX('GIS-Standards'!$I$2:$I$305,MATCH(C578,'GIS-Standards'!$B$2:$B$305,0))</f>
        <v>0</v>
      </c>
      <c r="P578" t="b">
        <f>AND(TableRelationships12[[#This Row],[Source Type]]="BIM",TableRelationships12[[#This Row],[Target Type]]="BIM")</f>
        <v>0</v>
      </c>
      <c r="Q578">
        <f t="shared" ref="Q578:Q641" si="27">IF(M578="Normative",6,IF(M578="Secondary",4,IF(M578="Anchor",2,1)))</f>
        <v>1</v>
      </c>
      <c r="S578">
        <f t="shared" ref="S578:S641" si="28">IF(R578="High",10,IF(R578="Medium",6,IF(R578="Low",2,1)))</f>
        <v>1</v>
      </c>
      <c r="T578" s="102" t="str">
        <f>IF(TableRelationships12[[#This Row],[Rank Pedro]]="Low","linkCategory1",IF(TableRelationships12[[#This Row],[Rank Pedro]]="Medium","linkCategory2",IF(TableRelationships12[[#This Row],[Rank Pedro]]="High","linkCategory3","")))</f>
        <v/>
      </c>
      <c r="U578" s="102" t="str">
        <f>IF(TableRelationships12[[#This Row],[Rank Pedro]]="Low","Pink",IF(TableRelationships12[[#This Row],[Rank Pedro]]="Medium","Purple",IF(TableRelationships12[[#This Row],[Rank Pedro]]="High","Brown","")))</f>
        <v/>
      </c>
      <c r="V578" s="4" t="e">
        <f>MAX(INDEX(Standards!$F$2:$F$296,MATCH(B578,Standards!$B$2:$B$296,0)),INDEX(Standards!$F$2:$F$296,MATCH(C578,Standards!$B$2:$B$296,0)))</f>
        <v>#N/A</v>
      </c>
      <c r="W578" t="str">
        <f t="shared" ref="W578:W641" si="29">IF(M578="Normative", "#d6bf2a", IF(M578="Informative", "#2f89d1", 1))</f>
        <v>#2f89d1</v>
      </c>
    </row>
    <row r="579" spans="1:23" x14ac:dyDescent="0.5">
      <c r="A579" s="54">
        <v>578</v>
      </c>
      <c r="B579" s="90" t="s">
        <v>1042</v>
      </c>
      <c r="C579" t="s">
        <v>348</v>
      </c>
      <c r="D579" s="1" t="s">
        <v>640</v>
      </c>
      <c r="E579" s="113">
        <v>2013.12</v>
      </c>
      <c r="F579" s="113">
        <v>2023.04</v>
      </c>
      <c r="G579" s="107" t="s">
        <v>670</v>
      </c>
      <c r="H579">
        <f>INDEX('GIS-Standards'!$A$2:$A$305,MATCH(B579,'GIS-Standards'!$B$2:$B$305,0))</f>
        <v>24</v>
      </c>
      <c r="I579">
        <f>INDEX('GIS-Standards'!$A$2:$A$305,MATCH(C579,'GIS-Standards'!$B$2:$B$305,0))</f>
        <v>66</v>
      </c>
      <c r="J579" t="str">
        <f>INDEX('GIS-Standards'!$O$2:$O$305,MATCH(B579,'GIS-Standards'!$B$2:$B$305,0))</f>
        <v>ISO/TC 211</v>
      </c>
      <c r="K579" t="str">
        <f>INDEX('GIS-Standards'!$O$2:$O$305,MATCH(C579,'GIS-Standards'!$B$2:$B$305,0))</f>
        <v>ISO/TC 211</v>
      </c>
      <c r="M579" t="s">
        <v>525</v>
      </c>
      <c r="N579">
        <f>INDEX('GIS-Standards'!$I$2:$I$305,MATCH(B579,'GIS-Standards'!$B$2:$B$305,0))</f>
        <v>0</v>
      </c>
      <c r="O579">
        <f>INDEX('GIS-Standards'!$I$2:$I$305,MATCH(C579,'GIS-Standards'!$B$2:$B$305,0))</f>
        <v>0</v>
      </c>
      <c r="P579" t="b">
        <f>AND(TableRelationships12[[#This Row],[Source Type]]="BIM",TableRelationships12[[#This Row],[Target Type]]="BIM")</f>
        <v>0</v>
      </c>
      <c r="Q579">
        <f t="shared" si="27"/>
        <v>1</v>
      </c>
      <c r="S579">
        <f t="shared" si="28"/>
        <v>1</v>
      </c>
      <c r="T579" s="102" t="str">
        <f>IF(TableRelationships12[[#This Row],[Rank Pedro]]="Low","linkCategory1",IF(TableRelationships12[[#This Row],[Rank Pedro]]="Medium","linkCategory2",IF(TableRelationships12[[#This Row],[Rank Pedro]]="High","linkCategory3","")))</f>
        <v/>
      </c>
      <c r="U579" s="102" t="str">
        <f>IF(TableRelationships12[[#This Row],[Rank Pedro]]="Low","Pink",IF(TableRelationships12[[#This Row],[Rank Pedro]]="Medium","Purple",IF(TableRelationships12[[#This Row],[Rank Pedro]]="High","Brown","")))</f>
        <v/>
      </c>
      <c r="V579" s="4" t="e">
        <f>MAX(INDEX(Standards!$F$2:$F$296,MATCH(B579,Standards!$B$2:$B$296,0)),INDEX(Standards!$F$2:$F$296,MATCH(C579,Standards!$B$2:$B$296,0)))</f>
        <v>#N/A</v>
      </c>
      <c r="W579" t="str">
        <f t="shared" si="29"/>
        <v>#2f89d1</v>
      </c>
    </row>
    <row r="580" spans="1:23" x14ac:dyDescent="0.5">
      <c r="A580" s="54">
        <v>579</v>
      </c>
      <c r="B580" s="90" t="s">
        <v>1042</v>
      </c>
      <c r="C580" t="s">
        <v>1139</v>
      </c>
      <c r="D580" s="1"/>
      <c r="E580" s="112">
        <v>2006.06</v>
      </c>
      <c r="F580" s="112">
        <v>2025.09</v>
      </c>
      <c r="G580" s="107" t="s">
        <v>1458</v>
      </c>
      <c r="H580">
        <f>INDEX('GIS-Standards'!$A$2:$A$305,MATCH(B580,'GIS-Standards'!$B$2:$B$305,0))</f>
        <v>24</v>
      </c>
      <c r="I580" t="e">
        <f>INDEX('GIS-Standards'!$A$2:$A$305,MATCH(C580,'GIS-Standards'!$B$2:$B$305,0))</f>
        <v>#N/A</v>
      </c>
      <c r="J580" t="str">
        <f>INDEX('GIS-Standards'!$O$2:$O$305,MATCH(B580,'GIS-Standards'!$B$2:$B$305,0))</f>
        <v>ISO/TC 211</v>
      </c>
      <c r="K580" t="e">
        <f>INDEX('GIS-Standards'!$O$2:$O$305,MATCH(C580,'GIS-Standards'!$B$2:$B$305,0))</f>
        <v>#N/A</v>
      </c>
      <c r="M580" t="s">
        <v>525</v>
      </c>
      <c r="N580">
        <f>INDEX('GIS-Standards'!$I$2:$I$305,MATCH(B580,'GIS-Standards'!$B$2:$B$305,0))</f>
        <v>0</v>
      </c>
      <c r="O580" t="e">
        <f>INDEX('GIS-Standards'!$I$2:$I$305,MATCH(C580,'GIS-Standards'!$B$2:$B$305,0))</f>
        <v>#N/A</v>
      </c>
      <c r="P580" t="e">
        <f>AND(TableRelationships12[[#This Row],[Source Type]]="BIM",TableRelationships12[[#This Row],[Target Type]]="BIM")</f>
        <v>#N/A</v>
      </c>
      <c r="Q580">
        <f t="shared" si="27"/>
        <v>1</v>
      </c>
      <c r="S580">
        <f t="shared" si="28"/>
        <v>1</v>
      </c>
      <c r="T580" s="102" t="str">
        <f>IF(TableRelationships12[[#This Row],[Rank Pedro]]="Low","linkCategory1",IF(TableRelationships12[[#This Row],[Rank Pedro]]="Medium","linkCategory2",IF(TableRelationships12[[#This Row],[Rank Pedro]]="High","linkCategory3","")))</f>
        <v/>
      </c>
      <c r="U580" s="102" t="str">
        <f>IF(TableRelationships12[[#This Row],[Rank Pedro]]="Low","Pink",IF(TableRelationships12[[#This Row],[Rank Pedro]]="Medium","Purple",IF(TableRelationships12[[#This Row],[Rank Pedro]]="High","Brown","")))</f>
        <v/>
      </c>
      <c r="V580" s="4" t="e">
        <f>MAX(INDEX(Standards!$F$2:$F$296,MATCH(B580,Standards!$B$2:$B$296,0)),INDEX(Standards!$F$2:$F$296,MATCH(C580,Standards!$B$2:$B$296,0)))</f>
        <v>#N/A</v>
      </c>
      <c r="W580" t="str">
        <f t="shared" si="29"/>
        <v>#2f89d1</v>
      </c>
    </row>
    <row r="581" spans="1:23" x14ac:dyDescent="0.5">
      <c r="A581" s="54">
        <v>580</v>
      </c>
      <c r="B581" s="90" t="s">
        <v>1042</v>
      </c>
      <c r="C581" t="s">
        <v>1140</v>
      </c>
      <c r="D581" s="1"/>
      <c r="G581" s="107"/>
      <c r="H581">
        <f>INDEX('GIS-Standards'!$A$2:$A$305,MATCH(B581,'GIS-Standards'!$B$2:$B$305,0))</f>
        <v>24</v>
      </c>
      <c r="I581" t="e">
        <f>INDEX('GIS-Standards'!$A$2:$A$305,MATCH(C581,'GIS-Standards'!$B$2:$B$305,0))</f>
        <v>#N/A</v>
      </c>
      <c r="J581" t="str">
        <f>INDEX('GIS-Standards'!$O$2:$O$305,MATCH(B581,'GIS-Standards'!$B$2:$B$305,0))</f>
        <v>ISO/TC 211</v>
      </c>
      <c r="K581" t="e">
        <f>INDEX('GIS-Standards'!$O$2:$O$305,MATCH(C581,'GIS-Standards'!$B$2:$B$305,0))</f>
        <v>#N/A</v>
      </c>
      <c r="M581" t="s">
        <v>525</v>
      </c>
      <c r="N581">
        <f>INDEX('GIS-Standards'!$I$2:$I$305,MATCH(B581,'GIS-Standards'!$B$2:$B$305,0))</f>
        <v>0</v>
      </c>
      <c r="O581" t="e">
        <f>INDEX('GIS-Standards'!$I$2:$I$305,MATCH(C581,'GIS-Standards'!$B$2:$B$305,0))</f>
        <v>#N/A</v>
      </c>
      <c r="P581" t="e">
        <f>AND(TableRelationships12[[#This Row],[Source Type]]="BIM",TableRelationships12[[#This Row],[Target Type]]="BIM")</f>
        <v>#N/A</v>
      </c>
      <c r="Q581">
        <f t="shared" si="27"/>
        <v>1</v>
      </c>
      <c r="S581">
        <f t="shared" si="28"/>
        <v>1</v>
      </c>
      <c r="T581" s="102" t="str">
        <f>IF(TableRelationships12[[#This Row],[Rank Pedro]]="Low","linkCategory1",IF(TableRelationships12[[#This Row],[Rank Pedro]]="Medium","linkCategory2",IF(TableRelationships12[[#This Row],[Rank Pedro]]="High","linkCategory3","")))</f>
        <v/>
      </c>
      <c r="U581" s="102" t="str">
        <f>IF(TableRelationships12[[#This Row],[Rank Pedro]]="Low","Pink",IF(TableRelationships12[[#This Row],[Rank Pedro]]="Medium","Purple",IF(TableRelationships12[[#This Row],[Rank Pedro]]="High","Brown","")))</f>
        <v/>
      </c>
      <c r="V581" s="4" t="e">
        <f>MAX(INDEX(Standards!$F$2:$F$296,MATCH(B581,Standards!$B$2:$B$296,0)),INDEX(Standards!$F$2:$F$296,MATCH(C581,Standards!$B$2:$B$296,0)))</f>
        <v>#N/A</v>
      </c>
      <c r="W581" t="str">
        <f t="shared" si="29"/>
        <v>#2f89d1</v>
      </c>
    </row>
    <row r="582" spans="1:23" x14ac:dyDescent="0.5">
      <c r="A582" s="54">
        <v>581</v>
      </c>
      <c r="B582" s="90" t="s">
        <v>1042</v>
      </c>
      <c r="C582" t="s">
        <v>1596</v>
      </c>
      <c r="D582" s="1"/>
      <c r="G582" s="107"/>
      <c r="H582">
        <f>INDEX('GIS-Standards'!$A$2:$A$305,MATCH(B582,'GIS-Standards'!$B$2:$B$305,0))</f>
        <v>24</v>
      </c>
      <c r="I582" t="e">
        <f>INDEX('GIS-Standards'!$A$2:$A$305,MATCH(C582,'GIS-Standards'!$B$2:$B$305,0))</f>
        <v>#N/A</v>
      </c>
      <c r="J582" t="str">
        <f>INDEX('GIS-Standards'!$O$2:$O$305,MATCH(B582,'GIS-Standards'!$B$2:$B$305,0))</f>
        <v>ISO/TC 211</v>
      </c>
      <c r="K582" t="e">
        <f>INDEX('GIS-Standards'!$O$2:$O$305,MATCH(C582,'GIS-Standards'!$B$2:$B$305,0))</f>
        <v>#N/A</v>
      </c>
      <c r="M582" t="s">
        <v>525</v>
      </c>
      <c r="N582">
        <f>INDEX('GIS-Standards'!$I$2:$I$305,MATCH(B582,'GIS-Standards'!$B$2:$B$305,0))</f>
        <v>0</v>
      </c>
      <c r="O582" t="e">
        <f>INDEX('GIS-Standards'!$I$2:$I$305,MATCH(C582,'GIS-Standards'!$B$2:$B$305,0))</f>
        <v>#N/A</v>
      </c>
      <c r="P582" t="e">
        <f>AND(TableRelationships12[[#This Row],[Source Type]]="BIM",TableRelationships12[[#This Row],[Target Type]]="BIM")</f>
        <v>#N/A</v>
      </c>
      <c r="Q582">
        <f t="shared" si="27"/>
        <v>1</v>
      </c>
      <c r="S582">
        <f t="shared" si="28"/>
        <v>1</v>
      </c>
      <c r="T582" s="102" t="str">
        <f>IF(TableRelationships12[[#This Row],[Rank Pedro]]="Low","linkCategory1",IF(TableRelationships12[[#This Row],[Rank Pedro]]="Medium","linkCategory2",IF(TableRelationships12[[#This Row],[Rank Pedro]]="High","linkCategory3","")))</f>
        <v/>
      </c>
      <c r="U582" s="102" t="str">
        <f>IF(TableRelationships12[[#This Row],[Rank Pedro]]="Low","Pink",IF(TableRelationships12[[#This Row],[Rank Pedro]]="Medium","Purple",IF(TableRelationships12[[#This Row],[Rank Pedro]]="High","Brown","")))</f>
        <v/>
      </c>
      <c r="V582" s="4" t="e">
        <f>MAX(INDEX(Standards!$F$2:$F$296,MATCH(B582,Standards!$B$2:$B$296,0)),INDEX(Standards!$F$2:$F$296,MATCH(C582,Standards!$B$2:$B$296,0)))</f>
        <v>#N/A</v>
      </c>
      <c r="W582" t="str">
        <f t="shared" si="29"/>
        <v>#2f89d1</v>
      </c>
    </row>
    <row r="583" spans="1:23" x14ac:dyDescent="0.5">
      <c r="A583" s="54">
        <v>582</v>
      </c>
      <c r="B583" s="90" t="s">
        <v>1042</v>
      </c>
      <c r="C583" t="s">
        <v>1595</v>
      </c>
      <c r="D583" s="1"/>
      <c r="G583" s="107"/>
      <c r="H583">
        <f>INDEX('GIS-Standards'!$A$2:$A$305,MATCH(B583,'GIS-Standards'!$B$2:$B$305,0))</f>
        <v>24</v>
      </c>
      <c r="I583" t="e">
        <f>INDEX('GIS-Standards'!$A$2:$A$305,MATCH(C583,'GIS-Standards'!$B$2:$B$305,0))</f>
        <v>#N/A</v>
      </c>
      <c r="J583" t="str">
        <f>INDEX('GIS-Standards'!$O$2:$O$305,MATCH(B583,'GIS-Standards'!$B$2:$B$305,0))</f>
        <v>ISO/TC 211</v>
      </c>
      <c r="K583" t="e">
        <f>INDEX('GIS-Standards'!$O$2:$O$305,MATCH(C583,'GIS-Standards'!$B$2:$B$305,0))</f>
        <v>#N/A</v>
      </c>
      <c r="M583" t="s">
        <v>525</v>
      </c>
      <c r="N583">
        <f>INDEX('GIS-Standards'!$I$2:$I$305,MATCH(B583,'GIS-Standards'!$B$2:$B$305,0))</f>
        <v>0</v>
      </c>
      <c r="O583" t="e">
        <f>INDEX('GIS-Standards'!$I$2:$I$305,MATCH(C583,'GIS-Standards'!$B$2:$B$305,0))</f>
        <v>#N/A</v>
      </c>
      <c r="P583" t="e">
        <f>AND(TableRelationships12[[#This Row],[Source Type]]="BIM",TableRelationships12[[#This Row],[Target Type]]="BIM")</f>
        <v>#N/A</v>
      </c>
      <c r="Q583">
        <f t="shared" si="27"/>
        <v>1</v>
      </c>
      <c r="S583">
        <f t="shared" si="28"/>
        <v>1</v>
      </c>
      <c r="T583" s="102" t="str">
        <f>IF(TableRelationships12[[#This Row],[Rank Pedro]]="Low","linkCategory1",IF(TableRelationships12[[#This Row],[Rank Pedro]]="Medium","linkCategory2",IF(TableRelationships12[[#This Row],[Rank Pedro]]="High","linkCategory3","")))</f>
        <v/>
      </c>
      <c r="U583" s="102" t="str">
        <f>IF(TableRelationships12[[#This Row],[Rank Pedro]]="Low","Pink",IF(TableRelationships12[[#This Row],[Rank Pedro]]="Medium","Purple",IF(TableRelationships12[[#This Row],[Rank Pedro]]="High","Brown","")))</f>
        <v/>
      </c>
      <c r="V583" s="4" t="e">
        <f>MAX(INDEX(Standards!$F$2:$F$296,MATCH(B583,Standards!$B$2:$B$296,0)),INDEX(Standards!$F$2:$F$296,MATCH(C583,Standards!$B$2:$B$296,0)))</f>
        <v>#N/A</v>
      </c>
      <c r="W583" t="str">
        <f t="shared" si="29"/>
        <v>#2f89d1</v>
      </c>
    </row>
    <row r="584" spans="1:23" x14ac:dyDescent="0.5">
      <c r="A584" s="54">
        <v>583</v>
      </c>
      <c r="B584" s="90" t="s">
        <v>1042</v>
      </c>
      <c r="C584" t="s">
        <v>1594</v>
      </c>
      <c r="D584" s="1"/>
      <c r="G584" s="107"/>
      <c r="H584">
        <f>INDEX('GIS-Standards'!$A$2:$A$305,MATCH(B584,'GIS-Standards'!$B$2:$B$305,0))</f>
        <v>24</v>
      </c>
      <c r="I584" t="e">
        <f>INDEX('GIS-Standards'!$A$2:$A$305,MATCH(C584,'GIS-Standards'!$B$2:$B$305,0))</f>
        <v>#N/A</v>
      </c>
      <c r="J584" t="str">
        <f>INDEX('GIS-Standards'!$O$2:$O$305,MATCH(B584,'GIS-Standards'!$B$2:$B$305,0))</f>
        <v>ISO/TC 211</v>
      </c>
      <c r="K584" t="e">
        <f>INDEX('GIS-Standards'!$O$2:$O$305,MATCH(C584,'GIS-Standards'!$B$2:$B$305,0))</f>
        <v>#N/A</v>
      </c>
      <c r="M584" t="s">
        <v>525</v>
      </c>
      <c r="N584">
        <f>INDEX('GIS-Standards'!$I$2:$I$305,MATCH(B584,'GIS-Standards'!$B$2:$B$305,0))</f>
        <v>0</v>
      </c>
      <c r="O584" t="e">
        <f>INDEX('GIS-Standards'!$I$2:$I$305,MATCH(C584,'GIS-Standards'!$B$2:$B$305,0))</f>
        <v>#N/A</v>
      </c>
      <c r="P584" t="e">
        <f>AND(TableRelationships12[[#This Row],[Source Type]]="BIM",TableRelationships12[[#This Row],[Target Type]]="BIM")</f>
        <v>#N/A</v>
      </c>
      <c r="Q584">
        <f t="shared" si="27"/>
        <v>1</v>
      </c>
      <c r="S584">
        <f t="shared" si="28"/>
        <v>1</v>
      </c>
      <c r="T584" s="102" t="str">
        <f>IF(TableRelationships12[[#This Row],[Rank Pedro]]="Low","linkCategory1",IF(TableRelationships12[[#This Row],[Rank Pedro]]="Medium","linkCategory2",IF(TableRelationships12[[#This Row],[Rank Pedro]]="High","linkCategory3","")))</f>
        <v/>
      </c>
      <c r="U584" s="102" t="str">
        <f>IF(TableRelationships12[[#This Row],[Rank Pedro]]="Low","Pink",IF(TableRelationships12[[#This Row],[Rank Pedro]]="Medium","Purple",IF(TableRelationships12[[#This Row],[Rank Pedro]]="High","Brown","")))</f>
        <v/>
      </c>
      <c r="V584" s="4" t="e">
        <f>MAX(INDEX(Standards!$F$2:$F$296,MATCH(B584,Standards!$B$2:$B$296,0)),INDEX(Standards!$F$2:$F$296,MATCH(C584,Standards!$B$2:$B$296,0)))</f>
        <v>#N/A</v>
      </c>
      <c r="W584" t="str">
        <f t="shared" si="29"/>
        <v>#2f89d1</v>
      </c>
    </row>
    <row r="585" spans="1:23" x14ac:dyDescent="0.5">
      <c r="A585" s="54">
        <v>584</v>
      </c>
      <c r="B585" s="90" t="s">
        <v>1042</v>
      </c>
      <c r="C585" t="s">
        <v>1551</v>
      </c>
      <c r="D585" s="1"/>
      <c r="G585" s="107"/>
      <c r="H585">
        <f>INDEX('GIS-Standards'!$A$2:$A$305,MATCH(B585,'GIS-Standards'!$B$2:$B$305,0))</f>
        <v>24</v>
      </c>
      <c r="I585" t="e">
        <f>INDEX('GIS-Standards'!$A$2:$A$305,MATCH(C585,'GIS-Standards'!$B$2:$B$305,0))</f>
        <v>#N/A</v>
      </c>
      <c r="J585" t="str">
        <f>INDEX('GIS-Standards'!$O$2:$O$305,MATCH(B585,'GIS-Standards'!$B$2:$B$305,0))</f>
        <v>ISO/TC 211</v>
      </c>
      <c r="K585" t="e">
        <f>INDEX('GIS-Standards'!$O$2:$O$305,MATCH(C585,'GIS-Standards'!$B$2:$B$305,0))</f>
        <v>#N/A</v>
      </c>
      <c r="M585" t="s">
        <v>525</v>
      </c>
      <c r="N585">
        <f>INDEX('GIS-Standards'!$I$2:$I$305,MATCH(B585,'GIS-Standards'!$B$2:$B$305,0))</f>
        <v>0</v>
      </c>
      <c r="O585" t="e">
        <f>INDEX('GIS-Standards'!$I$2:$I$305,MATCH(C585,'GIS-Standards'!$B$2:$B$305,0))</f>
        <v>#N/A</v>
      </c>
      <c r="P585" t="e">
        <f>AND(TableRelationships12[[#This Row],[Source Type]]="BIM",TableRelationships12[[#This Row],[Target Type]]="BIM")</f>
        <v>#N/A</v>
      </c>
      <c r="Q585">
        <f t="shared" si="27"/>
        <v>1</v>
      </c>
      <c r="S585">
        <f t="shared" si="28"/>
        <v>1</v>
      </c>
      <c r="T585" s="102" t="str">
        <f>IF(TableRelationships12[[#This Row],[Rank Pedro]]="Low","linkCategory1",IF(TableRelationships12[[#This Row],[Rank Pedro]]="Medium","linkCategory2",IF(TableRelationships12[[#This Row],[Rank Pedro]]="High","linkCategory3","")))</f>
        <v/>
      </c>
      <c r="U585" s="102" t="str">
        <f>IF(TableRelationships12[[#This Row],[Rank Pedro]]="Low","Pink",IF(TableRelationships12[[#This Row],[Rank Pedro]]="Medium","Purple",IF(TableRelationships12[[#This Row],[Rank Pedro]]="High","Brown","")))</f>
        <v/>
      </c>
      <c r="V585" s="4" t="e">
        <f>MAX(INDEX(Standards!$F$2:$F$296,MATCH(B585,Standards!$B$2:$B$296,0)),INDEX(Standards!$F$2:$F$296,MATCH(C585,Standards!$B$2:$B$296,0)))</f>
        <v>#N/A</v>
      </c>
      <c r="W585" t="str">
        <f t="shared" si="29"/>
        <v>#2f89d1</v>
      </c>
    </row>
    <row r="586" spans="1:23" x14ac:dyDescent="0.5">
      <c r="A586" s="54">
        <v>585</v>
      </c>
      <c r="B586" s="90" t="s">
        <v>1042</v>
      </c>
      <c r="C586" t="s">
        <v>1141</v>
      </c>
      <c r="D586" s="1"/>
      <c r="G586" s="107"/>
      <c r="H586">
        <f>INDEX('GIS-Standards'!$A$2:$A$305,MATCH(B586,'GIS-Standards'!$B$2:$B$305,0))</f>
        <v>24</v>
      </c>
      <c r="I586" t="e">
        <f>INDEX('GIS-Standards'!$A$2:$A$305,MATCH(C586,'GIS-Standards'!$B$2:$B$305,0))</f>
        <v>#N/A</v>
      </c>
      <c r="J586" t="str">
        <f>INDEX('GIS-Standards'!$O$2:$O$305,MATCH(B586,'GIS-Standards'!$B$2:$B$305,0))</f>
        <v>ISO/TC 211</v>
      </c>
      <c r="K586" t="e">
        <f>INDEX('GIS-Standards'!$O$2:$O$305,MATCH(C586,'GIS-Standards'!$B$2:$B$305,0))</f>
        <v>#N/A</v>
      </c>
      <c r="M586" t="s">
        <v>525</v>
      </c>
      <c r="N586">
        <f>INDEX('GIS-Standards'!$I$2:$I$305,MATCH(B586,'GIS-Standards'!$B$2:$B$305,0))</f>
        <v>0</v>
      </c>
      <c r="O586" t="e">
        <f>INDEX('GIS-Standards'!$I$2:$I$305,MATCH(C586,'GIS-Standards'!$B$2:$B$305,0))</f>
        <v>#N/A</v>
      </c>
      <c r="P586" t="e">
        <f>AND(TableRelationships12[[#This Row],[Source Type]]="BIM",TableRelationships12[[#This Row],[Target Type]]="BIM")</f>
        <v>#N/A</v>
      </c>
      <c r="Q586">
        <f t="shared" si="27"/>
        <v>1</v>
      </c>
      <c r="S586">
        <f t="shared" si="28"/>
        <v>1</v>
      </c>
      <c r="T586" s="102" t="str">
        <f>IF(TableRelationships12[[#This Row],[Rank Pedro]]="Low","linkCategory1",IF(TableRelationships12[[#This Row],[Rank Pedro]]="Medium","linkCategory2",IF(TableRelationships12[[#This Row],[Rank Pedro]]="High","linkCategory3","")))</f>
        <v/>
      </c>
      <c r="U586" s="102" t="str">
        <f>IF(TableRelationships12[[#This Row],[Rank Pedro]]="Low","Pink",IF(TableRelationships12[[#This Row],[Rank Pedro]]="Medium","Purple",IF(TableRelationships12[[#This Row],[Rank Pedro]]="High","Brown","")))</f>
        <v/>
      </c>
      <c r="V586" s="4" t="e">
        <f>MAX(INDEX(Standards!$F$2:$F$296,MATCH(B586,Standards!$B$2:$B$296,0)),INDEX(Standards!$F$2:$F$296,MATCH(C586,Standards!$B$2:$B$296,0)))</f>
        <v>#N/A</v>
      </c>
      <c r="W586" t="str">
        <f t="shared" si="29"/>
        <v>#2f89d1</v>
      </c>
    </row>
    <row r="587" spans="1:23" x14ac:dyDescent="0.5">
      <c r="A587" s="54">
        <v>586</v>
      </c>
      <c r="B587" s="90" t="s">
        <v>1042</v>
      </c>
      <c r="C587" t="s">
        <v>1142</v>
      </c>
      <c r="D587" s="1"/>
      <c r="G587" s="107"/>
      <c r="H587">
        <f>INDEX('GIS-Standards'!$A$2:$A$305,MATCH(B587,'GIS-Standards'!$B$2:$B$305,0))</f>
        <v>24</v>
      </c>
      <c r="I587" t="e">
        <f>INDEX('GIS-Standards'!$A$2:$A$305,MATCH(C587,'GIS-Standards'!$B$2:$B$305,0))</f>
        <v>#N/A</v>
      </c>
      <c r="J587" t="str">
        <f>INDEX('GIS-Standards'!$O$2:$O$305,MATCH(B587,'GIS-Standards'!$B$2:$B$305,0))</f>
        <v>ISO/TC 211</v>
      </c>
      <c r="K587" t="e">
        <f>INDEX('GIS-Standards'!$O$2:$O$305,MATCH(C587,'GIS-Standards'!$B$2:$B$305,0))</f>
        <v>#N/A</v>
      </c>
      <c r="M587" t="s">
        <v>525</v>
      </c>
      <c r="N587">
        <f>INDEX('GIS-Standards'!$I$2:$I$305,MATCH(B587,'GIS-Standards'!$B$2:$B$305,0))</f>
        <v>0</v>
      </c>
      <c r="O587" t="e">
        <f>INDEX('GIS-Standards'!$I$2:$I$305,MATCH(C587,'GIS-Standards'!$B$2:$B$305,0))</f>
        <v>#N/A</v>
      </c>
      <c r="P587" t="e">
        <f>AND(TableRelationships12[[#This Row],[Source Type]]="BIM",TableRelationships12[[#This Row],[Target Type]]="BIM")</f>
        <v>#N/A</v>
      </c>
      <c r="Q587">
        <f t="shared" si="27"/>
        <v>1</v>
      </c>
      <c r="S587">
        <f t="shared" si="28"/>
        <v>1</v>
      </c>
      <c r="T587" s="102" t="str">
        <f>IF(TableRelationships12[[#This Row],[Rank Pedro]]="Low","linkCategory1",IF(TableRelationships12[[#This Row],[Rank Pedro]]="Medium","linkCategory2",IF(TableRelationships12[[#This Row],[Rank Pedro]]="High","linkCategory3","")))</f>
        <v/>
      </c>
      <c r="U587" s="102" t="str">
        <f>IF(TableRelationships12[[#This Row],[Rank Pedro]]="Low","Pink",IF(TableRelationships12[[#This Row],[Rank Pedro]]="Medium","Purple",IF(TableRelationships12[[#This Row],[Rank Pedro]]="High","Brown","")))</f>
        <v/>
      </c>
      <c r="V587" s="4" t="e">
        <f>MAX(INDEX(Standards!$F$2:$F$296,MATCH(B587,Standards!$B$2:$B$296,0)),INDEX(Standards!$F$2:$F$296,MATCH(C587,Standards!$B$2:$B$296,0)))</f>
        <v>#N/A</v>
      </c>
      <c r="W587" t="str">
        <f t="shared" si="29"/>
        <v>#2f89d1</v>
      </c>
    </row>
    <row r="588" spans="1:23" x14ac:dyDescent="0.5">
      <c r="A588" s="54">
        <v>587</v>
      </c>
      <c r="B588" s="90" t="s">
        <v>1042</v>
      </c>
      <c r="C588" t="s">
        <v>1592</v>
      </c>
      <c r="D588" s="1"/>
      <c r="G588" s="107"/>
      <c r="H588">
        <f>INDEX('GIS-Standards'!$A$2:$A$305,MATCH(B588,'GIS-Standards'!$B$2:$B$305,0))</f>
        <v>24</v>
      </c>
      <c r="I588" t="e">
        <f>INDEX('GIS-Standards'!$A$2:$A$305,MATCH(C588,'GIS-Standards'!$B$2:$B$305,0))</f>
        <v>#N/A</v>
      </c>
      <c r="J588" t="str">
        <f>INDEX('GIS-Standards'!$O$2:$O$305,MATCH(B588,'GIS-Standards'!$B$2:$B$305,0))</f>
        <v>ISO/TC 211</v>
      </c>
      <c r="K588" t="e">
        <f>INDEX('GIS-Standards'!$O$2:$O$305,MATCH(C588,'GIS-Standards'!$B$2:$B$305,0))</f>
        <v>#N/A</v>
      </c>
      <c r="M588" t="s">
        <v>525</v>
      </c>
      <c r="N588">
        <f>INDEX('GIS-Standards'!$I$2:$I$305,MATCH(B588,'GIS-Standards'!$B$2:$B$305,0))</f>
        <v>0</v>
      </c>
      <c r="O588" t="e">
        <f>INDEX('GIS-Standards'!$I$2:$I$305,MATCH(C588,'GIS-Standards'!$B$2:$B$305,0))</f>
        <v>#N/A</v>
      </c>
      <c r="P588" t="e">
        <f>AND(TableRelationships12[[#This Row],[Source Type]]="BIM",TableRelationships12[[#This Row],[Target Type]]="BIM")</f>
        <v>#N/A</v>
      </c>
      <c r="Q588">
        <f t="shared" si="27"/>
        <v>1</v>
      </c>
      <c r="S588">
        <f t="shared" si="28"/>
        <v>1</v>
      </c>
      <c r="T588" s="102" t="str">
        <f>IF(TableRelationships12[[#This Row],[Rank Pedro]]="Low","linkCategory1",IF(TableRelationships12[[#This Row],[Rank Pedro]]="Medium","linkCategory2",IF(TableRelationships12[[#This Row],[Rank Pedro]]="High","linkCategory3","")))</f>
        <v/>
      </c>
      <c r="U588" s="102" t="str">
        <f>IF(TableRelationships12[[#This Row],[Rank Pedro]]="Low","Pink",IF(TableRelationships12[[#This Row],[Rank Pedro]]="Medium","Purple",IF(TableRelationships12[[#This Row],[Rank Pedro]]="High","Brown","")))</f>
        <v/>
      </c>
      <c r="V588" s="4" t="e">
        <f>MAX(INDEX(Standards!$F$2:$F$296,MATCH(B588,Standards!$B$2:$B$296,0)),INDEX(Standards!$F$2:$F$296,MATCH(C588,Standards!$B$2:$B$296,0)))</f>
        <v>#N/A</v>
      </c>
      <c r="W588" t="str">
        <f t="shared" si="29"/>
        <v>#2f89d1</v>
      </c>
    </row>
    <row r="589" spans="1:23" x14ac:dyDescent="0.5">
      <c r="A589" s="54">
        <v>588</v>
      </c>
      <c r="B589" s="90" t="s">
        <v>1042</v>
      </c>
      <c r="C589" t="s">
        <v>1591</v>
      </c>
      <c r="D589" s="1"/>
      <c r="G589" s="107"/>
      <c r="H589">
        <f>INDEX('GIS-Standards'!$A$2:$A$305,MATCH(B589,'GIS-Standards'!$B$2:$B$305,0))</f>
        <v>24</v>
      </c>
      <c r="I589" t="e">
        <f>INDEX('GIS-Standards'!$A$2:$A$305,MATCH(C589,'GIS-Standards'!$B$2:$B$305,0))</f>
        <v>#N/A</v>
      </c>
      <c r="J589" t="str">
        <f>INDEX('GIS-Standards'!$O$2:$O$305,MATCH(B589,'GIS-Standards'!$B$2:$B$305,0))</f>
        <v>ISO/TC 211</v>
      </c>
      <c r="K589" t="e">
        <f>INDEX('GIS-Standards'!$O$2:$O$305,MATCH(C589,'GIS-Standards'!$B$2:$B$305,0))</f>
        <v>#N/A</v>
      </c>
      <c r="M589" t="s">
        <v>525</v>
      </c>
      <c r="N589">
        <f>INDEX('GIS-Standards'!$I$2:$I$305,MATCH(B589,'GIS-Standards'!$B$2:$B$305,0))</f>
        <v>0</v>
      </c>
      <c r="O589" t="e">
        <f>INDEX('GIS-Standards'!$I$2:$I$305,MATCH(C589,'GIS-Standards'!$B$2:$B$305,0))</f>
        <v>#N/A</v>
      </c>
      <c r="P589" t="e">
        <f>AND(TableRelationships12[[#This Row],[Source Type]]="BIM",TableRelationships12[[#This Row],[Target Type]]="BIM")</f>
        <v>#N/A</v>
      </c>
      <c r="Q589">
        <f t="shared" si="27"/>
        <v>1</v>
      </c>
      <c r="S589">
        <f t="shared" si="28"/>
        <v>1</v>
      </c>
      <c r="T589" s="102" t="str">
        <f>IF(TableRelationships12[[#This Row],[Rank Pedro]]="Low","linkCategory1",IF(TableRelationships12[[#This Row],[Rank Pedro]]="Medium","linkCategory2",IF(TableRelationships12[[#This Row],[Rank Pedro]]="High","linkCategory3","")))</f>
        <v/>
      </c>
      <c r="U589" s="102" t="str">
        <f>IF(TableRelationships12[[#This Row],[Rank Pedro]]="Low","Pink",IF(TableRelationships12[[#This Row],[Rank Pedro]]="Medium","Purple",IF(TableRelationships12[[#This Row],[Rank Pedro]]="High","Brown","")))</f>
        <v/>
      </c>
      <c r="V589" s="4" t="e">
        <f>MAX(INDEX(Standards!$F$2:$F$296,MATCH(B589,Standards!$B$2:$B$296,0)),INDEX(Standards!$F$2:$F$296,MATCH(C589,Standards!$B$2:$B$296,0)))</f>
        <v>#N/A</v>
      </c>
      <c r="W589" t="str">
        <f t="shared" si="29"/>
        <v>#2f89d1</v>
      </c>
    </row>
    <row r="590" spans="1:23" x14ac:dyDescent="0.5">
      <c r="A590" s="54">
        <v>589</v>
      </c>
      <c r="B590" s="90" t="s">
        <v>1043</v>
      </c>
      <c r="C590" t="s">
        <v>527</v>
      </c>
      <c r="D590" s="1"/>
      <c r="E590" s="112" t="s">
        <v>934</v>
      </c>
      <c r="F590" s="112" t="s">
        <v>946</v>
      </c>
      <c r="G590" s="121" t="s">
        <v>670</v>
      </c>
      <c r="H590">
        <f>INDEX('GIS-Standards'!$A$2:$A$305,MATCH(B590,'GIS-Standards'!$B$2:$B$305,0))</f>
        <v>25</v>
      </c>
      <c r="I590" t="e">
        <f>INDEX('GIS-Standards'!$A$2:$A$305,MATCH(C590,'GIS-Standards'!$B$2:$B$305,0))</f>
        <v>#N/A</v>
      </c>
      <c r="J590" t="str">
        <f>INDEX('GIS-Standards'!$O$2:$O$305,MATCH(B590,'GIS-Standards'!$B$2:$B$305,0))</f>
        <v>ISO/TC 211</v>
      </c>
      <c r="K590" t="e">
        <f>INDEX('GIS-Standards'!$O$2:$O$305,MATCH(C590,'GIS-Standards'!$B$2:$B$305,0))</f>
        <v>#N/A</v>
      </c>
      <c r="M590" t="s">
        <v>237</v>
      </c>
      <c r="N590">
        <f>INDEX('GIS-Standards'!$I$2:$I$305,MATCH(B590,'GIS-Standards'!$B$2:$B$305,0))</f>
        <v>0</v>
      </c>
      <c r="O590" t="e">
        <f>INDEX('GIS-Standards'!$I$2:$I$305,MATCH(C590,'GIS-Standards'!$B$2:$B$305,0))</f>
        <v>#N/A</v>
      </c>
      <c r="P590" t="e">
        <f>AND(TableRelationships12[[#This Row],[Source Type]]="BIM",TableRelationships12[[#This Row],[Target Type]]="BIM")</f>
        <v>#N/A</v>
      </c>
      <c r="Q590">
        <f t="shared" si="27"/>
        <v>2</v>
      </c>
      <c r="S590">
        <f t="shared" si="28"/>
        <v>1</v>
      </c>
      <c r="T590" s="102" t="str">
        <f>IF(TableRelationships12[[#This Row],[Rank Pedro]]="Low","linkCategory1",IF(TableRelationships12[[#This Row],[Rank Pedro]]="Medium","linkCategory2",IF(TableRelationships12[[#This Row],[Rank Pedro]]="High","linkCategory3","")))</f>
        <v/>
      </c>
      <c r="U590" s="102" t="str">
        <f>IF(TableRelationships12[[#This Row],[Rank Pedro]]="Low","Pink",IF(TableRelationships12[[#This Row],[Rank Pedro]]="Medium","Purple",IF(TableRelationships12[[#This Row],[Rank Pedro]]="High","Brown","")))</f>
        <v/>
      </c>
      <c r="V590" s="4" t="e">
        <f>MAX(INDEX(Standards!$F$2:$F$296,MATCH(B590,Standards!$B$2:$B$296,0)),INDEX(Standards!$F$2:$F$296,MATCH(C590,Standards!$B$2:$B$296,0)))</f>
        <v>#N/A</v>
      </c>
      <c r="W590">
        <f t="shared" si="29"/>
        <v>1</v>
      </c>
    </row>
    <row r="591" spans="1:23" x14ac:dyDescent="0.5">
      <c r="A591" s="54">
        <v>590</v>
      </c>
      <c r="B591" s="90" t="s">
        <v>1043</v>
      </c>
      <c r="C591" t="s">
        <v>296</v>
      </c>
      <c r="D591" s="1"/>
      <c r="E591" s="112">
        <v>2005.07</v>
      </c>
      <c r="F591" s="112">
        <v>2024.09</v>
      </c>
      <c r="G591" s="107" t="s">
        <v>670</v>
      </c>
      <c r="H591">
        <f>INDEX('GIS-Standards'!$A$2:$A$305,MATCH(B591,'GIS-Standards'!$B$2:$B$305,0))</f>
        <v>25</v>
      </c>
      <c r="I591">
        <f>INDEX('GIS-Standards'!$A$2:$A$305,MATCH(C591,'GIS-Standards'!$B$2:$B$305,0))</f>
        <v>12</v>
      </c>
      <c r="J591" t="str">
        <f>INDEX('GIS-Standards'!$O$2:$O$305,MATCH(B591,'GIS-Standards'!$B$2:$B$305,0))</f>
        <v>ISO/TC 211</v>
      </c>
      <c r="K591" t="str">
        <f>INDEX('GIS-Standards'!$O$2:$O$305,MATCH(C591,'GIS-Standards'!$B$2:$B$305,0))</f>
        <v>ISO/TC 211</v>
      </c>
      <c r="M591" t="s">
        <v>524</v>
      </c>
      <c r="N591">
        <f>INDEX('GIS-Standards'!$I$2:$I$305,MATCH(B591,'GIS-Standards'!$B$2:$B$305,0))</f>
        <v>0</v>
      </c>
      <c r="O591">
        <f>INDEX('GIS-Standards'!$I$2:$I$305,MATCH(C591,'GIS-Standards'!$B$2:$B$305,0))</f>
        <v>0</v>
      </c>
      <c r="P591" t="b">
        <f>AND(TableRelationships12[[#This Row],[Source Type]]="BIM",TableRelationships12[[#This Row],[Target Type]]="BIM")</f>
        <v>0</v>
      </c>
      <c r="Q591">
        <f t="shared" si="27"/>
        <v>6</v>
      </c>
      <c r="S591">
        <f t="shared" si="28"/>
        <v>1</v>
      </c>
      <c r="T591" s="102" t="str">
        <f>IF(TableRelationships12[[#This Row],[Rank Pedro]]="Low","linkCategory1",IF(TableRelationships12[[#This Row],[Rank Pedro]]="Medium","linkCategory2",IF(TableRelationships12[[#This Row],[Rank Pedro]]="High","linkCategory3","")))</f>
        <v/>
      </c>
      <c r="U591" s="102" t="str">
        <f>IF(TableRelationships12[[#This Row],[Rank Pedro]]="Low","Pink",IF(TableRelationships12[[#This Row],[Rank Pedro]]="Medium","Purple",IF(TableRelationships12[[#This Row],[Rank Pedro]]="High","Brown","")))</f>
        <v/>
      </c>
      <c r="V591" s="4" t="e">
        <f>MAX(INDEX(Standards!$F$2:$F$296,MATCH(B591,Standards!$B$2:$B$296,0)),INDEX(Standards!$F$2:$F$296,MATCH(C591,Standards!$B$2:$B$296,0)))</f>
        <v>#N/A</v>
      </c>
      <c r="W591" t="str">
        <f t="shared" si="29"/>
        <v>#d6bf2a</v>
      </c>
    </row>
    <row r="592" spans="1:23" x14ac:dyDescent="0.5">
      <c r="A592" s="54">
        <v>591</v>
      </c>
      <c r="B592" s="90" t="s">
        <v>1043</v>
      </c>
      <c r="C592" t="s">
        <v>310</v>
      </c>
      <c r="D592" s="1"/>
      <c r="E592" s="112">
        <v>2003.02</v>
      </c>
      <c r="F592" s="112">
        <v>2023.08</v>
      </c>
      <c r="G592" s="107" t="s">
        <v>670</v>
      </c>
      <c r="H592">
        <f>INDEX('GIS-Standards'!$A$2:$A$305,MATCH(B592,'GIS-Standards'!$B$2:$B$305,0))</f>
        <v>25</v>
      </c>
      <c r="I592">
        <f>INDEX('GIS-Standards'!$A$2:$A$305,MATCH(C592,'GIS-Standards'!$B$2:$B$305,0))</f>
        <v>20</v>
      </c>
      <c r="J592" t="str">
        <f>INDEX('GIS-Standards'!$O$2:$O$305,MATCH(B592,'GIS-Standards'!$B$2:$B$305,0))</f>
        <v>ISO/TC 211</v>
      </c>
      <c r="K592" t="str">
        <f>INDEX('GIS-Standards'!$O$2:$O$305,MATCH(C592,'GIS-Standards'!$B$2:$B$305,0))</f>
        <v>ISO/TC 211</v>
      </c>
      <c r="M592" t="s">
        <v>524</v>
      </c>
      <c r="N592">
        <f>INDEX('GIS-Standards'!$I$2:$I$305,MATCH(B592,'GIS-Standards'!$B$2:$B$305,0))</f>
        <v>0</v>
      </c>
      <c r="O592" t="str">
        <f>INDEX('GIS-Standards'!$I$2:$I$305,MATCH(C592,'GIS-Standards'!$B$2:$B$305,0))</f>
        <v>08.2023</v>
      </c>
      <c r="P592" t="b">
        <f>AND(TableRelationships12[[#This Row],[Source Type]]="BIM",TableRelationships12[[#This Row],[Target Type]]="BIM")</f>
        <v>0</v>
      </c>
      <c r="Q592">
        <f t="shared" si="27"/>
        <v>6</v>
      </c>
      <c r="S592">
        <f t="shared" si="28"/>
        <v>1</v>
      </c>
      <c r="T592" s="102" t="str">
        <f>IF(TableRelationships12[[#This Row],[Rank Pedro]]="Low","linkCategory1",IF(TableRelationships12[[#This Row],[Rank Pedro]]="Medium","linkCategory2",IF(TableRelationships12[[#This Row],[Rank Pedro]]="High","linkCategory3","")))</f>
        <v/>
      </c>
      <c r="U592" s="102" t="str">
        <f>IF(TableRelationships12[[#This Row],[Rank Pedro]]="Low","Pink",IF(TableRelationships12[[#This Row],[Rank Pedro]]="Medium","Purple",IF(TableRelationships12[[#This Row],[Rank Pedro]]="High","Brown","")))</f>
        <v/>
      </c>
      <c r="V592" s="4" t="e">
        <f>MAX(INDEX(Standards!$F$2:$F$296,MATCH(B592,Standards!$B$2:$B$296,0)),INDEX(Standards!$F$2:$F$296,MATCH(C592,Standards!$B$2:$B$296,0)))</f>
        <v>#N/A</v>
      </c>
      <c r="W592" t="str">
        <f t="shared" si="29"/>
        <v>#d6bf2a</v>
      </c>
    </row>
    <row r="593" spans="1:23" x14ac:dyDescent="0.5">
      <c r="A593" s="54">
        <v>592</v>
      </c>
      <c r="B593" s="90" t="s">
        <v>1043</v>
      </c>
      <c r="C593" t="s">
        <v>314</v>
      </c>
      <c r="D593" s="1"/>
      <c r="E593" s="112">
        <v>2003.05</v>
      </c>
      <c r="F593" s="112">
        <v>2020.11</v>
      </c>
      <c r="G593" s="107" t="s">
        <v>670</v>
      </c>
      <c r="H593">
        <f>INDEX('GIS-Standards'!$A$2:$A$305,MATCH(B593,'GIS-Standards'!$B$2:$B$305,0))</f>
        <v>25</v>
      </c>
      <c r="I593">
        <f>INDEX('GIS-Standards'!$A$2:$A$305,MATCH(C593,'GIS-Standards'!$B$2:$B$305,0))</f>
        <v>22</v>
      </c>
      <c r="J593" t="str">
        <f>INDEX('GIS-Standards'!$O$2:$O$305,MATCH(B593,'GIS-Standards'!$B$2:$B$305,0))</f>
        <v>ISO/TC 211</v>
      </c>
      <c r="K593" t="str">
        <f>INDEX('GIS-Standards'!$O$2:$O$305,MATCH(C593,'GIS-Standards'!$B$2:$B$305,0))</f>
        <v>ISO/TC 211</v>
      </c>
      <c r="M593" t="s">
        <v>524</v>
      </c>
      <c r="N593">
        <f>INDEX('GIS-Standards'!$I$2:$I$305,MATCH(B593,'GIS-Standards'!$B$2:$B$305,0))</f>
        <v>0</v>
      </c>
      <c r="O593" t="str">
        <f>INDEX('GIS-Standards'!$I$2:$I$305,MATCH(C593,'GIS-Standards'!$B$2:$B$305,0))</f>
        <v>12.2020</v>
      </c>
      <c r="P593" t="b">
        <f>AND(TableRelationships12[[#This Row],[Source Type]]="BIM",TableRelationships12[[#This Row],[Target Type]]="BIM")</f>
        <v>0</v>
      </c>
      <c r="Q593">
        <f t="shared" si="27"/>
        <v>6</v>
      </c>
      <c r="S593">
        <f t="shared" si="28"/>
        <v>1</v>
      </c>
      <c r="T593" s="102" t="str">
        <f>IF(TableRelationships12[[#This Row],[Rank Pedro]]="Low","linkCategory1",IF(TableRelationships12[[#This Row],[Rank Pedro]]="Medium","linkCategory2",IF(TableRelationships12[[#This Row],[Rank Pedro]]="High","linkCategory3","")))</f>
        <v/>
      </c>
      <c r="U593" s="102" t="str">
        <f>IF(TableRelationships12[[#This Row],[Rank Pedro]]="Low","Pink",IF(TableRelationships12[[#This Row],[Rank Pedro]]="Medium","Purple",IF(TableRelationships12[[#This Row],[Rank Pedro]]="High","Brown","")))</f>
        <v/>
      </c>
      <c r="V593" s="4" t="e">
        <f>MAX(INDEX(Standards!$F$2:$F$296,MATCH(B593,Standards!$B$2:$B$296,0)),INDEX(Standards!$F$2:$F$296,MATCH(C593,Standards!$B$2:$B$296,0)))</f>
        <v>#N/A</v>
      </c>
      <c r="W593" t="str">
        <f t="shared" si="29"/>
        <v>#d6bf2a</v>
      </c>
    </row>
    <row r="594" spans="1:23" x14ac:dyDescent="0.5">
      <c r="A594" s="54">
        <v>593</v>
      </c>
      <c r="B594" s="90" t="s">
        <v>1043</v>
      </c>
      <c r="C594" t="s">
        <v>348</v>
      </c>
      <c r="D594" s="1"/>
      <c r="E594" s="113">
        <v>2013.12</v>
      </c>
      <c r="F594" s="113">
        <v>2023.04</v>
      </c>
      <c r="G594" s="107" t="s">
        <v>670</v>
      </c>
      <c r="H594">
        <f>INDEX('GIS-Standards'!$A$2:$A$305,MATCH(B594,'GIS-Standards'!$B$2:$B$305,0))</f>
        <v>25</v>
      </c>
      <c r="I594">
        <f>INDEX('GIS-Standards'!$A$2:$A$305,MATCH(C594,'GIS-Standards'!$B$2:$B$305,0))</f>
        <v>66</v>
      </c>
      <c r="J594" t="str">
        <f>INDEX('GIS-Standards'!$O$2:$O$305,MATCH(B594,'GIS-Standards'!$B$2:$B$305,0))</f>
        <v>ISO/TC 211</v>
      </c>
      <c r="K594" t="str">
        <f>INDEX('GIS-Standards'!$O$2:$O$305,MATCH(C594,'GIS-Standards'!$B$2:$B$305,0))</f>
        <v>ISO/TC 211</v>
      </c>
      <c r="M594" t="s">
        <v>524</v>
      </c>
      <c r="N594">
        <f>INDEX('GIS-Standards'!$I$2:$I$305,MATCH(B594,'GIS-Standards'!$B$2:$B$305,0))</f>
        <v>0</v>
      </c>
      <c r="O594">
        <f>INDEX('GIS-Standards'!$I$2:$I$305,MATCH(C594,'GIS-Standards'!$B$2:$B$305,0))</f>
        <v>0</v>
      </c>
      <c r="P594" t="b">
        <f>AND(TableRelationships12[[#This Row],[Source Type]]="BIM",TableRelationships12[[#This Row],[Target Type]]="BIM")</f>
        <v>0</v>
      </c>
      <c r="Q594">
        <f t="shared" si="27"/>
        <v>6</v>
      </c>
      <c r="S594">
        <f t="shared" si="28"/>
        <v>1</v>
      </c>
      <c r="T594" s="102" t="str">
        <f>IF(TableRelationships12[[#This Row],[Rank Pedro]]="Low","linkCategory1",IF(TableRelationships12[[#This Row],[Rank Pedro]]="Medium","linkCategory2",IF(TableRelationships12[[#This Row],[Rank Pedro]]="High","linkCategory3","")))</f>
        <v/>
      </c>
      <c r="U594" s="102" t="str">
        <f>IF(TableRelationships12[[#This Row],[Rank Pedro]]="Low","Pink",IF(TableRelationships12[[#This Row],[Rank Pedro]]="Medium","Purple",IF(TableRelationships12[[#This Row],[Rank Pedro]]="High","Brown","")))</f>
        <v/>
      </c>
      <c r="V594" s="4" t="e">
        <f>MAX(INDEX(Standards!$F$2:$F$296,MATCH(B594,Standards!$B$2:$B$296,0)),INDEX(Standards!$F$2:$F$296,MATCH(C594,Standards!$B$2:$B$296,0)))</f>
        <v>#N/A</v>
      </c>
      <c r="W594" t="str">
        <f t="shared" si="29"/>
        <v>#d6bf2a</v>
      </c>
    </row>
    <row r="595" spans="1:23" x14ac:dyDescent="0.5">
      <c r="A595" s="54">
        <v>594</v>
      </c>
      <c r="B595" s="90" t="s">
        <v>1043</v>
      </c>
      <c r="C595" t="s">
        <v>1143</v>
      </c>
      <c r="D595" s="1"/>
      <c r="E595" s="112">
        <v>1993.01</v>
      </c>
      <c r="F595" s="112">
        <v>2011.11</v>
      </c>
      <c r="G595" s="107" t="s">
        <v>1519</v>
      </c>
      <c r="H595">
        <f>INDEX('GIS-Standards'!$A$2:$A$305,MATCH(B595,'GIS-Standards'!$B$2:$B$305,0))</f>
        <v>25</v>
      </c>
      <c r="I595" t="e">
        <f>INDEX('GIS-Standards'!$A$2:$A$305,MATCH(C595,'GIS-Standards'!$B$2:$B$305,0))</f>
        <v>#N/A</v>
      </c>
      <c r="J595" t="str">
        <f>INDEX('GIS-Standards'!$O$2:$O$305,MATCH(B595,'GIS-Standards'!$B$2:$B$305,0))</f>
        <v>ISO/TC 211</v>
      </c>
      <c r="K595" t="e">
        <f>INDEX('GIS-Standards'!$O$2:$O$305,MATCH(C595,'GIS-Standards'!$B$2:$B$305,0))</f>
        <v>#N/A</v>
      </c>
      <c r="M595" t="s">
        <v>525</v>
      </c>
      <c r="N595">
        <f>INDEX('GIS-Standards'!$I$2:$I$305,MATCH(B595,'GIS-Standards'!$B$2:$B$305,0))</f>
        <v>0</v>
      </c>
      <c r="O595" t="e">
        <f>INDEX('GIS-Standards'!$I$2:$I$305,MATCH(C595,'GIS-Standards'!$B$2:$B$305,0))</f>
        <v>#N/A</v>
      </c>
      <c r="P595" t="e">
        <f>AND(TableRelationships12[[#This Row],[Source Type]]="BIM",TableRelationships12[[#This Row],[Target Type]]="BIM")</f>
        <v>#N/A</v>
      </c>
      <c r="Q595">
        <f t="shared" si="27"/>
        <v>1</v>
      </c>
      <c r="S595">
        <f t="shared" si="28"/>
        <v>1</v>
      </c>
      <c r="T595" s="102" t="str">
        <f>IF(TableRelationships12[[#This Row],[Rank Pedro]]="Low","linkCategory1",IF(TableRelationships12[[#This Row],[Rank Pedro]]="Medium","linkCategory2",IF(TableRelationships12[[#This Row],[Rank Pedro]]="High","linkCategory3","")))</f>
        <v/>
      </c>
      <c r="U595" s="102" t="str">
        <f>IF(TableRelationships12[[#This Row],[Rank Pedro]]="Low","Pink",IF(TableRelationships12[[#This Row],[Rank Pedro]]="Medium","Purple",IF(TableRelationships12[[#This Row],[Rank Pedro]]="High","Brown","")))</f>
        <v/>
      </c>
      <c r="V595" s="4" t="e">
        <f>MAX(INDEX(Standards!$F$2:$F$296,MATCH(B595,Standards!$B$2:$B$296,0)),INDEX(Standards!$F$2:$F$296,MATCH(C595,Standards!$B$2:$B$296,0)))</f>
        <v>#N/A</v>
      </c>
      <c r="W595" t="str">
        <f t="shared" si="29"/>
        <v>#2f89d1</v>
      </c>
    </row>
    <row r="596" spans="1:23" x14ac:dyDescent="0.5">
      <c r="A596" s="54">
        <v>595</v>
      </c>
      <c r="B596" s="90" t="s">
        <v>1043</v>
      </c>
      <c r="C596" t="s">
        <v>1137</v>
      </c>
      <c r="D596" s="1" t="s">
        <v>1676</v>
      </c>
      <c r="E596" s="112">
        <v>1993.01</v>
      </c>
      <c r="F596" s="112">
        <v>2010.09</v>
      </c>
      <c r="G596" s="107" t="s">
        <v>1520</v>
      </c>
      <c r="H596">
        <f>INDEX('GIS-Standards'!$A$2:$A$305,MATCH(B596,'GIS-Standards'!$B$2:$B$305,0))</f>
        <v>25</v>
      </c>
      <c r="I596" t="e">
        <f>INDEX('GIS-Standards'!$A$2:$A$305,MATCH(C596,'GIS-Standards'!$B$2:$B$305,0))</f>
        <v>#N/A</v>
      </c>
      <c r="J596" t="str">
        <f>INDEX('GIS-Standards'!$O$2:$O$305,MATCH(B596,'GIS-Standards'!$B$2:$B$305,0))</f>
        <v>ISO/TC 211</v>
      </c>
      <c r="K596" t="e">
        <f>INDEX('GIS-Standards'!$O$2:$O$305,MATCH(C596,'GIS-Standards'!$B$2:$B$305,0))</f>
        <v>#N/A</v>
      </c>
      <c r="M596" t="s">
        <v>525</v>
      </c>
      <c r="N596">
        <f>INDEX('GIS-Standards'!$I$2:$I$305,MATCH(B596,'GIS-Standards'!$B$2:$B$305,0))</f>
        <v>0</v>
      </c>
      <c r="O596" t="e">
        <f>INDEX('GIS-Standards'!$I$2:$I$305,MATCH(C596,'GIS-Standards'!$B$2:$B$305,0))</f>
        <v>#N/A</v>
      </c>
      <c r="P596" t="e">
        <f>AND(TableRelationships12[[#This Row],[Source Type]]="BIM",TableRelationships12[[#This Row],[Target Type]]="BIM")</f>
        <v>#N/A</v>
      </c>
      <c r="Q596">
        <f t="shared" si="27"/>
        <v>1</v>
      </c>
      <c r="S596">
        <f t="shared" si="28"/>
        <v>1</v>
      </c>
      <c r="T596" s="102" t="str">
        <f>IF(TableRelationships12[[#This Row],[Rank Pedro]]="Low","linkCategory1",IF(TableRelationships12[[#This Row],[Rank Pedro]]="Medium","linkCategory2",IF(TableRelationships12[[#This Row],[Rank Pedro]]="High","linkCategory3","")))</f>
        <v/>
      </c>
      <c r="U596" s="102" t="str">
        <f>IF(TableRelationships12[[#This Row],[Rank Pedro]]="Low","Pink",IF(TableRelationships12[[#This Row],[Rank Pedro]]="Medium","Purple",IF(TableRelationships12[[#This Row],[Rank Pedro]]="High","Brown","")))</f>
        <v/>
      </c>
      <c r="V596" s="4" t="e">
        <f>MAX(INDEX(Standards!$F$2:$F$296,MATCH(B596,Standards!$B$2:$B$296,0)),INDEX(Standards!$F$2:$F$296,MATCH(C596,Standards!$B$2:$B$296,0)))</f>
        <v>#N/A</v>
      </c>
      <c r="W596" t="str">
        <f t="shared" si="29"/>
        <v>#2f89d1</v>
      </c>
    </row>
    <row r="597" spans="1:23" x14ac:dyDescent="0.5">
      <c r="A597" s="54">
        <v>596</v>
      </c>
      <c r="B597" s="90" t="s">
        <v>1043</v>
      </c>
      <c r="C597" t="s">
        <v>1144</v>
      </c>
      <c r="D597" s="1"/>
      <c r="E597" s="112">
        <v>1967.12</v>
      </c>
      <c r="F597" s="112">
        <v>2006.09</v>
      </c>
      <c r="G597" s="107" t="s">
        <v>1483</v>
      </c>
      <c r="H597">
        <f>INDEX('GIS-Standards'!$A$2:$A$305,MATCH(B597,'GIS-Standards'!$B$2:$B$305,0))</f>
        <v>25</v>
      </c>
      <c r="I597" t="e">
        <f>INDEX('GIS-Standards'!$A$2:$A$305,MATCH(C597,'GIS-Standards'!$B$2:$B$305,0))</f>
        <v>#N/A</v>
      </c>
      <c r="J597" t="str">
        <f>INDEX('GIS-Standards'!$O$2:$O$305,MATCH(B597,'GIS-Standards'!$B$2:$B$305,0))</f>
        <v>ISO/TC 211</v>
      </c>
      <c r="K597" t="e">
        <f>INDEX('GIS-Standards'!$O$2:$O$305,MATCH(C597,'GIS-Standards'!$B$2:$B$305,0))</f>
        <v>#N/A</v>
      </c>
      <c r="M597" t="s">
        <v>525</v>
      </c>
      <c r="N597">
        <f>INDEX('GIS-Standards'!$I$2:$I$305,MATCH(B597,'GIS-Standards'!$B$2:$B$305,0))</f>
        <v>0</v>
      </c>
      <c r="O597" t="e">
        <f>INDEX('GIS-Standards'!$I$2:$I$305,MATCH(C597,'GIS-Standards'!$B$2:$B$305,0))</f>
        <v>#N/A</v>
      </c>
      <c r="P597" t="e">
        <f>AND(TableRelationships12[[#This Row],[Source Type]]="BIM",TableRelationships12[[#This Row],[Target Type]]="BIM")</f>
        <v>#N/A</v>
      </c>
      <c r="Q597">
        <f t="shared" si="27"/>
        <v>1</v>
      </c>
      <c r="S597">
        <f t="shared" si="28"/>
        <v>1</v>
      </c>
      <c r="T597" s="102" t="str">
        <f>IF(TableRelationships12[[#This Row],[Rank Pedro]]="Low","linkCategory1",IF(TableRelationships12[[#This Row],[Rank Pedro]]="Medium","linkCategory2",IF(TableRelationships12[[#This Row],[Rank Pedro]]="High","linkCategory3","")))</f>
        <v/>
      </c>
      <c r="U597" s="102" t="str">
        <f>IF(TableRelationships12[[#This Row],[Rank Pedro]]="Low","Pink",IF(TableRelationships12[[#This Row],[Rank Pedro]]="Medium","Purple",IF(TableRelationships12[[#This Row],[Rank Pedro]]="High","Brown","")))</f>
        <v/>
      </c>
      <c r="V597" s="4" t="e">
        <f>MAX(INDEX(Standards!$F$2:$F$296,MATCH(B597,Standards!$B$2:$B$296,0)),INDEX(Standards!$F$2:$F$296,MATCH(C597,Standards!$B$2:$B$296,0)))</f>
        <v>#N/A</v>
      </c>
      <c r="W597" t="str">
        <f t="shared" si="29"/>
        <v>#2f89d1</v>
      </c>
    </row>
    <row r="598" spans="1:23" x14ac:dyDescent="0.5">
      <c r="A598" s="54">
        <v>597</v>
      </c>
      <c r="B598" s="90" t="s">
        <v>1043</v>
      </c>
      <c r="C598" t="s">
        <v>1145</v>
      </c>
      <c r="D598" s="1"/>
      <c r="E598" s="112">
        <v>1981.04</v>
      </c>
      <c r="F598" s="112">
        <v>2023.06</v>
      </c>
      <c r="G598" s="107" t="s">
        <v>1486</v>
      </c>
      <c r="H598">
        <f>INDEX('GIS-Standards'!$A$2:$A$305,MATCH(B598,'GIS-Standards'!$B$2:$B$305,0))</f>
        <v>25</v>
      </c>
      <c r="I598" t="e">
        <f>INDEX('GIS-Standards'!$A$2:$A$305,MATCH(C598,'GIS-Standards'!$B$2:$B$305,0))</f>
        <v>#N/A</v>
      </c>
      <c r="J598" t="str">
        <f>INDEX('GIS-Standards'!$O$2:$O$305,MATCH(B598,'GIS-Standards'!$B$2:$B$305,0))</f>
        <v>ISO/TC 211</v>
      </c>
      <c r="K598" t="e">
        <f>INDEX('GIS-Standards'!$O$2:$O$305,MATCH(C598,'GIS-Standards'!$B$2:$B$305,0))</f>
        <v>#N/A</v>
      </c>
      <c r="M598" t="s">
        <v>525</v>
      </c>
      <c r="N598">
        <f>INDEX('GIS-Standards'!$I$2:$I$305,MATCH(B598,'GIS-Standards'!$B$2:$B$305,0))</f>
        <v>0</v>
      </c>
      <c r="O598" t="e">
        <f>INDEX('GIS-Standards'!$I$2:$I$305,MATCH(C598,'GIS-Standards'!$B$2:$B$305,0))</f>
        <v>#N/A</v>
      </c>
      <c r="P598" t="e">
        <f>AND(TableRelationships12[[#This Row],[Source Type]]="BIM",TableRelationships12[[#This Row],[Target Type]]="BIM")</f>
        <v>#N/A</v>
      </c>
      <c r="Q598">
        <f t="shared" si="27"/>
        <v>1</v>
      </c>
      <c r="S598">
        <f t="shared" si="28"/>
        <v>1</v>
      </c>
      <c r="T598" s="102" t="str">
        <f>IF(TableRelationships12[[#This Row],[Rank Pedro]]="Low","linkCategory1",IF(TableRelationships12[[#This Row],[Rank Pedro]]="Medium","linkCategory2",IF(TableRelationships12[[#This Row],[Rank Pedro]]="High","linkCategory3","")))</f>
        <v/>
      </c>
      <c r="U598" s="102" t="str">
        <f>IF(TableRelationships12[[#This Row],[Rank Pedro]]="Low","Pink",IF(TableRelationships12[[#This Row],[Rank Pedro]]="Medium","Purple",IF(TableRelationships12[[#This Row],[Rank Pedro]]="High","Brown","")))</f>
        <v/>
      </c>
      <c r="V598" s="4" t="e">
        <f>MAX(INDEX(Standards!$F$2:$F$296,MATCH(B598,Standards!$B$2:$B$296,0)),INDEX(Standards!$F$2:$F$296,MATCH(C598,Standards!$B$2:$B$296,0)))</f>
        <v>#N/A</v>
      </c>
      <c r="W598" t="str">
        <f t="shared" si="29"/>
        <v>#2f89d1</v>
      </c>
    </row>
    <row r="599" spans="1:23" x14ac:dyDescent="0.5">
      <c r="A599" s="54">
        <v>598</v>
      </c>
      <c r="B599" s="90" t="s">
        <v>1043</v>
      </c>
      <c r="C599" t="s">
        <v>1146</v>
      </c>
      <c r="D599" s="1"/>
      <c r="E599" s="112">
        <v>1983.05</v>
      </c>
      <c r="F599" s="112">
        <v>2022.09</v>
      </c>
      <c r="G599" s="107" t="s">
        <v>670</v>
      </c>
      <c r="H599">
        <f>INDEX('GIS-Standards'!$A$2:$A$305,MATCH(B599,'GIS-Standards'!$B$2:$B$305,0))</f>
        <v>25</v>
      </c>
      <c r="I599" t="e">
        <f>INDEX('GIS-Standards'!$A$2:$A$305,MATCH(C599,'GIS-Standards'!$B$2:$B$305,0))</f>
        <v>#N/A</v>
      </c>
      <c r="J599" t="str">
        <f>INDEX('GIS-Standards'!$O$2:$O$305,MATCH(B599,'GIS-Standards'!$B$2:$B$305,0))</f>
        <v>ISO/TC 211</v>
      </c>
      <c r="K599" t="e">
        <f>INDEX('GIS-Standards'!$O$2:$O$305,MATCH(C599,'GIS-Standards'!$B$2:$B$305,0))</f>
        <v>#N/A</v>
      </c>
      <c r="M599" t="s">
        <v>525</v>
      </c>
      <c r="N599">
        <f>INDEX('GIS-Standards'!$I$2:$I$305,MATCH(B599,'GIS-Standards'!$B$2:$B$305,0))</f>
        <v>0</v>
      </c>
      <c r="O599" t="e">
        <f>INDEX('GIS-Standards'!$I$2:$I$305,MATCH(C599,'GIS-Standards'!$B$2:$B$305,0))</f>
        <v>#N/A</v>
      </c>
      <c r="P599" t="e">
        <f>AND(TableRelationships12[[#This Row],[Source Type]]="BIM",TableRelationships12[[#This Row],[Target Type]]="BIM")</f>
        <v>#N/A</v>
      </c>
      <c r="Q599">
        <f t="shared" si="27"/>
        <v>1</v>
      </c>
      <c r="S599">
        <f t="shared" si="28"/>
        <v>1</v>
      </c>
      <c r="T599" s="102" t="str">
        <f>IF(TableRelationships12[[#This Row],[Rank Pedro]]="Low","linkCategory1",IF(TableRelationships12[[#This Row],[Rank Pedro]]="Medium","linkCategory2",IF(TableRelationships12[[#This Row],[Rank Pedro]]="High","linkCategory3","")))</f>
        <v/>
      </c>
      <c r="U599" s="102" t="str">
        <f>IF(TableRelationships12[[#This Row],[Rank Pedro]]="Low","Pink",IF(TableRelationships12[[#This Row],[Rank Pedro]]="Medium","Purple",IF(TableRelationships12[[#This Row],[Rank Pedro]]="High","Brown","")))</f>
        <v/>
      </c>
      <c r="V599" s="4" t="e">
        <f>MAX(INDEX(Standards!$F$2:$F$296,MATCH(B599,Standards!$B$2:$B$296,0)),INDEX(Standards!$F$2:$F$296,MATCH(C599,Standards!$B$2:$B$296,0)))</f>
        <v>#N/A</v>
      </c>
      <c r="W599" t="str">
        <f t="shared" si="29"/>
        <v>#2f89d1</v>
      </c>
    </row>
    <row r="600" spans="1:23" x14ac:dyDescent="0.5">
      <c r="A600" s="54">
        <v>599</v>
      </c>
      <c r="B600" s="90" t="s">
        <v>1043</v>
      </c>
      <c r="C600" t="s">
        <v>1147</v>
      </c>
      <c r="D600" s="1"/>
      <c r="E600" s="112">
        <v>2015.08</v>
      </c>
      <c r="F600" s="112">
        <v>2015.08</v>
      </c>
      <c r="G600" s="107" t="s">
        <v>1502</v>
      </c>
      <c r="H600">
        <f>INDEX('GIS-Standards'!$A$2:$A$305,MATCH(B600,'GIS-Standards'!$B$2:$B$305,0))</f>
        <v>25</v>
      </c>
      <c r="I600" t="e">
        <f>INDEX('GIS-Standards'!$A$2:$A$305,MATCH(C600,'GIS-Standards'!$B$2:$B$305,0))</f>
        <v>#N/A</v>
      </c>
      <c r="J600" t="str">
        <f>INDEX('GIS-Standards'!$O$2:$O$305,MATCH(B600,'GIS-Standards'!$B$2:$B$305,0))</f>
        <v>ISO/TC 211</v>
      </c>
      <c r="K600" t="e">
        <f>INDEX('GIS-Standards'!$O$2:$O$305,MATCH(C600,'GIS-Standards'!$B$2:$B$305,0))</f>
        <v>#N/A</v>
      </c>
      <c r="M600" t="s">
        <v>525</v>
      </c>
      <c r="N600">
        <f>INDEX('GIS-Standards'!$I$2:$I$305,MATCH(B600,'GIS-Standards'!$B$2:$B$305,0))</f>
        <v>0</v>
      </c>
      <c r="O600" t="e">
        <f>INDEX('GIS-Standards'!$I$2:$I$305,MATCH(C600,'GIS-Standards'!$B$2:$B$305,0))</f>
        <v>#N/A</v>
      </c>
      <c r="P600" t="e">
        <f>AND(TableRelationships12[[#This Row],[Source Type]]="BIM",TableRelationships12[[#This Row],[Target Type]]="BIM")</f>
        <v>#N/A</v>
      </c>
      <c r="Q600">
        <f t="shared" si="27"/>
        <v>1</v>
      </c>
      <c r="S600">
        <f t="shared" si="28"/>
        <v>1</v>
      </c>
      <c r="T600" s="102" t="str">
        <f>IF(TableRelationships12[[#This Row],[Rank Pedro]]="Low","linkCategory1",IF(TableRelationships12[[#This Row],[Rank Pedro]]="Medium","linkCategory2",IF(TableRelationships12[[#This Row],[Rank Pedro]]="High","linkCategory3","")))</f>
        <v/>
      </c>
      <c r="U600" s="102" t="str">
        <f>IF(TableRelationships12[[#This Row],[Rank Pedro]]="Low","Pink",IF(TableRelationships12[[#This Row],[Rank Pedro]]="Medium","Purple",IF(TableRelationships12[[#This Row],[Rank Pedro]]="High","Brown","")))</f>
        <v/>
      </c>
      <c r="V600" s="4" t="e">
        <f>MAX(INDEX(Standards!$F$2:$F$296,MATCH(B600,Standards!$B$2:$B$296,0)),INDEX(Standards!$F$2:$F$296,MATCH(C600,Standards!$B$2:$B$296,0)))</f>
        <v>#N/A</v>
      </c>
      <c r="W600" t="str">
        <f t="shared" si="29"/>
        <v>#2f89d1</v>
      </c>
    </row>
    <row r="601" spans="1:23" x14ac:dyDescent="0.5">
      <c r="A601" s="54">
        <v>600</v>
      </c>
      <c r="B601" s="90" t="s">
        <v>1043</v>
      </c>
      <c r="C601" t="s">
        <v>293</v>
      </c>
      <c r="D601" s="1"/>
      <c r="E601" s="112">
        <v>2002.07</v>
      </c>
      <c r="F601" s="112">
        <v>2014.11</v>
      </c>
      <c r="G601" s="107" t="s">
        <v>670</v>
      </c>
      <c r="H601">
        <f>INDEX('GIS-Standards'!$A$2:$A$305,MATCH(B601,'GIS-Standards'!$B$2:$B$305,0))</f>
        <v>25</v>
      </c>
      <c r="I601">
        <f>INDEX('GIS-Standards'!$A$2:$A$305,MATCH(C601,'GIS-Standards'!$B$2:$B$305,0))</f>
        <v>10</v>
      </c>
      <c r="J601" t="str">
        <f>INDEX('GIS-Standards'!$O$2:$O$305,MATCH(B601,'GIS-Standards'!$B$2:$B$305,0))</f>
        <v>ISO/TC 211</v>
      </c>
      <c r="K601" t="str">
        <f>INDEX('GIS-Standards'!$O$2:$O$305,MATCH(C601,'GIS-Standards'!$B$2:$B$305,0))</f>
        <v>ISO/TC 211</v>
      </c>
      <c r="M601" t="s">
        <v>525</v>
      </c>
      <c r="N601">
        <f>INDEX('GIS-Standards'!$I$2:$I$305,MATCH(B601,'GIS-Standards'!$B$2:$B$305,0))</f>
        <v>0</v>
      </c>
      <c r="O601">
        <f>INDEX('GIS-Standards'!$I$2:$I$305,MATCH(C601,'GIS-Standards'!$B$2:$B$305,0))</f>
        <v>0</v>
      </c>
      <c r="P601" t="b">
        <f>AND(TableRelationships12[[#This Row],[Source Type]]="BIM",TableRelationships12[[#This Row],[Target Type]]="BIM")</f>
        <v>0</v>
      </c>
      <c r="Q601">
        <f t="shared" si="27"/>
        <v>1</v>
      </c>
      <c r="S601">
        <f t="shared" si="28"/>
        <v>1</v>
      </c>
      <c r="T601" s="102" t="str">
        <f>IF(TableRelationships12[[#This Row],[Rank Pedro]]="Low","linkCategory1",IF(TableRelationships12[[#This Row],[Rank Pedro]]="Medium","linkCategory2",IF(TableRelationships12[[#This Row],[Rank Pedro]]="High","linkCategory3","")))</f>
        <v/>
      </c>
      <c r="U601" s="102" t="str">
        <f>IF(TableRelationships12[[#This Row],[Rank Pedro]]="Low","Pink",IF(TableRelationships12[[#This Row],[Rank Pedro]]="Medium","Purple",IF(TableRelationships12[[#This Row],[Rank Pedro]]="High","Brown","")))</f>
        <v/>
      </c>
      <c r="V601" s="4" t="e">
        <f>MAX(INDEX(Standards!$F$2:$F$296,MATCH(B601,Standards!$B$2:$B$296,0)),INDEX(Standards!$F$2:$F$296,MATCH(C601,Standards!$B$2:$B$296,0)))</f>
        <v>#N/A</v>
      </c>
      <c r="W601" t="str">
        <f t="shared" si="29"/>
        <v>#2f89d1</v>
      </c>
    </row>
    <row r="602" spans="1:23" x14ac:dyDescent="0.5">
      <c r="A602" s="54">
        <v>601</v>
      </c>
      <c r="B602" s="90" t="s">
        <v>1043</v>
      </c>
      <c r="C602" t="s">
        <v>304</v>
      </c>
      <c r="D602" s="1"/>
      <c r="E602" s="112">
        <v>2002.09</v>
      </c>
      <c r="F602" s="112">
        <v>2006.1</v>
      </c>
      <c r="G602" s="107" t="s">
        <v>670</v>
      </c>
      <c r="H602">
        <f>INDEX('GIS-Standards'!$A$2:$A$305,MATCH(B602,'GIS-Standards'!$B$2:$B$305,0))</f>
        <v>25</v>
      </c>
      <c r="I602">
        <f>INDEX('GIS-Standards'!$A$2:$A$305,MATCH(C602,'GIS-Standards'!$B$2:$B$305,0))</f>
        <v>17</v>
      </c>
      <c r="J602" t="str">
        <f>INDEX('GIS-Standards'!$O$2:$O$305,MATCH(B602,'GIS-Standards'!$B$2:$B$305,0))</f>
        <v>ISO/TC 211</v>
      </c>
      <c r="K602" t="str">
        <f>INDEX('GIS-Standards'!$O$2:$O$305,MATCH(C602,'GIS-Standards'!$B$2:$B$305,0))</f>
        <v>ISO/TC 211</v>
      </c>
      <c r="M602" t="s">
        <v>525</v>
      </c>
      <c r="N602">
        <f>INDEX('GIS-Standards'!$I$2:$I$305,MATCH(B602,'GIS-Standards'!$B$2:$B$305,0))</f>
        <v>0</v>
      </c>
      <c r="O602" t="str">
        <f>INDEX('GIS-Standards'!$I$2:$I$305,MATCH(C602,'GIS-Standards'!$B$2:$B$305,0))</f>
        <v>06.2008</v>
      </c>
      <c r="P602" t="b">
        <f>AND(TableRelationships12[[#This Row],[Source Type]]="BIM",TableRelationships12[[#This Row],[Target Type]]="BIM")</f>
        <v>0</v>
      </c>
      <c r="Q602">
        <f t="shared" si="27"/>
        <v>1</v>
      </c>
      <c r="S602">
        <f t="shared" si="28"/>
        <v>1</v>
      </c>
      <c r="T602" s="102" t="str">
        <f>IF(TableRelationships12[[#This Row],[Rank Pedro]]="Low","linkCategory1",IF(TableRelationships12[[#This Row],[Rank Pedro]]="Medium","linkCategory2",IF(TableRelationships12[[#This Row],[Rank Pedro]]="High","linkCategory3","")))</f>
        <v/>
      </c>
      <c r="U602" s="102" t="str">
        <f>IF(TableRelationships12[[#This Row],[Rank Pedro]]="Low","Pink",IF(TableRelationships12[[#This Row],[Rank Pedro]]="Medium","Purple",IF(TableRelationships12[[#This Row],[Rank Pedro]]="High","Brown","")))</f>
        <v/>
      </c>
      <c r="V602" s="4" t="e">
        <f>MAX(INDEX(Standards!$F$2:$F$296,MATCH(B602,Standards!$B$2:$B$296,0)),INDEX(Standards!$F$2:$F$296,MATCH(C602,Standards!$B$2:$B$296,0)))</f>
        <v>#N/A</v>
      </c>
      <c r="W602" t="str">
        <f t="shared" si="29"/>
        <v>#2f89d1</v>
      </c>
    </row>
    <row r="603" spans="1:23" x14ac:dyDescent="0.5">
      <c r="A603" s="54">
        <v>602</v>
      </c>
      <c r="B603" s="90" t="s">
        <v>1043</v>
      </c>
      <c r="C603" t="s">
        <v>318</v>
      </c>
      <c r="D603" s="1"/>
      <c r="E603" s="112">
        <v>2005.02</v>
      </c>
      <c r="F603" s="112">
        <v>2016.01</v>
      </c>
      <c r="G603" s="107" t="s">
        <v>670</v>
      </c>
      <c r="H603">
        <f>INDEX('GIS-Standards'!$A$2:$A$305,MATCH(B603,'GIS-Standards'!$B$2:$B$305,0))</f>
        <v>25</v>
      </c>
      <c r="I603">
        <f>INDEX('GIS-Standards'!$A$2:$A$305,MATCH(C603,'GIS-Standards'!$B$2:$B$305,0))</f>
        <v>28</v>
      </c>
      <c r="J603" t="str">
        <f>INDEX('GIS-Standards'!$O$2:$O$305,MATCH(B603,'GIS-Standards'!$B$2:$B$305,0))</f>
        <v>ISO/TC 211</v>
      </c>
      <c r="K603" t="str">
        <f>INDEX('GIS-Standards'!$O$2:$O$305,MATCH(C603,'GIS-Standards'!$B$2:$B$305,0))</f>
        <v>ISO/TC 211</v>
      </c>
      <c r="M603" t="s">
        <v>525</v>
      </c>
      <c r="N603">
        <f>INDEX('GIS-Standards'!$I$2:$I$305,MATCH(B603,'GIS-Standards'!$B$2:$B$305,0))</f>
        <v>0</v>
      </c>
      <c r="O603">
        <f>INDEX('GIS-Standards'!$I$2:$I$305,MATCH(C603,'GIS-Standards'!$B$2:$B$305,0))</f>
        <v>0</v>
      </c>
      <c r="P603" t="b">
        <f>AND(TableRelationships12[[#This Row],[Source Type]]="BIM",TableRelationships12[[#This Row],[Target Type]]="BIM")</f>
        <v>0</v>
      </c>
      <c r="Q603">
        <f t="shared" si="27"/>
        <v>1</v>
      </c>
      <c r="S603">
        <f t="shared" si="28"/>
        <v>1</v>
      </c>
      <c r="T603" s="102" t="str">
        <f>IF(TableRelationships12[[#This Row],[Rank Pedro]]="Low","linkCategory1",IF(TableRelationships12[[#This Row],[Rank Pedro]]="Medium","linkCategory2",IF(TableRelationships12[[#This Row],[Rank Pedro]]="High","linkCategory3","")))</f>
        <v/>
      </c>
      <c r="U603" s="102" t="str">
        <f>IF(TableRelationships12[[#This Row],[Rank Pedro]]="Low","Pink",IF(TableRelationships12[[#This Row],[Rank Pedro]]="Medium","Purple",IF(TableRelationships12[[#This Row],[Rank Pedro]]="High","Brown","")))</f>
        <v/>
      </c>
      <c r="V603" s="4" t="e">
        <f>MAX(INDEX(Standards!$F$2:$F$296,MATCH(B603,Standards!$B$2:$B$296,0)),INDEX(Standards!$F$2:$F$296,MATCH(C603,Standards!$B$2:$B$296,0)))</f>
        <v>#N/A</v>
      </c>
      <c r="W603" t="str">
        <f t="shared" si="29"/>
        <v>#2f89d1</v>
      </c>
    </row>
    <row r="604" spans="1:23" x14ac:dyDescent="0.5">
      <c r="A604" s="54">
        <v>603</v>
      </c>
      <c r="B604" s="90" t="s">
        <v>1043</v>
      </c>
      <c r="C604" t="s">
        <v>659</v>
      </c>
      <c r="D604" s="1"/>
      <c r="E604" s="112">
        <v>2016.04</v>
      </c>
      <c r="F604" s="112">
        <v>2016.04</v>
      </c>
      <c r="G604" s="107" t="s">
        <v>670</v>
      </c>
      <c r="H604">
        <f>INDEX('GIS-Standards'!$A$2:$A$305,MATCH(B604,'GIS-Standards'!$B$2:$B$305,0))</f>
        <v>25</v>
      </c>
      <c r="I604">
        <f>INDEX('GIS-Standards'!$A$2:$A$305,MATCH(C604,'GIS-Standards'!$B$2:$B$305,0))</f>
        <v>108</v>
      </c>
      <c r="J604" t="str">
        <f>INDEX('GIS-Standards'!$O$2:$O$305,MATCH(B604,'GIS-Standards'!$B$2:$B$305,0))</f>
        <v>ISO/TC 211</v>
      </c>
      <c r="K604" t="str">
        <f>INDEX('GIS-Standards'!$O$2:$O$305,MATCH(C604,'GIS-Standards'!$B$2:$B$305,0))</f>
        <v>ISO/TC 211</v>
      </c>
      <c r="M604" t="s">
        <v>525</v>
      </c>
      <c r="N604">
        <f>INDEX('GIS-Standards'!$I$2:$I$305,MATCH(B604,'GIS-Standards'!$B$2:$B$305,0))</f>
        <v>0</v>
      </c>
      <c r="O604">
        <f>INDEX('GIS-Standards'!$I$2:$I$305,MATCH(C604,'GIS-Standards'!$B$2:$B$305,0))</f>
        <v>0</v>
      </c>
      <c r="P604" t="b">
        <f>AND(TableRelationships12[[#This Row],[Source Type]]="BIM",TableRelationships12[[#This Row],[Target Type]]="BIM")</f>
        <v>0</v>
      </c>
      <c r="Q604">
        <f t="shared" si="27"/>
        <v>1</v>
      </c>
      <c r="S604">
        <f t="shared" si="28"/>
        <v>1</v>
      </c>
      <c r="T604" s="102" t="str">
        <f>IF(TableRelationships12[[#This Row],[Rank Pedro]]="Low","linkCategory1",IF(TableRelationships12[[#This Row],[Rank Pedro]]="Medium","linkCategory2",IF(TableRelationships12[[#This Row],[Rank Pedro]]="High","linkCategory3","")))</f>
        <v/>
      </c>
      <c r="U604" s="102" t="str">
        <f>IF(TableRelationships12[[#This Row],[Rank Pedro]]="Low","Pink",IF(TableRelationships12[[#This Row],[Rank Pedro]]="Medium","Purple",IF(TableRelationships12[[#This Row],[Rank Pedro]]="High","Brown","")))</f>
        <v/>
      </c>
      <c r="V604" s="4" t="e">
        <f>MAX(INDEX(Standards!$F$2:$F$296,MATCH(B604,Standards!$B$2:$B$296,0)),INDEX(Standards!$F$2:$F$296,MATCH(C604,Standards!$B$2:$B$296,0)))</f>
        <v>#N/A</v>
      </c>
      <c r="W604" t="str">
        <f t="shared" si="29"/>
        <v>#2f89d1</v>
      </c>
    </row>
    <row r="605" spans="1:23" x14ac:dyDescent="0.5">
      <c r="A605" s="54">
        <v>604</v>
      </c>
      <c r="B605" s="90" t="s">
        <v>1044</v>
      </c>
      <c r="C605" t="s">
        <v>527</v>
      </c>
      <c r="D605" s="1"/>
      <c r="E605" s="112" t="s">
        <v>937</v>
      </c>
      <c r="F605" s="112" t="s">
        <v>947</v>
      </c>
      <c r="G605" s="121" t="s">
        <v>670</v>
      </c>
      <c r="H605">
        <f>INDEX('GIS-Standards'!$A$2:$A$305,MATCH(B605,'GIS-Standards'!$B$2:$B$305,0))</f>
        <v>26</v>
      </c>
      <c r="I605" t="e">
        <f>INDEX('GIS-Standards'!$A$2:$A$305,MATCH(C605,'GIS-Standards'!$B$2:$B$305,0))</f>
        <v>#N/A</v>
      </c>
      <c r="J605" t="str">
        <f>INDEX('GIS-Standards'!$O$2:$O$305,MATCH(B605,'GIS-Standards'!$B$2:$B$305,0))</f>
        <v>ISO/TC 211</v>
      </c>
      <c r="K605" t="e">
        <f>INDEX('GIS-Standards'!$O$2:$O$305,MATCH(C605,'GIS-Standards'!$B$2:$B$305,0))</f>
        <v>#N/A</v>
      </c>
      <c r="M605" t="s">
        <v>237</v>
      </c>
      <c r="N605">
        <f>INDEX('GIS-Standards'!$I$2:$I$305,MATCH(B605,'GIS-Standards'!$B$2:$B$305,0))</f>
        <v>0</v>
      </c>
      <c r="O605" t="e">
        <f>INDEX('GIS-Standards'!$I$2:$I$305,MATCH(C605,'GIS-Standards'!$B$2:$B$305,0))</f>
        <v>#N/A</v>
      </c>
      <c r="P605" t="e">
        <f>AND(TableRelationships12[[#This Row],[Source Type]]="BIM",TableRelationships12[[#This Row],[Target Type]]="BIM")</f>
        <v>#N/A</v>
      </c>
      <c r="Q605">
        <f t="shared" si="27"/>
        <v>2</v>
      </c>
      <c r="S605">
        <f t="shared" si="28"/>
        <v>1</v>
      </c>
      <c r="T605" s="102" t="str">
        <f>IF(TableRelationships12[[#This Row],[Rank Pedro]]="Low","linkCategory1",IF(TableRelationships12[[#This Row],[Rank Pedro]]="Medium","linkCategory2",IF(TableRelationships12[[#This Row],[Rank Pedro]]="High","linkCategory3","")))</f>
        <v/>
      </c>
      <c r="U605" s="102" t="str">
        <f>IF(TableRelationships12[[#This Row],[Rank Pedro]]="Low","Pink",IF(TableRelationships12[[#This Row],[Rank Pedro]]="Medium","Purple",IF(TableRelationships12[[#This Row],[Rank Pedro]]="High","Brown","")))</f>
        <v/>
      </c>
      <c r="V605" s="4" t="e">
        <f>MAX(INDEX(Standards!$F$2:$F$296,MATCH(B605,Standards!$B$2:$B$296,0)),INDEX(Standards!$F$2:$F$296,MATCH(C605,Standards!$B$2:$B$296,0)))</f>
        <v>#N/A</v>
      </c>
      <c r="W605">
        <f t="shared" si="29"/>
        <v>1</v>
      </c>
    </row>
    <row r="606" spans="1:23" x14ac:dyDescent="0.5">
      <c r="A606" s="54">
        <v>605</v>
      </c>
      <c r="B606" s="90" t="s">
        <v>1044</v>
      </c>
      <c r="C606" t="s">
        <v>296</v>
      </c>
      <c r="D606" s="1"/>
      <c r="E606" s="112">
        <v>2005.07</v>
      </c>
      <c r="F606" s="112">
        <v>2024.09</v>
      </c>
      <c r="G606" s="107" t="s">
        <v>670</v>
      </c>
      <c r="H606">
        <f>INDEX('GIS-Standards'!$A$2:$A$305,MATCH(B606,'GIS-Standards'!$B$2:$B$305,0))</f>
        <v>26</v>
      </c>
      <c r="I606">
        <f>INDEX('GIS-Standards'!$A$2:$A$305,MATCH(C606,'GIS-Standards'!$B$2:$B$305,0))</f>
        <v>12</v>
      </c>
      <c r="J606" t="str">
        <f>INDEX('GIS-Standards'!$O$2:$O$305,MATCH(B606,'GIS-Standards'!$B$2:$B$305,0))</f>
        <v>ISO/TC 211</v>
      </c>
      <c r="K606" t="str">
        <f>INDEX('GIS-Standards'!$O$2:$O$305,MATCH(C606,'GIS-Standards'!$B$2:$B$305,0))</f>
        <v>ISO/TC 211</v>
      </c>
      <c r="M606" t="s">
        <v>524</v>
      </c>
      <c r="N606">
        <f>INDEX('GIS-Standards'!$I$2:$I$305,MATCH(B606,'GIS-Standards'!$B$2:$B$305,0))</f>
        <v>0</v>
      </c>
      <c r="O606">
        <f>INDEX('GIS-Standards'!$I$2:$I$305,MATCH(C606,'GIS-Standards'!$B$2:$B$305,0))</f>
        <v>0</v>
      </c>
      <c r="P606" t="b">
        <f>AND(TableRelationships12[[#This Row],[Source Type]]="BIM",TableRelationships12[[#This Row],[Target Type]]="BIM")</f>
        <v>0</v>
      </c>
      <c r="Q606">
        <f t="shared" si="27"/>
        <v>6</v>
      </c>
      <c r="S606">
        <f t="shared" si="28"/>
        <v>1</v>
      </c>
      <c r="T606" s="102" t="str">
        <f>IF(TableRelationships12[[#This Row],[Rank Pedro]]="Low","linkCategory1",IF(TableRelationships12[[#This Row],[Rank Pedro]]="Medium","linkCategory2",IF(TableRelationships12[[#This Row],[Rank Pedro]]="High","linkCategory3","")))</f>
        <v/>
      </c>
      <c r="U606" s="102" t="str">
        <f>IF(TableRelationships12[[#This Row],[Rank Pedro]]="Low","Pink",IF(TableRelationships12[[#This Row],[Rank Pedro]]="Medium","Purple",IF(TableRelationships12[[#This Row],[Rank Pedro]]="High","Brown","")))</f>
        <v/>
      </c>
      <c r="V606" s="4" t="e">
        <f>MAX(INDEX(Standards!$F$2:$F$296,MATCH(B606,Standards!$B$2:$B$296,0)),INDEX(Standards!$F$2:$F$296,MATCH(C606,Standards!$B$2:$B$296,0)))</f>
        <v>#N/A</v>
      </c>
      <c r="W606" t="str">
        <f t="shared" si="29"/>
        <v>#d6bf2a</v>
      </c>
    </row>
    <row r="607" spans="1:23" x14ac:dyDescent="0.5">
      <c r="A607" s="54">
        <v>606</v>
      </c>
      <c r="B607" s="90" t="s">
        <v>1044</v>
      </c>
      <c r="C607" t="s">
        <v>302</v>
      </c>
      <c r="D607" s="1"/>
      <c r="E607" s="112">
        <v>2003.05</v>
      </c>
      <c r="F607" s="112">
        <v>2019.12</v>
      </c>
      <c r="G607" s="107" t="s">
        <v>670</v>
      </c>
      <c r="H607">
        <f>INDEX('GIS-Standards'!$A$2:$A$305,MATCH(B607,'GIS-Standards'!$B$2:$B$305,0))</f>
        <v>26</v>
      </c>
      <c r="I607">
        <f>INDEX('GIS-Standards'!$A$2:$A$305,MATCH(C607,'GIS-Standards'!$B$2:$B$305,0))</f>
        <v>16</v>
      </c>
      <c r="J607" t="str">
        <f>INDEX('GIS-Standards'!$O$2:$O$305,MATCH(B607,'GIS-Standards'!$B$2:$B$305,0))</f>
        <v>ISO/TC 211</v>
      </c>
      <c r="K607" t="str">
        <f>INDEX('GIS-Standards'!$O$2:$O$305,MATCH(C607,'GIS-Standards'!$B$2:$B$305,0))</f>
        <v>ISO/TC 211</v>
      </c>
      <c r="M607" t="s">
        <v>524</v>
      </c>
      <c r="N607">
        <f>INDEX('GIS-Standards'!$I$2:$I$305,MATCH(B607,'GIS-Standards'!$B$2:$B$305,0))</f>
        <v>0</v>
      </c>
      <c r="O607">
        <f>INDEX('GIS-Standards'!$I$2:$I$305,MATCH(C607,'GIS-Standards'!$B$2:$B$305,0))</f>
        <v>0</v>
      </c>
      <c r="P607" t="b">
        <f>AND(TableRelationships12[[#This Row],[Source Type]]="BIM",TableRelationships12[[#This Row],[Target Type]]="BIM")</f>
        <v>0</v>
      </c>
      <c r="Q607">
        <f t="shared" si="27"/>
        <v>6</v>
      </c>
      <c r="S607">
        <f t="shared" si="28"/>
        <v>1</v>
      </c>
      <c r="T607" s="102" t="str">
        <f>IF(TableRelationships12[[#This Row],[Rank Pedro]]="Low","linkCategory1",IF(TableRelationships12[[#This Row],[Rank Pedro]]="Medium","linkCategory2",IF(TableRelationships12[[#This Row],[Rank Pedro]]="High","linkCategory3","")))</f>
        <v/>
      </c>
      <c r="U607" s="102" t="str">
        <f>IF(TableRelationships12[[#This Row],[Rank Pedro]]="Low","Pink",IF(TableRelationships12[[#This Row],[Rank Pedro]]="Medium","Purple",IF(TableRelationships12[[#This Row],[Rank Pedro]]="High","Brown","")))</f>
        <v/>
      </c>
      <c r="V607" s="4" t="e">
        <f>MAX(INDEX(Standards!$F$2:$F$296,MATCH(B607,Standards!$B$2:$B$296,0)),INDEX(Standards!$F$2:$F$296,MATCH(C607,Standards!$B$2:$B$296,0)))</f>
        <v>#N/A</v>
      </c>
      <c r="W607" t="str">
        <f t="shared" si="29"/>
        <v>#d6bf2a</v>
      </c>
    </row>
    <row r="608" spans="1:23" x14ac:dyDescent="0.5">
      <c r="A608" s="54">
        <v>607</v>
      </c>
      <c r="B608" s="90" t="s">
        <v>1044</v>
      </c>
      <c r="C608" t="s">
        <v>306</v>
      </c>
      <c r="D608" s="1"/>
      <c r="E608" s="112">
        <v>2005.06</v>
      </c>
      <c r="F608" s="112">
        <v>2025.07</v>
      </c>
      <c r="G608" s="107" t="s">
        <v>670</v>
      </c>
      <c r="H608">
        <f>INDEX('GIS-Standards'!$A$2:$A$305,MATCH(B608,'GIS-Standards'!$B$2:$B$305,0))</f>
        <v>26</v>
      </c>
      <c r="I608">
        <f>INDEX('GIS-Standards'!$A$2:$A$305,MATCH(C608,'GIS-Standards'!$B$2:$B$305,0))</f>
        <v>18</v>
      </c>
      <c r="J608" t="str">
        <f>INDEX('GIS-Standards'!$O$2:$O$305,MATCH(B608,'GIS-Standards'!$B$2:$B$305,0))</f>
        <v>ISO/TC 211</v>
      </c>
      <c r="K608" t="str">
        <f>INDEX('GIS-Standards'!$O$2:$O$305,MATCH(C608,'GIS-Standards'!$B$2:$B$305,0))</f>
        <v>ISO/TC 211</v>
      </c>
      <c r="M608" t="s">
        <v>524</v>
      </c>
      <c r="N608">
        <f>INDEX('GIS-Standards'!$I$2:$I$305,MATCH(B608,'GIS-Standards'!$B$2:$B$305,0))</f>
        <v>0</v>
      </c>
      <c r="O608">
        <f>INDEX('GIS-Standards'!$I$2:$I$305,MATCH(C608,'GIS-Standards'!$B$2:$B$305,0))</f>
        <v>0</v>
      </c>
      <c r="P608" t="b">
        <f>AND(TableRelationships12[[#This Row],[Source Type]]="BIM",TableRelationships12[[#This Row],[Target Type]]="BIM")</f>
        <v>0</v>
      </c>
      <c r="Q608">
        <f t="shared" si="27"/>
        <v>6</v>
      </c>
      <c r="S608">
        <f t="shared" si="28"/>
        <v>1</v>
      </c>
      <c r="T608" s="102" t="str">
        <f>IF(TableRelationships12[[#This Row],[Rank Pedro]]="Low","linkCategory1",IF(TableRelationships12[[#This Row],[Rank Pedro]]="Medium","linkCategory2",IF(TableRelationships12[[#This Row],[Rank Pedro]]="High","linkCategory3","")))</f>
        <v/>
      </c>
      <c r="U608" s="102" t="str">
        <f>IF(TableRelationships12[[#This Row],[Rank Pedro]]="Low","Pink",IF(TableRelationships12[[#This Row],[Rank Pedro]]="Medium","Purple",IF(TableRelationships12[[#This Row],[Rank Pedro]]="High","Brown","")))</f>
        <v/>
      </c>
      <c r="V608" s="4" t="e">
        <f>MAX(INDEX(Standards!$F$2:$F$296,MATCH(B608,Standards!$B$2:$B$296,0)),INDEX(Standards!$F$2:$F$296,MATCH(C608,Standards!$B$2:$B$296,0)))</f>
        <v>#N/A</v>
      </c>
      <c r="W608" t="str">
        <f t="shared" si="29"/>
        <v>#d6bf2a</v>
      </c>
    </row>
    <row r="609" spans="1:23" x14ac:dyDescent="0.5">
      <c r="A609" s="54">
        <v>608</v>
      </c>
      <c r="B609" s="90" t="s">
        <v>1044</v>
      </c>
      <c r="C609" t="s">
        <v>308</v>
      </c>
      <c r="D609" s="1"/>
      <c r="E609" s="112">
        <v>2005.02</v>
      </c>
      <c r="F609" s="112">
        <v>2016.12</v>
      </c>
      <c r="G609" s="107" t="s">
        <v>670</v>
      </c>
      <c r="H609">
        <f>INDEX('GIS-Standards'!$A$2:$A$305,MATCH(B609,'GIS-Standards'!$B$2:$B$305,0))</f>
        <v>26</v>
      </c>
      <c r="I609">
        <f>INDEX('GIS-Standards'!$A$2:$A$305,MATCH(C609,'GIS-Standards'!$B$2:$B$305,0))</f>
        <v>19</v>
      </c>
      <c r="J609" t="str">
        <f>INDEX('GIS-Standards'!$O$2:$O$305,MATCH(B609,'GIS-Standards'!$B$2:$B$305,0))</f>
        <v>ISO/TC 211</v>
      </c>
      <c r="K609" t="str">
        <f>INDEX('GIS-Standards'!$O$2:$O$305,MATCH(C609,'GIS-Standards'!$B$2:$B$305,0))</f>
        <v>ISO/TC 211</v>
      </c>
      <c r="M609" t="s">
        <v>524</v>
      </c>
      <c r="N609">
        <f>INDEX('GIS-Standards'!$I$2:$I$305,MATCH(B609,'GIS-Standards'!$B$2:$B$305,0))</f>
        <v>0</v>
      </c>
      <c r="O609">
        <f>INDEX('GIS-Standards'!$I$2:$I$305,MATCH(C609,'GIS-Standards'!$B$2:$B$305,0))</f>
        <v>0</v>
      </c>
      <c r="P609" t="b">
        <f>AND(TableRelationships12[[#This Row],[Source Type]]="BIM",TableRelationships12[[#This Row],[Target Type]]="BIM")</f>
        <v>0</v>
      </c>
      <c r="Q609">
        <f t="shared" si="27"/>
        <v>6</v>
      </c>
      <c r="S609">
        <f t="shared" si="28"/>
        <v>1</v>
      </c>
      <c r="T609" s="102" t="str">
        <f>IF(TableRelationships12[[#This Row],[Rank Pedro]]="Low","linkCategory1",IF(TableRelationships12[[#This Row],[Rank Pedro]]="Medium","linkCategory2",IF(TableRelationships12[[#This Row],[Rank Pedro]]="High","linkCategory3","")))</f>
        <v/>
      </c>
      <c r="U609" s="102" t="str">
        <f>IF(TableRelationships12[[#This Row],[Rank Pedro]]="Low","Pink",IF(TableRelationships12[[#This Row],[Rank Pedro]]="Medium","Purple",IF(TableRelationships12[[#This Row],[Rank Pedro]]="High","Brown","")))</f>
        <v/>
      </c>
      <c r="V609" s="4" t="e">
        <f>MAX(INDEX(Standards!$F$2:$F$296,MATCH(B609,Standards!$B$2:$B$296,0)),INDEX(Standards!$F$2:$F$296,MATCH(C609,Standards!$B$2:$B$296,0)))</f>
        <v>#N/A</v>
      </c>
      <c r="W609" t="str">
        <f t="shared" si="29"/>
        <v>#d6bf2a</v>
      </c>
    </row>
    <row r="610" spans="1:23" x14ac:dyDescent="0.5">
      <c r="A610" s="54">
        <v>609</v>
      </c>
      <c r="B610" s="90" t="s">
        <v>1044</v>
      </c>
      <c r="C610" t="s">
        <v>310</v>
      </c>
      <c r="D610" s="1"/>
      <c r="E610" s="112">
        <v>2003.02</v>
      </c>
      <c r="F610" s="112">
        <v>2023.08</v>
      </c>
      <c r="G610" s="107" t="s">
        <v>670</v>
      </c>
      <c r="H610">
        <f>INDEX('GIS-Standards'!$A$2:$A$305,MATCH(B610,'GIS-Standards'!$B$2:$B$305,0))</f>
        <v>26</v>
      </c>
      <c r="I610">
        <f>INDEX('GIS-Standards'!$A$2:$A$305,MATCH(C610,'GIS-Standards'!$B$2:$B$305,0))</f>
        <v>20</v>
      </c>
      <c r="J610" t="str">
        <f>INDEX('GIS-Standards'!$O$2:$O$305,MATCH(B610,'GIS-Standards'!$B$2:$B$305,0))</f>
        <v>ISO/TC 211</v>
      </c>
      <c r="K610" t="str">
        <f>INDEX('GIS-Standards'!$O$2:$O$305,MATCH(C610,'GIS-Standards'!$B$2:$B$305,0))</f>
        <v>ISO/TC 211</v>
      </c>
      <c r="M610" t="s">
        <v>524</v>
      </c>
      <c r="N610">
        <f>INDEX('GIS-Standards'!$I$2:$I$305,MATCH(B610,'GIS-Standards'!$B$2:$B$305,0))</f>
        <v>0</v>
      </c>
      <c r="O610" t="str">
        <f>INDEX('GIS-Standards'!$I$2:$I$305,MATCH(C610,'GIS-Standards'!$B$2:$B$305,0))</f>
        <v>08.2023</v>
      </c>
      <c r="P610" t="b">
        <f>AND(TableRelationships12[[#This Row],[Source Type]]="BIM",TableRelationships12[[#This Row],[Target Type]]="BIM")</f>
        <v>0</v>
      </c>
      <c r="Q610">
        <f t="shared" si="27"/>
        <v>6</v>
      </c>
      <c r="S610">
        <f t="shared" si="28"/>
        <v>1</v>
      </c>
      <c r="T610" s="102" t="str">
        <f>IF(TableRelationships12[[#This Row],[Rank Pedro]]="Low","linkCategory1",IF(TableRelationships12[[#This Row],[Rank Pedro]]="Medium","linkCategory2",IF(TableRelationships12[[#This Row],[Rank Pedro]]="High","linkCategory3","")))</f>
        <v/>
      </c>
      <c r="U610" s="102" t="str">
        <f>IF(TableRelationships12[[#This Row],[Rank Pedro]]="Low","Pink",IF(TableRelationships12[[#This Row],[Rank Pedro]]="Medium","Purple",IF(TableRelationships12[[#This Row],[Rank Pedro]]="High","Brown","")))</f>
        <v/>
      </c>
      <c r="V610" s="4" t="e">
        <f>MAX(INDEX(Standards!$F$2:$F$296,MATCH(B610,Standards!$B$2:$B$296,0)),INDEX(Standards!$F$2:$F$296,MATCH(C610,Standards!$B$2:$B$296,0)))</f>
        <v>#N/A</v>
      </c>
      <c r="W610" t="str">
        <f t="shared" si="29"/>
        <v>#d6bf2a</v>
      </c>
    </row>
    <row r="611" spans="1:23" x14ac:dyDescent="0.5">
      <c r="A611" s="54">
        <v>610</v>
      </c>
      <c r="B611" s="90" t="s">
        <v>1044</v>
      </c>
      <c r="C611" t="s">
        <v>314</v>
      </c>
      <c r="D611" s="1" t="s">
        <v>1099</v>
      </c>
      <c r="E611" s="112">
        <v>2003.05</v>
      </c>
      <c r="F611" s="112">
        <v>2020.11</v>
      </c>
      <c r="G611" s="107" t="s">
        <v>670</v>
      </c>
      <c r="H611">
        <f>INDEX('GIS-Standards'!$A$2:$A$305,MATCH(B611,'GIS-Standards'!$B$2:$B$305,0))</f>
        <v>26</v>
      </c>
      <c r="I611">
        <f>INDEX('GIS-Standards'!$A$2:$A$305,MATCH(C611,'GIS-Standards'!$B$2:$B$305,0))</f>
        <v>22</v>
      </c>
      <c r="J611" t="str">
        <f>INDEX('GIS-Standards'!$O$2:$O$305,MATCH(B611,'GIS-Standards'!$B$2:$B$305,0))</f>
        <v>ISO/TC 211</v>
      </c>
      <c r="K611" t="str">
        <f>INDEX('GIS-Standards'!$O$2:$O$305,MATCH(C611,'GIS-Standards'!$B$2:$B$305,0))</f>
        <v>ISO/TC 211</v>
      </c>
      <c r="M611" t="s">
        <v>524</v>
      </c>
      <c r="N611">
        <f>INDEX('GIS-Standards'!$I$2:$I$305,MATCH(B611,'GIS-Standards'!$B$2:$B$305,0))</f>
        <v>0</v>
      </c>
      <c r="O611" t="str">
        <f>INDEX('GIS-Standards'!$I$2:$I$305,MATCH(C611,'GIS-Standards'!$B$2:$B$305,0))</f>
        <v>12.2020</v>
      </c>
      <c r="P611" t="b">
        <f>AND(TableRelationships12[[#This Row],[Source Type]]="BIM",TableRelationships12[[#This Row],[Target Type]]="BIM")</f>
        <v>0</v>
      </c>
      <c r="Q611">
        <f t="shared" si="27"/>
        <v>6</v>
      </c>
      <c r="S611">
        <f t="shared" si="28"/>
        <v>1</v>
      </c>
      <c r="T611" s="102" t="str">
        <f>IF(TableRelationships12[[#This Row],[Rank Pedro]]="Low","linkCategory1",IF(TableRelationships12[[#This Row],[Rank Pedro]]="Medium","linkCategory2",IF(TableRelationships12[[#This Row],[Rank Pedro]]="High","linkCategory3","")))</f>
        <v/>
      </c>
      <c r="U611" s="102" t="str">
        <f>IF(TableRelationships12[[#This Row],[Rank Pedro]]="Low","Pink",IF(TableRelationships12[[#This Row],[Rank Pedro]]="Medium","Purple",IF(TableRelationships12[[#This Row],[Rank Pedro]]="High","Brown","")))</f>
        <v/>
      </c>
      <c r="V611" s="4" t="e">
        <f>MAX(INDEX(Standards!$F$2:$F$296,MATCH(B611,Standards!$B$2:$B$296,0)),INDEX(Standards!$F$2:$F$296,MATCH(C611,Standards!$B$2:$B$296,0)))</f>
        <v>#N/A</v>
      </c>
      <c r="W611" t="str">
        <f t="shared" si="29"/>
        <v>#d6bf2a</v>
      </c>
    </row>
    <row r="612" spans="1:23" x14ac:dyDescent="0.5">
      <c r="A612" s="54">
        <v>611</v>
      </c>
      <c r="B612" s="90" t="s">
        <v>1044</v>
      </c>
      <c r="C612" t="s">
        <v>653</v>
      </c>
      <c r="D612" s="1" t="s">
        <v>1115</v>
      </c>
      <c r="E612" s="113">
        <v>2007.04</v>
      </c>
      <c r="F612" s="113">
        <v>2019.03</v>
      </c>
      <c r="G612" s="107" t="s">
        <v>670</v>
      </c>
      <c r="H612">
        <f>INDEX('GIS-Standards'!$A$2:$A$305,MATCH(B612,'GIS-Standards'!$B$2:$B$305,0))</f>
        <v>26</v>
      </c>
      <c r="I612">
        <f>INDEX('GIS-Standards'!$A$2:$A$305,MATCH(C612,'GIS-Standards'!$B$2:$B$305,0))</f>
        <v>102</v>
      </c>
      <c r="J612" t="str">
        <f>INDEX('GIS-Standards'!$O$2:$O$305,MATCH(B612,'GIS-Standards'!$B$2:$B$305,0))</f>
        <v>ISO/TC 211</v>
      </c>
      <c r="K612" t="str">
        <f>INDEX('GIS-Standards'!$O$2:$O$305,MATCH(C612,'GIS-Standards'!$B$2:$B$305,0))</f>
        <v>ISO/TC 211</v>
      </c>
      <c r="M612" t="s">
        <v>524</v>
      </c>
      <c r="N612">
        <f>INDEX('GIS-Standards'!$I$2:$I$305,MATCH(B612,'GIS-Standards'!$B$2:$B$305,0))</f>
        <v>0</v>
      </c>
      <c r="O612">
        <f>INDEX('GIS-Standards'!$I$2:$I$305,MATCH(C612,'GIS-Standards'!$B$2:$B$305,0))</f>
        <v>0</v>
      </c>
      <c r="P612" t="b">
        <f>AND(TableRelationships12[[#This Row],[Source Type]]="BIM",TableRelationships12[[#This Row],[Target Type]]="BIM")</f>
        <v>0</v>
      </c>
      <c r="Q612">
        <f t="shared" si="27"/>
        <v>6</v>
      </c>
      <c r="S612">
        <f t="shared" si="28"/>
        <v>1</v>
      </c>
      <c r="T612" s="102" t="str">
        <f>IF(TableRelationships12[[#This Row],[Rank Pedro]]="Low","linkCategory1",IF(TableRelationships12[[#This Row],[Rank Pedro]]="Medium","linkCategory2",IF(TableRelationships12[[#This Row],[Rank Pedro]]="High","linkCategory3","")))</f>
        <v/>
      </c>
      <c r="U612" s="102" t="str">
        <f>IF(TableRelationships12[[#This Row],[Rank Pedro]]="Low","Pink",IF(TableRelationships12[[#This Row],[Rank Pedro]]="Medium","Purple",IF(TableRelationships12[[#This Row],[Rank Pedro]]="High","Brown","")))</f>
        <v/>
      </c>
      <c r="V612" s="4" t="e">
        <f>MAX(INDEX(Standards!$F$2:$F$296,MATCH(B612,Standards!$B$2:$B$296,0)),INDEX(Standards!$F$2:$F$296,MATCH(C612,Standards!$B$2:$B$296,0)))</f>
        <v>#N/A</v>
      </c>
      <c r="W612" t="str">
        <f t="shared" si="29"/>
        <v>#d6bf2a</v>
      </c>
    </row>
    <row r="613" spans="1:23" x14ac:dyDescent="0.5">
      <c r="A613" s="54">
        <v>612</v>
      </c>
      <c r="B613" s="90" t="s">
        <v>1044</v>
      </c>
      <c r="C613" t="s">
        <v>1079</v>
      </c>
      <c r="D613" s="1"/>
      <c r="E613" s="112">
        <v>2005.04</v>
      </c>
      <c r="F613" s="112">
        <v>2005.04</v>
      </c>
      <c r="G613" s="107" t="s">
        <v>1502</v>
      </c>
      <c r="H613">
        <f>INDEX('GIS-Standards'!$A$2:$A$305,MATCH(B613,'GIS-Standards'!$B$2:$B$305,0))</f>
        <v>26</v>
      </c>
      <c r="I613" t="e">
        <f>INDEX('GIS-Standards'!$A$2:$A$305,MATCH(C613,'GIS-Standards'!$B$2:$B$305,0))</f>
        <v>#N/A</v>
      </c>
      <c r="J613" t="str">
        <f>INDEX('GIS-Standards'!$O$2:$O$305,MATCH(B613,'GIS-Standards'!$B$2:$B$305,0))</f>
        <v>ISO/TC 211</v>
      </c>
      <c r="K613" t="e">
        <f>INDEX('GIS-Standards'!$O$2:$O$305,MATCH(C613,'GIS-Standards'!$B$2:$B$305,0))</f>
        <v>#N/A</v>
      </c>
      <c r="M613" t="s">
        <v>524</v>
      </c>
      <c r="N613">
        <f>INDEX('GIS-Standards'!$I$2:$I$305,MATCH(B613,'GIS-Standards'!$B$2:$B$305,0))</f>
        <v>0</v>
      </c>
      <c r="O613" t="e">
        <f>INDEX('GIS-Standards'!$I$2:$I$305,MATCH(C613,'GIS-Standards'!$B$2:$B$305,0))</f>
        <v>#N/A</v>
      </c>
      <c r="P613" t="e">
        <f>AND(TableRelationships12[[#This Row],[Source Type]]="BIM",TableRelationships12[[#This Row],[Target Type]]="BIM")</f>
        <v>#N/A</v>
      </c>
      <c r="Q613">
        <f t="shared" si="27"/>
        <v>6</v>
      </c>
      <c r="S613">
        <f t="shared" si="28"/>
        <v>1</v>
      </c>
      <c r="T613" s="102" t="str">
        <f>IF(TableRelationships12[[#This Row],[Rank Pedro]]="Low","linkCategory1",IF(TableRelationships12[[#This Row],[Rank Pedro]]="Medium","linkCategory2",IF(TableRelationships12[[#This Row],[Rank Pedro]]="High","linkCategory3","")))</f>
        <v/>
      </c>
      <c r="U613" s="102" t="str">
        <f>IF(TableRelationships12[[#This Row],[Rank Pedro]]="Low","Pink",IF(TableRelationships12[[#This Row],[Rank Pedro]]="Medium","Purple",IF(TableRelationships12[[#This Row],[Rank Pedro]]="High","Brown","")))</f>
        <v/>
      </c>
      <c r="V613" s="4" t="e">
        <f>MAX(INDEX(Standards!$F$2:$F$296,MATCH(B613,Standards!$B$2:$B$296,0)),INDEX(Standards!$F$2:$F$296,MATCH(C613,Standards!$B$2:$B$296,0)))</f>
        <v>#N/A</v>
      </c>
      <c r="W613" t="str">
        <f t="shared" si="29"/>
        <v>#d6bf2a</v>
      </c>
    </row>
    <row r="614" spans="1:23" x14ac:dyDescent="0.5">
      <c r="A614" s="54">
        <v>613</v>
      </c>
      <c r="B614" s="90" t="s">
        <v>1044</v>
      </c>
      <c r="C614" t="s">
        <v>293</v>
      </c>
      <c r="D614" s="1" t="s">
        <v>1127</v>
      </c>
      <c r="E614" s="112">
        <v>2002.07</v>
      </c>
      <c r="F614" s="112">
        <v>2014.11</v>
      </c>
      <c r="G614" s="107" t="s">
        <v>670</v>
      </c>
      <c r="H614">
        <f>INDEX('GIS-Standards'!$A$2:$A$305,MATCH(B614,'GIS-Standards'!$B$2:$B$305,0))</f>
        <v>26</v>
      </c>
      <c r="I614">
        <f>INDEX('GIS-Standards'!$A$2:$A$305,MATCH(C614,'GIS-Standards'!$B$2:$B$305,0))</f>
        <v>10</v>
      </c>
      <c r="J614" t="str">
        <f>INDEX('GIS-Standards'!$O$2:$O$305,MATCH(B614,'GIS-Standards'!$B$2:$B$305,0))</f>
        <v>ISO/TC 211</v>
      </c>
      <c r="K614" t="str">
        <f>INDEX('GIS-Standards'!$O$2:$O$305,MATCH(C614,'GIS-Standards'!$B$2:$B$305,0))</f>
        <v>ISO/TC 211</v>
      </c>
      <c r="M614" t="s">
        <v>525</v>
      </c>
      <c r="N614">
        <f>INDEX('GIS-Standards'!$I$2:$I$305,MATCH(B614,'GIS-Standards'!$B$2:$B$305,0))</f>
        <v>0</v>
      </c>
      <c r="O614">
        <f>INDEX('GIS-Standards'!$I$2:$I$305,MATCH(C614,'GIS-Standards'!$B$2:$B$305,0))</f>
        <v>0</v>
      </c>
      <c r="P614" t="b">
        <f>AND(TableRelationships12[[#This Row],[Source Type]]="BIM",TableRelationships12[[#This Row],[Target Type]]="BIM")</f>
        <v>0</v>
      </c>
      <c r="Q614">
        <f t="shared" si="27"/>
        <v>1</v>
      </c>
      <c r="S614">
        <f t="shared" si="28"/>
        <v>1</v>
      </c>
      <c r="T614" s="102" t="str">
        <f>IF(TableRelationships12[[#This Row],[Rank Pedro]]="Low","linkCategory1",IF(TableRelationships12[[#This Row],[Rank Pedro]]="Medium","linkCategory2",IF(TableRelationships12[[#This Row],[Rank Pedro]]="High","linkCategory3","")))</f>
        <v/>
      </c>
      <c r="U614" s="102" t="str">
        <f>IF(TableRelationships12[[#This Row],[Rank Pedro]]="Low","Pink",IF(TableRelationships12[[#This Row],[Rank Pedro]]="Medium","Purple",IF(TableRelationships12[[#This Row],[Rank Pedro]]="High","Brown","")))</f>
        <v/>
      </c>
      <c r="V614" s="4" t="e">
        <f>MAX(INDEX(Standards!$F$2:$F$296,MATCH(B614,Standards!$B$2:$B$296,0)),INDEX(Standards!$F$2:$F$296,MATCH(C614,Standards!$B$2:$B$296,0)))</f>
        <v>#N/A</v>
      </c>
      <c r="W614" t="str">
        <f t="shared" si="29"/>
        <v>#2f89d1</v>
      </c>
    </row>
    <row r="615" spans="1:23" x14ac:dyDescent="0.5">
      <c r="A615" s="54">
        <v>614</v>
      </c>
      <c r="B615" s="90" t="s">
        <v>1044</v>
      </c>
      <c r="C615" t="s">
        <v>326</v>
      </c>
      <c r="D615" s="1"/>
      <c r="E615" s="112">
        <v>2005.12</v>
      </c>
      <c r="F615" s="112">
        <v>2005.12</v>
      </c>
      <c r="G615" s="107" t="s">
        <v>670</v>
      </c>
      <c r="H615">
        <f>INDEX('GIS-Standards'!$A$2:$A$305,MATCH(B615,'GIS-Standards'!$B$2:$B$305,0))</f>
        <v>26</v>
      </c>
      <c r="I615">
        <f>INDEX('GIS-Standards'!$A$2:$A$305,MATCH(C615,'GIS-Standards'!$B$2:$B$305,0))</f>
        <v>35</v>
      </c>
      <c r="J615" t="str">
        <f>INDEX('GIS-Standards'!$O$2:$O$305,MATCH(B615,'GIS-Standards'!$B$2:$B$305,0))</f>
        <v>ISO/TC 211</v>
      </c>
      <c r="K615" t="str">
        <f>INDEX('GIS-Standards'!$O$2:$O$305,MATCH(C615,'GIS-Standards'!$B$2:$B$305,0))</f>
        <v>ISO/TC 211</v>
      </c>
      <c r="M615" t="s">
        <v>525</v>
      </c>
      <c r="N615">
        <f>INDEX('GIS-Standards'!$I$2:$I$305,MATCH(B615,'GIS-Standards'!$B$2:$B$305,0))</f>
        <v>0</v>
      </c>
      <c r="O615">
        <f>INDEX('GIS-Standards'!$I$2:$I$305,MATCH(C615,'GIS-Standards'!$B$2:$B$305,0))</f>
        <v>0</v>
      </c>
      <c r="P615" t="b">
        <f>AND(TableRelationships12[[#This Row],[Source Type]]="BIM",TableRelationships12[[#This Row],[Target Type]]="BIM")</f>
        <v>0</v>
      </c>
      <c r="Q615">
        <f t="shared" si="27"/>
        <v>1</v>
      </c>
      <c r="S615">
        <f t="shared" si="28"/>
        <v>1</v>
      </c>
      <c r="T615" s="102" t="str">
        <f>IF(TableRelationships12[[#This Row],[Rank Pedro]]="Low","linkCategory1",IF(TableRelationships12[[#This Row],[Rank Pedro]]="Medium","linkCategory2",IF(TableRelationships12[[#This Row],[Rank Pedro]]="High","linkCategory3","")))</f>
        <v/>
      </c>
      <c r="U615" s="102" t="str">
        <f>IF(TableRelationships12[[#This Row],[Rank Pedro]]="Low","Pink",IF(TableRelationships12[[#This Row],[Rank Pedro]]="Medium","Purple",IF(TableRelationships12[[#This Row],[Rank Pedro]]="High","Brown","")))</f>
        <v/>
      </c>
      <c r="V615" s="4" t="e">
        <f>MAX(INDEX(Standards!$F$2:$F$296,MATCH(B615,Standards!$B$2:$B$296,0)),INDEX(Standards!$F$2:$F$296,MATCH(C615,Standards!$B$2:$B$296,0)))</f>
        <v>#N/A</v>
      </c>
      <c r="W615" t="str">
        <f t="shared" si="29"/>
        <v>#2f89d1</v>
      </c>
    </row>
    <row r="616" spans="1:23" x14ac:dyDescent="0.5">
      <c r="A616" s="54">
        <v>615</v>
      </c>
      <c r="B616" s="90" t="s">
        <v>1044</v>
      </c>
      <c r="C616" t="s">
        <v>332</v>
      </c>
      <c r="D616" s="1"/>
      <c r="E616" s="112">
        <v>2005.1</v>
      </c>
      <c r="F616" s="112">
        <v>2005.1</v>
      </c>
      <c r="G616" s="107" t="s">
        <v>670</v>
      </c>
      <c r="H616">
        <f>INDEX('GIS-Standards'!$A$2:$A$305,MATCH(B616,'GIS-Standards'!$B$2:$B$305,0))</f>
        <v>26</v>
      </c>
      <c r="I616">
        <f>INDEX('GIS-Standards'!$A$2:$A$305,MATCH(C616,'GIS-Standards'!$B$2:$B$305,0))</f>
        <v>39</v>
      </c>
      <c r="J616" t="str">
        <f>INDEX('GIS-Standards'!$O$2:$O$305,MATCH(B616,'GIS-Standards'!$B$2:$B$305,0))</f>
        <v>ISO/TC 211</v>
      </c>
      <c r="K616" t="str">
        <f>INDEX('GIS-Standards'!$O$2:$O$305,MATCH(C616,'GIS-Standards'!$B$2:$B$305,0))</f>
        <v>ISO/TC 211</v>
      </c>
      <c r="M616" t="s">
        <v>525</v>
      </c>
      <c r="N616">
        <f>INDEX('GIS-Standards'!$I$2:$I$305,MATCH(B616,'GIS-Standards'!$B$2:$B$305,0))</f>
        <v>0</v>
      </c>
      <c r="O616">
        <f>INDEX('GIS-Standards'!$I$2:$I$305,MATCH(C616,'GIS-Standards'!$B$2:$B$305,0))</f>
        <v>0</v>
      </c>
      <c r="P616" t="b">
        <f>AND(TableRelationships12[[#This Row],[Source Type]]="BIM",TableRelationships12[[#This Row],[Target Type]]="BIM")</f>
        <v>0</v>
      </c>
      <c r="Q616">
        <f t="shared" si="27"/>
        <v>1</v>
      </c>
      <c r="S616">
        <f t="shared" si="28"/>
        <v>1</v>
      </c>
      <c r="T616" s="102" t="str">
        <f>IF(TableRelationships12[[#This Row],[Rank Pedro]]="Low","linkCategory1",IF(TableRelationships12[[#This Row],[Rank Pedro]]="Medium","linkCategory2",IF(TableRelationships12[[#This Row],[Rank Pedro]]="High","linkCategory3","")))</f>
        <v/>
      </c>
      <c r="U616" s="102" t="str">
        <f>IF(TableRelationships12[[#This Row],[Rank Pedro]]="Low","Pink",IF(TableRelationships12[[#This Row],[Rank Pedro]]="Medium","Purple",IF(TableRelationships12[[#This Row],[Rank Pedro]]="High","Brown","")))</f>
        <v/>
      </c>
      <c r="V616" s="4" t="e">
        <f>MAX(INDEX(Standards!$F$2:$F$296,MATCH(B616,Standards!$B$2:$B$296,0)),INDEX(Standards!$F$2:$F$296,MATCH(C616,Standards!$B$2:$B$296,0)))</f>
        <v>#N/A</v>
      </c>
      <c r="W616" t="str">
        <f t="shared" si="29"/>
        <v>#2f89d1</v>
      </c>
    </row>
    <row r="617" spans="1:23" x14ac:dyDescent="0.5">
      <c r="A617" s="54">
        <v>616</v>
      </c>
      <c r="B617" s="90" t="s">
        <v>1044</v>
      </c>
      <c r="C617" t="s">
        <v>1065</v>
      </c>
      <c r="D617" s="1"/>
      <c r="E617" s="112">
        <v>1996.09</v>
      </c>
      <c r="F617" s="112">
        <v>2009.12</v>
      </c>
      <c r="G617" s="107" t="s">
        <v>1502</v>
      </c>
      <c r="H617">
        <f>INDEX('GIS-Standards'!$A$2:$A$305,MATCH(B617,'GIS-Standards'!$B$2:$B$305,0))</f>
        <v>26</v>
      </c>
      <c r="I617" t="e">
        <f>INDEX('GIS-Standards'!$A$2:$A$305,MATCH(C617,'GIS-Standards'!$B$2:$B$305,0))</f>
        <v>#N/A</v>
      </c>
      <c r="J617" t="str">
        <f>INDEX('GIS-Standards'!$O$2:$O$305,MATCH(B617,'GIS-Standards'!$B$2:$B$305,0))</f>
        <v>ISO/TC 211</v>
      </c>
      <c r="K617" t="e">
        <f>INDEX('GIS-Standards'!$O$2:$O$305,MATCH(C617,'GIS-Standards'!$B$2:$B$305,0))</f>
        <v>#N/A</v>
      </c>
      <c r="M617" t="s">
        <v>525</v>
      </c>
      <c r="N617">
        <f>INDEX('GIS-Standards'!$I$2:$I$305,MATCH(B617,'GIS-Standards'!$B$2:$B$305,0))</f>
        <v>0</v>
      </c>
      <c r="O617" t="e">
        <f>INDEX('GIS-Standards'!$I$2:$I$305,MATCH(C617,'GIS-Standards'!$B$2:$B$305,0))</f>
        <v>#N/A</v>
      </c>
      <c r="P617" t="e">
        <f>AND(TableRelationships12[[#This Row],[Source Type]]="BIM",TableRelationships12[[#This Row],[Target Type]]="BIM")</f>
        <v>#N/A</v>
      </c>
      <c r="Q617">
        <f t="shared" si="27"/>
        <v>1</v>
      </c>
      <c r="S617">
        <f t="shared" si="28"/>
        <v>1</v>
      </c>
      <c r="T617" s="102" t="str">
        <f>IF(TableRelationships12[[#This Row],[Rank Pedro]]="Low","linkCategory1",IF(TableRelationships12[[#This Row],[Rank Pedro]]="Medium","linkCategory2",IF(TableRelationships12[[#This Row],[Rank Pedro]]="High","linkCategory3","")))</f>
        <v/>
      </c>
      <c r="U617" s="102" t="str">
        <f>IF(TableRelationships12[[#This Row],[Rank Pedro]]="Low","Pink",IF(TableRelationships12[[#This Row],[Rank Pedro]]="Medium","Purple",IF(TableRelationships12[[#This Row],[Rank Pedro]]="High","Brown","")))</f>
        <v/>
      </c>
      <c r="V617" s="4" t="e">
        <f>MAX(INDEX(Standards!$F$2:$F$296,MATCH(B617,Standards!$B$2:$B$296,0)),INDEX(Standards!$F$2:$F$296,MATCH(C617,Standards!$B$2:$B$296,0)))</f>
        <v>#N/A</v>
      </c>
      <c r="W617" t="str">
        <f t="shared" si="29"/>
        <v>#2f89d1</v>
      </c>
    </row>
    <row r="618" spans="1:23" x14ac:dyDescent="0.5">
      <c r="A618" s="54">
        <v>617</v>
      </c>
      <c r="B618" s="90" t="s">
        <v>1044</v>
      </c>
      <c r="C618" t="s">
        <v>1053</v>
      </c>
      <c r="D618" s="1"/>
      <c r="E618" s="113">
        <v>2011.12</v>
      </c>
      <c r="F618" s="113">
        <v>2023.04</v>
      </c>
      <c r="G618" s="107" t="s">
        <v>670</v>
      </c>
      <c r="H618">
        <f>INDEX('GIS-Standards'!$A$2:$A$305,MATCH(B618,'GIS-Standards'!$B$2:$B$305,0))</f>
        <v>26</v>
      </c>
      <c r="I618">
        <f>INDEX('GIS-Standards'!$A$2:$A$305,MATCH(C618,'GIS-Standards'!$B$2:$B$305,0))</f>
        <v>65</v>
      </c>
      <c r="J618" t="str">
        <f>INDEX('GIS-Standards'!$O$2:$O$305,MATCH(B618,'GIS-Standards'!$B$2:$B$305,0))</f>
        <v>ISO/TC 211</v>
      </c>
      <c r="K618" t="str">
        <f>INDEX('GIS-Standards'!$O$2:$O$305,MATCH(C618,'GIS-Standards'!$B$2:$B$305,0))</f>
        <v>ISO/TC 211</v>
      </c>
      <c r="M618" t="s">
        <v>525</v>
      </c>
      <c r="N618">
        <f>INDEX('GIS-Standards'!$I$2:$I$305,MATCH(B618,'GIS-Standards'!$B$2:$B$305,0))</f>
        <v>0</v>
      </c>
      <c r="O618">
        <f>INDEX('GIS-Standards'!$I$2:$I$305,MATCH(C618,'GIS-Standards'!$B$2:$B$305,0))</f>
        <v>0</v>
      </c>
      <c r="P618" t="b">
        <f>AND(TableRelationships12[[#This Row],[Source Type]]="BIM",TableRelationships12[[#This Row],[Target Type]]="BIM")</f>
        <v>0</v>
      </c>
      <c r="Q618">
        <f t="shared" si="27"/>
        <v>1</v>
      </c>
      <c r="S618">
        <f t="shared" si="28"/>
        <v>1</v>
      </c>
      <c r="T618" s="102" t="str">
        <f>IF(TableRelationships12[[#This Row],[Rank Pedro]]="Low","linkCategory1",IF(TableRelationships12[[#This Row],[Rank Pedro]]="Medium","linkCategory2",IF(TableRelationships12[[#This Row],[Rank Pedro]]="High","linkCategory3","")))</f>
        <v/>
      </c>
      <c r="U618" s="102" t="str">
        <f>IF(TableRelationships12[[#This Row],[Rank Pedro]]="Low","Pink",IF(TableRelationships12[[#This Row],[Rank Pedro]]="Medium","Purple",IF(TableRelationships12[[#This Row],[Rank Pedro]]="High","Brown","")))</f>
        <v/>
      </c>
      <c r="V618" s="4" t="e">
        <f>MAX(INDEX(Standards!$F$2:$F$296,MATCH(B618,Standards!$B$2:$B$296,0)),INDEX(Standards!$F$2:$F$296,MATCH(C618,Standards!$B$2:$B$296,0)))</f>
        <v>#N/A</v>
      </c>
      <c r="W618" t="str">
        <f t="shared" si="29"/>
        <v>#2f89d1</v>
      </c>
    </row>
    <row r="619" spans="1:23" x14ac:dyDescent="0.5">
      <c r="A619" s="54">
        <v>618</v>
      </c>
      <c r="B619" s="90" t="s">
        <v>316</v>
      </c>
      <c r="C619" t="s">
        <v>527</v>
      </c>
      <c r="D619" s="1"/>
      <c r="E619" s="112" t="s">
        <v>937</v>
      </c>
      <c r="F619" s="112" t="s">
        <v>948</v>
      </c>
      <c r="G619" s="121" t="s">
        <v>670</v>
      </c>
      <c r="H619">
        <f>INDEX('GIS-Standards'!$A$2:$A$305,MATCH(B619,'GIS-Standards'!$B$2:$B$305,0))</f>
        <v>27</v>
      </c>
      <c r="I619" t="e">
        <f>INDEX('GIS-Standards'!$A$2:$A$305,MATCH(C619,'GIS-Standards'!$B$2:$B$305,0))</f>
        <v>#N/A</v>
      </c>
      <c r="J619" t="str">
        <f>INDEX('GIS-Standards'!$O$2:$O$305,MATCH(B619,'GIS-Standards'!$B$2:$B$305,0))</f>
        <v>ISO/TC 211</v>
      </c>
      <c r="K619" t="e">
        <f>INDEX('GIS-Standards'!$O$2:$O$305,MATCH(C619,'GIS-Standards'!$B$2:$B$305,0))</f>
        <v>#N/A</v>
      </c>
      <c r="M619" t="s">
        <v>237</v>
      </c>
      <c r="N619">
        <f>INDEX('GIS-Standards'!$I$2:$I$305,MATCH(B619,'GIS-Standards'!$B$2:$B$305,0))</f>
        <v>0</v>
      </c>
      <c r="O619" t="e">
        <f>INDEX('GIS-Standards'!$I$2:$I$305,MATCH(C619,'GIS-Standards'!$B$2:$B$305,0))</f>
        <v>#N/A</v>
      </c>
      <c r="P619" t="e">
        <f>AND(TableRelationships12[[#This Row],[Source Type]]="BIM",TableRelationships12[[#This Row],[Target Type]]="BIM")</f>
        <v>#N/A</v>
      </c>
      <c r="Q619">
        <f t="shared" si="27"/>
        <v>2</v>
      </c>
      <c r="S619">
        <f t="shared" si="28"/>
        <v>1</v>
      </c>
      <c r="T619" s="102" t="str">
        <f>IF(TableRelationships12[[#This Row],[Rank Pedro]]="Low","linkCategory1",IF(TableRelationships12[[#This Row],[Rank Pedro]]="Medium","linkCategory2",IF(TableRelationships12[[#This Row],[Rank Pedro]]="High","linkCategory3","")))</f>
        <v/>
      </c>
      <c r="U619" s="102" t="str">
        <f>IF(TableRelationships12[[#This Row],[Rank Pedro]]="Low","Pink",IF(TableRelationships12[[#This Row],[Rank Pedro]]="Medium","Purple",IF(TableRelationships12[[#This Row],[Rank Pedro]]="High","Brown","")))</f>
        <v/>
      </c>
      <c r="V619" s="4">
        <f>MAX(INDEX(Standards!$F$2:$F$296,MATCH(B619,Standards!$B$2:$B$296,0)),INDEX(Standards!$F$2:$F$296,MATCH(C619,Standards!$B$2:$B$296,0)))</f>
        <v>38534</v>
      </c>
      <c r="W619">
        <f t="shared" si="29"/>
        <v>1</v>
      </c>
    </row>
    <row r="620" spans="1:23" x14ac:dyDescent="0.5">
      <c r="A620" s="54">
        <v>619</v>
      </c>
      <c r="B620" s="90" t="s">
        <v>316</v>
      </c>
      <c r="C620" t="s">
        <v>130</v>
      </c>
      <c r="D620" s="1"/>
      <c r="E620" s="112">
        <v>1993.05</v>
      </c>
      <c r="F620" s="112">
        <v>2025.06</v>
      </c>
      <c r="G620" s="107" t="s">
        <v>1501</v>
      </c>
      <c r="H620">
        <f>INDEX('GIS-Standards'!$A$2:$A$305,MATCH(B620,'GIS-Standards'!$B$2:$B$305,0))</f>
        <v>27</v>
      </c>
      <c r="I620" t="e">
        <f>INDEX('GIS-Standards'!$A$2:$A$305,MATCH(C620,'GIS-Standards'!$B$2:$B$305,0))</f>
        <v>#N/A</v>
      </c>
      <c r="J620" t="str">
        <f>INDEX('GIS-Standards'!$O$2:$O$305,MATCH(B620,'GIS-Standards'!$B$2:$B$305,0))</f>
        <v>ISO/TC 211</v>
      </c>
      <c r="K620" t="e">
        <f>INDEX('GIS-Standards'!$O$2:$O$305,MATCH(C620,'GIS-Standards'!$B$2:$B$305,0))</f>
        <v>#N/A</v>
      </c>
      <c r="M620" t="s">
        <v>524</v>
      </c>
      <c r="N620">
        <f>INDEX('GIS-Standards'!$I$2:$I$305,MATCH(B620,'GIS-Standards'!$B$2:$B$305,0))</f>
        <v>0</v>
      </c>
      <c r="O620" t="e">
        <f>INDEX('GIS-Standards'!$I$2:$I$305,MATCH(C620,'GIS-Standards'!$B$2:$B$305,0))</f>
        <v>#N/A</v>
      </c>
      <c r="P620" t="e">
        <f>AND(TableRelationships12[[#This Row],[Source Type]]="BIM",TableRelationships12[[#This Row],[Target Type]]="BIM")</f>
        <v>#N/A</v>
      </c>
      <c r="Q620">
        <f t="shared" si="27"/>
        <v>6</v>
      </c>
      <c r="S620">
        <f t="shared" si="28"/>
        <v>1</v>
      </c>
      <c r="T620" s="102" t="str">
        <f>IF(TableRelationships12[[#This Row],[Rank Pedro]]="Low","linkCategory1",IF(TableRelationships12[[#This Row],[Rank Pedro]]="Medium","linkCategory2",IF(TableRelationships12[[#This Row],[Rank Pedro]]="High","linkCategory3","")))</f>
        <v/>
      </c>
      <c r="U620" s="102" t="str">
        <f>IF(TableRelationships12[[#This Row],[Rank Pedro]]="Low","Pink",IF(TableRelationships12[[#This Row],[Rank Pedro]]="Medium","Purple",IF(TableRelationships12[[#This Row],[Rank Pedro]]="High","Brown","")))</f>
        <v/>
      </c>
      <c r="V620" s="4">
        <f>MAX(INDEX(Standards!$F$2:$F$296,MATCH(B620,Standards!$B$2:$B$296,0)),INDEX(Standards!$F$2:$F$296,MATCH(C620,Standards!$B$2:$B$296,0)))</f>
        <v>38534</v>
      </c>
      <c r="W620" t="str">
        <f t="shared" si="29"/>
        <v>#d6bf2a</v>
      </c>
    </row>
    <row r="621" spans="1:23" x14ac:dyDescent="0.5">
      <c r="A621" s="54">
        <v>620</v>
      </c>
      <c r="B621" s="90" t="s">
        <v>316</v>
      </c>
      <c r="C621" t="s">
        <v>296</v>
      </c>
      <c r="D621" s="1"/>
      <c r="E621" s="112">
        <v>2005.07</v>
      </c>
      <c r="F621" s="112">
        <v>2024.09</v>
      </c>
      <c r="G621" s="107" t="s">
        <v>670</v>
      </c>
      <c r="H621">
        <f>INDEX('GIS-Standards'!$A$2:$A$305,MATCH(B621,'GIS-Standards'!$B$2:$B$305,0))</f>
        <v>27</v>
      </c>
      <c r="I621">
        <f>INDEX('GIS-Standards'!$A$2:$A$305,MATCH(C621,'GIS-Standards'!$B$2:$B$305,0))</f>
        <v>12</v>
      </c>
      <c r="J621" t="str">
        <f>INDEX('GIS-Standards'!$O$2:$O$305,MATCH(B621,'GIS-Standards'!$B$2:$B$305,0))</f>
        <v>ISO/TC 211</v>
      </c>
      <c r="K621" t="str">
        <f>INDEX('GIS-Standards'!$O$2:$O$305,MATCH(C621,'GIS-Standards'!$B$2:$B$305,0))</f>
        <v>ISO/TC 211</v>
      </c>
      <c r="M621" t="s">
        <v>524</v>
      </c>
      <c r="N621">
        <f>INDEX('GIS-Standards'!$I$2:$I$305,MATCH(B621,'GIS-Standards'!$B$2:$B$305,0))</f>
        <v>0</v>
      </c>
      <c r="O621">
        <f>INDEX('GIS-Standards'!$I$2:$I$305,MATCH(C621,'GIS-Standards'!$B$2:$B$305,0))</f>
        <v>0</v>
      </c>
      <c r="P621" t="b">
        <f>AND(TableRelationships12[[#This Row],[Source Type]]="BIM",TableRelationships12[[#This Row],[Target Type]]="BIM")</f>
        <v>0</v>
      </c>
      <c r="Q621">
        <f t="shared" si="27"/>
        <v>6</v>
      </c>
      <c r="S621">
        <f t="shared" si="28"/>
        <v>1</v>
      </c>
      <c r="T621" s="102" t="str">
        <f>IF(TableRelationships12[[#This Row],[Rank Pedro]]="Low","linkCategory1",IF(TableRelationships12[[#This Row],[Rank Pedro]]="Medium","linkCategory2",IF(TableRelationships12[[#This Row],[Rank Pedro]]="High","linkCategory3","")))</f>
        <v/>
      </c>
      <c r="U621" s="102" t="str">
        <f>IF(TableRelationships12[[#This Row],[Rank Pedro]]="Low","Pink",IF(TableRelationships12[[#This Row],[Rank Pedro]]="Medium","Purple",IF(TableRelationships12[[#This Row],[Rank Pedro]]="High","Brown","")))</f>
        <v/>
      </c>
      <c r="V621" s="4">
        <f>MAX(INDEX(Standards!$F$2:$F$296,MATCH(B621,Standards!$B$2:$B$296,0)),INDEX(Standards!$F$2:$F$296,MATCH(C621,Standards!$B$2:$B$296,0)))</f>
        <v>38534</v>
      </c>
      <c r="W621" t="str">
        <f t="shared" si="29"/>
        <v>#d6bf2a</v>
      </c>
    </row>
    <row r="622" spans="1:23" x14ac:dyDescent="0.5">
      <c r="A622" s="54">
        <v>621</v>
      </c>
      <c r="B622" s="90" t="s">
        <v>316</v>
      </c>
      <c r="C622" t="s">
        <v>306</v>
      </c>
      <c r="D622" s="1"/>
      <c r="E622" s="112">
        <v>2005.06</v>
      </c>
      <c r="F622" s="112">
        <v>2025.07</v>
      </c>
      <c r="G622" s="107" t="s">
        <v>670</v>
      </c>
      <c r="H622">
        <f>INDEX('GIS-Standards'!$A$2:$A$305,MATCH(B622,'GIS-Standards'!$B$2:$B$305,0))</f>
        <v>27</v>
      </c>
      <c r="I622">
        <f>INDEX('GIS-Standards'!$A$2:$A$305,MATCH(C622,'GIS-Standards'!$B$2:$B$305,0))</f>
        <v>18</v>
      </c>
      <c r="J622" t="str">
        <f>INDEX('GIS-Standards'!$O$2:$O$305,MATCH(B622,'GIS-Standards'!$B$2:$B$305,0))</f>
        <v>ISO/TC 211</v>
      </c>
      <c r="K622" t="str">
        <f>INDEX('GIS-Standards'!$O$2:$O$305,MATCH(C622,'GIS-Standards'!$B$2:$B$305,0))</f>
        <v>ISO/TC 211</v>
      </c>
      <c r="M622" t="s">
        <v>524</v>
      </c>
      <c r="N622">
        <f>INDEX('GIS-Standards'!$I$2:$I$305,MATCH(B622,'GIS-Standards'!$B$2:$B$305,0))</f>
        <v>0</v>
      </c>
      <c r="O622">
        <f>INDEX('GIS-Standards'!$I$2:$I$305,MATCH(C622,'GIS-Standards'!$B$2:$B$305,0))</f>
        <v>0</v>
      </c>
      <c r="P622" t="b">
        <f>AND(TableRelationships12[[#This Row],[Source Type]]="BIM",TableRelationships12[[#This Row],[Target Type]]="BIM")</f>
        <v>0</v>
      </c>
      <c r="Q622">
        <f t="shared" si="27"/>
        <v>6</v>
      </c>
      <c r="S622">
        <f t="shared" si="28"/>
        <v>1</v>
      </c>
      <c r="T622" s="102" t="str">
        <f>IF(TableRelationships12[[#This Row],[Rank Pedro]]="Low","linkCategory1",IF(TableRelationships12[[#This Row],[Rank Pedro]]="Medium","linkCategory2",IF(TableRelationships12[[#This Row],[Rank Pedro]]="High","linkCategory3","")))</f>
        <v/>
      </c>
      <c r="U622" s="102" t="str">
        <f>IF(TableRelationships12[[#This Row],[Rank Pedro]]="Low","Pink",IF(TableRelationships12[[#This Row],[Rank Pedro]]="Medium","Purple",IF(TableRelationships12[[#This Row],[Rank Pedro]]="High","Brown","")))</f>
        <v/>
      </c>
      <c r="V622" s="4">
        <f>MAX(INDEX(Standards!$F$2:$F$296,MATCH(B622,Standards!$B$2:$B$296,0)),INDEX(Standards!$F$2:$F$296,MATCH(C622,Standards!$B$2:$B$296,0)))</f>
        <v>38534</v>
      </c>
      <c r="W622" t="str">
        <f t="shared" si="29"/>
        <v>#d6bf2a</v>
      </c>
    </row>
    <row r="623" spans="1:23" x14ac:dyDescent="0.5">
      <c r="A623" s="54">
        <v>622</v>
      </c>
      <c r="B623" s="90" t="s">
        <v>316</v>
      </c>
      <c r="C623" t="s">
        <v>1595</v>
      </c>
      <c r="D623" s="1"/>
      <c r="G623" s="107"/>
      <c r="H623">
        <f>INDEX('GIS-Standards'!$A$2:$A$305,MATCH(B623,'GIS-Standards'!$B$2:$B$305,0))</f>
        <v>27</v>
      </c>
      <c r="I623" t="e">
        <f>INDEX('GIS-Standards'!$A$2:$A$305,MATCH(C623,'GIS-Standards'!$B$2:$B$305,0))</f>
        <v>#N/A</v>
      </c>
      <c r="J623" t="str">
        <f>INDEX('GIS-Standards'!$O$2:$O$305,MATCH(B623,'GIS-Standards'!$B$2:$B$305,0))</f>
        <v>ISO/TC 211</v>
      </c>
      <c r="K623" t="e">
        <f>INDEX('GIS-Standards'!$O$2:$O$305,MATCH(C623,'GIS-Standards'!$B$2:$B$305,0))</f>
        <v>#N/A</v>
      </c>
      <c r="M623" t="s">
        <v>524</v>
      </c>
      <c r="N623">
        <f>INDEX('GIS-Standards'!$I$2:$I$305,MATCH(B623,'GIS-Standards'!$B$2:$B$305,0))</f>
        <v>0</v>
      </c>
      <c r="O623" t="e">
        <f>INDEX('GIS-Standards'!$I$2:$I$305,MATCH(C623,'GIS-Standards'!$B$2:$B$305,0))</f>
        <v>#N/A</v>
      </c>
      <c r="P623" t="e">
        <f>AND(TableRelationships12[[#This Row],[Source Type]]="BIM",TableRelationships12[[#This Row],[Target Type]]="BIM")</f>
        <v>#N/A</v>
      </c>
      <c r="Q623">
        <f t="shared" si="27"/>
        <v>6</v>
      </c>
      <c r="S623">
        <f t="shared" si="28"/>
        <v>1</v>
      </c>
      <c r="T623" s="102" t="str">
        <f>IF(TableRelationships12[[#This Row],[Rank Pedro]]="Low","linkCategory1",IF(TableRelationships12[[#This Row],[Rank Pedro]]="Medium","linkCategory2",IF(TableRelationships12[[#This Row],[Rank Pedro]]="High","linkCategory3","")))</f>
        <v/>
      </c>
      <c r="U623" s="102" t="str">
        <f>IF(TableRelationships12[[#This Row],[Rank Pedro]]="Low","Pink",IF(TableRelationships12[[#This Row],[Rank Pedro]]="Medium","Purple",IF(TableRelationships12[[#This Row],[Rank Pedro]]="High","Brown","")))</f>
        <v/>
      </c>
      <c r="V623" s="4" t="e">
        <f>MAX(INDEX(Standards!$F$2:$F$296,MATCH(B623,Standards!$B$2:$B$296,0)),INDEX(Standards!$F$2:$F$296,MATCH(C623,Standards!$B$2:$B$296,0)))</f>
        <v>#N/A</v>
      </c>
      <c r="W623" t="str">
        <f t="shared" si="29"/>
        <v>#d6bf2a</v>
      </c>
    </row>
    <row r="624" spans="1:23" x14ac:dyDescent="0.5">
      <c r="A624" s="54">
        <v>623</v>
      </c>
      <c r="B624" s="90" t="s">
        <v>316</v>
      </c>
      <c r="C624" t="s">
        <v>1148</v>
      </c>
      <c r="D624" s="1"/>
      <c r="E624" s="112">
        <v>1982.12</v>
      </c>
      <c r="F624" s="112">
        <v>1999.04</v>
      </c>
      <c r="G624" s="107" t="s">
        <v>1501</v>
      </c>
      <c r="H624">
        <f>INDEX('GIS-Standards'!$A$2:$A$305,MATCH(B624,'GIS-Standards'!$B$2:$B$305,0))</f>
        <v>27</v>
      </c>
      <c r="I624" t="e">
        <f>INDEX('GIS-Standards'!$A$2:$A$305,MATCH(C624,'GIS-Standards'!$B$2:$B$305,0))</f>
        <v>#N/A</v>
      </c>
      <c r="J624" t="str">
        <f>INDEX('GIS-Standards'!$O$2:$O$305,MATCH(B624,'GIS-Standards'!$B$2:$B$305,0))</f>
        <v>ISO/TC 211</v>
      </c>
      <c r="K624" t="e">
        <f>INDEX('GIS-Standards'!$O$2:$O$305,MATCH(C624,'GIS-Standards'!$B$2:$B$305,0))</f>
        <v>#N/A</v>
      </c>
      <c r="M624" t="s">
        <v>525</v>
      </c>
      <c r="N624">
        <f>INDEX('GIS-Standards'!$I$2:$I$305,MATCH(B624,'GIS-Standards'!$B$2:$B$305,0))</f>
        <v>0</v>
      </c>
      <c r="O624" t="e">
        <f>INDEX('GIS-Standards'!$I$2:$I$305,MATCH(C624,'GIS-Standards'!$B$2:$B$305,0))</f>
        <v>#N/A</v>
      </c>
      <c r="P624" t="e">
        <f>AND(TableRelationships12[[#This Row],[Source Type]]="BIM",TableRelationships12[[#This Row],[Target Type]]="BIM")</f>
        <v>#N/A</v>
      </c>
      <c r="Q624">
        <f t="shared" si="27"/>
        <v>1</v>
      </c>
      <c r="S624">
        <f t="shared" si="28"/>
        <v>1</v>
      </c>
      <c r="T624" s="102" t="str">
        <f>IF(TableRelationships12[[#This Row],[Rank Pedro]]="Low","linkCategory1",IF(TableRelationships12[[#This Row],[Rank Pedro]]="Medium","linkCategory2",IF(TableRelationships12[[#This Row],[Rank Pedro]]="High","linkCategory3","")))</f>
        <v/>
      </c>
      <c r="U624" s="102" t="str">
        <f>IF(TableRelationships12[[#This Row],[Rank Pedro]]="Low","Pink",IF(TableRelationships12[[#This Row],[Rank Pedro]]="Medium","Purple",IF(TableRelationships12[[#This Row],[Rank Pedro]]="High","Brown","")))</f>
        <v/>
      </c>
      <c r="V624" s="4" t="e">
        <f>MAX(INDEX(Standards!$F$2:$F$296,MATCH(B624,Standards!$B$2:$B$296,0)),INDEX(Standards!$F$2:$F$296,MATCH(C624,Standards!$B$2:$B$296,0)))</f>
        <v>#N/A</v>
      </c>
      <c r="W624" t="str">
        <f t="shared" si="29"/>
        <v>#2f89d1</v>
      </c>
    </row>
    <row r="625" spans="1:23" x14ac:dyDescent="0.5">
      <c r="A625" s="54">
        <v>624</v>
      </c>
      <c r="B625" s="90" t="s">
        <v>316</v>
      </c>
      <c r="C625" s="104" t="s">
        <v>474</v>
      </c>
      <c r="D625" s="1" t="s">
        <v>1070</v>
      </c>
      <c r="E625" s="113">
        <v>1974.12</v>
      </c>
      <c r="F625" s="113">
        <v>2022.1</v>
      </c>
      <c r="G625" s="107" t="s">
        <v>1511</v>
      </c>
      <c r="H625">
        <f>INDEX('GIS-Standards'!$A$2:$A$305,MATCH(B625,'GIS-Standards'!$B$2:$B$305,0))</f>
        <v>27</v>
      </c>
      <c r="I625" t="e">
        <f>INDEX('GIS-Standards'!$A$2:$A$305,MATCH(C625,'GIS-Standards'!$B$2:$B$305,0))</f>
        <v>#N/A</v>
      </c>
      <c r="J625" t="str">
        <f>INDEX('GIS-Standards'!$O$2:$O$305,MATCH(B625,'GIS-Standards'!$B$2:$B$305,0))</f>
        <v>ISO/TC 211</v>
      </c>
      <c r="K625" t="e">
        <f>INDEX('GIS-Standards'!$O$2:$O$305,MATCH(C625,'GIS-Standards'!$B$2:$B$305,0))</f>
        <v>#N/A</v>
      </c>
      <c r="M625" t="s">
        <v>525</v>
      </c>
      <c r="N625">
        <f>INDEX('GIS-Standards'!$I$2:$I$305,MATCH(B625,'GIS-Standards'!$B$2:$B$305,0))</f>
        <v>0</v>
      </c>
      <c r="O625" t="e">
        <f>INDEX('GIS-Standards'!$I$2:$I$305,MATCH(C625,'GIS-Standards'!$B$2:$B$305,0))</f>
        <v>#N/A</v>
      </c>
      <c r="P625" t="e">
        <f>AND(TableRelationships12[[#This Row],[Source Type]]="BIM",TableRelationships12[[#This Row],[Target Type]]="BIM")</f>
        <v>#N/A</v>
      </c>
      <c r="Q625">
        <f t="shared" si="27"/>
        <v>1</v>
      </c>
      <c r="S625">
        <f t="shared" si="28"/>
        <v>1</v>
      </c>
      <c r="T625" s="102" t="str">
        <f>IF(TableRelationships12[[#This Row],[Rank Pedro]]="Low","linkCategory1",IF(TableRelationships12[[#This Row],[Rank Pedro]]="Medium","linkCategory2",IF(TableRelationships12[[#This Row],[Rank Pedro]]="High","linkCategory3","")))</f>
        <v/>
      </c>
      <c r="U625" s="102" t="str">
        <f>IF(TableRelationships12[[#This Row],[Rank Pedro]]="Low","Pink",IF(TableRelationships12[[#This Row],[Rank Pedro]]="Medium","Purple",IF(TableRelationships12[[#This Row],[Rank Pedro]]="High","Brown","")))</f>
        <v/>
      </c>
      <c r="V625" s="4">
        <f>MAX(INDEX(Standards!$F$2:$F$296,MATCH(B625,Standards!$B$2:$B$296,0)),INDEX(Standards!$F$2:$F$296,MATCH(C625,Standards!$B$2:$B$296,0)))</f>
        <v>39600</v>
      </c>
      <c r="W625" t="str">
        <f t="shared" si="29"/>
        <v>#2f89d1</v>
      </c>
    </row>
    <row r="626" spans="1:23" x14ac:dyDescent="0.5">
      <c r="A626" s="54">
        <v>625</v>
      </c>
      <c r="B626" s="90" t="s">
        <v>316</v>
      </c>
      <c r="C626" t="s">
        <v>1149</v>
      </c>
      <c r="D626" s="1"/>
      <c r="E626" s="112">
        <v>1985.12</v>
      </c>
      <c r="F626" s="112">
        <v>1994.1</v>
      </c>
      <c r="G626" s="107" t="s">
        <v>1502</v>
      </c>
      <c r="H626">
        <f>INDEX('GIS-Standards'!$A$2:$A$305,MATCH(B626,'GIS-Standards'!$B$2:$B$305,0))</f>
        <v>27</v>
      </c>
      <c r="I626" t="e">
        <f>INDEX('GIS-Standards'!$A$2:$A$305,MATCH(C626,'GIS-Standards'!$B$2:$B$305,0))</f>
        <v>#N/A</v>
      </c>
      <c r="J626" t="str">
        <f>INDEX('GIS-Standards'!$O$2:$O$305,MATCH(B626,'GIS-Standards'!$B$2:$B$305,0))</f>
        <v>ISO/TC 211</v>
      </c>
      <c r="K626" t="e">
        <f>INDEX('GIS-Standards'!$O$2:$O$305,MATCH(C626,'GIS-Standards'!$B$2:$B$305,0))</f>
        <v>#N/A</v>
      </c>
      <c r="M626" t="s">
        <v>525</v>
      </c>
      <c r="N626">
        <f>INDEX('GIS-Standards'!$I$2:$I$305,MATCH(B626,'GIS-Standards'!$B$2:$B$305,0))</f>
        <v>0</v>
      </c>
      <c r="O626" t="e">
        <f>INDEX('GIS-Standards'!$I$2:$I$305,MATCH(C626,'GIS-Standards'!$B$2:$B$305,0))</f>
        <v>#N/A</v>
      </c>
      <c r="P626" t="e">
        <f>AND(TableRelationships12[[#This Row],[Source Type]]="BIM",TableRelationships12[[#This Row],[Target Type]]="BIM")</f>
        <v>#N/A</v>
      </c>
      <c r="Q626">
        <f t="shared" si="27"/>
        <v>1</v>
      </c>
      <c r="S626">
        <f t="shared" si="28"/>
        <v>1</v>
      </c>
      <c r="T626" s="102" t="str">
        <f>IF(TableRelationships12[[#This Row],[Rank Pedro]]="Low","linkCategory1",IF(TableRelationships12[[#This Row],[Rank Pedro]]="Medium","linkCategory2",IF(TableRelationships12[[#This Row],[Rank Pedro]]="High","linkCategory3","")))</f>
        <v/>
      </c>
      <c r="U626" s="102" t="str">
        <f>IF(TableRelationships12[[#This Row],[Rank Pedro]]="Low","Pink",IF(TableRelationships12[[#This Row],[Rank Pedro]]="Medium","Purple",IF(TableRelationships12[[#This Row],[Rank Pedro]]="High","Brown","")))</f>
        <v/>
      </c>
      <c r="V626" s="4" t="e">
        <f>MAX(INDEX(Standards!$F$2:$F$296,MATCH(B626,Standards!$B$2:$B$296,0)),INDEX(Standards!$F$2:$F$296,MATCH(C626,Standards!$B$2:$B$296,0)))</f>
        <v>#N/A</v>
      </c>
      <c r="W626" t="str">
        <f t="shared" si="29"/>
        <v>#2f89d1</v>
      </c>
    </row>
    <row r="627" spans="1:23" x14ac:dyDescent="0.5">
      <c r="A627" s="54">
        <v>626</v>
      </c>
      <c r="B627" s="90" t="s">
        <v>316</v>
      </c>
      <c r="C627" t="s">
        <v>414</v>
      </c>
      <c r="D627" s="1"/>
      <c r="E627" s="112">
        <v>1987.02</v>
      </c>
      <c r="F627" s="112">
        <v>1998.04</v>
      </c>
      <c r="G627" s="107" t="s">
        <v>1501</v>
      </c>
      <c r="H627">
        <f>INDEX('GIS-Standards'!$A$2:$A$305,MATCH(B627,'GIS-Standards'!$B$2:$B$305,0))</f>
        <v>27</v>
      </c>
      <c r="I627" t="e">
        <f>INDEX('GIS-Standards'!$A$2:$A$305,MATCH(C627,'GIS-Standards'!$B$2:$B$305,0))</f>
        <v>#N/A</v>
      </c>
      <c r="J627" t="str">
        <f>INDEX('GIS-Standards'!$O$2:$O$305,MATCH(B627,'GIS-Standards'!$B$2:$B$305,0))</f>
        <v>ISO/TC 211</v>
      </c>
      <c r="K627" t="e">
        <f>INDEX('GIS-Standards'!$O$2:$O$305,MATCH(C627,'GIS-Standards'!$B$2:$B$305,0))</f>
        <v>#N/A</v>
      </c>
      <c r="M627" t="s">
        <v>525</v>
      </c>
      <c r="N627">
        <f>INDEX('GIS-Standards'!$I$2:$I$305,MATCH(B627,'GIS-Standards'!$B$2:$B$305,0))</f>
        <v>0</v>
      </c>
      <c r="O627" t="e">
        <f>INDEX('GIS-Standards'!$I$2:$I$305,MATCH(C627,'GIS-Standards'!$B$2:$B$305,0))</f>
        <v>#N/A</v>
      </c>
      <c r="P627" t="e">
        <f>AND(TableRelationships12[[#This Row],[Source Type]]="BIM",TableRelationships12[[#This Row],[Target Type]]="BIM")</f>
        <v>#N/A</v>
      </c>
      <c r="Q627">
        <f t="shared" si="27"/>
        <v>1</v>
      </c>
      <c r="S627">
        <f t="shared" si="28"/>
        <v>1</v>
      </c>
      <c r="T627" s="102" t="str">
        <f>IF(TableRelationships12[[#This Row],[Rank Pedro]]="Low","linkCategory1",IF(TableRelationships12[[#This Row],[Rank Pedro]]="Medium","linkCategory2",IF(TableRelationships12[[#This Row],[Rank Pedro]]="High","linkCategory3","")))</f>
        <v/>
      </c>
      <c r="U627" s="102" t="str">
        <f>IF(TableRelationships12[[#This Row],[Rank Pedro]]="Low","Pink",IF(TableRelationships12[[#This Row],[Rank Pedro]]="Medium","Purple",IF(TableRelationships12[[#This Row],[Rank Pedro]]="High","Brown","")))</f>
        <v/>
      </c>
      <c r="V627" s="4">
        <f>MAX(INDEX(Standards!$F$2:$F$296,MATCH(B627,Standards!$B$2:$B$296,0)),INDEX(Standards!$F$2:$F$296,MATCH(C627,Standards!$B$2:$B$296,0)))</f>
        <v>38534</v>
      </c>
      <c r="W627" t="str">
        <f t="shared" si="29"/>
        <v>#2f89d1</v>
      </c>
    </row>
    <row r="628" spans="1:23" x14ac:dyDescent="0.5">
      <c r="A628" s="54">
        <v>627</v>
      </c>
      <c r="B628" s="90" t="s">
        <v>316</v>
      </c>
      <c r="C628" t="s">
        <v>1599</v>
      </c>
      <c r="D628" s="1"/>
      <c r="E628" s="112">
        <v>1987.02</v>
      </c>
      <c r="F628" s="112">
        <v>1999.01</v>
      </c>
      <c r="G628" s="107" t="s">
        <v>1501</v>
      </c>
      <c r="H628">
        <f>INDEX('GIS-Standards'!$A$2:$A$305,MATCH(B628,'GIS-Standards'!$B$2:$B$305,0))</f>
        <v>27</v>
      </c>
      <c r="I628" t="e">
        <f>INDEX('GIS-Standards'!$A$2:$A$305,MATCH(C628,'GIS-Standards'!$B$2:$B$305,0))</f>
        <v>#N/A</v>
      </c>
      <c r="J628" t="str">
        <f>INDEX('GIS-Standards'!$O$2:$O$305,MATCH(B628,'GIS-Standards'!$B$2:$B$305,0))</f>
        <v>ISO/TC 211</v>
      </c>
      <c r="K628" t="e">
        <f>INDEX('GIS-Standards'!$O$2:$O$305,MATCH(C628,'GIS-Standards'!$B$2:$B$305,0))</f>
        <v>#N/A</v>
      </c>
      <c r="M628" t="s">
        <v>525</v>
      </c>
      <c r="N628">
        <f>INDEX('GIS-Standards'!$I$2:$I$305,MATCH(B628,'GIS-Standards'!$B$2:$B$305,0))</f>
        <v>0</v>
      </c>
      <c r="O628" t="e">
        <f>INDEX('GIS-Standards'!$I$2:$I$305,MATCH(C628,'GIS-Standards'!$B$2:$B$305,0))</f>
        <v>#N/A</v>
      </c>
      <c r="P628" t="e">
        <f>AND(TableRelationships12[[#This Row],[Source Type]]="BIM",TableRelationships12[[#This Row],[Target Type]]="BIM")</f>
        <v>#N/A</v>
      </c>
      <c r="Q628">
        <f t="shared" si="27"/>
        <v>1</v>
      </c>
      <c r="S628">
        <f t="shared" si="28"/>
        <v>1</v>
      </c>
      <c r="T628" s="102" t="str">
        <f>IF(TableRelationships12[[#This Row],[Rank Pedro]]="Low","linkCategory1",IF(TableRelationships12[[#This Row],[Rank Pedro]]="Medium","linkCategory2",IF(TableRelationships12[[#This Row],[Rank Pedro]]="High","linkCategory3","")))</f>
        <v/>
      </c>
      <c r="U628" s="102" t="str">
        <f>IF(TableRelationships12[[#This Row],[Rank Pedro]]="Low","Pink",IF(TableRelationships12[[#This Row],[Rank Pedro]]="Medium","Purple",IF(TableRelationships12[[#This Row],[Rank Pedro]]="High","Brown","")))</f>
        <v/>
      </c>
      <c r="V628" s="4" t="e">
        <f>MAX(INDEX(Standards!$F$2:$F$296,MATCH(B628,Standards!$B$2:$B$296,0)),INDEX(Standards!$F$2:$F$296,MATCH(C628,Standards!$B$2:$B$296,0)))</f>
        <v>#N/A</v>
      </c>
      <c r="W628" t="str">
        <f t="shared" si="29"/>
        <v>#2f89d1</v>
      </c>
    </row>
    <row r="629" spans="1:23" x14ac:dyDescent="0.5">
      <c r="A629" s="54">
        <v>628</v>
      </c>
      <c r="B629" s="90" t="s">
        <v>316</v>
      </c>
      <c r="C629" t="s">
        <v>1600</v>
      </c>
      <c r="D629" s="1"/>
      <c r="E629" s="112">
        <v>1988.03</v>
      </c>
      <c r="F629" s="112">
        <v>1999.01</v>
      </c>
      <c r="G629" s="107" t="s">
        <v>1501</v>
      </c>
      <c r="H629">
        <f>INDEX('GIS-Standards'!$A$2:$A$305,MATCH(B629,'GIS-Standards'!$B$2:$B$305,0))</f>
        <v>27</v>
      </c>
      <c r="I629" t="e">
        <f>INDEX('GIS-Standards'!$A$2:$A$305,MATCH(C629,'GIS-Standards'!$B$2:$B$305,0))</f>
        <v>#N/A</v>
      </c>
      <c r="J629" t="str">
        <f>INDEX('GIS-Standards'!$O$2:$O$305,MATCH(B629,'GIS-Standards'!$B$2:$B$305,0))</f>
        <v>ISO/TC 211</v>
      </c>
      <c r="K629" t="e">
        <f>INDEX('GIS-Standards'!$O$2:$O$305,MATCH(C629,'GIS-Standards'!$B$2:$B$305,0))</f>
        <v>#N/A</v>
      </c>
      <c r="M629" t="s">
        <v>525</v>
      </c>
      <c r="N629">
        <f>INDEX('GIS-Standards'!$I$2:$I$305,MATCH(B629,'GIS-Standards'!$B$2:$B$305,0))</f>
        <v>0</v>
      </c>
      <c r="O629" t="e">
        <f>INDEX('GIS-Standards'!$I$2:$I$305,MATCH(C629,'GIS-Standards'!$B$2:$B$305,0))</f>
        <v>#N/A</v>
      </c>
      <c r="P629" t="e">
        <f>AND(TableRelationships12[[#This Row],[Source Type]]="BIM",TableRelationships12[[#This Row],[Target Type]]="BIM")</f>
        <v>#N/A</v>
      </c>
      <c r="Q629">
        <f t="shared" si="27"/>
        <v>1</v>
      </c>
      <c r="S629">
        <f t="shared" si="28"/>
        <v>1</v>
      </c>
      <c r="T629" s="102" t="str">
        <f>IF(TableRelationships12[[#This Row],[Rank Pedro]]="Low","linkCategory1",IF(TableRelationships12[[#This Row],[Rank Pedro]]="Medium","linkCategory2",IF(TableRelationships12[[#This Row],[Rank Pedro]]="High","linkCategory3","")))</f>
        <v/>
      </c>
      <c r="U629" s="102" t="str">
        <f>IF(TableRelationships12[[#This Row],[Rank Pedro]]="Low","Pink",IF(TableRelationships12[[#This Row],[Rank Pedro]]="Medium","Purple",IF(TableRelationships12[[#This Row],[Rank Pedro]]="High","Brown","")))</f>
        <v/>
      </c>
      <c r="V629" s="4" t="e">
        <f>MAX(INDEX(Standards!$F$2:$F$296,MATCH(B629,Standards!$B$2:$B$296,0)),INDEX(Standards!$F$2:$F$296,MATCH(C629,Standards!$B$2:$B$296,0)))</f>
        <v>#N/A</v>
      </c>
      <c r="W629" t="str">
        <f t="shared" si="29"/>
        <v>#2f89d1</v>
      </c>
    </row>
    <row r="630" spans="1:23" x14ac:dyDescent="0.5">
      <c r="A630" s="54">
        <v>629</v>
      </c>
      <c r="B630" s="90" t="s">
        <v>316</v>
      </c>
      <c r="C630" t="s">
        <v>1601</v>
      </c>
      <c r="D630" s="1"/>
      <c r="E630" s="112">
        <v>1988.03</v>
      </c>
      <c r="F630" s="112">
        <v>1998.07</v>
      </c>
      <c r="G630" s="107" t="s">
        <v>1501</v>
      </c>
      <c r="H630">
        <f>INDEX('GIS-Standards'!$A$2:$A$305,MATCH(B630,'GIS-Standards'!$B$2:$B$305,0))</f>
        <v>27</v>
      </c>
      <c r="I630" t="e">
        <f>INDEX('GIS-Standards'!$A$2:$A$305,MATCH(C630,'GIS-Standards'!$B$2:$B$305,0))</f>
        <v>#N/A</v>
      </c>
      <c r="J630" t="str">
        <f>INDEX('GIS-Standards'!$O$2:$O$305,MATCH(B630,'GIS-Standards'!$B$2:$B$305,0))</f>
        <v>ISO/TC 211</v>
      </c>
      <c r="K630" t="e">
        <f>INDEX('GIS-Standards'!$O$2:$O$305,MATCH(C630,'GIS-Standards'!$B$2:$B$305,0))</f>
        <v>#N/A</v>
      </c>
      <c r="M630" t="s">
        <v>525</v>
      </c>
      <c r="N630">
        <f>INDEX('GIS-Standards'!$I$2:$I$305,MATCH(B630,'GIS-Standards'!$B$2:$B$305,0))</f>
        <v>0</v>
      </c>
      <c r="O630" t="e">
        <f>INDEX('GIS-Standards'!$I$2:$I$305,MATCH(C630,'GIS-Standards'!$B$2:$B$305,0))</f>
        <v>#N/A</v>
      </c>
      <c r="P630" t="e">
        <f>AND(TableRelationships12[[#This Row],[Source Type]]="BIM",TableRelationships12[[#This Row],[Target Type]]="BIM")</f>
        <v>#N/A</v>
      </c>
      <c r="Q630">
        <f t="shared" si="27"/>
        <v>1</v>
      </c>
      <c r="S630">
        <f t="shared" si="28"/>
        <v>1</v>
      </c>
      <c r="T630" s="102" t="str">
        <f>IF(TableRelationships12[[#This Row],[Rank Pedro]]="Low","linkCategory1",IF(TableRelationships12[[#This Row],[Rank Pedro]]="Medium","linkCategory2",IF(TableRelationships12[[#This Row],[Rank Pedro]]="High","linkCategory3","")))</f>
        <v/>
      </c>
      <c r="U630" s="102" t="str">
        <f>IF(TableRelationships12[[#This Row],[Rank Pedro]]="Low","Pink",IF(TableRelationships12[[#This Row],[Rank Pedro]]="Medium","Purple",IF(TableRelationships12[[#This Row],[Rank Pedro]]="High","Brown","")))</f>
        <v/>
      </c>
      <c r="V630" s="4" t="e">
        <f>MAX(INDEX(Standards!$F$2:$F$296,MATCH(B630,Standards!$B$2:$B$296,0)),INDEX(Standards!$F$2:$F$296,MATCH(C630,Standards!$B$2:$B$296,0)))</f>
        <v>#N/A</v>
      </c>
      <c r="W630" t="str">
        <f t="shared" si="29"/>
        <v>#2f89d1</v>
      </c>
    </row>
    <row r="631" spans="1:23" x14ac:dyDescent="0.5">
      <c r="A631" s="54">
        <v>630</v>
      </c>
      <c r="B631" s="90" t="s">
        <v>316</v>
      </c>
      <c r="C631" t="s">
        <v>1602</v>
      </c>
      <c r="D631" s="1"/>
      <c r="E631" s="112">
        <v>1988.12</v>
      </c>
      <c r="F631" s="112">
        <v>1999.01</v>
      </c>
      <c r="G631" s="107" t="s">
        <v>1501</v>
      </c>
      <c r="H631">
        <f>INDEX('GIS-Standards'!$A$2:$A$305,MATCH(B631,'GIS-Standards'!$B$2:$B$305,0))</f>
        <v>27</v>
      </c>
      <c r="I631" t="e">
        <f>INDEX('GIS-Standards'!$A$2:$A$305,MATCH(C631,'GIS-Standards'!$B$2:$B$305,0))</f>
        <v>#N/A</v>
      </c>
      <c r="J631" t="str">
        <f>INDEX('GIS-Standards'!$O$2:$O$305,MATCH(B631,'GIS-Standards'!$B$2:$B$305,0))</f>
        <v>ISO/TC 211</v>
      </c>
      <c r="K631" t="e">
        <f>INDEX('GIS-Standards'!$O$2:$O$305,MATCH(C631,'GIS-Standards'!$B$2:$B$305,0))</f>
        <v>#N/A</v>
      </c>
      <c r="M631" t="s">
        <v>525</v>
      </c>
      <c r="N631">
        <f>INDEX('GIS-Standards'!$I$2:$I$305,MATCH(B631,'GIS-Standards'!$B$2:$B$305,0))</f>
        <v>0</v>
      </c>
      <c r="O631" t="e">
        <f>INDEX('GIS-Standards'!$I$2:$I$305,MATCH(C631,'GIS-Standards'!$B$2:$B$305,0))</f>
        <v>#N/A</v>
      </c>
      <c r="P631" t="e">
        <f>AND(TableRelationships12[[#This Row],[Source Type]]="BIM",TableRelationships12[[#This Row],[Target Type]]="BIM")</f>
        <v>#N/A</v>
      </c>
      <c r="Q631">
        <f t="shared" si="27"/>
        <v>1</v>
      </c>
      <c r="S631">
        <f t="shared" si="28"/>
        <v>1</v>
      </c>
      <c r="T631" s="102" t="str">
        <f>IF(TableRelationships12[[#This Row],[Rank Pedro]]="Low","linkCategory1",IF(TableRelationships12[[#This Row],[Rank Pedro]]="Medium","linkCategory2",IF(TableRelationships12[[#This Row],[Rank Pedro]]="High","linkCategory3","")))</f>
        <v/>
      </c>
      <c r="U631" s="102" t="str">
        <f>IF(TableRelationships12[[#This Row],[Rank Pedro]]="Low","Pink",IF(TableRelationships12[[#This Row],[Rank Pedro]]="Medium","Purple",IF(TableRelationships12[[#This Row],[Rank Pedro]]="High","Brown","")))</f>
        <v/>
      </c>
      <c r="V631" s="4" t="e">
        <f>MAX(INDEX(Standards!$F$2:$F$296,MATCH(B631,Standards!$B$2:$B$296,0)),INDEX(Standards!$F$2:$F$296,MATCH(C631,Standards!$B$2:$B$296,0)))</f>
        <v>#N/A</v>
      </c>
      <c r="W631" t="str">
        <f t="shared" si="29"/>
        <v>#2f89d1</v>
      </c>
    </row>
    <row r="632" spans="1:23" x14ac:dyDescent="0.5">
      <c r="A632" s="54">
        <v>631</v>
      </c>
      <c r="B632" s="90" t="s">
        <v>316</v>
      </c>
      <c r="C632" t="s">
        <v>1603</v>
      </c>
      <c r="D632" s="1"/>
      <c r="E632" s="112">
        <v>1987.07</v>
      </c>
      <c r="F632" s="112">
        <v>1999.01</v>
      </c>
      <c r="G632" s="107" t="s">
        <v>1501</v>
      </c>
      <c r="H632">
        <f>INDEX('GIS-Standards'!$A$2:$A$305,MATCH(B632,'GIS-Standards'!$B$2:$B$305,0))</f>
        <v>27</v>
      </c>
      <c r="I632" t="e">
        <f>INDEX('GIS-Standards'!$A$2:$A$305,MATCH(C632,'GIS-Standards'!$B$2:$B$305,0))</f>
        <v>#N/A</v>
      </c>
      <c r="J632" t="str">
        <f>INDEX('GIS-Standards'!$O$2:$O$305,MATCH(B632,'GIS-Standards'!$B$2:$B$305,0))</f>
        <v>ISO/TC 211</v>
      </c>
      <c r="K632" t="e">
        <f>INDEX('GIS-Standards'!$O$2:$O$305,MATCH(C632,'GIS-Standards'!$B$2:$B$305,0))</f>
        <v>#N/A</v>
      </c>
      <c r="M632" t="s">
        <v>525</v>
      </c>
      <c r="N632">
        <f>INDEX('GIS-Standards'!$I$2:$I$305,MATCH(B632,'GIS-Standards'!$B$2:$B$305,0))</f>
        <v>0</v>
      </c>
      <c r="O632" t="e">
        <f>INDEX('GIS-Standards'!$I$2:$I$305,MATCH(C632,'GIS-Standards'!$B$2:$B$305,0))</f>
        <v>#N/A</v>
      </c>
      <c r="P632" t="e">
        <f>AND(TableRelationships12[[#This Row],[Source Type]]="BIM",TableRelationships12[[#This Row],[Target Type]]="BIM")</f>
        <v>#N/A</v>
      </c>
      <c r="Q632">
        <f t="shared" si="27"/>
        <v>1</v>
      </c>
      <c r="S632">
        <f t="shared" si="28"/>
        <v>1</v>
      </c>
      <c r="T632" s="102" t="str">
        <f>IF(TableRelationships12[[#This Row],[Rank Pedro]]="Low","linkCategory1",IF(TableRelationships12[[#This Row],[Rank Pedro]]="Medium","linkCategory2",IF(TableRelationships12[[#This Row],[Rank Pedro]]="High","linkCategory3","")))</f>
        <v/>
      </c>
      <c r="U632" s="102" t="str">
        <f>IF(TableRelationships12[[#This Row],[Rank Pedro]]="Low","Pink",IF(TableRelationships12[[#This Row],[Rank Pedro]]="Medium","Purple",IF(TableRelationships12[[#This Row],[Rank Pedro]]="High","Brown","")))</f>
        <v/>
      </c>
      <c r="V632" s="4" t="e">
        <f>MAX(INDEX(Standards!$F$2:$F$296,MATCH(B632,Standards!$B$2:$B$296,0)),INDEX(Standards!$F$2:$F$296,MATCH(C632,Standards!$B$2:$B$296,0)))</f>
        <v>#N/A</v>
      </c>
      <c r="W632" t="str">
        <f t="shared" si="29"/>
        <v>#2f89d1</v>
      </c>
    </row>
    <row r="633" spans="1:23" x14ac:dyDescent="0.5">
      <c r="A633" s="54">
        <v>632</v>
      </c>
      <c r="B633" s="90" t="s">
        <v>316</v>
      </c>
      <c r="C633" t="s">
        <v>1604</v>
      </c>
      <c r="D633" s="1"/>
      <c r="E633" s="112">
        <v>1987.11</v>
      </c>
      <c r="F633" s="112">
        <v>2003.1</v>
      </c>
      <c r="G633" s="107" t="s">
        <v>1501</v>
      </c>
      <c r="H633">
        <f>INDEX('GIS-Standards'!$A$2:$A$305,MATCH(B633,'GIS-Standards'!$B$2:$B$305,0))</f>
        <v>27</v>
      </c>
      <c r="I633" t="e">
        <f>INDEX('GIS-Standards'!$A$2:$A$305,MATCH(C633,'GIS-Standards'!$B$2:$B$305,0))</f>
        <v>#N/A</v>
      </c>
      <c r="J633" t="str">
        <f>INDEX('GIS-Standards'!$O$2:$O$305,MATCH(B633,'GIS-Standards'!$B$2:$B$305,0))</f>
        <v>ISO/TC 211</v>
      </c>
      <c r="K633" t="e">
        <f>INDEX('GIS-Standards'!$O$2:$O$305,MATCH(C633,'GIS-Standards'!$B$2:$B$305,0))</f>
        <v>#N/A</v>
      </c>
      <c r="M633" t="s">
        <v>525</v>
      </c>
      <c r="N633">
        <f>INDEX('GIS-Standards'!$I$2:$I$305,MATCH(B633,'GIS-Standards'!$B$2:$B$305,0))</f>
        <v>0</v>
      </c>
      <c r="O633" t="e">
        <f>INDEX('GIS-Standards'!$I$2:$I$305,MATCH(C633,'GIS-Standards'!$B$2:$B$305,0))</f>
        <v>#N/A</v>
      </c>
      <c r="P633" t="e">
        <f>AND(TableRelationships12[[#This Row],[Source Type]]="BIM",TableRelationships12[[#This Row],[Target Type]]="BIM")</f>
        <v>#N/A</v>
      </c>
      <c r="Q633">
        <f t="shared" si="27"/>
        <v>1</v>
      </c>
      <c r="S633">
        <f t="shared" si="28"/>
        <v>1</v>
      </c>
      <c r="T633" s="102" t="str">
        <f>IF(TableRelationships12[[#This Row],[Rank Pedro]]="Low","linkCategory1",IF(TableRelationships12[[#This Row],[Rank Pedro]]="Medium","linkCategory2",IF(TableRelationships12[[#This Row],[Rank Pedro]]="High","linkCategory3","")))</f>
        <v/>
      </c>
      <c r="U633" s="102" t="str">
        <f>IF(TableRelationships12[[#This Row],[Rank Pedro]]="Low","Pink",IF(TableRelationships12[[#This Row],[Rank Pedro]]="Medium","Purple",IF(TableRelationships12[[#This Row],[Rank Pedro]]="High","Brown","")))</f>
        <v/>
      </c>
      <c r="V633" s="4" t="e">
        <f>MAX(INDEX(Standards!$F$2:$F$296,MATCH(B633,Standards!$B$2:$B$296,0)),INDEX(Standards!$F$2:$F$296,MATCH(C633,Standards!$B$2:$B$296,0)))</f>
        <v>#N/A</v>
      </c>
      <c r="W633" t="str">
        <f t="shared" si="29"/>
        <v>#2f89d1</v>
      </c>
    </row>
    <row r="634" spans="1:23" x14ac:dyDescent="0.5">
      <c r="A634" s="54">
        <v>633</v>
      </c>
      <c r="B634" s="90" t="s">
        <v>316</v>
      </c>
      <c r="C634" t="s">
        <v>1605</v>
      </c>
      <c r="D634" s="1"/>
      <c r="E634" s="112">
        <v>1988.06</v>
      </c>
      <c r="F634" s="112">
        <v>1999.01</v>
      </c>
      <c r="G634" s="107" t="s">
        <v>1501</v>
      </c>
      <c r="H634">
        <f>INDEX('GIS-Standards'!$A$2:$A$305,MATCH(B634,'GIS-Standards'!$B$2:$B$305,0))</f>
        <v>27</v>
      </c>
      <c r="I634" t="e">
        <f>INDEX('GIS-Standards'!$A$2:$A$305,MATCH(C634,'GIS-Standards'!$B$2:$B$305,0))</f>
        <v>#N/A</v>
      </c>
      <c r="J634" t="str">
        <f>INDEX('GIS-Standards'!$O$2:$O$305,MATCH(B634,'GIS-Standards'!$B$2:$B$305,0))</f>
        <v>ISO/TC 211</v>
      </c>
      <c r="K634" t="e">
        <f>INDEX('GIS-Standards'!$O$2:$O$305,MATCH(C634,'GIS-Standards'!$B$2:$B$305,0))</f>
        <v>#N/A</v>
      </c>
      <c r="M634" t="s">
        <v>525</v>
      </c>
      <c r="N634">
        <f>INDEX('GIS-Standards'!$I$2:$I$305,MATCH(B634,'GIS-Standards'!$B$2:$B$305,0))</f>
        <v>0</v>
      </c>
      <c r="O634" t="e">
        <f>INDEX('GIS-Standards'!$I$2:$I$305,MATCH(C634,'GIS-Standards'!$B$2:$B$305,0))</f>
        <v>#N/A</v>
      </c>
      <c r="P634" t="e">
        <f>AND(TableRelationships12[[#This Row],[Source Type]]="BIM",TableRelationships12[[#This Row],[Target Type]]="BIM")</f>
        <v>#N/A</v>
      </c>
      <c r="Q634">
        <f t="shared" si="27"/>
        <v>1</v>
      </c>
      <c r="S634">
        <f t="shared" si="28"/>
        <v>1</v>
      </c>
      <c r="T634" s="102" t="str">
        <f>IF(TableRelationships12[[#This Row],[Rank Pedro]]="Low","linkCategory1",IF(TableRelationships12[[#This Row],[Rank Pedro]]="Medium","linkCategory2",IF(TableRelationships12[[#This Row],[Rank Pedro]]="High","linkCategory3","")))</f>
        <v/>
      </c>
      <c r="U634" s="102" t="str">
        <f>IF(TableRelationships12[[#This Row],[Rank Pedro]]="Low","Pink",IF(TableRelationships12[[#This Row],[Rank Pedro]]="Medium","Purple",IF(TableRelationships12[[#This Row],[Rank Pedro]]="High","Brown","")))</f>
        <v/>
      </c>
      <c r="V634" s="4" t="e">
        <f>MAX(INDEX(Standards!$F$2:$F$296,MATCH(B634,Standards!$B$2:$B$296,0)),INDEX(Standards!$F$2:$F$296,MATCH(C634,Standards!$B$2:$B$296,0)))</f>
        <v>#N/A</v>
      </c>
      <c r="W634" t="str">
        <f t="shared" si="29"/>
        <v>#2f89d1</v>
      </c>
    </row>
    <row r="635" spans="1:23" x14ac:dyDescent="0.5">
      <c r="A635" s="54">
        <v>634</v>
      </c>
      <c r="B635" s="90" t="s">
        <v>316</v>
      </c>
      <c r="C635" t="s">
        <v>1606</v>
      </c>
      <c r="D635" s="1"/>
      <c r="E635" s="112">
        <v>1985.05</v>
      </c>
      <c r="F635" s="112">
        <v>1999.01</v>
      </c>
      <c r="G635" s="107" t="s">
        <v>1501</v>
      </c>
      <c r="H635">
        <f>INDEX('GIS-Standards'!$A$2:$A$305,MATCH(B635,'GIS-Standards'!$B$2:$B$305,0))</f>
        <v>27</v>
      </c>
      <c r="I635" t="e">
        <f>INDEX('GIS-Standards'!$A$2:$A$305,MATCH(C635,'GIS-Standards'!$B$2:$B$305,0))</f>
        <v>#N/A</v>
      </c>
      <c r="J635" t="str">
        <f>INDEX('GIS-Standards'!$O$2:$O$305,MATCH(B635,'GIS-Standards'!$B$2:$B$305,0))</f>
        <v>ISO/TC 211</v>
      </c>
      <c r="K635" t="e">
        <f>INDEX('GIS-Standards'!$O$2:$O$305,MATCH(C635,'GIS-Standards'!$B$2:$B$305,0))</f>
        <v>#N/A</v>
      </c>
      <c r="M635" t="s">
        <v>525</v>
      </c>
      <c r="N635">
        <f>INDEX('GIS-Standards'!$I$2:$I$305,MATCH(B635,'GIS-Standards'!$B$2:$B$305,0))</f>
        <v>0</v>
      </c>
      <c r="O635" t="e">
        <f>INDEX('GIS-Standards'!$I$2:$I$305,MATCH(C635,'GIS-Standards'!$B$2:$B$305,0))</f>
        <v>#N/A</v>
      </c>
      <c r="P635" t="e">
        <f>AND(TableRelationships12[[#This Row],[Source Type]]="BIM",TableRelationships12[[#This Row],[Target Type]]="BIM")</f>
        <v>#N/A</v>
      </c>
      <c r="Q635">
        <f t="shared" si="27"/>
        <v>1</v>
      </c>
      <c r="S635">
        <f t="shared" si="28"/>
        <v>1</v>
      </c>
      <c r="T635" s="102" t="str">
        <f>IF(TableRelationships12[[#This Row],[Rank Pedro]]="Low","linkCategory1",IF(TableRelationships12[[#This Row],[Rank Pedro]]="Medium","linkCategory2",IF(TableRelationships12[[#This Row],[Rank Pedro]]="High","linkCategory3","")))</f>
        <v/>
      </c>
      <c r="U635" s="102" t="str">
        <f>IF(TableRelationships12[[#This Row],[Rank Pedro]]="Low","Pink",IF(TableRelationships12[[#This Row],[Rank Pedro]]="Medium","Purple",IF(TableRelationships12[[#This Row],[Rank Pedro]]="High","Brown","")))</f>
        <v/>
      </c>
      <c r="V635" s="4" t="e">
        <f>MAX(INDEX(Standards!$F$2:$F$296,MATCH(B635,Standards!$B$2:$B$296,0)),INDEX(Standards!$F$2:$F$296,MATCH(C635,Standards!$B$2:$B$296,0)))</f>
        <v>#N/A</v>
      </c>
      <c r="W635" t="str">
        <f t="shared" si="29"/>
        <v>#2f89d1</v>
      </c>
    </row>
    <row r="636" spans="1:23" x14ac:dyDescent="0.5">
      <c r="A636" s="54">
        <v>635</v>
      </c>
      <c r="B636" s="90" t="s">
        <v>316</v>
      </c>
      <c r="C636" t="s">
        <v>1607</v>
      </c>
      <c r="D636" s="1"/>
      <c r="E636" s="112">
        <v>1992.12</v>
      </c>
      <c r="F636" s="112">
        <v>1998.07</v>
      </c>
      <c r="G636" s="107" t="s">
        <v>1501</v>
      </c>
      <c r="H636">
        <f>INDEX('GIS-Standards'!$A$2:$A$305,MATCH(B636,'GIS-Standards'!$B$2:$B$305,0))</f>
        <v>27</v>
      </c>
      <c r="I636" t="e">
        <f>INDEX('GIS-Standards'!$A$2:$A$305,MATCH(C636,'GIS-Standards'!$B$2:$B$305,0))</f>
        <v>#N/A</v>
      </c>
      <c r="J636" t="str">
        <f>INDEX('GIS-Standards'!$O$2:$O$305,MATCH(B636,'GIS-Standards'!$B$2:$B$305,0))</f>
        <v>ISO/TC 211</v>
      </c>
      <c r="K636" t="e">
        <f>INDEX('GIS-Standards'!$O$2:$O$305,MATCH(C636,'GIS-Standards'!$B$2:$B$305,0))</f>
        <v>#N/A</v>
      </c>
      <c r="M636" t="s">
        <v>525</v>
      </c>
      <c r="N636">
        <f>INDEX('GIS-Standards'!$I$2:$I$305,MATCH(B636,'GIS-Standards'!$B$2:$B$305,0))</f>
        <v>0</v>
      </c>
      <c r="O636" t="e">
        <f>INDEX('GIS-Standards'!$I$2:$I$305,MATCH(C636,'GIS-Standards'!$B$2:$B$305,0))</f>
        <v>#N/A</v>
      </c>
      <c r="P636" t="e">
        <f>AND(TableRelationships12[[#This Row],[Source Type]]="BIM",TableRelationships12[[#This Row],[Target Type]]="BIM")</f>
        <v>#N/A</v>
      </c>
      <c r="Q636">
        <f t="shared" si="27"/>
        <v>1</v>
      </c>
      <c r="S636">
        <f t="shared" si="28"/>
        <v>1</v>
      </c>
      <c r="T636" s="102" t="str">
        <f>IF(TableRelationships12[[#This Row],[Rank Pedro]]="Low","linkCategory1",IF(TableRelationships12[[#This Row],[Rank Pedro]]="Medium","linkCategory2",IF(TableRelationships12[[#This Row],[Rank Pedro]]="High","linkCategory3","")))</f>
        <v/>
      </c>
      <c r="U636" s="102" t="str">
        <f>IF(TableRelationships12[[#This Row],[Rank Pedro]]="Low","Pink",IF(TableRelationships12[[#This Row],[Rank Pedro]]="Medium","Purple",IF(TableRelationships12[[#This Row],[Rank Pedro]]="High","Brown","")))</f>
        <v/>
      </c>
      <c r="V636" s="4" t="e">
        <f>MAX(INDEX(Standards!$F$2:$F$296,MATCH(B636,Standards!$B$2:$B$296,0)),INDEX(Standards!$F$2:$F$296,MATCH(C636,Standards!$B$2:$B$296,0)))</f>
        <v>#N/A</v>
      </c>
      <c r="W636" t="str">
        <f t="shared" si="29"/>
        <v>#2f89d1</v>
      </c>
    </row>
    <row r="637" spans="1:23" x14ac:dyDescent="0.5">
      <c r="A637" s="54">
        <v>636</v>
      </c>
      <c r="B637" s="90" t="s">
        <v>316</v>
      </c>
      <c r="C637" t="s">
        <v>1608</v>
      </c>
      <c r="D637" s="1"/>
      <c r="E637" s="112">
        <v>2001.12</v>
      </c>
      <c r="F637" s="112">
        <v>2001.12</v>
      </c>
      <c r="G637" s="107" t="s">
        <v>1501</v>
      </c>
      <c r="H637">
        <f>INDEX('GIS-Standards'!$A$2:$A$305,MATCH(B637,'GIS-Standards'!$B$2:$B$305,0))</f>
        <v>27</v>
      </c>
      <c r="I637" t="e">
        <f>INDEX('GIS-Standards'!$A$2:$A$305,MATCH(C637,'GIS-Standards'!$B$2:$B$305,0))</f>
        <v>#N/A</v>
      </c>
      <c r="J637" t="str">
        <f>INDEX('GIS-Standards'!$O$2:$O$305,MATCH(B637,'GIS-Standards'!$B$2:$B$305,0))</f>
        <v>ISO/TC 211</v>
      </c>
      <c r="K637" t="e">
        <f>INDEX('GIS-Standards'!$O$2:$O$305,MATCH(C637,'GIS-Standards'!$B$2:$B$305,0))</f>
        <v>#N/A</v>
      </c>
      <c r="M637" t="s">
        <v>525</v>
      </c>
      <c r="N637">
        <f>INDEX('GIS-Standards'!$I$2:$I$305,MATCH(B637,'GIS-Standards'!$B$2:$B$305,0))</f>
        <v>0</v>
      </c>
      <c r="O637" t="e">
        <f>INDEX('GIS-Standards'!$I$2:$I$305,MATCH(C637,'GIS-Standards'!$B$2:$B$305,0))</f>
        <v>#N/A</v>
      </c>
      <c r="P637" t="e">
        <f>AND(TableRelationships12[[#This Row],[Source Type]]="BIM",TableRelationships12[[#This Row],[Target Type]]="BIM")</f>
        <v>#N/A</v>
      </c>
      <c r="Q637">
        <f t="shared" si="27"/>
        <v>1</v>
      </c>
      <c r="S637">
        <f t="shared" si="28"/>
        <v>1</v>
      </c>
      <c r="T637" s="102" t="str">
        <f>IF(TableRelationships12[[#This Row],[Rank Pedro]]="Low","linkCategory1",IF(TableRelationships12[[#This Row],[Rank Pedro]]="Medium","linkCategory2",IF(TableRelationships12[[#This Row],[Rank Pedro]]="High","linkCategory3","")))</f>
        <v/>
      </c>
      <c r="U637" s="102" t="str">
        <f>IF(TableRelationships12[[#This Row],[Rank Pedro]]="Low","Pink",IF(TableRelationships12[[#This Row],[Rank Pedro]]="Medium","Purple",IF(TableRelationships12[[#This Row],[Rank Pedro]]="High","Brown","")))</f>
        <v/>
      </c>
      <c r="V637" s="4" t="e">
        <f>MAX(INDEX(Standards!$F$2:$F$296,MATCH(B637,Standards!$B$2:$B$296,0)),INDEX(Standards!$F$2:$F$296,MATCH(C637,Standards!$B$2:$B$296,0)))</f>
        <v>#N/A</v>
      </c>
      <c r="W637" t="str">
        <f t="shared" si="29"/>
        <v>#2f89d1</v>
      </c>
    </row>
    <row r="638" spans="1:23" x14ac:dyDescent="0.5">
      <c r="A638" s="54">
        <v>637</v>
      </c>
      <c r="B638" s="90" t="s">
        <v>316</v>
      </c>
      <c r="C638" t="s">
        <v>1609</v>
      </c>
      <c r="D638" s="1"/>
      <c r="E638" s="112">
        <v>1998.1</v>
      </c>
      <c r="F638" s="112">
        <v>1998.1</v>
      </c>
      <c r="G638" s="107" t="s">
        <v>1501</v>
      </c>
      <c r="H638">
        <f>INDEX('GIS-Standards'!$A$2:$A$305,MATCH(B638,'GIS-Standards'!$B$2:$B$305,0))</f>
        <v>27</v>
      </c>
      <c r="I638" t="e">
        <f>INDEX('GIS-Standards'!$A$2:$A$305,MATCH(C638,'GIS-Standards'!$B$2:$B$305,0))</f>
        <v>#N/A</v>
      </c>
      <c r="J638" t="str">
        <f>INDEX('GIS-Standards'!$O$2:$O$305,MATCH(B638,'GIS-Standards'!$B$2:$B$305,0))</f>
        <v>ISO/TC 211</v>
      </c>
      <c r="K638" t="e">
        <f>INDEX('GIS-Standards'!$O$2:$O$305,MATCH(C638,'GIS-Standards'!$B$2:$B$305,0))</f>
        <v>#N/A</v>
      </c>
      <c r="M638" t="s">
        <v>525</v>
      </c>
      <c r="N638">
        <f>INDEX('GIS-Standards'!$I$2:$I$305,MATCH(B638,'GIS-Standards'!$B$2:$B$305,0))</f>
        <v>0</v>
      </c>
      <c r="O638" t="e">
        <f>INDEX('GIS-Standards'!$I$2:$I$305,MATCH(C638,'GIS-Standards'!$B$2:$B$305,0))</f>
        <v>#N/A</v>
      </c>
      <c r="P638" t="e">
        <f>AND(TableRelationships12[[#This Row],[Source Type]]="BIM",TableRelationships12[[#This Row],[Target Type]]="BIM")</f>
        <v>#N/A</v>
      </c>
      <c r="Q638">
        <f t="shared" si="27"/>
        <v>1</v>
      </c>
      <c r="S638">
        <f t="shared" si="28"/>
        <v>1</v>
      </c>
      <c r="T638" s="102" t="str">
        <f>IF(TableRelationships12[[#This Row],[Rank Pedro]]="Low","linkCategory1",IF(TableRelationships12[[#This Row],[Rank Pedro]]="Medium","linkCategory2",IF(TableRelationships12[[#This Row],[Rank Pedro]]="High","linkCategory3","")))</f>
        <v/>
      </c>
      <c r="U638" s="102" t="str">
        <f>IF(TableRelationships12[[#This Row],[Rank Pedro]]="Low","Pink",IF(TableRelationships12[[#This Row],[Rank Pedro]]="Medium","Purple",IF(TableRelationships12[[#This Row],[Rank Pedro]]="High","Brown","")))</f>
        <v/>
      </c>
      <c r="V638" s="4" t="e">
        <f>MAX(INDEX(Standards!$F$2:$F$296,MATCH(B638,Standards!$B$2:$B$296,0)),INDEX(Standards!$F$2:$F$296,MATCH(C638,Standards!$B$2:$B$296,0)))</f>
        <v>#N/A</v>
      </c>
      <c r="W638" t="str">
        <f t="shared" si="29"/>
        <v>#2f89d1</v>
      </c>
    </row>
    <row r="639" spans="1:23" x14ac:dyDescent="0.5">
      <c r="A639" s="54">
        <v>638</v>
      </c>
      <c r="B639" s="90" t="s">
        <v>316</v>
      </c>
      <c r="C639" t="s">
        <v>1610</v>
      </c>
      <c r="D639" s="1"/>
      <c r="E639" s="112">
        <v>1998.11</v>
      </c>
      <c r="F639" s="112">
        <v>1998.11</v>
      </c>
      <c r="G639" s="107" t="s">
        <v>1501</v>
      </c>
      <c r="H639">
        <f>INDEX('GIS-Standards'!$A$2:$A$305,MATCH(B639,'GIS-Standards'!$B$2:$B$305,0))</f>
        <v>27</v>
      </c>
      <c r="I639" t="e">
        <f>INDEX('GIS-Standards'!$A$2:$A$305,MATCH(C639,'GIS-Standards'!$B$2:$B$305,0))</f>
        <v>#N/A</v>
      </c>
      <c r="J639" t="str">
        <f>INDEX('GIS-Standards'!$O$2:$O$305,MATCH(B639,'GIS-Standards'!$B$2:$B$305,0))</f>
        <v>ISO/TC 211</v>
      </c>
      <c r="K639" t="e">
        <f>INDEX('GIS-Standards'!$O$2:$O$305,MATCH(C639,'GIS-Standards'!$B$2:$B$305,0))</f>
        <v>#N/A</v>
      </c>
      <c r="M639" t="s">
        <v>525</v>
      </c>
      <c r="N639">
        <f>INDEX('GIS-Standards'!$I$2:$I$305,MATCH(B639,'GIS-Standards'!$B$2:$B$305,0))</f>
        <v>0</v>
      </c>
      <c r="O639" t="e">
        <f>INDEX('GIS-Standards'!$I$2:$I$305,MATCH(C639,'GIS-Standards'!$B$2:$B$305,0))</f>
        <v>#N/A</v>
      </c>
      <c r="P639" t="e">
        <f>AND(TableRelationships12[[#This Row],[Source Type]]="BIM",TableRelationships12[[#This Row],[Target Type]]="BIM")</f>
        <v>#N/A</v>
      </c>
      <c r="Q639">
        <f t="shared" si="27"/>
        <v>1</v>
      </c>
      <c r="S639">
        <f t="shared" si="28"/>
        <v>1</v>
      </c>
      <c r="T639" s="102" t="str">
        <f>IF(TableRelationships12[[#This Row],[Rank Pedro]]="Low","linkCategory1",IF(TableRelationships12[[#This Row],[Rank Pedro]]="Medium","linkCategory2",IF(TableRelationships12[[#This Row],[Rank Pedro]]="High","linkCategory3","")))</f>
        <v/>
      </c>
      <c r="U639" s="102" t="str">
        <f>IF(TableRelationships12[[#This Row],[Rank Pedro]]="Low","Pink",IF(TableRelationships12[[#This Row],[Rank Pedro]]="Medium","Purple",IF(TableRelationships12[[#This Row],[Rank Pedro]]="High","Brown","")))</f>
        <v/>
      </c>
      <c r="V639" s="4" t="e">
        <f>MAX(INDEX(Standards!$F$2:$F$296,MATCH(B639,Standards!$B$2:$B$296,0)),INDEX(Standards!$F$2:$F$296,MATCH(C639,Standards!$B$2:$B$296,0)))</f>
        <v>#N/A</v>
      </c>
      <c r="W639" t="str">
        <f t="shared" si="29"/>
        <v>#2f89d1</v>
      </c>
    </row>
    <row r="640" spans="1:23" x14ac:dyDescent="0.5">
      <c r="A640" s="54">
        <v>639</v>
      </c>
      <c r="B640" s="90" t="s">
        <v>316</v>
      </c>
      <c r="C640" t="s">
        <v>1611</v>
      </c>
      <c r="D640" s="1"/>
      <c r="E640" s="112">
        <v>1999.03</v>
      </c>
      <c r="F640" s="112">
        <v>1999.03</v>
      </c>
      <c r="G640" s="107" t="s">
        <v>1501</v>
      </c>
      <c r="H640">
        <f>INDEX('GIS-Standards'!$A$2:$A$305,MATCH(B640,'GIS-Standards'!$B$2:$B$305,0))</f>
        <v>27</v>
      </c>
      <c r="I640" t="e">
        <f>INDEX('GIS-Standards'!$A$2:$A$305,MATCH(C640,'GIS-Standards'!$B$2:$B$305,0))</f>
        <v>#N/A</v>
      </c>
      <c r="J640" t="str">
        <f>INDEX('GIS-Standards'!$O$2:$O$305,MATCH(B640,'GIS-Standards'!$B$2:$B$305,0))</f>
        <v>ISO/TC 211</v>
      </c>
      <c r="K640" t="e">
        <f>INDEX('GIS-Standards'!$O$2:$O$305,MATCH(C640,'GIS-Standards'!$B$2:$B$305,0))</f>
        <v>#N/A</v>
      </c>
      <c r="M640" t="s">
        <v>525</v>
      </c>
      <c r="N640">
        <f>INDEX('GIS-Standards'!$I$2:$I$305,MATCH(B640,'GIS-Standards'!$B$2:$B$305,0))</f>
        <v>0</v>
      </c>
      <c r="O640" t="e">
        <f>INDEX('GIS-Standards'!$I$2:$I$305,MATCH(C640,'GIS-Standards'!$B$2:$B$305,0))</f>
        <v>#N/A</v>
      </c>
      <c r="P640" t="e">
        <f>AND(TableRelationships12[[#This Row],[Source Type]]="BIM",TableRelationships12[[#This Row],[Target Type]]="BIM")</f>
        <v>#N/A</v>
      </c>
      <c r="Q640">
        <f t="shared" si="27"/>
        <v>1</v>
      </c>
      <c r="S640">
        <f t="shared" si="28"/>
        <v>1</v>
      </c>
      <c r="T640" s="102" t="str">
        <f>IF(TableRelationships12[[#This Row],[Rank Pedro]]="Low","linkCategory1",IF(TableRelationships12[[#This Row],[Rank Pedro]]="Medium","linkCategory2",IF(TableRelationships12[[#This Row],[Rank Pedro]]="High","linkCategory3","")))</f>
        <v/>
      </c>
      <c r="U640" s="102" t="str">
        <f>IF(TableRelationships12[[#This Row],[Rank Pedro]]="Low","Pink",IF(TableRelationships12[[#This Row],[Rank Pedro]]="Medium","Purple",IF(TableRelationships12[[#This Row],[Rank Pedro]]="High","Brown","")))</f>
        <v/>
      </c>
      <c r="V640" s="4" t="e">
        <f>MAX(INDEX(Standards!$F$2:$F$296,MATCH(B640,Standards!$B$2:$B$296,0)),INDEX(Standards!$F$2:$F$296,MATCH(C640,Standards!$B$2:$B$296,0)))</f>
        <v>#N/A</v>
      </c>
      <c r="W640" t="str">
        <f t="shared" si="29"/>
        <v>#2f89d1</v>
      </c>
    </row>
    <row r="641" spans="1:23" x14ac:dyDescent="0.5">
      <c r="A641" s="54">
        <v>640</v>
      </c>
      <c r="B641" s="90" t="s">
        <v>316</v>
      </c>
      <c r="C641" t="s">
        <v>1612</v>
      </c>
      <c r="D641" s="1"/>
      <c r="E641" s="112">
        <v>2001.07</v>
      </c>
      <c r="F641" s="112">
        <v>2001.07</v>
      </c>
      <c r="G641" s="107" t="s">
        <v>1501</v>
      </c>
      <c r="H641">
        <f>INDEX('GIS-Standards'!$A$2:$A$305,MATCH(B641,'GIS-Standards'!$B$2:$B$305,0))</f>
        <v>27</v>
      </c>
      <c r="I641" t="e">
        <f>INDEX('GIS-Standards'!$A$2:$A$305,MATCH(C641,'GIS-Standards'!$B$2:$B$305,0))</f>
        <v>#N/A</v>
      </c>
      <c r="J641" t="str">
        <f>INDEX('GIS-Standards'!$O$2:$O$305,MATCH(B641,'GIS-Standards'!$B$2:$B$305,0))</f>
        <v>ISO/TC 211</v>
      </c>
      <c r="K641" t="e">
        <f>INDEX('GIS-Standards'!$O$2:$O$305,MATCH(C641,'GIS-Standards'!$B$2:$B$305,0))</f>
        <v>#N/A</v>
      </c>
      <c r="M641" t="s">
        <v>525</v>
      </c>
      <c r="N641">
        <f>INDEX('GIS-Standards'!$I$2:$I$305,MATCH(B641,'GIS-Standards'!$B$2:$B$305,0))</f>
        <v>0</v>
      </c>
      <c r="O641" t="e">
        <f>INDEX('GIS-Standards'!$I$2:$I$305,MATCH(C641,'GIS-Standards'!$B$2:$B$305,0))</f>
        <v>#N/A</v>
      </c>
      <c r="P641" t="e">
        <f>AND(TableRelationships12[[#This Row],[Source Type]]="BIM",TableRelationships12[[#This Row],[Target Type]]="BIM")</f>
        <v>#N/A</v>
      </c>
      <c r="Q641">
        <f t="shared" si="27"/>
        <v>1</v>
      </c>
      <c r="S641">
        <f t="shared" si="28"/>
        <v>1</v>
      </c>
      <c r="T641" s="102" t="str">
        <f>IF(TableRelationships12[[#This Row],[Rank Pedro]]="Low","linkCategory1",IF(TableRelationships12[[#This Row],[Rank Pedro]]="Medium","linkCategory2",IF(TableRelationships12[[#This Row],[Rank Pedro]]="High","linkCategory3","")))</f>
        <v/>
      </c>
      <c r="U641" s="102" t="str">
        <f>IF(TableRelationships12[[#This Row],[Rank Pedro]]="Low","Pink",IF(TableRelationships12[[#This Row],[Rank Pedro]]="Medium","Purple",IF(TableRelationships12[[#This Row],[Rank Pedro]]="High","Brown","")))</f>
        <v/>
      </c>
      <c r="V641" s="4" t="e">
        <f>MAX(INDEX(Standards!$F$2:$F$296,MATCH(B641,Standards!$B$2:$B$296,0)),INDEX(Standards!$F$2:$F$296,MATCH(C641,Standards!$B$2:$B$296,0)))</f>
        <v>#N/A</v>
      </c>
      <c r="W641" t="str">
        <f t="shared" si="29"/>
        <v>#2f89d1</v>
      </c>
    </row>
    <row r="642" spans="1:23" x14ac:dyDescent="0.5">
      <c r="A642" s="54">
        <v>641</v>
      </c>
      <c r="B642" s="90" t="s">
        <v>316</v>
      </c>
      <c r="C642" t="s">
        <v>1134</v>
      </c>
      <c r="D642" s="1"/>
      <c r="E642" s="112">
        <v>1986.1</v>
      </c>
      <c r="F642" s="112">
        <v>1988.07</v>
      </c>
      <c r="G642" s="107" t="s">
        <v>1458</v>
      </c>
      <c r="H642">
        <f>INDEX('GIS-Standards'!$A$2:$A$305,MATCH(B642,'GIS-Standards'!$B$2:$B$305,0))</f>
        <v>27</v>
      </c>
      <c r="I642" t="e">
        <f>INDEX('GIS-Standards'!$A$2:$A$305,MATCH(C642,'GIS-Standards'!$B$2:$B$305,0))</f>
        <v>#N/A</v>
      </c>
      <c r="J642" t="str">
        <f>INDEX('GIS-Standards'!$O$2:$O$305,MATCH(B642,'GIS-Standards'!$B$2:$B$305,0))</f>
        <v>ISO/TC 211</v>
      </c>
      <c r="K642" t="e">
        <f>INDEX('GIS-Standards'!$O$2:$O$305,MATCH(C642,'GIS-Standards'!$B$2:$B$305,0))</f>
        <v>#N/A</v>
      </c>
      <c r="M642" t="s">
        <v>525</v>
      </c>
      <c r="N642">
        <f>INDEX('GIS-Standards'!$I$2:$I$305,MATCH(B642,'GIS-Standards'!$B$2:$B$305,0))</f>
        <v>0</v>
      </c>
      <c r="O642" t="e">
        <f>INDEX('GIS-Standards'!$I$2:$I$305,MATCH(C642,'GIS-Standards'!$B$2:$B$305,0))</f>
        <v>#N/A</v>
      </c>
      <c r="P642" t="e">
        <f>AND(TableRelationships12[[#This Row],[Source Type]]="BIM",TableRelationships12[[#This Row],[Target Type]]="BIM")</f>
        <v>#N/A</v>
      </c>
      <c r="Q642">
        <f t="shared" ref="Q642:Q705" si="30">IF(M642="Normative",6,IF(M642="Secondary",4,IF(M642="Anchor",2,1)))</f>
        <v>1</v>
      </c>
      <c r="S642">
        <f t="shared" ref="S642:S705" si="31">IF(R642="High",10,IF(R642="Medium",6,IF(R642="Low",2,1)))</f>
        <v>1</v>
      </c>
      <c r="T642" s="102" t="str">
        <f>IF(TableRelationships12[[#This Row],[Rank Pedro]]="Low","linkCategory1",IF(TableRelationships12[[#This Row],[Rank Pedro]]="Medium","linkCategory2",IF(TableRelationships12[[#This Row],[Rank Pedro]]="High","linkCategory3","")))</f>
        <v/>
      </c>
      <c r="U642" s="102" t="str">
        <f>IF(TableRelationships12[[#This Row],[Rank Pedro]]="Low","Pink",IF(TableRelationships12[[#This Row],[Rank Pedro]]="Medium","Purple",IF(TableRelationships12[[#This Row],[Rank Pedro]]="High","Brown","")))</f>
        <v/>
      </c>
      <c r="V642" s="4" t="e">
        <f>MAX(INDEX(Standards!$F$2:$F$296,MATCH(B642,Standards!$B$2:$B$296,0)),INDEX(Standards!$F$2:$F$296,MATCH(C642,Standards!$B$2:$B$296,0)))</f>
        <v>#N/A</v>
      </c>
      <c r="W642" t="str">
        <f t="shared" ref="W642:W705" si="32">IF(M642="Normative", "#d6bf2a", IF(M642="Informative", "#2f89d1", 1))</f>
        <v>#2f89d1</v>
      </c>
    </row>
    <row r="643" spans="1:23" x14ac:dyDescent="0.5">
      <c r="A643" s="54">
        <v>642</v>
      </c>
      <c r="B643" s="90" t="s">
        <v>316</v>
      </c>
      <c r="C643" t="s">
        <v>366</v>
      </c>
      <c r="D643" s="1"/>
      <c r="E643" s="113">
        <v>2005.07</v>
      </c>
      <c r="F643" s="113">
        <v>2014.08</v>
      </c>
      <c r="G643" s="107" t="s">
        <v>1489</v>
      </c>
      <c r="H643">
        <f>INDEX('GIS-Standards'!$A$2:$A$305,MATCH(B643,'GIS-Standards'!$B$2:$B$305,0))</f>
        <v>27</v>
      </c>
      <c r="I643" t="e">
        <f>INDEX('GIS-Standards'!$A$2:$A$305,MATCH(C643,'GIS-Standards'!$B$2:$B$305,0))</f>
        <v>#N/A</v>
      </c>
      <c r="J643" t="str">
        <f>INDEX('GIS-Standards'!$O$2:$O$305,MATCH(B643,'GIS-Standards'!$B$2:$B$305,0))</f>
        <v>ISO/TC 211</v>
      </c>
      <c r="K643" t="e">
        <f>INDEX('GIS-Standards'!$O$2:$O$305,MATCH(C643,'GIS-Standards'!$B$2:$B$305,0))</f>
        <v>#N/A</v>
      </c>
      <c r="M643" t="s">
        <v>525</v>
      </c>
      <c r="N643">
        <f>INDEX('GIS-Standards'!$I$2:$I$305,MATCH(B643,'GIS-Standards'!$B$2:$B$305,0))</f>
        <v>0</v>
      </c>
      <c r="O643" t="e">
        <f>INDEX('GIS-Standards'!$I$2:$I$305,MATCH(C643,'GIS-Standards'!$B$2:$B$305,0))</f>
        <v>#N/A</v>
      </c>
      <c r="P643" t="e">
        <f>AND(TableRelationships12[[#This Row],[Source Type]]="BIM",TableRelationships12[[#This Row],[Target Type]]="BIM")</f>
        <v>#N/A</v>
      </c>
      <c r="Q643">
        <f t="shared" si="30"/>
        <v>1</v>
      </c>
      <c r="S643">
        <f t="shared" si="31"/>
        <v>1</v>
      </c>
      <c r="T643" s="102" t="str">
        <f>IF(TableRelationships12[[#This Row],[Rank Pedro]]="Low","linkCategory1",IF(TableRelationships12[[#This Row],[Rank Pedro]]="Medium","linkCategory2",IF(TableRelationships12[[#This Row],[Rank Pedro]]="High","linkCategory3","")))</f>
        <v/>
      </c>
      <c r="U643" s="102" t="str">
        <f>IF(TableRelationships12[[#This Row],[Rank Pedro]]="Low","Pink",IF(TableRelationships12[[#This Row],[Rank Pedro]]="Medium","Purple",IF(TableRelationships12[[#This Row],[Rank Pedro]]="High","Brown","")))</f>
        <v/>
      </c>
      <c r="V643" s="4">
        <f>MAX(INDEX(Standards!$F$2:$F$296,MATCH(B643,Standards!$B$2:$B$296,0)),INDEX(Standards!$F$2:$F$296,MATCH(C643,Standards!$B$2:$B$296,0)))</f>
        <v>38534</v>
      </c>
      <c r="W643" t="str">
        <f t="shared" si="32"/>
        <v>#2f89d1</v>
      </c>
    </row>
    <row r="644" spans="1:23" x14ac:dyDescent="0.5">
      <c r="A644" s="54">
        <v>643</v>
      </c>
      <c r="B644" s="90" t="s">
        <v>316</v>
      </c>
      <c r="C644" t="s">
        <v>259</v>
      </c>
      <c r="D644" s="1"/>
      <c r="E644" s="112">
        <v>2002.01</v>
      </c>
      <c r="F644" s="112">
        <v>2016.03</v>
      </c>
      <c r="G644" s="107" t="s">
        <v>1448</v>
      </c>
      <c r="H644">
        <f>INDEX('GIS-Standards'!$A$2:$A$305,MATCH(B644,'GIS-Standards'!$B$2:$B$305,0))</f>
        <v>27</v>
      </c>
      <c r="I644" t="e">
        <f>INDEX('GIS-Standards'!$A$2:$A$305,MATCH(C644,'GIS-Standards'!$B$2:$B$305,0))</f>
        <v>#N/A</v>
      </c>
      <c r="J644" t="str">
        <f>INDEX('GIS-Standards'!$O$2:$O$305,MATCH(B644,'GIS-Standards'!$B$2:$B$305,0))</f>
        <v>ISO/TC 211</v>
      </c>
      <c r="K644" t="e">
        <f>INDEX('GIS-Standards'!$O$2:$O$305,MATCH(C644,'GIS-Standards'!$B$2:$B$305,0))</f>
        <v>#N/A</v>
      </c>
      <c r="M644" t="s">
        <v>525</v>
      </c>
      <c r="N644">
        <f>INDEX('GIS-Standards'!$I$2:$I$305,MATCH(B644,'GIS-Standards'!$B$2:$B$305,0))</f>
        <v>0</v>
      </c>
      <c r="O644" t="e">
        <f>INDEX('GIS-Standards'!$I$2:$I$305,MATCH(C644,'GIS-Standards'!$B$2:$B$305,0))</f>
        <v>#N/A</v>
      </c>
      <c r="P644" t="e">
        <f>AND(TableRelationships12[[#This Row],[Source Type]]="BIM",TableRelationships12[[#This Row],[Target Type]]="BIM")</f>
        <v>#N/A</v>
      </c>
      <c r="Q644">
        <f t="shared" si="30"/>
        <v>1</v>
      </c>
      <c r="S644">
        <f t="shared" si="31"/>
        <v>1</v>
      </c>
      <c r="T644" s="102" t="str">
        <f>IF(TableRelationships12[[#This Row],[Rank Pedro]]="Low","linkCategory1",IF(TableRelationships12[[#This Row],[Rank Pedro]]="Medium","linkCategory2",IF(TableRelationships12[[#This Row],[Rank Pedro]]="High","linkCategory3","")))</f>
        <v/>
      </c>
      <c r="U644" s="102" t="str">
        <f>IF(TableRelationships12[[#This Row],[Rank Pedro]]="Low","Pink",IF(TableRelationships12[[#This Row],[Rank Pedro]]="Medium","Purple",IF(TableRelationships12[[#This Row],[Rank Pedro]]="High","Brown","")))</f>
        <v/>
      </c>
      <c r="V644" s="4">
        <f>MAX(INDEX(Standards!$F$2:$F$296,MATCH(B644,Standards!$B$2:$B$296,0)),INDEX(Standards!$F$2:$F$296,MATCH(C644,Standards!$B$2:$B$296,0)))</f>
        <v>38534</v>
      </c>
      <c r="W644" t="str">
        <f t="shared" si="32"/>
        <v>#2f89d1</v>
      </c>
    </row>
    <row r="645" spans="1:23" x14ac:dyDescent="0.5">
      <c r="A645" s="54">
        <v>644</v>
      </c>
      <c r="B645" s="90" t="s">
        <v>316</v>
      </c>
      <c r="C645" t="s">
        <v>1150</v>
      </c>
      <c r="D645" s="1"/>
      <c r="E645" s="112">
        <v>2013.02</v>
      </c>
      <c r="F645" s="112">
        <v>2023.01</v>
      </c>
      <c r="G645" s="107" t="s">
        <v>1487</v>
      </c>
      <c r="H645">
        <f>INDEX('GIS-Standards'!$A$2:$A$305,MATCH(B645,'GIS-Standards'!$B$2:$B$305,0))</f>
        <v>27</v>
      </c>
      <c r="I645" t="e">
        <f>INDEX('GIS-Standards'!$A$2:$A$305,MATCH(C645,'GIS-Standards'!$B$2:$B$305,0))</f>
        <v>#N/A</v>
      </c>
      <c r="J645" t="str">
        <f>INDEX('GIS-Standards'!$O$2:$O$305,MATCH(B645,'GIS-Standards'!$B$2:$B$305,0))</f>
        <v>ISO/TC 211</v>
      </c>
      <c r="K645" t="e">
        <f>INDEX('GIS-Standards'!$O$2:$O$305,MATCH(C645,'GIS-Standards'!$B$2:$B$305,0))</f>
        <v>#N/A</v>
      </c>
      <c r="M645" t="s">
        <v>525</v>
      </c>
      <c r="N645">
        <f>INDEX('GIS-Standards'!$I$2:$I$305,MATCH(B645,'GIS-Standards'!$B$2:$B$305,0))</f>
        <v>0</v>
      </c>
      <c r="O645" t="e">
        <f>INDEX('GIS-Standards'!$I$2:$I$305,MATCH(C645,'GIS-Standards'!$B$2:$B$305,0))</f>
        <v>#N/A</v>
      </c>
      <c r="P645" t="e">
        <f>AND(TableRelationships12[[#This Row],[Source Type]]="BIM",TableRelationships12[[#This Row],[Target Type]]="BIM")</f>
        <v>#N/A</v>
      </c>
      <c r="Q645">
        <f t="shared" si="30"/>
        <v>1</v>
      </c>
      <c r="S645">
        <f t="shared" si="31"/>
        <v>1</v>
      </c>
      <c r="T645" s="102" t="str">
        <f>IF(TableRelationships12[[#This Row],[Rank Pedro]]="Low","linkCategory1",IF(TableRelationships12[[#This Row],[Rank Pedro]]="Medium","linkCategory2",IF(TableRelationships12[[#This Row],[Rank Pedro]]="High","linkCategory3","")))</f>
        <v/>
      </c>
      <c r="U645" s="102" t="str">
        <f>IF(TableRelationships12[[#This Row],[Rank Pedro]]="Low","Pink",IF(TableRelationships12[[#This Row],[Rank Pedro]]="Medium","Purple",IF(TableRelationships12[[#This Row],[Rank Pedro]]="High","Brown","")))</f>
        <v/>
      </c>
      <c r="V645" s="4" t="e">
        <f>MAX(INDEX(Standards!$F$2:$F$296,MATCH(B645,Standards!$B$2:$B$296,0)),INDEX(Standards!$F$2:$F$296,MATCH(C645,Standards!$B$2:$B$296,0)))</f>
        <v>#N/A</v>
      </c>
      <c r="W645" t="str">
        <f t="shared" si="32"/>
        <v>#2f89d1</v>
      </c>
    </row>
    <row r="646" spans="1:23" x14ac:dyDescent="0.5">
      <c r="A646" s="54">
        <v>645</v>
      </c>
      <c r="B646" s="90" t="s">
        <v>316</v>
      </c>
      <c r="C646" t="s">
        <v>198</v>
      </c>
      <c r="D646" s="1"/>
      <c r="E646" s="112">
        <v>1996.12</v>
      </c>
      <c r="F646" s="112">
        <v>1996.12</v>
      </c>
      <c r="G646" s="107" t="s">
        <v>1505</v>
      </c>
      <c r="H646">
        <f>INDEX('GIS-Standards'!$A$2:$A$305,MATCH(B646,'GIS-Standards'!$B$2:$B$305,0))</f>
        <v>27</v>
      </c>
      <c r="I646" t="e">
        <f>INDEX('GIS-Standards'!$A$2:$A$305,MATCH(C646,'GIS-Standards'!$B$2:$B$305,0))</f>
        <v>#N/A</v>
      </c>
      <c r="J646" t="str">
        <f>INDEX('GIS-Standards'!$O$2:$O$305,MATCH(B646,'GIS-Standards'!$B$2:$B$305,0))</f>
        <v>ISO/TC 211</v>
      </c>
      <c r="K646" t="e">
        <f>INDEX('GIS-Standards'!$O$2:$O$305,MATCH(C646,'GIS-Standards'!$B$2:$B$305,0))</f>
        <v>#N/A</v>
      </c>
      <c r="M646" t="s">
        <v>525</v>
      </c>
      <c r="N646">
        <f>INDEX('GIS-Standards'!$I$2:$I$305,MATCH(B646,'GIS-Standards'!$B$2:$B$305,0))</f>
        <v>0</v>
      </c>
      <c r="O646" t="e">
        <f>INDEX('GIS-Standards'!$I$2:$I$305,MATCH(C646,'GIS-Standards'!$B$2:$B$305,0))</f>
        <v>#N/A</v>
      </c>
      <c r="P646" t="e">
        <f>AND(TableRelationships12[[#This Row],[Source Type]]="BIM",TableRelationships12[[#This Row],[Target Type]]="BIM")</f>
        <v>#N/A</v>
      </c>
      <c r="Q646">
        <f t="shared" si="30"/>
        <v>1</v>
      </c>
      <c r="S646">
        <f t="shared" si="31"/>
        <v>1</v>
      </c>
      <c r="T646" s="102" t="str">
        <f>IF(TableRelationships12[[#This Row],[Rank Pedro]]="Low","linkCategory1",IF(TableRelationships12[[#This Row],[Rank Pedro]]="Medium","linkCategory2",IF(TableRelationships12[[#This Row],[Rank Pedro]]="High","linkCategory3","")))</f>
        <v/>
      </c>
      <c r="U646" s="102" t="str">
        <f>IF(TableRelationships12[[#This Row],[Rank Pedro]]="Low","Pink",IF(TableRelationships12[[#This Row],[Rank Pedro]]="Medium","Purple",IF(TableRelationships12[[#This Row],[Rank Pedro]]="High","Brown","")))</f>
        <v/>
      </c>
      <c r="V646" s="4">
        <f>MAX(INDEX(Standards!$F$2:$F$296,MATCH(B646,Standards!$B$2:$B$296,0)),INDEX(Standards!$F$2:$F$296,MATCH(C646,Standards!$B$2:$B$296,0)))</f>
        <v>38534</v>
      </c>
      <c r="W646" t="str">
        <f t="shared" si="32"/>
        <v>#2f89d1</v>
      </c>
    </row>
    <row r="647" spans="1:23" x14ac:dyDescent="0.5">
      <c r="A647" s="54">
        <v>646</v>
      </c>
      <c r="B647" s="90" t="s">
        <v>316</v>
      </c>
      <c r="C647" t="s">
        <v>293</v>
      </c>
      <c r="D647" s="1" t="s">
        <v>1127</v>
      </c>
      <c r="E647" s="112">
        <v>2002.07</v>
      </c>
      <c r="F647" s="112">
        <v>2014.11</v>
      </c>
      <c r="G647" s="107" t="s">
        <v>670</v>
      </c>
      <c r="H647">
        <f>INDEX('GIS-Standards'!$A$2:$A$305,MATCH(B647,'GIS-Standards'!$B$2:$B$305,0))</f>
        <v>27</v>
      </c>
      <c r="I647">
        <f>INDEX('GIS-Standards'!$A$2:$A$305,MATCH(C647,'GIS-Standards'!$B$2:$B$305,0))</f>
        <v>10</v>
      </c>
      <c r="J647" t="str">
        <f>INDEX('GIS-Standards'!$O$2:$O$305,MATCH(B647,'GIS-Standards'!$B$2:$B$305,0))</f>
        <v>ISO/TC 211</v>
      </c>
      <c r="K647" t="str">
        <f>INDEX('GIS-Standards'!$O$2:$O$305,MATCH(C647,'GIS-Standards'!$B$2:$B$305,0))</f>
        <v>ISO/TC 211</v>
      </c>
      <c r="M647" t="s">
        <v>525</v>
      </c>
      <c r="N647">
        <f>INDEX('GIS-Standards'!$I$2:$I$305,MATCH(B647,'GIS-Standards'!$B$2:$B$305,0))</f>
        <v>0</v>
      </c>
      <c r="O647">
        <f>INDEX('GIS-Standards'!$I$2:$I$305,MATCH(C647,'GIS-Standards'!$B$2:$B$305,0))</f>
        <v>0</v>
      </c>
      <c r="P647" t="b">
        <f>AND(TableRelationships12[[#This Row],[Source Type]]="BIM",TableRelationships12[[#This Row],[Target Type]]="BIM")</f>
        <v>0</v>
      </c>
      <c r="Q647">
        <f t="shared" si="30"/>
        <v>1</v>
      </c>
      <c r="S647">
        <f t="shared" si="31"/>
        <v>1</v>
      </c>
      <c r="T647" s="102" t="str">
        <f>IF(TableRelationships12[[#This Row],[Rank Pedro]]="Low","linkCategory1",IF(TableRelationships12[[#This Row],[Rank Pedro]]="Medium","linkCategory2",IF(TableRelationships12[[#This Row],[Rank Pedro]]="High","linkCategory3","")))</f>
        <v/>
      </c>
      <c r="U647" s="102" t="str">
        <f>IF(TableRelationships12[[#This Row],[Rank Pedro]]="Low","Pink",IF(TableRelationships12[[#This Row],[Rank Pedro]]="Medium","Purple",IF(TableRelationships12[[#This Row],[Rank Pedro]]="High","Brown","")))</f>
        <v/>
      </c>
      <c r="V647" s="4">
        <f>MAX(INDEX(Standards!$F$2:$F$296,MATCH(B647,Standards!$B$2:$B$296,0)),INDEX(Standards!$F$2:$F$296,MATCH(C647,Standards!$B$2:$B$296,0)))</f>
        <v>38534</v>
      </c>
      <c r="W647" t="str">
        <f t="shared" si="32"/>
        <v>#2f89d1</v>
      </c>
    </row>
    <row r="648" spans="1:23" x14ac:dyDescent="0.5">
      <c r="A648" s="54">
        <v>647</v>
      </c>
      <c r="B648" s="90" t="s">
        <v>316</v>
      </c>
      <c r="C648" t="s">
        <v>298</v>
      </c>
      <c r="D648" s="1"/>
      <c r="E648" s="112">
        <v>2008.11</v>
      </c>
      <c r="F648" s="112">
        <v>2016.1</v>
      </c>
      <c r="G648" s="107" t="s">
        <v>1464</v>
      </c>
      <c r="H648">
        <f>INDEX('GIS-Standards'!$A$2:$A$305,MATCH(B648,'GIS-Standards'!$B$2:$B$305,0))</f>
        <v>27</v>
      </c>
      <c r="I648">
        <f>INDEX('GIS-Standards'!$A$2:$A$305,MATCH(C648,'GIS-Standards'!$B$2:$B$305,0))</f>
        <v>13</v>
      </c>
      <c r="J648" t="str">
        <f>INDEX('GIS-Standards'!$O$2:$O$305,MATCH(B648,'GIS-Standards'!$B$2:$B$305,0))</f>
        <v>ISO/TC 211</v>
      </c>
      <c r="K648" t="str">
        <f>INDEX('GIS-Standards'!$O$2:$O$305,MATCH(C648,'GIS-Standards'!$B$2:$B$305,0))</f>
        <v>ISO/TC 211</v>
      </c>
      <c r="M648" t="s">
        <v>525</v>
      </c>
      <c r="N648">
        <f>INDEX('GIS-Standards'!$I$2:$I$305,MATCH(B648,'GIS-Standards'!$B$2:$B$305,0))</f>
        <v>0</v>
      </c>
      <c r="O648">
        <f>INDEX('GIS-Standards'!$I$2:$I$305,MATCH(C648,'GIS-Standards'!$B$2:$B$305,0))</f>
        <v>0</v>
      </c>
      <c r="P648" t="b">
        <f>AND(TableRelationships12[[#This Row],[Source Type]]="BIM",TableRelationships12[[#This Row],[Target Type]]="BIM")</f>
        <v>0</v>
      </c>
      <c r="Q648">
        <f t="shared" si="30"/>
        <v>1</v>
      </c>
      <c r="S648">
        <f t="shared" si="31"/>
        <v>1</v>
      </c>
      <c r="T648" s="102" t="str">
        <f>IF(TableRelationships12[[#This Row],[Rank Pedro]]="Low","linkCategory1",IF(TableRelationships12[[#This Row],[Rank Pedro]]="Medium","linkCategory2",IF(TableRelationships12[[#This Row],[Rank Pedro]]="High","linkCategory3","")))</f>
        <v/>
      </c>
      <c r="U648" s="102" t="str">
        <f>IF(TableRelationships12[[#This Row],[Rank Pedro]]="Low","Pink",IF(TableRelationships12[[#This Row],[Rank Pedro]]="Medium","Purple",IF(TableRelationships12[[#This Row],[Rank Pedro]]="High","Brown","")))</f>
        <v/>
      </c>
      <c r="V648" s="4">
        <f>MAX(INDEX(Standards!$F$2:$F$296,MATCH(B648,Standards!$B$2:$B$296,0)),INDEX(Standards!$F$2:$F$296,MATCH(C648,Standards!$B$2:$B$296,0)))</f>
        <v>39753</v>
      </c>
      <c r="W648" t="str">
        <f t="shared" si="32"/>
        <v>#2f89d1</v>
      </c>
    </row>
    <row r="649" spans="1:23" x14ac:dyDescent="0.5">
      <c r="A649" s="54">
        <v>648</v>
      </c>
      <c r="B649" s="90" t="s">
        <v>316</v>
      </c>
      <c r="C649" t="s">
        <v>300</v>
      </c>
      <c r="D649" s="1"/>
      <c r="E649" s="112">
        <v>2000.12</v>
      </c>
      <c r="F649" s="112">
        <v>2022.07</v>
      </c>
      <c r="G649" s="107" t="s">
        <v>670</v>
      </c>
      <c r="H649">
        <f>INDEX('GIS-Standards'!$A$2:$A$305,MATCH(B649,'GIS-Standards'!$B$2:$B$305,0))</f>
        <v>27</v>
      </c>
      <c r="I649">
        <f>INDEX('GIS-Standards'!$A$2:$A$305,MATCH(C649,'GIS-Standards'!$B$2:$B$305,0))</f>
        <v>14</v>
      </c>
      <c r="J649" t="str">
        <f>INDEX('GIS-Standards'!$O$2:$O$305,MATCH(B649,'GIS-Standards'!$B$2:$B$305,0))</f>
        <v>ISO/TC 211</v>
      </c>
      <c r="K649" t="str">
        <f>INDEX('GIS-Standards'!$O$2:$O$305,MATCH(C649,'GIS-Standards'!$B$2:$B$305,0))</f>
        <v>ISO/TC 211</v>
      </c>
      <c r="M649" t="s">
        <v>525</v>
      </c>
      <c r="N649">
        <f>INDEX('GIS-Standards'!$I$2:$I$305,MATCH(B649,'GIS-Standards'!$B$2:$B$305,0))</f>
        <v>0</v>
      </c>
      <c r="O649">
        <f>INDEX('GIS-Standards'!$I$2:$I$305,MATCH(C649,'GIS-Standards'!$B$2:$B$305,0))</f>
        <v>0</v>
      </c>
      <c r="P649" t="b">
        <f>AND(TableRelationships12[[#This Row],[Source Type]]="BIM",TableRelationships12[[#This Row],[Target Type]]="BIM")</f>
        <v>0</v>
      </c>
      <c r="Q649">
        <f t="shared" si="30"/>
        <v>1</v>
      </c>
      <c r="S649">
        <f t="shared" si="31"/>
        <v>1</v>
      </c>
      <c r="T649" s="102" t="str">
        <f>IF(TableRelationships12[[#This Row],[Rank Pedro]]="Low","linkCategory1",IF(TableRelationships12[[#This Row],[Rank Pedro]]="Medium","linkCategory2",IF(TableRelationships12[[#This Row],[Rank Pedro]]="High","linkCategory3","")))</f>
        <v/>
      </c>
      <c r="U649" s="102" t="str">
        <f>IF(TableRelationships12[[#This Row],[Rank Pedro]]="Low","Pink",IF(TableRelationships12[[#This Row],[Rank Pedro]]="Medium","Purple",IF(TableRelationships12[[#This Row],[Rank Pedro]]="High","Brown","")))</f>
        <v/>
      </c>
      <c r="V649" s="4">
        <f>MAX(INDEX(Standards!$F$2:$F$296,MATCH(B649,Standards!$B$2:$B$296,0)),INDEX(Standards!$F$2:$F$296,MATCH(C649,Standards!$B$2:$B$296,0)))</f>
        <v>38534</v>
      </c>
      <c r="W649" t="str">
        <f t="shared" si="32"/>
        <v>#2f89d1</v>
      </c>
    </row>
    <row r="650" spans="1:23" x14ac:dyDescent="0.5">
      <c r="A650" s="54">
        <v>649</v>
      </c>
      <c r="B650" s="90" t="s">
        <v>316</v>
      </c>
      <c r="C650" t="s">
        <v>1040</v>
      </c>
      <c r="D650" s="1"/>
      <c r="E650" s="112">
        <v>2004.07</v>
      </c>
      <c r="F650" s="112">
        <v>2004.07</v>
      </c>
      <c r="G650" s="107" t="s">
        <v>670</v>
      </c>
      <c r="H650">
        <f>INDEX('GIS-Standards'!$A$2:$A$305,MATCH(B650,'GIS-Standards'!$B$2:$B$305,0))</f>
        <v>27</v>
      </c>
      <c r="I650">
        <f>INDEX('GIS-Standards'!$A$2:$A$305,MATCH(C650,'GIS-Standards'!$B$2:$B$305,0))</f>
        <v>15</v>
      </c>
      <c r="J650" t="str">
        <f>INDEX('GIS-Standards'!$O$2:$O$305,MATCH(B650,'GIS-Standards'!$B$2:$B$305,0))</f>
        <v>ISO/TC 211</v>
      </c>
      <c r="K650" t="str">
        <f>INDEX('GIS-Standards'!$O$2:$O$305,MATCH(C650,'GIS-Standards'!$B$2:$B$305,0))</f>
        <v>ISO/TC 211</v>
      </c>
      <c r="M650" t="s">
        <v>525</v>
      </c>
      <c r="N650">
        <f>INDEX('GIS-Standards'!$I$2:$I$305,MATCH(B650,'GIS-Standards'!$B$2:$B$305,0))</f>
        <v>0</v>
      </c>
      <c r="O650">
        <f>INDEX('GIS-Standards'!$I$2:$I$305,MATCH(C650,'GIS-Standards'!$B$2:$B$305,0))</f>
        <v>0</v>
      </c>
      <c r="P650" t="b">
        <f>AND(TableRelationships12[[#This Row],[Source Type]]="BIM",TableRelationships12[[#This Row],[Target Type]]="BIM")</f>
        <v>0</v>
      </c>
      <c r="Q650">
        <f t="shared" si="30"/>
        <v>1</v>
      </c>
      <c r="S650">
        <f t="shared" si="31"/>
        <v>1</v>
      </c>
      <c r="T650" s="102" t="str">
        <f>IF(TableRelationships12[[#This Row],[Rank Pedro]]="Low","linkCategory1",IF(TableRelationships12[[#This Row],[Rank Pedro]]="Medium","linkCategory2",IF(TableRelationships12[[#This Row],[Rank Pedro]]="High","linkCategory3","")))</f>
        <v/>
      </c>
      <c r="U650" s="102" t="str">
        <f>IF(TableRelationships12[[#This Row],[Rank Pedro]]="Low","Pink",IF(TableRelationships12[[#This Row],[Rank Pedro]]="Medium","Purple",IF(TableRelationships12[[#This Row],[Rank Pedro]]="High","Brown","")))</f>
        <v/>
      </c>
      <c r="V650" s="4" t="e">
        <f>MAX(INDEX(Standards!$F$2:$F$296,MATCH(B650,Standards!$B$2:$B$296,0)),INDEX(Standards!$F$2:$F$296,MATCH(C650,Standards!$B$2:$B$296,0)))</f>
        <v>#N/A</v>
      </c>
      <c r="W650" t="str">
        <f t="shared" si="32"/>
        <v>#2f89d1</v>
      </c>
    </row>
    <row r="651" spans="1:23" x14ac:dyDescent="0.5">
      <c r="A651" s="54">
        <v>650</v>
      </c>
      <c r="B651" s="90" t="s">
        <v>316</v>
      </c>
      <c r="C651" t="s">
        <v>302</v>
      </c>
      <c r="D651" s="1"/>
      <c r="E651" s="112">
        <v>2003.05</v>
      </c>
      <c r="F651" s="112">
        <v>2019.12</v>
      </c>
      <c r="G651" s="107" t="s">
        <v>670</v>
      </c>
      <c r="H651">
        <f>INDEX('GIS-Standards'!$A$2:$A$305,MATCH(B651,'GIS-Standards'!$B$2:$B$305,0))</f>
        <v>27</v>
      </c>
      <c r="I651">
        <f>INDEX('GIS-Standards'!$A$2:$A$305,MATCH(C651,'GIS-Standards'!$B$2:$B$305,0))</f>
        <v>16</v>
      </c>
      <c r="J651" t="str">
        <f>INDEX('GIS-Standards'!$O$2:$O$305,MATCH(B651,'GIS-Standards'!$B$2:$B$305,0))</f>
        <v>ISO/TC 211</v>
      </c>
      <c r="K651" t="str">
        <f>INDEX('GIS-Standards'!$O$2:$O$305,MATCH(C651,'GIS-Standards'!$B$2:$B$305,0))</f>
        <v>ISO/TC 211</v>
      </c>
      <c r="M651" t="s">
        <v>525</v>
      </c>
      <c r="N651">
        <f>INDEX('GIS-Standards'!$I$2:$I$305,MATCH(B651,'GIS-Standards'!$B$2:$B$305,0))</f>
        <v>0</v>
      </c>
      <c r="O651">
        <f>INDEX('GIS-Standards'!$I$2:$I$305,MATCH(C651,'GIS-Standards'!$B$2:$B$305,0))</f>
        <v>0</v>
      </c>
      <c r="P651" t="b">
        <f>AND(TableRelationships12[[#This Row],[Source Type]]="BIM",TableRelationships12[[#This Row],[Target Type]]="BIM")</f>
        <v>0</v>
      </c>
      <c r="Q651">
        <f t="shared" si="30"/>
        <v>1</v>
      </c>
      <c r="S651">
        <f t="shared" si="31"/>
        <v>1</v>
      </c>
      <c r="T651" s="102" t="str">
        <f>IF(TableRelationships12[[#This Row],[Rank Pedro]]="Low","linkCategory1",IF(TableRelationships12[[#This Row],[Rank Pedro]]="Medium","linkCategory2",IF(TableRelationships12[[#This Row],[Rank Pedro]]="High","linkCategory3","")))</f>
        <v/>
      </c>
      <c r="U651" s="102" t="str">
        <f>IF(TableRelationships12[[#This Row],[Rank Pedro]]="Low","Pink",IF(TableRelationships12[[#This Row],[Rank Pedro]]="Medium","Purple",IF(TableRelationships12[[#This Row],[Rank Pedro]]="High","Brown","")))</f>
        <v/>
      </c>
      <c r="V651" s="4">
        <f>MAX(INDEX(Standards!$F$2:$F$296,MATCH(B651,Standards!$B$2:$B$296,0)),INDEX(Standards!$F$2:$F$296,MATCH(C651,Standards!$B$2:$B$296,0)))</f>
        <v>38534</v>
      </c>
      <c r="W651" t="str">
        <f t="shared" si="32"/>
        <v>#2f89d1</v>
      </c>
    </row>
    <row r="652" spans="1:23" x14ac:dyDescent="0.5">
      <c r="A652" s="54">
        <v>651</v>
      </c>
      <c r="B652" s="90" t="s">
        <v>316</v>
      </c>
      <c r="C652" t="s">
        <v>304</v>
      </c>
      <c r="D652" s="1"/>
      <c r="E652" s="112">
        <v>2002.09</v>
      </c>
      <c r="F652" s="112">
        <v>2006.1</v>
      </c>
      <c r="G652" s="107" t="s">
        <v>670</v>
      </c>
      <c r="H652">
        <f>INDEX('GIS-Standards'!$A$2:$A$305,MATCH(B652,'GIS-Standards'!$B$2:$B$305,0))</f>
        <v>27</v>
      </c>
      <c r="I652">
        <f>INDEX('GIS-Standards'!$A$2:$A$305,MATCH(C652,'GIS-Standards'!$B$2:$B$305,0))</f>
        <v>17</v>
      </c>
      <c r="J652" t="str">
        <f>INDEX('GIS-Standards'!$O$2:$O$305,MATCH(B652,'GIS-Standards'!$B$2:$B$305,0))</f>
        <v>ISO/TC 211</v>
      </c>
      <c r="K652" t="str">
        <f>INDEX('GIS-Standards'!$O$2:$O$305,MATCH(C652,'GIS-Standards'!$B$2:$B$305,0))</f>
        <v>ISO/TC 211</v>
      </c>
      <c r="M652" t="s">
        <v>525</v>
      </c>
      <c r="N652">
        <f>INDEX('GIS-Standards'!$I$2:$I$305,MATCH(B652,'GIS-Standards'!$B$2:$B$305,0))</f>
        <v>0</v>
      </c>
      <c r="O652" t="str">
        <f>INDEX('GIS-Standards'!$I$2:$I$305,MATCH(C652,'GIS-Standards'!$B$2:$B$305,0))</f>
        <v>06.2008</v>
      </c>
      <c r="P652" t="b">
        <f>AND(TableRelationships12[[#This Row],[Source Type]]="BIM",TableRelationships12[[#This Row],[Target Type]]="BIM")</f>
        <v>0</v>
      </c>
      <c r="Q652">
        <f t="shared" si="30"/>
        <v>1</v>
      </c>
      <c r="S652">
        <f t="shared" si="31"/>
        <v>1</v>
      </c>
      <c r="T652" s="102" t="str">
        <f>IF(TableRelationships12[[#This Row],[Rank Pedro]]="Low","linkCategory1",IF(TableRelationships12[[#This Row],[Rank Pedro]]="Medium","linkCategory2",IF(TableRelationships12[[#This Row],[Rank Pedro]]="High","linkCategory3","")))</f>
        <v/>
      </c>
      <c r="U652" s="102" t="str">
        <f>IF(TableRelationships12[[#This Row],[Rank Pedro]]="Low","Pink",IF(TableRelationships12[[#This Row],[Rank Pedro]]="Medium","Purple",IF(TableRelationships12[[#This Row],[Rank Pedro]]="High","Brown","")))</f>
        <v/>
      </c>
      <c r="V652" s="4">
        <f>MAX(INDEX(Standards!$F$2:$F$296,MATCH(B652,Standards!$B$2:$B$296,0)),INDEX(Standards!$F$2:$F$296,MATCH(C652,Standards!$B$2:$B$296,0)))</f>
        <v>38534</v>
      </c>
      <c r="W652" t="str">
        <f t="shared" si="32"/>
        <v>#2f89d1</v>
      </c>
    </row>
    <row r="653" spans="1:23" x14ac:dyDescent="0.5">
      <c r="A653" s="54">
        <v>652</v>
      </c>
      <c r="B653" s="90" t="s">
        <v>316</v>
      </c>
      <c r="C653" t="s">
        <v>308</v>
      </c>
      <c r="D653" s="1"/>
      <c r="E653" s="112">
        <v>2005.02</v>
      </c>
      <c r="F653" s="112">
        <v>2016.12</v>
      </c>
      <c r="G653" s="107" t="s">
        <v>670</v>
      </c>
      <c r="H653">
        <f>INDEX('GIS-Standards'!$A$2:$A$305,MATCH(B653,'GIS-Standards'!$B$2:$B$305,0))</f>
        <v>27</v>
      </c>
      <c r="I653">
        <f>INDEX('GIS-Standards'!$A$2:$A$305,MATCH(C653,'GIS-Standards'!$B$2:$B$305,0))</f>
        <v>19</v>
      </c>
      <c r="J653" t="str">
        <f>INDEX('GIS-Standards'!$O$2:$O$305,MATCH(B653,'GIS-Standards'!$B$2:$B$305,0))</f>
        <v>ISO/TC 211</v>
      </c>
      <c r="K653" t="str">
        <f>INDEX('GIS-Standards'!$O$2:$O$305,MATCH(C653,'GIS-Standards'!$B$2:$B$305,0))</f>
        <v>ISO/TC 211</v>
      </c>
      <c r="M653" t="s">
        <v>525</v>
      </c>
      <c r="N653">
        <f>INDEX('GIS-Standards'!$I$2:$I$305,MATCH(B653,'GIS-Standards'!$B$2:$B$305,0))</f>
        <v>0</v>
      </c>
      <c r="O653">
        <f>INDEX('GIS-Standards'!$I$2:$I$305,MATCH(C653,'GIS-Standards'!$B$2:$B$305,0))</f>
        <v>0</v>
      </c>
      <c r="P653" t="b">
        <f>AND(TableRelationships12[[#This Row],[Source Type]]="BIM",TableRelationships12[[#This Row],[Target Type]]="BIM")</f>
        <v>0</v>
      </c>
      <c r="Q653">
        <f t="shared" si="30"/>
        <v>1</v>
      </c>
      <c r="S653">
        <f t="shared" si="31"/>
        <v>1</v>
      </c>
      <c r="T653" s="102" t="str">
        <f>IF(TableRelationships12[[#This Row],[Rank Pedro]]="Low","linkCategory1",IF(TableRelationships12[[#This Row],[Rank Pedro]]="Medium","linkCategory2",IF(TableRelationships12[[#This Row],[Rank Pedro]]="High","linkCategory3","")))</f>
        <v/>
      </c>
      <c r="U653" s="102" t="str">
        <f>IF(TableRelationships12[[#This Row],[Rank Pedro]]="Low","Pink",IF(TableRelationships12[[#This Row],[Rank Pedro]]="Medium","Purple",IF(TableRelationships12[[#This Row],[Rank Pedro]]="High","Brown","")))</f>
        <v/>
      </c>
      <c r="V653" s="4">
        <f>MAX(INDEX(Standards!$F$2:$F$296,MATCH(B653,Standards!$B$2:$B$296,0)),INDEX(Standards!$F$2:$F$296,MATCH(C653,Standards!$B$2:$B$296,0)))</f>
        <v>38534</v>
      </c>
      <c r="W653" t="str">
        <f t="shared" si="32"/>
        <v>#2f89d1</v>
      </c>
    </row>
    <row r="654" spans="1:23" x14ac:dyDescent="0.5">
      <c r="A654" s="54">
        <v>653</v>
      </c>
      <c r="B654" s="90" t="s">
        <v>316</v>
      </c>
      <c r="C654" t="s">
        <v>310</v>
      </c>
      <c r="D654" s="1"/>
      <c r="E654" s="112">
        <v>2003.02</v>
      </c>
      <c r="F654" s="112">
        <v>2023.08</v>
      </c>
      <c r="G654" s="107" t="s">
        <v>670</v>
      </c>
      <c r="H654">
        <f>INDEX('GIS-Standards'!$A$2:$A$305,MATCH(B654,'GIS-Standards'!$B$2:$B$305,0))</f>
        <v>27</v>
      </c>
      <c r="I654">
        <f>INDEX('GIS-Standards'!$A$2:$A$305,MATCH(C654,'GIS-Standards'!$B$2:$B$305,0))</f>
        <v>20</v>
      </c>
      <c r="J654" t="str">
        <f>INDEX('GIS-Standards'!$O$2:$O$305,MATCH(B654,'GIS-Standards'!$B$2:$B$305,0))</f>
        <v>ISO/TC 211</v>
      </c>
      <c r="K654" t="str">
        <f>INDEX('GIS-Standards'!$O$2:$O$305,MATCH(C654,'GIS-Standards'!$B$2:$B$305,0))</f>
        <v>ISO/TC 211</v>
      </c>
      <c r="M654" t="s">
        <v>525</v>
      </c>
      <c r="N654">
        <f>INDEX('GIS-Standards'!$I$2:$I$305,MATCH(B654,'GIS-Standards'!$B$2:$B$305,0))</f>
        <v>0</v>
      </c>
      <c r="O654" t="str">
        <f>INDEX('GIS-Standards'!$I$2:$I$305,MATCH(C654,'GIS-Standards'!$B$2:$B$305,0))</f>
        <v>08.2023</v>
      </c>
      <c r="P654" t="b">
        <f>AND(TableRelationships12[[#This Row],[Source Type]]="BIM",TableRelationships12[[#This Row],[Target Type]]="BIM")</f>
        <v>0</v>
      </c>
      <c r="Q654">
        <f t="shared" si="30"/>
        <v>1</v>
      </c>
      <c r="S654">
        <f t="shared" si="31"/>
        <v>1</v>
      </c>
      <c r="T654" s="102" t="str">
        <f>IF(TableRelationships12[[#This Row],[Rank Pedro]]="Low","linkCategory1",IF(TableRelationships12[[#This Row],[Rank Pedro]]="Medium","linkCategory2",IF(TableRelationships12[[#This Row],[Rank Pedro]]="High","linkCategory3","")))</f>
        <v/>
      </c>
      <c r="U654" s="102" t="str">
        <f>IF(TableRelationships12[[#This Row],[Rank Pedro]]="Low","Pink",IF(TableRelationships12[[#This Row],[Rank Pedro]]="Medium","Purple",IF(TableRelationships12[[#This Row],[Rank Pedro]]="High","Brown","")))</f>
        <v/>
      </c>
      <c r="V654" s="4">
        <f>MAX(INDEX(Standards!$F$2:$F$296,MATCH(B654,Standards!$B$2:$B$296,0)),INDEX(Standards!$F$2:$F$296,MATCH(C654,Standards!$B$2:$B$296,0)))</f>
        <v>38534</v>
      </c>
      <c r="W654" t="str">
        <f t="shared" si="32"/>
        <v>#2f89d1</v>
      </c>
    </row>
    <row r="655" spans="1:23" x14ac:dyDescent="0.5">
      <c r="A655" s="54">
        <v>654</v>
      </c>
      <c r="B655" s="90" t="s">
        <v>316</v>
      </c>
      <c r="C655" t="s">
        <v>312</v>
      </c>
      <c r="D655" s="1"/>
      <c r="E655" s="112">
        <v>2003.1</v>
      </c>
      <c r="F655" s="112">
        <v>2019.02</v>
      </c>
      <c r="G655" s="107" t="s">
        <v>670</v>
      </c>
      <c r="H655">
        <f>INDEX('GIS-Standards'!$A$2:$A$305,MATCH(B655,'GIS-Standards'!$B$2:$B$305,0))</f>
        <v>27</v>
      </c>
      <c r="I655">
        <f>INDEX('GIS-Standards'!$A$2:$A$305,MATCH(C655,'GIS-Standards'!$B$2:$B$305,0))</f>
        <v>21</v>
      </c>
      <c r="J655" t="str">
        <f>INDEX('GIS-Standards'!$O$2:$O$305,MATCH(B655,'GIS-Standards'!$B$2:$B$305,0))</f>
        <v>ISO/TC 211</v>
      </c>
      <c r="K655" t="str">
        <f>INDEX('GIS-Standards'!$O$2:$O$305,MATCH(C655,'GIS-Standards'!$B$2:$B$305,0))</f>
        <v>ISO/TC 211</v>
      </c>
      <c r="M655" t="s">
        <v>525</v>
      </c>
      <c r="N655">
        <f>INDEX('GIS-Standards'!$I$2:$I$305,MATCH(B655,'GIS-Standards'!$B$2:$B$305,0))</f>
        <v>0</v>
      </c>
      <c r="O655">
        <f>INDEX('GIS-Standards'!$I$2:$I$305,MATCH(C655,'GIS-Standards'!$B$2:$B$305,0))</f>
        <v>0</v>
      </c>
      <c r="P655" t="b">
        <f>AND(TableRelationships12[[#This Row],[Source Type]]="BIM",TableRelationships12[[#This Row],[Target Type]]="BIM")</f>
        <v>0</v>
      </c>
      <c r="Q655">
        <f t="shared" si="30"/>
        <v>1</v>
      </c>
      <c r="S655">
        <f t="shared" si="31"/>
        <v>1</v>
      </c>
      <c r="T655" s="102" t="str">
        <f>IF(TableRelationships12[[#This Row],[Rank Pedro]]="Low","linkCategory1",IF(TableRelationships12[[#This Row],[Rank Pedro]]="Medium","linkCategory2",IF(TableRelationships12[[#This Row],[Rank Pedro]]="High","linkCategory3","")))</f>
        <v/>
      </c>
      <c r="U655" s="102" t="str">
        <f>IF(TableRelationships12[[#This Row],[Rank Pedro]]="Low","Pink",IF(TableRelationships12[[#This Row],[Rank Pedro]]="Medium","Purple",IF(TableRelationships12[[#This Row],[Rank Pedro]]="High","Brown","")))</f>
        <v/>
      </c>
      <c r="V655" s="4">
        <f>MAX(INDEX(Standards!$F$2:$F$296,MATCH(B655,Standards!$B$2:$B$296,0)),INDEX(Standards!$F$2:$F$296,MATCH(C655,Standards!$B$2:$B$296,0)))</f>
        <v>38534</v>
      </c>
      <c r="W655" t="str">
        <f t="shared" si="32"/>
        <v>#2f89d1</v>
      </c>
    </row>
    <row r="656" spans="1:23" x14ac:dyDescent="0.5">
      <c r="A656" s="54">
        <v>655</v>
      </c>
      <c r="B656" s="90" t="s">
        <v>316</v>
      </c>
      <c r="C656" t="s">
        <v>348</v>
      </c>
      <c r="D656" s="1" t="s">
        <v>1151</v>
      </c>
      <c r="E656" s="113">
        <v>2013.12</v>
      </c>
      <c r="F656" s="113">
        <v>2023.04</v>
      </c>
      <c r="G656" s="107" t="s">
        <v>670</v>
      </c>
      <c r="H656">
        <f>INDEX('GIS-Standards'!$A$2:$A$305,MATCH(B656,'GIS-Standards'!$B$2:$B$305,0))</f>
        <v>27</v>
      </c>
      <c r="I656">
        <f>INDEX('GIS-Standards'!$A$2:$A$305,MATCH(C656,'GIS-Standards'!$B$2:$B$305,0))</f>
        <v>66</v>
      </c>
      <c r="J656" t="str">
        <f>INDEX('GIS-Standards'!$O$2:$O$305,MATCH(B656,'GIS-Standards'!$B$2:$B$305,0))</f>
        <v>ISO/TC 211</v>
      </c>
      <c r="K656" t="str">
        <f>INDEX('GIS-Standards'!$O$2:$O$305,MATCH(C656,'GIS-Standards'!$B$2:$B$305,0))</f>
        <v>ISO/TC 211</v>
      </c>
      <c r="M656" t="s">
        <v>525</v>
      </c>
      <c r="N656">
        <f>INDEX('GIS-Standards'!$I$2:$I$305,MATCH(B656,'GIS-Standards'!$B$2:$B$305,0))</f>
        <v>0</v>
      </c>
      <c r="O656">
        <f>INDEX('GIS-Standards'!$I$2:$I$305,MATCH(C656,'GIS-Standards'!$B$2:$B$305,0))</f>
        <v>0</v>
      </c>
      <c r="P656" t="b">
        <f>AND(TableRelationships12[[#This Row],[Source Type]]="BIM",TableRelationships12[[#This Row],[Target Type]]="BIM")</f>
        <v>0</v>
      </c>
      <c r="Q656">
        <f t="shared" si="30"/>
        <v>1</v>
      </c>
      <c r="S656">
        <f t="shared" si="31"/>
        <v>1</v>
      </c>
      <c r="T656" s="102" t="str">
        <f>IF(TableRelationships12[[#This Row],[Rank Pedro]]="Low","linkCategory1",IF(TableRelationships12[[#This Row],[Rank Pedro]]="Medium","linkCategory2",IF(TableRelationships12[[#This Row],[Rank Pedro]]="High","linkCategory3","")))</f>
        <v/>
      </c>
      <c r="U656" s="102" t="str">
        <f>IF(TableRelationships12[[#This Row],[Rank Pedro]]="Low","Pink",IF(TableRelationships12[[#This Row],[Rank Pedro]]="Medium","Purple",IF(TableRelationships12[[#This Row],[Rank Pedro]]="High","Brown","")))</f>
        <v/>
      </c>
      <c r="V656" s="4">
        <f>MAX(INDEX(Standards!$F$2:$F$296,MATCH(B656,Standards!$B$2:$B$296,0)),INDEX(Standards!$F$2:$F$296,MATCH(C656,Standards!$B$2:$B$296,0)))</f>
        <v>38534</v>
      </c>
      <c r="W656" t="str">
        <f t="shared" si="32"/>
        <v>#2f89d1</v>
      </c>
    </row>
    <row r="657" spans="1:23" x14ac:dyDescent="0.5">
      <c r="A657" s="54">
        <v>656</v>
      </c>
      <c r="B657" s="90" t="s">
        <v>316</v>
      </c>
      <c r="C657" t="s">
        <v>348</v>
      </c>
      <c r="D657" s="1" t="s">
        <v>1098</v>
      </c>
      <c r="E657" s="113">
        <v>2013.12</v>
      </c>
      <c r="F657" s="113">
        <v>2023.04</v>
      </c>
      <c r="G657" s="107" t="s">
        <v>670</v>
      </c>
      <c r="H657">
        <f>INDEX('GIS-Standards'!$A$2:$A$305,MATCH(B657,'GIS-Standards'!$B$2:$B$305,0))</f>
        <v>27</v>
      </c>
      <c r="I657">
        <f>INDEX('GIS-Standards'!$A$2:$A$305,MATCH(C657,'GIS-Standards'!$B$2:$B$305,0))</f>
        <v>66</v>
      </c>
      <c r="J657" t="str">
        <f>INDEX('GIS-Standards'!$O$2:$O$305,MATCH(B657,'GIS-Standards'!$B$2:$B$305,0))</f>
        <v>ISO/TC 211</v>
      </c>
      <c r="K657" t="str">
        <f>INDEX('GIS-Standards'!$O$2:$O$305,MATCH(C657,'GIS-Standards'!$B$2:$B$305,0))</f>
        <v>ISO/TC 211</v>
      </c>
      <c r="M657" t="s">
        <v>525</v>
      </c>
      <c r="N657">
        <f>INDEX('GIS-Standards'!$I$2:$I$305,MATCH(B657,'GIS-Standards'!$B$2:$B$305,0))</f>
        <v>0</v>
      </c>
      <c r="O657">
        <f>INDEX('GIS-Standards'!$I$2:$I$305,MATCH(C657,'GIS-Standards'!$B$2:$B$305,0))</f>
        <v>0</v>
      </c>
      <c r="P657" t="b">
        <f>AND(TableRelationships12[[#This Row],[Source Type]]="BIM",TableRelationships12[[#This Row],[Target Type]]="BIM")</f>
        <v>0</v>
      </c>
      <c r="Q657">
        <f t="shared" si="30"/>
        <v>1</v>
      </c>
      <c r="S657">
        <f t="shared" si="31"/>
        <v>1</v>
      </c>
      <c r="T657" s="102" t="str">
        <f>IF(TableRelationships12[[#This Row],[Rank Pedro]]="Low","linkCategory1",IF(TableRelationships12[[#This Row],[Rank Pedro]]="Medium","linkCategory2",IF(TableRelationships12[[#This Row],[Rank Pedro]]="High","linkCategory3","")))</f>
        <v/>
      </c>
      <c r="U657" s="102" t="str">
        <f>IF(TableRelationships12[[#This Row],[Rank Pedro]]="Low","Pink",IF(TableRelationships12[[#This Row],[Rank Pedro]]="Medium","Purple",IF(TableRelationships12[[#This Row],[Rank Pedro]]="High","Brown","")))</f>
        <v/>
      </c>
      <c r="V657" s="4">
        <f>MAX(INDEX(Standards!$F$2:$F$296,MATCH(B657,Standards!$B$2:$B$296,0)),INDEX(Standards!$F$2:$F$296,MATCH(C657,Standards!$B$2:$B$296,0)))</f>
        <v>38534</v>
      </c>
      <c r="W657" t="str">
        <f t="shared" si="32"/>
        <v>#2f89d1</v>
      </c>
    </row>
    <row r="658" spans="1:23" x14ac:dyDescent="0.5">
      <c r="A658" s="54">
        <v>657</v>
      </c>
      <c r="B658" s="90" t="s">
        <v>316</v>
      </c>
      <c r="C658" t="s">
        <v>314</v>
      </c>
      <c r="D658" s="1" t="s">
        <v>1099</v>
      </c>
      <c r="E658" s="112">
        <v>2003.05</v>
      </c>
      <c r="F658" s="112">
        <v>2020.11</v>
      </c>
      <c r="G658" s="107" t="s">
        <v>670</v>
      </c>
      <c r="H658">
        <f>INDEX('GIS-Standards'!$A$2:$A$305,MATCH(B658,'GIS-Standards'!$B$2:$B$305,0))</f>
        <v>27</v>
      </c>
      <c r="I658">
        <f>INDEX('GIS-Standards'!$A$2:$A$305,MATCH(C658,'GIS-Standards'!$B$2:$B$305,0))</f>
        <v>22</v>
      </c>
      <c r="J658" t="str">
        <f>INDEX('GIS-Standards'!$O$2:$O$305,MATCH(B658,'GIS-Standards'!$B$2:$B$305,0))</f>
        <v>ISO/TC 211</v>
      </c>
      <c r="K658" t="str">
        <f>INDEX('GIS-Standards'!$O$2:$O$305,MATCH(C658,'GIS-Standards'!$B$2:$B$305,0))</f>
        <v>ISO/TC 211</v>
      </c>
      <c r="M658" t="s">
        <v>525</v>
      </c>
      <c r="N658">
        <f>INDEX('GIS-Standards'!$I$2:$I$305,MATCH(B658,'GIS-Standards'!$B$2:$B$305,0))</f>
        <v>0</v>
      </c>
      <c r="O658" t="str">
        <f>INDEX('GIS-Standards'!$I$2:$I$305,MATCH(C658,'GIS-Standards'!$B$2:$B$305,0))</f>
        <v>12.2020</v>
      </c>
      <c r="P658" t="b">
        <f>AND(TableRelationships12[[#This Row],[Source Type]]="BIM",TableRelationships12[[#This Row],[Target Type]]="BIM")</f>
        <v>0</v>
      </c>
      <c r="Q658">
        <f t="shared" si="30"/>
        <v>1</v>
      </c>
      <c r="S658">
        <f t="shared" si="31"/>
        <v>1</v>
      </c>
      <c r="T658" s="102" t="str">
        <f>IF(TableRelationships12[[#This Row],[Rank Pedro]]="Low","linkCategory1",IF(TableRelationships12[[#This Row],[Rank Pedro]]="Medium","linkCategory2",IF(TableRelationships12[[#This Row],[Rank Pedro]]="High","linkCategory3","")))</f>
        <v/>
      </c>
      <c r="U658" s="102" t="str">
        <f>IF(TableRelationships12[[#This Row],[Rank Pedro]]="Low","Pink",IF(TableRelationships12[[#This Row],[Rank Pedro]]="Medium","Purple",IF(TableRelationships12[[#This Row],[Rank Pedro]]="High","Brown","")))</f>
        <v/>
      </c>
      <c r="V658" s="4">
        <f>MAX(INDEX(Standards!$F$2:$F$296,MATCH(B658,Standards!$B$2:$B$296,0)),INDEX(Standards!$F$2:$F$296,MATCH(C658,Standards!$B$2:$B$296,0)))</f>
        <v>38534</v>
      </c>
      <c r="W658" t="str">
        <f t="shared" si="32"/>
        <v>#2f89d1</v>
      </c>
    </row>
    <row r="659" spans="1:23" x14ac:dyDescent="0.5">
      <c r="A659" s="54">
        <v>658</v>
      </c>
      <c r="B659" s="90" t="s">
        <v>316</v>
      </c>
      <c r="C659" t="s">
        <v>1043</v>
      </c>
      <c r="D659" s="1"/>
      <c r="E659" s="112">
        <v>2004.07</v>
      </c>
      <c r="F659" s="112">
        <v>2025.04</v>
      </c>
      <c r="G659" s="107" t="s">
        <v>670</v>
      </c>
      <c r="H659">
        <f>INDEX('GIS-Standards'!$A$2:$A$305,MATCH(B659,'GIS-Standards'!$B$2:$B$305,0))</f>
        <v>27</v>
      </c>
      <c r="I659">
        <f>INDEX('GIS-Standards'!$A$2:$A$305,MATCH(C659,'GIS-Standards'!$B$2:$B$305,0))</f>
        <v>25</v>
      </c>
      <c r="J659" t="str">
        <f>INDEX('GIS-Standards'!$O$2:$O$305,MATCH(B659,'GIS-Standards'!$B$2:$B$305,0))</f>
        <v>ISO/TC 211</v>
      </c>
      <c r="K659" t="str">
        <f>INDEX('GIS-Standards'!$O$2:$O$305,MATCH(C659,'GIS-Standards'!$B$2:$B$305,0))</f>
        <v>ISO/TC 211</v>
      </c>
      <c r="M659" t="s">
        <v>525</v>
      </c>
      <c r="N659">
        <f>INDEX('GIS-Standards'!$I$2:$I$305,MATCH(B659,'GIS-Standards'!$B$2:$B$305,0))</f>
        <v>0</v>
      </c>
      <c r="O659">
        <f>INDEX('GIS-Standards'!$I$2:$I$305,MATCH(C659,'GIS-Standards'!$B$2:$B$305,0))</f>
        <v>0</v>
      </c>
      <c r="P659" t="b">
        <f>AND(TableRelationships12[[#This Row],[Source Type]]="BIM",TableRelationships12[[#This Row],[Target Type]]="BIM")</f>
        <v>0</v>
      </c>
      <c r="Q659">
        <f t="shared" si="30"/>
        <v>1</v>
      </c>
      <c r="S659">
        <f t="shared" si="31"/>
        <v>1</v>
      </c>
      <c r="T659" s="102" t="str">
        <f>IF(TableRelationships12[[#This Row],[Rank Pedro]]="Low","linkCategory1",IF(TableRelationships12[[#This Row],[Rank Pedro]]="Medium","linkCategory2",IF(TableRelationships12[[#This Row],[Rank Pedro]]="High","linkCategory3","")))</f>
        <v/>
      </c>
      <c r="U659" s="102" t="str">
        <f>IF(TableRelationships12[[#This Row],[Rank Pedro]]="Low","Pink",IF(TableRelationships12[[#This Row],[Rank Pedro]]="Medium","Purple",IF(TableRelationships12[[#This Row],[Rank Pedro]]="High","Brown","")))</f>
        <v/>
      </c>
      <c r="V659" s="4" t="e">
        <f>MAX(INDEX(Standards!$F$2:$F$296,MATCH(B659,Standards!$B$2:$B$296,0)),INDEX(Standards!$F$2:$F$296,MATCH(C659,Standards!$B$2:$B$296,0)))</f>
        <v>#N/A</v>
      </c>
      <c r="W659" t="str">
        <f t="shared" si="32"/>
        <v>#2f89d1</v>
      </c>
    </row>
    <row r="660" spans="1:23" x14ac:dyDescent="0.5">
      <c r="A660" s="54">
        <v>659</v>
      </c>
      <c r="B660" s="90" t="s">
        <v>316</v>
      </c>
      <c r="C660" t="s">
        <v>1044</v>
      </c>
      <c r="D660" s="1"/>
      <c r="E660" s="112">
        <v>2005.06</v>
      </c>
      <c r="F660" s="112">
        <v>2012.12</v>
      </c>
      <c r="G660" s="107" t="s">
        <v>670</v>
      </c>
      <c r="H660">
        <f>INDEX('GIS-Standards'!$A$2:$A$305,MATCH(B660,'GIS-Standards'!$B$2:$B$305,0))</f>
        <v>27</v>
      </c>
      <c r="I660">
        <f>INDEX('GIS-Standards'!$A$2:$A$305,MATCH(C660,'GIS-Standards'!$B$2:$B$305,0))</f>
        <v>26</v>
      </c>
      <c r="J660" t="str">
        <f>INDEX('GIS-Standards'!$O$2:$O$305,MATCH(B660,'GIS-Standards'!$B$2:$B$305,0))</f>
        <v>ISO/TC 211</v>
      </c>
      <c r="K660" t="str">
        <f>INDEX('GIS-Standards'!$O$2:$O$305,MATCH(C660,'GIS-Standards'!$B$2:$B$305,0))</f>
        <v>ISO/TC 211</v>
      </c>
      <c r="M660" t="s">
        <v>525</v>
      </c>
      <c r="N660">
        <f>INDEX('GIS-Standards'!$I$2:$I$305,MATCH(B660,'GIS-Standards'!$B$2:$B$305,0))</f>
        <v>0</v>
      </c>
      <c r="O660">
        <f>INDEX('GIS-Standards'!$I$2:$I$305,MATCH(C660,'GIS-Standards'!$B$2:$B$305,0))</f>
        <v>0</v>
      </c>
      <c r="P660" t="b">
        <f>AND(TableRelationships12[[#This Row],[Source Type]]="BIM",TableRelationships12[[#This Row],[Target Type]]="BIM")</f>
        <v>0</v>
      </c>
      <c r="Q660">
        <f t="shared" si="30"/>
        <v>1</v>
      </c>
      <c r="S660">
        <f t="shared" si="31"/>
        <v>1</v>
      </c>
      <c r="T660" s="102" t="str">
        <f>IF(TableRelationships12[[#This Row],[Rank Pedro]]="Low","linkCategory1",IF(TableRelationships12[[#This Row],[Rank Pedro]]="Medium","linkCategory2",IF(TableRelationships12[[#This Row],[Rank Pedro]]="High","linkCategory3","")))</f>
        <v/>
      </c>
      <c r="U660" s="102" t="str">
        <f>IF(TableRelationships12[[#This Row],[Rank Pedro]]="Low","Pink",IF(TableRelationships12[[#This Row],[Rank Pedro]]="Medium","Purple",IF(TableRelationships12[[#This Row],[Rank Pedro]]="High","Brown","")))</f>
        <v/>
      </c>
      <c r="V660" s="4" t="e">
        <f>MAX(INDEX(Standards!$F$2:$F$296,MATCH(B660,Standards!$B$2:$B$296,0)),INDEX(Standards!$F$2:$F$296,MATCH(C660,Standards!$B$2:$B$296,0)))</f>
        <v>#N/A</v>
      </c>
      <c r="W660" t="str">
        <f t="shared" si="32"/>
        <v>#2f89d1</v>
      </c>
    </row>
    <row r="661" spans="1:23" x14ac:dyDescent="0.5">
      <c r="A661" s="54">
        <v>660</v>
      </c>
      <c r="B661" s="90" t="s">
        <v>316</v>
      </c>
      <c r="C661" t="s">
        <v>318</v>
      </c>
      <c r="D661" s="1"/>
      <c r="E661" s="112">
        <v>2005.02</v>
      </c>
      <c r="F661" s="112">
        <v>2016.01</v>
      </c>
      <c r="G661" s="107" t="s">
        <v>670</v>
      </c>
      <c r="H661">
        <f>INDEX('GIS-Standards'!$A$2:$A$305,MATCH(B661,'GIS-Standards'!$B$2:$B$305,0))</f>
        <v>27</v>
      </c>
      <c r="I661">
        <f>INDEX('GIS-Standards'!$A$2:$A$305,MATCH(C661,'GIS-Standards'!$B$2:$B$305,0))</f>
        <v>28</v>
      </c>
      <c r="J661" t="str">
        <f>INDEX('GIS-Standards'!$O$2:$O$305,MATCH(B661,'GIS-Standards'!$B$2:$B$305,0))</f>
        <v>ISO/TC 211</v>
      </c>
      <c r="K661" t="str">
        <f>INDEX('GIS-Standards'!$O$2:$O$305,MATCH(C661,'GIS-Standards'!$B$2:$B$305,0))</f>
        <v>ISO/TC 211</v>
      </c>
      <c r="M661" t="s">
        <v>525</v>
      </c>
      <c r="N661">
        <f>INDEX('GIS-Standards'!$I$2:$I$305,MATCH(B661,'GIS-Standards'!$B$2:$B$305,0))</f>
        <v>0</v>
      </c>
      <c r="O661">
        <f>INDEX('GIS-Standards'!$I$2:$I$305,MATCH(C661,'GIS-Standards'!$B$2:$B$305,0))</f>
        <v>0</v>
      </c>
      <c r="P661" t="b">
        <f>AND(TableRelationships12[[#This Row],[Source Type]]="BIM",TableRelationships12[[#This Row],[Target Type]]="BIM")</f>
        <v>0</v>
      </c>
      <c r="Q661">
        <f t="shared" si="30"/>
        <v>1</v>
      </c>
      <c r="S661">
        <f t="shared" si="31"/>
        <v>1</v>
      </c>
      <c r="T661" s="102" t="str">
        <f>IF(TableRelationships12[[#This Row],[Rank Pedro]]="Low","linkCategory1",IF(TableRelationships12[[#This Row],[Rank Pedro]]="Medium","linkCategory2",IF(TableRelationships12[[#This Row],[Rank Pedro]]="High","linkCategory3","")))</f>
        <v/>
      </c>
      <c r="U661" s="102" t="str">
        <f>IF(TableRelationships12[[#This Row],[Rank Pedro]]="Low","Pink",IF(TableRelationships12[[#This Row],[Rank Pedro]]="Medium","Purple",IF(TableRelationships12[[#This Row],[Rank Pedro]]="High","Brown","")))</f>
        <v/>
      </c>
      <c r="V661" s="4">
        <f>MAX(INDEX(Standards!$F$2:$F$296,MATCH(B661,Standards!$B$2:$B$296,0)),INDEX(Standards!$F$2:$F$296,MATCH(C661,Standards!$B$2:$B$296,0)))</f>
        <v>38534</v>
      </c>
      <c r="W661" t="str">
        <f t="shared" si="32"/>
        <v>#2f89d1</v>
      </c>
    </row>
    <row r="662" spans="1:23" x14ac:dyDescent="0.5">
      <c r="A662" s="54">
        <v>661</v>
      </c>
      <c r="B662" s="90" t="s">
        <v>316</v>
      </c>
      <c r="C662" t="s">
        <v>1048</v>
      </c>
      <c r="D662" s="1" t="s">
        <v>1152</v>
      </c>
      <c r="E662" s="112">
        <v>2005.1</v>
      </c>
      <c r="F662" s="112">
        <v>2021.02</v>
      </c>
      <c r="G662" s="107" t="s">
        <v>670</v>
      </c>
      <c r="H662">
        <f>INDEX('GIS-Standards'!$A$2:$A$305,MATCH(B662,'GIS-Standards'!$B$2:$B$305,0))</f>
        <v>27</v>
      </c>
      <c r="I662">
        <f>INDEX('GIS-Standards'!$A$2:$A$305,MATCH(C662,'GIS-Standards'!$B$2:$B$305,0))</f>
        <v>41</v>
      </c>
      <c r="J662" t="str">
        <f>INDEX('GIS-Standards'!$O$2:$O$305,MATCH(B662,'GIS-Standards'!$B$2:$B$305,0))</f>
        <v>ISO/TC 211</v>
      </c>
      <c r="K662" t="str">
        <f>INDEX('GIS-Standards'!$O$2:$O$305,MATCH(C662,'GIS-Standards'!$B$2:$B$305,0))</f>
        <v>ISO/TC 211</v>
      </c>
      <c r="M662" t="s">
        <v>525</v>
      </c>
      <c r="N662">
        <f>INDEX('GIS-Standards'!$I$2:$I$305,MATCH(B662,'GIS-Standards'!$B$2:$B$305,0))</f>
        <v>0</v>
      </c>
      <c r="O662" t="str">
        <f>INDEX('GIS-Standards'!$I$2:$I$305,MATCH(C662,'GIS-Standards'!$B$2:$B$305,0))</f>
        <v>03.2021</v>
      </c>
      <c r="P662" t="b">
        <f>AND(TableRelationships12[[#This Row],[Source Type]]="BIM",TableRelationships12[[#This Row],[Target Type]]="BIM")</f>
        <v>0</v>
      </c>
      <c r="Q662">
        <f t="shared" si="30"/>
        <v>1</v>
      </c>
      <c r="S662">
        <f t="shared" si="31"/>
        <v>1</v>
      </c>
      <c r="T662" s="102" t="str">
        <f>IF(TableRelationships12[[#This Row],[Rank Pedro]]="Low","linkCategory1",IF(TableRelationships12[[#This Row],[Rank Pedro]]="Medium","linkCategory2",IF(TableRelationships12[[#This Row],[Rank Pedro]]="High","linkCategory3","")))</f>
        <v/>
      </c>
      <c r="U662" s="102" t="str">
        <f>IF(TableRelationships12[[#This Row],[Rank Pedro]]="Low","Pink",IF(TableRelationships12[[#This Row],[Rank Pedro]]="Medium","Purple",IF(TableRelationships12[[#This Row],[Rank Pedro]]="High","Brown","")))</f>
        <v/>
      </c>
      <c r="V662" s="4" t="e">
        <f>MAX(INDEX(Standards!$F$2:$F$296,MATCH(B662,Standards!$B$2:$B$296,0)),INDEX(Standards!$F$2:$F$296,MATCH(C662,Standards!$B$2:$B$296,0)))</f>
        <v>#N/A</v>
      </c>
      <c r="W662" t="str">
        <f t="shared" si="32"/>
        <v>#2f89d1</v>
      </c>
    </row>
    <row r="663" spans="1:23" x14ac:dyDescent="0.5">
      <c r="A663" s="54">
        <v>662</v>
      </c>
      <c r="B663" s="90" t="s">
        <v>316</v>
      </c>
      <c r="C663" t="s">
        <v>334</v>
      </c>
      <c r="D663" s="1" t="s">
        <v>1036</v>
      </c>
      <c r="E663" s="113">
        <v>2007.09</v>
      </c>
      <c r="F663" s="113">
        <v>2020.01</v>
      </c>
      <c r="G663" s="107" t="s">
        <v>670</v>
      </c>
      <c r="H663">
        <f>INDEX('GIS-Standards'!$A$2:$A$305,MATCH(B663,'GIS-Standards'!$B$2:$B$305,0))</f>
        <v>27</v>
      </c>
      <c r="I663">
        <f>INDEX('GIS-Standards'!$A$2:$A$305,MATCH(C663,'GIS-Standards'!$B$2:$B$305,0))</f>
        <v>42</v>
      </c>
      <c r="J663" t="str">
        <f>INDEX('GIS-Standards'!$O$2:$O$305,MATCH(B663,'GIS-Standards'!$B$2:$B$305,0))</f>
        <v>ISO/TC 211</v>
      </c>
      <c r="K663" t="str">
        <f>INDEX('GIS-Standards'!$O$2:$O$305,MATCH(C663,'GIS-Standards'!$B$2:$B$305,0))</f>
        <v>ISO/TC 211</v>
      </c>
      <c r="M663" t="s">
        <v>525</v>
      </c>
      <c r="N663">
        <f>INDEX('GIS-Standards'!$I$2:$I$305,MATCH(B663,'GIS-Standards'!$B$2:$B$305,0))</f>
        <v>0</v>
      </c>
      <c r="O663">
        <f>INDEX('GIS-Standards'!$I$2:$I$305,MATCH(C663,'GIS-Standards'!$B$2:$B$305,0))</f>
        <v>0</v>
      </c>
      <c r="P663" t="b">
        <f>AND(TableRelationships12[[#This Row],[Source Type]]="BIM",TableRelationships12[[#This Row],[Target Type]]="BIM")</f>
        <v>0</v>
      </c>
      <c r="Q663">
        <f t="shared" si="30"/>
        <v>1</v>
      </c>
      <c r="S663">
        <f t="shared" si="31"/>
        <v>1</v>
      </c>
      <c r="T663" s="102" t="str">
        <f>IF(TableRelationships12[[#This Row],[Rank Pedro]]="Low","linkCategory1",IF(TableRelationships12[[#This Row],[Rank Pedro]]="Medium","linkCategory2",IF(TableRelationships12[[#This Row],[Rank Pedro]]="High","linkCategory3","")))</f>
        <v/>
      </c>
      <c r="U663" s="102" t="str">
        <f>IF(TableRelationships12[[#This Row],[Rank Pedro]]="Low","Pink",IF(TableRelationships12[[#This Row],[Rank Pedro]]="Medium","Purple",IF(TableRelationships12[[#This Row],[Rank Pedro]]="High","Brown","")))</f>
        <v/>
      </c>
      <c r="V663" s="4">
        <f>MAX(INDEX(Standards!$F$2:$F$296,MATCH(B663,Standards!$B$2:$B$296,0)),INDEX(Standards!$F$2:$F$296,MATCH(C663,Standards!$B$2:$B$296,0)))</f>
        <v>39326</v>
      </c>
      <c r="W663" t="str">
        <f t="shared" si="32"/>
        <v>#2f89d1</v>
      </c>
    </row>
    <row r="664" spans="1:23" x14ac:dyDescent="0.5">
      <c r="A664" s="54">
        <v>663</v>
      </c>
      <c r="B664" s="90" t="s">
        <v>316</v>
      </c>
      <c r="C664" t="s">
        <v>653</v>
      </c>
      <c r="D664" s="1" t="s">
        <v>1115</v>
      </c>
      <c r="E664" s="113">
        <v>2007.04</v>
      </c>
      <c r="F664" s="113">
        <v>2019.03</v>
      </c>
      <c r="G664" s="107" t="s">
        <v>670</v>
      </c>
      <c r="H664">
        <f>INDEX('GIS-Standards'!$A$2:$A$305,MATCH(B664,'GIS-Standards'!$B$2:$B$305,0))</f>
        <v>27</v>
      </c>
      <c r="I664">
        <f>INDEX('GIS-Standards'!$A$2:$A$305,MATCH(C664,'GIS-Standards'!$B$2:$B$305,0))</f>
        <v>102</v>
      </c>
      <c r="J664" t="str">
        <f>INDEX('GIS-Standards'!$O$2:$O$305,MATCH(B664,'GIS-Standards'!$B$2:$B$305,0))</f>
        <v>ISO/TC 211</v>
      </c>
      <c r="K664" t="str">
        <f>INDEX('GIS-Standards'!$O$2:$O$305,MATCH(C664,'GIS-Standards'!$B$2:$B$305,0))</f>
        <v>ISO/TC 211</v>
      </c>
      <c r="M664" t="s">
        <v>525</v>
      </c>
      <c r="N664">
        <f>INDEX('GIS-Standards'!$I$2:$I$305,MATCH(B664,'GIS-Standards'!$B$2:$B$305,0))</f>
        <v>0</v>
      </c>
      <c r="O664">
        <f>INDEX('GIS-Standards'!$I$2:$I$305,MATCH(C664,'GIS-Standards'!$B$2:$B$305,0))</f>
        <v>0</v>
      </c>
      <c r="P664" t="b">
        <f>AND(TableRelationships12[[#This Row],[Source Type]]="BIM",TableRelationships12[[#This Row],[Target Type]]="BIM")</f>
        <v>0</v>
      </c>
      <c r="Q664">
        <f t="shared" si="30"/>
        <v>1</v>
      </c>
      <c r="S664">
        <f t="shared" si="31"/>
        <v>1</v>
      </c>
      <c r="T664" s="102" t="str">
        <f>IF(TableRelationships12[[#This Row],[Rank Pedro]]="Low","linkCategory1",IF(TableRelationships12[[#This Row],[Rank Pedro]]="Medium","linkCategory2",IF(TableRelationships12[[#This Row],[Rank Pedro]]="High","linkCategory3","")))</f>
        <v/>
      </c>
      <c r="U664" s="102" t="str">
        <f>IF(TableRelationships12[[#This Row],[Rank Pedro]]="Low","Pink",IF(TableRelationships12[[#This Row],[Rank Pedro]]="Medium","Purple",IF(TableRelationships12[[#This Row],[Rank Pedro]]="High","Brown","")))</f>
        <v/>
      </c>
      <c r="V664" s="4" t="e">
        <f>MAX(INDEX(Standards!$F$2:$F$296,MATCH(B664,Standards!$B$2:$B$296,0)),INDEX(Standards!$F$2:$F$296,MATCH(C664,Standards!$B$2:$B$296,0)))</f>
        <v>#N/A</v>
      </c>
      <c r="W664" t="str">
        <f t="shared" si="32"/>
        <v>#2f89d1</v>
      </c>
    </row>
    <row r="665" spans="1:23" x14ac:dyDescent="0.5">
      <c r="A665" s="54">
        <v>664</v>
      </c>
      <c r="B665" s="90" t="s">
        <v>316</v>
      </c>
      <c r="C665" t="s">
        <v>1079</v>
      </c>
      <c r="D665" s="1"/>
      <c r="E665" s="112">
        <v>2005.04</v>
      </c>
      <c r="F665" s="112">
        <v>2005.04</v>
      </c>
      <c r="G665" s="107" t="s">
        <v>1502</v>
      </c>
      <c r="H665">
        <f>INDEX('GIS-Standards'!$A$2:$A$305,MATCH(B665,'GIS-Standards'!$B$2:$B$305,0))</f>
        <v>27</v>
      </c>
      <c r="I665" t="e">
        <f>INDEX('GIS-Standards'!$A$2:$A$305,MATCH(C665,'GIS-Standards'!$B$2:$B$305,0))</f>
        <v>#N/A</v>
      </c>
      <c r="J665" t="str">
        <f>INDEX('GIS-Standards'!$O$2:$O$305,MATCH(B665,'GIS-Standards'!$B$2:$B$305,0))</f>
        <v>ISO/TC 211</v>
      </c>
      <c r="K665" t="e">
        <f>INDEX('GIS-Standards'!$O$2:$O$305,MATCH(C665,'GIS-Standards'!$B$2:$B$305,0))</f>
        <v>#N/A</v>
      </c>
      <c r="M665" t="s">
        <v>525</v>
      </c>
      <c r="N665">
        <f>INDEX('GIS-Standards'!$I$2:$I$305,MATCH(B665,'GIS-Standards'!$B$2:$B$305,0))</f>
        <v>0</v>
      </c>
      <c r="O665" t="e">
        <f>INDEX('GIS-Standards'!$I$2:$I$305,MATCH(C665,'GIS-Standards'!$B$2:$B$305,0))</f>
        <v>#N/A</v>
      </c>
      <c r="P665" t="e">
        <f>AND(TableRelationships12[[#This Row],[Source Type]]="BIM",TableRelationships12[[#This Row],[Target Type]]="BIM")</f>
        <v>#N/A</v>
      </c>
      <c r="Q665">
        <f t="shared" si="30"/>
        <v>1</v>
      </c>
      <c r="S665">
        <f t="shared" si="31"/>
        <v>1</v>
      </c>
      <c r="T665" s="102" t="str">
        <f>IF(TableRelationships12[[#This Row],[Rank Pedro]]="Low","linkCategory1",IF(TableRelationships12[[#This Row],[Rank Pedro]]="Medium","linkCategory2",IF(TableRelationships12[[#This Row],[Rank Pedro]]="High","linkCategory3","")))</f>
        <v/>
      </c>
      <c r="U665" s="102" t="str">
        <f>IF(TableRelationships12[[#This Row],[Rank Pedro]]="Low","Pink",IF(TableRelationships12[[#This Row],[Rank Pedro]]="Medium","Purple",IF(TableRelationships12[[#This Row],[Rank Pedro]]="High","Brown","")))</f>
        <v/>
      </c>
      <c r="V665" s="4" t="e">
        <f>MAX(INDEX(Standards!$F$2:$F$296,MATCH(B665,Standards!$B$2:$B$296,0)),INDEX(Standards!$F$2:$F$296,MATCH(C665,Standards!$B$2:$B$296,0)))</f>
        <v>#N/A</v>
      </c>
      <c r="W665" t="str">
        <f t="shared" si="32"/>
        <v>#2f89d1</v>
      </c>
    </row>
    <row r="666" spans="1:23" x14ac:dyDescent="0.5">
      <c r="A666" s="54">
        <v>665</v>
      </c>
      <c r="B666" s="90" t="s">
        <v>316</v>
      </c>
      <c r="C666" t="s">
        <v>1568</v>
      </c>
      <c r="D666" s="1"/>
      <c r="G666" s="107"/>
      <c r="H666">
        <f>INDEX('GIS-Standards'!$A$2:$A$305,MATCH(B666,'GIS-Standards'!$B$2:$B$305,0))</f>
        <v>27</v>
      </c>
      <c r="I666" t="e">
        <f>INDEX('GIS-Standards'!$A$2:$A$305,MATCH(C666,'GIS-Standards'!$B$2:$B$305,0))</f>
        <v>#N/A</v>
      </c>
      <c r="J666" t="str">
        <f>INDEX('GIS-Standards'!$O$2:$O$305,MATCH(B666,'GIS-Standards'!$B$2:$B$305,0))</f>
        <v>ISO/TC 211</v>
      </c>
      <c r="K666" t="e">
        <f>INDEX('GIS-Standards'!$O$2:$O$305,MATCH(C666,'GIS-Standards'!$B$2:$B$305,0))</f>
        <v>#N/A</v>
      </c>
      <c r="M666" t="s">
        <v>525</v>
      </c>
      <c r="N666">
        <f>INDEX('GIS-Standards'!$I$2:$I$305,MATCH(B666,'GIS-Standards'!$B$2:$B$305,0))</f>
        <v>0</v>
      </c>
      <c r="O666" t="e">
        <f>INDEX('GIS-Standards'!$I$2:$I$305,MATCH(C666,'GIS-Standards'!$B$2:$B$305,0))</f>
        <v>#N/A</v>
      </c>
      <c r="P666" t="e">
        <f>AND(TableRelationships12[[#This Row],[Source Type]]="BIM",TableRelationships12[[#This Row],[Target Type]]="BIM")</f>
        <v>#N/A</v>
      </c>
      <c r="Q666">
        <f t="shared" si="30"/>
        <v>1</v>
      </c>
      <c r="S666">
        <f t="shared" si="31"/>
        <v>1</v>
      </c>
      <c r="T666" s="102" t="str">
        <f>IF(TableRelationships12[[#This Row],[Rank Pedro]]="Low","linkCategory1",IF(TableRelationships12[[#This Row],[Rank Pedro]]="Medium","linkCategory2",IF(TableRelationships12[[#This Row],[Rank Pedro]]="High","linkCategory3","")))</f>
        <v/>
      </c>
      <c r="U666" s="102" t="str">
        <f>IF(TableRelationships12[[#This Row],[Rank Pedro]]="Low","Pink",IF(TableRelationships12[[#This Row],[Rank Pedro]]="Medium","Purple",IF(TableRelationships12[[#This Row],[Rank Pedro]]="High","Brown","")))</f>
        <v/>
      </c>
      <c r="V666" s="4" t="e">
        <f>MAX(INDEX(Standards!$F$2:$F$296,MATCH(B666,Standards!$B$2:$B$296,0)),INDEX(Standards!$F$2:$F$296,MATCH(C666,Standards!$B$2:$B$296,0)))</f>
        <v>#N/A</v>
      </c>
      <c r="W666" t="str">
        <f t="shared" si="32"/>
        <v>#2f89d1</v>
      </c>
    </row>
    <row r="667" spans="1:23" x14ac:dyDescent="0.5">
      <c r="A667" s="54">
        <v>666</v>
      </c>
      <c r="B667" s="90" t="s">
        <v>316</v>
      </c>
      <c r="C667" t="s">
        <v>1153</v>
      </c>
      <c r="D667" s="1"/>
      <c r="E667" s="112">
        <v>2023.12</v>
      </c>
      <c r="F667" s="112">
        <v>2023.12</v>
      </c>
      <c r="G667" s="107"/>
      <c r="H667">
        <f>INDEX('GIS-Standards'!$A$2:$A$305,MATCH(B667,'GIS-Standards'!$B$2:$B$305,0))</f>
        <v>27</v>
      </c>
      <c r="I667" t="e">
        <f>INDEX('GIS-Standards'!$A$2:$A$305,MATCH(C667,'GIS-Standards'!$B$2:$B$305,0))</f>
        <v>#N/A</v>
      </c>
      <c r="J667" t="str">
        <f>INDEX('GIS-Standards'!$O$2:$O$305,MATCH(B667,'GIS-Standards'!$B$2:$B$305,0))</f>
        <v>ISO/TC 211</v>
      </c>
      <c r="K667" t="e">
        <f>INDEX('GIS-Standards'!$O$2:$O$305,MATCH(C667,'GIS-Standards'!$B$2:$B$305,0))</f>
        <v>#N/A</v>
      </c>
      <c r="M667" t="s">
        <v>525</v>
      </c>
      <c r="N667">
        <f>INDEX('GIS-Standards'!$I$2:$I$305,MATCH(B667,'GIS-Standards'!$B$2:$B$305,0))</f>
        <v>0</v>
      </c>
      <c r="O667" t="e">
        <f>INDEX('GIS-Standards'!$I$2:$I$305,MATCH(C667,'GIS-Standards'!$B$2:$B$305,0))</f>
        <v>#N/A</v>
      </c>
      <c r="P667" t="e">
        <f>AND(TableRelationships12[[#This Row],[Source Type]]="BIM",TableRelationships12[[#This Row],[Target Type]]="BIM")</f>
        <v>#N/A</v>
      </c>
      <c r="Q667">
        <f t="shared" si="30"/>
        <v>1</v>
      </c>
      <c r="S667">
        <f t="shared" si="31"/>
        <v>1</v>
      </c>
      <c r="T667" s="102" t="str">
        <f>IF(TableRelationships12[[#This Row],[Rank Pedro]]="Low","linkCategory1",IF(TableRelationships12[[#This Row],[Rank Pedro]]="Medium","linkCategory2",IF(TableRelationships12[[#This Row],[Rank Pedro]]="High","linkCategory3","")))</f>
        <v/>
      </c>
      <c r="U667" s="102" t="str">
        <f>IF(TableRelationships12[[#This Row],[Rank Pedro]]="Low","Pink",IF(TableRelationships12[[#This Row],[Rank Pedro]]="Medium","Purple",IF(TableRelationships12[[#This Row],[Rank Pedro]]="High","Brown","")))</f>
        <v/>
      </c>
      <c r="V667" s="4" t="e">
        <f>MAX(INDEX(Standards!$F$2:$F$296,MATCH(B667,Standards!$B$2:$B$296,0)),INDEX(Standards!$F$2:$F$296,MATCH(C667,Standards!$B$2:$B$296,0)))</f>
        <v>#N/A</v>
      </c>
      <c r="W667" t="str">
        <f t="shared" si="32"/>
        <v>#2f89d1</v>
      </c>
    </row>
    <row r="668" spans="1:23" x14ac:dyDescent="0.5">
      <c r="A668" s="54">
        <v>667</v>
      </c>
      <c r="B668" s="90" t="s">
        <v>316</v>
      </c>
      <c r="C668" t="s">
        <v>1570</v>
      </c>
      <c r="D668" s="1"/>
      <c r="G668" s="107"/>
      <c r="H668">
        <f>INDEX('GIS-Standards'!$A$2:$A$305,MATCH(B668,'GIS-Standards'!$B$2:$B$305,0))</f>
        <v>27</v>
      </c>
      <c r="I668" t="e">
        <f>INDEX('GIS-Standards'!$A$2:$A$305,MATCH(C668,'GIS-Standards'!$B$2:$B$305,0))</f>
        <v>#N/A</v>
      </c>
      <c r="J668" t="str">
        <f>INDEX('GIS-Standards'!$O$2:$O$305,MATCH(B668,'GIS-Standards'!$B$2:$B$305,0))</f>
        <v>ISO/TC 211</v>
      </c>
      <c r="K668" t="e">
        <f>INDEX('GIS-Standards'!$O$2:$O$305,MATCH(C668,'GIS-Standards'!$B$2:$B$305,0))</f>
        <v>#N/A</v>
      </c>
      <c r="M668" t="s">
        <v>525</v>
      </c>
      <c r="N668">
        <f>INDEX('GIS-Standards'!$I$2:$I$305,MATCH(B668,'GIS-Standards'!$B$2:$B$305,0))</f>
        <v>0</v>
      </c>
      <c r="O668" t="e">
        <f>INDEX('GIS-Standards'!$I$2:$I$305,MATCH(C668,'GIS-Standards'!$B$2:$B$305,0))</f>
        <v>#N/A</v>
      </c>
      <c r="P668" t="e">
        <f>AND(TableRelationships12[[#This Row],[Source Type]]="BIM",TableRelationships12[[#This Row],[Target Type]]="BIM")</f>
        <v>#N/A</v>
      </c>
      <c r="Q668">
        <f t="shared" si="30"/>
        <v>1</v>
      </c>
      <c r="S668">
        <f t="shared" si="31"/>
        <v>1</v>
      </c>
      <c r="T668" s="102" t="str">
        <f>IF(TableRelationships12[[#This Row],[Rank Pedro]]="Low","linkCategory1",IF(TableRelationships12[[#This Row],[Rank Pedro]]="Medium","linkCategory2",IF(TableRelationships12[[#This Row],[Rank Pedro]]="High","linkCategory3","")))</f>
        <v/>
      </c>
      <c r="U668" s="102" t="str">
        <f>IF(TableRelationships12[[#This Row],[Rank Pedro]]="Low","Pink",IF(TableRelationships12[[#This Row],[Rank Pedro]]="Medium","Purple",IF(TableRelationships12[[#This Row],[Rank Pedro]]="High","Brown","")))</f>
        <v/>
      </c>
      <c r="V668" s="4" t="e">
        <f>MAX(INDEX(Standards!$F$2:$F$296,MATCH(B668,Standards!$B$2:$B$296,0)),INDEX(Standards!$F$2:$F$296,MATCH(C668,Standards!$B$2:$B$296,0)))</f>
        <v>#N/A</v>
      </c>
      <c r="W668" t="str">
        <f t="shared" si="32"/>
        <v>#2f89d1</v>
      </c>
    </row>
    <row r="669" spans="1:23" x14ac:dyDescent="0.5">
      <c r="A669" s="54">
        <v>668</v>
      </c>
      <c r="B669" s="90" t="s">
        <v>316</v>
      </c>
      <c r="C669" t="s">
        <v>1567</v>
      </c>
      <c r="D669" s="1"/>
      <c r="G669" s="107"/>
      <c r="H669">
        <f>INDEX('GIS-Standards'!$A$2:$A$305,MATCH(B669,'GIS-Standards'!$B$2:$B$305,0))</f>
        <v>27</v>
      </c>
      <c r="I669" t="e">
        <f>INDEX('GIS-Standards'!$A$2:$A$305,MATCH(C669,'GIS-Standards'!$B$2:$B$305,0))</f>
        <v>#N/A</v>
      </c>
      <c r="J669" t="str">
        <f>INDEX('GIS-Standards'!$O$2:$O$305,MATCH(B669,'GIS-Standards'!$B$2:$B$305,0))</f>
        <v>ISO/TC 211</v>
      </c>
      <c r="K669" t="e">
        <f>INDEX('GIS-Standards'!$O$2:$O$305,MATCH(C669,'GIS-Standards'!$B$2:$B$305,0))</f>
        <v>#N/A</v>
      </c>
      <c r="M669" t="s">
        <v>525</v>
      </c>
      <c r="N669">
        <f>INDEX('GIS-Standards'!$I$2:$I$305,MATCH(B669,'GIS-Standards'!$B$2:$B$305,0))</f>
        <v>0</v>
      </c>
      <c r="O669" t="e">
        <f>INDEX('GIS-Standards'!$I$2:$I$305,MATCH(C669,'GIS-Standards'!$B$2:$B$305,0))</f>
        <v>#N/A</v>
      </c>
      <c r="P669" t="e">
        <f>AND(TableRelationships12[[#This Row],[Source Type]]="BIM",TableRelationships12[[#This Row],[Target Type]]="BIM")</f>
        <v>#N/A</v>
      </c>
      <c r="Q669">
        <f t="shared" si="30"/>
        <v>1</v>
      </c>
      <c r="S669">
        <f t="shared" si="31"/>
        <v>1</v>
      </c>
      <c r="T669" s="102" t="str">
        <f>IF(TableRelationships12[[#This Row],[Rank Pedro]]="Low","linkCategory1",IF(TableRelationships12[[#This Row],[Rank Pedro]]="Medium","linkCategory2",IF(TableRelationships12[[#This Row],[Rank Pedro]]="High","linkCategory3","")))</f>
        <v/>
      </c>
      <c r="U669" s="102" t="str">
        <f>IF(TableRelationships12[[#This Row],[Rank Pedro]]="Low","Pink",IF(TableRelationships12[[#This Row],[Rank Pedro]]="Medium","Purple",IF(TableRelationships12[[#This Row],[Rank Pedro]]="High","Brown","")))</f>
        <v/>
      </c>
      <c r="V669" s="4" t="e">
        <f>MAX(INDEX(Standards!$F$2:$F$296,MATCH(B669,Standards!$B$2:$B$296,0)),INDEX(Standards!$F$2:$F$296,MATCH(C669,Standards!$B$2:$B$296,0)))</f>
        <v>#N/A</v>
      </c>
      <c r="W669" t="str">
        <f t="shared" si="32"/>
        <v>#2f89d1</v>
      </c>
    </row>
    <row r="670" spans="1:23" x14ac:dyDescent="0.5">
      <c r="A670" s="54">
        <v>669</v>
      </c>
      <c r="B670" s="90" t="s">
        <v>316</v>
      </c>
      <c r="C670" t="s">
        <v>1569</v>
      </c>
      <c r="D670" s="1"/>
      <c r="G670" s="107"/>
      <c r="H670">
        <f>INDEX('GIS-Standards'!$A$2:$A$305,MATCH(B670,'GIS-Standards'!$B$2:$B$305,0))</f>
        <v>27</v>
      </c>
      <c r="I670" t="e">
        <f>INDEX('GIS-Standards'!$A$2:$A$305,MATCH(C670,'GIS-Standards'!$B$2:$B$305,0))</f>
        <v>#N/A</v>
      </c>
      <c r="J670" t="str">
        <f>INDEX('GIS-Standards'!$O$2:$O$305,MATCH(B670,'GIS-Standards'!$B$2:$B$305,0))</f>
        <v>ISO/TC 211</v>
      </c>
      <c r="K670" t="e">
        <f>INDEX('GIS-Standards'!$O$2:$O$305,MATCH(C670,'GIS-Standards'!$B$2:$B$305,0))</f>
        <v>#N/A</v>
      </c>
      <c r="M670" t="s">
        <v>525</v>
      </c>
      <c r="N670">
        <f>INDEX('GIS-Standards'!$I$2:$I$305,MATCH(B670,'GIS-Standards'!$B$2:$B$305,0))</f>
        <v>0</v>
      </c>
      <c r="O670" t="e">
        <f>INDEX('GIS-Standards'!$I$2:$I$305,MATCH(C670,'GIS-Standards'!$B$2:$B$305,0))</f>
        <v>#N/A</v>
      </c>
      <c r="P670" t="e">
        <f>AND(TableRelationships12[[#This Row],[Source Type]]="BIM",TableRelationships12[[#This Row],[Target Type]]="BIM")</f>
        <v>#N/A</v>
      </c>
      <c r="Q670">
        <f t="shared" si="30"/>
        <v>1</v>
      </c>
      <c r="S670">
        <f t="shared" si="31"/>
        <v>1</v>
      </c>
      <c r="T670" s="102" t="str">
        <f>IF(TableRelationships12[[#This Row],[Rank Pedro]]="Low","linkCategory1",IF(TableRelationships12[[#This Row],[Rank Pedro]]="Medium","linkCategory2",IF(TableRelationships12[[#This Row],[Rank Pedro]]="High","linkCategory3","")))</f>
        <v/>
      </c>
      <c r="U670" s="102" t="str">
        <f>IF(TableRelationships12[[#This Row],[Rank Pedro]]="Low","Pink",IF(TableRelationships12[[#This Row],[Rank Pedro]]="Medium","Purple",IF(TableRelationships12[[#This Row],[Rank Pedro]]="High","Brown","")))</f>
        <v/>
      </c>
      <c r="V670" s="4" t="e">
        <f>MAX(INDEX(Standards!$F$2:$F$296,MATCH(B670,Standards!$B$2:$B$296,0)),INDEX(Standards!$F$2:$F$296,MATCH(C670,Standards!$B$2:$B$296,0)))</f>
        <v>#N/A</v>
      </c>
      <c r="W670" t="str">
        <f t="shared" si="32"/>
        <v>#2f89d1</v>
      </c>
    </row>
    <row r="671" spans="1:23" x14ac:dyDescent="0.5">
      <c r="A671" s="54">
        <v>670</v>
      </c>
      <c r="B671" s="90" t="s">
        <v>316</v>
      </c>
      <c r="C671" t="s">
        <v>1178</v>
      </c>
      <c r="D671" s="1"/>
      <c r="E671" s="112">
        <v>1998.08</v>
      </c>
      <c r="G671" s="107"/>
      <c r="H671">
        <f>INDEX('GIS-Standards'!$A$2:$A$305,MATCH(B671,'GIS-Standards'!$B$2:$B$305,0))</f>
        <v>27</v>
      </c>
      <c r="I671" t="e">
        <f>INDEX('GIS-Standards'!$A$2:$A$305,MATCH(C671,'GIS-Standards'!$B$2:$B$305,0))</f>
        <v>#N/A</v>
      </c>
      <c r="J671" t="str">
        <f>INDEX('GIS-Standards'!$O$2:$O$305,MATCH(B671,'GIS-Standards'!$B$2:$B$305,0))</f>
        <v>ISO/TC 211</v>
      </c>
      <c r="K671" t="e">
        <f>INDEX('GIS-Standards'!$O$2:$O$305,MATCH(C671,'GIS-Standards'!$B$2:$B$305,0))</f>
        <v>#N/A</v>
      </c>
      <c r="M671" t="s">
        <v>525</v>
      </c>
      <c r="N671">
        <f>INDEX('GIS-Standards'!$I$2:$I$305,MATCH(B671,'GIS-Standards'!$B$2:$B$305,0))</f>
        <v>0</v>
      </c>
      <c r="O671" t="e">
        <f>INDEX('GIS-Standards'!$I$2:$I$305,MATCH(C671,'GIS-Standards'!$B$2:$B$305,0))</f>
        <v>#N/A</v>
      </c>
      <c r="P671" t="e">
        <f>AND(TableRelationships12[[#This Row],[Source Type]]="BIM",TableRelationships12[[#This Row],[Target Type]]="BIM")</f>
        <v>#N/A</v>
      </c>
      <c r="Q671">
        <f t="shared" si="30"/>
        <v>1</v>
      </c>
      <c r="S671">
        <f t="shared" si="31"/>
        <v>1</v>
      </c>
      <c r="T671" s="102" t="str">
        <f>IF(TableRelationships12[[#This Row],[Rank Pedro]]="Low","linkCategory1",IF(TableRelationships12[[#This Row],[Rank Pedro]]="Medium","linkCategory2",IF(TableRelationships12[[#This Row],[Rank Pedro]]="High","linkCategory3","")))</f>
        <v/>
      </c>
      <c r="U671" s="102" t="str">
        <f>IF(TableRelationships12[[#This Row],[Rank Pedro]]="Low","Pink",IF(TableRelationships12[[#This Row],[Rank Pedro]]="Medium","Purple",IF(TableRelationships12[[#This Row],[Rank Pedro]]="High","Brown","")))</f>
        <v/>
      </c>
      <c r="V671" s="4" t="e">
        <f>MAX(INDEX(Standards!$F$2:$F$296,MATCH(B671,Standards!$B$2:$B$296,0)),INDEX(Standards!$F$2:$F$296,MATCH(C671,Standards!$B$2:$B$296,0)))</f>
        <v>#N/A</v>
      </c>
      <c r="W671" t="str">
        <f t="shared" si="32"/>
        <v>#2f89d1</v>
      </c>
    </row>
    <row r="672" spans="1:23" x14ac:dyDescent="0.5">
      <c r="A672" s="54">
        <v>671</v>
      </c>
      <c r="B672" s="90" t="s">
        <v>316</v>
      </c>
      <c r="C672" t="s">
        <v>1581</v>
      </c>
      <c r="D672" s="1"/>
      <c r="G672" s="107"/>
      <c r="H672">
        <f>INDEX('GIS-Standards'!$A$2:$A$305,MATCH(B672,'GIS-Standards'!$B$2:$B$305,0))</f>
        <v>27</v>
      </c>
      <c r="I672" t="e">
        <f>INDEX('GIS-Standards'!$A$2:$A$305,MATCH(C672,'GIS-Standards'!$B$2:$B$305,0))</f>
        <v>#N/A</v>
      </c>
      <c r="J672" t="str">
        <f>INDEX('GIS-Standards'!$O$2:$O$305,MATCH(B672,'GIS-Standards'!$B$2:$B$305,0))</f>
        <v>ISO/TC 211</v>
      </c>
      <c r="K672" t="e">
        <f>INDEX('GIS-Standards'!$O$2:$O$305,MATCH(C672,'GIS-Standards'!$B$2:$B$305,0))</f>
        <v>#N/A</v>
      </c>
      <c r="M672" t="s">
        <v>525</v>
      </c>
      <c r="N672">
        <f>INDEX('GIS-Standards'!$I$2:$I$305,MATCH(B672,'GIS-Standards'!$B$2:$B$305,0))</f>
        <v>0</v>
      </c>
      <c r="O672" t="e">
        <f>INDEX('GIS-Standards'!$I$2:$I$305,MATCH(C672,'GIS-Standards'!$B$2:$B$305,0))</f>
        <v>#N/A</v>
      </c>
      <c r="P672" t="e">
        <f>AND(TableRelationships12[[#This Row],[Source Type]]="BIM",TableRelationships12[[#This Row],[Target Type]]="BIM")</f>
        <v>#N/A</v>
      </c>
      <c r="Q672">
        <f t="shared" si="30"/>
        <v>1</v>
      </c>
      <c r="S672">
        <f t="shared" si="31"/>
        <v>1</v>
      </c>
      <c r="T672" s="102" t="str">
        <f>IF(TableRelationships12[[#This Row],[Rank Pedro]]="Low","linkCategory1",IF(TableRelationships12[[#This Row],[Rank Pedro]]="Medium","linkCategory2",IF(TableRelationships12[[#This Row],[Rank Pedro]]="High","linkCategory3","")))</f>
        <v/>
      </c>
      <c r="U672" s="102" t="str">
        <f>IF(TableRelationships12[[#This Row],[Rank Pedro]]="Low","Pink",IF(TableRelationships12[[#This Row],[Rank Pedro]]="Medium","Purple",IF(TableRelationships12[[#This Row],[Rank Pedro]]="High","Brown","")))</f>
        <v/>
      </c>
      <c r="V672" s="4" t="e">
        <f>MAX(INDEX(Standards!$F$2:$F$296,MATCH(B672,Standards!$B$2:$B$296,0)),INDEX(Standards!$F$2:$F$296,MATCH(C672,Standards!$B$2:$B$296,0)))</f>
        <v>#N/A</v>
      </c>
      <c r="W672" t="str">
        <f t="shared" si="32"/>
        <v>#2f89d1</v>
      </c>
    </row>
    <row r="673" spans="1:23" x14ac:dyDescent="0.5">
      <c r="A673" s="54">
        <v>672</v>
      </c>
      <c r="B673" s="90" t="s">
        <v>316</v>
      </c>
      <c r="C673" t="s">
        <v>1396</v>
      </c>
      <c r="D673" s="1"/>
      <c r="G673" s="107"/>
      <c r="H673">
        <f>INDEX('GIS-Standards'!$A$2:$A$305,MATCH(B673,'GIS-Standards'!$B$2:$B$305,0))</f>
        <v>27</v>
      </c>
      <c r="I673" t="e">
        <f>INDEX('GIS-Standards'!$A$2:$A$305,MATCH(C673,'GIS-Standards'!$B$2:$B$305,0))</f>
        <v>#N/A</v>
      </c>
      <c r="J673" t="str">
        <f>INDEX('GIS-Standards'!$O$2:$O$305,MATCH(B673,'GIS-Standards'!$B$2:$B$305,0))</f>
        <v>ISO/TC 211</v>
      </c>
      <c r="K673" t="e">
        <f>INDEX('GIS-Standards'!$O$2:$O$305,MATCH(C673,'GIS-Standards'!$B$2:$B$305,0))</f>
        <v>#N/A</v>
      </c>
      <c r="M673" t="s">
        <v>525</v>
      </c>
      <c r="N673">
        <f>INDEX('GIS-Standards'!$I$2:$I$305,MATCH(B673,'GIS-Standards'!$B$2:$B$305,0))</f>
        <v>0</v>
      </c>
      <c r="O673" t="e">
        <f>INDEX('GIS-Standards'!$I$2:$I$305,MATCH(C673,'GIS-Standards'!$B$2:$B$305,0))</f>
        <v>#N/A</v>
      </c>
      <c r="P673" t="e">
        <f>AND(TableRelationships12[[#This Row],[Source Type]]="BIM",TableRelationships12[[#This Row],[Target Type]]="BIM")</f>
        <v>#N/A</v>
      </c>
      <c r="Q673">
        <f t="shared" si="30"/>
        <v>1</v>
      </c>
      <c r="S673">
        <f t="shared" si="31"/>
        <v>1</v>
      </c>
      <c r="T673" s="102" t="str">
        <f>IF(TableRelationships12[[#This Row],[Rank Pedro]]="Low","linkCategory1",IF(TableRelationships12[[#This Row],[Rank Pedro]]="Medium","linkCategory2",IF(TableRelationships12[[#This Row],[Rank Pedro]]="High","linkCategory3","")))</f>
        <v/>
      </c>
      <c r="U673" s="102" t="str">
        <f>IF(TableRelationships12[[#This Row],[Rank Pedro]]="Low","Pink",IF(TableRelationships12[[#This Row],[Rank Pedro]]="Medium","Purple",IF(TableRelationships12[[#This Row],[Rank Pedro]]="High","Brown","")))</f>
        <v/>
      </c>
      <c r="V673" s="4" t="e">
        <f>MAX(INDEX(Standards!$F$2:$F$296,MATCH(B673,Standards!$B$2:$B$296,0)),INDEX(Standards!$F$2:$F$296,MATCH(C673,Standards!$B$2:$B$296,0)))</f>
        <v>#N/A</v>
      </c>
      <c r="W673" t="str">
        <f t="shared" si="32"/>
        <v>#2f89d1</v>
      </c>
    </row>
    <row r="674" spans="1:23" x14ac:dyDescent="0.5">
      <c r="A674" s="54">
        <v>673</v>
      </c>
      <c r="B674" s="90" t="s">
        <v>316</v>
      </c>
      <c r="C674" t="s">
        <v>1154</v>
      </c>
      <c r="D674" s="1"/>
      <c r="G674" s="107"/>
      <c r="H674">
        <f>INDEX('GIS-Standards'!$A$2:$A$305,MATCH(B674,'GIS-Standards'!$B$2:$B$305,0))</f>
        <v>27</v>
      </c>
      <c r="I674" t="e">
        <f>INDEX('GIS-Standards'!$A$2:$A$305,MATCH(C674,'GIS-Standards'!$B$2:$B$305,0))</f>
        <v>#N/A</v>
      </c>
      <c r="J674" t="str">
        <f>INDEX('GIS-Standards'!$O$2:$O$305,MATCH(B674,'GIS-Standards'!$B$2:$B$305,0))</f>
        <v>ISO/TC 211</v>
      </c>
      <c r="K674" t="e">
        <f>INDEX('GIS-Standards'!$O$2:$O$305,MATCH(C674,'GIS-Standards'!$B$2:$B$305,0))</f>
        <v>#N/A</v>
      </c>
      <c r="M674" t="s">
        <v>525</v>
      </c>
      <c r="N674">
        <f>INDEX('GIS-Standards'!$I$2:$I$305,MATCH(B674,'GIS-Standards'!$B$2:$B$305,0))</f>
        <v>0</v>
      </c>
      <c r="O674" t="e">
        <f>INDEX('GIS-Standards'!$I$2:$I$305,MATCH(C674,'GIS-Standards'!$B$2:$B$305,0))</f>
        <v>#N/A</v>
      </c>
      <c r="P674" t="e">
        <f>AND(TableRelationships12[[#This Row],[Source Type]]="BIM",TableRelationships12[[#This Row],[Target Type]]="BIM")</f>
        <v>#N/A</v>
      </c>
      <c r="Q674">
        <f t="shared" si="30"/>
        <v>1</v>
      </c>
      <c r="S674">
        <f t="shared" si="31"/>
        <v>1</v>
      </c>
      <c r="T674" s="102" t="str">
        <f>IF(TableRelationships12[[#This Row],[Rank Pedro]]="Low","linkCategory1",IF(TableRelationships12[[#This Row],[Rank Pedro]]="Medium","linkCategory2",IF(TableRelationships12[[#This Row],[Rank Pedro]]="High","linkCategory3","")))</f>
        <v/>
      </c>
      <c r="U674" s="102" t="str">
        <f>IF(TableRelationships12[[#This Row],[Rank Pedro]]="Low","Pink",IF(TableRelationships12[[#This Row],[Rank Pedro]]="Medium","Purple",IF(TableRelationships12[[#This Row],[Rank Pedro]]="High","Brown","")))</f>
        <v/>
      </c>
      <c r="V674" s="4" t="e">
        <f>MAX(INDEX(Standards!$F$2:$F$296,MATCH(B674,Standards!$B$2:$B$296,0)),INDEX(Standards!$F$2:$F$296,MATCH(C674,Standards!$B$2:$B$296,0)))</f>
        <v>#N/A</v>
      </c>
      <c r="W674" t="str">
        <f t="shared" si="32"/>
        <v>#2f89d1</v>
      </c>
    </row>
    <row r="675" spans="1:23" x14ac:dyDescent="0.5">
      <c r="A675" s="54">
        <v>674</v>
      </c>
      <c r="B675" s="90" t="s">
        <v>316</v>
      </c>
      <c r="C675" t="s">
        <v>1597</v>
      </c>
      <c r="D675" s="1"/>
      <c r="G675" s="107"/>
      <c r="H675">
        <f>INDEX('GIS-Standards'!$A$2:$A$305,MATCH(B675,'GIS-Standards'!$B$2:$B$305,0))</f>
        <v>27</v>
      </c>
      <c r="I675" t="e">
        <f>INDEX('GIS-Standards'!$A$2:$A$305,MATCH(C675,'GIS-Standards'!$B$2:$B$305,0))</f>
        <v>#N/A</v>
      </c>
      <c r="J675" t="str">
        <f>INDEX('GIS-Standards'!$O$2:$O$305,MATCH(B675,'GIS-Standards'!$B$2:$B$305,0))</f>
        <v>ISO/TC 211</v>
      </c>
      <c r="K675" t="e">
        <f>INDEX('GIS-Standards'!$O$2:$O$305,MATCH(C675,'GIS-Standards'!$B$2:$B$305,0))</f>
        <v>#N/A</v>
      </c>
      <c r="M675" t="s">
        <v>525</v>
      </c>
      <c r="N675">
        <f>INDEX('GIS-Standards'!$I$2:$I$305,MATCH(B675,'GIS-Standards'!$B$2:$B$305,0))</f>
        <v>0</v>
      </c>
      <c r="O675" t="e">
        <f>INDEX('GIS-Standards'!$I$2:$I$305,MATCH(C675,'GIS-Standards'!$B$2:$B$305,0))</f>
        <v>#N/A</v>
      </c>
      <c r="P675" t="e">
        <f>AND(TableRelationships12[[#This Row],[Source Type]]="BIM",TableRelationships12[[#This Row],[Target Type]]="BIM")</f>
        <v>#N/A</v>
      </c>
      <c r="Q675">
        <f t="shared" si="30"/>
        <v>1</v>
      </c>
      <c r="S675">
        <f t="shared" si="31"/>
        <v>1</v>
      </c>
      <c r="T675" s="102" t="str">
        <f>IF(TableRelationships12[[#This Row],[Rank Pedro]]="Low","linkCategory1",IF(TableRelationships12[[#This Row],[Rank Pedro]]="Medium","linkCategory2",IF(TableRelationships12[[#This Row],[Rank Pedro]]="High","linkCategory3","")))</f>
        <v/>
      </c>
      <c r="U675" s="102" t="str">
        <f>IF(TableRelationships12[[#This Row],[Rank Pedro]]="Low","Pink",IF(TableRelationships12[[#This Row],[Rank Pedro]]="Medium","Purple",IF(TableRelationships12[[#This Row],[Rank Pedro]]="High","Brown","")))</f>
        <v/>
      </c>
      <c r="V675" s="4" t="e">
        <f>MAX(INDEX(Standards!$F$2:$F$296,MATCH(B675,Standards!$B$2:$B$296,0)),INDEX(Standards!$F$2:$F$296,MATCH(C675,Standards!$B$2:$B$296,0)))</f>
        <v>#N/A</v>
      </c>
      <c r="W675" t="str">
        <f t="shared" si="32"/>
        <v>#2f89d1</v>
      </c>
    </row>
    <row r="676" spans="1:23" x14ac:dyDescent="0.5">
      <c r="A676" s="54">
        <v>675</v>
      </c>
      <c r="B676" s="90" t="s">
        <v>316</v>
      </c>
      <c r="C676" t="s">
        <v>1543</v>
      </c>
      <c r="D676" s="1"/>
      <c r="G676" s="107"/>
      <c r="H676">
        <f>INDEX('GIS-Standards'!$A$2:$A$305,MATCH(B676,'GIS-Standards'!$B$2:$B$305,0))</f>
        <v>27</v>
      </c>
      <c r="I676" t="e">
        <f>INDEX('GIS-Standards'!$A$2:$A$305,MATCH(C676,'GIS-Standards'!$B$2:$B$305,0))</f>
        <v>#N/A</v>
      </c>
      <c r="J676" t="str">
        <f>INDEX('GIS-Standards'!$O$2:$O$305,MATCH(B676,'GIS-Standards'!$B$2:$B$305,0))</f>
        <v>ISO/TC 211</v>
      </c>
      <c r="K676" t="e">
        <f>INDEX('GIS-Standards'!$O$2:$O$305,MATCH(C676,'GIS-Standards'!$B$2:$B$305,0))</f>
        <v>#N/A</v>
      </c>
      <c r="M676" t="s">
        <v>525</v>
      </c>
      <c r="N676">
        <f>INDEX('GIS-Standards'!$I$2:$I$305,MATCH(B676,'GIS-Standards'!$B$2:$B$305,0))</f>
        <v>0</v>
      </c>
      <c r="O676" t="e">
        <f>INDEX('GIS-Standards'!$I$2:$I$305,MATCH(C676,'GIS-Standards'!$B$2:$B$305,0))</f>
        <v>#N/A</v>
      </c>
      <c r="P676" t="e">
        <f>AND(TableRelationships12[[#This Row],[Source Type]]="BIM",TableRelationships12[[#This Row],[Target Type]]="BIM")</f>
        <v>#N/A</v>
      </c>
      <c r="Q676">
        <f t="shared" si="30"/>
        <v>1</v>
      </c>
      <c r="S676">
        <f t="shared" si="31"/>
        <v>1</v>
      </c>
      <c r="T676" s="102" t="str">
        <f>IF(TableRelationships12[[#This Row],[Rank Pedro]]="Low","linkCategory1",IF(TableRelationships12[[#This Row],[Rank Pedro]]="Medium","linkCategory2",IF(TableRelationships12[[#This Row],[Rank Pedro]]="High","linkCategory3","")))</f>
        <v/>
      </c>
      <c r="U676" s="102" t="str">
        <f>IF(TableRelationships12[[#This Row],[Rank Pedro]]="Low","Pink",IF(TableRelationships12[[#This Row],[Rank Pedro]]="Medium","Purple",IF(TableRelationships12[[#This Row],[Rank Pedro]]="High","Brown","")))</f>
        <v/>
      </c>
      <c r="V676" s="4" t="e">
        <f>MAX(INDEX(Standards!$F$2:$F$296,MATCH(B676,Standards!$B$2:$B$296,0)),INDEX(Standards!$F$2:$F$296,MATCH(C676,Standards!$B$2:$B$296,0)))</f>
        <v>#N/A</v>
      </c>
      <c r="W676" t="str">
        <f t="shared" si="32"/>
        <v>#2f89d1</v>
      </c>
    </row>
    <row r="677" spans="1:23" x14ac:dyDescent="0.5">
      <c r="A677" s="54">
        <v>676</v>
      </c>
      <c r="B677" s="90" t="s">
        <v>316</v>
      </c>
      <c r="C677" t="s">
        <v>1586</v>
      </c>
      <c r="D677" s="1"/>
      <c r="G677" s="107"/>
      <c r="H677">
        <f>INDEX('GIS-Standards'!$A$2:$A$305,MATCH(B677,'GIS-Standards'!$B$2:$B$305,0))</f>
        <v>27</v>
      </c>
      <c r="I677" t="e">
        <f>INDEX('GIS-Standards'!$A$2:$A$305,MATCH(C677,'GIS-Standards'!$B$2:$B$305,0))</f>
        <v>#N/A</v>
      </c>
      <c r="J677" t="str">
        <f>INDEX('GIS-Standards'!$O$2:$O$305,MATCH(B677,'GIS-Standards'!$B$2:$B$305,0))</f>
        <v>ISO/TC 211</v>
      </c>
      <c r="K677" t="e">
        <f>INDEX('GIS-Standards'!$O$2:$O$305,MATCH(C677,'GIS-Standards'!$B$2:$B$305,0))</f>
        <v>#N/A</v>
      </c>
      <c r="M677" t="s">
        <v>525</v>
      </c>
      <c r="N677">
        <f>INDEX('GIS-Standards'!$I$2:$I$305,MATCH(B677,'GIS-Standards'!$B$2:$B$305,0))</f>
        <v>0</v>
      </c>
      <c r="O677" t="e">
        <f>INDEX('GIS-Standards'!$I$2:$I$305,MATCH(C677,'GIS-Standards'!$B$2:$B$305,0))</f>
        <v>#N/A</v>
      </c>
      <c r="P677" t="e">
        <f>AND(TableRelationships12[[#This Row],[Source Type]]="BIM",TableRelationships12[[#This Row],[Target Type]]="BIM")</f>
        <v>#N/A</v>
      </c>
      <c r="Q677">
        <f t="shared" si="30"/>
        <v>1</v>
      </c>
      <c r="S677">
        <f t="shared" si="31"/>
        <v>1</v>
      </c>
      <c r="T677" s="102" t="str">
        <f>IF(TableRelationships12[[#This Row],[Rank Pedro]]="Low","linkCategory1",IF(TableRelationships12[[#This Row],[Rank Pedro]]="Medium","linkCategory2",IF(TableRelationships12[[#This Row],[Rank Pedro]]="High","linkCategory3","")))</f>
        <v/>
      </c>
      <c r="U677" s="102" t="str">
        <f>IF(TableRelationships12[[#This Row],[Rank Pedro]]="Low","Pink",IF(TableRelationships12[[#This Row],[Rank Pedro]]="Medium","Purple",IF(TableRelationships12[[#This Row],[Rank Pedro]]="High","Brown","")))</f>
        <v/>
      </c>
      <c r="V677" s="4" t="e">
        <f>MAX(INDEX(Standards!$F$2:$F$296,MATCH(B677,Standards!$B$2:$B$296,0)),INDEX(Standards!$F$2:$F$296,MATCH(C677,Standards!$B$2:$B$296,0)))</f>
        <v>#N/A</v>
      </c>
      <c r="W677" t="str">
        <f t="shared" si="32"/>
        <v>#2f89d1</v>
      </c>
    </row>
    <row r="678" spans="1:23" x14ac:dyDescent="0.5">
      <c r="A678" s="54">
        <v>677</v>
      </c>
      <c r="B678" s="90" t="s">
        <v>316</v>
      </c>
      <c r="C678" t="s">
        <v>1588</v>
      </c>
      <c r="D678" s="1"/>
      <c r="G678" s="107"/>
      <c r="H678">
        <f>INDEX('GIS-Standards'!$A$2:$A$305,MATCH(B678,'GIS-Standards'!$B$2:$B$305,0))</f>
        <v>27</v>
      </c>
      <c r="I678" t="e">
        <f>INDEX('GIS-Standards'!$A$2:$A$305,MATCH(C678,'GIS-Standards'!$B$2:$B$305,0))</f>
        <v>#N/A</v>
      </c>
      <c r="J678" t="str">
        <f>INDEX('GIS-Standards'!$O$2:$O$305,MATCH(B678,'GIS-Standards'!$B$2:$B$305,0))</f>
        <v>ISO/TC 211</v>
      </c>
      <c r="K678" t="e">
        <f>INDEX('GIS-Standards'!$O$2:$O$305,MATCH(C678,'GIS-Standards'!$B$2:$B$305,0))</f>
        <v>#N/A</v>
      </c>
      <c r="M678" t="s">
        <v>525</v>
      </c>
      <c r="N678">
        <f>INDEX('GIS-Standards'!$I$2:$I$305,MATCH(B678,'GIS-Standards'!$B$2:$B$305,0))</f>
        <v>0</v>
      </c>
      <c r="O678" t="e">
        <f>INDEX('GIS-Standards'!$I$2:$I$305,MATCH(C678,'GIS-Standards'!$B$2:$B$305,0))</f>
        <v>#N/A</v>
      </c>
      <c r="P678" t="e">
        <f>AND(TableRelationships12[[#This Row],[Source Type]]="BIM",TableRelationships12[[#This Row],[Target Type]]="BIM")</f>
        <v>#N/A</v>
      </c>
      <c r="Q678">
        <f t="shared" si="30"/>
        <v>1</v>
      </c>
      <c r="S678">
        <f t="shared" si="31"/>
        <v>1</v>
      </c>
      <c r="T678" s="102" t="str">
        <f>IF(TableRelationships12[[#This Row],[Rank Pedro]]="Low","linkCategory1",IF(TableRelationships12[[#This Row],[Rank Pedro]]="Medium","linkCategory2",IF(TableRelationships12[[#This Row],[Rank Pedro]]="High","linkCategory3","")))</f>
        <v/>
      </c>
      <c r="U678" s="102" t="str">
        <f>IF(TableRelationships12[[#This Row],[Rank Pedro]]="Low","Pink",IF(TableRelationships12[[#This Row],[Rank Pedro]]="Medium","Purple",IF(TableRelationships12[[#This Row],[Rank Pedro]]="High","Brown","")))</f>
        <v/>
      </c>
      <c r="V678" s="4" t="e">
        <f>MAX(INDEX(Standards!$F$2:$F$296,MATCH(B678,Standards!$B$2:$B$296,0)),INDEX(Standards!$F$2:$F$296,MATCH(C678,Standards!$B$2:$B$296,0)))</f>
        <v>#N/A</v>
      </c>
      <c r="W678" t="str">
        <f t="shared" si="32"/>
        <v>#2f89d1</v>
      </c>
    </row>
    <row r="679" spans="1:23" x14ac:dyDescent="0.5">
      <c r="A679" s="54">
        <v>678</v>
      </c>
      <c r="B679" s="90" t="s">
        <v>316</v>
      </c>
      <c r="C679" t="s">
        <v>1591</v>
      </c>
      <c r="D679" s="1"/>
      <c r="G679" s="107"/>
      <c r="H679">
        <f>INDEX('GIS-Standards'!$A$2:$A$305,MATCH(B679,'GIS-Standards'!$B$2:$B$305,0))</f>
        <v>27</v>
      </c>
      <c r="I679" t="e">
        <f>INDEX('GIS-Standards'!$A$2:$A$305,MATCH(C679,'GIS-Standards'!$B$2:$B$305,0))</f>
        <v>#N/A</v>
      </c>
      <c r="J679" t="str">
        <f>INDEX('GIS-Standards'!$O$2:$O$305,MATCH(B679,'GIS-Standards'!$B$2:$B$305,0))</f>
        <v>ISO/TC 211</v>
      </c>
      <c r="K679" t="e">
        <f>INDEX('GIS-Standards'!$O$2:$O$305,MATCH(C679,'GIS-Standards'!$B$2:$B$305,0))</f>
        <v>#N/A</v>
      </c>
      <c r="M679" t="s">
        <v>525</v>
      </c>
      <c r="N679">
        <f>INDEX('GIS-Standards'!$I$2:$I$305,MATCH(B679,'GIS-Standards'!$B$2:$B$305,0))</f>
        <v>0</v>
      </c>
      <c r="O679" t="e">
        <f>INDEX('GIS-Standards'!$I$2:$I$305,MATCH(C679,'GIS-Standards'!$B$2:$B$305,0))</f>
        <v>#N/A</v>
      </c>
      <c r="P679" t="e">
        <f>AND(TableRelationships12[[#This Row],[Source Type]]="BIM",TableRelationships12[[#This Row],[Target Type]]="BIM")</f>
        <v>#N/A</v>
      </c>
      <c r="Q679">
        <f t="shared" si="30"/>
        <v>1</v>
      </c>
      <c r="S679">
        <f t="shared" si="31"/>
        <v>1</v>
      </c>
      <c r="T679" s="102" t="str">
        <f>IF(TableRelationships12[[#This Row],[Rank Pedro]]="Low","linkCategory1",IF(TableRelationships12[[#This Row],[Rank Pedro]]="Medium","linkCategory2",IF(TableRelationships12[[#This Row],[Rank Pedro]]="High","linkCategory3","")))</f>
        <v/>
      </c>
      <c r="U679" s="102" t="str">
        <f>IF(TableRelationships12[[#This Row],[Rank Pedro]]="Low","Pink",IF(TableRelationships12[[#This Row],[Rank Pedro]]="Medium","Purple",IF(TableRelationships12[[#This Row],[Rank Pedro]]="High","Brown","")))</f>
        <v/>
      </c>
      <c r="V679" s="4" t="e">
        <f>MAX(INDEX(Standards!$F$2:$F$296,MATCH(B679,Standards!$B$2:$B$296,0)),INDEX(Standards!$F$2:$F$296,MATCH(C679,Standards!$B$2:$B$296,0)))</f>
        <v>#N/A</v>
      </c>
      <c r="W679" t="str">
        <f t="shared" si="32"/>
        <v>#2f89d1</v>
      </c>
    </row>
    <row r="680" spans="1:23" x14ac:dyDescent="0.5">
      <c r="A680" s="54">
        <v>679</v>
      </c>
      <c r="B680" s="90" t="s">
        <v>318</v>
      </c>
      <c r="C680" t="s">
        <v>527</v>
      </c>
      <c r="D680" s="1"/>
      <c r="E680" s="112" t="s">
        <v>949</v>
      </c>
      <c r="F680" s="112" t="s">
        <v>950</v>
      </c>
      <c r="G680" s="121" t="s">
        <v>670</v>
      </c>
      <c r="H680">
        <f>INDEX('GIS-Standards'!$A$2:$A$305,MATCH(B680,'GIS-Standards'!$B$2:$B$305,0))</f>
        <v>28</v>
      </c>
      <c r="I680" t="e">
        <f>INDEX('GIS-Standards'!$A$2:$A$305,MATCH(C680,'GIS-Standards'!$B$2:$B$305,0))</f>
        <v>#N/A</v>
      </c>
      <c r="J680" t="str">
        <f>INDEX('GIS-Standards'!$O$2:$O$305,MATCH(B680,'GIS-Standards'!$B$2:$B$305,0))</f>
        <v>ISO/TC 211</v>
      </c>
      <c r="K680" t="e">
        <f>INDEX('GIS-Standards'!$O$2:$O$305,MATCH(C680,'GIS-Standards'!$B$2:$B$305,0))</f>
        <v>#N/A</v>
      </c>
      <c r="M680" t="s">
        <v>237</v>
      </c>
      <c r="N680">
        <f>INDEX('GIS-Standards'!$I$2:$I$305,MATCH(B680,'GIS-Standards'!$B$2:$B$305,0))</f>
        <v>0</v>
      </c>
      <c r="O680" t="e">
        <f>INDEX('GIS-Standards'!$I$2:$I$305,MATCH(C680,'GIS-Standards'!$B$2:$B$305,0))</f>
        <v>#N/A</v>
      </c>
      <c r="P680" t="e">
        <f>AND(TableRelationships12[[#This Row],[Source Type]]="BIM",TableRelationships12[[#This Row],[Target Type]]="BIM")</f>
        <v>#N/A</v>
      </c>
      <c r="Q680">
        <f t="shared" si="30"/>
        <v>2</v>
      </c>
      <c r="S680">
        <f t="shared" si="31"/>
        <v>1</v>
      </c>
      <c r="T680" s="102" t="str">
        <f>IF(TableRelationships12[[#This Row],[Rank Pedro]]="Low","linkCategory1",IF(TableRelationships12[[#This Row],[Rank Pedro]]="Medium","linkCategory2",IF(TableRelationships12[[#This Row],[Rank Pedro]]="High","linkCategory3","")))</f>
        <v/>
      </c>
      <c r="U680" s="102" t="str">
        <f>IF(TableRelationships12[[#This Row],[Rank Pedro]]="Low","Pink",IF(TableRelationships12[[#This Row],[Rank Pedro]]="Medium","Purple",IF(TableRelationships12[[#This Row],[Rank Pedro]]="High","Brown","")))</f>
        <v/>
      </c>
      <c r="V680" s="4">
        <f>MAX(INDEX(Standards!$F$2:$F$296,MATCH(B680,Standards!$B$2:$B$296,0)),INDEX(Standards!$F$2:$F$296,MATCH(C680,Standards!$B$2:$B$296,0)))</f>
        <v>38384</v>
      </c>
      <c r="W680">
        <f t="shared" si="32"/>
        <v>1</v>
      </c>
    </row>
    <row r="681" spans="1:23" x14ac:dyDescent="0.5">
      <c r="A681" s="54">
        <v>680</v>
      </c>
      <c r="B681" s="90" t="s">
        <v>318</v>
      </c>
      <c r="C681" t="s">
        <v>1063</v>
      </c>
      <c r="D681" s="1"/>
      <c r="E681" s="112">
        <v>1998.12</v>
      </c>
      <c r="F681" s="112">
        <v>1998.12</v>
      </c>
      <c r="G681" s="107" t="s">
        <v>1502</v>
      </c>
      <c r="H681">
        <f>INDEX('GIS-Standards'!$A$2:$A$305,MATCH(B681,'GIS-Standards'!$B$2:$B$305,0))</f>
        <v>28</v>
      </c>
      <c r="I681" t="e">
        <f>INDEX('GIS-Standards'!$A$2:$A$305,MATCH(C681,'GIS-Standards'!$B$2:$B$305,0))</f>
        <v>#N/A</v>
      </c>
      <c r="J681" t="str">
        <f>INDEX('GIS-Standards'!$O$2:$O$305,MATCH(B681,'GIS-Standards'!$B$2:$B$305,0))</f>
        <v>ISO/TC 211</v>
      </c>
      <c r="K681" t="e">
        <f>INDEX('GIS-Standards'!$O$2:$O$305,MATCH(C681,'GIS-Standards'!$B$2:$B$305,0))</f>
        <v>#N/A</v>
      </c>
      <c r="M681" t="s">
        <v>524</v>
      </c>
      <c r="N681">
        <f>INDEX('GIS-Standards'!$I$2:$I$305,MATCH(B681,'GIS-Standards'!$B$2:$B$305,0))</f>
        <v>0</v>
      </c>
      <c r="O681" t="e">
        <f>INDEX('GIS-Standards'!$I$2:$I$305,MATCH(C681,'GIS-Standards'!$B$2:$B$305,0))</f>
        <v>#N/A</v>
      </c>
      <c r="P681" t="e">
        <f>AND(TableRelationships12[[#This Row],[Source Type]]="BIM",TableRelationships12[[#This Row],[Target Type]]="BIM")</f>
        <v>#N/A</v>
      </c>
      <c r="Q681">
        <f t="shared" si="30"/>
        <v>6</v>
      </c>
      <c r="S681">
        <f t="shared" si="31"/>
        <v>1</v>
      </c>
      <c r="T681" s="102" t="str">
        <f>IF(TableRelationships12[[#This Row],[Rank Pedro]]="Low","linkCategory1",IF(TableRelationships12[[#This Row],[Rank Pedro]]="Medium","linkCategory2",IF(TableRelationships12[[#This Row],[Rank Pedro]]="High","linkCategory3","")))</f>
        <v/>
      </c>
      <c r="U681" s="102" t="str">
        <f>IF(TableRelationships12[[#This Row],[Rank Pedro]]="Low","Pink",IF(TableRelationships12[[#This Row],[Rank Pedro]]="Medium","Purple",IF(TableRelationships12[[#This Row],[Rank Pedro]]="High","Brown","")))</f>
        <v/>
      </c>
      <c r="V681" s="4" t="e">
        <f>MAX(INDEX(Standards!$F$2:$F$296,MATCH(B681,Standards!$B$2:$B$296,0)),INDEX(Standards!$F$2:$F$296,MATCH(C681,Standards!$B$2:$B$296,0)))</f>
        <v>#N/A</v>
      </c>
      <c r="W681" t="str">
        <f t="shared" si="32"/>
        <v>#d6bf2a</v>
      </c>
    </row>
    <row r="682" spans="1:23" x14ac:dyDescent="0.5">
      <c r="A682" s="54">
        <v>681</v>
      </c>
      <c r="B682" s="90" t="s">
        <v>318</v>
      </c>
      <c r="C682" t="s">
        <v>293</v>
      </c>
      <c r="D682" s="1"/>
      <c r="E682" s="112">
        <v>2002.07</v>
      </c>
      <c r="F682" s="112">
        <v>2014.11</v>
      </c>
      <c r="G682" s="107" t="s">
        <v>670</v>
      </c>
      <c r="H682">
        <f>INDEX('GIS-Standards'!$A$2:$A$305,MATCH(B682,'GIS-Standards'!$B$2:$B$305,0))</f>
        <v>28</v>
      </c>
      <c r="I682">
        <f>INDEX('GIS-Standards'!$A$2:$A$305,MATCH(C682,'GIS-Standards'!$B$2:$B$305,0))</f>
        <v>10</v>
      </c>
      <c r="J682" t="str">
        <f>INDEX('GIS-Standards'!$O$2:$O$305,MATCH(B682,'GIS-Standards'!$B$2:$B$305,0))</f>
        <v>ISO/TC 211</v>
      </c>
      <c r="K682" t="str">
        <f>INDEX('GIS-Standards'!$O$2:$O$305,MATCH(C682,'GIS-Standards'!$B$2:$B$305,0))</f>
        <v>ISO/TC 211</v>
      </c>
      <c r="M682" t="s">
        <v>524</v>
      </c>
      <c r="N682">
        <f>INDEX('GIS-Standards'!$I$2:$I$305,MATCH(B682,'GIS-Standards'!$B$2:$B$305,0))</f>
        <v>0</v>
      </c>
      <c r="O682">
        <f>INDEX('GIS-Standards'!$I$2:$I$305,MATCH(C682,'GIS-Standards'!$B$2:$B$305,0))</f>
        <v>0</v>
      </c>
      <c r="P682" t="b">
        <f>AND(TableRelationships12[[#This Row],[Source Type]]="BIM",TableRelationships12[[#This Row],[Target Type]]="BIM")</f>
        <v>0</v>
      </c>
      <c r="Q682">
        <f t="shared" si="30"/>
        <v>6</v>
      </c>
      <c r="S682">
        <f t="shared" si="31"/>
        <v>1</v>
      </c>
      <c r="T682" s="102" t="str">
        <f>IF(TableRelationships12[[#This Row],[Rank Pedro]]="Low","linkCategory1",IF(TableRelationships12[[#This Row],[Rank Pedro]]="Medium","linkCategory2",IF(TableRelationships12[[#This Row],[Rank Pedro]]="High","linkCategory3","")))</f>
        <v/>
      </c>
      <c r="U682" s="102" t="str">
        <f>IF(TableRelationships12[[#This Row],[Rank Pedro]]="Low","Pink",IF(TableRelationships12[[#This Row],[Rank Pedro]]="Medium","Purple",IF(TableRelationships12[[#This Row],[Rank Pedro]]="High","Brown","")))</f>
        <v/>
      </c>
      <c r="V682" s="4">
        <f>MAX(INDEX(Standards!$F$2:$F$296,MATCH(B682,Standards!$B$2:$B$296,0)),INDEX(Standards!$F$2:$F$296,MATCH(C682,Standards!$B$2:$B$296,0)))</f>
        <v>38384</v>
      </c>
      <c r="W682" t="str">
        <f t="shared" si="32"/>
        <v>#d6bf2a</v>
      </c>
    </row>
    <row r="683" spans="1:23" x14ac:dyDescent="0.5">
      <c r="A683" s="54">
        <v>682</v>
      </c>
      <c r="B683" s="90" t="s">
        <v>318</v>
      </c>
      <c r="C683" t="s">
        <v>296</v>
      </c>
      <c r="D683" s="1"/>
      <c r="E683" s="112">
        <v>2005.07</v>
      </c>
      <c r="F683" s="112">
        <v>2024.09</v>
      </c>
      <c r="G683" s="107" t="s">
        <v>670</v>
      </c>
      <c r="H683">
        <f>INDEX('GIS-Standards'!$A$2:$A$305,MATCH(B683,'GIS-Standards'!$B$2:$B$305,0))</f>
        <v>28</v>
      </c>
      <c r="I683">
        <f>INDEX('GIS-Standards'!$A$2:$A$305,MATCH(C683,'GIS-Standards'!$B$2:$B$305,0))</f>
        <v>12</v>
      </c>
      <c r="J683" t="str">
        <f>INDEX('GIS-Standards'!$O$2:$O$305,MATCH(B683,'GIS-Standards'!$B$2:$B$305,0))</f>
        <v>ISO/TC 211</v>
      </c>
      <c r="K683" t="str">
        <f>INDEX('GIS-Standards'!$O$2:$O$305,MATCH(C683,'GIS-Standards'!$B$2:$B$305,0))</f>
        <v>ISO/TC 211</v>
      </c>
      <c r="M683" t="s">
        <v>524</v>
      </c>
      <c r="N683">
        <f>INDEX('GIS-Standards'!$I$2:$I$305,MATCH(B683,'GIS-Standards'!$B$2:$B$305,0))</f>
        <v>0</v>
      </c>
      <c r="O683">
        <f>INDEX('GIS-Standards'!$I$2:$I$305,MATCH(C683,'GIS-Standards'!$B$2:$B$305,0))</f>
        <v>0</v>
      </c>
      <c r="P683" t="b">
        <f>AND(TableRelationships12[[#This Row],[Source Type]]="BIM",TableRelationships12[[#This Row],[Target Type]]="BIM")</f>
        <v>0</v>
      </c>
      <c r="Q683">
        <f t="shared" si="30"/>
        <v>6</v>
      </c>
      <c r="S683">
        <f t="shared" si="31"/>
        <v>1</v>
      </c>
      <c r="T683" s="102" t="str">
        <f>IF(TableRelationships12[[#This Row],[Rank Pedro]]="Low","linkCategory1",IF(TableRelationships12[[#This Row],[Rank Pedro]]="Medium","linkCategory2",IF(TableRelationships12[[#This Row],[Rank Pedro]]="High","linkCategory3","")))</f>
        <v/>
      </c>
      <c r="U683" s="102" t="str">
        <f>IF(TableRelationships12[[#This Row],[Rank Pedro]]="Low","Pink",IF(TableRelationships12[[#This Row],[Rank Pedro]]="Medium","Purple",IF(TableRelationships12[[#This Row],[Rank Pedro]]="High","Brown","")))</f>
        <v/>
      </c>
      <c r="V683" s="4">
        <f>MAX(INDEX(Standards!$F$2:$F$296,MATCH(B683,Standards!$B$2:$B$296,0)),INDEX(Standards!$F$2:$F$296,MATCH(C683,Standards!$B$2:$B$296,0)))</f>
        <v>38534</v>
      </c>
      <c r="W683" t="str">
        <f t="shared" si="32"/>
        <v>#d6bf2a</v>
      </c>
    </row>
    <row r="684" spans="1:23" x14ac:dyDescent="0.5">
      <c r="A684" s="54">
        <v>683</v>
      </c>
      <c r="B684" s="90" t="s">
        <v>318</v>
      </c>
      <c r="C684" t="s">
        <v>314</v>
      </c>
      <c r="D684" s="1"/>
      <c r="E684" s="112">
        <v>2003.05</v>
      </c>
      <c r="F684" s="112">
        <v>2020.11</v>
      </c>
      <c r="G684" s="107" t="s">
        <v>670</v>
      </c>
      <c r="H684">
        <f>INDEX('GIS-Standards'!$A$2:$A$305,MATCH(B684,'GIS-Standards'!$B$2:$B$305,0))</f>
        <v>28</v>
      </c>
      <c r="I684">
        <f>INDEX('GIS-Standards'!$A$2:$A$305,MATCH(C684,'GIS-Standards'!$B$2:$B$305,0))</f>
        <v>22</v>
      </c>
      <c r="J684" t="str">
        <f>INDEX('GIS-Standards'!$O$2:$O$305,MATCH(B684,'GIS-Standards'!$B$2:$B$305,0))</f>
        <v>ISO/TC 211</v>
      </c>
      <c r="K684" t="str">
        <f>INDEX('GIS-Standards'!$O$2:$O$305,MATCH(C684,'GIS-Standards'!$B$2:$B$305,0))</f>
        <v>ISO/TC 211</v>
      </c>
      <c r="M684" t="s">
        <v>524</v>
      </c>
      <c r="N684">
        <f>INDEX('GIS-Standards'!$I$2:$I$305,MATCH(B684,'GIS-Standards'!$B$2:$B$305,0))</f>
        <v>0</v>
      </c>
      <c r="O684" t="str">
        <f>INDEX('GIS-Standards'!$I$2:$I$305,MATCH(C684,'GIS-Standards'!$B$2:$B$305,0))</f>
        <v>12.2020</v>
      </c>
      <c r="P684" t="b">
        <f>AND(TableRelationships12[[#This Row],[Source Type]]="BIM",TableRelationships12[[#This Row],[Target Type]]="BIM")</f>
        <v>0</v>
      </c>
      <c r="Q684">
        <f t="shared" si="30"/>
        <v>6</v>
      </c>
      <c r="S684">
        <f t="shared" si="31"/>
        <v>1</v>
      </c>
      <c r="T684" s="102" t="str">
        <f>IF(TableRelationships12[[#This Row],[Rank Pedro]]="Low","linkCategory1",IF(TableRelationships12[[#This Row],[Rank Pedro]]="Medium","linkCategory2",IF(TableRelationships12[[#This Row],[Rank Pedro]]="High","linkCategory3","")))</f>
        <v/>
      </c>
      <c r="U684" s="102" t="str">
        <f>IF(TableRelationships12[[#This Row],[Rank Pedro]]="Low","Pink",IF(TableRelationships12[[#This Row],[Rank Pedro]]="Medium","Purple",IF(TableRelationships12[[#This Row],[Rank Pedro]]="High","Brown","")))</f>
        <v/>
      </c>
      <c r="V684" s="4">
        <f>MAX(INDEX(Standards!$F$2:$F$296,MATCH(B684,Standards!$B$2:$B$296,0)),INDEX(Standards!$F$2:$F$296,MATCH(C684,Standards!$B$2:$B$296,0)))</f>
        <v>38384</v>
      </c>
      <c r="W684" t="str">
        <f t="shared" si="32"/>
        <v>#d6bf2a</v>
      </c>
    </row>
    <row r="685" spans="1:23" x14ac:dyDescent="0.5">
      <c r="A685" s="54">
        <v>684</v>
      </c>
      <c r="B685" s="90" t="s">
        <v>318</v>
      </c>
      <c r="C685" t="s">
        <v>1155</v>
      </c>
      <c r="D685" s="1"/>
      <c r="G685" s="107"/>
      <c r="H685">
        <f>INDEX('GIS-Standards'!$A$2:$A$305,MATCH(B685,'GIS-Standards'!$B$2:$B$305,0))</f>
        <v>28</v>
      </c>
      <c r="I685" t="e">
        <f>INDEX('GIS-Standards'!$A$2:$A$305,MATCH(C685,'GIS-Standards'!$B$2:$B$305,0))</f>
        <v>#N/A</v>
      </c>
      <c r="J685" t="str">
        <f>INDEX('GIS-Standards'!$O$2:$O$305,MATCH(B685,'GIS-Standards'!$B$2:$B$305,0))</f>
        <v>ISO/TC 211</v>
      </c>
      <c r="K685" t="e">
        <f>INDEX('GIS-Standards'!$O$2:$O$305,MATCH(C685,'GIS-Standards'!$B$2:$B$305,0))</f>
        <v>#N/A</v>
      </c>
      <c r="M685" t="s">
        <v>524</v>
      </c>
      <c r="N685">
        <f>INDEX('GIS-Standards'!$I$2:$I$305,MATCH(B685,'GIS-Standards'!$B$2:$B$305,0))</f>
        <v>0</v>
      </c>
      <c r="O685" t="e">
        <f>INDEX('GIS-Standards'!$I$2:$I$305,MATCH(C685,'GIS-Standards'!$B$2:$B$305,0))</f>
        <v>#N/A</v>
      </c>
      <c r="P685" t="e">
        <f>AND(TableRelationships12[[#This Row],[Source Type]]="BIM",TableRelationships12[[#This Row],[Target Type]]="BIM")</f>
        <v>#N/A</v>
      </c>
      <c r="Q685">
        <f t="shared" si="30"/>
        <v>6</v>
      </c>
      <c r="S685">
        <f t="shared" si="31"/>
        <v>1</v>
      </c>
      <c r="T685" s="102" t="str">
        <f>IF(TableRelationships12[[#This Row],[Rank Pedro]]="Low","linkCategory1",IF(TableRelationships12[[#This Row],[Rank Pedro]]="Medium","linkCategory2",IF(TableRelationships12[[#This Row],[Rank Pedro]]="High","linkCategory3","")))</f>
        <v/>
      </c>
      <c r="U685" s="102" t="str">
        <f>IF(TableRelationships12[[#This Row],[Rank Pedro]]="Low","Pink",IF(TableRelationships12[[#This Row],[Rank Pedro]]="Medium","Purple",IF(TableRelationships12[[#This Row],[Rank Pedro]]="High","Brown","")))</f>
        <v/>
      </c>
      <c r="V685" s="4" t="e">
        <f>MAX(INDEX(Standards!$F$2:$F$296,MATCH(B685,Standards!$B$2:$B$296,0)),INDEX(Standards!$F$2:$F$296,MATCH(C685,Standards!$B$2:$B$296,0)))</f>
        <v>#N/A</v>
      </c>
      <c r="W685" t="str">
        <f t="shared" si="32"/>
        <v>#d6bf2a</v>
      </c>
    </row>
    <row r="686" spans="1:23" x14ac:dyDescent="0.5">
      <c r="A686" s="54">
        <v>685</v>
      </c>
      <c r="B686" s="90" t="s">
        <v>318</v>
      </c>
      <c r="C686" t="s">
        <v>128</v>
      </c>
      <c r="D686" s="1"/>
      <c r="E686" s="112">
        <v>1994.12</v>
      </c>
      <c r="F686" s="112">
        <v>2004.11</v>
      </c>
      <c r="G686" s="107" t="s">
        <v>1448</v>
      </c>
      <c r="H686">
        <f>INDEX('GIS-Standards'!$A$2:$A$305,MATCH(B686,'GIS-Standards'!$B$2:$B$305,0))</f>
        <v>28</v>
      </c>
      <c r="I686" t="e">
        <f>INDEX('GIS-Standards'!$A$2:$A$305,MATCH(C686,'GIS-Standards'!$B$2:$B$305,0))</f>
        <v>#N/A</v>
      </c>
      <c r="J686" t="str">
        <f>INDEX('GIS-Standards'!$O$2:$O$305,MATCH(B686,'GIS-Standards'!$B$2:$B$305,0))</f>
        <v>ISO/TC 211</v>
      </c>
      <c r="K686" t="e">
        <f>INDEX('GIS-Standards'!$O$2:$O$305,MATCH(C686,'GIS-Standards'!$B$2:$B$305,0))</f>
        <v>#N/A</v>
      </c>
      <c r="M686" t="s">
        <v>525</v>
      </c>
      <c r="N686">
        <f>INDEX('GIS-Standards'!$I$2:$I$305,MATCH(B686,'GIS-Standards'!$B$2:$B$305,0))</f>
        <v>0</v>
      </c>
      <c r="O686" t="e">
        <f>INDEX('GIS-Standards'!$I$2:$I$305,MATCH(C686,'GIS-Standards'!$B$2:$B$305,0))</f>
        <v>#N/A</v>
      </c>
      <c r="P686" t="e">
        <f>AND(TableRelationships12[[#This Row],[Source Type]]="BIM",TableRelationships12[[#This Row],[Target Type]]="BIM")</f>
        <v>#N/A</v>
      </c>
      <c r="Q686">
        <f t="shared" si="30"/>
        <v>1</v>
      </c>
      <c r="S686">
        <f t="shared" si="31"/>
        <v>1</v>
      </c>
      <c r="T686" s="102" t="str">
        <f>IF(TableRelationships12[[#This Row],[Rank Pedro]]="Low","linkCategory1",IF(TableRelationships12[[#This Row],[Rank Pedro]]="Medium","linkCategory2",IF(TableRelationships12[[#This Row],[Rank Pedro]]="High","linkCategory3","")))</f>
        <v/>
      </c>
      <c r="U686" s="102" t="str">
        <f>IF(TableRelationships12[[#This Row],[Rank Pedro]]="Low","Pink",IF(TableRelationships12[[#This Row],[Rank Pedro]]="Medium","Purple",IF(TableRelationships12[[#This Row],[Rank Pedro]]="High","Brown","")))</f>
        <v/>
      </c>
      <c r="V686" s="4">
        <f>MAX(INDEX(Standards!$F$2:$F$296,MATCH(B686,Standards!$B$2:$B$296,0)),INDEX(Standards!$F$2:$F$296,MATCH(C686,Standards!$B$2:$B$296,0)))</f>
        <v>38384</v>
      </c>
      <c r="W686" t="str">
        <f t="shared" si="32"/>
        <v>#2f89d1</v>
      </c>
    </row>
    <row r="687" spans="1:23" x14ac:dyDescent="0.5">
      <c r="A687" s="54">
        <v>686</v>
      </c>
      <c r="B687" s="90" t="s">
        <v>318</v>
      </c>
      <c r="C687" t="s">
        <v>263</v>
      </c>
      <c r="D687" s="1"/>
      <c r="E687" s="112">
        <v>1998.12</v>
      </c>
      <c r="F687" s="112">
        <v>1998.12</v>
      </c>
      <c r="G687" s="107" t="s">
        <v>1448</v>
      </c>
      <c r="H687">
        <f>INDEX('GIS-Standards'!$A$2:$A$305,MATCH(B687,'GIS-Standards'!$B$2:$B$305,0))</f>
        <v>28</v>
      </c>
      <c r="I687" t="e">
        <f>INDEX('GIS-Standards'!$A$2:$A$305,MATCH(C687,'GIS-Standards'!$B$2:$B$305,0))</f>
        <v>#N/A</v>
      </c>
      <c r="J687" t="str">
        <f>INDEX('GIS-Standards'!$O$2:$O$305,MATCH(B687,'GIS-Standards'!$B$2:$B$305,0))</f>
        <v>ISO/TC 211</v>
      </c>
      <c r="K687" t="e">
        <f>INDEX('GIS-Standards'!$O$2:$O$305,MATCH(C687,'GIS-Standards'!$B$2:$B$305,0))</f>
        <v>#N/A</v>
      </c>
      <c r="M687" t="s">
        <v>525</v>
      </c>
      <c r="N687">
        <f>INDEX('GIS-Standards'!$I$2:$I$305,MATCH(B687,'GIS-Standards'!$B$2:$B$305,0))</f>
        <v>0</v>
      </c>
      <c r="O687" t="e">
        <f>INDEX('GIS-Standards'!$I$2:$I$305,MATCH(C687,'GIS-Standards'!$B$2:$B$305,0))</f>
        <v>#N/A</v>
      </c>
      <c r="P687" t="e">
        <f>AND(TableRelationships12[[#This Row],[Source Type]]="BIM",TableRelationships12[[#This Row],[Target Type]]="BIM")</f>
        <v>#N/A</v>
      </c>
      <c r="Q687">
        <f t="shared" si="30"/>
        <v>1</v>
      </c>
      <c r="S687">
        <f t="shared" si="31"/>
        <v>1</v>
      </c>
      <c r="T687" s="102" t="str">
        <f>IF(TableRelationships12[[#This Row],[Rank Pedro]]="Low","linkCategory1",IF(TableRelationships12[[#This Row],[Rank Pedro]]="Medium","linkCategory2",IF(TableRelationships12[[#This Row],[Rank Pedro]]="High","linkCategory3","")))</f>
        <v/>
      </c>
      <c r="U687" s="102" t="str">
        <f>IF(TableRelationships12[[#This Row],[Rank Pedro]]="Low","Pink",IF(TableRelationships12[[#This Row],[Rank Pedro]]="Medium","Purple",IF(TableRelationships12[[#This Row],[Rank Pedro]]="High","Brown","")))</f>
        <v/>
      </c>
      <c r="V687" s="4">
        <f>MAX(INDEX(Standards!$F$2:$F$296,MATCH(B687,Standards!$B$2:$B$296,0)),INDEX(Standards!$F$2:$F$296,MATCH(C687,Standards!$B$2:$B$296,0)))</f>
        <v>38384</v>
      </c>
      <c r="W687" t="str">
        <f t="shared" si="32"/>
        <v>#2f89d1</v>
      </c>
    </row>
    <row r="688" spans="1:23" x14ac:dyDescent="0.5">
      <c r="A688" s="54">
        <v>687</v>
      </c>
      <c r="B688" s="90" t="s">
        <v>318</v>
      </c>
      <c r="C688" t="s">
        <v>293</v>
      </c>
      <c r="D688" s="1"/>
      <c r="E688" s="112">
        <v>2002.07</v>
      </c>
      <c r="F688" s="112">
        <v>2014.11</v>
      </c>
      <c r="G688" s="107" t="s">
        <v>670</v>
      </c>
      <c r="H688">
        <f>INDEX('GIS-Standards'!$A$2:$A$305,MATCH(B688,'GIS-Standards'!$B$2:$B$305,0))</f>
        <v>28</v>
      </c>
      <c r="I688">
        <f>INDEX('GIS-Standards'!$A$2:$A$305,MATCH(C688,'GIS-Standards'!$B$2:$B$305,0))</f>
        <v>10</v>
      </c>
      <c r="J688" t="str">
        <f>INDEX('GIS-Standards'!$O$2:$O$305,MATCH(B688,'GIS-Standards'!$B$2:$B$305,0))</f>
        <v>ISO/TC 211</v>
      </c>
      <c r="K688" t="str">
        <f>INDEX('GIS-Standards'!$O$2:$O$305,MATCH(C688,'GIS-Standards'!$B$2:$B$305,0))</f>
        <v>ISO/TC 211</v>
      </c>
      <c r="M688" t="s">
        <v>525</v>
      </c>
      <c r="N688">
        <f>INDEX('GIS-Standards'!$I$2:$I$305,MATCH(B688,'GIS-Standards'!$B$2:$B$305,0))</f>
        <v>0</v>
      </c>
      <c r="O688">
        <f>INDEX('GIS-Standards'!$I$2:$I$305,MATCH(C688,'GIS-Standards'!$B$2:$B$305,0))</f>
        <v>0</v>
      </c>
      <c r="P688" t="b">
        <f>AND(TableRelationships12[[#This Row],[Source Type]]="BIM",TableRelationships12[[#This Row],[Target Type]]="BIM")</f>
        <v>0</v>
      </c>
      <c r="Q688">
        <f t="shared" si="30"/>
        <v>1</v>
      </c>
      <c r="S688">
        <f t="shared" si="31"/>
        <v>1</v>
      </c>
      <c r="T688" s="102" t="str">
        <f>IF(TableRelationships12[[#This Row],[Rank Pedro]]="Low","linkCategory1",IF(TableRelationships12[[#This Row],[Rank Pedro]]="Medium","linkCategory2",IF(TableRelationships12[[#This Row],[Rank Pedro]]="High","linkCategory3","")))</f>
        <v/>
      </c>
      <c r="U688" s="102" t="str">
        <f>IF(TableRelationships12[[#This Row],[Rank Pedro]]="Low","Pink",IF(TableRelationships12[[#This Row],[Rank Pedro]]="Medium","Purple",IF(TableRelationships12[[#This Row],[Rank Pedro]]="High","Brown","")))</f>
        <v/>
      </c>
      <c r="V688" s="4">
        <f>MAX(INDEX(Standards!$F$2:$F$296,MATCH(B688,Standards!$B$2:$B$296,0)),INDEX(Standards!$F$2:$F$296,MATCH(C688,Standards!$B$2:$B$296,0)))</f>
        <v>38384</v>
      </c>
      <c r="W688" t="str">
        <f t="shared" si="32"/>
        <v>#2f89d1</v>
      </c>
    </row>
    <row r="689" spans="1:23" x14ac:dyDescent="0.5">
      <c r="A689" s="54">
        <v>688</v>
      </c>
      <c r="B689" s="90" t="s">
        <v>318</v>
      </c>
      <c r="C689" t="s">
        <v>300</v>
      </c>
      <c r="D689" s="1"/>
      <c r="E689" s="112">
        <v>2000.12</v>
      </c>
      <c r="F689" s="112">
        <v>2022.07</v>
      </c>
      <c r="G689" s="107" t="s">
        <v>670</v>
      </c>
      <c r="H689">
        <f>INDEX('GIS-Standards'!$A$2:$A$305,MATCH(B689,'GIS-Standards'!$B$2:$B$305,0))</f>
        <v>28</v>
      </c>
      <c r="I689">
        <f>INDEX('GIS-Standards'!$A$2:$A$305,MATCH(C689,'GIS-Standards'!$B$2:$B$305,0))</f>
        <v>14</v>
      </c>
      <c r="J689" t="str">
        <f>INDEX('GIS-Standards'!$O$2:$O$305,MATCH(B689,'GIS-Standards'!$B$2:$B$305,0))</f>
        <v>ISO/TC 211</v>
      </c>
      <c r="K689" t="str">
        <f>INDEX('GIS-Standards'!$O$2:$O$305,MATCH(C689,'GIS-Standards'!$B$2:$B$305,0))</f>
        <v>ISO/TC 211</v>
      </c>
      <c r="M689" t="s">
        <v>525</v>
      </c>
      <c r="N689">
        <f>INDEX('GIS-Standards'!$I$2:$I$305,MATCH(B689,'GIS-Standards'!$B$2:$B$305,0))</f>
        <v>0</v>
      </c>
      <c r="O689">
        <f>INDEX('GIS-Standards'!$I$2:$I$305,MATCH(C689,'GIS-Standards'!$B$2:$B$305,0))</f>
        <v>0</v>
      </c>
      <c r="P689" t="b">
        <f>AND(TableRelationships12[[#This Row],[Source Type]]="BIM",TableRelationships12[[#This Row],[Target Type]]="BIM")</f>
        <v>0</v>
      </c>
      <c r="Q689">
        <f t="shared" si="30"/>
        <v>1</v>
      </c>
      <c r="S689">
        <f t="shared" si="31"/>
        <v>1</v>
      </c>
      <c r="T689" s="102" t="str">
        <f>IF(TableRelationships12[[#This Row],[Rank Pedro]]="Low","linkCategory1",IF(TableRelationships12[[#This Row],[Rank Pedro]]="Medium","linkCategory2",IF(TableRelationships12[[#This Row],[Rank Pedro]]="High","linkCategory3","")))</f>
        <v/>
      </c>
      <c r="U689" s="102" t="str">
        <f>IF(TableRelationships12[[#This Row],[Rank Pedro]]="Low","Pink",IF(TableRelationships12[[#This Row],[Rank Pedro]]="Medium","Purple",IF(TableRelationships12[[#This Row],[Rank Pedro]]="High","Brown","")))</f>
        <v/>
      </c>
      <c r="V689" s="4">
        <f>MAX(INDEX(Standards!$F$2:$F$296,MATCH(B689,Standards!$B$2:$B$296,0)),INDEX(Standards!$F$2:$F$296,MATCH(C689,Standards!$B$2:$B$296,0)))</f>
        <v>38384</v>
      </c>
      <c r="W689" t="str">
        <f t="shared" si="32"/>
        <v>#2f89d1</v>
      </c>
    </row>
    <row r="690" spans="1:23" x14ac:dyDescent="0.5">
      <c r="A690" s="54">
        <v>689</v>
      </c>
      <c r="B690" s="90" t="s">
        <v>318</v>
      </c>
      <c r="C690" t="s">
        <v>302</v>
      </c>
      <c r="D690" s="1"/>
      <c r="E690" s="112">
        <v>2003.05</v>
      </c>
      <c r="F690" s="112">
        <v>2019.12</v>
      </c>
      <c r="G690" s="107" t="s">
        <v>670</v>
      </c>
      <c r="H690">
        <f>INDEX('GIS-Standards'!$A$2:$A$305,MATCH(B690,'GIS-Standards'!$B$2:$B$305,0))</f>
        <v>28</v>
      </c>
      <c r="I690">
        <f>INDEX('GIS-Standards'!$A$2:$A$305,MATCH(C690,'GIS-Standards'!$B$2:$B$305,0))</f>
        <v>16</v>
      </c>
      <c r="J690" t="str">
        <f>INDEX('GIS-Standards'!$O$2:$O$305,MATCH(B690,'GIS-Standards'!$B$2:$B$305,0))</f>
        <v>ISO/TC 211</v>
      </c>
      <c r="K690" t="str">
        <f>INDEX('GIS-Standards'!$O$2:$O$305,MATCH(C690,'GIS-Standards'!$B$2:$B$305,0))</f>
        <v>ISO/TC 211</v>
      </c>
      <c r="M690" t="s">
        <v>525</v>
      </c>
      <c r="N690">
        <f>INDEX('GIS-Standards'!$I$2:$I$305,MATCH(B690,'GIS-Standards'!$B$2:$B$305,0))</f>
        <v>0</v>
      </c>
      <c r="O690">
        <f>INDEX('GIS-Standards'!$I$2:$I$305,MATCH(C690,'GIS-Standards'!$B$2:$B$305,0))</f>
        <v>0</v>
      </c>
      <c r="P690" t="b">
        <f>AND(TableRelationships12[[#This Row],[Source Type]]="BIM",TableRelationships12[[#This Row],[Target Type]]="BIM")</f>
        <v>0</v>
      </c>
      <c r="Q690">
        <f t="shared" si="30"/>
        <v>1</v>
      </c>
      <c r="S690">
        <f t="shared" si="31"/>
        <v>1</v>
      </c>
      <c r="T690" s="102" t="str">
        <f>IF(TableRelationships12[[#This Row],[Rank Pedro]]="Low","linkCategory1",IF(TableRelationships12[[#This Row],[Rank Pedro]]="Medium","linkCategory2",IF(TableRelationships12[[#This Row],[Rank Pedro]]="High","linkCategory3","")))</f>
        <v/>
      </c>
      <c r="U690" s="102" t="str">
        <f>IF(TableRelationships12[[#This Row],[Rank Pedro]]="Low","Pink",IF(TableRelationships12[[#This Row],[Rank Pedro]]="Medium","Purple",IF(TableRelationships12[[#This Row],[Rank Pedro]]="High","Brown","")))</f>
        <v/>
      </c>
      <c r="V690" s="4">
        <f>MAX(INDEX(Standards!$F$2:$F$296,MATCH(B690,Standards!$B$2:$B$296,0)),INDEX(Standards!$F$2:$F$296,MATCH(C690,Standards!$B$2:$B$296,0)))</f>
        <v>38384</v>
      </c>
      <c r="W690" t="str">
        <f t="shared" si="32"/>
        <v>#2f89d1</v>
      </c>
    </row>
    <row r="691" spans="1:23" x14ac:dyDescent="0.5">
      <c r="A691" s="54">
        <v>690</v>
      </c>
      <c r="B691" s="90" t="s">
        <v>318</v>
      </c>
      <c r="C691" t="s">
        <v>304</v>
      </c>
      <c r="D691" s="1"/>
      <c r="E691" s="112">
        <v>2002.09</v>
      </c>
      <c r="F691" s="112">
        <v>2006.1</v>
      </c>
      <c r="G691" s="107" t="s">
        <v>670</v>
      </c>
      <c r="H691">
        <f>INDEX('GIS-Standards'!$A$2:$A$305,MATCH(B691,'GIS-Standards'!$B$2:$B$305,0))</f>
        <v>28</v>
      </c>
      <c r="I691">
        <f>INDEX('GIS-Standards'!$A$2:$A$305,MATCH(C691,'GIS-Standards'!$B$2:$B$305,0))</f>
        <v>17</v>
      </c>
      <c r="J691" t="str">
        <f>INDEX('GIS-Standards'!$O$2:$O$305,MATCH(B691,'GIS-Standards'!$B$2:$B$305,0))</f>
        <v>ISO/TC 211</v>
      </c>
      <c r="K691" t="str">
        <f>INDEX('GIS-Standards'!$O$2:$O$305,MATCH(C691,'GIS-Standards'!$B$2:$B$305,0))</f>
        <v>ISO/TC 211</v>
      </c>
      <c r="M691" t="s">
        <v>525</v>
      </c>
      <c r="N691">
        <f>INDEX('GIS-Standards'!$I$2:$I$305,MATCH(B691,'GIS-Standards'!$B$2:$B$305,0))</f>
        <v>0</v>
      </c>
      <c r="O691" t="str">
        <f>INDEX('GIS-Standards'!$I$2:$I$305,MATCH(C691,'GIS-Standards'!$B$2:$B$305,0))</f>
        <v>06.2008</v>
      </c>
      <c r="P691" t="b">
        <f>AND(TableRelationships12[[#This Row],[Source Type]]="BIM",TableRelationships12[[#This Row],[Target Type]]="BIM")</f>
        <v>0</v>
      </c>
      <c r="Q691">
        <f t="shared" si="30"/>
        <v>1</v>
      </c>
      <c r="S691">
        <f t="shared" si="31"/>
        <v>1</v>
      </c>
      <c r="T691" s="102" t="str">
        <f>IF(TableRelationships12[[#This Row],[Rank Pedro]]="Low","linkCategory1",IF(TableRelationships12[[#This Row],[Rank Pedro]]="Medium","linkCategory2",IF(TableRelationships12[[#This Row],[Rank Pedro]]="High","linkCategory3","")))</f>
        <v/>
      </c>
      <c r="U691" s="102" t="str">
        <f>IF(TableRelationships12[[#This Row],[Rank Pedro]]="Low","Pink",IF(TableRelationships12[[#This Row],[Rank Pedro]]="Medium","Purple",IF(TableRelationships12[[#This Row],[Rank Pedro]]="High","Brown","")))</f>
        <v/>
      </c>
      <c r="V691" s="4">
        <f>MAX(INDEX(Standards!$F$2:$F$296,MATCH(B691,Standards!$B$2:$B$296,0)),INDEX(Standards!$F$2:$F$296,MATCH(C691,Standards!$B$2:$B$296,0)))</f>
        <v>38384</v>
      </c>
      <c r="W691" t="str">
        <f t="shared" si="32"/>
        <v>#2f89d1</v>
      </c>
    </row>
    <row r="692" spans="1:23" x14ac:dyDescent="0.5">
      <c r="A692" s="54">
        <v>691</v>
      </c>
      <c r="B692" s="90" t="s">
        <v>318</v>
      </c>
      <c r="C692" t="s">
        <v>306</v>
      </c>
      <c r="D692" s="1"/>
      <c r="E692" s="112">
        <v>2005.06</v>
      </c>
      <c r="F692" s="112">
        <v>2025.07</v>
      </c>
      <c r="G692" s="107" t="s">
        <v>670</v>
      </c>
      <c r="H692">
        <f>INDEX('GIS-Standards'!$A$2:$A$305,MATCH(B692,'GIS-Standards'!$B$2:$B$305,0))</f>
        <v>28</v>
      </c>
      <c r="I692">
        <f>INDEX('GIS-Standards'!$A$2:$A$305,MATCH(C692,'GIS-Standards'!$B$2:$B$305,0))</f>
        <v>18</v>
      </c>
      <c r="J692" t="str">
        <f>INDEX('GIS-Standards'!$O$2:$O$305,MATCH(B692,'GIS-Standards'!$B$2:$B$305,0))</f>
        <v>ISO/TC 211</v>
      </c>
      <c r="K692" t="str">
        <f>INDEX('GIS-Standards'!$O$2:$O$305,MATCH(C692,'GIS-Standards'!$B$2:$B$305,0))</f>
        <v>ISO/TC 211</v>
      </c>
      <c r="M692" t="s">
        <v>525</v>
      </c>
      <c r="N692">
        <f>INDEX('GIS-Standards'!$I$2:$I$305,MATCH(B692,'GIS-Standards'!$B$2:$B$305,0))</f>
        <v>0</v>
      </c>
      <c r="O692">
        <f>INDEX('GIS-Standards'!$I$2:$I$305,MATCH(C692,'GIS-Standards'!$B$2:$B$305,0))</f>
        <v>0</v>
      </c>
      <c r="P692" t="b">
        <f>AND(TableRelationships12[[#This Row],[Source Type]]="BIM",TableRelationships12[[#This Row],[Target Type]]="BIM")</f>
        <v>0</v>
      </c>
      <c r="Q692">
        <f t="shared" si="30"/>
        <v>1</v>
      </c>
      <c r="S692">
        <f t="shared" si="31"/>
        <v>1</v>
      </c>
      <c r="T692" s="102" t="str">
        <f>IF(TableRelationships12[[#This Row],[Rank Pedro]]="Low","linkCategory1",IF(TableRelationships12[[#This Row],[Rank Pedro]]="Medium","linkCategory2",IF(TableRelationships12[[#This Row],[Rank Pedro]]="High","linkCategory3","")))</f>
        <v/>
      </c>
      <c r="U692" s="102" t="str">
        <f>IF(TableRelationships12[[#This Row],[Rank Pedro]]="Low","Pink",IF(TableRelationships12[[#This Row],[Rank Pedro]]="Medium","Purple",IF(TableRelationships12[[#This Row],[Rank Pedro]]="High","Brown","")))</f>
        <v/>
      </c>
      <c r="V692" s="4">
        <f>MAX(INDEX(Standards!$F$2:$F$296,MATCH(B692,Standards!$B$2:$B$296,0)),INDEX(Standards!$F$2:$F$296,MATCH(C692,Standards!$B$2:$B$296,0)))</f>
        <v>38504</v>
      </c>
      <c r="W692" t="str">
        <f t="shared" si="32"/>
        <v>#2f89d1</v>
      </c>
    </row>
    <row r="693" spans="1:23" x14ac:dyDescent="0.5">
      <c r="A693" s="54">
        <v>692</v>
      </c>
      <c r="B693" s="90" t="s">
        <v>318</v>
      </c>
      <c r="C693" t="s">
        <v>308</v>
      </c>
      <c r="D693" s="1"/>
      <c r="E693" s="112">
        <v>2005.02</v>
      </c>
      <c r="F693" s="112">
        <v>2016.12</v>
      </c>
      <c r="G693" s="107" t="s">
        <v>670</v>
      </c>
      <c r="H693">
        <f>INDEX('GIS-Standards'!$A$2:$A$305,MATCH(B693,'GIS-Standards'!$B$2:$B$305,0))</f>
        <v>28</v>
      </c>
      <c r="I693">
        <f>INDEX('GIS-Standards'!$A$2:$A$305,MATCH(C693,'GIS-Standards'!$B$2:$B$305,0))</f>
        <v>19</v>
      </c>
      <c r="J693" t="str">
        <f>INDEX('GIS-Standards'!$O$2:$O$305,MATCH(B693,'GIS-Standards'!$B$2:$B$305,0))</f>
        <v>ISO/TC 211</v>
      </c>
      <c r="K693" t="str">
        <f>INDEX('GIS-Standards'!$O$2:$O$305,MATCH(C693,'GIS-Standards'!$B$2:$B$305,0))</f>
        <v>ISO/TC 211</v>
      </c>
      <c r="M693" t="s">
        <v>525</v>
      </c>
      <c r="N693">
        <f>INDEX('GIS-Standards'!$I$2:$I$305,MATCH(B693,'GIS-Standards'!$B$2:$B$305,0))</f>
        <v>0</v>
      </c>
      <c r="O693">
        <f>INDEX('GIS-Standards'!$I$2:$I$305,MATCH(C693,'GIS-Standards'!$B$2:$B$305,0))</f>
        <v>0</v>
      </c>
      <c r="P693" t="b">
        <f>AND(TableRelationships12[[#This Row],[Source Type]]="BIM",TableRelationships12[[#This Row],[Target Type]]="BIM")</f>
        <v>0</v>
      </c>
      <c r="Q693">
        <f t="shared" si="30"/>
        <v>1</v>
      </c>
      <c r="S693">
        <f t="shared" si="31"/>
        <v>1</v>
      </c>
      <c r="T693" s="102" t="str">
        <f>IF(TableRelationships12[[#This Row],[Rank Pedro]]="Low","linkCategory1",IF(TableRelationships12[[#This Row],[Rank Pedro]]="Medium","linkCategory2",IF(TableRelationships12[[#This Row],[Rank Pedro]]="High","linkCategory3","")))</f>
        <v/>
      </c>
      <c r="U693" s="102" t="str">
        <f>IF(TableRelationships12[[#This Row],[Rank Pedro]]="Low","Pink",IF(TableRelationships12[[#This Row],[Rank Pedro]]="Medium","Purple",IF(TableRelationships12[[#This Row],[Rank Pedro]]="High","Brown","")))</f>
        <v/>
      </c>
      <c r="V693" s="4">
        <f>MAX(INDEX(Standards!$F$2:$F$296,MATCH(B693,Standards!$B$2:$B$296,0)),INDEX(Standards!$F$2:$F$296,MATCH(C693,Standards!$B$2:$B$296,0)))</f>
        <v>38384</v>
      </c>
      <c r="W693" t="str">
        <f t="shared" si="32"/>
        <v>#2f89d1</v>
      </c>
    </row>
    <row r="694" spans="1:23" x14ac:dyDescent="0.5">
      <c r="A694" s="54">
        <v>693</v>
      </c>
      <c r="B694" s="90" t="s">
        <v>318</v>
      </c>
      <c r="C694" t="s">
        <v>310</v>
      </c>
      <c r="D694" s="1"/>
      <c r="E694" s="112">
        <v>2003.02</v>
      </c>
      <c r="F694" s="112">
        <v>2023.08</v>
      </c>
      <c r="G694" s="107" t="s">
        <v>670</v>
      </c>
      <c r="H694">
        <f>INDEX('GIS-Standards'!$A$2:$A$305,MATCH(B694,'GIS-Standards'!$B$2:$B$305,0))</f>
        <v>28</v>
      </c>
      <c r="I694">
        <f>INDEX('GIS-Standards'!$A$2:$A$305,MATCH(C694,'GIS-Standards'!$B$2:$B$305,0))</f>
        <v>20</v>
      </c>
      <c r="J694" t="str">
        <f>INDEX('GIS-Standards'!$O$2:$O$305,MATCH(B694,'GIS-Standards'!$B$2:$B$305,0))</f>
        <v>ISO/TC 211</v>
      </c>
      <c r="K694" t="str">
        <f>INDEX('GIS-Standards'!$O$2:$O$305,MATCH(C694,'GIS-Standards'!$B$2:$B$305,0))</f>
        <v>ISO/TC 211</v>
      </c>
      <c r="M694" t="s">
        <v>525</v>
      </c>
      <c r="N694">
        <f>INDEX('GIS-Standards'!$I$2:$I$305,MATCH(B694,'GIS-Standards'!$B$2:$B$305,0))</f>
        <v>0</v>
      </c>
      <c r="O694" t="str">
        <f>INDEX('GIS-Standards'!$I$2:$I$305,MATCH(C694,'GIS-Standards'!$B$2:$B$305,0))</f>
        <v>08.2023</v>
      </c>
      <c r="P694" t="b">
        <f>AND(TableRelationships12[[#This Row],[Source Type]]="BIM",TableRelationships12[[#This Row],[Target Type]]="BIM")</f>
        <v>0</v>
      </c>
      <c r="Q694">
        <f t="shared" si="30"/>
        <v>1</v>
      </c>
      <c r="S694">
        <f t="shared" si="31"/>
        <v>1</v>
      </c>
      <c r="T694" s="102" t="str">
        <f>IF(TableRelationships12[[#This Row],[Rank Pedro]]="Low","linkCategory1",IF(TableRelationships12[[#This Row],[Rank Pedro]]="Medium","linkCategory2",IF(TableRelationships12[[#This Row],[Rank Pedro]]="High","linkCategory3","")))</f>
        <v/>
      </c>
      <c r="U694" s="102" t="str">
        <f>IF(TableRelationships12[[#This Row],[Rank Pedro]]="Low","Pink",IF(TableRelationships12[[#This Row],[Rank Pedro]]="Medium","Purple",IF(TableRelationships12[[#This Row],[Rank Pedro]]="High","Brown","")))</f>
        <v/>
      </c>
      <c r="V694" s="4">
        <f>MAX(INDEX(Standards!$F$2:$F$296,MATCH(B694,Standards!$B$2:$B$296,0)),INDEX(Standards!$F$2:$F$296,MATCH(C694,Standards!$B$2:$B$296,0)))</f>
        <v>38384</v>
      </c>
      <c r="W694" t="str">
        <f t="shared" si="32"/>
        <v>#2f89d1</v>
      </c>
    </row>
    <row r="695" spans="1:23" x14ac:dyDescent="0.5">
      <c r="A695" s="54">
        <v>694</v>
      </c>
      <c r="B695" s="90" t="s">
        <v>318</v>
      </c>
      <c r="C695" t="s">
        <v>312</v>
      </c>
      <c r="D695" s="1"/>
      <c r="E695" s="112">
        <v>2003.1</v>
      </c>
      <c r="F695" s="112">
        <v>2019.02</v>
      </c>
      <c r="G695" s="107" t="s">
        <v>670</v>
      </c>
      <c r="H695">
        <f>INDEX('GIS-Standards'!$A$2:$A$305,MATCH(B695,'GIS-Standards'!$B$2:$B$305,0))</f>
        <v>28</v>
      </c>
      <c r="I695">
        <f>INDEX('GIS-Standards'!$A$2:$A$305,MATCH(C695,'GIS-Standards'!$B$2:$B$305,0))</f>
        <v>21</v>
      </c>
      <c r="J695" t="str">
        <f>INDEX('GIS-Standards'!$O$2:$O$305,MATCH(B695,'GIS-Standards'!$B$2:$B$305,0))</f>
        <v>ISO/TC 211</v>
      </c>
      <c r="K695" t="str">
        <f>INDEX('GIS-Standards'!$O$2:$O$305,MATCH(C695,'GIS-Standards'!$B$2:$B$305,0))</f>
        <v>ISO/TC 211</v>
      </c>
      <c r="M695" t="s">
        <v>525</v>
      </c>
      <c r="N695">
        <f>INDEX('GIS-Standards'!$I$2:$I$305,MATCH(B695,'GIS-Standards'!$B$2:$B$305,0))</f>
        <v>0</v>
      </c>
      <c r="O695">
        <f>INDEX('GIS-Standards'!$I$2:$I$305,MATCH(C695,'GIS-Standards'!$B$2:$B$305,0))</f>
        <v>0</v>
      </c>
      <c r="P695" t="b">
        <f>AND(TableRelationships12[[#This Row],[Source Type]]="BIM",TableRelationships12[[#This Row],[Target Type]]="BIM")</f>
        <v>0</v>
      </c>
      <c r="Q695">
        <f t="shared" si="30"/>
        <v>1</v>
      </c>
      <c r="S695">
        <f t="shared" si="31"/>
        <v>1</v>
      </c>
      <c r="T695" s="102" t="str">
        <f>IF(TableRelationships12[[#This Row],[Rank Pedro]]="Low","linkCategory1",IF(TableRelationships12[[#This Row],[Rank Pedro]]="Medium","linkCategory2",IF(TableRelationships12[[#This Row],[Rank Pedro]]="High","linkCategory3","")))</f>
        <v/>
      </c>
      <c r="U695" s="102" t="str">
        <f>IF(TableRelationships12[[#This Row],[Rank Pedro]]="Low","Pink",IF(TableRelationships12[[#This Row],[Rank Pedro]]="Medium","Purple",IF(TableRelationships12[[#This Row],[Rank Pedro]]="High","Brown","")))</f>
        <v/>
      </c>
      <c r="V695" s="4">
        <f>MAX(INDEX(Standards!$F$2:$F$296,MATCH(B695,Standards!$B$2:$B$296,0)),INDEX(Standards!$F$2:$F$296,MATCH(C695,Standards!$B$2:$B$296,0)))</f>
        <v>38384</v>
      </c>
      <c r="W695" t="str">
        <f t="shared" si="32"/>
        <v>#2f89d1</v>
      </c>
    </row>
    <row r="696" spans="1:23" x14ac:dyDescent="0.5">
      <c r="A696" s="54">
        <v>695</v>
      </c>
      <c r="B696" s="90" t="s">
        <v>318</v>
      </c>
      <c r="C696" t="s">
        <v>1043</v>
      </c>
      <c r="D696" s="1"/>
      <c r="E696" s="112">
        <v>2004.07</v>
      </c>
      <c r="F696" s="112">
        <v>2025.04</v>
      </c>
      <c r="G696" s="107" t="s">
        <v>670</v>
      </c>
      <c r="H696">
        <f>INDEX('GIS-Standards'!$A$2:$A$305,MATCH(B696,'GIS-Standards'!$B$2:$B$305,0))</f>
        <v>28</v>
      </c>
      <c r="I696">
        <f>INDEX('GIS-Standards'!$A$2:$A$305,MATCH(C696,'GIS-Standards'!$B$2:$B$305,0))</f>
        <v>25</v>
      </c>
      <c r="J696" t="str">
        <f>INDEX('GIS-Standards'!$O$2:$O$305,MATCH(B696,'GIS-Standards'!$B$2:$B$305,0))</f>
        <v>ISO/TC 211</v>
      </c>
      <c r="K696" t="str">
        <f>INDEX('GIS-Standards'!$O$2:$O$305,MATCH(C696,'GIS-Standards'!$B$2:$B$305,0))</f>
        <v>ISO/TC 211</v>
      </c>
      <c r="M696" t="s">
        <v>525</v>
      </c>
      <c r="N696">
        <f>INDEX('GIS-Standards'!$I$2:$I$305,MATCH(B696,'GIS-Standards'!$B$2:$B$305,0))</f>
        <v>0</v>
      </c>
      <c r="O696">
        <f>INDEX('GIS-Standards'!$I$2:$I$305,MATCH(C696,'GIS-Standards'!$B$2:$B$305,0))</f>
        <v>0</v>
      </c>
      <c r="P696" t="b">
        <f>AND(TableRelationships12[[#This Row],[Source Type]]="BIM",TableRelationships12[[#This Row],[Target Type]]="BIM")</f>
        <v>0</v>
      </c>
      <c r="Q696">
        <f t="shared" si="30"/>
        <v>1</v>
      </c>
      <c r="S696">
        <f t="shared" si="31"/>
        <v>1</v>
      </c>
      <c r="T696" s="102" t="str">
        <f>IF(TableRelationships12[[#This Row],[Rank Pedro]]="Low","linkCategory1",IF(TableRelationships12[[#This Row],[Rank Pedro]]="Medium","linkCategory2",IF(TableRelationships12[[#This Row],[Rank Pedro]]="High","linkCategory3","")))</f>
        <v/>
      </c>
      <c r="U696" s="102" t="str">
        <f>IF(TableRelationships12[[#This Row],[Rank Pedro]]="Low","Pink",IF(TableRelationships12[[#This Row],[Rank Pedro]]="Medium","Purple",IF(TableRelationships12[[#This Row],[Rank Pedro]]="High","Brown","")))</f>
        <v/>
      </c>
      <c r="V696" s="4" t="e">
        <f>MAX(INDEX(Standards!$F$2:$F$296,MATCH(B696,Standards!$B$2:$B$296,0)),INDEX(Standards!$F$2:$F$296,MATCH(C696,Standards!$B$2:$B$296,0)))</f>
        <v>#N/A</v>
      </c>
      <c r="W696" t="str">
        <f t="shared" si="32"/>
        <v>#2f89d1</v>
      </c>
    </row>
    <row r="697" spans="1:23" x14ac:dyDescent="0.5">
      <c r="A697" s="54">
        <v>696</v>
      </c>
      <c r="B697" s="90" t="s">
        <v>318</v>
      </c>
      <c r="C697" t="s">
        <v>1044</v>
      </c>
      <c r="D697" s="1"/>
      <c r="E697" s="112">
        <v>2005.06</v>
      </c>
      <c r="F697" s="112">
        <v>2012.12</v>
      </c>
      <c r="G697" s="107" t="s">
        <v>670</v>
      </c>
      <c r="H697">
        <f>INDEX('GIS-Standards'!$A$2:$A$305,MATCH(B697,'GIS-Standards'!$B$2:$B$305,0))</f>
        <v>28</v>
      </c>
      <c r="I697">
        <f>INDEX('GIS-Standards'!$A$2:$A$305,MATCH(C697,'GIS-Standards'!$B$2:$B$305,0))</f>
        <v>26</v>
      </c>
      <c r="J697" t="str">
        <f>INDEX('GIS-Standards'!$O$2:$O$305,MATCH(B697,'GIS-Standards'!$B$2:$B$305,0))</f>
        <v>ISO/TC 211</v>
      </c>
      <c r="K697" t="str">
        <f>INDEX('GIS-Standards'!$O$2:$O$305,MATCH(C697,'GIS-Standards'!$B$2:$B$305,0))</f>
        <v>ISO/TC 211</v>
      </c>
      <c r="M697" t="s">
        <v>525</v>
      </c>
      <c r="N697">
        <f>INDEX('GIS-Standards'!$I$2:$I$305,MATCH(B697,'GIS-Standards'!$B$2:$B$305,0))</f>
        <v>0</v>
      </c>
      <c r="O697">
        <f>INDEX('GIS-Standards'!$I$2:$I$305,MATCH(C697,'GIS-Standards'!$B$2:$B$305,0))</f>
        <v>0</v>
      </c>
      <c r="P697" t="b">
        <f>AND(TableRelationships12[[#This Row],[Source Type]]="BIM",TableRelationships12[[#This Row],[Target Type]]="BIM")</f>
        <v>0</v>
      </c>
      <c r="Q697">
        <f t="shared" si="30"/>
        <v>1</v>
      </c>
      <c r="S697">
        <f t="shared" si="31"/>
        <v>1</v>
      </c>
      <c r="T697" s="102" t="str">
        <f>IF(TableRelationships12[[#This Row],[Rank Pedro]]="Low","linkCategory1",IF(TableRelationships12[[#This Row],[Rank Pedro]]="Medium","linkCategory2",IF(TableRelationships12[[#This Row],[Rank Pedro]]="High","linkCategory3","")))</f>
        <v/>
      </c>
      <c r="U697" s="102" t="str">
        <f>IF(TableRelationships12[[#This Row],[Rank Pedro]]="Low","Pink",IF(TableRelationships12[[#This Row],[Rank Pedro]]="Medium","Purple",IF(TableRelationships12[[#This Row],[Rank Pedro]]="High","Brown","")))</f>
        <v/>
      </c>
      <c r="V697" s="4" t="e">
        <f>MAX(INDEX(Standards!$F$2:$F$296,MATCH(B697,Standards!$B$2:$B$296,0)),INDEX(Standards!$F$2:$F$296,MATCH(C697,Standards!$B$2:$B$296,0)))</f>
        <v>#N/A</v>
      </c>
      <c r="W697" t="str">
        <f t="shared" si="32"/>
        <v>#2f89d1</v>
      </c>
    </row>
    <row r="698" spans="1:23" x14ac:dyDescent="0.5">
      <c r="A698" s="54">
        <v>697</v>
      </c>
      <c r="B698" s="90" t="s">
        <v>318</v>
      </c>
      <c r="C698" t="s">
        <v>316</v>
      </c>
      <c r="D698" s="1"/>
      <c r="E698" s="112">
        <v>2005.07</v>
      </c>
      <c r="F698" s="112">
        <v>2011.1</v>
      </c>
      <c r="G698" s="107" t="s">
        <v>670</v>
      </c>
      <c r="H698">
        <f>INDEX('GIS-Standards'!$A$2:$A$305,MATCH(B698,'GIS-Standards'!$B$2:$B$305,0))</f>
        <v>28</v>
      </c>
      <c r="I698">
        <f>INDEX('GIS-Standards'!$A$2:$A$305,MATCH(C698,'GIS-Standards'!$B$2:$B$305,0))</f>
        <v>27</v>
      </c>
      <c r="J698" t="str">
        <f>INDEX('GIS-Standards'!$O$2:$O$305,MATCH(B698,'GIS-Standards'!$B$2:$B$305,0))</f>
        <v>ISO/TC 211</v>
      </c>
      <c r="K698" t="str">
        <f>INDEX('GIS-Standards'!$O$2:$O$305,MATCH(C698,'GIS-Standards'!$B$2:$B$305,0))</f>
        <v>ISO/TC 211</v>
      </c>
      <c r="M698" t="s">
        <v>525</v>
      </c>
      <c r="N698">
        <f>INDEX('GIS-Standards'!$I$2:$I$305,MATCH(B698,'GIS-Standards'!$B$2:$B$305,0))</f>
        <v>0</v>
      </c>
      <c r="O698">
        <f>INDEX('GIS-Standards'!$I$2:$I$305,MATCH(C698,'GIS-Standards'!$B$2:$B$305,0))</f>
        <v>0</v>
      </c>
      <c r="P698" t="b">
        <f>AND(TableRelationships12[[#This Row],[Source Type]]="BIM",TableRelationships12[[#This Row],[Target Type]]="BIM")</f>
        <v>0</v>
      </c>
      <c r="Q698">
        <f t="shared" si="30"/>
        <v>1</v>
      </c>
      <c r="S698">
        <f t="shared" si="31"/>
        <v>1</v>
      </c>
      <c r="T698" s="102" t="str">
        <f>IF(TableRelationships12[[#This Row],[Rank Pedro]]="Low","linkCategory1",IF(TableRelationships12[[#This Row],[Rank Pedro]]="Medium","linkCategory2",IF(TableRelationships12[[#This Row],[Rank Pedro]]="High","linkCategory3","")))</f>
        <v/>
      </c>
      <c r="U698" s="102" t="str">
        <f>IF(TableRelationships12[[#This Row],[Rank Pedro]]="Low","Pink",IF(TableRelationships12[[#This Row],[Rank Pedro]]="Medium","Purple",IF(TableRelationships12[[#This Row],[Rank Pedro]]="High","Brown","")))</f>
        <v/>
      </c>
      <c r="V698" s="4">
        <f>MAX(INDEX(Standards!$F$2:$F$296,MATCH(B698,Standards!$B$2:$B$296,0)),INDEX(Standards!$F$2:$F$296,MATCH(C698,Standards!$B$2:$B$296,0)))</f>
        <v>38534</v>
      </c>
      <c r="W698" t="str">
        <f t="shared" si="32"/>
        <v>#2f89d1</v>
      </c>
    </row>
    <row r="699" spans="1:23" x14ac:dyDescent="0.5">
      <c r="A699" s="54">
        <v>698</v>
      </c>
      <c r="B699" s="90" t="s">
        <v>318</v>
      </c>
      <c r="C699" t="s">
        <v>646</v>
      </c>
      <c r="D699" s="1" t="s">
        <v>1676</v>
      </c>
      <c r="E699" s="112">
        <v>2000.1</v>
      </c>
      <c r="F699" s="112">
        <v>2000.1</v>
      </c>
      <c r="G699" s="107" t="s">
        <v>670</v>
      </c>
      <c r="H699">
        <f>INDEX('GIS-Standards'!$A$2:$A$305,MATCH(B699,'GIS-Standards'!$B$2:$B$305,0))</f>
        <v>28</v>
      </c>
      <c r="I699">
        <f>INDEX('GIS-Standards'!$A$2:$A$305,MATCH(C699,'GIS-Standards'!$B$2:$B$305,0))</f>
        <v>89</v>
      </c>
      <c r="J699" t="str">
        <f>INDEX('GIS-Standards'!$O$2:$O$305,MATCH(B699,'GIS-Standards'!$B$2:$B$305,0))</f>
        <v>ISO/TC 211</v>
      </c>
      <c r="K699" t="str">
        <f>INDEX('GIS-Standards'!$O$2:$O$305,MATCH(C699,'GIS-Standards'!$B$2:$B$305,0))</f>
        <v>ISO/TC 211</v>
      </c>
      <c r="M699" t="s">
        <v>525</v>
      </c>
      <c r="N699">
        <f>INDEX('GIS-Standards'!$I$2:$I$305,MATCH(B699,'GIS-Standards'!$B$2:$B$305,0))</f>
        <v>0</v>
      </c>
      <c r="O699">
        <f>INDEX('GIS-Standards'!$I$2:$I$305,MATCH(C699,'GIS-Standards'!$B$2:$B$305,0))</f>
        <v>0</v>
      </c>
      <c r="P699" t="b">
        <f>AND(TableRelationships12[[#This Row],[Source Type]]="BIM",TableRelationships12[[#This Row],[Target Type]]="BIM")</f>
        <v>0</v>
      </c>
      <c r="Q699">
        <f t="shared" si="30"/>
        <v>1</v>
      </c>
      <c r="S699">
        <f t="shared" si="31"/>
        <v>1</v>
      </c>
      <c r="T699" s="102" t="str">
        <f>IF(TableRelationships12[[#This Row],[Rank Pedro]]="Low","linkCategory1",IF(TableRelationships12[[#This Row],[Rank Pedro]]="Medium","linkCategory2",IF(TableRelationships12[[#This Row],[Rank Pedro]]="High","linkCategory3","")))</f>
        <v/>
      </c>
      <c r="U699" s="102" t="str">
        <f>IF(TableRelationships12[[#This Row],[Rank Pedro]]="Low","Pink",IF(TableRelationships12[[#This Row],[Rank Pedro]]="Medium","Purple",IF(TableRelationships12[[#This Row],[Rank Pedro]]="High","Brown","")))</f>
        <v/>
      </c>
      <c r="V699" s="4" t="e">
        <f>MAX(INDEX(Standards!$F$2:$F$296,MATCH(B699,Standards!$B$2:$B$296,0)),INDEX(Standards!$F$2:$F$296,MATCH(C699,Standards!$B$2:$B$296,0)))</f>
        <v>#N/A</v>
      </c>
      <c r="W699" t="str">
        <f t="shared" si="32"/>
        <v>#2f89d1</v>
      </c>
    </row>
    <row r="700" spans="1:23" x14ac:dyDescent="0.5">
      <c r="A700" s="54">
        <v>699</v>
      </c>
      <c r="B700" s="90" t="s">
        <v>318</v>
      </c>
      <c r="C700" t="s">
        <v>320</v>
      </c>
      <c r="D700" s="1" t="s">
        <v>1100</v>
      </c>
      <c r="E700" s="112">
        <v>2005.08</v>
      </c>
      <c r="F700" s="112">
        <v>2023.06</v>
      </c>
      <c r="G700" s="107" t="s">
        <v>670</v>
      </c>
      <c r="H700">
        <f>INDEX('GIS-Standards'!$A$2:$A$305,MATCH(B700,'GIS-Standards'!$B$2:$B$305,0))</f>
        <v>28</v>
      </c>
      <c r="I700">
        <f>INDEX('GIS-Standards'!$A$2:$A$305,MATCH(C700,'GIS-Standards'!$B$2:$B$305,0))</f>
        <v>29</v>
      </c>
      <c r="J700" t="str">
        <f>INDEX('GIS-Standards'!$O$2:$O$305,MATCH(B700,'GIS-Standards'!$B$2:$B$305,0))</f>
        <v>ISO/TC 211</v>
      </c>
      <c r="K700" t="str">
        <f>INDEX('GIS-Standards'!$O$2:$O$305,MATCH(C700,'GIS-Standards'!$B$2:$B$305,0))</f>
        <v>ISO/TC 211</v>
      </c>
      <c r="M700" t="s">
        <v>525</v>
      </c>
      <c r="N700">
        <f>INDEX('GIS-Standards'!$I$2:$I$305,MATCH(B700,'GIS-Standards'!$B$2:$B$305,0))</f>
        <v>0</v>
      </c>
      <c r="O700">
        <f>INDEX('GIS-Standards'!$I$2:$I$305,MATCH(C700,'GIS-Standards'!$B$2:$B$305,0))</f>
        <v>0</v>
      </c>
      <c r="P700" t="b">
        <f>AND(TableRelationships12[[#This Row],[Source Type]]="BIM",TableRelationships12[[#This Row],[Target Type]]="BIM")</f>
        <v>0</v>
      </c>
      <c r="Q700">
        <f t="shared" si="30"/>
        <v>1</v>
      </c>
      <c r="S700">
        <f t="shared" si="31"/>
        <v>1</v>
      </c>
      <c r="T700" s="102" t="str">
        <f>IF(TableRelationships12[[#This Row],[Rank Pedro]]="Low","linkCategory1",IF(TableRelationships12[[#This Row],[Rank Pedro]]="Medium","linkCategory2",IF(TableRelationships12[[#This Row],[Rank Pedro]]="High","linkCategory3","")))</f>
        <v/>
      </c>
      <c r="U700" s="102" t="str">
        <f>IF(TableRelationships12[[#This Row],[Rank Pedro]]="Low","Pink",IF(TableRelationships12[[#This Row],[Rank Pedro]]="Medium","Purple",IF(TableRelationships12[[#This Row],[Rank Pedro]]="High","Brown","")))</f>
        <v/>
      </c>
      <c r="V700" s="4">
        <f>MAX(INDEX(Standards!$F$2:$F$296,MATCH(B700,Standards!$B$2:$B$296,0)),INDEX(Standards!$F$2:$F$296,MATCH(C700,Standards!$B$2:$B$296,0)))</f>
        <v>38565</v>
      </c>
      <c r="W700" t="str">
        <f t="shared" si="32"/>
        <v>#2f89d1</v>
      </c>
    </row>
    <row r="701" spans="1:23" x14ac:dyDescent="0.5">
      <c r="A701" s="54">
        <v>700</v>
      </c>
      <c r="B701" s="90" t="s">
        <v>318</v>
      </c>
      <c r="C701" t="s">
        <v>1046</v>
      </c>
      <c r="D701" s="1"/>
      <c r="E701" s="112">
        <v>2004.08</v>
      </c>
      <c r="F701" s="112">
        <v>2004.11</v>
      </c>
      <c r="G701" s="107" t="s">
        <v>670</v>
      </c>
      <c r="H701">
        <f>INDEX('GIS-Standards'!$A$2:$A$305,MATCH(B701,'GIS-Standards'!$B$2:$B$305,0))</f>
        <v>28</v>
      </c>
      <c r="I701">
        <f>INDEX('GIS-Standards'!$A$2:$A$305,MATCH(C701,'GIS-Standards'!$B$2:$B$305,0))</f>
        <v>32</v>
      </c>
      <c r="J701" t="str">
        <f>INDEX('GIS-Standards'!$O$2:$O$305,MATCH(B701,'GIS-Standards'!$B$2:$B$305,0))</f>
        <v>ISO/TC 211</v>
      </c>
      <c r="K701" t="str">
        <f>INDEX('GIS-Standards'!$O$2:$O$305,MATCH(C701,'GIS-Standards'!$B$2:$B$305,0))</f>
        <v>ISO/TC 211</v>
      </c>
      <c r="M701" t="s">
        <v>525</v>
      </c>
      <c r="N701">
        <f>INDEX('GIS-Standards'!$I$2:$I$305,MATCH(B701,'GIS-Standards'!$B$2:$B$305,0))</f>
        <v>0</v>
      </c>
      <c r="O701">
        <f>INDEX('GIS-Standards'!$I$2:$I$305,MATCH(C701,'GIS-Standards'!$B$2:$B$305,0))</f>
        <v>0</v>
      </c>
      <c r="P701" t="b">
        <f>AND(TableRelationships12[[#This Row],[Source Type]]="BIM",TableRelationships12[[#This Row],[Target Type]]="BIM")</f>
        <v>0</v>
      </c>
      <c r="Q701">
        <f t="shared" si="30"/>
        <v>1</v>
      </c>
      <c r="S701">
        <f t="shared" si="31"/>
        <v>1</v>
      </c>
      <c r="T701" s="102" t="str">
        <f>IF(TableRelationships12[[#This Row],[Rank Pedro]]="Low","linkCategory1",IF(TableRelationships12[[#This Row],[Rank Pedro]]="Medium","linkCategory2",IF(TableRelationships12[[#This Row],[Rank Pedro]]="High","linkCategory3","")))</f>
        <v/>
      </c>
      <c r="U701" s="102" t="str">
        <f>IF(TableRelationships12[[#This Row],[Rank Pedro]]="Low","Pink",IF(TableRelationships12[[#This Row],[Rank Pedro]]="Medium","Purple",IF(TableRelationships12[[#This Row],[Rank Pedro]]="High","Brown","")))</f>
        <v/>
      </c>
      <c r="V701" s="4" t="e">
        <f>MAX(INDEX(Standards!$F$2:$F$296,MATCH(B701,Standards!$B$2:$B$296,0)),INDEX(Standards!$F$2:$F$296,MATCH(C701,Standards!$B$2:$B$296,0)))</f>
        <v>#N/A</v>
      </c>
      <c r="W701" t="str">
        <f t="shared" si="32"/>
        <v>#2f89d1</v>
      </c>
    </row>
    <row r="702" spans="1:23" x14ac:dyDescent="0.5">
      <c r="A702" s="54">
        <v>701</v>
      </c>
      <c r="B702" s="90" t="s">
        <v>318</v>
      </c>
      <c r="C702" t="s">
        <v>326</v>
      </c>
      <c r="D702" s="1"/>
      <c r="E702" s="112">
        <v>2005.12</v>
      </c>
      <c r="F702" s="112">
        <v>2005.12</v>
      </c>
      <c r="G702" s="107" t="s">
        <v>670</v>
      </c>
      <c r="H702">
        <f>INDEX('GIS-Standards'!$A$2:$A$305,MATCH(B702,'GIS-Standards'!$B$2:$B$305,0))</f>
        <v>28</v>
      </c>
      <c r="I702">
        <f>INDEX('GIS-Standards'!$A$2:$A$305,MATCH(C702,'GIS-Standards'!$B$2:$B$305,0))</f>
        <v>35</v>
      </c>
      <c r="J702" t="str">
        <f>INDEX('GIS-Standards'!$O$2:$O$305,MATCH(B702,'GIS-Standards'!$B$2:$B$305,0))</f>
        <v>ISO/TC 211</v>
      </c>
      <c r="K702" t="str">
        <f>INDEX('GIS-Standards'!$O$2:$O$305,MATCH(C702,'GIS-Standards'!$B$2:$B$305,0))</f>
        <v>ISO/TC 211</v>
      </c>
      <c r="M702" t="s">
        <v>525</v>
      </c>
      <c r="N702">
        <f>INDEX('GIS-Standards'!$I$2:$I$305,MATCH(B702,'GIS-Standards'!$B$2:$B$305,0))</f>
        <v>0</v>
      </c>
      <c r="O702">
        <f>INDEX('GIS-Standards'!$I$2:$I$305,MATCH(C702,'GIS-Standards'!$B$2:$B$305,0))</f>
        <v>0</v>
      </c>
      <c r="P702" t="b">
        <f>AND(TableRelationships12[[#This Row],[Source Type]]="BIM",TableRelationships12[[#This Row],[Target Type]]="BIM")</f>
        <v>0</v>
      </c>
      <c r="Q702">
        <f t="shared" si="30"/>
        <v>1</v>
      </c>
      <c r="S702">
        <f t="shared" si="31"/>
        <v>1</v>
      </c>
      <c r="T702" s="102" t="str">
        <f>IF(TableRelationships12[[#This Row],[Rank Pedro]]="Low","linkCategory1",IF(TableRelationships12[[#This Row],[Rank Pedro]]="Medium","linkCategory2",IF(TableRelationships12[[#This Row],[Rank Pedro]]="High","linkCategory3","")))</f>
        <v/>
      </c>
      <c r="U702" s="102" t="str">
        <f>IF(TableRelationships12[[#This Row],[Rank Pedro]]="Low","Pink",IF(TableRelationships12[[#This Row],[Rank Pedro]]="Medium","Purple",IF(TableRelationships12[[#This Row],[Rank Pedro]]="High","Brown","")))</f>
        <v/>
      </c>
      <c r="V702" s="4">
        <f>MAX(INDEX(Standards!$F$2:$F$296,MATCH(B702,Standards!$B$2:$B$296,0)),INDEX(Standards!$F$2:$F$296,MATCH(C702,Standards!$B$2:$B$296,0)))</f>
        <v>38687</v>
      </c>
      <c r="W702" t="str">
        <f t="shared" si="32"/>
        <v>#2f89d1</v>
      </c>
    </row>
    <row r="703" spans="1:23" x14ac:dyDescent="0.5">
      <c r="A703" s="54">
        <v>702</v>
      </c>
      <c r="B703" s="90" t="s">
        <v>318</v>
      </c>
      <c r="C703" t="s">
        <v>340</v>
      </c>
      <c r="D703" s="1"/>
      <c r="E703" s="112">
        <v>2010.12</v>
      </c>
      <c r="F703" s="112">
        <v>2010.12</v>
      </c>
      <c r="G703" s="107" t="s">
        <v>670</v>
      </c>
      <c r="H703">
        <f>INDEX('GIS-Standards'!$A$2:$A$305,MATCH(B703,'GIS-Standards'!$B$2:$B$305,0))</f>
        <v>28</v>
      </c>
      <c r="I703">
        <f>INDEX('GIS-Standards'!$A$2:$A$305,MATCH(C703,'GIS-Standards'!$B$2:$B$305,0))</f>
        <v>46</v>
      </c>
      <c r="J703" t="str">
        <f>INDEX('GIS-Standards'!$O$2:$O$305,MATCH(B703,'GIS-Standards'!$B$2:$B$305,0))</f>
        <v>ISO/TC 211</v>
      </c>
      <c r="K703" t="str">
        <f>INDEX('GIS-Standards'!$O$2:$O$305,MATCH(C703,'GIS-Standards'!$B$2:$B$305,0))</f>
        <v>ISO/TC 211</v>
      </c>
      <c r="M703" t="s">
        <v>525</v>
      </c>
      <c r="N703">
        <f>INDEX('GIS-Standards'!$I$2:$I$305,MATCH(B703,'GIS-Standards'!$B$2:$B$305,0))</f>
        <v>0</v>
      </c>
      <c r="O703">
        <f>INDEX('GIS-Standards'!$I$2:$I$305,MATCH(C703,'GIS-Standards'!$B$2:$B$305,0))</f>
        <v>0</v>
      </c>
      <c r="P703" t="b">
        <f>AND(TableRelationships12[[#This Row],[Source Type]]="BIM",TableRelationships12[[#This Row],[Target Type]]="BIM")</f>
        <v>0</v>
      </c>
      <c r="Q703">
        <f t="shared" si="30"/>
        <v>1</v>
      </c>
      <c r="S703">
        <f t="shared" si="31"/>
        <v>1</v>
      </c>
      <c r="T703" s="102" t="str">
        <f>IF(TableRelationships12[[#This Row],[Rank Pedro]]="Low","linkCategory1",IF(TableRelationships12[[#This Row],[Rank Pedro]]="Medium","linkCategory2",IF(TableRelationships12[[#This Row],[Rank Pedro]]="High","linkCategory3","")))</f>
        <v/>
      </c>
      <c r="U703" s="102" t="str">
        <f>IF(TableRelationships12[[#This Row],[Rank Pedro]]="Low","Pink",IF(TableRelationships12[[#This Row],[Rank Pedro]]="Medium","Purple",IF(TableRelationships12[[#This Row],[Rank Pedro]]="High","Brown","")))</f>
        <v/>
      </c>
      <c r="V703" s="4">
        <f>MAX(INDEX(Standards!$F$2:$F$296,MATCH(B703,Standards!$B$2:$B$296,0)),INDEX(Standards!$F$2:$F$296,MATCH(C703,Standards!$B$2:$B$296,0)))</f>
        <v>40513</v>
      </c>
      <c r="W703" t="str">
        <f t="shared" si="32"/>
        <v>#2f89d1</v>
      </c>
    </row>
    <row r="704" spans="1:23" x14ac:dyDescent="0.5">
      <c r="A704" s="54">
        <v>703</v>
      </c>
      <c r="B704" s="90" t="s">
        <v>318</v>
      </c>
      <c r="C704" t="s">
        <v>342</v>
      </c>
      <c r="D704" s="1"/>
      <c r="E704" s="112">
        <v>2010.1</v>
      </c>
      <c r="F704" s="112">
        <v>2010.1</v>
      </c>
      <c r="G704" s="107" t="s">
        <v>670</v>
      </c>
      <c r="H704">
        <f>INDEX('GIS-Standards'!$A$2:$A$305,MATCH(B704,'GIS-Standards'!$B$2:$B$305,0))</f>
        <v>28</v>
      </c>
      <c r="I704">
        <f>INDEX('GIS-Standards'!$A$2:$A$305,MATCH(C704,'GIS-Standards'!$B$2:$B$305,0))</f>
        <v>47</v>
      </c>
      <c r="J704" t="str">
        <f>INDEX('GIS-Standards'!$O$2:$O$305,MATCH(B704,'GIS-Standards'!$B$2:$B$305,0))</f>
        <v>ISO/TC 211</v>
      </c>
      <c r="K704" t="str">
        <f>INDEX('GIS-Standards'!$O$2:$O$305,MATCH(C704,'GIS-Standards'!$B$2:$B$305,0))</f>
        <v>ISO/TC 211</v>
      </c>
      <c r="M704" t="s">
        <v>525</v>
      </c>
      <c r="N704">
        <f>INDEX('GIS-Standards'!$I$2:$I$305,MATCH(B704,'GIS-Standards'!$B$2:$B$305,0))</f>
        <v>0</v>
      </c>
      <c r="O704">
        <f>INDEX('GIS-Standards'!$I$2:$I$305,MATCH(C704,'GIS-Standards'!$B$2:$B$305,0))</f>
        <v>0</v>
      </c>
      <c r="P704" t="b">
        <f>AND(TableRelationships12[[#This Row],[Source Type]]="BIM",TableRelationships12[[#This Row],[Target Type]]="BIM")</f>
        <v>0</v>
      </c>
      <c r="Q704">
        <f t="shared" si="30"/>
        <v>1</v>
      </c>
      <c r="S704">
        <f t="shared" si="31"/>
        <v>1</v>
      </c>
      <c r="T704" s="102" t="str">
        <f>IF(TableRelationships12[[#This Row],[Rank Pedro]]="Low","linkCategory1",IF(TableRelationships12[[#This Row],[Rank Pedro]]="Medium","linkCategory2",IF(TableRelationships12[[#This Row],[Rank Pedro]]="High","linkCategory3","")))</f>
        <v/>
      </c>
      <c r="U704" s="102" t="str">
        <f>IF(TableRelationships12[[#This Row],[Rank Pedro]]="Low","Pink",IF(TableRelationships12[[#This Row],[Rank Pedro]]="Medium","Purple",IF(TableRelationships12[[#This Row],[Rank Pedro]]="High","Brown","")))</f>
        <v/>
      </c>
      <c r="V704" s="4">
        <f>MAX(INDEX(Standards!$F$2:$F$296,MATCH(B704,Standards!$B$2:$B$296,0)),INDEX(Standards!$F$2:$F$296,MATCH(C704,Standards!$B$2:$B$296,0)))</f>
        <v>40452</v>
      </c>
      <c r="W704" t="str">
        <f t="shared" si="32"/>
        <v>#2f89d1</v>
      </c>
    </row>
    <row r="705" spans="1:23" x14ac:dyDescent="0.5">
      <c r="A705" s="54">
        <v>704</v>
      </c>
      <c r="B705" s="90" t="s">
        <v>318</v>
      </c>
      <c r="C705" t="s">
        <v>655</v>
      </c>
      <c r="D705" s="1" t="s">
        <v>1156</v>
      </c>
      <c r="E705" s="112">
        <v>2012.11</v>
      </c>
      <c r="F705" s="112">
        <v>2012.11</v>
      </c>
      <c r="G705" s="107" t="s">
        <v>670</v>
      </c>
      <c r="H705">
        <f>INDEX('GIS-Standards'!$A$2:$A$305,MATCH(B705,'GIS-Standards'!$B$2:$B$305,0))</f>
        <v>28</v>
      </c>
      <c r="I705">
        <f>INDEX('GIS-Standards'!$A$2:$A$305,MATCH(C705,'GIS-Standards'!$B$2:$B$305,0))</f>
        <v>104</v>
      </c>
      <c r="J705" t="str">
        <f>INDEX('GIS-Standards'!$O$2:$O$305,MATCH(B705,'GIS-Standards'!$B$2:$B$305,0))</f>
        <v>ISO/TC 211</v>
      </c>
      <c r="K705" t="str">
        <f>INDEX('GIS-Standards'!$O$2:$O$305,MATCH(C705,'GIS-Standards'!$B$2:$B$305,0))</f>
        <v>ISO/TC 211</v>
      </c>
      <c r="M705" t="s">
        <v>525</v>
      </c>
      <c r="N705">
        <f>INDEX('GIS-Standards'!$I$2:$I$305,MATCH(B705,'GIS-Standards'!$B$2:$B$305,0))</f>
        <v>0</v>
      </c>
      <c r="O705">
        <f>INDEX('GIS-Standards'!$I$2:$I$305,MATCH(C705,'GIS-Standards'!$B$2:$B$305,0))</f>
        <v>0</v>
      </c>
      <c r="P705" t="b">
        <f>AND(TableRelationships12[[#This Row],[Source Type]]="BIM",TableRelationships12[[#This Row],[Target Type]]="BIM")</f>
        <v>0</v>
      </c>
      <c r="Q705">
        <f t="shared" si="30"/>
        <v>1</v>
      </c>
      <c r="S705">
        <f t="shared" si="31"/>
        <v>1</v>
      </c>
      <c r="T705" s="102" t="str">
        <f>IF(TableRelationships12[[#This Row],[Rank Pedro]]="Low","linkCategory1",IF(TableRelationships12[[#This Row],[Rank Pedro]]="Medium","linkCategory2",IF(TableRelationships12[[#This Row],[Rank Pedro]]="High","linkCategory3","")))</f>
        <v/>
      </c>
      <c r="U705" s="102" t="str">
        <f>IF(TableRelationships12[[#This Row],[Rank Pedro]]="Low","Pink",IF(TableRelationships12[[#This Row],[Rank Pedro]]="Medium","Purple",IF(TableRelationships12[[#This Row],[Rank Pedro]]="High","Brown","")))</f>
        <v/>
      </c>
      <c r="V705" s="4" t="e">
        <f>MAX(INDEX(Standards!$F$2:$F$296,MATCH(B705,Standards!$B$2:$B$296,0)),INDEX(Standards!$F$2:$F$296,MATCH(C705,Standards!$B$2:$B$296,0)))</f>
        <v>#N/A</v>
      </c>
      <c r="W705" t="str">
        <f t="shared" si="32"/>
        <v>#2f89d1</v>
      </c>
    </row>
    <row r="706" spans="1:23" x14ac:dyDescent="0.5">
      <c r="A706" s="54">
        <v>705</v>
      </c>
      <c r="B706" s="90" t="s">
        <v>318</v>
      </c>
      <c r="C706" t="s">
        <v>346</v>
      </c>
      <c r="D706" s="1" t="s">
        <v>1156</v>
      </c>
      <c r="E706" s="112">
        <v>2015.07</v>
      </c>
      <c r="F706" s="112">
        <v>2019.01</v>
      </c>
      <c r="G706" s="107" t="s">
        <v>670</v>
      </c>
      <c r="H706">
        <f>INDEX('GIS-Standards'!$A$2:$A$305,MATCH(B706,'GIS-Standards'!$B$2:$B$305,0))</f>
        <v>28</v>
      </c>
      <c r="I706">
        <f>INDEX('GIS-Standards'!$A$2:$A$305,MATCH(C706,'GIS-Standards'!$B$2:$B$305,0))</f>
        <v>54</v>
      </c>
      <c r="J706" t="str">
        <f>INDEX('GIS-Standards'!$O$2:$O$305,MATCH(B706,'GIS-Standards'!$B$2:$B$305,0))</f>
        <v>ISO/TC 211</v>
      </c>
      <c r="K706" t="str">
        <f>INDEX('GIS-Standards'!$O$2:$O$305,MATCH(C706,'GIS-Standards'!$B$2:$B$305,0))</f>
        <v>ISO/TC 211</v>
      </c>
      <c r="M706" t="s">
        <v>525</v>
      </c>
      <c r="N706">
        <f>INDEX('GIS-Standards'!$I$2:$I$305,MATCH(B706,'GIS-Standards'!$B$2:$B$305,0))</f>
        <v>0</v>
      </c>
      <c r="O706" t="str">
        <f>INDEX('GIS-Standards'!$I$2:$I$305,MATCH(C706,'GIS-Standards'!$B$2:$B$305,0))</f>
        <v>01.2019</v>
      </c>
      <c r="P706" t="b">
        <f>AND(TableRelationships12[[#This Row],[Source Type]]="BIM",TableRelationships12[[#This Row],[Target Type]]="BIM")</f>
        <v>0</v>
      </c>
      <c r="Q706">
        <f t="shared" ref="Q706:Q769" si="33">IF(M706="Normative",6,IF(M706="Secondary",4,IF(M706="Anchor",2,1)))</f>
        <v>1</v>
      </c>
      <c r="S706">
        <f t="shared" ref="S706:S769" si="34">IF(R706="High",10,IF(R706="Medium",6,IF(R706="Low",2,1)))</f>
        <v>1</v>
      </c>
      <c r="T706" s="102" t="str">
        <f>IF(TableRelationships12[[#This Row],[Rank Pedro]]="Low","linkCategory1",IF(TableRelationships12[[#This Row],[Rank Pedro]]="Medium","linkCategory2",IF(TableRelationships12[[#This Row],[Rank Pedro]]="High","linkCategory3","")))</f>
        <v/>
      </c>
      <c r="U706" s="102" t="str">
        <f>IF(TableRelationships12[[#This Row],[Rank Pedro]]="Low","Pink",IF(TableRelationships12[[#This Row],[Rank Pedro]]="Medium","Purple",IF(TableRelationships12[[#This Row],[Rank Pedro]]="High","Brown","")))</f>
        <v/>
      </c>
      <c r="V706" s="4">
        <f>MAX(INDEX(Standards!$F$2:$F$296,MATCH(B706,Standards!$B$2:$B$296,0)),INDEX(Standards!$F$2:$F$296,MATCH(C706,Standards!$B$2:$B$296,0)))</f>
        <v>42186</v>
      </c>
      <c r="W706" t="str">
        <f t="shared" ref="W706:W769" si="35">IF(M706="Normative", "#d6bf2a", IF(M706="Informative", "#2f89d1", 1))</f>
        <v>#2f89d1</v>
      </c>
    </row>
    <row r="707" spans="1:23" x14ac:dyDescent="0.5">
      <c r="A707" s="54">
        <v>706</v>
      </c>
      <c r="B707" s="90" t="s">
        <v>318</v>
      </c>
      <c r="C707" t="s">
        <v>636</v>
      </c>
      <c r="D707" s="1" t="s">
        <v>1156</v>
      </c>
      <c r="E707" s="113">
        <v>2019.05</v>
      </c>
      <c r="F707" s="113">
        <v>2019.05</v>
      </c>
      <c r="G707" s="107" t="s">
        <v>670</v>
      </c>
      <c r="H707">
        <f>INDEX('GIS-Standards'!$A$2:$A$305,MATCH(B707,'GIS-Standards'!$B$2:$B$305,0))</f>
        <v>28</v>
      </c>
      <c r="I707">
        <f>INDEX('GIS-Standards'!$A$2:$A$305,MATCH(C707,'GIS-Standards'!$B$2:$B$305,0))</f>
        <v>55</v>
      </c>
      <c r="J707" t="str">
        <f>INDEX('GIS-Standards'!$O$2:$O$305,MATCH(B707,'GIS-Standards'!$B$2:$B$305,0))</f>
        <v>ISO/TC 211</v>
      </c>
      <c r="K707" t="str">
        <f>INDEX('GIS-Standards'!$O$2:$O$305,MATCH(C707,'GIS-Standards'!$B$2:$B$305,0))</f>
        <v>ISO/TC 211</v>
      </c>
      <c r="M707" t="s">
        <v>525</v>
      </c>
      <c r="N707">
        <f>INDEX('GIS-Standards'!$I$2:$I$305,MATCH(B707,'GIS-Standards'!$B$2:$B$305,0))</f>
        <v>0</v>
      </c>
      <c r="O707">
        <f>INDEX('GIS-Standards'!$I$2:$I$305,MATCH(C707,'GIS-Standards'!$B$2:$B$305,0))</f>
        <v>0</v>
      </c>
      <c r="P707" t="b">
        <f>AND(TableRelationships12[[#This Row],[Source Type]]="BIM",TableRelationships12[[#This Row],[Target Type]]="BIM")</f>
        <v>0</v>
      </c>
      <c r="Q707">
        <f t="shared" si="33"/>
        <v>1</v>
      </c>
      <c r="S707">
        <f t="shared" si="34"/>
        <v>1</v>
      </c>
      <c r="T707" s="102" t="str">
        <f>IF(TableRelationships12[[#This Row],[Rank Pedro]]="Low","linkCategory1",IF(TableRelationships12[[#This Row],[Rank Pedro]]="Medium","linkCategory2",IF(TableRelationships12[[#This Row],[Rank Pedro]]="High","linkCategory3","")))</f>
        <v/>
      </c>
      <c r="U707" s="102" t="str">
        <f>IF(TableRelationships12[[#This Row],[Rank Pedro]]="Low","Pink",IF(TableRelationships12[[#This Row],[Rank Pedro]]="Medium","Purple",IF(TableRelationships12[[#This Row],[Rank Pedro]]="High","Brown","")))</f>
        <v/>
      </c>
      <c r="V707" s="4" t="e">
        <f>MAX(INDEX(Standards!$F$2:$F$296,MATCH(B707,Standards!$B$2:$B$296,0)),INDEX(Standards!$F$2:$F$296,MATCH(C707,Standards!$B$2:$B$296,0)))</f>
        <v>#N/A</v>
      </c>
      <c r="W707" t="str">
        <f t="shared" si="35"/>
        <v>#2f89d1</v>
      </c>
    </row>
    <row r="708" spans="1:23" x14ac:dyDescent="0.5">
      <c r="A708" s="54">
        <v>707</v>
      </c>
      <c r="B708" s="90" t="s">
        <v>318</v>
      </c>
      <c r="C708" t="s">
        <v>1051</v>
      </c>
      <c r="D708" s="1" t="s">
        <v>1156</v>
      </c>
      <c r="E708" s="113">
        <v>2023.06</v>
      </c>
      <c r="F708" s="113">
        <v>2023.06</v>
      </c>
      <c r="G708" s="107" t="s">
        <v>670</v>
      </c>
      <c r="H708">
        <f>INDEX('GIS-Standards'!$A$2:$A$305,MATCH(B708,'GIS-Standards'!$B$2:$B$305,0))</f>
        <v>28</v>
      </c>
      <c r="I708">
        <f>INDEX('GIS-Standards'!$A$2:$A$305,MATCH(C708,'GIS-Standards'!$B$2:$B$305,0))</f>
        <v>56</v>
      </c>
      <c r="J708" t="str">
        <f>INDEX('GIS-Standards'!$O$2:$O$305,MATCH(B708,'GIS-Standards'!$B$2:$B$305,0))</f>
        <v>ISO/TC 211</v>
      </c>
      <c r="K708" t="str">
        <f>INDEX('GIS-Standards'!$O$2:$O$305,MATCH(C708,'GIS-Standards'!$B$2:$B$305,0))</f>
        <v>ISO/TC 211</v>
      </c>
      <c r="M708" t="s">
        <v>525</v>
      </c>
      <c r="N708">
        <f>INDEX('GIS-Standards'!$I$2:$I$305,MATCH(B708,'GIS-Standards'!$B$2:$B$305,0))</f>
        <v>0</v>
      </c>
      <c r="O708">
        <f>INDEX('GIS-Standards'!$I$2:$I$305,MATCH(C708,'GIS-Standards'!$B$2:$B$305,0))</f>
        <v>0</v>
      </c>
      <c r="P708" t="b">
        <f>AND(TableRelationships12[[#This Row],[Source Type]]="BIM",TableRelationships12[[#This Row],[Target Type]]="BIM")</f>
        <v>0</v>
      </c>
      <c r="Q708">
        <f t="shared" si="33"/>
        <v>1</v>
      </c>
      <c r="S708">
        <f t="shared" si="34"/>
        <v>1</v>
      </c>
      <c r="T708" s="102" t="str">
        <f>IF(TableRelationships12[[#This Row],[Rank Pedro]]="Low","linkCategory1",IF(TableRelationships12[[#This Row],[Rank Pedro]]="Medium","linkCategory2",IF(TableRelationships12[[#This Row],[Rank Pedro]]="High","linkCategory3","")))</f>
        <v/>
      </c>
      <c r="U708" s="102" t="str">
        <f>IF(TableRelationships12[[#This Row],[Rank Pedro]]="Low","Pink",IF(TableRelationships12[[#This Row],[Rank Pedro]]="Medium","Purple",IF(TableRelationships12[[#This Row],[Rank Pedro]]="High","Brown","")))</f>
        <v/>
      </c>
      <c r="V708" s="4" t="e">
        <f>MAX(INDEX(Standards!$F$2:$F$296,MATCH(B708,Standards!$B$2:$B$296,0)),INDEX(Standards!$F$2:$F$296,MATCH(C708,Standards!$B$2:$B$296,0)))</f>
        <v>#N/A</v>
      </c>
      <c r="W708" t="str">
        <f t="shared" si="35"/>
        <v>#2f89d1</v>
      </c>
    </row>
    <row r="709" spans="1:23" x14ac:dyDescent="0.5">
      <c r="A709" s="54">
        <v>708</v>
      </c>
      <c r="B709" s="90" t="s">
        <v>318</v>
      </c>
      <c r="C709" t="s">
        <v>348</v>
      </c>
      <c r="D709" s="1" t="s">
        <v>640</v>
      </c>
      <c r="E709" s="113">
        <v>2013.12</v>
      </c>
      <c r="F709" s="113">
        <v>2023.04</v>
      </c>
      <c r="G709" s="107" t="s">
        <v>670</v>
      </c>
      <c r="H709">
        <f>INDEX('GIS-Standards'!$A$2:$A$305,MATCH(B709,'GIS-Standards'!$B$2:$B$305,0))</f>
        <v>28</v>
      </c>
      <c r="I709">
        <f>INDEX('GIS-Standards'!$A$2:$A$305,MATCH(C709,'GIS-Standards'!$B$2:$B$305,0))</f>
        <v>66</v>
      </c>
      <c r="J709" t="str">
        <f>INDEX('GIS-Standards'!$O$2:$O$305,MATCH(B709,'GIS-Standards'!$B$2:$B$305,0))</f>
        <v>ISO/TC 211</v>
      </c>
      <c r="K709" t="str">
        <f>INDEX('GIS-Standards'!$O$2:$O$305,MATCH(C709,'GIS-Standards'!$B$2:$B$305,0))</f>
        <v>ISO/TC 211</v>
      </c>
      <c r="M709" t="s">
        <v>525</v>
      </c>
      <c r="N709">
        <f>INDEX('GIS-Standards'!$I$2:$I$305,MATCH(B709,'GIS-Standards'!$B$2:$B$305,0))</f>
        <v>0</v>
      </c>
      <c r="O709">
        <f>INDEX('GIS-Standards'!$I$2:$I$305,MATCH(C709,'GIS-Standards'!$B$2:$B$305,0))</f>
        <v>0</v>
      </c>
      <c r="P709" t="b">
        <f>AND(TableRelationships12[[#This Row],[Source Type]]="BIM",TableRelationships12[[#This Row],[Target Type]]="BIM")</f>
        <v>0</v>
      </c>
      <c r="Q709">
        <f t="shared" si="33"/>
        <v>1</v>
      </c>
      <c r="S709">
        <f t="shared" si="34"/>
        <v>1</v>
      </c>
      <c r="T709" s="102" t="str">
        <f>IF(TableRelationships12[[#This Row],[Rank Pedro]]="Low","linkCategory1",IF(TableRelationships12[[#This Row],[Rank Pedro]]="Medium","linkCategory2",IF(TableRelationships12[[#This Row],[Rank Pedro]]="High","linkCategory3","")))</f>
        <v/>
      </c>
      <c r="U709" s="102" t="str">
        <f>IF(TableRelationships12[[#This Row],[Rank Pedro]]="Low","Pink",IF(TableRelationships12[[#This Row],[Rank Pedro]]="Medium","Purple",IF(TableRelationships12[[#This Row],[Rank Pedro]]="High","Brown","")))</f>
        <v/>
      </c>
      <c r="V709" s="4">
        <f>MAX(INDEX(Standards!$F$2:$F$296,MATCH(B709,Standards!$B$2:$B$296,0)),INDEX(Standards!$F$2:$F$296,MATCH(C709,Standards!$B$2:$B$296,0)))</f>
        <v>38384</v>
      </c>
      <c r="W709" t="str">
        <f t="shared" si="35"/>
        <v>#2f89d1</v>
      </c>
    </row>
    <row r="710" spans="1:23" x14ac:dyDescent="0.5">
      <c r="A710" s="54">
        <v>709</v>
      </c>
      <c r="B710" s="90" t="s">
        <v>318</v>
      </c>
      <c r="C710" t="s">
        <v>474</v>
      </c>
      <c r="D710" s="1"/>
      <c r="E710" s="113">
        <v>1974.12</v>
      </c>
      <c r="F710" s="113">
        <v>2022.1</v>
      </c>
      <c r="G710" s="107" t="s">
        <v>1511</v>
      </c>
      <c r="H710">
        <f>INDEX('GIS-Standards'!$A$2:$A$305,MATCH(B710,'GIS-Standards'!$B$2:$B$305,0))</f>
        <v>28</v>
      </c>
      <c r="I710" t="e">
        <f>INDEX('GIS-Standards'!$A$2:$A$305,MATCH(C710,'GIS-Standards'!$B$2:$B$305,0))</f>
        <v>#N/A</v>
      </c>
      <c r="J710" t="str">
        <f>INDEX('GIS-Standards'!$O$2:$O$305,MATCH(B710,'GIS-Standards'!$B$2:$B$305,0))</f>
        <v>ISO/TC 211</v>
      </c>
      <c r="K710" t="e">
        <f>INDEX('GIS-Standards'!$O$2:$O$305,MATCH(C710,'GIS-Standards'!$B$2:$B$305,0))</f>
        <v>#N/A</v>
      </c>
      <c r="M710" t="s">
        <v>525</v>
      </c>
      <c r="N710">
        <f>INDEX('GIS-Standards'!$I$2:$I$305,MATCH(B710,'GIS-Standards'!$B$2:$B$305,0))</f>
        <v>0</v>
      </c>
      <c r="O710" t="e">
        <f>INDEX('GIS-Standards'!$I$2:$I$305,MATCH(C710,'GIS-Standards'!$B$2:$B$305,0))</f>
        <v>#N/A</v>
      </c>
      <c r="P710" t="e">
        <f>AND(TableRelationships12[[#This Row],[Source Type]]="BIM",TableRelationships12[[#This Row],[Target Type]]="BIM")</f>
        <v>#N/A</v>
      </c>
      <c r="Q710">
        <f t="shared" si="33"/>
        <v>1</v>
      </c>
      <c r="S710">
        <f t="shared" si="34"/>
        <v>1</v>
      </c>
      <c r="T710" s="102" t="str">
        <f>IF(TableRelationships12[[#This Row],[Rank Pedro]]="Low","linkCategory1",IF(TableRelationships12[[#This Row],[Rank Pedro]]="Medium","linkCategory2",IF(TableRelationships12[[#This Row],[Rank Pedro]]="High","linkCategory3","")))</f>
        <v/>
      </c>
      <c r="U710" s="102" t="str">
        <f>IF(TableRelationships12[[#This Row],[Rank Pedro]]="Low","Pink",IF(TableRelationships12[[#This Row],[Rank Pedro]]="Medium","Purple",IF(TableRelationships12[[#This Row],[Rank Pedro]]="High","Brown","")))</f>
        <v/>
      </c>
      <c r="V710" s="4">
        <f>MAX(INDEX(Standards!$F$2:$F$296,MATCH(B710,Standards!$B$2:$B$296,0)),INDEX(Standards!$F$2:$F$296,MATCH(C710,Standards!$B$2:$B$296,0)))</f>
        <v>39600</v>
      </c>
      <c r="W710" t="str">
        <f t="shared" si="35"/>
        <v>#2f89d1</v>
      </c>
    </row>
    <row r="711" spans="1:23" x14ac:dyDescent="0.5">
      <c r="A711" s="54">
        <v>710</v>
      </c>
      <c r="B711" s="90" t="s">
        <v>318</v>
      </c>
      <c r="C711" t="s">
        <v>358</v>
      </c>
      <c r="D711" s="1" t="s">
        <v>1157</v>
      </c>
      <c r="E711" s="113">
        <v>1987.06</v>
      </c>
      <c r="F711" s="113">
        <v>2023.06</v>
      </c>
      <c r="G711" s="107" t="s">
        <v>1504</v>
      </c>
      <c r="H711">
        <f>INDEX('GIS-Standards'!$A$2:$A$305,MATCH(B711,'GIS-Standards'!$B$2:$B$305,0))</f>
        <v>28</v>
      </c>
      <c r="I711" t="e">
        <f>INDEX('GIS-Standards'!$A$2:$A$305,MATCH(C711,'GIS-Standards'!$B$2:$B$305,0))</f>
        <v>#N/A</v>
      </c>
      <c r="J711" t="str">
        <f>INDEX('GIS-Standards'!$O$2:$O$305,MATCH(B711,'GIS-Standards'!$B$2:$B$305,0))</f>
        <v>ISO/TC 211</v>
      </c>
      <c r="K711" t="e">
        <f>INDEX('GIS-Standards'!$O$2:$O$305,MATCH(C711,'GIS-Standards'!$B$2:$B$305,0))</f>
        <v>#N/A</v>
      </c>
      <c r="M711" t="s">
        <v>525</v>
      </c>
      <c r="N711">
        <f>INDEX('GIS-Standards'!$I$2:$I$305,MATCH(B711,'GIS-Standards'!$B$2:$B$305,0))</f>
        <v>0</v>
      </c>
      <c r="O711" t="e">
        <f>INDEX('GIS-Standards'!$I$2:$I$305,MATCH(C711,'GIS-Standards'!$B$2:$B$305,0))</f>
        <v>#N/A</v>
      </c>
      <c r="P711" t="e">
        <f>AND(TableRelationships12[[#This Row],[Source Type]]="BIM",TableRelationships12[[#This Row],[Target Type]]="BIM")</f>
        <v>#N/A</v>
      </c>
      <c r="Q711">
        <f t="shared" si="33"/>
        <v>1</v>
      </c>
      <c r="S711">
        <f t="shared" si="34"/>
        <v>1</v>
      </c>
      <c r="T711" s="102" t="str">
        <f>IF(TableRelationships12[[#This Row],[Rank Pedro]]="Low","linkCategory1",IF(TableRelationships12[[#This Row],[Rank Pedro]]="Medium","linkCategory2",IF(TableRelationships12[[#This Row],[Rank Pedro]]="High","linkCategory3","")))</f>
        <v/>
      </c>
      <c r="U711" s="102" t="str">
        <f>IF(TableRelationships12[[#This Row],[Rank Pedro]]="Low","Pink",IF(TableRelationships12[[#This Row],[Rank Pedro]]="Medium","Purple",IF(TableRelationships12[[#This Row],[Rank Pedro]]="High","Brown","")))</f>
        <v/>
      </c>
      <c r="V711" s="4">
        <f>MAX(INDEX(Standards!$F$2:$F$296,MATCH(B711,Standards!$B$2:$B$296,0)),INDEX(Standards!$F$2:$F$296,MATCH(C711,Standards!$B$2:$B$296,0)))</f>
        <v>38384</v>
      </c>
      <c r="W711" t="str">
        <f t="shared" si="35"/>
        <v>#2f89d1</v>
      </c>
    </row>
    <row r="712" spans="1:23" x14ac:dyDescent="0.5">
      <c r="A712" s="54">
        <v>711</v>
      </c>
      <c r="B712" s="90" t="s">
        <v>318</v>
      </c>
      <c r="C712" t="s">
        <v>1325</v>
      </c>
      <c r="D712" s="1" t="s">
        <v>1157</v>
      </c>
      <c r="E712" s="113">
        <v>1987.06</v>
      </c>
      <c r="F712" s="113">
        <v>2023.06</v>
      </c>
      <c r="G712" s="107" t="s">
        <v>1504</v>
      </c>
      <c r="H712">
        <f>INDEX('GIS-Standards'!$A$2:$A$305,MATCH(B712,'GIS-Standards'!$B$2:$B$305,0))</f>
        <v>28</v>
      </c>
      <c r="I712" t="e">
        <f>INDEX('GIS-Standards'!$A$2:$A$305,MATCH(C712,'GIS-Standards'!$B$2:$B$305,0))</f>
        <v>#N/A</v>
      </c>
      <c r="J712" t="str">
        <f>INDEX('GIS-Standards'!$O$2:$O$305,MATCH(B712,'GIS-Standards'!$B$2:$B$305,0))</f>
        <v>ISO/TC 211</v>
      </c>
      <c r="K712" t="e">
        <f>INDEX('GIS-Standards'!$O$2:$O$305,MATCH(C712,'GIS-Standards'!$B$2:$B$305,0))</f>
        <v>#N/A</v>
      </c>
      <c r="M712" t="s">
        <v>525</v>
      </c>
      <c r="N712">
        <f>INDEX('GIS-Standards'!$I$2:$I$305,MATCH(B712,'GIS-Standards'!$B$2:$B$305,0))</f>
        <v>0</v>
      </c>
      <c r="O712" t="e">
        <f>INDEX('GIS-Standards'!$I$2:$I$305,MATCH(C712,'GIS-Standards'!$B$2:$B$305,0))</f>
        <v>#N/A</v>
      </c>
      <c r="P712" t="e">
        <f>AND(TableRelationships12[[#This Row],[Source Type]]="BIM",TableRelationships12[[#This Row],[Target Type]]="BIM")</f>
        <v>#N/A</v>
      </c>
      <c r="Q712">
        <f t="shared" si="33"/>
        <v>1</v>
      </c>
      <c r="S712">
        <f t="shared" si="34"/>
        <v>1</v>
      </c>
      <c r="T712" s="102" t="str">
        <f>IF(TableRelationships12[[#This Row],[Rank Pedro]]="Low","linkCategory1",IF(TableRelationships12[[#This Row],[Rank Pedro]]="Medium","linkCategory2",IF(TableRelationships12[[#This Row],[Rank Pedro]]="High","linkCategory3","")))</f>
        <v/>
      </c>
      <c r="U712" s="102" t="str">
        <f>IF(TableRelationships12[[#This Row],[Rank Pedro]]="Low","Pink",IF(TableRelationships12[[#This Row],[Rank Pedro]]="Medium","Purple",IF(TableRelationships12[[#This Row],[Rank Pedro]]="High","Brown","")))</f>
        <v/>
      </c>
      <c r="V712" s="4" t="e">
        <f>MAX(INDEX(Standards!$F$2:$F$296,MATCH(B712,Standards!$B$2:$B$296,0)),INDEX(Standards!$F$2:$F$296,MATCH(C712,Standards!$B$2:$B$296,0)))</f>
        <v>#N/A</v>
      </c>
      <c r="W712" t="str">
        <f t="shared" si="35"/>
        <v>#2f89d1</v>
      </c>
    </row>
    <row r="713" spans="1:23" x14ac:dyDescent="0.5">
      <c r="A713" s="54">
        <v>712</v>
      </c>
      <c r="B713" s="90" t="s">
        <v>318</v>
      </c>
      <c r="C713" t="s">
        <v>1413</v>
      </c>
      <c r="D713" s="1" t="s">
        <v>1157</v>
      </c>
      <c r="E713" s="113">
        <v>1995.12</v>
      </c>
      <c r="F713" s="113">
        <v>2023.06</v>
      </c>
      <c r="G713" s="107" t="s">
        <v>1504</v>
      </c>
      <c r="H713">
        <f>INDEX('GIS-Standards'!$A$2:$A$305,MATCH(B713,'GIS-Standards'!$B$2:$B$305,0))</f>
        <v>28</v>
      </c>
      <c r="I713" t="e">
        <f>INDEX('GIS-Standards'!$A$2:$A$305,MATCH(C713,'GIS-Standards'!$B$2:$B$305,0))</f>
        <v>#N/A</v>
      </c>
      <c r="J713" t="str">
        <f>INDEX('GIS-Standards'!$O$2:$O$305,MATCH(B713,'GIS-Standards'!$B$2:$B$305,0))</f>
        <v>ISO/TC 211</v>
      </c>
      <c r="K713" t="e">
        <f>INDEX('GIS-Standards'!$O$2:$O$305,MATCH(C713,'GIS-Standards'!$B$2:$B$305,0))</f>
        <v>#N/A</v>
      </c>
      <c r="M713" t="s">
        <v>525</v>
      </c>
      <c r="N713">
        <f>INDEX('GIS-Standards'!$I$2:$I$305,MATCH(B713,'GIS-Standards'!$B$2:$B$305,0))</f>
        <v>0</v>
      </c>
      <c r="O713" t="e">
        <f>INDEX('GIS-Standards'!$I$2:$I$305,MATCH(C713,'GIS-Standards'!$B$2:$B$305,0))</f>
        <v>#N/A</v>
      </c>
      <c r="P713" t="e">
        <f>AND(TableRelationships12[[#This Row],[Source Type]]="BIM",TableRelationships12[[#This Row],[Target Type]]="BIM")</f>
        <v>#N/A</v>
      </c>
      <c r="Q713">
        <f t="shared" si="33"/>
        <v>1</v>
      </c>
      <c r="S713">
        <f t="shared" si="34"/>
        <v>1</v>
      </c>
      <c r="T713" s="102" t="str">
        <f>IF(TableRelationships12[[#This Row],[Rank Pedro]]="Low","linkCategory1",IF(TableRelationships12[[#This Row],[Rank Pedro]]="Medium","linkCategory2",IF(TableRelationships12[[#This Row],[Rank Pedro]]="High","linkCategory3","")))</f>
        <v/>
      </c>
      <c r="U713" s="102" t="str">
        <f>IF(TableRelationships12[[#This Row],[Rank Pedro]]="Low","Pink",IF(TableRelationships12[[#This Row],[Rank Pedro]]="Medium","Purple",IF(TableRelationships12[[#This Row],[Rank Pedro]]="High","Brown","")))</f>
        <v/>
      </c>
      <c r="V713" s="4" t="e">
        <f>MAX(INDEX(Standards!$F$2:$F$296,MATCH(B713,Standards!$B$2:$B$296,0)),INDEX(Standards!$F$2:$F$296,MATCH(C713,Standards!$B$2:$B$296,0)))</f>
        <v>#N/A</v>
      </c>
      <c r="W713" t="str">
        <f t="shared" si="35"/>
        <v>#2f89d1</v>
      </c>
    </row>
    <row r="714" spans="1:23" x14ac:dyDescent="0.5">
      <c r="A714" s="54">
        <v>713</v>
      </c>
      <c r="B714" s="90" t="s">
        <v>318</v>
      </c>
      <c r="C714" t="s">
        <v>1414</v>
      </c>
      <c r="D714" s="1" t="s">
        <v>1157</v>
      </c>
      <c r="E714" s="113">
        <v>1996.12</v>
      </c>
      <c r="F714" s="113">
        <v>2023.06</v>
      </c>
      <c r="G714" s="107" t="s">
        <v>1504</v>
      </c>
      <c r="H714">
        <f>INDEX('GIS-Standards'!$A$2:$A$305,MATCH(B714,'GIS-Standards'!$B$2:$B$305,0))</f>
        <v>28</v>
      </c>
      <c r="I714" t="e">
        <f>INDEX('GIS-Standards'!$A$2:$A$305,MATCH(C714,'GIS-Standards'!$B$2:$B$305,0))</f>
        <v>#N/A</v>
      </c>
      <c r="J714" t="str">
        <f>INDEX('GIS-Standards'!$O$2:$O$305,MATCH(B714,'GIS-Standards'!$B$2:$B$305,0))</f>
        <v>ISO/TC 211</v>
      </c>
      <c r="K714" t="e">
        <f>INDEX('GIS-Standards'!$O$2:$O$305,MATCH(C714,'GIS-Standards'!$B$2:$B$305,0))</f>
        <v>#N/A</v>
      </c>
      <c r="M714" t="s">
        <v>525</v>
      </c>
      <c r="N714">
        <f>INDEX('GIS-Standards'!$I$2:$I$305,MATCH(B714,'GIS-Standards'!$B$2:$B$305,0))</f>
        <v>0</v>
      </c>
      <c r="O714" t="e">
        <f>INDEX('GIS-Standards'!$I$2:$I$305,MATCH(C714,'GIS-Standards'!$B$2:$B$305,0))</f>
        <v>#N/A</v>
      </c>
      <c r="P714" t="e">
        <f>AND(TableRelationships12[[#This Row],[Source Type]]="BIM",TableRelationships12[[#This Row],[Target Type]]="BIM")</f>
        <v>#N/A</v>
      </c>
      <c r="Q714">
        <f t="shared" si="33"/>
        <v>1</v>
      </c>
      <c r="S714">
        <f t="shared" si="34"/>
        <v>1</v>
      </c>
      <c r="T714" s="102" t="str">
        <f>IF(TableRelationships12[[#This Row],[Rank Pedro]]="Low","linkCategory1",IF(TableRelationships12[[#This Row],[Rank Pedro]]="Medium","linkCategory2",IF(TableRelationships12[[#This Row],[Rank Pedro]]="High","linkCategory3","")))</f>
        <v/>
      </c>
      <c r="U714" s="102" t="str">
        <f>IF(TableRelationships12[[#This Row],[Rank Pedro]]="Low","Pink",IF(TableRelationships12[[#This Row],[Rank Pedro]]="Medium","Purple",IF(TableRelationships12[[#This Row],[Rank Pedro]]="High","Brown","")))</f>
        <v/>
      </c>
      <c r="V714" s="4" t="e">
        <f>MAX(INDEX(Standards!$F$2:$F$296,MATCH(B714,Standards!$B$2:$B$296,0)),INDEX(Standards!$F$2:$F$296,MATCH(C714,Standards!$B$2:$B$296,0)))</f>
        <v>#N/A</v>
      </c>
      <c r="W714" t="str">
        <f t="shared" si="35"/>
        <v>#2f89d1</v>
      </c>
    </row>
    <row r="715" spans="1:23" x14ac:dyDescent="0.5">
      <c r="A715" s="54">
        <v>714</v>
      </c>
      <c r="B715" s="90" t="s">
        <v>318</v>
      </c>
      <c r="C715" t="s">
        <v>1415</v>
      </c>
      <c r="D715" s="1" t="s">
        <v>1157</v>
      </c>
      <c r="E715" s="113">
        <v>2016.12</v>
      </c>
      <c r="F715" s="113">
        <v>2021.08</v>
      </c>
      <c r="G715" s="107" t="s">
        <v>1504</v>
      </c>
      <c r="H715">
        <f>INDEX('GIS-Standards'!$A$2:$A$305,MATCH(B715,'GIS-Standards'!$B$2:$B$305,0))</f>
        <v>28</v>
      </c>
      <c r="I715" t="e">
        <f>INDEX('GIS-Standards'!$A$2:$A$305,MATCH(C715,'GIS-Standards'!$B$2:$B$305,0))</f>
        <v>#N/A</v>
      </c>
      <c r="J715" t="str">
        <f>INDEX('GIS-Standards'!$O$2:$O$305,MATCH(B715,'GIS-Standards'!$B$2:$B$305,0))</f>
        <v>ISO/TC 211</v>
      </c>
      <c r="K715" t="e">
        <f>INDEX('GIS-Standards'!$O$2:$O$305,MATCH(C715,'GIS-Standards'!$B$2:$B$305,0))</f>
        <v>#N/A</v>
      </c>
      <c r="M715" t="s">
        <v>525</v>
      </c>
      <c r="N715">
        <f>INDEX('GIS-Standards'!$I$2:$I$305,MATCH(B715,'GIS-Standards'!$B$2:$B$305,0))</f>
        <v>0</v>
      </c>
      <c r="O715" t="e">
        <f>INDEX('GIS-Standards'!$I$2:$I$305,MATCH(C715,'GIS-Standards'!$B$2:$B$305,0))</f>
        <v>#N/A</v>
      </c>
      <c r="P715" t="e">
        <f>AND(TableRelationships12[[#This Row],[Source Type]]="BIM",TableRelationships12[[#This Row],[Target Type]]="BIM")</f>
        <v>#N/A</v>
      </c>
      <c r="Q715">
        <f t="shared" si="33"/>
        <v>1</v>
      </c>
      <c r="S715">
        <f t="shared" si="34"/>
        <v>1</v>
      </c>
      <c r="T715" s="102" t="str">
        <f>IF(TableRelationships12[[#This Row],[Rank Pedro]]="Low","linkCategory1",IF(TableRelationships12[[#This Row],[Rank Pedro]]="Medium","linkCategory2",IF(TableRelationships12[[#This Row],[Rank Pedro]]="High","linkCategory3","")))</f>
        <v/>
      </c>
      <c r="U715" s="102" t="str">
        <f>IF(TableRelationships12[[#This Row],[Rank Pedro]]="Low","Pink",IF(TableRelationships12[[#This Row],[Rank Pedro]]="Medium","Purple",IF(TableRelationships12[[#This Row],[Rank Pedro]]="High","Brown","")))</f>
        <v/>
      </c>
      <c r="V715" s="4" t="e">
        <f>MAX(INDEX(Standards!$F$2:$F$296,MATCH(B715,Standards!$B$2:$B$296,0)),INDEX(Standards!$F$2:$F$296,MATCH(C715,Standards!$B$2:$B$296,0)))</f>
        <v>#N/A</v>
      </c>
      <c r="W715" t="str">
        <f t="shared" si="35"/>
        <v>#2f89d1</v>
      </c>
    </row>
    <row r="716" spans="1:23" x14ac:dyDescent="0.5">
      <c r="A716" s="54">
        <v>715</v>
      </c>
      <c r="B716" s="90" t="s">
        <v>318</v>
      </c>
      <c r="C716" t="s">
        <v>1416</v>
      </c>
      <c r="D716" s="1" t="s">
        <v>1157</v>
      </c>
      <c r="E716" s="113">
        <v>2001.05</v>
      </c>
      <c r="F716" s="113">
        <v>2023.06</v>
      </c>
      <c r="G716" s="107" t="s">
        <v>1504</v>
      </c>
      <c r="H716">
        <f>INDEX('GIS-Standards'!$A$2:$A$305,MATCH(B716,'GIS-Standards'!$B$2:$B$305,0))</f>
        <v>28</v>
      </c>
      <c r="I716" t="e">
        <f>INDEX('GIS-Standards'!$A$2:$A$305,MATCH(C716,'GIS-Standards'!$B$2:$B$305,0))</f>
        <v>#N/A</v>
      </c>
      <c r="J716" t="str">
        <f>INDEX('GIS-Standards'!$O$2:$O$305,MATCH(B716,'GIS-Standards'!$B$2:$B$305,0))</f>
        <v>ISO/TC 211</v>
      </c>
      <c r="K716" t="e">
        <f>INDEX('GIS-Standards'!$O$2:$O$305,MATCH(C716,'GIS-Standards'!$B$2:$B$305,0))</f>
        <v>#N/A</v>
      </c>
      <c r="M716" t="s">
        <v>525</v>
      </c>
      <c r="N716">
        <f>INDEX('GIS-Standards'!$I$2:$I$305,MATCH(B716,'GIS-Standards'!$B$2:$B$305,0))</f>
        <v>0</v>
      </c>
      <c r="O716" t="e">
        <f>INDEX('GIS-Standards'!$I$2:$I$305,MATCH(C716,'GIS-Standards'!$B$2:$B$305,0))</f>
        <v>#N/A</v>
      </c>
      <c r="P716" t="e">
        <f>AND(TableRelationships12[[#This Row],[Source Type]]="BIM",TableRelationships12[[#This Row],[Target Type]]="BIM")</f>
        <v>#N/A</v>
      </c>
      <c r="Q716">
        <f t="shared" si="33"/>
        <v>1</v>
      </c>
      <c r="S716">
        <f t="shared" si="34"/>
        <v>1</v>
      </c>
      <c r="T716" s="102" t="str">
        <f>IF(TableRelationships12[[#This Row],[Rank Pedro]]="Low","linkCategory1",IF(TableRelationships12[[#This Row],[Rank Pedro]]="Medium","linkCategory2",IF(TableRelationships12[[#This Row],[Rank Pedro]]="High","linkCategory3","")))</f>
        <v/>
      </c>
      <c r="U716" s="102" t="str">
        <f>IF(TableRelationships12[[#This Row],[Rank Pedro]]="Low","Pink",IF(TableRelationships12[[#This Row],[Rank Pedro]]="Medium","Purple",IF(TableRelationships12[[#This Row],[Rank Pedro]]="High","Brown","")))</f>
        <v/>
      </c>
      <c r="V716" s="4" t="e">
        <f>MAX(INDEX(Standards!$F$2:$F$296,MATCH(B716,Standards!$B$2:$B$296,0)),INDEX(Standards!$F$2:$F$296,MATCH(C716,Standards!$B$2:$B$296,0)))</f>
        <v>#N/A</v>
      </c>
      <c r="W716" t="str">
        <f t="shared" si="35"/>
        <v>#2f89d1</v>
      </c>
    </row>
    <row r="717" spans="1:23" x14ac:dyDescent="0.5">
      <c r="A717" s="54">
        <v>716</v>
      </c>
      <c r="B717" s="90" t="s">
        <v>318</v>
      </c>
      <c r="C717" t="s">
        <v>1417</v>
      </c>
      <c r="D717" s="1" t="s">
        <v>1157</v>
      </c>
      <c r="E717" s="113">
        <v>2000.11</v>
      </c>
      <c r="F717" s="113">
        <v>2023.06</v>
      </c>
      <c r="G717" s="107" t="s">
        <v>1504</v>
      </c>
      <c r="H717">
        <f>INDEX('GIS-Standards'!$A$2:$A$305,MATCH(B717,'GIS-Standards'!$B$2:$B$305,0))</f>
        <v>28</v>
      </c>
      <c r="I717" t="e">
        <f>INDEX('GIS-Standards'!$A$2:$A$305,MATCH(C717,'GIS-Standards'!$B$2:$B$305,0))</f>
        <v>#N/A</v>
      </c>
      <c r="J717" t="str">
        <f>INDEX('GIS-Standards'!$O$2:$O$305,MATCH(B717,'GIS-Standards'!$B$2:$B$305,0))</f>
        <v>ISO/TC 211</v>
      </c>
      <c r="K717" t="e">
        <f>INDEX('GIS-Standards'!$O$2:$O$305,MATCH(C717,'GIS-Standards'!$B$2:$B$305,0))</f>
        <v>#N/A</v>
      </c>
      <c r="M717" t="s">
        <v>525</v>
      </c>
      <c r="N717">
        <f>INDEX('GIS-Standards'!$I$2:$I$305,MATCH(B717,'GIS-Standards'!$B$2:$B$305,0))</f>
        <v>0</v>
      </c>
      <c r="O717" t="e">
        <f>INDEX('GIS-Standards'!$I$2:$I$305,MATCH(C717,'GIS-Standards'!$B$2:$B$305,0))</f>
        <v>#N/A</v>
      </c>
      <c r="P717" t="e">
        <f>AND(TableRelationships12[[#This Row],[Source Type]]="BIM",TableRelationships12[[#This Row],[Target Type]]="BIM")</f>
        <v>#N/A</v>
      </c>
      <c r="Q717">
        <f t="shared" si="33"/>
        <v>1</v>
      </c>
      <c r="S717">
        <f t="shared" si="34"/>
        <v>1</v>
      </c>
      <c r="T717" s="102" t="str">
        <f>IF(TableRelationships12[[#This Row],[Rank Pedro]]="Low","linkCategory1",IF(TableRelationships12[[#This Row],[Rank Pedro]]="Medium","linkCategory2",IF(TableRelationships12[[#This Row],[Rank Pedro]]="High","linkCategory3","")))</f>
        <v/>
      </c>
      <c r="U717" s="102" t="str">
        <f>IF(TableRelationships12[[#This Row],[Rank Pedro]]="Low","Pink",IF(TableRelationships12[[#This Row],[Rank Pedro]]="Medium","Purple",IF(TableRelationships12[[#This Row],[Rank Pedro]]="High","Brown","")))</f>
        <v/>
      </c>
      <c r="V717" s="4" t="e">
        <f>MAX(INDEX(Standards!$F$2:$F$296,MATCH(B717,Standards!$B$2:$B$296,0)),INDEX(Standards!$F$2:$F$296,MATCH(C717,Standards!$B$2:$B$296,0)))</f>
        <v>#N/A</v>
      </c>
      <c r="W717" t="str">
        <f t="shared" si="35"/>
        <v>#2f89d1</v>
      </c>
    </row>
    <row r="718" spans="1:23" x14ac:dyDescent="0.5">
      <c r="A718" s="54">
        <v>717</v>
      </c>
      <c r="B718" s="90" t="s">
        <v>318</v>
      </c>
      <c r="C718" t="s">
        <v>1418</v>
      </c>
      <c r="D718" s="1" t="s">
        <v>1157</v>
      </c>
      <c r="E718" s="113">
        <v>1987.06</v>
      </c>
      <c r="F718" s="113">
        <v>2023.06</v>
      </c>
      <c r="G718" s="107" t="s">
        <v>1504</v>
      </c>
      <c r="H718">
        <f>INDEX('GIS-Standards'!$A$2:$A$305,MATCH(B718,'GIS-Standards'!$B$2:$B$305,0))</f>
        <v>28</v>
      </c>
      <c r="I718" t="e">
        <f>INDEX('GIS-Standards'!$A$2:$A$305,MATCH(C718,'GIS-Standards'!$B$2:$B$305,0))</f>
        <v>#N/A</v>
      </c>
      <c r="J718" t="str">
        <f>INDEX('GIS-Standards'!$O$2:$O$305,MATCH(B718,'GIS-Standards'!$B$2:$B$305,0))</f>
        <v>ISO/TC 211</v>
      </c>
      <c r="K718" t="e">
        <f>INDEX('GIS-Standards'!$O$2:$O$305,MATCH(C718,'GIS-Standards'!$B$2:$B$305,0))</f>
        <v>#N/A</v>
      </c>
      <c r="M718" t="s">
        <v>525</v>
      </c>
      <c r="N718">
        <f>INDEX('GIS-Standards'!$I$2:$I$305,MATCH(B718,'GIS-Standards'!$B$2:$B$305,0))</f>
        <v>0</v>
      </c>
      <c r="O718" t="e">
        <f>INDEX('GIS-Standards'!$I$2:$I$305,MATCH(C718,'GIS-Standards'!$B$2:$B$305,0))</f>
        <v>#N/A</v>
      </c>
      <c r="P718" t="e">
        <f>AND(TableRelationships12[[#This Row],[Source Type]]="BIM",TableRelationships12[[#This Row],[Target Type]]="BIM")</f>
        <v>#N/A</v>
      </c>
      <c r="Q718">
        <f t="shared" si="33"/>
        <v>1</v>
      </c>
      <c r="S718">
        <f t="shared" si="34"/>
        <v>1</v>
      </c>
      <c r="T718" s="102" t="str">
        <f>IF(TableRelationships12[[#This Row],[Rank Pedro]]="Low","linkCategory1",IF(TableRelationships12[[#This Row],[Rank Pedro]]="Medium","linkCategory2",IF(TableRelationships12[[#This Row],[Rank Pedro]]="High","linkCategory3","")))</f>
        <v/>
      </c>
      <c r="U718" s="102" t="str">
        <f>IF(TableRelationships12[[#This Row],[Rank Pedro]]="Low","Pink",IF(TableRelationships12[[#This Row],[Rank Pedro]]="Medium","Purple",IF(TableRelationships12[[#This Row],[Rank Pedro]]="High","Brown","")))</f>
        <v/>
      </c>
      <c r="V718" s="4" t="e">
        <f>MAX(INDEX(Standards!$F$2:$F$296,MATCH(B718,Standards!$B$2:$B$296,0)),INDEX(Standards!$F$2:$F$296,MATCH(C718,Standards!$B$2:$B$296,0)))</f>
        <v>#N/A</v>
      </c>
      <c r="W718" t="str">
        <f t="shared" si="35"/>
        <v>#2f89d1</v>
      </c>
    </row>
    <row r="719" spans="1:23" x14ac:dyDescent="0.5">
      <c r="A719" s="54">
        <v>718</v>
      </c>
      <c r="B719" s="90" t="s">
        <v>318</v>
      </c>
      <c r="C719" t="s">
        <v>1419</v>
      </c>
      <c r="D719" s="1" t="s">
        <v>1157</v>
      </c>
      <c r="E719" s="113">
        <v>2002.07</v>
      </c>
      <c r="F719" s="113">
        <v>2023.06</v>
      </c>
      <c r="G719" s="107" t="s">
        <v>1504</v>
      </c>
      <c r="H719">
        <f>INDEX('GIS-Standards'!$A$2:$A$305,MATCH(B719,'GIS-Standards'!$B$2:$B$305,0))</f>
        <v>28</v>
      </c>
      <c r="I719" t="e">
        <f>INDEX('GIS-Standards'!$A$2:$A$305,MATCH(C719,'GIS-Standards'!$B$2:$B$305,0))</f>
        <v>#N/A</v>
      </c>
      <c r="J719" t="str">
        <f>INDEX('GIS-Standards'!$O$2:$O$305,MATCH(B719,'GIS-Standards'!$B$2:$B$305,0))</f>
        <v>ISO/TC 211</v>
      </c>
      <c r="K719" t="e">
        <f>INDEX('GIS-Standards'!$O$2:$O$305,MATCH(C719,'GIS-Standards'!$B$2:$B$305,0))</f>
        <v>#N/A</v>
      </c>
      <c r="M719" t="s">
        <v>525</v>
      </c>
      <c r="N719">
        <f>INDEX('GIS-Standards'!$I$2:$I$305,MATCH(B719,'GIS-Standards'!$B$2:$B$305,0))</f>
        <v>0</v>
      </c>
      <c r="O719" t="e">
        <f>INDEX('GIS-Standards'!$I$2:$I$305,MATCH(C719,'GIS-Standards'!$B$2:$B$305,0))</f>
        <v>#N/A</v>
      </c>
      <c r="P719" t="e">
        <f>AND(TableRelationships12[[#This Row],[Source Type]]="BIM",TableRelationships12[[#This Row],[Target Type]]="BIM")</f>
        <v>#N/A</v>
      </c>
      <c r="Q719">
        <f t="shared" si="33"/>
        <v>1</v>
      </c>
      <c r="S719">
        <f t="shared" si="34"/>
        <v>1</v>
      </c>
      <c r="T719" s="102" t="str">
        <f>IF(TableRelationships12[[#This Row],[Rank Pedro]]="Low","linkCategory1",IF(TableRelationships12[[#This Row],[Rank Pedro]]="Medium","linkCategory2",IF(TableRelationships12[[#This Row],[Rank Pedro]]="High","linkCategory3","")))</f>
        <v/>
      </c>
      <c r="U719" s="102" t="str">
        <f>IF(TableRelationships12[[#This Row],[Rank Pedro]]="Low","Pink",IF(TableRelationships12[[#This Row],[Rank Pedro]]="Medium","Purple",IF(TableRelationships12[[#This Row],[Rank Pedro]]="High","Brown","")))</f>
        <v/>
      </c>
      <c r="V719" s="4" t="e">
        <f>MAX(INDEX(Standards!$F$2:$F$296,MATCH(B719,Standards!$B$2:$B$296,0)),INDEX(Standards!$F$2:$F$296,MATCH(C719,Standards!$B$2:$B$296,0)))</f>
        <v>#N/A</v>
      </c>
      <c r="W719" t="str">
        <f t="shared" si="35"/>
        <v>#2f89d1</v>
      </c>
    </row>
    <row r="720" spans="1:23" x14ac:dyDescent="0.5">
      <c r="A720" s="54">
        <v>719</v>
      </c>
      <c r="B720" s="90" t="s">
        <v>318</v>
      </c>
      <c r="C720" t="s">
        <v>1420</v>
      </c>
      <c r="D720" s="1" t="s">
        <v>1157</v>
      </c>
      <c r="E720" s="113">
        <v>2003.12</v>
      </c>
      <c r="F720" s="113">
        <v>2023.06</v>
      </c>
      <c r="G720" s="107" t="s">
        <v>1504</v>
      </c>
      <c r="H720">
        <f>INDEX('GIS-Standards'!$A$2:$A$305,MATCH(B720,'GIS-Standards'!$B$2:$B$305,0))</f>
        <v>28</v>
      </c>
      <c r="I720" t="e">
        <f>INDEX('GIS-Standards'!$A$2:$A$305,MATCH(C720,'GIS-Standards'!$B$2:$B$305,0))</f>
        <v>#N/A</v>
      </c>
      <c r="J720" t="str">
        <f>INDEX('GIS-Standards'!$O$2:$O$305,MATCH(B720,'GIS-Standards'!$B$2:$B$305,0))</f>
        <v>ISO/TC 211</v>
      </c>
      <c r="K720" t="e">
        <f>INDEX('GIS-Standards'!$O$2:$O$305,MATCH(C720,'GIS-Standards'!$B$2:$B$305,0))</f>
        <v>#N/A</v>
      </c>
      <c r="M720" t="s">
        <v>525</v>
      </c>
      <c r="N720">
        <f>INDEX('GIS-Standards'!$I$2:$I$305,MATCH(B720,'GIS-Standards'!$B$2:$B$305,0))</f>
        <v>0</v>
      </c>
      <c r="O720" t="e">
        <f>INDEX('GIS-Standards'!$I$2:$I$305,MATCH(C720,'GIS-Standards'!$B$2:$B$305,0))</f>
        <v>#N/A</v>
      </c>
      <c r="P720" t="e">
        <f>AND(TableRelationships12[[#This Row],[Source Type]]="BIM",TableRelationships12[[#This Row],[Target Type]]="BIM")</f>
        <v>#N/A</v>
      </c>
      <c r="Q720">
        <f t="shared" si="33"/>
        <v>1</v>
      </c>
      <c r="S720">
        <f t="shared" si="34"/>
        <v>1</v>
      </c>
      <c r="T720" s="102" t="str">
        <f>IF(TableRelationships12[[#This Row],[Rank Pedro]]="Low","linkCategory1",IF(TableRelationships12[[#This Row],[Rank Pedro]]="Medium","linkCategory2",IF(TableRelationships12[[#This Row],[Rank Pedro]]="High","linkCategory3","")))</f>
        <v/>
      </c>
      <c r="U720" s="102" t="str">
        <f>IF(TableRelationships12[[#This Row],[Rank Pedro]]="Low","Pink",IF(TableRelationships12[[#This Row],[Rank Pedro]]="Medium","Purple",IF(TableRelationships12[[#This Row],[Rank Pedro]]="High","Brown","")))</f>
        <v/>
      </c>
      <c r="V720" s="4" t="e">
        <f>MAX(INDEX(Standards!$F$2:$F$296,MATCH(B720,Standards!$B$2:$B$296,0)),INDEX(Standards!$F$2:$F$296,MATCH(C720,Standards!$B$2:$B$296,0)))</f>
        <v>#N/A</v>
      </c>
      <c r="W720" t="str">
        <f t="shared" si="35"/>
        <v>#2f89d1</v>
      </c>
    </row>
    <row r="721" spans="1:23" x14ac:dyDescent="0.5">
      <c r="A721" s="54">
        <v>720</v>
      </c>
      <c r="B721" s="90" t="s">
        <v>318</v>
      </c>
      <c r="C721" t="s">
        <v>1421</v>
      </c>
      <c r="D721" s="1" t="s">
        <v>1680</v>
      </c>
      <c r="E721" s="113">
        <v>2019.06</v>
      </c>
      <c r="F721" s="113">
        <v>2023.06</v>
      </c>
      <c r="G721" s="107" t="s">
        <v>1504</v>
      </c>
      <c r="H721">
        <f>INDEX('GIS-Standards'!$A$2:$A$305,MATCH(B721,'GIS-Standards'!$B$2:$B$305,0))</f>
        <v>28</v>
      </c>
      <c r="I721" t="e">
        <f>INDEX('GIS-Standards'!$A$2:$A$305,MATCH(C721,'GIS-Standards'!$B$2:$B$305,0))</f>
        <v>#N/A</v>
      </c>
      <c r="J721" t="str">
        <f>INDEX('GIS-Standards'!$O$2:$O$305,MATCH(B721,'GIS-Standards'!$B$2:$B$305,0))</f>
        <v>ISO/TC 211</v>
      </c>
      <c r="K721" t="e">
        <f>INDEX('GIS-Standards'!$O$2:$O$305,MATCH(C721,'GIS-Standards'!$B$2:$B$305,0))</f>
        <v>#N/A</v>
      </c>
      <c r="M721" t="s">
        <v>525</v>
      </c>
      <c r="N721">
        <f>INDEX('GIS-Standards'!$I$2:$I$305,MATCH(B721,'GIS-Standards'!$B$2:$B$305,0))</f>
        <v>0</v>
      </c>
      <c r="O721" t="e">
        <f>INDEX('GIS-Standards'!$I$2:$I$305,MATCH(C721,'GIS-Standards'!$B$2:$B$305,0))</f>
        <v>#N/A</v>
      </c>
      <c r="P721" t="e">
        <f>AND(TableRelationships12[[#This Row],[Source Type]]="BIM",TableRelationships12[[#This Row],[Target Type]]="BIM")</f>
        <v>#N/A</v>
      </c>
      <c r="Q721">
        <f t="shared" si="33"/>
        <v>1</v>
      </c>
      <c r="S721">
        <f t="shared" si="34"/>
        <v>1</v>
      </c>
      <c r="T721" s="102" t="str">
        <f>IF(TableRelationships12[[#This Row],[Rank Pedro]]="Low","linkCategory1",IF(TableRelationships12[[#This Row],[Rank Pedro]]="Medium","linkCategory2",IF(TableRelationships12[[#This Row],[Rank Pedro]]="High","linkCategory3","")))</f>
        <v/>
      </c>
      <c r="U721" s="102" t="str">
        <f>IF(TableRelationships12[[#This Row],[Rank Pedro]]="Low","Pink",IF(TableRelationships12[[#This Row],[Rank Pedro]]="Medium","Purple",IF(TableRelationships12[[#This Row],[Rank Pedro]]="High","Brown","")))</f>
        <v/>
      </c>
      <c r="V721" s="4" t="e">
        <f>MAX(INDEX(Standards!$F$2:$F$296,MATCH(B721,Standards!$B$2:$B$296,0)),INDEX(Standards!$F$2:$F$296,MATCH(C721,Standards!$B$2:$B$296,0)))</f>
        <v>#N/A</v>
      </c>
      <c r="W721" t="str">
        <f t="shared" si="35"/>
        <v>#2f89d1</v>
      </c>
    </row>
    <row r="722" spans="1:23" x14ac:dyDescent="0.5">
      <c r="A722" s="54">
        <v>721</v>
      </c>
      <c r="B722" s="90" t="s">
        <v>318</v>
      </c>
      <c r="C722" t="s">
        <v>1422</v>
      </c>
      <c r="D722" s="1" t="s">
        <v>1680</v>
      </c>
      <c r="E722" s="113">
        <v>2023.06</v>
      </c>
      <c r="F722" s="113">
        <v>2023.06</v>
      </c>
      <c r="G722" s="107" t="s">
        <v>1504</v>
      </c>
      <c r="H722">
        <f>INDEX('GIS-Standards'!$A$2:$A$305,MATCH(B722,'GIS-Standards'!$B$2:$B$305,0))</f>
        <v>28</v>
      </c>
      <c r="I722" t="e">
        <f>INDEX('GIS-Standards'!$A$2:$A$305,MATCH(C722,'GIS-Standards'!$B$2:$B$305,0))</f>
        <v>#N/A</v>
      </c>
      <c r="J722" t="str">
        <f>INDEX('GIS-Standards'!$O$2:$O$305,MATCH(B722,'GIS-Standards'!$B$2:$B$305,0))</f>
        <v>ISO/TC 211</v>
      </c>
      <c r="K722" t="e">
        <f>INDEX('GIS-Standards'!$O$2:$O$305,MATCH(C722,'GIS-Standards'!$B$2:$B$305,0))</f>
        <v>#N/A</v>
      </c>
      <c r="M722" t="s">
        <v>525</v>
      </c>
      <c r="N722">
        <f>INDEX('GIS-Standards'!$I$2:$I$305,MATCH(B722,'GIS-Standards'!$B$2:$B$305,0))</f>
        <v>0</v>
      </c>
      <c r="O722" t="e">
        <f>INDEX('GIS-Standards'!$I$2:$I$305,MATCH(C722,'GIS-Standards'!$B$2:$B$305,0))</f>
        <v>#N/A</v>
      </c>
      <c r="P722" t="e">
        <f>AND(TableRelationships12[[#This Row],[Source Type]]="BIM",TableRelationships12[[#This Row],[Target Type]]="BIM")</f>
        <v>#N/A</v>
      </c>
      <c r="Q722">
        <f t="shared" si="33"/>
        <v>1</v>
      </c>
      <c r="S722">
        <f t="shared" si="34"/>
        <v>1</v>
      </c>
      <c r="T722" s="102" t="str">
        <f>IF(TableRelationships12[[#This Row],[Rank Pedro]]="Low","linkCategory1",IF(TableRelationships12[[#This Row],[Rank Pedro]]="Medium","linkCategory2",IF(TableRelationships12[[#This Row],[Rank Pedro]]="High","linkCategory3","")))</f>
        <v/>
      </c>
      <c r="U722" s="102" t="str">
        <f>IF(TableRelationships12[[#This Row],[Rank Pedro]]="Low","Pink",IF(TableRelationships12[[#This Row],[Rank Pedro]]="Medium","Purple",IF(TableRelationships12[[#This Row],[Rank Pedro]]="High","Brown","")))</f>
        <v/>
      </c>
      <c r="V722" s="4" t="e">
        <f>MAX(INDEX(Standards!$F$2:$F$296,MATCH(B722,Standards!$B$2:$B$296,0)),INDEX(Standards!$F$2:$F$296,MATCH(C722,Standards!$B$2:$B$296,0)))</f>
        <v>#N/A</v>
      </c>
      <c r="W722" t="str">
        <f t="shared" si="35"/>
        <v>#2f89d1</v>
      </c>
    </row>
    <row r="723" spans="1:23" x14ac:dyDescent="0.5">
      <c r="A723" s="54">
        <v>722</v>
      </c>
      <c r="B723" s="90" t="s">
        <v>318</v>
      </c>
      <c r="C723" t="s">
        <v>1150</v>
      </c>
      <c r="D723" s="1"/>
      <c r="E723" s="112">
        <v>2013.02</v>
      </c>
      <c r="F723" s="112">
        <v>2023.01</v>
      </c>
      <c r="G723" s="107" t="s">
        <v>1487</v>
      </c>
      <c r="H723">
        <f>INDEX('GIS-Standards'!$A$2:$A$305,MATCH(B723,'GIS-Standards'!$B$2:$B$305,0))</f>
        <v>28</v>
      </c>
      <c r="I723" t="e">
        <f>INDEX('GIS-Standards'!$A$2:$A$305,MATCH(C723,'GIS-Standards'!$B$2:$B$305,0))</f>
        <v>#N/A</v>
      </c>
      <c r="J723" t="str">
        <f>INDEX('GIS-Standards'!$O$2:$O$305,MATCH(B723,'GIS-Standards'!$B$2:$B$305,0))</f>
        <v>ISO/TC 211</v>
      </c>
      <c r="K723" t="e">
        <f>INDEX('GIS-Standards'!$O$2:$O$305,MATCH(C723,'GIS-Standards'!$B$2:$B$305,0))</f>
        <v>#N/A</v>
      </c>
      <c r="M723" t="s">
        <v>525</v>
      </c>
      <c r="N723">
        <f>INDEX('GIS-Standards'!$I$2:$I$305,MATCH(B723,'GIS-Standards'!$B$2:$B$305,0))</f>
        <v>0</v>
      </c>
      <c r="O723" t="e">
        <f>INDEX('GIS-Standards'!$I$2:$I$305,MATCH(C723,'GIS-Standards'!$B$2:$B$305,0))</f>
        <v>#N/A</v>
      </c>
      <c r="P723" t="e">
        <f>AND(TableRelationships12[[#This Row],[Source Type]]="BIM",TableRelationships12[[#This Row],[Target Type]]="BIM")</f>
        <v>#N/A</v>
      </c>
      <c r="Q723">
        <f t="shared" si="33"/>
        <v>1</v>
      </c>
      <c r="S723">
        <f t="shared" si="34"/>
        <v>1</v>
      </c>
      <c r="T723" s="102" t="str">
        <f>IF(TableRelationships12[[#This Row],[Rank Pedro]]="Low","linkCategory1",IF(TableRelationships12[[#This Row],[Rank Pedro]]="Medium","linkCategory2",IF(TableRelationships12[[#This Row],[Rank Pedro]]="High","linkCategory3","")))</f>
        <v/>
      </c>
      <c r="U723" s="102" t="str">
        <f>IF(TableRelationships12[[#This Row],[Rank Pedro]]="Low","Pink",IF(TableRelationships12[[#This Row],[Rank Pedro]]="Medium","Purple",IF(TableRelationships12[[#This Row],[Rank Pedro]]="High","Brown","")))</f>
        <v/>
      </c>
      <c r="V723" s="4" t="e">
        <f>MAX(INDEX(Standards!$F$2:$F$296,MATCH(B723,Standards!$B$2:$B$296,0)),INDEX(Standards!$F$2:$F$296,MATCH(C723,Standards!$B$2:$B$296,0)))</f>
        <v>#N/A</v>
      </c>
      <c r="W723" t="str">
        <f t="shared" si="35"/>
        <v>#2f89d1</v>
      </c>
    </row>
    <row r="724" spans="1:23" x14ac:dyDescent="0.5">
      <c r="A724" s="54">
        <v>723</v>
      </c>
      <c r="B724" s="90" t="s">
        <v>318</v>
      </c>
      <c r="C724" t="s">
        <v>1158</v>
      </c>
      <c r="D724" s="1" t="s">
        <v>1676</v>
      </c>
      <c r="E724" s="112">
        <v>1998.09</v>
      </c>
      <c r="F724" s="112">
        <v>2024.1</v>
      </c>
      <c r="G724" s="107" t="s">
        <v>1504</v>
      </c>
      <c r="H724">
        <f>INDEX('GIS-Standards'!$A$2:$A$305,MATCH(B724,'GIS-Standards'!$B$2:$B$305,0))</f>
        <v>28</v>
      </c>
      <c r="I724" t="e">
        <f>INDEX('GIS-Standards'!$A$2:$A$305,MATCH(C724,'GIS-Standards'!$B$2:$B$305,0))</f>
        <v>#N/A</v>
      </c>
      <c r="J724" t="str">
        <f>INDEX('GIS-Standards'!$O$2:$O$305,MATCH(B724,'GIS-Standards'!$B$2:$B$305,0))</f>
        <v>ISO/TC 211</v>
      </c>
      <c r="K724" t="e">
        <f>INDEX('GIS-Standards'!$O$2:$O$305,MATCH(C724,'GIS-Standards'!$B$2:$B$305,0))</f>
        <v>#N/A</v>
      </c>
      <c r="M724" t="s">
        <v>525</v>
      </c>
      <c r="N724">
        <f>INDEX('GIS-Standards'!$I$2:$I$305,MATCH(B724,'GIS-Standards'!$B$2:$B$305,0))</f>
        <v>0</v>
      </c>
      <c r="O724" t="e">
        <f>INDEX('GIS-Standards'!$I$2:$I$305,MATCH(C724,'GIS-Standards'!$B$2:$B$305,0))</f>
        <v>#N/A</v>
      </c>
      <c r="P724" t="e">
        <f>AND(TableRelationships12[[#This Row],[Source Type]]="BIM",TableRelationships12[[#This Row],[Target Type]]="BIM")</f>
        <v>#N/A</v>
      </c>
      <c r="Q724">
        <f t="shared" si="33"/>
        <v>1</v>
      </c>
      <c r="S724">
        <f t="shared" si="34"/>
        <v>1</v>
      </c>
      <c r="T724" s="102" t="str">
        <f>IF(TableRelationships12[[#This Row],[Rank Pedro]]="Low","linkCategory1",IF(TableRelationships12[[#This Row],[Rank Pedro]]="Medium","linkCategory2",IF(TableRelationships12[[#This Row],[Rank Pedro]]="High","linkCategory3","")))</f>
        <v/>
      </c>
      <c r="U724" s="102" t="str">
        <f>IF(TableRelationships12[[#This Row],[Rank Pedro]]="Low","Pink",IF(TableRelationships12[[#This Row],[Rank Pedro]]="Medium","Purple",IF(TableRelationships12[[#This Row],[Rank Pedro]]="High","Brown","")))</f>
        <v/>
      </c>
      <c r="V724" s="4" t="e">
        <f>MAX(INDEX(Standards!$F$2:$F$296,MATCH(B724,Standards!$B$2:$B$296,0)),INDEX(Standards!$F$2:$F$296,MATCH(C724,Standards!$B$2:$B$296,0)))</f>
        <v>#N/A</v>
      </c>
      <c r="W724" t="str">
        <f t="shared" si="35"/>
        <v>#2f89d1</v>
      </c>
    </row>
    <row r="725" spans="1:23" x14ac:dyDescent="0.5">
      <c r="A725" s="54">
        <v>724</v>
      </c>
      <c r="B725" s="90" t="s">
        <v>318</v>
      </c>
      <c r="C725" t="s">
        <v>360</v>
      </c>
      <c r="D725" s="1"/>
      <c r="E725" s="112">
        <v>2012.04</v>
      </c>
      <c r="F725" s="112">
        <v>2012.04</v>
      </c>
      <c r="G725" s="107" t="s">
        <v>1504</v>
      </c>
      <c r="H725">
        <f>INDEX('GIS-Standards'!$A$2:$A$305,MATCH(B725,'GIS-Standards'!$B$2:$B$305,0))</f>
        <v>28</v>
      </c>
      <c r="I725" t="e">
        <f>INDEX('GIS-Standards'!$A$2:$A$305,MATCH(C725,'GIS-Standards'!$B$2:$B$305,0))</f>
        <v>#N/A</v>
      </c>
      <c r="J725" t="str">
        <f>INDEX('GIS-Standards'!$O$2:$O$305,MATCH(B725,'GIS-Standards'!$B$2:$B$305,0))</f>
        <v>ISO/TC 211</v>
      </c>
      <c r="K725" t="e">
        <f>INDEX('GIS-Standards'!$O$2:$O$305,MATCH(C725,'GIS-Standards'!$B$2:$B$305,0))</f>
        <v>#N/A</v>
      </c>
      <c r="M725" t="s">
        <v>525</v>
      </c>
      <c r="N725">
        <f>INDEX('GIS-Standards'!$I$2:$I$305,MATCH(B725,'GIS-Standards'!$B$2:$B$305,0))</f>
        <v>0</v>
      </c>
      <c r="O725" t="e">
        <f>INDEX('GIS-Standards'!$I$2:$I$305,MATCH(C725,'GIS-Standards'!$B$2:$B$305,0))</f>
        <v>#N/A</v>
      </c>
      <c r="P725" t="e">
        <f>AND(TableRelationships12[[#This Row],[Source Type]]="BIM",TableRelationships12[[#This Row],[Target Type]]="BIM")</f>
        <v>#N/A</v>
      </c>
      <c r="Q725">
        <f t="shared" si="33"/>
        <v>1</v>
      </c>
      <c r="S725">
        <f t="shared" si="34"/>
        <v>1</v>
      </c>
      <c r="T725" s="102" t="str">
        <f>IF(TableRelationships12[[#This Row],[Rank Pedro]]="Low","linkCategory1",IF(TableRelationships12[[#This Row],[Rank Pedro]]="Medium","linkCategory2",IF(TableRelationships12[[#This Row],[Rank Pedro]]="High","linkCategory3","")))</f>
        <v/>
      </c>
      <c r="U725" s="102" t="str">
        <f>IF(TableRelationships12[[#This Row],[Rank Pedro]]="Low","Pink",IF(TableRelationships12[[#This Row],[Rank Pedro]]="Medium","Purple",IF(TableRelationships12[[#This Row],[Rank Pedro]]="High","Brown","")))</f>
        <v/>
      </c>
      <c r="V725" s="4">
        <f>MAX(INDEX(Standards!$F$2:$F$296,MATCH(B725,Standards!$B$2:$B$296,0)),INDEX(Standards!$F$2:$F$296,MATCH(C725,Standards!$B$2:$B$296,0)))</f>
        <v>41000</v>
      </c>
      <c r="W725" t="str">
        <f t="shared" si="35"/>
        <v>#2f89d1</v>
      </c>
    </row>
    <row r="726" spans="1:23" x14ac:dyDescent="0.5">
      <c r="A726" s="54">
        <v>725</v>
      </c>
      <c r="B726" s="90" t="s">
        <v>318</v>
      </c>
      <c r="C726" t="s">
        <v>88</v>
      </c>
      <c r="D726" s="1"/>
      <c r="E726" s="112">
        <v>2013.07</v>
      </c>
      <c r="F726" s="112">
        <v>2013.07</v>
      </c>
      <c r="G726" s="107" t="s">
        <v>1509</v>
      </c>
      <c r="H726">
        <f>INDEX('GIS-Standards'!$A$2:$A$305,MATCH(B726,'GIS-Standards'!$B$2:$B$305,0))</f>
        <v>28</v>
      </c>
      <c r="I726" t="e">
        <f>INDEX('GIS-Standards'!$A$2:$A$305,MATCH(C726,'GIS-Standards'!$B$2:$B$305,0))</f>
        <v>#N/A</v>
      </c>
      <c r="J726" t="str">
        <f>INDEX('GIS-Standards'!$O$2:$O$305,MATCH(B726,'GIS-Standards'!$B$2:$B$305,0))</f>
        <v>ISO/TC 211</v>
      </c>
      <c r="K726" t="e">
        <f>INDEX('GIS-Standards'!$O$2:$O$305,MATCH(C726,'GIS-Standards'!$B$2:$B$305,0))</f>
        <v>#N/A</v>
      </c>
      <c r="M726" t="s">
        <v>525</v>
      </c>
      <c r="N726">
        <f>INDEX('GIS-Standards'!$I$2:$I$305,MATCH(B726,'GIS-Standards'!$B$2:$B$305,0))</f>
        <v>0</v>
      </c>
      <c r="O726" t="e">
        <f>INDEX('GIS-Standards'!$I$2:$I$305,MATCH(C726,'GIS-Standards'!$B$2:$B$305,0))</f>
        <v>#N/A</v>
      </c>
      <c r="P726" t="e">
        <f>AND(TableRelationships12[[#This Row],[Source Type]]="BIM",TableRelationships12[[#This Row],[Target Type]]="BIM")</f>
        <v>#N/A</v>
      </c>
      <c r="Q726">
        <f t="shared" si="33"/>
        <v>1</v>
      </c>
      <c r="S726">
        <f t="shared" si="34"/>
        <v>1</v>
      </c>
      <c r="T726" s="102" t="str">
        <f>IF(TableRelationships12[[#This Row],[Rank Pedro]]="Low","linkCategory1",IF(TableRelationships12[[#This Row],[Rank Pedro]]="Medium","linkCategory2",IF(TableRelationships12[[#This Row],[Rank Pedro]]="High","linkCategory3","")))</f>
        <v/>
      </c>
      <c r="U726" s="102" t="str">
        <f>IF(TableRelationships12[[#This Row],[Rank Pedro]]="Low","Pink",IF(TableRelationships12[[#This Row],[Rank Pedro]]="Medium","Purple",IF(TableRelationships12[[#This Row],[Rank Pedro]]="High","Brown","")))</f>
        <v/>
      </c>
      <c r="V726" s="4">
        <f>MAX(INDEX(Standards!$F$2:$F$296,MATCH(B726,Standards!$B$2:$B$296,0)),INDEX(Standards!$F$2:$F$296,MATCH(C726,Standards!$B$2:$B$296,0)))</f>
        <v>41275</v>
      </c>
      <c r="W726" t="str">
        <f t="shared" si="35"/>
        <v>#2f89d1</v>
      </c>
    </row>
    <row r="727" spans="1:23" x14ac:dyDescent="0.5">
      <c r="A727" s="54">
        <v>726</v>
      </c>
      <c r="B727" s="90" t="s">
        <v>318</v>
      </c>
      <c r="C727" t="s">
        <v>1067</v>
      </c>
      <c r="D727" s="1"/>
      <c r="E727" s="112">
        <v>2008.12</v>
      </c>
      <c r="F727" s="112">
        <v>2015.04</v>
      </c>
      <c r="G727" s="107" t="s">
        <v>1502</v>
      </c>
      <c r="H727">
        <f>INDEX('GIS-Standards'!$A$2:$A$305,MATCH(B727,'GIS-Standards'!$B$2:$B$305,0))</f>
        <v>28</v>
      </c>
      <c r="I727" t="e">
        <f>INDEX('GIS-Standards'!$A$2:$A$305,MATCH(C727,'GIS-Standards'!$B$2:$B$305,0))</f>
        <v>#N/A</v>
      </c>
      <c r="J727" t="str">
        <f>INDEX('GIS-Standards'!$O$2:$O$305,MATCH(B727,'GIS-Standards'!$B$2:$B$305,0))</f>
        <v>ISO/TC 211</v>
      </c>
      <c r="K727" t="e">
        <f>INDEX('GIS-Standards'!$O$2:$O$305,MATCH(C727,'GIS-Standards'!$B$2:$B$305,0))</f>
        <v>#N/A</v>
      </c>
      <c r="M727" t="s">
        <v>525</v>
      </c>
      <c r="N727">
        <f>INDEX('GIS-Standards'!$I$2:$I$305,MATCH(B727,'GIS-Standards'!$B$2:$B$305,0))</f>
        <v>0</v>
      </c>
      <c r="O727" t="e">
        <f>INDEX('GIS-Standards'!$I$2:$I$305,MATCH(C727,'GIS-Standards'!$B$2:$B$305,0))</f>
        <v>#N/A</v>
      </c>
      <c r="P727" t="e">
        <f>AND(TableRelationships12[[#This Row],[Source Type]]="BIM",TableRelationships12[[#This Row],[Target Type]]="BIM")</f>
        <v>#N/A</v>
      </c>
      <c r="Q727">
        <f t="shared" si="33"/>
        <v>1</v>
      </c>
      <c r="S727">
        <f t="shared" si="34"/>
        <v>1</v>
      </c>
      <c r="T727" s="102" t="str">
        <f>IF(TableRelationships12[[#This Row],[Rank Pedro]]="Low","linkCategory1",IF(TableRelationships12[[#This Row],[Rank Pedro]]="Medium","linkCategory2",IF(TableRelationships12[[#This Row],[Rank Pedro]]="High","linkCategory3","")))</f>
        <v/>
      </c>
      <c r="U727" s="102" t="str">
        <f>IF(TableRelationships12[[#This Row],[Rank Pedro]]="Low","Pink",IF(TableRelationships12[[#This Row],[Rank Pedro]]="Medium","Purple",IF(TableRelationships12[[#This Row],[Rank Pedro]]="High","Brown","")))</f>
        <v/>
      </c>
      <c r="V727" s="4" t="e">
        <f>MAX(INDEX(Standards!$F$2:$F$296,MATCH(B727,Standards!$B$2:$B$296,0)),INDEX(Standards!$F$2:$F$296,MATCH(C727,Standards!$B$2:$B$296,0)))</f>
        <v>#N/A</v>
      </c>
      <c r="W727" t="str">
        <f t="shared" si="35"/>
        <v>#2f89d1</v>
      </c>
    </row>
    <row r="728" spans="1:23" x14ac:dyDescent="0.5">
      <c r="A728" s="54">
        <v>727</v>
      </c>
      <c r="B728" s="90" t="s">
        <v>318</v>
      </c>
      <c r="C728" t="s">
        <v>1064</v>
      </c>
      <c r="D728" s="1"/>
      <c r="E728" s="112">
        <v>1996.09</v>
      </c>
      <c r="F728" s="112">
        <v>2009.12</v>
      </c>
      <c r="G728" s="107" t="s">
        <v>1502</v>
      </c>
      <c r="H728">
        <f>INDEX('GIS-Standards'!$A$2:$A$305,MATCH(B728,'GIS-Standards'!$B$2:$B$305,0))</f>
        <v>28</v>
      </c>
      <c r="I728" t="e">
        <f>INDEX('GIS-Standards'!$A$2:$A$305,MATCH(C728,'GIS-Standards'!$B$2:$B$305,0))</f>
        <v>#N/A</v>
      </c>
      <c r="J728" t="str">
        <f>INDEX('GIS-Standards'!$O$2:$O$305,MATCH(B728,'GIS-Standards'!$B$2:$B$305,0))</f>
        <v>ISO/TC 211</v>
      </c>
      <c r="K728" t="e">
        <f>INDEX('GIS-Standards'!$O$2:$O$305,MATCH(C728,'GIS-Standards'!$B$2:$B$305,0))</f>
        <v>#N/A</v>
      </c>
      <c r="M728" t="s">
        <v>525</v>
      </c>
      <c r="N728">
        <f>INDEX('GIS-Standards'!$I$2:$I$305,MATCH(B728,'GIS-Standards'!$B$2:$B$305,0))</f>
        <v>0</v>
      </c>
      <c r="O728" t="e">
        <f>INDEX('GIS-Standards'!$I$2:$I$305,MATCH(C728,'GIS-Standards'!$B$2:$B$305,0))</f>
        <v>#N/A</v>
      </c>
      <c r="P728" t="e">
        <f>AND(TableRelationships12[[#This Row],[Source Type]]="BIM",TableRelationships12[[#This Row],[Target Type]]="BIM")</f>
        <v>#N/A</v>
      </c>
      <c r="Q728">
        <f t="shared" si="33"/>
        <v>1</v>
      </c>
      <c r="S728">
        <f t="shared" si="34"/>
        <v>1</v>
      </c>
      <c r="T728" s="102" t="str">
        <f>IF(TableRelationships12[[#This Row],[Rank Pedro]]="Low","linkCategory1",IF(TableRelationships12[[#This Row],[Rank Pedro]]="Medium","linkCategory2",IF(TableRelationships12[[#This Row],[Rank Pedro]]="High","linkCategory3","")))</f>
        <v/>
      </c>
      <c r="U728" s="102" t="str">
        <f>IF(TableRelationships12[[#This Row],[Rank Pedro]]="Low","Pink",IF(TableRelationships12[[#This Row],[Rank Pedro]]="Medium","Purple",IF(TableRelationships12[[#This Row],[Rank Pedro]]="High","Brown","")))</f>
        <v/>
      </c>
      <c r="V728" s="4" t="e">
        <f>MAX(INDEX(Standards!$F$2:$F$296,MATCH(B728,Standards!$B$2:$B$296,0)),INDEX(Standards!$F$2:$F$296,MATCH(C728,Standards!$B$2:$B$296,0)))</f>
        <v>#N/A</v>
      </c>
      <c r="W728" t="str">
        <f t="shared" si="35"/>
        <v>#2f89d1</v>
      </c>
    </row>
    <row r="729" spans="1:23" x14ac:dyDescent="0.5">
      <c r="A729" s="54">
        <v>728</v>
      </c>
      <c r="B729" s="90" t="s">
        <v>318</v>
      </c>
      <c r="C729" t="s">
        <v>1159</v>
      </c>
      <c r="D729" s="1"/>
      <c r="G729" s="107"/>
      <c r="H729">
        <f>INDEX('GIS-Standards'!$A$2:$A$305,MATCH(B729,'GIS-Standards'!$B$2:$B$305,0))</f>
        <v>28</v>
      </c>
      <c r="I729" t="e">
        <f>INDEX('GIS-Standards'!$A$2:$A$305,MATCH(C729,'GIS-Standards'!$B$2:$B$305,0))</f>
        <v>#N/A</v>
      </c>
      <c r="J729" t="str">
        <f>INDEX('GIS-Standards'!$O$2:$O$305,MATCH(B729,'GIS-Standards'!$B$2:$B$305,0))</f>
        <v>ISO/TC 211</v>
      </c>
      <c r="K729" t="e">
        <f>INDEX('GIS-Standards'!$O$2:$O$305,MATCH(C729,'GIS-Standards'!$B$2:$B$305,0))</f>
        <v>#N/A</v>
      </c>
      <c r="M729" t="s">
        <v>525</v>
      </c>
      <c r="N729">
        <f>INDEX('GIS-Standards'!$I$2:$I$305,MATCH(B729,'GIS-Standards'!$B$2:$B$305,0))</f>
        <v>0</v>
      </c>
      <c r="O729" t="e">
        <f>INDEX('GIS-Standards'!$I$2:$I$305,MATCH(C729,'GIS-Standards'!$B$2:$B$305,0))</f>
        <v>#N/A</v>
      </c>
      <c r="P729" t="e">
        <f>AND(TableRelationships12[[#This Row],[Source Type]]="BIM",TableRelationships12[[#This Row],[Target Type]]="BIM")</f>
        <v>#N/A</v>
      </c>
      <c r="Q729">
        <f t="shared" si="33"/>
        <v>1</v>
      </c>
      <c r="S729">
        <f t="shared" si="34"/>
        <v>1</v>
      </c>
      <c r="T729" s="102" t="str">
        <f>IF(TableRelationships12[[#This Row],[Rank Pedro]]="Low","linkCategory1",IF(TableRelationships12[[#This Row],[Rank Pedro]]="Medium","linkCategory2",IF(TableRelationships12[[#This Row],[Rank Pedro]]="High","linkCategory3","")))</f>
        <v/>
      </c>
      <c r="U729" s="102" t="str">
        <f>IF(TableRelationships12[[#This Row],[Rank Pedro]]="Low","Pink",IF(TableRelationships12[[#This Row],[Rank Pedro]]="Medium","Purple",IF(TableRelationships12[[#This Row],[Rank Pedro]]="High","Brown","")))</f>
        <v/>
      </c>
      <c r="V729" s="4" t="e">
        <f>MAX(INDEX(Standards!$F$2:$F$296,MATCH(B729,Standards!$B$2:$B$296,0)),INDEX(Standards!$F$2:$F$296,MATCH(C729,Standards!$B$2:$B$296,0)))</f>
        <v>#N/A</v>
      </c>
      <c r="W729" t="str">
        <f t="shared" si="35"/>
        <v>#2f89d1</v>
      </c>
    </row>
    <row r="730" spans="1:23" x14ac:dyDescent="0.5">
      <c r="A730" s="54">
        <v>729</v>
      </c>
      <c r="B730" s="90" t="s">
        <v>318</v>
      </c>
      <c r="C730" t="s">
        <v>1160</v>
      </c>
      <c r="D730" s="1"/>
      <c r="G730" s="107"/>
      <c r="H730">
        <f>INDEX('GIS-Standards'!$A$2:$A$305,MATCH(B730,'GIS-Standards'!$B$2:$B$305,0))</f>
        <v>28</v>
      </c>
      <c r="I730" t="e">
        <f>INDEX('GIS-Standards'!$A$2:$A$305,MATCH(C730,'GIS-Standards'!$B$2:$B$305,0))</f>
        <v>#N/A</v>
      </c>
      <c r="J730" t="str">
        <f>INDEX('GIS-Standards'!$O$2:$O$305,MATCH(B730,'GIS-Standards'!$B$2:$B$305,0))</f>
        <v>ISO/TC 211</v>
      </c>
      <c r="K730" t="e">
        <f>INDEX('GIS-Standards'!$O$2:$O$305,MATCH(C730,'GIS-Standards'!$B$2:$B$305,0))</f>
        <v>#N/A</v>
      </c>
      <c r="M730" t="s">
        <v>525</v>
      </c>
      <c r="N730">
        <f>INDEX('GIS-Standards'!$I$2:$I$305,MATCH(B730,'GIS-Standards'!$B$2:$B$305,0))</f>
        <v>0</v>
      </c>
      <c r="O730" t="e">
        <f>INDEX('GIS-Standards'!$I$2:$I$305,MATCH(C730,'GIS-Standards'!$B$2:$B$305,0))</f>
        <v>#N/A</v>
      </c>
      <c r="P730" t="e">
        <f>AND(TableRelationships12[[#This Row],[Source Type]]="BIM",TableRelationships12[[#This Row],[Target Type]]="BIM")</f>
        <v>#N/A</v>
      </c>
      <c r="Q730">
        <f t="shared" si="33"/>
        <v>1</v>
      </c>
      <c r="S730">
        <f t="shared" si="34"/>
        <v>1</v>
      </c>
      <c r="T730" s="102" t="str">
        <f>IF(TableRelationships12[[#This Row],[Rank Pedro]]="Low","linkCategory1",IF(TableRelationships12[[#This Row],[Rank Pedro]]="Medium","linkCategory2",IF(TableRelationships12[[#This Row],[Rank Pedro]]="High","linkCategory3","")))</f>
        <v/>
      </c>
      <c r="U730" s="102" t="str">
        <f>IF(TableRelationships12[[#This Row],[Rank Pedro]]="Low","Pink",IF(TableRelationships12[[#This Row],[Rank Pedro]]="Medium","Purple",IF(TableRelationships12[[#This Row],[Rank Pedro]]="High","Brown","")))</f>
        <v/>
      </c>
      <c r="V730" s="4" t="e">
        <f>MAX(INDEX(Standards!$F$2:$F$296,MATCH(B730,Standards!$B$2:$B$296,0)),INDEX(Standards!$F$2:$F$296,MATCH(C730,Standards!$B$2:$B$296,0)))</f>
        <v>#N/A</v>
      </c>
      <c r="W730" t="str">
        <f t="shared" si="35"/>
        <v>#2f89d1</v>
      </c>
    </row>
    <row r="731" spans="1:23" x14ac:dyDescent="0.5">
      <c r="A731" s="54">
        <v>730</v>
      </c>
      <c r="B731" s="90" t="s">
        <v>318</v>
      </c>
      <c r="C731" t="s">
        <v>1540</v>
      </c>
      <c r="D731" s="1"/>
      <c r="G731" s="107"/>
      <c r="H731">
        <f>INDEX('GIS-Standards'!$A$2:$A$305,MATCH(B731,'GIS-Standards'!$B$2:$B$305,0))</f>
        <v>28</v>
      </c>
      <c r="I731" t="e">
        <f>INDEX('GIS-Standards'!$A$2:$A$305,MATCH(C731,'GIS-Standards'!$B$2:$B$305,0))</f>
        <v>#N/A</v>
      </c>
      <c r="J731" t="str">
        <f>INDEX('GIS-Standards'!$O$2:$O$305,MATCH(B731,'GIS-Standards'!$B$2:$B$305,0))</f>
        <v>ISO/TC 211</v>
      </c>
      <c r="K731" t="e">
        <f>INDEX('GIS-Standards'!$O$2:$O$305,MATCH(C731,'GIS-Standards'!$B$2:$B$305,0))</f>
        <v>#N/A</v>
      </c>
      <c r="M731" t="s">
        <v>525</v>
      </c>
      <c r="N731">
        <f>INDEX('GIS-Standards'!$I$2:$I$305,MATCH(B731,'GIS-Standards'!$B$2:$B$305,0))</f>
        <v>0</v>
      </c>
      <c r="O731" t="e">
        <f>INDEX('GIS-Standards'!$I$2:$I$305,MATCH(C731,'GIS-Standards'!$B$2:$B$305,0))</f>
        <v>#N/A</v>
      </c>
      <c r="P731" t="e">
        <f>AND(TableRelationships12[[#This Row],[Source Type]]="BIM",TableRelationships12[[#This Row],[Target Type]]="BIM")</f>
        <v>#N/A</v>
      </c>
      <c r="Q731">
        <f t="shared" si="33"/>
        <v>1</v>
      </c>
      <c r="S731">
        <f t="shared" si="34"/>
        <v>1</v>
      </c>
      <c r="T731" s="102" t="str">
        <f>IF(TableRelationships12[[#This Row],[Rank Pedro]]="Low","linkCategory1",IF(TableRelationships12[[#This Row],[Rank Pedro]]="Medium","linkCategory2",IF(TableRelationships12[[#This Row],[Rank Pedro]]="High","linkCategory3","")))</f>
        <v/>
      </c>
      <c r="U731" s="102" t="str">
        <f>IF(TableRelationships12[[#This Row],[Rank Pedro]]="Low","Pink",IF(TableRelationships12[[#This Row],[Rank Pedro]]="Medium","Purple",IF(TableRelationships12[[#This Row],[Rank Pedro]]="High","Brown","")))</f>
        <v/>
      </c>
      <c r="V731" s="4" t="e">
        <f>MAX(INDEX(Standards!$F$2:$F$296,MATCH(B731,Standards!$B$2:$B$296,0)),INDEX(Standards!$F$2:$F$296,MATCH(C731,Standards!$B$2:$B$296,0)))</f>
        <v>#N/A</v>
      </c>
      <c r="W731" t="str">
        <f t="shared" si="35"/>
        <v>#2f89d1</v>
      </c>
    </row>
    <row r="732" spans="1:23" x14ac:dyDescent="0.5">
      <c r="A732" s="54">
        <v>731</v>
      </c>
      <c r="B732" s="90" t="s">
        <v>320</v>
      </c>
      <c r="C732" t="s">
        <v>527</v>
      </c>
      <c r="D732" s="1"/>
      <c r="E732" s="112" t="s">
        <v>951</v>
      </c>
      <c r="F732" s="112" t="s">
        <v>952</v>
      </c>
      <c r="G732" s="121" t="s">
        <v>670</v>
      </c>
      <c r="H732">
        <f>INDEX('GIS-Standards'!$A$2:$A$305,MATCH(B732,'GIS-Standards'!$B$2:$B$305,0))</f>
        <v>29</v>
      </c>
      <c r="I732" t="e">
        <f>INDEX('GIS-Standards'!$A$2:$A$305,MATCH(C732,'GIS-Standards'!$B$2:$B$305,0))</f>
        <v>#N/A</v>
      </c>
      <c r="J732" t="str">
        <f>INDEX('GIS-Standards'!$O$2:$O$305,MATCH(B732,'GIS-Standards'!$B$2:$B$305,0))</f>
        <v>ISO/TC 211</v>
      </c>
      <c r="K732" t="e">
        <f>INDEX('GIS-Standards'!$O$2:$O$305,MATCH(C732,'GIS-Standards'!$B$2:$B$305,0))</f>
        <v>#N/A</v>
      </c>
      <c r="M732" t="s">
        <v>237</v>
      </c>
      <c r="N732">
        <f>INDEX('GIS-Standards'!$I$2:$I$305,MATCH(B732,'GIS-Standards'!$B$2:$B$305,0))</f>
        <v>0</v>
      </c>
      <c r="O732" t="e">
        <f>INDEX('GIS-Standards'!$I$2:$I$305,MATCH(C732,'GIS-Standards'!$B$2:$B$305,0))</f>
        <v>#N/A</v>
      </c>
      <c r="P732" t="e">
        <f>AND(TableRelationships12[[#This Row],[Source Type]]="BIM",TableRelationships12[[#This Row],[Target Type]]="BIM")</f>
        <v>#N/A</v>
      </c>
      <c r="Q732">
        <f t="shared" si="33"/>
        <v>2</v>
      </c>
      <c r="S732">
        <f t="shared" si="34"/>
        <v>1</v>
      </c>
      <c r="T732" s="102" t="str">
        <f>IF(TableRelationships12[[#This Row],[Rank Pedro]]="Low","linkCategory1",IF(TableRelationships12[[#This Row],[Rank Pedro]]="Medium","linkCategory2",IF(TableRelationships12[[#This Row],[Rank Pedro]]="High","linkCategory3","")))</f>
        <v/>
      </c>
      <c r="U732" s="102" t="str">
        <f>IF(TableRelationships12[[#This Row],[Rank Pedro]]="Low","Pink",IF(TableRelationships12[[#This Row],[Rank Pedro]]="Medium","Purple",IF(TableRelationships12[[#This Row],[Rank Pedro]]="High","Brown","")))</f>
        <v/>
      </c>
      <c r="V732" s="4">
        <f>MAX(INDEX(Standards!$F$2:$F$296,MATCH(B732,Standards!$B$2:$B$296,0)),INDEX(Standards!$F$2:$F$296,MATCH(C732,Standards!$B$2:$B$296,0)))</f>
        <v>38565</v>
      </c>
      <c r="W732">
        <f t="shared" si="35"/>
        <v>1</v>
      </c>
    </row>
    <row r="733" spans="1:23" x14ac:dyDescent="0.5">
      <c r="A733" s="54">
        <v>732</v>
      </c>
      <c r="B733" s="90" t="s">
        <v>320</v>
      </c>
      <c r="C733" t="s">
        <v>296</v>
      </c>
      <c r="D733" s="1"/>
      <c r="E733" s="112">
        <v>2005.07</v>
      </c>
      <c r="F733" s="112">
        <v>2024.09</v>
      </c>
      <c r="G733" s="107" t="s">
        <v>670</v>
      </c>
      <c r="H733">
        <f>INDEX('GIS-Standards'!$A$2:$A$305,MATCH(B733,'GIS-Standards'!$B$2:$B$305,0))</f>
        <v>29</v>
      </c>
      <c r="I733">
        <f>INDEX('GIS-Standards'!$A$2:$A$305,MATCH(C733,'GIS-Standards'!$B$2:$B$305,0))</f>
        <v>12</v>
      </c>
      <c r="J733" t="str">
        <f>INDEX('GIS-Standards'!$O$2:$O$305,MATCH(B733,'GIS-Standards'!$B$2:$B$305,0))</f>
        <v>ISO/TC 211</v>
      </c>
      <c r="K733" t="str">
        <f>INDEX('GIS-Standards'!$O$2:$O$305,MATCH(C733,'GIS-Standards'!$B$2:$B$305,0))</f>
        <v>ISO/TC 211</v>
      </c>
      <c r="M733" t="s">
        <v>524</v>
      </c>
      <c r="N733">
        <f>INDEX('GIS-Standards'!$I$2:$I$305,MATCH(B733,'GIS-Standards'!$B$2:$B$305,0))</f>
        <v>0</v>
      </c>
      <c r="O733">
        <f>INDEX('GIS-Standards'!$I$2:$I$305,MATCH(C733,'GIS-Standards'!$B$2:$B$305,0))</f>
        <v>0</v>
      </c>
      <c r="P733" t="b">
        <f>AND(TableRelationships12[[#This Row],[Source Type]]="BIM",TableRelationships12[[#This Row],[Target Type]]="BIM")</f>
        <v>0</v>
      </c>
      <c r="Q733">
        <f t="shared" si="33"/>
        <v>6</v>
      </c>
      <c r="S733">
        <f t="shared" si="34"/>
        <v>1</v>
      </c>
      <c r="T733" s="102" t="str">
        <f>IF(TableRelationships12[[#This Row],[Rank Pedro]]="Low","linkCategory1",IF(TableRelationships12[[#This Row],[Rank Pedro]]="Medium","linkCategory2",IF(TableRelationships12[[#This Row],[Rank Pedro]]="High","linkCategory3","")))</f>
        <v/>
      </c>
      <c r="U733" s="102" t="str">
        <f>IF(TableRelationships12[[#This Row],[Rank Pedro]]="Low","Pink",IF(TableRelationships12[[#This Row],[Rank Pedro]]="Medium","Purple",IF(TableRelationships12[[#This Row],[Rank Pedro]]="High","Brown","")))</f>
        <v/>
      </c>
      <c r="V733" s="4">
        <f>MAX(INDEX(Standards!$F$2:$F$296,MATCH(B733,Standards!$B$2:$B$296,0)),INDEX(Standards!$F$2:$F$296,MATCH(C733,Standards!$B$2:$B$296,0)))</f>
        <v>38565</v>
      </c>
      <c r="W733" t="str">
        <f t="shared" si="35"/>
        <v>#d6bf2a</v>
      </c>
    </row>
    <row r="734" spans="1:23" x14ac:dyDescent="0.5">
      <c r="A734" s="54">
        <v>733</v>
      </c>
      <c r="B734" s="90" t="s">
        <v>320</v>
      </c>
      <c r="C734" t="s">
        <v>302</v>
      </c>
      <c r="D734" s="1"/>
      <c r="E734" s="112">
        <v>2003.05</v>
      </c>
      <c r="F734" s="112">
        <v>2019.12</v>
      </c>
      <c r="G734" s="107" t="s">
        <v>670</v>
      </c>
      <c r="H734">
        <f>INDEX('GIS-Standards'!$A$2:$A$305,MATCH(B734,'GIS-Standards'!$B$2:$B$305,0))</f>
        <v>29</v>
      </c>
      <c r="I734">
        <f>INDEX('GIS-Standards'!$A$2:$A$305,MATCH(C734,'GIS-Standards'!$B$2:$B$305,0))</f>
        <v>16</v>
      </c>
      <c r="J734" t="str">
        <f>INDEX('GIS-Standards'!$O$2:$O$305,MATCH(B734,'GIS-Standards'!$B$2:$B$305,0))</f>
        <v>ISO/TC 211</v>
      </c>
      <c r="K734" t="str">
        <f>INDEX('GIS-Standards'!$O$2:$O$305,MATCH(C734,'GIS-Standards'!$B$2:$B$305,0))</f>
        <v>ISO/TC 211</v>
      </c>
      <c r="M734" t="s">
        <v>524</v>
      </c>
      <c r="N734">
        <f>INDEX('GIS-Standards'!$I$2:$I$305,MATCH(B734,'GIS-Standards'!$B$2:$B$305,0))</f>
        <v>0</v>
      </c>
      <c r="O734">
        <f>INDEX('GIS-Standards'!$I$2:$I$305,MATCH(C734,'GIS-Standards'!$B$2:$B$305,0))</f>
        <v>0</v>
      </c>
      <c r="P734" t="b">
        <f>AND(TableRelationships12[[#This Row],[Source Type]]="BIM",TableRelationships12[[#This Row],[Target Type]]="BIM")</f>
        <v>0</v>
      </c>
      <c r="Q734">
        <f t="shared" si="33"/>
        <v>6</v>
      </c>
      <c r="S734">
        <f t="shared" si="34"/>
        <v>1</v>
      </c>
      <c r="T734" s="102" t="str">
        <f>IF(TableRelationships12[[#This Row],[Rank Pedro]]="Low","linkCategory1",IF(TableRelationships12[[#This Row],[Rank Pedro]]="Medium","linkCategory2",IF(TableRelationships12[[#This Row],[Rank Pedro]]="High","linkCategory3","")))</f>
        <v/>
      </c>
      <c r="U734" s="102" t="str">
        <f>IF(TableRelationships12[[#This Row],[Rank Pedro]]="Low","Pink",IF(TableRelationships12[[#This Row],[Rank Pedro]]="Medium","Purple",IF(TableRelationships12[[#This Row],[Rank Pedro]]="High","Brown","")))</f>
        <v/>
      </c>
      <c r="V734" s="4">
        <f>MAX(INDEX(Standards!$F$2:$F$296,MATCH(B734,Standards!$B$2:$B$296,0)),INDEX(Standards!$F$2:$F$296,MATCH(C734,Standards!$B$2:$B$296,0)))</f>
        <v>38565</v>
      </c>
      <c r="W734" t="str">
        <f t="shared" si="35"/>
        <v>#d6bf2a</v>
      </c>
    </row>
    <row r="735" spans="1:23" x14ac:dyDescent="0.5">
      <c r="A735" s="54">
        <v>734</v>
      </c>
      <c r="B735" s="90" t="s">
        <v>320</v>
      </c>
      <c r="C735" t="s">
        <v>310</v>
      </c>
      <c r="D735" s="1"/>
      <c r="E735" s="112">
        <v>2003.02</v>
      </c>
      <c r="F735" s="112">
        <v>2023.08</v>
      </c>
      <c r="G735" s="107" t="s">
        <v>670</v>
      </c>
      <c r="H735">
        <f>INDEX('GIS-Standards'!$A$2:$A$305,MATCH(B735,'GIS-Standards'!$B$2:$B$305,0))</f>
        <v>29</v>
      </c>
      <c r="I735">
        <f>INDEX('GIS-Standards'!$A$2:$A$305,MATCH(C735,'GIS-Standards'!$B$2:$B$305,0))</f>
        <v>20</v>
      </c>
      <c r="J735" t="str">
        <f>INDEX('GIS-Standards'!$O$2:$O$305,MATCH(B735,'GIS-Standards'!$B$2:$B$305,0))</f>
        <v>ISO/TC 211</v>
      </c>
      <c r="K735" t="str">
        <f>INDEX('GIS-Standards'!$O$2:$O$305,MATCH(C735,'GIS-Standards'!$B$2:$B$305,0))</f>
        <v>ISO/TC 211</v>
      </c>
      <c r="M735" t="s">
        <v>524</v>
      </c>
      <c r="N735">
        <f>INDEX('GIS-Standards'!$I$2:$I$305,MATCH(B735,'GIS-Standards'!$B$2:$B$305,0))</f>
        <v>0</v>
      </c>
      <c r="O735" t="str">
        <f>INDEX('GIS-Standards'!$I$2:$I$305,MATCH(C735,'GIS-Standards'!$B$2:$B$305,0))</f>
        <v>08.2023</v>
      </c>
      <c r="P735" t="b">
        <f>AND(TableRelationships12[[#This Row],[Source Type]]="BIM",TableRelationships12[[#This Row],[Target Type]]="BIM")</f>
        <v>0</v>
      </c>
      <c r="Q735">
        <f t="shared" si="33"/>
        <v>6</v>
      </c>
      <c r="S735">
        <f t="shared" si="34"/>
        <v>1</v>
      </c>
      <c r="T735" s="102" t="str">
        <f>IF(TableRelationships12[[#This Row],[Rank Pedro]]="Low","linkCategory1",IF(TableRelationships12[[#This Row],[Rank Pedro]]="Medium","linkCategory2",IF(TableRelationships12[[#This Row],[Rank Pedro]]="High","linkCategory3","")))</f>
        <v/>
      </c>
      <c r="U735" s="102" t="str">
        <f>IF(TableRelationships12[[#This Row],[Rank Pedro]]="Low","Pink",IF(TableRelationships12[[#This Row],[Rank Pedro]]="Medium","Purple",IF(TableRelationships12[[#This Row],[Rank Pedro]]="High","Brown","")))</f>
        <v/>
      </c>
      <c r="V735" s="4">
        <f>MAX(INDEX(Standards!$F$2:$F$296,MATCH(B735,Standards!$B$2:$B$296,0)),INDEX(Standards!$F$2:$F$296,MATCH(C735,Standards!$B$2:$B$296,0)))</f>
        <v>38565</v>
      </c>
      <c r="W735" t="str">
        <f t="shared" si="35"/>
        <v>#d6bf2a</v>
      </c>
    </row>
    <row r="736" spans="1:23" x14ac:dyDescent="0.5">
      <c r="A736" s="54">
        <v>735</v>
      </c>
      <c r="B736" s="90" t="s">
        <v>320</v>
      </c>
      <c r="C736" t="s">
        <v>1079</v>
      </c>
      <c r="D736" s="1"/>
      <c r="E736" s="112">
        <v>2005.04</v>
      </c>
      <c r="F736" s="112">
        <v>2005.04</v>
      </c>
      <c r="G736" s="107" t="s">
        <v>1502</v>
      </c>
      <c r="H736">
        <f>INDEX('GIS-Standards'!$A$2:$A$305,MATCH(B736,'GIS-Standards'!$B$2:$B$305,0))</f>
        <v>29</v>
      </c>
      <c r="I736" t="e">
        <f>INDEX('GIS-Standards'!$A$2:$A$305,MATCH(C736,'GIS-Standards'!$B$2:$B$305,0))</f>
        <v>#N/A</v>
      </c>
      <c r="J736" t="str">
        <f>INDEX('GIS-Standards'!$O$2:$O$305,MATCH(B736,'GIS-Standards'!$B$2:$B$305,0))</f>
        <v>ISO/TC 211</v>
      </c>
      <c r="K736" t="e">
        <f>INDEX('GIS-Standards'!$O$2:$O$305,MATCH(C736,'GIS-Standards'!$B$2:$B$305,0))</f>
        <v>#N/A</v>
      </c>
      <c r="M736" t="s">
        <v>525</v>
      </c>
      <c r="N736">
        <f>INDEX('GIS-Standards'!$I$2:$I$305,MATCH(B736,'GIS-Standards'!$B$2:$B$305,0))</f>
        <v>0</v>
      </c>
      <c r="O736" t="e">
        <f>INDEX('GIS-Standards'!$I$2:$I$305,MATCH(C736,'GIS-Standards'!$B$2:$B$305,0))</f>
        <v>#N/A</v>
      </c>
      <c r="P736" t="e">
        <f>AND(TableRelationships12[[#This Row],[Source Type]]="BIM",TableRelationships12[[#This Row],[Target Type]]="BIM")</f>
        <v>#N/A</v>
      </c>
      <c r="Q736">
        <f t="shared" si="33"/>
        <v>1</v>
      </c>
      <c r="S736">
        <f t="shared" si="34"/>
        <v>1</v>
      </c>
      <c r="T736" s="102" t="str">
        <f>IF(TableRelationships12[[#This Row],[Rank Pedro]]="Low","linkCategory1",IF(TableRelationships12[[#This Row],[Rank Pedro]]="Medium","linkCategory2",IF(TableRelationships12[[#This Row],[Rank Pedro]]="High","linkCategory3","")))</f>
        <v/>
      </c>
      <c r="U736" s="102" t="str">
        <f>IF(TableRelationships12[[#This Row],[Rank Pedro]]="Low","Pink",IF(TableRelationships12[[#This Row],[Rank Pedro]]="Medium","Purple",IF(TableRelationships12[[#This Row],[Rank Pedro]]="High","Brown","")))</f>
        <v/>
      </c>
      <c r="V736" s="4" t="e">
        <f>MAX(INDEX(Standards!$F$2:$F$296,MATCH(B736,Standards!$B$2:$B$296,0)),INDEX(Standards!$F$2:$F$296,MATCH(C736,Standards!$B$2:$B$296,0)))</f>
        <v>#N/A</v>
      </c>
      <c r="W736" t="str">
        <f t="shared" si="35"/>
        <v>#2f89d1</v>
      </c>
    </row>
    <row r="737" spans="1:23" x14ac:dyDescent="0.5">
      <c r="A737" s="54">
        <v>736</v>
      </c>
      <c r="B737" s="90" t="s">
        <v>320</v>
      </c>
      <c r="C737" t="s">
        <v>304</v>
      </c>
      <c r="D737" s="1"/>
      <c r="E737" s="112">
        <v>2002.09</v>
      </c>
      <c r="F737" s="112">
        <v>2006.1</v>
      </c>
      <c r="G737" s="107" t="s">
        <v>670</v>
      </c>
      <c r="H737">
        <f>INDEX('GIS-Standards'!$A$2:$A$305,MATCH(B737,'GIS-Standards'!$B$2:$B$305,0))</f>
        <v>29</v>
      </c>
      <c r="I737">
        <f>INDEX('GIS-Standards'!$A$2:$A$305,MATCH(C737,'GIS-Standards'!$B$2:$B$305,0))</f>
        <v>17</v>
      </c>
      <c r="J737" t="str">
        <f>INDEX('GIS-Standards'!$O$2:$O$305,MATCH(B737,'GIS-Standards'!$B$2:$B$305,0))</f>
        <v>ISO/TC 211</v>
      </c>
      <c r="K737" t="str">
        <f>INDEX('GIS-Standards'!$O$2:$O$305,MATCH(C737,'GIS-Standards'!$B$2:$B$305,0))</f>
        <v>ISO/TC 211</v>
      </c>
      <c r="M737" t="s">
        <v>525</v>
      </c>
      <c r="N737">
        <f>INDEX('GIS-Standards'!$I$2:$I$305,MATCH(B737,'GIS-Standards'!$B$2:$B$305,0))</f>
        <v>0</v>
      </c>
      <c r="O737" t="str">
        <f>INDEX('GIS-Standards'!$I$2:$I$305,MATCH(C737,'GIS-Standards'!$B$2:$B$305,0))</f>
        <v>06.2008</v>
      </c>
      <c r="P737" t="b">
        <f>AND(TableRelationships12[[#This Row],[Source Type]]="BIM",TableRelationships12[[#This Row],[Target Type]]="BIM")</f>
        <v>0</v>
      </c>
      <c r="Q737">
        <f t="shared" si="33"/>
        <v>1</v>
      </c>
      <c r="S737">
        <f t="shared" si="34"/>
        <v>1</v>
      </c>
      <c r="T737" s="102" t="str">
        <f>IF(TableRelationships12[[#This Row],[Rank Pedro]]="Low","linkCategory1",IF(TableRelationships12[[#This Row],[Rank Pedro]]="Medium","linkCategory2",IF(TableRelationships12[[#This Row],[Rank Pedro]]="High","linkCategory3","")))</f>
        <v/>
      </c>
      <c r="U737" s="102" t="str">
        <f>IF(TableRelationships12[[#This Row],[Rank Pedro]]="Low","Pink",IF(TableRelationships12[[#This Row],[Rank Pedro]]="Medium","Purple",IF(TableRelationships12[[#This Row],[Rank Pedro]]="High","Brown","")))</f>
        <v/>
      </c>
      <c r="V737" s="4">
        <f>MAX(INDEX(Standards!$F$2:$F$296,MATCH(B737,Standards!$B$2:$B$296,0)),INDEX(Standards!$F$2:$F$296,MATCH(C737,Standards!$B$2:$B$296,0)))</f>
        <v>38565</v>
      </c>
      <c r="W737" t="str">
        <f t="shared" si="35"/>
        <v>#2f89d1</v>
      </c>
    </row>
    <row r="738" spans="1:23" x14ac:dyDescent="0.5">
      <c r="A738" s="54">
        <v>737</v>
      </c>
      <c r="B738" s="90" t="s">
        <v>320</v>
      </c>
      <c r="C738" t="s">
        <v>306</v>
      </c>
      <c r="D738" s="1"/>
      <c r="E738" s="112">
        <v>2005.06</v>
      </c>
      <c r="F738" s="112">
        <v>2025.07</v>
      </c>
      <c r="G738" s="107" t="s">
        <v>670</v>
      </c>
      <c r="H738">
        <f>INDEX('GIS-Standards'!$A$2:$A$305,MATCH(B738,'GIS-Standards'!$B$2:$B$305,0))</f>
        <v>29</v>
      </c>
      <c r="I738">
        <f>INDEX('GIS-Standards'!$A$2:$A$305,MATCH(C738,'GIS-Standards'!$B$2:$B$305,0))</f>
        <v>18</v>
      </c>
      <c r="J738" t="str">
        <f>INDEX('GIS-Standards'!$O$2:$O$305,MATCH(B738,'GIS-Standards'!$B$2:$B$305,0))</f>
        <v>ISO/TC 211</v>
      </c>
      <c r="K738" t="str">
        <f>INDEX('GIS-Standards'!$O$2:$O$305,MATCH(C738,'GIS-Standards'!$B$2:$B$305,0))</f>
        <v>ISO/TC 211</v>
      </c>
      <c r="M738" t="s">
        <v>525</v>
      </c>
      <c r="N738">
        <f>INDEX('GIS-Standards'!$I$2:$I$305,MATCH(B738,'GIS-Standards'!$B$2:$B$305,0))</f>
        <v>0</v>
      </c>
      <c r="O738">
        <f>INDEX('GIS-Standards'!$I$2:$I$305,MATCH(C738,'GIS-Standards'!$B$2:$B$305,0))</f>
        <v>0</v>
      </c>
      <c r="P738" t="b">
        <f>AND(TableRelationships12[[#This Row],[Source Type]]="BIM",TableRelationships12[[#This Row],[Target Type]]="BIM")</f>
        <v>0</v>
      </c>
      <c r="Q738">
        <f t="shared" si="33"/>
        <v>1</v>
      </c>
      <c r="S738">
        <f t="shared" si="34"/>
        <v>1</v>
      </c>
      <c r="T738" s="102" t="str">
        <f>IF(TableRelationships12[[#This Row],[Rank Pedro]]="Low","linkCategory1",IF(TableRelationships12[[#This Row],[Rank Pedro]]="Medium","linkCategory2",IF(TableRelationships12[[#This Row],[Rank Pedro]]="High","linkCategory3","")))</f>
        <v/>
      </c>
      <c r="U738" s="102" t="str">
        <f>IF(TableRelationships12[[#This Row],[Rank Pedro]]="Low","Pink",IF(TableRelationships12[[#This Row],[Rank Pedro]]="Medium","Purple",IF(TableRelationships12[[#This Row],[Rank Pedro]]="High","Brown","")))</f>
        <v/>
      </c>
      <c r="V738" s="4">
        <f>MAX(INDEX(Standards!$F$2:$F$296,MATCH(B738,Standards!$B$2:$B$296,0)),INDEX(Standards!$F$2:$F$296,MATCH(C738,Standards!$B$2:$B$296,0)))</f>
        <v>38565</v>
      </c>
      <c r="W738" t="str">
        <f t="shared" si="35"/>
        <v>#2f89d1</v>
      </c>
    </row>
    <row r="739" spans="1:23" x14ac:dyDescent="0.5">
      <c r="A739" s="54">
        <v>738</v>
      </c>
      <c r="B739" s="90" t="s">
        <v>320</v>
      </c>
      <c r="C739" t="s">
        <v>314</v>
      </c>
      <c r="D739" s="1"/>
      <c r="E739" s="112">
        <v>2003.05</v>
      </c>
      <c r="F739" s="112">
        <v>2020.11</v>
      </c>
      <c r="G739" s="107" t="s">
        <v>670</v>
      </c>
      <c r="H739">
        <f>INDEX('GIS-Standards'!$A$2:$A$305,MATCH(B739,'GIS-Standards'!$B$2:$B$305,0))</f>
        <v>29</v>
      </c>
      <c r="I739">
        <f>INDEX('GIS-Standards'!$A$2:$A$305,MATCH(C739,'GIS-Standards'!$B$2:$B$305,0))</f>
        <v>22</v>
      </c>
      <c r="J739" t="str">
        <f>INDEX('GIS-Standards'!$O$2:$O$305,MATCH(B739,'GIS-Standards'!$B$2:$B$305,0))</f>
        <v>ISO/TC 211</v>
      </c>
      <c r="K739" t="str">
        <f>INDEX('GIS-Standards'!$O$2:$O$305,MATCH(C739,'GIS-Standards'!$B$2:$B$305,0))</f>
        <v>ISO/TC 211</v>
      </c>
      <c r="M739" t="s">
        <v>525</v>
      </c>
      <c r="N739">
        <f>INDEX('GIS-Standards'!$I$2:$I$305,MATCH(B739,'GIS-Standards'!$B$2:$B$305,0))</f>
        <v>0</v>
      </c>
      <c r="O739" t="str">
        <f>INDEX('GIS-Standards'!$I$2:$I$305,MATCH(C739,'GIS-Standards'!$B$2:$B$305,0))</f>
        <v>12.2020</v>
      </c>
      <c r="P739" t="b">
        <f>AND(TableRelationships12[[#This Row],[Source Type]]="BIM",TableRelationships12[[#This Row],[Target Type]]="BIM")</f>
        <v>0</v>
      </c>
      <c r="Q739">
        <f t="shared" si="33"/>
        <v>1</v>
      </c>
      <c r="S739">
        <f t="shared" si="34"/>
        <v>1</v>
      </c>
      <c r="T739" s="102" t="str">
        <f>IF(TableRelationships12[[#This Row],[Rank Pedro]]="Low","linkCategory1",IF(TableRelationships12[[#This Row],[Rank Pedro]]="Medium","linkCategory2",IF(TableRelationships12[[#This Row],[Rank Pedro]]="High","linkCategory3","")))</f>
        <v/>
      </c>
      <c r="U739" s="102" t="str">
        <f>IF(TableRelationships12[[#This Row],[Rank Pedro]]="Low","Pink",IF(TableRelationships12[[#This Row],[Rank Pedro]]="Medium","Purple",IF(TableRelationships12[[#This Row],[Rank Pedro]]="High","Brown","")))</f>
        <v/>
      </c>
      <c r="V739" s="4">
        <f>MAX(INDEX(Standards!$F$2:$F$296,MATCH(B739,Standards!$B$2:$B$296,0)),INDEX(Standards!$F$2:$F$296,MATCH(C739,Standards!$B$2:$B$296,0)))</f>
        <v>38565</v>
      </c>
      <c r="W739" t="str">
        <f t="shared" si="35"/>
        <v>#2f89d1</v>
      </c>
    </row>
    <row r="740" spans="1:23" x14ac:dyDescent="0.5">
      <c r="A740" s="54">
        <v>739</v>
      </c>
      <c r="B740" s="90" t="s">
        <v>320</v>
      </c>
      <c r="C740" t="s">
        <v>1037</v>
      </c>
      <c r="D740" s="1"/>
      <c r="E740" s="112">
        <v>2009.09</v>
      </c>
      <c r="F740" s="112">
        <v>2012.08</v>
      </c>
      <c r="G740" s="107" t="s">
        <v>670</v>
      </c>
      <c r="H740">
        <f>INDEX('GIS-Standards'!$A$2:$A$305,MATCH(B740,'GIS-Standards'!$B$2:$B$305,0))</f>
        <v>29</v>
      </c>
      <c r="I740">
        <f>INDEX('GIS-Standards'!$A$2:$A$305,MATCH(C740,'GIS-Standards'!$B$2:$B$305,0))</f>
        <v>48</v>
      </c>
      <c r="J740" t="str">
        <f>INDEX('GIS-Standards'!$O$2:$O$305,MATCH(B740,'GIS-Standards'!$B$2:$B$305,0))</f>
        <v>ISO/TC 211</v>
      </c>
      <c r="K740" t="str">
        <f>INDEX('GIS-Standards'!$O$2:$O$305,MATCH(C740,'GIS-Standards'!$B$2:$B$305,0))</f>
        <v>ISO/TC 211</v>
      </c>
      <c r="M740" t="s">
        <v>525</v>
      </c>
      <c r="N740">
        <f>INDEX('GIS-Standards'!$I$2:$I$305,MATCH(B740,'GIS-Standards'!$B$2:$B$305,0))</f>
        <v>0</v>
      </c>
      <c r="O740" t="str">
        <f>INDEX('GIS-Standards'!$I$2:$I$305,MATCH(C740,'GIS-Standards'!$B$2:$B$305,0))</f>
        <v>08.2012</v>
      </c>
      <c r="P740" t="b">
        <f>AND(TableRelationships12[[#This Row],[Source Type]]="BIM",TableRelationships12[[#This Row],[Target Type]]="BIM")</f>
        <v>0</v>
      </c>
      <c r="Q740">
        <f t="shared" si="33"/>
        <v>1</v>
      </c>
      <c r="S740">
        <f t="shared" si="34"/>
        <v>1</v>
      </c>
      <c r="T740" s="102" t="str">
        <f>IF(TableRelationships12[[#This Row],[Rank Pedro]]="Low","linkCategory1",IF(TableRelationships12[[#This Row],[Rank Pedro]]="Medium","linkCategory2",IF(TableRelationships12[[#This Row],[Rank Pedro]]="High","linkCategory3","")))</f>
        <v/>
      </c>
      <c r="U740" s="102" t="str">
        <f>IF(TableRelationships12[[#This Row],[Rank Pedro]]="Low","Pink",IF(TableRelationships12[[#This Row],[Rank Pedro]]="Medium","Purple",IF(TableRelationships12[[#This Row],[Rank Pedro]]="High","Brown","")))</f>
        <v/>
      </c>
      <c r="V740" s="4" t="e">
        <f>MAX(INDEX(Standards!$F$2:$F$296,MATCH(B740,Standards!$B$2:$B$296,0)),INDEX(Standards!$F$2:$F$296,MATCH(C740,Standards!$B$2:$B$296,0)))</f>
        <v>#N/A</v>
      </c>
      <c r="W740" t="str">
        <f t="shared" si="35"/>
        <v>#2f89d1</v>
      </c>
    </row>
    <row r="741" spans="1:23" x14ac:dyDescent="0.5">
      <c r="A741" s="54">
        <v>740</v>
      </c>
      <c r="B741" s="90" t="s">
        <v>320</v>
      </c>
      <c r="C741" t="s">
        <v>1038</v>
      </c>
      <c r="D741" s="1"/>
      <c r="E741" s="112">
        <v>2012.07</v>
      </c>
      <c r="F741" s="112">
        <v>2023.12</v>
      </c>
      <c r="G741" s="107" t="s">
        <v>670</v>
      </c>
      <c r="H741">
        <f>INDEX('GIS-Standards'!$A$2:$A$305,MATCH(B741,'GIS-Standards'!$B$2:$B$305,0))</f>
        <v>29</v>
      </c>
      <c r="I741">
        <f>INDEX('GIS-Standards'!$A$2:$A$305,MATCH(C741,'GIS-Standards'!$B$2:$B$305,0))</f>
        <v>49</v>
      </c>
      <c r="J741" t="str">
        <f>INDEX('GIS-Standards'!$O$2:$O$305,MATCH(B741,'GIS-Standards'!$B$2:$B$305,0))</f>
        <v>ISO/TC 211</v>
      </c>
      <c r="K741" t="str">
        <f>INDEX('GIS-Standards'!$O$2:$O$305,MATCH(C741,'GIS-Standards'!$B$2:$B$305,0))</f>
        <v>ISO/TC 211</v>
      </c>
      <c r="M741" t="s">
        <v>525</v>
      </c>
      <c r="N741">
        <f>INDEX('GIS-Standards'!$I$2:$I$305,MATCH(B741,'GIS-Standards'!$B$2:$B$305,0))</f>
        <v>0</v>
      </c>
      <c r="O741">
        <f>INDEX('GIS-Standards'!$I$2:$I$305,MATCH(C741,'GIS-Standards'!$B$2:$B$305,0))</f>
        <v>0</v>
      </c>
      <c r="P741" t="b">
        <f>AND(TableRelationships12[[#This Row],[Source Type]]="BIM",TableRelationships12[[#This Row],[Target Type]]="BIM")</f>
        <v>0</v>
      </c>
      <c r="Q741">
        <f t="shared" si="33"/>
        <v>1</v>
      </c>
      <c r="S741">
        <f t="shared" si="34"/>
        <v>1</v>
      </c>
      <c r="T741" s="102" t="str">
        <f>IF(TableRelationships12[[#This Row],[Rank Pedro]]="Low","linkCategory1",IF(TableRelationships12[[#This Row],[Rank Pedro]]="Medium","linkCategory2",IF(TableRelationships12[[#This Row],[Rank Pedro]]="High","linkCategory3","")))</f>
        <v/>
      </c>
      <c r="U741" s="102" t="str">
        <f>IF(TableRelationships12[[#This Row],[Rank Pedro]]="Low","Pink",IF(TableRelationships12[[#This Row],[Rank Pedro]]="Medium","Purple",IF(TableRelationships12[[#This Row],[Rank Pedro]]="High","Brown","")))</f>
        <v/>
      </c>
      <c r="V741" s="4" t="e">
        <f>MAX(INDEX(Standards!$F$2:$F$296,MATCH(B741,Standards!$B$2:$B$296,0)),INDEX(Standards!$F$2:$F$296,MATCH(C741,Standards!$B$2:$B$296,0)))</f>
        <v>#N/A</v>
      </c>
      <c r="W741" t="str">
        <f t="shared" si="35"/>
        <v>#2f89d1</v>
      </c>
    </row>
    <row r="742" spans="1:23" x14ac:dyDescent="0.5">
      <c r="A742" s="54">
        <v>741</v>
      </c>
      <c r="B742" s="90" t="s">
        <v>320</v>
      </c>
      <c r="C742" t="s">
        <v>293</v>
      </c>
      <c r="D742" s="1"/>
      <c r="E742" s="112">
        <v>2002.07</v>
      </c>
      <c r="F742" s="112">
        <v>2014.11</v>
      </c>
      <c r="G742" s="107" t="s">
        <v>670</v>
      </c>
      <c r="H742">
        <f>INDEX('GIS-Standards'!$A$2:$A$305,MATCH(B742,'GIS-Standards'!$B$2:$B$305,0))</f>
        <v>29</v>
      </c>
      <c r="I742">
        <f>INDEX('GIS-Standards'!$A$2:$A$305,MATCH(C742,'GIS-Standards'!$B$2:$B$305,0))</f>
        <v>10</v>
      </c>
      <c r="J742" t="str">
        <f>INDEX('GIS-Standards'!$O$2:$O$305,MATCH(B742,'GIS-Standards'!$B$2:$B$305,0))</f>
        <v>ISO/TC 211</v>
      </c>
      <c r="K742" t="str">
        <f>INDEX('GIS-Standards'!$O$2:$O$305,MATCH(C742,'GIS-Standards'!$B$2:$B$305,0))</f>
        <v>ISO/TC 211</v>
      </c>
      <c r="M742" t="s">
        <v>525</v>
      </c>
      <c r="N742">
        <f>INDEX('GIS-Standards'!$I$2:$I$305,MATCH(B742,'GIS-Standards'!$B$2:$B$305,0))</f>
        <v>0</v>
      </c>
      <c r="O742">
        <f>INDEX('GIS-Standards'!$I$2:$I$305,MATCH(C742,'GIS-Standards'!$B$2:$B$305,0))</f>
        <v>0</v>
      </c>
      <c r="P742" t="b">
        <f>AND(TableRelationships12[[#This Row],[Source Type]]="BIM",TableRelationships12[[#This Row],[Target Type]]="BIM")</f>
        <v>0</v>
      </c>
      <c r="Q742">
        <f t="shared" si="33"/>
        <v>1</v>
      </c>
      <c r="S742">
        <f t="shared" si="34"/>
        <v>1</v>
      </c>
      <c r="T742" s="102" t="str">
        <f>IF(TableRelationships12[[#This Row],[Rank Pedro]]="Low","linkCategory1",IF(TableRelationships12[[#This Row],[Rank Pedro]]="Medium","linkCategory2",IF(TableRelationships12[[#This Row],[Rank Pedro]]="High","linkCategory3","")))</f>
        <v/>
      </c>
      <c r="U742" s="102" t="str">
        <f>IF(TableRelationships12[[#This Row],[Rank Pedro]]="Low","Pink",IF(TableRelationships12[[#This Row],[Rank Pedro]]="Medium","Purple",IF(TableRelationships12[[#This Row],[Rank Pedro]]="High","Brown","")))</f>
        <v/>
      </c>
      <c r="V742" s="4">
        <f>MAX(INDEX(Standards!$F$2:$F$296,MATCH(B742,Standards!$B$2:$B$296,0)),INDEX(Standards!$F$2:$F$296,MATCH(C742,Standards!$B$2:$B$296,0)))</f>
        <v>38565</v>
      </c>
      <c r="W742" t="str">
        <f t="shared" si="35"/>
        <v>#2f89d1</v>
      </c>
    </row>
    <row r="743" spans="1:23" x14ac:dyDescent="0.5">
      <c r="A743" s="54">
        <v>742</v>
      </c>
      <c r="B743" s="90" t="s">
        <v>320</v>
      </c>
      <c r="C743" t="s">
        <v>632</v>
      </c>
      <c r="D743" s="1"/>
      <c r="E743" s="112">
        <v>2018.1</v>
      </c>
      <c r="F743" s="112">
        <v>2018.1</v>
      </c>
      <c r="G743" s="107" t="s">
        <v>670</v>
      </c>
      <c r="H743">
        <f>INDEX('GIS-Standards'!$A$2:$A$305,MATCH(B743,'GIS-Standards'!$B$2:$B$305,0))</f>
        <v>29</v>
      </c>
      <c r="I743">
        <f>INDEX('GIS-Standards'!$A$2:$A$305,MATCH(C743,'GIS-Standards'!$B$2:$B$305,0))</f>
        <v>30</v>
      </c>
      <c r="J743" t="str">
        <f>INDEX('GIS-Standards'!$O$2:$O$305,MATCH(B743,'GIS-Standards'!$B$2:$B$305,0))</f>
        <v>ISO/TC 211</v>
      </c>
      <c r="K743" t="str">
        <f>INDEX('GIS-Standards'!$O$2:$O$305,MATCH(C743,'GIS-Standards'!$B$2:$B$305,0))</f>
        <v>ISO/TC 211</v>
      </c>
      <c r="M743" t="s">
        <v>525</v>
      </c>
      <c r="N743">
        <f>INDEX('GIS-Standards'!$I$2:$I$305,MATCH(B743,'GIS-Standards'!$B$2:$B$305,0))</f>
        <v>0</v>
      </c>
      <c r="O743">
        <f>INDEX('GIS-Standards'!$I$2:$I$305,MATCH(C743,'GIS-Standards'!$B$2:$B$305,0))</f>
        <v>0</v>
      </c>
      <c r="P743" t="b">
        <f>AND(TableRelationships12[[#This Row],[Source Type]]="BIM",TableRelationships12[[#This Row],[Target Type]]="BIM")</f>
        <v>0</v>
      </c>
      <c r="Q743">
        <f t="shared" si="33"/>
        <v>1</v>
      </c>
      <c r="S743">
        <f t="shared" si="34"/>
        <v>1</v>
      </c>
      <c r="T743" s="102" t="str">
        <f>IF(TableRelationships12[[#This Row],[Rank Pedro]]="Low","linkCategory1",IF(TableRelationships12[[#This Row],[Rank Pedro]]="Medium","linkCategory2",IF(TableRelationships12[[#This Row],[Rank Pedro]]="High","linkCategory3","")))</f>
        <v/>
      </c>
      <c r="U743" s="102" t="str">
        <f>IF(TableRelationships12[[#This Row],[Rank Pedro]]="Low","Pink",IF(TableRelationships12[[#This Row],[Rank Pedro]]="Medium","Purple",IF(TableRelationships12[[#This Row],[Rank Pedro]]="High","Brown","")))</f>
        <v/>
      </c>
      <c r="V743" s="4" t="e">
        <f>MAX(INDEX(Standards!$F$2:$F$296,MATCH(B743,Standards!$B$2:$B$296,0)),INDEX(Standards!$F$2:$F$296,MATCH(C743,Standards!$B$2:$B$296,0)))</f>
        <v>#N/A</v>
      </c>
      <c r="W743" t="str">
        <f t="shared" si="35"/>
        <v>#2f89d1</v>
      </c>
    </row>
    <row r="744" spans="1:23" x14ac:dyDescent="0.5">
      <c r="A744" s="54">
        <v>743</v>
      </c>
      <c r="B744" s="90" t="s">
        <v>320</v>
      </c>
      <c r="C744" t="s">
        <v>1121</v>
      </c>
      <c r="D744" s="1"/>
      <c r="E744" s="112">
        <v>2005.01</v>
      </c>
      <c r="G744" s="107"/>
      <c r="H744">
        <f>INDEX('GIS-Standards'!$A$2:$A$305,MATCH(B744,'GIS-Standards'!$B$2:$B$305,0))</f>
        <v>29</v>
      </c>
      <c r="I744" t="e">
        <f>INDEX('GIS-Standards'!$A$2:$A$305,MATCH(C744,'GIS-Standards'!$B$2:$B$305,0))</f>
        <v>#N/A</v>
      </c>
      <c r="J744" t="str">
        <f>INDEX('GIS-Standards'!$O$2:$O$305,MATCH(B744,'GIS-Standards'!$B$2:$B$305,0))</f>
        <v>ISO/TC 211</v>
      </c>
      <c r="K744" t="e">
        <f>INDEX('GIS-Standards'!$O$2:$O$305,MATCH(C744,'GIS-Standards'!$B$2:$B$305,0))</f>
        <v>#N/A</v>
      </c>
      <c r="M744" t="s">
        <v>525</v>
      </c>
      <c r="N744">
        <f>INDEX('GIS-Standards'!$I$2:$I$305,MATCH(B744,'GIS-Standards'!$B$2:$B$305,0))</f>
        <v>0</v>
      </c>
      <c r="O744" t="e">
        <f>INDEX('GIS-Standards'!$I$2:$I$305,MATCH(C744,'GIS-Standards'!$B$2:$B$305,0))</f>
        <v>#N/A</v>
      </c>
      <c r="P744" t="e">
        <f>AND(TableRelationships12[[#This Row],[Source Type]]="BIM",TableRelationships12[[#This Row],[Target Type]]="BIM")</f>
        <v>#N/A</v>
      </c>
      <c r="Q744">
        <f t="shared" si="33"/>
        <v>1</v>
      </c>
      <c r="S744">
        <f t="shared" si="34"/>
        <v>1</v>
      </c>
      <c r="T744" s="102" t="str">
        <f>IF(TableRelationships12[[#This Row],[Rank Pedro]]="Low","linkCategory1",IF(TableRelationships12[[#This Row],[Rank Pedro]]="Medium","linkCategory2",IF(TableRelationships12[[#This Row],[Rank Pedro]]="High","linkCategory3","")))</f>
        <v/>
      </c>
      <c r="U744" s="102" t="str">
        <f>IF(TableRelationships12[[#This Row],[Rank Pedro]]="Low","Pink",IF(TableRelationships12[[#This Row],[Rank Pedro]]="Medium","Purple",IF(TableRelationships12[[#This Row],[Rank Pedro]]="High","Brown","")))</f>
        <v/>
      </c>
      <c r="V744" s="4" t="e">
        <f>MAX(INDEX(Standards!$F$2:$F$296,MATCH(B744,Standards!$B$2:$B$296,0)),INDEX(Standards!$F$2:$F$296,MATCH(C744,Standards!$B$2:$B$296,0)))</f>
        <v>#N/A</v>
      </c>
      <c r="W744" t="str">
        <f t="shared" si="35"/>
        <v>#2f89d1</v>
      </c>
    </row>
    <row r="745" spans="1:23" x14ac:dyDescent="0.5">
      <c r="A745" s="54">
        <v>744</v>
      </c>
      <c r="B745" s="90" t="s">
        <v>320</v>
      </c>
      <c r="C745" t="s">
        <v>1161</v>
      </c>
      <c r="D745" s="1"/>
      <c r="G745" s="107"/>
      <c r="H745">
        <f>INDEX('GIS-Standards'!$A$2:$A$305,MATCH(B745,'GIS-Standards'!$B$2:$B$305,0))</f>
        <v>29</v>
      </c>
      <c r="I745" t="e">
        <f>INDEX('GIS-Standards'!$A$2:$A$305,MATCH(C745,'GIS-Standards'!$B$2:$B$305,0))</f>
        <v>#N/A</v>
      </c>
      <c r="J745" t="str">
        <f>INDEX('GIS-Standards'!$O$2:$O$305,MATCH(B745,'GIS-Standards'!$B$2:$B$305,0))</f>
        <v>ISO/TC 211</v>
      </c>
      <c r="K745" t="e">
        <f>INDEX('GIS-Standards'!$O$2:$O$305,MATCH(C745,'GIS-Standards'!$B$2:$B$305,0))</f>
        <v>#N/A</v>
      </c>
      <c r="M745" t="s">
        <v>525</v>
      </c>
      <c r="N745">
        <f>INDEX('GIS-Standards'!$I$2:$I$305,MATCH(B745,'GIS-Standards'!$B$2:$B$305,0))</f>
        <v>0</v>
      </c>
      <c r="O745" t="e">
        <f>INDEX('GIS-Standards'!$I$2:$I$305,MATCH(C745,'GIS-Standards'!$B$2:$B$305,0))</f>
        <v>#N/A</v>
      </c>
      <c r="P745" t="e">
        <f>AND(TableRelationships12[[#This Row],[Source Type]]="BIM",TableRelationships12[[#This Row],[Target Type]]="BIM")</f>
        <v>#N/A</v>
      </c>
      <c r="Q745">
        <f t="shared" si="33"/>
        <v>1</v>
      </c>
      <c r="S745">
        <f t="shared" si="34"/>
        <v>1</v>
      </c>
      <c r="T745" s="102" t="str">
        <f>IF(TableRelationships12[[#This Row],[Rank Pedro]]="Low","linkCategory1",IF(TableRelationships12[[#This Row],[Rank Pedro]]="Medium","linkCategory2",IF(TableRelationships12[[#This Row],[Rank Pedro]]="High","linkCategory3","")))</f>
        <v/>
      </c>
      <c r="U745" s="102" t="str">
        <f>IF(TableRelationships12[[#This Row],[Rank Pedro]]="Low","Pink",IF(TableRelationships12[[#This Row],[Rank Pedro]]="Medium","Purple",IF(TableRelationships12[[#This Row],[Rank Pedro]]="High","Brown","")))</f>
        <v/>
      </c>
      <c r="V745" s="4" t="e">
        <f>MAX(INDEX(Standards!$F$2:$F$296,MATCH(B745,Standards!$B$2:$B$296,0)),INDEX(Standards!$F$2:$F$296,MATCH(C745,Standards!$B$2:$B$296,0)))</f>
        <v>#N/A</v>
      </c>
      <c r="W745" t="str">
        <f t="shared" si="35"/>
        <v>#2f89d1</v>
      </c>
    </row>
    <row r="746" spans="1:23" x14ac:dyDescent="0.5">
      <c r="A746" s="54">
        <v>745</v>
      </c>
      <c r="B746" s="90" t="s">
        <v>320</v>
      </c>
      <c r="C746" t="s">
        <v>1162</v>
      </c>
      <c r="D746" s="1"/>
      <c r="G746" s="107"/>
      <c r="H746">
        <f>INDEX('GIS-Standards'!$A$2:$A$305,MATCH(B746,'GIS-Standards'!$B$2:$B$305,0))</f>
        <v>29</v>
      </c>
      <c r="I746" t="e">
        <f>INDEX('GIS-Standards'!$A$2:$A$305,MATCH(C746,'GIS-Standards'!$B$2:$B$305,0))</f>
        <v>#N/A</v>
      </c>
      <c r="J746" t="str">
        <f>INDEX('GIS-Standards'!$O$2:$O$305,MATCH(B746,'GIS-Standards'!$B$2:$B$305,0))</f>
        <v>ISO/TC 211</v>
      </c>
      <c r="K746" t="e">
        <f>INDEX('GIS-Standards'!$O$2:$O$305,MATCH(C746,'GIS-Standards'!$B$2:$B$305,0))</f>
        <v>#N/A</v>
      </c>
      <c r="M746" t="s">
        <v>525</v>
      </c>
      <c r="N746">
        <f>INDEX('GIS-Standards'!$I$2:$I$305,MATCH(B746,'GIS-Standards'!$B$2:$B$305,0))</f>
        <v>0</v>
      </c>
      <c r="O746" t="e">
        <f>INDEX('GIS-Standards'!$I$2:$I$305,MATCH(C746,'GIS-Standards'!$B$2:$B$305,0))</f>
        <v>#N/A</v>
      </c>
      <c r="P746" t="e">
        <f>AND(TableRelationships12[[#This Row],[Source Type]]="BIM",TableRelationships12[[#This Row],[Target Type]]="BIM")</f>
        <v>#N/A</v>
      </c>
      <c r="Q746">
        <f t="shared" si="33"/>
        <v>1</v>
      </c>
      <c r="S746">
        <f t="shared" si="34"/>
        <v>1</v>
      </c>
      <c r="T746" s="102" t="str">
        <f>IF(TableRelationships12[[#This Row],[Rank Pedro]]="Low","linkCategory1",IF(TableRelationships12[[#This Row],[Rank Pedro]]="Medium","linkCategory2",IF(TableRelationships12[[#This Row],[Rank Pedro]]="High","linkCategory3","")))</f>
        <v/>
      </c>
      <c r="U746" s="102" t="str">
        <f>IF(TableRelationships12[[#This Row],[Rank Pedro]]="Low","Pink",IF(TableRelationships12[[#This Row],[Rank Pedro]]="Medium","Purple",IF(TableRelationships12[[#This Row],[Rank Pedro]]="High","Brown","")))</f>
        <v/>
      </c>
      <c r="V746" s="4" t="e">
        <f>MAX(INDEX(Standards!$F$2:$F$296,MATCH(B746,Standards!$B$2:$B$296,0)),INDEX(Standards!$F$2:$F$296,MATCH(C746,Standards!$B$2:$B$296,0)))</f>
        <v>#N/A</v>
      </c>
      <c r="W746" t="str">
        <f t="shared" si="35"/>
        <v>#2f89d1</v>
      </c>
    </row>
    <row r="747" spans="1:23" x14ac:dyDescent="0.5">
      <c r="A747" s="54">
        <v>746</v>
      </c>
      <c r="B747" s="90" t="s">
        <v>320</v>
      </c>
      <c r="C747" t="s">
        <v>1163</v>
      </c>
      <c r="D747" s="1"/>
      <c r="G747" s="107"/>
      <c r="H747">
        <f>INDEX('GIS-Standards'!$A$2:$A$305,MATCH(B747,'GIS-Standards'!$B$2:$B$305,0))</f>
        <v>29</v>
      </c>
      <c r="I747" t="e">
        <f>INDEX('GIS-Standards'!$A$2:$A$305,MATCH(C747,'GIS-Standards'!$B$2:$B$305,0))</f>
        <v>#N/A</v>
      </c>
      <c r="J747" t="str">
        <f>INDEX('GIS-Standards'!$O$2:$O$305,MATCH(B747,'GIS-Standards'!$B$2:$B$305,0))</f>
        <v>ISO/TC 211</v>
      </c>
      <c r="K747" t="e">
        <f>INDEX('GIS-Standards'!$O$2:$O$305,MATCH(C747,'GIS-Standards'!$B$2:$B$305,0))</f>
        <v>#N/A</v>
      </c>
      <c r="M747" t="s">
        <v>525</v>
      </c>
      <c r="N747">
        <f>INDEX('GIS-Standards'!$I$2:$I$305,MATCH(B747,'GIS-Standards'!$B$2:$B$305,0))</f>
        <v>0</v>
      </c>
      <c r="O747" t="e">
        <f>INDEX('GIS-Standards'!$I$2:$I$305,MATCH(C747,'GIS-Standards'!$B$2:$B$305,0))</f>
        <v>#N/A</v>
      </c>
      <c r="P747" t="e">
        <f>AND(TableRelationships12[[#This Row],[Source Type]]="BIM",TableRelationships12[[#This Row],[Target Type]]="BIM")</f>
        <v>#N/A</v>
      </c>
      <c r="Q747">
        <f t="shared" si="33"/>
        <v>1</v>
      </c>
      <c r="S747">
        <f t="shared" si="34"/>
        <v>1</v>
      </c>
      <c r="T747" s="102" t="str">
        <f>IF(TableRelationships12[[#This Row],[Rank Pedro]]="Low","linkCategory1",IF(TableRelationships12[[#This Row],[Rank Pedro]]="Medium","linkCategory2",IF(TableRelationships12[[#This Row],[Rank Pedro]]="High","linkCategory3","")))</f>
        <v/>
      </c>
      <c r="U747" s="102" t="str">
        <f>IF(TableRelationships12[[#This Row],[Rank Pedro]]="Low","Pink",IF(TableRelationships12[[#This Row],[Rank Pedro]]="Medium","Purple",IF(TableRelationships12[[#This Row],[Rank Pedro]]="High","Brown","")))</f>
        <v/>
      </c>
      <c r="V747" s="4" t="e">
        <f>MAX(INDEX(Standards!$F$2:$F$296,MATCH(B747,Standards!$B$2:$B$296,0)),INDEX(Standards!$F$2:$F$296,MATCH(C747,Standards!$B$2:$B$296,0)))</f>
        <v>#N/A</v>
      </c>
      <c r="W747" t="str">
        <f t="shared" si="35"/>
        <v>#2f89d1</v>
      </c>
    </row>
    <row r="748" spans="1:23" x14ac:dyDescent="0.5">
      <c r="A748" s="54">
        <v>747</v>
      </c>
      <c r="B748" s="90" t="s">
        <v>320</v>
      </c>
      <c r="C748" t="s">
        <v>1539</v>
      </c>
      <c r="D748" s="1"/>
      <c r="G748" s="107"/>
      <c r="H748">
        <f>INDEX('GIS-Standards'!$A$2:$A$305,MATCH(B748,'GIS-Standards'!$B$2:$B$305,0))</f>
        <v>29</v>
      </c>
      <c r="I748" t="e">
        <f>INDEX('GIS-Standards'!$A$2:$A$305,MATCH(C748,'GIS-Standards'!$B$2:$B$305,0))</f>
        <v>#N/A</v>
      </c>
      <c r="J748" t="str">
        <f>INDEX('GIS-Standards'!$O$2:$O$305,MATCH(B748,'GIS-Standards'!$B$2:$B$305,0))</f>
        <v>ISO/TC 211</v>
      </c>
      <c r="K748" t="e">
        <f>INDEX('GIS-Standards'!$O$2:$O$305,MATCH(C748,'GIS-Standards'!$B$2:$B$305,0))</f>
        <v>#N/A</v>
      </c>
      <c r="M748" t="s">
        <v>525</v>
      </c>
      <c r="N748">
        <f>INDEX('GIS-Standards'!$I$2:$I$305,MATCH(B748,'GIS-Standards'!$B$2:$B$305,0))</f>
        <v>0</v>
      </c>
      <c r="O748" t="e">
        <f>INDEX('GIS-Standards'!$I$2:$I$305,MATCH(C748,'GIS-Standards'!$B$2:$B$305,0))</f>
        <v>#N/A</v>
      </c>
      <c r="P748" t="e">
        <f>AND(TableRelationships12[[#This Row],[Source Type]]="BIM",TableRelationships12[[#This Row],[Target Type]]="BIM")</f>
        <v>#N/A</v>
      </c>
      <c r="Q748">
        <f t="shared" si="33"/>
        <v>1</v>
      </c>
      <c r="S748">
        <f t="shared" si="34"/>
        <v>1</v>
      </c>
      <c r="T748" s="102" t="str">
        <f>IF(TableRelationships12[[#This Row],[Rank Pedro]]="Low","linkCategory1",IF(TableRelationships12[[#This Row],[Rank Pedro]]="Medium","linkCategory2",IF(TableRelationships12[[#This Row],[Rank Pedro]]="High","linkCategory3","")))</f>
        <v/>
      </c>
      <c r="U748" s="102" t="str">
        <f>IF(TableRelationships12[[#This Row],[Rank Pedro]]="Low","Pink",IF(TableRelationships12[[#This Row],[Rank Pedro]]="Medium","Purple",IF(TableRelationships12[[#This Row],[Rank Pedro]]="High","Brown","")))</f>
        <v/>
      </c>
      <c r="V748" s="4" t="e">
        <f>MAX(INDEX(Standards!$F$2:$F$296,MATCH(B748,Standards!$B$2:$B$296,0)),INDEX(Standards!$F$2:$F$296,MATCH(C748,Standards!$B$2:$B$296,0)))</f>
        <v>#N/A</v>
      </c>
      <c r="W748" t="str">
        <f t="shared" si="35"/>
        <v>#2f89d1</v>
      </c>
    </row>
    <row r="749" spans="1:23" x14ac:dyDescent="0.5">
      <c r="A749" s="54">
        <v>748</v>
      </c>
      <c r="B749" s="90" t="s">
        <v>320</v>
      </c>
      <c r="C749" t="s">
        <v>1538</v>
      </c>
      <c r="D749" s="1"/>
      <c r="G749" s="107"/>
      <c r="H749">
        <f>INDEX('GIS-Standards'!$A$2:$A$305,MATCH(B749,'GIS-Standards'!$B$2:$B$305,0))</f>
        <v>29</v>
      </c>
      <c r="I749" t="e">
        <f>INDEX('GIS-Standards'!$A$2:$A$305,MATCH(C749,'GIS-Standards'!$B$2:$B$305,0))</f>
        <v>#N/A</v>
      </c>
      <c r="J749" t="str">
        <f>INDEX('GIS-Standards'!$O$2:$O$305,MATCH(B749,'GIS-Standards'!$B$2:$B$305,0))</f>
        <v>ISO/TC 211</v>
      </c>
      <c r="K749" t="e">
        <f>INDEX('GIS-Standards'!$O$2:$O$305,MATCH(C749,'GIS-Standards'!$B$2:$B$305,0))</f>
        <v>#N/A</v>
      </c>
      <c r="M749" t="s">
        <v>525</v>
      </c>
      <c r="N749">
        <f>INDEX('GIS-Standards'!$I$2:$I$305,MATCH(B749,'GIS-Standards'!$B$2:$B$305,0))</f>
        <v>0</v>
      </c>
      <c r="O749" t="e">
        <f>INDEX('GIS-Standards'!$I$2:$I$305,MATCH(C749,'GIS-Standards'!$B$2:$B$305,0))</f>
        <v>#N/A</v>
      </c>
      <c r="P749" t="e">
        <f>AND(TableRelationships12[[#This Row],[Source Type]]="BIM",TableRelationships12[[#This Row],[Target Type]]="BIM")</f>
        <v>#N/A</v>
      </c>
      <c r="Q749">
        <f t="shared" si="33"/>
        <v>1</v>
      </c>
      <c r="S749">
        <f t="shared" si="34"/>
        <v>1</v>
      </c>
      <c r="T749" s="102" t="str">
        <f>IF(TableRelationships12[[#This Row],[Rank Pedro]]="Low","linkCategory1",IF(TableRelationships12[[#This Row],[Rank Pedro]]="Medium","linkCategory2",IF(TableRelationships12[[#This Row],[Rank Pedro]]="High","linkCategory3","")))</f>
        <v/>
      </c>
      <c r="U749" s="102" t="str">
        <f>IF(TableRelationships12[[#This Row],[Rank Pedro]]="Low","Pink",IF(TableRelationships12[[#This Row],[Rank Pedro]]="Medium","Purple",IF(TableRelationships12[[#This Row],[Rank Pedro]]="High","Brown","")))</f>
        <v/>
      </c>
      <c r="V749" s="4" t="e">
        <f>MAX(INDEX(Standards!$F$2:$F$296,MATCH(B749,Standards!$B$2:$B$296,0)),INDEX(Standards!$F$2:$F$296,MATCH(C749,Standards!$B$2:$B$296,0)))</f>
        <v>#N/A</v>
      </c>
      <c r="W749" t="str">
        <f t="shared" si="35"/>
        <v>#2f89d1</v>
      </c>
    </row>
    <row r="750" spans="1:23" x14ac:dyDescent="0.5">
      <c r="A750" s="54">
        <v>749</v>
      </c>
      <c r="B750" s="90" t="s">
        <v>320</v>
      </c>
      <c r="C750" t="s">
        <v>631</v>
      </c>
      <c r="D750" s="1" t="s">
        <v>1135</v>
      </c>
      <c r="E750" s="112">
        <v>2008.06</v>
      </c>
      <c r="F750" s="112">
        <v>2018.05</v>
      </c>
      <c r="G750" s="107" t="s">
        <v>670</v>
      </c>
      <c r="H750">
        <f>INDEX('GIS-Standards'!$A$2:$A$305,MATCH(B750,'GIS-Standards'!$B$2:$B$305,0))</f>
        <v>29</v>
      </c>
      <c r="I750">
        <f>INDEX('GIS-Standards'!$A$2:$A$305,MATCH(C750,'GIS-Standards'!$B$2:$B$305,0))</f>
        <v>11</v>
      </c>
      <c r="J750" t="str">
        <f>INDEX('GIS-Standards'!$O$2:$O$305,MATCH(B750,'GIS-Standards'!$B$2:$B$305,0))</f>
        <v>ISO/TC 211</v>
      </c>
      <c r="K750" t="str">
        <f>INDEX('GIS-Standards'!$O$2:$O$305,MATCH(C750,'GIS-Standards'!$B$2:$B$305,0))</f>
        <v>ISO/TC 211</v>
      </c>
      <c r="M750" t="s">
        <v>525</v>
      </c>
      <c r="N750">
        <f>INDEX('GIS-Standards'!$I$2:$I$305,MATCH(B750,'GIS-Standards'!$B$2:$B$305,0))</f>
        <v>0</v>
      </c>
      <c r="O750">
        <f>INDEX('GIS-Standards'!$I$2:$I$305,MATCH(C750,'GIS-Standards'!$B$2:$B$305,0))</f>
        <v>0</v>
      </c>
      <c r="P750" t="b">
        <f>AND(TableRelationships12[[#This Row],[Source Type]]="BIM",TableRelationships12[[#This Row],[Target Type]]="BIM")</f>
        <v>0</v>
      </c>
      <c r="Q750">
        <f t="shared" si="33"/>
        <v>1</v>
      </c>
      <c r="S750">
        <f t="shared" si="34"/>
        <v>1</v>
      </c>
      <c r="T750" s="102" t="str">
        <f>IF(TableRelationships12[[#This Row],[Rank Pedro]]="Low","linkCategory1",IF(TableRelationships12[[#This Row],[Rank Pedro]]="Medium","linkCategory2",IF(TableRelationships12[[#This Row],[Rank Pedro]]="High","linkCategory3","")))</f>
        <v/>
      </c>
      <c r="U750" s="102" t="str">
        <f>IF(TableRelationships12[[#This Row],[Rank Pedro]]="Low","Pink",IF(TableRelationships12[[#This Row],[Rank Pedro]]="Medium","Purple",IF(TableRelationships12[[#This Row],[Rank Pedro]]="High","Brown","")))</f>
        <v/>
      </c>
      <c r="V750" s="4" t="e">
        <f>MAX(INDEX(Standards!$F$2:$F$296,MATCH(B750,Standards!$B$2:$B$296,0)),INDEX(Standards!$F$2:$F$296,MATCH(C750,Standards!$B$2:$B$296,0)))</f>
        <v>#N/A</v>
      </c>
      <c r="W750" t="str">
        <f t="shared" si="35"/>
        <v>#2f89d1</v>
      </c>
    </row>
    <row r="751" spans="1:23" x14ac:dyDescent="0.5">
      <c r="A751" s="54">
        <v>750</v>
      </c>
      <c r="B751" s="90" t="s">
        <v>320</v>
      </c>
      <c r="C751" t="s">
        <v>334</v>
      </c>
      <c r="D751" s="1"/>
      <c r="E751" s="113">
        <v>2007.09</v>
      </c>
      <c r="F751" s="113">
        <v>2020.01</v>
      </c>
      <c r="G751" s="107" t="s">
        <v>670</v>
      </c>
      <c r="H751">
        <f>INDEX('GIS-Standards'!$A$2:$A$305,MATCH(B751,'GIS-Standards'!$B$2:$B$305,0))</f>
        <v>29</v>
      </c>
      <c r="I751">
        <f>INDEX('GIS-Standards'!$A$2:$A$305,MATCH(C751,'GIS-Standards'!$B$2:$B$305,0))</f>
        <v>42</v>
      </c>
      <c r="J751" t="str">
        <f>INDEX('GIS-Standards'!$O$2:$O$305,MATCH(B751,'GIS-Standards'!$B$2:$B$305,0))</f>
        <v>ISO/TC 211</v>
      </c>
      <c r="K751" t="str">
        <f>INDEX('GIS-Standards'!$O$2:$O$305,MATCH(C751,'GIS-Standards'!$B$2:$B$305,0))</f>
        <v>ISO/TC 211</v>
      </c>
      <c r="M751" t="s">
        <v>525</v>
      </c>
      <c r="N751">
        <f>INDEX('GIS-Standards'!$I$2:$I$305,MATCH(B751,'GIS-Standards'!$B$2:$B$305,0))</f>
        <v>0</v>
      </c>
      <c r="O751">
        <f>INDEX('GIS-Standards'!$I$2:$I$305,MATCH(C751,'GIS-Standards'!$B$2:$B$305,0))</f>
        <v>0</v>
      </c>
      <c r="P751" t="b">
        <f>AND(TableRelationships12[[#This Row],[Source Type]]="BIM",TableRelationships12[[#This Row],[Target Type]]="BIM")</f>
        <v>0</v>
      </c>
      <c r="Q751">
        <f t="shared" si="33"/>
        <v>1</v>
      </c>
      <c r="S751">
        <f t="shared" si="34"/>
        <v>1</v>
      </c>
      <c r="T751" s="102" t="str">
        <f>IF(TableRelationships12[[#This Row],[Rank Pedro]]="Low","linkCategory1",IF(TableRelationships12[[#This Row],[Rank Pedro]]="Medium","linkCategory2",IF(TableRelationships12[[#This Row],[Rank Pedro]]="High","linkCategory3","")))</f>
        <v/>
      </c>
      <c r="U751" s="102" t="str">
        <f>IF(TableRelationships12[[#This Row],[Rank Pedro]]="Low","Pink",IF(TableRelationships12[[#This Row],[Rank Pedro]]="Medium","Purple",IF(TableRelationships12[[#This Row],[Rank Pedro]]="High","Brown","")))</f>
        <v/>
      </c>
      <c r="V751" s="4">
        <f>MAX(INDEX(Standards!$F$2:$F$296,MATCH(B751,Standards!$B$2:$B$296,0)),INDEX(Standards!$F$2:$F$296,MATCH(C751,Standards!$B$2:$B$296,0)))</f>
        <v>39326</v>
      </c>
      <c r="W751" t="str">
        <f t="shared" si="35"/>
        <v>#2f89d1</v>
      </c>
    </row>
    <row r="752" spans="1:23" x14ac:dyDescent="0.5">
      <c r="A752" s="54">
        <v>751</v>
      </c>
      <c r="B752" s="90" t="s">
        <v>320</v>
      </c>
      <c r="C752" t="s">
        <v>1049</v>
      </c>
      <c r="D752" s="1"/>
      <c r="E752" s="112">
        <v>2015.08</v>
      </c>
      <c r="F752" s="112">
        <v>2015.08</v>
      </c>
      <c r="G752" s="107" t="s">
        <v>670</v>
      </c>
      <c r="H752">
        <f>INDEX('GIS-Standards'!$A$2:$A$305,MATCH(B752,'GIS-Standards'!$B$2:$B$305,0))</f>
        <v>29</v>
      </c>
      <c r="I752">
        <f>INDEX('GIS-Standards'!$A$2:$A$305,MATCH(C752,'GIS-Standards'!$B$2:$B$305,0))</f>
        <v>43</v>
      </c>
      <c r="J752" t="str">
        <f>INDEX('GIS-Standards'!$O$2:$O$305,MATCH(B752,'GIS-Standards'!$B$2:$B$305,0))</f>
        <v>ISO/TC 211</v>
      </c>
      <c r="K752" t="str">
        <f>INDEX('GIS-Standards'!$O$2:$O$305,MATCH(C752,'GIS-Standards'!$B$2:$B$305,0))</f>
        <v>ISO/TC 211</v>
      </c>
      <c r="M752" t="s">
        <v>525</v>
      </c>
      <c r="N752">
        <f>INDEX('GIS-Standards'!$I$2:$I$305,MATCH(B752,'GIS-Standards'!$B$2:$B$305,0))</f>
        <v>0</v>
      </c>
      <c r="O752">
        <f>INDEX('GIS-Standards'!$I$2:$I$305,MATCH(C752,'GIS-Standards'!$B$2:$B$305,0))</f>
        <v>0</v>
      </c>
      <c r="P752" t="b">
        <f>AND(TableRelationships12[[#This Row],[Source Type]]="BIM",TableRelationships12[[#This Row],[Target Type]]="BIM")</f>
        <v>0</v>
      </c>
      <c r="Q752">
        <f t="shared" si="33"/>
        <v>1</v>
      </c>
      <c r="S752">
        <f t="shared" si="34"/>
        <v>1</v>
      </c>
      <c r="T752" s="102" t="str">
        <f>IF(TableRelationships12[[#This Row],[Rank Pedro]]="Low","linkCategory1",IF(TableRelationships12[[#This Row],[Rank Pedro]]="Medium","linkCategory2",IF(TableRelationships12[[#This Row],[Rank Pedro]]="High","linkCategory3","")))</f>
        <v/>
      </c>
      <c r="U752" s="102" t="str">
        <f>IF(TableRelationships12[[#This Row],[Rank Pedro]]="Low","Pink",IF(TableRelationships12[[#This Row],[Rank Pedro]]="Medium","Purple",IF(TableRelationships12[[#This Row],[Rank Pedro]]="High","Brown","")))</f>
        <v/>
      </c>
      <c r="V752" s="4" t="e">
        <f>MAX(INDEX(Standards!$F$2:$F$296,MATCH(B752,Standards!$B$2:$B$296,0)),INDEX(Standards!$F$2:$F$296,MATCH(C752,Standards!$B$2:$B$296,0)))</f>
        <v>#N/A</v>
      </c>
      <c r="W752" t="str">
        <f t="shared" si="35"/>
        <v>#2f89d1</v>
      </c>
    </row>
    <row r="753" spans="1:23" x14ac:dyDescent="0.5">
      <c r="A753" s="54">
        <v>752</v>
      </c>
      <c r="B753" s="90" t="s">
        <v>320</v>
      </c>
      <c r="C753" t="s">
        <v>1550</v>
      </c>
      <c r="D753" s="1"/>
      <c r="G753" s="107"/>
      <c r="H753">
        <f>INDEX('GIS-Standards'!$A$2:$A$305,MATCH(B753,'GIS-Standards'!$B$2:$B$305,0))</f>
        <v>29</v>
      </c>
      <c r="I753" t="e">
        <f>INDEX('GIS-Standards'!$A$2:$A$305,MATCH(C753,'GIS-Standards'!$B$2:$B$305,0))</f>
        <v>#N/A</v>
      </c>
      <c r="J753" t="str">
        <f>INDEX('GIS-Standards'!$O$2:$O$305,MATCH(B753,'GIS-Standards'!$B$2:$B$305,0))</f>
        <v>ISO/TC 211</v>
      </c>
      <c r="K753" t="e">
        <f>INDEX('GIS-Standards'!$O$2:$O$305,MATCH(C753,'GIS-Standards'!$B$2:$B$305,0))</f>
        <v>#N/A</v>
      </c>
      <c r="M753" t="s">
        <v>525</v>
      </c>
      <c r="N753">
        <f>INDEX('GIS-Standards'!$I$2:$I$305,MATCH(B753,'GIS-Standards'!$B$2:$B$305,0))</f>
        <v>0</v>
      </c>
      <c r="O753" t="e">
        <f>INDEX('GIS-Standards'!$I$2:$I$305,MATCH(C753,'GIS-Standards'!$B$2:$B$305,0))</f>
        <v>#N/A</v>
      </c>
      <c r="P753" t="e">
        <f>AND(TableRelationships12[[#This Row],[Source Type]]="BIM",TableRelationships12[[#This Row],[Target Type]]="BIM")</f>
        <v>#N/A</v>
      </c>
      <c r="Q753">
        <f t="shared" si="33"/>
        <v>1</v>
      </c>
      <c r="S753">
        <f t="shared" si="34"/>
        <v>1</v>
      </c>
      <c r="T753" s="102" t="str">
        <f>IF(TableRelationships12[[#This Row],[Rank Pedro]]="Low","linkCategory1",IF(TableRelationships12[[#This Row],[Rank Pedro]]="Medium","linkCategory2",IF(TableRelationships12[[#This Row],[Rank Pedro]]="High","linkCategory3","")))</f>
        <v/>
      </c>
      <c r="U753" s="102" t="str">
        <f>IF(TableRelationships12[[#This Row],[Rank Pedro]]="Low","Pink",IF(TableRelationships12[[#This Row],[Rank Pedro]]="Medium","Purple",IF(TableRelationships12[[#This Row],[Rank Pedro]]="High","Brown","")))</f>
        <v/>
      </c>
      <c r="V753" s="4" t="e">
        <f>MAX(INDEX(Standards!$F$2:$F$296,MATCH(B753,Standards!$B$2:$B$296,0)),INDEX(Standards!$F$2:$F$296,MATCH(C753,Standards!$B$2:$B$296,0)))</f>
        <v>#N/A</v>
      </c>
      <c r="W753" t="str">
        <f t="shared" si="35"/>
        <v>#2f89d1</v>
      </c>
    </row>
    <row r="754" spans="1:23" x14ac:dyDescent="0.5">
      <c r="A754" s="54">
        <v>753</v>
      </c>
      <c r="B754" s="90" t="s">
        <v>320</v>
      </c>
      <c r="C754" t="s">
        <v>1045</v>
      </c>
      <c r="D754" s="1"/>
      <c r="E754" s="112">
        <v>2023.06</v>
      </c>
      <c r="F754" s="112">
        <v>2023.11</v>
      </c>
      <c r="G754" s="107" t="s">
        <v>670</v>
      </c>
      <c r="H754">
        <f>INDEX('GIS-Standards'!$A$2:$A$305,MATCH(B754,'GIS-Standards'!$B$2:$B$305,0))</f>
        <v>29</v>
      </c>
      <c r="I754">
        <f>INDEX('GIS-Standards'!$A$2:$A$305,MATCH(C754,'GIS-Standards'!$B$2:$B$305,0))</f>
        <v>31</v>
      </c>
      <c r="J754" t="str">
        <f>INDEX('GIS-Standards'!$O$2:$O$305,MATCH(B754,'GIS-Standards'!$B$2:$B$305,0))</f>
        <v>ISO/TC 211</v>
      </c>
      <c r="K754" t="str">
        <f>INDEX('GIS-Standards'!$O$2:$O$305,MATCH(C754,'GIS-Standards'!$B$2:$B$305,0))</f>
        <v>ISO/TC 211</v>
      </c>
      <c r="M754" t="s">
        <v>525</v>
      </c>
      <c r="N754">
        <f>INDEX('GIS-Standards'!$I$2:$I$305,MATCH(B754,'GIS-Standards'!$B$2:$B$305,0))</f>
        <v>0</v>
      </c>
      <c r="O754">
        <f>INDEX('GIS-Standards'!$I$2:$I$305,MATCH(C754,'GIS-Standards'!$B$2:$B$305,0))</f>
        <v>0</v>
      </c>
      <c r="P754" t="b">
        <f>AND(TableRelationships12[[#This Row],[Source Type]]="BIM",TableRelationships12[[#This Row],[Target Type]]="BIM")</f>
        <v>0</v>
      </c>
      <c r="Q754">
        <f t="shared" si="33"/>
        <v>1</v>
      </c>
      <c r="S754">
        <f t="shared" si="34"/>
        <v>1</v>
      </c>
      <c r="T754" s="102" t="str">
        <f>IF(TableRelationships12[[#This Row],[Rank Pedro]]="Low","linkCategory1",IF(TableRelationships12[[#This Row],[Rank Pedro]]="Medium","linkCategory2",IF(TableRelationships12[[#This Row],[Rank Pedro]]="High","linkCategory3","")))</f>
        <v/>
      </c>
      <c r="U754" s="102" t="str">
        <f>IF(TableRelationships12[[#This Row],[Rank Pedro]]="Low","Pink",IF(TableRelationships12[[#This Row],[Rank Pedro]]="Medium","Purple",IF(TableRelationships12[[#This Row],[Rank Pedro]]="High","Brown","")))</f>
        <v/>
      </c>
      <c r="V754" s="4" t="e">
        <f>MAX(INDEX(Standards!$F$2:$F$296,MATCH(B754,Standards!$B$2:$B$296,0)),INDEX(Standards!$F$2:$F$296,MATCH(C754,Standards!$B$2:$B$296,0)))</f>
        <v>#N/A</v>
      </c>
      <c r="W754" t="str">
        <f t="shared" si="35"/>
        <v>#2f89d1</v>
      </c>
    </row>
    <row r="755" spans="1:23" x14ac:dyDescent="0.5">
      <c r="A755" s="54">
        <v>754</v>
      </c>
      <c r="B755" s="90" t="s">
        <v>632</v>
      </c>
      <c r="C755" t="s">
        <v>527</v>
      </c>
      <c r="D755" s="1"/>
      <c r="E755" s="112" t="s">
        <v>981</v>
      </c>
      <c r="F755" s="112" t="s">
        <v>981</v>
      </c>
      <c r="G755" s="121" t="s">
        <v>670</v>
      </c>
      <c r="H755">
        <f>INDEX('GIS-Standards'!$A$2:$A$305,MATCH(B755,'GIS-Standards'!$B$2:$B$305,0))</f>
        <v>30</v>
      </c>
      <c r="I755" t="e">
        <f>INDEX('GIS-Standards'!$A$2:$A$305,MATCH(C755,'GIS-Standards'!$B$2:$B$305,0))</f>
        <v>#N/A</v>
      </c>
      <c r="J755" t="str">
        <f>INDEX('GIS-Standards'!$O$2:$O$305,MATCH(B755,'GIS-Standards'!$B$2:$B$305,0))</f>
        <v>ISO/TC 211</v>
      </c>
      <c r="K755" t="e">
        <f>INDEX('GIS-Standards'!$O$2:$O$305,MATCH(C755,'GIS-Standards'!$B$2:$B$305,0))</f>
        <v>#N/A</v>
      </c>
      <c r="M755" t="s">
        <v>237</v>
      </c>
      <c r="N755">
        <f>INDEX('GIS-Standards'!$I$2:$I$305,MATCH(B755,'GIS-Standards'!$B$2:$B$305,0))</f>
        <v>0</v>
      </c>
      <c r="O755" t="e">
        <f>INDEX('GIS-Standards'!$I$2:$I$305,MATCH(C755,'GIS-Standards'!$B$2:$B$305,0))</f>
        <v>#N/A</v>
      </c>
      <c r="P755" t="e">
        <f>AND(TableRelationships12[[#This Row],[Source Type]]="BIM",TableRelationships12[[#This Row],[Target Type]]="BIM")</f>
        <v>#N/A</v>
      </c>
      <c r="Q755">
        <f t="shared" si="33"/>
        <v>2</v>
      </c>
      <c r="S755">
        <f t="shared" si="34"/>
        <v>1</v>
      </c>
      <c r="T755" s="102" t="str">
        <f>IF(TableRelationships12[[#This Row],[Rank Pedro]]="Low","linkCategory1",IF(TableRelationships12[[#This Row],[Rank Pedro]]="Medium","linkCategory2",IF(TableRelationships12[[#This Row],[Rank Pedro]]="High","linkCategory3","")))</f>
        <v/>
      </c>
      <c r="U755" s="102" t="str">
        <f>IF(TableRelationships12[[#This Row],[Rank Pedro]]="Low","Pink",IF(TableRelationships12[[#This Row],[Rank Pedro]]="Medium","Purple",IF(TableRelationships12[[#This Row],[Rank Pedro]]="High","Brown","")))</f>
        <v/>
      </c>
      <c r="V755" s="4" t="e">
        <f>MAX(INDEX(Standards!$F$2:$F$296,MATCH(B755,Standards!$B$2:$B$296,0)),INDEX(Standards!$F$2:$F$296,MATCH(C755,Standards!$B$2:$B$296,0)))</f>
        <v>#N/A</v>
      </c>
      <c r="W755">
        <f t="shared" si="35"/>
        <v>1</v>
      </c>
    </row>
    <row r="756" spans="1:23" x14ac:dyDescent="0.5">
      <c r="A756" s="54">
        <v>755</v>
      </c>
      <c r="B756" s="90" t="s">
        <v>632</v>
      </c>
      <c r="C756" t="s">
        <v>320</v>
      </c>
      <c r="D756" s="1"/>
      <c r="E756" s="112">
        <v>2005.08</v>
      </c>
      <c r="F756" s="112">
        <v>2023.06</v>
      </c>
      <c r="G756" s="107" t="s">
        <v>670</v>
      </c>
      <c r="H756">
        <f>INDEX('GIS-Standards'!$A$2:$A$305,MATCH(B756,'GIS-Standards'!$B$2:$B$305,0))</f>
        <v>30</v>
      </c>
      <c r="I756">
        <f>INDEX('GIS-Standards'!$A$2:$A$305,MATCH(C756,'GIS-Standards'!$B$2:$B$305,0))</f>
        <v>29</v>
      </c>
      <c r="J756" t="str">
        <f>INDEX('GIS-Standards'!$O$2:$O$305,MATCH(B756,'GIS-Standards'!$B$2:$B$305,0))</f>
        <v>ISO/TC 211</v>
      </c>
      <c r="K756" t="str">
        <f>INDEX('GIS-Standards'!$O$2:$O$305,MATCH(C756,'GIS-Standards'!$B$2:$B$305,0))</f>
        <v>ISO/TC 211</v>
      </c>
      <c r="M756" t="s">
        <v>524</v>
      </c>
      <c r="N756">
        <f>INDEX('GIS-Standards'!$I$2:$I$305,MATCH(B756,'GIS-Standards'!$B$2:$B$305,0))</f>
        <v>0</v>
      </c>
      <c r="O756">
        <f>INDEX('GIS-Standards'!$I$2:$I$305,MATCH(C756,'GIS-Standards'!$B$2:$B$305,0))</f>
        <v>0</v>
      </c>
      <c r="P756" t="b">
        <f>AND(TableRelationships12[[#This Row],[Source Type]]="BIM",TableRelationships12[[#This Row],[Target Type]]="BIM")</f>
        <v>0</v>
      </c>
      <c r="Q756">
        <f t="shared" si="33"/>
        <v>6</v>
      </c>
      <c r="S756">
        <f t="shared" si="34"/>
        <v>1</v>
      </c>
      <c r="T756" s="102" t="str">
        <f>IF(TableRelationships12[[#This Row],[Rank Pedro]]="Low","linkCategory1",IF(TableRelationships12[[#This Row],[Rank Pedro]]="Medium","linkCategory2",IF(TableRelationships12[[#This Row],[Rank Pedro]]="High","linkCategory3","")))</f>
        <v/>
      </c>
      <c r="U756" s="102" t="str">
        <f>IF(TableRelationships12[[#This Row],[Rank Pedro]]="Low","Pink",IF(TableRelationships12[[#This Row],[Rank Pedro]]="Medium","Purple",IF(TableRelationships12[[#This Row],[Rank Pedro]]="High","Brown","")))</f>
        <v/>
      </c>
      <c r="V756" s="4" t="e">
        <f>MAX(INDEX(Standards!$F$2:$F$296,MATCH(B756,Standards!$B$2:$B$296,0)),INDEX(Standards!$F$2:$F$296,MATCH(C756,Standards!$B$2:$B$296,0)))</f>
        <v>#N/A</v>
      </c>
      <c r="W756" t="str">
        <f t="shared" si="35"/>
        <v>#d6bf2a</v>
      </c>
    </row>
    <row r="757" spans="1:23" x14ac:dyDescent="0.5">
      <c r="A757" s="54">
        <v>756</v>
      </c>
      <c r="B757" s="90" t="s">
        <v>632</v>
      </c>
      <c r="C757" t="s">
        <v>334</v>
      </c>
      <c r="D757" s="1"/>
      <c r="E757" s="113">
        <v>2007.09</v>
      </c>
      <c r="F757" s="113">
        <v>2020.01</v>
      </c>
      <c r="G757" s="107" t="s">
        <v>670</v>
      </c>
      <c r="H757">
        <f>INDEX('GIS-Standards'!$A$2:$A$305,MATCH(B757,'GIS-Standards'!$B$2:$B$305,0))</f>
        <v>30</v>
      </c>
      <c r="I757">
        <f>INDEX('GIS-Standards'!$A$2:$A$305,MATCH(C757,'GIS-Standards'!$B$2:$B$305,0))</f>
        <v>42</v>
      </c>
      <c r="J757" t="str">
        <f>INDEX('GIS-Standards'!$O$2:$O$305,MATCH(B757,'GIS-Standards'!$B$2:$B$305,0))</f>
        <v>ISO/TC 211</v>
      </c>
      <c r="K757" t="str">
        <f>INDEX('GIS-Standards'!$O$2:$O$305,MATCH(C757,'GIS-Standards'!$B$2:$B$305,0))</f>
        <v>ISO/TC 211</v>
      </c>
      <c r="M757" t="s">
        <v>524</v>
      </c>
      <c r="N757">
        <f>INDEX('GIS-Standards'!$I$2:$I$305,MATCH(B757,'GIS-Standards'!$B$2:$B$305,0))</f>
        <v>0</v>
      </c>
      <c r="O757">
        <f>INDEX('GIS-Standards'!$I$2:$I$305,MATCH(C757,'GIS-Standards'!$B$2:$B$305,0))</f>
        <v>0</v>
      </c>
      <c r="P757" t="b">
        <f>AND(TableRelationships12[[#This Row],[Source Type]]="BIM",TableRelationships12[[#This Row],[Target Type]]="BIM")</f>
        <v>0</v>
      </c>
      <c r="Q757">
        <f t="shared" si="33"/>
        <v>6</v>
      </c>
      <c r="S757">
        <f t="shared" si="34"/>
        <v>1</v>
      </c>
      <c r="T757" s="102" t="str">
        <f>IF(TableRelationships12[[#This Row],[Rank Pedro]]="Low","linkCategory1",IF(TableRelationships12[[#This Row],[Rank Pedro]]="Medium","linkCategory2",IF(TableRelationships12[[#This Row],[Rank Pedro]]="High","linkCategory3","")))</f>
        <v/>
      </c>
      <c r="U757" s="102" t="str">
        <f>IF(TableRelationships12[[#This Row],[Rank Pedro]]="Low","Pink",IF(TableRelationships12[[#This Row],[Rank Pedro]]="Medium","Purple",IF(TableRelationships12[[#This Row],[Rank Pedro]]="High","Brown","")))</f>
        <v/>
      </c>
      <c r="V757" s="4" t="e">
        <f>MAX(INDEX(Standards!$F$2:$F$296,MATCH(B757,Standards!$B$2:$B$296,0)),INDEX(Standards!$F$2:$F$296,MATCH(C757,Standards!$B$2:$B$296,0)))</f>
        <v>#N/A</v>
      </c>
      <c r="W757" t="str">
        <f t="shared" si="35"/>
        <v>#d6bf2a</v>
      </c>
    </row>
    <row r="758" spans="1:23" x14ac:dyDescent="0.5">
      <c r="A758" s="54">
        <v>757</v>
      </c>
      <c r="B758" s="90" t="s">
        <v>632</v>
      </c>
      <c r="C758" t="s">
        <v>1280</v>
      </c>
      <c r="D758" s="1"/>
      <c r="G758" s="107"/>
      <c r="H758">
        <f>INDEX('GIS-Standards'!$A$2:$A$305,MATCH(B758,'GIS-Standards'!$B$2:$B$305,0))</f>
        <v>30</v>
      </c>
      <c r="I758" t="e">
        <f>INDEX('GIS-Standards'!$A$2:$A$305,MATCH(C758,'GIS-Standards'!$B$2:$B$305,0))</f>
        <v>#N/A</v>
      </c>
      <c r="J758" t="str">
        <f>INDEX('GIS-Standards'!$O$2:$O$305,MATCH(B758,'GIS-Standards'!$B$2:$B$305,0))</f>
        <v>ISO/TC 211</v>
      </c>
      <c r="K758" t="e">
        <f>INDEX('GIS-Standards'!$O$2:$O$305,MATCH(C758,'GIS-Standards'!$B$2:$B$305,0))</f>
        <v>#N/A</v>
      </c>
      <c r="M758" t="s">
        <v>524</v>
      </c>
      <c r="N758">
        <f>INDEX('GIS-Standards'!$I$2:$I$305,MATCH(B758,'GIS-Standards'!$B$2:$B$305,0))</f>
        <v>0</v>
      </c>
      <c r="O758" t="e">
        <f>INDEX('GIS-Standards'!$I$2:$I$305,MATCH(C758,'GIS-Standards'!$B$2:$B$305,0))</f>
        <v>#N/A</v>
      </c>
      <c r="P758" t="e">
        <f>AND(TableRelationships12[[#This Row],[Source Type]]="BIM",TableRelationships12[[#This Row],[Target Type]]="BIM")</f>
        <v>#N/A</v>
      </c>
      <c r="Q758">
        <f t="shared" si="33"/>
        <v>6</v>
      </c>
      <c r="S758">
        <f t="shared" si="34"/>
        <v>1</v>
      </c>
      <c r="T758" s="102" t="str">
        <f>IF(TableRelationships12[[#This Row],[Rank Pedro]]="Low","linkCategory1",IF(TableRelationships12[[#This Row],[Rank Pedro]]="Medium","linkCategory2",IF(TableRelationships12[[#This Row],[Rank Pedro]]="High","linkCategory3","")))</f>
        <v/>
      </c>
      <c r="U758" s="102" t="str">
        <f>IF(TableRelationships12[[#This Row],[Rank Pedro]]="Low","Pink",IF(TableRelationships12[[#This Row],[Rank Pedro]]="Medium","Purple",IF(TableRelationships12[[#This Row],[Rank Pedro]]="High","Brown","")))</f>
        <v/>
      </c>
      <c r="V758" s="4" t="e">
        <f>MAX(INDEX(Standards!$F$2:$F$296,MATCH(B758,Standards!$B$2:$B$296,0)),INDEX(Standards!$F$2:$F$296,MATCH(C758,Standards!$B$2:$B$296,0)))</f>
        <v>#N/A</v>
      </c>
      <c r="W758" t="str">
        <f t="shared" si="35"/>
        <v>#d6bf2a</v>
      </c>
    </row>
    <row r="759" spans="1:23" x14ac:dyDescent="0.5">
      <c r="A759" s="54">
        <v>758</v>
      </c>
      <c r="B759" s="90" t="s">
        <v>632</v>
      </c>
      <c r="C759" t="s">
        <v>1281</v>
      </c>
      <c r="D759" s="1"/>
      <c r="E759" s="112">
        <v>1997.08</v>
      </c>
      <c r="G759" s="107"/>
      <c r="H759">
        <f>INDEX('GIS-Standards'!$A$2:$A$305,MATCH(B759,'GIS-Standards'!$B$2:$B$305,0))</f>
        <v>30</v>
      </c>
      <c r="I759" t="e">
        <f>INDEX('GIS-Standards'!$A$2:$A$305,MATCH(C759,'GIS-Standards'!$B$2:$B$305,0))</f>
        <v>#N/A</v>
      </c>
      <c r="J759" t="str">
        <f>INDEX('GIS-Standards'!$O$2:$O$305,MATCH(B759,'GIS-Standards'!$B$2:$B$305,0))</f>
        <v>ISO/TC 211</v>
      </c>
      <c r="K759" t="e">
        <f>INDEX('GIS-Standards'!$O$2:$O$305,MATCH(C759,'GIS-Standards'!$B$2:$B$305,0))</f>
        <v>#N/A</v>
      </c>
      <c r="M759" t="s">
        <v>525</v>
      </c>
      <c r="N759">
        <f>INDEX('GIS-Standards'!$I$2:$I$305,MATCH(B759,'GIS-Standards'!$B$2:$B$305,0))</f>
        <v>0</v>
      </c>
      <c r="O759" t="e">
        <f>INDEX('GIS-Standards'!$I$2:$I$305,MATCH(C759,'GIS-Standards'!$B$2:$B$305,0))</f>
        <v>#N/A</v>
      </c>
      <c r="P759" t="e">
        <f>AND(TableRelationships12[[#This Row],[Source Type]]="BIM",TableRelationships12[[#This Row],[Target Type]]="BIM")</f>
        <v>#N/A</v>
      </c>
      <c r="Q759">
        <f t="shared" si="33"/>
        <v>1</v>
      </c>
      <c r="S759">
        <f t="shared" si="34"/>
        <v>1</v>
      </c>
      <c r="T759" s="102" t="str">
        <f>IF(TableRelationships12[[#This Row],[Rank Pedro]]="Low","linkCategory1",IF(TableRelationships12[[#This Row],[Rank Pedro]]="Medium","linkCategory2",IF(TableRelationships12[[#This Row],[Rank Pedro]]="High","linkCategory3","")))</f>
        <v/>
      </c>
      <c r="U759" s="102" t="str">
        <f>IF(TableRelationships12[[#This Row],[Rank Pedro]]="Low","Pink",IF(TableRelationships12[[#This Row],[Rank Pedro]]="Medium","Purple",IF(TableRelationships12[[#This Row],[Rank Pedro]]="High","Brown","")))</f>
        <v/>
      </c>
      <c r="V759" s="4" t="e">
        <f>MAX(INDEX(Standards!$F$2:$F$296,MATCH(B759,Standards!$B$2:$B$296,0)),INDEX(Standards!$F$2:$F$296,MATCH(C759,Standards!$B$2:$B$296,0)))</f>
        <v>#N/A</v>
      </c>
      <c r="W759" t="str">
        <f t="shared" si="35"/>
        <v>#2f89d1</v>
      </c>
    </row>
    <row r="760" spans="1:23" x14ac:dyDescent="0.5">
      <c r="A760" s="54">
        <v>759</v>
      </c>
      <c r="B760" s="90" t="s">
        <v>632</v>
      </c>
      <c r="C760" t="s">
        <v>1282</v>
      </c>
      <c r="D760" s="1"/>
      <c r="E760" s="112">
        <v>1998.08</v>
      </c>
      <c r="G760" s="107"/>
      <c r="H760">
        <f>INDEX('GIS-Standards'!$A$2:$A$305,MATCH(B760,'GIS-Standards'!$B$2:$B$305,0))</f>
        <v>30</v>
      </c>
      <c r="I760" t="e">
        <f>INDEX('GIS-Standards'!$A$2:$A$305,MATCH(C760,'GIS-Standards'!$B$2:$B$305,0))</f>
        <v>#N/A</v>
      </c>
      <c r="J760" t="str">
        <f>INDEX('GIS-Standards'!$O$2:$O$305,MATCH(B760,'GIS-Standards'!$B$2:$B$305,0))</f>
        <v>ISO/TC 211</v>
      </c>
      <c r="K760" t="e">
        <f>INDEX('GIS-Standards'!$O$2:$O$305,MATCH(C760,'GIS-Standards'!$B$2:$B$305,0))</f>
        <v>#N/A</v>
      </c>
      <c r="M760" t="s">
        <v>525</v>
      </c>
      <c r="N760">
        <f>INDEX('GIS-Standards'!$I$2:$I$305,MATCH(B760,'GIS-Standards'!$B$2:$B$305,0))</f>
        <v>0</v>
      </c>
      <c r="O760" t="e">
        <f>INDEX('GIS-Standards'!$I$2:$I$305,MATCH(C760,'GIS-Standards'!$B$2:$B$305,0))</f>
        <v>#N/A</v>
      </c>
      <c r="P760" t="e">
        <f>AND(TableRelationships12[[#This Row],[Source Type]]="BIM",TableRelationships12[[#This Row],[Target Type]]="BIM")</f>
        <v>#N/A</v>
      </c>
      <c r="Q760">
        <f t="shared" si="33"/>
        <v>1</v>
      </c>
      <c r="S760">
        <f t="shared" si="34"/>
        <v>1</v>
      </c>
      <c r="T760" s="102" t="str">
        <f>IF(TableRelationships12[[#This Row],[Rank Pedro]]="Low","linkCategory1",IF(TableRelationships12[[#This Row],[Rank Pedro]]="Medium","linkCategory2",IF(TableRelationships12[[#This Row],[Rank Pedro]]="High","linkCategory3","")))</f>
        <v/>
      </c>
      <c r="U760" s="102" t="str">
        <f>IF(TableRelationships12[[#This Row],[Rank Pedro]]="Low","Pink",IF(TableRelationships12[[#This Row],[Rank Pedro]]="Medium","Purple",IF(TableRelationships12[[#This Row],[Rank Pedro]]="High","Brown","")))</f>
        <v/>
      </c>
      <c r="V760" s="4" t="e">
        <f>MAX(INDEX(Standards!$F$2:$F$296,MATCH(B760,Standards!$B$2:$B$296,0)),INDEX(Standards!$F$2:$F$296,MATCH(C760,Standards!$B$2:$B$296,0)))</f>
        <v>#N/A</v>
      </c>
      <c r="W760" t="str">
        <f t="shared" si="35"/>
        <v>#2f89d1</v>
      </c>
    </row>
    <row r="761" spans="1:23" x14ac:dyDescent="0.5">
      <c r="A761" s="54">
        <v>760</v>
      </c>
      <c r="B761" s="90" t="s">
        <v>632</v>
      </c>
      <c r="C761" t="s">
        <v>1121</v>
      </c>
      <c r="D761" s="1"/>
      <c r="E761" s="112">
        <v>2005.01</v>
      </c>
      <c r="G761" s="107"/>
      <c r="H761">
        <f>INDEX('GIS-Standards'!$A$2:$A$305,MATCH(B761,'GIS-Standards'!$B$2:$B$305,0))</f>
        <v>30</v>
      </c>
      <c r="I761" t="e">
        <f>INDEX('GIS-Standards'!$A$2:$A$305,MATCH(C761,'GIS-Standards'!$B$2:$B$305,0))</f>
        <v>#N/A</v>
      </c>
      <c r="J761" t="str">
        <f>INDEX('GIS-Standards'!$O$2:$O$305,MATCH(B761,'GIS-Standards'!$B$2:$B$305,0))</f>
        <v>ISO/TC 211</v>
      </c>
      <c r="K761" t="e">
        <f>INDEX('GIS-Standards'!$O$2:$O$305,MATCH(C761,'GIS-Standards'!$B$2:$B$305,0))</f>
        <v>#N/A</v>
      </c>
      <c r="M761" t="s">
        <v>525</v>
      </c>
      <c r="N761">
        <f>INDEX('GIS-Standards'!$I$2:$I$305,MATCH(B761,'GIS-Standards'!$B$2:$B$305,0))</f>
        <v>0</v>
      </c>
      <c r="O761" t="e">
        <f>INDEX('GIS-Standards'!$I$2:$I$305,MATCH(C761,'GIS-Standards'!$B$2:$B$305,0))</f>
        <v>#N/A</v>
      </c>
      <c r="P761" t="e">
        <f>AND(TableRelationships12[[#This Row],[Source Type]]="BIM",TableRelationships12[[#This Row],[Target Type]]="BIM")</f>
        <v>#N/A</v>
      </c>
      <c r="Q761">
        <f t="shared" si="33"/>
        <v>1</v>
      </c>
      <c r="S761">
        <f t="shared" si="34"/>
        <v>1</v>
      </c>
      <c r="T761" s="102" t="str">
        <f>IF(TableRelationships12[[#This Row],[Rank Pedro]]="Low","linkCategory1",IF(TableRelationships12[[#This Row],[Rank Pedro]]="Medium","linkCategory2",IF(TableRelationships12[[#This Row],[Rank Pedro]]="High","linkCategory3","")))</f>
        <v/>
      </c>
      <c r="U761" s="102" t="str">
        <f>IF(TableRelationships12[[#This Row],[Rank Pedro]]="Low","Pink",IF(TableRelationships12[[#This Row],[Rank Pedro]]="Medium","Purple",IF(TableRelationships12[[#This Row],[Rank Pedro]]="High","Brown","")))</f>
        <v/>
      </c>
      <c r="V761" s="4" t="e">
        <f>MAX(INDEX(Standards!$F$2:$F$296,MATCH(B761,Standards!$B$2:$B$296,0)),INDEX(Standards!$F$2:$F$296,MATCH(C761,Standards!$B$2:$B$296,0)))</f>
        <v>#N/A</v>
      </c>
      <c r="W761" t="str">
        <f t="shared" si="35"/>
        <v>#2f89d1</v>
      </c>
    </row>
    <row r="762" spans="1:23" x14ac:dyDescent="0.5">
      <c r="A762" s="54">
        <v>761</v>
      </c>
      <c r="B762" s="90" t="s">
        <v>632</v>
      </c>
      <c r="C762" t="s">
        <v>1281</v>
      </c>
      <c r="D762" s="1"/>
      <c r="E762" s="112">
        <v>1997.08</v>
      </c>
      <c r="G762" s="107"/>
      <c r="H762">
        <f>INDEX('GIS-Standards'!$A$2:$A$305,MATCH(B762,'GIS-Standards'!$B$2:$B$305,0))</f>
        <v>30</v>
      </c>
      <c r="I762" t="e">
        <f>INDEX('GIS-Standards'!$A$2:$A$305,MATCH(C762,'GIS-Standards'!$B$2:$B$305,0))</f>
        <v>#N/A</v>
      </c>
      <c r="J762" t="str">
        <f>INDEX('GIS-Standards'!$O$2:$O$305,MATCH(B762,'GIS-Standards'!$B$2:$B$305,0))</f>
        <v>ISO/TC 211</v>
      </c>
      <c r="K762" t="e">
        <f>INDEX('GIS-Standards'!$O$2:$O$305,MATCH(C762,'GIS-Standards'!$B$2:$B$305,0))</f>
        <v>#N/A</v>
      </c>
      <c r="M762" t="s">
        <v>525</v>
      </c>
      <c r="N762">
        <f>INDEX('GIS-Standards'!$I$2:$I$305,MATCH(B762,'GIS-Standards'!$B$2:$B$305,0))</f>
        <v>0</v>
      </c>
      <c r="O762" t="e">
        <f>INDEX('GIS-Standards'!$I$2:$I$305,MATCH(C762,'GIS-Standards'!$B$2:$B$305,0))</f>
        <v>#N/A</v>
      </c>
      <c r="P762" t="e">
        <f>AND(TableRelationships12[[#This Row],[Source Type]]="BIM",TableRelationships12[[#This Row],[Target Type]]="BIM")</f>
        <v>#N/A</v>
      </c>
      <c r="Q762">
        <f t="shared" si="33"/>
        <v>1</v>
      </c>
      <c r="S762">
        <f t="shared" si="34"/>
        <v>1</v>
      </c>
      <c r="T762" s="102" t="str">
        <f>IF(TableRelationships12[[#This Row],[Rank Pedro]]="Low","linkCategory1",IF(TableRelationships12[[#This Row],[Rank Pedro]]="Medium","linkCategory2",IF(TableRelationships12[[#This Row],[Rank Pedro]]="High","linkCategory3","")))</f>
        <v/>
      </c>
      <c r="U762" s="102" t="str">
        <f>IF(TableRelationships12[[#This Row],[Rank Pedro]]="Low","Pink",IF(TableRelationships12[[#This Row],[Rank Pedro]]="Medium","Purple",IF(TableRelationships12[[#This Row],[Rank Pedro]]="High","Brown","")))</f>
        <v/>
      </c>
      <c r="V762" s="4" t="e">
        <f>MAX(INDEX(Standards!$F$2:$F$296,MATCH(B762,Standards!$B$2:$B$296,0)),INDEX(Standards!$F$2:$F$296,MATCH(C762,Standards!$B$2:$B$296,0)))</f>
        <v>#N/A</v>
      </c>
      <c r="W762" t="str">
        <f t="shared" si="35"/>
        <v>#2f89d1</v>
      </c>
    </row>
    <row r="763" spans="1:23" x14ac:dyDescent="0.5">
      <c r="A763" s="54">
        <v>762</v>
      </c>
      <c r="B763" s="90" t="s">
        <v>632</v>
      </c>
      <c r="C763" t="s">
        <v>1283</v>
      </c>
      <c r="D763" s="1"/>
      <c r="E763" s="112">
        <v>1998.08</v>
      </c>
      <c r="G763" s="107"/>
      <c r="H763">
        <f>INDEX('GIS-Standards'!$A$2:$A$305,MATCH(B763,'GIS-Standards'!$B$2:$B$305,0))</f>
        <v>30</v>
      </c>
      <c r="I763" t="e">
        <f>INDEX('GIS-Standards'!$A$2:$A$305,MATCH(C763,'GIS-Standards'!$B$2:$B$305,0))</f>
        <v>#N/A</v>
      </c>
      <c r="J763" t="str">
        <f>INDEX('GIS-Standards'!$O$2:$O$305,MATCH(B763,'GIS-Standards'!$B$2:$B$305,0))</f>
        <v>ISO/TC 211</v>
      </c>
      <c r="K763" t="e">
        <f>INDEX('GIS-Standards'!$O$2:$O$305,MATCH(C763,'GIS-Standards'!$B$2:$B$305,0))</f>
        <v>#N/A</v>
      </c>
      <c r="M763" t="s">
        <v>525</v>
      </c>
      <c r="N763">
        <f>INDEX('GIS-Standards'!$I$2:$I$305,MATCH(B763,'GIS-Standards'!$B$2:$B$305,0))</f>
        <v>0</v>
      </c>
      <c r="O763" t="e">
        <f>INDEX('GIS-Standards'!$I$2:$I$305,MATCH(C763,'GIS-Standards'!$B$2:$B$305,0))</f>
        <v>#N/A</v>
      </c>
      <c r="P763" t="e">
        <f>AND(TableRelationships12[[#This Row],[Source Type]]="BIM",TableRelationships12[[#This Row],[Target Type]]="BIM")</f>
        <v>#N/A</v>
      </c>
      <c r="Q763">
        <f t="shared" si="33"/>
        <v>1</v>
      </c>
      <c r="S763">
        <f t="shared" si="34"/>
        <v>1</v>
      </c>
      <c r="T763" s="102" t="str">
        <f>IF(TableRelationships12[[#This Row],[Rank Pedro]]="Low","linkCategory1",IF(TableRelationships12[[#This Row],[Rank Pedro]]="Medium","linkCategory2",IF(TableRelationships12[[#This Row],[Rank Pedro]]="High","linkCategory3","")))</f>
        <v/>
      </c>
      <c r="U763" s="102" t="str">
        <f>IF(TableRelationships12[[#This Row],[Rank Pedro]]="Low","Pink",IF(TableRelationships12[[#This Row],[Rank Pedro]]="Medium","Purple",IF(TableRelationships12[[#This Row],[Rank Pedro]]="High","Brown","")))</f>
        <v/>
      </c>
      <c r="V763" s="4" t="e">
        <f>MAX(INDEX(Standards!$F$2:$F$296,MATCH(B763,Standards!$B$2:$B$296,0)),INDEX(Standards!$F$2:$F$296,MATCH(C763,Standards!$B$2:$B$296,0)))</f>
        <v>#N/A</v>
      </c>
      <c r="W763" t="str">
        <f t="shared" si="35"/>
        <v>#2f89d1</v>
      </c>
    </row>
    <row r="764" spans="1:23" x14ac:dyDescent="0.5">
      <c r="A764" s="54">
        <v>763</v>
      </c>
      <c r="B764" s="90" t="s">
        <v>632</v>
      </c>
      <c r="C764" t="s">
        <v>1284</v>
      </c>
      <c r="D764" s="1"/>
      <c r="E764" s="112">
        <v>2014.03</v>
      </c>
      <c r="G764" s="107"/>
      <c r="H764">
        <f>INDEX('GIS-Standards'!$A$2:$A$305,MATCH(B764,'GIS-Standards'!$B$2:$B$305,0))</f>
        <v>30</v>
      </c>
      <c r="I764" t="e">
        <f>INDEX('GIS-Standards'!$A$2:$A$305,MATCH(C764,'GIS-Standards'!$B$2:$B$305,0))</f>
        <v>#N/A</v>
      </c>
      <c r="J764" t="str">
        <f>INDEX('GIS-Standards'!$O$2:$O$305,MATCH(B764,'GIS-Standards'!$B$2:$B$305,0))</f>
        <v>ISO/TC 211</v>
      </c>
      <c r="K764" t="e">
        <f>INDEX('GIS-Standards'!$O$2:$O$305,MATCH(C764,'GIS-Standards'!$B$2:$B$305,0))</f>
        <v>#N/A</v>
      </c>
      <c r="M764" t="s">
        <v>525</v>
      </c>
      <c r="N764">
        <f>INDEX('GIS-Standards'!$I$2:$I$305,MATCH(B764,'GIS-Standards'!$B$2:$B$305,0))</f>
        <v>0</v>
      </c>
      <c r="O764" t="e">
        <f>INDEX('GIS-Standards'!$I$2:$I$305,MATCH(C764,'GIS-Standards'!$B$2:$B$305,0))</f>
        <v>#N/A</v>
      </c>
      <c r="P764" t="e">
        <f>AND(TableRelationships12[[#This Row],[Source Type]]="BIM",TableRelationships12[[#This Row],[Target Type]]="BIM")</f>
        <v>#N/A</v>
      </c>
      <c r="Q764">
        <f t="shared" si="33"/>
        <v>1</v>
      </c>
      <c r="S764">
        <f t="shared" si="34"/>
        <v>1</v>
      </c>
      <c r="T764" s="102" t="str">
        <f>IF(TableRelationships12[[#This Row],[Rank Pedro]]="Low","linkCategory1",IF(TableRelationships12[[#This Row],[Rank Pedro]]="Medium","linkCategory2",IF(TableRelationships12[[#This Row],[Rank Pedro]]="High","linkCategory3","")))</f>
        <v/>
      </c>
      <c r="U764" s="102" t="str">
        <f>IF(TableRelationships12[[#This Row],[Rank Pedro]]="Low","Pink",IF(TableRelationships12[[#This Row],[Rank Pedro]]="Medium","Purple",IF(TableRelationships12[[#This Row],[Rank Pedro]]="High","Brown","")))</f>
        <v/>
      </c>
      <c r="V764" s="4" t="e">
        <f>MAX(INDEX(Standards!$F$2:$F$296,MATCH(B764,Standards!$B$2:$B$296,0)),INDEX(Standards!$F$2:$F$296,MATCH(C764,Standards!$B$2:$B$296,0)))</f>
        <v>#N/A</v>
      </c>
      <c r="W764" t="str">
        <f t="shared" si="35"/>
        <v>#2f89d1</v>
      </c>
    </row>
    <row r="765" spans="1:23" x14ac:dyDescent="0.5">
      <c r="A765" s="54">
        <v>764</v>
      </c>
      <c r="B765" s="90" t="s">
        <v>632</v>
      </c>
      <c r="C765" t="s">
        <v>320</v>
      </c>
      <c r="D765" s="1"/>
      <c r="E765" s="112">
        <v>2005.08</v>
      </c>
      <c r="F765" s="112">
        <v>2023.06</v>
      </c>
      <c r="G765" s="107" t="s">
        <v>670</v>
      </c>
      <c r="H765">
        <f>INDEX('GIS-Standards'!$A$2:$A$305,MATCH(B765,'GIS-Standards'!$B$2:$B$305,0))</f>
        <v>30</v>
      </c>
      <c r="I765">
        <f>INDEX('GIS-Standards'!$A$2:$A$305,MATCH(C765,'GIS-Standards'!$B$2:$B$305,0))</f>
        <v>29</v>
      </c>
      <c r="J765" t="str">
        <f>INDEX('GIS-Standards'!$O$2:$O$305,MATCH(B765,'GIS-Standards'!$B$2:$B$305,0))</f>
        <v>ISO/TC 211</v>
      </c>
      <c r="K765" t="str">
        <f>INDEX('GIS-Standards'!$O$2:$O$305,MATCH(C765,'GIS-Standards'!$B$2:$B$305,0))</f>
        <v>ISO/TC 211</v>
      </c>
      <c r="M765" t="s">
        <v>525</v>
      </c>
      <c r="N765">
        <f>INDEX('GIS-Standards'!$I$2:$I$305,MATCH(B765,'GIS-Standards'!$B$2:$B$305,0))</f>
        <v>0</v>
      </c>
      <c r="O765">
        <f>INDEX('GIS-Standards'!$I$2:$I$305,MATCH(C765,'GIS-Standards'!$B$2:$B$305,0))</f>
        <v>0</v>
      </c>
      <c r="P765" t="b">
        <f>AND(TableRelationships12[[#This Row],[Source Type]]="BIM",TableRelationships12[[#This Row],[Target Type]]="BIM")</f>
        <v>0</v>
      </c>
      <c r="Q765">
        <f t="shared" si="33"/>
        <v>1</v>
      </c>
      <c r="S765">
        <f t="shared" si="34"/>
        <v>1</v>
      </c>
      <c r="T765" s="102" t="str">
        <f>IF(TableRelationships12[[#This Row],[Rank Pedro]]="Low","linkCategory1",IF(TableRelationships12[[#This Row],[Rank Pedro]]="Medium","linkCategory2",IF(TableRelationships12[[#This Row],[Rank Pedro]]="High","linkCategory3","")))</f>
        <v/>
      </c>
      <c r="U765" s="102" t="str">
        <f>IF(TableRelationships12[[#This Row],[Rank Pedro]]="Low","Pink",IF(TableRelationships12[[#This Row],[Rank Pedro]]="Medium","Purple",IF(TableRelationships12[[#This Row],[Rank Pedro]]="High","Brown","")))</f>
        <v/>
      </c>
      <c r="V765" s="4" t="e">
        <f>MAX(INDEX(Standards!$F$2:$F$296,MATCH(B765,Standards!$B$2:$B$296,0)),INDEX(Standards!$F$2:$F$296,MATCH(C765,Standards!$B$2:$B$296,0)))</f>
        <v>#N/A</v>
      </c>
      <c r="W765" t="str">
        <f t="shared" si="35"/>
        <v>#2f89d1</v>
      </c>
    </row>
    <row r="766" spans="1:23" x14ac:dyDescent="0.5">
      <c r="A766" s="54">
        <v>765</v>
      </c>
      <c r="B766" s="90" t="s">
        <v>632</v>
      </c>
      <c r="C766" t="s">
        <v>334</v>
      </c>
      <c r="D766" s="1"/>
      <c r="E766" s="113">
        <v>2007.09</v>
      </c>
      <c r="F766" s="113">
        <v>2020.01</v>
      </c>
      <c r="G766" s="107" t="s">
        <v>670</v>
      </c>
      <c r="H766">
        <f>INDEX('GIS-Standards'!$A$2:$A$305,MATCH(B766,'GIS-Standards'!$B$2:$B$305,0))</f>
        <v>30</v>
      </c>
      <c r="I766">
        <f>INDEX('GIS-Standards'!$A$2:$A$305,MATCH(C766,'GIS-Standards'!$B$2:$B$305,0))</f>
        <v>42</v>
      </c>
      <c r="J766" t="str">
        <f>INDEX('GIS-Standards'!$O$2:$O$305,MATCH(B766,'GIS-Standards'!$B$2:$B$305,0))</f>
        <v>ISO/TC 211</v>
      </c>
      <c r="K766" t="str">
        <f>INDEX('GIS-Standards'!$O$2:$O$305,MATCH(C766,'GIS-Standards'!$B$2:$B$305,0))</f>
        <v>ISO/TC 211</v>
      </c>
      <c r="M766" t="s">
        <v>525</v>
      </c>
      <c r="N766">
        <f>INDEX('GIS-Standards'!$I$2:$I$305,MATCH(B766,'GIS-Standards'!$B$2:$B$305,0))</f>
        <v>0</v>
      </c>
      <c r="O766">
        <f>INDEX('GIS-Standards'!$I$2:$I$305,MATCH(C766,'GIS-Standards'!$B$2:$B$305,0))</f>
        <v>0</v>
      </c>
      <c r="P766" t="b">
        <f>AND(TableRelationships12[[#This Row],[Source Type]]="BIM",TableRelationships12[[#This Row],[Target Type]]="BIM")</f>
        <v>0</v>
      </c>
      <c r="Q766">
        <f t="shared" si="33"/>
        <v>1</v>
      </c>
      <c r="S766">
        <f t="shared" si="34"/>
        <v>1</v>
      </c>
      <c r="T766" s="102" t="str">
        <f>IF(TableRelationships12[[#This Row],[Rank Pedro]]="Low","linkCategory1",IF(TableRelationships12[[#This Row],[Rank Pedro]]="Medium","linkCategory2",IF(TableRelationships12[[#This Row],[Rank Pedro]]="High","linkCategory3","")))</f>
        <v/>
      </c>
      <c r="U766" s="102" t="str">
        <f>IF(TableRelationships12[[#This Row],[Rank Pedro]]="Low","Pink",IF(TableRelationships12[[#This Row],[Rank Pedro]]="Medium","Purple",IF(TableRelationships12[[#This Row],[Rank Pedro]]="High","Brown","")))</f>
        <v/>
      </c>
      <c r="V766" s="4" t="e">
        <f>MAX(INDEX(Standards!$F$2:$F$296,MATCH(B766,Standards!$B$2:$B$296,0)),INDEX(Standards!$F$2:$F$296,MATCH(C766,Standards!$B$2:$B$296,0)))</f>
        <v>#N/A</v>
      </c>
      <c r="W766" t="str">
        <f t="shared" si="35"/>
        <v>#2f89d1</v>
      </c>
    </row>
    <row r="767" spans="1:23" x14ac:dyDescent="0.5">
      <c r="A767" s="54">
        <v>766</v>
      </c>
      <c r="B767" s="90" t="s">
        <v>632</v>
      </c>
      <c r="C767" t="s">
        <v>1049</v>
      </c>
      <c r="D767" s="1"/>
      <c r="E767" s="112">
        <v>2015.08</v>
      </c>
      <c r="F767" s="112">
        <v>2015.08</v>
      </c>
      <c r="G767" s="107" t="s">
        <v>670</v>
      </c>
      <c r="H767">
        <f>INDEX('GIS-Standards'!$A$2:$A$305,MATCH(B767,'GIS-Standards'!$B$2:$B$305,0))</f>
        <v>30</v>
      </c>
      <c r="I767">
        <f>INDEX('GIS-Standards'!$A$2:$A$305,MATCH(C767,'GIS-Standards'!$B$2:$B$305,0))</f>
        <v>43</v>
      </c>
      <c r="J767" t="str">
        <f>INDEX('GIS-Standards'!$O$2:$O$305,MATCH(B767,'GIS-Standards'!$B$2:$B$305,0))</f>
        <v>ISO/TC 211</v>
      </c>
      <c r="K767" t="str">
        <f>INDEX('GIS-Standards'!$O$2:$O$305,MATCH(C767,'GIS-Standards'!$B$2:$B$305,0))</f>
        <v>ISO/TC 211</v>
      </c>
      <c r="M767" t="s">
        <v>525</v>
      </c>
      <c r="N767">
        <f>INDEX('GIS-Standards'!$I$2:$I$305,MATCH(B767,'GIS-Standards'!$B$2:$B$305,0))</f>
        <v>0</v>
      </c>
      <c r="O767">
        <f>INDEX('GIS-Standards'!$I$2:$I$305,MATCH(C767,'GIS-Standards'!$B$2:$B$305,0))</f>
        <v>0</v>
      </c>
      <c r="P767" t="b">
        <f>AND(TableRelationships12[[#This Row],[Source Type]]="BIM",TableRelationships12[[#This Row],[Target Type]]="BIM")</f>
        <v>0</v>
      </c>
      <c r="Q767">
        <f t="shared" si="33"/>
        <v>1</v>
      </c>
      <c r="S767">
        <f t="shared" si="34"/>
        <v>1</v>
      </c>
      <c r="T767" s="102" t="str">
        <f>IF(TableRelationships12[[#This Row],[Rank Pedro]]="Low","linkCategory1",IF(TableRelationships12[[#This Row],[Rank Pedro]]="Medium","linkCategory2",IF(TableRelationships12[[#This Row],[Rank Pedro]]="High","linkCategory3","")))</f>
        <v/>
      </c>
      <c r="U767" s="102" t="str">
        <f>IF(TableRelationships12[[#This Row],[Rank Pedro]]="Low","Pink",IF(TableRelationships12[[#This Row],[Rank Pedro]]="Medium","Purple",IF(TableRelationships12[[#This Row],[Rank Pedro]]="High","Brown","")))</f>
        <v/>
      </c>
      <c r="V767" s="4" t="e">
        <f>MAX(INDEX(Standards!$F$2:$F$296,MATCH(B767,Standards!$B$2:$B$296,0)),INDEX(Standards!$F$2:$F$296,MATCH(C767,Standards!$B$2:$B$296,0)))</f>
        <v>#N/A</v>
      </c>
      <c r="W767" t="str">
        <f t="shared" si="35"/>
        <v>#2f89d1</v>
      </c>
    </row>
    <row r="768" spans="1:23" x14ac:dyDescent="0.5">
      <c r="A768" s="54">
        <v>767</v>
      </c>
      <c r="B768" s="90" t="s">
        <v>632</v>
      </c>
      <c r="C768" t="s">
        <v>1139</v>
      </c>
      <c r="D768" s="1"/>
      <c r="E768" s="112">
        <v>2006.06</v>
      </c>
      <c r="F768" s="112">
        <v>2025.09</v>
      </c>
      <c r="G768" s="107" t="s">
        <v>1458</v>
      </c>
      <c r="H768">
        <f>INDEX('GIS-Standards'!$A$2:$A$305,MATCH(B768,'GIS-Standards'!$B$2:$B$305,0))</f>
        <v>30</v>
      </c>
      <c r="I768" t="e">
        <f>INDEX('GIS-Standards'!$A$2:$A$305,MATCH(C768,'GIS-Standards'!$B$2:$B$305,0))</f>
        <v>#N/A</v>
      </c>
      <c r="J768" t="str">
        <f>INDEX('GIS-Standards'!$O$2:$O$305,MATCH(B768,'GIS-Standards'!$B$2:$B$305,0))</f>
        <v>ISO/TC 211</v>
      </c>
      <c r="K768" t="e">
        <f>INDEX('GIS-Standards'!$O$2:$O$305,MATCH(C768,'GIS-Standards'!$B$2:$B$305,0))</f>
        <v>#N/A</v>
      </c>
      <c r="M768" t="s">
        <v>525</v>
      </c>
      <c r="N768">
        <f>INDEX('GIS-Standards'!$I$2:$I$305,MATCH(B768,'GIS-Standards'!$B$2:$B$305,0))</f>
        <v>0</v>
      </c>
      <c r="O768" t="e">
        <f>INDEX('GIS-Standards'!$I$2:$I$305,MATCH(C768,'GIS-Standards'!$B$2:$B$305,0))</f>
        <v>#N/A</v>
      </c>
      <c r="P768" t="e">
        <f>AND(TableRelationships12[[#This Row],[Source Type]]="BIM",TableRelationships12[[#This Row],[Target Type]]="BIM")</f>
        <v>#N/A</v>
      </c>
      <c r="Q768">
        <f t="shared" si="33"/>
        <v>1</v>
      </c>
      <c r="S768">
        <f t="shared" si="34"/>
        <v>1</v>
      </c>
      <c r="T768" s="102" t="str">
        <f>IF(TableRelationships12[[#This Row],[Rank Pedro]]="Low","linkCategory1",IF(TableRelationships12[[#This Row],[Rank Pedro]]="Medium","linkCategory2",IF(TableRelationships12[[#This Row],[Rank Pedro]]="High","linkCategory3","")))</f>
        <v/>
      </c>
      <c r="U768" s="102" t="str">
        <f>IF(TableRelationships12[[#This Row],[Rank Pedro]]="Low","Pink",IF(TableRelationships12[[#This Row],[Rank Pedro]]="Medium","Purple",IF(TableRelationships12[[#This Row],[Rank Pedro]]="High","Brown","")))</f>
        <v/>
      </c>
      <c r="V768" s="4" t="e">
        <f>MAX(INDEX(Standards!$F$2:$F$296,MATCH(B768,Standards!$B$2:$B$296,0)),INDEX(Standards!$F$2:$F$296,MATCH(C768,Standards!$B$2:$B$296,0)))</f>
        <v>#N/A</v>
      </c>
      <c r="W768" t="str">
        <f t="shared" si="35"/>
        <v>#2f89d1</v>
      </c>
    </row>
    <row r="769" spans="1:23" x14ac:dyDescent="0.5">
      <c r="A769" s="54">
        <v>768</v>
      </c>
      <c r="B769" s="90" t="s">
        <v>632</v>
      </c>
      <c r="C769" t="s">
        <v>1280</v>
      </c>
      <c r="D769" s="1"/>
      <c r="G769" s="107"/>
      <c r="H769">
        <f>INDEX('GIS-Standards'!$A$2:$A$305,MATCH(B769,'GIS-Standards'!$B$2:$B$305,0))</f>
        <v>30</v>
      </c>
      <c r="I769" t="e">
        <f>INDEX('GIS-Standards'!$A$2:$A$305,MATCH(C769,'GIS-Standards'!$B$2:$B$305,0))</f>
        <v>#N/A</v>
      </c>
      <c r="J769" t="str">
        <f>INDEX('GIS-Standards'!$O$2:$O$305,MATCH(B769,'GIS-Standards'!$B$2:$B$305,0))</f>
        <v>ISO/TC 211</v>
      </c>
      <c r="K769" t="e">
        <f>INDEX('GIS-Standards'!$O$2:$O$305,MATCH(C769,'GIS-Standards'!$B$2:$B$305,0))</f>
        <v>#N/A</v>
      </c>
      <c r="M769" t="s">
        <v>525</v>
      </c>
      <c r="N769">
        <f>INDEX('GIS-Standards'!$I$2:$I$305,MATCH(B769,'GIS-Standards'!$B$2:$B$305,0))</f>
        <v>0</v>
      </c>
      <c r="O769" t="e">
        <f>INDEX('GIS-Standards'!$I$2:$I$305,MATCH(C769,'GIS-Standards'!$B$2:$B$305,0))</f>
        <v>#N/A</v>
      </c>
      <c r="P769" t="e">
        <f>AND(TableRelationships12[[#This Row],[Source Type]]="BIM",TableRelationships12[[#This Row],[Target Type]]="BIM")</f>
        <v>#N/A</v>
      </c>
      <c r="Q769">
        <f t="shared" si="33"/>
        <v>1</v>
      </c>
      <c r="S769">
        <f t="shared" si="34"/>
        <v>1</v>
      </c>
      <c r="T769" s="102" t="str">
        <f>IF(TableRelationships12[[#This Row],[Rank Pedro]]="Low","linkCategory1",IF(TableRelationships12[[#This Row],[Rank Pedro]]="Medium","linkCategory2",IF(TableRelationships12[[#This Row],[Rank Pedro]]="High","linkCategory3","")))</f>
        <v/>
      </c>
      <c r="U769" s="102" t="str">
        <f>IF(TableRelationships12[[#This Row],[Rank Pedro]]="Low","Pink",IF(TableRelationships12[[#This Row],[Rank Pedro]]="Medium","Purple",IF(TableRelationships12[[#This Row],[Rank Pedro]]="High","Brown","")))</f>
        <v/>
      </c>
      <c r="V769" s="4" t="e">
        <f>MAX(INDEX(Standards!$F$2:$F$296,MATCH(B769,Standards!$B$2:$B$296,0)),INDEX(Standards!$F$2:$F$296,MATCH(C769,Standards!$B$2:$B$296,0)))</f>
        <v>#N/A</v>
      </c>
      <c r="W769" t="str">
        <f t="shared" si="35"/>
        <v>#2f89d1</v>
      </c>
    </row>
    <row r="770" spans="1:23" x14ac:dyDescent="0.5">
      <c r="A770" s="54">
        <v>769</v>
      </c>
      <c r="B770" s="90" t="s">
        <v>632</v>
      </c>
      <c r="C770" t="s">
        <v>1285</v>
      </c>
      <c r="D770" s="1"/>
      <c r="G770" s="107"/>
      <c r="H770">
        <f>INDEX('GIS-Standards'!$A$2:$A$305,MATCH(B770,'GIS-Standards'!$B$2:$B$305,0))</f>
        <v>30</v>
      </c>
      <c r="I770" t="e">
        <f>INDEX('GIS-Standards'!$A$2:$A$305,MATCH(C770,'GIS-Standards'!$B$2:$B$305,0))</f>
        <v>#N/A</v>
      </c>
      <c r="J770" t="str">
        <f>INDEX('GIS-Standards'!$O$2:$O$305,MATCH(B770,'GIS-Standards'!$B$2:$B$305,0))</f>
        <v>ISO/TC 211</v>
      </c>
      <c r="K770" t="e">
        <f>INDEX('GIS-Standards'!$O$2:$O$305,MATCH(C770,'GIS-Standards'!$B$2:$B$305,0))</f>
        <v>#N/A</v>
      </c>
      <c r="M770" t="s">
        <v>525</v>
      </c>
      <c r="N770">
        <f>INDEX('GIS-Standards'!$I$2:$I$305,MATCH(B770,'GIS-Standards'!$B$2:$B$305,0))</f>
        <v>0</v>
      </c>
      <c r="O770" t="e">
        <f>INDEX('GIS-Standards'!$I$2:$I$305,MATCH(C770,'GIS-Standards'!$B$2:$B$305,0))</f>
        <v>#N/A</v>
      </c>
      <c r="P770" t="e">
        <f>AND(TableRelationships12[[#This Row],[Source Type]]="BIM",TableRelationships12[[#This Row],[Target Type]]="BIM")</f>
        <v>#N/A</v>
      </c>
      <c r="Q770">
        <f t="shared" ref="Q770:Q833" si="36">IF(M770="Normative",6,IF(M770="Secondary",4,IF(M770="Anchor",2,1)))</f>
        <v>1</v>
      </c>
      <c r="S770">
        <f t="shared" ref="S770:S833" si="37">IF(R770="High",10,IF(R770="Medium",6,IF(R770="Low",2,1)))</f>
        <v>1</v>
      </c>
      <c r="T770" s="102" t="str">
        <f>IF(TableRelationships12[[#This Row],[Rank Pedro]]="Low","linkCategory1",IF(TableRelationships12[[#This Row],[Rank Pedro]]="Medium","linkCategory2",IF(TableRelationships12[[#This Row],[Rank Pedro]]="High","linkCategory3","")))</f>
        <v/>
      </c>
      <c r="U770" s="102" t="str">
        <f>IF(TableRelationships12[[#This Row],[Rank Pedro]]="Low","Pink",IF(TableRelationships12[[#This Row],[Rank Pedro]]="Medium","Purple",IF(TableRelationships12[[#This Row],[Rank Pedro]]="High","Brown","")))</f>
        <v/>
      </c>
      <c r="V770" s="4" t="e">
        <f>MAX(INDEX(Standards!$F$2:$F$296,MATCH(B770,Standards!$B$2:$B$296,0)),INDEX(Standards!$F$2:$F$296,MATCH(C770,Standards!$B$2:$B$296,0)))</f>
        <v>#N/A</v>
      </c>
      <c r="W770" t="str">
        <f t="shared" ref="W770:W833" si="38">IF(M770="Normative", "#d6bf2a", IF(M770="Informative", "#2f89d1", 1))</f>
        <v>#2f89d1</v>
      </c>
    </row>
    <row r="771" spans="1:23" x14ac:dyDescent="0.5">
      <c r="A771" s="54">
        <v>770</v>
      </c>
      <c r="B771" s="90" t="s">
        <v>632</v>
      </c>
      <c r="C771" t="s">
        <v>1286</v>
      </c>
      <c r="D771" s="1"/>
      <c r="G771" s="107"/>
      <c r="H771">
        <f>INDEX('GIS-Standards'!$A$2:$A$305,MATCH(B771,'GIS-Standards'!$B$2:$B$305,0))</f>
        <v>30</v>
      </c>
      <c r="I771" t="e">
        <f>INDEX('GIS-Standards'!$A$2:$A$305,MATCH(C771,'GIS-Standards'!$B$2:$B$305,0))</f>
        <v>#N/A</v>
      </c>
      <c r="J771" t="str">
        <f>INDEX('GIS-Standards'!$O$2:$O$305,MATCH(B771,'GIS-Standards'!$B$2:$B$305,0))</f>
        <v>ISO/TC 211</v>
      </c>
      <c r="K771" t="e">
        <f>INDEX('GIS-Standards'!$O$2:$O$305,MATCH(C771,'GIS-Standards'!$B$2:$B$305,0))</f>
        <v>#N/A</v>
      </c>
      <c r="M771" t="s">
        <v>525</v>
      </c>
      <c r="N771">
        <f>INDEX('GIS-Standards'!$I$2:$I$305,MATCH(B771,'GIS-Standards'!$B$2:$B$305,0))</f>
        <v>0</v>
      </c>
      <c r="O771" t="e">
        <f>INDEX('GIS-Standards'!$I$2:$I$305,MATCH(C771,'GIS-Standards'!$B$2:$B$305,0))</f>
        <v>#N/A</v>
      </c>
      <c r="P771" t="e">
        <f>AND(TableRelationships12[[#This Row],[Source Type]]="BIM",TableRelationships12[[#This Row],[Target Type]]="BIM")</f>
        <v>#N/A</v>
      </c>
      <c r="Q771">
        <f t="shared" si="36"/>
        <v>1</v>
      </c>
      <c r="S771">
        <f t="shared" si="37"/>
        <v>1</v>
      </c>
      <c r="T771" s="102" t="str">
        <f>IF(TableRelationships12[[#This Row],[Rank Pedro]]="Low","linkCategory1",IF(TableRelationships12[[#This Row],[Rank Pedro]]="Medium","linkCategory2",IF(TableRelationships12[[#This Row],[Rank Pedro]]="High","linkCategory3","")))</f>
        <v/>
      </c>
      <c r="U771" s="102" t="str">
        <f>IF(TableRelationships12[[#This Row],[Rank Pedro]]="Low","Pink",IF(TableRelationships12[[#This Row],[Rank Pedro]]="Medium","Purple",IF(TableRelationships12[[#This Row],[Rank Pedro]]="High","Brown","")))</f>
        <v/>
      </c>
      <c r="V771" s="4" t="e">
        <f>MAX(INDEX(Standards!$F$2:$F$296,MATCH(B771,Standards!$B$2:$B$296,0)),INDEX(Standards!$F$2:$F$296,MATCH(C771,Standards!$B$2:$B$296,0)))</f>
        <v>#N/A</v>
      </c>
      <c r="W771" t="str">
        <f t="shared" si="38"/>
        <v>#2f89d1</v>
      </c>
    </row>
    <row r="772" spans="1:23" x14ac:dyDescent="0.5">
      <c r="A772" s="54">
        <v>771</v>
      </c>
      <c r="B772" s="90" t="s">
        <v>632</v>
      </c>
      <c r="C772" t="s">
        <v>1287</v>
      </c>
      <c r="D772" s="1"/>
      <c r="G772" s="107"/>
      <c r="H772">
        <f>INDEX('GIS-Standards'!$A$2:$A$305,MATCH(B772,'GIS-Standards'!$B$2:$B$305,0))</f>
        <v>30</v>
      </c>
      <c r="I772" t="e">
        <f>INDEX('GIS-Standards'!$A$2:$A$305,MATCH(C772,'GIS-Standards'!$B$2:$B$305,0))</f>
        <v>#N/A</v>
      </c>
      <c r="J772" t="str">
        <f>INDEX('GIS-Standards'!$O$2:$O$305,MATCH(B772,'GIS-Standards'!$B$2:$B$305,0))</f>
        <v>ISO/TC 211</v>
      </c>
      <c r="K772" t="e">
        <f>INDEX('GIS-Standards'!$O$2:$O$305,MATCH(C772,'GIS-Standards'!$B$2:$B$305,0))</f>
        <v>#N/A</v>
      </c>
      <c r="M772" t="s">
        <v>525</v>
      </c>
      <c r="N772">
        <f>INDEX('GIS-Standards'!$I$2:$I$305,MATCH(B772,'GIS-Standards'!$B$2:$B$305,0))</f>
        <v>0</v>
      </c>
      <c r="O772" t="e">
        <f>INDEX('GIS-Standards'!$I$2:$I$305,MATCH(C772,'GIS-Standards'!$B$2:$B$305,0))</f>
        <v>#N/A</v>
      </c>
      <c r="P772" t="e">
        <f>AND(TableRelationships12[[#This Row],[Source Type]]="BIM",TableRelationships12[[#This Row],[Target Type]]="BIM")</f>
        <v>#N/A</v>
      </c>
      <c r="Q772">
        <f t="shared" si="36"/>
        <v>1</v>
      </c>
      <c r="S772">
        <f t="shared" si="37"/>
        <v>1</v>
      </c>
      <c r="T772" s="102" t="str">
        <f>IF(TableRelationships12[[#This Row],[Rank Pedro]]="Low","linkCategory1",IF(TableRelationships12[[#This Row],[Rank Pedro]]="Medium","linkCategory2",IF(TableRelationships12[[#This Row],[Rank Pedro]]="High","linkCategory3","")))</f>
        <v/>
      </c>
      <c r="U772" s="102" t="str">
        <f>IF(TableRelationships12[[#This Row],[Rank Pedro]]="Low","Pink",IF(TableRelationships12[[#This Row],[Rank Pedro]]="Medium","Purple",IF(TableRelationships12[[#This Row],[Rank Pedro]]="High","Brown","")))</f>
        <v/>
      </c>
      <c r="V772" s="4" t="e">
        <f>MAX(INDEX(Standards!$F$2:$F$296,MATCH(B772,Standards!$B$2:$B$296,0)),INDEX(Standards!$F$2:$F$296,MATCH(C772,Standards!$B$2:$B$296,0)))</f>
        <v>#N/A</v>
      </c>
      <c r="W772" t="str">
        <f t="shared" si="38"/>
        <v>#2f89d1</v>
      </c>
    </row>
    <row r="773" spans="1:23" x14ac:dyDescent="0.5">
      <c r="A773" s="54">
        <v>772</v>
      </c>
      <c r="B773" s="90" t="s">
        <v>632</v>
      </c>
      <c r="C773" t="s">
        <v>1288</v>
      </c>
      <c r="D773" s="1"/>
      <c r="G773" s="107"/>
      <c r="H773">
        <f>INDEX('GIS-Standards'!$A$2:$A$305,MATCH(B773,'GIS-Standards'!$B$2:$B$305,0))</f>
        <v>30</v>
      </c>
      <c r="I773" t="e">
        <f>INDEX('GIS-Standards'!$A$2:$A$305,MATCH(C773,'GIS-Standards'!$B$2:$B$305,0))</f>
        <v>#N/A</v>
      </c>
      <c r="J773" t="str">
        <f>INDEX('GIS-Standards'!$O$2:$O$305,MATCH(B773,'GIS-Standards'!$B$2:$B$305,0))</f>
        <v>ISO/TC 211</v>
      </c>
      <c r="K773" t="e">
        <f>INDEX('GIS-Standards'!$O$2:$O$305,MATCH(C773,'GIS-Standards'!$B$2:$B$305,0))</f>
        <v>#N/A</v>
      </c>
      <c r="M773" t="s">
        <v>525</v>
      </c>
      <c r="N773">
        <f>INDEX('GIS-Standards'!$I$2:$I$305,MATCH(B773,'GIS-Standards'!$B$2:$B$305,0))</f>
        <v>0</v>
      </c>
      <c r="O773" t="e">
        <f>INDEX('GIS-Standards'!$I$2:$I$305,MATCH(C773,'GIS-Standards'!$B$2:$B$305,0))</f>
        <v>#N/A</v>
      </c>
      <c r="P773" t="e">
        <f>AND(TableRelationships12[[#This Row],[Source Type]]="BIM",TableRelationships12[[#This Row],[Target Type]]="BIM")</f>
        <v>#N/A</v>
      </c>
      <c r="Q773">
        <f t="shared" si="36"/>
        <v>1</v>
      </c>
      <c r="S773">
        <f t="shared" si="37"/>
        <v>1</v>
      </c>
      <c r="T773" s="102" t="str">
        <f>IF(TableRelationships12[[#This Row],[Rank Pedro]]="Low","linkCategory1",IF(TableRelationships12[[#This Row],[Rank Pedro]]="Medium","linkCategory2",IF(TableRelationships12[[#This Row],[Rank Pedro]]="High","linkCategory3","")))</f>
        <v/>
      </c>
      <c r="U773" s="102" t="str">
        <f>IF(TableRelationships12[[#This Row],[Rank Pedro]]="Low","Pink",IF(TableRelationships12[[#This Row],[Rank Pedro]]="Medium","Purple",IF(TableRelationships12[[#This Row],[Rank Pedro]]="High","Brown","")))</f>
        <v/>
      </c>
      <c r="V773" s="4" t="e">
        <f>MAX(INDEX(Standards!$F$2:$F$296,MATCH(B773,Standards!$B$2:$B$296,0)),INDEX(Standards!$F$2:$F$296,MATCH(C773,Standards!$B$2:$B$296,0)))</f>
        <v>#N/A</v>
      </c>
      <c r="W773" t="str">
        <f t="shared" si="38"/>
        <v>#2f89d1</v>
      </c>
    </row>
    <row r="774" spans="1:23" x14ac:dyDescent="0.5">
      <c r="A774" s="54">
        <v>773</v>
      </c>
      <c r="B774" s="90" t="s">
        <v>632</v>
      </c>
      <c r="C774" t="s">
        <v>1289</v>
      </c>
      <c r="D774" s="1"/>
      <c r="G774" s="107"/>
      <c r="H774">
        <f>INDEX('GIS-Standards'!$A$2:$A$305,MATCH(B774,'GIS-Standards'!$B$2:$B$305,0))</f>
        <v>30</v>
      </c>
      <c r="I774" t="e">
        <f>INDEX('GIS-Standards'!$A$2:$A$305,MATCH(C774,'GIS-Standards'!$B$2:$B$305,0))</f>
        <v>#N/A</v>
      </c>
      <c r="J774" t="str">
        <f>INDEX('GIS-Standards'!$O$2:$O$305,MATCH(B774,'GIS-Standards'!$B$2:$B$305,0))</f>
        <v>ISO/TC 211</v>
      </c>
      <c r="K774" t="e">
        <f>INDEX('GIS-Standards'!$O$2:$O$305,MATCH(C774,'GIS-Standards'!$B$2:$B$305,0))</f>
        <v>#N/A</v>
      </c>
      <c r="M774" t="s">
        <v>525</v>
      </c>
      <c r="N774">
        <f>INDEX('GIS-Standards'!$I$2:$I$305,MATCH(B774,'GIS-Standards'!$B$2:$B$305,0))</f>
        <v>0</v>
      </c>
      <c r="O774" t="e">
        <f>INDEX('GIS-Standards'!$I$2:$I$305,MATCH(C774,'GIS-Standards'!$B$2:$B$305,0))</f>
        <v>#N/A</v>
      </c>
      <c r="P774" t="e">
        <f>AND(TableRelationships12[[#This Row],[Source Type]]="BIM",TableRelationships12[[#This Row],[Target Type]]="BIM")</f>
        <v>#N/A</v>
      </c>
      <c r="Q774">
        <f t="shared" si="36"/>
        <v>1</v>
      </c>
      <c r="S774">
        <f t="shared" si="37"/>
        <v>1</v>
      </c>
      <c r="T774" s="102" t="str">
        <f>IF(TableRelationships12[[#This Row],[Rank Pedro]]="Low","linkCategory1",IF(TableRelationships12[[#This Row],[Rank Pedro]]="Medium","linkCategory2",IF(TableRelationships12[[#This Row],[Rank Pedro]]="High","linkCategory3","")))</f>
        <v/>
      </c>
      <c r="U774" s="102" t="str">
        <f>IF(TableRelationships12[[#This Row],[Rank Pedro]]="Low","Pink",IF(TableRelationships12[[#This Row],[Rank Pedro]]="Medium","Purple",IF(TableRelationships12[[#This Row],[Rank Pedro]]="High","Brown","")))</f>
        <v/>
      </c>
      <c r="V774" s="4" t="e">
        <f>MAX(INDEX(Standards!$F$2:$F$296,MATCH(B774,Standards!$B$2:$B$296,0)),INDEX(Standards!$F$2:$F$296,MATCH(C774,Standards!$B$2:$B$296,0)))</f>
        <v>#N/A</v>
      </c>
      <c r="W774" t="str">
        <f t="shared" si="38"/>
        <v>#2f89d1</v>
      </c>
    </row>
    <row r="775" spans="1:23" x14ac:dyDescent="0.5">
      <c r="A775" s="54">
        <v>774</v>
      </c>
      <c r="B775" s="90" t="s">
        <v>632</v>
      </c>
      <c r="C775" t="s">
        <v>1287</v>
      </c>
      <c r="D775" s="1"/>
      <c r="G775" s="107"/>
      <c r="H775">
        <f>INDEX('GIS-Standards'!$A$2:$A$305,MATCH(B775,'GIS-Standards'!$B$2:$B$305,0))</f>
        <v>30</v>
      </c>
      <c r="I775" t="e">
        <f>INDEX('GIS-Standards'!$A$2:$A$305,MATCH(C775,'GIS-Standards'!$B$2:$B$305,0))</f>
        <v>#N/A</v>
      </c>
      <c r="J775" t="str">
        <f>INDEX('GIS-Standards'!$O$2:$O$305,MATCH(B775,'GIS-Standards'!$B$2:$B$305,0))</f>
        <v>ISO/TC 211</v>
      </c>
      <c r="K775" t="e">
        <f>INDEX('GIS-Standards'!$O$2:$O$305,MATCH(C775,'GIS-Standards'!$B$2:$B$305,0))</f>
        <v>#N/A</v>
      </c>
      <c r="M775" t="s">
        <v>525</v>
      </c>
      <c r="N775">
        <f>INDEX('GIS-Standards'!$I$2:$I$305,MATCH(B775,'GIS-Standards'!$B$2:$B$305,0))</f>
        <v>0</v>
      </c>
      <c r="O775" t="e">
        <f>INDEX('GIS-Standards'!$I$2:$I$305,MATCH(C775,'GIS-Standards'!$B$2:$B$305,0))</f>
        <v>#N/A</v>
      </c>
      <c r="P775" t="e">
        <f>AND(TableRelationships12[[#This Row],[Source Type]]="BIM",TableRelationships12[[#This Row],[Target Type]]="BIM")</f>
        <v>#N/A</v>
      </c>
      <c r="Q775">
        <f t="shared" si="36"/>
        <v>1</v>
      </c>
      <c r="S775">
        <f t="shared" si="37"/>
        <v>1</v>
      </c>
      <c r="T775" s="102" t="str">
        <f>IF(TableRelationships12[[#This Row],[Rank Pedro]]="Low","linkCategory1",IF(TableRelationships12[[#This Row],[Rank Pedro]]="Medium","linkCategory2",IF(TableRelationships12[[#This Row],[Rank Pedro]]="High","linkCategory3","")))</f>
        <v/>
      </c>
      <c r="U775" s="102" t="str">
        <f>IF(TableRelationships12[[#This Row],[Rank Pedro]]="Low","Pink",IF(TableRelationships12[[#This Row],[Rank Pedro]]="Medium","Purple",IF(TableRelationships12[[#This Row],[Rank Pedro]]="High","Brown","")))</f>
        <v/>
      </c>
      <c r="V775" s="4" t="e">
        <f>MAX(INDEX(Standards!$F$2:$F$296,MATCH(B775,Standards!$B$2:$B$296,0)),INDEX(Standards!$F$2:$F$296,MATCH(C775,Standards!$B$2:$B$296,0)))</f>
        <v>#N/A</v>
      </c>
      <c r="W775" t="str">
        <f t="shared" si="38"/>
        <v>#2f89d1</v>
      </c>
    </row>
    <row r="776" spans="1:23" x14ac:dyDescent="0.5">
      <c r="A776" s="54">
        <v>775</v>
      </c>
      <c r="B776" s="90" t="s">
        <v>632</v>
      </c>
      <c r="C776" t="s">
        <v>1087</v>
      </c>
      <c r="D776" s="1"/>
      <c r="G776" s="107"/>
      <c r="H776">
        <f>INDEX('GIS-Standards'!$A$2:$A$305,MATCH(B776,'GIS-Standards'!$B$2:$B$305,0))</f>
        <v>30</v>
      </c>
      <c r="I776" t="e">
        <f>INDEX('GIS-Standards'!$A$2:$A$305,MATCH(C776,'GIS-Standards'!$B$2:$B$305,0))</f>
        <v>#N/A</v>
      </c>
      <c r="J776" t="str">
        <f>INDEX('GIS-Standards'!$O$2:$O$305,MATCH(B776,'GIS-Standards'!$B$2:$B$305,0))</f>
        <v>ISO/TC 211</v>
      </c>
      <c r="K776" t="e">
        <f>INDEX('GIS-Standards'!$O$2:$O$305,MATCH(C776,'GIS-Standards'!$B$2:$B$305,0))</f>
        <v>#N/A</v>
      </c>
      <c r="M776" t="s">
        <v>525</v>
      </c>
      <c r="N776">
        <f>INDEX('GIS-Standards'!$I$2:$I$305,MATCH(B776,'GIS-Standards'!$B$2:$B$305,0))</f>
        <v>0</v>
      </c>
      <c r="O776" t="e">
        <f>INDEX('GIS-Standards'!$I$2:$I$305,MATCH(C776,'GIS-Standards'!$B$2:$B$305,0))</f>
        <v>#N/A</v>
      </c>
      <c r="P776" t="e">
        <f>AND(TableRelationships12[[#This Row],[Source Type]]="BIM",TableRelationships12[[#This Row],[Target Type]]="BIM")</f>
        <v>#N/A</v>
      </c>
      <c r="Q776">
        <f t="shared" si="36"/>
        <v>1</v>
      </c>
      <c r="S776">
        <f t="shared" si="37"/>
        <v>1</v>
      </c>
      <c r="T776" s="102" t="str">
        <f>IF(TableRelationships12[[#This Row],[Rank Pedro]]="Low","linkCategory1",IF(TableRelationships12[[#This Row],[Rank Pedro]]="Medium","linkCategory2",IF(TableRelationships12[[#This Row],[Rank Pedro]]="High","linkCategory3","")))</f>
        <v/>
      </c>
      <c r="U776" s="102" t="str">
        <f>IF(TableRelationships12[[#This Row],[Rank Pedro]]="Low","Pink",IF(TableRelationships12[[#This Row],[Rank Pedro]]="Medium","Purple",IF(TableRelationships12[[#This Row],[Rank Pedro]]="High","Brown","")))</f>
        <v/>
      </c>
      <c r="V776" s="4" t="e">
        <f>MAX(INDEX(Standards!$F$2:$F$296,MATCH(B776,Standards!$B$2:$B$296,0)),INDEX(Standards!$F$2:$F$296,MATCH(C776,Standards!$B$2:$B$296,0)))</f>
        <v>#N/A</v>
      </c>
      <c r="W776" t="str">
        <f t="shared" si="38"/>
        <v>#2f89d1</v>
      </c>
    </row>
    <row r="777" spans="1:23" x14ac:dyDescent="0.5">
      <c r="A777" s="54">
        <v>776</v>
      </c>
      <c r="B777" s="90" t="s">
        <v>632</v>
      </c>
      <c r="C777" t="s">
        <v>1290</v>
      </c>
      <c r="D777" s="1"/>
      <c r="G777" s="107"/>
      <c r="H777">
        <f>INDEX('GIS-Standards'!$A$2:$A$305,MATCH(B777,'GIS-Standards'!$B$2:$B$305,0))</f>
        <v>30</v>
      </c>
      <c r="I777" t="e">
        <f>INDEX('GIS-Standards'!$A$2:$A$305,MATCH(C777,'GIS-Standards'!$B$2:$B$305,0))</f>
        <v>#N/A</v>
      </c>
      <c r="J777" t="str">
        <f>INDEX('GIS-Standards'!$O$2:$O$305,MATCH(B777,'GIS-Standards'!$B$2:$B$305,0))</f>
        <v>ISO/TC 211</v>
      </c>
      <c r="K777" t="e">
        <f>INDEX('GIS-Standards'!$O$2:$O$305,MATCH(C777,'GIS-Standards'!$B$2:$B$305,0))</f>
        <v>#N/A</v>
      </c>
      <c r="M777" t="s">
        <v>525</v>
      </c>
      <c r="N777">
        <f>INDEX('GIS-Standards'!$I$2:$I$305,MATCH(B777,'GIS-Standards'!$B$2:$B$305,0))</f>
        <v>0</v>
      </c>
      <c r="O777" t="e">
        <f>INDEX('GIS-Standards'!$I$2:$I$305,MATCH(C777,'GIS-Standards'!$B$2:$B$305,0))</f>
        <v>#N/A</v>
      </c>
      <c r="P777" t="e">
        <f>AND(TableRelationships12[[#This Row],[Source Type]]="BIM",TableRelationships12[[#This Row],[Target Type]]="BIM")</f>
        <v>#N/A</v>
      </c>
      <c r="Q777">
        <f t="shared" si="36"/>
        <v>1</v>
      </c>
      <c r="S777">
        <f t="shared" si="37"/>
        <v>1</v>
      </c>
      <c r="T777" s="102" t="str">
        <f>IF(TableRelationships12[[#This Row],[Rank Pedro]]="Low","linkCategory1",IF(TableRelationships12[[#This Row],[Rank Pedro]]="Medium","linkCategory2",IF(TableRelationships12[[#This Row],[Rank Pedro]]="High","linkCategory3","")))</f>
        <v/>
      </c>
      <c r="U777" s="102" t="str">
        <f>IF(TableRelationships12[[#This Row],[Rank Pedro]]="Low","Pink",IF(TableRelationships12[[#This Row],[Rank Pedro]]="Medium","Purple",IF(TableRelationships12[[#This Row],[Rank Pedro]]="High","Brown","")))</f>
        <v/>
      </c>
      <c r="V777" s="4" t="e">
        <f>MAX(INDEX(Standards!$F$2:$F$296,MATCH(B777,Standards!$B$2:$B$296,0)),INDEX(Standards!$F$2:$F$296,MATCH(C777,Standards!$B$2:$B$296,0)))</f>
        <v>#N/A</v>
      </c>
      <c r="W777" t="str">
        <f t="shared" si="38"/>
        <v>#2f89d1</v>
      </c>
    </row>
    <row r="778" spans="1:23" x14ac:dyDescent="0.5">
      <c r="A778" s="54">
        <v>777</v>
      </c>
      <c r="B778" s="90" t="s">
        <v>632</v>
      </c>
      <c r="C778" t="s">
        <v>1163</v>
      </c>
      <c r="D778" s="1"/>
      <c r="G778" s="107"/>
      <c r="H778">
        <f>INDEX('GIS-Standards'!$A$2:$A$305,MATCH(B778,'GIS-Standards'!$B$2:$B$305,0))</f>
        <v>30</v>
      </c>
      <c r="I778" t="e">
        <f>INDEX('GIS-Standards'!$A$2:$A$305,MATCH(C778,'GIS-Standards'!$B$2:$B$305,0))</f>
        <v>#N/A</v>
      </c>
      <c r="J778" t="str">
        <f>INDEX('GIS-Standards'!$O$2:$O$305,MATCH(B778,'GIS-Standards'!$B$2:$B$305,0))</f>
        <v>ISO/TC 211</v>
      </c>
      <c r="K778" t="e">
        <f>INDEX('GIS-Standards'!$O$2:$O$305,MATCH(C778,'GIS-Standards'!$B$2:$B$305,0))</f>
        <v>#N/A</v>
      </c>
      <c r="M778" t="s">
        <v>525</v>
      </c>
      <c r="N778">
        <f>INDEX('GIS-Standards'!$I$2:$I$305,MATCH(B778,'GIS-Standards'!$B$2:$B$305,0))</f>
        <v>0</v>
      </c>
      <c r="O778" t="e">
        <f>INDEX('GIS-Standards'!$I$2:$I$305,MATCH(C778,'GIS-Standards'!$B$2:$B$305,0))</f>
        <v>#N/A</v>
      </c>
      <c r="P778" t="e">
        <f>AND(TableRelationships12[[#This Row],[Source Type]]="BIM",TableRelationships12[[#This Row],[Target Type]]="BIM")</f>
        <v>#N/A</v>
      </c>
      <c r="Q778">
        <f t="shared" si="36"/>
        <v>1</v>
      </c>
      <c r="S778">
        <f t="shared" si="37"/>
        <v>1</v>
      </c>
      <c r="T778" s="102" t="str">
        <f>IF(TableRelationships12[[#This Row],[Rank Pedro]]="Low","linkCategory1",IF(TableRelationships12[[#This Row],[Rank Pedro]]="Medium","linkCategory2",IF(TableRelationships12[[#This Row],[Rank Pedro]]="High","linkCategory3","")))</f>
        <v/>
      </c>
      <c r="U778" s="102" t="str">
        <f>IF(TableRelationships12[[#This Row],[Rank Pedro]]="Low","Pink",IF(TableRelationships12[[#This Row],[Rank Pedro]]="Medium","Purple",IF(TableRelationships12[[#This Row],[Rank Pedro]]="High","Brown","")))</f>
        <v/>
      </c>
      <c r="V778" s="4" t="e">
        <f>MAX(INDEX(Standards!$F$2:$F$296,MATCH(B778,Standards!$B$2:$B$296,0)),INDEX(Standards!$F$2:$F$296,MATCH(C778,Standards!$B$2:$B$296,0)))</f>
        <v>#N/A</v>
      </c>
      <c r="W778" t="str">
        <f t="shared" si="38"/>
        <v>#2f89d1</v>
      </c>
    </row>
    <row r="779" spans="1:23" x14ac:dyDescent="0.5">
      <c r="A779" s="54">
        <v>778</v>
      </c>
      <c r="B779" s="90" t="s">
        <v>632</v>
      </c>
      <c r="C779" t="s">
        <v>1291</v>
      </c>
      <c r="D779" s="1"/>
      <c r="G779" s="107"/>
      <c r="H779">
        <f>INDEX('GIS-Standards'!$A$2:$A$305,MATCH(B779,'GIS-Standards'!$B$2:$B$305,0))</f>
        <v>30</v>
      </c>
      <c r="I779" t="e">
        <f>INDEX('GIS-Standards'!$A$2:$A$305,MATCH(C779,'GIS-Standards'!$B$2:$B$305,0))</f>
        <v>#N/A</v>
      </c>
      <c r="J779" t="str">
        <f>INDEX('GIS-Standards'!$O$2:$O$305,MATCH(B779,'GIS-Standards'!$B$2:$B$305,0))</f>
        <v>ISO/TC 211</v>
      </c>
      <c r="K779" t="e">
        <f>INDEX('GIS-Standards'!$O$2:$O$305,MATCH(C779,'GIS-Standards'!$B$2:$B$305,0))</f>
        <v>#N/A</v>
      </c>
      <c r="M779" t="s">
        <v>525</v>
      </c>
      <c r="N779">
        <f>INDEX('GIS-Standards'!$I$2:$I$305,MATCH(B779,'GIS-Standards'!$B$2:$B$305,0))</f>
        <v>0</v>
      </c>
      <c r="O779" t="e">
        <f>INDEX('GIS-Standards'!$I$2:$I$305,MATCH(C779,'GIS-Standards'!$B$2:$B$305,0))</f>
        <v>#N/A</v>
      </c>
      <c r="P779" t="e">
        <f>AND(TableRelationships12[[#This Row],[Source Type]]="BIM",TableRelationships12[[#This Row],[Target Type]]="BIM")</f>
        <v>#N/A</v>
      </c>
      <c r="Q779">
        <f t="shared" si="36"/>
        <v>1</v>
      </c>
      <c r="S779">
        <f t="shared" si="37"/>
        <v>1</v>
      </c>
      <c r="T779" s="102" t="str">
        <f>IF(TableRelationships12[[#This Row],[Rank Pedro]]="Low","linkCategory1",IF(TableRelationships12[[#This Row],[Rank Pedro]]="Medium","linkCategory2",IF(TableRelationships12[[#This Row],[Rank Pedro]]="High","linkCategory3","")))</f>
        <v/>
      </c>
      <c r="U779" s="102" t="str">
        <f>IF(TableRelationships12[[#This Row],[Rank Pedro]]="Low","Pink",IF(TableRelationships12[[#This Row],[Rank Pedro]]="Medium","Purple",IF(TableRelationships12[[#This Row],[Rank Pedro]]="High","Brown","")))</f>
        <v/>
      </c>
      <c r="V779" s="4" t="e">
        <f>MAX(INDEX(Standards!$F$2:$F$296,MATCH(B779,Standards!$B$2:$B$296,0)),INDEX(Standards!$F$2:$F$296,MATCH(C779,Standards!$B$2:$B$296,0)))</f>
        <v>#N/A</v>
      </c>
      <c r="W779" t="str">
        <f t="shared" si="38"/>
        <v>#2f89d1</v>
      </c>
    </row>
    <row r="780" spans="1:23" x14ac:dyDescent="0.5">
      <c r="A780" s="54">
        <v>779</v>
      </c>
      <c r="B780" s="90" t="s">
        <v>632</v>
      </c>
      <c r="C780" t="s">
        <v>1292</v>
      </c>
      <c r="D780" s="1"/>
      <c r="G780" s="107"/>
      <c r="H780">
        <f>INDEX('GIS-Standards'!$A$2:$A$305,MATCH(B780,'GIS-Standards'!$B$2:$B$305,0))</f>
        <v>30</v>
      </c>
      <c r="I780" t="e">
        <f>INDEX('GIS-Standards'!$A$2:$A$305,MATCH(C780,'GIS-Standards'!$B$2:$B$305,0))</f>
        <v>#N/A</v>
      </c>
      <c r="J780" t="str">
        <f>INDEX('GIS-Standards'!$O$2:$O$305,MATCH(B780,'GIS-Standards'!$B$2:$B$305,0))</f>
        <v>ISO/TC 211</v>
      </c>
      <c r="K780" t="e">
        <f>INDEX('GIS-Standards'!$O$2:$O$305,MATCH(C780,'GIS-Standards'!$B$2:$B$305,0))</f>
        <v>#N/A</v>
      </c>
      <c r="M780" t="s">
        <v>525</v>
      </c>
      <c r="N780">
        <f>INDEX('GIS-Standards'!$I$2:$I$305,MATCH(B780,'GIS-Standards'!$B$2:$B$305,0))</f>
        <v>0</v>
      </c>
      <c r="O780" t="e">
        <f>INDEX('GIS-Standards'!$I$2:$I$305,MATCH(C780,'GIS-Standards'!$B$2:$B$305,0))</f>
        <v>#N/A</v>
      </c>
      <c r="P780" t="e">
        <f>AND(TableRelationships12[[#This Row],[Source Type]]="BIM",TableRelationships12[[#This Row],[Target Type]]="BIM")</f>
        <v>#N/A</v>
      </c>
      <c r="Q780">
        <f t="shared" si="36"/>
        <v>1</v>
      </c>
      <c r="S780">
        <f t="shared" si="37"/>
        <v>1</v>
      </c>
      <c r="T780" s="102" t="str">
        <f>IF(TableRelationships12[[#This Row],[Rank Pedro]]="Low","linkCategory1",IF(TableRelationships12[[#This Row],[Rank Pedro]]="Medium","linkCategory2",IF(TableRelationships12[[#This Row],[Rank Pedro]]="High","linkCategory3","")))</f>
        <v/>
      </c>
      <c r="U780" s="102" t="str">
        <f>IF(TableRelationships12[[#This Row],[Rank Pedro]]="Low","Pink",IF(TableRelationships12[[#This Row],[Rank Pedro]]="Medium","Purple",IF(TableRelationships12[[#This Row],[Rank Pedro]]="High","Brown","")))</f>
        <v/>
      </c>
      <c r="V780" s="4" t="e">
        <f>MAX(INDEX(Standards!$F$2:$F$296,MATCH(B780,Standards!$B$2:$B$296,0)),INDEX(Standards!$F$2:$F$296,MATCH(C780,Standards!$B$2:$B$296,0)))</f>
        <v>#N/A</v>
      </c>
      <c r="W780" t="str">
        <f t="shared" si="38"/>
        <v>#2f89d1</v>
      </c>
    </row>
    <row r="781" spans="1:23" x14ac:dyDescent="0.5">
      <c r="A781" s="54">
        <v>780</v>
      </c>
      <c r="B781" s="90" t="s">
        <v>632</v>
      </c>
      <c r="C781" t="s">
        <v>1288</v>
      </c>
      <c r="D781" s="1"/>
      <c r="G781" s="107"/>
      <c r="H781">
        <f>INDEX('GIS-Standards'!$A$2:$A$305,MATCH(B781,'GIS-Standards'!$B$2:$B$305,0))</f>
        <v>30</v>
      </c>
      <c r="I781" t="e">
        <f>INDEX('GIS-Standards'!$A$2:$A$305,MATCH(C781,'GIS-Standards'!$B$2:$B$305,0))</f>
        <v>#N/A</v>
      </c>
      <c r="J781" t="str">
        <f>INDEX('GIS-Standards'!$O$2:$O$305,MATCH(B781,'GIS-Standards'!$B$2:$B$305,0))</f>
        <v>ISO/TC 211</v>
      </c>
      <c r="K781" t="e">
        <f>INDEX('GIS-Standards'!$O$2:$O$305,MATCH(C781,'GIS-Standards'!$B$2:$B$305,0))</f>
        <v>#N/A</v>
      </c>
      <c r="M781" t="s">
        <v>525</v>
      </c>
      <c r="N781">
        <f>INDEX('GIS-Standards'!$I$2:$I$305,MATCH(B781,'GIS-Standards'!$B$2:$B$305,0))</f>
        <v>0</v>
      </c>
      <c r="O781" t="e">
        <f>INDEX('GIS-Standards'!$I$2:$I$305,MATCH(C781,'GIS-Standards'!$B$2:$B$305,0))</f>
        <v>#N/A</v>
      </c>
      <c r="P781" t="e">
        <f>AND(TableRelationships12[[#This Row],[Source Type]]="BIM",TableRelationships12[[#This Row],[Target Type]]="BIM")</f>
        <v>#N/A</v>
      </c>
      <c r="Q781">
        <f t="shared" si="36"/>
        <v>1</v>
      </c>
      <c r="S781">
        <f t="shared" si="37"/>
        <v>1</v>
      </c>
      <c r="T781" s="102" t="str">
        <f>IF(TableRelationships12[[#This Row],[Rank Pedro]]="Low","linkCategory1",IF(TableRelationships12[[#This Row],[Rank Pedro]]="Medium","linkCategory2",IF(TableRelationships12[[#This Row],[Rank Pedro]]="High","linkCategory3","")))</f>
        <v/>
      </c>
      <c r="U781" s="102" t="str">
        <f>IF(TableRelationships12[[#This Row],[Rank Pedro]]="Low","Pink",IF(TableRelationships12[[#This Row],[Rank Pedro]]="Medium","Purple",IF(TableRelationships12[[#This Row],[Rank Pedro]]="High","Brown","")))</f>
        <v/>
      </c>
      <c r="V781" s="4" t="e">
        <f>MAX(INDEX(Standards!$F$2:$F$296,MATCH(B781,Standards!$B$2:$B$296,0)),INDEX(Standards!$F$2:$F$296,MATCH(C781,Standards!$B$2:$B$296,0)))</f>
        <v>#N/A</v>
      </c>
      <c r="W781" t="str">
        <f t="shared" si="38"/>
        <v>#2f89d1</v>
      </c>
    </row>
    <row r="782" spans="1:23" x14ac:dyDescent="0.5">
      <c r="A782" s="54">
        <v>781</v>
      </c>
      <c r="B782" s="90" t="s">
        <v>632</v>
      </c>
      <c r="C782" t="s">
        <v>1293</v>
      </c>
      <c r="D782" s="1"/>
      <c r="G782" s="107"/>
      <c r="H782">
        <f>INDEX('GIS-Standards'!$A$2:$A$305,MATCH(B782,'GIS-Standards'!$B$2:$B$305,0))</f>
        <v>30</v>
      </c>
      <c r="I782" t="e">
        <f>INDEX('GIS-Standards'!$A$2:$A$305,MATCH(C782,'GIS-Standards'!$B$2:$B$305,0))</f>
        <v>#N/A</v>
      </c>
      <c r="J782" t="str">
        <f>INDEX('GIS-Standards'!$O$2:$O$305,MATCH(B782,'GIS-Standards'!$B$2:$B$305,0))</f>
        <v>ISO/TC 211</v>
      </c>
      <c r="K782" t="e">
        <f>INDEX('GIS-Standards'!$O$2:$O$305,MATCH(C782,'GIS-Standards'!$B$2:$B$305,0))</f>
        <v>#N/A</v>
      </c>
      <c r="M782" t="s">
        <v>525</v>
      </c>
      <c r="N782">
        <f>INDEX('GIS-Standards'!$I$2:$I$305,MATCH(B782,'GIS-Standards'!$B$2:$B$305,0))</f>
        <v>0</v>
      </c>
      <c r="O782" t="e">
        <f>INDEX('GIS-Standards'!$I$2:$I$305,MATCH(C782,'GIS-Standards'!$B$2:$B$305,0))</f>
        <v>#N/A</v>
      </c>
      <c r="P782" t="e">
        <f>AND(TableRelationships12[[#This Row],[Source Type]]="BIM",TableRelationships12[[#This Row],[Target Type]]="BIM")</f>
        <v>#N/A</v>
      </c>
      <c r="Q782">
        <f t="shared" si="36"/>
        <v>1</v>
      </c>
      <c r="S782">
        <f t="shared" si="37"/>
        <v>1</v>
      </c>
      <c r="T782" s="102" t="str">
        <f>IF(TableRelationships12[[#This Row],[Rank Pedro]]="Low","linkCategory1",IF(TableRelationships12[[#This Row],[Rank Pedro]]="Medium","linkCategory2",IF(TableRelationships12[[#This Row],[Rank Pedro]]="High","linkCategory3","")))</f>
        <v/>
      </c>
      <c r="U782" s="102" t="str">
        <f>IF(TableRelationships12[[#This Row],[Rank Pedro]]="Low","Pink",IF(TableRelationships12[[#This Row],[Rank Pedro]]="Medium","Purple",IF(TableRelationships12[[#This Row],[Rank Pedro]]="High","Brown","")))</f>
        <v/>
      </c>
      <c r="V782" s="4" t="e">
        <f>MAX(INDEX(Standards!$F$2:$F$296,MATCH(B782,Standards!$B$2:$B$296,0)),INDEX(Standards!$F$2:$F$296,MATCH(C782,Standards!$B$2:$B$296,0)))</f>
        <v>#N/A</v>
      </c>
      <c r="W782" t="str">
        <f t="shared" si="38"/>
        <v>#2f89d1</v>
      </c>
    </row>
    <row r="783" spans="1:23" x14ac:dyDescent="0.5">
      <c r="A783" s="54">
        <v>782</v>
      </c>
      <c r="B783" s="90" t="s">
        <v>632</v>
      </c>
      <c r="C783" t="s">
        <v>1169</v>
      </c>
      <c r="D783" s="1"/>
      <c r="G783" s="107"/>
      <c r="H783">
        <f>INDEX('GIS-Standards'!$A$2:$A$305,MATCH(B783,'GIS-Standards'!$B$2:$B$305,0))</f>
        <v>30</v>
      </c>
      <c r="I783" t="e">
        <f>INDEX('GIS-Standards'!$A$2:$A$305,MATCH(C783,'GIS-Standards'!$B$2:$B$305,0))</f>
        <v>#N/A</v>
      </c>
      <c r="J783" t="str">
        <f>INDEX('GIS-Standards'!$O$2:$O$305,MATCH(B783,'GIS-Standards'!$B$2:$B$305,0))</f>
        <v>ISO/TC 211</v>
      </c>
      <c r="K783" t="e">
        <f>INDEX('GIS-Standards'!$O$2:$O$305,MATCH(C783,'GIS-Standards'!$B$2:$B$305,0))</f>
        <v>#N/A</v>
      </c>
      <c r="M783" t="s">
        <v>525</v>
      </c>
      <c r="N783">
        <f>INDEX('GIS-Standards'!$I$2:$I$305,MATCH(B783,'GIS-Standards'!$B$2:$B$305,0))</f>
        <v>0</v>
      </c>
      <c r="O783" t="e">
        <f>INDEX('GIS-Standards'!$I$2:$I$305,MATCH(C783,'GIS-Standards'!$B$2:$B$305,0))</f>
        <v>#N/A</v>
      </c>
      <c r="P783" t="e">
        <f>AND(TableRelationships12[[#This Row],[Source Type]]="BIM",TableRelationships12[[#This Row],[Target Type]]="BIM")</f>
        <v>#N/A</v>
      </c>
      <c r="Q783">
        <f t="shared" si="36"/>
        <v>1</v>
      </c>
      <c r="S783">
        <f t="shared" si="37"/>
        <v>1</v>
      </c>
      <c r="T783" s="102" t="str">
        <f>IF(TableRelationships12[[#This Row],[Rank Pedro]]="Low","linkCategory1",IF(TableRelationships12[[#This Row],[Rank Pedro]]="Medium","linkCategory2",IF(TableRelationships12[[#This Row],[Rank Pedro]]="High","linkCategory3","")))</f>
        <v/>
      </c>
      <c r="U783" s="102" t="str">
        <f>IF(TableRelationships12[[#This Row],[Rank Pedro]]="Low","Pink",IF(TableRelationships12[[#This Row],[Rank Pedro]]="Medium","Purple",IF(TableRelationships12[[#This Row],[Rank Pedro]]="High","Brown","")))</f>
        <v/>
      </c>
      <c r="V783" s="4" t="e">
        <f>MAX(INDEX(Standards!$F$2:$F$296,MATCH(B783,Standards!$B$2:$B$296,0)),INDEX(Standards!$F$2:$F$296,MATCH(C783,Standards!$B$2:$B$296,0)))</f>
        <v>#N/A</v>
      </c>
      <c r="W783" t="str">
        <f t="shared" si="38"/>
        <v>#2f89d1</v>
      </c>
    </row>
    <row r="784" spans="1:23" x14ac:dyDescent="0.5">
      <c r="A784" s="54">
        <v>783</v>
      </c>
      <c r="B784" s="90" t="s">
        <v>632</v>
      </c>
      <c r="C784" t="s">
        <v>1556</v>
      </c>
      <c r="D784" s="1"/>
      <c r="G784" s="107"/>
      <c r="H784">
        <f>INDEX('GIS-Standards'!$A$2:$A$305,MATCH(B784,'GIS-Standards'!$B$2:$B$305,0))</f>
        <v>30</v>
      </c>
      <c r="I784" t="e">
        <f>INDEX('GIS-Standards'!$A$2:$A$305,MATCH(C784,'GIS-Standards'!$B$2:$B$305,0))</f>
        <v>#N/A</v>
      </c>
      <c r="J784" t="str">
        <f>INDEX('GIS-Standards'!$O$2:$O$305,MATCH(B784,'GIS-Standards'!$B$2:$B$305,0))</f>
        <v>ISO/TC 211</v>
      </c>
      <c r="K784" t="e">
        <f>INDEX('GIS-Standards'!$O$2:$O$305,MATCH(C784,'GIS-Standards'!$B$2:$B$305,0))</f>
        <v>#N/A</v>
      </c>
      <c r="M784" t="s">
        <v>525</v>
      </c>
      <c r="N784">
        <f>INDEX('GIS-Standards'!$I$2:$I$305,MATCH(B784,'GIS-Standards'!$B$2:$B$305,0))</f>
        <v>0</v>
      </c>
      <c r="O784" t="e">
        <f>INDEX('GIS-Standards'!$I$2:$I$305,MATCH(C784,'GIS-Standards'!$B$2:$B$305,0))</f>
        <v>#N/A</v>
      </c>
      <c r="P784" t="e">
        <f>AND(TableRelationships12[[#This Row],[Source Type]]="BIM",TableRelationships12[[#This Row],[Target Type]]="BIM")</f>
        <v>#N/A</v>
      </c>
      <c r="Q784">
        <f t="shared" si="36"/>
        <v>1</v>
      </c>
      <c r="S784">
        <f t="shared" si="37"/>
        <v>1</v>
      </c>
      <c r="T784" s="102" t="str">
        <f>IF(TableRelationships12[[#This Row],[Rank Pedro]]="Low","linkCategory1",IF(TableRelationships12[[#This Row],[Rank Pedro]]="Medium","linkCategory2",IF(TableRelationships12[[#This Row],[Rank Pedro]]="High","linkCategory3","")))</f>
        <v/>
      </c>
      <c r="U784" s="102" t="str">
        <f>IF(TableRelationships12[[#This Row],[Rank Pedro]]="Low","Pink",IF(TableRelationships12[[#This Row],[Rank Pedro]]="Medium","Purple",IF(TableRelationships12[[#This Row],[Rank Pedro]]="High","Brown","")))</f>
        <v/>
      </c>
      <c r="V784" s="4" t="e">
        <f>MAX(INDEX(Standards!$F$2:$F$296,MATCH(B784,Standards!$B$2:$B$296,0)),INDEX(Standards!$F$2:$F$296,MATCH(C784,Standards!$B$2:$B$296,0)))</f>
        <v>#N/A</v>
      </c>
      <c r="W784" t="str">
        <f t="shared" si="38"/>
        <v>#2f89d1</v>
      </c>
    </row>
    <row r="785" spans="1:23" x14ac:dyDescent="0.5">
      <c r="A785" s="54">
        <v>784</v>
      </c>
      <c r="B785" s="90" t="s">
        <v>632</v>
      </c>
      <c r="C785" t="s">
        <v>1555</v>
      </c>
      <c r="D785" s="1"/>
      <c r="G785" s="107"/>
      <c r="H785">
        <f>INDEX('GIS-Standards'!$A$2:$A$305,MATCH(B785,'GIS-Standards'!$B$2:$B$305,0))</f>
        <v>30</v>
      </c>
      <c r="I785" t="e">
        <f>INDEX('GIS-Standards'!$A$2:$A$305,MATCH(C785,'GIS-Standards'!$B$2:$B$305,0))</f>
        <v>#N/A</v>
      </c>
      <c r="J785" t="str">
        <f>INDEX('GIS-Standards'!$O$2:$O$305,MATCH(B785,'GIS-Standards'!$B$2:$B$305,0))</f>
        <v>ISO/TC 211</v>
      </c>
      <c r="K785" t="e">
        <f>INDEX('GIS-Standards'!$O$2:$O$305,MATCH(C785,'GIS-Standards'!$B$2:$B$305,0))</f>
        <v>#N/A</v>
      </c>
      <c r="M785" t="s">
        <v>525</v>
      </c>
      <c r="N785">
        <f>INDEX('GIS-Standards'!$I$2:$I$305,MATCH(B785,'GIS-Standards'!$B$2:$B$305,0))</f>
        <v>0</v>
      </c>
      <c r="O785" t="e">
        <f>INDEX('GIS-Standards'!$I$2:$I$305,MATCH(C785,'GIS-Standards'!$B$2:$B$305,0))</f>
        <v>#N/A</v>
      </c>
      <c r="P785" t="e">
        <f>AND(TableRelationships12[[#This Row],[Source Type]]="BIM",TableRelationships12[[#This Row],[Target Type]]="BIM")</f>
        <v>#N/A</v>
      </c>
      <c r="Q785">
        <f t="shared" si="36"/>
        <v>1</v>
      </c>
      <c r="S785">
        <f t="shared" si="37"/>
        <v>1</v>
      </c>
      <c r="T785" s="102" t="str">
        <f>IF(TableRelationships12[[#This Row],[Rank Pedro]]="Low","linkCategory1",IF(TableRelationships12[[#This Row],[Rank Pedro]]="Medium","linkCategory2",IF(TableRelationships12[[#This Row],[Rank Pedro]]="High","linkCategory3","")))</f>
        <v/>
      </c>
      <c r="U785" s="102" t="str">
        <f>IF(TableRelationships12[[#This Row],[Rank Pedro]]="Low","Pink",IF(TableRelationships12[[#This Row],[Rank Pedro]]="Medium","Purple",IF(TableRelationships12[[#This Row],[Rank Pedro]]="High","Brown","")))</f>
        <v/>
      </c>
      <c r="V785" s="4" t="e">
        <f>MAX(INDEX(Standards!$F$2:$F$296,MATCH(B785,Standards!$B$2:$B$296,0)),INDEX(Standards!$F$2:$F$296,MATCH(C785,Standards!$B$2:$B$296,0)))</f>
        <v>#N/A</v>
      </c>
      <c r="W785" t="str">
        <f t="shared" si="38"/>
        <v>#2f89d1</v>
      </c>
    </row>
    <row r="786" spans="1:23" x14ac:dyDescent="0.5">
      <c r="A786" s="54">
        <v>785</v>
      </c>
      <c r="B786" s="90" t="s">
        <v>632</v>
      </c>
      <c r="C786" t="s">
        <v>1597</v>
      </c>
      <c r="D786" s="1"/>
      <c r="G786" s="107"/>
      <c r="H786">
        <f>INDEX('GIS-Standards'!$A$2:$A$305,MATCH(B786,'GIS-Standards'!$B$2:$B$305,0))</f>
        <v>30</v>
      </c>
      <c r="I786" t="e">
        <f>INDEX('GIS-Standards'!$A$2:$A$305,MATCH(C786,'GIS-Standards'!$B$2:$B$305,0))</f>
        <v>#N/A</v>
      </c>
      <c r="J786" t="str">
        <f>INDEX('GIS-Standards'!$O$2:$O$305,MATCH(B786,'GIS-Standards'!$B$2:$B$305,0))</f>
        <v>ISO/TC 211</v>
      </c>
      <c r="K786" t="e">
        <f>INDEX('GIS-Standards'!$O$2:$O$305,MATCH(C786,'GIS-Standards'!$B$2:$B$305,0))</f>
        <v>#N/A</v>
      </c>
      <c r="M786" t="s">
        <v>525</v>
      </c>
      <c r="N786">
        <f>INDEX('GIS-Standards'!$I$2:$I$305,MATCH(B786,'GIS-Standards'!$B$2:$B$305,0))</f>
        <v>0</v>
      </c>
      <c r="O786" t="e">
        <f>INDEX('GIS-Standards'!$I$2:$I$305,MATCH(C786,'GIS-Standards'!$B$2:$B$305,0))</f>
        <v>#N/A</v>
      </c>
      <c r="P786" t="e">
        <f>AND(TableRelationships12[[#This Row],[Source Type]]="BIM",TableRelationships12[[#This Row],[Target Type]]="BIM")</f>
        <v>#N/A</v>
      </c>
      <c r="Q786">
        <f t="shared" si="36"/>
        <v>1</v>
      </c>
      <c r="S786">
        <f t="shared" si="37"/>
        <v>1</v>
      </c>
      <c r="T786" s="102" t="str">
        <f>IF(TableRelationships12[[#This Row],[Rank Pedro]]="Low","linkCategory1",IF(TableRelationships12[[#This Row],[Rank Pedro]]="Medium","linkCategory2",IF(TableRelationships12[[#This Row],[Rank Pedro]]="High","linkCategory3","")))</f>
        <v/>
      </c>
      <c r="U786" s="102" t="str">
        <f>IF(TableRelationships12[[#This Row],[Rank Pedro]]="Low","Pink",IF(TableRelationships12[[#This Row],[Rank Pedro]]="Medium","Purple",IF(TableRelationships12[[#This Row],[Rank Pedro]]="High","Brown","")))</f>
        <v/>
      </c>
      <c r="V786" s="4" t="e">
        <f>MAX(INDEX(Standards!$F$2:$F$296,MATCH(B786,Standards!$B$2:$B$296,0)),INDEX(Standards!$F$2:$F$296,MATCH(C786,Standards!$B$2:$B$296,0)))</f>
        <v>#N/A</v>
      </c>
      <c r="W786" t="str">
        <f t="shared" si="38"/>
        <v>#2f89d1</v>
      </c>
    </row>
    <row r="787" spans="1:23" x14ac:dyDescent="0.5">
      <c r="A787" s="54">
        <v>786</v>
      </c>
      <c r="B787" s="90" t="s">
        <v>632</v>
      </c>
      <c r="C787" t="s">
        <v>1593</v>
      </c>
      <c r="D787" s="1"/>
      <c r="G787" s="107"/>
      <c r="H787">
        <f>INDEX('GIS-Standards'!$A$2:$A$305,MATCH(B787,'GIS-Standards'!$B$2:$B$305,0))</f>
        <v>30</v>
      </c>
      <c r="I787" t="e">
        <f>INDEX('GIS-Standards'!$A$2:$A$305,MATCH(C787,'GIS-Standards'!$B$2:$B$305,0))</f>
        <v>#N/A</v>
      </c>
      <c r="J787" t="str">
        <f>INDEX('GIS-Standards'!$O$2:$O$305,MATCH(B787,'GIS-Standards'!$B$2:$B$305,0))</f>
        <v>ISO/TC 211</v>
      </c>
      <c r="K787" t="e">
        <f>INDEX('GIS-Standards'!$O$2:$O$305,MATCH(C787,'GIS-Standards'!$B$2:$B$305,0))</f>
        <v>#N/A</v>
      </c>
      <c r="M787" t="s">
        <v>525</v>
      </c>
      <c r="N787">
        <f>INDEX('GIS-Standards'!$I$2:$I$305,MATCH(B787,'GIS-Standards'!$B$2:$B$305,0))</f>
        <v>0</v>
      </c>
      <c r="O787" t="e">
        <f>INDEX('GIS-Standards'!$I$2:$I$305,MATCH(C787,'GIS-Standards'!$B$2:$B$305,0))</f>
        <v>#N/A</v>
      </c>
      <c r="P787" t="e">
        <f>AND(TableRelationships12[[#This Row],[Source Type]]="BIM",TableRelationships12[[#This Row],[Target Type]]="BIM")</f>
        <v>#N/A</v>
      </c>
      <c r="Q787">
        <f t="shared" si="36"/>
        <v>1</v>
      </c>
      <c r="S787">
        <f t="shared" si="37"/>
        <v>1</v>
      </c>
      <c r="T787" s="102" t="str">
        <f>IF(TableRelationships12[[#This Row],[Rank Pedro]]="Low","linkCategory1",IF(TableRelationships12[[#This Row],[Rank Pedro]]="Medium","linkCategory2",IF(TableRelationships12[[#This Row],[Rank Pedro]]="High","linkCategory3","")))</f>
        <v/>
      </c>
      <c r="U787" s="102" t="str">
        <f>IF(TableRelationships12[[#This Row],[Rank Pedro]]="Low","Pink",IF(TableRelationships12[[#This Row],[Rank Pedro]]="Medium","Purple",IF(TableRelationships12[[#This Row],[Rank Pedro]]="High","Brown","")))</f>
        <v/>
      </c>
      <c r="V787" s="4" t="e">
        <f>MAX(INDEX(Standards!$F$2:$F$296,MATCH(B787,Standards!$B$2:$B$296,0)),INDEX(Standards!$F$2:$F$296,MATCH(C787,Standards!$B$2:$B$296,0)))</f>
        <v>#N/A</v>
      </c>
      <c r="W787" t="str">
        <f t="shared" si="38"/>
        <v>#2f89d1</v>
      </c>
    </row>
    <row r="788" spans="1:23" x14ac:dyDescent="0.5">
      <c r="A788" s="54">
        <v>787</v>
      </c>
      <c r="B788" s="90" t="s">
        <v>632</v>
      </c>
      <c r="C788" t="s">
        <v>1593</v>
      </c>
      <c r="D788" s="1"/>
      <c r="G788" s="107"/>
      <c r="H788">
        <f>INDEX('GIS-Standards'!$A$2:$A$305,MATCH(B788,'GIS-Standards'!$B$2:$B$305,0))</f>
        <v>30</v>
      </c>
      <c r="I788" t="e">
        <f>INDEX('GIS-Standards'!$A$2:$A$305,MATCH(C788,'GIS-Standards'!$B$2:$B$305,0))</f>
        <v>#N/A</v>
      </c>
      <c r="J788" t="str">
        <f>INDEX('GIS-Standards'!$O$2:$O$305,MATCH(B788,'GIS-Standards'!$B$2:$B$305,0))</f>
        <v>ISO/TC 211</v>
      </c>
      <c r="K788" t="e">
        <f>INDEX('GIS-Standards'!$O$2:$O$305,MATCH(C788,'GIS-Standards'!$B$2:$B$305,0))</f>
        <v>#N/A</v>
      </c>
      <c r="M788" t="s">
        <v>525</v>
      </c>
      <c r="N788">
        <f>INDEX('GIS-Standards'!$I$2:$I$305,MATCH(B788,'GIS-Standards'!$B$2:$B$305,0))</f>
        <v>0</v>
      </c>
      <c r="O788" t="e">
        <f>INDEX('GIS-Standards'!$I$2:$I$305,MATCH(C788,'GIS-Standards'!$B$2:$B$305,0))</f>
        <v>#N/A</v>
      </c>
      <c r="P788" t="e">
        <f>AND(TableRelationships12[[#This Row],[Source Type]]="BIM",TableRelationships12[[#This Row],[Target Type]]="BIM")</f>
        <v>#N/A</v>
      </c>
      <c r="Q788">
        <f t="shared" si="36"/>
        <v>1</v>
      </c>
      <c r="S788">
        <f t="shared" si="37"/>
        <v>1</v>
      </c>
      <c r="T788" s="102" t="str">
        <f>IF(TableRelationships12[[#This Row],[Rank Pedro]]="Low","linkCategory1",IF(TableRelationships12[[#This Row],[Rank Pedro]]="Medium","linkCategory2",IF(TableRelationships12[[#This Row],[Rank Pedro]]="High","linkCategory3","")))</f>
        <v/>
      </c>
      <c r="U788" s="102" t="str">
        <f>IF(TableRelationships12[[#This Row],[Rank Pedro]]="Low","Pink",IF(TableRelationships12[[#This Row],[Rank Pedro]]="Medium","Purple",IF(TableRelationships12[[#This Row],[Rank Pedro]]="High","Brown","")))</f>
        <v/>
      </c>
      <c r="V788" s="4" t="e">
        <f>MAX(INDEX(Standards!$F$2:$F$296,MATCH(B788,Standards!$B$2:$B$296,0)),INDEX(Standards!$F$2:$F$296,MATCH(C788,Standards!$B$2:$B$296,0)))</f>
        <v>#N/A</v>
      </c>
      <c r="W788" t="str">
        <f t="shared" si="38"/>
        <v>#2f89d1</v>
      </c>
    </row>
    <row r="789" spans="1:23" x14ac:dyDescent="0.5">
      <c r="A789" s="54">
        <v>788</v>
      </c>
      <c r="B789" s="90" t="s">
        <v>632</v>
      </c>
      <c r="C789" t="s">
        <v>1579</v>
      </c>
      <c r="D789" s="1"/>
      <c r="G789" s="107"/>
      <c r="H789">
        <f>INDEX('GIS-Standards'!$A$2:$A$305,MATCH(B789,'GIS-Standards'!$B$2:$B$305,0))</f>
        <v>30</v>
      </c>
      <c r="I789" t="e">
        <f>INDEX('GIS-Standards'!$A$2:$A$305,MATCH(C789,'GIS-Standards'!$B$2:$B$305,0))</f>
        <v>#N/A</v>
      </c>
      <c r="J789" t="str">
        <f>INDEX('GIS-Standards'!$O$2:$O$305,MATCH(B789,'GIS-Standards'!$B$2:$B$305,0))</f>
        <v>ISO/TC 211</v>
      </c>
      <c r="K789" t="e">
        <f>INDEX('GIS-Standards'!$O$2:$O$305,MATCH(C789,'GIS-Standards'!$B$2:$B$305,0))</f>
        <v>#N/A</v>
      </c>
      <c r="M789" t="s">
        <v>525</v>
      </c>
      <c r="N789">
        <f>INDEX('GIS-Standards'!$I$2:$I$305,MATCH(B789,'GIS-Standards'!$B$2:$B$305,0))</f>
        <v>0</v>
      </c>
      <c r="O789" t="e">
        <f>INDEX('GIS-Standards'!$I$2:$I$305,MATCH(C789,'GIS-Standards'!$B$2:$B$305,0))</f>
        <v>#N/A</v>
      </c>
      <c r="P789" t="e">
        <f>AND(TableRelationships12[[#This Row],[Source Type]]="BIM",TableRelationships12[[#This Row],[Target Type]]="BIM")</f>
        <v>#N/A</v>
      </c>
      <c r="Q789">
        <f t="shared" si="36"/>
        <v>1</v>
      </c>
      <c r="S789">
        <f t="shared" si="37"/>
        <v>1</v>
      </c>
      <c r="T789" s="102" t="str">
        <f>IF(TableRelationships12[[#This Row],[Rank Pedro]]="Low","linkCategory1",IF(TableRelationships12[[#This Row],[Rank Pedro]]="Medium","linkCategory2",IF(TableRelationships12[[#This Row],[Rank Pedro]]="High","linkCategory3","")))</f>
        <v/>
      </c>
      <c r="U789" s="102" t="str">
        <f>IF(TableRelationships12[[#This Row],[Rank Pedro]]="Low","Pink",IF(TableRelationships12[[#This Row],[Rank Pedro]]="Medium","Purple",IF(TableRelationships12[[#This Row],[Rank Pedro]]="High","Brown","")))</f>
        <v/>
      </c>
      <c r="V789" s="4" t="e">
        <f>MAX(INDEX(Standards!$F$2:$F$296,MATCH(B789,Standards!$B$2:$B$296,0)),INDEX(Standards!$F$2:$F$296,MATCH(C789,Standards!$B$2:$B$296,0)))</f>
        <v>#N/A</v>
      </c>
      <c r="W789" t="str">
        <f t="shared" si="38"/>
        <v>#2f89d1</v>
      </c>
    </row>
    <row r="790" spans="1:23" x14ac:dyDescent="0.5">
      <c r="A790" s="54">
        <v>789</v>
      </c>
      <c r="B790" s="90" t="s">
        <v>632</v>
      </c>
      <c r="C790" t="s">
        <v>1294</v>
      </c>
      <c r="D790" s="1"/>
      <c r="G790" s="107"/>
      <c r="H790">
        <f>INDEX('GIS-Standards'!$A$2:$A$305,MATCH(B790,'GIS-Standards'!$B$2:$B$305,0))</f>
        <v>30</v>
      </c>
      <c r="I790" t="e">
        <f>INDEX('GIS-Standards'!$A$2:$A$305,MATCH(C790,'GIS-Standards'!$B$2:$B$305,0))</f>
        <v>#N/A</v>
      </c>
      <c r="J790" t="str">
        <f>INDEX('GIS-Standards'!$O$2:$O$305,MATCH(B790,'GIS-Standards'!$B$2:$B$305,0))</f>
        <v>ISO/TC 211</v>
      </c>
      <c r="K790" t="e">
        <f>INDEX('GIS-Standards'!$O$2:$O$305,MATCH(C790,'GIS-Standards'!$B$2:$B$305,0))</f>
        <v>#N/A</v>
      </c>
      <c r="M790" t="s">
        <v>525</v>
      </c>
      <c r="N790">
        <f>INDEX('GIS-Standards'!$I$2:$I$305,MATCH(B790,'GIS-Standards'!$B$2:$B$305,0))</f>
        <v>0</v>
      </c>
      <c r="O790" t="e">
        <f>INDEX('GIS-Standards'!$I$2:$I$305,MATCH(C790,'GIS-Standards'!$B$2:$B$305,0))</f>
        <v>#N/A</v>
      </c>
      <c r="P790" t="e">
        <f>AND(TableRelationships12[[#This Row],[Source Type]]="BIM",TableRelationships12[[#This Row],[Target Type]]="BIM")</f>
        <v>#N/A</v>
      </c>
      <c r="Q790">
        <f t="shared" si="36"/>
        <v>1</v>
      </c>
      <c r="S790">
        <f t="shared" si="37"/>
        <v>1</v>
      </c>
      <c r="T790" s="102" t="str">
        <f>IF(TableRelationships12[[#This Row],[Rank Pedro]]="Low","linkCategory1",IF(TableRelationships12[[#This Row],[Rank Pedro]]="Medium","linkCategory2",IF(TableRelationships12[[#This Row],[Rank Pedro]]="High","linkCategory3","")))</f>
        <v/>
      </c>
      <c r="U790" s="102" t="str">
        <f>IF(TableRelationships12[[#This Row],[Rank Pedro]]="Low","Pink",IF(TableRelationships12[[#This Row],[Rank Pedro]]="Medium","Purple",IF(TableRelationships12[[#This Row],[Rank Pedro]]="High","Brown","")))</f>
        <v/>
      </c>
      <c r="V790" s="4" t="e">
        <f>MAX(INDEX(Standards!$F$2:$F$296,MATCH(B790,Standards!$B$2:$B$296,0)),INDEX(Standards!$F$2:$F$296,MATCH(C790,Standards!$B$2:$B$296,0)))</f>
        <v>#N/A</v>
      </c>
      <c r="W790" t="str">
        <f t="shared" si="38"/>
        <v>#2f89d1</v>
      </c>
    </row>
    <row r="791" spans="1:23" x14ac:dyDescent="0.5">
      <c r="A791" s="54">
        <v>790</v>
      </c>
      <c r="B791" s="90" t="s">
        <v>632</v>
      </c>
      <c r="C791" t="s">
        <v>1295</v>
      </c>
      <c r="D791" s="1"/>
      <c r="G791" s="107"/>
      <c r="H791">
        <f>INDEX('GIS-Standards'!$A$2:$A$305,MATCH(B791,'GIS-Standards'!$B$2:$B$305,0))</f>
        <v>30</v>
      </c>
      <c r="I791" t="e">
        <f>INDEX('GIS-Standards'!$A$2:$A$305,MATCH(C791,'GIS-Standards'!$B$2:$B$305,0))</f>
        <v>#N/A</v>
      </c>
      <c r="J791" t="str">
        <f>INDEX('GIS-Standards'!$O$2:$O$305,MATCH(B791,'GIS-Standards'!$B$2:$B$305,0))</f>
        <v>ISO/TC 211</v>
      </c>
      <c r="K791" t="e">
        <f>INDEX('GIS-Standards'!$O$2:$O$305,MATCH(C791,'GIS-Standards'!$B$2:$B$305,0))</f>
        <v>#N/A</v>
      </c>
      <c r="M791" t="s">
        <v>525</v>
      </c>
      <c r="N791">
        <f>INDEX('GIS-Standards'!$I$2:$I$305,MATCH(B791,'GIS-Standards'!$B$2:$B$305,0))</f>
        <v>0</v>
      </c>
      <c r="O791" t="e">
        <f>INDEX('GIS-Standards'!$I$2:$I$305,MATCH(C791,'GIS-Standards'!$B$2:$B$305,0))</f>
        <v>#N/A</v>
      </c>
      <c r="P791" t="e">
        <f>AND(TableRelationships12[[#This Row],[Source Type]]="BIM",TableRelationships12[[#This Row],[Target Type]]="BIM")</f>
        <v>#N/A</v>
      </c>
      <c r="Q791">
        <f t="shared" si="36"/>
        <v>1</v>
      </c>
      <c r="S791">
        <f t="shared" si="37"/>
        <v>1</v>
      </c>
      <c r="T791" s="102" t="str">
        <f>IF(TableRelationships12[[#This Row],[Rank Pedro]]="Low","linkCategory1",IF(TableRelationships12[[#This Row],[Rank Pedro]]="Medium","linkCategory2",IF(TableRelationships12[[#This Row],[Rank Pedro]]="High","linkCategory3","")))</f>
        <v/>
      </c>
      <c r="U791" s="102" t="str">
        <f>IF(TableRelationships12[[#This Row],[Rank Pedro]]="Low","Pink",IF(TableRelationships12[[#This Row],[Rank Pedro]]="Medium","Purple",IF(TableRelationships12[[#This Row],[Rank Pedro]]="High","Brown","")))</f>
        <v/>
      </c>
      <c r="V791" s="4" t="e">
        <f>MAX(INDEX(Standards!$F$2:$F$296,MATCH(B791,Standards!$B$2:$B$296,0)),INDEX(Standards!$F$2:$F$296,MATCH(C791,Standards!$B$2:$B$296,0)))</f>
        <v>#N/A</v>
      </c>
      <c r="W791" t="str">
        <f t="shared" si="38"/>
        <v>#2f89d1</v>
      </c>
    </row>
    <row r="792" spans="1:23" x14ac:dyDescent="0.5">
      <c r="A792" s="54">
        <v>791</v>
      </c>
      <c r="B792" s="90" t="s">
        <v>632</v>
      </c>
      <c r="C792" t="s">
        <v>1296</v>
      </c>
      <c r="D792" s="1"/>
      <c r="G792" s="107"/>
      <c r="H792">
        <f>INDEX('GIS-Standards'!$A$2:$A$305,MATCH(B792,'GIS-Standards'!$B$2:$B$305,0))</f>
        <v>30</v>
      </c>
      <c r="I792" t="e">
        <f>INDEX('GIS-Standards'!$A$2:$A$305,MATCH(C792,'GIS-Standards'!$B$2:$B$305,0))</f>
        <v>#N/A</v>
      </c>
      <c r="J792" t="str">
        <f>INDEX('GIS-Standards'!$O$2:$O$305,MATCH(B792,'GIS-Standards'!$B$2:$B$305,0))</f>
        <v>ISO/TC 211</v>
      </c>
      <c r="K792" t="e">
        <f>INDEX('GIS-Standards'!$O$2:$O$305,MATCH(C792,'GIS-Standards'!$B$2:$B$305,0))</f>
        <v>#N/A</v>
      </c>
      <c r="M792" t="s">
        <v>525</v>
      </c>
      <c r="N792">
        <f>INDEX('GIS-Standards'!$I$2:$I$305,MATCH(B792,'GIS-Standards'!$B$2:$B$305,0))</f>
        <v>0</v>
      </c>
      <c r="O792" t="e">
        <f>INDEX('GIS-Standards'!$I$2:$I$305,MATCH(C792,'GIS-Standards'!$B$2:$B$305,0))</f>
        <v>#N/A</v>
      </c>
      <c r="P792" t="e">
        <f>AND(TableRelationships12[[#This Row],[Source Type]]="BIM",TableRelationships12[[#This Row],[Target Type]]="BIM")</f>
        <v>#N/A</v>
      </c>
      <c r="Q792">
        <f t="shared" si="36"/>
        <v>1</v>
      </c>
      <c r="S792">
        <f t="shared" si="37"/>
        <v>1</v>
      </c>
      <c r="T792" s="102" t="str">
        <f>IF(TableRelationships12[[#This Row],[Rank Pedro]]="Low","linkCategory1",IF(TableRelationships12[[#This Row],[Rank Pedro]]="Medium","linkCategory2",IF(TableRelationships12[[#This Row],[Rank Pedro]]="High","linkCategory3","")))</f>
        <v/>
      </c>
      <c r="U792" s="102" t="str">
        <f>IF(TableRelationships12[[#This Row],[Rank Pedro]]="Low","Pink",IF(TableRelationships12[[#This Row],[Rank Pedro]]="Medium","Purple",IF(TableRelationships12[[#This Row],[Rank Pedro]]="High","Brown","")))</f>
        <v/>
      </c>
      <c r="V792" s="4" t="e">
        <f>MAX(INDEX(Standards!$F$2:$F$296,MATCH(B792,Standards!$B$2:$B$296,0)),INDEX(Standards!$F$2:$F$296,MATCH(C792,Standards!$B$2:$B$296,0)))</f>
        <v>#N/A</v>
      </c>
      <c r="W792" t="str">
        <f t="shared" si="38"/>
        <v>#2f89d1</v>
      </c>
    </row>
    <row r="793" spans="1:23" x14ac:dyDescent="0.5">
      <c r="A793" s="54">
        <v>792</v>
      </c>
      <c r="B793" s="90" t="s">
        <v>632</v>
      </c>
      <c r="C793" t="s">
        <v>296</v>
      </c>
      <c r="D793" s="1"/>
      <c r="E793" s="112">
        <v>2005.07</v>
      </c>
      <c r="F793" s="112">
        <v>2024.09</v>
      </c>
      <c r="G793" s="107" t="s">
        <v>670</v>
      </c>
      <c r="H793">
        <f>INDEX('GIS-Standards'!$A$2:$A$305,MATCH(B793,'GIS-Standards'!$B$2:$B$305,0))</f>
        <v>30</v>
      </c>
      <c r="I793">
        <f>INDEX('GIS-Standards'!$A$2:$A$305,MATCH(C793,'GIS-Standards'!$B$2:$B$305,0))</f>
        <v>12</v>
      </c>
      <c r="J793" t="str">
        <f>INDEX('GIS-Standards'!$O$2:$O$305,MATCH(B793,'GIS-Standards'!$B$2:$B$305,0))</f>
        <v>ISO/TC 211</v>
      </c>
      <c r="K793" t="str">
        <f>INDEX('GIS-Standards'!$O$2:$O$305,MATCH(C793,'GIS-Standards'!$B$2:$B$305,0))</f>
        <v>ISO/TC 211</v>
      </c>
      <c r="M793" t="s">
        <v>525</v>
      </c>
      <c r="N793">
        <f>INDEX('GIS-Standards'!$I$2:$I$305,MATCH(B793,'GIS-Standards'!$B$2:$B$305,0))</f>
        <v>0</v>
      </c>
      <c r="O793">
        <f>INDEX('GIS-Standards'!$I$2:$I$305,MATCH(C793,'GIS-Standards'!$B$2:$B$305,0))</f>
        <v>0</v>
      </c>
      <c r="P793" t="b">
        <f>AND(TableRelationships12[[#This Row],[Source Type]]="BIM",TableRelationships12[[#This Row],[Target Type]]="BIM")</f>
        <v>0</v>
      </c>
      <c r="Q793">
        <f t="shared" si="36"/>
        <v>1</v>
      </c>
      <c r="S793">
        <f t="shared" si="37"/>
        <v>1</v>
      </c>
      <c r="T793" s="102" t="str">
        <f>IF(TableRelationships12[[#This Row],[Rank Pedro]]="Low","linkCategory1",IF(TableRelationships12[[#This Row],[Rank Pedro]]="Medium","linkCategory2",IF(TableRelationships12[[#This Row],[Rank Pedro]]="High","linkCategory3","")))</f>
        <v/>
      </c>
      <c r="U793" s="102" t="str">
        <f>IF(TableRelationships12[[#This Row],[Rank Pedro]]="Low","Pink",IF(TableRelationships12[[#This Row],[Rank Pedro]]="Medium","Purple",IF(TableRelationships12[[#This Row],[Rank Pedro]]="High","Brown","")))</f>
        <v/>
      </c>
      <c r="V793" s="4" t="e">
        <f>MAX(INDEX(Standards!$F$2:$F$296,MATCH(B793,Standards!$B$2:$B$296,0)),INDEX(Standards!$F$2:$F$296,MATCH(C793,Standards!$B$2:$B$296,0)))</f>
        <v>#N/A</v>
      </c>
      <c r="W793" t="str">
        <f t="shared" si="38"/>
        <v>#2f89d1</v>
      </c>
    </row>
    <row r="794" spans="1:23" x14ac:dyDescent="0.5">
      <c r="A794" s="54">
        <v>793</v>
      </c>
      <c r="B794" s="90" t="s">
        <v>1045</v>
      </c>
      <c r="C794" t="s">
        <v>527</v>
      </c>
      <c r="D794" s="1"/>
      <c r="E794" s="112" t="s">
        <v>952</v>
      </c>
      <c r="F794" s="112" t="s">
        <v>952</v>
      </c>
      <c r="G794" s="121" t="s">
        <v>670</v>
      </c>
      <c r="H794">
        <f>INDEX('GIS-Standards'!$A$2:$A$305,MATCH(B794,'GIS-Standards'!$B$2:$B$305,0))</f>
        <v>31</v>
      </c>
      <c r="I794" t="e">
        <f>INDEX('GIS-Standards'!$A$2:$A$305,MATCH(C794,'GIS-Standards'!$B$2:$B$305,0))</f>
        <v>#N/A</v>
      </c>
      <c r="J794" t="str">
        <f>INDEX('GIS-Standards'!$O$2:$O$305,MATCH(B794,'GIS-Standards'!$B$2:$B$305,0))</f>
        <v>ISO/TC 211</v>
      </c>
      <c r="K794" t="e">
        <f>INDEX('GIS-Standards'!$O$2:$O$305,MATCH(C794,'GIS-Standards'!$B$2:$B$305,0))</f>
        <v>#N/A</v>
      </c>
      <c r="M794" t="s">
        <v>237</v>
      </c>
      <c r="N794">
        <f>INDEX('GIS-Standards'!$I$2:$I$305,MATCH(B794,'GIS-Standards'!$B$2:$B$305,0))</f>
        <v>0</v>
      </c>
      <c r="O794" t="e">
        <f>INDEX('GIS-Standards'!$I$2:$I$305,MATCH(C794,'GIS-Standards'!$B$2:$B$305,0))</f>
        <v>#N/A</v>
      </c>
      <c r="P794" t="e">
        <f>AND(TableRelationships12[[#This Row],[Source Type]]="BIM",TableRelationships12[[#This Row],[Target Type]]="BIM")</f>
        <v>#N/A</v>
      </c>
      <c r="Q794">
        <f t="shared" si="36"/>
        <v>2</v>
      </c>
      <c r="S794">
        <f t="shared" si="37"/>
        <v>1</v>
      </c>
      <c r="T794" s="102" t="str">
        <f>IF(TableRelationships12[[#This Row],[Rank Pedro]]="Low","linkCategory1",IF(TableRelationships12[[#This Row],[Rank Pedro]]="Medium","linkCategory2",IF(TableRelationships12[[#This Row],[Rank Pedro]]="High","linkCategory3","")))</f>
        <v/>
      </c>
      <c r="U794" s="102" t="str">
        <f>IF(TableRelationships12[[#This Row],[Rank Pedro]]="Low","Pink",IF(TableRelationships12[[#This Row],[Rank Pedro]]="Medium","Purple",IF(TableRelationships12[[#This Row],[Rank Pedro]]="High","Brown","")))</f>
        <v/>
      </c>
      <c r="V794" s="4" t="e">
        <f>MAX(INDEX(Standards!$F$2:$F$296,MATCH(B794,Standards!$B$2:$B$296,0)),INDEX(Standards!$F$2:$F$296,MATCH(C794,Standards!$B$2:$B$296,0)))</f>
        <v>#N/A</v>
      </c>
      <c r="W794">
        <f t="shared" si="38"/>
        <v>1</v>
      </c>
    </row>
    <row r="795" spans="1:23" x14ac:dyDescent="0.5">
      <c r="A795" s="54">
        <v>794</v>
      </c>
      <c r="B795" s="90" t="s">
        <v>1045</v>
      </c>
      <c r="C795" t="s">
        <v>310</v>
      </c>
      <c r="D795" s="1"/>
      <c r="E795" s="112">
        <v>2003.02</v>
      </c>
      <c r="F795" s="112">
        <v>2023.08</v>
      </c>
      <c r="G795" s="107" t="s">
        <v>670</v>
      </c>
      <c r="H795">
        <f>INDEX('GIS-Standards'!$A$2:$A$305,MATCH(B795,'GIS-Standards'!$B$2:$B$305,0))</f>
        <v>31</v>
      </c>
      <c r="I795">
        <f>INDEX('GIS-Standards'!$A$2:$A$305,MATCH(C795,'GIS-Standards'!$B$2:$B$305,0))</f>
        <v>20</v>
      </c>
      <c r="J795" t="str">
        <f>INDEX('GIS-Standards'!$O$2:$O$305,MATCH(B795,'GIS-Standards'!$B$2:$B$305,0))</f>
        <v>ISO/TC 211</v>
      </c>
      <c r="K795" t="str">
        <f>INDEX('GIS-Standards'!$O$2:$O$305,MATCH(C795,'GIS-Standards'!$B$2:$B$305,0))</f>
        <v>ISO/TC 211</v>
      </c>
      <c r="M795" t="s">
        <v>524</v>
      </c>
      <c r="N795">
        <f>INDEX('GIS-Standards'!$I$2:$I$305,MATCH(B795,'GIS-Standards'!$B$2:$B$305,0))</f>
        <v>0</v>
      </c>
      <c r="O795" t="str">
        <f>INDEX('GIS-Standards'!$I$2:$I$305,MATCH(C795,'GIS-Standards'!$B$2:$B$305,0))</f>
        <v>08.2023</v>
      </c>
      <c r="P795" t="b">
        <f>AND(TableRelationships12[[#This Row],[Source Type]]="BIM",TableRelationships12[[#This Row],[Target Type]]="BIM")</f>
        <v>0</v>
      </c>
      <c r="Q795">
        <f t="shared" si="36"/>
        <v>6</v>
      </c>
      <c r="S795">
        <f t="shared" si="37"/>
        <v>1</v>
      </c>
      <c r="T795" s="102" t="str">
        <f>IF(TableRelationships12[[#This Row],[Rank Pedro]]="Low","linkCategory1",IF(TableRelationships12[[#This Row],[Rank Pedro]]="Medium","linkCategory2",IF(TableRelationships12[[#This Row],[Rank Pedro]]="High","linkCategory3","")))</f>
        <v/>
      </c>
      <c r="U795" s="102" t="str">
        <f>IF(TableRelationships12[[#This Row],[Rank Pedro]]="Low","Pink",IF(TableRelationships12[[#This Row],[Rank Pedro]]="Medium","Purple",IF(TableRelationships12[[#This Row],[Rank Pedro]]="High","Brown","")))</f>
        <v/>
      </c>
      <c r="V795" s="4" t="e">
        <f>MAX(INDEX(Standards!$F$2:$F$296,MATCH(B795,Standards!$B$2:$B$296,0)),INDEX(Standards!$F$2:$F$296,MATCH(C795,Standards!$B$2:$B$296,0)))</f>
        <v>#N/A</v>
      </c>
      <c r="W795" t="str">
        <f t="shared" si="38"/>
        <v>#d6bf2a</v>
      </c>
    </row>
    <row r="796" spans="1:23" x14ac:dyDescent="0.5">
      <c r="A796" s="54">
        <v>795</v>
      </c>
      <c r="B796" s="90" t="s">
        <v>1045</v>
      </c>
      <c r="C796" t="s">
        <v>320</v>
      </c>
      <c r="D796" s="1"/>
      <c r="E796" s="112">
        <v>2005.08</v>
      </c>
      <c r="F796" s="112">
        <v>2023.06</v>
      </c>
      <c r="G796" s="107" t="s">
        <v>670</v>
      </c>
      <c r="H796">
        <f>INDEX('GIS-Standards'!$A$2:$A$305,MATCH(B796,'GIS-Standards'!$B$2:$B$305,0))</f>
        <v>31</v>
      </c>
      <c r="I796">
        <f>INDEX('GIS-Standards'!$A$2:$A$305,MATCH(C796,'GIS-Standards'!$B$2:$B$305,0))</f>
        <v>29</v>
      </c>
      <c r="J796" t="str">
        <f>INDEX('GIS-Standards'!$O$2:$O$305,MATCH(B796,'GIS-Standards'!$B$2:$B$305,0))</f>
        <v>ISO/TC 211</v>
      </c>
      <c r="K796" t="str">
        <f>INDEX('GIS-Standards'!$O$2:$O$305,MATCH(C796,'GIS-Standards'!$B$2:$B$305,0))</f>
        <v>ISO/TC 211</v>
      </c>
      <c r="M796" t="s">
        <v>524</v>
      </c>
      <c r="N796">
        <f>INDEX('GIS-Standards'!$I$2:$I$305,MATCH(B796,'GIS-Standards'!$B$2:$B$305,0))</f>
        <v>0</v>
      </c>
      <c r="O796">
        <f>INDEX('GIS-Standards'!$I$2:$I$305,MATCH(C796,'GIS-Standards'!$B$2:$B$305,0))</f>
        <v>0</v>
      </c>
      <c r="P796" t="b">
        <f>AND(TableRelationships12[[#This Row],[Source Type]]="BIM",TableRelationships12[[#This Row],[Target Type]]="BIM")</f>
        <v>0</v>
      </c>
      <c r="Q796">
        <f t="shared" si="36"/>
        <v>6</v>
      </c>
      <c r="S796">
        <f t="shared" si="37"/>
        <v>1</v>
      </c>
      <c r="T796" s="102" t="str">
        <f>IF(TableRelationships12[[#This Row],[Rank Pedro]]="Low","linkCategory1",IF(TableRelationships12[[#This Row],[Rank Pedro]]="Medium","linkCategory2",IF(TableRelationships12[[#This Row],[Rank Pedro]]="High","linkCategory3","")))</f>
        <v/>
      </c>
      <c r="U796" s="102" t="str">
        <f>IF(TableRelationships12[[#This Row],[Rank Pedro]]="Low","Pink",IF(TableRelationships12[[#This Row],[Rank Pedro]]="Medium","Purple",IF(TableRelationships12[[#This Row],[Rank Pedro]]="High","Brown","")))</f>
        <v/>
      </c>
      <c r="V796" s="4" t="e">
        <f>MAX(INDEX(Standards!$F$2:$F$296,MATCH(B796,Standards!$B$2:$B$296,0)),INDEX(Standards!$F$2:$F$296,MATCH(C796,Standards!$B$2:$B$296,0)))</f>
        <v>#N/A</v>
      </c>
      <c r="W796" t="str">
        <f t="shared" si="38"/>
        <v>#d6bf2a</v>
      </c>
    </row>
    <row r="797" spans="1:23" x14ac:dyDescent="0.5">
      <c r="A797" s="54">
        <v>796</v>
      </c>
      <c r="B797" s="90" t="s">
        <v>1045</v>
      </c>
      <c r="C797" t="s">
        <v>320</v>
      </c>
      <c r="D797" s="1"/>
      <c r="E797" s="112">
        <v>2005.08</v>
      </c>
      <c r="F797" s="112">
        <v>2023.06</v>
      </c>
      <c r="G797" s="107" t="s">
        <v>670</v>
      </c>
      <c r="H797">
        <f>INDEX('GIS-Standards'!$A$2:$A$305,MATCH(B797,'GIS-Standards'!$B$2:$B$305,0))</f>
        <v>31</v>
      </c>
      <c r="I797">
        <f>INDEX('GIS-Standards'!$A$2:$A$305,MATCH(C797,'GIS-Standards'!$B$2:$B$305,0))</f>
        <v>29</v>
      </c>
      <c r="J797" t="str">
        <f>INDEX('GIS-Standards'!$O$2:$O$305,MATCH(B797,'GIS-Standards'!$B$2:$B$305,0))</f>
        <v>ISO/TC 211</v>
      </c>
      <c r="K797" t="str">
        <f>INDEX('GIS-Standards'!$O$2:$O$305,MATCH(C797,'GIS-Standards'!$B$2:$B$305,0))</f>
        <v>ISO/TC 211</v>
      </c>
      <c r="M797" t="s">
        <v>525</v>
      </c>
      <c r="N797">
        <f>INDEX('GIS-Standards'!$I$2:$I$305,MATCH(B797,'GIS-Standards'!$B$2:$B$305,0))</f>
        <v>0</v>
      </c>
      <c r="O797">
        <f>INDEX('GIS-Standards'!$I$2:$I$305,MATCH(C797,'GIS-Standards'!$B$2:$B$305,0))</f>
        <v>0</v>
      </c>
      <c r="P797" t="b">
        <f>AND(TableRelationships12[[#This Row],[Source Type]]="BIM",TableRelationships12[[#This Row],[Target Type]]="BIM")</f>
        <v>0</v>
      </c>
      <c r="Q797">
        <f t="shared" si="36"/>
        <v>1</v>
      </c>
      <c r="S797">
        <f t="shared" si="37"/>
        <v>1</v>
      </c>
      <c r="T797" s="102" t="str">
        <f>IF(TableRelationships12[[#This Row],[Rank Pedro]]="Low","linkCategory1",IF(TableRelationships12[[#This Row],[Rank Pedro]]="Medium","linkCategory2",IF(TableRelationships12[[#This Row],[Rank Pedro]]="High","linkCategory3","")))</f>
        <v/>
      </c>
      <c r="U797" s="102" t="str">
        <f>IF(TableRelationships12[[#This Row],[Rank Pedro]]="Low","Pink",IF(TableRelationships12[[#This Row],[Rank Pedro]]="Medium","Purple",IF(TableRelationships12[[#This Row],[Rank Pedro]]="High","Brown","")))</f>
        <v/>
      </c>
      <c r="V797" s="4" t="e">
        <f>MAX(INDEX(Standards!$F$2:$F$296,MATCH(B797,Standards!$B$2:$B$296,0)),INDEX(Standards!$F$2:$F$296,MATCH(C797,Standards!$B$2:$B$296,0)))</f>
        <v>#N/A</v>
      </c>
      <c r="W797" t="str">
        <f t="shared" si="38"/>
        <v>#2f89d1</v>
      </c>
    </row>
    <row r="798" spans="1:23" x14ac:dyDescent="0.5">
      <c r="A798" s="54">
        <v>797</v>
      </c>
      <c r="B798" s="90" t="s">
        <v>1045</v>
      </c>
      <c r="C798" t="s">
        <v>1590</v>
      </c>
      <c r="D798" s="1"/>
      <c r="G798" s="107"/>
      <c r="H798">
        <f>INDEX('GIS-Standards'!$A$2:$A$305,MATCH(B798,'GIS-Standards'!$B$2:$B$305,0))</f>
        <v>31</v>
      </c>
      <c r="I798" t="e">
        <f>INDEX('GIS-Standards'!$A$2:$A$305,MATCH(C798,'GIS-Standards'!$B$2:$B$305,0))</f>
        <v>#N/A</v>
      </c>
      <c r="J798" t="str">
        <f>INDEX('GIS-Standards'!$O$2:$O$305,MATCH(B798,'GIS-Standards'!$B$2:$B$305,0))</f>
        <v>ISO/TC 211</v>
      </c>
      <c r="K798" t="e">
        <f>INDEX('GIS-Standards'!$O$2:$O$305,MATCH(C798,'GIS-Standards'!$B$2:$B$305,0))</f>
        <v>#N/A</v>
      </c>
      <c r="M798" t="s">
        <v>525</v>
      </c>
      <c r="N798">
        <f>INDEX('GIS-Standards'!$I$2:$I$305,MATCH(B798,'GIS-Standards'!$B$2:$B$305,0))</f>
        <v>0</v>
      </c>
      <c r="O798" t="e">
        <f>INDEX('GIS-Standards'!$I$2:$I$305,MATCH(C798,'GIS-Standards'!$B$2:$B$305,0))</f>
        <v>#N/A</v>
      </c>
      <c r="P798" t="e">
        <f>AND(TableRelationships12[[#This Row],[Source Type]]="BIM",TableRelationships12[[#This Row],[Target Type]]="BIM")</f>
        <v>#N/A</v>
      </c>
      <c r="Q798">
        <f t="shared" si="36"/>
        <v>1</v>
      </c>
      <c r="S798">
        <f t="shared" si="37"/>
        <v>1</v>
      </c>
      <c r="T798" s="102" t="str">
        <f>IF(TableRelationships12[[#This Row],[Rank Pedro]]="Low","linkCategory1",IF(TableRelationships12[[#This Row],[Rank Pedro]]="Medium","linkCategory2",IF(TableRelationships12[[#This Row],[Rank Pedro]]="High","linkCategory3","")))</f>
        <v/>
      </c>
      <c r="U798" s="102" t="str">
        <f>IF(TableRelationships12[[#This Row],[Rank Pedro]]="Low","Pink",IF(TableRelationships12[[#This Row],[Rank Pedro]]="Medium","Purple",IF(TableRelationships12[[#This Row],[Rank Pedro]]="High","Brown","")))</f>
        <v/>
      </c>
      <c r="V798" s="4" t="e">
        <f>MAX(INDEX(Standards!$F$2:$F$296,MATCH(B798,Standards!$B$2:$B$296,0)),INDEX(Standards!$F$2:$F$296,MATCH(C798,Standards!$B$2:$B$296,0)))</f>
        <v>#N/A</v>
      </c>
      <c r="W798" t="str">
        <f t="shared" si="38"/>
        <v>#2f89d1</v>
      </c>
    </row>
    <row r="799" spans="1:23" x14ac:dyDescent="0.5">
      <c r="A799" s="54">
        <v>798</v>
      </c>
      <c r="B799" s="90" t="s">
        <v>1045</v>
      </c>
      <c r="C799" t="s">
        <v>632</v>
      </c>
      <c r="D799" s="1"/>
      <c r="E799" s="112">
        <v>2018.1</v>
      </c>
      <c r="F799" s="112">
        <v>2018.1</v>
      </c>
      <c r="G799" s="107" t="s">
        <v>670</v>
      </c>
      <c r="H799">
        <f>INDEX('GIS-Standards'!$A$2:$A$305,MATCH(B799,'GIS-Standards'!$B$2:$B$305,0))</f>
        <v>31</v>
      </c>
      <c r="I799">
        <f>INDEX('GIS-Standards'!$A$2:$A$305,MATCH(C799,'GIS-Standards'!$B$2:$B$305,0))</f>
        <v>30</v>
      </c>
      <c r="J799" t="str">
        <f>INDEX('GIS-Standards'!$O$2:$O$305,MATCH(B799,'GIS-Standards'!$B$2:$B$305,0))</f>
        <v>ISO/TC 211</v>
      </c>
      <c r="K799" t="str">
        <f>INDEX('GIS-Standards'!$O$2:$O$305,MATCH(C799,'GIS-Standards'!$B$2:$B$305,0))</f>
        <v>ISO/TC 211</v>
      </c>
      <c r="M799" t="s">
        <v>525</v>
      </c>
      <c r="N799">
        <f>INDEX('GIS-Standards'!$I$2:$I$305,MATCH(B799,'GIS-Standards'!$B$2:$B$305,0))</f>
        <v>0</v>
      </c>
      <c r="O799">
        <f>INDEX('GIS-Standards'!$I$2:$I$305,MATCH(C799,'GIS-Standards'!$B$2:$B$305,0))</f>
        <v>0</v>
      </c>
      <c r="P799" t="b">
        <f>AND(TableRelationships12[[#This Row],[Source Type]]="BIM",TableRelationships12[[#This Row],[Target Type]]="BIM")</f>
        <v>0</v>
      </c>
      <c r="Q799">
        <f t="shared" si="36"/>
        <v>1</v>
      </c>
      <c r="S799">
        <f t="shared" si="37"/>
        <v>1</v>
      </c>
      <c r="T799" s="102" t="str">
        <f>IF(TableRelationships12[[#This Row],[Rank Pedro]]="Low","linkCategory1",IF(TableRelationships12[[#This Row],[Rank Pedro]]="Medium","linkCategory2",IF(TableRelationships12[[#This Row],[Rank Pedro]]="High","linkCategory3","")))</f>
        <v/>
      </c>
      <c r="U799" s="102" t="str">
        <f>IF(TableRelationships12[[#This Row],[Rank Pedro]]="Low","Pink",IF(TableRelationships12[[#This Row],[Rank Pedro]]="Medium","Purple",IF(TableRelationships12[[#This Row],[Rank Pedro]]="High","Brown","")))</f>
        <v/>
      </c>
      <c r="V799" s="4" t="e">
        <f>MAX(INDEX(Standards!$F$2:$F$296,MATCH(B799,Standards!$B$2:$B$296,0)),INDEX(Standards!$F$2:$F$296,MATCH(C799,Standards!$B$2:$B$296,0)))</f>
        <v>#N/A</v>
      </c>
      <c r="W799" t="str">
        <f t="shared" si="38"/>
        <v>#2f89d1</v>
      </c>
    </row>
    <row r="800" spans="1:23" x14ac:dyDescent="0.5">
      <c r="A800" s="54">
        <v>799</v>
      </c>
      <c r="B800" s="90" t="s">
        <v>1045</v>
      </c>
      <c r="C800" t="s">
        <v>1162</v>
      </c>
      <c r="D800" s="1"/>
      <c r="G800" s="107"/>
      <c r="H800">
        <f>INDEX('GIS-Standards'!$A$2:$A$305,MATCH(B800,'GIS-Standards'!$B$2:$B$305,0))</f>
        <v>31</v>
      </c>
      <c r="I800" t="e">
        <f>INDEX('GIS-Standards'!$A$2:$A$305,MATCH(C800,'GIS-Standards'!$B$2:$B$305,0))</f>
        <v>#N/A</v>
      </c>
      <c r="J800" t="str">
        <f>INDEX('GIS-Standards'!$O$2:$O$305,MATCH(B800,'GIS-Standards'!$B$2:$B$305,0))</f>
        <v>ISO/TC 211</v>
      </c>
      <c r="K800" t="e">
        <f>INDEX('GIS-Standards'!$O$2:$O$305,MATCH(C800,'GIS-Standards'!$B$2:$B$305,0))</f>
        <v>#N/A</v>
      </c>
      <c r="M800" t="s">
        <v>525</v>
      </c>
      <c r="N800">
        <f>INDEX('GIS-Standards'!$I$2:$I$305,MATCH(B800,'GIS-Standards'!$B$2:$B$305,0))</f>
        <v>0</v>
      </c>
      <c r="O800" t="e">
        <f>INDEX('GIS-Standards'!$I$2:$I$305,MATCH(C800,'GIS-Standards'!$B$2:$B$305,0))</f>
        <v>#N/A</v>
      </c>
      <c r="P800" t="e">
        <f>AND(TableRelationships12[[#This Row],[Source Type]]="BIM",TableRelationships12[[#This Row],[Target Type]]="BIM")</f>
        <v>#N/A</v>
      </c>
      <c r="Q800">
        <f t="shared" si="36"/>
        <v>1</v>
      </c>
      <c r="S800">
        <f t="shared" si="37"/>
        <v>1</v>
      </c>
      <c r="T800" s="102" t="str">
        <f>IF(TableRelationships12[[#This Row],[Rank Pedro]]="Low","linkCategory1",IF(TableRelationships12[[#This Row],[Rank Pedro]]="Medium","linkCategory2",IF(TableRelationships12[[#This Row],[Rank Pedro]]="High","linkCategory3","")))</f>
        <v/>
      </c>
      <c r="U800" s="102" t="str">
        <f>IF(TableRelationships12[[#This Row],[Rank Pedro]]="Low","Pink",IF(TableRelationships12[[#This Row],[Rank Pedro]]="Medium","Purple",IF(TableRelationships12[[#This Row],[Rank Pedro]]="High","Brown","")))</f>
        <v/>
      </c>
      <c r="V800" s="4" t="e">
        <f>MAX(INDEX(Standards!$F$2:$F$296,MATCH(B800,Standards!$B$2:$B$296,0)),INDEX(Standards!$F$2:$F$296,MATCH(C800,Standards!$B$2:$B$296,0)))</f>
        <v>#N/A</v>
      </c>
      <c r="W800" t="str">
        <f t="shared" si="38"/>
        <v>#2f89d1</v>
      </c>
    </row>
    <row r="801" spans="1:23" x14ac:dyDescent="0.5">
      <c r="A801" s="54">
        <v>800</v>
      </c>
      <c r="B801" s="90" t="s">
        <v>1046</v>
      </c>
      <c r="C801" t="s">
        <v>527</v>
      </c>
      <c r="D801" s="1"/>
      <c r="E801" s="112" t="s">
        <v>933</v>
      </c>
      <c r="F801" s="112" t="s">
        <v>933</v>
      </c>
      <c r="G801" s="121" t="s">
        <v>670</v>
      </c>
      <c r="H801">
        <f>INDEX('GIS-Standards'!$A$2:$A$305,MATCH(B801,'GIS-Standards'!$B$2:$B$305,0))</f>
        <v>32</v>
      </c>
      <c r="I801" t="e">
        <f>INDEX('GIS-Standards'!$A$2:$A$305,MATCH(C801,'GIS-Standards'!$B$2:$B$305,0))</f>
        <v>#N/A</v>
      </c>
      <c r="J801" t="str">
        <f>INDEX('GIS-Standards'!$O$2:$O$305,MATCH(B801,'GIS-Standards'!$B$2:$B$305,0))</f>
        <v>ISO/TC 211</v>
      </c>
      <c r="K801" t="e">
        <f>INDEX('GIS-Standards'!$O$2:$O$305,MATCH(C801,'GIS-Standards'!$B$2:$B$305,0))</f>
        <v>#N/A</v>
      </c>
      <c r="M801" t="s">
        <v>237</v>
      </c>
      <c r="N801">
        <f>INDEX('GIS-Standards'!$I$2:$I$305,MATCH(B801,'GIS-Standards'!$B$2:$B$305,0))</f>
        <v>0</v>
      </c>
      <c r="O801" t="e">
        <f>INDEX('GIS-Standards'!$I$2:$I$305,MATCH(C801,'GIS-Standards'!$B$2:$B$305,0))</f>
        <v>#N/A</v>
      </c>
      <c r="P801" t="e">
        <f>AND(TableRelationships12[[#This Row],[Source Type]]="BIM",TableRelationships12[[#This Row],[Target Type]]="BIM")</f>
        <v>#N/A</v>
      </c>
      <c r="Q801">
        <f t="shared" si="36"/>
        <v>2</v>
      </c>
      <c r="S801">
        <f t="shared" si="37"/>
        <v>1</v>
      </c>
      <c r="T801" s="102" t="str">
        <f>IF(TableRelationships12[[#This Row],[Rank Pedro]]="Low","linkCategory1",IF(TableRelationships12[[#This Row],[Rank Pedro]]="Medium","linkCategory2",IF(TableRelationships12[[#This Row],[Rank Pedro]]="High","linkCategory3","")))</f>
        <v/>
      </c>
      <c r="U801" s="102" t="str">
        <f>IF(TableRelationships12[[#This Row],[Rank Pedro]]="Low","Pink",IF(TableRelationships12[[#This Row],[Rank Pedro]]="Medium","Purple",IF(TableRelationships12[[#This Row],[Rank Pedro]]="High","Brown","")))</f>
        <v/>
      </c>
      <c r="V801" s="4" t="e">
        <f>MAX(INDEX(Standards!$F$2:$F$296,MATCH(B801,Standards!$B$2:$B$296,0)),INDEX(Standards!$F$2:$F$296,MATCH(C801,Standards!$B$2:$B$296,0)))</f>
        <v>#N/A</v>
      </c>
      <c r="W801">
        <f t="shared" si="38"/>
        <v>1</v>
      </c>
    </row>
    <row r="802" spans="1:23" x14ac:dyDescent="0.5">
      <c r="A802" s="54">
        <v>801</v>
      </c>
      <c r="B802" s="90" t="s">
        <v>1046</v>
      </c>
      <c r="C802" t="s">
        <v>302</v>
      </c>
      <c r="D802" s="1"/>
      <c r="E802" s="112">
        <v>2003.05</v>
      </c>
      <c r="F802" s="112">
        <v>2019.12</v>
      </c>
      <c r="G802" s="107" t="s">
        <v>670</v>
      </c>
      <c r="H802">
        <f>INDEX('GIS-Standards'!$A$2:$A$305,MATCH(B802,'GIS-Standards'!$B$2:$B$305,0))</f>
        <v>32</v>
      </c>
      <c r="I802">
        <f>INDEX('GIS-Standards'!$A$2:$A$305,MATCH(C802,'GIS-Standards'!$B$2:$B$305,0))</f>
        <v>16</v>
      </c>
      <c r="J802" t="str">
        <f>INDEX('GIS-Standards'!$O$2:$O$305,MATCH(B802,'GIS-Standards'!$B$2:$B$305,0))</f>
        <v>ISO/TC 211</v>
      </c>
      <c r="K802" t="str">
        <f>INDEX('GIS-Standards'!$O$2:$O$305,MATCH(C802,'GIS-Standards'!$B$2:$B$305,0))</f>
        <v>ISO/TC 211</v>
      </c>
      <c r="M802" t="s">
        <v>524</v>
      </c>
      <c r="N802">
        <f>INDEX('GIS-Standards'!$I$2:$I$305,MATCH(B802,'GIS-Standards'!$B$2:$B$305,0))</f>
        <v>0</v>
      </c>
      <c r="O802">
        <f>INDEX('GIS-Standards'!$I$2:$I$305,MATCH(C802,'GIS-Standards'!$B$2:$B$305,0))</f>
        <v>0</v>
      </c>
      <c r="P802" t="b">
        <f>AND(TableRelationships12[[#This Row],[Source Type]]="BIM",TableRelationships12[[#This Row],[Target Type]]="BIM")</f>
        <v>0</v>
      </c>
      <c r="Q802">
        <f t="shared" si="36"/>
        <v>6</v>
      </c>
      <c r="S802">
        <f t="shared" si="37"/>
        <v>1</v>
      </c>
      <c r="T802" s="102" t="str">
        <f>IF(TableRelationships12[[#This Row],[Rank Pedro]]="Low","linkCategory1",IF(TableRelationships12[[#This Row],[Rank Pedro]]="Medium","linkCategory2",IF(TableRelationships12[[#This Row],[Rank Pedro]]="High","linkCategory3","")))</f>
        <v/>
      </c>
      <c r="U802" s="102" t="str">
        <f>IF(TableRelationships12[[#This Row],[Rank Pedro]]="Low","Pink",IF(TableRelationships12[[#This Row],[Rank Pedro]]="Medium","Purple",IF(TableRelationships12[[#This Row],[Rank Pedro]]="High","Brown","")))</f>
        <v/>
      </c>
      <c r="V802" s="4" t="e">
        <f>MAX(INDEX(Standards!$F$2:$F$296,MATCH(B802,Standards!$B$2:$B$296,0)),INDEX(Standards!$F$2:$F$296,MATCH(C802,Standards!$B$2:$B$296,0)))</f>
        <v>#N/A</v>
      </c>
      <c r="W802" t="str">
        <f t="shared" si="38"/>
        <v>#d6bf2a</v>
      </c>
    </row>
    <row r="803" spans="1:23" x14ac:dyDescent="0.5">
      <c r="A803" s="54">
        <v>802</v>
      </c>
      <c r="B803" s="90" t="s">
        <v>1046</v>
      </c>
      <c r="C803" t="s">
        <v>310</v>
      </c>
      <c r="D803" s="1"/>
      <c r="E803" s="112">
        <v>2003.02</v>
      </c>
      <c r="F803" s="112">
        <v>2023.08</v>
      </c>
      <c r="G803" s="107" t="s">
        <v>670</v>
      </c>
      <c r="H803">
        <f>INDEX('GIS-Standards'!$A$2:$A$305,MATCH(B803,'GIS-Standards'!$B$2:$B$305,0))</f>
        <v>32</v>
      </c>
      <c r="I803">
        <f>INDEX('GIS-Standards'!$A$2:$A$305,MATCH(C803,'GIS-Standards'!$B$2:$B$305,0))</f>
        <v>20</v>
      </c>
      <c r="J803" t="str">
        <f>INDEX('GIS-Standards'!$O$2:$O$305,MATCH(B803,'GIS-Standards'!$B$2:$B$305,0))</f>
        <v>ISO/TC 211</v>
      </c>
      <c r="K803" t="str">
        <f>INDEX('GIS-Standards'!$O$2:$O$305,MATCH(C803,'GIS-Standards'!$B$2:$B$305,0))</f>
        <v>ISO/TC 211</v>
      </c>
      <c r="M803" t="s">
        <v>524</v>
      </c>
      <c r="N803">
        <f>INDEX('GIS-Standards'!$I$2:$I$305,MATCH(B803,'GIS-Standards'!$B$2:$B$305,0))</f>
        <v>0</v>
      </c>
      <c r="O803" t="str">
        <f>INDEX('GIS-Standards'!$I$2:$I$305,MATCH(C803,'GIS-Standards'!$B$2:$B$305,0))</f>
        <v>08.2023</v>
      </c>
      <c r="P803" t="b">
        <f>AND(TableRelationships12[[#This Row],[Source Type]]="BIM",TableRelationships12[[#This Row],[Target Type]]="BIM")</f>
        <v>0</v>
      </c>
      <c r="Q803">
        <f t="shared" si="36"/>
        <v>6</v>
      </c>
      <c r="S803">
        <f t="shared" si="37"/>
        <v>1</v>
      </c>
      <c r="T803" s="102" t="str">
        <f>IF(TableRelationships12[[#This Row],[Rank Pedro]]="Low","linkCategory1",IF(TableRelationships12[[#This Row],[Rank Pedro]]="Medium","linkCategory2",IF(TableRelationships12[[#This Row],[Rank Pedro]]="High","linkCategory3","")))</f>
        <v/>
      </c>
      <c r="U803" s="102" t="str">
        <f>IF(TableRelationships12[[#This Row],[Rank Pedro]]="Low","Pink",IF(TableRelationships12[[#This Row],[Rank Pedro]]="Medium","Purple",IF(TableRelationships12[[#This Row],[Rank Pedro]]="High","Brown","")))</f>
        <v/>
      </c>
      <c r="V803" s="4" t="e">
        <f>MAX(INDEX(Standards!$F$2:$F$296,MATCH(B803,Standards!$B$2:$B$296,0)),INDEX(Standards!$F$2:$F$296,MATCH(C803,Standards!$B$2:$B$296,0)))</f>
        <v>#N/A</v>
      </c>
      <c r="W803" t="str">
        <f t="shared" si="38"/>
        <v>#d6bf2a</v>
      </c>
    </row>
    <row r="804" spans="1:23" x14ac:dyDescent="0.5">
      <c r="A804" s="54">
        <v>803</v>
      </c>
      <c r="B804" s="90" t="s">
        <v>1046</v>
      </c>
      <c r="C804" t="s">
        <v>1545</v>
      </c>
      <c r="D804" s="1"/>
      <c r="G804" s="107"/>
      <c r="H804">
        <f>INDEX('GIS-Standards'!$A$2:$A$305,MATCH(B804,'GIS-Standards'!$B$2:$B$305,0))</f>
        <v>32</v>
      </c>
      <c r="I804" t="e">
        <f>INDEX('GIS-Standards'!$A$2:$A$305,MATCH(C804,'GIS-Standards'!$B$2:$B$305,0))</f>
        <v>#N/A</v>
      </c>
      <c r="J804" t="str">
        <f>INDEX('GIS-Standards'!$O$2:$O$305,MATCH(B804,'GIS-Standards'!$B$2:$B$305,0))</f>
        <v>ISO/TC 211</v>
      </c>
      <c r="K804" t="e">
        <f>INDEX('GIS-Standards'!$O$2:$O$305,MATCH(C804,'GIS-Standards'!$B$2:$B$305,0))</f>
        <v>#N/A</v>
      </c>
      <c r="M804" t="s">
        <v>525</v>
      </c>
      <c r="N804">
        <f>INDEX('GIS-Standards'!$I$2:$I$305,MATCH(B804,'GIS-Standards'!$B$2:$B$305,0))</f>
        <v>0</v>
      </c>
      <c r="O804" t="e">
        <f>INDEX('GIS-Standards'!$I$2:$I$305,MATCH(C804,'GIS-Standards'!$B$2:$B$305,0))</f>
        <v>#N/A</v>
      </c>
      <c r="P804" t="e">
        <f>AND(TableRelationships12[[#This Row],[Source Type]]="BIM",TableRelationships12[[#This Row],[Target Type]]="BIM")</f>
        <v>#N/A</v>
      </c>
      <c r="Q804">
        <f t="shared" si="36"/>
        <v>1</v>
      </c>
      <c r="S804">
        <f t="shared" si="37"/>
        <v>1</v>
      </c>
      <c r="T804" s="102" t="str">
        <f>IF(TableRelationships12[[#This Row],[Rank Pedro]]="Low","linkCategory1",IF(TableRelationships12[[#This Row],[Rank Pedro]]="Medium","linkCategory2",IF(TableRelationships12[[#This Row],[Rank Pedro]]="High","linkCategory3","")))</f>
        <v/>
      </c>
      <c r="U804" s="102" t="str">
        <f>IF(TableRelationships12[[#This Row],[Rank Pedro]]="Low","Pink",IF(TableRelationships12[[#This Row],[Rank Pedro]]="Medium","Purple",IF(TableRelationships12[[#This Row],[Rank Pedro]]="High","Brown","")))</f>
        <v/>
      </c>
      <c r="V804" s="4" t="e">
        <f>MAX(INDEX(Standards!$F$2:$F$296,MATCH(B804,Standards!$B$2:$B$296,0)),INDEX(Standards!$F$2:$F$296,MATCH(C804,Standards!$B$2:$B$296,0)))</f>
        <v>#N/A</v>
      </c>
      <c r="W804" t="str">
        <f t="shared" si="38"/>
        <v>#2f89d1</v>
      </c>
    </row>
    <row r="805" spans="1:23" x14ac:dyDescent="0.5">
      <c r="A805" s="54">
        <v>804</v>
      </c>
      <c r="B805" s="90" t="s">
        <v>1046</v>
      </c>
      <c r="C805" t="s">
        <v>1546</v>
      </c>
      <c r="D805" s="1"/>
      <c r="G805" s="107"/>
      <c r="H805">
        <f>INDEX('GIS-Standards'!$A$2:$A$305,MATCH(B805,'GIS-Standards'!$B$2:$B$305,0))</f>
        <v>32</v>
      </c>
      <c r="I805" t="e">
        <f>INDEX('GIS-Standards'!$A$2:$A$305,MATCH(C805,'GIS-Standards'!$B$2:$B$305,0))</f>
        <v>#N/A</v>
      </c>
      <c r="J805" t="str">
        <f>INDEX('GIS-Standards'!$O$2:$O$305,MATCH(B805,'GIS-Standards'!$B$2:$B$305,0))</f>
        <v>ISO/TC 211</v>
      </c>
      <c r="K805" t="e">
        <f>INDEX('GIS-Standards'!$O$2:$O$305,MATCH(C805,'GIS-Standards'!$B$2:$B$305,0))</f>
        <v>#N/A</v>
      </c>
      <c r="M805" t="s">
        <v>525</v>
      </c>
      <c r="N805">
        <f>INDEX('GIS-Standards'!$I$2:$I$305,MATCH(B805,'GIS-Standards'!$B$2:$B$305,0))</f>
        <v>0</v>
      </c>
      <c r="O805" t="e">
        <f>INDEX('GIS-Standards'!$I$2:$I$305,MATCH(C805,'GIS-Standards'!$B$2:$B$305,0))</f>
        <v>#N/A</v>
      </c>
      <c r="P805" t="e">
        <f>AND(TableRelationships12[[#This Row],[Source Type]]="BIM",TableRelationships12[[#This Row],[Target Type]]="BIM")</f>
        <v>#N/A</v>
      </c>
      <c r="Q805">
        <f t="shared" si="36"/>
        <v>1</v>
      </c>
      <c r="S805">
        <f t="shared" si="37"/>
        <v>1</v>
      </c>
      <c r="T805" s="102" t="str">
        <f>IF(TableRelationships12[[#This Row],[Rank Pedro]]="Low","linkCategory1",IF(TableRelationships12[[#This Row],[Rank Pedro]]="Medium","linkCategory2",IF(TableRelationships12[[#This Row],[Rank Pedro]]="High","linkCategory3","")))</f>
        <v/>
      </c>
      <c r="U805" s="102" t="str">
        <f>IF(TableRelationships12[[#This Row],[Rank Pedro]]="Low","Pink",IF(TableRelationships12[[#This Row],[Rank Pedro]]="Medium","Purple",IF(TableRelationships12[[#This Row],[Rank Pedro]]="High","Brown","")))</f>
        <v/>
      </c>
      <c r="V805" s="4" t="e">
        <f>MAX(INDEX(Standards!$F$2:$F$296,MATCH(B805,Standards!$B$2:$B$296,0)),INDEX(Standards!$F$2:$F$296,MATCH(C805,Standards!$B$2:$B$296,0)))</f>
        <v>#N/A</v>
      </c>
      <c r="W805" t="str">
        <f t="shared" si="38"/>
        <v>#2f89d1</v>
      </c>
    </row>
    <row r="806" spans="1:23" x14ac:dyDescent="0.5">
      <c r="A806" s="54">
        <v>805</v>
      </c>
      <c r="B806" s="90" t="s">
        <v>1046</v>
      </c>
      <c r="C806" t="s">
        <v>1541</v>
      </c>
      <c r="D806" s="1"/>
      <c r="G806" s="107"/>
      <c r="H806">
        <f>INDEX('GIS-Standards'!$A$2:$A$305,MATCH(B806,'GIS-Standards'!$B$2:$B$305,0))</f>
        <v>32</v>
      </c>
      <c r="I806" t="e">
        <f>INDEX('GIS-Standards'!$A$2:$A$305,MATCH(C806,'GIS-Standards'!$B$2:$B$305,0))</f>
        <v>#N/A</v>
      </c>
      <c r="J806" t="str">
        <f>INDEX('GIS-Standards'!$O$2:$O$305,MATCH(B806,'GIS-Standards'!$B$2:$B$305,0))</f>
        <v>ISO/TC 211</v>
      </c>
      <c r="K806" t="e">
        <f>INDEX('GIS-Standards'!$O$2:$O$305,MATCH(C806,'GIS-Standards'!$B$2:$B$305,0))</f>
        <v>#N/A</v>
      </c>
      <c r="M806" t="s">
        <v>525</v>
      </c>
      <c r="N806">
        <f>INDEX('GIS-Standards'!$I$2:$I$305,MATCH(B806,'GIS-Standards'!$B$2:$B$305,0))</f>
        <v>0</v>
      </c>
      <c r="O806" t="e">
        <f>INDEX('GIS-Standards'!$I$2:$I$305,MATCH(C806,'GIS-Standards'!$B$2:$B$305,0))</f>
        <v>#N/A</v>
      </c>
      <c r="P806" t="e">
        <f>AND(TableRelationships12[[#This Row],[Source Type]]="BIM",TableRelationships12[[#This Row],[Target Type]]="BIM")</f>
        <v>#N/A</v>
      </c>
      <c r="Q806">
        <f t="shared" si="36"/>
        <v>1</v>
      </c>
      <c r="S806">
        <f t="shared" si="37"/>
        <v>1</v>
      </c>
      <c r="T806" s="102" t="str">
        <f>IF(TableRelationships12[[#This Row],[Rank Pedro]]="Low","linkCategory1",IF(TableRelationships12[[#This Row],[Rank Pedro]]="Medium","linkCategory2",IF(TableRelationships12[[#This Row],[Rank Pedro]]="High","linkCategory3","")))</f>
        <v/>
      </c>
      <c r="U806" s="102" t="str">
        <f>IF(TableRelationships12[[#This Row],[Rank Pedro]]="Low","Pink",IF(TableRelationships12[[#This Row],[Rank Pedro]]="Medium","Purple",IF(TableRelationships12[[#This Row],[Rank Pedro]]="High","Brown","")))</f>
        <v/>
      </c>
      <c r="V806" s="4" t="e">
        <f>MAX(INDEX(Standards!$F$2:$F$296,MATCH(B806,Standards!$B$2:$B$296,0)),INDEX(Standards!$F$2:$F$296,MATCH(C806,Standards!$B$2:$B$296,0)))</f>
        <v>#N/A</v>
      </c>
      <c r="W806" t="str">
        <f t="shared" si="38"/>
        <v>#2f89d1</v>
      </c>
    </row>
    <row r="807" spans="1:23" x14ac:dyDescent="0.5">
      <c r="A807" s="54">
        <v>806</v>
      </c>
      <c r="B807" s="90" t="s">
        <v>1046</v>
      </c>
      <c r="C807" t="s">
        <v>1164</v>
      </c>
      <c r="D807" s="1"/>
      <c r="G807" s="107"/>
      <c r="H807">
        <f>INDEX('GIS-Standards'!$A$2:$A$305,MATCH(B807,'GIS-Standards'!$B$2:$B$305,0))</f>
        <v>32</v>
      </c>
      <c r="I807" t="e">
        <f>INDEX('GIS-Standards'!$A$2:$A$305,MATCH(C807,'GIS-Standards'!$B$2:$B$305,0))</f>
        <v>#N/A</v>
      </c>
      <c r="J807" t="str">
        <f>INDEX('GIS-Standards'!$O$2:$O$305,MATCH(B807,'GIS-Standards'!$B$2:$B$305,0))</f>
        <v>ISO/TC 211</v>
      </c>
      <c r="K807" t="e">
        <f>INDEX('GIS-Standards'!$O$2:$O$305,MATCH(C807,'GIS-Standards'!$B$2:$B$305,0))</f>
        <v>#N/A</v>
      </c>
      <c r="M807" t="s">
        <v>525</v>
      </c>
      <c r="N807">
        <f>INDEX('GIS-Standards'!$I$2:$I$305,MATCH(B807,'GIS-Standards'!$B$2:$B$305,0))</f>
        <v>0</v>
      </c>
      <c r="O807" t="e">
        <f>INDEX('GIS-Standards'!$I$2:$I$305,MATCH(C807,'GIS-Standards'!$B$2:$B$305,0))</f>
        <v>#N/A</v>
      </c>
      <c r="P807" t="e">
        <f>AND(TableRelationships12[[#This Row],[Source Type]]="BIM",TableRelationships12[[#This Row],[Target Type]]="BIM")</f>
        <v>#N/A</v>
      </c>
      <c r="Q807">
        <f t="shared" si="36"/>
        <v>1</v>
      </c>
      <c r="S807">
        <f t="shared" si="37"/>
        <v>1</v>
      </c>
      <c r="T807" s="102" t="str">
        <f>IF(TableRelationships12[[#This Row],[Rank Pedro]]="Low","linkCategory1",IF(TableRelationships12[[#This Row],[Rank Pedro]]="Medium","linkCategory2",IF(TableRelationships12[[#This Row],[Rank Pedro]]="High","linkCategory3","")))</f>
        <v/>
      </c>
      <c r="U807" s="102" t="str">
        <f>IF(TableRelationships12[[#This Row],[Rank Pedro]]="Low","Pink",IF(TableRelationships12[[#This Row],[Rank Pedro]]="Medium","Purple",IF(TableRelationships12[[#This Row],[Rank Pedro]]="High","Brown","")))</f>
        <v/>
      </c>
      <c r="V807" s="4" t="e">
        <f>MAX(INDEX(Standards!$F$2:$F$296,MATCH(B807,Standards!$B$2:$B$296,0)),INDEX(Standards!$F$2:$F$296,MATCH(C807,Standards!$B$2:$B$296,0)))</f>
        <v>#N/A</v>
      </c>
      <c r="W807" t="str">
        <f t="shared" si="38"/>
        <v>#2f89d1</v>
      </c>
    </row>
    <row r="808" spans="1:23" x14ac:dyDescent="0.5">
      <c r="A808" s="54">
        <v>807</v>
      </c>
      <c r="B808" s="90" t="s">
        <v>1046</v>
      </c>
      <c r="C808" t="s">
        <v>293</v>
      </c>
      <c r="D808" s="1" t="s">
        <v>1127</v>
      </c>
      <c r="E808" s="112">
        <v>2002.07</v>
      </c>
      <c r="F808" s="112">
        <v>2014.11</v>
      </c>
      <c r="G808" s="107" t="s">
        <v>670</v>
      </c>
      <c r="H808">
        <f>INDEX('GIS-Standards'!$A$2:$A$305,MATCH(B808,'GIS-Standards'!$B$2:$B$305,0))</f>
        <v>32</v>
      </c>
      <c r="I808">
        <f>INDEX('GIS-Standards'!$A$2:$A$305,MATCH(C808,'GIS-Standards'!$B$2:$B$305,0))</f>
        <v>10</v>
      </c>
      <c r="J808" t="str">
        <f>INDEX('GIS-Standards'!$O$2:$O$305,MATCH(B808,'GIS-Standards'!$B$2:$B$305,0))</f>
        <v>ISO/TC 211</v>
      </c>
      <c r="K808" t="str">
        <f>INDEX('GIS-Standards'!$O$2:$O$305,MATCH(C808,'GIS-Standards'!$B$2:$B$305,0))</f>
        <v>ISO/TC 211</v>
      </c>
      <c r="M808" t="s">
        <v>525</v>
      </c>
      <c r="N808">
        <f>INDEX('GIS-Standards'!$I$2:$I$305,MATCH(B808,'GIS-Standards'!$B$2:$B$305,0))</f>
        <v>0</v>
      </c>
      <c r="O808">
        <f>INDEX('GIS-Standards'!$I$2:$I$305,MATCH(C808,'GIS-Standards'!$B$2:$B$305,0))</f>
        <v>0</v>
      </c>
      <c r="P808" t="b">
        <f>AND(TableRelationships12[[#This Row],[Source Type]]="BIM",TableRelationships12[[#This Row],[Target Type]]="BIM")</f>
        <v>0</v>
      </c>
      <c r="Q808">
        <f t="shared" si="36"/>
        <v>1</v>
      </c>
      <c r="S808">
        <f t="shared" si="37"/>
        <v>1</v>
      </c>
      <c r="T808" s="102" t="str">
        <f>IF(TableRelationships12[[#This Row],[Rank Pedro]]="Low","linkCategory1",IF(TableRelationships12[[#This Row],[Rank Pedro]]="Medium","linkCategory2",IF(TableRelationships12[[#This Row],[Rank Pedro]]="High","linkCategory3","")))</f>
        <v/>
      </c>
      <c r="U808" s="102" t="str">
        <f>IF(TableRelationships12[[#This Row],[Rank Pedro]]="Low","Pink",IF(TableRelationships12[[#This Row],[Rank Pedro]]="Medium","Purple",IF(TableRelationships12[[#This Row],[Rank Pedro]]="High","Brown","")))</f>
        <v/>
      </c>
      <c r="V808" s="4" t="e">
        <f>MAX(INDEX(Standards!$F$2:$F$296,MATCH(B808,Standards!$B$2:$B$296,0)),INDEX(Standards!$F$2:$F$296,MATCH(C808,Standards!$B$2:$B$296,0)))</f>
        <v>#N/A</v>
      </c>
      <c r="W808" t="str">
        <f t="shared" si="38"/>
        <v>#2f89d1</v>
      </c>
    </row>
    <row r="809" spans="1:23" x14ac:dyDescent="0.5">
      <c r="A809" s="54">
        <v>808</v>
      </c>
      <c r="B809" s="90" t="s">
        <v>1046</v>
      </c>
      <c r="C809" t="s">
        <v>1106</v>
      </c>
      <c r="D809" s="1"/>
      <c r="E809" s="112">
        <v>1985.03</v>
      </c>
      <c r="F809" s="112">
        <v>2019.07</v>
      </c>
      <c r="G809" s="107"/>
      <c r="H809">
        <f>INDEX('GIS-Standards'!$A$2:$A$305,MATCH(B809,'GIS-Standards'!$B$2:$B$305,0))</f>
        <v>32</v>
      </c>
      <c r="I809" t="e">
        <f>INDEX('GIS-Standards'!$A$2:$A$305,MATCH(C809,'GIS-Standards'!$B$2:$B$305,0))</f>
        <v>#N/A</v>
      </c>
      <c r="J809" t="str">
        <f>INDEX('GIS-Standards'!$O$2:$O$305,MATCH(B809,'GIS-Standards'!$B$2:$B$305,0))</f>
        <v>ISO/TC 211</v>
      </c>
      <c r="K809" t="e">
        <f>INDEX('GIS-Standards'!$O$2:$O$305,MATCH(C809,'GIS-Standards'!$B$2:$B$305,0))</f>
        <v>#N/A</v>
      </c>
      <c r="M809" t="s">
        <v>525</v>
      </c>
      <c r="N809">
        <f>INDEX('GIS-Standards'!$I$2:$I$305,MATCH(B809,'GIS-Standards'!$B$2:$B$305,0))</f>
        <v>0</v>
      </c>
      <c r="O809" t="e">
        <f>INDEX('GIS-Standards'!$I$2:$I$305,MATCH(C809,'GIS-Standards'!$B$2:$B$305,0))</f>
        <v>#N/A</v>
      </c>
      <c r="P809" t="e">
        <f>AND(TableRelationships12[[#This Row],[Source Type]]="BIM",TableRelationships12[[#This Row],[Target Type]]="BIM")</f>
        <v>#N/A</v>
      </c>
      <c r="Q809">
        <f t="shared" si="36"/>
        <v>1</v>
      </c>
      <c r="S809">
        <f t="shared" si="37"/>
        <v>1</v>
      </c>
      <c r="T809" s="102" t="str">
        <f>IF(TableRelationships12[[#This Row],[Rank Pedro]]="Low","linkCategory1",IF(TableRelationships12[[#This Row],[Rank Pedro]]="Medium","linkCategory2",IF(TableRelationships12[[#This Row],[Rank Pedro]]="High","linkCategory3","")))</f>
        <v/>
      </c>
      <c r="U809" s="102" t="str">
        <f>IF(TableRelationships12[[#This Row],[Rank Pedro]]="Low","Pink",IF(TableRelationships12[[#This Row],[Rank Pedro]]="Medium","Purple",IF(TableRelationships12[[#This Row],[Rank Pedro]]="High","Brown","")))</f>
        <v/>
      </c>
      <c r="V809" s="4" t="e">
        <f>MAX(INDEX(Standards!$F$2:$F$296,MATCH(B809,Standards!$B$2:$B$296,0)),INDEX(Standards!$F$2:$F$296,MATCH(C809,Standards!$B$2:$B$296,0)))</f>
        <v>#N/A</v>
      </c>
      <c r="W809" t="str">
        <f t="shared" si="38"/>
        <v>#2f89d1</v>
      </c>
    </row>
    <row r="810" spans="1:23" x14ac:dyDescent="0.5">
      <c r="A810" s="54">
        <v>809</v>
      </c>
      <c r="B810" s="90" t="s">
        <v>322</v>
      </c>
      <c r="C810" t="s">
        <v>527</v>
      </c>
      <c r="D810" s="1"/>
      <c r="E810" s="112" t="s">
        <v>953</v>
      </c>
      <c r="F810" s="112" t="s">
        <v>954</v>
      </c>
      <c r="G810" s="121" t="s">
        <v>670</v>
      </c>
      <c r="H810">
        <f>INDEX('GIS-Standards'!$A$2:$A$305,MATCH(B810,'GIS-Standards'!$B$2:$B$305,0))</f>
        <v>33</v>
      </c>
      <c r="I810" t="e">
        <f>INDEX('GIS-Standards'!$A$2:$A$305,MATCH(C810,'GIS-Standards'!$B$2:$B$305,0))</f>
        <v>#N/A</v>
      </c>
      <c r="J810" t="str">
        <f>INDEX('GIS-Standards'!$O$2:$O$305,MATCH(B810,'GIS-Standards'!$B$2:$B$305,0))</f>
        <v>ISO/TC 211</v>
      </c>
      <c r="K810" t="e">
        <f>INDEX('GIS-Standards'!$O$2:$O$305,MATCH(C810,'GIS-Standards'!$B$2:$B$305,0))</f>
        <v>#N/A</v>
      </c>
      <c r="M810" t="s">
        <v>237</v>
      </c>
      <c r="N810">
        <f>INDEX('GIS-Standards'!$I$2:$I$305,MATCH(B810,'GIS-Standards'!$B$2:$B$305,0))</f>
        <v>0</v>
      </c>
      <c r="O810" t="e">
        <f>INDEX('GIS-Standards'!$I$2:$I$305,MATCH(C810,'GIS-Standards'!$B$2:$B$305,0))</f>
        <v>#N/A</v>
      </c>
      <c r="P810" t="e">
        <f>AND(TableRelationships12[[#This Row],[Source Type]]="BIM",TableRelationships12[[#This Row],[Target Type]]="BIM")</f>
        <v>#N/A</v>
      </c>
      <c r="Q810">
        <f t="shared" si="36"/>
        <v>2</v>
      </c>
      <c r="S810">
        <f t="shared" si="37"/>
        <v>1</v>
      </c>
      <c r="T810" s="102" t="str">
        <f>IF(TableRelationships12[[#This Row],[Rank Pedro]]="Low","linkCategory1",IF(TableRelationships12[[#This Row],[Rank Pedro]]="Medium","linkCategory2",IF(TableRelationships12[[#This Row],[Rank Pedro]]="High","linkCategory3","")))</f>
        <v/>
      </c>
      <c r="U810" s="102" t="str">
        <f>IF(TableRelationships12[[#This Row],[Rank Pedro]]="Low","Pink",IF(TableRelationships12[[#This Row],[Rank Pedro]]="Medium","Purple",IF(TableRelationships12[[#This Row],[Rank Pedro]]="High","Brown","")))</f>
        <v/>
      </c>
      <c r="V810" s="4">
        <f>MAX(INDEX(Standards!$F$2:$F$296,MATCH(B810,Standards!$B$2:$B$296,0)),INDEX(Standards!$F$2:$F$296,MATCH(C810,Standards!$B$2:$B$296,0)))</f>
        <v>40118</v>
      </c>
      <c r="W810">
        <f t="shared" si="38"/>
        <v>1</v>
      </c>
    </row>
    <row r="811" spans="1:23" x14ac:dyDescent="0.5">
      <c r="A811" s="54">
        <v>810</v>
      </c>
      <c r="B811" s="90" t="s">
        <v>322</v>
      </c>
      <c r="C811" t="s">
        <v>296</v>
      </c>
      <c r="D811" s="1"/>
      <c r="E811" s="112">
        <v>2005.07</v>
      </c>
      <c r="F811" s="112">
        <v>2024.09</v>
      </c>
      <c r="G811" s="107" t="s">
        <v>670</v>
      </c>
      <c r="H811">
        <f>INDEX('GIS-Standards'!$A$2:$A$305,MATCH(B811,'GIS-Standards'!$B$2:$B$305,0))</f>
        <v>33</v>
      </c>
      <c r="I811">
        <f>INDEX('GIS-Standards'!$A$2:$A$305,MATCH(C811,'GIS-Standards'!$B$2:$B$305,0))</f>
        <v>12</v>
      </c>
      <c r="J811" t="str">
        <f>INDEX('GIS-Standards'!$O$2:$O$305,MATCH(B811,'GIS-Standards'!$B$2:$B$305,0))</f>
        <v>ISO/TC 211</v>
      </c>
      <c r="K811" t="str">
        <f>INDEX('GIS-Standards'!$O$2:$O$305,MATCH(C811,'GIS-Standards'!$B$2:$B$305,0))</f>
        <v>ISO/TC 211</v>
      </c>
      <c r="M811" t="s">
        <v>524</v>
      </c>
      <c r="N811">
        <f>INDEX('GIS-Standards'!$I$2:$I$305,MATCH(B811,'GIS-Standards'!$B$2:$B$305,0))</f>
        <v>0</v>
      </c>
      <c r="O811">
        <f>INDEX('GIS-Standards'!$I$2:$I$305,MATCH(C811,'GIS-Standards'!$B$2:$B$305,0))</f>
        <v>0</v>
      </c>
      <c r="P811" t="b">
        <f>AND(TableRelationships12[[#This Row],[Source Type]]="BIM",TableRelationships12[[#This Row],[Target Type]]="BIM")</f>
        <v>0</v>
      </c>
      <c r="Q811">
        <f t="shared" si="36"/>
        <v>6</v>
      </c>
      <c r="S811">
        <f t="shared" si="37"/>
        <v>1</v>
      </c>
      <c r="T811" s="102" t="str">
        <f>IF(TableRelationships12[[#This Row],[Rank Pedro]]="Low","linkCategory1",IF(TableRelationships12[[#This Row],[Rank Pedro]]="Medium","linkCategory2",IF(TableRelationships12[[#This Row],[Rank Pedro]]="High","linkCategory3","")))</f>
        <v/>
      </c>
      <c r="U811" s="102" t="str">
        <f>IF(TableRelationships12[[#This Row],[Rank Pedro]]="Low","Pink",IF(TableRelationships12[[#This Row],[Rank Pedro]]="Medium","Purple",IF(TableRelationships12[[#This Row],[Rank Pedro]]="High","Brown","")))</f>
        <v/>
      </c>
      <c r="V811" s="4">
        <f>MAX(INDEX(Standards!$F$2:$F$296,MATCH(B811,Standards!$B$2:$B$296,0)),INDEX(Standards!$F$2:$F$296,MATCH(C811,Standards!$B$2:$B$296,0)))</f>
        <v>40118</v>
      </c>
      <c r="W811" t="str">
        <f t="shared" si="38"/>
        <v>#d6bf2a</v>
      </c>
    </row>
    <row r="812" spans="1:23" x14ac:dyDescent="0.5">
      <c r="A812" s="54">
        <v>811</v>
      </c>
      <c r="B812" s="90" t="s">
        <v>322</v>
      </c>
      <c r="C812" t="s">
        <v>314</v>
      </c>
      <c r="D812" s="1"/>
      <c r="E812" s="112">
        <v>2003.05</v>
      </c>
      <c r="F812" s="112">
        <v>2020.11</v>
      </c>
      <c r="G812" s="107" t="s">
        <v>670</v>
      </c>
      <c r="H812">
        <f>INDEX('GIS-Standards'!$A$2:$A$305,MATCH(B812,'GIS-Standards'!$B$2:$B$305,0))</f>
        <v>33</v>
      </c>
      <c r="I812">
        <f>INDEX('GIS-Standards'!$A$2:$A$305,MATCH(C812,'GIS-Standards'!$B$2:$B$305,0))</f>
        <v>22</v>
      </c>
      <c r="J812" t="str">
        <f>INDEX('GIS-Standards'!$O$2:$O$305,MATCH(B812,'GIS-Standards'!$B$2:$B$305,0))</f>
        <v>ISO/TC 211</v>
      </c>
      <c r="K812" t="str">
        <f>INDEX('GIS-Standards'!$O$2:$O$305,MATCH(C812,'GIS-Standards'!$B$2:$B$305,0))</f>
        <v>ISO/TC 211</v>
      </c>
      <c r="M812" t="s">
        <v>524</v>
      </c>
      <c r="N812">
        <f>INDEX('GIS-Standards'!$I$2:$I$305,MATCH(B812,'GIS-Standards'!$B$2:$B$305,0))</f>
        <v>0</v>
      </c>
      <c r="O812" t="str">
        <f>INDEX('GIS-Standards'!$I$2:$I$305,MATCH(C812,'GIS-Standards'!$B$2:$B$305,0))</f>
        <v>12.2020</v>
      </c>
      <c r="P812" t="b">
        <f>AND(TableRelationships12[[#This Row],[Source Type]]="BIM",TableRelationships12[[#This Row],[Target Type]]="BIM")</f>
        <v>0</v>
      </c>
      <c r="Q812">
        <f t="shared" si="36"/>
        <v>6</v>
      </c>
      <c r="S812">
        <f t="shared" si="37"/>
        <v>1</v>
      </c>
      <c r="T812" s="102" t="str">
        <f>IF(TableRelationships12[[#This Row],[Rank Pedro]]="Low","linkCategory1",IF(TableRelationships12[[#This Row],[Rank Pedro]]="Medium","linkCategory2",IF(TableRelationships12[[#This Row],[Rank Pedro]]="High","linkCategory3","")))</f>
        <v/>
      </c>
      <c r="U812" s="102" t="str">
        <f>IF(TableRelationships12[[#This Row],[Rank Pedro]]="Low","Pink",IF(TableRelationships12[[#This Row],[Rank Pedro]]="Medium","Purple",IF(TableRelationships12[[#This Row],[Rank Pedro]]="High","Brown","")))</f>
        <v/>
      </c>
      <c r="V812" s="4">
        <f>MAX(INDEX(Standards!$F$2:$F$296,MATCH(B812,Standards!$B$2:$B$296,0)),INDEX(Standards!$F$2:$F$296,MATCH(C812,Standards!$B$2:$B$296,0)))</f>
        <v>40118</v>
      </c>
      <c r="W812" t="str">
        <f t="shared" si="38"/>
        <v>#d6bf2a</v>
      </c>
    </row>
    <row r="813" spans="1:23" x14ac:dyDescent="0.5">
      <c r="A813" s="54">
        <v>812</v>
      </c>
      <c r="B813" s="90" t="s">
        <v>322</v>
      </c>
      <c r="C813" t="s">
        <v>1048</v>
      </c>
      <c r="D813" s="1"/>
      <c r="E813" s="112">
        <v>2005.1</v>
      </c>
      <c r="F813" s="112">
        <v>2021.02</v>
      </c>
      <c r="G813" s="107" t="s">
        <v>670</v>
      </c>
      <c r="H813">
        <f>INDEX('GIS-Standards'!$A$2:$A$305,MATCH(B813,'GIS-Standards'!$B$2:$B$305,0))</f>
        <v>33</v>
      </c>
      <c r="I813">
        <f>INDEX('GIS-Standards'!$A$2:$A$305,MATCH(C813,'GIS-Standards'!$B$2:$B$305,0))</f>
        <v>41</v>
      </c>
      <c r="J813" t="str">
        <f>INDEX('GIS-Standards'!$O$2:$O$305,MATCH(B813,'GIS-Standards'!$B$2:$B$305,0))</f>
        <v>ISO/TC 211</v>
      </c>
      <c r="K813" t="str">
        <f>INDEX('GIS-Standards'!$O$2:$O$305,MATCH(C813,'GIS-Standards'!$B$2:$B$305,0))</f>
        <v>ISO/TC 211</v>
      </c>
      <c r="M813" t="s">
        <v>524</v>
      </c>
      <c r="N813">
        <f>INDEX('GIS-Standards'!$I$2:$I$305,MATCH(B813,'GIS-Standards'!$B$2:$B$305,0))</f>
        <v>0</v>
      </c>
      <c r="O813" t="str">
        <f>INDEX('GIS-Standards'!$I$2:$I$305,MATCH(C813,'GIS-Standards'!$B$2:$B$305,0))</f>
        <v>03.2021</v>
      </c>
      <c r="P813" t="b">
        <f>AND(TableRelationships12[[#This Row],[Source Type]]="BIM",TableRelationships12[[#This Row],[Target Type]]="BIM")</f>
        <v>0</v>
      </c>
      <c r="Q813">
        <f t="shared" si="36"/>
        <v>6</v>
      </c>
      <c r="S813">
        <f t="shared" si="37"/>
        <v>1</v>
      </c>
      <c r="T813" s="102" t="str">
        <f>IF(TableRelationships12[[#This Row],[Rank Pedro]]="Low","linkCategory1",IF(TableRelationships12[[#This Row],[Rank Pedro]]="Medium","linkCategory2",IF(TableRelationships12[[#This Row],[Rank Pedro]]="High","linkCategory3","")))</f>
        <v/>
      </c>
      <c r="U813" s="102" t="str">
        <f>IF(TableRelationships12[[#This Row],[Rank Pedro]]="Low","Pink",IF(TableRelationships12[[#This Row],[Rank Pedro]]="Medium","Purple",IF(TableRelationships12[[#This Row],[Rank Pedro]]="High","Brown","")))</f>
        <v/>
      </c>
      <c r="V813" s="4" t="e">
        <f>MAX(INDEX(Standards!$F$2:$F$296,MATCH(B813,Standards!$B$2:$B$296,0)),INDEX(Standards!$F$2:$F$296,MATCH(C813,Standards!$B$2:$B$296,0)))</f>
        <v>#N/A</v>
      </c>
      <c r="W813" t="str">
        <f t="shared" si="38"/>
        <v>#d6bf2a</v>
      </c>
    </row>
    <row r="814" spans="1:23" x14ac:dyDescent="0.5">
      <c r="A814" s="54">
        <v>813</v>
      </c>
      <c r="B814" s="90" t="s">
        <v>322</v>
      </c>
      <c r="C814" t="s">
        <v>412</v>
      </c>
      <c r="D814" s="1"/>
      <c r="E814" s="112">
        <v>1983.07</v>
      </c>
      <c r="F814" s="112">
        <v>1991.12</v>
      </c>
      <c r="G814" s="107" t="s">
        <v>1501</v>
      </c>
      <c r="H814">
        <f>INDEX('GIS-Standards'!$A$2:$A$305,MATCH(B814,'GIS-Standards'!$B$2:$B$305,0))</f>
        <v>33</v>
      </c>
      <c r="I814" t="e">
        <f>INDEX('GIS-Standards'!$A$2:$A$305,MATCH(C814,'GIS-Standards'!$B$2:$B$305,0))</f>
        <v>#N/A</v>
      </c>
      <c r="J814" t="str">
        <f>INDEX('GIS-Standards'!$O$2:$O$305,MATCH(B814,'GIS-Standards'!$B$2:$B$305,0))</f>
        <v>ISO/TC 211</v>
      </c>
      <c r="K814" t="e">
        <f>INDEX('GIS-Standards'!$O$2:$O$305,MATCH(C814,'GIS-Standards'!$B$2:$B$305,0))</f>
        <v>#N/A</v>
      </c>
      <c r="M814" t="s">
        <v>525</v>
      </c>
      <c r="N814">
        <f>INDEX('GIS-Standards'!$I$2:$I$305,MATCH(B814,'GIS-Standards'!$B$2:$B$305,0))</f>
        <v>0</v>
      </c>
      <c r="O814" t="e">
        <f>INDEX('GIS-Standards'!$I$2:$I$305,MATCH(C814,'GIS-Standards'!$B$2:$B$305,0))</f>
        <v>#N/A</v>
      </c>
      <c r="P814" t="e">
        <f>AND(TableRelationships12[[#This Row],[Source Type]]="BIM",TableRelationships12[[#This Row],[Target Type]]="BIM")</f>
        <v>#N/A</v>
      </c>
      <c r="Q814">
        <f t="shared" si="36"/>
        <v>1</v>
      </c>
      <c r="S814">
        <f t="shared" si="37"/>
        <v>1</v>
      </c>
      <c r="T814" s="102" t="str">
        <f>IF(TableRelationships12[[#This Row],[Rank Pedro]]="Low","linkCategory1",IF(TableRelationships12[[#This Row],[Rank Pedro]]="Medium","linkCategory2",IF(TableRelationships12[[#This Row],[Rank Pedro]]="High","linkCategory3","")))</f>
        <v/>
      </c>
      <c r="U814" s="102" t="str">
        <f>IF(TableRelationships12[[#This Row],[Rank Pedro]]="Low","Pink",IF(TableRelationships12[[#This Row],[Rank Pedro]]="Medium","Purple",IF(TableRelationships12[[#This Row],[Rank Pedro]]="High","Brown","")))</f>
        <v/>
      </c>
      <c r="V814" s="4">
        <f>MAX(INDEX(Standards!$F$2:$F$296,MATCH(B814,Standards!$B$2:$B$296,0)),INDEX(Standards!$F$2:$F$296,MATCH(C814,Standards!$B$2:$B$296,0)))</f>
        <v>40118</v>
      </c>
      <c r="W814" t="str">
        <f t="shared" si="38"/>
        <v>#2f89d1</v>
      </c>
    </row>
    <row r="815" spans="1:23" x14ac:dyDescent="0.5">
      <c r="A815" s="54">
        <v>814</v>
      </c>
      <c r="B815" s="90" t="s">
        <v>322</v>
      </c>
      <c r="C815" t="s">
        <v>132</v>
      </c>
      <c r="D815" s="1"/>
      <c r="E815" s="112">
        <v>1997.09</v>
      </c>
      <c r="F815" s="112">
        <v>2020.08</v>
      </c>
      <c r="G815" s="107" t="s">
        <v>1481</v>
      </c>
      <c r="H815">
        <f>INDEX('GIS-Standards'!$A$2:$A$305,MATCH(B815,'GIS-Standards'!$B$2:$B$305,0))</f>
        <v>33</v>
      </c>
      <c r="I815" t="e">
        <f>INDEX('GIS-Standards'!$A$2:$A$305,MATCH(C815,'GIS-Standards'!$B$2:$B$305,0))</f>
        <v>#N/A</v>
      </c>
      <c r="J815" t="str">
        <f>INDEX('GIS-Standards'!$O$2:$O$305,MATCH(B815,'GIS-Standards'!$B$2:$B$305,0))</f>
        <v>ISO/TC 211</v>
      </c>
      <c r="K815" t="e">
        <f>INDEX('GIS-Standards'!$O$2:$O$305,MATCH(C815,'GIS-Standards'!$B$2:$B$305,0))</f>
        <v>#N/A</v>
      </c>
      <c r="M815" t="s">
        <v>525</v>
      </c>
      <c r="N815">
        <f>INDEX('GIS-Standards'!$I$2:$I$305,MATCH(B815,'GIS-Standards'!$B$2:$B$305,0))</f>
        <v>0</v>
      </c>
      <c r="O815" t="e">
        <f>INDEX('GIS-Standards'!$I$2:$I$305,MATCH(C815,'GIS-Standards'!$B$2:$B$305,0))</f>
        <v>#N/A</v>
      </c>
      <c r="P815" t="e">
        <f>AND(TableRelationships12[[#This Row],[Source Type]]="BIM",TableRelationships12[[#This Row],[Target Type]]="BIM")</f>
        <v>#N/A</v>
      </c>
      <c r="Q815">
        <f t="shared" si="36"/>
        <v>1</v>
      </c>
      <c r="S815">
        <f t="shared" si="37"/>
        <v>1</v>
      </c>
      <c r="T815" s="102" t="str">
        <f>IF(TableRelationships12[[#This Row],[Rank Pedro]]="Low","linkCategory1",IF(TableRelationships12[[#This Row],[Rank Pedro]]="Medium","linkCategory2",IF(TableRelationships12[[#This Row],[Rank Pedro]]="High","linkCategory3","")))</f>
        <v/>
      </c>
      <c r="U815" s="102" t="str">
        <f>IF(TableRelationships12[[#This Row],[Rank Pedro]]="Low","Pink",IF(TableRelationships12[[#This Row],[Rank Pedro]]="Medium","Purple",IF(TableRelationships12[[#This Row],[Rank Pedro]]="High","Brown","")))</f>
        <v/>
      </c>
      <c r="V815" s="4">
        <f>MAX(INDEX(Standards!$F$2:$F$296,MATCH(B815,Standards!$B$2:$B$296,0)),INDEX(Standards!$F$2:$F$296,MATCH(C815,Standards!$B$2:$B$296,0)))</f>
        <v>40118</v>
      </c>
      <c r="W815" t="str">
        <f t="shared" si="38"/>
        <v>#2f89d1</v>
      </c>
    </row>
    <row r="816" spans="1:23" x14ac:dyDescent="0.5">
      <c r="A816" s="54">
        <v>815</v>
      </c>
      <c r="B816" s="90" t="s">
        <v>322</v>
      </c>
      <c r="C816" t="s">
        <v>192</v>
      </c>
      <c r="D816" s="1" t="s">
        <v>1165</v>
      </c>
      <c r="E816" s="113">
        <v>1976.04</v>
      </c>
      <c r="F816" s="113">
        <v>2022.1</v>
      </c>
      <c r="G816" s="107" t="s">
        <v>1481</v>
      </c>
      <c r="H816">
        <f>INDEX('GIS-Standards'!$A$2:$A$305,MATCH(B816,'GIS-Standards'!$B$2:$B$305,0))</f>
        <v>33</v>
      </c>
      <c r="I816" t="e">
        <f>INDEX('GIS-Standards'!$A$2:$A$305,MATCH(C816,'GIS-Standards'!$B$2:$B$305,0))</f>
        <v>#N/A</v>
      </c>
      <c r="J816" t="str">
        <f>INDEX('GIS-Standards'!$O$2:$O$305,MATCH(B816,'GIS-Standards'!$B$2:$B$305,0))</f>
        <v>ISO/TC 211</v>
      </c>
      <c r="K816" t="e">
        <f>INDEX('GIS-Standards'!$O$2:$O$305,MATCH(C816,'GIS-Standards'!$B$2:$B$305,0))</f>
        <v>#N/A</v>
      </c>
      <c r="M816" t="s">
        <v>525</v>
      </c>
      <c r="N816">
        <f>INDEX('GIS-Standards'!$I$2:$I$305,MATCH(B816,'GIS-Standards'!$B$2:$B$305,0))</f>
        <v>0</v>
      </c>
      <c r="O816" t="e">
        <f>INDEX('GIS-Standards'!$I$2:$I$305,MATCH(C816,'GIS-Standards'!$B$2:$B$305,0))</f>
        <v>#N/A</v>
      </c>
      <c r="P816" t="e">
        <f>AND(TableRelationships12[[#This Row],[Source Type]]="BIM",TableRelationships12[[#This Row],[Target Type]]="BIM")</f>
        <v>#N/A</v>
      </c>
      <c r="Q816">
        <f t="shared" si="36"/>
        <v>1</v>
      </c>
      <c r="S816">
        <f t="shared" si="37"/>
        <v>1</v>
      </c>
      <c r="T816" s="102" t="str">
        <f>IF(TableRelationships12[[#This Row],[Rank Pedro]]="Low","linkCategory1",IF(TableRelationships12[[#This Row],[Rank Pedro]]="Medium","linkCategory2",IF(TableRelationships12[[#This Row],[Rank Pedro]]="High","linkCategory3","")))</f>
        <v/>
      </c>
      <c r="U816" s="102" t="str">
        <f>IF(TableRelationships12[[#This Row],[Rank Pedro]]="Low","Pink",IF(TableRelationships12[[#This Row],[Rank Pedro]]="Medium","Purple",IF(TableRelationships12[[#This Row],[Rank Pedro]]="High","Brown","")))</f>
        <v/>
      </c>
      <c r="V816" s="4">
        <f>MAX(INDEX(Standards!$F$2:$F$296,MATCH(B816,Standards!$B$2:$B$296,0)),INDEX(Standards!$F$2:$F$296,MATCH(C816,Standards!$B$2:$B$296,0)))</f>
        <v>43466</v>
      </c>
      <c r="W816" t="str">
        <f t="shared" si="38"/>
        <v>#2f89d1</v>
      </c>
    </row>
    <row r="817" spans="1:23" x14ac:dyDescent="0.5">
      <c r="A817" s="54">
        <v>816</v>
      </c>
      <c r="B817" s="90" t="s">
        <v>322</v>
      </c>
      <c r="C817" t="s">
        <v>1069</v>
      </c>
      <c r="D817" s="1" t="s">
        <v>1165</v>
      </c>
      <c r="E817" s="113">
        <v>1976.04</v>
      </c>
      <c r="F817" s="113">
        <v>2025.01</v>
      </c>
      <c r="G817" s="107" t="s">
        <v>1481</v>
      </c>
      <c r="H817">
        <f>INDEX('GIS-Standards'!$A$2:$A$305,MATCH(B817,'GIS-Standards'!$B$2:$B$305,0))</f>
        <v>33</v>
      </c>
      <c r="I817" t="e">
        <f>INDEX('GIS-Standards'!$A$2:$A$305,MATCH(C817,'GIS-Standards'!$B$2:$B$305,0))</f>
        <v>#N/A</v>
      </c>
      <c r="J817" t="str">
        <f>INDEX('GIS-Standards'!$O$2:$O$305,MATCH(B817,'GIS-Standards'!$B$2:$B$305,0))</f>
        <v>ISO/TC 211</v>
      </c>
      <c r="K817" t="e">
        <f>INDEX('GIS-Standards'!$O$2:$O$305,MATCH(C817,'GIS-Standards'!$B$2:$B$305,0))</f>
        <v>#N/A</v>
      </c>
      <c r="M817" t="s">
        <v>525</v>
      </c>
      <c r="N817">
        <f>INDEX('GIS-Standards'!$I$2:$I$305,MATCH(B817,'GIS-Standards'!$B$2:$B$305,0))</f>
        <v>0</v>
      </c>
      <c r="O817" t="e">
        <f>INDEX('GIS-Standards'!$I$2:$I$305,MATCH(C817,'GIS-Standards'!$B$2:$B$305,0))</f>
        <v>#N/A</v>
      </c>
      <c r="P817" t="e">
        <f>AND(TableRelationships12[[#This Row],[Source Type]]="BIM",TableRelationships12[[#This Row],[Target Type]]="BIM")</f>
        <v>#N/A</v>
      </c>
      <c r="Q817">
        <f t="shared" si="36"/>
        <v>1</v>
      </c>
      <c r="S817">
        <f t="shared" si="37"/>
        <v>1</v>
      </c>
      <c r="T817" s="102" t="str">
        <f>IF(TableRelationships12[[#This Row],[Rank Pedro]]="Low","linkCategory1",IF(TableRelationships12[[#This Row],[Rank Pedro]]="Medium","linkCategory2",IF(TableRelationships12[[#This Row],[Rank Pedro]]="High","linkCategory3","")))</f>
        <v/>
      </c>
      <c r="U817" s="102" t="str">
        <f>IF(TableRelationships12[[#This Row],[Rank Pedro]]="Low","Pink",IF(TableRelationships12[[#This Row],[Rank Pedro]]="Medium","Purple",IF(TableRelationships12[[#This Row],[Rank Pedro]]="High","Brown","")))</f>
        <v/>
      </c>
      <c r="V817" s="4" t="e">
        <f>MAX(INDEX(Standards!$F$2:$F$296,MATCH(B817,Standards!$B$2:$B$296,0)),INDEX(Standards!$F$2:$F$296,MATCH(C817,Standards!$B$2:$B$296,0)))</f>
        <v>#N/A</v>
      </c>
      <c r="W817" t="str">
        <f t="shared" si="38"/>
        <v>#2f89d1</v>
      </c>
    </row>
    <row r="818" spans="1:23" x14ac:dyDescent="0.5">
      <c r="A818" s="54">
        <v>817</v>
      </c>
      <c r="B818" s="90" t="s">
        <v>322</v>
      </c>
      <c r="C818" t="s">
        <v>1166</v>
      </c>
      <c r="D818" s="1" t="s">
        <v>1676</v>
      </c>
      <c r="E818" s="113">
        <v>1988.12</v>
      </c>
      <c r="F818" s="113">
        <v>2013.07</v>
      </c>
      <c r="G818" s="107" t="s">
        <v>1500</v>
      </c>
      <c r="H818">
        <f>INDEX('GIS-Standards'!$A$2:$A$305,MATCH(B818,'GIS-Standards'!$B$2:$B$305,0))</f>
        <v>33</v>
      </c>
      <c r="I818" t="e">
        <f>INDEX('GIS-Standards'!$A$2:$A$305,MATCH(C818,'GIS-Standards'!$B$2:$B$305,0))</f>
        <v>#N/A</v>
      </c>
      <c r="J818" t="str">
        <f>INDEX('GIS-Standards'!$O$2:$O$305,MATCH(B818,'GIS-Standards'!$B$2:$B$305,0))</f>
        <v>ISO/TC 211</v>
      </c>
      <c r="K818" t="e">
        <f>INDEX('GIS-Standards'!$O$2:$O$305,MATCH(C818,'GIS-Standards'!$B$2:$B$305,0))</f>
        <v>#N/A</v>
      </c>
      <c r="M818" t="s">
        <v>525</v>
      </c>
      <c r="N818">
        <f>INDEX('GIS-Standards'!$I$2:$I$305,MATCH(B818,'GIS-Standards'!$B$2:$B$305,0))</f>
        <v>0</v>
      </c>
      <c r="O818" t="e">
        <f>INDEX('GIS-Standards'!$I$2:$I$305,MATCH(C818,'GIS-Standards'!$B$2:$B$305,0))</f>
        <v>#N/A</v>
      </c>
      <c r="P818" t="e">
        <f>AND(TableRelationships12[[#This Row],[Source Type]]="BIM",TableRelationships12[[#This Row],[Target Type]]="BIM")</f>
        <v>#N/A</v>
      </c>
      <c r="Q818">
        <f t="shared" si="36"/>
        <v>1</v>
      </c>
      <c r="S818">
        <f t="shared" si="37"/>
        <v>1</v>
      </c>
      <c r="T818" s="102" t="str">
        <f>IF(TableRelationships12[[#This Row],[Rank Pedro]]="Low","linkCategory1",IF(TableRelationships12[[#This Row],[Rank Pedro]]="Medium","linkCategory2",IF(TableRelationships12[[#This Row],[Rank Pedro]]="High","linkCategory3","")))</f>
        <v/>
      </c>
      <c r="U818" s="102" t="str">
        <f>IF(TableRelationships12[[#This Row],[Rank Pedro]]="Low","Pink",IF(TableRelationships12[[#This Row],[Rank Pedro]]="Medium","Purple",IF(TableRelationships12[[#This Row],[Rank Pedro]]="High","Brown","")))</f>
        <v/>
      </c>
      <c r="V818" s="4" t="e">
        <f>MAX(INDEX(Standards!$F$2:$F$296,MATCH(B818,Standards!$B$2:$B$296,0)),INDEX(Standards!$F$2:$F$296,MATCH(C818,Standards!$B$2:$B$296,0)))</f>
        <v>#N/A</v>
      </c>
      <c r="W818" t="str">
        <f t="shared" si="38"/>
        <v>#2f89d1</v>
      </c>
    </row>
    <row r="819" spans="1:23" x14ac:dyDescent="0.5">
      <c r="A819" s="54">
        <v>818</v>
      </c>
      <c r="B819" s="90" t="s">
        <v>322</v>
      </c>
      <c r="C819" t="s">
        <v>194</v>
      </c>
      <c r="D819" s="1"/>
      <c r="E819" s="112">
        <v>1996.12</v>
      </c>
      <c r="F819" s="112">
        <v>2007.12</v>
      </c>
      <c r="G819" s="107" t="s">
        <v>1504</v>
      </c>
      <c r="H819">
        <f>INDEX('GIS-Standards'!$A$2:$A$305,MATCH(B819,'GIS-Standards'!$B$2:$B$305,0))</f>
        <v>33</v>
      </c>
      <c r="I819" t="e">
        <f>INDEX('GIS-Standards'!$A$2:$A$305,MATCH(C819,'GIS-Standards'!$B$2:$B$305,0))</f>
        <v>#N/A</v>
      </c>
      <c r="J819" t="str">
        <f>INDEX('GIS-Standards'!$O$2:$O$305,MATCH(B819,'GIS-Standards'!$B$2:$B$305,0))</f>
        <v>ISO/TC 211</v>
      </c>
      <c r="K819" t="e">
        <f>INDEX('GIS-Standards'!$O$2:$O$305,MATCH(C819,'GIS-Standards'!$B$2:$B$305,0))</f>
        <v>#N/A</v>
      </c>
      <c r="M819" t="s">
        <v>525</v>
      </c>
      <c r="N819">
        <f>INDEX('GIS-Standards'!$I$2:$I$305,MATCH(B819,'GIS-Standards'!$B$2:$B$305,0))</f>
        <v>0</v>
      </c>
      <c r="O819" t="e">
        <f>INDEX('GIS-Standards'!$I$2:$I$305,MATCH(C819,'GIS-Standards'!$B$2:$B$305,0))</f>
        <v>#N/A</v>
      </c>
      <c r="P819" t="e">
        <f>AND(TableRelationships12[[#This Row],[Source Type]]="BIM",TableRelationships12[[#This Row],[Target Type]]="BIM")</f>
        <v>#N/A</v>
      </c>
      <c r="Q819">
        <f t="shared" si="36"/>
        <v>1</v>
      </c>
      <c r="S819">
        <f t="shared" si="37"/>
        <v>1</v>
      </c>
      <c r="T819" s="102" t="str">
        <f>IF(TableRelationships12[[#This Row],[Rank Pedro]]="Low","linkCategory1",IF(TableRelationships12[[#This Row],[Rank Pedro]]="Medium","linkCategory2",IF(TableRelationships12[[#This Row],[Rank Pedro]]="High","linkCategory3","")))</f>
        <v/>
      </c>
      <c r="U819" s="102" t="str">
        <f>IF(TableRelationships12[[#This Row],[Rank Pedro]]="Low","Pink",IF(TableRelationships12[[#This Row],[Rank Pedro]]="Medium","Purple",IF(TableRelationships12[[#This Row],[Rank Pedro]]="High","Brown","")))</f>
        <v/>
      </c>
      <c r="V819" s="4">
        <f>MAX(INDEX(Standards!$F$2:$F$296,MATCH(B819,Standards!$B$2:$B$296,0)),INDEX(Standards!$F$2:$F$296,MATCH(C819,Standards!$B$2:$B$296,0)))</f>
        <v>40118</v>
      </c>
      <c r="W819" t="str">
        <f t="shared" si="38"/>
        <v>#2f89d1</v>
      </c>
    </row>
    <row r="820" spans="1:23" x14ac:dyDescent="0.5">
      <c r="A820" s="54">
        <v>819</v>
      </c>
      <c r="B820" s="90" t="s">
        <v>322</v>
      </c>
      <c r="C820" t="s">
        <v>293</v>
      </c>
      <c r="D820" s="1"/>
      <c r="E820" s="112">
        <v>2002.07</v>
      </c>
      <c r="F820" s="112">
        <v>2014.11</v>
      </c>
      <c r="G820" s="107" t="s">
        <v>670</v>
      </c>
      <c r="H820">
        <f>INDEX('GIS-Standards'!$A$2:$A$305,MATCH(B820,'GIS-Standards'!$B$2:$B$305,0))</f>
        <v>33</v>
      </c>
      <c r="I820">
        <f>INDEX('GIS-Standards'!$A$2:$A$305,MATCH(C820,'GIS-Standards'!$B$2:$B$305,0))</f>
        <v>10</v>
      </c>
      <c r="J820" t="str">
        <f>INDEX('GIS-Standards'!$O$2:$O$305,MATCH(B820,'GIS-Standards'!$B$2:$B$305,0))</f>
        <v>ISO/TC 211</v>
      </c>
      <c r="K820" t="str">
        <f>INDEX('GIS-Standards'!$O$2:$O$305,MATCH(C820,'GIS-Standards'!$B$2:$B$305,0))</f>
        <v>ISO/TC 211</v>
      </c>
      <c r="M820" t="s">
        <v>525</v>
      </c>
      <c r="N820">
        <f>INDEX('GIS-Standards'!$I$2:$I$305,MATCH(B820,'GIS-Standards'!$B$2:$B$305,0))</f>
        <v>0</v>
      </c>
      <c r="O820">
        <f>INDEX('GIS-Standards'!$I$2:$I$305,MATCH(C820,'GIS-Standards'!$B$2:$B$305,0))</f>
        <v>0</v>
      </c>
      <c r="P820" t="b">
        <f>AND(TableRelationships12[[#This Row],[Source Type]]="BIM",TableRelationships12[[#This Row],[Target Type]]="BIM")</f>
        <v>0</v>
      </c>
      <c r="Q820">
        <f t="shared" si="36"/>
        <v>1</v>
      </c>
      <c r="S820">
        <f t="shared" si="37"/>
        <v>1</v>
      </c>
      <c r="T820" s="102" t="str">
        <f>IF(TableRelationships12[[#This Row],[Rank Pedro]]="Low","linkCategory1",IF(TableRelationships12[[#This Row],[Rank Pedro]]="Medium","linkCategory2",IF(TableRelationships12[[#This Row],[Rank Pedro]]="High","linkCategory3","")))</f>
        <v/>
      </c>
      <c r="U820" s="102" t="str">
        <f>IF(TableRelationships12[[#This Row],[Rank Pedro]]="Low","Pink",IF(TableRelationships12[[#This Row],[Rank Pedro]]="Medium","Purple",IF(TableRelationships12[[#This Row],[Rank Pedro]]="High","Brown","")))</f>
        <v/>
      </c>
      <c r="V820" s="4">
        <f>MAX(INDEX(Standards!$F$2:$F$296,MATCH(B820,Standards!$B$2:$B$296,0)),INDEX(Standards!$F$2:$F$296,MATCH(C820,Standards!$B$2:$B$296,0)))</f>
        <v>40118</v>
      </c>
      <c r="W820" t="str">
        <f t="shared" si="38"/>
        <v>#2f89d1</v>
      </c>
    </row>
    <row r="821" spans="1:23" x14ac:dyDescent="0.5">
      <c r="A821" s="54">
        <v>820</v>
      </c>
      <c r="B821" s="90" t="s">
        <v>322</v>
      </c>
      <c r="C821" t="s">
        <v>1040</v>
      </c>
      <c r="D821" s="1"/>
      <c r="E821" s="112">
        <v>2004.07</v>
      </c>
      <c r="F821" s="112">
        <v>2004.07</v>
      </c>
      <c r="G821" s="107" t="s">
        <v>670</v>
      </c>
      <c r="H821">
        <f>INDEX('GIS-Standards'!$A$2:$A$305,MATCH(B821,'GIS-Standards'!$B$2:$B$305,0))</f>
        <v>33</v>
      </c>
      <c r="I821">
        <f>INDEX('GIS-Standards'!$A$2:$A$305,MATCH(C821,'GIS-Standards'!$B$2:$B$305,0))</f>
        <v>15</v>
      </c>
      <c r="J821" t="str">
        <f>INDEX('GIS-Standards'!$O$2:$O$305,MATCH(B821,'GIS-Standards'!$B$2:$B$305,0))</f>
        <v>ISO/TC 211</v>
      </c>
      <c r="K821" t="str">
        <f>INDEX('GIS-Standards'!$O$2:$O$305,MATCH(C821,'GIS-Standards'!$B$2:$B$305,0))</f>
        <v>ISO/TC 211</v>
      </c>
      <c r="M821" t="s">
        <v>525</v>
      </c>
      <c r="N821">
        <f>INDEX('GIS-Standards'!$I$2:$I$305,MATCH(B821,'GIS-Standards'!$B$2:$B$305,0))</f>
        <v>0</v>
      </c>
      <c r="O821">
        <f>INDEX('GIS-Standards'!$I$2:$I$305,MATCH(C821,'GIS-Standards'!$B$2:$B$305,0))</f>
        <v>0</v>
      </c>
      <c r="P821" t="b">
        <f>AND(TableRelationships12[[#This Row],[Source Type]]="BIM",TableRelationships12[[#This Row],[Target Type]]="BIM")</f>
        <v>0</v>
      </c>
      <c r="Q821">
        <f t="shared" si="36"/>
        <v>1</v>
      </c>
      <c r="S821">
        <f t="shared" si="37"/>
        <v>1</v>
      </c>
      <c r="T821" s="102" t="str">
        <f>IF(TableRelationships12[[#This Row],[Rank Pedro]]="Low","linkCategory1",IF(TableRelationships12[[#This Row],[Rank Pedro]]="Medium","linkCategory2",IF(TableRelationships12[[#This Row],[Rank Pedro]]="High","linkCategory3","")))</f>
        <v/>
      </c>
      <c r="U821" s="102" t="str">
        <f>IF(TableRelationships12[[#This Row],[Rank Pedro]]="Low","Pink",IF(TableRelationships12[[#This Row],[Rank Pedro]]="Medium","Purple",IF(TableRelationships12[[#This Row],[Rank Pedro]]="High","Brown","")))</f>
        <v/>
      </c>
      <c r="V821" s="4" t="e">
        <f>MAX(INDEX(Standards!$F$2:$F$296,MATCH(B821,Standards!$B$2:$B$296,0)),INDEX(Standards!$F$2:$F$296,MATCH(C821,Standards!$B$2:$B$296,0)))</f>
        <v>#N/A</v>
      </c>
      <c r="W821" t="str">
        <f t="shared" si="38"/>
        <v>#2f89d1</v>
      </c>
    </row>
    <row r="822" spans="1:23" x14ac:dyDescent="0.5">
      <c r="A822" s="54">
        <v>821</v>
      </c>
      <c r="B822" s="90" t="s">
        <v>322</v>
      </c>
      <c r="C822" t="s">
        <v>306</v>
      </c>
      <c r="D822" s="1"/>
      <c r="E822" s="112">
        <v>2005.06</v>
      </c>
      <c r="F822" s="112">
        <v>2025.07</v>
      </c>
      <c r="G822" s="107" t="s">
        <v>670</v>
      </c>
      <c r="H822">
        <f>INDEX('GIS-Standards'!$A$2:$A$305,MATCH(B822,'GIS-Standards'!$B$2:$B$305,0))</f>
        <v>33</v>
      </c>
      <c r="I822">
        <f>INDEX('GIS-Standards'!$A$2:$A$305,MATCH(C822,'GIS-Standards'!$B$2:$B$305,0))</f>
        <v>18</v>
      </c>
      <c r="J822" t="str">
        <f>INDEX('GIS-Standards'!$O$2:$O$305,MATCH(B822,'GIS-Standards'!$B$2:$B$305,0))</f>
        <v>ISO/TC 211</v>
      </c>
      <c r="K822" t="str">
        <f>INDEX('GIS-Standards'!$O$2:$O$305,MATCH(C822,'GIS-Standards'!$B$2:$B$305,0))</f>
        <v>ISO/TC 211</v>
      </c>
      <c r="M822" t="s">
        <v>525</v>
      </c>
      <c r="N822">
        <f>INDEX('GIS-Standards'!$I$2:$I$305,MATCH(B822,'GIS-Standards'!$B$2:$B$305,0))</f>
        <v>0</v>
      </c>
      <c r="O822">
        <f>INDEX('GIS-Standards'!$I$2:$I$305,MATCH(C822,'GIS-Standards'!$B$2:$B$305,0))</f>
        <v>0</v>
      </c>
      <c r="P822" t="b">
        <f>AND(TableRelationships12[[#This Row],[Source Type]]="BIM",TableRelationships12[[#This Row],[Target Type]]="BIM")</f>
        <v>0</v>
      </c>
      <c r="Q822">
        <f t="shared" si="36"/>
        <v>1</v>
      </c>
      <c r="S822">
        <f t="shared" si="37"/>
        <v>1</v>
      </c>
      <c r="T822" s="102" t="str">
        <f>IF(TableRelationships12[[#This Row],[Rank Pedro]]="Low","linkCategory1",IF(TableRelationships12[[#This Row],[Rank Pedro]]="Medium","linkCategory2",IF(TableRelationships12[[#This Row],[Rank Pedro]]="High","linkCategory3","")))</f>
        <v/>
      </c>
      <c r="U822" s="102" t="str">
        <f>IF(TableRelationships12[[#This Row],[Rank Pedro]]="Low","Pink",IF(TableRelationships12[[#This Row],[Rank Pedro]]="Medium","Purple",IF(TableRelationships12[[#This Row],[Rank Pedro]]="High","Brown","")))</f>
        <v/>
      </c>
      <c r="V822" s="4">
        <f>MAX(INDEX(Standards!$F$2:$F$296,MATCH(B822,Standards!$B$2:$B$296,0)),INDEX(Standards!$F$2:$F$296,MATCH(C822,Standards!$B$2:$B$296,0)))</f>
        <v>40118</v>
      </c>
      <c r="W822" t="str">
        <f t="shared" si="38"/>
        <v>#2f89d1</v>
      </c>
    </row>
    <row r="823" spans="1:23" x14ac:dyDescent="0.5">
      <c r="A823" s="54">
        <v>822</v>
      </c>
      <c r="B823" s="90" t="s">
        <v>322</v>
      </c>
      <c r="C823" t="s">
        <v>308</v>
      </c>
      <c r="D823" s="1"/>
      <c r="E823" s="112">
        <v>2005.02</v>
      </c>
      <c r="F823" s="112">
        <v>2016.12</v>
      </c>
      <c r="G823" s="107" t="s">
        <v>670</v>
      </c>
      <c r="H823">
        <f>INDEX('GIS-Standards'!$A$2:$A$305,MATCH(B823,'GIS-Standards'!$B$2:$B$305,0))</f>
        <v>33</v>
      </c>
      <c r="I823">
        <f>INDEX('GIS-Standards'!$A$2:$A$305,MATCH(C823,'GIS-Standards'!$B$2:$B$305,0))</f>
        <v>19</v>
      </c>
      <c r="J823" t="str">
        <f>INDEX('GIS-Standards'!$O$2:$O$305,MATCH(B823,'GIS-Standards'!$B$2:$B$305,0))</f>
        <v>ISO/TC 211</v>
      </c>
      <c r="K823" t="str">
        <f>INDEX('GIS-Standards'!$O$2:$O$305,MATCH(C823,'GIS-Standards'!$B$2:$B$305,0))</f>
        <v>ISO/TC 211</v>
      </c>
      <c r="M823" t="s">
        <v>525</v>
      </c>
      <c r="N823">
        <f>INDEX('GIS-Standards'!$I$2:$I$305,MATCH(B823,'GIS-Standards'!$B$2:$B$305,0))</f>
        <v>0</v>
      </c>
      <c r="O823">
        <f>INDEX('GIS-Standards'!$I$2:$I$305,MATCH(C823,'GIS-Standards'!$B$2:$B$305,0))</f>
        <v>0</v>
      </c>
      <c r="P823" t="b">
        <f>AND(TableRelationships12[[#This Row],[Source Type]]="BIM",TableRelationships12[[#This Row],[Target Type]]="BIM")</f>
        <v>0</v>
      </c>
      <c r="Q823">
        <f t="shared" si="36"/>
        <v>1</v>
      </c>
      <c r="S823">
        <f t="shared" si="37"/>
        <v>1</v>
      </c>
      <c r="T823" s="102" t="str">
        <f>IF(TableRelationships12[[#This Row],[Rank Pedro]]="Low","linkCategory1",IF(TableRelationships12[[#This Row],[Rank Pedro]]="Medium","linkCategory2",IF(TableRelationships12[[#This Row],[Rank Pedro]]="High","linkCategory3","")))</f>
        <v/>
      </c>
      <c r="U823" s="102" t="str">
        <f>IF(TableRelationships12[[#This Row],[Rank Pedro]]="Low","Pink",IF(TableRelationships12[[#This Row],[Rank Pedro]]="Medium","Purple",IF(TableRelationships12[[#This Row],[Rank Pedro]]="High","Brown","")))</f>
        <v/>
      </c>
      <c r="V823" s="4">
        <f>MAX(INDEX(Standards!$F$2:$F$296,MATCH(B823,Standards!$B$2:$B$296,0)),INDEX(Standards!$F$2:$F$296,MATCH(C823,Standards!$B$2:$B$296,0)))</f>
        <v>40118</v>
      </c>
      <c r="W823" t="str">
        <f t="shared" si="38"/>
        <v>#2f89d1</v>
      </c>
    </row>
    <row r="824" spans="1:23" x14ac:dyDescent="0.5">
      <c r="A824" s="54">
        <v>823</v>
      </c>
      <c r="B824" s="90" t="s">
        <v>322</v>
      </c>
      <c r="C824" t="s">
        <v>328</v>
      </c>
      <c r="D824" s="1"/>
      <c r="E824" s="112">
        <v>2007.04</v>
      </c>
      <c r="F824" s="112">
        <v>2022.11</v>
      </c>
      <c r="G824" s="107" t="s">
        <v>670</v>
      </c>
      <c r="H824">
        <f>INDEX('GIS-Standards'!$A$2:$A$305,MATCH(B824,'GIS-Standards'!$B$2:$B$305,0))</f>
        <v>33</v>
      </c>
      <c r="I824">
        <f>INDEX('GIS-Standards'!$A$2:$A$305,MATCH(C824,'GIS-Standards'!$B$2:$B$305,0))</f>
        <v>37</v>
      </c>
      <c r="J824" t="str">
        <f>INDEX('GIS-Standards'!$O$2:$O$305,MATCH(B824,'GIS-Standards'!$B$2:$B$305,0))</f>
        <v>ISO/TC 211</v>
      </c>
      <c r="K824" t="str">
        <f>INDEX('GIS-Standards'!$O$2:$O$305,MATCH(C824,'GIS-Standards'!$B$2:$B$305,0))</f>
        <v>ISO/TC 211</v>
      </c>
      <c r="M824" t="s">
        <v>525</v>
      </c>
      <c r="N824">
        <f>INDEX('GIS-Standards'!$I$2:$I$305,MATCH(B824,'GIS-Standards'!$B$2:$B$305,0))</f>
        <v>0</v>
      </c>
      <c r="O824">
        <f>INDEX('GIS-Standards'!$I$2:$I$305,MATCH(C824,'GIS-Standards'!$B$2:$B$305,0))</f>
        <v>0</v>
      </c>
      <c r="P824" t="b">
        <f>AND(TableRelationships12[[#This Row],[Source Type]]="BIM",TableRelationships12[[#This Row],[Target Type]]="BIM")</f>
        <v>0</v>
      </c>
      <c r="Q824">
        <f t="shared" si="36"/>
        <v>1</v>
      </c>
      <c r="S824">
        <f t="shared" si="37"/>
        <v>1</v>
      </c>
      <c r="T824" s="102" t="str">
        <f>IF(TableRelationships12[[#This Row],[Rank Pedro]]="Low","linkCategory1",IF(TableRelationships12[[#This Row],[Rank Pedro]]="Medium","linkCategory2",IF(TableRelationships12[[#This Row],[Rank Pedro]]="High","linkCategory3","")))</f>
        <v/>
      </c>
      <c r="U824" s="102" t="str">
        <f>IF(TableRelationships12[[#This Row],[Rank Pedro]]="Low","Pink",IF(TableRelationships12[[#This Row],[Rank Pedro]]="Medium","Purple",IF(TableRelationships12[[#This Row],[Rank Pedro]]="High","Brown","")))</f>
        <v/>
      </c>
      <c r="V824" s="4">
        <f>MAX(INDEX(Standards!$F$2:$F$296,MATCH(B824,Standards!$B$2:$B$296,0)),INDEX(Standards!$F$2:$F$296,MATCH(C824,Standards!$B$2:$B$296,0)))</f>
        <v>40118</v>
      </c>
      <c r="W824" t="str">
        <f t="shared" si="38"/>
        <v>#2f89d1</v>
      </c>
    </row>
    <row r="825" spans="1:23" x14ac:dyDescent="0.5">
      <c r="A825" s="54">
        <v>824</v>
      </c>
      <c r="B825" s="90" t="s">
        <v>322</v>
      </c>
      <c r="C825" t="s">
        <v>1079</v>
      </c>
      <c r="D825" s="1"/>
      <c r="E825" s="112">
        <v>2005.04</v>
      </c>
      <c r="F825" s="112">
        <v>2005.04</v>
      </c>
      <c r="G825" s="107" t="s">
        <v>1502</v>
      </c>
      <c r="H825">
        <f>INDEX('GIS-Standards'!$A$2:$A$305,MATCH(B825,'GIS-Standards'!$B$2:$B$305,0))</f>
        <v>33</v>
      </c>
      <c r="I825" t="e">
        <f>INDEX('GIS-Standards'!$A$2:$A$305,MATCH(C825,'GIS-Standards'!$B$2:$B$305,0))</f>
        <v>#N/A</v>
      </c>
      <c r="J825" t="str">
        <f>INDEX('GIS-Standards'!$O$2:$O$305,MATCH(B825,'GIS-Standards'!$B$2:$B$305,0))</f>
        <v>ISO/TC 211</v>
      </c>
      <c r="K825" t="e">
        <f>INDEX('GIS-Standards'!$O$2:$O$305,MATCH(C825,'GIS-Standards'!$B$2:$B$305,0))</f>
        <v>#N/A</v>
      </c>
      <c r="M825" t="s">
        <v>525</v>
      </c>
      <c r="N825">
        <f>INDEX('GIS-Standards'!$I$2:$I$305,MATCH(B825,'GIS-Standards'!$B$2:$B$305,0))</f>
        <v>0</v>
      </c>
      <c r="O825" t="e">
        <f>INDEX('GIS-Standards'!$I$2:$I$305,MATCH(C825,'GIS-Standards'!$B$2:$B$305,0))</f>
        <v>#N/A</v>
      </c>
      <c r="P825" t="e">
        <f>AND(TableRelationships12[[#This Row],[Source Type]]="BIM",TableRelationships12[[#This Row],[Target Type]]="BIM")</f>
        <v>#N/A</v>
      </c>
      <c r="Q825">
        <f t="shared" si="36"/>
        <v>1</v>
      </c>
      <c r="S825">
        <f t="shared" si="37"/>
        <v>1</v>
      </c>
      <c r="T825" s="102" t="str">
        <f>IF(TableRelationships12[[#This Row],[Rank Pedro]]="Low","linkCategory1",IF(TableRelationships12[[#This Row],[Rank Pedro]]="Medium","linkCategory2",IF(TableRelationships12[[#This Row],[Rank Pedro]]="High","linkCategory3","")))</f>
        <v/>
      </c>
      <c r="U825" s="102" t="str">
        <f>IF(TableRelationships12[[#This Row],[Rank Pedro]]="Low","Pink",IF(TableRelationships12[[#This Row],[Rank Pedro]]="Medium","Purple",IF(TableRelationships12[[#This Row],[Rank Pedro]]="High","Brown","")))</f>
        <v/>
      </c>
      <c r="V825" s="4" t="e">
        <f>MAX(INDEX(Standards!$F$2:$F$296,MATCH(B825,Standards!$B$2:$B$296,0)),INDEX(Standards!$F$2:$F$296,MATCH(C825,Standards!$B$2:$B$296,0)))</f>
        <v>#N/A</v>
      </c>
      <c r="W825" t="str">
        <f t="shared" si="38"/>
        <v>#2f89d1</v>
      </c>
    </row>
    <row r="826" spans="1:23" x14ac:dyDescent="0.5">
      <c r="A826" s="54">
        <v>825</v>
      </c>
      <c r="B826" s="90" t="s">
        <v>322</v>
      </c>
      <c r="C826" t="s">
        <v>182</v>
      </c>
      <c r="D826" s="1"/>
      <c r="E826" s="113">
        <v>1981.07</v>
      </c>
      <c r="F826" s="113">
        <v>2022.12</v>
      </c>
      <c r="G826" s="107" t="s">
        <v>1446</v>
      </c>
      <c r="H826">
        <f>INDEX('GIS-Standards'!$A$2:$A$305,MATCH(B826,'GIS-Standards'!$B$2:$B$305,0))</f>
        <v>33</v>
      </c>
      <c r="I826" t="e">
        <f>INDEX('GIS-Standards'!$A$2:$A$305,MATCH(C826,'GIS-Standards'!$B$2:$B$305,0))</f>
        <v>#N/A</v>
      </c>
      <c r="J826" t="str">
        <f>INDEX('GIS-Standards'!$O$2:$O$305,MATCH(B826,'GIS-Standards'!$B$2:$B$305,0))</f>
        <v>ISO/TC 211</v>
      </c>
      <c r="K826" t="e">
        <f>INDEX('GIS-Standards'!$O$2:$O$305,MATCH(C826,'GIS-Standards'!$B$2:$B$305,0))</f>
        <v>#N/A</v>
      </c>
      <c r="M826" t="s">
        <v>525</v>
      </c>
      <c r="N826">
        <f>INDEX('GIS-Standards'!$I$2:$I$305,MATCH(B826,'GIS-Standards'!$B$2:$B$305,0))</f>
        <v>0</v>
      </c>
      <c r="O826" t="e">
        <f>INDEX('GIS-Standards'!$I$2:$I$305,MATCH(C826,'GIS-Standards'!$B$2:$B$305,0))</f>
        <v>#N/A</v>
      </c>
      <c r="P826" t="e">
        <f>AND(TableRelationships12[[#This Row],[Source Type]]="BIM",TableRelationships12[[#This Row],[Target Type]]="BIM")</f>
        <v>#N/A</v>
      </c>
      <c r="Q826">
        <f t="shared" si="36"/>
        <v>1</v>
      </c>
      <c r="S826">
        <f t="shared" si="37"/>
        <v>1</v>
      </c>
      <c r="T826" s="102" t="str">
        <f>IF(TableRelationships12[[#This Row],[Rank Pedro]]="Low","linkCategory1",IF(TableRelationships12[[#This Row],[Rank Pedro]]="Medium","linkCategory2",IF(TableRelationships12[[#This Row],[Rank Pedro]]="High","linkCategory3","")))</f>
        <v/>
      </c>
      <c r="U826" s="102" t="str">
        <f>IF(TableRelationships12[[#This Row],[Rank Pedro]]="Low","Pink",IF(TableRelationships12[[#This Row],[Rank Pedro]]="Medium","Purple",IF(TableRelationships12[[#This Row],[Rank Pedro]]="High","Brown","")))</f>
        <v/>
      </c>
      <c r="V826" s="4">
        <f>MAX(INDEX(Standards!$F$2:$F$296,MATCH(B826,Standards!$B$2:$B$296,0)),INDEX(Standards!$F$2:$F$296,MATCH(C826,Standards!$B$2:$B$296,0)))</f>
        <v>40118</v>
      </c>
      <c r="W826" t="str">
        <f t="shared" si="38"/>
        <v>#2f89d1</v>
      </c>
    </row>
    <row r="827" spans="1:23" x14ac:dyDescent="0.5">
      <c r="A827" s="54">
        <v>826</v>
      </c>
      <c r="B827" s="90" t="s">
        <v>322</v>
      </c>
      <c r="C827" t="s">
        <v>1167</v>
      </c>
      <c r="D827" s="1"/>
      <c r="E827" s="112">
        <v>1972.01</v>
      </c>
      <c r="F827" s="112">
        <v>2019.01</v>
      </c>
      <c r="G827" s="107" t="s">
        <v>1670</v>
      </c>
      <c r="H827">
        <f>INDEX('GIS-Standards'!$A$2:$A$305,MATCH(B827,'GIS-Standards'!$B$2:$B$305,0))</f>
        <v>33</v>
      </c>
      <c r="I827" t="e">
        <f>INDEX('GIS-Standards'!$A$2:$A$305,MATCH(C827,'GIS-Standards'!$B$2:$B$305,0))</f>
        <v>#N/A</v>
      </c>
      <c r="J827" t="str">
        <f>INDEX('GIS-Standards'!$O$2:$O$305,MATCH(B827,'GIS-Standards'!$B$2:$B$305,0))</f>
        <v>ISO/TC 211</v>
      </c>
      <c r="K827" t="e">
        <f>INDEX('GIS-Standards'!$O$2:$O$305,MATCH(C827,'GIS-Standards'!$B$2:$B$305,0))</f>
        <v>#N/A</v>
      </c>
      <c r="M827" t="s">
        <v>525</v>
      </c>
      <c r="N827">
        <f>INDEX('GIS-Standards'!$I$2:$I$305,MATCH(B827,'GIS-Standards'!$B$2:$B$305,0))</f>
        <v>0</v>
      </c>
      <c r="O827" t="e">
        <f>INDEX('GIS-Standards'!$I$2:$I$305,MATCH(C827,'GIS-Standards'!$B$2:$B$305,0))</f>
        <v>#N/A</v>
      </c>
      <c r="P827" t="e">
        <f>AND(TableRelationships12[[#This Row],[Source Type]]="BIM",TableRelationships12[[#This Row],[Target Type]]="BIM")</f>
        <v>#N/A</v>
      </c>
      <c r="Q827">
        <f t="shared" si="36"/>
        <v>1</v>
      </c>
      <c r="S827">
        <f t="shared" si="37"/>
        <v>1</v>
      </c>
      <c r="T827" s="102" t="str">
        <f>IF(TableRelationships12[[#This Row],[Rank Pedro]]="Low","linkCategory1",IF(TableRelationships12[[#This Row],[Rank Pedro]]="Medium","linkCategory2",IF(TableRelationships12[[#This Row],[Rank Pedro]]="High","linkCategory3","")))</f>
        <v/>
      </c>
      <c r="U827" s="102" t="str">
        <f>IF(TableRelationships12[[#This Row],[Rank Pedro]]="Low","Pink",IF(TableRelationships12[[#This Row],[Rank Pedro]]="Medium","Purple",IF(TableRelationships12[[#This Row],[Rank Pedro]]="High","Brown","")))</f>
        <v/>
      </c>
      <c r="V827" s="4" t="e">
        <f>MAX(INDEX(Standards!$F$2:$F$296,MATCH(B827,Standards!$B$2:$B$296,0)),INDEX(Standards!$F$2:$F$296,MATCH(C827,Standards!$B$2:$B$296,0)))</f>
        <v>#N/A</v>
      </c>
      <c r="W827" t="str">
        <f t="shared" si="38"/>
        <v>#2f89d1</v>
      </c>
    </row>
    <row r="828" spans="1:23" x14ac:dyDescent="0.5">
      <c r="A828" s="54">
        <v>827</v>
      </c>
      <c r="B828" s="90" t="s">
        <v>322</v>
      </c>
      <c r="C828" t="s">
        <v>1106</v>
      </c>
      <c r="D828" s="1"/>
      <c r="E828" s="112">
        <v>1985.03</v>
      </c>
      <c r="F828" s="112">
        <v>2019.07</v>
      </c>
      <c r="G828" s="107"/>
      <c r="H828">
        <f>INDEX('GIS-Standards'!$A$2:$A$305,MATCH(B828,'GIS-Standards'!$B$2:$B$305,0))</f>
        <v>33</v>
      </c>
      <c r="I828" t="e">
        <f>INDEX('GIS-Standards'!$A$2:$A$305,MATCH(C828,'GIS-Standards'!$B$2:$B$305,0))</f>
        <v>#N/A</v>
      </c>
      <c r="J828" t="str">
        <f>INDEX('GIS-Standards'!$O$2:$O$305,MATCH(B828,'GIS-Standards'!$B$2:$B$305,0))</f>
        <v>ISO/TC 211</v>
      </c>
      <c r="K828" t="e">
        <f>INDEX('GIS-Standards'!$O$2:$O$305,MATCH(C828,'GIS-Standards'!$B$2:$B$305,0))</f>
        <v>#N/A</v>
      </c>
      <c r="M828" t="s">
        <v>525</v>
      </c>
      <c r="N828">
        <f>INDEX('GIS-Standards'!$I$2:$I$305,MATCH(B828,'GIS-Standards'!$B$2:$B$305,0))</f>
        <v>0</v>
      </c>
      <c r="O828" t="e">
        <f>INDEX('GIS-Standards'!$I$2:$I$305,MATCH(C828,'GIS-Standards'!$B$2:$B$305,0))</f>
        <v>#N/A</v>
      </c>
      <c r="P828" t="e">
        <f>AND(TableRelationships12[[#This Row],[Source Type]]="BIM",TableRelationships12[[#This Row],[Target Type]]="BIM")</f>
        <v>#N/A</v>
      </c>
      <c r="Q828">
        <f t="shared" si="36"/>
        <v>1</v>
      </c>
      <c r="S828">
        <f t="shared" si="37"/>
        <v>1</v>
      </c>
      <c r="T828" s="102" t="str">
        <f>IF(TableRelationships12[[#This Row],[Rank Pedro]]="Low","linkCategory1",IF(TableRelationships12[[#This Row],[Rank Pedro]]="Medium","linkCategory2",IF(TableRelationships12[[#This Row],[Rank Pedro]]="High","linkCategory3","")))</f>
        <v/>
      </c>
      <c r="U828" s="102" t="str">
        <f>IF(TableRelationships12[[#This Row],[Rank Pedro]]="Low","Pink",IF(TableRelationships12[[#This Row],[Rank Pedro]]="Medium","Purple",IF(TableRelationships12[[#This Row],[Rank Pedro]]="High","Brown","")))</f>
        <v/>
      </c>
      <c r="V828" s="4" t="e">
        <f>MAX(INDEX(Standards!$F$2:$F$296,MATCH(B828,Standards!$B$2:$B$296,0)),INDEX(Standards!$F$2:$F$296,MATCH(C828,Standards!$B$2:$B$296,0)))</f>
        <v>#N/A</v>
      </c>
      <c r="W828" t="str">
        <f t="shared" si="38"/>
        <v>#2f89d1</v>
      </c>
    </row>
    <row r="829" spans="1:23" x14ac:dyDescent="0.5">
      <c r="A829" s="54">
        <v>828</v>
      </c>
      <c r="B829" s="90" t="s">
        <v>322</v>
      </c>
      <c r="C829" t="s">
        <v>1103</v>
      </c>
      <c r="D829" s="1"/>
      <c r="G829" s="107"/>
      <c r="H829">
        <f>INDEX('GIS-Standards'!$A$2:$A$305,MATCH(B829,'GIS-Standards'!$B$2:$B$305,0))</f>
        <v>33</v>
      </c>
      <c r="I829" t="e">
        <f>INDEX('GIS-Standards'!$A$2:$A$305,MATCH(C829,'GIS-Standards'!$B$2:$B$305,0))</f>
        <v>#N/A</v>
      </c>
      <c r="J829" t="str">
        <f>INDEX('GIS-Standards'!$O$2:$O$305,MATCH(B829,'GIS-Standards'!$B$2:$B$305,0))</f>
        <v>ISO/TC 211</v>
      </c>
      <c r="K829" t="e">
        <f>INDEX('GIS-Standards'!$O$2:$O$305,MATCH(C829,'GIS-Standards'!$B$2:$B$305,0))</f>
        <v>#N/A</v>
      </c>
      <c r="M829" t="s">
        <v>525</v>
      </c>
      <c r="N829">
        <f>INDEX('GIS-Standards'!$I$2:$I$305,MATCH(B829,'GIS-Standards'!$B$2:$B$305,0))</f>
        <v>0</v>
      </c>
      <c r="O829" t="e">
        <f>INDEX('GIS-Standards'!$I$2:$I$305,MATCH(C829,'GIS-Standards'!$B$2:$B$305,0))</f>
        <v>#N/A</v>
      </c>
      <c r="P829" t="e">
        <f>AND(TableRelationships12[[#This Row],[Source Type]]="BIM",TableRelationships12[[#This Row],[Target Type]]="BIM")</f>
        <v>#N/A</v>
      </c>
      <c r="Q829">
        <f t="shared" si="36"/>
        <v>1</v>
      </c>
      <c r="S829">
        <f t="shared" si="37"/>
        <v>1</v>
      </c>
      <c r="T829" s="102" t="str">
        <f>IF(TableRelationships12[[#This Row],[Rank Pedro]]="Low","linkCategory1",IF(TableRelationships12[[#This Row],[Rank Pedro]]="Medium","linkCategory2",IF(TableRelationships12[[#This Row],[Rank Pedro]]="High","linkCategory3","")))</f>
        <v/>
      </c>
      <c r="U829" s="102" t="str">
        <f>IF(TableRelationships12[[#This Row],[Rank Pedro]]="Low","Pink",IF(TableRelationships12[[#This Row],[Rank Pedro]]="Medium","Purple",IF(TableRelationships12[[#This Row],[Rank Pedro]]="High","Brown","")))</f>
        <v/>
      </c>
      <c r="V829" s="4" t="e">
        <f>MAX(INDEX(Standards!$F$2:$F$296,MATCH(B829,Standards!$B$2:$B$296,0)),INDEX(Standards!$F$2:$F$296,MATCH(C829,Standards!$B$2:$B$296,0)))</f>
        <v>#N/A</v>
      </c>
      <c r="W829" t="str">
        <f t="shared" si="38"/>
        <v>#2f89d1</v>
      </c>
    </row>
    <row r="830" spans="1:23" x14ac:dyDescent="0.5">
      <c r="A830" s="54">
        <v>829</v>
      </c>
      <c r="B830" s="90" t="s">
        <v>322</v>
      </c>
      <c r="C830" t="s">
        <v>1168</v>
      </c>
      <c r="D830" s="1"/>
      <c r="G830" s="107"/>
      <c r="H830">
        <f>INDEX('GIS-Standards'!$A$2:$A$305,MATCH(B830,'GIS-Standards'!$B$2:$B$305,0))</f>
        <v>33</v>
      </c>
      <c r="I830" t="e">
        <f>INDEX('GIS-Standards'!$A$2:$A$305,MATCH(C830,'GIS-Standards'!$B$2:$B$305,0))</f>
        <v>#N/A</v>
      </c>
      <c r="J830" t="str">
        <f>INDEX('GIS-Standards'!$O$2:$O$305,MATCH(B830,'GIS-Standards'!$B$2:$B$305,0))</f>
        <v>ISO/TC 211</v>
      </c>
      <c r="K830" t="e">
        <f>INDEX('GIS-Standards'!$O$2:$O$305,MATCH(C830,'GIS-Standards'!$B$2:$B$305,0))</f>
        <v>#N/A</v>
      </c>
      <c r="M830" t="s">
        <v>525</v>
      </c>
      <c r="N830">
        <f>INDEX('GIS-Standards'!$I$2:$I$305,MATCH(B830,'GIS-Standards'!$B$2:$B$305,0))</f>
        <v>0</v>
      </c>
      <c r="O830" t="e">
        <f>INDEX('GIS-Standards'!$I$2:$I$305,MATCH(C830,'GIS-Standards'!$B$2:$B$305,0))</f>
        <v>#N/A</v>
      </c>
      <c r="P830" t="e">
        <f>AND(TableRelationships12[[#This Row],[Source Type]]="BIM",TableRelationships12[[#This Row],[Target Type]]="BIM")</f>
        <v>#N/A</v>
      </c>
      <c r="Q830">
        <f t="shared" si="36"/>
        <v>1</v>
      </c>
      <c r="S830">
        <f t="shared" si="37"/>
        <v>1</v>
      </c>
      <c r="T830" s="102" t="str">
        <f>IF(TableRelationships12[[#This Row],[Rank Pedro]]="Low","linkCategory1",IF(TableRelationships12[[#This Row],[Rank Pedro]]="Medium","linkCategory2",IF(TableRelationships12[[#This Row],[Rank Pedro]]="High","linkCategory3","")))</f>
        <v/>
      </c>
      <c r="U830" s="102" t="str">
        <f>IF(TableRelationships12[[#This Row],[Rank Pedro]]="Low","Pink",IF(TableRelationships12[[#This Row],[Rank Pedro]]="Medium","Purple",IF(TableRelationships12[[#This Row],[Rank Pedro]]="High","Brown","")))</f>
        <v/>
      </c>
      <c r="V830" s="4" t="e">
        <f>MAX(INDEX(Standards!$F$2:$F$296,MATCH(B830,Standards!$B$2:$B$296,0)),INDEX(Standards!$F$2:$F$296,MATCH(C830,Standards!$B$2:$B$296,0)))</f>
        <v>#N/A</v>
      </c>
      <c r="W830" t="str">
        <f t="shared" si="38"/>
        <v>#2f89d1</v>
      </c>
    </row>
    <row r="831" spans="1:23" x14ac:dyDescent="0.5">
      <c r="A831" s="54">
        <v>830</v>
      </c>
      <c r="B831" s="90" t="s">
        <v>324</v>
      </c>
      <c r="C831" t="s">
        <v>527</v>
      </c>
      <c r="D831" s="1"/>
      <c r="E831" s="112" t="s">
        <v>982</v>
      </c>
      <c r="F831" s="112" t="s">
        <v>944</v>
      </c>
      <c r="G831" s="121" t="s">
        <v>671</v>
      </c>
      <c r="H831">
        <f>INDEX('GIS-Standards'!$A$2:$A$305,MATCH(B831,'GIS-Standards'!$B$2:$B$305,0))</f>
        <v>34</v>
      </c>
      <c r="I831" t="e">
        <f>INDEX('GIS-Standards'!$A$2:$A$305,MATCH(C831,'GIS-Standards'!$B$2:$B$305,0))</f>
        <v>#N/A</v>
      </c>
      <c r="J831" t="str">
        <f>INDEX('GIS-Standards'!$O$2:$O$305,MATCH(B831,'GIS-Standards'!$B$2:$B$305,0))</f>
        <v>ISO/TC 211</v>
      </c>
      <c r="K831" t="e">
        <f>INDEX('GIS-Standards'!$O$2:$O$305,MATCH(C831,'GIS-Standards'!$B$2:$B$305,0))</f>
        <v>#N/A</v>
      </c>
      <c r="M831" t="s">
        <v>237</v>
      </c>
      <c r="N831">
        <f>INDEX('GIS-Standards'!$I$2:$I$305,MATCH(B831,'GIS-Standards'!$B$2:$B$305,0))</f>
        <v>0</v>
      </c>
      <c r="O831" t="e">
        <f>INDEX('GIS-Standards'!$I$2:$I$305,MATCH(C831,'GIS-Standards'!$B$2:$B$305,0))</f>
        <v>#N/A</v>
      </c>
      <c r="P831" t="e">
        <f>AND(TableRelationships12[[#This Row],[Source Type]]="BIM",TableRelationships12[[#This Row],[Target Type]]="BIM")</f>
        <v>#N/A</v>
      </c>
      <c r="Q831">
        <f t="shared" si="36"/>
        <v>2</v>
      </c>
      <c r="S831">
        <f t="shared" si="37"/>
        <v>1</v>
      </c>
      <c r="T831" s="102" t="str">
        <f>IF(TableRelationships12[[#This Row],[Rank Pedro]]="Low","linkCategory1",IF(TableRelationships12[[#This Row],[Rank Pedro]]="Medium","linkCategory2",IF(TableRelationships12[[#This Row],[Rank Pedro]]="High","linkCategory3","")))</f>
        <v/>
      </c>
      <c r="U831" s="102" t="str">
        <f>IF(TableRelationships12[[#This Row],[Rank Pedro]]="Low","Pink",IF(TableRelationships12[[#This Row],[Rank Pedro]]="Medium","Purple",IF(TableRelationships12[[#This Row],[Rank Pedro]]="High","Brown","")))</f>
        <v/>
      </c>
      <c r="V831" s="4">
        <f>MAX(INDEX(Standards!$F$2:$F$296,MATCH(B831,Standards!$B$2:$B$296,0)),INDEX(Standards!$F$2:$F$296,MATCH(C831,Standards!$B$2:$B$296,0)))</f>
        <v>38504</v>
      </c>
      <c r="W831">
        <f t="shared" si="38"/>
        <v>1</v>
      </c>
    </row>
    <row r="832" spans="1:23" x14ac:dyDescent="0.5">
      <c r="A832" s="54">
        <v>831</v>
      </c>
      <c r="B832" s="90" t="s">
        <v>324</v>
      </c>
      <c r="C832" t="s">
        <v>310</v>
      </c>
      <c r="D832" s="1"/>
      <c r="E832" s="112">
        <v>2003.02</v>
      </c>
      <c r="F832" s="112">
        <v>2023.08</v>
      </c>
      <c r="G832" s="107" t="s">
        <v>670</v>
      </c>
      <c r="H832">
        <f>INDEX('GIS-Standards'!$A$2:$A$305,MATCH(B832,'GIS-Standards'!$B$2:$B$305,0))</f>
        <v>34</v>
      </c>
      <c r="I832">
        <f>INDEX('GIS-Standards'!$A$2:$A$305,MATCH(C832,'GIS-Standards'!$B$2:$B$305,0))</f>
        <v>20</v>
      </c>
      <c r="J832" t="str">
        <f>INDEX('GIS-Standards'!$O$2:$O$305,MATCH(B832,'GIS-Standards'!$B$2:$B$305,0))</f>
        <v>ISO/TC 211</v>
      </c>
      <c r="K832" t="str">
        <f>INDEX('GIS-Standards'!$O$2:$O$305,MATCH(C832,'GIS-Standards'!$B$2:$B$305,0))</f>
        <v>ISO/TC 211</v>
      </c>
      <c r="M832" t="s">
        <v>524</v>
      </c>
      <c r="N832">
        <f>INDEX('GIS-Standards'!$I$2:$I$305,MATCH(B832,'GIS-Standards'!$B$2:$B$305,0))</f>
        <v>0</v>
      </c>
      <c r="O832" t="str">
        <f>INDEX('GIS-Standards'!$I$2:$I$305,MATCH(C832,'GIS-Standards'!$B$2:$B$305,0))</f>
        <v>08.2023</v>
      </c>
      <c r="P832" t="b">
        <f>AND(TableRelationships12[[#This Row],[Source Type]]="BIM",TableRelationships12[[#This Row],[Target Type]]="BIM")</f>
        <v>0</v>
      </c>
      <c r="Q832">
        <f t="shared" si="36"/>
        <v>6</v>
      </c>
      <c r="S832">
        <f t="shared" si="37"/>
        <v>1</v>
      </c>
      <c r="T832" s="102" t="str">
        <f>IF(TableRelationships12[[#This Row],[Rank Pedro]]="Low","linkCategory1",IF(TableRelationships12[[#This Row],[Rank Pedro]]="Medium","linkCategory2",IF(TableRelationships12[[#This Row],[Rank Pedro]]="High","linkCategory3","")))</f>
        <v/>
      </c>
      <c r="U832" s="102" t="str">
        <f>IF(TableRelationships12[[#This Row],[Rank Pedro]]="Low","Pink",IF(TableRelationships12[[#This Row],[Rank Pedro]]="Medium","Purple",IF(TableRelationships12[[#This Row],[Rank Pedro]]="High","Brown","")))</f>
        <v/>
      </c>
      <c r="V832" s="4">
        <f>MAX(INDEX(Standards!$F$2:$F$296,MATCH(B832,Standards!$B$2:$B$296,0)),INDEX(Standards!$F$2:$F$296,MATCH(C832,Standards!$B$2:$B$296,0)))</f>
        <v>38504</v>
      </c>
      <c r="W832" t="str">
        <f t="shared" si="38"/>
        <v>#d6bf2a</v>
      </c>
    </row>
    <row r="833" spans="1:23" x14ac:dyDescent="0.5">
      <c r="A833" s="54">
        <v>832</v>
      </c>
      <c r="B833" s="90" t="s">
        <v>324</v>
      </c>
      <c r="C833" t="s">
        <v>314</v>
      </c>
      <c r="D833" s="1"/>
      <c r="E833" s="112">
        <v>2003.05</v>
      </c>
      <c r="F833" s="112">
        <v>2020.11</v>
      </c>
      <c r="G833" s="107" t="s">
        <v>670</v>
      </c>
      <c r="H833">
        <f>INDEX('GIS-Standards'!$A$2:$A$305,MATCH(B833,'GIS-Standards'!$B$2:$B$305,0))</f>
        <v>34</v>
      </c>
      <c r="I833">
        <f>INDEX('GIS-Standards'!$A$2:$A$305,MATCH(C833,'GIS-Standards'!$B$2:$B$305,0))</f>
        <v>22</v>
      </c>
      <c r="J833" t="str">
        <f>INDEX('GIS-Standards'!$O$2:$O$305,MATCH(B833,'GIS-Standards'!$B$2:$B$305,0))</f>
        <v>ISO/TC 211</v>
      </c>
      <c r="K833" t="str">
        <f>INDEX('GIS-Standards'!$O$2:$O$305,MATCH(C833,'GIS-Standards'!$B$2:$B$305,0))</f>
        <v>ISO/TC 211</v>
      </c>
      <c r="M833" t="s">
        <v>524</v>
      </c>
      <c r="N833">
        <f>INDEX('GIS-Standards'!$I$2:$I$305,MATCH(B833,'GIS-Standards'!$B$2:$B$305,0))</f>
        <v>0</v>
      </c>
      <c r="O833" t="str">
        <f>INDEX('GIS-Standards'!$I$2:$I$305,MATCH(C833,'GIS-Standards'!$B$2:$B$305,0))</f>
        <v>12.2020</v>
      </c>
      <c r="P833" t="b">
        <f>AND(TableRelationships12[[#This Row],[Source Type]]="BIM",TableRelationships12[[#This Row],[Target Type]]="BIM")</f>
        <v>0</v>
      </c>
      <c r="Q833">
        <f t="shared" si="36"/>
        <v>6</v>
      </c>
      <c r="S833">
        <f t="shared" si="37"/>
        <v>1</v>
      </c>
      <c r="T833" s="102" t="str">
        <f>IF(TableRelationships12[[#This Row],[Rank Pedro]]="Low","linkCategory1",IF(TableRelationships12[[#This Row],[Rank Pedro]]="Medium","linkCategory2",IF(TableRelationships12[[#This Row],[Rank Pedro]]="High","linkCategory3","")))</f>
        <v/>
      </c>
      <c r="U833" s="102" t="str">
        <f>IF(TableRelationships12[[#This Row],[Rank Pedro]]="Low","Pink",IF(TableRelationships12[[#This Row],[Rank Pedro]]="Medium","Purple",IF(TableRelationships12[[#This Row],[Rank Pedro]]="High","Brown","")))</f>
        <v/>
      </c>
      <c r="V833" s="4">
        <f>MAX(INDEX(Standards!$F$2:$F$296,MATCH(B833,Standards!$B$2:$B$296,0)),INDEX(Standards!$F$2:$F$296,MATCH(C833,Standards!$B$2:$B$296,0)))</f>
        <v>38504</v>
      </c>
      <c r="W833" t="str">
        <f t="shared" si="38"/>
        <v>#d6bf2a</v>
      </c>
    </row>
    <row r="834" spans="1:23" x14ac:dyDescent="0.5">
      <c r="A834" s="54">
        <v>833</v>
      </c>
      <c r="B834" s="90" t="s">
        <v>324</v>
      </c>
      <c r="C834" t="s">
        <v>1048</v>
      </c>
      <c r="D834" s="1"/>
      <c r="E834" s="112">
        <v>2005.1</v>
      </c>
      <c r="F834" s="112">
        <v>2021.02</v>
      </c>
      <c r="G834" s="107" t="s">
        <v>670</v>
      </c>
      <c r="H834">
        <f>INDEX('GIS-Standards'!$A$2:$A$305,MATCH(B834,'GIS-Standards'!$B$2:$B$305,0))</f>
        <v>34</v>
      </c>
      <c r="I834">
        <f>INDEX('GIS-Standards'!$A$2:$A$305,MATCH(C834,'GIS-Standards'!$B$2:$B$305,0))</f>
        <v>41</v>
      </c>
      <c r="J834" t="str">
        <f>INDEX('GIS-Standards'!$O$2:$O$305,MATCH(B834,'GIS-Standards'!$B$2:$B$305,0))</f>
        <v>ISO/TC 211</v>
      </c>
      <c r="K834" t="str">
        <f>INDEX('GIS-Standards'!$O$2:$O$305,MATCH(C834,'GIS-Standards'!$B$2:$B$305,0))</f>
        <v>ISO/TC 211</v>
      </c>
      <c r="M834" t="s">
        <v>524</v>
      </c>
      <c r="N834">
        <f>INDEX('GIS-Standards'!$I$2:$I$305,MATCH(B834,'GIS-Standards'!$B$2:$B$305,0))</f>
        <v>0</v>
      </c>
      <c r="O834" t="str">
        <f>INDEX('GIS-Standards'!$I$2:$I$305,MATCH(C834,'GIS-Standards'!$B$2:$B$305,0))</f>
        <v>03.2021</v>
      </c>
      <c r="P834" t="b">
        <f>AND(TableRelationships12[[#This Row],[Source Type]]="BIM",TableRelationships12[[#This Row],[Target Type]]="BIM")</f>
        <v>0</v>
      </c>
      <c r="Q834">
        <f t="shared" ref="Q834:Q897" si="39">IF(M834="Normative",6,IF(M834="Secondary",4,IF(M834="Anchor",2,1)))</f>
        <v>6</v>
      </c>
      <c r="S834">
        <f t="shared" ref="S834:S897" si="40">IF(R834="High",10,IF(R834="Medium",6,IF(R834="Low",2,1)))</f>
        <v>1</v>
      </c>
      <c r="T834" s="102" t="str">
        <f>IF(TableRelationships12[[#This Row],[Rank Pedro]]="Low","linkCategory1",IF(TableRelationships12[[#This Row],[Rank Pedro]]="Medium","linkCategory2",IF(TableRelationships12[[#This Row],[Rank Pedro]]="High","linkCategory3","")))</f>
        <v/>
      </c>
      <c r="U834" s="102" t="str">
        <f>IF(TableRelationships12[[#This Row],[Rank Pedro]]="Low","Pink",IF(TableRelationships12[[#This Row],[Rank Pedro]]="Medium","Purple",IF(TableRelationships12[[#This Row],[Rank Pedro]]="High","Brown","")))</f>
        <v/>
      </c>
      <c r="V834" s="4" t="e">
        <f>MAX(INDEX(Standards!$F$2:$F$296,MATCH(B834,Standards!$B$2:$B$296,0)),INDEX(Standards!$F$2:$F$296,MATCH(C834,Standards!$B$2:$B$296,0)))</f>
        <v>#N/A</v>
      </c>
      <c r="W834" t="str">
        <f t="shared" ref="W834:W897" si="41">IF(M834="Normative", "#d6bf2a", IF(M834="Informative", "#2f89d1", 1))</f>
        <v>#d6bf2a</v>
      </c>
    </row>
    <row r="835" spans="1:23" x14ac:dyDescent="0.5">
      <c r="A835" s="54">
        <v>834</v>
      </c>
      <c r="B835" s="90" t="s">
        <v>324</v>
      </c>
      <c r="C835" t="s">
        <v>642</v>
      </c>
      <c r="D835" s="1"/>
      <c r="E835" s="112">
        <v>2015.08</v>
      </c>
      <c r="F835" s="112">
        <v>2023.08</v>
      </c>
      <c r="G835" s="107" t="s">
        <v>670</v>
      </c>
      <c r="H835">
        <f>INDEX('GIS-Standards'!$A$2:$A$305,MATCH(B835,'GIS-Standards'!$B$2:$B$305,0))</f>
        <v>34</v>
      </c>
      <c r="I835">
        <f>INDEX('GIS-Standards'!$A$2:$A$305,MATCH(C835,'GIS-Standards'!$B$2:$B$305,0))</f>
        <v>68</v>
      </c>
      <c r="J835" t="str">
        <f>INDEX('GIS-Standards'!$O$2:$O$305,MATCH(B835,'GIS-Standards'!$B$2:$B$305,0))</f>
        <v>ISO/TC 211</v>
      </c>
      <c r="K835" t="str">
        <f>INDEX('GIS-Standards'!$O$2:$O$305,MATCH(C835,'GIS-Standards'!$B$2:$B$305,0))</f>
        <v>ISO/TC 211</v>
      </c>
      <c r="M835" t="s">
        <v>524</v>
      </c>
      <c r="N835">
        <f>INDEX('GIS-Standards'!$I$2:$I$305,MATCH(B835,'GIS-Standards'!$B$2:$B$305,0))</f>
        <v>0</v>
      </c>
      <c r="O835" t="str">
        <f>INDEX('GIS-Standards'!$I$2:$I$305,MATCH(C835,'GIS-Standards'!$B$2:$B$305,0))</f>
        <v>08.2023</v>
      </c>
      <c r="P835" t="b">
        <f>AND(TableRelationships12[[#This Row],[Source Type]]="BIM",TableRelationships12[[#This Row],[Target Type]]="BIM")</f>
        <v>0</v>
      </c>
      <c r="Q835">
        <f t="shared" si="39"/>
        <v>6</v>
      </c>
      <c r="S835">
        <f t="shared" si="40"/>
        <v>1</v>
      </c>
      <c r="T835" s="102" t="str">
        <f>IF(TableRelationships12[[#This Row],[Rank Pedro]]="Low","linkCategory1",IF(TableRelationships12[[#This Row],[Rank Pedro]]="Medium","linkCategory2",IF(TableRelationships12[[#This Row],[Rank Pedro]]="High","linkCategory3","")))</f>
        <v/>
      </c>
      <c r="U835" s="102" t="str">
        <f>IF(TableRelationships12[[#This Row],[Rank Pedro]]="Low","Pink",IF(TableRelationships12[[#This Row],[Rank Pedro]]="Medium","Purple",IF(TableRelationships12[[#This Row],[Rank Pedro]]="High","Brown","")))</f>
        <v/>
      </c>
      <c r="V835" s="4" t="e">
        <f>MAX(INDEX(Standards!$F$2:$F$296,MATCH(B835,Standards!$B$2:$B$296,0)),INDEX(Standards!$F$2:$F$296,MATCH(C835,Standards!$B$2:$B$296,0)))</f>
        <v>#N/A</v>
      </c>
      <c r="W835" t="str">
        <f t="shared" si="41"/>
        <v>#d6bf2a</v>
      </c>
    </row>
    <row r="836" spans="1:23" x14ac:dyDescent="0.5">
      <c r="A836" s="54">
        <v>835</v>
      </c>
      <c r="B836" s="90" t="s">
        <v>324</v>
      </c>
      <c r="C836" t="s">
        <v>1146</v>
      </c>
      <c r="D836" s="1"/>
      <c r="E836" s="112">
        <v>1983.05</v>
      </c>
      <c r="F836" s="112">
        <v>2022.09</v>
      </c>
      <c r="G836" s="107" t="s">
        <v>670</v>
      </c>
      <c r="H836">
        <f>INDEX('GIS-Standards'!$A$2:$A$305,MATCH(B836,'GIS-Standards'!$B$2:$B$305,0))</f>
        <v>34</v>
      </c>
      <c r="I836" t="e">
        <f>INDEX('GIS-Standards'!$A$2:$A$305,MATCH(C836,'GIS-Standards'!$B$2:$B$305,0))</f>
        <v>#N/A</v>
      </c>
      <c r="J836" t="str">
        <f>INDEX('GIS-Standards'!$O$2:$O$305,MATCH(B836,'GIS-Standards'!$B$2:$B$305,0))</f>
        <v>ISO/TC 211</v>
      </c>
      <c r="K836" t="e">
        <f>INDEX('GIS-Standards'!$O$2:$O$305,MATCH(C836,'GIS-Standards'!$B$2:$B$305,0))</f>
        <v>#N/A</v>
      </c>
      <c r="M836" t="s">
        <v>525</v>
      </c>
      <c r="N836">
        <f>INDEX('GIS-Standards'!$I$2:$I$305,MATCH(B836,'GIS-Standards'!$B$2:$B$305,0))</f>
        <v>0</v>
      </c>
      <c r="O836" t="e">
        <f>INDEX('GIS-Standards'!$I$2:$I$305,MATCH(C836,'GIS-Standards'!$B$2:$B$305,0))</f>
        <v>#N/A</v>
      </c>
      <c r="P836" t="e">
        <f>AND(TableRelationships12[[#This Row],[Source Type]]="BIM",TableRelationships12[[#This Row],[Target Type]]="BIM")</f>
        <v>#N/A</v>
      </c>
      <c r="Q836">
        <f t="shared" si="39"/>
        <v>1</v>
      </c>
      <c r="S836">
        <f t="shared" si="40"/>
        <v>1</v>
      </c>
      <c r="T836" s="102" t="str">
        <f>IF(TableRelationships12[[#This Row],[Rank Pedro]]="Low","linkCategory1",IF(TableRelationships12[[#This Row],[Rank Pedro]]="Medium","linkCategory2",IF(TableRelationships12[[#This Row],[Rank Pedro]]="High","linkCategory3","")))</f>
        <v/>
      </c>
      <c r="U836" s="102" t="str">
        <f>IF(TableRelationships12[[#This Row],[Rank Pedro]]="Low","Pink",IF(TableRelationships12[[#This Row],[Rank Pedro]]="Medium","Purple",IF(TableRelationships12[[#This Row],[Rank Pedro]]="High","Brown","")))</f>
        <v/>
      </c>
      <c r="V836" s="4" t="e">
        <f>MAX(INDEX(Standards!$F$2:$F$296,MATCH(B836,Standards!$B$2:$B$296,0)),INDEX(Standards!$F$2:$F$296,MATCH(C836,Standards!$B$2:$B$296,0)))</f>
        <v>#N/A</v>
      </c>
      <c r="W836" t="str">
        <f t="shared" si="41"/>
        <v>#2f89d1</v>
      </c>
    </row>
    <row r="837" spans="1:23" x14ac:dyDescent="0.5">
      <c r="A837" s="54">
        <v>836</v>
      </c>
      <c r="B837" s="90" t="s">
        <v>324</v>
      </c>
      <c r="C837" t="s">
        <v>302</v>
      </c>
      <c r="D837" s="1"/>
      <c r="E837" s="112">
        <v>2003.05</v>
      </c>
      <c r="F837" s="112">
        <v>2019.12</v>
      </c>
      <c r="G837" s="107" t="s">
        <v>670</v>
      </c>
      <c r="H837">
        <f>INDEX('GIS-Standards'!$A$2:$A$305,MATCH(B837,'GIS-Standards'!$B$2:$B$305,0))</f>
        <v>34</v>
      </c>
      <c r="I837">
        <f>INDEX('GIS-Standards'!$A$2:$A$305,MATCH(C837,'GIS-Standards'!$B$2:$B$305,0))</f>
        <v>16</v>
      </c>
      <c r="J837" t="str">
        <f>INDEX('GIS-Standards'!$O$2:$O$305,MATCH(B837,'GIS-Standards'!$B$2:$B$305,0))</f>
        <v>ISO/TC 211</v>
      </c>
      <c r="K837" t="str">
        <f>INDEX('GIS-Standards'!$O$2:$O$305,MATCH(C837,'GIS-Standards'!$B$2:$B$305,0))</f>
        <v>ISO/TC 211</v>
      </c>
      <c r="M837" t="s">
        <v>525</v>
      </c>
      <c r="N837">
        <f>INDEX('GIS-Standards'!$I$2:$I$305,MATCH(B837,'GIS-Standards'!$B$2:$B$305,0))</f>
        <v>0</v>
      </c>
      <c r="O837">
        <f>INDEX('GIS-Standards'!$I$2:$I$305,MATCH(C837,'GIS-Standards'!$B$2:$B$305,0))</f>
        <v>0</v>
      </c>
      <c r="P837" t="b">
        <f>AND(TableRelationships12[[#This Row],[Source Type]]="BIM",TableRelationships12[[#This Row],[Target Type]]="BIM")</f>
        <v>0</v>
      </c>
      <c r="Q837">
        <f t="shared" si="39"/>
        <v>1</v>
      </c>
      <c r="S837">
        <f t="shared" si="40"/>
        <v>1</v>
      </c>
      <c r="T837" s="102" t="str">
        <f>IF(TableRelationships12[[#This Row],[Rank Pedro]]="Low","linkCategory1",IF(TableRelationships12[[#This Row],[Rank Pedro]]="Medium","linkCategory2",IF(TableRelationships12[[#This Row],[Rank Pedro]]="High","linkCategory3","")))</f>
        <v/>
      </c>
      <c r="U837" s="102" t="str">
        <f>IF(TableRelationships12[[#This Row],[Rank Pedro]]="Low","Pink",IF(TableRelationships12[[#This Row],[Rank Pedro]]="Medium","Purple",IF(TableRelationships12[[#This Row],[Rank Pedro]]="High","Brown","")))</f>
        <v/>
      </c>
      <c r="V837" s="4">
        <f>MAX(INDEX(Standards!$F$2:$F$296,MATCH(B837,Standards!$B$2:$B$296,0)),INDEX(Standards!$F$2:$F$296,MATCH(C837,Standards!$B$2:$B$296,0)))</f>
        <v>38504</v>
      </c>
      <c r="W837" t="str">
        <f t="shared" si="41"/>
        <v>#2f89d1</v>
      </c>
    </row>
    <row r="838" spans="1:23" x14ac:dyDescent="0.5">
      <c r="A838" s="54">
        <v>837</v>
      </c>
      <c r="B838" s="90" t="s">
        <v>324</v>
      </c>
      <c r="C838" t="s">
        <v>1077</v>
      </c>
      <c r="D838" s="1"/>
      <c r="E838" s="112">
        <v>1978.03</v>
      </c>
      <c r="F838" s="112">
        <v>2025.07</v>
      </c>
      <c r="G838" s="107" t="s">
        <v>1446</v>
      </c>
      <c r="H838">
        <f>INDEX('GIS-Standards'!$A$2:$A$305,MATCH(B838,'GIS-Standards'!$B$2:$B$305,0))</f>
        <v>34</v>
      </c>
      <c r="I838" t="e">
        <f>INDEX('GIS-Standards'!$A$2:$A$305,MATCH(C838,'GIS-Standards'!$B$2:$B$305,0))</f>
        <v>#N/A</v>
      </c>
      <c r="J838" t="str">
        <f>INDEX('GIS-Standards'!$O$2:$O$305,MATCH(B838,'GIS-Standards'!$B$2:$B$305,0))</f>
        <v>ISO/TC 211</v>
      </c>
      <c r="K838" t="e">
        <f>INDEX('GIS-Standards'!$O$2:$O$305,MATCH(C838,'GIS-Standards'!$B$2:$B$305,0))</f>
        <v>#N/A</v>
      </c>
      <c r="M838" t="s">
        <v>525</v>
      </c>
      <c r="N838">
        <f>INDEX('GIS-Standards'!$I$2:$I$305,MATCH(B838,'GIS-Standards'!$B$2:$B$305,0))</f>
        <v>0</v>
      </c>
      <c r="O838" t="e">
        <f>INDEX('GIS-Standards'!$I$2:$I$305,MATCH(C838,'GIS-Standards'!$B$2:$B$305,0))</f>
        <v>#N/A</v>
      </c>
      <c r="P838" t="e">
        <f>AND(TableRelationships12[[#This Row],[Source Type]]="BIM",TableRelationships12[[#This Row],[Target Type]]="BIM")</f>
        <v>#N/A</v>
      </c>
      <c r="Q838">
        <f t="shared" si="39"/>
        <v>1</v>
      </c>
      <c r="S838">
        <f t="shared" si="40"/>
        <v>1</v>
      </c>
      <c r="T838" s="102" t="str">
        <f>IF(TableRelationships12[[#This Row],[Rank Pedro]]="Low","linkCategory1",IF(TableRelationships12[[#This Row],[Rank Pedro]]="Medium","linkCategory2",IF(TableRelationships12[[#This Row],[Rank Pedro]]="High","linkCategory3","")))</f>
        <v/>
      </c>
      <c r="U838" s="102" t="str">
        <f>IF(TableRelationships12[[#This Row],[Rank Pedro]]="Low","Pink",IF(TableRelationships12[[#This Row],[Rank Pedro]]="Medium","Purple",IF(TableRelationships12[[#This Row],[Rank Pedro]]="High","Brown","")))</f>
        <v/>
      </c>
      <c r="V838" s="4" t="e">
        <f>MAX(INDEX(Standards!$F$2:$F$296,MATCH(B838,Standards!$B$2:$B$296,0)),INDEX(Standards!$F$2:$F$296,MATCH(C838,Standards!$B$2:$B$296,0)))</f>
        <v>#N/A</v>
      </c>
      <c r="W838" t="str">
        <f t="shared" si="41"/>
        <v>#2f89d1</v>
      </c>
    </row>
    <row r="839" spans="1:23" x14ac:dyDescent="0.5">
      <c r="A839" s="54">
        <v>838</v>
      </c>
      <c r="B839" s="90" t="s">
        <v>326</v>
      </c>
      <c r="C839" t="s">
        <v>527</v>
      </c>
      <c r="D839" s="1"/>
      <c r="E839" s="112" t="s">
        <v>955</v>
      </c>
      <c r="F839" s="112" t="s">
        <v>955</v>
      </c>
      <c r="G839" s="121" t="s">
        <v>670</v>
      </c>
      <c r="H839">
        <f>INDEX('GIS-Standards'!$A$2:$A$305,MATCH(B839,'GIS-Standards'!$B$2:$B$305,0))</f>
        <v>35</v>
      </c>
      <c r="I839" t="e">
        <f>INDEX('GIS-Standards'!$A$2:$A$305,MATCH(C839,'GIS-Standards'!$B$2:$B$305,0))</f>
        <v>#N/A</v>
      </c>
      <c r="J839" t="str">
        <f>INDEX('GIS-Standards'!$O$2:$O$305,MATCH(B839,'GIS-Standards'!$B$2:$B$305,0))</f>
        <v>ISO/TC 211</v>
      </c>
      <c r="K839" t="e">
        <f>INDEX('GIS-Standards'!$O$2:$O$305,MATCH(C839,'GIS-Standards'!$B$2:$B$305,0))</f>
        <v>#N/A</v>
      </c>
      <c r="M839" t="s">
        <v>237</v>
      </c>
      <c r="N839">
        <f>INDEX('GIS-Standards'!$I$2:$I$305,MATCH(B839,'GIS-Standards'!$B$2:$B$305,0))</f>
        <v>0</v>
      </c>
      <c r="O839" t="e">
        <f>INDEX('GIS-Standards'!$I$2:$I$305,MATCH(C839,'GIS-Standards'!$B$2:$B$305,0))</f>
        <v>#N/A</v>
      </c>
      <c r="P839" t="e">
        <f>AND(TableRelationships12[[#This Row],[Source Type]]="BIM",TableRelationships12[[#This Row],[Target Type]]="BIM")</f>
        <v>#N/A</v>
      </c>
      <c r="Q839">
        <f t="shared" si="39"/>
        <v>2</v>
      </c>
      <c r="S839">
        <f t="shared" si="40"/>
        <v>1</v>
      </c>
      <c r="T839" s="102" t="str">
        <f>IF(TableRelationships12[[#This Row],[Rank Pedro]]="Low","linkCategory1",IF(TableRelationships12[[#This Row],[Rank Pedro]]="Medium","linkCategory2",IF(TableRelationships12[[#This Row],[Rank Pedro]]="High","linkCategory3","")))</f>
        <v/>
      </c>
      <c r="U839" s="102" t="str">
        <f>IF(TableRelationships12[[#This Row],[Rank Pedro]]="Low","Pink",IF(TableRelationships12[[#This Row],[Rank Pedro]]="Medium","Purple",IF(TableRelationships12[[#This Row],[Rank Pedro]]="High","Brown","")))</f>
        <v/>
      </c>
      <c r="V839" s="4">
        <f>MAX(INDEX(Standards!$F$2:$F$296,MATCH(B839,Standards!$B$2:$B$296,0)),INDEX(Standards!$F$2:$F$296,MATCH(C839,Standards!$B$2:$B$296,0)))</f>
        <v>38687</v>
      </c>
      <c r="W839">
        <f t="shared" si="41"/>
        <v>1</v>
      </c>
    </row>
    <row r="840" spans="1:23" x14ac:dyDescent="0.5">
      <c r="A840" s="54">
        <v>839</v>
      </c>
      <c r="B840" s="90" t="s">
        <v>326</v>
      </c>
      <c r="C840" t="s">
        <v>310</v>
      </c>
      <c r="D840" s="1"/>
      <c r="E840" s="112">
        <v>2003.02</v>
      </c>
      <c r="F840" s="112">
        <v>2023.08</v>
      </c>
      <c r="G840" s="107" t="s">
        <v>670</v>
      </c>
      <c r="H840">
        <f>INDEX('GIS-Standards'!$A$2:$A$305,MATCH(B840,'GIS-Standards'!$B$2:$B$305,0))</f>
        <v>35</v>
      </c>
      <c r="I840">
        <f>INDEX('GIS-Standards'!$A$2:$A$305,MATCH(C840,'GIS-Standards'!$B$2:$B$305,0))</f>
        <v>20</v>
      </c>
      <c r="J840" t="str">
        <f>INDEX('GIS-Standards'!$O$2:$O$305,MATCH(B840,'GIS-Standards'!$B$2:$B$305,0))</f>
        <v>ISO/TC 211</v>
      </c>
      <c r="K840" t="str">
        <f>INDEX('GIS-Standards'!$O$2:$O$305,MATCH(C840,'GIS-Standards'!$B$2:$B$305,0))</f>
        <v>ISO/TC 211</v>
      </c>
      <c r="M840" t="s">
        <v>524</v>
      </c>
      <c r="N840">
        <f>INDEX('GIS-Standards'!$I$2:$I$305,MATCH(B840,'GIS-Standards'!$B$2:$B$305,0))</f>
        <v>0</v>
      </c>
      <c r="O840" t="str">
        <f>INDEX('GIS-Standards'!$I$2:$I$305,MATCH(C840,'GIS-Standards'!$B$2:$B$305,0))</f>
        <v>08.2023</v>
      </c>
      <c r="P840" t="b">
        <f>AND(TableRelationships12[[#This Row],[Source Type]]="BIM",TableRelationships12[[#This Row],[Target Type]]="BIM")</f>
        <v>0</v>
      </c>
      <c r="Q840">
        <f t="shared" si="39"/>
        <v>6</v>
      </c>
      <c r="S840">
        <f t="shared" si="40"/>
        <v>1</v>
      </c>
      <c r="T840" s="102" t="str">
        <f>IF(TableRelationships12[[#This Row],[Rank Pedro]]="Low","linkCategory1",IF(TableRelationships12[[#This Row],[Rank Pedro]]="Medium","linkCategory2",IF(TableRelationships12[[#This Row],[Rank Pedro]]="High","linkCategory3","")))</f>
        <v/>
      </c>
      <c r="U840" s="102" t="str">
        <f>IF(TableRelationships12[[#This Row],[Rank Pedro]]="Low","Pink",IF(TableRelationships12[[#This Row],[Rank Pedro]]="Medium","Purple",IF(TableRelationships12[[#This Row],[Rank Pedro]]="High","Brown","")))</f>
        <v/>
      </c>
      <c r="V840" s="4">
        <f>MAX(INDEX(Standards!$F$2:$F$296,MATCH(B840,Standards!$B$2:$B$296,0)),INDEX(Standards!$F$2:$F$296,MATCH(C840,Standards!$B$2:$B$296,0)))</f>
        <v>38687</v>
      </c>
      <c r="W840" t="str">
        <f t="shared" si="41"/>
        <v>#d6bf2a</v>
      </c>
    </row>
    <row r="841" spans="1:23" x14ac:dyDescent="0.5">
      <c r="A841" s="54">
        <v>840</v>
      </c>
      <c r="B841" s="90" t="s">
        <v>326</v>
      </c>
      <c r="C841" t="s">
        <v>314</v>
      </c>
      <c r="D841" s="1" t="s">
        <v>1099</v>
      </c>
      <c r="E841" s="112">
        <v>2003.05</v>
      </c>
      <c r="F841" s="112">
        <v>2020.11</v>
      </c>
      <c r="G841" s="107" t="s">
        <v>670</v>
      </c>
      <c r="H841">
        <f>INDEX('GIS-Standards'!$A$2:$A$305,MATCH(B841,'GIS-Standards'!$B$2:$B$305,0))</f>
        <v>35</v>
      </c>
      <c r="I841">
        <f>INDEX('GIS-Standards'!$A$2:$A$305,MATCH(C841,'GIS-Standards'!$B$2:$B$305,0))</f>
        <v>22</v>
      </c>
      <c r="J841" t="str">
        <f>INDEX('GIS-Standards'!$O$2:$O$305,MATCH(B841,'GIS-Standards'!$B$2:$B$305,0))</f>
        <v>ISO/TC 211</v>
      </c>
      <c r="K841" t="str">
        <f>INDEX('GIS-Standards'!$O$2:$O$305,MATCH(C841,'GIS-Standards'!$B$2:$B$305,0))</f>
        <v>ISO/TC 211</v>
      </c>
      <c r="M841" t="s">
        <v>524</v>
      </c>
      <c r="N841">
        <f>INDEX('GIS-Standards'!$I$2:$I$305,MATCH(B841,'GIS-Standards'!$B$2:$B$305,0))</f>
        <v>0</v>
      </c>
      <c r="O841" t="str">
        <f>INDEX('GIS-Standards'!$I$2:$I$305,MATCH(C841,'GIS-Standards'!$B$2:$B$305,0))</f>
        <v>12.2020</v>
      </c>
      <c r="P841" t="b">
        <f>AND(TableRelationships12[[#This Row],[Source Type]]="BIM",TableRelationships12[[#This Row],[Target Type]]="BIM")</f>
        <v>0</v>
      </c>
      <c r="Q841">
        <f t="shared" si="39"/>
        <v>6</v>
      </c>
      <c r="S841">
        <f t="shared" si="40"/>
        <v>1</v>
      </c>
      <c r="T841" s="102" t="str">
        <f>IF(TableRelationships12[[#This Row],[Rank Pedro]]="Low","linkCategory1",IF(TableRelationships12[[#This Row],[Rank Pedro]]="Medium","linkCategory2",IF(TableRelationships12[[#This Row],[Rank Pedro]]="High","linkCategory3","")))</f>
        <v/>
      </c>
      <c r="U841" s="102" t="str">
        <f>IF(TableRelationships12[[#This Row],[Rank Pedro]]="Low","Pink",IF(TableRelationships12[[#This Row],[Rank Pedro]]="Medium","Purple",IF(TableRelationships12[[#This Row],[Rank Pedro]]="High","Brown","")))</f>
        <v/>
      </c>
      <c r="V841" s="4">
        <f>MAX(INDEX(Standards!$F$2:$F$296,MATCH(B841,Standards!$B$2:$B$296,0)),INDEX(Standards!$F$2:$F$296,MATCH(C841,Standards!$B$2:$B$296,0)))</f>
        <v>38687</v>
      </c>
      <c r="W841" t="str">
        <f t="shared" si="41"/>
        <v>#d6bf2a</v>
      </c>
    </row>
    <row r="842" spans="1:23" x14ac:dyDescent="0.5">
      <c r="A842" s="54">
        <v>841</v>
      </c>
      <c r="B842" s="90" t="s">
        <v>326</v>
      </c>
      <c r="C842" t="s">
        <v>1189</v>
      </c>
      <c r="D842" s="1"/>
      <c r="E842" s="112">
        <v>1996.11</v>
      </c>
      <c r="G842" s="107"/>
      <c r="H842">
        <f>INDEX('GIS-Standards'!$A$2:$A$305,MATCH(B842,'GIS-Standards'!$B$2:$B$305,0))</f>
        <v>35</v>
      </c>
      <c r="I842" t="e">
        <f>INDEX('GIS-Standards'!$A$2:$A$305,MATCH(C842,'GIS-Standards'!$B$2:$B$305,0))</f>
        <v>#N/A</v>
      </c>
      <c r="J842" t="str">
        <f>INDEX('GIS-Standards'!$O$2:$O$305,MATCH(B842,'GIS-Standards'!$B$2:$B$305,0))</f>
        <v>ISO/TC 211</v>
      </c>
      <c r="K842" t="e">
        <f>INDEX('GIS-Standards'!$O$2:$O$305,MATCH(C842,'GIS-Standards'!$B$2:$B$305,0))</f>
        <v>#N/A</v>
      </c>
      <c r="M842" t="s">
        <v>524</v>
      </c>
      <c r="N842">
        <f>INDEX('GIS-Standards'!$I$2:$I$305,MATCH(B842,'GIS-Standards'!$B$2:$B$305,0))</f>
        <v>0</v>
      </c>
      <c r="O842" t="e">
        <f>INDEX('GIS-Standards'!$I$2:$I$305,MATCH(C842,'GIS-Standards'!$B$2:$B$305,0))</f>
        <v>#N/A</v>
      </c>
      <c r="P842" t="e">
        <f>AND(TableRelationships12[[#This Row],[Source Type]]="BIM",TableRelationships12[[#This Row],[Target Type]]="BIM")</f>
        <v>#N/A</v>
      </c>
      <c r="Q842">
        <f t="shared" si="39"/>
        <v>6</v>
      </c>
      <c r="S842">
        <f t="shared" si="40"/>
        <v>1</v>
      </c>
      <c r="T842" s="102" t="str">
        <f>IF(TableRelationships12[[#This Row],[Rank Pedro]]="Low","linkCategory1",IF(TableRelationships12[[#This Row],[Rank Pedro]]="Medium","linkCategory2",IF(TableRelationships12[[#This Row],[Rank Pedro]]="High","linkCategory3","")))</f>
        <v/>
      </c>
      <c r="U842" s="102" t="str">
        <f>IF(TableRelationships12[[#This Row],[Rank Pedro]]="Low","Pink",IF(TableRelationships12[[#This Row],[Rank Pedro]]="Medium","Purple",IF(TableRelationships12[[#This Row],[Rank Pedro]]="High","Brown","")))</f>
        <v/>
      </c>
      <c r="V842" s="4" t="e">
        <f>MAX(INDEX(Standards!$F$2:$F$296,MATCH(B842,Standards!$B$2:$B$296,0)),INDEX(Standards!$F$2:$F$296,MATCH(C842,Standards!$B$2:$B$296,0)))</f>
        <v>#N/A</v>
      </c>
      <c r="W842" t="str">
        <f t="shared" si="41"/>
        <v>#d6bf2a</v>
      </c>
    </row>
    <row r="843" spans="1:23" x14ac:dyDescent="0.5">
      <c r="A843" s="54">
        <v>842</v>
      </c>
      <c r="B843" s="90" t="s">
        <v>326</v>
      </c>
      <c r="C843" t="s">
        <v>1178</v>
      </c>
      <c r="D843" s="1"/>
      <c r="E843" s="112">
        <v>1998.08</v>
      </c>
      <c r="G843" s="107"/>
      <c r="H843">
        <f>INDEX('GIS-Standards'!$A$2:$A$305,MATCH(B843,'GIS-Standards'!$B$2:$B$305,0))</f>
        <v>35</v>
      </c>
      <c r="I843" t="e">
        <f>INDEX('GIS-Standards'!$A$2:$A$305,MATCH(C843,'GIS-Standards'!$B$2:$B$305,0))</f>
        <v>#N/A</v>
      </c>
      <c r="J843" t="str">
        <f>INDEX('GIS-Standards'!$O$2:$O$305,MATCH(B843,'GIS-Standards'!$B$2:$B$305,0))</f>
        <v>ISO/TC 211</v>
      </c>
      <c r="K843" t="e">
        <f>INDEX('GIS-Standards'!$O$2:$O$305,MATCH(C843,'GIS-Standards'!$B$2:$B$305,0))</f>
        <v>#N/A</v>
      </c>
      <c r="M843" t="s">
        <v>524</v>
      </c>
      <c r="N843">
        <f>INDEX('GIS-Standards'!$I$2:$I$305,MATCH(B843,'GIS-Standards'!$B$2:$B$305,0))</f>
        <v>0</v>
      </c>
      <c r="O843" t="e">
        <f>INDEX('GIS-Standards'!$I$2:$I$305,MATCH(C843,'GIS-Standards'!$B$2:$B$305,0))</f>
        <v>#N/A</v>
      </c>
      <c r="P843" t="e">
        <f>AND(TableRelationships12[[#This Row],[Source Type]]="BIM",TableRelationships12[[#This Row],[Target Type]]="BIM")</f>
        <v>#N/A</v>
      </c>
      <c r="Q843">
        <f t="shared" si="39"/>
        <v>6</v>
      </c>
      <c r="S843">
        <f t="shared" si="40"/>
        <v>1</v>
      </c>
      <c r="T843" s="102" t="str">
        <f>IF(TableRelationships12[[#This Row],[Rank Pedro]]="Low","linkCategory1",IF(TableRelationships12[[#This Row],[Rank Pedro]]="Medium","linkCategory2",IF(TableRelationships12[[#This Row],[Rank Pedro]]="High","linkCategory3","")))</f>
        <v/>
      </c>
      <c r="U843" s="102" t="str">
        <f>IF(TableRelationships12[[#This Row],[Rank Pedro]]="Low","Pink",IF(TableRelationships12[[#This Row],[Rank Pedro]]="Medium","Purple",IF(TableRelationships12[[#This Row],[Rank Pedro]]="High","Brown","")))</f>
        <v/>
      </c>
      <c r="V843" s="4" t="e">
        <f>MAX(INDEX(Standards!$F$2:$F$296,MATCH(B843,Standards!$B$2:$B$296,0)),INDEX(Standards!$F$2:$F$296,MATCH(C843,Standards!$B$2:$B$296,0)))</f>
        <v>#N/A</v>
      </c>
      <c r="W843" t="str">
        <f t="shared" si="41"/>
        <v>#d6bf2a</v>
      </c>
    </row>
    <row r="844" spans="1:23" x14ac:dyDescent="0.5">
      <c r="A844" s="54">
        <v>843</v>
      </c>
      <c r="B844" s="90" t="s">
        <v>326</v>
      </c>
      <c r="C844" t="s">
        <v>1439</v>
      </c>
      <c r="D844" s="1"/>
      <c r="E844" s="112">
        <v>1999.06</v>
      </c>
      <c r="G844" s="107"/>
      <c r="H844">
        <f>INDEX('GIS-Standards'!$A$2:$A$305,MATCH(B844,'GIS-Standards'!$B$2:$B$305,0))</f>
        <v>35</v>
      </c>
      <c r="I844" t="e">
        <f>INDEX('GIS-Standards'!$A$2:$A$305,MATCH(C844,'GIS-Standards'!$B$2:$B$305,0))</f>
        <v>#N/A</v>
      </c>
      <c r="J844" t="str">
        <f>INDEX('GIS-Standards'!$O$2:$O$305,MATCH(B844,'GIS-Standards'!$B$2:$B$305,0))</f>
        <v>ISO/TC 211</v>
      </c>
      <c r="K844" t="e">
        <f>INDEX('GIS-Standards'!$O$2:$O$305,MATCH(C844,'GIS-Standards'!$B$2:$B$305,0))</f>
        <v>#N/A</v>
      </c>
      <c r="M844" t="s">
        <v>524</v>
      </c>
      <c r="N844">
        <f>INDEX('GIS-Standards'!$I$2:$I$305,MATCH(B844,'GIS-Standards'!$B$2:$B$305,0))</f>
        <v>0</v>
      </c>
      <c r="O844" t="e">
        <f>INDEX('GIS-Standards'!$I$2:$I$305,MATCH(C844,'GIS-Standards'!$B$2:$B$305,0))</f>
        <v>#N/A</v>
      </c>
      <c r="P844" t="e">
        <f>AND(TableRelationships12[[#This Row],[Source Type]]="BIM",TableRelationships12[[#This Row],[Target Type]]="BIM")</f>
        <v>#N/A</v>
      </c>
      <c r="Q844">
        <f t="shared" si="39"/>
        <v>6</v>
      </c>
      <c r="S844">
        <f t="shared" si="40"/>
        <v>1</v>
      </c>
      <c r="T844" s="102" t="str">
        <f>IF(TableRelationships12[[#This Row],[Rank Pedro]]="Low","linkCategory1",IF(TableRelationships12[[#This Row],[Rank Pedro]]="Medium","linkCategory2",IF(TableRelationships12[[#This Row],[Rank Pedro]]="High","linkCategory3","")))</f>
        <v/>
      </c>
      <c r="U844" s="102" t="str">
        <f>IF(TableRelationships12[[#This Row],[Rank Pedro]]="Low","Pink",IF(TableRelationships12[[#This Row],[Rank Pedro]]="Medium","Purple",IF(TableRelationships12[[#This Row],[Rank Pedro]]="High","Brown","")))</f>
        <v/>
      </c>
      <c r="V844" s="4" t="e">
        <f>MAX(INDEX(Standards!$F$2:$F$296,MATCH(B844,Standards!$B$2:$B$296,0)),INDEX(Standards!$F$2:$F$296,MATCH(C844,Standards!$B$2:$B$296,0)))</f>
        <v>#N/A</v>
      </c>
      <c r="W844" t="str">
        <f t="shared" si="41"/>
        <v>#d6bf2a</v>
      </c>
    </row>
    <row r="845" spans="1:23" x14ac:dyDescent="0.5">
      <c r="A845" s="54">
        <v>844</v>
      </c>
      <c r="B845" s="90" t="s">
        <v>326</v>
      </c>
      <c r="C845" t="s">
        <v>1169</v>
      </c>
      <c r="D845" s="1"/>
      <c r="G845" s="107"/>
      <c r="H845">
        <f>INDEX('GIS-Standards'!$A$2:$A$305,MATCH(B845,'GIS-Standards'!$B$2:$B$305,0))</f>
        <v>35</v>
      </c>
      <c r="I845" t="e">
        <f>INDEX('GIS-Standards'!$A$2:$A$305,MATCH(C845,'GIS-Standards'!$B$2:$B$305,0))</f>
        <v>#N/A</v>
      </c>
      <c r="J845" t="str">
        <f>INDEX('GIS-Standards'!$O$2:$O$305,MATCH(B845,'GIS-Standards'!$B$2:$B$305,0))</f>
        <v>ISO/TC 211</v>
      </c>
      <c r="K845" t="e">
        <f>INDEX('GIS-Standards'!$O$2:$O$305,MATCH(C845,'GIS-Standards'!$B$2:$B$305,0))</f>
        <v>#N/A</v>
      </c>
      <c r="M845" t="s">
        <v>524</v>
      </c>
      <c r="N845">
        <f>INDEX('GIS-Standards'!$I$2:$I$305,MATCH(B845,'GIS-Standards'!$B$2:$B$305,0))</f>
        <v>0</v>
      </c>
      <c r="O845" t="e">
        <f>INDEX('GIS-Standards'!$I$2:$I$305,MATCH(C845,'GIS-Standards'!$B$2:$B$305,0))</f>
        <v>#N/A</v>
      </c>
      <c r="P845" t="e">
        <f>AND(TableRelationships12[[#This Row],[Source Type]]="BIM",TableRelationships12[[#This Row],[Target Type]]="BIM")</f>
        <v>#N/A</v>
      </c>
      <c r="Q845">
        <f t="shared" si="39"/>
        <v>6</v>
      </c>
      <c r="S845">
        <f t="shared" si="40"/>
        <v>1</v>
      </c>
      <c r="T845" s="102" t="str">
        <f>IF(TableRelationships12[[#This Row],[Rank Pedro]]="Low","linkCategory1",IF(TableRelationships12[[#This Row],[Rank Pedro]]="Medium","linkCategory2",IF(TableRelationships12[[#This Row],[Rank Pedro]]="High","linkCategory3","")))</f>
        <v/>
      </c>
      <c r="U845" s="102" t="str">
        <f>IF(TableRelationships12[[#This Row],[Rank Pedro]]="Low","Pink",IF(TableRelationships12[[#This Row],[Rank Pedro]]="Medium","Purple",IF(TableRelationships12[[#This Row],[Rank Pedro]]="High","Brown","")))</f>
        <v/>
      </c>
      <c r="V845" s="4" t="e">
        <f>MAX(INDEX(Standards!$F$2:$F$296,MATCH(B845,Standards!$B$2:$B$296,0)),INDEX(Standards!$F$2:$F$296,MATCH(C845,Standards!$B$2:$B$296,0)))</f>
        <v>#N/A</v>
      </c>
      <c r="W845" t="str">
        <f t="shared" si="41"/>
        <v>#d6bf2a</v>
      </c>
    </row>
    <row r="846" spans="1:23" x14ac:dyDescent="0.5">
      <c r="A846" s="54">
        <v>845</v>
      </c>
      <c r="B846" s="90" t="s">
        <v>326</v>
      </c>
      <c r="C846" t="s">
        <v>1595</v>
      </c>
      <c r="D846" s="1"/>
      <c r="G846" s="107"/>
      <c r="H846">
        <f>INDEX('GIS-Standards'!$A$2:$A$305,MATCH(B846,'GIS-Standards'!$B$2:$B$305,0))</f>
        <v>35</v>
      </c>
      <c r="I846" t="e">
        <f>INDEX('GIS-Standards'!$A$2:$A$305,MATCH(C847,'GIS-Standards'!$B$2:$B$305,0))</f>
        <v>#N/A</v>
      </c>
      <c r="J846" t="str">
        <f>INDEX('GIS-Standards'!$O$2:$O$305,MATCH(B846,'GIS-Standards'!$B$2:$B$305,0))</f>
        <v>ISO/TC 211</v>
      </c>
      <c r="K846" t="e">
        <f>INDEX('GIS-Standards'!$O$2:$O$305,MATCH(C847,'GIS-Standards'!$B$2:$B$305,0))</f>
        <v>#N/A</v>
      </c>
      <c r="M846" t="s">
        <v>524</v>
      </c>
      <c r="N846">
        <f>INDEX('GIS-Standards'!$I$2:$I$305,MATCH(B846,'GIS-Standards'!$B$2:$B$305,0))</f>
        <v>0</v>
      </c>
      <c r="O846" t="e">
        <f>INDEX('GIS-Standards'!$I$2:$I$305,MATCH(C847,'GIS-Standards'!$B$2:$B$305,0))</f>
        <v>#N/A</v>
      </c>
      <c r="P846" t="e">
        <f>AND(TableRelationships12[[#This Row],[Source Type]]="BIM",TableRelationships12[[#This Row],[Target Type]]="BIM")</f>
        <v>#N/A</v>
      </c>
      <c r="Q846">
        <f t="shared" si="39"/>
        <v>6</v>
      </c>
      <c r="S846">
        <f t="shared" si="40"/>
        <v>1</v>
      </c>
      <c r="T846" s="102" t="str">
        <f>IF(TableRelationships12[[#This Row],[Rank Pedro]]="Low","linkCategory1",IF(TableRelationships12[[#This Row],[Rank Pedro]]="Medium","linkCategory2",IF(TableRelationships12[[#This Row],[Rank Pedro]]="High","linkCategory3","")))</f>
        <v/>
      </c>
      <c r="U846" s="102" t="str">
        <f>IF(TableRelationships12[[#This Row],[Rank Pedro]]="Low","Pink",IF(TableRelationships12[[#This Row],[Rank Pedro]]="Medium","Purple",IF(TableRelationships12[[#This Row],[Rank Pedro]]="High","Brown","")))</f>
        <v/>
      </c>
      <c r="V846" s="4" t="e">
        <f>MAX(INDEX(Standards!$F$2:$F$296,MATCH(B846,Standards!$B$2:$B$296,0)),INDEX(Standards!$F$2:$F$296,MATCH(C847,Standards!$B$2:$B$296,0)))</f>
        <v>#N/A</v>
      </c>
      <c r="W846" t="str">
        <f t="shared" si="41"/>
        <v>#d6bf2a</v>
      </c>
    </row>
    <row r="847" spans="1:23" x14ac:dyDescent="0.5">
      <c r="A847" s="54">
        <v>846</v>
      </c>
      <c r="B847" s="90" t="s">
        <v>326</v>
      </c>
      <c r="C847" t="s">
        <v>1141</v>
      </c>
      <c r="D847" s="1"/>
      <c r="G847" s="107"/>
      <c r="H847">
        <f>INDEX('GIS-Standards'!$A$2:$A$305,MATCH(B847,'GIS-Standards'!$B$2:$B$305,0))</f>
        <v>35</v>
      </c>
      <c r="I847" t="e">
        <f>INDEX('GIS-Standards'!$A$2:$A$305,MATCH(#REF!,'GIS-Standards'!$B$2:$B$305,0))</f>
        <v>#REF!</v>
      </c>
      <c r="J847" t="str">
        <f>INDEX('GIS-Standards'!$O$2:$O$305,MATCH(B847,'GIS-Standards'!$B$2:$B$305,0))</f>
        <v>ISO/TC 211</v>
      </c>
      <c r="K847" t="e">
        <f>INDEX('GIS-Standards'!$O$2:$O$305,MATCH(#REF!,'GIS-Standards'!$B$2:$B$305,0))</f>
        <v>#REF!</v>
      </c>
      <c r="M847" t="s">
        <v>524</v>
      </c>
      <c r="N847">
        <f>INDEX('GIS-Standards'!$I$2:$I$305,MATCH(B847,'GIS-Standards'!$B$2:$B$305,0))</f>
        <v>0</v>
      </c>
      <c r="O847" t="e">
        <f>INDEX('GIS-Standards'!$I$2:$I$305,MATCH(#REF!,'GIS-Standards'!$B$2:$B$305,0))</f>
        <v>#REF!</v>
      </c>
      <c r="P847" t="e">
        <f>AND(TableRelationships12[[#This Row],[Source Type]]="BIM",TableRelationships12[[#This Row],[Target Type]]="BIM")</f>
        <v>#REF!</v>
      </c>
      <c r="Q847">
        <f t="shared" si="39"/>
        <v>6</v>
      </c>
      <c r="S847">
        <f t="shared" si="40"/>
        <v>1</v>
      </c>
      <c r="T847" s="102" t="str">
        <f>IF(TableRelationships12[[#This Row],[Rank Pedro]]="Low","linkCategory1",IF(TableRelationships12[[#This Row],[Rank Pedro]]="Medium","linkCategory2",IF(TableRelationships12[[#This Row],[Rank Pedro]]="High","linkCategory3","")))</f>
        <v/>
      </c>
      <c r="U847" s="102" t="str">
        <f>IF(TableRelationships12[[#This Row],[Rank Pedro]]="Low","Pink",IF(TableRelationships12[[#This Row],[Rank Pedro]]="Medium","Purple",IF(TableRelationships12[[#This Row],[Rank Pedro]]="High","Brown","")))</f>
        <v/>
      </c>
      <c r="V847" s="4" t="e">
        <f>MAX(INDEX(Standards!$F$2:$F$296,MATCH(B847,Standards!$B$2:$B$296,0)),INDEX(Standards!$F$2:$F$296,MATCH(#REF!,Standards!$B$2:$B$296,0)))</f>
        <v>#REF!</v>
      </c>
      <c r="W847" t="str">
        <f t="shared" si="41"/>
        <v>#d6bf2a</v>
      </c>
    </row>
    <row r="848" spans="1:23" x14ac:dyDescent="0.5">
      <c r="A848" s="54">
        <v>847</v>
      </c>
      <c r="B848" s="90" t="s">
        <v>326</v>
      </c>
      <c r="C848" t="s">
        <v>1435</v>
      </c>
      <c r="D848" s="1"/>
      <c r="G848" s="107"/>
      <c r="H848">
        <f>INDEX('GIS-Standards'!$A$2:$A$305,MATCH(B848,'GIS-Standards'!$B$2:$B$305,0))</f>
        <v>35</v>
      </c>
      <c r="I848" t="e">
        <f>INDEX('GIS-Standards'!$A$2:$A$305,MATCH(C848,'GIS-Standards'!$B$2:$B$305,0))</f>
        <v>#N/A</v>
      </c>
      <c r="J848" t="str">
        <f>INDEX('GIS-Standards'!$O$2:$O$305,MATCH(B848,'GIS-Standards'!$B$2:$B$305,0))</f>
        <v>ISO/TC 211</v>
      </c>
      <c r="K848" t="e">
        <f>INDEX('GIS-Standards'!$O$2:$O$305,MATCH(C848,'GIS-Standards'!$B$2:$B$305,0))</f>
        <v>#N/A</v>
      </c>
      <c r="M848" t="s">
        <v>525</v>
      </c>
      <c r="N848">
        <f>INDEX('GIS-Standards'!$I$2:$I$305,MATCH(B848,'GIS-Standards'!$B$2:$B$305,0))</f>
        <v>0</v>
      </c>
      <c r="O848" t="e">
        <f>INDEX('GIS-Standards'!$I$2:$I$305,MATCH(C848,'GIS-Standards'!$B$2:$B$305,0))</f>
        <v>#N/A</v>
      </c>
      <c r="P848" t="e">
        <f>AND(TableRelationships12[[#This Row],[Source Type]]="BIM",TableRelationships12[[#This Row],[Target Type]]="BIM")</f>
        <v>#N/A</v>
      </c>
      <c r="Q848">
        <f t="shared" si="39"/>
        <v>1</v>
      </c>
      <c r="S848">
        <f t="shared" si="40"/>
        <v>1</v>
      </c>
      <c r="T848" s="102" t="str">
        <f>IF(TableRelationships12[[#This Row],[Rank Pedro]]="Low","linkCategory1",IF(TableRelationships12[[#This Row],[Rank Pedro]]="Medium","linkCategory2",IF(TableRelationships12[[#This Row],[Rank Pedro]]="High","linkCategory3","")))</f>
        <v/>
      </c>
      <c r="U848" s="102" t="str">
        <f>IF(TableRelationships12[[#This Row],[Rank Pedro]]="Low","Pink",IF(TableRelationships12[[#This Row],[Rank Pedro]]="Medium","Purple",IF(TableRelationships12[[#This Row],[Rank Pedro]]="High","Brown","")))</f>
        <v/>
      </c>
      <c r="V848" s="4" t="e">
        <f>MAX(INDEX(Standards!$F$2:$F$296,MATCH(B848,Standards!$B$2:$B$296,0)),INDEX(Standards!$F$2:$F$296,MATCH(C848,Standards!$B$2:$B$296,0)))</f>
        <v>#N/A</v>
      </c>
      <c r="W848" t="str">
        <f t="shared" si="41"/>
        <v>#2f89d1</v>
      </c>
    </row>
    <row r="849" spans="1:23" x14ac:dyDescent="0.5">
      <c r="A849" s="54">
        <v>848</v>
      </c>
      <c r="B849" s="90" t="s">
        <v>326</v>
      </c>
      <c r="C849" t="s">
        <v>1170</v>
      </c>
      <c r="D849" s="1"/>
      <c r="E849" s="112" t="s">
        <v>1673</v>
      </c>
      <c r="F849" s="112">
        <v>2025.11</v>
      </c>
      <c r="G849" s="107"/>
      <c r="H849">
        <f>INDEX('GIS-Standards'!$A$2:$A$305,MATCH(B849,'GIS-Standards'!$B$2:$B$305,0))</f>
        <v>35</v>
      </c>
      <c r="I849" t="e">
        <f>INDEX('GIS-Standards'!$A$2:$A$305,MATCH(C849,'GIS-Standards'!$B$2:$B$305,0))</f>
        <v>#N/A</v>
      </c>
      <c r="J849" t="str">
        <f>INDEX('GIS-Standards'!$O$2:$O$305,MATCH(B849,'GIS-Standards'!$B$2:$B$305,0))</f>
        <v>ISO/TC 211</v>
      </c>
      <c r="K849" t="e">
        <f>INDEX('GIS-Standards'!$O$2:$O$305,MATCH(C849,'GIS-Standards'!$B$2:$B$305,0))</f>
        <v>#N/A</v>
      </c>
      <c r="M849" t="s">
        <v>525</v>
      </c>
      <c r="N849">
        <f>INDEX('GIS-Standards'!$I$2:$I$305,MATCH(B849,'GIS-Standards'!$B$2:$B$305,0))</f>
        <v>0</v>
      </c>
      <c r="O849" t="e">
        <f>INDEX('GIS-Standards'!$I$2:$I$305,MATCH(C849,'GIS-Standards'!$B$2:$B$305,0))</f>
        <v>#N/A</v>
      </c>
      <c r="P849" t="e">
        <f>AND(TableRelationships12[[#This Row],[Source Type]]="BIM",TableRelationships12[[#This Row],[Target Type]]="BIM")</f>
        <v>#N/A</v>
      </c>
      <c r="Q849">
        <f t="shared" si="39"/>
        <v>1</v>
      </c>
      <c r="S849">
        <f t="shared" si="40"/>
        <v>1</v>
      </c>
      <c r="T849" s="102" t="str">
        <f>IF(TableRelationships12[[#This Row],[Rank Pedro]]="Low","linkCategory1",IF(TableRelationships12[[#This Row],[Rank Pedro]]="Medium","linkCategory2",IF(TableRelationships12[[#This Row],[Rank Pedro]]="High","linkCategory3","")))</f>
        <v/>
      </c>
      <c r="U849" s="102" t="str">
        <f>IF(TableRelationships12[[#This Row],[Rank Pedro]]="Low","Pink",IF(TableRelationships12[[#This Row],[Rank Pedro]]="Medium","Purple",IF(TableRelationships12[[#This Row],[Rank Pedro]]="High","Brown","")))</f>
        <v/>
      </c>
      <c r="V849" s="4" t="e">
        <f>MAX(INDEX(Standards!$F$2:$F$296,MATCH(B849,Standards!$B$2:$B$296,0)),INDEX(Standards!$F$2:$F$296,MATCH(C849,Standards!$B$2:$B$296,0)))</f>
        <v>#N/A</v>
      </c>
      <c r="W849" t="str">
        <f t="shared" si="41"/>
        <v>#2f89d1</v>
      </c>
    </row>
    <row r="850" spans="1:23" x14ac:dyDescent="0.5">
      <c r="A850" s="54">
        <v>849</v>
      </c>
      <c r="B850" s="90" t="s">
        <v>326</v>
      </c>
      <c r="C850" t="s">
        <v>1044</v>
      </c>
      <c r="D850" s="1"/>
      <c r="E850" s="112">
        <v>2005.06</v>
      </c>
      <c r="F850" s="112">
        <v>2012.12</v>
      </c>
      <c r="G850" s="107" t="s">
        <v>670</v>
      </c>
      <c r="H850">
        <f>INDEX('GIS-Standards'!$A$2:$A$305,MATCH(B850,'GIS-Standards'!$B$2:$B$305,0))</f>
        <v>35</v>
      </c>
      <c r="I850">
        <f>INDEX('GIS-Standards'!$A$2:$A$305,MATCH(C850,'GIS-Standards'!$B$2:$B$305,0))</f>
        <v>26</v>
      </c>
      <c r="J850" t="str">
        <f>INDEX('GIS-Standards'!$O$2:$O$305,MATCH(B850,'GIS-Standards'!$B$2:$B$305,0))</f>
        <v>ISO/TC 211</v>
      </c>
      <c r="K850" t="str">
        <f>INDEX('GIS-Standards'!$O$2:$O$305,MATCH(C850,'GIS-Standards'!$B$2:$B$305,0))</f>
        <v>ISO/TC 211</v>
      </c>
      <c r="M850" t="s">
        <v>525</v>
      </c>
      <c r="N850">
        <f>INDEX('GIS-Standards'!$I$2:$I$305,MATCH(B850,'GIS-Standards'!$B$2:$B$305,0))</f>
        <v>0</v>
      </c>
      <c r="O850">
        <f>INDEX('GIS-Standards'!$I$2:$I$305,MATCH(C850,'GIS-Standards'!$B$2:$B$305,0))</f>
        <v>0</v>
      </c>
      <c r="P850" t="b">
        <f>AND(TableRelationships12[[#This Row],[Source Type]]="BIM",TableRelationships12[[#This Row],[Target Type]]="BIM")</f>
        <v>0</v>
      </c>
      <c r="Q850">
        <f t="shared" si="39"/>
        <v>1</v>
      </c>
      <c r="S850">
        <f t="shared" si="40"/>
        <v>1</v>
      </c>
      <c r="T850" s="102" t="str">
        <f>IF(TableRelationships12[[#This Row],[Rank Pedro]]="Low","linkCategory1",IF(TableRelationships12[[#This Row],[Rank Pedro]]="Medium","linkCategory2",IF(TableRelationships12[[#This Row],[Rank Pedro]]="High","linkCategory3","")))</f>
        <v/>
      </c>
      <c r="U850" s="102" t="str">
        <f>IF(TableRelationships12[[#This Row],[Rank Pedro]]="Low","Pink",IF(TableRelationships12[[#This Row],[Rank Pedro]]="Medium","Purple",IF(TableRelationships12[[#This Row],[Rank Pedro]]="High","Brown","")))</f>
        <v/>
      </c>
      <c r="V850" s="4" t="e">
        <f>MAX(INDEX(Standards!$F$2:$F$296,MATCH(B850,Standards!$B$2:$B$296,0)),INDEX(Standards!$F$2:$F$296,MATCH(C850,Standards!$B$2:$B$296,0)))</f>
        <v>#N/A</v>
      </c>
      <c r="W850" t="str">
        <f t="shared" si="41"/>
        <v>#2f89d1</v>
      </c>
    </row>
    <row r="851" spans="1:23" x14ac:dyDescent="0.5">
      <c r="A851" s="54">
        <v>850</v>
      </c>
      <c r="B851" s="90" t="s">
        <v>326</v>
      </c>
      <c r="C851" t="s">
        <v>318</v>
      </c>
      <c r="D851" s="1"/>
      <c r="E851" s="112">
        <v>2005.02</v>
      </c>
      <c r="F851" s="112">
        <v>2016.01</v>
      </c>
      <c r="G851" s="107" t="s">
        <v>670</v>
      </c>
      <c r="H851">
        <f>INDEX('GIS-Standards'!$A$2:$A$305,MATCH(B851,'GIS-Standards'!$B$2:$B$305,0))</f>
        <v>35</v>
      </c>
      <c r="I851">
        <f>INDEX('GIS-Standards'!$A$2:$A$305,MATCH(C851,'GIS-Standards'!$B$2:$B$305,0))</f>
        <v>28</v>
      </c>
      <c r="J851" t="str">
        <f>INDEX('GIS-Standards'!$O$2:$O$305,MATCH(B851,'GIS-Standards'!$B$2:$B$305,0))</f>
        <v>ISO/TC 211</v>
      </c>
      <c r="K851" t="str">
        <f>INDEX('GIS-Standards'!$O$2:$O$305,MATCH(C851,'GIS-Standards'!$B$2:$B$305,0))</f>
        <v>ISO/TC 211</v>
      </c>
      <c r="M851" t="s">
        <v>525</v>
      </c>
      <c r="N851">
        <f>INDEX('GIS-Standards'!$I$2:$I$305,MATCH(B851,'GIS-Standards'!$B$2:$B$305,0))</f>
        <v>0</v>
      </c>
      <c r="O851">
        <f>INDEX('GIS-Standards'!$I$2:$I$305,MATCH(C851,'GIS-Standards'!$B$2:$B$305,0))</f>
        <v>0</v>
      </c>
      <c r="P851" t="b">
        <f>AND(TableRelationships12[[#This Row],[Source Type]]="BIM",TableRelationships12[[#This Row],[Target Type]]="BIM")</f>
        <v>0</v>
      </c>
      <c r="Q851">
        <f t="shared" si="39"/>
        <v>1</v>
      </c>
      <c r="S851">
        <f t="shared" si="40"/>
        <v>1</v>
      </c>
      <c r="T851" s="102" t="str">
        <f>IF(TableRelationships12[[#This Row],[Rank Pedro]]="Low","linkCategory1",IF(TableRelationships12[[#This Row],[Rank Pedro]]="Medium","linkCategory2",IF(TableRelationships12[[#This Row],[Rank Pedro]]="High","linkCategory3","")))</f>
        <v/>
      </c>
      <c r="U851" s="102" t="str">
        <f>IF(TableRelationships12[[#This Row],[Rank Pedro]]="Low","Pink",IF(TableRelationships12[[#This Row],[Rank Pedro]]="Medium","Purple",IF(TableRelationships12[[#This Row],[Rank Pedro]]="High","Brown","")))</f>
        <v/>
      </c>
      <c r="V851" s="4">
        <f>MAX(INDEX(Standards!$F$2:$F$296,MATCH(B851,Standards!$B$2:$B$296,0)),INDEX(Standards!$F$2:$F$296,MATCH(C851,Standards!$B$2:$B$296,0)))</f>
        <v>38687</v>
      </c>
      <c r="W851" t="str">
        <f t="shared" si="41"/>
        <v>#2f89d1</v>
      </c>
    </row>
    <row r="852" spans="1:23" x14ac:dyDescent="0.5">
      <c r="A852" s="54">
        <v>851</v>
      </c>
      <c r="B852" s="90" t="s">
        <v>326</v>
      </c>
      <c r="C852" t="s">
        <v>1046</v>
      </c>
      <c r="D852" s="1"/>
      <c r="E852" s="112">
        <v>2004.08</v>
      </c>
      <c r="F852" s="112">
        <v>2004.11</v>
      </c>
      <c r="G852" s="107" t="s">
        <v>670</v>
      </c>
      <c r="H852">
        <f>INDEX('GIS-Standards'!$A$2:$A$305,MATCH(B852,'GIS-Standards'!$B$2:$B$305,0))</f>
        <v>35</v>
      </c>
      <c r="I852">
        <f>INDEX('GIS-Standards'!$A$2:$A$305,MATCH(C852,'GIS-Standards'!$B$2:$B$305,0))</f>
        <v>32</v>
      </c>
      <c r="J852" t="str">
        <f>INDEX('GIS-Standards'!$O$2:$O$305,MATCH(B852,'GIS-Standards'!$B$2:$B$305,0))</f>
        <v>ISO/TC 211</v>
      </c>
      <c r="K852" t="str">
        <f>INDEX('GIS-Standards'!$O$2:$O$305,MATCH(C852,'GIS-Standards'!$B$2:$B$305,0))</f>
        <v>ISO/TC 211</v>
      </c>
      <c r="M852" t="s">
        <v>525</v>
      </c>
      <c r="N852">
        <f>INDEX('GIS-Standards'!$I$2:$I$305,MATCH(B852,'GIS-Standards'!$B$2:$B$305,0))</f>
        <v>0</v>
      </c>
      <c r="O852">
        <f>INDEX('GIS-Standards'!$I$2:$I$305,MATCH(C852,'GIS-Standards'!$B$2:$B$305,0))</f>
        <v>0</v>
      </c>
      <c r="P852" t="b">
        <f>AND(TableRelationships12[[#This Row],[Source Type]]="BIM",TableRelationships12[[#This Row],[Target Type]]="BIM")</f>
        <v>0</v>
      </c>
      <c r="Q852">
        <f t="shared" si="39"/>
        <v>1</v>
      </c>
      <c r="S852">
        <f t="shared" si="40"/>
        <v>1</v>
      </c>
      <c r="T852" s="102" t="str">
        <f>IF(TableRelationships12[[#This Row],[Rank Pedro]]="Low","linkCategory1",IF(TableRelationships12[[#This Row],[Rank Pedro]]="Medium","linkCategory2",IF(TableRelationships12[[#This Row],[Rank Pedro]]="High","linkCategory3","")))</f>
        <v/>
      </c>
      <c r="U852" s="102" t="str">
        <f>IF(TableRelationships12[[#This Row],[Rank Pedro]]="Low","Pink",IF(TableRelationships12[[#This Row],[Rank Pedro]]="Medium","Purple",IF(TableRelationships12[[#This Row],[Rank Pedro]]="High","Brown","")))</f>
        <v/>
      </c>
      <c r="V852" s="4" t="e">
        <f>MAX(INDEX(Standards!$F$2:$F$296,MATCH(B852,Standards!$B$2:$B$296,0)),INDEX(Standards!$F$2:$F$296,MATCH(C852,Standards!$B$2:$B$296,0)))</f>
        <v>#N/A</v>
      </c>
      <c r="W852" t="str">
        <f t="shared" si="41"/>
        <v>#2f89d1</v>
      </c>
    </row>
    <row r="853" spans="1:23" x14ac:dyDescent="0.5">
      <c r="A853" s="54">
        <v>852</v>
      </c>
      <c r="B853" s="90" t="s">
        <v>326</v>
      </c>
      <c r="C853" t="s">
        <v>1142</v>
      </c>
      <c r="D853" s="1"/>
      <c r="G853" s="107"/>
      <c r="H853">
        <f>INDEX('GIS-Standards'!$A$2:$A$305,MATCH(B853,'GIS-Standards'!$B$2:$B$305,0))</f>
        <v>35</v>
      </c>
      <c r="I853" t="e">
        <f>INDEX('GIS-Standards'!$A$2:$A$305,MATCH(C853,'GIS-Standards'!$B$2:$B$305,0))</f>
        <v>#N/A</v>
      </c>
      <c r="J853" t="str">
        <f>INDEX('GIS-Standards'!$O$2:$O$305,MATCH(B853,'GIS-Standards'!$B$2:$B$305,0))</f>
        <v>ISO/TC 211</v>
      </c>
      <c r="K853" t="e">
        <f>INDEX('GIS-Standards'!$O$2:$O$305,MATCH(C853,'GIS-Standards'!$B$2:$B$305,0))</f>
        <v>#N/A</v>
      </c>
      <c r="M853" t="s">
        <v>525</v>
      </c>
      <c r="N853">
        <f>INDEX('GIS-Standards'!$I$2:$I$305,MATCH(B853,'GIS-Standards'!$B$2:$B$305,0))</f>
        <v>0</v>
      </c>
      <c r="O853" t="e">
        <f>INDEX('GIS-Standards'!$I$2:$I$305,MATCH(C853,'GIS-Standards'!$B$2:$B$305,0))</f>
        <v>#N/A</v>
      </c>
      <c r="P853" t="e">
        <f>AND(TableRelationships12[[#This Row],[Source Type]]="BIM",TableRelationships12[[#This Row],[Target Type]]="BIM")</f>
        <v>#N/A</v>
      </c>
      <c r="Q853">
        <f t="shared" si="39"/>
        <v>1</v>
      </c>
      <c r="S853">
        <f t="shared" si="40"/>
        <v>1</v>
      </c>
      <c r="T853" s="102" t="str">
        <f>IF(TableRelationships12[[#This Row],[Rank Pedro]]="Low","linkCategory1",IF(TableRelationships12[[#This Row],[Rank Pedro]]="Medium","linkCategory2",IF(TableRelationships12[[#This Row],[Rank Pedro]]="High","linkCategory3","")))</f>
        <v/>
      </c>
      <c r="U853" s="102" t="str">
        <f>IF(TableRelationships12[[#This Row],[Rank Pedro]]="Low","Pink",IF(TableRelationships12[[#This Row],[Rank Pedro]]="Medium","Purple",IF(TableRelationships12[[#This Row],[Rank Pedro]]="High","Brown","")))</f>
        <v/>
      </c>
      <c r="V853" s="4" t="e">
        <f>MAX(INDEX(Standards!$F$2:$F$296,MATCH(B853,Standards!$B$2:$B$296,0)),INDEX(Standards!$F$2:$F$296,MATCH(C853,Standards!$B$2:$B$296,0)))</f>
        <v>#N/A</v>
      </c>
      <c r="W853" t="str">
        <f t="shared" si="41"/>
        <v>#2f89d1</v>
      </c>
    </row>
    <row r="854" spans="1:23" x14ac:dyDescent="0.5">
      <c r="A854" s="54">
        <v>853</v>
      </c>
      <c r="B854" s="90" t="s">
        <v>326</v>
      </c>
      <c r="C854" t="s">
        <v>1146</v>
      </c>
      <c r="D854" s="1"/>
      <c r="E854" s="112">
        <v>1983.05</v>
      </c>
      <c r="F854" s="112">
        <v>2022.09</v>
      </c>
      <c r="G854" s="107" t="s">
        <v>670</v>
      </c>
      <c r="H854">
        <f>INDEX('GIS-Standards'!$A$2:$A$305,MATCH(B854,'GIS-Standards'!$B$2:$B$305,0))</f>
        <v>35</v>
      </c>
      <c r="I854" t="e">
        <f>INDEX('GIS-Standards'!$A$2:$A$305,MATCH(C854,'GIS-Standards'!$B$2:$B$305,0))</f>
        <v>#N/A</v>
      </c>
      <c r="J854" t="str">
        <f>INDEX('GIS-Standards'!$O$2:$O$305,MATCH(B854,'GIS-Standards'!$B$2:$B$305,0))</f>
        <v>ISO/TC 211</v>
      </c>
      <c r="K854" t="e">
        <f>INDEX('GIS-Standards'!$O$2:$O$305,MATCH(C854,'GIS-Standards'!$B$2:$B$305,0))</f>
        <v>#N/A</v>
      </c>
      <c r="M854" t="s">
        <v>525</v>
      </c>
      <c r="N854">
        <f>INDEX('GIS-Standards'!$I$2:$I$305,MATCH(B854,'GIS-Standards'!$B$2:$B$305,0))</f>
        <v>0</v>
      </c>
      <c r="O854" t="e">
        <f>INDEX('GIS-Standards'!$I$2:$I$305,MATCH(C854,'GIS-Standards'!$B$2:$B$305,0))</f>
        <v>#N/A</v>
      </c>
      <c r="P854" t="e">
        <f>AND(TableRelationships12[[#This Row],[Source Type]]="BIM",TableRelationships12[[#This Row],[Target Type]]="BIM")</f>
        <v>#N/A</v>
      </c>
      <c r="Q854">
        <f t="shared" si="39"/>
        <v>1</v>
      </c>
      <c r="S854">
        <f t="shared" si="40"/>
        <v>1</v>
      </c>
      <c r="T854" s="102" t="str">
        <f>IF(TableRelationships12[[#This Row],[Rank Pedro]]="Low","linkCategory1",IF(TableRelationships12[[#This Row],[Rank Pedro]]="Medium","linkCategory2",IF(TableRelationships12[[#This Row],[Rank Pedro]]="High","linkCategory3","")))</f>
        <v/>
      </c>
      <c r="U854" s="102" t="str">
        <f>IF(TableRelationships12[[#This Row],[Rank Pedro]]="Low","Pink",IF(TableRelationships12[[#This Row],[Rank Pedro]]="Medium","Purple",IF(TableRelationships12[[#This Row],[Rank Pedro]]="High","Brown","")))</f>
        <v/>
      </c>
      <c r="V854" s="4" t="e">
        <f>MAX(INDEX(Standards!$F$2:$F$296,MATCH(B854,Standards!$B$2:$B$296,0)),INDEX(Standards!$F$2:$F$296,MATCH(C854,Standards!$B$2:$B$296,0)))</f>
        <v>#N/A</v>
      </c>
      <c r="W854" t="str">
        <f t="shared" si="41"/>
        <v>#2f89d1</v>
      </c>
    </row>
    <row r="855" spans="1:23" x14ac:dyDescent="0.5">
      <c r="A855" s="54">
        <v>854</v>
      </c>
      <c r="B855" s="90" t="s">
        <v>326</v>
      </c>
      <c r="C855" t="s">
        <v>1613</v>
      </c>
      <c r="D855" s="1"/>
      <c r="E855" s="112">
        <v>1987.08</v>
      </c>
      <c r="F855" s="112">
        <v>1999.12</v>
      </c>
      <c r="G855" s="107" t="s">
        <v>1500</v>
      </c>
      <c r="H855">
        <f>INDEX('GIS-Standards'!$A$2:$A$305,MATCH(B855,'GIS-Standards'!$B$2:$B$305,0))</f>
        <v>35</v>
      </c>
      <c r="I855" t="e">
        <f>INDEX('GIS-Standards'!$A$2:$A$305,MATCH(C855,'GIS-Standards'!$B$2:$B$305,0))</f>
        <v>#N/A</v>
      </c>
      <c r="J855" t="str">
        <f>INDEX('GIS-Standards'!$O$2:$O$305,MATCH(B855,'GIS-Standards'!$B$2:$B$305,0))</f>
        <v>ISO/TC 211</v>
      </c>
      <c r="K855" t="e">
        <f>INDEX('GIS-Standards'!$O$2:$O$305,MATCH(C855,'GIS-Standards'!$B$2:$B$305,0))</f>
        <v>#N/A</v>
      </c>
      <c r="M855" t="s">
        <v>525</v>
      </c>
      <c r="N855">
        <f>INDEX('GIS-Standards'!$I$2:$I$305,MATCH(B855,'GIS-Standards'!$B$2:$B$305,0))</f>
        <v>0</v>
      </c>
      <c r="O855" t="e">
        <f>INDEX('GIS-Standards'!$I$2:$I$305,MATCH(C855,'GIS-Standards'!$B$2:$B$305,0))</f>
        <v>#N/A</v>
      </c>
      <c r="P855" t="e">
        <f>AND(TableRelationships12[[#This Row],[Source Type]]="BIM",TableRelationships12[[#This Row],[Target Type]]="BIM")</f>
        <v>#N/A</v>
      </c>
      <c r="Q855">
        <f t="shared" si="39"/>
        <v>1</v>
      </c>
      <c r="S855">
        <f t="shared" si="40"/>
        <v>1</v>
      </c>
      <c r="T855" s="102" t="str">
        <f>IF(TableRelationships12[[#This Row],[Rank Pedro]]="Low","linkCategory1",IF(TableRelationships12[[#This Row],[Rank Pedro]]="Medium","linkCategory2",IF(TableRelationships12[[#This Row],[Rank Pedro]]="High","linkCategory3","")))</f>
        <v/>
      </c>
      <c r="U855" s="102" t="str">
        <f>IF(TableRelationships12[[#This Row],[Rank Pedro]]="Low","Pink",IF(TableRelationships12[[#This Row],[Rank Pedro]]="Medium","Purple",IF(TableRelationships12[[#This Row],[Rank Pedro]]="High","Brown","")))</f>
        <v/>
      </c>
      <c r="V855" s="4" t="e">
        <f>MAX(INDEX(Standards!$F$2:$F$296,MATCH(B855,Standards!$B$2:$B$296,0)),INDEX(Standards!$F$2:$F$296,MATCH(C855,Standards!$B$2:$B$296,0)))</f>
        <v>#N/A</v>
      </c>
      <c r="W855" t="str">
        <f t="shared" si="41"/>
        <v>#2f89d1</v>
      </c>
    </row>
    <row r="856" spans="1:23" x14ac:dyDescent="0.5">
      <c r="A856" s="54">
        <v>855</v>
      </c>
      <c r="B856" s="90" t="s">
        <v>326</v>
      </c>
      <c r="C856" t="s">
        <v>1614</v>
      </c>
      <c r="D856" s="1"/>
      <c r="E856" s="112">
        <v>1987.08</v>
      </c>
      <c r="F856" s="112">
        <v>1999.12</v>
      </c>
      <c r="G856" s="107" t="s">
        <v>1500</v>
      </c>
      <c r="H856">
        <f>INDEX('GIS-Standards'!$A$2:$A$305,MATCH(B856,'GIS-Standards'!$B$2:$B$305,0))</f>
        <v>35</v>
      </c>
      <c r="I856" t="e">
        <f>INDEX('GIS-Standards'!$A$2:$A$305,MATCH(C856,'GIS-Standards'!$B$2:$B$305,0))</f>
        <v>#N/A</v>
      </c>
      <c r="J856" t="str">
        <f>INDEX('GIS-Standards'!$O$2:$O$305,MATCH(B856,'GIS-Standards'!$B$2:$B$305,0))</f>
        <v>ISO/TC 211</v>
      </c>
      <c r="K856" t="e">
        <f>INDEX('GIS-Standards'!$O$2:$O$305,MATCH(C856,'GIS-Standards'!$B$2:$B$305,0))</f>
        <v>#N/A</v>
      </c>
      <c r="M856" t="s">
        <v>525</v>
      </c>
      <c r="N856">
        <f>INDEX('GIS-Standards'!$I$2:$I$305,MATCH(B856,'GIS-Standards'!$B$2:$B$305,0))</f>
        <v>0</v>
      </c>
      <c r="O856" t="e">
        <f>INDEX('GIS-Standards'!$I$2:$I$305,MATCH(C856,'GIS-Standards'!$B$2:$B$305,0))</f>
        <v>#N/A</v>
      </c>
      <c r="P856" t="e">
        <f>AND(TableRelationships12[[#This Row],[Source Type]]="BIM",TableRelationships12[[#This Row],[Target Type]]="BIM")</f>
        <v>#N/A</v>
      </c>
      <c r="Q856">
        <f t="shared" si="39"/>
        <v>1</v>
      </c>
      <c r="S856">
        <f t="shared" si="40"/>
        <v>1</v>
      </c>
      <c r="T856" s="102" t="str">
        <f>IF(TableRelationships12[[#This Row],[Rank Pedro]]="Low","linkCategory1",IF(TableRelationships12[[#This Row],[Rank Pedro]]="Medium","linkCategory2",IF(TableRelationships12[[#This Row],[Rank Pedro]]="High","linkCategory3","")))</f>
        <v/>
      </c>
      <c r="U856" s="102" t="str">
        <f>IF(TableRelationships12[[#This Row],[Rank Pedro]]="Low","Pink",IF(TableRelationships12[[#This Row],[Rank Pedro]]="Medium","Purple",IF(TableRelationships12[[#This Row],[Rank Pedro]]="High","Brown","")))</f>
        <v/>
      </c>
      <c r="V856" s="4" t="e">
        <f>MAX(INDEX(Standards!$F$2:$F$296,MATCH(B856,Standards!$B$2:$B$296,0)),INDEX(Standards!$F$2:$F$296,MATCH(C856,Standards!$B$2:$B$296,0)))</f>
        <v>#N/A</v>
      </c>
      <c r="W856" t="str">
        <f t="shared" si="41"/>
        <v>#2f89d1</v>
      </c>
    </row>
    <row r="857" spans="1:23" x14ac:dyDescent="0.5">
      <c r="A857" s="54">
        <v>856</v>
      </c>
      <c r="B857" s="90" t="s">
        <v>326</v>
      </c>
      <c r="C857" t="s">
        <v>1615</v>
      </c>
      <c r="D857" s="1"/>
      <c r="E857" s="112">
        <v>1987.08</v>
      </c>
      <c r="F857" s="112">
        <v>1999.12</v>
      </c>
      <c r="G857" s="107" t="s">
        <v>1500</v>
      </c>
      <c r="H857">
        <f>INDEX('GIS-Standards'!$A$2:$A$305,MATCH(B857,'GIS-Standards'!$B$2:$B$305,0))</f>
        <v>35</v>
      </c>
      <c r="I857" t="e">
        <f>INDEX('GIS-Standards'!$A$2:$A$305,MATCH(C857,'GIS-Standards'!$B$2:$B$305,0))</f>
        <v>#N/A</v>
      </c>
      <c r="J857" t="str">
        <f>INDEX('GIS-Standards'!$O$2:$O$305,MATCH(B857,'GIS-Standards'!$B$2:$B$305,0))</f>
        <v>ISO/TC 211</v>
      </c>
      <c r="K857" t="e">
        <f>INDEX('GIS-Standards'!$O$2:$O$305,MATCH(C857,'GIS-Standards'!$B$2:$B$305,0))</f>
        <v>#N/A</v>
      </c>
      <c r="M857" t="s">
        <v>525</v>
      </c>
      <c r="N857">
        <f>INDEX('GIS-Standards'!$I$2:$I$305,MATCH(B857,'GIS-Standards'!$B$2:$B$305,0))</f>
        <v>0</v>
      </c>
      <c r="O857" t="e">
        <f>INDEX('GIS-Standards'!$I$2:$I$305,MATCH(C857,'GIS-Standards'!$B$2:$B$305,0))</f>
        <v>#N/A</v>
      </c>
      <c r="P857" t="e">
        <f>AND(TableRelationships12[[#This Row],[Source Type]]="BIM",TableRelationships12[[#This Row],[Target Type]]="BIM")</f>
        <v>#N/A</v>
      </c>
      <c r="Q857">
        <f t="shared" si="39"/>
        <v>1</v>
      </c>
      <c r="S857">
        <f t="shared" si="40"/>
        <v>1</v>
      </c>
      <c r="T857" s="102" t="str">
        <f>IF(TableRelationships12[[#This Row],[Rank Pedro]]="Low","linkCategory1",IF(TableRelationships12[[#This Row],[Rank Pedro]]="Medium","linkCategory2",IF(TableRelationships12[[#This Row],[Rank Pedro]]="High","linkCategory3","")))</f>
        <v/>
      </c>
      <c r="U857" s="102" t="str">
        <f>IF(TableRelationships12[[#This Row],[Rank Pedro]]="Low","Pink",IF(TableRelationships12[[#This Row],[Rank Pedro]]="Medium","Purple",IF(TableRelationships12[[#This Row],[Rank Pedro]]="High","Brown","")))</f>
        <v/>
      </c>
      <c r="V857" s="4" t="e">
        <f>MAX(INDEX(Standards!$F$2:$F$296,MATCH(B857,Standards!$B$2:$B$296,0)),INDEX(Standards!$F$2:$F$296,MATCH(C857,Standards!$B$2:$B$296,0)))</f>
        <v>#N/A</v>
      </c>
      <c r="W857" t="str">
        <f t="shared" si="41"/>
        <v>#2f89d1</v>
      </c>
    </row>
    <row r="858" spans="1:23" x14ac:dyDescent="0.5">
      <c r="A858" s="54">
        <v>857</v>
      </c>
      <c r="B858" s="90" t="s">
        <v>633</v>
      </c>
      <c r="C858" t="s">
        <v>527</v>
      </c>
      <c r="D858" s="1"/>
      <c r="E858" s="112" t="s">
        <v>983</v>
      </c>
      <c r="F858" s="112" t="s">
        <v>962</v>
      </c>
      <c r="G858" s="121" t="s">
        <v>670</v>
      </c>
      <c r="H858">
        <f>INDEX('GIS-Standards'!$A$2:$A$305,MATCH(B858,'GIS-Standards'!$B$2:$B$305,0))</f>
        <v>36</v>
      </c>
      <c r="I858" t="e">
        <f>INDEX('GIS-Standards'!$A$2:$A$305,MATCH(C858,'GIS-Standards'!$B$2:$B$305,0))</f>
        <v>#N/A</v>
      </c>
      <c r="J858" t="str">
        <f>INDEX('GIS-Standards'!$O$2:$O$305,MATCH(B858,'GIS-Standards'!$B$2:$B$305,0))</f>
        <v>ISO/TC 211</v>
      </c>
      <c r="K858" t="e">
        <f>INDEX('GIS-Standards'!$O$2:$O$305,MATCH(C858,'GIS-Standards'!$B$2:$B$305,0))</f>
        <v>#N/A</v>
      </c>
      <c r="M858" t="s">
        <v>237</v>
      </c>
      <c r="N858">
        <f>INDEX('GIS-Standards'!$I$2:$I$305,MATCH(B858,'GIS-Standards'!$B$2:$B$305,0))</f>
        <v>0</v>
      </c>
      <c r="O858" t="e">
        <f>INDEX('GIS-Standards'!$I$2:$I$305,MATCH(C858,'GIS-Standards'!$B$2:$B$305,0))</f>
        <v>#N/A</v>
      </c>
      <c r="P858" t="e">
        <f>AND(TableRelationships12[[#This Row],[Source Type]]="BIM",TableRelationships12[[#This Row],[Target Type]]="BIM")</f>
        <v>#N/A</v>
      </c>
      <c r="Q858">
        <f t="shared" si="39"/>
        <v>2</v>
      </c>
      <c r="S858">
        <f t="shared" si="40"/>
        <v>1</v>
      </c>
      <c r="T858" s="102" t="str">
        <f>IF(TableRelationships12[[#This Row],[Rank Pedro]]="Low","linkCategory1",IF(TableRelationships12[[#This Row],[Rank Pedro]]="Medium","linkCategory2",IF(TableRelationships12[[#This Row],[Rank Pedro]]="High","linkCategory3","")))</f>
        <v/>
      </c>
      <c r="U858" s="102" t="str">
        <f>IF(TableRelationships12[[#This Row],[Rank Pedro]]="Low","Pink",IF(TableRelationships12[[#This Row],[Rank Pedro]]="Medium","Purple",IF(TableRelationships12[[#This Row],[Rank Pedro]]="High","Brown","")))</f>
        <v/>
      </c>
      <c r="V858" s="4" t="e">
        <f>MAX(INDEX(Standards!$F$2:$F$296,MATCH(B858,Standards!$B$2:$B$296,0)),INDEX(Standards!$F$2:$F$296,MATCH(C858,Standards!$B$2:$B$296,0)))</f>
        <v>#N/A</v>
      </c>
      <c r="W858">
        <f t="shared" si="41"/>
        <v>1</v>
      </c>
    </row>
    <row r="859" spans="1:23" x14ac:dyDescent="0.5">
      <c r="A859" s="54">
        <v>858</v>
      </c>
      <c r="B859" s="90" t="s">
        <v>633</v>
      </c>
      <c r="C859" t="s">
        <v>296</v>
      </c>
      <c r="D859" s="1"/>
      <c r="E859" s="112">
        <v>2005.07</v>
      </c>
      <c r="F859" s="112">
        <v>2024.09</v>
      </c>
      <c r="G859" s="107" t="s">
        <v>670</v>
      </c>
      <c r="H859">
        <f>INDEX('GIS-Standards'!$A$2:$A$305,MATCH(B859,'GIS-Standards'!$B$2:$B$305,0))</f>
        <v>36</v>
      </c>
      <c r="I859">
        <f>INDEX('GIS-Standards'!$A$2:$A$305,MATCH(C859,'GIS-Standards'!$B$2:$B$305,0))</f>
        <v>12</v>
      </c>
      <c r="J859" t="str">
        <f>INDEX('GIS-Standards'!$O$2:$O$305,MATCH(B859,'GIS-Standards'!$B$2:$B$305,0))</f>
        <v>ISO/TC 211</v>
      </c>
      <c r="K859" t="str">
        <f>INDEX('GIS-Standards'!$O$2:$O$305,MATCH(C859,'GIS-Standards'!$B$2:$B$305,0))</f>
        <v>ISO/TC 211</v>
      </c>
      <c r="M859" t="s">
        <v>524</v>
      </c>
      <c r="N859">
        <f>INDEX('GIS-Standards'!$I$2:$I$305,MATCH(B859,'GIS-Standards'!$B$2:$B$305,0))</f>
        <v>0</v>
      </c>
      <c r="O859">
        <f>INDEX('GIS-Standards'!$I$2:$I$305,MATCH(C859,'GIS-Standards'!$B$2:$B$305,0))</f>
        <v>0</v>
      </c>
      <c r="P859" t="b">
        <f>AND(TableRelationships12[[#This Row],[Source Type]]="BIM",TableRelationships12[[#This Row],[Target Type]]="BIM")</f>
        <v>0</v>
      </c>
      <c r="Q859">
        <f t="shared" si="39"/>
        <v>6</v>
      </c>
      <c r="S859">
        <f t="shared" si="40"/>
        <v>1</v>
      </c>
      <c r="T859" s="102" t="str">
        <f>IF(TableRelationships12[[#This Row],[Rank Pedro]]="Low","linkCategory1",IF(TableRelationships12[[#This Row],[Rank Pedro]]="Medium","linkCategory2",IF(TableRelationships12[[#This Row],[Rank Pedro]]="High","linkCategory3","")))</f>
        <v/>
      </c>
      <c r="U859" s="102" t="str">
        <f>IF(TableRelationships12[[#This Row],[Rank Pedro]]="Low","Pink",IF(TableRelationships12[[#This Row],[Rank Pedro]]="Medium","Purple",IF(TableRelationships12[[#This Row],[Rank Pedro]]="High","Brown","")))</f>
        <v/>
      </c>
      <c r="V859" s="4" t="e">
        <f>MAX(INDEX(Standards!$F$2:$F$296,MATCH(B859,Standards!$B$2:$B$296,0)),INDEX(Standards!$F$2:$F$296,MATCH(C859,Standards!$B$2:$B$296,0)))</f>
        <v>#N/A</v>
      </c>
      <c r="W859" t="str">
        <f t="shared" si="41"/>
        <v>#d6bf2a</v>
      </c>
    </row>
    <row r="860" spans="1:23" x14ac:dyDescent="0.5">
      <c r="A860" s="54">
        <v>859</v>
      </c>
      <c r="B860" s="90" t="s">
        <v>633</v>
      </c>
      <c r="C860" t="s">
        <v>302</v>
      </c>
      <c r="D860" s="1"/>
      <c r="E860" s="112">
        <v>2003.05</v>
      </c>
      <c r="F860" s="112">
        <v>2019.12</v>
      </c>
      <c r="G860" s="107" t="s">
        <v>670</v>
      </c>
      <c r="H860">
        <f>INDEX('GIS-Standards'!$A$2:$A$305,MATCH(B860,'GIS-Standards'!$B$2:$B$305,0))</f>
        <v>36</v>
      </c>
      <c r="I860">
        <f>INDEX('GIS-Standards'!$A$2:$A$305,MATCH(C860,'GIS-Standards'!$B$2:$B$305,0))</f>
        <v>16</v>
      </c>
      <c r="J860" t="str">
        <f>INDEX('GIS-Standards'!$O$2:$O$305,MATCH(B860,'GIS-Standards'!$B$2:$B$305,0))</f>
        <v>ISO/TC 211</v>
      </c>
      <c r="K860" t="str">
        <f>INDEX('GIS-Standards'!$O$2:$O$305,MATCH(C860,'GIS-Standards'!$B$2:$B$305,0))</f>
        <v>ISO/TC 211</v>
      </c>
      <c r="M860" t="s">
        <v>524</v>
      </c>
      <c r="N860">
        <f>INDEX('GIS-Standards'!$I$2:$I$305,MATCH(B860,'GIS-Standards'!$B$2:$B$305,0))</f>
        <v>0</v>
      </c>
      <c r="O860">
        <f>INDEX('GIS-Standards'!$I$2:$I$305,MATCH(C860,'GIS-Standards'!$B$2:$B$305,0))</f>
        <v>0</v>
      </c>
      <c r="P860" t="b">
        <f>AND(TableRelationships12[[#This Row],[Source Type]]="BIM",TableRelationships12[[#This Row],[Target Type]]="BIM")</f>
        <v>0</v>
      </c>
      <c r="Q860">
        <f t="shared" si="39"/>
        <v>6</v>
      </c>
      <c r="S860">
        <f t="shared" si="40"/>
        <v>1</v>
      </c>
      <c r="T860" s="102" t="str">
        <f>IF(TableRelationships12[[#This Row],[Rank Pedro]]="Low","linkCategory1",IF(TableRelationships12[[#This Row],[Rank Pedro]]="Medium","linkCategory2",IF(TableRelationships12[[#This Row],[Rank Pedro]]="High","linkCategory3","")))</f>
        <v/>
      </c>
      <c r="U860" s="102" t="str">
        <f>IF(TableRelationships12[[#This Row],[Rank Pedro]]="Low","Pink",IF(TableRelationships12[[#This Row],[Rank Pedro]]="Medium","Purple",IF(TableRelationships12[[#This Row],[Rank Pedro]]="High","Brown","")))</f>
        <v/>
      </c>
      <c r="V860" s="4" t="e">
        <f>MAX(INDEX(Standards!$F$2:$F$296,MATCH(B860,Standards!$B$2:$B$296,0)),INDEX(Standards!$F$2:$F$296,MATCH(C860,Standards!$B$2:$B$296,0)))</f>
        <v>#N/A</v>
      </c>
      <c r="W860" t="str">
        <f t="shared" si="41"/>
        <v>#d6bf2a</v>
      </c>
    </row>
    <row r="861" spans="1:23" x14ac:dyDescent="0.5">
      <c r="A861" s="54">
        <v>860</v>
      </c>
      <c r="B861" s="90" t="s">
        <v>633</v>
      </c>
      <c r="C861" t="s">
        <v>304</v>
      </c>
      <c r="D861" s="1"/>
      <c r="E861" s="112">
        <v>2002.09</v>
      </c>
      <c r="F861" s="112">
        <v>2006.1</v>
      </c>
      <c r="G861" s="107" t="s">
        <v>670</v>
      </c>
      <c r="H861">
        <f>INDEX('GIS-Standards'!$A$2:$A$305,MATCH(B861,'GIS-Standards'!$B$2:$B$305,0))</f>
        <v>36</v>
      </c>
      <c r="I861">
        <f>INDEX('GIS-Standards'!$A$2:$A$305,MATCH(C861,'GIS-Standards'!$B$2:$B$305,0))</f>
        <v>17</v>
      </c>
      <c r="J861" t="str">
        <f>INDEX('GIS-Standards'!$O$2:$O$305,MATCH(B861,'GIS-Standards'!$B$2:$B$305,0))</f>
        <v>ISO/TC 211</v>
      </c>
      <c r="K861" t="str">
        <f>INDEX('GIS-Standards'!$O$2:$O$305,MATCH(C861,'GIS-Standards'!$B$2:$B$305,0))</f>
        <v>ISO/TC 211</v>
      </c>
      <c r="M861" t="s">
        <v>524</v>
      </c>
      <c r="N861">
        <f>INDEX('GIS-Standards'!$I$2:$I$305,MATCH(B861,'GIS-Standards'!$B$2:$B$305,0))</f>
        <v>0</v>
      </c>
      <c r="O861" t="str">
        <f>INDEX('GIS-Standards'!$I$2:$I$305,MATCH(C861,'GIS-Standards'!$B$2:$B$305,0))</f>
        <v>06.2008</v>
      </c>
      <c r="P861" t="b">
        <f>AND(TableRelationships12[[#This Row],[Source Type]]="BIM",TableRelationships12[[#This Row],[Target Type]]="BIM")</f>
        <v>0</v>
      </c>
      <c r="Q861">
        <f t="shared" si="39"/>
        <v>6</v>
      </c>
      <c r="S861">
        <f t="shared" si="40"/>
        <v>1</v>
      </c>
      <c r="T861" s="102" t="str">
        <f>IF(TableRelationships12[[#This Row],[Rank Pedro]]="Low","linkCategory1",IF(TableRelationships12[[#This Row],[Rank Pedro]]="Medium","linkCategory2",IF(TableRelationships12[[#This Row],[Rank Pedro]]="High","linkCategory3","")))</f>
        <v/>
      </c>
      <c r="U861" s="102" t="str">
        <f>IF(TableRelationships12[[#This Row],[Rank Pedro]]="Low","Pink",IF(TableRelationships12[[#This Row],[Rank Pedro]]="Medium","Purple",IF(TableRelationships12[[#This Row],[Rank Pedro]]="High","Brown","")))</f>
        <v/>
      </c>
      <c r="V861" s="4" t="e">
        <f>MAX(INDEX(Standards!$F$2:$F$296,MATCH(B861,Standards!$B$2:$B$296,0)),INDEX(Standards!$F$2:$F$296,MATCH(C861,Standards!$B$2:$B$296,0)))</f>
        <v>#N/A</v>
      </c>
      <c r="W861" t="str">
        <f t="shared" si="41"/>
        <v>#d6bf2a</v>
      </c>
    </row>
    <row r="862" spans="1:23" x14ac:dyDescent="0.5">
      <c r="A862" s="54">
        <v>861</v>
      </c>
      <c r="B862" s="90" t="s">
        <v>633</v>
      </c>
      <c r="C862" t="s">
        <v>310</v>
      </c>
      <c r="D862" s="1"/>
      <c r="E862" s="112">
        <v>2003.02</v>
      </c>
      <c r="F862" s="112">
        <v>2023.08</v>
      </c>
      <c r="G862" s="107" t="s">
        <v>670</v>
      </c>
      <c r="H862">
        <f>INDEX('GIS-Standards'!$A$2:$A$305,MATCH(B862,'GIS-Standards'!$B$2:$B$305,0))</f>
        <v>36</v>
      </c>
      <c r="I862">
        <f>INDEX('GIS-Standards'!$A$2:$A$305,MATCH(C862,'GIS-Standards'!$B$2:$B$305,0))</f>
        <v>20</v>
      </c>
      <c r="J862" t="str">
        <f>INDEX('GIS-Standards'!$O$2:$O$305,MATCH(B862,'GIS-Standards'!$B$2:$B$305,0))</f>
        <v>ISO/TC 211</v>
      </c>
      <c r="K862" t="str">
        <f>INDEX('GIS-Standards'!$O$2:$O$305,MATCH(C862,'GIS-Standards'!$B$2:$B$305,0))</f>
        <v>ISO/TC 211</v>
      </c>
      <c r="M862" t="s">
        <v>524</v>
      </c>
      <c r="N862">
        <f>INDEX('GIS-Standards'!$I$2:$I$305,MATCH(B862,'GIS-Standards'!$B$2:$B$305,0))</f>
        <v>0</v>
      </c>
      <c r="O862" t="str">
        <f>INDEX('GIS-Standards'!$I$2:$I$305,MATCH(C862,'GIS-Standards'!$B$2:$B$305,0))</f>
        <v>08.2023</v>
      </c>
      <c r="P862" t="b">
        <f>AND(TableRelationships12[[#This Row],[Source Type]]="BIM",TableRelationships12[[#This Row],[Target Type]]="BIM")</f>
        <v>0</v>
      </c>
      <c r="Q862">
        <f t="shared" si="39"/>
        <v>6</v>
      </c>
      <c r="S862">
        <f t="shared" si="40"/>
        <v>1</v>
      </c>
      <c r="T862" s="102" t="str">
        <f>IF(TableRelationships12[[#This Row],[Rank Pedro]]="Low","linkCategory1",IF(TableRelationships12[[#This Row],[Rank Pedro]]="Medium","linkCategory2",IF(TableRelationships12[[#This Row],[Rank Pedro]]="High","linkCategory3","")))</f>
        <v/>
      </c>
      <c r="U862" s="102" t="str">
        <f>IF(TableRelationships12[[#This Row],[Rank Pedro]]="Low","Pink",IF(TableRelationships12[[#This Row],[Rank Pedro]]="Medium","Purple",IF(TableRelationships12[[#This Row],[Rank Pedro]]="High","Brown","")))</f>
        <v/>
      </c>
      <c r="V862" s="4" t="e">
        <f>MAX(INDEX(Standards!$F$2:$F$296,MATCH(B862,Standards!$B$2:$B$296,0)),INDEX(Standards!$F$2:$F$296,MATCH(C862,Standards!$B$2:$B$296,0)))</f>
        <v>#N/A</v>
      </c>
      <c r="W862" t="str">
        <f t="shared" si="41"/>
        <v>#d6bf2a</v>
      </c>
    </row>
    <row r="863" spans="1:23" x14ac:dyDescent="0.5">
      <c r="A863" s="54">
        <v>862</v>
      </c>
      <c r="B863" s="90" t="s">
        <v>633</v>
      </c>
      <c r="C863" t="s">
        <v>314</v>
      </c>
      <c r="D863" s="1"/>
      <c r="E863" s="112">
        <v>2003.05</v>
      </c>
      <c r="F863" s="112">
        <v>2020.11</v>
      </c>
      <c r="G863" s="107" t="s">
        <v>670</v>
      </c>
      <c r="H863">
        <f>INDEX('GIS-Standards'!$A$2:$A$305,MATCH(B863,'GIS-Standards'!$B$2:$B$305,0))</f>
        <v>36</v>
      </c>
      <c r="I863">
        <f>INDEX('GIS-Standards'!$A$2:$A$305,MATCH(C863,'GIS-Standards'!$B$2:$B$305,0))</f>
        <v>22</v>
      </c>
      <c r="J863" t="str">
        <f>INDEX('GIS-Standards'!$O$2:$O$305,MATCH(B863,'GIS-Standards'!$B$2:$B$305,0))</f>
        <v>ISO/TC 211</v>
      </c>
      <c r="K863" t="str">
        <f>INDEX('GIS-Standards'!$O$2:$O$305,MATCH(C863,'GIS-Standards'!$B$2:$B$305,0))</f>
        <v>ISO/TC 211</v>
      </c>
      <c r="M863" t="s">
        <v>524</v>
      </c>
      <c r="N863">
        <f>INDEX('GIS-Standards'!$I$2:$I$305,MATCH(B863,'GIS-Standards'!$B$2:$B$305,0))</f>
        <v>0</v>
      </c>
      <c r="O863" t="str">
        <f>INDEX('GIS-Standards'!$I$2:$I$305,MATCH(C863,'GIS-Standards'!$B$2:$B$305,0))</f>
        <v>12.2020</v>
      </c>
      <c r="P863" t="b">
        <f>AND(TableRelationships12[[#This Row],[Source Type]]="BIM",TableRelationships12[[#This Row],[Target Type]]="BIM")</f>
        <v>0</v>
      </c>
      <c r="Q863">
        <f t="shared" si="39"/>
        <v>6</v>
      </c>
      <c r="S863">
        <f t="shared" si="40"/>
        <v>1</v>
      </c>
      <c r="T863" s="102" t="str">
        <f>IF(TableRelationships12[[#This Row],[Rank Pedro]]="Low","linkCategory1",IF(TableRelationships12[[#This Row],[Rank Pedro]]="Medium","linkCategory2",IF(TableRelationships12[[#This Row],[Rank Pedro]]="High","linkCategory3","")))</f>
        <v/>
      </c>
      <c r="U863" s="102" t="str">
        <f>IF(TableRelationships12[[#This Row],[Rank Pedro]]="Low","Pink",IF(TableRelationships12[[#This Row],[Rank Pedro]]="Medium","Purple",IF(TableRelationships12[[#This Row],[Rank Pedro]]="High","Brown","")))</f>
        <v/>
      </c>
      <c r="V863" s="4" t="e">
        <f>MAX(INDEX(Standards!$F$2:$F$296,MATCH(B863,Standards!$B$2:$B$296,0)),INDEX(Standards!$F$2:$F$296,MATCH(C863,Standards!$B$2:$B$296,0)))</f>
        <v>#N/A</v>
      </c>
      <c r="W863" t="str">
        <f t="shared" si="41"/>
        <v>#d6bf2a</v>
      </c>
    </row>
    <row r="864" spans="1:23" x14ac:dyDescent="0.5">
      <c r="A864" s="54">
        <v>863</v>
      </c>
      <c r="B864" s="90" t="s">
        <v>633</v>
      </c>
      <c r="C864" t="s">
        <v>1041</v>
      </c>
      <c r="D864" s="1"/>
      <c r="E864" s="112">
        <v>2009.02</v>
      </c>
      <c r="F864" s="112">
        <v>2022.03</v>
      </c>
      <c r="G864" s="107" t="s">
        <v>670</v>
      </c>
      <c r="H864">
        <f>INDEX('GIS-Standards'!$A$2:$A$305,MATCH(B864,'GIS-Standards'!$B$2:$B$305,0))</f>
        <v>36</v>
      </c>
      <c r="I864">
        <f>INDEX('GIS-Standards'!$A$2:$A$305,MATCH(C864,'GIS-Standards'!$B$2:$B$305,0))</f>
        <v>23</v>
      </c>
      <c r="J864" t="str">
        <f>INDEX('GIS-Standards'!$O$2:$O$305,MATCH(B864,'GIS-Standards'!$B$2:$B$305,0))</f>
        <v>ISO/TC 211</v>
      </c>
      <c r="K864" t="str">
        <f>INDEX('GIS-Standards'!$O$2:$O$305,MATCH(C864,'GIS-Standards'!$B$2:$B$305,0))</f>
        <v>ISO/TC 211</v>
      </c>
      <c r="M864" t="s">
        <v>524</v>
      </c>
      <c r="N864">
        <f>INDEX('GIS-Standards'!$I$2:$I$305,MATCH(B864,'GIS-Standards'!$B$2:$B$305,0))</f>
        <v>0</v>
      </c>
      <c r="O864" t="str">
        <f>INDEX('GIS-Standards'!$I$2:$I$305,MATCH(C864,'GIS-Standards'!$B$2:$B$305,0))</f>
        <v>03.2022</v>
      </c>
      <c r="P864" t="b">
        <f>AND(TableRelationships12[[#This Row],[Source Type]]="BIM",TableRelationships12[[#This Row],[Target Type]]="BIM")</f>
        <v>0</v>
      </c>
      <c r="Q864">
        <f t="shared" si="39"/>
        <v>6</v>
      </c>
      <c r="S864">
        <f t="shared" si="40"/>
        <v>1</v>
      </c>
      <c r="T864" s="102" t="str">
        <f>IF(TableRelationships12[[#This Row],[Rank Pedro]]="Low","linkCategory1",IF(TableRelationships12[[#This Row],[Rank Pedro]]="Medium","linkCategory2",IF(TableRelationships12[[#This Row],[Rank Pedro]]="High","linkCategory3","")))</f>
        <v/>
      </c>
      <c r="U864" s="102" t="str">
        <f>IF(TableRelationships12[[#This Row],[Rank Pedro]]="Low","Pink",IF(TableRelationships12[[#This Row],[Rank Pedro]]="Medium","Purple",IF(TableRelationships12[[#This Row],[Rank Pedro]]="High","Brown","")))</f>
        <v/>
      </c>
      <c r="V864" s="4" t="e">
        <f>MAX(INDEX(Standards!$F$2:$F$296,MATCH(B864,Standards!$B$2:$B$296,0)),INDEX(Standards!$F$2:$F$296,MATCH(C864,Standards!$B$2:$B$296,0)))</f>
        <v>#N/A</v>
      </c>
      <c r="W864" t="str">
        <f t="shared" si="41"/>
        <v>#d6bf2a</v>
      </c>
    </row>
    <row r="865" spans="1:23" x14ac:dyDescent="0.5">
      <c r="A865" s="54">
        <v>864</v>
      </c>
      <c r="B865" s="90" t="s">
        <v>633</v>
      </c>
      <c r="C865" t="s">
        <v>320</v>
      </c>
      <c r="D865" s="1" t="s">
        <v>1100</v>
      </c>
      <c r="E865" s="112">
        <v>2005.08</v>
      </c>
      <c r="F865" s="112">
        <v>2023.06</v>
      </c>
      <c r="G865" s="107" t="s">
        <v>670</v>
      </c>
      <c r="H865">
        <f>INDEX('GIS-Standards'!$A$2:$A$305,MATCH(B865,'GIS-Standards'!$B$2:$B$305,0))</f>
        <v>36</v>
      </c>
      <c r="I865">
        <f>INDEX('GIS-Standards'!$A$2:$A$305,MATCH(C865,'GIS-Standards'!$B$2:$B$305,0))</f>
        <v>29</v>
      </c>
      <c r="J865" t="str">
        <f>INDEX('GIS-Standards'!$O$2:$O$305,MATCH(B865,'GIS-Standards'!$B$2:$B$305,0))</f>
        <v>ISO/TC 211</v>
      </c>
      <c r="K865" t="str">
        <f>INDEX('GIS-Standards'!$O$2:$O$305,MATCH(C865,'GIS-Standards'!$B$2:$B$305,0))</f>
        <v>ISO/TC 211</v>
      </c>
      <c r="M865" t="s">
        <v>524</v>
      </c>
      <c r="N865">
        <f>INDEX('GIS-Standards'!$I$2:$I$305,MATCH(B865,'GIS-Standards'!$B$2:$B$305,0))</f>
        <v>0</v>
      </c>
      <c r="O865">
        <f>INDEX('GIS-Standards'!$I$2:$I$305,MATCH(C865,'GIS-Standards'!$B$2:$B$305,0))</f>
        <v>0</v>
      </c>
      <c r="P865" t="b">
        <f>AND(TableRelationships12[[#This Row],[Source Type]]="BIM",TableRelationships12[[#This Row],[Target Type]]="BIM")</f>
        <v>0</v>
      </c>
      <c r="Q865">
        <f t="shared" si="39"/>
        <v>6</v>
      </c>
      <c r="S865">
        <f t="shared" si="40"/>
        <v>1</v>
      </c>
      <c r="T865" s="102" t="str">
        <f>IF(TableRelationships12[[#This Row],[Rank Pedro]]="Low","linkCategory1",IF(TableRelationships12[[#This Row],[Rank Pedro]]="Medium","linkCategory2",IF(TableRelationships12[[#This Row],[Rank Pedro]]="High","linkCategory3","")))</f>
        <v/>
      </c>
      <c r="U865" s="102" t="str">
        <f>IF(TableRelationships12[[#This Row],[Rank Pedro]]="Low","Pink",IF(TableRelationships12[[#This Row],[Rank Pedro]]="Medium","Purple",IF(TableRelationships12[[#This Row],[Rank Pedro]]="High","Brown","")))</f>
        <v/>
      </c>
      <c r="V865" s="4" t="e">
        <f>MAX(INDEX(Standards!$F$2:$F$296,MATCH(B865,Standards!$B$2:$B$296,0)),INDEX(Standards!$F$2:$F$296,MATCH(C865,Standards!$B$2:$B$296,0)))</f>
        <v>#N/A</v>
      </c>
      <c r="W865" t="str">
        <f t="shared" si="41"/>
        <v>#d6bf2a</v>
      </c>
    </row>
    <row r="866" spans="1:23" x14ac:dyDescent="0.5">
      <c r="A866" s="54">
        <v>865</v>
      </c>
      <c r="B866" s="90" t="s">
        <v>633</v>
      </c>
      <c r="C866" t="s">
        <v>348</v>
      </c>
      <c r="D866" s="1" t="s">
        <v>640</v>
      </c>
      <c r="E866" s="113">
        <v>2013.12</v>
      </c>
      <c r="F866" s="113">
        <v>2023.04</v>
      </c>
      <c r="G866" s="107" t="s">
        <v>670</v>
      </c>
      <c r="H866">
        <f>INDEX('GIS-Standards'!$A$2:$A$305,MATCH(B866,'GIS-Standards'!$B$2:$B$305,0))</f>
        <v>36</v>
      </c>
      <c r="I866">
        <f>INDEX('GIS-Standards'!$A$2:$A$305,MATCH(C866,'GIS-Standards'!$B$2:$B$305,0))</f>
        <v>66</v>
      </c>
      <c r="J866" t="str">
        <f>INDEX('GIS-Standards'!$O$2:$O$305,MATCH(B866,'GIS-Standards'!$B$2:$B$305,0))</f>
        <v>ISO/TC 211</v>
      </c>
      <c r="K866" t="str">
        <f>INDEX('GIS-Standards'!$O$2:$O$305,MATCH(C866,'GIS-Standards'!$B$2:$B$305,0))</f>
        <v>ISO/TC 211</v>
      </c>
      <c r="M866" t="s">
        <v>524</v>
      </c>
      <c r="N866">
        <f>INDEX('GIS-Standards'!$I$2:$I$305,MATCH(B866,'GIS-Standards'!$B$2:$B$305,0))</f>
        <v>0</v>
      </c>
      <c r="O866">
        <f>INDEX('GIS-Standards'!$I$2:$I$305,MATCH(C866,'GIS-Standards'!$B$2:$B$305,0))</f>
        <v>0</v>
      </c>
      <c r="P866" t="b">
        <f>AND(TableRelationships12[[#This Row],[Source Type]]="BIM",TableRelationships12[[#This Row],[Target Type]]="BIM")</f>
        <v>0</v>
      </c>
      <c r="Q866">
        <f t="shared" si="39"/>
        <v>6</v>
      </c>
      <c r="S866">
        <f t="shared" si="40"/>
        <v>1</v>
      </c>
      <c r="T866" s="102" t="str">
        <f>IF(TableRelationships12[[#This Row],[Rank Pedro]]="Low","linkCategory1",IF(TableRelationships12[[#This Row],[Rank Pedro]]="Medium","linkCategory2",IF(TableRelationships12[[#This Row],[Rank Pedro]]="High","linkCategory3","")))</f>
        <v/>
      </c>
      <c r="U866" s="102" t="str">
        <f>IF(TableRelationships12[[#This Row],[Rank Pedro]]="Low","Pink",IF(TableRelationships12[[#This Row],[Rank Pedro]]="Medium","Purple",IF(TableRelationships12[[#This Row],[Rank Pedro]]="High","Brown","")))</f>
        <v/>
      </c>
      <c r="V866" s="4" t="e">
        <f>MAX(INDEX(Standards!$F$2:$F$296,MATCH(B866,Standards!$B$2:$B$296,0)),INDEX(Standards!$F$2:$F$296,MATCH(C866,Standards!$B$2:$B$296,0)))</f>
        <v>#N/A</v>
      </c>
      <c r="W866" t="str">
        <f t="shared" si="41"/>
        <v>#d6bf2a</v>
      </c>
    </row>
    <row r="867" spans="1:23" x14ac:dyDescent="0.5">
      <c r="A867" s="54">
        <v>866</v>
      </c>
      <c r="B867" s="90" t="s">
        <v>633</v>
      </c>
      <c r="C867" t="s">
        <v>1655</v>
      </c>
      <c r="D867" s="1" t="s">
        <v>1297</v>
      </c>
      <c r="E867" s="112">
        <v>1994.04</v>
      </c>
      <c r="F867" s="112">
        <v>2017.06</v>
      </c>
      <c r="G867" s="107" t="s">
        <v>1654</v>
      </c>
      <c r="H867">
        <f>INDEX('GIS-Standards'!$A$2:$A$305,MATCH(B867,'GIS-Standards'!$B$2:$B$305,0))</f>
        <v>36</v>
      </c>
      <c r="I867" t="e">
        <f>INDEX('GIS-Standards'!$A$2:$A$305,MATCH(C867,'GIS-Standards'!$B$2:$B$305,0))</f>
        <v>#N/A</v>
      </c>
      <c r="J867" t="str">
        <f>INDEX('GIS-Standards'!$O$2:$O$305,MATCH(B867,'GIS-Standards'!$B$2:$B$305,0))</f>
        <v>ISO/TC 211</v>
      </c>
      <c r="K867" t="e">
        <f>INDEX('GIS-Standards'!$O$2:$O$305,MATCH(C867,'GIS-Standards'!$B$2:$B$305,0))</f>
        <v>#N/A</v>
      </c>
      <c r="M867" t="s">
        <v>525</v>
      </c>
      <c r="N867">
        <f>INDEX('GIS-Standards'!$I$2:$I$305,MATCH(B867,'GIS-Standards'!$B$2:$B$305,0))</f>
        <v>0</v>
      </c>
      <c r="O867" t="e">
        <f>INDEX('GIS-Standards'!$I$2:$I$305,MATCH(C867,'GIS-Standards'!$B$2:$B$305,0))</f>
        <v>#N/A</v>
      </c>
      <c r="P867" t="e">
        <f>AND(TableRelationships12[[#This Row],[Source Type]]="BIM",TableRelationships12[[#This Row],[Target Type]]="BIM")</f>
        <v>#N/A</v>
      </c>
      <c r="Q867">
        <f t="shared" si="39"/>
        <v>1</v>
      </c>
      <c r="S867">
        <f t="shared" si="40"/>
        <v>1</v>
      </c>
      <c r="T867" s="102" t="str">
        <f>IF(TableRelationships12[[#This Row],[Rank Pedro]]="Low","linkCategory1",IF(TableRelationships12[[#This Row],[Rank Pedro]]="Medium","linkCategory2",IF(TableRelationships12[[#This Row],[Rank Pedro]]="High","linkCategory3","")))</f>
        <v/>
      </c>
      <c r="U867" s="102" t="str">
        <f>IF(TableRelationships12[[#This Row],[Rank Pedro]]="Low","Pink",IF(TableRelationships12[[#This Row],[Rank Pedro]]="Medium","Purple",IF(TableRelationships12[[#This Row],[Rank Pedro]]="High","Brown","")))</f>
        <v/>
      </c>
      <c r="V867" s="4" t="e">
        <f>MAX(INDEX(Standards!$F$2:$F$296,MATCH(B867,Standards!$B$2:$B$296,0)),INDEX(Standards!$F$2:$F$296,MATCH(C867,Standards!$B$2:$B$296,0)))</f>
        <v>#N/A</v>
      </c>
      <c r="W867" t="str">
        <f t="shared" si="41"/>
        <v>#2f89d1</v>
      </c>
    </row>
    <row r="868" spans="1:23" x14ac:dyDescent="0.5">
      <c r="A868" s="54">
        <v>867</v>
      </c>
      <c r="B868" s="90" t="s">
        <v>633</v>
      </c>
      <c r="C868" t="s">
        <v>1655</v>
      </c>
      <c r="D868" s="1" t="s">
        <v>1298</v>
      </c>
      <c r="E868" s="112">
        <v>1995.07</v>
      </c>
      <c r="F868" s="112">
        <v>2017.06</v>
      </c>
      <c r="G868" s="107" t="s">
        <v>1654</v>
      </c>
      <c r="H868">
        <f>INDEX('GIS-Standards'!$A$2:$A$305,MATCH(B868,'GIS-Standards'!$B$2:$B$305,0))</f>
        <v>36</v>
      </c>
      <c r="I868" t="e">
        <f>INDEX('GIS-Standards'!$A$2:$A$305,MATCH(C868,'GIS-Standards'!$B$2:$B$305,0))</f>
        <v>#N/A</v>
      </c>
      <c r="J868" t="str">
        <f>INDEX('GIS-Standards'!$O$2:$O$305,MATCH(B868,'GIS-Standards'!$B$2:$B$305,0))</f>
        <v>ISO/TC 211</v>
      </c>
      <c r="K868" t="e">
        <f>INDEX('GIS-Standards'!$O$2:$O$305,MATCH(C868,'GIS-Standards'!$B$2:$B$305,0))</f>
        <v>#N/A</v>
      </c>
      <c r="M868" t="s">
        <v>525</v>
      </c>
      <c r="N868">
        <f>INDEX('GIS-Standards'!$I$2:$I$305,MATCH(B868,'GIS-Standards'!$B$2:$B$305,0))</f>
        <v>0</v>
      </c>
      <c r="O868" t="e">
        <f>INDEX('GIS-Standards'!$I$2:$I$305,MATCH(C868,'GIS-Standards'!$B$2:$B$305,0))</f>
        <v>#N/A</v>
      </c>
      <c r="P868" t="e">
        <f>AND(TableRelationships12[[#This Row],[Source Type]]="BIM",TableRelationships12[[#This Row],[Target Type]]="BIM")</f>
        <v>#N/A</v>
      </c>
      <c r="Q868">
        <f t="shared" si="39"/>
        <v>1</v>
      </c>
      <c r="S868">
        <f t="shared" si="40"/>
        <v>1</v>
      </c>
      <c r="T868" s="102" t="str">
        <f>IF(TableRelationships12[[#This Row],[Rank Pedro]]="Low","linkCategory1",IF(TableRelationships12[[#This Row],[Rank Pedro]]="Medium","linkCategory2",IF(TableRelationships12[[#This Row],[Rank Pedro]]="High","linkCategory3","")))</f>
        <v/>
      </c>
      <c r="U868" s="102" t="str">
        <f>IF(TableRelationships12[[#This Row],[Rank Pedro]]="Low","Pink",IF(TableRelationships12[[#This Row],[Rank Pedro]]="Medium","Purple",IF(TableRelationships12[[#This Row],[Rank Pedro]]="High","Brown","")))</f>
        <v/>
      </c>
      <c r="V868" s="4" t="e">
        <f>MAX(INDEX(Standards!$F$2:$F$296,MATCH(B868,Standards!$B$2:$B$296,0)),INDEX(Standards!$F$2:$F$296,MATCH(C868,Standards!$B$2:$B$296,0)))</f>
        <v>#N/A</v>
      </c>
      <c r="W868" t="str">
        <f t="shared" si="41"/>
        <v>#2f89d1</v>
      </c>
    </row>
    <row r="869" spans="1:23" x14ac:dyDescent="0.5">
      <c r="A869" s="54">
        <v>868</v>
      </c>
      <c r="B869" s="90" t="s">
        <v>633</v>
      </c>
      <c r="C869" t="s">
        <v>1655</v>
      </c>
      <c r="D869" s="1" t="s">
        <v>1299</v>
      </c>
      <c r="E869" s="112">
        <v>1997.01</v>
      </c>
      <c r="F869" s="112">
        <v>2017.06</v>
      </c>
      <c r="G869" s="107" t="s">
        <v>1654</v>
      </c>
      <c r="H869">
        <f>INDEX('GIS-Standards'!$A$2:$A$305,MATCH(B869,'GIS-Standards'!$B$2:$B$305,0))</f>
        <v>36</v>
      </c>
      <c r="I869" t="e">
        <f>INDEX('GIS-Standards'!$A$2:$A$305,MATCH(C869,'GIS-Standards'!$B$2:$B$305,0))</f>
        <v>#N/A</v>
      </c>
      <c r="J869" t="str">
        <f>INDEX('GIS-Standards'!$O$2:$O$305,MATCH(B869,'GIS-Standards'!$B$2:$B$305,0))</f>
        <v>ISO/TC 211</v>
      </c>
      <c r="K869" t="e">
        <f>INDEX('GIS-Standards'!$O$2:$O$305,MATCH(C869,'GIS-Standards'!$B$2:$B$305,0))</f>
        <v>#N/A</v>
      </c>
      <c r="M869" t="s">
        <v>525</v>
      </c>
      <c r="N869">
        <f>INDEX('GIS-Standards'!$I$2:$I$305,MATCH(B869,'GIS-Standards'!$B$2:$B$305,0))</f>
        <v>0</v>
      </c>
      <c r="O869" t="e">
        <f>INDEX('GIS-Standards'!$I$2:$I$305,MATCH(C869,'GIS-Standards'!$B$2:$B$305,0))</f>
        <v>#N/A</v>
      </c>
      <c r="P869" t="e">
        <f>AND(TableRelationships12[[#This Row],[Source Type]]="BIM",TableRelationships12[[#This Row],[Target Type]]="BIM")</f>
        <v>#N/A</v>
      </c>
      <c r="Q869">
        <f t="shared" si="39"/>
        <v>1</v>
      </c>
      <c r="S869">
        <f t="shared" si="40"/>
        <v>1</v>
      </c>
      <c r="T869" s="102" t="str">
        <f>IF(TableRelationships12[[#This Row],[Rank Pedro]]="Low","linkCategory1",IF(TableRelationships12[[#This Row],[Rank Pedro]]="Medium","linkCategory2",IF(TableRelationships12[[#This Row],[Rank Pedro]]="High","linkCategory3","")))</f>
        <v/>
      </c>
      <c r="U869" s="102" t="str">
        <f>IF(TableRelationships12[[#This Row],[Rank Pedro]]="Low","Pink",IF(TableRelationships12[[#This Row],[Rank Pedro]]="Medium","Purple",IF(TableRelationships12[[#This Row],[Rank Pedro]]="High","Brown","")))</f>
        <v/>
      </c>
      <c r="V869" s="4" t="e">
        <f>MAX(INDEX(Standards!$F$2:$F$296,MATCH(B869,Standards!$B$2:$B$296,0)),INDEX(Standards!$F$2:$F$296,MATCH(C869,Standards!$B$2:$B$296,0)))</f>
        <v>#N/A</v>
      </c>
      <c r="W869" t="str">
        <f t="shared" si="41"/>
        <v>#2f89d1</v>
      </c>
    </row>
    <row r="870" spans="1:23" x14ac:dyDescent="0.5">
      <c r="A870" s="54">
        <v>869</v>
      </c>
      <c r="B870" s="90" t="s">
        <v>633</v>
      </c>
      <c r="C870" t="s">
        <v>1300</v>
      </c>
      <c r="D870" s="1"/>
      <c r="G870" s="107"/>
      <c r="H870">
        <f>INDEX('GIS-Standards'!$A$2:$A$305,MATCH(B870,'GIS-Standards'!$B$2:$B$305,0))</f>
        <v>36</v>
      </c>
      <c r="I870" t="e">
        <f>INDEX('GIS-Standards'!$A$2:$A$305,MATCH(C870,'GIS-Standards'!$B$2:$B$305,0))</f>
        <v>#N/A</v>
      </c>
      <c r="J870" t="str">
        <f>INDEX('GIS-Standards'!$O$2:$O$305,MATCH(B870,'GIS-Standards'!$B$2:$B$305,0))</f>
        <v>ISO/TC 211</v>
      </c>
      <c r="K870" t="e">
        <f>INDEX('GIS-Standards'!$O$2:$O$305,MATCH(C870,'GIS-Standards'!$B$2:$B$305,0))</f>
        <v>#N/A</v>
      </c>
      <c r="M870" t="s">
        <v>525</v>
      </c>
      <c r="N870">
        <f>INDEX('GIS-Standards'!$I$2:$I$305,MATCH(B870,'GIS-Standards'!$B$2:$B$305,0))</f>
        <v>0</v>
      </c>
      <c r="O870" t="e">
        <f>INDEX('GIS-Standards'!$I$2:$I$305,MATCH(C870,'GIS-Standards'!$B$2:$B$305,0))</f>
        <v>#N/A</v>
      </c>
      <c r="P870" t="e">
        <f>AND(TableRelationships12[[#This Row],[Source Type]]="BIM",TableRelationships12[[#This Row],[Target Type]]="BIM")</f>
        <v>#N/A</v>
      </c>
      <c r="Q870">
        <f t="shared" si="39"/>
        <v>1</v>
      </c>
      <c r="S870">
        <f t="shared" si="40"/>
        <v>1</v>
      </c>
      <c r="T870" s="102" t="str">
        <f>IF(TableRelationships12[[#This Row],[Rank Pedro]]="Low","linkCategory1",IF(TableRelationships12[[#This Row],[Rank Pedro]]="Medium","linkCategory2",IF(TableRelationships12[[#This Row],[Rank Pedro]]="High","linkCategory3","")))</f>
        <v/>
      </c>
      <c r="U870" s="102" t="str">
        <f>IF(TableRelationships12[[#This Row],[Rank Pedro]]="Low","Pink",IF(TableRelationships12[[#This Row],[Rank Pedro]]="Medium","Purple",IF(TableRelationships12[[#This Row],[Rank Pedro]]="High","Brown","")))</f>
        <v/>
      </c>
      <c r="V870" s="4" t="e">
        <f>MAX(INDEX(Standards!$F$2:$F$296,MATCH(B870,Standards!$B$2:$B$296,0)),INDEX(Standards!$F$2:$F$296,MATCH(C870,Standards!$B$2:$B$296,0)))</f>
        <v>#N/A</v>
      </c>
      <c r="W870" t="str">
        <f t="shared" si="41"/>
        <v>#2f89d1</v>
      </c>
    </row>
    <row r="871" spans="1:23" x14ac:dyDescent="0.5">
      <c r="A871" s="54">
        <v>870</v>
      </c>
      <c r="B871" s="90" t="s">
        <v>633</v>
      </c>
      <c r="C871" t="s">
        <v>1043</v>
      </c>
      <c r="D871" s="1"/>
      <c r="E871" s="112">
        <v>2004.07</v>
      </c>
      <c r="F871" s="112">
        <v>2025.04</v>
      </c>
      <c r="G871" s="107" t="s">
        <v>670</v>
      </c>
      <c r="H871">
        <f>INDEX('GIS-Standards'!$A$2:$A$305,MATCH(B871,'GIS-Standards'!$B$2:$B$305,0))</f>
        <v>36</v>
      </c>
      <c r="I871">
        <f>INDEX('GIS-Standards'!$A$2:$A$305,MATCH(C871,'GIS-Standards'!$B$2:$B$305,0))</f>
        <v>25</v>
      </c>
      <c r="J871" t="str">
        <f>INDEX('GIS-Standards'!$O$2:$O$305,MATCH(B871,'GIS-Standards'!$B$2:$B$305,0))</f>
        <v>ISO/TC 211</v>
      </c>
      <c r="K871" t="str">
        <f>INDEX('GIS-Standards'!$O$2:$O$305,MATCH(C871,'GIS-Standards'!$B$2:$B$305,0))</f>
        <v>ISO/TC 211</v>
      </c>
      <c r="M871" t="s">
        <v>525</v>
      </c>
      <c r="N871">
        <f>INDEX('GIS-Standards'!$I$2:$I$305,MATCH(B871,'GIS-Standards'!$B$2:$B$305,0))</f>
        <v>0</v>
      </c>
      <c r="O871">
        <f>INDEX('GIS-Standards'!$I$2:$I$305,MATCH(C871,'GIS-Standards'!$B$2:$B$305,0))</f>
        <v>0</v>
      </c>
      <c r="P871" t="b">
        <f>AND(TableRelationships12[[#This Row],[Source Type]]="BIM",TableRelationships12[[#This Row],[Target Type]]="BIM")</f>
        <v>0</v>
      </c>
      <c r="Q871">
        <f t="shared" si="39"/>
        <v>1</v>
      </c>
      <c r="S871">
        <f t="shared" si="40"/>
        <v>1</v>
      </c>
      <c r="T871" s="102" t="str">
        <f>IF(TableRelationships12[[#This Row],[Rank Pedro]]="Low","linkCategory1",IF(TableRelationships12[[#This Row],[Rank Pedro]]="Medium","linkCategory2",IF(TableRelationships12[[#This Row],[Rank Pedro]]="High","linkCategory3","")))</f>
        <v/>
      </c>
      <c r="U871" s="102" t="str">
        <f>IF(TableRelationships12[[#This Row],[Rank Pedro]]="Low","Pink",IF(TableRelationships12[[#This Row],[Rank Pedro]]="Medium","Purple",IF(TableRelationships12[[#This Row],[Rank Pedro]]="High","Brown","")))</f>
        <v/>
      </c>
      <c r="V871" s="4" t="e">
        <f>MAX(INDEX(Standards!$F$2:$F$296,MATCH(B871,Standards!$B$2:$B$296,0)),INDEX(Standards!$F$2:$F$296,MATCH(C871,Standards!$B$2:$B$296,0)))</f>
        <v>#N/A</v>
      </c>
      <c r="W871" t="str">
        <f t="shared" si="41"/>
        <v>#2f89d1</v>
      </c>
    </row>
    <row r="872" spans="1:23" x14ac:dyDescent="0.5">
      <c r="A872" s="54">
        <v>871</v>
      </c>
      <c r="B872" s="90" t="s">
        <v>633</v>
      </c>
      <c r="C872" s="104" t="s">
        <v>474</v>
      </c>
      <c r="D872" s="1" t="s">
        <v>1070</v>
      </c>
      <c r="E872" s="113">
        <v>1974.12</v>
      </c>
      <c r="F872" s="113">
        <v>2022.1</v>
      </c>
      <c r="G872" s="107" t="s">
        <v>1511</v>
      </c>
      <c r="H872">
        <f>INDEX('GIS-Standards'!$A$2:$A$305,MATCH(B872,'GIS-Standards'!$B$2:$B$305,0))</f>
        <v>36</v>
      </c>
      <c r="I872" t="e">
        <f>INDEX('GIS-Standards'!$A$2:$A$305,MATCH(C872,'GIS-Standards'!$B$2:$B$305,0))</f>
        <v>#N/A</v>
      </c>
      <c r="J872" t="str">
        <f>INDEX('GIS-Standards'!$O$2:$O$305,MATCH(B872,'GIS-Standards'!$B$2:$B$305,0))</f>
        <v>ISO/TC 211</v>
      </c>
      <c r="K872" t="e">
        <f>INDEX('GIS-Standards'!$O$2:$O$305,MATCH(C872,'GIS-Standards'!$B$2:$B$305,0))</f>
        <v>#N/A</v>
      </c>
      <c r="M872" t="s">
        <v>525</v>
      </c>
      <c r="N872">
        <f>INDEX('GIS-Standards'!$I$2:$I$305,MATCH(B872,'GIS-Standards'!$B$2:$B$305,0))</f>
        <v>0</v>
      </c>
      <c r="O872" t="e">
        <f>INDEX('GIS-Standards'!$I$2:$I$305,MATCH(C872,'GIS-Standards'!$B$2:$B$305,0))</f>
        <v>#N/A</v>
      </c>
      <c r="P872" t="e">
        <f>AND(TableRelationships12[[#This Row],[Source Type]]="BIM",TableRelationships12[[#This Row],[Target Type]]="BIM")</f>
        <v>#N/A</v>
      </c>
      <c r="Q872">
        <f t="shared" si="39"/>
        <v>1</v>
      </c>
      <c r="S872">
        <f t="shared" si="40"/>
        <v>1</v>
      </c>
      <c r="T872" s="102" t="str">
        <f>IF(TableRelationships12[[#This Row],[Rank Pedro]]="Low","linkCategory1",IF(TableRelationships12[[#This Row],[Rank Pedro]]="Medium","linkCategory2",IF(TableRelationships12[[#This Row],[Rank Pedro]]="High","linkCategory3","")))</f>
        <v/>
      </c>
      <c r="U872" s="102" t="str">
        <f>IF(TableRelationships12[[#This Row],[Rank Pedro]]="Low","Pink",IF(TableRelationships12[[#This Row],[Rank Pedro]]="Medium","Purple",IF(TableRelationships12[[#This Row],[Rank Pedro]]="High","Brown","")))</f>
        <v/>
      </c>
      <c r="V872" s="4" t="e">
        <f>MAX(INDEX(Standards!$F$2:$F$296,MATCH(B872,Standards!$B$2:$B$296,0)),INDEX(Standards!$F$2:$F$296,MATCH(C872,Standards!$B$2:$B$296,0)))</f>
        <v>#N/A</v>
      </c>
      <c r="W872" t="str">
        <f t="shared" si="41"/>
        <v>#2f89d1</v>
      </c>
    </row>
    <row r="873" spans="1:23" x14ac:dyDescent="0.5">
      <c r="A873" s="54">
        <v>872</v>
      </c>
      <c r="B873" s="90" t="s">
        <v>633</v>
      </c>
      <c r="C873" t="s">
        <v>1260</v>
      </c>
      <c r="D873" s="1"/>
      <c r="E873" s="112">
        <v>1998.1</v>
      </c>
      <c r="F873" s="112">
        <v>2025.08</v>
      </c>
      <c r="G873" s="107" t="s">
        <v>1500</v>
      </c>
      <c r="H873">
        <f>INDEX('GIS-Standards'!$A$2:$A$305,MATCH(B873,'GIS-Standards'!$B$2:$B$305,0))</f>
        <v>36</v>
      </c>
      <c r="I873" t="e">
        <f>INDEX('GIS-Standards'!$A$2:$A$305,MATCH(C873,'GIS-Standards'!$B$2:$B$305,0))</f>
        <v>#N/A</v>
      </c>
      <c r="J873" t="str">
        <f>INDEX('GIS-Standards'!$O$2:$O$305,MATCH(B873,'GIS-Standards'!$B$2:$B$305,0))</f>
        <v>ISO/TC 211</v>
      </c>
      <c r="K873" t="e">
        <f>INDEX('GIS-Standards'!$O$2:$O$305,MATCH(C873,'GIS-Standards'!$B$2:$B$305,0))</f>
        <v>#N/A</v>
      </c>
      <c r="M873" t="s">
        <v>525</v>
      </c>
      <c r="N873">
        <f>INDEX('GIS-Standards'!$I$2:$I$305,MATCH(B873,'GIS-Standards'!$B$2:$B$305,0))</f>
        <v>0</v>
      </c>
      <c r="O873" t="e">
        <f>INDEX('GIS-Standards'!$I$2:$I$305,MATCH(C873,'GIS-Standards'!$B$2:$B$305,0))</f>
        <v>#N/A</v>
      </c>
      <c r="P873" t="e">
        <f>AND(TableRelationships12[[#This Row],[Source Type]]="BIM",TableRelationships12[[#This Row],[Target Type]]="BIM")</f>
        <v>#N/A</v>
      </c>
      <c r="Q873">
        <f t="shared" si="39"/>
        <v>1</v>
      </c>
      <c r="S873">
        <f t="shared" si="40"/>
        <v>1</v>
      </c>
      <c r="T873" s="102" t="str">
        <f>IF(TableRelationships12[[#This Row],[Rank Pedro]]="Low","linkCategory1",IF(TableRelationships12[[#This Row],[Rank Pedro]]="Medium","linkCategory2",IF(TableRelationships12[[#This Row],[Rank Pedro]]="High","linkCategory3","")))</f>
        <v/>
      </c>
      <c r="U873" s="102" t="str">
        <f>IF(TableRelationships12[[#This Row],[Rank Pedro]]="Low","Pink",IF(TableRelationships12[[#This Row],[Rank Pedro]]="Medium","Purple",IF(TableRelationships12[[#This Row],[Rank Pedro]]="High","Brown","")))</f>
        <v/>
      </c>
      <c r="V873" s="4" t="e">
        <f>MAX(INDEX(Standards!$F$2:$F$296,MATCH(B873,Standards!$B$2:$B$296,0)),INDEX(Standards!$F$2:$F$296,MATCH(C873,Standards!$B$2:$B$296,0)))</f>
        <v>#N/A</v>
      </c>
      <c r="W873" t="str">
        <f t="shared" si="41"/>
        <v>#2f89d1</v>
      </c>
    </row>
    <row r="874" spans="1:23" x14ac:dyDescent="0.5">
      <c r="A874" s="54">
        <v>873</v>
      </c>
      <c r="B874" s="90" t="s">
        <v>633</v>
      </c>
      <c r="C874" t="s">
        <v>1079</v>
      </c>
      <c r="D874" s="1"/>
      <c r="E874" s="112">
        <v>2005.04</v>
      </c>
      <c r="F874" s="112">
        <v>2005.04</v>
      </c>
      <c r="G874" s="107" t="s">
        <v>1502</v>
      </c>
      <c r="H874">
        <f>INDEX('GIS-Standards'!$A$2:$A$305,MATCH(B874,'GIS-Standards'!$B$2:$B$305,0))</f>
        <v>36</v>
      </c>
      <c r="I874" t="e">
        <f>INDEX('GIS-Standards'!$A$2:$A$305,MATCH(C874,'GIS-Standards'!$B$2:$B$305,0))</f>
        <v>#N/A</v>
      </c>
      <c r="J874" t="str">
        <f>INDEX('GIS-Standards'!$O$2:$O$305,MATCH(B874,'GIS-Standards'!$B$2:$B$305,0))</f>
        <v>ISO/TC 211</v>
      </c>
      <c r="K874" t="e">
        <f>INDEX('GIS-Standards'!$O$2:$O$305,MATCH(C874,'GIS-Standards'!$B$2:$B$305,0))</f>
        <v>#N/A</v>
      </c>
      <c r="M874" t="s">
        <v>525</v>
      </c>
      <c r="N874">
        <f>INDEX('GIS-Standards'!$I$2:$I$305,MATCH(B874,'GIS-Standards'!$B$2:$B$305,0))</f>
        <v>0</v>
      </c>
      <c r="O874" t="e">
        <f>INDEX('GIS-Standards'!$I$2:$I$305,MATCH(C874,'GIS-Standards'!$B$2:$B$305,0))</f>
        <v>#N/A</v>
      </c>
      <c r="P874" t="e">
        <f>AND(TableRelationships12[[#This Row],[Source Type]]="BIM",TableRelationships12[[#This Row],[Target Type]]="BIM")</f>
        <v>#N/A</v>
      </c>
      <c r="Q874">
        <f t="shared" si="39"/>
        <v>1</v>
      </c>
      <c r="S874">
        <f t="shared" si="40"/>
        <v>1</v>
      </c>
      <c r="T874" s="102" t="str">
        <f>IF(TableRelationships12[[#This Row],[Rank Pedro]]="Low","linkCategory1",IF(TableRelationships12[[#This Row],[Rank Pedro]]="Medium","linkCategory2",IF(TableRelationships12[[#This Row],[Rank Pedro]]="High","linkCategory3","")))</f>
        <v/>
      </c>
      <c r="U874" s="102" t="str">
        <f>IF(TableRelationships12[[#This Row],[Rank Pedro]]="Low","Pink",IF(TableRelationships12[[#This Row],[Rank Pedro]]="Medium","Purple",IF(TableRelationships12[[#This Row],[Rank Pedro]]="High","Brown","")))</f>
        <v/>
      </c>
      <c r="V874" s="4" t="e">
        <f>MAX(INDEX(Standards!$F$2:$F$296,MATCH(B874,Standards!$B$2:$B$296,0)),INDEX(Standards!$F$2:$F$296,MATCH(C874,Standards!$B$2:$B$296,0)))</f>
        <v>#N/A</v>
      </c>
      <c r="W874" t="str">
        <f t="shared" si="41"/>
        <v>#2f89d1</v>
      </c>
    </row>
    <row r="875" spans="1:23" x14ac:dyDescent="0.5">
      <c r="A875" s="54">
        <v>874</v>
      </c>
      <c r="B875" s="90" t="s">
        <v>633</v>
      </c>
      <c r="C875" t="s">
        <v>646</v>
      </c>
      <c r="D875" s="1" t="s">
        <v>1676</v>
      </c>
      <c r="E875" s="112">
        <v>2000.1</v>
      </c>
      <c r="F875" s="112">
        <v>2000.1</v>
      </c>
      <c r="G875" s="107" t="s">
        <v>670</v>
      </c>
      <c r="H875">
        <f>INDEX('GIS-Standards'!$A$2:$A$305,MATCH(B875,'GIS-Standards'!$B$2:$B$305,0))</f>
        <v>36</v>
      </c>
      <c r="I875">
        <f>INDEX('GIS-Standards'!$A$2:$A$305,MATCH(C875,'GIS-Standards'!$B$2:$B$305,0))</f>
        <v>89</v>
      </c>
      <c r="J875" t="str">
        <f>INDEX('GIS-Standards'!$O$2:$O$305,MATCH(B875,'GIS-Standards'!$B$2:$B$305,0))</f>
        <v>ISO/TC 211</v>
      </c>
      <c r="K875" t="str">
        <f>INDEX('GIS-Standards'!$O$2:$O$305,MATCH(C875,'GIS-Standards'!$B$2:$B$305,0))</f>
        <v>ISO/TC 211</v>
      </c>
      <c r="M875" t="s">
        <v>525</v>
      </c>
      <c r="N875">
        <f>INDEX('GIS-Standards'!$I$2:$I$305,MATCH(B875,'GIS-Standards'!$B$2:$B$305,0))</f>
        <v>0</v>
      </c>
      <c r="O875">
        <f>INDEX('GIS-Standards'!$I$2:$I$305,MATCH(C875,'GIS-Standards'!$B$2:$B$305,0))</f>
        <v>0</v>
      </c>
      <c r="P875" t="b">
        <f>AND(TableRelationships12[[#This Row],[Source Type]]="BIM",TableRelationships12[[#This Row],[Target Type]]="BIM")</f>
        <v>0</v>
      </c>
      <c r="Q875">
        <f t="shared" si="39"/>
        <v>1</v>
      </c>
      <c r="S875">
        <f t="shared" si="40"/>
        <v>1</v>
      </c>
      <c r="T875" s="102" t="str">
        <f>IF(TableRelationships12[[#This Row],[Rank Pedro]]="Low","linkCategory1",IF(TableRelationships12[[#This Row],[Rank Pedro]]="Medium","linkCategory2",IF(TableRelationships12[[#This Row],[Rank Pedro]]="High","linkCategory3","")))</f>
        <v/>
      </c>
      <c r="U875" s="102" t="str">
        <f>IF(TableRelationships12[[#This Row],[Rank Pedro]]="Low","Pink",IF(TableRelationships12[[#This Row],[Rank Pedro]]="Medium","Purple",IF(TableRelationships12[[#This Row],[Rank Pedro]]="High","Brown","")))</f>
        <v/>
      </c>
      <c r="V875" s="4" t="e">
        <f>MAX(INDEX(Standards!$F$2:$F$296,MATCH(B875,Standards!$B$2:$B$296,0)),INDEX(Standards!$F$2:$F$296,MATCH(C875,Standards!$B$2:$B$296,0)))</f>
        <v>#N/A</v>
      </c>
      <c r="W875" t="str">
        <f t="shared" si="41"/>
        <v>#2f89d1</v>
      </c>
    </row>
    <row r="876" spans="1:23" x14ac:dyDescent="0.5">
      <c r="A876" s="54">
        <v>875</v>
      </c>
      <c r="B876" s="90" t="s">
        <v>633</v>
      </c>
      <c r="C876" t="s">
        <v>1266</v>
      </c>
      <c r="D876" s="1"/>
      <c r="G876" s="107"/>
      <c r="H876">
        <f>INDEX('GIS-Standards'!$A$2:$A$305,MATCH(B876,'GIS-Standards'!$B$2:$B$305,0))</f>
        <v>36</v>
      </c>
      <c r="I876" t="e">
        <f>INDEX('GIS-Standards'!$A$2:$A$305,MATCH(C876,'GIS-Standards'!$B$2:$B$305,0))</f>
        <v>#N/A</v>
      </c>
      <c r="J876" t="str">
        <f>INDEX('GIS-Standards'!$O$2:$O$305,MATCH(B876,'GIS-Standards'!$B$2:$B$305,0))</f>
        <v>ISO/TC 211</v>
      </c>
      <c r="K876" t="e">
        <f>INDEX('GIS-Standards'!$O$2:$O$305,MATCH(C876,'GIS-Standards'!$B$2:$B$305,0))</f>
        <v>#N/A</v>
      </c>
      <c r="M876" t="s">
        <v>525</v>
      </c>
      <c r="N876">
        <f>INDEX('GIS-Standards'!$I$2:$I$305,MATCH(B876,'GIS-Standards'!$B$2:$B$305,0))</f>
        <v>0</v>
      </c>
      <c r="O876" t="e">
        <f>INDEX('GIS-Standards'!$I$2:$I$305,MATCH(C876,'GIS-Standards'!$B$2:$B$305,0))</f>
        <v>#N/A</v>
      </c>
      <c r="P876" t="e">
        <f>AND(TableRelationships12[[#This Row],[Source Type]]="BIM",TableRelationships12[[#This Row],[Target Type]]="BIM")</f>
        <v>#N/A</v>
      </c>
      <c r="Q876">
        <f t="shared" si="39"/>
        <v>1</v>
      </c>
      <c r="S876">
        <f t="shared" si="40"/>
        <v>1</v>
      </c>
      <c r="T876" s="102" t="str">
        <f>IF(TableRelationships12[[#This Row],[Rank Pedro]]="Low","linkCategory1",IF(TableRelationships12[[#This Row],[Rank Pedro]]="Medium","linkCategory2",IF(TableRelationships12[[#This Row],[Rank Pedro]]="High","linkCategory3","")))</f>
        <v/>
      </c>
      <c r="U876" s="102" t="str">
        <f>IF(TableRelationships12[[#This Row],[Rank Pedro]]="Low","Pink",IF(TableRelationships12[[#This Row],[Rank Pedro]]="Medium","Purple",IF(TableRelationships12[[#This Row],[Rank Pedro]]="High","Brown","")))</f>
        <v/>
      </c>
      <c r="V876" s="4" t="e">
        <f>MAX(INDEX(Standards!$F$2:$F$296,MATCH(B876,Standards!$B$2:$B$296,0)),INDEX(Standards!$F$2:$F$296,MATCH(C876,Standards!$B$2:$B$296,0)))</f>
        <v>#N/A</v>
      </c>
      <c r="W876" t="str">
        <f t="shared" si="41"/>
        <v>#2f89d1</v>
      </c>
    </row>
    <row r="877" spans="1:23" x14ac:dyDescent="0.5">
      <c r="A877" s="54">
        <v>876</v>
      </c>
      <c r="B877" s="90" t="s">
        <v>633</v>
      </c>
      <c r="C877" t="s">
        <v>631</v>
      </c>
      <c r="D877" s="1"/>
      <c r="E877" s="112">
        <v>2008.06</v>
      </c>
      <c r="F877" s="112">
        <v>2018.05</v>
      </c>
      <c r="G877" s="107" t="s">
        <v>670</v>
      </c>
      <c r="H877">
        <f>INDEX('GIS-Standards'!$A$2:$A$305,MATCH(B877,'GIS-Standards'!$B$2:$B$305,0))</f>
        <v>36</v>
      </c>
      <c r="I877">
        <f>INDEX('GIS-Standards'!$A$2:$A$305,MATCH(C877,'GIS-Standards'!$B$2:$B$305,0))</f>
        <v>11</v>
      </c>
      <c r="J877" t="str">
        <f>INDEX('GIS-Standards'!$O$2:$O$305,MATCH(B877,'GIS-Standards'!$B$2:$B$305,0))</f>
        <v>ISO/TC 211</v>
      </c>
      <c r="K877" t="str">
        <f>INDEX('GIS-Standards'!$O$2:$O$305,MATCH(C877,'GIS-Standards'!$B$2:$B$305,0))</f>
        <v>ISO/TC 211</v>
      </c>
      <c r="M877" t="s">
        <v>525</v>
      </c>
      <c r="N877">
        <f>INDEX('GIS-Standards'!$I$2:$I$305,MATCH(B877,'GIS-Standards'!$B$2:$B$305,0))</f>
        <v>0</v>
      </c>
      <c r="O877">
        <f>INDEX('GIS-Standards'!$I$2:$I$305,MATCH(C877,'GIS-Standards'!$B$2:$B$305,0))</f>
        <v>0</v>
      </c>
      <c r="P877" t="b">
        <f>AND(TableRelationships12[[#This Row],[Source Type]]="BIM",TableRelationships12[[#This Row],[Target Type]]="BIM")</f>
        <v>0</v>
      </c>
      <c r="Q877">
        <f t="shared" si="39"/>
        <v>1</v>
      </c>
      <c r="S877">
        <f t="shared" si="40"/>
        <v>1</v>
      </c>
      <c r="T877" s="102" t="str">
        <f>IF(TableRelationships12[[#This Row],[Rank Pedro]]="Low","linkCategory1",IF(TableRelationships12[[#This Row],[Rank Pedro]]="Medium","linkCategory2",IF(TableRelationships12[[#This Row],[Rank Pedro]]="High","linkCategory3","")))</f>
        <v/>
      </c>
      <c r="U877" s="102" t="str">
        <f>IF(TableRelationships12[[#This Row],[Rank Pedro]]="Low","Pink",IF(TableRelationships12[[#This Row],[Rank Pedro]]="Medium","Purple",IF(TableRelationships12[[#This Row],[Rank Pedro]]="High","Brown","")))</f>
        <v/>
      </c>
      <c r="V877" s="4" t="e">
        <f>MAX(INDEX(Standards!$F$2:$F$296,MATCH(B877,Standards!$B$2:$B$296,0)),INDEX(Standards!$F$2:$F$296,MATCH(C877,Standards!$B$2:$B$296,0)))</f>
        <v>#N/A</v>
      </c>
      <c r="W877" t="str">
        <f t="shared" si="41"/>
        <v>#2f89d1</v>
      </c>
    </row>
    <row r="878" spans="1:23" x14ac:dyDescent="0.5">
      <c r="A878" s="54">
        <v>877</v>
      </c>
      <c r="B878" s="90" t="s">
        <v>328</v>
      </c>
      <c r="C878" t="s">
        <v>527</v>
      </c>
      <c r="D878" s="1"/>
      <c r="E878" s="112" t="s">
        <v>956</v>
      </c>
      <c r="F878" s="112" t="s">
        <v>957</v>
      </c>
      <c r="G878" s="121" t="s">
        <v>670</v>
      </c>
      <c r="H878">
        <f>INDEX('GIS-Standards'!$A$2:$A$305,MATCH(B878,'GIS-Standards'!$B$2:$B$305,0))</f>
        <v>37</v>
      </c>
      <c r="I878" t="e">
        <f>INDEX('GIS-Standards'!$A$2:$A$305,MATCH(C878,'GIS-Standards'!$B$2:$B$305,0))</f>
        <v>#N/A</v>
      </c>
      <c r="J878" t="str">
        <f>INDEX('GIS-Standards'!$O$2:$O$305,MATCH(B878,'GIS-Standards'!$B$2:$B$305,0))</f>
        <v>ISO/TC 211</v>
      </c>
      <c r="K878" t="e">
        <f>INDEX('GIS-Standards'!$O$2:$O$305,MATCH(C878,'GIS-Standards'!$B$2:$B$305,0))</f>
        <v>#N/A</v>
      </c>
      <c r="M878" t="s">
        <v>237</v>
      </c>
      <c r="N878">
        <f>INDEX('GIS-Standards'!$I$2:$I$305,MATCH(B878,'GIS-Standards'!$B$2:$B$305,0))</f>
        <v>0</v>
      </c>
      <c r="O878" t="e">
        <f>INDEX('GIS-Standards'!$I$2:$I$305,MATCH(C878,'GIS-Standards'!$B$2:$B$305,0))</f>
        <v>#N/A</v>
      </c>
      <c r="P878" t="e">
        <f>AND(TableRelationships12[[#This Row],[Source Type]]="BIM",TableRelationships12[[#This Row],[Target Type]]="BIM")</f>
        <v>#N/A</v>
      </c>
      <c r="Q878">
        <f t="shared" si="39"/>
        <v>2</v>
      </c>
      <c r="S878">
        <f t="shared" si="40"/>
        <v>1</v>
      </c>
      <c r="T878" s="102" t="str">
        <f>IF(TableRelationships12[[#This Row],[Rank Pedro]]="Low","linkCategory1",IF(TableRelationships12[[#This Row],[Rank Pedro]]="Medium","linkCategory2",IF(TableRelationships12[[#This Row],[Rank Pedro]]="High","linkCategory3","")))</f>
        <v/>
      </c>
      <c r="U878" s="102" t="str">
        <f>IF(TableRelationships12[[#This Row],[Rank Pedro]]="Low","Pink",IF(TableRelationships12[[#This Row],[Rank Pedro]]="Medium","Purple",IF(TableRelationships12[[#This Row],[Rank Pedro]]="High","Brown","")))</f>
        <v/>
      </c>
      <c r="V878" s="4">
        <f>MAX(INDEX(Standards!$F$2:$F$296,MATCH(B878,Standards!$B$2:$B$296,0)),INDEX(Standards!$F$2:$F$296,MATCH(C878,Standards!$B$2:$B$296,0)))</f>
        <v>39173</v>
      </c>
      <c r="W878">
        <f t="shared" si="41"/>
        <v>1</v>
      </c>
    </row>
    <row r="879" spans="1:23" x14ac:dyDescent="0.5">
      <c r="A879" s="54">
        <v>878</v>
      </c>
      <c r="B879" s="90" t="s">
        <v>328</v>
      </c>
      <c r="C879" t="s">
        <v>437</v>
      </c>
      <c r="D879" s="1" t="s">
        <v>1138</v>
      </c>
      <c r="E879" s="112">
        <v>1988.03</v>
      </c>
      <c r="F879" s="112">
        <v>2023.11</v>
      </c>
      <c r="G879" s="107" t="s">
        <v>1457</v>
      </c>
      <c r="H879">
        <f>INDEX('GIS-Standards'!$A$2:$A$305,MATCH(B879,'GIS-Standards'!$B$2:$B$305,0))</f>
        <v>37</v>
      </c>
      <c r="I879" t="e">
        <f>INDEX('GIS-Standards'!$A$2:$A$305,MATCH(C879,'GIS-Standards'!$B$2:$B$305,0))</f>
        <v>#N/A</v>
      </c>
      <c r="J879" t="str">
        <f>INDEX('GIS-Standards'!$O$2:$O$305,MATCH(B879,'GIS-Standards'!$B$2:$B$305,0))</f>
        <v>ISO/TC 211</v>
      </c>
      <c r="K879" t="e">
        <f>INDEX('GIS-Standards'!$O$2:$O$305,MATCH(C879,'GIS-Standards'!$B$2:$B$305,0))</f>
        <v>#N/A</v>
      </c>
      <c r="M879" t="s">
        <v>524</v>
      </c>
      <c r="N879">
        <f>INDEX('GIS-Standards'!$I$2:$I$305,MATCH(B879,'GIS-Standards'!$B$2:$B$305,0))</f>
        <v>0</v>
      </c>
      <c r="O879" t="e">
        <f>INDEX('GIS-Standards'!$I$2:$I$305,MATCH(C879,'GIS-Standards'!$B$2:$B$305,0))</f>
        <v>#N/A</v>
      </c>
      <c r="P879" t="e">
        <f>AND(TableRelationships12[[#This Row],[Source Type]]="BIM",TableRelationships12[[#This Row],[Target Type]]="BIM")</f>
        <v>#N/A</v>
      </c>
      <c r="Q879">
        <f t="shared" si="39"/>
        <v>6</v>
      </c>
      <c r="S879">
        <f t="shared" si="40"/>
        <v>1</v>
      </c>
      <c r="T879" s="102" t="str">
        <f>IF(TableRelationships12[[#This Row],[Rank Pedro]]="Low","linkCategory1",IF(TableRelationships12[[#This Row],[Rank Pedro]]="Medium","linkCategory2",IF(TableRelationships12[[#This Row],[Rank Pedro]]="High","linkCategory3","")))</f>
        <v/>
      </c>
      <c r="U879" s="102" t="str">
        <f>IF(TableRelationships12[[#This Row],[Rank Pedro]]="Low","Pink",IF(TableRelationships12[[#This Row],[Rank Pedro]]="Medium","Purple",IF(TableRelationships12[[#This Row],[Rank Pedro]]="High","Brown","")))</f>
        <v/>
      </c>
      <c r="V879" s="4">
        <f>MAX(INDEX(Standards!$F$2:$F$296,MATCH(B879,Standards!$B$2:$B$296,0)),INDEX(Standards!$F$2:$F$296,MATCH(C879,Standards!$B$2:$B$296,0)))</f>
        <v>39173</v>
      </c>
      <c r="W879" t="str">
        <f t="shared" si="41"/>
        <v>#d6bf2a</v>
      </c>
    </row>
    <row r="880" spans="1:23" x14ac:dyDescent="0.5">
      <c r="A880" s="54">
        <v>879</v>
      </c>
      <c r="B880" s="90" t="s">
        <v>328</v>
      </c>
      <c r="C880" t="s">
        <v>296</v>
      </c>
      <c r="D880" s="1"/>
      <c r="E880" s="112">
        <v>2005.07</v>
      </c>
      <c r="F880" s="112">
        <v>2024.09</v>
      </c>
      <c r="G880" s="107" t="s">
        <v>670</v>
      </c>
      <c r="H880">
        <f>INDEX('GIS-Standards'!$A$2:$A$305,MATCH(B880,'GIS-Standards'!$B$2:$B$305,0))</f>
        <v>37</v>
      </c>
      <c r="I880">
        <f>INDEX('GIS-Standards'!$A$2:$A$305,MATCH(C880,'GIS-Standards'!$B$2:$B$305,0))</f>
        <v>12</v>
      </c>
      <c r="J880" t="str">
        <f>INDEX('GIS-Standards'!$O$2:$O$305,MATCH(B880,'GIS-Standards'!$B$2:$B$305,0))</f>
        <v>ISO/TC 211</v>
      </c>
      <c r="K880" t="str">
        <f>INDEX('GIS-Standards'!$O$2:$O$305,MATCH(C880,'GIS-Standards'!$B$2:$B$305,0))</f>
        <v>ISO/TC 211</v>
      </c>
      <c r="M880" t="s">
        <v>524</v>
      </c>
      <c r="N880">
        <f>INDEX('GIS-Standards'!$I$2:$I$305,MATCH(B880,'GIS-Standards'!$B$2:$B$305,0))</f>
        <v>0</v>
      </c>
      <c r="O880">
        <f>INDEX('GIS-Standards'!$I$2:$I$305,MATCH(C880,'GIS-Standards'!$B$2:$B$305,0))</f>
        <v>0</v>
      </c>
      <c r="P880" t="b">
        <f>AND(TableRelationships12[[#This Row],[Source Type]]="BIM",TableRelationships12[[#This Row],[Target Type]]="BIM")</f>
        <v>0</v>
      </c>
      <c r="Q880">
        <f t="shared" si="39"/>
        <v>6</v>
      </c>
      <c r="S880">
        <f t="shared" si="40"/>
        <v>1</v>
      </c>
      <c r="T880" s="102" t="str">
        <f>IF(TableRelationships12[[#This Row],[Rank Pedro]]="Low","linkCategory1",IF(TableRelationships12[[#This Row],[Rank Pedro]]="Medium","linkCategory2",IF(TableRelationships12[[#This Row],[Rank Pedro]]="High","linkCategory3","")))</f>
        <v/>
      </c>
      <c r="U880" s="102" t="str">
        <f>IF(TableRelationships12[[#This Row],[Rank Pedro]]="Low","Pink",IF(TableRelationships12[[#This Row],[Rank Pedro]]="Medium","Purple",IF(TableRelationships12[[#This Row],[Rank Pedro]]="High","Brown","")))</f>
        <v/>
      </c>
      <c r="V880" s="4">
        <f>MAX(INDEX(Standards!$F$2:$F$296,MATCH(B880,Standards!$B$2:$B$296,0)),INDEX(Standards!$F$2:$F$296,MATCH(C880,Standards!$B$2:$B$296,0)))</f>
        <v>39173</v>
      </c>
      <c r="W880" t="str">
        <f t="shared" si="41"/>
        <v>#d6bf2a</v>
      </c>
    </row>
    <row r="881" spans="1:23" x14ac:dyDescent="0.5">
      <c r="A881" s="54">
        <v>880</v>
      </c>
      <c r="B881" s="90" t="s">
        <v>328</v>
      </c>
      <c r="C881" t="s">
        <v>304</v>
      </c>
      <c r="D881" s="1"/>
      <c r="E881" s="112">
        <v>2002.09</v>
      </c>
      <c r="F881" s="112">
        <v>2006.1</v>
      </c>
      <c r="G881" s="107" t="s">
        <v>670</v>
      </c>
      <c r="H881">
        <f>INDEX('GIS-Standards'!$A$2:$A$305,MATCH(B881,'GIS-Standards'!$B$2:$B$305,0))</f>
        <v>37</v>
      </c>
      <c r="I881">
        <f>INDEX('GIS-Standards'!$A$2:$A$305,MATCH(C881,'GIS-Standards'!$B$2:$B$305,0))</f>
        <v>17</v>
      </c>
      <c r="J881" t="str">
        <f>INDEX('GIS-Standards'!$O$2:$O$305,MATCH(B881,'GIS-Standards'!$B$2:$B$305,0))</f>
        <v>ISO/TC 211</v>
      </c>
      <c r="K881" t="str">
        <f>INDEX('GIS-Standards'!$O$2:$O$305,MATCH(C881,'GIS-Standards'!$B$2:$B$305,0))</f>
        <v>ISO/TC 211</v>
      </c>
      <c r="M881" t="s">
        <v>524</v>
      </c>
      <c r="N881">
        <f>INDEX('GIS-Standards'!$I$2:$I$305,MATCH(B881,'GIS-Standards'!$B$2:$B$305,0))</f>
        <v>0</v>
      </c>
      <c r="O881" t="str">
        <f>INDEX('GIS-Standards'!$I$2:$I$305,MATCH(C881,'GIS-Standards'!$B$2:$B$305,0))</f>
        <v>06.2008</v>
      </c>
      <c r="P881" t="b">
        <f>AND(TableRelationships12[[#This Row],[Source Type]]="BIM",TableRelationships12[[#This Row],[Target Type]]="BIM")</f>
        <v>0</v>
      </c>
      <c r="Q881">
        <f t="shared" si="39"/>
        <v>6</v>
      </c>
      <c r="S881">
        <f t="shared" si="40"/>
        <v>1</v>
      </c>
      <c r="T881" s="102" t="str">
        <f>IF(TableRelationships12[[#This Row],[Rank Pedro]]="Low","linkCategory1",IF(TableRelationships12[[#This Row],[Rank Pedro]]="Medium","linkCategory2",IF(TableRelationships12[[#This Row],[Rank Pedro]]="High","linkCategory3","")))</f>
        <v/>
      </c>
      <c r="U881" s="102" t="str">
        <f>IF(TableRelationships12[[#This Row],[Rank Pedro]]="Low","Pink",IF(TableRelationships12[[#This Row],[Rank Pedro]]="Medium","Purple",IF(TableRelationships12[[#This Row],[Rank Pedro]]="High","Brown","")))</f>
        <v/>
      </c>
      <c r="V881" s="4">
        <f>MAX(INDEX(Standards!$F$2:$F$296,MATCH(B881,Standards!$B$2:$B$296,0)),INDEX(Standards!$F$2:$F$296,MATCH(C881,Standards!$B$2:$B$296,0)))</f>
        <v>39173</v>
      </c>
      <c r="W881" t="str">
        <f t="shared" si="41"/>
        <v>#d6bf2a</v>
      </c>
    </row>
    <row r="882" spans="1:23" x14ac:dyDescent="0.5">
      <c r="A882" s="54">
        <v>881</v>
      </c>
      <c r="B882" s="90" t="s">
        <v>328</v>
      </c>
      <c r="C882" t="s">
        <v>314</v>
      </c>
      <c r="D882" s="1"/>
      <c r="E882" s="112">
        <v>2003.05</v>
      </c>
      <c r="F882" s="112">
        <v>2020.11</v>
      </c>
      <c r="G882" s="107" t="s">
        <v>670</v>
      </c>
      <c r="H882">
        <f>INDEX('GIS-Standards'!$A$2:$A$305,MATCH(B882,'GIS-Standards'!$B$2:$B$305,0))</f>
        <v>37</v>
      </c>
      <c r="I882">
        <f>INDEX('GIS-Standards'!$A$2:$A$305,MATCH(C882,'GIS-Standards'!$B$2:$B$305,0))</f>
        <v>22</v>
      </c>
      <c r="J882" t="str">
        <f>INDEX('GIS-Standards'!$O$2:$O$305,MATCH(B882,'GIS-Standards'!$B$2:$B$305,0))</f>
        <v>ISO/TC 211</v>
      </c>
      <c r="K882" t="str">
        <f>INDEX('GIS-Standards'!$O$2:$O$305,MATCH(C882,'GIS-Standards'!$B$2:$B$305,0))</f>
        <v>ISO/TC 211</v>
      </c>
      <c r="M882" t="s">
        <v>524</v>
      </c>
      <c r="N882">
        <f>INDEX('GIS-Standards'!$I$2:$I$305,MATCH(B882,'GIS-Standards'!$B$2:$B$305,0))</f>
        <v>0</v>
      </c>
      <c r="O882" t="str">
        <f>INDEX('GIS-Standards'!$I$2:$I$305,MATCH(C882,'GIS-Standards'!$B$2:$B$305,0))</f>
        <v>12.2020</v>
      </c>
      <c r="P882" t="b">
        <f>AND(TableRelationships12[[#This Row],[Source Type]]="BIM",TableRelationships12[[#This Row],[Target Type]]="BIM")</f>
        <v>0</v>
      </c>
      <c r="Q882">
        <f t="shared" si="39"/>
        <v>6</v>
      </c>
      <c r="S882">
        <f t="shared" si="40"/>
        <v>1</v>
      </c>
      <c r="T882" s="102" t="str">
        <f>IF(TableRelationships12[[#This Row],[Rank Pedro]]="Low","linkCategory1",IF(TableRelationships12[[#This Row],[Rank Pedro]]="Medium","linkCategory2",IF(TableRelationships12[[#This Row],[Rank Pedro]]="High","linkCategory3","")))</f>
        <v/>
      </c>
      <c r="U882" s="102" t="str">
        <f>IF(TableRelationships12[[#This Row],[Rank Pedro]]="Low","Pink",IF(TableRelationships12[[#This Row],[Rank Pedro]]="Medium","Purple",IF(TableRelationships12[[#This Row],[Rank Pedro]]="High","Brown","")))</f>
        <v/>
      </c>
      <c r="V882" s="4">
        <f>MAX(INDEX(Standards!$F$2:$F$296,MATCH(B882,Standards!$B$2:$B$296,0)),INDEX(Standards!$F$2:$F$296,MATCH(C882,Standards!$B$2:$B$296,0)))</f>
        <v>39173</v>
      </c>
      <c r="W882" t="str">
        <f t="shared" si="41"/>
        <v>#d6bf2a</v>
      </c>
    </row>
    <row r="883" spans="1:23" x14ac:dyDescent="0.5">
      <c r="A883" s="54">
        <v>882</v>
      </c>
      <c r="B883" s="90" t="s">
        <v>328</v>
      </c>
      <c r="C883" t="s">
        <v>348</v>
      </c>
      <c r="D883" s="1" t="s">
        <v>640</v>
      </c>
      <c r="E883" s="113">
        <v>2013.12</v>
      </c>
      <c r="F883" s="113">
        <v>2023.04</v>
      </c>
      <c r="G883" s="107" t="s">
        <v>670</v>
      </c>
      <c r="H883">
        <f>INDEX('GIS-Standards'!$A$2:$A$305,MATCH(B883,'GIS-Standards'!$B$2:$B$305,0))</f>
        <v>37</v>
      </c>
      <c r="I883">
        <f>INDEX('GIS-Standards'!$A$2:$A$305,MATCH(C883,'GIS-Standards'!$B$2:$B$305,0))</f>
        <v>66</v>
      </c>
      <c r="J883" t="str">
        <f>INDEX('GIS-Standards'!$O$2:$O$305,MATCH(B883,'GIS-Standards'!$B$2:$B$305,0))</f>
        <v>ISO/TC 211</v>
      </c>
      <c r="K883" t="str">
        <f>INDEX('GIS-Standards'!$O$2:$O$305,MATCH(C883,'GIS-Standards'!$B$2:$B$305,0))</f>
        <v>ISO/TC 211</v>
      </c>
      <c r="M883" t="s">
        <v>524</v>
      </c>
      <c r="N883">
        <f>INDEX('GIS-Standards'!$I$2:$I$305,MATCH(B883,'GIS-Standards'!$B$2:$B$305,0))</f>
        <v>0</v>
      </c>
      <c r="O883">
        <f>INDEX('GIS-Standards'!$I$2:$I$305,MATCH(C883,'GIS-Standards'!$B$2:$B$305,0))</f>
        <v>0</v>
      </c>
      <c r="P883" t="b">
        <f>AND(TableRelationships12[[#This Row],[Source Type]]="BIM",TableRelationships12[[#This Row],[Target Type]]="BIM")</f>
        <v>0</v>
      </c>
      <c r="Q883">
        <f t="shared" si="39"/>
        <v>6</v>
      </c>
      <c r="S883">
        <f t="shared" si="40"/>
        <v>1</v>
      </c>
      <c r="T883" s="102" t="str">
        <f>IF(TableRelationships12[[#This Row],[Rank Pedro]]="Low","linkCategory1",IF(TableRelationships12[[#This Row],[Rank Pedro]]="Medium","linkCategory2",IF(TableRelationships12[[#This Row],[Rank Pedro]]="High","linkCategory3","")))</f>
        <v/>
      </c>
      <c r="U883" s="102" t="str">
        <f>IF(TableRelationships12[[#This Row],[Rank Pedro]]="Low","Pink",IF(TableRelationships12[[#This Row],[Rank Pedro]]="Medium","Purple",IF(TableRelationships12[[#This Row],[Rank Pedro]]="High","Brown","")))</f>
        <v/>
      </c>
      <c r="V883" s="4">
        <f>MAX(INDEX(Standards!$F$2:$F$296,MATCH(B883,Standards!$B$2:$B$296,0)),INDEX(Standards!$F$2:$F$296,MATCH(C883,Standards!$B$2:$B$296,0)))</f>
        <v>39173</v>
      </c>
      <c r="W883" t="str">
        <f t="shared" si="41"/>
        <v>#d6bf2a</v>
      </c>
    </row>
    <row r="884" spans="1:23" x14ac:dyDescent="0.5">
      <c r="A884" s="54">
        <v>883</v>
      </c>
      <c r="B884" s="90" t="s">
        <v>328</v>
      </c>
      <c r="C884" t="s">
        <v>1171</v>
      </c>
      <c r="D884" s="1" t="s">
        <v>1676</v>
      </c>
      <c r="E884" s="112">
        <v>1986.06</v>
      </c>
      <c r="F884" s="112">
        <v>2015.09</v>
      </c>
      <c r="G884" s="107" t="s">
        <v>1491</v>
      </c>
      <c r="H884">
        <f>INDEX('GIS-Standards'!$A$2:$A$305,MATCH(B884,'GIS-Standards'!$B$2:$B$305,0))</f>
        <v>37</v>
      </c>
      <c r="I884" t="e">
        <f>INDEX('GIS-Standards'!$A$2:$A$305,MATCH(C884,'GIS-Standards'!$B$2:$B$305,0))</f>
        <v>#N/A</v>
      </c>
      <c r="J884" t="str">
        <f>INDEX('GIS-Standards'!$O$2:$O$305,MATCH(B884,'GIS-Standards'!$B$2:$B$305,0))</f>
        <v>ISO/TC 211</v>
      </c>
      <c r="K884" t="e">
        <f>INDEX('GIS-Standards'!$O$2:$O$305,MATCH(C884,'GIS-Standards'!$B$2:$B$305,0))</f>
        <v>#N/A</v>
      </c>
      <c r="M884" t="s">
        <v>525</v>
      </c>
      <c r="N884">
        <f>INDEX('GIS-Standards'!$I$2:$I$305,MATCH(B884,'GIS-Standards'!$B$2:$B$305,0))</f>
        <v>0</v>
      </c>
      <c r="O884" t="e">
        <f>INDEX('GIS-Standards'!$I$2:$I$305,MATCH(C884,'GIS-Standards'!$B$2:$B$305,0))</f>
        <v>#N/A</v>
      </c>
      <c r="P884" t="e">
        <f>AND(TableRelationships12[[#This Row],[Source Type]]="BIM",TableRelationships12[[#This Row],[Target Type]]="BIM")</f>
        <v>#N/A</v>
      </c>
      <c r="Q884">
        <f t="shared" si="39"/>
        <v>1</v>
      </c>
      <c r="S884">
        <f t="shared" si="40"/>
        <v>1</v>
      </c>
      <c r="T884" s="102" t="str">
        <f>IF(TableRelationships12[[#This Row],[Rank Pedro]]="Low","linkCategory1",IF(TableRelationships12[[#This Row],[Rank Pedro]]="Medium","linkCategory2",IF(TableRelationships12[[#This Row],[Rank Pedro]]="High","linkCategory3","")))</f>
        <v/>
      </c>
      <c r="U884" s="102" t="str">
        <f>IF(TableRelationships12[[#This Row],[Rank Pedro]]="Low","Pink",IF(TableRelationships12[[#This Row],[Rank Pedro]]="Medium","Purple",IF(TableRelationships12[[#This Row],[Rank Pedro]]="High","Brown","")))</f>
        <v/>
      </c>
      <c r="V884" s="4" t="e">
        <f>MAX(INDEX(Standards!$F$2:$F$296,MATCH(B884,Standards!$B$2:$B$296,0)),INDEX(Standards!$F$2:$F$296,MATCH(C884,Standards!$B$2:$B$296,0)))</f>
        <v>#N/A</v>
      </c>
      <c r="W884" t="str">
        <f t="shared" si="41"/>
        <v>#2f89d1</v>
      </c>
    </row>
    <row r="885" spans="1:23" x14ac:dyDescent="0.5">
      <c r="A885" s="54">
        <v>884</v>
      </c>
      <c r="B885" s="90" t="s">
        <v>328</v>
      </c>
      <c r="C885" t="s">
        <v>293</v>
      </c>
      <c r="D885" s="1"/>
      <c r="E885" s="112">
        <v>2002.07</v>
      </c>
      <c r="F885" s="112">
        <v>2014.11</v>
      </c>
      <c r="G885" s="107" t="s">
        <v>670</v>
      </c>
      <c r="H885">
        <f>INDEX('GIS-Standards'!$A$2:$A$305,MATCH(B885,'GIS-Standards'!$B$2:$B$305,0))</f>
        <v>37</v>
      </c>
      <c r="I885">
        <f>INDEX('GIS-Standards'!$A$2:$A$305,MATCH(C885,'GIS-Standards'!$B$2:$B$305,0))</f>
        <v>10</v>
      </c>
      <c r="J885" t="str">
        <f>INDEX('GIS-Standards'!$O$2:$O$305,MATCH(B885,'GIS-Standards'!$B$2:$B$305,0))</f>
        <v>ISO/TC 211</v>
      </c>
      <c r="K885" t="str">
        <f>INDEX('GIS-Standards'!$O$2:$O$305,MATCH(C885,'GIS-Standards'!$B$2:$B$305,0))</f>
        <v>ISO/TC 211</v>
      </c>
      <c r="M885" t="s">
        <v>525</v>
      </c>
      <c r="N885">
        <f>INDEX('GIS-Standards'!$I$2:$I$305,MATCH(B885,'GIS-Standards'!$B$2:$B$305,0))</f>
        <v>0</v>
      </c>
      <c r="O885">
        <f>INDEX('GIS-Standards'!$I$2:$I$305,MATCH(C885,'GIS-Standards'!$B$2:$B$305,0))</f>
        <v>0</v>
      </c>
      <c r="P885" t="b">
        <f>AND(TableRelationships12[[#This Row],[Source Type]]="BIM",TableRelationships12[[#This Row],[Target Type]]="BIM")</f>
        <v>0</v>
      </c>
      <c r="Q885">
        <f t="shared" si="39"/>
        <v>1</v>
      </c>
      <c r="S885">
        <f t="shared" si="40"/>
        <v>1</v>
      </c>
      <c r="T885" s="102" t="str">
        <f>IF(TableRelationships12[[#This Row],[Rank Pedro]]="Low","linkCategory1",IF(TableRelationships12[[#This Row],[Rank Pedro]]="Medium","linkCategory2",IF(TableRelationships12[[#This Row],[Rank Pedro]]="High","linkCategory3","")))</f>
        <v/>
      </c>
      <c r="U885" s="102" t="str">
        <f>IF(TableRelationships12[[#This Row],[Rank Pedro]]="Low","Pink",IF(TableRelationships12[[#This Row],[Rank Pedro]]="Medium","Purple",IF(TableRelationships12[[#This Row],[Rank Pedro]]="High","Brown","")))</f>
        <v/>
      </c>
      <c r="V885" s="4">
        <f>MAX(INDEX(Standards!$F$2:$F$296,MATCH(B885,Standards!$B$2:$B$296,0)),INDEX(Standards!$F$2:$F$296,MATCH(C885,Standards!$B$2:$B$296,0)))</f>
        <v>39173</v>
      </c>
      <c r="W885" t="str">
        <f t="shared" si="41"/>
        <v>#2f89d1</v>
      </c>
    </row>
    <row r="886" spans="1:23" x14ac:dyDescent="0.5">
      <c r="A886" s="54">
        <v>885</v>
      </c>
      <c r="B886" s="90" t="s">
        <v>328</v>
      </c>
      <c r="C886" t="s">
        <v>306</v>
      </c>
      <c r="D886" s="1"/>
      <c r="E886" s="112">
        <v>2005.06</v>
      </c>
      <c r="F886" s="112">
        <v>2025.07</v>
      </c>
      <c r="G886" s="107" t="s">
        <v>670</v>
      </c>
      <c r="H886">
        <f>INDEX('GIS-Standards'!$A$2:$A$305,MATCH(B886,'GIS-Standards'!$B$2:$B$305,0))</f>
        <v>37</v>
      </c>
      <c r="I886">
        <f>INDEX('GIS-Standards'!$A$2:$A$305,MATCH(C886,'GIS-Standards'!$B$2:$B$305,0))</f>
        <v>18</v>
      </c>
      <c r="J886" t="str">
        <f>INDEX('GIS-Standards'!$O$2:$O$305,MATCH(B886,'GIS-Standards'!$B$2:$B$305,0))</f>
        <v>ISO/TC 211</v>
      </c>
      <c r="K886" t="str">
        <f>INDEX('GIS-Standards'!$O$2:$O$305,MATCH(C886,'GIS-Standards'!$B$2:$B$305,0))</f>
        <v>ISO/TC 211</v>
      </c>
      <c r="M886" t="s">
        <v>525</v>
      </c>
      <c r="N886">
        <f>INDEX('GIS-Standards'!$I$2:$I$305,MATCH(B886,'GIS-Standards'!$B$2:$B$305,0))</f>
        <v>0</v>
      </c>
      <c r="O886">
        <f>INDEX('GIS-Standards'!$I$2:$I$305,MATCH(C886,'GIS-Standards'!$B$2:$B$305,0))</f>
        <v>0</v>
      </c>
      <c r="P886" t="b">
        <f>AND(TableRelationships12[[#This Row],[Source Type]]="BIM",TableRelationships12[[#This Row],[Target Type]]="BIM")</f>
        <v>0</v>
      </c>
      <c r="Q886">
        <f t="shared" si="39"/>
        <v>1</v>
      </c>
      <c r="S886">
        <f t="shared" si="40"/>
        <v>1</v>
      </c>
      <c r="T886" s="102" t="str">
        <f>IF(TableRelationships12[[#This Row],[Rank Pedro]]="Low","linkCategory1",IF(TableRelationships12[[#This Row],[Rank Pedro]]="Medium","linkCategory2",IF(TableRelationships12[[#This Row],[Rank Pedro]]="High","linkCategory3","")))</f>
        <v/>
      </c>
      <c r="U886" s="102" t="str">
        <f>IF(TableRelationships12[[#This Row],[Rank Pedro]]="Low","Pink",IF(TableRelationships12[[#This Row],[Rank Pedro]]="Medium","Purple",IF(TableRelationships12[[#This Row],[Rank Pedro]]="High","Brown","")))</f>
        <v/>
      </c>
      <c r="V886" s="4">
        <f>MAX(INDEX(Standards!$F$2:$F$296,MATCH(B886,Standards!$B$2:$B$296,0)),INDEX(Standards!$F$2:$F$296,MATCH(C886,Standards!$B$2:$B$296,0)))</f>
        <v>39173</v>
      </c>
      <c r="W886" t="str">
        <f t="shared" si="41"/>
        <v>#2f89d1</v>
      </c>
    </row>
    <row r="887" spans="1:23" x14ac:dyDescent="0.5">
      <c r="A887" s="54">
        <v>886</v>
      </c>
      <c r="B887" s="90" t="s">
        <v>328</v>
      </c>
      <c r="C887" t="s">
        <v>308</v>
      </c>
      <c r="D887" s="1"/>
      <c r="E887" s="112">
        <v>2005.02</v>
      </c>
      <c r="F887" s="112">
        <v>2016.12</v>
      </c>
      <c r="G887" s="107" t="s">
        <v>670</v>
      </c>
      <c r="H887">
        <f>INDEX('GIS-Standards'!$A$2:$A$305,MATCH(B887,'GIS-Standards'!$B$2:$B$305,0))</f>
        <v>37</v>
      </c>
      <c r="I887">
        <f>INDEX('GIS-Standards'!$A$2:$A$305,MATCH(C887,'GIS-Standards'!$B$2:$B$305,0))</f>
        <v>19</v>
      </c>
      <c r="J887" t="str">
        <f>INDEX('GIS-Standards'!$O$2:$O$305,MATCH(B887,'GIS-Standards'!$B$2:$B$305,0))</f>
        <v>ISO/TC 211</v>
      </c>
      <c r="K887" t="str">
        <f>INDEX('GIS-Standards'!$O$2:$O$305,MATCH(C887,'GIS-Standards'!$B$2:$B$305,0))</f>
        <v>ISO/TC 211</v>
      </c>
      <c r="M887" t="s">
        <v>525</v>
      </c>
      <c r="N887">
        <f>INDEX('GIS-Standards'!$I$2:$I$305,MATCH(B887,'GIS-Standards'!$B$2:$B$305,0))</f>
        <v>0</v>
      </c>
      <c r="O887">
        <f>INDEX('GIS-Standards'!$I$2:$I$305,MATCH(C887,'GIS-Standards'!$B$2:$B$305,0))</f>
        <v>0</v>
      </c>
      <c r="P887" t="b">
        <f>AND(TableRelationships12[[#This Row],[Source Type]]="BIM",TableRelationships12[[#This Row],[Target Type]]="BIM")</f>
        <v>0</v>
      </c>
      <c r="Q887">
        <f t="shared" si="39"/>
        <v>1</v>
      </c>
      <c r="S887">
        <f t="shared" si="40"/>
        <v>1</v>
      </c>
      <c r="T887" s="102" t="str">
        <f>IF(TableRelationships12[[#This Row],[Rank Pedro]]="Low","linkCategory1",IF(TableRelationships12[[#This Row],[Rank Pedro]]="Medium","linkCategory2",IF(TableRelationships12[[#This Row],[Rank Pedro]]="High","linkCategory3","")))</f>
        <v/>
      </c>
      <c r="U887" s="102" t="str">
        <f>IF(TableRelationships12[[#This Row],[Rank Pedro]]="Low","Pink",IF(TableRelationships12[[#This Row],[Rank Pedro]]="Medium","Purple",IF(TableRelationships12[[#This Row],[Rank Pedro]]="High","Brown","")))</f>
        <v/>
      </c>
      <c r="V887" s="4">
        <f>MAX(INDEX(Standards!$F$2:$F$296,MATCH(B887,Standards!$B$2:$B$296,0)),INDEX(Standards!$F$2:$F$296,MATCH(C887,Standards!$B$2:$B$296,0)))</f>
        <v>39173</v>
      </c>
      <c r="W887" t="str">
        <f t="shared" si="41"/>
        <v>#2f89d1</v>
      </c>
    </row>
    <row r="888" spans="1:23" x14ac:dyDescent="0.5">
      <c r="A888" s="54">
        <v>887</v>
      </c>
      <c r="B888" s="90" t="s">
        <v>328</v>
      </c>
      <c r="C888" t="s">
        <v>310</v>
      </c>
      <c r="D888" s="1"/>
      <c r="E888" s="112">
        <v>2003.02</v>
      </c>
      <c r="F888" s="112">
        <v>2023.08</v>
      </c>
      <c r="G888" s="107" t="s">
        <v>670</v>
      </c>
      <c r="H888">
        <f>INDEX('GIS-Standards'!$A$2:$A$305,MATCH(B888,'GIS-Standards'!$B$2:$B$305,0))</f>
        <v>37</v>
      </c>
      <c r="I888">
        <f>INDEX('GIS-Standards'!$A$2:$A$305,MATCH(C888,'GIS-Standards'!$B$2:$B$305,0))</f>
        <v>20</v>
      </c>
      <c r="J888" t="str">
        <f>INDEX('GIS-Standards'!$O$2:$O$305,MATCH(B888,'GIS-Standards'!$B$2:$B$305,0))</f>
        <v>ISO/TC 211</v>
      </c>
      <c r="K888" t="str">
        <f>INDEX('GIS-Standards'!$O$2:$O$305,MATCH(C888,'GIS-Standards'!$B$2:$B$305,0))</f>
        <v>ISO/TC 211</v>
      </c>
      <c r="M888" t="s">
        <v>525</v>
      </c>
      <c r="N888">
        <f>INDEX('GIS-Standards'!$I$2:$I$305,MATCH(B888,'GIS-Standards'!$B$2:$B$305,0))</f>
        <v>0</v>
      </c>
      <c r="O888" t="str">
        <f>INDEX('GIS-Standards'!$I$2:$I$305,MATCH(C888,'GIS-Standards'!$B$2:$B$305,0))</f>
        <v>08.2023</v>
      </c>
      <c r="P888" t="b">
        <f>AND(TableRelationships12[[#This Row],[Source Type]]="BIM",TableRelationships12[[#This Row],[Target Type]]="BIM")</f>
        <v>0</v>
      </c>
      <c r="Q888">
        <f t="shared" si="39"/>
        <v>1</v>
      </c>
      <c r="S888">
        <f t="shared" si="40"/>
        <v>1</v>
      </c>
      <c r="T888" s="102" t="str">
        <f>IF(TableRelationships12[[#This Row],[Rank Pedro]]="Low","linkCategory1",IF(TableRelationships12[[#This Row],[Rank Pedro]]="Medium","linkCategory2",IF(TableRelationships12[[#This Row],[Rank Pedro]]="High","linkCategory3","")))</f>
        <v/>
      </c>
      <c r="U888" s="102" t="str">
        <f>IF(TableRelationships12[[#This Row],[Rank Pedro]]="Low","Pink",IF(TableRelationships12[[#This Row],[Rank Pedro]]="Medium","Purple",IF(TableRelationships12[[#This Row],[Rank Pedro]]="High","Brown","")))</f>
        <v/>
      </c>
      <c r="V888" s="4">
        <f>MAX(INDEX(Standards!$F$2:$F$296,MATCH(B888,Standards!$B$2:$B$296,0)),INDEX(Standards!$F$2:$F$296,MATCH(C888,Standards!$B$2:$B$296,0)))</f>
        <v>39173</v>
      </c>
      <c r="W888" t="str">
        <f t="shared" si="41"/>
        <v>#2f89d1</v>
      </c>
    </row>
    <row r="889" spans="1:23" x14ac:dyDescent="0.5">
      <c r="A889" s="54">
        <v>888</v>
      </c>
      <c r="B889" s="90" t="s">
        <v>328</v>
      </c>
      <c r="C889" t="s">
        <v>312</v>
      </c>
      <c r="D889" s="1"/>
      <c r="E889" s="112">
        <v>2003.1</v>
      </c>
      <c r="F889" s="112">
        <v>2019.02</v>
      </c>
      <c r="G889" s="107" t="s">
        <v>670</v>
      </c>
      <c r="H889">
        <f>INDEX('GIS-Standards'!$A$2:$A$305,MATCH(B889,'GIS-Standards'!$B$2:$B$305,0))</f>
        <v>37</v>
      </c>
      <c r="I889">
        <f>INDEX('GIS-Standards'!$A$2:$A$305,MATCH(C889,'GIS-Standards'!$B$2:$B$305,0))</f>
        <v>21</v>
      </c>
      <c r="J889" t="str">
        <f>INDEX('GIS-Standards'!$O$2:$O$305,MATCH(B889,'GIS-Standards'!$B$2:$B$305,0))</f>
        <v>ISO/TC 211</v>
      </c>
      <c r="K889" t="str">
        <f>INDEX('GIS-Standards'!$O$2:$O$305,MATCH(C889,'GIS-Standards'!$B$2:$B$305,0))</f>
        <v>ISO/TC 211</v>
      </c>
      <c r="M889" t="s">
        <v>525</v>
      </c>
      <c r="N889">
        <f>INDEX('GIS-Standards'!$I$2:$I$305,MATCH(B889,'GIS-Standards'!$B$2:$B$305,0))</f>
        <v>0</v>
      </c>
      <c r="O889">
        <f>INDEX('GIS-Standards'!$I$2:$I$305,MATCH(C889,'GIS-Standards'!$B$2:$B$305,0))</f>
        <v>0</v>
      </c>
      <c r="P889" t="b">
        <f>AND(TableRelationships12[[#This Row],[Source Type]]="BIM",TableRelationships12[[#This Row],[Target Type]]="BIM")</f>
        <v>0</v>
      </c>
      <c r="Q889">
        <f t="shared" si="39"/>
        <v>1</v>
      </c>
      <c r="S889">
        <f t="shared" si="40"/>
        <v>1</v>
      </c>
      <c r="T889" s="102" t="str">
        <f>IF(TableRelationships12[[#This Row],[Rank Pedro]]="Low","linkCategory1",IF(TableRelationships12[[#This Row],[Rank Pedro]]="Medium","linkCategory2",IF(TableRelationships12[[#This Row],[Rank Pedro]]="High","linkCategory3","")))</f>
        <v/>
      </c>
      <c r="U889" s="102" t="str">
        <f>IF(TableRelationships12[[#This Row],[Rank Pedro]]="Low","Pink",IF(TableRelationships12[[#This Row],[Rank Pedro]]="Medium","Purple",IF(TableRelationships12[[#This Row],[Rank Pedro]]="High","Brown","")))</f>
        <v/>
      </c>
      <c r="V889" s="4">
        <f>MAX(INDEX(Standards!$F$2:$F$296,MATCH(B889,Standards!$B$2:$B$296,0)),INDEX(Standards!$F$2:$F$296,MATCH(C889,Standards!$B$2:$B$296,0)))</f>
        <v>39173</v>
      </c>
      <c r="W889" t="str">
        <f t="shared" si="41"/>
        <v>#2f89d1</v>
      </c>
    </row>
    <row r="890" spans="1:23" x14ac:dyDescent="0.5">
      <c r="A890" s="54">
        <v>889</v>
      </c>
      <c r="B890" s="90" t="s">
        <v>328</v>
      </c>
      <c r="C890" t="s">
        <v>1042</v>
      </c>
      <c r="D890" s="1"/>
      <c r="E890" s="112">
        <v>2016.08</v>
      </c>
      <c r="F890" s="112">
        <v>2023.08</v>
      </c>
      <c r="G890" s="107" t="s">
        <v>670</v>
      </c>
      <c r="H890">
        <f>INDEX('GIS-Standards'!$A$2:$A$305,MATCH(B890,'GIS-Standards'!$B$2:$B$305,0))</f>
        <v>37</v>
      </c>
      <c r="I890">
        <f>INDEX('GIS-Standards'!$A$2:$A$305,MATCH(C890,'GIS-Standards'!$B$2:$B$305,0))</f>
        <v>24</v>
      </c>
      <c r="J890" t="str">
        <f>INDEX('GIS-Standards'!$O$2:$O$305,MATCH(B890,'GIS-Standards'!$B$2:$B$305,0))</f>
        <v>ISO/TC 211</v>
      </c>
      <c r="K890" t="str">
        <f>INDEX('GIS-Standards'!$O$2:$O$305,MATCH(C890,'GIS-Standards'!$B$2:$B$305,0))</f>
        <v>ISO/TC 211</v>
      </c>
      <c r="M890" t="s">
        <v>525</v>
      </c>
      <c r="N890">
        <f>INDEX('GIS-Standards'!$I$2:$I$305,MATCH(B890,'GIS-Standards'!$B$2:$B$305,0))</f>
        <v>0</v>
      </c>
      <c r="O890">
        <f>INDEX('GIS-Standards'!$I$2:$I$305,MATCH(C890,'GIS-Standards'!$B$2:$B$305,0))</f>
        <v>0</v>
      </c>
      <c r="P890" t="b">
        <f>AND(TableRelationships12[[#This Row],[Source Type]]="BIM",TableRelationships12[[#This Row],[Target Type]]="BIM")</f>
        <v>0</v>
      </c>
      <c r="Q890">
        <f t="shared" si="39"/>
        <v>1</v>
      </c>
      <c r="S890">
        <f t="shared" si="40"/>
        <v>1</v>
      </c>
      <c r="T890" s="102" t="str">
        <f>IF(TableRelationships12[[#This Row],[Rank Pedro]]="Low","linkCategory1",IF(TableRelationships12[[#This Row],[Rank Pedro]]="Medium","linkCategory2",IF(TableRelationships12[[#This Row],[Rank Pedro]]="High","linkCategory3","")))</f>
        <v/>
      </c>
      <c r="U890" s="102" t="str">
        <f>IF(TableRelationships12[[#This Row],[Rank Pedro]]="Low","Pink",IF(TableRelationships12[[#This Row],[Rank Pedro]]="Medium","Purple",IF(TableRelationships12[[#This Row],[Rank Pedro]]="High","Brown","")))</f>
        <v/>
      </c>
      <c r="V890" s="4" t="e">
        <f>MAX(INDEX(Standards!$F$2:$F$296,MATCH(B890,Standards!$B$2:$B$296,0)),INDEX(Standards!$F$2:$F$296,MATCH(C890,Standards!$B$2:$B$296,0)))</f>
        <v>#N/A</v>
      </c>
      <c r="W890" t="str">
        <f t="shared" si="41"/>
        <v>#2f89d1</v>
      </c>
    </row>
    <row r="891" spans="1:23" x14ac:dyDescent="0.5">
      <c r="A891" s="54">
        <v>890</v>
      </c>
      <c r="B891" s="90" t="s">
        <v>328</v>
      </c>
      <c r="C891" t="s">
        <v>1044</v>
      </c>
      <c r="D891" s="1"/>
      <c r="E891" s="112">
        <v>2005.06</v>
      </c>
      <c r="F891" s="112">
        <v>2012.12</v>
      </c>
      <c r="G891" s="107" t="s">
        <v>670</v>
      </c>
      <c r="H891">
        <f>INDEX('GIS-Standards'!$A$2:$A$305,MATCH(B891,'GIS-Standards'!$B$2:$B$305,0))</f>
        <v>37</v>
      </c>
      <c r="I891">
        <f>INDEX('GIS-Standards'!$A$2:$A$305,MATCH(C891,'GIS-Standards'!$B$2:$B$305,0))</f>
        <v>26</v>
      </c>
      <c r="J891" t="str">
        <f>INDEX('GIS-Standards'!$O$2:$O$305,MATCH(B891,'GIS-Standards'!$B$2:$B$305,0))</f>
        <v>ISO/TC 211</v>
      </c>
      <c r="K891" t="str">
        <f>INDEX('GIS-Standards'!$O$2:$O$305,MATCH(C891,'GIS-Standards'!$B$2:$B$305,0))</f>
        <v>ISO/TC 211</v>
      </c>
      <c r="M891" t="s">
        <v>525</v>
      </c>
      <c r="N891">
        <f>INDEX('GIS-Standards'!$I$2:$I$305,MATCH(B891,'GIS-Standards'!$B$2:$B$305,0))</f>
        <v>0</v>
      </c>
      <c r="O891">
        <f>INDEX('GIS-Standards'!$I$2:$I$305,MATCH(C891,'GIS-Standards'!$B$2:$B$305,0))</f>
        <v>0</v>
      </c>
      <c r="P891" t="b">
        <f>AND(TableRelationships12[[#This Row],[Source Type]]="BIM",TableRelationships12[[#This Row],[Target Type]]="BIM")</f>
        <v>0</v>
      </c>
      <c r="Q891">
        <f t="shared" si="39"/>
        <v>1</v>
      </c>
      <c r="S891">
        <f t="shared" si="40"/>
        <v>1</v>
      </c>
      <c r="T891" s="102" t="str">
        <f>IF(TableRelationships12[[#This Row],[Rank Pedro]]="Low","linkCategory1",IF(TableRelationships12[[#This Row],[Rank Pedro]]="Medium","linkCategory2",IF(TableRelationships12[[#This Row],[Rank Pedro]]="High","linkCategory3","")))</f>
        <v/>
      </c>
      <c r="U891" s="102" t="str">
        <f>IF(TableRelationships12[[#This Row],[Rank Pedro]]="Low","Pink",IF(TableRelationships12[[#This Row],[Rank Pedro]]="Medium","Purple",IF(TableRelationships12[[#This Row],[Rank Pedro]]="High","Brown","")))</f>
        <v/>
      </c>
      <c r="V891" s="4" t="e">
        <f>MAX(INDEX(Standards!$F$2:$F$296,MATCH(B891,Standards!$B$2:$B$296,0)),INDEX(Standards!$F$2:$F$296,MATCH(C891,Standards!$B$2:$B$296,0)))</f>
        <v>#N/A</v>
      </c>
      <c r="W891" t="str">
        <f t="shared" si="41"/>
        <v>#2f89d1</v>
      </c>
    </row>
    <row r="892" spans="1:23" x14ac:dyDescent="0.5">
      <c r="A892" s="54">
        <v>891</v>
      </c>
      <c r="B892" s="90" t="s">
        <v>328</v>
      </c>
      <c r="C892" t="s">
        <v>320</v>
      </c>
      <c r="D892" s="1" t="s">
        <v>1100</v>
      </c>
      <c r="E892" s="112">
        <v>2005.08</v>
      </c>
      <c r="F892" s="112">
        <v>2023.06</v>
      </c>
      <c r="G892" s="107" t="s">
        <v>670</v>
      </c>
      <c r="H892">
        <f>INDEX('GIS-Standards'!$A$2:$A$305,MATCH(B892,'GIS-Standards'!$B$2:$B$305,0))</f>
        <v>37</v>
      </c>
      <c r="I892">
        <f>INDEX('GIS-Standards'!$A$2:$A$305,MATCH(C892,'GIS-Standards'!$B$2:$B$305,0))</f>
        <v>29</v>
      </c>
      <c r="J892" t="str">
        <f>INDEX('GIS-Standards'!$O$2:$O$305,MATCH(B892,'GIS-Standards'!$B$2:$B$305,0))</f>
        <v>ISO/TC 211</v>
      </c>
      <c r="K892" t="str">
        <f>INDEX('GIS-Standards'!$O$2:$O$305,MATCH(C892,'GIS-Standards'!$B$2:$B$305,0))</f>
        <v>ISO/TC 211</v>
      </c>
      <c r="M892" t="s">
        <v>525</v>
      </c>
      <c r="N892">
        <f>INDEX('GIS-Standards'!$I$2:$I$305,MATCH(B892,'GIS-Standards'!$B$2:$B$305,0))</f>
        <v>0</v>
      </c>
      <c r="O892">
        <f>INDEX('GIS-Standards'!$I$2:$I$305,MATCH(C892,'GIS-Standards'!$B$2:$B$305,0))</f>
        <v>0</v>
      </c>
      <c r="P892" t="b">
        <f>AND(TableRelationships12[[#This Row],[Source Type]]="BIM",TableRelationships12[[#This Row],[Target Type]]="BIM")</f>
        <v>0</v>
      </c>
      <c r="Q892">
        <f t="shared" si="39"/>
        <v>1</v>
      </c>
      <c r="S892">
        <f t="shared" si="40"/>
        <v>1</v>
      </c>
      <c r="T892" s="102" t="str">
        <f>IF(TableRelationships12[[#This Row],[Rank Pedro]]="Low","linkCategory1",IF(TableRelationships12[[#This Row],[Rank Pedro]]="Medium","linkCategory2",IF(TableRelationships12[[#This Row],[Rank Pedro]]="High","linkCategory3","")))</f>
        <v/>
      </c>
      <c r="U892" s="102" t="str">
        <f>IF(TableRelationships12[[#This Row],[Rank Pedro]]="Low","Pink",IF(TableRelationships12[[#This Row],[Rank Pedro]]="Medium","Purple",IF(TableRelationships12[[#This Row],[Rank Pedro]]="High","Brown","")))</f>
        <v/>
      </c>
      <c r="V892" s="4">
        <f>MAX(INDEX(Standards!$F$2:$F$296,MATCH(B892,Standards!$B$2:$B$296,0)),INDEX(Standards!$F$2:$F$296,MATCH(C892,Standards!$B$2:$B$296,0)))</f>
        <v>39173</v>
      </c>
      <c r="W892" t="str">
        <f t="shared" si="41"/>
        <v>#2f89d1</v>
      </c>
    </row>
    <row r="893" spans="1:23" x14ac:dyDescent="0.5">
      <c r="A893" s="54">
        <v>892</v>
      </c>
      <c r="B893" s="90" t="s">
        <v>328</v>
      </c>
      <c r="C893" t="s">
        <v>322</v>
      </c>
      <c r="D893" s="1"/>
      <c r="E893" s="112">
        <v>2009.11</v>
      </c>
      <c r="F893" s="112">
        <v>2021.05</v>
      </c>
      <c r="G893" s="107" t="s">
        <v>670</v>
      </c>
      <c r="H893">
        <f>INDEX('GIS-Standards'!$A$2:$A$305,MATCH(B893,'GIS-Standards'!$B$2:$B$305,0))</f>
        <v>37</v>
      </c>
      <c r="I893">
        <f>INDEX('GIS-Standards'!$A$2:$A$305,MATCH(C893,'GIS-Standards'!$B$2:$B$305,0))</f>
        <v>33</v>
      </c>
      <c r="J893" t="str">
        <f>INDEX('GIS-Standards'!$O$2:$O$305,MATCH(B893,'GIS-Standards'!$B$2:$B$305,0))</f>
        <v>ISO/TC 211</v>
      </c>
      <c r="K893" t="str">
        <f>INDEX('GIS-Standards'!$O$2:$O$305,MATCH(C893,'GIS-Standards'!$B$2:$B$305,0))</f>
        <v>ISO/TC 211</v>
      </c>
      <c r="M893" t="s">
        <v>525</v>
      </c>
      <c r="N893">
        <f>INDEX('GIS-Standards'!$I$2:$I$305,MATCH(B893,'GIS-Standards'!$B$2:$B$305,0))</f>
        <v>0</v>
      </c>
      <c r="O893">
        <f>INDEX('GIS-Standards'!$I$2:$I$305,MATCH(C893,'GIS-Standards'!$B$2:$B$305,0))</f>
        <v>0</v>
      </c>
      <c r="P893" t="b">
        <f>AND(TableRelationships12[[#This Row],[Source Type]]="BIM",TableRelationships12[[#This Row],[Target Type]]="BIM")</f>
        <v>0</v>
      </c>
      <c r="Q893">
        <f t="shared" si="39"/>
        <v>1</v>
      </c>
      <c r="S893">
        <f t="shared" si="40"/>
        <v>1</v>
      </c>
      <c r="T893" s="102" t="str">
        <f>IF(TableRelationships12[[#This Row],[Rank Pedro]]="Low","linkCategory1",IF(TableRelationships12[[#This Row],[Rank Pedro]]="Medium","linkCategory2",IF(TableRelationships12[[#This Row],[Rank Pedro]]="High","linkCategory3","")))</f>
        <v/>
      </c>
      <c r="U893" s="102" t="str">
        <f>IF(TableRelationships12[[#This Row],[Rank Pedro]]="Low","Pink",IF(TableRelationships12[[#This Row],[Rank Pedro]]="Medium","Purple",IF(TableRelationships12[[#This Row],[Rank Pedro]]="High","Brown","")))</f>
        <v/>
      </c>
      <c r="V893" s="4">
        <f>MAX(INDEX(Standards!$F$2:$F$296,MATCH(B893,Standards!$B$2:$B$296,0)),INDEX(Standards!$F$2:$F$296,MATCH(C893,Standards!$B$2:$B$296,0)))</f>
        <v>40118</v>
      </c>
      <c r="W893" t="str">
        <f t="shared" si="41"/>
        <v>#2f89d1</v>
      </c>
    </row>
    <row r="894" spans="1:23" x14ac:dyDescent="0.5">
      <c r="A894" s="54">
        <v>893</v>
      </c>
      <c r="B894" s="90" t="s">
        <v>328</v>
      </c>
      <c r="C894" t="s">
        <v>653</v>
      </c>
      <c r="D894" s="1"/>
      <c r="E894" s="113">
        <v>2007.04</v>
      </c>
      <c r="F894" s="113">
        <v>2019.03</v>
      </c>
      <c r="G894" s="107" t="s">
        <v>670</v>
      </c>
      <c r="H894">
        <f>INDEX('GIS-Standards'!$A$2:$A$305,MATCH(B894,'GIS-Standards'!$B$2:$B$305,0))</f>
        <v>37</v>
      </c>
      <c r="I894">
        <f>INDEX('GIS-Standards'!$A$2:$A$305,MATCH(C894,'GIS-Standards'!$B$2:$B$305,0))</f>
        <v>102</v>
      </c>
      <c r="J894" t="str">
        <f>INDEX('GIS-Standards'!$O$2:$O$305,MATCH(B894,'GIS-Standards'!$B$2:$B$305,0))</f>
        <v>ISO/TC 211</v>
      </c>
      <c r="K894" t="str">
        <f>INDEX('GIS-Standards'!$O$2:$O$305,MATCH(C894,'GIS-Standards'!$B$2:$B$305,0))</f>
        <v>ISO/TC 211</v>
      </c>
      <c r="M894" t="s">
        <v>525</v>
      </c>
      <c r="N894">
        <f>INDEX('GIS-Standards'!$I$2:$I$305,MATCH(B894,'GIS-Standards'!$B$2:$B$305,0))</f>
        <v>0</v>
      </c>
      <c r="O894">
        <f>INDEX('GIS-Standards'!$I$2:$I$305,MATCH(C894,'GIS-Standards'!$B$2:$B$305,0))</f>
        <v>0</v>
      </c>
      <c r="P894" t="b">
        <f>AND(TableRelationships12[[#This Row],[Source Type]]="BIM",TableRelationships12[[#This Row],[Target Type]]="BIM")</f>
        <v>0</v>
      </c>
      <c r="Q894">
        <f t="shared" si="39"/>
        <v>1</v>
      </c>
      <c r="S894">
        <f t="shared" si="40"/>
        <v>1</v>
      </c>
      <c r="T894" s="102" t="str">
        <f>IF(TableRelationships12[[#This Row],[Rank Pedro]]="Low","linkCategory1",IF(TableRelationships12[[#This Row],[Rank Pedro]]="Medium","linkCategory2",IF(TableRelationships12[[#This Row],[Rank Pedro]]="High","linkCategory3","")))</f>
        <v/>
      </c>
      <c r="U894" s="102" t="str">
        <f>IF(TableRelationships12[[#This Row],[Rank Pedro]]="Low","Pink",IF(TableRelationships12[[#This Row],[Rank Pedro]]="Medium","Purple",IF(TableRelationships12[[#This Row],[Rank Pedro]]="High","Brown","")))</f>
        <v/>
      </c>
      <c r="V894" s="4" t="e">
        <f>MAX(INDEX(Standards!$F$2:$F$296,MATCH(B894,Standards!$B$2:$B$296,0)),INDEX(Standards!$F$2:$F$296,MATCH(C894,Standards!$B$2:$B$296,0)))</f>
        <v>#N/A</v>
      </c>
      <c r="W894" t="str">
        <f t="shared" si="41"/>
        <v>#2f89d1</v>
      </c>
    </row>
    <row r="895" spans="1:23" x14ac:dyDescent="0.5">
      <c r="A895" s="54">
        <v>894</v>
      </c>
      <c r="B895" s="90" t="s">
        <v>328</v>
      </c>
      <c r="C895" t="s">
        <v>348</v>
      </c>
      <c r="D895" s="1"/>
      <c r="E895" s="113">
        <v>2013.12</v>
      </c>
      <c r="F895" s="113">
        <v>2023.04</v>
      </c>
      <c r="G895" s="107" t="s">
        <v>670</v>
      </c>
      <c r="H895">
        <f>INDEX('GIS-Standards'!$A$2:$A$305,MATCH(B895,'GIS-Standards'!$B$2:$B$305,0))</f>
        <v>37</v>
      </c>
      <c r="I895">
        <f>INDEX('GIS-Standards'!$A$2:$A$305,MATCH(C895,'GIS-Standards'!$B$2:$B$305,0))</f>
        <v>66</v>
      </c>
      <c r="J895" t="str">
        <f>INDEX('GIS-Standards'!$O$2:$O$305,MATCH(B895,'GIS-Standards'!$B$2:$B$305,0))</f>
        <v>ISO/TC 211</v>
      </c>
      <c r="K895" t="str">
        <f>INDEX('GIS-Standards'!$O$2:$O$305,MATCH(C895,'GIS-Standards'!$B$2:$B$305,0))</f>
        <v>ISO/TC 211</v>
      </c>
      <c r="M895" t="s">
        <v>525</v>
      </c>
      <c r="N895">
        <f>INDEX('GIS-Standards'!$I$2:$I$305,MATCH(B895,'GIS-Standards'!$B$2:$B$305,0))</f>
        <v>0</v>
      </c>
      <c r="O895">
        <f>INDEX('GIS-Standards'!$I$2:$I$305,MATCH(C895,'GIS-Standards'!$B$2:$B$305,0))</f>
        <v>0</v>
      </c>
      <c r="P895" t="b">
        <f>AND(TableRelationships12[[#This Row],[Source Type]]="BIM",TableRelationships12[[#This Row],[Target Type]]="BIM")</f>
        <v>0</v>
      </c>
      <c r="Q895">
        <f t="shared" si="39"/>
        <v>1</v>
      </c>
      <c r="S895">
        <f t="shared" si="40"/>
        <v>1</v>
      </c>
      <c r="T895" s="102" t="str">
        <f>IF(TableRelationships12[[#This Row],[Rank Pedro]]="Low","linkCategory1",IF(TableRelationships12[[#This Row],[Rank Pedro]]="Medium","linkCategory2",IF(TableRelationships12[[#This Row],[Rank Pedro]]="High","linkCategory3","")))</f>
        <v/>
      </c>
      <c r="U895" s="102" t="str">
        <f>IF(TableRelationships12[[#This Row],[Rank Pedro]]="Low","Pink",IF(TableRelationships12[[#This Row],[Rank Pedro]]="Medium","Purple",IF(TableRelationships12[[#This Row],[Rank Pedro]]="High","Brown","")))</f>
        <v/>
      </c>
      <c r="V895" s="4">
        <f>MAX(INDEX(Standards!$F$2:$F$296,MATCH(B895,Standards!$B$2:$B$296,0)),INDEX(Standards!$F$2:$F$296,MATCH(C895,Standards!$B$2:$B$296,0)))</f>
        <v>39173</v>
      </c>
      <c r="W895" t="str">
        <f t="shared" si="41"/>
        <v>#2f89d1</v>
      </c>
    </row>
    <row r="896" spans="1:23" x14ac:dyDescent="0.5">
      <c r="A896" s="54">
        <v>895</v>
      </c>
      <c r="B896" s="90" t="s">
        <v>328</v>
      </c>
      <c r="C896" t="s">
        <v>320</v>
      </c>
      <c r="D896" s="1"/>
      <c r="E896" s="112">
        <v>2005.08</v>
      </c>
      <c r="F896" s="112">
        <v>2023.06</v>
      </c>
      <c r="G896" s="107" t="s">
        <v>670</v>
      </c>
      <c r="H896">
        <f>INDEX('GIS-Standards'!$A$2:$A$305,MATCH(B896,'GIS-Standards'!$B$2:$B$305,0))</f>
        <v>37</v>
      </c>
      <c r="I896">
        <f>INDEX('GIS-Standards'!$A$2:$A$305,MATCH(C896,'GIS-Standards'!$B$2:$B$305,0))</f>
        <v>29</v>
      </c>
      <c r="J896" t="str">
        <f>INDEX('GIS-Standards'!$O$2:$O$305,MATCH(B896,'GIS-Standards'!$B$2:$B$305,0))</f>
        <v>ISO/TC 211</v>
      </c>
      <c r="K896" t="str">
        <f>INDEX('GIS-Standards'!$O$2:$O$305,MATCH(C896,'GIS-Standards'!$B$2:$B$305,0))</f>
        <v>ISO/TC 211</v>
      </c>
      <c r="M896" t="s">
        <v>525</v>
      </c>
      <c r="N896">
        <f>INDEX('GIS-Standards'!$I$2:$I$305,MATCH(B896,'GIS-Standards'!$B$2:$B$305,0))</f>
        <v>0</v>
      </c>
      <c r="O896">
        <f>INDEX('GIS-Standards'!$I$2:$I$305,MATCH(C896,'GIS-Standards'!$B$2:$B$305,0))</f>
        <v>0</v>
      </c>
      <c r="P896" t="b">
        <f>AND(TableRelationships12[[#This Row],[Source Type]]="BIM",TableRelationships12[[#This Row],[Target Type]]="BIM")</f>
        <v>0</v>
      </c>
      <c r="Q896">
        <f t="shared" si="39"/>
        <v>1</v>
      </c>
      <c r="S896">
        <f t="shared" si="40"/>
        <v>1</v>
      </c>
      <c r="T896" s="102" t="str">
        <f>IF(TableRelationships12[[#This Row],[Rank Pedro]]="Low","linkCategory1",IF(TableRelationships12[[#This Row],[Rank Pedro]]="Medium","linkCategory2",IF(TableRelationships12[[#This Row],[Rank Pedro]]="High","linkCategory3","")))</f>
        <v/>
      </c>
      <c r="U896" s="102" t="str">
        <f>IF(TableRelationships12[[#This Row],[Rank Pedro]]="Low","Pink",IF(TableRelationships12[[#This Row],[Rank Pedro]]="Medium","Purple",IF(TableRelationships12[[#This Row],[Rank Pedro]]="High","Brown","")))</f>
        <v/>
      </c>
      <c r="V896" s="4">
        <f>MAX(INDEX(Standards!$F$2:$F$296,MATCH(B896,Standards!$B$2:$B$296,0)),INDEX(Standards!$F$2:$F$296,MATCH(C896,Standards!$B$2:$B$296,0)))</f>
        <v>39173</v>
      </c>
      <c r="W896" t="str">
        <f t="shared" si="41"/>
        <v>#2f89d1</v>
      </c>
    </row>
    <row r="897" spans="1:23" x14ac:dyDescent="0.5">
      <c r="A897" s="54">
        <v>896</v>
      </c>
      <c r="B897" s="90" t="s">
        <v>328</v>
      </c>
      <c r="C897" t="s">
        <v>300</v>
      </c>
      <c r="D897" s="1"/>
      <c r="E897" s="112">
        <v>2000.12</v>
      </c>
      <c r="F897" s="112">
        <v>2022.07</v>
      </c>
      <c r="G897" s="107" t="s">
        <v>670</v>
      </c>
      <c r="H897">
        <f>INDEX('GIS-Standards'!$A$2:$A$305,MATCH(B897,'GIS-Standards'!$B$2:$B$305,0))</f>
        <v>37</v>
      </c>
      <c r="I897">
        <f>INDEX('GIS-Standards'!$A$2:$A$305,MATCH(C897,'GIS-Standards'!$B$2:$B$305,0))</f>
        <v>14</v>
      </c>
      <c r="J897" t="str">
        <f>INDEX('GIS-Standards'!$O$2:$O$305,MATCH(B897,'GIS-Standards'!$B$2:$B$305,0))</f>
        <v>ISO/TC 211</v>
      </c>
      <c r="K897" t="str">
        <f>INDEX('GIS-Standards'!$O$2:$O$305,MATCH(C897,'GIS-Standards'!$B$2:$B$305,0))</f>
        <v>ISO/TC 211</v>
      </c>
      <c r="M897" t="s">
        <v>525</v>
      </c>
      <c r="N897">
        <f>INDEX('GIS-Standards'!$I$2:$I$305,MATCH(B897,'GIS-Standards'!$B$2:$B$305,0))</f>
        <v>0</v>
      </c>
      <c r="O897">
        <f>INDEX('GIS-Standards'!$I$2:$I$305,MATCH(C897,'GIS-Standards'!$B$2:$B$305,0))</f>
        <v>0</v>
      </c>
      <c r="P897" t="b">
        <f>AND(TableRelationships12[[#This Row],[Source Type]]="BIM",TableRelationships12[[#This Row],[Target Type]]="BIM")</f>
        <v>0</v>
      </c>
      <c r="Q897">
        <f t="shared" si="39"/>
        <v>1</v>
      </c>
      <c r="S897">
        <f t="shared" si="40"/>
        <v>1</v>
      </c>
      <c r="T897" s="102" t="str">
        <f>IF(TableRelationships12[[#This Row],[Rank Pedro]]="Low","linkCategory1",IF(TableRelationships12[[#This Row],[Rank Pedro]]="Medium","linkCategory2",IF(TableRelationships12[[#This Row],[Rank Pedro]]="High","linkCategory3","")))</f>
        <v/>
      </c>
      <c r="U897" s="102" t="str">
        <f>IF(TableRelationships12[[#This Row],[Rank Pedro]]="Low","Pink",IF(TableRelationships12[[#This Row],[Rank Pedro]]="Medium","Purple",IF(TableRelationships12[[#This Row],[Rank Pedro]]="High","Brown","")))</f>
        <v/>
      </c>
      <c r="V897" s="4">
        <f>MAX(INDEX(Standards!$F$2:$F$296,MATCH(B897,Standards!$B$2:$B$296,0)),INDEX(Standards!$F$2:$F$296,MATCH(C897,Standards!$B$2:$B$296,0)))</f>
        <v>39173</v>
      </c>
      <c r="W897" t="str">
        <f t="shared" si="41"/>
        <v>#2f89d1</v>
      </c>
    </row>
    <row r="898" spans="1:23" x14ac:dyDescent="0.5">
      <c r="A898" s="54">
        <v>897</v>
      </c>
      <c r="B898" s="90" t="s">
        <v>330</v>
      </c>
      <c r="C898" t="s">
        <v>527</v>
      </c>
      <c r="D898" s="1"/>
      <c r="E898" s="112" t="s">
        <v>958</v>
      </c>
      <c r="F898" s="112" t="s">
        <v>958</v>
      </c>
      <c r="G898" s="121" t="s">
        <v>670</v>
      </c>
      <c r="H898">
        <f>INDEX('GIS-Standards'!$A$2:$A$305,MATCH(B898,'GIS-Standards'!$B$2:$B$305,0))</f>
        <v>38</v>
      </c>
      <c r="I898" t="e">
        <f>INDEX('GIS-Standards'!$A$2:$A$305,MATCH(C898,'GIS-Standards'!$B$2:$B$305,0))</f>
        <v>#N/A</v>
      </c>
      <c r="J898" t="str">
        <f>INDEX('GIS-Standards'!$O$2:$O$305,MATCH(B898,'GIS-Standards'!$B$2:$B$305,0))</f>
        <v>ISO/TC 211</v>
      </c>
      <c r="K898" t="e">
        <f>INDEX('GIS-Standards'!$O$2:$O$305,MATCH(C898,'GIS-Standards'!$B$2:$B$305,0))</f>
        <v>#N/A</v>
      </c>
      <c r="M898" t="s">
        <v>237</v>
      </c>
      <c r="N898">
        <f>INDEX('GIS-Standards'!$I$2:$I$305,MATCH(B898,'GIS-Standards'!$B$2:$B$305,0))</f>
        <v>0</v>
      </c>
      <c r="O898" t="e">
        <f>INDEX('GIS-Standards'!$I$2:$I$305,MATCH(C898,'GIS-Standards'!$B$2:$B$305,0))</f>
        <v>#N/A</v>
      </c>
      <c r="P898" t="e">
        <f>AND(TableRelationships12[[#This Row],[Source Type]]="BIM",TableRelationships12[[#This Row],[Target Type]]="BIM")</f>
        <v>#N/A</v>
      </c>
      <c r="Q898">
        <f t="shared" ref="Q898:Q961" si="42">IF(M898="Normative",6,IF(M898="Secondary",4,IF(M898="Anchor",2,1)))</f>
        <v>2</v>
      </c>
      <c r="S898">
        <f t="shared" ref="S898:S961" si="43">IF(R898="High",10,IF(R898="Medium",6,IF(R898="Low",2,1)))</f>
        <v>1</v>
      </c>
      <c r="T898" s="102" t="str">
        <f>IF(TableRelationships12[[#This Row],[Rank Pedro]]="Low","linkCategory1",IF(TableRelationships12[[#This Row],[Rank Pedro]]="Medium","linkCategory2",IF(TableRelationships12[[#This Row],[Rank Pedro]]="High","linkCategory3","")))</f>
        <v/>
      </c>
      <c r="U898" s="102" t="str">
        <f>IF(TableRelationships12[[#This Row],[Rank Pedro]]="Low","Pink",IF(TableRelationships12[[#This Row],[Rank Pedro]]="Medium","Purple",IF(TableRelationships12[[#This Row],[Rank Pedro]]="High","Brown","")))</f>
        <v/>
      </c>
      <c r="V898" s="4">
        <f>MAX(INDEX(Standards!$F$2:$F$296,MATCH(B898,Standards!$B$2:$B$296,0)),INDEX(Standards!$F$2:$F$296,MATCH(C898,Standards!$B$2:$B$296,0)))</f>
        <v>39356</v>
      </c>
      <c r="W898">
        <f t="shared" ref="W898:W961" si="44">IF(M898="Normative", "#d6bf2a", IF(M898="Informative", "#2f89d1", 1))</f>
        <v>1</v>
      </c>
    </row>
    <row r="899" spans="1:23" x14ac:dyDescent="0.5">
      <c r="A899" s="54">
        <v>898</v>
      </c>
      <c r="B899" s="90" t="s">
        <v>330</v>
      </c>
      <c r="C899" t="s">
        <v>302</v>
      </c>
      <c r="D899" s="1"/>
      <c r="E899" s="112">
        <v>2003.05</v>
      </c>
      <c r="F899" s="112">
        <v>2019.12</v>
      </c>
      <c r="G899" s="107" t="s">
        <v>670</v>
      </c>
      <c r="H899">
        <f>INDEX('GIS-Standards'!$A$2:$A$305,MATCH(B899,'GIS-Standards'!$B$2:$B$305,0))</f>
        <v>38</v>
      </c>
      <c r="I899">
        <f>INDEX('GIS-Standards'!$A$2:$A$305,MATCH(C899,'GIS-Standards'!$B$2:$B$305,0))</f>
        <v>16</v>
      </c>
      <c r="J899" t="str">
        <f>INDEX('GIS-Standards'!$O$2:$O$305,MATCH(B899,'GIS-Standards'!$B$2:$B$305,0))</f>
        <v>ISO/TC 211</v>
      </c>
      <c r="K899" t="str">
        <f>INDEX('GIS-Standards'!$O$2:$O$305,MATCH(C899,'GIS-Standards'!$B$2:$B$305,0))</f>
        <v>ISO/TC 211</v>
      </c>
      <c r="M899" t="s">
        <v>524</v>
      </c>
      <c r="N899">
        <f>INDEX('GIS-Standards'!$I$2:$I$305,MATCH(B899,'GIS-Standards'!$B$2:$B$305,0))</f>
        <v>0</v>
      </c>
      <c r="O899">
        <f>INDEX('GIS-Standards'!$I$2:$I$305,MATCH(C899,'GIS-Standards'!$B$2:$B$305,0))</f>
        <v>0</v>
      </c>
      <c r="P899" t="b">
        <f>AND(TableRelationships12[[#This Row],[Source Type]]="BIM",TableRelationships12[[#This Row],[Target Type]]="BIM")</f>
        <v>0</v>
      </c>
      <c r="Q899">
        <f t="shared" si="42"/>
        <v>6</v>
      </c>
      <c r="S899">
        <f t="shared" si="43"/>
        <v>1</v>
      </c>
      <c r="T899" s="102" t="str">
        <f>IF(TableRelationships12[[#This Row],[Rank Pedro]]="Low","linkCategory1",IF(TableRelationships12[[#This Row],[Rank Pedro]]="Medium","linkCategory2",IF(TableRelationships12[[#This Row],[Rank Pedro]]="High","linkCategory3","")))</f>
        <v/>
      </c>
      <c r="U899" s="102" t="str">
        <f>IF(TableRelationships12[[#This Row],[Rank Pedro]]="Low","Pink",IF(TableRelationships12[[#This Row],[Rank Pedro]]="Medium","Purple",IF(TableRelationships12[[#This Row],[Rank Pedro]]="High","Brown","")))</f>
        <v/>
      </c>
      <c r="V899" s="4">
        <f>MAX(INDEX(Standards!$F$2:$F$296,MATCH(B899,Standards!$B$2:$B$296,0)),INDEX(Standards!$F$2:$F$296,MATCH(C899,Standards!$B$2:$B$296,0)))</f>
        <v>39356</v>
      </c>
      <c r="W899" t="str">
        <f t="shared" si="44"/>
        <v>#d6bf2a</v>
      </c>
    </row>
    <row r="900" spans="1:23" x14ac:dyDescent="0.5">
      <c r="A900" s="54">
        <v>899</v>
      </c>
      <c r="B900" s="90" t="s">
        <v>330</v>
      </c>
      <c r="C900" t="s">
        <v>306</v>
      </c>
      <c r="D900" s="1"/>
      <c r="E900" s="112">
        <v>2005.06</v>
      </c>
      <c r="F900" s="112">
        <v>2025.07</v>
      </c>
      <c r="G900" s="107" t="s">
        <v>670</v>
      </c>
      <c r="H900">
        <f>INDEX('GIS-Standards'!$A$2:$A$305,MATCH(B900,'GIS-Standards'!$B$2:$B$305,0))</f>
        <v>38</v>
      </c>
      <c r="I900">
        <f>INDEX('GIS-Standards'!$A$2:$A$305,MATCH(C900,'GIS-Standards'!$B$2:$B$305,0))</f>
        <v>18</v>
      </c>
      <c r="J900" t="str">
        <f>INDEX('GIS-Standards'!$O$2:$O$305,MATCH(B900,'GIS-Standards'!$B$2:$B$305,0))</f>
        <v>ISO/TC 211</v>
      </c>
      <c r="K900" t="str">
        <f>INDEX('GIS-Standards'!$O$2:$O$305,MATCH(C900,'GIS-Standards'!$B$2:$B$305,0))</f>
        <v>ISO/TC 211</v>
      </c>
      <c r="M900" t="s">
        <v>524</v>
      </c>
      <c r="N900">
        <f>INDEX('GIS-Standards'!$I$2:$I$305,MATCH(B900,'GIS-Standards'!$B$2:$B$305,0))</f>
        <v>0</v>
      </c>
      <c r="O900">
        <f>INDEX('GIS-Standards'!$I$2:$I$305,MATCH(C900,'GIS-Standards'!$B$2:$B$305,0))</f>
        <v>0</v>
      </c>
      <c r="P900" t="b">
        <f>AND(TableRelationships12[[#This Row],[Source Type]]="BIM",TableRelationships12[[#This Row],[Target Type]]="BIM")</f>
        <v>0</v>
      </c>
      <c r="Q900">
        <f t="shared" si="42"/>
        <v>6</v>
      </c>
      <c r="S900">
        <f t="shared" si="43"/>
        <v>1</v>
      </c>
      <c r="T900" s="102" t="str">
        <f>IF(TableRelationships12[[#This Row],[Rank Pedro]]="Low","linkCategory1",IF(TableRelationships12[[#This Row],[Rank Pedro]]="Medium","linkCategory2",IF(TableRelationships12[[#This Row],[Rank Pedro]]="High","linkCategory3","")))</f>
        <v/>
      </c>
      <c r="U900" s="102" t="str">
        <f>IF(TableRelationships12[[#This Row],[Rank Pedro]]="Low","Pink",IF(TableRelationships12[[#This Row],[Rank Pedro]]="Medium","Purple",IF(TableRelationships12[[#This Row],[Rank Pedro]]="High","Brown","")))</f>
        <v/>
      </c>
      <c r="V900" s="4">
        <f>MAX(INDEX(Standards!$F$2:$F$296,MATCH(B900,Standards!$B$2:$B$296,0)),INDEX(Standards!$F$2:$F$296,MATCH(C900,Standards!$B$2:$B$296,0)))</f>
        <v>39356</v>
      </c>
      <c r="W900" t="str">
        <f t="shared" si="44"/>
        <v>#d6bf2a</v>
      </c>
    </row>
    <row r="901" spans="1:23" x14ac:dyDescent="0.5">
      <c r="A901" s="54">
        <v>900</v>
      </c>
      <c r="B901" s="90" t="s">
        <v>330</v>
      </c>
      <c r="C901" t="s">
        <v>308</v>
      </c>
      <c r="D901" s="1"/>
      <c r="E901" s="112">
        <v>2005.02</v>
      </c>
      <c r="F901" s="112">
        <v>2016.12</v>
      </c>
      <c r="G901" s="107" t="s">
        <v>670</v>
      </c>
      <c r="H901">
        <f>INDEX('GIS-Standards'!$A$2:$A$305,MATCH(B901,'GIS-Standards'!$B$2:$B$305,0))</f>
        <v>38</v>
      </c>
      <c r="I901">
        <f>INDEX('GIS-Standards'!$A$2:$A$305,MATCH(C901,'GIS-Standards'!$B$2:$B$305,0))</f>
        <v>19</v>
      </c>
      <c r="J901" t="str">
        <f>INDEX('GIS-Standards'!$O$2:$O$305,MATCH(B901,'GIS-Standards'!$B$2:$B$305,0))</f>
        <v>ISO/TC 211</v>
      </c>
      <c r="K901" t="str">
        <f>INDEX('GIS-Standards'!$O$2:$O$305,MATCH(C901,'GIS-Standards'!$B$2:$B$305,0))</f>
        <v>ISO/TC 211</v>
      </c>
      <c r="M901" t="s">
        <v>524</v>
      </c>
      <c r="N901">
        <f>INDEX('GIS-Standards'!$I$2:$I$305,MATCH(B901,'GIS-Standards'!$B$2:$B$305,0))</f>
        <v>0</v>
      </c>
      <c r="O901">
        <f>INDEX('GIS-Standards'!$I$2:$I$305,MATCH(C901,'GIS-Standards'!$B$2:$B$305,0))</f>
        <v>0</v>
      </c>
      <c r="P901" t="b">
        <f>AND(TableRelationships12[[#This Row],[Source Type]]="BIM",TableRelationships12[[#This Row],[Target Type]]="BIM")</f>
        <v>0</v>
      </c>
      <c r="Q901">
        <f t="shared" si="42"/>
        <v>6</v>
      </c>
      <c r="S901">
        <f t="shared" si="43"/>
        <v>1</v>
      </c>
      <c r="T901" s="102" t="str">
        <f>IF(TableRelationships12[[#This Row],[Rank Pedro]]="Low","linkCategory1",IF(TableRelationships12[[#This Row],[Rank Pedro]]="Medium","linkCategory2",IF(TableRelationships12[[#This Row],[Rank Pedro]]="High","linkCategory3","")))</f>
        <v/>
      </c>
      <c r="U901" s="102" t="str">
        <f>IF(TableRelationships12[[#This Row],[Rank Pedro]]="Low","Pink",IF(TableRelationships12[[#This Row],[Rank Pedro]]="Medium","Purple",IF(TableRelationships12[[#This Row],[Rank Pedro]]="High","Brown","")))</f>
        <v/>
      </c>
      <c r="V901" s="4">
        <f>MAX(INDEX(Standards!$F$2:$F$296,MATCH(B901,Standards!$B$2:$B$296,0)),INDEX(Standards!$F$2:$F$296,MATCH(C901,Standards!$B$2:$B$296,0)))</f>
        <v>39356</v>
      </c>
      <c r="W901" t="str">
        <f t="shared" si="44"/>
        <v>#d6bf2a</v>
      </c>
    </row>
    <row r="902" spans="1:23" x14ac:dyDescent="0.5">
      <c r="A902" s="54">
        <v>901</v>
      </c>
      <c r="B902" s="90" t="s">
        <v>330</v>
      </c>
      <c r="C902" t="s">
        <v>312</v>
      </c>
      <c r="D902" s="1"/>
      <c r="E902" s="112">
        <v>2003.1</v>
      </c>
      <c r="F902" s="112">
        <v>2019.02</v>
      </c>
      <c r="G902" s="107" t="s">
        <v>670</v>
      </c>
      <c r="H902">
        <f>INDEX('GIS-Standards'!$A$2:$A$305,MATCH(B902,'GIS-Standards'!$B$2:$B$305,0))</f>
        <v>38</v>
      </c>
      <c r="I902">
        <f>INDEX('GIS-Standards'!$A$2:$A$305,MATCH(C902,'GIS-Standards'!$B$2:$B$305,0))</f>
        <v>21</v>
      </c>
      <c r="J902" t="str">
        <f>INDEX('GIS-Standards'!$O$2:$O$305,MATCH(B902,'GIS-Standards'!$B$2:$B$305,0))</f>
        <v>ISO/TC 211</v>
      </c>
      <c r="K902" t="str">
        <f>INDEX('GIS-Standards'!$O$2:$O$305,MATCH(C902,'GIS-Standards'!$B$2:$B$305,0))</f>
        <v>ISO/TC 211</v>
      </c>
      <c r="M902" t="s">
        <v>524</v>
      </c>
      <c r="N902">
        <f>INDEX('GIS-Standards'!$I$2:$I$305,MATCH(B902,'GIS-Standards'!$B$2:$B$305,0))</f>
        <v>0</v>
      </c>
      <c r="O902">
        <f>INDEX('GIS-Standards'!$I$2:$I$305,MATCH(C902,'GIS-Standards'!$B$2:$B$305,0))</f>
        <v>0</v>
      </c>
      <c r="P902" t="b">
        <f>AND(TableRelationships12[[#This Row],[Source Type]]="BIM",TableRelationships12[[#This Row],[Target Type]]="BIM")</f>
        <v>0</v>
      </c>
      <c r="Q902">
        <f t="shared" si="42"/>
        <v>6</v>
      </c>
      <c r="S902">
        <f t="shared" si="43"/>
        <v>1</v>
      </c>
      <c r="T902" s="102" t="str">
        <f>IF(TableRelationships12[[#This Row],[Rank Pedro]]="Low","linkCategory1",IF(TableRelationships12[[#This Row],[Rank Pedro]]="Medium","linkCategory2",IF(TableRelationships12[[#This Row],[Rank Pedro]]="High","linkCategory3","")))</f>
        <v/>
      </c>
      <c r="U902" s="102" t="str">
        <f>IF(TableRelationships12[[#This Row],[Rank Pedro]]="Low","Pink",IF(TableRelationships12[[#This Row],[Rank Pedro]]="Medium","Purple",IF(TableRelationships12[[#This Row],[Rank Pedro]]="High","Brown","")))</f>
        <v/>
      </c>
      <c r="V902" s="4">
        <f>MAX(INDEX(Standards!$F$2:$F$296,MATCH(B902,Standards!$B$2:$B$296,0)),INDEX(Standards!$F$2:$F$296,MATCH(C902,Standards!$B$2:$B$296,0)))</f>
        <v>39356</v>
      </c>
      <c r="W902" t="str">
        <f t="shared" si="44"/>
        <v>#d6bf2a</v>
      </c>
    </row>
    <row r="903" spans="1:23" x14ac:dyDescent="0.5">
      <c r="A903" s="54">
        <v>902</v>
      </c>
      <c r="B903" s="90" t="s">
        <v>330</v>
      </c>
      <c r="C903" t="s">
        <v>332</v>
      </c>
      <c r="D903" s="1"/>
      <c r="E903" s="112">
        <v>2005.1</v>
      </c>
      <c r="F903" s="112">
        <v>2005.1</v>
      </c>
      <c r="G903" s="107" t="s">
        <v>670</v>
      </c>
      <c r="H903">
        <f>INDEX('GIS-Standards'!$A$2:$A$305,MATCH(B903,'GIS-Standards'!$B$2:$B$305,0))</f>
        <v>38</v>
      </c>
      <c r="I903">
        <f>INDEX('GIS-Standards'!$A$2:$A$305,MATCH(C903,'GIS-Standards'!$B$2:$B$305,0))</f>
        <v>39</v>
      </c>
      <c r="J903" t="str">
        <f>INDEX('GIS-Standards'!$O$2:$O$305,MATCH(B903,'GIS-Standards'!$B$2:$B$305,0))</f>
        <v>ISO/TC 211</v>
      </c>
      <c r="K903" t="str">
        <f>INDEX('GIS-Standards'!$O$2:$O$305,MATCH(C903,'GIS-Standards'!$B$2:$B$305,0))</f>
        <v>ISO/TC 211</v>
      </c>
      <c r="M903" t="s">
        <v>524</v>
      </c>
      <c r="N903">
        <f>INDEX('GIS-Standards'!$I$2:$I$305,MATCH(B903,'GIS-Standards'!$B$2:$B$305,0))</f>
        <v>0</v>
      </c>
      <c r="O903">
        <f>INDEX('GIS-Standards'!$I$2:$I$305,MATCH(C903,'GIS-Standards'!$B$2:$B$305,0))</f>
        <v>0</v>
      </c>
      <c r="P903" t="b">
        <f>AND(TableRelationships12[[#This Row],[Source Type]]="BIM",TableRelationships12[[#This Row],[Target Type]]="BIM")</f>
        <v>0</v>
      </c>
      <c r="Q903">
        <f t="shared" si="42"/>
        <v>6</v>
      </c>
      <c r="S903">
        <f t="shared" si="43"/>
        <v>1</v>
      </c>
      <c r="T903" s="102" t="str">
        <f>IF(TableRelationships12[[#This Row],[Rank Pedro]]="Low","linkCategory1",IF(TableRelationships12[[#This Row],[Rank Pedro]]="Medium","linkCategory2",IF(TableRelationships12[[#This Row],[Rank Pedro]]="High","linkCategory3","")))</f>
        <v/>
      </c>
      <c r="U903" s="102" t="str">
        <f>IF(TableRelationships12[[#This Row],[Rank Pedro]]="Low","Pink",IF(TableRelationships12[[#This Row],[Rank Pedro]]="Medium","Purple",IF(TableRelationships12[[#This Row],[Rank Pedro]]="High","Brown","")))</f>
        <v/>
      </c>
      <c r="V903" s="4">
        <f>MAX(INDEX(Standards!$F$2:$F$296,MATCH(B903,Standards!$B$2:$B$296,0)),INDEX(Standards!$F$2:$F$296,MATCH(C903,Standards!$B$2:$B$296,0)))</f>
        <v>39356</v>
      </c>
      <c r="W903" t="str">
        <f t="shared" si="44"/>
        <v>#d6bf2a</v>
      </c>
    </row>
    <row r="904" spans="1:23" x14ac:dyDescent="0.5">
      <c r="A904" s="54">
        <v>903</v>
      </c>
      <c r="B904" s="90" t="s">
        <v>330</v>
      </c>
      <c r="C904" t="s">
        <v>334</v>
      </c>
      <c r="D904" s="1" t="s">
        <v>1036</v>
      </c>
      <c r="E904" s="113">
        <v>2007.09</v>
      </c>
      <c r="F904" s="113">
        <v>2020.01</v>
      </c>
      <c r="G904" s="107" t="s">
        <v>670</v>
      </c>
      <c r="H904">
        <f>INDEX('GIS-Standards'!$A$2:$A$305,MATCH(B904,'GIS-Standards'!$B$2:$B$305,0))</f>
        <v>38</v>
      </c>
      <c r="I904">
        <f>INDEX('GIS-Standards'!$A$2:$A$305,MATCH(C904,'GIS-Standards'!$B$2:$B$305,0))</f>
        <v>42</v>
      </c>
      <c r="J904" t="str">
        <f>INDEX('GIS-Standards'!$O$2:$O$305,MATCH(B904,'GIS-Standards'!$B$2:$B$305,0))</f>
        <v>ISO/TC 211</v>
      </c>
      <c r="K904" t="str">
        <f>INDEX('GIS-Standards'!$O$2:$O$305,MATCH(C904,'GIS-Standards'!$B$2:$B$305,0))</f>
        <v>ISO/TC 211</v>
      </c>
      <c r="M904" t="s">
        <v>524</v>
      </c>
      <c r="N904">
        <f>INDEX('GIS-Standards'!$I$2:$I$305,MATCH(B904,'GIS-Standards'!$B$2:$B$305,0))</f>
        <v>0</v>
      </c>
      <c r="O904">
        <f>INDEX('GIS-Standards'!$I$2:$I$305,MATCH(C904,'GIS-Standards'!$B$2:$B$305,0))</f>
        <v>0</v>
      </c>
      <c r="P904" t="b">
        <f>AND(TableRelationships12[[#This Row],[Source Type]]="BIM",TableRelationships12[[#This Row],[Target Type]]="BIM")</f>
        <v>0</v>
      </c>
      <c r="Q904">
        <f t="shared" si="42"/>
        <v>6</v>
      </c>
      <c r="S904">
        <f t="shared" si="43"/>
        <v>1</v>
      </c>
      <c r="T904" s="102" t="str">
        <f>IF(TableRelationships12[[#This Row],[Rank Pedro]]="Low","linkCategory1",IF(TableRelationships12[[#This Row],[Rank Pedro]]="Medium","linkCategory2",IF(TableRelationships12[[#This Row],[Rank Pedro]]="High","linkCategory3","")))</f>
        <v/>
      </c>
      <c r="U904" s="102" t="str">
        <f>IF(TableRelationships12[[#This Row],[Rank Pedro]]="Low","Pink",IF(TableRelationships12[[#This Row],[Rank Pedro]]="Medium","Purple",IF(TableRelationships12[[#This Row],[Rank Pedro]]="High","Brown","")))</f>
        <v/>
      </c>
      <c r="V904" s="4">
        <f>MAX(INDEX(Standards!$F$2:$F$296,MATCH(B904,Standards!$B$2:$B$296,0)),INDEX(Standards!$F$2:$F$296,MATCH(C904,Standards!$B$2:$B$296,0)))</f>
        <v>39356</v>
      </c>
      <c r="W904" t="str">
        <f t="shared" si="44"/>
        <v>#d6bf2a</v>
      </c>
    </row>
    <row r="905" spans="1:23" x14ac:dyDescent="0.5">
      <c r="A905" s="54">
        <v>904</v>
      </c>
      <c r="B905" s="90" t="s">
        <v>330</v>
      </c>
      <c r="C905" t="s">
        <v>1400</v>
      </c>
      <c r="D905" s="1"/>
      <c r="G905" s="107"/>
      <c r="H905">
        <f>INDEX('GIS-Standards'!$A$2:$A$305,MATCH(B905,'GIS-Standards'!$B$2:$B$305,0))</f>
        <v>38</v>
      </c>
      <c r="I905" t="e">
        <f>INDEX('GIS-Standards'!$A$2:$A$305,MATCH(C905,'GIS-Standards'!$B$2:$B$305,0))</f>
        <v>#N/A</v>
      </c>
      <c r="J905" t="str">
        <f>INDEX('GIS-Standards'!$O$2:$O$305,MATCH(B905,'GIS-Standards'!$B$2:$B$305,0))</f>
        <v>ISO/TC 211</v>
      </c>
      <c r="K905" t="e">
        <f>INDEX('GIS-Standards'!$O$2:$O$305,MATCH(C905,'GIS-Standards'!$B$2:$B$305,0))</f>
        <v>#N/A</v>
      </c>
      <c r="M905" t="s">
        <v>525</v>
      </c>
      <c r="N905">
        <f>INDEX('GIS-Standards'!$I$2:$I$305,MATCH(B905,'GIS-Standards'!$B$2:$B$305,0))</f>
        <v>0</v>
      </c>
      <c r="O905" t="e">
        <f>INDEX('GIS-Standards'!$I$2:$I$305,MATCH(C905,'GIS-Standards'!$B$2:$B$305,0))</f>
        <v>#N/A</v>
      </c>
      <c r="P905" t="e">
        <f>AND(TableRelationships12[[#This Row],[Source Type]]="BIM",TableRelationships12[[#This Row],[Target Type]]="BIM")</f>
        <v>#N/A</v>
      </c>
      <c r="Q905">
        <f t="shared" si="42"/>
        <v>1</v>
      </c>
      <c r="S905">
        <f t="shared" si="43"/>
        <v>1</v>
      </c>
      <c r="T905" s="102" t="str">
        <f>IF(TableRelationships12[[#This Row],[Rank Pedro]]="Low","linkCategory1",IF(TableRelationships12[[#This Row],[Rank Pedro]]="Medium","linkCategory2",IF(TableRelationships12[[#This Row],[Rank Pedro]]="High","linkCategory3","")))</f>
        <v/>
      </c>
      <c r="U905" s="102" t="str">
        <f>IF(TableRelationships12[[#This Row],[Rank Pedro]]="Low","Pink",IF(TableRelationships12[[#This Row],[Rank Pedro]]="Medium","Purple",IF(TableRelationships12[[#This Row],[Rank Pedro]]="High","Brown","")))</f>
        <v/>
      </c>
      <c r="V905" s="4" t="e">
        <f>MAX(INDEX(Standards!$F$2:$F$296,MATCH(B905,Standards!$B$2:$B$296,0)),INDEX(Standards!$F$2:$F$296,MATCH(C905,Standards!$B$2:$B$296,0)))</f>
        <v>#N/A</v>
      </c>
      <c r="W905" t="str">
        <f t="shared" si="44"/>
        <v>#2f89d1</v>
      </c>
    </row>
    <row r="906" spans="1:23" x14ac:dyDescent="0.5">
      <c r="A906" s="54">
        <v>905</v>
      </c>
      <c r="B906" s="90" t="s">
        <v>330</v>
      </c>
      <c r="C906" t="s">
        <v>132</v>
      </c>
      <c r="D906" s="1"/>
      <c r="E906" s="112">
        <v>1997.09</v>
      </c>
      <c r="F906" s="112">
        <v>2020.08</v>
      </c>
      <c r="G906" s="107" t="s">
        <v>1481</v>
      </c>
      <c r="H906">
        <f>INDEX('GIS-Standards'!$A$2:$A$305,MATCH(B906,'GIS-Standards'!$B$2:$B$305,0))</f>
        <v>38</v>
      </c>
      <c r="I906" t="e">
        <f>INDEX('GIS-Standards'!$A$2:$A$305,MATCH(C906,'GIS-Standards'!$B$2:$B$305,0))</f>
        <v>#N/A</v>
      </c>
      <c r="J906" t="str">
        <f>INDEX('GIS-Standards'!$O$2:$O$305,MATCH(B906,'GIS-Standards'!$B$2:$B$305,0))</f>
        <v>ISO/TC 211</v>
      </c>
      <c r="K906" t="e">
        <f>INDEX('GIS-Standards'!$O$2:$O$305,MATCH(C906,'GIS-Standards'!$B$2:$B$305,0))</f>
        <v>#N/A</v>
      </c>
      <c r="M906" t="s">
        <v>525</v>
      </c>
      <c r="N906">
        <f>INDEX('GIS-Standards'!$I$2:$I$305,MATCH(B906,'GIS-Standards'!$B$2:$B$305,0))</f>
        <v>0</v>
      </c>
      <c r="O906" t="e">
        <f>INDEX('GIS-Standards'!$I$2:$I$305,MATCH(C906,'GIS-Standards'!$B$2:$B$305,0))</f>
        <v>#N/A</v>
      </c>
      <c r="P906" t="e">
        <f>AND(TableRelationships12[[#This Row],[Source Type]]="BIM",TableRelationships12[[#This Row],[Target Type]]="BIM")</f>
        <v>#N/A</v>
      </c>
      <c r="Q906">
        <f t="shared" si="42"/>
        <v>1</v>
      </c>
      <c r="S906">
        <f t="shared" si="43"/>
        <v>1</v>
      </c>
      <c r="T906" s="102" t="str">
        <f>IF(TableRelationships12[[#This Row],[Rank Pedro]]="Low","linkCategory1",IF(TableRelationships12[[#This Row],[Rank Pedro]]="Medium","linkCategory2",IF(TableRelationships12[[#This Row],[Rank Pedro]]="High","linkCategory3","")))</f>
        <v/>
      </c>
      <c r="U906" s="102" t="str">
        <f>IF(TableRelationships12[[#This Row],[Rank Pedro]]="Low","Pink",IF(TableRelationships12[[#This Row],[Rank Pedro]]="Medium","Purple",IF(TableRelationships12[[#This Row],[Rank Pedro]]="High","Brown","")))</f>
        <v/>
      </c>
      <c r="V906" s="4">
        <f>MAX(INDEX(Standards!$F$2:$F$296,MATCH(B906,Standards!$B$2:$B$296,0)),INDEX(Standards!$F$2:$F$296,MATCH(C906,Standards!$B$2:$B$296,0)))</f>
        <v>39356</v>
      </c>
      <c r="W906" t="str">
        <f t="shared" si="44"/>
        <v>#2f89d1</v>
      </c>
    </row>
    <row r="907" spans="1:23" x14ac:dyDescent="0.5">
      <c r="A907" s="54">
        <v>906</v>
      </c>
      <c r="B907" s="90" t="s">
        <v>330</v>
      </c>
      <c r="C907" t="s">
        <v>358</v>
      </c>
      <c r="D907" s="1" t="s">
        <v>1157</v>
      </c>
      <c r="E907" s="113">
        <v>1987.06</v>
      </c>
      <c r="F907" s="113">
        <v>2023.06</v>
      </c>
      <c r="G907" s="107" t="s">
        <v>1504</v>
      </c>
      <c r="H907">
        <f>INDEX('GIS-Standards'!$A$2:$A$305,MATCH(B907,'GIS-Standards'!$B$2:$B$305,0))</f>
        <v>38</v>
      </c>
      <c r="I907" t="e">
        <f>INDEX('GIS-Standards'!$A$2:$A$305,MATCH(C907,'GIS-Standards'!$B$2:$B$305,0))</f>
        <v>#N/A</v>
      </c>
      <c r="J907" t="str">
        <f>INDEX('GIS-Standards'!$O$2:$O$305,MATCH(B907,'GIS-Standards'!$B$2:$B$305,0))</f>
        <v>ISO/TC 211</v>
      </c>
      <c r="K907" t="e">
        <f>INDEX('GIS-Standards'!$O$2:$O$305,MATCH(C907,'GIS-Standards'!$B$2:$B$305,0))</f>
        <v>#N/A</v>
      </c>
      <c r="M907" t="s">
        <v>525</v>
      </c>
      <c r="N907">
        <f>INDEX('GIS-Standards'!$I$2:$I$305,MATCH(B907,'GIS-Standards'!$B$2:$B$305,0))</f>
        <v>0</v>
      </c>
      <c r="O907" t="e">
        <f>INDEX('GIS-Standards'!$I$2:$I$305,MATCH(C907,'GIS-Standards'!$B$2:$B$305,0))</f>
        <v>#N/A</v>
      </c>
      <c r="P907" t="e">
        <f>AND(TableRelationships12[[#This Row],[Source Type]]="BIM",TableRelationships12[[#This Row],[Target Type]]="BIM")</f>
        <v>#N/A</v>
      </c>
      <c r="Q907">
        <f t="shared" si="42"/>
        <v>1</v>
      </c>
      <c r="S907">
        <f t="shared" si="43"/>
        <v>1</v>
      </c>
      <c r="T907" s="102" t="str">
        <f>IF(TableRelationships12[[#This Row],[Rank Pedro]]="Low","linkCategory1",IF(TableRelationships12[[#This Row],[Rank Pedro]]="Medium","linkCategory2",IF(TableRelationships12[[#This Row],[Rank Pedro]]="High","linkCategory3","")))</f>
        <v/>
      </c>
      <c r="U907" s="102" t="str">
        <f>IF(TableRelationships12[[#This Row],[Rank Pedro]]="Low","Pink",IF(TableRelationships12[[#This Row],[Rank Pedro]]="Medium","Purple",IF(TableRelationships12[[#This Row],[Rank Pedro]]="High","Brown","")))</f>
        <v/>
      </c>
      <c r="V907" s="4">
        <f>MAX(INDEX(Standards!$F$2:$F$296,MATCH(B907,Standards!$B$2:$B$296,0)),INDEX(Standards!$F$2:$F$296,MATCH(C907,Standards!$B$2:$B$296,0)))</f>
        <v>39356</v>
      </c>
      <c r="W907" t="str">
        <f t="shared" si="44"/>
        <v>#2f89d1</v>
      </c>
    </row>
    <row r="908" spans="1:23" x14ac:dyDescent="0.5">
      <c r="A908" s="54">
        <v>907</v>
      </c>
      <c r="B908" s="90" t="s">
        <v>330</v>
      </c>
      <c r="C908" t="s">
        <v>1325</v>
      </c>
      <c r="D908" s="1" t="s">
        <v>1157</v>
      </c>
      <c r="E908" s="113">
        <v>1987.06</v>
      </c>
      <c r="F908" s="113">
        <v>2023.06</v>
      </c>
      <c r="G908" s="107" t="s">
        <v>1504</v>
      </c>
      <c r="H908">
        <f>INDEX('GIS-Standards'!$A$2:$A$305,MATCH(B908,'GIS-Standards'!$B$2:$B$305,0))</f>
        <v>38</v>
      </c>
      <c r="I908" t="e">
        <f>INDEX('GIS-Standards'!$A$2:$A$305,MATCH(C908,'GIS-Standards'!$B$2:$B$305,0))</f>
        <v>#N/A</v>
      </c>
      <c r="J908" t="str">
        <f>INDEX('GIS-Standards'!$O$2:$O$305,MATCH(B908,'GIS-Standards'!$B$2:$B$305,0))</f>
        <v>ISO/TC 211</v>
      </c>
      <c r="K908" t="e">
        <f>INDEX('GIS-Standards'!$O$2:$O$305,MATCH(C908,'GIS-Standards'!$B$2:$B$305,0))</f>
        <v>#N/A</v>
      </c>
      <c r="M908" t="s">
        <v>525</v>
      </c>
      <c r="N908">
        <f>INDEX('GIS-Standards'!$I$2:$I$305,MATCH(B908,'GIS-Standards'!$B$2:$B$305,0))</f>
        <v>0</v>
      </c>
      <c r="O908" t="e">
        <f>INDEX('GIS-Standards'!$I$2:$I$305,MATCH(C908,'GIS-Standards'!$B$2:$B$305,0))</f>
        <v>#N/A</v>
      </c>
      <c r="P908" t="e">
        <f>AND(TableRelationships12[[#This Row],[Source Type]]="BIM",TableRelationships12[[#This Row],[Target Type]]="BIM")</f>
        <v>#N/A</v>
      </c>
      <c r="Q908">
        <f t="shared" si="42"/>
        <v>1</v>
      </c>
      <c r="S908">
        <f t="shared" si="43"/>
        <v>1</v>
      </c>
      <c r="T908" s="102" t="str">
        <f>IF(TableRelationships12[[#This Row],[Rank Pedro]]="Low","linkCategory1",IF(TableRelationships12[[#This Row],[Rank Pedro]]="Medium","linkCategory2",IF(TableRelationships12[[#This Row],[Rank Pedro]]="High","linkCategory3","")))</f>
        <v/>
      </c>
      <c r="U908" s="102" t="str">
        <f>IF(TableRelationships12[[#This Row],[Rank Pedro]]="Low","Pink",IF(TableRelationships12[[#This Row],[Rank Pedro]]="Medium","Purple",IF(TableRelationships12[[#This Row],[Rank Pedro]]="High","Brown","")))</f>
        <v/>
      </c>
      <c r="V908" s="4" t="e">
        <f>MAX(INDEX(Standards!$F$2:$F$296,MATCH(B908,Standards!$B$2:$B$296,0)),INDEX(Standards!$F$2:$F$296,MATCH(C908,Standards!$B$2:$B$296,0)))</f>
        <v>#N/A</v>
      </c>
      <c r="W908" t="str">
        <f t="shared" si="44"/>
        <v>#2f89d1</v>
      </c>
    </row>
    <row r="909" spans="1:23" x14ac:dyDescent="0.5">
      <c r="A909" s="54">
        <v>908</v>
      </c>
      <c r="B909" s="90" t="s">
        <v>330</v>
      </c>
      <c r="C909" t="s">
        <v>1413</v>
      </c>
      <c r="D909" s="1" t="s">
        <v>1157</v>
      </c>
      <c r="E909" s="113">
        <v>1995.12</v>
      </c>
      <c r="F909" s="113">
        <v>2023.06</v>
      </c>
      <c r="G909" s="107" t="s">
        <v>1504</v>
      </c>
      <c r="H909">
        <f>INDEX('GIS-Standards'!$A$2:$A$305,MATCH(B909,'GIS-Standards'!$B$2:$B$305,0))</f>
        <v>38</v>
      </c>
      <c r="I909" t="e">
        <f>INDEX('GIS-Standards'!$A$2:$A$305,MATCH(C909,'GIS-Standards'!$B$2:$B$305,0))</f>
        <v>#N/A</v>
      </c>
      <c r="J909" t="str">
        <f>INDEX('GIS-Standards'!$O$2:$O$305,MATCH(B909,'GIS-Standards'!$B$2:$B$305,0))</f>
        <v>ISO/TC 211</v>
      </c>
      <c r="K909" t="e">
        <f>INDEX('GIS-Standards'!$O$2:$O$305,MATCH(C909,'GIS-Standards'!$B$2:$B$305,0))</f>
        <v>#N/A</v>
      </c>
      <c r="M909" t="s">
        <v>525</v>
      </c>
      <c r="N909">
        <f>INDEX('GIS-Standards'!$I$2:$I$305,MATCH(B909,'GIS-Standards'!$B$2:$B$305,0))</f>
        <v>0</v>
      </c>
      <c r="O909" t="e">
        <f>INDEX('GIS-Standards'!$I$2:$I$305,MATCH(C909,'GIS-Standards'!$B$2:$B$305,0))</f>
        <v>#N/A</v>
      </c>
      <c r="P909" t="e">
        <f>AND(TableRelationships12[[#This Row],[Source Type]]="BIM",TableRelationships12[[#This Row],[Target Type]]="BIM")</f>
        <v>#N/A</v>
      </c>
      <c r="Q909">
        <f t="shared" si="42"/>
        <v>1</v>
      </c>
      <c r="S909">
        <f t="shared" si="43"/>
        <v>1</v>
      </c>
      <c r="T909" s="102" t="str">
        <f>IF(TableRelationships12[[#This Row],[Rank Pedro]]="Low","linkCategory1",IF(TableRelationships12[[#This Row],[Rank Pedro]]="Medium","linkCategory2",IF(TableRelationships12[[#This Row],[Rank Pedro]]="High","linkCategory3","")))</f>
        <v/>
      </c>
      <c r="U909" s="102" t="str">
        <f>IF(TableRelationships12[[#This Row],[Rank Pedro]]="Low","Pink",IF(TableRelationships12[[#This Row],[Rank Pedro]]="Medium","Purple",IF(TableRelationships12[[#This Row],[Rank Pedro]]="High","Brown","")))</f>
        <v/>
      </c>
      <c r="V909" s="4" t="e">
        <f>MAX(INDEX(Standards!$F$2:$F$296,MATCH(B909,Standards!$B$2:$B$296,0)),INDEX(Standards!$F$2:$F$296,MATCH(C909,Standards!$B$2:$B$296,0)))</f>
        <v>#N/A</v>
      </c>
      <c r="W909" t="str">
        <f t="shared" si="44"/>
        <v>#2f89d1</v>
      </c>
    </row>
    <row r="910" spans="1:23" x14ac:dyDescent="0.5">
      <c r="A910" s="54">
        <v>909</v>
      </c>
      <c r="B910" s="90" t="s">
        <v>330</v>
      </c>
      <c r="C910" t="s">
        <v>1414</v>
      </c>
      <c r="D910" s="1" t="s">
        <v>1157</v>
      </c>
      <c r="E910" s="113">
        <v>1996.12</v>
      </c>
      <c r="F910" s="113">
        <v>2023.06</v>
      </c>
      <c r="G910" s="107" t="s">
        <v>1504</v>
      </c>
      <c r="H910">
        <f>INDEX('GIS-Standards'!$A$2:$A$305,MATCH(B910,'GIS-Standards'!$B$2:$B$305,0))</f>
        <v>38</v>
      </c>
      <c r="I910" t="e">
        <f>INDEX('GIS-Standards'!$A$2:$A$305,MATCH(C910,'GIS-Standards'!$B$2:$B$305,0))</f>
        <v>#N/A</v>
      </c>
      <c r="J910" t="str">
        <f>INDEX('GIS-Standards'!$O$2:$O$305,MATCH(B910,'GIS-Standards'!$B$2:$B$305,0))</f>
        <v>ISO/TC 211</v>
      </c>
      <c r="K910" t="e">
        <f>INDEX('GIS-Standards'!$O$2:$O$305,MATCH(C910,'GIS-Standards'!$B$2:$B$305,0))</f>
        <v>#N/A</v>
      </c>
      <c r="M910" t="s">
        <v>525</v>
      </c>
      <c r="N910">
        <f>INDEX('GIS-Standards'!$I$2:$I$305,MATCH(B910,'GIS-Standards'!$B$2:$B$305,0))</f>
        <v>0</v>
      </c>
      <c r="O910" t="e">
        <f>INDEX('GIS-Standards'!$I$2:$I$305,MATCH(C910,'GIS-Standards'!$B$2:$B$305,0))</f>
        <v>#N/A</v>
      </c>
      <c r="P910" t="e">
        <f>AND(TableRelationships12[[#This Row],[Source Type]]="BIM",TableRelationships12[[#This Row],[Target Type]]="BIM")</f>
        <v>#N/A</v>
      </c>
      <c r="Q910">
        <f t="shared" si="42"/>
        <v>1</v>
      </c>
      <c r="S910">
        <f t="shared" si="43"/>
        <v>1</v>
      </c>
      <c r="T910" s="102" t="str">
        <f>IF(TableRelationships12[[#This Row],[Rank Pedro]]="Low","linkCategory1",IF(TableRelationships12[[#This Row],[Rank Pedro]]="Medium","linkCategory2",IF(TableRelationships12[[#This Row],[Rank Pedro]]="High","linkCategory3","")))</f>
        <v/>
      </c>
      <c r="U910" s="102" t="str">
        <f>IF(TableRelationships12[[#This Row],[Rank Pedro]]="Low","Pink",IF(TableRelationships12[[#This Row],[Rank Pedro]]="Medium","Purple",IF(TableRelationships12[[#This Row],[Rank Pedro]]="High","Brown","")))</f>
        <v/>
      </c>
      <c r="V910" s="4" t="e">
        <f>MAX(INDEX(Standards!$F$2:$F$296,MATCH(B910,Standards!$B$2:$B$296,0)),INDEX(Standards!$F$2:$F$296,MATCH(C910,Standards!$B$2:$B$296,0)))</f>
        <v>#N/A</v>
      </c>
      <c r="W910" t="str">
        <f t="shared" si="44"/>
        <v>#2f89d1</v>
      </c>
    </row>
    <row r="911" spans="1:23" x14ac:dyDescent="0.5">
      <c r="A911" s="54">
        <v>910</v>
      </c>
      <c r="B911" s="90" t="s">
        <v>330</v>
      </c>
      <c r="C911" t="s">
        <v>1415</v>
      </c>
      <c r="D911" s="1" t="s">
        <v>1157</v>
      </c>
      <c r="E911" s="113">
        <v>2016.12</v>
      </c>
      <c r="F911" s="113">
        <v>2021.08</v>
      </c>
      <c r="G911" s="107" t="s">
        <v>1504</v>
      </c>
      <c r="H911">
        <f>INDEX('GIS-Standards'!$A$2:$A$305,MATCH(B911,'GIS-Standards'!$B$2:$B$305,0))</f>
        <v>38</v>
      </c>
      <c r="I911" t="e">
        <f>INDEX('GIS-Standards'!$A$2:$A$305,MATCH(C911,'GIS-Standards'!$B$2:$B$305,0))</f>
        <v>#N/A</v>
      </c>
      <c r="J911" t="str">
        <f>INDEX('GIS-Standards'!$O$2:$O$305,MATCH(B911,'GIS-Standards'!$B$2:$B$305,0))</f>
        <v>ISO/TC 211</v>
      </c>
      <c r="K911" t="e">
        <f>INDEX('GIS-Standards'!$O$2:$O$305,MATCH(C911,'GIS-Standards'!$B$2:$B$305,0))</f>
        <v>#N/A</v>
      </c>
      <c r="M911" t="s">
        <v>525</v>
      </c>
      <c r="N911">
        <f>INDEX('GIS-Standards'!$I$2:$I$305,MATCH(B911,'GIS-Standards'!$B$2:$B$305,0))</f>
        <v>0</v>
      </c>
      <c r="O911" t="e">
        <f>INDEX('GIS-Standards'!$I$2:$I$305,MATCH(C911,'GIS-Standards'!$B$2:$B$305,0))</f>
        <v>#N/A</v>
      </c>
      <c r="P911" t="e">
        <f>AND(TableRelationships12[[#This Row],[Source Type]]="BIM",TableRelationships12[[#This Row],[Target Type]]="BIM")</f>
        <v>#N/A</v>
      </c>
      <c r="Q911">
        <f t="shared" si="42"/>
        <v>1</v>
      </c>
      <c r="S911">
        <f t="shared" si="43"/>
        <v>1</v>
      </c>
      <c r="T911" s="102" t="str">
        <f>IF(TableRelationships12[[#This Row],[Rank Pedro]]="Low","linkCategory1",IF(TableRelationships12[[#This Row],[Rank Pedro]]="Medium","linkCategory2",IF(TableRelationships12[[#This Row],[Rank Pedro]]="High","linkCategory3","")))</f>
        <v/>
      </c>
      <c r="U911" s="102" t="str">
        <f>IF(TableRelationships12[[#This Row],[Rank Pedro]]="Low","Pink",IF(TableRelationships12[[#This Row],[Rank Pedro]]="Medium","Purple",IF(TableRelationships12[[#This Row],[Rank Pedro]]="High","Brown","")))</f>
        <v/>
      </c>
      <c r="V911" s="4" t="e">
        <f>MAX(INDEX(Standards!$F$2:$F$296,MATCH(B911,Standards!$B$2:$B$296,0)),INDEX(Standards!$F$2:$F$296,MATCH(C911,Standards!$B$2:$B$296,0)))</f>
        <v>#N/A</v>
      </c>
      <c r="W911" t="str">
        <f t="shared" si="44"/>
        <v>#2f89d1</v>
      </c>
    </row>
    <row r="912" spans="1:23" x14ac:dyDescent="0.5">
      <c r="A912" s="54">
        <v>911</v>
      </c>
      <c r="B912" s="90" t="s">
        <v>330</v>
      </c>
      <c r="C912" t="s">
        <v>1416</v>
      </c>
      <c r="D912" s="1" t="s">
        <v>1157</v>
      </c>
      <c r="E912" s="113">
        <v>2001.05</v>
      </c>
      <c r="F912" s="113">
        <v>2023.06</v>
      </c>
      <c r="G912" s="107" t="s">
        <v>1504</v>
      </c>
      <c r="H912">
        <f>INDEX('GIS-Standards'!$A$2:$A$305,MATCH(B912,'GIS-Standards'!$B$2:$B$305,0))</f>
        <v>38</v>
      </c>
      <c r="I912" t="e">
        <f>INDEX('GIS-Standards'!$A$2:$A$305,MATCH(C912,'GIS-Standards'!$B$2:$B$305,0))</f>
        <v>#N/A</v>
      </c>
      <c r="J912" t="str">
        <f>INDEX('GIS-Standards'!$O$2:$O$305,MATCH(B912,'GIS-Standards'!$B$2:$B$305,0))</f>
        <v>ISO/TC 211</v>
      </c>
      <c r="K912" t="e">
        <f>INDEX('GIS-Standards'!$O$2:$O$305,MATCH(C912,'GIS-Standards'!$B$2:$B$305,0))</f>
        <v>#N/A</v>
      </c>
      <c r="M912" t="s">
        <v>525</v>
      </c>
      <c r="N912">
        <f>INDEX('GIS-Standards'!$I$2:$I$305,MATCH(B912,'GIS-Standards'!$B$2:$B$305,0))</f>
        <v>0</v>
      </c>
      <c r="O912" t="e">
        <f>INDEX('GIS-Standards'!$I$2:$I$305,MATCH(C912,'GIS-Standards'!$B$2:$B$305,0))</f>
        <v>#N/A</v>
      </c>
      <c r="P912" t="e">
        <f>AND(TableRelationships12[[#This Row],[Source Type]]="BIM",TableRelationships12[[#This Row],[Target Type]]="BIM")</f>
        <v>#N/A</v>
      </c>
      <c r="Q912">
        <f t="shared" si="42"/>
        <v>1</v>
      </c>
      <c r="S912">
        <f t="shared" si="43"/>
        <v>1</v>
      </c>
      <c r="T912" s="102" t="str">
        <f>IF(TableRelationships12[[#This Row],[Rank Pedro]]="Low","linkCategory1",IF(TableRelationships12[[#This Row],[Rank Pedro]]="Medium","linkCategory2",IF(TableRelationships12[[#This Row],[Rank Pedro]]="High","linkCategory3","")))</f>
        <v/>
      </c>
      <c r="U912" s="102" t="str">
        <f>IF(TableRelationships12[[#This Row],[Rank Pedro]]="Low","Pink",IF(TableRelationships12[[#This Row],[Rank Pedro]]="Medium","Purple",IF(TableRelationships12[[#This Row],[Rank Pedro]]="High","Brown","")))</f>
        <v/>
      </c>
      <c r="V912" s="4" t="e">
        <f>MAX(INDEX(Standards!$F$2:$F$296,MATCH(B912,Standards!$B$2:$B$296,0)),INDEX(Standards!$F$2:$F$296,MATCH(C912,Standards!$B$2:$B$296,0)))</f>
        <v>#N/A</v>
      </c>
      <c r="W912" t="str">
        <f t="shared" si="44"/>
        <v>#2f89d1</v>
      </c>
    </row>
    <row r="913" spans="1:23" x14ac:dyDescent="0.5">
      <c r="A913" s="54">
        <v>912</v>
      </c>
      <c r="B913" s="90" t="s">
        <v>330</v>
      </c>
      <c r="C913" t="s">
        <v>1417</v>
      </c>
      <c r="D913" s="1" t="s">
        <v>1157</v>
      </c>
      <c r="E913" s="113">
        <v>2000.11</v>
      </c>
      <c r="F913" s="113">
        <v>2023.06</v>
      </c>
      <c r="G913" s="107" t="s">
        <v>1504</v>
      </c>
      <c r="H913">
        <f>INDEX('GIS-Standards'!$A$2:$A$305,MATCH(B913,'GIS-Standards'!$B$2:$B$305,0))</f>
        <v>38</v>
      </c>
      <c r="I913" t="e">
        <f>INDEX('GIS-Standards'!$A$2:$A$305,MATCH(C913,'GIS-Standards'!$B$2:$B$305,0))</f>
        <v>#N/A</v>
      </c>
      <c r="J913" t="str">
        <f>INDEX('GIS-Standards'!$O$2:$O$305,MATCH(B913,'GIS-Standards'!$B$2:$B$305,0))</f>
        <v>ISO/TC 211</v>
      </c>
      <c r="K913" t="e">
        <f>INDEX('GIS-Standards'!$O$2:$O$305,MATCH(C913,'GIS-Standards'!$B$2:$B$305,0))</f>
        <v>#N/A</v>
      </c>
      <c r="M913" t="s">
        <v>525</v>
      </c>
      <c r="N913">
        <f>INDEX('GIS-Standards'!$I$2:$I$305,MATCH(B913,'GIS-Standards'!$B$2:$B$305,0))</f>
        <v>0</v>
      </c>
      <c r="O913" t="e">
        <f>INDEX('GIS-Standards'!$I$2:$I$305,MATCH(C913,'GIS-Standards'!$B$2:$B$305,0))</f>
        <v>#N/A</v>
      </c>
      <c r="P913" t="e">
        <f>AND(TableRelationships12[[#This Row],[Source Type]]="BIM",TableRelationships12[[#This Row],[Target Type]]="BIM")</f>
        <v>#N/A</v>
      </c>
      <c r="Q913">
        <f t="shared" si="42"/>
        <v>1</v>
      </c>
      <c r="S913">
        <f t="shared" si="43"/>
        <v>1</v>
      </c>
      <c r="T913" s="102" t="str">
        <f>IF(TableRelationships12[[#This Row],[Rank Pedro]]="Low","linkCategory1",IF(TableRelationships12[[#This Row],[Rank Pedro]]="Medium","linkCategory2",IF(TableRelationships12[[#This Row],[Rank Pedro]]="High","linkCategory3","")))</f>
        <v/>
      </c>
      <c r="U913" s="102" t="str">
        <f>IF(TableRelationships12[[#This Row],[Rank Pedro]]="Low","Pink",IF(TableRelationships12[[#This Row],[Rank Pedro]]="Medium","Purple",IF(TableRelationships12[[#This Row],[Rank Pedro]]="High","Brown","")))</f>
        <v/>
      </c>
      <c r="V913" s="4" t="e">
        <f>MAX(INDEX(Standards!$F$2:$F$296,MATCH(B913,Standards!$B$2:$B$296,0)),INDEX(Standards!$F$2:$F$296,MATCH(C913,Standards!$B$2:$B$296,0)))</f>
        <v>#N/A</v>
      </c>
      <c r="W913" t="str">
        <f t="shared" si="44"/>
        <v>#2f89d1</v>
      </c>
    </row>
    <row r="914" spans="1:23" x14ac:dyDescent="0.5">
      <c r="A914" s="54">
        <v>913</v>
      </c>
      <c r="B914" s="90" t="s">
        <v>330</v>
      </c>
      <c r="C914" t="s">
        <v>1418</v>
      </c>
      <c r="D914" s="1" t="s">
        <v>1157</v>
      </c>
      <c r="E914" s="113">
        <v>1987.06</v>
      </c>
      <c r="F914" s="113">
        <v>2023.06</v>
      </c>
      <c r="G914" s="107" t="s">
        <v>1504</v>
      </c>
      <c r="H914">
        <f>INDEX('GIS-Standards'!$A$2:$A$305,MATCH(B914,'GIS-Standards'!$B$2:$B$305,0))</f>
        <v>38</v>
      </c>
      <c r="I914" t="e">
        <f>INDEX('GIS-Standards'!$A$2:$A$305,MATCH(C914,'GIS-Standards'!$B$2:$B$305,0))</f>
        <v>#N/A</v>
      </c>
      <c r="J914" t="str">
        <f>INDEX('GIS-Standards'!$O$2:$O$305,MATCH(B914,'GIS-Standards'!$B$2:$B$305,0))</f>
        <v>ISO/TC 211</v>
      </c>
      <c r="K914" t="e">
        <f>INDEX('GIS-Standards'!$O$2:$O$305,MATCH(C914,'GIS-Standards'!$B$2:$B$305,0))</f>
        <v>#N/A</v>
      </c>
      <c r="M914" t="s">
        <v>525</v>
      </c>
      <c r="N914">
        <f>INDEX('GIS-Standards'!$I$2:$I$305,MATCH(B914,'GIS-Standards'!$B$2:$B$305,0))</f>
        <v>0</v>
      </c>
      <c r="O914" t="e">
        <f>INDEX('GIS-Standards'!$I$2:$I$305,MATCH(C914,'GIS-Standards'!$B$2:$B$305,0))</f>
        <v>#N/A</v>
      </c>
      <c r="P914" t="e">
        <f>AND(TableRelationships12[[#This Row],[Source Type]]="BIM",TableRelationships12[[#This Row],[Target Type]]="BIM")</f>
        <v>#N/A</v>
      </c>
      <c r="Q914">
        <f t="shared" si="42"/>
        <v>1</v>
      </c>
      <c r="S914">
        <f t="shared" si="43"/>
        <v>1</v>
      </c>
      <c r="T914" s="102" t="str">
        <f>IF(TableRelationships12[[#This Row],[Rank Pedro]]="Low","linkCategory1",IF(TableRelationships12[[#This Row],[Rank Pedro]]="Medium","linkCategory2",IF(TableRelationships12[[#This Row],[Rank Pedro]]="High","linkCategory3","")))</f>
        <v/>
      </c>
      <c r="U914" s="102" t="str">
        <f>IF(TableRelationships12[[#This Row],[Rank Pedro]]="Low","Pink",IF(TableRelationships12[[#This Row],[Rank Pedro]]="Medium","Purple",IF(TableRelationships12[[#This Row],[Rank Pedro]]="High","Brown","")))</f>
        <v/>
      </c>
      <c r="V914" s="4" t="e">
        <f>MAX(INDEX(Standards!$F$2:$F$296,MATCH(B914,Standards!$B$2:$B$296,0)),INDEX(Standards!$F$2:$F$296,MATCH(C914,Standards!$B$2:$B$296,0)))</f>
        <v>#N/A</v>
      </c>
      <c r="W914" t="str">
        <f t="shared" si="44"/>
        <v>#2f89d1</v>
      </c>
    </row>
    <row r="915" spans="1:23" x14ac:dyDescent="0.5">
      <c r="A915" s="54">
        <v>914</v>
      </c>
      <c r="B915" s="90" t="s">
        <v>330</v>
      </c>
      <c r="C915" t="s">
        <v>1419</v>
      </c>
      <c r="D915" s="1" t="s">
        <v>1157</v>
      </c>
      <c r="E915" s="113">
        <v>2002.07</v>
      </c>
      <c r="F915" s="113">
        <v>2023.06</v>
      </c>
      <c r="G915" s="107" t="s">
        <v>1504</v>
      </c>
      <c r="H915">
        <f>INDEX('GIS-Standards'!$A$2:$A$305,MATCH(B915,'GIS-Standards'!$B$2:$B$305,0))</f>
        <v>38</v>
      </c>
      <c r="I915" t="e">
        <f>INDEX('GIS-Standards'!$A$2:$A$305,MATCH(C915,'GIS-Standards'!$B$2:$B$305,0))</f>
        <v>#N/A</v>
      </c>
      <c r="J915" t="str">
        <f>INDEX('GIS-Standards'!$O$2:$O$305,MATCH(B915,'GIS-Standards'!$B$2:$B$305,0))</f>
        <v>ISO/TC 211</v>
      </c>
      <c r="K915" t="e">
        <f>INDEX('GIS-Standards'!$O$2:$O$305,MATCH(C915,'GIS-Standards'!$B$2:$B$305,0))</f>
        <v>#N/A</v>
      </c>
      <c r="M915" t="s">
        <v>525</v>
      </c>
      <c r="N915">
        <f>INDEX('GIS-Standards'!$I$2:$I$305,MATCH(B915,'GIS-Standards'!$B$2:$B$305,0))</f>
        <v>0</v>
      </c>
      <c r="O915" t="e">
        <f>INDEX('GIS-Standards'!$I$2:$I$305,MATCH(C915,'GIS-Standards'!$B$2:$B$305,0))</f>
        <v>#N/A</v>
      </c>
      <c r="P915" t="e">
        <f>AND(TableRelationships12[[#This Row],[Source Type]]="BIM",TableRelationships12[[#This Row],[Target Type]]="BIM")</f>
        <v>#N/A</v>
      </c>
      <c r="Q915">
        <f t="shared" si="42"/>
        <v>1</v>
      </c>
      <c r="S915">
        <f t="shared" si="43"/>
        <v>1</v>
      </c>
      <c r="T915" s="102" t="str">
        <f>IF(TableRelationships12[[#This Row],[Rank Pedro]]="Low","linkCategory1",IF(TableRelationships12[[#This Row],[Rank Pedro]]="Medium","linkCategory2",IF(TableRelationships12[[#This Row],[Rank Pedro]]="High","linkCategory3","")))</f>
        <v/>
      </c>
      <c r="U915" s="102" t="str">
        <f>IF(TableRelationships12[[#This Row],[Rank Pedro]]="Low","Pink",IF(TableRelationships12[[#This Row],[Rank Pedro]]="Medium","Purple",IF(TableRelationships12[[#This Row],[Rank Pedro]]="High","Brown","")))</f>
        <v/>
      </c>
      <c r="V915" s="4" t="e">
        <f>MAX(INDEX(Standards!$F$2:$F$296,MATCH(B915,Standards!$B$2:$B$296,0)),INDEX(Standards!$F$2:$F$296,MATCH(C915,Standards!$B$2:$B$296,0)))</f>
        <v>#N/A</v>
      </c>
      <c r="W915" t="str">
        <f t="shared" si="44"/>
        <v>#2f89d1</v>
      </c>
    </row>
    <row r="916" spans="1:23" x14ac:dyDescent="0.5">
      <c r="A916" s="54">
        <v>915</v>
      </c>
      <c r="B916" s="90" t="s">
        <v>330</v>
      </c>
      <c r="C916" t="s">
        <v>1420</v>
      </c>
      <c r="D916" s="1" t="s">
        <v>1157</v>
      </c>
      <c r="E916" s="113">
        <v>2003.12</v>
      </c>
      <c r="F916" s="113">
        <v>2023.06</v>
      </c>
      <c r="G916" s="107" t="s">
        <v>1504</v>
      </c>
      <c r="H916">
        <f>INDEX('GIS-Standards'!$A$2:$A$305,MATCH(B916,'GIS-Standards'!$B$2:$B$305,0))</f>
        <v>38</v>
      </c>
      <c r="I916" t="e">
        <f>INDEX('GIS-Standards'!$A$2:$A$305,MATCH(C916,'GIS-Standards'!$B$2:$B$305,0))</f>
        <v>#N/A</v>
      </c>
      <c r="J916" t="str">
        <f>INDEX('GIS-Standards'!$O$2:$O$305,MATCH(B916,'GIS-Standards'!$B$2:$B$305,0))</f>
        <v>ISO/TC 211</v>
      </c>
      <c r="K916" t="e">
        <f>INDEX('GIS-Standards'!$O$2:$O$305,MATCH(C916,'GIS-Standards'!$B$2:$B$305,0))</f>
        <v>#N/A</v>
      </c>
      <c r="M916" t="s">
        <v>525</v>
      </c>
      <c r="N916">
        <f>INDEX('GIS-Standards'!$I$2:$I$305,MATCH(B916,'GIS-Standards'!$B$2:$B$305,0))</f>
        <v>0</v>
      </c>
      <c r="O916" t="e">
        <f>INDEX('GIS-Standards'!$I$2:$I$305,MATCH(C916,'GIS-Standards'!$B$2:$B$305,0))</f>
        <v>#N/A</v>
      </c>
      <c r="P916" t="e">
        <f>AND(TableRelationships12[[#This Row],[Source Type]]="BIM",TableRelationships12[[#This Row],[Target Type]]="BIM")</f>
        <v>#N/A</v>
      </c>
      <c r="Q916">
        <f t="shared" si="42"/>
        <v>1</v>
      </c>
      <c r="S916">
        <f t="shared" si="43"/>
        <v>1</v>
      </c>
      <c r="T916" s="102" t="str">
        <f>IF(TableRelationships12[[#This Row],[Rank Pedro]]="Low","linkCategory1",IF(TableRelationships12[[#This Row],[Rank Pedro]]="Medium","linkCategory2",IF(TableRelationships12[[#This Row],[Rank Pedro]]="High","linkCategory3","")))</f>
        <v/>
      </c>
      <c r="U916" s="102" t="str">
        <f>IF(TableRelationships12[[#This Row],[Rank Pedro]]="Low","Pink",IF(TableRelationships12[[#This Row],[Rank Pedro]]="Medium","Purple",IF(TableRelationships12[[#This Row],[Rank Pedro]]="High","Brown","")))</f>
        <v/>
      </c>
      <c r="V916" s="4" t="e">
        <f>MAX(INDEX(Standards!$F$2:$F$296,MATCH(B916,Standards!$B$2:$B$296,0)),INDEX(Standards!$F$2:$F$296,MATCH(C916,Standards!$B$2:$B$296,0)))</f>
        <v>#N/A</v>
      </c>
      <c r="W916" t="str">
        <f t="shared" si="44"/>
        <v>#2f89d1</v>
      </c>
    </row>
    <row r="917" spans="1:23" x14ac:dyDescent="0.5">
      <c r="A917" s="54">
        <v>916</v>
      </c>
      <c r="B917" s="90" t="s">
        <v>330</v>
      </c>
      <c r="C917" t="s">
        <v>1421</v>
      </c>
      <c r="D917" s="1" t="s">
        <v>1680</v>
      </c>
      <c r="E917" s="113">
        <v>2019.06</v>
      </c>
      <c r="F917" s="113">
        <v>2023.06</v>
      </c>
      <c r="G917" s="107" t="s">
        <v>1504</v>
      </c>
      <c r="H917">
        <f>INDEX('GIS-Standards'!$A$2:$A$305,MATCH(B917,'GIS-Standards'!$B$2:$B$305,0))</f>
        <v>38</v>
      </c>
      <c r="I917" t="e">
        <f>INDEX('GIS-Standards'!$A$2:$A$305,MATCH(C917,'GIS-Standards'!$B$2:$B$305,0))</f>
        <v>#N/A</v>
      </c>
      <c r="J917" t="str">
        <f>INDEX('GIS-Standards'!$O$2:$O$305,MATCH(B917,'GIS-Standards'!$B$2:$B$305,0))</f>
        <v>ISO/TC 211</v>
      </c>
      <c r="K917" t="e">
        <f>INDEX('GIS-Standards'!$O$2:$O$305,MATCH(C917,'GIS-Standards'!$B$2:$B$305,0))</f>
        <v>#N/A</v>
      </c>
      <c r="M917" t="s">
        <v>525</v>
      </c>
      <c r="N917">
        <f>INDEX('GIS-Standards'!$I$2:$I$305,MATCH(B917,'GIS-Standards'!$B$2:$B$305,0))</f>
        <v>0</v>
      </c>
      <c r="O917" t="e">
        <f>INDEX('GIS-Standards'!$I$2:$I$305,MATCH(C917,'GIS-Standards'!$B$2:$B$305,0))</f>
        <v>#N/A</v>
      </c>
      <c r="P917" t="e">
        <f>AND(TableRelationships12[[#This Row],[Source Type]]="BIM",TableRelationships12[[#This Row],[Target Type]]="BIM")</f>
        <v>#N/A</v>
      </c>
      <c r="Q917">
        <f t="shared" si="42"/>
        <v>1</v>
      </c>
      <c r="S917">
        <f t="shared" si="43"/>
        <v>1</v>
      </c>
      <c r="T917" s="102" t="str">
        <f>IF(TableRelationships12[[#This Row],[Rank Pedro]]="Low","linkCategory1",IF(TableRelationships12[[#This Row],[Rank Pedro]]="Medium","linkCategory2",IF(TableRelationships12[[#This Row],[Rank Pedro]]="High","linkCategory3","")))</f>
        <v/>
      </c>
      <c r="U917" s="102" t="str">
        <f>IF(TableRelationships12[[#This Row],[Rank Pedro]]="Low","Pink",IF(TableRelationships12[[#This Row],[Rank Pedro]]="Medium","Purple",IF(TableRelationships12[[#This Row],[Rank Pedro]]="High","Brown","")))</f>
        <v/>
      </c>
      <c r="V917" s="4" t="e">
        <f>MAX(INDEX(Standards!$F$2:$F$296,MATCH(B917,Standards!$B$2:$B$296,0)),INDEX(Standards!$F$2:$F$296,MATCH(C917,Standards!$B$2:$B$296,0)))</f>
        <v>#N/A</v>
      </c>
      <c r="W917" t="str">
        <f t="shared" si="44"/>
        <v>#2f89d1</v>
      </c>
    </row>
    <row r="918" spans="1:23" x14ac:dyDescent="0.5">
      <c r="A918" s="54">
        <v>917</v>
      </c>
      <c r="B918" s="90" t="s">
        <v>330</v>
      </c>
      <c r="C918" t="s">
        <v>1422</v>
      </c>
      <c r="D918" s="1" t="s">
        <v>1680</v>
      </c>
      <c r="E918" s="113">
        <v>2023.06</v>
      </c>
      <c r="F918" s="113">
        <v>2023.06</v>
      </c>
      <c r="G918" s="107" t="s">
        <v>1504</v>
      </c>
      <c r="H918">
        <f>INDEX('GIS-Standards'!$A$2:$A$305,MATCH(B918,'GIS-Standards'!$B$2:$B$305,0))</f>
        <v>38</v>
      </c>
      <c r="I918" t="e">
        <f>INDEX('GIS-Standards'!$A$2:$A$305,MATCH(C918,'GIS-Standards'!$B$2:$B$305,0))</f>
        <v>#N/A</v>
      </c>
      <c r="J918" t="str">
        <f>INDEX('GIS-Standards'!$O$2:$O$305,MATCH(B918,'GIS-Standards'!$B$2:$B$305,0))</f>
        <v>ISO/TC 211</v>
      </c>
      <c r="K918" t="e">
        <f>INDEX('GIS-Standards'!$O$2:$O$305,MATCH(C918,'GIS-Standards'!$B$2:$B$305,0))</f>
        <v>#N/A</v>
      </c>
      <c r="M918" t="s">
        <v>525</v>
      </c>
      <c r="N918">
        <f>INDEX('GIS-Standards'!$I$2:$I$305,MATCH(B918,'GIS-Standards'!$B$2:$B$305,0))</f>
        <v>0</v>
      </c>
      <c r="O918" t="e">
        <f>INDEX('GIS-Standards'!$I$2:$I$305,MATCH(C918,'GIS-Standards'!$B$2:$B$305,0))</f>
        <v>#N/A</v>
      </c>
      <c r="P918" t="e">
        <f>AND(TableRelationships12[[#This Row],[Source Type]]="BIM",TableRelationships12[[#This Row],[Target Type]]="BIM")</f>
        <v>#N/A</v>
      </c>
      <c r="Q918">
        <f t="shared" si="42"/>
        <v>1</v>
      </c>
      <c r="S918">
        <f t="shared" si="43"/>
        <v>1</v>
      </c>
      <c r="T918" s="102" t="str">
        <f>IF(TableRelationships12[[#This Row],[Rank Pedro]]="Low","linkCategory1",IF(TableRelationships12[[#This Row],[Rank Pedro]]="Medium","linkCategory2",IF(TableRelationships12[[#This Row],[Rank Pedro]]="High","linkCategory3","")))</f>
        <v/>
      </c>
      <c r="U918" s="102" t="str">
        <f>IF(TableRelationships12[[#This Row],[Rank Pedro]]="Low","Pink",IF(TableRelationships12[[#This Row],[Rank Pedro]]="Medium","Purple",IF(TableRelationships12[[#This Row],[Rank Pedro]]="High","Brown","")))</f>
        <v/>
      </c>
      <c r="V918" s="4" t="e">
        <f>MAX(INDEX(Standards!$F$2:$F$296,MATCH(B918,Standards!$B$2:$B$296,0)),INDEX(Standards!$F$2:$F$296,MATCH(C918,Standards!$B$2:$B$296,0)))</f>
        <v>#N/A</v>
      </c>
      <c r="W918" t="str">
        <f t="shared" si="44"/>
        <v>#2f89d1</v>
      </c>
    </row>
    <row r="919" spans="1:23" x14ac:dyDescent="0.5">
      <c r="A919" s="54">
        <v>918</v>
      </c>
      <c r="B919" s="90" t="s">
        <v>330</v>
      </c>
      <c r="C919" t="s">
        <v>1063</v>
      </c>
      <c r="D919" s="1"/>
      <c r="E919" s="112">
        <v>1998.12</v>
      </c>
      <c r="F919" s="112">
        <v>1998.12</v>
      </c>
      <c r="G919" s="107" t="s">
        <v>1502</v>
      </c>
      <c r="H919">
        <f>INDEX('GIS-Standards'!$A$2:$A$305,MATCH(B919,'GIS-Standards'!$B$2:$B$305,0))</f>
        <v>38</v>
      </c>
      <c r="I919" t="e">
        <f>INDEX('GIS-Standards'!$A$2:$A$305,MATCH(C919,'GIS-Standards'!$B$2:$B$305,0))</f>
        <v>#N/A</v>
      </c>
      <c r="J919" t="str">
        <f>INDEX('GIS-Standards'!$O$2:$O$305,MATCH(B919,'GIS-Standards'!$B$2:$B$305,0))</f>
        <v>ISO/TC 211</v>
      </c>
      <c r="K919" t="e">
        <f>INDEX('GIS-Standards'!$O$2:$O$305,MATCH(C919,'GIS-Standards'!$B$2:$B$305,0))</f>
        <v>#N/A</v>
      </c>
      <c r="M919" t="s">
        <v>525</v>
      </c>
      <c r="N919">
        <f>INDEX('GIS-Standards'!$I$2:$I$305,MATCH(B919,'GIS-Standards'!$B$2:$B$305,0))</f>
        <v>0</v>
      </c>
      <c r="O919" t="e">
        <f>INDEX('GIS-Standards'!$I$2:$I$305,MATCH(C919,'GIS-Standards'!$B$2:$B$305,0))</f>
        <v>#N/A</v>
      </c>
      <c r="P919" t="e">
        <f>AND(TableRelationships12[[#This Row],[Source Type]]="BIM",TableRelationships12[[#This Row],[Target Type]]="BIM")</f>
        <v>#N/A</v>
      </c>
      <c r="Q919">
        <f t="shared" si="42"/>
        <v>1</v>
      </c>
      <c r="S919">
        <f t="shared" si="43"/>
        <v>1</v>
      </c>
      <c r="T919" s="102" t="str">
        <f>IF(TableRelationships12[[#This Row],[Rank Pedro]]="Low","linkCategory1",IF(TableRelationships12[[#This Row],[Rank Pedro]]="Medium","linkCategory2",IF(TableRelationships12[[#This Row],[Rank Pedro]]="High","linkCategory3","")))</f>
        <v/>
      </c>
      <c r="U919" s="102" t="str">
        <f>IF(TableRelationships12[[#This Row],[Rank Pedro]]="Low","Pink",IF(TableRelationships12[[#This Row],[Rank Pedro]]="Medium","Purple",IF(TableRelationships12[[#This Row],[Rank Pedro]]="High","Brown","")))</f>
        <v/>
      </c>
      <c r="V919" s="4" t="e">
        <f>MAX(INDEX(Standards!$F$2:$F$296,MATCH(B919,Standards!$B$2:$B$296,0)),INDEX(Standards!$F$2:$F$296,MATCH(C919,Standards!$B$2:$B$296,0)))</f>
        <v>#N/A</v>
      </c>
      <c r="W919" t="str">
        <f t="shared" si="44"/>
        <v>#2f89d1</v>
      </c>
    </row>
    <row r="920" spans="1:23" x14ac:dyDescent="0.5">
      <c r="A920" s="54">
        <v>919</v>
      </c>
      <c r="B920" s="90" t="s">
        <v>330</v>
      </c>
      <c r="C920" t="s">
        <v>194</v>
      </c>
      <c r="D920" s="1"/>
      <c r="E920" s="112">
        <v>1996.12</v>
      </c>
      <c r="F920" s="112">
        <v>2007.12</v>
      </c>
      <c r="G920" s="107" t="s">
        <v>1504</v>
      </c>
      <c r="H920">
        <f>INDEX('GIS-Standards'!$A$2:$A$305,MATCH(B920,'GIS-Standards'!$B$2:$B$305,0))</f>
        <v>38</v>
      </c>
      <c r="I920" t="e">
        <f>INDEX('GIS-Standards'!$A$2:$A$305,MATCH(C920,'GIS-Standards'!$B$2:$B$305,0))</f>
        <v>#N/A</v>
      </c>
      <c r="J920" t="str">
        <f>INDEX('GIS-Standards'!$O$2:$O$305,MATCH(B920,'GIS-Standards'!$B$2:$B$305,0))</f>
        <v>ISO/TC 211</v>
      </c>
      <c r="K920" t="e">
        <f>INDEX('GIS-Standards'!$O$2:$O$305,MATCH(C920,'GIS-Standards'!$B$2:$B$305,0))</f>
        <v>#N/A</v>
      </c>
      <c r="M920" t="s">
        <v>525</v>
      </c>
      <c r="N920">
        <f>INDEX('GIS-Standards'!$I$2:$I$305,MATCH(B920,'GIS-Standards'!$B$2:$B$305,0))</f>
        <v>0</v>
      </c>
      <c r="O920" t="e">
        <f>INDEX('GIS-Standards'!$I$2:$I$305,MATCH(C920,'GIS-Standards'!$B$2:$B$305,0))</f>
        <v>#N/A</v>
      </c>
      <c r="P920" t="e">
        <f>AND(TableRelationships12[[#This Row],[Source Type]]="BIM",TableRelationships12[[#This Row],[Target Type]]="BIM")</f>
        <v>#N/A</v>
      </c>
      <c r="Q920">
        <f t="shared" si="42"/>
        <v>1</v>
      </c>
      <c r="S920">
        <f t="shared" si="43"/>
        <v>1</v>
      </c>
      <c r="T920" s="102" t="str">
        <f>IF(TableRelationships12[[#This Row],[Rank Pedro]]="Low","linkCategory1",IF(TableRelationships12[[#This Row],[Rank Pedro]]="Medium","linkCategory2",IF(TableRelationships12[[#This Row],[Rank Pedro]]="High","linkCategory3","")))</f>
        <v/>
      </c>
      <c r="U920" s="102" t="str">
        <f>IF(TableRelationships12[[#This Row],[Rank Pedro]]="Low","Pink",IF(TableRelationships12[[#This Row],[Rank Pedro]]="Medium","Purple",IF(TableRelationships12[[#This Row],[Rank Pedro]]="High","Brown","")))</f>
        <v/>
      </c>
      <c r="V920" s="4">
        <f>MAX(INDEX(Standards!$F$2:$F$296,MATCH(B920,Standards!$B$2:$B$296,0)),INDEX(Standards!$F$2:$F$296,MATCH(C920,Standards!$B$2:$B$296,0)))</f>
        <v>39356</v>
      </c>
      <c r="W920" t="str">
        <f t="shared" si="44"/>
        <v>#2f89d1</v>
      </c>
    </row>
    <row r="921" spans="1:23" x14ac:dyDescent="0.5">
      <c r="A921" s="54">
        <v>920</v>
      </c>
      <c r="B921" s="90" t="s">
        <v>330</v>
      </c>
      <c r="C921" t="s">
        <v>1072</v>
      </c>
      <c r="D921" s="1" t="s">
        <v>1172</v>
      </c>
      <c r="E921" s="113">
        <v>2011.07</v>
      </c>
      <c r="F921" s="113">
        <v>2020.03</v>
      </c>
      <c r="G921" s="107" t="s">
        <v>1456</v>
      </c>
      <c r="H921">
        <f>INDEX('GIS-Standards'!$A$2:$A$305,MATCH(B921,'GIS-Standards'!$B$2:$B$305,0))</f>
        <v>38</v>
      </c>
      <c r="I921" t="e">
        <f>INDEX('GIS-Standards'!$A$2:$A$305,MATCH(C921,'GIS-Standards'!$B$2:$B$305,0))</f>
        <v>#N/A</v>
      </c>
      <c r="J921" t="str">
        <f>INDEX('GIS-Standards'!$O$2:$O$305,MATCH(B921,'GIS-Standards'!$B$2:$B$305,0))</f>
        <v>ISO/TC 211</v>
      </c>
      <c r="K921" t="e">
        <f>INDEX('GIS-Standards'!$O$2:$O$305,MATCH(C921,'GIS-Standards'!$B$2:$B$305,0))</f>
        <v>#N/A</v>
      </c>
      <c r="M921" t="s">
        <v>525</v>
      </c>
      <c r="N921">
        <f>INDEX('GIS-Standards'!$I$2:$I$305,MATCH(B921,'GIS-Standards'!$B$2:$B$305,0))</f>
        <v>0</v>
      </c>
      <c r="O921" t="e">
        <f>INDEX('GIS-Standards'!$I$2:$I$305,MATCH(C921,'GIS-Standards'!$B$2:$B$305,0))</f>
        <v>#N/A</v>
      </c>
      <c r="P921" t="e">
        <f>AND(TableRelationships12[[#This Row],[Source Type]]="BIM",TableRelationships12[[#This Row],[Target Type]]="BIM")</f>
        <v>#N/A</v>
      </c>
      <c r="Q921">
        <f t="shared" si="42"/>
        <v>1</v>
      </c>
      <c r="S921">
        <f t="shared" si="43"/>
        <v>1</v>
      </c>
      <c r="T921" s="102" t="str">
        <f>IF(TableRelationships12[[#This Row],[Rank Pedro]]="Low","linkCategory1",IF(TableRelationships12[[#This Row],[Rank Pedro]]="Medium","linkCategory2",IF(TableRelationships12[[#This Row],[Rank Pedro]]="High","linkCategory3","")))</f>
        <v/>
      </c>
      <c r="U921" s="102" t="str">
        <f>IF(TableRelationships12[[#This Row],[Rank Pedro]]="Low","Pink",IF(TableRelationships12[[#This Row],[Rank Pedro]]="Medium","Purple",IF(TableRelationships12[[#This Row],[Rank Pedro]]="High","Brown","")))</f>
        <v/>
      </c>
      <c r="V921" s="4" t="e">
        <f>MAX(INDEX(Standards!$F$2:$F$296,MATCH(B921,Standards!$B$2:$B$296,0)),INDEX(Standards!$F$2:$F$296,MATCH(C921,Standards!$B$2:$B$296,0)))</f>
        <v>#N/A</v>
      </c>
      <c r="W921" t="str">
        <f t="shared" si="44"/>
        <v>#2f89d1</v>
      </c>
    </row>
    <row r="922" spans="1:23" x14ac:dyDescent="0.5">
      <c r="A922" s="54">
        <v>921</v>
      </c>
      <c r="B922" s="90" t="s">
        <v>330</v>
      </c>
      <c r="C922" t="s">
        <v>1073</v>
      </c>
      <c r="D922" s="1" t="s">
        <v>1172</v>
      </c>
      <c r="E922" s="113">
        <v>2011.07</v>
      </c>
      <c r="F922" s="113">
        <v>2020.11</v>
      </c>
      <c r="G922" s="107" t="s">
        <v>1456</v>
      </c>
      <c r="H922">
        <f>INDEX('GIS-Standards'!$A$2:$A$305,MATCH(B922,'GIS-Standards'!$B$2:$B$305,0))</f>
        <v>38</v>
      </c>
      <c r="I922" t="e">
        <f>INDEX('GIS-Standards'!$A$2:$A$305,MATCH(C922,'GIS-Standards'!$B$2:$B$305,0))</f>
        <v>#N/A</v>
      </c>
      <c r="J922" t="str">
        <f>INDEX('GIS-Standards'!$O$2:$O$305,MATCH(B922,'GIS-Standards'!$B$2:$B$305,0))</f>
        <v>ISO/TC 211</v>
      </c>
      <c r="K922" t="e">
        <f>INDEX('GIS-Standards'!$O$2:$O$305,MATCH(C922,'GIS-Standards'!$B$2:$B$305,0))</f>
        <v>#N/A</v>
      </c>
      <c r="M922" t="s">
        <v>525</v>
      </c>
      <c r="N922">
        <f>INDEX('GIS-Standards'!$I$2:$I$305,MATCH(B922,'GIS-Standards'!$B$2:$B$305,0))</f>
        <v>0</v>
      </c>
      <c r="O922" t="e">
        <f>INDEX('GIS-Standards'!$I$2:$I$305,MATCH(C922,'GIS-Standards'!$B$2:$B$305,0))</f>
        <v>#N/A</v>
      </c>
      <c r="P922" t="e">
        <f>AND(TableRelationships12[[#This Row],[Source Type]]="BIM",TableRelationships12[[#This Row],[Target Type]]="BIM")</f>
        <v>#N/A</v>
      </c>
      <c r="Q922">
        <f t="shared" si="42"/>
        <v>1</v>
      </c>
      <c r="S922">
        <f t="shared" si="43"/>
        <v>1</v>
      </c>
      <c r="T922" s="102" t="str">
        <f>IF(TableRelationships12[[#This Row],[Rank Pedro]]="Low","linkCategory1",IF(TableRelationships12[[#This Row],[Rank Pedro]]="Medium","linkCategory2",IF(TableRelationships12[[#This Row],[Rank Pedro]]="High","linkCategory3","")))</f>
        <v/>
      </c>
      <c r="U922" s="102" t="str">
        <f>IF(TableRelationships12[[#This Row],[Rank Pedro]]="Low","Pink",IF(TableRelationships12[[#This Row],[Rank Pedro]]="Medium","Purple",IF(TableRelationships12[[#This Row],[Rank Pedro]]="High","Brown","")))</f>
        <v/>
      </c>
      <c r="V922" s="4" t="e">
        <f>MAX(INDEX(Standards!$F$2:$F$296,MATCH(B922,Standards!$B$2:$B$296,0)),INDEX(Standards!$F$2:$F$296,MATCH(C922,Standards!$B$2:$B$296,0)))</f>
        <v>#N/A</v>
      </c>
      <c r="W922" t="str">
        <f t="shared" si="44"/>
        <v>#2f89d1</v>
      </c>
    </row>
    <row r="923" spans="1:23" x14ac:dyDescent="0.5">
      <c r="A923" s="54">
        <v>922</v>
      </c>
      <c r="B923" s="90" t="s">
        <v>330</v>
      </c>
      <c r="C923" t="s">
        <v>293</v>
      </c>
      <c r="D923" s="1" t="s">
        <v>1127</v>
      </c>
      <c r="E923" s="112">
        <v>2002.07</v>
      </c>
      <c r="F923" s="112">
        <v>2014.11</v>
      </c>
      <c r="G923" s="107" t="s">
        <v>670</v>
      </c>
      <c r="H923">
        <f>INDEX('GIS-Standards'!$A$2:$A$305,MATCH(B923,'GIS-Standards'!$B$2:$B$305,0))</f>
        <v>38</v>
      </c>
      <c r="I923">
        <f>INDEX('GIS-Standards'!$A$2:$A$305,MATCH(C923,'GIS-Standards'!$B$2:$B$305,0))</f>
        <v>10</v>
      </c>
      <c r="J923" t="str">
        <f>INDEX('GIS-Standards'!$O$2:$O$305,MATCH(B923,'GIS-Standards'!$B$2:$B$305,0))</f>
        <v>ISO/TC 211</v>
      </c>
      <c r="K923" t="str">
        <f>INDEX('GIS-Standards'!$O$2:$O$305,MATCH(C923,'GIS-Standards'!$B$2:$B$305,0))</f>
        <v>ISO/TC 211</v>
      </c>
      <c r="M923" t="s">
        <v>525</v>
      </c>
      <c r="N923">
        <f>INDEX('GIS-Standards'!$I$2:$I$305,MATCH(B923,'GIS-Standards'!$B$2:$B$305,0))</f>
        <v>0</v>
      </c>
      <c r="O923">
        <f>INDEX('GIS-Standards'!$I$2:$I$305,MATCH(C923,'GIS-Standards'!$B$2:$B$305,0))</f>
        <v>0</v>
      </c>
      <c r="P923" t="b">
        <f>AND(TableRelationships12[[#This Row],[Source Type]]="BIM",TableRelationships12[[#This Row],[Target Type]]="BIM")</f>
        <v>0</v>
      </c>
      <c r="Q923">
        <f t="shared" si="42"/>
        <v>1</v>
      </c>
      <c r="S923">
        <f t="shared" si="43"/>
        <v>1</v>
      </c>
      <c r="T923" s="102" t="str">
        <f>IF(TableRelationships12[[#This Row],[Rank Pedro]]="Low","linkCategory1",IF(TableRelationships12[[#This Row],[Rank Pedro]]="Medium","linkCategory2",IF(TableRelationships12[[#This Row],[Rank Pedro]]="High","linkCategory3","")))</f>
        <v/>
      </c>
      <c r="U923" s="102" t="str">
        <f>IF(TableRelationships12[[#This Row],[Rank Pedro]]="Low","Pink",IF(TableRelationships12[[#This Row],[Rank Pedro]]="Medium","Purple",IF(TableRelationships12[[#This Row],[Rank Pedro]]="High","Brown","")))</f>
        <v/>
      </c>
      <c r="V923" s="4">
        <f>MAX(INDEX(Standards!$F$2:$F$296,MATCH(B923,Standards!$B$2:$B$296,0)),INDEX(Standards!$F$2:$F$296,MATCH(C923,Standards!$B$2:$B$296,0)))</f>
        <v>39356</v>
      </c>
      <c r="W923" t="str">
        <f t="shared" si="44"/>
        <v>#2f89d1</v>
      </c>
    </row>
    <row r="924" spans="1:23" x14ac:dyDescent="0.5">
      <c r="A924" s="54">
        <v>923</v>
      </c>
      <c r="B924" s="90" t="s">
        <v>330</v>
      </c>
      <c r="C924" t="s">
        <v>631</v>
      </c>
      <c r="D924" s="1" t="s">
        <v>1135</v>
      </c>
      <c r="E924" s="112">
        <v>2008.06</v>
      </c>
      <c r="F924" s="112">
        <v>2018.05</v>
      </c>
      <c r="G924" s="107" t="s">
        <v>670</v>
      </c>
      <c r="H924">
        <f>INDEX('GIS-Standards'!$A$2:$A$305,MATCH(B924,'GIS-Standards'!$B$2:$B$305,0))</f>
        <v>38</v>
      </c>
      <c r="I924">
        <f>INDEX('GIS-Standards'!$A$2:$A$305,MATCH(C924,'GIS-Standards'!$B$2:$B$305,0))</f>
        <v>11</v>
      </c>
      <c r="J924" t="str">
        <f>INDEX('GIS-Standards'!$O$2:$O$305,MATCH(B924,'GIS-Standards'!$B$2:$B$305,0))</f>
        <v>ISO/TC 211</v>
      </c>
      <c r="K924" t="str">
        <f>INDEX('GIS-Standards'!$O$2:$O$305,MATCH(C924,'GIS-Standards'!$B$2:$B$305,0))</f>
        <v>ISO/TC 211</v>
      </c>
      <c r="M924" t="s">
        <v>525</v>
      </c>
      <c r="N924">
        <f>INDEX('GIS-Standards'!$I$2:$I$305,MATCH(B924,'GIS-Standards'!$B$2:$B$305,0))</f>
        <v>0</v>
      </c>
      <c r="O924">
        <f>INDEX('GIS-Standards'!$I$2:$I$305,MATCH(C924,'GIS-Standards'!$B$2:$B$305,0))</f>
        <v>0</v>
      </c>
      <c r="P924" t="b">
        <f>AND(TableRelationships12[[#This Row],[Source Type]]="BIM",TableRelationships12[[#This Row],[Target Type]]="BIM")</f>
        <v>0</v>
      </c>
      <c r="Q924">
        <f t="shared" si="42"/>
        <v>1</v>
      </c>
      <c r="S924">
        <f t="shared" si="43"/>
        <v>1</v>
      </c>
      <c r="T924" s="102" t="str">
        <f>IF(TableRelationships12[[#This Row],[Rank Pedro]]="Low","linkCategory1",IF(TableRelationships12[[#This Row],[Rank Pedro]]="Medium","linkCategory2",IF(TableRelationships12[[#This Row],[Rank Pedro]]="High","linkCategory3","")))</f>
        <v/>
      </c>
      <c r="U924" s="102" t="str">
        <f>IF(TableRelationships12[[#This Row],[Rank Pedro]]="Low","Pink",IF(TableRelationships12[[#This Row],[Rank Pedro]]="Medium","Purple",IF(TableRelationships12[[#This Row],[Rank Pedro]]="High","Brown","")))</f>
        <v/>
      </c>
      <c r="V924" s="4" t="e">
        <f>MAX(INDEX(Standards!$F$2:$F$296,MATCH(B924,Standards!$B$2:$B$296,0)),INDEX(Standards!$F$2:$F$296,MATCH(C924,Standards!$B$2:$B$296,0)))</f>
        <v>#N/A</v>
      </c>
      <c r="W924" t="str">
        <f t="shared" si="44"/>
        <v>#2f89d1</v>
      </c>
    </row>
    <row r="925" spans="1:23" x14ac:dyDescent="0.5">
      <c r="A925" s="54">
        <v>924</v>
      </c>
      <c r="B925" s="90" t="s">
        <v>330</v>
      </c>
      <c r="C925" t="s">
        <v>314</v>
      </c>
      <c r="D925" s="1" t="s">
        <v>1099</v>
      </c>
      <c r="E925" s="112">
        <v>2003.05</v>
      </c>
      <c r="F925" s="112">
        <v>2020.11</v>
      </c>
      <c r="G925" s="107" t="s">
        <v>670</v>
      </c>
      <c r="H925">
        <f>INDEX('GIS-Standards'!$A$2:$A$305,MATCH(B925,'GIS-Standards'!$B$2:$B$305,0))</f>
        <v>38</v>
      </c>
      <c r="I925">
        <f>INDEX('GIS-Standards'!$A$2:$A$305,MATCH(C925,'GIS-Standards'!$B$2:$B$305,0))</f>
        <v>22</v>
      </c>
      <c r="J925" t="str">
        <f>INDEX('GIS-Standards'!$O$2:$O$305,MATCH(B925,'GIS-Standards'!$B$2:$B$305,0))</f>
        <v>ISO/TC 211</v>
      </c>
      <c r="K925" t="str">
        <f>INDEX('GIS-Standards'!$O$2:$O$305,MATCH(C925,'GIS-Standards'!$B$2:$B$305,0))</f>
        <v>ISO/TC 211</v>
      </c>
      <c r="M925" t="s">
        <v>525</v>
      </c>
      <c r="N925">
        <f>INDEX('GIS-Standards'!$I$2:$I$305,MATCH(B925,'GIS-Standards'!$B$2:$B$305,0))</f>
        <v>0</v>
      </c>
      <c r="O925" t="str">
        <f>INDEX('GIS-Standards'!$I$2:$I$305,MATCH(C925,'GIS-Standards'!$B$2:$B$305,0))</f>
        <v>12.2020</v>
      </c>
      <c r="P925" t="b">
        <f>AND(TableRelationships12[[#This Row],[Source Type]]="BIM",TableRelationships12[[#This Row],[Target Type]]="BIM")</f>
        <v>0</v>
      </c>
      <c r="Q925">
        <f t="shared" si="42"/>
        <v>1</v>
      </c>
      <c r="S925">
        <f t="shared" si="43"/>
        <v>1</v>
      </c>
      <c r="T925" s="102" t="str">
        <f>IF(TableRelationships12[[#This Row],[Rank Pedro]]="Low","linkCategory1",IF(TableRelationships12[[#This Row],[Rank Pedro]]="Medium","linkCategory2",IF(TableRelationships12[[#This Row],[Rank Pedro]]="High","linkCategory3","")))</f>
        <v/>
      </c>
      <c r="U925" s="102" t="str">
        <f>IF(TableRelationships12[[#This Row],[Rank Pedro]]="Low","Pink",IF(TableRelationships12[[#This Row],[Rank Pedro]]="Medium","Purple",IF(TableRelationships12[[#This Row],[Rank Pedro]]="High","Brown","")))</f>
        <v/>
      </c>
      <c r="V925" s="4">
        <f>MAX(INDEX(Standards!$F$2:$F$296,MATCH(B925,Standards!$B$2:$B$296,0)),INDEX(Standards!$F$2:$F$296,MATCH(C925,Standards!$B$2:$B$296,0)))</f>
        <v>39356</v>
      </c>
      <c r="W925" t="str">
        <f t="shared" si="44"/>
        <v>#2f89d1</v>
      </c>
    </row>
    <row r="926" spans="1:23" x14ac:dyDescent="0.5">
      <c r="A926" s="54">
        <v>925</v>
      </c>
      <c r="B926" s="90" t="s">
        <v>330</v>
      </c>
      <c r="C926" t="s">
        <v>1043</v>
      </c>
      <c r="D926" s="1"/>
      <c r="E926" s="112">
        <v>2004.07</v>
      </c>
      <c r="F926" s="112">
        <v>2025.04</v>
      </c>
      <c r="G926" s="107" t="s">
        <v>670</v>
      </c>
      <c r="H926">
        <f>INDEX('GIS-Standards'!$A$2:$A$305,MATCH(B926,'GIS-Standards'!$B$2:$B$305,0))</f>
        <v>38</v>
      </c>
      <c r="I926">
        <f>INDEX('GIS-Standards'!$A$2:$A$305,MATCH(C926,'GIS-Standards'!$B$2:$B$305,0))</f>
        <v>25</v>
      </c>
      <c r="J926" t="str">
        <f>INDEX('GIS-Standards'!$O$2:$O$305,MATCH(B926,'GIS-Standards'!$B$2:$B$305,0))</f>
        <v>ISO/TC 211</v>
      </c>
      <c r="K926" t="str">
        <f>INDEX('GIS-Standards'!$O$2:$O$305,MATCH(C926,'GIS-Standards'!$B$2:$B$305,0))</f>
        <v>ISO/TC 211</v>
      </c>
      <c r="M926" t="s">
        <v>525</v>
      </c>
      <c r="N926">
        <f>INDEX('GIS-Standards'!$I$2:$I$305,MATCH(B926,'GIS-Standards'!$B$2:$B$305,0))</f>
        <v>0</v>
      </c>
      <c r="O926">
        <f>INDEX('GIS-Standards'!$I$2:$I$305,MATCH(C926,'GIS-Standards'!$B$2:$B$305,0))</f>
        <v>0</v>
      </c>
      <c r="P926" t="b">
        <f>AND(TableRelationships12[[#This Row],[Source Type]]="BIM",TableRelationships12[[#This Row],[Target Type]]="BIM")</f>
        <v>0</v>
      </c>
      <c r="Q926">
        <f t="shared" si="42"/>
        <v>1</v>
      </c>
      <c r="S926">
        <f t="shared" si="43"/>
        <v>1</v>
      </c>
      <c r="T926" s="102" t="str">
        <f>IF(TableRelationships12[[#This Row],[Rank Pedro]]="Low","linkCategory1",IF(TableRelationships12[[#This Row],[Rank Pedro]]="Medium","linkCategory2",IF(TableRelationships12[[#This Row],[Rank Pedro]]="High","linkCategory3","")))</f>
        <v/>
      </c>
      <c r="U926" s="102" t="str">
        <f>IF(TableRelationships12[[#This Row],[Rank Pedro]]="Low","Pink",IF(TableRelationships12[[#This Row],[Rank Pedro]]="Medium","Purple",IF(TableRelationships12[[#This Row],[Rank Pedro]]="High","Brown","")))</f>
        <v/>
      </c>
      <c r="V926" s="4" t="e">
        <f>MAX(INDEX(Standards!$F$2:$F$296,MATCH(B926,Standards!$B$2:$B$296,0)),INDEX(Standards!$F$2:$F$296,MATCH(C926,Standards!$B$2:$B$296,0)))</f>
        <v>#N/A</v>
      </c>
      <c r="W926" t="str">
        <f t="shared" si="44"/>
        <v>#2f89d1</v>
      </c>
    </row>
    <row r="927" spans="1:23" x14ac:dyDescent="0.5">
      <c r="A927" s="54">
        <v>926</v>
      </c>
      <c r="B927" s="90" t="s">
        <v>330</v>
      </c>
      <c r="C927" t="s">
        <v>316</v>
      </c>
      <c r="D927" s="1"/>
      <c r="E927" s="112">
        <v>2005.07</v>
      </c>
      <c r="F927" s="112">
        <v>2011.1</v>
      </c>
      <c r="G927" s="107" t="s">
        <v>670</v>
      </c>
      <c r="H927">
        <f>INDEX('GIS-Standards'!$A$2:$A$305,MATCH(B927,'GIS-Standards'!$B$2:$B$305,0))</f>
        <v>38</v>
      </c>
      <c r="I927">
        <f>INDEX('GIS-Standards'!$A$2:$A$305,MATCH(C927,'GIS-Standards'!$B$2:$B$305,0))</f>
        <v>27</v>
      </c>
      <c r="J927" t="str">
        <f>INDEX('GIS-Standards'!$O$2:$O$305,MATCH(B927,'GIS-Standards'!$B$2:$B$305,0))</f>
        <v>ISO/TC 211</v>
      </c>
      <c r="K927" t="str">
        <f>INDEX('GIS-Standards'!$O$2:$O$305,MATCH(C927,'GIS-Standards'!$B$2:$B$305,0))</f>
        <v>ISO/TC 211</v>
      </c>
      <c r="M927" t="s">
        <v>525</v>
      </c>
      <c r="N927">
        <f>INDEX('GIS-Standards'!$I$2:$I$305,MATCH(B927,'GIS-Standards'!$B$2:$B$305,0))</f>
        <v>0</v>
      </c>
      <c r="O927">
        <f>INDEX('GIS-Standards'!$I$2:$I$305,MATCH(C927,'GIS-Standards'!$B$2:$B$305,0))</f>
        <v>0</v>
      </c>
      <c r="P927" t="b">
        <f>AND(TableRelationships12[[#This Row],[Source Type]]="BIM",TableRelationships12[[#This Row],[Target Type]]="BIM")</f>
        <v>0</v>
      </c>
      <c r="Q927">
        <f t="shared" si="42"/>
        <v>1</v>
      </c>
      <c r="S927">
        <f t="shared" si="43"/>
        <v>1</v>
      </c>
      <c r="T927" s="102" t="str">
        <f>IF(TableRelationships12[[#This Row],[Rank Pedro]]="Low","linkCategory1",IF(TableRelationships12[[#This Row],[Rank Pedro]]="Medium","linkCategory2",IF(TableRelationships12[[#This Row],[Rank Pedro]]="High","linkCategory3","")))</f>
        <v/>
      </c>
      <c r="U927" s="102" t="str">
        <f>IF(TableRelationships12[[#This Row],[Rank Pedro]]="Low","Pink",IF(TableRelationships12[[#This Row],[Rank Pedro]]="Medium","Purple",IF(TableRelationships12[[#This Row],[Rank Pedro]]="High","Brown","")))</f>
        <v/>
      </c>
      <c r="V927" s="4">
        <f>MAX(INDEX(Standards!$F$2:$F$296,MATCH(B927,Standards!$B$2:$B$296,0)),INDEX(Standards!$F$2:$F$296,MATCH(C927,Standards!$B$2:$B$296,0)))</f>
        <v>39356</v>
      </c>
      <c r="W927" t="str">
        <f t="shared" si="44"/>
        <v>#2f89d1</v>
      </c>
    </row>
    <row r="928" spans="1:23" x14ac:dyDescent="0.5">
      <c r="A928" s="54">
        <v>927</v>
      </c>
      <c r="B928" s="90" t="s">
        <v>330</v>
      </c>
      <c r="C928" t="s">
        <v>318</v>
      </c>
      <c r="D928" s="1"/>
      <c r="E928" s="112">
        <v>2005.02</v>
      </c>
      <c r="F928" s="112">
        <v>2016.01</v>
      </c>
      <c r="G928" s="107" t="s">
        <v>670</v>
      </c>
      <c r="H928">
        <f>INDEX('GIS-Standards'!$A$2:$A$305,MATCH(B928,'GIS-Standards'!$B$2:$B$305,0))</f>
        <v>38</v>
      </c>
      <c r="I928">
        <f>INDEX('GIS-Standards'!$A$2:$A$305,MATCH(C928,'GIS-Standards'!$B$2:$B$305,0))</f>
        <v>28</v>
      </c>
      <c r="J928" t="str">
        <f>INDEX('GIS-Standards'!$O$2:$O$305,MATCH(B928,'GIS-Standards'!$B$2:$B$305,0))</f>
        <v>ISO/TC 211</v>
      </c>
      <c r="K928" t="str">
        <f>INDEX('GIS-Standards'!$O$2:$O$305,MATCH(C928,'GIS-Standards'!$B$2:$B$305,0))</f>
        <v>ISO/TC 211</v>
      </c>
      <c r="M928" t="s">
        <v>525</v>
      </c>
      <c r="N928">
        <f>INDEX('GIS-Standards'!$I$2:$I$305,MATCH(B928,'GIS-Standards'!$B$2:$B$305,0))</f>
        <v>0</v>
      </c>
      <c r="O928">
        <f>INDEX('GIS-Standards'!$I$2:$I$305,MATCH(C928,'GIS-Standards'!$B$2:$B$305,0))</f>
        <v>0</v>
      </c>
      <c r="P928" t="b">
        <f>AND(TableRelationships12[[#This Row],[Source Type]]="BIM",TableRelationships12[[#This Row],[Target Type]]="BIM")</f>
        <v>0</v>
      </c>
      <c r="Q928">
        <f t="shared" si="42"/>
        <v>1</v>
      </c>
      <c r="S928">
        <f t="shared" si="43"/>
        <v>1</v>
      </c>
      <c r="T928" s="102" t="str">
        <f>IF(TableRelationships12[[#This Row],[Rank Pedro]]="Low","linkCategory1",IF(TableRelationships12[[#This Row],[Rank Pedro]]="Medium","linkCategory2",IF(TableRelationships12[[#This Row],[Rank Pedro]]="High","linkCategory3","")))</f>
        <v/>
      </c>
      <c r="U928" s="102" t="str">
        <f>IF(TableRelationships12[[#This Row],[Rank Pedro]]="Low","Pink",IF(TableRelationships12[[#This Row],[Rank Pedro]]="Medium","Purple",IF(TableRelationships12[[#This Row],[Rank Pedro]]="High","Brown","")))</f>
        <v/>
      </c>
      <c r="V928" s="4">
        <f>MAX(INDEX(Standards!$F$2:$F$296,MATCH(B928,Standards!$B$2:$B$296,0)),INDEX(Standards!$F$2:$F$296,MATCH(C928,Standards!$B$2:$B$296,0)))</f>
        <v>39356</v>
      </c>
      <c r="W928" t="str">
        <f t="shared" si="44"/>
        <v>#2f89d1</v>
      </c>
    </row>
    <row r="929" spans="1:23" x14ac:dyDescent="0.5">
      <c r="A929" s="54">
        <v>928</v>
      </c>
      <c r="B929" s="90" t="s">
        <v>330</v>
      </c>
      <c r="C929" t="s">
        <v>338</v>
      </c>
      <c r="D929" s="1"/>
      <c r="E929" s="112">
        <v>2008.06</v>
      </c>
      <c r="F929" s="112">
        <v>2008.06</v>
      </c>
      <c r="G929" s="107" t="s">
        <v>670</v>
      </c>
      <c r="H929">
        <f>INDEX('GIS-Standards'!$A$2:$A$305,MATCH(B929,'GIS-Standards'!$B$2:$B$305,0))</f>
        <v>38</v>
      </c>
      <c r="I929">
        <f>INDEX('GIS-Standards'!$A$2:$A$305,MATCH(C929,'GIS-Standards'!$B$2:$B$305,0))</f>
        <v>45</v>
      </c>
      <c r="J929" t="str">
        <f>INDEX('GIS-Standards'!$O$2:$O$305,MATCH(B929,'GIS-Standards'!$B$2:$B$305,0))</f>
        <v>ISO/TC 211</v>
      </c>
      <c r="K929" t="str">
        <f>INDEX('GIS-Standards'!$O$2:$O$305,MATCH(C929,'GIS-Standards'!$B$2:$B$305,0))</f>
        <v>ISO/TC 211</v>
      </c>
      <c r="M929" t="s">
        <v>525</v>
      </c>
      <c r="N929">
        <f>INDEX('GIS-Standards'!$I$2:$I$305,MATCH(B929,'GIS-Standards'!$B$2:$B$305,0))</f>
        <v>0</v>
      </c>
      <c r="O929">
        <f>INDEX('GIS-Standards'!$I$2:$I$305,MATCH(C929,'GIS-Standards'!$B$2:$B$305,0))</f>
        <v>0</v>
      </c>
      <c r="P929" t="b">
        <f>AND(TableRelationships12[[#This Row],[Source Type]]="BIM",TableRelationships12[[#This Row],[Target Type]]="BIM")</f>
        <v>0</v>
      </c>
      <c r="Q929">
        <f t="shared" si="42"/>
        <v>1</v>
      </c>
      <c r="S929">
        <f t="shared" si="43"/>
        <v>1</v>
      </c>
      <c r="T929" s="102" t="str">
        <f>IF(TableRelationships12[[#This Row],[Rank Pedro]]="Low","linkCategory1",IF(TableRelationships12[[#This Row],[Rank Pedro]]="Medium","linkCategory2",IF(TableRelationships12[[#This Row],[Rank Pedro]]="High","linkCategory3","")))</f>
        <v/>
      </c>
      <c r="U929" s="102" t="str">
        <f>IF(TableRelationships12[[#This Row],[Rank Pedro]]="Low","Pink",IF(TableRelationships12[[#This Row],[Rank Pedro]]="Medium","Purple",IF(TableRelationships12[[#This Row],[Rank Pedro]]="High","Brown","")))</f>
        <v/>
      </c>
      <c r="V929" s="4">
        <f>MAX(INDEX(Standards!$F$2:$F$296,MATCH(B929,Standards!$B$2:$B$296,0)),INDEX(Standards!$F$2:$F$296,MATCH(C929,Standards!$B$2:$B$296,0)))</f>
        <v>39600</v>
      </c>
      <c r="W929" t="str">
        <f t="shared" si="44"/>
        <v>#2f89d1</v>
      </c>
    </row>
    <row r="930" spans="1:23" x14ac:dyDescent="0.5">
      <c r="A930" s="54">
        <v>929</v>
      </c>
      <c r="B930" s="90" t="s">
        <v>330</v>
      </c>
      <c r="C930" t="s">
        <v>1565</v>
      </c>
      <c r="D930" s="1"/>
      <c r="G930" s="107"/>
      <c r="H930">
        <f>INDEX('GIS-Standards'!$A$2:$A$305,MATCH(B930,'GIS-Standards'!$B$2:$B$305,0))</f>
        <v>38</v>
      </c>
      <c r="I930" t="e">
        <f>INDEX('GIS-Standards'!$A$2:$A$305,MATCH(C930,'GIS-Standards'!$B$2:$B$305,0))</f>
        <v>#N/A</v>
      </c>
      <c r="J930" t="str">
        <f>INDEX('GIS-Standards'!$O$2:$O$305,MATCH(B930,'GIS-Standards'!$B$2:$B$305,0))</f>
        <v>ISO/TC 211</v>
      </c>
      <c r="K930" t="e">
        <f>INDEX('GIS-Standards'!$O$2:$O$305,MATCH(C930,'GIS-Standards'!$B$2:$B$305,0))</f>
        <v>#N/A</v>
      </c>
      <c r="M930" t="s">
        <v>525</v>
      </c>
      <c r="N930">
        <f>INDEX('GIS-Standards'!$I$2:$I$305,MATCH(B930,'GIS-Standards'!$B$2:$B$305,0))</f>
        <v>0</v>
      </c>
      <c r="O930" t="e">
        <f>INDEX('GIS-Standards'!$I$2:$I$305,MATCH(C930,'GIS-Standards'!$B$2:$B$305,0))</f>
        <v>#N/A</v>
      </c>
      <c r="P930" t="e">
        <f>AND(TableRelationships12[[#This Row],[Source Type]]="BIM",TableRelationships12[[#This Row],[Target Type]]="BIM")</f>
        <v>#N/A</v>
      </c>
      <c r="Q930">
        <f t="shared" si="42"/>
        <v>1</v>
      </c>
      <c r="S930">
        <f t="shared" si="43"/>
        <v>1</v>
      </c>
      <c r="T930" s="102" t="str">
        <f>IF(TableRelationships12[[#This Row],[Rank Pedro]]="Low","linkCategory1",IF(TableRelationships12[[#This Row],[Rank Pedro]]="Medium","linkCategory2",IF(TableRelationships12[[#This Row],[Rank Pedro]]="High","linkCategory3","")))</f>
        <v/>
      </c>
      <c r="U930" s="102" t="str">
        <f>IF(TableRelationships12[[#This Row],[Rank Pedro]]="Low","Pink",IF(TableRelationships12[[#This Row],[Rank Pedro]]="Medium","Purple",IF(TableRelationships12[[#This Row],[Rank Pedro]]="High","Brown","")))</f>
        <v/>
      </c>
      <c r="V930" s="4" t="e">
        <f>MAX(INDEX(Standards!$F$2:$F$296,MATCH(B930,Standards!$B$2:$B$296,0)),INDEX(Standards!$F$2:$F$296,MATCH(C930,Standards!$B$2:$B$296,0)))</f>
        <v>#N/A</v>
      </c>
      <c r="W930" t="str">
        <f t="shared" si="44"/>
        <v>#2f89d1</v>
      </c>
    </row>
    <row r="931" spans="1:23" x14ac:dyDescent="0.5">
      <c r="A931" s="54">
        <v>930</v>
      </c>
      <c r="B931" s="90" t="s">
        <v>330</v>
      </c>
      <c r="C931" t="s">
        <v>1582</v>
      </c>
      <c r="D931" s="1"/>
      <c r="G931" s="107"/>
      <c r="H931">
        <f>INDEX('GIS-Standards'!$A$2:$A$305,MATCH(B931,'GIS-Standards'!$B$2:$B$305,0))</f>
        <v>38</v>
      </c>
      <c r="I931" t="e">
        <f>INDEX('GIS-Standards'!$A$2:$A$305,MATCH(C931,'GIS-Standards'!$B$2:$B$305,0))</f>
        <v>#N/A</v>
      </c>
      <c r="J931" t="str">
        <f>INDEX('GIS-Standards'!$O$2:$O$305,MATCH(B931,'GIS-Standards'!$B$2:$B$305,0))</f>
        <v>ISO/TC 211</v>
      </c>
      <c r="K931" t="e">
        <f>INDEX('GIS-Standards'!$O$2:$O$305,MATCH(C931,'GIS-Standards'!$B$2:$B$305,0))</f>
        <v>#N/A</v>
      </c>
      <c r="M931" t="s">
        <v>525</v>
      </c>
      <c r="N931">
        <f>INDEX('GIS-Standards'!$I$2:$I$305,MATCH(B931,'GIS-Standards'!$B$2:$B$305,0))</f>
        <v>0</v>
      </c>
      <c r="O931" t="e">
        <f>INDEX('GIS-Standards'!$I$2:$I$305,MATCH(C931,'GIS-Standards'!$B$2:$B$305,0))</f>
        <v>#N/A</v>
      </c>
      <c r="P931" t="e">
        <f>AND(TableRelationships12[[#This Row],[Source Type]]="BIM",TableRelationships12[[#This Row],[Target Type]]="BIM")</f>
        <v>#N/A</v>
      </c>
      <c r="Q931">
        <f t="shared" si="42"/>
        <v>1</v>
      </c>
      <c r="S931">
        <f t="shared" si="43"/>
        <v>1</v>
      </c>
      <c r="T931" s="102" t="str">
        <f>IF(TableRelationships12[[#This Row],[Rank Pedro]]="Low","linkCategory1",IF(TableRelationships12[[#This Row],[Rank Pedro]]="Medium","linkCategory2",IF(TableRelationships12[[#This Row],[Rank Pedro]]="High","linkCategory3","")))</f>
        <v/>
      </c>
      <c r="U931" s="102" t="str">
        <f>IF(TableRelationships12[[#This Row],[Rank Pedro]]="Low","Pink",IF(TableRelationships12[[#This Row],[Rank Pedro]]="Medium","Purple",IF(TableRelationships12[[#This Row],[Rank Pedro]]="High","Brown","")))</f>
        <v/>
      </c>
      <c r="V931" s="4" t="e">
        <f>MAX(INDEX(Standards!$F$2:$F$296,MATCH(B931,Standards!$B$2:$B$296,0)),INDEX(Standards!$F$2:$F$296,MATCH(C931,Standards!$B$2:$B$296,0)))</f>
        <v>#N/A</v>
      </c>
      <c r="W931" t="str">
        <f t="shared" si="44"/>
        <v>#2f89d1</v>
      </c>
    </row>
    <row r="932" spans="1:23" x14ac:dyDescent="0.5">
      <c r="A932" s="54">
        <v>931</v>
      </c>
      <c r="B932" s="90" t="s">
        <v>330</v>
      </c>
      <c r="C932" t="s">
        <v>437</v>
      </c>
      <c r="D932" s="1"/>
      <c r="E932" s="112">
        <v>1988.03</v>
      </c>
      <c r="F932" s="112">
        <v>2023.11</v>
      </c>
      <c r="G932" s="107" t="s">
        <v>1457</v>
      </c>
      <c r="H932">
        <f>INDEX('GIS-Standards'!$A$2:$A$305,MATCH(B932,'GIS-Standards'!$B$2:$B$305,0))</f>
        <v>38</v>
      </c>
      <c r="I932" t="e">
        <f>INDEX('GIS-Standards'!$A$2:$A$305,MATCH(C932,'GIS-Standards'!$B$2:$B$305,0))</f>
        <v>#N/A</v>
      </c>
      <c r="J932" t="str">
        <f>INDEX('GIS-Standards'!$O$2:$O$305,MATCH(B932,'GIS-Standards'!$B$2:$B$305,0))</f>
        <v>ISO/TC 211</v>
      </c>
      <c r="K932" t="e">
        <f>INDEX('GIS-Standards'!$O$2:$O$305,MATCH(C932,'GIS-Standards'!$B$2:$B$305,0))</f>
        <v>#N/A</v>
      </c>
      <c r="M932" t="s">
        <v>525</v>
      </c>
      <c r="N932">
        <f>INDEX('GIS-Standards'!$I$2:$I$305,MATCH(B932,'GIS-Standards'!$B$2:$B$305,0))</f>
        <v>0</v>
      </c>
      <c r="O932" t="e">
        <f>INDEX('GIS-Standards'!$I$2:$I$305,MATCH(C932,'GIS-Standards'!$B$2:$B$305,0))</f>
        <v>#N/A</v>
      </c>
      <c r="P932" t="e">
        <f>AND(TableRelationships12[[#This Row],[Source Type]]="BIM",TableRelationships12[[#This Row],[Target Type]]="BIM")</f>
        <v>#N/A</v>
      </c>
      <c r="Q932">
        <f t="shared" si="42"/>
        <v>1</v>
      </c>
      <c r="S932">
        <f t="shared" si="43"/>
        <v>1</v>
      </c>
      <c r="T932" s="102" t="str">
        <f>IF(TableRelationships12[[#This Row],[Rank Pedro]]="Low","linkCategory1",IF(TableRelationships12[[#This Row],[Rank Pedro]]="Medium","linkCategory2",IF(TableRelationships12[[#This Row],[Rank Pedro]]="High","linkCategory3","")))</f>
        <v/>
      </c>
      <c r="U932" s="102" t="str">
        <f>IF(TableRelationships12[[#This Row],[Rank Pedro]]="Low","Pink",IF(TableRelationships12[[#This Row],[Rank Pedro]]="Medium","Purple",IF(TableRelationships12[[#This Row],[Rank Pedro]]="High","Brown","")))</f>
        <v/>
      </c>
      <c r="V932" s="4">
        <f>MAX(INDEX(Standards!$F$2:$F$296,MATCH(B932,Standards!$B$2:$B$296,0)),INDEX(Standards!$F$2:$F$296,MATCH(C932,Standards!$B$2:$B$296,0)))</f>
        <v>39356</v>
      </c>
      <c r="W932" t="str">
        <f t="shared" si="44"/>
        <v>#2f89d1</v>
      </c>
    </row>
    <row r="933" spans="1:23" x14ac:dyDescent="0.5">
      <c r="A933" s="54">
        <v>932</v>
      </c>
      <c r="B933" s="90" t="s">
        <v>330</v>
      </c>
      <c r="C933" s="104" t="s">
        <v>474</v>
      </c>
      <c r="D933" s="1" t="s">
        <v>1070</v>
      </c>
      <c r="E933" s="113">
        <v>1974.12</v>
      </c>
      <c r="F933" s="113">
        <v>2022.1</v>
      </c>
      <c r="G933" s="107" t="s">
        <v>1511</v>
      </c>
      <c r="H933">
        <f>INDEX('GIS-Standards'!$A$2:$A$305,MATCH(B933,'GIS-Standards'!$B$2:$B$305,0))</f>
        <v>38</v>
      </c>
      <c r="I933" t="e">
        <f>INDEX('GIS-Standards'!$A$2:$A$305,MATCH(C933,'GIS-Standards'!$B$2:$B$305,0))</f>
        <v>#N/A</v>
      </c>
      <c r="J933" t="str">
        <f>INDEX('GIS-Standards'!$O$2:$O$305,MATCH(B933,'GIS-Standards'!$B$2:$B$305,0))</f>
        <v>ISO/TC 211</v>
      </c>
      <c r="K933" t="e">
        <f>INDEX('GIS-Standards'!$O$2:$O$305,MATCH(C933,'GIS-Standards'!$B$2:$B$305,0))</f>
        <v>#N/A</v>
      </c>
      <c r="M933" t="s">
        <v>525</v>
      </c>
      <c r="N933">
        <f>INDEX('GIS-Standards'!$I$2:$I$305,MATCH(B933,'GIS-Standards'!$B$2:$B$305,0))</f>
        <v>0</v>
      </c>
      <c r="O933" t="e">
        <f>INDEX('GIS-Standards'!$I$2:$I$305,MATCH(C933,'GIS-Standards'!$B$2:$B$305,0))</f>
        <v>#N/A</v>
      </c>
      <c r="P933" t="e">
        <f>AND(TableRelationships12[[#This Row],[Source Type]]="BIM",TableRelationships12[[#This Row],[Target Type]]="BIM")</f>
        <v>#N/A</v>
      </c>
      <c r="Q933">
        <f t="shared" si="42"/>
        <v>1</v>
      </c>
      <c r="S933">
        <f t="shared" si="43"/>
        <v>1</v>
      </c>
      <c r="T933" s="102" t="str">
        <f>IF(TableRelationships12[[#This Row],[Rank Pedro]]="Low","linkCategory1",IF(TableRelationships12[[#This Row],[Rank Pedro]]="Medium","linkCategory2",IF(TableRelationships12[[#This Row],[Rank Pedro]]="High","linkCategory3","")))</f>
        <v/>
      </c>
      <c r="U933" s="102" t="str">
        <f>IF(TableRelationships12[[#This Row],[Rank Pedro]]="Low","Pink",IF(TableRelationships12[[#This Row],[Rank Pedro]]="Medium","Purple",IF(TableRelationships12[[#This Row],[Rank Pedro]]="High","Brown","")))</f>
        <v/>
      </c>
      <c r="V933" s="4">
        <f>MAX(INDEX(Standards!$F$2:$F$296,MATCH(B933,Standards!$B$2:$B$296,0)),INDEX(Standards!$F$2:$F$296,MATCH(C933,Standards!$B$2:$B$296,0)))</f>
        <v>39600</v>
      </c>
      <c r="W933" t="str">
        <f t="shared" si="44"/>
        <v>#2f89d1</v>
      </c>
    </row>
    <row r="934" spans="1:23" x14ac:dyDescent="0.5">
      <c r="A934" s="54">
        <v>933</v>
      </c>
      <c r="B934" s="90" t="s">
        <v>330</v>
      </c>
      <c r="C934" t="s">
        <v>296</v>
      </c>
      <c r="D934" s="1"/>
      <c r="E934" s="112">
        <v>2005.07</v>
      </c>
      <c r="F934" s="112">
        <v>2024.09</v>
      </c>
      <c r="G934" s="107" t="s">
        <v>670</v>
      </c>
      <c r="H934">
        <f>INDEX('GIS-Standards'!$A$2:$A$305,MATCH(B934,'GIS-Standards'!$B$2:$B$305,0))</f>
        <v>38</v>
      </c>
      <c r="I934">
        <f>INDEX('GIS-Standards'!$A$2:$A$305,MATCH(C934,'GIS-Standards'!$B$2:$B$305,0))</f>
        <v>12</v>
      </c>
      <c r="J934" t="str">
        <f>INDEX('GIS-Standards'!$O$2:$O$305,MATCH(B934,'GIS-Standards'!$B$2:$B$305,0))</f>
        <v>ISO/TC 211</v>
      </c>
      <c r="K934" t="str">
        <f>INDEX('GIS-Standards'!$O$2:$O$305,MATCH(C934,'GIS-Standards'!$B$2:$B$305,0))</f>
        <v>ISO/TC 211</v>
      </c>
      <c r="M934" t="s">
        <v>525</v>
      </c>
      <c r="N934">
        <f>INDEX('GIS-Standards'!$I$2:$I$305,MATCH(B934,'GIS-Standards'!$B$2:$B$305,0))</f>
        <v>0</v>
      </c>
      <c r="O934">
        <f>INDEX('GIS-Standards'!$I$2:$I$305,MATCH(C934,'GIS-Standards'!$B$2:$B$305,0))</f>
        <v>0</v>
      </c>
      <c r="P934" t="b">
        <f>AND(TableRelationships12[[#This Row],[Source Type]]="BIM",TableRelationships12[[#This Row],[Target Type]]="BIM")</f>
        <v>0</v>
      </c>
      <c r="Q934">
        <f t="shared" si="42"/>
        <v>1</v>
      </c>
      <c r="S934">
        <f t="shared" si="43"/>
        <v>1</v>
      </c>
      <c r="T934" s="102" t="str">
        <f>IF(TableRelationships12[[#This Row],[Rank Pedro]]="Low","linkCategory1",IF(TableRelationships12[[#This Row],[Rank Pedro]]="Medium","linkCategory2",IF(TableRelationships12[[#This Row],[Rank Pedro]]="High","linkCategory3","")))</f>
        <v/>
      </c>
      <c r="U934" s="102" t="str">
        <f>IF(TableRelationships12[[#This Row],[Rank Pedro]]="Low","Pink",IF(TableRelationships12[[#This Row],[Rank Pedro]]="Medium","Purple",IF(TableRelationships12[[#This Row],[Rank Pedro]]="High","Brown","")))</f>
        <v/>
      </c>
      <c r="V934" s="4">
        <f>MAX(INDEX(Standards!$F$2:$F$296,MATCH(B934,Standards!$B$2:$B$296,0)),INDEX(Standards!$F$2:$F$296,MATCH(C934,Standards!$B$2:$B$296,0)))</f>
        <v>39356</v>
      </c>
      <c r="W934" t="str">
        <f t="shared" si="44"/>
        <v>#2f89d1</v>
      </c>
    </row>
    <row r="935" spans="1:23" x14ac:dyDescent="0.5">
      <c r="A935" s="54">
        <v>934</v>
      </c>
      <c r="B935" s="90" t="s">
        <v>330</v>
      </c>
      <c r="C935" t="s">
        <v>304</v>
      </c>
      <c r="D935" s="1"/>
      <c r="E935" s="112">
        <v>2002.09</v>
      </c>
      <c r="F935" s="112">
        <v>2006.1</v>
      </c>
      <c r="G935" s="107" t="s">
        <v>670</v>
      </c>
      <c r="H935">
        <f>INDEX('GIS-Standards'!$A$2:$A$305,MATCH(B935,'GIS-Standards'!$B$2:$B$305,0))</f>
        <v>38</v>
      </c>
      <c r="I935">
        <f>INDEX('GIS-Standards'!$A$2:$A$305,MATCH(C935,'GIS-Standards'!$B$2:$B$305,0))</f>
        <v>17</v>
      </c>
      <c r="J935" t="str">
        <f>INDEX('GIS-Standards'!$O$2:$O$305,MATCH(B935,'GIS-Standards'!$B$2:$B$305,0))</f>
        <v>ISO/TC 211</v>
      </c>
      <c r="K935" t="str">
        <f>INDEX('GIS-Standards'!$O$2:$O$305,MATCH(C935,'GIS-Standards'!$B$2:$B$305,0))</f>
        <v>ISO/TC 211</v>
      </c>
      <c r="M935" t="s">
        <v>525</v>
      </c>
      <c r="N935">
        <f>INDEX('GIS-Standards'!$I$2:$I$305,MATCH(B935,'GIS-Standards'!$B$2:$B$305,0))</f>
        <v>0</v>
      </c>
      <c r="O935" t="str">
        <f>INDEX('GIS-Standards'!$I$2:$I$305,MATCH(C935,'GIS-Standards'!$B$2:$B$305,0))</f>
        <v>06.2008</v>
      </c>
      <c r="P935" t="b">
        <f>AND(TableRelationships12[[#This Row],[Source Type]]="BIM",TableRelationships12[[#This Row],[Target Type]]="BIM")</f>
        <v>0</v>
      </c>
      <c r="Q935">
        <f t="shared" si="42"/>
        <v>1</v>
      </c>
      <c r="S935">
        <f t="shared" si="43"/>
        <v>1</v>
      </c>
      <c r="T935" s="102" t="str">
        <f>IF(TableRelationships12[[#This Row],[Rank Pedro]]="Low","linkCategory1",IF(TableRelationships12[[#This Row],[Rank Pedro]]="Medium","linkCategory2",IF(TableRelationships12[[#This Row],[Rank Pedro]]="High","linkCategory3","")))</f>
        <v/>
      </c>
      <c r="U935" s="102" t="str">
        <f>IF(TableRelationships12[[#This Row],[Rank Pedro]]="Low","Pink",IF(TableRelationships12[[#This Row],[Rank Pedro]]="Medium","Purple",IF(TableRelationships12[[#This Row],[Rank Pedro]]="High","Brown","")))</f>
        <v/>
      </c>
      <c r="V935" s="4">
        <f>MAX(INDEX(Standards!$F$2:$F$296,MATCH(B935,Standards!$B$2:$B$296,0)),INDEX(Standards!$F$2:$F$296,MATCH(C935,Standards!$B$2:$B$296,0)))</f>
        <v>39356</v>
      </c>
      <c r="W935" t="str">
        <f t="shared" si="44"/>
        <v>#2f89d1</v>
      </c>
    </row>
    <row r="936" spans="1:23" x14ac:dyDescent="0.5">
      <c r="A936" s="54">
        <v>935</v>
      </c>
      <c r="B936" s="90" t="s">
        <v>330</v>
      </c>
      <c r="C936" t="s">
        <v>310</v>
      </c>
      <c r="D936" s="1"/>
      <c r="E936" s="112">
        <v>2003.02</v>
      </c>
      <c r="F936" s="112">
        <v>2023.08</v>
      </c>
      <c r="G936" s="107" t="s">
        <v>670</v>
      </c>
      <c r="H936">
        <f>INDEX('GIS-Standards'!$A$2:$A$305,MATCH(B936,'GIS-Standards'!$B$2:$B$305,0))</f>
        <v>38</v>
      </c>
      <c r="I936">
        <f>INDEX('GIS-Standards'!$A$2:$A$305,MATCH(C936,'GIS-Standards'!$B$2:$B$305,0))</f>
        <v>20</v>
      </c>
      <c r="J936" t="str">
        <f>INDEX('GIS-Standards'!$O$2:$O$305,MATCH(B936,'GIS-Standards'!$B$2:$B$305,0))</f>
        <v>ISO/TC 211</v>
      </c>
      <c r="K936" t="str">
        <f>INDEX('GIS-Standards'!$O$2:$O$305,MATCH(C936,'GIS-Standards'!$B$2:$B$305,0))</f>
        <v>ISO/TC 211</v>
      </c>
      <c r="M936" t="s">
        <v>525</v>
      </c>
      <c r="N936">
        <f>INDEX('GIS-Standards'!$I$2:$I$305,MATCH(B936,'GIS-Standards'!$B$2:$B$305,0))</f>
        <v>0</v>
      </c>
      <c r="O936" t="str">
        <f>INDEX('GIS-Standards'!$I$2:$I$305,MATCH(C936,'GIS-Standards'!$B$2:$B$305,0))</f>
        <v>08.2023</v>
      </c>
      <c r="P936" t="b">
        <f>AND(TableRelationships12[[#This Row],[Source Type]]="BIM",TableRelationships12[[#This Row],[Target Type]]="BIM")</f>
        <v>0</v>
      </c>
      <c r="Q936">
        <f t="shared" si="42"/>
        <v>1</v>
      </c>
      <c r="S936">
        <f t="shared" si="43"/>
        <v>1</v>
      </c>
      <c r="T936" s="102" t="str">
        <f>IF(TableRelationships12[[#This Row],[Rank Pedro]]="Low","linkCategory1",IF(TableRelationships12[[#This Row],[Rank Pedro]]="Medium","linkCategory2",IF(TableRelationships12[[#This Row],[Rank Pedro]]="High","linkCategory3","")))</f>
        <v/>
      </c>
      <c r="U936" s="102" t="str">
        <f>IF(TableRelationships12[[#This Row],[Rank Pedro]]="Low","Pink",IF(TableRelationships12[[#This Row],[Rank Pedro]]="Medium","Purple",IF(TableRelationships12[[#This Row],[Rank Pedro]]="High","Brown","")))</f>
        <v/>
      </c>
      <c r="V936" s="4">
        <f>MAX(INDEX(Standards!$F$2:$F$296,MATCH(B936,Standards!$B$2:$B$296,0)),INDEX(Standards!$F$2:$F$296,MATCH(C936,Standards!$B$2:$B$296,0)))</f>
        <v>39356</v>
      </c>
      <c r="W936" t="str">
        <f t="shared" si="44"/>
        <v>#2f89d1</v>
      </c>
    </row>
    <row r="937" spans="1:23" x14ac:dyDescent="0.5">
      <c r="A937" s="54">
        <v>936</v>
      </c>
      <c r="B937" s="90" t="s">
        <v>330</v>
      </c>
      <c r="C937" t="s">
        <v>1044</v>
      </c>
      <c r="D937" s="1"/>
      <c r="E937" s="112">
        <v>2005.06</v>
      </c>
      <c r="F937" s="112">
        <v>2012.12</v>
      </c>
      <c r="G937" s="107" t="s">
        <v>670</v>
      </c>
      <c r="H937">
        <f>INDEX('GIS-Standards'!$A$2:$A$305,MATCH(B937,'GIS-Standards'!$B$2:$B$305,0))</f>
        <v>38</v>
      </c>
      <c r="I937">
        <f>INDEX('GIS-Standards'!$A$2:$A$305,MATCH(C937,'GIS-Standards'!$B$2:$B$305,0))</f>
        <v>26</v>
      </c>
      <c r="J937" t="str">
        <f>INDEX('GIS-Standards'!$O$2:$O$305,MATCH(B937,'GIS-Standards'!$B$2:$B$305,0))</f>
        <v>ISO/TC 211</v>
      </c>
      <c r="K937" t="str">
        <f>INDEX('GIS-Standards'!$O$2:$O$305,MATCH(C937,'GIS-Standards'!$B$2:$B$305,0))</f>
        <v>ISO/TC 211</v>
      </c>
      <c r="M937" t="s">
        <v>525</v>
      </c>
      <c r="N937">
        <f>INDEX('GIS-Standards'!$I$2:$I$305,MATCH(B937,'GIS-Standards'!$B$2:$B$305,0))</f>
        <v>0</v>
      </c>
      <c r="O937">
        <f>INDEX('GIS-Standards'!$I$2:$I$305,MATCH(C937,'GIS-Standards'!$B$2:$B$305,0))</f>
        <v>0</v>
      </c>
      <c r="P937" t="b">
        <f>AND(TableRelationships12[[#This Row],[Source Type]]="BIM",TableRelationships12[[#This Row],[Target Type]]="BIM")</f>
        <v>0</v>
      </c>
      <c r="Q937">
        <f t="shared" si="42"/>
        <v>1</v>
      </c>
      <c r="S937">
        <f t="shared" si="43"/>
        <v>1</v>
      </c>
      <c r="T937" s="102" t="str">
        <f>IF(TableRelationships12[[#This Row],[Rank Pedro]]="Low","linkCategory1",IF(TableRelationships12[[#This Row],[Rank Pedro]]="Medium","linkCategory2",IF(TableRelationships12[[#This Row],[Rank Pedro]]="High","linkCategory3","")))</f>
        <v/>
      </c>
      <c r="U937" s="102" t="str">
        <f>IF(TableRelationships12[[#This Row],[Rank Pedro]]="Low","Pink",IF(TableRelationships12[[#This Row],[Rank Pedro]]="Medium","Purple",IF(TableRelationships12[[#This Row],[Rank Pedro]]="High","Brown","")))</f>
        <v/>
      </c>
      <c r="V937" s="4" t="e">
        <f>MAX(INDEX(Standards!$F$2:$F$296,MATCH(B937,Standards!$B$2:$B$296,0)),INDEX(Standards!$F$2:$F$296,MATCH(C937,Standards!$B$2:$B$296,0)))</f>
        <v>#N/A</v>
      </c>
      <c r="W937" t="str">
        <f t="shared" si="44"/>
        <v>#2f89d1</v>
      </c>
    </row>
    <row r="938" spans="1:23" x14ac:dyDescent="0.5">
      <c r="A938" s="54">
        <v>937</v>
      </c>
      <c r="B938" s="90" t="s">
        <v>330</v>
      </c>
      <c r="C938" t="s">
        <v>326</v>
      </c>
      <c r="D938" s="1"/>
      <c r="E938" s="112">
        <v>2005.12</v>
      </c>
      <c r="F938" s="112">
        <v>2005.12</v>
      </c>
      <c r="G938" s="107" t="s">
        <v>670</v>
      </c>
      <c r="H938">
        <f>INDEX('GIS-Standards'!$A$2:$A$305,MATCH(B938,'GIS-Standards'!$B$2:$B$305,0))</f>
        <v>38</v>
      </c>
      <c r="I938">
        <f>INDEX('GIS-Standards'!$A$2:$A$305,MATCH(C938,'GIS-Standards'!$B$2:$B$305,0))</f>
        <v>35</v>
      </c>
      <c r="J938" t="str">
        <f>INDEX('GIS-Standards'!$O$2:$O$305,MATCH(B938,'GIS-Standards'!$B$2:$B$305,0))</f>
        <v>ISO/TC 211</v>
      </c>
      <c r="K938" t="str">
        <f>INDEX('GIS-Standards'!$O$2:$O$305,MATCH(C938,'GIS-Standards'!$B$2:$B$305,0))</f>
        <v>ISO/TC 211</v>
      </c>
      <c r="M938" t="s">
        <v>525</v>
      </c>
      <c r="N938">
        <f>INDEX('GIS-Standards'!$I$2:$I$305,MATCH(B938,'GIS-Standards'!$B$2:$B$305,0))</f>
        <v>0</v>
      </c>
      <c r="O938">
        <f>INDEX('GIS-Standards'!$I$2:$I$305,MATCH(C938,'GIS-Standards'!$B$2:$B$305,0))</f>
        <v>0</v>
      </c>
      <c r="P938" t="b">
        <f>AND(TableRelationships12[[#This Row],[Source Type]]="BIM",TableRelationships12[[#This Row],[Target Type]]="BIM")</f>
        <v>0</v>
      </c>
      <c r="Q938">
        <f t="shared" si="42"/>
        <v>1</v>
      </c>
      <c r="S938">
        <f t="shared" si="43"/>
        <v>1</v>
      </c>
      <c r="T938" s="102" t="str">
        <f>IF(TableRelationships12[[#This Row],[Rank Pedro]]="Low","linkCategory1",IF(TableRelationships12[[#This Row],[Rank Pedro]]="Medium","linkCategory2",IF(TableRelationships12[[#This Row],[Rank Pedro]]="High","linkCategory3","")))</f>
        <v/>
      </c>
      <c r="U938" s="102" t="str">
        <f>IF(TableRelationships12[[#This Row],[Rank Pedro]]="Low","Pink",IF(TableRelationships12[[#This Row],[Rank Pedro]]="Medium","Purple",IF(TableRelationships12[[#This Row],[Rank Pedro]]="High","Brown","")))</f>
        <v/>
      </c>
      <c r="V938" s="4">
        <f>MAX(INDEX(Standards!$F$2:$F$296,MATCH(B938,Standards!$B$2:$B$296,0)),INDEX(Standards!$F$2:$F$296,MATCH(C938,Standards!$B$2:$B$296,0)))</f>
        <v>39356</v>
      </c>
      <c r="W938" t="str">
        <f t="shared" si="44"/>
        <v>#2f89d1</v>
      </c>
    </row>
    <row r="939" spans="1:23" x14ac:dyDescent="0.5">
      <c r="A939" s="54">
        <v>938</v>
      </c>
      <c r="B939" s="90" t="s">
        <v>330</v>
      </c>
      <c r="C939" t="s">
        <v>1047</v>
      </c>
      <c r="D939" s="1"/>
      <c r="E939" s="112">
        <v>2007.02</v>
      </c>
      <c r="F939" s="112">
        <v>2007.02</v>
      </c>
      <c r="G939" s="107" t="s">
        <v>670</v>
      </c>
      <c r="H939">
        <f>INDEX('GIS-Standards'!$A$2:$A$305,MATCH(B939,'GIS-Standards'!$B$2:$B$305,0))</f>
        <v>38</v>
      </c>
      <c r="I939">
        <f>INDEX('GIS-Standards'!$A$2:$A$305,MATCH(C939,'GIS-Standards'!$B$2:$B$305,0))</f>
        <v>40</v>
      </c>
      <c r="J939" t="str">
        <f>INDEX('GIS-Standards'!$O$2:$O$305,MATCH(B939,'GIS-Standards'!$B$2:$B$305,0))</f>
        <v>ISO/TC 211</v>
      </c>
      <c r="K939" t="str">
        <f>INDEX('GIS-Standards'!$O$2:$O$305,MATCH(C939,'GIS-Standards'!$B$2:$B$305,0))</f>
        <v>ISO/TC 211</v>
      </c>
      <c r="M939" t="s">
        <v>525</v>
      </c>
      <c r="N939">
        <f>INDEX('GIS-Standards'!$I$2:$I$305,MATCH(B939,'GIS-Standards'!$B$2:$B$305,0))</f>
        <v>0</v>
      </c>
      <c r="O939">
        <f>INDEX('GIS-Standards'!$I$2:$I$305,MATCH(C939,'GIS-Standards'!$B$2:$B$305,0))</f>
        <v>0</v>
      </c>
      <c r="P939" t="b">
        <f>AND(TableRelationships12[[#This Row],[Source Type]]="BIM",TableRelationships12[[#This Row],[Target Type]]="BIM")</f>
        <v>0</v>
      </c>
      <c r="Q939">
        <f t="shared" si="42"/>
        <v>1</v>
      </c>
      <c r="S939">
        <f t="shared" si="43"/>
        <v>1</v>
      </c>
      <c r="T939" s="102" t="str">
        <f>IF(TableRelationships12[[#This Row],[Rank Pedro]]="Low","linkCategory1",IF(TableRelationships12[[#This Row],[Rank Pedro]]="Medium","linkCategory2",IF(TableRelationships12[[#This Row],[Rank Pedro]]="High","linkCategory3","")))</f>
        <v/>
      </c>
      <c r="U939" s="102" t="str">
        <f>IF(TableRelationships12[[#This Row],[Rank Pedro]]="Low","Pink",IF(TableRelationships12[[#This Row],[Rank Pedro]]="Medium","Purple",IF(TableRelationships12[[#This Row],[Rank Pedro]]="High","Brown","")))</f>
        <v/>
      </c>
      <c r="V939" s="4" t="e">
        <f>MAX(INDEX(Standards!$F$2:$F$296,MATCH(B939,Standards!$B$2:$B$296,0)),INDEX(Standards!$F$2:$F$296,MATCH(C939,Standards!$B$2:$B$296,0)))</f>
        <v>#N/A</v>
      </c>
      <c r="W939" t="str">
        <f t="shared" si="44"/>
        <v>#2f89d1</v>
      </c>
    </row>
    <row r="940" spans="1:23" x14ac:dyDescent="0.5">
      <c r="A940" s="54">
        <v>939</v>
      </c>
      <c r="B940" s="90" t="s">
        <v>330</v>
      </c>
      <c r="C940" t="s">
        <v>1071</v>
      </c>
      <c r="D940" s="1" t="s">
        <v>1173</v>
      </c>
      <c r="E940" s="112">
        <v>1990.05</v>
      </c>
      <c r="F940" s="112">
        <v>1998.11</v>
      </c>
      <c r="G940" s="107" t="s">
        <v>1521</v>
      </c>
      <c r="H940">
        <f>INDEX('GIS-Standards'!$A$2:$A$305,MATCH(B940,'GIS-Standards'!$B$2:$B$305,0))</f>
        <v>38</v>
      </c>
      <c r="I940" t="e">
        <f>INDEX('GIS-Standards'!$A$2:$A$305,MATCH(C940,'GIS-Standards'!$B$2:$B$305,0))</f>
        <v>#N/A</v>
      </c>
      <c r="J940" t="str">
        <f>INDEX('GIS-Standards'!$O$2:$O$305,MATCH(B940,'GIS-Standards'!$B$2:$B$305,0))</f>
        <v>ISO/TC 211</v>
      </c>
      <c r="K940" t="e">
        <f>INDEX('GIS-Standards'!$O$2:$O$305,MATCH(C940,'GIS-Standards'!$B$2:$B$305,0))</f>
        <v>#N/A</v>
      </c>
      <c r="M940" t="s">
        <v>525</v>
      </c>
      <c r="N940">
        <f>INDEX('GIS-Standards'!$I$2:$I$305,MATCH(B940,'GIS-Standards'!$B$2:$B$305,0))</f>
        <v>0</v>
      </c>
      <c r="O940" t="e">
        <f>INDEX('GIS-Standards'!$I$2:$I$305,MATCH(C940,'GIS-Standards'!$B$2:$B$305,0))</f>
        <v>#N/A</v>
      </c>
      <c r="P940" t="e">
        <f>AND(TableRelationships12[[#This Row],[Source Type]]="BIM",TableRelationships12[[#This Row],[Target Type]]="BIM")</f>
        <v>#N/A</v>
      </c>
      <c r="Q940">
        <f t="shared" si="42"/>
        <v>1</v>
      </c>
      <c r="S940">
        <f t="shared" si="43"/>
        <v>1</v>
      </c>
      <c r="T940" s="102" t="str">
        <f>IF(TableRelationships12[[#This Row],[Rank Pedro]]="Low","linkCategory1",IF(TableRelationships12[[#This Row],[Rank Pedro]]="Medium","linkCategory2",IF(TableRelationships12[[#This Row],[Rank Pedro]]="High","linkCategory3","")))</f>
        <v/>
      </c>
      <c r="U940" s="102" t="str">
        <f>IF(TableRelationships12[[#This Row],[Rank Pedro]]="Low","Pink",IF(TableRelationships12[[#This Row],[Rank Pedro]]="Medium","Purple",IF(TableRelationships12[[#This Row],[Rank Pedro]]="High","Brown","")))</f>
        <v/>
      </c>
      <c r="V940" s="4" t="e">
        <f>MAX(INDEX(Standards!$F$2:$F$296,MATCH(B940,Standards!$B$2:$B$296,0)),INDEX(Standards!$F$2:$F$296,MATCH(C940,Standards!$B$2:$B$296,0)))</f>
        <v>#N/A</v>
      </c>
      <c r="W940" t="str">
        <f t="shared" si="44"/>
        <v>#2f89d1</v>
      </c>
    </row>
    <row r="941" spans="1:23" x14ac:dyDescent="0.5">
      <c r="A941" s="54">
        <v>940</v>
      </c>
      <c r="B941" s="90" t="s">
        <v>330</v>
      </c>
      <c r="C941" t="s">
        <v>1101</v>
      </c>
      <c r="D941" s="1" t="s">
        <v>1173</v>
      </c>
      <c r="E941" s="112">
        <v>1990.05</v>
      </c>
      <c r="F941" s="112">
        <v>1998.11</v>
      </c>
      <c r="G941" s="107" t="s">
        <v>1521</v>
      </c>
      <c r="H941">
        <f>INDEX('GIS-Standards'!$A$2:$A$305,MATCH(B941,'GIS-Standards'!$B$2:$B$305,0))</f>
        <v>38</v>
      </c>
      <c r="I941" t="e">
        <f>INDEX('GIS-Standards'!$A$2:$A$305,MATCH(C941,'GIS-Standards'!$B$2:$B$305,0))</f>
        <v>#N/A</v>
      </c>
      <c r="J941" t="str">
        <f>INDEX('GIS-Standards'!$O$2:$O$305,MATCH(B941,'GIS-Standards'!$B$2:$B$305,0))</f>
        <v>ISO/TC 211</v>
      </c>
      <c r="K941" t="e">
        <f>INDEX('GIS-Standards'!$O$2:$O$305,MATCH(C941,'GIS-Standards'!$B$2:$B$305,0))</f>
        <v>#N/A</v>
      </c>
      <c r="M941" t="s">
        <v>525</v>
      </c>
      <c r="N941">
        <f>INDEX('GIS-Standards'!$I$2:$I$305,MATCH(B941,'GIS-Standards'!$B$2:$B$305,0))</f>
        <v>0</v>
      </c>
      <c r="O941" t="e">
        <f>INDEX('GIS-Standards'!$I$2:$I$305,MATCH(C941,'GIS-Standards'!$B$2:$B$305,0))</f>
        <v>#N/A</v>
      </c>
      <c r="P941" t="e">
        <f>AND(TableRelationships12[[#This Row],[Source Type]]="BIM",TableRelationships12[[#This Row],[Target Type]]="BIM")</f>
        <v>#N/A</v>
      </c>
      <c r="Q941">
        <f t="shared" si="42"/>
        <v>1</v>
      </c>
      <c r="S941">
        <f t="shared" si="43"/>
        <v>1</v>
      </c>
      <c r="T941" s="102" t="str">
        <f>IF(TableRelationships12[[#This Row],[Rank Pedro]]="Low","linkCategory1",IF(TableRelationships12[[#This Row],[Rank Pedro]]="Medium","linkCategory2",IF(TableRelationships12[[#This Row],[Rank Pedro]]="High","linkCategory3","")))</f>
        <v/>
      </c>
      <c r="U941" s="102" t="str">
        <f>IF(TableRelationships12[[#This Row],[Rank Pedro]]="Low","Pink",IF(TableRelationships12[[#This Row],[Rank Pedro]]="Medium","Purple",IF(TableRelationships12[[#This Row],[Rank Pedro]]="High","Brown","")))</f>
        <v/>
      </c>
      <c r="V941" s="4" t="e">
        <f>MAX(INDEX(Standards!$F$2:$F$296,MATCH(B941,Standards!$B$2:$B$296,0)),INDEX(Standards!$F$2:$F$296,MATCH(C941,Standards!$B$2:$B$296,0)))</f>
        <v>#N/A</v>
      </c>
      <c r="W941" t="str">
        <f t="shared" si="44"/>
        <v>#2f89d1</v>
      </c>
    </row>
    <row r="942" spans="1:23" x14ac:dyDescent="0.5">
      <c r="A942" s="54">
        <v>941</v>
      </c>
      <c r="B942" s="90" t="s">
        <v>330</v>
      </c>
      <c r="C942" t="s">
        <v>1096</v>
      </c>
      <c r="D942" s="1" t="s">
        <v>1173</v>
      </c>
      <c r="E942" s="113">
        <v>1995.12</v>
      </c>
      <c r="F942" s="113">
        <v>1998.11</v>
      </c>
      <c r="G942" s="107" t="s">
        <v>1521</v>
      </c>
      <c r="H942">
        <f>INDEX('GIS-Standards'!$A$2:$A$305,MATCH(B942,'GIS-Standards'!$B$2:$B$305,0))</f>
        <v>38</v>
      </c>
      <c r="I942" t="e">
        <f>INDEX('GIS-Standards'!$A$2:$A$305,MATCH(C942,'GIS-Standards'!$B$2:$B$305,0))</f>
        <v>#N/A</v>
      </c>
      <c r="J942" t="str">
        <f>INDEX('GIS-Standards'!$O$2:$O$305,MATCH(B942,'GIS-Standards'!$B$2:$B$305,0))</f>
        <v>ISO/TC 211</v>
      </c>
      <c r="K942" t="e">
        <f>INDEX('GIS-Standards'!$O$2:$O$305,MATCH(C942,'GIS-Standards'!$B$2:$B$305,0))</f>
        <v>#N/A</v>
      </c>
      <c r="M942" t="s">
        <v>525</v>
      </c>
      <c r="N942">
        <f>INDEX('GIS-Standards'!$I$2:$I$305,MATCH(B942,'GIS-Standards'!$B$2:$B$305,0))</f>
        <v>0</v>
      </c>
      <c r="O942" t="e">
        <f>INDEX('GIS-Standards'!$I$2:$I$305,MATCH(C942,'GIS-Standards'!$B$2:$B$305,0))</f>
        <v>#N/A</v>
      </c>
      <c r="P942" t="e">
        <f>AND(TableRelationships12[[#This Row],[Source Type]]="BIM",TableRelationships12[[#This Row],[Target Type]]="BIM")</f>
        <v>#N/A</v>
      </c>
      <c r="Q942">
        <f t="shared" si="42"/>
        <v>1</v>
      </c>
      <c r="S942">
        <f t="shared" si="43"/>
        <v>1</v>
      </c>
      <c r="T942" s="102" t="str">
        <f>IF(TableRelationships12[[#This Row],[Rank Pedro]]="Low","linkCategory1",IF(TableRelationships12[[#This Row],[Rank Pedro]]="Medium","linkCategory2",IF(TableRelationships12[[#This Row],[Rank Pedro]]="High","linkCategory3","")))</f>
        <v/>
      </c>
      <c r="U942" s="102" t="str">
        <f>IF(TableRelationships12[[#This Row],[Rank Pedro]]="Low","Pink",IF(TableRelationships12[[#This Row],[Rank Pedro]]="Medium","Purple",IF(TableRelationships12[[#This Row],[Rank Pedro]]="High","Brown","")))</f>
        <v/>
      </c>
      <c r="V942" s="4" t="e">
        <f>MAX(INDEX(Standards!$F$2:$F$296,MATCH(B942,Standards!$B$2:$B$296,0)),INDEX(Standards!$F$2:$F$296,MATCH(C942,Standards!$B$2:$B$296,0)))</f>
        <v>#N/A</v>
      </c>
      <c r="W942" t="str">
        <f t="shared" si="44"/>
        <v>#2f89d1</v>
      </c>
    </row>
    <row r="943" spans="1:23" x14ac:dyDescent="0.5">
      <c r="A943" s="54">
        <v>942</v>
      </c>
      <c r="B943" s="90" t="s">
        <v>330</v>
      </c>
      <c r="C943" t="s">
        <v>1079</v>
      </c>
      <c r="D943" s="1"/>
      <c r="E943" s="112">
        <v>2005.04</v>
      </c>
      <c r="F943" s="112">
        <v>2005.04</v>
      </c>
      <c r="G943" s="107" t="s">
        <v>1502</v>
      </c>
      <c r="H943">
        <f>INDEX('GIS-Standards'!$A$2:$A$305,MATCH(B943,'GIS-Standards'!$B$2:$B$305,0))</f>
        <v>38</v>
      </c>
      <c r="I943" t="e">
        <f>INDEX('GIS-Standards'!$A$2:$A$305,MATCH(C943,'GIS-Standards'!$B$2:$B$305,0))</f>
        <v>#N/A</v>
      </c>
      <c r="J943" t="str">
        <f>INDEX('GIS-Standards'!$O$2:$O$305,MATCH(B943,'GIS-Standards'!$B$2:$B$305,0))</f>
        <v>ISO/TC 211</v>
      </c>
      <c r="K943" t="e">
        <f>INDEX('GIS-Standards'!$O$2:$O$305,MATCH(C943,'GIS-Standards'!$B$2:$B$305,0))</f>
        <v>#N/A</v>
      </c>
      <c r="M943" t="s">
        <v>525</v>
      </c>
      <c r="N943">
        <f>INDEX('GIS-Standards'!$I$2:$I$305,MATCH(B943,'GIS-Standards'!$B$2:$B$305,0))</f>
        <v>0</v>
      </c>
      <c r="O943" t="e">
        <f>INDEX('GIS-Standards'!$I$2:$I$305,MATCH(C943,'GIS-Standards'!$B$2:$B$305,0))</f>
        <v>#N/A</v>
      </c>
      <c r="P943" t="e">
        <f>AND(TableRelationships12[[#This Row],[Source Type]]="BIM",TableRelationships12[[#This Row],[Target Type]]="BIM")</f>
        <v>#N/A</v>
      </c>
      <c r="Q943">
        <f t="shared" si="42"/>
        <v>1</v>
      </c>
      <c r="S943">
        <f t="shared" si="43"/>
        <v>1</v>
      </c>
      <c r="T943" s="102" t="str">
        <f>IF(TableRelationships12[[#This Row],[Rank Pedro]]="Low","linkCategory1",IF(TableRelationships12[[#This Row],[Rank Pedro]]="Medium","linkCategory2",IF(TableRelationships12[[#This Row],[Rank Pedro]]="High","linkCategory3","")))</f>
        <v/>
      </c>
      <c r="U943" s="102" t="str">
        <f>IF(TableRelationships12[[#This Row],[Rank Pedro]]="Low","Pink",IF(TableRelationships12[[#This Row],[Rank Pedro]]="Medium","Purple",IF(TableRelationships12[[#This Row],[Rank Pedro]]="High","Brown","")))</f>
        <v/>
      </c>
      <c r="V943" s="4" t="e">
        <f>MAX(INDEX(Standards!$F$2:$F$296,MATCH(B943,Standards!$B$2:$B$296,0)),INDEX(Standards!$F$2:$F$296,MATCH(C943,Standards!$B$2:$B$296,0)))</f>
        <v>#N/A</v>
      </c>
      <c r="W943" t="str">
        <f t="shared" si="44"/>
        <v>#2f89d1</v>
      </c>
    </row>
    <row r="944" spans="1:23" x14ac:dyDescent="0.5">
      <c r="A944" s="54">
        <v>943</v>
      </c>
      <c r="B944" s="90" t="s">
        <v>330</v>
      </c>
      <c r="C944" t="s">
        <v>1174</v>
      </c>
      <c r="D944" s="1"/>
      <c r="E944" s="113">
        <v>2001.12</v>
      </c>
      <c r="F944" s="113">
        <v>2004.11</v>
      </c>
      <c r="G944" s="107" t="s">
        <v>1506</v>
      </c>
      <c r="H944">
        <f>INDEX('GIS-Standards'!$A$2:$A$305,MATCH(B944,'GIS-Standards'!$B$2:$B$305,0))</f>
        <v>38</v>
      </c>
      <c r="I944" t="e">
        <f>INDEX('GIS-Standards'!$A$2:$A$305,MATCH(C944,'GIS-Standards'!$B$2:$B$305,0))</f>
        <v>#N/A</v>
      </c>
      <c r="J944" t="str">
        <f>INDEX('GIS-Standards'!$O$2:$O$305,MATCH(B944,'GIS-Standards'!$B$2:$B$305,0))</f>
        <v>ISO/TC 211</v>
      </c>
      <c r="K944" t="e">
        <f>INDEX('GIS-Standards'!$O$2:$O$305,MATCH(C944,'GIS-Standards'!$B$2:$B$305,0))</f>
        <v>#N/A</v>
      </c>
      <c r="M944" t="s">
        <v>525</v>
      </c>
      <c r="N944">
        <f>INDEX('GIS-Standards'!$I$2:$I$305,MATCH(B944,'GIS-Standards'!$B$2:$B$305,0))</f>
        <v>0</v>
      </c>
      <c r="O944" t="e">
        <f>INDEX('GIS-Standards'!$I$2:$I$305,MATCH(C944,'GIS-Standards'!$B$2:$B$305,0))</f>
        <v>#N/A</v>
      </c>
      <c r="P944" t="e">
        <f>AND(TableRelationships12[[#This Row],[Source Type]]="BIM",TableRelationships12[[#This Row],[Target Type]]="BIM")</f>
        <v>#N/A</v>
      </c>
      <c r="Q944">
        <f t="shared" si="42"/>
        <v>1</v>
      </c>
      <c r="S944">
        <f t="shared" si="43"/>
        <v>1</v>
      </c>
      <c r="T944" s="102" t="str">
        <f>IF(TableRelationships12[[#This Row],[Rank Pedro]]="Low","linkCategory1",IF(TableRelationships12[[#This Row],[Rank Pedro]]="Medium","linkCategory2",IF(TableRelationships12[[#This Row],[Rank Pedro]]="High","linkCategory3","")))</f>
        <v/>
      </c>
      <c r="U944" s="102" t="str">
        <f>IF(TableRelationships12[[#This Row],[Rank Pedro]]="Low","Pink",IF(TableRelationships12[[#This Row],[Rank Pedro]]="Medium","Purple",IF(TableRelationships12[[#This Row],[Rank Pedro]]="High","Brown","")))</f>
        <v/>
      </c>
      <c r="V944" s="4" t="e">
        <f>MAX(INDEX(Standards!$F$2:$F$296,MATCH(B944,Standards!$B$2:$B$296,0)),INDEX(Standards!$F$2:$F$296,MATCH(C944,Standards!$B$2:$B$296,0)))</f>
        <v>#N/A</v>
      </c>
      <c r="W944" t="str">
        <f t="shared" si="44"/>
        <v>#2f89d1</v>
      </c>
    </row>
    <row r="945" spans="1:23" x14ac:dyDescent="0.5">
      <c r="A945" s="54">
        <v>944</v>
      </c>
      <c r="B945" s="90" t="s">
        <v>330</v>
      </c>
      <c r="C945" t="s">
        <v>1175</v>
      </c>
      <c r="D945" s="1"/>
      <c r="E945" s="112">
        <v>2004.04</v>
      </c>
      <c r="F945" s="112">
        <v>2008.07</v>
      </c>
      <c r="G945" s="107" t="s">
        <v>1506</v>
      </c>
      <c r="H945">
        <f>INDEX('GIS-Standards'!$A$2:$A$305,MATCH(B945,'GIS-Standards'!$B$2:$B$305,0))</f>
        <v>38</v>
      </c>
      <c r="I945" t="e">
        <f>INDEX('GIS-Standards'!$A$2:$A$305,MATCH(C945,'GIS-Standards'!$B$2:$B$305,0))</f>
        <v>#N/A</v>
      </c>
      <c r="J945" t="str">
        <f>INDEX('GIS-Standards'!$O$2:$O$305,MATCH(B945,'GIS-Standards'!$B$2:$B$305,0))</f>
        <v>ISO/TC 211</v>
      </c>
      <c r="K945" t="e">
        <f>INDEX('GIS-Standards'!$O$2:$O$305,MATCH(C945,'GIS-Standards'!$B$2:$B$305,0))</f>
        <v>#N/A</v>
      </c>
      <c r="M945" t="s">
        <v>525</v>
      </c>
      <c r="N945">
        <f>INDEX('GIS-Standards'!$I$2:$I$305,MATCH(B945,'GIS-Standards'!$B$2:$B$305,0))</f>
        <v>0</v>
      </c>
      <c r="O945" t="e">
        <f>INDEX('GIS-Standards'!$I$2:$I$305,MATCH(C945,'GIS-Standards'!$B$2:$B$305,0))</f>
        <v>#N/A</v>
      </c>
      <c r="P945" t="e">
        <f>AND(TableRelationships12[[#This Row],[Source Type]]="BIM",TableRelationships12[[#This Row],[Target Type]]="BIM")</f>
        <v>#N/A</v>
      </c>
      <c r="Q945">
        <f t="shared" si="42"/>
        <v>1</v>
      </c>
      <c r="S945">
        <f t="shared" si="43"/>
        <v>1</v>
      </c>
      <c r="T945" s="102" t="str">
        <f>IF(TableRelationships12[[#This Row],[Rank Pedro]]="Low","linkCategory1",IF(TableRelationships12[[#This Row],[Rank Pedro]]="Medium","linkCategory2",IF(TableRelationships12[[#This Row],[Rank Pedro]]="High","linkCategory3","")))</f>
        <v/>
      </c>
      <c r="U945" s="102" t="str">
        <f>IF(TableRelationships12[[#This Row],[Rank Pedro]]="Low","Pink",IF(TableRelationships12[[#This Row],[Rank Pedro]]="Medium","Purple",IF(TableRelationships12[[#This Row],[Rank Pedro]]="High","Brown","")))</f>
        <v/>
      </c>
      <c r="V945" s="4" t="e">
        <f>MAX(INDEX(Standards!$F$2:$F$296,MATCH(B945,Standards!$B$2:$B$296,0)),INDEX(Standards!$F$2:$F$296,MATCH(C945,Standards!$B$2:$B$296,0)))</f>
        <v>#N/A</v>
      </c>
      <c r="W945" t="str">
        <f t="shared" si="44"/>
        <v>#2f89d1</v>
      </c>
    </row>
    <row r="946" spans="1:23" x14ac:dyDescent="0.5">
      <c r="A946" s="54">
        <v>945</v>
      </c>
      <c r="B946" s="90" t="s">
        <v>332</v>
      </c>
      <c r="C946" t="s">
        <v>527</v>
      </c>
      <c r="D946" s="1"/>
      <c r="E946" s="112" t="s">
        <v>951</v>
      </c>
      <c r="F946" s="112" t="s">
        <v>951</v>
      </c>
      <c r="G946" s="121" t="s">
        <v>670</v>
      </c>
      <c r="H946">
        <f>INDEX('GIS-Standards'!$A$2:$A$305,MATCH(B946,'GIS-Standards'!$B$2:$B$305,0))</f>
        <v>39</v>
      </c>
      <c r="I946" t="e">
        <f>INDEX('GIS-Standards'!$A$2:$A$305,MATCH(C946,'GIS-Standards'!$B$2:$B$305,0))</f>
        <v>#N/A</v>
      </c>
      <c r="J946" t="str">
        <f>INDEX('GIS-Standards'!$O$2:$O$305,MATCH(B946,'GIS-Standards'!$B$2:$B$305,0))</f>
        <v>ISO/TC 211</v>
      </c>
      <c r="K946" t="e">
        <f>INDEX('GIS-Standards'!$O$2:$O$305,MATCH(C946,'GIS-Standards'!$B$2:$B$305,0))</f>
        <v>#N/A</v>
      </c>
      <c r="M946" t="s">
        <v>237</v>
      </c>
      <c r="N946">
        <f>INDEX('GIS-Standards'!$I$2:$I$305,MATCH(B946,'GIS-Standards'!$B$2:$B$305,0))</f>
        <v>0</v>
      </c>
      <c r="O946" t="e">
        <f>INDEX('GIS-Standards'!$I$2:$I$305,MATCH(C946,'GIS-Standards'!$B$2:$B$305,0))</f>
        <v>#N/A</v>
      </c>
      <c r="P946" t="e">
        <f>AND(TableRelationships12[[#This Row],[Source Type]]="BIM",TableRelationships12[[#This Row],[Target Type]]="BIM")</f>
        <v>#N/A</v>
      </c>
      <c r="Q946">
        <f t="shared" si="42"/>
        <v>2</v>
      </c>
      <c r="S946">
        <f t="shared" si="43"/>
        <v>1</v>
      </c>
      <c r="T946" s="102" t="str">
        <f>IF(TableRelationships12[[#This Row],[Rank Pedro]]="Low","linkCategory1",IF(TableRelationships12[[#This Row],[Rank Pedro]]="Medium","linkCategory2",IF(TableRelationships12[[#This Row],[Rank Pedro]]="High","linkCategory3","")))</f>
        <v/>
      </c>
      <c r="U946" s="102" t="str">
        <f>IF(TableRelationships12[[#This Row],[Rank Pedro]]="Low","Pink",IF(TableRelationships12[[#This Row],[Rank Pedro]]="Medium","Purple",IF(TableRelationships12[[#This Row],[Rank Pedro]]="High","Brown","")))</f>
        <v/>
      </c>
      <c r="V946" s="4">
        <f>MAX(INDEX(Standards!$F$2:$F$296,MATCH(B946,Standards!$B$2:$B$296,0)),INDEX(Standards!$F$2:$F$296,MATCH(C946,Standards!$B$2:$B$296,0)))</f>
        <v>38626</v>
      </c>
      <c r="W946">
        <f t="shared" si="44"/>
        <v>1</v>
      </c>
    </row>
    <row r="947" spans="1:23" x14ac:dyDescent="0.5">
      <c r="A947" s="54">
        <v>946</v>
      </c>
      <c r="B947" s="90" t="s">
        <v>332</v>
      </c>
      <c r="C947" t="s">
        <v>132</v>
      </c>
      <c r="D947" s="1"/>
      <c r="E947" s="112">
        <v>1997.09</v>
      </c>
      <c r="F947" s="112">
        <v>2020.08</v>
      </c>
      <c r="G947" s="107" t="s">
        <v>1481</v>
      </c>
      <c r="H947">
        <f>INDEX('GIS-Standards'!$A$2:$A$305,MATCH(B947,'GIS-Standards'!$B$2:$B$305,0))</f>
        <v>39</v>
      </c>
      <c r="I947" t="e">
        <f>INDEX('GIS-Standards'!$A$2:$A$305,MATCH(C947,'GIS-Standards'!$B$2:$B$305,0))</f>
        <v>#N/A</v>
      </c>
      <c r="J947" t="str">
        <f>INDEX('GIS-Standards'!$O$2:$O$305,MATCH(B947,'GIS-Standards'!$B$2:$B$305,0))</f>
        <v>ISO/TC 211</v>
      </c>
      <c r="K947" t="e">
        <f>INDEX('GIS-Standards'!$O$2:$O$305,MATCH(C947,'GIS-Standards'!$B$2:$B$305,0))</f>
        <v>#N/A</v>
      </c>
      <c r="M947" t="s">
        <v>524</v>
      </c>
      <c r="N947">
        <f>INDEX('GIS-Standards'!$I$2:$I$305,MATCH(B947,'GIS-Standards'!$B$2:$B$305,0))</f>
        <v>0</v>
      </c>
      <c r="O947" t="e">
        <f>INDEX('GIS-Standards'!$I$2:$I$305,MATCH(C947,'GIS-Standards'!$B$2:$B$305,0))</f>
        <v>#N/A</v>
      </c>
      <c r="P947" t="e">
        <f>AND(TableRelationships12[[#This Row],[Source Type]]="BIM",TableRelationships12[[#This Row],[Target Type]]="BIM")</f>
        <v>#N/A</v>
      </c>
      <c r="Q947">
        <f t="shared" si="42"/>
        <v>6</v>
      </c>
      <c r="S947">
        <f t="shared" si="43"/>
        <v>1</v>
      </c>
      <c r="T947" s="102" t="str">
        <f>IF(TableRelationships12[[#This Row],[Rank Pedro]]="Low","linkCategory1",IF(TableRelationships12[[#This Row],[Rank Pedro]]="Medium","linkCategory2",IF(TableRelationships12[[#This Row],[Rank Pedro]]="High","linkCategory3","")))</f>
        <v/>
      </c>
      <c r="U947" s="102" t="str">
        <f>IF(TableRelationships12[[#This Row],[Rank Pedro]]="Low","Pink",IF(TableRelationships12[[#This Row],[Rank Pedro]]="Medium","Purple",IF(TableRelationships12[[#This Row],[Rank Pedro]]="High","Brown","")))</f>
        <v/>
      </c>
      <c r="V947" s="4">
        <f>MAX(INDEX(Standards!$F$2:$F$296,MATCH(B947,Standards!$B$2:$B$296,0)),INDEX(Standards!$F$2:$F$296,MATCH(C947,Standards!$B$2:$B$296,0)))</f>
        <v>38626</v>
      </c>
      <c r="W947" t="str">
        <f t="shared" si="44"/>
        <v>#d6bf2a</v>
      </c>
    </row>
    <row r="948" spans="1:23" x14ac:dyDescent="0.5">
      <c r="A948" s="54">
        <v>947</v>
      </c>
      <c r="B948" s="90" t="s">
        <v>332</v>
      </c>
      <c r="C948" t="s">
        <v>302</v>
      </c>
      <c r="D948" s="1"/>
      <c r="E948" s="112">
        <v>2003.05</v>
      </c>
      <c r="F948" s="112">
        <v>2019.12</v>
      </c>
      <c r="G948" s="107" t="s">
        <v>670</v>
      </c>
      <c r="H948">
        <f>INDEX('GIS-Standards'!$A$2:$A$305,MATCH(B948,'GIS-Standards'!$B$2:$B$305,0))</f>
        <v>39</v>
      </c>
      <c r="I948">
        <f>INDEX('GIS-Standards'!$A$2:$A$305,MATCH(C948,'GIS-Standards'!$B$2:$B$305,0))</f>
        <v>16</v>
      </c>
      <c r="J948" t="str">
        <f>INDEX('GIS-Standards'!$O$2:$O$305,MATCH(B948,'GIS-Standards'!$B$2:$B$305,0))</f>
        <v>ISO/TC 211</v>
      </c>
      <c r="K948" t="str">
        <f>INDEX('GIS-Standards'!$O$2:$O$305,MATCH(C948,'GIS-Standards'!$B$2:$B$305,0))</f>
        <v>ISO/TC 211</v>
      </c>
      <c r="M948" t="s">
        <v>524</v>
      </c>
      <c r="N948">
        <f>INDEX('GIS-Standards'!$I$2:$I$305,MATCH(B948,'GIS-Standards'!$B$2:$B$305,0))</f>
        <v>0</v>
      </c>
      <c r="O948">
        <f>INDEX('GIS-Standards'!$I$2:$I$305,MATCH(C948,'GIS-Standards'!$B$2:$B$305,0))</f>
        <v>0</v>
      </c>
      <c r="P948" t="b">
        <f>AND(TableRelationships12[[#This Row],[Source Type]]="BIM",TableRelationships12[[#This Row],[Target Type]]="BIM")</f>
        <v>0</v>
      </c>
      <c r="Q948">
        <f t="shared" si="42"/>
        <v>6</v>
      </c>
      <c r="S948">
        <f t="shared" si="43"/>
        <v>1</v>
      </c>
      <c r="T948" s="102" t="str">
        <f>IF(TableRelationships12[[#This Row],[Rank Pedro]]="Low","linkCategory1",IF(TableRelationships12[[#This Row],[Rank Pedro]]="Medium","linkCategory2",IF(TableRelationships12[[#This Row],[Rank Pedro]]="High","linkCategory3","")))</f>
        <v/>
      </c>
      <c r="U948" s="102" t="str">
        <f>IF(TableRelationships12[[#This Row],[Rank Pedro]]="Low","Pink",IF(TableRelationships12[[#This Row],[Rank Pedro]]="Medium","Purple",IF(TableRelationships12[[#This Row],[Rank Pedro]]="High","Brown","")))</f>
        <v/>
      </c>
      <c r="V948" s="4">
        <f>MAX(INDEX(Standards!$F$2:$F$296,MATCH(B948,Standards!$B$2:$B$296,0)),INDEX(Standards!$F$2:$F$296,MATCH(C948,Standards!$B$2:$B$296,0)))</f>
        <v>38626</v>
      </c>
      <c r="W948" t="str">
        <f t="shared" si="44"/>
        <v>#d6bf2a</v>
      </c>
    </row>
    <row r="949" spans="1:23" x14ac:dyDescent="0.5">
      <c r="A949" s="54">
        <v>948</v>
      </c>
      <c r="B949" s="90" t="s">
        <v>332</v>
      </c>
      <c r="C949" t="s">
        <v>304</v>
      </c>
      <c r="D949" s="1"/>
      <c r="E949" s="112">
        <v>2002.09</v>
      </c>
      <c r="F949" s="112">
        <v>2006.1</v>
      </c>
      <c r="G949" s="107" t="s">
        <v>670</v>
      </c>
      <c r="H949">
        <f>INDEX('GIS-Standards'!$A$2:$A$305,MATCH(B949,'GIS-Standards'!$B$2:$B$305,0))</f>
        <v>39</v>
      </c>
      <c r="I949">
        <f>INDEX('GIS-Standards'!$A$2:$A$305,MATCH(C949,'GIS-Standards'!$B$2:$B$305,0))</f>
        <v>17</v>
      </c>
      <c r="J949" t="str">
        <f>INDEX('GIS-Standards'!$O$2:$O$305,MATCH(B949,'GIS-Standards'!$B$2:$B$305,0))</f>
        <v>ISO/TC 211</v>
      </c>
      <c r="K949" t="str">
        <f>INDEX('GIS-Standards'!$O$2:$O$305,MATCH(C949,'GIS-Standards'!$B$2:$B$305,0))</f>
        <v>ISO/TC 211</v>
      </c>
      <c r="M949" t="s">
        <v>524</v>
      </c>
      <c r="N949">
        <f>INDEX('GIS-Standards'!$I$2:$I$305,MATCH(B949,'GIS-Standards'!$B$2:$B$305,0))</f>
        <v>0</v>
      </c>
      <c r="O949" t="str">
        <f>INDEX('GIS-Standards'!$I$2:$I$305,MATCH(C949,'GIS-Standards'!$B$2:$B$305,0))</f>
        <v>06.2008</v>
      </c>
      <c r="P949" t="b">
        <f>AND(TableRelationships12[[#This Row],[Source Type]]="BIM",TableRelationships12[[#This Row],[Target Type]]="BIM")</f>
        <v>0</v>
      </c>
      <c r="Q949">
        <f t="shared" si="42"/>
        <v>6</v>
      </c>
      <c r="S949">
        <f t="shared" si="43"/>
        <v>1</v>
      </c>
      <c r="T949" s="102" t="str">
        <f>IF(TableRelationships12[[#This Row],[Rank Pedro]]="Low","linkCategory1",IF(TableRelationships12[[#This Row],[Rank Pedro]]="Medium","linkCategory2",IF(TableRelationships12[[#This Row],[Rank Pedro]]="High","linkCategory3","")))</f>
        <v/>
      </c>
      <c r="U949" s="102" t="str">
        <f>IF(TableRelationships12[[#This Row],[Rank Pedro]]="Low","Pink",IF(TableRelationships12[[#This Row],[Rank Pedro]]="Medium","Purple",IF(TableRelationships12[[#This Row],[Rank Pedro]]="High","Brown","")))</f>
        <v/>
      </c>
      <c r="V949" s="4">
        <f>MAX(INDEX(Standards!$F$2:$F$296,MATCH(B949,Standards!$B$2:$B$296,0)),INDEX(Standards!$F$2:$F$296,MATCH(C949,Standards!$B$2:$B$296,0)))</f>
        <v>38626</v>
      </c>
      <c r="W949" t="str">
        <f t="shared" si="44"/>
        <v>#d6bf2a</v>
      </c>
    </row>
    <row r="950" spans="1:23" x14ac:dyDescent="0.5">
      <c r="A950" s="54">
        <v>949</v>
      </c>
      <c r="B950" s="90" t="s">
        <v>332</v>
      </c>
      <c r="C950" t="s">
        <v>306</v>
      </c>
      <c r="D950" s="1"/>
      <c r="E950" s="112">
        <v>2005.06</v>
      </c>
      <c r="F950" s="112">
        <v>2025.07</v>
      </c>
      <c r="G950" s="107" t="s">
        <v>670</v>
      </c>
      <c r="H950">
        <f>INDEX('GIS-Standards'!$A$2:$A$305,MATCH(B950,'GIS-Standards'!$B$2:$B$305,0))</f>
        <v>39</v>
      </c>
      <c r="I950">
        <f>INDEX('GIS-Standards'!$A$2:$A$305,MATCH(C950,'GIS-Standards'!$B$2:$B$305,0))</f>
        <v>18</v>
      </c>
      <c r="J950" t="str">
        <f>INDEX('GIS-Standards'!$O$2:$O$305,MATCH(B950,'GIS-Standards'!$B$2:$B$305,0))</f>
        <v>ISO/TC 211</v>
      </c>
      <c r="K950" t="str">
        <f>INDEX('GIS-Standards'!$O$2:$O$305,MATCH(C950,'GIS-Standards'!$B$2:$B$305,0))</f>
        <v>ISO/TC 211</v>
      </c>
      <c r="M950" t="s">
        <v>524</v>
      </c>
      <c r="N950">
        <f>INDEX('GIS-Standards'!$I$2:$I$305,MATCH(B950,'GIS-Standards'!$B$2:$B$305,0))</f>
        <v>0</v>
      </c>
      <c r="O950">
        <f>INDEX('GIS-Standards'!$I$2:$I$305,MATCH(C950,'GIS-Standards'!$B$2:$B$305,0))</f>
        <v>0</v>
      </c>
      <c r="P950" t="b">
        <f>AND(TableRelationships12[[#This Row],[Source Type]]="BIM",TableRelationships12[[#This Row],[Target Type]]="BIM")</f>
        <v>0</v>
      </c>
      <c r="Q950">
        <f t="shared" si="42"/>
        <v>6</v>
      </c>
      <c r="S950">
        <f t="shared" si="43"/>
        <v>1</v>
      </c>
      <c r="T950" s="102" t="str">
        <f>IF(TableRelationships12[[#This Row],[Rank Pedro]]="Low","linkCategory1",IF(TableRelationships12[[#This Row],[Rank Pedro]]="Medium","linkCategory2",IF(TableRelationships12[[#This Row],[Rank Pedro]]="High","linkCategory3","")))</f>
        <v/>
      </c>
      <c r="U950" s="102" t="str">
        <f>IF(TableRelationships12[[#This Row],[Rank Pedro]]="Low","Pink",IF(TableRelationships12[[#This Row],[Rank Pedro]]="Medium","Purple",IF(TableRelationships12[[#This Row],[Rank Pedro]]="High","Brown","")))</f>
        <v/>
      </c>
      <c r="V950" s="4">
        <f>MAX(INDEX(Standards!$F$2:$F$296,MATCH(B950,Standards!$B$2:$B$296,0)),INDEX(Standards!$F$2:$F$296,MATCH(C950,Standards!$B$2:$B$296,0)))</f>
        <v>38626</v>
      </c>
      <c r="W950" t="str">
        <f t="shared" si="44"/>
        <v>#d6bf2a</v>
      </c>
    </row>
    <row r="951" spans="1:23" x14ac:dyDescent="0.5">
      <c r="A951" s="54">
        <v>950</v>
      </c>
      <c r="B951" s="90" t="s">
        <v>332</v>
      </c>
      <c r="C951" t="s">
        <v>310</v>
      </c>
      <c r="D951" s="1"/>
      <c r="E951" s="112">
        <v>2003.02</v>
      </c>
      <c r="F951" s="112">
        <v>2023.08</v>
      </c>
      <c r="G951" s="107" t="s">
        <v>670</v>
      </c>
      <c r="H951">
        <f>INDEX('GIS-Standards'!$A$2:$A$305,MATCH(B951,'GIS-Standards'!$B$2:$B$305,0))</f>
        <v>39</v>
      </c>
      <c r="I951">
        <f>INDEX('GIS-Standards'!$A$2:$A$305,MATCH(C951,'GIS-Standards'!$B$2:$B$305,0))</f>
        <v>20</v>
      </c>
      <c r="J951" t="str">
        <f>INDEX('GIS-Standards'!$O$2:$O$305,MATCH(B951,'GIS-Standards'!$B$2:$B$305,0))</f>
        <v>ISO/TC 211</v>
      </c>
      <c r="K951" t="str">
        <f>INDEX('GIS-Standards'!$O$2:$O$305,MATCH(C951,'GIS-Standards'!$B$2:$B$305,0))</f>
        <v>ISO/TC 211</v>
      </c>
      <c r="M951" t="s">
        <v>524</v>
      </c>
      <c r="N951">
        <f>INDEX('GIS-Standards'!$I$2:$I$305,MATCH(B951,'GIS-Standards'!$B$2:$B$305,0))</f>
        <v>0</v>
      </c>
      <c r="O951" t="str">
        <f>INDEX('GIS-Standards'!$I$2:$I$305,MATCH(C951,'GIS-Standards'!$B$2:$B$305,0))</f>
        <v>08.2023</v>
      </c>
      <c r="P951" t="b">
        <f>AND(TableRelationships12[[#This Row],[Source Type]]="BIM",TableRelationships12[[#This Row],[Target Type]]="BIM")</f>
        <v>0</v>
      </c>
      <c r="Q951">
        <f t="shared" si="42"/>
        <v>6</v>
      </c>
      <c r="S951">
        <f t="shared" si="43"/>
        <v>1</v>
      </c>
      <c r="T951" s="102" t="str">
        <f>IF(TableRelationships12[[#This Row],[Rank Pedro]]="Low","linkCategory1",IF(TableRelationships12[[#This Row],[Rank Pedro]]="Medium","linkCategory2",IF(TableRelationships12[[#This Row],[Rank Pedro]]="High","linkCategory3","")))</f>
        <v/>
      </c>
      <c r="U951" s="102" t="str">
        <f>IF(TableRelationships12[[#This Row],[Rank Pedro]]="Low","Pink",IF(TableRelationships12[[#This Row],[Rank Pedro]]="Medium","Purple",IF(TableRelationships12[[#This Row],[Rank Pedro]]="High","Brown","")))</f>
        <v/>
      </c>
      <c r="V951" s="4">
        <f>MAX(INDEX(Standards!$F$2:$F$296,MATCH(B951,Standards!$B$2:$B$296,0)),INDEX(Standards!$F$2:$F$296,MATCH(C951,Standards!$B$2:$B$296,0)))</f>
        <v>38626</v>
      </c>
      <c r="W951" t="str">
        <f t="shared" si="44"/>
        <v>#d6bf2a</v>
      </c>
    </row>
    <row r="952" spans="1:23" x14ac:dyDescent="0.5">
      <c r="A952" s="54">
        <v>951</v>
      </c>
      <c r="B952" s="90" t="s">
        <v>332</v>
      </c>
      <c r="C952" t="s">
        <v>312</v>
      </c>
      <c r="D952" s="1"/>
      <c r="E952" s="112">
        <v>2003.1</v>
      </c>
      <c r="F952" s="112">
        <v>2019.02</v>
      </c>
      <c r="G952" s="107" t="s">
        <v>670</v>
      </c>
      <c r="H952">
        <f>INDEX('GIS-Standards'!$A$2:$A$305,MATCH(B952,'GIS-Standards'!$B$2:$B$305,0))</f>
        <v>39</v>
      </c>
      <c r="I952">
        <f>INDEX('GIS-Standards'!$A$2:$A$305,MATCH(C952,'GIS-Standards'!$B$2:$B$305,0))</f>
        <v>21</v>
      </c>
      <c r="J952" t="str">
        <f>INDEX('GIS-Standards'!$O$2:$O$305,MATCH(B952,'GIS-Standards'!$B$2:$B$305,0))</f>
        <v>ISO/TC 211</v>
      </c>
      <c r="K952" t="str">
        <f>INDEX('GIS-Standards'!$O$2:$O$305,MATCH(C952,'GIS-Standards'!$B$2:$B$305,0))</f>
        <v>ISO/TC 211</v>
      </c>
      <c r="M952" t="s">
        <v>524</v>
      </c>
      <c r="N952">
        <f>INDEX('GIS-Standards'!$I$2:$I$305,MATCH(B952,'GIS-Standards'!$B$2:$B$305,0))</f>
        <v>0</v>
      </c>
      <c r="O952">
        <f>INDEX('GIS-Standards'!$I$2:$I$305,MATCH(C952,'GIS-Standards'!$B$2:$B$305,0))</f>
        <v>0</v>
      </c>
      <c r="P952" t="b">
        <f>AND(TableRelationships12[[#This Row],[Source Type]]="BIM",TableRelationships12[[#This Row],[Target Type]]="BIM")</f>
        <v>0</v>
      </c>
      <c r="Q952">
        <f t="shared" si="42"/>
        <v>6</v>
      </c>
      <c r="S952">
        <f t="shared" si="43"/>
        <v>1</v>
      </c>
      <c r="T952" s="102" t="str">
        <f>IF(TableRelationships12[[#This Row],[Rank Pedro]]="Low","linkCategory1",IF(TableRelationships12[[#This Row],[Rank Pedro]]="Medium","linkCategory2",IF(TableRelationships12[[#This Row],[Rank Pedro]]="High","linkCategory3","")))</f>
        <v/>
      </c>
      <c r="U952" s="102" t="str">
        <f>IF(TableRelationships12[[#This Row],[Rank Pedro]]="Low","Pink",IF(TableRelationships12[[#This Row],[Rank Pedro]]="Medium","Purple",IF(TableRelationships12[[#This Row],[Rank Pedro]]="High","Brown","")))</f>
        <v/>
      </c>
      <c r="V952" s="4">
        <f>MAX(INDEX(Standards!$F$2:$F$296,MATCH(B952,Standards!$B$2:$B$296,0)),INDEX(Standards!$F$2:$F$296,MATCH(C952,Standards!$B$2:$B$296,0)))</f>
        <v>38626</v>
      </c>
      <c r="W952" t="str">
        <f t="shared" si="44"/>
        <v>#d6bf2a</v>
      </c>
    </row>
    <row r="953" spans="1:23" x14ac:dyDescent="0.5">
      <c r="A953" s="54">
        <v>952</v>
      </c>
      <c r="B953" s="90" t="s">
        <v>332</v>
      </c>
      <c r="C953" t="s">
        <v>316</v>
      </c>
      <c r="D953" s="1"/>
      <c r="E953" s="112">
        <v>2005.07</v>
      </c>
      <c r="F953" s="112">
        <v>2011.1</v>
      </c>
      <c r="G953" s="107" t="s">
        <v>670</v>
      </c>
      <c r="H953">
        <f>INDEX('GIS-Standards'!$A$2:$A$305,MATCH(B953,'GIS-Standards'!$B$2:$B$305,0))</f>
        <v>39</v>
      </c>
      <c r="I953">
        <f>INDEX('GIS-Standards'!$A$2:$A$305,MATCH(C953,'GIS-Standards'!$B$2:$B$305,0))</f>
        <v>27</v>
      </c>
      <c r="J953" t="str">
        <f>INDEX('GIS-Standards'!$O$2:$O$305,MATCH(B953,'GIS-Standards'!$B$2:$B$305,0))</f>
        <v>ISO/TC 211</v>
      </c>
      <c r="K953" t="str">
        <f>INDEX('GIS-Standards'!$O$2:$O$305,MATCH(C953,'GIS-Standards'!$B$2:$B$305,0))</f>
        <v>ISO/TC 211</v>
      </c>
      <c r="M953" t="s">
        <v>524</v>
      </c>
      <c r="N953">
        <f>INDEX('GIS-Standards'!$I$2:$I$305,MATCH(B953,'GIS-Standards'!$B$2:$B$305,0))</f>
        <v>0</v>
      </c>
      <c r="O953">
        <f>INDEX('GIS-Standards'!$I$2:$I$305,MATCH(C953,'GIS-Standards'!$B$2:$B$305,0))</f>
        <v>0</v>
      </c>
      <c r="P953" t="b">
        <f>AND(TableRelationships12[[#This Row],[Source Type]]="BIM",TableRelationships12[[#This Row],[Target Type]]="BIM")</f>
        <v>0</v>
      </c>
      <c r="Q953">
        <f t="shared" si="42"/>
        <v>6</v>
      </c>
      <c r="S953">
        <f t="shared" si="43"/>
        <v>1</v>
      </c>
      <c r="T953" s="102" t="str">
        <f>IF(TableRelationships12[[#This Row],[Rank Pedro]]="Low","linkCategory1",IF(TableRelationships12[[#This Row],[Rank Pedro]]="Medium","linkCategory2",IF(TableRelationships12[[#This Row],[Rank Pedro]]="High","linkCategory3","")))</f>
        <v/>
      </c>
      <c r="U953" s="102" t="str">
        <f>IF(TableRelationships12[[#This Row],[Rank Pedro]]="Low","Pink",IF(TableRelationships12[[#This Row],[Rank Pedro]]="Medium","Purple",IF(TableRelationships12[[#This Row],[Rank Pedro]]="High","Brown","")))</f>
        <v/>
      </c>
      <c r="V953" s="4">
        <f>MAX(INDEX(Standards!$F$2:$F$296,MATCH(B953,Standards!$B$2:$B$296,0)),INDEX(Standards!$F$2:$F$296,MATCH(C953,Standards!$B$2:$B$296,0)))</f>
        <v>38626</v>
      </c>
      <c r="W953" t="str">
        <f t="shared" si="44"/>
        <v>#d6bf2a</v>
      </c>
    </row>
    <row r="954" spans="1:23" x14ac:dyDescent="0.5">
      <c r="A954" s="54">
        <v>953</v>
      </c>
      <c r="B954" s="90" t="s">
        <v>332</v>
      </c>
      <c r="C954" t="s">
        <v>194</v>
      </c>
      <c r="D954" s="1"/>
      <c r="E954" s="112">
        <v>1996.12</v>
      </c>
      <c r="F954" s="112">
        <v>2007.12</v>
      </c>
      <c r="G954" s="107" t="s">
        <v>1504</v>
      </c>
      <c r="H954">
        <f>INDEX('GIS-Standards'!$A$2:$A$305,MATCH(B954,'GIS-Standards'!$B$2:$B$305,0))</f>
        <v>39</v>
      </c>
      <c r="I954" t="e">
        <f>INDEX('GIS-Standards'!$A$2:$A$305,MATCH(C954,'GIS-Standards'!$B$2:$B$305,0))</f>
        <v>#N/A</v>
      </c>
      <c r="J954" t="str">
        <f>INDEX('GIS-Standards'!$O$2:$O$305,MATCH(B954,'GIS-Standards'!$B$2:$B$305,0))</f>
        <v>ISO/TC 211</v>
      </c>
      <c r="K954" t="e">
        <f>INDEX('GIS-Standards'!$O$2:$O$305,MATCH(C954,'GIS-Standards'!$B$2:$B$305,0))</f>
        <v>#N/A</v>
      </c>
      <c r="M954" t="s">
        <v>525</v>
      </c>
      <c r="N954">
        <f>INDEX('GIS-Standards'!$I$2:$I$305,MATCH(B954,'GIS-Standards'!$B$2:$B$305,0))</f>
        <v>0</v>
      </c>
      <c r="O954" t="e">
        <f>INDEX('GIS-Standards'!$I$2:$I$305,MATCH(C954,'GIS-Standards'!$B$2:$B$305,0))</f>
        <v>#N/A</v>
      </c>
      <c r="P954" t="e">
        <f>AND(TableRelationships12[[#This Row],[Source Type]]="BIM",TableRelationships12[[#This Row],[Target Type]]="BIM")</f>
        <v>#N/A</v>
      </c>
      <c r="Q954">
        <f t="shared" si="42"/>
        <v>1</v>
      </c>
      <c r="S954">
        <f t="shared" si="43"/>
        <v>1</v>
      </c>
      <c r="T954" s="102" t="str">
        <f>IF(TableRelationships12[[#This Row],[Rank Pedro]]="Low","linkCategory1",IF(TableRelationships12[[#This Row],[Rank Pedro]]="Medium","linkCategory2",IF(TableRelationships12[[#This Row],[Rank Pedro]]="High","linkCategory3","")))</f>
        <v/>
      </c>
      <c r="U954" s="102" t="str">
        <f>IF(TableRelationships12[[#This Row],[Rank Pedro]]="Low","Pink",IF(TableRelationships12[[#This Row],[Rank Pedro]]="Medium","Purple",IF(TableRelationships12[[#This Row],[Rank Pedro]]="High","Brown","")))</f>
        <v/>
      </c>
      <c r="V954" s="4">
        <f>MAX(INDEX(Standards!$F$2:$F$296,MATCH(B954,Standards!$B$2:$B$296,0)),INDEX(Standards!$F$2:$F$296,MATCH(C954,Standards!$B$2:$B$296,0)))</f>
        <v>38626</v>
      </c>
      <c r="W954" t="str">
        <f t="shared" si="44"/>
        <v>#2f89d1</v>
      </c>
    </row>
    <row r="955" spans="1:23" x14ac:dyDescent="0.5">
      <c r="A955" s="54">
        <v>954</v>
      </c>
      <c r="B955" s="90" t="s">
        <v>332</v>
      </c>
      <c r="C955" t="s">
        <v>1072</v>
      </c>
      <c r="D955" s="1" t="s">
        <v>1172</v>
      </c>
      <c r="E955" s="113">
        <v>2011.07</v>
      </c>
      <c r="F955" s="113">
        <v>2020.03</v>
      </c>
      <c r="G955" s="107" t="s">
        <v>1456</v>
      </c>
      <c r="H955">
        <f>INDEX('GIS-Standards'!$A$2:$A$305,MATCH(B955,'GIS-Standards'!$B$2:$B$305,0))</f>
        <v>39</v>
      </c>
      <c r="I955" t="e">
        <f>INDEX('GIS-Standards'!$A$2:$A$305,MATCH(C955,'GIS-Standards'!$B$2:$B$305,0))</f>
        <v>#N/A</v>
      </c>
      <c r="J955" t="str">
        <f>INDEX('GIS-Standards'!$O$2:$O$305,MATCH(B955,'GIS-Standards'!$B$2:$B$305,0))</f>
        <v>ISO/TC 211</v>
      </c>
      <c r="K955" t="e">
        <f>INDEX('GIS-Standards'!$O$2:$O$305,MATCH(C955,'GIS-Standards'!$B$2:$B$305,0))</f>
        <v>#N/A</v>
      </c>
      <c r="M955" t="s">
        <v>525</v>
      </c>
      <c r="N955">
        <f>INDEX('GIS-Standards'!$I$2:$I$305,MATCH(B955,'GIS-Standards'!$B$2:$B$305,0))</f>
        <v>0</v>
      </c>
      <c r="O955" t="e">
        <f>INDEX('GIS-Standards'!$I$2:$I$305,MATCH(C955,'GIS-Standards'!$B$2:$B$305,0))</f>
        <v>#N/A</v>
      </c>
      <c r="P955" t="e">
        <f>AND(TableRelationships12[[#This Row],[Source Type]]="BIM",TableRelationships12[[#This Row],[Target Type]]="BIM")</f>
        <v>#N/A</v>
      </c>
      <c r="Q955">
        <f t="shared" si="42"/>
        <v>1</v>
      </c>
      <c r="S955">
        <f t="shared" si="43"/>
        <v>1</v>
      </c>
      <c r="T955" s="102" t="str">
        <f>IF(TableRelationships12[[#This Row],[Rank Pedro]]="Low","linkCategory1",IF(TableRelationships12[[#This Row],[Rank Pedro]]="Medium","linkCategory2",IF(TableRelationships12[[#This Row],[Rank Pedro]]="High","linkCategory3","")))</f>
        <v/>
      </c>
      <c r="U955" s="102" t="str">
        <f>IF(TableRelationships12[[#This Row],[Rank Pedro]]="Low","Pink",IF(TableRelationships12[[#This Row],[Rank Pedro]]="Medium","Purple",IF(TableRelationships12[[#This Row],[Rank Pedro]]="High","Brown","")))</f>
        <v/>
      </c>
      <c r="V955" s="4" t="e">
        <f>MAX(INDEX(Standards!$F$2:$F$296,MATCH(B955,Standards!$B$2:$B$296,0)),INDEX(Standards!$F$2:$F$296,MATCH(C955,Standards!$B$2:$B$296,0)))</f>
        <v>#N/A</v>
      </c>
      <c r="W955" t="str">
        <f t="shared" si="44"/>
        <v>#2f89d1</v>
      </c>
    </row>
    <row r="956" spans="1:23" x14ac:dyDescent="0.5">
      <c r="A956" s="54">
        <v>955</v>
      </c>
      <c r="B956" s="90" t="s">
        <v>332</v>
      </c>
      <c r="C956" t="s">
        <v>1073</v>
      </c>
      <c r="D956" s="1" t="s">
        <v>1172</v>
      </c>
      <c r="E956" s="113">
        <v>2011.07</v>
      </c>
      <c r="F956" s="113">
        <v>2020.11</v>
      </c>
      <c r="G956" s="107" t="s">
        <v>1456</v>
      </c>
      <c r="H956">
        <f>INDEX('GIS-Standards'!$A$2:$A$305,MATCH(B956,'GIS-Standards'!$B$2:$B$305,0))</f>
        <v>39</v>
      </c>
      <c r="I956" t="e">
        <f>INDEX('GIS-Standards'!$A$2:$A$305,MATCH(C956,'GIS-Standards'!$B$2:$B$305,0))</f>
        <v>#N/A</v>
      </c>
      <c r="J956" t="str">
        <f>INDEX('GIS-Standards'!$O$2:$O$305,MATCH(B956,'GIS-Standards'!$B$2:$B$305,0))</f>
        <v>ISO/TC 211</v>
      </c>
      <c r="K956" t="e">
        <f>INDEX('GIS-Standards'!$O$2:$O$305,MATCH(C956,'GIS-Standards'!$B$2:$B$305,0))</f>
        <v>#N/A</v>
      </c>
      <c r="M956" t="s">
        <v>525</v>
      </c>
      <c r="N956">
        <f>INDEX('GIS-Standards'!$I$2:$I$305,MATCH(B956,'GIS-Standards'!$B$2:$B$305,0))</f>
        <v>0</v>
      </c>
      <c r="O956" t="e">
        <f>INDEX('GIS-Standards'!$I$2:$I$305,MATCH(C956,'GIS-Standards'!$B$2:$B$305,0))</f>
        <v>#N/A</v>
      </c>
      <c r="P956" t="e">
        <f>AND(TableRelationships12[[#This Row],[Source Type]]="BIM",TableRelationships12[[#This Row],[Target Type]]="BIM")</f>
        <v>#N/A</v>
      </c>
      <c r="Q956">
        <f t="shared" si="42"/>
        <v>1</v>
      </c>
      <c r="S956">
        <f t="shared" si="43"/>
        <v>1</v>
      </c>
      <c r="T956" s="102" t="str">
        <f>IF(TableRelationships12[[#This Row],[Rank Pedro]]="Low","linkCategory1",IF(TableRelationships12[[#This Row],[Rank Pedro]]="Medium","linkCategory2",IF(TableRelationships12[[#This Row],[Rank Pedro]]="High","linkCategory3","")))</f>
        <v/>
      </c>
      <c r="U956" s="102" t="str">
        <f>IF(TableRelationships12[[#This Row],[Rank Pedro]]="Low","Pink",IF(TableRelationships12[[#This Row],[Rank Pedro]]="Medium","Purple",IF(TableRelationships12[[#This Row],[Rank Pedro]]="High","Brown","")))</f>
        <v/>
      </c>
      <c r="V956" s="4" t="e">
        <f>MAX(INDEX(Standards!$F$2:$F$296,MATCH(B956,Standards!$B$2:$B$296,0)),INDEX(Standards!$F$2:$F$296,MATCH(C956,Standards!$B$2:$B$296,0)))</f>
        <v>#N/A</v>
      </c>
      <c r="W956" t="str">
        <f t="shared" si="44"/>
        <v>#2f89d1</v>
      </c>
    </row>
    <row r="957" spans="1:23" x14ac:dyDescent="0.5">
      <c r="A957" s="54">
        <v>956</v>
      </c>
      <c r="B957" s="90" t="s">
        <v>332</v>
      </c>
      <c r="C957" t="s">
        <v>1043</v>
      </c>
      <c r="D957" s="1"/>
      <c r="E957" s="112">
        <v>2004.07</v>
      </c>
      <c r="F957" s="112">
        <v>2025.04</v>
      </c>
      <c r="G957" s="107" t="s">
        <v>670</v>
      </c>
      <c r="H957">
        <f>INDEX('GIS-Standards'!$A$2:$A$305,MATCH(B957,'GIS-Standards'!$B$2:$B$305,0))</f>
        <v>39</v>
      </c>
      <c r="I957">
        <f>INDEX('GIS-Standards'!$A$2:$A$305,MATCH(C957,'GIS-Standards'!$B$2:$B$305,0))</f>
        <v>25</v>
      </c>
      <c r="J957" t="str">
        <f>INDEX('GIS-Standards'!$O$2:$O$305,MATCH(B957,'GIS-Standards'!$B$2:$B$305,0))</f>
        <v>ISO/TC 211</v>
      </c>
      <c r="K957" t="str">
        <f>INDEX('GIS-Standards'!$O$2:$O$305,MATCH(C957,'GIS-Standards'!$B$2:$B$305,0))</f>
        <v>ISO/TC 211</v>
      </c>
      <c r="M957" t="s">
        <v>525</v>
      </c>
      <c r="N957">
        <f>INDEX('GIS-Standards'!$I$2:$I$305,MATCH(B957,'GIS-Standards'!$B$2:$B$305,0))</f>
        <v>0</v>
      </c>
      <c r="O957">
        <f>INDEX('GIS-Standards'!$I$2:$I$305,MATCH(C957,'GIS-Standards'!$B$2:$B$305,0))</f>
        <v>0</v>
      </c>
      <c r="P957" t="b">
        <f>AND(TableRelationships12[[#This Row],[Source Type]]="BIM",TableRelationships12[[#This Row],[Target Type]]="BIM")</f>
        <v>0</v>
      </c>
      <c r="Q957">
        <f t="shared" si="42"/>
        <v>1</v>
      </c>
      <c r="S957">
        <f t="shared" si="43"/>
        <v>1</v>
      </c>
      <c r="T957" s="102" t="str">
        <f>IF(TableRelationships12[[#This Row],[Rank Pedro]]="Low","linkCategory1",IF(TableRelationships12[[#This Row],[Rank Pedro]]="Medium","linkCategory2",IF(TableRelationships12[[#This Row],[Rank Pedro]]="High","linkCategory3","")))</f>
        <v/>
      </c>
      <c r="U957" s="102" t="str">
        <f>IF(TableRelationships12[[#This Row],[Rank Pedro]]="Low","Pink",IF(TableRelationships12[[#This Row],[Rank Pedro]]="Medium","Purple",IF(TableRelationships12[[#This Row],[Rank Pedro]]="High","Brown","")))</f>
        <v/>
      </c>
      <c r="V957" s="4" t="e">
        <f>MAX(INDEX(Standards!$F$2:$F$296,MATCH(B957,Standards!$B$2:$B$296,0)),INDEX(Standards!$F$2:$F$296,MATCH(C957,Standards!$B$2:$B$296,0)))</f>
        <v>#N/A</v>
      </c>
      <c r="W957" t="str">
        <f t="shared" si="44"/>
        <v>#2f89d1</v>
      </c>
    </row>
    <row r="958" spans="1:23" x14ac:dyDescent="0.5">
      <c r="A958" s="54">
        <v>957</v>
      </c>
      <c r="B958" s="90" t="s">
        <v>1047</v>
      </c>
      <c r="C958" t="s">
        <v>527</v>
      </c>
      <c r="D958" s="1"/>
      <c r="E958" s="112" t="s">
        <v>958</v>
      </c>
      <c r="F958" s="112" t="s">
        <v>958</v>
      </c>
      <c r="G958" s="121" t="s">
        <v>670</v>
      </c>
      <c r="H958">
        <f>INDEX('GIS-Standards'!$A$2:$A$305,MATCH(B958,'GIS-Standards'!$B$2:$B$305,0))</f>
        <v>40</v>
      </c>
      <c r="I958" t="e">
        <f>INDEX('GIS-Standards'!$A$2:$A$305,MATCH(C958,'GIS-Standards'!$B$2:$B$305,0))</f>
        <v>#N/A</v>
      </c>
      <c r="J958" t="str">
        <f>INDEX('GIS-Standards'!$O$2:$O$305,MATCH(B958,'GIS-Standards'!$B$2:$B$305,0))</f>
        <v>ISO/TC 211</v>
      </c>
      <c r="K958" t="e">
        <f>INDEX('GIS-Standards'!$O$2:$O$305,MATCH(C958,'GIS-Standards'!$B$2:$B$305,0))</f>
        <v>#N/A</v>
      </c>
      <c r="M958" t="s">
        <v>237</v>
      </c>
      <c r="N958">
        <f>INDEX('GIS-Standards'!$I$2:$I$305,MATCH(B958,'GIS-Standards'!$B$2:$B$305,0))</f>
        <v>0</v>
      </c>
      <c r="O958" t="e">
        <f>INDEX('GIS-Standards'!$I$2:$I$305,MATCH(C958,'GIS-Standards'!$B$2:$B$305,0))</f>
        <v>#N/A</v>
      </c>
      <c r="P958" t="e">
        <f>AND(TableRelationships12[[#This Row],[Source Type]]="BIM",TableRelationships12[[#This Row],[Target Type]]="BIM")</f>
        <v>#N/A</v>
      </c>
      <c r="Q958">
        <f t="shared" si="42"/>
        <v>2</v>
      </c>
      <c r="S958">
        <f t="shared" si="43"/>
        <v>1</v>
      </c>
      <c r="T958" s="102" t="str">
        <f>IF(TableRelationships12[[#This Row],[Rank Pedro]]="Low","linkCategory1",IF(TableRelationships12[[#This Row],[Rank Pedro]]="Medium","linkCategory2",IF(TableRelationships12[[#This Row],[Rank Pedro]]="High","linkCategory3","")))</f>
        <v/>
      </c>
      <c r="U958" s="102" t="str">
        <f>IF(TableRelationships12[[#This Row],[Rank Pedro]]="Low","Pink",IF(TableRelationships12[[#This Row],[Rank Pedro]]="Medium","Purple",IF(TableRelationships12[[#This Row],[Rank Pedro]]="High","Brown","")))</f>
        <v/>
      </c>
      <c r="V958" s="4" t="e">
        <f>MAX(INDEX(Standards!$F$2:$F$296,MATCH(B958,Standards!$B$2:$B$296,0)),INDEX(Standards!$F$2:$F$296,MATCH(C958,Standards!$B$2:$B$296,0)))</f>
        <v>#N/A</v>
      </c>
      <c r="W958">
        <f t="shared" si="44"/>
        <v>1</v>
      </c>
    </row>
    <row r="959" spans="1:23" x14ac:dyDescent="0.5">
      <c r="A959" s="54">
        <v>958</v>
      </c>
      <c r="B959" s="90" t="s">
        <v>1047</v>
      </c>
      <c r="C959" t="s">
        <v>293</v>
      </c>
      <c r="D959" s="1" t="s">
        <v>1127</v>
      </c>
      <c r="E959" s="112">
        <v>2002.07</v>
      </c>
      <c r="F959" s="112">
        <v>2014.11</v>
      </c>
      <c r="G959" s="107" t="s">
        <v>670</v>
      </c>
      <c r="H959">
        <f>INDEX('GIS-Standards'!$A$2:$A$305,MATCH(B959,'GIS-Standards'!$B$2:$B$305,0))</f>
        <v>40</v>
      </c>
      <c r="I959">
        <f>INDEX('GIS-Standards'!$A$2:$A$305,MATCH(C959,'GIS-Standards'!$B$2:$B$305,0))</f>
        <v>10</v>
      </c>
      <c r="J959" t="str">
        <f>INDEX('GIS-Standards'!$O$2:$O$305,MATCH(B959,'GIS-Standards'!$B$2:$B$305,0))</f>
        <v>ISO/TC 211</v>
      </c>
      <c r="K959" t="str">
        <f>INDEX('GIS-Standards'!$O$2:$O$305,MATCH(C959,'GIS-Standards'!$B$2:$B$305,0))</f>
        <v>ISO/TC 211</v>
      </c>
      <c r="M959" t="s">
        <v>524</v>
      </c>
      <c r="N959">
        <f>INDEX('GIS-Standards'!$I$2:$I$305,MATCH(B959,'GIS-Standards'!$B$2:$B$305,0))</f>
        <v>0</v>
      </c>
      <c r="O959">
        <f>INDEX('GIS-Standards'!$I$2:$I$305,MATCH(C959,'GIS-Standards'!$B$2:$B$305,0))</f>
        <v>0</v>
      </c>
      <c r="P959" t="b">
        <f>AND(TableRelationships12[[#This Row],[Source Type]]="BIM",TableRelationships12[[#This Row],[Target Type]]="BIM")</f>
        <v>0</v>
      </c>
      <c r="Q959">
        <f t="shared" si="42"/>
        <v>6</v>
      </c>
      <c r="S959">
        <f t="shared" si="43"/>
        <v>1</v>
      </c>
      <c r="T959" s="102" t="str">
        <f>IF(TableRelationships12[[#This Row],[Rank Pedro]]="Low","linkCategory1",IF(TableRelationships12[[#This Row],[Rank Pedro]]="Medium","linkCategory2",IF(TableRelationships12[[#This Row],[Rank Pedro]]="High","linkCategory3","")))</f>
        <v/>
      </c>
      <c r="U959" s="102" t="str">
        <f>IF(TableRelationships12[[#This Row],[Rank Pedro]]="Low","Pink",IF(TableRelationships12[[#This Row],[Rank Pedro]]="Medium","Purple",IF(TableRelationships12[[#This Row],[Rank Pedro]]="High","Brown","")))</f>
        <v/>
      </c>
      <c r="V959" s="4" t="e">
        <f>MAX(INDEX(Standards!$F$2:$F$296,MATCH(B959,Standards!$B$2:$B$296,0)),INDEX(Standards!$F$2:$F$296,MATCH(C959,Standards!$B$2:$B$296,0)))</f>
        <v>#N/A</v>
      </c>
      <c r="W959" t="str">
        <f t="shared" si="44"/>
        <v>#d6bf2a</v>
      </c>
    </row>
    <row r="960" spans="1:23" x14ac:dyDescent="0.5">
      <c r="A960" s="54">
        <v>959</v>
      </c>
      <c r="B960" s="90" t="s">
        <v>1047</v>
      </c>
      <c r="C960" t="s">
        <v>302</v>
      </c>
      <c r="D960" s="1"/>
      <c r="E960" s="112">
        <v>2003.05</v>
      </c>
      <c r="F960" s="112">
        <v>2019.12</v>
      </c>
      <c r="G960" s="107" t="s">
        <v>670</v>
      </c>
      <c r="H960">
        <f>INDEX('GIS-Standards'!$A$2:$A$305,MATCH(B960,'GIS-Standards'!$B$2:$B$305,0))</f>
        <v>40</v>
      </c>
      <c r="I960">
        <f>INDEX('GIS-Standards'!$A$2:$A$305,MATCH(C960,'GIS-Standards'!$B$2:$B$305,0))</f>
        <v>16</v>
      </c>
      <c r="J960" t="str">
        <f>INDEX('GIS-Standards'!$O$2:$O$305,MATCH(B960,'GIS-Standards'!$B$2:$B$305,0))</f>
        <v>ISO/TC 211</v>
      </c>
      <c r="K960" t="str">
        <f>INDEX('GIS-Standards'!$O$2:$O$305,MATCH(C960,'GIS-Standards'!$B$2:$B$305,0))</f>
        <v>ISO/TC 211</v>
      </c>
      <c r="M960" t="s">
        <v>524</v>
      </c>
      <c r="N960">
        <f>INDEX('GIS-Standards'!$I$2:$I$305,MATCH(B960,'GIS-Standards'!$B$2:$B$305,0))</f>
        <v>0</v>
      </c>
      <c r="O960">
        <f>INDEX('GIS-Standards'!$I$2:$I$305,MATCH(C960,'GIS-Standards'!$B$2:$B$305,0))</f>
        <v>0</v>
      </c>
      <c r="P960" t="b">
        <f>AND(TableRelationships12[[#This Row],[Source Type]]="BIM",TableRelationships12[[#This Row],[Target Type]]="BIM")</f>
        <v>0</v>
      </c>
      <c r="Q960">
        <f t="shared" si="42"/>
        <v>6</v>
      </c>
      <c r="S960">
        <f t="shared" si="43"/>
        <v>1</v>
      </c>
      <c r="T960" s="102" t="str">
        <f>IF(TableRelationships12[[#This Row],[Rank Pedro]]="Low","linkCategory1",IF(TableRelationships12[[#This Row],[Rank Pedro]]="Medium","linkCategory2",IF(TableRelationships12[[#This Row],[Rank Pedro]]="High","linkCategory3","")))</f>
        <v/>
      </c>
      <c r="U960" s="102" t="str">
        <f>IF(TableRelationships12[[#This Row],[Rank Pedro]]="Low","Pink",IF(TableRelationships12[[#This Row],[Rank Pedro]]="Medium","Purple",IF(TableRelationships12[[#This Row],[Rank Pedro]]="High","Brown","")))</f>
        <v/>
      </c>
      <c r="V960" s="4" t="e">
        <f>MAX(INDEX(Standards!$F$2:$F$296,MATCH(B960,Standards!$B$2:$B$296,0)),INDEX(Standards!$F$2:$F$296,MATCH(C960,Standards!$B$2:$B$296,0)))</f>
        <v>#N/A</v>
      </c>
      <c r="W960" t="str">
        <f t="shared" si="44"/>
        <v>#d6bf2a</v>
      </c>
    </row>
    <row r="961" spans="1:23" x14ac:dyDescent="0.5">
      <c r="A961" s="54">
        <v>960</v>
      </c>
      <c r="B961" s="90" t="s">
        <v>1047</v>
      </c>
      <c r="C961" t="s">
        <v>304</v>
      </c>
      <c r="D961" s="1"/>
      <c r="E961" s="112">
        <v>2002.09</v>
      </c>
      <c r="F961" s="112">
        <v>2006.1</v>
      </c>
      <c r="G961" s="107" t="s">
        <v>670</v>
      </c>
      <c r="H961">
        <f>INDEX('GIS-Standards'!$A$2:$A$305,MATCH(B961,'GIS-Standards'!$B$2:$B$305,0))</f>
        <v>40</v>
      </c>
      <c r="I961">
        <f>INDEX('GIS-Standards'!$A$2:$A$305,MATCH(C961,'GIS-Standards'!$B$2:$B$305,0))</f>
        <v>17</v>
      </c>
      <c r="J961" t="str">
        <f>INDEX('GIS-Standards'!$O$2:$O$305,MATCH(B961,'GIS-Standards'!$B$2:$B$305,0))</f>
        <v>ISO/TC 211</v>
      </c>
      <c r="K961" t="str">
        <f>INDEX('GIS-Standards'!$O$2:$O$305,MATCH(C961,'GIS-Standards'!$B$2:$B$305,0))</f>
        <v>ISO/TC 211</v>
      </c>
      <c r="M961" t="s">
        <v>524</v>
      </c>
      <c r="N961">
        <f>INDEX('GIS-Standards'!$I$2:$I$305,MATCH(B961,'GIS-Standards'!$B$2:$B$305,0))</f>
        <v>0</v>
      </c>
      <c r="O961" t="str">
        <f>INDEX('GIS-Standards'!$I$2:$I$305,MATCH(C961,'GIS-Standards'!$B$2:$B$305,0))</f>
        <v>06.2008</v>
      </c>
      <c r="P961" t="b">
        <f>AND(TableRelationships12[[#This Row],[Source Type]]="BIM",TableRelationships12[[#This Row],[Target Type]]="BIM")</f>
        <v>0</v>
      </c>
      <c r="Q961">
        <f t="shared" si="42"/>
        <v>6</v>
      </c>
      <c r="S961">
        <f t="shared" si="43"/>
        <v>1</v>
      </c>
      <c r="T961" s="102" t="str">
        <f>IF(TableRelationships12[[#This Row],[Rank Pedro]]="Low","linkCategory1",IF(TableRelationships12[[#This Row],[Rank Pedro]]="Medium","linkCategory2",IF(TableRelationships12[[#This Row],[Rank Pedro]]="High","linkCategory3","")))</f>
        <v/>
      </c>
      <c r="U961" s="102" t="str">
        <f>IF(TableRelationships12[[#This Row],[Rank Pedro]]="Low","Pink",IF(TableRelationships12[[#This Row],[Rank Pedro]]="Medium","Purple",IF(TableRelationships12[[#This Row],[Rank Pedro]]="High","Brown","")))</f>
        <v/>
      </c>
      <c r="V961" s="4" t="e">
        <f>MAX(INDEX(Standards!$F$2:$F$296,MATCH(B961,Standards!$B$2:$B$296,0)),INDEX(Standards!$F$2:$F$296,MATCH(C961,Standards!$B$2:$B$296,0)))</f>
        <v>#N/A</v>
      </c>
      <c r="W961" t="str">
        <f t="shared" si="44"/>
        <v>#d6bf2a</v>
      </c>
    </row>
    <row r="962" spans="1:23" x14ac:dyDescent="0.5">
      <c r="A962" s="54">
        <v>961</v>
      </c>
      <c r="B962" s="90" t="s">
        <v>1047</v>
      </c>
      <c r="C962" t="s">
        <v>312</v>
      </c>
      <c r="D962" s="1"/>
      <c r="E962" s="112">
        <v>2003.1</v>
      </c>
      <c r="F962" s="112">
        <v>2019.02</v>
      </c>
      <c r="G962" s="107" t="s">
        <v>670</v>
      </c>
      <c r="H962">
        <f>INDEX('GIS-Standards'!$A$2:$A$305,MATCH(B962,'GIS-Standards'!$B$2:$B$305,0))</f>
        <v>40</v>
      </c>
      <c r="I962">
        <f>INDEX('GIS-Standards'!$A$2:$A$305,MATCH(C962,'GIS-Standards'!$B$2:$B$305,0))</f>
        <v>21</v>
      </c>
      <c r="J962" t="str">
        <f>INDEX('GIS-Standards'!$O$2:$O$305,MATCH(B962,'GIS-Standards'!$B$2:$B$305,0))</f>
        <v>ISO/TC 211</v>
      </c>
      <c r="K962" t="str">
        <f>INDEX('GIS-Standards'!$O$2:$O$305,MATCH(C962,'GIS-Standards'!$B$2:$B$305,0))</f>
        <v>ISO/TC 211</v>
      </c>
      <c r="M962" t="s">
        <v>524</v>
      </c>
      <c r="N962">
        <f>INDEX('GIS-Standards'!$I$2:$I$305,MATCH(B962,'GIS-Standards'!$B$2:$B$305,0))</f>
        <v>0</v>
      </c>
      <c r="O962">
        <f>INDEX('GIS-Standards'!$I$2:$I$305,MATCH(C962,'GIS-Standards'!$B$2:$B$305,0))</f>
        <v>0</v>
      </c>
      <c r="P962" t="b">
        <f>AND(TableRelationships12[[#This Row],[Source Type]]="BIM",TableRelationships12[[#This Row],[Target Type]]="BIM")</f>
        <v>0</v>
      </c>
      <c r="Q962">
        <f t="shared" ref="Q962:Q1025" si="45">IF(M962="Normative",6,IF(M962="Secondary",4,IF(M962="Anchor",2,1)))</f>
        <v>6</v>
      </c>
      <c r="S962">
        <f t="shared" ref="S962:S1025" si="46">IF(R962="High",10,IF(R962="Medium",6,IF(R962="Low",2,1)))</f>
        <v>1</v>
      </c>
      <c r="T962" s="102" t="str">
        <f>IF(TableRelationships12[[#This Row],[Rank Pedro]]="Low","linkCategory1",IF(TableRelationships12[[#This Row],[Rank Pedro]]="Medium","linkCategory2",IF(TableRelationships12[[#This Row],[Rank Pedro]]="High","linkCategory3","")))</f>
        <v/>
      </c>
      <c r="U962" s="102" t="str">
        <f>IF(TableRelationships12[[#This Row],[Rank Pedro]]="Low","Pink",IF(TableRelationships12[[#This Row],[Rank Pedro]]="Medium","Purple",IF(TableRelationships12[[#This Row],[Rank Pedro]]="High","Brown","")))</f>
        <v/>
      </c>
      <c r="V962" s="4" t="e">
        <f>MAX(INDEX(Standards!$F$2:$F$296,MATCH(B962,Standards!$B$2:$B$296,0)),INDEX(Standards!$F$2:$F$296,MATCH(C962,Standards!$B$2:$B$296,0)))</f>
        <v>#N/A</v>
      </c>
      <c r="W962" t="str">
        <f t="shared" ref="W962:W1025" si="47">IF(M962="Normative", "#d6bf2a", IF(M962="Informative", "#2f89d1", 1))</f>
        <v>#d6bf2a</v>
      </c>
    </row>
    <row r="963" spans="1:23" x14ac:dyDescent="0.5">
      <c r="A963" s="54">
        <v>962</v>
      </c>
      <c r="B963" s="90" t="s">
        <v>1047</v>
      </c>
      <c r="C963" t="s">
        <v>332</v>
      </c>
      <c r="D963" s="1"/>
      <c r="E963" s="112">
        <v>2005.1</v>
      </c>
      <c r="F963" s="112">
        <v>2005.1</v>
      </c>
      <c r="G963" s="107" t="s">
        <v>670</v>
      </c>
      <c r="H963">
        <f>INDEX('GIS-Standards'!$A$2:$A$305,MATCH(B963,'GIS-Standards'!$B$2:$B$305,0))</f>
        <v>40</v>
      </c>
      <c r="I963">
        <f>INDEX('GIS-Standards'!$A$2:$A$305,MATCH(C963,'GIS-Standards'!$B$2:$B$305,0))</f>
        <v>39</v>
      </c>
      <c r="J963" t="str">
        <f>INDEX('GIS-Standards'!$O$2:$O$305,MATCH(B963,'GIS-Standards'!$B$2:$B$305,0))</f>
        <v>ISO/TC 211</v>
      </c>
      <c r="K963" t="str">
        <f>INDEX('GIS-Standards'!$O$2:$O$305,MATCH(C963,'GIS-Standards'!$B$2:$B$305,0))</f>
        <v>ISO/TC 211</v>
      </c>
      <c r="M963" t="s">
        <v>524</v>
      </c>
      <c r="N963">
        <f>INDEX('GIS-Standards'!$I$2:$I$305,MATCH(B963,'GIS-Standards'!$B$2:$B$305,0))</f>
        <v>0</v>
      </c>
      <c r="O963">
        <f>INDEX('GIS-Standards'!$I$2:$I$305,MATCH(C963,'GIS-Standards'!$B$2:$B$305,0))</f>
        <v>0</v>
      </c>
      <c r="P963" t="b">
        <f>AND(TableRelationships12[[#This Row],[Source Type]]="BIM",TableRelationships12[[#This Row],[Target Type]]="BIM")</f>
        <v>0</v>
      </c>
      <c r="Q963">
        <f t="shared" si="45"/>
        <v>6</v>
      </c>
      <c r="S963">
        <f t="shared" si="46"/>
        <v>1</v>
      </c>
      <c r="T963" s="102" t="str">
        <f>IF(TableRelationships12[[#This Row],[Rank Pedro]]="Low","linkCategory1",IF(TableRelationships12[[#This Row],[Rank Pedro]]="Medium","linkCategory2",IF(TableRelationships12[[#This Row],[Rank Pedro]]="High","linkCategory3","")))</f>
        <v/>
      </c>
      <c r="U963" s="102" t="str">
        <f>IF(TableRelationships12[[#This Row],[Rank Pedro]]="Low","Pink",IF(TableRelationships12[[#This Row],[Rank Pedro]]="Medium","Purple",IF(TableRelationships12[[#This Row],[Rank Pedro]]="High","Brown","")))</f>
        <v/>
      </c>
      <c r="V963" s="4" t="e">
        <f>MAX(INDEX(Standards!$F$2:$F$296,MATCH(B963,Standards!$B$2:$B$296,0)),INDEX(Standards!$F$2:$F$296,MATCH(C963,Standards!$B$2:$B$296,0)))</f>
        <v>#N/A</v>
      </c>
      <c r="W963" t="str">
        <f t="shared" si="47"/>
        <v>#d6bf2a</v>
      </c>
    </row>
    <row r="964" spans="1:23" x14ac:dyDescent="0.5">
      <c r="A964" s="54">
        <v>963</v>
      </c>
      <c r="B964" s="90" t="s">
        <v>1047</v>
      </c>
      <c r="C964" t="s">
        <v>330</v>
      </c>
      <c r="D964" s="1"/>
      <c r="E964" s="112">
        <v>2007.1</v>
      </c>
      <c r="F964" s="112">
        <v>2007.1</v>
      </c>
      <c r="G964" s="107" t="s">
        <v>670</v>
      </c>
      <c r="H964">
        <f>INDEX('GIS-Standards'!$A$2:$A$305,MATCH(B964,'GIS-Standards'!$B$2:$B$305,0))</f>
        <v>40</v>
      </c>
      <c r="I964">
        <f>INDEX('GIS-Standards'!$A$2:$A$305,MATCH(C964,'GIS-Standards'!$B$2:$B$305,0))</f>
        <v>38</v>
      </c>
      <c r="J964" t="str">
        <f>INDEX('GIS-Standards'!$O$2:$O$305,MATCH(B964,'GIS-Standards'!$B$2:$B$305,0))</f>
        <v>ISO/TC 211</v>
      </c>
      <c r="K964" t="str">
        <f>INDEX('GIS-Standards'!$O$2:$O$305,MATCH(C964,'GIS-Standards'!$B$2:$B$305,0))</f>
        <v>ISO/TC 211</v>
      </c>
      <c r="M964" t="s">
        <v>525</v>
      </c>
      <c r="N964">
        <f>INDEX('GIS-Standards'!$I$2:$I$305,MATCH(B964,'GIS-Standards'!$B$2:$B$305,0))</f>
        <v>0</v>
      </c>
      <c r="O964">
        <f>INDEX('GIS-Standards'!$I$2:$I$305,MATCH(C964,'GIS-Standards'!$B$2:$B$305,0))</f>
        <v>0</v>
      </c>
      <c r="P964" t="b">
        <f>AND(TableRelationships12[[#This Row],[Source Type]]="BIM",TableRelationships12[[#This Row],[Target Type]]="BIM")</f>
        <v>0</v>
      </c>
      <c r="Q964">
        <f t="shared" si="45"/>
        <v>1</v>
      </c>
      <c r="S964">
        <f t="shared" si="46"/>
        <v>1</v>
      </c>
      <c r="T964" s="102" t="str">
        <f>IF(TableRelationships12[[#This Row],[Rank Pedro]]="Low","linkCategory1",IF(TableRelationships12[[#This Row],[Rank Pedro]]="Medium","linkCategory2",IF(TableRelationships12[[#This Row],[Rank Pedro]]="High","linkCategory3","")))</f>
        <v/>
      </c>
      <c r="U964" s="102" t="str">
        <f>IF(TableRelationships12[[#This Row],[Rank Pedro]]="Low","Pink",IF(TableRelationships12[[#This Row],[Rank Pedro]]="Medium","Purple",IF(TableRelationships12[[#This Row],[Rank Pedro]]="High","Brown","")))</f>
        <v/>
      </c>
      <c r="V964" s="4" t="e">
        <f>MAX(INDEX(Standards!$F$2:$F$296,MATCH(B964,Standards!$B$2:$B$296,0)),INDEX(Standards!$F$2:$F$296,MATCH(C964,Standards!$B$2:$B$296,0)))</f>
        <v>#N/A</v>
      </c>
      <c r="W964" t="str">
        <f t="shared" si="47"/>
        <v>#2f89d1</v>
      </c>
    </row>
    <row r="965" spans="1:23" x14ac:dyDescent="0.5">
      <c r="A965" s="54">
        <v>964</v>
      </c>
      <c r="B965" s="90" t="s">
        <v>1048</v>
      </c>
      <c r="C965" t="s">
        <v>527</v>
      </c>
      <c r="D965" s="1"/>
      <c r="E965" s="112" t="s">
        <v>951</v>
      </c>
      <c r="F965" s="112" t="s">
        <v>959</v>
      </c>
      <c r="G965" s="121" t="s">
        <v>670</v>
      </c>
      <c r="H965">
        <f>INDEX('GIS-Standards'!$A$2:$A$305,MATCH(B965,'GIS-Standards'!$B$2:$B$305,0))</f>
        <v>41</v>
      </c>
      <c r="I965" t="e">
        <f>INDEX('GIS-Standards'!$A$2:$A$305,MATCH(C965,'GIS-Standards'!$B$2:$B$305,0))</f>
        <v>#N/A</v>
      </c>
      <c r="J965" t="str">
        <f>INDEX('GIS-Standards'!$O$2:$O$305,MATCH(B965,'GIS-Standards'!$B$2:$B$305,0))</f>
        <v>ISO/TC 211</v>
      </c>
      <c r="K965" t="e">
        <f>INDEX('GIS-Standards'!$O$2:$O$305,MATCH(C965,'GIS-Standards'!$B$2:$B$305,0))</f>
        <v>#N/A</v>
      </c>
      <c r="M965" t="s">
        <v>237</v>
      </c>
      <c r="N965" t="str">
        <f>INDEX('GIS-Standards'!$I$2:$I$305,MATCH(B965,'GIS-Standards'!$B$2:$B$305,0))</f>
        <v>03.2021</v>
      </c>
      <c r="O965" t="e">
        <f>INDEX('GIS-Standards'!$I$2:$I$305,MATCH(C965,'GIS-Standards'!$B$2:$B$305,0))</f>
        <v>#N/A</v>
      </c>
      <c r="P965" t="e">
        <f>AND(TableRelationships12[[#This Row],[Source Type]]="BIM",TableRelationships12[[#This Row],[Target Type]]="BIM")</f>
        <v>#N/A</v>
      </c>
      <c r="Q965">
        <f t="shared" si="45"/>
        <v>2</v>
      </c>
      <c r="S965">
        <f t="shared" si="46"/>
        <v>1</v>
      </c>
      <c r="T965" s="102" t="str">
        <f>IF(TableRelationships12[[#This Row],[Rank Pedro]]="Low","linkCategory1",IF(TableRelationships12[[#This Row],[Rank Pedro]]="Medium","linkCategory2",IF(TableRelationships12[[#This Row],[Rank Pedro]]="High","linkCategory3","")))</f>
        <v/>
      </c>
      <c r="U965" s="102" t="str">
        <f>IF(TableRelationships12[[#This Row],[Rank Pedro]]="Low","Pink",IF(TableRelationships12[[#This Row],[Rank Pedro]]="Medium","Purple",IF(TableRelationships12[[#This Row],[Rank Pedro]]="High","Brown","")))</f>
        <v/>
      </c>
      <c r="V965" s="4" t="e">
        <f>MAX(INDEX(Standards!$F$2:$F$296,MATCH(B965,Standards!$B$2:$B$296,0)),INDEX(Standards!$F$2:$F$296,MATCH(C965,Standards!$B$2:$B$296,0)))</f>
        <v>#N/A</v>
      </c>
      <c r="W965">
        <f t="shared" si="47"/>
        <v>1</v>
      </c>
    </row>
    <row r="966" spans="1:23" x14ac:dyDescent="0.5">
      <c r="A966" s="54">
        <v>965</v>
      </c>
      <c r="B966" s="90" t="s">
        <v>1048</v>
      </c>
      <c r="C966" t="s">
        <v>296</v>
      </c>
      <c r="D966" s="1"/>
      <c r="E966" s="112">
        <v>2005.07</v>
      </c>
      <c r="F966" s="112">
        <v>2024.09</v>
      </c>
      <c r="G966" s="107" t="s">
        <v>670</v>
      </c>
      <c r="H966">
        <f>INDEX('GIS-Standards'!$A$2:$A$305,MATCH(B966,'GIS-Standards'!$B$2:$B$305,0))</f>
        <v>41</v>
      </c>
      <c r="I966">
        <f>INDEX('GIS-Standards'!$A$2:$A$305,MATCH(C966,'GIS-Standards'!$B$2:$B$305,0))</f>
        <v>12</v>
      </c>
      <c r="J966" t="str">
        <f>INDEX('GIS-Standards'!$O$2:$O$305,MATCH(B966,'GIS-Standards'!$B$2:$B$305,0))</f>
        <v>ISO/TC 211</v>
      </c>
      <c r="K966" t="str">
        <f>INDEX('GIS-Standards'!$O$2:$O$305,MATCH(C966,'GIS-Standards'!$B$2:$B$305,0))</f>
        <v>ISO/TC 211</v>
      </c>
      <c r="M966" t="s">
        <v>524</v>
      </c>
      <c r="N966" t="str">
        <f>INDEX('GIS-Standards'!$I$2:$I$305,MATCH(B966,'GIS-Standards'!$B$2:$B$305,0))</f>
        <v>03.2021</v>
      </c>
      <c r="O966">
        <f>INDEX('GIS-Standards'!$I$2:$I$305,MATCH(C966,'GIS-Standards'!$B$2:$B$305,0))</f>
        <v>0</v>
      </c>
      <c r="P966" t="b">
        <f>AND(TableRelationships12[[#This Row],[Source Type]]="BIM",TableRelationships12[[#This Row],[Target Type]]="BIM")</f>
        <v>0</v>
      </c>
      <c r="Q966">
        <f t="shared" si="45"/>
        <v>6</v>
      </c>
      <c r="S966">
        <f t="shared" si="46"/>
        <v>1</v>
      </c>
      <c r="T966" s="102" t="str">
        <f>IF(TableRelationships12[[#This Row],[Rank Pedro]]="Low","linkCategory1",IF(TableRelationships12[[#This Row],[Rank Pedro]]="Medium","linkCategory2",IF(TableRelationships12[[#This Row],[Rank Pedro]]="High","linkCategory3","")))</f>
        <v/>
      </c>
      <c r="U966" s="102" t="str">
        <f>IF(TableRelationships12[[#This Row],[Rank Pedro]]="Low","Pink",IF(TableRelationships12[[#This Row],[Rank Pedro]]="Medium","Purple",IF(TableRelationships12[[#This Row],[Rank Pedro]]="High","Brown","")))</f>
        <v/>
      </c>
      <c r="V966" s="4" t="e">
        <f>MAX(INDEX(Standards!$F$2:$F$296,MATCH(B966,Standards!$B$2:$B$296,0)),INDEX(Standards!$F$2:$F$296,MATCH(C966,Standards!$B$2:$B$296,0)))</f>
        <v>#N/A</v>
      </c>
      <c r="W966" t="str">
        <f t="shared" si="47"/>
        <v>#d6bf2a</v>
      </c>
    </row>
    <row r="967" spans="1:23" x14ac:dyDescent="0.5">
      <c r="A967" s="54">
        <v>966</v>
      </c>
      <c r="B967" s="90" t="s">
        <v>1048</v>
      </c>
      <c r="C967" t="s">
        <v>314</v>
      </c>
      <c r="D967" s="1"/>
      <c r="E967" s="112">
        <v>2003.05</v>
      </c>
      <c r="F967" s="112">
        <v>2020.11</v>
      </c>
      <c r="G967" s="107" t="s">
        <v>670</v>
      </c>
      <c r="H967">
        <f>INDEX('GIS-Standards'!$A$2:$A$305,MATCH(B967,'GIS-Standards'!$B$2:$B$305,0))</f>
        <v>41</v>
      </c>
      <c r="I967">
        <f>INDEX('GIS-Standards'!$A$2:$A$305,MATCH(C967,'GIS-Standards'!$B$2:$B$305,0))</f>
        <v>22</v>
      </c>
      <c r="J967" t="str">
        <f>INDEX('GIS-Standards'!$O$2:$O$305,MATCH(B967,'GIS-Standards'!$B$2:$B$305,0))</f>
        <v>ISO/TC 211</v>
      </c>
      <c r="K967" t="str">
        <f>INDEX('GIS-Standards'!$O$2:$O$305,MATCH(C967,'GIS-Standards'!$B$2:$B$305,0))</f>
        <v>ISO/TC 211</v>
      </c>
      <c r="M967" t="s">
        <v>524</v>
      </c>
      <c r="N967" t="str">
        <f>INDEX('GIS-Standards'!$I$2:$I$305,MATCH(B967,'GIS-Standards'!$B$2:$B$305,0))</f>
        <v>03.2021</v>
      </c>
      <c r="O967" t="str">
        <f>INDEX('GIS-Standards'!$I$2:$I$305,MATCH(C967,'GIS-Standards'!$B$2:$B$305,0))</f>
        <v>12.2020</v>
      </c>
      <c r="P967" t="b">
        <f>AND(TableRelationships12[[#This Row],[Source Type]]="BIM",TableRelationships12[[#This Row],[Target Type]]="BIM")</f>
        <v>0</v>
      </c>
      <c r="Q967">
        <f t="shared" si="45"/>
        <v>6</v>
      </c>
      <c r="S967">
        <f t="shared" si="46"/>
        <v>1</v>
      </c>
      <c r="T967" s="102" t="str">
        <f>IF(TableRelationships12[[#This Row],[Rank Pedro]]="Low","linkCategory1",IF(TableRelationships12[[#This Row],[Rank Pedro]]="Medium","linkCategory2",IF(TableRelationships12[[#This Row],[Rank Pedro]]="High","linkCategory3","")))</f>
        <v/>
      </c>
      <c r="U967" s="102" t="str">
        <f>IF(TableRelationships12[[#This Row],[Rank Pedro]]="Low","Pink",IF(TableRelationships12[[#This Row],[Rank Pedro]]="Medium","Purple",IF(TableRelationships12[[#This Row],[Rank Pedro]]="High","Brown","")))</f>
        <v/>
      </c>
      <c r="V967" s="4" t="e">
        <f>MAX(INDEX(Standards!$F$2:$F$296,MATCH(B967,Standards!$B$2:$B$296,0)),INDEX(Standards!$F$2:$F$296,MATCH(C967,Standards!$B$2:$B$296,0)))</f>
        <v>#N/A</v>
      </c>
      <c r="W967" t="str">
        <f t="shared" si="47"/>
        <v>#d6bf2a</v>
      </c>
    </row>
    <row r="968" spans="1:23" x14ac:dyDescent="0.5">
      <c r="A968" s="54">
        <v>967</v>
      </c>
      <c r="B968" s="90" t="s">
        <v>1048</v>
      </c>
      <c r="C968" t="s">
        <v>124</v>
      </c>
      <c r="D968" s="1"/>
      <c r="E968" s="112">
        <v>1987.07</v>
      </c>
      <c r="F968" s="112">
        <v>2022.07</v>
      </c>
      <c r="G968" s="107" t="s">
        <v>1452</v>
      </c>
      <c r="H968">
        <f>INDEX('GIS-Standards'!$A$2:$A$305,MATCH(B968,'GIS-Standards'!$B$2:$B$305,0))</f>
        <v>41</v>
      </c>
      <c r="I968" t="e">
        <f>INDEX('GIS-Standards'!$A$2:$A$305,MATCH(C968,'GIS-Standards'!$B$2:$B$305,0))</f>
        <v>#N/A</v>
      </c>
      <c r="J968" t="str">
        <f>INDEX('GIS-Standards'!$O$2:$O$305,MATCH(B968,'GIS-Standards'!$B$2:$B$305,0))</f>
        <v>ISO/TC 211</v>
      </c>
      <c r="K968" t="e">
        <f>INDEX('GIS-Standards'!$O$2:$O$305,MATCH(C968,'GIS-Standards'!$B$2:$B$305,0))</f>
        <v>#N/A</v>
      </c>
      <c r="M968" t="s">
        <v>525</v>
      </c>
      <c r="N968" t="str">
        <f>INDEX('GIS-Standards'!$I$2:$I$305,MATCH(B968,'GIS-Standards'!$B$2:$B$305,0))</f>
        <v>03.2021</v>
      </c>
      <c r="O968" t="e">
        <f>INDEX('GIS-Standards'!$I$2:$I$305,MATCH(C968,'GIS-Standards'!$B$2:$B$305,0))</f>
        <v>#N/A</v>
      </c>
      <c r="P968" t="e">
        <f>AND(TableRelationships12[[#This Row],[Source Type]]="BIM",TableRelationships12[[#This Row],[Target Type]]="BIM")</f>
        <v>#N/A</v>
      </c>
      <c r="Q968">
        <f t="shared" si="45"/>
        <v>1</v>
      </c>
      <c r="S968">
        <f t="shared" si="46"/>
        <v>1</v>
      </c>
      <c r="T968" s="102" t="str">
        <f>IF(TableRelationships12[[#This Row],[Rank Pedro]]="Low","linkCategory1",IF(TableRelationships12[[#This Row],[Rank Pedro]]="Medium","linkCategory2",IF(TableRelationships12[[#This Row],[Rank Pedro]]="High","linkCategory3","")))</f>
        <v/>
      </c>
      <c r="U968" s="102" t="str">
        <f>IF(TableRelationships12[[#This Row],[Rank Pedro]]="Low","Pink",IF(TableRelationships12[[#This Row],[Rank Pedro]]="Medium","Purple",IF(TableRelationships12[[#This Row],[Rank Pedro]]="High","Brown","")))</f>
        <v/>
      </c>
      <c r="V968" s="4" t="e">
        <f>MAX(INDEX(Standards!$F$2:$F$296,MATCH(B968,Standards!$B$2:$B$296,0)),INDEX(Standards!$F$2:$F$296,MATCH(C968,Standards!$B$2:$B$296,0)))</f>
        <v>#N/A</v>
      </c>
      <c r="W968" t="str">
        <f t="shared" si="47"/>
        <v>#2f89d1</v>
      </c>
    </row>
    <row r="969" spans="1:23" x14ac:dyDescent="0.5">
      <c r="A969" s="54">
        <v>968</v>
      </c>
      <c r="B969" s="90" t="s">
        <v>1048</v>
      </c>
      <c r="C969" t="s">
        <v>1617</v>
      </c>
      <c r="D969" s="1" t="s">
        <v>1176</v>
      </c>
      <c r="E969" s="112">
        <v>1984.02</v>
      </c>
      <c r="F969" s="112">
        <v>2023.08</v>
      </c>
      <c r="G969" s="107" t="s">
        <v>1487</v>
      </c>
      <c r="H969">
        <f>INDEX('GIS-Standards'!$A$2:$A$305,MATCH(B969,'GIS-Standards'!$B$2:$B$305,0))</f>
        <v>41</v>
      </c>
      <c r="I969" t="e">
        <f>INDEX('GIS-Standards'!$A$2:$A$305,MATCH(C969,'GIS-Standards'!$B$2:$B$305,0))</f>
        <v>#N/A</v>
      </c>
      <c r="J969" t="str">
        <f>INDEX('GIS-Standards'!$O$2:$O$305,MATCH(B969,'GIS-Standards'!$B$2:$B$305,0))</f>
        <v>ISO/TC 211</v>
      </c>
      <c r="K969" t="e">
        <f>INDEX('GIS-Standards'!$O$2:$O$305,MATCH(C969,'GIS-Standards'!$B$2:$B$305,0))</f>
        <v>#N/A</v>
      </c>
      <c r="M969" t="s">
        <v>525</v>
      </c>
      <c r="N969" t="str">
        <f>INDEX('GIS-Standards'!$I$2:$I$305,MATCH(B969,'GIS-Standards'!$B$2:$B$305,0))</f>
        <v>03.2021</v>
      </c>
      <c r="O969" t="e">
        <f>INDEX('GIS-Standards'!$I$2:$I$305,MATCH(C969,'GIS-Standards'!$B$2:$B$305,0))</f>
        <v>#N/A</v>
      </c>
      <c r="P969" t="e">
        <f>AND(TableRelationships12[[#This Row],[Source Type]]="BIM",TableRelationships12[[#This Row],[Target Type]]="BIM")</f>
        <v>#N/A</v>
      </c>
      <c r="Q969">
        <f t="shared" si="45"/>
        <v>1</v>
      </c>
      <c r="S969">
        <f t="shared" si="46"/>
        <v>1</v>
      </c>
      <c r="T969" s="102" t="str">
        <f>IF(TableRelationships12[[#This Row],[Rank Pedro]]="Low","linkCategory1",IF(TableRelationships12[[#This Row],[Rank Pedro]]="Medium","linkCategory2",IF(TableRelationships12[[#This Row],[Rank Pedro]]="High","linkCategory3","")))</f>
        <v/>
      </c>
      <c r="U969" s="102" t="str">
        <f>IF(TableRelationships12[[#This Row],[Rank Pedro]]="Low","Pink",IF(TableRelationships12[[#This Row],[Rank Pedro]]="Medium","Purple",IF(TableRelationships12[[#This Row],[Rank Pedro]]="High","Brown","")))</f>
        <v/>
      </c>
      <c r="V969" s="4" t="e">
        <f>MAX(INDEX(Standards!$F$2:$F$296,MATCH(B969,Standards!$B$2:$B$296,0)),INDEX(Standards!$F$2:$F$296,MATCH(C969,Standards!$B$2:$B$296,0)))</f>
        <v>#N/A</v>
      </c>
      <c r="W969" t="str">
        <f t="shared" si="47"/>
        <v>#2f89d1</v>
      </c>
    </row>
    <row r="970" spans="1:23" x14ac:dyDescent="0.5">
      <c r="A970" s="54">
        <v>969</v>
      </c>
      <c r="B970" s="90" t="s">
        <v>1048</v>
      </c>
      <c r="C970" t="s">
        <v>1616</v>
      </c>
      <c r="D970" s="1" t="s">
        <v>1176</v>
      </c>
      <c r="E970" s="112">
        <v>1984.02</v>
      </c>
      <c r="F970" s="112">
        <v>2025.09</v>
      </c>
      <c r="G970" s="107" t="s">
        <v>1487</v>
      </c>
      <c r="H970">
        <f>INDEX('GIS-Standards'!$A$2:$A$305,MATCH(B970,'GIS-Standards'!$B$2:$B$305,0))</f>
        <v>41</v>
      </c>
      <c r="I970" t="e">
        <f>INDEX('GIS-Standards'!$A$2:$A$305,MATCH(C970,'GIS-Standards'!$B$2:$B$305,0))</f>
        <v>#N/A</v>
      </c>
      <c r="J970" t="str">
        <f>INDEX('GIS-Standards'!$O$2:$O$305,MATCH(B970,'GIS-Standards'!$B$2:$B$305,0))</f>
        <v>ISO/TC 211</v>
      </c>
      <c r="K970" t="e">
        <f>INDEX('GIS-Standards'!$O$2:$O$305,MATCH(C970,'GIS-Standards'!$B$2:$B$305,0))</f>
        <v>#N/A</v>
      </c>
      <c r="M970" t="s">
        <v>525</v>
      </c>
      <c r="N970" t="str">
        <f>INDEX('GIS-Standards'!$I$2:$I$305,MATCH(B970,'GIS-Standards'!$B$2:$B$305,0))</f>
        <v>03.2021</v>
      </c>
      <c r="O970" t="e">
        <f>INDEX('GIS-Standards'!$I$2:$I$305,MATCH(C970,'GIS-Standards'!$B$2:$B$305,0))</f>
        <v>#N/A</v>
      </c>
      <c r="P970" t="e">
        <f>AND(TableRelationships12[[#This Row],[Source Type]]="BIM",TableRelationships12[[#This Row],[Target Type]]="BIM")</f>
        <v>#N/A</v>
      </c>
      <c r="Q970">
        <f t="shared" si="45"/>
        <v>1</v>
      </c>
      <c r="S970">
        <f t="shared" si="46"/>
        <v>1</v>
      </c>
      <c r="T970" s="102" t="str">
        <f>IF(TableRelationships12[[#This Row],[Rank Pedro]]="Low","linkCategory1",IF(TableRelationships12[[#This Row],[Rank Pedro]]="Medium","linkCategory2",IF(TableRelationships12[[#This Row],[Rank Pedro]]="High","linkCategory3","")))</f>
        <v/>
      </c>
      <c r="U970" s="102" t="str">
        <f>IF(TableRelationships12[[#This Row],[Rank Pedro]]="Low","Pink",IF(TableRelationships12[[#This Row],[Rank Pedro]]="Medium","Purple",IF(TableRelationships12[[#This Row],[Rank Pedro]]="High","Brown","")))</f>
        <v/>
      </c>
      <c r="V970" s="4" t="e">
        <f>MAX(INDEX(Standards!$F$2:$F$296,MATCH(B970,Standards!$B$2:$B$296,0)),INDEX(Standards!$F$2:$F$296,MATCH(C970,Standards!$B$2:$B$296,0)))</f>
        <v>#N/A</v>
      </c>
      <c r="W970" t="str">
        <f t="shared" si="47"/>
        <v>#2f89d1</v>
      </c>
    </row>
    <row r="971" spans="1:23" x14ac:dyDescent="0.5">
      <c r="A971" s="54">
        <v>970</v>
      </c>
      <c r="B971" s="90" t="s">
        <v>1048</v>
      </c>
      <c r="C971" t="s">
        <v>293</v>
      </c>
      <c r="D971" s="1" t="s">
        <v>1127</v>
      </c>
      <c r="E971" s="112">
        <v>2002.07</v>
      </c>
      <c r="F971" s="112">
        <v>2014.11</v>
      </c>
      <c r="G971" s="107" t="s">
        <v>670</v>
      </c>
      <c r="H971">
        <f>INDEX('GIS-Standards'!$A$2:$A$305,MATCH(B971,'GIS-Standards'!$B$2:$B$305,0))</f>
        <v>41</v>
      </c>
      <c r="I971">
        <f>INDEX('GIS-Standards'!$A$2:$A$305,MATCH(C971,'GIS-Standards'!$B$2:$B$305,0))</f>
        <v>10</v>
      </c>
      <c r="J971" t="str">
        <f>INDEX('GIS-Standards'!$O$2:$O$305,MATCH(B971,'GIS-Standards'!$B$2:$B$305,0))</f>
        <v>ISO/TC 211</v>
      </c>
      <c r="K971" t="str">
        <f>INDEX('GIS-Standards'!$O$2:$O$305,MATCH(C971,'GIS-Standards'!$B$2:$B$305,0))</f>
        <v>ISO/TC 211</v>
      </c>
      <c r="M971" t="s">
        <v>525</v>
      </c>
      <c r="N971" t="str">
        <f>INDEX('GIS-Standards'!$I$2:$I$305,MATCH(B971,'GIS-Standards'!$B$2:$B$305,0))</f>
        <v>03.2021</v>
      </c>
      <c r="O971">
        <f>INDEX('GIS-Standards'!$I$2:$I$305,MATCH(C971,'GIS-Standards'!$B$2:$B$305,0))</f>
        <v>0</v>
      </c>
      <c r="P971" t="b">
        <f>AND(TableRelationships12[[#This Row],[Source Type]]="BIM",TableRelationships12[[#This Row],[Target Type]]="BIM")</f>
        <v>0</v>
      </c>
      <c r="Q971">
        <f t="shared" si="45"/>
        <v>1</v>
      </c>
      <c r="S971">
        <f t="shared" si="46"/>
        <v>1</v>
      </c>
      <c r="T971" s="102" t="str">
        <f>IF(TableRelationships12[[#This Row],[Rank Pedro]]="Low","linkCategory1",IF(TableRelationships12[[#This Row],[Rank Pedro]]="Medium","linkCategory2",IF(TableRelationships12[[#This Row],[Rank Pedro]]="High","linkCategory3","")))</f>
        <v/>
      </c>
      <c r="U971" s="102" t="str">
        <f>IF(TableRelationships12[[#This Row],[Rank Pedro]]="Low","Pink",IF(TableRelationships12[[#This Row],[Rank Pedro]]="Medium","Purple",IF(TableRelationships12[[#This Row],[Rank Pedro]]="High","Brown","")))</f>
        <v/>
      </c>
      <c r="V971" s="4" t="e">
        <f>MAX(INDEX(Standards!$F$2:$F$296,MATCH(B971,Standards!$B$2:$B$296,0)),INDEX(Standards!$F$2:$F$296,MATCH(C971,Standards!$B$2:$B$296,0)))</f>
        <v>#N/A</v>
      </c>
      <c r="W971" t="str">
        <f t="shared" si="47"/>
        <v>#2f89d1</v>
      </c>
    </row>
    <row r="972" spans="1:23" x14ac:dyDescent="0.5">
      <c r="A972" s="54">
        <v>971</v>
      </c>
      <c r="B972" s="90" t="s">
        <v>1048</v>
      </c>
      <c r="C972" t="s">
        <v>308</v>
      </c>
      <c r="D972" s="1"/>
      <c r="E972" s="112">
        <v>2005.02</v>
      </c>
      <c r="F972" s="112">
        <v>2016.12</v>
      </c>
      <c r="G972" s="107" t="s">
        <v>670</v>
      </c>
      <c r="H972">
        <f>INDEX('GIS-Standards'!$A$2:$A$305,MATCH(B972,'GIS-Standards'!$B$2:$B$305,0))</f>
        <v>41</v>
      </c>
      <c r="I972">
        <f>INDEX('GIS-Standards'!$A$2:$A$305,MATCH(C972,'GIS-Standards'!$B$2:$B$305,0))</f>
        <v>19</v>
      </c>
      <c r="J972" t="str">
        <f>INDEX('GIS-Standards'!$O$2:$O$305,MATCH(B972,'GIS-Standards'!$B$2:$B$305,0))</f>
        <v>ISO/TC 211</v>
      </c>
      <c r="K972" t="str">
        <f>INDEX('GIS-Standards'!$O$2:$O$305,MATCH(C972,'GIS-Standards'!$B$2:$B$305,0))</f>
        <v>ISO/TC 211</v>
      </c>
      <c r="M972" t="s">
        <v>525</v>
      </c>
      <c r="N972" t="str">
        <f>INDEX('GIS-Standards'!$I$2:$I$305,MATCH(B972,'GIS-Standards'!$B$2:$B$305,0))</f>
        <v>03.2021</v>
      </c>
      <c r="O972">
        <f>INDEX('GIS-Standards'!$I$2:$I$305,MATCH(C972,'GIS-Standards'!$B$2:$B$305,0))</f>
        <v>0</v>
      </c>
      <c r="P972" t="b">
        <f>AND(TableRelationships12[[#This Row],[Source Type]]="BIM",TableRelationships12[[#This Row],[Target Type]]="BIM")</f>
        <v>0</v>
      </c>
      <c r="Q972">
        <f t="shared" si="45"/>
        <v>1</v>
      </c>
      <c r="S972">
        <f t="shared" si="46"/>
        <v>1</v>
      </c>
      <c r="T972" s="102" t="str">
        <f>IF(TableRelationships12[[#This Row],[Rank Pedro]]="Low","linkCategory1",IF(TableRelationships12[[#This Row],[Rank Pedro]]="Medium","linkCategory2",IF(TableRelationships12[[#This Row],[Rank Pedro]]="High","linkCategory3","")))</f>
        <v/>
      </c>
      <c r="U972" s="102" t="str">
        <f>IF(TableRelationships12[[#This Row],[Rank Pedro]]="Low","Pink",IF(TableRelationships12[[#This Row],[Rank Pedro]]="Medium","Purple",IF(TableRelationships12[[#This Row],[Rank Pedro]]="High","Brown","")))</f>
        <v/>
      </c>
      <c r="V972" s="4" t="e">
        <f>MAX(INDEX(Standards!$F$2:$F$296,MATCH(B972,Standards!$B$2:$B$296,0)),INDEX(Standards!$F$2:$F$296,MATCH(C972,Standards!$B$2:$B$296,0)))</f>
        <v>#N/A</v>
      </c>
      <c r="W972" t="str">
        <f t="shared" si="47"/>
        <v>#2f89d1</v>
      </c>
    </row>
    <row r="973" spans="1:23" x14ac:dyDescent="0.5">
      <c r="A973" s="54">
        <v>972</v>
      </c>
      <c r="B973" s="90" t="s">
        <v>1048</v>
      </c>
      <c r="C973" t="s">
        <v>318</v>
      </c>
      <c r="D973" s="1"/>
      <c r="E973" s="112">
        <v>2005.02</v>
      </c>
      <c r="F973" s="112">
        <v>2016.01</v>
      </c>
      <c r="G973" s="107" t="s">
        <v>670</v>
      </c>
      <c r="H973">
        <f>INDEX('GIS-Standards'!$A$2:$A$305,MATCH(B973,'GIS-Standards'!$B$2:$B$305,0))</f>
        <v>41</v>
      </c>
      <c r="I973">
        <f>INDEX('GIS-Standards'!$A$2:$A$305,MATCH(C973,'GIS-Standards'!$B$2:$B$305,0))</f>
        <v>28</v>
      </c>
      <c r="J973" t="str">
        <f>INDEX('GIS-Standards'!$O$2:$O$305,MATCH(B973,'GIS-Standards'!$B$2:$B$305,0))</f>
        <v>ISO/TC 211</v>
      </c>
      <c r="K973" t="str">
        <f>INDEX('GIS-Standards'!$O$2:$O$305,MATCH(C973,'GIS-Standards'!$B$2:$B$305,0))</f>
        <v>ISO/TC 211</v>
      </c>
      <c r="M973" t="s">
        <v>525</v>
      </c>
      <c r="N973" t="str">
        <f>INDEX('GIS-Standards'!$I$2:$I$305,MATCH(B973,'GIS-Standards'!$B$2:$B$305,0))</f>
        <v>03.2021</v>
      </c>
      <c r="O973">
        <f>INDEX('GIS-Standards'!$I$2:$I$305,MATCH(C973,'GIS-Standards'!$B$2:$B$305,0))</f>
        <v>0</v>
      </c>
      <c r="P973" t="b">
        <f>AND(TableRelationships12[[#This Row],[Source Type]]="BIM",TableRelationships12[[#This Row],[Target Type]]="BIM")</f>
        <v>0</v>
      </c>
      <c r="Q973">
        <f t="shared" si="45"/>
        <v>1</v>
      </c>
      <c r="S973">
        <f t="shared" si="46"/>
        <v>1</v>
      </c>
      <c r="T973" s="102" t="str">
        <f>IF(TableRelationships12[[#This Row],[Rank Pedro]]="Low","linkCategory1",IF(TableRelationships12[[#This Row],[Rank Pedro]]="Medium","linkCategory2",IF(TableRelationships12[[#This Row],[Rank Pedro]]="High","linkCategory3","")))</f>
        <v/>
      </c>
      <c r="U973" s="102" t="str">
        <f>IF(TableRelationships12[[#This Row],[Rank Pedro]]="Low","Pink",IF(TableRelationships12[[#This Row],[Rank Pedro]]="Medium","Purple",IF(TableRelationships12[[#This Row],[Rank Pedro]]="High","Brown","")))</f>
        <v/>
      </c>
      <c r="V973" s="4" t="e">
        <f>MAX(INDEX(Standards!$F$2:$F$296,MATCH(B973,Standards!$B$2:$B$296,0)),INDEX(Standards!$F$2:$F$296,MATCH(C973,Standards!$B$2:$B$296,0)))</f>
        <v>#N/A</v>
      </c>
      <c r="W973" t="str">
        <f t="shared" si="47"/>
        <v>#2f89d1</v>
      </c>
    </row>
    <row r="974" spans="1:23" x14ac:dyDescent="0.5">
      <c r="A974" s="54">
        <v>973</v>
      </c>
      <c r="B974" s="90" t="s">
        <v>1048</v>
      </c>
      <c r="C974" t="s">
        <v>1150</v>
      </c>
      <c r="D974" s="1"/>
      <c r="E974" s="112">
        <v>2013.02</v>
      </c>
      <c r="F974" s="112">
        <v>2023.01</v>
      </c>
      <c r="G974" s="107" t="s">
        <v>1487</v>
      </c>
      <c r="H974">
        <f>INDEX('GIS-Standards'!$A$2:$A$305,MATCH(B974,'GIS-Standards'!$B$2:$B$305,0))</f>
        <v>41</v>
      </c>
      <c r="I974" t="e">
        <f>INDEX('GIS-Standards'!$A$2:$A$305,MATCH(C974,'GIS-Standards'!$B$2:$B$305,0))</f>
        <v>#N/A</v>
      </c>
      <c r="J974" t="str">
        <f>INDEX('GIS-Standards'!$O$2:$O$305,MATCH(B974,'GIS-Standards'!$B$2:$B$305,0))</f>
        <v>ISO/TC 211</v>
      </c>
      <c r="K974" t="e">
        <f>INDEX('GIS-Standards'!$O$2:$O$305,MATCH(C974,'GIS-Standards'!$B$2:$B$305,0))</f>
        <v>#N/A</v>
      </c>
      <c r="M974" t="s">
        <v>525</v>
      </c>
      <c r="N974" t="str">
        <f>INDEX('GIS-Standards'!$I$2:$I$305,MATCH(B974,'GIS-Standards'!$B$2:$B$305,0))</f>
        <v>03.2021</v>
      </c>
      <c r="O974" t="e">
        <f>INDEX('GIS-Standards'!$I$2:$I$305,MATCH(C974,'GIS-Standards'!$B$2:$B$305,0))</f>
        <v>#N/A</v>
      </c>
      <c r="P974" t="e">
        <f>AND(TableRelationships12[[#This Row],[Source Type]]="BIM",TableRelationships12[[#This Row],[Target Type]]="BIM")</f>
        <v>#N/A</v>
      </c>
      <c r="Q974">
        <f t="shared" si="45"/>
        <v>1</v>
      </c>
      <c r="S974">
        <f t="shared" si="46"/>
        <v>1</v>
      </c>
      <c r="T974" s="102" t="str">
        <f>IF(TableRelationships12[[#This Row],[Rank Pedro]]="Low","linkCategory1",IF(TableRelationships12[[#This Row],[Rank Pedro]]="Medium","linkCategory2",IF(TableRelationships12[[#This Row],[Rank Pedro]]="High","linkCategory3","")))</f>
        <v/>
      </c>
      <c r="U974" s="102" t="str">
        <f>IF(TableRelationships12[[#This Row],[Rank Pedro]]="Low","Pink",IF(TableRelationships12[[#This Row],[Rank Pedro]]="Medium","Purple",IF(TableRelationships12[[#This Row],[Rank Pedro]]="High","Brown","")))</f>
        <v/>
      </c>
      <c r="V974" s="4" t="e">
        <f>MAX(INDEX(Standards!$F$2:$F$296,MATCH(B974,Standards!$B$2:$B$296,0)),INDEX(Standards!$F$2:$F$296,MATCH(C974,Standards!$B$2:$B$296,0)))</f>
        <v>#N/A</v>
      </c>
      <c r="W974" t="str">
        <f t="shared" si="47"/>
        <v>#2f89d1</v>
      </c>
    </row>
    <row r="975" spans="1:23" x14ac:dyDescent="0.5">
      <c r="A975" s="54">
        <v>974</v>
      </c>
      <c r="B975" s="90" t="s">
        <v>1048</v>
      </c>
      <c r="C975" t="s">
        <v>1177</v>
      </c>
      <c r="D975" s="1"/>
      <c r="E975" s="112">
        <v>1997.03</v>
      </c>
      <c r="F975" s="112">
        <v>2023.01</v>
      </c>
      <c r="G975" s="107" t="s">
        <v>1487</v>
      </c>
      <c r="H975">
        <f>INDEX('GIS-Standards'!$A$2:$A$305,MATCH(B975,'GIS-Standards'!$B$2:$B$305,0))</f>
        <v>41</v>
      </c>
      <c r="I975" t="e">
        <f>INDEX('GIS-Standards'!$A$2:$A$305,MATCH(C975,'GIS-Standards'!$B$2:$B$305,0))</f>
        <v>#N/A</v>
      </c>
      <c r="J975" t="str">
        <f>INDEX('GIS-Standards'!$O$2:$O$305,MATCH(B975,'GIS-Standards'!$B$2:$B$305,0))</f>
        <v>ISO/TC 211</v>
      </c>
      <c r="K975" t="e">
        <f>INDEX('GIS-Standards'!$O$2:$O$305,MATCH(C975,'GIS-Standards'!$B$2:$B$305,0))</f>
        <v>#N/A</v>
      </c>
      <c r="M975" t="s">
        <v>525</v>
      </c>
      <c r="N975" t="str">
        <f>INDEX('GIS-Standards'!$I$2:$I$305,MATCH(B975,'GIS-Standards'!$B$2:$B$305,0))</f>
        <v>03.2021</v>
      </c>
      <c r="O975" t="e">
        <f>INDEX('GIS-Standards'!$I$2:$I$305,MATCH(C975,'GIS-Standards'!$B$2:$B$305,0))</f>
        <v>#N/A</v>
      </c>
      <c r="P975" t="e">
        <f>AND(TableRelationships12[[#This Row],[Source Type]]="BIM",TableRelationships12[[#This Row],[Target Type]]="BIM")</f>
        <v>#N/A</v>
      </c>
      <c r="Q975">
        <f t="shared" si="45"/>
        <v>1</v>
      </c>
      <c r="S975">
        <f t="shared" si="46"/>
        <v>1</v>
      </c>
      <c r="T975" s="102" t="str">
        <f>IF(TableRelationships12[[#This Row],[Rank Pedro]]="Low","linkCategory1",IF(TableRelationships12[[#This Row],[Rank Pedro]]="Medium","linkCategory2",IF(TableRelationships12[[#This Row],[Rank Pedro]]="High","linkCategory3","")))</f>
        <v/>
      </c>
      <c r="U975" s="102" t="str">
        <f>IF(TableRelationships12[[#This Row],[Rank Pedro]]="Low","Pink",IF(TableRelationships12[[#This Row],[Rank Pedro]]="Medium","Purple",IF(TableRelationships12[[#This Row],[Rank Pedro]]="High","Brown","")))</f>
        <v/>
      </c>
      <c r="V975" s="4" t="e">
        <f>MAX(INDEX(Standards!$F$2:$F$296,MATCH(B975,Standards!$B$2:$B$296,0)),INDEX(Standards!$F$2:$F$296,MATCH(C975,Standards!$B$2:$B$296,0)))</f>
        <v>#N/A</v>
      </c>
      <c r="W975" t="str">
        <f t="shared" si="47"/>
        <v>#2f89d1</v>
      </c>
    </row>
    <row r="976" spans="1:23" x14ac:dyDescent="0.5">
      <c r="A976" s="54">
        <v>975</v>
      </c>
      <c r="B976" s="90" t="s">
        <v>1048</v>
      </c>
      <c r="C976" t="s">
        <v>152</v>
      </c>
      <c r="D976" s="1"/>
      <c r="E976" s="112">
        <v>2012.04</v>
      </c>
      <c r="F976" s="112">
        <v>2012.04</v>
      </c>
      <c r="G976" s="107" t="s">
        <v>1504</v>
      </c>
      <c r="H976">
        <f>INDEX('GIS-Standards'!$A$2:$A$305,MATCH(B976,'GIS-Standards'!$B$2:$B$305,0))</f>
        <v>41</v>
      </c>
      <c r="I976" t="e">
        <f>INDEX('GIS-Standards'!$A$2:$A$305,MATCH(C976,'GIS-Standards'!$B$2:$B$305,0))</f>
        <v>#N/A</v>
      </c>
      <c r="J976" t="str">
        <f>INDEX('GIS-Standards'!$O$2:$O$305,MATCH(B976,'GIS-Standards'!$B$2:$B$305,0))</f>
        <v>ISO/TC 211</v>
      </c>
      <c r="K976" t="e">
        <f>INDEX('GIS-Standards'!$O$2:$O$305,MATCH(C976,'GIS-Standards'!$B$2:$B$305,0))</f>
        <v>#N/A</v>
      </c>
      <c r="M976" t="s">
        <v>525</v>
      </c>
      <c r="N976" t="str">
        <f>INDEX('GIS-Standards'!$I$2:$I$305,MATCH(B976,'GIS-Standards'!$B$2:$B$305,0))</f>
        <v>03.2021</v>
      </c>
      <c r="O976" t="e">
        <f>INDEX('GIS-Standards'!$I$2:$I$305,MATCH(C976,'GIS-Standards'!$B$2:$B$305,0))</f>
        <v>#N/A</v>
      </c>
      <c r="P976" t="e">
        <f>AND(TableRelationships12[[#This Row],[Source Type]]="BIM",TableRelationships12[[#This Row],[Target Type]]="BIM")</f>
        <v>#N/A</v>
      </c>
      <c r="Q976">
        <f t="shared" si="45"/>
        <v>1</v>
      </c>
      <c r="S976">
        <f t="shared" si="46"/>
        <v>1</v>
      </c>
      <c r="T976" s="102" t="str">
        <f>IF(TableRelationships12[[#This Row],[Rank Pedro]]="Low","linkCategory1",IF(TableRelationships12[[#This Row],[Rank Pedro]]="Medium","linkCategory2",IF(TableRelationships12[[#This Row],[Rank Pedro]]="High","linkCategory3","")))</f>
        <v/>
      </c>
      <c r="U976" s="102" t="str">
        <f>IF(TableRelationships12[[#This Row],[Rank Pedro]]="Low","Pink",IF(TableRelationships12[[#This Row],[Rank Pedro]]="Medium","Purple",IF(TableRelationships12[[#This Row],[Rank Pedro]]="High","Brown","")))</f>
        <v/>
      </c>
      <c r="V976" s="4" t="e">
        <f>MAX(INDEX(Standards!$F$2:$F$296,MATCH(B976,Standards!$B$2:$B$296,0)),INDEX(Standards!$F$2:$F$296,MATCH(C976,Standards!$B$2:$B$296,0)))</f>
        <v>#N/A</v>
      </c>
      <c r="W976" t="str">
        <f t="shared" si="47"/>
        <v>#2f89d1</v>
      </c>
    </row>
    <row r="977" spans="1:23" x14ac:dyDescent="0.5">
      <c r="A977" s="54">
        <v>976</v>
      </c>
      <c r="B977" s="90" t="s">
        <v>1048</v>
      </c>
      <c r="C977" t="s">
        <v>360</v>
      </c>
      <c r="D977" s="1"/>
      <c r="E977" s="112">
        <v>2012.04</v>
      </c>
      <c r="F977" s="112">
        <v>2012.04</v>
      </c>
      <c r="G977" s="107" t="s">
        <v>1504</v>
      </c>
      <c r="H977">
        <f>INDEX('GIS-Standards'!$A$2:$A$305,MATCH(B977,'GIS-Standards'!$B$2:$B$305,0))</f>
        <v>41</v>
      </c>
      <c r="I977" t="e">
        <f>INDEX('GIS-Standards'!$A$2:$A$305,MATCH(C977,'GIS-Standards'!$B$2:$B$305,0))</f>
        <v>#N/A</v>
      </c>
      <c r="J977" t="str">
        <f>INDEX('GIS-Standards'!$O$2:$O$305,MATCH(B977,'GIS-Standards'!$B$2:$B$305,0))</f>
        <v>ISO/TC 211</v>
      </c>
      <c r="K977" t="e">
        <f>INDEX('GIS-Standards'!$O$2:$O$305,MATCH(C977,'GIS-Standards'!$B$2:$B$305,0))</f>
        <v>#N/A</v>
      </c>
      <c r="M977" t="s">
        <v>525</v>
      </c>
      <c r="N977" t="str">
        <f>INDEX('GIS-Standards'!$I$2:$I$305,MATCH(B977,'GIS-Standards'!$B$2:$B$305,0))</f>
        <v>03.2021</v>
      </c>
      <c r="O977" t="e">
        <f>INDEX('GIS-Standards'!$I$2:$I$305,MATCH(C977,'GIS-Standards'!$B$2:$B$305,0))</f>
        <v>#N/A</v>
      </c>
      <c r="P977" t="e">
        <f>AND(TableRelationships12[[#This Row],[Source Type]]="BIM",TableRelationships12[[#This Row],[Target Type]]="BIM")</f>
        <v>#N/A</v>
      </c>
      <c r="Q977">
        <f t="shared" si="45"/>
        <v>1</v>
      </c>
      <c r="S977">
        <f t="shared" si="46"/>
        <v>1</v>
      </c>
      <c r="T977" s="102" t="str">
        <f>IF(TableRelationships12[[#This Row],[Rank Pedro]]="Low","linkCategory1",IF(TableRelationships12[[#This Row],[Rank Pedro]]="Medium","linkCategory2",IF(TableRelationships12[[#This Row],[Rank Pedro]]="High","linkCategory3","")))</f>
        <v/>
      </c>
      <c r="U977" s="102" t="str">
        <f>IF(TableRelationships12[[#This Row],[Rank Pedro]]="Low","Pink",IF(TableRelationships12[[#This Row],[Rank Pedro]]="Medium","Purple",IF(TableRelationships12[[#This Row],[Rank Pedro]]="High","Brown","")))</f>
        <v/>
      </c>
      <c r="V977" s="4" t="e">
        <f>MAX(INDEX(Standards!$F$2:$F$296,MATCH(B977,Standards!$B$2:$B$296,0)),INDEX(Standards!$F$2:$F$296,MATCH(C977,Standards!$B$2:$B$296,0)))</f>
        <v>#N/A</v>
      </c>
      <c r="W977" t="str">
        <f t="shared" si="47"/>
        <v>#2f89d1</v>
      </c>
    </row>
    <row r="978" spans="1:23" x14ac:dyDescent="0.5">
      <c r="A978" s="54">
        <v>977</v>
      </c>
      <c r="B978" s="90" t="s">
        <v>1048</v>
      </c>
      <c r="C978" t="s">
        <v>298</v>
      </c>
      <c r="D978" s="1"/>
      <c r="E978" s="112">
        <v>2008.11</v>
      </c>
      <c r="F978" s="112">
        <v>2016.1</v>
      </c>
      <c r="G978" s="107" t="s">
        <v>1464</v>
      </c>
      <c r="H978">
        <f>INDEX('GIS-Standards'!$A$2:$A$305,MATCH(B978,'GIS-Standards'!$B$2:$B$305,0))</f>
        <v>41</v>
      </c>
      <c r="I978">
        <f>INDEX('GIS-Standards'!$A$2:$A$305,MATCH(C978,'GIS-Standards'!$B$2:$B$305,0))</f>
        <v>13</v>
      </c>
      <c r="J978" t="str">
        <f>INDEX('GIS-Standards'!$O$2:$O$305,MATCH(B978,'GIS-Standards'!$B$2:$B$305,0))</f>
        <v>ISO/TC 211</v>
      </c>
      <c r="K978" t="str">
        <f>INDEX('GIS-Standards'!$O$2:$O$305,MATCH(C978,'GIS-Standards'!$B$2:$B$305,0))</f>
        <v>ISO/TC 211</v>
      </c>
      <c r="M978" t="s">
        <v>525</v>
      </c>
      <c r="N978" t="str">
        <f>INDEX('GIS-Standards'!$I$2:$I$305,MATCH(B978,'GIS-Standards'!$B$2:$B$305,0))</f>
        <v>03.2021</v>
      </c>
      <c r="O978">
        <f>INDEX('GIS-Standards'!$I$2:$I$305,MATCH(C978,'GIS-Standards'!$B$2:$B$305,0))</f>
        <v>0</v>
      </c>
      <c r="P978" t="b">
        <f>AND(TableRelationships12[[#This Row],[Source Type]]="BIM",TableRelationships12[[#This Row],[Target Type]]="BIM")</f>
        <v>0</v>
      </c>
      <c r="Q978">
        <f t="shared" si="45"/>
        <v>1</v>
      </c>
      <c r="S978">
        <f t="shared" si="46"/>
        <v>1</v>
      </c>
      <c r="T978" s="102" t="str">
        <f>IF(TableRelationships12[[#This Row],[Rank Pedro]]="Low","linkCategory1",IF(TableRelationships12[[#This Row],[Rank Pedro]]="Medium","linkCategory2",IF(TableRelationships12[[#This Row],[Rank Pedro]]="High","linkCategory3","")))</f>
        <v/>
      </c>
      <c r="U978" s="102" t="str">
        <f>IF(TableRelationships12[[#This Row],[Rank Pedro]]="Low","Pink",IF(TableRelationships12[[#This Row],[Rank Pedro]]="Medium","Purple",IF(TableRelationships12[[#This Row],[Rank Pedro]]="High","Brown","")))</f>
        <v/>
      </c>
      <c r="V978" s="4" t="e">
        <f>MAX(INDEX(Standards!$F$2:$F$296,MATCH(B978,Standards!$B$2:$B$296,0)),INDEX(Standards!$F$2:$F$296,MATCH(C978,Standards!$B$2:$B$296,0)))</f>
        <v>#N/A</v>
      </c>
      <c r="W978" t="str">
        <f t="shared" si="47"/>
        <v>#2f89d1</v>
      </c>
    </row>
    <row r="979" spans="1:23" x14ac:dyDescent="0.5">
      <c r="A979" s="54">
        <v>978</v>
      </c>
      <c r="B979" s="90" t="s">
        <v>1048</v>
      </c>
      <c r="C979" t="s">
        <v>1523</v>
      </c>
      <c r="D979" s="1"/>
      <c r="E979" s="113">
        <v>2005.11</v>
      </c>
      <c r="F979" s="113">
        <v>2005.11</v>
      </c>
      <c r="G979" s="107" t="s">
        <v>1524</v>
      </c>
      <c r="H979">
        <f>INDEX('GIS-Standards'!$A$2:$A$305,MATCH(B979,'GIS-Standards'!$B$2:$B$305,0))</f>
        <v>41</v>
      </c>
      <c r="I979" t="e">
        <f>INDEX('GIS-Standards'!$A$2:$A$305,MATCH(C979,'GIS-Standards'!$B$2:$B$305,0))</f>
        <v>#N/A</v>
      </c>
      <c r="J979" t="str">
        <f>INDEX('GIS-Standards'!$O$2:$O$305,MATCH(B979,'GIS-Standards'!$B$2:$B$305,0))</f>
        <v>ISO/TC 211</v>
      </c>
      <c r="K979" t="e">
        <f>INDEX('GIS-Standards'!$O$2:$O$305,MATCH(C979,'GIS-Standards'!$B$2:$B$305,0))</f>
        <v>#N/A</v>
      </c>
      <c r="M979" t="s">
        <v>525</v>
      </c>
      <c r="N979" t="str">
        <f>INDEX('GIS-Standards'!$I$2:$I$305,MATCH(B979,'GIS-Standards'!$B$2:$B$305,0))</f>
        <v>03.2021</v>
      </c>
      <c r="O979" t="e">
        <f>INDEX('GIS-Standards'!$I$2:$I$305,MATCH(C979,'GIS-Standards'!$B$2:$B$305,0))</f>
        <v>#N/A</v>
      </c>
      <c r="P979" t="e">
        <f>AND(TableRelationships12[[#This Row],[Source Type]]="BIM",TableRelationships12[[#This Row],[Target Type]]="BIM")</f>
        <v>#N/A</v>
      </c>
      <c r="Q979">
        <f t="shared" si="45"/>
        <v>1</v>
      </c>
      <c r="S979">
        <f t="shared" si="46"/>
        <v>1</v>
      </c>
      <c r="T979" s="102" t="str">
        <f>IF(TableRelationships12[[#This Row],[Rank Pedro]]="Low","linkCategory1",IF(TableRelationships12[[#This Row],[Rank Pedro]]="Medium","linkCategory2",IF(TableRelationships12[[#This Row],[Rank Pedro]]="High","linkCategory3","")))</f>
        <v/>
      </c>
      <c r="U979" s="102" t="str">
        <f>IF(TableRelationships12[[#This Row],[Rank Pedro]]="Low","Pink",IF(TableRelationships12[[#This Row],[Rank Pedro]]="Medium","Purple",IF(TableRelationships12[[#This Row],[Rank Pedro]]="High","Brown","")))</f>
        <v/>
      </c>
      <c r="V979" s="4" t="e">
        <f>MAX(INDEX(Standards!$F$2:$F$296,MATCH(B979,Standards!$B$2:$B$296,0)),INDEX(Standards!$F$2:$F$296,MATCH(C979,Standards!$B$2:$B$296,0)))</f>
        <v>#N/A</v>
      </c>
      <c r="W979" t="str">
        <f t="shared" si="47"/>
        <v>#2f89d1</v>
      </c>
    </row>
    <row r="980" spans="1:23" x14ac:dyDescent="0.5">
      <c r="A980" s="54">
        <v>979</v>
      </c>
      <c r="B980" s="90" t="s">
        <v>1048</v>
      </c>
      <c r="C980" t="s">
        <v>1516</v>
      </c>
      <c r="D980" s="1" t="s">
        <v>1102</v>
      </c>
      <c r="E980" s="113">
        <v>1987.01</v>
      </c>
      <c r="F980" s="113">
        <v>2024.01</v>
      </c>
      <c r="G980" s="107"/>
      <c r="H980">
        <f>INDEX('GIS-Standards'!$A$2:$A$305,MATCH(B980,'GIS-Standards'!$B$2:$B$305,0))</f>
        <v>41</v>
      </c>
      <c r="I980" t="e">
        <f>INDEX('GIS-Standards'!$A$2:$A$305,MATCH(C980,'GIS-Standards'!$B$2:$B$305,0))</f>
        <v>#N/A</v>
      </c>
      <c r="J980" t="str">
        <f>INDEX('GIS-Standards'!$O$2:$O$305,MATCH(B980,'GIS-Standards'!$B$2:$B$305,0))</f>
        <v>ISO/TC 211</v>
      </c>
      <c r="K980" t="e">
        <f>INDEX('GIS-Standards'!$O$2:$O$305,MATCH(C980,'GIS-Standards'!$B$2:$B$305,0))</f>
        <v>#N/A</v>
      </c>
      <c r="M980" t="s">
        <v>525</v>
      </c>
      <c r="N980" t="str">
        <f>INDEX('GIS-Standards'!$I$2:$I$305,MATCH(B980,'GIS-Standards'!$B$2:$B$305,0))</f>
        <v>03.2021</v>
      </c>
      <c r="O980" t="e">
        <f>INDEX('GIS-Standards'!$I$2:$I$305,MATCH(C980,'GIS-Standards'!$B$2:$B$305,0))</f>
        <v>#N/A</v>
      </c>
      <c r="P980" t="e">
        <f>AND(TableRelationships12[[#This Row],[Source Type]]="BIM",TableRelationships12[[#This Row],[Target Type]]="BIM")</f>
        <v>#N/A</v>
      </c>
      <c r="Q980">
        <f t="shared" si="45"/>
        <v>1</v>
      </c>
      <c r="S980">
        <f t="shared" si="46"/>
        <v>1</v>
      </c>
      <c r="T980" s="102" t="str">
        <f>IF(TableRelationships12[[#This Row],[Rank Pedro]]="Low","linkCategory1",IF(TableRelationships12[[#This Row],[Rank Pedro]]="Medium","linkCategory2",IF(TableRelationships12[[#This Row],[Rank Pedro]]="High","linkCategory3","")))</f>
        <v/>
      </c>
      <c r="U980" s="102" t="str">
        <f>IF(TableRelationships12[[#This Row],[Rank Pedro]]="Low","Pink",IF(TableRelationships12[[#This Row],[Rank Pedro]]="Medium","Purple",IF(TableRelationships12[[#This Row],[Rank Pedro]]="High","Brown","")))</f>
        <v/>
      </c>
      <c r="V980" s="4" t="e">
        <f>MAX(INDEX(Standards!$F$2:$F$296,MATCH(B980,Standards!$B$2:$B$296,0)),INDEX(Standards!$F$2:$F$296,MATCH(C980,Standards!$B$2:$B$296,0)))</f>
        <v>#N/A</v>
      </c>
      <c r="W980" t="str">
        <f t="shared" si="47"/>
        <v>#2f89d1</v>
      </c>
    </row>
    <row r="981" spans="1:23" x14ac:dyDescent="0.5">
      <c r="A981" s="54">
        <v>980</v>
      </c>
      <c r="B981" s="90" t="s">
        <v>1048</v>
      </c>
      <c r="C981" t="s">
        <v>1166</v>
      </c>
      <c r="D981" s="1" t="s">
        <v>1676</v>
      </c>
      <c r="E981" s="113">
        <v>1988.12</v>
      </c>
      <c r="F981" s="113">
        <v>2013.07</v>
      </c>
      <c r="G981" s="107" t="s">
        <v>1500</v>
      </c>
      <c r="H981">
        <f>INDEX('GIS-Standards'!$A$2:$A$305,MATCH(B981,'GIS-Standards'!$B$2:$B$305,0))</f>
        <v>41</v>
      </c>
      <c r="I981" t="e">
        <f>INDEX('GIS-Standards'!$A$2:$A$305,MATCH(C981,'GIS-Standards'!$B$2:$B$305,0))</f>
        <v>#N/A</v>
      </c>
      <c r="J981" t="str">
        <f>INDEX('GIS-Standards'!$O$2:$O$305,MATCH(B981,'GIS-Standards'!$B$2:$B$305,0))</f>
        <v>ISO/TC 211</v>
      </c>
      <c r="K981" t="e">
        <f>INDEX('GIS-Standards'!$O$2:$O$305,MATCH(C981,'GIS-Standards'!$B$2:$B$305,0))</f>
        <v>#N/A</v>
      </c>
      <c r="M981" t="s">
        <v>525</v>
      </c>
      <c r="N981" t="str">
        <f>INDEX('GIS-Standards'!$I$2:$I$305,MATCH(B981,'GIS-Standards'!$B$2:$B$305,0))</f>
        <v>03.2021</v>
      </c>
      <c r="O981" t="e">
        <f>INDEX('GIS-Standards'!$I$2:$I$305,MATCH(C981,'GIS-Standards'!$B$2:$B$305,0))</f>
        <v>#N/A</v>
      </c>
      <c r="P981" t="e">
        <f>AND(TableRelationships12[[#This Row],[Source Type]]="BIM",TableRelationships12[[#This Row],[Target Type]]="BIM")</f>
        <v>#N/A</v>
      </c>
      <c r="Q981">
        <f t="shared" si="45"/>
        <v>1</v>
      </c>
      <c r="S981">
        <f t="shared" si="46"/>
        <v>1</v>
      </c>
      <c r="T981" s="102" t="str">
        <f>IF(TableRelationships12[[#This Row],[Rank Pedro]]="Low","linkCategory1",IF(TableRelationships12[[#This Row],[Rank Pedro]]="Medium","linkCategory2",IF(TableRelationships12[[#This Row],[Rank Pedro]]="High","linkCategory3","")))</f>
        <v/>
      </c>
      <c r="U981" s="102" t="str">
        <f>IF(TableRelationships12[[#This Row],[Rank Pedro]]="Low","Pink",IF(TableRelationships12[[#This Row],[Rank Pedro]]="Medium","Purple",IF(TableRelationships12[[#This Row],[Rank Pedro]]="High","Brown","")))</f>
        <v/>
      </c>
      <c r="V981" s="4" t="e">
        <f>MAX(INDEX(Standards!$F$2:$F$296,MATCH(B981,Standards!$B$2:$B$296,0)),INDEX(Standards!$F$2:$F$296,MATCH(C981,Standards!$B$2:$B$296,0)))</f>
        <v>#N/A</v>
      </c>
      <c r="W981" t="str">
        <f t="shared" si="47"/>
        <v>#2f89d1</v>
      </c>
    </row>
    <row r="982" spans="1:23" x14ac:dyDescent="0.5">
      <c r="A982" s="54">
        <v>981</v>
      </c>
      <c r="B982" s="90" t="s">
        <v>334</v>
      </c>
      <c r="C982" t="s">
        <v>527</v>
      </c>
      <c r="D982" s="1"/>
      <c r="E982" s="112" t="s">
        <v>960</v>
      </c>
      <c r="F982" s="112" t="s">
        <v>961</v>
      </c>
      <c r="G982" s="121" t="s">
        <v>670</v>
      </c>
      <c r="H982">
        <f>INDEX('GIS-Standards'!$A$2:$A$305,MATCH(B982,'GIS-Standards'!$B$2:$B$305,0))</f>
        <v>42</v>
      </c>
      <c r="I982" t="e">
        <f>INDEX('GIS-Standards'!$A$2:$A$305,MATCH(C982,'GIS-Standards'!$B$2:$B$305,0))</f>
        <v>#N/A</v>
      </c>
      <c r="J982" t="str">
        <f>INDEX('GIS-Standards'!$O$2:$O$305,MATCH(B982,'GIS-Standards'!$B$2:$B$305,0))</f>
        <v>ISO/TC 211</v>
      </c>
      <c r="K982" t="e">
        <f>INDEX('GIS-Standards'!$O$2:$O$305,MATCH(C982,'GIS-Standards'!$B$2:$B$305,0))</f>
        <v>#N/A</v>
      </c>
      <c r="M982" t="s">
        <v>237</v>
      </c>
      <c r="N982">
        <f>INDEX('GIS-Standards'!$I$2:$I$305,MATCH(B982,'GIS-Standards'!$B$2:$B$305,0))</f>
        <v>0</v>
      </c>
      <c r="O982" t="e">
        <f>INDEX('GIS-Standards'!$I$2:$I$305,MATCH(C982,'GIS-Standards'!$B$2:$B$305,0))</f>
        <v>#N/A</v>
      </c>
      <c r="P982" t="e">
        <f>AND(TableRelationships12[[#This Row],[Source Type]]="BIM",TableRelationships12[[#This Row],[Target Type]]="BIM")</f>
        <v>#N/A</v>
      </c>
      <c r="Q982">
        <f t="shared" si="45"/>
        <v>2</v>
      </c>
      <c r="S982">
        <f t="shared" si="46"/>
        <v>1</v>
      </c>
      <c r="T982" s="102" t="str">
        <f>IF(TableRelationships12[[#This Row],[Rank Pedro]]="Low","linkCategory1",IF(TableRelationships12[[#This Row],[Rank Pedro]]="Medium","linkCategory2",IF(TableRelationships12[[#This Row],[Rank Pedro]]="High","linkCategory3","")))</f>
        <v/>
      </c>
      <c r="U982" s="102" t="str">
        <f>IF(TableRelationships12[[#This Row],[Rank Pedro]]="Low","Pink",IF(TableRelationships12[[#This Row],[Rank Pedro]]="Medium","Purple",IF(TableRelationships12[[#This Row],[Rank Pedro]]="High","Brown","")))</f>
        <v/>
      </c>
      <c r="V982" s="4">
        <f>MAX(INDEX(Standards!$F$2:$F$296,MATCH(B982,Standards!$B$2:$B$296,0)),INDEX(Standards!$F$2:$F$296,MATCH(C982,Standards!$B$2:$B$296,0)))</f>
        <v>39326</v>
      </c>
      <c r="W982">
        <f t="shared" si="47"/>
        <v>1</v>
      </c>
    </row>
    <row r="983" spans="1:23" x14ac:dyDescent="0.5">
      <c r="A983" s="54">
        <v>982</v>
      </c>
      <c r="B983" s="90" t="s">
        <v>334</v>
      </c>
      <c r="C983" t="s">
        <v>192</v>
      </c>
      <c r="D983" s="1"/>
      <c r="E983" s="113">
        <v>1976.04</v>
      </c>
      <c r="F983" s="113">
        <v>2022.1</v>
      </c>
      <c r="G983" s="107" t="s">
        <v>1481</v>
      </c>
      <c r="H983">
        <f>INDEX('GIS-Standards'!$A$2:$A$305,MATCH(B983,'GIS-Standards'!$B$2:$B$305,0))</f>
        <v>42</v>
      </c>
      <c r="I983" t="e">
        <f>INDEX('GIS-Standards'!$A$2:$A$305,MATCH(C983,'GIS-Standards'!$B$2:$B$305,0))</f>
        <v>#N/A</v>
      </c>
      <c r="J983" t="str">
        <f>INDEX('GIS-Standards'!$O$2:$O$305,MATCH(B983,'GIS-Standards'!$B$2:$B$305,0))</f>
        <v>ISO/TC 211</v>
      </c>
      <c r="K983" t="e">
        <f>INDEX('GIS-Standards'!$O$2:$O$305,MATCH(C983,'GIS-Standards'!$B$2:$B$305,0))</f>
        <v>#N/A</v>
      </c>
      <c r="M983" t="s">
        <v>524</v>
      </c>
      <c r="N983">
        <f>INDEX('GIS-Standards'!$I$2:$I$305,MATCH(B983,'GIS-Standards'!$B$2:$B$305,0))</f>
        <v>0</v>
      </c>
      <c r="O983" t="e">
        <f>INDEX('GIS-Standards'!$I$2:$I$305,MATCH(C983,'GIS-Standards'!$B$2:$B$305,0))</f>
        <v>#N/A</v>
      </c>
      <c r="P983" t="e">
        <f>AND(TableRelationships12[[#This Row],[Source Type]]="BIM",TableRelationships12[[#This Row],[Target Type]]="BIM")</f>
        <v>#N/A</v>
      </c>
      <c r="Q983">
        <f t="shared" si="45"/>
        <v>6</v>
      </c>
      <c r="S983">
        <f t="shared" si="46"/>
        <v>1</v>
      </c>
      <c r="T983" s="102" t="str">
        <f>IF(TableRelationships12[[#This Row],[Rank Pedro]]="Low","linkCategory1",IF(TableRelationships12[[#This Row],[Rank Pedro]]="Medium","linkCategory2",IF(TableRelationships12[[#This Row],[Rank Pedro]]="High","linkCategory3","")))</f>
        <v/>
      </c>
      <c r="U983" s="102" t="str">
        <f>IF(TableRelationships12[[#This Row],[Rank Pedro]]="Low","Pink",IF(TableRelationships12[[#This Row],[Rank Pedro]]="Medium","Purple",IF(TableRelationships12[[#This Row],[Rank Pedro]]="High","Brown","")))</f>
        <v/>
      </c>
      <c r="V983" s="4">
        <f>MAX(INDEX(Standards!$F$2:$F$296,MATCH(B983,Standards!$B$2:$B$296,0)),INDEX(Standards!$F$2:$F$296,MATCH(C983,Standards!$B$2:$B$296,0)))</f>
        <v>43466</v>
      </c>
      <c r="W983" t="str">
        <f t="shared" si="47"/>
        <v>#d6bf2a</v>
      </c>
    </row>
    <row r="984" spans="1:23" x14ac:dyDescent="0.5">
      <c r="A984" s="54">
        <v>983</v>
      </c>
      <c r="B984" s="90" t="s">
        <v>334</v>
      </c>
      <c r="C984" t="s">
        <v>194</v>
      </c>
      <c r="D984" s="1"/>
      <c r="E984" s="112">
        <v>1996.12</v>
      </c>
      <c r="F984" s="112">
        <v>2007.12</v>
      </c>
      <c r="G984" s="107" t="s">
        <v>1504</v>
      </c>
      <c r="H984">
        <f>INDEX('GIS-Standards'!$A$2:$A$305,MATCH(B984,'GIS-Standards'!$B$2:$B$305,0))</f>
        <v>42</v>
      </c>
      <c r="I984" t="e">
        <f>INDEX('GIS-Standards'!$A$2:$A$305,MATCH(C984,'GIS-Standards'!$B$2:$B$305,0))</f>
        <v>#N/A</v>
      </c>
      <c r="J984" t="str">
        <f>INDEX('GIS-Standards'!$O$2:$O$305,MATCH(B984,'GIS-Standards'!$B$2:$B$305,0))</f>
        <v>ISO/TC 211</v>
      </c>
      <c r="K984" t="e">
        <f>INDEX('GIS-Standards'!$O$2:$O$305,MATCH(C984,'GIS-Standards'!$B$2:$B$305,0))</f>
        <v>#N/A</v>
      </c>
      <c r="M984" t="s">
        <v>524</v>
      </c>
      <c r="N984">
        <f>INDEX('GIS-Standards'!$I$2:$I$305,MATCH(B984,'GIS-Standards'!$B$2:$B$305,0))</f>
        <v>0</v>
      </c>
      <c r="O984" t="e">
        <f>INDEX('GIS-Standards'!$I$2:$I$305,MATCH(C984,'GIS-Standards'!$B$2:$B$305,0))</f>
        <v>#N/A</v>
      </c>
      <c r="P984" t="e">
        <f>AND(TableRelationships12[[#This Row],[Source Type]]="BIM",TableRelationships12[[#This Row],[Target Type]]="BIM")</f>
        <v>#N/A</v>
      </c>
      <c r="Q984">
        <f t="shared" si="45"/>
        <v>6</v>
      </c>
      <c r="S984">
        <f t="shared" si="46"/>
        <v>1</v>
      </c>
      <c r="T984" s="102" t="str">
        <f>IF(TableRelationships12[[#This Row],[Rank Pedro]]="Low","linkCategory1",IF(TableRelationships12[[#This Row],[Rank Pedro]]="Medium","linkCategory2",IF(TableRelationships12[[#This Row],[Rank Pedro]]="High","linkCategory3","")))</f>
        <v/>
      </c>
      <c r="U984" s="102" t="str">
        <f>IF(TableRelationships12[[#This Row],[Rank Pedro]]="Low","Pink",IF(TableRelationships12[[#This Row],[Rank Pedro]]="Medium","Purple",IF(TableRelationships12[[#This Row],[Rank Pedro]]="High","Brown","")))</f>
        <v/>
      </c>
      <c r="V984" s="4">
        <f>MAX(INDEX(Standards!$F$2:$F$296,MATCH(B984,Standards!$B$2:$B$296,0)),INDEX(Standards!$F$2:$F$296,MATCH(C984,Standards!$B$2:$B$296,0)))</f>
        <v>39326</v>
      </c>
      <c r="W984" t="str">
        <f t="shared" si="47"/>
        <v>#d6bf2a</v>
      </c>
    </row>
    <row r="985" spans="1:23" x14ac:dyDescent="0.5">
      <c r="A985" s="54">
        <v>984</v>
      </c>
      <c r="B985" s="90" t="s">
        <v>334</v>
      </c>
      <c r="C985" t="s">
        <v>304</v>
      </c>
      <c r="D985" s="1"/>
      <c r="E985" s="112">
        <v>2002.09</v>
      </c>
      <c r="F985" s="112">
        <v>2006.1</v>
      </c>
      <c r="G985" s="107" t="s">
        <v>670</v>
      </c>
      <c r="H985">
        <f>INDEX('GIS-Standards'!$A$2:$A$305,MATCH(B985,'GIS-Standards'!$B$2:$B$305,0))</f>
        <v>42</v>
      </c>
      <c r="I985">
        <f>INDEX('GIS-Standards'!$A$2:$A$305,MATCH(C985,'GIS-Standards'!$B$2:$B$305,0))</f>
        <v>17</v>
      </c>
      <c r="J985" t="str">
        <f>INDEX('GIS-Standards'!$O$2:$O$305,MATCH(B985,'GIS-Standards'!$B$2:$B$305,0))</f>
        <v>ISO/TC 211</v>
      </c>
      <c r="K985" t="str">
        <f>INDEX('GIS-Standards'!$O$2:$O$305,MATCH(C985,'GIS-Standards'!$B$2:$B$305,0))</f>
        <v>ISO/TC 211</v>
      </c>
      <c r="M985" t="s">
        <v>524</v>
      </c>
      <c r="N985">
        <f>INDEX('GIS-Standards'!$I$2:$I$305,MATCH(B985,'GIS-Standards'!$B$2:$B$305,0))</f>
        <v>0</v>
      </c>
      <c r="O985" t="str">
        <f>INDEX('GIS-Standards'!$I$2:$I$305,MATCH(C985,'GIS-Standards'!$B$2:$B$305,0))</f>
        <v>06.2008</v>
      </c>
      <c r="P985" t="b">
        <f>AND(TableRelationships12[[#This Row],[Source Type]]="BIM",TableRelationships12[[#This Row],[Target Type]]="BIM")</f>
        <v>0</v>
      </c>
      <c r="Q985">
        <f t="shared" si="45"/>
        <v>6</v>
      </c>
      <c r="S985">
        <f t="shared" si="46"/>
        <v>1</v>
      </c>
      <c r="T985" s="102" t="str">
        <f>IF(TableRelationships12[[#This Row],[Rank Pedro]]="Low","linkCategory1",IF(TableRelationships12[[#This Row],[Rank Pedro]]="Medium","linkCategory2",IF(TableRelationships12[[#This Row],[Rank Pedro]]="High","linkCategory3","")))</f>
        <v/>
      </c>
      <c r="U985" s="102" t="str">
        <f>IF(TableRelationships12[[#This Row],[Rank Pedro]]="Low","Pink",IF(TableRelationships12[[#This Row],[Rank Pedro]]="Medium","Purple",IF(TableRelationships12[[#This Row],[Rank Pedro]]="High","Brown","")))</f>
        <v/>
      </c>
      <c r="V985" s="4">
        <f>MAX(INDEX(Standards!$F$2:$F$296,MATCH(B985,Standards!$B$2:$B$296,0)),INDEX(Standards!$F$2:$F$296,MATCH(C985,Standards!$B$2:$B$296,0)))</f>
        <v>39326</v>
      </c>
      <c r="W985" t="str">
        <f t="shared" si="47"/>
        <v>#d6bf2a</v>
      </c>
    </row>
    <row r="986" spans="1:23" x14ac:dyDescent="0.5">
      <c r="A986" s="54">
        <v>985</v>
      </c>
      <c r="B986" s="90" t="s">
        <v>334</v>
      </c>
      <c r="C986" t="s">
        <v>320</v>
      </c>
      <c r="D986" s="1" t="s">
        <v>1100</v>
      </c>
      <c r="E986" s="112">
        <v>2005.08</v>
      </c>
      <c r="F986" s="112">
        <v>2023.06</v>
      </c>
      <c r="G986" s="107" t="s">
        <v>670</v>
      </c>
      <c r="H986">
        <f>INDEX('GIS-Standards'!$A$2:$A$305,MATCH(B986,'GIS-Standards'!$B$2:$B$305,0))</f>
        <v>42</v>
      </c>
      <c r="I986">
        <f>INDEX('GIS-Standards'!$A$2:$A$305,MATCH(C986,'GIS-Standards'!$B$2:$B$305,0))</f>
        <v>29</v>
      </c>
      <c r="J986" t="str">
        <f>INDEX('GIS-Standards'!$O$2:$O$305,MATCH(B986,'GIS-Standards'!$B$2:$B$305,0))</f>
        <v>ISO/TC 211</v>
      </c>
      <c r="K986" t="str">
        <f>INDEX('GIS-Standards'!$O$2:$O$305,MATCH(C986,'GIS-Standards'!$B$2:$B$305,0))</f>
        <v>ISO/TC 211</v>
      </c>
      <c r="M986" t="s">
        <v>524</v>
      </c>
      <c r="N986">
        <f>INDEX('GIS-Standards'!$I$2:$I$305,MATCH(B986,'GIS-Standards'!$B$2:$B$305,0))</f>
        <v>0</v>
      </c>
      <c r="O986">
        <f>INDEX('GIS-Standards'!$I$2:$I$305,MATCH(C986,'GIS-Standards'!$B$2:$B$305,0))</f>
        <v>0</v>
      </c>
      <c r="P986" t="b">
        <f>AND(TableRelationships12[[#This Row],[Source Type]]="BIM",TableRelationships12[[#This Row],[Target Type]]="BIM")</f>
        <v>0</v>
      </c>
      <c r="Q986">
        <f t="shared" si="45"/>
        <v>6</v>
      </c>
      <c r="S986">
        <f t="shared" si="46"/>
        <v>1</v>
      </c>
      <c r="T986" s="102" t="str">
        <f>IF(TableRelationships12[[#This Row],[Rank Pedro]]="Low","linkCategory1",IF(TableRelationships12[[#This Row],[Rank Pedro]]="Medium","linkCategory2",IF(TableRelationships12[[#This Row],[Rank Pedro]]="High","linkCategory3","")))</f>
        <v/>
      </c>
      <c r="U986" s="102" t="str">
        <f>IF(TableRelationships12[[#This Row],[Rank Pedro]]="Low","Pink",IF(TableRelationships12[[#This Row],[Rank Pedro]]="Medium","Purple",IF(TableRelationships12[[#This Row],[Rank Pedro]]="High","Brown","")))</f>
        <v/>
      </c>
      <c r="V986" s="4">
        <f>MAX(INDEX(Standards!$F$2:$F$296,MATCH(B986,Standards!$B$2:$B$296,0)),INDEX(Standards!$F$2:$F$296,MATCH(C986,Standards!$B$2:$B$296,0)))</f>
        <v>39326</v>
      </c>
      <c r="W986" t="str">
        <f t="shared" si="47"/>
        <v>#d6bf2a</v>
      </c>
    </row>
    <row r="987" spans="1:23" x14ac:dyDescent="0.5">
      <c r="A987" s="54">
        <v>986</v>
      </c>
      <c r="B987" s="90" t="s">
        <v>334</v>
      </c>
      <c r="C987" t="s">
        <v>1139</v>
      </c>
      <c r="D987" s="1"/>
      <c r="E987" s="112">
        <v>2006.06</v>
      </c>
      <c r="F987" s="112">
        <v>2025.09</v>
      </c>
      <c r="G987" s="107" t="s">
        <v>1458</v>
      </c>
      <c r="H987">
        <f>INDEX('GIS-Standards'!$A$2:$A$305,MATCH(B987,'GIS-Standards'!$B$2:$B$305,0))</f>
        <v>42</v>
      </c>
      <c r="I987" t="e">
        <f>INDEX('GIS-Standards'!$A$2:$A$305,MATCH(C987,'GIS-Standards'!$B$2:$B$305,0))</f>
        <v>#N/A</v>
      </c>
      <c r="J987" t="str">
        <f>INDEX('GIS-Standards'!$O$2:$O$305,MATCH(B987,'GIS-Standards'!$B$2:$B$305,0))</f>
        <v>ISO/TC 211</v>
      </c>
      <c r="K987" t="e">
        <f>INDEX('GIS-Standards'!$O$2:$O$305,MATCH(C987,'GIS-Standards'!$B$2:$B$305,0))</f>
        <v>#N/A</v>
      </c>
      <c r="M987" t="s">
        <v>524</v>
      </c>
      <c r="N987">
        <f>INDEX('GIS-Standards'!$I$2:$I$305,MATCH(B987,'GIS-Standards'!$B$2:$B$305,0))</f>
        <v>0</v>
      </c>
      <c r="O987" t="e">
        <f>INDEX('GIS-Standards'!$I$2:$I$305,MATCH(C987,'GIS-Standards'!$B$2:$B$305,0))</f>
        <v>#N/A</v>
      </c>
      <c r="P987" t="e">
        <f>AND(TableRelationships12[[#This Row],[Source Type]]="BIM",TableRelationships12[[#This Row],[Target Type]]="BIM")</f>
        <v>#N/A</v>
      </c>
      <c r="Q987">
        <f t="shared" si="45"/>
        <v>6</v>
      </c>
      <c r="S987">
        <f t="shared" si="46"/>
        <v>1</v>
      </c>
      <c r="T987" s="102" t="str">
        <f>IF(TableRelationships12[[#This Row],[Rank Pedro]]="Low","linkCategory1",IF(TableRelationships12[[#This Row],[Rank Pedro]]="Medium","linkCategory2",IF(TableRelationships12[[#This Row],[Rank Pedro]]="High","linkCategory3","")))</f>
        <v/>
      </c>
      <c r="U987" s="102" t="str">
        <f>IF(TableRelationships12[[#This Row],[Rank Pedro]]="Low","Pink",IF(TableRelationships12[[#This Row],[Rank Pedro]]="Medium","Purple",IF(TableRelationships12[[#This Row],[Rank Pedro]]="High","Brown","")))</f>
        <v/>
      </c>
      <c r="V987" s="4" t="e">
        <f>MAX(INDEX(Standards!$F$2:$F$296,MATCH(B987,Standards!$B$2:$B$296,0)),INDEX(Standards!$F$2:$F$296,MATCH(C987,Standards!$B$2:$B$296,0)))</f>
        <v>#N/A</v>
      </c>
      <c r="W987" t="str">
        <f t="shared" si="47"/>
        <v>#d6bf2a</v>
      </c>
    </row>
    <row r="988" spans="1:23" x14ac:dyDescent="0.5">
      <c r="A988" s="54">
        <v>987</v>
      </c>
      <c r="B988" s="90" t="s">
        <v>334</v>
      </c>
      <c r="C988" t="s">
        <v>1077</v>
      </c>
      <c r="D988" s="1"/>
      <c r="E988" s="112">
        <v>1978.03</v>
      </c>
      <c r="F988" s="112">
        <v>2025.07</v>
      </c>
      <c r="G988" s="107" t="s">
        <v>1446</v>
      </c>
      <c r="H988">
        <f>INDEX('GIS-Standards'!$A$2:$A$305,MATCH(B988,'GIS-Standards'!$B$2:$B$305,0))</f>
        <v>42</v>
      </c>
      <c r="I988" t="e">
        <f>INDEX('GIS-Standards'!$A$2:$A$305,MATCH(C988,'GIS-Standards'!$B$2:$B$305,0))</f>
        <v>#N/A</v>
      </c>
      <c r="J988" t="str">
        <f>INDEX('GIS-Standards'!$O$2:$O$305,MATCH(B988,'GIS-Standards'!$B$2:$B$305,0))</f>
        <v>ISO/TC 211</v>
      </c>
      <c r="K988" t="e">
        <f>INDEX('GIS-Standards'!$O$2:$O$305,MATCH(C988,'GIS-Standards'!$B$2:$B$305,0))</f>
        <v>#N/A</v>
      </c>
      <c r="M988" t="s">
        <v>524</v>
      </c>
      <c r="N988">
        <f>INDEX('GIS-Standards'!$I$2:$I$305,MATCH(B988,'GIS-Standards'!$B$2:$B$305,0))</f>
        <v>0</v>
      </c>
      <c r="O988" t="e">
        <f>INDEX('GIS-Standards'!$I$2:$I$305,MATCH(C988,'GIS-Standards'!$B$2:$B$305,0))</f>
        <v>#N/A</v>
      </c>
      <c r="P988" t="e">
        <f>AND(TableRelationships12[[#This Row],[Source Type]]="BIM",TableRelationships12[[#This Row],[Target Type]]="BIM")</f>
        <v>#N/A</v>
      </c>
      <c r="Q988">
        <f t="shared" si="45"/>
        <v>6</v>
      </c>
      <c r="S988">
        <f t="shared" si="46"/>
        <v>1</v>
      </c>
      <c r="T988" s="102" t="str">
        <f>IF(TableRelationships12[[#This Row],[Rank Pedro]]="Low","linkCategory1",IF(TableRelationships12[[#This Row],[Rank Pedro]]="Medium","linkCategory2",IF(TableRelationships12[[#This Row],[Rank Pedro]]="High","linkCategory3","")))</f>
        <v/>
      </c>
      <c r="U988" s="102" t="str">
        <f>IF(TableRelationships12[[#This Row],[Rank Pedro]]="Low","Pink",IF(TableRelationships12[[#This Row],[Rank Pedro]]="Medium","Purple",IF(TableRelationships12[[#This Row],[Rank Pedro]]="High","Brown","")))</f>
        <v/>
      </c>
      <c r="V988" s="4" t="e">
        <f>MAX(INDEX(Standards!$F$2:$F$296,MATCH(B988,Standards!$B$2:$B$296,0)),INDEX(Standards!$F$2:$F$296,MATCH(C988,Standards!$B$2:$B$296,0)))</f>
        <v>#N/A</v>
      </c>
      <c r="W988" t="str">
        <f t="shared" si="47"/>
        <v>#d6bf2a</v>
      </c>
    </row>
    <row r="989" spans="1:23" x14ac:dyDescent="0.5">
      <c r="A989" s="54">
        <v>988</v>
      </c>
      <c r="B989" s="90" t="s">
        <v>334</v>
      </c>
      <c r="C989" t="s">
        <v>1178</v>
      </c>
      <c r="D989" s="1"/>
      <c r="E989" s="112">
        <v>1998.08</v>
      </c>
      <c r="G989" s="107"/>
      <c r="H989">
        <f>INDEX('GIS-Standards'!$A$2:$A$305,MATCH(B989,'GIS-Standards'!$B$2:$B$305,0))</f>
        <v>42</v>
      </c>
      <c r="I989" t="e">
        <f>INDEX('GIS-Standards'!$A$2:$A$305,MATCH(C989,'GIS-Standards'!$B$2:$B$305,0))</f>
        <v>#N/A</v>
      </c>
      <c r="J989" t="str">
        <f>INDEX('GIS-Standards'!$O$2:$O$305,MATCH(B989,'GIS-Standards'!$B$2:$B$305,0))</f>
        <v>ISO/TC 211</v>
      </c>
      <c r="K989" t="e">
        <f>INDEX('GIS-Standards'!$O$2:$O$305,MATCH(C989,'GIS-Standards'!$B$2:$B$305,0))</f>
        <v>#N/A</v>
      </c>
      <c r="M989" t="s">
        <v>524</v>
      </c>
      <c r="N989">
        <f>INDEX('GIS-Standards'!$I$2:$I$305,MATCH(B989,'GIS-Standards'!$B$2:$B$305,0))</f>
        <v>0</v>
      </c>
      <c r="O989" t="e">
        <f>INDEX('GIS-Standards'!$I$2:$I$305,MATCH(C989,'GIS-Standards'!$B$2:$B$305,0))</f>
        <v>#N/A</v>
      </c>
      <c r="P989" t="e">
        <f>AND(TableRelationships12[[#This Row],[Source Type]]="BIM",TableRelationships12[[#This Row],[Target Type]]="BIM")</f>
        <v>#N/A</v>
      </c>
      <c r="Q989">
        <f t="shared" si="45"/>
        <v>6</v>
      </c>
      <c r="S989">
        <f t="shared" si="46"/>
        <v>1</v>
      </c>
      <c r="T989" s="102" t="str">
        <f>IF(TableRelationships12[[#This Row],[Rank Pedro]]="Low","linkCategory1",IF(TableRelationships12[[#This Row],[Rank Pedro]]="Medium","linkCategory2",IF(TableRelationships12[[#This Row],[Rank Pedro]]="High","linkCategory3","")))</f>
        <v/>
      </c>
      <c r="U989" s="102" t="str">
        <f>IF(TableRelationships12[[#This Row],[Rank Pedro]]="Low","Pink",IF(TableRelationships12[[#This Row],[Rank Pedro]]="Medium","Purple",IF(TableRelationships12[[#This Row],[Rank Pedro]]="High","Brown","")))</f>
        <v/>
      </c>
      <c r="V989" s="4" t="e">
        <f>MAX(INDEX(Standards!$F$2:$F$296,MATCH(B989,Standards!$B$2:$B$296,0)),INDEX(Standards!$F$2:$F$296,MATCH(C989,Standards!$B$2:$B$296,0)))</f>
        <v>#N/A</v>
      </c>
      <c r="W989" t="str">
        <f t="shared" si="47"/>
        <v>#d6bf2a</v>
      </c>
    </row>
    <row r="990" spans="1:23" x14ac:dyDescent="0.5">
      <c r="A990" s="54">
        <v>989</v>
      </c>
      <c r="B990" s="90" t="s">
        <v>334</v>
      </c>
      <c r="C990" t="s">
        <v>1596</v>
      </c>
      <c r="D990" s="1"/>
      <c r="G990" s="107"/>
      <c r="H990">
        <f>INDEX('GIS-Standards'!$A$2:$A$305,MATCH(B990,'GIS-Standards'!$B$2:$B$305,0))</f>
        <v>42</v>
      </c>
      <c r="I990" t="e">
        <f>INDEX('GIS-Standards'!$A$2:$A$305,MATCH(C990,'GIS-Standards'!$B$2:$B$305,0))</f>
        <v>#N/A</v>
      </c>
      <c r="J990" t="str">
        <f>INDEX('GIS-Standards'!$O$2:$O$305,MATCH(B990,'GIS-Standards'!$B$2:$B$305,0))</f>
        <v>ISO/TC 211</v>
      </c>
      <c r="K990" t="e">
        <f>INDEX('GIS-Standards'!$O$2:$O$305,MATCH(C990,'GIS-Standards'!$B$2:$B$305,0))</f>
        <v>#N/A</v>
      </c>
      <c r="M990" t="s">
        <v>524</v>
      </c>
      <c r="N990">
        <f>INDEX('GIS-Standards'!$I$2:$I$305,MATCH(B990,'GIS-Standards'!$B$2:$B$305,0))</f>
        <v>0</v>
      </c>
      <c r="O990" t="e">
        <f>INDEX('GIS-Standards'!$I$2:$I$305,MATCH(C990,'GIS-Standards'!$B$2:$B$305,0))</f>
        <v>#N/A</v>
      </c>
      <c r="P990" t="e">
        <f>AND(TableRelationships12[[#This Row],[Source Type]]="BIM",TableRelationships12[[#This Row],[Target Type]]="BIM")</f>
        <v>#N/A</v>
      </c>
      <c r="Q990">
        <f t="shared" si="45"/>
        <v>6</v>
      </c>
      <c r="S990">
        <f t="shared" si="46"/>
        <v>1</v>
      </c>
      <c r="T990" s="102" t="str">
        <f>IF(TableRelationships12[[#This Row],[Rank Pedro]]="Low","linkCategory1",IF(TableRelationships12[[#This Row],[Rank Pedro]]="Medium","linkCategory2",IF(TableRelationships12[[#This Row],[Rank Pedro]]="High","linkCategory3","")))</f>
        <v/>
      </c>
      <c r="U990" s="102" t="str">
        <f>IF(TableRelationships12[[#This Row],[Rank Pedro]]="Low","Pink",IF(TableRelationships12[[#This Row],[Rank Pedro]]="Medium","Purple",IF(TableRelationships12[[#This Row],[Rank Pedro]]="High","Brown","")))</f>
        <v/>
      </c>
      <c r="V990" s="4" t="e">
        <f>MAX(INDEX(Standards!$F$2:$F$296,MATCH(B990,Standards!$B$2:$B$296,0)),INDEX(Standards!$F$2:$F$296,MATCH(C990,Standards!$B$2:$B$296,0)))</f>
        <v>#N/A</v>
      </c>
      <c r="W990" t="str">
        <f t="shared" si="47"/>
        <v>#d6bf2a</v>
      </c>
    </row>
    <row r="991" spans="1:23" x14ac:dyDescent="0.5">
      <c r="A991" s="54">
        <v>990</v>
      </c>
      <c r="B991" s="90" t="s">
        <v>334</v>
      </c>
      <c r="C991" t="s">
        <v>1595</v>
      </c>
      <c r="D991" s="1"/>
      <c r="G991" s="107"/>
      <c r="H991">
        <f>INDEX('GIS-Standards'!$A$2:$A$305,MATCH(B991,'GIS-Standards'!$B$2:$B$305,0))</f>
        <v>42</v>
      </c>
      <c r="I991" t="e">
        <f>INDEX('GIS-Standards'!$A$2:$A$305,MATCH(C991,'GIS-Standards'!$B$2:$B$305,0))</f>
        <v>#N/A</v>
      </c>
      <c r="J991" t="str">
        <f>INDEX('GIS-Standards'!$O$2:$O$305,MATCH(B991,'GIS-Standards'!$B$2:$B$305,0))</f>
        <v>ISO/TC 211</v>
      </c>
      <c r="K991" t="e">
        <f>INDEX('GIS-Standards'!$O$2:$O$305,MATCH(C991,'GIS-Standards'!$B$2:$B$305,0))</f>
        <v>#N/A</v>
      </c>
      <c r="M991" t="s">
        <v>524</v>
      </c>
      <c r="N991">
        <f>INDEX('GIS-Standards'!$I$2:$I$305,MATCH(B991,'GIS-Standards'!$B$2:$B$305,0))</f>
        <v>0</v>
      </c>
      <c r="O991" t="e">
        <f>INDEX('GIS-Standards'!$I$2:$I$305,MATCH(C991,'GIS-Standards'!$B$2:$B$305,0))</f>
        <v>#N/A</v>
      </c>
      <c r="P991" t="e">
        <f>AND(TableRelationships12[[#This Row],[Source Type]]="BIM",TableRelationships12[[#This Row],[Target Type]]="BIM")</f>
        <v>#N/A</v>
      </c>
      <c r="Q991">
        <f t="shared" si="45"/>
        <v>6</v>
      </c>
      <c r="S991">
        <f t="shared" si="46"/>
        <v>1</v>
      </c>
      <c r="T991" s="102" t="str">
        <f>IF(TableRelationships12[[#This Row],[Rank Pedro]]="Low","linkCategory1",IF(TableRelationships12[[#This Row],[Rank Pedro]]="Medium","linkCategory2",IF(TableRelationships12[[#This Row],[Rank Pedro]]="High","linkCategory3","")))</f>
        <v/>
      </c>
      <c r="U991" s="102" t="str">
        <f>IF(TableRelationships12[[#This Row],[Rank Pedro]]="Low","Pink",IF(TableRelationships12[[#This Row],[Rank Pedro]]="Medium","Purple",IF(TableRelationships12[[#This Row],[Rank Pedro]]="High","Brown","")))</f>
        <v/>
      </c>
      <c r="V991" s="4" t="e">
        <f>MAX(INDEX(Standards!$F$2:$F$296,MATCH(B991,Standards!$B$2:$B$296,0)),INDEX(Standards!$F$2:$F$296,MATCH(C991,Standards!$B$2:$B$296,0)))</f>
        <v>#N/A</v>
      </c>
      <c r="W991" t="str">
        <f t="shared" si="47"/>
        <v>#d6bf2a</v>
      </c>
    </row>
    <row r="992" spans="1:23" x14ac:dyDescent="0.5">
      <c r="A992" s="54">
        <v>991</v>
      </c>
      <c r="B992" s="90" t="s">
        <v>334</v>
      </c>
      <c r="C992" t="s">
        <v>1594</v>
      </c>
      <c r="D992" s="1"/>
      <c r="G992" s="107"/>
      <c r="H992">
        <f>INDEX('GIS-Standards'!$A$2:$A$305,MATCH(B992,'GIS-Standards'!$B$2:$B$305,0))</f>
        <v>42</v>
      </c>
      <c r="I992" t="e">
        <f>INDEX('GIS-Standards'!$A$2:$A$305,MATCH(C992,'GIS-Standards'!$B$2:$B$305,0))</f>
        <v>#N/A</v>
      </c>
      <c r="J992" t="str">
        <f>INDEX('GIS-Standards'!$O$2:$O$305,MATCH(B992,'GIS-Standards'!$B$2:$B$305,0))</f>
        <v>ISO/TC 211</v>
      </c>
      <c r="K992" t="e">
        <f>INDEX('GIS-Standards'!$O$2:$O$305,MATCH(C992,'GIS-Standards'!$B$2:$B$305,0))</f>
        <v>#N/A</v>
      </c>
      <c r="M992" t="s">
        <v>524</v>
      </c>
      <c r="N992">
        <f>INDEX('GIS-Standards'!$I$2:$I$305,MATCH(B992,'GIS-Standards'!$B$2:$B$305,0))</f>
        <v>0</v>
      </c>
      <c r="O992" t="e">
        <f>INDEX('GIS-Standards'!$I$2:$I$305,MATCH(C992,'GIS-Standards'!$B$2:$B$305,0))</f>
        <v>#N/A</v>
      </c>
      <c r="P992" t="e">
        <f>AND(TableRelationships12[[#This Row],[Source Type]]="BIM",TableRelationships12[[#This Row],[Target Type]]="BIM")</f>
        <v>#N/A</v>
      </c>
      <c r="Q992">
        <f t="shared" si="45"/>
        <v>6</v>
      </c>
      <c r="S992">
        <f t="shared" si="46"/>
        <v>1</v>
      </c>
      <c r="T992" s="102" t="str">
        <f>IF(TableRelationships12[[#This Row],[Rank Pedro]]="Low","linkCategory1",IF(TableRelationships12[[#This Row],[Rank Pedro]]="Medium","linkCategory2",IF(TableRelationships12[[#This Row],[Rank Pedro]]="High","linkCategory3","")))</f>
        <v/>
      </c>
      <c r="U992" s="102" t="str">
        <f>IF(TableRelationships12[[#This Row],[Rank Pedro]]="Low","Pink",IF(TableRelationships12[[#This Row],[Rank Pedro]]="Medium","Purple",IF(TableRelationships12[[#This Row],[Rank Pedro]]="High","Brown","")))</f>
        <v/>
      </c>
      <c r="V992" s="4" t="e">
        <f>MAX(INDEX(Standards!$F$2:$F$296,MATCH(B992,Standards!$B$2:$B$296,0)),INDEX(Standards!$F$2:$F$296,MATCH(C992,Standards!$B$2:$B$296,0)))</f>
        <v>#N/A</v>
      </c>
      <c r="W992" t="str">
        <f t="shared" si="47"/>
        <v>#d6bf2a</v>
      </c>
    </row>
    <row r="993" spans="1:23" x14ac:dyDescent="0.5">
      <c r="A993" s="54">
        <v>992</v>
      </c>
      <c r="B993" s="90" t="s">
        <v>334</v>
      </c>
      <c r="C993" t="s">
        <v>1141</v>
      </c>
      <c r="D993" s="1"/>
      <c r="G993" s="107"/>
      <c r="H993">
        <f>INDEX('GIS-Standards'!$A$2:$A$305,MATCH(B993,'GIS-Standards'!$B$2:$B$305,0))</f>
        <v>42</v>
      </c>
      <c r="I993" t="e">
        <f>INDEX('GIS-Standards'!$A$2:$A$305,MATCH(C993,'GIS-Standards'!$B$2:$B$305,0))</f>
        <v>#N/A</v>
      </c>
      <c r="J993" t="str">
        <f>INDEX('GIS-Standards'!$O$2:$O$305,MATCH(B993,'GIS-Standards'!$B$2:$B$305,0))</f>
        <v>ISO/TC 211</v>
      </c>
      <c r="K993" t="e">
        <f>INDEX('GIS-Standards'!$O$2:$O$305,MATCH(C993,'GIS-Standards'!$B$2:$B$305,0))</f>
        <v>#N/A</v>
      </c>
      <c r="M993" t="s">
        <v>524</v>
      </c>
      <c r="N993">
        <f>INDEX('GIS-Standards'!$I$2:$I$305,MATCH(B993,'GIS-Standards'!$B$2:$B$305,0))</f>
        <v>0</v>
      </c>
      <c r="O993" t="e">
        <f>INDEX('GIS-Standards'!$I$2:$I$305,MATCH(C993,'GIS-Standards'!$B$2:$B$305,0))</f>
        <v>#N/A</v>
      </c>
      <c r="P993" t="e">
        <f>AND(TableRelationships12[[#This Row],[Source Type]]="BIM",TableRelationships12[[#This Row],[Target Type]]="BIM")</f>
        <v>#N/A</v>
      </c>
      <c r="Q993">
        <f t="shared" si="45"/>
        <v>6</v>
      </c>
      <c r="S993">
        <f t="shared" si="46"/>
        <v>1</v>
      </c>
      <c r="T993" s="102" t="str">
        <f>IF(TableRelationships12[[#This Row],[Rank Pedro]]="Low","linkCategory1",IF(TableRelationships12[[#This Row],[Rank Pedro]]="Medium","linkCategory2",IF(TableRelationships12[[#This Row],[Rank Pedro]]="High","linkCategory3","")))</f>
        <v/>
      </c>
      <c r="U993" s="102" t="str">
        <f>IF(TableRelationships12[[#This Row],[Rank Pedro]]="Low","Pink",IF(TableRelationships12[[#This Row],[Rank Pedro]]="Medium","Purple",IF(TableRelationships12[[#This Row],[Rank Pedro]]="High","Brown","")))</f>
        <v/>
      </c>
      <c r="V993" s="4" t="e">
        <f>MAX(INDEX(Standards!$F$2:$F$296,MATCH(B993,Standards!$B$2:$B$296,0)),INDEX(Standards!$F$2:$F$296,MATCH(C993,Standards!$B$2:$B$296,0)))</f>
        <v>#N/A</v>
      </c>
      <c r="W993" t="str">
        <f t="shared" si="47"/>
        <v>#d6bf2a</v>
      </c>
    </row>
    <row r="994" spans="1:23" x14ac:dyDescent="0.5">
      <c r="A994" s="54">
        <v>993</v>
      </c>
      <c r="B994" s="90" t="s">
        <v>334</v>
      </c>
      <c r="C994" t="s">
        <v>1142</v>
      </c>
      <c r="D994" s="1"/>
      <c r="G994" s="107"/>
      <c r="H994">
        <f>INDEX('GIS-Standards'!$A$2:$A$305,MATCH(B994,'GIS-Standards'!$B$2:$B$305,0))</f>
        <v>42</v>
      </c>
      <c r="I994" t="e">
        <f>INDEX('GIS-Standards'!$A$2:$A$305,MATCH(C994,'GIS-Standards'!$B$2:$B$305,0))</f>
        <v>#N/A</v>
      </c>
      <c r="J994" t="str">
        <f>INDEX('GIS-Standards'!$O$2:$O$305,MATCH(B994,'GIS-Standards'!$B$2:$B$305,0))</f>
        <v>ISO/TC 211</v>
      </c>
      <c r="K994" t="e">
        <f>INDEX('GIS-Standards'!$O$2:$O$305,MATCH(C994,'GIS-Standards'!$B$2:$B$305,0))</f>
        <v>#N/A</v>
      </c>
      <c r="M994" t="s">
        <v>524</v>
      </c>
      <c r="N994">
        <f>INDEX('GIS-Standards'!$I$2:$I$305,MATCH(B994,'GIS-Standards'!$B$2:$B$305,0))</f>
        <v>0</v>
      </c>
      <c r="O994" t="e">
        <f>INDEX('GIS-Standards'!$I$2:$I$305,MATCH(C994,'GIS-Standards'!$B$2:$B$305,0))</f>
        <v>#N/A</v>
      </c>
      <c r="P994" t="e">
        <f>AND(TableRelationships12[[#This Row],[Source Type]]="BIM",TableRelationships12[[#This Row],[Target Type]]="BIM")</f>
        <v>#N/A</v>
      </c>
      <c r="Q994">
        <f t="shared" si="45"/>
        <v>6</v>
      </c>
      <c r="S994">
        <f t="shared" si="46"/>
        <v>1</v>
      </c>
      <c r="T994" s="102" t="str">
        <f>IF(TableRelationships12[[#This Row],[Rank Pedro]]="Low","linkCategory1",IF(TableRelationships12[[#This Row],[Rank Pedro]]="Medium","linkCategory2",IF(TableRelationships12[[#This Row],[Rank Pedro]]="High","linkCategory3","")))</f>
        <v/>
      </c>
      <c r="U994" s="102" t="str">
        <f>IF(TableRelationships12[[#This Row],[Rank Pedro]]="Low","Pink",IF(TableRelationships12[[#This Row],[Rank Pedro]]="Medium","Purple",IF(TableRelationships12[[#This Row],[Rank Pedro]]="High","Brown","")))</f>
        <v/>
      </c>
      <c r="V994" s="4" t="e">
        <f>MAX(INDEX(Standards!$F$2:$F$296,MATCH(B994,Standards!$B$2:$B$296,0)),INDEX(Standards!$F$2:$F$296,MATCH(C994,Standards!$B$2:$B$296,0)))</f>
        <v>#N/A</v>
      </c>
      <c r="W994" t="str">
        <f t="shared" si="47"/>
        <v>#d6bf2a</v>
      </c>
    </row>
    <row r="995" spans="1:23" x14ac:dyDescent="0.5">
      <c r="A995" s="54">
        <v>994</v>
      </c>
      <c r="B995" s="90" t="s">
        <v>334</v>
      </c>
      <c r="C995" t="s">
        <v>1134</v>
      </c>
      <c r="D995" s="1"/>
      <c r="E995" s="112">
        <v>1986.1</v>
      </c>
      <c r="F995" s="112">
        <v>1988.07</v>
      </c>
      <c r="G995" s="107" t="s">
        <v>1458</v>
      </c>
      <c r="H995">
        <f>INDEX('GIS-Standards'!$A$2:$A$305,MATCH(B995,'GIS-Standards'!$B$2:$B$305,0))</f>
        <v>42</v>
      </c>
      <c r="I995" t="e">
        <f>INDEX('GIS-Standards'!$A$2:$A$305,MATCH(C995,'GIS-Standards'!$B$2:$B$305,0))</f>
        <v>#N/A</v>
      </c>
      <c r="J995" t="str">
        <f>INDEX('GIS-Standards'!$O$2:$O$305,MATCH(B995,'GIS-Standards'!$B$2:$B$305,0))</f>
        <v>ISO/TC 211</v>
      </c>
      <c r="K995" t="e">
        <f>INDEX('GIS-Standards'!$O$2:$O$305,MATCH(C995,'GIS-Standards'!$B$2:$B$305,0))</f>
        <v>#N/A</v>
      </c>
      <c r="M995" t="s">
        <v>525</v>
      </c>
      <c r="N995">
        <f>INDEX('GIS-Standards'!$I$2:$I$305,MATCH(B995,'GIS-Standards'!$B$2:$B$305,0))</f>
        <v>0</v>
      </c>
      <c r="O995" t="e">
        <f>INDEX('GIS-Standards'!$I$2:$I$305,MATCH(C995,'GIS-Standards'!$B$2:$B$305,0))</f>
        <v>#N/A</v>
      </c>
      <c r="P995" t="e">
        <f>AND(TableRelationships12[[#This Row],[Source Type]]="BIM",TableRelationships12[[#This Row],[Target Type]]="BIM")</f>
        <v>#N/A</v>
      </c>
      <c r="Q995">
        <f t="shared" si="45"/>
        <v>1</v>
      </c>
      <c r="S995">
        <f t="shared" si="46"/>
        <v>1</v>
      </c>
      <c r="T995" s="102" t="str">
        <f>IF(TableRelationships12[[#This Row],[Rank Pedro]]="Low","linkCategory1",IF(TableRelationships12[[#This Row],[Rank Pedro]]="Medium","linkCategory2",IF(TableRelationships12[[#This Row],[Rank Pedro]]="High","linkCategory3","")))</f>
        <v/>
      </c>
      <c r="U995" s="102" t="str">
        <f>IF(TableRelationships12[[#This Row],[Rank Pedro]]="Low","Pink",IF(TableRelationships12[[#This Row],[Rank Pedro]]="Medium","Purple",IF(TableRelationships12[[#This Row],[Rank Pedro]]="High","Brown","")))</f>
        <v/>
      </c>
      <c r="V995" s="4" t="e">
        <f>MAX(INDEX(Standards!$F$2:$F$296,MATCH(B995,Standards!$B$2:$B$296,0)),INDEX(Standards!$F$2:$F$296,MATCH(C995,Standards!$B$2:$B$296,0)))</f>
        <v>#N/A</v>
      </c>
      <c r="W995" t="str">
        <f t="shared" si="47"/>
        <v>#2f89d1</v>
      </c>
    </row>
    <row r="996" spans="1:23" x14ac:dyDescent="0.5">
      <c r="A996" s="54">
        <v>995</v>
      </c>
      <c r="B996" s="90" t="s">
        <v>334</v>
      </c>
      <c r="C996" t="s">
        <v>1071</v>
      </c>
      <c r="D996" s="1"/>
      <c r="E996" s="112">
        <v>1990.05</v>
      </c>
      <c r="F996" s="112">
        <v>1998.11</v>
      </c>
      <c r="G996" s="107" t="s">
        <v>1521</v>
      </c>
      <c r="H996">
        <f>INDEX('GIS-Standards'!$A$2:$A$305,MATCH(B996,'GIS-Standards'!$B$2:$B$305,0))</f>
        <v>42</v>
      </c>
      <c r="I996" t="e">
        <f>INDEX('GIS-Standards'!$A$2:$A$305,MATCH(C996,'GIS-Standards'!$B$2:$B$305,0))</f>
        <v>#N/A</v>
      </c>
      <c r="J996" t="str">
        <f>INDEX('GIS-Standards'!$O$2:$O$305,MATCH(B996,'GIS-Standards'!$B$2:$B$305,0))</f>
        <v>ISO/TC 211</v>
      </c>
      <c r="K996" t="e">
        <f>INDEX('GIS-Standards'!$O$2:$O$305,MATCH(C996,'GIS-Standards'!$B$2:$B$305,0))</f>
        <v>#N/A</v>
      </c>
      <c r="M996" t="s">
        <v>525</v>
      </c>
      <c r="N996">
        <f>INDEX('GIS-Standards'!$I$2:$I$305,MATCH(B996,'GIS-Standards'!$B$2:$B$305,0))</f>
        <v>0</v>
      </c>
      <c r="O996" t="e">
        <f>INDEX('GIS-Standards'!$I$2:$I$305,MATCH(C996,'GIS-Standards'!$B$2:$B$305,0))</f>
        <v>#N/A</v>
      </c>
      <c r="P996" t="e">
        <f>AND(TableRelationships12[[#This Row],[Source Type]]="BIM",TableRelationships12[[#This Row],[Target Type]]="BIM")</f>
        <v>#N/A</v>
      </c>
      <c r="Q996">
        <f t="shared" si="45"/>
        <v>1</v>
      </c>
      <c r="S996">
        <f t="shared" si="46"/>
        <v>1</v>
      </c>
      <c r="T996" s="102" t="str">
        <f>IF(TableRelationships12[[#This Row],[Rank Pedro]]="Low","linkCategory1",IF(TableRelationships12[[#This Row],[Rank Pedro]]="Medium","linkCategory2",IF(TableRelationships12[[#This Row],[Rank Pedro]]="High","linkCategory3","")))</f>
        <v/>
      </c>
      <c r="U996" s="102" t="str">
        <f>IF(TableRelationships12[[#This Row],[Rank Pedro]]="Low","Pink",IF(TableRelationships12[[#This Row],[Rank Pedro]]="Medium","Purple",IF(TableRelationships12[[#This Row],[Rank Pedro]]="High","Brown","")))</f>
        <v/>
      </c>
      <c r="V996" s="4" t="e">
        <f>MAX(INDEX(Standards!$F$2:$F$296,MATCH(B996,Standards!$B$2:$B$296,0)),INDEX(Standards!$F$2:$F$296,MATCH(C996,Standards!$B$2:$B$296,0)))</f>
        <v>#N/A</v>
      </c>
      <c r="W996" t="str">
        <f t="shared" si="47"/>
        <v>#2f89d1</v>
      </c>
    </row>
    <row r="997" spans="1:23" x14ac:dyDescent="0.5">
      <c r="A997" s="54">
        <v>996</v>
      </c>
      <c r="B997" s="90" t="s">
        <v>334</v>
      </c>
      <c r="C997" t="s">
        <v>293</v>
      </c>
      <c r="D997" s="1" t="s">
        <v>1127</v>
      </c>
      <c r="E997" s="112">
        <v>2002.07</v>
      </c>
      <c r="F997" s="112">
        <v>2014.11</v>
      </c>
      <c r="G997" s="107" t="s">
        <v>670</v>
      </c>
      <c r="H997">
        <f>INDEX('GIS-Standards'!$A$2:$A$305,MATCH(B997,'GIS-Standards'!$B$2:$B$305,0))</f>
        <v>42</v>
      </c>
      <c r="I997">
        <f>INDEX('GIS-Standards'!$A$2:$A$305,MATCH(C997,'GIS-Standards'!$B$2:$B$305,0))</f>
        <v>10</v>
      </c>
      <c r="J997" t="str">
        <f>INDEX('GIS-Standards'!$O$2:$O$305,MATCH(B997,'GIS-Standards'!$B$2:$B$305,0))</f>
        <v>ISO/TC 211</v>
      </c>
      <c r="K997" t="str">
        <f>INDEX('GIS-Standards'!$O$2:$O$305,MATCH(C997,'GIS-Standards'!$B$2:$B$305,0))</f>
        <v>ISO/TC 211</v>
      </c>
      <c r="M997" t="s">
        <v>525</v>
      </c>
      <c r="N997">
        <f>INDEX('GIS-Standards'!$I$2:$I$305,MATCH(B997,'GIS-Standards'!$B$2:$B$305,0))</f>
        <v>0</v>
      </c>
      <c r="O997">
        <f>INDEX('GIS-Standards'!$I$2:$I$305,MATCH(C997,'GIS-Standards'!$B$2:$B$305,0))</f>
        <v>0</v>
      </c>
      <c r="P997" t="b">
        <f>AND(TableRelationships12[[#This Row],[Source Type]]="BIM",TableRelationships12[[#This Row],[Target Type]]="BIM")</f>
        <v>0</v>
      </c>
      <c r="Q997">
        <f t="shared" si="45"/>
        <v>1</v>
      </c>
      <c r="S997">
        <f t="shared" si="46"/>
        <v>1</v>
      </c>
      <c r="T997" s="102" t="str">
        <f>IF(TableRelationships12[[#This Row],[Rank Pedro]]="Low","linkCategory1",IF(TableRelationships12[[#This Row],[Rank Pedro]]="Medium","linkCategory2",IF(TableRelationships12[[#This Row],[Rank Pedro]]="High","linkCategory3","")))</f>
        <v/>
      </c>
      <c r="U997" s="102" t="str">
        <f>IF(TableRelationships12[[#This Row],[Rank Pedro]]="Low","Pink",IF(TableRelationships12[[#This Row],[Rank Pedro]]="Medium","Purple",IF(TableRelationships12[[#This Row],[Rank Pedro]]="High","Brown","")))</f>
        <v/>
      </c>
      <c r="V997" s="4">
        <f>MAX(INDEX(Standards!$F$2:$F$296,MATCH(B997,Standards!$B$2:$B$296,0)),INDEX(Standards!$F$2:$F$296,MATCH(C997,Standards!$B$2:$B$296,0)))</f>
        <v>39326</v>
      </c>
      <c r="W997" t="str">
        <f t="shared" si="47"/>
        <v>#2f89d1</v>
      </c>
    </row>
    <row r="998" spans="1:23" x14ac:dyDescent="0.5">
      <c r="A998" s="54">
        <v>997</v>
      </c>
      <c r="B998" s="90" t="s">
        <v>334</v>
      </c>
      <c r="C998" t="s">
        <v>300</v>
      </c>
      <c r="D998" s="1"/>
      <c r="E998" s="112">
        <v>2000.12</v>
      </c>
      <c r="F998" s="112">
        <v>2022.07</v>
      </c>
      <c r="G998" s="107" t="s">
        <v>670</v>
      </c>
      <c r="H998">
        <f>INDEX('GIS-Standards'!$A$2:$A$305,MATCH(B998,'GIS-Standards'!$B$2:$B$305,0))</f>
        <v>42</v>
      </c>
      <c r="I998">
        <f>INDEX('GIS-Standards'!$A$2:$A$305,MATCH(C998,'GIS-Standards'!$B$2:$B$305,0))</f>
        <v>14</v>
      </c>
      <c r="J998" t="str">
        <f>INDEX('GIS-Standards'!$O$2:$O$305,MATCH(B998,'GIS-Standards'!$B$2:$B$305,0))</f>
        <v>ISO/TC 211</v>
      </c>
      <c r="K998" t="str">
        <f>INDEX('GIS-Standards'!$O$2:$O$305,MATCH(C998,'GIS-Standards'!$B$2:$B$305,0))</f>
        <v>ISO/TC 211</v>
      </c>
      <c r="M998" t="s">
        <v>525</v>
      </c>
      <c r="N998">
        <f>INDEX('GIS-Standards'!$I$2:$I$305,MATCH(B998,'GIS-Standards'!$B$2:$B$305,0))</f>
        <v>0</v>
      </c>
      <c r="O998">
        <f>INDEX('GIS-Standards'!$I$2:$I$305,MATCH(C998,'GIS-Standards'!$B$2:$B$305,0))</f>
        <v>0</v>
      </c>
      <c r="P998" t="b">
        <f>AND(TableRelationships12[[#This Row],[Source Type]]="BIM",TableRelationships12[[#This Row],[Target Type]]="BIM")</f>
        <v>0</v>
      </c>
      <c r="Q998">
        <f t="shared" si="45"/>
        <v>1</v>
      </c>
      <c r="S998">
        <f t="shared" si="46"/>
        <v>1</v>
      </c>
      <c r="T998" s="102" t="str">
        <f>IF(TableRelationships12[[#This Row],[Rank Pedro]]="Low","linkCategory1",IF(TableRelationships12[[#This Row],[Rank Pedro]]="Medium","linkCategory2",IF(TableRelationships12[[#This Row],[Rank Pedro]]="High","linkCategory3","")))</f>
        <v/>
      </c>
      <c r="U998" s="102" t="str">
        <f>IF(TableRelationships12[[#This Row],[Rank Pedro]]="Low","Pink",IF(TableRelationships12[[#This Row],[Rank Pedro]]="Medium","Purple",IF(TableRelationships12[[#This Row],[Rank Pedro]]="High","Brown","")))</f>
        <v/>
      </c>
      <c r="V998" s="4">
        <f>MAX(INDEX(Standards!$F$2:$F$296,MATCH(B998,Standards!$B$2:$B$296,0)),INDEX(Standards!$F$2:$F$296,MATCH(C998,Standards!$B$2:$B$296,0)))</f>
        <v>39326</v>
      </c>
      <c r="W998" t="str">
        <f t="shared" si="47"/>
        <v>#2f89d1</v>
      </c>
    </row>
    <row r="999" spans="1:23" x14ac:dyDescent="0.5">
      <c r="A999" s="54">
        <v>998</v>
      </c>
      <c r="B999" s="90" t="s">
        <v>334</v>
      </c>
      <c r="C999" t="s">
        <v>1040</v>
      </c>
      <c r="D999" s="1"/>
      <c r="E999" s="112">
        <v>2004.07</v>
      </c>
      <c r="F999" s="112">
        <v>2004.07</v>
      </c>
      <c r="G999" s="107" t="s">
        <v>670</v>
      </c>
      <c r="H999">
        <f>INDEX('GIS-Standards'!$A$2:$A$305,MATCH(B999,'GIS-Standards'!$B$2:$B$305,0))</f>
        <v>42</v>
      </c>
      <c r="I999">
        <f>INDEX('GIS-Standards'!$A$2:$A$305,MATCH(C999,'GIS-Standards'!$B$2:$B$305,0))</f>
        <v>15</v>
      </c>
      <c r="J999" t="str">
        <f>INDEX('GIS-Standards'!$O$2:$O$305,MATCH(B999,'GIS-Standards'!$B$2:$B$305,0))</f>
        <v>ISO/TC 211</v>
      </c>
      <c r="K999" t="str">
        <f>INDEX('GIS-Standards'!$O$2:$O$305,MATCH(C999,'GIS-Standards'!$B$2:$B$305,0))</f>
        <v>ISO/TC 211</v>
      </c>
      <c r="M999" t="s">
        <v>525</v>
      </c>
      <c r="N999">
        <f>INDEX('GIS-Standards'!$I$2:$I$305,MATCH(B999,'GIS-Standards'!$B$2:$B$305,0))</f>
        <v>0</v>
      </c>
      <c r="O999">
        <f>INDEX('GIS-Standards'!$I$2:$I$305,MATCH(C999,'GIS-Standards'!$B$2:$B$305,0))</f>
        <v>0</v>
      </c>
      <c r="P999" t="b">
        <f>AND(TableRelationships12[[#This Row],[Source Type]]="BIM",TableRelationships12[[#This Row],[Target Type]]="BIM")</f>
        <v>0</v>
      </c>
      <c r="Q999">
        <f t="shared" si="45"/>
        <v>1</v>
      </c>
      <c r="S999">
        <f t="shared" si="46"/>
        <v>1</v>
      </c>
      <c r="T999" s="102" t="str">
        <f>IF(TableRelationships12[[#This Row],[Rank Pedro]]="Low","linkCategory1",IF(TableRelationships12[[#This Row],[Rank Pedro]]="Medium","linkCategory2",IF(TableRelationships12[[#This Row],[Rank Pedro]]="High","linkCategory3","")))</f>
        <v/>
      </c>
      <c r="U999" s="102" t="str">
        <f>IF(TableRelationships12[[#This Row],[Rank Pedro]]="Low","Pink",IF(TableRelationships12[[#This Row],[Rank Pedro]]="Medium","Purple",IF(TableRelationships12[[#This Row],[Rank Pedro]]="High","Brown","")))</f>
        <v/>
      </c>
      <c r="V999" s="4" t="e">
        <f>MAX(INDEX(Standards!$F$2:$F$296,MATCH(B999,Standards!$B$2:$B$296,0)),INDEX(Standards!$F$2:$F$296,MATCH(C999,Standards!$B$2:$B$296,0)))</f>
        <v>#N/A</v>
      </c>
      <c r="W999" t="str">
        <f t="shared" si="47"/>
        <v>#2f89d1</v>
      </c>
    </row>
    <row r="1000" spans="1:23" x14ac:dyDescent="0.5">
      <c r="A1000" s="54">
        <v>999</v>
      </c>
      <c r="B1000" s="90" t="s">
        <v>334</v>
      </c>
      <c r="C1000" t="s">
        <v>308</v>
      </c>
      <c r="D1000" s="1"/>
      <c r="E1000" s="112">
        <v>2005.02</v>
      </c>
      <c r="F1000" s="112">
        <v>2016.12</v>
      </c>
      <c r="G1000" s="107" t="s">
        <v>670</v>
      </c>
      <c r="H1000">
        <f>INDEX('GIS-Standards'!$A$2:$A$305,MATCH(B1000,'GIS-Standards'!$B$2:$B$305,0))</f>
        <v>42</v>
      </c>
      <c r="I1000">
        <f>INDEX('GIS-Standards'!$A$2:$A$305,MATCH(C1000,'GIS-Standards'!$B$2:$B$305,0))</f>
        <v>19</v>
      </c>
      <c r="J1000" t="str">
        <f>INDEX('GIS-Standards'!$O$2:$O$305,MATCH(B1000,'GIS-Standards'!$B$2:$B$305,0))</f>
        <v>ISO/TC 211</v>
      </c>
      <c r="K1000" t="str">
        <f>INDEX('GIS-Standards'!$O$2:$O$305,MATCH(C1000,'GIS-Standards'!$B$2:$B$305,0))</f>
        <v>ISO/TC 211</v>
      </c>
      <c r="M1000" t="s">
        <v>525</v>
      </c>
      <c r="N1000">
        <f>INDEX('GIS-Standards'!$I$2:$I$305,MATCH(B1000,'GIS-Standards'!$B$2:$B$305,0))</f>
        <v>0</v>
      </c>
      <c r="O1000">
        <f>INDEX('GIS-Standards'!$I$2:$I$305,MATCH(C1000,'GIS-Standards'!$B$2:$B$305,0))</f>
        <v>0</v>
      </c>
      <c r="P1000" t="b">
        <f>AND(TableRelationships12[[#This Row],[Source Type]]="BIM",TableRelationships12[[#This Row],[Target Type]]="BIM")</f>
        <v>0</v>
      </c>
      <c r="Q1000">
        <f t="shared" si="45"/>
        <v>1</v>
      </c>
      <c r="S1000">
        <f t="shared" si="46"/>
        <v>1</v>
      </c>
      <c r="T1000" s="102" t="str">
        <f>IF(TableRelationships12[[#This Row],[Rank Pedro]]="Low","linkCategory1",IF(TableRelationships12[[#This Row],[Rank Pedro]]="Medium","linkCategory2",IF(TableRelationships12[[#This Row],[Rank Pedro]]="High","linkCategory3","")))</f>
        <v/>
      </c>
      <c r="U1000" s="102" t="str">
        <f>IF(TableRelationships12[[#This Row],[Rank Pedro]]="Low","Pink",IF(TableRelationships12[[#This Row],[Rank Pedro]]="Medium","Purple",IF(TableRelationships12[[#This Row],[Rank Pedro]]="High","Brown","")))</f>
        <v/>
      </c>
      <c r="V1000" s="4">
        <f>MAX(INDEX(Standards!$F$2:$F$296,MATCH(B1000,Standards!$B$2:$B$296,0)),INDEX(Standards!$F$2:$F$296,MATCH(C1000,Standards!$B$2:$B$296,0)))</f>
        <v>39326</v>
      </c>
      <c r="W1000" t="str">
        <f t="shared" si="47"/>
        <v>#2f89d1</v>
      </c>
    </row>
    <row r="1001" spans="1:23" x14ac:dyDescent="0.5">
      <c r="A1001" s="54">
        <v>1000</v>
      </c>
      <c r="B1001" s="90" t="s">
        <v>334</v>
      </c>
      <c r="C1001" t="s">
        <v>1044</v>
      </c>
      <c r="D1001" s="1"/>
      <c r="E1001" s="112">
        <v>2005.06</v>
      </c>
      <c r="F1001" s="112">
        <v>2012.12</v>
      </c>
      <c r="G1001" s="107" t="s">
        <v>670</v>
      </c>
      <c r="H1001">
        <f>INDEX('GIS-Standards'!$A$2:$A$305,MATCH(B1001,'GIS-Standards'!$B$2:$B$305,0))</f>
        <v>42</v>
      </c>
      <c r="I1001">
        <f>INDEX('GIS-Standards'!$A$2:$A$305,MATCH(C1001,'GIS-Standards'!$B$2:$B$305,0))</f>
        <v>26</v>
      </c>
      <c r="J1001" t="str">
        <f>INDEX('GIS-Standards'!$O$2:$O$305,MATCH(B1001,'GIS-Standards'!$B$2:$B$305,0))</f>
        <v>ISO/TC 211</v>
      </c>
      <c r="K1001" t="str">
        <f>INDEX('GIS-Standards'!$O$2:$O$305,MATCH(C1001,'GIS-Standards'!$B$2:$B$305,0))</f>
        <v>ISO/TC 211</v>
      </c>
      <c r="M1001" t="s">
        <v>525</v>
      </c>
      <c r="N1001">
        <f>INDEX('GIS-Standards'!$I$2:$I$305,MATCH(B1001,'GIS-Standards'!$B$2:$B$305,0))</f>
        <v>0</v>
      </c>
      <c r="O1001">
        <f>INDEX('GIS-Standards'!$I$2:$I$305,MATCH(C1001,'GIS-Standards'!$B$2:$B$305,0))</f>
        <v>0</v>
      </c>
      <c r="P1001" t="b">
        <f>AND(TableRelationships12[[#This Row],[Source Type]]="BIM",TableRelationships12[[#This Row],[Target Type]]="BIM")</f>
        <v>0</v>
      </c>
      <c r="Q1001">
        <f t="shared" si="45"/>
        <v>1</v>
      </c>
      <c r="S1001">
        <f t="shared" si="46"/>
        <v>1</v>
      </c>
      <c r="T1001" s="102" t="str">
        <f>IF(TableRelationships12[[#This Row],[Rank Pedro]]="Low","linkCategory1",IF(TableRelationships12[[#This Row],[Rank Pedro]]="Medium","linkCategory2",IF(TableRelationships12[[#This Row],[Rank Pedro]]="High","linkCategory3","")))</f>
        <v/>
      </c>
      <c r="U1001" s="102" t="str">
        <f>IF(TableRelationships12[[#This Row],[Rank Pedro]]="Low","Pink",IF(TableRelationships12[[#This Row],[Rank Pedro]]="Medium","Purple",IF(TableRelationships12[[#This Row],[Rank Pedro]]="High","Brown","")))</f>
        <v/>
      </c>
      <c r="V1001" s="4" t="e">
        <f>MAX(INDEX(Standards!$F$2:$F$296,MATCH(B1001,Standards!$B$2:$B$296,0)),INDEX(Standards!$F$2:$F$296,MATCH(C1001,Standards!$B$2:$B$296,0)))</f>
        <v>#N/A</v>
      </c>
      <c r="W1001" t="str">
        <f t="shared" si="47"/>
        <v>#2f89d1</v>
      </c>
    </row>
    <row r="1002" spans="1:23" x14ac:dyDescent="0.5">
      <c r="A1002" s="54">
        <v>1001</v>
      </c>
      <c r="B1002" s="90" t="s">
        <v>334</v>
      </c>
      <c r="C1002" t="s">
        <v>332</v>
      </c>
      <c r="D1002" s="1"/>
      <c r="E1002" s="112">
        <v>2005.1</v>
      </c>
      <c r="F1002" s="112">
        <v>2005.1</v>
      </c>
      <c r="G1002" s="107" t="s">
        <v>670</v>
      </c>
      <c r="H1002">
        <f>INDEX('GIS-Standards'!$A$2:$A$305,MATCH(B1002,'GIS-Standards'!$B$2:$B$305,0))</f>
        <v>42</v>
      </c>
      <c r="I1002">
        <f>INDEX('GIS-Standards'!$A$2:$A$305,MATCH(C1002,'GIS-Standards'!$B$2:$B$305,0))</f>
        <v>39</v>
      </c>
      <c r="J1002" t="str">
        <f>INDEX('GIS-Standards'!$O$2:$O$305,MATCH(B1002,'GIS-Standards'!$B$2:$B$305,0))</f>
        <v>ISO/TC 211</v>
      </c>
      <c r="K1002" t="str">
        <f>INDEX('GIS-Standards'!$O$2:$O$305,MATCH(C1002,'GIS-Standards'!$B$2:$B$305,0))</f>
        <v>ISO/TC 211</v>
      </c>
      <c r="M1002" t="s">
        <v>525</v>
      </c>
      <c r="N1002">
        <f>INDEX('GIS-Standards'!$I$2:$I$305,MATCH(B1002,'GIS-Standards'!$B$2:$B$305,0))</f>
        <v>0</v>
      </c>
      <c r="O1002">
        <f>INDEX('GIS-Standards'!$I$2:$I$305,MATCH(C1002,'GIS-Standards'!$B$2:$B$305,0))</f>
        <v>0</v>
      </c>
      <c r="P1002" t="b">
        <f>AND(TableRelationships12[[#This Row],[Source Type]]="BIM",TableRelationships12[[#This Row],[Target Type]]="BIM")</f>
        <v>0</v>
      </c>
      <c r="Q1002">
        <f t="shared" si="45"/>
        <v>1</v>
      </c>
      <c r="S1002">
        <f t="shared" si="46"/>
        <v>1</v>
      </c>
      <c r="T1002" s="102" t="str">
        <f>IF(TableRelationships12[[#This Row],[Rank Pedro]]="Low","linkCategory1",IF(TableRelationships12[[#This Row],[Rank Pedro]]="Medium","linkCategory2",IF(TableRelationships12[[#This Row],[Rank Pedro]]="High","linkCategory3","")))</f>
        <v/>
      </c>
      <c r="U1002" s="102" t="str">
        <f>IF(TableRelationships12[[#This Row],[Rank Pedro]]="Low","Pink",IF(TableRelationships12[[#This Row],[Rank Pedro]]="Medium","Purple",IF(TableRelationships12[[#This Row],[Rank Pedro]]="High","Brown","")))</f>
        <v/>
      </c>
      <c r="V1002" s="4">
        <f>MAX(INDEX(Standards!$F$2:$F$296,MATCH(B1002,Standards!$B$2:$B$296,0)),INDEX(Standards!$F$2:$F$296,MATCH(C1002,Standards!$B$2:$B$296,0)))</f>
        <v>39326</v>
      </c>
      <c r="W1002" t="str">
        <f t="shared" si="47"/>
        <v>#2f89d1</v>
      </c>
    </row>
    <row r="1003" spans="1:23" x14ac:dyDescent="0.5">
      <c r="A1003" s="54">
        <v>1002</v>
      </c>
      <c r="B1003" s="90" t="s">
        <v>334</v>
      </c>
      <c r="C1003" t="s">
        <v>336</v>
      </c>
      <c r="D1003" s="1"/>
      <c r="E1003" s="112">
        <v>2007.05</v>
      </c>
      <c r="F1003" s="112">
        <v>2007.05</v>
      </c>
      <c r="G1003" s="107" t="s">
        <v>670</v>
      </c>
      <c r="H1003">
        <f>INDEX('GIS-Standards'!$A$2:$A$305,MATCH(B1003,'GIS-Standards'!$B$2:$B$305,0))</f>
        <v>42</v>
      </c>
      <c r="I1003">
        <f>INDEX('GIS-Standards'!$A$2:$A$305,MATCH(C1003,'GIS-Standards'!$B$2:$B$305,0))</f>
        <v>44</v>
      </c>
      <c r="J1003" t="str">
        <f>INDEX('GIS-Standards'!$O$2:$O$305,MATCH(B1003,'GIS-Standards'!$B$2:$B$305,0))</f>
        <v>ISO/TC 211</v>
      </c>
      <c r="K1003" t="str">
        <f>INDEX('GIS-Standards'!$O$2:$O$305,MATCH(C1003,'GIS-Standards'!$B$2:$B$305,0))</f>
        <v>ISO/TC 211</v>
      </c>
      <c r="M1003" t="s">
        <v>525</v>
      </c>
      <c r="N1003">
        <f>INDEX('GIS-Standards'!$I$2:$I$305,MATCH(B1003,'GIS-Standards'!$B$2:$B$305,0))</f>
        <v>0</v>
      </c>
      <c r="O1003">
        <f>INDEX('GIS-Standards'!$I$2:$I$305,MATCH(C1003,'GIS-Standards'!$B$2:$B$305,0))</f>
        <v>0</v>
      </c>
      <c r="P1003" t="b">
        <f>AND(TableRelationships12[[#This Row],[Source Type]]="BIM",TableRelationships12[[#This Row],[Target Type]]="BIM")</f>
        <v>0</v>
      </c>
      <c r="Q1003">
        <f t="shared" si="45"/>
        <v>1</v>
      </c>
      <c r="S1003">
        <f t="shared" si="46"/>
        <v>1</v>
      </c>
      <c r="T1003" s="102" t="str">
        <f>IF(TableRelationships12[[#This Row],[Rank Pedro]]="Low","linkCategory1",IF(TableRelationships12[[#This Row],[Rank Pedro]]="Medium","linkCategory2",IF(TableRelationships12[[#This Row],[Rank Pedro]]="High","linkCategory3","")))</f>
        <v/>
      </c>
      <c r="U1003" s="102" t="str">
        <f>IF(TableRelationships12[[#This Row],[Rank Pedro]]="Low","Pink",IF(TableRelationships12[[#This Row],[Rank Pedro]]="Medium","Purple",IF(TableRelationships12[[#This Row],[Rank Pedro]]="High","Brown","")))</f>
        <v/>
      </c>
      <c r="V1003" s="4">
        <f>MAX(INDEX(Standards!$F$2:$F$296,MATCH(B1003,Standards!$B$2:$B$296,0)),INDEX(Standards!$F$2:$F$296,MATCH(C1003,Standards!$B$2:$B$296,0)))</f>
        <v>39326</v>
      </c>
      <c r="W1003" t="str">
        <f t="shared" si="47"/>
        <v>#2f89d1</v>
      </c>
    </row>
    <row r="1004" spans="1:23" x14ac:dyDescent="0.5">
      <c r="A1004" s="54">
        <v>1003</v>
      </c>
      <c r="B1004" s="90" t="s">
        <v>334</v>
      </c>
      <c r="C1004" t="s">
        <v>338</v>
      </c>
      <c r="D1004" s="1"/>
      <c r="E1004" s="112">
        <v>2008.06</v>
      </c>
      <c r="F1004" s="112">
        <v>2008.06</v>
      </c>
      <c r="G1004" s="107" t="s">
        <v>670</v>
      </c>
      <c r="H1004">
        <f>INDEX('GIS-Standards'!$A$2:$A$305,MATCH(B1004,'GIS-Standards'!$B$2:$B$305,0))</f>
        <v>42</v>
      </c>
      <c r="I1004">
        <f>INDEX('GIS-Standards'!$A$2:$A$305,MATCH(C1004,'GIS-Standards'!$B$2:$B$305,0))</f>
        <v>45</v>
      </c>
      <c r="J1004" t="str">
        <f>INDEX('GIS-Standards'!$O$2:$O$305,MATCH(B1004,'GIS-Standards'!$B$2:$B$305,0))</f>
        <v>ISO/TC 211</v>
      </c>
      <c r="K1004" t="str">
        <f>INDEX('GIS-Standards'!$O$2:$O$305,MATCH(C1004,'GIS-Standards'!$B$2:$B$305,0))</f>
        <v>ISO/TC 211</v>
      </c>
      <c r="M1004" t="s">
        <v>525</v>
      </c>
      <c r="N1004">
        <f>INDEX('GIS-Standards'!$I$2:$I$305,MATCH(B1004,'GIS-Standards'!$B$2:$B$305,0))</f>
        <v>0</v>
      </c>
      <c r="O1004">
        <f>INDEX('GIS-Standards'!$I$2:$I$305,MATCH(C1004,'GIS-Standards'!$B$2:$B$305,0))</f>
        <v>0</v>
      </c>
      <c r="P1004" t="b">
        <f>AND(TableRelationships12[[#This Row],[Source Type]]="BIM",TableRelationships12[[#This Row],[Target Type]]="BIM")</f>
        <v>0</v>
      </c>
      <c r="Q1004">
        <f t="shared" si="45"/>
        <v>1</v>
      </c>
      <c r="S1004">
        <f t="shared" si="46"/>
        <v>1</v>
      </c>
      <c r="T1004" s="102" t="str">
        <f>IF(TableRelationships12[[#This Row],[Rank Pedro]]="Low","linkCategory1",IF(TableRelationships12[[#This Row],[Rank Pedro]]="Medium","linkCategory2",IF(TableRelationships12[[#This Row],[Rank Pedro]]="High","linkCategory3","")))</f>
        <v/>
      </c>
      <c r="U1004" s="102" t="str">
        <f>IF(TableRelationships12[[#This Row],[Rank Pedro]]="Low","Pink",IF(TableRelationships12[[#This Row],[Rank Pedro]]="Medium","Purple",IF(TableRelationships12[[#This Row],[Rank Pedro]]="High","Brown","")))</f>
        <v/>
      </c>
      <c r="V1004" s="4">
        <f>MAX(INDEX(Standards!$F$2:$F$296,MATCH(B1004,Standards!$B$2:$B$296,0)),INDEX(Standards!$F$2:$F$296,MATCH(C1004,Standards!$B$2:$B$296,0)))</f>
        <v>39600</v>
      </c>
      <c r="W1004" t="str">
        <f t="shared" si="47"/>
        <v>#2f89d1</v>
      </c>
    </row>
    <row r="1005" spans="1:23" x14ac:dyDescent="0.5">
      <c r="A1005" s="54">
        <v>1004</v>
      </c>
      <c r="B1005" s="90" t="s">
        <v>334</v>
      </c>
      <c r="C1005" t="s">
        <v>1079</v>
      </c>
      <c r="D1005" s="1"/>
      <c r="E1005" s="112">
        <v>2005.04</v>
      </c>
      <c r="F1005" s="112">
        <v>2005.04</v>
      </c>
      <c r="G1005" s="107" t="s">
        <v>1502</v>
      </c>
      <c r="H1005">
        <f>INDEX('GIS-Standards'!$A$2:$A$305,MATCH(B1005,'GIS-Standards'!$B$2:$B$305,0))</f>
        <v>42</v>
      </c>
      <c r="I1005" t="e">
        <f>INDEX('GIS-Standards'!$A$2:$A$305,MATCH(C1005,'GIS-Standards'!$B$2:$B$305,0))</f>
        <v>#N/A</v>
      </c>
      <c r="J1005" t="str">
        <f>INDEX('GIS-Standards'!$O$2:$O$305,MATCH(B1005,'GIS-Standards'!$B$2:$B$305,0))</f>
        <v>ISO/TC 211</v>
      </c>
      <c r="K1005" t="e">
        <f>INDEX('GIS-Standards'!$O$2:$O$305,MATCH(C1005,'GIS-Standards'!$B$2:$B$305,0))</f>
        <v>#N/A</v>
      </c>
      <c r="M1005" t="s">
        <v>525</v>
      </c>
      <c r="N1005">
        <f>INDEX('GIS-Standards'!$I$2:$I$305,MATCH(B1005,'GIS-Standards'!$B$2:$B$305,0))</f>
        <v>0</v>
      </c>
      <c r="O1005" t="e">
        <f>INDEX('GIS-Standards'!$I$2:$I$305,MATCH(C1005,'GIS-Standards'!$B$2:$B$305,0))</f>
        <v>#N/A</v>
      </c>
      <c r="P1005" t="e">
        <f>AND(TableRelationships12[[#This Row],[Source Type]]="BIM",TableRelationships12[[#This Row],[Target Type]]="BIM")</f>
        <v>#N/A</v>
      </c>
      <c r="Q1005">
        <f t="shared" si="45"/>
        <v>1</v>
      </c>
      <c r="S1005">
        <f t="shared" si="46"/>
        <v>1</v>
      </c>
      <c r="T1005" s="102" t="str">
        <f>IF(TableRelationships12[[#This Row],[Rank Pedro]]="Low","linkCategory1",IF(TableRelationships12[[#This Row],[Rank Pedro]]="Medium","linkCategory2",IF(TableRelationships12[[#This Row],[Rank Pedro]]="High","linkCategory3","")))</f>
        <v/>
      </c>
      <c r="U1005" s="102" t="str">
        <f>IF(TableRelationships12[[#This Row],[Rank Pedro]]="Low","Pink",IF(TableRelationships12[[#This Row],[Rank Pedro]]="Medium","Purple",IF(TableRelationships12[[#This Row],[Rank Pedro]]="High","Brown","")))</f>
        <v/>
      </c>
      <c r="V1005" s="4" t="e">
        <f>MAX(INDEX(Standards!$F$2:$F$296,MATCH(B1005,Standards!$B$2:$B$296,0)),INDEX(Standards!$F$2:$F$296,MATCH(C1005,Standards!$B$2:$B$296,0)))</f>
        <v>#N/A</v>
      </c>
      <c r="W1005" t="str">
        <f t="shared" si="47"/>
        <v>#2f89d1</v>
      </c>
    </row>
    <row r="1006" spans="1:23" x14ac:dyDescent="0.5">
      <c r="A1006" s="54">
        <v>1005</v>
      </c>
      <c r="B1006" s="90" t="s">
        <v>334</v>
      </c>
      <c r="C1006" t="s">
        <v>1179</v>
      </c>
      <c r="D1006" s="1"/>
      <c r="G1006" s="107"/>
      <c r="H1006">
        <f>INDEX('GIS-Standards'!$A$2:$A$305,MATCH(B1006,'GIS-Standards'!$B$2:$B$305,0))</f>
        <v>42</v>
      </c>
      <c r="I1006" t="e">
        <f>INDEX('GIS-Standards'!$A$2:$A$305,MATCH(C1006,'GIS-Standards'!$B$2:$B$305,0))</f>
        <v>#N/A</v>
      </c>
      <c r="J1006" t="str">
        <f>INDEX('GIS-Standards'!$O$2:$O$305,MATCH(B1006,'GIS-Standards'!$B$2:$B$305,0))</f>
        <v>ISO/TC 211</v>
      </c>
      <c r="K1006" t="e">
        <f>INDEX('GIS-Standards'!$O$2:$O$305,MATCH(C1006,'GIS-Standards'!$B$2:$B$305,0))</f>
        <v>#N/A</v>
      </c>
      <c r="M1006" t="s">
        <v>525</v>
      </c>
      <c r="N1006">
        <f>INDEX('GIS-Standards'!$I$2:$I$305,MATCH(B1006,'GIS-Standards'!$B$2:$B$305,0))</f>
        <v>0</v>
      </c>
      <c r="O1006" t="e">
        <f>INDEX('GIS-Standards'!$I$2:$I$305,MATCH(C1006,'GIS-Standards'!$B$2:$B$305,0))</f>
        <v>#N/A</v>
      </c>
      <c r="P1006" t="e">
        <f>AND(TableRelationships12[[#This Row],[Source Type]]="BIM",TableRelationships12[[#This Row],[Target Type]]="BIM")</f>
        <v>#N/A</v>
      </c>
      <c r="Q1006">
        <f t="shared" si="45"/>
        <v>1</v>
      </c>
      <c r="S1006">
        <f t="shared" si="46"/>
        <v>1</v>
      </c>
      <c r="T1006" s="102" t="str">
        <f>IF(TableRelationships12[[#This Row],[Rank Pedro]]="Low","linkCategory1",IF(TableRelationships12[[#This Row],[Rank Pedro]]="Medium","linkCategory2",IF(TableRelationships12[[#This Row],[Rank Pedro]]="High","linkCategory3","")))</f>
        <v/>
      </c>
      <c r="U1006" s="102" t="str">
        <f>IF(TableRelationships12[[#This Row],[Rank Pedro]]="Low","Pink",IF(TableRelationships12[[#This Row],[Rank Pedro]]="Medium","Purple",IF(TableRelationships12[[#This Row],[Rank Pedro]]="High","Brown","")))</f>
        <v/>
      </c>
      <c r="V1006" s="4" t="e">
        <f>MAX(INDEX(Standards!$F$2:$F$296,MATCH(B1006,Standards!$B$2:$B$296,0)),INDEX(Standards!$F$2:$F$296,MATCH(C1006,Standards!$B$2:$B$296,0)))</f>
        <v>#N/A</v>
      </c>
      <c r="W1006" t="str">
        <f t="shared" si="47"/>
        <v>#2f89d1</v>
      </c>
    </row>
    <row r="1007" spans="1:23" x14ac:dyDescent="0.5">
      <c r="A1007" s="54">
        <v>1006</v>
      </c>
      <c r="B1007" s="90" t="s">
        <v>334</v>
      </c>
      <c r="C1007" t="s">
        <v>1180</v>
      </c>
      <c r="D1007" s="1"/>
      <c r="F1007" s="112">
        <v>2008.03</v>
      </c>
      <c r="G1007" s="107"/>
      <c r="H1007">
        <f>INDEX('GIS-Standards'!$A$2:$A$305,MATCH(B1007,'GIS-Standards'!$B$2:$B$305,0))</f>
        <v>42</v>
      </c>
      <c r="I1007" t="e">
        <f>INDEX('GIS-Standards'!$A$2:$A$305,MATCH(C1007,'GIS-Standards'!$B$2:$B$305,0))</f>
        <v>#N/A</v>
      </c>
      <c r="J1007" t="str">
        <f>INDEX('GIS-Standards'!$O$2:$O$305,MATCH(B1007,'GIS-Standards'!$B$2:$B$305,0))</f>
        <v>ISO/TC 211</v>
      </c>
      <c r="K1007" t="e">
        <f>INDEX('GIS-Standards'!$O$2:$O$305,MATCH(C1007,'GIS-Standards'!$B$2:$B$305,0))</f>
        <v>#N/A</v>
      </c>
      <c r="M1007" t="s">
        <v>525</v>
      </c>
      <c r="N1007">
        <f>INDEX('GIS-Standards'!$I$2:$I$305,MATCH(B1007,'GIS-Standards'!$B$2:$B$305,0))</f>
        <v>0</v>
      </c>
      <c r="O1007" t="e">
        <f>INDEX('GIS-Standards'!$I$2:$I$305,MATCH(C1007,'GIS-Standards'!$B$2:$B$305,0))</f>
        <v>#N/A</v>
      </c>
      <c r="P1007" t="e">
        <f>AND(TableRelationships12[[#This Row],[Source Type]]="BIM",TableRelationships12[[#This Row],[Target Type]]="BIM")</f>
        <v>#N/A</v>
      </c>
      <c r="Q1007">
        <f t="shared" si="45"/>
        <v>1</v>
      </c>
      <c r="S1007">
        <f t="shared" si="46"/>
        <v>1</v>
      </c>
      <c r="T1007" s="102" t="str">
        <f>IF(TableRelationships12[[#This Row],[Rank Pedro]]="Low","linkCategory1",IF(TableRelationships12[[#This Row],[Rank Pedro]]="Medium","linkCategory2",IF(TableRelationships12[[#This Row],[Rank Pedro]]="High","linkCategory3","")))</f>
        <v/>
      </c>
      <c r="U1007" s="102" t="str">
        <f>IF(TableRelationships12[[#This Row],[Rank Pedro]]="Low","Pink",IF(TableRelationships12[[#This Row],[Rank Pedro]]="Medium","Purple",IF(TableRelationships12[[#This Row],[Rank Pedro]]="High","Brown","")))</f>
        <v/>
      </c>
      <c r="V1007" s="4" t="e">
        <f>MAX(INDEX(Standards!$F$2:$F$296,MATCH(B1007,Standards!$B$2:$B$296,0)),INDEX(Standards!$F$2:$F$296,MATCH(C1007,Standards!$B$2:$B$296,0)))</f>
        <v>#N/A</v>
      </c>
      <c r="W1007" t="str">
        <f t="shared" si="47"/>
        <v>#2f89d1</v>
      </c>
    </row>
    <row r="1008" spans="1:23" x14ac:dyDescent="0.5">
      <c r="A1008" s="54">
        <v>1007</v>
      </c>
      <c r="B1008" s="90" t="s">
        <v>334</v>
      </c>
      <c r="C1008" t="s">
        <v>1181</v>
      </c>
      <c r="D1008" s="1"/>
      <c r="G1008" s="107"/>
      <c r="H1008">
        <f>INDEX('GIS-Standards'!$A$2:$A$305,MATCH(B1008,'GIS-Standards'!$B$2:$B$305,0))</f>
        <v>42</v>
      </c>
      <c r="I1008" t="e">
        <f>INDEX('GIS-Standards'!$A$2:$A$305,MATCH(C1008,'GIS-Standards'!$B$2:$B$305,0))</f>
        <v>#N/A</v>
      </c>
      <c r="J1008" t="str">
        <f>INDEX('GIS-Standards'!$O$2:$O$305,MATCH(B1008,'GIS-Standards'!$B$2:$B$305,0))</f>
        <v>ISO/TC 211</v>
      </c>
      <c r="K1008" t="e">
        <f>INDEX('GIS-Standards'!$O$2:$O$305,MATCH(C1008,'GIS-Standards'!$B$2:$B$305,0))</f>
        <v>#N/A</v>
      </c>
      <c r="M1008" t="s">
        <v>525</v>
      </c>
      <c r="N1008">
        <f>INDEX('GIS-Standards'!$I$2:$I$305,MATCH(B1008,'GIS-Standards'!$B$2:$B$305,0))</f>
        <v>0</v>
      </c>
      <c r="O1008" t="e">
        <f>INDEX('GIS-Standards'!$I$2:$I$305,MATCH(C1008,'GIS-Standards'!$B$2:$B$305,0))</f>
        <v>#N/A</v>
      </c>
      <c r="P1008" t="e">
        <f>AND(TableRelationships12[[#This Row],[Source Type]]="BIM",TableRelationships12[[#This Row],[Target Type]]="BIM")</f>
        <v>#N/A</v>
      </c>
      <c r="Q1008">
        <f t="shared" si="45"/>
        <v>1</v>
      </c>
      <c r="S1008">
        <f t="shared" si="46"/>
        <v>1</v>
      </c>
      <c r="T1008" s="102" t="str">
        <f>IF(TableRelationships12[[#This Row],[Rank Pedro]]="Low","linkCategory1",IF(TableRelationships12[[#This Row],[Rank Pedro]]="Medium","linkCategory2",IF(TableRelationships12[[#This Row],[Rank Pedro]]="High","linkCategory3","")))</f>
        <v/>
      </c>
      <c r="U1008" s="102" t="str">
        <f>IF(TableRelationships12[[#This Row],[Rank Pedro]]="Low","Pink",IF(TableRelationships12[[#This Row],[Rank Pedro]]="Medium","Purple",IF(TableRelationships12[[#This Row],[Rank Pedro]]="High","Brown","")))</f>
        <v/>
      </c>
      <c r="V1008" s="4" t="e">
        <f>MAX(INDEX(Standards!$F$2:$F$296,MATCH(B1008,Standards!$B$2:$B$296,0)),INDEX(Standards!$F$2:$F$296,MATCH(C1008,Standards!$B$2:$B$296,0)))</f>
        <v>#N/A</v>
      </c>
      <c r="W1008" t="str">
        <f t="shared" si="47"/>
        <v>#2f89d1</v>
      </c>
    </row>
    <row r="1009" spans="1:23" x14ac:dyDescent="0.5">
      <c r="A1009" s="54">
        <v>1008</v>
      </c>
      <c r="B1009" s="90" t="s">
        <v>334</v>
      </c>
      <c r="C1009" t="s">
        <v>1182</v>
      </c>
      <c r="D1009" s="1"/>
      <c r="G1009" s="107"/>
      <c r="H1009">
        <f>INDEX('GIS-Standards'!$A$2:$A$305,MATCH(B1009,'GIS-Standards'!$B$2:$B$305,0))</f>
        <v>42</v>
      </c>
      <c r="I1009" t="e">
        <f>INDEX('GIS-Standards'!$A$2:$A$305,MATCH(C1009,'GIS-Standards'!$B$2:$B$305,0))</f>
        <v>#N/A</v>
      </c>
      <c r="J1009" t="str">
        <f>INDEX('GIS-Standards'!$O$2:$O$305,MATCH(B1009,'GIS-Standards'!$B$2:$B$305,0))</f>
        <v>ISO/TC 211</v>
      </c>
      <c r="K1009" t="e">
        <f>INDEX('GIS-Standards'!$O$2:$O$305,MATCH(C1009,'GIS-Standards'!$B$2:$B$305,0))</f>
        <v>#N/A</v>
      </c>
      <c r="M1009" t="s">
        <v>525</v>
      </c>
      <c r="N1009">
        <f>INDEX('GIS-Standards'!$I$2:$I$305,MATCH(B1009,'GIS-Standards'!$B$2:$B$305,0))</f>
        <v>0</v>
      </c>
      <c r="O1009" t="e">
        <f>INDEX('GIS-Standards'!$I$2:$I$305,MATCH(C1009,'GIS-Standards'!$B$2:$B$305,0))</f>
        <v>#N/A</v>
      </c>
      <c r="P1009" t="e">
        <f>AND(TableRelationships12[[#This Row],[Source Type]]="BIM",TableRelationships12[[#This Row],[Target Type]]="BIM")</f>
        <v>#N/A</v>
      </c>
      <c r="Q1009">
        <f t="shared" si="45"/>
        <v>1</v>
      </c>
      <c r="S1009">
        <f t="shared" si="46"/>
        <v>1</v>
      </c>
      <c r="T1009" s="102" t="str">
        <f>IF(TableRelationships12[[#This Row],[Rank Pedro]]="Low","linkCategory1",IF(TableRelationships12[[#This Row],[Rank Pedro]]="Medium","linkCategory2",IF(TableRelationships12[[#This Row],[Rank Pedro]]="High","linkCategory3","")))</f>
        <v/>
      </c>
      <c r="U1009" s="102" t="str">
        <f>IF(TableRelationships12[[#This Row],[Rank Pedro]]="Low","Pink",IF(TableRelationships12[[#This Row],[Rank Pedro]]="Medium","Purple",IF(TableRelationships12[[#This Row],[Rank Pedro]]="High","Brown","")))</f>
        <v/>
      </c>
      <c r="V1009" s="4" t="e">
        <f>MAX(INDEX(Standards!$F$2:$F$296,MATCH(B1009,Standards!$B$2:$B$296,0)),INDEX(Standards!$F$2:$F$296,MATCH(C1009,Standards!$B$2:$B$296,0)))</f>
        <v>#N/A</v>
      </c>
      <c r="W1009" t="str">
        <f t="shared" si="47"/>
        <v>#2f89d1</v>
      </c>
    </row>
    <row r="1010" spans="1:23" x14ac:dyDescent="0.5">
      <c r="A1010" s="54">
        <v>1009</v>
      </c>
      <c r="B1010" s="90" t="s">
        <v>334</v>
      </c>
      <c r="C1010" t="s">
        <v>1183</v>
      </c>
      <c r="D1010" s="1"/>
      <c r="G1010" s="107"/>
      <c r="H1010">
        <f>INDEX('GIS-Standards'!$A$2:$A$305,MATCH(B1010,'GIS-Standards'!$B$2:$B$305,0))</f>
        <v>42</v>
      </c>
      <c r="I1010" t="e">
        <f>INDEX('GIS-Standards'!$A$2:$A$305,MATCH(C1010,'GIS-Standards'!$B$2:$B$305,0))</f>
        <v>#N/A</v>
      </c>
      <c r="J1010" t="str">
        <f>INDEX('GIS-Standards'!$O$2:$O$305,MATCH(B1010,'GIS-Standards'!$B$2:$B$305,0))</f>
        <v>ISO/TC 211</v>
      </c>
      <c r="K1010" t="e">
        <f>INDEX('GIS-Standards'!$O$2:$O$305,MATCH(C1010,'GIS-Standards'!$B$2:$B$305,0))</f>
        <v>#N/A</v>
      </c>
      <c r="M1010" t="s">
        <v>525</v>
      </c>
      <c r="N1010">
        <f>INDEX('GIS-Standards'!$I$2:$I$305,MATCH(B1010,'GIS-Standards'!$B$2:$B$305,0))</f>
        <v>0</v>
      </c>
      <c r="O1010" t="e">
        <f>INDEX('GIS-Standards'!$I$2:$I$305,MATCH(C1010,'GIS-Standards'!$B$2:$B$305,0))</f>
        <v>#N/A</v>
      </c>
      <c r="P1010" t="e">
        <f>AND(TableRelationships12[[#This Row],[Source Type]]="BIM",TableRelationships12[[#This Row],[Target Type]]="BIM")</f>
        <v>#N/A</v>
      </c>
      <c r="Q1010">
        <f t="shared" si="45"/>
        <v>1</v>
      </c>
      <c r="S1010">
        <f t="shared" si="46"/>
        <v>1</v>
      </c>
      <c r="T1010" s="102" t="str">
        <f>IF(TableRelationships12[[#This Row],[Rank Pedro]]="Low","linkCategory1",IF(TableRelationships12[[#This Row],[Rank Pedro]]="Medium","linkCategory2",IF(TableRelationships12[[#This Row],[Rank Pedro]]="High","linkCategory3","")))</f>
        <v/>
      </c>
      <c r="U1010" s="102" t="str">
        <f>IF(TableRelationships12[[#This Row],[Rank Pedro]]="Low","Pink",IF(TableRelationships12[[#This Row],[Rank Pedro]]="Medium","Purple",IF(TableRelationships12[[#This Row],[Rank Pedro]]="High","Brown","")))</f>
        <v/>
      </c>
      <c r="V1010" s="4" t="e">
        <f>MAX(INDEX(Standards!$F$2:$F$296,MATCH(B1010,Standards!$B$2:$B$296,0)),INDEX(Standards!$F$2:$F$296,MATCH(C1010,Standards!$B$2:$B$296,0)))</f>
        <v>#N/A</v>
      </c>
      <c r="W1010" t="str">
        <f t="shared" si="47"/>
        <v>#2f89d1</v>
      </c>
    </row>
    <row r="1011" spans="1:23" x14ac:dyDescent="0.5">
      <c r="A1011" s="54">
        <v>1010</v>
      </c>
      <c r="B1011" s="90" t="s">
        <v>334</v>
      </c>
      <c r="C1011" t="s">
        <v>1169</v>
      </c>
      <c r="D1011" s="1"/>
      <c r="G1011" s="107"/>
      <c r="H1011">
        <f>INDEX('GIS-Standards'!$A$2:$A$305,MATCH(B1011,'GIS-Standards'!$B$2:$B$305,0))</f>
        <v>42</v>
      </c>
      <c r="I1011" t="e">
        <f>INDEX('GIS-Standards'!$A$2:$A$305,MATCH(C1011,'GIS-Standards'!$B$2:$B$305,0))</f>
        <v>#N/A</v>
      </c>
      <c r="J1011" t="str">
        <f>INDEX('GIS-Standards'!$O$2:$O$305,MATCH(B1011,'GIS-Standards'!$B$2:$B$305,0))</f>
        <v>ISO/TC 211</v>
      </c>
      <c r="K1011" t="e">
        <f>INDEX('GIS-Standards'!$O$2:$O$305,MATCH(C1011,'GIS-Standards'!$B$2:$B$305,0))</f>
        <v>#N/A</v>
      </c>
      <c r="M1011" t="s">
        <v>525</v>
      </c>
      <c r="N1011">
        <f>INDEX('GIS-Standards'!$I$2:$I$305,MATCH(B1011,'GIS-Standards'!$B$2:$B$305,0))</f>
        <v>0</v>
      </c>
      <c r="O1011" t="e">
        <f>INDEX('GIS-Standards'!$I$2:$I$305,MATCH(C1011,'GIS-Standards'!$B$2:$B$305,0))</f>
        <v>#N/A</v>
      </c>
      <c r="P1011" t="e">
        <f>AND(TableRelationships12[[#This Row],[Source Type]]="BIM",TableRelationships12[[#This Row],[Target Type]]="BIM")</f>
        <v>#N/A</v>
      </c>
      <c r="Q1011">
        <f t="shared" si="45"/>
        <v>1</v>
      </c>
      <c r="S1011">
        <f t="shared" si="46"/>
        <v>1</v>
      </c>
      <c r="T1011" s="102" t="str">
        <f>IF(TableRelationships12[[#This Row],[Rank Pedro]]="Low","linkCategory1",IF(TableRelationships12[[#This Row],[Rank Pedro]]="Medium","linkCategory2",IF(TableRelationships12[[#This Row],[Rank Pedro]]="High","linkCategory3","")))</f>
        <v/>
      </c>
      <c r="U1011" s="102" t="str">
        <f>IF(TableRelationships12[[#This Row],[Rank Pedro]]="Low","Pink",IF(TableRelationships12[[#This Row],[Rank Pedro]]="Medium","Purple",IF(TableRelationships12[[#This Row],[Rank Pedro]]="High","Brown","")))</f>
        <v/>
      </c>
      <c r="V1011" s="4" t="e">
        <f>MAX(INDEX(Standards!$F$2:$F$296,MATCH(B1011,Standards!$B$2:$B$296,0)),INDEX(Standards!$F$2:$F$296,MATCH(C1011,Standards!$B$2:$B$296,0)))</f>
        <v>#N/A</v>
      </c>
      <c r="W1011" t="str">
        <f t="shared" si="47"/>
        <v>#2f89d1</v>
      </c>
    </row>
    <row r="1012" spans="1:23" x14ac:dyDescent="0.5">
      <c r="A1012" s="54">
        <v>1011</v>
      </c>
      <c r="B1012" s="90" t="s">
        <v>334</v>
      </c>
      <c r="C1012" t="s">
        <v>1552</v>
      </c>
      <c r="D1012" s="1"/>
      <c r="G1012" s="107"/>
      <c r="H1012">
        <f>INDEX('GIS-Standards'!$A$2:$A$305,MATCH(B1012,'GIS-Standards'!$B$2:$B$305,0))</f>
        <v>42</v>
      </c>
      <c r="I1012" t="e">
        <f>INDEX('GIS-Standards'!$A$2:$A$305,MATCH(C1012,'GIS-Standards'!$B$2:$B$305,0))</f>
        <v>#N/A</v>
      </c>
      <c r="J1012" t="str">
        <f>INDEX('GIS-Standards'!$O$2:$O$305,MATCH(B1012,'GIS-Standards'!$B$2:$B$305,0))</f>
        <v>ISO/TC 211</v>
      </c>
      <c r="K1012" t="e">
        <f>INDEX('GIS-Standards'!$O$2:$O$305,MATCH(C1012,'GIS-Standards'!$B$2:$B$305,0))</f>
        <v>#N/A</v>
      </c>
      <c r="M1012" t="s">
        <v>525</v>
      </c>
      <c r="N1012">
        <f>INDEX('GIS-Standards'!$I$2:$I$305,MATCH(B1012,'GIS-Standards'!$B$2:$B$305,0))</f>
        <v>0</v>
      </c>
      <c r="O1012" t="e">
        <f>INDEX('GIS-Standards'!$I$2:$I$305,MATCH(C1012,'GIS-Standards'!$B$2:$B$305,0))</f>
        <v>#N/A</v>
      </c>
      <c r="P1012" t="e">
        <f>AND(TableRelationships12[[#This Row],[Source Type]]="BIM",TableRelationships12[[#This Row],[Target Type]]="BIM")</f>
        <v>#N/A</v>
      </c>
      <c r="Q1012">
        <f t="shared" si="45"/>
        <v>1</v>
      </c>
      <c r="S1012">
        <f t="shared" si="46"/>
        <v>1</v>
      </c>
      <c r="T1012" s="102" t="str">
        <f>IF(TableRelationships12[[#This Row],[Rank Pedro]]="Low","linkCategory1",IF(TableRelationships12[[#This Row],[Rank Pedro]]="Medium","linkCategory2",IF(TableRelationships12[[#This Row],[Rank Pedro]]="High","linkCategory3","")))</f>
        <v/>
      </c>
      <c r="U1012" s="102" t="str">
        <f>IF(TableRelationships12[[#This Row],[Rank Pedro]]="Low","Pink",IF(TableRelationships12[[#This Row],[Rank Pedro]]="Medium","Purple",IF(TableRelationships12[[#This Row],[Rank Pedro]]="High","Brown","")))</f>
        <v/>
      </c>
      <c r="V1012" s="4" t="e">
        <f>MAX(INDEX(Standards!$F$2:$F$296,MATCH(B1012,Standards!$B$2:$B$296,0)),INDEX(Standards!$F$2:$F$296,MATCH(C1012,Standards!$B$2:$B$296,0)))</f>
        <v>#N/A</v>
      </c>
      <c r="W1012" t="str">
        <f t="shared" si="47"/>
        <v>#2f89d1</v>
      </c>
    </row>
    <row r="1013" spans="1:23" x14ac:dyDescent="0.5">
      <c r="A1013" s="54">
        <v>1012</v>
      </c>
      <c r="B1013" s="90" t="s">
        <v>334</v>
      </c>
      <c r="C1013" t="s">
        <v>1592</v>
      </c>
      <c r="D1013" s="1"/>
      <c r="G1013" s="107"/>
      <c r="H1013">
        <f>INDEX('GIS-Standards'!$A$2:$A$305,MATCH(B1013,'GIS-Standards'!$B$2:$B$305,0))</f>
        <v>42</v>
      </c>
      <c r="I1013" t="e">
        <f>INDEX('GIS-Standards'!$A$2:$A$305,MATCH(C1013,'GIS-Standards'!$B$2:$B$305,0))</f>
        <v>#N/A</v>
      </c>
      <c r="J1013" t="str">
        <f>INDEX('GIS-Standards'!$O$2:$O$305,MATCH(B1013,'GIS-Standards'!$B$2:$B$305,0))</f>
        <v>ISO/TC 211</v>
      </c>
      <c r="K1013" t="e">
        <f>INDEX('GIS-Standards'!$O$2:$O$305,MATCH(C1013,'GIS-Standards'!$B$2:$B$305,0))</f>
        <v>#N/A</v>
      </c>
      <c r="M1013" t="s">
        <v>525</v>
      </c>
      <c r="N1013">
        <f>INDEX('GIS-Standards'!$I$2:$I$305,MATCH(B1013,'GIS-Standards'!$B$2:$B$305,0))</f>
        <v>0</v>
      </c>
      <c r="O1013" t="e">
        <f>INDEX('GIS-Standards'!$I$2:$I$305,MATCH(C1013,'GIS-Standards'!$B$2:$B$305,0))</f>
        <v>#N/A</v>
      </c>
      <c r="P1013" t="e">
        <f>AND(TableRelationships12[[#This Row],[Source Type]]="BIM",TableRelationships12[[#This Row],[Target Type]]="BIM")</f>
        <v>#N/A</v>
      </c>
      <c r="Q1013">
        <f t="shared" si="45"/>
        <v>1</v>
      </c>
      <c r="S1013">
        <f t="shared" si="46"/>
        <v>1</v>
      </c>
      <c r="T1013" s="102" t="str">
        <f>IF(TableRelationships12[[#This Row],[Rank Pedro]]="Low","linkCategory1",IF(TableRelationships12[[#This Row],[Rank Pedro]]="Medium","linkCategory2",IF(TableRelationships12[[#This Row],[Rank Pedro]]="High","linkCategory3","")))</f>
        <v/>
      </c>
      <c r="U1013" s="102" t="str">
        <f>IF(TableRelationships12[[#This Row],[Rank Pedro]]="Low","Pink",IF(TableRelationships12[[#This Row],[Rank Pedro]]="Medium","Purple",IF(TableRelationships12[[#This Row],[Rank Pedro]]="High","Brown","")))</f>
        <v/>
      </c>
      <c r="V1013" s="4" t="e">
        <f>MAX(INDEX(Standards!$F$2:$F$296,MATCH(B1013,Standards!$B$2:$B$296,0)),INDEX(Standards!$F$2:$F$296,MATCH(C1013,Standards!$B$2:$B$296,0)))</f>
        <v>#N/A</v>
      </c>
      <c r="W1013" t="str">
        <f t="shared" si="47"/>
        <v>#2f89d1</v>
      </c>
    </row>
    <row r="1014" spans="1:23" x14ac:dyDescent="0.5">
      <c r="A1014" s="54">
        <v>1013</v>
      </c>
      <c r="B1014" s="90" t="s">
        <v>334</v>
      </c>
      <c r="C1014" t="s">
        <v>1588</v>
      </c>
      <c r="D1014" s="1"/>
      <c r="G1014" s="107"/>
      <c r="H1014">
        <f>INDEX('GIS-Standards'!$A$2:$A$305,MATCH(B1014,'GIS-Standards'!$B$2:$B$305,0))</f>
        <v>42</v>
      </c>
      <c r="I1014" t="e">
        <f>INDEX('GIS-Standards'!$A$2:$A$305,MATCH(C1014,'GIS-Standards'!$B$2:$B$305,0))</f>
        <v>#N/A</v>
      </c>
      <c r="J1014" t="str">
        <f>INDEX('GIS-Standards'!$O$2:$O$305,MATCH(B1014,'GIS-Standards'!$B$2:$B$305,0))</f>
        <v>ISO/TC 211</v>
      </c>
      <c r="K1014" t="e">
        <f>INDEX('GIS-Standards'!$O$2:$O$305,MATCH(C1014,'GIS-Standards'!$B$2:$B$305,0))</f>
        <v>#N/A</v>
      </c>
      <c r="M1014" t="s">
        <v>525</v>
      </c>
      <c r="N1014">
        <f>INDEX('GIS-Standards'!$I$2:$I$305,MATCH(B1014,'GIS-Standards'!$B$2:$B$305,0))</f>
        <v>0</v>
      </c>
      <c r="O1014" t="e">
        <f>INDEX('GIS-Standards'!$I$2:$I$305,MATCH(C1014,'GIS-Standards'!$B$2:$B$305,0))</f>
        <v>#N/A</v>
      </c>
      <c r="P1014" t="e">
        <f>AND(TableRelationships12[[#This Row],[Source Type]]="BIM",TableRelationships12[[#This Row],[Target Type]]="BIM")</f>
        <v>#N/A</v>
      </c>
      <c r="Q1014">
        <f t="shared" si="45"/>
        <v>1</v>
      </c>
      <c r="S1014">
        <f t="shared" si="46"/>
        <v>1</v>
      </c>
      <c r="T1014" s="102" t="str">
        <f>IF(TableRelationships12[[#This Row],[Rank Pedro]]="Low","linkCategory1",IF(TableRelationships12[[#This Row],[Rank Pedro]]="Medium","linkCategory2",IF(TableRelationships12[[#This Row],[Rank Pedro]]="High","linkCategory3","")))</f>
        <v/>
      </c>
      <c r="U1014" s="102" t="str">
        <f>IF(TableRelationships12[[#This Row],[Rank Pedro]]="Low","Pink",IF(TableRelationships12[[#This Row],[Rank Pedro]]="Medium","Purple",IF(TableRelationships12[[#This Row],[Rank Pedro]]="High","Brown","")))</f>
        <v/>
      </c>
      <c r="V1014" s="4" t="e">
        <f>MAX(INDEX(Standards!$F$2:$F$296,MATCH(B1014,Standards!$B$2:$B$296,0)),INDEX(Standards!$F$2:$F$296,MATCH(C1014,Standards!$B$2:$B$296,0)))</f>
        <v>#N/A</v>
      </c>
      <c r="W1014" t="str">
        <f t="shared" si="47"/>
        <v>#2f89d1</v>
      </c>
    </row>
    <row r="1015" spans="1:23" x14ac:dyDescent="0.5">
      <c r="A1015" s="54">
        <v>1014</v>
      </c>
      <c r="B1015" s="90" t="s">
        <v>334</v>
      </c>
      <c r="C1015" t="s">
        <v>1589</v>
      </c>
      <c r="D1015" s="1"/>
      <c r="G1015" s="107"/>
      <c r="H1015">
        <f>INDEX('GIS-Standards'!$A$2:$A$305,MATCH(B1015,'GIS-Standards'!$B$2:$B$305,0))</f>
        <v>42</v>
      </c>
      <c r="I1015" t="e">
        <f>INDEX('GIS-Standards'!$A$2:$A$305,MATCH(C1015,'GIS-Standards'!$B$2:$B$305,0))</f>
        <v>#N/A</v>
      </c>
      <c r="J1015" t="str">
        <f>INDEX('GIS-Standards'!$O$2:$O$305,MATCH(B1015,'GIS-Standards'!$B$2:$B$305,0))</f>
        <v>ISO/TC 211</v>
      </c>
      <c r="K1015" t="e">
        <f>INDEX('GIS-Standards'!$O$2:$O$305,MATCH(C1015,'GIS-Standards'!$B$2:$B$305,0))</f>
        <v>#N/A</v>
      </c>
      <c r="M1015" t="s">
        <v>525</v>
      </c>
      <c r="N1015">
        <f>INDEX('GIS-Standards'!$I$2:$I$305,MATCH(B1015,'GIS-Standards'!$B$2:$B$305,0))</f>
        <v>0</v>
      </c>
      <c r="O1015" t="e">
        <f>INDEX('GIS-Standards'!$I$2:$I$305,MATCH(C1015,'GIS-Standards'!$B$2:$B$305,0))</f>
        <v>#N/A</v>
      </c>
      <c r="P1015" t="e">
        <f>AND(TableRelationships12[[#This Row],[Source Type]]="BIM",TableRelationships12[[#This Row],[Target Type]]="BIM")</f>
        <v>#N/A</v>
      </c>
      <c r="Q1015">
        <f t="shared" si="45"/>
        <v>1</v>
      </c>
      <c r="S1015">
        <f t="shared" si="46"/>
        <v>1</v>
      </c>
      <c r="T1015" s="102" t="str">
        <f>IF(TableRelationships12[[#This Row],[Rank Pedro]]="Low","linkCategory1",IF(TableRelationships12[[#This Row],[Rank Pedro]]="Medium","linkCategory2",IF(TableRelationships12[[#This Row],[Rank Pedro]]="High","linkCategory3","")))</f>
        <v/>
      </c>
      <c r="U1015" s="102" t="str">
        <f>IF(TableRelationships12[[#This Row],[Rank Pedro]]="Low","Pink",IF(TableRelationships12[[#This Row],[Rank Pedro]]="Medium","Purple",IF(TableRelationships12[[#This Row],[Rank Pedro]]="High","Brown","")))</f>
        <v/>
      </c>
      <c r="V1015" s="4" t="e">
        <f>MAX(INDEX(Standards!$F$2:$F$296,MATCH(B1015,Standards!$B$2:$B$296,0)),INDEX(Standards!$F$2:$F$296,MATCH(C1015,Standards!$B$2:$B$296,0)))</f>
        <v>#N/A</v>
      </c>
      <c r="W1015" t="str">
        <f t="shared" si="47"/>
        <v>#2f89d1</v>
      </c>
    </row>
    <row r="1016" spans="1:23" x14ac:dyDescent="0.5">
      <c r="A1016" s="54">
        <v>1015</v>
      </c>
      <c r="B1016" s="90" t="s">
        <v>334</v>
      </c>
      <c r="C1016" t="s">
        <v>1587</v>
      </c>
      <c r="D1016" s="1"/>
      <c r="G1016" s="107"/>
      <c r="H1016">
        <f>INDEX('GIS-Standards'!$A$2:$A$305,MATCH(B1016,'GIS-Standards'!$B$2:$B$305,0))</f>
        <v>42</v>
      </c>
      <c r="I1016" t="e">
        <f>INDEX('GIS-Standards'!$A$2:$A$305,MATCH(C1016,'GIS-Standards'!$B$2:$B$305,0))</f>
        <v>#N/A</v>
      </c>
      <c r="J1016" t="str">
        <f>INDEX('GIS-Standards'!$O$2:$O$305,MATCH(B1016,'GIS-Standards'!$B$2:$B$305,0))</f>
        <v>ISO/TC 211</v>
      </c>
      <c r="K1016" t="e">
        <f>INDEX('GIS-Standards'!$O$2:$O$305,MATCH(C1016,'GIS-Standards'!$B$2:$B$305,0))</f>
        <v>#N/A</v>
      </c>
      <c r="M1016" t="s">
        <v>525</v>
      </c>
      <c r="N1016">
        <f>INDEX('GIS-Standards'!$I$2:$I$305,MATCH(B1016,'GIS-Standards'!$B$2:$B$305,0))</f>
        <v>0</v>
      </c>
      <c r="O1016" t="e">
        <f>INDEX('GIS-Standards'!$I$2:$I$305,MATCH(C1016,'GIS-Standards'!$B$2:$B$305,0))</f>
        <v>#N/A</v>
      </c>
      <c r="P1016" t="e">
        <f>AND(TableRelationships12[[#This Row],[Source Type]]="BIM",TableRelationships12[[#This Row],[Target Type]]="BIM")</f>
        <v>#N/A</v>
      </c>
      <c r="Q1016">
        <f t="shared" si="45"/>
        <v>1</v>
      </c>
      <c r="S1016">
        <f t="shared" si="46"/>
        <v>1</v>
      </c>
      <c r="T1016" s="102" t="str">
        <f>IF(TableRelationships12[[#This Row],[Rank Pedro]]="Low","linkCategory1",IF(TableRelationships12[[#This Row],[Rank Pedro]]="Medium","linkCategory2",IF(TableRelationships12[[#This Row],[Rank Pedro]]="High","linkCategory3","")))</f>
        <v/>
      </c>
      <c r="U1016" s="102" t="str">
        <f>IF(TableRelationships12[[#This Row],[Rank Pedro]]="Low","Pink",IF(TableRelationships12[[#This Row],[Rank Pedro]]="Medium","Purple",IF(TableRelationships12[[#This Row],[Rank Pedro]]="High","Brown","")))</f>
        <v/>
      </c>
      <c r="V1016" s="4" t="e">
        <f>MAX(INDEX(Standards!$F$2:$F$296,MATCH(B1016,Standards!$B$2:$B$296,0)),INDEX(Standards!$F$2:$F$296,MATCH(C1016,Standards!$B$2:$B$296,0)))</f>
        <v>#N/A</v>
      </c>
      <c r="W1016" t="str">
        <f t="shared" si="47"/>
        <v>#2f89d1</v>
      </c>
    </row>
    <row r="1017" spans="1:23" x14ac:dyDescent="0.5">
      <c r="A1017" s="54">
        <v>1016</v>
      </c>
      <c r="B1017" s="90" t="s">
        <v>334</v>
      </c>
      <c r="C1017" t="s">
        <v>1588</v>
      </c>
      <c r="D1017" s="1"/>
      <c r="G1017" s="107"/>
      <c r="H1017">
        <f>INDEX('GIS-Standards'!$A$2:$A$305,MATCH(B1017,'GIS-Standards'!$B$2:$B$305,0))</f>
        <v>42</v>
      </c>
      <c r="I1017" t="e">
        <f>INDEX('GIS-Standards'!$A$2:$A$305,MATCH(C1017,'GIS-Standards'!$B$2:$B$305,0))</f>
        <v>#N/A</v>
      </c>
      <c r="J1017" t="str">
        <f>INDEX('GIS-Standards'!$O$2:$O$305,MATCH(B1017,'GIS-Standards'!$B$2:$B$305,0))</f>
        <v>ISO/TC 211</v>
      </c>
      <c r="K1017" t="e">
        <f>INDEX('GIS-Standards'!$O$2:$O$305,MATCH(C1017,'GIS-Standards'!$B$2:$B$305,0))</f>
        <v>#N/A</v>
      </c>
      <c r="M1017" t="s">
        <v>525</v>
      </c>
      <c r="N1017">
        <f>INDEX('GIS-Standards'!$I$2:$I$305,MATCH(B1017,'GIS-Standards'!$B$2:$B$305,0))</f>
        <v>0</v>
      </c>
      <c r="O1017" t="e">
        <f>INDEX('GIS-Standards'!$I$2:$I$305,MATCH(C1017,'GIS-Standards'!$B$2:$B$305,0))</f>
        <v>#N/A</v>
      </c>
      <c r="P1017" t="e">
        <f>AND(TableRelationships12[[#This Row],[Source Type]]="BIM",TableRelationships12[[#This Row],[Target Type]]="BIM")</f>
        <v>#N/A</v>
      </c>
      <c r="Q1017">
        <f t="shared" si="45"/>
        <v>1</v>
      </c>
      <c r="S1017">
        <f t="shared" si="46"/>
        <v>1</v>
      </c>
      <c r="T1017" s="102" t="str">
        <f>IF(TableRelationships12[[#This Row],[Rank Pedro]]="Low","linkCategory1",IF(TableRelationships12[[#This Row],[Rank Pedro]]="Medium","linkCategory2",IF(TableRelationships12[[#This Row],[Rank Pedro]]="High","linkCategory3","")))</f>
        <v/>
      </c>
      <c r="U1017" s="102" t="str">
        <f>IF(TableRelationships12[[#This Row],[Rank Pedro]]="Low","Pink",IF(TableRelationships12[[#This Row],[Rank Pedro]]="Medium","Purple",IF(TableRelationships12[[#This Row],[Rank Pedro]]="High","Brown","")))</f>
        <v/>
      </c>
      <c r="V1017" s="4" t="e">
        <f>MAX(INDEX(Standards!$F$2:$F$296,MATCH(B1017,Standards!$B$2:$B$296,0)),INDEX(Standards!$F$2:$F$296,MATCH(C1017,Standards!$B$2:$B$296,0)))</f>
        <v>#N/A</v>
      </c>
      <c r="W1017" t="str">
        <f t="shared" si="47"/>
        <v>#2f89d1</v>
      </c>
    </row>
    <row r="1018" spans="1:23" x14ac:dyDescent="0.5">
      <c r="A1018" s="54">
        <v>1017</v>
      </c>
      <c r="B1018" s="90" t="s">
        <v>334</v>
      </c>
      <c r="C1018" t="s">
        <v>1598</v>
      </c>
      <c r="D1018" s="1"/>
      <c r="G1018" s="107"/>
      <c r="H1018">
        <f>INDEX('GIS-Standards'!$A$2:$A$305,MATCH(B1018,'GIS-Standards'!$B$2:$B$305,0))</f>
        <v>42</v>
      </c>
      <c r="I1018" t="e">
        <f>INDEX('GIS-Standards'!$A$2:$A$305,MATCH(C1018,'GIS-Standards'!$B$2:$B$305,0))</f>
        <v>#N/A</v>
      </c>
      <c r="J1018" t="str">
        <f>INDEX('GIS-Standards'!$O$2:$O$305,MATCH(B1018,'GIS-Standards'!$B$2:$B$305,0))</f>
        <v>ISO/TC 211</v>
      </c>
      <c r="K1018" t="e">
        <f>INDEX('GIS-Standards'!$O$2:$O$305,MATCH(C1018,'GIS-Standards'!$B$2:$B$305,0))</f>
        <v>#N/A</v>
      </c>
      <c r="M1018" t="s">
        <v>525</v>
      </c>
      <c r="N1018">
        <f>INDEX('GIS-Standards'!$I$2:$I$305,MATCH(B1018,'GIS-Standards'!$B$2:$B$305,0))</f>
        <v>0</v>
      </c>
      <c r="O1018" t="e">
        <f>INDEX('GIS-Standards'!$I$2:$I$305,MATCH(C1018,'GIS-Standards'!$B$2:$B$305,0))</f>
        <v>#N/A</v>
      </c>
      <c r="P1018" t="e">
        <f>AND(TableRelationships12[[#This Row],[Source Type]]="BIM",TableRelationships12[[#This Row],[Target Type]]="BIM")</f>
        <v>#N/A</v>
      </c>
      <c r="Q1018">
        <f t="shared" si="45"/>
        <v>1</v>
      </c>
      <c r="S1018">
        <f t="shared" si="46"/>
        <v>1</v>
      </c>
      <c r="T1018" s="102" t="str">
        <f>IF(TableRelationships12[[#This Row],[Rank Pedro]]="Low","linkCategory1",IF(TableRelationships12[[#This Row],[Rank Pedro]]="Medium","linkCategory2",IF(TableRelationships12[[#This Row],[Rank Pedro]]="High","linkCategory3","")))</f>
        <v/>
      </c>
      <c r="U1018" s="102" t="str">
        <f>IF(TableRelationships12[[#This Row],[Rank Pedro]]="Low","Pink",IF(TableRelationships12[[#This Row],[Rank Pedro]]="Medium","Purple",IF(TableRelationships12[[#This Row],[Rank Pedro]]="High","Brown","")))</f>
        <v/>
      </c>
      <c r="V1018" s="4" t="e">
        <f>MAX(INDEX(Standards!$F$2:$F$296,MATCH(B1018,Standards!$B$2:$B$296,0)),INDEX(Standards!$F$2:$F$296,MATCH(C1018,Standards!$B$2:$B$296,0)))</f>
        <v>#N/A</v>
      </c>
      <c r="W1018" t="str">
        <f t="shared" si="47"/>
        <v>#2f89d1</v>
      </c>
    </row>
    <row r="1019" spans="1:23" x14ac:dyDescent="0.5">
      <c r="A1019" s="54">
        <v>1018</v>
      </c>
      <c r="B1019" s="90" t="s">
        <v>334</v>
      </c>
      <c r="C1019" t="s">
        <v>1574</v>
      </c>
      <c r="D1019" s="1"/>
      <c r="G1019" s="107"/>
      <c r="H1019">
        <f>INDEX('GIS-Standards'!$A$2:$A$305,MATCH(B1019,'GIS-Standards'!$B$2:$B$305,0))</f>
        <v>42</v>
      </c>
      <c r="I1019" t="e">
        <f>INDEX('GIS-Standards'!$A$2:$A$305,MATCH(C1019,'GIS-Standards'!$B$2:$B$305,0))</f>
        <v>#N/A</v>
      </c>
      <c r="J1019" t="str">
        <f>INDEX('GIS-Standards'!$O$2:$O$305,MATCH(B1019,'GIS-Standards'!$B$2:$B$305,0))</f>
        <v>ISO/TC 211</v>
      </c>
      <c r="K1019" t="e">
        <f>INDEX('GIS-Standards'!$O$2:$O$305,MATCH(C1019,'GIS-Standards'!$B$2:$B$305,0))</f>
        <v>#N/A</v>
      </c>
      <c r="M1019" t="s">
        <v>525</v>
      </c>
      <c r="N1019">
        <f>INDEX('GIS-Standards'!$I$2:$I$305,MATCH(B1019,'GIS-Standards'!$B$2:$B$305,0))</f>
        <v>0</v>
      </c>
      <c r="O1019" t="e">
        <f>INDEX('GIS-Standards'!$I$2:$I$305,MATCH(C1019,'GIS-Standards'!$B$2:$B$305,0))</f>
        <v>#N/A</v>
      </c>
      <c r="P1019" t="e">
        <f>AND(TableRelationships12[[#This Row],[Source Type]]="BIM",TableRelationships12[[#This Row],[Target Type]]="BIM")</f>
        <v>#N/A</v>
      </c>
      <c r="Q1019">
        <f t="shared" si="45"/>
        <v>1</v>
      </c>
      <c r="S1019">
        <f t="shared" si="46"/>
        <v>1</v>
      </c>
      <c r="T1019" s="102" t="str">
        <f>IF(TableRelationships12[[#This Row],[Rank Pedro]]="Low","linkCategory1",IF(TableRelationships12[[#This Row],[Rank Pedro]]="Medium","linkCategory2",IF(TableRelationships12[[#This Row],[Rank Pedro]]="High","linkCategory3","")))</f>
        <v/>
      </c>
      <c r="U1019" s="102" t="str">
        <f>IF(TableRelationships12[[#This Row],[Rank Pedro]]="Low","Pink",IF(TableRelationships12[[#This Row],[Rank Pedro]]="Medium","Purple",IF(TableRelationships12[[#This Row],[Rank Pedro]]="High","Brown","")))</f>
        <v/>
      </c>
      <c r="V1019" s="4" t="e">
        <f>MAX(INDEX(Standards!$F$2:$F$296,MATCH(B1019,Standards!$B$2:$B$296,0)),INDEX(Standards!$F$2:$F$296,MATCH(C1019,Standards!$B$2:$B$296,0)))</f>
        <v>#N/A</v>
      </c>
      <c r="W1019" t="str">
        <f t="shared" si="47"/>
        <v>#2f89d1</v>
      </c>
    </row>
    <row r="1020" spans="1:23" x14ac:dyDescent="0.5">
      <c r="A1020" s="54">
        <v>1019</v>
      </c>
      <c r="B1020" s="90" t="s">
        <v>334</v>
      </c>
      <c r="C1020" t="s">
        <v>302</v>
      </c>
      <c r="D1020" s="1"/>
      <c r="E1020" s="112">
        <v>2003.05</v>
      </c>
      <c r="F1020" s="112">
        <v>2019.12</v>
      </c>
      <c r="G1020" s="107" t="s">
        <v>670</v>
      </c>
      <c r="H1020">
        <f>INDEX('GIS-Standards'!$A$2:$A$305,MATCH(B1020,'GIS-Standards'!$B$2:$B$305,0))</f>
        <v>42</v>
      </c>
      <c r="I1020">
        <f>INDEX('GIS-Standards'!$A$2:$A$305,MATCH(C1020,'GIS-Standards'!$B$2:$B$305,0))</f>
        <v>16</v>
      </c>
      <c r="J1020" t="str">
        <f>INDEX('GIS-Standards'!$O$2:$O$305,MATCH(B1020,'GIS-Standards'!$B$2:$B$305,0))</f>
        <v>ISO/TC 211</v>
      </c>
      <c r="K1020" t="str">
        <f>INDEX('GIS-Standards'!$O$2:$O$305,MATCH(C1020,'GIS-Standards'!$B$2:$B$305,0))</f>
        <v>ISO/TC 211</v>
      </c>
      <c r="M1020" t="s">
        <v>525</v>
      </c>
      <c r="N1020">
        <f>INDEX('GIS-Standards'!$I$2:$I$305,MATCH(B1020,'GIS-Standards'!$B$2:$B$305,0))</f>
        <v>0</v>
      </c>
      <c r="O1020">
        <f>INDEX('GIS-Standards'!$I$2:$I$305,MATCH(C1020,'GIS-Standards'!$B$2:$B$305,0))</f>
        <v>0</v>
      </c>
      <c r="P1020" t="b">
        <f>AND(TableRelationships12[[#This Row],[Source Type]]="BIM",TableRelationships12[[#This Row],[Target Type]]="BIM")</f>
        <v>0</v>
      </c>
      <c r="Q1020">
        <f t="shared" si="45"/>
        <v>1</v>
      </c>
      <c r="S1020">
        <f t="shared" si="46"/>
        <v>1</v>
      </c>
      <c r="T1020" s="102" t="str">
        <f>IF(TableRelationships12[[#This Row],[Rank Pedro]]="Low","linkCategory1",IF(TableRelationships12[[#This Row],[Rank Pedro]]="Medium","linkCategory2",IF(TableRelationships12[[#This Row],[Rank Pedro]]="High","linkCategory3","")))</f>
        <v/>
      </c>
      <c r="U1020" s="102" t="str">
        <f>IF(TableRelationships12[[#This Row],[Rank Pedro]]="Low","Pink",IF(TableRelationships12[[#This Row],[Rank Pedro]]="Medium","Purple",IF(TableRelationships12[[#This Row],[Rank Pedro]]="High","Brown","")))</f>
        <v/>
      </c>
      <c r="V1020" s="4">
        <f>MAX(INDEX(Standards!$F$2:$F$296,MATCH(B1020,Standards!$B$2:$B$296,0)),INDEX(Standards!$F$2:$F$296,MATCH(C1020,Standards!$B$2:$B$296,0)))</f>
        <v>39326</v>
      </c>
      <c r="W1020" t="str">
        <f t="shared" si="47"/>
        <v>#2f89d1</v>
      </c>
    </row>
    <row r="1021" spans="1:23" x14ac:dyDescent="0.5">
      <c r="A1021" s="54">
        <v>1020</v>
      </c>
      <c r="B1021" s="90" t="s">
        <v>334</v>
      </c>
      <c r="C1021" t="s">
        <v>310</v>
      </c>
      <c r="D1021" s="1"/>
      <c r="E1021" s="112">
        <v>2003.02</v>
      </c>
      <c r="F1021" s="112">
        <v>2023.08</v>
      </c>
      <c r="G1021" s="107" t="s">
        <v>670</v>
      </c>
      <c r="H1021">
        <f>INDEX('GIS-Standards'!$A$2:$A$305,MATCH(B1021,'GIS-Standards'!$B$2:$B$305,0))</f>
        <v>42</v>
      </c>
      <c r="I1021">
        <f>INDEX('GIS-Standards'!$A$2:$A$305,MATCH(C1021,'GIS-Standards'!$B$2:$B$305,0))</f>
        <v>20</v>
      </c>
      <c r="J1021" t="str">
        <f>INDEX('GIS-Standards'!$O$2:$O$305,MATCH(B1021,'GIS-Standards'!$B$2:$B$305,0))</f>
        <v>ISO/TC 211</v>
      </c>
      <c r="K1021" t="str">
        <f>INDEX('GIS-Standards'!$O$2:$O$305,MATCH(C1021,'GIS-Standards'!$B$2:$B$305,0))</f>
        <v>ISO/TC 211</v>
      </c>
      <c r="M1021" t="s">
        <v>525</v>
      </c>
      <c r="N1021">
        <f>INDEX('GIS-Standards'!$I$2:$I$305,MATCH(B1021,'GIS-Standards'!$B$2:$B$305,0))</f>
        <v>0</v>
      </c>
      <c r="O1021" t="str">
        <f>INDEX('GIS-Standards'!$I$2:$I$305,MATCH(C1021,'GIS-Standards'!$B$2:$B$305,0))</f>
        <v>08.2023</v>
      </c>
      <c r="P1021" t="b">
        <f>AND(TableRelationships12[[#This Row],[Source Type]]="BIM",TableRelationships12[[#This Row],[Target Type]]="BIM")</f>
        <v>0</v>
      </c>
      <c r="Q1021">
        <f t="shared" si="45"/>
        <v>1</v>
      </c>
      <c r="S1021">
        <f t="shared" si="46"/>
        <v>1</v>
      </c>
      <c r="T1021" s="102" t="str">
        <f>IF(TableRelationships12[[#This Row],[Rank Pedro]]="Low","linkCategory1",IF(TableRelationships12[[#This Row],[Rank Pedro]]="Medium","linkCategory2",IF(TableRelationships12[[#This Row],[Rank Pedro]]="High","linkCategory3","")))</f>
        <v/>
      </c>
      <c r="U1021" s="102" t="str">
        <f>IF(TableRelationships12[[#This Row],[Rank Pedro]]="Low","Pink",IF(TableRelationships12[[#This Row],[Rank Pedro]]="Medium","Purple",IF(TableRelationships12[[#This Row],[Rank Pedro]]="High","Brown","")))</f>
        <v/>
      </c>
      <c r="V1021" s="4">
        <f>MAX(INDEX(Standards!$F$2:$F$296,MATCH(B1021,Standards!$B$2:$B$296,0)),INDEX(Standards!$F$2:$F$296,MATCH(C1021,Standards!$B$2:$B$296,0)))</f>
        <v>39326</v>
      </c>
      <c r="W1021" t="str">
        <f t="shared" si="47"/>
        <v>#2f89d1</v>
      </c>
    </row>
    <row r="1022" spans="1:23" x14ac:dyDescent="0.5">
      <c r="A1022" s="54">
        <v>1021</v>
      </c>
      <c r="B1022" s="90" t="s">
        <v>334</v>
      </c>
      <c r="C1022" t="s">
        <v>306</v>
      </c>
      <c r="D1022" s="1"/>
      <c r="E1022" s="112">
        <v>2005.06</v>
      </c>
      <c r="F1022" s="112">
        <v>2025.07</v>
      </c>
      <c r="G1022" s="107" t="s">
        <v>670</v>
      </c>
      <c r="H1022">
        <f>INDEX('GIS-Standards'!$A$2:$A$305,MATCH(B1022,'GIS-Standards'!$B$2:$B$305,0))</f>
        <v>42</v>
      </c>
      <c r="I1022">
        <f>INDEX('GIS-Standards'!$A$2:$A$305,MATCH(C1022,'GIS-Standards'!$B$2:$B$305,0))</f>
        <v>18</v>
      </c>
      <c r="J1022" t="str">
        <f>INDEX('GIS-Standards'!$O$2:$O$305,MATCH(B1022,'GIS-Standards'!$B$2:$B$305,0))</f>
        <v>ISO/TC 211</v>
      </c>
      <c r="K1022" t="str">
        <f>INDEX('GIS-Standards'!$O$2:$O$305,MATCH(C1022,'GIS-Standards'!$B$2:$B$305,0))</f>
        <v>ISO/TC 211</v>
      </c>
      <c r="M1022" t="s">
        <v>525</v>
      </c>
      <c r="N1022">
        <f>INDEX('GIS-Standards'!$I$2:$I$305,MATCH(B1022,'GIS-Standards'!$B$2:$B$305,0))</f>
        <v>0</v>
      </c>
      <c r="O1022">
        <f>INDEX('GIS-Standards'!$I$2:$I$305,MATCH(C1022,'GIS-Standards'!$B$2:$B$305,0))</f>
        <v>0</v>
      </c>
      <c r="P1022" t="b">
        <f>AND(TableRelationships12[[#This Row],[Source Type]]="BIM",TableRelationships12[[#This Row],[Target Type]]="BIM")</f>
        <v>0</v>
      </c>
      <c r="Q1022">
        <f t="shared" si="45"/>
        <v>1</v>
      </c>
      <c r="S1022">
        <f t="shared" si="46"/>
        <v>1</v>
      </c>
      <c r="T1022" s="102" t="str">
        <f>IF(TableRelationships12[[#This Row],[Rank Pedro]]="Low","linkCategory1",IF(TableRelationships12[[#This Row],[Rank Pedro]]="Medium","linkCategory2",IF(TableRelationships12[[#This Row],[Rank Pedro]]="High","linkCategory3","")))</f>
        <v/>
      </c>
      <c r="U1022" s="102" t="str">
        <f>IF(TableRelationships12[[#This Row],[Rank Pedro]]="Low","Pink",IF(TableRelationships12[[#This Row],[Rank Pedro]]="Medium","Purple",IF(TableRelationships12[[#This Row],[Rank Pedro]]="High","Brown","")))</f>
        <v/>
      </c>
      <c r="V1022" s="4">
        <f>MAX(INDEX(Standards!$F$2:$F$296,MATCH(B1022,Standards!$B$2:$B$296,0)),INDEX(Standards!$F$2:$F$296,MATCH(C1022,Standards!$B$2:$B$296,0)))</f>
        <v>39326</v>
      </c>
      <c r="W1022" t="str">
        <f t="shared" si="47"/>
        <v>#2f89d1</v>
      </c>
    </row>
    <row r="1023" spans="1:23" x14ac:dyDescent="0.5">
      <c r="A1023" s="54">
        <v>1022</v>
      </c>
      <c r="B1023" s="90" t="s">
        <v>334</v>
      </c>
      <c r="C1023" t="s">
        <v>296</v>
      </c>
      <c r="D1023" s="1"/>
      <c r="E1023" s="112">
        <v>2005.07</v>
      </c>
      <c r="F1023" s="112">
        <v>2024.09</v>
      </c>
      <c r="G1023" s="107" t="s">
        <v>670</v>
      </c>
      <c r="H1023">
        <f>INDEX('GIS-Standards'!$A$2:$A$305,MATCH(B1023,'GIS-Standards'!$B$2:$B$305,0))</f>
        <v>42</v>
      </c>
      <c r="I1023">
        <f>INDEX('GIS-Standards'!$A$2:$A$305,MATCH(C1023,'GIS-Standards'!$B$2:$B$305,0))</f>
        <v>12</v>
      </c>
      <c r="J1023" t="str">
        <f>INDEX('GIS-Standards'!$O$2:$O$305,MATCH(B1023,'GIS-Standards'!$B$2:$B$305,0))</f>
        <v>ISO/TC 211</v>
      </c>
      <c r="K1023" t="str">
        <f>INDEX('GIS-Standards'!$O$2:$O$305,MATCH(C1023,'GIS-Standards'!$B$2:$B$305,0))</f>
        <v>ISO/TC 211</v>
      </c>
      <c r="M1023" t="s">
        <v>525</v>
      </c>
      <c r="N1023">
        <f>INDEX('GIS-Standards'!$I$2:$I$305,MATCH(B1023,'GIS-Standards'!$B$2:$B$305,0))</f>
        <v>0</v>
      </c>
      <c r="O1023">
        <f>INDEX('GIS-Standards'!$I$2:$I$305,MATCH(C1023,'GIS-Standards'!$B$2:$B$305,0))</f>
        <v>0</v>
      </c>
      <c r="P1023" t="b">
        <f>AND(TableRelationships12[[#This Row],[Source Type]]="BIM",TableRelationships12[[#This Row],[Target Type]]="BIM")</f>
        <v>0</v>
      </c>
      <c r="Q1023">
        <f t="shared" si="45"/>
        <v>1</v>
      </c>
      <c r="S1023">
        <f t="shared" si="46"/>
        <v>1</v>
      </c>
      <c r="T1023" s="102" t="str">
        <f>IF(TableRelationships12[[#This Row],[Rank Pedro]]="Low","linkCategory1",IF(TableRelationships12[[#This Row],[Rank Pedro]]="Medium","linkCategory2",IF(TableRelationships12[[#This Row],[Rank Pedro]]="High","linkCategory3","")))</f>
        <v/>
      </c>
      <c r="U1023" s="102" t="str">
        <f>IF(TableRelationships12[[#This Row],[Rank Pedro]]="Low","Pink",IF(TableRelationships12[[#This Row],[Rank Pedro]]="Medium","Purple",IF(TableRelationships12[[#This Row],[Rank Pedro]]="High","Brown","")))</f>
        <v/>
      </c>
      <c r="V1023" s="4">
        <f>MAX(INDEX(Standards!$F$2:$F$296,MATCH(B1023,Standards!$B$2:$B$296,0)),INDEX(Standards!$F$2:$F$296,MATCH(C1023,Standards!$B$2:$B$296,0)))</f>
        <v>39326</v>
      </c>
      <c r="W1023" t="str">
        <f t="shared" si="47"/>
        <v>#2f89d1</v>
      </c>
    </row>
    <row r="1024" spans="1:23" x14ac:dyDescent="0.5">
      <c r="A1024" s="54">
        <v>1023</v>
      </c>
      <c r="B1024" s="90" t="s">
        <v>334</v>
      </c>
      <c r="C1024" t="s">
        <v>316</v>
      </c>
      <c r="D1024" s="1"/>
      <c r="E1024" s="112">
        <v>2005.07</v>
      </c>
      <c r="F1024" s="112">
        <v>2011.1</v>
      </c>
      <c r="G1024" s="107" t="s">
        <v>670</v>
      </c>
      <c r="H1024">
        <f>INDEX('GIS-Standards'!$A$2:$A$305,MATCH(B1024,'GIS-Standards'!$B$2:$B$305,0))</f>
        <v>42</v>
      </c>
      <c r="I1024">
        <f>INDEX('GIS-Standards'!$A$2:$A$305,MATCH(C1024,'GIS-Standards'!$B$2:$B$305,0))</f>
        <v>27</v>
      </c>
      <c r="J1024" t="str">
        <f>INDEX('GIS-Standards'!$O$2:$O$305,MATCH(B1024,'GIS-Standards'!$B$2:$B$305,0))</f>
        <v>ISO/TC 211</v>
      </c>
      <c r="K1024" t="str">
        <f>INDEX('GIS-Standards'!$O$2:$O$305,MATCH(C1024,'GIS-Standards'!$B$2:$B$305,0))</f>
        <v>ISO/TC 211</v>
      </c>
      <c r="M1024" t="s">
        <v>525</v>
      </c>
      <c r="N1024">
        <f>INDEX('GIS-Standards'!$I$2:$I$305,MATCH(B1024,'GIS-Standards'!$B$2:$B$305,0))</f>
        <v>0</v>
      </c>
      <c r="O1024">
        <f>INDEX('GIS-Standards'!$I$2:$I$305,MATCH(C1024,'GIS-Standards'!$B$2:$B$305,0))</f>
        <v>0</v>
      </c>
      <c r="P1024" t="b">
        <f>AND(TableRelationships12[[#This Row],[Source Type]]="BIM",TableRelationships12[[#This Row],[Target Type]]="BIM")</f>
        <v>0</v>
      </c>
      <c r="Q1024">
        <f t="shared" si="45"/>
        <v>1</v>
      </c>
      <c r="S1024">
        <f t="shared" si="46"/>
        <v>1</v>
      </c>
      <c r="T1024" s="102" t="str">
        <f>IF(TableRelationships12[[#This Row],[Rank Pedro]]="Low","linkCategory1",IF(TableRelationships12[[#This Row],[Rank Pedro]]="Medium","linkCategory2",IF(TableRelationships12[[#This Row],[Rank Pedro]]="High","linkCategory3","")))</f>
        <v/>
      </c>
      <c r="U1024" s="102" t="str">
        <f>IF(TableRelationships12[[#This Row],[Rank Pedro]]="Low","Pink",IF(TableRelationships12[[#This Row],[Rank Pedro]]="Medium","Purple",IF(TableRelationships12[[#This Row],[Rank Pedro]]="High","Brown","")))</f>
        <v/>
      </c>
      <c r="V1024" s="4">
        <f>MAX(INDEX(Standards!$F$2:$F$296,MATCH(B1024,Standards!$B$2:$B$296,0)),INDEX(Standards!$F$2:$F$296,MATCH(C1024,Standards!$B$2:$B$296,0)))</f>
        <v>39326</v>
      </c>
      <c r="W1024" t="str">
        <f t="shared" si="47"/>
        <v>#2f89d1</v>
      </c>
    </row>
    <row r="1025" spans="1:23" x14ac:dyDescent="0.5">
      <c r="A1025" s="54">
        <v>1024</v>
      </c>
      <c r="B1025" s="90" t="s">
        <v>334</v>
      </c>
      <c r="C1025" t="s">
        <v>653</v>
      </c>
      <c r="D1025" s="1" t="s">
        <v>1184</v>
      </c>
      <c r="E1025" s="113">
        <v>2007.04</v>
      </c>
      <c r="F1025" s="113">
        <v>2019.03</v>
      </c>
      <c r="G1025" s="107" t="s">
        <v>670</v>
      </c>
      <c r="H1025">
        <f>INDEX('GIS-Standards'!$A$2:$A$305,MATCH(B1025,'GIS-Standards'!$B$2:$B$305,0))</f>
        <v>42</v>
      </c>
      <c r="I1025">
        <f>INDEX('GIS-Standards'!$A$2:$A$305,MATCH(C1025,'GIS-Standards'!$B$2:$B$305,0))</f>
        <v>102</v>
      </c>
      <c r="J1025" t="str">
        <f>INDEX('GIS-Standards'!$O$2:$O$305,MATCH(B1025,'GIS-Standards'!$B$2:$B$305,0))</f>
        <v>ISO/TC 211</v>
      </c>
      <c r="K1025" t="str">
        <f>INDEX('GIS-Standards'!$O$2:$O$305,MATCH(C1025,'GIS-Standards'!$B$2:$B$305,0))</f>
        <v>ISO/TC 211</v>
      </c>
      <c r="M1025" t="s">
        <v>525</v>
      </c>
      <c r="N1025">
        <f>INDEX('GIS-Standards'!$I$2:$I$305,MATCH(B1025,'GIS-Standards'!$B$2:$B$305,0))</f>
        <v>0</v>
      </c>
      <c r="O1025">
        <f>INDEX('GIS-Standards'!$I$2:$I$305,MATCH(C1025,'GIS-Standards'!$B$2:$B$305,0))</f>
        <v>0</v>
      </c>
      <c r="P1025" t="b">
        <f>AND(TableRelationships12[[#This Row],[Source Type]]="BIM",TableRelationships12[[#This Row],[Target Type]]="BIM")</f>
        <v>0</v>
      </c>
      <c r="Q1025">
        <f t="shared" si="45"/>
        <v>1</v>
      </c>
      <c r="S1025">
        <f t="shared" si="46"/>
        <v>1</v>
      </c>
      <c r="T1025" s="102" t="str">
        <f>IF(TableRelationships12[[#This Row],[Rank Pedro]]="Low","linkCategory1",IF(TableRelationships12[[#This Row],[Rank Pedro]]="Medium","linkCategory2",IF(TableRelationships12[[#This Row],[Rank Pedro]]="High","linkCategory3","")))</f>
        <v/>
      </c>
      <c r="U1025" s="102" t="str">
        <f>IF(TableRelationships12[[#This Row],[Rank Pedro]]="Low","Pink",IF(TableRelationships12[[#This Row],[Rank Pedro]]="Medium","Purple",IF(TableRelationships12[[#This Row],[Rank Pedro]]="High","Brown","")))</f>
        <v/>
      </c>
      <c r="V1025" s="4" t="e">
        <f>MAX(INDEX(Standards!$F$2:$F$296,MATCH(B1025,Standards!$B$2:$B$296,0)),INDEX(Standards!$F$2:$F$296,MATCH(C1025,Standards!$B$2:$B$296,0)))</f>
        <v>#N/A</v>
      </c>
      <c r="W1025" t="str">
        <f t="shared" si="47"/>
        <v>#2f89d1</v>
      </c>
    </row>
    <row r="1026" spans="1:23" x14ac:dyDescent="0.5">
      <c r="A1026" s="54">
        <v>1025</v>
      </c>
      <c r="B1026" s="90" t="s">
        <v>334</v>
      </c>
      <c r="C1026" t="s">
        <v>296</v>
      </c>
      <c r="D1026" s="1"/>
      <c r="E1026" s="112">
        <v>2005.07</v>
      </c>
      <c r="F1026" s="112">
        <v>2024.09</v>
      </c>
      <c r="G1026" s="107" t="s">
        <v>670</v>
      </c>
      <c r="H1026">
        <f>INDEX('GIS-Standards'!$A$2:$A$305,MATCH(B1026,'GIS-Standards'!$B$2:$B$305,0))</f>
        <v>42</v>
      </c>
      <c r="I1026">
        <f>INDEX('GIS-Standards'!$A$2:$A$305,MATCH(C1026,'GIS-Standards'!$B$2:$B$305,0))</f>
        <v>12</v>
      </c>
      <c r="J1026" t="str">
        <f>INDEX('GIS-Standards'!$O$2:$O$305,MATCH(B1026,'GIS-Standards'!$B$2:$B$305,0))</f>
        <v>ISO/TC 211</v>
      </c>
      <c r="K1026" t="str">
        <f>INDEX('GIS-Standards'!$O$2:$O$305,MATCH(C1026,'GIS-Standards'!$B$2:$B$305,0))</f>
        <v>ISO/TC 211</v>
      </c>
      <c r="M1026" t="s">
        <v>525</v>
      </c>
      <c r="N1026">
        <f>INDEX('GIS-Standards'!$I$2:$I$305,MATCH(B1026,'GIS-Standards'!$B$2:$B$305,0))</f>
        <v>0</v>
      </c>
      <c r="O1026">
        <f>INDEX('GIS-Standards'!$I$2:$I$305,MATCH(C1026,'GIS-Standards'!$B$2:$B$305,0))</f>
        <v>0</v>
      </c>
      <c r="P1026" t="b">
        <f>AND(TableRelationships12[[#This Row],[Source Type]]="BIM",TableRelationships12[[#This Row],[Target Type]]="BIM")</f>
        <v>0</v>
      </c>
      <c r="Q1026">
        <f t="shared" ref="Q1026:Q1089" si="48">IF(M1026="Normative",6,IF(M1026="Secondary",4,IF(M1026="Anchor",2,1)))</f>
        <v>1</v>
      </c>
      <c r="S1026">
        <f t="shared" ref="S1026:S1089" si="49">IF(R1026="High",10,IF(R1026="Medium",6,IF(R1026="Low",2,1)))</f>
        <v>1</v>
      </c>
      <c r="T1026" s="102" t="str">
        <f>IF(TableRelationships12[[#This Row],[Rank Pedro]]="Low","linkCategory1",IF(TableRelationships12[[#This Row],[Rank Pedro]]="Medium","linkCategory2",IF(TableRelationships12[[#This Row],[Rank Pedro]]="High","linkCategory3","")))</f>
        <v/>
      </c>
      <c r="U1026" s="102" t="str">
        <f>IF(TableRelationships12[[#This Row],[Rank Pedro]]="Low","Pink",IF(TableRelationships12[[#This Row],[Rank Pedro]]="Medium","Purple",IF(TableRelationships12[[#This Row],[Rank Pedro]]="High","Brown","")))</f>
        <v/>
      </c>
      <c r="V1026" s="4">
        <f>MAX(INDEX(Standards!$F$2:$F$296,MATCH(B1026,Standards!$B$2:$B$296,0)),INDEX(Standards!$F$2:$F$296,MATCH(C1026,Standards!$B$2:$B$296,0)))</f>
        <v>39326</v>
      </c>
      <c r="W1026" t="str">
        <f t="shared" ref="W1026:W1089" si="50">IF(M1026="Normative", "#d6bf2a", IF(M1026="Informative", "#2f89d1", 1))</f>
        <v>#2f89d1</v>
      </c>
    </row>
    <row r="1027" spans="1:23" x14ac:dyDescent="0.5">
      <c r="A1027" s="54">
        <v>1026</v>
      </c>
      <c r="B1027" s="90" t="s">
        <v>334</v>
      </c>
      <c r="C1027" t="s">
        <v>302</v>
      </c>
      <c r="D1027" s="1"/>
      <c r="E1027" s="112">
        <v>2003.05</v>
      </c>
      <c r="F1027" s="112">
        <v>2019.12</v>
      </c>
      <c r="G1027" s="107" t="s">
        <v>670</v>
      </c>
      <c r="H1027">
        <f>INDEX('GIS-Standards'!$A$2:$A$305,MATCH(B1027,'GIS-Standards'!$B$2:$B$305,0))</f>
        <v>42</v>
      </c>
      <c r="I1027">
        <f>INDEX('GIS-Standards'!$A$2:$A$305,MATCH(C1027,'GIS-Standards'!$B$2:$B$305,0))</f>
        <v>16</v>
      </c>
      <c r="J1027" t="str">
        <f>INDEX('GIS-Standards'!$O$2:$O$305,MATCH(B1027,'GIS-Standards'!$B$2:$B$305,0))</f>
        <v>ISO/TC 211</v>
      </c>
      <c r="K1027" t="str">
        <f>INDEX('GIS-Standards'!$O$2:$O$305,MATCH(C1027,'GIS-Standards'!$B$2:$B$305,0))</f>
        <v>ISO/TC 211</v>
      </c>
      <c r="M1027" t="s">
        <v>525</v>
      </c>
      <c r="N1027">
        <f>INDEX('GIS-Standards'!$I$2:$I$305,MATCH(B1027,'GIS-Standards'!$B$2:$B$305,0))</f>
        <v>0</v>
      </c>
      <c r="O1027">
        <f>INDEX('GIS-Standards'!$I$2:$I$305,MATCH(C1027,'GIS-Standards'!$B$2:$B$305,0))</f>
        <v>0</v>
      </c>
      <c r="P1027" t="b">
        <f>AND(TableRelationships12[[#This Row],[Source Type]]="BIM",TableRelationships12[[#This Row],[Target Type]]="BIM")</f>
        <v>0</v>
      </c>
      <c r="Q1027">
        <f t="shared" si="48"/>
        <v>1</v>
      </c>
      <c r="S1027">
        <f t="shared" si="49"/>
        <v>1</v>
      </c>
      <c r="T1027" s="102" t="str">
        <f>IF(TableRelationships12[[#This Row],[Rank Pedro]]="Low","linkCategory1",IF(TableRelationships12[[#This Row],[Rank Pedro]]="Medium","linkCategory2",IF(TableRelationships12[[#This Row],[Rank Pedro]]="High","linkCategory3","")))</f>
        <v/>
      </c>
      <c r="U1027" s="102" t="str">
        <f>IF(TableRelationships12[[#This Row],[Rank Pedro]]="Low","Pink",IF(TableRelationships12[[#This Row],[Rank Pedro]]="Medium","Purple",IF(TableRelationships12[[#This Row],[Rank Pedro]]="High","Brown","")))</f>
        <v/>
      </c>
      <c r="V1027" s="4">
        <f>MAX(INDEX(Standards!$F$2:$F$296,MATCH(B1027,Standards!$B$2:$B$296,0)),INDEX(Standards!$F$2:$F$296,MATCH(C1027,Standards!$B$2:$B$296,0)))</f>
        <v>39326</v>
      </c>
      <c r="W1027" t="str">
        <f t="shared" si="50"/>
        <v>#2f89d1</v>
      </c>
    </row>
    <row r="1028" spans="1:23" x14ac:dyDescent="0.5">
      <c r="A1028" s="54">
        <v>1027</v>
      </c>
      <c r="B1028" s="90" t="s">
        <v>334</v>
      </c>
      <c r="C1028" t="s">
        <v>306</v>
      </c>
      <c r="D1028" s="1"/>
      <c r="E1028" s="112">
        <v>2005.06</v>
      </c>
      <c r="F1028" s="112">
        <v>2025.07</v>
      </c>
      <c r="G1028" s="107" t="s">
        <v>670</v>
      </c>
      <c r="H1028">
        <f>INDEX('GIS-Standards'!$A$2:$A$305,MATCH(B1028,'GIS-Standards'!$B$2:$B$305,0))</f>
        <v>42</v>
      </c>
      <c r="I1028">
        <f>INDEX('GIS-Standards'!$A$2:$A$305,MATCH(C1028,'GIS-Standards'!$B$2:$B$305,0))</f>
        <v>18</v>
      </c>
      <c r="J1028" t="str">
        <f>INDEX('GIS-Standards'!$O$2:$O$305,MATCH(B1028,'GIS-Standards'!$B$2:$B$305,0))</f>
        <v>ISO/TC 211</v>
      </c>
      <c r="K1028" t="str">
        <f>INDEX('GIS-Standards'!$O$2:$O$305,MATCH(C1028,'GIS-Standards'!$B$2:$B$305,0))</f>
        <v>ISO/TC 211</v>
      </c>
      <c r="M1028" t="s">
        <v>525</v>
      </c>
      <c r="N1028">
        <f>INDEX('GIS-Standards'!$I$2:$I$305,MATCH(B1028,'GIS-Standards'!$B$2:$B$305,0))</f>
        <v>0</v>
      </c>
      <c r="O1028">
        <f>INDEX('GIS-Standards'!$I$2:$I$305,MATCH(C1028,'GIS-Standards'!$B$2:$B$305,0))</f>
        <v>0</v>
      </c>
      <c r="P1028" t="b">
        <f>AND(TableRelationships12[[#This Row],[Source Type]]="BIM",TableRelationships12[[#This Row],[Target Type]]="BIM")</f>
        <v>0</v>
      </c>
      <c r="Q1028">
        <f t="shared" si="48"/>
        <v>1</v>
      </c>
      <c r="S1028">
        <f t="shared" si="49"/>
        <v>1</v>
      </c>
      <c r="T1028" s="102" t="str">
        <f>IF(TableRelationships12[[#This Row],[Rank Pedro]]="Low","linkCategory1",IF(TableRelationships12[[#This Row],[Rank Pedro]]="Medium","linkCategory2",IF(TableRelationships12[[#This Row],[Rank Pedro]]="High","linkCategory3","")))</f>
        <v/>
      </c>
      <c r="U1028" s="102" t="str">
        <f>IF(TableRelationships12[[#This Row],[Rank Pedro]]="Low","Pink",IF(TableRelationships12[[#This Row],[Rank Pedro]]="Medium","Purple",IF(TableRelationships12[[#This Row],[Rank Pedro]]="High","Brown","")))</f>
        <v/>
      </c>
      <c r="V1028" s="4">
        <f>MAX(INDEX(Standards!$F$2:$F$296,MATCH(B1028,Standards!$B$2:$B$296,0)),INDEX(Standards!$F$2:$F$296,MATCH(C1028,Standards!$B$2:$B$296,0)))</f>
        <v>39326</v>
      </c>
      <c r="W1028" t="str">
        <f t="shared" si="50"/>
        <v>#2f89d1</v>
      </c>
    </row>
    <row r="1029" spans="1:23" x14ac:dyDescent="0.5">
      <c r="A1029" s="54">
        <v>1028</v>
      </c>
      <c r="B1029" s="90" t="s">
        <v>334</v>
      </c>
      <c r="C1029" t="s">
        <v>310</v>
      </c>
      <c r="D1029" s="1"/>
      <c r="E1029" s="112">
        <v>2003.02</v>
      </c>
      <c r="F1029" s="112">
        <v>2023.08</v>
      </c>
      <c r="G1029" s="107" t="s">
        <v>670</v>
      </c>
      <c r="H1029">
        <f>INDEX('GIS-Standards'!$A$2:$A$305,MATCH(B1029,'GIS-Standards'!$B$2:$B$305,0))</f>
        <v>42</v>
      </c>
      <c r="I1029">
        <f>INDEX('GIS-Standards'!$A$2:$A$305,MATCH(C1029,'GIS-Standards'!$B$2:$B$305,0))</f>
        <v>20</v>
      </c>
      <c r="J1029" t="str">
        <f>INDEX('GIS-Standards'!$O$2:$O$305,MATCH(B1029,'GIS-Standards'!$B$2:$B$305,0))</f>
        <v>ISO/TC 211</v>
      </c>
      <c r="K1029" t="str">
        <f>INDEX('GIS-Standards'!$O$2:$O$305,MATCH(C1029,'GIS-Standards'!$B$2:$B$305,0))</f>
        <v>ISO/TC 211</v>
      </c>
      <c r="M1029" t="s">
        <v>525</v>
      </c>
      <c r="N1029">
        <f>INDEX('GIS-Standards'!$I$2:$I$305,MATCH(B1029,'GIS-Standards'!$B$2:$B$305,0))</f>
        <v>0</v>
      </c>
      <c r="O1029" t="str">
        <f>INDEX('GIS-Standards'!$I$2:$I$305,MATCH(C1029,'GIS-Standards'!$B$2:$B$305,0))</f>
        <v>08.2023</v>
      </c>
      <c r="P1029" t="b">
        <f>AND(TableRelationships12[[#This Row],[Source Type]]="BIM",TableRelationships12[[#This Row],[Target Type]]="BIM")</f>
        <v>0</v>
      </c>
      <c r="Q1029">
        <f t="shared" si="48"/>
        <v>1</v>
      </c>
      <c r="S1029">
        <f t="shared" si="49"/>
        <v>1</v>
      </c>
      <c r="T1029" s="102" t="str">
        <f>IF(TableRelationships12[[#This Row],[Rank Pedro]]="Low","linkCategory1",IF(TableRelationships12[[#This Row],[Rank Pedro]]="Medium","linkCategory2",IF(TableRelationships12[[#This Row],[Rank Pedro]]="High","linkCategory3","")))</f>
        <v/>
      </c>
      <c r="U1029" s="102" t="str">
        <f>IF(TableRelationships12[[#This Row],[Rank Pedro]]="Low","Pink",IF(TableRelationships12[[#This Row],[Rank Pedro]]="Medium","Purple",IF(TableRelationships12[[#This Row],[Rank Pedro]]="High","Brown","")))</f>
        <v/>
      </c>
      <c r="V1029" s="4">
        <f>MAX(INDEX(Standards!$F$2:$F$296,MATCH(B1029,Standards!$B$2:$B$296,0)),INDEX(Standards!$F$2:$F$296,MATCH(C1029,Standards!$B$2:$B$296,0)))</f>
        <v>39326</v>
      </c>
      <c r="W1029" t="str">
        <f t="shared" si="50"/>
        <v>#2f89d1</v>
      </c>
    </row>
    <row r="1030" spans="1:23" x14ac:dyDescent="0.5">
      <c r="A1030" s="54">
        <v>1029</v>
      </c>
      <c r="B1030" s="90" t="s">
        <v>334</v>
      </c>
      <c r="C1030" t="s">
        <v>314</v>
      </c>
      <c r="D1030" s="1" t="s">
        <v>1099</v>
      </c>
      <c r="E1030" s="112">
        <v>2003.05</v>
      </c>
      <c r="F1030" s="112">
        <v>2020.11</v>
      </c>
      <c r="G1030" s="107" t="s">
        <v>670</v>
      </c>
      <c r="H1030">
        <f>INDEX('GIS-Standards'!$A$2:$A$305,MATCH(B1030,'GIS-Standards'!$B$2:$B$305,0))</f>
        <v>42</v>
      </c>
      <c r="I1030">
        <f>INDEX('GIS-Standards'!$A$2:$A$305,MATCH(C1030,'GIS-Standards'!$B$2:$B$305,0))</f>
        <v>22</v>
      </c>
      <c r="J1030" t="str">
        <f>INDEX('GIS-Standards'!$O$2:$O$305,MATCH(B1030,'GIS-Standards'!$B$2:$B$305,0))</f>
        <v>ISO/TC 211</v>
      </c>
      <c r="K1030" t="str">
        <f>INDEX('GIS-Standards'!$O$2:$O$305,MATCH(C1030,'GIS-Standards'!$B$2:$B$305,0))</f>
        <v>ISO/TC 211</v>
      </c>
      <c r="M1030" t="s">
        <v>525</v>
      </c>
      <c r="N1030">
        <f>INDEX('GIS-Standards'!$I$2:$I$305,MATCH(B1030,'GIS-Standards'!$B$2:$B$305,0))</f>
        <v>0</v>
      </c>
      <c r="O1030" t="str">
        <f>INDEX('GIS-Standards'!$I$2:$I$305,MATCH(C1030,'GIS-Standards'!$B$2:$B$305,0))</f>
        <v>12.2020</v>
      </c>
      <c r="P1030" t="b">
        <f>AND(TableRelationships12[[#This Row],[Source Type]]="BIM",TableRelationships12[[#This Row],[Target Type]]="BIM")</f>
        <v>0</v>
      </c>
      <c r="Q1030">
        <f t="shared" si="48"/>
        <v>1</v>
      </c>
      <c r="S1030">
        <f t="shared" si="49"/>
        <v>1</v>
      </c>
      <c r="T1030" s="102" t="str">
        <f>IF(TableRelationships12[[#This Row],[Rank Pedro]]="Low","linkCategory1",IF(TableRelationships12[[#This Row],[Rank Pedro]]="Medium","linkCategory2",IF(TableRelationships12[[#This Row],[Rank Pedro]]="High","linkCategory3","")))</f>
        <v/>
      </c>
      <c r="U1030" s="102" t="str">
        <f>IF(TableRelationships12[[#This Row],[Rank Pedro]]="Low","Pink",IF(TableRelationships12[[#This Row],[Rank Pedro]]="Medium","Purple",IF(TableRelationships12[[#This Row],[Rank Pedro]]="High","Brown","")))</f>
        <v/>
      </c>
      <c r="V1030" s="4">
        <f>MAX(INDEX(Standards!$F$2:$F$296,MATCH(B1030,Standards!$B$2:$B$296,0)),INDEX(Standards!$F$2:$F$296,MATCH(C1030,Standards!$B$2:$B$296,0)))</f>
        <v>39326</v>
      </c>
      <c r="W1030" t="str">
        <f t="shared" si="50"/>
        <v>#2f89d1</v>
      </c>
    </row>
    <row r="1031" spans="1:23" x14ac:dyDescent="0.5">
      <c r="A1031" s="54">
        <v>1030</v>
      </c>
      <c r="B1031" s="90" t="s">
        <v>334</v>
      </c>
      <c r="C1031" t="s">
        <v>316</v>
      </c>
      <c r="D1031" s="1"/>
      <c r="E1031" s="112">
        <v>2005.07</v>
      </c>
      <c r="F1031" s="112">
        <v>2011.1</v>
      </c>
      <c r="G1031" s="107" t="s">
        <v>670</v>
      </c>
      <c r="H1031">
        <f>INDEX('GIS-Standards'!$A$2:$A$305,MATCH(B1031,'GIS-Standards'!$B$2:$B$305,0))</f>
        <v>42</v>
      </c>
      <c r="I1031">
        <f>INDEX('GIS-Standards'!$A$2:$A$305,MATCH(C1031,'GIS-Standards'!$B$2:$B$305,0))</f>
        <v>27</v>
      </c>
      <c r="J1031" t="str">
        <f>INDEX('GIS-Standards'!$O$2:$O$305,MATCH(B1031,'GIS-Standards'!$B$2:$B$305,0))</f>
        <v>ISO/TC 211</v>
      </c>
      <c r="K1031" t="str">
        <f>INDEX('GIS-Standards'!$O$2:$O$305,MATCH(C1031,'GIS-Standards'!$B$2:$B$305,0))</f>
        <v>ISO/TC 211</v>
      </c>
      <c r="M1031" t="s">
        <v>525</v>
      </c>
      <c r="N1031">
        <f>INDEX('GIS-Standards'!$I$2:$I$305,MATCH(B1031,'GIS-Standards'!$B$2:$B$305,0))</f>
        <v>0</v>
      </c>
      <c r="O1031">
        <f>INDEX('GIS-Standards'!$I$2:$I$305,MATCH(C1031,'GIS-Standards'!$B$2:$B$305,0))</f>
        <v>0</v>
      </c>
      <c r="P1031" t="b">
        <f>AND(TableRelationships12[[#This Row],[Source Type]]="BIM",TableRelationships12[[#This Row],[Target Type]]="BIM")</f>
        <v>0</v>
      </c>
      <c r="Q1031">
        <f t="shared" si="48"/>
        <v>1</v>
      </c>
      <c r="S1031">
        <f t="shared" si="49"/>
        <v>1</v>
      </c>
      <c r="T1031" s="102" t="str">
        <f>IF(TableRelationships12[[#This Row],[Rank Pedro]]="Low","linkCategory1",IF(TableRelationships12[[#This Row],[Rank Pedro]]="Medium","linkCategory2",IF(TableRelationships12[[#This Row],[Rank Pedro]]="High","linkCategory3","")))</f>
        <v/>
      </c>
      <c r="U1031" s="102" t="str">
        <f>IF(TableRelationships12[[#This Row],[Rank Pedro]]="Low","Pink",IF(TableRelationships12[[#This Row],[Rank Pedro]]="Medium","Purple",IF(TableRelationships12[[#This Row],[Rank Pedro]]="High","Brown","")))</f>
        <v/>
      </c>
      <c r="V1031" s="4">
        <f>MAX(INDEX(Standards!$F$2:$F$296,MATCH(B1031,Standards!$B$2:$B$296,0)),INDEX(Standards!$F$2:$F$296,MATCH(C1031,Standards!$B$2:$B$296,0)))</f>
        <v>39326</v>
      </c>
      <c r="W1031" t="str">
        <f t="shared" si="50"/>
        <v>#2f89d1</v>
      </c>
    </row>
    <row r="1032" spans="1:23" x14ac:dyDescent="0.5">
      <c r="A1032" s="54">
        <v>1031</v>
      </c>
      <c r="B1032" s="90" t="s">
        <v>1049</v>
      </c>
      <c r="C1032" t="s">
        <v>527</v>
      </c>
      <c r="D1032" s="1"/>
      <c r="E1032" s="112" t="s">
        <v>960</v>
      </c>
      <c r="F1032" s="112" t="s">
        <v>962</v>
      </c>
      <c r="G1032" s="121" t="s">
        <v>670</v>
      </c>
      <c r="H1032">
        <f>INDEX('GIS-Standards'!$A$2:$A$305,MATCH(B1032,'GIS-Standards'!$B$2:$B$305,0))</f>
        <v>43</v>
      </c>
      <c r="I1032" t="e">
        <f>INDEX('GIS-Standards'!$A$2:$A$305,MATCH(C1032,'GIS-Standards'!$B$2:$B$305,0))</f>
        <v>#N/A</v>
      </c>
      <c r="J1032" t="str">
        <f>INDEX('GIS-Standards'!$O$2:$O$305,MATCH(B1032,'GIS-Standards'!$B$2:$B$305,0))</f>
        <v>ISO/TC 211</v>
      </c>
      <c r="K1032" t="e">
        <f>INDEX('GIS-Standards'!$O$2:$O$305,MATCH(C1032,'GIS-Standards'!$B$2:$B$305,0))</f>
        <v>#N/A</v>
      </c>
      <c r="M1032" t="s">
        <v>237</v>
      </c>
      <c r="N1032">
        <f>INDEX('GIS-Standards'!$I$2:$I$305,MATCH(B1032,'GIS-Standards'!$B$2:$B$305,0))</f>
        <v>0</v>
      </c>
      <c r="O1032" t="e">
        <f>INDEX('GIS-Standards'!$I$2:$I$305,MATCH(C1032,'GIS-Standards'!$B$2:$B$305,0))</f>
        <v>#N/A</v>
      </c>
      <c r="P1032" t="e">
        <f>AND(TableRelationships12[[#This Row],[Source Type]]="BIM",TableRelationships12[[#This Row],[Target Type]]="BIM")</f>
        <v>#N/A</v>
      </c>
      <c r="Q1032">
        <f t="shared" si="48"/>
        <v>2</v>
      </c>
      <c r="S1032">
        <f t="shared" si="49"/>
        <v>1</v>
      </c>
      <c r="T1032" s="102" t="str">
        <f>IF(TableRelationships12[[#This Row],[Rank Pedro]]="Low","linkCategory1",IF(TableRelationships12[[#This Row],[Rank Pedro]]="Medium","linkCategory2",IF(TableRelationships12[[#This Row],[Rank Pedro]]="High","linkCategory3","")))</f>
        <v/>
      </c>
      <c r="U1032" s="102" t="str">
        <f>IF(TableRelationships12[[#This Row],[Rank Pedro]]="Low","Pink",IF(TableRelationships12[[#This Row],[Rank Pedro]]="Medium","Purple",IF(TableRelationships12[[#This Row],[Rank Pedro]]="High","Brown","")))</f>
        <v/>
      </c>
      <c r="V1032" s="4" t="e">
        <f>MAX(INDEX(Standards!$F$2:$F$296,MATCH(B1032,Standards!$B$2:$B$296,0)),INDEX(Standards!$F$2:$F$296,MATCH(C1032,Standards!$B$2:$B$296,0)))</f>
        <v>#N/A</v>
      </c>
      <c r="W1032">
        <f t="shared" si="50"/>
        <v>1</v>
      </c>
    </row>
    <row r="1033" spans="1:23" x14ac:dyDescent="0.5">
      <c r="A1033" s="54">
        <v>1032</v>
      </c>
      <c r="B1033" s="90" t="s">
        <v>1049</v>
      </c>
      <c r="C1033" t="s">
        <v>334</v>
      </c>
      <c r="D1033" s="1" t="s">
        <v>1036</v>
      </c>
      <c r="E1033" s="113">
        <v>2007.09</v>
      </c>
      <c r="F1033" s="113">
        <v>2020.01</v>
      </c>
      <c r="G1033" s="107" t="s">
        <v>670</v>
      </c>
      <c r="H1033">
        <f>INDEX('GIS-Standards'!$A$2:$A$305,MATCH(B1033,'GIS-Standards'!$B$2:$B$305,0))</f>
        <v>43</v>
      </c>
      <c r="I1033">
        <f>INDEX('GIS-Standards'!$A$2:$A$305,MATCH(C1033,'GIS-Standards'!$B$2:$B$305,0))</f>
        <v>42</v>
      </c>
      <c r="J1033" t="str">
        <f>INDEX('GIS-Standards'!$O$2:$O$305,MATCH(B1033,'GIS-Standards'!$B$2:$B$305,0))</f>
        <v>ISO/TC 211</v>
      </c>
      <c r="K1033" t="str">
        <f>INDEX('GIS-Standards'!$O$2:$O$305,MATCH(C1033,'GIS-Standards'!$B$2:$B$305,0))</f>
        <v>ISO/TC 211</v>
      </c>
      <c r="M1033" t="s">
        <v>524</v>
      </c>
      <c r="N1033">
        <f>INDEX('GIS-Standards'!$I$2:$I$305,MATCH(B1033,'GIS-Standards'!$B$2:$B$305,0))</f>
        <v>0</v>
      </c>
      <c r="O1033">
        <f>INDEX('GIS-Standards'!$I$2:$I$305,MATCH(C1033,'GIS-Standards'!$B$2:$B$305,0))</f>
        <v>0</v>
      </c>
      <c r="P1033" t="b">
        <f>AND(TableRelationships12[[#This Row],[Source Type]]="BIM",TableRelationships12[[#This Row],[Target Type]]="BIM")</f>
        <v>0</v>
      </c>
      <c r="Q1033">
        <f t="shared" si="48"/>
        <v>6</v>
      </c>
      <c r="S1033">
        <f t="shared" si="49"/>
        <v>1</v>
      </c>
      <c r="T1033" s="102" t="str">
        <f>IF(TableRelationships12[[#This Row],[Rank Pedro]]="Low","linkCategory1",IF(TableRelationships12[[#This Row],[Rank Pedro]]="Medium","linkCategory2",IF(TableRelationships12[[#This Row],[Rank Pedro]]="High","linkCategory3","")))</f>
        <v/>
      </c>
      <c r="U1033" s="102" t="str">
        <f>IF(TableRelationships12[[#This Row],[Rank Pedro]]="Low","Pink",IF(TableRelationships12[[#This Row],[Rank Pedro]]="Medium","Purple",IF(TableRelationships12[[#This Row],[Rank Pedro]]="High","Brown","")))</f>
        <v/>
      </c>
      <c r="V1033" s="4" t="e">
        <f>MAX(INDEX(Standards!$F$2:$F$296,MATCH(B1033,Standards!$B$2:$B$296,0)),INDEX(Standards!$F$2:$F$296,MATCH(C1033,Standards!$B$2:$B$296,0)))</f>
        <v>#N/A</v>
      </c>
      <c r="W1033" t="str">
        <f t="shared" si="50"/>
        <v>#d6bf2a</v>
      </c>
    </row>
    <row r="1034" spans="1:23" x14ac:dyDescent="0.5">
      <c r="A1034" s="54">
        <v>1033</v>
      </c>
      <c r="B1034" s="90" t="s">
        <v>1049</v>
      </c>
      <c r="C1034" t="s">
        <v>344</v>
      </c>
      <c r="D1034" s="1"/>
      <c r="E1034" s="112">
        <v>2012.02</v>
      </c>
      <c r="F1034" s="112">
        <v>2021.04</v>
      </c>
      <c r="G1034" s="107" t="s">
        <v>670</v>
      </c>
      <c r="H1034">
        <f>INDEX('GIS-Standards'!$A$2:$A$305,MATCH(B1034,'GIS-Standards'!$B$2:$B$305,0))</f>
        <v>43</v>
      </c>
      <c r="I1034">
        <f>INDEX('GIS-Standards'!$A$2:$A$305,MATCH(C1034,'GIS-Standards'!$B$2:$B$305,0))</f>
        <v>53</v>
      </c>
      <c r="J1034" t="str">
        <f>INDEX('GIS-Standards'!$O$2:$O$305,MATCH(B1034,'GIS-Standards'!$B$2:$B$305,0))</f>
        <v>ISO/TC 211</v>
      </c>
      <c r="K1034" t="str">
        <f>INDEX('GIS-Standards'!$O$2:$O$305,MATCH(C1034,'GIS-Standards'!$B$2:$B$305,0))</f>
        <v>ISO/TC 211</v>
      </c>
      <c r="M1034" t="s">
        <v>524</v>
      </c>
      <c r="N1034">
        <f>INDEX('GIS-Standards'!$I$2:$I$305,MATCH(B1034,'GIS-Standards'!$B$2:$B$305,0))</f>
        <v>0</v>
      </c>
      <c r="O1034">
        <f>INDEX('GIS-Standards'!$I$2:$I$305,MATCH(C1034,'GIS-Standards'!$B$2:$B$305,0))</f>
        <v>0</v>
      </c>
      <c r="P1034" t="b">
        <f>AND(TableRelationships12[[#This Row],[Source Type]]="BIM",TableRelationships12[[#This Row],[Target Type]]="BIM")</f>
        <v>0</v>
      </c>
      <c r="Q1034">
        <f t="shared" si="48"/>
        <v>6</v>
      </c>
      <c r="S1034">
        <f t="shared" si="49"/>
        <v>1</v>
      </c>
      <c r="T1034" s="102" t="str">
        <f>IF(TableRelationships12[[#This Row],[Rank Pedro]]="Low","linkCategory1",IF(TableRelationships12[[#This Row],[Rank Pedro]]="Medium","linkCategory2",IF(TableRelationships12[[#This Row],[Rank Pedro]]="High","linkCategory3","")))</f>
        <v/>
      </c>
      <c r="U1034" s="102" t="str">
        <f>IF(TableRelationships12[[#This Row],[Rank Pedro]]="Low","Pink",IF(TableRelationships12[[#This Row],[Rank Pedro]]="Medium","Purple",IF(TableRelationships12[[#This Row],[Rank Pedro]]="High","Brown","")))</f>
        <v/>
      </c>
      <c r="V1034" s="4" t="e">
        <f>MAX(INDEX(Standards!$F$2:$F$296,MATCH(B1034,Standards!$B$2:$B$296,0)),INDEX(Standards!$F$2:$F$296,MATCH(C1034,Standards!$B$2:$B$296,0)))</f>
        <v>#N/A</v>
      </c>
      <c r="W1034" t="str">
        <f t="shared" si="50"/>
        <v>#d6bf2a</v>
      </c>
    </row>
    <row r="1035" spans="1:23" x14ac:dyDescent="0.5">
      <c r="A1035" s="54">
        <v>1034</v>
      </c>
      <c r="B1035" s="90" t="s">
        <v>1049</v>
      </c>
      <c r="C1035" t="s">
        <v>1193</v>
      </c>
      <c r="D1035" s="1"/>
      <c r="G1035" s="107"/>
      <c r="H1035">
        <f>INDEX('GIS-Standards'!$A$2:$A$305,MATCH(B1035,'GIS-Standards'!$B$2:$B$305,0))</f>
        <v>43</v>
      </c>
      <c r="I1035" t="e">
        <f>INDEX('GIS-Standards'!$A$2:$A$305,MATCH(C1035,'GIS-Standards'!$B$2:$B$305,0))</f>
        <v>#N/A</v>
      </c>
      <c r="J1035" t="str">
        <f>INDEX('GIS-Standards'!$O$2:$O$305,MATCH(B1035,'GIS-Standards'!$B$2:$B$305,0))</f>
        <v>ISO/TC 211</v>
      </c>
      <c r="K1035" t="e">
        <f>INDEX('GIS-Standards'!$O$2:$O$305,MATCH(C1035,'GIS-Standards'!$B$2:$B$305,0))</f>
        <v>#N/A</v>
      </c>
      <c r="M1035" t="s">
        <v>524</v>
      </c>
      <c r="N1035">
        <f>INDEX('GIS-Standards'!$I$2:$I$305,MATCH(B1035,'GIS-Standards'!$B$2:$B$305,0))</f>
        <v>0</v>
      </c>
      <c r="O1035" t="e">
        <f>INDEX('GIS-Standards'!$I$2:$I$305,MATCH(C1035,'GIS-Standards'!$B$2:$B$305,0))</f>
        <v>#N/A</v>
      </c>
      <c r="P1035" t="e">
        <f>AND(TableRelationships12[[#This Row],[Source Type]]="BIM",TableRelationships12[[#This Row],[Target Type]]="BIM")</f>
        <v>#N/A</v>
      </c>
      <c r="Q1035">
        <f t="shared" si="48"/>
        <v>6</v>
      </c>
      <c r="S1035">
        <f t="shared" si="49"/>
        <v>1</v>
      </c>
      <c r="T1035" s="102" t="str">
        <f>IF(TableRelationships12[[#This Row],[Rank Pedro]]="Low","linkCategory1",IF(TableRelationships12[[#This Row],[Rank Pedro]]="Medium","linkCategory2",IF(TableRelationships12[[#This Row],[Rank Pedro]]="High","linkCategory3","")))</f>
        <v/>
      </c>
      <c r="U1035" s="102" t="str">
        <f>IF(TableRelationships12[[#This Row],[Rank Pedro]]="Low","Pink",IF(TableRelationships12[[#This Row],[Rank Pedro]]="Medium","Purple",IF(TableRelationships12[[#This Row],[Rank Pedro]]="High","Brown","")))</f>
        <v/>
      </c>
      <c r="V1035" s="4" t="e">
        <f>MAX(INDEX(Standards!$F$2:$F$296,MATCH(B1035,Standards!$B$2:$B$296,0)),INDEX(Standards!$F$2:$F$296,MATCH(C1035,Standards!$B$2:$B$296,0)))</f>
        <v>#N/A</v>
      </c>
      <c r="W1035" t="str">
        <f t="shared" si="50"/>
        <v>#d6bf2a</v>
      </c>
    </row>
    <row r="1036" spans="1:23" x14ac:dyDescent="0.5">
      <c r="A1036" s="54">
        <v>1035</v>
      </c>
      <c r="B1036" s="90" t="s">
        <v>1049</v>
      </c>
      <c r="C1036" t="s">
        <v>220</v>
      </c>
      <c r="D1036" s="1"/>
      <c r="E1036" s="112">
        <v>1999.12</v>
      </c>
      <c r="F1036" s="112">
        <v>2016.01</v>
      </c>
      <c r="G1036" s="107" t="s">
        <v>1504</v>
      </c>
      <c r="H1036">
        <f>INDEX('GIS-Standards'!$A$2:$A$305,MATCH(B1036,'GIS-Standards'!$B$2:$B$305,0))</f>
        <v>43</v>
      </c>
      <c r="I1036" t="e">
        <f>INDEX('GIS-Standards'!$A$2:$A$305,MATCH(C1036,'GIS-Standards'!$B$2:$B$305,0))</f>
        <v>#N/A</v>
      </c>
      <c r="J1036" t="str">
        <f>INDEX('GIS-Standards'!$O$2:$O$305,MATCH(B1036,'GIS-Standards'!$B$2:$B$305,0))</f>
        <v>ISO/TC 211</v>
      </c>
      <c r="K1036" t="e">
        <f>INDEX('GIS-Standards'!$O$2:$O$305,MATCH(C1036,'GIS-Standards'!$B$2:$B$305,0))</f>
        <v>#N/A</v>
      </c>
      <c r="M1036" t="s">
        <v>524</v>
      </c>
      <c r="N1036">
        <f>INDEX('GIS-Standards'!$I$2:$I$305,MATCH(B1036,'GIS-Standards'!$B$2:$B$305,0))</f>
        <v>0</v>
      </c>
      <c r="O1036" t="e">
        <f>INDEX('GIS-Standards'!$I$2:$I$305,MATCH(C1036,'GIS-Standards'!$B$2:$B$305,0))</f>
        <v>#N/A</v>
      </c>
      <c r="P1036" t="e">
        <f>AND(TableRelationships12[[#This Row],[Source Type]]="BIM",TableRelationships12[[#This Row],[Target Type]]="BIM")</f>
        <v>#N/A</v>
      </c>
      <c r="Q1036">
        <f t="shared" si="48"/>
        <v>6</v>
      </c>
      <c r="S1036">
        <f t="shared" si="49"/>
        <v>1</v>
      </c>
      <c r="T1036" s="102" t="str">
        <f>IF(TableRelationships12[[#This Row],[Rank Pedro]]="Low","linkCategory1",IF(TableRelationships12[[#This Row],[Rank Pedro]]="Medium","linkCategory2",IF(TableRelationships12[[#This Row],[Rank Pedro]]="High","linkCategory3","")))</f>
        <v/>
      </c>
      <c r="U1036" s="102" t="str">
        <f>IF(TableRelationships12[[#This Row],[Rank Pedro]]="Low","Pink",IF(TableRelationships12[[#This Row],[Rank Pedro]]="Medium","Purple",IF(TableRelationships12[[#This Row],[Rank Pedro]]="High","Brown","")))</f>
        <v/>
      </c>
      <c r="V1036" s="4" t="e">
        <f>MAX(INDEX(Standards!$F$2:$F$296,MATCH(B1036,Standards!$B$2:$B$296,0)),INDEX(Standards!$F$2:$F$296,MATCH(C1036,Standards!$B$2:$B$296,0)))</f>
        <v>#N/A</v>
      </c>
      <c r="W1036" t="str">
        <f t="shared" si="50"/>
        <v>#d6bf2a</v>
      </c>
    </row>
    <row r="1037" spans="1:23" x14ac:dyDescent="0.5">
      <c r="A1037" s="54">
        <v>1036</v>
      </c>
      <c r="B1037" s="90" t="s">
        <v>1049</v>
      </c>
      <c r="C1037" t="s">
        <v>1072</v>
      </c>
      <c r="D1037" s="1" t="s">
        <v>1172</v>
      </c>
      <c r="E1037" s="113">
        <v>2011.07</v>
      </c>
      <c r="F1037" s="113">
        <v>2020.03</v>
      </c>
      <c r="G1037" s="107" t="s">
        <v>1456</v>
      </c>
      <c r="H1037">
        <f>INDEX('GIS-Standards'!$A$2:$A$305,MATCH(B1037,'GIS-Standards'!$B$2:$B$305,0))</f>
        <v>43</v>
      </c>
      <c r="I1037" t="e">
        <f>INDEX('GIS-Standards'!$A$2:$A$305,MATCH(C1037,'GIS-Standards'!$B$2:$B$305,0))</f>
        <v>#N/A</v>
      </c>
      <c r="J1037" t="str">
        <f>INDEX('GIS-Standards'!$O$2:$O$305,MATCH(B1037,'GIS-Standards'!$B$2:$B$305,0))</f>
        <v>ISO/TC 211</v>
      </c>
      <c r="K1037" t="e">
        <f>INDEX('GIS-Standards'!$O$2:$O$305,MATCH(C1037,'GIS-Standards'!$B$2:$B$305,0))</f>
        <v>#N/A</v>
      </c>
      <c r="M1037" t="s">
        <v>525</v>
      </c>
      <c r="N1037">
        <f>INDEX('GIS-Standards'!$I$2:$I$305,MATCH(B1037,'GIS-Standards'!$B$2:$B$305,0))</f>
        <v>0</v>
      </c>
      <c r="O1037" t="e">
        <f>INDEX('GIS-Standards'!$I$2:$I$305,MATCH(C1037,'GIS-Standards'!$B$2:$B$305,0))</f>
        <v>#N/A</v>
      </c>
      <c r="P1037" t="e">
        <f>AND(TableRelationships12[[#This Row],[Source Type]]="BIM",TableRelationships12[[#This Row],[Target Type]]="BIM")</f>
        <v>#N/A</v>
      </c>
      <c r="Q1037">
        <f t="shared" si="48"/>
        <v>1</v>
      </c>
      <c r="S1037">
        <f t="shared" si="49"/>
        <v>1</v>
      </c>
      <c r="T1037" s="102" t="str">
        <f>IF(TableRelationships12[[#This Row],[Rank Pedro]]="Low","linkCategory1",IF(TableRelationships12[[#This Row],[Rank Pedro]]="Medium","linkCategory2",IF(TableRelationships12[[#This Row],[Rank Pedro]]="High","linkCategory3","")))</f>
        <v/>
      </c>
      <c r="U1037" s="102" t="str">
        <f>IF(TableRelationships12[[#This Row],[Rank Pedro]]="Low","Pink",IF(TableRelationships12[[#This Row],[Rank Pedro]]="Medium","Purple",IF(TableRelationships12[[#This Row],[Rank Pedro]]="High","Brown","")))</f>
        <v/>
      </c>
      <c r="V1037" s="4" t="e">
        <f>MAX(INDEX(Standards!$F$2:$F$296,MATCH(B1037,Standards!$B$2:$B$296,0)),INDEX(Standards!$F$2:$F$296,MATCH(C1037,Standards!$B$2:$B$296,0)))</f>
        <v>#N/A</v>
      </c>
      <c r="W1037" t="str">
        <f t="shared" si="50"/>
        <v>#2f89d1</v>
      </c>
    </row>
    <row r="1038" spans="1:23" x14ac:dyDescent="0.5">
      <c r="A1038" s="54">
        <v>1037</v>
      </c>
      <c r="B1038" s="90" t="s">
        <v>1049</v>
      </c>
      <c r="C1038" t="s">
        <v>1073</v>
      </c>
      <c r="D1038" s="1" t="s">
        <v>1172</v>
      </c>
      <c r="E1038" s="113">
        <v>2011.07</v>
      </c>
      <c r="F1038" s="113">
        <v>2020.11</v>
      </c>
      <c r="G1038" s="107" t="s">
        <v>1456</v>
      </c>
      <c r="H1038">
        <f>INDEX('GIS-Standards'!$A$2:$A$305,MATCH(B1038,'GIS-Standards'!$B$2:$B$305,0))</f>
        <v>43</v>
      </c>
      <c r="I1038" t="e">
        <f>INDEX('GIS-Standards'!$A$2:$A$305,MATCH(C1038,'GIS-Standards'!$B$2:$B$305,0))</f>
        <v>#N/A</v>
      </c>
      <c r="J1038" t="str">
        <f>INDEX('GIS-Standards'!$O$2:$O$305,MATCH(B1038,'GIS-Standards'!$B$2:$B$305,0))</f>
        <v>ISO/TC 211</v>
      </c>
      <c r="K1038" t="e">
        <f>INDEX('GIS-Standards'!$O$2:$O$305,MATCH(C1038,'GIS-Standards'!$B$2:$B$305,0))</f>
        <v>#N/A</v>
      </c>
      <c r="M1038" t="s">
        <v>525</v>
      </c>
      <c r="N1038">
        <f>INDEX('GIS-Standards'!$I$2:$I$305,MATCH(B1038,'GIS-Standards'!$B$2:$B$305,0))</f>
        <v>0</v>
      </c>
      <c r="O1038" t="e">
        <f>INDEX('GIS-Standards'!$I$2:$I$305,MATCH(C1038,'GIS-Standards'!$B$2:$B$305,0))</f>
        <v>#N/A</v>
      </c>
      <c r="P1038" t="e">
        <f>AND(TableRelationships12[[#This Row],[Source Type]]="BIM",TableRelationships12[[#This Row],[Target Type]]="BIM")</f>
        <v>#N/A</v>
      </c>
      <c r="Q1038">
        <f t="shared" si="48"/>
        <v>1</v>
      </c>
      <c r="S1038">
        <f t="shared" si="49"/>
        <v>1</v>
      </c>
      <c r="T1038" s="102" t="str">
        <f>IF(TableRelationships12[[#This Row],[Rank Pedro]]="Low","linkCategory1",IF(TableRelationships12[[#This Row],[Rank Pedro]]="Medium","linkCategory2",IF(TableRelationships12[[#This Row],[Rank Pedro]]="High","linkCategory3","")))</f>
        <v/>
      </c>
      <c r="U1038" s="102" t="str">
        <f>IF(TableRelationships12[[#This Row],[Rank Pedro]]="Low","Pink",IF(TableRelationships12[[#This Row],[Rank Pedro]]="Medium","Purple",IF(TableRelationships12[[#This Row],[Rank Pedro]]="High","Brown","")))</f>
        <v/>
      </c>
      <c r="V1038" s="4" t="e">
        <f>MAX(INDEX(Standards!$F$2:$F$296,MATCH(B1038,Standards!$B$2:$B$296,0)),INDEX(Standards!$F$2:$F$296,MATCH(C1038,Standards!$B$2:$B$296,0)))</f>
        <v>#N/A</v>
      </c>
      <c r="W1038" t="str">
        <f t="shared" si="50"/>
        <v>#2f89d1</v>
      </c>
    </row>
    <row r="1039" spans="1:23" x14ac:dyDescent="0.5">
      <c r="A1039" s="54">
        <v>1038</v>
      </c>
      <c r="B1039" s="90" t="s">
        <v>1049</v>
      </c>
      <c r="C1039" t="s">
        <v>302</v>
      </c>
      <c r="D1039" s="1"/>
      <c r="E1039" s="112">
        <v>2003.05</v>
      </c>
      <c r="F1039" s="112">
        <v>2019.12</v>
      </c>
      <c r="G1039" s="107" t="s">
        <v>670</v>
      </c>
      <c r="H1039">
        <f>INDEX('GIS-Standards'!$A$2:$A$305,MATCH(B1039,'GIS-Standards'!$B$2:$B$305,0))</f>
        <v>43</v>
      </c>
      <c r="I1039">
        <f>INDEX('GIS-Standards'!$A$2:$A$305,MATCH(C1039,'GIS-Standards'!$B$2:$B$305,0))</f>
        <v>16</v>
      </c>
      <c r="J1039" t="str">
        <f>INDEX('GIS-Standards'!$O$2:$O$305,MATCH(B1039,'GIS-Standards'!$B$2:$B$305,0))</f>
        <v>ISO/TC 211</v>
      </c>
      <c r="K1039" t="str">
        <f>INDEX('GIS-Standards'!$O$2:$O$305,MATCH(C1039,'GIS-Standards'!$B$2:$B$305,0))</f>
        <v>ISO/TC 211</v>
      </c>
      <c r="M1039" t="s">
        <v>525</v>
      </c>
      <c r="N1039">
        <f>INDEX('GIS-Standards'!$I$2:$I$305,MATCH(B1039,'GIS-Standards'!$B$2:$B$305,0))</f>
        <v>0</v>
      </c>
      <c r="O1039">
        <f>INDEX('GIS-Standards'!$I$2:$I$305,MATCH(C1039,'GIS-Standards'!$B$2:$B$305,0))</f>
        <v>0</v>
      </c>
      <c r="P1039" t="b">
        <f>AND(TableRelationships12[[#This Row],[Source Type]]="BIM",TableRelationships12[[#This Row],[Target Type]]="BIM")</f>
        <v>0</v>
      </c>
      <c r="Q1039">
        <f t="shared" si="48"/>
        <v>1</v>
      </c>
      <c r="S1039">
        <f t="shared" si="49"/>
        <v>1</v>
      </c>
      <c r="T1039" s="102" t="str">
        <f>IF(TableRelationships12[[#This Row],[Rank Pedro]]="Low","linkCategory1",IF(TableRelationships12[[#This Row],[Rank Pedro]]="Medium","linkCategory2",IF(TableRelationships12[[#This Row],[Rank Pedro]]="High","linkCategory3","")))</f>
        <v/>
      </c>
      <c r="U1039" s="102" t="str">
        <f>IF(TableRelationships12[[#This Row],[Rank Pedro]]="Low","Pink",IF(TableRelationships12[[#This Row],[Rank Pedro]]="Medium","Purple",IF(TableRelationships12[[#This Row],[Rank Pedro]]="High","Brown","")))</f>
        <v/>
      </c>
      <c r="V1039" s="4" t="e">
        <f>MAX(INDEX(Standards!$F$2:$F$296,MATCH(B1039,Standards!$B$2:$B$296,0)),INDEX(Standards!$F$2:$F$296,MATCH(C1039,Standards!$B$2:$B$296,0)))</f>
        <v>#N/A</v>
      </c>
      <c r="W1039" t="str">
        <f t="shared" si="50"/>
        <v>#2f89d1</v>
      </c>
    </row>
    <row r="1040" spans="1:23" x14ac:dyDescent="0.5">
      <c r="A1040" s="54">
        <v>1039</v>
      </c>
      <c r="B1040" s="90" t="s">
        <v>1049</v>
      </c>
      <c r="C1040" t="s">
        <v>304</v>
      </c>
      <c r="D1040" s="1"/>
      <c r="E1040" s="112">
        <v>2002.09</v>
      </c>
      <c r="F1040" s="112">
        <v>2006.1</v>
      </c>
      <c r="G1040" s="107" t="s">
        <v>670</v>
      </c>
      <c r="H1040">
        <f>INDEX('GIS-Standards'!$A$2:$A$305,MATCH(B1040,'GIS-Standards'!$B$2:$B$305,0))</f>
        <v>43</v>
      </c>
      <c r="I1040">
        <f>INDEX('GIS-Standards'!$A$2:$A$305,MATCH(C1040,'GIS-Standards'!$B$2:$B$305,0))</f>
        <v>17</v>
      </c>
      <c r="J1040" t="str">
        <f>INDEX('GIS-Standards'!$O$2:$O$305,MATCH(B1040,'GIS-Standards'!$B$2:$B$305,0))</f>
        <v>ISO/TC 211</v>
      </c>
      <c r="K1040" t="str">
        <f>INDEX('GIS-Standards'!$O$2:$O$305,MATCH(C1040,'GIS-Standards'!$B$2:$B$305,0))</f>
        <v>ISO/TC 211</v>
      </c>
      <c r="M1040" t="s">
        <v>525</v>
      </c>
      <c r="N1040">
        <f>INDEX('GIS-Standards'!$I$2:$I$305,MATCH(B1040,'GIS-Standards'!$B$2:$B$305,0))</f>
        <v>0</v>
      </c>
      <c r="O1040" t="str">
        <f>INDEX('GIS-Standards'!$I$2:$I$305,MATCH(C1040,'GIS-Standards'!$B$2:$B$305,0))</f>
        <v>06.2008</v>
      </c>
      <c r="P1040" t="b">
        <f>AND(TableRelationships12[[#This Row],[Source Type]]="BIM",TableRelationships12[[#This Row],[Target Type]]="BIM")</f>
        <v>0</v>
      </c>
      <c r="Q1040">
        <f t="shared" si="48"/>
        <v>1</v>
      </c>
      <c r="S1040">
        <f t="shared" si="49"/>
        <v>1</v>
      </c>
      <c r="T1040" s="102" t="str">
        <f>IF(TableRelationships12[[#This Row],[Rank Pedro]]="Low","linkCategory1",IF(TableRelationships12[[#This Row],[Rank Pedro]]="Medium","linkCategory2",IF(TableRelationships12[[#This Row],[Rank Pedro]]="High","linkCategory3","")))</f>
        <v/>
      </c>
      <c r="U1040" s="102" t="str">
        <f>IF(TableRelationships12[[#This Row],[Rank Pedro]]="Low","Pink",IF(TableRelationships12[[#This Row],[Rank Pedro]]="Medium","Purple",IF(TableRelationships12[[#This Row],[Rank Pedro]]="High","Brown","")))</f>
        <v/>
      </c>
      <c r="V1040" s="4" t="e">
        <f>MAX(INDEX(Standards!$F$2:$F$296,MATCH(B1040,Standards!$B$2:$B$296,0)),INDEX(Standards!$F$2:$F$296,MATCH(C1040,Standards!$B$2:$B$296,0)))</f>
        <v>#N/A</v>
      </c>
      <c r="W1040" t="str">
        <f t="shared" si="50"/>
        <v>#2f89d1</v>
      </c>
    </row>
    <row r="1041" spans="1:23" x14ac:dyDescent="0.5">
      <c r="A1041" s="54">
        <v>1040</v>
      </c>
      <c r="B1041" s="90" t="s">
        <v>1049</v>
      </c>
      <c r="C1041" t="s">
        <v>306</v>
      </c>
      <c r="D1041" s="1"/>
      <c r="E1041" s="112">
        <v>2005.06</v>
      </c>
      <c r="F1041" s="112">
        <v>2025.07</v>
      </c>
      <c r="G1041" s="107" t="s">
        <v>670</v>
      </c>
      <c r="H1041">
        <f>INDEX('GIS-Standards'!$A$2:$A$305,MATCH(B1041,'GIS-Standards'!$B$2:$B$305,0))</f>
        <v>43</v>
      </c>
      <c r="I1041">
        <f>INDEX('GIS-Standards'!$A$2:$A$305,MATCH(C1041,'GIS-Standards'!$B$2:$B$305,0))</f>
        <v>18</v>
      </c>
      <c r="J1041" t="str">
        <f>INDEX('GIS-Standards'!$O$2:$O$305,MATCH(B1041,'GIS-Standards'!$B$2:$B$305,0))</f>
        <v>ISO/TC 211</v>
      </c>
      <c r="K1041" t="str">
        <f>INDEX('GIS-Standards'!$O$2:$O$305,MATCH(C1041,'GIS-Standards'!$B$2:$B$305,0))</f>
        <v>ISO/TC 211</v>
      </c>
      <c r="M1041" t="s">
        <v>525</v>
      </c>
      <c r="N1041">
        <f>INDEX('GIS-Standards'!$I$2:$I$305,MATCH(B1041,'GIS-Standards'!$B$2:$B$305,0))</f>
        <v>0</v>
      </c>
      <c r="O1041">
        <f>INDEX('GIS-Standards'!$I$2:$I$305,MATCH(C1041,'GIS-Standards'!$B$2:$B$305,0))</f>
        <v>0</v>
      </c>
      <c r="P1041" t="b">
        <f>AND(TableRelationships12[[#This Row],[Source Type]]="BIM",TableRelationships12[[#This Row],[Target Type]]="BIM")</f>
        <v>0</v>
      </c>
      <c r="Q1041">
        <f t="shared" si="48"/>
        <v>1</v>
      </c>
      <c r="S1041">
        <f t="shared" si="49"/>
        <v>1</v>
      </c>
      <c r="T1041" s="102" t="str">
        <f>IF(TableRelationships12[[#This Row],[Rank Pedro]]="Low","linkCategory1",IF(TableRelationships12[[#This Row],[Rank Pedro]]="Medium","linkCategory2",IF(TableRelationships12[[#This Row],[Rank Pedro]]="High","linkCategory3","")))</f>
        <v/>
      </c>
      <c r="U1041" s="102" t="str">
        <f>IF(TableRelationships12[[#This Row],[Rank Pedro]]="Low","Pink",IF(TableRelationships12[[#This Row],[Rank Pedro]]="Medium","Purple",IF(TableRelationships12[[#This Row],[Rank Pedro]]="High","Brown","")))</f>
        <v/>
      </c>
      <c r="V1041" s="4" t="e">
        <f>MAX(INDEX(Standards!$F$2:$F$296,MATCH(B1041,Standards!$B$2:$B$296,0)),INDEX(Standards!$F$2:$F$296,MATCH(C1041,Standards!$B$2:$B$296,0)))</f>
        <v>#N/A</v>
      </c>
      <c r="W1041" t="str">
        <f t="shared" si="50"/>
        <v>#2f89d1</v>
      </c>
    </row>
    <row r="1042" spans="1:23" x14ac:dyDescent="0.5">
      <c r="A1042" s="54">
        <v>1041</v>
      </c>
      <c r="B1042" s="90" t="s">
        <v>1049</v>
      </c>
      <c r="C1042" t="s">
        <v>310</v>
      </c>
      <c r="D1042" s="1"/>
      <c r="E1042" s="112">
        <v>2003.02</v>
      </c>
      <c r="F1042" s="112">
        <v>2023.08</v>
      </c>
      <c r="G1042" s="107" t="s">
        <v>670</v>
      </c>
      <c r="H1042">
        <f>INDEX('GIS-Standards'!$A$2:$A$305,MATCH(B1042,'GIS-Standards'!$B$2:$B$305,0))</f>
        <v>43</v>
      </c>
      <c r="I1042">
        <f>INDEX('GIS-Standards'!$A$2:$A$305,MATCH(C1042,'GIS-Standards'!$B$2:$B$305,0))</f>
        <v>20</v>
      </c>
      <c r="J1042" t="str">
        <f>INDEX('GIS-Standards'!$O$2:$O$305,MATCH(B1042,'GIS-Standards'!$B$2:$B$305,0))</f>
        <v>ISO/TC 211</v>
      </c>
      <c r="K1042" t="str">
        <f>INDEX('GIS-Standards'!$O$2:$O$305,MATCH(C1042,'GIS-Standards'!$B$2:$B$305,0))</f>
        <v>ISO/TC 211</v>
      </c>
      <c r="M1042" t="s">
        <v>525</v>
      </c>
      <c r="N1042">
        <f>INDEX('GIS-Standards'!$I$2:$I$305,MATCH(B1042,'GIS-Standards'!$B$2:$B$305,0))</f>
        <v>0</v>
      </c>
      <c r="O1042" t="str">
        <f>INDEX('GIS-Standards'!$I$2:$I$305,MATCH(C1042,'GIS-Standards'!$B$2:$B$305,0))</f>
        <v>08.2023</v>
      </c>
      <c r="P1042" t="b">
        <f>AND(TableRelationships12[[#This Row],[Source Type]]="BIM",TableRelationships12[[#This Row],[Target Type]]="BIM")</f>
        <v>0</v>
      </c>
      <c r="Q1042">
        <f t="shared" si="48"/>
        <v>1</v>
      </c>
      <c r="S1042">
        <f t="shared" si="49"/>
        <v>1</v>
      </c>
      <c r="T1042" s="102" t="str">
        <f>IF(TableRelationships12[[#This Row],[Rank Pedro]]="Low","linkCategory1",IF(TableRelationships12[[#This Row],[Rank Pedro]]="Medium","linkCategory2",IF(TableRelationships12[[#This Row],[Rank Pedro]]="High","linkCategory3","")))</f>
        <v/>
      </c>
      <c r="U1042" s="102" t="str">
        <f>IF(TableRelationships12[[#This Row],[Rank Pedro]]="Low","Pink",IF(TableRelationships12[[#This Row],[Rank Pedro]]="Medium","Purple",IF(TableRelationships12[[#This Row],[Rank Pedro]]="High","Brown","")))</f>
        <v/>
      </c>
      <c r="V1042" s="4" t="e">
        <f>MAX(INDEX(Standards!$F$2:$F$296,MATCH(B1042,Standards!$B$2:$B$296,0)),INDEX(Standards!$F$2:$F$296,MATCH(C1042,Standards!$B$2:$B$296,0)))</f>
        <v>#N/A</v>
      </c>
      <c r="W1042" t="str">
        <f t="shared" si="50"/>
        <v>#2f89d1</v>
      </c>
    </row>
    <row r="1043" spans="1:23" x14ac:dyDescent="0.5">
      <c r="A1043" s="54">
        <v>1042</v>
      </c>
      <c r="B1043" s="90" t="s">
        <v>1049</v>
      </c>
      <c r="C1043" t="s">
        <v>316</v>
      </c>
      <c r="D1043" s="1"/>
      <c r="E1043" s="112">
        <v>2005.07</v>
      </c>
      <c r="F1043" s="112">
        <v>2011.1</v>
      </c>
      <c r="G1043" s="107" t="s">
        <v>670</v>
      </c>
      <c r="H1043">
        <f>INDEX('GIS-Standards'!$A$2:$A$305,MATCH(B1043,'GIS-Standards'!$B$2:$B$305,0))</f>
        <v>43</v>
      </c>
      <c r="I1043">
        <f>INDEX('GIS-Standards'!$A$2:$A$305,MATCH(C1043,'GIS-Standards'!$B$2:$B$305,0))</f>
        <v>27</v>
      </c>
      <c r="J1043" t="str">
        <f>INDEX('GIS-Standards'!$O$2:$O$305,MATCH(B1043,'GIS-Standards'!$B$2:$B$305,0))</f>
        <v>ISO/TC 211</v>
      </c>
      <c r="K1043" t="str">
        <f>INDEX('GIS-Standards'!$O$2:$O$305,MATCH(C1043,'GIS-Standards'!$B$2:$B$305,0))</f>
        <v>ISO/TC 211</v>
      </c>
      <c r="M1043" t="s">
        <v>525</v>
      </c>
      <c r="N1043">
        <f>INDEX('GIS-Standards'!$I$2:$I$305,MATCH(B1043,'GIS-Standards'!$B$2:$B$305,0))</f>
        <v>0</v>
      </c>
      <c r="O1043">
        <f>INDEX('GIS-Standards'!$I$2:$I$305,MATCH(C1043,'GIS-Standards'!$B$2:$B$305,0))</f>
        <v>0</v>
      </c>
      <c r="P1043" t="b">
        <f>AND(TableRelationships12[[#This Row],[Source Type]]="BIM",TableRelationships12[[#This Row],[Target Type]]="BIM")</f>
        <v>0</v>
      </c>
      <c r="Q1043">
        <f t="shared" si="48"/>
        <v>1</v>
      </c>
      <c r="S1043">
        <f t="shared" si="49"/>
        <v>1</v>
      </c>
      <c r="T1043" s="102" t="str">
        <f>IF(TableRelationships12[[#This Row],[Rank Pedro]]="Low","linkCategory1",IF(TableRelationships12[[#This Row],[Rank Pedro]]="Medium","linkCategory2",IF(TableRelationships12[[#This Row],[Rank Pedro]]="High","linkCategory3","")))</f>
        <v/>
      </c>
      <c r="U1043" s="102" t="str">
        <f>IF(TableRelationships12[[#This Row],[Rank Pedro]]="Low","Pink",IF(TableRelationships12[[#This Row],[Rank Pedro]]="Medium","Purple",IF(TableRelationships12[[#This Row],[Rank Pedro]]="High","Brown","")))</f>
        <v/>
      </c>
      <c r="V1043" s="4" t="e">
        <f>MAX(INDEX(Standards!$F$2:$F$296,MATCH(B1043,Standards!$B$2:$B$296,0)),INDEX(Standards!$F$2:$F$296,MATCH(C1043,Standards!$B$2:$B$296,0)))</f>
        <v>#N/A</v>
      </c>
      <c r="W1043" t="str">
        <f t="shared" si="50"/>
        <v>#2f89d1</v>
      </c>
    </row>
    <row r="1044" spans="1:23" x14ac:dyDescent="0.5">
      <c r="A1044" s="54">
        <v>1043</v>
      </c>
      <c r="B1044" s="90" t="s">
        <v>1049</v>
      </c>
      <c r="C1044" t="s">
        <v>320</v>
      </c>
      <c r="D1044" s="1" t="s">
        <v>1100</v>
      </c>
      <c r="E1044" s="112">
        <v>2005.08</v>
      </c>
      <c r="F1044" s="112">
        <v>2023.06</v>
      </c>
      <c r="G1044" s="107" t="s">
        <v>670</v>
      </c>
      <c r="H1044">
        <f>INDEX('GIS-Standards'!$A$2:$A$305,MATCH(B1044,'GIS-Standards'!$B$2:$B$305,0))</f>
        <v>43</v>
      </c>
      <c r="I1044">
        <f>INDEX('GIS-Standards'!$A$2:$A$305,MATCH(C1044,'GIS-Standards'!$B$2:$B$305,0))</f>
        <v>29</v>
      </c>
      <c r="J1044" t="str">
        <f>INDEX('GIS-Standards'!$O$2:$O$305,MATCH(B1044,'GIS-Standards'!$B$2:$B$305,0))</f>
        <v>ISO/TC 211</v>
      </c>
      <c r="K1044" t="str">
        <f>INDEX('GIS-Standards'!$O$2:$O$305,MATCH(C1044,'GIS-Standards'!$B$2:$B$305,0))</f>
        <v>ISO/TC 211</v>
      </c>
      <c r="M1044" t="s">
        <v>525</v>
      </c>
      <c r="N1044">
        <f>INDEX('GIS-Standards'!$I$2:$I$305,MATCH(B1044,'GIS-Standards'!$B$2:$B$305,0))</f>
        <v>0</v>
      </c>
      <c r="O1044">
        <f>INDEX('GIS-Standards'!$I$2:$I$305,MATCH(C1044,'GIS-Standards'!$B$2:$B$305,0))</f>
        <v>0</v>
      </c>
      <c r="P1044" t="b">
        <f>AND(TableRelationships12[[#This Row],[Source Type]]="BIM",TableRelationships12[[#This Row],[Target Type]]="BIM")</f>
        <v>0</v>
      </c>
      <c r="Q1044">
        <f t="shared" si="48"/>
        <v>1</v>
      </c>
      <c r="S1044">
        <f t="shared" si="49"/>
        <v>1</v>
      </c>
      <c r="T1044" s="102" t="str">
        <f>IF(TableRelationships12[[#This Row],[Rank Pedro]]="Low","linkCategory1",IF(TableRelationships12[[#This Row],[Rank Pedro]]="Medium","linkCategory2",IF(TableRelationships12[[#This Row],[Rank Pedro]]="High","linkCategory3","")))</f>
        <v/>
      </c>
      <c r="U1044" s="102" t="str">
        <f>IF(TableRelationships12[[#This Row],[Rank Pedro]]="Low","Pink",IF(TableRelationships12[[#This Row],[Rank Pedro]]="Medium","Purple",IF(TableRelationships12[[#This Row],[Rank Pedro]]="High","Brown","")))</f>
        <v/>
      </c>
      <c r="V1044" s="4" t="e">
        <f>MAX(INDEX(Standards!$F$2:$F$296,MATCH(B1044,Standards!$B$2:$B$296,0)),INDEX(Standards!$F$2:$F$296,MATCH(C1044,Standards!$B$2:$B$296,0)))</f>
        <v>#N/A</v>
      </c>
      <c r="W1044" t="str">
        <f t="shared" si="50"/>
        <v>#2f89d1</v>
      </c>
    </row>
    <row r="1045" spans="1:23" x14ac:dyDescent="0.5">
      <c r="A1045" s="54">
        <v>1044</v>
      </c>
      <c r="B1045" s="90" t="s">
        <v>1049</v>
      </c>
      <c r="C1045" t="s">
        <v>1046</v>
      </c>
      <c r="D1045" s="1"/>
      <c r="E1045" s="112">
        <v>2004.08</v>
      </c>
      <c r="F1045" s="112">
        <v>2004.11</v>
      </c>
      <c r="G1045" s="107" t="s">
        <v>670</v>
      </c>
      <c r="H1045">
        <f>INDEX('GIS-Standards'!$A$2:$A$305,MATCH(B1045,'GIS-Standards'!$B$2:$B$305,0))</f>
        <v>43</v>
      </c>
      <c r="I1045">
        <f>INDEX('GIS-Standards'!$A$2:$A$305,MATCH(C1045,'GIS-Standards'!$B$2:$B$305,0))</f>
        <v>32</v>
      </c>
      <c r="J1045" t="str">
        <f>INDEX('GIS-Standards'!$O$2:$O$305,MATCH(B1045,'GIS-Standards'!$B$2:$B$305,0))</f>
        <v>ISO/TC 211</v>
      </c>
      <c r="K1045" t="str">
        <f>INDEX('GIS-Standards'!$O$2:$O$305,MATCH(C1045,'GIS-Standards'!$B$2:$B$305,0))</f>
        <v>ISO/TC 211</v>
      </c>
      <c r="M1045" t="s">
        <v>525</v>
      </c>
      <c r="N1045">
        <f>INDEX('GIS-Standards'!$I$2:$I$305,MATCH(B1045,'GIS-Standards'!$B$2:$B$305,0))</f>
        <v>0</v>
      </c>
      <c r="O1045">
        <f>INDEX('GIS-Standards'!$I$2:$I$305,MATCH(C1045,'GIS-Standards'!$B$2:$B$305,0))</f>
        <v>0</v>
      </c>
      <c r="P1045" t="b">
        <f>AND(TableRelationships12[[#This Row],[Source Type]]="BIM",TableRelationships12[[#This Row],[Target Type]]="BIM")</f>
        <v>0</v>
      </c>
      <c r="Q1045">
        <f t="shared" si="48"/>
        <v>1</v>
      </c>
      <c r="S1045">
        <f t="shared" si="49"/>
        <v>1</v>
      </c>
      <c r="T1045" s="102" t="str">
        <f>IF(TableRelationships12[[#This Row],[Rank Pedro]]="Low","linkCategory1",IF(TableRelationships12[[#This Row],[Rank Pedro]]="Medium","linkCategory2",IF(TableRelationships12[[#This Row],[Rank Pedro]]="High","linkCategory3","")))</f>
        <v/>
      </c>
      <c r="U1045" s="102" t="str">
        <f>IF(TableRelationships12[[#This Row],[Rank Pedro]]="Low","Pink",IF(TableRelationships12[[#This Row],[Rank Pedro]]="Medium","Purple",IF(TableRelationships12[[#This Row],[Rank Pedro]]="High","Brown","")))</f>
        <v/>
      </c>
      <c r="V1045" s="4" t="e">
        <f>MAX(INDEX(Standards!$F$2:$F$296,MATCH(B1045,Standards!$B$2:$B$296,0)),INDEX(Standards!$F$2:$F$296,MATCH(C1045,Standards!$B$2:$B$296,0)))</f>
        <v>#N/A</v>
      </c>
      <c r="W1045" t="str">
        <f t="shared" si="50"/>
        <v>#2f89d1</v>
      </c>
    </row>
    <row r="1046" spans="1:23" x14ac:dyDescent="0.5">
      <c r="A1046" s="54">
        <v>1045</v>
      </c>
      <c r="B1046" s="90" t="s">
        <v>1049</v>
      </c>
      <c r="C1046" t="s">
        <v>332</v>
      </c>
      <c r="D1046" s="1"/>
      <c r="E1046" s="112">
        <v>2005.1</v>
      </c>
      <c r="F1046" s="112">
        <v>2005.1</v>
      </c>
      <c r="G1046" s="107" t="s">
        <v>670</v>
      </c>
      <c r="H1046">
        <f>INDEX('GIS-Standards'!$A$2:$A$305,MATCH(B1046,'GIS-Standards'!$B$2:$B$305,0))</f>
        <v>43</v>
      </c>
      <c r="I1046">
        <f>INDEX('GIS-Standards'!$A$2:$A$305,MATCH(C1046,'GIS-Standards'!$B$2:$B$305,0))</f>
        <v>39</v>
      </c>
      <c r="J1046" t="str">
        <f>INDEX('GIS-Standards'!$O$2:$O$305,MATCH(B1046,'GIS-Standards'!$B$2:$B$305,0))</f>
        <v>ISO/TC 211</v>
      </c>
      <c r="K1046" t="str">
        <f>INDEX('GIS-Standards'!$O$2:$O$305,MATCH(C1046,'GIS-Standards'!$B$2:$B$305,0))</f>
        <v>ISO/TC 211</v>
      </c>
      <c r="M1046" t="s">
        <v>525</v>
      </c>
      <c r="N1046">
        <f>INDEX('GIS-Standards'!$I$2:$I$305,MATCH(B1046,'GIS-Standards'!$B$2:$B$305,0))</f>
        <v>0</v>
      </c>
      <c r="O1046">
        <f>INDEX('GIS-Standards'!$I$2:$I$305,MATCH(C1046,'GIS-Standards'!$B$2:$B$305,0))</f>
        <v>0</v>
      </c>
      <c r="P1046" t="b">
        <f>AND(TableRelationships12[[#This Row],[Source Type]]="BIM",TableRelationships12[[#This Row],[Target Type]]="BIM")</f>
        <v>0</v>
      </c>
      <c r="Q1046">
        <f t="shared" si="48"/>
        <v>1</v>
      </c>
      <c r="S1046">
        <f t="shared" si="49"/>
        <v>1</v>
      </c>
      <c r="T1046" s="102" t="str">
        <f>IF(TableRelationships12[[#This Row],[Rank Pedro]]="Low","linkCategory1",IF(TableRelationships12[[#This Row],[Rank Pedro]]="Medium","linkCategory2",IF(TableRelationships12[[#This Row],[Rank Pedro]]="High","linkCategory3","")))</f>
        <v/>
      </c>
      <c r="U1046" s="102" t="str">
        <f>IF(TableRelationships12[[#This Row],[Rank Pedro]]="Low","Pink",IF(TableRelationships12[[#This Row],[Rank Pedro]]="Medium","Purple",IF(TableRelationships12[[#This Row],[Rank Pedro]]="High","Brown","")))</f>
        <v/>
      </c>
      <c r="V1046" s="4" t="e">
        <f>MAX(INDEX(Standards!$F$2:$F$296,MATCH(B1046,Standards!$B$2:$B$296,0)),INDEX(Standards!$F$2:$F$296,MATCH(C1046,Standards!$B$2:$B$296,0)))</f>
        <v>#N/A</v>
      </c>
      <c r="W1046" t="str">
        <f t="shared" si="50"/>
        <v>#2f89d1</v>
      </c>
    </row>
    <row r="1047" spans="1:23" x14ac:dyDescent="0.5">
      <c r="A1047" s="54">
        <v>1046</v>
      </c>
      <c r="B1047" s="90" t="s">
        <v>1049</v>
      </c>
      <c r="C1047" t="s">
        <v>296</v>
      </c>
      <c r="D1047" s="1"/>
      <c r="E1047" s="112">
        <v>2005.07</v>
      </c>
      <c r="F1047" s="112">
        <v>2024.09</v>
      </c>
      <c r="G1047" s="107" t="s">
        <v>670</v>
      </c>
      <c r="H1047">
        <f>INDEX('GIS-Standards'!$A$2:$A$305,MATCH(B1047,'GIS-Standards'!$B$2:$B$305,0))</f>
        <v>43</v>
      </c>
      <c r="I1047">
        <f>INDEX('GIS-Standards'!$A$2:$A$305,MATCH(C1047,'GIS-Standards'!$B$2:$B$305,0))</f>
        <v>12</v>
      </c>
      <c r="J1047" t="str">
        <f>INDEX('GIS-Standards'!$O$2:$O$305,MATCH(B1047,'GIS-Standards'!$B$2:$B$305,0))</f>
        <v>ISO/TC 211</v>
      </c>
      <c r="K1047" t="str">
        <f>INDEX('GIS-Standards'!$O$2:$O$305,MATCH(C1047,'GIS-Standards'!$B$2:$B$305,0))</f>
        <v>ISO/TC 211</v>
      </c>
      <c r="M1047" t="s">
        <v>525</v>
      </c>
      <c r="N1047">
        <f>INDEX('GIS-Standards'!$I$2:$I$305,MATCH(B1047,'GIS-Standards'!$B$2:$B$305,0))</f>
        <v>0</v>
      </c>
      <c r="O1047">
        <f>INDEX('GIS-Standards'!$I$2:$I$305,MATCH(C1047,'GIS-Standards'!$B$2:$B$305,0))</f>
        <v>0</v>
      </c>
      <c r="P1047" t="b">
        <f>AND(TableRelationships12[[#This Row],[Source Type]]="BIM",TableRelationships12[[#This Row],[Target Type]]="BIM")</f>
        <v>0</v>
      </c>
      <c r="Q1047">
        <f t="shared" si="48"/>
        <v>1</v>
      </c>
      <c r="S1047">
        <f t="shared" si="49"/>
        <v>1</v>
      </c>
      <c r="T1047" s="102" t="str">
        <f>IF(TableRelationships12[[#This Row],[Rank Pedro]]="Low","linkCategory1",IF(TableRelationships12[[#This Row],[Rank Pedro]]="Medium","linkCategory2",IF(TableRelationships12[[#This Row],[Rank Pedro]]="High","linkCategory3","")))</f>
        <v/>
      </c>
      <c r="U1047" s="102" t="str">
        <f>IF(TableRelationships12[[#This Row],[Rank Pedro]]="Low","Pink",IF(TableRelationships12[[#This Row],[Rank Pedro]]="Medium","Purple",IF(TableRelationships12[[#This Row],[Rank Pedro]]="High","Brown","")))</f>
        <v/>
      </c>
      <c r="V1047" s="4" t="e">
        <f>MAX(INDEX(Standards!$F$2:$F$296,MATCH(B1047,Standards!$B$2:$B$296,0)),INDEX(Standards!$F$2:$F$296,MATCH(C1047,Standards!$B$2:$B$296,0)))</f>
        <v>#N/A</v>
      </c>
      <c r="W1047" t="str">
        <f t="shared" si="50"/>
        <v>#2f89d1</v>
      </c>
    </row>
    <row r="1048" spans="1:23" x14ac:dyDescent="0.5">
      <c r="A1048" s="54">
        <v>1047</v>
      </c>
      <c r="B1048" s="90" t="s">
        <v>1049</v>
      </c>
      <c r="C1048" t="s">
        <v>1535</v>
      </c>
      <c r="D1048" s="1"/>
      <c r="G1048" s="107"/>
      <c r="H1048">
        <f>INDEX('GIS-Standards'!$A$2:$A$305,MATCH(B1048,'GIS-Standards'!$B$2:$B$305,0))</f>
        <v>43</v>
      </c>
      <c r="I1048" t="e">
        <f>INDEX('GIS-Standards'!$A$2:$A$305,MATCH(C1048,'GIS-Standards'!$B$2:$B$305,0))</f>
        <v>#N/A</v>
      </c>
      <c r="J1048" t="str">
        <f>INDEX('GIS-Standards'!$O$2:$O$305,MATCH(B1048,'GIS-Standards'!$B$2:$B$305,0))</f>
        <v>ISO/TC 211</v>
      </c>
      <c r="K1048" t="e">
        <f>INDEX('GIS-Standards'!$O$2:$O$305,MATCH(C1048,'GIS-Standards'!$B$2:$B$305,0))</f>
        <v>#N/A</v>
      </c>
      <c r="M1048" t="s">
        <v>525</v>
      </c>
      <c r="N1048">
        <f>INDEX('GIS-Standards'!$I$2:$I$305,MATCH(B1048,'GIS-Standards'!$B$2:$B$305,0))</f>
        <v>0</v>
      </c>
      <c r="O1048" t="e">
        <f>INDEX('GIS-Standards'!$I$2:$I$305,MATCH(C1048,'GIS-Standards'!$B$2:$B$305,0))</f>
        <v>#N/A</v>
      </c>
      <c r="P1048" t="e">
        <f>AND(TableRelationships12[[#This Row],[Source Type]]="BIM",TableRelationships12[[#This Row],[Target Type]]="BIM")</f>
        <v>#N/A</v>
      </c>
      <c r="Q1048">
        <f t="shared" si="48"/>
        <v>1</v>
      </c>
      <c r="S1048">
        <f t="shared" si="49"/>
        <v>1</v>
      </c>
      <c r="T1048" s="102" t="str">
        <f>IF(TableRelationships12[[#This Row],[Rank Pedro]]="Low","linkCategory1",IF(TableRelationships12[[#This Row],[Rank Pedro]]="Medium","linkCategory2",IF(TableRelationships12[[#This Row],[Rank Pedro]]="High","linkCategory3","")))</f>
        <v/>
      </c>
      <c r="U1048" s="102" t="str">
        <f>IF(TableRelationships12[[#This Row],[Rank Pedro]]="Low","Pink",IF(TableRelationships12[[#This Row],[Rank Pedro]]="Medium","Purple",IF(TableRelationships12[[#This Row],[Rank Pedro]]="High","Brown","")))</f>
        <v/>
      </c>
      <c r="V1048" s="4" t="e">
        <f>MAX(INDEX(Standards!$F$2:$F$296,MATCH(B1048,Standards!$B$2:$B$296,0)),INDEX(Standards!$F$2:$F$296,MATCH(C1048,Standards!$B$2:$B$296,0)))</f>
        <v>#N/A</v>
      </c>
      <c r="W1048" t="str">
        <f t="shared" si="50"/>
        <v>#2f89d1</v>
      </c>
    </row>
    <row r="1049" spans="1:23" x14ac:dyDescent="0.5">
      <c r="A1049" s="54">
        <v>1048</v>
      </c>
      <c r="B1049" s="90" t="s">
        <v>1049</v>
      </c>
      <c r="C1049" t="s">
        <v>1571</v>
      </c>
      <c r="D1049" s="1"/>
      <c r="G1049" s="107"/>
      <c r="H1049">
        <f>INDEX('GIS-Standards'!$A$2:$A$305,MATCH(B1049,'GIS-Standards'!$B$2:$B$305,0))</f>
        <v>43</v>
      </c>
      <c r="I1049" t="e">
        <f>INDEX('GIS-Standards'!$A$2:$A$305,MATCH(C1049,'GIS-Standards'!$B$2:$B$305,0))</f>
        <v>#N/A</v>
      </c>
      <c r="J1049" t="str">
        <f>INDEX('GIS-Standards'!$O$2:$O$305,MATCH(B1049,'GIS-Standards'!$B$2:$B$305,0))</f>
        <v>ISO/TC 211</v>
      </c>
      <c r="K1049" t="e">
        <f>INDEX('GIS-Standards'!$O$2:$O$305,MATCH(C1049,'GIS-Standards'!$B$2:$B$305,0))</f>
        <v>#N/A</v>
      </c>
      <c r="M1049" t="s">
        <v>525</v>
      </c>
      <c r="N1049">
        <f>INDEX('GIS-Standards'!$I$2:$I$305,MATCH(B1049,'GIS-Standards'!$B$2:$B$305,0))</f>
        <v>0</v>
      </c>
      <c r="O1049" t="e">
        <f>INDEX('GIS-Standards'!$I$2:$I$305,MATCH(C1049,'GIS-Standards'!$B$2:$B$305,0))</f>
        <v>#N/A</v>
      </c>
      <c r="P1049" t="e">
        <f>AND(TableRelationships12[[#This Row],[Source Type]]="BIM",TableRelationships12[[#This Row],[Target Type]]="BIM")</f>
        <v>#N/A</v>
      </c>
      <c r="Q1049">
        <f t="shared" si="48"/>
        <v>1</v>
      </c>
      <c r="S1049">
        <f t="shared" si="49"/>
        <v>1</v>
      </c>
      <c r="T1049" s="102" t="str">
        <f>IF(TableRelationships12[[#This Row],[Rank Pedro]]="Low","linkCategory1",IF(TableRelationships12[[#This Row],[Rank Pedro]]="Medium","linkCategory2",IF(TableRelationships12[[#This Row],[Rank Pedro]]="High","linkCategory3","")))</f>
        <v/>
      </c>
      <c r="U1049" s="102" t="str">
        <f>IF(TableRelationships12[[#This Row],[Rank Pedro]]="Low","Pink",IF(TableRelationships12[[#This Row],[Rank Pedro]]="Medium","Purple",IF(TableRelationships12[[#This Row],[Rank Pedro]]="High","Brown","")))</f>
        <v/>
      </c>
      <c r="V1049" s="4" t="e">
        <f>MAX(INDEX(Standards!$F$2:$F$296,MATCH(B1049,Standards!$B$2:$B$296,0)),INDEX(Standards!$F$2:$F$296,MATCH(C1049,Standards!$B$2:$B$296,0)))</f>
        <v>#N/A</v>
      </c>
      <c r="W1049" t="str">
        <f t="shared" si="50"/>
        <v>#2f89d1</v>
      </c>
    </row>
    <row r="1050" spans="1:23" x14ac:dyDescent="0.5">
      <c r="A1050" s="54">
        <v>1049</v>
      </c>
      <c r="B1050" s="90" t="s">
        <v>1049</v>
      </c>
      <c r="C1050" t="s">
        <v>1578</v>
      </c>
      <c r="D1050" s="1"/>
      <c r="G1050" s="107"/>
      <c r="H1050">
        <f>INDEX('GIS-Standards'!$A$2:$A$305,MATCH(B1050,'GIS-Standards'!$B$2:$B$305,0))</f>
        <v>43</v>
      </c>
      <c r="I1050" t="e">
        <f>INDEX('GIS-Standards'!$A$2:$A$305,MATCH(C1050,'GIS-Standards'!$B$2:$B$305,0))</f>
        <v>#N/A</v>
      </c>
      <c r="J1050" t="str">
        <f>INDEX('GIS-Standards'!$O$2:$O$305,MATCH(B1050,'GIS-Standards'!$B$2:$B$305,0))</f>
        <v>ISO/TC 211</v>
      </c>
      <c r="K1050" t="e">
        <f>INDEX('GIS-Standards'!$O$2:$O$305,MATCH(C1050,'GIS-Standards'!$B$2:$B$305,0))</f>
        <v>#N/A</v>
      </c>
      <c r="M1050" t="s">
        <v>525</v>
      </c>
      <c r="N1050">
        <f>INDEX('GIS-Standards'!$I$2:$I$305,MATCH(B1050,'GIS-Standards'!$B$2:$B$305,0))</f>
        <v>0</v>
      </c>
      <c r="O1050" t="e">
        <f>INDEX('GIS-Standards'!$I$2:$I$305,MATCH(C1050,'GIS-Standards'!$B$2:$B$305,0))</f>
        <v>#N/A</v>
      </c>
      <c r="P1050" t="e">
        <f>AND(TableRelationships12[[#This Row],[Source Type]]="BIM",TableRelationships12[[#This Row],[Target Type]]="BIM")</f>
        <v>#N/A</v>
      </c>
      <c r="Q1050">
        <f t="shared" si="48"/>
        <v>1</v>
      </c>
      <c r="S1050">
        <f t="shared" si="49"/>
        <v>1</v>
      </c>
      <c r="T1050" s="102" t="str">
        <f>IF(TableRelationships12[[#This Row],[Rank Pedro]]="Low","linkCategory1",IF(TableRelationships12[[#This Row],[Rank Pedro]]="Medium","linkCategory2",IF(TableRelationships12[[#This Row],[Rank Pedro]]="High","linkCategory3","")))</f>
        <v/>
      </c>
      <c r="U1050" s="102" t="str">
        <f>IF(TableRelationships12[[#This Row],[Rank Pedro]]="Low","Pink",IF(TableRelationships12[[#This Row],[Rank Pedro]]="Medium","Purple",IF(TableRelationships12[[#This Row],[Rank Pedro]]="High","Brown","")))</f>
        <v/>
      </c>
      <c r="V1050" s="4" t="e">
        <f>MAX(INDEX(Standards!$F$2:$F$296,MATCH(B1050,Standards!$B$2:$B$296,0)),INDEX(Standards!$F$2:$F$296,MATCH(C1050,Standards!$B$2:$B$296,0)))</f>
        <v>#N/A</v>
      </c>
      <c r="W1050" t="str">
        <f t="shared" si="50"/>
        <v>#2f89d1</v>
      </c>
    </row>
    <row r="1051" spans="1:23" x14ac:dyDescent="0.5">
      <c r="A1051" s="54">
        <v>1050</v>
      </c>
      <c r="B1051" s="90" t="s">
        <v>336</v>
      </c>
      <c r="C1051" t="s">
        <v>527</v>
      </c>
      <c r="D1051" s="1"/>
      <c r="E1051" s="112" t="s">
        <v>956</v>
      </c>
      <c r="F1051" s="112" t="s">
        <v>956</v>
      </c>
      <c r="G1051" s="121" t="s">
        <v>670</v>
      </c>
      <c r="H1051">
        <f>INDEX('GIS-Standards'!$A$2:$A$305,MATCH(B1051,'GIS-Standards'!$B$2:$B$305,0))</f>
        <v>44</v>
      </c>
      <c r="I1051" t="e">
        <f>INDEX('GIS-Standards'!$A$2:$A$305,MATCH(C1051,'GIS-Standards'!$B$2:$B$305,0))</f>
        <v>#N/A</v>
      </c>
      <c r="J1051" t="str">
        <f>INDEX('GIS-Standards'!$O$2:$O$305,MATCH(B1051,'GIS-Standards'!$B$2:$B$305,0))</f>
        <v>ISO/TC 211</v>
      </c>
      <c r="K1051" t="e">
        <f>INDEX('GIS-Standards'!$O$2:$O$305,MATCH(C1051,'GIS-Standards'!$B$2:$B$305,0))</f>
        <v>#N/A</v>
      </c>
      <c r="M1051" t="s">
        <v>237</v>
      </c>
      <c r="N1051">
        <f>INDEX('GIS-Standards'!$I$2:$I$305,MATCH(B1051,'GIS-Standards'!$B$2:$B$305,0))</f>
        <v>0</v>
      </c>
      <c r="O1051" t="e">
        <f>INDEX('GIS-Standards'!$I$2:$I$305,MATCH(C1051,'GIS-Standards'!$B$2:$B$305,0))</f>
        <v>#N/A</v>
      </c>
      <c r="P1051" t="e">
        <f>AND(TableRelationships12[[#This Row],[Source Type]]="BIM",TableRelationships12[[#This Row],[Target Type]]="BIM")</f>
        <v>#N/A</v>
      </c>
      <c r="Q1051">
        <f t="shared" si="48"/>
        <v>2</v>
      </c>
      <c r="S1051">
        <f t="shared" si="49"/>
        <v>1</v>
      </c>
      <c r="T1051" s="102" t="str">
        <f>IF(TableRelationships12[[#This Row],[Rank Pedro]]="Low","linkCategory1",IF(TableRelationships12[[#This Row],[Rank Pedro]]="Medium","linkCategory2",IF(TableRelationships12[[#This Row],[Rank Pedro]]="High","linkCategory3","")))</f>
        <v/>
      </c>
      <c r="U1051" s="102" t="str">
        <f>IF(TableRelationships12[[#This Row],[Rank Pedro]]="Low","Pink",IF(TableRelationships12[[#This Row],[Rank Pedro]]="Medium","Purple",IF(TableRelationships12[[#This Row],[Rank Pedro]]="High","Brown","")))</f>
        <v/>
      </c>
      <c r="V1051" s="4">
        <f>MAX(INDEX(Standards!$F$2:$F$296,MATCH(B1051,Standards!$B$2:$B$296,0)),INDEX(Standards!$F$2:$F$296,MATCH(C1051,Standards!$B$2:$B$296,0)))</f>
        <v>39203</v>
      </c>
      <c r="W1051">
        <f t="shared" si="50"/>
        <v>1</v>
      </c>
    </row>
    <row r="1052" spans="1:23" x14ac:dyDescent="0.5">
      <c r="A1052" s="54">
        <v>1051</v>
      </c>
      <c r="B1052" s="90" t="s">
        <v>336</v>
      </c>
      <c r="C1052" t="s">
        <v>302</v>
      </c>
      <c r="D1052" s="1"/>
      <c r="E1052" s="112">
        <v>2003.05</v>
      </c>
      <c r="F1052" s="112">
        <v>2019.12</v>
      </c>
      <c r="G1052" s="107" t="s">
        <v>670</v>
      </c>
      <c r="H1052">
        <f>INDEX('GIS-Standards'!$A$2:$A$305,MATCH(B1052,'GIS-Standards'!$B$2:$B$305,0))</f>
        <v>44</v>
      </c>
      <c r="I1052">
        <f>INDEX('GIS-Standards'!$A$2:$A$305,MATCH(C1052,'GIS-Standards'!$B$2:$B$305,0))</f>
        <v>16</v>
      </c>
      <c r="J1052" t="str">
        <f>INDEX('GIS-Standards'!$O$2:$O$305,MATCH(B1052,'GIS-Standards'!$B$2:$B$305,0))</f>
        <v>ISO/TC 211</v>
      </c>
      <c r="K1052" t="str">
        <f>INDEX('GIS-Standards'!$O$2:$O$305,MATCH(C1052,'GIS-Standards'!$B$2:$B$305,0))</f>
        <v>ISO/TC 211</v>
      </c>
      <c r="M1052" t="s">
        <v>524</v>
      </c>
      <c r="N1052">
        <f>INDEX('GIS-Standards'!$I$2:$I$305,MATCH(B1052,'GIS-Standards'!$B$2:$B$305,0))</f>
        <v>0</v>
      </c>
      <c r="O1052">
        <f>INDEX('GIS-Standards'!$I$2:$I$305,MATCH(C1052,'GIS-Standards'!$B$2:$B$305,0))</f>
        <v>0</v>
      </c>
      <c r="P1052" t="b">
        <f>AND(TableRelationships12[[#This Row],[Source Type]]="BIM",TableRelationships12[[#This Row],[Target Type]]="BIM")</f>
        <v>0</v>
      </c>
      <c r="Q1052">
        <f t="shared" si="48"/>
        <v>6</v>
      </c>
      <c r="S1052">
        <f t="shared" si="49"/>
        <v>1</v>
      </c>
      <c r="T1052" s="102" t="str">
        <f>IF(TableRelationships12[[#This Row],[Rank Pedro]]="Low","linkCategory1",IF(TableRelationships12[[#This Row],[Rank Pedro]]="Medium","linkCategory2",IF(TableRelationships12[[#This Row],[Rank Pedro]]="High","linkCategory3","")))</f>
        <v/>
      </c>
      <c r="U1052" s="102" t="str">
        <f>IF(TableRelationships12[[#This Row],[Rank Pedro]]="Low","Pink",IF(TableRelationships12[[#This Row],[Rank Pedro]]="Medium","Purple",IF(TableRelationships12[[#This Row],[Rank Pedro]]="High","Brown","")))</f>
        <v/>
      </c>
      <c r="V1052" s="4">
        <f>MAX(INDEX(Standards!$F$2:$F$296,MATCH(B1052,Standards!$B$2:$B$296,0)),INDEX(Standards!$F$2:$F$296,MATCH(C1052,Standards!$B$2:$B$296,0)))</f>
        <v>39203</v>
      </c>
      <c r="W1052" t="str">
        <f t="shared" si="50"/>
        <v>#d6bf2a</v>
      </c>
    </row>
    <row r="1053" spans="1:23" x14ac:dyDescent="0.5">
      <c r="A1053" s="54">
        <v>1052</v>
      </c>
      <c r="B1053" s="90" t="s">
        <v>336</v>
      </c>
      <c r="C1053" t="s">
        <v>310</v>
      </c>
      <c r="D1053" s="1"/>
      <c r="E1053" s="112">
        <v>2003.02</v>
      </c>
      <c r="F1053" s="112">
        <v>2023.08</v>
      </c>
      <c r="G1053" s="107" t="s">
        <v>670</v>
      </c>
      <c r="H1053">
        <f>INDEX('GIS-Standards'!$A$2:$A$305,MATCH(B1053,'GIS-Standards'!$B$2:$B$305,0))</f>
        <v>44</v>
      </c>
      <c r="I1053">
        <f>INDEX('GIS-Standards'!$A$2:$A$305,MATCH(C1053,'GIS-Standards'!$B$2:$B$305,0))</f>
        <v>20</v>
      </c>
      <c r="J1053" t="str">
        <f>INDEX('GIS-Standards'!$O$2:$O$305,MATCH(B1053,'GIS-Standards'!$B$2:$B$305,0))</f>
        <v>ISO/TC 211</v>
      </c>
      <c r="K1053" t="str">
        <f>INDEX('GIS-Standards'!$O$2:$O$305,MATCH(C1053,'GIS-Standards'!$B$2:$B$305,0))</f>
        <v>ISO/TC 211</v>
      </c>
      <c r="M1053" t="s">
        <v>524</v>
      </c>
      <c r="N1053">
        <f>INDEX('GIS-Standards'!$I$2:$I$305,MATCH(B1053,'GIS-Standards'!$B$2:$B$305,0))</f>
        <v>0</v>
      </c>
      <c r="O1053" t="str">
        <f>INDEX('GIS-Standards'!$I$2:$I$305,MATCH(C1053,'GIS-Standards'!$B$2:$B$305,0))</f>
        <v>08.2023</v>
      </c>
      <c r="P1053" t="b">
        <f>AND(TableRelationships12[[#This Row],[Source Type]]="BIM",TableRelationships12[[#This Row],[Target Type]]="BIM")</f>
        <v>0</v>
      </c>
      <c r="Q1053">
        <f t="shared" si="48"/>
        <v>6</v>
      </c>
      <c r="S1053">
        <f t="shared" si="49"/>
        <v>1</v>
      </c>
      <c r="T1053" s="102" t="str">
        <f>IF(TableRelationships12[[#This Row],[Rank Pedro]]="Low","linkCategory1",IF(TableRelationships12[[#This Row],[Rank Pedro]]="Medium","linkCategory2",IF(TableRelationships12[[#This Row],[Rank Pedro]]="High","linkCategory3","")))</f>
        <v/>
      </c>
      <c r="U1053" s="102" t="str">
        <f>IF(TableRelationships12[[#This Row],[Rank Pedro]]="Low","Pink",IF(TableRelationships12[[#This Row],[Rank Pedro]]="Medium","Purple",IF(TableRelationships12[[#This Row],[Rank Pedro]]="High","Brown","")))</f>
        <v/>
      </c>
      <c r="V1053" s="4">
        <f>MAX(INDEX(Standards!$F$2:$F$296,MATCH(B1053,Standards!$B$2:$B$296,0)),INDEX(Standards!$F$2:$F$296,MATCH(C1053,Standards!$B$2:$B$296,0)))</f>
        <v>39203</v>
      </c>
      <c r="W1053" t="str">
        <f t="shared" si="50"/>
        <v>#d6bf2a</v>
      </c>
    </row>
    <row r="1054" spans="1:23" x14ac:dyDescent="0.5">
      <c r="A1054" s="54">
        <v>1053</v>
      </c>
      <c r="B1054" s="90" t="s">
        <v>336</v>
      </c>
      <c r="C1054" t="s">
        <v>1040</v>
      </c>
      <c r="D1054" s="1"/>
      <c r="E1054" s="112">
        <v>2004.07</v>
      </c>
      <c r="F1054" s="112">
        <v>2004.07</v>
      </c>
      <c r="G1054" s="107" t="s">
        <v>670</v>
      </c>
      <c r="H1054">
        <f>INDEX('GIS-Standards'!$A$2:$A$305,MATCH(B1054,'GIS-Standards'!$B$2:$B$305,0))</f>
        <v>44</v>
      </c>
      <c r="I1054">
        <f>INDEX('GIS-Standards'!$A$2:$A$305,MATCH(C1054,'GIS-Standards'!$B$2:$B$305,0))</f>
        <v>15</v>
      </c>
      <c r="J1054" t="str">
        <f>INDEX('GIS-Standards'!$O$2:$O$305,MATCH(B1054,'GIS-Standards'!$B$2:$B$305,0))</f>
        <v>ISO/TC 211</v>
      </c>
      <c r="K1054" t="str">
        <f>INDEX('GIS-Standards'!$O$2:$O$305,MATCH(C1054,'GIS-Standards'!$B$2:$B$305,0))</f>
        <v>ISO/TC 211</v>
      </c>
      <c r="M1054" t="s">
        <v>525</v>
      </c>
      <c r="N1054">
        <f>INDEX('GIS-Standards'!$I$2:$I$305,MATCH(B1054,'GIS-Standards'!$B$2:$B$305,0))</f>
        <v>0</v>
      </c>
      <c r="O1054">
        <f>INDEX('GIS-Standards'!$I$2:$I$305,MATCH(C1054,'GIS-Standards'!$B$2:$B$305,0))</f>
        <v>0</v>
      </c>
      <c r="P1054" t="b">
        <f>AND(TableRelationships12[[#This Row],[Source Type]]="BIM",TableRelationships12[[#This Row],[Target Type]]="BIM")</f>
        <v>0</v>
      </c>
      <c r="Q1054">
        <f t="shared" si="48"/>
        <v>1</v>
      </c>
      <c r="S1054">
        <f t="shared" si="49"/>
        <v>1</v>
      </c>
      <c r="T1054" s="102" t="str">
        <f>IF(TableRelationships12[[#This Row],[Rank Pedro]]="Low","linkCategory1",IF(TableRelationships12[[#This Row],[Rank Pedro]]="Medium","linkCategory2",IF(TableRelationships12[[#This Row],[Rank Pedro]]="High","linkCategory3","")))</f>
        <v/>
      </c>
      <c r="U1054" s="102" t="str">
        <f>IF(TableRelationships12[[#This Row],[Rank Pedro]]="Low","Pink",IF(TableRelationships12[[#This Row],[Rank Pedro]]="Medium","Purple",IF(TableRelationships12[[#This Row],[Rank Pedro]]="High","Brown","")))</f>
        <v/>
      </c>
      <c r="V1054" s="4" t="e">
        <f>MAX(INDEX(Standards!$F$2:$F$296,MATCH(B1054,Standards!$B$2:$B$296,0)),INDEX(Standards!$F$2:$F$296,MATCH(C1054,Standards!$B$2:$B$296,0)))</f>
        <v>#N/A</v>
      </c>
      <c r="W1054" t="str">
        <f t="shared" si="50"/>
        <v>#2f89d1</v>
      </c>
    </row>
    <row r="1055" spans="1:23" x14ac:dyDescent="0.5">
      <c r="A1055" s="54">
        <v>1054</v>
      </c>
      <c r="B1055" s="90" t="s">
        <v>336</v>
      </c>
      <c r="C1055" t="s">
        <v>334</v>
      </c>
      <c r="D1055" s="1" t="s">
        <v>1036</v>
      </c>
      <c r="E1055" s="113">
        <v>2007.09</v>
      </c>
      <c r="F1055" s="113">
        <v>2020.01</v>
      </c>
      <c r="G1055" s="107" t="s">
        <v>670</v>
      </c>
      <c r="H1055">
        <f>INDEX('GIS-Standards'!$A$2:$A$305,MATCH(B1055,'GIS-Standards'!$B$2:$B$305,0))</f>
        <v>44</v>
      </c>
      <c r="I1055">
        <f>INDEX('GIS-Standards'!$A$2:$A$305,MATCH(C1055,'GIS-Standards'!$B$2:$B$305,0))</f>
        <v>42</v>
      </c>
      <c r="J1055" t="str">
        <f>INDEX('GIS-Standards'!$O$2:$O$305,MATCH(B1055,'GIS-Standards'!$B$2:$B$305,0))</f>
        <v>ISO/TC 211</v>
      </c>
      <c r="K1055" t="str">
        <f>INDEX('GIS-Standards'!$O$2:$O$305,MATCH(C1055,'GIS-Standards'!$B$2:$B$305,0))</f>
        <v>ISO/TC 211</v>
      </c>
      <c r="M1055" t="s">
        <v>525</v>
      </c>
      <c r="N1055">
        <f>INDEX('GIS-Standards'!$I$2:$I$305,MATCH(B1055,'GIS-Standards'!$B$2:$B$305,0))</f>
        <v>0</v>
      </c>
      <c r="O1055">
        <f>INDEX('GIS-Standards'!$I$2:$I$305,MATCH(C1055,'GIS-Standards'!$B$2:$B$305,0))</f>
        <v>0</v>
      </c>
      <c r="P1055" t="b">
        <f>AND(TableRelationships12[[#This Row],[Source Type]]="BIM",TableRelationships12[[#This Row],[Target Type]]="BIM")</f>
        <v>0</v>
      </c>
      <c r="Q1055">
        <f t="shared" si="48"/>
        <v>1</v>
      </c>
      <c r="S1055">
        <f t="shared" si="49"/>
        <v>1</v>
      </c>
      <c r="T1055" s="102" t="str">
        <f>IF(TableRelationships12[[#This Row],[Rank Pedro]]="Low","linkCategory1",IF(TableRelationships12[[#This Row],[Rank Pedro]]="Medium","linkCategory2",IF(TableRelationships12[[#This Row],[Rank Pedro]]="High","linkCategory3","")))</f>
        <v/>
      </c>
      <c r="U1055" s="102" t="str">
        <f>IF(TableRelationships12[[#This Row],[Rank Pedro]]="Low","Pink",IF(TableRelationships12[[#This Row],[Rank Pedro]]="Medium","Purple",IF(TableRelationships12[[#This Row],[Rank Pedro]]="High","Brown","")))</f>
        <v/>
      </c>
      <c r="V1055" s="4">
        <f>MAX(INDEX(Standards!$F$2:$F$296,MATCH(B1055,Standards!$B$2:$B$296,0)),INDEX(Standards!$F$2:$F$296,MATCH(C1055,Standards!$B$2:$B$296,0)))</f>
        <v>39326</v>
      </c>
      <c r="W1055" t="str">
        <f t="shared" si="50"/>
        <v>#2f89d1</v>
      </c>
    </row>
    <row r="1056" spans="1:23" x14ac:dyDescent="0.5">
      <c r="A1056" s="54">
        <v>1055</v>
      </c>
      <c r="B1056" s="90" t="s">
        <v>338</v>
      </c>
      <c r="C1056" t="s">
        <v>527</v>
      </c>
      <c r="D1056" s="1"/>
      <c r="E1056" s="112" t="s">
        <v>963</v>
      </c>
      <c r="F1056" s="112" t="s">
        <v>963</v>
      </c>
      <c r="G1056" s="121" t="s">
        <v>670</v>
      </c>
      <c r="H1056">
        <f>INDEX('GIS-Standards'!$A$2:$A$305,MATCH(B1056,'GIS-Standards'!$B$2:$B$305,0))</f>
        <v>45</v>
      </c>
      <c r="I1056" t="e">
        <f>INDEX('GIS-Standards'!$A$2:$A$305,MATCH(C1056,'GIS-Standards'!$B$2:$B$305,0))</f>
        <v>#N/A</v>
      </c>
      <c r="J1056" t="str">
        <f>INDEX('GIS-Standards'!$O$2:$O$305,MATCH(B1056,'GIS-Standards'!$B$2:$B$305,0))</f>
        <v>ISO/TC 211</v>
      </c>
      <c r="K1056" t="e">
        <f>INDEX('GIS-Standards'!$O$2:$O$305,MATCH(C1056,'GIS-Standards'!$B$2:$B$305,0))</f>
        <v>#N/A</v>
      </c>
      <c r="M1056" t="s">
        <v>237</v>
      </c>
      <c r="N1056">
        <f>INDEX('GIS-Standards'!$I$2:$I$305,MATCH(B1056,'GIS-Standards'!$B$2:$B$305,0))</f>
        <v>0</v>
      </c>
      <c r="O1056" t="e">
        <f>INDEX('GIS-Standards'!$I$2:$I$305,MATCH(C1056,'GIS-Standards'!$B$2:$B$305,0))</f>
        <v>#N/A</v>
      </c>
      <c r="P1056" t="e">
        <f>AND(TableRelationships12[[#This Row],[Source Type]]="BIM",TableRelationships12[[#This Row],[Target Type]]="BIM")</f>
        <v>#N/A</v>
      </c>
      <c r="Q1056">
        <f t="shared" si="48"/>
        <v>2</v>
      </c>
      <c r="S1056">
        <f t="shared" si="49"/>
        <v>1</v>
      </c>
      <c r="T1056" s="102" t="str">
        <f>IF(TableRelationships12[[#This Row],[Rank Pedro]]="Low","linkCategory1",IF(TableRelationships12[[#This Row],[Rank Pedro]]="Medium","linkCategory2",IF(TableRelationships12[[#This Row],[Rank Pedro]]="High","linkCategory3","")))</f>
        <v/>
      </c>
      <c r="U1056" s="102" t="str">
        <f>IF(TableRelationships12[[#This Row],[Rank Pedro]]="Low","Pink",IF(TableRelationships12[[#This Row],[Rank Pedro]]="Medium","Purple",IF(TableRelationships12[[#This Row],[Rank Pedro]]="High","Brown","")))</f>
        <v/>
      </c>
      <c r="V1056" s="4">
        <f>MAX(INDEX(Standards!$F$2:$F$296,MATCH(B1056,Standards!$B$2:$B$296,0)),INDEX(Standards!$F$2:$F$296,MATCH(C1056,Standards!$B$2:$B$296,0)))</f>
        <v>39600</v>
      </c>
      <c r="W1056">
        <f t="shared" si="50"/>
        <v>1</v>
      </c>
    </row>
    <row r="1057" spans="1:23" x14ac:dyDescent="0.5">
      <c r="A1057" s="54">
        <v>1056</v>
      </c>
      <c r="B1057" s="90" t="s">
        <v>338</v>
      </c>
      <c r="C1057" t="s">
        <v>296</v>
      </c>
      <c r="D1057" s="1"/>
      <c r="E1057" s="112">
        <v>2005.07</v>
      </c>
      <c r="F1057" s="112">
        <v>2024.09</v>
      </c>
      <c r="G1057" s="107" t="s">
        <v>670</v>
      </c>
      <c r="H1057">
        <f>INDEX('GIS-Standards'!$A$2:$A$305,MATCH(B1057,'GIS-Standards'!$B$2:$B$305,0))</f>
        <v>45</v>
      </c>
      <c r="I1057">
        <f>INDEX('GIS-Standards'!$A$2:$A$305,MATCH(C1057,'GIS-Standards'!$B$2:$B$305,0))</f>
        <v>12</v>
      </c>
      <c r="J1057" t="str">
        <f>INDEX('GIS-Standards'!$O$2:$O$305,MATCH(B1057,'GIS-Standards'!$B$2:$B$305,0))</f>
        <v>ISO/TC 211</v>
      </c>
      <c r="K1057" t="str">
        <f>INDEX('GIS-Standards'!$O$2:$O$305,MATCH(C1057,'GIS-Standards'!$B$2:$B$305,0))</f>
        <v>ISO/TC 211</v>
      </c>
      <c r="M1057" t="s">
        <v>524</v>
      </c>
      <c r="N1057">
        <f>INDEX('GIS-Standards'!$I$2:$I$305,MATCH(B1057,'GIS-Standards'!$B$2:$B$305,0))</f>
        <v>0</v>
      </c>
      <c r="O1057">
        <f>INDEX('GIS-Standards'!$I$2:$I$305,MATCH(C1057,'GIS-Standards'!$B$2:$B$305,0))</f>
        <v>0</v>
      </c>
      <c r="P1057" t="b">
        <f>AND(TableRelationships12[[#This Row],[Source Type]]="BIM",TableRelationships12[[#This Row],[Target Type]]="BIM")</f>
        <v>0</v>
      </c>
      <c r="Q1057">
        <f t="shared" si="48"/>
        <v>6</v>
      </c>
      <c r="S1057">
        <f t="shared" si="49"/>
        <v>1</v>
      </c>
      <c r="T1057" s="102" t="str">
        <f>IF(TableRelationships12[[#This Row],[Rank Pedro]]="Low","linkCategory1",IF(TableRelationships12[[#This Row],[Rank Pedro]]="Medium","linkCategory2",IF(TableRelationships12[[#This Row],[Rank Pedro]]="High","linkCategory3","")))</f>
        <v/>
      </c>
      <c r="U1057" s="102" t="str">
        <f>IF(TableRelationships12[[#This Row],[Rank Pedro]]="Low","Pink",IF(TableRelationships12[[#This Row],[Rank Pedro]]="Medium","Purple",IF(TableRelationships12[[#This Row],[Rank Pedro]]="High","Brown","")))</f>
        <v/>
      </c>
      <c r="V1057" s="4">
        <f>MAX(INDEX(Standards!$F$2:$F$296,MATCH(B1057,Standards!$B$2:$B$296,0)),INDEX(Standards!$F$2:$F$296,MATCH(C1057,Standards!$B$2:$B$296,0)))</f>
        <v>39600</v>
      </c>
      <c r="W1057" t="str">
        <f t="shared" si="50"/>
        <v>#d6bf2a</v>
      </c>
    </row>
    <row r="1058" spans="1:23" x14ac:dyDescent="0.5">
      <c r="A1058" s="54">
        <v>1057</v>
      </c>
      <c r="B1058" s="90" t="s">
        <v>338</v>
      </c>
      <c r="C1058" t="s">
        <v>302</v>
      </c>
      <c r="D1058" s="1"/>
      <c r="E1058" s="112">
        <v>2003.05</v>
      </c>
      <c r="F1058" s="112">
        <v>2019.12</v>
      </c>
      <c r="G1058" s="107" t="s">
        <v>670</v>
      </c>
      <c r="H1058">
        <f>INDEX('GIS-Standards'!$A$2:$A$305,MATCH(B1058,'GIS-Standards'!$B$2:$B$305,0))</f>
        <v>45</v>
      </c>
      <c r="I1058">
        <f>INDEX('GIS-Standards'!$A$2:$A$305,MATCH(C1058,'GIS-Standards'!$B$2:$B$305,0))</f>
        <v>16</v>
      </c>
      <c r="J1058" t="str">
        <f>INDEX('GIS-Standards'!$O$2:$O$305,MATCH(B1058,'GIS-Standards'!$B$2:$B$305,0))</f>
        <v>ISO/TC 211</v>
      </c>
      <c r="K1058" t="str">
        <f>INDEX('GIS-Standards'!$O$2:$O$305,MATCH(C1058,'GIS-Standards'!$B$2:$B$305,0))</f>
        <v>ISO/TC 211</v>
      </c>
      <c r="M1058" t="s">
        <v>524</v>
      </c>
      <c r="N1058">
        <f>INDEX('GIS-Standards'!$I$2:$I$305,MATCH(B1058,'GIS-Standards'!$B$2:$B$305,0))</f>
        <v>0</v>
      </c>
      <c r="O1058">
        <f>INDEX('GIS-Standards'!$I$2:$I$305,MATCH(C1058,'GIS-Standards'!$B$2:$B$305,0))</f>
        <v>0</v>
      </c>
      <c r="P1058" t="b">
        <f>AND(TableRelationships12[[#This Row],[Source Type]]="BIM",TableRelationships12[[#This Row],[Target Type]]="BIM")</f>
        <v>0</v>
      </c>
      <c r="Q1058">
        <f t="shared" si="48"/>
        <v>6</v>
      </c>
      <c r="S1058">
        <f t="shared" si="49"/>
        <v>1</v>
      </c>
      <c r="T1058" s="102" t="str">
        <f>IF(TableRelationships12[[#This Row],[Rank Pedro]]="Low","linkCategory1",IF(TableRelationships12[[#This Row],[Rank Pedro]]="Medium","linkCategory2",IF(TableRelationships12[[#This Row],[Rank Pedro]]="High","linkCategory3","")))</f>
        <v/>
      </c>
      <c r="U1058" s="102" t="str">
        <f>IF(TableRelationships12[[#This Row],[Rank Pedro]]="Low","Pink",IF(TableRelationships12[[#This Row],[Rank Pedro]]="Medium","Purple",IF(TableRelationships12[[#This Row],[Rank Pedro]]="High","Brown","")))</f>
        <v/>
      </c>
      <c r="V1058" s="4">
        <f>MAX(INDEX(Standards!$F$2:$F$296,MATCH(B1058,Standards!$B$2:$B$296,0)),INDEX(Standards!$F$2:$F$296,MATCH(C1058,Standards!$B$2:$B$296,0)))</f>
        <v>39600</v>
      </c>
      <c r="W1058" t="str">
        <f t="shared" si="50"/>
        <v>#d6bf2a</v>
      </c>
    </row>
    <row r="1059" spans="1:23" x14ac:dyDescent="0.5">
      <c r="A1059" s="54">
        <v>1058</v>
      </c>
      <c r="B1059" s="90" t="s">
        <v>338</v>
      </c>
      <c r="C1059" t="s">
        <v>304</v>
      </c>
      <c r="D1059" s="1"/>
      <c r="E1059" s="112">
        <v>2002.09</v>
      </c>
      <c r="F1059" s="112">
        <v>2006.1</v>
      </c>
      <c r="G1059" s="107" t="s">
        <v>670</v>
      </c>
      <c r="H1059">
        <f>INDEX('GIS-Standards'!$A$2:$A$305,MATCH(B1059,'GIS-Standards'!$B$2:$B$305,0))</f>
        <v>45</v>
      </c>
      <c r="I1059">
        <f>INDEX('GIS-Standards'!$A$2:$A$305,MATCH(C1059,'GIS-Standards'!$B$2:$B$305,0))</f>
        <v>17</v>
      </c>
      <c r="J1059" t="str">
        <f>INDEX('GIS-Standards'!$O$2:$O$305,MATCH(B1059,'GIS-Standards'!$B$2:$B$305,0))</f>
        <v>ISO/TC 211</v>
      </c>
      <c r="K1059" t="str">
        <f>INDEX('GIS-Standards'!$O$2:$O$305,MATCH(C1059,'GIS-Standards'!$B$2:$B$305,0))</f>
        <v>ISO/TC 211</v>
      </c>
      <c r="M1059" t="s">
        <v>524</v>
      </c>
      <c r="N1059">
        <f>INDEX('GIS-Standards'!$I$2:$I$305,MATCH(B1059,'GIS-Standards'!$B$2:$B$305,0))</f>
        <v>0</v>
      </c>
      <c r="O1059" t="str">
        <f>INDEX('GIS-Standards'!$I$2:$I$305,MATCH(C1059,'GIS-Standards'!$B$2:$B$305,0))</f>
        <v>06.2008</v>
      </c>
      <c r="P1059" t="b">
        <f>AND(TableRelationships12[[#This Row],[Source Type]]="BIM",TableRelationships12[[#This Row],[Target Type]]="BIM")</f>
        <v>0</v>
      </c>
      <c r="Q1059">
        <f t="shared" si="48"/>
        <v>6</v>
      </c>
      <c r="S1059">
        <f t="shared" si="49"/>
        <v>1</v>
      </c>
      <c r="T1059" s="102" t="str">
        <f>IF(TableRelationships12[[#This Row],[Rank Pedro]]="Low","linkCategory1",IF(TableRelationships12[[#This Row],[Rank Pedro]]="Medium","linkCategory2",IF(TableRelationships12[[#This Row],[Rank Pedro]]="High","linkCategory3","")))</f>
        <v/>
      </c>
      <c r="U1059" s="102" t="str">
        <f>IF(TableRelationships12[[#This Row],[Rank Pedro]]="Low","Pink",IF(TableRelationships12[[#This Row],[Rank Pedro]]="Medium","Purple",IF(TableRelationships12[[#This Row],[Rank Pedro]]="High","Brown","")))</f>
        <v/>
      </c>
      <c r="V1059" s="4">
        <f>MAX(INDEX(Standards!$F$2:$F$296,MATCH(B1059,Standards!$B$2:$B$296,0)),INDEX(Standards!$F$2:$F$296,MATCH(C1059,Standards!$B$2:$B$296,0)))</f>
        <v>39600</v>
      </c>
      <c r="W1059" t="str">
        <f t="shared" si="50"/>
        <v>#d6bf2a</v>
      </c>
    </row>
    <row r="1060" spans="1:23" x14ac:dyDescent="0.5">
      <c r="A1060" s="54">
        <v>1059</v>
      </c>
      <c r="B1060" s="90" t="s">
        <v>338</v>
      </c>
      <c r="C1060" t="s">
        <v>306</v>
      </c>
      <c r="D1060" s="1"/>
      <c r="E1060" s="112">
        <v>2005.06</v>
      </c>
      <c r="F1060" s="112">
        <v>2025.07</v>
      </c>
      <c r="G1060" s="107" t="s">
        <v>670</v>
      </c>
      <c r="H1060">
        <f>INDEX('GIS-Standards'!$A$2:$A$305,MATCH(B1060,'GIS-Standards'!$B$2:$B$305,0))</f>
        <v>45</v>
      </c>
      <c r="I1060">
        <f>INDEX('GIS-Standards'!$A$2:$A$305,MATCH(C1060,'GIS-Standards'!$B$2:$B$305,0))</f>
        <v>18</v>
      </c>
      <c r="J1060" t="str">
        <f>INDEX('GIS-Standards'!$O$2:$O$305,MATCH(B1060,'GIS-Standards'!$B$2:$B$305,0))</f>
        <v>ISO/TC 211</v>
      </c>
      <c r="K1060" t="str">
        <f>INDEX('GIS-Standards'!$O$2:$O$305,MATCH(C1060,'GIS-Standards'!$B$2:$B$305,0))</f>
        <v>ISO/TC 211</v>
      </c>
      <c r="M1060" t="s">
        <v>524</v>
      </c>
      <c r="N1060">
        <f>INDEX('GIS-Standards'!$I$2:$I$305,MATCH(B1060,'GIS-Standards'!$B$2:$B$305,0))</f>
        <v>0</v>
      </c>
      <c r="O1060">
        <f>INDEX('GIS-Standards'!$I$2:$I$305,MATCH(C1060,'GIS-Standards'!$B$2:$B$305,0))</f>
        <v>0</v>
      </c>
      <c r="P1060" t="b">
        <f>AND(TableRelationships12[[#This Row],[Source Type]]="BIM",TableRelationships12[[#This Row],[Target Type]]="BIM")</f>
        <v>0</v>
      </c>
      <c r="Q1060">
        <f t="shared" si="48"/>
        <v>6</v>
      </c>
      <c r="S1060">
        <f t="shared" si="49"/>
        <v>1</v>
      </c>
      <c r="T1060" s="102" t="str">
        <f>IF(TableRelationships12[[#This Row],[Rank Pedro]]="Low","linkCategory1",IF(TableRelationships12[[#This Row],[Rank Pedro]]="Medium","linkCategory2",IF(TableRelationships12[[#This Row],[Rank Pedro]]="High","linkCategory3","")))</f>
        <v/>
      </c>
      <c r="U1060" s="102" t="str">
        <f>IF(TableRelationships12[[#This Row],[Rank Pedro]]="Low","Pink",IF(TableRelationships12[[#This Row],[Rank Pedro]]="Medium","Purple",IF(TableRelationships12[[#This Row],[Rank Pedro]]="High","Brown","")))</f>
        <v/>
      </c>
      <c r="V1060" s="4">
        <f>MAX(INDEX(Standards!$F$2:$F$296,MATCH(B1060,Standards!$B$2:$B$296,0)),INDEX(Standards!$F$2:$F$296,MATCH(C1060,Standards!$B$2:$B$296,0)))</f>
        <v>39600</v>
      </c>
      <c r="W1060" t="str">
        <f t="shared" si="50"/>
        <v>#d6bf2a</v>
      </c>
    </row>
    <row r="1061" spans="1:23" x14ac:dyDescent="0.5">
      <c r="A1061" s="54">
        <v>1060</v>
      </c>
      <c r="B1061" s="90" t="s">
        <v>338</v>
      </c>
      <c r="C1061" t="s">
        <v>332</v>
      </c>
      <c r="D1061" s="1"/>
      <c r="E1061" s="112">
        <v>2005.1</v>
      </c>
      <c r="F1061" s="112">
        <v>2005.1</v>
      </c>
      <c r="G1061" s="107" t="s">
        <v>670</v>
      </c>
      <c r="H1061">
        <f>INDEX('GIS-Standards'!$A$2:$A$305,MATCH(B1061,'GIS-Standards'!$B$2:$B$305,0))</f>
        <v>45</v>
      </c>
      <c r="I1061">
        <f>INDEX('GIS-Standards'!$A$2:$A$305,MATCH(C1061,'GIS-Standards'!$B$2:$B$305,0))</f>
        <v>39</v>
      </c>
      <c r="J1061" t="str">
        <f>INDEX('GIS-Standards'!$O$2:$O$305,MATCH(B1061,'GIS-Standards'!$B$2:$B$305,0))</f>
        <v>ISO/TC 211</v>
      </c>
      <c r="K1061" t="str">
        <f>INDEX('GIS-Standards'!$O$2:$O$305,MATCH(C1061,'GIS-Standards'!$B$2:$B$305,0))</f>
        <v>ISO/TC 211</v>
      </c>
      <c r="M1061" t="s">
        <v>524</v>
      </c>
      <c r="N1061">
        <f>INDEX('GIS-Standards'!$I$2:$I$305,MATCH(B1061,'GIS-Standards'!$B$2:$B$305,0))</f>
        <v>0</v>
      </c>
      <c r="O1061">
        <f>INDEX('GIS-Standards'!$I$2:$I$305,MATCH(C1061,'GIS-Standards'!$B$2:$B$305,0))</f>
        <v>0</v>
      </c>
      <c r="P1061" t="b">
        <f>AND(TableRelationships12[[#This Row],[Source Type]]="BIM",TableRelationships12[[#This Row],[Target Type]]="BIM")</f>
        <v>0</v>
      </c>
      <c r="Q1061">
        <f t="shared" si="48"/>
        <v>6</v>
      </c>
      <c r="S1061">
        <f t="shared" si="49"/>
        <v>1</v>
      </c>
      <c r="T1061" s="102" t="str">
        <f>IF(TableRelationships12[[#This Row],[Rank Pedro]]="Low","linkCategory1",IF(TableRelationships12[[#This Row],[Rank Pedro]]="Medium","linkCategory2",IF(TableRelationships12[[#This Row],[Rank Pedro]]="High","linkCategory3","")))</f>
        <v/>
      </c>
      <c r="U1061" s="102" t="str">
        <f>IF(TableRelationships12[[#This Row],[Rank Pedro]]="Low","Pink",IF(TableRelationships12[[#This Row],[Rank Pedro]]="Medium","Purple",IF(TableRelationships12[[#This Row],[Rank Pedro]]="High","Brown","")))</f>
        <v/>
      </c>
      <c r="V1061" s="4">
        <f>MAX(INDEX(Standards!$F$2:$F$296,MATCH(B1061,Standards!$B$2:$B$296,0)),INDEX(Standards!$F$2:$F$296,MATCH(C1061,Standards!$B$2:$B$296,0)))</f>
        <v>39600</v>
      </c>
      <c r="W1061" t="str">
        <f t="shared" si="50"/>
        <v>#d6bf2a</v>
      </c>
    </row>
    <row r="1062" spans="1:23" x14ac:dyDescent="0.5">
      <c r="A1062" s="54">
        <v>1061</v>
      </c>
      <c r="B1062" s="90" t="s">
        <v>338</v>
      </c>
      <c r="C1062" t="s">
        <v>293</v>
      </c>
      <c r="D1062" s="1" t="s">
        <v>1127</v>
      </c>
      <c r="E1062" s="112">
        <v>2002.07</v>
      </c>
      <c r="F1062" s="112">
        <v>2014.11</v>
      </c>
      <c r="G1062" s="107" t="s">
        <v>670</v>
      </c>
      <c r="H1062">
        <f>INDEX('GIS-Standards'!$A$2:$A$305,MATCH(B1062,'GIS-Standards'!$B$2:$B$305,0))</f>
        <v>45</v>
      </c>
      <c r="I1062">
        <f>INDEX('GIS-Standards'!$A$2:$A$305,MATCH(C1062,'GIS-Standards'!$B$2:$B$305,0))</f>
        <v>10</v>
      </c>
      <c r="J1062" t="str">
        <f>INDEX('GIS-Standards'!$O$2:$O$305,MATCH(B1062,'GIS-Standards'!$B$2:$B$305,0))</f>
        <v>ISO/TC 211</v>
      </c>
      <c r="K1062" t="str">
        <f>INDEX('GIS-Standards'!$O$2:$O$305,MATCH(C1062,'GIS-Standards'!$B$2:$B$305,0))</f>
        <v>ISO/TC 211</v>
      </c>
      <c r="M1062" t="s">
        <v>525</v>
      </c>
      <c r="N1062">
        <f>INDEX('GIS-Standards'!$I$2:$I$305,MATCH(B1062,'GIS-Standards'!$B$2:$B$305,0))</f>
        <v>0</v>
      </c>
      <c r="O1062">
        <f>INDEX('GIS-Standards'!$I$2:$I$305,MATCH(C1062,'GIS-Standards'!$B$2:$B$305,0))</f>
        <v>0</v>
      </c>
      <c r="P1062" t="b">
        <f>AND(TableRelationships12[[#This Row],[Source Type]]="BIM",TableRelationships12[[#This Row],[Target Type]]="BIM")</f>
        <v>0</v>
      </c>
      <c r="Q1062">
        <f t="shared" si="48"/>
        <v>1</v>
      </c>
      <c r="S1062">
        <f t="shared" si="49"/>
        <v>1</v>
      </c>
      <c r="T1062" s="102" t="str">
        <f>IF(TableRelationships12[[#This Row],[Rank Pedro]]="Low","linkCategory1",IF(TableRelationships12[[#This Row],[Rank Pedro]]="Medium","linkCategory2",IF(TableRelationships12[[#This Row],[Rank Pedro]]="High","linkCategory3","")))</f>
        <v/>
      </c>
      <c r="U1062" s="102" t="str">
        <f>IF(TableRelationships12[[#This Row],[Rank Pedro]]="Low","Pink",IF(TableRelationships12[[#This Row],[Rank Pedro]]="Medium","Purple",IF(TableRelationships12[[#This Row],[Rank Pedro]]="High","Brown","")))</f>
        <v/>
      </c>
      <c r="V1062" s="4">
        <f>MAX(INDEX(Standards!$F$2:$F$296,MATCH(B1062,Standards!$B$2:$B$296,0)),INDEX(Standards!$F$2:$F$296,MATCH(C1062,Standards!$B$2:$B$296,0)))</f>
        <v>39600</v>
      </c>
      <c r="W1062" t="str">
        <f t="shared" si="50"/>
        <v>#2f89d1</v>
      </c>
    </row>
    <row r="1063" spans="1:23" x14ac:dyDescent="0.5">
      <c r="A1063" s="54">
        <v>1062</v>
      </c>
      <c r="B1063" s="90" t="s">
        <v>338</v>
      </c>
      <c r="C1063" t="s">
        <v>308</v>
      </c>
      <c r="D1063" s="1"/>
      <c r="E1063" s="112">
        <v>2005.02</v>
      </c>
      <c r="F1063" s="112">
        <v>2016.12</v>
      </c>
      <c r="G1063" s="107" t="s">
        <v>670</v>
      </c>
      <c r="H1063">
        <f>INDEX('GIS-Standards'!$A$2:$A$305,MATCH(B1063,'GIS-Standards'!$B$2:$B$305,0))</f>
        <v>45</v>
      </c>
      <c r="I1063">
        <f>INDEX('GIS-Standards'!$A$2:$A$305,MATCH(C1063,'GIS-Standards'!$B$2:$B$305,0))</f>
        <v>19</v>
      </c>
      <c r="J1063" t="str">
        <f>INDEX('GIS-Standards'!$O$2:$O$305,MATCH(B1063,'GIS-Standards'!$B$2:$B$305,0))</f>
        <v>ISO/TC 211</v>
      </c>
      <c r="K1063" t="str">
        <f>INDEX('GIS-Standards'!$O$2:$O$305,MATCH(C1063,'GIS-Standards'!$B$2:$B$305,0))</f>
        <v>ISO/TC 211</v>
      </c>
      <c r="M1063" t="s">
        <v>525</v>
      </c>
      <c r="N1063">
        <f>INDEX('GIS-Standards'!$I$2:$I$305,MATCH(B1063,'GIS-Standards'!$B$2:$B$305,0))</f>
        <v>0</v>
      </c>
      <c r="O1063">
        <f>INDEX('GIS-Standards'!$I$2:$I$305,MATCH(C1063,'GIS-Standards'!$B$2:$B$305,0))</f>
        <v>0</v>
      </c>
      <c r="P1063" t="b">
        <f>AND(TableRelationships12[[#This Row],[Source Type]]="BIM",TableRelationships12[[#This Row],[Target Type]]="BIM")</f>
        <v>0</v>
      </c>
      <c r="Q1063">
        <f t="shared" si="48"/>
        <v>1</v>
      </c>
      <c r="S1063">
        <f t="shared" si="49"/>
        <v>1</v>
      </c>
      <c r="T1063" s="102" t="str">
        <f>IF(TableRelationships12[[#This Row],[Rank Pedro]]="Low","linkCategory1",IF(TableRelationships12[[#This Row],[Rank Pedro]]="Medium","linkCategory2",IF(TableRelationships12[[#This Row],[Rank Pedro]]="High","linkCategory3","")))</f>
        <v/>
      </c>
      <c r="U1063" s="102" t="str">
        <f>IF(TableRelationships12[[#This Row],[Rank Pedro]]="Low","Pink",IF(TableRelationships12[[#This Row],[Rank Pedro]]="Medium","Purple",IF(TableRelationships12[[#This Row],[Rank Pedro]]="High","Brown","")))</f>
        <v/>
      </c>
      <c r="V1063" s="4">
        <f>MAX(INDEX(Standards!$F$2:$F$296,MATCH(B1063,Standards!$B$2:$B$296,0)),INDEX(Standards!$F$2:$F$296,MATCH(C1063,Standards!$B$2:$B$296,0)))</f>
        <v>39600</v>
      </c>
      <c r="W1063" t="str">
        <f t="shared" si="50"/>
        <v>#2f89d1</v>
      </c>
    </row>
    <row r="1064" spans="1:23" x14ac:dyDescent="0.5">
      <c r="A1064" s="54">
        <v>1063</v>
      </c>
      <c r="B1064" s="90" t="s">
        <v>338</v>
      </c>
      <c r="C1064" t="s">
        <v>310</v>
      </c>
      <c r="D1064" s="1"/>
      <c r="E1064" s="112">
        <v>2003.02</v>
      </c>
      <c r="F1064" s="112">
        <v>2023.08</v>
      </c>
      <c r="G1064" s="107" t="s">
        <v>670</v>
      </c>
      <c r="H1064">
        <f>INDEX('GIS-Standards'!$A$2:$A$305,MATCH(B1064,'GIS-Standards'!$B$2:$B$305,0))</f>
        <v>45</v>
      </c>
      <c r="I1064">
        <f>INDEX('GIS-Standards'!$A$2:$A$305,MATCH(C1064,'GIS-Standards'!$B$2:$B$305,0))</f>
        <v>20</v>
      </c>
      <c r="J1064" t="str">
        <f>INDEX('GIS-Standards'!$O$2:$O$305,MATCH(B1064,'GIS-Standards'!$B$2:$B$305,0))</f>
        <v>ISO/TC 211</v>
      </c>
      <c r="K1064" t="str">
        <f>INDEX('GIS-Standards'!$O$2:$O$305,MATCH(C1064,'GIS-Standards'!$B$2:$B$305,0))</f>
        <v>ISO/TC 211</v>
      </c>
      <c r="M1064" t="s">
        <v>525</v>
      </c>
      <c r="N1064">
        <f>INDEX('GIS-Standards'!$I$2:$I$305,MATCH(B1064,'GIS-Standards'!$B$2:$B$305,0))</f>
        <v>0</v>
      </c>
      <c r="O1064" t="str">
        <f>INDEX('GIS-Standards'!$I$2:$I$305,MATCH(C1064,'GIS-Standards'!$B$2:$B$305,0))</f>
        <v>08.2023</v>
      </c>
      <c r="P1064" t="b">
        <f>AND(TableRelationships12[[#This Row],[Source Type]]="BIM",TableRelationships12[[#This Row],[Target Type]]="BIM")</f>
        <v>0</v>
      </c>
      <c r="Q1064">
        <f t="shared" si="48"/>
        <v>1</v>
      </c>
      <c r="S1064">
        <f t="shared" si="49"/>
        <v>1</v>
      </c>
      <c r="T1064" s="102" t="str">
        <f>IF(TableRelationships12[[#This Row],[Rank Pedro]]="Low","linkCategory1",IF(TableRelationships12[[#This Row],[Rank Pedro]]="Medium","linkCategory2",IF(TableRelationships12[[#This Row],[Rank Pedro]]="High","linkCategory3","")))</f>
        <v/>
      </c>
      <c r="U1064" s="102" t="str">
        <f>IF(TableRelationships12[[#This Row],[Rank Pedro]]="Low","Pink",IF(TableRelationships12[[#This Row],[Rank Pedro]]="Medium","Purple",IF(TableRelationships12[[#This Row],[Rank Pedro]]="High","Brown","")))</f>
        <v/>
      </c>
      <c r="V1064" s="4">
        <f>MAX(INDEX(Standards!$F$2:$F$296,MATCH(B1064,Standards!$B$2:$B$296,0)),INDEX(Standards!$F$2:$F$296,MATCH(C1064,Standards!$B$2:$B$296,0)))</f>
        <v>39600</v>
      </c>
      <c r="W1064" t="str">
        <f t="shared" si="50"/>
        <v>#2f89d1</v>
      </c>
    </row>
    <row r="1065" spans="1:23" x14ac:dyDescent="0.5">
      <c r="A1065" s="54">
        <v>1064</v>
      </c>
      <c r="B1065" s="90" t="s">
        <v>338</v>
      </c>
      <c r="C1065" t="s">
        <v>320</v>
      </c>
      <c r="D1065" s="1" t="s">
        <v>1100</v>
      </c>
      <c r="E1065" s="112">
        <v>2005.08</v>
      </c>
      <c r="F1065" s="112">
        <v>2023.06</v>
      </c>
      <c r="G1065" s="107" t="s">
        <v>670</v>
      </c>
      <c r="H1065">
        <f>INDEX('GIS-Standards'!$A$2:$A$305,MATCH(B1065,'GIS-Standards'!$B$2:$B$305,0))</f>
        <v>45</v>
      </c>
      <c r="I1065">
        <f>INDEX('GIS-Standards'!$A$2:$A$305,MATCH(C1065,'GIS-Standards'!$B$2:$B$305,0))</f>
        <v>29</v>
      </c>
      <c r="J1065" t="str">
        <f>INDEX('GIS-Standards'!$O$2:$O$305,MATCH(B1065,'GIS-Standards'!$B$2:$B$305,0))</f>
        <v>ISO/TC 211</v>
      </c>
      <c r="K1065" t="str">
        <f>INDEX('GIS-Standards'!$O$2:$O$305,MATCH(C1065,'GIS-Standards'!$B$2:$B$305,0))</f>
        <v>ISO/TC 211</v>
      </c>
      <c r="M1065" t="s">
        <v>525</v>
      </c>
      <c r="N1065">
        <f>INDEX('GIS-Standards'!$I$2:$I$305,MATCH(B1065,'GIS-Standards'!$B$2:$B$305,0))</f>
        <v>0</v>
      </c>
      <c r="O1065">
        <f>INDEX('GIS-Standards'!$I$2:$I$305,MATCH(C1065,'GIS-Standards'!$B$2:$B$305,0))</f>
        <v>0</v>
      </c>
      <c r="P1065" t="b">
        <f>AND(TableRelationships12[[#This Row],[Source Type]]="BIM",TableRelationships12[[#This Row],[Target Type]]="BIM")</f>
        <v>0</v>
      </c>
      <c r="Q1065">
        <f t="shared" si="48"/>
        <v>1</v>
      </c>
      <c r="S1065">
        <f t="shared" si="49"/>
        <v>1</v>
      </c>
      <c r="T1065" s="102" t="str">
        <f>IF(TableRelationships12[[#This Row],[Rank Pedro]]="Low","linkCategory1",IF(TableRelationships12[[#This Row],[Rank Pedro]]="Medium","linkCategory2",IF(TableRelationships12[[#This Row],[Rank Pedro]]="High","linkCategory3","")))</f>
        <v/>
      </c>
      <c r="U1065" s="102" t="str">
        <f>IF(TableRelationships12[[#This Row],[Rank Pedro]]="Low","Pink",IF(TableRelationships12[[#This Row],[Rank Pedro]]="Medium","Purple",IF(TableRelationships12[[#This Row],[Rank Pedro]]="High","Brown","")))</f>
        <v/>
      </c>
      <c r="V1065" s="4">
        <f>MAX(INDEX(Standards!$F$2:$F$296,MATCH(B1065,Standards!$B$2:$B$296,0)),INDEX(Standards!$F$2:$F$296,MATCH(C1065,Standards!$B$2:$B$296,0)))</f>
        <v>39600</v>
      </c>
      <c r="W1065" t="str">
        <f t="shared" si="50"/>
        <v>#2f89d1</v>
      </c>
    </row>
    <row r="1066" spans="1:23" x14ac:dyDescent="0.5">
      <c r="A1066" s="54">
        <v>1065</v>
      </c>
      <c r="B1066" s="90" t="s">
        <v>338</v>
      </c>
      <c r="C1066" t="s">
        <v>1079</v>
      </c>
      <c r="D1066" s="1"/>
      <c r="E1066" s="112">
        <v>2005.04</v>
      </c>
      <c r="F1066" s="112">
        <v>2005.04</v>
      </c>
      <c r="G1066" s="107" t="s">
        <v>1502</v>
      </c>
      <c r="H1066">
        <f>INDEX('GIS-Standards'!$A$2:$A$305,MATCH(B1066,'GIS-Standards'!$B$2:$B$305,0))</f>
        <v>45</v>
      </c>
      <c r="I1066" t="e">
        <f>INDEX('GIS-Standards'!$A$2:$A$305,MATCH(C1066,'GIS-Standards'!$B$2:$B$305,0))</f>
        <v>#N/A</v>
      </c>
      <c r="J1066" t="str">
        <f>INDEX('GIS-Standards'!$O$2:$O$305,MATCH(B1066,'GIS-Standards'!$B$2:$B$305,0))</f>
        <v>ISO/TC 211</v>
      </c>
      <c r="K1066" t="e">
        <f>INDEX('GIS-Standards'!$O$2:$O$305,MATCH(C1066,'GIS-Standards'!$B$2:$B$305,0))</f>
        <v>#N/A</v>
      </c>
      <c r="M1066" t="s">
        <v>525</v>
      </c>
      <c r="N1066">
        <f>INDEX('GIS-Standards'!$I$2:$I$305,MATCH(B1066,'GIS-Standards'!$B$2:$B$305,0))</f>
        <v>0</v>
      </c>
      <c r="O1066" t="e">
        <f>INDEX('GIS-Standards'!$I$2:$I$305,MATCH(C1066,'GIS-Standards'!$B$2:$B$305,0))</f>
        <v>#N/A</v>
      </c>
      <c r="P1066" t="e">
        <f>AND(TableRelationships12[[#This Row],[Source Type]]="BIM",TableRelationships12[[#This Row],[Target Type]]="BIM")</f>
        <v>#N/A</v>
      </c>
      <c r="Q1066">
        <f t="shared" si="48"/>
        <v>1</v>
      </c>
      <c r="S1066">
        <f t="shared" si="49"/>
        <v>1</v>
      </c>
      <c r="T1066" s="102" t="str">
        <f>IF(TableRelationships12[[#This Row],[Rank Pedro]]="Low","linkCategory1",IF(TableRelationships12[[#This Row],[Rank Pedro]]="Medium","linkCategory2",IF(TableRelationships12[[#This Row],[Rank Pedro]]="High","linkCategory3","")))</f>
        <v/>
      </c>
      <c r="U1066" s="102" t="str">
        <f>IF(TableRelationships12[[#This Row],[Rank Pedro]]="Low","Pink",IF(TableRelationships12[[#This Row],[Rank Pedro]]="Medium","Purple",IF(TableRelationships12[[#This Row],[Rank Pedro]]="High","Brown","")))</f>
        <v/>
      </c>
      <c r="V1066" s="4" t="e">
        <f>MAX(INDEX(Standards!$F$2:$F$296,MATCH(B1066,Standards!$B$2:$B$296,0)),INDEX(Standards!$F$2:$F$296,MATCH(C1066,Standards!$B$2:$B$296,0)))</f>
        <v>#N/A</v>
      </c>
      <c r="W1066" t="str">
        <f t="shared" si="50"/>
        <v>#2f89d1</v>
      </c>
    </row>
    <row r="1067" spans="1:23" x14ac:dyDescent="0.5">
      <c r="A1067" s="54">
        <v>1066</v>
      </c>
      <c r="B1067" s="90" t="s">
        <v>338</v>
      </c>
      <c r="C1067" t="s">
        <v>1542</v>
      </c>
      <c r="D1067" s="1"/>
      <c r="G1067" s="107"/>
      <c r="H1067">
        <f>INDEX('GIS-Standards'!$A$2:$A$305,MATCH(B1067,'GIS-Standards'!$B$2:$B$305,0))</f>
        <v>45</v>
      </c>
      <c r="I1067" t="e">
        <f>INDEX('GIS-Standards'!$A$2:$A$305,MATCH(C1067,'GIS-Standards'!$B$2:$B$305,0))</f>
        <v>#N/A</v>
      </c>
      <c r="J1067" t="str">
        <f>INDEX('GIS-Standards'!$O$2:$O$305,MATCH(B1067,'GIS-Standards'!$B$2:$B$305,0))</f>
        <v>ISO/TC 211</v>
      </c>
      <c r="K1067" t="e">
        <f>INDEX('GIS-Standards'!$O$2:$O$305,MATCH(C1067,'GIS-Standards'!$B$2:$B$305,0))</f>
        <v>#N/A</v>
      </c>
      <c r="M1067" t="s">
        <v>525</v>
      </c>
      <c r="N1067">
        <f>INDEX('GIS-Standards'!$I$2:$I$305,MATCH(B1067,'GIS-Standards'!$B$2:$B$305,0))</f>
        <v>0</v>
      </c>
      <c r="O1067" t="e">
        <f>INDEX('GIS-Standards'!$I$2:$I$305,MATCH(C1067,'GIS-Standards'!$B$2:$B$305,0))</f>
        <v>#N/A</v>
      </c>
      <c r="P1067" t="e">
        <f>AND(TableRelationships12[[#This Row],[Source Type]]="BIM",TableRelationships12[[#This Row],[Target Type]]="BIM")</f>
        <v>#N/A</v>
      </c>
      <c r="Q1067">
        <f t="shared" si="48"/>
        <v>1</v>
      </c>
      <c r="S1067">
        <f t="shared" si="49"/>
        <v>1</v>
      </c>
      <c r="T1067" s="102" t="str">
        <f>IF(TableRelationships12[[#This Row],[Rank Pedro]]="Low","linkCategory1",IF(TableRelationships12[[#This Row],[Rank Pedro]]="Medium","linkCategory2",IF(TableRelationships12[[#This Row],[Rank Pedro]]="High","linkCategory3","")))</f>
        <v/>
      </c>
      <c r="U1067" s="102" t="str">
        <f>IF(TableRelationships12[[#This Row],[Rank Pedro]]="Low","Pink",IF(TableRelationships12[[#This Row],[Rank Pedro]]="Medium","Purple",IF(TableRelationships12[[#This Row],[Rank Pedro]]="High","Brown","")))</f>
        <v/>
      </c>
      <c r="V1067" s="4" t="e">
        <f>MAX(INDEX(Standards!$F$2:$F$296,MATCH(B1067,Standards!$B$2:$B$296,0)),INDEX(Standards!$F$2:$F$296,MATCH(C1067,Standards!$B$2:$B$296,0)))</f>
        <v>#N/A</v>
      </c>
      <c r="W1067" t="str">
        <f t="shared" si="50"/>
        <v>#2f89d1</v>
      </c>
    </row>
    <row r="1068" spans="1:23" x14ac:dyDescent="0.5">
      <c r="A1068" s="54">
        <v>1067</v>
      </c>
      <c r="B1068" s="90" t="s">
        <v>340</v>
      </c>
      <c r="C1068" t="s">
        <v>527</v>
      </c>
      <c r="D1068" s="1"/>
      <c r="E1068" s="112" t="s">
        <v>964</v>
      </c>
      <c r="F1068" s="112" t="s">
        <v>964</v>
      </c>
      <c r="G1068" s="121" t="s">
        <v>670</v>
      </c>
      <c r="H1068">
        <f>INDEX('GIS-Standards'!$A$2:$A$305,MATCH(B1068,'GIS-Standards'!$B$2:$B$305,0))</f>
        <v>46</v>
      </c>
      <c r="I1068" t="e">
        <f>INDEX('GIS-Standards'!$A$2:$A$305,MATCH(C1068,'GIS-Standards'!$B$2:$B$305,0))</f>
        <v>#N/A</v>
      </c>
      <c r="J1068" t="str">
        <f>INDEX('GIS-Standards'!$O$2:$O$305,MATCH(B1068,'GIS-Standards'!$B$2:$B$305,0))</f>
        <v>ISO/TC 211</v>
      </c>
      <c r="K1068" t="e">
        <f>INDEX('GIS-Standards'!$O$2:$O$305,MATCH(C1068,'GIS-Standards'!$B$2:$B$305,0))</f>
        <v>#N/A</v>
      </c>
      <c r="M1068" t="s">
        <v>237</v>
      </c>
      <c r="N1068">
        <f>INDEX('GIS-Standards'!$I$2:$I$305,MATCH(B1068,'GIS-Standards'!$B$2:$B$305,0))</f>
        <v>0</v>
      </c>
      <c r="O1068" t="e">
        <f>INDEX('GIS-Standards'!$I$2:$I$305,MATCH(C1068,'GIS-Standards'!$B$2:$B$305,0))</f>
        <v>#N/A</v>
      </c>
      <c r="P1068" t="e">
        <f>AND(TableRelationships12[[#This Row],[Source Type]]="BIM",TableRelationships12[[#This Row],[Target Type]]="BIM")</f>
        <v>#N/A</v>
      </c>
      <c r="Q1068">
        <f t="shared" si="48"/>
        <v>2</v>
      </c>
      <c r="S1068">
        <f t="shared" si="49"/>
        <v>1</v>
      </c>
      <c r="T1068" s="102" t="str">
        <f>IF(TableRelationships12[[#This Row],[Rank Pedro]]="Low","linkCategory1",IF(TableRelationships12[[#This Row],[Rank Pedro]]="Medium","linkCategory2",IF(TableRelationships12[[#This Row],[Rank Pedro]]="High","linkCategory3","")))</f>
        <v/>
      </c>
      <c r="U1068" s="102" t="str">
        <f>IF(TableRelationships12[[#This Row],[Rank Pedro]]="Low","Pink",IF(TableRelationships12[[#This Row],[Rank Pedro]]="Medium","Purple",IF(TableRelationships12[[#This Row],[Rank Pedro]]="High","Brown","")))</f>
        <v/>
      </c>
      <c r="V1068" s="4">
        <f>MAX(INDEX(Standards!$F$2:$F$296,MATCH(B1068,Standards!$B$2:$B$296,0)),INDEX(Standards!$F$2:$F$296,MATCH(C1068,Standards!$B$2:$B$296,0)))</f>
        <v>40513</v>
      </c>
      <c r="W1068">
        <f t="shared" si="50"/>
        <v>1</v>
      </c>
    </row>
    <row r="1069" spans="1:23" x14ac:dyDescent="0.5">
      <c r="A1069" s="54">
        <v>1068</v>
      </c>
      <c r="B1069" s="90" t="s">
        <v>340</v>
      </c>
      <c r="C1069" t="s">
        <v>296</v>
      </c>
      <c r="D1069" s="1"/>
      <c r="E1069" s="112">
        <v>2005.07</v>
      </c>
      <c r="F1069" s="112">
        <v>2024.09</v>
      </c>
      <c r="G1069" s="107" t="s">
        <v>670</v>
      </c>
      <c r="H1069">
        <f>INDEX('GIS-Standards'!$A$2:$A$305,MATCH(B1069,'GIS-Standards'!$B$2:$B$305,0))</f>
        <v>46</v>
      </c>
      <c r="I1069">
        <f>INDEX('GIS-Standards'!$A$2:$A$305,MATCH(C1069,'GIS-Standards'!$B$2:$B$305,0))</f>
        <v>12</v>
      </c>
      <c r="J1069" t="str">
        <f>INDEX('GIS-Standards'!$O$2:$O$305,MATCH(B1069,'GIS-Standards'!$B$2:$B$305,0))</f>
        <v>ISO/TC 211</v>
      </c>
      <c r="K1069" t="str">
        <f>INDEX('GIS-Standards'!$O$2:$O$305,MATCH(C1069,'GIS-Standards'!$B$2:$B$305,0))</f>
        <v>ISO/TC 211</v>
      </c>
      <c r="M1069" t="s">
        <v>524</v>
      </c>
      <c r="N1069">
        <f>INDEX('GIS-Standards'!$I$2:$I$305,MATCH(B1069,'GIS-Standards'!$B$2:$B$305,0))</f>
        <v>0</v>
      </c>
      <c r="O1069">
        <f>INDEX('GIS-Standards'!$I$2:$I$305,MATCH(C1069,'GIS-Standards'!$B$2:$B$305,0))</f>
        <v>0</v>
      </c>
      <c r="P1069" t="b">
        <f>AND(TableRelationships12[[#This Row],[Source Type]]="BIM",TableRelationships12[[#This Row],[Target Type]]="BIM")</f>
        <v>0</v>
      </c>
      <c r="Q1069">
        <f t="shared" si="48"/>
        <v>6</v>
      </c>
      <c r="S1069">
        <f t="shared" si="49"/>
        <v>1</v>
      </c>
      <c r="T1069" s="102" t="str">
        <f>IF(TableRelationships12[[#This Row],[Rank Pedro]]="Low","linkCategory1",IF(TableRelationships12[[#This Row],[Rank Pedro]]="Medium","linkCategory2",IF(TableRelationships12[[#This Row],[Rank Pedro]]="High","linkCategory3","")))</f>
        <v/>
      </c>
      <c r="U1069" s="102" t="str">
        <f>IF(TableRelationships12[[#This Row],[Rank Pedro]]="Low","Pink",IF(TableRelationships12[[#This Row],[Rank Pedro]]="Medium","Purple",IF(TableRelationships12[[#This Row],[Rank Pedro]]="High","Brown","")))</f>
        <v/>
      </c>
      <c r="V1069" s="4">
        <f>MAX(INDEX(Standards!$F$2:$F$296,MATCH(B1069,Standards!$B$2:$B$296,0)),INDEX(Standards!$F$2:$F$296,MATCH(C1069,Standards!$B$2:$B$296,0)))</f>
        <v>40513</v>
      </c>
      <c r="W1069" t="str">
        <f t="shared" si="50"/>
        <v>#d6bf2a</v>
      </c>
    </row>
    <row r="1070" spans="1:23" x14ac:dyDescent="0.5">
      <c r="A1070" s="54">
        <v>1069</v>
      </c>
      <c r="B1070" s="90" t="s">
        <v>340</v>
      </c>
      <c r="C1070" t="s">
        <v>334</v>
      </c>
      <c r="D1070" s="1" t="s">
        <v>1036</v>
      </c>
      <c r="E1070" s="113">
        <v>2007.09</v>
      </c>
      <c r="F1070" s="113">
        <v>2020.01</v>
      </c>
      <c r="G1070" s="107" t="s">
        <v>670</v>
      </c>
      <c r="H1070">
        <f>INDEX('GIS-Standards'!$A$2:$A$305,MATCH(B1070,'GIS-Standards'!$B$2:$B$305,0))</f>
        <v>46</v>
      </c>
      <c r="I1070">
        <f>INDEX('GIS-Standards'!$A$2:$A$305,MATCH(C1070,'GIS-Standards'!$B$2:$B$305,0))</f>
        <v>42</v>
      </c>
      <c r="J1070" t="str">
        <f>INDEX('GIS-Standards'!$O$2:$O$305,MATCH(B1070,'GIS-Standards'!$B$2:$B$305,0))</f>
        <v>ISO/TC 211</v>
      </c>
      <c r="K1070" t="str">
        <f>INDEX('GIS-Standards'!$O$2:$O$305,MATCH(C1070,'GIS-Standards'!$B$2:$B$305,0))</f>
        <v>ISO/TC 211</v>
      </c>
      <c r="M1070" t="s">
        <v>524</v>
      </c>
      <c r="N1070">
        <f>INDEX('GIS-Standards'!$I$2:$I$305,MATCH(B1070,'GIS-Standards'!$B$2:$B$305,0))</f>
        <v>0</v>
      </c>
      <c r="O1070">
        <f>INDEX('GIS-Standards'!$I$2:$I$305,MATCH(C1070,'GIS-Standards'!$B$2:$B$305,0))</f>
        <v>0</v>
      </c>
      <c r="P1070" t="b">
        <f>AND(TableRelationships12[[#This Row],[Source Type]]="BIM",TableRelationships12[[#This Row],[Target Type]]="BIM")</f>
        <v>0</v>
      </c>
      <c r="Q1070">
        <f t="shared" si="48"/>
        <v>6</v>
      </c>
      <c r="S1070">
        <f t="shared" si="49"/>
        <v>1</v>
      </c>
      <c r="T1070" s="102" t="str">
        <f>IF(TableRelationships12[[#This Row],[Rank Pedro]]="Low","linkCategory1",IF(TableRelationships12[[#This Row],[Rank Pedro]]="Medium","linkCategory2",IF(TableRelationships12[[#This Row],[Rank Pedro]]="High","linkCategory3","")))</f>
        <v/>
      </c>
      <c r="U1070" s="102" t="str">
        <f>IF(TableRelationships12[[#This Row],[Rank Pedro]]="Low","Pink",IF(TableRelationships12[[#This Row],[Rank Pedro]]="Medium","Purple",IF(TableRelationships12[[#This Row],[Rank Pedro]]="High","Brown","")))</f>
        <v/>
      </c>
      <c r="V1070" s="4">
        <f>MAX(INDEX(Standards!$F$2:$F$296,MATCH(B1070,Standards!$B$2:$B$296,0)),INDEX(Standards!$F$2:$F$296,MATCH(C1070,Standards!$B$2:$B$296,0)))</f>
        <v>40513</v>
      </c>
      <c r="W1070" t="str">
        <f t="shared" si="50"/>
        <v>#d6bf2a</v>
      </c>
    </row>
    <row r="1071" spans="1:23" x14ac:dyDescent="0.5">
      <c r="A1071" s="54">
        <v>1070</v>
      </c>
      <c r="B1071" s="90" t="s">
        <v>340</v>
      </c>
      <c r="C1071" t="s">
        <v>342</v>
      </c>
      <c r="D1071" s="1"/>
      <c r="E1071" s="112">
        <v>2010.1</v>
      </c>
      <c r="F1071" s="112">
        <v>2010.1</v>
      </c>
      <c r="G1071" s="107" t="s">
        <v>670</v>
      </c>
      <c r="H1071">
        <f>INDEX('GIS-Standards'!$A$2:$A$305,MATCH(B1071,'GIS-Standards'!$B$2:$B$305,0))</f>
        <v>46</v>
      </c>
      <c r="I1071">
        <f>INDEX('GIS-Standards'!$A$2:$A$305,MATCH(C1071,'GIS-Standards'!$B$2:$B$305,0))</f>
        <v>47</v>
      </c>
      <c r="J1071" t="str">
        <f>INDEX('GIS-Standards'!$O$2:$O$305,MATCH(B1071,'GIS-Standards'!$B$2:$B$305,0))</f>
        <v>ISO/TC 211</v>
      </c>
      <c r="K1071" t="str">
        <f>INDEX('GIS-Standards'!$O$2:$O$305,MATCH(C1071,'GIS-Standards'!$B$2:$B$305,0))</f>
        <v>ISO/TC 211</v>
      </c>
      <c r="M1071" t="s">
        <v>524</v>
      </c>
      <c r="N1071">
        <f>INDEX('GIS-Standards'!$I$2:$I$305,MATCH(B1071,'GIS-Standards'!$B$2:$B$305,0))</f>
        <v>0</v>
      </c>
      <c r="O1071">
        <f>INDEX('GIS-Standards'!$I$2:$I$305,MATCH(C1071,'GIS-Standards'!$B$2:$B$305,0))</f>
        <v>0</v>
      </c>
      <c r="P1071" t="b">
        <f>AND(TableRelationships12[[#This Row],[Source Type]]="BIM",TableRelationships12[[#This Row],[Target Type]]="BIM")</f>
        <v>0</v>
      </c>
      <c r="Q1071">
        <f t="shared" si="48"/>
        <v>6</v>
      </c>
      <c r="S1071">
        <f t="shared" si="49"/>
        <v>1</v>
      </c>
      <c r="T1071" s="102" t="str">
        <f>IF(TableRelationships12[[#This Row],[Rank Pedro]]="Low","linkCategory1",IF(TableRelationships12[[#This Row],[Rank Pedro]]="Medium","linkCategory2",IF(TableRelationships12[[#This Row],[Rank Pedro]]="High","linkCategory3","")))</f>
        <v/>
      </c>
      <c r="U1071" s="102" t="str">
        <f>IF(TableRelationships12[[#This Row],[Rank Pedro]]="Low","Pink",IF(TableRelationships12[[#This Row],[Rank Pedro]]="Medium","Purple",IF(TableRelationships12[[#This Row],[Rank Pedro]]="High","Brown","")))</f>
        <v/>
      </c>
      <c r="V1071" s="4">
        <f>MAX(INDEX(Standards!$F$2:$F$296,MATCH(B1071,Standards!$B$2:$B$296,0)),INDEX(Standards!$F$2:$F$296,MATCH(C1071,Standards!$B$2:$B$296,0)))</f>
        <v>40513</v>
      </c>
      <c r="W1071" t="str">
        <f t="shared" si="50"/>
        <v>#d6bf2a</v>
      </c>
    </row>
    <row r="1072" spans="1:23" x14ac:dyDescent="0.5">
      <c r="A1072" s="54">
        <v>1071</v>
      </c>
      <c r="B1072" s="90" t="s">
        <v>340</v>
      </c>
      <c r="C1072" t="s">
        <v>1439</v>
      </c>
      <c r="D1072" s="1"/>
      <c r="E1072" s="112">
        <v>1999.06</v>
      </c>
      <c r="G1072" s="107"/>
      <c r="H1072">
        <f>INDEX('GIS-Standards'!$A$2:$A$305,MATCH(B1072,'GIS-Standards'!$B$2:$B$305,0))</f>
        <v>46</v>
      </c>
      <c r="I1072" t="e">
        <f>INDEX('GIS-Standards'!$A$2:$A$305,MATCH(C1072,'GIS-Standards'!$B$2:$B$305,0))</f>
        <v>#N/A</v>
      </c>
      <c r="J1072" t="str">
        <f>INDEX('GIS-Standards'!$O$2:$O$305,MATCH(B1072,'GIS-Standards'!$B$2:$B$305,0))</f>
        <v>ISO/TC 211</v>
      </c>
      <c r="K1072" t="e">
        <f>INDEX('GIS-Standards'!$O$2:$O$305,MATCH(C1072,'GIS-Standards'!$B$2:$B$305,0))</f>
        <v>#N/A</v>
      </c>
      <c r="M1072" t="s">
        <v>524</v>
      </c>
      <c r="N1072">
        <f>INDEX('GIS-Standards'!$I$2:$I$305,MATCH(B1072,'GIS-Standards'!$B$2:$B$305,0))</f>
        <v>0</v>
      </c>
      <c r="O1072" t="e">
        <f>INDEX('GIS-Standards'!$I$2:$I$305,MATCH(C1072,'GIS-Standards'!$B$2:$B$305,0))</f>
        <v>#N/A</v>
      </c>
      <c r="P1072" t="e">
        <f>AND(TableRelationships12[[#This Row],[Source Type]]="BIM",TableRelationships12[[#This Row],[Target Type]]="BIM")</f>
        <v>#N/A</v>
      </c>
      <c r="Q1072">
        <f t="shared" si="48"/>
        <v>6</v>
      </c>
      <c r="S1072">
        <f t="shared" si="49"/>
        <v>1</v>
      </c>
      <c r="T1072" s="102" t="str">
        <f>IF(TableRelationships12[[#This Row],[Rank Pedro]]="Low","linkCategory1",IF(TableRelationships12[[#This Row],[Rank Pedro]]="Medium","linkCategory2",IF(TableRelationships12[[#This Row],[Rank Pedro]]="High","linkCategory3","")))</f>
        <v/>
      </c>
      <c r="U1072" s="102" t="str">
        <f>IF(TableRelationships12[[#This Row],[Rank Pedro]]="Low","Pink",IF(TableRelationships12[[#This Row],[Rank Pedro]]="Medium","Purple",IF(TableRelationships12[[#This Row],[Rank Pedro]]="High","Brown","")))</f>
        <v/>
      </c>
      <c r="V1072" s="4" t="e">
        <f>MAX(INDEX(Standards!$F$2:$F$296,MATCH(B1072,Standards!$B$2:$B$296,0)),INDEX(Standards!$F$2:$F$296,MATCH(C1072,Standards!$B$2:$B$296,0)))</f>
        <v>#N/A</v>
      </c>
      <c r="W1072" t="str">
        <f t="shared" si="50"/>
        <v>#d6bf2a</v>
      </c>
    </row>
    <row r="1073" spans="1:23" x14ac:dyDescent="0.5">
      <c r="A1073" s="54">
        <v>1072</v>
      </c>
      <c r="B1073" s="90" t="s">
        <v>340</v>
      </c>
      <c r="C1073" t="s">
        <v>1185</v>
      </c>
      <c r="D1073" s="1"/>
      <c r="E1073" s="112">
        <v>2006.09</v>
      </c>
      <c r="G1073" s="107"/>
      <c r="H1073">
        <f>INDEX('GIS-Standards'!$A$2:$A$305,MATCH(B1073,'GIS-Standards'!$B$2:$B$305,0))</f>
        <v>46</v>
      </c>
      <c r="I1073" t="e">
        <f>INDEX('GIS-Standards'!$A$2:$A$305,MATCH(C1073,'GIS-Standards'!$B$2:$B$305,0))</f>
        <v>#N/A</v>
      </c>
      <c r="J1073" t="str">
        <f>INDEX('GIS-Standards'!$O$2:$O$305,MATCH(B1073,'GIS-Standards'!$B$2:$B$305,0))</f>
        <v>ISO/TC 211</v>
      </c>
      <c r="K1073" t="e">
        <f>INDEX('GIS-Standards'!$O$2:$O$305,MATCH(C1073,'GIS-Standards'!$B$2:$B$305,0))</f>
        <v>#N/A</v>
      </c>
      <c r="M1073" t="s">
        <v>524</v>
      </c>
      <c r="N1073">
        <f>INDEX('GIS-Standards'!$I$2:$I$305,MATCH(B1073,'GIS-Standards'!$B$2:$B$305,0))</f>
        <v>0</v>
      </c>
      <c r="O1073" t="e">
        <f>INDEX('GIS-Standards'!$I$2:$I$305,MATCH(C1073,'GIS-Standards'!$B$2:$B$305,0))</f>
        <v>#N/A</v>
      </c>
      <c r="P1073" t="e">
        <f>AND(TableRelationships12[[#This Row],[Source Type]]="BIM",TableRelationships12[[#This Row],[Target Type]]="BIM")</f>
        <v>#N/A</v>
      </c>
      <c r="Q1073">
        <f t="shared" si="48"/>
        <v>6</v>
      </c>
      <c r="S1073">
        <f t="shared" si="49"/>
        <v>1</v>
      </c>
      <c r="T1073" s="102" t="str">
        <f>IF(TableRelationships12[[#This Row],[Rank Pedro]]="Low","linkCategory1",IF(TableRelationships12[[#This Row],[Rank Pedro]]="Medium","linkCategory2",IF(TableRelationships12[[#This Row],[Rank Pedro]]="High","linkCategory3","")))</f>
        <v/>
      </c>
      <c r="U1073" s="102" t="str">
        <f>IF(TableRelationships12[[#This Row],[Rank Pedro]]="Low","Pink",IF(TableRelationships12[[#This Row],[Rank Pedro]]="Medium","Purple",IF(TableRelationships12[[#This Row],[Rank Pedro]]="High","Brown","")))</f>
        <v/>
      </c>
      <c r="V1073" s="4" t="e">
        <f>MAX(INDEX(Standards!$F$2:$F$296,MATCH(B1073,Standards!$B$2:$B$296,0)),INDEX(Standards!$F$2:$F$296,MATCH(C1073,Standards!$B$2:$B$296,0)))</f>
        <v>#N/A</v>
      </c>
      <c r="W1073" t="str">
        <f t="shared" si="50"/>
        <v>#d6bf2a</v>
      </c>
    </row>
    <row r="1074" spans="1:23" x14ac:dyDescent="0.5">
      <c r="A1074" s="54">
        <v>1073</v>
      </c>
      <c r="B1074" s="90" t="s">
        <v>340</v>
      </c>
      <c r="C1074" t="s">
        <v>1186</v>
      </c>
      <c r="D1074" s="1"/>
      <c r="G1074" s="107"/>
      <c r="H1074">
        <f>INDEX('GIS-Standards'!$A$2:$A$305,MATCH(B1074,'GIS-Standards'!$B$2:$B$305,0))</f>
        <v>46</v>
      </c>
      <c r="I1074" t="e">
        <f>INDEX('GIS-Standards'!$A$2:$A$305,MATCH(C1074,'GIS-Standards'!$B$2:$B$305,0))</f>
        <v>#N/A</v>
      </c>
      <c r="J1074" t="str">
        <f>INDEX('GIS-Standards'!$O$2:$O$305,MATCH(B1074,'GIS-Standards'!$B$2:$B$305,0))</f>
        <v>ISO/TC 211</v>
      </c>
      <c r="K1074" t="e">
        <f>INDEX('GIS-Standards'!$O$2:$O$305,MATCH(C1074,'GIS-Standards'!$B$2:$B$305,0))</f>
        <v>#N/A</v>
      </c>
      <c r="M1074" t="s">
        <v>524</v>
      </c>
      <c r="N1074">
        <f>INDEX('GIS-Standards'!$I$2:$I$305,MATCH(B1074,'GIS-Standards'!$B$2:$B$305,0))</f>
        <v>0</v>
      </c>
      <c r="O1074" t="e">
        <f>INDEX('GIS-Standards'!$I$2:$I$305,MATCH(C1074,'GIS-Standards'!$B$2:$B$305,0))</f>
        <v>#N/A</v>
      </c>
      <c r="P1074" t="e">
        <f>AND(TableRelationships12[[#This Row],[Source Type]]="BIM",TableRelationships12[[#This Row],[Target Type]]="BIM")</f>
        <v>#N/A</v>
      </c>
      <c r="Q1074">
        <f t="shared" si="48"/>
        <v>6</v>
      </c>
      <c r="S1074">
        <f t="shared" si="49"/>
        <v>1</v>
      </c>
      <c r="T1074" s="102" t="str">
        <f>IF(TableRelationships12[[#This Row],[Rank Pedro]]="Low","linkCategory1",IF(TableRelationships12[[#This Row],[Rank Pedro]]="Medium","linkCategory2",IF(TableRelationships12[[#This Row],[Rank Pedro]]="High","linkCategory3","")))</f>
        <v/>
      </c>
      <c r="U1074" s="102" t="str">
        <f>IF(TableRelationships12[[#This Row],[Rank Pedro]]="Low","Pink",IF(TableRelationships12[[#This Row],[Rank Pedro]]="Medium","Purple",IF(TableRelationships12[[#This Row],[Rank Pedro]]="High","Brown","")))</f>
        <v/>
      </c>
      <c r="V1074" s="4" t="e">
        <f>MAX(INDEX(Standards!$F$2:$F$296,MATCH(B1074,Standards!$B$2:$B$296,0)),INDEX(Standards!$F$2:$F$296,MATCH(C1074,Standards!$B$2:$B$296,0)))</f>
        <v>#N/A</v>
      </c>
      <c r="W1074" t="str">
        <f t="shared" si="50"/>
        <v>#d6bf2a</v>
      </c>
    </row>
    <row r="1075" spans="1:23" x14ac:dyDescent="0.5">
      <c r="A1075" s="54">
        <v>1074</v>
      </c>
      <c r="B1075" s="90" t="s">
        <v>340</v>
      </c>
      <c r="C1075" t="s">
        <v>1187</v>
      </c>
      <c r="D1075" s="1"/>
      <c r="G1075" s="107"/>
      <c r="H1075">
        <f>INDEX('GIS-Standards'!$A$2:$A$305,MATCH(B1075,'GIS-Standards'!$B$2:$B$305,0))</f>
        <v>46</v>
      </c>
      <c r="I1075" t="e">
        <f>INDEX('GIS-Standards'!$A$2:$A$305,MATCH(C1075,'GIS-Standards'!$B$2:$B$305,0))</f>
        <v>#N/A</v>
      </c>
      <c r="J1075" t="str">
        <f>INDEX('GIS-Standards'!$O$2:$O$305,MATCH(B1075,'GIS-Standards'!$B$2:$B$305,0))</f>
        <v>ISO/TC 211</v>
      </c>
      <c r="K1075" t="e">
        <f>INDEX('GIS-Standards'!$O$2:$O$305,MATCH(C1075,'GIS-Standards'!$B$2:$B$305,0))</f>
        <v>#N/A</v>
      </c>
      <c r="M1075" t="s">
        <v>524</v>
      </c>
      <c r="N1075">
        <f>INDEX('GIS-Standards'!$I$2:$I$305,MATCH(B1075,'GIS-Standards'!$B$2:$B$305,0))</f>
        <v>0</v>
      </c>
      <c r="O1075" t="e">
        <f>INDEX('GIS-Standards'!$I$2:$I$305,MATCH(C1075,'GIS-Standards'!$B$2:$B$305,0))</f>
        <v>#N/A</v>
      </c>
      <c r="P1075" t="e">
        <f>AND(TableRelationships12[[#This Row],[Source Type]]="BIM",TableRelationships12[[#This Row],[Target Type]]="BIM")</f>
        <v>#N/A</v>
      </c>
      <c r="Q1075">
        <f t="shared" si="48"/>
        <v>6</v>
      </c>
      <c r="S1075">
        <f t="shared" si="49"/>
        <v>1</v>
      </c>
      <c r="T1075" s="102" t="str">
        <f>IF(TableRelationships12[[#This Row],[Rank Pedro]]="Low","linkCategory1",IF(TableRelationships12[[#This Row],[Rank Pedro]]="Medium","linkCategory2",IF(TableRelationships12[[#This Row],[Rank Pedro]]="High","linkCategory3","")))</f>
        <v/>
      </c>
      <c r="U1075" s="102" t="str">
        <f>IF(TableRelationships12[[#This Row],[Rank Pedro]]="Low","Pink",IF(TableRelationships12[[#This Row],[Rank Pedro]]="Medium","Purple",IF(TableRelationships12[[#This Row],[Rank Pedro]]="High","Brown","")))</f>
        <v/>
      </c>
      <c r="V1075" s="4" t="e">
        <f>MAX(INDEX(Standards!$F$2:$F$296,MATCH(B1075,Standards!$B$2:$B$296,0)),INDEX(Standards!$F$2:$F$296,MATCH(C1075,Standards!$B$2:$B$296,0)))</f>
        <v>#N/A</v>
      </c>
      <c r="W1075" t="str">
        <f t="shared" si="50"/>
        <v>#d6bf2a</v>
      </c>
    </row>
    <row r="1076" spans="1:23" x14ac:dyDescent="0.5">
      <c r="A1076" s="54">
        <v>1075</v>
      </c>
      <c r="B1076" s="90" t="s">
        <v>340</v>
      </c>
      <c r="C1076" t="s">
        <v>1572</v>
      </c>
      <c r="D1076" s="1"/>
      <c r="G1076" s="107"/>
      <c r="H1076">
        <f>INDEX('GIS-Standards'!$A$2:$A$305,MATCH(B1076,'GIS-Standards'!$B$2:$B$305,0))</f>
        <v>46</v>
      </c>
      <c r="I1076" t="e">
        <f>INDEX('GIS-Standards'!$A$2:$A$305,MATCH(C1076,'GIS-Standards'!$B$2:$B$305,0))</f>
        <v>#N/A</v>
      </c>
      <c r="J1076" t="str">
        <f>INDEX('GIS-Standards'!$O$2:$O$305,MATCH(B1076,'GIS-Standards'!$B$2:$B$305,0))</f>
        <v>ISO/TC 211</v>
      </c>
      <c r="K1076" t="e">
        <f>INDEX('GIS-Standards'!$O$2:$O$305,MATCH(C1076,'GIS-Standards'!$B$2:$B$305,0))</f>
        <v>#N/A</v>
      </c>
      <c r="M1076" t="s">
        <v>524</v>
      </c>
      <c r="N1076">
        <f>INDEX('GIS-Standards'!$I$2:$I$305,MATCH(B1076,'GIS-Standards'!$B$2:$B$305,0))</f>
        <v>0</v>
      </c>
      <c r="O1076" t="e">
        <f>INDEX('GIS-Standards'!$I$2:$I$305,MATCH(C1076,'GIS-Standards'!$B$2:$B$305,0))</f>
        <v>#N/A</v>
      </c>
      <c r="P1076" t="e">
        <f>AND(TableRelationships12[[#This Row],[Source Type]]="BIM",TableRelationships12[[#This Row],[Target Type]]="BIM")</f>
        <v>#N/A</v>
      </c>
      <c r="Q1076">
        <f t="shared" si="48"/>
        <v>6</v>
      </c>
      <c r="S1076">
        <f t="shared" si="49"/>
        <v>1</v>
      </c>
      <c r="T1076" s="102" t="str">
        <f>IF(TableRelationships12[[#This Row],[Rank Pedro]]="Low","linkCategory1",IF(TableRelationships12[[#This Row],[Rank Pedro]]="Medium","linkCategory2",IF(TableRelationships12[[#This Row],[Rank Pedro]]="High","linkCategory3","")))</f>
        <v/>
      </c>
      <c r="U1076" s="102" t="str">
        <f>IF(TableRelationships12[[#This Row],[Rank Pedro]]="Low","Pink",IF(TableRelationships12[[#This Row],[Rank Pedro]]="Medium","Purple",IF(TableRelationships12[[#This Row],[Rank Pedro]]="High","Brown","")))</f>
        <v/>
      </c>
      <c r="V1076" s="4" t="e">
        <f>MAX(INDEX(Standards!$F$2:$F$296,MATCH(B1076,Standards!$B$2:$B$296,0)),INDEX(Standards!$F$2:$F$296,MATCH(C1076,Standards!$B$2:$B$296,0)))</f>
        <v>#N/A</v>
      </c>
      <c r="W1076" t="str">
        <f t="shared" si="50"/>
        <v>#d6bf2a</v>
      </c>
    </row>
    <row r="1077" spans="1:23" x14ac:dyDescent="0.5">
      <c r="A1077" s="54">
        <v>1076</v>
      </c>
      <c r="B1077" s="90" t="s">
        <v>340</v>
      </c>
      <c r="C1077" t="s">
        <v>1583</v>
      </c>
      <c r="D1077" s="1"/>
      <c r="G1077" s="107"/>
      <c r="H1077">
        <f>INDEX('GIS-Standards'!$A$2:$A$305,MATCH(B1077,'GIS-Standards'!$B$2:$B$305,0))</f>
        <v>46</v>
      </c>
      <c r="I1077" t="e">
        <f>INDEX('GIS-Standards'!$A$2:$A$305,MATCH(C1077,'GIS-Standards'!$B$2:$B$305,0))</f>
        <v>#N/A</v>
      </c>
      <c r="J1077" t="str">
        <f>INDEX('GIS-Standards'!$O$2:$O$305,MATCH(B1077,'GIS-Standards'!$B$2:$B$305,0))</f>
        <v>ISO/TC 211</v>
      </c>
      <c r="K1077" t="e">
        <f>INDEX('GIS-Standards'!$O$2:$O$305,MATCH(C1077,'GIS-Standards'!$B$2:$B$305,0))</f>
        <v>#N/A</v>
      </c>
      <c r="M1077" t="s">
        <v>524</v>
      </c>
      <c r="N1077">
        <f>INDEX('GIS-Standards'!$I$2:$I$305,MATCH(B1077,'GIS-Standards'!$B$2:$B$305,0))</f>
        <v>0</v>
      </c>
      <c r="O1077" t="e">
        <f>INDEX('GIS-Standards'!$I$2:$I$305,MATCH(C1077,'GIS-Standards'!$B$2:$B$305,0))</f>
        <v>#N/A</v>
      </c>
      <c r="P1077" t="e">
        <f>AND(TableRelationships12[[#This Row],[Source Type]]="BIM",TableRelationships12[[#This Row],[Target Type]]="BIM")</f>
        <v>#N/A</v>
      </c>
      <c r="Q1077">
        <f t="shared" si="48"/>
        <v>6</v>
      </c>
      <c r="S1077">
        <f t="shared" si="49"/>
        <v>1</v>
      </c>
      <c r="T1077" s="102" t="str">
        <f>IF(TableRelationships12[[#This Row],[Rank Pedro]]="Low","linkCategory1",IF(TableRelationships12[[#This Row],[Rank Pedro]]="Medium","linkCategory2",IF(TableRelationships12[[#This Row],[Rank Pedro]]="High","linkCategory3","")))</f>
        <v/>
      </c>
      <c r="U1077" s="102" t="str">
        <f>IF(TableRelationships12[[#This Row],[Rank Pedro]]="Low","Pink",IF(TableRelationships12[[#This Row],[Rank Pedro]]="Medium","Purple",IF(TableRelationships12[[#This Row],[Rank Pedro]]="High","Brown","")))</f>
        <v/>
      </c>
      <c r="V1077" s="4" t="e">
        <f>MAX(INDEX(Standards!$F$2:$F$296,MATCH(B1077,Standards!$B$2:$B$296,0)),INDEX(Standards!$F$2:$F$296,MATCH(C1077,Standards!$B$2:$B$296,0)))</f>
        <v>#N/A</v>
      </c>
      <c r="W1077" t="str">
        <f t="shared" si="50"/>
        <v>#d6bf2a</v>
      </c>
    </row>
    <row r="1078" spans="1:23" x14ac:dyDescent="0.5">
      <c r="A1078" s="54">
        <v>1077</v>
      </c>
      <c r="B1078" s="90" t="s">
        <v>340</v>
      </c>
      <c r="C1078" t="s">
        <v>1594</v>
      </c>
      <c r="D1078" s="1"/>
      <c r="G1078" s="107"/>
      <c r="H1078">
        <f>INDEX('GIS-Standards'!$A$2:$A$305,MATCH(B1078,'GIS-Standards'!$B$2:$B$305,0))</f>
        <v>46</v>
      </c>
      <c r="I1078" t="e">
        <f>INDEX('GIS-Standards'!$A$2:$A$305,MATCH(C1078,'GIS-Standards'!$B$2:$B$305,0))</f>
        <v>#N/A</v>
      </c>
      <c r="J1078" t="str">
        <f>INDEX('GIS-Standards'!$O$2:$O$305,MATCH(B1078,'GIS-Standards'!$B$2:$B$305,0))</f>
        <v>ISO/TC 211</v>
      </c>
      <c r="K1078" t="e">
        <f>INDEX('GIS-Standards'!$O$2:$O$305,MATCH(C1078,'GIS-Standards'!$B$2:$B$305,0))</f>
        <v>#N/A</v>
      </c>
      <c r="M1078" t="s">
        <v>524</v>
      </c>
      <c r="N1078">
        <f>INDEX('GIS-Standards'!$I$2:$I$305,MATCH(B1078,'GIS-Standards'!$B$2:$B$305,0))</f>
        <v>0</v>
      </c>
      <c r="O1078" t="e">
        <f>INDEX('GIS-Standards'!$I$2:$I$305,MATCH(C1078,'GIS-Standards'!$B$2:$B$305,0))</f>
        <v>#N/A</v>
      </c>
      <c r="P1078" t="e">
        <f>AND(TableRelationships12[[#This Row],[Source Type]]="BIM",TableRelationships12[[#This Row],[Target Type]]="BIM")</f>
        <v>#N/A</v>
      </c>
      <c r="Q1078">
        <f t="shared" si="48"/>
        <v>6</v>
      </c>
      <c r="S1078">
        <f t="shared" si="49"/>
        <v>1</v>
      </c>
      <c r="T1078" s="102" t="str">
        <f>IF(TableRelationships12[[#This Row],[Rank Pedro]]="Low","linkCategory1",IF(TableRelationships12[[#This Row],[Rank Pedro]]="Medium","linkCategory2",IF(TableRelationships12[[#This Row],[Rank Pedro]]="High","linkCategory3","")))</f>
        <v/>
      </c>
      <c r="U1078" s="102" t="str">
        <f>IF(TableRelationships12[[#This Row],[Rank Pedro]]="Low","Pink",IF(TableRelationships12[[#This Row],[Rank Pedro]]="Medium","Purple",IF(TableRelationships12[[#This Row],[Rank Pedro]]="High","Brown","")))</f>
        <v/>
      </c>
      <c r="V1078" s="4" t="e">
        <f>MAX(INDEX(Standards!$F$2:$F$296,MATCH(B1078,Standards!$B$2:$B$296,0)),INDEX(Standards!$F$2:$F$296,MATCH(C1078,Standards!$B$2:$B$296,0)))</f>
        <v>#N/A</v>
      </c>
      <c r="W1078" t="str">
        <f t="shared" si="50"/>
        <v>#d6bf2a</v>
      </c>
    </row>
    <row r="1079" spans="1:23" x14ac:dyDescent="0.5">
      <c r="A1079" s="54">
        <v>1078</v>
      </c>
      <c r="B1079" s="90" t="s">
        <v>340</v>
      </c>
      <c r="C1079" t="s">
        <v>1553</v>
      </c>
      <c r="D1079" s="1"/>
      <c r="G1079" s="107"/>
      <c r="H1079">
        <f>INDEX('GIS-Standards'!$A$2:$A$305,MATCH(B1079,'GIS-Standards'!$B$2:$B$305,0))</f>
        <v>46</v>
      </c>
      <c r="I1079" t="e">
        <f>INDEX('GIS-Standards'!$A$2:$A$305,MATCH(C1079,'GIS-Standards'!$B$2:$B$305,0))</f>
        <v>#N/A</v>
      </c>
      <c r="J1079" t="str">
        <f>INDEX('GIS-Standards'!$O$2:$O$305,MATCH(B1079,'GIS-Standards'!$B$2:$B$305,0))</f>
        <v>ISO/TC 211</v>
      </c>
      <c r="K1079" t="e">
        <f>INDEX('GIS-Standards'!$O$2:$O$305,MATCH(C1079,'GIS-Standards'!$B$2:$B$305,0))</f>
        <v>#N/A</v>
      </c>
      <c r="M1079" t="s">
        <v>524</v>
      </c>
      <c r="N1079">
        <f>INDEX('GIS-Standards'!$I$2:$I$305,MATCH(B1079,'GIS-Standards'!$B$2:$B$305,0))</f>
        <v>0</v>
      </c>
      <c r="O1079" t="e">
        <f>INDEX('GIS-Standards'!$I$2:$I$305,MATCH(C1079,'GIS-Standards'!$B$2:$B$305,0))</f>
        <v>#N/A</v>
      </c>
      <c r="P1079" t="e">
        <f>AND(TableRelationships12[[#This Row],[Source Type]]="BIM",TableRelationships12[[#This Row],[Target Type]]="BIM")</f>
        <v>#N/A</v>
      </c>
      <c r="Q1079">
        <f t="shared" si="48"/>
        <v>6</v>
      </c>
      <c r="S1079">
        <f t="shared" si="49"/>
        <v>1</v>
      </c>
      <c r="T1079" s="102" t="str">
        <f>IF(TableRelationships12[[#This Row],[Rank Pedro]]="Low","linkCategory1",IF(TableRelationships12[[#This Row],[Rank Pedro]]="Medium","linkCategory2",IF(TableRelationships12[[#This Row],[Rank Pedro]]="High","linkCategory3","")))</f>
        <v/>
      </c>
      <c r="U1079" s="102" t="str">
        <f>IF(TableRelationships12[[#This Row],[Rank Pedro]]="Low","Pink",IF(TableRelationships12[[#This Row],[Rank Pedro]]="Medium","Purple",IF(TableRelationships12[[#This Row],[Rank Pedro]]="High","Brown","")))</f>
        <v/>
      </c>
      <c r="V1079" s="4" t="e">
        <f>MAX(INDEX(Standards!$F$2:$F$296,MATCH(B1079,Standards!$B$2:$B$296,0)),INDEX(Standards!$F$2:$F$296,MATCH(C1079,Standards!$B$2:$B$296,0)))</f>
        <v>#N/A</v>
      </c>
      <c r="W1079" t="str">
        <f t="shared" si="50"/>
        <v>#d6bf2a</v>
      </c>
    </row>
    <row r="1080" spans="1:23" x14ac:dyDescent="0.5">
      <c r="A1080" s="54">
        <v>1079</v>
      </c>
      <c r="B1080" s="90" t="s">
        <v>340</v>
      </c>
      <c r="C1080" t="s">
        <v>1141</v>
      </c>
      <c r="D1080" s="1"/>
      <c r="G1080" s="107"/>
      <c r="H1080">
        <f>INDEX('GIS-Standards'!$A$2:$A$305,MATCH(B1080,'GIS-Standards'!$B$2:$B$305,0))</f>
        <v>46</v>
      </c>
      <c r="I1080" t="e">
        <f>INDEX('GIS-Standards'!$A$2:$A$305,MATCH(C1080,'GIS-Standards'!$B$2:$B$305,0))</f>
        <v>#N/A</v>
      </c>
      <c r="J1080" t="str">
        <f>INDEX('GIS-Standards'!$O$2:$O$305,MATCH(B1080,'GIS-Standards'!$B$2:$B$305,0))</f>
        <v>ISO/TC 211</v>
      </c>
      <c r="K1080" t="e">
        <f>INDEX('GIS-Standards'!$O$2:$O$305,MATCH(C1080,'GIS-Standards'!$B$2:$B$305,0))</f>
        <v>#N/A</v>
      </c>
      <c r="M1080" t="s">
        <v>524</v>
      </c>
      <c r="N1080">
        <f>INDEX('GIS-Standards'!$I$2:$I$305,MATCH(B1080,'GIS-Standards'!$B$2:$B$305,0))</f>
        <v>0</v>
      </c>
      <c r="O1080" t="e">
        <f>INDEX('GIS-Standards'!$I$2:$I$305,MATCH(C1080,'GIS-Standards'!$B$2:$B$305,0))</f>
        <v>#N/A</v>
      </c>
      <c r="P1080" t="e">
        <f>AND(TableRelationships12[[#This Row],[Source Type]]="BIM",TableRelationships12[[#This Row],[Target Type]]="BIM")</f>
        <v>#N/A</v>
      </c>
      <c r="Q1080">
        <f t="shared" si="48"/>
        <v>6</v>
      </c>
      <c r="S1080">
        <f t="shared" si="49"/>
        <v>1</v>
      </c>
      <c r="T1080" s="102" t="str">
        <f>IF(TableRelationships12[[#This Row],[Rank Pedro]]="Low","linkCategory1",IF(TableRelationships12[[#This Row],[Rank Pedro]]="Medium","linkCategory2",IF(TableRelationships12[[#This Row],[Rank Pedro]]="High","linkCategory3","")))</f>
        <v/>
      </c>
      <c r="U1080" s="102" t="str">
        <f>IF(TableRelationships12[[#This Row],[Rank Pedro]]="Low","Pink",IF(TableRelationships12[[#This Row],[Rank Pedro]]="Medium","Purple",IF(TableRelationships12[[#This Row],[Rank Pedro]]="High","Brown","")))</f>
        <v/>
      </c>
      <c r="V1080" s="4" t="e">
        <f>MAX(INDEX(Standards!$F$2:$F$296,MATCH(B1080,Standards!$B$2:$B$296,0)),INDEX(Standards!$F$2:$F$296,MATCH(C1080,Standards!$B$2:$B$296,0)))</f>
        <v>#N/A</v>
      </c>
      <c r="W1080" t="str">
        <f t="shared" si="50"/>
        <v>#d6bf2a</v>
      </c>
    </row>
    <row r="1081" spans="1:23" x14ac:dyDescent="0.5">
      <c r="A1081" s="54">
        <v>1080</v>
      </c>
      <c r="B1081" s="90" t="s">
        <v>340</v>
      </c>
      <c r="C1081" t="s">
        <v>1142</v>
      </c>
      <c r="D1081" s="1"/>
      <c r="G1081" s="107"/>
      <c r="H1081">
        <f>INDEX('GIS-Standards'!$A$2:$A$305,MATCH(B1081,'GIS-Standards'!$B$2:$B$305,0))</f>
        <v>46</v>
      </c>
      <c r="I1081" t="e">
        <f>INDEX('GIS-Standards'!$A$2:$A$305,MATCH(C1081,'GIS-Standards'!$B$2:$B$305,0))</f>
        <v>#N/A</v>
      </c>
      <c r="J1081" t="str">
        <f>INDEX('GIS-Standards'!$O$2:$O$305,MATCH(B1081,'GIS-Standards'!$B$2:$B$305,0))</f>
        <v>ISO/TC 211</v>
      </c>
      <c r="K1081" t="e">
        <f>INDEX('GIS-Standards'!$O$2:$O$305,MATCH(C1081,'GIS-Standards'!$B$2:$B$305,0))</f>
        <v>#N/A</v>
      </c>
      <c r="M1081" t="s">
        <v>524</v>
      </c>
      <c r="N1081">
        <f>INDEX('GIS-Standards'!$I$2:$I$305,MATCH(B1081,'GIS-Standards'!$B$2:$B$305,0))</f>
        <v>0</v>
      </c>
      <c r="O1081" t="e">
        <f>INDEX('GIS-Standards'!$I$2:$I$305,MATCH(C1081,'GIS-Standards'!$B$2:$B$305,0))</f>
        <v>#N/A</v>
      </c>
      <c r="P1081" t="e">
        <f>AND(TableRelationships12[[#This Row],[Source Type]]="BIM",TableRelationships12[[#This Row],[Target Type]]="BIM")</f>
        <v>#N/A</v>
      </c>
      <c r="Q1081">
        <f t="shared" si="48"/>
        <v>6</v>
      </c>
      <c r="S1081">
        <f t="shared" si="49"/>
        <v>1</v>
      </c>
      <c r="T1081" s="102" t="str">
        <f>IF(TableRelationships12[[#This Row],[Rank Pedro]]="Low","linkCategory1",IF(TableRelationships12[[#This Row],[Rank Pedro]]="Medium","linkCategory2",IF(TableRelationships12[[#This Row],[Rank Pedro]]="High","linkCategory3","")))</f>
        <v/>
      </c>
      <c r="U1081" s="102" t="str">
        <f>IF(TableRelationships12[[#This Row],[Rank Pedro]]="Low","Pink",IF(TableRelationships12[[#This Row],[Rank Pedro]]="Medium","Purple",IF(TableRelationships12[[#This Row],[Rank Pedro]]="High","Brown","")))</f>
        <v/>
      </c>
      <c r="V1081" s="4" t="e">
        <f>MAX(INDEX(Standards!$F$2:$F$296,MATCH(B1081,Standards!$B$2:$B$296,0)),INDEX(Standards!$F$2:$F$296,MATCH(C1081,Standards!$B$2:$B$296,0)))</f>
        <v>#N/A</v>
      </c>
      <c r="W1081" t="str">
        <f t="shared" si="50"/>
        <v>#d6bf2a</v>
      </c>
    </row>
    <row r="1082" spans="1:23" x14ac:dyDescent="0.5">
      <c r="A1082" s="54">
        <v>1081</v>
      </c>
      <c r="B1082" s="90" t="s">
        <v>340</v>
      </c>
      <c r="C1082" t="s">
        <v>293</v>
      </c>
      <c r="D1082" s="1" t="s">
        <v>1127</v>
      </c>
      <c r="E1082" s="112">
        <v>2002.07</v>
      </c>
      <c r="F1082" s="112">
        <v>2014.11</v>
      </c>
      <c r="G1082" s="107" t="s">
        <v>670</v>
      </c>
      <c r="H1082">
        <f>INDEX('GIS-Standards'!$A$2:$A$305,MATCH(B1082,'GIS-Standards'!$B$2:$B$305,0))</f>
        <v>46</v>
      </c>
      <c r="I1082">
        <f>INDEX('GIS-Standards'!$A$2:$A$305,MATCH(C1082,'GIS-Standards'!$B$2:$B$305,0))</f>
        <v>10</v>
      </c>
      <c r="J1082" t="str">
        <f>INDEX('GIS-Standards'!$O$2:$O$305,MATCH(B1082,'GIS-Standards'!$B$2:$B$305,0))</f>
        <v>ISO/TC 211</v>
      </c>
      <c r="K1082" t="str">
        <f>INDEX('GIS-Standards'!$O$2:$O$305,MATCH(C1082,'GIS-Standards'!$B$2:$B$305,0))</f>
        <v>ISO/TC 211</v>
      </c>
      <c r="M1082" t="s">
        <v>525</v>
      </c>
      <c r="N1082">
        <f>INDEX('GIS-Standards'!$I$2:$I$305,MATCH(B1082,'GIS-Standards'!$B$2:$B$305,0))</f>
        <v>0</v>
      </c>
      <c r="O1082">
        <f>INDEX('GIS-Standards'!$I$2:$I$305,MATCH(C1082,'GIS-Standards'!$B$2:$B$305,0))</f>
        <v>0</v>
      </c>
      <c r="P1082" t="b">
        <f>AND(TableRelationships12[[#This Row],[Source Type]]="BIM",TableRelationships12[[#This Row],[Target Type]]="BIM")</f>
        <v>0</v>
      </c>
      <c r="Q1082">
        <f t="shared" si="48"/>
        <v>1</v>
      </c>
      <c r="S1082">
        <f t="shared" si="49"/>
        <v>1</v>
      </c>
      <c r="T1082" s="102" t="str">
        <f>IF(TableRelationships12[[#This Row],[Rank Pedro]]="Low","linkCategory1",IF(TableRelationships12[[#This Row],[Rank Pedro]]="Medium","linkCategory2",IF(TableRelationships12[[#This Row],[Rank Pedro]]="High","linkCategory3","")))</f>
        <v/>
      </c>
      <c r="U1082" s="102" t="str">
        <f>IF(TableRelationships12[[#This Row],[Rank Pedro]]="Low","Pink",IF(TableRelationships12[[#This Row],[Rank Pedro]]="Medium","Purple",IF(TableRelationships12[[#This Row],[Rank Pedro]]="High","Brown","")))</f>
        <v/>
      </c>
      <c r="V1082" s="4">
        <f>MAX(INDEX(Standards!$F$2:$F$296,MATCH(B1082,Standards!$B$2:$B$296,0)),INDEX(Standards!$F$2:$F$296,MATCH(C1082,Standards!$B$2:$B$296,0)))</f>
        <v>40513</v>
      </c>
      <c r="W1082" t="str">
        <f t="shared" si="50"/>
        <v>#2f89d1</v>
      </c>
    </row>
    <row r="1083" spans="1:23" x14ac:dyDescent="0.5">
      <c r="A1083" s="54">
        <v>1082</v>
      </c>
      <c r="B1083" s="90" t="s">
        <v>340</v>
      </c>
      <c r="C1083" t="s">
        <v>306</v>
      </c>
      <c r="D1083" s="1"/>
      <c r="E1083" s="112">
        <v>2005.06</v>
      </c>
      <c r="F1083" s="112">
        <v>2025.07</v>
      </c>
      <c r="G1083" s="107" t="s">
        <v>670</v>
      </c>
      <c r="H1083">
        <f>INDEX('GIS-Standards'!$A$2:$A$305,MATCH(B1083,'GIS-Standards'!$B$2:$B$305,0))</f>
        <v>46</v>
      </c>
      <c r="I1083">
        <f>INDEX('GIS-Standards'!$A$2:$A$305,MATCH(C1083,'GIS-Standards'!$B$2:$B$305,0))</f>
        <v>18</v>
      </c>
      <c r="J1083" t="str">
        <f>INDEX('GIS-Standards'!$O$2:$O$305,MATCH(B1083,'GIS-Standards'!$B$2:$B$305,0))</f>
        <v>ISO/TC 211</v>
      </c>
      <c r="K1083" t="str">
        <f>INDEX('GIS-Standards'!$O$2:$O$305,MATCH(C1083,'GIS-Standards'!$B$2:$B$305,0))</f>
        <v>ISO/TC 211</v>
      </c>
      <c r="M1083" t="s">
        <v>525</v>
      </c>
      <c r="N1083">
        <f>INDEX('GIS-Standards'!$I$2:$I$305,MATCH(B1083,'GIS-Standards'!$B$2:$B$305,0))</f>
        <v>0</v>
      </c>
      <c r="O1083">
        <f>INDEX('GIS-Standards'!$I$2:$I$305,MATCH(C1083,'GIS-Standards'!$B$2:$B$305,0))</f>
        <v>0</v>
      </c>
      <c r="P1083" t="b">
        <f>AND(TableRelationships12[[#This Row],[Source Type]]="BIM",TableRelationships12[[#This Row],[Target Type]]="BIM")</f>
        <v>0</v>
      </c>
      <c r="Q1083">
        <f t="shared" si="48"/>
        <v>1</v>
      </c>
      <c r="S1083">
        <f t="shared" si="49"/>
        <v>1</v>
      </c>
      <c r="T1083" s="102" t="str">
        <f>IF(TableRelationships12[[#This Row],[Rank Pedro]]="Low","linkCategory1",IF(TableRelationships12[[#This Row],[Rank Pedro]]="Medium","linkCategory2",IF(TableRelationships12[[#This Row],[Rank Pedro]]="High","linkCategory3","")))</f>
        <v/>
      </c>
      <c r="U1083" s="102" t="str">
        <f>IF(TableRelationships12[[#This Row],[Rank Pedro]]="Low","Pink",IF(TableRelationships12[[#This Row],[Rank Pedro]]="Medium","Purple",IF(TableRelationships12[[#This Row],[Rank Pedro]]="High","Brown","")))</f>
        <v/>
      </c>
      <c r="V1083" s="4">
        <f>MAX(INDEX(Standards!$F$2:$F$296,MATCH(B1083,Standards!$B$2:$B$296,0)),INDEX(Standards!$F$2:$F$296,MATCH(C1083,Standards!$B$2:$B$296,0)))</f>
        <v>40513</v>
      </c>
      <c r="W1083" t="str">
        <f t="shared" si="50"/>
        <v>#2f89d1</v>
      </c>
    </row>
    <row r="1084" spans="1:23" x14ac:dyDescent="0.5">
      <c r="A1084" s="54">
        <v>1083</v>
      </c>
      <c r="B1084" s="90" t="s">
        <v>340</v>
      </c>
      <c r="C1084" t="s">
        <v>310</v>
      </c>
      <c r="D1084" s="1"/>
      <c r="E1084" s="112">
        <v>2003.02</v>
      </c>
      <c r="F1084" s="112">
        <v>2023.08</v>
      </c>
      <c r="G1084" s="107" t="s">
        <v>670</v>
      </c>
      <c r="H1084">
        <f>INDEX('GIS-Standards'!$A$2:$A$305,MATCH(B1084,'GIS-Standards'!$B$2:$B$305,0))</f>
        <v>46</v>
      </c>
      <c r="I1084">
        <f>INDEX('GIS-Standards'!$A$2:$A$305,MATCH(C1084,'GIS-Standards'!$B$2:$B$305,0))</f>
        <v>20</v>
      </c>
      <c r="J1084" t="str">
        <f>INDEX('GIS-Standards'!$O$2:$O$305,MATCH(B1084,'GIS-Standards'!$B$2:$B$305,0))</f>
        <v>ISO/TC 211</v>
      </c>
      <c r="K1084" t="str">
        <f>INDEX('GIS-Standards'!$O$2:$O$305,MATCH(C1084,'GIS-Standards'!$B$2:$B$305,0))</f>
        <v>ISO/TC 211</v>
      </c>
      <c r="M1084" t="s">
        <v>525</v>
      </c>
      <c r="N1084">
        <f>INDEX('GIS-Standards'!$I$2:$I$305,MATCH(B1084,'GIS-Standards'!$B$2:$B$305,0))</f>
        <v>0</v>
      </c>
      <c r="O1084" t="str">
        <f>INDEX('GIS-Standards'!$I$2:$I$305,MATCH(C1084,'GIS-Standards'!$B$2:$B$305,0))</f>
        <v>08.2023</v>
      </c>
      <c r="P1084" t="b">
        <f>AND(TableRelationships12[[#This Row],[Source Type]]="BIM",TableRelationships12[[#This Row],[Target Type]]="BIM")</f>
        <v>0</v>
      </c>
      <c r="Q1084">
        <f t="shared" si="48"/>
        <v>1</v>
      </c>
      <c r="S1084">
        <f t="shared" si="49"/>
        <v>1</v>
      </c>
      <c r="T1084" s="102" t="str">
        <f>IF(TableRelationships12[[#This Row],[Rank Pedro]]="Low","linkCategory1",IF(TableRelationships12[[#This Row],[Rank Pedro]]="Medium","linkCategory2",IF(TableRelationships12[[#This Row],[Rank Pedro]]="High","linkCategory3","")))</f>
        <v/>
      </c>
      <c r="U1084" s="102" t="str">
        <f>IF(TableRelationships12[[#This Row],[Rank Pedro]]="Low","Pink",IF(TableRelationships12[[#This Row],[Rank Pedro]]="Medium","Purple",IF(TableRelationships12[[#This Row],[Rank Pedro]]="High","Brown","")))</f>
        <v/>
      </c>
      <c r="V1084" s="4">
        <f>MAX(INDEX(Standards!$F$2:$F$296,MATCH(B1084,Standards!$B$2:$B$296,0)),INDEX(Standards!$F$2:$F$296,MATCH(C1084,Standards!$B$2:$B$296,0)))</f>
        <v>40513</v>
      </c>
      <c r="W1084" t="str">
        <f t="shared" si="50"/>
        <v>#2f89d1</v>
      </c>
    </row>
    <row r="1085" spans="1:23" x14ac:dyDescent="0.5">
      <c r="A1085" s="54">
        <v>1084</v>
      </c>
      <c r="B1085" s="90" t="s">
        <v>340</v>
      </c>
      <c r="C1085" t="s">
        <v>314</v>
      </c>
      <c r="D1085" s="1" t="s">
        <v>1099</v>
      </c>
      <c r="E1085" s="112">
        <v>2003.05</v>
      </c>
      <c r="F1085" s="112">
        <v>2020.11</v>
      </c>
      <c r="G1085" s="107" t="s">
        <v>670</v>
      </c>
      <c r="H1085">
        <f>INDEX('GIS-Standards'!$A$2:$A$305,MATCH(B1085,'GIS-Standards'!$B$2:$B$305,0))</f>
        <v>46</v>
      </c>
      <c r="I1085">
        <f>INDEX('GIS-Standards'!$A$2:$A$305,MATCH(C1085,'GIS-Standards'!$B$2:$B$305,0))</f>
        <v>22</v>
      </c>
      <c r="J1085" t="str">
        <f>INDEX('GIS-Standards'!$O$2:$O$305,MATCH(B1085,'GIS-Standards'!$B$2:$B$305,0))</f>
        <v>ISO/TC 211</v>
      </c>
      <c r="K1085" t="str">
        <f>INDEX('GIS-Standards'!$O$2:$O$305,MATCH(C1085,'GIS-Standards'!$B$2:$B$305,0))</f>
        <v>ISO/TC 211</v>
      </c>
      <c r="M1085" t="s">
        <v>525</v>
      </c>
      <c r="N1085">
        <f>INDEX('GIS-Standards'!$I$2:$I$305,MATCH(B1085,'GIS-Standards'!$B$2:$B$305,0))</f>
        <v>0</v>
      </c>
      <c r="O1085" t="str">
        <f>INDEX('GIS-Standards'!$I$2:$I$305,MATCH(C1085,'GIS-Standards'!$B$2:$B$305,0))</f>
        <v>12.2020</v>
      </c>
      <c r="P1085" t="b">
        <f>AND(TableRelationships12[[#This Row],[Source Type]]="BIM",TableRelationships12[[#This Row],[Target Type]]="BIM")</f>
        <v>0</v>
      </c>
      <c r="Q1085">
        <f t="shared" si="48"/>
        <v>1</v>
      </c>
      <c r="S1085">
        <f t="shared" si="49"/>
        <v>1</v>
      </c>
      <c r="T1085" s="102" t="str">
        <f>IF(TableRelationships12[[#This Row],[Rank Pedro]]="Low","linkCategory1",IF(TableRelationships12[[#This Row],[Rank Pedro]]="Medium","linkCategory2",IF(TableRelationships12[[#This Row],[Rank Pedro]]="High","linkCategory3","")))</f>
        <v/>
      </c>
      <c r="U1085" s="102" t="str">
        <f>IF(TableRelationships12[[#This Row],[Rank Pedro]]="Low","Pink",IF(TableRelationships12[[#This Row],[Rank Pedro]]="Medium","Purple",IF(TableRelationships12[[#This Row],[Rank Pedro]]="High","Brown","")))</f>
        <v/>
      </c>
      <c r="V1085" s="4">
        <f>MAX(INDEX(Standards!$F$2:$F$296,MATCH(B1085,Standards!$B$2:$B$296,0)),INDEX(Standards!$F$2:$F$296,MATCH(C1085,Standards!$B$2:$B$296,0)))</f>
        <v>40513</v>
      </c>
      <c r="W1085" t="str">
        <f t="shared" si="50"/>
        <v>#2f89d1</v>
      </c>
    </row>
    <row r="1086" spans="1:23" x14ac:dyDescent="0.5">
      <c r="A1086" s="54">
        <v>1085</v>
      </c>
      <c r="B1086" s="90" t="s">
        <v>340</v>
      </c>
      <c r="C1086" t="s">
        <v>318</v>
      </c>
      <c r="D1086" s="1"/>
      <c r="E1086" s="112">
        <v>2005.02</v>
      </c>
      <c r="F1086" s="112">
        <v>2016.01</v>
      </c>
      <c r="G1086" s="107" t="s">
        <v>670</v>
      </c>
      <c r="H1086">
        <f>INDEX('GIS-Standards'!$A$2:$A$305,MATCH(B1086,'GIS-Standards'!$B$2:$B$305,0))</f>
        <v>46</v>
      </c>
      <c r="I1086">
        <f>INDEX('GIS-Standards'!$A$2:$A$305,MATCH(C1086,'GIS-Standards'!$B$2:$B$305,0))</f>
        <v>28</v>
      </c>
      <c r="J1086" t="str">
        <f>INDEX('GIS-Standards'!$O$2:$O$305,MATCH(B1086,'GIS-Standards'!$B$2:$B$305,0))</f>
        <v>ISO/TC 211</v>
      </c>
      <c r="K1086" t="str">
        <f>INDEX('GIS-Standards'!$O$2:$O$305,MATCH(C1086,'GIS-Standards'!$B$2:$B$305,0))</f>
        <v>ISO/TC 211</v>
      </c>
      <c r="M1086" t="s">
        <v>525</v>
      </c>
      <c r="N1086">
        <f>INDEX('GIS-Standards'!$I$2:$I$305,MATCH(B1086,'GIS-Standards'!$B$2:$B$305,0))</f>
        <v>0</v>
      </c>
      <c r="O1086">
        <f>INDEX('GIS-Standards'!$I$2:$I$305,MATCH(C1086,'GIS-Standards'!$B$2:$B$305,0))</f>
        <v>0</v>
      </c>
      <c r="P1086" t="b">
        <f>AND(TableRelationships12[[#This Row],[Source Type]]="BIM",TableRelationships12[[#This Row],[Target Type]]="BIM")</f>
        <v>0</v>
      </c>
      <c r="Q1086">
        <f t="shared" si="48"/>
        <v>1</v>
      </c>
      <c r="S1086">
        <f t="shared" si="49"/>
        <v>1</v>
      </c>
      <c r="T1086" s="102" t="str">
        <f>IF(TableRelationships12[[#This Row],[Rank Pedro]]="Low","linkCategory1",IF(TableRelationships12[[#This Row],[Rank Pedro]]="Medium","linkCategory2",IF(TableRelationships12[[#This Row],[Rank Pedro]]="High","linkCategory3","")))</f>
        <v/>
      </c>
      <c r="U1086" s="102" t="str">
        <f>IF(TableRelationships12[[#This Row],[Rank Pedro]]="Low","Pink",IF(TableRelationships12[[#This Row],[Rank Pedro]]="Medium","Purple",IF(TableRelationships12[[#This Row],[Rank Pedro]]="High","Brown","")))</f>
        <v/>
      </c>
      <c r="V1086" s="4">
        <f>MAX(INDEX(Standards!$F$2:$F$296,MATCH(B1086,Standards!$B$2:$B$296,0)),INDEX(Standards!$F$2:$F$296,MATCH(C1086,Standards!$B$2:$B$296,0)))</f>
        <v>40513</v>
      </c>
      <c r="W1086" t="str">
        <f t="shared" si="50"/>
        <v>#2f89d1</v>
      </c>
    </row>
    <row r="1087" spans="1:23" x14ac:dyDescent="0.5">
      <c r="A1087" s="54">
        <v>1086</v>
      </c>
      <c r="B1087" s="90" t="s">
        <v>340</v>
      </c>
      <c r="C1087" t="s">
        <v>326</v>
      </c>
      <c r="D1087" s="1"/>
      <c r="E1087" s="112">
        <v>2005.12</v>
      </c>
      <c r="F1087" s="112">
        <v>2005.12</v>
      </c>
      <c r="G1087" s="107" t="s">
        <v>670</v>
      </c>
      <c r="H1087">
        <f>INDEX('GIS-Standards'!$A$2:$A$305,MATCH(B1087,'GIS-Standards'!$B$2:$B$305,0))</f>
        <v>46</v>
      </c>
      <c r="I1087">
        <f>INDEX('GIS-Standards'!$A$2:$A$305,MATCH(C1087,'GIS-Standards'!$B$2:$B$305,0))</f>
        <v>35</v>
      </c>
      <c r="J1087" t="str">
        <f>INDEX('GIS-Standards'!$O$2:$O$305,MATCH(B1087,'GIS-Standards'!$B$2:$B$305,0))</f>
        <v>ISO/TC 211</v>
      </c>
      <c r="K1087" t="str">
        <f>INDEX('GIS-Standards'!$O$2:$O$305,MATCH(C1087,'GIS-Standards'!$B$2:$B$305,0))</f>
        <v>ISO/TC 211</v>
      </c>
      <c r="M1087" t="s">
        <v>525</v>
      </c>
      <c r="N1087">
        <f>INDEX('GIS-Standards'!$I$2:$I$305,MATCH(B1087,'GIS-Standards'!$B$2:$B$305,0))</f>
        <v>0</v>
      </c>
      <c r="O1087">
        <f>INDEX('GIS-Standards'!$I$2:$I$305,MATCH(C1087,'GIS-Standards'!$B$2:$B$305,0))</f>
        <v>0</v>
      </c>
      <c r="P1087" t="b">
        <f>AND(TableRelationships12[[#This Row],[Source Type]]="BIM",TableRelationships12[[#This Row],[Target Type]]="BIM")</f>
        <v>0</v>
      </c>
      <c r="Q1087">
        <f t="shared" si="48"/>
        <v>1</v>
      </c>
      <c r="S1087">
        <f t="shared" si="49"/>
        <v>1</v>
      </c>
      <c r="T1087" s="102" t="str">
        <f>IF(TableRelationships12[[#This Row],[Rank Pedro]]="Low","linkCategory1",IF(TableRelationships12[[#This Row],[Rank Pedro]]="Medium","linkCategory2",IF(TableRelationships12[[#This Row],[Rank Pedro]]="High","linkCategory3","")))</f>
        <v/>
      </c>
      <c r="U1087" s="102" t="str">
        <f>IF(TableRelationships12[[#This Row],[Rank Pedro]]="Low","Pink",IF(TableRelationships12[[#This Row],[Rank Pedro]]="Medium","Purple",IF(TableRelationships12[[#This Row],[Rank Pedro]]="High","Brown","")))</f>
        <v/>
      </c>
      <c r="V1087" s="4">
        <f>MAX(INDEX(Standards!$F$2:$F$296,MATCH(B1087,Standards!$B$2:$B$296,0)),INDEX(Standards!$F$2:$F$296,MATCH(C1087,Standards!$B$2:$B$296,0)))</f>
        <v>40513</v>
      </c>
      <c r="W1087" t="str">
        <f t="shared" si="50"/>
        <v>#2f89d1</v>
      </c>
    </row>
    <row r="1088" spans="1:23" x14ac:dyDescent="0.5">
      <c r="A1088" s="54">
        <v>1087</v>
      </c>
      <c r="B1088" s="90" t="s">
        <v>340</v>
      </c>
      <c r="C1088" t="s">
        <v>1188</v>
      </c>
      <c r="D1088" s="1"/>
      <c r="G1088" s="107"/>
      <c r="H1088">
        <f>INDEX('GIS-Standards'!$A$2:$A$305,MATCH(B1088,'GIS-Standards'!$B$2:$B$305,0))</f>
        <v>46</v>
      </c>
      <c r="I1088" t="e">
        <f>INDEX('GIS-Standards'!$A$2:$A$305,MATCH(C1088,'GIS-Standards'!$B$2:$B$305,0))</f>
        <v>#N/A</v>
      </c>
      <c r="J1088" t="str">
        <f>INDEX('GIS-Standards'!$O$2:$O$305,MATCH(B1088,'GIS-Standards'!$B$2:$B$305,0))</f>
        <v>ISO/TC 211</v>
      </c>
      <c r="K1088" t="e">
        <f>INDEX('GIS-Standards'!$O$2:$O$305,MATCH(C1088,'GIS-Standards'!$B$2:$B$305,0))</f>
        <v>#N/A</v>
      </c>
      <c r="M1088" t="s">
        <v>525</v>
      </c>
      <c r="N1088">
        <f>INDEX('GIS-Standards'!$I$2:$I$305,MATCH(B1088,'GIS-Standards'!$B$2:$B$305,0))</f>
        <v>0</v>
      </c>
      <c r="O1088" t="e">
        <f>INDEX('GIS-Standards'!$I$2:$I$305,MATCH(C1088,'GIS-Standards'!$B$2:$B$305,0))</f>
        <v>#N/A</v>
      </c>
      <c r="P1088" t="e">
        <f>AND(TableRelationships12[[#This Row],[Source Type]]="BIM",TableRelationships12[[#This Row],[Target Type]]="BIM")</f>
        <v>#N/A</v>
      </c>
      <c r="Q1088">
        <f t="shared" si="48"/>
        <v>1</v>
      </c>
      <c r="S1088">
        <f t="shared" si="49"/>
        <v>1</v>
      </c>
      <c r="T1088" s="102" t="str">
        <f>IF(TableRelationships12[[#This Row],[Rank Pedro]]="Low","linkCategory1",IF(TableRelationships12[[#This Row],[Rank Pedro]]="Medium","linkCategory2",IF(TableRelationships12[[#This Row],[Rank Pedro]]="High","linkCategory3","")))</f>
        <v/>
      </c>
      <c r="U1088" s="102" t="str">
        <f>IF(TableRelationships12[[#This Row],[Rank Pedro]]="Low","Pink",IF(TableRelationships12[[#This Row],[Rank Pedro]]="Medium","Purple",IF(TableRelationships12[[#This Row],[Rank Pedro]]="High","Brown","")))</f>
        <v/>
      </c>
      <c r="V1088" s="4" t="e">
        <f>MAX(INDEX(Standards!$F$2:$F$296,MATCH(B1088,Standards!$B$2:$B$296,0)),INDEX(Standards!$F$2:$F$296,MATCH(C1088,Standards!$B$2:$B$296,0)))</f>
        <v>#N/A</v>
      </c>
      <c r="W1088" t="str">
        <f t="shared" si="50"/>
        <v>#2f89d1</v>
      </c>
    </row>
    <row r="1089" spans="1:23" x14ac:dyDescent="0.5">
      <c r="A1089" s="54">
        <v>1088</v>
      </c>
      <c r="B1089" s="90" t="s">
        <v>340</v>
      </c>
      <c r="C1089" t="s">
        <v>1189</v>
      </c>
      <c r="D1089" s="1"/>
      <c r="E1089" s="112">
        <v>1996.11</v>
      </c>
      <c r="G1089" s="107"/>
      <c r="H1089">
        <f>INDEX('GIS-Standards'!$A$2:$A$305,MATCH(B1089,'GIS-Standards'!$B$2:$B$305,0))</f>
        <v>46</v>
      </c>
      <c r="I1089" t="e">
        <f>INDEX('GIS-Standards'!$A$2:$A$305,MATCH(C1089,'GIS-Standards'!$B$2:$B$305,0))</f>
        <v>#N/A</v>
      </c>
      <c r="J1089" t="str">
        <f>INDEX('GIS-Standards'!$O$2:$O$305,MATCH(B1089,'GIS-Standards'!$B$2:$B$305,0))</f>
        <v>ISO/TC 211</v>
      </c>
      <c r="K1089" t="e">
        <f>INDEX('GIS-Standards'!$O$2:$O$305,MATCH(C1089,'GIS-Standards'!$B$2:$B$305,0))</f>
        <v>#N/A</v>
      </c>
      <c r="M1089" t="s">
        <v>525</v>
      </c>
      <c r="N1089">
        <f>INDEX('GIS-Standards'!$I$2:$I$305,MATCH(B1089,'GIS-Standards'!$B$2:$B$305,0))</f>
        <v>0</v>
      </c>
      <c r="O1089" t="e">
        <f>INDEX('GIS-Standards'!$I$2:$I$305,MATCH(C1089,'GIS-Standards'!$B$2:$B$305,0))</f>
        <v>#N/A</v>
      </c>
      <c r="P1089" t="e">
        <f>AND(TableRelationships12[[#This Row],[Source Type]]="BIM",TableRelationships12[[#This Row],[Target Type]]="BIM")</f>
        <v>#N/A</v>
      </c>
      <c r="Q1089">
        <f t="shared" si="48"/>
        <v>1</v>
      </c>
      <c r="S1089">
        <f t="shared" si="49"/>
        <v>1</v>
      </c>
      <c r="T1089" s="102" t="str">
        <f>IF(TableRelationships12[[#This Row],[Rank Pedro]]="Low","linkCategory1",IF(TableRelationships12[[#This Row],[Rank Pedro]]="Medium","linkCategory2",IF(TableRelationships12[[#This Row],[Rank Pedro]]="High","linkCategory3","")))</f>
        <v/>
      </c>
      <c r="U1089" s="102" t="str">
        <f>IF(TableRelationships12[[#This Row],[Rank Pedro]]="Low","Pink",IF(TableRelationships12[[#This Row],[Rank Pedro]]="Medium","Purple",IF(TableRelationships12[[#This Row],[Rank Pedro]]="High","Brown","")))</f>
        <v/>
      </c>
      <c r="V1089" s="4" t="e">
        <f>MAX(INDEX(Standards!$F$2:$F$296,MATCH(B1089,Standards!$B$2:$B$296,0)),INDEX(Standards!$F$2:$F$296,MATCH(C1089,Standards!$B$2:$B$296,0)))</f>
        <v>#N/A</v>
      </c>
      <c r="W1089" t="str">
        <f t="shared" si="50"/>
        <v>#2f89d1</v>
      </c>
    </row>
    <row r="1090" spans="1:23" x14ac:dyDescent="0.5">
      <c r="A1090" s="54">
        <v>1089</v>
      </c>
      <c r="B1090" s="90" t="s">
        <v>340</v>
      </c>
      <c r="C1090" t="s">
        <v>1178</v>
      </c>
      <c r="D1090" s="1"/>
      <c r="E1090" s="112">
        <v>1998.08</v>
      </c>
      <c r="G1090" s="107"/>
      <c r="H1090">
        <f>INDEX('GIS-Standards'!$A$2:$A$305,MATCH(B1090,'GIS-Standards'!$B$2:$B$305,0))</f>
        <v>46</v>
      </c>
      <c r="I1090" t="e">
        <f>INDEX('GIS-Standards'!$A$2:$A$305,MATCH(C1090,'GIS-Standards'!$B$2:$B$305,0))</f>
        <v>#N/A</v>
      </c>
      <c r="J1090" t="str">
        <f>INDEX('GIS-Standards'!$O$2:$O$305,MATCH(B1090,'GIS-Standards'!$B$2:$B$305,0))</f>
        <v>ISO/TC 211</v>
      </c>
      <c r="K1090" t="e">
        <f>INDEX('GIS-Standards'!$O$2:$O$305,MATCH(C1090,'GIS-Standards'!$B$2:$B$305,0))</f>
        <v>#N/A</v>
      </c>
      <c r="M1090" t="s">
        <v>525</v>
      </c>
      <c r="N1090">
        <f>INDEX('GIS-Standards'!$I$2:$I$305,MATCH(B1090,'GIS-Standards'!$B$2:$B$305,0))</f>
        <v>0</v>
      </c>
      <c r="O1090" t="e">
        <f>INDEX('GIS-Standards'!$I$2:$I$305,MATCH(C1090,'GIS-Standards'!$B$2:$B$305,0))</f>
        <v>#N/A</v>
      </c>
      <c r="P1090" t="e">
        <f>AND(TableRelationships12[[#This Row],[Source Type]]="BIM",TableRelationships12[[#This Row],[Target Type]]="BIM")</f>
        <v>#N/A</v>
      </c>
      <c r="Q1090">
        <f t="shared" ref="Q1090:Q1153" si="51">IF(M1090="Normative",6,IF(M1090="Secondary",4,IF(M1090="Anchor",2,1)))</f>
        <v>1</v>
      </c>
      <c r="S1090">
        <f t="shared" ref="S1090:S1153" si="52">IF(R1090="High",10,IF(R1090="Medium",6,IF(R1090="Low",2,1)))</f>
        <v>1</v>
      </c>
      <c r="T1090" s="102" t="str">
        <f>IF(TableRelationships12[[#This Row],[Rank Pedro]]="Low","linkCategory1",IF(TableRelationships12[[#This Row],[Rank Pedro]]="Medium","linkCategory2",IF(TableRelationships12[[#This Row],[Rank Pedro]]="High","linkCategory3","")))</f>
        <v/>
      </c>
      <c r="U1090" s="102" t="str">
        <f>IF(TableRelationships12[[#This Row],[Rank Pedro]]="Low","Pink",IF(TableRelationships12[[#This Row],[Rank Pedro]]="Medium","Purple",IF(TableRelationships12[[#This Row],[Rank Pedro]]="High","Brown","")))</f>
        <v/>
      </c>
      <c r="V1090" s="4" t="e">
        <f>MAX(INDEX(Standards!$F$2:$F$296,MATCH(B1090,Standards!$B$2:$B$296,0)),INDEX(Standards!$F$2:$F$296,MATCH(C1090,Standards!$B$2:$B$296,0)))</f>
        <v>#N/A</v>
      </c>
      <c r="W1090" t="str">
        <f t="shared" ref="W1090:W1153" si="53">IF(M1090="Normative", "#d6bf2a", IF(M1090="Informative", "#2f89d1", 1))</f>
        <v>#2f89d1</v>
      </c>
    </row>
    <row r="1091" spans="1:23" x14ac:dyDescent="0.5">
      <c r="A1091" s="54">
        <v>1090</v>
      </c>
      <c r="B1091" s="90" t="s">
        <v>340</v>
      </c>
      <c r="C1091" t="s">
        <v>1190</v>
      </c>
      <c r="D1091" s="1"/>
      <c r="G1091" s="107"/>
      <c r="H1091">
        <f>INDEX('GIS-Standards'!$A$2:$A$305,MATCH(B1091,'GIS-Standards'!$B$2:$B$305,0))</f>
        <v>46</v>
      </c>
      <c r="I1091" t="e">
        <f>INDEX('GIS-Standards'!$A$2:$A$305,MATCH(C1091,'GIS-Standards'!$B$2:$B$305,0))</f>
        <v>#N/A</v>
      </c>
      <c r="J1091" t="str">
        <f>INDEX('GIS-Standards'!$O$2:$O$305,MATCH(B1091,'GIS-Standards'!$B$2:$B$305,0))</f>
        <v>ISO/TC 211</v>
      </c>
      <c r="K1091" t="e">
        <f>INDEX('GIS-Standards'!$O$2:$O$305,MATCH(C1091,'GIS-Standards'!$B$2:$B$305,0))</f>
        <v>#N/A</v>
      </c>
      <c r="M1091" t="s">
        <v>525</v>
      </c>
      <c r="N1091">
        <f>INDEX('GIS-Standards'!$I$2:$I$305,MATCH(B1091,'GIS-Standards'!$B$2:$B$305,0))</f>
        <v>0</v>
      </c>
      <c r="O1091" t="e">
        <f>INDEX('GIS-Standards'!$I$2:$I$305,MATCH(C1091,'GIS-Standards'!$B$2:$B$305,0))</f>
        <v>#N/A</v>
      </c>
      <c r="P1091" t="e">
        <f>AND(TableRelationships12[[#This Row],[Source Type]]="BIM",TableRelationships12[[#This Row],[Target Type]]="BIM")</f>
        <v>#N/A</v>
      </c>
      <c r="Q1091">
        <f t="shared" si="51"/>
        <v>1</v>
      </c>
      <c r="S1091">
        <f t="shared" si="52"/>
        <v>1</v>
      </c>
      <c r="T1091" s="102" t="str">
        <f>IF(TableRelationships12[[#This Row],[Rank Pedro]]="Low","linkCategory1",IF(TableRelationships12[[#This Row],[Rank Pedro]]="Medium","linkCategory2",IF(TableRelationships12[[#This Row],[Rank Pedro]]="High","linkCategory3","")))</f>
        <v/>
      </c>
      <c r="U1091" s="102" t="str">
        <f>IF(TableRelationships12[[#This Row],[Rank Pedro]]="Low","Pink",IF(TableRelationships12[[#This Row],[Rank Pedro]]="Medium","Purple",IF(TableRelationships12[[#This Row],[Rank Pedro]]="High","Brown","")))</f>
        <v/>
      </c>
      <c r="V1091" s="4" t="e">
        <f>MAX(INDEX(Standards!$F$2:$F$296,MATCH(B1091,Standards!$B$2:$B$296,0)),INDEX(Standards!$F$2:$F$296,MATCH(C1091,Standards!$B$2:$B$296,0)))</f>
        <v>#N/A</v>
      </c>
      <c r="W1091" t="str">
        <f t="shared" si="53"/>
        <v>#2f89d1</v>
      </c>
    </row>
    <row r="1092" spans="1:23" x14ac:dyDescent="0.5">
      <c r="A1092" s="54">
        <v>1091</v>
      </c>
      <c r="B1092" s="90" t="s">
        <v>340</v>
      </c>
      <c r="C1092" t="s">
        <v>1191</v>
      </c>
      <c r="D1092" s="1"/>
      <c r="G1092" s="107"/>
      <c r="H1092">
        <f>INDEX('GIS-Standards'!$A$2:$A$305,MATCH(B1092,'GIS-Standards'!$B$2:$B$305,0))</f>
        <v>46</v>
      </c>
      <c r="I1092" t="e">
        <f>INDEX('GIS-Standards'!$A$2:$A$305,MATCH(C1092,'GIS-Standards'!$B$2:$B$305,0))</f>
        <v>#N/A</v>
      </c>
      <c r="J1092" t="str">
        <f>INDEX('GIS-Standards'!$O$2:$O$305,MATCH(B1092,'GIS-Standards'!$B$2:$B$305,0))</f>
        <v>ISO/TC 211</v>
      </c>
      <c r="K1092" t="e">
        <f>INDEX('GIS-Standards'!$O$2:$O$305,MATCH(C1092,'GIS-Standards'!$B$2:$B$305,0))</f>
        <v>#N/A</v>
      </c>
      <c r="M1092" t="s">
        <v>525</v>
      </c>
      <c r="N1092">
        <f>INDEX('GIS-Standards'!$I$2:$I$305,MATCH(B1092,'GIS-Standards'!$B$2:$B$305,0))</f>
        <v>0</v>
      </c>
      <c r="O1092" t="e">
        <f>INDEX('GIS-Standards'!$I$2:$I$305,MATCH(C1092,'GIS-Standards'!$B$2:$B$305,0))</f>
        <v>#N/A</v>
      </c>
      <c r="P1092" t="e">
        <f>AND(TableRelationships12[[#This Row],[Source Type]]="BIM",TableRelationships12[[#This Row],[Target Type]]="BIM")</f>
        <v>#N/A</v>
      </c>
      <c r="Q1092">
        <f t="shared" si="51"/>
        <v>1</v>
      </c>
      <c r="S1092">
        <f t="shared" si="52"/>
        <v>1</v>
      </c>
      <c r="T1092" s="102" t="str">
        <f>IF(TableRelationships12[[#This Row],[Rank Pedro]]="Low","linkCategory1",IF(TableRelationships12[[#This Row],[Rank Pedro]]="Medium","linkCategory2",IF(TableRelationships12[[#This Row],[Rank Pedro]]="High","linkCategory3","")))</f>
        <v/>
      </c>
      <c r="U1092" s="102" t="str">
        <f>IF(TableRelationships12[[#This Row],[Rank Pedro]]="Low","Pink",IF(TableRelationships12[[#This Row],[Rank Pedro]]="Medium","Purple",IF(TableRelationships12[[#This Row],[Rank Pedro]]="High","Brown","")))</f>
        <v/>
      </c>
      <c r="V1092" s="4" t="e">
        <f>MAX(INDEX(Standards!$F$2:$F$296,MATCH(B1092,Standards!$B$2:$B$296,0)),INDEX(Standards!$F$2:$F$296,MATCH(C1092,Standards!$B$2:$B$296,0)))</f>
        <v>#N/A</v>
      </c>
      <c r="W1092" t="str">
        <f t="shared" si="53"/>
        <v>#2f89d1</v>
      </c>
    </row>
    <row r="1093" spans="1:23" x14ac:dyDescent="0.5">
      <c r="A1093" s="54">
        <v>1092</v>
      </c>
      <c r="B1093" s="90" t="s">
        <v>340</v>
      </c>
      <c r="C1093" t="s">
        <v>1192</v>
      </c>
      <c r="D1093" s="1"/>
      <c r="G1093" s="107"/>
      <c r="H1093">
        <f>INDEX('GIS-Standards'!$A$2:$A$305,MATCH(B1093,'GIS-Standards'!$B$2:$B$305,0))</f>
        <v>46</v>
      </c>
      <c r="I1093" t="e">
        <f>INDEX('GIS-Standards'!$A$2:$A$305,MATCH(C1093,'GIS-Standards'!$B$2:$B$305,0))</f>
        <v>#N/A</v>
      </c>
      <c r="J1093" t="str">
        <f>INDEX('GIS-Standards'!$O$2:$O$305,MATCH(B1093,'GIS-Standards'!$B$2:$B$305,0))</f>
        <v>ISO/TC 211</v>
      </c>
      <c r="K1093" t="e">
        <f>INDEX('GIS-Standards'!$O$2:$O$305,MATCH(C1093,'GIS-Standards'!$B$2:$B$305,0))</f>
        <v>#N/A</v>
      </c>
      <c r="M1093" t="s">
        <v>525</v>
      </c>
      <c r="N1093">
        <f>INDEX('GIS-Standards'!$I$2:$I$305,MATCH(B1093,'GIS-Standards'!$B$2:$B$305,0))</f>
        <v>0</v>
      </c>
      <c r="O1093" t="e">
        <f>INDEX('GIS-Standards'!$I$2:$I$305,MATCH(C1093,'GIS-Standards'!$B$2:$B$305,0))</f>
        <v>#N/A</v>
      </c>
      <c r="P1093" t="e">
        <f>AND(TableRelationships12[[#This Row],[Source Type]]="BIM",TableRelationships12[[#This Row],[Target Type]]="BIM")</f>
        <v>#N/A</v>
      </c>
      <c r="Q1093">
        <f t="shared" si="51"/>
        <v>1</v>
      </c>
      <c r="S1093">
        <f t="shared" si="52"/>
        <v>1</v>
      </c>
      <c r="T1093" s="102" t="str">
        <f>IF(TableRelationships12[[#This Row],[Rank Pedro]]="Low","linkCategory1",IF(TableRelationships12[[#This Row],[Rank Pedro]]="Medium","linkCategory2",IF(TableRelationships12[[#This Row],[Rank Pedro]]="High","linkCategory3","")))</f>
        <v/>
      </c>
      <c r="U1093" s="102" t="str">
        <f>IF(TableRelationships12[[#This Row],[Rank Pedro]]="Low","Pink",IF(TableRelationships12[[#This Row],[Rank Pedro]]="Medium","Purple",IF(TableRelationships12[[#This Row],[Rank Pedro]]="High","Brown","")))</f>
        <v/>
      </c>
      <c r="V1093" s="4" t="e">
        <f>MAX(INDEX(Standards!$F$2:$F$296,MATCH(B1093,Standards!$B$2:$B$296,0)),INDEX(Standards!$F$2:$F$296,MATCH(C1093,Standards!$B$2:$B$296,0)))</f>
        <v>#N/A</v>
      </c>
      <c r="W1093" t="str">
        <f t="shared" si="53"/>
        <v>#2f89d1</v>
      </c>
    </row>
    <row r="1094" spans="1:23" x14ac:dyDescent="0.5">
      <c r="A1094" s="54">
        <v>1093</v>
      </c>
      <c r="B1094" s="90" t="s">
        <v>340</v>
      </c>
      <c r="C1094" t="s">
        <v>1193</v>
      </c>
      <c r="D1094" s="1"/>
      <c r="G1094" s="107"/>
      <c r="H1094">
        <f>INDEX('GIS-Standards'!$A$2:$A$305,MATCH(B1094,'GIS-Standards'!$B$2:$B$305,0))</f>
        <v>46</v>
      </c>
      <c r="I1094" t="e">
        <f>INDEX('GIS-Standards'!$A$2:$A$305,MATCH(C1094,'GIS-Standards'!$B$2:$B$305,0))</f>
        <v>#N/A</v>
      </c>
      <c r="J1094" t="str">
        <f>INDEX('GIS-Standards'!$O$2:$O$305,MATCH(B1094,'GIS-Standards'!$B$2:$B$305,0))</f>
        <v>ISO/TC 211</v>
      </c>
      <c r="K1094" t="e">
        <f>INDEX('GIS-Standards'!$O$2:$O$305,MATCH(C1094,'GIS-Standards'!$B$2:$B$305,0))</f>
        <v>#N/A</v>
      </c>
      <c r="M1094" t="s">
        <v>525</v>
      </c>
      <c r="N1094">
        <f>INDEX('GIS-Standards'!$I$2:$I$305,MATCH(B1094,'GIS-Standards'!$B$2:$B$305,0))</f>
        <v>0</v>
      </c>
      <c r="O1094" t="e">
        <f>INDEX('GIS-Standards'!$I$2:$I$305,MATCH(C1094,'GIS-Standards'!$B$2:$B$305,0))</f>
        <v>#N/A</v>
      </c>
      <c r="P1094" t="e">
        <f>AND(TableRelationships12[[#This Row],[Source Type]]="BIM",TableRelationships12[[#This Row],[Target Type]]="BIM")</f>
        <v>#N/A</v>
      </c>
      <c r="Q1094">
        <f t="shared" si="51"/>
        <v>1</v>
      </c>
      <c r="S1094">
        <f t="shared" si="52"/>
        <v>1</v>
      </c>
      <c r="T1094" s="102" t="str">
        <f>IF(TableRelationships12[[#This Row],[Rank Pedro]]="Low","linkCategory1",IF(TableRelationships12[[#This Row],[Rank Pedro]]="Medium","linkCategory2",IF(TableRelationships12[[#This Row],[Rank Pedro]]="High","linkCategory3","")))</f>
        <v/>
      </c>
      <c r="U1094" s="102" t="str">
        <f>IF(TableRelationships12[[#This Row],[Rank Pedro]]="Low","Pink",IF(TableRelationships12[[#This Row],[Rank Pedro]]="Medium","Purple",IF(TableRelationships12[[#This Row],[Rank Pedro]]="High","Brown","")))</f>
        <v/>
      </c>
      <c r="V1094" s="4" t="e">
        <f>MAX(INDEX(Standards!$F$2:$F$296,MATCH(B1094,Standards!$B$2:$B$296,0)),INDEX(Standards!$F$2:$F$296,MATCH(C1094,Standards!$B$2:$B$296,0)))</f>
        <v>#N/A</v>
      </c>
      <c r="W1094" t="str">
        <f t="shared" si="53"/>
        <v>#2f89d1</v>
      </c>
    </row>
    <row r="1095" spans="1:23" x14ac:dyDescent="0.5">
      <c r="A1095" s="54">
        <v>1094</v>
      </c>
      <c r="B1095" s="90" t="s">
        <v>340</v>
      </c>
      <c r="C1095" t="s">
        <v>1595</v>
      </c>
      <c r="D1095" s="1"/>
      <c r="G1095" s="107"/>
      <c r="H1095">
        <f>INDEX('GIS-Standards'!$A$2:$A$305,MATCH(B1095,'GIS-Standards'!$B$2:$B$305,0))</f>
        <v>46</v>
      </c>
      <c r="I1095" t="e">
        <f>INDEX('GIS-Standards'!$A$2:$A$305,MATCH(C1095,'GIS-Standards'!$B$2:$B$305,0))</f>
        <v>#N/A</v>
      </c>
      <c r="J1095" t="str">
        <f>INDEX('GIS-Standards'!$O$2:$O$305,MATCH(B1095,'GIS-Standards'!$B$2:$B$305,0))</f>
        <v>ISO/TC 211</v>
      </c>
      <c r="K1095" t="e">
        <f>INDEX('GIS-Standards'!$O$2:$O$305,MATCH(C1095,'GIS-Standards'!$B$2:$B$305,0))</f>
        <v>#N/A</v>
      </c>
      <c r="M1095" t="s">
        <v>525</v>
      </c>
      <c r="N1095">
        <f>INDEX('GIS-Standards'!$I$2:$I$305,MATCH(B1095,'GIS-Standards'!$B$2:$B$305,0))</f>
        <v>0</v>
      </c>
      <c r="O1095" t="e">
        <f>INDEX('GIS-Standards'!$I$2:$I$305,MATCH(C1095,'GIS-Standards'!$B$2:$B$305,0))</f>
        <v>#N/A</v>
      </c>
      <c r="P1095" t="e">
        <f>AND(TableRelationships12[[#This Row],[Source Type]]="BIM",TableRelationships12[[#This Row],[Target Type]]="BIM")</f>
        <v>#N/A</v>
      </c>
      <c r="Q1095">
        <f t="shared" si="51"/>
        <v>1</v>
      </c>
      <c r="S1095">
        <f t="shared" si="52"/>
        <v>1</v>
      </c>
      <c r="T1095" s="102" t="str">
        <f>IF(TableRelationships12[[#This Row],[Rank Pedro]]="Low","linkCategory1",IF(TableRelationships12[[#This Row],[Rank Pedro]]="Medium","linkCategory2",IF(TableRelationships12[[#This Row],[Rank Pedro]]="High","linkCategory3","")))</f>
        <v/>
      </c>
      <c r="U1095" s="102" t="str">
        <f>IF(TableRelationships12[[#This Row],[Rank Pedro]]="Low","Pink",IF(TableRelationships12[[#This Row],[Rank Pedro]]="Medium","Purple",IF(TableRelationships12[[#This Row],[Rank Pedro]]="High","Brown","")))</f>
        <v/>
      </c>
      <c r="V1095" s="4" t="e">
        <f>MAX(INDEX(Standards!$F$2:$F$296,MATCH(B1095,Standards!$B$2:$B$296,0)),INDEX(Standards!$F$2:$F$296,MATCH(C1095,Standards!$B$2:$B$296,0)))</f>
        <v>#N/A</v>
      </c>
      <c r="W1095" t="str">
        <f t="shared" si="53"/>
        <v>#2f89d1</v>
      </c>
    </row>
    <row r="1096" spans="1:23" x14ac:dyDescent="0.5">
      <c r="A1096" s="54">
        <v>1095</v>
      </c>
      <c r="B1096" s="90" t="s">
        <v>340</v>
      </c>
      <c r="C1096" t="s">
        <v>1597</v>
      </c>
      <c r="D1096" s="1"/>
      <c r="G1096" s="107"/>
      <c r="H1096">
        <f>INDEX('GIS-Standards'!$A$2:$A$305,MATCH(B1096,'GIS-Standards'!$B$2:$B$305,0))</f>
        <v>46</v>
      </c>
      <c r="I1096" t="e">
        <f>INDEX('GIS-Standards'!$A$2:$A$305,MATCH(C1096,'GIS-Standards'!$B$2:$B$305,0))</f>
        <v>#N/A</v>
      </c>
      <c r="J1096" t="str">
        <f>INDEX('GIS-Standards'!$O$2:$O$305,MATCH(B1096,'GIS-Standards'!$B$2:$B$305,0))</f>
        <v>ISO/TC 211</v>
      </c>
      <c r="K1096" t="e">
        <f>INDEX('GIS-Standards'!$O$2:$O$305,MATCH(C1096,'GIS-Standards'!$B$2:$B$305,0))</f>
        <v>#N/A</v>
      </c>
      <c r="M1096" t="s">
        <v>525</v>
      </c>
      <c r="N1096">
        <f>INDEX('GIS-Standards'!$I$2:$I$305,MATCH(B1096,'GIS-Standards'!$B$2:$B$305,0))</f>
        <v>0</v>
      </c>
      <c r="O1096" t="e">
        <f>INDEX('GIS-Standards'!$I$2:$I$305,MATCH(C1096,'GIS-Standards'!$B$2:$B$305,0))</f>
        <v>#N/A</v>
      </c>
      <c r="P1096" t="e">
        <f>AND(TableRelationships12[[#This Row],[Source Type]]="BIM",TableRelationships12[[#This Row],[Target Type]]="BIM")</f>
        <v>#N/A</v>
      </c>
      <c r="Q1096">
        <f t="shared" si="51"/>
        <v>1</v>
      </c>
      <c r="S1096">
        <f t="shared" si="52"/>
        <v>1</v>
      </c>
      <c r="T1096" s="102" t="str">
        <f>IF(TableRelationships12[[#This Row],[Rank Pedro]]="Low","linkCategory1",IF(TableRelationships12[[#This Row],[Rank Pedro]]="Medium","linkCategory2",IF(TableRelationships12[[#This Row],[Rank Pedro]]="High","linkCategory3","")))</f>
        <v/>
      </c>
      <c r="U1096" s="102" t="str">
        <f>IF(TableRelationships12[[#This Row],[Rank Pedro]]="Low","Pink",IF(TableRelationships12[[#This Row],[Rank Pedro]]="Medium","Purple",IF(TableRelationships12[[#This Row],[Rank Pedro]]="High","Brown","")))</f>
        <v/>
      </c>
      <c r="V1096" s="4" t="e">
        <f>MAX(INDEX(Standards!$F$2:$F$296,MATCH(B1096,Standards!$B$2:$B$296,0)),INDEX(Standards!$F$2:$F$296,MATCH(C1096,Standards!$B$2:$B$296,0)))</f>
        <v>#N/A</v>
      </c>
      <c r="W1096" t="str">
        <f t="shared" si="53"/>
        <v>#2f89d1</v>
      </c>
    </row>
    <row r="1097" spans="1:23" x14ac:dyDescent="0.5">
      <c r="A1097" s="54">
        <v>1096</v>
      </c>
      <c r="B1097" s="90" t="s">
        <v>342</v>
      </c>
      <c r="C1097" t="s">
        <v>527</v>
      </c>
      <c r="D1097" s="1"/>
      <c r="E1097" s="112" t="s">
        <v>965</v>
      </c>
      <c r="F1097" s="112" t="s">
        <v>965</v>
      </c>
      <c r="G1097" s="121" t="s">
        <v>670</v>
      </c>
      <c r="H1097">
        <f>INDEX('GIS-Standards'!$A$2:$A$305,MATCH(B1097,'GIS-Standards'!$B$2:$B$305,0))</f>
        <v>47</v>
      </c>
      <c r="I1097" t="e">
        <f>INDEX('GIS-Standards'!$A$2:$A$305,MATCH(C1097,'GIS-Standards'!$B$2:$B$305,0))</f>
        <v>#N/A</v>
      </c>
      <c r="J1097" t="str">
        <f>INDEX('GIS-Standards'!$O$2:$O$305,MATCH(B1097,'GIS-Standards'!$B$2:$B$305,0))</f>
        <v>ISO/TC 211</v>
      </c>
      <c r="K1097" t="e">
        <f>INDEX('GIS-Standards'!$O$2:$O$305,MATCH(C1097,'GIS-Standards'!$B$2:$B$305,0))</f>
        <v>#N/A</v>
      </c>
      <c r="M1097" t="s">
        <v>237</v>
      </c>
      <c r="N1097">
        <f>INDEX('GIS-Standards'!$I$2:$I$305,MATCH(B1097,'GIS-Standards'!$B$2:$B$305,0))</f>
        <v>0</v>
      </c>
      <c r="O1097" t="e">
        <f>INDEX('GIS-Standards'!$I$2:$I$305,MATCH(C1097,'GIS-Standards'!$B$2:$B$305,0))</f>
        <v>#N/A</v>
      </c>
      <c r="P1097" t="e">
        <f>AND(TableRelationships12[[#This Row],[Source Type]]="BIM",TableRelationships12[[#This Row],[Target Type]]="BIM")</f>
        <v>#N/A</v>
      </c>
      <c r="Q1097">
        <f t="shared" si="51"/>
        <v>2</v>
      </c>
      <c r="S1097">
        <f t="shared" si="52"/>
        <v>1</v>
      </c>
      <c r="T1097" s="102" t="str">
        <f>IF(TableRelationships12[[#This Row],[Rank Pedro]]="Low","linkCategory1",IF(TableRelationships12[[#This Row],[Rank Pedro]]="Medium","linkCategory2",IF(TableRelationships12[[#This Row],[Rank Pedro]]="High","linkCategory3","")))</f>
        <v/>
      </c>
      <c r="U1097" s="102" t="str">
        <f>IF(TableRelationships12[[#This Row],[Rank Pedro]]="Low","Pink",IF(TableRelationships12[[#This Row],[Rank Pedro]]="Medium","Purple",IF(TableRelationships12[[#This Row],[Rank Pedro]]="High","Brown","")))</f>
        <v/>
      </c>
      <c r="V1097" s="4">
        <f>MAX(INDEX(Standards!$F$2:$F$296,MATCH(B1097,Standards!$B$2:$B$296,0)),INDEX(Standards!$F$2:$F$296,MATCH(C1097,Standards!$B$2:$B$296,0)))</f>
        <v>40452</v>
      </c>
      <c r="W1097">
        <f t="shared" si="53"/>
        <v>1</v>
      </c>
    </row>
    <row r="1098" spans="1:23" x14ac:dyDescent="0.5">
      <c r="A1098" s="54">
        <v>1097</v>
      </c>
      <c r="B1098" s="90" t="s">
        <v>342</v>
      </c>
      <c r="C1098" t="s">
        <v>304</v>
      </c>
      <c r="D1098" s="1"/>
      <c r="E1098" s="112">
        <v>2002.09</v>
      </c>
      <c r="F1098" s="112">
        <v>2006.1</v>
      </c>
      <c r="G1098" s="107" t="s">
        <v>670</v>
      </c>
      <c r="H1098">
        <f>INDEX('GIS-Standards'!$A$2:$A$305,MATCH(B1098,'GIS-Standards'!$B$2:$B$305,0))</f>
        <v>47</v>
      </c>
      <c r="I1098">
        <f>INDEX('GIS-Standards'!$A$2:$A$305,MATCH(C1098,'GIS-Standards'!$B$2:$B$305,0))</f>
        <v>17</v>
      </c>
      <c r="J1098" t="str">
        <f>INDEX('GIS-Standards'!$O$2:$O$305,MATCH(B1098,'GIS-Standards'!$B$2:$B$305,0))</f>
        <v>ISO/TC 211</v>
      </c>
      <c r="K1098" t="str">
        <f>INDEX('GIS-Standards'!$O$2:$O$305,MATCH(C1098,'GIS-Standards'!$B$2:$B$305,0))</f>
        <v>ISO/TC 211</v>
      </c>
      <c r="M1098" t="s">
        <v>524</v>
      </c>
      <c r="N1098">
        <f>INDEX('GIS-Standards'!$I$2:$I$305,MATCH(B1098,'GIS-Standards'!$B$2:$B$305,0))</f>
        <v>0</v>
      </c>
      <c r="O1098" t="str">
        <f>INDEX('GIS-Standards'!$I$2:$I$305,MATCH(C1098,'GIS-Standards'!$B$2:$B$305,0))</f>
        <v>06.2008</v>
      </c>
      <c r="P1098" t="b">
        <f>AND(TableRelationships12[[#This Row],[Source Type]]="BIM",TableRelationships12[[#This Row],[Target Type]]="BIM")</f>
        <v>0</v>
      </c>
      <c r="Q1098">
        <f t="shared" si="51"/>
        <v>6</v>
      </c>
      <c r="S1098">
        <f t="shared" si="52"/>
        <v>1</v>
      </c>
      <c r="T1098" s="102" t="str">
        <f>IF(TableRelationships12[[#This Row],[Rank Pedro]]="Low","linkCategory1",IF(TableRelationships12[[#This Row],[Rank Pedro]]="Medium","linkCategory2",IF(TableRelationships12[[#This Row],[Rank Pedro]]="High","linkCategory3","")))</f>
        <v/>
      </c>
      <c r="U1098" s="102" t="str">
        <f>IF(TableRelationships12[[#This Row],[Rank Pedro]]="Low","Pink",IF(TableRelationships12[[#This Row],[Rank Pedro]]="Medium","Purple",IF(TableRelationships12[[#This Row],[Rank Pedro]]="High","Brown","")))</f>
        <v/>
      </c>
      <c r="V1098" s="4">
        <f>MAX(INDEX(Standards!$F$2:$F$296,MATCH(B1098,Standards!$B$2:$B$296,0)),INDEX(Standards!$F$2:$F$296,MATCH(C1098,Standards!$B$2:$B$296,0)))</f>
        <v>40452</v>
      </c>
      <c r="W1098" t="str">
        <f t="shared" si="53"/>
        <v>#d6bf2a</v>
      </c>
    </row>
    <row r="1099" spans="1:23" x14ac:dyDescent="0.5">
      <c r="A1099" s="54">
        <v>1098</v>
      </c>
      <c r="B1099" s="90" t="s">
        <v>342</v>
      </c>
      <c r="C1099" t="s">
        <v>1046</v>
      </c>
      <c r="D1099" s="1"/>
      <c r="E1099" s="112">
        <v>2004.08</v>
      </c>
      <c r="F1099" s="112">
        <v>2004.11</v>
      </c>
      <c r="G1099" s="107" t="s">
        <v>670</v>
      </c>
      <c r="H1099">
        <f>INDEX('GIS-Standards'!$A$2:$A$305,MATCH(B1099,'GIS-Standards'!$B$2:$B$305,0))</f>
        <v>47</v>
      </c>
      <c r="I1099">
        <f>INDEX('GIS-Standards'!$A$2:$A$305,MATCH(C1099,'GIS-Standards'!$B$2:$B$305,0))</f>
        <v>32</v>
      </c>
      <c r="J1099" t="str">
        <f>INDEX('GIS-Standards'!$O$2:$O$305,MATCH(B1099,'GIS-Standards'!$B$2:$B$305,0))</f>
        <v>ISO/TC 211</v>
      </c>
      <c r="K1099" t="str">
        <f>INDEX('GIS-Standards'!$O$2:$O$305,MATCH(C1099,'GIS-Standards'!$B$2:$B$305,0))</f>
        <v>ISO/TC 211</v>
      </c>
      <c r="M1099" t="s">
        <v>524</v>
      </c>
      <c r="N1099">
        <f>INDEX('GIS-Standards'!$I$2:$I$305,MATCH(B1099,'GIS-Standards'!$B$2:$B$305,0))</f>
        <v>0</v>
      </c>
      <c r="O1099">
        <f>INDEX('GIS-Standards'!$I$2:$I$305,MATCH(C1099,'GIS-Standards'!$B$2:$B$305,0))</f>
        <v>0</v>
      </c>
      <c r="P1099" t="b">
        <f>AND(TableRelationships12[[#This Row],[Source Type]]="BIM",TableRelationships12[[#This Row],[Target Type]]="BIM")</f>
        <v>0</v>
      </c>
      <c r="Q1099">
        <f t="shared" si="51"/>
        <v>6</v>
      </c>
      <c r="S1099">
        <f t="shared" si="52"/>
        <v>1</v>
      </c>
      <c r="T1099" s="102" t="str">
        <f>IF(TableRelationships12[[#This Row],[Rank Pedro]]="Low","linkCategory1",IF(TableRelationships12[[#This Row],[Rank Pedro]]="Medium","linkCategory2",IF(TableRelationships12[[#This Row],[Rank Pedro]]="High","linkCategory3","")))</f>
        <v/>
      </c>
      <c r="U1099" s="102" t="str">
        <f>IF(TableRelationships12[[#This Row],[Rank Pedro]]="Low","Pink",IF(TableRelationships12[[#This Row],[Rank Pedro]]="Medium","Purple",IF(TableRelationships12[[#This Row],[Rank Pedro]]="High","Brown","")))</f>
        <v/>
      </c>
      <c r="V1099" s="4" t="e">
        <f>MAX(INDEX(Standards!$F$2:$F$296,MATCH(B1099,Standards!$B$2:$B$296,0)),INDEX(Standards!$F$2:$F$296,MATCH(C1099,Standards!$B$2:$B$296,0)))</f>
        <v>#N/A</v>
      </c>
      <c r="W1099" t="str">
        <f t="shared" si="53"/>
        <v>#d6bf2a</v>
      </c>
    </row>
    <row r="1100" spans="1:23" x14ac:dyDescent="0.5">
      <c r="A1100" s="54">
        <v>1099</v>
      </c>
      <c r="B1100" s="90" t="s">
        <v>342</v>
      </c>
      <c r="C1100" t="s">
        <v>334</v>
      </c>
      <c r="D1100" s="1" t="s">
        <v>1036</v>
      </c>
      <c r="E1100" s="113">
        <v>2007.09</v>
      </c>
      <c r="F1100" s="113">
        <v>2020.01</v>
      </c>
      <c r="G1100" s="107" t="s">
        <v>670</v>
      </c>
      <c r="H1100">
        <f>INDEX('GIS-Standards'!$A$2:$A$305,MATCH(B1100,'GIS-Standards'!$B$2:$B$305,0))</f>
        <v>47</v>
      </c>
      <c r="I1100">
        <f>INDEX('GIS-Standards'!$A$2:$A$305,MATCH(C1100,'GIS-Standards'!$B$2:$B$305,0))</f>
        <v>42</v>
      </c>
      <c r="J1100" t="str">
        <f>INDEX('GIS-Standards'!$O$2:$O$305,MATCH(B1100,'GIS-Standards'!$B$2:$B$305,0))</f>
        <v>ISO/TC 211</v>
      </c>
      <c r="K1100" t="str">
        <f>INDEX('GIS-Standards'!$O$2:$O$305,MATCH(C1100,'GIS-Standards'!$B$2:$B$305,0))</f>
        <v>ISO/TC 211</v>
      </c>
      <c r="M1100" t="s">
        <v>524</v>
      </c>
      <c r="N1100">
        <f>INDEX('GIS-Standards'!$I$2:$I$305,MATCH(B1100,'GIS-Standards'!$B$2:$B$305,0))</f>
        <v>0</v>
      </c>
      <c r="O1100">
        <f>INDEX('GIS-Standards'!$I$2:$I$305,MATCH(C1100,'GIS-Standards'!$B$2:$B$305,0))</f>
        <v>0</v>
      </c>
      <c r="P1100" t="b">
        <f>AND(TableRelationships12[[#This Row],[Source Type]]="BIM",TableRelationships12[[#This Row],[Target Type]]="BIM")</f>
        <v>0</v>
      </c>
      <c r="Q1100">
        <f t="shared" si="51"/>
        <v>6</v>
      </c>
      <c r="S1100">
        <f t="shared" si="52"/>
        <v>1</v>
      </c>
      <c r="T1100" s="102" t="str">
        <f>IF(TableRelationships12[[#This Row],[Rank Pedro]]="Low","linkCategory1",IF(TableRelationships12[[#This Row],[Rank Pedro]]="Medium","linkCategory2",IF(TableRelationships12[[#This Row],[Rank Pedro]]="High","linkCategory3","")))</f>
        <v/>
      </c>
      <c r="U1100" s="102" t="str">
        <f>IF(TableRelationships12[[#This Row],[Rank Pedro]]="Low","Pink",IF(TableRelationships12[[#This Row],[Rank Pedro]]="Medium","Purple",IF(TableRelationships12[[#This Row],[Rank Pedro]]="High","Brown","")))</f>
        <v/>
      </c>
      <c r="V1100" s="4">
        <f>MAX(INDEX(Standards!$F$2:$F$296,MATCH(B1100,Standards!$B$2:$B$296,0)),INDEX(Standards!$F$2:$F$296,MATCH(C1100,Standards!$B$2:$B$296,0)))</f>
        <v>40452</v>
      </c>
      <c r="W1100" t="str">
        <f t="shared" si="53"/>
        <v>#d6bf2a</v>
      </c>
    </row>
    <row r="1101" spans="1:23" x14ac:dyDescent="0.5">
      <c r="A1101" s="54">
        <v>1100</v>
      </c>
      <c r="B1101" s="90" t="s">
        <v>342</v>
      </c>
      <c r="C1101" t="s">
        <v>1178</v>
      </c>
      <c r="D1101" s="1"/>
      <c r="E1101" s="112">
        <v>1998.08</v>
      </c>
      <c r="G1101" s="107"/>
      <c r="H1101">
        <f>INDEX('GIS-Standards'!$A$2:$A$305,MATCH(B1101,'GIS-Standards'!$B$2:$B$305,0))</f>
        <v>47</v>
      </c>
      <c r="I1101" t="e">
        <f>INDEX('GIS-Standards'!$A$2:$A$305,MATCH(C1101,'GIS-Standards'!$B$2:$B$305,0))</f>
        <v>#N/A</v>
      </c>
      <c r="J1101" t="str">
        <f>INDEX('GIS-Standards'!$O$2:$O$305,MATCH(B1101,'GIS-Standards'!$B$2:$B$305,0))</f>
        <v>ISO/TC 211</v>
      </c>
      <c r="K1101" t="e">
        <f>INDEX('GIS-Standards'!$O$2:$O$305,MATCH(C1101,'GIS-Standards'!$B$2:$B$305,0))</f>
        <v>#N/A</v>
      </c>
      <c r="M1101" t="s">
        <v>524</v>
      </c>
      <c r="N1101">
        <f>INDEX('GIS-Standards'!$I$2:$I$305,MATCH(B1101,'GIS-Standards'!$B$2:$B$305,0))</f>
        <v>0</v>
      </c>
      <c r="O1101" t="e">
        <f>INDEX('GIS-Standards'!$I$2:$I$305,MATCH(C1101,'GIS-Standards'!$B$2:$B$305,0))</f>
        <v>#N/A</v>
      </c>
      <c r="P1101" t="e">
        <f>AND(TableRelationships12[[#This Row],[Source Type]]="BIM",TableRelationships12[[#This Row],[Target Type]]="BIM")</f>
        <v>#N/A</v>
      </c>
      <c r="Q1101">
        <f t="shared" si="51"/>
        <v>6</v>
      </c>
      <c r="S1101">
        <f t="shared" si="52"/>
        <v>1</v>
      </c>
      <c r="T1101" s="102" t="str">
        <f>IF(TableRelationships12[[#This Row],[Rank Pedro]]="Low","linkCategory1",IF(TableRelationships12[[#This Row],[Rank Pedro]]="Medium","linkCategory2",IF(TableRelationships12[[#This Row],[Rank Pedro]]="High","linkCategory3","")))</f>
        <v/>
      </c>
      <c r="U1101" s="102" t="str">
        <f>IF(TableRelationships12[[#This Row],[Rank Pedro]]="Low","Pink",IF(TableRelationships12[[#This Row],[Rank Pedro]]="Medium","Purple",IF(TableRelationships12[[#This Row],[Rank Pedro]]="High","Brown","")))</f>
        <v/>
      </c>
      <c r="V1101" s="4" t="e">
        <f>MAX(INDEX(Standards!$F$2:$F$296,MATCH(B1101,Standards!$B$2:$B$296,0)),INDEX(Standards!$F$2:$F$296,MATCH(C1101,Standards!$B$2:$B$296,0)))</f>
        <v>#N/A</v>
      </c>
      <c r="W1101" t="str">
        <f t="shared" si="53"/>
        <v>#d6bf2a</v>
      </c>
    </row>
    <row r="1102" spans="1:23" x14ac:dyDescent="0.5">
      <c r="A1102" s="54">
        <v>1101</v>
      </c>
      <c r="B1102" s="90" t="s">
        <v>342</v>
      </c>
      <c r="C1102" t="s">
        <v>1186</v>
      </c>
      <c r="D1102" s="1"/>
      <c r="G1102" s="107"/>
      <c r="H1102">
        <f>INDEX('GIS-Standards'!$A$2:$A$305,MATCH(B1102,'GIS-Standards'!$B$2:$B$305,0))</f>
        <v>47</v>
      </c>
      <c r="I1102" t="e">
        <f>INDEX('GIS-Standards'!$A$2:$A$305,MATCH(C1102,'GIS-Standards'!$B$2:$B$305,0))</f>
        <v>#N/A</v>
      </c>
      <c r="J1102" t="str">
        <f>INDEX('GIS-Standards'!$O$2:$O$305,MATCH(B1102,'GIS-Standards'!$B$2:$B$305,0))</f>
        <v>ISO/TC 211</v>
      </c>
      <c r="K1102" t="e">
        <f>INDEX('GIS-Standards'!$O$2:$O$305,MATCH(C1102,'GIS-Standards'!$B$2:$B$305,0))</f>
        <v>#N/A</v>
      </c>
      <c r="M1102" t="s">
        <v>524</v>
      </c>
      <c r="N1102">
        <f>INDEX('GIS-Standards'!$I$2:$I$305,MATCH(B1102,'GIS-Standards'!$B$2:$B$305,0))</f>
        <v>0</v>
      </c>
      <c r="O1102" t="e">
        <f>INDEX('GIS-Standards'!$I$2:$I$305,MATCH(C1102,'GIS-Standards'!$B$2:$B$305,0))</f>
        <v>#N/A</v>
      </c>
      <c r="P1102" t="e">
        <f>AND(TableRelationships12[[#This Row],[Source Type]]="BIM",TableRelationships12[[#This Row],[Target Type]]="BIM")</f>
        <v>#N/A</v>
      </c>
      <c r="Q1102">
        <f t="shared" si="51"/>
        <v>6</v>
      </c>
      <c r="S1102">
        <f t="shared" si="52"/>
        <v>1</v>
      </c>
      <c r="T1102" s="102" t="str">
        <f>IF(TableRelationships12[[#This Row],[Rank Pedro]]="Low","linkCategory1",IF(TableRelationships12[[#This Row],[Rank Pedro]]="Medium","linkCategory2",IF(TableRelationships12[[#This Row],[Rank Pedro]]="High","linkCategory3","")))</f>
        <v/>
      </c>
      <c r="U1102" s="102" t="str">
        <f>IF(TableRelationships12[[#This Row],[Rank Pedro]]="Low","Pink",IF(TableRelationships12[[#This Row],[Rank Pedro]]="Medium","Purple",IF(TableRelationships12[[#This Row],[Rank Pedro]]="High","Brown","")))</f>
        <v/>
      </c>
      <c r="V1102" s="4" t="e">
        <f>MAX(INDEX(Standards!$F$2:$F$296,MATCH(B1102,Standards!$B$2:$B$296,0)),INDEX(Standards!$F$2:$F$296,MATCH(C1102,Standards!$B$2:$B$296,0)))</f>
        <v>#N/A</v>
      </c>
      <c r="W1102" t="str">
        <f t="shared" si="53"/>
        <v>#d6bf2a</v>
      </c>
    </row>
    <row r="1103" spans="1:23" x14ac:dyDescent="0.5">
      <c r="A1103" s="54">
        <v>1102</v>
      </c>
      <c r="B1103" s="90" t="s">
        <v>342</v>
      </c>
      <c r="C1103" t="s">
        <v>1595</v>
      </c>
      <c r="D1103" s="1"/>
      <c r="G1103" s="107"/>
      <c r="H1103">
        <f>INDEX('GIS-Standards'!$A$2:$A$305,MATCH(B1103,'GIS-Standards'!$B$2:$B$305,0))</f>
        <v>47</v>
      </c>
      <c r="I1103" t="e">
        <f>INDEX('GIS-Standards'!$A$2:$A$305,MATCH(C1103,'GIS-Standards'!$B$2:$B$305,0))</f>
        <v>#N/A</v>
      </c>
      <c r="J1103" t="str">
        <f>INDEX('GIS-Standards'!$O$2:$O$305,MATCH(B1103,'GIS-Standards'!$B$2:$B$305,0))</f>
        <v>ISO/TC 211</v>
      </c>
      <c r="K1103" t="e">
        <f>INDEX('GIS-Standards'!$O$2:$O$305,MATCH(C1103,'GIS-Standards'!$B$2:$B$305,0))</f>
        <v>#N/A</v>
      </c>
      <c r="M1103" t="s">
        <v>524</v>
      </c>
      <c r="N1103">
        <f>INDEX('GIS-Standards'!$I$2:$I$305,MATCH(B1103,'GIS-Standards'!$B$2:$B$305,0))</f>
        <v>0</v>
      </c>
      <c r="O1103" t="e">
        <f>INDEX('GIS-Standards'!$I$2:$I$305,MATCH(C1103,'GIS-Standards'!$B$2:$B$305,0))</f>
        <v>#N/A</v>
      </c>
      <c r="P1103" t="e">
        <f>AND(TableRelationships12[[#This Row],[Source Type]]="BIM",TableRelationships12[[#This Row],[Target Type]]="BIM")</f>
        <v>#N/A</v>
      </c>
      <c r="Q1103">
        <f t="shared" si="51"/>
        <v>6</v>
      </c>
      <c r="S1103">
        <f t="shared" si="52"/>
        <v>1</v>
      </c>
      <c r="T1103" s="102" t="str">
        <f>IF(TableRelationships12[[#This Row],[Rank Pedro]]="Low","linkCategory1",IF(TableRelationships12[[#This Row],[Rank Pedro]]="Medium","linkCategory2",IF(TableRelationships12[[#This Row],[Rank Pedro]]="High","linkCategory3","")))</f>
        <v/>
      </c>
      <c r="U1103" s="102" t="str">
        <f>IF(TableRelationships12[[#This Row],[Rank Pedro]]="Low","Pink",IF(TableRelationships12[[#This Row],[Rank Pedro]]="Medium","Purple",IF(TableRelationships12[[#This Row],[Rank Pedro]]="High","Brown","")))</f>
        <v/>
      </c>
      <c r="V1103" s="4" t="e">
        <f>MAX(INDEX(Standards!$F$2:$F$296,MATCH(B1103,Standards!$B$2:$B$296,0)),INDEX(Standards!$F$2:$F$296,MATCH(C1103,Standards!$B$2:$B$296,0)))</f>
        <v>#N/A</v>
      </c>
      <c r="W1103" t="str">
        <f t="shared" si="53"/>
        <v>#d6bf2a</v>
      </c>
    </row>
    <row r="1104" spans="1:23" x14ac:dyDescent="0.5">
      <c r="A1104" s="54">
        <v>1103</v>
      </c>
      <c r="B1104" s="90" t="s">
        <v>342</v>
      </c>
      <c r="C1104" t="s">
        <v>1594</v>
      </c>
      <c r="D1104" s="1"/>
      <c r="G1104" s="107"/>
      <c r="H1104">
        <f>INDEX('GIS-Standards'!$A$2:$A$305,MATCH(B1104,'GIS-Standards'!$B$2:$B$305,0))</f>
        <v>47</v>
      </c>
      <c r="I1104" t="e">
        <f>INDEX('GIS-Standards'!$A$2:$A$305,MATCH(C1104,'GIS-Standards'!$B$2:$B$305,0))</f>
        <v>#N/A</v>
      </c>
      <c r="J1104" t="str">
        <f>INDEX('GIS-Standards'!$O$2:$O$305,MATCH(B1104,'GIS-Standards'!$B$2:$B$305,0))</f>
        <v>ISO/TC 211</v>
      </c>
      <c r="K1104" t="e">
        <f>INDEX('GIS-Standards'!$O$2:$O$305,MATCH(C1104,'GIS-Standards'!$B$2:$B$305,0))</f>
        <v>#N/A</v>
      </c>
      <c r="M1104" t="s">
        <v>524</v>
      </c>
      <c r="N1104">
        <f>INDEX('GIS-Standards'!$I$2:$I$305,MATCH(B1104,'GIS-Standards'!$B$2:$B$305,0))</f>
        <v>0</v>
      </c>
      <c r="O1104" t="e">
        <f>INDEX('GIS-Standards'!$I$2:$I$305,MATCH(C1104,'GIS-Standards'!$B$2:$B$305,0))</f>
        <v>#N/A</v>
      </c>
      <c r="P1104" t="e">
        <f>AND(TableRelationships12[[#This Row],[Source Type]]="BIM",TableRelationships12[[#This Row],[Target Type]]="BIM")</f>
        <v>#N/A</v>
      </c>
      <c r="Q1104">
        <f t="shared" si="51"/>
        <v>6</v>
      </c>
      <c r="S1104">
        <f t="shared" si="52"/>
        <v>1</v>
      </c>
      <c r="T1104" s="102" t="str">
        <f>IF(TableRelationships12[[#This Row],[Rank Pedro]]="Low","linkCategory1",IF(TableRelationships12[[#This Row],[Rank Pedro]]="Medium","linkCategory2",IF(TableRelationships12[[#This Row],[Rank Pedro]]="High","linkCategory3","")))</f>
        <v/>
      </c>
      <c r="U1104" s="102" t="str">
        <f>IF(TableRelationships12[[#This Row],[Rank Pedro]]="Low","Pink",IF(TableRelationships12[[#This Row],[Rank Pedro]]="Medium","Purple",IF(TableRelationships12[[#This Row],[Rank Pedro]]="High","Brown","")))</f>
        <v/>
      </c>
      <c r="V1104" s="4" t="e">
        <f>MAX(INDEX(Standards!$F$2:$F$296,MATCH(B1104,Standards!$B$2:$B$296,0)),INDEX(Standards!$F$2:$F$296,MATCH(C1104,Standards!$B$2:$B$296,0)))</f>
        <v>#N/A</v>
      </c>
      <c r="W1104" t="str">
        <f t="shared" si="53"/>
        <v>#d6bf2a</v>
      </c>
    </row>
    <row r="1105" spans="1:23" x14ac:dyDescent="0.5">
      <c r="A1105" s="54">
        <v>1104</v>
      </c>
      <c r="B1105" s="90" t="s">
        <v>342</v>
      </c>
      <c r="C1105" t="s">
        <v>1593</v>
      </c>
      <c r="D1105" s="1"/>
      <c r="G1105" s="107"/>
      <c r="H1105">
        <f>INDEX('GIS-Standards'!$A$2:$A$305,MATCH(B1105,'GIS-Standards'!$B$2:$B$305,0))</f>
        <v>47</v>
      </c>
      <c r="I1105" t="e">
        <f>INDEX('GIS-Standards'!$A$2:$A$305,MATCH(C1105,'GIS-Standards'!$B$2:$B$305,0))</f>
        <v>#N/A</v>
      </c>
      <c r="J1105" t="str">
        <f>INDEX('GIS-Standards'!$O$2:$O$305,MATCH(B1105,'GIS-Standards'!$B$2:$B$305,0))</f>
        <v>ISO/TC 211</v>
      </c>
      <c r="K1105" t="e">
        <f>INDEX('GIS-Standards'!$O$2:$O$305,MATCH(C1105,'GIS-Standards'!$B$2:$B$305,0))</f>
        <v>#N/A</v>
      </c>
      <c r="M1105" t="s">
        <v>524</v>
      </c>
      <c r="N1105">
        <f>INDEX('GIS-Standards'!$I$2:$I$305,MATCH(B1105,'GIS-Standards'!$B$2:$B$305,0))</f>
        <v>0</v>
      </c>
      <c r="O1105" t="e">
        <f>INDEX('GIS-Standards'!$I$2:$I$305,MATCH(C1105,'GIS-Standards'!$B$2:$B$305,0))</f>
        <v>#N/A</v>
      </c>
      <c r="P1105" t="e">
        <f>AND(TableRelationships12[[#This Row],[Source Type]]="BIM",TableRelationships12[[#This Row],[Target Type]]="BIM")</f>
        <v>#N/A</v>
      </c>
      <c r="Q1105">
        <f t="shared" si="51"/>
        <v>6</v>
      </c>
      <c r="S1105">
        <f t="shared" si="52"/>
        <v>1</v>
      </c>
      <c r="T1105" s="102" t="str">
        <f>IF(TableRelationships12[[#This Row],[Rank Pedro]]="Low","linkCategory1",IF(TableRelationships12[[#This Row],[Rank Pedro]]="Medium","linkCategory2",IF(TableRelationships12[[#This Row],[Rank Pedro]]="High","linkCategory3","")))</f>
        <v/>
      </c>
      <c r="U1105" s="102" t="str">
        <f>IF(TableRelationships12[[#This Row],[Rank Pedro]]="Low","Pink",IF(TableRelationships12[[#This Row],[Rank Pedro]]="Medium","Purple",IF(TableRelationships12[[#This Row],[Rank Pedro]]="High","Brown","")))</f>
        <v/>
      </c>
      <c r="V1105" s="4" t="e">
        <f>MAX(INDEX(Standards!$F$2:$F$296,MATCH(B1105,Standards!$B$2:$B$296,0)),INDEX(Standards!$F$2:$F$296,MATCH(C1105,Standards!$B$2:$B$296,0)))</f>
        <v>#N/A</v>
      </c>
      <c r="W1105" t="str">
        <f t="shared" si="53"/>
        <v>#d6bf2a</v>
      </c>
    </row>
    <row r="1106" spans="1:23" x14ac:dyDescent="0.5">
      <c r="A1106" s="54">
        <v>1105</v>
      </c>
      <c r="B1106" s="90" t="s">
        <v>342</v>
      </c>
      <c r="C1106" t="s">
        <v>1141</v>
      </c>
      <c r="D1106" s="1"/>
      <c r="G1106" s="107"/>
      <c r="H1106">
        <f>INDEX('GIS-Standards'!$A$2:$A$305,MATCH(B1106,'GIS-Standards'!$B$2:$B$305,0))</f>
        <v>47</v>
      </c>
      <c r="I1106" t="e">
        <f>INDEX('GIS-Standards'!$A$2:$A$305,MATCH(C1106,'GIS-Standards'!$B$2:$B$305,0))</f>
        <v>#N/A</v>
      </c>
      <c r="J1106" t="str">
        <f>INDEX('GIS-Standards'!$O$2:$O$305,MATCH(B1106,'GIS-Standards'!$B$2:$B$305,0))</f>
        <v>ISO/TC 211</v>
      </c>
      <c r="K1106" t="e">
        <f>INDEX('GIS-Standards'!$O$2:$O$305,MATCH(C1106,'GIS-Standards'!$B$2:$B$305,0))</f>
        <v>#N/A</v>
      </c>
      <c r="M1106" t="s">
        <v>524</v>
      </c>
      <c r="N1106">
        <f>INDEX('GIS-Standards'!$I$2:$I$305,MATCH(B1106,'GIS-Standards'!$B$2:$B$305,0))</f>
        <v>0</v>
      </c>
      <c r="O1106" t="e">
        <f>INDEX('GIS-Standards'!$I$2:$I$305,MATCH(C1106,'GIS-Standards'!$B$2:$B$305,0))</f>
        <v>#N/A</v>
      </c>
      <c r="P1106" t="e">
        <f>AND(TableRelationships12[[#This Row],[Source Type]]="BIM",TableRelationships12[[#This Row],[Target Type]]="BIM")</f>
        <v>#N/A</v>
      </c>
      <c r="Q1106">
        <f t="shared" si="51"/>
        <v>6</v>
      </c>
      <c r="S1106">
        <f t="shared" si="52"/>
        <v>1</v>
      </c>
      <c r="T1106" s="102" t="str">
        <f>IF(TableRelationships12[[#This Row],[Rank Pedro]]="Low","linkCategory1",IF(TableRelationships12[[#This Row],[Rank Pedro]]="Medium","linkCategory2",IF(TableRelationships12[[#This Row],[Rank Pedro]]="High","linkCategory3","")))</f>
        <v/>
      </c>
      <c r="U1106" s="102" t="str">
        <f>IF(TableRelationships12[[#This Row],[Rank Pedro]]="Low","Pink",IF(TableRelationships12[[#This Row],[Rank Pedro]]="Medium","Purple",IF(TableRelationships12[[#This Row],[Rank Pedro]]="High","Brown","")))</f>
        <v/>
      </c>
      <c r="V1106" s="4" t="e">
        <f>MAX(INDEX(Standards!$F$2:$F$296,MATCH(B1106,Standards!$B$2:$B$296,0)),INDEX(Standards!$F$2:$F$296,MATCH(C1106,Standards!$B$2:$B$296,0)))</f>
        <v>#N/A</v>
      </c>
      <c r="W1106" t="str">
        <f t="shared" si="53"/>
        <v>#d6bf2a</v>
      </c>
    </row>
    <row r="1107" spans="1:23" x14ac:dyDescent="0.5">
      <c r="A1107" s="54">
        <v>1106</v>
      </c>
      <c r="B1107" s="90" t="s">
        <v>342</v>
      </c>
      <c r="C1107" t="s">
        <v>1142</v>
      </c>
      <c r="D1107" s="1"/>
      <c r="G1107" s="107"/>
      <c r="H1107">
        <f>INDEX('GIS-Standards'!$A$2:$A$305,MATCH(B1107,'GIS-Standards'!$B$2:$B$305,0))</f>
        <v>47</v>
      </c>
      <c r="I1107" t="e">
        <f>INDEX('GIS-Standards'!$A$2:$A$305,MATCH(C1107,'GIS-Standards'!$B$2:$B$305,0))</f>
        <v>#N/A</v>
      </c>
      <c r="J1107" t="str">
        <f>INDEX('GIS-Standards'!$O$2:$O$305,MATCH(B1107,'GIS-Standards'!$B$2:$B$305,0))</f>
        <v>ISO/TC 211</v>
      </c>
      <c r="K1107" t="e">
        <f>INDEX('GIS-Standards'!$O$2:$O$305,MATCH(C1107,'GIS-Standards'!$B$2:$B$305,0))</f>
        <v>#N/A</v>
      </c>
      <c r="M1107" t="s">
        <v>524</v>
      </c>
      <c r="N1107">
        <f>INDEX('GIS-Standards'!$I$2:$I$305,MATCH(B1107,'GIS-Standards'!$B$2:$B$305,0))</f>
        <v>0</v>
      </c>
      <c r="O1107" t="e">
        <f>INDEX('GIS-Standards'!$I$2:$I$305,MATCH(C1107,'GIS-Standards'!$B$2:$B$305,0))</f>
        <v>#N/A</v>
      </c>
      <c r="P1107" t="e">
        <f>AND(TableRelationships12[[#This Row],[Source Type]]="BIM",TableRelationships12[[#This Row],[Target Type]]="BIM")</f>
        <v>#N/A</v>
      </c>
      <c r="Q1107">
        <f t="shared" si="51"/>
        <v>6</v>
      </c>
      <c r="S1107">
        <f t="shared" si="52"/>
        <v>1</v>
      </c>
      <c r="T1107" s="102" t="str">
        <f>IF(TableRelationships12[[#This Row],[Rank Pedro]]="Low","linkCategory1",IF(TableRelationships12[[#This Row],[Rank Pedro]]="Medium","linkCategory2",IF(TableRelationships12[[#This Row],[Rank Pedro]]="High","linkCategory3","")))</f>
        <v/>
      </c>
      <c r="U1107" s="102" t="str">
        <f>IF(TableRelationships12[[#This Row],[Rank Pedro]]="Low","Pink",IF(TableRelationships12[[#This Row],[Rank Pedro]]="Medium","Purple",IF(TableRelationships12[[#This Row],[Rank Pedro]]="High","Brown","")))</f>
        <v/>
      </c>
      <c r="V1107" s="4" t="e">
        <f>MAX(INDEX(Standards!$F$2:$F$296,MATCH(B1107,Standards!$B$2:$B$296,0)),INDEX(Standards!$F$2:$F$296,MATCH(C1107,Standards!$B$2:$B$296,0)))</f>
        <v>#N/A</v>
      </c>
      <c r="W1107" t="str">
        <f t="shared" si="53"/>
        <v>#d6bf2a</v>
      </c>
    </row>
    <row r="1108" spans="1:23" x14ac:dyDescent="0.5">
      <c r="A1108" s="54">
        <v>1107</v>
      </c>
      <c r="B1108" s="90" t="s">
        <v>342</v>
      </c>
      <c r="C1108" t="s">
        <v>293</v>
      </c>
      <c r="D1108" s="1" t="s">
        <v>1127</v>
      </c>
      <c r="E1108" s="112">
        <v>2002.07</v>
      </c>
      <c r="F1108" s="112">
        <v>2014.11</v>
      </c>
      <c r="G1108" s="107" t="s">
        <v>670</v>
      </c>
      <c r="H1108">
        <f>INDEX('GIS-Standards'!$A$2:$A$305,MATCH(B1108,'GIS-Standards'!$B$2:$B$305,0))</f>
        <v>47</v>
      </c>
      <c r="I1108">
        <f>INDEX('GIS-Standards'!$A$2:$A$305,MATCH(C1108,'GIS-Standards'!$B$2:$B$305,0))</f>
        <v>10</v>
      </c>
      <c r="J1108" t="str">
        <f>INDEX('GIS-Standards'!$O$2:$O$305,MATCH(B1108,'GIS-Standards'!$B$2:$B$305,0))</f>
        <v>ISO/TC 211</v>
      </c>
      <c r="K1108" t="str">
        <f>INDEX('GIS-Standards'!$O$2:$O$305,MATCH(C1108,'GIS-Standards'!$B$2:$B$305,0))</f>
        <v>ISO/TC 211</v>
      </c>
      <c r="M1108" t="s">
        <v>525</v>
      </c>
      <c r="N1108">
        <f>INDEX('GIS-Standards'!$I$2:$I$305,MATCH(B1108,'GIS-Standards'!$B$2:$B$305,0))</f>
        <v>0</v>
      </c>
      <c r="O1108">
        <f>INDEX('GIS-Standards'!$I$2:$I$305,MATCH(C1108,'GIS-Standards'!$B$2:$B$305,0))</f>
        <v>0</v>
      </c>
      <c r="P1108" t="b">
        <f>AND(TableRelationships12[[#This Row],[Source Type]]="BIM",TableRelationships12[[#This Row],[Target Type]]="BIM")</f>
        <v>0</v>
      </c>
      <c r="Q1108">
        <f t="shared" si="51"/>
        <v>1</v>
      </c>
      <c r="S1108">
        <f t="shared" si="52"/>
        <v>1</v>
      </c>
      <c r="T1108" s="102" t="str">
        <f>IF(TableRelationships12[[#This Row],[Rank Pedro]]="Low","linkCategory1",IF(TableRelationships12[[#This Row],[Rank Pedro]]="Medium","linkCategory2",IF(TableRelationships12[[#This Row],[Rank Pedro]]="High","linkCategory3","")))</f>
        <v/>
      </c>
      <c r="U1108" s="102" t="str">
        <f>IF(TableRelationships12[[#This Row],[Rank Pedro]]="Low","Pink",IF(TableRelationships12[[#This Row],[Rank Pedro]]="Medium","Purple",IF(TableRelationships12[[#This Row],[Rank Pedro]]="High","Brown","")))</f>
        <v/>
      </c>
      <c r="V1108" s="4">
        <f>MAX(INDEX(Standards!$F$2:$F$296,MATCH(B1108,Standards!$B$2:$B$296,0)),INDEX(Standards!$F$2:$F$296,MATCH(C1108,Standards!$B$2:$B$296,0)))</f>
        <v>40452</v>
      </c>
      <c r="W1108" t="str">
        <f t="shared" si="53"/>
        <v>#2f89d1</v>
      </c>
    </row>
    <row r="1109" spans="1:23" x14ac:dyDescent="0.5">
      <c r="A1109" s="54">
        <v>1108</v>
      </c>
      <c r="B1109" s="90" t="s">
        <v>342</v>
      </c>
      <c r="C1109" t="s">
        <v>296</v>
      </c>
      <c r="D1109" s="1"/>
      <c r="E1109" s="112">
        <v>2005.07</v>
      </c>
      <c r="F1109" s="112">
        <v>2024.09</v>
      </c>
      <c r="G1109" s="107" t="s">
        <v>670</v>
      </c>
      <c r="H1109">
        <f>INDEX('GIS-Standards'!$A$2:$A$305,MATCH(B1109,'GIS-Standards'!$B$2:$B$305,0))</f>
        <v>47</v>
      </c>
      <c r="I1109">
        <f>INDEX('GIS-Standards'!$A$2:$A$305,MATCH(C1109,'GIS-Standards'!$B$2:$B$305,0))</f>
        <v>12</v>
      </c>
      <c r="J1109" t="str">
        <f>INDEX('GIS-Standards'!$O$2:$O$305,MATCH(B1109,'GIS-Standards'!$B$2:$B$305,0))</f>
        <v>ISO/TC 211</v>
      </c>
      <c r="K1109" t="str">
        <f>INDEX('GIS-Standards'!$O$2:$O$305,MATCH(C1109,'GIS-Standards'!$B$2:$B$305,0))</f>
        <v>ISO/TC 211</v>
      </c>
      <c r="M1109" t="s">
        <v>525</v>
      </c>
      <c r="N1109">
        <f>INDEX('GIS-Standards'!$I$2:$I$305,MATCH(B1109,'GIS-Standards'!$B$2:$B$305,0))</f>
        <v>0</v>
      </c>
      <c r="O1109">
        <f>INDEX('GIS-Standards'!$I$2:$I$305,MATCH(C1109,'GIS-Standards'!$B$2:$B$305,0))</f>
        <v>0</v>
      </c>
      <c r="P1109" t="b">
        <f>AND(TableRelationships12[[#This Row],[Source Type]]="BIM",TableRelationships12[[#This Row],[Target Type]]="BIM")</f>
        <v>0</v>
      </c>
      <c r="Q1109">
        <f t="shared" si="51"/>
        <v>1</v>
      </c>
      <c r="S1109">
        <f t="shared" si="52"/>
        <v>1</v>
      </c>
      <c r="T1109" s="102" t="str">
        <f>IF(TableRelationships12[[#This Row],[Rank Pedro]]="Low","linkCategory1",IF(TableRelationships12[[#This Row],[Rank Pedro]]="Medium","linkCategory2",IF(TableRelationships12[[#This Row],[Rank Pedro]]="High","linkCategory3","")))</f>
        <v/>
      </c>
      <c r="U1109" s="102" t="str">
        <f>IF(TableRelationships12[[#This Row],[Rank Pedro]]="Low","Pink",IF(TableRelationships12[[#This Row],[Rank Pedro]]="Medium","Purple",IF(TableRelationships12[[#This Row],[Rank Pedro]]="High","Brown","")))</f>
        <v/>
      </c>
      <c r="V1109" s="4">
        <f>MAX(INDEX(Standards!$F$2:$F$296,MATCH(B1109,Standards!$B$2:$B$296,0)),INDEX(Standards!$F$2:$F$296,MATCH(C1109,Standards!$B$2:$B$296,0)))</f>
        <v>40452</v>
      </c>
      <c r="W1109" t="str">
        <f t="shared" si="53"/>
        <v>#2f89d1</v>
      </c>
    </row>
    <row r="1110" spans="1:23" x14ac:dyDescent="0.5">
      <c r="A1110" s="54">
        <v>1109</v>
      </c>
      <c r="B1110" s="90" t="s">
        <v>342</v>
      </c>
      <c r="C1110" t="s">
        <v>302</v>
      </c>
      <c r="D1110" s="1"/>
      <c r="E1110" s="112">
        <v>2003.05</v>
      </c>
      <c r="F1110" s="112">
        <v>2019.12</v>
      </c>
      <c r="G1110" s="107" t="s">
        <v>670</v>
      </c>
      <c r="H1110">
        <f>INDEX('GIS-Standards'!$A$2:$A$305,MATCH(B1110,'GIS-Standards'!$B$2:$B$305,0))</f>
        <v>47</v>
      </c>
      <c r="I1110">
        <f>INDEX('GIS-Standards'!$A$2:$A$305,MATCH(C1110,'GIS-Standards'!$B$2:$B$305,0))</f>
        <v>16</v>
      </c>
      <c r="J1110" t="str">
        <f>INDEX('GIS-Standards'!$O$2:$O$305,MATCH(B1110,'GIS-Standards'!$B$2:$B$305,0))</f>
        <v>ISO/TC 211</v>
      </c>
      <c r="K1110" t="str">
        <f>INDEX('GIS-Standards'!$O$2:$O$305,MATCH(C1110,'GIS-Standards'!$B$2:$B$305,0))</f>
        <v>ISO/TC 211</v>
      </c>
      <c r="M1110" t="s">
        <v>525</v>
      </c>
      <c r="N1110">
        <f>INDEX('GIS-Standards'!$I$2:$I$305,MATCH(B1110,'GIS-Standards'!$B$2:$B$305,0))</f>
        <v>0</v>
      </c>
      <c r="O1110">
        <f>INDEX('GIS-Standards'!$I$2:$I$305,MATCH(C1110,'GIS-Standards'!$B$2:$B$305,0))</f>
        <v>0</v>
      </c>
      <c r="P1110" t="b">
        <f>AND(TableRelationships12[[#This Row],[Source Type]]="BIM",TableRelationships12[[#This Row],[Target Type]]="BIM")</f>
        <v>0</v>
      </c>
      <c r="Q1110">
        <f t="shared" si="51"/>
        <v>1</v>
      </c>
      <c r="S1110">
        <f t="shared" si="52"/>
        <v>1</v>
      </c>
      <c r="T1110" s="102" t="str">
        <f>IF(TableRelationships12[[#This Row],[Rank Pedro]]="Low","linkCategory1",IF(TableRelationships12[[#This Row],[Rank Pedro]]="Medium","linkCategory2",IF(TableRelationships12[[#This Row],[Rank Pedro]]="High","linkCategory3","")))</f>
        <v/>
      </c>
      <c r="U1110" s="102" t="str">
        <f>IF(TableRelationships12[[#This Row],[Rank Pedro]]="Low","Pink",IF(TableRelationships12[[#This Row],[Rank Pedro]]="Medium","Purple",IF(TableRelationships12[[#This Row],[Rank Pedro]]="High","Brown","")))</f>
        <v/>
      </c>
      <c r="V1110" s="4">
        <f>MAX(INDEX(Standards!$F$2:$F$296,MATCH(B1110,Standards!$B$2:$B$296,0)),INDEX(Standards!$F$2:$F$296,MATCH(C1110,Standards!$B$2:$B$296,0)))</f>
        <v>40452</v>
      </c>
      <c r="W1110" t="str">
        <f t="shared" si="53"/>
        <v>#2f89d1</v>
      </c>
    </row>
    <row r="1111" spans="1:23" x14ac:dyDescent="0.5">
      <c r="A1111" s="54">
        <v>1110</v>
      </c>
      <c r="B1111" s="90" t="s">
        <v>342</v>
      </c>
      <c r="C1111" t="s">
        <v>310</v>
      </c>
      <c r="D1111" s="1"/>
      <c r="E1111" s="112">
        <v>2003.02</v>
      </c>
      <c r="F1111" s="112">
        <v>2023.08</v>
      </c>
      <c r="G1111" s="107" t="s">
        <v>670</v>
      </c>
      <c r="H1111">
        <f>INDEX('GIS-Standards'!$A$2:$A$305,MATCH(B1111,'GIS-Standards'!$B$2:$B$305,0))</f>
        <v>47</v>
      </c>
      <c r="I1111">
        <f>INDEX('GIS-Standards'!$A$2:$A$305,MATCH(C1111,'GIS-Standards'!$B$2:$B$305,0))</f>
        <v>20</v>
      </c>
      <c r="J1111" t="str">
        <f>INDEX('GIS-Standards'!$O$2:$O$305,MATCH(B1111,'GIS-Standards'!$B$2:$B$305,0))</f>
        <v>ISO/TC 211</v>
      </c>
      <c r="K1111" t="str">
        <f>INDEX('GIS-Standards'!$O$2:$O$305,MATCH(C1111,'GIS-Standards'!$B$2:$B$305,0))</f>
        <v>ISO/TC 211</v>
      </c>
      <c r="M1111" t="s">
        <v>525</v>
      </c>
      <c r="N1111">
        <f>INDEX('GIS-Standards'!$I$2:$I$305,MATCH(B1111,'GIS-Standards'!$B$2:$B$305,0))</f>
        <v>0</v>
      </c>
      <c r="O1111" t="str">
        <f>INDEX('GIS-Standards'!$I$2:$I$305,MATCH(C1111,'GIS-Standards'!$B$2:$B$305,0))</f>
        <v>08.2023</v>
      </c>
      <c r="P1111" t="b">
        <f>AND(TableRelationships12[[#This Row],[Source Type]]="BIM",TableRelationships12[[#This Row],[Target Type]]="BIM")</f>
        <v>0</v>
      </c>
      <c r="Q1111">
        <f t="shared" si="51"/>
        <v>1</v>
      </c>
      <c r="S1111">
        <f t="shared" si="52"/>
        <v>1</v>
      </c>
      <c r="T1111" s="102" t="str">
        <f>IF(TableRelationships12[[#This Row],[Rank Pedro]]="Low","linkCategory1",IF(TableRelationships12[[#This Row],[Rank Pedro]]="Medium","linkCategory2",IF(TableRelationships12[[#This Row],[Rank Pedro]]="High","linkCategory3","")))</f>
        <v/>
      </c>
      <c r="U1111" s="102" t="str">
        <f>IF(TableRelationships12[[#This Row],[Rank Pedro]]="Low","Pink",IF(TableRelationships12[[#This Row],[Rank Pedro]]="Medium","Purple",IF(TableRelationships12[[#This Row],[Rank Pedro]]="High","Brown","")))</f>
        <v/>
      </c>
      <c r="V1111" s="4">
        <f>MAX(INDEX(Standards!$F$2:$F$296,MATCH(B1111,Standards!$B$2:$B$296,0)),INDEX(Standards!$F$2:$F$296,MATCH(C1111,Standards!$B$2:$B$296,0)))</f>
        <v>40452</v>
      </c>
      <c r="W1111" t="str">
        <f t="shared" si="53"/>
        <v>#2f89d1</v>
      </c>
    </row>
    <row r="1112" spans="1:23" x14ac:dyDescent="0.5">
      <c r="A1112" s="54">
        <v>1111</v>
      </c>
      <c r="B1112" s="90" t="s">
        <v>342</v>
      </c>
      <c r="C1112" t="s">
        <v>314</v>
      </c>
      <c r="D1112" s="1" t="s">
        <v>1099</v>
      </c>
      <c r="E1112" s="112">
        <v>2003.05</v>
      </c>
      <c r="F1112" s="112">
        <v>2020.11</v>
      </c>
      <c r="G1112" s="107" t="s">
        <v>670</v>
      </c>
      <c r="H1112">
        <f>INDEX('GIS-Standards'!$A$2:$A$305,MATCH(B1112,'GIS-Standards'!$B$2:$B$305,0))</f>
        <v>47</v>
      </c>
      <c r="I1112">
        <f>INDEX('GIS-Standards'!$A$2:$A$305,MATCH(C1112,'GIS-Standards'!$B$2:$B$305,0))</f>
        <v>22</v>
      </c>
      <c r="J1112" t="str">
        <f>INDEX('GIS-Standards'!$O$2:$O$305,MATCH(B1112,'GIS-Standards'!$B$2:$B$305,0))</f>
        <v>ISO/TC 211</v>
      </c>
      <c r="K1112" t="str">
        <f>INDEX('GIS-Standards'!$O$2:$O$305,MATCH(C1112,'GIS-Standards'!$B$2:$B$305,0))</f>
        <v>ISO/TC 211</v>
      </c>
      <c r="M1112" t="s">
        <v>525</v>
      </c>
      <c r="N1112">
        <f>INDEX('GIS-Standards'!$I$2:$I$305,MATCH(B1112,'GIS-Standards'!$B$2:$B$305,0))</f>
        <v>0</v>
      </c>
      <c r="O1112" t="str">
        <f>INDEX('GIS-Standards'!$I$2:$I$305,MATCH(C1112,'GIS-Standards'!$B$2:$B$305,0))</f>
        <v>12.2020</v>
      </c>
      <c r="P1112" t="b">
        <f>AND(TableRelationships12[[#This Row],[Source Type]]="BIM",TableRelationships12[[#This Row],[Target Type]]="BIM")</f>
        <v>0</v>
      </c>
      <c r="Q1112">
        <f t="shared" si="51"/>
        <v>1</v>
      </c>
      <c r="S1112">
        <f t="shared" si="52"/>
        <v>1</v>
      </c>
      <c r="T1112" s="102" t="str">
        <f>IF(TableRelationships12[[#This Row],[Rank Pedro]]="Low","linkCategory1",IF(TableRelationships12[[#This Row],[Rank Pedro]]="Medium","linkCategory2",IF(TableRelationships12[[#This Row],[Rank Pedro]]="High","linkCategory3","")))</f>
        <v/>
      </c>
      <c r="U1112" s="102" t="str">
        <f>IF(TableRelationships12[[#This Row],[Rank Pedro]]="Low","Pink",IF(TableRelationships12[[#This Row],[Rank Pedro]]="Medium","Purple",IF(TableRelationships12[[#This Row],[Rank Pedro]]="High","Brown","")))</f>
        <v/>
      </c>
      <c r="V1112" s="4">
        <f>MAX(INDEX(Standards!$F$2:$F$296,MATCH(B1112,Standards!$B$2:$B$296,0)),INDEX(Standards!$F$2:$F$296,MATCH(C1112,Standards!$B$2:$B$296,0)))</f>
        <v>40452</v>
      </c>
      <c r="W1112" t="str">
        <f t="shared" si="53"/>
        <v>#2f89d1</v>
      </c>
    </row>
    <row r="1113" spans="1:23" x14ac:dyDescent="0.5">
      <c r="A1113" s="54">
        <v>1112</v>
      </c>
      <c r="B1113" s="90" t="s">
        <v>342</v>
      </c>
      <c r="C1113" t="s">
        <v>318</v>
      </c>
      <c r="D1113" s="1"/>
      <c r="E1113" s="112">
        <v>2005.02</v>
      </c>
      <c r="F1113" s="112">
        <v>2016.01</v>
      </c>
      <c r="G1113" s="107" t="s">
        <v>670</v>
      </c>
      <c r="H1113">
        <f>INDEX('GIS-Standards'!$A$2:$A$305,MATCH(B1113,'GIS-Standards'!$B$2:$B$305,0))</f>
        <v>47</v>
      </c>
      <c r="I1113">
        <f>INDEX('GIS-Standards'!$A$2:$A$305,MATCH(C1113,'GIS-Standards'!$B$2:$B$305,0))</f>
        <v>28</v>
      </c>
      <c r="J1113" t="str">
        <f>INDEX('GIS-Standards'!$O$2:$O$305,MATCH(B1113,'GIS-Standards'!$B$2:$B$305,0))</f>
        <v>ISO/TC 211</v>
      </c>
      <c r="K1113" t="str">
        <f>INDEX('GIS-Standards'!$O$2:$O$305,MATCH(C1113,'GIS-Standards'!$B$2:$B$305,0))</f>
        <v>ISO/TC 211</v>
      </c>
      <c r="M1113" t="s">
        <v>525</v>
      </c>
      <c r="N1113">
        <f>INDEX('GIS-Standards'!$I$2:$I$305,MATCH(B1113,'GIS-Standards'!$B$2:$B$305,0))</f>
        <v>0</v>
      </c>
      <c r="O1113">
        <f>INDEX('GIS-Standards'!$I$2:$I$305,MATCH(C1113,'GIS-Standards'!$B$2:$B$305,0))</f>
        <v>0</v>
      </c>
      <c r="P1113" t="b">
        <f>AND(TableRelationships12[[#This Row],[Source Type]]="BIM",TableRelationships12[[#This Row],[Target Type]]="BIM")</f>
        <v>0</v>
      </c>
      <c r="Q1113">
        <f t="shared" si="51"/>
        <v>1</v>
      </c>
      <c r="S1113">
        <f t="shared" si="52"/>
        <v>1</v>
      </c>
      <c r="T1113" s="102" t="str">
        <f>IF(TableRelationships12[[#This Row],[Rank Pedro]]="Low","linkCategory1",IF(TableRelationships12[[#This Row],[Rank Pedro]]="Medium","linkCategory2",IF(TableRelationships12[[#This Row],[Rank Pedro]]="High","linkCategory3","")))</f>
        <v/>
      </c>
      <c r="U1113" s="102" t="str">
        <f>IF(TableRelationships12[[#This Row],[Rank Pedro]]="Low","Pink",IF(TableRelationships12[[#This Row],[Rank Pedro]]="Medium","Purple",IF(TableRelationships12[[#This Row],[Rank Pedro]]="High","Brown","")))</f>
        <v/>
      </c>
      <c r="V1113" s="4">
        <f>MAX(INDEX(Standards!$F$2:$F$296,MATCH(B1113,Standards!$B$2:$B$296,0)),INDEX(Standards!$F$2:$F$296,MATCH(C1113,Standards!$B$2:$B$296,0)))</f>
        <v>40452</v>
      </c>
      <c r="W1113" t="str">
        <f t="shared" si="53"/>
        <v>#2f89d1</v>
      </c>
    </row>
    <row r="1114" spans="1:23" x14ac:dyDescent="0.5">
      <c r="A1114" s="54">
        <v>1113</v>
      </c>
      <c r="B1114" s="90" t="s">
        <v>342</v>
      </c>
      <c r="C1114" t="s">
        <v>326</v>
      </c>
      <c r="D1114" s="1"/>
      <c r="E1114" s="112">
        <v>2005.12</v>
      </c>
      <c r="F1114" s="112">
        <v>2005.12</v>
      </c>
      <c r="G1114" s="107" t="s">
        <v>670</v>
      </c>
      <c r="H1114">
        <f>INDEX('GIS-Standards'!$A$2:$A$305,MATCH(B1114,'GIS-Standards'!$B$2:$B$305,0))</f>
        <v>47</v>
      </c>
      <c r="I1114">
        <f>INDEX('GIS-Standards'!$A$2:$A$305,MATCH(C1114,'GIS-Standards'!$B$2:$B$305,0))</f>
        <v>35</v>
      </c>
      <c r="J1114" t="str">
        <f>INDEX('GIS-Standards'!$O$2:$O$305,MATCH(B1114,'GIS-Standards'!$B$2:$B$305,0))</f>
        <v>ISO/TC 211</v>
      </c>
      <c r="K1114" t="str">
        <f>INDEX('GIS-Standards'!$O$2:$O$305,MATCH(C1114,'GIS-Standards'!$B$2:$B$305,0))</f>
        <v>ISO/TC 211</v>
      </c>
      <c r="M1114" t="s">
        <v>525</v>
      </c>
      <c r="N1114">
        <f>INDEX('GIS-Standards'!$I$2:$I$305,MATCH(B1114,'GIS-Standards'!$B$2:$B$305,0))</f>
        <v>0</v>
      </c>
      <c r="O1114">
        <f>INDEX('GIS-Standards'!$I$2:$I$305,MATCH(C1114,'GIS-Standards'!$B$2:$B$305,0))</f>
        <v>0</v>
      </c>
      <c r="P1114" t="b">
        <f>AND(TableRelationships12[[#This Row],[Source Type]]="BIM",TableRelationships12[[#This Row],[Target Type]]="BIM")</f>
        <v>0</v>
      </c>
      <c r="Q1114">
        <f t="shared" si="51"/>
        <v>1</v>
      </c>
      <c r="S1114">
        <f t="shared" si="52"/>
        <v>1</v>
      </c>
      <c r="T1114" s="102" t="str">
        <f>IF(TableRelationships12[[#This Row],[Rank Pedro]]="Low","linkCategory1",IF(TableRelationships12[[#This Row],[Rank Pedro]]="Medium","linkCategory2",IF(TableRelationships12[[#This Row],[Rank Pedro]]="High","linkCategory3","")))</f>
        <v/>
      </c>
      <c r="U1114" s="102" t="str">
        <f>IF(TableRelationships12[[#This Row],[Rank Pedro]]="Low","Pink",IF(TableRelationships12[[#This Row],[Rank Pedro]]="Medium","Purple",IF(TableRelationships12[[#This Row],[Rank Pedro]]="High","Brown","")))</f>
        <v/>
      </c>
      <c r="V1114" s="4">
        <f>MAX(INDEX(Standards!$F$2:$F$296,MATCH(B1114,Standards!$B$2:$B$296,0)),INDEX(Standards!$F$2:$F$296,MATCH(C1114,Standards!$B$2:$B$296,0)))</f>
        <v>40452</v>
      </c>
      <c r="W1114" t="str">
        <f t="shared" si="53"/>
        <v>#2f89d1</v>
      </c>
    </row>
    <row r="1115" spans="1:23" x14ac:dyDescent="0.5">
      <c r="A1115" s="54">
        <v>1114</v>
      </c>
      <c r="B1115" s="90" t="s">
        <v>342</v>
      </c>
      <c r="C1115" t="s">
        <v>340</v>
      </c>
      <c r="D1115" s="1"/>
      <c r="E1115" s="112">
        <v>2010.12</v>
      </c>
      <c r="F1115" s="112">
        <v>2010.12</v>
      </c>
      <c r="G1115" s="107" t="s">
        <v>670</v>
      </c>
      <c r="H1115">
        <f>INDEX('GIS-Standards'!$A$2:$A$305,MATCH(B1115,'GIS-Standards'!$B$2:$B$305,0))</f>
        <v>47</v>
      </c>
      <c r="I1115">
        <f>INDEX('GIS-Standards'!$A$2:$A$305,MATCH(C1115,'GIS-Standards'!$B$2:$B$305,0))</f>
        <v>46</v>
      </c>
      <c r="J1115" t="str">
        <f>INDEX('GIS-Standards'!$O$2:$O$305,MATCH(B1115,'GIS-Standards'!$B$2:$B$305,0))</f>
        <v>ISO/TC 211</v>
      </c>
      <c r="K1115" t="str">
        <f>INDEX('GIS-Standards'!$O$2:$O$305,MATCH(C1115,'GIS-Standards'!$B$2:$B$305,0))</f>
        <v>ISO/TC 211</v>
      </c>
      <c r="M1115" t="s">
        <v>525</v>
      </c>
      <c r="N1115">
        <f>INDEX('GIS-Standards'!$I$2:$I$305,MATCH(B1115,'GIS-Standards'!$B$2:$B$305,0))</f>
        <v>0</v>
      </c>
      <c r="O1115">
        <f>INDEX('GIS-Standards'!$I$2:$I$305,MATCH(C1115,'GIS-Standards'!$B$2:$B$305,0))</f>
        <v>0</v>
      </c>
      <c r="P1115" t="b">
        <f>AND(TableRelationships12[[#This Row],[Source Type]]="BIM",TableRelationships12[[#This Row],[Target Type]]="BIM")</f>
        <v>0</v>
      </c>
      <c r="Q1115">
        <f t="shared" si="51"/>
        <v>1</v>
      </c>
      <c r="S1115">
        <f t="shared" si="52"/>
        <v>1</v>
      </c>
      <c r="T1115" s="102" t="str">
        <f>IF(TableRelationships12[[#This Row],[Rank Pedro]]="Low","linkCategory1",IF(TableRelationships12[[#This Row],[Rank Pedro]]="Medium","linkCategory2",IF(TableRelationships12[[#This Row],[Rank Pedro]]="High","linkCategory3","")))</f>
        <v/>
      </c>
      <c r="U1115" s="102" t="str">
        <f>IF(TableRelationships12[[#This Row],[Rank Pedro]]="Low","Pink",IF(TableRelationships12[[#This Row],[Rank Pedro]]="Medium","Purple",IF(TableRelationships12[[#This Row],[Rank Pedro]]="High","Brown","")))</f>
        <v/>
      </c>
      <c r="V1115" s="4">
        <f>MAX(INDEX(Standards!$F$2:$F$296,MATCH(B1115,Standards!$B$2:$B$296,0)),INDEX(Standards!$F$2:$F$296,MATCH(C1115,Standards!$B$2:$B$296,0)))</f>
        <v>40513</v>
      </c>
      <c r="W1115" t="str">
        <f t="shared" si="53"/>
        <v>#2f89d1</v>
      </c>
    </row>
    <row r="1116" spans="1:23" x14ac:dyDescent="0.5">
      <c r="A1116" s="54">
        <v>1115</v>
      </c>
      <c r="B1116" s="90" t="s">
        <v>342</v>
      </c>
      <c r="C1116" t="s">
        <v>220</v>
      </c>
      <c r="D1116" s="1"/>
      <c r="E1116" s="112">
        <v>1999.12</v>
      </c>
      <c r="F1116" s="112">
        <v>2016.01</v>
      </c>
      <c r="G1116" s="107" t="s">
        <v>1504</v>
      </c>
      <c r="H1116">
        <f>INDEX('GIS-Standards'!$A$2:$A$305,MATCH(B1116,'GIS-Standards'!$B$2:$B$305,0))</f>
        <v>47</v>
      </c>
      <c r="I1116" t="e">
        <f>INDEX('GIS-Standards'!$A$2:$A$305,MATCH(C1116,'GIS-Standards'!$B$2:$B$305,0))</f>
        <v>#N/A</v>
      </c>
      <c r="J1116" t="str">
        <f>INDEX('GIS-Standards'!$O$2:$O$305,MATCH(B1116,'GIS-Standards'!$B$2:$B$305,0))</f>
        <v>ISO/TC 211</v>
      </c>
      <c r="K1116" t="e">
        <f>INDEX('GIS-Standards'!$O$2:$O$305,MATCH(C1116,'GIS-Standards'!$B$2:$B$305,0))</f>
        <v>#N/A</v>
      </c>
      <c r="M1116" t="s">
        <v>525</v>
      </c>
      <c r="N1116">
        <f>INDEX('GIS-Standards'!$I$2:$I$305,MATCH(B1116,'GIS-Standards'!$B$2:$B$305,0))</f>
        <v>0</v>
      </c>
      <c r="O1116" t="e">
        <f>INDEX('GIS-Standards'!$I$2:$I$305,MATCH(C1116,'GIS-Standards'!$B$2:$B$305,0))</f>
        <v>#N/A</v>
      </c>
      <c r="P1116" t="e">
        <f>AND(TableRelationships12[[#This Row],[Source Type]]="BIM",TableRelationships12[[#This Row],[Target Type]]="BIM")</f>
        <v>#N/A</v>
      </c>
      <c r="Q1116">
        <f t="shared" si="51"/>
        <v>1</v>
      </c>
      <c r="S1116">
        <f t="shared" si="52"/>
        <v>1</v>
      </c>
      <c r="T1116" s="102" t="str">
        <f>IF(TableRelationships12[[#This Row],[Rank Pedro]]="Low","linkCategory1",IF(TableRelationships12[[#This Row],[Rank Pedro]]="Medium","linkCategory2",IF(TableRelationships12[[#This Row],[Rank Pedro]]="High","linkCategory3","")))</f>
        <v/>
      </c>
      <c r="U1116" s="102" t="str">
        <f>IF(TableRelationships12[[#This Row],[Rank Pedro]]="Low","Pink",IF(TableRelationships12[[#This Row],[Rank Pedro]]="Medium","Purple",IF(TableRelationships12[[#This Row],[Rank Pedro]]="High","Brown","")))</f>
        <v/>
      </c>
      <c r="V1116" s="4">
        <f>MAX(INDEX(Standards!$F$2:$F$296,MATCH(B1116,Standards!$B$2:$B$296,0)),INDEX(Standards!$F$2:$F$296,MATCH(C1116,Standards!$B$2:$B$296,0)))</f>
        <v>40452</v>
      </c>
      <c r="W1116" t="str">
        <f t="shared" si="53"/>
        <v>#2f89d1</v>
      </c>
    </row>
    <row r="1117" spans="1:23" x14ac:dyDescent="0.5">
      <c r="A1117" s="54">
        <v>1116</v>
      </c>
      <c r="B1117" s="90" t="s">
        <v>342</v>
      </c>
      <c r="C1117" t="s">
        <v>1194</v>
      </c>
      <c r="D1117" s="1"/>
      <c r="E1117" s="112">
        <v>2001.02</v>
      </c>
      <c r="F1117" s="112">
        <v>2025.07</v>
      </c>
      <c r="G1117" s="107" t="s">
        <v>1501</v>
      </c>
      <c r="H1117">
        <f>INDEX('GIS-Standards'!$A$2:$A$305,MATCH(B1117,'GIS-Standards'!$B$2:$B$305,0))</f>
        <v>47</v>
      </c>
      <c r="I1117" t="e">
        <f>INDEX('GIS-Standards'!$A$2:$A$305,MATCH(C1117,'GIS-Standards'!$B$2:$B$305,0))</f>
        <v>#N/A</v>
      </c>
      <c r="J1117" t="str">
        <f>INDEX('GIS-Standards'!$O$2:$O$305,MATCH(B1117,'GIS-Standards'!$B$2:$B$305,0))</f>
        <v>ISO/TC 211</v>
      </c>
      <c r="K1117" t="e">
        <f>INDEX('GIS-Standards'!$O$2:$O$305,MATCH(C1117,'GIS-Standards'!$B$2:$B$305,0))</f>
        <v>#N/A</v>
      </c>
      <c r="M1117" t="s">
        <v>525</v>
      </c>
      <c r="N1117">
        <f>INDEX('GIS-Standards'!$I$2:$I$305,MATCH(B1117,'GIS-Standards'!$B$2:$B$305,0))</f>
        <v>0</v>
      </c>
      <c r="O1117" t="e">
        <f>INDEX('GIS-Standards'!$I$2:$I$305,MATCH(C1117,'GIS-Standards'!$B$2:$B$305,0))</f>
        <v>#N/A</v>
      </c>
      <c r="P1117" t="e">
        <f>AND(TableRelationships12[[#This Row],[Source Type]]="BIM",TableRelationships12[[#This Row],[Target Type]]="BIM")</f>
        <v>#N/A</v>
      </c>
      <c r="Q1117">
        <f t="shared" si="51"/>
        <v>1</v>
      </c>
      <c r="S1117">
        <f t="shared" si="52"/>
        <v>1</v>
      </c>
      <c r="T1117" s="102" t="str">
        <f>IF(TableRelationships12[[#This Row],[Rank Pedro]]="Low","linkCategory1",IF(TableRelationships12[[#This Row],[Rank Pedro]]="Medium","linkCategory2",IF(TableRelationships12[[#This Row],[Rank Pedro]]="High","linkCategory3","")))</f>
        <v/>
      </c>
      <c r="U1117" s="102" t="str">
        <f>IF(TableRelationships12[[#This Row],[Rank Pedro]]="Low","Pink",IF(TableRelationships12[[#This Row],[Rank Pedro]]="Medium","Purple",IF(TableRelationships12[[#This Row],[Rank Pedro]]="High","Brown","")))</f>
        <v/>
      </c>
      <c r="V1117" s="4" t="e">
        <f>MAX(INDEX(Standards!$F$2:$F$296,MATCH(B1117,Standards!$B$2:$B$296,0)),INDEX(Standards!$F$2:$F$296,MATCH(C1117,Standards!$B$2:$B$296,0)))</f>
        <v>#N/A</v>
      </c>
      <c r="W1117" t="str">
        <f t="shared" si="53"/>
        <v>#2f89d1</v>
      </c>
    </row>
    <row r="1118" spans="1:23" x14ac:dyDescent="0.5">
      <c r="A1118" s="54">
        <v>1117</v>
      </c>
      <c r="B1118" s="90" t="s">
        <v>342</v>
      </c>
      <c r="C1118" t="s">
        <v>1195</v>
      </c>
      <c r="D1118" s="1"/>
      <c r="E1118" s="112">
        <v>1996.12</v>
      </c>
      <c r="F1118" s="112">
        <v>1996.12</v>
      </c>
      <c r="G1118" s="107" t="s">
        <v>1504</v>
      </c>
      <c r="H1118">
        <f>INDEX('GIS-Standards'!$A$2:$A$305,MATCH(B1118,'GIS-Standards'!$B$2:$B$305,0))</f>
        <v>47</v>
      </c>
      <c r="I1118" t="e">
        <f>INDEX('GIS-Standards'!$A$2:$A$305,MATCH(C1118,'GIS-Standards'!$B$2:$B$305,0))</f>
        <v>#N/A</v>
      </c>
      <c r="J1118" t="str">
        <f>INDEX('GIS-Standards'!$O$2:$O$305,MATCH(B1118,'GIS-Standards'!$B$2:$B$305,0))</f>
        <v>ISO/TC 211</v>
      </c>
      <c r="K1118" t="e">
        <f>INDEX('GIS-Standards'!$O$2:$O$305,MATCH(C1118,'GIS-Standards'!$B$2:$B$305,0))</f>
        <v>#N/A</v>
      </c>
      <c r="M1118" t="s">
        <v>525</v>
      </c>
      <c r="N1118">
        <f>INDEX('GIS-Standards'!$I$2:$I$305,MATCH(B1118,'GIS-Standards'!$B$2:$B$305,0))</f>
        <v>0</v>
      </c>
      <c r="O1118" t="e">
        <f>INDEX('GIS-Standards'!$I$2:$I$305,MATCH(C1118,'GIS-Standards'!$B$2:$B$305,0))</f>
        <v>#N/A</v>
      </c>
      <c r="P1118" t="e">
        <f>AND(TableRelationships12[[#This Row],[Source Type]]="BIM",TableRelationships12[[#This Row],[Target Type]]="BIM")</f>
        <v>#N/A</v>
      </c>
      <c r="Q1118">
        <f t="shared" si="51"/>
        <v>1</v>
      </c>
      <c r="S1118">
        <f t="shared" si="52"/>
        <v>1</v>
      </c>
      <c r="T1118" s="102" t="str">
        <f>IF(TableRelationships12[[#This Row],[Rank Pedro]]="Low","linkCategory1",IF(TableRelationships12[[#This Row],[Rank Pedro]]="Medium","linkCategory2",IF(TableRelationships12[[#This Row],[Rank Pedro]]="High","linkCategory3","")))</f>
        <v/>
      </c>
      <c r="U1118" s="102" t="str">
        <f>IF(TableRelationships12[[#This Row],[Rank Pedro]]="Low","Pink",IF(TableRelationships12[[#This Row],[Rank Pedro]]="Medium","Purple",IF(TableRelationships12[[#This Row],[Rank Pedro]]="High","Brown","")))</f>
        <v/>
      </c>
      <c r="V1118" s="4" t="e">
        <f>MAX(INDEX(Standards!$F$2:$F$296,MATCH(B1118,Standards!$B$2:$B$296,0)),INDEX(Standards!$F$2:$F$296,MATCH(C1118,Standards!$B$2:$B$296,0)))</f>
        <v>#N/A</v>
      </c>
      <c r="W1118" t="str">
        <f t="shared" si="53"/>
        <v>#2f89d1</v>
      </c>
    </row>
    <row r="1119" spans="1:23" x14ac:dyDescent="0.5">
      <c r="A1119" s="54">
        <v>1118</v>
      </c>
      <c r="B1119" s="90" t="s">
        <v>342</v>
      </c>
      <c r="C1119" t="s">
        <v>1196</v>
      </c>
      <c r="D1119" s="1"/>
      <c r="G1119" s="107"/>
      <c r="H1119">
        <f>INDEX('GIS-Standards'!$A$2:$A$305,MATCH(B1119,'GIS-Standards'!$B$2:$B$305,0))</f>
        <v>47</v>
      </c>
      <c r="I1119" t="e">
        <f>INDEX('GIS-Standards'!$A$2:$A$305,MATCH(C1119,'GIS-Standards'!$B$2:$B$305,0))</f>
        <v>#N/A</v>
      </c>
      <c r="J1119" t="str">
        <f>INDEX('GIS-Standards'!$O$2:$O$305,MATCH(B1119,'GIS-Standards'!$B$2:$B$305,0))</f>
        <v>ISO/TC 211</v>
      </c>
      <c r="K1119" t="e">
        <f>INDEX('GIS-Standards'!$O$2:$O$305,MATCH(C1119,'GIS-Standards'!$B$2:$B$305,0))</f>
        <v>#N/A</v>
      </c>
      <c r="M1119" t="s">
        <v>525</v>
      </c>
      <c r="N1119">
        <f>INDEX('GIS-Standards'!$I$2:$I$305,MATCH(B1119,'GIS-Standards'!$B$2:$B$305,0))</f>
        <v>0</v>
      </c>
      <c r="O1119" t="e">
        <f>INDEX('GIS-Standards'!$I$2:$I$305,MATCH(C1119,'GIS-Standards'!$B$2:$B$305,0))</f>
        <v>#N/A</v>
      </c>
      <c r="P1119" t="e">
        <f>AND(TableRelationships12[[#This Row],[Source Type]]="BIM",TableRelationships12[[#This Row],[Target Type]]="BIM")</f>
        <v>#N/A</v>
      </c>
      <c r="Q1119">
        <f t="shared" si="51"/>
        <v>1</v>
      </c>
      <c r="S1119">
        <f t="shared" si="52"/>
        <v>1</v>
      </c>
      <c r="T1119" s="102" t="str">
        <f>IF(TableRelationships12[[#This Row],[Rank Pedro]]="Low","linkCategory1",IF(TableRelationships12[[#This Row],[Rank Pedro]]="Medium","linkCategory2",IF(TableRelationships12[[#This Row],[Rank Pedro]]="High","linkCategory3","")))</f>
        <v/>
      </c>
      <c r="U1119" s="102" t="str">
        <f>IF(TableRelationships12[[#This Row],[Rank Pedro]]="Low","Pink",IF(TableRelationships12[[#This Row],[Rank Pedro]]="Medium","Purple",IF(TableRelationships12[[#This Row],[Rank Pedro]]="High","Brown","")))</f>
        <v/>
      </c>
      <c r="V1119" s="4" t="e">
        <f>MAX(INDEX(Standards!$F$2:$F$296,MATCH(B1119,Standards!$B$2:$B$296,0)),INDEX(Standards!$F$2:$F$296,MATCH(C1119,Standards!$B$2:$B$296,0)))</f>
        <v>#N/A</v>
      </c>
      <c r="W1119" t="str">
        <f t="shared" si="53"/>
        <v>#2f89d1</v>
      </c>
    </row>
    <row r="1120" spans="1:23" x14ac:dyDescent="0.5">
      <c r="A1120" s="54">
        <v>1119</v>
      </c>
      <c r="B1120" s="90" t="s">
        <v>1037</v>
      </c>
      <c r="C1120" t="s">
        <v>527</v>
      </c>
      <c r="D1120" s="1"/>
      <c r="E1120" s="112" t="s">
        <v>965</v>
      </c>
      <c r="F1120" s="112" t="s">
        <v>965</v>
      </c>
      <c r="G1120" s="121" t="s">
        <v>670</v>
      </c>
      <c r="H1120">
        <f>INDEX('GIS-Standards'!$A$2:$A$305,MATCH(B1120,'GIS-Standards'!$B$2:$B$305,0))</f>
        <v>48</v>
      </c>
      <c r="I1120" t="e">
        <f>INDEX('GIS-Standards'!$A$2:$A$305,MATCH(C1120,'GIS-Standards'!$B$2:$B$305,0))</f>
        <v>#N/A</v>
      </c>
      <c r="J1120" t="str">
        <f>INDEX('GIS-Standards'!$O$2:$O$305,MATCH(B1120,'GIS-Standards'!$B$2:$B$305,0))</f>
        <v>ISO/TC 211</v>
      </c>
      <c r="K1120" t="e">
        <f>INDEX('GIS-Standards'!$O$2:$O$305,MATCH(C1120,'GIS-Standards'!$B$2:$B$305,0))</f>
        <v>#N/A</v>
      </c>
      <c r="M1120" t="s">
        <v>237</v>
      </c>
      <c r="N1120" t="str">
        <f>INDEX('GIS-Standards'!$I$2:$I$305,MATCH(B1120,'GIS-Standards'!$B$2:$B$305,0))</f>
        <v>08.2012</v>
      </c>
      <c r="O1120" t="e">
        <f>INDEX('GIS-Standards'!$I$2:$I$305,MATCH(C1120,'GIS-Standards'!$B$2:$B$305,0))</f>
        <v>#N/A</v>
      </c>
      <c r="P1120" t="e">
        <f>AND(TableRelationships12[[#This Row],[Source Type]]="BIM",TableRelationships12[[#This Row],[Target Type]]="BIM")</f>
        <v>#N/A</v>
      </c>
      <c r="Q1120">
        <f t="shared" si="51"/>
        <v>2</v>
      </c>
      <c r="S1120">
        <f t="shared" si="52"/>
        <v>1</v>
      </c>
      <c r="T1120" s="102" t="str">
        <f>IF(TableRelationships12[[#This Row],[Rank Pedro]]="Low","linkCategory1",IF(TableRelationships12[[#This Row],[Rank Pedro]]="Medium","linkCategory2",IF(TableRelationships12[[#This Row],[Rank Pedro]]="High","linkCategory3","")))</f>
        <v/>
      </c>
      <c r="U1120" s="102" t="str">
        <f>IF(TableRelationships12[[#This Row],[Rank Pedro]]="Low","Pink",IF(TableRelationships12[[#This Row],[Rank Pedro]]="Medium","Purple",IF(TableRelationships12[[#This Row],[Rank Pedro]]="High","Brown","")))</f>
        <v/>
      </c>
      <c r="V1120" s="4" t="e">
        <f>MAX(INDEX(Standards!$F$2:$F$296,MATCH(B1120,Standards!$B$2:$B$296,0)),INDEX(Standards!$F$2:$F$296,MATCH(C1120,Standards!$B$2:$B$296,0)))</f>
        <v>#N/A</v>
      </c>
      <c r="W1120">
        <f t="shared" si="53"/>
        <v>1</v>
      </c>
    </row>
    <row r="1121" spans="1:23" x14ac:dyDescent="0.5">
      <c r="A1121" s="54">
        <v>1120</v>
      </c>
      <c r="B1121" s="90" t="s">
        <v>1037</v>
      </c>
      <c r="C1121" t="s">
        <v>296</v>
      </c>
      <c r="D1121" s="1"/>
      <c r="E1121" s="112">
        <v>2005.07</v>
      </c>
      <c r="F1121" s="112">
        <v>2024.09</v>
      </c>
      <c r="G1121" s="107" t="s">
        <v>670</v>
      </c>
      <c r="H1121">
        <f>INDEX('GIS-Standards'!$A$2:$A$305,MATCH(B1121,'GIS-Standards'!$B$2:$B$305,0))</f>
        <v>48</v>
      </c>
      <c r="I1121">
        <f>INDEX('GIS-Standards'!$A$2:$A$305,MATCH(C1121,'GIS-Standards'!$B$2:$B$305,0))</f>
        <v>12</v>
      </c>
      <c r="J1121" t="str">
        <f>INDEX('GIS-Standards'!$O$2:$O$305,MATCH(B1121,'GIS-Standards'!$B$2:$B$305,0))</f>
        <v>ISO/TC 211</v>
      </c>
      <c r="K1121" t="str">
        <f>INDEX('GIS-Standards'!$O$2:$O$305,MATCH(C1121,'GIS-Standards'!$B$2:$B$305,0))</f>
        <v>ISO/TC 211</v>
      </c>
      <c r="M1121" t="s">
        <v>524</v>
      </c>
      <c r="N1121" t="str">
        <f>INDEX('GIS-Standards'!$I$2:$I$305,MATCH(B1121,'GIS-Standards'!$B$2:$B$305,0))</f>
        <v>08.2012</v>
      </c>
      <c r="O1121">
        <f>INDEX('GIS-Standards'!$I$2:$I$305,MATCH(C1121,'GIS-Standards'!$B$2:$B$305,0))</f>
        <v>0</v>
      </c>
      <c r="P1121" t="b">
        <f>AND(TableRelationships12[[#This Row],[Source Type]]="BIM",TableRelationships12[[#This Row],[Target Type]]="BIM")</f>
        <v>0</v>
      </c>
      <c r="Q1121">
        <f t="shared" si="51"/>
        <v>6</v>
      </c>
      <c r="S1121">
        <f t="shared" si="52"/>
        <v>1</v>
      </c>
      <c r="T1121" s="102" t="str">
        <f>IF(TableRelationships12[[#This Row],[Rank Pedro]]="Low","linkCategory1",IF(TableRelationships12[[#This Row],[Rank Pedro]]="Medium","linkCategory2",IF(TableRelationships12[[#This Row],[Rank Pedro]]="High","linkCategory3","")))</f>
        <v/>
      </c>
      <c r="U1121" s="102" t="str">
        <f>IF(TableRelationships12[[#This Row],[Rank Pedro]]="Low","Pink",IF(TableRelationships12[[#This Row],[Rank Pedro]]="Medium","Purple",IF(TableRelationships12[[#This Row],[Rank Pedro]]="High","Brown","")))</f>
        <v/>
      </c>
      <c r="V1121" s="4" t="e">
        <f>MAX(INDEX(Standards!$F$2:$F$296,MATCH(B1121,Standards!$B$2:$B$296,0)),INDEX(Standards!$F$2:$F$296,MATCH(C1121,Standards!$B$2:$B$296,0)))</f>
        <v>#N/A</v>
      </c>
      <c r="W1121" t="str">
        <f t="shared" si="53"/>
        <v>#d6bf2a</v>
      </c>
    </row>
    <row r="1122" spans="1:23" x14ac:dyDescent="0.5">
      <c r="A1122" s="54">
        <v>1121</v>
      </c>
      <c r="B1122" s="90" t="s">
        <v>1037</v>
      </c>
      <c r="C1122" t="s">
        <v>308</v>
      </c>
      <c r="D1122" s="1"/>
      <c r="E1122" s="112">
        <v>2005.02</v>
      </c>
      <c r="F1122" s="112">
        <v>2016.12</v>
      </c>
      <c r="G1122" s="107" t="s">
        <v>670</v>
      </c>
      <c r="H1122">
        <f>INDEX('GIS-Standards'!$A$2:$A$305,MATCH(B1122,'GIS-Standards'!$B$2:$B$305,0))</f>
        <v>48</v>
      </c>
      <c r="I1122">
        <f>INDEX('GIS-Standards'!$A$2:$A$305,MATCH(C1122,'GIS-Standards'!$B$2:$B$305,0))</f>
        <v>19</v>
      </c>
      <c r="J1122" t="str">
        <f>INDEX('GIS-Standards'!$O$2:$O$305,MATCH(B1122,'GIS-Standards'!$B$2:$B$305,0))</f>
        <v>ISO/TC 211</v>
      </c>
      <c r="K1122" t="str">
        <f>INDEX('GIS-Standards'!$O$2:$O$305,MATCH(C1122,'GIS-Standards'!$B$2:$B$305,0))</f>
        <v>ISO/TC 211</v>
      </c>
      <c r="M1122" t="s">
        <v>524</v>
      </c>
      <c r="N1122" t="str">
        <f>INDEX('GIS-Standards'!$I$2:$I$305,MATCH(B1122,'GIS-Standards'!$B$2:$B$305,0))</f>
        <v>08.2012</v>
      </c>
      <c r="O1122">
        <f>INDEX('GIS-Standards'!$I$2:$I$305,MATCH(C1122,'GIS-Standards'!$B$2:$B$305,0))</f>
        <v>0</v>
      </c>
      <c r="P1122" t="b">
        <f>AND(TableRelationships12[[#This Row],[Source Type]]="BIM",TableRelationships12[[#This Row],[Target Type]]="BIM")</f>
        <v>0</v>
      </c>
      <c r="Q1122">
        <f t="shared" si="51"/>
        <v>6</v>
      </c>
      <c r="S1122">
        <f t="shared" si="52"/>
        <v>1</v>
      </c>
      <c r="T1122" s="102" t="str">
        <f>IF(TableRelationships12[[#This Row],[Rank Pedro]]="Low","linkCategory1",IF(TableRelationships12[[#This Row],[Rank Pedro]]="Medium","linkCategory2",IF(TableRelationships12[[#This Row],[Rank Pedro]]="High","linkCategory3","")))</f>
        <v/>
      </c>
      <c r="U1122" s="102" t="str">
        <f>IF(TableRelationships12[[#This Row],[Rank Pedro]]="Low","Pink",IF(TableRelationships12[[#This Row],[Rank Pedro]]="Medium","Purple",IF(TableRelationships12[[#This Row],[Rank Pedro]]="High","Brown","")))</f>
        <v/>
      </c>
      <c r="V1122" s="4" t="e">
        <f>MAX(INDEX(Standards!$F$2:$F$296,MATCH(B1122,Standards!$B$2:$B$296,0)),INDEX(Standards!$F$2:$F$296,MATCH(C1122,Standards!$B$2:$B$296,0)))</f>
        <v>#N/A</v>
      </c>
      <c r="W1122" t="str">
        <f t="shared" si="53"/>
        <v>#d6bf2a</v>
      </c>
    </row>
    <row r="1123" spans="1:23" x14ac:dyDescent="0.5">
      <c r="A1123" s="54">
        <v>1122</v>
      </c>
      <c r="B1123" s="90" t="s">
        <v>1037</v>
      </c>
      <c r="C1123" t="s">
        <v>314</v>
      </c>
      <c r="D1123" s="1" t="s">
        <v>1099</v>
      </c>
      <c r="E1123" s="112">
        <v>2003.05</v>
      </c>
      <c r="F1123" s="112">
        <v>2020.11</v>
      </c>
      <c r="G1123" s="107" t="s">
        <v>670</v>
      </c>
      <c r="H1123">
        <f>INDEX('GIS-Standards'!$A$2:$A$305,MATCH(B1123,'GIS-Standards'!$B$2:$B$305,0))</f>
        <v>48</v>
      </c>
      <c r="I1123">
        <f>INDEX('GIS-Standards'!$A$2:$A$305,MATCH(C1123,'GIS-Standards'!$B$2:$B$305,0))</f>
        <v>22</v>
      </c>
      <c r="J1123" t="str">
        <f>INDEX('GIS-Standards'!$O$2:$O$305,MATCH(B1123,'GIS-Standards'!$B$2:$B$305,0))</f>
        <v>ISO/TC 211</v>
      </c>
      <c r="K1123" t="str">
        <f>INDEX('GIS-Standards'!$O$2:$O$305,MATCH(C1123,'GIS-Standards'!$B$2:$B$305,0))</f>
        <v>ISO/TC 211</v>
      </c>
      <c r="M1123" t="s">
        <v>524</v>
      </c>
      <c r="N1123" t="str">
        <f>INDEX('GIS-Standards'!$I$2:$I$305,MATCH(B1123,'GIS-Standards'!$B$2:$B$305,0))</f>
        <v>08.2012</v>
      </c>
      <c r="O1123" t="str">
        <f>INDEX('GIS-Standards'!$I$2:$I$305,MATCH(C1123,'GIS-Standards'!$B$2:$B$305,0))</f>
        <v>12.2020</v>
      </c>
      <c r="P1123" t="b">
        <f>AND(TableRelationships12[[#This Row],[Source Type]]="BIM",TableRelationships12[[#This Row],[Target Type]]="BIM")</f>
        <v>0</v>
      </c>
      <c r="Q1123">
        <f t="shared" si="51"/>
        <v>6</v>
      </c>
      <c r="S1123">
        <f t="shared" si="52"/>
        <v>1</v>
      </c>
      <c r="T1123" s="102" t="str">
        <f>IF(TableRelationships12[[#This Row],[Rank Pedro]]="Low","linkCategory1",IF(TableRelationships12[[#This Row],[Rank Pedro]]="Medium","linkCategory2",IF(TableRelationships12[[#This Row],[Rank Pedro]]="High","linkCategory3","")))</f>
        <v/>
      </c>
      <c r="U1123" s="102" t="str">
        <f>IF(TableRelationships12[[#This Row],[Rank Pedro]]="Low","Pink",IF(TableRelationships12[[#This Row],[Rank Pedro]]="Medium","Purple",IF(TableRelationships12[[#This Row],[Rank Pedro]]="High","Brown","")))</f>
        <v/>
      </c>
      <c r="V1123" s="4" t="e">
        <f>MAX(INDEX(Standards!$F$2:$F$296,MATCH(B1123,Standards!$B$2:$B$296,0)),INDEX(Standards!$F$2:$F$296,MATCH(C1123,Standards!$B$2:$B$296,0)))</f>
        <v>#N/A</v>
      </c>
      <c r="W1123" t="str">
        <f t="shared" si="53"/>
        <v>#d6bf2a</v>
      </c>
    </row>
    <row r="1124" spans="1:23" x14ac:dyDescent="0.5">
      <c r="A1124" s="54">
        <v>1123</v>
      </c>
      <c r="B1124" s="90" t="s">
        <v>1037</v>
      </c>
      <c r="C1124" t="s">
        <v>320</v>
      </c>
      <c r="D1124" s="1" t="s">
        <v>1100</v>
      </c>
      <c r="E1124" s="112">
        <v>2005.08</v>
      </c>
      <c r="F1124" s="112">
        <v>2023.06</v>
      </c>
      <c r="G1124" s="107" t="s">
        <v>670</v>
      </c>
      <c r="H1124">
        <f>INDEX('GIS-Standards'!$A$2:$A$305,MATCH(B1124,'GIS-Standards'!$B$2:$B$305,0))</f>
        <v>48</v>
      </c>
      <c r="I1124">
        <f>INDEX('GIS-Standards'!$A$2:$A$305,MATCH(C1124,'GIS-Standards'!$B$2:$B$305,0))</f>
        <v>29</v>
      </c>
      <c r="J1124" t="str">
        <f>INDEX('GIS-Standards'!$O$2:$O$305,MATCH(B1124,'GIS-Standards'!$B$2:$B$305,0))</f>
        <v>ISO/TC 211</v>
      </c>
      <c r="K1124" t="str">
        <f>INDEX('GIS-Standards'!$O$2:$O$305,MATCH(C1124,'GIS-Standards'!$B$2:$B$305,0))</f>
        <v>ISO/TC 211</v>
      </c>
      <c r="M1124" t="s">
        <v>524</v>
      </c>
      <c r="N1124" t="str">
        <f>INDEX('GIS-Standards'!$I$2:$I$305,MATCH(B1124,'GIS-Standards'!$B$2:$B$305,0))</f>
        <v>08.2012</v>
      </c>
      <c r="O1124">
        <f>INDEX('GIS-Standards'!$I$2:$I$305,MATCH(C1124,'GIS-Standards'!$B$2:$B$305,0))</f>
        <v>0</v>
      </c>
      <c r="P1124" t="b">
        <f>AND(TableRelationships12[[#This Row],[Source Type]]="BIM",TableRelationships12[[#This Row],[Target Type]]="BIM")</f>
        <v>0</v>
      </c>
      <c r="Q1124">
        <f t="shared" si="51"/>
        <v>6</v>
      </c>
      <c r="S1124">
        <f t="shared" si="52"/>
        <v>1</v>
      </c>
      <c r="T1124" s="102" t="str">
        <f>IF(TableRelationships12[[#This Row],[Rank Pedro]]="Low","linkCategory1",IF(TableRelationships12[[#This Row],[Rank Pedro]]="Medium","linkCategory2",IF(TableRelationships12[[#This Row],[Rank Pedro]]="High","linkCategory3","")))</f>
        <v/>
      </c>
      <c r="U1124" s="102" t="str">
        <f>IF(TableRelationships12[[#This Row],[Rank Pedro]]="Low","Pink",IF(TableRelationships12[[#This Row],[Rank Pedro]]="Medium","Purple",IF(TableRelationships12[[#This Row],[Rank Pedro]]="High","Brown","")))</f>
        <v/>
      </c>
      <c r="V1124" s="4" t="e">
        <f>MAX(INDEX(Standards!$F$2:$F$296,MATCH(B1124,Standards!$B$2:$B$296,0)),INDEX(Standards!$F$2:$F$296,MATCH(C1124,Standards!$B$2:$B$296,0)))</f>
        <v>#N/A</v>
      </c>
      <c r="W1124" t="str">
        <f t="shared" si="53"/>
        <v>#d6bf2a</v>
      </c>
    </row>
    <row r="1125" spans="1:23" x14ac:dyDescent="0.5">
      <c r="A1125" s="54">
        <v>1124</v>
      </c>
      <c r="B1125" s="90" t="s">
        <v>1037</v>
      </c>
      <c r="C1125" t="s">
        <v>1048</v>
      </c>
      <c r="D1125" s="1" t="s">
        <v>1152</v>
      </c>
      <c r="E1125" s="112">
        <v>2005.1</v>
      </c>
      <c r="F1125" s="112">
        <v>2021.02</v>
      </c>
      <c r="G1125" s="107" t="s">
        <v>670</v>
      </c>
      <c r="H1125">
        <f>INDEX('GIS-Standards'!$A$2:$A$305,MATCH(B1125,'GIS-Standards'!$B$2:$B$305,0))</f>
        <v>48</v>
      </c>
      <c r="I1125">
        <f>INDEX('GIS-Standards'!$A$2:$A$305,MATCH(C1125,'GIS-Standards'!$B$2:$B$305,0))</f>
        <v>41</v>
      </c>
      <c r="J1125" t="str">
        <f>INDEX('GIS-Standards'!$O$2:$O$305,MATCH(B1125,'GIS-Standards'!$B$2:$B$305,0))</f>
        <v>ISO/TC 211</v>
      </c>
      <c r="K1125" t="str">
        <f>INDEX('GIS-Standards'!$O$2:$O$305,MATCH(C1125,'GIS-Standards'!$B$2:$B$305,0))</f>
        <v>ISO/TC 211</v>
      </c>
      <c r="M1125" t="s">
        <v>524</v>
      </c>
      <c r="N1125" t="str">
        <f>INDEX('GIS-Standards'!$I$2:$I$305,MATCH(B1125,'GIS-Standards'!$B$2:$B$305,0))</f>
        <v>08.2012</v>
      </c>
      <c r="O1125" t="str">
        <f>INDEX('GIS-Standards'!$I$2:$I$305,MATCH(C1125,'GIS-Standards'!$B$2:$B$305,0))</f>
        <v>03.2021</v>
      </c>
      <c r="P1125" t="b">
        <f>AND(TableRelationships12[[#This Row],[Source Type]]="BIM",TableRelationships12[[#This Row],[Target Type]]="BIM")</f>
        <v>0</v>
      </c>
      <c r="Q1125">
        <f t="shared" si="51"/>
        <v>6</v>
      </c>
      <c r="S1125">
        <f t="shared" si="52"/>
        <v>1</v>
      </c>
      <c r="T1125" s="102" t="str">
        <f>IF(TableRelationships12[[#This Row],[Rank Pedro]]="Low","linkCategory1",IF(TableRelationships12[[#This Row],[Rank Pedro]]="Medium","linkCategory2",IF(TableRelationships12[[#This Row],[Rank Pedro]]="High","linkCategory3","")))</f>
        <v/>
      </c>
      <c r="U1125" s="102" t="str">
        <f>IF(TableRelationships12[[#This Row],[Rank Pedro]]="Low","Pink",IF(TableRelationships12[[#This Row],[Rank Pedro]]="Medium","Purple",IF(TableRelationships12[[#This Row],[Rank Pedro]]="High","Brown","")))</f>
        <v/>
      </c>
      <c r="V1125" s="4" t="e">
        <f>MAX(INDEX(Standards!$F$2:$F$296,MATCH(B1125,Standards!$B$2:$B$296,0)),INDEX(Standards!$F$2:$F$296,MATCH(C1125,Standards!$B$2:$B$296,0)))</f>
        <v>#N/A</v>
      </c>
      <c r="W1125" t="str">
        <f t="shared" si="53"/>
        <v>#d6bf2a</v>
      </c>
    </row>
    <row r="1126" spans="1:23" x14ac:dyDescent="0.5">
      <c r="A1126" s="54">
        <v>1125</v>
      </c>
      <c r="B1126" s="90" t="s">
        <v>1037</v>
      </c>
      <c r="C1126" t="s">
        <v>1197</v>
      </c>
      <c r="D1126" s="1"/>
      <c r="E1126" s="112">
        <v>1995.06</v>
      </c>
      <c r="F1126" s="112">
        <v>2017.07</v>
      </c>
      <c r="G1126" s="107" t="s">
        <v>1504</v>
      </c>
      <c r="H1126">
        <f>INDEX('GIS-Standards'!$A$2:$A$305,MATCH(B1126,'GIS-Standards'!$B$2:$B$305,0))</f>
        <v>48</v>
      </c>
      <c r="I1126" t="e">
        <f>INDEX('GIS-Standards'!$A$2:$A$305,MATCH(C1126,'GIS-Standards'!$B$2:$B$305,0))</f>
        <v>#N/A</v>
      </c>
      <c r="J1126" t="str">
        <f>INDEX('GIS-Standards'!$O$2:$O$305,MATCH(B1126,'GIS-Standards'!$B$2:$B$305,0))</f>
        <v>ISO/TC 211</v>
      </c>
      <c r="K1126" t="e">
        <f>INDEX('GIS-Standards'!$O$2:$O$305,MATCH(C1126,'GIS-Standards'!$B$2:$B$305,0))</f>
        <v>#N/A</v>
      </c>
      <c r="M1126" t="s">
        <v>525</v>
      </c>
      <c r="N1126" t="str">
        <f>INDEX('GIS-Standards'!$I$2:$I$305,MATCH(B1126,'GIS-Standards'!$B$2:$B$305,0))</f>
        <v>08.2012</v>
      </c>
      <c r="O1126" t="e">
        <f>INDEX('GIS-Standards'!$I$2:$I$305,MATCH(C1126,'GIS-Standards'!$B$2:$B$305,0))</f>
        <v>#N/A</v>
      </c>
      <c r="P1126" t="e">
        <f>AND(TableRelationships12[[#This Row],[Source Type]]="BIM",TableRelationships12[[#This Row],[Target Type]]="BIM")</f>
        <v>#N/A</v>
      </c>
      <c r="Q1126">
        <f t="shared" si="51"/>
        <v>1</v>
      </c>
      <c r="S1126">
        <f t="shared" si="52"/>
        <v>1</v>
      </c>
      <c r="T1126" s="102" t="str">
        <f>IF(TableRelationships12[[#This Row],[Rank Pedro]]="Low","linkCategory1",IF(TableRelationships12[[#This Row],[Rank Pedro]]="Medium","linkCategory2",IF(TableRelationships12[[#This Row],[Rank Pedro]]="High","linkCategory3","")))</f>
        <v/>
      </c>
      <c r="U1126" s="102" t="str">
        <f>IF(TableRelationships12[[#This Row],[Rank Pedro]]="Low","Pink",IF(TableRelationships12[[#This Row],[Rank Pedro]]="Medium","Purple",IF(TableRelationships12[[#This Row],[Rank Pedro]]="High","Brown","")))</f>
        <v/>
      </c>
      <c r="V1126" s="4" t="e">
        <f>MAX(INDEX(Standards!$F$2:$F$296,MATCH(B1126,Standards!$B$2:$B$296,0)),INDEX(Standards!$F$2:$F$296,MATCH(C1126,Standards!$B$2:$B$296,0)))</f>
        <v>#N/A</v>
      </c>
      <c r="W1126" t="str">
        <f t="shared" si="53"/>
        <v>#2f89d1</v>
      </c>
    </row>
    <row r="1127" spans="1:23" x14ac:dyDescent="0.5">
      <c r="A1127" s="54">
        <v>1126</v>
      </c>
      <c r="B1127" s="90" t="s">
        <v>1037</v>
      </c>
      <c r="C1127" t="s">
        <v>293</v>
      </c>
      <c r="D1127" s="1" t="s">
        <v>1127</v>
      </c>
      <c r="E1127" s="112">
        <v>2002.07</v>
      </c>
      <c r="F1127" s="112">
        <v>2014.11</v>
      </c>
      <c r="G1127" s="107" t="s">
        <v>670</v>
      </c>
      <c r="H1127">
        <f>INDEX('GIS-Standards'!$A$2:$A$305,MATCH(B1127,'GIS-Standards'!$B$2:$B$305,0))</f>
        <v>48</v>
      </c>
      <c r="I1127">
        <f>INDEX('GIS-Standards'!$A$2:$A$305,MATCH(C1127,'GIS-Standards'!$B$2:$B$305,0))</f>
        <v>10</v>
      </c>
      <c r="J1127" t="str">
        <f>INDEX('GIS-Standards'!$O$2:$O$305,MATCH(B1127,'GIS-Standards'!$B$2:$B$305,0))</f>
        <v>ISO/TC 211</v>
      </c>
      <c r="K1127" t="str">
        <f>INDEX('GIS-Standards'!$O$2:$O$305,MATCH(C1127,'GIS-Standards'!$B$2:$B$305,0))</f>
        <v>ISO/TC 211</v>
      </c>
      <c r="M1127" t="s">
        <v>525</v>
      </c>
      <c r="N1127" t="str">
        <f>INDEX('GIS-Standards'!$I$2:$I$305,MATCH(B1127,'GIS-Standards'!$B$2:$B$305,0))</f>
        <v>08.2012</v>
      </c>
      <c r="O1127">
        <f>INDEX('GIS-Standards'!$I$2:$I$305,MATCH(C1127,'GIS-Standards'!$B$2:$B$305,0))</f>
        <v>0</v>
      </c>
      <c r="P1127" t="b">
        <f>AND(TableRelationships12[[#This Row],[Source Type]]="BIM",TableRelationships12[[#This Row],[Target Type]]="BIM")</f>
        <v>0</v>
      </c>
      <c r="Q1127">
        <f t="shared" si="51"/>
        <v>1</v>
      </c>
      <c r="S1127">
        <f t="shared" si="52"/>
        <v>1</v>
      </c>
      <c r="T1127" s="102" t="str">
        <f>IF(TableRelationships12[[#This Row],[Rank Pedro]]="Low","linkCategory1",IF(TableRelationships12[[#This Row],[Rank Pedro]]="Medium","linkCategory2",IF(TableRelationships12[[#This Row],[Rank Pedro]]="High","linkCategory3","")))</f>
        <v/>
      </c>
      <c r="U1127" s="102" t="str">
        <f>IF(TableRelationships12[[#This Row],[Rank Pedro]]="Low","Pink",IF(TableRelationships12[[#This Row],[Rank Pedro]]="Medium","Purple",IF(TableRelationships12[[#This Row],[Rank Pedro]]="High","Brown","")))</f>
        <v/>
      </c>
      <c r="V1127" s="4" t="e">
        <f>MAX(INDEX(Standards!$F$2:$F$296,MATCH(B1127,Standards!$B$2:$B$296,0)),INDEX(Standards!$F$2:$F$296,MATCH(C1127,Standards!$B$2:$B$296,0)))</f>
        <v>#N/A</v>
      </c>
      <c r="W1127" t="str">
        <f t="shared" si="53"/>
        <v>#2f89d1</v>
      </c>
    </row>
    <row r="1128" spans="1:23" x14ac:dyDescent="0.5">
      <c r="A1128" s="54">
        <v>1127</v>
      </c>
      <c r="B1128" s="90" t="s">
        <v>1037</v>
      </c>
      <c r="C1128" t="s">
        <v>302</v>
      </c>
      <c r="D1128" s="1"/>
      <c r="E1128" s="112">
        <v>2003.05</v>
      </c>
      <c r="F1128" s="112">
        <v>2019.12</v>
      </c>
      <c r="G1128" s="107" t="s">
        <v>670</v>
      </c>
      <c r="H1128">
        <f>INDEX('GIS-Standards'!$A$2:$A$305,MATCH(B1128,'GIS-Standards'!$B$2:$B$305,0))</f>
        <v>48</v>
      </c>
      <c r="I1128">
        <f>INDEX('GIS-Standards'!$A$2:$A$305,MATCH(C1128,'GIS-Standards'!$B$2:$B$305,0))</f>
        <v>16</v>
      </c>
      <c r="J1128" t="str">
        <f>INDEX('GIS-Standards'!$O$2:$O$305,MATCH(B1128,'GIS-Standards'!$B$2:$B$305,0))</f>
        <v>ISO/TC 211</v>
      </c>
      <c r="K1128" t="str">
        <f>INDEX('GIS-Standards'!$O$2:$O$305,MATCH(C1128,'GIS-Standards'!$B$2:$B$305,0))</f>
        <v>ISO/TC 211</v>
      </c>
      <c r="M1128" t="s">
        <v>525</v>
      </c>
      <c r="N1128" t="str">
        <f>INDEX('GIS-Standards'!$I$2:$I$305,MATCH(B1128,'GIS-Standards'!$B$2:$B$305,0))</f>
        <v>08.2012</v>
      </c>
      <c r="O1128">
        <f>INDEX('GIS-Standards'!$I$2:$I$305,MATCH(C1128,'GIS-Standards'!$B$2:$B$305,0))</f>
        <v>0</v>
      </c>
      <c r="P1128" t="b">
        <f>AND(TableRelationships12[[#This Row],[Source Type]]="BIM",TableRelationships12[[#This Row],[Target Type]]="BIM")</f>
        <v>0</v>
      </c>
      <c r="Q1128">
        <f t="shared" si="51"/>
        <v>1</v>
      </c>
      <c r="S1128">
        <f t="shared" si="52"/>
        <v>1</v>
      </c>
      <c r="T1128" s="102" t="str">
        <f>IF(TableRelationships12[[#This Row],[Rank Pedro]]="Low","linkCategory1",IF(TableRelationships12[[#This Row],[Rank Pedro]]="Medium","linkCategory2",IF(TableRelationships12[[#This Row],[Rank Pedro]]="High","linkCategory3","")))</f>
        <v/>
      </c>
      <c r="U1128" s="102" t="str">
        <f>IF(TableRelationships12[[#This Row],[Rank Pedro]]="Low","Pink",IF(TableRelationships12[[#This Row],[Rank Pedro]]="Medium","Purple",IF(TableRelationships12[[#This Row],[Rank Pedro]]="High","Brown","")))</f>
        <v/>
      </c>
      <c r="V1128" s="4" t="e">
        <f>MAX(INDEX(Standards!$F$2:$F$296,MATCH(B1128,Standards!$B$2:$B$296,0)),INDEX(Standards!$F$2:$F$296,MATCH(C1128,Standards!$B$2:$B$296,0)))</f>
        <v>#N/A</v>
      </c>
      <c r="W1128" t="str">
        <f t="shared" si="53"/>
        <v>#2f89d1</v>
      </c>
    </row>
    <row r="1129" spans="1:23" x14ac:dyDescent="0.5">
      <c r="A1129" s="54">
        <v>1128</v>
      </c>
      <c r="B1129" s="90" t="s">
        <v>1037</v>
      </c>
      <c r="C1129" t="s">
        <v>304</v>
      </c>
      <c r="D1129" s="1"/>
      <c r="E1129" s="112">
        <v>2002.09</v>
      </c>
      <c r="F1129" s="112">
        <v>2006.1</v>
      </c>
      <c r="G1129" s="107" t="s">
        <v>670</v>
      </c>
      <c r="H1129">
        <f>INDEX('GIS-Standards'!$A$2:$A$305,MATCH(B1129,'GIS-Standards'!$B$2:$B$305,0))</f>
        <v>48</v>
      </c>
      <c r="I1129">
        <f>INDEX('GIS-Standards'!$A$2:$A$305,MATCH(C1129,'GIS-Standards'!$B$2:$B$305,0))</f>
        <v>17</v>
      </c>
      <c r="J1129" t="str">
        <f>INDEX('GIS-Standards'!$O$2:$O$305,MATCH(B1129,'GIS-Standards'!$B$2:$B$305,0))</f>
        <v>ISO/TC 211</v>
      </c>
      <c r="K1129" t="str">
        <f>INDEX('GIS-Standards'!$O$2:$O$305,MATCH(C1129,'GIS-Standards'!$B$2:$B$305,0))</f>
        <v>ISO/TC 211</v>
      </c>
      <c r="M1129" t="s">
        <v>525</v>
      </c>
      <c r="N1129" t="str">
        <f>INDEX('GIS-Standards'!$I$2:$I$305,MATCH(B1129,'GIS-Standards'!$B$2:$B$305,0))</f>
        <v>08.2012</v>
      </c>
      <c r="O1129" t="str">
        <f>INDEX('GIS-Standards'!$I$2:$I$305,MATCH(C1129,'GIS-Standards'!$B$2:$B$305,0))</f>
        <v>06.2008</v>
      </c>
      <c r="P1129" t="b">
        <f>AND(TableRelationships12[[#This Row],[Source Type]]="BIM",TableRelationships12[[#This Row],[Target Type]]="BIM")</f>
        <v>0</v>
      </c>
      <c r="Q1129">
        <f t="shared" si="51"/>
        <v>1</v>
      </c>
      <c r="S1129">
        <f t="shared" si="52"/>
        <v>1</v>
      </c>
      <c r="T1129" s="102" t="str">
        <f>IF(TableRelationships12[[#This Row],[Rank Pedro]]="Low","linkCategory1",IF(TableRelationships12[[#This Row],[Rank Pedro]]="Medium","linkCategory2",IF(TableRelationships12[[#This Row],[Rank Pedro]]="High","linkCategory3","")))</f>
        <v/>
      </c>
      <c r="U1129" s="102" t="str">
        <f>IF(TableRelationships12[[#This Row],[Rank Pedro]]="Low","Pink",IF(TableRelationships12[[#This Row],[Rank Pedro]]="Medium","Purple",IF(TableRelationships12[[#This Row],[Rank Pedro]]="High","Brown","")))</f>
        <v/>
      </c>
      <c r="V1129" s="4" t="e">
        <f>MAX(INDEX(Standards!$F$2:$F$296,MATCH(B1129,Standards!$B$2:$B$296,0)),INDEX(Standards!$F$2:$F$296,MATCH(C1129,Standards!$B$2:$B$296,0)))</f>
        <v>#N/A</v>
      </c>
      <c r="W1129" t="str">
        <f t="shared" si="53"/>
        <v>#2f89d1</v>
      </c>
    </row>
    <row r="1130" spans="1:23" x14ac:dyDescent="0.5">
      <c r="A1130" s="54">
        <v>1129</v>
      </c>
      <c r="B1130" s="90" t="s">
        <v>1037</v>
      </c>
      <c r="C1130" t="s">
        <v>306</v>
      </c>
      <c r="D1130" s="1"/>
      <c r="E1130" s="112">
        <v>2005.06</v>
      </c>
      <c r="F1130" s="112">
        <v>2025.07</v>
      </c>
      <c r="G1130" s="107" t="s">
        <v>670</v>
      </c>
      <c r="H1130">
        <f>INDEX('GIS-Standards'!$A$2:$A$305,MATCH(B1130,'GIS-Standards'!$B$2:$B$305,0))</f>
        <v>48</v>
      </c>
      <c r="I1130">
        <f>INDEX('GIS-Standards'!$A$2:$A$305,MATCH(C1130,'GIS-Standards'!$B$2:$B$305,0))</f>
        <v>18</v>
      </c>
      <c r="J1130" t="str">
        <f>INDEX('GIS-Standards'!$O$2:$O$305,MATCH(B1130,'GIS-Standards'!$B$2:$B$305,0))</f>
        <v>ISO/TC 211</v>
      </c>
      <c r="K1130" t="str">
        <f>INDEX('GIS-Standards'!$O$2:$O$305,MATCH(C1130,'GIS-Standards'!$B$2:$B$305,0))</f>
        <v>ISO/TC 211</v>
      </c>
      <c r="M1130" t="s">
        <v>525</v>
      </c>
      <c r="N1130" t="str">
        <f>INDEX('GIS-Standards'!$I$2:$I$305,MATCH(B1130,'GIS-Standards'!$B$2:$B$305,0))</f>
        <v>08.2012</v>
      </c>
      <c r="O1130">
        <f>INDEX('GIS-Standards'!$I$2:$I$305,MATCH(C1130,'GIS-Standards'!$B$2:$B$305,0))</f>
        <v>0</v>
      </c>
      <c r="P1130" t="b">
        <f>AND(TableRelationships12[[#This Row],[Source Type]]="BIM",TableRelationships12[[#This Row],[Target Type]]="BIM")</f>
        <v>0</v>
      </c>
      <c r="Q1130">
        <f t="shared" si="51"/>
        <v>1</v>
      </c>
      <c r="S1130">
        <f t="shared" si="52"/>
        <v>1</v>
      </c>
      <c r="T1130" s="102" t="str">
        <f>IF(TableRelationships12[[#This Row],[Rank Pedro]]="Low","linkCategory1",IF(TableRelationships12[[#This Row],[Rank Pedro]]="Medium","linkCategory2",IF(TableRelationships12[[#This Row],[Rank Pedro]]="High","linkCategory3","")))</f>
        <v/>
      </c>
      <c r="U1130" s="102" t="str">
        <f>IF(TableRelationships12[[#This Row],[Rank Pedro]]="Low","Pink",IF(TableRelationships12[[#This Row],[Rank Pedro]]="Medium","Purple",IF(TableRelationships12[[#This Row],[Rank Pedro]]="High","Brown","")))</f>
        <v/>
      </c>
      <c r="V1130" s="4" t="e">
        <f>MAX(INDEX(Standards!$F$2:$F$296,MATCH(B1130,Standards!$B$2:$B$296,0)),INDEX(Standards!$F$2:$F$296,MATCH(C1130,Standards!$B$2:$B$296,0)))</f>
        <v>#N/A</v>
      </c>
      <c r="W1130" t="str">
        <f t="shared" si="53"/>
        <v>#2f89d1</v>
      </c>
    </row>
    <row r="1131" spans="1:23" x14ac:dyDescent="0.5">
      <c r="A1131" s="54">
        <v>1130</v>
      </c>
      <c r="B1131" s="90" t="s">
        <v>1037</v>
      </c>
      <c r="C1131" t="s">
        <v>310</v>
      </c>
      <c r="D1131" s="1"/>
      <c r="E1131" s="112">
        <v>2003.02</v>
      </c>
      <c r="F1131" s="112">
        <v>2023.08</v>
      </c>
      <c r="G1131" s="107" t="s">
        <v>670</v>
      </c>
      <c r="H1131">
        <f>INDEX('GIS-Standards'!$A$2:$A$305,MATCH(B1131,'GIS-Standards'!$B$2:$B$305,0))</f>
        <v>48</v>
      </c>
      <c r="I1131">
        <f>INDEX('GIS-Standards'!$A$2:$A$305,MATCH(C1131,'GIS-Standards'!$B$2:$B$305,0))</f>
        <v>20</v>
      </c>
      <c r="J1131" t="str">
        <f>INDEX('GIS-Standards'!$O$2:$O$305,MATCH(B1131,'GIS-Standards'!$B$2:$B$305,0))</f>
        <v>ISO/TC 211</v>
      </c>
      <c r="K1131" t="str">
        <f>INDEX('GIS-Standards'!$O$2:$O$305,MATCH(C1131,'GIS-Standards'!$B$2:$B$305,0))</f>
        <v>ISO/TC 211</v>
      </c>
      <c r="M1131" t="s">
        <v>525</v>
      </c>
      <c r="N1131" t="str">
        <f>INDEX('GIS-Standards'!$I$2:$I$305,MATCH(B1131,'GIS-Standards'!$B$2:$B$305,0))</f>
        <v>08.2012</v>
      </c>
      <c r="O1131" t="str">
        <f>INDEX('GIS-Standards'!$I$2:$I$305,MATCH(C1131,'GIS-Standards'!$B$2:$B$305,0))</f>
        <v>08.2023</v>
      </c>
      <c r="P1131" t="b">
        <f>AND(TableRelationships12[[#This Row],[Source Type]]="BIM",TableRelationships12[[#This Row],[Target Type]]="BIM")</f>
        <v>0</v>
      </c>
      <c r="Q1131">
        <f t="shared" si="51"/>
        <v>1</v>
      </c>
      <c r="S1131">
        <f t="shared" si="52"/>
        <v>1</v>
      </c>
      <c r="T1131" s="102" t="str">
        <f>IF(TableRelationships12[[#This Row],[Rank Pedro]]="Low","linkCategory1",IF(TableRelationships12[[#This Row],[Rank Pedro]]="Medium","linkCategory2",IF(TableRelationships12[[#This Row],[Rank Pedro]]="High","linkCategory3","")))</f>
        <v/>
      </c>
      <c r="U1131" s="102" t="str">
        <f>IF(TableRelationships12[[#This Row],[Rank Pedro]]="Low","Pink",IF(TableRelationships12[[#This Row],[Rank Pedro]]="Medium","Purple",IF(TableRelationships12[[#This Row],[Rank Pedro]]="High","Brown","")))</f>
        <v/>
      </c>
      <c r="V1131" s="4" t="e">
        <f>MAX(INDEX(Standards!$F$2:$F$296,MATCH(B1131,Standards!$B$2:$B$296,0)),INDEX(Standards!$F$2:$F$296,MATCH(C1131,Standards!$B$2:$B$296,0)))</f>
        <v>#N/A</v>
      </c>
      <c r="W1131" t="str">
        <f t="shared" si="53"/>
        <v>#2f89d1</v>
      </c>
    </row>
    <row r="1132" spans="1:23" x14ac:dyDescent="0.5">
      <c r="A1132" s="54">
        <v>1131</v>
      </c>
      <c r="B1132" s="90" t="s">
        <v>1037</v>
      </c>
      <c r="C1132" t="s">
        <v>1041</v>
      </c>
      <c r="D1132" s="1"/>
      <c r="E1132" s="112">
        <v>2009.02</v>
      </c>
      <c r="F1132" s="112">
        <v>2022.03</v>
      </c>
      <c r="G1132" s="107" t="s">
        <v>670</v>
      </c>
      <c r="H1132">
        <f>INDEX('GIS-Standards'!$A$2:$A$305,MATCH(B1132,'GIS-Standards'!$B$2:$B$305,0))</f>
        <v>48</v>
      </c>
      <c r="I1132">
        <f>INDEX('GIS-Standards'!$A$2:$A$305,MATCH(C1132,'GIS-Standards'!$B$2:$B$305,0))</f>
        <v>23</v>
      </c>
      <c r="J1132" t="str">
        <f>INDEX('GIS-Standards'!$O$2:$O$305,MATCH(B1132,'GIS-Standards'!$B$2:$B$305,0))</f>
        <v>ISO/TC 211</v>
      </c>
      <c r="K1132" t="str">
        <f>INDEX('GIS-Standards'!$O$2:$O$305,MATCH(C1132,'GIS-Standards'!$B$2:$B$305,0))</f>
        <v>ISO/TC 211</v>
      </c>
      <c r="M1132" t="s">
        <v>525</v>
      </c>
      <c r="N1132" t="str">
        <f>INDEX('GIS-Standards'!$I$2:$I$305,MATCH(B1132,'GIS-Standards'!$B$2:$B$305,0))</f>
        <v>08.2012</v>
      </c>
      <c r="O1132" t="str">
        <f>INDEX('GIS-Standards'!$I$2:$I$305,MATCH(C1132,'GIS-Standards'!$B$2:$B$305,0))</f>
        <v>03.2022</v>
      </c>
      <c r="P1132" t="b">
        <f>AND(TableRelationships12[[#This Row],[Source Type]]="BIM",TableRelationships12[[#This Row],[Target Type]]="BIM")</f>
        <v>0</v>
      </c>
      <c r="Q1132">
        <f t="shared" si="51"/>
        <v>1</v>
      </c>
      <c r="S1132">
        <f t="shared" si="52"/>
        <v>1</v>
      </c>
      <c r="T1132" s="102" t="str">
        <f>IF(TableRelationships12[[#This Row],[Rank Pedro]]="Low","linkCategory1",IF(TableRelationships12[[#This Row],[Rank Pedro]]="Medium","linkCategory2",IF(TableRelationships12[[#This Row],[Rank Pedro]]="High","linkCategory3","")))</f>
        <v/>
      </c>
      <c r="U1132" s="102" t="str">
        <f>IF(TableRelationships12[[#This Row],[Rank Pedro]]="Low","Pink",IF(TableRelationships12[[#This Row],[Rank Pedro]]="Medium","Purple",IF(TableRelationships12[[#This Row],[Rank Pedro]]="High","Brown","")))</f>
        <v/>
      </c>
      <c r="V1132" s="4" t="e">
        <f>MAX(INDEX(Standards!$F$2:$F$296,MATCH(B1132,Standards!$B$2:$B$296,0)),INDEX(Standards!$F$2:$F$296,MATCH(C1132,Standards!$B$2:$B$296,0)))</f>
        <v>#N/A</v>
      </c>
      <c r="W1132" t="str">
        <f t="shared" si="53"/>
        <v>#2f89d1</v>
      </c>
    </row>
    <row r="1133" spans="1:23" x14ac:dyDescent="0.5">
      <c r="A1133" s="54">
        <v>1132</v>
      </c>
      <c r="B1133" s="90" t="s">
        <v>1037</v>
      </c>
      <c r="C1133" t="s">
        <v>650</v>
      </c>
      <c r="D1133" s="1"/>
      <c r="E1133" s="112">
        <v>2009.04</v>
      </c>
      <c r="F1133" s="112">
        <v>2009.04</v>
      </c>
      <c r="G1133" s="107" t="s">
        <v>670</v>
      </c>
      <c r="H1133">
        <f>INDEX('GIS-Standards'!$A$2:$A$305,MATCH(B1133,'GIS-Standards'!$B$2:$B$305,0))</f>
        <v>48</v>
      </c>
      <c r="I1133">
        <f>INDEX('GIS-Standards'!$A$2:$A$305,MATCH(C1133,'GIS-Standards'!$B$2:$B$305,0))</f>
        <v>99</v>
      </c>
      <c r="J1133" t="str">
        <f>INDEX('GIS-Standards'!$O$2:$O$305,MATCH(B1133,'GIS-Standards'!$B$2:$B$305,0))</f>
        <v>ISO/TC 211</v>
      </c>
      <c r="K1133" t="str">
        <f>INDEX('GIS-Standards'!$O$2:$O$305,MATCH(C1133,'GIS-Standards'!$B$2:$B$305,0))</f>
        <v>ISO/TC 211</v>
      </c>
      <c r="M1133" t="s">
        <v>525</v>
      </c>
      <c r="N1133" t="str">
        <f>INDEX('GIS-Standards'!$I$2:$I$305,MATCH(B1133,'GIS-Standards'!$B$2:$B$305,0))</f>
        <v>08.2012</v>
      </c>
      <c r="O1133">
        <f>INDEX('GIS-Standards'!$I$2:$I$305,MATCH(C1133,'GIS-Standards'!$B$2:$B$305,0))</f>
        <v>0</v>
      </c>
      <c r="P1133" t="b">
        <f>AND(TableRelationships12[[#This Row],[Source Type]]="BIM",TableRelationships12[[#This Row],[Target Type]]="BIM")</f>
        <v>0</v>
      </c>
      <c r="Q1133">
        <f t="shared" si="51"/>
        <v>1</v>
      </c>
      <c r="S1133">
        <f t="shared" si="52"/>
        <v>1</v>
      </c>
      <c r="T1133" s="102" t="str">
        <f>IF(TableRelationships12[[#This Row],[Rank Pedro]]="Low","linkCategory1",IF(TableRelationships12[[#This Row],[Rank Pedro]]="Medium","linkCategory2",IF(TableRelationships12[[#This Row],[Rank Pedro]]="High","linkCategory3","")))</f>
        <v/>
      </c>
      <c r="U1133" s="102" t="str">
        <f>IF(TableRelationships12[[#This Row],[Rank Pedro]]="Low","Pink",IF(TableRelationships12[[#This Row],[Rank Pedro]]="Medium","Purple",IF(TableRelationships12[[#This Row],[Rank Pedro]]="High","Brown","")))</f>
        <v/>
      </c>
      <c r="V1133" s="4" t="e">
        <f>MAX(INDEX(Standards!$F$2:$F$296,MATCH(B1133,Standards!$B$2:$B$296,0)),INDEX(Standards!$F$2:$F$296,MATCH(C1133,Standards!$B$2:$B$296,0)))</f>
        <v>#N/A</v>
      </c>
      <c r="W1133" t="str">
        <f t="shared" si="53"/>
        <v>#2f89d1</v>
      </c>
    </row>
    <row r="1134" spans="1:23" x14ac:dyDescent="0.5">
      <c r="A1134" s="54">
        <v>1133</v>
      </c>
      <c r="B1134" s="90" t="s">
        <v>1037</v>
      </c>
      <c r="C1134" t="s">
        <v>322</v>
      </c>
      <c r="D1134" s="1"/>
      <c r="E1134" s="112">
        <v>2009.11</v>
      </c>
      <c r="F1134" s="112">
        <v>2021.05</v>
      </c>
      <c r="G1134" s="107" t="s">
        <v>670</v>
      </c>
      <c r="H1134">
        <f>INDEX('GIS-Standards'!$A$2:$A$305,MATCH(B1134,'GIS-Standards'!$B$2:$B$305,0))</f>
        <v>48</v>
      </c>
      <c r="I1134">
        <f>INDEX('GIS-Standards'!$A$2:$A$305,MATCH(C1134,'GIS-Standards'!$B$2:$B$305,0))</f>
        <v>33</v>
      </c>
      <c r="J1134" t="str">
        <f>INDEX('GIS-Standards'!$O$2:$O$305,MATCH(B1134,'GIS-Standards'!$B$2:$B$305,0))</f>
        <v>ISO/TC 211</v>
      </c>
      <c r="K1134" t="str">
        <f>INDEX('GIS-Standards'!$O$2:$O$305,MATCH(C1134,'GIS-Standards'!$B$2:$B$305,0))</f>
        <v>ISO/TC 211</v>
      </c>
      <c r="M1134" t="s">
        <v>525</v>
      </c>
      <c r="N1134" t="str">
        <f>INDEX('GIS-Standards'!$I$2:$I$305,MATCH(B1134,'GIS-Standards'!$B$2:$B$305,0))</f>
        <v>08.2012</v>
      </c>
      <c r="O1134">
        <f>INDEX('GIS-Standards'!$I$2:$I$305,MATCH(C1134,'GIS-Standards'!$B$2:$B$305,0))</f>
        <v>0</v>
      </c>
      <c r="P1134" t="b">
        <f>AND(TableRelationships12[[#This Row],[Source Type]]="BIM",TableRelationships12[[#This Row],[Target Type]]="BIM")</f>
        <v>0</v>
      </c>
      <c r="Q1134">
        <f t="shared" si="51"/>
        <v>1</v>
      </c>
      <c r="S1134">
        <f t="shared" si="52"/>
        <v>1</v>
      </c>
      <c r="T1134" s="102" t="str">
        <f>IF(TableRelationships12[[#This Row],[Rank Pedro]]="Low","linkCategory1",IF(TableRelationships12[[#This Row],[Rank Pedro]]="Medium","linkCategory2",IF(TableRelationships12[[#This Row],[Rank Pedro]]="High","linkCategory3","")))</f>
        <v/>
      </c>
      <c r="U1134" s="102" t="str">
        <f>IF(TableRelationships12[[#This Row],[Rank Pedro]]="Low","Pink",IF(TableRelationships12[[#This Row],[Rank Pedro]]="Medium","Purple",IF(TableRelationships12[[#This Row],[Rank Pedro]]="High","Brown","")))</f>
        <v/>
      </c>
      <c r="V1134" s="4" t="e">
        <f>MAX(INDEX(Standards!$F$2:$F$296,MATCH(B1134,Standards!$B$2:$B$296,0)),INDEX(Standards!$F$2:$F$296,MATCH(C1134,Standards!$B$2:$B$296,0)))</f>
        <v>#N/A</v>
      </c>
      <c r="W1134" t="str">
        <f t="shared" si="53"/>
        <v>#2f89d1</v>
      </c>
    </row>
    <row r="1135" spans="1:23" x14ac:dyDescent="0.5">
      <c r="A1135" s="54">
        <v>1134</v>
      </c>
      <c r="B1135" s="90" t="s">
        <v>1038</v>
      </c>
      <c r="C1135" t="s">
        <v>527</v>
      </c>
      <c r="D1135" s="1"/>
      <c r="E1135" s="112" t="s">
        <v>966</v>
      </c>
      <c r="F1135" s="112" t="s">
        <v>966</v>
      </c>
      <c r="G1135" s="121" t="s">
        <v>670</v>
      </c>
      <c r="H1135">
        <f>INDEX('GIS-Standards'!$A$2:$A$305,MATCH(B1135,'GIS-Standards'!$B$2:$B$305,0))</f>
        <v>49</v>
      </c>
      <c r="I1135" t="e">
        <f>INDEX('GIS-Standards'!$A$2:$A$305,MATCH(C1135,'GIS-Standards'!$B$2:$B$305,0))</f>
        <v>#N/A</v>
      </c>
      <c r="J1135" t="str">
        <f>INDEX('GIS-Standards'!$O$2:$O$305,MATCH(B1135,'GIS-Standards'!$B$2:$B$305,0))</f>
        <v>ISO/TC 211</v>
      </c>
      <c r="K1135" t="e">
        <f>INDEX('GIS-Standards'!$O$2:$O$305,MATCH(C1135,'GIS-Standards'!$B$2:$B$305,0))</f>
        <v>#N/A</v>
      </c>
      <c r="M1135" t="s">
        <v>237</v>
      </c>
      <c r="N1135">
        <f>INDEX('GIS-Standards'!$I$2:$I$305,MATCH(B1135,'GIS-Standards'!$B$2:$B$305,0))</f>
        <v>0</v>
      </c>
      <c r="O1135" t="e">
        <f>INDEX('GIS-Standards'!$I$2:$I$305,MATCH(C1135,'GIS-Standards'!$B$2:$B$305,0))</f>
        <v>#N/A</v>
      </c>
      <c r="P1135" t="e">
        <f>AND(TableRelationships12[[#This Row],[Source Type]]="BIM",TableRelationships12[[#This Row],[Target Type]]="BIM")</f>
        <v>#N/A</v>
      </c>
      <c r="Q1135">
        <f t="shared" si="51"/>
        <v>2</v>
      </c>
      <c r="S1135">
        <f t="shared" si="52"/>
        <v>1</v>
      </c>
      <c r="T1135" s="102" t="str">
        <f>IF(TableRelationships12[[#This Row],[Rank Pedro]]="Low","linkCategory1",IF(TableRelationships12[[#This Row],[Rank Pedro]]="Medium","linkCategory2",IF(TableRelationships12[[#This Row],[Rank Pedro]]="High","linkCategory3","")))</f>
        <v/>
      </c>
      <c r="U1135" s="102" t="str">
        <f>IF(TableRelationships12[[#This Row],[Rank Pedro]]="Low","Pink",IF(TableRelationships12[[#This Row],[Rank Pedro]]="Medium","Purple",IF(TableRelationships12[[#This Row],[Rank Pedro]]="High","Brown","")))</f>
        <v/>
      </c>
      <c r="V1135" s="4" t="e">
        <f>MAX(INDEX(Standards!$F$2:$F$296,MATCH(B1135,Standards!$B$2:$B$296,0)),INDEX(Standards!$F$2:$F$296,MATCH(C1135,Standards!$B$2:$B$296,0)))</f>
        <v>#N/A</v>
      </c>
      <c r="W1135">
        <f t="shared" si="53"/>
        <v>1</v>
      </c>
    </row>
    <row r="1136" spans="1:23" x14ac:dyDescent="0.5">
      <c r="A1136" s="54">
        <v>1135</v>
      </c>
      <c r="B1136" s="90" t="s">
        <v>1038</v>
      </c>
      <c r="C1136" t="s">
        <v>306</v>
      </c>
      <c r="D1136" s="1"/>
      <c r="E1136" s="112">
        <v>2005.06</v>
      </c>
      <c r="F1136" s="112">
        <v>2025.07</v>
      </c>
      <c r="G1136" s="107" t="s">
        <v>670</v>
      </c>
      <c r="H1136">
        <f>INDEX('GIS-Standards'!$A$2:$A$305,MATCH(B1136,'GIS-Standards'!$B$2:$B$305,0))</f>
        <v>49</v>
      </c>
      <c r="I1136">
        <f>INDEX('GIS-Standards'!$A$2:$A$305,MATCH(C1136,'GIS-Standards'!$B$2:$B$305,0))</f>
        <v>18</v>
      </c>
      <c r="J1136" t="str">
        <f>INDEX('GIS-Standards'!$O$2:$O$305,MATCH(B1136,'GIS-Standards'!$B$2:$B$305,0))</f>
        <v>ISO/TC 211</v>
      </c>
      <c r="K1136" t="str">
        <f>INDEX('GIS-Standards'!$O$2:$O$305,MATCH(C1136,'GIS-Standards'!$B$2:$B$305,0))</f>
        <v>ISO/TC 211</v>
      </c>
      <c r="M1136" t="s">
        <v>524</v>
      </c>
      <c r="N1136">
        <f>INDEX('GIS-Standards'!$I$2:$I$305,MATCH(B1136,'GIS-Standards'!$B$2:$B$305,0))</f>
        <v>0</v>
      </c>
      <c r="O1136">
        <f>INDEX('GIS-Standards'!$I$2:$I$305,MATCH(C1136,'GIS-Standards'!$B$2:$B$305,0))</f>
        <v>0</v>
      </c>
      <c r="P1136" t="b">
        <f>AND(TableRelationships12[[#This Row],[Source Type]]="BIM",TableRelationships12[[#This Row],[Target Type]]="BIM")</f>
        <v>0</v>
      </c>
      <c r="Q1136">
        <f t="shared" si="51"/>
        <v>6</v>
      </c>
      <c r="S1136">
        <f t="shared" si="52"/>
        <v>1</v>
      </c>
      <c r="T1136" s="102" t="str">
        <f>IF(TableRelationships12[[#This Row],[Rank Pedro]]="Low","linkCategory1",IF(TableRelationships12[[#This Row],[Rank Pedro]]="Medium","linkCategory2",IF(TableRelationships12[[#This Row],[Rank Pedro]]="High","linkCategory3","")))</f>
        <v/>
      </c>
      <c r="U1136" s="102" t="str">
        <f>IF(TableRelationships12[[#This Row],[Rank Pedro]]="Low","Pink",IF(TableRelationships12[[#This Row],[Rank Pedro]]="Medium","Purple",IF(TableRelationships12[[#This Row],[Rank Pedro]]="High","Brown","")))</f>
        <v/>
      </c>
      <c r="V1136" s="4" t="e">
        <f>MAX(INDEX(Standards!$F$2:$F$296,MATCH(B1136,Standards!$B$2:$B$296,0)),INDEX(Standards!$F$2:$F$296,MATCH(C1136,Standards!$B$2:$B$296,0)))</f>
        <v>#N/A</v>
      </c>
      <c r="W1136" t="str">
        <f t="shared" si="53"/>
        <v>#d6bf2a</v>
      </c>
    </row>
    <row r="1137" spans="1:23" x14ac:dyDescent="0.5">
      <c r="A1137" s="54">
        <v>1136</v>
      </c>
      <c r="B1137" s="90" t="s">
        <v>1038</v>
      </c>
      <c r="C1137" t="s">
        <v>296</v>
      </c>
      <c r="D1137" s="1"/>
      <c r="E1137" s="112">
        <v>2005.07</v>
      </c>
      <c r="F1137" s="112">
        <v>2024.09</v>
      </c>
      <c r="G1137" s="107" t="s">
        <v>670</v>
      </c>
      <c r="H1137">
        <f>INDEX('GIS-Standards'!$A$2:$A$305,MATCH(B1137,'GIS-Standards'!$B$2:$B$305,0))</f>
        <v>49</v>
      </c>
      <c r="I1137">
        <f>INDEX('GIS-Standards'!$A$2:$A$305,MATCH(C1137,'GIS-Standards'!$B$2:$B$305,0))</f>
        <v>12</v>
      </c>
      <c r="J1137" t="str">
        <f>INDEX('GIS-Standards'!$O$2:$O$305,MATCH(B1137,'GIS-Standards'!$B$2:$B$305,0))</f>
        <v>ISO/TC 211</v>
      </c>
      <c r="K1137" t="str">
        <f>INDEX('GIS-Standards'!$O$2:$O$305,MATCH(C1137,'GIS-Standards'!$B$2:$B$305,0))</f>
        <v>ISO/TC 211</v>
      </c>
      <c r="M1137" t="s">
        <v>524</v>
      </c>
      <c r="N1137">
        <f>INDEX('GIS-Standards'!$I$2:$I$305,MATCH(B1137,'GIS-Standards'!$B$2:$B$305,0))</f>
        <v>0</v>
      </c>
      <c r="O1137">
        <f>INDEX('GIS-Standards'!$I$2:$I$305,MATCH(C1137,'GIS-Standards'!$B$2:$B$305,0))</f>
        <v>0</v>
      </c>
      <c r="P1137" t="b">
        <f>AND(TableRelationships12[[#This Row],[Source Type]]="BIM",TableRelationships12[[#This Row],[Target Type]]="BIM")</f>
        <v>0</v>
      </c>
      <c r="Q1137">
        <f t="shared" si="51"/>
        <v>6</v>
      </c>
      <c r="S1137">
        <f t="shared" si="52"/>
        <v>1</v>
      </c>
      <c r="T1137" s="102" t="str">
        <f>IF(TableRelationships12[[#This Row],[Rank Pedro]]="Low","linkCategory1",IF(TableRelationships12[[#This Row],[Rank Pedro]]="Medium","linkCategory2",IF(TableRelationships12[[#This Row],[Rank Pedro]]="High","linkCategory3","")))</f>
        <v/>
      </c>
      <c r="U1137" s="102" t="str">
        <f>IF(TableRelationships12[[#This Row],[Rank Pedro]]="Low","Pink",IF(TableRelationships12[[#This Row],[Rank Pedro]]="Medium","Purple",IF(TableRelationships12[[#This Row],[Rank Pedro]]="High","Brown","")))</f>
        <v/>
      </c>
      <c r="V1137" s="4" t="e">
        <f>MAX(INDEX(Standards!$F$2:$F$296,MATCH(B1137,Standards!$B$2:$B$296,0)),INDEX(Standards!$F$2:$F$296,MATCH(C1137,Standards!$B$2:$B$296,0)))</f>
        <v>#N/A</v>
      </c>
      <c r="W1137" t="str">
        <f t="shared" si="53"/>
        <v>#d6bf2a</v>
      </c>
    </row>
    <row r="1138" spans="1:23" x14ac:dyDescent="0.5">
      <c r="A1138" s="54">
        <v>1137</v>
      </c>
      <c r="B1138" s="90" t="s">
        <v>1038</v>
      </c>
      <c r="C1138" t="s">
        <v>320</v>
      </c>
      <c r="D1138" s="1"/>
      <c r="E1138" s="112">
        <v>2005.08</v>
      </c>
      <c r="F1138" s="112">
        <v>2023.06</v>
      </c>
      <c r="G1138" s="107" t="s">
        <v>670</v>
      </c>
      <c r="H1138">
        <f>INDEX('GIS-Standards'!$A$2:$A$305,MATCH(B1138,'GIS-Standards'!$B$2:$B$305,0))</f>
        <v>49</v>
      </c>
      <c r="I1138">
        <f>INDEX('GIS-Standards'!$A$2:$A$305,MATCH(C1138,'GIS-Standards'!$B$2:$B$305,0))</f>
        <v>29</v>
      </c>
      <c r="J1138" t="str">
        <f>INDEX('GIS-Standards'!$O$2:$O$305,MATCH(B1138,'GIS-Standards'!$B$2:$B$305,0))</f>
        <v>ISO/TC 211</v>
      </c>
      <c r="K1138" t="str">
        <f>INDEX('GIS-Standards'!$O$2:$O$305,MATCH(C1138,'GIS-Standards'!$B$2:$B$305,0))</f>
        <v>ISO/TC 211</v>
      </c>
      <c r="M1138" t="s">
        <v>524</v>
      </c>
      <c r="N1138">
        <f>INDEX('GIS-Standards'!$I$2:$I$305,MATCH(B1138,'GIS-Standards'!$B$2:$B$305,0))</f>
        <v>0</v>
      </c>
      <c r="O1138">
        <f>INDEX('GIS-Standards'!$I$2:$I$305,MATCH(C1138,'GIS-Standards'!$B$2:$B$305,0))</f>
        <v>0</v>
      </c>
      <c r="P1138" t="b">
        <f>AND(TableRelationships12[[#This Row],[Source Type]]="BIM",TableRelationships12[[#This Row],[Target Type]]="BIM")</f>
        <v>0</v>
      </c>
      <c r="Q1138">
        <f t="shared" si="51"/>
        <v>6</v>
      </c>
      <c r="S1138">
        <f t="shared" si="52"/>
        <v>1</v>
      </c>
      <c r="T1138" s="102" t="str">
        <f>IF(TableRelationships12[[#This Row],[Rank Pedro]]="Low","linkCategory1",IF(TableRelationships12[[#This Row],[Rank Pedro]]="Medium","linkCategory2",IF(TableRelationships12[[#This Row],[Rank Pedro]]="High","linkCategory3","")))</f>
        <v/>
      </c>
      <c r="U1138" s="102" t="str">
        <f>IF(TableRelationships12[[#This Row],[Rank Pedro]]="Low","Pink",IF(TableRelationships12[[#This Row],[Rank Pedro]]="Medium","Purple",IF(TableRelationships12[[#This Row],[Rank Pedro]]="High","Brown","")))</f>
        <v/>
      </c>
      <c r="V1138" s="4" t="e">
        <f>MAX(INDEX(Standards!$F$2:$F$296,MATCH(B1138,Standards!$B$2:$B$296,0)),INDEX(Standards!$F$2:$F$296,MATCH(C1138,Standards!$B$2:$B$296,0)))</f>
        <v>#N/A</v>
      </c>
      <c r="W1138" t="str">
        <f t="shared" si="53"/>
        <v>#d6bf2a</v>
      </c>
    </row>
    <row r="1139" spans="1:23" x14ac:dyDescent="0.5">
      <c r="A1139" s="54">
        <v>1138</v>
      </c>
      <c r="B1139" s="90" t="s">
        <v>1038</v>
      </c>
      <c r="C1139" t="s">
        <v>1037</v>
      </c>
      <c r="D1139" s="1"/>
      <c r="E1139" s="112">
        <v>2009.09</v>
      </c>
      <c r="F1139" s="112">
        <v>2012.08</v>
      </c>
      <c r="G1139" s="107" t="s">
        <v>670</v>
      </c>
      <c r="H1139">
        <f>INDEX('GIS-Standards'!$A$2:$A$305,MATCH(B1139,'GIS-Standards'!$B$2:$B$305,0))</f>
        <v>49</v>
      </c>
      <c r="I1139">
        <f>INDEX('GIS-Standards'!$A$2:$A$305,MATCH(C1139,'GIS-Standards'!$B$2:$B$305,0))</f>
        <v>48</v>
      </c>
      <c r="J1139" t="str">
        <f>INDEX('GIS-Standards'!$O$2:$O$305,MATCH(B1139,'GIS-Standards'!$B$2:$B$305,0))</f>
        <v>ISO/TC 211</v>
      </c>
      <c r="K1139" t="str">
        <f>INDEX('GIS-Standards'!$O$2:$O$305,MATCH(C1139,'GIS-Standards'!$B$2:$B$305,0))</f>
        <v>ISO/TC 211</v>
      </c>
      <c r="M1139" t="s">
        <v>524</v>
      </c>
      <c r="N1139">
        <f>INDEX('GIS-Standards'!$I$2:$I$305,MATCH(B1139,'GIS-Standards'!$B$2:$B$305,0))</f>
        <v>0</v>
      </c>
      <c r="O1139" t="str">
        <f>INDEX('GIS-Standards'!$I$2:$I$305,MATCH(C1139,'GIS-Standards'!$B$2:$B$305,0))</f>
        <v>08.2012</v>
      </c>
      <c r="P1139" t="b">
        <f>AND(TableRelationships12[[#This Row],[Source Type]]="BIM",TableRelationships12[[#This Row],[Target Type]]="BIM")</f>
        <v>0</v>
      </c>
      <c r="Q1139">
        <f t="shared" si="51"/>
        <v>6</v>
      </c>
      <c r="S1139">
        <f t="shared" si="52"/>
        <v>1</v>
      </c>
      <c r="T1139" s="102" t="str">
        <f>IF(TableRelationships12[[#This Row],[Rank Pedro]]="Low","linkCategory1",IF(TableRelationships12[[#This Row],[Rank Pedro]]="Medium","linkCategory2",IF(TableRelationships12[[#This Row],[Rank Pedro]]="High","linkCategory3","")))</f>
        <v/>
      </c>
      <c r="U1139" s="102" t="str">
        <f>IF(TableRelationships12[[#This Row],[Rank Pedro]]="Low","Pink",IF(TableRelationships12[[#This Row],[Rank Pedro]]="Medium","Purple",IF(TableRelationships12[[#This Row],[Rank Pedro]]="High","Brown","")))</f>
        <v/>
      </c>
      <c r="V1139" s="4" t="e">
        <f>MAX(INDEX(Standards!$F$2:$F$296,MATCH(B1139,Standards!$B$2:$B$296,0)),INDEX(Standards!$F$2:$F$296,MATCH(C1139,Standards!$B$2:$B$296,0)))</f>
        <v>#N/A</v>
      </c>
      <c r="W1139" t="str">
        <f t="shared" si="53"/>
        <v>#d6bf2a</v>
      </c>
    </row>
    <row r="1140" spans="1:23" x14ac:dyDescent="0.5">
      <c r="A1140" s="54">
        <v>1139</v>
      </c>
      <c r="B1140" s="90" t="s">
        <v>1038</v>
      </c>
      <c r="C1140" t="s">
        <v>293</v>
      </c>
      <c r="D1140" s="1"/>
      <c r="E1140" s="112">
        <v>2002.07</v>
      </c>
      <c r="F1140" s="112">
        <v>2014.11</v>
      </c>
      <c r="G1140" s="107" t="s">
        <v>670</v>
      </c>
      <c r="H1140">
        <f>INDEX('GIS-Standards'!$A$2:$A$305,MATCH(B1140,'GIS-Standards'!$B$2:$B$305,0))</f>
        <v>49</v>
      </c>
      <c r="I1140">
        <f>INDEX('GIS-Standards'!$A$2:$A$305,MATCH(C1140,'GIS-Standards'!$B$2:$B$305,0))</f>
        <v>10</v>
      </c>
      <c r="J1140" t="str">
        <f>INDEX('GIS-Standards'!$O$2:$O$305,MATCH(B1140,'GIS-Standards'!$B$2:$B$305,0))</f>
        <v>ISO/TC 211</v>
      </c>
      <c r="K1140" t="str">
        <f>INDEX('GIS-Standards'!$O$2:$O$305,MATCH(C1140,'GIS-Standards'!$B$2:$B$305,0))</f>
        <v>ISO/TC 211</v>
      </c>
      <c r="M1140" t="s">
        <v>525</v>
      </c>
      <c r="N1140">
        <f>INDEX('GIS-Standards'!$I$2:$I$305,MATCH(B1140,'GIS-Standards'!$B$2:$B$305,0))</f>
        <v>0</v>
      </c>
      <c r="O1140">
        <f>INDEX('GIS-Standards'!$I$2:$I$305,MATCH(C1140,'GIS-Standards'!$B$2:$B$305,0))</f>
        <v>0</v>
      </c>
      <c r="P1140" t="b">
        <f>AND(TableRelationships12[[#This Row],[Source Type]]="BIM",TableRelationships12[[#This Row],[Target Type]]="BIM")</f>
        <v>0</v>
      </c>
      <c r="Q1140">
        <f t="shared" si="51"/>
        <v>1</v>
      </c>
      <c r="S1140">
        <f t="shared" si="52"/>
        <v>1</v>
      </c>
      <c r="T1140" s="102" t="str">
        <f>IF(TableRelationships12[[#This Row],[Rank Pedro]]="Low","linkCategory1",IF(TableRelationships12[[#This Row],[Rank Pedro]]="Medium","linkCategory2",IF(TableRelationships12[[#This Row],[Rank Pedro]]="High","linkCategory3","")))</f>
        <v/>
      </c>
      <c r="U1140" s="102" t="str">
        <f>IF(TableRelationships12[[#This Row],[Rank Pedro]]="Low","Pink",IF(TableRelationships12[[#This Row],[Rank Pedro]]="Medium","Purple",IF(TableRelationships12[[#This Row],[Rank Pedro]]="High","Brown","")))</f>
        <v/>
      </c>
      <c r="V1140" s="4" t="e">
        <f>MAX(INDEX(Standards!$F$2:$F$296,MATCH(B1140,Standards!$B$2:$B$296,0)),INDEX(Standards!$F$2:$F$296,MATCH(C1140,Standards!$B$2:$B$296,0)))</f>
        <v>#N/A</v>
      </c>
      <c r="W1140" t="str">
        <f t="shared" si="53"/>
        <v>#2f89d1</v>
      </c>
    </row>
    <row r="1141" spans="1:23" x14ac:dyDescent="0.5">
      <c r="A1141" s="54">
        <v>1140</v>
      </c>
      <c r="B1141" s="90" t="s">
        <v>1038</v>
      </c>
      <c r="C1141" t="s">
        <v>300</v>
      </c>
      <c r="D1141" s="1"/>
      <c r="E1141" s="112">
        <v>2000.12</v>
      </c>
      <c r="F1141" s="112">
        <v>2022.07</v>
      </c>
      <c r="G1141" s="107" t="s">
        <v>670</v>
      </c>
      <c r="H1141">
        <f>INDEX('GIS-Standards'!$A$2:$A$305,MATCH(B1141,'GIS-Standards'!$B$2:$B$305,0))</f>
        <v>49</v>
      </c>
      <c r="I1141">
        <f>INDEX('GIS-Standards'!$A$2:$A$305,MATCH(C1141,'GIS-Standards'!$B$2:$B$305,0))</f>
        <v>14</v>
      </c>
      <c r="J1141" t="str">
        <f>INDEX('GIS-Standards'!$O$2:$O$305,MATCH(B1141,'GIS-Standards'!$B$2:$B$305,0))</f>
        <v>ISO/TC 211</v>
      </c>
      <c r="K1141" t="str">
        <f>INDEX('GIS-Standards'!$O$2:$O$305,MATCH(C1141,'GIS-Standards'!$B$2:$B$305,0))</f>
        <v>ISO/TC 211</v>
      </c>
      <c r="M1141" t="s">
        <v>525</v>
      </c>
      <c r="N1141">
        <f>INDEX('GIS-Standards'!$I$2:$I$305,MATCH(B1141,'GIS-Standards'!$B$2:$B$305,0))</f>
        <v>0</v>
      </c>
      <c r="O1141">
        <f>INDEX('GIS-Standards'!$I$2:$I$305,MATCH(C1141,'GIS-Standards'!$B$2:$B$305,0))</f>
        <v>0</v>
      </c>
      <c r="P1141" t="b">
        <f>AND(TableRelationships12[[#This Row],[Source Type]]="BIM",TableRelationships12[[#This Row],[Target Type]]="BIM")</f>
        <v>0</v>
      </c>
      <c r="Q1141">
        <f t="shared" si="51"/>
        <v>1</v>
      </c>
      <c r="S1141">
        <f t="shared" si="52"/>
        <v>1</v>
      </c>
      <c r="T1141" s="102" t="str">
        <f>IF(TableRelationships12[[#This Row],[Rank Pedro]]="Low","linkCategory1",IF(TableRelationships12[[#This Row],[Rank Pedro]]="Medium","linkCategory2",IF(TableRelationships12[[#This Row],[Rank Pedro]]="High","linkCategory3","")))</f>
        <v/>
      </c>
      <c r="U1141" s="102" t="str">
        <f>IF(TableRelationships12[[#This Row],[Rank Pedro]]="Low","Pink",IF(TableRelationships12[[#This Row],[Rank Pedro]]="Medium","Purple",IF(TableRelationships12[[#This Row],[Rank Pedro]]="High","Brown","")))</f>
        <v/>
      </c>
      <c r="V1141" s="4" t="e">
        <f>MAX(INDEX(Standards!$F$2:$F$296,MATCH(B1141,Standards!$B$2:$B$296,0)),INDEX(Standards!$F$2:$F$296,MATCH(C1141,Standards!$B$2:$B$296,0)))</f>
        <v>#N/A</v>
      </c>
      <c r="W1141" t="str">
        <f t="shared" si="53"/>
        <v>#2f89d1</v>
      </c>
    </row>
    <row r="1142" spans="1:23" x14ac:dyDescent="0.5">
      <c r="A1142" s="54">
        <v>1141</v>
      </c>
      <c r="B1142" s="90" t="s">
        <v>1038</v>
      </c>
      <c r="C1142" t="s">
        <v>651</v>
      </c>
      <c r="D1142" s="1" t="s">
        <v>1676</v>
      </c>
      <c r="E1142" s="112">
        <v>2014.01</v>
      </c>
      <c r="F1142" s="112">
        <v>2014.01</v>
      </c>
      <c r="G1142" s="107" t="s">
        <v>670</v>
      </c>
      <c r="H1142">
        <f>INDEX('GIS-Standards'!$A$2:$A$305,MATCH(B1142,'GIS-Standards'!$B$2:$B$305,0))</f>
        <v>49</v>
      </c>
      <c r="I1142">
        <f>INDEX('GIS-Standards'!$A$2:$A$305,MATCH(C1142,'GIS-Standards'!$B$2:$B$305,0))</f>
        <v>100</v>
      </c>
      <c r="J1142" t="str">
        <f>INDEX('GIS-Standards'!$O$2:$O$305,MATCH(B1142,'GIS-Standards'!$B$2:$B$305,0))</f>
        <v>ISO/TC 211</v>
      </c>
      <c r="K1142" t="str">
        <f>INDEX('GIS-Standards'!$O$2:$O$305,MATCH(C1142,'GIS-Standards'!$B$2:$B$305,0))</f>
        <v>ISO/TC 211</v>
      </c>
      <c r="M1142" t="s">
        <v>525</v>
      </c>
      <c r="N1142">
        <f>INDEX('GIS-Standards'!$I$2:$I$305,MATCH(B1142,'GIS-Standards'!$B$2:$B$305,0))</f>
        <v>0</v>
      </c>
      <c r="O1142">
        <f>INDEX('GIS-Standards'!$I$2:$I$305,MATCH(C1142,'GIS-Standards'!$B$2:$B$305,0))</f>
        <v>0</v>
      </c>
      <c r="P1142" t="b">
        <f>AND(TableRelationships12[[#This Row],[Source Type]]="BIM",TableRelationships12[[#This Row],[Target Type]]="BIM")</f>
        <v>0</v>
      </c>
      <c r="Q1142">
        <f t="shared" si="51"/>
        <v>1</v>
      </c>
      <c r="S1142">
        <f t="shared" si="52"/>
        <v>1</v>
      </c>
      <c r="T1142" s="102" t="str">
        <f>IF(TableRelationships12[[#This Row],[Rank Pedro]]="Low","linkCategory1",IF(TableRelationships12[[#This Row],[Rank Pedro]]="Medium","linkCategory2",IF(TableRelationships12[[#This Row],[Rank Pedro]]="High","linkCategory3","")))</f>
        <v/>
      </c>
      <c r="U1142" s="102" t="str">
        <f>IF(TableRelationships12[[#This Row],[Rank Pedro]]="Low","Pink",IF(TableRelationships12[[#This Row],[Rank Pedro]]="Medium","Purple",IF(TableRelationships12[[#This Row],[Rank Pedro]]="High","Brown","")))</f>
        <v/>
      </c>
      <c r="V1142" s="4" t="e">
        <f>MAX(INDEX(Standards!$F$2:$F$296,MATCH(B1142,Standards!$B$2:$B$296,0)),INDEX(Standards!$F$2:$F$296,MATCH(C1142,Standards!$B$2:$B$296,0)))</f>
        <v>#N/A</v>
      </c>
      <c r="W1142" t="str">
        <f t="shared" si="53"/>
        <v>#2f89d1</v>
      </c>
    </row>
    <row r="1143" spans="1:23" x14ac:dyDescent="0.5">
      <c r="A1143" s="54">
        <v>1142</v>
      </c>
      <c r="B1143" s="90" t="s">
        <v>1038</v>
      </c>
      <c r="C1143" t="s">
        <v>1048</v>
      </c>
      <c r="D1143" s="1"/>
      <c r="E1143" s="112">
        <v>2005.1</v>
      </c>
      <c r="F1143" s="112">
        <v>2021.02</v>
      </c>
      <c r="G1143" s="107" t="s">
        <v>670</v>
      </c>
      <c r="H1143">
        <f>INDEX('GIS-Standards'!$A$2:$A$305,MATCH(B1143,'GIS-Standards'!$B$2:$B$305,0))</f>
        <v>49</v>
      </c>
      <c r="I1143">
        <f>INDEX('GIS-Standards'!$A$2:$A$305,MATCH(C1143,'GIS-Standards'!$B$2:$B$305,0))</f>
        <v>41</v>
      </c>
      <c r="J1143" t="str">
        <f>INDEX('GIS-Standards'!$O$2:$O$305,MATCH(B1143,'GIS-Standards'!$B$2:$B$305,0))</f>
        <v>ISO/TC 211</v>
      </c>
      <c r="K1143" t="str">
        <f>INDEX('GIS-Standards'!$O$2:$O$305,MATCH(C1143,'GIS-Standards'!$B$2:$B$305,0))</f>
        <v>ISO/TC 211</v>
      </c>
      <c r="M1143" t="s">
        <v>525</v>
      </c>
      <c r="N1143">
        <f>INDEX('GIS-Standards'!$I$2:$I$305,MATCH(B1143,'GIS-Standards'!$B$2:$B$305,0))</f>
        <v>0</v>
      </c>
      <c r="O1143" t="str">
        <f>INDEX('GIS-Standards'!$I$2:$I$305,MATCH(C1143,'GIS-Standards'!$B$2:$B$305,0))</f>
        <v>03.2021</v>
      </c>
      <c r="P1143" t="b">
        <f>AND(TableRelationships12[[#This Row],[Source Type]]="BIM",TableRelationships12[[#This Row],[Target Type]]="BIM")</f>
        <v>0</v>
      </c>
      <c r="Q1143">
        <f t="shared" si="51"/>
        <v>1</v>
      </c>
      <c r="S1143">
        <f t="shared" si="52"/>
        <v>1</v>
      </c>
      <c r="T1143" s="102" t="str">
        <f>IF(TableRelationships12[[#This Row],[Rank Pedro]]="Low","linkCategory1",IF(TableRelationships12[[#This Row],[Rank Pedro]]="Medium","linkCategory2",IF(TableRelationships12[[#This Row],[Rank Pedro]]="High","linkCategory3","")))</f>
        <v/>
      </c>
      <c r="U1143" s="102" t="str">
        <f>IF(TableRelationships12[[#This Row],[Rank Pedro]]="Low","Pink",IF(TableRelationships12[[#This Row],[Rank Pedro]]="Medium","Purple",IF(TableRelationships12[[#This Row],[Rank Pedro]]="High","Brown","")))</f>
        <v/>
      </c>
      <c r="V1143" s="4" t="e">
        <f>MAX(INDEX(Standards!$F$2:$F$296,MATCH(B1143,Standards!$B$2:$B$296,0)),INDEX(Standards!$F$2:$F$296,MATCH(C1143,Standards!$B$2:$B$296,0)))</f>
        <v>#N/A</v>
      </c>
      <c r="W1143" t="str">
        <f t="shared" si="53"/>
        <v>#2f89d1</v>
      </c>
    </row>
    <row r="1144" spans="1:23" x14ac:dyDescent="0.5">
      <c r="A1144" s="54">
        <v>1143</v>
      </c>
      <c r="B1144" s="90" t="s">
        <v>634</v>
      </c>
      <c r="C1144" t="s">
        <v>527</v>
      </c>
      <c r="D1144" s="1"/>
      <c r="E1144" s="112" t="s">
        <v>984</v>
      </c>
      <c r="F1144" s="112" t="s">
        <v>984</v>
      </c>
      <c r="G1144" s="121" t="s">
        <v>670</v>
      </c>
      <c r="H1144">
        <f>INDEX('GIS-Standards'!$A$2:$A$305,MATCH(B1144,'GIS-Standards'!$B$2:$B$305,0))</f>
        <v>50</v>
      </c>
      <c r="I1144" t="e">
        <f>INDEX('GIS-Standards'!$A$2:$A$305,MATCH(C1144,'GIS-Standards'!$B$2:$B$305,0))</f>
        <v>#N/A</v>
      </c>
      <c r="J1144" t="str">
        <f>INDEX('GIS-Standards'!$O$2:$O$305,MATCH(B1144,'GIS-Standards'!$B$2:$B$305,0))</f>
        <v>ISO/TC 211</v>
      </c>
      <c r="K1144" t="e">
        <f>INDEX('GIS-Standards'!$O$2:$O$305,MATCH(C1144,'GIS-Standards'!$B$2:$B$305,0))</f>
        <v>#N/A</v>
      </c>
      <c r="M1144" t="s">
        <v>237</v>
      </c>
      <c r="N1144">
        <f>INDEX('GIS-Standards'!$I$2:$I$305,MATCH(B1144,'GIS-Standards'!$B$2:$B$305,0))</f>
        <v>0</v>
      </c>
      <c r="O1144" t="e">
        <f>INDEX('GIS-Standards'!$I$2:$I$305,MATCH(C1144,'GIS-Standards'!$B$2:$B$305,0))</f>
        <v>#N/A</v>
      </c>
      <c r="P1144" t="e">
        <f>AND(TableRelationships12[[#This Row],[Source Type]]="BIM",TableRelationships12[[#This Row],[Target Type]]="BIM")</f>
        <v>#N/A</v>
      </c>
      <c r="Q1144">
        <f t="shared" si="51"/>
        <v>2</v>
      </c>
      <c r="S1144">
        <f t="shared" si="52"/>
        <v>1</v>
      </c>
      <c r="T1144" s="102" t="str">
        <f>IF(TableRelationships12[[#This Row],[Rank Pedro]]="Low","linkCategory1",IF(TableRelationships12[[#This Row],[Rank Pedro]]="Medium","linkCategory2",IF(TableRelationships12[[#This Row],[Rank Pedro]]="High","linkCategory3","")))</f>
        <v/>
      </c>
      <c r="U1144" s="102" t="str">
        <f>IF(TableRelationships12[[#This Row],[Rank Pedro]]="Low","Pink",IF(TableRelationships12[[#This Row],[Rank Pedro]]="Medium","Purple",IF(TableRelationships12[[#This Row],[Rank Pedro]]="High","Brown","")))</f>
        <v/>
      </c>
      <c r="V1144" s="4" t="e">
        <f>MAX(INDEX(Standards!$F$2:$F$296,MATCH(B1144,Standards!$B$2:$B$296,0)),INDEX(Standards!$F$2:$F$296,MATCH(C1144,Standards!$B$2:$B$296,0)))</f>
        <v>#N/A</v>
      </c>
      <c r="W1144">
        <f t="shared" si="53"/>
        <v>1</v>
      </c>
    </row>
    <row r="1145" spans="1:23" x14ac:dyDescent="0.5">
      <c r="A1145" s="54">
        <v>1144</v>
      </c>
      <c r="B1145" s="90" t="s">
        <v>634</v>
      </c>
      <c r="C1145" t="s">
        <v>296</v>
      </c>
      <c r="D1145" s="1"/>
      <c r="E1145" s="112">
        <v>2005.07</v>
      </c>
      <c r="F1145" s="112">
        <v>2024.09</v>
      </c>
      <c r="G1145" s="107" t="s">
        <v>670</v>
      </c>
      <c r="H1145">
        <f>INDEX('GIS-Standards'!$A$2:$A$305,MATCH(B1145,'GIS-Standards'!$B$2:$B$305,0))</f>
        <v>50</v>
      </c>
      <c r="I1145">
        <f>INDEX('GIS-Standards'!$A$2:$A$305,MATCH(C1145,'GIS-Standards'!$B$2:$B$305,0))</f>
        <v>12</v>
      </c>
      <c r="J1145" t="str">
        <f>INDEX('GIS-Standards'!$O$2:$O$305,MATCH(B1145,'GIS-Standards'!$B$2:$B$305,0))</f>
        <v>ISO/TC 211</v>
      </c>
      <c r="K1145" t="str">
        <f>INDEX('GIS-Standards'!$O$2:$O$305,MATCH(C1145,'GIS-Standards'!$B$2:$B$305,0))</f>
        <v>ISO/TC 211</v>
      </c>
      <c r="M1145" t="s">
        <v>524</v>
      </c>
      <c r="N1145">
        <f>INDEX('GIS-Standards'!$I$2:$I$305,MATCH(B1145,'GIS-Standards'!$B$2:$B$305,0))</f>
        <v>0</v>
      </c>
      <c r="O1145">
        <f>INDEX('GIS-Standards'!$I$2:$I$305,MATCH(C1145,'GIS-Standards'!$B$2:$B$305,0))</f>
        <v>0</v>
      </c>
      <c r="P1145" t="b">
        <f>AND(TableRelationships12[[#This Row],[Source Type]]="BIM",TableRelationships12[[#This Row],[Target Type]]="BIM")</f>
        <v>0</v>
      </c>
      <c r="Q1145">
        <f t="shared" si="51"/>
        <v>6</v>
      </c>
      <c r="S1145">
        <f t="shared" si="52"/>
        <v>1</v>
      </c>
      <c r="T1145" s="102" t="str">
        <f>IF(TableRelationships12[[#This Row],[Rank Pedro]]="Low","linkCategory1",IF(TableRelationships12[[#This Row],[Rank Pedro]]="Medium","linkCategory2",IF(TableRelationships12[[#This Row],[Rank Pedro]]="High","linkCategory3","")))</f>
        <v/>
      </c>
      <c r="U1145" s="102" t="str">
        <f>IF(TableRelationships12[[#This Row],[Rank Pedro]]="Low","Pink",IF(TableRelationships12[[#This Row],[Rank Pedro]]="Medium","Purple",IF(TableRelationships12[[#This Row],[Rank Pedro]]="High","Brown","")))</f>
        <v/>
      </c>
      <c r="V1145" s="4" t="e">
        <f>MAX(INDEX(Standards!$F$2:$F$296,MATCH(B1145,Standards!$B$2:$B$296,0)),INDEX(Standards!$F$2:$F$296,MATCH(C1145,Standards!$B$2:$B$296,0)))</f>
        <v>#N/A</v>
      </c>
      <c r="W1145" t="str">
        <f t="shared" si="53"/>
        <v>#d6bf2a</v>
      </c>
    </row>
    <row r="1146" spans="1:23" x14ac:dyDescent="0.5">
      <c r="A1146" s="54">
        <v>1145</v>
      </c>
      <c r="B1146" s="90" t="s">
        <v>634</v>
      </c>
      <c r="C1146" t="s">
        <v>314</v>
      </c>
      <c r="D1146" s="1" t="s">
        <v>1099</v>
      </c>
      <c r="E1146" s="112">
        <v>2003.05</v>
      </c>
      <c r="F1146" s="112">
        <v>2020.11</v>
      </c>
      <c r="G1146" s="107" t="s">
        <v>670</v>
      </c>
      <c r="H1146">
        <f>INDEX('GIS-Standards'!$A$2:$A$305,MATCH(B1146,'GIS-Standards'!$B$2:$B$305,0))</f>
        <v>50</v>
      </c>
      <c r="I1146">
        <f>INDEX('GIS-Standards'!$A$2:$A$305,MATCH(C1146,'GIS-Standards'!$B$2:$B$305,0))</f>
        <v>22</v>
      </c>
      <c r="J1146" t="str">
        <f>INDEX('GIS-Standards'!$O$2:$O$305,MATCH(B1146,'GIS-Standards'!$B$2:$B$305,0))</f>
        <v>ISO/TC 211</v>
      </c>
      <c r="K1146" t="str">
        <f>INDEX('GIS-Standards'!$O$2:$O$305,MATCH(C1146,'GIS-Standards'!$B$2:$B$305,0))</f>
        <v>ISO/TC 211</v>
      </c>
      <c r="M1146" t="s">
        <v>524</v>
      </c>
      <c r="N1146">
        <f>INDEX('GIS-Standards'!$I$2:$I$305,MATCH(B1146,'GIS-Standards'!$B$2:$B$305,0))</f>
        <v>0</v>
      </c>
      <c r="O1146" t="str">
        <f>INDEX('GIS-Standards'!$I$2:$I$305,MATCH(C1146,'GIS-Standards'!$B$2:$B$305,0))</f>
        <v>12.2020</v>
      </c>
      <c r="P1146" t="b">
        <f>AND(TableRelationships12[[#This Row],[Source Type]]="BIM",TableRelationships12[[#This Row],[Target Type]]="BIM")</f>
        <v>0</v>
      </c>
      <c r="Q1146">
        <f t="shared" si="51"/>
        <v>6</v>
      </c>
      <c r="S1146">
        <f t="shared" si="52"/>
        <v>1</v>
      </c>
      <c r="T1146" s="102" t="str">
        <f>IF(TableRelationships12[[#This Row],[Rank Pedro]]="Low","linkCategory1",IF(TableRelationships12[[#This Row],[Rank Pedro]]="Medium","linkCategory2",IF(TableRelationships12[[#This Row],[Rank Pedro]]="High","linkCategory3","")))</f>
        <v/>
      </c>
      <c r="U1146" s="102" t="str">
        <f>IF(TableRelationships12[[#This Row],[Rank Pedro]]="Low","Pink",IF(TableRelationships12[[#This Row],[Rank Pedro]]="Medium","Purple",IF(TableRelationships12[[#This Row],[Rank Pedro]]="High","Brown","")))</f>
        <v/>
      </c>
      <c r="V1146" s="4" t="e">
        <f>MAX(INDEX(Standards!$F$2:$F$296,MATCH(B1146,Standards!$B$2:$B$296,0)),INDEX(Standards!$F$2:$F$296,MATCH(C1146,Standards!$B$2:$B$296,0)))</f>
        <v>#N/A</v>
      </c>
      <c r="W1146" t="str">
        <f t="shared" si="53"/>
        <v>#d6bf2a</v>
      </c>
    </row>
    <row r="1147" spans="1:23" x14ac:dyDescent="0.5">
      <c r="A1147" s="54">
        <v>1146</v>
      </c>
      <c r="B1147" s="90" t="s">
        <v>634</v>
      </c>
      <c r="C1147" t="s">
        <v>316</v>
      </c>
      <c r="D1147" s="1"/>
      <c r="E1147" s="112">
        <v>2005.07</v>
      </c>
      <c r="F1147" s="112">
        <v>2011.1</v>
      </c>
      <c r="G1147" s="107" t="s">
        <v>670</v>
      </c>
      <c r="H1147">
        <f>INDEX('GIS-Standards'!$A$2:$A$305,MATCH(B1147,'GIS-Standards'!$B$2:$B$305,0))</f>
        <v>50</v>
      </c>
      <c r="I1147">
        <f>INDEX('GIS-Standards'!$A$2:$A$305,MATCH(C1147,'GIS-Standards'!$B$2:$B$305,0))</f>
        <v>27</v>
      </c>
      <c r="J1147" t="str">
        <f>INDEX('GIS-Standards'!$O$2:$O$305,MATCH(B1147,'GIS-Standards'!$B$2:$B$305,0))</f>
        <v>ISO/TC 211</v>
      </c>
      <c r="K1147" t="str">
        <f>INDEX('GIS-Standards'!$O$2:$O$305,MATCH(C1147,'GIS-Standards'!$B$2:$B$305,0))</f>
        <v>ISO/TC 211</v>
      </c>
      <c r="M1147" t="s">
        <v>524</v>
      </c>
      <c r="N1147">
        <f>INDEX('GIS-Standards'!$I$2:$I$305,MATCH(B1147,'GIS-Standards'!$B$2:$B$305,0))</f>
        <v>0</v>
      </c>
      <c r="O1147">
        <f>INDEX('GIS-Standards'!$I$2:$I$305,MATCH(C1147,'GIS-Standards'!$B$2:$B$305,0))</f>
        <v>0</v>
      </c>
      <c r="P1147" t="b">
        <f>AND(TableRelationships12[[#This Row],[Source Type]]="BIM",TableRelationships12[[#This Row],[Target Type]]="BIM")</f>
        <v>0</v>
      </c>
      <c r="Q1147">
        <f t="shared" si="51"/>
        <v>6</v>
      </c>
      <c r="S1147">
        <f t="shared" si="52"/>
        <v>1</v>
      </c>
      <c r="T1147" s="102" t="str">
        <f>IF(TableRelationships12[[#This Row],[Rank Pedro]]="Low","linkCategory1",IF(TableRelationships12[[#This Row],[Rank Pedro]]="Medium","linkCategory2",IF(TableRelationships12[[#This Row],[Rank Pedro]]="High","linkCategory3","")))</f>
        <v/>
      </c>
      <c r="U1147" s="102" t="str">
        <f>IF(TableRelationships12[[#This Row],[Rank Pedro]]="Low","Pink",IF(TableRelationships12[[#This Row],[Rank Pedro]]="Medium","Purple",IF(TableRelationships12[[#This Row],[Rank Pedro]]="High","Brown","")))</f>
        <v/>
      </c>
      <c r="V1147" s="4" t="e">
        <f>MAX(INDEX(Standards!$F$2:$F$296,MATCH(B1147,Standards!$B$2:$B$296,0)),INDEX(Standards!$F$2:$F$296,MATCH(C1147,Standards!$B$2:$B$296,0)))</f>
        <v>#N/A</v>
      </c>
      <c r="W1147" t="str">
        <f t="shared" si="53"/>
        <v>#d6bf2a</v>
      </c>
    </row>
    <row r="1148" spans="1:23" x14ac:dyDescent="0.5">
      <c r="A1148" s="54">
        <v>1147</v>
      </c>
      <c r="B1148" s="90" t="s">
        <v>634</v>
      </c>
      <c r="C1148" t="s">
        <v>1048</v>
      </c>
      <c r="D1148" s="1" t="s">
        <v>1152</v>
      </c>
      <c r="E1148" s="112">
        <v>2005.1</v>
      </c>
      <c r="F1148" s="112">
        <v>2021.02</v>
      </c>
      <c r="G1148" s="107" t="s">
        <v>670</v>
      </c>
      <c r="H1148">
        <f>INDEX('GIS-Standards'!$A$2:$A$305,MATCH(B1148,'GIS-Standards'!$B$2:$B$305,0))</f>
        <v>50</v>
      </c>
      <c r="I1148">
        <f>INDEX('GIS-Standards'!$A$2:$A$305,MATCH(C1148,'GIS-Standards'!$B$2:$B$305,0))</f>
        <v>41</v>
      </c>
      <c r="J1148" t="str">
        <f>INDEX('GIS-Standards'!$O$2:$O$305,MATCH(B1148,'GIS-Standards'!$B$2:$B$305,0))</f>
        <v>ISO/TC 211</v>
      </c>
      <c r="K1148" t="str">
        <f>INDEX('GIS-Standards'!$O$2:$O$305,MATCH(C1148,'GIS-Standards'!$B$2:$B$305,0))</f>
        <v>ISO/TC 211</v>
      </c>
      <c r="M1148" t="s">
        <v>524</v>
      </c>
      <c r="N1148">
        <f>INDEX('GIS-Standards'!$I$2:$I$305,MATCH(B1148,'GIS-Standards'!$B$2:$B$305,0))</f>
        <v>0</v>
      </c>
      <c r="O1148" t="str">
        <f>INDEX('GIS-Standards'!$I$2:$I$305,MATCH(C1148,'GIS-Standards'!$B$2:$B$305,0))</f>
        <v>03.2021</v>
      </c>
      <c r="P1148" t="b">
        <f>AND(TableRelationships12[[#This Row],[Source Type]]="BIM",TableRelationships12[[#This Row],[Target Type]]="BIM")</f>
        <v>0</v>
      </c>
      <c r="Q1148">
        <f t="shared" si="51"/>
        <v>6</v>
      </c>
      <c r="S1148">
        <f t="shared" si="52"/>
        <v>1</v>
      </c>
      <c r="T1148" s="102" t="str">
        <f>IF(TableRelationships12[[#This Row],[Rank Pedro]]="Low","linkCategory1",IF(TableRelationships12[[#This Row],[Rank Pedro]]="Medium","linkCategory2",IF(TableRelationships12[[#This Row],[Rank Pedro]]="High","linkCategory3","")))</f>
        <v/>
      </c>
      <c r="U1148" s="102" t="str">
        <f>IF(TableRelationships12[[#This Row],[Rank Pedro]]="Low","Pink",IF(TableRelationships12[[#This Row],[Rank Pedro]]="Medium","Purple",IF(TableRelationships12[[#This Row],[Rank Pedro]]="High","Brown","")))</f>
        <v/>
      </c>
      <c r="V1148" s="4" t="e">
        <f>MAX(INDEX(Standards!$F$2:$F$296,MATCH(B1148,Standards!$B$2:$B$296,0)),INDEX(Standards!$F$2:$F$296,MATCH(C1148,Standards!$B$2:$B$296,0)))</f>
        <v>#N/A</v>
      </c>
      <c r="W1148" t="str">
        <f t="shared" si="53"/>
        <v>#d6bf2a</v>
      </c>
    </row>
    <row r="1149" spans="1:23" x14ac:dyDescent="0.5">
      <c r="A1149" s="54">
        <v>1148</v>
      </c>
      <c r="B1149" s="90" t="s">
        <v>634</v>
      </c>
      <c r="C1149" t="s">
        <v>653</v>
      </c>
      <c r="D1149" s="1" t="s">
        <v>1115</v>
      </c>
      <c r="E1149" s="113">
        <v>2007.04</v>
      </c>
      <c r="F1149" s="113">
        <v>2019.03</v>
      </c>
      <c r="G1149" s="107" t="s">
        <v>670</v>
      </c>
      <c r="H1149">
        <f>INDEX('GIS-Standards'!$A$2:$A$305,MATCH(B1149,'GIS-Standards'!$B$2:$B$305,0))</f>
        <v>50</v>
      </c>
      <c r="I1149">
        <f>INDEX('GIS-Standards'!$A$2:$A$305,MATCH(C1149,'GIS-Standards'!$B$2:$B$305,0))</f>
        <v>102</v>
      </c>
      <c r="J1149" t="str">
        <f>INDEX('GIS-Standards'!$O$2:$O$305,MATCH(B1149,'GIS-Standards'!$B$2:$B$305,0))</f>
        <v>ISO/TC 211</v>
      </c>
      <c r="K1149" t="str">
        <f>INDEX('GIS-Standards'!$O$2:$O$305,MATCH(C1149,'GIS-Standards'!$B$2:$B$305,0))</f>
        <v>ISO/TC 211</v>
      </c>
      <c r="M1149" t="s">
        <v>524</v>
      </c>
      <c r="N1149">
        <f>INDEX('GIS-Standards'!$I$2:$I$305,MATCH(B1149,'GIS-Standards'!$B$2:$B$305,0))</f>
        <v>0</v>
      </c>
      <c r="O1149">
        <f>INDEX('GIS-Standards'!$I$2:$I$305,MATCH(C1149,'GIS-Standards'!$B$2:$B$305,0))</f>
        <v>0</v>
      </c>
      <c r="P1149" t="b">
        <f>AND(TableRelationships12[[#This Row],[Source Type]]="BIM",TableRelationships12[[#This Row],[Target Type]]="BIM")</f>
        <v>0</v>
      </c>
      <c r="Q1149">
        <f t="shared" si="51"/>
        <v>6</v>
      </c>
      <c r="S1149">
        <f t="shared" si="52"/>
        <v>1</v>
      </c>
      <c r="T1149" s="102" t="str">
        <f>IF(TableRelationships12[[#This Row],[Rank Pedro]]="Low","linkCategory1",IF(TableRelationships12[[#This Row],[Rank Pedro]]="Medium","linkCategory2",IF(TableRelationships12[[#This Row],[Rank Pedro]]="High","linkCategory3","")))</f>
        <v/>
      </c>
      <c r="U1149" s="102" t="str">
        <f>IF(TableRelationships12[[#This Row],[Rank Pedro]]="Low","Pink",IF(TableRelationships12[[#This Row],[Rank Pedro]]="Medium","Purple",IF(TableRelationships12[[#This Row],[Rank Pedro]]="High","Brown","")))</f>
        <v/>
      </c>
      <c r="V1149" s="4" t="e">
        <f>MAX(INDEX(Standards!$F$2:$F$296,MATCH(B1149,Standards!$B$2:$B$296,0)),INDEX(Standards!$F$2:$F$296,MATCH(C1149,Standards!$B$2:$B$296,0)))</f>
        <v>#N/A</v>
      </c>
      <c r="W1149" t="str">
        <f t="shared" si="53"/>
        <v>#d6bf2a</v>
      </c>
    </row>
    <row r="1150" spans="1:23" x14ac:dyDescent="0.5">
      <c r="A1150" s="54">
        <v>1149</v>
      </c>
      <c r="B1150" s="90" t="s">
        <v>634</v>
      </c>
      <c r="C1150" t="s">
        <v>1594</v>
      </c>
      <c r="D1150" s="1"/>
      <c r="G1150" s="107"/>
      <c r="H1150">
        <f>INDEX('GIS-Standards'!$A$2:$A$305,MATCH(B1150,'GIS-Standards'!$B$2:$B$305,0))</f>
        <v>50</v>
      </c>
      <c r="I1150" t="e">
        <f>INDEX('GIS-Standards'!$A$2:$A$305,MATCH(C1150,'GIS-Standards'!$B$2:$B$305,0))</f>
        <v>#N/A</v>
      </c>
      <c r="J1150" t="str">
        <f>INDEX('GIS-Standards'!$O$2:$O$305,MATCH(B1150,'GIS-Standards'!$B$2:$B$305,0))</f>
        <v>ISO/TC 211</v>
      </c>
      <c r="K1150" t="e">
        <f>INDEX('GIS-Standards'!$O$2:$O$305,MATCH(C1150,'GIS-Standards'!$B$2:$B$305,0))</f>
        <v>#N/A</v>
      </c>
      <c r="M1150" t="s">
        <v>524</v>
      </c>
      <c r="N1150">
        <f>INDEX('GIS-Standards'!$I$2:$I$305,MATCH(B1150,'GIS-Standards'!$B$2:$B$305,0))</f>
        <v>0</v>
      </c>
      <c r="O1150" t="e">
        <f>INDEX('GIS-Standards'!$I$2:$I$305,MATCH(C1150,'GIS-Standards'!$B$2:$B$305,0))</f>
        <v>#N/A</v>
      </c>
      <c r="P1150" t="e">
        <f>AND(TableRelationships12[[#This Row],[Source Type]]="BIM",TableRelationships12[[#This Row],[Target Type]]="BIM")</f>
        <v>#N/A</v>
      </c>
      <c r="Q1150">
        <f t="shared" si="51"/>
        <v>6</v>
      </c>
      <c r="S1150">
        <f t="shared" si="52"/>
        <v>1</v>
      </c>
      <c r="T1150" s="102" t="str">
        <f>IF(TableRelationships12[[#This Row],[Rank Pedro]]="Low","linkCategory1",IF(TableRelationships12[[#This Row],[Rank Pedro]]="Medium","linkCategory2",IF(TableRelationships12[[#This Row],[Rank Pedro]]="High","linkCategory3","")))</f>
        <v/>
      </c>
      <c r="U1150" s="102" t="str">
        <f>IF(TableRelationships12[[#This Row],[Rank Pedro]]="Low","Pink",IF(TableRelationships12[[#This Row],[Rank Pedro]]="Medium","Purple",IF(TableRelationships12[[#This Row],[Rank Pedro]]="High","Brown","")))</f>
        <v/>
      </c>
      <c r="V1150" s="4" t="e">
        <f>MAX(INDEX(Standards!$F$2:$F$296,MATCH(B1150,Standards!$B$2:$B$296,0)),INDEX(Standards!$F$2:$F$296,MATCH(C1150,Standards!$B$2:$B$296,0)))</f>
        <v>#N/A</v>
      </c>
      <c r="W1150" t="str">
        <f t="shared" si="53"/>
        <v>#d6bf2a</v>
      </c>
    </row>
    <row r="1151" spans="1:23" x14ac:dyDescent="0.5">
      <c r="A1151" s="54">
        <v>1150</v>
      </c>
      <c r="B1151" s="90" t="s">
        <v>634</v>
      </c>
      <c r="C1151" t="s">
        <v>1141</v>
      </c>
      <c r="D1151" s="1"/>
      <c r="G1151" s="107"/>
      <c r="H1151">
        <f>INDEX('GIS-Standards'!$A$2:$A$305,MATCH(B1151,'GIS-Standards'!$B$2:$B$305,0))</f>
        <v>50</v>
      </c>
      <c r="I1151" t="e">
        <f>INDEX('GIS-Standards'!$A$2:$A$305,MATCH(C1151,'GIS-Standards'!$B$2:$B$305,0))</f>
        <v>#N/A</v>
      </c>
      <c r="J1151" t="str">
        <f>INDEX('GIS-Standards'!$O$2:$O$305,MATCH(B1151,'GIS-Standards'!$B$2:$B$305,0))</f>
        <v>ISO/TC 211</v>
      </c>
      <c r="K1151" t="e">
        <f>INDEX('GIS-Standards'!$O$2:$O$305,MATCH(C1151,'GIS-Standards'!$B$2:$B$305,0))</f>
        <v>#N/A</v>
      </c>
      <c r="M1151" t="s">
        <v>524</v>
      </c>
      <c r="N1151">
        <f>INDEX('GIS-Standards'!$I$2:$I$305,MATCH(B1151,'GIS-Standards'!$B$2:$B$305,0))</f>
        <v>0</v>
      </c>
      <c r="O1151" t="e">
        <f>INDEX('GIS-Standards'!$I$2:$I$305,MATCH(C1151,'GIS-Standards'!$B$2:$B$305,0))</f>
        <v>#N/A</v>
      </c>
      <c r="P1151" t="e">
        <f>AND(TableRelationships12[[#This Row],[Source Type]]="BIM",TableRelationships12[[#This Row],[Target Type]]="BIM")</f>
        <v>#N/A</v>
      </c>
      <c r="Q1151">
        <f t="shared" si="51"/>
        <v>6</v>
      </c>
      <c r="S1151">
        <f t="shared" si="52"/>
        <v>1</v>
      </c>
      <c r="T1151" s="102" t="str">
        <f>IF(TableRelationships12[[#This Row],[Rank Pedro]]="Low","linkCategory1",IF(TableRelationships12[[#This Row],[Rank Pedro]]="Medium","linkCategory2",IF(TableRelationships12[[#This Row],[Rank Pedro]]="High","linkCategory3","")))</f>
        <v/>
      </c>
      <c r="U1151" s="102" t="str">
        <f>IF(TableRelationships12[[#This Row],[Rank Pedro]]="Low","Pink",IF(TableRelationships12[[#This Row],[Rank Pedro]]="Medium","Purple",IF(TableRelationships12[[#This Row],[Rank Pedro]]="High","Brown","")))</f>
        <v/>
      </c>
      <c r="V1151" s="4" t="e">
        <f>MAX(INDEX(Standards!$F$2:$F$296,MATCH(B1151,Standards!$B$2:$B$296,0)),INDEX(Standards!$F$2:$F$296,MATCH(C1151,Standards!$B$2:$B$296,0)))</f>
        <v>#N/A</v>
      </c>
      <c r="W1151" t="str">
        <f t="shared" si="53"/>
        <v>#d6bf2a</v>
      </c>
    </row>
    <row r="1152" spans="1:23" x14ac:dyDescent="0.5">
      <c r="A1152" s="54">
        <v>1151</v>
      </c>
      <c r="B1152" s="90" t="s">
        <v>634</v>
      </c>
      <c r="C1152" t="s">
        <v>1142</v>
      </c>
      <c r="D1152" s="1"/>
      <c r="G1152" s="107"/>
      <c r="H1152">
        <f>INDEX('GIS-Standards'!$A$2:$A$305,MATCH(B1152,'GIS-Standards'!$B$2:$B$305,0))</f>
        <v>50</v>
      </c>
      <c r="I1152" t="e">
        <f>INDEX('GIS-Standards'!$A$2:$A$305,MATCH(C1152,'GIS-Standards'!$B$2:$B$305,0))</f>
        <v>#N/A</v>
      </c>
      <c r="J1152" t="str">
        <f>INDEX('GIS-Standards'!$O$2:$O$305,MATCH(B1152,'GIS-Standards'!$B$2:$B$305,0))</f>
        <v>ISO/TC 211</v>
      </c>
      <c r="K1152" t="e">
        <f>INDEX('GIS-Standards'!$O$2:$O$305,MATCH(C1152,'GIS-Standards'!$B$2:$B$305,0))</f>
        <v>#N/A</v>
      </c>
      <c r="M1152" t="s">
        <v>524</v>
      </c>
      <c r="N1152">
        <f>INDEX('GIS-Standards'!$I$2:$I$305,MATCH(B1152,'GIS-Standards'!$B$2:$B$305,0))</f>
        <v>0</v>
      </c>
      <c r="O1152" t="e">
        <f>INDEX('GIS-Standards'!$I$2:$I$305,MATCH(C1152,'GIS-Standards'!$B$2:$B$305,0))</f>
        <v>#N/A</v>
      </c>
      <c r="P1152" t="e">
        <f>AND(TableRelationships12[[#This Row],[Source Type]]="BIM",TableRelationships12[[#This Row],[Target Type]]="BIM")</f>
        <v>#N/A</v>
      </c>
      <c r="Q1152">
        <f t="shared" si="51"/>
        <v>6</v>
      </c>
      <c r="S1152">
        <f t="shared" si="52"/>
        <v>1</v>
      </c>
      <c r="T1152" s="102" t="str">
        <f>IF(TableRelationships12[[#This Row],[Rank Pedro]]="Low","linkCategory1",IF(TableRelationships12[[#This Row],[Rank Pedro]]="Medium","linkCategory2",IF(TableRelationships12[[#This Row],[Rank Pedro]]="High","linkCategory3","")))</f>
        <v/>
      </c>
      <c r="U1152" s="102" t="str">
        <f>IF(TableRelationships12[[#This Row],[Rank Pedro]]="Low","Pink",IF(TableRelationships12[[#This Row],[Rank Pedro]]="Medium","Purple",IF(TableRelationships12[[#This Row],[Rank Pedro]]="High","Brown","")))</f>
        <v/>
      </c>
      <c r="V1152" s="4" t="e">
        <f>MAX(INDEX(Standards!$F$2:$F$296,MATCH(B1152,Standards!$B$2:$B$296,0)),INDEX(Standards!$F$2:$F$296,MATCH(C1152,Standards!$B$2:$B$296,0)))</f>
        <v>#N/A</v>
      </c>
      <c r="W1152" t="str">
        <f t="shared" si="53"/>
        <v>#d6bf2a</v>
      </c>
    </row>
    <row r="1153" spans="1:23" x14ac:dyDescent="0.5">
      <c r="A1153" s="54">
        <v>1152</v>
      </c>
      <c r="B1153" s="90" t="s">
        <v>634</v>
      </c>
      <c r="C1153" t="s">
        <v>1595</v>
      </c>
      <c r="D1153" s="1"/>
      <c r="G1153" s="107"/>
      <c r="H1153">
        <f>INDEX('GIS-Standards'!$A$2:$A$305,MATCH(B1153,'GIS-Standards'!$B$2:$B$305,0))</f>
        <v>50</v>
      </c>
      <c r="I1153" t="e">
        <f>INDEX('GIS-Standards'!$A$2:$A$305,MATCH(C1153,'GIS-Standards'!$B$2:$B$305,0))</f>
        <v>#N/A</v>
      </c>
      <c r="J1153" t="str">
        <f>INDEX('GIS-Standards'!$O$2:$O$305,MATCH(B1153,'GIS-Standards'!$B$2:$B$305,0))</f>
        <v>ISO/TC 211</v>
      </c>
      <c r="K1153" t="e">
        <f>INDEX('GIS-Standards'!$O$2:$O$305,MATCH(C1153,'GIS-Standards'!$B$2:$B$305,0))</f>
        <v>#N/A</v>
      </c>
      <c r="M1153" t="s">
        <v>524</v>
      </c>
      <c r="N1153">
        <f>INDEX('GIS-Standards'!$I$2:$I$305,MATCH(B1153,'GIS-Standards'!$B$2:$B$305,0))</f>
        <v>0</v>
      </c>
      <c r="O1153" t="e">
        <f>INDEX('GIS-Standards'!$I$2:$I$305,MATCH(C1153,'GIS-Standards'!$B$2:$B$305,0))</f>
        <v>#N/A</v>
      </c>
      <c r="P1153" t="e">
        <f>AND(TableRelationships12[[#This Row],[Source Type]]="BIM",TableRelationships12[[#This Row],[Target Type]]="BIM")</f>
        <v>#N/A</v>
      </c>
      <c r="Q1153">
        <f t="shared" si="51"/>
        <v>6</v>
      </c>
      <c r="S1153">
        <f t="shared" si="52"/>
        <v>1</v>
      </c>
      <c r="T1153" s="102" t="str">
        <f>IF(TableRelationships12[[#This Row],[Rank Pedro]]="Low","linkCategory1",IF(TableRelationships12[[#This Row],[Rank Pedro]]="Medium","linkCategory2",IF(TableRelationships12[[#This Row],[Rank Pedro]]="High","linkCategory3","")))</f>
        <v/>
      </c>
      <c r="U1153" s="102" t="str">
        <f>IF(TableRelationships12[[#This Row],[Rank Pedro]]="Low","Pink",IF(TableRelationships12[[#This Row],[Rank Pedro]]="Medium","Purple",IF(TableRelationships12[[#This Row],[Rank Pedro]]="High","Brown","")))</f>
        <v/>
      </c>
      <c r="V1153" s="4" t="e">
        <f>MAX(INDEX(Standards!$F$2:$F$296,MATCH(B1153,Standards!$B$2:$B$296,0)),INDEX(Standards!$F$2:$F$296,MATCH(C1153,Standards!$B$2:$B$296,0)))</f>
        <v>#N/A</v>
      </c>
      <c r="W1153" t="str">
        <f t="shared" si="53"/>
        <v>#d6bf2a</v>
      </c>
    </row>
    <row r="1154" spans="1:23" x14ac:dyDescent="0.5">
      <c r="A1154" s="54">
        <v>1153</v>
      </c>
      <c r="B1154" s="90" t="s">
        <v>634</v>
      </c>
      <c r="C1154" t="s">
        <v>1597</v>
      </c>
      <c r="D1154" s="1"/>
      <c r="G1154" s="107"/>
      <c r="H1154">
        <f>INDEX('GIS-Standards'!$A$2:$A$305,MATCH(B1154,'GIS-Standards'!$B$2:$B$305,0))</f>
        <v>50</v>
      </c>
      <c r="I1154" t="e">
        <f>INDEX('GIS-Standards'!$A$2:$A$305,MATCH(C1154,'GIS-Standards'!$B$2:$B$305,0))</f>
        <v>#N/A</v>
      </c>
      <c r="J1154" t="str">
        <f>INDEX('GIS-Standards'!$O$2:$O$305,MATCH(B1154,'GIS-Standards'!$B$2:$B$305,0))</f>
        <v>ISO/TC 211</v>
      </c>
      <c r="K1154" t="e">
        <f>INDEX('GIS-Standards'!$O$2:$O$305,MATCH(C1154,'GIS-Standards'!$B$2:$B$305,0))</f>
        <v>#N/A</v>
      </c>
      <c r="M1154" t="s">
        <v>524</v>
      </c>
      <c r="N1154">
        <f>INDEX('GIS-Standards'!$I$2:$I$305,MATCH(B1154,'GIS-Standards'!$B$2:$B$305,0))</f>
        <v>0</v>
      </c>
      <c r="O1154" t="e">
        <f>INDEX('GIS-Standards'!$I$2:$I$305,MATCH(C1154,'GIS-Standards'!$B$2:$B$305,0))</f>
        <v>#N/A</v>
      </c>
      <c r="P1154" t="e">
        <f>AND(TableRelationships12[[#This Row],[Source Type]]="BIM",TableRelationships12[[#This Row],[Target Type]]="BIM")</f>
        <v>#N/A</v>
      </c>
      <c r="Q1154">
        <f t="shared" ref="Q1154:Q1217" si="54">IF(M1154="Normative",6,IF(M1154="Secondary",4,IF(M1154="Anchor",2,1)))</f>
        <v>6</v>
      </c>
      <c r="S1154">
        <f t="shared" ref="S1154:S1217" si="55">IF(R1154="High",10,IF(R1154="Medium",6,IF(R1154="Low",2,1)))</f>
        <v>1</v>
      </c>
      <c r="T1154" s="102" t="str">
        <f>IF(TableRelationships12[[#This Row],[Rank Pedro]]="Low","linkCategory1",IF(TableRelationships12[[#This Row],[Rank Pedro]]="Medium","linkCategory2",IF(TableRelationships12[[#This Row],[Rank Pedro]]="High","linkCategory3","")))</f>
        <v/>
      </c>
      <c r="U1154" s="102" t="str">
        <f>IF(TableRelationships12[[#This Row],[Rank Pedro]]="Low","Pink",IF(TableRelationships12[[#This Row],[Rank Pedro]]="Medium","Purple",IF(TableRelationships12[[#This Row],[Rank Pedro]]="High","Brown","")))</f>
        <v/>
      </c>
      <c r="V1154" s="4" t="e">
        <f>MAX(INDEX(Standards!$F$2:$F$296,MATCH(B1154,Standards!$B$2:$B$296,0)),INDEX(Standards!$F$2:$F$296,MATCH(C1154,Standards!$B$2:$B$296,0)))</f>
        <v>#N/A</v>
      </c>
      <c r="W1154" t="str">
        <f t="shared" ref="W1154:W1217" si="56">IF(M1154="Normative", "#d6bf2a", IF(M1154="Informative", "#2f89d1", 1))</f>
        <v>#d6bf2a</v>
      </c>
    </row>
    <row r="1155" spans="1:23" x14ac:dyDescent="0.5">
      <c r="A1155" s="54">
        <v>1154</v>
      </c>
      <c r="B1155" s="90" t="s">
        <v>634</v>
      </c>
      <c r="C1155" t="s">
        <v>132</v>
      </c>
      <c r="D1155" s="1"/>
      <c r="E1155" s="112">
        <v>1997.09</v>
      </c>
      <c r="F1155" s="112">
        <v>2020.08</v>
      </c>
      <c r="G1155" s="107" t="s">
        <v>1481</v>
      </c>
      <c r="H1155">
        <f>INDEX('GIS-Standards'!$A$2:$A$305,MATCH(B1155,'GIS-Standards'!$B$2:$B$305,0))</f>
        <v>50</v>
      </c>
      <c r="I1155" t="e">
        <f>INDEX('GIS-Standards'!$A$2:$A$305,MATCH(C1155,'GIS-Standards'!$B$2:$B$305,0))</f>
        <v>#N/A</v>
      </c>
      <c r="J1155" t="str">
        <f>INDEX('GIS-Standards'!$O$2:$O$305,MATCH(B1155,'GIS-Standards'!$B$2:$B$305,0))</f>
        <v>ISO/TC 211</v>
      </c>
      <c r="K1155" t="e">
        <f>INDEX('GIS-Standards'!$O$2:$O$305,MATCH(C1155,'GIS-Standards'!$B$2:$B$305,0))</f>
        <v>#N/A</v>
      </c>
      <c r="M1155" t="s">
        <v>525</v>
      </c>
      <c r="N1155">
        <f>INDEX('GIS-Standards'!$I$2:$I$305,MATCH(B1155,'GIS-Standards'!$B$2:$B$305,0))</f>
        <v>0</v>
      </c>
      <c r="O1155" t="e">
        <f>INDEX('GIS-Standards'!$I$2:$I$305,MATCH(C1155,'GIS-Standards'!$B$2:$B$305,0))</f>
        <v>#N/A</v>
      </c>
      <c r="P1155" t="e">
        <f>AND(TableRelationships12[[#This Row],[Source Type]]="BIM",TableRelationships12[[#This Row],[Target Type]]="BIM")</f>
        <v>#N/A</v>
      </c>
      <c r="Q1155">
        <f t="shared" si="54"/>
        <v>1</v>
      </c>
      <c r="S1155">
        <f t="shared" si="55"/>
        <v>1</v>
      </c>
      <c r="T1155" s="102" t="str">
        <f>IF(TableRelationships12[[#This Row],[Rank Pedro]]="Low","linkCategory1",IF(TableRelationships12[[#This Row],[Rank Pedro]]="Medium","linkCategory2",IF(TableRelationships12[[#This Row],[Rank Pedro]]="High","linkCategory3","")))</f>
        <v/>
      </c>
      <c r="U1155" s="102" t="str">
        <f>IF(TableRelationships12[[#This Row],[Rank Pedro]]="Low","Pink",IF(TableRelationships12[[#This Row],[Rank Pedro]]="Medium","Purple",IF(TableRelationships12[[#This Row],[Rank Pedro]]="High","Brown","")))</f>
        <v/>
      </c>
      <c r="V1155" s="4" t="e">
        <f>MAX(INDEX(Standards!$F$2:$F$296,MATCH(B1155,Standards!$B$2:$B$296,0)),INDEX(Standards!$F$2:$F$296,MATCH(C1155,Standards!$B$2:$B$296,0)))</f>
        <v>#N/A</v>
      </c>
      <c r="W1155" t="str">
        <f t="shared" si="56"/>
        <v>#2f89d1</v>
      </c>
    </row>
    <row r="1156" spans="1:23" x14ac:dyDescent="0.5">
      <c r="A1156" s="54">
        <v>1155</v>
      </c>
      <c r="B1156" s="90" t="s">
        <v>634</v>
      </c>
      <c r="C1156" t="s">
        <v>1146</v>
      </c>
      <c r="D1156" s="1"/>
      <c r="E1156" s="112">
        <v>1983.05</v>
      </c>
      <c r="F1156" s="112">
        <v>2022.09</v>
      </c>
      <c r="G1156" s="107" t="s">
        <v>670</v>
      </c>
      <c r="H1156">
        <f>INDEX('GIS-Standards'!$A$2:$A$305,MATCH(B1156,'GIS-Standards'!$B$2:$B$305,0))</f>
        <v>50</v>
      </c>
      <c r="I1156" t="e">
        <f>INDEX('GIS-Standards'!$A$2:$A$305,MATCH(C1156,'GIS-Standards'!$B$2:$B$305,0))</f>
        <v>#N/A</v>
      </c>
      <c r="J1156" t="str">
        <f>INDEX('GIS-Standards'!$O$2:$O$305,MATCH(B1156,'GIS-Standards'!$B$2:$B$305,0))</f>
        <v>ISO/TC 211</v>
      </c>
      <c r="K1156" t="e">
        <f>INDEX('GIS-Standards'!$O$2:$O$305,MATCH(C1156,'GIS-Standards'!$B$2:$B$305,0))</f>
        <v>#N/A</v>
      </c>
      <c r="M1156" t="s">
        <v>525</v>
      </c>
      <c r="N1156">
        <f>INDEX('GIS-Standards'!$I$2:$I$305,MATCH(B1156,'GIS-Standards'!$B$2:$B$305,0))</f>
        <v>0</v>
      </c>
      <c r="O1156" t="e">
        <f>INDEX('GIS-Standards'!$I$2:$I$305,MATCH(C1156,'GIS-Standards'!$B$2:$B$305,0))</f>
        <v>#N/A</v>
      </c>
      <c r="P1156" t="e">
        <f>AND(TableRelationships12[[#This Row],[Source Type]]="BIM",TableRelationships12[[#This Row],[Target Type]]="BIM")</f>
        <v>#N/A</v>
      </c>
      <c r="Q1156">
        <f t="shared" si="54"/>
        <v>1</v>
      </c>
      <c r="S1156">
        <f t="shared" si="55"/>
        <v>1</v>
      </c>
      <c r="T1156" s="102" t="str">
        <f>IF(TableRelationships12[[#This Row],[Rank Pedro]]="Low","linkCategory1",IF(TableRelationships12[[#This Row],[Rank Pedro]]="Medium","linkCategory2",IF(TableRelationships12[[#This Row],[Rank Pedro]]="High","linkCategory3","")))</f>
        <v/>
      </c>
      <c r="U1156" s="102" t="str">
        <f>IF(TableRelationships12[[#This Row],[Rank Pedro]]="Low","Pink",IF(TableRelationships12[[#This Row],[Rank Pedro]]="Medium","Purple",IF(TableRelationships12[[#This Row],[Rank Pedro]]="High","Brown","")))</f>
        <v/>
      </c>
      <c r="V1156" s="4" t="e">
        <f>MAX(INDEX(Standards!$F$2:$F$296,MATCH(B1156,Standards!$B$2:$B$296,0)),INDEX(Standards!$F$2:$F$296,MATCH(C1156,Standards!$B$2:$B$296,0)))</f>
        <v>#N/A</v>
      </c>
      <c r="W1156" t="str">
        <f t="shared" si="56"/>
        <v>#2f89d1</v>
      </c>
    </row>
    <row r="1157" spans="1:23" x14ac:dyDescent="0.5">
      <c r="A1157" s="54">
        <v>1156</v>
      </c>
      <c r="B1157" s="90" t="s">
        <v>634</v>
      </c>
      <c r="C1157" t="s">
        <v>1149</v>
      </c>
      <c r="D1157" s="1"/>
      <c r="E1157" s="112">
        <v>1985.12</v>
      </c>
      <c r="F1157" s="112">
        <v>1994.1</v>
      </c>
      <c r="G1157" s="107" t="s">
        <v>1502</v>
      </c>
      <c r="H1157">
        <f>INDEX('GIS-Standards'!$A$2:$A$305,MATCH(B1157,'GIS-Standards'!$B$2:$B$305,0))</f>
        <v>50</v>
      </c>
      <c r="I1157" t="e">
        <f>INDEX('GIS-Standards'!$A$2:$A$305,MATCH(C1157,'GIS-Standards'!$B$2:$B$305,0))</f>
        <v>#N/A</v>
      </c>
      <c r="J1157" t="str">
        <f>INDEX('GIS-Standards'!$O$2:$O$305,MATCH(B1157,'GIS-Standards'!$B$2:$B$305,0))</f>
        <v>ISO/TC 211</v>
      </c>
      <c r="K1157" t="e">
        <f>INDEX('GIS-Standards'!$O$2:$O$305,MATCH(C1157,'GIS-Standards'!$B$2:$B$305,0))</f>
        <v>#N/A</v>
      </c>
      <c r="M1157" t="s">
        <v>525</v>
      </c>
      <c r="N1157">
        <f>INDEX('GIS-Standards'!$I$2:$I$305,MATCH(B1157,'GIS-Standards'!$B$2:$B$305,0))</f>
        <v>0</v>
      </c>
      <c r="O1157" t="e">
        <f>INDEX('GIS-Standards'!$I$2:$I$305,MATCH(C1157,'GIS-Standards'!$B$2:$B$305,0))</f>
        <v>#N/A</v>
      </c>
      <c r="P1157" t="e">
        <f>AND(TableRelationships12[[#This Row],[Source Type]]="BIM",TableRelationships12[[#This Row],[Target Type]]="BIM")</f>
        <v>#N/A</v>
      </c>
      <c r="Q1157">
        <f t="shared" si="54"/>
        <v>1</v>
      </c>
      <c r="S1157">
        <f t="shared" si="55"/>
        <v>1</v>
      </c>
      <c r="T1157" s="102" t="str">
        <f>IF(TableRelationships12[[#This Row],[Rank Pedro]]="Low","linkCategory1",IF(TableRelationships12[[#This Row],[Rank Pedro]]="Medium","linkCategory2",IF(TableRelationships12[[#This Row],[Rank Pedro]]="High","linkCategory3","")))</f>
        <v/>
      </c>
      <c r="U1157" s="102" t="str">
        <f>IF(TableRelationships12[[#This Row],[Rank Pedro]]="Low","Pink",IF(TableRelationships12[[#This Row],[Rank Pedro]]="Medium","Purple",IF(TableRelationships12[[#This Row],[Rank Pedro]]="High","Brown","")))</f>
        <v/>
      </c>
      <c r="V1157" s="4" t="e">
        <f>MAX(INDEX(Standards!$F$2:$F$296,MATCH(B1157,Standards!$B$2:$B$296,0)),INDEX(Standards!$F$2:$F$296,MATCH(C1157,Standards!$B$2:$B$296,0)))</f>
        <v>#N/A</v>
      </c>
      <c r="W1157" t="str">
        <f t="shared" si="56"/>
        <v>#2f89d1</v>
      </c>
    </row>
    <row r="1158" spans="1:23" x14ac:dyDescent="0.5">
      <c r="A1158" s="54">
        <v>1157</v>
      </c>
      <c r="B1158" s="90" t="s">
        <v>634</v>
      </c>
      <c r="C1158" t="s">
        <v>130</v>
      </c>
      <c r="D1158" s="1"/>
      <c r="E1158" s="112">
        <v>1993.05</v>
      </c>
      <c r="F1158" s="112">
        <v>2025.06</v>
      </c>
      <c r="G1158" s="107" t="s">
        <v>1501</v>
      </c>
      <c r="H1158">
        <f>INDEX('GIS-Standards'!$A$2:$A$305,MATCH(B1158,'GIS-Standards'!$B$2:$B$305,0))</f>
        <v>50</v>
      </c>
      <c r="I1158" t="e">
        <f>INDEX('GIS-Standards'!$A$2:$A$305,MATCH(C1158,'GIS-Standards'!$B$2:$B$305,0))</f>
        <v>#N/A</v>
      </c>
      <c r="J1158" t="str">
        <f>INDEX('GIS-Standards'!$O$2:$O$305,MATCH(B1158,'GIS-Standards'!$B$2:$B$305,0))</f>
        <v>ISO/TC 211</v>
      </c>
      <c r="K1158" t="e">
        <f>INDEX('GIS-Standards'!$O$2:$O$305,MATCH(C1158,'GIS-Standards'!$B$2:$B$305,0))</f>
        <v>#N/A</v>
      </c>
      <c r="M1158" t="s">
        <v>525</v>
      </c>
      <c r="N1158">
        <f>INDEX('GIS-Standards'!$I$2:$I$305,MATCH(B1158,'GIS-Standards'!$B$2:$B$305,0))</f>
        <v>0</v>
      </c>
      <c r="O1158" t="e">
        <f>INDEX('GIS-Standards'!$I$2:$I$305,MATCH(C1158,'GIS-Standards'!$B$2:$B$305,0))</f>
        <v>#N/A</v>
      </c>
      <c r="P1158" t="e">
        <f>AND(TableRelationships12[[#This Row],[Source Type]]="BIM",TableRelationships12[[#This Row],[Target Type]]="BIM")</f>
        <v>#N/A</v>
      </c>
      <c r="Q1158">
        <f t="shared" si="54"/>
        <v>1</v>
      </c>
      <c r="S1158">
        <f t="shared" si="55"/>
        <v>1</v>
      </c>
      <c r="T1158" s="102" t="str">
        <f>IF(TableRelationships12[[#This Row],[Rank Pedro]]="Low","linkCategory1",IF(TableRelationships12[[#This Row],[Rank Pedro]]="Medium","linkCategory2",IF(TableRelationships12[[#This Row],[Rank Pedro]]="High","linkCategory3","")))</f>
        <v/>
      </c>
      <c r="U1158" s="102" t="str">
        <f>IF(TableRelationships12[[#This Row],[Rank Pedro]]="Low","Pink",IF(TableRelationships12[[#This Row],[Rank Pedro]]="Medium","Purple",IF(TableRelationships12[[#This Row],[Rank Pedro]]="High","Brown","")))</f>
        <v/>
      </c>
      <c r="V1158" s="4" t="e">
        <f>MAX(INDEX(Standards!$F$2:$F$296,MATCH(B1158,Standards!$B$2:$B$296,0)),INDEX(Standards!$F$2:$F$296,MATCH(C1158,Standards!$B$2:$B$296,0)))</f>
        <v>#N/A</v>
      </c>
      <c r="W1158" t="str">
        <f t="shared" si="56"/>
        <v>#2f89d1</v>
      </c>
    </row>
    <row r="1159" spans="1:23" x14ac:dyDescent="0.5">
      <c r="A1159" s="54">
        <v>1158</v>
      </c>
      <c r="B1159" s="90" t="s">
        <v>634</v>
      </c>
      <c r="C1159" t="s">
        <v>293</v>
      </c>
      <c r="D1159" s="1" t="s">
        <v>1127</v>
      </c>
      <c r="E1159" s="112">
        <v>2002.07</v>
      </c>
      <c r="F1159" s="112">
        <v>2014.11</v>
      </c>
      <c r="G1159" s="107" t="s">
        <v>670</v>
      </c>
      <c r="H1159">
        <f>INDEX('GIS-Standards'!$A$2:$A$305,MATCH(B1159,'GIS-Standards'!$B$2:$B$305,0))</f>
        <v>50</v>
      </c>
      <c r="I1159">
        <f>INDEX('GIS-Standards'!$A$2:$A$305,MATCH(C1159,'GIS-Standards'!$B$2:$B$305,0))</f>
        <v>10</v>
      </c>
      <c r="J1159" t="str">
        <f>INDEX('GIS-Standards'!$O$2:$O$305,MATCH(B1159,'GIS-Standards'!$B$2:$B$305,0))</f>
        <v>ISO/TC 211</v>
      </c>
      <c r="K1159" t="str">
        <f>INDEX('GIS-Standards'!$O$2:$O$305,MATCH(C1159,'GIS-Standards'!$B$2:$B$305,0))</f>
        <v>ISO/TC 211</v>
      </c>
      <c r="M1159" t="s">
        <v>525</v>
      </c>
      <c r="N1159">
        <f>INDEX('GIS-Standards'!$I$2:$I$305,MATCH(B1159,'GIS-Standards'!$B$2:$B$305,0))</f>
        <v>0</v>
      </c>
      <c r="O1159">
        <f>INDEX('GIS-Standards'!$I$2:$I$305,MATCH(C1159,'GIS-Standards'!$B$2:$B$305,0))</f>
        <v>0</v>
      </c>
      <c r="P1159" t="b">
        <f>AND(TableRelationships12[[#This Row],[Source Type]]="BIM",TableRelationships12[[#This Row],[Target Type]]="BIM")</f>
        <v>0</v>
      </c>
      <c r="Q1159">
        <f t="shared" si="54"/>
        <v>1</v>
      </c>
      <c r="S1159">
        <f t="shared" si="55"/>
        <v>1</v>
      </c>
      <c r="T1159" s="102" t="str">
        <f>IF(TableRelationships12[[#This Row],[Rank Pedro]]="Low","linkCategory1",IF(TableRelationships12[[#This Row],[Rank Pedro]]="Medium","linkCategory2",IF(TableRelationships12[[#This Row],[Rank Pedro]]="High","linkCategory3","")))</f>
        <v/>
      </c>
      <c r="U1159" s="102" t="str">
        <f>IF(TableRelationships12[[#This Row],[Rank Pedro]]="Low","Pink",IF(TableRelationships12[[#This Row],[Rank Pedro]]="Medium","Purple",IF(TableRelationships12[[#This Row],[Rank Pedro]]="High","Brown","")))</f>
        <v/>
      </c>
      <c r="V1159" s="4" t="e">
        <f>MAX(INDEX(Standards!$F$2:$F$296,MATCH(B1159,Standards!$B$2:$B$296,0)),INDEX(Standards!$F$2:$F$296,MATCH(C1159,Standards!$B$2:$B$296,0)))</f>
        <v>#N/A</v>
      </c>
      <c r="W1159" t="str">
        <f t="shared" si="56"/>
        <v>#2f89d1</v>
      </c>
    </row>
    <row r="1160" spans="1:23" x14ac:dyDescent="0.5">
      <c r="A1160" s="54">
        <v>1159</v>
      </c>
      <c r="B1160" s="90" t="s">
        <v>634</v>
      </c>
      <c r="C1160" t="s">
        <v>310</v>
      </c>
      <c r="D1160" s="1"/>
      <c r="E1160" s="112">
        <v>2003.02</v>
      </c>
      <c r="F1160" s="112">
        <v>2023.08</v>
      </c>
      <c r="G1160" s="107" t="s">
        <v>670</v>
      </c>
      <c r="H1160">
        <f>INDEX('GIS-Standards'!$A$2:$A$305,MATCH(B1160,'GIS-Standards'!$B$2:$B$305,0))</f>
        <v>50</v>
      </c>
      <c r="I1160">
        <f>INDEX('GIS-Standards'!$A$2:$A$305,MATCH(C1160,'GIS-Standards'!$B$2:$B$305,0))</f>
        <v>20</v>
      </c>
      <c r="J1160" t="str">
        <f>INDEX('GIS-Standards'!$O$2:$O$305,MATCH(B1160,'GIS-Standards'!$B$2:$B$305,0))</f>
        <v>ISO/TC 211</v>
      </c>
      <c r="K1160" t="str">
        <f>INDEX('GIS-Standards'!$O$2:$O$305,MATCH(C1160,'GIS-Standards'!$B$2:$B$305,0))</f>
        <v>ISO/TC 211</v>
      </c>
      <c r="M1160" t="s">
        <v>525</v>
      </c>
      <c r="N1160">
        <f>INDEX('GIS-Standards'!$I$2:$I$305,MATCH(B1160,'GIS-Standards'!$B$2:$B$305,0))</f>
        <v>0</v>
      </c>
      <c r="O1160" t="str">
        <f>INDEX('GIS-Standards'!$I$2:$I$305,MATCH(C1160,'GIS-Standards'!$B$2:$B$305,0))</f>
        <v>08.2023</v>
      </c>
      <c r="P1160" t="b">
        <f>AND(TableRelationships12[[#This Row],[Source Type]]="BIM",TableRelationships12[[#This Row],[Target Type]]="BIM")</f>
        <v>0</v>
      </c>
      <c r="Q1160">
        <f t="shared" si="54"/>
        <v>1</v>
      </c>
      <c r="S1160">
        <f t="shared" si="55"/>
        <v>1</v>
      </c>
      <c r="T1160" s="102" t="str">
        <f>IF(TableRelationships12[[#This Row],[Rank Pedro]]="Low","linkCategory1",IF(TableRelationships12[[#This Row],[Rank Pedro]]="Medium","linkCategory2",IF(TableRelationships12[[#This Row],[Rank Pedro]]="High","linkCategory3","")))</f>
        <v/>
      </c>
      <c r="U1160" s="102" t="str">
        <f>IF(TableRelationships12[[#This Row],[Rank Pedro]]="Low","Pink",IF(TableRelationships12[[#This Row],[Rank Pedro]]="Medium","Purple",IF(TableRelationships12[[#This Row],[Rank Pedro]]="High","Brown","")))</f>
        <v/>
      </c>
      <c r="V1160" s="4" t="e">
        <f>MAX(INDEX(Standards!$F$2:$F$296,MATCH(B1160,Standards!$B$2:$B$296,0)),INDEX(Standards!$F$2:$F$296,MATCH(C1160,Standards!$B$2:$B$296,0)))</f>
        <v>#N/A</v>
      </c>
      <c r="W1160" t="str">
        <f t="shared" si="56"/>
        <v>#2f89d1</v>
      </c>
    </row>
    <row r="1161" spans="1:23" x14ac:dyDescent="0.5">
      <c r="A1161" s="54">
        <v>1160</v>
      </c>
      <c r="B1161" s="90" t="s">
        <v>634</v>
      </c>
      <c r="C1161" t="s">
        <v>318</v>
      </c>
      <c r="D1161" s="1"/>
      <c r="E1161" s="112">
        <v>2005.02</v>
      </c>
      <c r="F1161" s="112">
        <v>2016.01</v>
      </c>
      <c r="G1161" s="107" t="s">
        <v>670</v>
      </c>
      <c r="H1161">
        <f>INDEX('GIS-Standards'!$A$2:$A$305,MATCH(B1161,'GIS-Standards'!$B$2:$B$305,0))</f>
        <v>50</v>
      </c>
      <c r="I1161">
        <f>INDEX('GIS-Standards'!$A$2:$A$305,MATCH(C1161,'GIS-Standards'!$B$2:$B$305,0))</f>
        <v>28</v>
      </c>
      <c r="J1161" t="str">
        <f>INDEX('GIS-Standards'!$O$2:$O$305,MATCH(B1161,'GIS-Standards'!$B$2:$B$305,0))</f>
        <v>ISO/TC 211</v>
      </c>
      <c r="K1161" t="str">
        <f>INDEX('GIS-Standards'!$O$2:$O$305,MATCH(C1161,'GIS-Standards'!$B$2:$B$305,0))</f>
        <v>ISO/TC 211</v>
      </c>
      <c r="M1161" t="s">
        <v>525</v>
      </c>
      <c r="N1161">
        <f>INDEX('GIS-Standards'!$I$2:$I$305,MATCH(B1161,'GIS-Standards'!$B$2:$B$305,0))</f>
        <v>0</v>
      </c>
      <c r="O1161">
        <f>INDEX('GIS-Standards'!$I$2:$I$305,MATCH(C1161,'GIS-Standards'!$B$2:$B$305,0))</f>
        <v>0</v>
      </c>
      <c r="P1161" t="b">
        <f>AND(TableRelationships12[[#This Row],[Source Type]]="BIM",TableRelationships12[[#This Row],[Target Type]]="BIM")</f>
        <v>0</v>
      </c>
      <c r="Q1161">
        <f t="shared" si="54"/>
        <v>1</v>
      </c>
      <c r="S1161">
        <f t="shared" si="55"/>
        <v>1</v>
      </c>
      <c r="T1161" s="102" t="str">
        <f>IF(TableRelationships12[[#This Row],[Rank Pedro]]="Low","linkCategory1",IF(TableRelationships12[[#This Row],[Rank Pedro]]="Medium","linkCategory2",IF(TableRelationships12[[#This Row],[Rank Pedro]]="High","linkCategory3","")))</f>
        <v/>
      </c>
      <c r="U1161" s="102" t="str">
        <f>IF(TableRelationships12[[#This Row],[Rank Pedro]]="Low","Pink",IF(TableRelationships12[[#This Row],[Rank Pedro]]="Medium","Purple",IF(TableRelationships12[[#This Row],[Rank Pedro]]="High","Brown","")))</f>
        <v/>
      </c>
      <c r="V1161" s="4" t="e">
        <f>MAX(INDEX(Standards!$F$2:$F$296,MATCH(B1161,Standards!$B$2:$B$296,0)),INDEX(Standards!$F$2:$F$296,MATCH(C1161,Standards!$B$2:$B$296,0)))</f>
        <v>#N/A</v>
      </c>
      <c r="W1161" t="str">
        <f t="shared" si="56"/>
        <v>#2f89d1</v>
      </c>
    </row>
    <row r="1162" spans="1:23" x14ac:dyDescent="0.5">
      <c r="A1162" s="54">
        <v>1161</v>
      </c>
      <c r="B1162" s="90" t="s">
        <v>634</v>
      </c>
      <c r="C1162" t="s">
        <v>324</v>
      </c>
      <c r="D1162" s="1"/>
      <c r="E1162" s="112">
        <v>2005.06</v>
      </c>
      <c r="F1162" s="112">
        <v>2019.02</v>
      </c>
      <c r="G1162" s="107" t="s">
        <v>1465</v>
      </c>
      <c r="H1162">
        <f>INDEX('GIS-Standards'!$A$2:$A$305,MATCH(B1162,'GIS-Standards'!$B$2:$B$305,0))</f>
        <v>50</v>
      </c>
      <c r="I1162">
        <f>INDEX('GIS-Standards'!$A$2:$A$305,MATCH(C1162,'GIS-Standards'!$B$2:$B$305,0))</f>
        <v>34</v>
      </c>
      <c r="J1162" t="str">
        <f>INDEX('GIS-Standards'!$O$2:$O$305,MATCH(B1162,'GIS-Standards'!$B$2:$B$305,0))</f>
        <v>ISO/TC 211</v>
      </c>
      <c r="K1162" t="str">
        <f>INDEX('GIS-Standards'!$O$2:$O$305,MATCH(C1162,'GIS-Standards'!$B$2:$B$305,0))</f>
        <v>ISO/TC 211</v>
      </c>
      <c r="M1162" t="s">
        <v>525</v>
      </c>
      <c r="N1162">
        <f>INDEX('GIS-Standards'!$I$2:$I$305,MATCH(B1162,'GIS-Standards'!$B$2:$B$305,0))</f>
        <v>0</v>
      </c>
      <c r="O1162">
        <f>INDEX('GIS-Standards'!$I$2:$I$305,MATCH(C1162,'GIS-Standards'!$B$2:$B$305,0))</f>
        <v>0</v>
      </c>
      <c r="P1162" t="b">
        <f>AND(TableRelationships12[[#This Row],[Source Type]]="BIM",TableRelationships12[[#This Row],[Target Type]]="BIM")</f>
        <v>0</v>
      </c>
      <c r="Q1162">
        <f t="shared" si="54"/>
        <v>1</v>
      </c>
      <c r="S1162">
        <f t="shared" si="55"/>
        <v>1</v>
      </c>
      <c r="T1162" s="102" t="str">
        <f>IF(TableRelationships12[[#This Row],[Rank Pedro]]="Low","linkCategory1",IF(TableRelationships12[[#This Row],[Rank Pedro]]="Medium","linkCategory2",IF(TableRelationships12[[#This Row],[Rank Pedro]]="High","linkCategory3","")))</f>
        <v/>
      </c>
      <c r="U1162" s="102" t="str">
        <f>IF(TableRelationships12[[#This Row],[Rank Pedro]]="Low","Pink",IF(TableRelationships12[[#This Row],[Rank Pedro]]="Medium","Purple",IF(TableRelationships12[[#This Row],[Rank Pedro]]="High","Brown","")))</f>
        <v/>
      </c>
      <c r="V1162" s="4" t="e">
        <f>MAX(INDEX(Standards!$F$2:$F$296,MATCH(B1162,Standards!$B$2:$B$296,0)),INDEX(Standards!$F$2:$F$296,MATCH(C1162,Standards!$B$2:$B$296,0)))</f>
        <v>#N/A</v>
      </c>
      <c r="W1162" t="str">
        <f t="shared" si="56"/>
        <v>#2f89d1</v>
      </c>
    </row>
    <row r="1163" spans="1:23" x14ac:dyDescent="0.5">
      <c r="A1163" s="54">
        <v>1162</v>
      </c>
      <c r="B1163" s="90" t="s">
        <v>634</v>
      </c>
      <c r="C1163" t="s">
        <v>334</v>
      </c>
      <c r="D1163" s="1" t="s">
        <v>1036</v>
      </c>
      <c r="E1163" s="113">
        <v>2007.09</v>
      </c>
      <c r="F1163" s="113">
        <v>2020.01</v>
      </c>
      <c r="G1163" s="107" t="s">
        <v>670</v>
      </c>
      <c r="H1163">
        <f>INDEX('GIS-Standards'!$A$2:$A$305,MATCH(B1163,'GIS-Standards'!$B$2:$B$305,0))</f>
        <v>50</v>
      </c>
      <c r="I1163">
        <f>INDEX('GIS-Standards'!$A$2:$A$305,MATCH(C1163,'GIS-Standards'!$B$2:$B$305,0))</f>
        <v>42</v>
      </c>
      <c r="J1163" t="str">
        <f>INDEX('GIS-Standards'!$O$2:$O$305,MATCH(B1163,'GIS-Standards'!$B$2:$B$305,0))</f>
        <v>ISO/TC 211</v>
      </c>
      <c r="K1163" t="str">
        <f>INDEX('GIS-Standards'!$O$2:$O$305,MATCH(C1163,'GIS-Standards'!$B$2:$B$305,0))</f>
        <v>ISO/TC 211</v>
      </c>
      <c r="M1163" t="s">
        <v>525</v>
      </c>
      <c r="N1163">
        <f>INDEX('GIS-Standards'!$I$2:$I$305,MATCH(B1163,'GIS-Standards'!$B$2:$B$305,0))</f>
        <v>0</v>
      </c>
      <c r="O1163">
        <f>INDEX('GIS-Standards'!$I$2:$I$305,MATCH(C1163,'GIS-Standards'!$B$2:$B$305,0))</f>
        <v>0</v>
      </c>
      <c r="P1163" t="b">
        <f>AND(TableRelationships12[[#This Row],[Source Type]]="BIM",TableRelationships12[[#This Row],[Target Type]]="BIM")</f>
        <v>0</v>
      </c>
      <c r="Q1163">
        <f t="shared" si="54"/>
        <v>1</v>
      </c>
      <c r="S1163">
        <f t="shared" si="55"/>
        <v>1</v>
      </c>
      <c r="T1163" s="102" t="str">
        <f>IF(TableRelationships12[[#This Row],[Rank Pedro]]="Low","linkCategory1",IF(TableRelationships12[[#This Row],[Rank Pedro]]="Medium","linkCategory2",IF(TableRelationships12[[#This Row],[Rank Pedro]]="High","linkCategory3","")))</f>
        <v/>
      </c>
      <c r="U1163" s="102" t="str">
        <f>IF(TableRelationships12[[#This Row],[Rank Pedro]]="Low","Pink",IF(TableRelationships12[[#This Row],[Rank Pedro]]="Medium","Purple",IF(TableRelationships12[[#This Row],[Rank Pedro]]="High","Brown","")))</f>
        <v/>
      </c>
      <c r="V1163" s="4" t="e">
        <f>MAX(INDEX(Standards!$F$2:$F$296,MATCH(B1163,Standards!$B$2:$B$296,0)),INDEX(Standards!$F$2:$F$296,MATCH(C1163,Standards!$B$2:$B$296,0)))</f>
        <v>#N/A</v>
      </c>
      <c r="W1163" t="str">
        <f t="shared" si="56"/>
        <v>#2f89d1</v>
      </c>
    </row>
    <row r="1164" spans="1:23" x14ac:dyDescent="0.5">
      <c r="A1164" s="54">
        <v>1163</v>
      </c>
      <c r="B1164" s="90" t="s">
        <v>634</v>
      </c>
      <c r="C1164" t="s">
        <v>1079</v>
      </c>
      <c r="D1164" s="1"/>
      <c r="E1164" s="112">
        <v>2005.04</v>
      </c>
      <c r="F1164" s="112">
        <v>2005.04</v>
      </c>
      <c r="G1164" s="107" t="s">
        <v>1502</v>
      </c>
      <c r="H1164">
        <f>INDEX('GIS-Standards'!$A$2:$A$305,MATCH(B1164,'GIS-Standards'!$B$2:$B$305,0))</f>
        <v>50</v>
      </c>
      <c r="I1164" t="e">
        <f>INDEX('GIS-Standards'!$A$2:$A$305,MATCH(C1164,'GIS-Standards'!$B$2:$B$305,0))</f>
        <v>#N/A</v>
      </c>
      <c r="J1164" t="str">
        <f>INDEX('GIS-Standards'!$O$2:$O$305,MATCH(B1164,'GIS-Standards'!$B$2:$B$305,0))</f>
        <v>ISO/TC 211</v>
      </c>
      <c r="K1164" t="e">
        <f>INDEX('GIS-Standards'!$O$2:$O$305,MATCH(C1164,'GIS-Standards'!$B$2:$B$305,0))</f>
        <v>#N/A</v>
      </c>
      <c r="M1164" t="s">
        <v>525</v>
      </c>
      <c r="N1164">
        <f>INDEX('GIS-Standards'!$I$2:$I$305,MATCH(B1164,'GIS-Standards'!$B$2:$B$305,0))</f>
        <v>0</v>
      </c>
      <c r="O1164" t="e">
        <f>INDEX('GIS-Standards'!$I$2:$I$305,MATCH(C1164,'GIS-Standards'!$B$2:$B$305,0))</f>
        <v>#N/A</v>
      </c>
      <c r="P1164" t="e">
        <f>AND(TableRelationships12[[#This Row],[Source Type]]="BIM",TableRelationships12[[#This Row],[Target Type]]="BIM")</f>
        <v>#N/A</v>
      </c>
      <c r="Q1164">
        <f t="shared" si="54"/>
        <v>1</v>
      </c>
      <c r="S1164">
        <f t="shared" si="55"/>
        <v>1</v>
      </c>
      <c r="T1164" s="102" t="str">
        <f>IF(TableRelationships12[[#This Row],[Rank Pedro]]="Low","linkCategory1",IF(TableRelationships12[[#This Row],[Rank Pedro]]="Medium","linkCategory2",IF(TableRelationships12[[#This Row],[Rank Pedro]]="High","linkCategory3","")))</f>
        <v/>
      </c>
      <c r="U1164" s="102" t="str">
        <f>IF(TableRelationships12[[#This Row],[Rank Pedro]]="Low","Pink",IF(TableRelationships12[[#This Row],[Rank Pedro]]="Medium","Purple",IF(TableRelationships12[[#This Row],[Rank Pedro]]="High","Brown","")))</f>
        <v/>
      </c>
      <c r="V1164" s="4" t="e">
        <f>MAX(INDEX(Standards!$F$2:$F$296,MATCH(B1164,Standards!$B$2:$B$296,0)),INDEX(Standards!$F$2:$F$296,MATCH(C1164,Standards!$B$2:$B$296,0)))</f>
        <v>#N/A</v>
      </c>
      <c r="W1164" t="str">
        <f t="shared" si="56"/>
        <v>#2f89d1</v>
      </c>
    </row>
    <row r="1165" spans="1:23" x14ac:dyDescent="0.5">
      <c r="A1165" s="54">
        <v>1164</v>
      </c>
      <c r="B1165" s="90" t="s">
        <v>634</v>
      </c>
      <c r="C1165" s="104" t="s">
        <v>474</v>
      </c>
      <c r="D1165" s="1" t="s">
        <v>1301</v>
      </c>
      <c r="E1165" s="113">
        <v>1974.12</v>
      </c>
      <c r="F1165" s="113">
        <v>2022.1</v>
      </c>
      <c r="G1165" s="107" t="s">
        <v>1511</v>
      </c>
      <c r="H1165">
        <f>INDEX('GIS-Standards'!$A$2:$A$305,MATCH(B1165,'GIS-Standards'!$B$2:$B$305,0))</f>
        <v>50</v>
      </c>
      <c r="I1165" t="e">
        <f>INDEX('GIS-Standards'!$A$2:$A$305,MATCH(C1165,'GIS-Standards'!$B$2:$B$305,0))</f>
        <v>#N/A</v>
      </c>
      <c r="J1165" t="str">
        <f>INDEX('GIS-Standards'!$O$2:$O$305,MATCH(B1165,'GIS-Standards'!$B$2:$B$305,0))</f>
        <v>ISO/TC 211</v>
      </c>
      <c r="K1165" t="e">
        <f>INDEX('GIS-Standards'!$O$2:$O$305,MATCH(C1165,'GIS-Standards'!$B$2:$B$305,0))</f>
        <v>#N/A</v>
      </c>
      <c r="M1165" t="s">
        <v>525</v>
      </c>
      <c r="N1165">
        <f>INDEX('GIS-Standards'!$I$2:$I$305,MATCH(B1165,'GIS-Standards'!$B$2:$B$305,0))</f>
        <v>0</v>
      </c>
      <c r="O1165" t="e">
        <f>INDEX('GIS-Standards'!$I$2:$I$305,MATCH(C1165,'GIS-Standards'!$B$2:$B$305,0))</f>
        <v>#N/A</v>
      </c>
      <c r="P1165" t="e">
        <f>AND(TableRelationships12[[#This Row],[Source Type]]="BIM",TableRelationships12[[#This Row],[Target Type]]="BIM")</f>
        <v>#N/A</v>
      </c>
      <c r="Q1165">
        <f t="shared" si="54"/>
        <v>1</v>
      </c>
      <c r="S1165">
        <f t="shared" si="55"/>
        <v>1</v>
      </c>
      <c r="T1165" s="102" t="str">
        <f>IF(TableRelationships12[[#This Row],[Rank Pedro]]="Low","linkCategory1",IF(TableRelationships12[[#This Row],[Rank Pedro]]="Medium","linkCategory2",IF(TableRelationships12[[#This Row],[Rank Pedro]]="High","linkCategory3","")))</f>
        <v/>
      </c>
      <c r="U1165" s="102" t="str">
        <f>IF(TableRelationships12[[#This Row],[Rank Pedro]]="Low","Pink",IF(TableRelationships12[[#This Row],[Rank Pedro]]="Medium","Purple",IF(TableRelationships12[[#This Row],[Rank Pedro]]="High","Brown","")))</f>
        <v/>
      </c>
      <c r="V1165" s="4" t="e">
        <f>MAX(INDEX(Standards!$F$2:$F$296,MATCH(B1165,Standards!$B$2:$B$296,0)),INDEX(Standards!$F$2:$F$296,MATCH(C1165,Standards!$B$2:$B$296,0)))</f>
        <v>#N/A</v>
      </c>
      <c r="W1165" t="str">
        <f t="shared" si="56"/>
        <v>#2f89d1</v>
      </c>
    </row>
    <row r="1166" spans="1:23" x14ac:dyDescent="0.5">
      <c r="A1166" s="54">
        <v>1165</v>
      </c>
      <c r="B1166" s="90" t="s">
        <v>634</v>
      </c>
      <c r="C1166" t="s">
        <v>1302</v>
      </c>
      <c r="D1166" s="1"/>
      <c r="G1166" s="107"/>
      <c r="H1166">
        <f>INDEX('GIS-Standards'!$A$2:$A$305,MATCH(B1166,'GIS-Standards'!$B$2:$B$305,0))</f>
        <v>50</v>
      </c>
      <c r="I1166" t="e">
        <f>INDEX('GIS-Standards'!$A$2:$A$305,MATCH(C1166,'GIS-Standards'!$B$2:$B$305,0))</f>
        <v>#N/A</v>
      </c>
      <c r="J1166" t="str">
        <f>INDEX('GIS-Standards'!$O$2:$O$305,MATCH(B1166,'GIS-Standards'!$B$2:$B$305,0))</f>
        <v>ISO/TC 211</v>
      </c>
      <c r="K1166" t="e">
        <f>INDEX('GIS-Standards'!$O$2:$O$305,MATCH(C1166,'GIS-Standards'!$B$2:$B$305,0))</f>
        <v>#N/A</v>
      </c>
      <c r="M1166" t="s">
        <v>525</v>
      </c>
      <c r="N1166">
        <f>INDEX('GIS-Standards'!$I$2:$I$305,MATCH(B1166,'GIS-Standards'!$B$2:$B$305,0))</f>
        <v>0</v>
      </c>
      <c r="O1166" t="e">
        <f>INDEX('GIS-Standards'!$I$2:$I$305,MATCH(C1166,'GIS-Standards'!$B$2:$B$305,0))</f>
        <v>#N/A</v>
      </c>
      <c r="P1166" t="e">
        <f>AND(TableRelationships12[[#This Row],[Source Type]]="BIM",TableRelationships12[[#This Row],[Target Type]]="BIM")</f>
        <v>#N/A</v>
      </c>
      <c r="Q1166">
        <f t="shared" si="54"/>
        <v>1</v>
      </c>
      <c r="S1166">
        <f t="shared" si="55"/>
        <v>1</v>
      </c>
      <c r="T1166" s="102" t="str">
        <f>IF(TableRelationships12[[#This Row],[Rank Pedro]]="Low","linkCategory1",IF(TableRelationships12[[#This Row],[Rank Pedro]]="Medium","linkCategory2",IF(TableRelationships12[[#This Row],[Rank Pedro]]="High","linkCategory3","")))</f>
        <v/>
      </c>
      <c r="U1166" s="102" t="str">
        <f>IF(TableRelationships12[[#This Row],[Rank Pedro]]="Low","Pink",IF(TableRelationships12[[#This Row],[Rank Pedro]]="Medium","Purple",IF(TableRelationships12[[#This Row],[Rank Pedro]]="High","Brown","")))</f>
        <v/>
      </c>
      <c r="V1166" s="4" t="e">
        <f>MAX(INDEX(Standards!$F$2:$F$296,MATCH(B1166,Standards!$B$2:$B$296,0)),INDEX(Standards!$F$2:$F$296,MATCH(C1166,Standards!$B$2:$B$296,0)))</f>
        <v>#N/A</v>
      </c>
      <c r="W1166" t="str">
        <f t="shared" si="56"/>
        <v>#2f89d1</v>
      </c>
    </row>
    <row r="1167" spans="1:23" x14ac:dyDescent="0.5">
      <c r="A1167" s="54">
        <v>1166</v>
      </c>
      <c r="B1167" s="90" t="s">
        <v>1050</v>
      </c>
      <c r="C1167" t="s">
        <v>527</v>
      </c>
      <c r="D1167" s="1"/>
      <c r="E1167" s="112" t="s">
        <v>967</v>
      </c>
      <c r="F1167" s="112" t="s">
        <v>968</v>
      </c>
      <c r="G1167" s="121" t="s">
        <v>670</v>
      </c>
      <c r="H1167">
        <f>INDEX('GIS-Standards'!$A$2:$A$305,MATCH(B1167,'GIS-Standards'!$B$2:$B$305,0))</f>
        <v>51</v>
      </c>
      <c r="I1167" t="e">
        <f>INDEX('GIS-Standards'!$A$2:$A$305,MATCH(C1167,'GIS-Standards'!$B$2:$B$305,0))</f>
        <v>#N/A</v>
      </c>
      <c r="J1167" t="str">
        <f>INDEX('GIS-Standards'!$O$2:$O$305,MATCH(B1167,'GIS-Standards'!$B$2:$B$305,0))</f>
        <v>ISO/TC 211</v>
      </c>
      <c r="K1167" t="e">
        <f>INDEX('GIS-Standards'!$O$2:$O$305,MATCH(C1167,'GIS-Standards'!$B$2:$B$305,0))</f>
        <v>#N/A</v>
      </c>
      <c r="M1167" t="s">
        <v>237</v>
      </c>
      <c r="N1167">
        <f>INDEX('GIS-Standards'!$I$2:$I$305,MATCH(B1167,'GIS-Standards'!$B$2:$B$305,0))</f>
        <v>0</v>
      </c>
      <c r="O1167" t="e">
        <f>INDEX('GIS-Standards'!$I$2:$I$305,MATCH(C1167,'GIS-Standards'!$B$2:$B$305,0))</f>
        <v>#N/A</v>
      </c>
      <c r="P1167" t="e">
        <f>AND(TableRelationships12[[#This Row],[Source Type]]="BIM",TableRelationships12[[#This Row],[Target Type]]="BIM")</f>
        <v>#N/A</v>
      </c>
      <c r="Q1167">
        <f t="shared" si="54"/>
        <v>2</v>
      </c>
      <c r="S1167">
        <f t="shared" si="55"/>
        <v>1</v>
      </c>
      <c r="T1167" s="102" t="str">
        <f>IF(TableRelationships12[[#This Row],[Rank Pedro]]="Low","linkCategory1",IF(TableRelationships12[[#This Row],[Rank Pedro]]="Medium","linkCategory2",IF(TableRelationships12[[#This Row],[Rank Pedro]]="High","linkCategory3","")))</f>
        <v/>
      </c>
      <c r="U1167" s="102" t="str">
        <f>IF(TableRelationships12[[#This Row],[Rank Pedro]]="Low","Pink",IF(TableRelationships12[[#This Row],[Rank Pedro]]="Medium","Purple",IF(TableRelationships12[[#This Row],[Rank Pedro]]="High","Brown","")))</f>
        <v/>
      </c>
      <c r="V1167" s="4" t="e">
        <f>MAX(INDEX(Standards!$F$2:$F$296,MATCH(B1167,Standards!$B$2:$B$296,0)),INDEX(Standards!$F$2:$F$296,MATCH(C1167,Standards!$B$2:$B$296,0)))</f>
        <v>#N/A</v>
      </c>
      <c r="W1167">
        <f t="shared" si="56"/>
        <v>1</v>
      </c>
    </row>
    <row r="1168" spans="1:23" x14ac:dyDescent="0.5">
      <c r="A1168" s="54">
        <v>1167</v>
      </c>
      <c r="B1168" s="90" t="s">
        <v>1050</v>
      </c>
      <c r="C1168" t="s">
        <v>296</v>
      </c>
      <c r="D1168" s="1"/>
      <c r="E1168" s="112">
        <v>2005.07</v>
      </c>
      <c r="F1168" s="112">
        <v>2024.09</v>
      </c>
      <c r="G1168" s="107" t="s">
        <v>670</v>
      </c>
      <c r="H1168">
        <f>INDEX('GIS-Standards'!$A$2:$A$305,MATCH(B1168,'GIS-Standards'!$B$2:$B$305,0))</f>
        <v>51</v>
      </c>
      <c r="I1168">
        <f>INDEX('GIS-Standards'!$A$2:$A$305,MATCH(C1168,'GIS-Standards'!$B$2:$B$305,0))</f>
        <v>12</v>
      </c>
      <c r="J1168" t="str">
        <f>INDEX('GIS-Standards'!$O$2:$O$305,MATCH(B1168,'GIS-Standards'!$B$2:$B$305,0))</f>
        <v>ISO/TC 211</v>
      </c>
      <c r="K1168" t="str">
        <f>INDEX('GIS-Standards'!$O$2:$O$305,MATCH(C1168,'GIS-Standards'!$B$2:$B$305,0))</f>
        <v>ISO/TC 211</v>
      </c>
      <c r="M1168" t="s">
        <v>524</v>
      </c>
      <c r="N1168">
        <f>INDEX('GIS-Standards'!$I$2:$I$305,MATCH(B1168,'GIS-Standards'!$B$2:$B$305,0))</f>
        <v>0</v>
      </c>
      <c r="O1168">
        <f>INDEX('GIS-Standards'!$I$2:$I$305,MATCH(C1168,'GIS-Standards'!$B$2:$B$305,0))</f>
        <v>0</v>
      </c>
      <c r="P1168" t="b">
        <f>AND(TableRelationships12[[#This Row],[Source Type]]="BIM",TableRelationships12[[#This Row],[Target Type]]="BIM")</f>
        <v>0</v>
      </c>
      <c r="Q1168">
        <f t="shared" si="54"/>
        <v>6</v>
      </c>
      <c r="S1168">
        <f t="shared" si="55"/>
        <v>1</v>
      </c>
      <c r="T1168" s="102" t="str">
        <f>IF(TableRelationships12[[#This Row],[Rank Pedro]]="Low","linkCategory1",IF(TableRelationships12[[#This Row],[Rank Pedro]]="Medium","linkCategory2",IF(TableRelationships12[[#This Row],[Rank Pedro]]="High","linkCategory3","")))</f>
        <v/>
      </c>
      <c r="U1168" s="102" t="str">
        <f>IF(TableRelationships12[[#This Row],[Rank Pedro]]="Low","Pink",IF(TableRelationships12[[#This Row],[Rank Pedro]]="Medium","Purple",IF(TableRelationships12[[#This Row],[Rank Pedro]]="High","Brown","")))</f>
        <v/>
      </c>
      <c r="V1168" s="4" t="e">
        <f>MAX(INDEX(Standards!$F$2:$F$296,MATCH(B1168,Standards!$B$2:$B$296,0)),INDEX(Standards!$F$2:$F$296,MATCH(C1168,Standards!$B$2:$B$296,0)))</f>
        <v>#N/A</v>
      </c>
      <c r="W1168" t="str">
        <f t="shared" si="56"/>
        <v>#d6bf2a</v>
      </c>
    </row>
    <row r="1169" spans="1:23" x14ac:dyDescent="0.5">
      <c r="A1169" s="54">
        <v>1168</v>
      </c>
      <c r="B1169" s="90" t="s">
        <v>1050</v>
      </c>
      <c r="C1169" t="s">
        <v>298</v>
      </c>
      <c r="D1169" s="1"/>
      <c r="E1169" s="112">
        <v>2008.11</v>
      </c>
      <c r="F1169" s="112">
        <v>2016.1</v>
      </c>
      <c r="G1169" s="107" t="s">
        <v>1464</v>
      </c>
      <c r="H1169">
        <f>INDEX('GIS-Standards'!$A$2:$A$305,MATCH(B1169,'GIS-Standards'!$B$2:$B$305,0))</f>
        <v>51</v>
      </c>
      <c r="I1169">
        <f>INDEX('GIS-Standards'!$A$2:$A$305,MATCH(C1169,'GIS-Standards'!$B$2:$B$305,0))</f>
        <v>13</v>
      </c>
      <c r="J1169" t="str">
        <f>INDEX('GIS-Standards'!$O$2:$O$305,MATCH(B1169,'GIS-Standards'!$B$2:$B$305,0))</f>
        <v>ISO/TC 211</v>
      </c>
      <c r="K1169" t="str">
        <f>INDEX('GIS-Standards'!$O$2:$O$305,MATCH(C1169,'GIS-Standards'!$B$2:$B$305,0))</f>
        <v>ISO/TC 211</v>
      </c>
      <c r="M1169" t="s">
        <v>524</v>
      </c>
      <c r="N1169">
        <f>INDEX('GIS-Standards'!$I$2:$I$305,MATCH(B1169,'GIS-Standards'!$B$2:$B$305,0))</f>
        <v>0</v>
      </c>
      <c r="O1169">
        <f>INDEX('GIS-Standards'!$I$2:$I$305,MATCH(C1169,'GIS-Standards'!$B$2:$B$305,0))</f>
        <v>0</v>
      </c>
      <c r="P1169" t="b">
        <f>AND(TableRelationships12[[#This Row],[Source Type]]="BIM",TableRelationships12[[#This Row],[Target Type]]="BIM")</f>
        <v>0</v>
      </c>
      <c r="Q1169">
        <f t="shared" si="54"/>
        <v>6</v>
      </c>
      <c r="S1169">
        <f t="shared" si="55"/>
        <v>1</v>
      </c>
      <c r="T1169" s="102" t="str">
        <f>IF(TableRelationships12[[#This Row],[Rank Pedro]]="Low","linkCategory1",IF(TableRelationships12[[#This Row],[Rank Pedro]]="Medium","linkCategory2",IF(TableRelationships12[[#This Row],[Rank Pedro]]="High","linkCategory3","")))</f>
        <v/>
      </c>
      <c r="U1169" s="102" t="str">
        <f>IF(TableRelationships12[[#This Row],[Rank Pedro]]="Low","Pink",IF(TableRelationships12[[#This Row],[Rank Pedro]]="Medium","Purple",IF(TableRelationships12[[#This Row],[Rank Pedro]]="High","Brown","")))</f>
        <v/>
      </c>
      <c r="V1169" s="4" t="e">
        <f>MAX(INDEX(Standards!$F$2:$F$296,MATCH(B1169,Standards!$B$2:$B$296,0)),INDEX(Standards!$F$2:$F$296,MATCH(C1169,Standards!$B$2:$B$296,0)))</f>
        <v>#N/A</v>
      </c>
      <c r="W1169" t="str">
        <f t="shared" si="56"/>
        <v>#d6bf2a</v>
      </c>
    </row>
    <row r="1170" spans="1:23" x14ac:dyDescent="0.5">
      <c r="A1170" s="54">
        <v>1169</v>
      </c>
      <c r="B1170" s="90" t="s">
        <v>1050</v>
      </c>
      <c r="C1170" t="s">
        <v>314</v>
      </c>
      <c r="D1170" s="1"/>
      <c r="E1170" s="112">
        <v>2003.05</v>
      </c>
      <c r="F1170" s="112">
        <v>2020.11</v>
      </c>
      <c r="G1170" s="107" t="s">
        <v>670</v>
      </c>
      <c r="H1170">
        <f>INDEX('GIS-Standards'!$A$2:$A$305,MATCH(B1170,'GIS-Standards'!$B$2:$B$305,0))</f>
        <v>51</v>
      </c>
      <c r="I1170">
        <f>INDEX('GIS-Standards'!$A$2:$A$305,MATCH(C1170,'GIS-Standards'!$B$2:$B$305,0))</f>
        <v>22</v>
      </c>
      <c r="J1170" t="str">
        <f>INDEX('GIS-Standards'!$O$2:$O$305,MATCH(B1170,'GIS-Standards'!$B$2:$B$305,0))</f>
        <v>ISO/TC 211</v>
      </c>
      <c r="K1170" t="str">
        <f>INDEX('GIS-Standards'!$O$2:$O$305,MATCH(C1170,'GIS-Standards'!$B$2:$B$305,0))</f>
        <v>ISO/TC 211</v>
      </c>
      <c r="M1170" t="s">
        <v>524</v>
      </c>
      <c r="N1170">
        <f>INDEX('GIS-Standards'!$I$2:$I$305,MATCH(B1170,'GIS-Standards'!$B$2:$B$305,0))</f>
        <v>0</v>
      </c>
      <c r="O1170" t="str">
        <f>INDEX('GIS-Standards'!$I$2:$I$305,MATCH(C1170,'GIS-Standards'!$B$2:$B$305,0))</f>
        <v>12.2020</v>
      </c>
      <c r="P1170" t="b">
        <f>AND(TableRelationships12[[#This Row],[Source Type]]="BIM",TableRelationships12[[#This Row],[Target Type]]="BIM")</f>
        <v>0</v>
      </c>
      <c r="Q1170">
        <f t="shared" si="54"/>
        <v>6</v>
      </c>
      <c r="S1170">
        <f t="shared" si="55"/>
        <v>1</v>
      </c>
      <c r="T1170" s="102" t="str">
        <f>IF(TableRelationships12[[#This Row],[Rank Pedro]]="Low","linkCategory1",IF(TableRelationships12[[#This Row],[Rank Pedro]]="Medium","linkCategory2",IF(TableRelationships12[[#This Row],[Rank Pedro]]="High","linkCategory3","")))</f>
        <v/>
      </c>
      <c r="U1170" s="102" t="str">
        <f>IF(TableRelationships12[[#This Row],[Rank Pedro]]="Low","Pink",IF(TableRelationships12[[#This Row],[Rank Pedro]]="Medium","Purple",IF(TableRelationships12[[#This Row],[Rank Pedro]]="High","Brown","")))</f>
        <v/>
      </c>
      <c r="V1170" s="4" t="e">
        <f>MAX(INDEX(Standards!$F$2:$F$296,MATCH(B1170,Standards!$B$2:$B$296,0)),INDEX(Standards!$F$2:$F$296,MATCH(C1170,Standards!$B$2:$B$296,0)))</f>
        <v>#N/A</v>
      </c>
      <c r="W1170" t="str">
        <f t="shared" si="56"/>
        <v>#d6bf2a</v>
      </c>
    </row>
    <row r="1171" spans="1:23" x14ac:dyDescent="0.5">
      <c r="A1171" s="54">
        <v>1170</v>
      </c>
      <c r="B1171" s="90" t="s">
        <v>1050</v>
      </c>
      <c r="C1171" t="s">
        <v>1048</v>
      </c>
      <c r="D1171" s="1"/>
      <c r="E1171" s="112">
        <v>2005.1</v>
      </c>
      <c r="F1171" s="112">
        <v>2021.02</v>
      </c>
      <c r="G1171" s="107" t="s">
        <v>670</v>
      </c>
      <c r="H1171">
        <f>INDEX('GIS-Standards'!$A$2:$A$305,MATCH(B1171,'GIS-Standards'!$B$2:$B$305,0))</f>
        <v>51</v>
      </c>
      <c r="I1171">
        <f>INDEX('GIS-Standards'!$A$2:$A$305,MATCH(C1171,'GIS-Standards'!$B$2:$B$305,0))</f>
        <v>41</v>
      </c>
      <c r="J1171" t="str">
        <f>INDEX('GIS-Standards'!$O$2:$O$305,MATCH(B1171,'GIS-Standards'!$B$2:$B$305,0))</f>
        <v>ISO/TC 211</v>
      </c>
      <c r="K1171" t="str">
        <f>INDEX('GIS-Standards'!$O$2:$O$305,MATCH(C1171,'GIS-Standards'!$B$2:$B$305,0))</f>
        <v>ISO/TC 211</v>
      </c>
      <c r="M1171" t="s">
        <v>524</v>
      </c>
      <c r="N1171">
        <f>INDEX('GIS-Standards'!$I$2:$I$305,MATCH(B1171,'GIS-Standards'!$B$2:$B$305,0))</f>
        <v>0</v>
      </c>
      <c r="O1171" t="str">
        <f>INDEX('GIS-Standards'!$I$2:$I$305,MATCH(C1171,'GIS-Standards'!$B$2:$B$305,0))</f>
        <v>03.2021</v>
      </c>
      <c r="P1171" t="b">
        <f>AND(TableRelationships12[[#This Row],[Source Type]]="BIM",TableRelationships12[[#This Row],[Target Type]]="BIM")</f>
        <v>0</v>
      </c>
      <c r="Q1171">
        <f t="shared" si="54"/>
        <v>6</v>
      </c>
      <c r="S1171">
        <f t="shared" si="55"/>
        <v>1</v>
      </c>
      <c r="T1171" s="102" t="str">
        <f>IF(TableRelationships12[[#This Row],[Rank Pedro]]="Low","linkCategory1",IF(TableRelationships12[[#This Row],[Rank Pedro]]="Medium","linkCategory2",IF(TableRelationships12[[#This Row],[Rank Pedro]]="High","linkCategory3","")))</f>
        <v/>
      </c>
      <c r="U1171" s="102" t="str">
        <f>IF(TableRelationships12[[#This Row],[Rank Pedro]]="Low","Pink",IF(TableRelationships12[[#This Row],[Rank Pedro]]="Medium","Purple",IF(TableRelationships12[[#This Row],[Rank Pedro]]="High","Brown","")))</f>
        <v/>
      </c>
      <c r="V1171" s="4" t="e">
        <f>MAX(INDEX(Standards!$F$2:$F$296,MATCH(B1171,Standards!$B$2:$B$296,0)),INDEX(Standards!$F$2:$F$296,MATCH(C1171,Standards!$B$2:$B$296,0)))</f>
        <v>#N/A</v>
      </c>
      <c r="W1171" t="str">
        <f t="shared" si="56"/>
        <v>#d6bf2a</v>
      </c>
    </row>
    <row r="1172" spans="1:23" x14ac:dyDescent="0.5">
      <c r="A1172" s="54">
        <v>1171</v>
      </c>
      <c r="B1172" s="90" t="s">
        <v>1050</v>
      </c>
      <c r="C1172" t="s">
        <v>124</v>
      </c>
      <c r="D1172" s="1"/>
      <c r="E1172" s="112">
        <v>1987.07</v>
      </c>
      <c r="F1172" s="112">
        <v>2022.07</v>
      </c>
      <c r="G1172" s="107" t="s">
        <v>1452</v>
      </c>
      <c r="H1172">
        <f>INDEX('GIS-Standards'!$A$2:$A$305,MATCH(B1172,'GIS-Standards'!$B$2:$B$305,0))</f>
        <v>51</v>
      </c>
      <c r="I1172" t="e">
        <f>INDEX('GIS-Standards'!$A$2:$A$305,MATCH(C1172,'GIS-Standards'!$B$2:$B$305,0))</f>
        <v>#N/A</v>
      </c>
      <c r="J1172" t="str">
        <f>INDEX('GIS-Standards'!$O$2:$O$305,MATCH(B1172,'GIS-Standards'!$B$2:$B$305,0))</f>
        <v>ISO/TC 211</v>
      </c>
      <c r="K1172" t="e">
        <f>INDEX('GIS-Standards'!$O$2:$O$305,MATCH(C1172,'GIS-Standards'!$B$2:$B$305,0))</f>
        <v>#N/A</v>
      </c>
      <c r="M1172" t="s">
        <v>525</v>
      </c>
      <c r="N1172">
        <f>INDEX('GIS-Standards'!$I$2:$I$305,MATCH(B1172,'GIS-Standards'!$B$2:$B$305,0))</f>
        <v>0</v>
      </c>
      <c r="O1172" t="e">
        <f>INDEX('GIS-Standards'!$I$2:$I$305,MATCH(C1172,'GIS-Standards'!$B$2:$B$305,0))</f>
        <v>#N/A</v>
      </c>
      <c r="P1172" t="e">
        <f>AND(TableRelationships12[[#This Row],[Source Type]]="BIM",TableRelationships12[[#This Row],[Target Type]]="BIM")</f>
        <v>#N/A</v>
      </c>
      <c r="Q1172">
        <f t="shared" si="54"/>
        <v>1</v>
      </c>
      <c r="S1172">
        <f t="shared" si="55"/>
        <v>1</v>
      </c>
      <c r="T1172" s="102" t="str">
        <f>IF(TableRelationships12[[#This Row],[Rank Pedro]]="Low","linkCategory1",IF(TableRelationships12[[#This Row],[Rank Pedro]]="Medium","linkCategory2",IF(TableRelationships12[[#This Row],[Rank Pedro]]="High","linkCategory3","")))</f>
        <v/>
      </c>
      <c r="U1172" s="102" t="str">
        <f>IF(TableRelationships12[[#This Row],[Rank Pedro]]="Low","Pink",IF(TableRelationships12[[#This Row],[Rank Pedro]]="Medium","Purple",IF(TableRelationships12[[#This Row],[Rank Pedro]]="High","Brown","")))</f>
        <v/>
      </c>
      <c r="V1172" s="4" t="e">
        <f>MAX(INDEX(Standards!$F$2:$F$296,MATCH(B1172,Standards!$B$2:$B$296,0)),INDEX(Standards!$F$2:$F$296,MATCH(C1172,Standards!$B$2:$B$296,0)))</f>
        <v>#N/A</v>
      </c>
      <c r="W1172" t="str">
        <f t="shared" si="56"/>
        <v>#2f89d1</v>
      </c>
    </row>
    <row r="1173" spans="1:23" x14ac:dyDescent="0.5">
      <c r="A1173" s="54">
        <v>1172</v>
      </c>
      <c r="B1173" s="90" t="s">
        <v>1050</v>
      </c>
      <c r="C1173" t="s">
        <v>1198</v>
      </c>
      <c r="D1173" s="1"/>
      <c r="E1173" s="112">
        <v>1968.1</v>
      </c>
      <c r="F1173" s="112">
        <v>2007.11</v>
      </c>
      <c r="G1173" s="107" t="s">
        <v>1452</v>
      </c>
      <c r="H1173">
        <f>INDEX('GIS-Standards'!$A$2:$A$305,MATCH(B1173,'GIS-Standards'!$B$2:$B$305,0))</f>
        <v>51</v>
      </c>
      <c r="I1173" t="e">
        <f>INDEX('GIS-Standards'!$A$2:$A$305,MATCH(C1173,'GIS-Standards'!$B$2:$B$305,0))</f>
        <v>#N/A</v>
      </c>
      <c r="J1173" t="str">
        <f>INDEX('GIS-Standards'!$O$2:$O$305,MATCH(B1173,'GIS-Standards'!$B$2:$B$305,0))</f>
        <v>ISO/TC 211</v>
      </c>
      <c r="K1173" t="e">
        <f>INDEX('GIS-Standards'!$O$2:$O$305,MATCH(C1173,'GIS-Standards'!$B$2:$B$305,0))</f>
        <v>#N/A</v>
      </c>
      <c r="M1173" t="s">
        <v>525</v>
      </c>
      <c r="N1173">
        <f>INDEX('GIS-Standards'!$I$2:$I$305,MATCH(B1173,'GIS-Standards'!$B$2:$B$305,0))</f>
        <v>0</v>
      </c>
      <c r="O1173" t="e">
        <f>INDEX('GIS-Standards'!$I$2:$I$305,MATCH(C1173,'GIS-Standards'!$B$2:$B$305,0))</f>
        <v>#N/A</v>
      </c>
      <c r="P1173" t="e">
        <f>AND(TableRelationships12[[#This Row],[Source Type]]="BIM",TableRelationships12[[#This Row],[Target Type]]="BIM")</f>
        <v>#N/A</v>
      </c>
      <c r="Q1173">
        <f t="shared" si="54"/>
        <v>1</v>
      </c>
      <c r="S1173">
        <f t="shared" si="55"/>
        <v>1</v>
      </c>
      <c r="T1173" s="102" t="str">
        <f>IF(TableRelationships12[[#This Row],[Rank Pedro]]="Low","linkCategory1",IF(TableRelationships12[[#This Row],[Rank Pedro]]="Medium","linkCategory2",IF(TableRelationships12[[#This Row],[Rank Pedro]]="High","linkCategory3","")))</f>
        <v/>
      </c>
      <c r="U1173" s="102" t="str">
        <f>IF(TableRelationships12[[#This Row],[Rank Pedro]]="Low","Pink",IF(TableRelationships12[[#This Row],[Rank Pedro]]="Medium","Purple",IF(TableRelationships12[[#This Row],[Rank Pedro]]="High","Brown","")))</f>
        <v/>
      </c>
      <c r="V1173" s="4" t="e">
        <f>MAX(INDEX(Standards!$F$2:$F$296,MATCH(B1173,Standards!$B$2:$B$296,0)),INDEX(Standards!$F$2:$F$296,MATCH(C1173,Standards!$B$2:$B$296,0)))</f>
        <v>#N/A</v>
      </c>
      <c r="W1173" t="str">
        <f t="shared" si="56"/>
        <v>#2f89d1</v>
      </c>
    </row>
    <row r="1174" spans="1:23" x14ac:dyDescent="0.5">
      <c r="A1174" s="54">
        <v>1173</v>
      </c>
      <c r="B1174" s="90" t="s">
        <v>1050</v>
      </c>
      <c r="C1174" t="s">
        <v>126</v>
      </c>
      <c r="D1174" s="1" t="s">
        <v>1199</v>
      </c>
      <c r="E1174" s="112">
        <v>1990.04</v>
      </c>
      <c r="F1174" s="112">
        <v>2019.09</v>
      </c>
      <c r="G1174" s="107" t="s">
        <v>1449</v>
      </c>
      <c r="H1174">
        <f>INDEX('GIS-Standards'!$A$2:$A$305,MATCH(B1174,'GIS-Standards'!$B$2:$B$305,0))</f>
        <v>51</v>
      </c>
      <c r="I1174" t="e">
        <f>INDEX('GIS-Standards'!$A$2:$A$305,MATCH(C1174,'GIS-Standards'!$B$2:$B$305,0))</f>
        <v>#N/A</v>
      </c>
      <c r="J1174" t="str">
        <f>INDEX('GIS-Standards'!$O$2:$O$305,MATCH(B1174,'GIS-Standards'!$B$2:$B$305,0))</f>
        <v>ISO/TC 211</v>
      </c>
      <c r="K1174" t="e">
        <f>INDEX('GIS-Standards'!$O$2:$O$305,MATCH(C1174,'GIS-Standards'!$B$2:$B$305,0))</f>
        <v>#N/A</v>
      </c>
      <c r="M1174" t="s">
        <v>525</v>
      </c>
      <c r="N1174">
        <f>INDEX('GIS-Standards'!$I$2:$I$305,MATCH(B1174,'GIS-Standards'!$B$2:$B$305,0))</f>
        <v>0</v>
      </c>
      <c r="O1174" t="e">
        <f>INDEX('GIS-Standards'!$I$2:$I$305,MATCH(C1174,'GIS-Standards'!$B$2:$B$305,0))</f>
        <v>#N/A</v>
      </c>
      <c r="P1174" t="e">
        <f>AND(TableRelationships12[[#This Row],[Source Type]]="BIM",TableRelationships12[[#This Row],[Target Type]]="BIM")</f>
        <v>#N/A</v>
      </c>
      <c r="Q1174">
        <f t="shared" si="54"/>
        <v>1</v>
      </c>
      <c r="S1174">
        <f t="shared" si="55"/>
        <v>1</v>
      </c>
      <c r="T1174" s="102" t="str">
        <f>IF(TableRelationships12[[#This Row],[Rank Pedro]]="Low","linkCategory1",IF(TableRelationships12[[#This Row],[Rank Pedro]]="Medium","linkCategory2",IF(TableRelationships12[[#This Row],[Rank Pedro]]="High","linkCategory3","")))</f>
        <v/>
      </c>
      <c r="U1174" s="102" t="str">
        <f>IF(TableRelationships12[[#This Row],[Rank Pedro]]="Low","Pink",IF(TableRelationships12[[#This Row],[Rank Pedro]]="Medium","Purple",IF(TableRelationships12[[#This Row],[Rank Pedro]]="High","Brown","")))</f>
        <v/>
      </c>
      <c r="V1174" s="4" t="e">
        <f>MAX(INDEX(Standards!$F$2:$F$296,MATCH(B1174,Standards!$B$2:$B$296,0)),INDEX(Standards!$F$2:$F$296,MATCH(C1174,Standards!$B$2:$B$296,0)))</f>
        <v>#N/A</v>
      </c>
      <c r="W1174" t="str">
        <f t="shared" si="56"/>
        <v>#2f89d1</v>
      </c>
    </row>
    <row r="1175" spans="1:23" x14ac:dyDescent="0.5">
      <c r="A1175" s="54">
        <v>1174</v>
      </c>
      <c r="B1175" s="90" t="s">
        <v>1050</v>
      </c>
      <c r="C1175" t="s">
        <v>1200</v>
      </c>
      <c r="D1175" s="1"/>
      <c r="E1175" s="112">
        <v>1967.12</v>
      </c>
      <c r="F1175" s="112">
        <v>2006.1</v>
      </c>
      <c r="G1175" s="107" t="s">
        <v>1483</v>
      </c>
      <c r="H1175">
        <f>INDEX('GIS-Standards'!$A$2:$A$305,MATCH(B1175,'GIS-Standards'!$B$2:$B$305,0))</f>
        <v>51</v>
      </c>
      <c r="I1175" t="e">
        <f>INDEX('GIS-Standards'!$A$2:$A$305,MATCH(C1175,'GIS-Standards'!$B$2:$B$305,0))</f>
        <v>#N/A</v>
      </c>
      <c r="J1175" t="str">
        <f>INDEX('GIS-Standards'!$O$2:$O$305,MATCH(B1175,'GIS-Standards'!$B$2:$B$305,0))</f>
        <v>ISO/TC 211</v>
      </c>
      <c r="K1175" t="e">
        <f>INDEX('GIS-Standards'!$O$2:$O$305,MATCH(C1175,'GIS-Standards'!$B$2:$B$305,0))</f>
        <v>#N/A</v>
      </c>
      <c r="M1175" t="s">
        <v>525</v>
      </c>
      <c r="N1175">
        <f>INDEX('GIS-Standards'!$I$2:$I$305,MATCH(B1175,'GIS-Standards'!$B$2:$B$305,0))</f>
        <v>0</v>
      </c>
      <c r="O1175" t="e">
        <f>INDEX('GIS-Standards'!$I$2:$I$305,MATCH(C1175,'GIS-Standards'!$B$2:$B$305,0))</f>
        <v>#N/A</v>
      </c>
      <c r="P1175" t="e">
        <f>AND(TableRelationships12[[#This Row],[Source Type]]="BIM",TableRelationships12[[#This Row],[Target Type]]="BIM")</f>
        <v>#N/A</v>
      </c>
      <c r="Q1175">
        <f t="shared" si="54"/>
        <v>1</v>
      </c>
      <c r="S1175">
        <f t="shared" si="55"/>
        <v>1</v>
      </c>
      <c r="T1175" s="102" t="str">
        <f>IF(TableRelationships12[[#This Row],[Rank Pedro]]="Low","linkCategory1",IF(TableRelationships12[[#This Row],[Rank Pedro]]="Medium","linkCategory2",IF(TableRelationships12[[#This Row],[Rank Pedro]]="High","linkCategory3","")))</f>
        <v/>
      </c>
      <c r="U1175" s="102" t="str">
        <f>IF(TableRelationships12[[#This Row],[Rank Pedro]]="Low","Pink",IF(TableRelationships12[[#This Row],[Rank Pedro]]="Medium","Purple",IF(TableRelationships12[[#This Row],[Rank Pedro]]="High","Brown","")))</f>
        <v/>
      </c>
      <c r="V1175" s="4" t="e">
        <f>MAX(INDEX(Standards!$F$2:$F$296,MATCH(B1175,Standards!$B$2:$B$296,0)),INDEX(Standards!$F$2:$F$296,MATCH(C1175,Standards!$B$2:$B$296,0)))</f>
        <v>#N/A</v>
      </c>
      <c r="W1175" t="str">
        <f t="shared" si="56"/>
        <v>#2f89d1</v>
      </c>
    </row>
    <row r="1176" spans="1:23" x14ac:dyDescent="0.5">
      <c r="A1176" s="54">
        <v>1175</v>
      </c>
      <c r="B1176" s="90" t="s">
        <v>1050</v>
      </c>
      <c r="C1176" t="s">
        <v>1498</v>
      </c>
      <c r="D1176" s="1"/>
      <c r="E1176" s="112">
        <v>2008.12</v>
      </c>
      <c r="F1176" s="112">
        <v>2022.07</v>
      </c>
      <c r="G1176" s="107" t="s">
        <v>1499</v>
      </c>
      <c r="H1176">
        <f>INDEX('GIS-Standards'!$A$2:$A$305,MATCH(B1176,'GIS-Standards'!$B$2:$B$305,0))</f>
        <v>51</v>
      </c>
      <c r="I1176" t="e">
        <f>INDEX('GIS-Standards'!$A$2:$A$305,MATCH(C1176,'GIS-Standards'!$B$2:$B$305,0))</f>
        <v>#N/A</v>
      </c>
      <c r="J1176" t="str">
        <f>INDEX('GIS-Standards'!$O$2:$O$305,MATCH(B1176,'GIS-Standards'!$B$2:$B$305,0))</f>
        <v>ISO/TC 211</v>
      </c>
      <c r="K1176" t="e">
        <f>INDEX('GIS-Standards'!$O$2:$O$305,MATCH(C1176,'GIS-Standards'!$B$2:$B$305,0))</f>
        <v>#N/A</v>
      </c>
      <c r="M1176" t="s">
        <v>525</v>
      </c>
      <c r="N1176">
        <f>INDEX('GIS-Standards'!$I$2:$I$305,MATCH(B1176,'GIS-Standards'!$B$2:$B$305,0))</f>
        <v>0</v>
      </c>
      <c r="O1176" t="e">
        <f>INDEX('GIS-Standards'!$I$2:$I$305,MATCH(C1176,'GIS-Standards'!$B$2:$B$305,0))</f>
        <v>#N/A</v>
      </c>
      <c r="P1176" t="e">
        <f>AND(TableRelationships12[[#This Row],[Source Type]]="BIM",TableRelationships12[[#This Row],[Target Type]]="BIM")</f>
        <v>#N/A</v>
      </c>
      <c r="Q1176">
        <f t="shared" si="54"/>
        <v>1</v>
      </c>
      <c r="S1176">
        <f t="shared" si="55"/>
        <v>1</v>
      </c>
      <c r="T1176" s="102" t="str">
        <f>IF(TableRelationships12[[#This Row],[Rank Pedro]]="Low","linkCategory1",IF(TableRelationships12[[#This Row],[Rank Pedro]]="Medium","linkCategory2",IF(TableRelationships12[[#This Row],[Rank Pedro]]="High","linkCategory3","")))</f>
        <v/>
      </c>
      <c r="U1176" s="102" t="str">
        <f>IF(TableRelationships12[[#This Row],[Rank Pedro]]="Low","Pink",IF(TableRelationships12[[#This Row],[Rank Pedro]]="Medium","Purple",IF(TableRelationships12[[#This Row],[Rank Pedro]]="High","Brown","")))</f>
        <v/>
      </c>
      <c r="V1176" s="4" t="e">
        <f>MAX(INDEX(Standards!$F$2:$F$296,MATCH(B1176,Standards!$B$2:$B$296,0)),INDEX(Standards!$F$2:$F$296,MATCH(C1176,Standards!$B$2:$B$296,0)))</f>
        <v>#N/A</v>
      </c>
      <c r="W1176" t="str">
        <f t="shared" si="56"/>
        <v>#2f89d1</v>
      </c>
    </row>
    <row r="1177" spans="1:23" x14ac:dyDescent="0.5">
      <c r="A1177" s="54">
        <v>1176</v>
      </c>
      <c r="B1177" s="90" t="s">
        <v>1050</v>
      </c>
      <c r="C1177" t="s">
        <v>306</v>
      </c>
      <c r="D1177" s="1"/>
      <c r="E1177" s="112">
        <v>2005.06</v>
      </c>
      <c r="F1177" s="112">
        <v>2025.07</v>
      </c>
      <c r="G1177" s="107" t="s">
        <v>670</v>
      </c>
      <c r="H1177">
        <f>INDEX('GIS-Standards'!$A$2:$A$305,MATCH(B1177,'GIS-Standards'!$B$2:$B$305,0))</f>
        <v>51</v>
      </c>
      <c r="I1177">
        <f>INDEX('GIS-Standards'!$A$2:$A$305,MATCH(C1177,'GIS-Standards'!$B$2:$B$305,0))</f>
        <v>18</v>
      </c>
      <c r="J1177" t="str">
        <f>INDEX('GIS-Standards'!$O$2:$O$305,MATCH(B1177,'GIS-Standards'!$B$2:$B$305,0))</f>
        <v>ISO/TC 211</v>
      </c>
      <c r="K1177" t="str">
        <f>INDEX('GIS-Standards'!$O$2:$O$305,MATCH(C1177,'GIS-Standards'!$B$2:$B$305,0))</f>
        <v>ISO/TC 211</v>
      </c>
      <c r="M1177" t="s">
        <v>525</v>
      </c>
      <c r="N1177">
        <f>INDEX('GIS-Standards'!$I$2:$I$305,MATCH(B1177,'GIS-Standards'!$B$2:$B$305,0))</f>
        <v>0</v>
      </c>
      <c r="O1177">
        <f>INDEX('GIS-Standards'!$I$2:$I$305,MATCH(C1177,'GIS-Standards'!$B$2:$B$305,0))</f>
        <v>0</v>
      </c>
      <c r="P1177" t="b">
        <f>AND(TableRelationships12[[#This Row],[Source Type]]="BIM",TableRelationships12[[#This Row],[Target Type]]="BIM")</f>
        <v>0</v>
      </c>
      <c r="Q1177">
        <f t="shared" si="54"/>
        <v>1</v>
      </c>
      <c r="S1177">
        <f t="shared" si="55"/>
        <v>1</v>
      </c>
      <c r="T1177" s="102" t="str">
        <f>IF(TableRelationships12[[#This Row],[Rank Pedro]]="Low","linkCategory1",IF(TableRelationships12[[#This Row],[Rank Pedro]]="Medium","linkCategory2",IF(TableRelationships12[[#This Row],[Rank Pedro]]="High","linkCategory3","")))</f>
        <v/>
      </c>
      <c r="U1177" s="102" t="str">
        <f>IF(TableRelationships12[[#This Row],[Rank Pedro]]="Low","Pink",IF(TableRelationships12[[#This Row],[Rank Pedro]]="Medium","Purple",IF(TableRelationships12[[#This Row],[Rank Pedro]]="High","Brown","")))</f>
        <v/>
      </c>
      <c r="V1177" s="4" t="e">
        <f>MAX(INDEX(Standards!$F$2:$F$296,MATCH(B1177,Standards!$B$2:$B$296,0)),INDEX(Standards!$F$2:$F$296,MATCH(C1177,Standards!$B$2:$B$296,0)))</f>
        <v>#N/A</v>
      </c>
      <c r="W1177" t="str">
        <f t="shared" si="56"/>
        <v>#2f89d1</v>
      </c>
    </row>
    <row r="1178" spans="1:23" x14ac:dyDescent="0.5">
      <c r="A1178" s="54">
        <v>1177</v>
      </c>
      <c r="B1178" s="90" t="s">
        <v>1050</v>
      </c>
      <c r="C1178" t="s">
        <v>310</v>
      </c>
      <c r="D1178" s="1"/>
      <c r="E1178" s="112">
        <v>2003.02</v>
      </c>
      <c r="F1178" s="112">
        <v>2023.08</v>
      </c>
      <c r="G1178" s="107" t="s">
        <v>670</v>
      </c>
      <c r="H1178">
        <f>INDEX('GIS-Standards'!$A$2:$A$305,MATCH(B1178,'GIS-Standards'!$B$2:$B$305,0))</f>
        <v>51</v>
      </c>
      <c r="I1178">
        <f>INDEX('GIS-Standards'!$A$2:$A$305,MATCH(C1178,'GIS-Standards'!$B$2:$B$305,0))</f>
        <v>20</v>
      </c>
      <c r="J1178" t="str">
        <f>INDEX('GIS-Standards'!$O$2:$O$305,MATCH(B1178,'GIS-Standards'!$B$2:$B$305,0))</f>
        <v>ISO/TC 211</v>
      </c>
      <c r="K1178" t="str">
        <f>INDEX('GIS-Standards'!$O$2:$O$305,MATCH(C1178,'GIS-Standards'!$B$2:$B$305,0))</f>
        <v>ISO/TC 211</v>
      </c>
      <c r="M1178" t="s">
        <v>525</v>
      </c>
      <c r="N1178">
        <f>INDEX('GIS-Standards'!$I$2:$I$305,MATCH(B1178,'GIS-Standards'!$B$2:$B$305,0))</f>
        <v>0</v>
      </c>
      <c r="O1178" t="str">
        <f>INDEX('GIS-Standards'!$I$2:$I$305,MATCH(C1178,'GIS-Standards'!$B$2:$B$305,0))</f>
        <v>08.2023</v>
      </c>
      <c r="P1178" t="b">
        <f>AND(TableRelationships12[[#This Row],[Source Type]]="BIM",TableRelationships12[[#This Row],[Target Type]]="BIM")</f>
        <v>0</v>
      </c>
      <c r="Q1178">
        <f t="shared" si="54"/>
        <v>1</v>
      </c>
      <c r="S1178">
        <f t="shared" si="55"/>
        <v>1</v>
      </c>
      <c r="T1178" s="102" t="str">
        <f>IF(TableRelationships12[[#This Row],[Rank Pedro]]="Low","linkCategory1",IF(TableRelationships12[[#This Row],[Rank Pedro]]="Medium","linkCategory2",IF(TableRelationships12[[#This Row],[Rank Pedro]]="High","linkCategory3","")))</f>
        <v/>
      </c>
      <c r="U1178" s="102" t="str">
        <f>IF(TableRelationships12[[#This Row],[Rank Pedro]]="Low","Pink",IF(TableRelationships12[[#This Row],[Rank Pedro]]="Medium","Purple",IF(TableRelationships12[[#This Row],[Rank Pedro]]="High","Brown","")))</f>
        <v/>
      </c>
      <c r="V1178" s="4" t="e">
        <f>MAX(INDEX(Standards!$F$2:$F$296,MATCH(B1178,Standards!$B$2:$B$296,0)),INDEX(Standards!$F$2:$F$296,MATCH(C1178,Standards!$B$2:$B$296,0)))</f>
        <v>#N/A</v>
      </c>
      <c r="W1178" t="str">
        <f t="shared" si="56"/>
        <v>#2f89d1</v>
      </c>
    </row>
    <row r="1179" spans="1:23" x14ac:dyDescent="0.5">
      <c r="A1179" s="54">
        <v>1178</v>
      </c>
      <c r="B1179" s="90" t="s">
        <v>1050</v>
      </c>
      <c r="C1179" t="s">
        <v>312</v>
      </c>
      <c r="D1179" s="1"/>
      <c r="E1179" s="112">
        <v>2003.1</v>
      </c>
      <c r="F1179" s="112">
        <v>2019.02</v>
      </c>
      <c r="G1179" s="107" t="s">
        <v>670</v>
      </c>
      <c r="H1179">
        <f>INDEX('GIS-Standards'!$A$2:$A$305,MATCH(B1179,'GIS-Standards'!$B$2:$B$305,0))</f>
        <v>51</v>
      </c>
      <c r="I1179">
        <f>INDEX('GIS-Standards'!$A$2:$A$305,MATCH(C1179,'GIS-Standards'!$B$2:$B$305,0))</f>
        <v>21</v>
      </c>
      <c r="J1179" t="str">
        <f>INDEX('GIS-Standards'!$O$2:$O$305,MATCH(B1179,'GIS-Standards'!$B$2:$B$305,0))</f>
        <v>ISO/TC 211</v>
      </c>
      <c r="K1179" t="str">
        <f>INDEX('GIS-Standards'!$O$2:$O$305,MATCH(C1179,'GIS-Standards'!$B$2:$B$305,0))</f>
        <v>ISO/TC 211</v>
      </c>
      <c r="M1179" t="s">
        <v>525</v>
      </c>
      <c r="N1179">
        <f>INDEX('GIS-Standards'!$I$2:$I$305,MATCH(B1179,'GIS-Standards'!$B$2:$B$305,0))</f>
        <v>0</v>
      </c>
      <c r="O1179">
        <f>INDEX('GIS-Standards'!$I$2:$I$305,MATCH(C1179,'GIS-Standards'!$B$2:$B$305,0))</f>
        <v>0</v>
      </c>
      <c r="P1179" t="b">
        <f>AND(TableRelationships12[[#This Row],[Source Type]]="BIM",TableRelationships12[[#This Row],[Target Type]]="BIM")</f>
        <v>0</v>
      </c>
      <c r="Q1179">
        <f t="shared" si="54"/>
        <v>1</v>
      </c>
      <c r="S1179">
        <f t="shared" si="55"/>
        <v>1</v>
      </c>
      <c r="T1179" s="102" t="str">
        <f>IF(TableRelationships12[[#This Row],[Rank Pedro]]="Low","linkCategory1",IF(TableRelationships12[[#This Row],[Rank Pedro]]="Medium","linkCategory2",IF(TableRelationships12[[#This Row],[Rank Pedro]]="High","linkCategory3","")))</f>
        <v/>
      </c>
      <c r="U1179" s="102" t="str">
        <f>IF(TableRelationships12[[#This Row],[Rank Pedro]]="Low","Pink",IF(TableRelationships12[[#This Row],[Rank Pedro]]="Medium","Purple",IF(TableRelationships12[[#This Row],[Rank Pedro]]="High","Brown","")))</f>
        <v/>
      </c>
      <c r="V1179" s="4" t="e">
        <f>MAX(INDEX(Standards!$F$2:$F$296,MATCH(B1179,Standards!$B$2:$B$296,0)),INDEX(Standards!$F$2:$F$296,MATCH(C1179,Standards!$B$2:$B$296,0)))</f>
        <v>#N/A</v>
      </c>
      <c r="W1179" t="str">
        <f t="shared" si="56"/>
        <v>#2f89d1</v>
      </c>
    </row>
    <row r="1180" spans="1:23" x14ac:dyDescent="0.5">
      <c r="A1180" s="54">
        <v>1179</v>
      </c>
      <c r="B1180" s="90" t="s">
        <v>1050</v>
      </c>
      <c r="C1180" t="s">
        <v>1041</v>
      </c>
      <c r="D1180" s="1"/>
      <c r="E1180" s="112">
        <v>2009.02</v>
      </c>
      <c r="F1180" s="112">
        <v>2022.03</v>
      </c>
      <c r="G1180" s="107" t="s">
        <v>670</v>
      </c>
      <c r="H1180">
        <f>INDEX('GIS-Standards'!$A$2:$A$305,MATCH(B1180,'GIS-Standards'!$B$2:$B$305,0))</f>
        <v>51</v>
      </c>
      <c r="I1180">
        <f>INDEX('GIS-Standards'!$A$2:$A$305,MATCH(C1180,'GIS-Standards'!$B$2:$B$305,0))</f>
        <v>23</v>
      </c>
      <c r="J1180" t="str">
        <f>INDEX('GIS-Standards'!$O$2:$O$305,MATCH(B1180,'GIS-Standards'!$B$2:$B$305,0))</f>
        <v>ISO/TC 211</v>
      </c>
      <c r="K1180" t="str">
        <f>INDEX('GIS-Standards'!$O$2:$O$305,MATCH(C1180,'GIS-Standards'!$B$2:$B$305,0))</f>
        <v>ISO/TC 211</v>
      </c>
      <c r="M1180" t="s">
        <v>525</v>
      </c>
      <c r="N1180">
        <f>INDEX('GIS-Standards'!$I$2:$I$305,MATCH(B1180,'GIS-Standards'!$B$2:$B$305,0))</f>
        <v>0</v>
      </c>
      <c r="O1180" t="str">
        <f>INDEX('GIS-Standards'!$I$2:$I$305,MATCH(C1180,'GIS-Standards'!$B$2:$B$305,0))</f>
        <v>03.2022</v>
      </c>
      <c r="P1180" t="b">
        <f>AND(TableRelationships12[[#This Row],[Source Type]]="BIM",TableRelationships12[[#This Row],[Target Type]]="BIM")</f>
        <v>0</v>
      </c>
      <c r="Q1180">
        <f t="shared" si="54"/>
        <v>1</v>
      </c>
      <c r="S1180">
        <f t="shared" si="55"/>
        <v>1</v>
      </c>
      <c r="T1180" s="102" t="str">
        <f>IF(TableRelationships12[[#This Row],[Rank Pedro]]="Low","linkCategory1",IF(TableRelationships12[[#This Row],[Rank Pedro]]="Medium","linkCategory2",IF(TableRelationships12[[#This Row],[Rank Pedro]]="High","linkCategory3","")))</f>
        <v/>
      </c>
      <c r="U1180" s="102" t="str">
        <f>IF(TableRelationships12[[#This Row],[Rank Pedro]]="Low","Pink",IF(TableRelationships12[[#This Row],[Rank Pedro]]="Medium","Purple",IF(TableRelationships12[[#This Row],[Rank Pedro]]="High","Brown","")))</f>
        <v/>
      </c>
      <c r="V1180" s="4" t="e">
        <f>MAX(INDEX(Standards!$F$2:$F$296,MATCH(B1180,Standards!$B$2:$B$296,0)),INDEX(Standards!$F$2:$F$296,MATCH(C1180,Standards!$B$2:$B$296,0)))</f>
        <v>#N/A</v>
      </c>
      <c r="W1180" t="str">
        <f t="shared" si="56"/>
        <v>#2f89d1</v>
      </c>
    </row>
    <row r="1181" spans="1:23" x14ac:dyDescent="0.5">
      <c r="A1181" s="54">
        <v>1180</v>
      </c>
      <c r="B1181" s="90" t="s">
        <v>1050</v>
      </c>
      <c r="C1181" t="s">
        <v>1043</v>
      </c>
      <c r="D1181" s="1"/>
      <c r="E1181" s="112">
        <v>2004.07</v>
      </c>
      <c r="F1181" s="112">
        <v>2025.04</v>
      </c>
      <c r="G1181" s="107" t="s">
        <v>670</v>
      </c>
      <c r="H1181">
        <f>INDEX('GIS-Standards'!$A$2:$A$305,MATCH(B1181,'GIS-Standards'!$B$2:$B$305,0))</f>
        <v>51</v>
      </c>
      <c r="I1181">
        <f>INDEX('GIS-Standards'!$A$2:$A$305,MATCH(C1181,'GIS-Standards'!$B$2:$B$305,0))</f>
        <v>25</v>
      </c>
      <c r="J1181" t="str">
        <f>INDEX('GIS-Standards'!$O$2:$O$305,MATCH(B1181,'GIS-Standards'!$B$2:$B$305,0))</f>
        <v>ISO/TC 211</v>
      </c>
      <c r="K1181" t="str">
        <f>INDEX('GIS-Standards'!$O$2:$O$305,MATCH(C1181,'GIS-Standards'!$B$2:$B$305,0))</f>
        <v>ISO/TC 211</v>
      </c>
      <c r="M1181" t="s">
        <v>525</v>
      </c>
      <c r="N1181">
        <f>INDEX('GIS-Standards'!$I$2:$I$305,MATCH(B1181,'GIS-Standards'!$B$2:$B$305,0))</f>
        <v>0</v>
      </c>
      <c r="O1181">
        <f>INDEX('GIS-Standards'!$I$2:$I$305,MATCH(C1181,'GIS-Standards'!$B$2:$B$305,0))</f>
        <v>0</v>
      </c>
      <c r="P1181" t="b">
        <f>AND(TableRelationships12[[#This Row],[Source Type]]="BIM",TableRelationships12[[#This Row],[Target Type]]="BIM")</f>
        <v>0</v>
      </c>
      <c r="Q1181">
        <f t="shared" si="54"/>
        <v>1</v>
      </c>
      <c r="S1181">
        <f t="shared" si="55"/>
        <v>1</v>
      </c>
      <c r="T1181" s="102" t="str">
        <f>IF(TableRelationships12[[#This Row],[Rank Pedro]]="Low","linkCategory1",IF(TableRelationships12[[#This Row],[Rank Pedro]]="Medium","linkCategory2",IF(TableRelationships12[[#This Row],[Rank Pedro]]="High","linkCategory3","")))</f>
        <v/>
      </c>
      <c r="U1181" s="102" t="str">
        <f>IF(TableRelationships12[[#This Row],[Rank Pedro]]="Low","Pink",IF(TableRelationships12[[#This Row],[Rank Pedro]]="Medium","Purple",IF(TableRelationships12[[#This Row],[Rank Pedro]]="High","Brown","")))</f>
        <v/>
      </c>
      <c r="V1181" s="4" t="e">
        <f>MAX(INDEX(Standards!$F$2:$F$296,MATCH(B1181,Standards!$B$2:$B$296,0)),INDEX(Standards!$F$2:$F$296,MATCH(C1181,Standards!$B$2:$B$296,0)))</f>
        <v>#N/A</v>
      </c>
      <c r="W1181" t="str">
        <f t="shared" si="56"/>
        <v>#2f89d1</v>
      </c>
    </row>
    <row r="1182" spans="1:23" x14ac:dyDescent="0.5">
      <c r="A1182" s="54">
        <v>1181</v>
      </c>
      <c r="B1182" s="90" t="s">
        <v>1050</v>
      </c>
      <c r="C1182" t="s">
        <v>318</v>
      </c>
      <c r="D1182" s="1"/>
      <c r="E1182" s="112">
        <v>2005.02</v>
      </c>
      <c r="F1182" s="112">
        <v>2016.01</v>
      </c>
      <c r="G1182" s="107" t="s">
        <v>670</v>
      </c>
      <c r="H1182">
        <f>INDEX('GIS-Standards'!$A$2:$A$305,MATCH(B1182,'GIS-Standards'!$B$2:$B$305,0))</f>
        <v>51</v>
      </c>
      <c r="I1182">
        <f>INDEX('GIS-Standards'!$A$2:$A$305,MATCH(C1182,'GIS-Standards'!$B$2:$B$305,0))</f>
        <v>28</v>
      </c>
      <c r="J1182" t="str">
        <f>INDEX('GIS-Standards'!$O$2:$O$305,MATCH(B1182,'GIS-Standards'!$B$2:$B$305,0))</f>
        <v>ISO/TC 211</v>
      </c>
      <c r="K1182" t="str">
        <f>INDEX('GIS-Standards'!$O$2:$O$305,MATCH(C1182,'GIS-Standards'!$B$2:$B$305,0))</f>
        <v>ISO/TC 211</v>
      </c>
      <c r="M1182" t="s">
        <v>525</v>
      </c>
      <c r="N1182">
        <f>INDEX('GIS-Standards'!$I$2:$I$305,MATCH(B1182,'GIS-Standards'!$B$2:$B$305,0))</f>
        <v>0</v>
      </c>
      <c r="O1182">
        <f>INDEX('GIS-Standards'!$I$2:$I$305,MATCH(C1182,'GIS-Standards'!$B$2:$B$305,0))</f>
        <v>0</v>
      </c>
      <c r="P1182" t="b">
        <f>AND(TableRelationships12[[#This Row],[Source Type]]="BIM",TableRelationships12[[#This Row],[Target Type]]="BIM")</f>
        <v>0</v>
      </c>
      <c r="Q1182">
        <f t="shared" si="54"/>
        <v>1</v>
      </c>
      <c r="S1182">
        <f t="shared" si="55"/>
        <v>1</v>
      </c>
      <c r="T1182" s="102" t="str">
        <f>IF(TableRelationships12[[#This Row],[Rank Pedro]]="Low","linkCategory1",IF(TableRelationships12[[#This Row],[Rank Pedro]]="Medium","linkCategory2",IF(TableRelationships12[[#This Row],[Rank Pedro]]="High","linkCategory3","")))</f>
        <v/>
      </c>
      <c r="U1182" s="102" t="str">
        <f>IF(TableRelationships12[[#This Row],[Rank Pedro]]="Low","Pink",IF(TableRelationships12[[#This Row],[Rank Pedro]]="Medium","Purple",IF(TableRelationships12[[#This Row],[Rank Pedro]]="High","Brown","")))</f>
        <v/>
      </c>
      <c r="V1182" s="4" t="e">
        <f>MAX(INDEX(Standards!$F$2:$F$296,MATCH(B1182,Standards!$B$2:$B$296,0)),INDEX(Standards!$F$2:$F$296,MATCH(C1182,Standards!$B$2:$B$296,0)))</f>
        <v>#N/A</v>
      </c>
      <c r="W1182" t="str">
        <f t="shared" si="56"/>
        <v>#2f89d1</v>
      </c>
    </row>
    <row r="1183" spans="1:23" x14ac:dyDescent="0.5">
      <c r="A1183" s="54">
        <v>1182</v>
      </c>
      <c r="B1183" s="90" t="s">
        <v>1050</v>
      </c>
      <c r="C1183" t="s">
        <v>330</v>
      </c>
      <c r="D1183" s="1"/>
      <c r="E1183" s="112">
        <v>2007.1</v>
      </c>
      <c r="F1183" s="112">
        <v>2007.1</v>
      </c>
      <c r="G1183" s="107" t="s">
        <v>670</v>
      </c>
      <c r="H1183">
        <f>INDEX('GIS-Standards'!$A$2:$A$305,MATCH(B1183,'GIS-Standards'!$B$2:$B$305,0))</f>
        <v>51</v>
      </c>
      <c r="I1183">
        <f>INDEX('GIS-Standards'!$A$2:$A$305,MATCH(C1183,'GIS-Standards'!$B$2:$B$305,0))</f>
        <v>38</v>
      </c>
      <c r="J1183" t="str">
        <f>INDEX('GIS-Standards'!$O$2:$O$305,MATCH(B1183,'GIS-Standards'!$B$2:$B$305,0))</f>
        <v>ISO/TC 211</v>
      </c>
      <c r="K1183" t="str">
        <f>INDEX('GIS-Standards'!$O$2:$O$305,MATCH(C1183,'GIS-Standards'!$B$2:$B$305,0))</f>
        <v>ISO/TC 211</v>
      </c>
      <c r="M1183" t="s">
        <v>525</v>
      </c>
      <c r="N1183">
        <f>INDEX('GIS-Standards'!$I$2:$I$305,MATCH(B1183,'GIS-Standards'!$B$2:$B$305,0))</f>
        <v>0</v>
      </c>
      <c r="O1183">
        <f>INDEX('GIS-Standards'!$I$2:$I$305,MATCH(C1183,'GIS-Standards'!$B$2:$B$305,0))</f>
        <v>0</v>
      </c>
      <c r="P1183" t="b">
        <f>AND(TableRelationships12[[#This Row],[Source Type]]="BIM",TableRelationships12[[#This Row],[Target Type]]="BIM")</f>
        <v>0</v>
      </c>
      <c r="Q1183">
        <f t="shared" si="54"/>
        <v>1</v>
      </c>
      <c r="S1183">
        <f t="shared" si="55"/>
        <v>1</v>
      </c>
      <c r="T1183" s="102" t="str">
        <f>IF(TableRelationships12[[#This Row],[Rank Pedro]]="Low","linkCategory1",IF(TableRelationships12[[#This Row],[Rank Pedro]]="Medium","linkCategory2",IF(TableRelationships12[[#This Row],[Rank Pedro]]="High","linkCategory3","")))</f>
        <v/>
      </c>
      <c r="U1183" s="102" t="str">
        <f>IF(TableRelationships12[[#This Row],[Rank Pedro]]="Low","Pink",IF(TableRelationships12[[#This Row],[Rank Pedro]]="Medium","Purple",IF(TableRelationships12[[#This Row],[Rank Pedro]]="High","Brown","")))</f>
        <v/>
      </c>
      <c r="V1183" s="4" t="e">
        <f>MAX(INDEX(Standards!$F$2:$F$296,MATCH(B1183,Standards!$B$2:$B$296,0)),INDEX(Standards!$F$2:$F$296,MATCH(C1183,Standards!$B$2:$B$296,0)))</f>
        <v>#N/A</v>
      </c>
      <c r="W1183" t="str">
        <f t="shared" si="56"/>
        <v>#2f89d1</v>
      </c>
    </row>
    <row r="1184" spans="1:23" x14ac:dyDescent="0.5">
      <c r="A1184" s="54">
        <v>1183</v>
      </c>
      <c r="B1184" s="90" t="s">
        <v>1050</v>
      </c>
      <c r="C1184" t="s">
        <v>332</v>
      </c>
      <c r="D1184" s="1"/>
      <c r="E1184" s="112">
        <v>2005.1</v>
      </c>
      <c r="F1184" s="112">
        <v>2005.1</v>
      </c>
      <c r="G1184" s="107" t="s">
        <v>670</v>
      </c>
      <c r="H1184">
        <f>INDEX('GIS-Standards'!$A$2:$A$305,MATCH(B1184,'GIS-Standards'!$B$2:$B$305,0))</f>
        <v>51</v>
      </c>
      <c r="I1184">
        <f>INDEX('GIS-Standards'!$A$2:$A$305,MATCH(C1184,'GIS-Standards'!$B$2:$B$305,0))</f>
        <v>39</v>
      </c>
      <c r="J1184" t="str">
        <f>INDEX('GIS-Standards'!$O$2:$O$305,MATCH(B1184,'GIS-Standards'!$B$2:$B$305,0))</f>
        <v>ISO/TC 211</v>
      </c>
      <c r="K1184" t="str">
        <f>INDEX('GIS-Standards'!$O$2:$O$305,MATCH(C1184,'GIS-Standards'!$B$2:$B$305,0))</f>
        <v>ISO/TC 211</v>
      </c>
      <c r="M1184" t="s">
        <v>525</v>
      </c>
      <c r="N1184">
        <f>INDEX('GIS-Standards'!$I$2:$I$305,MATCH(B1184,'GIS-Standards'!$B$2:$B$305,0))</f>
        <v>0</v>
      </c>
      <c r="O1184">
        <f>INDEX('GIS-Standards'!$I$2:$I$305,MATCH(C1184,'GIS-Standards'!$B$2:$B$305,0))</f>
        <v>0</v>
      </c>
      <c r="P1184" t="b">
        <f>AND(TableRelationships12[[#This Row],[Source Type]]="BIM",TableRelationships12[[#This Row],[Target Type]]="BIM")</f>
        <v>0</v>
      </c>
      <c r="Q1184">
        <f t="shared" si="54"/>
        <v>1</v>
      </c>
      <c r="S1184">
        <f t="shared" si="55"/>
        <v>1</v>
      </c>
      <c r="T1184" s="102" t="str">
        <f>IF(TableRelationships12[[#This Row],[Rank Pedro]]="Low","linkCategory1",IF(TableRelationships12[[#This Row],[Rank Pedro]]="Medium","linkCategory2",IF(TableRelationships12[[#This Row],[Rank Pedro]]="High","linkCategory3","")))</f>
        <v/>
      </c>
      <c r="U1184" s="102" t="str">
        <f>IF(TableRelationships12[[#This Row],[Rank Pedro]]="Low","Pink",IF(TableRelationships12[[#This Row],[Rank Pedro]]="Medium","Purple",IF(TableRelationships12[[#This Row],[Rank Pedro]]="High","Brown","")))</f>
        <v/>
      </c>
      <c r="V1184" s="4" t="e">
        <f>MAX(INDEX(Standards!$F$2:$F$296,MATCH(B1184,Standards!$B$2:$B$296,0)),INDEX(Standards!$F$2:$F$296,MATCH(C1184,Standards!$B$2:$B$296,0)))</f>
        <v>#N/A</v>
      </c>
      <c r="W1184" t="str">
        <f t="shared" si="56"/>
        <v>#2f89d1</v>
      </c>
    </row>
    <row r="1185" spans="1:23" x14ac:dyDescent="0.5">
      <c r="A1185" s="54">
        <v>1184</v>
      </c>
      <c r="B1185" s="90" t="s">
        <v>1050</v>
      </c>
      <c r="C1185" t="s">
        <v>352</v>
      </c>
      <c r="D1185" s="1"/>
      <c r="E1185" s="112">
        <v>1985.02</v>
      </c>
      <c r="F1185" s="112">
        <v>2013.03</v>
      </c>
      <c r="G1185" s="107" t="s">
        <v>1457</v>
      </c>
      <c r="H1185">
        <f>INDEX('GIS-Standards'!$A$2:$A$305,MATCH(B1185,'GIS-Standards'!$B$2:$B$305,0))</f>
        <v>51</v>
      </c>
      <c r="I1185" t="e">
        <f>INDEX('GIS-Standards'!$A$2:$A$305,MATCH(C1185,'GIS-Standards'!$B$2:$B$305,0))</f>
        <v>#N/A</v>
      </c>
      <c r="J1185" t="str">
        <f>INDEX('GIS-Standards'!$O$2:$O$305,MATCH(B1185,'GIS-Standards'!$B$2:$B$305,0))</f>
        <v>ISO/TC 211</v>
      </c>
      <c r="K1185" t="e">
        <f>INDEX('GIS-Standards'!$O$2:$O$305,MATCH(C1185,'GIS-Standards'!$B$2:$B$305,0))</f>
        <v>#N/A</v>
      </c>
      <c r="M1185" t="s">
        <v>525</v>
      </c>
      <c r="N1185">
        <f>INDEX('GIS-Standards'!$I$2:$I$305,MATCH(B1185,'GIS-Standards'!$B$2:$B$305,0))</f>
        <v>0</v>
      </c>
      <c r="O1185" t="e">
        <f>INDEX('GIS-Standards'!$I$2:$I$305,MATCH(C1185,'GIS-Standards'!$B$2:$B$305,0))</f>
        <v>#N/A</v>
      </c>
      <c r="P1185" t="e">
        <f>AND(TableRelationships12[[#This Row],[Source Type]]="BIM",TableRelationships12[[#This Row],[Target Type]]="BIM")</f>
        <v>#N/A</v>
      </c>
      <c r="Q1185">
        <f t="shared" si="54"/>
        <v>1</v>
      </c>
      <c r="S1185">
        <f t="shared" si="55"/>
        <v>1</v>
      </c>
      <c r="T1185" s="102" t="str">
        <f>IF(TableRelationships12[[#This Row],[Rank Pedro]]="Low","linkCategory1",IF(TableRelationships12[[#This Row],[Rank Pedro]]="Medium","linkCategory2",IF(TableRelationships12[[#This Row],[Rank Pedro]]="High","linkCategory3","")))</f>
        <v/>
      </c>
      <c r="U1185" s="102" t="str">
        <f>IF(TableRelationships12[[#This Row],[Rank Pedro]]="Low","Pink",IF(TableRelationships12[[#This Row],[Rank Pedro]]="Medium","Purple",IF(TableRelationships12[[#This Row],[Rank Pedro]]="High","Brown","")))</f>
        <v/>
      </c>
      <c r="V1185" s="4" t="e">
        <f>MAX(INDEX(Standards!$F$2:$F$296,MATCH(B1185,Standards!$B$2:$B$296,0)),INDEX(Standards!$F$2:$F$296,MATCH(C1185,Standards!$B$2:$B$296,0)))</f>
        <v>#N/A</v>
      </c>
      <c r="W1185" t="str">
        <f t="shared" si="56"/>
        <v>#2f89d1</v>
      </c>
    </row>
    <row r="1186" spans="1:23" x14ac:dyDescent="0.5">
      <c r="A1186" s="54">
        <v>1185</v>
      </c>
      <c r="B1186" s="90" t="s">
        <v>635</v>
      </c>
      <c r="C1186" t="s">
        <v>527</v>
      </c>
      <c r="D1186" s="1"/>
      <c r="E1186" s="112" t="s">
        <v>985</v>
      </c>
      <c r="F1186" s="112" t="s">
        <v>985</v>
      </c>
      <c r="G1186" s="121" t="s">
        <v>670</v>
      </c>
      <c r="H1186">
        <f>INDEX('GIS-Standards'!$A$2:$A$305,MATCH(B1186,'GIS-Standards'!$B$2:$B$305,0))</f>
        <v>52</v>
      </c>
      <c r="I1186" t="e">
        <f>INDEX('GIS-Standards'!$A$2:$A$305,MATCH(C1186,'GIS-Standards'!$B$2:$B$305,0))</f>
        <v>#N/A</v>
      </c>
      <c r="J1186" t="str">
        <f>INDEX('GIS-Standards'!$O$2:$O$305,MATCH(B1186,'GIS-Standards'!$B$2:$B$305,0))</f>
        <v>ISO/TC 211</v>
      </c>
      <c r="K1186" t="e">
        <f>INDEX('GIS-Standards'!$O$2:$O$305,MATCH(C1186,'GIS-Standards'!$B$2:$B$305,0))</f>
        <v>#N/A</v>
      </c>
      <c r="M1186" t="s">
        <v>237</v>
      </c>
      <c r="N1186">
        <f>INDEX('GIS-Standards'!$I$2:$I$305,MATCH(B1186,'GIS-Standards'!$B$2:$B$305,0))</f>
        <v>0</v>
      </c>
      <c r="O1186" t="e">
        <f>INDEX('GIS-Standards'!$I$2:$I$305,MATCH(C1186,'GIS-Standards'!$B$2:$B$305,0))</f>
        <v>#N/A</v>
      </c>
      <c r="P1186" t="e">
        <f>AND(TableRelationships12[[#This Row],[Source Type]]="BIM",TableRelationships12[[#This Row],[Target Type]]="BIM")</f>
        <v>#N/A</v>
      </c>
      <c r="Q1186">
        <f t="shared" si="54"/>
        <v>2</v>
      </c>
      <c r="S1186">
        <f t="shared" si="55"/>
        <v>1</v>
      </c>
      <c r="T1186" s="102" t="str">
        <f>IF(TableRelationships12[[#This Row],[Rank Pedro]]="Low","linkCategory1",IF(TableRelationships12[[#This Row],[Rank Pedro]]="Medium","linkCategory2",IF(TableRelationships12[[#This Row],[Rank Pedro]]="High","linkCategory3","")))</f>
        <v/>
      </c>
      <c r="U1186" s="102" t="str">
        <f>IF(TableRelationships12[[#This Row],[Rank Pedro]]="Low","Pink",IF(TableRelationships12[[#This Row],[Rank Pedro]]="Medium","Purple",IF(TableRelationships12[[#This Row],[Rank Pedro]]="High","Brown","")))</f>
        <v/>
      </c>
      <c r="V1186" s="4" t="e">
        <f>MAX(INDEX(Standards!$F$2:$F$296,MATCH(B1186,Standards!$B$2:$B$296,0)),INDEX(Standards!$F$2:$F$296,MATCH(C1186,Standards!$B$2:$B$296,0)))</f>
        <v>#N/A</v>
      </c>
      <c r="W1186">
        <f t="shared" si="56"/>
        <v>1</v>
      </c>
    </row>
    <row r="1187" spans="1:23" x14ac:dyDescent="0.5">
      <c r="A1187" s="54">
        <v>1186</v>
      </c>
      <c r="B1187" s="90" t="s">
        <v>635</v>
      </c>
      <c r="C1187" t="s">
        <v>437</v>
      </c>
      <c r="D1187" s="1"/>
      <c r="E1187" s="112">
        <v>1988.03</v>
      </c>
      <c r="F1187" s="112">
        <v>2023.11</v>
      </c>
      <c r="G1187" s="107" t="s">
        <v>1457</v>
      </c>
      <c r="H1187">
        <f>INDEX('GIS-Standards'!$A$2:$A$305,MATCH(B1187,'GIS-Standards'!$B$2:$B$305,0))</f>
        <v>52</v>
      </c>
      <c r="I1187" t="e">
        <f>INDEX('GIS-Standards'!$A$2:$A$305,MATCH(C1187,'GIS-Standards'!$B$2:$B$305,0))</f>
        <v>#N/A</v>
      </c>
      <c r="J1187" t="str">
        <f>INDEX('GIS-Standards'!$O$2:$O$305,MATCH(B1187,'GIS-Standards'!$B$2:$B$305,0))</f>
        <v>ISO/TC 211</v>
      </c>
      <c r="K1187" t="e">
        <f>INDEX('GIS-Standards'!$O$2:$O$305,MATCH(C1187,'GIS-Standards'!$B$2:$B$305,0))</f>
        <v>#N/A</v>
      </c>
      <c r="M1187" t="s">
        <v>524</v>
      </c>
      <c r="N1187">
        <f>INDEX('GIS-Standards'!$I$2:$I$305,MATCH(B1187,'GIS-Standards'!$B$2:$B$305,0))</f>
        <v>0</v>
      </c>
      <c r="O1187" t="e">
        <f>INDEX('GIS-Standards'!$I$2:$I$305,MATCH(C1187,'GIS-Standards'!$B$2:$B$305,0))</f>
        <v>#N/A</v>
      </c>
      <c r="P1187" t="e">
        <f>AND(TableRelationships12[[#This Row],[Source Type]]="BIM",TableRelationships12[[#This Row],[Target Type]]="BIM")</f>
        <v>#N/A</v>
      </c>
      <c r="Q1187">
        <f t="shared" si="54"/>
        <v>6</v>
      </c>
      <c r="S1187">
        <f t="shared" si="55"/>
        <v>1</v>
      </c>
      <c r="T1187" s="102" t="str">
        <f>IF(TableRelationships12[[#This Row],[Rank Pedro]]="Low","linkCategory1",IF(TableRelationships12[[#This Row],[Rank Pedro]]="Medium","linkCategory2",IF(TableRelationships12[[#This Row],[Rank Pedro]]="High","linkCategory3","")))</f>
        <v/>
      </c>
      <c r="U1187" s="102" t="str">
        <f>IF(TableRelationships12[[#This Row],[Rank Pedro]]="Low","Pink",IF(TableRelationships12[[#This Row],[Rank Pedro]]="Medium","Purple",IF(TableRelationships12[[#This Row],[Rank Pedro]]="High","Brown","")))</f>
        <v/>
      </c>
      <c r="V1187" s="4" t="e">
        <f>MAX(INDEX(Standards!$F$2:$F$296,MATCH(B1187,Standards!$B$2:$B$296,0)),INDEX(Standards!$F$2:$F$296,MATCH(C1187,Standards!$B$2:$B$296,0)))</f>
        <v>#N/A</v>
      </c>
      <c r="W1187" t="str">
        <f t="shared" si="56"/>
        <v>#d6bf2a</v>
      </c>
    </row>
    <row r="1188" spans="1:23" x14ac:dyDescent="0.5">
      <c r="A1188" s="54">
        <v>1187</v>
      </c>
      <c r="B1188" s="90" t="s">
        <v>635</v>
      </c>
      <c r="C1188" t="s">
        <v>132</v>
      </c>
      <c r="D1188" s="1" t="s">
        <v>1303</v>
      </c>
      <c r="E1188" s="112">
        <v>1997.09</v>
      </c>
      <c r="F1188" s="112">
        <v>2020.08</v>
      </c>
      <c r="G1188" s="107" t="s">
        <v>1481</v>
      </c>
      <c r="H1188">
        <f>INDEX('GIS-Standards'!$A$2:$A$305,MATCH(B1188,'GIS-Standards'!$B$2:$B$305,0))</f>
        <v>52</v>
      </c>
      <c r="I1188" t="e">
        <f>INDEX('GIS-Standards'!$A$2:$A$305,MATCH(C1188,'GIS-Standards'!$B$2:$B$305,0))</f>
        <v>#N/A</v>
      </c>
      <c r="J1188" t="str">
        <f>INDEX('GIS-Standards'!$O$2:$O$305,MATCH(B1188,'GIS-Standards'!$B$2:$B$305,0))</f>
        <v>ISO/TC 211</v>
      </c>
      <c r="K1188" t="e">
        <f>INDEX('GIS-Standards'!$O$2:$O$305,MATCH(C1188,'GIS-Standards'!$B$2:$B$305,0))</f>
        <v>#N/A</v>
      </c>
      <c r="M1188" t="s">
        <v>524</v>
      </c>
      <c r="N1188">
        <f>INDEX('GIS-Standards'!$I$2:$I$305,MATCH(B1188,'GIS-Standards'!$B$2:$B$305,0))</f>
        <v>0</v>
      </c>
      <c r="O1188" t="e">
        <f>INDEX('GIS-Standards'!$I$2:$I$305,MATCH(C1188,'GIS-Standards'!$B$2:$B$305,0))</f>
        <v>#N/A</v>
      </c>
      <c r="P1188" t="e">
        <f>AND(TableRelationships12[[#This Row],[Source Type]]="BIM",TableRelationships12[[#This Row],[Target Type]]="BIM")</f>
        <v>#N/A</v>
      </c>
      <c r="Q1188">
        <f t="shared" si="54"/>
        <v>6</v>
      </c>
      <c r="S1188">
        <f t="shared" si="55"/>
        <v>1</v>
      </c>
      <c r="T1188" s="102" t="str">
        <f>IF(TableRelationships12[[#This Row],[Rank Pedro]]="Low","linkCategory1",IF(TableRelationships12[[#This Row],[Rank Pedro]]="Medium","linkCategory2",IF(TableRelationships12[[#This Row],[Rank Pedro]]="High","linkCategory3","")))</f>
        <v/>
      </c>
      <c r="U1188" s="102" t="str">
        <f>IF(TableRelationships12[[#This Row],[Rank Pedro]]="Low","Pink",IF(TableRelationships12[[#This Row],[Rank Pedro]]="Medium","Purple",IF(TableRelationships12[[#This Row],[Rank Pedro]]="High","Brown","")))</f>
        <v/>
      </c>
      <c r="V1188" s="4" t="e">
        <f>MAX(INDEX(Standards!$F$2:$F$296,MATCH(B1188,Standards!$B$2:$B$296,0)),INDEX(Standards!$F$2:$F$296,MATCH(C1188,Standards!$B$2:$B$296,0)))</f>
        <v>#N/A</v>
      </c>
      <c r="W1188" t="str">
        <f t="shared" si="56"/>
        <v>#d6bf2a</v>
      </c>
    </row>
    <row r="1189" spans="1:23" x14ac:dyDescent="0.5">
      <c r="A1189" s="54">
        <v>1188</v>
      </c>
      <c r="B1189" s="90" t="s">
        <v>635</v>
      </c>
      <c r="C1189" t="s">
        <v>1401</v>
      </c>
      <c r="D1189" s="1" t="s">
        <v>1303</v>
      </c>
      <c r="E1189" s="113">
        <v>1998.12</v>
      </c>
      <c r="F1189" s="112">
        <v>2020.08</v>
      </c>
      <c r="G1189" s="107" t="s">
        <v>1481</v>
      </c>
      <c r="H1189">
        <f>INDEX('GIS-Standards'!$A$2:$A$305,MATCH(B1189,'GIS-Standards'!$B$2:$B$305,0))</f>
        <v>52</v>
      </c>
      <c r="I1189" t="e">
        <f>INDEX('GIS-Standards'!$A$2:$A$305,MATCH(C1189,'GIS-Standards'!$B$2:$B$305,0))</f>
        <v>#N/A</v>
      </c>
      <c r="J1189" t="str">
        <f>INDEX('GIS-Standards'!$O$2:$O$305,MATCH(B1189,'GIS-Standards'!$B$2:$B$305,0))</f>
        <v>ISO/TC 211</v>
      </c>
      <c r="K1189" t="e">
        <f>INDEX('GIS-Standards'!$O$2:$O$305,MATCH(C1189,'GIS-Standards'!$B$2:$B$305,0))</f>
        <v>#N/A</v>
      </c>
      <c r="M1189" t="s">
        <v>524</v>
      </c>
      <c r="N1189">
        <f>INDEX('GIS-Standards'!$I$2:$I$305,MATCH(B1189,'GIS-Standards'!$B$2:$B$305,0))</f>
        <v>0</v>
      </c>
      <c r="O1189" t="e">
        <f>INDEX('GIS-Standards'!$I$2:$I$305,MATCH(C1189,'GIS-Standards'!$B$2:$B$305,0))</f>
        <v>#N/A</v>
      </c>
      <c r="P1189" t="e">
        <f>AND(TableRelationships12[[#This Row],[Source Type]]="BIM",TableRelationships12[[#This Row],[Target Type]]="BIM")</f>
        <v>#N/A</v>
      </c>
      <c r="Q1189">
        <f t="shared" si="54"/>
        <v>6</v>
      </c>
      <c r="S1189">
        <f t="shared" si="55"/>
        <v>1</v>
      </c>
      <c r="T1189" s="102" t="str">
        <f>IF(TableRelationships12[[#This Row],[Rank Pedro]]="Low","linkCategory1",IF(TableRelationships12[[#This Row],[Rank Pedro]]="Medium","linkCategory2",IF(TableRelationships12[[#This Row],[Rank Pedro]]="High","linkCategory3","")))</f>
        <v/>
      </c>
      <c r="U1189" s="102" t="str">
        <f>IF(TableRelationships12[[#This Row],[Rank Pedro]]="Low","Pink",IF(TableRelationships12[[#This Row],[Rank Pedro]]="Medium","Purple",IF(TableRelationships12[[#This Row],[Rank Pedro]]="High","Brown","")))</f>
        <v/>
      </c>
      <c r="V1189" s="4" t="e">
        <f>MAX(INDEX(Standards!$F$2:$F$296,MATCH(B1189,Standards!$B$2:$B$296,0)),INDEX(Standards!$F$2:$F$296,MATCH(C1189,Standards!$B$2:$B$296,0)))</f>
        <v>#N/A</v>
      </c>
      <c r="W1189" t="str">
        <f t="shared" si="56"/>
        <v>#d6bf2a</v>
      </c>
    </row>
    <row r="1190" spans="1:23" x14ac:dyDescent="0.5">
      <c r="A1190" s="54">
        <v>1189</v>
      </c>
      <c r="B1190" s="90" t="s">
        <v>635</v>
      </c>
      <c r="C1190" t="s">
        <v>1402</v>
      </c>
      <c r="D1190" s="1" t="s">
        <v>1303</v>
      </c>
      <c r="E1190" s="113">
        <v>1999.03</v>
      </c>
      <c r="F1190" s="112">
        <v>2020.08</v>
      </c>
      <c r="G1190" s="107" t="s">
        <v>1481</v>
      </c>
      <c r="H1190">
        <f>INDEX('GIS-Standards'!$A$2:$A$305,MATCH(B1190,'GIS-Standards'!$B$2:$B$305,0))</f>
        <v>52</v>
      </c>
      <c r="I1190" t="e">
        <f>INDEX('GIS-Standards'!$A$2:$A$305,MATCH(C1190,'GIS-Standards'!$B$2:$B$305,0))</f>
        <v>#N/A</v>
      </c>
      <c r="J1190" t="str">
        <f>INDEX('GIS-Standards'!$O$2:$O$305,MATCH(B1190,'GIS-Standards'!$B$2:$B$305,0))</f>
        <v>ISO/TC 211</v>
      </c>
      <c r="K1190" t="e">
        <f>INDEX('GIS-Standards'!$O$2:$O$305,MATCH(C1190,'GIS-Standards'!$B$2:$B$305,0))</f>
        <v>#N/A</v>
      </c>
      <c r="M1190" t="s">
        <v>524</v>
      </c>
      <c r="N1190">
        <f>INDEX('GIS-Standards'!$I$2:$I$305,MATCH(B1190,'GIS-Standards'!$B$2:$B$305,0))</f>
        <v>0</v>
      </c>
      <c r="O1190" t="e">
        <f>INDEX('GIS-Standards'!$I$2:$I$305,MATCH(C1190,'GIS-Standards'!$B$2:$B$305,0))</f>
        <v>#N/A</v>
      </c>
      <c r="P1190" t="e">
        <f>AND(TableRelationships12[[#This Row],[Source Type]]="BIM",TableRelationships12[[#This Row],[Target Type]]="BIM")</f>
        <v>#N/A</v>
      </c>
      <c r="Q1190">
        <f t="shared" si="54"/>
        <v>6</v>
      </c>
      <c r="S1190">
        <f t="shared" si="55"/>
        <v>1</v>
      </c>
      <c r="T1190" s="102" t="str">
        <f>IF(TableRelationships12[[#This Row],[Rank Pedro]]="Low","linkCategory1",IF(TableRelationships12[[#This Row],[Rank Pedro]]="Medium","linkCategory2",IF(TableRelationships12[[#This Row],[Rank Pedro]]="High","linkCategory3","")))</f>
        <v/>
      </c>
      <c r="U1190" s="102" t="str">
        <f>IF(TableRelationships12[[#This Row],[Rank Pedro]]="Low","Pink",IF(TableRelationships12[[#This Row],[Rank Pedro]]="Medium","Purple",IF(TableRelationships12[[#This Row],[Rank Pedro]]="High","Brown","")))</f>
        <v/>
      </c>
      <c r="V1190" s="4" t="e">
        <f>MAX(INDEX(Standards!$F$2:$F$296,MATCH(B1190,Standards!$B$2:$B$296,0)),INDEX(Standards!$F$2:$F$296,MATCH(C1190,Standards!$B$2:$B$296,0)))</f>
        <v>#N/A</v>
      </c>
      <c r="W1190" t="str">
        <f t="shared" si="56"/>
        <v>#d6bf2a</v>
      </c>
    </row>
    <row r="1191" spans="1:23" x14ac:dyDescent="0.5">
      <c r="A1191" s="54">
        <v>1190</v>
      </c>
      <c r="B1191" s="90" t="s">
        <v>635</v>
      </c>
      <c r="C1191" t="s">
        <v>296</v>
      </c>
      <c r="D1191" s="1"/>
      <c r="E1191" s="112">
        <v>2005.07</v>
      </c>
      <c r="F1191" s="112">
        <v>2024.09</v>
      </c>
      <c r="G1191" s="107" t="s">
        <v>670</v>
      </c>
      <c r="H1191">
        <f>INDEX('GIS-Standards'!$A$2:$A$305,MATCH(B1191,'GIS-Standards'!$B$2:$B$305,0))</f>
        <v>52</v>
      </c>
      <c r="I1191">
        <f>INDEX('GIS-Standards'!$A$2:$A$305,MATCH(C1191,'GIS-Standards'!$B$2:$B$305,0))</f>
        <v>12</v>
      </c>
      <c r="J1191" t="str">
        <f>INDEX('GIS-Standards'!$O$2:$O$305,MATCH(B1191,'GIS-Standards'!$B$2:$B$305,0))</f>
        <v>ISO/TC 211</v>
      </c>
      <c r="K1191" t="str">
        <f>INDEX('GIS-Standards'!$O$2:$O$305,MATCH(C1191,'GIS-Standards'!$B$2:$B$305,0))</f>
        <v>ISO/TC 211</v>
      </c>
      <c r="M1191" t="s">
        <v>524</v>
      </c>
      <c r="N1191">
        <f>INDEX('GIS-Standards'!$I$2:$I$305,MATCH(B1191,'GIS-Standards'!$B$2:$B$305,0))</f>
        <v>0</v>
      </c>
      <c r="O1191">
        <f>INDEX('GIS-Standards'!$I$2:$I$305,MATCH(C1191,'GIS-Standards'!$B$2:$B$305,0))</f>
        <v>0</v>
      </c>
      <c r="P1191" t="b">
        <f>AND(TableRelationships12[[#This Row],[Source Type]]="BIM",TableRelationships12[[#This Row],[Target Type]]="BIM")</f>
        <v>0</v>
      </c>
      <c r="Q1191">
        <f t="shared" si="54"/>
        <v>6</v>
      </c>
      <c r="S1191">
        <f t="shared" si="55"/>
        <v>1</v>
      </c>
      <c r="T1191" s="102" t="str">
        <f>IF(TableRelationships12[[#This Row],[Rank Pedro]]="Low","linkCategory1",IF(TableRelationships12[[#This Row],[Rank Pedro]]="Medium","linkCategory2",IF(TableRelationships12[[#This Row],[Rank Pedro]]="High","linkCategory3","")))</f>
        <v/>
      </c>
      <c r="U1191" s="102" t="str">
        <f>IF(TableRelationships12[[#This Row],[Rank Pedro]]="Low","Pink",IF(TableRelationships12[[#This Row],[Rank Pedro]]="Medium","Purple",IF(TableRelationships12[[#This Row],[Rank Pedro]]="High","Brown","")))</f>
        <v/>
      </c>
      <c r="V1191" s="4" t="e">
        <f>MAX(INDEX(Standards!$F$2:$F$296,MATCH(B1191,Standards!$B$2:$B$296,0)),INDEX(Standards!$F$2:$F$296,MATCH(C1191,Standards!$B$2:$B$296,0)))</f>
        <v>#N/A</v>
      </c>
      <c r="W1191" t="str">
        <f t="shared" si="56"/>
        <v>#d6bf2a</v>
      </c>
    </row>
    <row r="1192" spans="1:23" x14ac:dyDescent="0.5">
      <c r="A1192" s="54">
        <v>1191</v>
      </c>
      <c r="B1192" s="90" t="s">
        <v>635</v>
      </c>
      <c r="C1192" t="s">
        <v>302</v>
      </c>
      <c r="D1192" s="1"/>
      <c r="E1192" s="112">
        <v>2003.05</v>
      </c>
      <c r="F1192" s="112">
        <v>2019.12</v>
      </c>
      <c r="G1192" s="107" t="s">
        <v>670</v>
      </c>
      <c r="H1192">
        <f>INDEX('GIS-Standards'!$A$2:$A$305,MATCH(B1192,'GIS-Standards'!$B$2:$B$305,0))</f>
        <v>52</v>
      </c>
      <c r="I1192">
        <f>INDEX('GIS-Standards'!$A$2:$A$305,MATCH(C1192,'GIS-Standards'!$B$2:$B$305,0))</f>
        <v>16</v>
      </c>
      <c r="J1192" t="str">
        <f>INDEX('GIS-Standards'!$O$2:$O$305,MATCH(B1192,'GIS-Standards'!$B$2:$B$305,0))</f>
        <v>ISO/TC 211</v>
      </c>
      <c r="K1192" t="str">
        <f>INDEX('GIS-Standards'!$O$2:$O$305,MATCH(C1192,'GIS-Standards'!$B$2:$B$305,0))</f>
        <v>ISO/TC 211</v>
      </c>
      <c r="M1192" t="s">
        <v>524</v>
      </c>
      <c r="N1192">
        <f>INDEX('GIS-Standards'!$I$2:$I$305,MATCH(B1192,'GIS-Standards'!$B$2:$B$305,0))</f>
        <v>0</v>
      </c>
      <c r="O1192">
        <f>INDEX('GIS-Standards'!$I$2:$I$305,MATCH(C1192,'GIS-Standards'!$B$2:$B$305,0))</f>
        <v>0</v>
      </c>
      <c r="P1192" t="b">
        <f>AND(TableRelationships12[[#This Row],[Source Type]]="BIM",TableRelationships12[[#This Row],[Target Type]]="BIM")</f>
        <v>0</v>
      </c>
      <c r="Q1192">
        <f t="shared" si="54"/>
        <v>6</v>
      </c>
      <c r="S1192">
        <f t="shared" si="55"/>
        <v>1</v>
      </c>
      <c r="T1192" s="102" t="str">
        <f>IF(TableRelationships12[[#This Row],[Rank Pedro]]="Low","linkCategory1",IF(TableRelationships12[[#This Row],[Rank Pedro]]="Medium","linkCategory2",IF(TableRelationships12[[#This Row],[Rank Pedro]]="High","linkCategory3","")))</f>
        <v/>
      </c>
      <c r="U1192" s="102" t="str">
        <f>IF(TableRelationships12[[#This Row],[Rank Pedro]]="Low","Pink",IF(TableRelationships12[[#This Row],[Rank Pedro]]="Medium","Purple",IF(TableRelationships12[[#This Row],[Rank Pedro]]="High","Brown","")))</f>
        <v/>
      </c>
      <c r="V1192" s="4" t="e">
        <f>MAX(INDEX(Standards!$F$2:$F$296,MATCH(B1192,Standards!$B$2:$B$296,0)),INDEX(Standards!$F$2:$F$296,MATCH(C1192,Standards!$B$2:$B$296,0)))</f>
        <v>#N/A</v>
      </c>
      <c r="W1192" t="str">
        <f t="shared" si="56"/>
        <v>#d6bf2a</v>
      </c>
    </row>
    <row r="1193" spans="1:23" x14ac:dyDescent="0.5">
      <c r="A1193" s="54">
        <v>1192</v>
      </c>
      <c r="B1193" s="90" t="s">
        <v>635</v>
      </c>
      <c r="C1193" t="s">
        <v>304</v>
      </c>
      <c r="D1193" s="1"/>
      <c r="E1193" s="112">
        <v>2002.09</v>
      </c>
      <c r="F1193" s="112">
        <v>2006.1</v>
      </c>
      <c r="G1193" s="107" t="s">
        <v>670</v>
      </c>
      <c r="H1193">
        <f>INDEX('GIS-Standards'!$A$2:$A$305,MATCH(B1193,'GIS-Standards'!$B$2:$B$305,0))</f>
        <v>52</v>
      </c>
      <c r="I1193">
        <f>INDEX('GIS-Standards'!$A$2:$A$305,MATCH(C1193,'GIS-Standards'!$B$2:$B$305,0))</f>
        <v>17</v>
      </c>
      <c r="J1193" t="str">
        <f>INDEX('GIS-Standards'!$O$2:$O$305,MATCH(B1193,'GIS-Standards'!$B$2:$B$305,0))</f>
        <v>ISO/TC 211</v>
      </c>
      <c r="K1193" t="str">
        <f>INDEX('GIS-Standards'!$O$2:$O$305,MATCH(C1193,'GIS-Standards'!$B$2:$B$305,0))</f>
        <v>ISO/TC 211</v>
      </c>
      <c r="M1193" t="s">
        <v>524</v>
      </c>
      <c r="N1193">
        <f>INDEX('GIS-Standards'!$I$2:$I$305,MATCH(B1193,'GIS-Standards'!$B$2:$B$305,0))</f>
        <v>0</v>
      </c>
      <c r="O1193" t="str">
        <f>INDEX('GIS-Standards'!$I$2:$I$305,MATCH(C1193,'GIS-Standards'!$B$2:$B$305,0))</f>
        <v>06.2008</v>
      </c>
      <c r="P1193" t="b">
        <f>AND(TableRelationships12[[#This Row],[Source Type]]="BIM",TableRelationships12[[#This Row],[Target Type]]="BIM")</f>
        <v>0</v>
      </c>
      <c r="Q1193">
        <f t="shared" si="54"/>
        <v>6</v>
      </c>
      <c r="S1193">
        <f t="shared" si="55"/>
        <v>1</v>
      </c>
      <c r="T1193" s="102" t="str">
        <f>IF(TableRelationships12[[#This Row],[Rank Pedro]]="Low","linkCategory1",IF(TableRelationships12[[#This Row],[Rank Pedro]]="Medium","linkCategory2",IF(TableRelationships12[[#This Row],[Rank Pedro]]="High","linkCategory3","")))</f>
        <v/>
      </c>
      <c r="U1193" s="102" t="str">
        <f>IF(TableRelationships12[[#This Row],[Rank Pedro]]="Low","Pink",IF(TableRelationships12[[#This Row],[Rank Pedro]]="Medium","Purple",IF(TableRelationships12[[#This Row],[Rank Pedro]]="High","Brown","")))</f>
        <v/>
      </c>
      <c r="V1193" s="4" t="e">
        <f>MAX(INDEX(Standards!$F$2:$F$296,MATCH(B1193,Standards!$B$2:$B$296,0)),INDEX(Standards!$F$2:$F$296,MATCH(C1193,Standards!$B$2:$B$296,0)))</f>
        <v>#N/A</v>
      </c>
      <c r="W1193" t="str">
        <f t="shared" si="56"/>
        <v>#d6bf2a</v>
      </c>
    </row>
    <row r="1194" spans="1:23" x14ac:dyDescent="0.5">
      <c r="A1194" s="54">
        <v>1193</v>
      </c>
      <c r="B1194" s="90" t="s">
        <v>635</v>
      </c>
      <c r="C1194" t="s">
        <v>332</v>
      </c>
      <c r="D1194" s="1"/>
      <c r="E1194" s="112">
        <v>2005.1</v>
      </c>
      <c r="F1194" s="112">
        <v>2005.1</v>
      </c>
      <c r="G1194" s="107" t="s">
        <v>670</v>
      </c>
      <c r="H1194">
        <f>INDEX('GIS-Standards'!$A$2:$A$305,MATCH(B1194,'GIS-Standards'!$B$2:$B$305,0))</f>
        <v>52</v>
      </c>
      <c r="I1194">
        <f>INDEX('GIS-Standards'!$A$2:$A$305,MATCH(C1194,'GIS-Standards'!$B$2:$B$305,0))</f>
        <v>39</v>
      </c>
      <c r="J1194" t="str">
        <f>INDEX('GIS-Standards'!$O$2:$O$305,MATCH(B1194,'GIS-Standards'!$B$2:$B$305,0))</f>
        <v>ISO/TC 211</v>
      </c>
      <c r="K1194" t="str">
        <f>INDEX('GIS-Standards'!$O$2:$O$305,MATCH(C1194,'GIS-Standards'!$B$2:$B$305,0))</f>
        <v>ISO/TC 211</v>
      </c>
      <c r="M1194" t="s">
        <v>524</v>
      </c>
      <c r="N1194">
        <f>INDEX('GIS-Standards'!$I$2:$I$305,MATCH(B1194,'GIS-Standards'!$B$2:$B$305,0))</f>
        <v>0</v>
      </c>
      <c r="O1194">
        <f>INDEX('GIS-Standards'!$I$2:$I$305,MATCH(C1194,'GIS-Standards'!$B$2:$B$305,0))</f>
        <v>0</v>
      </c>
      <c r="P1194" t="b">
        <f>AND(TableRelationships12[[#This Row],[Source Type]]="BIM",TableRelationships12[[#This Row],[Target Type]]="BIM")</f>
        <v>0</v>
      </c>
      <c r="Q1194">
        <f t="shared" si="54"/>
        <v>6</v>
      </c>
      <c r="S1194">
        <f t="shared" si="55"/>
        <v>1</v>
      </c>
      <c r="T1194" s="102" t="str">
        <f>IF(TableRelationships12[[#This Row],[Rank Pedro]]="Low","linkCategory1",IF(TableRelationships12[[#This Row],[Rank Pedro]]="Medium","linkCategory2",IF(TableRelationships12[[#This Row],[Rank Pedro]]="High","linkCategory3","")))</f>
        <v/>
      </c>
      <c r="U1194" s="102" t="str">
        <f>IF(TableRelationships12[[#This Row],[Rank Pedro]]="Low","Pink",IF(TableRelationships12[[#This Row],[Rank Pedro]]="Medium","Purple",IF(TableRelationships12[[#This Row],[Rank Pedro]]="High","Brown","")))</f>
        <v/>
      </c>
      <c r="V1194" s="4" t="e">
        <f>MAX(INDEX(Standards!$F$2:$F$296,MATCH(B1194,Standards!$B$2:$B$296,0)),INDEX(Standards!$F$2:$F$296,MATCH(C1194,Standards!$B$2:$B$296,0)))</f>
        <v>#N/A</v>
      </c>
      <c r="W1194" t="str">
        <f t="shared" si="56"/>
        <v>#d6bf2a</v>
      </c>
    </row>
    <row r="1195" spans="1:23" x14ac:dyDescent="0.5">
      <c r="A1195" s="54">
        <v>1194</v>
      </c>
      <c r="B1195" s="90" t="s">
        <v>635</v>
      </c>
      <c r="C1195" t="s">
        <v>1047</v>
      </c>
      <c r="D1195" s="1"/>
      <c r="E1195" s="112">
        <v>2007.02</v>
      </c>
      <c r="F1195" s="112">
        <v>2007.02</v>
      </c>
      <c r="G1195" s="107" t="s">
        <v>670</v>
      </c>
      <c r="H1195">
        <f>INDEX('GIS-Standards'!$A$2:$A$305,MATCH(B1195,'GIS-Standards'!$B$2:$B$305,0))</f>
        <v>52</v>
      </c>
      <c r="I1195">
        <f>INDEX('GIS-Standards'!$A$2:$A$305,MATCH(C1195,'GIS-Standards'!$B$2:$B$305,0))</f>
        <v>40</v>
      </c>
      <c r="J1195" t="str">
        <f>INDEX('GIS-Standards'!$O$2:$O$305,MATCH(B1195,'GIS-Standards'!$B$2:$B$305,0))</f>
        <v>ISO/TC 211</v>
      </c>
      <c r="K1195" t="str">
        <f>INDEX('GIS-Standards'!$O$2:$O$305,MATCH(C1195,'GIS-Standards'!$B$2:$B$305,0))</f>
        <v>ISO/TC 211</v>
      </c>
      <c r="M1195" t="s">
        <v>524</v>
      </c>
      <c r="N1195">
        <f>INDEX('GIS-Standards'!$I$2:$I$305,MATCH(B1195,'GIS-Standards'!$B$2:$B$305,0))</f>
        <v>0</v>
      </c>
      <c r="O1195">
        <f>INDEX('GIS-Standards'!$I$2:$I$305,MATCH(C1195,'GIS-Standards'!$B$2:$B$305,0))</f>
        <v>0</v>
      </c>
      <c r="P1195" t="b">
        <f>AND(TableRelationships12[[#This Row],[Source Type]]="BIM",TableRelationships12[[#This Row],[Target Type]]="BIM")</f>
        <v>0</v>
      </c>
      <c r="Q1195">
        <f t="shared" si="54"/>
        <v>6</v>
      </c>
      <c r="S1195">
        <f t="shared" si="55"/>
        <v>1</v>
      </c>
      <c r="T1195" s="102" t="str">
        <f>IF(TableRelationships12[[#This Row],[Rank Pedro]]="Low","linkCategory1",IF(TableRelationships12[[#This Row],[Rank Pedro]]="Medium","linkCategory2",IF(TableRelationships12[[#This Row],[Rank Pedro]]="High","linkCategory3","")))</f>
        <v/>
      </c>
      <c r="U1195" s="102" t="str">
        <f>IF(TableRelationships12[[#This Row],[Rank Pedro]]="Low","Pink",IF(TableRelationships12[[#This Row],[Rank Pedro]]="Medium","Purple",IF(TableRelationships12[[#This Row],[Rank Pedro]]="High","Brown","")))</f>
        <v/>
      </c>
      <c r="V1195" s="4" t="e">
        <f>MAX(INDEX(Standards!$F$2:$F$296,MATCH(B1195,Standards!$B$2:$B$296,0)),INDEX(Standards!$F$2:$F$296,MATCH(C1195,Standards!$B$2:$B$296,0)))</f>
        <v>#N/A</v>
      </c>
      <c r="W1195" t="str">
        <f t="shared" si="56"/>
        <v>#d6bf2a</v>
      </c>
    </row>
    <row r="1196" spans="1:23" x14ac:dyDescent="0.5">
      <c r="A1196" s="54">
        <v>1195</v>
      </c>
      <c r="B1196" s="90" t="s">
        <v>635</v>
      </c>
      <c r="C1196" t="s">
        <v>334</v>
      </c>
      <c r="D1196" s="1" t="s">
        <v>1036</v>
      </c>
      <c r="E1196" s="113">
        <v>2007.09</v>
      </c>
      <c r="F1196" s="113">
        <v>2020.01</v>
      </c>
      <c r="G1196" s="107" t="s">
        <v>670</v>
      </c>
      <c r="H1196">
        <f>INDEX('GIS-Standards'!$A$2:$A$305,MATCH(B1196,'GIS-Standards'!$B$2:$B$305,0))</f>
        <v>52</v>
      </c>
      <c r="I1196">
        <f>INDEX('GIS-Standards'!$A$2:$A$305,MATCH(C1196,'GIS-Standards'!$B$2:$B$305,0))</f>
        <v>42</v>
      </c>
      <c r="J1196" t="str">
        <f>INDEX('GIS-Standards'!$O$2:$O$305,MATCH(B1196,'GIS-Standards'!$B$2:$B$305,0))</f>
        <v>ISO/TC 211</v>
      </c>
      <c r="K1196" t="str">
        <f>INDEX('GIS-Standards'!$O$2:$O$305,MATCH(C1196,'GIS-Standards'!$B$2:$B$305,0))</f>
        <v>ISO/TC 211</v>
      </c>
      <c r="M1196" t="s">
        <v>524</v>
      </c>
      <c r="N1196">
        <f>INDEX('GIS-Standards'!$I$2:$I$305,MATCH(B1196,'GIS-Standards'!$B$2:$B$305,0))</f>
        <v>0</v>
      </c>
      <c r="O1196">
        <f>INDEX('GIS-Standards'!$I$2:$I$305,MATCH(C1196,'GIS-Standards'!$B$2:$B$305,0))</f>
        <v>0</v>
      </c>
      <c r="P1196" t="b">
        <f>AND(TableRelationships12[[#This Row],[Source Type]]="BIM",TableRelationships12[[#This Row],[Target Type]]="BIM")</f>
        <v>0</v>
      </c>
      <c r="Q1196">
        <f t="shared" si="54"/>
        <v>6</v>
      </c>
      <c r="S1196">
        <f t="shared" si="55"/>
        <v>1</v>
      </c>
      <c r="T1196" s="102" t="str">
        <f>IF(TableRelationships12[[#This Row],[Rank Pedro]]="Low","linkCategory1",IF(TableRelationships12[[#This Row],[Rank Pedro]]="Medium","linkCategory2",IF(TableRelationships12[[#This Row],[Rank Pedro]]="High","linkCategory3","")))</f>
        <v/>
      </c>
      <c r="U1196" s="102" t="str">
        <f>IF(TableRelationships12[[#This Row],[Rank Pedro]]="Low","Pink",IF(TableRelationships12[[#This Row],[Rank Pedro]]="Medium","Purple",IF(TableRelationships12[[#This Row],[Rank Pedro]]="High","Brown","")))</f>
        <v/>
      </c>
      <c r="V1196" s="4" t="e">
        <f>MAX(INDEX(Standards!$F$2:$F$296,MATCH(B1196,Standards!$B$2:$B$296,0)),INDEX(Standards!$F$2:$F$296,MATCH(C1196,Standards!$B$2:$B$296,0)))</f>
        <v>#N/A</v>
      </c>
      <c r="W1196" t="str">
        <f t="shared" si="56"/>
        <v>#d6bf2a</v>
      </c>
    </row>
    <row r="1197" spans="1:23" x14ac:dyDescent="0.5">
      <c r="A1197" s="54">
        <v>1196</v>
      </c>
      <c r="B1197" s="90" t="s">
        <v>635</v>
      </c>
      <c r="C1197" t="s">
        <v>638</v>
      </c>
      <c r="D1197" s="1"/>
      <c r="E1197" s="113">
        <v>2012.11</v>
      </c>
      <c r="F1197" s="113">
        <v>2012.11</v>
      </c>
      <c r="G1197" s="107" t="s">
        <v>670</v>
      </c>
      <c r="H1197">
        <f>INDEX('GIS-Standards'!$A$2:$A$305,MATCH(B1197,'GIS-Standards'!$B$2:$B$305,0))</f>
        <v>52</v>
      </c>
      <c r="I1197">
        <f>INDEX('GIS-Standards'!$A$2:$A$305,MATCH(C1197,'GIS-Standards'!$B$2:$B$305,0))</f>
        <v>63</v>
      </c>
      <c r="J1197" t="str">
        <f>INDEX('GIS-Standards'!$O$2:$O$305,MATCH(B1197,'GIS-Standards'!$B$2:$B$305,0))</f>
        <v>ISO/TC 211</v>
      </c>
      <c r="K1197" t="str">
        <f>INDEX('GIS-Standards'!$O$2:$O$305,MATCH(C1197,'GIS-Standards'!$B$2:$B$305,0))</f>
        <v>ISO/TC 211</v>
      </c>
      <c r="M1197" t="s">
        <v>524</v>
      </c>
      <c r="N1197">
        <f>INDEX('GIS-Standards'!$I$2:$I$305,MATCH(B1197,'GIS-Standards'!$B$2:$B$305,0))</f>
        <v>0</v>
      </c>
      <c r="O1197">
        <f>INDEX('GIS-Standards'!$I$2:$I$305,MATCH(C1197,'GIS-Standards'!$B$2:$B$305,0))</f>
        <v>0</v>
      </c>
      <c r="P1197" t="b">
        <f>AND(TableRelationships12[[#This Row],[Source Type]]="BIM",TableRelationships12[[#This Row],[Target Type]]="BIM")</f>
        <v>0</v>
      </c>
      <c r="Q1197">
        <f t="shared" si="54"/>
        <v>6</v>
      </c>
      <c r="S1197">
        <f t="shared" si="55"/>
        <v>1</v>
      </c>
      <c r="T1197" s="102" t="str">
        <f>IF(TableRelationships12[[#This Row],[Rank Pedro]]="Low","linkCategory1",IF(TableRelationships12[[#This Row],[Rank Pedro]]="Medium","linkCategory2",IF(TableRelationships12[[#This Row],[Rank Pedro]]="High","linkCategory3","")))</f>
        <v/>
      </c>
      <c r="U1197" s="102" t="str">
        <f>IF(TableRelationships12[[#This Row],[Rank Pedro]]="Low","Pink",IF(TableRelationships12[[#This Row],[Rank Pedro]]="Medium","Purple",IF(TableRelationships12[[#This Row],[Rank Pedro]]="High","Brown","")))</f>
        <v/>
      </c>
      <c r="V1197" s="4" t="e">
        <f>MAX(INDEX(Standards!$F$2:$F$296,MATCH(B1197,Standards!$B$2:$B$296,0)),INDEX(Standards!$F$2:$F$296,MATCH(C1197,Standards!$B$2:$B$296,0)))</f>
        <v>#N/A</v>
      </c>
      <c r="W1197" t="str">
        <f t="shared" si="56"/>
        <v>#d6bf2a</v>
      </c>
    </row>
    <row r="1198" spans="1:23" x14ac:dyDescent="0.5">
      <c r="A1198" s="54">
        <v>1197</v>
      </c>
      <c r="B1198" s="90" t="s">
        <v>635</v>
      </c>
      <c r="C1198" t="s">
        <v>1657</v>
      </c>
      <c r="D1198" s="1" t="s">
        <v>1304</v>
      </c>
      <c r="E1198" s="112">
        <v>2006.03</v>
      </c>
      <c r="F1198" s="112">
        <v>2016.09</v>
      </c>
      <c r="G1198" s="107" t="s">
        <v>1667</v>
      </c>
      <c r="H1198">
        <f>INDEX('GIS-Standards'!$A$2:$A$305,MATCH(B1198,'GIS-Standards'!$B$2:$B$305,0))</f>
        <v>52</v>
      </c>
      <c r="I1198" t="e">
        <f>INDEX('GIS-Standards'!$A$2:$A$305,MATCH(C1198,'GIS-Standards'!$B$2:$B$305,0))</f>
        <v>#N/A</v>
      </c>
      <c r="J1198" t="str">
        <f>INDEX('GIS-Standards'!$O$2:$O$305,MATCH(B1198,'GIS-Standards'!$B$2:$B$305,0))</f>
        <v>ISO/TC 211</v>
      </c>
      <c r="K1198" t="e">
        <f>INDEX('GIS-Standards'!$O$2:$O$305,MATCH(C1198,'GIS-Standards'!$B$2:$B$305,0))</f>
        <v>#N/A</v>
      </c>
      <c r="M1198" t="s">
        <v>525</v>
      </c>
      <c r="N1198">
        <f>INDEX('GIS-Standards'!$I$2:$I$305,MATCH(B1198,'GIS-Standards'!$B$2:$B$305,0))</f>
        <v>0</v>
      </c>
      <c r="O1198" t="e">
        <f>INDEX('GIS-Standards'!$I$2:$I$305,MATCH(C1198,'GIS-Standards'!$B$2:$B$305,0))</f>
        <v>#N/A</v>
      </c>
      <c r="P1198" t="e">
        <f>AND(TableRelationships12[[#This Row],[Source Type]]="BIM",TableRelationships12[[#This Row],[Target Type]]="BIM")</f>
        <v>#N/A</v>
      </c>
      <c r="Q1198">
        <f t="shared" si="54"/>
        <v>1</v>
      </c>
      <c r="S1198">
        <f t="shared" si="55"/>
        <v>1</v>
      </c>
      <c r="T1198" s="102" t="str">
        <f>IF(TableRelationships12[[#This Row],[Rank Pedro]]="Low","linkCategory1",IF(TableRelationships12[[#This Row],[Rank Pedro]]="Medium","linkCategory2",IF(TableRelationships12[[#This Row],[Rank Pedro]]="High","linkCategory3","")))</f>
        <v/>
      </c>
      <c r="U1198" s="102" t="str">
        <f>IF(TableRelationships12[[#This Row],[Rank Pedro]]="Low","Pink",IF(TableRelationships12[[#This Row],[Rank Pedro]]="Medium","Purple",IF(TableRelationships12[[#This Row],[Rank Pedro]]="High","Brown","")))</f>
        <v/>
      </c>
      <c r="V1198" s="4" t="e">
        <f>MAX(INDEX(Standards!$F$2:$F$296,MATCH(B1198,Standards!$B$2:$B$296,0)),INDEX(Standards!$F$2:$F$296,MATCH(C1198,Standards!$B$2:$B$296,0)))</f>
        <v>#N/A</v>
      </c>
      <c r="W1198" t="str">
        <f t="shared" si="56"/>
        <v>#2f89d1</v>
      </c>
    </row>
    <row r="1199" spans="1:23" x14ac:dyDescent="0.5">
      <c r="A1199" s="54">
        <v>1198</v>
      </c>
      <c r="B1199" s="90" t="s">
        <v>635</v>
      </c>
      <c r="C1199" t="s">
        <v>1658</v>
      </c>
      <c r="D1199" s="1" t="s">
        <v>1304</v>
      </c>
      <c r="E1199" s="112">
        <v>2006.03</v>
      </c>
      <c r="F1199" s="112">
        <v>2016.09</v>
      </c>
      <c r="G1199" s="107" t="s">
        <v>1667</v>
      </c>
      <c r="H1199">
        <f>INDEX('GIS-Standards'!$A$2:$A$305,MATCH(B1199,'GIS-Standards'!$B$2:$B$305,0))</f>
        <v>52</v>
      </c>
      <c r="I1199" t="e">
        <f>INDEX('GIS-Standards'!$A$2:$A$305,MATCH(C1199,'GIS-Standards'!$B$2:$B$305,0))</f>
        <v>#N/A</v>
      </c>
      <c r="J1199" t="str">
        <f>INDEX('GIS-Standards'!$O$2:$O$305,MATCH(B1199,'GIS-Standards'!$B$2:$B$305,0))</f>
        <v>ISO/TC 211</v>
      </c>
      <c r="K1199" t="e">
        <f>INDEX('GIS-Standards'!$O$2:$O$305,MATCH(C1199,'GIS-Standards'!$B$2:$B$305,0))</f>
        <v>#N/A</v>
      </c>
      <c r="M1199" t="s">
        <v>525</v>
      </c>
      <c r="N1199">
        <f>INDEX('GIS-Standards'!$I$2:$I$305,MATCH(B1199,'GIS-Standards'!$B$2:$B$305,0))</f>
        <v>0</v>
      </c>
      <c r="O1199" t="e">
        <f>INDEX('GIS-Standards'!$I$2:$I$305,MATCH(C1199,'GIS-Standards'!$B$2:$B$305,0))</f>
        <v>#N/A</v>
      </c>
      <c r="P1199" t="e">
        <f>AND(TableRelationships12[[#This Row],[Source Type]]="BIM",TableRelationships12[[#This Row],[Target Type]]="BIM")</f>
        <v>#N/A</v>
      </c>
      <c r="Q1199">
        <f t="shared" si="54"/>
        <v>1</v>
      </c>
      <c r="S1199">
        <f t="shared" si="55"/>
        <v>1</v>
      </c>
      <c r="T1199" s="102" t="str">
        <f>IF(TableRelationships12[[#This Row],[Rank Pedro]]="Low","linkCategory1",IF(TableRelationships12[[#This Row],[Rank Pedro]]="Medium","linkCategory2",IF(TableRelationships12[[#This Row],[Rank Pedro]]="High","linkCategory3","")))</f>
        <v/>
      </c>
      <c r="U1199" s="102" t="str">
        <f>IF(TableRelationships12[[#This Row],[Rank Pedro]]="Low","Pink",IF(TableRelationships12[[#This Row],[Rank Pedro]]="Medium","Purple",IF(TableRelationships12[[#This Row],[Rank Pedro]]="High","Brown","")))</f>
        <v/>
      </c>
      <c r="V1199" s="4" t="e">
        <f>MAX(INDEX(Standards!$F$2:$F$296,MATCH(B1199,Standards!$B$2:$B$296,0)),INDEX(Standards!$F$2:$F$296,MATCH(C1199,Standards!$B$2:$B$296,0)))</f>
        <v>#N/A</v>
      </c>
      <c r="W1199" t="str">
        <f t="shared" si="56"/>
        <v>#2f89d1</v>
      </c>
    </row>
    <row r="1200" spans="1:23" x14ac:dyDescent="0.5">
      <c r="A1200" s="54">
        <v>1199</v>
      </c>
      <c r="B1200" s="90" t="s">
        <v>635</v>
      </c>
      <c r="C1200" t="s">
        <v>1659</v>
      </c>
      <c r="D1200" s="1" t="s">
        <v>1304</v>
      </c>
      <c r="E1200" s="112">
        <v>2006.03</v>
      </c>
      <c r="F1200" s="112">
        <v>2016.09</v>
      </c>
      <c r="G1200" s="107" t="s">
        <v>1667</v>
      </c>
      <c r="H1200">
        <f>INDEX('GIS-Standards'!$A$2:$A$305,MATCH(B1200,'GIS-Standards'!$B$2:$B$305,0))</f>
        <v>52</v>
      </c>
      <c r="I1200" t="e">
        <f>INDEX('GIS-Standards'!$A$2:$A$305,MATCH(C1200,'GIS-Standards'!$B$2:$B$305,0))</f>
        <v>#N/A</v>
      </c>
      <c r="J1200" t="str">
        <f>INDEX('GIS-Standards'!$O$2:$O$305,MATCH(B1200,'GIS-Standards'!$B$2:$B$305,0))</f>
        <v>ISO/TC 211</v>
      </c>
      <c r="K1200" t="e">
        <f>INDEX('GIS-Standards'!$O$2:$O$305,MATCH(C1200,'GIS-Standards'!$B$2:$B$305,0))</f>
        <v>#N/A</v>
      </c>
      <c r="M1200" t="s">
        <v>525</v>
      </c>
      <c r="N1200">
        <f>INDEX('GIS-Standards'!$I$2:$I$305,MATCH(B1200,'GIS-Standards'!$B$2:$B$305,0))</f>
        <v>0</v>
      </c>
      <c r="O1200" t="e">
        <f>INDEX('GIS-Standards'!$I$2:$I$305,MATCH(C1200,'GIS-Standards'!$B$2:$B$305,0))</f>
        <v>#N/A</v>
      </c>
      <c r="P1200" t="e">
        <f>AND(TableRelationships12[[#This Row],[Source Type]]="BIM",TableRelationships12[[#This Row],[Target Type]]="BIM")</f>
        <v>#N/A</v>
      </c>
      <c r="Q1200">
        <f t="shared" si="54"/>
        <v>1</v>
      </c>
      <c r="S1200">
        <f t="shared" si="55"/>
        <v>1</v>
      </c>
      <c r="T1200" s="102" t="str">
        <f>IF(TableRelationships12[[#This Row],[Rank Pedro]]="Low","linkCategory1",IF(TableRelationships12[[#This Row],[Rank Pedro]]="Medium","linkCategory2",IF(TableRelationships12[[#This Row],[Rank Pedro]]="High","linkCategory3","")))</f>
        <v/>
      </c>
      <c r="U1200" s="102" t="str">
        <f>IF(TableRelationships12[[#This Row],[Rank Pedro]]="Low","Pink",IF(TableRelationships12[[#This Row],[Rank Pedro]]="Medium","Purple",IF(TableRelationships12[[#This Row],[Rank Pedro]]="High","Brown","")))</f>
        <v/>
      </c>
      <c r="V1200" s="4" t="e">
        <f>MAX(INDEX(Standards!$F$2:$F$296,MATCH(B1200,Standards!$B$2:$B$296,0)),INDEX(Standards!$F$2:$F$296,MATCH(C1200,Standards!$B$2:$B$296,0)))</f>
        <v>#N/A</v>
      </c>
      <c r="W1200" t="str">
        <f t="shared" si="56"/>
        <v>#2f89d1</v>
      </c>
    </row>
    <row r="1201" spans="1:23" x14ac:dyDescent="0.5">
      <c r="A1201" s="54">
        <v>1200</v>
      </c>
      <c r="B1201" s="90" t="s">
        <v>635</v>
      </c>
      <c r="C1201" t="s">
        <v>1660</v>
      </c>
      <c r="D1201" s="1" t="s">
        <v>1304</v>
      </c>
      <c r="E1201" s="112">
        <v>2006.03</v>
      </c>
      <c r="F1201" s="112">
        <v>2019.09</v>
      </c>
      <c r="G1201" s="107" t="s">
        <v>1667</v>
      </c>
      <c r="H1201">
        <f>INDEX('GIS-Standards'!$A$2:$A$305,MATCH(B1201,'GIS-Standards'!$B$2:$B$305,0))</f>
        <v>52</v>
      </c>
      <c r="I1201" t="e">
        <f>INDEX('GIS-Standards'!$A$2:$A$305,MATCH(C1201,'GIS-Standards'!$B$2:$B$305,0))</f>
        <v>#N/A</v>
      </c>
      <c r="J1201" t="str">
        <f>INDEX('GIS-Standards'!$O$2:$O$305,MATCH(B1201,'GIS-Standards'!$B$2:$B$305,0))</f>
        <v>ISO/TC 211</v>
      </c>
      <c r="K1201" t="e">
        <f>INDEX('GIS-Standards'!$O$2:$O$305,MATCH(C1201,'GIS-Standards'!$B$2:$B$305,0))</f>
        <v>#N/A</v>
      </c>
      <c r="M1201" t="s">
        <v>525</v>
      </c>
      <c r="N1201">
        <f>INDEX('GIS-Standards'!$I$2:$I$305,MATCH(B1201,'GIS-Standards'!$B$2:$B$305,0))</f>
        <v>0</v>
      </c>
      <c r="O1201" t="e">
        <f>INDEX('GIS-Standards'!$I$2:$I$305,MATCH(C1201,'GIS-Standards'!$B$2:$B$305,0))</f>
        <v>#N/A</v>
      </c>
      <c r="P1201" t="e">
        <f>AND(TableRelationships12[[#This Row],[Source Type]]="BIM",TableRelationships12[[#This Row],[Target Type]]="BIM")</f>
        <v>#N/A</v>
      </c>
      <c r="Q1201">
        <f t="shared" si="54"/>
        <v>1</v>
      </c>
      <c r="S1201">
        <f t="shared" si="55"/>
        <v>1</v>
      </c>
      <c r="T1201" s="102" t="str">
        <f>IF(TableRelationships12[[#This Row],[Rank Pedro]]="Low","linkCategory1",IF(TableRelationships12[[#This Row],[Rank Pedro]]="Medium","linkCategory2",IF(TableRelationships12[[#This Row],[Rank Pedro]]="High","linkCategory3","")))</f>
        <v/>
      </c>
      <c r="U1201" s="102" t="str">
        <f>IF(TableRelationships12[[#This Row],[Rank Pedro]]="Low","Pink",IF(TableRelationships12[[#This Row],[Rank Pedro]]="Medium","Purple",IF(TableRelationships12[[#This Row],[Rank Pedro]]="High","Brown","")))</f>
        <v/>
      </c>
      <c r="V1201" s="4" t="e">
        <f>MAX(INDEX(Standards!$F$2:$F$296,MATCH(B1201,Standards!$B$2:$B$296,0)),INDEX(Standards!$F$2:$F$296,MATCH(C1201,Standards!$B$2:$B$296,0)))</f>
        <v>#N/A</v>
      </c>
      <c r="W1201" t="str">
        <f t="shared" si="56"/>
        <v>#2f89d1</v>
      </c>
    </row>
    <row r="1202" spans="1:23" x14ac:dyDescent="0.5">
      <c r="A1202" s="54">
        <v>1201</v>
      </c>
      <c r="B1202" s="90" t="s">
        <v>635</v>
      </c>
      <c r="C1202" t="s">
        <v>1661</v>
      </c>
      <c r="D1202" s="1" t="s">
        <v>1304</v>
      </c>
      <c r="E1202" s="112">
        <v>2006.03</v>
      </c>
      <c r="F1202" s="112">
        <v>2019.09</v>
      </c>
      <c r="G1202" s="107" t="s">
        <v>1667</v>
      </c>
      <c r="H1202">
        <f>INDEX('GIS-Standards'!$A$2:$A$305,MATCH(B1202,'GIS-Standards'!$B$2:$B$305,0))</f>
        <v>52</v>
      </c>
      <c r="I1202" t="e">
        <f>INDEX('GIS-Standards'!$A$2:$A$305,MATCH(C1202,'GIS-Standards'!$B$2:$B$305,0))</f>
        <v>#N/A</v>
      </c>
      <c r="J1202" t="str">
        <f>INDEX('GIS-Standards'!$O$2:$O$305,MATCH(B1202,'GIS-Standards'!$B$2:$B$305,0))</f>
        <v>ISO/TC 211</v>
      </c>
      <c r="K1202" t="e">
        <f>INDEX('GIS-Standards'!$O$2:$O$305,MATCH(C1202,'GIS-Standards'!$B$2:$B$305,0))</f>
        <v>#N/A</v>
      </c>
      <c r="M1202" t="s">
        <v>525</v>
      </c>
      <c r="N1202">
        <f>INDEX('GIS-Standards'!$I$2:$I$305,MATCH(B1202,'GIS-Standards'!$B$2:$B$305,0))</f>
        <v>0</v>
      </c>
      <c r="O1202" t="e">
        <f>INDEX('GIS-Standards'!$I$2:$I$305,MATCH(C1202,'GIS-Standards'!$B$2:$B$305,0))</f>
        <v>#N/A</v>
      </c>
      <c r="P1202" t="e">
        <f>AND(TableRelationships12[[#This Row],[Source Type]]="BIM",TableRelationships12[[#This Row],[Target Type]]="BIM")</f>
        <v>#N/A</v>
      </c>
      <c r="Q1202">
        <f t="shared" si="54"/>
        <v>1</v>
      </c>
      <c r="S1202">
        <f t="shared" si="55"/>
        <v>1</v>
      </c>
      <c r="T1202" s="102" t="str">
        <f>IF(TableRelationships12[[#This Row],[Rank Pedro]]="Low","linkCategory1",IF(TableRelationships12[[#This Row],[Rank Pedro]]="Medium","linkCategory2",IF(TableRelationships12[[#This Row],[Rank Pedro]]="High","linkCategory3","")))</f>
        <v/>
      </c>
      <c r="U1202" s="102" t="str">
        <f>IF(TableRelationships12[[#This Row],[Rank Pedro]]="Low","Pink",IF(TableRelationships12[[#This Row],[Rank Pedro]]="Medium","Purple",IF(TableRelationships12[[#This Row],[Rank Pedro]]="High","Brown","")))</f>
        <v/>
      </c>
      <c r="V1202" s="4" t="e">
        <f>MAX(INDEX(Standards!$F$2:$F$296,MATCH(B1202,Standards!$B$2:$B$296,0)),INDEX(Standards!$F$2:$F$296,MATCH(C1202,Standards!$B$2:$B$296,0)))</f>
        <v>#N/A</v>
      </c>
      <c r="W1202" t="str">
        <f t="shared" si="56"/>
        <v>#2f89d1</v>
      </c>
    </row>
    <row r="1203" spans="1:23" x14ac:dyDescent="0.5">
      <c r="A1203" s="54">
        <v>1202</v>
      </c>
      <c r="B1203" s="90" t="s">
        <v>635</v>
      </c>
      <c r="C1203" t="s">
        <v>1662</v>
      </c>
      <c r="D1203" s="1" t="s">
        <v>1304</v>
      </c>
      <c r="E1203" s="112">
        <v>2006.03</v>
      </c>
      <c r="F1203" s="112">
        <v>2019.09</v>
      </c>
      <c r="G1203" s="107" t="s">
        <v>1667</v>
      </c>
      <c r="H1203">
        <f>INDEX('GIS-Standards'!$A$2:$A$305,MATCH(B1203,'GIS-Standards'!$B$2:$B$305,0))</f>
        <v>52</v>
      </c>
      <c r="I1203" t="e">
        <f>INDEX('GIS-Standards'!$A$2:$A$305,MATCH(C1203,'GIS-Standards'!$B$2:$B$305,0))</f>
        <v>#N/A</v>
      </c>
      <c r="J1203" t="str">
        <f>INDEX('GIS-Standards'!$O$2:$O$305,MATCH(B1203,'GIS-Standards'!$B$2:$B$305,0))</f>
        <v>ISO/TC 211</v>
      </c>
      <c r="K1203" t="e">
        <f>INDEX('GIS-Standards'!$O$2:$O$305,MATCH(C1203,'GIS-Standards'!$B$2:$B$305,0))</f>
        <v>#N/A</v>
      </c>
      <c r="M1203" t="s">
        <v>525</v>
      </c>
      <c r="N1203">
        <f>INDEX('GIS-Standards'!$I$2:$I$305,MATCH(B1203,'GIS-Standards'!$B$2:$B$305,0))</f>
        <v>0</v>
      </c>
      <c r="O1203" t="e">
        <f>INDEX('GIS-Standards'!$I$2:$I$305,MATCH(C1203,'GIS-Standards'!$B$2:$B$305,0))</f>
        <v>#N/A</v>
      </c>
      <c r="P1203" t="e">
        <f>AND(TableRelationships12[[#This Row],[Source Type]]="BIM",TableRelationships12[[#This Row],[Target Type]]="BIM")</f>
        <v>#N/A</v>
      </c>
      <c r="Q1203">
        <f t="shared" si="54"/>
        <v>1</v>
      </c>
      <c r="S1203">
        <f t="shared" si="55"/>
        <v>1</v>
      </c>
      <c r="T1203" s="102" t="str">
        <f>IF(TableRelationships12[[#This Row],[Rank Pedro]]="Low","linkCategory1",IF(TableRelationships12[[#This Row],[Rank Pedro]]="Medium","linkCategory2",IF(TableRelationships12[[#This Row],[Rank Pedro]]="High","linkCategory3","")))</f>
        <v/>
      </c>
      <c r="U1203" s="102" t="str">
        <f>IF(TableRelationships12[[#This Row],[Rank Pedro]]="Low","Pink",IF(TableRelationships12[[#This Row],[Rank Pedro]]="Medium","Purple",IF(TableRelationships12[[#This Row],[Rank Pedro]]="High","Brown","")))</f>
        <v/>
      </c>
      <c r="V1203" s="4" t="e">
        <f>MAX(INDEX(Standards!$F$2:$F$296,MATCH(B1203,Standards!$B$2:$B$296,0)),INDEX(Standards!$F$2:$F$296,MATCH(C1203,Standards!$B$2:$B$296,0)))</f>
        <v>#N/A</v>
      </c>
      <c r="W1203" t="str">
        <f t="shared" si="56"/>
        <v>#2f89d1</v>
      </c>
    </row>
    <row r="1204" spans="1:23" x14ac:dyDescent="0.5">
      <c r="A1204" s="54">
        <v>1203</v>
      </c>
      <c r="B1204" s="90" t="s">
        <v>635</v>
      </c>
      <c r="C1204" t="s">
        <v>1663</v>
      </c>
      <c r="D1204" s="1" t="s">
        <v>1304</v>
      </c>
      <c r="E1204" s="112">
        <v>2006.03</v>
      </c>
      <c r="F1204" s="112">
        <v>2019.09</v>
      </c>
      <c r="G1204" s="107" t="s">
        <v>1667</v>
      </c>
      <c r="H1204">
        <f>INDEX('GIS-Standards'!$A$2:$A$305,MATCH(B1204,'GIS-Standards'!$B$2:$B$305,0))</f>
        <v>52</v>
      </c>
      <c r="I1204" t="e">
        <f>INDEX('GIS-Standards'!$A$2:$A$305,MATCH(C1204,'GIS-Standards'!$B$2:$B$305,0))</f>
        <v>#N/A</v>
      </c>
      <c r="J1204" t="str">
        <f>INDEX('GIS-Standards'!$O$2:$O$305,MATCH(B1204,'GIS-Standards'!$B$2:$B$305,0))</f>
        <v>ISO/TC 211</v>
      </c>
      <c r="K1204" t="e">
        <f>INDEX('GIS-Standards'!$O$2:$O$305,MATCH(C1204,'GIS-Standards'!$B$2:$B$305,0))</f>
        <v>#N/A</v>
      </c>
      <c r="M1204" t="s">
        <v>525</v>
      </c>
      <c r="N1204">
        <f>INDEX('GIS-Standards'!$I$2:$I$305,MATCH(B1204,'GIS-Standards'!$B$2:$B$305,0))</f>
        <v>0</v>
      </c>
      <c r="O1204" t="e">
        <f>INDEX('GIS-Standards'!$I$2:$I$305,MATCH(C1204,'GIS-Standards'!$B$2:$B$305,0))</f>
        <v>#N/A</v>
      </c>
      <c r="P1204" t="e">
        <f>AND(TableRelationships12[[#This Row],[Source Type]]="BIM",TableRelationships12[[#This Row],[Target Type]]="BIM")</f>
        <v>#N/A</v>
      </c>
      <c r="Q1204">
        <f t="shared" si="54"/>
        <v>1</v>
      </c>
      <c r="S1204">
        <f t="shared" si="55"/>
        <v>1</v>
      </c>
      <c r="T1204" s="102" t="str">
        <f>IF(TableRelationships12[[#This Row],[Rank Pedro]]="Low","linkCategory1",IF(TableRelationships12[[#This Row],[Rank Pedro]]="Medium","linkCategory2",IF(TableRelationships12[[#This Row],[Rank Pedro]]="High","linkCategory3","")))</f>
        <v/>
      </c>
      <c r="U1204" s="102" t="str">
        <f>IF(TableRelationships12[[#This Row],[Rank Pedro]]="Low","Pink",IF(TableRelationships12[[#This Row],[Rank Pedro]]="Medium","Purple",IF(TableRelationships12[[#This Row],[Rank Pedro]]="High","Brown","")))</f>
        <v/>
      </c>
      <c r="V1204" s="4" t="e">
        <f>MAX(INDEX(Standards!$F$2:$F$296,MATCH(B1204,Standards!$B$2:$B$296,0)),INDEX(Standards!$F$2:$F$296,MATCH(C1204,Standards!$B$2:$B$296,0)))</f>
        <v>#N/A</v>
      </c>
      <c r="W1204" t="str">
        <f t="shared" si="56"/>
        <v>#2f89d1</v>
      </c>
    </row>
    <row r="1205" spans="1:23" x14ac:dyDescent="0.5">
      <c r="A1205" s="54">
        <v>1204</v>
      </c>
      <c r="B1205" s="90" t="s">
        <v>635</v>
      </c>
      <c r="C1205" t="s">
        <v>1664</v>
      </c>
      <c r="D1205" s="1" t="s">
        <v>1304</v>
      </c>
      <c r="E1205" s="112">
        <v>2006.03</v>
      </c>
      <c r="F1205" s="112">
        <v>2019.09</v>
      </c>
      <c r="G1205" s="107" t="s">
        <v>1667</v>
      </c>
      <c r="H1205">
        <f>INDEX('GIS-Standards'!$A$2:$A$305,MATCH(B1205,'GIS-Standards'!$B$2:$B$305,0))</f>
        <v>52</v>
      </c>
      <c r="I1205" t="e">
        <f>INDEX('GIS-Standards'!$A$2:$A$305,MATCH(C1205,'GIS-Standards'!$B$2:$B$305,0))</f>
        <v>#N/A</v>
      </c>
      <c r="J1205" t="str">
        <f>INDEX('GIS-Standards'!$O$2:$O$305,MATCH(B1205,'GIS-Standards'!$B$2:$B$305,0))</f>
        <v>ISO/TC 211</v>
      </c>
      <c r="K1205" t="e">
        <f>INDEX('GIS-Standards'!$O$2:$O$305,MATCH(C1205,'GIS-Standards'!$B$2:$B$305,0))</f>
        <v>#N/A</v>
      </c>
      <c r="M1205" t="s">
        <v>525</v>
      </c>
      <c r="N1205">
        <f>INDEX('GIS-Standards'!$I$2:$I$305,MATCH(B1205,'GIS-Standards'!$B$2:$B$305,0))</f>
        <v>0</v>
      </c>
      <c r="O1205" t="e">
        <f>INDEX('GIS-Standards'!$I$2:$I$305,MATCH(C1205,'GIS-Standards'!$B$2:$B$305,0))</f>
        <v>#N/A</v>
      </c>
      <c r="P1205" t="e">
        <f>AND(TableRelationships12[[#This Row],[Source Type]]="BIM",TableRelationships12[[#This Row],[Target Type]]="BIM")</f>
        <v>#N/A</v>
      </c>
      <c r="Q1205">
        <f t="shared" si="54"/>
        <v>1</v>
      </c>
      <c r="S1205">
        <f t="shared" si="55"/>
        <v>1</v>
      </c>
      <c r="T1205" s="102" t="str">
        <f>IF(TableRelationships12[[#This Row],[Rank Pedro]]="Low","linkCategory1",IF(TableRelationships12[[#This Row],[Rank Pedro]]="Medium","linkCategory2",IF(TableRelationships12[[#This Row],[Rank Pedro]]="High","linkCategory3","")))</f>
        <v/>
      </c>
      <c r="U1205" s="102" t="str">
        <f>IF(TableRelationships12[[#This Row],[Rank Pedro]]="Low","Pink",IF(TableRelationships12[[#This Row],[Rank Pedro]]="Medium","Purple",IF(TableRelationships12[[#This Row],[Rank Pedro]]="High","Brown","")))</f>
        <v/>
      </c>
      <c r="V1205" s="4" t="e">
        <f>MAX(INDEX(Standards!$F$2:$F$296,MATCH(B1205,Standards!$B$2:$B$296,0)),INDEX(Standards!$F$2:$F$296,MATCH(C1205,Standards!$B$2:$B$296,0)))</f>
        <v>#N/A</v>
      </c>
      <c r="W1205" t="str">
        <f t="shared" si="56"/>
        <v>#2f89d1</v>
      </c>
    </row>
    <row r="1206" spans="1:23" x14ac:dyDescent="0.5">
      <c r="A1206" s="54">
        <v>1205</v>
      </c>
      <c r="B1206" s="90" t="s">
        <v>635</v>
      </c>
      <c r="C1206" t="s">
        <v>1665</v>
      </c>
      <c r="D1206" s="1" t="s">
        <v>1304</v>
      </c>
      <c r="E1206" s="112">
        <v>2006.03</v>
      </c>
      <c r="F1206" s="112">
        <v>2016.04</v>
      </c>
      <c r="G1206" s="107" t="s">
        <v>1668</v>
      </c>
      <c r="H1206">
        <f>INDEX('GIS-Standards'!$A$2:$A$305,MATCH(B1206,'GIS-Standards'!$B$2:$B$305,0))</f>
        <v>52</v>
      </c>
      <c r="I1206" t="e">
        <f>INDEX('GIS-Standards'!$A$2:$A$305,MATCH(C1206,'GIS-Standards'!$B$2:$B$305,0))</f>
        <v>#N/A</v>
      </c>
      <c r="J1206" t="str">
        <f>INDEX('GIS-Standards'!$O$2:$O$305,MATCH(B1206,'GIS-Standards'!$B$2:$B$305,0))</f>
        <v>ISO/TC 211</v>
      </c>
      <c r="K1206" t="e">
        <f>INDEX('GIS-Standards'!$O$2:$O$305,MATCH(C1206,'GIS-Standards'!$B$2:$B$305,0))</f>
        <v>#N/A</v>
      </c>
      <c r="M1206" t="s">
        <v>525</v>
      </c>
      <c r="N1206">
        <f>INDEX('GIS-Standards'!$I$2:$I$305,MATCH(B1206,'GIS-Standards'!$B$2:$B$305,0))</f>
        <v>0</v>
      </c>
      <c r="O1206" t="e">
        <f>INDEX('GIS-Standards'!$I$2:$I$305,MATCH(C1206,'GIS-Standards'!$B$2:$B$305,0))</f>
        <v>#N/A</v>
      </c>
      <c r="P1206" t="e">
        <f>AND(TableRelationships12[[#This Row],[Source Type]]="BIM",TableRelationships12[[#This Row],[Target Type]]="BIM")</f>
        <v>#N/A</v>
      </c>
      <c r="Q1206">
        <f t="shared" si="54"/>
        <v>1</v>
      </c>
      <c r="S1206">
        <f t="shared" si="55"/>
        <v>1</v>
      </c>
      <c r="T1206" s="102" t="str">
        <f>IF(TableRelationships12[[#This Row],[Rank Pedro]]="Low","linkCategory1",IF(TableRelationships12[[#This Row],[Rank Pedro]]="Medium","linkCategory2",IF(TableRelationships12[[#This Row],[Rank Pedro]]="High","linkCategory3","")))</f>
        <v/>
      </c>
      <c r="U1206" s="102" t="str">
        <f>IF(TableRelationships12[[#This Row],[Rank Pedro]]="Low","Pink",IF(TableRelationships12[[#This Row],[Rank Pedro]]="Medium","Purple",IF(TableRelationships12[[#This Row],[Rank Pedro]]="High","Brown","")))</f>
        <v/>
      </c>
      <c r="V1206" s="4" t="e">
        <f>MAX(INDEX(Standards!$F$2:$F$296,MATCH(B1206,Standards!$B$2:$B$296,0)),INDEX(Standards!$F$2:$F$296,MATCH(C1206,Standards!$B$2:$B$296,0)))</f>
        <v>#N/A</v>
      </c>
      <c r="W1206" t="str">
        <f t="shared" si="56"/>
        <v>#2f89d1</v>
      </c>
    </row>
    <row r="1207" spans="1:23" x14ac:dyDescent="0.5">
      <c r="A1207" s="54">
        <v>1206</v>
      </c>
      <c r="B1207" s="90" t="s">
        <v>635</v>
      </c>
      <c r="C1207" t="s">
        <v>1666</v>
      </c>
      <c r="D1207" s="1" t="s">
        <v>1304</v>
      </c>
      <c r="E1207" s="112">
        <v>2006.03</v>
      </c>
      <c r="F1207" s="112">
        <v>2022.11</v>
      </c>
      <c r="G1207" s="107" t="s">
        <v>1667</v>
      </c>
      <c r="H1207">
        <f>INDEX('GIS-Standards'!$A$2:$A$305,MATCH(B1207,'GIS-Standards'!$B$2:$B$305,0))</f>
        <v>52</v>
      </c>
      <c r="I1207" t="e">
        <f>INDEX('GIS-Standards'!$A$2:$A$305,MATCH(C1207,'GIS-Standards'!$B$2:$B$305,0))</f>
        <v>#N/A</v>
      </c>
      <c r="J1207" t="str">
        <f>INDEX('GIS-Standards'!$O$2:$O$305,MATCH(B1207,'GIS-Standards'!$B$2:$B$305,0))</f>
        <v>ISO/TC 211</v>
      </c>
      <c r="K1207" t="e">
        <f>INDEX('GIS-Standards'!$O$2:$O$305,MATCH(C1207,'GIS-Standards'!$B$2:$B$305,0))</f>
        <v>#N/A</v>
      </c>
      <c r="M1207" t="s">
        <v>525</v>
      </c>
      <c r="N1207">
        <f>INDEX('GIS-Standards'!$I$2:$I$305,MATCH(B1207,'GIS-Standards'!$B$2:$B$305,0))</f>
        <v>0</v>
      </c>
      <c r="O1207" t="e">
        <f>INDEX('GIS-Standards'!$I$2:$I$305,MATCH(C1207,'GIS-Standards'!$B$2:$B$305,0))</f>
        <v>#N/A</v>
      </c>
      <c r="P1207" t="e">
        <f>AND(TableRelationships12[[#This Row],[Source Type]]="BIM",TableRelationships12[[#This Row],[Target Type]]="BIM")</f>
        <v>#N/A</v>
      </c>
      <c r="Q1207">
        <f t="shared" si="54"/>
        <v>1</v>
      </c>
      <c r="S1207">
        <f t="shared" si="55"/>
        <v>1</v>
      </c>
      <c r="T1207" s="102" t="str">
        <f>IF(TableRelationships12[[#This Row],[Rank Pedro]]="Low","linkCategory1",IF(TableRelationships12[[#This Row],[Rank Pedro]]="Medium","linkCategory2",IF(TableRelationships12[[#This Row],[Rank Pedro]]="High","linkCategory3","")))</f>
        <v/>
      </c>
      <c r="U1207" s="102" t="str">
        <f>IF(TableRelationships12[[#This Row],[Rank Pedro]]="Low","Pink",IF(TableRelationships12[[#This Row],[Rank Pedro]]="Medium","Purple",IF(TableRelationships12[[#This Row],[Rank Pedro]]="High","Brown","")))</f>
        <v/>
      </c>
      <c r="V1207" s="4" t="e">
        <f>MAX(INDEX(Standards!$F$2:$F$296,MATCH(B1207,Standards!$B$2:$B$296,0)),INDEX(Standards!$F$2:$F$296,MATCH(C1207,Standards!$B$2:$B$296,0)))</f>
        <v>#N/A</v>
      </c>
      <c r="W1207" t="str">
        <f t="shared" si="56"/>
        <v>#2f89d1</v>
      </c>
    </row>
    <row r="1208" spans="1:23" x14ac:dyDescent="0.5">
      <c r="A1208" s="54">
        <v>1207</v>
      </c>
      <c r="B1208" s="90" t="s">
        <v>635</v>
      </c>
      <c r="C1208" t="s">
        <v>1650</v>
      </c>
      <c r="D1208" s="1" t="s">
        <v>1305</v>
      </c>
      <c r="E1208" s="111">
        <v>2015.08</v>
      </c>
      <c r="F1208" s="111">
        <v>2022.08</v>
      </c>
      <c r="G1208" s="107" t="s">
        <v>1653</v>
      </c>
      <c r="H1208">
        <f>INDEX('GIS-Standards'!$A$2:$A$305,MATCH(B1208,'GIS-Standards'!$B$2:$B$305,0))</f>
        <v>52</v>
      </c>
      <c r="I1208" t="e">
        <f>INDEX('GIS-Standards'!$A$2:$A$305,MATCH(C1208,'GIS-Standards'!$B$2:$B$305,0))</f>
        <v>#N/A</v>
      </c>
      <c r="J1208" t="str">
        <f>INDEX('GIS-Standards'!$O$2:$O$305,MATCH(B1208,'GIS-Standards'!$B$2:$B$305,0))</f>
        <v>ISO/TC 211</v>
      </c>
      <c r="K1208" t="e">
        <f>INDEX('GIS-Standards'!$O$2:$O$305,MATCH(C1208,'GIS-Standards'!$B$2:$B$305,0))</f>
        <v>#N/A</v>
      </c>
      <c r="M1208" t="s">
        <v>525</v>
      </c>
      <c r="N1208">
        <f>INDEX('GIS-Standards'!$I$2:$I$305,MATCH(B1208,'GIS-Standards'!$B$2:$B$305,0))</f>
        <v>0</v>
      </c>
      <c r="O1208" t="e">
        <f>INDEX('GIS-Standards'!$I$2:$I$305,MATCH(C1208,'GIS-Standards'!$B$2:$B$305,0))</f>
        <v>#N/A</v>
      </c>
      <c r="P1208" t="e">
        <f>AND(TableRelationships12[[#This Row],[Source Type]]="BIM",TableRelationships12[[#This Row],[Target Type]]="BIM")</f>
        <v>#N/A</v>
      </c>
      <c r="Q1208">
        <f t="shared" si="54"/>
        <v>1</v>
      </c>
      <c r="S1208">
        <f t="shared" si="55"/>
        <v>1</v>
      </c>
      <c r="T1208" s="102" t="str">
        <f>IF(TableRelationships12[[#This Row],[Rank Pedro]]="Low","linkCategory1",IF(TableRelationships12[[#This Row],[Rank Pedro]]="Medium","linkCategory2",IF(TableRelationships12[[#This Row],[Rank Pedro]]="High","linkCategory3","")))</f>
        <v/>
      </c>
      <c r="U1208" s="102" t="str">
        <f>IF(TableRelationships12[[#This Row],[Rank Pedro]]="Low","Pink",IF(TableRelationships12[[#This Row],[Rank Pedro]]="Medium","Purple",IF(TableRelationships12[[#This Row],[Rank Pedro]]="High","Brown","")))</f>
        <v/>
      </c>
      <c r="V1208" s="4" t="e">
        <f>MAX(INDEX(Standards!$F$2:$F$296,MATCH(B1208,Standards!$B$2:$B$296,0)),INDEX(Standards!$F$2:$F$296,MATCH(C1208,Standards!$B$2:$B$296,0)))</f>
        <v>#N/A</v>
      </c>
      <c r="W1208" t="str">
        <f t="shared" si="56"/>
        <v>#2f89d1</v>
      </c>
    </row>
    <row r="1209" spans="1:23" x14ac:dyDescent="0.5">
      <c r="A1209" s="54">
        <v>1208</v>
      </c>
      <c r="B1209" s="90" t="s">
        <v>635</v>
      </c>
      <c r="C1209" t="s">
        <v>1651</v>
      </c>
      <c r="D1209" s="1" t="s">
        <v>1305</v>
      </c>
      <c r="E1209" s="111">
        <v>2015.08</v>
      </c>
      <c r="F1209" s="111">
        <v>2022.11</v>
      </c>
      <c r="G1209" s="107" t="s">
        <v>1653</v>
      </c>
      <c r="H1209">
        <f>INDEX('GIS-Standards'!$A$2:$A$305,MATCH(B1209,'GIS-Standards'!$B$2:$B$305,0))</f>
        <v>52</v>
      </c>
      <c r="I1209" t="e">
        <f>INDEX('GIS-Standards'!$A$2:$A$305,MATCH(C1209,'GIS-Standards'!$B$2:$B$305,0))</f>
        <v>#N/A</v>
      </c>
      <c r="J1209" t="str">
        <f>INDEX('GIS-Standards'!$O$2:$O$305,MATCH(B1209,'GIS-Standards'!$B$2:$B$305,0))</f>
        <v>ISO/TC 211</v>
      </c>
      <c r="K1209" t="e">
        <f>INDEX('GIS-Standards'!$O$2:$O$305,MATCH(C1209,'GIS-Standards'!$B$2:$B$305,0))</f>
        <v>#N/A</v>
      </c>
      <c r="M1209" t="s">
        <v>525</v>
      </c>
      <c r="N1209">
        <f>INDEX('GIS-Standards'!$I$2:$I$305,MATCH(B1209,'GIS-Standards'!$B$2:$B$305,0))</f>
        <v>0</v>
      </c>
      <c r="O1209" t="e">
        <f>INDEX('GIS-Standards'!$I$2:$I$305,MATCH(C1209,'GIS-Standards'!$B$2:$B$305,0))</f>
        <v>#N/A</v>
      </c>
      <c r="P1209" t="e">
        <f>AND(TableRelationships12[[#This Row],[Source Type]]="BIM",TableRelationships12[[#This Row],[Target Type]]="BIM")</f>
        <v>#N/A</v>
      </c>
      <c r="Q1209">
        <f t="shared" si="54"/>
        <v>1</v>
      </c>
      <c r="S1209">
        <f t="shared" si="55"/>
        <v>1</v>
      </c>
      <c r="T1209" s="102" t="str">
        <f>IF(TableRelationships12[[#This Row],[Rank Pedro]]="Low","linkCategory1",IF(TableRelationships12[[#This Row],[Rank Pedro]]="Medium","linkCategory2",IF(TableRelationships12[[#This Row],[Rank Pedro]]="High","linkCategory3","")))</f>
        <v/>
      </c>
      <c r="U1209" s="102" t="str">
        <f>IF(TableRelationships12[[#This Row],[Rank Pedro]]="Low","Pink",IF(TableRelationships12[[#This Row],[Rank Pedro]]="Medium","Purple",IF(TableRelationships12[[#This Row],[Rank Pedro]]="High","Brown","")))</f>
        <v/>
      </c>
      <c r="V1209" s="4" t="e">
        <f>MAX(INDEX(Standards!$F$2:$F$296,MATCH(B1209,Standards!$B$2:$B$296,0)),INDEX(Standards!$F$2:$F$296,MATCH(C1209,Standards!$B$2:$B$296,0)))</f>
        <v>#N/A</v>
      </c>
      <c r="W1209" t="str">
        <f t="shared" si="56"/>
        <v>#2f89d1</v>
      </c>
    </row>
    <row r="1210" spans="1:23" x14ac:dyDescent="0.5">
      <c r="A1210" s="54">
        <v>1209</v>
      </c>
      <c r="B1210" s="90" t="s">
        <v>635</v>
      </c>
      <c r="C1210" t="s">
        <v>1652</v>
      </c>
      <c r="D1210" s="1" t="s">
        <v>1305</v>
      </c>
      <c r="E1210" s="111">
        <v>2015.08</v>
      </c>
      <c r="F1210" s="111">
        <v>2022.07</v>
      </c>
      <c r="G1210" s="107" t="s">
        <v>1653</v>
      </c>
      <c r="H1210">
        <f>INDEX('GIS-Standards'!$A$2:$A$305,MATCH(B1210,'GIS-Standards'!$B$2:$B$305,0))</f>
        <v>52</v>
      </c>
      <c r="I1210" t="e">
        <f>INDEX('GIS-Standards'!$A$2:$A$305,MATCH(C1210,'GIS-Standards'!$B$2:$B$305,0))</f>
        <v>#N/A</v>
      </c>
      <c r="J1210" t="str">
        <f>INDEX('GIS-Standards'!$O$2:$O$305,MATCH(B1210,'GIS-Standards'!$B$2:$B$305,0))</f>
        <v>ISO/TC 211</v>
      </c>
      <c r="K1210" t="e">
        <f>INDEX('GIS-Standards'!$O$2:$O$305,MATCH(C1210,'GIS-Standards'!$B$2:$B$305,0))</f>
        <v>#N/A</v>
      </c>
      <c r="M1210" t="s">
        <v>525</v>
      </c>
      <c r="N1210">
        <f>INDEX('GIS-Standards'!$I$2:$I$305,MATCH(B1210,'GIS-Standards'!$B$2:$B$305,0))</f>
        <v>0</v>
      </c>
      <c r="O1210" t="e">
        <f>INDEX('GIS-Standards'!$I$2:$I$305,MATCH(C1210,'GIS-Standards'!$B$2:$B$305,0))</f>
        <v>#N/A</v>
      </c>
      <c r="P1210" t="e">
        <f>AND(TableRelationships12[[#This Row],[Source Type]]="BIM",TableRelationships12[[#This Row],[Target Type]]="BIM")</f>
        <v>#N/A</v>
      </c>
      <c r="Q1210">
        <f t="shared" si="54"/>
        <v>1</v>
      </c>
      <c r="S1210">
        <f t="shared" si="55"/>
        <v>1</v>
      </c>
      <c r="T1210" s="102" t="str">
        <f>IF(TableRelationships12[[#This Row],[Rank Pedro]]="Low","linkCategory1",IF(TableRelationships12[[#This Row],[Rank Pedro]]="Medium","linkCategory2",IF(TableRelationships12[[#This Row],[Rank Pedro]]="High","linkCategory3","")))</f>
        <v/>
      </c>
      <c r="U1210" s="102" t="str">
        <f>IF(TableRelationships12[[#This Row],[Rank Pedro]]="Low","Pink",IF(TableRelationships12[[#This Row],[Rank Pedro]]="Medium","Purple",IF(TableRelationships12[[#This Row],[Rank Pedro]]="High","Brown","")))</f>
        <v/>
      </c>
      <c r="V1210" s="4" t="e">
        <f>MAX(INDEX(Standards!$F$2:$F$296,MATCH(B1210,Standards!$B$2:$B$296,0)),INDEX(Standards!$F$2:$F$296,MATCH(C1210,Standards!$B$2:$B$296,0)))</f>
        <v>#N/A</v>
      </c>
      <c r="W1210" t="str">
        <f t="shared" si="56"/>
        <v>#2f89d1</v>
      </c>
    </row>
    <row r="1211" spans="1:23" x14ac:dyDescent="0.5">
      <c r="A1211" s="54">
        <v>1210</v>
      </c>
      <c r="B1211" s="90" t="s">
        <v>635</v>
      </c>
      <c r="C1211" t="s">
        <v>1428</v>
      </c>
      <c r="D1211" s="1" t="s">
        <v>1305</v>
      </c>
      <c r="E1211" s="111">
        <v>2011.05</v>
      </c>
      <c r="F1211" s="111">
        <v>2021.12</v>
      </c>
      <c r="G1211" s="107" t="s">
        <v>1653</v>
      </c>
      <c r="H1211">
        <f>INDEX('GIS-Standards'!$A$2:$A$305,MATCH(B1211,'GIS-Standards'!$B$2:$B$305,0))</f>
        <v>52</v>
      </c>
      <c r="I1211" t="e">
        <f>INDEX('GIS-Standards'!$A$2:$A$305,MATCH(C1211,'GIS-Standards'!$B$2:$B$305,0))</f>
        <v>#N/A</v>
      </c>
      <c r="J1211" t="str">
        <f>INDEX('GIS-Standards'!$O$2:$O$305,MATCH(B1211,'GIS-Standards'!$B$2:$B$305,0))</f>
        <v>ISO/TC 211</v>
      </c>
      <c r="K1211" t="e">
        <f>INDEX('GIS-Standards'!$O$2:$O$305,MATCH(C1211,'GIS-Standards'!$B$2:$B$305,0))</f>
        <v>#N/A</v>
      </c>
      <c r="M1211" t="s">
        <v>525</v>
      </c>
      <c r="N1211">
        <f>INDEX('GIS-Standards'!$I$2:$I$305,MATCH(B1211,'GIS-Standards'!$B$2:$B$305,0))</f>
        <v>0</v>
      </c>
      <c r="O1211" t="e">
        <f>INDEX('GIS-Standards'!$I$2:$I$305,MATCH(C1211,'GIS-Standards'!$B$2:$B$305,0))</f>
        <v>#N/A</v>
      </c>
      <c r="P1211" t="e">
        <f>AND(TableRelationships12[[#This Row],[Source Type]]="BIM",TableRelationships12[[#This Row],[Target Type]]="BIM")</f>
        <v>#N/A</v>
      </c>
      <c r="Q1211">
        <f t="shared" si="54"/>
        <v>1</v>
      </c>
      <c r="S1211">
        <f t="shared" si="55"/>
        <v>1</v>
      </c>
      <c r="T1211" s="102" t="str">
        <f>IF(TableRelationships12[[#This Row],[Rank Pedro]]="Low","linkCategory1",IF(TableRelationships12[[#This Row],[Rank Pedro]]="Medium","linkCategory2",IF(TableRelationships12[[#This Row],[Rank Pedro]]="High","linkCategory3","")))</f>
        <v/>
      </c>
      <c r="U1211" s="102" t="str">
        <f>IF(TableRelationships12[[#This Row],[Rank Pedro]]="Low","Pink",IF(TableRelationships12[[#This Row],[Rank Pedro]]="Medium","Purple",IF(TableRelationships12[[#This Row],[Rank Pedro]]="High","Brown","")))</f>
        <v/>
      </c>
      <c r="V1211" s="4" t="e">
        <f>MAX(INDEX(Standards!$F$2:$F$296,MATCH(B1211,Standards!$B$2:$B$296,0)),INDEX(Standards!$F$2:$F$296,MATCH(C1211,Standards!$B$2:$B$296,0)))</f>
        <v>#N/A</v>
      </c>
      <c r="W1211" t="str">
        <f t="shared" si="56"/>
        <v>#2f89d1</v>
      </c>
    </row>
    <row r="1212" spans="1:23" x14ac:dyDescent="0.5">
      <c r="A1212" s="54">
        <v>1211</v>
      </c>
      <c r="B1212" s="90" t="s">
        <v>635</v>
      </c>
      <c r="C1212" t="s">
        <v>1429</v>
      </c>
      <c r="D1212" s="1" t="s">
        <v>1305</v>
      </c>
      <c r="E1212" s="111">
        <v>2016.05</v>
      </c>
      <c r="F1212" s="111">
        <v>2022.08</v>
      </c>
      <c r="G1212" s="107" t="s">
        <v>1653</v>
      </c>
      <c r="H1212">
        <f>INDEX('GIS-Standards'!$A$2:$A$305,MATCH(B1212,'GIS-Standards'!$B$2:$B$305,0))</f>
        <v>52</v>
      </c>
      <c r="I1212" t="e">
        <f>INDEX('GIS-Standards'!$A$2:$A$305,MATCH(C1212,'GIS-Standards'!$B$2:$B$305,0))</f>
        <v>#N/A</v>
      </c>
      <c r="J1212" t="str">
        <f>INDEX('GIS-Standards'!$O$2:$O$305,MATCH(B1212,'GIS-Standards'!$B$2:$B$305,0))</f>
        <v>ISO/TC 211</v>
      </c>
      <c r="K1212" t="e">
        <f>INDEX('GIS-Standards'!$O$2:$O$305,MATCH(C1212,'GIS-Standards'!$B$2:$B$305,0))</f>
        <v>#N/A</v>
      </c>
      <c r="M1212" t="s">
        <v>525</v>
      </c>
      <c r="N1212">
        <f>INDEX('GIS-Standards'!$I$2:$I$305,MATCH(B1212,'GIS-Standards'!$B$2:$B$305,0))</f>
        <v>0</v>
      </c>
      <c r="O1212" t="e">
        <f>INDEX('GIS-Standards'!$I$2:$I$305,MATCH(C1212,'GIS-Standards'!$B$2:$B$305,0))</f>
        <v>#N/A</v>
      </c>
      <c r="P1212" t="e">
        <f>AND(TableRelationships12[[#This Row],[Source Type]]="BIM",TableRelationships12[[#This Row],[Target Type]]="BIM")</f>
        <v>#N/A</v>
      </c>
      <c r="Q1212">
        <f t="shared" si="54"/>
        <v>1</v>
      </c>
      <c r="S1212">
        <f t="shared" si="55"/>
        <v>1</v>
      </c>
      <c r="T1212" s="102" t="str">
        <f>IF(TableRelationships12[[#This Row],[Rank Pedro]]="Low","linkCategory1",IF(TableRelationships12[[#This Row],[Rank Pedro]]="Medium","linkCategory2",IF(TableRelationships12[[#This Row],[Rank Pedro]]="High","linkCategory3","")))</f>
        <v/>
      </c>
      <c r="U1212" s="102" t="str">
        <f>IF(TableRelationships12[[#This Row],[Rank Pedro]]="Low","Pink",IF(TableRelationships12[[#This Row],[Rank Pedro]]="Medium","Purple",IF(TableRelationships12[[#This Row],[Rank Pedro]]="High","Brown","")))</f>
        <v/>
      </c>
      <c r="V1212" s="4" t="e">
        <f>MAX(INDEX(Standards!$F$2:$F$296,MATCH(B1212,Standards!$B$2:$B$296,0)),INDEX(Standards!$F$2:$F$296,MATCH(C1212,Standards!$B$2:$B$296,0)))</f>
        <v>#N/A</v>
      </c>
      <c r="W1212" t="str">
        <f t="shared" si="56"/>
        <v>#2f89d1</v>
      </c>
    </row>
    <row r="1213" spans="1:23" x14ac:dyDescent="0.5">
      <c r="A1213" s="54">
        <v>1212</v>
      </c>
      <c r="B1213" s="90" t="s">
        <v>635</v>
      </c>
      <c r="C1213" t="s">
        <v>1430</v>
      </c>
      <c r="D1213" s="1" t="s">
        <v>1305</v>
      </c>
      <c r="E1213" s="111">
        <v>2024.06</v>
      </c>
      <c r="F1213" s="111">
        <v>2024.06</v>
      </c>
      <c r="G1213" s="107" t="s">
        <v>1653</v>
      </c>
      <c r="H1213">
        <f>INDEX('GIS-Standards'!$A$2:$A$305,MATCH(B1213,'GIS-Standards'!$B$2:$B$305,0))</f>
        <v>52</v>
      </c>
      <c r="I1213" t="e">
        <f>INDEX('GIS-Standards'!$A$2:$A$305,MATCH(C1213,'GIS-Standards'!$B$2:$B$305,0))</f>
        <v>#N/A</v>
      </c>
      <c r="J1213" t="str">
        <f>INDEX('GIS-Standards'!$O$2:$O$305,MATCH(B1213,'GIS-Standards'!$B$2:$B$305,0))</f>
        <v>ISO/TC 211</v>
      </c>
      <c r="K1213" t="e">
        <f>INDEX('GIS-Standards'!$O$2:$O$305,MATCH(C1213,'GIS-Standards'!$B$2:$B$305,0))</f>
        <v>#N/A</v>
      </c>
      <c r="M1213" t="s">
        <v>525</v>
      </c>
      <c r="N1213">
        <f>INDEX('GIS-Standards'!$I$2:$I$305,MATCH(B1213,'GIS-Standards'!$B$2:$B$305,0))</f>
        <v>0</v>
      </c>
      <c r="O1213" t="e">
        <f>INDEX('GIS-Standards'!$I$2:$I$305,MATCH(C1213,'GIS-Standards'!$B$2:$B$305,0))</f>
        <v>#N/A</v>
      </c>
      <c r="P1213" t="e">
        <f>AND(TableRelationships12[[#This Row],[Source Type]]="BIM",TableRelationships12[[#This Row],[Target Type]]="BIM")</f>
        <v>#N/A</v>
      </c>
      <c r="Q1213">
        <f t="shared" si="54"/>
        <v>1</v>
      </c>
      <c r="S1213">
        <f t="shared" si="55"/>
        <v>1</v>
      </c>
      <c r="T1213" s="102" t="str">
        <f>IF(TableRelationships12[[#This Row],[Rank Pedro]]="Low","linkCategory1",IF(TableRelationships12[[#This Row],[Rank Pedro]]="Medium","linkCategory2",IF(TableRelationships12[[#This Row],[Rank Pedro]]="High","linkCategory3","")))</f>
        <v/>
      </c>
      <c r="U1213" s="102" t="str">
        <f>IF(TableRelationships12[[#This Row],[Rank Pedro]]="Low","Pink",IF(TableRelationships12[[#This Row],[Rank Pedro]]="Medium","Purple",IF(TableRelationships12[[#This Row],[Rank Pedro]]="High","Brown","")))</f>
        <v/>
      </c>
      <c r="V1213" s="4" t="e">
        <f>MAX(INDEX(Standards!$F$2:$F$296,MATCH(B1213,Standards!$B$2:$B$296,0)),INDEX(Standards!$F$2:$F$296,MATCH(C1213,Standards!$B$2:$B$296,0)))</f>
        <v>#N/A</v>
      </c>
      <c r="W1213" t="str">
        <f t="shared" si="56"/>
        <v>#2f89d1</v>
      </c>
    </row>
    <row r="1214" spans="1:23" x14ac:dyDescent="0.5">
      <c r="A1214" s="54">
        <v>1213</v>
      </c>
      <c r="B1214" s="90" t="s">
        <v>635</v>
      </c>
      <c r="C1214" t="s">
        <v>1431</v>
      </c>
      <c r="D1214" s="1" t="s">
        <v>1305</v>
      </c>
      <c r="E1214" s="111">
        <v>2025.07</v>
      </c>
      <c r="F1214" s="111">
        <v>2025.07</v>
      </c>
      <c r="G1214" s="107" t="s">
        <v>1653</v>
      </c>
      <c r="H1214">
        <f>INDEX('GIS-Standards'!$A$2:$A$305,MATCH(B1214,'GIS-Standards'!$B$2:$B$305,0))</f>
        <v>52</v>
      </c>
      <c r="I1214" t="e">
        <f>INDEX('GIS-Standards'!$A$2:$A$305,MATCH(C1214,'GIS-Standards'!$B$2:$B$305,0))</f>
        <v>#N/A</v>
      </c>
      <c r="J1214" t="str">
        <f>INDEX('GIS-Standards'!$O$2:$O$305,MATCH(B1214,'GIS-Standards'!$B$2:$B$305,0))</f>
        <v>ISO/TC 211</v>
      </c>
      <c r="K1214" t="e">
        <f>INDEX('GIS-Standards'!$O$2:$O$305,MATCH(C1214,'GIS-Standards'!$B$2:$B$305,0))</f>
        <v>#N/A</v>
      </c>
      <c r="M1214" t="s">
        <v>525</v>
      </c>
      <c r="N1214">
        <f>INDEX('GIS-Standards'!$I$2:$I$305,MATCH(B1214,'GIS-Standards'!$B$2:$B$305,0))</f>
        <v>0</v>
      </c>
      <c r="O1214" t="e">
        <f>INDEX('GIS-Standards'!$I$2:$I$305,MATCH(C1214,'GIS-Standards'!$B$2:$B$305,0))</f>
        <v>#N/A</v>
      </c>
      <c r="P1214" t="e">
        <f>AND(TableRelationships12[[#This Row],[Source Type]]="BIM",TableRelationships12[[#This Row],[Target Type]]="BIM")</f>
        <v>#N/A</v>
      </c>
      <c r="Q1214">
        <f t="shared" si="54"/>
        <v>1</v>
      </c>
      <c r="S1214">
        <f t="shared" si="55"/>
        <v>1</v>
      </c>
      <c r="T1214" s="102" t="str">
        <f>IF(TableRelationships12[[#This Row],[Rank Pedro]]="Low","linkCategory1",IF(TableRelationships12[[#This Row],[Rank Pedro]]="Medium","linkCategory2",IF(TableRelationships12[[#This Row],[Rank Pedro]]="High","linkCategory3","")))</f>
        <v/>
      </c>
      <c r="U1214" s="102" t="str">
        <f>IF(TableRelationships12[[#This Row],[Rank Pedro]]="Low","Pink",IF(TableRelationships12[[#This Row],[Rank Pedro]]="Medium","Purple",IF(TableRelationships12[[#This Row],[Rank Pedro]]="High","Brown","")))</f>
        <v/>
      </c>
      <c r="V1214" s="4" t="e">
        <f>MAX(INDEX(Standards!$F$2:$F$296,MATCH(B1214,Standards!$B$2:$B$296,0)),INDEX(Standards!$F$2:$F$296,MATCH(C1214,Standards!$B$2:$B$296,0)))</f>
        <v>#N/A</v>
      </c>
      <c r="W1214" t="str">
        <f t="shared" si="56"/>
        <v>#2f89d1</v>
      </c>
    </row>
    <row r="1215" spans="1:23" x14ac:dyDescent="0.5">
      <c r="A1215" s="54">
        <v>1214</v>
      </c>
      <c r="B1215" s="90" t="s">
        <v>635</v>
      </c>
      <c r="C1215" t="s">
        <v>312</v>
      </c>
      <c r="D1215" s="1"/>
      <c r="E1215" s="112">
        <v>2003.1</v>
      </c>
      <c r="F1215" s="112">
        <v>2019.02</v>
      </c>
      <c r="G1215" s="107" t="s">
        <v>670</v>
      </c>
      <c r="H1215">
        <f>INDEX('GIS-Standards'!$A$2:$A$305,MATCH(B1215,'GIS-Standards'!$B$2:$B$305,0))</f>
        <v>52</v>
      </c>
      <c r="I1215">
        <f>INDEX('GIS-Standards'!$A$2:$A$305,MATCH(C1215,'GIS-Standards'!$B$2:$B$305,0))</f>
        <v>21</v>
      </c>
      <c r="J1215" t="str">
        <f>INDEX('GIS-Standards'!$O$2:$O$305,MATCH(B1215,'GIS-Standards'!$B$2:$B$305,0))</f>
        <v>ISO/TC 211</v>
      </c>
      <c r="K1215" t="str">
        <f>INDEX('GIS-Standards'!$O$2:$O$305,MATCH(C1215,'GIS-Standards'!$B$2:$B$305,0))</f>
        <v>ISO/TC 211</v>
      </c>
      <c r="M1215" t="s">
        <v>525</v>
      </c>
      <c r="N1215">
        <f>INDEX('GIS-Standards'!$I$2:$I$305,MATCH(B1215,'GIS-Standards'!$B$2:$B$305,0))</f>
        <v>0</v>
      </c>
      <c r="O1215">
        <f>INDEX('GIS-Standards'!$I$2:$I$305,MATCH(C1215,'GIS-Standards'!$B$2:$B$305,0))</f>
        <v>0</v>
      </c>
      <c r="P1215" t="b">
        <f>AND(TableRelationships12[[#This Row],[Source Type]]="BIM",TableRelationships12[[#This Row],[Target Type]]="BIM")</f>
        <v>0</v>
      </c>
      <c r="Q1215">
        <f t="shared" si="54"/>
        <v>1</v>
      </c>
      <c r="S1215">
        <f t="shared" si="55"/>
        <v>1</v>
      </c>
      <c r="T1215" s="102" t="str">
        <f>IF(TableRelationships12[[#This Row],[Rank Pedro]]="Low","linkCategory1",IF(TableRelationships12[[#This Row],[Rank Pedro]]="Medium","linkCategory2",IF(TableRelationships12[[#This Row],[Rank Pedro]]="High","linkCategory3","")))</f>
        <v/>
      </c>
      <c r="U1215" s="102" t="str">
        <f>IF(TableRelationships12[[#This Row],[Rank Pedro]]="Low","Pink",IF(TableRelationships12[[#This Row],[Rank Pedro]]="Medium","Purple",IF(TableRelationships12[[#This Row],[Rank Pedro]]="High","Brown","")))</f>
        <v/>
      </c>
      <c r="V1215" s="4" t="e">
        <f>MAX(INDEX(Standards!$F$2:$F$296,MATCH(B1215,Standards!$B$2:$B$296,0)),INDEX(Standards!$F$2:$F$296,MATCH(C1215,Standards!$B$2:$B$296,0)))</f>
        <v>#N/A</v>
      </c>
      <c r="W1215" t="str">
        <f t="shared" si="56"/>
        <v>#2f89d1</v>
      </c>
    </row>
    <row r="1216" spans="1:23" x14ac:dyDescent="0.5">
      <c r="A1216" s="54">
        <v>1215</v>
      </c>
      <c r="B1216" s="90" t="s">
        <v>635</v>
      </c>
      <c r="C1216" t="s">
        <v>318</v>
      </c>
      <c r="D1216" s="1"/>
      <c r="E1216" s="112">
        <v>2005.02</v>
      </c>
      <c r="F1216" s="112">
        <v>2016.01</v>
      </c>
      <c r="G1216" s="107" t="s">
        <v>670</v>
      </c>
      <c r="H1216">
        <f>INDEX('GIS-Standards'!$A$2:$A$305,MATCH(B1216,'GIS-Standards'!$B$2:$B$305,0))</f>
        <v>52</v>
      </c>
      <c r="I1216">
        <f>INDEX('GIS-Standards'!$A$2:$A$305,MATCH(C1216,'GIS-Standards'!$B$2:$B$305,0))</f>
        <v>28</v>
      </c>
      <c r="J1216" t="str">
        <f>INDEX('GIS-Standards'!$O$2:$O$305,MATCH(B1216,'GIS-Standards'!$B$2:$B$305,0))</f>
        <v>ISO/TC 211</v>
      </c>
      <c r="K1216" t="str">
        <f>INDEX('GIS-Standards'!$O$2:$O$305,MATCH(C1216,'GIS-Standards'!$B$2:$B$305,0))</f>
        <v>ISO/TC 211</v>
      </c>
      <c r="M1216" t="s">
        <v>525</v>
      </c>
      <c r="N1216">
        <f>INDEX('GIS-Standards'!$I$2:$I$305,MATCH(B1216,'GIS-Standards'!$B$2:$B$305,0))</f>
        <v>0</v>
      </c>
      <c r="O1216">
        <f>INDEX('GIS-Standards'!$I$2:$I$305,MATCH(C1216,'GIS-Standards'!$B$2:$B$305,0))</f>
        <v>0</v>
      </c>
      <c r="P1216" t="b">
        <f>AND(TableRelationships12[[#This Row],[Source Type]]="BIM",TableRelationships12[[#This Row],[Target Type]]="BIM")</f>
        <v>0</v>
      </c>
      <c r="Q1216">
        <f t="shared" si="54"/>
        <v>1</v>
      </c>
      <c r="S1216">
        <f t="shared" si="55"/>
        <v>1</v>
      </c>
      <c r="T1216" s="102" t="str">
        <f>IF(TableRelationships12[[#This Row],[Rank Pedro]]="Low","linkCategory1",IF(TableRelationships12[[#This Row],[Rank Pedro]]="Medium","linkCategory2",IF(TableRelationships12[[#This Row],[Rank Pedro]]="High","linkCategory3","")))</f>
        <v/>
      </c>
      <c r="U1216" s="102" t="str">
        <f>IF(TableRelationships12[[#This Row],[Rank Pedro]]="Low","Pink",IF(TableRelationships12[[#This Row],[Rank Pedro]]="Medium","Purple",IF(TableRelationships12[[#This Row],[Rank Pedro]]="High","Brown","")))</f>
        <v/>
      </c>
      <c r="V1216" s="4" t="e">
        <f>MAX(INDEX(Standards!$F$2:$F$296,MATCH(B1216,Standards!$B$2:$B$296,0)),INDEX(Standards!$F$2:$F$296,MATCH(C1216,Standards!$B$2:$B$296,0)))</f>
        <v>#N/A</v>
      </c>
      <c r="W1216" t="str">
        <f t="shared" si="56"/>
        <v>#2f89d1</v>
      </c>
    </row>
    <row r="1217" spans="1:23" x14ac:dyDescent="0.5">
      <c r="A1217" s="54">
        <v>1216</v>
      </c>
      <c r="B1217" s="90" t="s">
        <v>635</v>
      </c>
      <c r="C1217" t="s">
        <v>1072</v>
      </c>
      <c r="D1217" s="1" t="s">
        <v>1172</v>
      </c>
      <c r="E1217" s="113">
        <v>2011.07</v>
      </c>
      <c r="F1217" s="113">
        <v>2020.03</v>
      </c>
      <c r="G1217" s="107" t="s">
        <v>1456</v>
      </c>
      <c r="H1217">
        <f>INDEX('GIS-Standards'!$A$2:$A$305,MATCH(B1217,'GIS-Standards'!$B$2:$B$305,0))</f>
        <v>52</v>
      </c>
      <c r="I1217" t="e">
        <f>INDEX('GIS-Standards'!$A$2:$A$305,MATCH(C1217,'GIS-Standards'!$B$2:$B$305,0))</f>
        <v>#N/A</v>
      </c>
      <c r="J1217" t="str">
        <f>INDEX('GIS-Standards'!$O$2:$O$305,MATCH(B1217,'GIS-Standards'!$B$2:$B$305,0))</f>
        <v>ISO/TC 211</v>
      </c>
      <c r="K1217" t="e">
        <f>INDEX('GIS-Standards'!$O$2:$O$305,MATCH(C1217,'GIS-Standards'!$B$2:$B$305,0))</f>
        <v>#N/A</v>
      </c>
      <c r="M1217" t="s">
        <v>525</v>
      </c>
      <c r="N1217">
        <f>INDEX('GIS-Standards'!$I$2:$I$305,MATCH(B1217,'GIS-Standards'!$B$2:$B$305,0))</f>
        <v>0</v>
      </c>
      <c r="O1217" t="e">
        <f>INDEX('GIS-Standards'!$I$2:$I$305,MATCH(C1217,'GIS-Standards'!$B$2:$B$305,0))</f>
        <v>#N/A</v>
      </c>
      <c r="P1217" t="e">
        <f>AND(TableRelationships12[[#This Row],[Source Type]]="BIM",TableRelationships12[[#This Row],[Target Type]]="BIM")</f>
        <v>#N/A</v>
      </c>
      <c r="Q1217">
        <f t="shared" si="54"/>
        <v>1</v>
      </c>
      <c r="S1217">
        <f t="shared" si="55"/>
        <v>1</v>
      </c>
      <c r="T1217" s="102" t="str">
        <f>IF(TableRelationships12[[#This Row],[Rank Pedro]]="Low","linkCategory1",IF(TableRelationships12[[#This Row],[Rank Pedro]]="Medium","linkCategory2",IF(TableRelationships12[[#This Row],[Rank Pedro]]="High","linkCategory3","")))</f>
        <v/>
      </c>
      <c r="U1217" s="102" t="str">
        <f>IF(TableRelationships12[[#This Row],[Rank Pedro]]="Low","Pink",IF(TableRelationships12[[#This Row],[Rank Pedro]]="Medium","Purple",IF(TableRelationships12[[#This Row],[Rank Pedro]]="High","Brown","")))</f>
        <v/>
      </c>
      <c r="V1217" s="4" t="e">
        <f>MAX(INDEX(Standards!$F$2:$F$296,MATCH(B1217,Standards!$B$2:$B$296,0)),INDEX(Standards!$F$2:$F$296,MATCH(C1217,Standards!$B$2:$B$296,0)))</f>
        <v>#N/A</v>
      </c>
      <c r="W1217" t="str">
        <f t="shared" si="56"/>
        <v>#2f89d1</v>
      </c>
    </row>
    <row r="1218" spans="1:23" x14ac:dyDescent="0.5">
      <c r="A1218" s="54">
        <v>1217</v>
      </c>
      <c r="B1218" s="90" t="s">
        <v>635</v>
      </c>
      <c r="C1218" t="s">
        <v>1073</v>
      </c>
      <c r="D1218" s="1" t="s">
        <v>1172</v>
      </c>
      <c r="E1218" s="113">
        <v>2011.07</v>
      </c>
      <c r="F1218" s="113">
        <v>2020.11</v>
      </c>
      <c r="G1218" s="107" t="s">
        <v>1456</v>
      </c>
      <c r="H1218">
        <f>INDEX('GIS-Standards'!$A$2:$A$305,MATCH(B1218,'GIS-Standards'!$B$2:$B$305,0))</f>
        <v>52</v>
      </c>
      <c r="I1218" t="e">
        <f>INDEX('GIS-Standards'!$A$2:$A$305,MATCH(C1218,'GIS-Standards'!$B$2:$B$305,0))</f>
        <v>#N/A</v>
      </c>
      <c r="J1218" t="str">
        <f>INDEX('GIS-Standards'!$O$2:$O$305,MATCH(B1218,'GIS-Standards'!$B$2:$B$305,0))</f>
        <v>ISO/TC 211</v>
      </c>
      <c r="K1218" t="e">
        <f>INDEX('GIS-Standards'!$O$2:$O$305,MATCH(C1218,'GIS-Standards'!$B$2:$B$305,0))</f>
        <v>#N/A</v>
      </c>
      <c r="M1218" t="s">
        <v>525</v>
      </c>
      <c r="N1218">
        <f>INDEX('GIS-Standards'!$I$2:$I$305,MATCH(B1218,'GIS-Standards'!$B$2:$B$305,0))</f>
        <v>0</v>
      </c>
      <c r="O1218" t="e">
        <f>INDEX('GIS-Standards'!$I$2:$I$305,MATCH(C1218,'GIS-Standards'!$B$2:$B$305,0))</f>
        <v>#N/A</v>
      </c>
      <c r="P1218" t="e">
        <f>AND(TableRelationships12[[#This Row],[Source Type]]="BIM",TableRelationships12[[#This Row],[Target Type]]="BIM")</f>
        <v>#N/A</v>
      </c>
      <c r="Q1218">
        <f t="shared" ref="Q1218:Q1281" si="57">IF(M1218="Normative",6,IF(M1218="Secondary",4,IF(M1218="Anchor",2,1)))</f>
        <v>1</v>
      </c>
      <c r="S1218">
        <f t="shared" ref="S1218:S1281" si="58">IF(R1218="High",10,IF(R1218="Medium",6,IF(R1218="Low",2,1)))</f>
        <v>1</v>
      </c>
      <c r="T1218" s="102" t="str">
        <f>IF(TableRelationships12[[#This Row],[Rank Pedro]]="Low","linkCategory1",IF(TableRelationships12[[#This Row],[Rank Pedro]]="Medium","linkCategory2",IF(TableRelationships12[[#This Row],[Rank Pedro]]="High","linkCategory3","")))</f>
        <v/>
      </c>
      <c r="U1218" s="102" t="str">
        <f>IF(TableRelationships12[[#This Row],[Rank Pedro]]="Low","Pink",IF(TableRelationships12[[#This Row],[Rank Pedro]]="Medium","Purple",IF(TableRelationships12[[#This Row],[Rank Pedro]]="High","Brown","")))</f>
        <v/>
      </c>
      <c r="V1218" s="4" t="e">
        <f>MAX(INDEX(Standards!$F$2:$F$296,MATCH(B1218,Standards!$B$2:$B$296,0)),INDEX(Standards!$F$2:$F$296,MATCH(C1218,Standards!$B$2:$B$296,0)))</f>
        <v>#N/A</v>
      </c>
      <c r="W1218" t="str">
        <f t="shared" ref="W1218:W1281" si="59">IF(M1218="Normative", "#d6bf2a", IF(M1218="Informative", "#2f89d1", 1))</f>
        <v>#2f89d1</v>
      </c>
    </row>
    <row r="1219" spans="1:23" x14ac:dyDescent="0.5">
      <c r="A1219" s="54">
        <v>1218</v>
      </c>
      <c r="B1219" s="90" t="s">
        <v>635</v>
      </c>
      <c r="C1219" t="s">
        <v>1306</v>
      </c>
      <c r="D1219" s="1"/>
      <c r="G1219" s="107"/>
      <c r="H1219">
        <f>INDEX('GIS-Standards'!$A$2:$A$305,MATCH(B1219,'GIS-Standards'!$B$2:$B$305,0))</f>
        <v>52</v>
      </c>
      <c r="I1219" t="e">
        <f>INDEX('GIS-Standards'!$A$2:$A$305,MATCH(C1219,'GIS-Standards'!$B$2:$B$305,0))</f>
        <v>#N/A</v>
      </c>
      <c r="J1219" t="str">
        <f>INDEX('GIS-Standards'!$O$2:$O$305,MATCH(B1219,'GIS-Standards'!$B$2:$B$305,0))</f>
        <v>ISO/TC 211</v>
      </c>
      <c r="K1219" t="e">
        <f>INDEX('GIS-Standards'!$O$2:$O$305,MATCH(C1219,'GIS-Standards'!$B$2:$B$305,0))</f>
        <v>#N/A</v>
      </c>
      <c r="M1219" t="s">
        <v>525</v>
      </c>
      <c r="N1219">
        <f>INDEX('GIS-Standards'!$I$2:$I$305,MATCH(B1219,'GIS-Standards'!$B$2:$B$305,0))</f>
        <v>0</v>
      </c>
      <c r="O1219" t="e">
        <f>INDEX('GIS-Standards'!$I$2:$I$305,MATCH(C1219,'GIS-Standards'!$B$2:$B$305,0))</f>
        <v>#N/A</v>
      </c>
      <c r="P1219" t="e">
        <f>AND(TableRelationships12[[#This Row],[Source Type]]="BIM",TableRelationships12[[#This Row],[Target Type]]="BIM")</f>
        <v>#N/A</v>
      </c>
      <c r="Q1219">
        <f t="shared" si="57"/>
        <v>1</v>
      </c>
      <c r="S1219">
        <f t="shared" si="58"/>
        <v>1</v>
      </c>
      <c r="T1219" s="102" t="str">
        <f>IF(TableRelationships12[[#This Row],[Rank Pedro]]="Low","linkCategory1",IF(TableRelationships12[[#This Row],[Rank Pedro]]="Medium","linkCategory2",IF(TableRelationships12[[#This Row],[Rank Pedro]]="High","linkCategory3","")))</f>
        <v/>
      </c>
      <c r="U1219" s="102" t="str">
        <f>IF(TableRelationships12[[#This Row],[Rank Pedro]]="Low","Pink",IF(TableRelationships12[[#This Row],[Rank Pedro]]="Medium","Purple",IF(TableRelationships12[[#This Row],[Rank Pedro]]="High","Brown","")))</f>
        <v/>
      </c>
      <c r="V1219" s="4" t="e">
        <f>MAX(INDEX(Standards!$F$2:$F$296,MATCH(B1219,Standards!$B$2:$B$296,0)),INDEX(Standards!$F$2:$F$296,MATCH(C1219,Standards!$B$2:$B$296,0)))</f>
        <v>#N/A</v>
      </c>
      <c r="W1219" t="str">
        <f t="shared" si="59"/>
        <v>#2f89d1</v>
      </c>
    </row>
    <row r="1220" spans="1:23" x14ac:dyDescent="0.5">
      <c r="A1220" s="54">
        <v>1219</v>
      </c>
      <c r="B1220" s="90" t="s">
        <v>344</v>
      </c>
      <c r="C1220" t="s">
        <v>527</v>
      </c>
      <c r="D1220" s="1"/>
      <c r="E1220" s="112" t="s">
        <v>969</v>
      </c>
      <c r="F1220" s="112" t="s">
        <v>970</v>
      </c>
      <c r="G1220" s="121" t="s">
        <v>670</v>
      </c>
      <c r="H1220">
        <f>INDEX('GIS-Standards'!$A$2:$A$305,MATCH(B1220,'GIS-Standards'!$B$2:$B$305,0))</f>
        <v>53</v>
      </c>
      <c r="I1220" t="e">
        <f>INDEX('GIS-Standards'!$A$2:$A$305,MATCH(C1220,'GIS-Standards'!$B$2:$B$305,0))</f>
        <v>#N/A</v>
      </c>
      <c r="J1220" t="str">
        <f>INDEX('GIS-Standards'!$O$2:$O$305,MATCH(B1220,'GIS-Standards'!$B$2:$B$305,0))</f>
        <v>ISO/TC 211</v>
      </c>
      <c r="K1220" t="e">
        <f>INDEX('GIS-Standards'!$O$2:$O$305,MATCH(C1220,'GIS-Standards'!$B$2:$B$305,0))</f>
        <v>#N/A</v>
      </c>
      <c r="M1220" t="s">
        <v>237</v>
      </c>
      <c r="N1220">
        <f>INDEX('GIS-Standards'!$I$2:$I$305,MATCH(B1220,'GIS-Standards'!$B$2:$B$305,0))</f>
        <v>0</v>
      </c>
      <c r="O1220" t="e">
        <f>INDEX('GIS-Standards'!$I$2:$I$305,MATCH(C1220,'GIS-Standards'!$B$2:$B$305,0))</f>
        <v>#N/A</v>
      </c>
      <c r="P1220" t="e">
        <f>AND(TableRelationships12[[#This Row],[Source Type]]="BIM",TableRelationships12[[#This Row],[Target Type]]="BIM")</f>
        <v>#N/A</v>
      </c>
      <c r="Q1220">
        <f t="shared" si="57"/>
        <v>2</v>
      </c>
      <c r="S1220">
        <f t="shared" si="58"/>
        <v>1</v>
      </c>
      <c r="T1220" s="102" t="str">
        <f>IF(TableRelationships12[[#This Row],[Rank Pedro]]="Low","linkCategory1",IF(TableRelationships12[[#This Row],[Rank Pedro]]="Medium","linkCategory2",IF(TableRelationships12[[#This Row],[Rank Pedro]]="High","linkCategory3","")))</f>
        <v/>
      </c>
      <c r="U1220" s="102" t="str">
        <f>IF(TableRelationships12[[#This Row],[Rank Pedro]]="Low","Pink",IF(TableRelationships12[[#This Row],[Rank Pedro]]="Medium","Purple",IF(TableRelationships12[[#This Row],[Rank Pedro]]="High","Brown","")))</f>
        <v/>
      </c>
      <c r="V1220" s="4">
        <f>MAX(INDEX(Standards!$F$2:$F$296,MATCH(B1220,Standards!$B$2:$B$296,0)),INDEX(Standards!$F$2:$F$296,MATCH(C1220,Standards!$B$2:$B$296,0)))</f>
        <v>40940</v>
      </c>
      <c r="W1220">
        <f t="shared" si="59"/>
        <v>1</v>
      </c>
    </row>
    <row r="1221" spans="1:23" x14ac:dyDescent="0.5">
      <c r="A1221" s="54">
        <v>1220</v>
      </c>
      <c r="B1221" s="90" t="s">
        <v>344</v>
      </c>
      <c r="C1221" t="s">
        <v>296</v>
      </c>
      <c r="D1221" s="1"/>
      <c r="E1221" s="112">
        <v>2005.07</v>
      </c>
      <c r="F1221" s="112">
        <v>2024.09</v>
      </c>
      <c r="G1221" s="107" t="s">
        <v>670</v>
      </c>
      <c r="H1221">
        <f>INDEX('GIS-Standards'!$A$2:$A$305,MATCH(B1221,'GIS-Standards'!$B$2:$B$305,0))</f>
        <v>53</v>
      </c>
      <c r="I1221">
        <f>INDEX('GIS-Standards'!$A$2:$A$305,MATCH(C1221,'GIS-Standards'!$B$2:$B$305,0))</f>
        <v>12</v>
      </c>
      <c r="J1221" t="str">
        <f>INDEX('GIS-Standards'!$O$2:$O$305,MATCH(B1221,'GIS-Standards'!$B$2:$B$305,0))</f>
        <v>ISO/TC 211</v>
      </c>
      <c r="K1221" t="str">
        <f>INDEX('GIS-Standards'!$O$2:$O$305,MATCH(C1221,'GIS-Standards'!$B$2:$B$305,0))</f>
        <v>ISO/TC 211</v>
      </c>
      <c r="M1221" t="s">
        <v>524</v>
      </c>
      <c r="N1221">
        <f>INDEX('GIS-Standards'!$I$2:$I$305,MATCH(B1221,'GIS-Standards'!$B$2:$B$305,0))</f>
        <v>0</v>
      </c>
      <c r="O1221">
        <f>INDEX('GIS-Standards'!$I$2:$I$305,MATCH(C1221,'GIS-Standards'!$B$2:$B$305,0))</f>
        <v>0</v>
      </c>
      <c r="P1221" t="b">
        <f>AND(TableRelationships12[[#This Row],[Source Type]]="BIM",TableRelationships12[[#This Row],[Target Type]]="BIM")</f>
        <v>0</v>
      </c>
      <c r="Q1221">
        <f t="shared" si="57"/>
        <v>6</v>
      </c>
      <c r="S1221">
        <f t="shared" si="58"/>
        <v>1</v>
      </c>
      <c r="T1221" s="102" t="str">
        <f>IF(TableRelationships12[[#This Row],[Rank Pedro]]="Low","linkCategory1",IF(TableRelationships12[[#This Row],[Rank Pedro]]="Medium","linkCategory2",IF(TableRelationships12[[#This Row],[Rank Pedro]]="High","linkCategory3","")))</f>
        <v/>
      </c>
      <c r="U1221" s="102" t="str">
        <f>IF(TableRelationships12[[#This Row],[Rank Pedro]]="Low","Pink",IF(TableRelationships12[[#This Row],[Rank Pedro]]="Medium","Purple",IF(TableRelationships12[[#This Row],[Rank Pedro]]="High","Brown","")))</f>
        <v/>
      </c>
      <c r="V1221" s="4">
        <f>MAX(INDEX(Standards!$F$2:$F$296,MATCH(B1221,Standards!$B$2:$B$296,0)),INDEX(Standards!$F$2:$F$296,MATCH(C1221,Standards!$B$2:$B$296,0)))</f>
        <v>40940</v>
      </c>
      <c r="W1221" t="str">
        <f t="shared" si="59"/>
        <v>#d6bf2a</v>
      </c>
    </row>
    <row r="1222" spans="1:23" x14ac:dyDescent="0.5">
      <c r="A1222" s="54">
        <v>1221</v>
      </c>
      <c r="B1222" s="90" t="s">
        <v>344</v>
      </c>
      <c r="C1222" t="s">
        <v>302</v>
      </c>
      <c r="D1222" s="1"/>
      <c r="E1222" s="112">
        <v>2003.05</v>
      </c>
      <c r="F1222" s="112">
        <v>2019.12</v>
      </c>
      <c r="G1222" s="107" t="s">
        <v>670</v>
      </c>
      <c r="H1222">
        <f>INDEX('GIS-Standards'!$A$2:$A$305,MATCH(B1222,'GIS-Standards'!$B$2:$B$305,0))</f>
        <v>53</v>
      </c>
      <c r="I1222">
        <f>INDEX('GIS-Standards'!$A$2:$A$305,MATCH(C1222,'GIS-Standards'!$B$2:$B$305,0))</f>
        <v>16</v>
      </c>
      <c r="J1222" t="str">
        <f>INDEX('GIS-Standards'!$O$2:$O$305,MATCH(B1222,'GIS-Standards'!$B$2:$B$305,0))</f>
        <v>ISO/TC 211</v>
      </c>
      <c r="K1222" t="str">
        <f>INDEX('GIS-Standards'!$O$2:$O$305,MATCH(C1222,'GIS-Standards'!$B$2:$B$305,0))</f>
        <v>ISO/TC 211</v>
      </c>
      <c r="M1222" t="s">
        <v>524</v>
      </c>
      <c r="N1222">
        <f>INDEX('GIS-Standards'!$I$2:$I$305,MATCH(B1222,'GIS-Standards'!$B$2:$B$305,0))</f>
        <v>0</v>
      </c>
      <c r="O1222">
        <f>INDEX('GIS-Standards'!$I$2:$I$305,MATCH(C1222,'GIS-Standards'!$B$2:$B$305,0))</f>
        <v>0</v>
      </c>
      <c r="P1222" t="b">
        <f>AND(TableRelationships12[[#This Row],[Source Type]]="BIM",TableRelationships12[[#This Row],[Target Type]]="BIM")</f>
        <v>0</v>
      </c>
      <c r="Q1222">
        <f t="shared" si="57"/>
        <v>6</v>
      </c>
      <c r="S1222">
        <f t="shared" si="58"/>
        <v>1</v>
      </c>
      <c r="T1222" s="102" t="str">
        <f>IF(TableRelationships12[[#This Row],[Rank Pedro]]="Low","linkCategory1",IF(TableRelationships12[[#This Row],[Rank Pedro]]="Medium","linkCategory2",IF(TableRelationships12[[#This Row],[Rank Pedro]]="High","linkCategory3","")))</f>
        <v/>
      </c>
      <c r="U1222" s="102" t="str">
        <f>IF(TableRelationships12[[#This Row],[Rank Pedro]]="Low","Pink",IF(TableRelationships12[[#This Row],[Rank Pedro]]="Medium","Purple",IF(TableRelationships12[[#This Row],[Rank Pedro]]="High","Brown","")))</f>
        <v/>
      </c>
      <c r="V1222" s="4">
        <f>MAX(INDEX(Standards!$F$2:$F$296,MATCH(B1222,Standards!$B$2:$B$296,0)),INDEX(Standards!$F$2:$F$296,MATCH(C1222,Standards!$B$2:$B$296,0)))</f>
        <v>40940</v>
      </c>
      <c r="W1222" t="str">
        <f t="shared" si="59"/>
        <v>#d6bf2a</v>
      </c>
    </row>
    <row r="1223" spans="1:23" x14ac:dyDescent="0.5">
      <c r="A1223" s="54">
        <v>1222</v>
      </c>
      <c r="B1223" s="90" t="s">
        <v>344</v>
      </c>
      <c r="C1223" t="s">
        <v>304</v>
      </c>
      <c r="D1223" s="1"/>
      <c r="E1223" s="112">
        <v>2002.09</v>
      </c>
      <c r="F1223" s="112">
        <v>2006.1</v>
      </c>
      <c r="G1223" s="107" t="s">
        <v>670</v>
      </c>
      <c r="H1223">
        <f>INDEX('GIS-Standards'!$A$2:$A$305,MATCH(B1223,'GIS-Standards'!$B$2:$B$305,0))</f>
        <v>53</v>
      </c>
      <c r="I1223">
        <f>INDEX('GIS-Standards'!$A$2:$A$305,MATCH(C1223,'GIS-Standards'!$B$2:$B$305,0))</f>
        <v>17</v>
      </c>
      <c r="J1223" t="str">
        <f>INDEX('GIS-Standards'!$O$2:$O$305,MATCH(B1223,'GIS-Standards'!$B$2:$B$305,0))</f>
        <v>ISO/TC 211</v>
      </c>
      <c r="K1223" t="str">
        <f>INDEX('GIS-Standards'!$O$2:$O$305,MATCH(C1223,'GIS-Standards'!$B$2:$B$305,0))</f>
        <v>ISO/TC 211</v>
      </c>
      <c r="M1223" t="s">
        <v>524</v>
      </c>
      <c r="N1223">
        <f>INDEX('GIS-Standards'!$I$2:$I$305,MATCH(B1223,'GIS-Standards'!$B$2:$B$305,0))</f>
        <v>0</v>
      </c>
      <c r="O1223" t="str">
        <f>INDEX('GIS-Standards'!$I$2:$I$305,MATCH(C1223,'GIS-Standards'!$B$2:$B$305,0))</f>
        <v>06.2008</v>
      </c>
      <c r="P1223" t="b">
        <f>AND(TableRelationships12[[#This Row],[Source Type]]="BIM",TableRelationships12[[#This Row],[Target Type]]="BIM")</f>
        <v>0</v>
      </c>
      <c r="Q1223">
        <f t="shared" si="57"/>
        <v>6</v>
      </c>
      <c r="S1223">
        <f t="shared" si="58"/>
        <v>1</v>
      </c>
      <c r="T1223" s="102" t="str">
        <f>IF(TableRelationships12[[#This Row],[Rank Pedro]]="Low","linkCategory1",IF(TableRelationships12[[#This Row],[Rank Pedro]]="Medium","linkCategory2",IF(TableRelationships12[[#This Row],[Rank Pedro]]="High","linkCategory3","")))</f>
        <v/>
      </c>
      <c r="U1223" s="102" t="str">
        <f>IF(TableRelationships12[[#This Row],[Rank Pedro]]="Low","Pink",IF(TableRelationships12[[#This Row],[Rank Pedro]]="Medium","Purple",IF(TableRelationships12[[#This Row],[Rank Pedro]]="High","Brown","")))</f>
        <v/>
      </c>
      <c r="V1223" s="4">
        <f>MAX(INDEX(Standards!$F$2:$F$296,MATCH(B1223,Standards!$B$2:$B$296,0)),INDEX(Standards!$F$2:$F$296,MATCH(C1223,Standards!$B$2:$B$296,0)))</f>
        <v>40940</v>
      </c>
      <c r="W1223" t="str">
        <f t="shared" si="59"/>
        <v>#d6bf2a</v>
      </c>
    </row>
    <row r="1224" spans="1:23" x14ac:dyDescent="0.5">
      <c r="A1224" s="54">
        <v>1223</v>
      </c>
      <c r="B1224" s="90" t="s">
        <v>344</v>
      </c>
      <c r="C1224" t="s">
        <v>310</v>
      </c>
      <c r="D1224" s="1"/>
      <c r="E1224" s="112">
        <v>2003.02</v>
      </c>
      <c r="F1224" s="112">
        <v>2023.08</v>
      </c>
      <c r="G1224" s="107" t="s">
        <v>670</v>
      </c>
      <c r="H1224">
        <f>INDEX('GIS-Standards'!$A$2:$A$305,MATCH(B1224,'GIS-Standards'!$B$2:$B$305,0))</f>
        <v>53</v>
      </c>
      <c r="I1224">
        <f>INDEX('GIS-Standards'!$A$2:$A$305,MATCH(C1224,'GIS-Standards'!$B$2:$B$305,0))</f>
        <v>20</v>
      </c>
      <c r="J1224" t="str">
        <f>INDEX('GIS-Standards'!$O$2:$O$305,MATCH(B1224,'GIS-Standards'!$B$2:$B$305,0))</f>
        <v>ISO/TC 211</v>
      </c>
      <c r="K1224" t="str">
        <f>INDEX('GIS-Standards'!$O$2:$O$305,MATCH(C1224,'GIS-Standards'!$B$2:$B$305,0))</f>
        <v>ISO/TC 211</v>
      </c>
      <c r="M1224" t="s">
        <v>524</v>
      </c>
      <c r="N1224">
        <f>INDEX('GIS-Standards'!$I$2:$I$305,MATCH(B1224,'GIS-Standards'!$B$2:$B$305,0))</f>
        <v>0</v>
      </c>
      <c r="O1224" t="str">
        <f>INDEX('GIS-Standards'!$I$2:$I$305,MATCH(C1224,'GIS-Standards'!$B$2:$B$305,0))</f>
        <v>08.2023</v>
      </c>
      <c r="P1224" t="b">
        <f>AND(TableRelationships12[[#This Row],[Source Type]]="BIM",TableRelationships12[[#This Row],[Target Type]]="BIM")</f>
        <v>0</v>
      </c>
      <c r="Q1224">
        <f t="shared" si="57"/>
        <v>6</v>
      </c>
      <c r="S1224">
        <f t="shared" si="58"/>
        <v>1</v>
      </c>
      <c r="T1224" s="102" t="str">
        <f>IF(TableRelationships12[[#This Row],[Rank Pedro]]="Low","linkCategory1",IF(TableRelationships12[[#This Row],[Rank Pedro]]="Medium","linkCategory2",IF(TableRelationships12[[#This Row],[Rank Pedro]]="High","linkCategory3","")))</f>
        <v/>
      </c>
      <c r="U1224" s="102" t="str">
        <f>IF(TableRelationships12[[#This Row],[Rank Pedro]]="Low","Pink",IF(TableRelationships12[[#This Row],[Rank Pedro]]="Medium","Purple",IF(TableRelationships12[[#This Row],[Rank Pedro]]="High","Brown","")))</f>
        <v/>
      </c>
      <c r="V1224" s="4">
        <f>MAX(INDEX(Standards!$F$2:$F$296,MATCH(B1224,Standards!$B$2:$B$296,0)),INDEX(Standards!$F$2:$F$296,MATCH(C1224,Standards!$B$2:$B$296,0)))</f>
        <v>40940</v>
      </c>
      <c r="W1224" t="str">
        <f t="shared" si="59"/>
        <v>#d6bf2a</v>
      </c>
    </row>
    <row r="1225" spans="1:23" x14ac:dyDescent="0.5">
      <c r="A1225" s="54">
        <v>1224</v>
      </c>
      <c r="B1225" s="90" t="s">
        <v>344</v>
      </c>
      <c r="C1225" t="s">
        <v>1072</v>
      </c>
      <c r="D1225" s="1" t="s">
        <v>1172</v>
      </c>
      <c r="E1225" s="113">
        <v>2011.07</v>
      </c>
      <c r="F1225" s="113">
        <v>2020.03</v>
      </c>
      <c r="G1225" s="107" t="s">
        <v>1456</v>
      </c>
      <c r="H1225">
        <f>INDEX('GIS-Standards'!$A$2:$A$305,MATCH(B1225,'GIS-Standards'!$B$2:$B$305,0))</f>
        <v>53</v>
      </c>
      <c r="I1225" t="e">
        <f>INDEX('GIS-Standards'!$A$2:$A$305,MATCH(C1225,'GIS-Standards'!$B$2:$B$305,0))</f>
        <v>#N/A</v>
      </c>
      <c r="J1225" t="str">
        <f>INDEX('GIS-Standards'!$O$2:$O$305,MATCH(B1225,'GIS-Standards'!$B$2:$B$305,0))</f>
        <v>ISO/TC 211</v>
      </c>
      <c r="K1225" t="e">
        <f>INDEX('GIS-Standards'!$O$2:$O$305,MATCH(C1225,'GIS-Standards'!$B$2:$B$305,0))</f>
        <v>#N/A</v>
      </c>
      <c r="M1225" t="s">
        <v>525</v>
      </c>
      <c r="N1225">
        <f>INDEX('GIS-Standards'!$I$2:$I$305,MATCH(B1225,'GIS-Standards'!$B$2:$B$305,0))</f>
        <v>0</v>
      </c>
      <c r="O1225" t="e">
        <f>INDEX('GIS-Standards'!$I$2:$I$305,MATCH(C1225,'GIS-Standards'!$B$2:$B$305,0))</f>
        <v>#N/A</v>
      </c>
      <c r="P1225" t="e">
        <f>AND(TableRelationships12[[#This Row],[Source Type]]="BIM",TableRelationships12[[#This Row],[Target Type]]="BIM")</f>
        <v>#N/A</v>
      </c>
      <c r="Q1225">
        <f t="shared" si="57"/>
        <v>1</v>
      </c>
      <c r="S1225">
        <f t="shared" si="58"/>
        <v>1</v>
      </c>
      <c r="T1225" s="102" t="str">
        <f>IF(TableRelationships12[[#This Row],[Rank Pedro]]="Low","linkCategory1",IF(TableRelationships12[[#This Row],[Rank Pedro]]="Medium","linkCategory2",IF(TableRelationships12[[#This Row],[Rank Pedro]]="High","linkCategory3","")))</f>
        <v/>
      </c>
      <c r="U1225" s="102" t="str">
        <f>IF(TableRelationships12[[#This Row],[Rank Pedro]]="Low","Pink",IF(TableRelationships12[[#This Row],[Rank Pedro]]="Medium","Purple",IF(TableRelationships12[[#This Row],[Rank Pedro]]="High","Brown","")))</f>
        <v/>
      </c>
      <c r="V1225" s="4" t="e">
        <f>MAX(INDEX(Standards!$F$2:$F$296,MATCH(B1225,Standards!$B$2:$B$296,0)),INDEX(Standards!$F$2:$F$296,MATCH(C1225,Standards!$B$2:$B$296,0)))</f>
        <v>#N/A</v>
      </c>
      <c r="W1225" t="str">
        <f t="shared" si="59"/>
        <v>#2f89d1</v>
      </c>
    </row>
    <row r="1226" spans="1:23" x14ac:dyDescent="0.5">
      <c r="A1226" s="54">
        <v>1225</v>
      </c>
      <c r="B1226" s="90" t="s">
        <v>344</v>
      </c>
      <c r="C1226" t="s">
        <v>1073</v>
      </c>
      <c r="D1226" s="1" t="s">
        <v>1172</v>
      </c>
      <c r="E1226" s="113">
        <v>2011.07</v>
      </c>
      <c r="F1226" s="113">
        <v>2020.11</v>
      </c>
      <c r="G1226" s="107" t="s">
        <v>1456</v>
      </c>
      <c r="H1226">
        <f>INDEX('GIS-Standards'!$A$2:$A$305,MATCH(B1226,'GIS-Standards'!$B$2:$B$305,0))</f>
        <v>53</v>
      </c>
      <c r="I1226" t="e">
        <f>INDEX('GIS-Standards'!$A$2:$A$305,MATCH(C1226,'GIS-Standards'!$B$2:$B$305,0))</f>
        <v>#N/A</v>
      </c>
      <c r="J1226" t="str">
        <f>INDEX('GIS-Standards'!$O$2:$O$305,MATCH(B1226,'GIS-Standards'!$B$2:$B$305,0))</f>
        <v>ISO/TC 211</v>
      </c>
      <c r="K1226" t="e">
        <f>INDEX('GIS-Standards'!$O$2:$O$305,MATCH(C1226,'GIS-Standards'!$B$2:$B$305,0))</f>
        <v>#N/A</v>
      </c>
      <c r="M1226" t="s">
        <v>525</v>
      </c>
      <c r="N1226">
        <f>INDEX('GIS-Standards'!$I$2:$I$305,MATCH(B1226,'GIS-Standards'!$B$2:$B$305,0))</f>
        <v>0</v>
      </c>
      <c r="O1226" t="e">
        <f>INDEX('GIS-Standards'!$I$2:$I$305,MATCH(C1226,'GIS-Standards'!$B$2:$B$305,0))</f>
        <v>#N/A</v>
      </c>
      <c r="P1226" t="e">
        <f>AND(TableRelationships12[[#This Row],[Source Type]]="BIM",TableRelationships12[[#This Row],[Target Type]]="BIM")</f>
        <v>#N/A</v>
      </c>
      <c r="Q1226">
        <f t="shared" si="57"/>
        <v>1</v>
      </c>
      <c r="S1226">
        <f t="shared" si="58"/>
        <v>1</v>
      </c>
      <c r="T1226" s="102" t="str">
        <f>IF(TableRelationships12[[#This Row],[Rank Pedro]]="Low","linkCategory1",IF(TableRelationships12[[#This Row],[Rank Pedro]]="Medium","linkCategory2",IF(TableRelationships12[[#This Row],[Rank Pedro]]="High","linkCategory3","")))</f>
        <v/>
      </c>
      <c r="U1226" s="102" t="str">
        <f>IF(TableRelationships12[[#This Row],[Rank Pedro]]="Low","Pink",IF(TableRelationships12[[#This Row],[Rank Pedro]]="Medium","Purple",IF(TableRelationships12[[#This Row],[Rank Pedro]]="High","Brown","")))</f>
        <v/>
      </c>
      <c r="V1226" s="4" t="e">
        <f>MAX(INDEX(Standards!$F$2:$F$296,MATCH(B1226,Standards!$B$2:$B$296,0)),INDEX(Standards!$F$2:$F$296,MATCH(C1226,Standards!$B$2:$B$296,0)))</f>
        <v>#N/A</v>
      </c>
      <c r="W1226" t="str">
        <f t="shared" si="59"/>
        <v>#2f89d1</v>
      </c>
    </row>
    <row r="1227" spans="1:23" x14ac:dyDescent="0.5">
      <c r="A1227" s="54">
        <v>1226</v>
      </c>
      <c r="B1227" s="90" t="s">
        <v>344</v>
      </c>
      <c r="C1227" t="s">
        <v>293</v>
      </c>
      <c r="D1227" s="1"/>
      <c r="E1227" s="112">
        <v>2002.07</v>
      </c>
      <c r="F1227" s="112">
        <v>2014.11</v>
      </c>
      <c r="G1227" s="107" t="s">
        <v>670</v>
      </c>
      <c r="H1227">
        <f>INDEX('GIS-Standards'!$A$2:$A$305,MATCH(B1227,'GIS-Standards'!$B$2:$B$305,0))</f>
        <v>53</v>
      </c>
      <c r="I1227">
        <f>INDEX('GIS-Standards'!$A$2:$A$305,MATCH(C1227,'GIS-Standards'!$B$2:$B$305,0))</f>
        <v>10</v>
      </c>
      <c r="J1227" t="str">
        <f>INDEX('GIS-Standards'!$O$2:$O$305,MATCH(B1227,'GIS-Standards'!$B$2:$B$305,0))</f>
        <v>ISO/TC 211</v>
      </c>
      <c r="K1227" t="str">
        <f>INDEX('GIS-Standards'!$O$2:$O$305,MATCH(C1227,'GIS-Standards'!$B$2:$B$305,0))</f>
        <v>ISO/TC 211</v>
      </c>
      <c r="M1227" t="s">
        <v>525</v>
      </c>
      <c r="N1227">
        <f>INDEX('GIS-Standards'!$I$2:$I$305,MATCH(B1227,'GIS-Standards'!$B$2:$B$305,0))</f>
        <v>0</v>
      </c>
      <c r="O1227">
        <f>INDEX('GIS-Standards'!$I$2:$I$305,MATCH(C1227,'GIS-Standards'!$B$2:$B$305,0))</f>
        <v>0</v>
      </c>
      <c r="P1227" t="b">
        <f>AND(TableRelationships12[[#This Row],[Source Type]]="BIM",TableRelationships12[[#This Row],[Target Type]]="BIM")</f>
        <v>0</v>
      </c>
      <c r="Q1227">
        <f t="shared" si="57"/>
        <v>1</v>
      </c>
      <c r="S1227">
        <f t="shared" si="58"/>
        <v>1</v>
      </c>
      <c r="T1227" s="102" t="str">
        <f>IF(TableRelationships12[[#This Row],[Rank Pedro]]="Low","linkCategory1",IF(TableRelationships12[[#This Row],[Rank Pedro]]="Medium","linkCategory2",IF(TableRelationships12[[#This Row],[Rank Pedro]]="High","linkCategory3","")))</f>
        <v/>
      </c>
      <c r="U1227" s="102" t="str">
        <f>IF(TableRelationships12[[#This Row],[Rank Pedro]]="Low","Pink",IF(TableRelationships12[[#This Row],[Rank Pedro]]="Medium","Purple",IF(TableRelationships12[[#This Row],[Rank Pedro]]="High","Brown","")))</f>
        <v/>
      </c>
      <c r="V1227" s="4">
        <f>MAX(INDEX(Standards!$F$2:$F$296,MATCH(B1227,Standards!$B$2:$B$296,0)),INDEX(Standards!$F$2:$F$296,MATCH(C1227,Standards!$B$2:$B$296,0)))</f>
        <v>40940</v>
      </c>
      <c r="W1227" t="str">
        <f t="shared" si="59"/>
        <v>#2f89d1</v>
      </c>
    </row>
    <row r="1228" spans="1:23" x14ac:dyDescent="0.5">
      <c r="A1228" s="54">
        <v>1227</v>
      </c>
      <c r="B1228" s="90" t="s">
        <v>344</v>
      </c>
      <c r="C1228" t="s">
        <v>306</v>
      </c>
      <c r="D1228" s="1"/>
      <c r="E1228" s="112">
        <v>2005.06</v>
      </c>
      <c r="F1228" s="112">
        <v>2025.07</v>
      </c>
      <c r="G1228" s="107" t="s">
        <v>670</v>
      </c>
      <c r="H1228">
        <f>INDEX('GIS-Standards'!$A$2:$A$305,MATCH(B1228,'GIS-Standards'!$B$2:$B$305,0))</f>
        <v>53</v>
      </c>
      <c r="I1228">
        <f>INDEX('GIS-Standards'!$A$2:$A$305,MATCH(C1228,'GIS-Standards'!$B$2:$B$305,0))</f>
        <v>18</v>
      </c>
      <c r="J1228" t="str">
        <f>INDEX('GIS-Standards'!$O$2:$O$305,MATCH(B1228,'GIS-Standards'!$B$2:$B$305,0))</f>
        <v>ISO/TC 211</v>
      </c>
      <c r="K1228" t="str">
        <f>INDEX('GIS-Standards'!$O$2:$O$305,MATCH(C1228,'GIS-Standards'!$B$2:$B$305,0))</f>
        <v>ISO/TC 211</v>
      </c>
      <c r="M1228" t="s">
        <v>525</v>
      </c>
      <c r="N1228">
        <f>INDEX('GIS-Standards'!$I$2:$I$305,MATCH(B1228,'GIS-Standards'!$B$2:$B$305,0))</f>
        <v>0</v>
      </c>
      <c r="O1228">
        <f>INDEX('GIS-Standards'!$I$2:$I$305,MATCH(C1228,'GIS-Standards'!$B$2:$B$305,0))</f>
        <v>0</v>
      </c>
      <c r="P1228" t="b">
        <f>AND(TableRelationships12[[#This Row],[Source Type]]="BIM",TableRelationships12[[#This Row],[Target Type]]="BIM")</f>
        <v>0</v>
      </c>
      <c r="Q1228">
        <f t="shared" si="57"/>
        <v>1</v>
      </c>
      <c r="S1228">
        <f t="shared" si="58"/>
        <v>1</v>
      </c>
      <c r="T1228" s="102" t="str">
        <f>IF(TableRelationships12[[#This Row],[Rank Pedro]]="Low","linkCategory1",IF(TableRelationships12[[#This Row],[Rank Pedro]]="Medium","linkCategory2",IF(TableRelationships12[[#This Row],[Rank Pedro]]="High","linkCategory3","")))</f>
        <v/>
      </c>
      <c r="U1228" s="102" t="str">
        <f>IF(TableRelationships12[[#This Row],[Rank Pedro]]="Low","Pink",IF(TableRelationships12[[#This Row],[Rank Pedro]]="Medium","Purple",IF(TableRelationships12[[#This Row],[Rank Pedro]]="High","Brown","")))</f>
        <v/>
      </c>
      <c r="V1228" s="4">
        <f>MAX(INDEX(Standards!$F$2:$F$296,MATCH(B1228,Standards!$B$2:$B$296,0)),INDEX(Standards!$F$2:$F$296,MATCH(C1228,Standards!$B$2:$B$296,0)))</f>
        <v>40940</v>
      </c>
      <c r="W1228" t="str">
        <f t="shared" si="59"/>
        <v>#2f89d1</v>
      </c>
    </row>
    <row r="1229" spans="1:23" x14ac:dyDescent="0.5">
      <c r="A1229" s="54">
        <v>1228</v>
      </c>
      <c r="B1229" s="90" t="s">
        <v>344</v>
      </c>
      <c r="C1229" t="s">
        <v>312</v>
      </c>
      <c r="D1229" s="1"/>
      <c r="E1229" s="112">
        <v>2003.1</v>
      </c>
      <c r="F1229" s="112">
        <v>2019.02</v>
      </c>
      <c r="G1229" s="107" t="s">
        <v>670</v>
      </c>
      <c r="H1229">
        <f>INDEX('GIS-Standards'!$A$2:$A$305,MATCH(B1229,'GIS-Standards'!$B$2:$B$305,0))</f>
        <v>53</v>
      </c>
      <c r="I1229">
        <f>INDEX('GIS-Standards'!$A$2:$A$305,MATCH(C1229,'GIS-Standards'!$B$2:$B$305,0))</f>
        <v>21</v>
      </c>
      <c r="J1229" t="str">
        <f>INDEX('GIS-Standards'!$O$2:$O$305,MATCH(B1229,'GIS-Standards'!$B$2:$B$305,0))</f>
        <v>ISO/TC 211</v>
      </c>
      <c r="K1229" t="str">
        <f>INDEX('GIS-Standards'!$O$2:$O$305,MATCH(C1229,'GIS-Standards'!$B$2:$B$305,0))</f>
        <v>ISO/TC 211</v>
      </c>
      <c r="M1229" t="s">
        <v>525</v>
      </c>
      <c r="N1229">
        <f>INDEX('GIS-Standards'!$I$2:$I$305,MATCH(B1229,'GIS-Standards'!$B$2:$B$305,0))</f>
        <v>0</v>
      </c>
      <c r="O1229">
        <f>INDEX('GIS-Standards'!$I$2:$I$305,MATCH(C1229,'GIS-Standards'!$B$2:$B$305,0))</f>
        <v>0</v>
      </c>
      <c r="P1229" t="b">
        <f>AND(TableRelationships12[[#This Row],[Source Type]]="BIM",TableRelationships12[[#This Row],[Target Type]]="BIM")</f>
        <v>0</v>
      </c>
      <c r="Q1229">
        <f t="shared" si="57"/>
        <v>1</v>
      </c>
      <c r="S1229">
        <f t="shared" si="58"/>
        <v>1</v>
      </c>
      <c r="T1229" s="102" t="str">
        <f>IF(TableRelationships12[[#This Row],[Rank Pedro]]="Low","linkCategory1",IF(TableRelationships12[[#This Row],[Rank Pedro]]="Medium","linkCategory2",IF(TableRelationships12[[#This Row],[Rank Pedro]]="High","linkCategory3","")))</f>
        <v/>
      </c>
      <c r="U1229" s="102" t="str">
        <f>IF(TableRelationships12[[#This Row],[Rank Pedro]]="Low","Pink",IF(TableRelationships12[[#This Row],[Rank Pedro]]="Medium","Purple",IF(TableRelationships12[[#This Row],[Rank Pedro]]="High","Brown","")))</f>
        <v/>
      </c>
      <c r="V1229" s="4">
        <f>MAX(INDEX(Standards!$F$2:$F$296,MATCH(B1229,Standards!$B$2:$B$296,0)),INDEX(Standards!$F$2:$F$296,MATCH(C1229,Standards!$B$2:$B$296,0)))</f>
        <v>40940</v>
      </c>
      <c r="W1229" t="str">
        <f t="shared" si="59"/>
        <v>#2f89d1</v>
      </c>
    </row>
    <row r="1230" spans="1:23" x14ac:dyDescent="0.5">
      <c r="A1230" s="54">
        <v>1229</v>
      </c>
      <c r="B1230" s="90" t="s">
        <v>344</v>
      </c>
      <c r="C1230" t="s">
        <v>316</v>
      </c>
      <c r="D1230" s="1"/>
      <c r="E1230" s="112">
        <v>2005.07</v>
      </c>
      <c r="F1230" s="112">
        <v>2011.1</v>
      </c>
      <c r="G1230" s="107" t="s">
        <v>670</v>
      </c>
      <c r="H1230">
        <f>INDEX('GIS-Standards'!$A$2:$A$305,MATCH(B1230,'GIS-Standards'!$B$2:$B$305,0))</f>
        <v>53</v>
      </c>
      <c r="I1230">
        <f>INDEX('GIS-Standards'!$A$2:$A$305,MATCH(C1230,'GIS-Standards'!$B$2:$B$305,0))</f>
        <v>27</v>
      </c>
      <c r="J1230" t="str">
        <f>INDEX('GIS-Standards'!$O$2:$O$305,MATCH(B1230,'GIS-Standards'!$B$2:$B$305,0))</f>
        <v>ISO/TC 211</v>
      </c>
      <c r="K1230" t="str">
        <f>INDEX('GIS-Standards'!$O$2:$O$305,MATCH(C1230,'GIS-Standards'!$B$2:$B$305,0))</f>
        <v>ISO/TC 211</v>
      </c>
      <c r="M1230" t="s">
        <v>525</v>
      </c>
      <c r="N1230">
        <f>INDEX('GIS-Standards'!$I$2:$I$305,MATCH(B1230,'GIS-Standards'!$B$2:$B$305,0))</f>
        <v>0</v>
      </c>
      <c r="O1230">
        <f>INDEX('GIS-Standards'!$I$2:$I$305,MATCH(C1230,'GIS-Standards'!$B$2:$B$305,0))</f>
        <v>0</v>
      </c>
      <c r="P1230" t="b">
        <f>AND(TableRelationships12[[#This Row],[Source Type]]="BIM",TableRelationships12[[#This Row],[Target Type]]="BIM")</f>
        <v>0</v>
      </c>
      <c r="Q1230">
        <f t="shared" si="57"/>
        <v>1</v>
      </c>
      <c r="S1230">
        <f t="shared" si="58"/>
        <v>1</v>
      </c>
      <c r="T1230" s="102" t="str">
        <f>IF(TableRelationships12[[#This Row],[Rank Pedro]]="Low","linkCategory1",IF(TableRelationships12[[#This Row],[Rank Pedro]]="Medium","linkCategory2",IF(TableRelationships12[[#This Row],[Rank Pedro]]="High","linkCategory3","")))</f>
        <v/>
      </c>
      <c r="U1230" s="102" t="str">
        <f>IF(TableRelationships12[[#This Row],[Rank Pedro]]="Low","Pink",IF(TableRelationships12[[#This Row],[Rank Pedro]]="Medium","Purple",IF(TableRelationships12[[#This Row],[Rank Pedro]]="High","Brown","")))</f>
        <v/>
      </c>
      <c r="V1230" s="4">
        <f>MAX(INDEX(Standards!$F$2:$F$296,MATCH(B1230,Standards!$B$2:$B$296,0)),INDEX(Standards!$F$2:$F$296,MATCH(C1230,Standards!$B$2:$B$296,0)))</f>
        <v>40940</v>
      </c>
      <c r="W1230" t="str">
        <f t="shared" si="59"/>
        <v>#2f89d1</v>
      </c>
    </row>
    <row r="1231" spans="1:23" x14ac:dyDescent="0.5">
      <c r="A1231" s="54">
        <v>1230</v>
      </c>
      <c r="B1231" s="90" t="s">
        <v>344</v>
      </c>
      <c r="C1231" t="s">
        <v>320</v>
      </c>
      <c r="D1231" s="1" t="s">
        <v>1100</v>
      </c>
      <c r="E1231" s="112">
        <v>2005.08</v>
      </c>
      <c r="F1231" s="112">
        <v>2023.06</v>
      </c>
      <c r="G1231" s="107" t="s">
        <v>670</v>
      </c>
      <c r="H1231">
        <f>INDEX('GIS-Standards'!$A$2:$A$305,MATCH(B1231,'GIS-Standards'!$B$2:$B$305,0))</f>
        <v>53</v>
      </c>
      <c r="I1231">
        <f>INDEX('GIS-Standards'!$A$2:$A$305,MATCH(C1231,'GIS-Standards'!$B$2:$B$305,0))</f>
        <v>29</v>
      </c>
      <c r="J1231" t="str">
        <f>INDEX('GIS-Standards'!$O$2:$O$305,MATCH(B1231,'GIS-Standards'!$B$2:$B$305,0))</f>
        <v>ISO/TC 211</v>
      </c>
      <c r="K1231" t="str">
        <f>INDEX('GIS-Standards'!$O$2:$O$305,MATCH(C1231,'GIS-Standards'!$B$2:$B$305,0))</f>
        <v>ISO/TC 211</v>
      </c>
      <c r="M1231" t="s">
        <v>525</v>
      </c>
      <c r="N1231">
        <f>INDEX('GIS-Standards'!$I$2:$I$305,MATCH(B1231,'GIS-Standards'!$B$2:$B$305,0))</f>
        <v>0</v>
      </c>
      <c r="O1231">
        <f>INDEX('GIS-Standards'!$I$2:$I$305,MATCH(C1231,'GIS-Standards'!$B$2:$B$305,0))</f>
        <v>0</v>
      </c>
      <c r="P1231" t="b">
        <f>AND(TableRelationships12[[#This Row],[Source Type]]="BIM",TableRelationships12[[#This Row],[Target Type]]="BIM")</f>
        <v>0</v>
      </c>
      <c r="Q1231">
        <f t="shared" si="57"/>
        <v>1</v>
      </c>
      <c r="S1231">
        <f t="shared" si="58"/>
        <v>1</v>
      </c>
      <c r="T1231" s="102" t="str">
        <f>IF(TableRelationships12[[#This Row],[Rank Pedro]]="Low","linkCategory1",IF(TableRelationships12[[#This Row],[Rank Pedro]]="Medium","linkCategory2",IF(TableRelationships12[[#This Row],[Rank Pedro]]="High","linkCategory3","")))</f>
        <v/>
      </c>
      <c r="U1231" s="102" t="str">
        <f>IF(TableRelationships12[[#This Row],[Rank Pedro]]="Low","Pink",IF(TableRelationships12[[#This Row],[Rank Pedro]]="Medium","Purple",IF(TableRelationships12[[#This Row],[Rank Pedro]]="High","Brown","")))</f>
        <v/>
      </c>
      <c r="V1231" s="4">
        <f>MAX(INDEX(Standards!$F$2:$F$296,MATCH(B1231,Standards!$B$2:$B$296,0)),INDEX(Standards!$F$2:$F$296,MATCH(C1231,Standards!$B$2:$B$296,0)))</f>
        <v>40940</v>
      </c>
      <c r="W1231" t="str">
        <f t="shared" si="59"/>
        <v>#2f89d1</v>
      </c>
    </row>
    <row r="1232" spans="1:23" x14ac:dyDescent="0.5">
      <c r="A1232" s="54">
        <v>1231</v>
      </c>
      <c r="B1232" s="90" t="s">
        <v>344</v>
      </c>
      <c r="C1232" t="s">
        <v>332</v>
      </c>
      <c r="D1232" s="1"/>
      <c r="E1232" s="112">
        <v>2005.1</v>
      </c>
      <c r="F1232" s="112">
        <v>2005.1</v>
      </c>
      <c r="G1232" s="107" t="s">
        <v>670</v>
      </c>
      <c r="H1232">
        <f>INDEX('GIS-Standards'!$A$2:$A$305,MATCH(B1232,'GIS-Standards'!$B$2:$B$305,0))</f>
        <v>53</v>
      </c>
      <c r="I1232">
        <f>INDEX('GIS-Standards'!$A$2:$A$305,MATCH(C1232,'GIS-Standards'!$B$2:$B$305,0))</f>
        <v>39</v>
      </c>
      <c r="J1232" t="str">
        <f>INDEX('GIS-Standards'!$O$2:$O$305,MATCH(B1232,'GIS-Standards'!$B$2:$B$305,0))</f>
        <v>ISO/TC 211</v>
      </c>
      <c r="K1232" t="str">
        <f>INDEX('GIS-Standards'!$O$2:$O$305,MATCH(C1232,'GIS-Standards'!$B$2:$B$305,0))</f>
        <v>ISO/TC 211</v>
      </c>
      <c r="M1232" t="s">
        <v>525</v>
      </c>
      <c r="N1232">
        <f>INDEX('GIS-Standards'!$I$2:$I$305,MATCH(B1232,'GIS-Standards'!$B$2:$B$305,0))</f>
        <v>0</v>
      </c>
      <c r="O1232">
        <f>INDEX('GIS-Standards'!$I$2:$I$305,MATCH(C1232,'GIS-Standards'!$B$2:$B$305,0))</f>
        <v>0</v>
      </c>
      <c r="P1232" t="b">
        <f>AND(TableRelationships12[[#This Row],[Source Type]]="BIM",TableRelationships12[[#This Row],[Target Type]]="BIM")</f>
        <v>0</v>
      </c>
      <c r="Q1232">
        <f t="shared" si="57"/>
        <v>1</v>
      </c>
      <c r="S1232">
        <f t="shared" si="58"/>
        <v>1</v>
      </c>
      <c r="T1232" s="102" t="str">
        <f>IF(TableRelationships12[[#This Row],[Rank Pedro]]="Low","linkCategory1",IF(TableRelationships12[[#This Row],[Rank Pedro]]="Medium","linkCategory2",IF(TableRelationships12[[#This Row],[Rank Pedro]]="High","linkCategory3","")))</f>
        <v/>
      </c>
      <c r="U1232" s="102" t="str">
        <f>IF(TableRelationships12[[#This Row],[Rank Pedro]]="Low","Pink",IF(TableRelationships12[[#This Row],[Rank Pedro]]="Medium","Purple",IF(TableRelationships12[[#This Row],[Rank Pedro]]="High","Brown","")))</f>
        <v/>
      </c>
      <c r="V1232" s="4">
        <f>MAX(INDEX(Standards!$F$2:$F$296,MATCH(B1232,Standards!$B$2:$B$296,0)),INDEX(Standards!$F$2:$F$296,MATCH(C1232,Standards!$B$2:$B$296,0)))</f>
        <v>40940</v>
      </c>
      <c r="W1232" t="str">
        <f t="shared" si="59"/>
        <v>#2f89d1</v>
      </c>
    </row>
    <row r="1233" spans="1:23" x14ac:dyDescent="0.5">
      <c r="A1233" s="54">
        <v>1232</v>
      </c>
      <c r="B1233" s="90" t="s">
        <v>344</v>
      </c>
      <c r="C1233" t="s">
        <v>334</v>
      </c>
      <c r="D1233" s="1"/>
      <c r="E1233" s="113">
        <v>2007.09</v>
      </c>
      <c r="F1233" s="113">
        <v>2020.01</v>
      </c>
      <c r="G1233" s="107" t="s">
        <v>670</v>
      </c>
      <c r="H1233">
        <f>INDEX('GIS-Standards'!$A$2:$A$305,MATCH(B1233,'GIS-Standards'!$B$2:$B$305,0))</f>
        <v>53</v>
      </c>
      <c r="I1233">
        <f>INDEX('GIS-Standards'!$A$2:$A$305,MATCH(C1233,'GIS-Standards'!$B$2:$B$305,0))</f>
        <v>42</v>
      </c>
      <c r="J1233" t="str">
        <f>INDEX('GIS-Standards'!$O$2:$O$305,MATCH(B1233,'GIS-Standards'!$B$2:$B$305,0))</f>
        <v>ISO/TC 211</v>
      </c>
      <c r="K1233" t="str">
        <f>INDEX('GIS-Standards'!$O$2:$O$305,MATCH(C1233,'GIS-Standards'!$B$2:$B$305,0))</f>
        <v>ISO/TC 211</v>
      </c>
      <c r="M1233" t="s">
        <v>525</v>
      </c>
      <c r="N1233">
        <f>INDEX('GIS-Standards'!$I$2:$I$305,MATCH(B1233,'GIS-Standards'!$B$2:$B$305,0))</f>
        <v>0</v>
      </c>
      <c r="O1233">
        <f>INDEX('GIS-Standards'!$I$2:$I$305,MATCH(C1233,'GIS-Standards'!$B$2:$B$305,0))</f>
        <v>0</v>
      </c>
      <c r="P1233" t="b">
        <f>AND(TableRelationships12[[#This Row],[Source Type]]="BIM",TableRelationships12[[#This Row],[Target Type]]="BIM")</f>
        <v>0</v>
      </c>
      <c r="Q1233">
        <f t="shared" si="57"/>
        <v>1</v>
      </c>
      <c r="S1233">
        <f t="shared" si="58"/>
        <v>1</v>
      </c>
      <c r="T1233" s="102" t="str">
        <f>IF(TableRelationships12[[#This Row],[Rank Pedro]]="Low","linkCategory1",IF(TableRelationships12[[#This Row],[Rank Pedro]]="Medium","linkCategory2",IF(TableRelationships12[[#This Row],[Rank Pedro]]="High","linkCategory3","")))</f>
        <v/>
      </c>
      <c r="U1233" s="102" t="str">
        <f>IF(TableRelationships12[[#This Row],[Rank Pedro]]="Low","Pink",IF(TableRelationships12[[#This Row],[Rank Pedro]]="Medium","Purple",IF(TableRelationships12[[#This Row],[Rank Pedro]]="High","Brown","")))</f>
        <v/>
      </c>
      <c r="V1233" s="4">
        <f>MAX(INDEX(Standards!$F$2:$F$296,MATCH(B1233,Standards!$B$2:$B$296,0)),INDEX(Standards!$F$2:$F$296,MATCH(C1233,Standards!$B$2:$B$296,0)))</f>
        <v>40940</v>
      </c>
      <c r="W1233" t="str">
        <f t="shared" si="59"/>
        <v>#2f89d1</v>
      </c>
    </row>
    <row r="1234" spans="1:23" x14ac:dyDescent="0.5">
      <c r="A1234" s="54">
        <v>1233</v>
      </c>
      <c r="B1234" s="90" t="s">
        <v>344</v>
      </c>
      <c r="C1234" t="s">
        <v>338</v>
      </c>
      <c r="D1234" s="1"/>
      <c r="E1234" s="112">
        <v>2008.06</v>
      </c>
      <c r="F1234" s="112">
        <v>2008.06</v>
      </c>
      <c r="G1234" s="107" t="s">
        <v>670</v>
      </c>
      <c r="H1234">
        <f>INDEX('GIS-Standards'!$A$2:$A$305,MATCH(B1234,'GIS-Standards'!$B$2:$B$305,0))</f>
        <v>53</v>
      </c>
      <c r="I1234">
        <f>INDEX('GIS-Standards'!$A$2:$A$305,MATCH(C1234,'GIS-Standards'!$B$2:$B$305,0))</f>
        <v>45</v>
      </c>
      <c r="J1234" t="str">
        <f>INDEX('GIS-Standards'!$O$2:$O$305,MATCH(B1234,'GIS-Standards'!$B$2:$B$305,0))</f>
        <v>ISO/TC 211</v>
      </c>
      <c r="K1234" t="str">
        <f>INDEX('GIS-Standards'!$O$2:$O$305,MATCH(C1234,'GIS-Standards'!$B$2:$B$305,0))</f>
        <v>ISO/TC 211</v>
      </c>
      <c r="M1234" t="s">
        <v>525</v>
      </c>
      <c r="N1234">
        <f>INDEX('GIS-Standards'!$I$2:$I$305,MATCH(B1234,'GIS-Standards'!$B$2:$B$305,0))</f>
        <v>0</v>
      </c>
      <c r="O1234">
        <f>INDEX('GIS-Standards'!$I$2:$I$305,MATCH(C1234,'GIS-Standards'!$B$2:$B$305,0))</f>
        <v>0</v>
      </c>
      <c r="P1234" t="b">
        <f>AND(TableRelationships12[[#This Row],[Source Type]]="BIM",TableRelationships12[[#This Row],[Target Type]]="BIM")</f>
        <v>0</v>
      </c>
      <c r="Q1234">
        <f t="shared" si="57"/>
        <v>1</v>
      </c>
      <c r="S1234">
        <f t="shared" si="58"/>
        <v>1</v>
      </c>
      <c r="T1234" s="102" t="str">
        <f>IF(TableRelationships12[[#This Row],[Rank Pedro]]="Low","linkCategory1",IF(TableRelationships12[[#This Row],[Rank Pedro]]="Medium","linkCategory2",IF(TableRelationships12[[#This Row],[Rank Pedro]]="High","linkCategory3","")))</f>
        <v/>
      </c>
      <c r="U1234" s="102" t="str">
        <f>IF(TableRelationships12[[#This Row],[Rank Pedro]]="Low","Pink",IF(TableRelationships12[[#This Row],[Rank Pedro]]="Medium","Purple",IF(TableRelationships12[[#This Row],[Rank Pedro]]="High","Brown","")))</f>
        <v/>
      </c>
      <c r="V1234" s="4">
        <f>MAX(INDEX(Standards!$F$2:$F$296,MATCH(B1234,Standards!$B$2:$B$296,0)),INDEX(Standards!$F$2:$F$296,MATCH(C1234,Standards!$B$2:$B$296,0)))</f>
        <v>40940</v>
      </c>
      <c r="W1234" t="str">
        <f t="shared" si="59"/>
        <v>#2f89d1</v>
      </c>
    </row>
    <row r="1235" spans="1:23" x14ac:dyDescent="0.5">
      <c r="A1235" s="54">
        <v>1234</v>
      </c>
      <c r="B1235" s="90" t="s">
        <v>344</v>
      </c>
      <c r="C1235" t="s">
        <v>1204</v>
      </c>
      <c r="D1235" s="1"/>
      <c r="G1235" s="107"/>
      <c r="H1235">
        <f>INDEX('GIS-Standards'!$A$2:$A$305,MATCH(B1235,'GIS-Standards'!$B$2:$B$305,0))</f>
        <v>53</v>
      </c>
      <c r="I1235" t="e">
        <f>INDEX('GIS-Standards'!$A$2:$A$305,MATCH(C1235,'GIS-Standards'!$B$2:$B$305,0))</f>
        <v>#N/A</v>
      </c>
      <c r="J1235" t="str">
        <f>INDEX('GIS-Standards'!$O$2:$O$305,MATCH(B1235,'GIS-Standards'!$B$2:$B$305,0))</f>
        <v>ISO/TC 211</v>
      </c>
      <c r="K1235" t="e">
        <f>INDEX('GIS-Standards'!$O$2:$O$305,MATCH(C1235,'GIS-Standards'!$B$2:$B$305,0))</f>
        <v>#N/A</v>
      </c>
      <c r="M1235" t="s">
        <v>525</v>
      </c>
      <c r="N1235">
        <f>INDEX('GIS-Standards'!$I$2:$I$305,MATCH(B1235,'GIS-Standards'!$B$2:$B$305,0))</f>
        <v>0</v>
      </c>
      <c r="O1235" t="e">
        <f>INDEX('GIS-Standards'!$I$2:$I$305,MATCH(C1235,'GIS-Standards'!$B$2:$B$305,0))</f>
        <v>#N/A</v>
      </c>
      <c r="P1235" t="e">
        <f>AND(TableRelationships12[[#This Row],[Source Type]]="BIM",TableRelationships12[[#This Row],[Target Type]]="BIM")</f>
        <v>#N/A</v>
      </c>
      <c r="Q1235">
        <f t="shared" si="57"/>
        <v>1</v>
      </c>
      <c r="S1235">
        <f t="shared" si="58"/>
        <v>1</v>
      </c>
      <c r="T1235" s="102" t="str">
        <f>IF(TableRelationships12[[#This Row],[Rank Pedro]]="Low","linkCategory1",IF(TableRelationships12[[#This Row],[Rank Pedro]]="Medium","linkCategory2",IF(TableRelationships12[[#This Row],[Rank Pedro]]="High","linkCategory3","")))</f>
        <v/>
      </c>
      <c r="U1235" s="102" t="str">
        <f>IF(TableRelationships12[[#This Row],[Rank Pedro]]="Low","Pink",IF(TableRelationships12[[#This Row],[Rank Pedro]]="Medium","Purple",IF(TableRelationships12[[#This Row],[Rank Pedro]]="High","Brown","")))</f>
        <v/>
      </c>
      <c r="V1235" s="4" t="e">
        <f>MAX(INDEX(Standards!$F$2:$F$296,MATCH(B1235,Standards!$B$2:$B$296,0)),INDEX(Standards!$F$2:$F$296,MATCH(C1235,Standards!$B$2:$B$296,0)))</f>
        <v>#N/A</v>
      </c>
      <c r="W1235" t="str">
        <f t="shared" si="59"/>
        <v>#2f89d1</v>
      </c>
    </row>
    <row r="1236" spans="1:23" x14ac:dyDescent="0.5">
      <c r="A1236" s="54">
        <v>1235</v>
      </c>
      <c r="B1236" s="90" t="s">
        <v>344</v>
      </c>
      <c r="C1236" t="s">
        <v>1537</v>
      </c>
      <c r="D1236" s="1"/>
      <c r="G1236" s="107"/>
      <c r="H1236">
        <f>INDEX('GIS-Standards'!$A$2:$A$305,MATCH(B1236,'GIS-Standards'!$B$2:$B$305,0))</f>
        <v>53</v>
      </c>
      <c r="I1236" t="e">
        <f>INDEX('GIS-Standards'!$A$2:$A$305,MATCH(C1236,'GIS-Standards'!$B$2:$B$305,0))</f>
        <v>#N/A</v>
      </c>
      <c r="J1236" t="str">
        <f>INDEX('GIS-Standards'!$O$2:$O$305,MATCH(B1236,'GIS-Standards'!$B$2:$B$305,0))</f>
        <v>ISO/TC 211</v>
      </c>
      <c r="K1236" t="e">
        <f>INDEX('GIS-Standards'!$O$2:$O$305,MATCH(C1236,'GIS-Standards'!$B$2:$B$305,0))</f>
        <v>#N/A</v>
      </c>
      <c r="M1236" t="s">
        <v>525</v>
      </c>
      <c r="N1236">
        <f>INDEX('GIS-Standards'!$I$2:$I$305,MATCH(B1236,'GIS-Standards'!$B$2:$B$305,0))</f>
        <v>0</v>
      </c>
      <c r="O1236" t="e">
        <f>INDEX('GIS-Standards'!$I$2:$I$305,MATCH(C1236,'GIS-Standards'!$B$2:$B$305,0))</f>
        <v>#N/A</v>
      </c>
      <c r="P1236" t="e">
        <f>AND(TableRelationships12[[#This Row],[Source Type]]="BIM",TableRelationships12[[#This Row],[Target Type]]="BIM")</f>
        <v>#N/A</v>
      </c>
      <c r="Q1236">
        <f t="shared" si="57"/>
        <v>1</v>
      </c>
      <c r="S1236">
        <f t="shared" si="58"/>
        <v>1</v>
      </c>
      <c r="T1236" s="102" t="str">
        <f>IF(TableRelationships12[[#This Row],[Rank Pedro]]="Low","linkCategory1",IF(TableRelationships12[[#This Row],[Rank Pedro]]="Medium","linkCategory2",IF(TableRelationships12[[#This Row],[Rank Pedro]]="High","linkCategory3","")))</f>
        <v/>
      </c>
      <c r="U1236" s="102" t="str">
        <f>IF(TableRelationships12[[#This Row],[Rank Pedro]]="Low","Pink",IF(TableRelationships12[[#This Row],[Rank Pedro]]="Medium","Purple",IF(TableRelationships12[[#This Row],[Rank Pedro]]="High","Brown","")))</f>
        <v/>
      </c>
      <c r="V1236" s="4" t="e">
        <f>MAX(INDEX(Standards!$F$2:$F$296,MATCH(B1236,Standards!$B$2:$B$296,0)),INDEX(Standards!$F$2:$F$296,MATCH(C1236,Standards!$B$2:$B$296,0)))</f>
        <v>#N/A</v>
      </c>
      <c r="W1236" t="str">
        <f t="shared" si="59"/>
        <v>#2f89d1</v>
      </c>
    </row>
    <row r="1237" spans="1:23" x14ac:dyDescent="0.5">
      <c r="A1237" s="54">
        <v>1236</v>
      </c>
      <c r="B1237" s="90" t="s">
        <v>344</v>
      </c>
      <c r="C1237" t="s">
        <v>1445</v>
      </c>
      <c r="D1237" s="1"/>
      <c r="G1237" s="107"/>
      <c r="H1237">
        <f>INDEX('GIS-Standards'!$A$2:$A$305,MATCH(B1237,'GIS-Standards'!$B$2:$B$305,0))</f>
        <v>53</v>
      </c>
      <c r="I1237" t="e">
        <f>INDEX('GIS-Standards'!$A$2:$A$305,MATCH(C1237,'GIS-Standards'!$B$2:$B$305,0))</f>
        <v>#N/A</v>
      </c>
      <c r="J1237" t="str">
        <f>INDEX('GIS-Standards'!$O$2:$O$305,MATCH(B1237,'GIS-Standards'!$B$2:$B$305,0))</f>
        <v>ISO/TC 211</v>
      </c>
      <c r="K1237" t="e">
        <f>INDEX('GIS-Standards'!$O$2:$O$305,MATCH(C1237,'GIS-Standards'!$B$2:$B$305,0))</f>
        <v>#N/A</v>
      </c>
      <c r="M1237" t="s">
        <v>525</v>
      </c>
      <c r="N1237">
        <f>INDEX('GIS-Standards'!$I$2:$I$305,MATCH(B1237,'GIS-Standards'!$B$2:$B$305,0))</f>
        <v>0</v>
      </c>
      <c r="O1237" t="e">
        <f>INDEX('GIS-Standards'!$I$2:$I$305,MATCH(C1237,'GIS-Standards'!$B$2:$B$305,0))</f>
        <v>#N/A</v>
      </c>
      <c r="P1237" t="e">
        <f>AND(TableRelationships12[[#This Row],[Source Type]]="BIM",TableRelationships12[[#This Row],[Target Type]]="BIM")</f>
        <v>#N/A</v>
      </c>
      <c r="Q1237">
        <f t="shared" si="57"/>
        <v>1</v>
      </c>
      <c r="S1237">
        <f t="shared" si="58"/>
        <v>1</v>
      </c>
      <c r="T1237" s="102" t="str">
        <f>IF(TableRelationships12[[#This Row],[Rank Pedro]]="Low","linkCategory1",IF(TableRelationships12[[#This Row],[Rank Pedro]]="Medium","linkCategory2",IF(TableRelationships12[[#This Row],[Rank Pedro]]="High","linkCategory3","")))</f>
        <v/>
      </c>
      <c r="U1237" s="102" t="str">
        <f>IF(TableRelationships12[[#This Row],[Rank Pedro]]="Low","Pink",IF(TableRelationships12[[#This Row],[Rank Pedro]]="Medium","Purple",IF(TableRelationships12[[#This Row],[Rank Pedro]]="High","Brown","")))</f>
        <v/>
      </c>
      <c r="V1237" s="4" t="e">
        <f>MAX(INDEX(Standards!$F$2:$F$296,MATCH(B1237,Standards!$B$2:$B$296,0)),INDEX(Standards!$F$2:$F$296,MATCH(C1237,Standards!$B$2:$B$296,0)))</f>
        <v>#N/A</v>
      </c>
      <c r="W1237" t="str">
        <f t="shared" si="59"/>
        <v>#2f89d1</v>
      </c>
    </row>
    <row r="1238" spans="1:23" x14ac:dyDescent="0.5">
      <c r="A1238" s="54">
        <v>1237</v>
      </c>
      <c r="B1238" s="90" t="s">
        <v>346</v>
      </c>
      <c r="C1238" t="s">
        <v>527</v>
      </c>
      <c r="D1238" s="1"/>
      <c r="E1238" s="112" t="s">
        <v>986</v>
      </c>
      <c r="F1238" s="112" t="s">
        <v>986</v>
      </c>
      <c r="G1238" s="121" t="s">
        <v>670</v>
      </c>
      <c r="H1238">
        <f>INDEX('GIS-Standards'!$A$2:$A$305,MATCH(B1238,'GIS-Standards'!$B$2:$B$305,0))</f>
        <v>54</v>
      </c>
      <c r="I1238" t="e">
        <f>INDEX('GIS-Standards'!$A$2:$A$305,MATCH(C1238,'GIS-Standards'!$B$2:$B$305,0))</f>
        <v>#N/A</v>
      </c>
      <c r="J1238" t="str">
        <f>INDEX('GIS-Standards'!$O$2:$O$305,MATCH(B1238,'GIS-Standards'!$B$2:$B$305,0))</f>
        <v>ISO/TC 211</v>
      </c>
      <c r="K1238" t="e">
        <f>INDEX('GIS-Standards'!$O$2:$O$305,MATCH(C1238,'GIS-Standards'!$B$2:$B$305,0))</f>
        <v>#N/A</v>
      </c>
      <c r="M1238" t="s">
        <v>237</v>
      </c>
      <c r="N1238" t="str">
        <f>INDEX('GIS-Standards'!$I$2:$I$305,MATCH(B1238,'GIS-Standards'!$B$2:$B$305,0))</f>
        <v>01.2019</v>
      </c>
      <c r="O1238" t="e">
        <f>INDEX('GIS-Standards'!$I$2:$I$305,MATCH(C1238,'GIS-Standards'!$B$2:$B$305,0))</f>
        <v>#N/A</v>
      </c>
      <c r="P1238" t="e">
        <f>AND(TableRelationships12[[#This Row],[Source Type]]="BIM",TableRelationships12[[#This Row],[Target Type]]="BIM")</f>
        <v>#N/A</v>
      </c>
      <c r="Q1238">
        <f t="shared" si="57"/>
        <v>2</v>
      </c>
      <c r="S1238">
        <f t="shared" si="58"/>
        <v>1</v>
      </c>
      <c r="T1238" s="102" t="str">
        <f>IF(TableRelationships12[[#This Row],[Rank Pedro]]="Low","linkCategory1",IF(TableRelationships12[[#This Row],[Rank Pedro]]="Medium","linkCategory2",IF(TableRelationships12[[#This Row],[Rank Pedro]]="High","linkCategory3","")))</f>
        <v/>
      </c>
      <c r="U1238" s="102" t="str">
        <f>IF(TableRelationships12[[#This Row],[Rank Pedro]]="Low","Pink",IF(TableRelationships12[[#This Row],[Rank Pedro]]="Medium","Purple",IF(TableRelationships12[[#This Row],[Rank Pedro]]="High","Brown","")))</f>
        <v/>
      </c>
      <c r="V1238" s="4">
        <f>MAX(INDEX(Standards!$F$2:$F$296,MATCH(B1238,Standards!$B$2:$B$296,0)),INDEX(Standards!$F$2:$F$296,MATCH(C1238,Standards!$B$2:$B$296,0)))</f>
        <v>42186</v>
      </c>
      <c r="W1238">
        <f t="shared" si="59"/>
        <v>1</v>
      </c>
    </row>
    <row r="1239" spans="1:23" x14ac:dyDescent="0.5">
      <c r="A1239" s="54">
        <v>1238</v>
      </c>
      <c r="B1239" s="90" t="s">
        <v>346</v>
      </c>
      <c r="C1239" t="s">
        <v>296</v>
      </c>
      <c r="D1239" s="1"/>
      <c r="E1239" s="112">
        <v>2005.07</v>
      </c>
      <c r="F1239" s="112">
        <v>2024.09</v>
      </c>
      <c r="G1239" s="107" t="s">
        <v>670</v>
      </c>
      <c r="H1239">
        <f>INDEX('GIS-Standards'!$A$2:$A$305,MATCH(B1239,'GIS-Standards'!$B$2:$B$305,0))</f>
        <v>54</v>
      </c>
      <c r="I1239">
        <f>INDEX('GIS-Standards'!$A$2:$A$305,MATCH(C1239,'GIS-Standards'!$B$2:$B$305,0))</f>
        <v>12</v>
      </c>
      <c r="J1239" t="str">
        <f>INDEX('GIS-Standards'!$O$2:$O$305,MATCH(B1239,'GIS-Standards'!$B$2:$B$305,0))</f>
        <v>ISO/TC 211</v>
      </c>
      <c r="K1239" t="str">
        <f>INDEX('GIS-Standards'!$O$2:$O$305,MATCH(C1239,'GIS-Standards'!$B$2:$B$305,0))</f>
        <v>ISO/TC 211</v>
      </c>
      <c r="M1239" t="s">
        <v>524</v>
      </c>
      <c r="N1239" t="str">
        <f>INDEX('GIS-Standards'!$I$2:$I$305,MATCH(B1239,'GIS-Standards'!$B$2:$B$305,0))</f>
        <v>01.2019</v>
      </c>
      <c r="O1239">
        <f>INDEX('GIS-Standards'!$I$2:$I$305,MATCH(C1239,'GIS-Standards'!$B$2:$B$305,0))</f>
        <v>0</v>
      </c>
      <c r="P1239" t="b">
        <f>AND(TableRelationships12[[#This Row],[Source Type]]="BIM",TableRelationships12[[#This Row],[Target Type]]="BIM")</f>
        <v>0</v>
      </c>
      <c r="Q1239">
        <f t="shared" si="57"/>
        <v>6</v>
      </c>
      <c r="S1239">
        <f t="shared" si="58"/>
        <v>1</v>
      </c>
      <c r="T1239" s="102" t="str">
        <f>IF(TableRelationships12[[#This Row],[Rank Pedro]]="Low","linkCategory1",IF(TableRelationships12[[#This Row],[Rank Pedro]]="Medium","linkCategory2",IF(TableRelationships12[[#This Row],[Rank Pedro]]="High","linkCategory3","")))</f>
        <v/>
      </c>
      <c r="U1239" s="102" t="str">
        <f>IF(TableRelationships12[[#This Row],[Rank Pedro]]="Low","Pink",IF(TableRelationships12[[#This Row],[Rank Pedro]]="Medium","Purple",IF(TableRelationships12[[#This Row],[Rank Pedro]]="High","Brown","")))</f>
        <v/>
      </c>
      <c r="V1239" s="4">
        <f>MAX(INDEX(Standards!$F$2:$F$296,MATCH(B1239,Standards!$B$2:$B$296,0)),INDEX(Standards!$F$2:$F$296,MATCH(C1239,Standards!$B$2:$B$296,0)))</f>
        <v>42186</v>
      </c>
      <c r="W1239" t="str">
        <f t="shared" si="59"/>
        <v>#d6bf2a</v>
      </c>
    </row>
    <row r="1240" spans="1:23" x14ac:dyDescent="0.5">
      <c r="A1240" s="54">
        <v>1239</v>
      </c>
      <c r="B1240" s="90" t="s">
        <v>346</v>
      </c>
      <c r="C1240" t="s">
        <v>302</v>
      </c>
      <c r="D1240" s="1"/>
      <c r="E1240" s="112">
        <v>2003.05</v>
      </c>
      <c r="F1240" s="112">
        <v>2019.12</v>
      </c>
      <c r="G1240" s="107" t="s">
        <v>670</v>
      </c>
      <c r="H1240">
        <f>INDEX('GIS-Standards'!$A$2:$A$305,MATCH(B1240,'GIS-Standards'!$B$2:$B$305,0))</f>
        <v>54</v>
      </c>
      <c r="I1240">
        <f>INDEX('GIS-Standards'!$A$2:$A$305,MATCH(C1240,'GIS-Standards'!$B$2:$B$305,0))</f>
        <v>16</v>
      </c>
      <c r="J1240" t="str">
        <f>INDEX('GIS-Standards'!$O$2:$O$305,MATCH(B1240,'GIS-Standards'!$B$2:$B$305,0))</f>
        <v>ISO/TC 211</v>
      </c>
      <c r="K1240" t="str">
        <f>INDEX('GIS-Standards'!$O$2:$O$305,MATCH(C1240,'GIS-Standards'!$B$2:$B$305,0))</f>
        <v>ISO/TC 211</v>
      </c>
      <c r="M1240" t="s">
        <v>524</v>
      </c>
      <c r="N1240" t="str">
        <f>INDEX('GIS-Standards'!$I$2:$I$305,MATCH(B1240,'GIS-Standards'!$B$2:$B$305,0))</f>
        <v>01.2019</v>
      </c>
      <c r="O1240">
        <f>INDEX('GIS-Standards'!$I$2:$I$305,MATCH(C1240,'GIS-Standards'!$B$2:$B$305,0))</f>
        <v>0</v>
      </c>
      <c r="P1240" t="b">
        <f>AND(TableRelationships12[[#This Row],[Source Type]]="BIM",TableRelationships12[[#This Row],[Target Type]]="BIM")</f>
        <v>0</v>
      </c>
      <c r="Q1240">
        <f t="shared" si="57"/>
        <v>6</v>
      </c>
      <c r="S1240">
        <f t="shared" si="58"/>
        <v>1</v>
      </c>
      <c r="T1240" s="102" t="str">
        <f>IF(TableRelationships12[[#This Row],[Rank Pedro]]="Low","linkCategory1",IF(TableRelationships12[[#This Row],[Rank Pedro]]="Medium","linkCategory2",IF(TableRelationships12[[#This Row],[Rank Pedro]]="High","linkCategory3","")))</f>
        <v/>
      </c>
      <c r="U1240" s="102" t="str">
        <f>IF(TableRelationships12[[#This Row],[Rank Pedro]]="Low","Pink",IF(TableRelationships12[[#This Row],[Rank Pedro]]="Medium","Purple",IF(TableRelationships12[[#This Row],[Rank Pedro]]="High","Brown","")))</f>
        <v/>
      </c>
      <c r="V1240" s="4">
        <f>MAX(INDEX(Standards!$F$2:$F$296,MATCH(B1240,Standards!$B$2:$B$296,0)),INDEX(Standards!$F$2:$F$296,MATCH(C1240,Standards!$B$2:$B$296,0)))</f>
        <v>42186</v>
      </c>
      <c r="W1240" t="str">
        <f t="shared" si="59"/>
        <v>#d6bf2a</v>
      </c>
    </row>
    <row r="1241" spans="1:23" x14ac:dyDescent="0.5">
      <c r="A1241" s="54">
        <v>1240</v>
      </c>
      <c r="B1241" s="90" t="s">
        <v>346</v>
      </c>
      <c r="C1241" t="s">
        <v>304</v>
      </c>
      <c r="D1241" s="1"/>
      <c r="E1241" s="112">
        <v>2002.09</v>
      </c>
      <c r="F1241" s="112">
        <v>2006.1</v>
      </c>
      <c r="G1241" s="107" t="s">
        <v>670</v>
      </c>
      <c r="H1241">
        <f>INDEX('GIS-Standards'!$A$2:$A$305,MATCH(B1241,'GIS-Standards'!$B$2:$B$305,0))</f>
        <v>54</v>
      </c>
      <c r="I1241">
        <f>INDEX('GIS-Standards'!$A$2:$A$305,MATCH(C1241,'GIS-Standards'!$B$2:$B$305,0))</f>
        <v>17</v>
      </c>
      <c r="J1241" t="str">
        <f>INDEX('GIS-Standards'!$O$2:$O$305,MATCH(B1241,'GIS-Standards'!$B$2:$B$305,0))</f>
        <v>ISO/TC 211</v>
      </c>
      <c r="K1241" t="str">
        <f>INDEX('GIS-Standards'!$O$2:$O$305,MATCH(C1241,'GIS-Standards'!$B$2:$B$305,0))</f>
        <v>ISO/TC 211</v>
      </c>
      <c r="M1241" t="s">
        <v>524</v>
      </c>
      <c r="N1241" t="str">
        <f>INDEX('GIS-Standards'!$I$2:$I$305,MATCH(B1241,'GIS-Standards'!$B$2:$B$305,0))</f>
        <v>01.2019</v>
      </c>
      <c r="O1241" t="str">
        <f>INDEX('GIS-Standards'!$I$2:$I$305,MATCH(C1241,'GIS-Standards'!$B$2:$B$305,0))</f>
        <v>06.2008</v>
      </c>
      <c r="P1241" t="b">
        <f>AND(TableRelationships12[[#This Row],[Source Type]]="BIM",TableRelationships12[[#This Row],[Target Type]]="BIM")</f>
        <v>0</v>
      </c>
      <c r="Q1241">
        <f t="shared" si="57"/>
        <v>6</v>
      </c>
      <c r="S1241">
        <f t="shared" si="58"/>
        <v>1</v>
      </c>
      <c r="T1241" s="102" t="str">
        <f>IF(TableRelationships12[[#This Row],[Rank Pedro]]="Low","linkCategory1",IF(TableRelationships12[[#This Row],[Rank Pedro]]="Medium","linkCategory2",IF(TableRelationships12[[#This Row],[Rank Pedro]]="High","linkCategory3","")))</f>
        <v/>
      </c>
      <c r="U1241" s="102" t="str">
        <f>IF(TableRelationships12[[#This Row],[Rank Pedro]]="Low","Pink",IF(TableRelationships12[[#This Row],[Rank Pedro]]="Medium","Purple",IF(TableRelationships12[[#This Row],[Rank Pedro]]="High","Brown","")))</f>
        <v/>
      </c>
      <c r="V1241" s="4">
        <f>MAX(INDEX(Standards!$F$2:$F$296,MATCH(B1241,Standards!$B$2:$B$296,0)),INDEX(Standards!$F$2:$F$296,MATCH(C1241,Standards!$B$2:$B$296,0)))</f>
        <v>42186</v>
      </c>
      <c r="W1241" t="str">
        <f t="shared" si="59"/>
        <v>#d6bf2a</v>
      </c>
    </row>
    <row r="1242" spans="1:23" x14ac:dyDescent="0.5">
      <c r="A1242" s="54">
        <v>1241</v>
      </c>
      <c r="B1242" s="90" t="s">
        <v>346</v>
      </c>
      <c r="C1242" t="s">
        <v>306</v>
      </c>
      <c r="D1242" s="1"/>
      <c r="E1242" s="112">
        <v>2005.06</v>
      </c>
      <c r="F1242" s="112">
        <v>2025.07</v>
      </c>
      <c r="G1242" s="107" t="s">
        <v>670</v>
      </c>
      <c r="H1242">
        <f>INDEX('GIS-Standards'!$A$2:$A$305,MATCH(B1242,'GIS-Standards'!$B$2:$B$305,0))</f>
        <v>54</v>
      </c>
      <c r="I1242">
        <f>INDEX('GIS-Standards'!$A$2:$A$305,MATCH(C1242,'GIS-Standards'!$B$2:$B$305,0))</f>
        <v>18</v>
      </c>
      <c r="J1242" t="str">
        <f>INDEX('GIS-Standards'!$O$2:$O$305,MATCH(B1242,'GIS-Standards'!$B$2:$B$305,0))</f>
        <v>ISO/TC 211</v>
      </c>
      <c r="K1242" t="str">
        <f>INDEX('GIS-Standards'!$O$2:$O$305,MATCH(C1242,'GIS-Standards'!$B$2:$B$305,0))</f>
        <v>ISO/TC 211</v>
      </c>
      <c r="M1242" t="s">
        <v>524</v>
      </c>
      <c r="N1242" t="str">
        <f>INDEX('GIS-Standards'!$I$2:$I$305,MATCH(B1242,'GIS-Standards'!$B$2:$B$305,0))</f>
        <v>01.2019</v>
      </c>
      <c r="O1242">
        <f>INDEX('GIS-Standards'!$I$2:$I$305,MATCH(C1242,'GIS-Standards'!$B$2:$B$305,0))</f>
        <v>0</v>
      </c>
      <c r="P1242" t="b">
        <f>AND(TableRelationships12[[#This Row],[Source Type]]="BIM",TableRelationships12[[#This Row],[Target Type]]="BIM")</f>
        <v>0</v>
      </c>
      <c r="Q1242">
        <f t="shared" si="57"/>
        <v>6</v>
      </c>
      <c r="S1242">
        <f t="shared" si="58"/>
        <v>1</v>
      </c>
      <c r="T1242" s="102" t="str">
        <f>IF(TableRelationships12[[#This Row],[Rank Pedro]]="Low","linkCategory1",IF(TableRelationships12[[#This Row],[Rank Pedro]]="Medium","linkCategory2",IF(TableRelationships12[[#This Row],[Rank Pedro]]="High","linkCategory3","")))</f>
        <v/>
      </c>
      <c r="U1242" s="102" t="str">
        <f>IF(TableRelationships12[[#This Row],[Rank Pedro]]="Low","Pink",IF(TableRelationships12[[#This Row],[Rank Pedro]]="Medium","Purple",IF(TableRelationships12[[#This Row],[Rank Pedro]]="High","Brown","")))</f>
        <v/>
      </c>
      <c r="V1242" s="4">
        <f>MAX(INDEX(Standards!$F$2:$F$296,MATCH(B1242,Standards!$B$2:$B$296,0)),INDEX(Standards!$F$2:$F$296,MATCH(C1242,Standards!$B$2:$B$296,0)))</f>
        <v>42186</v>
      </c>
      <c r="W1242" t="str">
        <f t="shared" si="59"/>
        <v>#d6bf2a</v>
      </c>
    </row>
    <row r="1243" spans="1:23" x14ac:dyDescent="0.5">
      <c r="A1243" s="54">
        <v>1242</v>
      </c>
      <c r="B1243" s="90" t="s">
        <v>346</v>
      </c>
      <c r="C1243" t="s">
        <v>312</v>
      </c>
      <c r="D1243" s="1"/>
      <c r="E1243" s="112">
        <v>2003.1</v>
      </c>
      <c r="F1243" s="112">
        <v>2019.02</v>
      </c>
      <c r="G1243" s="107" t="s">
        <v>670</v>
      </c>
      <c r="H1243">
        <f>INDEX('GIS-Standards'!$A$2:$A$305,MATCH(B1243,'GIS-Standards'!$B$2:$B$305,0))</f>
        <v>54</v>
      </c>
      <c r="I1243">
        <f>INDEX('GIS-Standards'!$A$2:$A$305,MATCH(C1243,'GIS-Standards'!$B$2:$B$305,0))</f>
        <v>21</v>
      </c>
      <c r="J1243" t="str">
        <f>INDEX('GIS-Standards'!$O$2:$O$305,MATCH(B1243,'GIS-Standards'!$B$2:$B$305,0))</f>
        <v>ISO/TC 211</v>
      </c>
      <c r="K1243" t="str">
        <f>INDEX('GIS-Standards'!$O$2:$O$305,MATCH(C1243,'GIS-Standards'!$B$2:$B$305,0))</f>
        <v>ISO/TC 211</v>
      </c>
      <c r="M1243" t="s">
        <v>524</v>
      </c>
      <c r="N1243" t="str">
        <f>INDEX('GIS-Standards'!$I$2:$I$305,MATCH(B1243,'GIS-Standards'!$B$2:$B$305,0))</f>
        <v>01.2019</v>
      </c>
      <c r="O1243">
        <f>INDEX('GIS-Standards'!$I$2:$I$305,MATCH(C1243,'GIS-Standards'!$B$2:$B$305,0))</f>
        <v>0</v>
      </c>
      <c r="P1243" t="b">
        <f>AND(TableRelationships12[[#This Row],[Source Type]]="BIM",TableRelationships12[[#This Row],[Target Type]]="BIM")</f>
        <v>0</v>
      </c>
      <c r="Q1243">
        <f t="shared" si="57"/>
        <v>6</v>
      </c>
      <c r="S1243">
        <f t="shared" si="58"/>
        <v>1</v>
      </c>
      <c r="T1243" s="102" t="str">
        <f>IF(TableRelationships12[[#This Row],[Rank Pedro]]="Low","linkCategory1",IF(TableRelationships12[[#This Row],[Rank Pedro]]="Medium","linkCategory2",IF(TableRelationships12[[#This Row],[Rank Pedro]]="High","linkCategory3","")))</f>
        <v/>
      </c>
      <c r="U1243" s="102" t="str">
        <f>IF(TableRelationships12[[#This Row],[Rank Pedro]]="Low","Pink",IF(TableRelationships12[[#This Row],[Rank Pedro]]="Medium","Purple",IF(TableRelationships12[[#This Row],[Rank Pedro]]="High","Brown","")))</f>
        <v/>
      </c>
      <c r="V1243" s="4">
        <f>MAX(INDEX(Standards!$F$2:$F$296,MATCH(B1243,Standards!$B$2:$B$296,0)),INDEX(Standards!$F$2:$F$296,MATCH(C1243,Standards!$B$2:$B$296,0)))</f>
        <v>42186</v>
      </c>
      <c r="W1243" t="str">
        <f t="shared" si="59"/>
        <v>#d6bf2a</v>
      </c>
    </row>
    <row r="1244" spans="1:23" x14ac:dyDescent="0.5">
      <c r="A1244" s="54">
        <v>1243</v>
      </c>
      <c r="B1244" s="90" t="s">
        <v>346</v>
      </c>
      <c r="C1244" t="s">
        <v>314</v>
      </c>
      <c r="D1244" s="1"/>
      <c r="E1244" s="112">
        <v>2003.05</v>
      </c>
      <c r="F1244" s="112">
        <v>2020.11</v>
      </c>
      <c r="G1244" s="107" t="s">
        <v>670</v>
      </c>
      <c r="H1244">
        <f>INDEX('GIS-Standards'!$A$2:$A$305,MATCH(B1244,'GIS-Standards'!$B$2:$B$305,0))</f>
        <v>54</v>
      </c>
      <c r="I1244">
        <f>INDEX('GIS-Standards'!$A$2:$A$305,MATCH(C1244,'GIS-Standards'!$B$2:$B$305,0))</f>
        <v>22</v>
      </c>
      <c r="J1244" t="str">
        <f>INDEX('GIS-Standards'!$O$2:$O$305,MATCH(B1244,'GIS-Standards'!$B$2:$B$305,0))</f>
        <v>ISO/TC 211</v>
      </c>
      <c r="K1244" t="str">
        <f>INDEX('GIS-Standards'!$O$2:$O$305,MATCH(C1244,'GIS-Standards'!$B$2:$B$305,0))</f>
        <v>ISO/TC 211</v>
      </c>
      <c r="M1244" t="s">
        <v>524</v>
      </c>
      <c r="N1244" t="str">
        <f>INDEX('GIS-Standards'!$I$2:$I$305,MATCH(B1244,'GIS-Standards'!$B$2:$B$305,0))</f>
        <v>01.2019</v>
      </c>
      <c r="O1244" t="str">
        <f>INDEX('GIS-Standards'!$I$2:$I$305,MATCH(C1244,'GIS-Standards'!$B$2:$B$305,0))</f>
        <v>12.2020</v>
      </c>
      <c r="P1244" t="b">
        <f>AND(TableRelationships12[[#This Row],[Source Type]]="BIM",TableRelationships12[[#This Row],[Target Type]]="BIM")</f>
        <v>0</v>
      </c>
      <c r="Q1244">
        <f t="shared" si="57"/>
        <v>6</v>
      </c>
      <c r="S1244">
        <f t="shared" si="58"/>
        <v>1</v>
      </c>
      <c r="T1244" s="102" t="str">
        <f>IF(TableRelationships12[[#This Row],[Rank Pedro]]="Low","linkCategory1",IF(TableRelationships12[[#This Row],[Rank Pedro]]="Medium","linkCategory2",IF(TableRelationships12[[#This Row],[Rank Pedro]]="High","linkCategory3","")))</f>
        <v/>
      </c>
      <c r="U1244" s="102" t="str">
        <f>IF(TableRelationships12[[#This Row],[Rank Pedro]]="Low","Pink",IF(TableRelationships12[[#This Row],[Rank Pedro]]="Medium","Purple",IF(TableRelationships12[[#This Row],[Rank Pedro]]="High","Brown","")))</f>
        <v/>
      </c>
      <c r="V1244" s="4">
        <f>MAX(INDEX(Standards!$F$2:$F$296,MATCH(B1244,Standards!$B$2:$B$296,0)),INDEX(Standards!$F$2:$F$296,MATCH(C1244,Standards!$B$2:$B$296,0)))</f>
        <v>42186</v>
      </c>
      <c r="W1244" t="str">
        <f t="shared" si="59"/>
        <v>#d6bf2a</v>
      </c>
    </row>
    <row r="1245" spans="1:23" x14ac:dyDescent="0.5">
      <c r="A1245" s="54">
        <v>1244</v>
      </c>
      <c r="B1245" s="90" t="s">
        <v>346</v>
      </c>
      <c r="C1245" t="s">
        <v>320</v>
      </c>
      <c r="D1245" s="1" t="s">
        <v>1100</v>
      </c>
      <c r="E1245" s="112">
        <v>2005.08</v>
      </c>
      <c r="F1245" s="112">
        <v>2023.06</v>
      </c>
      <c r="G1245" s="107" t="s">
        <v>670</v>
      </c>
      <c r="H1245">
        <f>INDEX('GIS-Standards'!$A$2:$A$305,MATCH(B1245,'GIS-Standards'!$B$2:$B$305,0))</f>
        <v>54</v>
      </c>
      <c r="I1245">
        <f>INDEX('GIS-Standards'!$A$2:$A$305,MATCH(C1245,'GIS-Standards'!$B$2:$B$305,0))</f>
        <v>29</v>
      </c>
      <c r="J1245" t="str">
        <f>INDEX('GIS-Standards'!$O$2:$O$305,MATCH(B1245,'GIS-Standards'!$B$2:$B$305,0))</f>
        <v>ISO/TC 211</v>
      </c>
      <c r="K1245" t="str">
        <f>INDEX('GIS-Standards'!$O$2:$O$305,MATCH(C1245,'GIS-Standards'!$B$2:$B$305,0))</f>
        <v>ISO/TC 211</v>
      </c>
      <c r="M1245" t="s">
        <v>524</v>
      </c>
      <c r="N1245" t="str">
        <f>INDEX('GIS-Standards'!$I$2:$I$305,MATCH(B1245,'GIS-Standards'!$B$2:$B$305,0))</f>
        <v>01.2019</v>
      </c>
      <c r="O1245">
        <f>INDEX('GIS-Standards'!$I$2:$I$305,MATCH(C1245,'GIS-Standards'!$B$2:$B$305,0))</f>
        <v>0</v>
      </c>
      <c r="P1245" t="b">
        <f>AND(TableRelationships12[[#This Row],[Source Type]]="BIM",TableRelationships12[[#This Row],[Target Type]]="BIM")</f>
        <v>0</v>
      </c>
      <c r="Q1245">
        <f t="shared" si="57"/>
        <v>6</v>
      </c>
      <c r="S1245">
        <f t="shared" si="58"/>
        <v>1</v>
      </c>
      <c r="T1245" s="102" t="str">
        <f>IF(TableRelationships12[[#This Row],[Rank Pedro]]="Low","linkCategory1",IF(TableRelationships12[[#This Row],[Rank Pedro]]="Medium","linkCategory2",IF(TableRelationships12[[#This Row],[Rank Pedro]]="High","linkCategory3","")))</f>
        <v/>
      </c>
      <c r="U1245" s="102" t="str">
        <f>IF(TableRelationships12[[#This Row],[Rank Pedro]]="Low","Pink",IF(TableRelationships12[[#This Row],[Rank Pedro]]="Medium","Purple",IF(TableRelationships12[[#This Row],[Rank Pedro]]="High","Brown","")))</f>
        <v/>
      </c>
      <c r="V1245" s="4">
        <f>MAX(INDEX(Standards!$F$2:$F$296,MATCH(B1245,Standards!$B$2:$B$296,0)),INDEX(Standards!$F$2:$F$296,MATCH(C1245,Standards!$B$2:$B$296,0)))</f>
        <v>42186</v>
      </c>
      <c r="W1245" t="str">
        <f t="shared" si="59"/>
        <v>#d6bf2a</v>
      </c>
    </row>
    <row r="1246" spans="1:23" x14ac:dyDescent="0.5">
      <c r="A1246" s="54">
        <v>1245</v>
      </c>
      <c r="B1246" s="90" t="s">
        <v>346</v>
      </c>
      <c r="C1246" t="s">
        <v>1053</v>
      </c>
      <c r="D1246" s="1"/>
      <c r="E1246" s="113">
        <v>2011.12</v>
      </c>
      <c r="F1246" s="113">
        <v>2023.04</v>
      </c>
      <c r="G1246" s="107" t="s">
        <v>670</v>
      </c>
      <c r="H1246">
        <f>INDEX('GIS-Standards'!$A$2:$A$305,MATCH(B1246,'GIS-Standards'!$B$2:$B$305,0))</f>
        <v>54</v>
      </c>
      <c r="I1246">
        <f>INDEX('GIS-Standards'!$A$2:$A$305,MATCH(C1246,'GIS-Standards'!$B$2:$B$305,0))</f>
        <v>65</v>
      </c>
      <c r="J1246" t="str">
        <f>INDEX('GIS-Standards'!$O$2:$O$305,MATCH(B1246,'GIS-Standards'!$B$2:$B$305,0))</f>
        <v>ISO/TC 211</v>
      </c>
      <c r="K1246" t="str">
        <f>INDEX('GIS-Standards'!$O$2:$O$305,MATCH(C1246,'GIS-Standards'!$B$2:$B$305,0))</f>
        <v>ISO/TC 211</v>
      </c>
      <c r="M1246" t="s">
        <v>524</v>
      </c>
      <c r="N1246" t="str">
        <f>INDEX('GIS-Standards'!$I$2:$I$305,MATCH(B1246,'GIS-Standards'!$B$2:$B$305,0))</f>
        <v>01.2019</v>
      </c>
      <c r="O1246">
        <f>INDEX('GIS-Standards'!$I$2:$I$305,MATCH(C1246,'GIS-Standards'!$B$2:$B$305,0))</f>
        <v>0</v>
      </c>
      <c r="P1246" t="b">
        <f>AND(TableRelationships12[[#This Row],[Source Type]]="BIM",TableRelationships12[[#This Row],[Target Type]]="BIM")</f>
        <v>0</v>
      </c>
      <c r="Q1246">
        <f t="shared" si="57"/>
        <v>6</v>
      </c>
      <c r="S1246">
        <f t="shared" si="58"/>
        <v>1</v>
      </c>
      <c r="T1246" s="102" t="str">
        <f>IF(TableRelationships12[[#This Row],[Rank Pedro]]="Low","linkCategory1",IF(TableRelationships12[[#This Row],[Rank Pedro]]="Medium","linkCategory2",IF(TableRelationships12[[#This Row],[Rank Pedro]]="High","linkCategory3","")))</f>
        <v/>
      </c>
      <c r="U1246" s="102" t="str">
        <f>IF(TableRelationships12[[#This Row],[Rank Pedro]]="Low","Pink",IF(TableRelationships12[[#This Row],[Rank Pedro]]="Medium","Purple",IF(TableRelationships12[[#This Row],[Rank Pedro]]="High","Brown","")))</f>
        <v/>
      </c>
      <c r="V1246" s="4" t="e">
        <f>MAX(INDEX(Standards!$F$2:$F$296,MATCH(B1246,Standards!$B$2:$B$296,0)),INDEX(Standards!$F$2:$F$296,MATCH(C1246,Standards!$B$2:$B$296,0)))</f>
        <v>#N/A</v>
      </c>
      <c r="W1246" t="str">
        <f t="shared" si="59"/>
        <v>#d6bf2a</v>
      </c>
    </row>
    <row r="1247" spans="1:23" x14ac:dyDescent="0.5">
      <c r="A1247" s="54">
        <v>1246</v>
      </c>
      <c r="B1247" s="90" t="s">
        <v>346</v>
      </c>
      <c r="C1247" t="s">
        <v>348</v>
      </c>
      <c r="D1247" s="1" t="s">
        <v>640</v>
      </c>
      <c r="E1247" s="113">
        <v>2013.12</v>
      </c>
      <c r="F1247" s="113">
        <v>2023.04</v>
      </c>
      <c r="G1247" s="107" t="s">
        <v>670</v>
      </c>
      <c r="H1247">
        <f>INDEX('GIS-Standards'!$A$2:$A$305,MATCH(B1247,'GIS-Standards'!$B$2:$B$305,0))</f>
        <v>54</v>
      </c>
      <c r="I1247">
        <f>INDEX('GIS-Standards'!$A$2:$A$305,MATCH(C1247,'GIS-Standards'!$B$2:$B$305,0))</f>
        <v>66</v>
      </c>
      <c r="J1247" t="str">
        <f>INDEX('GIS-Standards'!$O$2:$O$305,MATCH(B1247,'GIS-Standards'!$B$2:$B$305,0))</f>
        <v>ISO/TC 211</v>
      </c>
      <c r="K1247" t="str">
        <f>INDEX('GIS-Standards'!$O$2:$O$305,MATCH(C1247,'GIS-Standards'!$B$2:$B$305,0))</f>
        <v>ISO/TC 211</v>
      </c>
      <c r="M1247" t="s">
        <v>524</v>
      </c>
      <c r="N1247" t="str">
        <f>INDEX('GIS-Standards'!$I$2:$I$305,MATCH(B1247,'GIS-Standards'!$B$2:$B$305,0))</f>
        <v>01.2019</v>
      </c>
      <c r="O1247">
        <f>INDEX('GIS-Standards'!$I$2:$I$305,MATCH(C1247,'GIS-Standards'!$B$2:$B$305,0))</f>
        <v>0</v>
      </c>
      <c r="P1247" t="b">
        <f>AND(TableRelationships12[[#This Row],[Source Type]]="BIM",TableRelationships12[[#This Row],[Target Type]]="BIM")</f>
        <v>0</v>
      </c>
      <c r="Q1247">
        <f t="shared" si="57"/>
        <v>6</v>
      </c>
      <c r="S1247">
        <f t="shared" si="58"/>
        <v>1</v>
      </c>
      <c r="T1247" s="102" t="str">
        <f>IF(TableRelationships12[[#This Row],[Rank Pedro]]="Low","linkCategory1",IF(TableRelationships12[[#This Row],[Rank Pedro]]="Medium","linkCategory2",IF(TableRelationships12[[#This Row],[Rank Pedro]]="High","linkCategory3","")))</f>
        <v/>
      </c>
      <c r="U1247" s="102" t="str">
        <f>IF(TableRelationships12[[#This Row],[Rank Pedro]]="Low","Pink",IF(TableRelationships12[[#This Row],[Rank Pedro]]="Medium","Purple",IF(TableRelationships12[[#This Row],[Rank Pedro]]="High","Brown","")))</f>
        <v/>
      </c>
      <c r="V1247" s="4">
        <f>MAX(INDEX(Standards!$F$2:$F$296,MATCH(B1247,Standards!$B$2:$B$296,0)),INDEX(Standards!$F$2:$F$296,MATCH(C1247,Standards!$B$2:$B$296,0)))</f>
        <v>42186</v>
      </c>
      <c r="W1247" t="str">
        <f t="shared" si="59"/>
        <v>#d6bf2a</v>
      </c>
    </row>
    <row r="1248" spans="1:23" x14ac:dyDescent="0.5">
      <c r="A1248" s="54">
        <v>1247</v>
      </c>
      <c r="B1248" s="90" t="s">
        <v>346</v>
      </c>
      <c r="C1248" t="s">
        <v>1557</v>
      </c>
      <c r="D1248" s="1"/>
      <c r="G1248" s="107"/>
      <c r="H1248">
        <f>INDEX('GIS-Standards'!$A$2:$A$305,MATCH(B1248,'GIS-Standards'!$B$2:$B$305,0))</f>
        <v>54</v>
      </c>
      <c r="I1248" t="e">
        <f>INDEX('GIS-Standards'!$A$2:$A$305,MATCH(C1248,'GIS-Standards'!$B$2:$B$305,0))</f>
        <v>#N/A</v>
      </c>
      <c r="J1248" t="str">
        <f>INDEX('GIS-Standards'!$O$2:$O$305,MATCH(B1248,'GIS-Standards'!$B$2:$B$305,0))</f>
        <v>ISO/TC 211</v>
      </c>
      <c r="K1248" t="e">
        <f>INDEX('GIS-Standards'!$O$2:$O$305,MATCH(C1248,'GIS-Standards'!$B$2:$B$305,0))</f>
        <v>#N/A</v>
      </c>
      <c r="M1248" t="s">
        <v>524</v>
      </c>
      <c r="N1248" t="str">
        <f>INDEX('GIS-Standards'!$I$2:$I$305,MATCH(B1248,'GIS-Standards'!$B$2:$B$305,0))</f>
        <v>01.2019</v>
      </c>
      <c r="O1248" t="e">
        <f>INDEX('GIS-Standards'!$I$2:$I$305,MATCH(C1248,'GIS-Standards'!$B$2:$B$305,0))</f>
        <v>#N/A</v>
      </c>
      <c r="P1248" t="e">
        <f>AND(TableRelationships12[[#This Row],[Source Type]]="BIM",TableRelationships12[[#This Row],[Target Type]]="BIM")</f>
        <v>#N/A</v>
      </c>
      <c r="Q1248">
        <f t="shared" si="57"/>
        <v>6</v>
      </c>
      <c r="S1248">
        <f t="shared" si="58"/>
        <v>1</v>
      </c>
      <c r="T1248" s="102" t="str">
        <f>IF(TableRelationships12[[#This Row],[Rank Pedro]]="Low","linkCategory1",IF(TableRelationships12[[#This Row],[Rank Pedro]]="Medium","linkCategory2",IF(TableRelationships12[[#This Row],[Rank Pedro]]="High","linkCategory3","")))</f>
        <v/>
      </c>
      <c r="U1248" s="102" t="str">
        <f>IF(TableRelationships12[[#This Row],[Rank Pedro]]="Low","Pink",IF(TableRelationships12[[#This Row],[Rank Pedro]]="Medium","Purple",IF(TableRelationships12[[#This Row],[Rank Pedro]]="High","Brown","")))</f>
        <v/>
      </c>
      <c r="V1248" s="4" t="e">
        <f>MAX(INDEX(Standards!$F$2:$F$296,MATCH(B1248,Standards!$B$2:$B$296,0)),INDEX(Standards!$F$2:$F$296,MATCH(C1248,Standards!$B$2:$B$296,0)))</f>
        <v>#N/A</v>
      </c>
      <c r="W1248" t="str">
        <f t="shared" si="59"/>
        <v>#d6bf2a</v>
      </c>
    </row>
    <row r="1249" spans="1:23" x14ac:dyDescent="0.5">
      <c r="A1249" s="54">
        <v>1248</v>
      </c>
      <c r="B1249" s="90" t="s">
        <v>346</v>
      </c>
      <c r="C1249" t="s">
        <v>1558</v>
      </c>
      <c r="D1249" s="1"/>
      <c r="G1249" s="107"/>
      <c r="H1249">
        <f>INDEX('GIS-Standards'!$A$2:$A$305,MATCH(B1249,'GIS-Standards'!$B$2:$B$305,0))</f>
        <v>54</v>
      </c>
      <c r="I1249" t="e">
        <f>INDEX('GIS-Standards'!$A$2:$A$305,MATCH(C1249,'GIS-Standards'!$B$2:$B$305,0))</f>
        <v>#N/A</v>
      </c>
      <c r="J1249" t="str">
        <f>INDEX('GIS-Standards'!$O$2:$O$305,MATCH(B1249,'GIS-Standards'!$B$2:$B$305,0))</f>
        <v>ISO/TC 211</v>
      </c>
      <c r="K1249" t="e">
        <f>INDEX('GIS-Standards'!$O$2:$O$305,MATCH(C1249,'GIS-Standards'!$B$2:$B$305,0))</f>
        <v>#N/A</v>
      </c>
      <c r="M1249" t="s">
        <v>524</v>
      </c>
      <c r="N1249" t="str">
        <f>INDEX('GIS-Standards'!$I$2:$I$305,MATCH(B1249,'GIS-Standards'!$B$2:$B$305,0))</f>
        <v>01.2019</v>
      </c>
      <c r="O1249" t="e">
        <f>INDEX('GIS-Standards'!$I$2:$I$305,MATCH(C1249,'GIS-Standards'!$B$2:$B$305,0))</f>
        <v>#N/A</v>
      </c>
      <c r="P1249" t="e">
        <f>AND(TableRelationships12[[#This Row],[Source Type]]="BIM",TableRelationships12[[#This Row],[Target Type]]="BIM")</f>
        <v>#N/A</v>
      </c>
      <c r="Q1249">
        <f t="shared" si="57"/>
        <v>6</v>
      </c>
      <c r="S1249">
        <f t="shared" si="58"/>
        <v>1</v>
      </c>
      <c r="T1249" s="102" t="str">
        <f>IF(TableRelationships12[[#This Row],[Rank Pedro]]="Low","linkCategory1",IF(TableRelationships12[[#This Row],[Rank Pedro]]="Medium","linkCategory2",IF(TableRelationships12[[#This Row],[Rank Pedro]]="High","linkCategory3","")))</f>
        <v/>
      </c>
      <c r="U1249" s="102" t="str">
        <f>IF(TableRelationships12[[#This Row],[Rank Pedro]]="Low","Pink",IF(TableRelationships12[[#This Row],[Rank Pedro]]="Medium","Purple",IF(TableRelationships12[[#This Row],[Rank Pedro]]="High","Brown","")))</f>
        <v/>
      </c>
      <c r="V1249" s="4" t="e">
        <f>MAX(INDEX(Standards!$F$2:$F$296,MATCH(B1249,Standards!$B$2:$B$296,0)),INDEX(Standards!$F$2:$F$296,MATCH(C1249,Standards!$B$2:$B$296,0)))</f>
        <v>#N/A</v>
      </c>
      <c r="W1249" t="str">
        <f t="shared" si="59"/>
        <v>#d6bf2a</v>
      </c>
    </row>
    <row r="1250" spans="1:23" x14ac:dyDescent="0.5">
      <c r="A1250" s="54">
        <v>1249</v>
      </c>
      <c r="B1250" s="90" t="s">
        <v>346</v>
      </c>
      <c r="C1250" t="s">
        <v>1571</v>
      </c>
      <c r="D1250" s="1"/>
      <c r="G1250" s="107"/>
      <c r="H1250">
        <f>INDEX('GIS-Standards'!$A$2:$A$305,MATCH(B1250,'GIS-Standards'!$B$2:$B$305,0))</f>
        <v>54</v>
      </c>
      <c r="I1250" t="e">
        <f>INDEX('GIS-Standards'!$A$2:$A$305,MATCH(C1250,'GIS-Standards'!$B$2:$B$305,0))</f>
        <v>#N/A</v>
      </c>
      <c r="J1250" t="str">
        <f>INDEX('GIS-Standards'!$O$2:$O$305,MATCH(B1250,'GIS-Standards'!$B$2:$B$305,0))</f>
        <v>ISO/TC 211</v>
      </c>
      <c r="K1250" t="e">
        <f>INDEX('GIS-Standards'!$O$2:$O$305,MATCH(C1250,'GIS-Standards'!$B$2:$B$305,0))</f>
        <v>#N/A</v>
      </c>
      <c r="M1250" t="s">
        <v>524</v>
      </c>
      <c r="N1250" t="str">
        <f>INDEX('GIS-Standards'!$I$2:$I$305,MATCH(B1250,'GIS-Standards'!$B$2:$B$305,0))</f>
        <v>01.2019</v>
      </c>
      <c r="O1250" t="e">
        <f>INDEX('GIS-Standards'!$I$2:$I$305,MATCH(C1250,'GIS-Standards'!$B$2:$B$305,0))</f>
        <v>#N/A</v>
      </c>
      <c r="P1250" t="e">
        <f>AND(TableRelationships12[[#This Row],[Source Type]]="BIM",TableRelationships12[[#This Row],[Target Type]]="BIM")</f>
        <v>#N/A</v>
      </c>
      <c r="Q1250">
        <f t="shared" si="57"/>
        <v>6</v>
      </c>
      <c r="S1250">
        <f t="shared" si="58"/>
        <v>1</v>
      </c>
      <c r="T1250" s="102" t="str">
        <f>IF(TableRelationships12[[#This Row],[Rank Pedro]]="Low","linkCategory1",IF(TableRelationships12[[#This Row],[Rank Pedro]]="Medium","linkCategory2",IF(TableRelationships12[[#This Row],[Rank Pedro]]="High","linkCategory3","")))</f>
        <v/>
      </c>
      <c r="U1250" s="102" t="str">
        <f>IF(TableRelationships12[[#This Row],[Rank Pedro]]="Low","Pink",IF(TableRelationships12[[#This Row],[Rank Pedro]]="Medium","Purple",IF(TableRelationships12[[#This Row],[Rank Pedro]]="High","Brown","")))</f>
        <v/>
      </c>
      <c r="V1250" s="4" t="e">
        <f>MAX(INDEX(Standards!$F$2:$F$296,MATCH(B1250,Standards!$B$2:$B$296,0)),INDEX(Standards!$F$2:$F$296,MATCH(C1250,Standards!$B$2:$B$296,0)))</f>
        <v>#N/A</v>
      </c>
      <c r="W1250" t="str">
        <f t="shared" si="59"/>
        <v>#d6bf2a</v>
      </c>
    </row>
    <row r="1251" spans="1:23" x14ac:dyDescent="0.5">
      <c r="A1251" s="54">
        <v>1250</v>
      </c>
      <c r="B1251" s="90" t="s">
        <v>346</v>
      </c>
      <c r="C1251" t="s">
        <v>1307</v>
      </c>
      <c r="D1251" s="1"/>
      <c r="E1251" s="112">
        <v>2008.01</v>
      </c>
      <c r="G1251" s="107"/>
      <c r="H1251">
        <f>INDEX('GIS-Standards'!$A$2:$A$305,MATCH(B1251,'GIS-Standards'!$B$2:$B$305,0))</f>
        <v>54</v>
      </c>
      <c r="I1251" t="e">
        <f>INDEX('GIS-Standards'!$A$2:$A$305,MATCH(C1251,'GIS-Standards'!$B$2:$B$305,0))</f>
        <v>#N/A</v>
      </c>
      <c r="J1251" t="str">
        <f>INDEX('GIS-Standards'!$O$2:$O$305,MATCH(B1251,'GIS-Standards'!$B$2:$B$305,0))</f>
        <v>ISO/TC 211</v>
      </c>
      <c r="K1251" t="e">
        <f>INDEX('GIS-Standards'!$O$2:$O$305,MATCH(C1251,'GIS-Standards'!$B$2:$B$305,0))</f>
        <v>#N/A</v>
      </c>
      <c r="M1251" t="s">
        <v>524</v>
      </c>
      <c r="N1251" t="str">
        <f>INDEX('GIS-Standards'!$I$2:$I$305,MATCH(B1251,'GIS-Standards'!$B$2:$B$305,0))</f>
        <v>01.2019</v>
      </c>
      <c r="O1251" t="e">
        <f>INDEX('GIS-Standards'!$I$2:$I$305,MATCH(C1251,'GIS-Standards'!$B$2:$B$305,0))</f>
        <v>#N/A</v>
      </c>
      <c r="P1251" t="e">
        <f>AND(TableRelationships12[[#This Row],[Source Type]]="BIM",TableRelationships12[[#This Row],[Target Type]]="BIM")</f>
        <v>#N/A</v>
      </c>
      <c r="Q1251">
        <f t="shared" si="57"/>
        <v>6</v>
      </c>
      <c r="S1251">
        <f t="shared" si="58"/>
        <v>1</v>
      </c>
      <c r="T1251" s="102" t="str">
        <f>IF(TableRelationships12[[#This Row],[Rank Pedro]]="Low","linkCategory1",IF(TableRelationships12[[#This Row],[Rank Pedro]]="Medium","linkCategory2",IF(TableRelationships12[[#This Row],[Rank Pedro]]="High","linkCategory3","")))</f>
        <v/>
      </c>
      <c r="U1251" s="102" t="str">
        <f>IF(TableRelationships12[[#This Row],[Rank Pedro]]="Low","Pink",IF(TableRelationships12[[#This Row],[Rank Pedro]]="Medium","Purple",IF(TableRelationships12[[#This Row],[Rank Pedro]]="High","Brown","")))</f>
        <v/>
      </c>
      <c r="V1251" s="4" t="e">
        <f>MAX(INDEX(Standards!$F$2:$F$296,MATCH(B1251,Standards!$B$2:$B$296,0)),INDEX(Standards!$F$2:$F$296,MATCH(C1251,Standards!$B$2:$B$296,0)))</f>
        <v>#N/A</v>
      </c>
      <c r="W1251" t="str">
        <f t="shared" si="59"/>
        <v>#d6bf2a</v>
      </c>
    </row>
    <row r="1252" spans="1:23" x14ac:dyDescent="0.5">
      <c r="A1252" s="54">
        <v>1251</v>
      </c>
      <c r="B1252" s="90" t="s">
        <v>346</v>
      </c>
      <c r="C1252" t="s">
        <v>1121</v>
      </c>
      <c r="D1252" s="1"/>
      <c r="E1252" s="112">
        <v>2005.01</v>
      </c>
      <c r="G1252" s="107"/>
      <c r="H1252">
        <f>INDEX('GIS-Standards'!$A$2:$A$305,MATCH(B1252,'GIS-Standards'!$B$2:$B$305,0))</f>
        <v>54</v>
      </c>
      <c r="I1252" t="e">
        <f>INDEX('GIS-Standards'!$A$2:$A$305,MATCH(C1252,'GIS-Standards'!$B$2:$B$305,0))</f>
        <v>#N/A</v>
      </c>
      <c r="J1252" t="str">
        <f>INDEX('GIS-Standards'!$O$2:$O$305,MATCH(B1252,'GIS-Standards'!$B$2:$B$305,0))</f>
        <v>ISO/TC 211</v>
      </c>
      <c r="K1252" t="e">
        <f>INDEX('GIS-Standards'!$O$2:$O$305,MATCH(C1252,'GIS-Standards'!$B$2:$B$305,0))</f>
        <v>#N/A</v>
      </c>
      <c r="M1252" t="s">
        <v>524</v>
      </c>
      <c r="N1252" t="str">
        <f>INDEX('GIS-Standards'!$I$2:$I$305,MATCH(B1252,'GIS-Standards'!$B$2:$B$305,0))</f>
        <v>01.2019</v>
      </c>
      <c r="O1252" t="e">
        <f>INDEX('GIS-Standards'!$I$2:$I$305,MATCH(C1252,'GIS-Standards'!$B$2:$B$305,0))</f>
        <v>#N/A</v>
      </c>
      <c r="P1252" t="e">
        <f>AND(TableRelationships12[[#This Row],[Source Type]]="BIM",TableRelationships12[[#This Row],[Target Type]]="BIM")</f>
        <v>#N/A</v>
      </c>
      <c r="Q1252">
        <f t="shared" si="57"/>
        <v>6</v>
      </c>
      <c r="S1252">
        <f t="shared" si="58"/>
        <v>1</v>
      </c>
      <c r="T1252" s="102" t="str">
        <f>IF(TableRelationships12[[#This Row],[Rank Pedro]]="Low","linkCategory1",IF(TableRelationships12[[#This Row],[Rank Pedro]]="Medium","linkCategory2",IF(TableRelationships12[[#This Row],[Rank Pedro]]="High","linkCategory3","")))</f>
        <v/>
      </c>
      <c r="U1252" s="102" t="str">
        <f>IF(TableRelationships12[[#This Row],[Rank Pedro]]="Low","Pink",IF(TableRelationships12[[#This Row],[Rank Pedro]]="Medium","Purple",IF(TableRelationships12[[#This Row],[Rank Pedro]]="High","Brown","")))</f>
        <v/>
      </c>
      <c r="V1252" s="4" t="e">
        <f>MAX(INDEX(Standards!$F$2:$F$296,MATCH(B1252,Standards!$B$2:$B$296,0)),INDEX(Standards!$F$2:$F$296,MATCH(C1252,Standards!$B$2:$B$296,0)))</f>
        <v>#N/A</v>
      </c>
      <c r="W1252" t="str">
        <f t="shared" si="59"/>
        <v>#d6bf2a</v>
      </c>
    </row>
    <row r="1253" spans="1:23" x14ac:dyDescent="0.5">
      <c r="A1253" s="54">
        <v>1252</v>
      </c>
      <c r="B1253" s="90" t="s">
        <v>346</v>
      </c>
      <c r="C1253" t="s">
        <v>1308</v>
      </c>
      <c r="D1253" s="1"/>
      <c r="E1253" s="112">
        <v>2007.08</v>
      </c>
      <c r="G1253" s="107"/>
      <c r="H1253">
        <f>INDEX('GIS-Standards'!$A$2:$A$305,MATCH(B1253,'GIS-Standards'!$B$2:$B$305,0))</f>
        <v>54</v>
      </c>
      <c r="I1253" t="e">
        <f>INDEX('GIS-Standards'!$A$2:$A$305,MATCH(C1253,'GIS-Standards'!$B$2:$B$305,0))</f>
        <v>#N/A</v>
      </c>
      <c r="J1253" t="str">
        <f>INDEX('GIS-Standards'!$O$2:$O$305,MATCH(B1253,'GIS-Standards'!$B$2:$B$305,0))</f>
        <v>ISO/TC 211</v>
      </c>
      <c r="K1253" t="e">
        <f>INDEX('GIS-Standards'!$O$2:$O$305,MATCH(C1253,'GIS-Standards'!$B$2:$B$305,0))</f>
        <v>#N/A</v>
      </c>
      <c r="M1253" t="s">
        <v>525</v>
      </c>
      <c r="N1253" t="str">
        <f>INDEX('GIS-Standards'!$I$2:$I$305,MATCH(B1253,'GIS-Standards'!$B$2:$B$305,0))</f>
        <v>01.2019</v>
      </c>
      <c r="O1253" t="e">
        <f>INDEX('GIS-Standards'!$I$2:$I$305,MATCH(C1253,'GIS-Standards'!$B$2:$B$305,0))</f>
        <v>#N/A</v>
      </c>
      <c r="P1253" t="e">
        <f>AND(TableRelationships12[[#This Row],[Source Type]]="BIM",TableRelationships12[[#This Row],[Target Type]]="BIM")</f>
        <v>#N/A</v>
      </c>
      <c r="Q1253">
        <f t="shared" si="57"/>
        <v>1</v>
      </c>
      <c r="S1253">
        <f t="shared" si="58"/>
        <v>1</v>
      </c>
      <c r="T1253" s="102" t="str">
        <f>IF(TableRelationships12[[#This Row],[Rank Pedro]]="Low","linkCategory1",IF(TableRelationships12[[#This Row],[Rank Pedro]]="Medium","linkCategory2",IF(TableRelationships12[[#This Row],[Rank Pedro]]="High","linkCategory3","")))</f>
        <v/>
      </c>
      <c r="U1253" s="102" t="str">
        <f>IF(TableRelationships12[[#This Row],[Rank Pedro]]="Low","Pink",IF(TableRelationships12[[#This Row],[Rank Pedro]]="Medium","Purple",IF(TableRelationships12[[#This Row],[Rank Pedro]]="High","Brown","")))</f>
        <v/>
      </c>
      <c r="V1253" s="4" t="e">
        <f>MAX(INDEX(Standards!$F$2:$F$296,MATCH(B1253,Standards!$B$2:$B$296,0)),INDEX(Standards!$F$2:$F$296,MATCH(C1253,Standards!$B$2:$B$296,0)))</f>
        <v>#N/A</v>
      </c>
      <c r="W1253" t="str">
        <f t="shared" si="59"/>
        <v>#2f89d1</v>
      </c>
    </row>
    <row r="1254" spans="1:23" x14ac:dyDescent="0.5">
      <c r="A1254" s="54">
        <v>1253</v>
      </c>
      <c r="B1254" s="90" t="s">
        <v>346</v>
      </c>
      <c r="C1254" t="s">
        <v>308</v>
      </c>
      <c r="D1254" s="1"/>
      <c r="E1254" s="112">
        <v>2005.02</v>
      </c>
      <c r="F1254" s="112">
        <v>2016.12</v>
      </c>
      <c r="G1254" s="107" t="s">
        <v>670</v>
      </c>
      <c r="H1254">
        <f>INDEX('GIS-Standards'!$A$2:$A$305,MATCH(B1254,'GIS-Standards'!$B$2:$B$305,0))</f>
        <v>54</v>
      </c>
      <c r="I1254">
        <f>INDEX('GIS-Standards'!$A$2:$A$305,MATCH(C1254,'GIS-Standards'!$B$2:$B$305,0))</f>
        <v>19</v>
      </c>
      <c r="J1254" t="str">
        <f>INDEX('GIS-Standards'!$O$2:$O$305,MATCH(B1254,'GIS-Standards'!$B$2:$B$305,0))</f>
        <v>ISO/TC 211</v>
      </c>
      <c r="K1254" t="str">
        <f>INDEX('GIS-Standards'!$O$2:$O$305,MATCH(C1254,'GIS-Standards'!$B$2:$B$305,0))</f>
        <v>ISO/TC 211</v>
      </c>
      <c r="M1254" t="s">
        <v>525</v>
      </c>
      <c r="N1254" t="str">
        <f>INDEX('GIS-Standards'!$I$2:$I$305,MATCH(B1254,'GIS-Standards'!$B$2:$B$305,0))</f>
        <v>01.2019</v>
      </c>
      <c r="O1254">
        <f>INDEX('GIS-Standards'!$I$2:$I$305,MATCH(C1254,'GIS-Standards'!$B$2:$B$305,0))</f>
        <v>0</v>
      </c>
      <c r="P1254" t="b">
        <f>AND(TableRelationships12[[#This Row],[Source Type]]="BIM",TableRelationships12[[#This Row],[Target Type]]="BIM")</f>
        <v>0</v>
      </c>
      <c r="Q1254">
        <f t="shared" si="57"/>
        <v>1</v>
      </c>
      <c r="S1254">
        <f t="shared" si="58"/>
        <v>1</v>
      </c>
      <c r="T1254" s="102" t="str">
        <f>IF(TableRelationships12[[#This Row],[Rank Pedro]]="Low","linkCategory1",IF(TableRelationships12[[#This Row],[Rank Pedro]]="Medium","linkCategory2",IF(TableRelationships12[[#This Row],[Rank Pedro]]="High","linkCategory3","")))</f>
        <v/>
      </c>
      <c r="U1254" s="102" t="str">
        <f>IF(TableRelationships12[[#This Row],[Rank Pedro]]="Low","Pink",IF(TableRelationships12[[#This Row],[Rank Pedro]]="Medium","Purple",IF(TableRelationships12[[#This Row],[Rank Pedro]]="High","Brown","")))</f>
        <v/>
      </c>
      <c r="V1254" s="4">
        <f>MAX(INDEX(Standards!$F$2:$F$296,MATCH(B1254,Standards!$B$2:$B$296,0)),INDEX(Standards!$F$2:$F$296,MATCH(C1254,Standards!$B$2:$B$296,0)))</f>
        <v>42186</v>
      </c>
      <c r="W1254" t="str">
        <f t="shared" si="59"/>
        <v>#2f89d1</v>
      </c>
    </row>
    <row r="1255" spans="1:23" x14ac:dyDescent="0.5">
      <c r="A1255" s="54">
        <v>1254</v>
      </c>
      <c r="B1255" s="90" t="s">
        <v>346</v>
      </c>
      <c r="C1255" t="s">
        <v>334</v>
      </c>
      <c r="D1255" s="1" t="s">
        <v>1036</v>
      </c>
      <c r="E1255" s="113">
        <v>2007.09</v>
      </c>
      <c r="F1255" s="113">
        <v>2020.01</v>
      </c>
      <c r="G1255" s="107" t="s">
        <v>670</v>
      </c>
      <c r="H1255">
        <f>INDEX('GIS-Standards'!$A$2:$A$305,MATCH(B1255,'GIS-Standards'!$B$2:$B$305,0))</f>
        <v>54</v>
      </c>
      <c r="I1255">
        <f>INDEX('GIS-Standards'!$A$2:$A$305,MATCH(C1255,'GIS-Standards'!$B$2:$B$305,0))</f>
        <v>42</v>
      </c>
      <c r="J1255" t="str">
        <f>INDEX('GIS-Standards'!$O$2:$O$305,MATCH(B1255,'GIS-Standards'!$B$2:$B$305,0))</f>
        <v>ISO/TC 211</v>
      </c>
      <c r="K1255" t="str">
        <f>INDEX('GIS-Standards'!$O$2:$O$305,MATCH(C1255,'GIS-Standards'!$B$2:$B$305,0))</f>
        <v>ISO/TC 211</v>
      </c>
      <c r="M1255" t="s">
        <v>525</v>
      </c>
      <c r="N1255" t="str">
        <f>INDEX('GIS-Standards'!$I$2:$I$305,MATCH(B1255,'GIS-Standards'!$B$2:$B$305,0))</f>
        <v>01.2019</v>
      </c>
      <c r="O1255">
        <f>INDEX('GIS-Standards'!$I$2:$I$305,MATCH(C1255,'GIS-Standards'!$B$2:$B$305,0))</f>
        <v>0</v>
      </c>
      <c r="P1255" t="b">
        <f>AND(TableRelationships12[[#This Row],[Source Type]]="BIM",TableRelationships12[[#This Row],[Target Type]]="BIM")</f>
        <v>0</v>
      </c>
      <c r="Q1255">
        <f t="shared" si="57"/>
        <v>1</v>
      </c>
      <c r="S1255">
        <f t="shared" si="58"/>
        <v>1</v>
      </c>
      <c r="T1255" s="102" t="str">
        <f>IF(TableRelationships12[[#This Row],[Rank Pedro]]="Low","linkCategory1",IF(TableRelationships12[[#This Row],[Rank Pedro]]="Medium","linkCategory2",IF(TableRelationships12[[#This Row],[Rank Pedro]]="High","linkCategory3","")))</f>
        <v/>
      </c>
      <c r="U1255" s="102" t="str">
        <f>IF(TableRelationships12[[#This Row],[Rank Pedro]]="Low","Pink",IF(TableRelationships12[[#This Row],[Rank Pedro]]="Medium","Purple",IF(TableRelationships12[[#This Row],[Rank Pedro]]="High","Brown","")))</f>
        <v/>
      </c>
      <c r="V1255" s="4">
        <f>MAX(INDEX(Standards!$F$2:$F$296,MATCH(B1255,Standards!$B$2:$B$296,0)),INDEX(Standards!$F$2:$F$296,MATCH(C1255,Standards!$B$2:$B$296,0)))</f>
        <v>42186</v>
      </c>
      <c r="W1255" t="str">
        <f t="shared" si="59"/>
        <v>#2f89d1</v>
      </c>
    </row>
    <row r="1256" spans="1:23" x14ac:dyDescent="0.5">
      <c r="A1256" s="54">
        <v>1255</v>
      </c>
      <c r="B1256" s="90" t="s">
        <v>346</v>
      </c>
      <c r="C1256" t="s">
        <v>653</v>
      </c>
      <c r="D1256" s="1" t="s">
        <v>1115</v>
      </c>
      <c r="E1256" s="113">
        <v>2007.04</v>
      </c>
      <c r="F1256" s="113">
        <v>2019.03</v>
      </c>
      <c r="G1256" s="107" t="s">
        <v>670</v>
      </c>
      <c r="H1256">
        <f>INDEX('GIS-Standards'!$A$2:$A$305,MATCH(B1256,'GIS-Standards'!$B$2:$B$305,0))</f>
        <v>54</v>
      </c>
      <c r="I1256">
        <f>INDEX('GIS-Standards'!$A$2:$A$305,MATCH(C1256,'GIS-Standards'!$B$2:$B$305,0))</f>
        <v>102</v>
      </c>
      <c r="J1256" t="str">
        <f>INDEX('GIS-Standards'!$O$2:$O$305,MATCH(B1256,'GIS-Standards'!$B$2:$B$305,0))</f>
        <v>ISO/TC 211</v>
      </c>
      <c r="K1256" t="str">
        <f>INDEX('GIS-Standards'!$O$2:$O$305,MATCH(C1256,'GIS-Standards'!$B$2:$B$305,0))</f>
        <v>ISO/TC 211</v>
      </c>
      <c r="M1256" t="s">
        <v>525</v>
      </c>
      <c r="N1256" t="str">
        <f>INDEX('GIS-Standards'!$I$2:$I$305,MATCH(B1256,'GIS-Standards'!$B$2:$B$305,0))</f>
        <v>01.2019</v>
      </c>
      <c r="O1256">
        <f>INDEX('GIS-Standards'!$I$2:$I$305,MATCH(C1256,'GIS-Standards'!$B$2:$B$305,0))</f>
        <v>0</v>
      </c>
      <c r="P1256" t="b">
        <f>AND(TableRelationships12[[#This Row],[Source Type]]="BIM",TableRelationships12[[#This Row],[Target Type]]="BIM")</f>
        <v>0</v>
      </c>
      <c r="Q1256">
        <f t="shared" si="57"/>
        <v>1</v>
      </c>
      <c r="S1256">
        <f t="shared" si="58"/>
        <v>1</v>
      </c>
      <c r="T1256" s="102" t="str">
        <f>IF(TableRelationships12[[#This Row],[Rank Pedro]]="Low","linkCategory1",IF(TableRelationships12[[#This Row],[Rank Pedro]]="Medium","linkCategory2",IF(TableRelationships12[[#This Row],[Rank Pedro]]="High","linkCategory3","")))</f>
        <v/>
      </c>
      <c r="U1256" s="102" t="str">
        <f>IF(TableRelationships12[[#This Row],[Rank Pedro]]="Low","Pink",IF(TableRelationships12[[#This Row],[Rank Pedro]]="Medium","Purple",IF(TableRelationships12[[#This Row],[Rank Pedro]]="High","Brown","")))</f>
        <v/>
      </c>
      <c r="V1256" s="4" t="e">
        <f>MAX(INDEX(Standards!$F$2:$F$296,MATCH(B1256,Standards!$B$2:$B$296,0)),INDEX(Standards!$F$2:$F$296,MATCH(C1256,Standards!$B$2:$B$296,0)))</f>
        <v>#N/A</v>
      </c>
      <c r="W1256" t="str">
        <f t="shared" si="59"/>
        <v>#2f89d1</v>
      </c>
    </row>
    <row r="1257" spans="1:23" x14ac:dyDescent="0.5">
      <c r="A1257" s="54">
        <v>1256</v>
      </c>
      <c r="B1257" s="90" t="s">
        <v>346</v>
      </c>
      <c r="C1257" t="s">
        <v>1309</v>
      </c>
      <c r="D1257" s="1"/>
      <c r="G1257" s="107"/>
      <c r="H1257">
        <f>INDEX('GIS-Standards'!$A$2:$A$305,MATCH(B1257,'GIS-Standards'!$B$2:$B$305,0))</f>
        <v>54</v>
      </c>
      <c r="I1257" t="e">
        <f>INDEX('GIS-Standards'!$A$2:$A$305,MATCH(C1257,'GIS-Standards'!$B$2:$B$305,0))</f>
        <v>#N/A</v>
      </c>
      <c r="J1257" t="str">
        <f>INDEX('GIS-Standards'!$O$2:$O$305,MATCH(B1257,'GIS-Standards'!$B$2:$B$305,0))</f>
        <v>ISO/TC 211</v>
      </c>
      <c r="K1257" t="e">
        <f>INDEX('GIS-Standards'!$O$2:$O$305,MATCH(C1257,'GIS-Standards'!$B$2:$B$305,0))</f>
        <v>#N/A</v>
      </c>
      <c r="M1257" t="s">
        <v>525</v>
      </c>
      <c r="N1257" t="str">
        <f>INDEX('GIS-Standards'!$I$2:$I$305,MATCH(B1257,'GIS-Standards'!$B$2:$B$305,0))</f>
        <v>01.2019</v>
      </c>
      <c r="O1257" t="e">
        <f>INDEX('GIS-Standards'!$I$2:$I$305,MATCH(C1257,'GIS-Standards'!$B$2:$B$305,0))</f>
        <v>#N/A</v>
      </c>
      <c r="P1257" t="e">
        <f>AND(TableRelationships12[[#This Row],[Source Type]]="BIM",TableRelationships12[[#This Row],[Target Type]]="BIM")</f>
        <v>#N/A</v>
      </c>
      <c r="Q1257">
        <f t="shared" si="57"/>
        <v>1</v>
      </c>
      <c r="S1257">
        <f t="shared" si="58"/>
        <v>1</v>
      </c>
      <c r="T1257" s="102" t="str">
        <f>IF(TableRelationships12[[#This Row],[Rank Pedro]]="Low","linkCategory1",IF(TableRelationships12[[#This Row],[Rank Pedro]]="Medium","linkCategory2",IF(TableRelationships12[[#This Row],[Rank Pedro]]="High","linkCategory3","")))</f>
        <v/>
      </c>
      <c r="U1257" s="102" t="str">
        <f>IF(TableRelationships12[[#This Row],[Rank Pedro]]="Low","Pink",IF(TableRelationships12[[#This Row],[Rank Pedro]]="Medium","Purple",IF(TableRelationships12[[#This Row],[Rank Pedro]]="High","Brown","")))</f>
        <v/>
      </c>
      <c r="V1257" s="4" t="e">
        <f>MAX(INDEX(Standards!$F$2:$F$296,MATCH(B1257,Standards!$B$2:$B$296,0)),INDEX(Standards!$F$2:$F$296,MATCH(C1257,Standards!$B$2:$B$296,0)))</f>
        <v>#N/A</v>
      </c>
      <c r="W1257" t="str">
        <f t="shared" si="59"/>
        <v>#2f89d1</v>
      </c>
    </row>
    <row r="1258" spans="1:23" x14ac:dyDescent="0.5">
      <c r="A1258" s="54">
        <v>1257</v>
      </c>
      <c r="B1258" s="90" t="s">
        <v>346</v>
      </c>
      <c r="C1258" t="s">
        <v>1365</v>
      </c>
      <c r="D1258" s="1"/>
      <c r="G1258" s="107"/>
      <c r="H1258">
        <f>INDEX('GIS-Standards'!$A$2:$A$305,MATCH(B1258,'GIS-Standards'!$B$2:$B$305,0))</f>
        <v>54</v>
      </c>
      <c r="I1258" t="e">
        <f>INDEX('GIS-Standards'!$A$2:$A$305,MATCH(C1258,'GIS-Standards'!$B$2:$B$305,0))</f>
        <v>#N/A</v>
      </c>
      <c r="J1258" t="str">
        <f>INDEX('GIS-Standards'!$O$2:$O$305,MATCH(B1258,'GIS-Standards'!$B$2:$B$305,0))</f>
        <v>ISO/TC 211</v>
      </c>
      <c r="K1258" t="e">
        <f>INDEX('GIS-Standards'!$O$2:$O$305,MATCH(C1258,'GIS-Standards'!$B$2:$B$305,0))</f>
        <v>#N/A</v>
      </c>
      <c r="M1258" t="s">
        <v>525</v>
      </c>
      <c r="N1258" t="str">
        <f>INDEX('GIS-Standards'!$I$2:$I$305,MATCH(B1258,'GIS-Standards'!$B$2:$B$305,0))</f>
        <v>01.2019</v>
      </c>
      <c r="O1258" t="e">
        <f>INDEX('GIS-Standards'!$I$2:$I$305,MATCH(C1258,'GIS-Standards'!$B$2:$B$305,0))</f>
        <v>#N/A</v>
      </c>
      <c r="P1258" t="e">
        <f>AND(TableRelationships12[[#This Row],[Source Type]]="BIM",TableRelationships12[[#This Row],[Target Type]]="BIM")</f>
        <v>#N/A</v>
      </c>
      <c r="Q1258">
        <f t="shared" si="57"/>
        <v>1</v>
      </c>
      <c r="S1258">
        <f t="shared" si="58"/>
        <v>1</v>
      </c>
      <c r="T1258" s="102" t="str">
        <f>IF(TableRelationships12[[#This Row],[Rank Pedro]]="Low","linkCategory1",IF(TableRelationships12[[#This Row],[Rank Pedro]]="Medium","linkCategory2",IF(TableRelationships12[[#This Row],[Rank Pedro]]="High","linkCategory3","")))</f>
        <v/>
      </c>
      <c r="U1258" s="102" t="str">
        <f>IF(TableRelationships12[[#This Row],[Rank Pedro]]="Low","Pink",IF(TableRelationships12[[#This Row],[Rank Pedro]]="Medium","Purple",IF(TableRelationships12[[#This Row],[Rank Pedro]]="High","Brown","")))</f>
        <v/>
      </c>
      <c r="V1258" s="4" t="e">
        <f>MAX(INDEX(Standards!$F$2:$F$296,MATCH(B1258,Standards!$B$2:$B$296,0)),INDEX(Standards!$F$2:$F$296,MATCH(C1258,Standards!$B$2:$B$296,0)))</f>
        <v>#N/A</v>
      </c>
      <c r="W1258" t="str">
        <f t="shared" si="59"/>
        <v>#2f89d1</v>
      </c>
    </row>
    <row r="1259" spans="1:23" x14ac:dyDescent="0.5">
      <c r="A1259" s="54">
        <v>1258</v>
      </c>
      <c r="B1259" s="90" t="s">
        <v>346</v>
      </c>
      <c r="C1259" t="s">
        <v>1310</v>
      </c>
      <c r="D1259" s="1"/>
      <c r="G1259" s="107"/>
      <c r="H1259">
        <f>INDEX('GIS-Standards'!$A$2:$A$305,MATCH(B1259,'GIS-Standards'!$B$2:$B$305,0))</f>
        <v>54</v>
      </c>
      <c r="I1259" t="e">
        <f>INDEX('GIS-Standards'!$A$2:$A$305,MATCH(C1259,'GIS-Standards'!$B$2:$B$305,0))</f>
        <v>#N/A</v>
      </c>
      <c r="J1259" t="str">
        <f>INDEX('GIS-Standards'!$O$2:$O$305,MATCH(B1259,'GIS-Standards'!$B$2:$B$305,0))</f>
        <v>ISO/TC 211</v>
      </c>
      <c r="K1259" t="e">
        <f>INDEX('GIS-Standards'!$O$2:$O$305,MATCH(C1259,'GIS-Standards'!$B$2:$B$305,0))</f>
        <v>#N/A</v>
      </c>
      <c r="M1259" t="s">
        <v>525</v>
      </c>
      <c r="N1259" t="str">
        <f>INDEX('GIS-Standards'!$I$2:$I$305,MATCH(B1259,'GIS-Standards'!$B$2:$B$305,0))</f>
        <v>01.2019</v>
      </c>
      <c r="O1259" t="e">
        <f>INDEX('GIS-Standards'!$I$2:$I$305,MATCH(C1259,'GIS-Standards'!$B$2:$B$305,0))</f>
        <v>#N/A</v>
      </c>
      <c r="P1259" t="e">
        <f>AND(TableRelationships12[[#This Row],[Source Type]]="BIM",TableRelationships12[[#This Row],[Target Type]]="BIM")</f>
        <v>#N/A</v>
      </c>
      <c r="Q1259">
        <f t="shared" si="57"/>
        <v>1</v>
      </c>
      <c r="S1259">
        <f t="shared" si="58"/>
        <v>1</v>
      </c>
      <c r="T1259" s="102" t="str">
        <f>IF(TableRelationships12[[#This Row],[Rank Pedro]]="Low","linkCategory1",IF(TableRelationships12[[#This Row],[Rank Pedro]]="Medium","linkCategory2",IF(TableRelationships12[[#This Row],[Rank Pedro]]="High","linkCategory3","")))</f>
        <v/>
      </c>
      <c r="U1259" s="102" t="str">
        <f>IF(TableRelationships12[[#This Row],[Rank Pedro]]="Low","Pink",IF(TableRelationships12[[#This Row],[Rank Pedro]]="Medium","Purple",IF(TableRelationships12[[#This Row],[Rank Pedro]]="High","Brown","")))</f>
        <v/>
      </c>
      <c r="V1259" s="4" t="e">
        <f>MAX(INDEX(Standards!$F$2:$F$296,MATCH(B1259,Standards!$B$2:$B$296,0)),INDEX(Standards!$F$2:$F$296,MATCH(C1259,Standards!$B$2:$B$296,0)))</f>
        <v>#N/A</v>
      </c>
      <c r="W1259" t="str">
        <f t="shared" si="59"/>
        <v>#2f89d1</v>
      </c>
    </row>
    <row r="1260" spans="1:23" x14ac:dyDescent="0.5">
      <c r="A1260" s="54">
        <v>1259</v>
      </c>
      <c r="B1260" s="90" t="s">
        <v>346</v>
      </c>
      <c r="C1260" t="s">
        <v>1559</v>
      </c>
      <c r="D1260" s="1"/>
      <c r="G1260" s="107"/>
      <c r="H1260">
        <f>INDEX('GIS-Standards'!$A$2:$A$305,MATCH(B1260,'GIS-Standards'!$B$2:$B$305,0))</f>
        <v>54</v>
      </c>
      <c r="I1260" t="e">
        <f>INDEX('GIS-Standards'!$A$2:$A$305,MATCH(C1260,'GIS-Standards'!$B$2:$B$305,0))</f>
        <v>#N/A</v>
      </c>
      <c r="J1260" t="str">
        <f>INDEX('GIS-Standards'!$O$2:$O$305,MATCH(B1260,'GIS-Standards'!$B$2:$B$305,0))</f>
        <v>ISO/TC 211</v>
      </c>
      <c r="K1260" t="e">
        <f>INDEX('GIS-Standards'!$O$2:$O$305,MATCH(C1260,'GIS-Standards'!$B$2:$B$305,0))</f>
        <v>#N/A</v>
      </c>
      <c r="M1260" t="s">
        <v>525</v>
      </c>
      <c r="N1260" t="str">
        <f>INDEX('GIS-Standards'!$I$2:$I$305,MATCH(B1260,'GIS-Standards'!$B$2:$B$305,0))</f>
        <v>01.2019</v>
      </c>
      <c r="O1260" t="e">
        <f>INDEX('GIS-Standards'!$I$2:$I$305,MATCH(C1260,'GIS-Standards'!$B$2:$B$305,0))</f>
        <v>#N/A</v>
      </c>
      <c r="P1260" t="e">
        <f>AND(TableRelationships12[[#This Row],[Source Type]]="BIM",TableRelationships12[[#This Row],[Target Type]]="BIM")</f>
        <v>#N/A</v>
      </c>
      <c r="Q1260">
        <f t="shared" si="57"/>
        <v>1</v>
      </c>
      <c r="S1260">
        <f t="shared" si="58"/>
        <v>1</v>
      </c>
      <c r="T1260" s="102" t="str">
        <f>IF(TableRelationships12[[#This Row],[Rank Pedro]]="Low","linkCategory1",IF(TableRelationships12[[#This Row],[Rank Pedro]]="Medium","linkCategory2",IF(TableRelationships12[[#This Row],[Rank Pedro]]="High","linkCategory3","")))</f>
        <v/>
      </c>
      <c r="U1260" s="102" t="str">
        <f>IF(TableRelationships12[[#This Row],[Rank Pedro]]="Low","Pink",IF(TableRelationships12[[#This Row],[Rank Pedro]]="Medium","Purple",IF(TableRelationships12[[#This Row],[Rank Pedro]]="High","Brown","")))</f>
        <v/>
      </c>
      <c r="V1260" s="4" t="e">
        <f>MAX(INDEX(Standards!$F$2:$F$296,MATCH(B1260,Standards!$B$2:$B$296,0)),INDEX(Standards!$F$2:$F$296,MATCH(C1260,Standards!$B$2:$B$296,0)))</f>
        <v>#N/A</v>
      </c>
      <c r="W1260" t="str">
        <f t="shared" si="59"/>
        <v>#2f89d1</v>
      </c>
    </row>
    <row r="1261" spans="1:23" x14ac:dyDescent="0.5">
      <c r="A1261" s="54">
        <v>1260</v>
      </c>
      <c r="B1261" s="90" t="s">
        <v>346</v>
      </c>
      <c r="C1261" t="s">
        <v>1573</v>
      </c>
      <c r="D1261" s="1"/>
      <c r="G1261" s="107"/>
      <c r="H1261">
        <f>INDEX('GIS-Standards'!$A$2:$A$305,MATCH(B1261,'GIS-Standards'!$B$2:$B$305,0))</f>
        <v>54</v>
      </c>
      <c r="I1261" t="e">
        <f>INDEX('GIS-Standards'!$A$2:$A$305,MATCH(C1261,'GIS-Standards'!$B$2:$B$305,0))</f>
        <v>#N/A</v>
      </c>
      <c r="J1261" t="str">
        <f>INDEX('GIS-Standards'!$O$2:$O$305,MATCH(B1261,'GIS-Standards'!$B$2:$B$305,0))</f>
        <v>ISO/TC 211</v>
      </c>
      <c r="K1261" t="e">
        <f>INDEX('GIS-Standards'!$O$2:$O$305,MATCH(C1261,'GIS-Standards'!$B$2:$B$305,0))</f>
        <v>#N/A</v>
      </c>
      <c r="M1261" t="s">
        <v>525</v>
      </c>
      <c r="N1261" t="str">
        <f>INDEX('GIS-Standards'!$I$2:$I$305,MATCH(B1261,'GIS-Standards'!$B$2:$B$305,0))</f>
        <v>01.2019</v>
      </c>
      <c r="O1261" t="e">
        <f>INDEX('GIS-Standards'!$I$2:$I$305,MATCH(C1261,'GIS-Standards'!$B$2:$B$305,0))</f>
        <v>#N/A</v>
      </c>
      <c r="P1261" t="e">
        <f>AND(TableRelationships12[[#This Row],[Source Type]]="BIM",TableRelationships12[[#This Row],[Target Type]]="BIM")</f>
        <v>#N/A</v>
      </c>
      <c r="Q1261">
        <f t="shared" si="57"/>
        <v>1</v>
      </c>
      <c r="S1261">
        <f t="shared" si="58"/>
        <v>1</v>
      </c>
      <c r="T1261" s="102" t="str">
        <f>IF(TableRelationships12[[#This Row],[Rank Pedro]]="Low","linkCategory1",IF(TableRelationships12[[#This Row],[Rank Pedro]]="Medium","linkCategory2",IF(TableRelationships12[[#This Row],[Rank Pedro]]="High","linkCategory3","")))</f>
        <v/>
      </c>
      <c r="U1261" s="102" t="str">
        <f>IF(TableRelationships12[[#This Row],[Rank Pedro]]="Low","Pink",IF(TableRelationships12[[#This Row],[Rank Pedro]]="Medium","Purple",IF(TableRelationships12[[#This Row],[Rank Pedro]]="High","Brown","")))</f>
        <v/>
      </c>
      <c r="V1261" s="4" t="e">
        <f>MAX(INDEX(Standards!$F$2:$F$296,MATCH(B1261,Standards!$B$2:$B$296,0)),INDEX(Standards!$F$2:$F$296,MATCH(C1261,Standards!$B$2:$B$296,0)))</f>
        <v>#N/A</v>
      </c>
      <c r="W1261" t="str">
        <f t="shared" si="59"/>
        <v>#2f89d1</v>
      </c>
    </row>
    <row r="1262" spans="1:23" x14ac:dyDescent="0.5">
      <c r="A1262" s="54">
        <v>1261</v>
      </c>
      <c r="B1262" s="90" t="s">
        <v>346</v>
      </c>
      <c r="C1262" t="s">
        <v>1563</v>
      </c>
      <c r="D1262" s="1"/>
      <c r="G1262" s="107"/>
      <c r="H1262">
        <f>INDEX('GIS-Standards'!$A$2:$A$305,MATCH(B1262,'GIS-Standards'!$B$2:$B$305,0))</f>
        <v>54</v>
      </c>
      <c r="I1262" t="e">
        <f>INDEX('GIS-Standards'!$A$2:$A$305,MATCH(C1262,'GIS-Standards'!$B$2:$B$305,0))</f>
        <v>#N/A</v>
      </c>
      <c r="J1262" t="str">
        <f>INDEX('GIS-Standards'!$O$2:$O$305,MATCH(B1262,'GIS-Standards'!$B$2:$B$305,0))</f>
        <v>ISO/TC 211</v>
      </c>
      <c r="K1262" t="e">
        <f>INDEX('GIS-Standards'!$O$2:$O$305,MATCH(C1262,'GIS-Standards'!$B$2:$B$305,0))</f>
        <v>#N/A</v>
      </c>
      <c r="M1262" t="s">
        <v>525</v>
      </c>
      <c r="N1262" t="str">
        <f>INDEX('GIS-Standards'!$I$2:$I$305,MATCH(B1262,'GIS-Standards'!$B$2:$B$305,0))</f>
        <v>01.2019</v>
      </c>
      <c r="O1262" t="e">
        <f>INDEX('GIS-Standards'!$I$2:$I$305,MATCH(C1262,'GIS-Standards'!$B$2:$B$305,0))</f>
        <v>#N/A</v>
      </c>
      <c r="P1262" t="e">
        <f>AND(TableRelationships12[[#This Row],[Source Type]]="BIM",TableRelationships12[[#This Row],[Target Type]]="BIM")</f>
        <v>#N/A</v>
      </c>
      <c r="Q1262">
        <f t="shared" si="57"/>
        <v>1</v>
      </c>
      <c r="S1262">
        <f t="shared" si="58"/>
        <v>1</v>
      </c>
      <c r="T1262" s="102" t="str">
        <f>IF(TableRelationships12[[#This Row],[Rank Pedro]]="Low","linkCategory1",IF(TableRelationships12[[#This Row],[Rank Pedro]]="Medium","linkCategory2",IF(TableRelationships12[[#This Row],[Rank Pedro]]="High","linkCategory3","")))</f>
        <v/>
      </c>
      <c r="U1262" s="102" t="str">
        <f>IF(TableRelationships12[[#This Row],[Rank Pedro]]="Low","Pink",IF(TableRelationships12[[#This Row],[Rank Pedro]]="Medium","Purple",IF(TableRelationships12[[#This Row],[Rank Pedro]]="High","Brown","")))</f>
        <v/>
      </c>
      <c r="V1262" s="4" t="e">
        <f>MAX(INDEX(Standards!$F$2:$F$296,MATCH(B1262,Standards!$B$2:$B$296,0)),INDEX(Standards!$F$2:$F$296,MATCH(C1262,Standards!$B$2:$B$296,0)))</f>
        <v>#N/A</v>
      </c>
      <c r="W1262" t="str">
        <f t="shared" si="59"/>
        <v>#2f89d1</v>
      </c>
    </row>
    <row r="1263" spans="1:23" x14ac:dyDescent="0.5">
      <c r="A1263" s="54">
        <v>1262</v>
      </c>
      <c r="B1263" s="90" t="s">
        <v>346</v>
      </c>
      <c r="C1263" t="s">
        <v>1564</v>
      </c>
      <c r="D1263" s="1"/>
      <c r="G1263" s="107"/>
      <c r="H1263">
        <f>INDEX('GIS-Standards'!$A$2:$A$305,MATCH(B1263,'GIS-Standards'!$B$2:$B$305,0))</f>
        <v>54</v>
      </c>
      <c r="I1263" t="e">
        <f>INDEX('GIS-Standards'!$A$2:$A$305,MATCH(C1263,'GIS-Standards'!$B$2:$B$305,0))</f>
        <v>#N/A</v>
      </c>
      <c r="J1263" t="str">
        <f>INDEX('GIS-Standards'!$O$2:$O$305,MATCH(B1263,'GIS-Standards'!$B$2:$B$305,0))</f>
        <v>ISO/TC 211</v>
      </c>
      <c r="K1263" t="e">
        <f>INDEX('GIS-Standards'!$O$2:$O$305,MATCH(C1263,'GIS-Standards'!$B$2:$B$305,0))</f>
        <v>#N/A</v>
      </c>
      <c r="M1263" t="s">
        <v>525</v>
      </c>
      <c r="N1263" t="str">
        <f>INDEX('GIS-Standards'!$I$2:$I$305,MATCH(B1263,'GIS-Standards'!$B$2:$B$305,0))</f>
        <v>01.2019</v>
      </c>
      <c r="O1263" t="e">
        <f>INDEX('GIS-Standards'!$I$2:$I$305,MATCH(C1263,'GIS-Standards'!$B$2:$B$305,0))</f>
        <v>#N/A</v>
      </c>
      <c r="P1263" t="e">
        <f>AND(TableRelationships12[[#This Row],[Source Type]]="BIM",TableRelationships12[[#This Row],[Target Type]]="BIM")</f>
        <v>#N/A</v>
      </c>
      <c r="Q1263">
        <f t="shared" si="57"/>
        <v>1</v>
      </c>
      <c r="S1263">
        <f t="shared" si="58"/>
        <v>1</v>
      </c>
      <c r="T1263" s="102" t="str">
        <f>IF(TableRelationships12[[#This Row],[Rank Pedro]]="Low","linkCategory1",IF(TableRelationships12[[#This Row],[Rank Pedro]]="Medium","linkCategory2",IF(TableRelationships12[[#This Row],[Rank Pedro]]="High","linkCategory3","")))</f>
        <v/>
      </c>
      <c r="U1263" s="102" t="str">
        <f>IF(TableRelationships12[[#This Row],[Rank Pedro]]="Low","Pink",IF(TableRelationships12[[#This Row],[Rank Pedro]]="Medium","Purple",IF(TableRelationships12[[#This Row],[Rank Pedro]]="High","Brown","")))</f>
        <v/>
      </c>
      <c r="V1263" s="4" t="e">
        <f>MAX(INDEX(Standards!$F$2:$F$296,MATCH(B1263,Standards!$B$2:$B$296,0)),INDEX(Standards!$F$2:$F$296,MATCH(C1263,Standards!$B$2:$B$296,0)))</f>
        <v>#N/A</v>
      </c>
      <c r="W1263" t="str">
        <f t="shared" si="59"/>
        <v>#2f89d1</v>
      </c>
    </row>
    <row r="1264" spans="1:23" x14ac:dyDescent="0.5">
      <c r="A1264" s="54">
        <v>1263</v>
      </c>
      <c r="B1264" s="90" t="s">
        <v>346</v>
      </c>
      <c r="C1264" t="s">
        <v>1567</v>
      </c>
      <c r="D1264" s="1"/>
      <c r="G1264" s="107"/>
      <c r="H1264">
        <f>INDEX('GIS-Standards'!$A$2:$A$305,MATCH(B1264,'GIS-Standards'!$B$2:$B$305,0))</f>
        <v>54</v>
      </c>
      <c r="I1264" t="e">
        <f>INDEX('GIS-Standards'!$A$2:$A$305,MATCH(C1264,'GIS-Standards'!$B$2:$B$305,0))</f>
        <v>#N/A</v>
      </c>
      <c r="J1264" t="str">
        <f>INDEX('GIS-Standards'!$O$2:$O$305,MATCH(B1264,'GIS-Standards'!$B$2:$B$305,0))</f>
        <v>ISO/TC 211</v>
      </c>
      <c r="K1264" t="e">
        <f>INDEX('GIS-Standards'!$O$2:$O$305,MATCH(C1264,'GIS-Standards'!$B$2:$B$305,0))</f>
        <v>#N/A</v>
      </c>
      <c r="M1264" t="s">
        <v>525</v>
      </c>
      <c r="N1264" t="str">
        <f>INDEX('GIS-Standards'!$I$2:$I$305,MATCH(B1264,'GIS-Standards'!$B$2:$B$305,0))</f>
        <v>01.2019</v>
      </c>
      <c r="O1264" t="e">
        <f>INDEX('GIS-Standards'!$I$2:$I$305,MATCH(C1264,'GIS-Standards'!$B$2:$B$305,0))</f>
        <v>#N/A</v>
      </c>
      <c r="P1264" t="e">
        <f>AND(TableRelationships12[[#This Row],[Source Type]]="BIM",TableRelationships12[[#This Row],[Target Type]]="BIM")</f>
        <v>#N/A</v>
      </c>
      <c r="Q1264">
        <f t="shared" si="57"/>
        <v>1</v>
      </c>
      <c r="S1264">
        <f t="shared" si="58"/>
        <v>1</v>
      </c>
      <c r="T1264" s="102" t="str">
        <f>IF(TableRelationships12[[#This Row],[Rank Pedro]]="Low","linkCategory1",IF(TableRelationships12[[#This Row],[Rank Pedro]]="Medium","linkCategory2",IF(TableRelationships12[[#This Row],[Rank Pedro]]="High","linkCategory3","")))</f>
        <v/>
      </c>
      <c r="U1264" s="102" t="str">
        <f>IF(TableRelationships12[[#This Row],[Rank Pedro]]="Low","Pink",IF(TableRelationships12[[#This Row],[Rank Pedro]]="Medium","Purple",IF(TableRelationships12[[#This Row],[Rank Pedro]]="High","Brown","")))</f>
        <v/>
      </c>
      <c r="V1264" s="4" t="e">
        <f>MAX(INDEX(Standards!$F$2:$F$296,MATCH(B1264,Standards!$B$2:$B$296,0)),INDEX(Standards!$F$2:$F$296,MATCH(C1264,Standards!$B$2:$B$296,0)))</f>
        <v>#N/A</v>
      </c>
      <c r="W1264" t="str">
        <f t="shared" si="59"/>
        <v>#2f89d1</v>
      </c>
    </row>
    <row r="1265" spans="1:23" x14ac:dyDescent="0.5">
      <c r="A1265" s="54">
        <v>1264</v>
      </c>
      <c r="B1265" s="90" t="s">
        <v>346</v>
      </c>
      <c r="C1265" t="s">
        <v>1578</v>
      </c>
      <c r="D1265" s="1"/>
      <c r="G1265" s="107"/>
      <c r="H1265">
        <f>INDEX('GIS-Standards'!$A$2:$A$305,MATCH(B1265,'GIS-Standards'!$B$2:$B$305,0))</f>
        <v>54</v>
      </c>
      <c r="I1265" t="e">
        <f>INDEX('GIS-Standards'!$A$2:$A$305,MATCH(C1265,'GIS-Standards'!$B$2:$B$305,0))</f>
        <v>#N/A</v>
      </c>
      <c r="J1265" t="str">
        <f>INDEX('GIS-Standards'!$O$2:$O$305,MATCH(B1265,'GIS-Standards'!$B$2:$B$305,0))</f>
        <v>ISO/TC 211</v>
      </c>
      <c r="K1265" t="e">
        <f>INDEX('GIS-Standards'!$O$2:$O$305,MATCH(C1265,'GIS-Standards'!$B$2:$B$305,0))</f>
        <v>#N/A</v>
      </c>
      <c r="M1265" t="s">
        <v>525</v>
      </c>
      <c r="N1265" t="str">
        <f>INDEX('GIS-Standards'!$I$2:$I$305,MATCH(B1265,'GIS-Standards'!$B$2:$B$305,0))</f>
        <v>01.2019</v>
      </c>
      <c r="O1265" t="e">
        <f>INDEX('GIS-Standards'!$I$2:$I$305,MATCH(C1265,'GIS-Standards'!$B$2:$B$305,0))</f>
        <v>#N/A</v>
      </c>
      <c r="P1265" t="e">
        <f>AND(TableRelationships12[[#This Row],[Source Type]]="BIM",TableRelationships12[[#This Row],[Target Type]]="BIM")</f>
        <v>#N/A</v>
      </c>
      <c r="Q1265">
        <f t="shared" si="57"/>
        <v>1</v>
      </c>
      <c r="S1265">
        <f t="shared" si="58"/>
        <v>1</v>
      </c>
      <c r="T1265" s="102" t="str">
        <f>IF(TableRelationships12[[#This Row],[Rank Pedro]]="Low","linkCategory1",IF(TableRelationships12[[#This Row],[Rank Pedro]]="Medium","linkCategory2",IF(TableRelationships12[[#This Row],[Rank Pedro]]="High","linkCategory3","")))</f>
        <v/>
      </c>
      <c r="U1265" s="102" t="str">
        <f>IF(TableRelationships12[[#This Row],[Rank Pedro]]="Low","Pink",IF(TableRelationships12[[#This Row],[Rank Pedro]]="Medium","Purple",IF(TableRelationships12[[#This Row],[Rank Pedro]]="High","Brown","")))</f>
        <v/>
      </c>
      <c r="V1265" s="4" t="e">
        <f>MAX(INDEX(Standards!$F$2:$F$296,MATCH(B1265,Standards!$B$2:$B$296,0)),INDEX(Standards!$F$2:$F$296,MATCH(C1265,Standards!$B$2:$B$296,0)))</f>
        <v>#N/A</v>
      </c>
      <c r="W1265" t="str">
        <f t="shared" si="59"/>
        <v>#2f89d1</v>
      </c>
    </row>
    <row r="1266" spans="1:23" x14ac:dyDescent="0.5">
      <c r="A1266" s="54">
        <v>1265</v>
      </c>
      <c r="B1266" s="90" t="s">
        <v>346</v>
      </c>
      <c r="C1266" t="s">
        <v>474</v>
      </c>
      <c r="D1266" s="1"/>
      <c r="E1266" s="113">
        <v>1974.12</v>
      </c>
      <c r="F1266" s="113">
        <v>2022.1</v>
      </c>
      <c r="G1266" s="107" t="s">
        <v>1511</v>
      </c>
      <c r="H1266">
        <f>INDEX('GIS-Standards'!$A$2:$A$305,MATCH(B1266,'GIS-Standards'!$B$2:$B$305,0))</f>
        <v>54</v>
      </c>
      <c r="I1266" t="e">
        <f>INDEX('GIS-Standards'!$A$2:$A$305,MATCH(C1266,'GIS-Standards'!$B$2:$B$305,0))</f>
        <v>#N/A</v>
      </c>
      <c r="J1266" t="str">
        <f>INDEX('GIS-Standards'!$O$2:$O$305,MATCH(B1266,'GIS-Standards'!$B$2:$B$305,0))</f>
        <v>ISO/TC 211</v>
      </c>
      <c r="K1266" t="e">
        <f>INDEX('GIS-Standards'!$O$2:$O$305,MATCH(C1266,'GIS-Standards'!$B$2:$B$305,0))</f>
        <v>#N/A</v>
      </c>
      <c r="M1266" t="s">
        <v>525</v>
      </c>
      <c r="N1266" t="str">
        <f>INDEX('GIS-Standards'!$I$2:$I$305,MATCH(B1266,'GIS-Standards'!$B$2:$B$305,0))</f>
        <v>01.2019</v>
      </c>
      <c r="O1266" t="e">
        <f>INDEX('GIS-Standards'!$I$2:$I$305,MATCH(C1266,'GIS-Standards'!$B$2:$B$305,0))</f>
        <v>#N/A</v>
      </c>
      <c r="P1266" t="e">
        <f>AND(TableRelationships12[[#This Row],[Source Type]]="BIM",TableRelationships12[[#This Row],[Target Type]]="BIM")</f>
        <v>#N/A</v>
      </c>
      <c r="Q1266">
        <f t="shared" si="57"/>
        <v>1</v>
      </c>
      <c r="S1266">
        <f t="shared" si="58"/>
        <v>1</v>
      </c>
      <c r="T1266" s="102" t="str">
        <f>IF(TableRelationships12[[#This Row],[Rank Pedro]]="Low","linkCategory1",IF(TableRelationships12[[#This Row],[Rank Pedro]]="Medium","linkCategory2",IF(TableRelationships12[[#This Row],[Rank Pedro]]="High","linkCategory3","")))</f>
        <v/>
      </c>
      <c r="U1266" s="102" t="str">
        <f>IF(TableRelationships12[[#This Row],[Rank Pedro]]="Low","Pink",IF(TableRelationships12[[#This Row],[Rank Pedro]]="Medium","Purple",IF(TableRelationships12[[#This Row],[Rank Pedro]]="High","Brown","")))</f>
        <v/>
      </c>
      <c r="V1266" s="4">
        <f>MAX(INDEX(Standards!$F$2:$F$296,MATCH(B1266,Standards!$B$2:$B$296,0)),INDEX(Standards!$F$2:$F$296,MATCH(C1266,Standards!$B$2:$B$296,0)))</f>
        <v>42186</v>
      </c>
      <c r="W1266" t="str">
        <f t="shared" si="59"/>
        <v>#2f89d1</v>
      </c>
    </row>
    <row r="1267" spans="1:23" x14ac:dyDescent="0.5">
      <c r="A1267" s="54">
        <v>1266</v>
      </c>
      <c r="B1267" s="90" t="s">
        <v>636</v>
      </c>
      <c r="C1267" t="s">
        <v>527</v>
      </c>
      <c r="D1267" s="1"/>
      <c r="E1267" s="112" t="s">
        <v>987</v>
      </c>
      <c r="F1267" s="112" t="s">
        <v>987</v>
      </c>
      <c r="G1267" s="121" t="s">
        <v>670</v>
      </c>
      <c r="H1267">
        <f>INDEX('GIS-Standards'!$A$2:$A$305,MATCH(B1267,'GIS-Standards'!$B$2:$B$305,0))</f>
        <v>55</v>
      </c>
      <c r="I1267" t="e">
        <f>INDEX('GIS-Standards'!$A$2:$A$305,MATCH(C1267,'GIS-Standards'!$B$2:$B$305,0))</f>
        <v>#N/A</v>
      </c>
      <c r="J1267" t="str">
        <f>INDEX('GIS-Standards'!$O$2:$O$305,MATCH(B1267,'GIS-Standards'!$B$2:$B$305,0))</f>
        <v>ISO/TC 211</v>
      </c>
      <c r="K1267" t="e">
        <f>INDEX('GIS-Standards'!$O$2:$O$305,MATCH(C1267,'GIS-Standards'!$B$2:$B$305,0))</f>
        <v>#N/A</v>
      </c>
      <c r="M1267" t="s">
        <v>237</v>
      </c>
      <c r="N1267">
        <f>INDEX('GIS-Standards'!$I$2:$I$305,MATCH(B1267,'GIS-Standards'!$B$2:$B$305,0))</f>
        <v>0</v>
      </c>
      <c r="O1267" t="e">
        <f>INDEX('GIS-Standards'!$I$2:$I$305,MATCH(C1267,'GIS-Standards'!$B$2:$B$305,0))</f>
        <v>#N/A</v>
      </c>
      <c r="P1267" t="e">
        <f>AND(TableRelationships12[[#This Row],[Source Type]]="BIM",TableRelationships12[[#This Row],[Target Type]]="BIM")</f>
        <v>#N/A</v>
      </c>
      <c r="Q1267">
        <f t="shared" si="57"/>
        <v>2</v>
      </c>
      <c r="S1267">
        <f t="shared" si="58"/>
        <v>1</v>
      </c>
      <c r="T1267" s="102" t="str">
        <f>IF(TableRelationships12[[#This Row],[Rank Pedro]]="Low","linkCategory1",IF(TableRelationships12[[#This Row],[Rank Pedro]]="Medium","linkCategory2",IF(TableRelationships12[[#This Row],[Rank Pedro]]="High","linkCategory3","")))</f>
        <v/>
      </c>
      <c r="U1267" s="102" t="str">
        <f>IF(TableRelationships12[[#This Row],[Rank Pedro]]="Low","Pink",IF(TableRelationships12[[#This Row],[Rank Pedro]]="Medium","Purple",IF(TableRelationships12[[#This Row],[Rank Pedro]]="High","Brown","")))</f>
        <v/>
      </c>
      <c r="V1267" s="4" t="e">
        <f>MAX(INDEX(Standards!$F$2:$F$296,MATCH(B1267,Standards!$B$2:$B$296,0)),INDEX(Standards!$F$2:$F$296,MATCH(C1267,Standards!$B$2:$B$296,0)))</f>
        <v>#N/A</v>
      </c>
      <c r="W1267">
        <f t="shared" si="59"/>
        <v>1</v>
      </c>
    </row>
    <row r="1268" spans="1:23" x14ac:dyDescent="0.5">
      <c r="A1268" s="54">
        <v>1267</v>
      </c>
      <c r="B1268" s="90" t="s">
        <v>636</v>
      </c>
      <c r="C1268" t="s">
        <v>296</v>
      </c>
      <c r="D1268" s="1"/>
      <c r="E1268" s="112">
        <v>2005.07</v>
      </c>
      <c r="F1268" s="112">
        <v>2024.09</v>
      </c>
      <c r="G1268" s="107" t="s">
        <v>670</v>
      </c>
      <c r="H1268">
        <f>INDEX('GIS-Standards'!$A$2:$A$305,MATCH(B1268,'GIS-Standards'!$B$2:$B$305,0))</f>
        <v>55</v>
      </c>
      <c r="I1268">
        <f>INDEX('GIS-Standards'!$A$2:$A$305,MATCH(C1268,'GIS-Standards'!$B$2:$B$305,0))</f>
        <v>12</v>
      </c>
      <c r="J1268" t="str">
        <f>INDEX('GIS-Standards'!$O$2:$O$305,MATCH(B1268,'GIS-Standards'!$B$2:$B$305,0))</f>
        <v>ISO/TC 211</v>
      </c>
      <c r="K1268" t="str">
        <f>INDEX('GIS-Standards'!$O$2:$O$305,MATCH(C1268,'GIS-Standards'!$B$2:$B$305,0))</f>
        <v>ISO/TC 211</v>
      </c>
      <c r="M1268" t="s">
        <v>524</v>
      </c>
      <c r="N1268">
        <f>INDEX('GIS-Standards'!$I$2:$I$305,MATCH(B1268,'GIS-Standards'!$B$2:$B$305,0))</f>
        <v>0</v>
      </c>
      <c r="O1268">
        <f>INDEX('GIS-Standards'!$I$2:$I$305,MATCH(C1268,'GIS-Standards'!$B$2:$B$305,0))</f>
        <v>0</v>
      </c>
      <c r="P1268" t="b">
        <f>AND(TableRelationships12[[#This Row],[Source Type]]="BIM",TableRelationships12[[#This Row],[Target Type]]="BIM")</f>
        <v>0</v>
      </c>
      <c r="Q1268">
        <f t="shared" si="57"/>
        <v>6</v>
      </c>
      <c r="S1268">
        <f t="shared" si="58"/>
        <v>1</v>
      </c>
      <c r="T1268" s="102" t="str">
        <f>IF(TableRelationships12[[#This Row],[Rank Pedro]]="Low","linkCategory1",IF(TableRelationships12[[#This Row],[Rank Pedro]]="Medium","linkCategory2",IF(TableRelationships12[[#This Row],[Rank Pedro]]="High","linkCategory3","")))</f>
        <v/>
      </c>
      <c r="U1268" s="102" t="str">
        <f>IF(TableRelationships12[[#This Row],[Rank Pedro]]="Low","Pink",IF(TableRelationships12[[#This Row],[Rank Pedro]]="Medium","Purple",IF(TableRelationships12[[#This Row],[Rank Pedro]]="High","Brown","")))</f>
        <v/>
      </c>
      <c r="V1268" s="4" t="e">
        <f>MAX(INDEX(Standards!$F$2:$F$296,MATCH(B1268,Standards!$B$2:$B$296,0)),INDEX(Standards!$F$2:$F$296,MATCH(C1268,Standards!$B$2:$B$296,0)))</f>
        <v>#N/A</v>
      </c>
      <c r="W1268" t="str">
        <f t="shared" si="59"/>
        <v>#d6bf2a</v>
      </c>
    </row>
    <row r="1269" spans="1:23" x14ac:dyDescent="0.5">
      <c r="A1269" s="54">
        <v>1268</v>
      </c>
      <c r="B1269" s="90" t="s">
        <v>636</v>
      </c>
      <c r="C1269" t="s">
        <v>314</v>
      </c>
      <c r="D1269" s="1"/>
      <c r="E1269" s="112">
        <v>2003.05</v>
      </c>
      <c r="F1269" s="112">
        <v>2020.11</v>
      </c>
      <c r="G1269" s="107" t="s">
        <v>670</v>
      </c>
      <c r="H1269">
        <f>INDEX('GIS-Standards'!$A$2:$A$305,MATCH(B1269,'GIS-Standards'!$B$2:$B$305,0))</f>
        <v>55</v>
      </c>
      <c r="I1269">
        <f>INDEX('GIS-Standards'!$A$2:$A$305,MATCH(C1269,'GIS-Standards'!$B$2:$B$305,0))</f>
        <v>22</v>
      </c>
      <c r="J1269" t="str">
        <f>INDEX('GIS-Standards'!$O$2:$O$305,MATCH(B1269,'GIS-Standards'!$B$2:$B$305,0))</f>
        <v>ISO/TC 211</v>
      </c>
      <c r="K1269" t="str">
        <f>INDEX('GIS-Standards'!$O$2:$O$305,MATCH(C1269,'GIS-Standards'!$B$2:$B$305,0))</f>
        <v>ISO/TC 211</v>
      </c>
      <c r="M1269" t="s">
        <v>524</v>
      </c>
      <c r="N1269">
        <f>INDEX('GIS-Standards'!$I$2:$I$305,MATCH(B1269,'GIS-Standards'!$B$2:$B$305,0))</f>
        <v>0</v>
      </c>
      <c r="O1269" t="str">
        <f>INDEX('GIS-Standards'!$I$2:$I$305,MATCH(C1269,'GIS-Standards'!$B$2:$B$305,0))</f>
        <v>12.2020</v>
      </c>
      <c r="P1269" t="b">
        <f>AND(TableRelationships12[[#This Row],[Source Type]]="BIM",TableRelationships12[[#This Row],[Target Type]]="BIM")</f>
        <v>0</v>
      </c>
      <c r="Q1269">
        <f t="shared" si="57"/>
        <v>6</v>
      </c>
      <c r="S1269">
        <f t="shared" si="58"/>
        <v>1</v>
      </c>
      <c r="T1269" s="102" t="str">
        <f>IF(TableRelationships12[[#This Row],[Rank Pedro]]="Low","linkCategory1",IF(TableRelationships12[[#This Row],[Rank Pedro]]="Medium","linkCategory2",IF(TableRelationships12[[#This Row],[Rank Pedro]]="High","linkCategory3","")))</f>
        <v/>
      </c>
      <c r="U1269" s="102" t="str">
        <f>IF(TableRelationships12[[#This Row],[Rank Pedro]]="Low","Pink",IF(TableRelationships12[[#This Row],[Rank Pedro]]="Medium","Purple",IF(TableRelationships12[[#This Row],[Rank Pedro]]="High","Brown","")))</f>
        <v/>
      </c>
      <c r="V1269" s="4" t="e">
        <f>MAX(INDEX(Standards!$F$2:$F$296,MATCH(B1269,Standards!$B$2:$B$296,0)),INDEX(Standards!$F$2:$F$296,MATCH(C1269,Standards!$B$2:$B$296,0)))</f>
        <v>#N/A</v>
      </c>
      <c r="W1269" t="str">
        <f t="shared" si="59"/>
        <v>#d6bf2a</v>
      </c>
    </row>
    <row r="1270" spans="1:23" x14ac:dyDescent="0.5">
      <c r="A1270" s="54">
        <v>1269</v>
      </c>
      <c r="B1270" s="90" t="s">
        <v>636</v>
      </c>
      <c r="C1270" t="s">
        <v>318</v>
      </c>
      <c r="D1270" s="1"/>
      <c r="E1270" s="112">
        <v>2005.02</v>
      </c>
      <c r="F1270" s="112">
        <v>2016.01</v>
      </c>
      <c r="G1270" s="107" t="s">
        <v>670</v>
      </c>
      <c r="H1270">
        <f>INDEX('GIS-Standards'!$A$2:$A$305,MATCH(B1270,'GIS-Standards'!$B$2:$B$305,0))</f>
        <v>55</v>
      </c>
      <c r="I1270">
        <f>INDEX('GIS-Standards'!$A$2:$A$305,MATCH(C1270,'GIS-Standards'!$B$2:$B$305,0))</f>
        <v>28</v>
      </c>
      <c r="J1270" t="str">
        <f>INDEX('GIS-Standards'!$O$2:$O$305,MATCH(B1270,'GIS-Standards'!$B$2:$B$305,0))</f>
        <v>ISO/TC 211</v>
      </c>
      <c r="K1270" t="str">
        <f>INDEX('GIS-Standards'!$O$2:$O$305,MATCH(C1270,'GIS-Standards'!$B$2:$B$305,0))</f>
        <v>ISO/TC 211</v>
      </c>
      <c r="M1270" t="s">
        <v>524</v>
      </c>
      <c r="N1270">
        <f>INDEX('GIS-Standards'!$I$2:$I$305,MATCH(B1270,'GIS-Standards'!$B$2:$B$305,0))</f>
        <v>0</v>
      </c>
      <c r="O1270">
        <f>INDEX('GIS-Standards'!$I$2:$I$305,MATCH(C1270,'GIS-Standards'!$B$2:$B$305,0))</f>
        <v>0</v>
      </c>
      <c r="P1270" t="b">
        <f>AND(TableRelationships12[[#This Row],[Source Type]]="BIM",TableRelationships12[[#This Row],[Target Type]]="BIM")</f>
        <v>0</v>
      </c>
      <c r="Q1270">
        <f t="shared" si="57"/>
        <v>6</v>
      </c>
      <c r="S1270">
        <f t="shared" si="58"/>
        <v>1</v>
      </c>
      <c r="T1270" s="102" t="str">
        <f>IF(TableRelationships12[[#This Row],[Rank Pedro]]="Low","linkCategory1",IF(TableRelationships12[[#This Row],[Rank Pedro]]="Medium","linkCategory2",IF(TableRelationships12[[#This Row],[Rank Pedro]]="High","linkCategory3","")))</f>
        <v/>
      </c>
      <c r="U1270" s="102" t="str">
        <f>IF(TableRelationships12[[#This Row],[Rank Pedro]]="Low","Pink",IF(TableRelationships12[[#This Row],[Rank Pedro]]="Medium","Purple",IF(TableRelationships12[[#This Row],[Rank Pedro]]="High","Brown","")))</f>
        <v/>
      </c>
      <c r="V1270" s="4" t="e">
        <f>MAX(INDEX(Standards!$F$2:$F$296,MATCH(B1270,Standards!$B$2:$B$296,0)),INDEX(Standards!$F$2:$F$296,MATCH(C1270,Standards!$B$2:$B$296,0)))</f>
        <v>#N/A</v>
      </c>
      <c r="W1270" t="str">
        <f t="shared" si="59"/>
        <v>#d6bf2a</v>
      </c>
    </row>
    <row r="1271" spans="1:23" x14ac:dyDescent="0.5">
      <c r="A1271" s="54">
        <v>1270</v>
      </c>
      <c r="B1271" s="90" t="s">
        <v>636</v>
      </c>
      <c r="C1271" t="s">
        <v>346</v>
      </c>
      <c r="D1271" s="1"/>
      <c r="E1271" s="112">
        <v>2015.07</v>
      </c>
      <c r="F1271" s="112">
        <v>2019.01</v>
      </c>
      <c r="G1271" s="107" t="s">
        <v>670</v>
      </c>
      <c r="H1271">
        <f>INDEX('GIS-Standards'!$A$2:$A$305,MATCH(B1271,'GIS-Standards'!$B$2:$B$305,0))</f>
        <v>55</v>
      </c>
      <c r="I1271">
        <f>INDEX('GIS-Standards'!$A$2:$A$305,MATCH(C1271,'GIS-Standards'!$B$2:$B$305,0))</f>
        <v>54</v>
      </c>
      <c r="J1271" t="str">
        <f>INDEX('GIS-Standards'!$O$2:$O$305,MATCH(B1271,'GIS-Standards'!$B$2:$B$305,0))</f>
        <v>ISO/TC 211</v>
      </c>
      <c r="K1271" t="str">
        <f>INDEX('GIS-Standards'!$O$2:$O$305,MATCH(C1271,'GIS-Standards'!$B$2:$B$305,0))</f>
        <v>ISO/TC 211</v>
      </c>
      <c r="M1271" t="s">
        <v>524</v>
      </c>
      <c r="N1271">
        <f>INDEX('GIS-Standards'!$I$2:$I$305,MATCH(B1271,'GIS-Standards'!$B$2:$B$305,0))</f>
        <v>0</v>
      </c>
      <c r="O1271" t="str">
        <f>INDEX('GIS-Standards'!$I$2:$I$305,MATCH(C1271,'GIS-Standards'!$B$2:$B$305,0))</f>
        <v>01.2019</v>
      </c>
      <c r="P1271" t="b">
        <f>AND(TableRelationships12[[#This Row],[Source Type]]="BIM",TableRelationships12[[#This Row],[Target Type]]="BIM")</f>
        <v>0</v>
      </c>
      <c r="Q1271">
        <f t="shared" si="57"/>
        <v>6</v>
      </c>
      <c r="S1271">
        <f t="shared" si="58"/>
        <v>1</v>
      </c>
      <c r="T1271" s="102" t="str">
        <f>IF(TableRelationships12[[#This Row],[Rank Pedro]]="Low","linkCategory1",IF(TableRelationships12[[#This Row],[Rank Pedro]]="Medium","linkCategory2",IF(TableRelationships12[[#This Row],[Rank Pedro]]="High","linkCategory3","")))</f>
        <v/>
      </c>
      <c r="U1271" s="102" t="str">
        <f>IF(TableRelationships12[[#This Row],[Rank Pedro]]="Low","Pink",IF(TableRelationships12[[#This Row],[Rank Pedro]]="Medium","Purple",IF(TableRelationships12[[#This Row],[Rank Pedro]]="High","Brown","")))</f>
        <v/>
      </c>
      <c r="V1271" s="4" t="e">
        <f>MAX(INDEX(Standards!$F$2:$F$296,MATCH(B1271,Standards!$B$2:$B$296,0)),INDEX(Standards!$F$2:$F$296,MATCH(C1271,Standards!$B$2:$B$296,0)))</f>
        <v>#N/A</v>
      </c>
      <c r="W1271" t="str">
        <f t="shared" si="59"/>
        <v>#d6bf2a</v>
      </c>
    </row>
    <row r="1272" spans="1:23" x14ac:dyDescent="0.5">
      <c r="A1272" s="54">
        <v>1271</v>
      </c>
      <c r="B1272" s="90" t="s">
        <v>636</v>
      </c>
      <c r="C1272" t="s">
        <v>437</v>
      </c>
      <c r="D1272" s="1" t="s">
        <v>249</v>
      </c>
      <c r="E1272" s="112">
        <v>1988.03</v>
      </c>
      <c r="F1272" s="112">
        <v>2023.11</v>
      </c>
      <c r="G1272" s="107" t="s">
        <v>1457</v>
      </c>
      <c r="H1272">
        <f>INDEX('GIS-Standards'!$A$2:$A$305,MATCH(B1272,'GIS-Standards'!$B$2:$B$305,0))</f>
        <v>55</v>
      </c>
      <c r="I1272" t="e">
        <f>INDEX('GIS-Standards'!$A$2:$A$305,MATCH(C1272,'GIS-Standards'!$B$2:$B$305,0))</f>
        <v>#N/A</v>
      </c>
      <c r="J1272" t="str">
        <f>INDEX('GIS-Standards'!$O$2:$O$305,MATCH(B1272,'GIS-Standards'!$B$2:$B$305,0))</f>
        <v>ISO/TC 211</v>
      </c>
      <c r="K1272" t="e">
        <f>INDEX('GIS-Standards'!$O$2:$O$305,MATCH(C1272,'GIS-Standards'!$B$2:$B$305,0))</f>
        <v>#N/A</v>
      </c>
      <c r="M1272" t="s">
        <v>525</v>
      </c>
      <c r="N1272">
        <f>INDEX('GIS-Standards'!$I$2:$I$305,MATCH(B1272,'GIS-Standards'!$B$2:$B$305,0))</f>
        <v>0</v>
      </c>
      <c r="O1272" t="e">
        <f>INDEX('GIS-Standards'!$I$2:$I$305,MATCH(C1272,'GIS-Standards'!$B$2:$B$305,0))</f>
        <v>#N/A</v>
      </c>
      <c r="P1272" t="e">
        <f>AND(TableRelationships12[[#This Row],[Source Type]]="BIM",TableRelationships12[[#This Row],[Target Type]]="BIM")</f>
        <v>#N/A</v>
      </c>
      <c r="Q1272">
        <f t="shared" si="57"/>
        <v>1</v>
      </c>
      <c r="S1272">
        <f t="shared" si="58"/>
        <v>1</v>
      </c>
      <c r="T1272" s="102" t="str">
        <f>IF(TableRelationships12[[#This Row],[Rank Pedro]]="Low","linkCategory1",IF(TableRelationships12[[#This Row],[Rank Pedro]]="Medium","linkCategory2",IF(TableRelationships12[[#This Row],[Rank Pedro]]="High","linkCategory3","")))</f>
        <v/>
      </c>
      <c r="U1272" s="102" t="str">
        <f>IF(TableRelationships12[[#This Row],[Rank Pedro]]="Low","Pink",IF(TableRelationships12[[#This Row],[Rank Pedro]]="Medium","Purple",IF(TableRelationships12[[#This Row],[Rank Pedro]]="High","Brown","")))</f>
        <v/>
      </c>
      <c r="V1272" s="4" t="e">
        <f>MAX(INDEX(Standards!$F$2:$F$296,MATCH(B1272,Standards!$B$2:$B$296,0)),INDEX(Standards!$F$2:$F$296,MATCH(C1272,Standards!$B$2:$B$296,0)))</f>
        <v>#N/A</v>
      </c>
      <c r="W1272" t="str">
        <f t="shared" si="59"/>
        <v>#2f89d1</v>
      </c>
    </row>
    <row r="1273" spans="1:23" x14ac:dyDescent="0.5">
      <c r="A1273" s="54">
        <v>1272</v>
      </c>
      <c r="B1273" s="90" t="s">
        <v>636</v>
      </c>
      <c r="C1273" t="s">
        <v>293</v>
      </c>
      <c r="D1273" s="1"/>
      <c r="E1273" s="112">
        <v>2002.07</v>
      </c>
      <c r="F1273" s="112">
        <v>2014.11</v>
      </c>
      <c r="G1273" s="107" t="s">
        <v>670</v>
      </c>
      <c r="H1273">
        <f>INDEX('GIS-Standards'!$A$2:$A$305,MATCH(B1273,'GIS-Standards'!$B$2:$B$305,0))</f>
        <v>55</v>
      </c>
      <c r="I1273">
        <f>INDEX('GIS-Standards'!$A$2:$A$305,MATCH(C1273,'GIS-Standards'!$B$2:$B$305,0))</f>
        <v>10</v>
      </c>
      <c r="J1273" t="str">
        <f>INDEX('GIS-Standards'!$O$2:$O$305,MATCH(B1273,'GIS-Standards'!$B$2:$B$305,0))</f>
        <v>ISO/TC 211</v>
      </c>
      <c r="K1273" t="str">
        <f>INDEX('GIS-Standards'!$O$2:$O$305,MATCH(C1273,'GIS-Standards'!$B$2:$B$305,0))</f>
        <v>ISO/TC 211</v>
      </c>
      <c r="M1273" t="s">
        <v>525</v>
      </c>
      <c r="N1273">
        <f>INDEX('GIS-Standards'!$I$2:$I$305,MATCH(B1273,'GIS-Standards'!$B$2:$B$305,0))</f>
        <v>0</v>
      </c>
      <c r="O1273">
        <f>INDEX('GIS-Standards'!$I$2:$I$305,MATCH(C1273,'GIS-Standards'!$B$2:$B$305,0))</f>
        <v>0</v>
      </c>
      <c r="P1273" t="b">
        <f>AND(TableRelationships12[[#This Row],[Source Type]]="BIM",TableRelationships12[[#This Row],[Target Type]]="BIM")</f>
        <v>0</v>
      </c>
      <c r="Q1273">
        <f t="shared" si="57"/>
        <v>1</v>
      </c>
      <c r="S1273">
        <f t="shared" si="58"/>
        <v>1</v>
      </c>
      <c r="T1273" s="102" t="str">
        <f>IF(TableRelationships12[[#This Row],[Rank Pedro]]="Low","linkCategory1",IF(TableRelationships12[[#This Row],[Rank Pedro]]="Medium","linkCategory2",IF(TableRelationships12[[#This Row],[Rank Pedro]]="High","linkCategory3","")))</f>
        <v/>
      </c>
      <c r="U1273" s="102" t="str">
        <f>IF(TableRelationships12[[#This Row],[Rank Pedro]]="Low","Pink",IF(TableRelationships12[[#This Row],[Rank Pedro]]="Medium","Purple",IF(TableRelationships12[[#This Row],[Rank Pedro]]="High","Brown","")))</f>
        <v/>
      </c>
      <c r="V1273" s="4" t="e">
        <f>MAX(INDEX(Standards!$F$2:$F$296,MATCH(B1273,Standards!$B$2:$B$296,0)),INDEX(Standards!$F$2:$F$296,MATCH(C1273,Standards!$B$2:$B$296,0)))</f>
        <v>#N/A</v>
      </c>
      <c r="W1273" t="str">
        <f t="shared" si="59"/>
        <v>#2f89d1</v>
      </c>
    </row>
    <row r="1274" spans="1:23" x14ac:dyDescent="0.5">
      <c r="A1274" s="54">
        <v>1273</v>
      </c>
      <c r="B1274" s="90" t="s">
        <v>636</v>
      </c>
      <c r="C1274" t="s">
        <v>302</v>
      </c>
      <c r="D1274" s="1"/>
      <c r="E1274" s="112">
        <v>2003.05</v>
      </c>
      <c r="F1274" s="112">
        <v>2019.12</v>
      </c>
      <c r="G1274" s="107" t="s">
        <v>670</v>
      </c>
      <c r="H1274">
        <f>INDEX('GIS-Standards'!$A$2:$A$305,MATCH(B1274,'GIS-Standards'!$B$2:$B$305,0))</f>
        <v>55</v>
      </c>
      <c r="I1274">
        <f>INDEX('GIS-Standards'!$A$2:$A$305,MATCH(C1274,'GIS-Standards'!$B$2:$B$305,0))</f>
        <v>16</v>
      </c>
      <c r="J1274" t="str">
        <f>INDEX('GIS-Standards'!$O$2:$O$305,MATCH(B1274,'GIS-Standards'!$B$2:$B$305,0))</f>
        <v>ISO/TC 211</v>
      </c>
      <c r="K1274" t="str">
        <f>INDEX('GIS-Standards'!$O$2:$O$305,MATCH(C1274,'GIS-Standards'!$B$2:$B$305,0))</f>
        <v>ISO/TC 211</v>
      </c>
      <c r="M1274" t="s">
        <v>525</v>
      </c>
      <c r="N1274">
        <f>INDEX('GIS-Standards'!$I$2:$I$305,MATCH(B1274,'GIS-Standards'!$B$2:$B$305,0))</f>
        <v>0</v>
      </c>
      <c r="O1274">
        <f>INDEX('GIS-Standards'!$I$2:$I$305,MATCH(C1274,'GIS-Standards'!$B$2:$B$305,0))</f>
        <v>0</v>
      </c>
      <c r="P1274" t="b">
        <f>AND(TableRelationships12[[#This Row],[Source Type]]="BIM",TableRelationships12[[#This Row],[Target Type]]="BIM")</f>
        <v>0</v>
      </c>
      <c r="Q1274">
        <f t="shared" si="57"/>
        <v>1</v>
      </c>
      <c r="S1274">
        <f t="shared" si="58"/>
        <v>1</v>
      </c>
      <c r="T1274" s="102" t="str">
        <f>IF(TableRelationships12[[#This Row],[Rank Pedro]]="Low","linkCategory1",IF(TableRelationships12[[#This Row],[Rank Pedro]]="Medium","linkCategory2",IF(TableRelationships12[[#This Row],[Rank Pedro]]="High","linkCategory3","")))</f>
        <v/>
      </c>
      <c r="U1274" s="102" t="str">
        <f>IF(TableRelationships12[[#This Row],[Rank Pedro]]="Low","Pink",IF(TableRelationships12[[#This Row],[Rank Pedro]]="Medium","Purple",IF(TableRelationships12[[#This Row],[Rank Pedro]]="High","Brown","")))</f>
        <v/>
      </c>
      <c r="V1274" s="4" t="e">
        <f>MAX(INDEX(Standards!$F$2:$F$296,MATCH(B1274,Standards!$B$2:$B$296,0)),INDEX(Standards!$F$2:$F$296,MATCH(C1274,Standards!$B$2:$B$296,0)))</f>
        <v>#N/A</v>
      </c>
      <c r="W1274" t="str">
        <f t="shared" si="59"/>
        <v>#2f89d1</v>
      </c>
    </row>
    <row r="1275" spans="1:23" x14ac:dyDescent="0.5">
      <c r="A1275" s="54">
        <v>1274</v>
      </c>
      <c r="B1275" s="90" t="s">
        <v>636</v>
      </c>
      <c r="C1275" t="s">
        <v>304</v>
      </c>
      <c r="D1275" s="1"/>
      <c r="E1275" s="112">
        <v>2002.09</v>
      </c>
      <c r="F1275" s="112">
        <v>2006.1</v>
      </c>
      <c r="G1275" s="107" t="s">
        <v>670</v>
      </c>
      <c r="H1275">
        <f>INDEX('GIS-Standards'!$A$2:$A$305,MATCH(B1275,'GIS-Standards'!$B$2:$B$305,0))</f>
        <v>55</v>
      </c>
      <c r="I1275">
        <f>INDEX('GIS-Standards'!$A$2:$A$305,MATCH(C1275,'GIS-Standards'!$B$2:$B$305,0))</f>
        <v>17</v>
      </c>
      <c r="J1275" t="str">
        <f>INDEX('GIS-Standards'!$O$2:$O$305,MATCH(B1275,'GIS-Standards'!$B$2:$B$305,0))</f>
        <v>ISO/TC 211</v>
      </c>
      <c r="K1275" t="str">
        <f>INDEX('GIS-Standards'!$O$2:$O$305,MATCH(C1275,'GIS-Standards'!$B$2:$B$305,0))</f>
        <v>ISO/TC 211</v>
      </c>
      <c r="M1275" t="s">
        <v>525</v>
      </c>
      <c r="N1275">
        <f>INDEX('GIS-Standards'!$I$2:$I$305,MATCH(B1275,'GIS-Standards'!$B$2:$B$305,0))</f>
        <v>0</v>
      </c>
      <c r="O1275" t="str">
        <f>INDEX('GIS-Standards'!$I$2:$I$305,MATCH(C1275,'GIS-Standards'!$B$2:$B$305,0))</f>
        <v>06.2008</v>
      </c>
      <c r="P1275" t="b">
        <f>AND(TableRelationships12[[#This Row],[Source Type]]="BIM",TableRelationships12[[#This Row],[Target Type]]="BIM")</f>
        <v>0</v>
      </c>
      <c r="Q1275">
        <f t="shared" si="57"/>
        <v>1</v>
      </c>
      <c r="S1275">
        <f t="shared" si="58"/>
        <v>1</v>
      </c>
      <c r="T1275" s="102" t="str">
        <f>IF(TableRelationships12[[#This Row],[Rank Pedro]]="Low","linkCategory1",IF(TableRelationships12[[#This Row],[Rank Pedro]]="Medium","linkCategory2",IF(TableRelationships12[[#This Row],[Rank Pedro]]="High","linkCategory3","")))</f>
        <v/>
      </c>
      <c r="U1275" s="102" t="str">
        <f>IF(TableRelationships12[[#This Row],[Rank Pedro]]="Low","Pink",IF(TableRelationships12[[#This Row],[Rank Pedro]]="Medium","Purple",IF(TableRelationships12[[#This Row],[Rank Pedro]]="High","Brown","")))</f>
        <v/>
      </c>
      <c r="V1275" s="4" t="e">
        <f>MAX(INDEX(Standards!$F$2:$F$296,MATCH(B1275,Standards!$B$2:$B$296,0)),INDEX(Standards!$F$2:$F$296,MATCH(C1275,Standards!$B$2:$B$296,0)))</f>
        <v>#N/A</v>
      </c>
      <c r="W1275" t="str">
        <f t="shared" si="59"/>
        <v>#2f89d1</v>
      </c>
    </row>
    <row r="1276" spans="1:23" x14ac:dyDescent="0.5">
      <c r="A1276" s="54">
        <v>1275</v>
      </c>
      <c r="B1276" s="90" t="s">
        <v>636</v>
      </c>
      <c r="C1276" t="s">
        <v>308</v>
      </c>
      <c r="D1276" s="1"/>
      <c r="E1276" s="112">
        <v>2005.02</v>
      </c>
      <c r="F1276" s="112">
        <v>2016.12</v>
      </c>
      <c r="G1276" s="107" t="s">
        <v>670</v>
      </c>
      <c r="H1276">
        <f>INDEX('GIS-Standards'!$A$2:$A$305,MATCH(B1276,'GIS-Standards'!$B$2:$B$305,0))</f>
        <v>55</v>
      </c>
      <c r="I1276">
        <f>INDEX('GIS-Standards'!$A$2:$A$305,MATCH(C1276,'GIS-Standards'!$B$2:$B$305,0))</f>
        <v>19</v>
      </c>
      <c r="J1276" t="str">
        <f>INDEX('GIS-Standards'!$O$2:$O$305,MATCH(B1276,'GIS-Standards'!$B$2:$B$305,0))</f>
        <v>ISO/TC 211</v>
      </c>
      <c r="K1276" t="str">
        <f>INDEX('GIS-Standards'!$O$2:$O$305,MATCH(C1276,'GIS-Standards'!$B$2:$B$305,0))</f>
        <v>ISO/TC 211</v>
      </c>
      <c r="M1276" t="s">
        <v>525</v>
      </c>
      <c r="N1276">
        <f>INDEX('GIS-Standards'!$I$2:$I$305,MATCH(B1276,'GIS-Standards'!$B$2:$B$305,0))</f>
        <v>0</v>
      </c>
      <c r="O1276">
        <f>INDEX('GIS-Standards'!$I$2:$I$305,MATCH(C1276,'GIS-Standards'!$B$2:$B$305,0))</f>
        <v>0</v>
      </c>
      <c r="P1276" t="b">
        <f>AND(TableRelationships12[[#This Row],[Source Type]]="BIM",TableRelationships12[[#This Row],[Target Type]]="BIM")</f>
        <v>0</v>
      </c>
      <c r="Q1276">
        <f t="shared" si="57"/>
        <v>1</v>
      </c>
      <c r="S1276">
        <f t="shared" si="58"/>
        <v>1</v>
      </c>
      <c r="T1276" s="102" t="str">
        <f>IF(TableRelationships12[[#This Row],[Rank Pedro]]="Low","linkCategory1",IF(TableRelationships12[[#This Row],[Rank Pedro]]="Medium","linkCategory2",IF(TableRelationships12[[#This Row],[Rank Pedro]]="High","linkCategory3","")))</f>
        <v/>
      </c>
      <c r="U1276" s="102" t="str">
        <f>IF(TableRelationships12[[#This Row],[Rank Pedro]]="Low","Pink",IF(TableRelationships12[[#This Row],[Rank Pedro]]="Medium","Purple",IF(TableRelationships12[[#This Row],[Rank Pedro]]="High","Brown","")))</f>
        <v/>
      </c>
      <c r="V1276" s="4" t="e">
        <f>MAX(INDEX(Standards!$F$2:$F$296,MATCH(B1276,Standards!$B$2:$B$296,0)),INDEX(Standards!$F$2:$F$296,MATCH(C1276,Standards!$B$2:$B$296,0)))</f>
        <v>#N/A</v>
      </c>
      <c r="W1276" t="str">
        <f t="shared" si="59"/>
        <v>#2f89d1</v>
      </c>
    </row>
    <row r="1277" spans="1:23" x14ac:dyDescent="0.5">
      <c r="A1277" s="54">
        <v>1276</v>
      </c>
      <c r="B1277" s="90" t="s">
        <v>636</v>
      </c>
      <c r="C1277" t="s">
        <v>310</v>
      </c>
      <c r="D1277" s="1"/>
      <c r="E1277" s="112">
        <v>2003.02</v>
      </c>
      <c r="F1277" s="112">
        <v>2023.08</v>
      </c>
      <c r="G1277" s="107" t="s">
        <v>670</v>
      </c>
      <c r="H1277">
        <f>INDEX('GIS-Standards'!$A$2:$A$305,MATCH(B1277,'GIS-Standards'!$B$2:$B$305,0))</f>
        <v>55</v>
      </c>
      <c r="I1277">
        <f>INDEX('GIS-Standards'!$A$2:$A$305,MATCH(C1277,'GIS-Standards'!$B$2:$B$305,0))</f>
        <v>20</v>
      </c>
      <c r="J1277" t="str">
        <f>INDEX('GIS-Standards'!$O$2:$O$305,MATCH(B1277,'GIS-Standards'!$B$2:$B$305,0))</f>
        <v>ISO/TC 211</v>
      </c>
      <c r="K1277" t="str">
        <f>INDEX('GIS-Standards'!$O$2:$O$305,MATCH(C1277,'GIS-Standards'!$B$2:$B$305,0))</f>
        <v>ISO/TC 211</v>
      </c>
      <c r="M1277" t="s">
        <v>525</v>
      </c>
      <c r="N1277">
        <f>INDEX('GIS-Standards'!$I$2:$I$305,MATCH(B1277,'GIS-Standards'!$B$2:$B$305,0))</f>
        <v>0</v>
      </c>
      <c r="O1277" t="str">
        <f>INDEX('GIS-Standards'!$I$2:$I$305,MATCH(C1277,'GIS-Standards'!$B$2:$B$305,0))</f>
        <v>08.2023</v>
      </c>
      <c r="P1277" t="b">
        <f>AND(TableRelationships12[[#This Row],[Source Type]]="BIM",TableRelationships12[[#This Row],[Target Type]]="BIM")</f>
        <v>0</v>
      </c>
      <c r="Q1277">
        <f t="shared" si="57"/>
        <v>1</v>
      </c>
      <c r="S1277">
        <f t="shared" si="58"/>
        <v>1</v>
      </c>
      <c r="T1277" s="102" t="str">
        <f>IF(TableRelationships12[[#This Row],[Rank Pedro]]="Low","linkCategory1",IF(TableRelationships12[[#This Row],[Rank Pedro]]="Medium","linkCategory2",IF(TableRelationships12[[#This Row],[Rank Pedro]]="High","linkCategory3","")))</f>
        <v/>
      </c>
      <c r="U1277" s="102" t="str">
        <f>IF(TableRelationships12[[#This Row],[Rank Pedro]]="Low","Pink",IF(TableRelationships12[[#This Row],[Rank Pedro]]="Medium","Purple",IF(TableRelationships12[[#This Row],[Rank Pedro]]="High","Brown","")))</f>
        <v/>
      </c>
      <c r="V1277" s="4" t="e">
        <f>MAX(INDEX(Standards!$F$2:$F$296,MATCH(B1277,Standards!$B$2:$B$296,0)),INDEX(Standards!$F$2:$F$296,MATCH(C1277,Standards!$B$2:$B$296,0)))</f>
        <v>#N/A</v>
      </c>
      <c r="W1277" t="str">
        <f t="shared" si="59"/>
        <v>#2f89d1</v>
      </c>
    </row>
    <row r="1278" spans="1:23" x14ac:dyDescent="0.5">
      <c r="A1278" s="54">
        <v>1277</v>
      </c>
      <c r="B1278" s="90" t="s">
        <v>636</v>
      </c>
      <c r="C1278" t="s">
        <v>312</v>
      </c>
      <c r="D1278" s="1"/>
      <c r="E1278" s="112">
        <v>2003.1</v>
      </c>
      <c r="F1278" s="112">
        <v>2019.02</v>
      </c>
      <c r="G1278" s="107" t="s">
        <v>670</v>
      </c>
      <c r="H1278">
        <f>INDEX('GIS-Standards'!$A$2:$A$305,MATCH(B1278,'GIS-Standards'!$B$2:$B$305,0))</f>
        <v>55</v>
      </c>
      <c r="I1278">
        <f>INDEX('GIS-Standards'!$A$2:$A$305,MATCH(C1278,'GIS-Standards'!$B$2:$B$305,0))</f>
        <v>21</v>
      </c>
      <c r="J1278" t="str">
        <f>INDEX('GIS-Standards'!$O$2:$O$305,MATCH(B1278,'GIS-Standards'!$B$2:$B$305,0))</f>
        <v>ISO/TC 211</v>
      </c>
      <c r="K1278" t="str">
        <f>INDEX('GIS-Standards'!$O$2:$O$305,MATCH(C1278,'GIS-Standards'!$B$2:$B$305,0))</f>
        <v>ISO/TC 211</v>
      </c>
      <c r="M1278" t="s">
        <v>525</v>
      </c>
      <c r="N1278">
        <f>INDEX('GIS-Standards'!$I$2:$I$305,MATCH(B1278,'GIS-Standards'!$B$2:$B$305,0))</f>
        <v>0</v>
      </c>
      <c r="O1278">
        <f>INDEX('GIS-Standards'!$I$2:$I$305,MATCH(C1278,'GIS-Standards'!$B$2:$B$305,0))</f>
        <v>0</v>
      </c>
      <c r="P1278" t="b">
        <f>AND(TableRelationships12[[#This Row],[Source Type]]="BIM",TableRelationships12[[#This Row],[Target Type]]="BIM")</f>
        <v>0</v>
      </c>
      <c r="Q1278">
        <f t="shared" si="57"/>
        <v>1</v>
      </c>
      <c r="S1278">
        <f t="shared" si="58"/>
        <v>1</v>
      </c>
      <c r="T1278" s="102" t="str">
        <f>IF(TableRelationships12[[#This Row],[Rank Pedro]]="Low","linkCategory1",IF(TableRelationships12[[#This Row],[Rank Pedro]]="Medium","linkCategory2",IF(TableRelationships12[[#This Row],[Rank Pedro]]="High","linkCategory3","")))</f>
        <v/>
      </c>
      <c r="U1278" s="102" t="str">
        <f>IF(TableRelationships12[[#This Row],[Rank Pedro]]="Low","Pink",IF(TableRelationships12[[#This Row],[Rank Pedro]]="Medium","Purple",IF(TableRelationships12[[#This Row],[Rank Pedro]]="High","Brown","")))</f>
        <v/>
      </c>
      <c r="V1278" s="4" t="e">
        <f>MAX(INDEX(Standards!$F$2:$F$296,MATCH(B1278,Standards!$B$2:$B$296,0)),INDEX(Standards!$F$2:$F$296,MATCH(C1278,Standards!$B$2:$B$296,0)))</f>
        <v>#N/A</v>
      </c>
      <c r="W1278" t="str">
        <f t="shared" si="59"/>
        <v>#2f89d1</v>
      </c>
    </row>
    <row r="1279" spans="1:23" x14ac:dyDescent="0.5">
      <c r="A1279" s="54">
        <v>1278</v>
      </c>
      <c r="B1279" s="90" t="s">
        <v>636</v>
      </c>
      <c r="C1279" t="s">
        <v>314</v>
      </c>
      <c r="D1279" s="1"/>
      <c r="E1279" s="112">
        <v>2003.05</v>
      </c>
      <c r="F1279" s="112">
        <v>2020.11</v>
      </c>
      <c r="G1279" s="107" t="s">
        <v>670</v>
      </c>
      <c r="H1279">
        <f>INDEX('GIS-Standards'!$A$2:$A$305,MATCH(B1279,'GIS-Standards'!$B$2:$B$305,0))</f>
        <v>55</v>
      </c>
      <c r="I1279">
        <f>INDEX('GIS-Standards'!$A$2:$A$305,MATCH(C1279,'GIS-Standards'!$B$2:$B$305,0))</f>
        <v>22</v>
      </c>
      <c r="J1279" t="str">
        <f>INDEX('GIS-Standards'!$O$2:$O$305,MATCH(B1279,'GIS-Standards'!$B$2:$B$305,0))</f>
        <v>ISO/TC 211</v>
      </c>
      <c r="K1279" t="str">
        <f>INDEX('GIS-Standards'!$O$2:$O$305,MATCH(C1279,'GIS-Standards'!$B$2:$B$305,0))</f>
        <v>ISO/TC 211</v>
      </c>
      <c r="M1279" t="s">
        <v>525</v>
      </c>
      <c r="N1279">
        <f>INDEX('GIS-Standards'!$I$2:$I$305,MATCH(B1279,'GIS-Standards'!$B$2:$B$305,0))</f>
        <v>0</v>
      </c>
      <c r="O1279" t="str">
        <f>INDEX('GIS-Standards'!$I$2:$I$305,MATCH(C1279,'GIS-Standards'!$B$2:$B$305,0))</f>
        <v>12.2020</v>
      </c>
      <c r="P1279" t="b">
        <f>AND(TableRelationships12[[#This Row],[Source Type]]="BIM",TableRelationships12[[#This Row],[Target Type]]="BIM")</f>
        <v>0</v>
      </c>
      <c r="Q1279">
        <f t="shared" si="57"/>
        <v>1</v>
      </c>
      <c r="S1279">
        <f t="shared" si="58"/>
        <v>1</v>
      </c>
      <c r="T1279" s="102" t="str">
        <f>IF(TableRelationships12[[#This Row],[Rank Pedro]]="Low","linkCategory1",IF(TableRelationships12[[#This Row],[Rank Pedro]]="Medium","linkCategory2",IF(TableRelationships12[[#This Row],[Rank Pedro]]="High","linkCategory3","")))</f>
        <v/>
      </c>
      <c r="U1279" s="102" t="str">
        <f>IF(TableRelationships12[[#This Row],[Rank Pedro]]="Low","Pink",IF(TableRelationships12[[#This Row],[Rank Pedro]]="Medium","Purple",IF(TableRelationships12[[#This Row],[Rank Pedro]]="High","Brown","")))</f>
        <v/>
      </c>
      <c r="V1279" s="4" t="e">
        <f>MAX(INDEX(Standards!$F$2:$F$296,MATCH(B1279,Standards!$B$2:$B$296,0)),INDEX(Standards!$F$2:$F$296,MATCH(C1279,Standards!$B$2:$B$296,0)))</f>
        <v>#N/A</v>
      </c>
      <c r="W1279" t="str">
        <f t="shared" si="59"/>
        <v>#2f89d1</v>
      </c>
    </row>
    <row r="1280" spans="1:23" x14ac:dyDescent="0.5">
      <c r="A1280" s="54">
        <v>1279</v>
      </c>
      <c r="B1280" s="90" t="s">
        <v>636</v>
      </c>
      <c r="C1280" t="s">
        <v>1041</v>
      </c>
      <c r="D1280" s="1"/>
      <c r="E1280" s="112">
        <v>2009.02</v>
      </c>
      <c r="F1280" s="112">
        <v>2022.03</v>
      </c>
      <c r="G1280" s="107" t="s">
        <v>670</v>
      </c>
      <c r="H1280">
        <f>INDEX('GIS-Standards'!$A$2:$A$305,MATCH(B1280,'GIS-Standards'!$B$2:$B$305,0))</f>
        <v>55</v>
      </c>
      <c r="I1280">
        <f>INDEX('GIS-Standards'!$A$2:$A$305,MATCH(C1280,'GIS-Standards'!$B$2:$B$305,0))</f>
        <v>23</v>
      </c>
      <c r="J1280" t="str">
        <f>INDEX('GIS-Standards'!$O$2:$O$305,MATCH(B1280,'GIS-Standards'!$B$2:$B$305,0))</f>
        <v>ISO/TC 211</v>
      </c>
      <c r="K1280" t="str">
        <f>INDEX('GIS-Standards'!$O$2:$O$305,MATCH(C1280,'GIS-Standards'!$B$2:$B$305,0))</f>
        <v>ISO/TC 211</v>
      </c>
      <c r="M1280" t="s">
        <v>525</v>
      </c>
      <c r="N1280">
        <f>INDEX('GIS-Standards'!$I$2:$I$305,MATCH(B1280,'GIS-Standards'!$B$2:$B$305,0))</f>
        <v>0</v>
      </c>
      <c r="O1280" t="str">
        <f>INDEX('GIS-Standards'!$I$2:$I$305,MATCH(C1280,'GIS-Standards'!$B$2:$B$305,0))</f>
        <v>03.2022</v>
      </c>
      <c r="P1280" t="b">
        <f>AND(TableRelationships12[[#This Row],[Source Type]]="BIM",TableRelationships12[[#This Row],[Target Type]]="BIM")</f>
        <v>0</v>
      </c>
      <c r="Q1280">
        <f t="shared" si="57"/>
        <v>1</v>
      </c>
      <c r="S1280">
        <f t="shared" si="58"/>
        <v>1</v>
      </c>
      <c r="T1280" s="102" t="str">
        <f>IF(TableRelationships12[[#This Row],[Rank Pedro]]="Low","linkCategory1",IF(TableRelationships12[[#This Row],[Rank Pedro]]="Medium","linkCategory2",IF(TableRelationships12[[#This Row],[Rank Pedro]]="High","linkCategory3","")))</f>
        <v/>
      </c>
      <c r="U1280" s="102" t="str">
        <f>IF(TableRelationships12[[#This Row],[Rank Pedro]]="Low","Pink",IF(TableRelationships12[[#This Row],[Rank Pedro]]="Medium","Purple",IF(TableRelationships12[[#This Row],[Rank Pedro]]="High","Brown","")))</f>
        <v/>
      </c>
      <c r="V1280" s="4" t="e">
        <f>MAX(INDEX(Standards!$F$2:$F$296,MATCH(B1280,Standards!$B$2:$B$296,0)),INDEX(Standards!$F$2:$F$296,MATCH(C1280,Standards!$B$2:$B$296,0)))</f>
        <v>#N/A</v>
      </c>
      <c r="W1280" t="str">
        <f t="shared" si="59"/>
        <v>#2f89d1</v>
      </c>
    </row>
    <row r="1281" spans="1:23" x14ac:dyDescent="0.5">
      <c r="A1281" s="54">
        <v>1280</v>
      </c>
      <c r="B1281" s="90" t="s">
        <v>636</v>
      </c>
      <c r="C1281" t="s">
        <v>1043</v>
      </c>
      <c r="D1281" s="1"/>
      <c r="E1281" s="112">
        <v>2004.07</v>
      </c>
      <c r="F1281" s="112">
        <v>2025.04</v>
      </c>
      <c r="G1281" s="107" t="s">
        <v>670</v>
      </c>
      <c r="H1281">
        <f>INDEX('GIS-Standards'!$A$2:$A$305,MATCH(B1281,'GIS-Standards'!$B$2:$B$305,0))</f>
        <v>55</v>
      </c>
      <c r="I1281">
        <f>INDEX('GIS-Standards'!$A$2:$A$305,MATCH(C1281,'GIS-Standards'!$B$2:$B$305,0))</f>
        <v>25</v>
      </c>
      <c r="J1281" t="str">
        <f>INDEX('GIS-Standards'!$O$2:$O$305,MATCH(B1281,'GIS-Standards'!$B$2:$B$305,0))</f>
        <v>ISO/TC 211</v>
      </c>
      <c r="K1281" t="str">
        <f>INDEX('GIS-Standards'!$O$2:$O$305,MATCH(C1281,'GIS-Standards'!$B$2:$B$305,0))</f>
        <v>ISO/TC 211</v>
      </c>
      <c r="M1281" t="s">
        <v>525</v>
      </c>
      <c r="N1281">
        <f>INDEX('GIS-Standards'!$I$2:$I$305,MATCH(B1281,'GIS-Standards'!$B$2:$B$305,0))</f>
        <v>0</v>
      </c>
      <c r="O1281">
        <f>INDEX('GIS-Standards'!$I$2:$I$305,MATCH(C1281,'GIS-Standards'!$B$2:$B$305,0))</f>
        <v>0</v>
      </c>
      <c r="P1281" t="b">
        <f>AND(TableRelationships12[[#This Row],[Source Type]]="BIM",TableRelationships12[[#This Row],[Target Type]]="BIM")</f>
        <v>0</v>
      </c>
      <c r="Q1281">
        <f t="shared" si="57"/>
        <v>1</v>
      </c>
      <c r="S1281">
        <f t="shared" si="58"/>
        <v>1</v>
      </c>
      <c r="T1281" s="102" t="str">
        <f>IF(TableRelationships12[[#This Row],[Rank Pedro]]="Low","linkCategory1",IF(TableRelationships12[[#This Row],[Rank Pedro]]="Medium","linkCategory2",IF(TableRelationships12[[#This Row],[Rank Pedro]]="High","linkCategory3","")))</f>
        <v/>
      </c>
      <c r="U1281" s="102" t="str">
        <f>IF(TableRelationships12[[#This Row],[Rank Pedro]]="Low","Pink",IF(TableRelationships12[[#This Row],[Rank Pedro]]="Medium","Purple",IF(TableRelationships12[[#This Row],[Rank Pedro]]="High","Brown","")))</f>
        <v/>
      </c>
      <c r="V1281" s="4" t="e">
        <f>MAX(INDEX(Standards!$F$2:$F$296,MATCH(B1281,Standards!$B$2:$B$296,0)),INDEX(Standards!$F$2:$F$296,MATCH(C1281,Standards!$B$2:$B$296,0)))</f>
        <v>#N/A</v>
      </c>
      <c r="W1281" t="str">
        <f t="shared" si="59"/>
        <v>#2f89d1</v>
      </c>
    </row>
    <row r="1282" spans="1:23" x14ac:dyDescent="0.5">
      <c r="A1282" s="54">
        <v>1281</v>
      </c>
      <c r="B1282" s="90" t="s">
        <v>636</v>
      </c>
      <c r="C1282" t="s">
        <v>1044</v>
      </c>
      <c r="D1282" s="1"/>
      <c r="E1282" s="112">
        <v>2005.06</v>
      </c>
      <c r="F1282" s="112">
        <v>2012.12</v>
      </c>
      <c r="G1282" s="107" t="s">
        <v>670</v>
      </c>
      <c r="H1282">
        <f>INDEX('GIS-Standards'!$A$2:$A$305,MATCH(B1282,'GIS-Standards'!$B$2:$B$305,0))</f>
        <v>55</v>
      </c>
      <c r="I1282">
        <f>INDEX('GIS-Standards'!$A$2:$A$305,MATCH(C1282,'GIS-Standards'!$B$2:$B$305,0))</f>
        <v>26</v>
      </c>
      <c r="J1282" t="str">
        <f>INDEX('GIS-Standards'!$O$2:$O$305,MATCH(B1282,'GIS-Standards'!$B$2:$B$305,0))</f>
        <v>ISO/TC 211</v>
      </c>
      <c r="K1282" t="str">
        <f>INDEX('GIS-Standards'!$O$2:$O$305,MATCH(C1282,'GIS-Standards'!$B$2:$B$305,0))</f>
        <v>ISO/TC 211</v>
      </c>
      <c r="M1282" t="s">
        <v>525</v>
      </c>
      <c r="N1282">
        <f>INDEX('GIS-Standards'!$I$2:$I$305,MATCH(B1282,'GIS-Standards'!$B$2:$B$305,0))</f>
        <v>0</v>
      </c>
      <c r="O1282">
        <f>INDEX('GIS-Standards'!$I$2:$I$305,MATCH(C1282,'GIS-Standards'!$B$2:$B$305,0))</f>
        <v>0</v>
      </c>
      <c r="P1282" t="b">
        <f>AND(TableRelationships12[[#This Row],[Source Type]]="BIM",TableRelationships12[[#This Row],[Target Type]]="BIM")</f>
        <v>0</v>
      </c>
      <c r="Q1282">
        <f t="shared" ref="Q1282:Q1345" si="60">IF(M1282="Normative",6,IF(M1282="Secondary",4,IF(M1282="Anchor",2,1)))</f>
        <v>1</v>
      </c>
      <c r="S1282">
        <f t="shared" ref="S1282:S1345" si="61">IF(R1282="High",10,IF(R1282="Medium",6,IF(R1282="Low",2,1)))</f>
        <v>1</v>
      </c>
      <c r="T1282" s="102" t="str">
        <f>IF(TableRelationships12[[#This Row],[Rank Pedro]]="Low","linkCategory1",IF(TableRelationships12[[#This Row],[Rank Pedro]]="Medium","linkCategory2",IF(TableRelationships12[[#This Row],[Rank Pedro]]="High","linkCategory3","")))</f>
        <v/>
      </c>
      <c r="U1282" s="102" t="str">
        <f>IF(TableRelationships12[[#This Row],[Rank Pedro]]="Low","Pink",IF(TableRelationships12[[#This Row],[Rank Pedro]]="Medium","Purple",IF(TableRelationships12[[#This Row],[Rank Pedro]]="High","Brown","")))</f>
        <v/>
      </c>
      <c r="V1282" s="4" t="e">
        <f>MAX(INDEX(Standards!$F$2:$F$296,MATCH(B1282,Standards!$B$2:$B$296,0)),INDEX(Standards!$F$2:$F$296,MATCH(C1282,Standards!$B$2:$B$296,0)))</f>
        <v>#N/A</v>
      </c>
      <c r="W1282" t="str">
        <f t="shared" ref="W1282:W1345" si="62">IF(M1282="Normative", "#d6bf2a", IF(M1282="Informative", "#2f89d1", 1))</f>
        <v>#2f89d1</v>
      </c>
    </row>
    <row r="1283" spans="1:23" x14ac:dyDescent="0.5">
      <c r="A1283" s="54">
        <v>1282</v>
      </c>
      <c r="B1283" s="90" t="s">
        <v>636</v>
      </c>
      <c r="C1283" t="s">
        <v>316</v>
      </c>
      <c r="D1283" s="1"/>
      <c r="E1283" s="112">
        <v>2005.07</v>
      </c>
      <c r="F1283" s="112">
        <v>2011.1</v>
      </c>
      <c r="G1283" s="107" t="s">
        <v>670</v>
      </c>
      <c r="H1283">
        <f>INDEX('GIS-Standards'!$A$2:$A$305,MATCH(B1283,'GIS-Standards'!$B$2:$B$305,0))</f>
        <v>55</v>
      </c>
      <c r="I1283">
        <f>INDEX('GIS-Standards'!$A$2:$A$305,MATCH(C1283,'GIS-Standards'!$B$2:$B$305,0))</f>
        <v>27</v>
      </c>
      <c r="J1283" t="str">
        <f>INDEX('GIS-Standards'!$O$2:$O$305,MATCH(B1283,'GIS-Standards'!$B$2:$B$305,0))</f>
        <v>ISO/TC 211</v>
      </c>
      <c r="K1283" t="str">
        <f>INDEX('GIS-Standards'!$O$2:$O$305,MATCH(C1283,'GIS-Standards'!$B$2:$B$305,0))</f>
        <v>ISO/TC 211</v>
      </c>
      <c r="M1283" t="s">
        <v>525</v>
      </c>
      <c r="N1283">
        <f>INDEX('GIS-Standards'!$I$2:$I$305,MATCH(B1283,'GIS-Standards'!$B$2:$B$305,0))</f>
        <v>0</v>
      </c>
      <c r="O1283">
        <f>INDEX('GIS-Standards'!$I$2:$I$305,MATCH(C1283,'GIS-Standards'!$B$2:$B$305,0))</f>
        <v>0</v>
      </c>
      <c r="P1283" t="b">
        <f>AND(TableRelationships12[[#This Row],[Source Type]]="BIM",TableRelationships12[[#This Row],[Target Type]]="BIM")</f>
        <v>0</v>
      </c>
      <c r="Q1283">
        <f t="shared" si="60"/>
        <v>1</v>
      </c>
      <c r="S1283">
        <f t="shared" si="61"/>
        <v>1</v>
      </c>
      <c r="T1283" s="102" t="str">
        <f>IF(TableRelationships12[[#This Row],[Rank Pedro]]="Low","linkCategory1",IF(TableRelationships12[[#This Row],[Rank Pedro]]="Medium","linkCategory2",IF(TableRelationships12[[#This Row],[Rank Pedro]]="High","linkCategory3","")))</f>
        <v/>
      </c>
      <c r="U1283" s="102" t="str">
        <f>IF(TableRelationships12[[#This Row],[Rank Pedro]]="Low","Pink",IF(TableRelationships12[[#This Row],[Rank Pedro]]="Medium","Purple",IF(TableRelationships12[[#This Row],[Rank Pedro]]="High","Brown","")))</f>
        <v/>
      </c>
      <c r="V1283" s="4" t="e">
        <f>MAX(INDEX(Standards!$F$2:$F$296,MATCH(B1283,Standards!$B$2:$B$296,0)),INDEX(Standards!$F$2:$F$296,MATCH(C1283,Standards!$B$2:$B$296,0)))</f>
        <v>#N/A</v>
      </c>
      <c r="W1283" t="str">
        <f t="shared" si="62"/>
        <v>#2f89d1</v>
      </c>
    </row>
    <row r="1284" spans="1:23" x14ac:dyDescent="0.5">
      <c r="A1284" s="54">
        <v>1283</v>
      </c>
      <c r="B1284" s="90" t="s">
        <v>636</v>
      </c>
      <c r="C1284" t="s">
        <v>318</v>
      </c>
      <c r="D1284" s="1"/>
      <c r="E1284" s="112">
        <v>2005.02</v>
      </c>
      <c r="F1284" s="112">
        <v>2016.01</v>
      </c>
      <c r="G1284" s="107" t="s">
        <v>670</v>
      </c>
      <c r="H1284">
        <f>INDEX('GIS-Standards'!$A$2:$A$305,MATCH(B1284,'GIS-Standards'!$B$2:$B$305,0))</f>
        <v>55</v>
      </c>
      <c r="I1284">
        <f>INDEX('GIS-Standards'!$A$2:$A$305,MATCH(C1284,'GIS-Standards'!$B$2:$B$305,0))</f>
        <v>28</v>
      </c>
      <c r="J1284" t="str">
        <f>INDEX('GIS-Standards'!$O$2:$O$305,MATCH(B1284,'GIS-Standards'!$B$2:$B$305,0))</f>
        <v>ISO/TC 211</v>
      </c>
      <c r="K1284" t="str">
        <f>INDEX('GIS-Standards'!$O$2:$O$305,MATCH(C1284,'GIS-Standards'!$B$2:$B$305,0))</f>
        <v>ISO/TC 211</v>
      </c>
      <c r="M1284" t="s">
        <v>525</v>
      </c>
      <c r="N1284">
        <f>INDEX('GIS-Standards'!$I$2:$I$305,MATCH(B1284,'GIS-Standards'!$B$2:$B$305,0))</f>
        <v>0</v>
      </c>
      <c r="O1284">
        <f>INDEX('GIS-Standards'!$I$2:$I$305,MATCH(C1284,'GIS-Standards'!$B$2:$B$305,0))</f>
        <v>0</v>
      </c>
      <c r="P1284" t="b">
        <f>AND(TableRelationships12[[#This Row],[Source Type]]="BIM",TableRelationships12[[#This Row],[Target Type]]="BIM")</f>
        <v>0</v>
      </c>
      <c r="Q1284">
        <f t="shared" si="60"/>
        <v>1</v>
      </c>
      <c r="S1284">
        <f t="shared" si="61"/>
        <v>1</v>
      </c>
      <c r="T1284" s="102" t="str">
        <f>IF(TableRelationships12[[#This Row],[Rank Pedro]]="Low","linkCategory1",IF(TableRelationships12[[#This Row],[Rank Pedro]]="Medium","linkCategory2",IF(TableRelationships12[[#This Row],[Rank Pedro]]="High","linkCategory3","")))</f>
        <v/>
      </c>
      <c r="U1284" s="102" t="str">
        <f>IF(TableRelationships12[[#This Row],[Rank Pedro]]="Low","Pink",IF(TableRelationships12[[#This Row],[Rank Pedro]]="Medium","Purple",IF(TableRelationships12[[#This Row],[Rank Pedro]]="High","Brown","")))</f>
        <v/>
      </c>
      <c r="V1284" s="4" t="e">
        <f>MAX(INDEX(Standards!$F$2:$F$296,MATCH(B1284,Standards!$B$2:$B$296,0)),INDEX(Standards!$F$2:$F$296,MATCH(C1284,Standards!$B$2:$B$296,0)))</f>
        <v>#N/A</v>
      </c>
      <c r="W1284" t="str">
        <f t="shared" si="62"/>
        <v>#2f89d1</v>
      </c>
    </row>
    <row r="1285" spans="1:23" x14ac:dyDescent="0.5">
      <c r="A1285" s="54">
        <v>1284</v>
      </c>
      <c r="B1285" s="90" t="s">
        <v>636</v>
      </c>
      <c r="C1285" t="s">
        <v>646</v>
      </c>
      <c r="D1285" s="1" t="s">
        <v>1676</v>
      </c>
      <c r="E1285" s="112">
        <v>2000.1</v>
      </c>
      <c r="F1285" s="112">
        <v>2000.1</v>
      </c>
      <c r="G1285" s="107" t="s">
        <v>670</v>
      </c>
      <c r="H1285">
        <f>INDEX('GIS-Standards'!$A$2:$A$305,MATCH(B1285,'GIS-Standards'!$B$2:$B$305,0))</f>
        <v>55</v>
      </c>
      <c r="I1285">
        <f>INDEX('GIS-Standards'!$A$2:$A$305,MATCH(C1285,'GIS-Standards'!$B$2:$B$305,0))</f>
        <v>89</v>
      </c>
      <c r="J1285" t="str">
        <f>INDEX('GIS-Standards'!$O$2:$O$305,MATCH(B1285,'GIS-Standards'!$B$2:$B$305,0))</f>
        <v>ISO/TC 211</v>
      </c>
      <c r="K1285" t="str">
        <f>INDEX('GIS-Standards'!$O$2:$O$305,MATCH(C1285,'GIS-Standards'!$B$2:$B$305,0))</f>
        <v>ISO/TC 211</v>
      </c>
      <c r="M1285" t="s">
        <v>525</v>
      </c>
      <c r="N1285">
        <f>INDEX('GIS-Standards'!$I$2:$I$305,MATCH(B1285,'GIS-Standards'!$B$2:$B$305,0))</f>
        <v>0</v>
      </c>
      <c r="O1285">
        <f>INDEX('GIS-Standards'!$I$2:$I$305,MATCH(C1285,'GIS-Standards'!$B$2:$B$305,0))</f>
        <v>0</v>
      </c>
      <c r="P1285" t="b">
        <f>AND(TableRelationships12[[#This Row],[Source Type]]="BIM",TableRelationships12[[#This Row],[Target Type]]="BIM")</f>
        <v>0</v>
      </c>
      <c r="Q1285">
        <f t="shared" si="60"/>
        <v>1</v>
      </c>
      <c r="S1285">
        <f t="shared" si="61"/>
        <v>1</v>
      </c>
      <c r="T1285" s="102" t="str">
        <f>IF(TableRelationships12[[#This Row],[Rank Pedro]]="Low","linkCategory1",IF(TableRelationships12[[#This Row],[Rank Pedro]]="Medium","linkCategory2",IF(TableRelationships12[[#This Row],[Rank Pedro]]="High","linkCategory3","")))</f>
        <v/>
      </c>
      <c r="U1285" s="102" t="str">
        <f>IF(TableRelationships12[[#This Row],[Rank Pedro]]="Low","Pink",IF(TableRelationships12[[#This Row],[Rank Pedro]]="Medium","Purple",IF(TableRelationships12[[#This Row],[Rank Pedro]]="High","Brown","")))</f>
        <v/>
      </c>
      <c r="V1285" s="4" t="e">
        <f>MAX(INDEX(Standards!$F$2:$F$296,MATCH(B1285,Standards!$B$2:$B$296,0)),INDEX(Standards!$F$2:$F$296,MATCH(C1285,Standards!$B$2:$B$296,0)))</f>
        <v>#N/A</v>
      </c>
      <c r="W1285" t="str">
        <f t="shared" si="62"/>
        <v>#2f89d1</v>
      </c>
    </row>
    <row r="1286" spans="1:23" x14ac:dyDescent="0.5">
      <c r="A1286" s="54">
        <v>1285</v>
      </c>
      <c r="B1286" s="90" t="s">
        <v>636</v>
      </c>
      <c r="C1286" t="s">
        <v>320</v>
      </c>
      <c r="D1286" s="1" t="s">
        <v>1100</v>
      </c>
      <c r="E1286" s="112">
        <v>2005.08</v>
      </c>
      <c r="F1286" s="112">
        <v>2023.06</v>
      </c>
      <c r="G1286" s="107" t="s">
        <v>670</v>
      </c>
      <c r="H1286">
        <f>INDEX('GIS-Standards'!$A$2:$A$305,MATCH(B1286,'GIS-Standards'!$B$2:$B$305,0))</f>
        <v>55</v>
      </c>
      <c r="I1286">
        <f>INDEX('GIS-Standards'!$A$2:$A$305,MATCH(C1286,'GIS-Standards'!$B$2:$B$305,0))</f>
        <v>29</v>
      </c>
      <c r="J1286" t="str">
        <f>INDEX('GIS-Standards'!$O$2:$O$305,MATCH(B1286,'GIS-Standards'!$B$2:$B$305,0))</f>
        <v>ISO/TC 211</v>
      </c>
      <c r="K1286" t="str">
        <f>INDEX('GIS-Standards'!$O$2:$O$305,MATCH(C1286,'GIS-Standards'!$B$2:$B$305,0))</f>
        <v>ISO/TC 211</v>
      </c>
      <c r="M1286" t="s">
        <v>525</v>
      </c>
      <c r="N1286">
        <f>INDEX('GIS-Standards'!$I$2:$I$305,MATCH(B1286,'GIS-Standards'!$B$2:$B$305,0))</f>
        <v>0</v>
      </c>
      <c r="O1286">
        <f>INDEX('GIS-Standards'!$I$2:$I$305,MATCH(C1286,'GIS-Standards'!$B$2:$B$305,0))</f>
        <v>0</v>
      </c>
      <c r="P1286" t="b">
        <f>AND(TableRelationships12[[#This Row],[Source Type]]="BIM",TableRelationships12[[#This Row],[Target Type]]="BIM")</f>
        <v>0</v>
      </c>
      <c r="Q1286">
        <f t="shared" si="60"/>
        <v>1</v>
      </c>
      <c r="S1286">
        <f t="shared" si="61"/>
        <v>1</v>
      </c>
      <c r="T1286" s="102" t="str">
        <f>IF(TableRelationships12[[#This Row],[Rank Pedro]]="Low","linkCategory1",IF(TableRelationships12[[#This Row],[Rank Pedro]]="Medium","linkCategory2",IF(TableRelationships12[[#This Row],[Rank Pedro]]="High","linkCategory3","")))</f>
        <v/>
      </c>
      <c r="U1286" s="102" t="str">
        <f>IF(TableRelationships12[[#This Row],[Rank Pedro]]="Low","Pink",IF(TableRelationships12[[#This Row],[Rank Pedro]]="Medium","Purple",IF(TableRelationships12[[#This Row],[Rank Pedro]]="High","Brown","")))</f>
        <v/>
      </c>
      <c r="V1286" s="4" t="e">
        <f>MAX(INDEX(Standards!$F$2:$F$296,MATCH(B1286,Standards!$B$2:$B$296,0)),INDEX(Standards!$F$2:$F$296,MATCH(C1286,Standards!$B$2:$B$296,0)))</f>
        <v>#N/A</v>
      </c>
      <c r="W1286" t="str">
        <f t="shared" si="62"/>
        <v>#2f89d1</v>
      </c>
    </row>
    <row r="1287" spans="1:23" x14ac:dyDescent="0.5">
      <c r="A1287" s="54">
        <v>1286</v>
      </c>
      <c r="B1287" s="90" t="s">
        <v>636</v>
      </c>
      <c r="C1287" t="s">
        <v>1046</v>
      </c>
      <c r="D1287" s="1"/>
      <c r="E1287" s="112">
        <v>2004.08</v>
      </c>
      <c r="F1287" s="112">
        <v>2004.11</v>
      </c>
      <c r="G1287" s="107" t="s">
        <v>670</v>
      </c>
      <c r="H1287">
        <f>INDEX('GIS-Standards'!$A$2:$A$305,MATCH(B1287,'GIS-Standards'!$B$2:$B$305,0))</f>
        <v>55</v>
      </c>
      <c r="I1287">
        <f>INDEX('GIS-Standards'!$A$2:$A$305,MATCH(C1287,'GIS-Standards'!$B$2:$B$305,0))</f>
        <v>32</v>
      </c>
      <c r="J1287" t="str">
        <f>INDEX('GIS-Standards'!$O$2:$O$305,MATCH(B1287,'GIS-Standards'!$B$2:$B$305,0))</f>
        <v>ISO/TC 211</v>
      </c>
      <c r="K1287" t="str">
        <f>INDEX('GIS-Standards'!$O$2:$O$305,MATCH(C1287,'GIS-Standards'!$B$2:$B$305,0))</f>
        <v>ISO/TC 211</v>
      </c>
      <c r="M1287" t="s">
        <v>525</v>
      </c>
      <c r="N1287">
        <f>INDEX('GIS-Standards'!$I$2:$I$305,MATCH(B1287,'GIS-Standards'!$B$2:$B$305,0))</f>
        <v>0</v>
      </c>
      <c r="O1287">
        <f>INDEX('GIS-Standards'!$I$2:$I$305,MATCH(C1287,'GIS-Standards'!$B$2:$B$305,0))</f>
        <v>0</v>
      </c>
      <c r="P1287" t="b">
        <f>AND(TableRelationships12[[#This Row],[Source Type]]="BIM",TableRelationships12[[#This Row],[Target Type]]="BIM")</f>
        <v>0</v>
      </c>
      <c r="Q1287">
        <f t="shared" si="60"/>
        <v>1</v>
      </c>
      <c r="S1287">
        <f t="shared" si="61"/>
        <v>1</v>
      </c>
      <c r="T1287" s="102" t="str">
        <f>IF(TableRelationships12[[#This Row],[Rank Pedro]]="Low","linkCategory1",IF(TableRelationships12[[#This Row],[Rank Pedro]]="Medium","linkCategory2",IF(TableRelationships12[[#This Row],[Rank Pedro]]="High","linkCategory3","")))</f>
        <v/>
      </c>
      <c r="U1287" s="102" t="str">
        <f>IF(TableRelationships12[[#This Row],[Rank Pedro]]="Low","Pink",IF(TableRelationships12[[#This Row],[Rank Pedro]]="Medium","Purple",IF(TableRelationships12[[#This Row],[Rank Pedro]]="High","Brown","")))</f>
        <v/>
      </c>
      <c r="V1287" s="4" t="e">
        <f>MAX(INDEX(Standards!$F$2:$F$296,MATCH(B1287,Standards!$B$2:$B$296,0)),INDEX(Standards!$F$2:$F$296,MATCH(C1287,Standards!$B$2:$B$296,0)))</f>
        <v>#N/A</v>
      </c>
      <c r="W1287" t="str">
        <f t="shared" si="62"/>
        <v>#2f89d1</v>
      </c>
    </row>
    <row r="1288" spans="1:23" x14ac:dyDescent="0.5">
      <c r="A1288" s="54">
        <v>1287</v>
      </c>
      <c r="B1288" s="90" t="s">
        <v>636</v>
      </c>
      <c r="C1288" t="s">
        <v>1104</v>
      </c>
      <c r="D1288" s="1"/>
      <c r="E1288" s="112">
        <v>2004.08</v>
      </c>
      <c r="F1288" s="112">
        <v>2004.08</v>
      </c>
      <c r="G1288" s="107" t="s">
        <v>670</v>
      </c>
      <c r="H1288">
        <f>INDEX('GIS-Standards'!$A$2:$A$305,MATCH(B1288,'GIS-Standards'!$B$2:$B$305,0))</f>
        <v>55</v>
      </c>
      <c r="I1288" t="e">
        <f>INDEX('GIS-Standards'!$A$2:$A$305,MATCH(C1288,'GIS-Standards'!$B$2:$B$305,0))</f>
        <v>#N/A</v>
      </c>
      <c r="J1288" t="str">
        <f>INDEX('GIS-Standards'!$O$2:$O$305,MATCH(B1288,'GIS-Standards'!$B$2:$B$305,0))</f>
        <v>ISO/TC 211</v>
      </c>
      <c r="K1288" t="e">
        <f>INDEX('GIS-Standards'!$O$2:$O$305,MATCH(C1288,'GIS-Standards'!$B$2:$B$305,0))</f>
        <v>#N/A</v>
      </c>
      <c r="M1288" t="s">
        <v>525</v>
      </c>
      <c r="N1288">
        <f>INDEX('GIS-Standards'!$I$2:$I$305,MATCH(B1288,'GIS-Standards'!$B$2:$B$305,0))</f>
        <v>0</v>
      </c>
      <c r="O1288" t="e">
        <f>INDEX('GIS-Standards'!$I$2:$I$305,MATCH(C1288,'GIS-Standards'!$B$2:$B$305,0))</f>
        <v>#N/A</v>
      </c>
      <c r="P1288" t="e">
        <f>AND(TableRelationships12[[#This Row],[Source Type]]="BIM",TableRelationships12[[#This Row],[Target Type]]="BIM")</f>
        <v>#N/A</v>
      </c>
      <c r="Q1288">
        <f t="shared" si="60"/>
        <v>1</v>
      </c>
      <c r="S1288">
        <f t="shared" si="61"/>
        <v>1</v>
      </c>
      <c r="T1288" s="102" t="str">
        <f>IF(TableRelationships12[[#This Row],[Rank Pedro]]="Low","linkCategory1",IF(TableRelationships12[[#This Row],[Rank Pedro]]="Medium","linkCategory2",IF(TableRelationships12[[#This Row],[Rank Pedro]]="High","linkCategory3","")))</f>
        <v/>
      </c>
      <c r="U1288" s="102" t="str">
        <f>IF(TableRelationships12[[#This Row],[Rank Pedro]]="Low","Pink",IF(TableRelationships12[[#This Row],[Rank Pedro]]="Medium","Purple",IF(TableRelationships12[[#This Row],[Rank Pedro]]="High","Brown","")))</f>
        <v/>
      </c>
      <c r="V1288" s="4" t="e">
        <f>MAX(INDEX(Standards!$F$2:$F$296,MATCH(B1288,Standards!$B$2:$B$296,0)),INDEX(Standards!$F$2:$F$296,MATCH(C1288,Standards!$B$2:$B$296,0)))</f>
        <v>#N/A</v>
      </c>
      <c r="W1288" t="str">
        <f t="shared" si="62"/>
        <v>#2f89d1</v>
      </c>
    </row>
    <row r="1289" spans="1:23" x14ac:dyDescent="0.5">
      <c r="A1289" s="54">
        <v>1288</v>
      </c>
      <c r="B1289" s="90" t="s">
        <v>636</v>
      </c>
      <c r="C1289" t="s">
        <v>326</v>
      </c>
      <c r="D1289" s="1"/>
      <c r="E1289" s="112">
        <v>2005.12</v>
      </c>
      <c r="F1289" s="112">
        <v>2005.12</v>
      </c>
      <c r="G1289" s="107" t="s">
        <v>670</v>
      </c>
      <c r="H1289">
        <f>INDEX('GIS-Standards'!$A$2:$A$305,MATCH(B1289,'GIS-Standards'!$B$2:$B$305,0))</f>
        <v>55</v>
      </c>
      <c r="I1289">
        <f>INDEX('GIS-Standards'!$A$2:$A$305,MATCH(C1289,'GIS-Standards'!$B$2:$B$305,0))</f>
        <v>35</v>
      </c>
      <c r="J1289" t="str">
        <f>INDEX('GIS-Standards'!$O$2:$O$305,MATCH(B1289,'GIS-Standards'!$B$2:$B$305,0))</f>
        <v>ISO/TC 211</v>
      </c>
      <c r="K1289" t="str">
        <f>INDEX('GIS-Standards'!$O$2:$O$305,MATCH(C1289,'GIS-Standards'!$B$2:$B$305,0))</f>
        <v>ISO/TC 211</v>
      </c>
      <c r="M1289" t="s">
        <v>525</v>
      </c>
      <c r="N1289">
        <f>INDEX('GIS-Standards'!$I$2:$I$305,MATCH(B1289,'GIS-Standards'!$B$2:$B$305,0))</f>
        <v>0</v>
      </c>
      <c r="O1289">
        <f>INDEX('GIS-Standards'!$I$2:$I$305,MATCH(C1289,'GIS-Standards'!$B$2:$B$305,0))</f>
        <v>0</v>
      </c>
      <c r="P1289" t="b">
        <f>AND(TableRelationships12[[#This Row],[Source Type]]="BIM",TableRelationships12[[#This Row],[Target Type]]="BIM")</f>
        <v>0</v>
      </c>
      <c r="Q1289">
        <f t="shared" si="60"/>
        <v>1</v>
      </c>
      <c r="S1289">
        <f t="shared" si="61"/>
        <v>1</v>
      </c>
      <c r="T1289" s="102" t="str">
        <f>IF(TableRelationships12[[#This Row],[Rank Pedro]]="Low","linkCategory1",IF(TableRelationships12[[#This Row],[Rank Pedro]]="Medium","linkCategory2",IF(TableRelationships12[[#This Row],[Rank Pedro]]="High","linkCategory3","")))</f>
        <v/>
      </c>
      <c r="U1289" s="102" t="str">
        <f>IF(TableRelationships12[[#This Row],[Rank Pedro]]="Low","Pink",IF(TableRelationships12[[#This Row],[Rank Pedro]]="Medium","Purple",IF(TableRelationships12[[#This Row],[Rank Pedro]]="High","Brown","")))</f>
        <v/>
      </c>
      <c r="V1289" s="4" t="e">
        <f>MAX(INDEX(Standards!$F$2:$F$296,MATCH(B1289,Standards!$B$2:$B$296,0)),INDEX(Standards!$F$2:$F$296,MATCH(C1289,Standards!$B$2:$B$296,0)))</f>
        <v>#N/A</v>
      </c>
      <c r="W1289" t="str">
        <f t="shared" si="62"/>
        <v>#2f89d1</v>
      </c>
    </row>
    <row r="1290" spans="1:23" x14ac:dyDescent="0.5">
      <c r="A1290" s="54">
        <v>1289</v>
      </c>
      <c r="B1290" s="90" t="s">
        <v>636</v>
      </c>
      <c r="C1290" t="s">
        <v>340</v>
      </c>
      <c r="D1290" s="1"/>
      <c r="E1290" s="112">
        <v>2010.12</v>
      </c>
      <c r="F1290" s="112">
        <v>2010.12</v>
      </c>
      <c r="G1290" s="107" t="s">
        <v>670</v>
      </c>
      <c r="H1290">
        <f>INDEX('GIS-Standards'!$A$2:$A$305,MATCH(B1290,'GIS-Standards'!$B$2:$B$305,0))</f>
        <v>55</v>
      </c>
      <c r="I1290">
        <f>INDEX('GIS-Standards'!$A$2:$A$305,MATCH(C1290,'GIS-Standards'!$B$2:$B$305,0))</f>
        <v>46</v>
      </c>
      <c r="J1290" t="str">
        <f>INDEX('GIS-Standards'!$O$2:$O$305,MATCH(B1290,'GIS-Standards'!$B$2:$B$305,0))</f>
        <v>ISO/TC 211</v>
      </c>
      <c r="K1290" t="str">
        <f>INDEX('GIS-Standards'!$O$2:$O$305,MATCH(C1290,'GIS-Standards'!$B$2:$B$305,0))</f>
        <v>ISO/TC 211</v>
      </c>
      <c r="M1290" t="s">
        <v>525</v>
      </c>
      <c r="N1290">
        <f>INDEX('GIS-Standards'!$I$2:$I$305,MATCH(B1290,'GIS-Standards'!$B$2:$B$305,0))</f>
        <v>0</v>
      </c>
      <c r="O1290">
        <f>INDEX('GIS-Standards'!$I$2:$I$305,MATCH(C1290,'GIS-Standards'!$B$2:$B$305,0))</f>
        <v>0</v>
      </c>
      <c r="P1290" t="b">
        <f>AND(TableRelationships12[[#This Row],[Source Type]]="BIM",TableRelationships12[[#This Row],[Target Type]]="BIM")</f>
        <v>0</v>
      </c>
      <c r="Q1290">
        <f t="shared" si="60"/>
        <v>1</v>
      </c>
      <c r="S1290">
        <f t="shared" si="61"/>
        <v>1</v>
      </c>
      <c r="T1290" s="102" t="str">
        <f>IF(TableRelationships12[[#This Row],[Rank Pedro]]="Low","linkCategory1",IF(TableRelationships12[[#This Row],[Rank Pedro]]="Medium","linkCategory2",IF(TableRelationships12[[#This Row],[Rank Pedro]]="High","linkCategory3","")))</f>
        <v/>
      </c>
      <c r="U1290" s="102" t="str">
        <f>IF(TableRelationships12[[#This Row],[Rank Pedro]]="Low","Pink",IF(TableRelationships12[[#This Row],[Rank Pedro]]="Medium","Purple",IF(TableRelationships12[[#This Row],[Rank Pedro]]="High","Brown","")))</f>
        <v/>
      </c>
      <c r="V1290" s="4" t="e">
        <f>MAX(INDEX(Standards!$F$2:$F$296,MATCH(B1290,Standards!$B$2:$B$296,0)),INDEX(Standards!$F$2:$F$296,MATCH(C1290,Standards!$B$2:$B$296,0)))</f>
        <v>#N/A</v>
      </c>
      <c r="W1290" t="str">
        <f t="shared" si="62"/>
        <v>#2f89d1</v>
      </c>
    </row>
    <row r="1291" spans="1:23" x14ac:dyDescent="0.5">
      <c r="A1291" s="54">
        <v>1290</v>
      </c>
      <c r="B1291" s="90" t="s">
        <v>636</v>
      </c>
      <c r="C1291" t="s">
        <v>342</v>
      </c>
      <c r="D1291" s="1"/>
      <c r="E1291" s="112">
        <v>2010.1</v>
      </c>
      <c r="F1291" s="112">
        <v>2010.1</v>
      </c>
      <c r="G1291" s="107" t="s">
        <v>670</v>
      </c>
      <c r="H1291">
        <f>INDEX('GIS-Standards'!$A$2:$A$305,MATCH(B1291,'GIS-Standards'!$B$2:$B$305,0))</f>
        <v>55</v>
      </c>
      <c r="I1291">
        <f>INDEX('GIS-Standards'!$A$2:$A$305,MATCH(C1291,'GIS-Standards'!$B$2:$B$305,0))</f>
        <v>47</v>
      </c>
      <c r="J1291" t="str">
        <f>INDEX('GIS-Standards'!$O$2:$O$305,MATCH(B1291,'GIS-Standards'!$B$2:$B$305,0))</f>
        <v>ISO/TC 211</v>
      </c>
      <c r="K1291" t="str">
        <f>INDEX('GIS-Standards'!$O$2:$O$305,MATCH(C1291,'GIS-Standards'!$B$2:$B$305,0))</f>
        <v>ISO/TC 211</v>
      </c>
      <c r="M1291" t="s">
        <v>525</v>
      </c>
      <c r="N1291">
        <f>INDEX('GIS-Standards'!$I$2:$I$305,MATCH(B1291,'GIS-Standards'!$B$2:$B$305,0))</f>
        <v>0</v>
      </c>
      <c r="O1291">
        <f>INDEX('GIS-Standards'!$I$2:$I$305,MATCH(C1291,'GIS-Standards'!$B$2:$B$305,0))</f>
        <v>0</v>
      </c>
      <c r="P1291" t="b">
        <f>AND(TableRelationships12[[#This Row],[Source Type]]="BIM",TableRelationships12[[#This Row],[Target Type]]="BIM")</f>
        <v>0</v>
      </c>
      <c r="Q1291">
        <f t="shared" si="60"/>
        <v>1</v>
      </c>
      <c r="S1291">
        <f t="shared" si="61"/>
        <v>1</v>
      </c>
      <c r="T1291" s="102" t="str">
        <f>IF(TableRelationships12[[#This Row],[Rank Pedro]]="Low","linkCategory1",IF(TableRelationships12[[#This Row],[Rank Pedro]]="Medium","linkCategory2",IF(TableRelationships12[[#This Row],[Rank Pedro]]="High","linkCategory3","")))</f>
        <v/>
      </c>
      <c r="U1291" s="102" t="str">
        <f>IF(TableRelationships12[[#This Row],[Rank Pedro]]="Low","Pink",IF(TableRelationships12[[#This Row],[Rank Pedro]]="Medium","Purple",IF(TableRelationships12[[#This Row],[Rank Pedro]]="High","Brown","")))</f>
        <v/>
      </c>
      <c r="V1291" s="4" t="e">
        <f>MAX(INDEX(Standards!$F$2:$F$296,MATCH(B1291,Standards!$B$2:$B$296,0)),INDEX(Standards!$F$2:$F$296,MATCH(C1291,Standards!$B$2:$B$296,0)))</f>
        <v>#N/A</v>
      </c>
      <c r="W1291" t="str">
        <f t="shared" si="62"/>
        <v>#2f89d1</v>
      </c>
    </row>
    <row r="1292" spans="1:23" x14ac:dyDescent="0.5">
      <c r="A1292" s="54">
        <v>1291</v>
      </c>
      <c r="B1292" s="90" t="s">
        <v>636</v>
      </c>
      <c r="C1292" t="s">
        <v>655</v>
      </c>
      <c r="D1292" s="1"/>
      <c r="E1292" s="112">
        <v>2012.11</v>
      </c>
      <c r="F1292" s="112">
        <v>2012.11</v>
      </c>
      <c r="G1292" s="107" t="s">
        <v>670</v>
      </c>
      <c r="H1292">
        <f>INDEX('GIS-Standards'!$A$2:$A$305,MATCH(B1292,'GIS-Standards'!$B$2:$B$305,0))</f>
        <v>55</v>
      </c>
      <c r="I1292">
        <f>INDEX('GIS-Standards'!$A$2:$A$305,MATCH(C1292,'GIS-Standards'!$B$2:$B$305,0))</f>
        <v>104</v>
      </c>
      <c r="J1292" t="str">
        <f>INDEX('GIS-Standards'!$O$2:$O$305,MATCH(B1292,'GIS-Standards'!$B$2:$B$305,0))</f>
        <v>ISO/TC 211</v>
      </c>
      <c r="K1292" t="str">
        <f>INDEX('GIS-Standards'!$O$2:$O$305,MATCH(C1292,'GIS-Standards'!$B$2:$B$305,0))</f>
        <v>ISO/TC 211</v>
      </c>
      <c r="M1292" t="s">
        <v>525</v>
      </c>
      <c r="N1292">
        <f>INDEX('GIS-Standards'!$I$2:$I$305,MATCH(B1292,'GIS-Standards'!$B$2:$B$305,0))</f>
        <v>0</v>
      </c>
      <c r="O1292">
        <f>INDEX('GIS-Standards'!$I$2:$I$305,MATCH(C1292,'GIS-Standards'!$B$2:$B$305,0))</f>
        <v>0</v>
      </c>
      <c r="P1292" t="b">
        <f>AND(TableRelationships12[[#This Row],[Source Type]]="BIM",TableRelationships12[[#This Row],[Target Type]]="BIM")</f>
        <v>0</v>
      </c>
      <c r="Q1292">
        <f t="shared" si="60"/>
        <v>1</v>
      </c>
      <c r="S1292">
        <f t="shared" si="61"/>
        <v>1</v>
      </c>
      <c r="T1292" s="102" t="str">
        <f>IF(TableRelationships12[[#This Row],[Rank Pedro]]="Low","linkCategory1",IF(TableRelationships12[[#This Row],[Rank Pedro]]="Medium","linkCategory2",IF(TableRelationships12[[#This Row],[Rank Pedro]]="High","linkCategory3","")))</f>
        <v/>
      </c>
      <c r="U1292" s="102" t="str">
        <f>IF(TableRelationships12[[#This Row],[Rank Pedro]]="Low","Pink",IF(TableRelationships12[[#This Row],[Rank Pedro]]="Medium","Purple",IF(TableRelationships12[[#This Row],[Rank Pedro]]="High","Brown","")))</f>
        <v/>
      </c>
      <c r="V1292" s="4" t="e">
        <f>MAX(INDEX(Standards!$F$2:$F$296,MATCH(B1292,Standards!$B$2:$B$296,0)),INDEX(Standards!$F$2:$F$296,MATCH(C1292,Standards!$B$2:$B$296,0)))</f>
        <v>#N/A</v>
      </c>
      <c r="W1292" t="str">
        <f t="shared" si="62"/>
        <v>#2f89d1</v>
      </c>
    </row>
    <row r="1293" spans="1:23" x14ac:dyDescent="0.5">
      <c r="A1293" s="54">
        <v>1292</v>
      </c>
      <c r="B1293" s="90" t="s">
        <v>636</v>
      </c>
      <c r="C1293" t="s">
        <v>1079</v>
      </c>
      <c r="D1293" s="1"/>
      <c r="E1293" s="112">
        <v>2005.04</v>
      </c>
      <c r="F1293" s="112">
        <v>2005.04</v>
      </c>
      <c r="G1293" s="107" t="s">
        <v>1502</v>
      </c>
      <c r="H1293">
        <f>INDEX('GIS-Standards'!$A$2:$A$305,MATCH(B1293,'GIS-Standards'!$B$2:$B$305,0))</f>
        <v>55</v>
      </c>
      <c r="I1293" t="e">
        <f>INDEX('GIS-Standards'!$A$2:$A$305,MATCH(C1293,'GIS-Standards'!$B$2:$B$305,0))</f>
        <v>#N/A</v>
      </c>
      <c r="J1293" t="str">
        <f>INDEX('GIS-Standards'!$O$2:$O$305,MATCH(B1293,'GIS-Standards'!$B$2:$B$305,0))</f>
        <v>ISO/TC 211</v>
      </c>
      <c r="K1293" t="e">
        <f>INDEX('GIS-Standards'!$O$2:$O$305,MATCH(C1293,'GIS-Standards'!$B$2:$B$305,0))</f>
        <v>#N/A</v>
      </c>
      <c r="M1293" t="s">
        <v>525</v>
      </c>
      <c r="N1293">
        <f>INDEX('GIS-Standards'!$I$2:$I$305,MATCH(B1293,'GIS-Standards'!$B$2:$B$305,0))</f>
        <v>0</v>
      </c>
      <c r="O1293" t="e">
        <f>INDEX('GIS-Standards'!$I$2:$I$305,MATCH(C1293,'GIS-Standards'!$B$2:$B$305,0))</f>
        <v>#N/A</v>
      </c>
      <c r="P1293" t="e">
        <f>AND(TableRelationships12[[#This Row],[Source Type]]="BIM",TableRelationships12[[#This Row],[Target Type]]="BIM")</f>
        <v>#N/A</v>
      </c>
      <c r="Q1293">
        <f t="shared" si="60"/>
        <v>1</v>
      </c>
      <c r="S1293">
        <f t="shared" si="61"/>
        <v>1</v>
      </c>
      <c r="T1293" s="102" t="str">
        <f>IF(TableRelationships12[[#This Row],[Rank Pedro]]="Low","linkCategory1",IF(TableRelationships12[[#This Row],[Rank Pedro]]="Medium","linkCategory2",IF(TableRelationships12[[#This Row],[Rank Pedro]]="High","linkCategory3","")))</f>
        <v/>
      </c>
      <c r="U1293" s="102" t="str">
        <f>IF(TableRelationships12[[#This Row],[Rank Pedro]]="Low","Pink",IF(TableRelationships12[[#This Row],[Rank Pedro]]="Medium","Purple",IF(TableRelationships12[[#This Row],[Rank Pedro]]="High","Brown","")))</f>
        <v/>
      </c>
      <c r="V1293" s="4" t="e">
        <f>MAX(INDEX(Standards!$F$2:$F$296,MATCH(B1293,Standards!$B$2:$B$296,0)),INDEX(Standards!$F$2:$F$296,MATCH(C1293,Standards!$B$2:$B$296,0)))</f>
        <v>#N/A</v>
      </c>
      <c r="W1293" t="str">
        <f t="shared" si="62"/>
        <v>#2f89d1</v>
      </c>
    </row>
    <row r="1294" spans="1:23" x14ac:dyDescent="0.5">
      <c r="A1294" s="54">
        <v>1293</v>
      </c>
      <c r="B1294" s="90" t="s">
        <v>636</v>
      </c>
      <c r="C1294" t="s">
        <v>360</v>
      </c>
      <c r="D1294" s="1"/>
      <c r="E1294" s="112">
        <v>2012.04</v>
      </c>
      <c r="F1294" s="112">
        <v>2012.04</v>
      </c>
      <c r="G1294" s="107" t="s">
        <v>1504</v>
      </c>
      <c r="H1294">
        <f>INDEX('GIS-Standards'!$A$2:$A$305,MATCH(B1294,'GIS-Standards'!$B$2:$B$305,0))</f>
        <v>55</v>
      </c>
      <c r="I1294" t="e">
        <f>INDEX('GIS-Standards'!$A$2:$A$305,MATCH(C1294,'GIS-Standards'!$B$2:$B$305,0))</f>
        <v>#N/A</v>
      </c>
      <c r="J1294" t="str">
        <f>INDEX('GIS-Standards'!$O$2:$O$305,MATCH(B1294,'GIS-Standards'!$B$2:$B$305,0))</f>
        <v>ISO/TC 211</v>
      </c>
      <c r="K1294" t="e">
        <f>INDEX('GIS-Standards'!$O$2:$O$305,MATCH(C1294,'GIS-Standards'!$B$2:$B$305,0))</f>
        <v>#N/A</v>
      </c>
      <c r="M1294" t="s">
        <v>525</v>
      </c>
      <c r="N1294">
        <f>INDEX('GIS-Standards'!$I$2:$I$305,MATCH(B1294,'GIS-Standards'!$B$2:$B$305,0))</f>
        <v>0</v>
      </c>
      <c r="O1294" t="e">
        <f>INDEX('GIS-Standards'!$I$2:$I$305,MATCH(C1294,'GIS-Standards'!$B$2:$B$305,0))</f>
        <v>#N/A</v>
      </c>
      <c r="P1294" t="e">
        <f>AND(TableRelationships12[[#This Row],[Source Type]]="BIM",TableRelationships12[[#This Row],[Target Type]]="BIM")</f>
        <v>#N/A</v>
      </c>
      <c r="Q1294">
        <f t="shared" si="60"/>
        <v>1</v>
      </c>
      <c r="S1294">
        <f t="shared" si="61"/>
        <v>1</v>
      </c>
      <c r="T1294" s="102" t="str">
        <f>IF(TableRelationships12[[#This Row],[Rank Pedro]]="Low","linkCategory1",IF(TableRelationships12[[#This Row],[Rank Pedro]]="Medium","linkCategory2",IF(TableRelationships12[[#This Row],[Rank Pedro]]="High","linkCategory3","")))</f>
        <v/>
      </c>
      <c r="U1294" s="102" t="str">
        <f>IF(TableRelationships12[[#This Row],[Rank Pedro]]="Low","Pink",IF(TableRelationships12[[#This Row],[Rank Pedro]]="Medium","Purple",IF(TableRelationships12[[#This Row],[Rank Pedro]]="High","Brown","")))</f>
        <v/>
      </c>
      <c r="V1294" s="4" t="e">
        <f>MAX(INDEX(Standards!$F$2:$F$296,MATCH(B1294,Standards!$B$2:$B$296,0)),INDEX(Standards!$F$2:$F$296,MATCH(C1294,Standards!$B$2:$B$296,0)))</f>
        <v>#N/A</v>
      </c>
      <c r="W1294" t="str">
        <f t="shared" si="62"/>
        <v>#2f89d1</v>
      </c>
    </row>
    <row r="1295" spans="1:23" x14ac:dyDescent="0.5">
      <c r="A1295" s="54">
        <v>1294</v>
      </c>
      <c r="B1295" s="90" t="s">
        <v>636</v>
      </c>
      <c r="C1295" t="s">
        <v>1112</v>
      </c>
      <c r="D1295" s="1"/>
      <c r="E1295" s="112">
        <v>2008.03</v>
      </c>
      <c r="G1295" s="107"/>
      <c r="H1295">
        <f>INDEX('GIS-Standards'!$A$2:$A$305,MATCH(B1295,'GIS-Standards'!$B$2:$B$305,0))</f>
        <v>55</v>
      </c>
      <c r="I1295" t="e">
        <f>INDEX('GIS-Standards'!$A$2:$A$305,MATCH(C1295,'GIS-Standards'!$B$2:$B$305,0))</f>
        <v>#N/A</v>
      </c>
      <c r="J1295" t="str">
        <f>INDEX('GIS-Standards'!$O$2:$O$305,MATCH(B1295,'GIS-Standards'!$B$2:$B$305,0))</f>
        <v>ISO/TC 211</v>
      </c>
      <c r="K1295" t="e">
        <f>INDEX('GIS-Standards'!$O$2:$O$305,MATCH(C1295,'GIS-Standards'!$B$2:$B$305,0))</f>
        <v>#N/A</v>
      </c>
      <c r="M1295" t="s">
        <v>525</v>
      </c>
      <c r="N1295">
        <f>INDEX('GIS-Standards'!$I$2:$I$305,MATCH(B1295,'GIS-Standards'!$B$2:$B$305,0))</f>
        <v>0</v>
      </c>
      <c r="O1295" t="e">
        <f>INDEX('GIS-Standards'!$I$2:$I$305,MATCH(C1295,'GIS-Standards'!$B$2:$B$305,0))</f>
        <v>#N/A</v>
      </c>
      <c r="P1295" t="e">
        <f>AND(TableRelationships12[[#This Row],[Source Type]]="BIM",TableRelationships12[[#This Row],[Target Type]]="BIM")</f>
        <v>#N/A</v>
      </c>
      <c r="Q1295">
        <f t="shared" si="60"/>
        <v>1</v>
      </c>
      <c r="S1295">
        <f t="shared" si="61"/>
        <v>1</v>
      </c>
      <c r="T1295" s="102" t="str">
        <f>IF(TableRelationships12[[#This Row],[Rank Pedro]]="Low","linkCategory1",IF(TableRelationships12[[#This Row],[Rank Pedro]]="Medium","linkCategory2",IF(TableRelationships12[[#This Row],[Rank Pedro]]="High","linkCategory3","")))</f>
        <v/>
      </c>
      <c r="U1295" s="102" t="str">
        <f>IF(TableRelationships12[[#This Row],[Rank Pedro]]="Low","Pink",IF(TableRelationships12[[#This Row],[Rank Pedro]]="Medium","Purple",IF(TableRelationships12[[#This Row],[Rank Pedro]]="High","Brown","")))</f>
        <v/>
      </c>
      <c r="V1295" s="4" t="e">
        <f>MAX(INDEX(Standards!$F$2:$F$296,MATCH(B1295,Standards!$B$2:$B$296,0)),INDEX(Standards!$F$2:$F$296,MATCH(C1295,Standards!$B$2:$B$296,0)))</f>
        <v>#N/A</v>
      </c>
      <c r="W1295" t="str">
        <f t="shared" si="62"/>
        <v>#2f89d1</v>
      </c>
    </row>
    <row r="1296" spans="1:23" x14ac:dyDescent="0.5">
      <c r="A1296" s="54">
        <v>1295</v>
      </c>
      <c r="B1296" s="90" t="s">
        <v>636</v>
      </c>
      <c r="C1296" t="s">
        <v>1311</v>
      </c>
      <c r="D1296" s="1"/>
      <c r="G1296" s="107"/>
      <c r="H1296">
        <f>INDEX('GIS-Standards'!$A$2:$A$305,MATCH(B1296,'GIS-Standards'!$B$2:$B$305,0))</f>
        <v>55</v>
      </c>
      <c r="I1296" t="e">
        <f>INDEX('GIS-Standards'!$A$2:$A$305,MATCH(C1296,'GIS-Standards'!$B$2:$B$305,0))</f>
        <v>#N/A</v>
      </c>
      <c r="J1296" t="str">
        <f>INDEX('GIS-Standards'!$O$2:$O$305,MATCH(B1296,'GIS-Standards'!$B$2:$B$305,0))</f>
        <v>ISO/TC 211</v>
      </c>
      <c r="K1296" t="e">
        <f>INDEX('GIS-Standards'!$O$2:$O$305,MATCH(C1296,'GIS-Standards'!$B$2:$B$305,0))</f>
        <v>#N/A</v>
      </c>
      <c r="M1296" t="s">
        <v>525</v>
      </c>
      <c r="N1296">
        <f>INDEX('GIS-Standards'!$I$2:$I$305,MATCH(B1296,'GIS-Standards'!$B$2:$B$305,0))</f>
        <v>0</v>
      </c>
      <c r="O1296" t="e">
        <f>INDEX('GIS-Standards'!$I$2:$I$305,MATCH(C1296,'GIS-Standards'!$B$2:$B$305,0))</f>
        <v>#N/A</v>
      </c>
      <c r="P1296" t="e">
        <f>AND(TableRelationships12[[#This Row],[Source Type]]="BIM",TableRelationships12[[#This Row],[Target Type]]="BIM")</f>
        <v>#N/A</v>
      </c>
      <c r="Q1296">
        <f t="shared" si="60"/>
        <v>1</v>
      </c>
      <c r="S1296">
        <f t="shared" si="61"/>
        <v>1</v>
      </c>
      <c r="T1296" s="102" t="str">
        <f>IF(TableRelationships12[[#This Row],[Rank Pedro]]="Low","linkCategory1",IF(TableRelationships12[[#This Row],[Rank Pedro]]="Medium","linkCategory2",IF(TableRelationships12[[#This Row],[Rank Pedro]]="High","linkCategory3","")))</f>
        <v/>
      </c>
      <c r="U1296" s="102" t="str">
        <f>IF(TableRelationships12[[#This Row],[Rank Pedro]]="Low","Pink",IF(TableRelationships12[[#This Row],[Rank Pedro]]="Medium","Purple",IF(TableRelationships12[[#This Row],[Rank Pedro]]="High","Brown","")))</f>
        <v/>
      </c>
      <c r="V1296" s="4" t="e">
        <f>MAX(INDEX(Standards!$F$2:$F$296,MATCH(B1296,Standards!$B$2:$B$296,0)),INDEX(Standards!$F$2:$F$296,MATCH(C1296,Standards!$B$2:$B$296,0)))</f>
        <v>#N/A</v>
      </c>
      <c r="W1296" t="str">
        <f t="shared" si="62"/>
        <v>#2f89d1</v>
      </c>
    </row>
    <row r="1297" spans="1:23" x14ac:dyDescent="0.5">
      <c r="A1297" s="54">
        <v>1296</v>
      </c>
      <c r="B1297" s="90" t="s">
        <v>636</v>
      </c>
      <c r="C1297" t="s">
        <v>1201</v>
      </c>
      <c r="D1297" s="1"/>
      <c r="G1297" s="107"/>
      <c r="H1297">
        <f>INDEX('GIS-Standards'!$A$2:$A$305,MATCH(B1297,'GIS-Standards'!$B$2:$B$305,0))</f>
        <v>55</v>
      </c>
      <c r="I1297" t="e">
        <f>INDEX('GIS-Standards'!$A$2:$A$305,MATCH(C1297,'GIS-Standards'!$B$2:$B$305,0))</f>
        <v>#N/A</v>
      </c>
      <c r="J1297" t="str">
        <f>INDEX('GIS-Standards'!$O$2:$O$305,MATCH(B1297,'GIS-Standards'!$B$2:$B$305,0))</f>
        <v>ISO/TC 211</v>
      </c>
      <c r="K1297" t="e">
        <f>INDEX('GIS-Standards'!$O$2:$O$305,MATCH(C1297,'GIS-Standards'!$B$2:$B$305,0))</f>
        <v>#N/A</v>
      </c>
      <c r="M1297" t="s">
        <v>525</v>
      </c>
      <c r="N1297">
        <f>INDEX('GIS-Standards'!$I$2:$I$305,MATCH(B1297,'GIS-Standards'!$B$2:$B$305,0))</f>
        <v>0</v>
      </c>
      <c r="O1297" t="e">
        <f>INDEX('GIS-Standards'!$I$2:$I$305,MATCH(C1297,'GIS-Standards'!$B$2:$B$305,0))</f>
        <v>#N/A</v>
      </c>
      <c r="P1297" t="e">
        <f>AND(TableRelationships12[[#This Row],[Source Type]]="BIM",TableRelationships12[[#This Row],[Target Type]]="BIM")</f>
        <v>#N/A</v>
      </c>
      <c r="Q1297">
        <f t="shared" si="60"/>
        <v>1</v>
      </c>
      <c r="S1297">
        <f t="shared" si="61"/>
        <v>1</v>
      </c>
      <c r="T1297" s="102" t="str">
        <f>IF(TableRelationships12[[#This Row],[Rank Pedro]]="Low","linkCategory1",IF(TableRelationships12[[#This Row],[Rank Pedro]]="Medium","linkCategory2",IF(TableRelationships12[[#This Row],[Rank Pedro]]="High","linkCategory3","")))</f>
        <v/>
      </c>
      <c r="U1297" s="102" t="str">
        <f>IF(TableRelationships12[[#This Row],[Rank Pedro]]="Low","Pink",IF(TableRelationships12[[#This Row],[Rank Pedro]]="Medium","Purple",IF(TableRelationships12[[#This Row],[Rank Pedro]]="High","Brown","")))</f>
        <v/>
      </c>
      <c r="V1297" s="4" t="e">
        <f>MAX(INDEX(Standards!$F$2:$F$296,MATCH(B1297,Standards!$B$2:$B$296,0)),INDEX(Standards!$F$2:$F$296,MATCH(C1297,Standards!$B$2:$B$296,0)))</f>
        <v>#N/A</v>
      </c>
      <c r="W1297" t="str">
        <f t="shared" si="62"/>
        <v>#2f89d1</v>
      </c>
    </row>
    <row r="1298" spans="1:23" x14ac:dyDescent="0.5">
      <c r="A1298" s="54">
        <v>1297</v>
      </c>
      <c r="B1298" s="90" t="s">
        <v>636</v>
      </c>
      <c r="C1298" t="s">
        <v>1561</v>
      </c>
      <c r="D1298" s="1"/>
      <c r="G1298" s="107"/>
      <c r="H1298">
        <f>INDEX('GIS-Standards'!$A$2:$A$305,MATCH(B1298,'GIS-Standards'!$B$2:$B$305,0))</f>
        <v>55</v>
      </c>
      <c r="I1298" t="e">
        <f>INDEX('GIS-Standards'!$A$2:$A$305,MATCH(C1298,'GIS-Standards'!$B$2:$B$305,0))</f>
        <v>#N/A</v>
      </c>
      <c r="J1298" t="str">
        <f>INDEX('GIS-Standards'!$O$2:$O$305,MATCH(B1298,'GIS-Standards'!$B$2:$B$305,0))</f>
        <v>ISO/TC 211</v>
      </c>
      <c r="K1298" t="e">
        <f>INDEX('GIS-Standards'!$O$2:$O$305,MATCH(C1298,'GIS-Standards'!$B$2:$B$305,0))</f>
        <v>#N/A</v>
      </c>
      <c r="M1298" t="s">
        <v>525</v>
      </c>
      <c r="N1298">
        <f>INDEX('GIS-Standards'!$I$2:$I$305,MATCH(B1298,'GIS-Standards'!$B$2:$B$305,0))</f>
        <v>0</v>
      </c>
      <c r="O1298" t="e">
        <f>INDEX('GIS-Standards'!$I$2:$I$305,MATCH(C1298,'GIS-Standards'!$B$2:$B$305,0))</f>
        <v>#N/A</v>
      </c>
      <c r="P1298" t="e">
        <f>AND(TableRelationships12[[#This Row],[Source Type]]="BIM",TableRelationships12[[#This Row],[Target Type]]="BIM")</f>
        <v>#N/A</v>
      </c>
      <c r="Q1298">
        <f t="shared" si="60"/>
        <v>1</v>
      </c>
      <c r="S1298">
        <f t="shared" si="61"/>
        <v>1</v>
      </c>
      <c r="T1298" s="102" t="str">
        <f>IF(TableRelationships12[[#This Row],[Rank Pedro]]="Low","linkCategory1",IF(TableRelationships12[[#This Row],[Rank Pedro]]="Medium","linkCategory2",IF(TableRelationships12[[#This Row],[Rank Pedro]]="High","linkCategory3","")))</f>
        <v/>
      </c>
      <c r="U1298" s="102" t="str">
        <f>IF(TableRelationships12[[#This Row],[Rank Pedro]]="Low","Pink",IF(TableRelationships12[[#This Row],[Rank Pedro]]="Medium","Purple",IF(TableRelationships12[[#This Row],[Rank Pedro]]="High","Brown","")))</f>
        <v/>
      </c>
      <c r="V1298" s="4" t="e">
        <f>MAX(INDEX(Standards!$F$2:$F$296,MATCH(B1298,Standards!$B$2:$B$296,0)),INDEX(Standards!$F$2:$F$296,MATCH(C1298,Standards!$B$2:$B$296,0)))</f>
        <v>#N/A</v>
      </c>
      <c r="W1298" t="str">
        <f t="shared" si="62"/>
        <v>#2f89d1</v>
      </c>
    </row>
    <row r="1299" spans="1:23" x14ac:dyDescent="0.5">
      <c r="A1299" s="54">
        <v>1298</v>
      </c>
      <c r="B1299" s="90" t="s">
        <v>636</v>
      </c>
      <c r="C1299" t="s">
        <v>1312</v>
      </c>
      <c r="D1299" s="1"/>
      <c r="G1299" s="107"/>
      <c r="H1299">
        <f>INDEX('GIS-Standards'!$A$2:$A$305,MATCH(B1299,'GIS-Standards'!$B$2:$B$305,0))</f>
        <v>55</v>
      </c>
      <c r="I1299" t="e">
        <f>INDEX('GIS-Standards'!$A$2:$A$305,MATCH(C1299,'GIS-Standards'!$B$2:$B$305,0))</f>
        <v>#N/A</v>
      </c>
      <c r="J1299" t="str">
        <f>INDEX('GIS-Standards'!$O$2:$O$305,MATCH(B1299,'GIS-Standards'!$B$2:$B$305,0))</f>
        <v>ISO/TC 211</v>
      </c>
      <c r="K1299" t="e">
        <f>INDEX('GIS-Standards'!$O$2:$O$305,MATCH(C1299,'GIS-Standards'!$B$2:$B$305,0))</f>
        <v>#N/A</v>
      </c>
      <c r="M1299" t="s">
        <v>525</v>
      </c>
      <c r="N1299">
        <f>INDEX('GIS-Standards'!$I$2:$I$305,MATCH(B1299,'GIS-Standards'!$B$2:$B$305,0))</f>
        <v>0</v>
      </c>
      <c r="O1299" t="e">
        <f>INDEX('GIS-Standards'!$I$2:$I$305,MATCH(C1299,'GIS-Standards'!$B$2:$B$305,0))</f>
        <v>#N/A</v>
      </c>
      <c r="P1299" t="e">
        <f>AND(TableRelationships12[[#This Row],[Source Type]]="BIM",TableRelationships12[[#This Row],[Target Type]]="BIM")</f>
        <v>#N/A</v>
      </c>
      <c r="Q1299">
        <f t="shared" si="60"/>
        <v>1</v>
      </c>
      <c r="S1299">
        <f t="shared" si="61"/>
        <v>1</v>
      </c>
      <c r="T1299" s="102" t="str">
        <f>IF(TableRelationships12[[#This Row],[Rank Pedro]]="Low","linkCategory1",IF(TableRelationships12[[#This Row],[Rank Pedro]]="Medium","linkCategory2",IF(TableRelationships12[[#This Row],[Rank Pedro]]="High","linkCategory3","")))</f>
        <v/>
      </c>
      <c r="U1299" s="102" t="str">
        <f>IF(TableRelationships12[[#This Row],[Rank Pedro]]="Low","Pink",IF(TableRelationships12[[#This Row],[Rank Pedro]]="Medium","Purple",IF(TableRelationships12[[#This Row],[Rank Pedro]]="High","Brown","")))</f>
        <v/>
      </c>
      <c r="V1299" s="4" t="e">
        <f>MAX(INDEX(Standards!$F$2:$F$296,MATCH(B1299,Standards!$B$2:$B$296,0)),INDEX(Standards!$F$2:$F$296,MATCH(C1299,Standards!$B$2:$B$296,0)))</f>
        <v>#N/A</v>
      </c>
      <c r="W1299" t="str">
        <f t="shared" si="62"/>
        <v>#2f89d1</v>
      </c>
    </row>
    <row r="1300" spans="1:23" x14ac:dyDescent="0.5">
      <c r="A1300" s="54">
        <v>1299</v>
      </c>
      <c r="B1300" s="90" t="s">
        <v>636</v>
      </c>
      <c r="C1300" t="s">
        <v>1577</v>
      </c>
      <c r="D1300" s="1"/>
      <c r="G1300" s="107"/>
      <c r="H1300">
        <f>INDEX('GIS-Standards'!$A$2:$A$305,MATCH(B1300,'GIS-Standards'!$B$2:$B$305,0))</f>
        <v>55</v>
      </c>
      <c r="I1300" t="e">
        <f>INDEX('GIS-Standards'!$A$2:$A$305,MATCH(C1300,'GIS-Standards'!$B$2:$B$305,0))</f>
        <v>#N/A</v>
      </c>
      <c r="J1300" t="str">
        <f>INDEX('GIS-Standards'!$O$2:$O$305,MATCH(B1300,'GIS-Standards'!$B$2:$B$305,0))</f>
        <v>ISO/TC 211</v>
      </c>
      <c r="K1300" t="e">
        <f>INDEX('GIS-Standards'!$O$2:$O$305,MATCH(C1300,'GIS-Standards'!$B$2:$B$305,0))</f>
        <v>#N/A</v>
      </c>
      <c r="M1300" t="s">
        <v>525</v>
      </c>
      <c r="N1300">
        <f>INDEX('GIS-Standards'!$I$2:$I$305,MATCH(B1300,'GIS-Standards'!$B$2:$B$305,0))</f>
        <v>0</v>
      </c>
      <c r="O1300" t="e">
        <f>INDEX('GIS-Standards'!$I$2:$I$305,MATCH(C1300,'GIS-Standards'!$B$2:$B$305,0))</f>
        <v>#N/A</v>
      </c>
      <c r="P1300" t="e">
        <f>AND(TableRelationships12[[#This Row],[Source Type]]="BIM",TableRelationships12[[#This Row],[Target Type]]="BIM")</f>
        <v>#N/A</v>
      </c>
      <c r="Q1300">
        <f t="shared" si="60"/>
        <v>1</v>
      </c>
      <c r="S1300">
        <f t="shared" si="61"/>
        <v>1</v>
      </c>
      <c r="T1300" s="102" t="str">
        <f>IF(TableRelationships12[[#This Row],[Rank Pedro]]="Low","linkCategory1",IF(TableRelationships12[[#This Row],[Rank Pedro]]="Medium","linkCategory2",IF(TableRelationships12[[#This Row],[Rank Pedro]]="High","linkCategory3","")))</f>
        <v/>
      </c>
      <c r="U1300" s="102" t="str">
        <f>IF(TableRelationships12[[#This Row],[Rank Pedro]]="Low","Pink",IF(TableRelationships12[[#This Row],[Rank Pedro]]="Medium","Purple",IF(TableRelationships12[[#This Row],[Rank Pedro]]="High","Brown","")))</f>
        <v/>
      </c>
      <c r="V1300" s="4" t="e">
        <f>MAX(INDEX(Standards!$F$2:$F$296,MATCH(B1300,Standards!$B$2:$B$296,0)),INDEX(Standards!$F$2:$F$296,MATCH(C1300,Standards!$B$2:$B$296,0)))</f>
        <v>#N/A</v>
      </c>
      <c r="W1300" t="str">
        <f t="shared" si="62"/>
        <v>#2f89d1</v>
      </c>
    </row>
    <row r="1301" spans="1:23" x14ac:dyDescent="0.5">
      <c r="A1301" s="54">
        <v>1300</v>
      </c>
      <c r="B1301" s="90" t="s">
        <v>636</v>
      </c>
      <c r="C1301" t="s">
        <v>1584</v>
      </c>
      <c r="D1301" s="1"/>
      <c r="G1301" s="107"/>
      <c r="H1301">
        <f>INDEX('GIS-Standards'!$A$2:$A$305,MATCH(B1301,'GIS-Standards'!$B$2:$B$305,0))</f>
        <v>55</v>
      </c>
      <c r="I1301" t="e">
        <f>INDEX('GIS-Standards'!$A$2:$A$305,MATCH(C1301,'GIS-Standards'!$B$2:$B$305,0))</f>
        <v>#N/A</v>
      </c>
      <c r="J1301" t="str">
        <f>INDEX('GIS-Standards'!$O$2:$O$305,MATCH(B1301,'GIS-Standards'!$B$2:$B$305,0))</f>
        <v>ISO/TC 211</v>
      </c>
      <c r="K1301" t="e">
        <f>INDEX('GIS-Standards'!$O$2:$O$305,MATCH(C1301,'GIS-Standards'!$B$2:$B$305,0))</f>
        <v>#N/A</v>
      </c>
      <c r="M1301" t="s">
        <v>525</v>
      </c>
      <c r="N1301">
        <f>INDEX('GIS-Standards'!$I$2:$I$305,MATCH(B1301,'GIS-Standards'!$B$2:$B$305,0))</f>
        <v>0</v>
      </c>
      <c r="O1301" t="e">
        <f>INDEX('GIS-Standards'!$I$2:$I$305,MATCH(C1301,'GIS-Standards'!$B$2:$B$305,0))</f>
        <v>#N/A</v>
      </c>
      <c r="P1301" t="e">
        <f>AND(TableRelationships12[[#This Row],[Source Type]]="BIM",TableRelationships12[[#This Row],[Target Type]]="BIM")</f>
        <v>#N/A</v>
      </c>
      <c r="Q1301">
        <f t="shared" si="60"/>
        <v>1</v>
      </c>
      <c r="S1301">
        <f t="shared" si="61"/>
        <v>1</v>
      </c>
      <c r="T1301" s="102" t="str">
        <f>IF(TableRelationships12[[#This Row],[Rank Pedro]]="Low","linkCategory1",IF(TableRelationships12[[#This Row],[Rank Pedro]]="Medium","linkCategory2",IF(TableRelationships12[[#This Row],[Rank Pedro]]="High","linkCategory3","")))</f>
        <v/>
      </c>
      <c r="U1301" s="102" t="str">
        <f>IF(TableRelationships12[[#This Row],[Rank Pedro]]="Low","Pink",IF(TableRelationships12[[#This Row],[Rank Pedro]]="Medium","Purple",IF(TableRelationships12[[#This Row],[Rank Pedro]]="High","Brown","")))</f>
        <v/>
      </c>
      <c r="V1301" s="4" t="e">
        <f>MAX(INDEX(Standards!$F$2:$F$296,MATCH(B1301,Standards!$B$2:$B$296,0)),INDEX(Standards!$F$2:$F$296,MATCH(C1301,Standards!$B$2:$B$296,0)))</f>
        <v>#N/A</v>
      </c>
      <c r="W1301" t="str">
        <f t="shared" si="62"/>
        <v>#2f89d1</v>
      </c>
    </row>
    <row r="1302" spans="1:23" x14ac:dyDescent="0.5">
      <c r="A1302" s="54">
        <v>1301</v>
      </c>
      <c r="B1302" s="90" t="s">
        <v>636</v>
      </c>
      <c r="C1302" t="s">
        <v>1585</v>
      </c>
      <c r="D1302" s="1"/>
      <c r="G1302" s="107"/>
      <c r="H1302">
        <f>INDEX('GIS-Standards'!$A$2:$A$305,MATCH(B1302,'GIS-Standards'!$B$2:$B$305,0))</f>
        <v>55</v>
      </c>
      <c r="I1302" t="e">
        <f>INDEX('GIS-Standards'!$A$2:$A$305,MATCH(C1302,'GIS-Standards'!$B$2:$B$305,0))</f>
        <v>#N/A</v>
      </c>
      <c r="J1302" t="str">
        <f>INDEX('GIS-Standards'!$O$2:$O$305,MATCH(B1302,'GIS-Standards'!$B$2:$B$305,0))</f>
        <v>ISO/TC 211</v>
      </c>
      <c r="K1302" t="e">
        <f>INDEX('GIS-Standards'!$O$2:$O$305,MATCH(C1302,'GIS-Standards'!$B$2:$B$305,0))</f>
        <v>#N/A</v>
      </c>
      <c r="M1302" t="s">
        <v>525</v>
      </c>
      <c r="N1302">
        <f>INDEX('GIS-Standards'!$I$2:$I$305,MATCH(B1302,'GIS-Standards'!$B$2:$B$305,0))</f>
        <v>0</v>
      </c>
      <c r="O1302" t="e">
        <f>INDEX('GIS-Standards'!$I$2:$I$305,MATCH(C1302,'GIS-Standards'!$B$2:$B$305,0))</f>
        <v>#N/A</v>
      </c>
      <c r="P1302" t="e">
        <f>AND(TableRelationships12[[#This Row],[Source Type]]="BIM",TableRelationships12[[#This Row],[Target Type]]="BIM")</f>
        <v>#N/A</v>
      </c>
      <c r="Q1302">
        <f t="shared" si="60"/>
        <v>1</v>
      </c>
      <c r="S1302">
        <f t="shared" si="61"/>
        <v>1</v>
      </c>
      <c r="T1302" s="102" t="str">
        <f>IF(TableRelationships12[[#This Row],[Rank Pedro]]="Low","linkCategory1",IF(TableRelationships12[[#This Row],[Rank Pedro]]="Medium","linkCategory2",IF(TableRelationships12[[#This Row],[Rank Pedro]]="High","linkCategory3","")))</f>
        <v/>
      </c>
      <c r="U1302" s="102" t="str">
        <f>IF(TableRelationships12[[#This Row],[Rank Pedro]]="Low","Pink",IF(TableRelationships12[[#This Row],[Rank Pedro]]="Medium","Purple",IF(TableRelationships12[[#This Row],[Rank Pedro]]="High","Brown","")))</f>
        <v/>
      </c>
      <c r="V1302" s="4" t="e">
        <f>MAX(INDEX(Standards!$F$2:$F$296,MATCH(B1302,Standards!$B$2:$B$296,0)),INDEX(Standards!$F$2:$F$296,MATCH(C1302,Standards!$B$2:$B$296,0)))</f>
        <v>#N/A</v>
      </c>
      <c r="W1302" t="str">
        <f t="shared" si="62"/>
        <v>#2f89d1</v>
      </c>
    </row>
    <row r="1303" spans="1:23" x14ac:dyDescent="0.5">
      <c r="A1303" s="54">
        <v>1302</v>
      </c>
      <c r="B1303" s="90" t="s">
        <v>636</v>
      </c>
      <c r="C1303" t="s">
        <v>1559</v>
      </c>
      <c r="D1303" s="1"/>
      <c r="G1303" s="107"/>
      <c r="H1303">
        <f>INDEX('GIS-Standards'!$A$2:$A$305,MATCH(B1303,'GIS-Standards'!$B$2:$B$305,0))</f>
        <v>55</v>
      </c>
      <c r="I1303" t="e">
        <f>INDEX('GIS-Standards'!$A$2:$A$305,MATCH(C1303,'GIS-Standards'!$B$2:$B$305,0))</f>
        <v>#N/A</v>
      </c>
      <c r="J1303" t="str">
        <f>INDEX('GIS-Standards'!$O$2:$O$305,MATCH(B1303,'GIS-Standards'!$B$2:$B$305,0))</f>
        <v>ISO/TC 211</v>
      </c>
      <c r="K1303" t="e">
        <f>INDEX('GIS-Standards'!$O$2:$O$305,MATCH(C1303,'GIS-Standards'!$B$2:$B$305,0))</f>
        <v>#N/A</v>
      </c>
      <c r="M1303" t="s">
        <v>525</v>
      </c>
      <c r="N1303">
        <f>INDEX('GIS-Standards'!$I$2:$I$305,MATCH(B1303,'GIS-Standards'!$B$2:$B$305,0))</f>
        <v>0</v>
      </c>
      <c r="O1303" t="e">
        <f>INDEX('GIS-Standards'!$I$2:$I$305,MATCH(C1303,'GIS-Standards'!$B$2:$B$305,0))</f>
        <v>#N/A</v>
      </c>
      <c r="P1303" t="e">
        <f>AND(TableRelationships12[[#This Row],[Source Type]]="BIM",TableRelationships12[[#This Row],[Target Type]]="BIM")</f>
        <v>#N/A</v>
      </c>
      <c r="Q1303">
        <f t="shared" si="60"/>
        <v>1</v>
      </c>
      <c r="S1303">
        <f t="shared" si="61"/>
        <v>1</v>
      </c>
      <c r="T1303" s="102" t="str">
        <f>IF(TableRelationships12[[#This Row],[Rank Pedro]]="Low","linkCategory1",IF(TableRelationships12[[#This Row],[Rank Pedro]]="Medium","linkCategory2",IF(TableRelationships12[[#This Row],[Rank Pedro]]="High","linkCategory3","")))</f>
        <v/>
      </c>
      <c r="U1303" s="102" t="str">
        <f>IF(TableRelationships12[[#This Row],[Rank Pedro]]="Low","Pink",IF(TableRelationships12[[#This Row],[Rank Pedro]]="Medium","Purple",IF(TableRelationships12[[#This Row],[Rank Pedro]]="High","Brown","")))</f>
        <v/>
      </c>
      <c r="V1303" s="4" t="e">
        <f>MAX(INDEX(Standards!$F$2:$F$296,MATCH(B1303,Standards!$B$2:$B$296,0)),INDEX(Standards!$F$2:$F$296,MATCH(C1303,Standards!$B$2:$B$296,0)))</f>
        <v>#N/A</v>
      </c>
      <c r="W1303" t="str">
        <f t="shared" si="62"/>
        <v>#2f89d1</v>
      </c>
    </row>
    <row r="1304" spans="1:23" x14ac:dyDescent="0.5">
      <c r="A1304" s="54">
        <v>1303</v>
      </c>
      <c r="B1304" s="90" t="s">
        <v>636</v>
      </c>
      <c r="C1304" t="s">
        <v>1563</v>
      </c>
      <c r="D1304" s="1"/>
      <c r="G1304" s="107"/>
      <c r="H1304">
        <f>INDEX('GIS-Standards'!$A$2:$A$305,MATCH(B1304,'GIS-Standards'!$B$2:$B$305,0))</f>
        <v>55</v>
      </c>
      <c r="I1304" t="e">
        <f>INDEX('GIS-Standards'!$A$2:$A$305,MATCH(C1304,'GIS-Standards'!$B$2:$B$305,0))</f>
        <v>#N/A</v>
      </c>
      <c r="J1304" t="str">
        <f>INDEX('GIS-Standards'!$O$2:$O$305,MATCH(B1304,'GIS-Standards'!$B$2:$B$305,0))</f>
        <v>ISO/TC 211</v>
      </c>
      <c r="K1304" t="e">
        <f>INDEX('GIS-Standards'!$O$2:$O$305,MATCH(C1304,'GIS-Standards'!$B$2:$B$305,0))</f>
        <v>#N/A</v>
      </c>
      <c r="M1304" t="s">
        <v>525</v>
      </c>
      <c r="N1304">
        <f>INDEX('GIS-Standards'!$I$2:$I$305,MATCH(B1304,'GIS-Standards'!$B$2:$B$305,0))</f>
        <v>0</v>
      </c>
      <c r="O1304" t="e">
        <f>INDEX('GIS-Standards'!$I$2:$I$305,MATCH(C1304,'GIS-Standards'!$B$2:$B$305,0))</f>
        <v>#N/A</v>
      </c>
      <c r="P1304" t="e">
        <f>AND(TableRelationships12[[#This Row],[Source Type]]="BIM",TableRelationships12[[#This Row],[Target Type]]="BIM")</f>
        <v>#N/A</v>
      </c>
      <c r="Q1304">
        <f t="shared" si="60"/>
        <v>1</v>
      </c>
      <c r="S1304">
        <f t="shared" si="61"/>
        <v>1</v>
      </c>
      <c r="T1304" s="102" t="str">
        <f>IF(TableRelationships12[[#This Row],[Rank Pedro]]="Low","linkCategory1",IF(TableRelationships12[[#This Row],[Rank Pedro]]="Medium","linkCategory2",IF(TableRelationships12[[#This Row],[Rank Pedro]]="High","linkCategory3","")))</f>
        <v/>
      </c>
      <c r="U1304" s="102" t="str">
        <f>IF(TableRelationships12[[#This Row],[Rank Pedro]]="Low","Pink",IF(TableRelationships12[[#This Row],[Rank Pedro]]="Medium","Purple",IF(TableRelationships12[[#This Row],[Rank Pedro]]="High","Brown","")))</f>
        <v/>
      </c>
      <c r="V1304" s="4" t="e">
        <f>MAX(INDEX(Standards!$F$2:$F$296,MATCH(B1304,Standards!$B$2:$B$296,0)),INDEX(Standards!$F$2:$F$296,MATCH(C1304,Standards!$B$2:$B$296,0)))</f>
        <v>#N/A</v>
      </c>
      <c r="W1304" t="str">
        <f t="shared" si="62"/>
        <v>#2f89d1</v>
      </c>
    </row>
    <row r="1305" spans="1:23" x14ac:dyDescent="0.5">
      <c r="A1305" s="54">
        <v>1304</v>
      </c>
      <c r="B1305" s="90" t="s">
        <v>636</v>
      </c>
      <c r="C1305" t="s">
        <v>437</v>
      </c>
      <c r="D1305" s="1" t="s">
        <v>1138</v>
      </c>
      <c r="E1305" s="112">
        <v>1988.03</v>
      </c>
      <c r="F1305" s="112">
        <v>2023.11</v>
      </c>
      <c r="G1305" s="107" t="s">
        <v>1457</v>
      </c>
      <c r="H1305">
        <f>INDEX('GIS-Standards'!$A$2:$A$305,MATCH(B1305,'GIS-Standards'!$B$2:$B$305,0))</f>
        <v>55</v>
      </c>
      <c r="I1305" t="e">
        <f>INDEX('GIS-Standards'!$A$2:$A$305,MATCH(C1305,'GIS-Standards'!$B$2:$B$305,0))</f>
        <v>#N/A</v>
      </c>
      <c r="J1305" t="str">
        <f>INDEX('GIS-Standards'!$O$2:$O$305,MATCH(B1305,'GIS-Standards'!$B$2:$B$305,0))</f>
        <v>ISO/TC 211</v>
      </c>
      <c r="K1305" t="e">
        <f>INDEX('GIS-Standards'!$O$2:$O$305,MATCH(C1305,'GIS-Standards'!$B$2:$B$305,0))</f>
        <v>#N/A</v>
      </c>
      <c r="M1305" t="s">
        <v>525</v>
      </c>
      <c r="N1305">
        <f>INDEX('GIS-Standards'!$I$2:$I$305,MATCH(B1305,'GIS-Standards'!$B$2:$B$305,0))</f>
        <v>0</v>
      </c>
      <c r="O1305" t="e">
        <f>INDEX('GIS-Standards'!$I$2:$I$305,MATCH(C1305,'GIS-Standards'!$B$2:$B$305,0))</f>
        <v>#N/A</v>
      </c>
      <c r="P1305" t="e">
        <f>AND(TableRelationships12[[#This Row],[Source Type]]="BIM",TableRelationships12[[#This Row],[Target Type]]="BIM")</f>
        <v>#N/A</v>
      </c>
      <c r="Q1305">
        <f t="shared" si="60"/>
        <v>1</v>
      </c>
      <c r="S1305">
        <f t="shared" si="61"/>
        <v>1</v>
      </c>
      <c r="T1305" s="102" t="str">
        <f>IF(TableRelationships12[[#This Row],[Rank Pedro]]="Low","linkCategory1",IF(TableRelationships12[[#This Row],[Rank Pedro]]="Medium","linkCategory2",IF(TableRelationships12[[#This Row],[Rank Pedro]]="High","linkCategory3","")))</f>
        <v/>
      </c>
      <c r="U1305" s="102" t="str">
        <f>IF(TableRelationships12[[#This Row],[Rank Pedro]]="Low","Pink",IF(TableRelationships12[[#This Row],[Rank Pedro]]="Medium","Purple",IF(TableRelationships12[[#This Row],[Rank Pedro]]="High","Brown","")))</f>
        <v/>
      </c>
      <c r="V1305" s="4" t="e">
        <f>MAX(INDEX(Standards!$F$2:$F$296,MATCH(B1305,Standards!$B$2:$B$296,0)),INDEX(Standards!$F$2:$F$296,MATCH(C1305,Standards!$B$2:$B$296,0)))</f>
        <v>#N/A</v>
      </c>
      <c r="W1305" t="str">
        <f t="shared" si="62"/>
        <v>#2f89d1</v>
      </c>
    </row>
    <row r="1306" spans="1:23" x14ac:dyDescent="0.5">
      <c r="A1306" s="54">
        <v>1305</v>
      </c>
      <c r="B1306" s="90" t="s">
        <v>1051</v>
      </c>
      <c r="C1306" t="s">
        <v>527</v>
      </c>
      <c r="D1306" s="1"/>
      <c r="E1306" s="112" t="s">
        <v>952</v>
      </c>
      <c r="F1306" s="112" t="s">
        <v>952</v>
      </c>
      <c r="G1306" s="121" t="s">
        <v>670</v>
      </c>
      <c r="H1306">
        <f>INDEX('GIS-Standards'!$A$2:$A$305,MATCH(B1306,'GIS-Standards'!$B$2:$B$305,0))</f>
        <v>56</v>
      </c>
      <c r="I1306" t="e">
        <f>INDEX('GIS-Standards'!$A$2:$A$305,MATCH(C1306,'GIS-Standards'!$B$2:$B$305,0))</f>
        <v>#N/A</v>
      </c>
      <c r="J1306" t="str">
        <f>INDEX('GIS-Standards'!$O$2:$O$305,MATCH(B1306,'GIS-Standards'!$B$2:$B$305,0))</f>
        <v>ISO/TC 211</v>
      </c>
      <c r="K1306" t="e">
        <f>INDEX('GIS-Standards'!$O$2:$O$305,MATCH(C1306,'GIS-Standards'!$B$2:$B$305,0))</f>
        <v>#N/A</v>
      </c>
      <c r="M1306" t="s">
        <v>237</v>
      </c>
      <c r="N1306">
        <f>INDEX('GIS-Standards'!$I$2:$I$305,MATCH(B1306,'GIS-Standards'!$B$2:$B$305,0))</f>
        <v>0</v>
      </c>
      <c r="O1306" t="e">
        <f>INDEX('GIS-Standards'!$I$2:$I$305,MATCH(C1306,'GIS-Standards'!$B$2:$B$305,0))</f>
        <v>#N/A</v>
      </c>
      <c r="P1306" t="e">
        <f>AND(TableRelationships12[[#This Row],[Source Type]]="BIM",TableRelationships12[[#This Row],[Target Type]]="BIM")</f>
        <v>#N/A</v>
      </c>
      <c r="Q1306">
        <f t="shared" si="60"/>
        <v>2</v>
      </c>
      <c r="S1306">
        <f t="shared" si="61"/>
        <v>1</v>
      </c>
      <c r="T1306" s="102" t="str">
        <f>IF(TableRelationships12[[#This Row],[Rank Pedro]]="Low","linkCategory1",IF(TableRelationships12[[#This Row],[Rank Pedro]]="Medium","linkCategory2",IF(TableRelationships12[[#This Row],[Rank Pedro]]="High","linkCategory3","")))</f>
        <v/>
      </c>
      <c r="U1306" s="102" t="str">
        <f>IF(TableRelationships12[[#This Row],[Rank Pedro]]="Low","Pink",IF(TableRelationships12[[#This Row],[Rank Pedro]]="Medium","Purple",IF(TableRelationships12[[#This Row],[Rank Pedro]]="High","Brown","")))</f>
        <v/>
      </c>
      <c r="V1306" s="4" t="e">
        <f>MAX(INDEX(Standards!$F$2:$F$296,MATCH(B1306,Standards!$B$2:$B$296,0)),INDEX(Standards!$F$2:$F$296,MATCH(C1306,Standards!$B$2:$B$296,0)))</f>
        <v>#N/A</v>
      </c>
      <c r="W1306">
        <f t="shared" si="62"/>
        <v>1</v>
      </c>
    </row>
    <row r="1307" spans="1:23" x14ac:dyDescent="0.5">
      <c r="A1307" s="54">
        <v>1306</v>
      </c>
      <c r="B1307" s="90" t="s">
        <v>1051</v>
      </c>
      <c r="C1307" t="s">
        <v>293</v>
      </c>
      <c r="D1307" s="1"/>
      <c r="E1307" s="112">
        <v>2002.07</v>
      </c>
      <c r="F1307" s="112">
        <v>2014.11</v>
      </c>
      <c r="G1307" s="107" t="s">
        <v>670</v>
      </c>
      <c r="H1307">
        <f>INDEX('GIS-Standards'!$A$2:$A$305,MATCH(B1307,'GIS-Standards'!$B$2:$B$305,0))</f>
        <v>56</v>
      </c>
      <c r="I1307">
        <f>INDEX('GIS-Standards'!$A$2:$A$305,MATCH(C1307,'GIS-Standards'!$B$2:$B$305,0))</f>
        <v>10</v>
      </c>
      <c r="J1307" t="str">
        <f>INDEX('GIS-Standards'!$O$2:$O$305,MATCH(B1307,'GIS-Standards'!$B$2:$B$305,0))</f>
        <v>ISO/TC 211</v>
      </c>
      <c r="K1307" t="str">
        <f>INDEX('GIS-Standards'!$O$2:$O$305,MATCH(C1307,'GIS-Standards'!$B$2:$B$305,0))</f>
        <v>ISO/TC 211</v>
      </c>
      <c r="M1307" t="s">
        <v>524</v>
      </c>
      <c r="N1307">
        <f>INDEX('GIS-Standards'!$I$2:$I$305,MATCH(B1307,'GIS-Standards'!$B$2:$B$305,0))</f>
        <v>0</v>
      </c>
      <c r="O1307">
        <f>INDEX('GIS-Standards'!$I$2:$I$305,MATCH(C1307,'GIS-Standards'!$B$2:$B$305,0))</f>
        <v>0</v>
      </c>
      <c r="P1307" t="b">
        <f>AND(TableRelationships12[[#This Row],[Source Type]]="BIM",TableRelationships12[[#This Row],[Target Type]]="BIM")</f>
        <v>0</v>
      </c>
      <c r="Q1307">
        <f t="shared" si="60"/>
        <v>6</v>
      </c>
      <c r="S1307">
        <f t="shared" si="61"/>
        <v>1</v>
      </c>
      <c r="T1307" s="102" t="str">
        <f>IF(TableRelationships12[[#This Row],[Rank Pedro]]="Low","linkCategory1",IF(TableRelationships12[[#This Row],[Rank Pedro]]="Medium","linkCategory2",IF(TableRelationships12[[#This Row],[Rank Pedro]]="High","linkCategory3","")))</f>
        <v/>
      </c>
      <c r="U1307" s="102" t="str">
        <f>IF(TableRelationships12[[#This Row],[Rank Pedro]]="Low","Pink",IF(TableRelationships12[[#This Row],[Rank Pedro]]="Medium","Purple",IF(TableRelationships12[[#This Row],[Rank Pedro]]="High","Brown","")))</f>
        <v/>
      </c>
      <c r="V1307" s="4" t="e">
        <f>MAX(INDEX(Standards!$F$2:$F$296,MATCH(B1307,Standards!$B$2:$B$296,0)),INDEX(Standards!$F$2:$F$296,MATCH(C1307,Standards!$B$2:$B$296,0)))</f>
        <v>#N/A</v>
      </c>
      <c r="W1307" t="str">
        <f t="shared" si="62"/>
        <v>#d6bf2a</v>
      </c>
    </row>
    <row r="1308" spans="1:23" x14ac:dyDescent="0.5">
      <c r="A1308" s="54">
        <v>1307</v>
      </c>
      <c r="B1308" s="90" t="s">
        <v>1051</v>
      </c>
      <c r="C1308" t="s">
        <v>296</v>
      </c>
      <c r="D1308" s="1"/>
      <c r="E1308" s="112">
        <v>2005.07</v>
      </c>
      <c r="F1308" s="112">
        <v>2024.09</v>
      </c>
      <c r="G1308" s="107" t="s">
        <v>670</v>
      </c>
      <c r="H1308">
        <f>INDEX('GIS-Standards'!$A$2:$A$305,MATCH(B1308,'GIS-Standards'!$B$2:$B$305,0))</f>
        <v>56</v>
      </c>
      <c r="I1308">
        <f>INDEX('GIS-Standards'!$A$2:$A$305,MATCH(C1308,'GIS-Standards'!$B$2:$B$305,0))</f>
        <v>12</v>
      </c>
      <c r="J1308" t="str">
        <f>INDEX('GIS-Standards'!$O$2:$O$305,MATCH(B1308,'GIS-Standards'!$B$2:$B$305,0))</f>
        <v>ISO/TC 211</v>
      </c>
      <c r="K1308" t="str">
        <f>INDEX('GIS-Standards'!$O$2:$O$305,MATCH(C1308,'GIS-Standards'!$B$2:$B$305,0))</f>
        <v>ISO/TC 211</v>
      </c>
      <c r="M1308" t="s">
        <v>524</v>
      </c>
      <c r="N1308">
        <f>INDEX('GIS-Standards'!$I$2:$I$305,MATCH(B1308,'GIS-Standards'!$B$2:$B$305,0))</f>
        <v>0</v>
      </c>
      <c r="O1308">
        <f>INDEX('GIS-Standards'!$I$2:$I$305,MATCH(C1308,'GIS-Standards'!$B$2:$B$305,0))</f>
        <v>0</v>
      </c>
      <c r="P1308" t="b">
        <f>AND(TableRelationships12[[#This Row],[Source Type]]="BIM",TableRelationships12[[#This Row],[Target Type]]="BIM")</f>
        <v>0</v>
      </c>
      <c r="Q1308">
        <f t="shared" si="60"/>
        <v>6</v>
      </c>
      <c r="S1308">
        <f t="shared" si="61"/>
        <v>1</v>
      </c>
      <c r="T1308" s="102" t="str">
        <f>IF(TableRelationships12[[#This Row],[Rank Pedro]]="Low","linkCategory1",IF(TableRelationships12[[#This Row],[Rank Pedro]]="Medium","linkCategory2",IF(TableRelationships12[[#This Row],[Rank Pedro]]="High","linkCategory3","")))</f>
        <v/>
      </c>
      <c r="U1308" s="102" t="str">
        <f>IF(TableRelationships12[[#This Row],[Rank Pedro]]="Low","Pink",IF(TableRelationships12[[#This Row],[Rank Pedro]]="Medium","Purple",IF(TableRelationships12[[#This Row],[Rank Pedro]]="High","Brown","")))</f>
        <v/>
      </c>
      <c r="V1308" s="4" t="e">
        <f>MAX(INDEX(Standards!$F$2:$F$296,MATCH(B1308,Standards!$B$2:$B$296,0)),INDEX(Standards!$F$2:$F$296,MATCH(C1308,Standards!$B$2:$B$296,0)))</f>
        <v>#N/A</v>
      </c>
      <c r="W1308" t="str">
        <f t="shared" si="62"/>
        <v>#d6bf2a</v>
      </c>
    </row>
    <row r="1309" spans="1:23" x14ac:dyDescent="0.5">
      <c r="A1309" s="54">
        <v>1308</v>
      </c>
      <c r="B1309" s="90" t="s">
        <v>1051</v>
      </c>
      <c r="C1309" t="s">
        <v>1048</v>
      </c>
      <c r="D1309" s="1"/>
      <c r="E1309" s="112">
        <v>2005.1</v>
      </c>
      <c r="F1309" s="112">
        <v>2021.02</v>
      </c>
      <c r="G1309" s="107" t="s">
        <v>670</v>
      </c>
      <c r="H1309">
        <f>INDEX('GIS-Standards'!$A$2:$A$305,MATCH(B1309,'GIS-Standards'!$B$2:$B$305,0))</f>
        <v>56</v>
      </c>
      <c r="I1309">
        <f>INDEX('GIS-Standards'!$A$2:$A$305,MATCH(C1309,'GIS-Standards'!$B$2:$B$305,0))</f>
        <v>41</v>
      </c>
      <c r="J1309" t="str">
        <f>INDEX('GIS-Standards'!$O$2:$O$305,MATCH(B1309,'GIS-Standards'!$B$2:$B$305,0))</f>
        <v>ISO/TC 211</v>
      </c>
      <c r="K1309" t="str">
        <f>INDEX('GIS-Standards'!$O$2:$O$305,MATCH(C1309,'GIS-Standards'!$B$2:$B$305,0))</f>
        <v>ISO/TC 211</v>
      </c>
      <c r="M1309" t="s">
        <v>524</v>
      </c>
      <c r="N1309">
        <f>INDEX('GIS-Standards'!$I$2:$I$305,MATCH(B1309,'GIS-Standards'!$B$2:$B$305,0))</f>
        <v>0</v>
      </c>
      <c r="O1309" t="str">
        <f>INDEX('GIS-Standards'!$I$2:$I$305,MATCH(C1309,'GIS-Standards'!$B$2:$B$305,0))</f>
        <v>03.2021</v>
      </c>
      <c r="P1309" t="b">
        <f>AND(TableRelationships12[[#This Row],[Source Type]]="BIM",TableRelationships12[[#This Row],[Target Type]]="BIM")</f>
        <v>0</v>
      </c>
      <c r="Q1309">
        <f t="shared" si="60"/>
        <v>6</v>
      </c>
      <c r="S1309">
        <f t="shared" si="61"/>
        <v>1</v>
      </c>
      <c r="T1309" s="102" t="str">
        <f>IF(TableRelationships12[[#This Row],[Rank Pedro]]="Low","linkCategory1",IF(TableRelationships12[[#This Row],[Rank Pedro]]="Medium","linkCategory2",IF(TableRelationships12[[#This Row],[Rank Pedro]]="High","linkCategory3","")))</f>
        <v/>
      </c>
      <c r="U1309" s="102" t="str">
        <f>IF(TableRelationships12[[#This Row],[Rank Pedro]]="Low","Pink",IF(TableRelationships12[[#This Row],[Rank Pedro]]="Medium","Purple",IF(TableRelationships12[[#This Row],[Rank Pedro]]="High","Brown","")))</f>
        <v/>
      </c>
      <c r="V1309" s="4" t="e">
        <f>MAX(INDEX(Standards!$F$2:$F$296,MATCH(B1309,Standards!$B$2:$B$296,0)),INDEX(Standards!$F$2:$F$296,MATCH(C1309,Standards!$B$2:$B$296,0)))</f>
        <v>#N/A</v>
      </c>
      <c r="W1309" t="str">
        <f t="shared" si="62"/>
        <v>#d6bf2a</v>
      </c>
    </row>
    <row r="1310" spans="1:23" x14ac:dyDescent="0.5">
      <c r="A1310" s="54">
        <v>1309</v>
      </c>
      <c r="B1310" s="90" t="s">
        <v>1051</v>
      </c>
      <c r="C1310" t="s">
        <v>636</v>
      </c>
      <c r="D1310" s="1"/>
      <c r="E1310" s="113">
        <v>2019.05</v>
      </c>
      <c r="F1310" s="113">
        <v>2019.05</v>
      </c>
      <c r="G1310" s="107" t="s">
        <v>670</v>
      </c>
      <c r="H1310">
        <f>INDEX('GIS-Standards'!$A$2:$A$305,MATCH(B1310,'GIS-Standards'!$B$2:$B$305,0))</f>
        <v>56</v>
      </c>
      <c r="I1310">
        <f>INDEX('GIS-Standards'!$A$2:$A$305,MATCH(C1310,'GIS-Standards'!$B$2:$B$305,0))</f>
        <v>55</v>
      </c>
      <c r="J1310" t="str">
        <f>INDEX('GIS-Standards'!$O$2:$O$305,MATCH(B1310,'GIS-Standards'!$B$2:$B$305,0))</f>
        <v>ISO/TC 211</v>
      </c>
      <c r="K1310" t="str">
        <f>INDEX('GIS-Standards'!$O$2:$O$305,MATCH(C1310,'GIS-Standards'!$B$2:$B$305,0))</f>
        <v>ISO/TC 211</v>
      </c>
      <c r="M1310" t="s">
        <v>524</v>
      </c>
      <c r="N1310">
        <f>INDEX('GIS-Standards'!$I$2:$I$305,MATCH(B1310,'GIS-Standards'!$B$2:$B$305,0))</f>
        <v>0</v>
      </c>
      <c r="O1310">
        <f>INDEX('GIS-Standards'!$I$2:$I$305,MATCH(C1310,'GIS-Standards'!$B$2:$B$305,0))</f>
        <v>0</v>
      </c>
      <c r="P1310" t="b">
        <f>AND(TableRelationships12[[#This Row],[Source Type]]="BIM",TableRelationships12[[#This Row],[Target Type]]="BIM")</f>
        <v>0</v>
      </c>
      <c r="Q1310">
        <f t="shared" si="60"/>
        <v>6</v>
      </c>
      <c r="S1310">
        <f t="shared" si="61"/>
        <v>1</v>
      </c>
      <c r="T1310" s="102" t="str">
        <f>IF(TableRelationships12[[#This Row],[Rank Pedro]]="Low","linkCategory1",IF(TableRelationships12[[#This Row],[Rank Pedro]]="Medium","linkCategory2",IF(TableRelationships12[[#This Row],[Rank Pedro]]="High","linkCategory3","")))</f>
        <v/>
      </c>
      <c r="U1310" s="102" t="str">
        <f>IF(TableRelationships12[[#This Row],[Rank Pedro]]="Low","Pink",IF(TableRelationships12[[#This Row],[Rank Pedro]]="Medium","Purple",IF(TableRelationships12[[#This Row],[Rank Pedro]]="High","Brown","")))</f>
        <v/>
      </c>
      <c r="V1310" s="4" t="e">
        <f>MAX(INDEX(Standards!$F$2:$F$296,MATCH(B1310,Standards!$B$2:$B$296,0)),INDEX(Standards!$F$2:$F$296,MATCH(C1310,Standards!$B$2:$B$296,0)))</f>
        <v>#N/A</v>
      </c>
      <c r="W1310" t="str">
        <f t="shared" si="62"/>
        <v>#d6bf2a</v>
      </c>
    </row>
    <row r="1311" spans="1:23" x14ac:dyDescent="0.5">
      <c r="A1311" s="54">
        <v>1310</v>
      </c>
      <c r="B1311" s="90" t="s">
        <v>1051</v>
      </c>
      <c r="C1311" t="s">
        <v>655</v>
      </c>
      <c r="D1311" s="1"/>
      <c r="E1311" s="112">
        <v>2012.11</v>
      </c>
      <c r="F1311" s="112">
        <v>2012.11</v>
      </c>
      <c r="G1311" s="107" t="s">
        <v>670</v>
      </c>
      <c r="H1311">
        <f>INDEX('GIS-Standards'!$A$2:$A$305,MATCH(B1311,'GIS-Standards'!$B$2:$B$305,0))</f>
        <v>56</v>
      </c>
      <c r="I1311">
        <f>INDEX('GIS-Standards'!$A$2:$A$305,MATCH(C1311,'GIS-Standards'!$B$2:$B$305,0))</f>
        <v>104</v>
      </c>
      <c r="J1311" t="str">
        <f>INDEX('GIS-Standards'!$O$2:$O$305,MATCH(B1311,'GIS-Standards'!$B$2:$B$305,0))</f>
        <v>ISO/TC 211</v>
      </c>
      <c r="K1311" t="str">
        <f>INDEX('GIS-Standards'!$O$2:$O$305,MATCH(C1311,'GIS-Standards'!$B$2:$B$305,0))</f>
        <v>ISO/TC 211</v>
      </c>
      <c r="M1311" t="s">
        <v>525</v>
      </c>
      <c r="N1311">
        <f>INDEX('GIS-Standards'!$I$2:$I$305,MATCH(B1311,'GIS-Standards'!$B$2:$B$305,0))</f>
        <v>0</v>
      </c>
      <c r="O1311">
        <f>INDEX('GIS-Standards'!$I$2:$I$305,MATCH(C1311,'GIS-Standards'!$B$2:$B$305,0))</f>
        <v>0</v>
      </c>
      <c r="P1311" t="b">
        <f>AND(TableRelationships12[[#This Row],[Source Type]]="BIM",TableRelationships12[[#This Row],[Target Type]]="BIM")</f>
        <v>0</v>
      </c>
      <c r="Q1311">
        <f t="shared" si="60"/>
        <v>1</v>
      </c>
      <c r="S1311">
        <f t="shared" si="61"/>
        <v>1</v>
      </c>
      <c r="T1311" s="102" t="str">
        <f>IF(TableRelationships12[[#This Row],[Rank Pedro]]="Low","linkCategory1",IF(TableRelationships12[[#This Row],[Rank Pedro]]="Medium","linkCategory2",IF(TableRelationships12[[#This Row],[Rank Pedro]]="High","linkCategory3","")))</f>
        <v/>
      </c>
      <c r="U1311" s="102" t="str">
        <f>IF(TableRelationships12[[#This Row],[Rank Pedro]]="Low","Pink",IF(TableRelationships12[[#This Row],[Rank Pedro]]="Medium","Purple",IF(TableRelationships12[[#This Row],[Rank Pedro]]="High","Brown","")))</f>
        <v/>
      </c>
      <c r="V1311" s="4" t="e">
        <f>MAX(INDEX(Standards!$F$2:$F$296,MATCH(B1311,Standards!$B$2:$B$296,0)),INDEX(Standards!$F$2:$F$296,MATCH(C1311,Standards!$B$2:$B$296,0)))</f>
        <v>#N/A</v>
      </c>
      <c r="W1311" t="str">
        <f t="shared" si="62"/>
        <v>#2f89d1</v>
      </c>
    </row>
    <row r="1312" spans="1:23" x14ac:dyDescent="0.5">
      <c r="A1312" s="54">
        <v>1311</v>
      </c>
      <c r="B1312" s="90" t="s">
        <v>1051</v>
      </c>
      <c r="C1312" t="s">
        <v>1516</v>
      </c>
      <c r="D1312" s="1"/>
      <c r="E1312" s="113">
        <v>1987.01</v>
      </c>
      <c r="F1312" s="113">
        <v>2024.01</v>
      </c>
      <c r="G1312" s="107"/>
      <c r="H1312">
        <f>INDEX('GIS-Standards'!$A$2:$A$305,MATCH(B1312,'GIS-Standards'!$B$2:$B$305,0))</f>
        <v>56</v>
      </c>
      <c r="I1312" t="e">
        <f>INDEX('GIS-Standards'!$A$2:$A$305,MATCH(C1312,'GIS-Standards'!$B$2:$B$305,0))</f>
        <v>#N/A</v>
      </c>
      <c r="J1312" t="str">
        <f>INDEX('GIS-Standards'!$O$2:$O$305,MATCH(B1312,'GIS-Standards'!$B$2:$B$305,0))</f>
        <v>ISO/TC 211</v>
      </c>
      <c r="K1312" t="e">
        <f>INDEX('GIS-Standards'!$O$2:$O$305,MATCH(C1312,'GIS-Standards'!$B$2:$B$305,0))</f>
        <v>#N/A</v>
      </c>
      <c r="M1312" t="s">
        <v>525</v>
      </c>
      <c r="N1312">
        <f>INDEX('GIS-Standards'!$I$2:$I$305,MATCH(B1312,'GIS-Standards'!$B$2:$B$305,0))</f>
        <v>0</v>
      </c>
      <c r="O1312" t="e">
        <f>INDEX('GIS-Standards'!$I$2:$I$305,MATCH(C1312,'GIS-Standards'!$B$2:$B$305,0))</f>
        <v>#N/A</v>
      </c>
      <c r="P1312" t="e">
        <f>AND(TableRelationships12[[#This Row],[Source Type]]="BIM",TableRelationships12[[#This Row],[Target Type]]="BIM")</f>
        <v>#N/A</v>
      </c>
      <c r="Q1312">
        <f t="shared" si="60"/>
        <v>1</v>
      </c>
      <c r="S1312">
        <f t="shared" si="61"/>
        <v>1</v>
      </c>
      <c r="T1312" s="102" t="str">
        <f>IF(TableRelationships12[[#This Row],[Rank Pedro]]="Low","linkCategory1",IF(TableRelationships12[[#This Row],[Rank Pedro]]="Medium","linkCategory2",IF(TableRelationships12[[#This Row],[Rank Pedro]]="High","linkCategory3","")))</f>
        <v/>
      </c>
      <c r="U1312" s="102" t="str">
        <f>IF(TableRelationships12[[#This Row],[Rank Pedro]]="Low","Pink",IF(TableRelationships12[[#This Row],[Rank Pedro]]="Medium","Purple",IF(TableRelationships12[[#This Row],[Rank Pedro]]="High","Brown","")))</f>
        <v/>
      </c>
      <c r="V1312" s="4" t="e">
        <f>MAX(INDEX(Standards!$F$2:$F$296,MATCH(B1312,Standards!$B$2:$B$296,0)),INDEX(Standards!$F$2:$F$296,MATCH(C1312,Standards!$B$2:$B$296,0)))</f>
        <v>#N/A</v>
      </c>
      <c r="W1312" t="str">
        <f t="shared" si="62"/>
        <v>#2f89d1</v>
      </c>
    </row>
    <row r="1313" spans="1:23" x14ac:dyDescent="0.5">
      <c r="A1313" s="54">
        <v>1312</v>
      </c>
      <c r="B1313" s="90" t="s">
        <v>1051</v>
      </c>
      <c r="C1313" t="s">
        <v>1201</v>
      </c>
      <c r="D1313" s="1"/>
      <c r="G1313" s="107"/>
      <c r="H1313">
        <f>INDEX('GIS-Standards'!$A$2:$A$305,MATCH(B1313,'GIS-Standards'!$B$2:$B$305,0))</f>
        <v>56</v>
      </c>
      <c r="I1313" t="e">
        <f>INDEX('GIS-Standards'!$A$2:$A$305,MATCH(C1313,'GIS-Standards'!$B$2:$B$305,0))</f>
        <v>#N/A</v>
      </c>
      <c r="J1313" t="str">
        <f>INDEX('GIS-Standards'!$O$2:$O$305,MATCH(B1313,'GIS-Standards'!$B$2:$B$305,0))</f>
        <v>ISO/TC 211</v>
      </c>
      <c r="K1313" t="e">
        <f>INDEX('GIS-Standards'!$O$2:$O$305,MATCH(C1313,'GIS-Standards'!$B$2:$B$305,0))</f>
        <v>#N/A</v>
      </c>
      <c r="M1313" t="s">
        <v>525</v>
      </c>
      <c r="N1313">
        <f>INDEX('GIS-Standards'!$I$2:$I$305,MATCH(B1313,'GIS-Standards'!$B$2:$B$305,0))</f>
        <v>0</v>
      </c>
      <c r="O1313" t="e">
        <f>INDEX('GIS-Standards'!$I$2:$I$305,MATCH(C1313,'GIS-Standards'!$B$2:$B$305,0))</f>
        <v>#N/A</v>
      </c>
      <c r="P1313" t="e">
        <f>AND(TableRelationships12[[#This Row],[Source Type]]="BIM",TableRelationships12[[#This Row],[Target Type]]="BIM")</f>
        <v>#N/A</v>
      </c>
      <c r="Q1313">
        <f t="shared" si="60"/>
        <v>1</v>
      </c>
      <c r="S1313">
        <f t="shared" si="61"/>
        <v>1</v>
      </c>
      <c r="T1313" s="102" t="str">
        <f>IF(TableRelationships12[[#This Row],[Rank Pedro]]="Low","linkCategory1",IF(TableRelationships12[[#This Row],[Rank Pedro]]="Medium","linkCategory2",IF(TableRelationships12[[#This Row],[Rank Pedro]]="High","linkCategory3","")))</f>
        <v/>
      </c>
      <c r="U1313" s="102" t="str">
        <f>IF(TableRelationships12[[#This Row],[Rank Pedro]]="Low","Pink",IF(TableRelationships12[[#This Row],[Rank Pedro]]="Medium","Purple",IF(TableRelationships12[[#This Row],[Rank Pedro]]="High","Brown","")))</f>
        <v/>
      </c>
      <c r="V1313" s="4" t="e">
        <f>MAX(INDEX(Standards!$F$2:$F$296,MATCH(B1313,Standards!$B$2:$B$296,0)),INDEX(Standards!$F$2:$F$296,MATCH(C1313,Standards!$B$2:$B$296,0)))</f>
        <v>#N/A</v>
      </c>
      <c r="W1313" t="str">
        <f t="shared" si="62"/>
        <v>#2f89d1</v>
      </c>
    </row>
    <row r="1314" spans="1:23" x14ac:dyDescent="0.5">
      <c r="A1314" s="54">
        <v>1313</v>
      </c>
      <c r="B1314" s="90" t="s">
        <v>1051</v>
      </c>
      <c r="C1314" t="s">
        <v>1312</v>
      </c>
      <c r="D1314" s="1"/>
      <c r="G1314" s="107"/>
      <c r="H1314">
        <f>INDEX('GIS-Standards'!$A$2:$A$305,MATCH(B1314,'GIS-Standards'!$B$2:$B$305,0))</f>
        <v>56</v>
      </c>
      <c r="I1314" t="e">
        <f>INDEX('GIS-Standards'!$A$2:$A$305,MATCH(C1314,'GIS-Standards'!$B$2:$B$305,0))</f>
        <v>#N/A</v>
      </c>
      <c r="J1314" t="str">
        <f>INDEX('GIS-Standards'!$O$2:$O$305,MATCH(B1314,'GIS-Standards'!$B$2:$B$305,0))</f>
        <v>ISO/TC 211</v>
      </c>
      <c r="K1314" t="e">
        <f>INDEX('GIS-Standards'!$O$2:$O$305,MATCH(C1314,'GIS-Standards'!$B$2:$B$305,0))</f>
        <v>#N/A</v>
      </c>
      <c r="M1314" t="s">
        <v>525</v>
      </c>
      <c r="N1314">
        <f>INDEX('GIS-Standards'!$I$2:$I$305,MATCH(B1314,'GIS-Standards'!$B$2:$B$305,0))</f>
        <v>0</v>
      </c>
      <c r="O1314" t="e">
        <f>INDEX('GIS-Standards'!$I$2:$I$305,MATCH(C1314,'GIS-Standards'!$B$2:$B$305,0))</f>
        <v>#N/A</v>
      </c>
      <c r="P1314" t="e">
        <f>AND(TableRelationships12[[#This Row],[Source Type]]="BIM",TableRelationships12[[#This Row],[Target Type]]="BIM")</f>
        <v>#N/A</v>
      </c>
      <c r="Q1314">
        <f t="shared" si="60"/>
        <v>1</v>
      </c>
      <c r="S1314">
        <f t="shared" si="61"/>
        <v>1</v>
      </c>
      <c r="T1314" s="102" t="str">
        <f>IF(TableRelationships12[[#This Row],[Rank Pedro]]="Low","linkCategory1",IF(TableRelationships12[[#This Row],[Rank Pedro]]="Medium","linkCategory2",IF(TableRelationships12[[#This Row],[Rank Pedro]]="High","linkCategory3","")))</f>
        <v/>
      </c>
      <c r="U1314" s="102" t="str">
        <f>IF(TableRelationships12[[#This Row],[Rank Pedro]]="Low","Pink",IF(TableRelationships12[[#This Row],[Rank Pedro]]="Medium","Purple",IF(TableRelationships12[[#This Row],[Rank Pedro]]="High","Brown","")))</f>
        <v/>
      </c>
      <c r="V1314" s="4" t="e">
        <f>MAX(INDEX(Standards!$F$2:$F$296,MATCH(B1314,Standards!$B$2:$B$296,0)),INDEX(Standards!$F$2:$F$296,MATCH(C1314,Standards!$B$2:$B$296,0)))</f>
        <v>#N/A</v>
      </c>
      <c r="W1314" t="str">
        <f t="shared" si="62"/>
        <v>#2f89d1</v>
      </c>
    </row>
    <row r="1315" spans="1:23" x14ac:dyDescent="0.5">
      <c r="A1315" s="54">
        <v>1314</v>
      </c>
      <c r="B1315" s="90" t="s">
        <v>1051</v>
      </c>
      <c r="C1315" t="s">
        <v>1561</v>
      </c>
      <c r="D1315" s="1"/>
      <c r="G1315" s="107"/>
      <c r="H1315">
        <f>INDEX('GIS-Standards'!$A$2:$A$305,MATCH(B1315,'GIS-Standards'!$B$2:$B$305,0))</f>
        <v>56</v>
      </c>
      <c r="I1315" t="e">
        <f>INDEX('GIS-Standards'!$A$2:$A$305,MATCH(C1315,'GIS-Standards'!$B$2:$B$305,0))</f>
        <v>#N/A</v>
      </c>
      <c r="J1315" t="str">
        <f>INDEX('GIS-Standards'!$O$2:$O$305,MATCH(B1315,'GIS-Standards'!$B$2:$B$305,0))</f>
        <v>ISO/TC 211</v>
      </c>
      <c r="K1315" t="e">
        <f>INDEX('GIS-Standards'!$O$2:$O$305,MATCH(C1315,'GIS-Standards'!$B$2:$B$305,0))</f>
        <v>#N/A</v>
      </c>
      <c r="M1315" t="s">
        <v>525</v>
      </c>
      <c r="N1315">
        <f>INDEX('GIS-Standards'!$I$2:$I$305,MATCH(B1315,'GIS-Standards'!$B$2:$B$305,0))</f>
        <v>0</v>
      </c>
      <c r="O1315" t="e">
        <f>INDEX('GIS-Standards'!$I$2:$I$305,MATCH(C1315,'GIS-Standards'!$B$2:$B$305,0))</f>
        <v>#N/A</v>
      </c>
      <c r="P1315" t="e">
        <f>AND(TableRelationships12[[#This Row],[Source Type]]="BIM",TableRelationships12[[#This Row],[Target Type]]="BIM")</f>
        <v>#N/A</v>
      </c>
      <c r="Q1315">
        <f t="shared" si="60"/>
        <v>1</v>
      </c>
      <c r="S1315">
        <f t="shared" si="61"/>
        <v>1</v>
      </c>
      <c r="T1315" s="102" t="str">
        <f>IF(TableRelationships12[[#This Row],[Rank Pedro]]="Low","linkCategory1",IF(TableRelationships12[[#This Row],[Rank Pedro]]="Medium","linkCategory2",IF(TableRelationships12[[#This Row],[Rank Pedro]]="High","linkCategory3","")))</f>
        <v/>
      </c>
      <c r="U1315" s="102" t="str">
        <f>IF(TableRelationships12[[#This Row],[Rank Pedro]]="Low","Pink",IF(TableRelationships12[[#This Row],[Rank Pedro]]="Medium","Purple",IF(TableRelationships12[[#This Row],[Rank Pedro]]="High","Brown","")))</f>
        <v/>
      </c>
      <c r="V1315" s="4" t="e">
        <f>MAX(INDEX(Standards!$F$2:$F$296,MATCH(B1315,Standards!$B$2:$B$296,0)),INDEX(Standards!$F$2:$F$296,MATCH(C1315,Standards!$B$2:$B$296,0)))</f>
        <v>#N/A</v>
      </c>
      <c r="W1315" t="str">
        <f t="shared" si="62"/>
        <v>#2f89d1</v>
      </c>
    </row>
    <row r="1316" spans="1:23" x14ac:dyDescent="0.5">
      <c r="A1316" s="54">
        <v>1315</v>
      </c>
      <c r="B1316" s="90" t="s">
        <v>1051</v>
      </c>
      <c r="C1316" t="s">
        <v>1584</v>
      </c>
      <c r="D1316" s="1"/>
      <c r="G1316" s="107"/>
      <c r="H1316">
        <f>INDEX('GIS-Standards'!$A$2:$A$305,MATCH(B1316,'GIS-Standards'!$B$2:$B$305,0))</f>
        <v>56</v>
      </c>
      <c r="I1316" t="e">
        <f>INDEX('GIS-Standards'!$A$2:$A$305,MATCH(C1316,'GIS-Standards'!$B$2:$B$305,0))</f>
        <v>#N/A</v>
      </c>
      <c r="J1316" t="str">
        <f>INDEX('GIS-Standards'!$O$2:$O$305,MATCH(B1316,'GIS-Standards'!$B$2:$B$305,0))</f>
        <v>ISO/TC 211</v>
      </c>
      <c r="K1316" t="e">
        <f>INDEX('GIS-Standards'!$O$2:$O$305,MATCH(C1316,'GIS-Standards'!$B$2:$B$305,0))</f>
        <v>#N/A</v>
      </c>
      <c r="M1316" t="s">
        <v>525</v>
      </c>
      <c r="N1316">
        <f>INDEX('GIS-Standards'!$I$2:$I$305,MATCH(B1316,'GIS-Standards'!$B$2:$B$305,0))</f>
        <v>0</v>
      </c>
      <c r="O1316" t="e">
        <f>INDEX('GIS-Standards'!$I$2:$I$305,MATCH(C1316,'GIS-Standards'!$B$2:$B$305,0))</f>
        <v>#N/A</v>
      </c>
      <c r="P1316" t="e">
        <f>AND(TableRelationships12[[#This Row],[Source Type]]="BIM",TableRelationships12[[#This Row],[Target Type]]="BIM")</f>
        <v>#N/A</v>
      </c>
      <c r="Q1316">
        <f t="shared" si="60"/>
        <v>1</v>
      </c>
      <c r="S1316">
        <f t="shared" si="61"/>
        <v>1</v>
      </c>
      <c r="T1316" s="102" t="str">
        <f>IF(TableRelationships12[[#This Row],[Rank Pedro]]="Low","linkCategory1",IF(TableRelationships12[[#This Row],[Rank Pedro]]="Medium","linkCategory2",IF(TableRelationships12[[#This Row],[Rank Pedro]]="High","linkCategory3","")))</f>
        <v/>
      </c>
      <c r="U1316" s="102" t="str">
        <f>IF(TableRelationships12[[#This Row],[Rank Pedro]]="Low","Pink",IF(TableRelationships12[[#This Row],[Rank Pedro]]="Medium","Purple",IF(TableRelationships12[[#This Row],[Rank Pedro]]="High","Brown","")))</f>
        <v/>
      </c>
      <c r="V1316" s="4" t="e">
        <f>MAX(INDEX(Standards!$F$2:$F$296,MATCH(B1316,Standards!$B$2:$B$296,0)),INDEX(Standards!$F$2:$F$296,MATCH(C1316,Standards!$B$2:$B$296,0)))</f>
        <v>#N/A</v>
      </c>
      <c r="W1316" t="str">
        <f t="shared" si="62"/>
        <v>#2f89d1</v>
      </c>
    </row>
    <row r="1317" spans="1:23" x14ac:dyDescent="0.5">
      <c r="A1317" s="54">
        <v>1316</v>
      </c>
      <c r="B1317" s="90" t="s">
        <v>1051</v>
      </c>
      <c r="C1317" t="s">
        <v>1585</v>
      </c>
      <c r="D1317" s="1"/>
      <c r="G1317" s="107"/>
      <c r="H1317">
        <f>INDEX('GIS-Standards'!$A$2:$A$305,MATCH(B1317,'GIS-Standards'!$B$2:$B$305,0))</f>
        <v>56</v>
      </c>
      <c r="I1317" t="e">
        <f>INDEX('GIS-Standards'!$A$2:$A$305,MATCH(C1317,'GIS-Standards'!$B$2:$B$305,0))</f>
        <v>#N/A</v>
      </c>
      <c r="J1317" t="str">
        <f>INDEX('GIS-Standards'!$O$2:$O$305,MATCH(B1317,'GIS-Standards'!$B$2:$B$305,0))</f>
        <v>ISO/TC 211</v>
      </c>
      <c r="K1317" t="e">
        <f>INDEX('GIS-Standards'!$O$2:$O$305,MATCH(C1317,'GIS-Standards'!$B$2:$B$305,0))</f>
        <v>#N/A</v>
      </c>
      <c r="M1317" t="s">
        <v>525</v>
      </c>
      <c r="N1317">
        <f>INDEX('GIS-Standards'!$I$2:$I$305,MATCH(B1317,'GIS-Standards'!$B$2:$B$305,0))</f>
        <v>0</v>
      </c>
      <c r="O1317" t="e">
        <f>INDEX('GIS-Standards'!$I$2:$I$305,MATCH(C1317,'GIS-Standards'!$B$2:$B$305,0))</f>
        <v>#N/A</v>
      </c>
      <c r="P1317" t="e">
        <f>AND(TableRelationships12[[#This Row],[Source Type]]="BIM",TableRelationships12[[#This Row],[Target Type]]="BIM")</f>
        <v>#N/A</v>
      </c>
      <c r="Q1317">
        <f t="shared" si="60"/>
        <v>1</v>
      </c>
      <c r="S1317">
        <f t="shared" si="61"/>
        <v>1</v>
      </c>
      <c r="T1317" s="102" t="str">
        <f>IF(TableRelationships12[[#This Row],[Rank Pedro]]="Low","linkCategory1",IF(TableRelationships12[[#This Row],[Rank Pedro]]="Medium","linkCategory2",IF(TableRelationships12[[#This Row],[Rank Pedro]]="High","linkCategory3","")))</f>
        <v/>
      </c>
      <c r="U1317" s="102" t="str">
        <f>IF(TableRelationships12[[#This Row],[Rank Pedro]]="Low","Pink",IF(TableRelationships12[[#This Row],[Rank Pedro]]="Medium","Purple",IF(TableRelationships12[[#This Row],[Rank Pedro]]="High","Brown","")))</f>
        <v/>
      </c>
      <c r="V1317" s="4" t="e">
        <f>MAX(INDEX(Standards!$F$2:$F$296,MATCH(B1317,Standards!$B$2:$B$296,0)),INDEX(Standards!$F$2:$F$296,MATCH(C1317,Standards!$B$2:$B$296,0)))</f>
        <v>#N/A</v>
      </c>
      <c r="W1317" t="str">
        <f t="shared" si="62"/>
        <v>#2f89d1</v>
      </c>
    </row>
    <row r="1318" spans="1:23" x14ac:dyDescent="0.5">
      <c r="A1318" s="54">
        <v>1317</v>
      </c>
      <c r="B1318" s="90" t="s">
        <v>1051</v>
      </c>
      <c r="C1318" t="s">
        <v>1557</v>
      </c>
      <c r="D1318" s="1"/>
      <c r="G1318" s="107"/>
      <c r="H1318">
        <f>INDEX('GIS-Standards'!$A$2:$A$305,MATCH(B1318,'GIS-Standards'!$B$2:$B$305,0))</f>
        <v>56</v>
      </c>
      <c r="I1318" t="e">
        <f>INDEX('GIS-Standards'!$A$2:$A$305,MATCH(C1318,'GIS-Standards'!$B$2:$B$305,0))</f>
        <v>#N/A</v>
      </c>
      <c r="J1318" t="str">
        <f>INDEX('GIS-Standards'!$O$2:$O$305,MATCH(B1318,'GIS-Standards'!$B$2:$B$305,0))</f>
        <v>ISO/TC 211</v>
      </c>
      <c r="K1318" t="e">
        <f>INDEX('GIS-Standards'!$O$2:$O$305,MATCH(C1318,'GIS-Standards'!$B$2:$B$305,0))</f>
        <v>#N/A</v>
      </c>
      <c r="M1318" t="s">
        <v>525</v>
      </c>
      <c r="N1318">
        <f>INDEX('GIS-Standards'!$I$2:$I$305,MATCH(B1318,'GIS-Standards'!$B$2:$B$305,0))</f>
        <v>0</v>
      </c>
      <c r="O1318" t="e">
        <f>INDEX('GIS-Standards'!$I$2:$I$305,MATCH(C1318,'GIS-Standards'!$B$2:$B$305,0))</f>
        <v>#N/A</v>
      </c>
      <c r="P1318" t="e">
        <f>AND(TableRelationships12[[#This Row],[Source Type]]="BIM",TableRelationships12[[#This Row],[Target Type]]="BIM")</f>
        <v>#N/A</v>
      </c>
      <c r="Q1318">
        <f t="shared" si="60"/>
        <v>1</v>
      </c>
      <c r="S1318">
        <f t="shared" si="61"/>
        <v>1</v>
      </c>
      <c r="T1318" s="102" t="str">
        <f>IF(TableRelationships12[[#This Row],[Rank Pedro]]="Low","linkCategory1",IF(TableRelationships12[[#This Row],[Rank Pedro]]="Medium","linkCategory2",IF(TableRelationships12[[#This Row],[Rank Pedro]]="High","linkCategory3","")))</f>
        <v/>
      </c>
      <c r="U1318" s="102" t="str">
        <f>IF(TableRelationships12[[#This Row],[Rank Pedro]]="Low","Pink",IF(TableRelationships12[[#This Row],[Rank Pedro]]="Medium","Purple",IF(TableRelationships12[[#This Row],[Rank Pedro]]="High","Brown","")))</f>
        <v/>
      </c>
      <c r="V1318" s="4" t="e">
        <f>MAX(INDEX(Standards!$F$2:$F$296,MATCH(B1318,Standards!$B$2:$B$296,0)),INDEX(Standards!$F$2:$F$296,MATCH(C1318,Standards!$B$2:$B$296,0)))</f>
        <v>#N/A</v>
      </c>
      <c r="W1318" t="str">
        <f t="shared" si="62"/>
        <v>#2f89d1</v>
      </c>
    </row>
    <row r="1319" spans="1:23" x14ac:dyDescent="0.5">
      <c r="A1319" s="54">
        <v>1318</v>
      </c>
      <c r="B1319" s="90" t="s">
        <v>1051</v>
      </c>
      <c r="C1319" t="s">
        <v>318</v>
      </c>
      <c r="D1319" s="1"/>
      <c r="E1319" s="112">
        <v>2005.02</v>
      </c>
      <c r="F1319" s="112">
        <v>2016.01</v>
      </c>
      <c r="G1319" s="107" t="s">
        <v>670</v>
      </c>
      <c r="H1319">
        <f>INDEX('GIS-Standards'!$A$2:$A$305,MATCH(B1319,'GIS-Standards'!$B$2:$B$305,0))</f>
        <v>56</v>
      </c>
      <c r="I1319">
        <f>INDEX('GIS-Standards'!$A$2:$A$305,MATCH(C1319,'GIS-Standards'!$B$2:$B$305,0))</f>
        <v>28</v>
      </c>
      <c r="J1319" t="str">
        <f>INDEX('GIS-Standards'!$O$2:$O$305,MATCH(B1319,'GIS-Standards'!$B$2:$B$305,0))</f>
        <v>ISO/TC 211</v>
      </c>
      <c r="K1319" t="str">
        <f>INDEX('GIS-Standards'!$O$2:$O$305,MATCH(C1319,'GIS-Standards'!$B$2:$B$305,0))</f>
        <v>ISO/TC 211</v>
      </c>
      <c r="M1319" t="s">
        <v>525</v>
      </c>
      <c r="N1319">
        <f>INDEX('GIS-Standards'!$I$2:$I$305,MATCH(B1319,'GIS-Standards'!$B$2:$B$305,0))</f>
        <v>0</v>
      </c>
      <c r="O1319">
        <f>INDEX('GIS-Standards'!$I$2:$I$305,MATCH(C1319,'GIS-Standards'!$B$2:$B$305,0))</f>
        <v>0</v>
      </c>
      <c r="P1319" t="b">
        <f>AND(TableRelationships12[[#This Row],[Source Type]]="BIM",TableRelationships12[[#This Row],[Target Type]]="BIM")</f>
        <v>0</v>
      </c>
      <c r="Q1319">
        <f t="shared" si="60"/>
        <v>1</v>
      </c>
      <c r="S1319">
        <f t="shared" si="61"/>
        <v>1</v>
      </c>
      <c r="T1319" s="102" t="str">
        <f>IF(TableRelationships12[[#This Row],[Rank Pedro]]="Low","linkCategory1",IF(TableRelationships12[[#This Row],[Rank Pedro]]="Medium","linkCategory2",IF(TableRelationships12[[#This Row],[Rank Pedro]]="High","linkCategory3","")))</f>
        <v/>
      </c>
      <c r="U1319" s="102" t="str">
        <f>IF(TableRelationships12[[#This Row],[Rank Pedro]]="Low","Pink",IF(TableRelationships12[[#This Row],[Rank Pedro]]="Medium","Purple",IF(TableRelationships12[[#This Row],[Rank Pedro]]="High","Brown","")))</f>
        <v/>
      </c>
      <c r="V1319" s="4" t="e">
        <f>MAX(INDEX(Standards!$F$2:$F$296,MATCH(B1319,Standards!$B$2:$B$296,0)),INDEX(Standards!$F$2:$F$296,MATCH(C1319,Standards!$B$2:$B$296,0)))</f>
        <v>#N/A</v>
      </c>
      <c r="W1319" t="str">
        <f t="shared" si="62"/>
        <v>#2f89d1</v>
      </c>
    </row>
    <row r="1320" spans="1:23" x14ac:dyDescent="0.5">
      <c r="A1320" s="54">
        <v>1319</v>
      </c>
      <c r="B1320" s="90" t="s">
        <v>1039</v>
      </c>
      <c r="C1320" t="s">
        <v>527</v>
      </c>
      <c r="D1320" s="1"/>
      <c r="E1320" s="112" t="s">
        <v>885</v>
      </c>
      <c r="F1320" s="112" t="s">
        <v>971</v>
      </c>
      <c r="G1320" s="121" t="s">
        <v>670</v>
      </c>
      <c r="H1320">
        <f>INDEX('GIS-Standards'!$A$2:$A$305,MATCH(B1320,'GIS-Standards'!$B$2:$B$305,0))</f>
        <v>57</v>
      </c>
      <c r="I1320" t="e">
        <f>INDEX('GIS-Standards'!$A$2:$A$305,MATCH(C1320,'GIS-Standards'!$B$2:$B$305,0))</f>
        <v>#N/A</v>
      </c>
      <c r="J1320" t="str">
        <f>INDEX('GIS-Standards'!$O$2:$O$305,MATCH(B1320,'GIS-Standards'!$B$2:$B$305,0))</f>
        <v>ISO/TC 211</v>
      </c>
      <c r="K1320" t="e">
        <f>INDEX('GIS-Standards'!$O$2:$O$305,MATCH(C1320,'GIS-Standards'!$B$2:$B$305,0))</f>
        <v>#N/A</v>
      </c>
      <c r="M1320" t="s">
        <v>237</v>
      </c>
      <c r="N1320">
        <f>INDEX('GIS-Standards'!$I$2:$I$305,MATCH(B1320,'GIS-Standards'!$B$2:$B$305,0))</f>
        <v>0</v>
      </c>
      <c r="O1320" t="e">
        <f>INDEX('GIS-Standards'!$I$2:$I$305,MATCH(C1320,'GIS-Standards'!$B$2:$B$305,0))</f>
        <v>#N/A</v>
      </c>
      <c r="P1320" t="e">
        <f>AND(TableRelationships12[[#This Row],[Source Type]]="BIM",TableRelationships12[[#This Row],[Target Type]]="BIM")</f>
        <v>#N/A</v>
      </c>
      <c r="Q1320">
        <f t="shared" si="60"/>
        <v>2</v>
      </c>
      <c r="S1320">
        <f t="shared" si="61"/>
        <v>1</v>
      </c>
      <c r="T1320" s="102" t="str">
        <f>IF(TableRelationships12[[#This Row],[Rank Pedro]]="Low","linkCategory1",IF(TableRelationships12[[#This Row],[Rank Pedro]]="Medium","linkCategory2",IF(TableRelationships12[[#This Row],[Rank Pedro]]="High","linkCategory3","")))</f>
        <v/>
      </c>
      <c r="U1320" s="102" t="str">
        <f>IF(TableRelationships12[[#This Row],[Rank Pedro]]="Low","Pink",IF(TableRelationships12[[#This Row],[Rank Pedro]]="Medium","Purple",IF(TableRelationships12[[#This Row],[Rank Pedro]]="High","Brown","")))</f>
        <v/>
      </c>
      <c r="V1320" s="4" t="e">
        <f>MAX(INDEX(Standards!$F$2:$F$296,MATCH(B1320,Standards!$B$2:$B$296,0)),INDEX(Standards!$F$2:$F$296,MATCH(C1320,Standards!$B$2:$B$296,0)))</f>
        <v>#N/A</v>
      </c>
      <c r="W1320">
        <f t="shared" si="62"/>
        <v>1</v>
      </c>
    </row>
    <row r="1321" spans="1:23" x14ac:dyDescent="0.5">
      <c r="A1321" s="54">
        <v>1320</v>
      </c>
      <c r="B1321" s="90" t="s">
        <v>1039</v>
      </c>
      <c r="C1321" t="s">
        <v>296</v>
      </c>
      <c r="D1321" s="1"/>
      <c r="E1321" s="112">
        <v>2005.07</v>
      </c>
      <c r="F1321" s="112">
        <v>2024.09</v>
      </c>
      <c r="G1321" s="107" t="s">
        <v>670</v>
      </c>
      <c r="H1321">
        <f>INDEX('GIS-Standards'!$A$2:$A$305,MATCH(B1321,'GIS-Standards'!$B$2:$B$305,0))</f>
        <v>57</v>
      </c>
      <c r="I1321">
        <f>INDEX('GIS-Standards'!$A$2:$A$305,MATCH(C1321,'GIS-Standards'!$B$2:$B$305,0))</f>
        <v>12</v>
      </c>
      <c r="J1321" t="str">
        <f>INDEX('GIS-Standards'!$O$2:$O$305,MATCH(B1321,'GIS-Standards'!$B$2:$B$305,0))</f>
        <v>ISO/TC 211</v>
      </c>
      <c r="K1321" t="str">
        <f>INDEX('GIS-Standards'!$O$2:$O$305,MATCH(C1321,'GIS-Standards'!$B$2:$B$305,0))</f>
        <v>ISO/TC 211</v>
      </c>
      <c r="M1321" t="s">
        <v>524</v>
      </c>
      <c r="N1321">
        <f>INDEX('GIS-Standards'!$I$2:$I$305,MATCH(B1321,'GIS-Standards'!$B$2:$B$305,0))</f>
        <v>0</v>
      </c>
      <c r="O1321">
        <f>INDEX('GIS-Standards'!$I$2:$I$305,MATCH(C1321,'GIS-Standards'!$B$2:$B$305,0))</f>
        <v>0</v>
      </c>
      <c r="P1321" t="b">
        <f>AND(TableRelationships12[[#This Row],[Source Type]]="BIM",TableRelationships12[[#This Row],[Target Type]]="BIM")</f>
        <v>0</v>
      </c>
      <c r="Q1321">
        <f t="shared" si="60"/>
        <v>6</v>
      </c>
      <c r="S1321">
        <f t="shared" si="61"/>
        <v>1</v>
      </c>
      <c r="T1321" s="102" t="str">
        <f>IF(TableRelationships12[[#This Row],[Rank Pedro]]="Low","linkCategory1",IF(TableRelationships12[[#This Row],[Rank Pedro]]="Medium","linkCategory2",IF(TableRelationships12[[#This Row],[Rank Pedro]]="High","linkCategory3","")))</f>
        <v/>
      </c>
      <c r="U1321" s="102" t="str">
        <f>IF(TableRelationships12[[#This Row],[Rank Pedro]]="Low","Pink",IF(TableRelationships12[[#This Row],[Rank Pedro]]="Medium","Purple",IF(TableRelationships12[[#This Row],[Rank Pedro]]="High","Brown","")))</f>
        <v/>
      </c>
      <c r="V1321" s="4" t="e">
        <f>MAX(INDEX(Standards!$F$2:$F$296,MATCH(B1321,Standards!$B$2:$B$296,0)),INDEX(Standards!$F$2:$F$296,MATCH(C1321,Standards!$B$2:$B$296,0)))</f>
        <v>#N/A</v>
      </c>
      <c r="W1321" t="str">
        <f t="shared" si="62"/>
        <v>#d6bf2a</v>
      </c>
    </row>
    <row r="1322" spans="1:23" x14ac:dyDescent="0.5">
      <c r="A1322" s="54">
        <v>1321</v>
      </c>
      <c r="B1322" s="90" t="s">
        <v>1039</v>
      </c>
      <c r="C1322" t="s">
        <v>300</v>
      </c>
      <c r="D1322" s="1"/>
      <c r="E1322" s="112">
        <v>2000.12</v>
      </c>
      <c r="F1322" s="112">
        <v>2022.07</v>
      </c>
      <c r="G1322" s="107" t="s">
        <v>670</v>
      </c>
      <c r="H1322">
        <f>INDEX('GIS-Standards'!$A$2:$A$305,MATCH(B1322,'GIS-Standards'!$B$2:$B$305,0))</f>
        <v>57</v>
      </c>
      <c r="I1322">
        <f>INDEX('GIS-Standards'!$A$2:$A$305,MATCH(C1322,'GIS-Standards'!$B$2:$B$305,0))</f>
        <v>14</v>
      </c>
      <c r="J1322" t="str">
        <f>INDEX('GIS-Standards'!$O$2:$O$305,MATCH(B1322,'GIS-Standards'!$B$2:$B$305,0))</f>
        <v>ISO/TC 211</v>
      </c>
      <c r="K1322" t="str">
        <f>INDEX('GIS-Standards'!$O$2:$O$305,MATCH(C1322,'GIS-Standards'!$B$2:$B$305,0))</f>
        <v>ISO/TC 211</v>
      </c>
      <c r="M1322" t="s">
        <v>524</v>
      </c>
      <c r="N1322">
        <f>INDEX('GIS-Standards'!$I$2:$I$305,MATCH(B1322,'GIS-Standards'!$B$2:$B$305,0))</f>
        <v>0</v>
      </c>
      <c r="O1322">
        <f>INDEX('GIS-Standards'!$I$2:$I$305,MATCH(C1322,'GIS-Standards'!$B$2:$B$305,0))</f>
        <v>0</v>
      </c>
      <c r="P1322" t="b">
        <f>AND(TableRelationships12[[#This Row],[Source Type]]="BIM",TableRelationships12[[#This Row],[Target Type]]="BIM")</f>
        <v>0</v>
      </c>
      <c r="Q1322">
        <f t="shared" si="60"/>
        <v>6</v>
      </c>
      <c r="S1322">
        <f t="shared" si="61"/>
        <v>1</v>
      </c>
      <c r="T1322" s="102" t="str">
        <f>IF(TableRelationships12[[#This Row],[Rank Pedro]]="Low","linkCategory1",IF(TableRelationships12[[#This Row],[Rank Pedro]]="Medium","linkCategory2",IF(TableRelationships12[[#This Row],[Rank Pedro]]="High","linkCategory3","")))</f>
        <v/>
      </c>
      <c r="U1322" s="102" t="str">
        <f>IF(TableRelationships12[[#This Row],[Rank Pedro]]="Low","Pink",IF(TableRelationships12[[#This Row],[Rank Pedro]]="Medium","Purple",IF(TableRelationships12[[#This Row],[Rank Pedro]]="High","Brown","")))</f>
        <v/>
      </c>
      <c r="V1322" s="4" t="e">
        <f>MAX(INDEX(Standards!$F$2:$F$296,MATCH(B1322,Standards!$B$2:$B$296,0)),INDEX(Standards!$F$2:$F$296,MATCH(C1322,Standards!$B$2:$B$296,0)))</f>
        <v>#N/A</v>
      </c>
      <c r="W1322" t="str">
        <f t="shared" si="62"/>
        <v>#d6bf2a</v>
      </c>
    </row>
    <row r="1323" spans="1:23" x14ac:dyDescent="0.5">
      <c r="A1323" s="54">
        <v>1322</v>
      </c>
      <c r="B1323" s="90" t="s">
        <v>1039</v>
      </c>
      <c r="C1323" t="s">
        <v>302</v>
      </c>
      <c r="D1323" s="1"/>
      <c r="E1323" s="112">
        <v>2003.05</v>
      </c>
      <c r="F1323" s="112">
        <v>2019.12</v>
      </c>
      <c r="G1323" s="107" t="s">
        <v>670</v>
      </c>
      <c r="H1323">
        <f>INDEX('GIS-Standards'!$A$2:$A$305,MATCH(B1323,'GIS-Standards'!$B$2:$B$305,0))</f>
        <v>57</v>
      </c>
      <c r="I1323">
        <f>INDEX('GIS-Standards'!$A$2:$A$305,MATCH(C1323,'GIS-Standards'!$B$2:$B$305,0))</f>
        <v>16</v>
      </c>
      <c r="J1323" t="str">
        <f>INDEX('GIS-Standards'!$O$2:$O$305,MATCH(B1323,'GIS-Standards'!$B$2:$B$305,0))</f>
        <v>ISO/TC 211</v>
      </c>
      <c r="K1323" t="str">
        <f>INDEX('GIS-Standards'!$O$2:$O$305,MATCH(C1323,'GIS-Standards'!$B$2:$B$305,0))</f>
        <v>ISO/TC 211</v>
      </c>
      <c r="M1323" t="s">
        <v>524</v>
      </c>
      <c r="N1323">
        <f>INDEX('GIS-Standards'!$I$2:$I$305,MATCH(B1323,'GIS-Standards'!$B$2:$B$305,0))</f>
        <v>0</v>
      </c>
      <c r="O1323">
        <f>INDEX('GIS-Standards'!$I$2:$I$305,MATCH(C1323,'GIS-Standards'!$B$2:$B$305,0))</f>
        <v>0</v>
      </c>
      <c r="P1323" t="b">
        <f>AND(TableRelationships12[[#This Row],[Source Type]]="BIM",TableRelationships12[[#This Row],[Target Type]]="BIM")</f>
        <v>0</v>
      </c>
      <c r="Q1323">
        <f t="shared" si="60"/>
        <v>6</v>
      </c>
      <c r="S1323">
        <f t="shared" si="61"/>
        <v>1</v>
      </c>
      <c r="T1323" s="102" t="str">
        <f>IF(TableRelationships12[[#This Row],[Rank Pedro]]="Low","linkCategory1",IF(TableRelationships12[[#This Row],[Rank Pedro]]="Medium","linkCategory2",IF(TableRelationships12[[#This Row],[Rank Pedro]]="High","linkCategory3","")))</f>
        <v/>
      </c>
      <c r="U1323" s="102" t="str">
        <f>IF(TableRelationships12[[#This Row],[Rank Pedro]]="Low","Pink",IF(TableRelationships12[[#This Row],[Rank Pedro]]="Medium","Purple",IF(TableRelationships12[[#This Row],[Rank Pedro]]="High","Brown","")))</f>
        <v/>
      </c>
      <c r="V1323" s="4" t="e">
        <f>MAX(INDEX(Standards!$F$2:$F$296,MATCH(B1323,Standards!$B$2:$B$296,0)),INDEX(Standards!$F$2:$F$296,MATCH(C1323,Standards!$B$2:$B$296,0)))</f>
        <v>#N/A</v>
      </c>
      <c r="W1323" t="str">
        <f t="shared" si="62"/>
        <v>#d6bf2a</v>
      </c>
    </row>
    <row r="1324" spans="1:23" x14ac:dyDescent="0.5">
      <c r="A1324" s="54">
        <v>1323</v>
      </c>
      <c r="B1324" s="90" t="s">
        <v>1039</v>
      </c>
      <c r="C1324" t="s">
        <v>306</v>
      </c>
      <c r="D1324" s="1"/>
      <c r="E1324" s="112">
        <v>2005.06</v>
      </c>
      <c r="F1324" s="112">
        <v>2025.07</v>
      </c>
      <c r="G1324" s="107" t="s">
        <v>670</v>
      </c>
      <c r="H1324">
        <f>INDEX('GIS-Standards'!$A$2:$A$305,MATCH(B1324,'GIS-Standards'!$B$2:$B$305,0))</f>
        <v>57</v>
      </c>
      <c r="I1324">
        <f>INDEX('GIS-Standards'!$A$2:$A$305,MATCH(C1324,'GIS-Standards'!$B$2:$B$305,0))</f>
        <v>18</v>
      </c>
      <c r="J1324" t="str">
        <f>INDEX('GIS-Standards'!$O$2:$O$305,MATCH(B1324,'GIS-Standards'!$B$2:$B$305,0))</f>
        <v>ISO/TC 211</v>
      </c>
      <c r="K1324" t="str">
        <f>INDEX('GIS-Standards'!$O$2:$O$305,MATCH(C1324,'GIS-Standards'!$B$2:$B$305,0))</f>
        <v>ISO/TC 211</v>
      </c>
      <c r="M1324" t="s">
        <v>524</v>
      </c>
      <c r="N1324">
        <f>INDEX('GIS-Standards'!$I$2:$I$305,MATCH(B1324,'GIS-Standards'!$B$2:$B$305,0))</f>
        <v>0</v>
      </c>
      <c r="O1324">
        <f>INDEX('GIS-Standards'!$I$2:$I$305,MATCH(C1324,'GIS-Standards'!$B$2:$B$305,0))</f>
        <v>0</v>
      </c>
      <c r="P1324" t="b">
        <f>AND(TableRelationships12[[#This Row],[Source Type]]="BIM",TableRelationships12[[#This Row],[Target Type]]="BIM")</f>
        <v>0</v>
      </c>
      <c r="Q1324">
        <f t="shared" si="60"/>
        <v>6</v>
      </c>
      <c r="S1324">
        <f t="shared" si="61"/>
        <v>1</v>
      </c>
      <c r="T1324" s="102" t="str">
        <f>IF(TableRelationships12[[#This Row],[Rank Pedro]]="Low","linkCategory1",IF(TableRelationships12[[#This Row],[Rank Pedro]]="Medium","linkCategory2",IF(TableRelationships12[[#This Row],[Rank Pedro]]="High","linkCategory3","")))</f>
        <v/>
      </c>
      <c r="U1324" s="102" t="str">
        <f>IF(TableRelationships12[[#This Row],[Rank Pedro]]="Low","Pink",IF(TableRelationships12[[#This Row],[Rank Pedro]]="Medium","Purple",IF(TableRelationships12[[#This Row],[Rank Pedro]]="High","Brown","")))</f>
        <v/>
      </c>
      <c r="V1324" s="4" t="e">
        <f>MAX(INDEX(Standards!$F$2:$F$296,MATCH(B1324,Standards!$B$2:$B$296,0)),INDEX(Standards!$F$2:$F$296,MATCH(C1324,Standards!$B$2:$B$296,0)))</f>
        <v>#N/A</v>
      </c>
      <c r="W1324" t="str">
        <f t="shared" si="62"/>
        <v>#d6bf2a</v>
      </c>
    </row>
    <row r="1325" spans="1:23" x14ac:dyDescent="0.5">
      <c r="A1325" s="54">
        <v>1324</v>
      </c>
      <c r="B1325" s="90" t="s">
        <v>1039</v>
      </c>
      <c r="C1325" t="s">
        <v>296</v>
      </c>
      <c r="D1325" s="1"/>
      <c r="E1325" s="112">
        <v>2005.07</v>
      </c>
      <c r="F1325" s="112">
        <v>2024.09</v>
      </c>
      <c r="G1325" s="107" t="s">
        <v>670</v>
      </c>
      <c r="H1325">
        <f>INDEX('GIS-Standards'!$A$2:$A$305,MATCH(B1325,'GIS-Standards'!$B$2:$B$305,0))</f>
        <v>57</v>
      </c>
      <c r="I1325">
        <f>INDEX('GIS-Standards'!$A$2:$A$305,MATCH(C1325,'GIS-Standards'!$B$2:$B$305,0))</f>
        <v>12</v>
      </c>
      <c r="J1325" t="str">
        <f>INDEX('GIS-Standards'!$O$2:$O$305,MATCH(B1325,'GIS-Standards'!$B$2:$B$305,0))</f>
        <v>ISO/TC 211</v>
      </c>
      <c r="K1325" t="str">
        <f>INDEX('GIS-Standards'!$O$2:$O$305,MATCH(C1325,'GIS-Standards'!$B$2:$B$305,0))</f>
        <v>ISO/TC 211</v>
      </c>
      <c r="M1325" t="s">
        <v>525</v>
      </c>
      <c r="N1325">
        <f>INDEX('GIS-Standards'!$I$2:$I$305,MATCH(B1325,'GIS-Standards'!$B$2:$B$305,0))</f>
        <v>0</v>
      </c>
      <c r="O1325">
        <f>INDEX('GIS-Standards'!$I$2:$I$305,MATCH(C1325,'GIS-Standards'!$B$2:$B$305,0))</f>
        <v>0</v>
      </c>
      <c r="P1325" t="b">
        <f>AND(TableRelationships12[[#This Row],[Source Type]]="BIM",TableRelationships12[[#This Row],[Target Type]]="BIM")</f>
        <v>0</v>
      </c>
      <c r="Q1325">
        <f t="shared" si="60"/>
        <v>1</v>
      </c>
      <c r="S1325">
        <f t="shared" si="61"/>
        <v>1</v>
      </c>
      <c r="T1325" s="102" t="str">
        <f>IF(TableRelationships12[[#This Row],[Rank Pedro]]="Low","linkCategory1",IF(TableRelationships12[[#This Row],[Rank Pedro]]="Medium","linkCategory2",IF(TableRelationships12[[#This Row],[Rank Pedro]]="High","linkCategory3","")))</f>
        <v/>
      </c>
      <c r="U1325" s="102" t="str">
        <f>IF(TableRelationships12[[#This Row],[Rank Pedro]]="Low","Pink",IF(TableRelationships12[[#This Row],[Rank Pedro]]="Medium","Purple",IF(TableRelationships12[[#This Row],[Rank Pedro]]="High","Brown","")))</f>
        <v/>
      </c>
      <c r="V1325" s="4" t="e">
        <f>MAX(INDEX(Standards!$F$2:$F$296,MATCH(B1325,Standards!$B$2:$B$296,0)),INDEX(Standards!$F$2:$F$296,MATCH(C1325,Standards!$B$2:$B$296,0)))</f>
        <v>#N/A</v>
      </c>
      <c r="W1325" t="str">
        <f t="shared" si="62"/>
        <v>#2f89d1</v>
      </c>
    </row>
    <row r="1326" spans="1:23" x14ac:dyDescent="0.5">
      <c r="A1326" s="54">
        <v>1325</v>
      </c>
      <c r="B1326" s="90" t="s">
        <v>1039</v>
      </c>
      <c r="C1326" t="s">
        <v>300</v>
      </c>
      <c r="D1326" s="1"/>
      <c r="E1326" s="112">
        <v>2000.12</v>
      </c>
      <c r="F1326" s="112">
        <v>2022.07</v>
      </c>
      <c r="G1326" s="107" t="s">
        <v>670</v>
      </c>
      <c r="H1326">
        <f>INDEX('GIS-Standards'!$A$2:$A$305,MATCH(B1326,'GIS-Standards'!$B$2:$B$305,0))</f>
        <v>57</v>
      </c>
      <c r="I1326">
        <f>INDEX('GIS-Standards'!$A$2:$A$305,MATCH(C1326,'GIS-Standards'!$B$2:$B$305,0))</f>
        <v>14</v>
      </c>
      <c r="J1326" t="str">
        <f>INDEX('GIS-Standards'!$O$2:$O$305,MATCH(B1326,'GIS-Standards'!$B$2:$B$305,0))</f>
        <v>ISO/TC 211</v>
      </c>
      <c r="K1326" t="str">
        <f>INDEX('GIS-Standards'!$O$2:$O$305,MATCH(C1326,'GIS-Standards'!$B$2:$B$305,0))</f>
        <v>ISO/TC 211</v>
      </c>
      <c r="M1326" t="s">
        <v>525</v>
      </c>
      <c r="N1326">
        <f>INDEX('GIS-Standards'!$I$2:$I$305,MATCH(B1326,'GIS-Standards'!$B$2:$B$305,0))</f>
        <v>0</v>
      </c>
      <c r="O1326">
        <f>INDEX('GIS-Standards'!$I$2:$I$305,MATCH(C1326,'GIS-Standards'!$B$2:$B$305,0))</f>
        <v>0</v>
      </c>
      <c r="P1326" t="b">
        <f>AND(TableRelationships12[[#This Row],[Source Type]]="BIM",TableRelationships12[[#This Row],[Target Type]]="BIM")</f>
        <v>0</v>
      </c>
      <c r="Q1326">
        <f t="shared" si="60"/>
        <v>1</v>
      </c>
      <c r="S1326">
        <f t="shared" si="61"/>
        <v>1</v>
      </c>
      <c r="T1326" s="102" t="str">
        <f>IF(TableRelationships12[[#This Row],[Rank Pedro]]="Low","linkCategory1",IF(TableRelationships12[[#This Row],[Rank Pedro]]="Medium","linkCategory2",IF(TableRelationships12[[#This Row],[Rank Pedro]]="High","linkCategory3","")))</f>
        <v/>
      </c>
      <c r="U1326" s="102" t="str">
        <f>IF(TableRelationships12[[#This Row],[Rank Pedro]]="Low","Pink",IF(TableRelationships12[[#This Row],[Rank Pedro]]="Medium","Purple",IF(TableRelationships12[[#This Row],[Rank Pedro]]="High","Brown","")))</f>
        <v/>
      </c>
      <c r="V1326" s="4" t="e">
        <f>MAX(INDEX(Standards!$F$2:$F$296,MATCH(B1326,Standards!$B$2:$B$296,0)),INDEX(Standards!$F$2:$F$296,MATCH(C1326,Standards!$B$2:$B$296,0)))</f>
        <v>#N/A</v>
      </c>
      <c r="W1326" t="str">
        <f t="shared" si="62"/>
        <v>#2f89d1</v>
      </c>
    </row>
    <row r="1327" spans="1:23" x14ac:dyDescent="0.5">
      <c r="A1327" s="54">
        <v>1326</v>
      </c>
      <c r="B1327" s="90" t="s">
        <v>1039</v>
      </c>
      <c r="C1327" t="s">
        <v>1040</v>
      </c>
      <c r="D1327" s="1"/>
      <c r="E1327" s="112">
        <v>2004.07</v>
      </c>
      <c r="F1327" s="112">
        <v>2004.07</v>
      </c>
      <c r="G1327" s="107" t="s">
        <v>670</v>
      </c>
      <c r="H1327">
        <f>INDEX('GIS-Standards'!$A$2:$A$305,MATCH(B1327,'GIS-Standards'!$B$2:$B$305,0))</f>
        <v>57</v>
      </c>
      <c r="I1327">
        <f>INDEX('GIS-Standards'!$A$2:$A$305,MATCH(C1327,'GIS-Standards'!$B$2:$B$305,0))</f>
        <v>15</v>
      </c>
      <c r="J1327" t="str">
        <f>INDEX('GIS-Standards'!$O$2:$O$305,MATCH(B1327,'GIS-Standards'!$B$2:$B$305,0))</f>
        <v>ISO/TC 211</v>
      </c>
      <c r="K1327" t="str">
        <f>INDEX('GIS-Standards'!$O$2:$O$305,MATCH(C1327,'GIS-Standards'!$B$2:$B$305,0))</f>
        <v>ISO/TC 211</v>
      </c>
      <c r="M1327" t="s">
        <v>525</v>
      </c>
      <c r="N1327">
        <f>INDEX('GIS-Standards'!$I$2:$I$305,MATCH(B1327,'GIS-Standards'!$B$2:$B$305,0))</f>
        <v>0</v>
      </c>
      <c r="O1327">
        <f>INDEX('GIS-Standards'!$I$2:$I$305,MATCH(C1327,'GIS-Standards'!$B$2:$B$305,0))</f>
        <v>0</v>
      </c>
      <c r="P1327" t="b">
        <f>AND(TableRelationships12[[#This Row],[Source Type]]="BIM",TableRelationships12[[#This Row],[Target Type]]="BIM")</f>
        <v>0</v>
      </c>
      <c r="Q1327">
        <f t="shared" si="60"/>
        <v>1</v>
      </c>
      <c r="S1327">
        <f t="shared" si="61"/>
        <v>1</v>
      </c>
      <c r="T1327" s="102" t="str">
        <f>IF(TableRelationships12[[#This Row],[Rank Pedro]]="Low","linkCategory1",IF(TableRelationships12[[#This Row],[Rank Pedro]]="Medium","linkCategory2",IF(TableRelationships12[[#This Row],[Rank Pedro]]="High","linkCategory3","")))</f>
        <v/>
      </c>
      <c r="U1327" s="102" t="str">
        <f>IF(TableRelationships12[[#This Row],[Rank Pedro]]="Low","Pink",IF(TableRelationships12[[#This Row],[Rank Pedro]]="Medium","Purple",IF(TableRelationships12[[#This Row],[Rank Pedro]]="High","Brown","")))</f>
        <v/>
      </c>
      <c r="V1327" s="4" t="e">
        <f>MAX(INDEX(Standards!$F$2:$F$296,MATCH(B1327,Standards!$B$2:$B$296,0)),INDEX(Standards!$F$2:$F$296,MATCH(C1327,Standards!$B$2:$B$296,0)))</f>
        <v>#N/A</v>
      </c>
      <c r="W1327" t="str">
        <f t="shared" si="62"/>
        <v>#2f89d1</v>
      </c>
    </row>
    <row r="1328" spans="1:23" x14ac:dyDescent="0.5">
      <c r="A1328" s="54">
        <v>1327</v>
      </c>
      <c r="B1328" s="90" t="s">
        <v>1039</v>
      </c>
      <c r="C1328" t="s">
        <v>302</v>
      </c>
      <c r="D1328" s="1"/>
      <c r="E1328" s="112">
        <v>2003.05</v>
      </c>
      <c r="F1328" s="112">
        <v>2019.12</v>
      </c>
      <c r="G1328" s="107" t="s">
        <v>670</v>
      </c>
      <c r="H1328">
        <f>INDEX('GIS-Standards'!$A$2:$A$305,MATCH(B1328,'GIS-Standards'!$B$2:$B$305,0))</f>
        <v>57</v>
      </c>
      <c r="I1328">
        <f>INDEX('GIS-Standards'!$A$2:$A$305,MATCH(C1328,'GIS-Standards'!$B$2:$B$305,0))</f>
        <v>16</v>
      </c>
      <c r="J1328" t="str">
        <f>INDEX('GIS-Standards'!$O$2:$O$305,MATCH(B1328,'GIS-Standards'!$B$2:$B$305,0))</f>
        <v>ISO/TC 211</v>
      </c>
      <c r="K1328" t="str">
        <f>INDEX('GIS-Standards'!$O$2:$O$305,MATCH(C1328,'GIS-Standards'!$B$2:$B$305,0))</f>
        <v>ISO/TC 211</v>
      </c>
      <c r="M1328" t="s">
        <v>525</v>
      </c>
      <c r="N1328">
        <f>INDEX('GIS-Standards'!$I$2:$I$305,MATCH(B1328,'GIS-Standards'!$B$2:$B$305,0))</f>
        <v>0</v>
      </c>
      <c r="O1328">
        <f>INDEX('GIS-Standards'!$I$2:$I$305,MATCH(C1328,'GIS-Standards'!$B$2:$B$305,0))</f>
        <v>0</v>
      </c>
      <c r="P1328" t="b">
        <f>AND(TableRelationships12[[#This Row],[Source Type]]="BIM",TableRelationships12[[#This Row],[Target Type]]="BIM")</f>
        <v>0</v>
      </c>
      <c r="Q1328">
        <f t="shared" si="60"/>
        <v>1</v>
      </c>
      <c r="S1328">
        <f t="shared" si="61"/>
        <v>1</v>
      </c>
      <c r="T1328" s="102" t="str">
        <f>IF(TableRelationships12[[#This Row],[Rank Pedro]]="Low","linkCategory1",IF(TableRelationships12[[#This Row],[Rank Pedro]]="Medium","linkCategory2",IF(TableRelationships12[[#This Row],[Rank Pedro]]="High","linkCategory3","")))</f>
        <v/>
      </c>
      <c r="U1328" s="102" t="str">
        <f>IF(TableRelationships12[[#This Row],[Rank Pedro]]="Low","Pink",IF(TableRelationships12[[#This Row],[Rank Pedro]]="Medium","Purple",IF(TableRelationships12[[#This Row],[Rank Pedro]]="High","Brown","")))</f>
        <v/>
      </c>
      <c r="V1328" s="4" t="e">
        <f>MAX(INDEX(Standards!$F$2:$F$296,MATCH(B1328,Standards!$B$2:$B$296,0)),INDEX(Standards!$F$2:$F$296,MATCH(C1328,Standards!$B$2:$B$296,0)))</f>
        <v>#N/A</v>
      </c>
      <c r="W1328" t="str">
        <f t="shared" si="62"/>
        <v>#2f89d1</v>
      </c>
    </row>
    <row r="1329" spans="1:23" x14ac:dyDescent="0.5">
      <c r="A1329" s="54">
        <v>1328</v>
      </c>
      <c r="B1329" s="90" t="s">
        <v>1039</v>
      </c>
      <c r="C1329" t="s">
        <v>304</v>
      </c>
      <c r="D1329" s="1"/>
      <c r="E1329" s="112">
        <v>2002.09</v>
      </c>
      <c r="F1329" s="112">
        <v>2006.1</v>
      </c>
      <c r="G1329" s="107" t="s">
        <v>670</v>
      </c>
      <c r="H1329">
        <f>INDEX('GIS-Standards'!$A$2:$A$305,MATCH(B1329,'GIS-Standards'!$B$2:$B$305,0))</f>
        <v>57</v>
      </c>
      <c r="I1329">
        <f>INDEX('GIS-Standards'!$A$2:$A$305,MATCH(C1329,'GIS-Standards'!$B$2:$B$305,0))</f>
        <v>17</v>
      </c>
      <c r="J1329" t="str">
        <f>INDEX('GIS-Standards'!$O$2:$O$305,MATCH(B1329,'GIS-Standards'!$B$2:$B$305,0))</f>
        <v>ISO/TC 211</v>
      </c>
      <c r="K1329" t="str">
        <f>INDEX('GIS-Standards'!$O$2:$O$305,MATCH(C1329,'GIS-Standards'!$B$2:$B$305,0))</f>
        <v>ISO/TC 211</v>
      </c>
      <c r="M1329" t="s">
        <v>525</v>
      </c>
      <c r="N1329">
        <f>INDEX('GIS-Standards'!$I$2:$I$305,MATCH(B1329,'GIS-Standards'!$B$2:$B$305,0))</f>
        <v>0</v>
      </c>
      <c r="O1329" t="str">
        <f>INDEX('GIS-Standards'!$I$2:$I$305,MATCH(C1329,'GIS-Standards'!$B$2:$B$305,0))</f>
        <v>06.2008</v>
      </c>
      <c r="P1329" t="b">
        <f>AND(TableRelationships12[[#This Row],[Source Type]]="BIM",TableRelationships12[[#This Row],[Target Type]]="BIM")</f>
        <v>0</v>
      </c>
      <c r="Q1329">
        <f t="shared" si="60"/>
        <v>1</v>
      </c>
      <c r="S1329">
        <f t="shared" si="61"/>
        <v>1</v>
      </c>
      <c r="T1329" s="102" t="str">
        <f>IF(TableRelationships12[[#This Row],[Rank Pedro]]="Low","linkCategory1",IF(TableRelationships12[[#This Row],[Rank Pedro]]="Medium","linkCategory2",IF(TableRelationships12[[#This Row],[Rank Pedro]]="High","linkCategory3","")))</f>
        <v/>
      </c>
      <c r="U1329" s="102" t="str">
        <f>IF(TableRelationships12[[#This Row],[Rank Pedro]]="Low","Pink",IF(TableRelationships12[[#This Row],[Rank Pedro]]="Medium","Purple",IF(TableRelationships12[[#This Row],[Rank Pedro]]="High","Brown","")))</f>
        <v/>
      </c>
      <c r="V1329" s="4" t="e">
        <f>MAX(INDEX(Standards!$F$2:$F$296,MATCH(B1329,Standards!$B$2:$B$296,0)),INDEX(Standards!$F$2:$F$296,MATCH(C1329,Standards!$B$2:$B$296,0)))</f>
        <v>#N/A</v>
      </c>
      <c r="W1329" t="str">
        <f t="shared" si="62"/>
        <v>#2f89d1</v>
      </c>
    </row>
    <row r="1330" spans="1:23" x14ac:dyDescent="0.5">
      <c r="A1330" s="54">
        <v>1329</v>
      </c>
      <c r="B1330" s="90" t="s">
        <v>1039</v>
      </c>
      <c r="C1330" t="s">
        <v>306</v>
      </c>
      <c r="D1330" s="1"/>
      <c r="E1330" s="112">
        <v>2005.06</v>
      </c>
      <c r="F1330" s="112">
        <v>2025.07</v>
      </c>
      <c r="G1330" s="107" t="s">
        <v>670</v>
      </c>
      <c r="H1330">
        <f>INDEX('GIS-Standards'!$A$2:$A$305,MATCH(B1330,'GIS-Standards'!$B$2:$B$305,0))</f>
        <v>57</v>
      </c>
      <c r="I1330">
        <f>INDEX('GIS-Standards'!$A$2:$A$305,MATCH(C1330,'GIS-Standards'!$B$2:$B$305,0))</f>
        <v>18</v>
      </c>
      <c r="J1330" t="str">
        <f>INDEX('GIS-Standards'!$O$2:$O$305,MATCH(B1330,'GIS-Standards'!$B$2:$B$305,0))</f>
        <v>ISO/TC 211</v>
      </c>
      <c r="K1330" t="str">
        <f>INDEX('GIS-Standards'!$O$2:$O$305,MATCH(C1330,'GIS-Standards'!$B$2:$B$305,0))</f>
        <v>ISO/TC 211</v>
      </c>
      <c r="M1330" t="s">
        <v>525</v>
      </c>
      <c r="N1330">
        <f>INDEX('GIS-Standards'!$I$2:$I$305,MATCH(B1330,'GIS-Standards'!$B$2:$B$305,0))</f>
        <v>0</v>
      </c>
      <c r="O1330">
        <f>INDEX('GIS-Standards'!$I$2:$I$305,MATCH(C1330,'GIS-Standards'!$B$2:$B$305,0))</f>
        <v>0</v>
      </c>
      <c r="P1330" t="b">
        <f>AND(TableRelationships12[[#This Row],[Source Type]]="BIM",TableRelationships12[[#This Row],[Target Type]]="BIM")</f>
        <v>0</v>
      </c>
      <c r="Q1330">
        <f t="shared" si="60"/>
        <v>1</v>
      </c>
      <c r="S1330">
        <f t="shared" si="61"/>
        <v>1</v>
      </c>
      <c r="T1330" s="102" t="str">
        <f>IF(TableRelationships12[[#This Row],[Rank Pedro]]="Low","linkCategory1",IF(TableRelationships12[[#This Row],[Rank Pedro]]="Medium","linkCategory2",IF(TableRelationships12[[#This Row],[Rank Pedro]]="High","linkCategory3","")))</f>
        <v/>
      </c>
      <c r="U1330" s="102" t="str">
        <f>IF(TableRelationships12[[#This Row],[Rank Pedro]]="Low","Pink",IF(TableRelationships12[[#This Row],[Rank Pedro]]="Medium","Purple",IF(TableRelationships12[[#This Row],[Rank Pedro]]="High","Brown","")))</f>
        <v/>
      </c>
      <c r="V1330" s="4" t="e">
        <f>MAX(INDEX(Standards!$F$2:$F$296,MATCH(B1330,Standards!$B$2:$B$296,0)),INDEX(Standards!$F$2:$F$296,MATCH(C1330,Standards!$B$2:$B$296,0)))</f>
        <v>#N/A</v>
      </c>
      <c r="W1330" t="str">
        <f t="shared" si="62"/>
        <v>#2f89d1</v>
      </c>
    </row>
    <row r="1331" spans="1:23" x14ac:dyDescent="0.5">
      <c r="A1331" s="54">
        <v>1330</v>
      </c>
      <c r="B1331" s="90" t="s">
        <v>1039</v>
      </c>
      <c r="C1331" t="s">
        <v>314</v>
      </c>
      <c r="D1331" s="1"/>
      <c r="E1331" s="112">
        <v>2003.05</v>
      </c>
      <c r="F1331" s="112">
        <v>2020.11</v>
      </c>
      <c r="G1331" s="107" t="s">
        <v>670</v>
      </c>
      <c r="H1331">
        <f>INDEX('GIS-Standards'!$A$2:$A$305,MATCH(B1331,'GIS-Standards'!$B$2:$B$305,0))</f>
        <v>57</v>
      </c>
      <c r="I1331">
        <f>INDEX('GIS-Standards'!$A$2:$A$305,MATCH(C1331,'GIS-Standards'!$B$2:$B$305,0))</f>
        <v>22</v>
      </c>
      <c r="J1331" t="str">
        <f>INDEX('GIS-Standards'!$O$2:$O$305,MATCH(B1331,'GIS-Standards'!$B$2:$B$305,0))</f>
        <v>ISO/TC 211</v>
      </c>
      <c r="K1331" t="str">
        <f>INDEX('GIS-Standards'!$O$2:$O$305,MATCH(C1331,'GIS-Standards'!$B$2:$B$305,0))</f>
        <v>ISO/TC 211</v>
      </c>
      <c r="M1331" t="s">
        <v>525</v>
      </c>
      <c r="N1331">
        <f>INDEX('GIS-Standards'!$I$2:$I$305,MATCH(B1331,'GIS-Standards'!$B$2:$B$305,0))</f>
        <v>0</v>
      </c>
      <c r="O1331" t="str">
        <f>INDEX('GIS-Standards'!$I$2:$I$305,MATCH(C1331,'GIS-Standards'!$B$2:$B$305,0))</f>
        <v>12.2020</v>
      </c>
      <c r="P1331" t="b">
        <f>AND(TableRelationships12[[#This Row],[Source Type]]="BIM",TableRelationships12[[#This Row],[Target Type]]="BIM")</f>
        <v>0</v>
      </c>
      <c r="Q1331">
        <f t="shared" si="60"/>
        <v>1</v>
      </c>
      <c r="S1331">
        <f t="shared" si="61"/>
        <v>1</v>
      </c>
      <c r="T1331" s="102" t="str">
        <f>IF(TableRelationships12[[#This Row],[Rank Pedro]]="Low","linkCategory1",IF(TableRelationships12[[#This Row],[Rank Pedro]]="Medium","linkCategory2",IF(TableRelationships12[[#This Row],[Rank Pedro]]="High","linkCategory3","")))</f>
        <v/>
      </c>
      <c r="U1331" s="102" t="str">
        <f>IF(TableRelationships12[[#This Row],[Rank Pedro]]="Low","Pink",IF(TableRelationships12[[#This Row],[Rank Pedro]]="Medium","Purple",IF(TableRelationships12[[#This Row],[Rank Pedro]]="High","Brown","")))</f>
        <v/>
      </c>
      <c r="V1331" s="4" t="e">
        <f>MAX(INDEX(Standards!$F$2:$F$296,MATCH(B1331,Standards!$B$2:$B$296,0)),INDEX(Standards!$F$2:$F$296,MATCH(C1331,Standards!$B$2:$B$296,0)))</f>
        <v>#N/A</v>
      </c>
      <c r="W1331" t="str">
        <f t="shared" si="62"/>
        <v>#2f89d1</v>
      </c>
    </row>
    <row r="1332" spans="1:23" x14ac:dyDescent="0.5">
      <c r="A1332" s="54">
        <v>1331</v>
      </c>
      <c r="B1332" s="90" t="s">
        <v>1039</v>
      </c>
      <c r="C1332" t="s">
        <v>348</v>
      </c>
      <c r="D1332" s="1"/>
      <c r="E1332" s="113">
        <v>2013.12</v>
      </c>
      <c r="F1332" s="113">
        <v>2023.04</v>
      </c>
      <c r="G1332" s="107" t="s">
        <v>670</v>
      </c>
      <c r="H1332">
        <f>INDEX('GIS-Standards'!$A$2:$A$305,MATCH(B1332,'GIS-Standards'!$B$2:$B$305,0))</f>
        <v>57</v>
      </c>
      <c r="I1332">
        <f>INDEX('GIS-Standards'!$A$2:$A$305,MATCH(C1332,'GIS-Standards'!$B$2:$B$305,0))</f>
        <v>66</v>
      </c>
      <c r="J1332" t="str">
        <f>INDEX('GIS-Standards'!$O$2:$O$305,MATCH(B1332,'GIS-Standards'!$B$2:$B$305,0))</f>
        <v>ISO/TC 211</v>
      </c>
      <c r="K1332" t="str">
        <f>INDEX('GIS-Standards'!$O$2:$O$305,MATCH(C1332,'GIS-Standards'!$B$2:$B$305,0))</f>
        <v>ISO/TC 211</v>
      </c>
      <c r="M1332" t="s">
        <v>525</v>
      </c>
      <c r="N1332">
        <f>INDEX('GIS-Standards'!$I$2:$I$305,MATCH(B1332,'GIS-Standards'!$B$2:$B$305,0))</f>
        <v>0</v>
      </c>
      <c r="O1332">
        <f>INDEX('GIS-Standards'!$I$2:$I$305,MATCH(C1332,'GIS-Standards'!$B$2:$B$305,0))</f>
        <v>0</v>
      </c>
      <c r="P1332" t="b">
        <f>AND(TableRelationships12[[#This Row],[Source Type]]="BIM",TableRelationships12[[#This Row],[Target Type]]="BIM")</f>
        <v>0</v>
      </c>
      <c r="Q1332">
        <f t="shared" si="60"/>
        <v>1</v>
      </c>
      <c r="S1332">
        <f t="shared" si="61"/>
        <v>1</v>
      </c>
      <c r="T1332" s="102" t="str">
        <f>IF(TableRelationships12[[#This Row],[Rank Pedro]]="Low","linkCategory1",IF(TableRelationships12[[#This Row],[Rank Pedro]]="Medium","linkCategory2",IF(TableRelationships12[[#This Row],[Rank Pedro]]="High","linkCategory3","")))</f>
        <v/>
      </c>
      <c r="U1332" s="102" t="str">
        <f>IF(TableRelationships12[[#This Row],[Rank Pedro]]="Low","Pink",IF(TableRelationships12[[#This Row],[Rank Pedro]]="Medium","Purple",IF(TableRelationships12[[#This Row],[Rank Pedro]]="High","Brown","")))</f>
        <v/>
      </c>
      <c r="V1332" s="4" t="e">
        <f>MAX(INDEX(Standards!$F$2:$F$296,MATCH(B1332,Standards!$B$2:$B$296,0)),INDEX(Standards!$F$2:$F$296,MATCH(C1332,Standards!$B$2:$B$296,0)))</f>
        <v>#N/A</v>
      </c>
      <c r="W1332" t="str">
        <f t="shared" si="62"/>
        <v>#2f89d1</v>
      </c>
    </row>
    <row r="1333" spans="1:23" x14ac:dyDescent="0.5">
      <c r="A1333" s="54">
        <v>1332</v>
      </c>
      <c r="B1333" s="90" t="s">
        <v>1039</v>
      </c>
      <c r="C1333" t="s">
        <v>1202</v>
      </c>
      <c r="D1333" s="1"/>
      <c r="G1333" s="107"/>
      <c r="H1333">
        <f>INDEX('GIS-Standards'!$A$2:$A$305,MATCH(B1333,'GIS-Standards'!$B$2:$B$305,0))</f>
        <v>57</v>
      </c>
      <c r="I1333" t="e">
        <f>INDEX('GIS-Standards'!$A$2:$A$305,MATCH(C1333,'GIS-Standards'!$B$2:$B$305,0))</f>
        <v>#N/A</v>
      </c>
      <c r="J1333" t="str">
        <f>INDEX('GIS-Standards'!$O$2:$O$305,MATCH(B1333,'GIS-Standards'!$B$2:$B$305,0))</f>
        <v>ISO/TC 211</v>
      </c>
      <c r="K1333" t="e">
        <f>INDEX('GIS-Standards'!$O$2:$O$305,MATCH(C1333,'GIS-Standards'!$B$2:$B$305,0))</f>
        <v>#N/A</v>
      </c>
      <c r="M1333" t="s">
        <v>525</v>
      </c>
      <c r="N1333">
        <f>INDEX('GIS-Standards'!$I$2:$I$305,MATCH(B1333,'GIS-Standards'!$B$2:$B$305,0))</f>
        <v>0</v>
      </c>
      <c r="O1333" t="e">
        <f>INDEX('GIS-Standards'!$I$2:$I$305,MATCH(C1333,'GIS-Standards'!$B$2:$B$305,0))</f>
        <v>#N/A</v>
      </c>
      <c r="P1333" t="e">
        <f>AND(TableRelationships12[[#This Row],[Source Type]]="BIM",TableRelationships12[[#This Row],[Target Type]]="BIM")</f>
        <v>#N/A</v>
      </c>
      <c r="Q1333">
        <f t="shared" si="60"/>
        <v>1</v>
      </c>
      <c r="S1333">
        <f t="shared" si="61"/>
        <v>1</v>
      </c>
      <c r="T1333" s="102" t="str">
        <f>IF(TableRelationships12[[#This Row],[Rank Pedro]]="Low","linkCategory1",IF(TableRelationships12[[#This Row],[Rank Pedro]]="Medium","linkCategory2",IF(TableRelationships12[[#This Row],[Rank Pedro]]="High","linkCategory3","")))</f>
        <v/>
      </c>
      <c r="U1333" s="102" t="str">
        <f>IF(TableRelationships12[[#This Row],[Rank Pedro]]="Low","Pink",IF(TableRelationships12[[#This Row],[Rank Pedro]]="Medium","Purple",IF(TableRelationships12[[#This Row],[Rank Pedro]]="High","Brown","")))</f>
        <v/>
      </c>
      <c r="V1333" s="4" t="e">
        <f>MAX(INDEX(Standards!$F$2:$F$296,MATCH(B1333,Standards!$B$2:$B$296,0)),INDEX(Standards!$F$2:$F$296,MATCH(C1333,Standards!$B$2:$B$296,0)))</f>
        <v>#N/A</v>
      </c>
      <c r="W1333" t="str">
        <f t="shared" si="62"/>
        <v>#2f89d1</v>
      </c>
    </row>
    <row r="1334" spans="1:23" x14ac:dyDescent="0.5">
      <c r="A1334" s="54">
        <v>1333</v>
      </c>
      <c r="B1334" s="90" t="s">
        <v>1039</v>
      </c>
      <c r="C1334" t="s">
        <v>1203</v>
      </c>
      <c r="D1334" s="1"/>
      <c r="G1334" s="107"/>
      <c r="H1334">
        <f>INDEX('GIS-Standards'!$A$2:$A$305,MATCH(B1334,'GIS-Standards'!$B$2:$B$305,0))</f>
        <v>57</v>
      </c>
      <c r="I1334" t="e">
        <f>INDEX('GIS-Standards'!$A$2:$A$305,MATCH(C1334,'GIS-Standards'!$B$2:$B$305,0))</f>
        <v>#N/A</v>
      </c>
      <c r="J1334" t="str">
        <f>INDEX('GIS-Standards'!$O$2:$O$305,MATCH(B1334,'GIS-Standards'!$B$2:$B$305,0))</f>
        <v>ISO/TC 211</v>
      </c>
      <c r="K1334" t="e">
        <f>INDEX('GIS-Standards'!$O$2:$O$305,MATCH(C1334,'GIS-Standards'!$B$2:$B$305,0))</f>
        <v>#N/A</v>
      </c>
      <c r="M1334" t="s">
        <v>525</v>
      </c>
      <c r="N1334">
        <f>INDEX('GIS-Standards'!$I$2:$I$305,MATCH(B1334,'GIS-Standards'!$B$2:$B$305,0))</f>
        <v>0</v>
      </c>
      <c r="O1334" t="e">
        <f>INDEX('GIS-Standards'!$I$2:$I$305,MATCH(C1334,'GIS-Standards'!$B$2:$B$305,0))</f>
        <v>#N/A</v>
      </c>
      <c r="P1334" t="e">
        <f>AND(TableRelationships12[[#This Row],[Source Type]]="BIM",TableRelationships12[[#This Row],[Target Type]]="BIM")</f>
        <v>#N/A</v>
      </c>
      <c r="Q1334">
        <f t="shared" si="60"/>
        <v>1</v>
      </c>
      <c r="S1334">
        <f t="shared" si="61"/>
        <v>1</v>
      </c>
      <c r="T1334" s="102" t="str">
        <f>IF(TableRelationships12[[#This Row],[Rank Pedro]]="Low","linkCategory1",IF(TableRelationships12[[#This Row],[Rank Pedro]]="Medium","linkCategory2",IF(TableRelationships12[[#This Row],[Rank Pedro]]="High","linkCategory3","")))</f>
        <v/>
      </c>
      <c r="U1334" s="102" t="str">
        <f>IF(TableRelationships12[[#This Row],[Rank Pedro]]="Low","Pink",IF(TableRelationships12[[#This Row],[Rank Pedro]]="Medium","Purple",IF(TableRelationships12[[#This Row],[Rank Pedro]]="High","Brown","")))</f>
        <v/>
      </c>
      <c r="V1334" s="4" t="e">
        <f>MAX(INDEX(Standards!$F$2:$F$296,MATCH(B1334,Standards!$B$2:$B$296,0)),INDEX(Standards!$F$2:$F$296,MATCH(C1334,Standards!$B$2:$B$296,0)))</f>
        <v>#N/A</v>
      </c>
      <c r="W1334" t="str">
        <f t="shared" si="62"/>
        <v>#2f89d1</v>
      </c>
    </row>
    <row r="1335" spans="1:23" x14ac:dyDescent="0.5">
      <c r="A1335" s="54">
        <v>1334</v>
      </c>
      <c r="B1335" s="90" t="s">
        <v>1039</v>
      </c>
      <c r="C1335" t="s">
        <v>1204</v>
      </c>
      <c r="D1335" s="1"/>
      <c r="G1335" s="107"/>
      <c r="H1335">
        <f>INDEX('GIS-Standards'!$A$2:$A$305,MATCH(B1335,'GIS-Standards'!$B$2:$B$305,0))</f>
        <v>57</v>
      </c>
      <c r="I1335" t="e">
        <f>INDEX('GIS-Standards'!$A$2:$A$305,MATCH(C1335,'GIS-Standards'!$B$2:$B$305,0))</f>
        <v>#N/A</v>
      </c>
      <c r="J1335" t="str">
        <f>INDEX('GIS-Standards'!$O$2:$O$305,MATCH(B1335,'GIS-Standards'!$B$2:$B$305,0))</f>
        <v>ISO/TC 211</v>
      </c>
      <c r="K1335" t="e">
        <f>INDEX('GIS-Standards'!$O$2:$O$305,MATCH(C1335,'GIS-Standards'!$B$2:$B$305,0))</f>
        <v>#N/A</v>
      </c>
      <c r="M1335" t="s">
        <v>525</v>
      </c>
      <c r="N1335">
        <f>INDEX('GIS-Standards'!$I$2:$I$305,MATCH(B1335,'GIS-Standards'!$B$2:$B$305,0))</f>
        <v>0</v>
      </c>
      <c r="O1335" t="e">
        <f>INDEX('GIS-Standards'!$I$2:$I$305,MATCH(C1335,'GIS-Standards'!$B$2:$B$305,0))</f>
        <v>#N/A</v>
      </c>
      <c r="P1335" t="e">
        <f>AND(TableRelationships12[[#This Row],[Source Type]]="BIM",TableRelationships12[[#This Row],[Target Type]]="BIM")</f>
        <v>#N/A</v>
      </c>
      <c r="Q1335">
        <f t="shared" si="60"/>
        <v>1</v>
      </c>
      <c r="S1335">
        <f t="shared" si="61"/>
        <v>1</v>
      </c>
      <c r="T1335" s="102" t="str">
        <f>IF(TableRelationships12[[#This Row],[Rank Pedro]]="Low","linkCategory1",IF(TableRelationships12[[#This Row],[Rank Pedro]]="Medium","linkCategory2",IF(TableRelationships12[[#This Row],[Rank Pedro]]="High","linkCategory3","")))</f>
        <v/>
      </c>
      <c r="U1335" s="102" t="str">
        <f>IF(TableRelationships12[[#This Row],[Rank Pedro]]="Low","Pink",IF(TableRelationships12[[#This Row],[Rank Pedro]]="Medium","Purple",IF(TableRelationships12[[#This Row],[Rank Pedro]]="High","Brown","")))</f>
        <v/>
      </c>
      <c r="V1335" s="4" t="e">
        <f>MAX(INDEX(Standards!$F$2:$F$296,MATCH(B1335,Standards!$B$2:$B$296,0)),INDEX(Standards!$F$2:$F$296,MATCH(C1335,Standards!$B$2:$B$296,0)))</f>
        <v>#N/A</v>
      </c>
      <c r="W1335" t="str">
        <f t="shared" si="62"/>
        <v>#2f89d1</v>
      </c>
    </row>
    <row r="1336" spans="1:23" x14ac:dyDescent="0.5">
      <c r="A1336" s="54">
        <v>1335</v>
      </c>
      <c r="B1336" s="90" t="s">
        <v>1206</v>
      </c>
      <c r="C1336" t="s">
        <v>527</v>
      </c>
      <c r="D1336" s="1"/>
      <c r="E1336" s="112" t="s">
        <v>885</v>
      </c>
      <c r="F1336" s="112" t="s">
        <v>1468</v>
      </c>
      <c r="G1336" s="121" t="s">
        <v>670</v>
      </c>
      <c r="H1336">
        <f>INDEX('GIS-Standards'!$A$2:$A$305,MATCH(B1336,'GIS-Standards'!$B$2:$B$305,0))</f>
        <v>58</v>
      </c>
      <c r="I1336" t="e">
        <f>INDEX('GIS-Standards'!$A$2:$A$305,MATCH(C1336,'GIS-Standards'!$B$2:$B$305,0))</f>
        <v>#N/A</v>
      </c>
      <c r="J1336" t="str">
        <f>INDEX('GIS-Standards'!$O$2:$O$305,MATCH(B1336,'GIS-Standards'!$B$2:$B$305,0))</f>
        <v>ISO/TC 211</v>
      </c>
      <c r="K1336" t="e">
        <f>INDEX('GIS-Standards'!$O$2:$O$305,MATCH(C1336,'GIS-Standards'!$B$2:$B$305,0))</f>
        <v>#N/A</v>
      </c>
      <c r="M1336" t="s">
        <v>237</v>
      </c>
      <c r="N1336">
        <f>INDEX('GIS-Standards'!$I$2:$I$305,MATCH(B1336,'GIS-Standards'!$B$2:$B$305,0))</f>
        <v>0</v>
      </c>
      <c r="O1336" t="e">
        <f>INDEX('GIS-Standards'!$I$2:$I$305,MATCH(C1336,'GIS-Standards'!$B$2:$B$305,0))</f>
        <v>#N/A</v>
      </c>
      <c r="P1336" t="e">
        <f>AND(TableRelationships12[[#This Row],[Source Type]]="BIM",TableRelationships12[[#This Row],[Target Type]]="BIM")</f>
        <v>#N/A</v>
      </c>
      <c r="Q1336">
        <f t="shared" si="60"/>
        <v>2</v>
      </c>
      <c r="S1336">
        <f t="shared" si="61"/>
        <v>1</v>
      </c>
      <c r="T1336" s="102" t="str">
        <f>IF(TableRelationships12[[#This Row],[Rank Pedro]]="Low","linkCategory1",IF(TableRelationships12[[#This Row],[Rank Pedro]]="Medium","linkCategory2",IF(TableRelationships12[[#This Row],[Rank Pedro]]="High","linkCategory3","")))</f>
        <v/>
      </c>
      <c r="U1336" s="102" t="str">
        <f>IF(TableRelationships12[[#This Row],[Rank Pedro]]="Low","Pink",IF(TableRelationships12[[#This Row],[Rank Pedro]]="Medium","Purple",IF(TableRelationships12[[#This Row],[Rank Pedro]]="High","Brown","")))</f>
        <v/>
      </c>
      <c r="V1336" s="4" t="e">
        <f>MAX(INDEX(Standards!$F$2:$F$296,MATCH(B1336,Standards!$B$2:$B$296,0)),INDEX(Standards!$F$2:$F$296,MATCH(C1336,Standards!$B$2:$B$296,0)))</f>
        <v>#N/A</v>
      </c>
      <c r="W1336">
        <f t="shared" si="62"/>
        <v>1</v>
      </c>
    </row>
    <row r="1337" spans="1:23" x14ac:dyDescent="0.5">
      <c r="A1337" s="54">
        <v>1336</v>
      </c>
      <c r="B1337" s="90" t="s">
        <v>1206</v>
      </c>
      <c r="C1337" t="s">
        <v>1039</v>
      </c>
      <c r="D1337" s="1"/>
      <c r="E1337" s="112">
        <v>2012.12</v>
      </c>
      <c r="F1337" s="112">
        <v>2024.01</v>
      </c>
      <c r="G1337" s="107" t="s">
        <v>670</v>
      </c>
      <c r="H1337">
        <f>INDEX('GIS-Standards'!$A$2:$A$305,MATCH(B1337,'GIS-Standards'!$B$2:$B$305,0))</f>
        <v>58</v>
      </c>
      <c r="I1337">
        <f>INDEX('GIS-Standards'!$A$2:$A$305,MATCH(C1337,'GIS-Standards'!$B$2:$B$305,0))</f>
        <v>57</v>
      </c>
      <c r="J1337" t="str">
        <f>INDEX('GIS-Standards'!$O$2:$O$305,MATCH(B1337,'GIS-Standards'!$B$2:$B$305,0))</f>
        <v>ISO/TC 211</v>
      </c>
      <c r="K1337" t="str">
        <f>INDEX('GIS-Standards'!$O$2:$O$305,MATCH(C1337,'GIS-Standards'!$B$2:$B$305,0))</f>
        <v>ISO/TC 211</v>
      </c>
      <c r="M1337" t="s">
        <v>524</v>
      </c>
      <c r="N1337">
        <f>INDEX('GIS-Standards'!$I$2:$I$305,MATCH(B1337,'GIS-Standards'!$B$2:$B$305,0))</f>
        <v>0</v>
      </c>
      <c r="O1337">
        <f>INDEX('GIS-Standards'!$I$2:$I$305,MATCH(C1337,'GIS-Standards'!$B$2:$B$305,0))</f>
        <v>0</v>
      </c>
      <c r="P1337" t="b">
        <f>AND(TableRelationships12[[#This Row],[Source Type]]="BIM",TableRelationships12[[#This Row],[Target Type]]="BIM")</f>
        <v>0</v>
      </c>
      <c r="Q1337">
        <f t="shared" si="60"/>
        <v>6</v>
      </c>
      <c r="S1337">
        <f t="shared" si="61"/>
        <v>1</v>
      </c>
      <c r="T1337" s="102" t="str">
        <f>IF(TableRelationships12[[#This Row],[Rank Pedro]]="Low","linkCategory1",IF(TableRelationships12[[#This Row],[Rank Pedro]]="Medium","linkCategory2",IF(TableRelationships12[[#This Row],[Rank Pedro]]="High","linkCategory3","")))</f>
        <v/>
      </c>
      <c r="U1337" s="102" t="str">
        <f>IF(TableRelationships12[[#This Row],[Rank Pedro]]="Low","Pink",IF(TableRelationships12[[#This Row],[Rank Pedro]]="Medium","Purple",IF(TableRelationships12[[#This Row],[Rank Pedro]]="High","Brown","")))</f>
        <v/>
      </c>
      <c r="V1337" s="4" t="e">
        <f>MAX(INDEX(Standards!$F$2:$F$296,MATCH(B1337,Standards!$B$2:$B$296,0)),INDEX(Standards!$F$2:$F$296,MATCH(C1337,Standards!$B$2:$B$296,0)))</f>
        <v>#N/A</v>
      </c>
      <c r="W1337" t="str">
        <f t="shared" si="62"/>
        <v>#d6bf2a</v>
      </c>
    </row>
    <row r="1338" spans="1:23" x14ac:dyDescent="0.5">
      <c r="A1338" s="54">
        <v>1337</v>
      </c>
      <c r="B1338" s="90" t="s">
        <v>1206</v>
      </c>
      <c r="C1338" t="s">
        <v>132</v>
      </c>
      <c r="D1338" s="1"/>
      <c r="E1338" s="112">
        <v>1997.09</v>
      </c>
      <c r="F1338" s="112">
        <v>2020.08</v>
      </c>
      <c r="G1338" s="107" t="s">
        <v>1481</v>
      </c>
      <c r="H1338">
        <f>INDEX('GIS-Standards'!$A$2:$A$305,MATCH(B1338,'GIS-Standards'!$B$2:$B$305,0))</f>
        <v>58</v>
      </c>
      <c r="I1338" t="e">
        <f>INDEX('GIS-Standards'!$A$2:$A$305,MATCH(C1338,'GIS-Standards'!$B$2:$B$305,0))</f>
        <v>#N/A</v>
      </c>
      <c r="J1338" t="str">
        <f>INDEX('GIS-Standards'!$O$2:$O$305,MATCH(B1338,'GIS-Standards'!$B$2:$B$305,0))</f>
        <v>ISO/TC 211</v>
      </c>
      <c r="K1338" t="e">
        <f>INDEX('GIS-Standards'!$O$2:$O$305,MATCH(C1338,'GIS-Standards'!$B$2:$B$305,0))</f>
        <v>#N/A</v>
      </c>
      <c r="M1338" t="s">
        <v>525</v>
      </c>
      <c r="N1338">
        <f>INDEX('GIS-Standards'!$I$2:$I$305,MATCH(B1338,'GIS-Standards'!$B$2:$B$305,0))</f>
        <v>0</v>
      </c>
      <c r="O1338" t="e">
        <f>INDEX('GIS-Standards'!$I$2:$I$305,MATCH(C1338,'GIS-Standards'!$B$2:$B$305,0))</f>
        <v>#N/A</v>
      </c>
      <c r="P1338" t="e">
        <f>AND(TableRelationships12[[#This Row],[Source Type]]="BIM",TableRelationships12[[#This Row],[Target Type]]="BIM")</f>
        <v>#N/A</v>
      </c>
      <c r="Q1338">
        <f t="shared" si="60"/>
        <v>1</v>
      </c>
      <c r="S1338">
        <f t="shared" si="61"/>
        <v>1</v>
      </c>
      <c r="T1338" s="102" t="str">
        <f>IF(TableRelationships12[[#This Row],[Rank Pedro]]="Low","linkCategory1",IF(TableRelationships12[[#This Row],[Rank Pedro]]="Medium","linkCategory2",IF(TableRelationships12[[#This Row],[Rank Pedro]]="High","linkCategory3","")))</f>
        <v/>
      </c>
      <c r="U1338" s="102" t="str">
        <f>IF(TableRelationships12[[#This Row],[Rank Pedro]]="Low","Pink",IF(TableRelationships12[[#This Row],[Rank Pedro]]="Medium","Purple",IF(TableRelationships12[[#This Row],[Rank Pedro]]="High","Brown","")))</f>
        <v/>
      </c>
      <c r="V1338" s="4" t="e">
        <f>MAX(INDEX(Standards!$F$2:$F$296,MATCH(B1338,Standards!$B$2:$B$296,0)),INDEX(Standards!$F$2:$F$296,MATCH(C1338,Standards!$B$2:$B$296,0)))</f>
        <v>#N/A</v>
      </c>
      <c r="W1338" t="str">
        <f t="shared" si="62"/>
        <v>#2f89d1</v>
      </c>
    </row>
    <row r="1339" spans="1:23" x14ac:dyDescent="0.5">
      <c r="A1339" s="54">
        <v>1338</v>
      </c>
      <c r="B1339" s="90" t="s">
        <v>1206</v>
      </c>
      <c r="C1339" t="s">
        <v>190</v>
      </c>
      <c r="D1339" s="1"/>
      <c r="E1339" s="112">
        <v>1978.02</v>
      </c>
      <c r="F1339" s="112">
        <v>2015.08</v>
      </c>
      <c r="G1339" s="107" t="s">
        <v>1484</v>
      </c>
      <c r="H1339">
        <f>INDEX('GIS-Standards'!$A$2:$A$305,MATCH(B1339,'GIS-Standards'!$B$2:$B$305,0))</f>
        <v>58</v>
      </c>
      <c r="I1339" t="e">
        <f>INDEX('GIS-Standards'!$A$2:$A$305,MATCH(C1339,'GIS-Standards'!$B$2:$B$305,0))</f>
        <v>#N/A</v>
      </c>
      <c r="J1339" t="str">
        <f>INDEX('GIS-Standards'!$O$2:$O$305,MATCH(B1339,'GIS-Standards'!$B$2:$B$305,0))</f>
        <v>ISO/TC 211</v>
      </c>
      <c r="K1339" t="e">
        <f>INDEX('GIS-Standards'!$O$2:$O$305,MATCH(C1339,'GIS-Standards'!$B$2:$B$305,0))</f>
        <v>#N/A</v>
      </c>
      <c r="M1339" t="s">
        <v>525</v>
      </c>
      <c r="N1339">
        <f>INDEX('GIS-Standards'!$I$2:$I$305,MATCH(B1339,'GIS-Standards'!$B$2:$B$305,0))</f>
        <v>0</v>
      </c>
      <c r="O1339" t="e">
        <f>INDEX('GIS-Standards'!$I$2:$I$305,MATCH(C1339,'GIS-Standards'!$B$2:$B$305,0))</f>
        <v>#N/A</v>
      </c>
      <c r="P1339" t="e">
        <f>AND(TableRelationships12[[#This Row],[Source Type]]="BIM",TableRelationships12[[#This Row],[Target Type]]="BIM")</f>
        <v>#N/A</v>
      </c>
      <c r="Q1339">
        <f t="shared" si="60"/>
        <v>1</v>
      </c>
      <c r="S1339">
        <f t="shared" si="61"/>
        <v>1</v>
      </c>
      <c r="T1339" s="102" t="str">
        <f>IF(TableRelationships12[[#This Row],[Rank Pedro]]="Low","linkCategory1",IF(TableRelationships12[[#This Row],[Rank Pedro]]="Medium","linkCategory2",IF(TableRelationships12[[#This Row],[Rank Pedro]]="High","linkCategory3","")))</f>
        <v/>
      </c>
      <c r="U1339" s="102" t="str">
        <f>IF(TableRelationships12[[#This Row],[Rank Pedro]]="Low","Pink",IF(TableRelationships12[[#This Row],[Rank Pedro]]="Medium","Purple",IF(TableRelationships12[[#This Row],[Rank Pedro]]="High","Brown","")))</f>
        <v/>
      </c>
      <c r="V1339" s="4" t="e">
        <f>MAX(INDEX(Standards!$F$2:$F$296,MATCH(B1339,Standards!$B$2:$B$296,0)),INDEX(Standards!$F$2:$F$296,MATCH(C1339,Standards!$B$2:$B$296,0)))</f>
        <v>#N/A</v>
      </c>
      <c r="W1339" t="str">
        <f t="shared" si="62"/>
        <v>#2f89d1</v>
      </c>
    </row>
    <row r="1340" spans="1:23" x14ac:dyDescent="0.5">
      <c r="A1340" s="54">
        <v>1339</v>
      </c>
      <c r="B1340" s="90" t="s">
        <v>1206</v>
      </c>
      <c r="C1340" t="s">
        <v>192</v>
      </c>
      <c r="D1340" s="1"/>
      <c r="E1340" s="113">
        <v>1976.04</v>
      </c>
      <c r="F1340" s="113">
        <v>2022.1</v>
      </c>
      <c r="G1340" s="107" t="s">
        <v>1481</v>
      </c>
      <c r="H1340">
        <f>INDEX('GIS-Standards'!$A$2:$A$305,MATCH(B1340,'GIS-Standards'!$B$2:$B$305,0))</f>
        <v>58</v>
      </c>
      <c r="I1340" t="e">
        <f>INDEX('GIS-Standards'!$A$2:$A$305,MATCH(C1340,'GIS-Standards'!$B$2:$B$305,0))</f>
        <v>#N/A</v>
      </c>
      <c r="J1340" t="str">
        <f>INDEX('GIS-Standards'!$O$2:$O$305,MATCH(B1340,'GIS-Standards'!$B$2:$B$305,0))</f>
        <v>ISO/TC 211</v>
      </c>
      <c r="K1340" t="e">
        <f>INDEX('GIS-Standards'!$O$2:$O$305,MATCH(C1340,'GIS-Standards'!$B$2:$B$305,0))</f>
        <v>#N/A</v>
      </c>
      <c r="M1340" t="s">
        <v>525</v>
      </c>
      <c r="N1340">
        <f>INDEX('GIS-Standards'!$I$2:$I$305,MATCH(B1340,'GIS-Standards'!$B$2:$B$305,0))</f>
        <v>0</v>
      </c>
      <c r="O1340" t="e">
        <f>INDEX('GIS-Standards'!$I$2:$I$305,MATCH(C1340,'GIS-Standards'!$B$2:$B$305,0))</f>
        <v>#N/A</v>
      </c>
      <c r="P1340" t="e">
        <f>AND(TableRelationships12[[#This Row],[Source Type]]="BIM",TableRelationships12[[#This Row],[Target Type]]="BIM")</f>
        <v>#N/A</v>
      </c>
      <c r="Q1340">
        <f t="shared" si="60"/>
        <v>1</v>
      </c>
      <c r="S1340">
        <f t="shared" si="61"/>
        <v>1</v>
      </c>
      <c r="T1340" s="102" t="str">
        <f>IF(TableRelationships12[[#This Row],[Rank Pedro]]="Low","linkCategory1",IF(TableRelationships12[[#This Row],[Rank Pedro]]="Medium","linkCategory2",IF(TableRelationships12[[#This Row],[Rank Pedro]]="High","linkCategory3","")))</f>
        <v/>
      </c>
      <c r="U1340" s="102" t="str">
        <f>IF(TableRelationships12[[#This Row],[Rank Pedro]]="Low","Pink",IF(TableRelationships12[[#This Row],[Rank Pedro]]="Medium","Purple",IF(TableRelationships12[[#This Row],[Rank Pedro]]="High","Brown","")))</f>
        <v/>
      </c>
      <c r="V1340" s="4" t="e">
        <f>MAX(INDEX(Standards!$F$2:$F$296,MATCH(B1340,Standards!$B$2:$B$296,0)),INDEX(Standards!$F$2:$F$296,MATCH(C1340,Standards!$B$2:$B$296,0)))</f>
        <v>#N/A</v>
      </c>
      <c r="W1340" t="str">
        <f t="shared" si="62"/>
        <v>#2f89d1</v>
      </c>
    </row>
    <row r="1341" spans="1:23" x14ac:dyDescent="0.5">
      <c r="A1341" s="54">
        <v>1340</v>
      </c>
      <c r="B1341" s="90" t="s">
        <v>1206</v>
      </c>
      <c r="C1341" t="s">
        <v>293</v>
      </c>
      <c r="D1341" s="1"/>
      <c r="E1341" s="112">
        <v>2002.07</v>
      </c>
      <c r="F1341" s="112">
        <v>2014.11</v>
      </c>
      <c r="G1341" s="107" t="s">
        <v>670</v>
      </c>
      <c r="H1341">
        <f>INDEX('GIS-Standards'!$A$2:$A$305,MATCH(B1341,'GIS-Standards'!$B$2:$B$305,0))</f>
        <v>58</v>
      </c>
      <c r="I1341">
        <f>INDEX('GIS-Standards'!$A$2:$A$305,MATCH(C1341,'GIS-Standards'!$B$2:$B$305,0))</f>
        <v>10</v>
      </c>
      <c r="J1341" t="str">
        <f>INDEX('GIS-Standards'!$O$2:$O$305,MATCH(B1341,'GIS-Standards'!$B$2:$B$305,0))</f>
        <v>ISO/TC 211</v>
      </c>
      <c r="K1341" t="str">
        <f>INDEX('GIS-Standards'!$O$2:$O$305,MATCH(C1341,'GIS-Standards'!$B$2:$B$305,0))</f>
        <v>ISO/TC 211</v>
      </c>
      <c r="M1341" t="s">
        <v>525</v>
      </c>
      <c r="N1341">
        <f>INDEX('GIS-Standards'!$I$2:$I$305,MATCH(B1341,'GIS-Standards'!$B$2:$B$305,0))</f>
        <v>0</v>
      </c>
      <c r="O1341">
        <f>INDEX('GIS-Standards'!$I$2:$I$305,MATCH(C1341,'GIS-Standards'!$B$2:$B$305,0))</f>
        <v>0</v>
      </c>
      <c r="P1341" t="b">
        <f>AND(TableRelationships12[[#This Row],[Source Type]]="BIM",TableRelationships12[[#This Row],[Target Type]]="BIM")</f>
        <v>0</v>
      </c>
      <c r="Q1341">
        <f t="shared" si="60"/>
        <v>1</v>
      </c>
      <c r="S1341">
        <f t="shared" si="61"/>
        <v>1</v>
      </c>
      <c r="T1341" s="102" t="str">
        <f>IF(TableRelationships12[[#This Row],[Rank Pedro]]="Low","linkCategory1",IF(TableRelationships12[[#This Row],[Rank Pedro]]="Medium","linkCategory2",IF(TableRelationships12[[#This Row],[Rank Pedro]]="High","linkCategory3","")))</f>
        <v/>
      </c>
      <c r="U1341" s="102" t="str">
        <f>IF(TableRelationships12[[#This Row],[Rank Pedro]]="Low","Pink",IF(TableRelationships12[[#This Row],[Rank Pedro]]="Medium","Purple",IF(TableRelationships12[[#This Row],[Rank Pedro]]="High","Brown","")))</f>
        <v/>
      </c>
      <c r="V1341" s="4" t="e">
        <f>MAX(INDEX(Standards!$F$2:$F$296,MATCH(B1341,Standards!$B$2:$B$296,0)),INDEX(Standards!$F$2:$F$296,MATCH(C1341,Standards!$B$2:$B$296,0)))</f>
        <v>#N/A</v>
      </c>
      <c r="W1341" t="str">
        <f t="shared" si="62"/>
        <v>#2f89d1</v>
      </c>
    </row>
    <row r="1342" spans="1:23" x14ac:dyDescent="0.5">
      <c r="A1342" s="54">
        <v>1341</v>
      </c>
      <c r="B1342" s="90" t="s">
        <v>1206</v>
      </c>
      <c r="C1342" t="s">
        <v>296</v>
      </c>
      <c r="D1342" s="1"/>
      <c r="E1342" s="112">
        <v>2005.07</v>
      </c>
      <c r="F1342" s="112">
        <v>2024.09</v>
      </c>
      <c r="G1342" s="107" t="s">
        <v>670</v>
      </c>
      <c r="H1342">
        <f>INDEX('GIS-Standards'!$A$2:$A$305,MATCH(B1342,'GIS-Standards'!$B$2:$B$305,0))</f>
        <v>58</v>
      </c>
      <c r="I1342">
        <f>INDEX('GIS-Standards'!$A$2:$A$305,MATCH(C1342,'GIS-Standards'!$B$2:$B$305,0))</f>
        <v>12</v>
      </c>
      <c r="J1342" t="str">
        <f>INDEX('GIS-Standards'!$O$2:$O$305,MATCH(B1342,'GIS-Standards'!$B$2:$B$305,0))</f>
        <v>ISO/TC 211</v>
      </c>
      <c r="K1342" t="str">
        <f>INDEX('GIS-Standards'!$O$2:$O$305,MATCH(C1342,'GIS-Standards'!$B$2:$B$305,0))</f>
        <v>ISO/TC 211</v>
      </c>
      <c r="M1342" t="s">
        <v>525</v>
      </c>
      <c r="N1342">
        <f>INDEX('GIS-Standards'!$I$2:$I$305,MATCH(B1342,'GIS-Standards'!$B$2:$B$305,0))</f>
        <v>0</v>
      </c>
      <c r="O1342">
        <f>INDEX('GIS-Standards'!$I$2:$I$305,MATCH(C1342,'GIS-Standards'!$B$2:$B$305,0))</f>
        <v>0</v>
      </c>
      <c r="P1342" t="b">
        <f>AND(TableRelationships12[[#This Row],[Source Type]]="BIM",TableRelationships12[[#This Row],[Target Type]]="BIM")</f>
        <v>0</v>
      </c>
      <c r="Q1342">
        <f t="shared" si="60"/>
        <v>1</v>
      </c>
      <c r="S1342">
        <f t="shared" si="61"/>
        <v>1</v>
      </c>
      <c r="T1342" s="102" t="str">
        <f>IF(TableRelationships12[[#This Row],[Rank Pedro]]="Low","linkCategory1",IF(TableRelationships12[[#This Row],[Rank Pedro]]="Medium","linkCategory2",IF(TableRelationships12[[#This Row],[Rank Pedro]]="High","linkCategory3","")))</f>
        <v/>
      </c>
      <c r="U1342" s="102" t="str">
        <f>IF(TableRelationships12[[#This Row],[Rank Pedro]]="Low","Pink",IF(TableRelationships12[[#This Row],[Rank Pedro]]="Medium","Purple",IF(TableRelationships12[[#This Row],[Rank Pedro]]="High","Brown","")))</f>
        <v/>
      </c>
      <c r="V1342" s="4" t="e">
        <f>MAX(INDEX(Standards!$F$2:$F$296,MATCH(B1342,Standards!$B$2:$B$296,0)),INDEX(Standards!$F$2:$F$296,MATCH(C1342,Standards!$B$2:$B$296,0)))</f>
        <v>#N/A</v>
      </c>
      <c r="W1342" t="str">
        <f t="shared" si="62"/>
        <v>#2f89d1</v>
      </c>
    </row>
    <row r="1343" spans="1:23" x14ac:dyDescent="0.5">
      <c r="A1343" s="54">
        <v>1342</v>
      </c>
      <c r="B1343" s="90" t="s">
        <v>1206</v>
      </c>
      <c r="C1343" t="s">
        <v>300</v>
      </c>
      <c r="D1343" s="1"/>
      <c r="E1343" s="112">
        <v>2000.12</v>
      </c>
      <c r="F1343" s="112">
        <v>2022.07</v>
      </c>
      <c r="G1343" s="107" t="s">
        <v>670</v>
      </c>
      <c r="H1343">
        <f>INDEX('GIS-Standards'!$A$2:$A$305,MATCH(B1343,'GIS-Standards'!$B$2:$B$305,0))</f>
        <v>58</v>
      </c>
      <c r="I1343">
        <f>INDEX('GIS-Standards'!$A$2:$A$305,MATCH(C1343,'GIS-Standards'!$B$2:$B$305,0))</f>
        <v>14</v>
      </c>
      <c r="J1343" t="str">
        <f>INDEX('GIS-Standards'!$O$2:$O$305,MATCH(B1343,'GIS-Standards'!$B$2:$B$305,0))</f>
        <v>ISO/TC 211</v>
      </c>
      <c r="K1343" t="str">
        <f>INDEX('GIS-Standards'!$O$2:$O$305,MATCH(C1343,'GIS-Standards'!$B$2:$B$305,0))</f>
        <v>ISO/TC 211</v>
      </c>
      <c r="M1343" t="s">
        <v>525</v>
      </c>
      <c r="N1343">
        <f>INDEX('GIS-Standards'!$I$2:$I$305,MATCH(B1343,'GIS-Standards'!$B$2:$B$305,0))</f>
        <v>0</v>
      </c>
      <c r="O1343">
        <f>INDEX('GIS-Standards'!$I$2:$I$305,MATCH(C1343,'GIS-Standards'!$B$2:$B$305,0))</f>
        <v>0</v>
      </c>
      <c r="P1343" t="b">
        <f>AND(TableRelationships12[[#This Row],[Source Type]]="BIM",TableRelationships12[[#This Row],[Target Type]]="BIM")</f>
        <v>0</v>
      </c>
      <c r="Q1343">
        <f t="shared" si="60"/>
        <v>1</v>
      </c>
      <c r="S1343">
        <f t="shared" si="61"/>
        <v>1</v>
      </c>
      <c r="T1343" s="102" t="str">
        <f>IF(TableRelationships12[[#This Row],[Rank Pedro]]="Low","linkCategory1",IF(TableRelationships12[[#This Row],[Rank Pedro]]="Medium","linkCategory2",IF(TableRelationships12[[#This Row],[Rank Pedro]]="High","linkCategory3","")))</f>
        <v/>
      </c>
      <c r="U1343" s="102" t="str">
        <f>IF(TableRelationships12[[#This Row],[Rank Pedro]]="Low","Pink",IF(TableRelationships12[[#This Row],[Rank Pedro]]="Medium","Purple",IF(TableRelationships12[[#This Row],[Rank Pedro]]="High","Brown","")))</f>
        <v/>
      </c>
      <c r="V1343" s="4" t="e">
        <f>MAX(INDEX(Standards!$F$2:$F$296,MATCH(B1343,Standards!$B$2:$B$296,0)),INDEX(Standards!$F$2:$F$296,MATCH(C1343,Standards!$B$2:$B$296,0)))</f>
        <v>#N/A</v>
      </c>
      <c r="W1343" t="str">
        <f t="shared" si="62"/>
        <v>#2f89d1</v>
      </c>
    </row>
    <row r="1344" spans="1:23" x14ac:dyDescent="0.5">
      <c r="A1344" s="54">
        <v>1343</v>
      </c>
      <c r="B1344" s="90" t="s">
        <v>1206</v>
      </c>
      <c r="C1344" t="s">
        <v>1040</v>
      </c>
      <c r="D1344" s="1"/>
      <c r="E1344" s="112">
        <v>2004.07</v>
      </c>
      <c r="F1344" s="112">
        <v>2004.07</v>
      </c>
      <c r="G1344" s="107" t="s">
        <v>670</v>
      </c>
      <c r="H1344">
        <f>INDEX('GIS-Standards'!$A$2:$A$305,MATCH(B1344,'GIS-Standards'!$B$2:$B$305,0))</f>
        <v>58</v>
      </c>
      <c r="I1344">
        <f>INDEX('GIS-Standards'!$A$2:$A$305,MATCH(C1344,'GIS-Standards'!$B$2:$B$305,0))</f>
        <v>15</v>
      </c>
      <c r="J1344" t="str">
        <f>INDEX('GIS-Standards'!$O$2:$O$305,MATCH(B1344,'GIS-Standards'!$B$2:$B$305,0))</f>
        <v>ISO/TC 211</v>
      </c>
      <c r="K1344" t="str">
        <f>INDEX('GIS-Standards'!$O$2:$O$305,MATCH(C1344,'GIS-Standards'!$B$2:$B$305,0))</f>
        <v>ISO/TC 211</v>
      </c>
      <c r="M1344" t="s">
        <v>525</v>
      </c>
      <c r="N1344">
        <f>INDEX('GIS-Standards'!$I$2:$I$305,MATCH(B1344,'GIS-Standards'!$B$2:$B$305,0))</f>
        <v>0</v>
      </c>
      <c r="O1344">
        <f>INDEX('GIS-Standards'!$I$2:$I$305,MATCH(C1344,'GIS-Standards'!$B$2:$B$305,0))</f>
        <v>0</v>
      </c>
      <c r="P1344" t="b">
        <f>AND(TableRelationships12[[#This Row],[Source Type]]="BIM",TableRelationships12[[#This Row],[Target Type]]="BIM")</f>
        <v>0</v>
      </c>
      <c r="Q1344">
        <f t="shared" si="60"/>
        <v>1</v>
      </c>
      <c r="S1344">
        <f t="shared" si="61"/>
        <v>1</v>
      </c>
      <c r="T1344" s="102" t="str">
        <f>IF(TableRelationships12[[#This Row],[Rank Pedro]]="Low","linkCategory1",IF(TableRelationships12[[#This Row],[Rank Pedro]]="Medium","linkCategory2",IF(TableRelationships12[[#This Row],[Rank Pedro]]="High","linkCategory3","")))</f>
        <v/>
      </c>
      <c r="U1344" s="102" t="str">
        <f>IF(TableRelationships12[[#This Row],[Rank Pedro]]="Low","Pink",IF(TableRelationships12[[#This Row],[Rank Pedro]]="Medium","Purple",IF(TableRelationships12[[#This Row],[Rank Pedro]]="High","Brown","")))</f>
        <v/>
      </c>
      <c r="V1344" s="4" t="e">
        <f>MAX(INDEX(Standards!$F$2:$F$296,MATCH(B1344,Standards!$B$2:$B$296,0)),INDEX(Standards!$F$2:$F$296,MATCH(C1344,Standards!$B$2:$B$296,0)))</f>
        <v>#N/A</v>
      </c>
      <c r="W1344" t="str">
        <f t="shared" si="62"/>
        <v>#2f89d1</v>
      </c>
    </row>
    <row r="1345" spans="1:23" x14ac:dyDescent="0.5">
      <c r="A1345" s="54">
        <v>1344</v>
      </c>
      <c r="B1345" s="90" t="s">
        <v>1206</v>
      </c>
      <c r="C1345" t="s">
        <v>302</v>
      </c>
      <c r="D1345" s="1"/>
      <c r="E1345" s="112">
        <v>2003.05</v>
      </c>
      <c r="F1345" s="112">
        <v>2019.12</v>
      </c>
      <c r="G1345" s="107" t="s">
        <v>670</v>
      </c>
      <c r="H1345">
        <f>INDEX('GIS-Standards'!$A$2:$A$305,MATCH(B1345,'GIS-Standards'!$B$2:$B$305,0))</f>
        <v>58</v>
      </c>
      <c r="I1345">
        <f>INDEX('GIS-Standards'!$A$2:$A$305,MATCH(C1345,'GIS-Standards'!$B$2:$B$305,0))</f>
        <v>16</v>
      </c>
      <c r="J1345" t="str">
        <f>INDEX('GIS-Standards'!$O$2:$O$305,MATCH(B1345,'GIS-Standards'!$B$2:$B$305,0))</f>
        <v>ISO/TC 211</v>
      </c>
      <c r="K1345" t="str">
        <f>INDEX('GIS-Standards'!$O$2:$O$305,MATCH(C1345,'GIS-Standards'!$B$2:$B$305,0))</f>
        <v>ISO/TC 211</v>
      </c>
      <c r="M1345" t="s">
        <v>525</v>
      </c>
      <c r="N1345">
        <f>INDEX('GIS-Standards'!$I$2:$I$305,MATCH(B1345,'GIS-Standards'!$B$2:$B$305,0))</f>
        <v>0</v>
      </c>
      <c r="O1345">
        <f>INDEX('GIS-Standards'!$I$2:$I$305,MATCH(C1345,'GIS-Standards'!$B$2:$B$305,0))</f>
        <v>0</v>
      </c>
      <c r="P1345" t="b">
        <f>AND(TableRelationships12[[#This Row],[Source Type]]="BIM",TableRelationships12[[#This Row],[Target Type]]="BIM")</f>
        <v>0</v>
      </c>
      <c r="Q1345">
        <f t="shared" si="60"/>
        <v>1</v>
      </c>
      <c r="S1345">
        <f t="shared" si="61"/>
        <v>1</v>
      </c>
      <c r="T1345" s="102" t="str">
        <f>IF(TableRelationships12[[#This Row],[Rank Pedro]]="Low","linkCategory1",IF(TableRelationships12[[#This Row],[Rank Pedro]]="Medium","linkCategory2",IF(TableRelationships12[[#This Row],[Rank Pedro]]="High","linkCategory3","")))</f>
        <v/>
      </c>
      <c r="U1345" s="102" t="str">
        <f>IF(TableRelationships12[[#This Row],[Rank Pedro]]="Low","Pink",IF(TableRelationships12[[#This Row],[Rank Pedro]]="Medium","Purple",IF(TableRelationships12[[#This Row],[Rank Pedro]]="High","Brown","")))</f>
        <v/>
      </c>
      <c r="V1345" s="4" t="e">
        <f>MAX(INDEX(Standards!$F$2:$F$296,MATCH(B1345,Standards!$B$2:$B$296,0)),INDEX(Standards!$F$2:$F$296,MATCH(C1345,Standards!$B$2:$B$296,0)))</f>
        <v>#N/A</v>
      </c>
      <c r="W1345" t="str">
        <f t="shared" si="62"/>
        <v>#2f89d1</v>
      </c>
    </row>
    <row r="1346" spans="1:23" x14ac:dyDescent="0.5">
      <c r="A1346" s="54">
        <v>1345</v>
      </c>
      <c r="B1346" s="90" t="s">
        <v>1206</v>
      </c>
      <c r="C1346" t="s">
        <v>306</v>
      </c>
      <c r="D1346" s="1"/>
      <c r="E1346" s="112">
        <v>2005.06</v>
      </c>
      <c r="F1346" s="112">
        <v>2025.07</v>
      </c>
      <c r="G1346" s="107" t="s">
        <v>670</v>
      </c>
      <c r="H1346">
        <f>INDEX('GIS-Standards'!$A$2:$A$305,MATCH(B1346,'GIS-Standards'!$B$2:$B$305,0))</f>
        <v>58</v>
      </c>
      <c r="I1346">
        <f>INDEX('GIS-Standards'!$A$2:$A$305,MATCH(C1346,'GIS-Standards'!$B$2:$B$305,0))</f>
        <v>18</v>
      </c>
      <c r="J1346" t="str">
        <f>INDEX('GIS-Standards'!$O$2:$O$305,MATCH(B1346,'GIS-Standards'!$B$2:$B$305,0))</f>
        <v>ISO/TC 211</v>
      </c>
      <c r="K1346" t="str">
        <f>INDEX('GIS-Standards'!$O$2:$O$305,MATCH(C1346,'GIS-Standards'!$B$2:$B$305,0))</f>
        <v>ISO/TC 211</v>
      </c>
      <c r="M1346" t="s">
        <v>525</v>
      </c>
      <c r="N1346">
        <f>INDEX('GIS-Standards'!$I$2:$I$305,MATCH(B1346,'GIS-Standards'!$B$2:$B$305,0))</f>
        <v>0</v>
      </c>
      <c r="O1346">
        <f>INDEX('GIS-Standards'!$I$2:$I$305,MATCH(C1346,'GIS-Standards'!$B$2:$B$305,0))</f>
        <v>0</v>
      </c>
      <c r="P1346" t="b">
        <f>AND(TableRelationships12[[#This Row],[Source Type]]="BIM",TableRelationships12[[#This Row],[Target Type]]="BIM")</f>
        <v>0</v>
      </c>
      <c r="Q1346">
        <f t="shared" ref="Q1346:Q1409" si="63">IF(M1346="Normative",6,IF(M1346="Secondary",4,IF(M1346="Anchor",2,1)))</f>
        <v>1</v>
      </c>
      <c r="S1346">
        <f t="shared" ref="S1346:S1409" si="64">IF(R1346="High",10,IF(R1346="Medium",6,IF(R1346="Low",2,1)))</f>
        <v>1</v>
      </c>
      <c r="T1346" s="102" t="str">
        <f>IF(TableRelationships12[[#This Row],[Rank Pedro]]="Low","linkCategory1",IF(TableRelationships12[[#This Row],[Rank Pedro]]="Medium","linkCategory2",IF(TableRelationships12[[#This Row],[Rank Pedro]]="High","linkCategory3","")))</f>
        <v/>
      </c>
      <c r="U1346" s="102" t="str">
        <f>IF(TableRelationships12[[#This Row],[Rank Pedro]]="Low","Pink",IF(TableRelationships12[[#This Row],[Rank Pedro]]="Medium","Purple",IF(TableRelationships12[[#This Row],[Rank Pedro]]="High","Brown","")))</f>
        <v/>
      </c>
      <c r="V1346" s="4" t="e">
        <f>MAX(INDEX(Standards!$F$2:$F$296,MATCH(B1346,Standards!$B$2:$B$296,0)),INDEX(Standards!$F$2:$F$296,MATCH(C1346,Standards!$B$2:$B$296,0)))</f>
        <v>#N/A</v>
      </c>
      <c r="W1346" t="str">
        <f t="shared" ref="W1346:W1409" si="65">IF(M1346="Normative", "#d6bf2a", IF(M1346="Informative", "#2f89d1", 1))</f>
        <v>#2f89d1</v>
      </c>
    </row>
    <row r="1347" spans="1:23" x14ac:dyDescent="0.5">
      <c r="A1347" s="54">
        <v>1346</v>
      </c>
      <c r="B1347" s="90" t="s">
        <v>1206</v>
      </c>
      <c r="C1347" t="s">
        <v>308</v>
      </c>
      <c r="D1347" s="1"/>
      <c r="E1347" s="112">
        <v>2005.02</v>
      </c>
      <c r="F1347" s="112">
        <v>2016.12</v>
      </c>
      <c r="G1347" s="107" t="s">
        <v>670</v>
      </c>
      <c r="H1347">
        <f>INDEX('GIS-Standards'!$A$2:$A$305,MATCH(B1347,'GIS-Standards'!$B$2:$B$305,0))</f>
        <v>58</v>
      </c>
      <c r="I1347">
        <f>INDEX('GIS-Standards'!$A$2:$A$305,MATCH(C1347,'GIS-Standards'!$B$2:$B$305,0))</f>
        <v>19</v>
      </c>
      <c r="J1347" t="str">
        <f>INDEX('GIS-Standards'!$O$2:$O$305,MATCH(B1347,'GIS-Standards'!$B$2:$B$305,0))</f>
        <v>ISO/TC 211</v>
      </c>
      <c r="K1347" t="str">
        <f>INDEX('GIS-Standards'!$O$2:$O$305,MATCH(C1347,'GIS-Standards'!$B$2:$B$305,0))</f>
        <v>ISO/TC 211</v>
      </c>
      <c r="M1347" t="s">
        <v>525</v>
      </c>
      <c r="N1347">
        <f>INDEX('GIS-Standards'!$I$2:$I$305,MATCH(B1347,'GIS-Standards'!$B$2:$B$305,0))</f>
        <v>0</v>
      </c>
      <c r="O1347">
        <f>INDEX('GIS-Standards'!$I$2:$I$305,MATCH(C1347,'GIS-Standards'!$B$2:$B$305,0))</f>
        <v>0</v>
      </c>
      <c r="P1347" t="b">
        <f>AND(TableRelationships12[[#This Row],[Source Type]]="BIM",TableRelationships12[[#This Row],[Target Type]]="BIM")</f>
        <v>0</v>
      </c>
      <c r="Q1347">
        <f t="shared" si="63"/>
        <v>1</v>
      </c>
      <c r="S1347">
        <f t="shared" si="64"/>
        <v>1</v>
      </c>
      <c r="T1347" s="102" t="str">
        <f>IF(TableRelationships12[[#This Row],[Rank Pedro]]="Low","linkCategory1",IF(TableRelationships12[[#This Row],[Rank Pedro]]="Medium","linkCategory2",IF(TableRelationships12[[#This Row],[Rank Pedro]]="High","linkCategory3","")))</f>
        <v/>
      </c>
      <c r="U1347" s="102" t="str">
        <f>IF(TableRelationships12[[#This Row],[Rank Pedro]]="Low","Pink",IF(TableRelationships12[[#This Row],[Rank Pedro]]="Medium","Purple",IF(TableRelationships12[[#This Row],[Rank Pedro]]="High","Brown","")))</f>
        <v/>
      </c>
      <c r="V1347" s="4" t="e">
        <f>MAX(INDEX(Standards!$F$2:$F$296,MATCH(B1347,Standards!$B$2:$B$296,0)),INDEX(Standards!$F$2:$F$296,MATCH(C1347,Standards!$B$2:$B$296,0)))</f>
        <v>#N/A</v>
      </c>
      <c r="W1347" t="str">
        <f t="shared" si="65"/>
        <v>#2f89d1</v>
      </c>
    </row>
    <row r="1348" spans="1:23" x14ac:dyDescent="0.5">
      <c r="A1348" s="54">
        <v>1347</v>
      </c>
      <c r="B1348" s="90" t="s">
        <v>1206</v>
      </c>
      <c r="C1348" t="s">
        <v>310</v>
      </c>
      <c r="D1348" s="1"/>
      <c r="E1348" s="112">
        <v>2003.02</v>
      </c>
      <c r="F1348" s="112">
        <v>2023.08</v>
      </c>
      <c r="G1348" s="107" t="s">
        <v>670</v>
      </c>
      <c r="H1348">
        <f>INDEX('GIS-Standards'!$A$2:$A$305,MATCH(B1348,'GIS-Standards'!$B$2:$B$305,0))</f>
        <v>58</v>
      </c>
      <c r="I1348">
        <f>INDEX('GIS-Standards'!$A$2:$A$305,MATCH(C1348,'GIS-Standards'!$B$2:$B$305,0))</f>
        <v>20</v>
      </c>
      <c r="J1348" t="str">
        <f>INDEX('GIS-Standards'!$O$2:$O$305,MATCH(B1348,'GIS-Standards'!$B$2:$B$305,0))</f>
        <v>ISO/TC 211</v>
      </c>
      <c r="K1348" t="str">
        <f>INDEX('GIS-Standards'!$O$2:$O$305,MATCH(C1348,'GIS-Standards'!$B$2:$B$305,0))</f>
        <v>ISO/TC 211</v>
      </c>
      <c r="M1348" t="s">
        <v>525</v>
      </c>
      <c r="N1348">
        <f>INDEX('GIS-Standards'!$I$2:$I$305,MATCH(B1348,'GIS-Standards'!$B$2:$B$305,0))</f>
        <v>0</v>
      </c>
      <c r="O1348" t="str">
        <f>INDEX('GIS-Standards'!$I$2:$I$305,MATCH(C1348,'GIS-Standards'!$B$2:$B$305,0))</f>
        <v>08.2023</v>
      </c>
      <c r="P1348" t="b">
        <f>AND(TableRelationships12[[#This Row],[Source Type]]="BIM",TableRelationships12[[#This Row],[Target Type]]="BIM")</f>
        <v>0</v>
      </c>
      <c r="Q1348">
        <f t="shared" si="63"/>
        <v>1</v>
      </c>
      <c r="S1348">
        <f t="shared" si="64"/>
        <v>1</v>
      </c>
      <c r="T1348" s="102" t="str">
        <f>IF(TableRelationships12[[#This Row],[Rank Pedro]]="Low","linkCategory1",IF(TableRelationships12[[#This Row],[Rank Pedro]]="Medium","linkCategory2",IF(TableRelationships12[[#This Row],[Rank Pedro]]="High","linkCategory3","")))</f>
        <v/>
      </c>
      <c r="U1348" s="102" t="str">
        <f>IF(TableRelationships12[[#This Row],[Rank Pedro]]="Low","Pink",IF(TableRelationships12[[#This Row],[Rank Pedro]]="Medium","Purple",IF(TableRelationships12[[#This Row],[Rank Pedro]]="High","Brown","")))</f>
        <v/>
      </c>
      <c r="V1348" s="4" t="e">
        <f>MAX(INDEX(Standards!$F$2:$F$296,MATCH(B1348,Standards!$B$2:$B$296,0)),INDEX(Standards!$F$2:$F$296,MATCH(C1348,Standards!$B$2:$B$296,0)))</f>
        <v>#N/A</v>
      </c>
      <c r="W1348" t="str">
        <f t="shared" si="65"/>
        <v>#2f89d1</v>
      </c>
    </row>
    <row r="1349" spans="1:23" x14ac:dyDescent="0.5">
      <c r="A1349" s="54">
        <v>1348</v>
      </c>
      <c r="B1349" s="90" t="s">
        <v>1206</v>
      </c>
      <c r="C1349" t="s">
        <v>314</v>
      </c>
      <c r="D1349" s="1"/>
      <c r="E1349" s="112">
        <v>2003.05</v>
      </c>
      <c r="F1349" s="112">
        <v>2020.11</v>
      </c>
      <c r="G1349" s="107" t="s">
        <v>670</v>
      </c>
      <c r="H1349">
        <f>INDEX('GIS-Standards'!$A$2:$A$305,MATCH(B1349,'GIS-Standards'!$B$2:$B$305,0))</f>
        <v>58</v>
      </c>
      <c r="I1349">
        <f>INDEX('GIS-Standards'!$A$2:$A$305,MATCH(C1349,'GIS-Standards'!$B$2:$B$305,0))</f>
        <v>22</v>
      </c>
      <c r="J1349" t="str">
        <f>INDEX('GIS-Standards'!$O$2:$O$305,MATCH(B1349,'GIS-Standards'!$B$2:$B$305,0))</f>
        <v>ISO/TC 211</v>
      </c>
      <c r="K1349" t="str">
        <f>INDEX('GIS-Standards'!$O$2:$O$305,MATCH(C1349,'GIS-Standards'!$B$2:$B$305,0))</f>
        <v>ISO/TC 211</v>
      </c>
      <c r="M1349" t="s">
        <v>525</v>
      </c>
      <c r="N1349">
        <f>INDEX('GIS-Standards'!$I$2:$I$305,MATCH(B1349,'GIS-Standards'!$B$2:$B$305,0))</f>
        <v>0</v>
      </c>
      <c r="O1349" t="str">
        <f>INDEX('GIS-Standards'!$I$2:$I$305,MATCH(C1349,'GIS-Standards'!$B$2:$B$305,0))</f>
        <v>12.2020</v>
      </c>
      <c r="P1349" t="b">
        <f>AND(TableRelationships12[[#This Row],[Source Type]]="BIM",TableRelationships12[[#This Row],[Target Type]]="BIM")</f>
        <v>0</v>
      </c>
      <c r="Q1349">
        <f t="shared" si="63"/>
        <v>1</v>
      </c>
      <c r="S1349">
        <f t="shared" si="64"/>
        <v>1</v>
      </c>
      <c r="T1349" s="102" t="str">
        <f>IF(TableRelationships12[[#This Row],[Rank Pedro]]="Low","linkCategory1",IF(TableRelationships12[[#This Row],[Rank Pedro]]="Medium","linkCategory2",IF(TableRelationships12[[#This Row],[Rank Pedro]]="High","linkCategory3","")))</f>
        <v/>
      </c>
      <c r="U1349" s="102" t="str">
        <f>IF(TableRelationships12[[#This Row],[Rank Pedro]]="Low","Pink",IF(TableRelationships12[[#This Row],[Rank Pedro]]="Medium","Purple",IF(TableRelationships12[[#This Row],[Rank Pedro]]="High","Brown","")))</f>
        <v/>
      </c>
      <c r="V1349" s="4" t="e">
        <f>MAX(INDEX(Standards!$F$2:$F$296,MATCH(B1349,Standards!$B$2:$B$296,0)),INDEX(Standards!$F$2:$F$296,MATCH(C1349,Standards!$B$2:$B$296,0)))</f>
        <v>#N/A</v>
      </c>
      <c r="W1349" t="str">
        <f t="shared" si="65"/>
        <v>#2f89d1</v>
      </c>
    </row>
    <row r="1350" spans="1:23" x14ac:dyDescent="0.5">
      <c r="A1350" s="54">
        <v>1349</v>
      </c>
      <c r="B1350" s="90" t="s">
        <v>1206</v>
      </c>
      <c r="C1350" t="s">
        <v>322</v>
      </c>
      <c r="D1350" s="1"/>
      <c r="E1350" s="112">
        <v>2009.11</v>
      </c>
      <c r="F1350" s="112">
        <v>2021.05</v>
      </c>
      <c r="G1350" s="107" t="s">
        <v>670</v>
      </c>
      <c r="H1350">
        <f>INDEX('GIS-Standards'!$A$2:$A$305,MATCH(B1350,'GIS-Standards'!$B$2:$B$305,0))</f>
        <v>58</v>
      </c>
      <c r="I1350">
        <f>INDEX('GIS-Standards'!$A$2:$A$305,MATCH(C1350,'GIS-Standards'!$B$2:$B$305,0))</f>
        <v>33</v>
      </c>
      <c r="J1350" t="str">
        <f>INDEX('GIS-Standards'!$O$2:$O$305,MATCH(B1350,'GIS-Standards'!$B$2:$B$305,0))</f>
        <v>ISO/TC 211</v>
      </c>
      <c r="K1350" t="str">
        <f>INDEX('GIS-Standards'!$O$2:$O$305,MATCH(C1350,'GIS-Standards'!$B$2:$B$305,0))</f>
        <v>ISO/TC 211</v>
      </c>
      <c r="M1350" t="s">
        <v>525</v>
      </c>
      <c r="N1350">
        <f>INDEX('GIS-Standards'!$I$2:$I$305,MATCH(B1350,'GIS-Standards'!$B$2:$B$305,0))</f>
        <v>0</v>
      </c>
      <c r="O1350">
        <f>INDEX('GIS-Standards'!$I$2:$I$305,MATCH(C1350,'GIS-Standards'!$B$2:$B$305,0))</f>
        <v>0</v>
      </c>
      <c r="P1350" t="b">
        <f>AND(TableRelationships12[[#This Row],[Source Type]]="BIM",TableRelationships12[[#This Row],[Target Type]]="BIM")</f>
        <v>0</v>
      </c>
      <c r="Q1350">
        <f t="shared" si="63"/>
        <v>1</v>
      </c>
      <c r="S1350">
        <f t="shared" si="64"/>
        <v>1</v>
      </c>
      <c r="T1350" s="102" t="str">
        <f>IF(TableRelationships12[[#This Row],[Rank Pedro]]="Low","linkCategory1",IF(TableRelationships12[[#This Row],[Rank Pedro]]="Medium","linkCategory2",IF(TableRelationships12[[#This Row],[Rank Pedro]]="High","linkCategory3","")))</f>
        <v/>
      </c>
      <c r="U1350" s="102" t="str">
        <f>IF(TableRelationships12[[#This Row],[Rank Pedro]]="Low","Pink",IF(TableRelationships12[[#This Row],[Rank Pedro]]="Medium","Purple",IF(TableRelationships12[[#This Row],[Rank Pedro]]="High","Brown","")))</f>
        <v/>
      </c>
      <c r="V1350" s="4" t="e">
        <f>MAX(INDEX(Standards!$F$2:$F$296,MATCH(B1350,Standards!$B$2:$B$296,0)),INDEX(Standards!$F$2:$F$296,MATCH(C1350,Standards!$B$2:$B$296,0)))</f>
        <v>#N/A</v>
      </c>
      <c r="W1350" t="str">
        <f t="shared" si="65"/>
        <v>#2f89d1</v>
      </c>
    </row>
    <row r="1351" spans="1:23" x14ac:dyDescent="0.5">
      <c r="A1351" s="54">
        <v>1350</v>
      </c>
      <c r="B1351" s="90" t="s">
        <v>1206</v>
      </c>
      <c r="C1351" t="s">
        <v>328</v>
      </c>
      <c r="D1351" s="1"/>
      <c r="E1351" s="112">
        <v>2007.04</v>
      </c>
      <c r="F1351" s="112">
        <v>2022.11</v>
      </c>
      <c r="G1351" s="107" t="s">
        <v>670</v>
      </c>
      <c r="H1351">
        <f>INDEX('GIS-Standards'!$A$2:$A$305,MATCH(B1351,'GIS-Standards'!$B$2:$B$305,0))</f>
        <v>58</v>
      </c>
      <c r="I1351">
        <f>INDEX('GIS-Standards'!$A$2:$A$305,MATCH(C1351,'GIS-Standards'!$B$2:$B$305,0))</f>
        <v>37</v>
      </c>
      <c r="J1351" t="str">
        <f>INDEX('GIS-Standards'!$O$2:$O$305,MATCH(B1351,'GIS-Standards'!$B$2:$B$305,0))</f>
        <v>ISO/TC 211</v>
      </c>
      <c r="K1351" t="str">
        <f>INDEX('GIS-Standards'!$O$2:$O$305,MATCH(C1351,'GIS-Standards'!$B$2:$B$305,0))</f>
        <v>ISO/TC 211</v>
      </c>
      <c r="M1351" t="s">
        <v>525</v>
      </c>
      <c r="N1351">
        <f>INDEX('GIS-Standards'!$I$2:$I$305,MATCH(B1351,'GIS-Standards'!$B$2:$B$305,0))</f>
        <v>0</v>
      </c>
      <c r="O1351">
        <f>INDEX('GIS-Standards'!$I$2:$I$305,MATCH(C1351,'GIS-Standards'!$B$2:$B$305,0))</f>
        <v>0</v>
      </c>
      <c r="P1351" t="b">
        <f>AND(TableRelationships12[[#This Row],[Source Type]]="BIM",TableRelationships12[[#This Row],[Target Type]]="BIM")</f>
        <v>0</v>
      </c>
      <c r="Q1351">
        <f t="shared" si="63"/>
        <v>1</v>
      </c>
      <c r="S1351">
        <f t="shared" si="64"/>
        <v>1</v>
      </c>
      <c r="T1351" s="102" t="str">
        <f>IF(TableRelationships12[[#This Row],[Rank Pedro]]="Low","linkCategory1",IF(TableRelationships12[[#This Row],[Rank Pedro]]="Medium","linkCategory2",IF(TableRelationships12[[#This Row],[Rank Pedro]]="High","linkCategory3","")))</f>
        <v/>
      </c>
      <c r="U1351" s="102" t="str">
        <f>IF(TableRelationships12[[#This Row],[Rank Pedro]]="Low","Pink",IF(TableRelationships12[[#This Row],[Rank Pedro]]="Medium","Purple",IF(TableRelationships12[[#This Row],[Rank Pedro]]="High","Brown","")))</f>
        <v/>
      </c>
      <c r="V1351" s="4" t="e">
        <f>MAX(INDEX(Standards!$F$2:$F$296,MATCH(B1351,Standards!$B$2:$B$296,0)),INDEX(Standards!$F$2:$F$296,MATCH(C1351,Standards!$B$2:$B$296,0)))</f>
        <v>#N/A</v>
      </c>
      <c r="W1351" t="str">
        <f t="shared" si="65"/>
        <v>#2f89d1</v>
      </c>
    </row>
    <row r="1352" spans="1:23" x14ac:dyDescent="0.5">
      <c r="A1352" s="54">
        <v>1351</v>
      </c>
      <c r="B1352" s="90" t="s">
        <v>1206</v>
      </c>
      <c r="C1352" t="s">
        <v>1048</v>
      </c>
      <c r="D1352" s="1"/>
      <c r="E1352" s="112">
        <v>2005.1</v>
      </c>
      <c r="F1352" s="112">
        <v>2021.02</v>
      </c>
      <c r="G1352" s="107" t="s">
        <v>670</v>
      </c>
      <c r="H1352">
        <f>INDEX('GIS-Standards'!$A$2:$A$305,MATCH(B1352,'GIS-Standards'!$B$2:$B$305,0))</f>
        <v>58</v>
      </c>
      <c r="I1352">
        <f>INDEX('GIS-Standards'!$A$2:$A$305,MATCH(C1352,'GIS-Standards'!$B$2:$B$305,0))</f>
        <v>41</v>
      </c>
      <c r="J1352" t="str">
        <f>INDEX('GIS-Standards'!$O$2:$O$305,MATCH(B1352,'GIS-Standards'!$B$2:$B$305,0))</f>
        <v>ISO/TC 211</v>
      </c>
      <c r="K1352" t="str">
        <f>INDEX('GIS-Standards'!$O$2:$O$305,MATCH(C1352,'GIS-Standards'!$B$2:$B$305,0))</f>
        <v>ISO/TC 211</v>
      </c>
      <c r="M1352" t="s">
        <v>525</v>
      </c>
      <c r="N1352">
        <f>INDEX('GIS-Standards'!$I$2:$I$305,MATCH(B1352,'GIS-Standards'!$B$2:$B$305,0))</f>
        <v>0</v>
      </c>
      <c r="O1352" t="str">
        <f>INDEX('GIS-Standards'!$I$2:$I$305,MATCH(C1352,'GIS-Standards'!$B$2:$B$305,0))</f>
        <v>03.2021</v>
      </c>
      <c r="P1352" t="b">
        <f>AND(TableRelationships12[[#This Row],[Source Type]]="BIM",TableRelationships12[[#This Row],[Target Type]]="BIM")</f>
        <v>0</v>
      </c>
      <c r="Q1352">
        <f t="shared" si="63"/>
        <v>1</v>
      </c>
      <c r="S1352">
        <f t="shared" si="64"/>
        <v>1</v>
      </c>
      <c r="T1352" s="102" t="str">
        <f>IF(TableRelationships12[[#This Row],[Rank Pedro]]="Low","linkCategory1",IF(TableRelationships12[[#This Row],[Rank Pedro]]="Medium","linkCategory2",IF(TableRelationships12[[#This Row],[Rank Pedro]]="High","linkCategory3","")))</f>
        <v/>
      </c>
      <c r="U1352" s="102" t="str">
        <f>IF(TableRelationships12[[#This Row],[Rank Pedro]]="Low","Pink",IF(TableRelationships12[[#This Row],[Rank Pedro]]="Medium","Purple",IF(TableRelationships12[[#This Row],[Rank Pedro]]="High","Brown","")))</f>
        <v/>
      </c>
      <c r="V1352" s="4" t="e">
        <f>MAX(INDEX(Standards!$F$2:$F$296,MATCH(B1352,Standards!$B$2:$B$296,0)),INDEX(Standards!$F$2:$F$296,MATCH(C1352,Standards!$B$2:$B$296,0)))</f>
        <v>#N/A</v>
      </c>
      <c r="W1352" t="str">
        <f t="shared" si="65"/>
        <v>#2f89d1</v>
      </c>
    </row>
    <row r="1353" spans="1:23" x14ac:dyDescent="0.5">
      <c r="A1353" s="54">
        <v>1352</v>
      </c>
      <c r="B1353" s="90" t="s">
        <v>1206</v>
      </c>
      <c r="C1353" t="s">
        <v>1038</v>
      </c>
      <c r="D1353" s="1"/>
      <c r="E1353" s="112">
        <v>2012.07</v>
      </c>
      <c r="F1353" s="112">
        <v>2023.12</v>
      </c>
      <c r="G1353" s="107" t="s">
        <v>670</v>
      </c>
      <c r="H1353">
        <f>INDEX('GIS-Standards'!$A$2:$A$305,MATCH(B1353,'GIS-Standards'!$B$2:$B$305,0))</f>
        <v>58</v>
      </c>
      <c r="I1353">
        <f>INDEX('GIS-Standards'!$A$2:$A$305,MATCH(C1353,'GIS-Standards'!$B$2:$B$305,0))</f>
        <v>49</v>
      </c>
      <c r="J1353" t="str">
        <f>INDEX('GIS-Standards'!$O$2:$O$305,MATCH(B1353,'GIS-Standards'!$B$2:$B$305,0))</f>
        <v>ISO/TC 211</v>
      </c>
      <c r="K1353" t="str">
        <f>INDEX('GIS-Standards'!$O$2:$O$305,MATCH(C1353,'GIS-Standards'!$B$2:$B$305,0))</f>
        <v>ISO/TC 211</v>
      </c>
      <c r="M1353" t="s">
        <v>525</v>
      </c>
      <c r="N1353">
        <f>INDEX('GIS-Standards'!$I$2:$I$305,MATCH(B1353,'GIS-Standards'!$B$2:$B$305,0))</f>
        <v>0</v>
      </c>
      <c r="O1353">
        <f>INDEX('GIS-Standards'!$I$2:$I$305,MATCH(C1353,'GIS-Standards'!$B$2:$B$305,0))</f>
        <v>0</v>
      </c>
      <c r="P1353" t="b">
        <f>AND(TableRelationships12[[#This Row],[Source Type]]="BIM",TableRelationships12[[#This Row],[Target Type]]="BIM")</f>
        <v>0</v>
      </c>
      <c r="Q1353">
        <f t="shared" si="63"/>
        <v>1</v>
      </c>
      <c r="S1353">
        <f t="shared" si="64"/>
        <v>1</v>
      </c>
      <c r="T1353" s="102" t="str">
        <f>IF(TableRelationships12[[#This Row],[Rank Pedro]]="Low","linkCategory1",IF(TableRelationships12[[#This Row],[Rank Pedro]]="Medium","linkCategory2",IF(TableRelationships12[[#This Row],[Rank Pedro]]="High","linkCategory3","")))</f>
        <v/>
      </c>
      <c r="U1353" s="102" t="str">
        <f>IF(TableRelationships12[[#This Row],[Rank Pedro]]="Low","Pink",IF(TableRelationships12[[#This Row],[Rank Pedro]]="Medium","Purple",IF(TableRelationships12[[#This Row],[Rank Pedro]]="High","Brown","")))</f>
        <v/>
      </c>
      <c r="V1353" s="4" t="e">
        <f>MAX(INDEX(Standards!$F$2:$F$296,MATCH(B1353,Standards!$B$2:$B$296,0)),INDEX(Standards!$F$2:$F$296,MATCH(C1353,Standards!$B$2:$B$296,0)))</f>
        <v>#N/A</v>
      </c>
      <c r="W1353" t="str">
        <f t="shared" si="65"/>
        <v>#2f89d1</v>
      </c>
    </row>
    <row r="1354" spans="1:23" x14ac:dyDescent="0.5">
      <c r="A1354" s="54">
        <v>1353</v>
      </c>
      <c r="B1354" s="90" t="s">
        <v>1206</v>
      </c>
      <c r="C1354" t="s">
        <v>346</v>
      </c>
      <c r="D1354" s="1"/>
      <c r="E1354" s="112">
        <v>2015.07</v>
      </c>
      <c r="F1354" s="112">
        <v>2019.01</v>
      </c>
      <c r="G1354" s="107" t="s">
        <v>670</v>
      </c>
      <c r="H1354">
        <f>INDEX('GIS-Standards'!$A$2:$A$305,MATCH(B1354,'GIS-Standards'!$B$2:$B$305,0))</f>
        <v>58</v>
      </c>
      <c r="I1354">
        <f>INDEX('GIS-Standards'!$A$2:$A$305,MATCH(C1354,'GIS-Standards'!$B$2:$B$305,0))</f>
        <v>54</v>
      </c>
      <c r="J1354" t="str">
        <f>INDEX('GIS-Standards'!$O$2:$O$305,MATCH(B1354,'GIS-Standards'!$B$2:$B$305,0))</f>
        <v>ISO/TC 211</v>
      </c>
      <c r="K1354" t="str">
        <f>INDEX('GIS-Standards'!$O$2:$O$305,MATCH(C1354,'GIS-Standards'!$B$2:$B$305,0))</f>
        <v>ISO/TC 211</v>
      </c>
      <c r="M1354" t="s">
        <v>525</v>
      </c>
      <c r="N1354">
        <f>INDEX('GIS-Standards'!$I$2:$I$305,MATCH(B1354,'GIS-Standards'!$B$2:$B$305,0))</f>
        <v>0</v>
      </c>
      <c r="O1354" t="str">
        <f>INDEX('GIS-Standards'!$I$2:$I$305,MATCH(C1354,'GIS-Standards'!$B$2:$B$305,0))</f>
        <v>01.2019</v>
      </c>
      <c r="P1354" t="b">
        <f>AND(TableRelationships12[[#This Row],[Source Type]]="BIM",TableRelationships12[[#This Row],[Target Type]]="BIM")</f>
        <v>0</v>
      </c>
      <c r="Q1354">
        <f t="shared" si="63"/>
        <v>1</v>
      </c>
      <c r="S1354">
        <f t="shared" si="64"/>
        <v>1</v>
      </c>
      <c r="T1354" s="102" t="str">
        <f>IF(TableRelationships12[[#This Row],[Rank Pedro]]="Low","linkCategory1",IF(TableRelationships12[[#This Row],[Rank Pedro]]="Medium","linkCategory2",IF(TableRelationships12[[#This Row],[Rank Pedro]]="High","linkCategory3","")))</f>
        <v/>
      </c>
      <c r="U1354" s="102" t="str">
        <f>IF(TableRelationships12[[#This Row],[Rank Pedro]]="Low","Pink",IF(TableRelationships12[[#This Row],[Rank Pedro]]="Medium","Purple",IF(TableRelationships12[[#This Row],[Rank Pedro]]="High","Brown","")))</f>
        <v/>
      </c>
      <c r="V1354" s="4" t="e">
        <f>MAX(INDEX(Standards!$F$2:$F$296,MATCH(B1354,Standards!$B$2:$B$296,0)),INDEX(Standards!$F$2:$F$296,MATCH(C1354,Standards!$B$2:$B$296,0)))</f>
        <v>#N/A</v>
      </c>
      <c r="W1354" t="str">
        <f t="shared" si="65"/>
        <v>#2f89d1</v>
      </c>
    </row>
    <row r="1355" spans="1:23" x14ac:dyDescent="0.5">
      <c r="A1355" s="54">
        <v>1354</v>
      </c>
      <c r="B1355" s="90" t="s">
        <v>1206</v>
      </c>
      <c r="C1355" t="s">
        <v>1053</v>
      </c>
      <c r="D1355" s="1"/>
      <c r="E1355" s="113">
        <v>2011.12</v>
      </c>
      <c r="F1355" s="113">
        <v>2023.04</v>
      </c>
      <c r="G1355" s="107" t="s">
        <v>670</v>
      </c>
      <c r="H1355">
        <f>INDEX('GIS-Standards'!$A$2:$A$305,MATCH(B1355,'GIS-Standards'!$B$2:$B$305,0))</f>
        <v>58</v>
      </c>
      <c r="I1355">
        <f>INDEX('GIS-Standards'!$A$2:$A$305,MATCH(C1355,'GIS-Standards'!$B$2:$B$305,0))</f>
        <v>65</v>
      </c>
      <c r="J1355" t="str">
        <f>INDEX('GIS-Standards'!$O$2:$O$305,MATCH(B1355,'GIS-Standards'!$B$2:$B$305,0))</f>
        <v>ISO/TC 211</v>
      </c>
      <c r="K1355" t="str">
        <f>INDEX('GIS-Standards'!$O$2:$O$305,MATCH(C1355,'GIS-Standards'!$B$2:$B$305,0))</f>
        <v>ISO/TC 211</v>
      </c>
      <c r="M1355" t="s">
        <v>525</v>
      </c>
      <c r="N1355">
        <f>INDEX('GIS-Standards'!$I$2:$I$305,MATCH(B1355,'GIS-Standards'!$B$2:$B$305,0))</f>
        <v>0</v>
      </c>
      <c r="O1355">
        <f>INDEX('GIS-Standards'!$I$2:$I$305,MATCH(C1355,'GIS-Standards'!$B$2:$B$305,0))</f>
        <v>0</v>
      </c>
      <c r="P1355" t="b">
        <f>AND(TableRelationships12[[#This Row],[Source Type]]="BIM",TableRelationships12[[#This Row],[Target Type]]="BIM")</f>
        <v>0</v>
      </c>
      <c r="Q1355">
        <f t="shared" si="63"/>
        <v>1</v>
      </c>
      <c r="S1355">
        <f t="shared" si="64"/>
        <v>1</v>
      </c>
      <c r="T1355" s="102" t="str">
        <f>IF(TableRelationships12[[#This Row],[Rank Pedro]]="Low","linkCategory1",IF(TableRelationships12[[#This Row],[Rank Pedro]]="Medium","linkCategory2",IF(TableRelationships12[[#This Row],[Rank Pedro]]="High","linkCategory3","")))</f>
        <v/>
      </c>
      <c r="U1355" s="102" t="str">
        <f>IF(TableRelationships12[[#This Row],[Rank Pedro]]="Low","Pink",IF(TableRelationships12[[#This Row],[Rank Pedro]]="Medium","Purple",IF(TableRelationships12[[#This Row],[Rank Pedro]]="High","Brown","")))</f>
        <v/>
      </c>
      <c r="V1355" s="4" t="e">
        <f>MAX(INDEX(Standards!$F$2:$F$296,MATCH(B1355,Standards!$B$2:$B$296,0)),INDEX(Standards!$F$2:$F$296,MATCH(C1355,Standards!$B$2:$B$296,0)))</f>
        <v>#N/A</v>
      </c>
      <c r="W1355" t="str">
        <f t="shared" si="65"/>
        <v>#2f89d1</v>
      </c>
    </row>
    <row r="1356" spans="1:23" x14ac:dyDescent="0.5">
      <c r="A1356" s="54">
        <v>1355</v>
      </c>
      <c r="B1356" s="90" t="s">
        <v>1206</v>
      </c>
      <c r="C1356" t="s">
        <v>348</v>
      </c>
      <c r="D1356" s="1"/>
      <c r="E1356" s="113">
        <v>2013.12</v>
      </c>
      <c r="F1356" s="113">
        <v>2023.04</v>
      </c>
      <c r="G1356" s="107" t="s">
        <v>670</v>
      </c>
      <c r="H1356">
        <f>INDEX('GIS-Standards'!$A$2:$A$305,MATCH(B1356,'GIS-Standards'!$B$2:$B$305,0))</f>
        <v>58</v>
      </c>
      <c r="I1356">
        <f>INDEX('GIS-Standards'!$A$2:$A$305,MATCH(C1356,'GIS-Standards'!$B$2:$B$305,0))</f>
        <v>66</v>
      </c>
      <c r="J1356" t="str">
        <f>INDEX('GIS-Standards'!$O$2:$O$305,MATCH(B1356,'GIS-Standards'!$B$2:$B$305,0))</f>
        <v>ISO/TC 211</v>
      </c>
      <c r="K1356" t="str">
        <f>INDEX('GIS-Standards'!$O$2:$O$305,MATCH(C1356,'GIS-Standards'!$B$2:$B$305,0))</f>
        <v>ISO/TC 211</v>
      </c>
      <c r="M1356" t="s">
        <v>525</v>
      </c>
      <c r="N1356">
        <f>INDEX('GIS-Standards'!$I$2:$I$305,MATCH(B1356,'GIS-Standards'!$B$2:$B$305,0))</f>
        <v>0</v>
      </c>
      <c r="O1356">
        <f>INDEX('GIS-Standards'!$I$2:$I$305,MATCH(C1356,'GIS-Standards'!$B$2:$B$305,0))</f>
        <v>0</v>
      </c>
      <c r="P1356" t="b">
        <f>AND(TableRelationships12[[#This Row],[Source Type]]="BIM",TableRelationships12[[#This Row],[Target Type]]="BIM")</f>
        <v>0</v>
      </c>
      <c r="Q1356">
        <f t="shared" si="63"/>
        <v>1</v>
      </c>
      <c r="S1356">
        <f t="shared" si="64"/>
        <v>1</v>
      </c>
      <c r="T1356" s="102" t="str">
        <f>IF(TableRelationships12[[#This Row],[Rank Pedro]]="Low","linkCategory1",IF(TableRelationships12[[#This Row],[Rank Pedro]]="Medium","linkCategory2",IF(TableRelationships12[[#This Row],[Rank Pedro]]="High","linkCategory3","")))</f>
        <v/>
      </c>
      <c r="U1356" s="102" t="str">
        <f>IF(TableRelationships12[[#This Row],[Rank Pedro]]="Low","Pink",IF(TableRelationships12[[#This Row],[Rank Pedro]]="Medium","Purple",IF(TableRelationships12[[#This Row],[Rank Pedro]]="High","Brown","")))</f>
        <v/>
      </c>
      <c r="V1356" s="4" t="e">
        <f>MAX(INDEX(Standards!$F$2:$F$296,MATCH(B1356,Standards!$B$2:$B$296,0)),INDEX(Standards!$F$2:$F$296,MATCH(C1356,Standards!$B$2:$B$296,0)))</f>
        <v>#N/A</v>
      </c>
      <c r="W1356" t="str">
        <f t="shared" si="65"/>
        <v>#2f89d1</v>
      </c>
    </row>
    <row r="1357" spans="1:23" x14ac:dyDescent="0.5">
      <c r="A1357" s="54">
        <v>1356</v>
      </c>
      <c r="B1357" s="90" t="s">
        <v>1206</v>
      </c>
      <c r="C1357" t="s">
        <v>1117</v>
      </c>
      <c r="D1357" s="1"/>
      <c r="E1357" s="112">
        <v>2015.12</v>
      </c>
      <c r="F1357" s="112">
        <v>2015.12</v>
      </c>
      <c r="G1357" s="107" t="s">
        <v>670</v>
      </c>
      <c r="H1357">
        <f>INDEX('GIS-Standards'!$A$2:$A$305,MATCH(B1357,'GIS-Standards'!$B$2:$B$305,0))</f>
        <v>58</v>
      </c>
      <c r="I1357" t="e">
        <f>INDEX('GIS-Standards'!$A$2:$A$305,MATCH(C1357,'GIS-Standards'!$B$2:$B$305,0))</f>
        <v>#N/A</v>
      </c>
      <c r="J1357" t="str">
        <f>INDEX('GIS-Standards'!$O$2:$O$305,MATCH(B1357,'GIS-Standards'!$B$2:$B$305,0))</f>
        <v>ISO/TC 211</v>
      </c>
      <c r="K1357" t="e">
        <f>INDEX('GIS-Standards'!$O$2:$O$305,MATCH(C1357,'GIS-Standards'!$B$2:$B$305,0))</f>
        <v>#N/A</v>
      </c>
      <c r="M1357" t="s">
        <v>525</v>
      </c>
      <c r="N1357">
        <f>INDEX('GIS-Standards'!$I$2:$I$305,MATCH(B1357,'GIS-Standards'!$B$2:$B$305,0))</f>
        <v>0</v>
      </c>
      <c r="O1357" t="e">
        <f>INDEX('GIS-Standards'!$I$2:$I$305,MATCH(C1357,'GIS-Standards'!$B$2:$B$305,0))</f>
        <v>#N/A</v>
      </c>
      <c r="P1357" t="e">
        <f>AND(TableRelationships12[[#This Row],[Source Type]]="BIM",TableRelationships12[[#This Row],[Target Type]]="BIM")</f>
        <v>#N/A</v>
      </c>
      <c r="Q1357">
        <f t="shared" si="63"/>
        <v>1</v>
      </c>
      <c r="S1357">
        <f t="shared" si="64"/>
        <v>1</v>
      </c>
      <c r="T1357" s="102" t="str">
        <f>IF(TableRelationships12[[#This Row],[Rank Pedro]]="Low","linkCategory1",IF(TableRelationships12[[#This Row],[Rank Pedro]]="Medium","linkCategory2",IF(TableRelationships12[[#This Row],[Rank Pedro]]="High","linkCategory3","")))</f>
        <v/>
      </c>
      <c r="U1357" s="102" t="str">
        <f>IF(TableRelationships12[[#This Row],[Rank Pedro]]="Low","Pink",IF(TableRelationships12[[#This Row],[Rank Pedro]]="Medium","Purple",IF(TableRelationships12[[#This Row],[Rank Pedro]]="High","Brown","")))</f>
        <v/>
      </c>
      <c r="V1357" s="4" t="e">
        <f>MAX(INDEX(Standards!$F$2:$F$296,MATCH(B1357,Standards!$B$2:$B$296,0)),INDEX(Standards!$F$2:$F$296,MATCH(C1357,Standards!$B$2:$B$296,0)))</f>
        <v>#N/A</v>
      </c>
      <c r="W1357" t="str">
        <f t="shared" si="65"/>
        <v>#2f89d1</v>
      </c>
    </row>
    <row r="1358" spans="1:23" x14ac:dyDescent="0.5">
      <c r="A1358" s="54">
        <v>1357</v>
      </c>
      <c r="B1358" s="90" t="s">
        <v>1206</v>
      </c>
      <c r="C1358" t="s">
        <v>1073</v>
      </c>
      <c r="D1358" s="1"/>
      <c r="E1358" s="113">
        <v>2011.07</v>
      </c>
      <c r="F1358" s="113">
        <v>2020.11</v>
      </c>
      <c r="G1358" s="107" t="s">
        <v>1456</v>
      </c>
      <c r="H1358">
        <f>INDEX('GIS-Standards'!$A$2:$A$305,MATCH(B1358,'GIS-Standards'!$B$2:$B$305,0))</f>
        <v>58</v>
      </c>
      <c r="I1358" t="e">
        <f>INDEX('GIS-Standards'!$A$2:$A$305,MATCH(C1358,'GIS-Standards'!$B$2:$B$305,0))</f>
        <v>#N/A</v>
      </c>
      <c r="J1358" t="str">
        <f>INDEX('GIS-Standards'!$O$2:$O$305,MATCH(B1358,'GIS-Standards'!$B$2:$B$305,0))</f>
        <v>ISO/TC 211</v>
      </c>
      <c r="K1358" t="e">
        <f>INDEX('GIS-Standards'!$O$2:$O$305,MATCH(C1358,'GIS-Standards'!$B$2:$B$305,0))</f>
        <v>#N/A</v>
      </c>
      <c r="M1358" t="s">
        <v>525</v>
      </c>
      <c r="N1358">
        <f>INDEX('GIS-Standards'!$I$2:$I$305,MATCH(B1358,'GIS-Standards'!$B$2:$B$305,0))</f>
        <v>0</v>
      </c>
      <c r="O1358" t="e">
        <f>INDEX('GIS-Standards'!$I$2:$I$305,MATCH(C1358,'GIS-Standards'!$B$2:$B$305,0))</f>
        <v>#N/A</v>
      </c>
      <c r="P1358" t="e">
        <f>AND(TableRelationships12[[#This Row],[Source Type]]="BIM",TableRelationships12[[#This Row],[Target Type]]="BIM")</f>
        <v>#N/A</v>
      </c>
      <c r="Q1358">
        <f t="shared" si="63"/>
        <v>1</v>
      </c>
      <c r="S1358">
        <f t="shared" si="64"/>
        <v>1</v>
      </c>
      <c r="T1358" s="102" t="str">
        <f>IF(TableRelationships12[[#This Row],[Rank Pedro]]="Low","linkCategory1",IF(TableRelationships12[[#This Row],[Rank Pedro]]="Medium","linkCategory2",IF(TableRelationships12[[#This Row],[Rank Pedro]]="High","linkCategory3","")))</f>
        <v/>
      </c>
      <c r="U1358" s="102" t="str">
        <f>IF(TableRelationships12[[#This Row],[Rank Pedro]]="Low","Pink",IF(TableRelationships12[[#This Row],[Rank Pedro]]="Medium","Purple",IF(TableRelationships12[[#This Row],[Rank Pedro]]="High","Brown","")))</f>
        <v/>
      </c>
      <c r="V1358" s="4" t="e">
        <f>MAX(INDEX(Standards!$F$2:$F$296,MATCH(B1358,Standards!$B$2:$B$296,0)),INDEX(Standards!$F$2:$F$296,MATCH(C1358,Standards!$B$2:$B$296,0)))</f>
        <v>#N/A</v>
      </c>
      <c r="W1358" t="str">
        <f t="shared" si="65"/>
        <v>#2f89d1</v>
      </c>
    </row>
    <row r="1359" spans="1:23" x14ac:dyDescent="0.5">
      <c r="A1359" s="54">
        <v>1358</v>
      </c>
      <c r="B1359" s="90" t="s">
        <v>1206</v>
      </c>
      <c r="C1359" t="s">
        <v>1084</v>
      </c>
      <c r="D1359" s="1" t="s">
        <v>1676</v>
      </c>
      <c r="E1359" s="112">
        <v>1985.02</v>
      </c>
      <c r="F1359" s="112">
        <v>2011.08</v>
      </c>
      <c r="G1359" s="107" t="s">
        <v>1457</v>
      </c>
      <c r="H1359">
        <f>INDEX('GIS-Standards'!$A$2:$A$305,MATCH(B1359,'GIS-Standards'!$B$2:$B$305,0))</f>
        <v>58</v>
      </c>
      <c r="I1359" t="e">
        <f>INDEX('GIS-Standards'!$A$2:$A$305,MATCH(C1359,'GIS-Standards'!$B$2:$B$305,0))</f>
        <v>#N/A</v>
      </c>
      <c r="J1359" t="str">
        <f>INDEX('GIS-Standards'!$O$2:$O$305,MATCH(B1359,'GIS-Standards'!$B$2:$B$305,0))</f>
        <v>ISO/TC 211</v>
      </c>
      <c r="K1359" t="e">
        <f>INDEX('GIS-Standards'!$O$2:$O$305,MATCH(C1359,'GIS-Standards'!$B$2:$B$305,0))</f>
        <v>#N/A</v>
      </c>
      <c r="M1359" t="s">
        <v>525</v>
      </c>
      <c r="N1359">
        <f>INDEX('GIS-Standards'!$I$2:$I$305,MATCH(B1359,'GIS-Standards'!$B$2:$B$305,0))</f>
        <v>0</v>
      </c>
      <c r="O1359" t="e">
        <f>INDEX('GIS-Standards'!$I$2:$I$305,MATCH(C1359,'GIS-Standards'!$B$2:$B$305,0))</f>
        <v>#N/A</v>
      </c>
      <c r="P1359" t="e">
        <f>AND(TableRelationships12[[#This Row],[Source Type]]="BIM",TableRelationships12[[#This Row],[Target Type]]="BIM")</f>
        <v>#N/A</v>
      </c>
      <c r="Q1359">
        <f t="shared" si="63"/>
        <v>1</v>
      </c>
      <c r="S1359">
        <f t="shared" si="64"/>
        <v>1</v>
      </c>
      <c r="T1359" s="102" t="str">
        <f>IF(TableRelationships12[[#This Row],[Rank Pedro]]="Low","linkCategory1",IF(TableRelationships12[[#This Row],[Rank Pedro]]="Medium","linkCategory2",IF(TableRelationships12[[#This Row],[Rank Pedro]]="High","linkCategory3","")))</f>
        <v/>
      </c>
      <c r="U1359" s="102" t="str">
        <f>IF(TableRelationships12[[#This Row],[Rank Pedro]]="Low","Pink",IF(TableRelationships12[[#This Row],[Rank Pedro]]="Medium","Purple",IF(TableRelationships12[[#This Row],[Rank Pedro]]="High","Brown","")))</f>
        <v/>
      </c>
      <c r="V1359" s="4" t="e">
        <f>MAX(INDEX(Standards!$F$2:$F$296,MATCH(B1359,Standards!$B$2:$B$296,0)),INDEX(Standards!$F$2:$F$296,MATCH(C1359,Standards!$B$2:$B$296,0)))</f>
        <v>#N/A</v>
      </c>
      <c r="W1359" t="str">
        <f t="shared" si="65"/>
        <v>#2f89d1</v>
      </c>
    </row>
    <row r="1360" spans="1:23" x14ac:dyDescent="0.5">
      <c r="A1360" s="54">
        <v>1359</v>
      </c>
      <c r="B1360" s="90" t="s">
        <v>1206</v>
      </c>
      <c r="C1360" t="s">
        <v>352</v>
      </c>
      <c r="D1360" s="1"/>
      <c r="E1360" s="112">
        <v>1985.02</v>
      </c>
      <c r="F1360" s="112">
        <v>2013.03</v>
      </c>
      <c r="G1360" s="107" t="s">
        <v>1457</v>
      </c>
      <c r="H1360">
        <f>INDEX('GIS-Standards'!$A$2:$A$305,MATCH(B1360,'GIS-Standards'!$B$2:$B$305,0))</f>
        <v>58</v>
      </c>
      <c r="I1360" t="e">
        <f>INDEX('GIS-Standards'!$A$2:$A$305,MATCH(C1360,'GIS-Standards'!$B$2:$B$305,0))</f>
        <v>#N/A</v>
      </c>
      <c r="J1360" t="str">
        <f>INDEX('GIS-Standards'!$O$2:$O$305,MATCH(B1360,'GIS-Standards'!$B$2:$B$305,0))</f>
        <v>ISO/TC 211</v>
      </c>
      <c r="K1360" t="e">
        <f>INDEX('GIS-Standards'!$O$2:$O$305,MATCH(C1360,'GIS-Standards'!$B$2:$B$305,0))</f>
        <v>#N/A</v>
      </c>
      <c r="M1360" t="s">
        <v>525</v>
      </c>
      <c r="N1360">
        <f>INDEX('GIS-Standards'!$I$2:$I$305,MATCH(B1360,'GIS-Standards'!$B$2:$B$305,0))</f>
        <v>0</v>
      </c>
      <c r="O1360" t="e">
        <f>INDEX('GIS-Standards'!$I$2:$I$305,MATCH(C1360,'GIS-Standards'!$B$2:$B$305,0))</f>
        <v>#N/A</v>
      </c>
      <c r="P1360" t="e">
        <f>AND(TableRelationships12[[#This Row],[Source Type]]="BIM",TableRelationships12[[#This Row],[Target Type]]="BIM")</f>
        <v>#N/A</v>
      </c>
      <c r="Q1360">
        <f t="shared" si="63"/>
        <v>1</v>
      </c>
      <c r="S1360">
        <f t="shared" si="64"/>
        <v>1</v>
      </c>
      <c r="T1360" s="102" t="str">
        <f>IF(TableRelationships12[[#This Row],[Rank Pedro]]="Low","linkCategory1",IF(TableRelationships12[[#This Row],[Rank Pedro]]="Medium","linkCategory2",IF(TableRelationships12[[#This Row],[Rank Pedro]]="High","linkCategory3","")))</f>
        <v/>
      </c>
      <c r="U1360" s="102" t="str">
        <f>IF(TableRelationships12[[#This Row],[Rank Pedro]]="Low","Pink",IF(TableRelationships12[[#This Row],[Rank Pedro]]="Medium","Purple",IF(TableRelationships12[[#This Row],[Rank Pedro]]="High","Brown","")))</f>
        <v/>
      </c>
      <c r="V1360" s="4" t="e">
        <f>MAX(INDEX(Standards!$F$2:$F$296,MATCH(B1360,Standards!$B$2:$B$296,0)),INDEX(Standards!$F$2:$F$296,MATCH(C1360,Standards!$B$2:$B$296,0)))</f>
        <v>#N/A</v>
      </c>
      <c r="W1360" t="str">
        <f t="shared" si="65"/>
        <v>#2f89d1</v>
      </c>
    </row>
    <row r="1361" spans="1:23" x14ac:dyDescent="0.5">
      <c r="A1361" s="54">
        <v>1360</v>
      </c>
      <c r="B1361" s="90" t="s">
        <v>1206</v>
      </c>
      <c r="C1361" t="s">
        <v>1729</v>
      </c>
      <c r="D1361" s="1"/>
      <c r="E1361" s="112">
        <v>2013.1</v>
      </c>
      <c r="F1361" s="112">
        <v>2019.09</v>
      </c>
      <c r="G1361" s="107" t="s">
        <v>2099</v>
      </c>
      <c r="H1361">
        <f>INDEX('GIS-Standards'!$A$2:$A$305,MATCH(B1361,'GIS-Standards'!$B$2:$B$305,0))</f>
        <v>58</v>
      </c>
      <c r="I1361" t="e">
        <f>INDEX('GIS-Standards'!$A$2:$A$305,MATCH(C1361,'GIS-Standards'!$B$2:$B$305,0))</f>
        <v>#N/A</v>
      </c>
      <c r="J1361" t="str">
        <f>INDEX('GIS-Standards'!$O$2:$O$305,MATCH(B1361,'GIS-Standards'!$B$2:$B$305,0))</f>
        <v>ISO/TC 211</v>
      </c>
      <c r="K1361" t="e">
        <f>INDEX('GIS-Standards'!$O$2:$O$305,MATCH(C1361,'GIS-Standards'!$B$2:$B$305,0))</f>
        <v>#N/A</v>
      </c>
      <c r="M1361" t="s">
        <v>525</v>
      </c>
      <c r="N1361">
        <f>INDEX('GIS-Standards'!$I$2:$I$305,MATCH(B1361,'GIS-Standards'!$B$2:$B$305,0))</f>
        <v>0</v>
      </c>
      <c r="O1361" t="e">
        <f>INDEX('GIS-Standards'!$I$2:$I$305,MATCH(C1361,'GIS-Standards'!$B$2:$B$305,0))</f>
        <v>#N/A</v>
      </c>
      <c r="P1361" t="e">
        <f>AND(TableRelationships12[[#This Row],[Source Type]]="BIM",TableRelationships12[[#This Row],[Target Type]]="BIM")</f>
        <v>#N/A</v>
      </c>
      <c r="Q1361">
        <f t="shared" si="63"/>
        <v>1</v>
      </c>
      <c r="S1361">
        <f t="shared" si="64"/>
        <v>1</v>
      </c>
      <c r="T1361" s="102" t="str">
        <f>IF(TableRelationships12[[#This Row],[Rank Pedro]]="Low","linkCategory1",IF(TableRelationships12[[#This Row],[Rank Pedro]]="Medium","linkCategory2",IF(TableRelationships12[[#This Row],[Rank Pedro]]="High","linkCategory3","")))</f>
        <v/>
      </c>
      <c r="U1361" s="102" t="str">
        <f>IF(TableRelationships12[[#This Row],[Rank Pedro]]="Low","Pink",IF(TableRelationships12[[#This Row],[Rank Pedro]]="Medium","Purple",IF(TableRelationships12[[#This Row],[Rank Pedro]]="High","Brown","")))</f>
        <v/>
      </c>
      <c r="V1361" s="4" t="e">
        <f>MAX(INDEX(Standards!$F$2:$F$296,MATCH(B1361,Standards!$B$2:$B$296,0)),INDEX(Standards!$F$2:$F$296,MATCH(C1361,Standards!$B$2:$B$296,0)))</f>
        <v>#N/A</v>
      </c>
      <c r="W1361" t="str">
        <f t="shared" si="65"/>
        <v>#2f89d1</v>
      </c>
    </row>
    <row r="1362" spans="1:23" x14ac:dyDescent="0.5">
      <c r="A1362" s="54">
        <v>1361</v>
      </c>
      <c r="B1362" s="90" t="s">
        <v>1206</v>
      </c>
      <c r="C1362" t="s">
        <v>1730</v>
      </c>
      <c r="D1362" s="1"/>
      <c r="E1362" s="112">
        <v>1977.09</v>
      </c>
      <c r="F1362" s="112">
        <v>2022.06</v>
      </c>
      <c r="G1362" s="107" t="s">
        <v>1487</v>
      </c>
      <c r="H1362">
        <f>INDEX('GIS-Standards'!$A$2:$A$305,MATCH(B1362,'GIS-Standards'!$B$2:$B$305,0))</f>
        <v>58</v>
      </c>
      <c r="I1362" t="e">
        <f>INDEX('GIS-Standards'!$A$2:$A$305,MATCH(C1362,'GIS-Standards'!$B$2:$B$305,0))</f>
        <v>#N/A</v>
      </c>
      <c r="J1362" t="str">
        <f>INDEX('GIS-Standards'!$O$2:$O$305,MATCH(B1362,'GIS-Standards'!$B$2:$B$305,0))</f>
        <v>ISO/TC 211</v>
      </c>
      <c r="K1362" t="e">
        <f>INDEX('GIS-Standards'!$O$2:$O$305,MATCH(C1362,'GIS-Standards'!$B$2:$B$305,0))</f>
        <v>#N/A</v>
      </c>
      <c r="M1362" t="s">
        <v>525</v>
      </c>
      <c r="N1362">
        <f>INDEX('GIS-Standards'!$I$2:$I$305,MATCH(B1362,'GIS-Standards'!$B$2:$B$305,0))</f>
        <v>0</v>
      </c>
      <c r="O1362" t="e">
        <f>INDEX('GIS-Standards'!$I$2:$I$305,MATCH(C1362,'GIS-Standards'!$B$2:$B$305,0))</f>
        <v>#N/A</v>
      </c>
      <c r="P1362" t="e">
        <f>AND(TableRelationships12[[#This Row],[Source Type]]="BIM",TableRelationships12[[#This Row],[Target Type]]="BIM")</f>
        <v>#N/A</v>
      </c>
      <c r="Q1362">
        <f t="shared" si="63"/>
        <v>1</v>
      </c>
      <c r="S1362">
        <f t="shared" si="64"/>
        <v>1</v>
      </c>
      <c r="T1362" s="102" t="str">
        <f>IF(TableRelationships12[[#This Row],[Rank Pedro]]="Low","linkCategory1",IF(TableRelationships12[[#This Row],[Rank Pedro]]="Medium","linkCategory2",IF(TableRelationships12[[#This Row],[Rank Pedro]]="High","linkCategory3","")))</f>
        <v/>
      </c>
      <c r="U1362" s="102" t="str">
        <f>IF(TableRelationships12[[#This Row],[Rank Pedro]]="Low","Pink",IF(TableRelationships12[[#This Row],[Rank Pedro]]="Medium","Purple",IF(TableRelationships12[[#This Row],[Rank Pedro]]="High","Brown","")))</f>
        <v/>
      </c>
      <c r="V1362" s="4" t="e">
        <f>MAX(INDEX(Standards!$F$2:$F$296,MATCH(B1362,Standards!$B$2:$B$296,0)),INDEX(Standards!$F$2:$F$296,MATCH(C1362,Standards!$B$2:$B$296,0)))</f>
        <v>#N/A</v>
      </c>
      <c r="W1362" t="str">
        <f t="shared" si="65"/>
        <v>#2f89d1</v>
      </c>
    </row>
    <row r="1363" spans="1:23" x14ac:dyDescent="0.5">
      <c r="A1363" s="54">
        <v>1362</v>
      </c>
      <c r="B1363" s="90" t="s">
        <v>1206</v>
      </c>
      <c r="C1363" t="s">
        <v>1731</v>
      </c>
      <c r="D1363" s="1"/>
      <c r="G1363" s="107"/>
      <c r="H1363">
        <f>INDEX('GIS-Standards'!$A$2:$A$305,MATCH(B1363,'GIS-Standards'!$B$2:$B$305,0))</f>
        <v>58</v>
      </c>
      <c r="I1363" t="e">
        <f>INDEX('GIS-Standards'!$A$2:$A$305,MATCH(C1363,'GIS-Standards'!$B$2:$B$305,0))</f>
        <v>#N/A</v>
      </c>
      <c r="J1363" t="str">
        <f>INDEX('GIS-Standards'!$O$2:$O$305,MATCH(B1363,'GIS-Standards'!$B$2:$B$305,0))</f>
        <v>ISO/TC 211</v>
      </c>
      <c r="K1363" t="e">
        <f>INDEX('GIS-Standards'!$O$2:$O$305,MATCH(C1363,'GIS-Standards'!$B$2:$B$305,0))</f>
        <v>#N/A</v>
      </c>
      <c r="M1363" t="s">
        <v>525</v>
      </c>
      <c r="N1363">
        <f>INDEX('GIS-Standards'!$I$2:$I$305,MATCH(B1363,'GIS-Standards'!$B$2:$B$305,0))</f>
        <v>0</v>
      </c>
      <c r="O1363" t="e">
        <f>INDEX('GIS-Standards'!$I$2:$I$305,MATCH(C1363,'GIS-Standards'!$B$2:$B$305,0))</f>
        <v>#N/A</v>
      </c>
      <c r="P1363" t="e">
        <f>AND(TableRelationships12[[#This Row],[Source Type]]="BIM",TableRelationships12[[#This Row],[Target Type]]="BIM")</f>
        <v>#N/A</v>
      </c>
      <c r="Q1363">
        <f t="shared" si="63"/>
        <v>1</v>
      </c>
      <c r="S1363">
        <f t="shared" si="64"/>
        <v>1</v>
      </c>
      <c r="T1363" s="102" t="str">
        <f>IF(TableRelationships12[[#This Row],[Rank Pedro]]="Low","linkCategory1",IF(TableRelationships12[[#This Row],[Rank Pedro]]="Medium","linkCategory2",IF(TableRelationships12[[#This Row],[Rank Pedro]]="High","linkCategory3","")))</f>
        <v/>
      </c>
      <c r="U1363" s="102" t="str">
        <f>IF(TableRelationships12[[#This Row],[Rank Pedro]]="Low","Pink",IF(TableRelationships12[[#This Row],[Rank Pedro]]="Medium","Purple",IF(TableRelationships12[[#This Row],[Rank Pedro]]="High","Brown","")))</f>
        <v/>
      </c>
      <c r="V1363" s="4" t="e">
        <f>MAX(INDEX(Standards!$F$2:$F$296,MATCH(B1363,Standards!$B$2:$B$296,0)),INDEX(Standards!$F$2:$F$296,MATCH(C1363,Standards!$B$2:$B$296,0)))</f>
        <v>#N/A</v>
      </c>
      <c r="W1363" t="str">
        <f t="shared" si="65"/>
        <v>#2f89d1</v>
      </c>
    </row>
    <row r="1364" spans="1:23" x14ac:dyDescent="0.5">
      <c r="A1364" s="54">
        <v>1363</v>
      </c>
      <c r="B1364" s="90" t="s">
        <v>1206</v>
      </c>
      <c r="C1364" t="s">
        <v>1204</v>
      </c>
      <c r="D1364" s="1"/>
      <c r="G1364" s="107"/>
      <c r="H1364">
        <f>INDEX('GIS-Standards'!$A$2:$A$305,MATCH(B1364,'GIS-Standards'!$B$2:$B$305,0))</f>
        <v>58</v>
      </c>
      <c r="I1364" t="e">
        <f>INDEX('GIS-Standards'!$A$2:$A$305,MATCH(C1364,'GIS-Standards'!$B$2:$B$305,0))</f>
        <v>#N/A</v>
      </c>
      <c r="J1364" t="str">
        <f>INDEX('GIS-Standards'!$O$2:$O$305,MATCH(B1364,'GIS-Standards'!$B$2:$B$305,0))</f>
        <v>ISO/TC 211</v>
      </c>
      <c r="K1364" t="e">
        <f>INDEX('GIS-Standards'!$O$2:$O$305,MATCH(C1364,'GIS-Standards'!$B$2:$B$305,0))</f>
        <v>#N/A</v>
      </c>
      <c r="M1364" t="s">
        <v>525</v>
      </c>
      <c r="N1364">
        <f>INDEX('GIS-Standards'!$I$2:$I$305,MATCH(B1364,'GIS-Standards'!$B$2:$B$305,0))</f>
        <v>0</v>
      </c>
      <c r="O1364" t="e">
        <f>INDEX('GIS-Standards'!$I$2:$I$305,MATCH(C1364,'GIS-Standards'!$B$2:$B$305,0))</f>
        <v>#N/A</v>
      </c>
      <c r="P1364" t="e">
        <f>AND(TableRelationships12[[#This Row],[Source Type]]="BIM",TableRelationships12[[#This Row],[Target Type]]="BIM")</f>
        <v>#N/A</v>
      </c>
      <c r="Q1364">
        <f t="shared" si="63"/>
        <v>1</v>
      </c>
      <c r="S1364">
        <f t="shared" si="64"/>
        <v>1</v>
      </c>
      <c r="T1364" s="102" t="str">
        <f>IF(TableRelationships12[[#This Row],[Rank Pedro]]="Low","linkCategory1",IF(TableRelationships12[[#This Row],[Rank Pedro]]="Medium","linkCategory2",IF(TableRelationships12[[#This Row],[Rank Pedro]]="High","linkCategory3","")))</f>
        <v/>
      </c>
      <c r="U1364" s="102" t="str">
        <f>IF(TableRelationships12[[#This Row],[Rank Pedro]]="Low","Pink",IF(TableRelationships12[[#This Row],[Rank Pedro]]="Medium","Purple",IF(TableRelationships12[[#This Row],[Rank Pedro]]="High","Brown","")))</f>
        <v/>
      </c>
      <c r="V1364" s="4" t="e">
        <f>MAX(INDEX(Standards!$F$2:$F$296,MATCH(B1364,Standards!$B$2:$B$296,0)),INDEX(Standards!$F$2:$F$296,MATCH(C1364,Standards!$B$2:$B$296,0)))</f>
        <v>#N/A</v>
      </c>
      <c r="W1364" t="str">
        <f t="shared" si="65"/>
        <v>#2f89d1</v>
      </c>
    </row>
    <row r="1365" spans="1:23" x14ac:dyDescent="0.5">
      <c r="A1365" s="54">
        <v>1364</v>
      </c>
      <c r="B1365" s="90" t="s">
        <v>1206</v>
      </c>
      <c r="C1365" t="s">
        <v>1225</v>
      </c>
      <c r="D1365" s="1"/>
      <c r="G1365" s="107"/>
      <c r="H1365">
        <f>INDEX('GIS-Standards'!$A$2:$A$305,MATCH(B1365,'GIS-Standards'!$B$2:$B$305,0))</f>
        <v>58</v>
      </c>
      <c r="I1365" t="e">
        <f>INDEX('GIS-Standards'!$A$2:$A$305,MATCH(C1365,'GIS-Standards'!$B$2:$B$305,0))</f>
        <v>#N/A</v>
      </c>
      <c r="J1365" t="str">
        <f>INDEX('GIS-Standards'!$O$2:$O$305,MATCH(B1365,'GIS-Standards'!$B$2:$B$305,0))</f>
        <v>ISO/TC 211</v>
      </c>
      <c r="K1365" t="e">
        <f>INDEX('GIS-Standards'!$O$2:$O$305,MATCH(C1365,'GIS-Standards'!$B$2:$B$305,0))</f>
        <v>#N/A</v>
      </c>
      <c r="M1365" t="s">
        <v>525</v>
      </c>
      <c r="N1365">
        <f>INDEX('GIS-Standards'!$I$2:$I$305,MATCH(B1365,'GIS-Standards'!$B$2:$B$305,0))</f>
        <v>0</v>
      </c>
      <c r="O1365" t="e">
        <f>INDEX('GIS-Standards'!$I$2:$I$305,MATCH(C1365,'GIS-Standards'!$B$2:$B$305,0))</f>
        <v>#N/A</v>
      </c>
      <c r="P1365" t="e">
        <f>AND(TableRelationships12[[#This Row],[Source Type]]="BIM",TableRelationships12[[#This Row],[Target Type]]="BIM")</f>
        <v>#N/A</v>
      </c>
      <c r="Q1365">
        <f t="shared" si="63"/>
        <v>1</v>
      </c>
      <c r="S1365">
        <f t="shared" si="64"/>
        <v>1</v>
      </c>
      <c r="T1365" s="102" t="str">
        <f>IF(TableRelationships12[[#This Row],[Rank Pedro]]="Low","linkCategory1",IF(TableRelationships12[[#This Row],[Rank Pedro]]="Medium","linkCategory2",IF(TableRelationships12[[#This Row],[Rank Pedro]]="High","linkCategory3","")))</f>
        <v/>
      </c>
      <c r="U1365" s="102" t="str">
        <f>IF(TableRelationships12[[#This Row],[Rank Pedro]]="Low","Pink",IF(TableRelationships12[[#This Row],[Rank Pedro]]="Medium","Purple",IF(TableRelationships12[[#This Row],[Rank Pedro]]="High","Brown","")))</f>
        <v/>
      </c>
      <c r="V1365" s="4" t="e">
        <f>MAX(INDEX(Standards!$F$2:$F$296,MATCH(B1365,Standards!$B$2:$B$296,0)),INDEX(Standards!$F$2:$F$296,MATCH(C1365,Standards!$B$2:$B$296,0)))</f>
        <v>#N/A</v>
      </c>
      <c r="W1365" t="str">
        <f t="shared" si="65"/>
        <v>#2f89d1</v>
      </c>
    </row>
    <row r="1366" spans="1:23" x14ac:dyDescent="0.5">
      <c r="A1366" s="54">
        <v>1365</v>
      </c>
      <c r="B1366" s="90" t="s">
        <v>1206</v>
      </c>
      <c r="C1366" t="s">
        <v>1732</v>
      </c>
      <c r="D1366" s="1"/>
      <c r="F1366" s="112">
        <v>2021.09</v>
      </c>
      <c r="G1366" s="107"/>
      <c r="H1366">
        <f>INDEX('GIS-Standards'!$A$2:$A$305,MATCH(B1366,'GIS-Standards'!$B$2:$B$305,0))</f>
        <v>58</v>
      </c>
      <c r="I1366" t="e">
        <f>INDEX('GIS-Standards'!$A$2:$A$305,MATCH(C1366,'GIS-Standards'!$B$2:$B$305,0))</f>
        <v>#N/A</v>
      </c>
      <c r="J1366" t="str">
        <f>INDEX('GIS-Standards'!$O$2:$O$305,MATCH(B1366,'GIS-Standards'!$B$2:$B$305,0))</f>
        <v>ISO/TC 211</v>
      </c>
      <c r="K1366" t="e">
        <f>INDEX('GIS-Standards'!$O$2:$O$305,MATCH(C1366,'GIS-Standards'!$B$2:$B$305,0))</f>
        <v>#N/A</v>
      </c>
      <c r="M1366" t="s">
        <v>525</v>
      </c>
      <c r="N1366">
        <f>INDEX('GIS-Standards'!$I$2:$I$305,MATCH(B1366,'GIS-Standards'!$B$2:$B$305,0))</f>
        <v>0</v>
      </c>
      <c r="O1366" t="e">
        <f>INDEX('GIS-Standards'!$I$2:$I$305,MATCH(C1366,'GIS-Standards'!$B$2:$B$305,0))</f>
        <v>#N/A</v>
      </c>
      <c r="P1366" t="e">
        <f>AND(TableRelationships12[[#This Row],[Source Type]]="BIM",TableRelationships12[[#This Row],[Target Type]]="BIM")</f>
        <v>#N/A</v>
      </c>
      <c r="Q1366">
        <f t="shared" si="63"/>
        <v>1</v>
      </c>
      <c r="S1366">
        <f t="shared" si="64"/>
        <v>1</v>
      </c>
      <c r="T1366" s="102" t="str">
        <f>IF(TableRelationships12[[#This Row],[Rank Pedro]]="Low","linkCategory1",IF(TableRelationships12[[#This Row],[Rank Pedro]]="Medium","linkCategory2",IF(TableRelationships12[[#This Row],[Rank Pedro]]="High","linkCategory3","")))</f>
        <v/>
      </c>
      <c r="U1366" s="102" t="str">
        <f>IF(TableRelationships12[[#This Row],[Rank Pedro]]="Low","Pink",IF(TableRelationships12[[#This Row],[Rank Pedro]]="Medium","Purple",IF(TableRelationships12[[#This Row],[Rank Pedro]]="High","Brown","")))</f>
        <v/>
      </c>
      <c r="V1366" s="4" t="e">
        <f>MAX(INDEX(Standards!$F$2:$F$296,MATCH(B1366,Standards!$B$2:$B$296,0)),INDEX(Standards!$F$2:$F$296,MATCH(C1366,Standards!$B$2:$B$296,0)))</f>
        <v>#N/A</v>
      </c>
      <c r="W1366" t="str">
        <f t="shared" si="65"/>
        <v>#2f89d1</v>
      </c>
    </row>
    <row r="1367" spans="1:23" x14ac:dyDescent="0.5">
      <c r="A1367" s="54">
        <v>1366</v>
      </c>
      <c r="B1367" s="90" t="s">
        <v>1206</v>
      </c>
      <c r="C1367" t="s">
        <v>1733</v>
      </c>
      <c r="D1367" s="1"/>
      <c r="F1367" s="112">
        <v>2024.12</v>
      </c>
      <c r="G1367" s="107"/>
      <c r="H1367">
        <f>INDEX('GIS-Standards'!$A$2:$A$305,MATCH(B1367,'GIS-Standards'!$B$2:$B$305,0))</f>
        <v>58</v>
      </c>
      <c r="I1367" t="e">
        <f>INDEX('GIS-Standards'!$A$2:$A$305,MATCH(C1367,'GIS-Standards'!$B$2:$B$305,0))</f>
        <v>#N/A</v>
      </c>
      <c r="J1367" t="str">
        <f>INDEX('GIS-Standards'!$O$2:$O$305,MATCH(B1367,'GIS-Standards'!$B$2:$B$305,0))</f>
        <v>ISO/TC 211</v>
      </c>
      <c r="K1367" t="e">
        <f>INDEX('GIS-Standards'!$O$2:$O$305,MATCH(C1367,'GIS-Standards'!$B$2:$B$305,0))</f>
        <v>#N/A</v>
      </c>
      <c r="M1367" t="s">
        <v>525</v>
      </c>
      <c r="N1367">
        <f>INDEX('GIS-Standards'!$I$2:$I$305,MATCH(B1367,'GIS-Standards'!$B$2:$B$305,0))</f>
        <v>0</v>
      </c>
      <c r="O1367" t="e">
        <f>INDEX('GIS-Standards'!$I$2:$I$305,MATCH(C1367,'GIS-Standards'!$B$2:$B$305,0))</f>
        <v>#N/A</v>
      </c>
      <c r="P1367" t="e">
        <f>AND(TableRelationships12[[#This Row],[Source Type]]="BIM",TableRelationships12[[#This Row],[Target Type]]="BIM")</f>
        <v>#N/A</v>
      </c>
      <c r="Q1367">
        <f t="shared" si="63"/>
        <v>1</v>
      </c>
      <c r="S1367">
        <f t="shared" si="64"/>
        <v>1</v>
      </c>
      <c r="T1367" s="102" t="str">
        <f>IF(TableRelationships12[[#This Row],[Rank Pedro]]="Low","linkCategory1",IF(TableRelationships12[[#This Row],[Rank Pedro]]="Medium","linkCategory2",IF(TableRelationships12[[#This Row],[Rank Pedro]]="High","linkCategory3","")))</f>
        <v/>
      </c>
      <c r="U1367" s="102" t="str">
        <f>IF(TableRelationships12[[#This Row],[Rank Pedro]]="Low","Pink",IF(TableRelationships12[[#This Row],[Rank Pedro]]="Medium","Purple",IF(TableRelationships12[[#This Row],[Rank Pedro]]="High","Brown","")))</f>
        <v/>
      </c>
      <c r="V1367" s="4" t="e">
        <f>MAX(INDEX(Standards!$F$2:$F$296,MATCH(B1367,Standards!$B$2:$B$296,0)),INDEX(Standards!$F$2:$F$296,MATCH(C1367,Standards!$B$2:$B$296,0)))</f>
        <v>#N/A</v>
      </c>
      <c r="W1367" t="str">
        <f t="shared" si="65"/>
        <v>#2f89d1</v>
      </c>
    </row>
    <row r="1368" spans="1:23" x14ac:dyDescent="0.5">
      <c r="A1368" s="54">
        <v>1367</v>
      </c>
      <c r="B1368" s="90" t="s">
        <v>1206</v>
      </c>
      <c r="C1368" t="s">
        <v>1469</v>
      </c>
      <c r="D1368" s="1"/>
      <c r="E1368" s="113">
        <v>2012.12</v>
      </c>
      <c r="F1368" s="113">
        <v>2025.07</v>
      </c>
      <c r="G1368" s="107" t="s">
        <v>670</v>
      </c>
      <c r="H1368">
        <f>INDEX('GIS-Standards'!$A$2:$A$305,MATCH(B1368,'GIS-Standards'!$B$2:$B$305,0))</f>
        <v>58</v>
      </c>
      <c r="I1368">
        <f>INDEX('GIS-Standards'!$A$2:$A$305,MATCH(C1368,'GIS-Standards'!$B$2:$B$305,0))</f>
        <v>60</v>
      </c>
      <c r="J1368" t="str">
        <f>INDEX('GIS-Standards'!$O$2:$O$305,MATCH(B1368,'GIS-Standards'!$B$2:$B$305,0))</f>
        <v>ISO/TC 211</v>
      </c>
      <c r="K1368" t="str">
        <f>INDEX('GIS-Standards'!$O$2:$O$305,MATCH(C1368,'GIS-Standards'!$B$2:$B$305,0))</f>
        <v>ISO/TC 211</v>
      </c>
      <c r="M1368" t="s">
        <v>525</v>
      </c>
      <c r="N1368">
        <f>INDEX('GIS-Standards'!$I$2:$I$305,MATCH(B1368,'GIS-Standards'!$B$2:$B$305,0))</f>
        <v>0</v>
      </c>
      <c r="O1368">
        <f>INDEX('GIS-Standards'!$I$2:$I$305,MATCH(C1368,'GIS-Standards'!$B$2:$B$305,0))</f>
        <v>0</v>
      </c>
      <c r="P1368" t="b">
        <f>AND(TableRelationships12[[#This Row],[Source Type]]="BIM",TableRelationships12[[#This Row],[Target Type]]="BIM")</f>
        <v>0</v>
      </c>
      <c r="Q1368">
        <f t="shared" si="63"/>
        <v>1</v>
      </c>
      <c r="S1368">
        <f t="shared" si="64"/>
        <v>1</v>
      </c>
      <c r="T1368" s="102" t="str">
        <f>IF(TableRelationships12[[#This Row],[Rank Pedro]]="Low","linkCategory1",IF(TableRelationships12[[#This Row],[Rank Pedro]]="Medium","linkCategory2",IF(TableRelationships12[[#This Row],[Rank Pedro]]="High","linkCategory3","")))</f>
        <v/>
      </c>
      <c r="U1368" s="102" t="str">
        <f>IF(TableRelationships12[[#This Row],[Rank Pedro]]="Low","Pink",IF(TableRelationships12[[#This Row],[Rank Pedro]]="Medium","Purple",IF(TableRelationships12[[#This Row],[Rank Pedro]]="High","Brown","")))</f>
        <v/>
      </c>
      <c r="V1368" s="4" t="e">
        <f>MAX(INDEX(Standards!$F$2:$F$296,MATCH(B1368,Standards!$B$2:$B$296,0)),INDEX(Standards!$F$2:$F$296,MATCH(C1368,Standards!$B$2:$B$296,0)))</f>
        <v>#N/A</v>
      </c>
      <c r="W1368" t="str">
        <f t="shared" si="65"/>
        <v>#2f89d1</v>
      </c>
    </row>
    <row r="1369" spans="1:23" x14ac:dyDescent="0.5">
      <c r="A1369" s="54">
        <v>1368</v>
      </c>
      <c r="B1369" s="90" t="s">
        <v>1206</v>
      </c>
      <c r="C1369" t="s">
        <v>1470</v>
      </c>
      <c r="D1369" s="1"/>
      <c r="E1369" s="113">
        <v>2012.12</v>
      </c>
      <c r="F1369" s="113">
        <v>2025.08</v>
      </c>
      <c r="G1369" s="107" t="s">
        <v>670</v>
      </c>
      <c r="H1369">
        <f>INDEX('GIS-Standards'!$A$2:$A$305,MATCH(B1369,'GIS-Standards'!$B$2:$B$305,0))</f>
        <v>58</v>
      </c>
      <c r="I1369">
        <f>INDEX('GIS-Standards'!$A$2:$A$305,MATCH(C1369,'GIS-Standards'!$B$2:$B$305,0))</f>
        <v>61</v>
      </c>
      <c r="J1369" t="str">
        <f>INDEX('GIS-Standards'!$O$2:$O$305,MATCH(B1369,'GIS-Standards'!$B$2:$B$305,0))</f>
        <v>ISO/TC 211</v>
      </c>
      <c r="K1369" t="str">
        <f>INDEX('GIS-Standards'!$O$2:$O$305,MATCH(C1369,'GIS-Standards'!$B$2:$B$305,0))</f>
        <v>ISO/TC 211</v>
      </c>
      <c r="M1369" t="s">
        <v>525</v>
      </c>
      <c r="N1369">
        <f>INDEX('GIS-Standards'!$I$2:$I$305,MATCH(B1369,'GIS-Standards'!$B$2:$B$305,0))</f>
        <v>0</v>
      </c>
      <c r="O1369">
        <f>INDEX('GIS-Standards'!$I$2:$I$305,MATCH(C1369,'GIS-Standards'!$B$2:$B$305,0))</f>
        <v>0</v>
      </c>
      <c r="P1369" t="b">
        <f>AND(TableRelationships12[[#This Row],[Source Type]]="BIM",TableRelationships12[[#This Row],[Target Type]]="BIM")</f>
        <v>0</v>
      </c>
      <c r="Q1369">
        <f t="shared" si="63"/>
        <v>1</v>
      </c>
      <c r="S1369">
        <f t="shared" si="64"/>
        <v>1</v>
      </c>
      <c r="T1369" s="102" t="str">
        <f>IF(TableRelationships12[[#This Row],[Rank Pedro]]="Low","linkCategory1",IF(TableRelationships12[[#This Row],[Rank Pedro]]="Medium","linkCategory2",IF(TableRelationships12[[#This Row],[Rank Pedro]]="High","linkCategory3","")))</f>
        <v/>
      </c>
      <c r="U1369" s="102" t="str">
        <f>IF(TableRelationships12[[#This Row],[Rank Pedro]]="Low","Pink",IF(TableRelationships12[[#This Row],[Rank Pedro]]="Medium","Purple",IF(TableRelationships12[[#This Row],[Rank Pedro]]="High","Brown","")))</f>
        <v/>
      </c>
      <c r="V1369" s="4" t="e">
        <f>MAX(INDEX(Standards!$F$2:$F$296,MATCH(B1369,Standards!$B$2:$B$296,0)),INDEX(Standards!$F$2:$F$296,MATCH(C1369,Standards!$B$2:$B$296,0)))</f>
        <v>#N/A</v>
      </c>
      <c r="W1369" t="str">
        <f t="shared" si="65"/>
        <v>#2f89d1</v>
      </c>
    </row>
    <row r="1370" spans="1:23" x14ac:dyDescent="0.5">
      <c r="A1370" s="54">
        <v>1369</v>
      </c>
      <c r="B1370" s="90" t="s">
        <v>1052</v>
      </c>
      <c r="C1370" t="s">
        <v>527</v>
      </c>
      <c r="D1370" s="1"/>
      <c r="E1370" s="112" t="s">
        <v>885</v>
      </c>
      <c r="F1370" s="112" t="s">
        <v>972</v>
      </c>
      <c r="G1370" s="121" t="s">
        <v>670</v>
      </c>
      <c r="H1370">
        <f>INDEX('GIS-Standards'!$A$2:$A$305,MATCH(B1370,'GIS-Standards'!$B$2:$B$305,0))</f>
        <v>59</v>
      </c>
      <c r="I1370" t="e">
        <f>INDEX('GIS-Standards'!$A$2:$A$305,MATCH(C1370,'GIS-Standards'!$B$2:$B$305,0))</f>
        <v>#N/A</v>
      </c>
      <c r="J1370" t="str">
        <f>INDEX('GIS-Standards'!$O$2:$O$305,MATCH(B1370,'GIS-Standards'!$B$2:$B$305,0))</f>
        <v>ISO/TC 211</v>
      </c>
      <c r="K1370" t="e">
        <f>INDEX('GIS-Standards'!$O$2:$O$305,MATCH(C1370,'GIS-Standards'!$B$2:$B$305,0))</f>
        <v>#N/A</v>
      </c>
      <c r="M1370" t="s">
        <v>237</v>
      </c>
      <c r="N1370">
        <f>INDEX('GIS-Standards'!$I$2:$I$305,MATCH(B1370,'GIS-Standards'!$B$2:$B$305,0))</f>
        <v>0</v>
      </c>
      <c r="O1370" t="e">
        <f>INDEX('GIS-Standards'!$I$2:$I$305,MATCH(C1370,'GIS-Standards'!$B$2:$B$305,0))</f>
        <v>#N/A</v>
      </c>
      <c r="P1370" t="e">
        <f>AND(TableRelationships12[[#This Row],[Source Type]]="BIM",TableRelationships12[[#This Row],[Target Type]]="BIM")</f>
        <v>#N/A</v>
      </c>
      <c r="Q1370">
        <f t="shared" si="63"/>
        <v>2</v>
      </c>
      <c r="S1370">
        <f t="shared" si="64"/>
        <v>1</v>
      </c>
      <c r="T1370" s="102" t="str">
        <f>IF(TableRelationships12[[#This Row],[Rank Pedro]]="Low","linkCategory1",IF(TableRelationships12[[#This Row],[Rank Pedro]]="Medium","linkCategory2",IF(TableRelationships12[[#This Row],[Rank Pedro]]="High","linkCategory3","")))</f>
        <v/>
      </c>
      <c r="U1370" s="102" t="str">
        <f>IF(TableRelationships12[[#This Row],[Rank Pedro]]="Low","Pink",IF(TableRelationships12[[#This Row],[Rank Pedro]]="Medium","Purple",IF(TableRelationships12[[#This Row],[Rank Pedro]]="High","Brown","")))</f>
        <v/>
      </c>
      <c r="V1370" s="4" t="e">
        <f>MAX(INDEX(Standards!$F$2:$F$296,MATCH(B1370,Standards!$B$2:$B$296,0)),INDEX(Standards!$F$2:$F$296,MATCH(C1370,Standards!$B$2:$B$296,0)))</f>
        <v>#N/A</v>
      </c>
      <c r="W1370">
        <f t="shared" si="65"/>
        <v>1</v>
      </c>
    </row>
    <row r="1371" spans="1:23" x14ac:dyDescent="0.5">
      <c r="A1371" s="54">
        <v>1370</v>
      </c>
      <c r="B1371" s="90" t="s">
        <v>1052</v>
      </c>
      <c r="C1371" t="s">
        <v>1039</v>
      </c>
      <c r="D1371" s="1"/>
      <c r="E1371" s="113">
        <v>2012.12</v>
      </c>
      <c r="F1371" s="113">
        <v>2024.01</v>
      </c>
      <c r="G1371" s="107" t="s">
        <v>670</v>
      </c>
      <c r="H1371">
        <f>INDEX('GIS-Standards'!$A$2:$A$305,MATCH(B1371,'GIS-Standards'!$B$2:$B$305,0))</f>
        <v>59</v>
      </c>
      <c r="I1371">
        <f>INDEX('GIS-Standards'!$A$2:$A$305,MATCH(C1371,'GIS-Standards'!$B$2:$B$305,0))</f>
        <v>57</v>
      </c>
      <c r="J1371" t="str">
        <f>INDEX('GIS-Standards'!$O$2:$O$305,MATCH(B1371,'GIS-Standards'!$B$2:$B$305,0))</f>
        <v>ISO/TC 211</v>
      </c>
      <c r="K1371" t="str">
        <f>INDEX('GIS-Standards'!$O$2:$O$305,MATCH(C1371,'GIS-Standards'!$B$2:$B$305,0))</f>
        <v>ISO/TC 211</v>
      </c>
      <c r="M1371" t="s">
        <v>524</v>
      </c>
      <c r="N1371">
        <f>INDEX('GIS-Standards'!$I$2:$I$305,MATCH(B1371,'GIS-Standards'!$B$2:$B$305,0))</f>
        <v>0</v>
      </c>
      <c r="O1371">
        <f>INDEX('GIS-Standards'!$I$2:$I$305,MATCH(C1371,'GIS-Standards'!$B$2:$B$305,0))</f>
        <v>0</v>
      </c>
      <c r="P1371" t="b">
        <f>AND(TableRelationships12[[#This Row],[Source Type]]="BIM",TableRelationships12[[#This Row],[Target Type]]="BIM")</f>
        <v>0</v>
      </c>
      <c r="Q1371">
        <f t="shared" si="63"/>
        <v>6</v>
      </c>
      <c r="S1371">
        <f t="shared" si="64"/>
        <v>1</v>
      </c>
      <c r="T1371" s="102" t="str">
        <f>IF(TableRelationships12[[#This Row],[Rank Pedro]]="Low","linkCategory1",IF(TableRelationships12[[#This Row],[Rank Pedro]]="Medium","linkCategory2",IF(TableRelationships12[[#This Row],[Rank Pedro]]="High","linkCategory3","")))</f>
        <v/>
      </c>
      <c r="U1371" s="102" t="str">
        <f>IF(TableRelationships12[[#This Row],[Rank Pedro]]="Low","Pink",IF(TableRelationships12[[#This Row],[Rank Pedro]]="Medium","Purple",IF(TableRelationships12[[#This Row],[Rank Pedro]]="High","Brown","")))</f>
        <v/>
      </c>
      <c r="V1371" s="4" t="e">
        <f>MAX(INDEX(Standards!$F$2:$F$296,MATCH(B1371,Standards!$B$2:$B$296,0)),INDEX(Standards!$F$2:$F$296,MATCH(C1371,Standards!$B$2:$B$296,0)))</f>
        <v>#N/A</v>
      </c>
      <c r="W1371" t="str">
        <f t="shared" si="65"/>
        <v>#d6bf2a</v>
      </c>
    </row>
    <row r="1372" spans="1:23" x14ac:dyDescent="0.5">
      <c r="A1372" s="54">
        <v>1371</v>
      </c>
      <c r="B1372" s="90" t="s">
        <v>1052</v>
      </c>
      <c r="C1372" t="s">
        <v>293</v>
      </c>
      <c r="D1372" s="1"/>
      <c r="E1372" s="112">
        <v>2002.07</v>
      </c>
      <c r="F1372" s="112">
        <v>2014.11</v>
      </c>
      <c r="G1372" s="107" t="s">
        <v>670</v>
      </c>
      <c r="H1372">
        <f>INDEX('GIS-Standards'!$A$2:$A$305,MATCH(B1372,'GIS-Standards'!$B$2:$B$305,0))</f>
        <v>59</v>
      </c>
      <c r="I1372">
        <f>INDEX('GIS-Standards'!$A$2:$A$305,MATCH(C1372,'GIS-Standards'!$B$2:$B$305,0))</f>
        <v>10</v>
      </c>
      <c r="J1372" t="str">
        <f>INDEX('GIS-Standards'!$O$2:$O$305,MATCH(B1372,'GIS-Standards'!$B$2:$B$305,0))</f>
        <v>ISO/TC 211</v>
      </c>
      <c r="K1372" t="str">
        <f>INDEX('GIS-Standards'!$O$2:$O$305,MATCH(C1372,'GIS-Standards'!$B$2:$B$305,0))</f>
        <v>ISO/TC 211</v>
      </c>
      <c r="M1372" t="s">
        <v>525</v>
      </c>
      <c r="N1372">
        <f>INDEX('GIS-Standards'!$I$2:$I$305,MATCH(B1372,'GIS-Standards'!$B$2:$B$305,0))</f>
        <v>0</v>
      </c>
      <c r="O1372">
        <f>INDEX('GIS-Standards'!$I$2:$I$305,MATCH(C1372,'GIS-Standards'!$B$2:$B$305,0))</f>
        <v>0</v>
      </c>
      <c r="P1372" t="b">
        <f>AND(TableRelationships12[[#This Row],[Source Type]]="BIM",TableRelationships12[[#This Row],[Target Type]]="BIM")</f>
        <v>0</v>
      </c>
      <c r="Q1372">
        <f t="shared" si="63"/>
        <v>1</v>
      </c>
      <c r="S1372">
        <f t="shared" si="64"/>
        <v>1</v>
      </c>
      <c r="T1372" s="102" t="str">
        <f>IF(TableRelationships12[[#This Row],[Rank Pedro]]="Low","linkCategory1",IF(TableRelationships12[[#This Row],[Rank Pedro]]="Medium","linkCategory2",IF(TableRelationships12[[#This Row],[Rank Pedro]]="High","linkCategory3","")))</f>
        <v/>
      </c>
      <c r="U1372" s="102" t="str">
        <f>IF(TableRelationships12[[#This Row],[Rank Pedro]]="Low","Pink",IF(TableRelationships12[[#This Row],[Rank Pedro]]="Medium","Purple",IF(TableRelationships12[[#This Row],[Rank Pedro]]="High","Brown","")))</f>
        <v/>
      </c>
      <c r="V1372" s="4" t="e">
        <f>MAX(INDEX(Standards!$F$2:$F$296,MATCH(B1372,Standards!$B$2:$B$296,0)),INDEX(Standards!$F$2:$F$296,MATCH(C1372,Standards!$B$2:$B$296,0)))</f>
        <v>#N/A</v>
      </c>
      <c r="W1372" t="str">
        <f t="shared" si="65"/>
        <v>#2f89d1</v>
      </c>
    </row>
    <row r="1373" spans="1:23" x14ac:dyDescent="0.5">
      <c r="A1373" s="54">
        <v>1372</v>
      </c>
      <c r="B1373" s="90" t="s">
        <v>1052</v>
      </c>
      <c r="C1373" t="s">
        <v>296</v>
      </c>
      <c r="D1373" s="1"/>
      <c r="E1373" s="112">
        <v>2005.07</v>
      </c>
      <c r="F1373" s="112">
        <v>2024.09</v>
      </c>
      <c r="G1373" s="107" t="s">
        <v>670</v>
      </c>
      <c r="H1373">
        <f>INDEX('GIS-Standards'!$A$2:$A$305,MATCH(B1373,'GIS-Standards'!$B$2:$B$305,0))</f>
        <v>59</v>
      </c>
      <c r="I1373">
        <f>INDEX('GIS-Standards'!$A$2:$A$305,MATCH(C1373,'GIS-Standards'!$B$2:$B$305,0))</f>
        <v>12</v>
      </c>
      <c r="J1373" t="str">
        <f>INDEX('GIS-Standards'!$O$2:$O$305,MATCH(B1373,'GIS-Standards'!$B$2:$B$305,0))</f>
        <v>ISO/TC 211</v>
      </c>
      <c r="K1373" t="str">
        <f>INDEX('GIS-Standards'!$O$2:$O$305,MATCH(C1373,'GIS-Standards'!$B$2:$B$305,0))</f>
        <v>ISO/TC 211</v>
      </c>
      <c r="M1373" t="s">
        <v>525</v>
      </c>
      <c r="N1373">
        <f>INDEX('GIS-Standards'!$I$2:$I$305,MATCH(B1373,'GIS-Standards'!$B$2:$B$305,0))</f>
        <v>0</v>
      </c>
      <c r="O1373">
        <f>INDEX('GIS-Standards'!$I$2:$I$305,MATCH(C1373,'GIS-Standards'!$B$2:$B$305,0))</f>
        <v>0</v>
      </c>
      <c r="P1373" t="b">
        <f>AND(TableRelationships12[[#This Row],[Source Type]]="BIM",TableRelationships12[[#This Row],[Target Type]]="BIM")</f>
        <v>0</v>
      </c>
      <c r="Q1373">
        <f t="shared" si="63"/>
        <v>1</v>
      </c>
      <c r="S1373">
        <f t="shared" si="64"/>
        <v>1</v>
      </c>
      <c r="T1373" s="102" t="str">
        <f>IF(TableRelationships12[[#This Row],[Rank Pedro]]="Low","linkCategory1",IF(TableRelationships12[[#This Row],[Rank Pedro]]="Medium","linkCategory2",IF(TableRelationships12[[#This Row],[Rank Pedro]]="High","linkCategory3","")))</f>
        <v/>
      </c>
      <c r="U1373" s="102" t="str">
        <f>IF(TableRelationships12[[#This Row],[Rank Pedro]]="Low","Pink",IF(TableRelationships12[[#This Row],[Rank Pedro]]="Medium","Purple",IF(TableRelationships12[[#This Row],[Rank Pedro]]="High","Brown","")))</f>
        <v/>
      </c>
      <c r="V1373" s="4" t="e">
        <f>MAX(INDEX(Standards!$F$2:$F$296,MATCH(B1373,Standards!$B$2:$B$296,0)),INDEX(Standards!$F$2:$F$296,MATCH(C1373,Standards!$B$2:$B$296,0)))</f>
        <v>#N/A</v>
      </c>
      <c r="W1373" t="str">
        <f t="shared" si="65"/>
        <v>#2f89d1</v>
      </c>
    </row>
    <row r="1374" spans="1:23" x14ac:dyDescent="0.5">
      <c r="A1374" s="54">
        <v>1373</v>
      </c>
      <c r="B1374" s="90" t="s">
        <v>1052</v>
      </c>
      <c r="C1374" t="s">
        <v>1040</v>
      </c>
      <c r="D1374" s="1" t="s">
        <v>1205</v>
      </c>
      <c r="E1374" s="112">
        <v>2004.07</v>
      </c>
      <c r="F1374" s="112">
        <v>2004.07</v>
      </c>
      <c r="G1374" s="107" t="s">
        <v>670</v>
      </c>
      <c r="H1374">
        <f>INDEX('GIS-Standards'!$A$2:$A$305,MATCH(B1374,'GIS-Standards'!$B$2:$B$305,0))</f>
        <v>59</v>
      </c>
      <c r="I1374">
        <f>INDEX('GIS-Standards'!$A$2:$A$305,MATCH(C1374,'GIS-Standards'!$B$2:$B$305,0))</f>
        <v>15</v>
      </c>
      <c r="J1374" t="str">
        <f>INDEX('GIS-Standards'!$O$2:$O$305,MATCH(B1374,'GIS-Standards'!$B$2:$B$305,0))</f>
        <v>ISO/TC 211</v>
      </c>
      <c r="K1374" t="str">
        <f>INDEX('GIS-Standards'!$O$2:$O$305,MATCH(C1374,'GIS-Standards'!$B$2:$B$305,0))</f>
        <v>ISO/TC 211</v>
      </c>
      <c r="M1374" t="s">
        <v>525</v>
      </c>
      <c r="N1374">
        <f>INDEX('GIS-Standards'!$I$2:$I$305,MATCH(B1374,'GIS-Standards'!$B$2:$B$305,0))</f>
        <v>0</v>
      </c>
      <c r="O1374">
        <f>INDEX('GIS-Standards'!$I$2:$I$305,MATCH(C1374,'GIS-Standards'!$B$2:$B$305,0))</f>
        <v>0</v>
      </c>
      <c r="P1374" t="b">
        <f>AND(TableRelationships12[[#This Row],[Source Type]]="BIM",TableRelationships12[[#This Row],[Target Type]]="BIM")</f>
        <v>0</v>
      </c>
      <c r="Q1374">
        <f t="shared" si="63"/>
        <v>1</v>
      </c>
      <c r="S1374">
        <f t="shared" si="64"/>
        <v>1</v>
      </c>
      <c r="T1374" s="102" t="str">
        <f>IF(TableRelationships12[[#This Row],[Rank Pedro]]="Low","linkCategory1",IF(TableRelationships12[[#This Row],[Rank Pedro]]="Medium","linkCategory2",IF(TableRelationships12[[#This Row],[Rank Pedro]]="High","linkCategory3","")))</f>
        <v/>
      </c>
      <c r="U1374" s="102" t="str">
        <f>IF(TableRelationships12[[#This Row],[Rank Pedro]]="Low","Pink",IF(TableRelationships12[[#This Row],[Rank Pedro]]="Medium","Purple",IF(TableRelationships12[[#This Row],[Rank Pedro]]="High","Brown","")))</f>
        <v/>
      </c>
      <c r="V1374" s="4" t="e">
        <f>MAX(INDEX(Standards!$F$2:$F$296,MATCH(B1374,Standards!$B$2:$B$296,0)),INDEX(Standards!$F$2:$F$296,MATCH(C1374,Standards!$B$2:$B$296,0)))</f>
        <v>#N/A</v>
      </c>
      <c r="W1374" t="str">
        <f t="shared" si="65"/>
        <v>#2f89d1</v>
      </c>
    </row>
    <row r="1375" spans="1:23" x14ac:dyDescent="0.5">
      <c r="A1375" s="54">
        <v>1374</v>
      </c>
      <c r="B1375" s="90" t="s">
        <v>1052</v>
      </c>
      <c r="C1375" t="s">
        <v>302</v>
      </c>
      <c r="D1375" s="1"/>
      <c r="E1375" s="112">
        <v>2003.05</v>
      </c>
      <c r="F1375" s="112">
        <v>2019.12</v>
      </c>
      <c r="G1375" s="107" t="s">
        <v>670</v>
      </c>
      <c r="H1375">
        <f>INDEX('GIS-Standards'!$A$2:$A$305,MATCH(B1375,'GIS-Standards'!$B$2:$B$305,0))</f>
        <v>59</v>
      </c>
      <c r="I1375">
        <f>INDEX('GIS-Standards'!$A$2:$A$305,MATCH(C1375,'GIS-Standards'!$B$2:$B$305,0))</f>
        <v>16</v>
      </c>
      <c r="J1375" t="str">
        <f>INDEX('GIS-Standards'!$O$2:$O$305,MATCH(B1375,'GIS-Standards'!$B$2:$B$305,0))</f>
        <v>ISO/TC 211</v>
      </c>
      <c r="K1375" t="str">
        <f>INDEX('GIS-Standards'!$O$2:$O$305,MATCH(C1375,'GIS-Standards'!$B$2:$B$305,0))</f>
        <v>ISO/TC 211</v>
      </c>
      <c r="M1375" t="s">
        <v>525</v>
      </c>
      <c r="N1375">
        <f>INDEX('GIS-Standards'!$I$2:$I$305,MATCH(B1375,'GIS-Standards'!$B$2:$B$305,0))</f>
        <v>0</v>
      </c>
      <c r="O1375">
        <f>INDEX('GIS-Standards'!$I$2:$I$305,MATCH(C1375,'GIS-Standards'!$B$2:$B$305,0))</f>
        <v>0</v>
      </c>
      <c r="P1375" t="b">
        <f>AND(TableRelationships12[[#This Row],[Source Type]]="BIM",TableRelationships12[[#This Row],[Target Type]]="BIM")</f>
        <v>0</v>
      </c>
      <c r="Q1375">
        <f t="shared" si="63"/>
        <v>1</v>
      </c>
      <c r="S1375">
        <f t="shared" si="64"/>
        <v>1</v>
      </c>
      <c r="T1375" s="102" t="str">
        <f>IF(TableRelationships12[[#This Row],[Rank Pedro]]="Low","linkCategory1",IF(TableRelationships12[[#This Row],[Rank Pedro]]="Medium","linkCategory2",IF(TableRelationships12[[#This Row],[Rank Pedro]]="High","linkCategory3","")))</f>
        <v/>
      </c>
      <c r="U1375" s="102" t="str">
        <f>IF(TableRelationships12[[#This Row],[Rank Pedro]]="Low","Pink",IF(TableRelationships12[[#This Row],[Rank Pedro]]="Medium","Purple",IF(TableRelationships12[[#This Row],[Rank Pedro]]="High","Brown","")))</f>
        <v/>
      </c>
      <c r="V1375" s="4" t="e">
        <f>MAX(INDEX(Standards!$F$2:$F$296,MATCH(B1375,Standards!$B$2:$B$296,0)),INDEX(Standards!$F$2:$F$296,MATCH(C1375,Standards!$B$2:$B$296,0)))</f>
        <v>#N/A</v>
      </c>
      <c r="W1375" t="str">
        <f t="shared" si="65"/>
        <v>#2f89d1</v>
      </c>
    </row>
    <row r="1376" spans="1:23" x14ac:dyDescent="0.5">
      <c r="A1376" s="54">
        <v>1375</v>
      </c>
      <c r="B1376" s="90" t="s">
        <v>1052</v>
      </c>
      <c r="C1376" t="s">
        <v>306</v>
      </c>
      <c r="D1376" s="1"/>
      <c r="E1376" s="112">
        <v>2005.06</v>
      </c>
      <c r="F1376" s="112">
        <v>2025.07</v>
      </c>
      <c r="G1376" s="107" t="s">
        <v>670</v>
      </c>
      <c r="H1376">
        <f>INDEX('GIS-Standards'!$A$2:$A$305,MATCH(B1376,'GIS-Standards'!$B$2:$B$305,0))</f>
        <v>59</v>
      </c>
      <c r="I1376">
        <f>INDEX('GIS-Standards'!$A$2:$A$305,MATCH(C1376,'GIS-Standards'!$B$2:$B$305,0))</f>
        <v>18</v>
      </c>
      <c r="J1376" t="str">
        <f>INDEX('GIS-Standards'!$O$2:$O$305,MATCH(B1376,'GIS-Standards'!$B$2:$B$305,0))</f>
        <v>ISO/TC 211</v>
      </c>
      <c r="K1376" t="str">
        <f>INDEX('GIS-Standards'!$O$2:$O$305,MATCH(C1376,'GIS-Standards'!$B$2:$B$305,0))</f>
        <v>ISO/TC 211</v>
      </c>
      <c r="M1376" t="s">
        <v>525</v>
      </c>
      <c r="N1376">
        <f>INDEX('GIS-Standards'!$I$2:$I$305,MATCH(B1376,'GIS-Standards'!$B$2:$B$305,0))</f>
        <v>0</v>
      </c>
      <c r="O1376">
        <f>INDEX('GIS-Standards'!$I$2:$I$305,MATCH(C1376,'GIS-Standards'!$B$2:$B$305,0))</f>
        <v>0</v>
      </c>
      <c r="P1376" t="b">
        <f>AND(TableRelationships12[[#This Row],[Source Type]]="BIM",TableRelationships12[[#This Row],[Target Type]]="BIM")</f>
        <v>0</v>
      </c>
      <c r="Q1376">
        <f t="shared" si="63"/>
        <v>1</v>
      </c>
      <c r="S1376">
        <f t="shared" si="64"/>
        <v>1</v>
      </c>
      <c r="T1376" s="102" t="str">
        <f>IF(TableRelationships12[[#This Row],[Rank Pedro]]="Low","linkCategory1",IF(TableRelationships12[[#This Row],[Rank Pedro]]="Medium","linkCategory2",IF(TableRelationships12[[#This Row],[Rank Pedro]]="High","linkCategory3","")))</f>
        <v/>
      </c>
      <c r="U1376" s="102" t="str">
        <f>IF(TableRelationships12[[#This Row],[Rank Pedro]]="Low","Pink",IF(TableRelationships12[[#This Row],[Rank Pedro]]="Medium","Purple",IF(TableRelationships12[[#This Row],[Rank Pedro]]="High","Brown","")))</f>
        <v/>
      </c>
      <c r="V1376" s="4" t="e">
        <f>MAX(INDEX(Standards!$F$2:$F$296,MATCH(B1376,Standards!$B$2:$B$296,0)),INDEX(Standards!$F$2:$F$296,MATCH(C1376,Standards!$B$2:$B$296,0)))</f>
        <v>#N/A</v>
      </c>
      <c r="W1376" t="str">
        <f t="shared" si="65"/>
        <v>#2f89d1</v>
      </c>
    </row>
    <row r="1377" spans="1:23" x14ac:dyDescent="0.5">
      <c r="A1377" s="54">
        <v>1376</v>
      </c>
      <c r="B1377" s="90" t="s">
        <v>1052</v>
      </c>
      <c r="C1377" t="s">
        <v>308</v>
      </c>
      <c r="D1377" s="1"/>
      <c r="E1377" s="112">
        <v>2005.02</v>
      </c>
      <c r="F1377" s="112">
        <v>2016.12</v>
      </c>
      <c r="G1377" s="107" t="s">
        <v>670</v>
      </c>
      <c r="H1377">
        <f>INDEX('GIS-Standards'!$A$2:$A$305,MATCH(B1377,'GIS-Standards'!$B$2:$B$305,0))</f>
        <v>59</v>
      </c>
      <c r="I1377">
        <f>INDEX('GIS-Standards'!$A$2:$A$305,MATCH(C1377,'GIS-Standards'!$B$2:$B$305,0))</f>
        <v>19</v>
      </c>
      <c r="J1377" t="str">
        <f>INDEX('GIS-Standards'!$O$2:$O$305,MATCH(B1377,'GIS-Standards'!$B$2:$B$305,0))</f>
        <v>ISO/TC 211</v>
      </c>
      <c r="K1377" t="str">
        <f>INDEX('GIS-Standards'!$O$2:$O$305,MATCH(C1377,'GIS-Standards'!$B$2:$B$305,0))</f>
        <v>ISO/TC 211</v>
      </c>
      <c r="M1377" t="s">
        <v>525</v>
      </c>
      <c r="N1377">
        <f>INDEX('GIS-Standards'!$I$2:$I$305,MATCH(B1377,'GIS-Standards'!$B$2:$B$305,0))</f>
        <v>0</v>
      </c>
      <c r="O1377">
        <f>INDEX('GIS-Standards'!$I$2:$I$305,MATCH(C1377,'GIS-Standards'!$B$2:$B$305,0))</f>
        <v>0</v>
      </c>
      <c r="P1377" t="b">
        <f>AND(TableRelationships12[[#This Row],[Source Type]]="BIM",TableRelationships12[[#This Row],[Target Type]]="BIM")</f>
        <v>0</v>
      </c>
      <c r="Q1377">
        <f t="shared" si="63"/>
        <v>1</v>
      </c>
      <c r="S1377">
        <f t="shared" si="64"/>
        <v>1</v>
      </c>
      <c r="T1377" s="102" t="str">
        <f>IF(TableRelationships12[[#This Row],[Rank Pedro]]="Low","linkCategory1",IF(TableRelationships12[[#This Row],[Rank Pedro]]="Medium","linkCategory2",IF(TableRelationships12[[#This Row],[Rank Pedro]]="High","linkCategory3","")))</f>
        <v/>
      </c>
      <c r="U1377" s="102" t="str">
        <f>IF(TableRelationships12[[#This Row],[Rank Pedro]]="Low","Pink",IF(TableRelationships12[[#This Row],[Rank Pedro]]="Medium","Purple",IF(TableRelationships12[[#This Row],[Rank Pedro]]="High","Brown","")))</f>
        <v/>
      </c>
      <c r="V1377" s="4" t="e">
        <f>MAX(INDEX(Standards!$F$2:$F$296,MATCH(B1377,Standards!$B$2:$B$296,0)),INDEX(Standards!$F$2:$F$296,MATCH(C1377,Standards!$B$2:$B$296,0)))</f>
        <v>#N/A</v>
      </c>
      <c r="W1377" t="str">
        <f t="shared" si="65"/>
        <v>#2f89d1</v>
      </c>
    </row>
    <row r="1378" spans="1:23" x14ac:dyDescent="0.5">
      <c r="A1378" s="54">
        <v>1377</v>
      </c>
      <c r="B1378" s="90" t="s">
        <v>1052</v>
      </c>
      <c r="C1378" t="s">
        <v>310</v>
      </c>
      <c r="D1378" s="1"/>
      <c r="E1378" s="112">
        <v>2003.02</v>
      </c>
      <c r="F1378" s="112">
        <v>2023.08</v>
      </c>
      <c r="G1378" s="107" t="s">
        <v>670</v>
      </c>
      <c r="H1378">
        <f>INDEX('GIS-Standards'!$A$2:$A$305,MATCH(B1378,'GIS-Standards'!$B$2:$B$305,0))</f>
        <v>59</v>
      </c>
      <c r="I1378">
        <f>INDEX('GIS-Standards'!$A$2:$A$305,MATCH(C1378,'GIS-Standards'!$B$2:$B$305,0))</f>
        <v>20</v>
      </c>
      <c r="J1378" t="str">
        <f>INDEX('GIS-Standards'!$O$2:$O$305,MATCH(B1378,'GIS-Standards'!$B$2:$B$305,0))</f>
        <v>ISO/TC 211</v>
      </c>
      <c r="K1378" t="str">
        <f>INDEX('GIS-Standards'!$O$2:$O$305,MATCH(C1378,'GIS-Standards'!$B$2:$B$305,0))</f>
        <v>ISO/TC 211</v>
      </c>
      <c r="M1378" t="s">
        <v>525</v>
      </c>
      <c r="N1378">
        <f>INDEX('GIS-Standards'!$I$2:$I$305,MATCH(B1378,'GIS-Standards'!$B$2:$B$305,0))</f>
        <v>0</v>
      </c>
      <c r="O1378" t="str">
        <f>INDEX('GIS-Standards'!$I$2:$I$305,MATCH(C1378,'GIS-Standards'!$B$2:$B$305,0))</f>
        <v>08.2023</v>
      </c>
      <c r="P1378" t="b">
        <f>AND(TableRelationships12[[#This Row],[Source Type]]="BIM",TableRelationships12[[#This Row],[Target Type]]="BIM")</f>
        <v>0</v>
      </c>
      <c r="Q1378">
        <f t="shared" si="63"/>
        <v>1</v>
      </c>
      <c r="S1378">
        <f t="shared" si="64"/>
        <v>1</v>
      </c>
      <c r="T1378" s="102" t="str">
        <f>IF(TableRelationships12[[#This Row],[Rank Pedro]]="Low","linkCategory1",IF(TableRelationships12[[#This Row],[Rank Pedro]]="Medium","linkCategory2",IF(TableRelationships12[[#This Row],[Rank Pedro]]="High","linkCategory3","")))</f>
        <v/>
      </c>
      <c r="U1378" s="102" t="str">
        <f>IF(TableRelationships12[[#This Row],[Rank Pedro]]="Low","Pink",IF(TableRelationships12[[#This Row],[Rank Pedro]]="Medium","Purple",IF(TableRelationships12[[#This Row],[Rank Pedro]]="High","Brown","")))</f>
        <v/>
      </c>
      <c r="V1378" s="4" t="e">
        <f>MAX(INDEX(Standards!$F$2:$F$296,MATCH(B1378,Standards!$B$2:$B$296,0)),INDEX(Standards!$F$2:$F$296,MATCH(C1378,Standards!$B$2:$B$296,0)))</f>
        <v>#N/A</v>
      </c>
      <c r="W1378" t="str">
        <f t="shared" si="65"/>
        <v>#2f89d1</v>
      </c>
    </row>
    <row r="1379" spans="1:23" x14ac:dyDescent="0.5">
      <c r="A1379" s="54">
        <v>1378</v>
      </c>
      <c r="B1379" s="90" t="s">
        <v>1052</v>
      </c>
      <c r="C1379" t="s">
        <v>314</v>
      </c>
      <c r="D1379" s="1"/>
      <c r="E1379" s="112">
        <v>2003.05</v>
      </c>
      <c r="F1379" s="112">
        <v>2020.11</v>
      </c>
      <c r="G1379" s="107" t="s">
        <v>670</v>
      </c>
      <c r="H1379">
        <f>INDEX('GIS-Standards'!$A$2:$A$305,MATCH(B1379,'GIS-Standards'!$B$2:$B$305,0))</f>
        <v>59</v>
      </c>
      <c r="I1379">
        <f>INDEX('GIS-Standards'!$A$2:$A$305,MATCH(C1379,'GIS-Standards'!$B$2:$B$305,0))</f>
        <v>22</v>
      </c>
      <c r="J1379" t="str">
        <f>INDEX('GIS-Standards'!$O$2:$O$305,MATCH(B1379,'GIS-Standards'!$B$2:$B$305,0))</f>
        <v>ISO/TC 211</v>
      </c>
      <c r="K1379" t="str">
        <f>INDEX('GIS-Standards'!$O$2:$O$305,MATCH(C1379,'GIS-Standards'!$B$2:$B$305,0))</f>
        <v>ISO/TC 211</v>
      </c>
      <c r="M1379" t="s">
        <v>525</v>
      </c>
      <c r="N1379">
        <f>INDEX('GIS-Standards'!$I$2:$I$305,MATCH(B1379,'GIS-Standards'!$B$2:$B$305,0))</f>
        <v>0</v>
      </c>
      <c r="O1379" t="str">
        <f>INDEX('GIS-Standards'!$I$2:$I$305,MATCH(C1379,'GIS-Standards'!$B$2:$B$305,0))</f>
        <v>12.2020</v>
      </c>
      <c r="P1379" t="b">
        <f>AND(TableRelationships12[[#This Row],[Source Type]]="BIM",TableRelationships12[[#This Row],[Target Type]]="BIM")</f>
        <v>0</v>
      </c>
      <c r="Q1379">
        <f t="shared" si="63"/>
        <v>1</v>
      </c>
      <c r="S1379">
        <f t="shared" si="64"/>
        <v>1</v>
      </c>
      <c r="T1379" s="102" t="str">
        <f>IF(TableRelationships12[[#This Row],[Rank Pedro]]="Low","linkCategory1",IF(TableRelationships12[[#This Row],[Rank Pedro]]="Medium","linkCategory2",IF(TableRelationships12[[#This Row],[Rank Pedro]]="High","linkCategory3","")))</f>
        <v/>
      </c>
      <c r="U1379" s="102" t="str">
        <f>IF(TableRelationships12[[#This Row],[Rank Pedro]]="Low","Pink",IF(TableRelationships12[[#This Row],[Rank Pedro]]="Medium","Purple",IF(TableRelationships12[[#This Row],[Rank Pedro]]="High","Brown","")))</f>
        <v/>
      </c>
      <c r="V1379" s="4" t="e">
        <f>MAX(INDEX(Standards!$F$2:$F$296,MATCH(B1379,Standards!$B$2:$B$296,0)),INDEX(Standards!$F$2:$F$296,MATCH(C1379,Standards!$B$2:$B$296,0)))</f>
        <v>#N/A</v>
      </c>
      <c r="W1379" t="str">
        <f t="shared" si="65"/>
        <v>#2f89d1</v>
      </c>
    </row>
    <row r="1380" spans="1:23" x14ac:dyDescent="0.5">
      <c r="A1380" s="54">
        <v>1379</v>
      </c>
      <c r="B1380" s="90" t="s">
        <v>1052</v>
      </c>
      <c r="C1380" t="s">
        <v>322</v>
      </c>
      <c r="D1380" s="1"/>
      <c r="E1380" s="112">
        <v>2009.11</v>
      </c>
      <c r="F1380" s="112">
        <v>2021.05</v>
      </c>
      <c r="G1380" s="107" t="s">
        <v>670</v>
      </c>
      <c r="H1380">
        <f>INDEX('GIS-Standards'!$A$2:$A$305,MATCH(B1380,'GIS-Standards'!$B$2:$B$305,0))</f>
        <v>59</v>
      </c>
      <c r="I1380">
        <f>INDEX('GIS-Standards'!$A$2:$A$305,MATCH(C1380,'GIS-Standards'!$B$2:$B$305,0))</f>
        <v>33</v>
      </c>
      <c r="J1380" t="str">
        <f>INDEX('GIS-Standards'!$O$2:$O$305,MATCH(B1380,'GIS-Standards'!$B$2:$B$305,0))</f>
        <v>ISO/TC 211</v>
      </c>
      <c r="K1380" t="str">
        <f>INDEX('GIS-Standards'!$O$2:$O$305,MATCH(C1380,'GIS-Standards'!$B$2:$B$305,0))</f>
        <v>ISO/TC 211</v>
      </c>
      <c r="M1380" t="s">
        <v>525</v>
      </c>
      <c r="N1380">
        <f>INDEX('GIS-Standards'!$I$2:$I$305,MATCH(B1380,'GIS-Standards'!$B$2:$B$305,0))</f>
        <v>0</v>
      </c>
      <c r="O1380">
        <f>INDEX('GIS-Standards'!$I$2:$I$305,MATCH(C1380,'GIS-Standards'!$B$2:$B$305,0))</f>
        <v>0</v>
      </c>
      <c r="P1380" t="b">
        <f>AND(TableRelationships12[[#This Row],[Source Type]]="BIM",TableRelationships12[[#This Row],[Target Type]]="BIM")</f>
        <v>0</v>
      </c>
      <c r="Q1380">
        <f t="shared" si="63"/>
        <v>1</v>
      </c>
      <c r="S1380">
        <f t="shared" si="64"/>
        <v>1</v>
      </c>
      <c r="T1380" s="102" t="str">
        <f>IF(TableRelationships12[[#This Row],[Rank Pedro]]="Low","linkCategory1",IF(TableRelationships12[[#This Row],[Rank Pedro]]="Medium","linkCategory2",IF(TableRelationships12[[#This Row],[Rank Pedro]]="High","linkCategory3","")))</f>
        <v/>
      </c>
      <c r="U1380" s="102" t="str">
        <f>IF(TableRelationships12[[#This Row],[Rank Pedro]]="Low","Pink",IF(TableRelationships12[[#This Row],[Rank Pedro]]="Medium","Purple",IF(TableRelationships12[[#This Row],[Rank Pedro]]="High","Brown","")))</f>
        <v/>
      </c>
      <c r="V1380" s="4" t="e">
        <f>MAX(INDEX(Standards!$F$2:$F$296,MATCH(B1380,Standards!$B$2:$B$296,0)),INDEX(Standards!$F$2:$F$296,MATCH(C1380,Standards!$B$2:$B$296,0)))</f>
        <v>#N/A</v>
      </c>
      <c r="W1380" t="str">
        <f t="shared" si="65"/>
        <v>#2f89d1</v>
      </c>
    </row>
    <row r="1381" spans="1:23" x14ac:dyDescent="0.5">
      <c r="A1381" s="54">
        <v>1380</v>
      </c>
      <c r="B1381" s="90" t="s">
        <v>1052</v>
      </c>
      <c r="C1381" t="s">
        <v>328</v>
      </c>
      <c r="D1381" s="1"/>
      <c r="E1381" s="112">
        <v>2007.04</v>
      </c>
      <c r="F1381" s="112">
        <v>2022.11</v>
      </c>
      <c r="G1381" s="107" t="s">
        <v>670</v>
      </c>
      <c r="H1381">
        <f>INDEX('GIS-Standards'!$A$2:$A$305,MATCH(B1381,'GIS-Standards'!$B$2:$B$305,0))</f>
        <v>59</v>
      </c>
      <c r="I1381">
        <f>INDEX('GIS-Standards'!$A$2:$A$305,MATCH(C1381,'GIS-Standards'!$B$2:$B$305,0))</f>
        <v>37</v>
      </c>
      <c r="J1381" t="str">
        <f>INDEX('GIS-Standards'!$O$2:$O$305,MATCH(B1381,'GIS-Standards'!$B$2:$B$305,0))</f>
        <v>ISO/TC 211</v>
      </c>
      <c r="K1381" t="str">
        <f>INDEX('GIS-Standards'!$O$2:$O$305,MATCH(C1381,'GIS-Standards'!$B$2:$B$305,0))</f>
        <v>ISO/TC 211</v>
      </c>
      <c r="M1381" t="s">
        <v>525</v>
      </c>
      <c r="N1381">
        <f>INDEX('GIS-Standards'!$I$2:$I$305,MATCH(B1381,'GIS-Standards'!$B$2:$B$305,0))</f>
        <v>0</v>
      </c>
      <c r="O1381">
        <f>INDEX('GIS-Standards'!$I$2:$I$305,MATCH(C1381,'GIS-Standards'!$B$2:$B$305,0))</f>
        <v>0</v>
      </c>
      <c r="P1381" t="b">
        <f>AND(TableRelationships12[[#This Row],[Source Type]]="BIM",TableRelationships12[[#This Row],[Target Type]]="BIM")</f>
        <v>0</v>
      </c>
      <c r="Q1381">
        <f t="shared" si="63"/>
        <v>1</v>
      </c>
      <c r="S1381">
        <f t="shared" si="64"/>
        <v>1</v>
      </c>
      <c r="T1381" s="102" t="str">
        <f>IF(TableRelationships12[[#This Row],[Rank Pedro]]="Low","linkCategory1",IF(TableRelationships12[[#This Row],[Rank Pedro]]="Medium","linkCategory2",IF(TableRelationships12[[#This Row],[Rank Pedro]]="High","linkCategory3","")))</f>
        <v/>
      </c>
      <c r="U1381" s="102" t="str">
        <f>IF(TableRelationships12[[#This Row],[Rank Pedro]]="Low","Pink",IF(TableRelationships12[[#This Row],[Rank Pedro]]="Medium","Purple",IF(TableRelationships12[[#This Row],[Rank Pedro]]="High","Brown","")))</f>
        <v/>
      </c>
      <c r="V1381" s="4" t="e">
        <f>MAX(INDEX(Standards!$F$2:$F$296,MATCH(B1381,Standards!$B$2:$B$296,0)),INDEX(Standards!$F$2:$F$296,MATCH(C1381,Standards!$B$2:$B$296,0)))</f>
        <v>#N/A</v>
      </c>
      <c r="W1381" t="str">
        <f t="shared" si="65"/>
        <v>#2f89d1</v>
      </c>
    </row>
    <row r="1382" spans="1:23" x14ac:dyDescent="0.5">
      <c r="A1382" s="54">
        <v>1381</v>
      </c>
      <c r="B1382" s="90" t="s">
        <v>1052</v>
      </c>
      <c r="C1382" t="s">
        <v>1048</v>
      </c>
      <c r="D1382" s="1"/>
      <c r="E1382" s="112">
        <v>2005.1</v>
      </c>
      <c r="F1382" s="112">
        <v>2021.02</v>
      </c>
      <c r="G1382" s="107" t="s">
        <v>670</v>
      </c>
      <c r="H1382">
        <f>INDEX('GIS-Standards'!$A$2:$A$305,MATCH(B1382,'GIS-Standards'!$B$2:$B$305,0))</f>
        <v>59</v>
      </c>
      <c r="I1382">
        <f>INDEX('GIS-Standards'!$A$2:$A$305,MATCH(C1382,'GIS-Standards'!$B$2:$B$305,0))</f>
        <v>41</v>
      </c>
      <c r="J1382" t="str">
        <f>INDEX('GIS-Standards'!$O$2:$O$305,MATCH(B1382,'GIS-Standards'!$B$2:$B$305,0))</f>
        <v>ISO/TC 211</v>
      </c>
      <c r="K1382" t="str">
        <f>INDEX('GIS-Standards'!$O$2:$O$305,MATCH(C1382,'GIS-Standards'!$B$2:$B$305,0))</f>
        <v>ISO/TC 211</v>
      </c>
      <c r="M1382" t="s">
        <v>525</v>
      </c>
      <c r="N1382">
        <f>INDEX('GIS-Standards'!$I$2:$I$305,MATCH(B1382,'GIS-Standards'!$B$2:$B$305,0))</f>
        <v>0</v>
      </c>
      <c r="O1382" t="str">
        <f>INDEX('GIS-Standards'!$I$2:$I$305,MATCH(C1382,'GIS-Standards'!$B$2:$B$305,0))</f>
        <v>03.2021</v>
      </c>
      <c r="P1382" t="b">
        <f>AND(TableRelationships12[[#This Row],[Source Type]]="BIM",TableRelationships12[[#This Row],[Target Type]]="BIM")</f>
        <v>0</v>
      </c>
      <c r="Q1382">
        <f t="shared" si="63"/>
        <v>1</v>
      </c>
      <c r="S1382">
        <f t="shared" si="64"/>
        <v>1</v>
      </c>
      <c r="T1382" s="102" t="str">
        <f>IF(TableRelationships12[[#This Row],[Rank Pedro]]="Low","linkCategory1",IF(TableRelationships12[[#This Row],[Rank Pedro]]="Medium","linkCategory2",IF(TableRelationships12[[#This Row],[Rank Pedro]]="High","linkCategory3","")))</f>
        <v/>
      </c>
      <c r="U1382" s="102" t="str">
        <f>IF(TableRelationships12[[#This Row],[Rank Pedro]]="Low","Pink",IF(TableRelationships12[[#This Row],[Rank Pedro]]="Medium","Purple",IF(TableRelationships12[[#This Row],[Rank Pedro]]="High","Brown","")))</f>
        <v/>
      </c>
      <c r="V1382" s="4" t="e">
        <f>MAX(INDEX(Standards!$F$2:$F$296,MATCH(B1382,Standards!$B$2:$B$296,0)),INDEX(Standards!$F$2:$F$296,MATCH(C1382,Standards!$B$2:$B$296,0)))</f>
        <v>#N/A</v>
      </c>
      <c r="W1382" t="str">
        <f t="shared" si="65"/>
        <v>#2f89d1</v>
      </c>
    </row>
    <row r="1383" spans="1:23" x14ac:dyDescent="0.5">
      <c r="A1383" s="54">
        <v>1382</v>
      </c>
      <c r="B1383" s="90" t="s">
        <v>1052</v>
      </c>
      <c r="C1383" t="s">
        <v>334</v>
      </c>
      <c r="D1383" s="1"/>
      <c r="E1383" s="113">
        <v>2007.09</v>
      </c>
      <c r="F1383" s="113">
        <v>2020.01</v>
      </c>
      <c r="G1383" s="107" t="s">
        <v>670</v>
      </c>
      <c r="H1383">
        <f>INDEX('GIS-Standards'!$A$2:$A$305,MATCH(B1383,'GIS-Standards'!$B$2:$B$305,0))</f>
        <v>59</v>
      </c>
      <c r="I1383">
        <f>INDEX('GIS-Standards'!$A$2:$A$305,MATCH(C1383,'GIS-Standards'!$B$2:$B$305,0))</f>
        <v>42</v>
      </c>
      <c r="J1383" t="str">
        <f>INDEX('GIS-Standards'!$O$2:$O$305,MATCH(B1383,'GIS-Standards'!$B$2:$B$305,0))</f>
        <v>ISO/TC 211</v>
      </c>
      <c r="K1383" t="str">
        <f>INDEX('GIS-Standards'!$O$2:$O$305,MATCH(C1383,'GIS-Standards'!$B$2:$B$305,0))</f>
        <v>ISO/TC 211</v>
      </c>
      <c r="M1383" t="s">
        <v>525</v>
      </c>
      <c r="N1383">
        <f>INDEX('GIS-Standards'!$I$2:$I$305,MATCH(B1383,'GIS-Standards'!$B$2:$B$305,0))</f>
        <v>0</v>
      </c>
      <c r="O1383">
        <f>INDEX('GIS-Standards'!$I$2:$I$305,MATCH(C1383,'GIS-Standards'!$B$2:$B$305,0))</f>
        <v>0</v>
      </c>
      <c r="P1383" t="b">
        <f>AND(TableRelationships12[[#This Row],[Source Type]]="BIM",TableRelationships12[[#This Row],[Target Type]]="BIM")</f>
        <v>0</v>
      </c>
      <c r="Q1383">
        <f t="shared" si="63"/>
        <v>1</v>
      </c>
      <c r="S1383">
        <f t="shared" si="64"/>
        <v>1</v>
      </c>
      <c r="T1383" s="102" t="str">
        <f>IF(TableRelationships12[[#This Row],[Rank Pedro]]="Low","linkCategory1",IF(TableRelationships12[[#This Row],[Rank Pedro]]="Medium","linkCategory2",IF(TableRelationships12[[#This Row],[Rank Pedro]]="High","linkCategory3","")))</f>
        <v/>
      </c>
      <c r="U1383" s="102" t="str">
        <f>IF(TableRelationships12[[#This Row],[Rank Pedro]]="Low","Pink",IF(TableRelationships12[[#This Row],[Rank Pedro]]="Medium","Purple",IF(TableRelationships12[[#This Row],[Rank Pedro]]="High","Brown","")))</f>
        <v/>
      </c>
      <c r="V1383" s="4" t="e">
        <f>MAX(INDEX(Standards!$F$2:$F$296,MATCH(B1383,Standards!$B$2:$B$296,0)),INDEX(Standards!$F$2:$F$296,MATCH(C1383,Standards!$B$2:$B$296,0)))</f>
        <v>#N/A</v>
      </c>
      <c r="W1383" t="str">
        <f t="shared" si="65"/>
        <v>#2f89d1</v>
      </c>
    </row>
    <row r="1384" spans="1:23" x14ac:dyDescent="0.5">
      <c r="A1384" s="54">
        <v>1383</v>
      </c>
      <c r="B1384" s="90" t="s">
        <v>1052</v>
      </c>
      <c r="C1384" t="s">
        <v>1206</v>
      </c>
      <c r="D1384" s="1"/>
      <c r="E1384" s="113">
        <v>2012.12</v>
      </c>
      <c r="F1384" s="113">
        <v>2025.05</v>
      </c>
      <c r="G1384" s="107" t="s">
        <v>670</v>
      </c>
      <c r="H1384">
        <f>INDEX('GIS-Standards'!$A$2:$A$305,MATCH(B1384,'GIS-Standards'!$B$2:$B$305,0))</f>
        <v>59</v>
      </c>
      <c r="I1384">
        <f>INDEX('GIS-Standards'!$A$2:$A$305,MATCH(C1384,'GIS-Standards'!$B$2:$B$305,0))</f>
        <v>58</v>
      </c>
      <c r="J1384" t="str">
        <f>INDEX('GIS-Standards'!$O$2:$O$305,MATCH(B1384,'GIS-Standards'!$B$2:$B$305,0))</f>
        <v>ISO/TC 211</v>
      </c>
      <c r="K1384" t="str">
        <f>INDEX('GIS-Standards'!$O$2:$O$305,MATCH(C1384,'GIS-Standards'!$B$2:$B$305,0))</f>
        <v>ISO/TC 211</v>
      </c>
      <c r="M1384" t="s">
        <v>525</v>
      </c>
      <c r="N1384">
        <f>INDEX('GIS-Standards'!$I$2:$I$305,MATCH(B1384,'GIS-Standards'!$B$2:$B$305,0))</f>
        <v>0</v>
      </c>
      <c r="O1384">
        <f>INDEX('GIS-Standards'!$I$2:$I$305,MATCH(C1384,'GIS-Standards'!$B$2:$B$305,0))</f>
        <v>0</v>
      </c>
      <c r="P1384" t="b">
        <f>AND(TableRelationships12[[#This Row],[Source Type]]="BIM",TableRelationships12[[#This Row],[Target Type]]="BIM")</f>
        <v>0</v>
      </c>
      <c r="Q1384">
        <f t="shared" si="63"/>
        <v>1</v>
      </c>
      <c r="S1384">
        <f t="shared" si="64"/>
        <v>1</v>
      </c>
      <c r="T1384" s="102" t="str">
        <f>IF(TableRelationships12[[#This Row],[Rank Pedro]]="Low","linkCategory1",IF(TableRelationships12[[#This Row],[Rank Pedro]]="Medium","linkCategory2",IF(TableRelationships12[[#This Row],[Rank Pedro]]="High","linkCategory3","")))</f>
        <v/>
      </c>
      <c r="U1384" s="102" t="str">
        <f>IF(TableRelationships12[[#This Row],[Rank Pedro]]="Low","Pink",IF(TableRelationships12[[#This Row],[Rank Pedro]]="Medium","Purple",IF(TableRelationships12[[#This Row],[Rank Pedro]]="High","Brown","")))</f>
        <v/>
      </c>
      <c r="V1384" s="4" t="e">
        <f>MAX(INDEX(Standards!$F$2:$F$296,MATCH(B1384,Standards!$B$2:$B$296,0)),INDEX(Standards!$F$2:$F$296,MATCH(C1384,Standards!$B$2:$B$296,0)))</f>
        <v>#N/A</v>
      </c>
      <c r="W1384" t="str">
        <f t="shared" si="65"/>
        <v>#2f89d1</v>
      </c>
    </row>
    <row r="1385" spans="1:23" x14ac:dyDescent="0.5">
      <c r="A1385" s="54">
        <v>1384</v>
      </c>
      <c r="B1385" s="90" t="s">
        <v>1052</v>
      </c>
      <c r="C1385" t="s">
        <v>348</v>
      </c>
      <c r="D1385" s="1"/>
      <c r="E1385" s="113">
        <v>2013.12</v>
      </c>
      <c r="F1385" s="113">
        <v>2023.04</v>
      </c>
      <c r="G1385" s="107" t="s">
        <v>670</v>
      </c>
      <c r="H1385">
        <f>INDEX('GIS-Standards'!$A$2:$A$305,MATCH(B1385,'GIS-Standards'!$B$2:$B$305,0))</f>
        <v>59</v>
      </c>
      <c r="I1385">
        <f>INDEX('GIS-Standards'!$A$2:$A$305,MATCH(C1385,'GIS-Standards'!$B$2:$B$305,0))</f>
        <v>66</v>
      </c>
      <c r="J1385" t="str">
        <f>INDEX('GIS-Standards'!$O$2:$O$305,MATCH(B1385,'GIS-Standards'!$B$2:$B$305,0))</f>
        <v>ISO/TC 211</v>
      </c>
      <c r="K1385" t="str">
        <f>INDEX('GIS-Standards'!$O$2:$O$305,MATCH(C1385,'GIS-Standards'!$B$2:$B$305,0))</f>
        <v>ISO/TC 211</v>
      </c>
      <c r="M1385" t="s">
        <v>525</v>
      </c>
      <c r="N1385">
        <f>INDEX('GIS-Standards'!$I$2:$I$305,MATCH(B1385,'GIS-Standards'!$B$2:$B$305,0))</f>
        <v>0</v>
      </c>
      <c r="O1385">
        <f>INDEX('GIS-Standards'!$I$2:$I$305,MATCH(C1385,'GIS-Standards'!$B$2:$B$305,0))</f>
        <v>0</v>
      </c>
      <c r="P1385" t="b">
        <f>AND(TableRelationships12[[#This Row],[Source Type]]="BIM",TableRelationships12[[#This Row],[Target Type]]="BIM")</f>
        <v>0</v>
      </c>
      <c r="Q1385">
        <f t="shared" si="63"/>
        <v>1</v>
      </c>
      <c r="S1385">
        <f t="shared" si="64"/>
        <v>1</v>
      </c>
      <c r="T1385" s="102" t="str">
        <f>IF(TableRelationships12[[#This Row],[Rank Pedro]]="Low","linkCategory1",IF(TableRelationships12[[#This Row],[Rank Pedro]]="Medium","linkCategory2",IF(TableRelationships12[[#This Row],[Rank Pedro]]="High","linkCategory3","")))</f>
        <v/>
      </c>
      <c r="U1385" s="102" t="str">
        <f>IF(TableRelationships12[[#This Row],[Rank Pedro]]="Low","Pink",IF(TableRelationships12[[#This Row],[Rank Pedro]]="Medium","Purple",IF(TableRelationships12[[#This Row],[Rank Pedro]]="High","Brown","")))</f>
        <v/>
      </c>
      <c r="V1385" s="4" t="e">
        <f>MAX(INDEX(Standards!$F$2:$F$296,MATCH(B1385,Standards!$B$2:$B$296,0)),INDEX(Standards!$F$2:$F$296,MATCH(C1385,Standards!$B$2:$B$296,0)))</f>
        <v>#N/A</v>
      </c>
      <c r="W1385" t="str">
        <f t="shared" si="65"/>
        <v>#2f89d1</v>
      </c>
    </row>
    <row r="1386" spans="1:23" x14ac:dyDescent="0.5">
      <c r="A1386" s="54">
        <v>1385</v>
      </c>
      <c r="B1386" s="90" t="s">
        <v>1052</v>
      </c>
      <c r="C1386" t="s">
        <v>1202</v>
      </c>
      <c r="D1386" s="1"/>
      <c r="G1386" s="107"/>
      <c r="H1386">
        <f>INDEX('GIS-Standards'!$A$2:$A$305,MATCH(B1386,'GIS-Standards'!$B$2:$B$305,0))</f>
        <v>59</v>
      </c>
      <c r="I1386" t="e">
        <f>INDEX('GIS-Standards'!$A$2:$A$305,MATCH(C1386,'GIS-Standards'!$B$2:$B$305,0))</f>
        <v>#N/A</v>
      </c>
      <c r="J1386" t="str">
        <f>INDEX('GIS-Standards'!$O$2:$O$305,MATCH(B1386,'GIS-Standards'!$B$2:$B$305,0))</f>
        <v>ISO/TC 211</v>
      </c>
      <c r="K1386" t="e">
        <f>INDEX('GIS-Standards'!$O$2:$O$305,MATCH(C1386,'GIS-Standards'!$B$2:$B$305,0))</f>
        <v>#N/A</v>
      </c>
      <c r="M1386" t="s">
        <v>525</v>
      </c>
      <c r="N1386">
        <f>INDEX('GIS-Standards'!$I$2:$I$305,MATCH(B1386,'GIS-Standards'!$B$2:$B$305,0))</f>
        <v>0</v>
      </c>
      <c r="O1386" t="e">
        <f>INDEX('GIS-Standards'!$I$2:$I$305,MATCH(C1386,'GIS-Standards'!$B$2:$B$305,0))</f>
        <v>#N/A</v>
      </c>
      <c r="P1386" t="e">
        <f>AND(TableRelationships12[[#This Row],[Source Type]]="BIM",TableRelationships12[[#This Row],[Target Type]]="BIM")</f>
        <v>#N/A</v>
      </c>
      <c r="Q1386">
        <f t="shared" si="63"/>
        <v>1</v>
      </c>
      <c r="S1386">
        <f t="shared" si="64"/>
        <v>1</v>
      </c>
      <c r="T1386" s="102" t="str">
        <f>IF(TableRelationships12[[#This Row],[Rank Pedro]]="Low","linkCategory1",IF(TableRelationships12[[#This Row],[Rank Pedro]]="Medium","linkCategory2",IF(TableRelationships12[[#This Row],[Rank Pedro]]="High","linkCategory3","")))</f>
        <v/>
      </c>
      <c r="U1386" s="102" t="str">
        <f>IF(TableRelationships12[[#This Row],[Rank Pedro]]="Low","Pink",IF(TableRelationships12[[#This Row],[Rank Pedro]]="Medium","Purple",IF(TableRelationships12[[#This Row],[Rank Pedro]]="High","Brown","")))</f>
        <v/>
      </c>
      <c r="V1386" s="4" t="e">
        <f>MAX(INDEX(Standards!$F$2:$F$296,MATCH(B1386,Standards!$B$2:$B$296,0)),INDEX(Standards!$F$2:$F$296,MATCH(C1386,Standards!$B$2:$B$296,0)))</f>
        <v>#N/A</v>
      </c>
      <c r="W1386" t="str">
        <f t="shared" si="65"/>
        <v>#2f89d1</v>
      </c>
    </row>
    <row r="1387" spans="1:23" x14ac:dyDescent="0.5">
      <c r="A1387" s="54">
        <v>1386</v>
      </c>
      <c r="B1387" s="90" t="s">
        <v>1052</v>
      </c>
      <c r="C1387" t="s">
        <v>1203</v>
      </c>
      <c r="D1387" s="1"/>
      <c r="G1387" s="107"/>
      <c r="H1387">
        <f>INDEX('GIS-Standards'!$A$2:$A$305,MATCH(B1387,'GIS-Standards'!$B$2:$B$305,0))</f>
        <v>59</v>
      </c>
      <c r="I1387" t="e">
        <f>INDEX('GIS-Standards'!$A$2:$A$305,MATCH(C1387,'GIS-Standards'!$B$2:$B$305,0))</f>
        <v>#N/A</v>
      </c>
      <c r="J1387" t="str">
        <f>INDEX('GIS-Standards'!$O$2:$O$305,MATCH(B1387,'GIS-Standards'!$B$2:$B$305,0))</f>
        <v>ISO/TC 211</v>
      </c>
      <c r="K1387" t="e">
        <f>INDEX('GIS-Standards'!$O$2:$O$305,MATCH(C1387,'GIS-Standards'!$B$2:$B$305,0))</f>
        <v>#N/A</v>
      </c>
      <c r="M1387" t="s">
        <v>525</v>
      </c>
      <c r="N1387">
        <f>INDEX('GIS-Standards'!$I$2:$I$305,MATCH(B1387,'GIS-Standards'!$B$2:$B$305,0))</f>
        <v>0</v>
      </c>
      <c r="O1387" t="e">
        <f>INDEX('GIS-Standards'!$I$2:$I$305,MATCH(C1387,'GIS-Standards'!$B$2:$B$305,0))</f>
        <v>#N/A</v>
      </c>
      <c r="P1387" t="e">
        <f>AND(TableRelationships12[[#This Row],[Source Type]]="BIM",TableRelationships12[[#This Row],[Target Type]]="BIM")</f>
        <v>#N/A</v>
      </c>
      <c r="Q1387">
        <f t="shared" si="63"/>
        <v>1</v>
      </c>
      <c r="S1387">
        <f t="shared" si="64"/>
        <v>1</v>
      </c>
      <c r="T1387" s="102" t="str">
        <f>IF(TableRelationships12[[#This Row],[Rank Pedro]]="Low","linkCategory1",IF(TableRelationships12[[#This Row],[Rank Pedro]]="Medium","linkCategory2",IF(TableRelationships12[[#This Row],[Rank Pedro]]="High","linkCategory3","")))</f>
        <v/>
      </c>
      <c r="U1387" s="102" t="str">
        <f>IF(TableRelationships12[[#This Row],[Rank Pedro]]="Low","Pink",IF(TableRelationships12[[#This Row],[Rank Pedro]]="Medium","Purple",IF(TableRelationships12[[#This Row],[Rank Pedro]]="High","Brown","")))</f>
        <v/>
      </c>
      <c r="V1387" s="4" t="e">
        <f>MAX(INDEX(Standards!$F$2:$F$296,MATCH(B1387,Standards!$B$2:$B$296,0)),INDEX(Standards!$F$2:$F$296,MATCH(C1387,Standards!$B$2:$B$296,0)))</f>
        <v>#N/A</v>
      </c>
      <c r="W1387" t="str">
        <f t="shared" si="65"/>
        <v>#2f89d1</v>
      </c>
    </row>
    <row r="1388" spans="1:23" x14ac:dyDescent="0.5">
      <c r="A1388" s="54">
        <v>1387</v>
      </c>
      <c r="B1388" s="90" t="s">
        <v>1052</v>
      </c>
      <c r="C1388" t="s">
        <v>1207</v>
      </c>
      <c r="D1388" s="1"/>
      <c r="G1388" s="107"/>
      <c r="H1388">
        <f>INDEX('GIS-Standards'!$A$2:$A$305,MATCH(B1388,'GIS-Standards'!$B$2:$B$305,0))</f>
        <v>59</v>
      </c>
      <c r="I1388" t="e">
        <f>INDEX('GIS-Standards'!$A$2:$A$305,MATCH(C1388,'GIS-Standards'!$B$2:$B$305,0))</f>
        <v>#N/A</v>
      </c>
      <c r="J1388" t="str">
        <f>INDEX('GIS-Standards'!$O$2:$O$305,MATCH(B1388,'GIS-Standards'!$B$2:$B$305,0))</f>
        <v>ISO/TC 211</v>
      </c>
      <c r="K1388" t="e">
        <f>INDEX('GIS-Standards'!$O$2:$O$305,MATCH(C1388,'GIS-Standards'!$B$2:$B$305,0))</f>
        <v>#N/A</v>
      </c>
      <c r="M1388" t="s">
        <v>525</v>
      </c>
      <c r="N1388">
        <f>INDEX('GIS-Standards'!$I$2:$I$305,MATCH(B1388,'GIS-Standards'!$B$2:$B$305,0))</f>
        <v>0</v>
      </c>
      <c r="O1388" t="e">
        <f>INDEX('GIS-Standards'!$I$2:$I$305,MATCH(C1388,'GIS-Standards'!$B$2:$B$305,0))</f>
        <v>#N/A</v>
      </c>
      <c r="P1388" t="e">
        <f>AND(TableRelationships12[[#This Row],[Source Type]]="BIM",TableRelationships12[[#This Row],[Target Type]]="BIM")</f>
        <v>#N/A</v>
      </c>
      <c r="Q1388">
        <f t="shared" si="63"/>
        <v>1</v>
      </c>
      <c r="S1388">
        <f t="shared" si="64"/>
        <v>1</v>
      </c>
      <c r="T1388" s="102" t="str">
        <f>IF(TableRelationships12[[#This Row],[Rank Pedro]]="Low","linkCategory1",IF(TableRelationships12[[#This Row],[Rank Pedro]]="Medium","linkCategory2",IF(TableRelationships12[[#This Row],[Rank Pedro]]="High","linkCategory3","")))</f>
        <v/>
      </c>
      <c r="U1388" s="102" t="str">
        <f>IF(TableRelationships12[[#This Row],[Rank Pedro]]="Low","Pink",IF(TableRelationships12[[#This Row],[Rank Pedro]]="Medium","Purple",IF(TableRelationships12[[#This Row],[Rank Pedro]]="High","Brown","")))</f>
        <v/>
      </c>
      <c r="V1388" s="4" t="e">
        <f>MAX(INDEX(Standards!$F$2:$F$296,MATCH(B1388,Standards!$B$2:$B$296,0)),INDEX(Standards!$F$2:$F$296,MATCH(C1388,Standards!$B$2:$B$296,0)))</f>
        <v>#N/A</v>
      </c>
      <c r="W1388" t="str">
        <f t="shared" si="65"/>
        <v>#2f89d1</v>
      </c>
    </row>
    <row r="1389" spans="1:23" x14ac:dyDescent="0.5">
      <c r="A1389" s="54">
        <v>1388</v>
      </c>
      <c r="B1389" s="90" t="s">
        <v>1052</v>
      </c>
      <c r="C1389" t="s">
        <v>1208</v>
      </c>
      <c r="D1389" s="1"/>
      <c r="G1389" s="107"/>
      <c r="H1389">
        <f>INDEX('GIS-Standards'!$A$2:$A$305,MATCH(B1389,'GIS-Standards'!$B$2:$B$305,0))</f>
        <v>59</v>
      </c>
      <c r="I1389" t="e">
        <f>INDEX('GIS-Standards'!$A$2:$A$305,MATCH(C1389,'GIS-Standards'!$B$2:$B$305,0))</f>
        <v>#N/A</v>
      </c>
      <c r="J1389" t="str">
        <f>INDEX('GIS-Standards'!$O$2:$O$305,MATCH(B1389,'GIS-Standards'!$B$2:$B$305,0))</f>
        <v>ISO/TC 211</v>
      </c>
      <c r="K1389" t="e">
        <f>INDEX('GIS-Standards'!$O$2:$O$305,MATCH(C1389,'GIS-Standards'!$B$2:$B$305,0))</f>
        <v>#N/A</v>
      </c>
      <c r="M1389" t="s">
        <v>525</v>
      </c>
      <c r="N1389">
        <f>INDEX('GIS-Standards'!$I$2:$I$305,MATCH(B1389,'GIS-Standards'!$B$2:$B$305,0))</f>
        <v>0</v>
      </c>
      <c r="O1389" t="e">
        <f>INDEX('GIS-Standards'!$I$2:$I$305,MATCH(C1389,'GIS-Standards'!$B$2:$B$305,0))</f>
        <v>#N/A</v>
      </c>
      <c r="P1389" t="e">
        <f>AND(TableRelationships12[[#This Row],[Source Type]]="BIM",TableRelationships12[[#This Row],[Target Type]]="BIM")</f>
        <v>#N/A</v>
      </c>
      <c r="Q1389">
        <f t="shared" si="63"/>
        <v>1</v>
      </c>
      <c r="S1389">
        <f t="shared" si="64"/>
        <v>1</v>
      </c>
      <c r="T1389" s="102" t="str">
        <f>IF(TableRelationships12[[#This Row],[Rank Pedro]]="Low","linkCategory1",IF(TableRelationships12[[#This Row],[Rank Pedro]]="Medium","linkCategory2",IF(TableRelationships12[[#This Row],[Rank Pedro]]="High","linkCategory3","")))</f>
        <v/>
      </c>
      <c r="U1389" s="102" t="str">
        <f>IF(TableRelationships12[[#This Row],[Rank Pedro]]="Low","Pink",IF(TableRelationships12[[#This Row],[Rank Pedro]]="Medium","Purple",IF(TableRelationships12[[#This Row],[Rank Pedro]]="High","Brown","")))</f>
        <v/>
      </c>
      <c r="V1389" s="4" t="e">
        <f>MAX(INDEX(Standards!$F$2:$F$296,MATCH(B1389,Standards!$B$2:$B$296,0)),INDEX(Standards!$F$2:$F$296,MATCH(C1389,Standards!$B$2:$B$296,0)))</f>
        <v>#N/A</v>
      </c>
      <c r="W1389" t="str">
        <f t="shared" si="65"/>
        <v>#2f89d1</v>
      </c>
    </row>
    <row r="1390" spans="1:23" x14ac:dyDescent="0.5">
      <c r="A1390" s="54">
        <v>1389</v>
      </c>
      <c r="B1390" s="90" t="s">
        <v>637</v>
      </c>
      <c r="C1390" t="s">
        <v>527</v>
      </c>
      <c r="D1390" s="1"/>
      <c r="E1390" s="112" t="s">
        <v>930</v>
      </c>
      <c r="F1390" s="112" t="s">
        <v>930</v>
      </c>
      <c r="G1390" s="121" t="s">
        <v>670</v>
      </c>
      <c r="H1390">
        <f>INDEX('GIS-Standards'!$A$2:$A$305,MATCH(B1390,'GIS-Standards'!$B$2:$B$305,0))</f>
        <v>62</v>
      </c>
      <c r="I1390" t="e">
        <f>INDEX('GIS-Standards'!$A$2:$A$305,MATCH(C1390,'GIS-Standards'!$B$2:$B$305,0))</f>
        <v>#N/A</v>
      </c>
      <c r="J1390" t="str">
        <f>INDEX('GIS-Standards'!$O$2:$O$305,MATCH(B1390,'GIS-Standards'!$B$2:$B$305,0))</f>
        <v>ISO/TC 211</v>
      </c>
      <c r="K1390" t="e">
        <f>INDEX('GIS-Standards'!$O$2:$O$305,MATCH(C1390,'GIS-Standards'!$B$2:$B$305,0))</f>
        <v>#N/A</v>
      </c>
      <c r="M1390" t="s">
        <v>237</v>
      </c>
      <c r="N1390">
        <f>INDEX('GIS-Standards'!$I$2:$I$305,MATCH(B1390,'GIS-Standards'!$B$2:$B$305,0))</f>
        <v>0</v>
      </c>
      <c r="O1390" t="e">
        <f>INDEX('GIS-Standards'!$I$2:$I$305,MATCH(C1390,'GIS-Standards'!$B$2:$B$305,0))</f>
        <v>#N/A</v>
      </c>
      <c r="P1390" t="e">
        <f>AND(TableRelationships12[[#This Row],[Source Type]]="BIM",TableRelationships12[[#This Row],[Target Type]]="BIM")</f>
        <v>#N/A</v>
      </c>
      <c r="Q1390">
        <f t="shared" si="63"/>
        <v>2</v>
      </c>
      <c r="S1390">
        <f t="shared" si="64"/>
        <v>1</v>
      </c>
      <c r="T1390" s="102" t="str">
        <f>IF(TableRelationships12[[#This Row],[Rank Pedro]]="Low","linkCategory1",IF(TableRelationships12[[#This Row],[Rank Pedro]]="Medium","linkCategory2",IF(TableRelationships12[[#This Row],[Rank Pedro]]="High","linkCategory3","")))</f>
        <v/>
      </c>
      <c r="U1390" s="102" t="str">
        <f>IF(TableRelationships12[[#This Row],[Rank Pedro]]="Low","Pink",IF(TableRelationships12[[#This Row],[Rank Pedro]]="Medium","Purple",IF(TableRelationships12[[#This Row],[Rank Pedro]]="High","Brown","")))</f>
        <v/>
      </c>
      <c r="V1390" s="4" t="e">
        <f>MAX(INDEX(Standards!$F$2:$F$296,MATCH(B1390,Standards!$B$2:$B$296,0)),INDEX(Standards!$F$2:$F$296,MATCH(C1390,Standards!$B$2:$B$296,0)))</f>
        <v>#N/A</v>
      </c>
      <c r="W1390">
        <f t="shared" si="65"/>
        <v>1</v>
      </c>
    </row>
    <row r="1391" spans="1:23" x14ac:dyDescent="0.5">
      <c r="A1391" s="54">
        <v>1390</v>
      </c>
      <c r="B1391" s="90" t="s">
        <v>637</v>
      </c>
      <c r="C1391" t="s">
        <v>293</v>
      </c>
      <c r="D1391" s="1"/>
      <c r="E1391" s="112">
        <v>2002.07</v>
      </c>
      <c r="F1391" s="112">
        <v>2014.11</v>
      </c>
      <c r="G1391" s="107" t="s">
        <v>670</v>
      </c>
      <c r="H1391">
        <f>INDEX('GIS-Standards'!$A$2:$A$305,MATCH(B1391,'GIS-Standards'!$B$2:$B$305,0))</f>
        <v>62</v>
      </c>
      <c r="I1391">
        <f>INDEX('GIS-Standards'!$A$2:$A$305,MATCH(C1391,'GIS-Standards'!$B$2:$B$305,0))</f>
        <v>10</v>
      </c>
      <c r="J1391" t="str">
        <f>INDEX('GIS-Standards'!$O$2:$O$305,MATCH(B1391,'GIS-Standards'!$B$2:$B$305,0))</f>
        <v>ISO/TC 211</v>
      </c>
      <c r="K1391" t="str">
        <f>INDEX('GIS-Standards'!$O$2:$O$305,MATCH(C1391,'GIS-Standards'!$B$2:$B$305,0))</f>
        <v>ISO/TC 211</v>
      </c>
      <c r="M1391" t="s">
        <v>524</v>
      </c>
      <c r="N1391">
        <f>INDEX('GIS-Standards'!$I$2:$I$305,MATCH(B1391,'GIS-Standards'!$B$2:$B$305,0))</f>
        <v>0</v>
      </c>
      <c r="O1391">
        <f>INDEX('GIS-Standards'!$I$2:$I$305,MATCH(C1391,'GIS-Standards'!$B$2:$B$305,0))</f>
        <v>0</v>
      </c>
      <c r="P1391" t="b">
        <f>AND(TableRelationships12[[#This Row],[Source Type]]="BIM",TableRelationships12[[#This Row],[Target Type]]="BIM")</f>
        <v>0</v>
      </c>
      <c r="Q1391">
        <f t="shared" si="63"/>
        <v>6</v>
      </c>
      <c r="S1391">
        <f t="shared" si="64"/>
        <v>1</v>
      </c>
      <c r="T1391" s="102" t="str">
        <f>IF(TableRelationships12[[#This Row],[Rank Pedro]]="Low","linkCategory1",IF(TableRelationships12[[#This Row],[Rank Pedro]]="Medium","linkCategory2",IF(TableRelationships12[[#This Row],[Rank Pedro]]="High","linkCategory3","")))</f>
        <v/>
      </c>
      <c r="U1391" s="102" t="str">
        <f>IF(TableRelationships12[[#This Row],[Rank Pedro]]="Low","Pink",IF(TableRelationships12[[#This Row],[Rank Pedro]]="Medium","Purple",IF(TableRelationships12[[#This Row],[Rank Pedro]]="High","Brown","")))</f>
        <v/>
      </c>
      <c r="V1391" s="4" t="e">
        <f>MAX(INDEX(Standards!$F$2:$F$296,MATCH(B1391,Standards!$B$2:$B$296,0)),INDEX(Standards!$F$2:$F$296,MATCH(C1391,Standards!$B$2:$B$296,0)))</f>
        <v>#N/A</v>
      </c>
      <c r="W1391" t="str">
        <f t="shared" si="65"/>
        <v>#d6bf2a</v>
      </c>
    </row>
    <row r="1392" spans="1:23" x14ac:dyDescent="0.5">
      <c r="A1392" s="54">
        <v>1391</v>
      </c>
      <c r="B1392" s="90" t="s">
        <v>637</v>
      </c>
      <c r="C1392" t="s">
        <v>631</v>
      </c>
      <c r="D1392" s="1" t="s">
        <v>1135</v>
      </c>
      <c r="E1392" s="112">
        <v>2008.06</v>
      </c>
      <c r="F1392" s="112">
        <v>2018.05</v>
      </c>
      <c r="G1392" s="107" t="s">
        <v>670</v>
      </c>
      <c r="H1392">
        <f>INDEX('GIS-Standards'!$A$2:$A$305,MATCH(B1392,'GIS-Standards'!$B$2:$B$305,0))</f>
        <v>62</v>
      </c>
      <c r="I1392">
        <f>INDEX('GIS-Standards'!$A$2:$A$305,MATCH(C1392,'GIS-Standards'!$B$2:$B$305,0))</f>
        <v>11</v>
      </c>
      <c r="J1392" t="str">
        <f>INDEX('GIS-Standards'!$O$2:$O$305,MATCH(B1392,'GIS-Standards'!$B$2:$B$305,0))</f>
        <v>ISO/TC 211</v>
      </c>
      <c r="K1392" t="str">
        <f>INDEX('GIS-Standards'!$O$2:$O$305,MATCH(C1392,'GIS-Standards'!$B$2:$B$305,0))</f>
        <v>ISO/TC 211</v>
      </c>
      <c r="M1392" t="s">
        <v>524</v>
      </c>
      <c r="N1392">
        <f>INDEX('GIS-Standards'!$I$2:$I$305,MATCH(B1392,'GIS-Standards'!$B$2:$B$305,0))</f>
        <v>0</v>
      </c>
      <c r="O1392">
        <f>INDEX('GIS-Standards'!$I$2:$I$305,MATCH(C1392,'GIS-Standards'!$B$2:$B$305,0))</f>
        <v>0</v>
      </c>
      <c r="P1392" t="b">
        <f>AND(TableRelationships12[[#This Row],[Source Type]]="BIM",TableRelationships12[[#This Row],[Target Type]]="BIM")</f>
        <v>0</v>
      </c>
      <c r="Q1392">
        <f t="shared" si="63"/>
        <v>6</v>
      </c>
      <c r="S1392">
        <f t="shared" si="64"/>
        <v>1</v>
      </c>
      <c r="T1392" s="102" t="str">
        <f>IF(TableRelationships12[[#This Row],[Rank Pedro]]="Low","linkCategory1",IF(TableRelationships12[[#This Row],[Rank Pedro]]="Medium","linkCategory2",IF(TableRelationships12[[#This Row],[Rank Pedro]]="High","linkCategory3","")))</f>
        <v/>
      </c>
      <c r="U1392" s="102" t="str">
        <f>IF(TableRelationships12[[#This Row],[Rank Pedro]]="Low","Pink",IF(TableRelationships12[[#This Row],[Rank Pedro]]="Medium","Purple",IF(TableRelationships12[[#This Row],[Rank Pedro]]="High","Brown","")))</f>
        <v/>
      </c>
      <c r="V1392" s="4" t="e">
        <f>MAX(INDEX(Standards!$F$2:$F$296,MATCH(B1392,Standards!$B$2:$B$296,0)),INDEX(Standards!$F$2:$F$296,MATCH(C1392,Standards!$B$2:$B$296,0)))</f>
        <v>#N/A</v>
      </c>
      <c r="W1392" t="str">
        <f t="shared" si="65"/>
        <v>#d6bf2a</v>
      </c>
    </row>
    <row r="1393" spans="1:23" x14ac:dyDescent="0.5">
      <c r="A1393" s="54">
        <v>1392</v>
      </c>
      <c r="B1393" s="90" t="s">
        <v>637</v>
      </c>
      <c r="C1393" t="s">
        <v>296</v>
      </c>
      <c r="D1393" s="1"/>
      <c r="E1393" s="112">
        <v>2005.07</v>
      </c>
      <c r="F1393" s="112">
        <v>2024.09</v>
      </c>
      <c r="G1393" s="107" t="s">
        <v>670</v>
      </c>
      <c r="H1393">
        <f>INDEX('GIS-Standards'!$A$2:$A$305,MATCH(B1393,'GIS-Standards'!$B$2:$B$305,0))</f>
        <v>62</v>
      </c>
      <c r="I1393">
        <f>INDEX('GIS-Standards'!$A$2:$A$305,MATCH(C1393,'GIS-Standards'!$B$2:$B$305,0))</f>
        <v>12</v>
      </c>
      <c r="J1393" t="str">
        <f>INDEX('GIS-Standards'!$O$2:$O$305,MATCH(B1393,'GIS-Standards'!$B$2:$B$305,0))</f>
        <v>ISO/TC 211</v>
      </c>
      <c r="K1393" t="str">
        <f>INDEX('GIS-Standards'!$O$2:$O$305,MATCH(C1393,'GIS-Standards'!$B$2:$B$305,0))</f>
        <v>ISO/TC 211</v>
      </c>
      <c r="M1393" t="s">
        <v>524</v>
      </c>
      <c r="N1393">
        <f>INDEX('GIS-Standards'!$I$2:$I$305,MATCH(B1393,'GIS-Standards'!$B$2:$B$305,0))</f>
        <v>0</v>
      </c>
      <c r="O1393">
        <f>INDEX('GIS-Standards'!$I$2:$I$305,MATCH(C1393,'GIS-Standards'!$B$2:$B$305,0))</f>
        <v>0</v>
      </c>
      <c r="P1393" t="b">
        <f>AND(TableRelationships12[[#This Row],[Source Type]]="BIM",TableRelationships12[[#This Row],[Target Type]]="BIM")</f>
        <v>0</v>
      </c>
      <c r="Q1393">
        <f t="shared" si="63"/>
        <v>6</v>
      </c>
      <c r="S1393">
        <f t="shared" si="64"/>
        <v>1</v>
      </c>
      <c r="T1393" s="102" t="str">
        <f>IF(TableRelationships12[[#This Row],[Rank Pedro]]="Low","linkCategory1",IF(TableRelationships12[[#This Row],[Rank Pedro]]="Medium","linkCategory2",IF(TableRelationships12[[#This Row],[Rank Pedro]]="High","linkCategory3","")))</f>
        <v/>
      </c>
      <c r="U1393" s="102" t="str">
        <f>IF(TableRelationships12[[#This Row],[Rank Pedro]]="Low","Pink",IF(TableRelationships12[[#This Row],[Rank Pedro]]="Medium","Purple",IF(TableRelationships12[[#This Row],[Rank Pedro]]="High","Brown","")))</f>
        <v/>
      </c>
      <c r="V1393" s="4" t="e">
        <f>MAX(INDEX(Standards!$F$2:$F$296,MATCH(B1393,Standards!$B$2:$B$296,0)),INDEX(Standards!$F$2:$F$296,MATCH(C1393,Standards!$B$2:$B$296,0)))</f>
        <v>#N/A</v>
      </c>
      <c r="W1393" t="str">
        <f t="shared" si="65"/>
        <v>#d6bf2a</v>
      </c>
    </row>
    <row r="1394" spans="1:23" x14ac:dyDescent="0.5">
      <c r="A1394" s="54">
        <v>1393</v>
      </c>
      <c r="B1394" s="90" t="s">
        <v>637</v>
      </c>
      <c r="C1394" t="s">
        <v>306</v>
      </c>
      <c r="D1394" s="1"/>
      <c r="E1394" s="112">
        <v>2005.06</v>
      </c>
      <c r="F1394" s="112">
        <v>2025.07</v>
      </c>
      <c r="G1394" s="107" t="s">
        <v>670</v>
      </c>
      <c r="H1394">
        <f>INDEX('GIS-Standards'!$A$2:$A$305,MATCH(B1394,'GIS-Standards'!$B$2:$B$305,0))</f>
        <v>62</v>
      </c>
      <c r="I1394">
        <f>INDEX('GIS-Standards'!$A$2:$A$305,MATCH(C1394,'GIS-Standards'!$B$2:$B$305,0))</f>
        <v>18</v>
      </c>
      <c r="J1394" t="str">
        <f>INDEX('GIS-Standards'!$O$2:$O$305,MATCH(B1394,'GIS-Standards'!$B$2:$B$305,0))</f>
        <v>ISO/TC 211</v>
      </c>
      <c r="K1394" t="str">
        <f>INDEX('GIS-Standards'!$O$2:$O$305,MATCH(C1394,'GIS-Standards'!$B$2:$B$305,0))</f>
        <v>ISO/TC 211</v>
      </c>
      <c r="M1394" t="s">
        <v>524</v>
      </c>
      <c r="N1394">
        <f>INDEX('GIS-Standards'!$I$2:$I$305,MATCH(B1394,'GIS-Standards'!$B$2:$B$305,0))</f>
        <v>0</v>
      </c>
      <c r="O1394">
        <f>INDEX('GIS-Standards'!$I$2:$I$305,MATCH(C1394,'GIS-Standards'!$B$2:$B$305,0))</f>
        <v>0</v>
      </c>
      <c r="P1394" t="b">
        <f>AND(TableRelationships12[[#This Row],[Source Type]]="BIM",TableRelationships12[[#This Row],[Target Type]]="BIM")</f>
        <v>0</v>
      </c>
      <c r="Q1394">
        <f t="shared" si="63"/>
        <v>6</v>
      </c>
      <c r="S1394">
        <f t="shared" si="64"/>
        <v>1</v>
      </c>
      <c r="T1394" s="102" t="str">
        <f>IF(TableRelationships12[[#This Row],[Rank Pedro]]="Low","linkCategory1",IF(TableRelationships12[[#This Row],[Rank Pedro]]="Medium","linkCategory2",IF(TableRelationships12[[#This Row],[Rank Pedro]]="High","linkCategory3","")))</f>
        <v/>
      </c>
      <c r="U1394" s="102" t="str">
        <f>IF(TableRelationships12[[#This Row],[Rank Pedro]]="Low","Pink",IF(TableRelationships12[[#This Row],[Rank Pedro]]="Medium","Purple",IF(TableRelationships12[[#This Row],[Rank Pedro]]="High","Brown","")))</f>
        <v/>
      </c>
      <c r="V1394" s="4" t="e">
        <f>MAX(INDEX(Standards!$F$2:$F$296,MATCH(B1394,Standards!$B$2:$B$296,0)),INDEX(Standards!$F$2:$F$296,MATCH(C1394,Standards!$B$2:$B$296,0)))</f>
        <v>#N/A</v>
      </c>
      <c r="W1394" t="str">
        <f t="shared" si="65"/>
        <v>#d6bf2a</v>
      </c>
    </row>
    <row r="1395" spans="1:23" x14ac:dyDescent="0.5">
      <c r="A1395" s="54">
        <v>1394</v>
      </c>
      <c r="B1395" s="90" t="s">
        <v>637</v>
      </c>
      <c r="C1395" t="s">
        <v>300</v>
      </c>
      <c r="D1395" s="1"/>
      <c r="E1395" s="112">
        <v>2000.12</v>
      </c>
      <c r="F1395" s="112">
        <v>2022.07</v>
      </c>
      <c r="G1395" s="107" t="s">
        <v>670</v>
      </c>
      <c r="H1395">
        <f>INDEX('GIS-Standards'!$A$2:$A$305,MATCH(B1395,'GIS-Standards'!$B$2:$B$305,0))</f>
        <v>62</v>
      </c>
      <c r="I1395">
        <f>INDEX('GIS-Standards'!$A$2:$A$305,MATCH(C1395,'GIS-Standards'!$B$2:$B$305,0))</f>
        <v>14</v>
      </c>
      <c r="J1395" t="str">
        <f>INDEX('GIS-Standards'!$O$2:$O$305,MATCH(B1395,'GIS-Standards'!$B$2:$B$305,0))</f>
        <v>ISO/TC 211</v>
      </c>
      <c r="K1395" t="str">
        <f>INDEX('GIS-Standards'!$O$2:$O$305,MATCH(C1395,'GIS-Standards'!$B$2:$B$305,0))</f>
        <v>ISO/TC 211</v>
      </c>
      <c r="M1395" t="s">
        <v>525</v>
      </c>
      <c r="N1395">
        <f>INDEX('GIS-Standards'!$I$2:$I$305,MATCH(B1395,'GIS-Standards'!$B$2:$B$305,0))</f>
        <v>0</v>
      </c>
      <c r="O1395">
        <f>INDEX('GIS-Standards'!$I$2:$I$305,MATCH(C1395,'GIS-Standards'!$B$2:$B$305,0))</f>
        <v>0</v>
      </c>
      <c r="P1395" t="b">
        <f>AND(TableRelationships12[[#This Row],[Source Type]]="BIM",TableRelationships12[[#This Row],[Target Type]]="BIM")</f>
        <v>0</v>
      </c>
      <c r="Q1395">
        <f t="shared" si="63"/>
        <v>1</v>
      </c>
      <c r="S1395">
        <f t="shared" si="64"/>
        <v>1</v>
      </c>
      <c r="T1395" s="102" t="str">
        <f>IF(TableRelationships12[[#This Row],[Rank Pedro]]="Low","linkCategory1",IF(TableRelationships12[[#This Row],[Rank Pedro]]="Medium","linkCategory2",IF(TableRelationships12[[#This Row],[Rank Pedro]]="High","linkCategory3","")))</f>
        <v/>
      </c>
      <c r="U1395" s="102" t="str">
        <f>IF(TableRelationships12[[#This Row],[Rank Pedro]]="Low","Pink",IF(TableRelationships12[[#This Row],[Rank Pedro]]="Medium","Purple",IF(TableRelationships12[[#This Row],[Rank Pedro]]="High","Brown","")))</f>
        <v/>
      </c>
      <c r="V1395" s="4" t="e">
        <f>MAX(INDEX(Standards!$F$2:$F$296,MATCH(B1395,Standards!$B$2:$B$296,0)),INDEX(Standards!$F$2:$F$296,MATCH(C1395,Standards!$B$2:$B$296,0)))</f>
        <v>#N/A</v>
      </c>
      <c r="W1395" t="str">
        <f t="shared" si="65"/>
        <v>#2f89d1</v>
      </c>
    </row>
    <row r="1396" spans="1:23" x14ac:dyDescent="0.5">
      <c r="A1396" s="54">
        <v>1395</v>
      </c>
      <c r="B1396" s="90" t="s">
        <v>637</v>
      </c>
      <c r="C1396" t="s">
        <v>314</v>
      </c>
      <c r="D1396" s="1"/>
      <c r="E1396" s="112">
        <v>2003.05</v>
      </c>
      <c r="F1396" s="112">
        <v>2020.11</v>
      </c>
      <c r="G1396" s="107" t="s">
        <v>670</v>
      </c>
      <c r="H1396">
        <f>INDEX('GIS-Standards'!$A$2:$A$305,MATCH(B1396,'GIS-Standards'!$B$2:$B$305,0))</f>
        <v>62</v>
      </c>
      <c r="I1396">
        <f>INDEX('GIS-Standards'!$A$2:$A$305,MATCH(C1396,'GIS-Standards'!$B$2:$B$305,0))</f>
        <v>22</v>
      </c>
      <c r="J1396" t="str">
        <f>INDEX('GIS-Standards'!$O$2:$O$305,MATCH(B1396,'GIS-Standards'!$B$2:$B$305,0))</f>
        <v>ISO/TC 211</v>
      </c>
      <c r="K1396" t="str">
        <f>INDEX('GIS-Standards'!$O$2:$O$305,MATCH(C1396,'GIS-Standards'!$B$2:$B$305,0))</f>
        <v>ISO/TC 211</v>
      </c>
      <c r="M1396" t="s">
        <v>525</v>
      </c>
      <c r="N1396">
        <f>INDEX('GIS-Standards'!$I$2:$I$305,MATCH(B1396,'GIS-Standards'!$B$2:$B$305,0))</f>
        <v>0</v>
      </c>
      <c r="O1396" t="str">
        <f>INDEX('GIS-Standards'!$I$2:$I$305,MATCH(C1396,'GIS-Standards'!$B$2:$B$305,0))</f>
        <v>12.2020</v>
      </c>
      <c r="P1396" t="b">
        <f>AND(TableRelationships12[[#This Row],[Source Type]]="BIM",TableRelationships12[[#This Row],[Target Type]]="BIM")</f>
        <v>0</v>
      </c>
      <c r="Q1396">
        <f t="shared" si="63"/>
        <v>1</v>
      </c>
      <c r="S1396">
        <f t="shared" si="64"/>
        <v>1</v>
      </c>
      <c r="T1396" s="102" t="str">
        <f>IF(TableRelationships12[[#This Row],[Rank Pedro]]="Low","linkCategory1",IF(TableRelationships12[[#This Row],[Rank Pedro]]="Medium","linkCategory2",IF(TableRelationships12[[#This Row],[Rank Pedro]]="High","linkCategory3","")))</f>
        <v/>
      </c>
      <c r="U1396" s="102" t="str">
        <f>IF(TableRelationships12[[#This Row],[Rank Pedro]]="Low","Pink",IF(TableRelationships12[[#This Row],[Rank Pedro]]="Medium","Purple",IF(TableRelationships12[[#This Row],[Rank Pedro]]="High","Brown","")))</f>
        <v/>
      </c>
      <c r="V1396" s="4" t="e">
        <f>MAX(INDEX(Standards!$F$2:$F$296,MATCH(B1396,Standards!$B$2:$B$296,0)),INDEX(Standards!$F$2:$F$296,MATCH(C1396,Standards!$B$2:$B$296,0)))</f>
        <v>#N/A</v>
      </c>
      <c r="W1396" t="str">
        <f t="shared" si="65"/>
        <v>#2f89d1</v>
      </c>
    </row>
    <row r="1397" spans="1:23" x14ac:dyDescent="0.5">
      <c r="A1397" s="54">
        <v>1396</v>
      </c>
      <c r="B1397" s="90" t="s">
        <v>637</v>
      </c>
      <c r="C1397" t="s">
        <v>318</v>
      </c>
      <c r="D1397" s="1"/>
      <c r="E1397" s="112">
        <v>2005.02</v>
      </c>
      <c r="F1397" s="112">
        <v>2016.01</v>
      </c>
      <c r="G1397" s="107" t="s">
        <v>670</v>
      </c>
      <c r="H1397">
        <f>INDEX('GIS-Standards'!$A$2:$A$305,MATCH(B1397,'GIS-Standards'!$B$2:$B$305,0))</f>
        <v>62</v>
      </c>
      <c r="I1397">
        <f>INDEX('GIS-Standards'!$A$2:$A$305,MATCH(C1397,'GIS-Standards'!$B$2:$B$305,0))</f>
        <v>28</v>
      </c>
      <c r="J1397" t="str">
        <f>INDEX('GIS-Standards'!$O$2:$O$305,MATCH(B1397,'GIS-Standards'!$B$2:$B$305,0))</f>
        <v>ISO/TC 211</v>
      </c>
      <c r="K1397" t="str">
        <f>INDEX('GIS-Standards'!$O$2:$O$305,MATCH(C1397,'GIS-Standards'!$B$2:$B$305,0))</f>
        <v>ISO/TC 211</v>
      </c>
      <c r="M1397" t="s">
        <v>525</v>
      </c>
      <c r="N1397">
        <f>INDEX('GIS-Standards'!$I$2:$I$305,MATCH(B1397,'GIS-Standards'!$B$2:$B$305,0))</f>
        <v>0</v>
      </c>
      <c r="O1397">
        <f>INDEX('GIS-Standards'!$I$2:$I$305,MATCH(C1397,'GIS-Standards'!$B$2:$B$305,0))</f>
        <v>0</v>
      </c>
      <c r="P1397" t="b">
        <f>AND(TableRelationships12[[#This Row],[Source Type]]="BIM",TableRelationships12[[#This Row],[Target Type]]="BIM")</f>
        <v>0</v>
      </c>
      <c r="Q1397">
        <f t="shared" si="63"/>
        <v>1</v>
      </c>
      <c r="S1397">
        <f t="shared" si="64"/>
        <v>1</v>
      </c>
      <c r="T1397" s="102" t="str">
        <f>IF(TableRelationships12[[#This Row],[Rank Pedro]]="Low","linkCategory1",IF(TableRelationships12[[#This Row],[Rank Pedro]]="Medium","linkCategory2",IF(TableRelationships12[[#This Row],[Rank Pedro]]="High","linkCategory3","")))</f>
        <v/>
      </c>
      <c r="U1397" s="102" t="str">
        <f>IF(TableRelationships12[[#This Row],[Rank Pedro]]="Low","Pink",IF(TableRelationships12[[#This Row],[Rank Pedro]]="Medium","Purple",IF(TableRelationships12[[#This Row],[Rank Pedro]]="High","Brown","")))</f>
        <v/>
      </c>
      <c r="V1397" s="4" t="e">
        <f>MAX(INDEX(Standards!$F$2:$F$296,MATCH(B1397,Standards!$B$2:$B$296,0)),INDEX(Standards!$F$2:$F$296,MATCH(C1397,Standards!$B$2:$B$296,0)))</f>
        <v>#N/A</v>
      </c>
      <c r="W1397" t="str">
        <f t="shared" si="65"/>
        <v>#2f89d1</v>
      </c>
    </row>
    <row r="1398" spans="1:23" x14ac:dyDescent="0.5">
      <c r="A1398" s="54">
        <v>1397</v>
      </c>
      <c r="B1398" s="90" t="s">
        <v>637</v>
      </c>
      <c r="C1398" t="s">
        <v>1046</v>
      </c>
      <c r="D1398" s="1" t="s">
        <v>1313</v>
      </c>
      <c r="E1398" s="112">
        <v>2004.08</v>
      </c>
      <c r="F1398" s="112">
        <v>2004.11</v>
      </c>
      <c r="G1398" s="107" t="s">
        <v>670</v>
      </c>
      <c r="H1398">
        <f>INDEX('GIS-Standards'!$A$2:$A$305,MATCH(B1398,'GIS-Standards'!$B$2:$B$305,0))</f>
        <v>62</v>
      </c>
      <c r="I1398">
        <f>INDEX('GIS-Standards'!$A$2:$A$305,MATCH(C1398,'GIS-Standards'!$B$2:$B$305,0))</f>
        <v>32</v>
      </c>
      <c r="J1398" t="str">
        <f>INDEX('GIS-Standards'!$O$2:$O$305,MATCH(B1398,'GIS-Standards'!$B$2:$B$305,0))</f>
        <v>ISO/TC 211</v>
      </c>
      <c r="K1398" t="str">
        <f>INDEX('GIS-Standards'!$O$2:$O$305,MATCH(C1398,'GIS-Standards'!$B$2:$B$305,0))</f>
        <v>ISO/TC 211</v>
      </c>
      <c r="M1398" t="s">
        <v>525</v>
      </c>
      <c r="N1398">
        <f>INDEX('GIS-Standards'!$I$2:$I$305,MATCH(B1398,'GIS-Standards'!$B$2:$B$305,0))</f>
        <v>0</v>
      </c>
      <c r="O1398">
        <f>INDEX('GIS-Standards'!$I$2:$I$305,MATCH(C1398,'GIS-Standards'!$B$2:$B$305,0))</f>
        <v>0</v>
      </c>
      <c r="P1398" t="b">
        <f>AND(TableRelationships12[[#This Row],[Source Type]]="BIM",TableRelationships12[[#This Row],[Target Type]]="BIM")</f>
        <v>0</v>
      </c>
      <c r="Q1398">
        <f t="shared" si="63"/>
        <v>1</v>
      </c>
      <c r="S1398">
        <f t="shared" si="64"/>
        <v>1</v>
      </c>
      <c r="T1398" s="102" t="str">
        <f>IF(TableRelationships12[[#This Row],[Rank Pedro]]="Low","linkCategory1",IF(TableRelationships12[[#This Row],[Rank Pedro]]="Medium","linkCategory2",IF(TableRelationships12[[#This Row],[Rank Pedro]]="High","linkCategory3","")))</f>
        <v/>
      </c>
      <c r="U1398" s="102" t="str">
        <f>IF(TableRelationships12[[#This Row],[Rank Pedro]]="Low","Pink",IF(TableRelationships12[[#This Row],[Rank Pedro]]="Medium","Purple",IF(TableRelationships12[[#This Row],[Rank Pedro]]="High","Brown","")))</f>
        <v/>
      </c>
      <c r="V1398" s="4" t="e">
        <f>MAX(INDEX(Standards!$F$2:$F$296,MATCH(B1398,Standards!$B$2:$B$296,0)),INDEX(Standards!$F$2:$F$296,MATCH(C1398,Standards!$B$2:$B$296,0)))</f>
        <v>#N/A</v>
      </c>
      <c r="W1398" t="str">
        <f t="shared" si="65"/>
        <v>#2f89d1</v>
      </c>
    </row>
    <row r="1399" spans="1:23" x14ac:dyDescent="0.5">
      <c r="A1399" s="54">
        <v>1398</v>
      </c>
      <c r="B1399" s="90" t="s">
        <v>637</v>
      </c>
      <c r="C1399" t="s">
        <v>633</v>
      </c>
      <c r="D1399" s="1" t="s">
        <v>1136</v>
      </c>
      <c r="E1399" s="112">
        <v>2010.06</v>
      </c>
      <c r="F1399" s="112">
        <v>2018.09</v>
      </c>
      <c r="G1399" s="107" t="s">
        <v>670</v>
      </c>
      <c r="H1399">
        <f>INDEX('GIS-Standards'!$A$2:$A$305,MATCH(B1399,'GIS-Standards'!$B$2:$B$305,0))</f>
        <v>62</v>
      </c>
      <c r="I1399">
        <f>INDEX('GIS-Standards'!$A$2:$A$305,MATCH(C1399,'GIS-Standards'!$B$2:$B$305,0))</f>
        <v>36</v>
      </c>
      <c r="J1399" t="str">
        <f>INDEX('GIS-Standards'!$O$2:$O$305,MATCH(B1399,'GIS-Standards'!$B$2:$B$305,0))</f>
        <v>ISO/TC 211</v>
      </c>
      <c r="K1399" t="str">
        <f>INDEX('GIS-Standards'!$O$2:$O$305,MATCH(C1399,'GIS-Standards'!$B$2:$B$305,0))</f>
        <v>ISO/TC 211</v>
      </c>
      <c r="M1399" t="s">
        <v>525</v>
      </c>
      <c r="N1399">
        <f>INDEX('GIS-Standards'!$I$2:$I$305,MATCH(B1399,'GIS-Standards'!$B$2:$B$305,0))</f>
        <v>0</v>
      </c>
      <c r="O1399">
        <f>INDEX('GIS-Standards'!$I$2:$I$305,MATCH(C1399,'GIS-Standards'!$B$2:$B$305,0))</f>
        <v>0</v>
      </c>
      <c r="P1399" t="b">
        <f>AND(TableRelationships12[[#This Row],[Source Type]]="BIM",TableRelationships12[[#This Row],[Target Type]]="BIM")</f>
        <v>0</v>
      </c>
      <c r="Q1399">
        <f t="shared" si="63"/>
        <v>1</v>
      </c>
      <c r="S1399">
        <f t="shared" si="64"/>
        <v>1</v>
      </c>
      <c r="T1399" s="102" t="str">
        <f>IF(TableRelationships12[[#This Row],[Rank Pedro]]="Low","linkCategory1",IF(TableRelationships12[[#This Row],[Rank Pedro]]="Medium","linkCategory2",IF(TableRelationships12[[#This Row],[Rank Pedro]]="High","linkCategory3","")))</f>
        <v/>
      </c>
      <c r="U1399" s="102" t="str">
        <f>IF(TableRelationships12[[#This Row],[Rank Pedro]]="Low","Pink",IF(TableRelationships12[[#This Row],[Rank Pedro]]="Medium","Purple",IF(TableRelationships12[[#This Row],[Rank Pedro]]="High","Brown","")))</f>
        <v/>
      </c>
      <c r="V1399" s="4" t="e">
        <f>MAX(INDEX(Standards!$F$2:$F$296,MATCH(B1399,Standards!$B$2:$B$296,0)),INDEX(Standards!$F$2:$F$296,MATCH(C1399,Standards!$B$2:$B$296,0)))</f>
        <v>#N/A</v>
      </c>
      <c r="W1399" t="str">
        <f t="shared" si="65"/>
        <v>#2f89d1</v>
      </c>
    </row>
    <row r="1400" spans="1:23" x14ac:dyDescent="0.5">
      <c r="A1400" s="54">
        <v>1399</v>
      </c>
      <c r="B1400" s="90" t="s">
        <v>637</v>
      </c>
      <c r="C1400" t="s">
        <v>330</v>
      </c>
      <c r="D1400" s="1"/>
      <c r="E1400" s="112">
        <v>2007.1</v>
      </c>
      <c r="F1400" s="112">
        <v>2007.1</v>
      </c>
      <c r="G1400" s="107" t="s">
        <v>670</v>
      </c>
      <c r="H1400">
        <f>INDEX('GIS-Standards'!$A$2:$A$305,MATCH(B1400,'GIS-Standards'!$B$2:$B$305,0))</f>
        <v>62</v>
      </c>
      <c r="I1400">
        <f>INDEX('GIS-Standards'!$A$2:$A$305,MATCH(C1400,'GIS-Standards'!$B$2:$B$305,0))</f>
        <v>38</v>
      </c>
      <c r="J1400" t="str">
        <f>INDEX('GIS-Standards'!$O$2:$O$305,MATCH(B1400,'GIS-Standards'!$B$2:$B$305,0))</f>
        <v>ISO/TC 211</v>
      </c>
      <c r="K1400" t="str">
        <f>INDEX('GIS-Standards'!$O$2:$O$305,MATCH(C1400,'GIS-Standards'!$B$2:$B$305,0))</f>
        <v>ISO/TC 211</v>
      </c>
      <c r="M1400" t="s">
        <v>525</v>
      </c>
      <c r="N1400">
        <f>INDEX('GIS-Standards'!$I$2:$I$305,MATCH(B1400,'GIS-Standards'!$B$2:$B$305,0))</f>
        <v>0</v>
      </c>
      <c r="O1400">
        <f>INDEX('GIS-Standards'!$I$2:$I$305,MATCH(C1400,'GIS-Standards'!$B$2:$B$305,0))</f>
        <v>0</v>
      </c>
      <c r="P1400" t="b">
        <f>AND(TableRelationships12[[#This Row],[Source Type]]="BIM",TableRelationships12[[#This Row],[Target Type]]="BIM")</f>
        <v>0</v>
      </c>
      <c r="Q1400">
        <f t="shared" si="63"/>
        <v>1</v>
      </c>
      <c r="S1400">
        <f t="shared" si="64"/>
        <v>1</v>
      </c>
      <c r="T1400" s="102" t="str">
        <f>IF(TableRelationships12[[#This Row],[Rank Pedro]]="Low","linkCategory1",IF(TableRelationships12[[#This Row],[Rank Pedro]]="Medium","linkCategory2",IF(TableRelationships12[[#This Row],[Rank Pedro]]="High","linkCategory3","")))</f>
        <v/>
      </c>
      <c r="U1400" s="102" t="str">
        <f>IF(TableRelationships12[[#This Row],[Rank Pedro]]="Low","Pink",IF(TableRelationships12[[#This Row],[Rank Pedro]]="Medium","Purple",IF(TableRelationships12[[#This Row],[Rank Pedro]]="High","Brown","")))</f>
        <v/>
      </c>
      <c r="V1400" s="4" t="e">
        <f>MAX(INDEX(Standards!$F$2:$F$296,MATCH(B1400,Standards!$B$2:$B$296,0)),INDEX(Standards!$F$2:$F$296,MATCH(C1400,Standards!$B$2:$B$296,0)))</f>
        <v>#N/A</v>
      </c>
      <c r="W1400" t="str">
        <f t="shared" si="65"/>
        <v>#2f89d1</v>
      </c>
    </row>
    <row r="1401" spans="1:23" x14ac:dyDescent="0.5">
      <c r="A1401" s="54">
        <v>1400</v>
      </c>
      <c r="B1401" s="90" t="s">
        <v>637</v>
      </c>
      <c r="C1401" t="s">
        <v>338</v>
      </c>
      <c r="D1401" s="1"/>
      <c r="E1401" s="112">
        <v>2008.06</v>
      </c>
      <c r="F1401" s="112">
        <v>2008.06</v>
      </c>
      <c r="G1401" s="107" t="s">
        <v>670</v>
      </c>
      <c r="H1401">
        <f>INDEX('GIS-Standards'!$A$2:$A$305,MATCH(B1401,'GIS-Standards'!$B$2:$B$305,0))</f>
        <v>62</v>
      </c>
      <c r="I1401">
        <f>INDEX('GIS-Standards'!$A$2:$A$305,MATCH(C1401,'GIS-Standards'!$B$2:$B$305,0))</f>
        <v>45</v>
      </c>
      <c r="J1401" t="str">
        <f>INDEX('GIS-Standards'!$O$2:$O$305,MATCH(B1401,'GIS-Standards'!$B$2:$B$305,0))</f>
        <v>ISO/TC 211</v>
      </c>
      <c r="K1401" t="str">
        <f>INDEX('GIS-Standards'!$O$2:$O$305,MATCH(C1401,'GIS-Standards'!$B$2:$B$305,0))</f>
        <v>ISO/TC 211</v>
      </c>
      <c r="M1401" t="s">
        <v>525</v>
      </c>
      <c r="N1401">
        <f>INDEX('GIS-Standards'!$I$2:$I$305,MATCH(B1401,'GIS-Standards'!$B$2:$B$305,0))</f>
        <v>0</v>
      </c>
      <c r="O1401">
        <f>INDEX('GIS-Standards'!$I$2:$I$305,MATCH(C1401,'GIS-Standards'!$B$2:$B$305,0))</f>
        <v>0</v>
      </c>
      <c r="P1401" t="b">
        <f>AND(TableRelationships12[[#This Row],[Source Type]]="BIM",TableRelationships12[[#This Row],[Target Type]]="BIM")</f>
        <v>0</v>
      </c>
      <c r="Q1401">
        <f t="shared" si="63"/>
        <v>1</v>
      </c>
      <c r="S1401">
        <f t="shared" si="64"/>
        <v>1</v>
      </c>
      <c r="T1401" s="102" t="str">
        <f>IF(TableRelationships12[[#This Row],[Rank Pedro]]="Low","linkCategory1",IF(TableRelationships12[[#This Row],[Rank Pedro]]="Medium","linkCategory2",IF(TableRelationships12[[#This Row],[Rank Pedro]]="High","linkCategory3","")))</f>
        <v/>
      </c>
      <c r="U1401" s="102" t="str">
        <f>IF(TableRelationships12[[#This Row],[Rank Pedro]]="Low","Pink",IF(TableRelationships12[[#This Row],[Rank Pedro]]="Medium","Purple",IF(TableRelationships12[[#This Row],[Rank Pedro]]="High","Brown","")))</f>
        <v/>
      </c>
      <c r="V1401" s="4" t="e">
        <f>MAX(INDEX(Standards!$F$2:$F$296,MATCH(B1401,Standards!$B$2:$B$296,0)),INDEX(Standards!$F$2:$F$296,MATCH(C1401,Standards!$B$2:$B$296,0)))</f>
        <v>#N/A</v>
      </c>
      <c r="W1401" t="str">
        <f t="shared" si="65"/>
        <v>#2f89d1</v>
      </c>
    </row>
    <row r="1402" spans="1:23" x14ac:dyDescent="0.5">
      <c r="A1402" s="54">
        <v>1401</v>
      </c>
      <c r="B1402" s="90" t="s">
        <v>637</v>
      </c>
      <c r="C1402" t="s">
        <v>635</v>
      </c>
      <c r="D1402" s="1"/>
      <c r="E1402" s="112">
        <v>2015.06</v>
      </c>
      <c r="F1402" s="112">
        <v>2015.06</v>
      </c>
      <c r="G1402" s="107" t="s">
        <v>670</v>
      </c>
      <c r="H1402">
        <f>INDEX('GIS-Standards'!$A$2:$A$305,MATCH(B1402,'GIS-Standards'!$B$2:$B$305,0))</f>
        <v>62</v>
      </c>
      <c r="I1402">
        <f>INDEX('GIS-Standards'!$A$2:$A$305,MATCH(C1402,'GIS-Standards'!$B$2:$B$305,0))</f>
        <v>52</v>
      </c>
      <c r="J1402" t="str">
        <f>INDEX('GIS-Standards'!$O$2:$O$305,MATCH(B1402,'GIS-Standards'!$B$2:$B$305,0))</f>
        <v>ISO/TC 211</v>
      </c>
      <c r="K1402" t="str">
        <f>INDEX('GIS-Standards'!$O$2:$O$305,MATCH(C1402,'GIS-Standards'!$B$2:$B$305,0))</f>
        <v>ISO/TC 211</v>
      </c>
      <c r="M1402" t="s">
        <v>525</v>
      </c>
      <c r="N1402">
        <f>INDEX('GIS-Standards'!$I$2:$I$305,MATCH(B1402,'GIS-Standards'!$B$2:$B$305,0))</f>
        <v>0</v>
      </c>
      <c r="O1402">
        <f>INDEX('GIS-Standards'!$I$2:$I$305,MATCH(C1402,'GIS-Standards'!$B$2:$B$305,0))</f>
        <v>0</v>
      </c>
      <c r="P1402" t="b">
        <f>AND(TableRelationships12[[#This Row],[Source Type]]="BIM",TableRelationships12[[#This Row],[Target Type]]="BIM")</f>
        <v>0</v>
      </c>
      <c r="Q1402">
        <f t="shared" si="63"/>
        <v>1</v>
      </c>
      <c r="S1402">
        <f t="shared" si="64"/>
        <v>1</v>
      </c>
      <c r="T1402" s="102" t="str">
        <f>IF(TableRelationships12[[#This Row],[Rank Pedro]]="Low","linkCategory1",IF(TableRelationships12[[#This Row],[Rank Pedro]]="Medium","linkCategory2",IF(TableRelationships12[[#This Row],[Rank Pedro]]="High","linkCategory3","")))</f>
        <v/>
      </c>
      <c r="U1402" s="102" t="str">
        <f>IF(TableRelationships12[[#This Row],[Rank Pedro]]="Low","Pink",IF(TableRelationships12[[#This Row],[Rank Pedro]]="Medium","Purple",IF(TableRelationships12[[#This Row],[Rank Pedro]]="High","Brown","")))</f>
        <v/>
      </c>
      <c r="V1402" s="4" t="e">
        <f>MAX(INDEX(Standards!$F$2:$F$296,MATCH(B1402,Standards!$B$2:$B$296,0)),INDEX(Standards!$F$2:$F$296,MATCH(C1402,Standards!$B$2:$B$296,0)))</f>
        <v>#N/A</v>
      </c>
      <c r="W1402" t="str">
        <f t="shared" si="65"/>
        <v>#2f89d1</v>
      </c>
    </row>
    <row r="1403" spans="1:23" x14ac:dyDescent="0.5">
      <c r="A1403" s="54">
        <v>1402</v>
      </c>
      <c r="B1403" s="90" t="s">
        <v>637</v>
      </c>
      <c r="C1403" t="s">
        <v>344</v>
      </c>
      <c r="D1403" s="1"/>
      <c r="E1403" s="112">
        <v>2012.02</v>
      </c>
      <c r="F1403" s="112">
        <v>2021.04</v>
      </c>
      <c r="G1403" s="107" t="s">
        <v>670</v>
      </c>
      <c r="H1403">
        <f>INDEX('GIS-Standards'!$A$2:$A$305,MATCH(B1403,'GIS-Standards'!$B$2:$B$305,0))</f>
        <v>62</v>
      </c>
      <c r="I1403">
        <f>INDEX('GIS-Standards'!$A$2:$A$305,MATCH(C1403,'GIS-Standards'!$B$2:$B$305,0))</f>
        <v>53</v>
      </c>
      <c r="J1403" t="str">
        <f>INDEX('GIS-Standards'!$O$2:$O$305,MATCH(B1403,'GIS-Standards'!$B$2:$B$305,0))</f>
        <v>ISO/TC 211</v>
      </c>
      <c r="K1403" t="str">
        <f>INDEX('GIS-Standards'!$O$2:$O$305,MATCH(C1403,'GIS-Standards'!$B$2:$B$305,0))</f>
        <v>ISO/TC 211</v>
      </c>
      <c r="M1403" t="s">
        <v>525</v>
      </c>
      <c r="N1403">
        <f>INDEX('GIS-Standards'!$I$2:$I$305,MATCH(B1403,'GIS-Standards'!$B$2:$B$305,0))</f>
        <v>0</v>
      </c>
      <c r="O1403">
        <f>INDEX('GIS-Standards'!$I$2:$I$305,MATCH(C1403,'GIS-Standards'!$B$2:$B$305,0))</f>
        <v>0</v>
      </c>
      <c r="P1403" t="b">
        <f>AND(TableRelationships12[[#This Row],[Source Type]]="BIM",TableRelationships12[[#This Row],[Target Type]]="BIM")</f>
        <v>0</v>
      </c>
      <c r="Q1403">
        <f t="shared" si="63"/>
        <v>1</v>
      </c>
      <c r="S1403">
        <f t="shared" si="64"/>
        <v>1</v>
      </c>
      <c r="T1403" s="102" t="str">
        <f>IF(TableRelationships12[[#This Row],[Rank Pedro]]="Low","linkCategory1",IF(TableRelationships12[[#This Row],[Rank Pedro]]="Medium","linkCategory2",IF(TableRelationships12[[#This Row],[Rank Pedro]]="High","linkCategory3","")))</f>
        <v/>
      </c>
      <c r="U1403" s="102" t="str">
        <f>IF(TableRelationships12[[#This Row],[Rank Pedro]]="Low","Pink",IF(TableRelationships12[[#This Row],[Rank Pedro]]="Medium","Purple",IF(TableRelationships12[[#This Row],[Rank Pedro]]="High","Brown","")))</f>
        <v/>
      </c>
      <c r="V1403" s="4" t="e">
        <f>MAX(INDEX(Standards!$F$2:$F$296,MATCH(B1403,Standards!$B$2:$B$296,0)),INDEX(Standards!$F$2:$F$296,MATCH(C1403,Standards!$B$2:$B$296,0)))</f>
        <v>#N/A</v>
      </c>
      <c r="W1403" t="str">
        <f t="shared" si="65"/>
        <v>#2f89d1</v>
      </c>
    </row>
    <row r="1404" spans="1:23" x14ac:dyDescent="0.5">
      <c r="A1404" s="54">
        <v>1403</v>
      </c>
      <c r="B1404" s="90" t="s">
        <v>637</v>
      </c>
      <c r="C1404" t="s">
        <v>638</v>
      </c>
      <c r="D1404" s="1"/>
      <c r="E1404" s="113">
        <v>2012.11</v>
      </c>
      <c r="F1404" s="113">
        <v>2012.11</v>
      </c>
      <c r="G1404" s="107" t="s">
        <v>670</v>
      </c>
      <c r="H1404">
        <f>INDEX('GIS-Standards'!$A$2:$A$305,MATCH(B1404,'GIS-Standards'!$B$2:$B$305,0))</f>
        <v>62</v>
      </c>
      <c r="I1404">
        <f>INDEX('GIS-Standards'!$A$2:$A$305,MATCH(C1404,'GIS-Standards'!$B$2:$B$305,0))</f>
        <v>63</v>
      </c>
      <c r="J1404" t="str">
        <f>INDEX('GIS-Standards'!$O$2:$O$305,MATCH(B1404,'GIS-Standards'!$B$2:$B$305,0))</f>
        <v>ISO/TC 211</v>
      </c>
      <c r="K1404" t="str">
        <f>INDEX('GIS-Standards'!$O$2:$O$305,MATCH(C1404,'GIS-Standards'!$B$2:$B$305,0))</f>
        <v>ISO/TC 211</v>
      </c>
      <c r="M1404" t="s">
        <v>525</v>
      </c>
      <c r="N1404">
        <f>INDEX('GIS-Standards'!$I$2:$I$305,MATCH(B1404,'GIS-Standards'!$B$2:$B$305,0))</f>
        <v>0</v>
      </c>
      <c r="O1404">
        <f>INDEX('GIS-Standards'!$I$2:$I$305,MATCH(C1404,'GIS-Standards'!$B$2:$B$305,0))</f>
        <v>0</v>
      </c>
      <c r="P1404" t="b">
        <f>AND(TableRelationships12[[#This Row],[Source Type]]="BIM",TableRelationships12[[#This Row],[Target Type]]="BIM")</f>
        <v>0</v>
      </c>
      <c r="Q1404">
        <f t="shared" si="63"/>
        <v>1</v>
      </c>
      <c r="S1404">
        <f t="shared" si="64"/>
        <v>1</v>
      </c>
      <c r="T1404" s="102" t="str">
        <f>IF(TableRelationships12[[#This Row],[Rank Pedro]]="Low","linkCategory1",IF(TableRelationships12[[#This Row],[Rank Pedro]]="Medium","linkCategory2",IF(TableRelationships12[[#This Row],[Rank Pedro]]="High","linkCategory3","")))</f>
        <v/>
      </c>
      <c r="U1404" s="102" t="str">
        <f>IF(TableRelationships12[[#This Row],[Rank Pedro]]="Low","Pink",IF(TableRelationships12[[#This Row],[Rank Pedro]]="Medium","Purple",IF(TableRelationships12[[#This Row],[Rank Pedro]]="High","Brown","")))</f>
        <v/>
      </c>
      <c r="V1404" s="4" t="e">
        <f>MAX(INDEX(Standards!$F$2:$F$296,MATCH(B1404,Standards!$B$2:$B$296,0)),INDEX(Standards!$F$2:$F$296,MATCH(C1404,Standards!$B$2:$B$296,0)))</f>
        <v>#N/A</v>
      </c>
      <c r="W1404" t="str">
        <f t="shared" si="65"/>
        <v>#2f89d1</v>
      </c>
    </row>
    <row r="1405" spans="1:23" x14ac:dyDescent="0.5">
      <c r="A1405" s="54">
        <v>1404</v>
      </c>
      <c r="B1405" s="90" t="s">
        <v>637</v>
      </c>
      <c r="C1405" t="s">
        <v>1079</v>
      </c>
      <c r="D1405" s="1"/>
      <c r="E1405" s="112">
        <v>2005.04</v>
      </c>
      <c r="F1405" s="112">
        <v>2005.04</v>
      </c>
      <c r="G1405" s="107" t="s">
        <v>1502</v>
      </c>
      <c r="H1405">
        <f>INDEX('GIS-Standards'!$A$2:$A$305,MATCH(B1405,'GIS-Standards'!$B$2:$B$305,0))</f>
        <v>62</v>
      </c>
      <c r="I1405" t="e">
        <f>INDEX('GIS-Standards'!$A$2:$A$305,MATCH(C1405,'GIS-Standards'!$B$2:$B$305,0))</f>
        <v>#N/A</v>
      </c>
      <c r="J1405" t="str">
        <f>INDEX('GIS-Standards'!$O$2:$O$305,MATCH(B1405,'GIS-Standards'!$B$2:$B$305,0))</f>
        <v>ISO/TC 211</v>
      </c>
      <c r="K1405" t="e">
        <f>INDEX('GIS-Standards'!$O$2:$O$305,MATCH(C1405,'GIS-Standards'!$B$2:$B$305,0))</f>
        <v>#N/A</v>
      </c>
      <c r="M1405" t="s">
        <v>525</v>
      </c>
      <c r="N1405">
        <f>INDEX('GIS-Standards'!$I$2:$I$305,MATCH(B1405,'GIS-Standards'!$B$2:$B$305,0))</f>
        <v>0</v>
      </c>
      <c r="O1405" t="e">
        <f>INDEX('GIS-Standards'!$I$2:$I$305,MATCH(C1405,'GIS-Standards'!$B$2:$B$305,0))</f>
        <v>#N/A</v>
      </c>
      <c r="P1405" t="e">
        <f>AND(TableRelationships12[[#This Row],[Source Type]]="BIM",TableRelationships12[[#This Row],[Target Type]]="BIM")</f>
        <v>#N/A</v>
      </c>
      <c r="Q1405">
        <f t="shared" si="63"/>
        <v>1</v>
      </c>
      <c r="S1405">
        <f t="shared" si="64"/>
        <v>1</v>
      </c>
      <c r="T1405" s="102" t="str">
        <f>IF(TableRelationships12[[#This Row],[Rank Pedro]]="Low","linkCategory1",IF(TableRelationships12[[#This Row],[Rank Pedro]]="Medium","linkCategory2",IF(TableRelationships12[[#This Row],[Rank Pedro]]="High","linkCategory3","")))</f>
        <v/>
      </c>
      <c r="U1405" s="102" t="str">
        <f>IF(TableRelationships12[[#This Row],[Rank Pedro]]="Low","Pink",IF(TableRelationships12[[#This Row],[Rank Pedro]]="Medium","Purple",IF(TableRelationships12[[#This Row],[Rank Pedro]]="High","Brown","")))</f>
        <v/>
      </c>
      <c r="V1405" s="4" t="e">
        <f>MAX(INDEX(Standards!$F$2:$F$296,MATCH(B1405,Standards!$B$2:$B$296,0)),INDEX(Standards!$F$2:$F$296,MATCH(C1405,Standards!$B$2:$B$296,0)))</f>
        <v>#N/A</v>
      </c>
      <c r="W1405" t="str">
        <f t="shared" si="65"/>
        <v>#2f89d1</v>
      </c>
    </row>
    <row r="1406" spans="1:23" x14ac:dyDescent="0.5">
      <c r="A1406" s="54">
        <v>1405</v>
      </c>
      <c r="B1406" s="90" t="s">
        <v>637</v>
      </c>
      <c r="C1406" t="s">
        <v>1314</v>
      </c>
      <c r="D1406" s="1"/>
      <c r="E1406" s="112">
        <v>2006.1</v>
      </c>
      <c r="F1406" s="112">
        <v>2021.07</v>
      </c>
      <c r="G1406" s="107"/>
      <c r="H1406">
        <f>INDEX('GIS-Standards'!$A$2:$A$305,MATCH(B1406,'GIS-Standards'!$B$2:$B$305,0))</f>
        <v>62</v>
      </c>
      <c r="I1406" t="e">
        <f>INDEX('GIS-Standards'!$A$2:$A$305,MATCH(C1406,'GIS-Standards'!$B$2:$B$305,0))</f>
        <v>#N/A</v>
      </c>
      <c r="J1406" t="str">
        <f>INDEX('GIS-Standards'!$O$2:$O$305,MATCH(B1406,'GIS-Standards'!$B$2:$B$305,0))</f>
        <v>ISO/TC 211</v>
      </c>
      <c r="K1406" t="e">
        <f>INDEX('GIS-Standards'!$O$2:$O$305,MATCH(C1406,'GIS-Standards'!$B$2:$B$305,0))</f>
        <v>#N/A</v>
      </c>
      <c r="M1406" t="s">
        <v>525</v>
      </c>
      <c r="N1406">
        <f>INDEX('GIS-Standards'!$I$2:$I$305,MATCH(B1406,'GIS-Standards'!$B$2:$B$305,0))</f>
        <v>0</v>
      </c>
      <c r="O1406" t="e">
        <f>INDEX('GIS-Standards'!$I$2:$I$305,MATCH(C1406,'GIS-Standards'!$B$2:$B$305,0))</f>
        <v>#N/A</v>
      </c>
      <c r="P1406" t="e">
        <f>AND(TableRelationships12[[#This Row],[Source Type]]="BIM",TableRelationships12[[#This Row],[Target Type]]="BIM")</f>
        <v>#N/A</v>
      </c>
      <c r="Q1406">
        <f t="shared" si="63"/>
        <v>1</v>
      </c>
      <c r="S1406">
        <f t="shared" si="64"/>
        <v>1</v>
      </c>
      <c r="T1406" s="102" t="str">
        <f>IF(TableRelationships12[[#This Row],[Rank Pedro]]="Low","linkCategory1",IF(TableRelationships12[[#This Row],[Rank Pedro]]="Medium","linkCategory2",IF(TableRelationships12[[#This Row],[Rank Pedro]]="High","linkCategory3","")))</f>
        <v/>
      </c>
      <c r="U1406" s="102" t="str">
        <f>IF(TableRelationships12[[#This Row],[Rank Pedro]]="Low","Pink",IF(TableRelationships12[[#This Row],[Rank Pedro]]="Medium","Purple",IF(TableRelationships12[[#This Row],[Rank Pedro]]="High","Brown","")))</f>
        <v/>
      </c>
      <c r="V1406" s="4" t="e">
        <f>MAX(INDEX(Standards!$F$2:$F$296,MATCH(B1406,Standards!$B$2:$B$296,0)),INDEX(Standards!$F$2:$F$296,MATCH(C1406,Standards!$B$2:$B$296,0)))</f>
        <v>#N/A</v>
      </c>
      <c r="W1406" t="str">
        <f t="shared" si="65"/>
        <v>#2f89d1</v>
      </c>
    </row>
    <row r="1407" spans="1:23" x14ac:dyDescent="0.5">
      <c r="A1407" s="54">
        <v>1406</v>
      </c>
      <c r="B1407" s="90" t="s">
        <v>637</v>
      </c>
      <c r="C1407" t="s">
        <v>1063</v>
      </c>
      <c r="D1407" s="1"/>
      <c r="E1407" s="112">
        <v>1998.12</v>
      </c>
      <c r="F1407" s="112">
        <v>1998.12</v>
      </c>
      <c r="G1407" s="107" t="s">
        <v>1502</v>
      </c>
      <c r="H1407">
        <f>INDEX('GIS-Standards'!$A$2:$A$305,MATCH(B1407,'GIS-Standards'!$B$2:$B$305,0))</f>
        <v>62</v>
      </c>
      <c r="I1407" t="e">
        <f>INDEX('GIS-Standards'!$A$2:$A$305,MATCH(C1407,'GIS-Standards'!$B$2:$B$305,0))</f>
        <v>#N/A</v>
      </c>
      <c r="J1407" t="str">
        <f>INDEX('GIS-Standards'!$O$2:$O$305,MATCH(B1407,'GIS-Standards'!$B$2:$B$305,0))</f>
        <v>ISO/TC 211</v>
      </c>
      <c r="K1407" t="e">
        <f>INDEX('GIS-Standards'!$O$2:$O$305,MATCH(C1407,'GIS-Standards'!$B$2:$B$305,0))</f>
        <v>#N/A</v>
      </c>
      <c r="M1407" t="s">
        <v>525</v>
      </c>
      <c r="N1407">
        <f>INDEX('GIS-Standards'!$I$2:$I$305,MATCH(B1407,'GIS-Standards'!$B$2:$B$305,0))</f>
        <v>0</v>
      </c>
      <c r="O1407" t="e">
        <f>INDEX('GIS-Standards'!$I$2:$I$305,MATCH(C1407,'GIS-Standards'!$B$2:$B$305,0))</f>
        <v>#N/A</v>
      </c>
      <c r="P1407" t="e">
        <f>AND(TableRelationships12[[#This Row],[Source Type]]="BIM",TableRelationships12[[#This Row],[Target Type]]="BIM")</f>
        <v>#N/A</v>
      </c>
      <c r="Q1407">
        <f t="shared" si="63"/>
        <v>1</v>
      </c>
      <c r="S1407">
        <f t="shared" si="64"/>
        <v>1</v>
      </c>
      <c r="T1407" s="102" t="str">
        <f>IF(TableRelationships12[[#This Row],[Rank Pedro]]="Low","linkCategory1",IF(TableRelationships12[[#This Row],[Rank Pedro]]="Medium","linkCategory2",IF(TableRelationships12[[#This Row],[Rank Pedro]]="High","linkCategory3","")))</f>
        <v/>
      </c>
      <c r="U1407" s="102" t="str">
        <f>IF(TableRelationships12[[#This Row],[Rank Pedro]]="Low","Pink",IF(TableRelationships12[[#This Row],[Rank Pedro]]="Medium","Purple",IF(TableRelationships12[[#This Row],[Rank Pedro]]="High","Brown","")))</f>
        <v/>
      </c>
      <c r="V1407" s="4" t="e">
        <f>MAX(INDEX(Standards!$F$2:$F$296,MATCH(B1407,Standards!$B$2:$B$296,0)),INDEX(Standards!$F$2:$F$296,MATCH(C1407,Standards!$B$2:$B$296,0)))</f>
        <v>#N/A</v>
      </c>
      <c r="W1407" t="str">
        <f t="shared" si="65"/>
        <v>#2f89d1</v>
      </c>
    </row>
    <row r="1408" spans="1:23" x14ac:dyDescent="0.5">
      <c r="A1408" s="54">
        <v>1407</v>
      </c>
      <c r="B1408" s="90" t="s">
        <v>637</v>
      </c>
      <c r="C1408" t="s">
        <v>1064</v>
      </c>
      <c r="D1408" s="1"/>
      <c r="E1408" s="112">
        <v>1996.09</v>
      </c>
      <c r="F1408" s="112">
        <v>2009.12</v>
      </c>
      <c r="G1408" s="107" t="s">
        <v>1502</v>
      </c>
      <c r="H1408">
        <f>INDEX('GIS-Standards'!$A$2:$A$305,MATCH(B1408,'GIS-Standards'!$B$2:$B$305,0))</f>
        <v>62</v>
      </c>
      <c r="I1408" t="e">
        <f>INDEX('GIS-Standards'!$A$2:$A$305,MATCH(C1408,'GIS-Standards'!$B$2:$B$305,0))</f>
        <v>#N/A</v>
      </c>
      <c r="J1408" t="str">
        <f>INDEX('GIS-Standards'!$O$2:$O$305,MATCH(B1408,'GIS-Standards'!$B$2:$B$305,0))</f>
        <v>ISO/TC 211</v>
      </c>
      <c r="K1408" t="e">
        <f>INDEX('GIS-Standards'!$O$2:$O$305,MATCH(C1408,'GIS-Standards'!$B$2:$B$305,0))</f>
        <v>#N/A</v>
      </c>
      <c r="M1408" t="s">
        <v>525</v>
      </c>
      <c r="N1408">
        <f>INDEX('GIS-Standards'!$I$2:$I$305,MATCH(B1408,'GIS-Standards'!$B$2:$B$305,0))</f>
        <v>0</v>
      </c>
      <c r="O1408" t="e">
        <f>INDEX('GIS-Standards'!$I$2:$I$305,MATCH(C1408,'GIS-Standards'!$B$2:$B$305,0))</f>
        <v>#N/A</v>
      </c>
      <c r="P1408" t="e">
        <f>AND(TableRelationships12[[#This Row],[Source Type]]="BIM",TableRelationships12[[#This Row],[Target Type]]="BIM")</f>
        <v>#N/A</v>
      </c>
      <c r="Q1408">
        <f t="shared" si="63"/>
        <v>1</v>
      </c>
      <c r="S1408">
        <f t="shared" si="64"/>
        <v>1</v>
      </c>
      <c r="T1408" s="102" t="str">
        <f>IF(TableRelationships12[[#This Row],[Rank Pedro]]="Low","linkCategory1",IF(TableRelationships12[[#This Row],[Rank Pedro]]="Medium","linkCategory2",IF(TableRelationships12[[#This Row],[Rank Pedro]]="High","linkCategory3","")))</f>
        <v/>
      </c>
      <c r="U1408" s="102" t="str">
        <f>IF(TableRelationships12[[#This Row],[Rank Pedro]]="Low","Pink",IF(TableRelationships12[[#This Row],[Rank Pedro]]="Medium","Purple",IF(TableRelationships12[[#This Row],[Rank Pedro]]="High","Brown","")))</f>
        <v/>
      </c>
      <c r="V1408" s="4" t="e">
        <f>MAX(INDEX(Standards!$F$2:$F$296,MATCH(B1408,Standards!$B$2:$B$296,0)),INDEX(Standards!$F$2:$F$296,MATCH(C1408,Standards!$B$2:$B$296,0)))</f>
        <v>#N/A</v>
      </c>
      <c r="W1408" t="str">
        <f t="shared" si="65"/>
        <v>#2f89d1</v>
      </c>
    </row>
    <row r="1409" spans="1:23" x14ac:dyDescent="0.5">
      <c r="A1409" s="54">
        <v>1408</v>
      </c>
      <c r="B1409" s="90" t="s">
        <v>637</v>
      </c>
      <c r="C1409" t="s">
        <v>655</v>
      </c>
      <c r="D1409" s="1"/>
      <c r="E1409" s="112">
        <v>2012.11</v>
      </c>
      <c r="F1409" s="112">
        <v>2012.11</v>
      </c>
      <c r="G1409" s="107" t="s">
        <v>670</v>
      </c>
      <c r="H1409">
        <f>INDEX('GIS-Standards'!$A$2:$A$305,MATCH(B1409,'GIS-Standards'!$B$2:$B$305,0))</f>
        <v>62</v>
      </c>
      <c r="I1409">
        <f>INDEX('GIS-Standards'!$A$2:$A$305,MATCH(C1409,'GIS-Standards'!$B$2:$B$305,0))</f>
        <v>104</v>
      </c>
      <c r="J1409" t="str">
        <f>INDEX('GIS-Standards'!$O$2:$O$305,MATCH(B1409,'GIS-Standards'!$B$2:$B$305,0))</f>
        <v>ISO/TC 211</v>
      </c>
      <c r="K1409" t="str">
        <f>INDEX('GIS-Standards'!$O$2:$O$305,MATCH(C1409,'GIS-Standards'!$B$2:$B$305,0))</f>
        <v>ISO/TC 211</v>
      </c>
      <c r="M1409" t="s">
        <v>525</v>
      </c>
      <c r="N1409">
        <f>INDEX('GIS-Standards'!$I$2:$I$305,MATCH(B1409,'GIS-Standards'!$B$2:$B$305,0))</f>
        <v>0</v>
      </c>
      <c r="O1409">
        <f>INDEX('GIS-Standards'!$I$2:$I$305,MATCH(C1409,'GIS-Standards'!$B$2:$B$305,0))</f>
        <v>0</v>
      </c>
      <c r="P1409" t="b">
        <f>AND(TableRelationships12[[#This Row],[Source Type]]="BIM",TableRelationships12[[#This Row],[Target Type]]="BIM")</f>
        <v>0</v>
      </c>
      <c r="Q1409">
        <f t="shared" si="63"/>
        <v>1</v>
      </c>
      <c r="S1409">
        <f t="shared" si="64"/>
        <v>1</v>
      </c>
      <c r="T1409" s="102" t="str">
        <f>IF(TableRelationships12[[#This Row],[Rank Pedro]]="Low","linkCategory1",IF(TableRelationships12[[#This Row],[Rank Pedro]]="Medium","linkCategory2",IF(TableRelationships12[[#This Row],[Rank Pedro]]="High","linkCategory3","")))</f>
        <v/>
      </c>
      <c r="U1409" s="102" t="str">
        <f>IF(TableRelationships12[[#This Row],[Rank Pedro]]="Low","Pink",IF(TableRelationships12[[#This Row],[Rank Pedro]]="Medium","Purple",IF(TableRelationships12[[#This Row],[Rank Pedro]]="High","Brown","")))</f>
        <v/>
      </c>
      <c r="V1409" s="4" t="e">
        <f>MAX(INDEX(Standards!$F$2:$F$296,MATCH(B1409,Standards!$B$2:$B$296,0)),INDEX(Standards!$F$2:$F$296,MATCH(C1409,Standards!$B$2:$B$296,0)))</f>
        <v>#N/A</v>
      </c>
      <c r="W1409" t="str">
        <f t="shared" si="65"/>
        <v>#2f89d1</v>
      </c>
    </row>
    <row r="1410" spans="1:23" x14ac:dyDescent="0.5">
      <c r="A1410" s="54">
        <v>1409</v>
      </c>
      <c r="B1410" s="90" t="s">
        <v>637</v>
      </c>
      <c r="C1410" t="s">
        <v>1065</v>
      </c>
      <c r="D1410" s="1"/>
      <c r="E1410" s="112">
        <v>1996.09</v>
      </c>
      <c r="F1410" s="112">
        <v>2009.12</v>
      </c>
      <c r="G1410" s="107" t="s">
        <v>1502</v>
      </c>
      <c r="H1410">
        <f>INDEX('GIS-Standards'!$A$2:$A$305,MATCH(B1410,'GIS-Standards'!$B$2:$B$305,0))</f>
        <v>62</v>
      </c>
      <c r="I1410" t="e">
        <f>INDEX('GIS-Standards'!$A$2:$A$305,MATCH(C1410,'GIS-Standards'!$B$2:$B$305,0))</f>
        <v>#N/A</v>
      </c>
      <c r="J1410" t="str">
        <f>INDEX('GIS-Standards'!$O$2:$O$305,MATCH(B1410,'GIS-Standards'!$B$2:$B$305,0))</f>
        <v>ISO/TC 211</v>
      </c>
      <c r="K1410" t="e">
        <f>INDEX('GIS-Standards'!$O$2:$O$305,MATCH(C1410,'GIS-Standards'!$B$2:$B$305,0))</f>
        <v>#N/A</v>
      </c>
      <c r="M1410" t="s">
        <v>525</v>
      </c>
      <c r="N1410">
        <f>INDEX('GIS-Standards'!$I$2:$I$305,MATCH(B1410,'GIS-Standards'!$B$2:$B$305,0))</f>
        <v>0</v>
      </c>
      <c r="O1410" t="e">
        <f>INDEX('GIS-Standards'!$I$2:$I$305,MATCH(C1410,'GIS-Standards'!$B$2:$B$305,0))</f>
        <v>#N/A</v>
      </c>
      <c r="P1410" t="e">
        <f>AND(TableRelationships12[[#This Row],[Source Type]]="BIM",TableRelationships12[[#This Row],[Target Type]]="BIM")</f>
        <v>#N/A</v>
      </c>
      <c r="Q1410">
        <f t="shared" ref="Q1410:Q1473" si="66">IF(M1410="Normative",6,IF(M1410="Secondary",4,IF(M1410="Anchor",2,1)))</f>
        <v>1</v>
      </c>
      <c r="S1410">
        <f t="shared" ref="S1410:S1473" si="67">IF(R1410="High",10,IF(R1410="Medium",6,IF(R1410="Low",2,1)))</f>
        <v>1</v>
      </c>
      <c r="T1410" s="102" t="str">
        <f>IF(TableRelationships12[[#This Row],[Rank Pedro]]="Low","linkCategory1",IF(TableRelationships12[[#This Row],[Rank Pedro]]="Medium","linkCategory2",IF(TableRelationships12[[#This Row],[Rank Pedro]]="High","linkCategory3","")))</f>
        <v/>
      </c>
      <c r="U1410" s="102" t="str">
        <f>IF(TableRelationships12[[#This Row],[Rank Pedro]]="Low","Pink",IF(TableRelationships12[[#This Row],[Rank Pedro]]="Medium","Purple",IF(TableRelationships12[[#This Row],[Rank Pedro]]="High","Brown","")))</f>
        <v/>
      </c>
      <c r="V1410" s="4" t="e">
        <f>MAX(INDEX(Standards!$F$2:$F$296,MATCH(B1410,Standards!$B$2:$B$296,0)),INDEX(Standards!$F$2:$F$296,MATCH(C1410,Standards!$B$2:$B$296,0)))</f>
        <v>#N/A</v>
      </c>
      <c r="W1410" t="str">
        <f t="shared" ref="W1410:W1473" si="68">IF(M1410="Normative", "#d6bf2a", IF(M1410="Informative", "#2f89d1", 1))</f>
        <v>#2f89d1</v>
      </c>
    </row>
    <row r="1411" spans="1:23" x14ac:dyDescent="0.5">
      <c r="A1411" s="54">
        <v>1410</v>
      </c>
      <c r="B1411" s="90" t="s">
        <v>637</v>
      </c>
      <c r="C1411" s="104" t="s">
        <v>474</v>
      </c>
      <c r="D1411" s="1" t="s">
        <v>1070</v>
      </c>
      <c r="E1411" s="113">
        <v>1974.12</v>
      </c>
      <c r="F1411" s="113">
        <v>2022.1</v>
      </c>
      <c r="G1411" s="107" t="s">
        <v>1511</v>
      </c>
      <c r="H1411">
        <f>INDEX('GIS-Standards'!$A$2:$A$305,MATCH(B1411,'GIS-Standards'!$B$2:$B$305,0))</f>
        <v>62</v>
      </c>
      <c r="I1411" t="e">
        <f>INDEX('GIS-Standards'!$A$2:$A$305,MATCH(C1411,'GIS-Standards'!$B$2:$B$305,0))</f>
        <v>#N/A</v>
      </c>
      <c r="J1411" t="str">
        <f>INDEX('GIS-Standards'!$O$2:$O$305,MATCH(B1411,'GIS-Standards'!$B$2:$B$305,0))</f>
        <v>ISO/TC 211</v>
      </c>
      <c r="K1411" t="e">
        <f>INDEX('GIS-Standards'!$O$2:$O$305,MATCH(C1411,'GIS-Standards'!$B$2:$B$305,0))</f>
        <v>#N/A</v>
      </c>
      <c r="M1411" t="s">
        <v>525</v>
      </c>
      <c r="N1411">
        <f>INDEX('GIS-Standards'!$I$2:$I$305,MATCH(B1411,'GIS-Standards'!$B$2:$B$305,0))</f>
        <v>0</v>
      </c>
      <c r="O1411" t="e">
        <f>INDEX('GIS-Standards'!$I$2:$I$305,MATCH(C1411,'GIS-Standards'!$B$2:$B$305,0))</f>
        <v>#N/A</v>
      </c>
      <c r="P1411" t="e">
        <f>AND(TableRelationships12[[#This Row],[Source Type]]="BIM",TableRelationships12[[#This Row],[Target Type]]="BIM")</f>
        <v>#N/A</v>
      </c>
      <c r="Q1411">
        <f t="shared" si="66"/>
        <v>1</v>
      </c>
      <c r="S1411">
        <f t="shared" si="67"/>
        <v>1</v>
      </c>
      <c r="T1411" s="102" t="str">
        <f>IF(TableRelationships12[[#This Row],[Rank Pedro]]="Low","linkCategory1",IF(TableRelationships12[[#This Row],[Rank Pedro]]="Medium","linkCategory2",IF(TableRelationships12[[#This Row],[Rank Pedro]]="High","linkCategory3","")))</f>
        <v/>
      </c>
      <c r="U1411" s="102" t="str">
        <f>IF(TableRelationships12[[#This Row],[Rank Pedro]]="Low","Pink",IF(TableRelationships12[[#This Row],[Rank Pedro]]="Medium","Purple",IF(TableRelationships12[[#This Row],[Rank Pedro]]="High","Brown","")))</f>
        <v/>
      </c>
      <c r="V1411" s="4" t="e">
        <f>MAX(INDEX(Standards!$F$2:$F$296,MATCH(B1411,Standards!$B$2:$B$296,0)),INDEX(Standards!$F$2:$F$296,MATCH(C1411,Standards!$B$2:$B$296,0)))</f>
        <v>#N/A</v>
      </c>
      <c r="W1411" t="str">
        <f t="shared" si="68"/>
        <v>#2f89d1</v>
      </c>
    </row>
    <row r="1412" spans="1:23" x14ac:dyDescent="0.5">
      <c r="A1412" s="54">
        <v>1411</v>
      </c>
      <c r="B1412" s="90" t="s">
        <v>637</v>
      </c>
      <c r="C1412" t="s">
        <v>1253</v>
      </c>
      <c r="D1412" s="1"/>
      <c r="E1412" s="112">
        <v>2012.09</v>
      </c>
      <c r="F1412" s="112">
        <v>2025.03</v>
      </c>
      <c r="G1412" s="107" t="s">
        <v>1455</v>
      </c>
      <c r="H1412">
        <f>INDEX('GIS-Standards'!$A$2:$A$305,MATCH(B1412,'GIS-Standards'!$B$2:$B$305,0))</f>
        <v>62</v>
      </c>
      <c r="I1412" t="e">
        <f>INDEX('GIS-Standards'!$A$2:$A$305,MATCH(C1412,'GIS-Standards'!$B$2:$B$305,0))</f>
        <v>#N/A</v>
      </c>
      <c r="J1412" t="str">
        <f>INDEX('GIS-Standards'!$O$2:$O$305,MATCH(B1412,'GIS-Standards'!$B$2:$B$305,0))</f>
        <v>ISO/TC 211</v>
      </c>
      <c r="K1412" t="e">
        <f>INDEX('GIS-Standards'!$O$2:$O$305,MATCH(C1412,'GIS-Standards'!$B$2:$B$305,0))</f>
        <v>#N/A</v>
      </c>
      <c r="M1412" t="s">
        <v>525</v>
      </c>
      <c r="N1412">
        <f>INDEX('GIS-Standards'!$I$2:$I$305,MATCH(B1412,'GIS-Standards'!$B$2:$B$305,0))</f>
        <v>0</v>
      </c>
      <c r="O1412" t="e">
        <f>INDEX('GIS-Standards'!$I$2:$I$305,MATCH(C1412,'GIS-Standards'!$B$2:$B$305,0))</f>
        <v>#N/A</v>
      </c>
      <c r="P1412" t="e">
        <f>AND(TableRelationships12[[#This Row],[Source Type]]="BIM",TableRelationships12[[#This Row],[Target Type]]="BIM")</f>
        <v>#N/A</v>
      </c>
      <c r="Q1412">
        <f t="shared" si="66"/>
        <v>1</v>
      </c>
      <c r="S1412">
        <f t="shared" si="67"/>
        <v>1</v>
      </c>
      <c r="T1412" s="102" t="str">
        <f>IF(TableRelationships12[[#This Row],[Rank Pedro]]="Low","linkCategory1",IF(TableRelationships12[[#This Row],[Rank Pedro]]="Medium","linkCategory2",IF(TableRelationships12[[#This Row],[Rank Pedro]]="High","linkCategory3","")))</f>
        <v/>
      </c>
      <c r="U1412" s="102" t="str">
        <f>IF(TableRelationships12[[#This Row],[Rank Pedro]]="Low","Pink",IF(TableRelationships12[[#This Row],[Rank Pedro]]="Medium","Purple",IF(TableRelationships12[[#This Row],[Rank Pedro]]="High","Brown","")))</f>
        <v/>
      </c>
      <c r="V1412" s="4" t="e">
        <f>MAX(INDEX(Standards!$F$2:$F$296,MATCH(B1412,Standards!$B$2:$B$296,0)),INDEX(Standards!$F$2:$F$296,MATCH(C1412,Standards!$B$2:$B$296,0)))</f>
        <v>#N/A</v>
      </c>
      <c r="W1412" t="str">
        <f t="shared" si="68"/>
        <v>#2f89d1</v>
      </c>
    </row>
    <row r="1413" spans="1:23" x14ac:dyDescent="0.5">
      <c r="A1413" s="54">
        <v>1412</v>
      </c>
      <c r="B1413" s="90" t="s">
        <v>638</v>
      </c>
      <c r="C1413" t="s">
        <v>527</v>
      </c>
      <c r="D1413" s="1"/>
      <c r="E1413" s="112" t="s">
        <v>885</v>
      </c>
      <c r="F1413" s="112" t="s">
        <v>885</v>
      </c>
      <c r="G1413" s="121" t="s">
        <v>670</v>
      </c>
      <c r="H1413">
        <f>INDEX('GIS-Standards'!$A$2:$A$305,MATCH(B1413,'GIS-Standards'!$B$2:$B$305,0))</f>
        <v>63</v>
      </c>
      <c r="I1413" t="e">
        <f>INDEX('GIS-Standards'!$A$2:$A$305,MATCH(C1413,'GIS-Standards'!$B$2:$B$305,0))</f>
        <v>#N/A</v>
      </c>
      <c r="J1413" t="str">
        <f>INDEX('GIS-Standards'!$O$2:$O$305,MATCH(B1413,'GIS-Standards'!$B$2:$B$305,0))</f>
        <v>ISO/TC 211</v>
      </c>
      <c r="K1413" t="e">
        <f>INDEX('GIS-Standards'!$O$2:$O$305,MATCH(C1413,'GIS-Standards'!$B$2:$B$305,0))</f>
        <v>#N/A</v>
      </c>
      <c r="M1413" t="s">
        <v>237</v>
      </c>
      <c r="N1413">
        <f>INDEX('GIS-Standards'!$I$2:$I$305,MATCH(B1413,'GIS-Standards'!$B$2:$B$305,0))</f>
        <v>0</v>
      </c>
      <c r="O1413" t="e">
        <f>INDEX('GIS-Standards'!$I$2:$I$305,MATCH(C1413,'GIS-Standards'!$B$2:$B$305,0))</f>
        <v>#N/A</v>
      </c>
      <c r="P1413" t="e">
        <f>AND(TableRelationships12[[#This Row],[Source Type]]="BIM",TableRelationships12[[#This Row],[Target Type]]="BIM")</f>
        <v>#N/A</v>
      </c>
      <c r="Q1413">
        <f t="shared" si="66"/>
        <v>2</v>
      </c>
      <c r="S1413">
        <f t="shared" si="67"/>
        <v>1</v>
      </c>
      <c r="T1413" s="102" t="str">
        <f>IF(TableRelationships12[[#This Row],[Rank Pedro]]="Low","linkCategory1",IF(TableRelationships12[[#This Row],[Rank Pedro]]="Medium","linkCategory2",IF(TableRelationships12[[#This Row],[Rank Pedro]]="High","linkCategory3","")))</f>
        <v/>
      </c>
      <c r="U1413" s="102" t="str">
        <f>IF(TableRelationships12[[#This Row],[Rank Pedro]]="Low","Pink",IF(TableRelationships12[[#This Row],[Rank Pedro]]="Medium","Purple",IF(TableRelationships12[[#This Row],[Rank Pedro]]="High","Brown","")))</f>
        <v/>
      </c>
      <c r="V1413" s="4" t="e">
        <f>MAX(INDEX(Standards!$F$2:$F$296,MATCH(B1413,Standards!$B$2:$B$296,0)),INDEX(Standards!$F$2:$F$296,MATCH(C1413,Standards!$B$2:$B$296,0)))</f>
        <v>#N/A</v>
      </c>
      <c r="W1413">
        <f t="shared" si="68"/>
        <v>1</v>
      </c>
    </row>
    <row r="1414" spans="1:23" x14ac:dyDescent="0.5">
      <c r="A1414" s="54">
        <v>1413</v>
      </c>
      <c r="B1414" s="90" t="s">
        <v>638</v>
      </c>
      <c r="C1414" t="s">
        <v>296</v>
      </c>
      <c r="D1414" s="1"/>
      <c r="E1414" s="112">
        <v>2005.07</v>
      </c>
      <c r="F1414" s="112">
        <v>2024.09</v>
      </c>
      <c r="G1414" s="107" t="s">
        <v>670</v>
      </c>
      <c r="H1414">
        <f>INDEX('GIS-Standards'!$A$2:$A$305,MATCH(B1414,'GIS-Standards'!$B$2:$B$305,0))</f>
        <v>63</v>
      </c>
      <c r="I1414">
        <f>INDEX('GIS-Standards'!$A$2:$A$305,MATCH(C1414,'GIS-Standards'!$B$2:$B$305,0))</f>
        <v>12</v>
      </c>
      <c r="J1414" t="str">
        <f>INDEX('GIS-Standards'!$O$2:$O$305,MATCH(B1414,'GIS-Standards'!$B$2:$B$305,0))</f>
        <v>ISO/TC 211</v>
      </c>
      <c r="K1414" t="str">
        <f>INDEX('GIS-Standards'!$O$2:$O$305,MATCH(C1414,'GIS-Standards'!$B$2:$B$305,0))</f>
        <v>ISO/TC 211</v>
      </c>
      <c r="M1414" t="s">
        <v>524</v>
      </c>
      <c r="N1414">
        <f>INDEX('GIS-Standards'!$I$2:$I$305,MATCH(B1414,'GIS-Standards'!$B$2:$B$305,0))</f>
        <v>0</v>
      </c>
      <c r="O1414">
        <f>INDEX('GIS-Standards'!$I$2:$I$305,MATCH(C1414,'GIS-Standards'!$B$2:$B$305,0))</f>
        <v>0</v>
      </c>
      <c r="P1414" t="b">
        <f>AND(TableRelationships12[[#This Row],[Source Type]]="BIM",TableRelationships12[[#This Row],[Target Type]]="BIM")</f>
        <v>0</v>
      </c>
      <c r="Q1414">
        <f t="shared" si="66"/>
        <v>6</v>
      </c>
      <c r="S1414">
        <f t="shared" si="67"/>
        <v>1</v>
      </c>
      <c r="T1414" s="102" t="str">
        <f>IF(TableRelationships12[[#This Row],[Rank Pedro]]="Low","linkCategory1",IF(TableRelationships12[[#This Row],[Rank Pedro]]="Medium","linkCategory2",IF(TableRelationships12[[#This Row],[Rank Pedro]]="High","linkCategory3","")))</f>
        <v/>
      </c>
      <c r="U1414" s="102" t="str">
        <f>IF(TableRelationships12[[#This Row],[Rank Pedro]]="Low","Pink",IF(TableRelationships12[[#This Row],[Rank Pedro]]="Medium","Purple",IF(TableRelationships12[[#This Row],[Rank Pedro]]="High","Brown","")))</f>
        <v/>
      </c>
      <c r="V1414" s="4" t="e">
        <f>MAX(INDEX(Standards!$F$2:$F$296,MATCH(B1414,Standards!$B$2:$B$296,0)),INDEX(Standards!$F$2:$F$296,MATCH(C1414,Standards!$B$2:$B$296,0)))</f>
        <v>#N/A</v>
      </c>
      <c r="W1414" t="str">
        <f t="shared" si="68"/>
        <v>#d6bf2a</v>
      </c>
    </row>
    <row r="1415" spans="1:23" x14ac:dyDescent="0.5">
      <c r="A1415" s="54">
        <v>1414</v>
      </c>
      <c r="B1415" s="90" t="s">
        <v>638</v>
      </c>
      <c r="C1415" t="s">
        <v>310</v>
      </c>
      <c r="D1415" s="1"/>
      <c r="E1415" s="112">
        <v>2003.02</v>
      </c>
      <c r="F1415" s="112">
        <v>2023.08</v>
      </c>
      <c r="G1415" s="107" t="s">
        <v>670</v>
      </c>
      <c r="H1415">
        <f>INDEX('GIS-Standards'!$A$2:$A$305,MATCH(B1415,'GIS-Standards'!$B$2:$B$305,0))</f>
        <v>63</v>
      </c>
      <c r="I1415">
        <f>INDEX('GIS-Standards'!$A$2:$A$305,MATCH(C1415,'GIS-Standards'!$B$2:$B$305,0))</f>
        <v>20</v>
      </c>
      <c r="J1415" t="str">
        <f>INDEX('GIS-Standards'!$O$2:$O$305,MATCH(B1415,'GIS-Standards'!$B$2:$B$305,0))</f>
        <v>ISO/TC 211</v>
      </c>
      <c r="K1415" t="str">
        <f>INDEX('GIS-Standards'!$O$2:$O$305,MATCH(C1415,'GIS-Standards'!$B$2:$B$305,0))</f>
        <v>ISO/TC 211</v>
      </c>
      <c r="M1415" t="s">
        <v>524</v>
      </c>
      <c r="N1415">
        <f>INDEX('GIS-Standards'!$I$2:$I$305,MATCH(B1415,'GIS-Standards'!$B$2:$B$305,0))</f>
        <v>0</v>
      </c>
      <c r="O1415" t="str">
        <f>INDEX('GIS-Standards'!$I$2:$I$305,MATCH(C1415,'GIS-Standards'!$B$2:$B$305,0))</f>
        <v>08.2023</v>
      </c>
      <c r="P1415" t="b">
        <f>AND(TableRelationships12[[#This Row],[Source Type]]="BIM",TableRelationships12[[#This Row],[Target Type]]="BIM")</f>
        <v>0</v>
      </c>
      <c r="Q1415">
        <f t="shared" si="66"/>
        <v>6</v>
      </c>
      <c r="S1415">
        <f t="shared" si="67"/>
        <v>1</v>
      </c>
      <c r="T1415" s="102" t="str">
        <f>IF(TableRelationships12[[#This Row],[Rank Pedro]]="Low","linkCategory1",IF(TableRelationships12[[#This Row],[Rank Pedro]]="Medium","linkCategory2",IF(TableRelationships12[[#This Row],[Rank Pedro]]="High","linkCategory3","")))</f>
        <v/>
      </c>
      <c r="U1415" s="102" t="str">
        <f>IF(TableRelationships12[[#This Row],[Rank Pedro]]="Low","Pink",IF(TableRelationships12[[#This Row],[Rank Pedro]]="Medium","Purple",IF(TableRelationships12[[#This Row],[Rank Pedro]]="High","Brown","")))</f>
        <v/>
      </c>
      <c r="V1415" s="4" t="e">
        <f>MAX(INDEX(Standards!$F$2:$F$296,MATCH(B1415,Standards!$B$2:$B$296,0)),INDEX(Standards!$F$2:$F$296,MATCH(C1415,Standards!$B$2:$B$296,0)))</f>
        <v>#N/A</v>
      </c>
      <c r="W1415" t="str">
        <f t="shared" si="68"/>
        <v>#d6bf2a</v>
      </c>
    </row>
    <row r="1416" spans="1:23" x14ac:dyDescent="0.5">
      <c r="A1416" s="54">
        <v>1415</v>
      </c>
      <c r="B1416" s="90" t="s">
        <v>638</v>
      </c>
      <c r="C1416" t="s">
        <v>312</v>
      </c>
      <c r="D1416" s="1"/>
      <c r="E1416" s="112">
        <v>2003.1</v>
      </c>
      <c r="F1416" s="112">
        <v>2019.02</v>
      </c>
      <c r="G1416" s="107" t="s">
        <v>670</v>
      </c>
      <c r="H1416">
        <f>INDEX('GIS-Standards'!$A$2:$A$305,MATCH(B1416,'GIS-Standards'!$B$2:$B$305,0))</f>
        <v>63</v>
      </c>
      <c r="I1416">
        <f>INDEX('GIS-Standards'!$A$2:$A$305,MATCH(C1416,'GIS-Standards'!$B$2:$B$305,0))</f>
        <v>21</v>
      </c>
      <c r="J1416" t="str">
        <f>INDEX('GIS-Standards'!$O$2:$O$305,MATCH(B1416,'GIS-Standards'!$B$2:$B$305,0))</f>
        <v>ISO/TC 211</v>
      </c>
      <c r="K1416" t="str">
        <f>INDEX('GIS-Standards'!$O$2:$O$305,MATCH(C1416,'GIS-Standards'!$B$2:$B$305,0))</f>
        <v>ISO/TC 211</v>
      </c>
      <c r="M1416" t="s">
        <v>524</v>
      </c>
      <c r="N1416">
        <f>INDEX('GIS-Standards'!$I$2:$I$305,MATCH(B1416,'GIS-Standards'!$B$2:$B$305,0))</f>
        <v>0</v>
      </c>
      <c r="O1416">
        <f>INDEX('GIS-Standards'!$I$2:$I$305,MATCH(C1416,'GIS-Standards'!$B$2:$B$305,0))</f>
        <v>0</v>
      </c>
      <c r="P1416" t="b">
        <f>AND(TableRelationships12[[#This Row],[Source Type]]="BIM",TableRelationships12[[#This Row],[Target Type]]="BIM")</f>
        <v>0</v>
      </c>
      <c r="Q1416">
        <f t="shared" si="66"/>
        <v>6</v>
      </c>
      <c r="S1416">
        <f t="shared" si="67"/>
        <v>1</v>
      </c>
      <c r="T1416" s="102" t="str">
        <f>IF(TableRelationships12[[#This Row],[Rank Pedro]]="Low","linkCategory1",IF(TableRelationships12[[#This Row],[Rank Pedro]]="Medium","linkCategory2",IF(TableRelationships12[[#This Row],[Rank Pedro]]="High","linkCategory3","")))</f>
        <v/>
      </c>
      <c r="U1416" s="102" t="str">
        <f>IF(TableRelationships12[[#This Row],[Rank Pedro]]="Low","Pink",IF(TableRelationships12[[#This Row],[Rank Pedro]]="Medium","Purple",IF(TableRelationships12[[#This Row],[Rank Pedro]]="High","Brown","")))</f>
        <v/>
      </c>
      <c r="V1416" s="4" t="e">
        <f>MAX(INDEX(Standards!$F$2:$F$296,MATCH(B1416,Standards!$B$2:$B$296,0)),INDEX(Standards!$F$2:$F$296,MATCH(C1416,Standards!$B$2:$B$296,0)))</f>
        <v>#N/A</v>
      </c>
      <c r="W1416" t="str">
        <f t="shared" si="68"/>
        <v>#d6bf2a</v>
      </c>
    </row>
    <row r="1417" spans="1:23" x14ac:dyDescent="0.5">
      <c r="A1417" s="54">
        <v>1416</v>
      </c>
      <c r="B1417" s="90" t="s">
        <v>638</v>
      </c>
      <c r="C1417" t="s">
        <v>334</v>
      </c>
      <c r="D1417" s="1" t="s">
        <v>1036</v>
      </c>
      <c r="E1417" s="113">
        <v>2007.09</v>
      </c>
      <c r="F1417" s="113">
        <v>2020.01</v>
      </c>
      <c r="G1417" s="107" t="s">
        <v>670</v>
      </c>
      <c r="H1417">
        <f>INDEX('GIS-Standards'!$A$2:$A$305,MATCH(B1417,'GIS-Standards'!$B$2:$B$305,0))</f>
        <v>63</v>
      </c>
      <c r="I1417">
        <f>INDEX('GIS-Standards'!$A$2:$A$305,MATCH(C1417,'GIS-Standards'!$B$2:$B$305,0))</f>
        <v>42</v>
      </c>
      <c r="J1417" t="str">
        <f>INDEX('GIS-Standards'!$O$2:$O$305,MATCH(B1417,'GIS-Standards'!$B$2:$B$305,0))</f>
        <v>ISO/TC 211</v>
      </c>
      <c r="K1417" t="str">
        <f>INDEX('GIS-Standards'!$O$2:$O$305,MATCH(C1417,'GIS-Standards'!$B$2:$B$305,0))</f>
        <v>ISO/TC 211</v>
      </c>
      <c r="M1417" t="s">
        <v>524</v>
      </c>
      <c r="N1417">
        <f>INDEX('GIS-Standards'!$I$2:$I$305,MATCH(B1417,'GIS-Standards'!$B$2:$B$305,0))</f>
        <v>0</v>
      </c>
      <c r="O1417">
        <f>INDEX('GIS-Standards'!$I$2:$I$305,MATCH(C1417,'GIS-Standards'!$B$2:$B$305,0))</f>
        <v>0</v>
      </c>
      <c r="P1417" t="b">
        <f>AND(TableRelationships12[[#This Row],[Source Type]]="BIM",TableRelationships12[[#This Row],[Target Type]]="BIM")</f>
        <v>0</v>
      </c>
      <c r="Q1417">
        <f t="shared" si="66"/>
        <v>6</v>
      </c>
      <c r="S1417">
        <f t="shared" si="67"/>
        <v>1</v>
      </c>
      <c r="T1417" s="102" t="str">
        <f>IF(TableRelationships12[[#This Row],[Rank Pedro]]="Low","linkCategory1",IF(TableRelationships12[[#This Row],[Rank Pedro]]="Medium","linkCategory2",IF(TableRelationships12[[#This Row],[Rank Pedro]]="High","linkCategory3","")))</f>
        <v/>
      </c>
      <c r="U1417" s="102" t="str">
        <f>IF(TableRelationships12[[#This Row],[Rank Pedro]]="Low","Pink",IF(TableRelationships12[[#This Row],[Rank Pedro]]="Medium","Purple",IF(TableRelationships12[[#This Row],[Rank Pedro]]="High","Brown","")))</f>
        <v/>
      </c>
      <c r="V1417" s="4" t="e">
        <f>MAX(INDEX(Standards!$F$2:$F$296,MATCH(B1417,Standards!$B$2:$B$296,0)),INDEX(Standards!$F$2:$F$296,MATCH(C1417,Standards!$B$2:$B$296,0)))</f>
        <v>#N/A</v>
      </c>
      <c r="W1417" t="str">
        <f t="shared" si="68"/>
        <v>#d6bf2a</v>
      </c>
    </row>
    <row r="1418" spans="1:23" x14ac:dyDescent="0.5">
      <c r="A1418" s="54">
        <v>1417</v>
      </c>
      <c r="B1418" s="90" t="s">
        <v>638</v>
      </c>
      <c r="C1418" t="s">
        <v>304</v>
      </c>
      <c r="D1418" s="1"/>
      <c r="E1418" s="112">
        <v>2002.09</v>
      </c>
      <c r="F1418" s="112">
        <v>2006.1</v>
      </c>
      <c r="G1418" s="107" t="s">
        <v>670</v>
      </c>
      <c r="H1418">
        <f>INDEX('GIS-Standards'!$A$2:$A$305,MATCH(B1418,'GIS-Standards'!$B$2:$B$305,0))</f>
        <v>63</v>
      </c>
      <c r="I1418">
        <f>INDEX('GIS-Standards'!$A$2:$A$305,MATCH(C1418,'GIS-Standards'!$B$2:$B$305,0))</f>
        <v>17</v>
      </c>
      <c r="J1418" t="str">
        <f>INDEX('GIS-Standards'!$O$2:$O$305,MATCH(B1418,'GIS-Standards'!$B$2:$B$305,0))</f>
        <v>ISO/TC 211</v>
      </c>
      <c r="K1418" t="str">
        <f>INDEX('GIS-Standards'!$O$2:$O$305,MATCH(C1418,'GIS-Standards'!$B$2:$B$305,0))</f>
        <v>ISO/TC 211</v>
      </c>
      <c r="M1418" t="s">
        <v>525</v>
      </c>
      <c r="N1418">
        <f>INDEX('GIS-Standards'!$I$2:$I$305,MATCH(B1418,'GIS-Standards'!$B$2:$B$305,0))</f>
        <v>0</v>
      </c>
      <c r="O1418" t="str">
        <f>INDEX('GIS-Standards'!$I$2:$I$305,MATCH(C1418,'GIS-Standards'!$B$2:$B$305,0))</f>
        <v>06.2008</v>
      </c>
      <c r="P1418" t="b">
        <f>AND(TableRelationships12[[#This Row],[Source Type]]="BIM",TableRelationships12[[#This Row],[Target Type]]="BIM")</f>
        <v>0</v>
      </c>
      <c r="Q1418">
        <f t="shared" si="66"/>
        <v>1</v>
      </c>
      <c r="S1418">
        <f t="shared" si="67"/>
        <v>1</v>
      </c>
      <c r="T1418" s="102" t="str">
        <f>IF(TableRelationships12[[#This Row],[Rank Pedro]]="Low","linkCategory1",IF(TableRelationships12[[#This Row],[Rank Pedro]]="Medium","linkCategory2",IF(TableRelationships12[[#This Row],[Rank Pedro]]="High","linkCategory3","")))</f>
        <v/>
      </c>
      <c r="U1418" s="102" t="str">
        <f>IF(TableRelationships12[[#This Row],[Rank Pedro]]="Low","Pink",IF(TableRelationships12[[#This Row],[Rank Pedro]]="Medium","Purple",IF(TableRelationships12[[#This Row],[Rank Pedro]]="High","Brown","")))</f>
        <v/>
      </c>
      <c r="V1418" s="4" t="e">
        <f>MAX(INDEX(Standards!$F$2:$F$296,MATCH(B1418,Standards!$B$2:$B$296,0)),INDEX(Standards!$F$2:$F$296,MATCH(C1418,Standards!$B$2:$B$296,0)))</f>
        <v>#N/A</v>
      </c>
      <c r="W1418" t="str">
        <f t="shared" si="68"/>
        <v>#2f89d1</v>
      </c>
    </row>
    <row r="1419" spans="1:23" x14ac:dyDescent="0.5">
      <c r="A1419" s="54">
        <v>1418</v>
      </c>
      <c r="B1419" s="90" t="s">
        <v>638</v>
      </c>
      <c r="C1419" t="s">
        <v>306</v>
      </c>
      <c r="D1419" s="1"/>
      <c r="E1419" s="112">
        <v>2005.06</v>
      </c>
      <c r="F1419" s="112">
        <v>2025.07</v>
      </c>
      <c r="G1419" s="107" t="s">
        <v>670</v>
      </c>
      <c r="H1419">
        <f>INDEX('GIS-Standards'!$A$2:$A$305,MATCH(B1419,'GIS-Standards'!$B$2:$B$305,0))</f>
        <v>63</v>
      </c>
      <c r="I1419">
        <f>INDEX('GIS-Standards'!$A$2:$A$305,MATCH(C1419,'GIS-Standards'!$B$2:$B$305,0))</f>
        <v>18</v>
      </c>
      <c r="J1419" t="str">
        <f>INDEX('GIS-Standards'!$O$2:$O$305,MATCH(B1419,'GIS-Standards'!$B$2:$B$305,0))</f>
        <v>ISO/TC 211</v>
      </c>
      <c r="K1419" t="str">
        <f>INDEX('GIS-Standards'!$O$2:$O$305,MATCH(C1419,'GIS-Standards'!$B$2:$B$305,0))</f>
        <v>ISO/TC 211</v>
      </c>
      <c r="M1419" t="s">
        <v>525</v>
      </c>
      <c r="N1419">
        <f>INDEX('GIS-Standards'!$I$2:$I$305,MATCH(B1419,'GIS-Standards'!$B$2:$B$305,0))</f>
        <v>0</v>
      </c>
      <c r="O1419">
        <f>INDEX('GIS-Standards'!$I$2:$I$305,MATCH(C1419,'GIS-Standards'!$B$2:$B$305,0))</f>
        <v>0</v>
      </c>
      <c r="P1419" t="b">
        <f>AND(TableRelationships12[[#This Row],[Source Type]]="BIM",TableRelationships12[[#This Row],[Target Type]]="BIM")</f>
        <v>0</v>
      </c>
      <c r="Q1419">
        <f t="shared" si="66"/>
        <v>1</v>
      </c>
      <c r="S1419">
        <f t="shared" si="67"/>
        <v>1</v>
      </c>
      <c r="T1419" s="102" t="str">
        <f>IF(TableRelationships12[[#This Row],[Rank Pedro]]="Low","linkCategory1",IF(TableRelationships12[[#This Row],[Rank Pedro]]="Medium","linkCategory2",IF(TableRelationships12[[#This Row],[Rank Pedro]]="High","linkCategory3","")))</f>
        <v/>
      </c>
      <c r="U1419" s="102" t="str">
        <f>IF(TableRelationships12[[#This Row],[Rank Pedro]]="Low","Pink",IF(TableRelationships12[[#This Row],[Rank Pedro]]="Medium","Purple",IF(TableRelationships12[[#This Row],[Rank Pedro]]="High","Brown","")))</f>
        <v/>
      </c>
      <c r="V1419" s="4" t="e">
        <f>MAX(INDEX(Standards!$F$2:$F$296,MATCH(B1419,Standards!$B$2:$B$296,0)),INDEX(Standards!$F$2:$F$296,MATCH(C1419,Standards!$B$2:$B$296,0)))</f>
        <v>#N/A</v>
      </c>
      <c r="W1419" t="str">
        <f t="shared" si="68"/>
        <v>#2f89d1</v>
      </c>
    </row>
    <row r="1420" spans="1:23" x14ac:dyDescent="0.5">
      <c r="A1420" s="54">
        <v>1419</v>
      </c>
      <c r="B1420" s="90" t="s">
        <v>638</v>
      </c>
      <c r="C1420" t="s">
        <v>318</v>
      </c>
      <c r="D1420" s="1"/>
      <c r="E1420" s="112">
        <v>2005.02</v>
      </c>
      <c r="F1420" s="112">
        <v>2016.01</v>
      </c>
      <c r="G1420" s="107" t="s">
        <v>670</v>
      </c>
      <c r="H1420">
        <f>INDEX('GIS-Standards'!$A$2:$A$305,MATCH(B1420,'GIS-Standards'!$B$2:$B$305,0))</f>
        <v>63</v>
      </c>
      <c r="I1420">
        <f>INDEX('GIS-Standards'!$A$2:$A$305,MATCH(C1420,'GIS-Standards'!$B$2:$B$305,0))</f>
        <v>28</v>
      </c>
      <c r="J1420" t="str">
        <f>INDEX('GIS-Standards'!$O$2:$O$305,MATCH(B1420,'GIS-Standards'!$B$2:$B$305,0))</f>
        <v>ISO/TC 211</v>
      </c>
      <c r="K1420" t="str">
        <f>INDEX('GIS-Standards'!$O$2:$O$305,MATCH(C1420,'GIS-Standards'!$B$2:$B$305,0))</f>
        <v>ISO/TC 211</v>
      </c>
      <c r="M1420" t="s">
        <v>525</v>
      </c>
      <c r="N1420">
        <f>INDEX('GIS-Standards'!$I$2:$I$305,MATCH(B1420,'GIS-Standards'!$B$2:$B$305,0))</f>
        <v>0</v>
      </c>
      <c r="O1420">
        <f>INDEX('GIS-Standards'!$I$2:$I$305,MATCH(C1420,'GIS-Standards'!$B$2:$B$305,0))</f>
        <v>0</v>
      </c>
      <c r="P1420" t="b">
        <f>AND(TableRelationships12[[#This Row],[Source Type]]="BIM",TableRelationships12[[#This Row],[Target Type]]="BIM")</f>
        <v>0</v>
      </c>
      <c r="Q1420">
        <f t="shared" si="66"/>
        <v>1</v>
      </c>
      <c r="S1420">
        <f t="shared" si="67"/>
        <v>1</v>
      </c>
      <c r="T1420" s="102" t="str">
        <f>IF(TableRelationships12[[#This Row],[Rank Pedro]]="Low","linkCategory1",IF(TableRelationships12[[#This Row],[Rank Pedro]]="Medium","linkCategory2",IF(TableRelationships12[[#This Row],[Rank Pedro]]="High","linkCategory3","")))</f>
        <v/>
      </c>
      <c r="U1420" s="102" t="str">
        <f>IF(TableRelationships12[[#This Row],[Rank Pedro]]="Low","Pink",IF(TableRelationships12[[#This Row],[Rank Pedro]]="Medium","Purple",IF(TableRelationships12[[#This Row],[Rank Pedro]]="High","Brown","")))</f>
        <v/>
      </c>
      <c r="V1420" s="4" t="e">
        <f>MAX(INDEX(Standards!$F$2:$F$296,MATCH(B1420,Standards!$B$2:$B$296,0)),INDEX(Standards!$F$2:$F$296,MATCH(C1420,Standards!$B$2:$B$296,0)))</f>
        <v>#N/A</v>
      </c>
      <c r="W1420" t="str">
        <f t="shared" si="68"/>
        <v>#2f89d1</v>
      </c>
    </row>
    <row r="1421" spans="1:23" x14ac:dyDescent="0.5">
      <c r="A1421" s="54">
        <v>1420</v>
      </c>
      <c r="B1421" s="90" t="s">
        <v>638</v>
      </c>
      <c r="C1421" t="s">
        <v>1046</v>
      </c>
      <c r="D1421" s="1"/>
      <c r="E1421" s="112">
        <v>2004.08</v>
      </c>
      <c r="F1421" s="112">
        <v>2004.11</v>
      </c>
      <c r="G1421" s="107" t="s">
        <v>670</v>
      </c>
      <c r="H1421">
        <f>INDEX('GIS-Standards'!$A$2:$A$305,MATCH(B1421,'GIS-Standards'!$B$2:$B$305,0))</f>
        <v>63</v>
      </c>
      <c r="I1421">
        <f>INDEX('GIS-Standards'!$A$2:$A$305,MATCH(C1421,'GIS-Standards'!$B$2:$B$305,0))</f>
        <v>32</v>
      </c>
      <c r="J1421" t="str">
        <f>INDEX('GIS-Standards'!$O$2:$O$305,MATCH(B1421,'GIS-Standards'!$B$2:$B$305,0))</f>
        <v>ISO/TC 211</v>
      </c>
      <c r="K1421" t="str">
        <f>INDEX('GIS-Standards'!$O$2:$O$305,MATCH(C1421,'GIS-Standards'!$B$2:$B$305,0))</f>
        <v>ISO/TC 211</v>
      </c>
      <c r="M1421" t="s">
        <v>525</v>
      </c>
      <c r="N1421">
        <f>INDEX('GIS-Standards'!$I$2:$I$305,MATCH(B1421,'GIS-Standards'!$B$2:$B$305,0))</f>
        <v>0</v>
      </c>
      <c r="O1421">
        <f>INDEX('GIS-Standards'!$I$2:$I$305,MATCH(C1421,'GIS-Standards'!$B$2:$B$305,0))</f>
        <v>0</v>
      </c>
      <c r="P1421" t="b">
        <f>AND(TableRelationships12[[#This Row],[Source Type]]="BIM",TableRelationships12[[#This Row],[Target Type]]="BIM")</f>
        <v>0</v>
      </c>
      <c r="Q1421">
        <f t="shared" si="66"/>
        <v>1</v>
      </c>
      <c r="S1421">
        <f t="shared" si="67"/>
        <v>1</v>
      </c>
      <c r="T1421" s="102" t="str">
        <f>IF(TableRelationships12[[#This Row],[Rank Pedro]]="Low","linkCategory1",IF(TableRelationships12[[#This Row],[Rank Pedro]]="Medium","linkCategory2",IF(TableRelationships12[[#This Row],[Rank Pedro]]="High","linkCategory3","")))</f>
        <v/>
      </c>
      <c r="U1421" s="102" t="str">
        <f>IF(TableRelationships12[[#This Row],[Rank Pedro]]="Low","Pink",IF(TableRelationships12[[#This Row],[Rank Pedro]]="Medium","Purple",IF(TableRelationships12[[#This Row],[Rank Pedro]]="High","Brown","")))</f>
        <v/>
      </c>
      <c r="V1421" s="4" t="e">
        <f>MAX(INDEX(Standards!$F$2:$F$296,MATCH(B1421,Standards!$B$2:$B$296,0)),INDEX(Standards!$F$2:$F$296,MATCH(C1421,Standards!$B$2:$B$296,0)))</f>
        <v>#N/A</v>
      </c>
      <c r="W1421" t="str">
        <f t="shared" si="68"/>
        <v>#2f89d1</v>
      </c>
    </row>
    <row r="1422" spans="1:23" x14ac:dyDescent="0.5">
      <c r="A1422" s="54">
        <v>1421</v>
      </c>
      <c r="B1422" s="90" t="s">
        <v>638</v>
      </c>
      <c r="C1422" t="s">
        <v>326</v>
      </c>
      <c r="D1422" s="1"/>
      <c r="E1422" s="112">
        <v>2005.12</v>
      </c>
      <c r="F1422" s="112">
        <v>2005.12</v>
      </c>
      <c r="G1422" s="107" t="s">
        <v>670</v>
      </c>
      <c r="H1422">
        <f>INDEX('GIS-Standards'!$A$2:$A$305,MATCH(B1422,'GIS-Standards'!$B$2:$B$305,0))</f>
        <v>63</v>
      </c>
      <c r="I1422">
        <f>INDEX('GIS-Standards'!$A$2:$A$305,MATCH(C1422,'GIS-Standards'!$B$2:$B$305,0))</f>
        <v>35</v>
      </c>
      <c r="J1422" t="str">
        <f>INDEX('GIS-Standards'!$O$2:$O$305,MATCH(B1422,'GIS-Standards'!$B$2:$B$305,0))</f>
        <v>ISO/TC 211</v>
      </c>
      <c r="K1422" t="str">
        <f>INDEX('GIS-Standards'!$O$2:$O$305,MATCH(C1422,'GIS-Standards'!$B$2:$B$305,0))</f>
        <v>ISO/TC 211</v>
      </c>
      <c r="M1422" t="s">
        <v>525</v>
      </c>
      <c r="N1422">
        <f>INDEX('GIS-Standards'!$I$2:$I$305,MATCH(B1422,'GIS-Standards'!$B$2:$B$305,0))</f>
        <v>0</v>
      </c>
      <c r="O1422">
        <f>INDEX('GIS-Standards'!$I$2:$I$305,MATCH(C1422,'GIS-Standards'!$B$2:$B$305,0))</f>
        <v>0</v>
      </c>
      <c r="P1422" t="b">
        <f>AND(TableRelationships12[[#This Row],[Source Type]]="BIM",TableRelationships12[[#This Row],[Target Type]]="BIM")</f>
        <v>0</v>
      </c>
      <c r="Q1422">
        <f t="shared" si="66"/>
        <v>1</v>
      </c>
      <c r="S1422">
        <f t="shared" si="67"/>
        <v>1</v>
      </c>
      <c r="T1422" s="102" t="str">
        <f>IF(TableRelationships12[[#This Row],[Rank Pedro]]="Low","linkCategory1",IF(TableRelationships12[[#This Row],[Rank Pedro]]="Medium","linkCategory2",IF(TableRelationships12[[#This Row],[Rank Pedro]]="High","linkCategory3","")))</f>
        <v/>
      </c>
      <c r="U1422" s="102" t="str">
        <f>IF(TableRelationships12[[#This Row],[Rank Pedro]]="Low","Pink",IF(TableRelationships12[[#This Row],[Rank Pedro]]="Medium","Purple",IF(TableRelationships12[[#This Row],[Rank Pedro]]="High","Brown","")))</f>
        <v/>
      </c>
      <c r="V1422" s="4" t="e">
        <f>MAX(INDEX(Standards!$F$2:$F$296,MATCH(B1422,Standards!$B$2:$B$296,0)),INDEX(Standards!$F$2:$F$296,MATCH(C1422,Standards!$B$2:$B$296,0)))</f>
        <v>#N/A</v>
      </c>
      <c r="W1422" t="str">
        <f t="shared" si="68"/>
        <v>#2f89d1</v>
      </c>
    </row>
    <row r="1423" spans="1:23" x14ac:dyDescent="0.5">
      <c r="A1423" s="54">
        <v>1422</v>
      </c>
      <c r="B1423" s="90" t="s">
        <v>638</v>
      </c>
      <c r="C1423" t="s">
        <v>330</v>
      </c>
      <c r="D1423" s="1"/>
      <c r="E1423" s="112">
        <v>2007.1</v>
      </c>
      <c r="F1423" s="112">
        <v>2007.1</v>
      </c>
      <c r="G1423" s="107" t="s">
        <v>670</v>
      </c>
      <c r="H1423">
        <f>INDEX('GIS-Standards'!$A$2:$A$305,MATCH(B1423,'GIS-Standards'!$B$2:$B$305,0))</f>
        <v>63</v>
      </c>
      <c r="I1423">
        <f>INDEX('GIS-Standards'!$A$2:$A$305,MATCH(C1423,'GIS-Standards'!$B$2:$B$305,0))</f>
        <v>38</v>
      </c>
      <c r="J1423" t="str">
        <f>INDEX('GIS-Standards'!$O$2:$O$305,MATCH(B1423,'GIS-Standards'!$B$2:$B$305,0))</f>
        <v>ISO/TC 211</v>
      </c>
      <c r="K1423" t="str">
        <f>INDEX('GIS-Standards'!$O$2:$O$305,MATCH(C1423,'GIS-Standards'!$B$2:$B$305,0))</f>
        <v>ISO/TC 211</v>
      </c>
      <c r="M1423" t="s">
        <v>525</v>
      </c>
      <c r="N1423">
        <f>INDEX('GIS-Standards'!$I$2:$I$305,MATCH(B1423,'GIS-Standards'!$B$2:$B$305,0))</f>
        <v>0</v>
      </c>
      <c r="O1423">
        <f>INDEX('GIS-Standards'!$I$2:$I$305,MATCH(C1423,'GIS-Standards'!$B$2:$B$305,0))</f>
        <v>0</v>
      </c>
      <c r="P1423" t="b">
        <f>AND(TableRelationships12[[#This Row],[Source Type]]="BIM",TableRelationships12[[#This Row],[Target Type]]="BIM")</f>
        <v>0</v>
      </c>
      <c r="Q1423">
        <f t="shared" si="66"/>
        <v>1</v>
      </c>
      <c r="S1423">
        <f t="shared" si="67"/>
        <v>1</v>
      </c>
      <c r="T1423" s="102" t="str">
        <f>IF(TableRelationships12[[#This Row],[Rank Pedro]]="Low","linkCategory1",IF(TableRelationships12[[#This Row],[Rank Pedro]]="Medium","linkCategory2",IF(TableRelationships12[[#This Row],[Rank Pedro]]="High","linkCategory3","")))</f>
        <v/>
      </c>
      <c r="U1423" s="102" t="str">
        <f>IF(TableRelationships12[[#This Row],[Rank Pedro]]="Low","Pink",IF(TableRelationships12[[#This Row],[Rank Pedro]]="Medium","Purple",IF(TableRelationships12[[#This Row],[Rank Pedro]]="High","Brown","")))</f>
        <v/>
      </c>
      <c r="V1423" s="4" t="e">
        <f>MAX(INDEX(Standards!$F$2:$F$296,MATCH(B1423,Standards!$B$2:$B$296,0)),INDEX(Standards!$F$2:$F$296,MATCH(C1423,Standards!$B$2:$B$296,0)))</f>
        <v>#N/A</v>
      </c>
      <c r="W1423" t="str">
        <f t="shared" si="68"/>
        <v>#2f89d1</v>
      </c>
    </row>
    <row r="1424" spans="1:23" x14ac:dyDescent="0.5">
      <c r="A1424" s="54">
        <v>1423</v>
      </c>
      <c r="B1424" s="90" t="s">
        <v>638</v>
      </c>
      <c r="C1424" t="s">
        <v>1048</v>
      </c>
      <c r="D1424" s="1" t="s">
        <v>1152</v>
      </c>
      <c r="E1424" s="112">
        <v>2005.1</v>
      </c>
      <c r="F1424" s="112">
        <v>2021.02</v>
      </c>
      <c r="G1424" s="107" t="s">
        <v>670</v>
      </c>
      <c r="H1424">
        <f>INDEX('GIS-Standards'!$A$2:$A$305,MATCH(B1424,'GIS-Standards'!$B$2:$B$305,0))</f>
        <v>63</v>
      </c>
      <c r="I1424">
        <f>INDEX('GIS-Standards'!$A$2:$A$305,MATCH(C1424,'GIS-Standards'!$B$2:$B$305,0))</f>
        <v>41</v>
      </c>
      <c r="J1424" t="str">
        <f>INDEX('GIS-Standards'!$O$2:$O$305,MATCH(B1424,'GIS-Standards'!$B$2:$B$305,0))</f>
        <v>ISO/TC 211</v>
      </c>
      <c r="K1424" t="str">
        <f>INDEX('GIS-Standards'!$O$2:$O$305,MATCH(C1424,'GIS-Standards'!$B$2:$B$305,0))</f>
        <v>ISO/TC 211</v>
      </c>
      <c r="M1424" t="s">
        <v>525</v>
      </c>
      <c r="N1424">
        <f>INDEX('GIS-Standards'!$I$2:$I$305,MATCH(B1424,'GIS-Standards'!$B$2:$B$305,0))</f>
        <v>0</v>
      </c>
      <c r="O1424" t="str">
        <f>INDEX('GIS-Standards'!$I$2:$I$305,MATCH(C1424,'GIS-Standards'!$B$2:$B$305,0))</f>
        <v>03.2021</v>
      </c>
      <c r="P1424" t="b">
        <f>AND(TableRelationships12[[#This Row],[Source Type]]="BIM",TableRelationships12[[#This Row],[Target Type]]="BIM")</f>
        <v>0</v>
      </c>
      <c r="Q1424">
        <f t="shared" si="66"/>
        <v>1</v>
      </c>
      <c r="S1424">
        <f t="shared" si="67"/>
        <v>1</v>
      </c>
      <c r="T1424" s="102" t="str">
        <f>IF(TableRelationships12[[#This Row],[Rank Pedro]]="Low","linkCategory1",IF(TableRelationships12[[#This Row],[Rank Pedro]]="Medium","linkCategory2",IF(TableRelationships12[[#This Row],[Rank Pedro]]="High","linkCategory3","")))</f>
        <v/>
      </c>
      <c r="U1424" s="102" t="str">
        <f>IF(TableRelationships12[[#This Row],[Rank Pedro]]="Low","Pink",IF(TableRelationships12[[#This Row],[Rank Pedro]]="Medium","Purple",IF(TableRelationships12[[#This Row],[Rank Pedro]]="High","Brown","")))</f>
        <v/>
      </c>
      <c r="V1424" s="4" t="e">
        <f>MAX(INDEX(Standards!$F$2:$F$296,MATCH(B1424,Standards!$B$2:$B$296,0)),INDEX(Standards!$F$2:$F$296,MATCH(C1424,Standards!$B$2:$B$296,0)))</f>
        <v>#N/A</v>
      </c>
      <c r="W1424" t="str">
        <f t="shared" si="68"/>
        <v>#2f89d1</v>
      </c>
    </row>
    <row r="1425" spans="1:23" x14ac:dyDescent="0.5">
      <c r="A1425" s="54">
        <v>1424</v>
      </c>
      <c r="B1425" s="90" t="s">
        <v>638</v>
      </c>
      <c r="C1425" t="s">
        <v>1079</v>
      </c>
      <c r="D1425" s="1"/>
      <c r="E1425" s="112">
        <v>2005.04</v>
      </c>
      <c r="F1425" s="112">
        <v>2005.04</v>
      </c>
      <c r="G1425" s="107" t="s">
        <v>1502</v>
      </c>
      <c r="H1425">
        <f>INDEX('GIS-Standards'!$A$2:$A$305,MATCH(B1425,'GIS-Standards'!$B$2:$B$305,0))</f>
        <v>63</v>
      </c>
      <c r="I1425" t="e">
        <f>INDEX('GIS-Standards'!$A$2:$A$305,MATCH(C1425,'GIS-Standards'!$B$2:$B$305,0))</f>
        <v>#N/A</v>
      </c>
      <c r="J1425" t="str">
        <f>INDEX('GIS-Standards'!$O$2:$O$305,MATCH(B1425,'GIS-Standards'!$B$2:$B$305,0))</f>
        <v>ISO/TC 211</v>
      </c>
      <c r="K1425" t="e">
        <f>INDEX('GIS-Standards'!$O$2:$O$305,MATCH(C1425,'GIS-Standards'!$B$2:$B$305,0))</f>
        <v>#N/A</v>
      </c>
      <c r="M1425" t="s">
        <v>525</v>
      </c>
      <c r="N1425">
        <f>INDEX('GIS-Standards'!$I$2:$I$305,MATCH(B1425,'GIS-Standards'!$B$2:$B$305,0))</f>
        <v>0</v>
      </c>
      <c r="O1425" t="e">
        <f>INDEX('GIS-Standards'!$I$2:$I$305,MATCH(C1425,'GIS-Standards'!$B$2:$B$305,0))</f>
        <v>#N/A</v>
      </c>
      <c r="P1425" t="e">
        <f>AND(TableRelationships12[[#This Row],[Source Type]]="BIM",TableRelationships12[[#This Row],[Target Type]]="BIM")</f>
        <v>#N/A</v>
      </c>
      <c r="Q1425">
        <f t="shared" si="66"/>
        <v>1</v>
      </c>
      <c r="S1425">
        <f t="shared" si="67"/>
        <v>1</v>
      </c>
      <c r="T1425" s="102" t="str">
        <f>IF(TableRelationships12[[#This Row],[Rank Pedro]]="Low","linkCategory1",IF(TableRelationships12[[#This Row],[Rank Pedro]]="Medium","linkCategory2",IF(TableRelationships12[[#This Row],[Rank Pedro]]="High","linkCategory3","")))</f>
        <v/>
      </c>
      <c r="U1425" s="102" t="str">
        <f>IF(TableRelationships12[[#This Row],[Rank Pedro]]="Low","Pink",IF(TableRelationships12[[#This Row],[Rank Pedro]]="Medium","Purple",IF(TableRelationships12[[#This Row],[Rank Pedro]]="High","Brown","")))</f>
        <v/>
      </c>
      <c r="V1425" s="4" t="e">
        <f>MAX(INDEX(Standards!$F$2:$F$296,MATCH(B1425,Standards!$B$2:$B$296,0)),INDEX(Standards!$F$2:$F$296,MATCH(C1425,Standards!$B$2:$B$296,0)))</f>
        <v>#N/A</v>
      </c>
      <c r="W1425" t="str">
        <f t="shared" si="68"/>
        <v>#2f89d1</v>
      </c>
    </row>
    <row r="1426" spans="1:23" x14ac:dyDescent="0.5">
      <c r="A1426" s="54">
        <v>1425</v>
      </c>
      <c r="B1426" s="90" t="s">
        <v>638</v>
      </c>
      <c r="C1426" t="s">
        <v>1315</v>
      </c>
      <c r="D1426" s="1"/>
      <c r="E1426" s="112">
        <v>2005.1</v>
      </c>
      <c r="G1426" s="107"/>
      <c r="H1426">
        <f>INDEX('GIS-Standards'!$A$2:$A$305,MATCH(B1426,'GIS-Standards'!$B$2:$B$305,0))</f>
        <v>63</v>
      </c>
      <c r="I1426" t="e">
        <f>INDEX('GIS-Standards'!$A$2:$A$305,MATCH(C1426,'GIS-Standards'!$B$2:$B$305,0))</f>
        <v>#N/A</v>
      </c>
      <c r="J1426" t="str">
        <f>INDEX('GIS-Standards'!$O$2:$O$305,MATCH(B1426,'GIS-Standards'!$B$2:$B$305,0))</f>
        <v>ISO/TC 211</v>
      </c>
      <c r="K1426" t="e">
        <f>INDEX('GIS-Standards'!$O$2:$O$305,MATCH(C1426,'GIS-Standards'!$B$2:$B$305,0))</f>
        <v>#N/A</v>
      </c>
      <c r="M1426" t="s">
        <v>525</v>
      </c>
      <c r="N1426">
        <f>INDEX('GIS-Standards'!$I$2:$I$305,MATCH(B1426,'GIS-Standards'!$B$2:$B$305,0))</f>
        <v>0</v>
      </c>
      <c r="O1426" t="e">
        <f>INDEX('GIS-Standards'!$I$2:$I$305,MATCH(C1426,'GIS-Standards'!$B$2:$B$305,0))</f>
        <v>#N/A</v>
      </c>
      <c r="P1426" t="e">
        <f>AND(TableRelationships12[[#This Row],[Source Type]]="BIM",TableRelationships12[[#This Row],[Target Type]]="BIM")</f>
        <v>#N/A</v>
      </c>
      <c r="Q1426">
        <f t="shared" si="66"/>
        <v>1</v>
      </c>
      <c r="S1426">
        <f t="shared" si="67"/>
        <v>1</v>
      </c>
      <c r="T1426" s="102" t="str">
        <f>IF(TableRelationships12[[#This Row],[Rank Pedro]]="Low","linkCategory1",IF(TableRelationships12[[#This Row],[Rank Pedro]]="Medium","linkCategory2",IF(TableRelationships12[[#This Row],[Rank Pedro]]="High","linkCategory3","")))</f>
        <v/>
      </c>
      <c r="U1426" s="102" t="str">
        <f>IF(TableRelationships12[[#This Row],[Rank Pedro]]="Low","Pink",IF(TableRelationships12[[#This Row],[Rank Pedro]]="Medium","Purple",IF(TableRelationships12[[#This Row],[Rank Pedro]]="High","Brown","")))</f>
        <v/>
      </c>
      <c r="V1426" s="4" t="e">
        <f>MAX(INDEX(Standards!$F$2:$F$296,MATCH(B1426,Standards!$B$2:$B$296,0)),INDEX(Standards!$F$2:$F$296,MATCH(C1426,Standards!$B$2:$B$296,0)))</f>
        <v>#N/A</v>
      </c>
      <c r="W1426" t="str">
        <f t="shared" si="68"/>
        <v>#2f89d1</v>
      </c>
    </row>
    <row r="1427" spans="1:23" x14ac:dyDescent="0.5">
      <c r="A1427" s="54">
        <v>1426</v>
      </c>
      <c r="B1427" s="90" t="s">
        <v>639</v>
      </c>
      <c r="C1427" t="s">
        <v>527</v>
      </c>
      <c r="D1427" s="1"/>
      <c r="E1427" s="112" t="s">
        <v>988</v>
      </c>
      <c r="F1427" s="112" t="s">
        <v>988</v>
      </c>
      <c r="G1427" s="121" t="s">
        <v>670</v>
      </c>
      <c r="H1427">
        <f>INDEX('GIS-Standards'!$A$2:$A$305,MATCH(B1427,'GIS-Standards'!$B$2:$B$305,0))</f>
        <v>64</v>
      </c>
      <c r="I1427" t="e">
        <f>INDEX('GIS-Standards'!$A$2:$A$305,MATCH(C1427,'GIS-Standards'!$B$2:$B$305,0))</f>
        <v>#N/A</v>
      </c>
      <c r="J1427" t="str">
        <f>INDEX('GIS-Standards'!$O$2:$O$305,MATCH(B1427,'GIS-Standards'!$B$2:$B$305,0))</f>
        <v>ISO/TC 211</v>
      </c>
      <c r="K1427" t="e">
        <f>INDEX('GIS-Standards'!$O$2:$O$305,MATCH(C1427,'GIS-Standards'!$B$2:$B$305,0))</f>
        <v>#N/A</v>
      </c>
      <c r="M1427" t="s">
        <v>237</v>
      </c>
      <c r="N1427">
        <f>INDEX('GIS-Standards'!$I$2:$I$305,MATCH(B1427,'GIS-Standards'!$B$2:$B$305,0))</f>
        <v>0</v>
      </c>
      <c r="O1427" t="e">
        <f>INDEX('GIS-Standards'!$I$2:$I$305,MATCH(C1427,'GIS-Standards'!$B$2:$B$305,0))</f>
        <v>#N/A</v>
      </c>
      <c r="P1427" t="e">
        <f>AND(TableRelationships12[[#This Row],[Source Type]]="BIM",TableRelationships12[[#This Row],[Target Type]]="BIM")</f>
        <v>#N/A</v>
      </c>
      <c r="Q1427">
        <f t="shared" si="66"/>
        <v>2</v>
      </c>
      <c r="S1427">
        <f t="shared" si="67"/>
        <v>1</v>
      </c>
      <c r="T1427" s="102" t="str">
        <f>IF(TableRelationships12[[#This Row],[Rank Pedro]]="Low","linkCategory1",IF(TableRelationships12[[#This Row],[Rank Pedro]]="Medium","linkCategory2",IF(TableRelationships12[[#This Row],[Rank Pedro]]="High","linkCategory3","")))</f>
        <v/>
      </c>
      <c r="U1427" s="102" t="str">
        <f>IF(TableRelationships12[[#This Row],[Rank Pedro]]="Low","Pink",IF(TableRelationships12[[#This Row],[Rank Pedro]]="Medium","Purple",IF(TableRelationships12[[#This Row],[Rank Pedro]]="High","Brown","")))</f>
        <v/>
      </c>
      <c r="V1427" s="4" t="e">
        <f>MAX(INDEX(Standards!$F$2:$F$296,MATCH(B1427,Standards!$B$2:$B$296,0)),INDEX(Standards!$F$2:$F$296,MATCH(C1427,Standards!$B$2:$B$296,0)))</f>
        <v>#N/A</v>
      </c>
      <c r="W1427">
        <f t="shared" si="68"/>
        <v>1</v>
      </c>
    </row>
    <row r="1428" spans="1:23" x14ac:dyDescent="0.5">
      <c r="A1428" s="54">
        <v>1427</v>
      </c>
      <c r="B1428" s="90" t="s">
        <v>639</v>
      </c>
      <c r="C1428" t="s">
        <v>296</v>
      </c>
      <c r="D1428" s="1"/>
      <c r="E1428" s="112">
        <v>2005.07</v>
      </c>
      <c r="F1428" s="112">
        <v>2024.09</v>
      </c>
      <c r="G1428" s="107" t="s">
        <v>670</v>
      </c>
      <c r="H1428">
        <f>INDEX('GIS-Standards'!$A$2:$A$305,MATCH(B1428,'GIS-Standards'!$B$2:$B$305,0))</f>
        <v>64</v>
      </c>
      <c r="I1428">
        <f>INDEX('GIS-Standards'!$A$2:$A$305,MATCH(C1428,'GIS-Standards'!$B$2:$B$305,0))</f>
        <v>12</v>
      </c>
      <c r="J1428" t="str">
        <f>INDEX('GIS-Standards'!$O$2:$O$305,MATCH(B1428,'GIS-Standards'!$B$2:$B$305,0))</f>
        <v>ISO/TC 211</v>
      </c>
      <c r="K1428" t="str">
        <f>INDEX('GIS-Standards'!$O$2:$O$305,MATCH(C1428,'GIS-Standards'!$B$2:$B$305,0))</f>
        <v>ISO/TC 211</v>
      </c>
      <c r="M1428" t="s">
        <v>524</v>
      </c>
      <c r="N1428">
        <f>INDEX('GIS-Standards'!$I$2:$I$305,MATCH(B1428,'GIS-Standards'!$B$2:$B$305,0))</f>
        <v>0</v>
      </c>
      <c r="O1428">
        <f>INDEX('GIS-Standards'!$I$2:$I$305,MATCH(C1428,'GIS-Standards'!$B$2:$B$305,0))</f>
        <v>0</v>
      </c>
      <c r="P1428" t="b">
        <f>AND(TableRelationships12[[#This Row],[Source Type]]="BIM",TableRelationships12[[#This Row],[Target Type]]="BIM")</f>
        <v>0</v>
      </c>
      <c r="Q1428">
        <f t="shared" si="66"/>
        <v>6</v>
      </c>
      <c r="S1428">
        <f t="shared" si="67"/>
        <v>1</v>
      </c>
      <c r="T1428" s="102" t="str">
        <f>IF(TableRelationships12[[#This Row],[Rank Pedro]]="Low","linkCategory1",IF(TableRelationships12[[#This Row],[Rank Pedro]]="Medium","linkCategory2",IF(TableRelationships12[[#This Row],[Rank Pedro]]="High","linkCategory3","")))</f>
        <v/>
      </c>
      <c r="U1428" s="102" t="str">
        <f>IF(TableRelationships12[[#This Row],[Rank Pedro]]="Low","Pink",IF(TableRelationships12[[#This Row],[Rank Pedro]]="Medium","Purple",IF(TableRelationships12[[#This Row],[Rank Pedro]]="High","Brown","")))</f>
        <v/>
      </c>
      <c r="V1428" s="4" t="e">
        <f>MAX(INDEX(Standards!$F$2:$F$296,MATCH(B1428,Standards!$B$2:$B$296,0)),INDEX(Standards!$F$2:$F$296,MATCH(C1428,Standards!$B$2:$B$296,0)))</f>
        <v>#N/A</v>
      </c>
      <c r="W1428" t="str">
        <f t="shared" si="68"/>
        <v>#d6bf2a</v>
      </c>
    </row>
    <row r="1429" spans="1:23" x14ac:dyDescent="0.5">
      <c r="A1429" s="54">
        <v>1428</v>
      </c>
      <c r="B1429" s="90" t="s">
        <v>639</v>
      </c>
      <c r="C1429" t="s">
        <v>334</v>
      </c>
      <c r="D1429" s="1" t="s">
        <v>1036</v>
      </c>
      <c r="E1429" s="113">
        <v>2007.09</v>
      </c>
      <c r="F1429" s="113">
        <v>2020.01</v>
      </c>
      <c r="G1429" s="107" t="s">
        <v>670</v>
      </c>
      <c r="H1429">
        <f>INDEX('GIS-Standards'!$A$2:$A$305,MATCH(B1429,'GIS-Standards'!$B$2:$B$305,0))</f>
        <v>64</v>
      </c>
      <c r="I1429">
        <f>INDEX('GIS-Standards'!$A$2:$A$305,MATCH(C1429,'GIS-Standards'!$B$2:$B$305,0))</f>
        <v>42</v>
      </c>
      <c r="J1429" t="str">
        <f>INDEX('GIS-Standards'!$O$2:$O$305,MATCH(B1429,'GIS-Standards'!$B$2:$B$305,0))</f>
        <v>ISO/TC 211</v>
      </c>
      <c r="K1429" t="str">
        <f>INDEX('GIS-Standards'!$O$2:$O$305,MATCH(C1429,'GIS-Standards'!$B$2:$B$305,0))</f>
        <v>ISO/TC 211</v>
      </c>
      <c r="M1429" t="s">
        <v>524</v>
      </c>
      <c r="N1429">
        <f>INDEX('GIS-Standards'!$I$2:$I$305,MATCH(B1429,'GIS-Standards'!$B$2:$B$305,0))</f>
        <v>0</v>
      </c>
      <c r="O1429">
        <f>INDEX('GIS-Standards'!$I$2:$I$305,MATCH(C1429,'GIS-Standards'!$B$2:$B$305,0))</f>
        <v>0</v>
      </c>
      <c r="P1429" t="b">
        <f>AND(TableRelationships12[[#This Row],[Source Type]]="BIM",TableRelationships12[[#This Row],[Target Type]]="BIM")</f>
        <v>0</v>
      </c>
      <c r="Q1429">
        <f t="shared" si="66"/>
        <v>6</v>
      </c>
      <c r="S1429">
        <f t="shared" si="67"/>
        <v>1</v>
      </c>
      <c r="T1429" s="102" t="str">
        <f>IF(TableRelationships12[[#This Row],[Rank Pedro]]="Low","linkCategory1",IF(TableRelationships12[[#This Row],[Rank Pedro]]="Medium","linkCategory2",IF(TableRelationships12[[#This Row],[Rank Pedro]]="High","linkCategory3","")))</f>
        <v/>
      </c>
      <c r="U1429" s="102" t="str">
        <f>IF(TableRelationships12[[#This Row],[Rank Pedro]]="Low","Pink",IF(TableRelationships12[[#This Row],[Rank Pedro]]="Medium","Purple",IF(TableRelationships12[[#This Row],[Rank Pedro]]="High","Brown","")))</f>
        <v/>
      </c>
      <c r="V1429" s="4" t="e">
        <f>MAX(INDEX(Standards!$F$2:$F$296,MATCH(B1429,Standards!$B$2:$B$296,0)),INDEX(Standards!$F$2:$F$296,MATCH(C1429,Standards!$B$2:$B$296,0)))</f>
        <v>#N/A</v>
      </c>
      <c r="W1429" t="str">
        <f t="shared" si="68"/>
        <v>#d6bf2a</v>
      </c>
    </row>
    <row r="1430" spans="1:23" x14ac:dyDescent="0.5">
      <c r="A1430" s="54">
        <v>1429</v>
      </c>
      <c r="B1430" s="90" t="s">
        <v>639</v>
      </c>
      <c r="C1430" t="s">
        <v>638</v>
      </c>
      <c r="D1430" s="1"/>
      <c r="E1430" s="113">
        <v>2012.11</v>
      </c>
      <c r="F1430" s="113">
        <v>2012.11</v>
      </c>
      <c r="G1430" s="107" t="s">
        <v>670</v>
      </c>
      <c r="H1430">
        <f>INDEX('GIS-Standards'!$A$2:$A$305,MATCH(B1430,'GIS-Standards'!$B$2:$B$305,0))</f>
        <v>64</v>
      </c>
      <c r="I1430">
        <f>INDEX('GIS-Standards'!$A$2:$A$305,MATCH(C1430,'GIS-Standards'!$B$2:$B$305,0))</f>
        <v>63</v>
      </c>
      <c r="J1430" t="str">
        <f>INDEX('GIS-Standards'!$O$2:$O$305,MATCH(B1430,'GIS-Standards'!$B$2:$B$305,0))</f>
        <v>ISO/TC 211</v>
      </c>
      <c r="K1430" t="str">
        <f>INDEX('GIS-Standards'!$O$2:$O$305,MATCH(C1430,'GIS-Standards'!$B$2:$B$305,0))</f>
        <v>ISO/TC 211</v>
      </c>
      <c r="M1430" t="s">
        <v>524</v>
      </c>
      <c r="N1430">
        <f>INDEX('GIS-Standards'!$I$2:$I$305,MATCH(B1430,'GIS-Standards'!$B$2:$B$305,0))</f>
        <v>0</v>
      </c>
      <c r="O1430">
        <f>INDEX('GIS-Standards'!$I$2:$I$305,MATCH(C1430,'GIS-Standards'!$B$2:$B$305,0))</f>
        <v>0</v>
      </c>
      <c r="P1430" t="b">
        <f>AND(TableRelationships12[[#This Row],[Source Type]]="BIM",TableRelationships12[[#This Row],[Target Type]]="BIM")</f>
        <v>0</v>
      </c>
      <c r="Q1430">
        <f t="shared" si="66"/>
        <v>6</v>
      </c>
      <c r="S1430">
        <f t="shared" si="67"/>
        <v>1</v>
      </c>
      <c r="T1430" s="102" t="str">
        <f>IF(TableRelationships12[[#This Row],[Rank Pedro]]="Low","linkCategory1",IF(TableRelationships12[[#This Row],[Rank Pedro]]="Medium","linkCategory2",IF(TableRelationships12[[#This Row],[Rank Pedro]]="High","linkCategory3","")))</f>
        <v/>
      </c>
      <c r="U1430" s="102" t="str">
        <f>IF(TableRelationships12[[#This Row],[Rank Pedro]]="Low","Pink",IF(TableRelationships12[[#This Row],[Rank Pedro]]="Medium","Purple",IF(TableRelationships12[[#This Row],[Rank Pedro]]="High","Brown","")))</f>
        <v/>
      </c>
      <c r="V1430" s="4" t="e">
        <f>MAX(INDEX(Standards!$F$2:$F$296,MATCH(B1430,Standards!$B$2:$B$296,0)),INDEX(Standards!$F$2:$F$296,MATCH(C1430,Standards!$B$2:$B$296,0)))</f>
        <v>#N/A</v>
      </c>
      <c r="W1430" t="str">
        <f t="shared" si="68"/>
        <v>#d6bf2a</v>
      </c>
    </row>
    <row r="1431" spans="1:23" x14ac:dyDescent="0.5">
      <c r="A1431" s="54">
        <v>1430</v>
      </c>
      <c r="B1431" s="90" t="s">
        <v>639</v>
      </c>
      <c r="C1431" t="s">
        <v>1316</v>
      </c>
      <c r="D1431" s="1"/>
      <c r="E1431" s="112">
        <v>2005.07</v>
      </c>
      <c r="G1431" s="107"/>
      <c r="H1431">
        <f>INDEX('GIS-Standards'!$A$2:$A$305,MATCH(B1431,'GIS-Standards'!$B$2:$B$305,0))</f>
        <v>64</v>
      </c>
      <c r="I1431" t="e">
        <f>INDEX('GIS-Standards'!$A$2:$A$305,MATCH(C1431,'GIS-Standards'!$B$2:$B$305,0))</f>
        <v>#N/A</v>
      </c>
      <c r="J1431" t="str">
        <f>INDEX('GIS-Standards'!$O$2:$O$305,MATCH(B1431,'GIS-Standards'!$B$2:$B$305,0))</f>
        <v>ISO/TC 211</v>
      </c>
      <c r="K1431" t="e">
        <f>INDEX('GIS-Standards'!$O$2:$O$305,MATCH(C1431,'GIS-Standards'!$B$2:$B$305,0))</f>
        <v>#N/A</v>
      </c>
      <c r="M1431" t="s">
        <v>524</v>
      </c>
      <c r="N1431">
        <f>INDEX('GIS-Standards'!$I$2:$I$305,MATCH(B1431,'GIS-Standards'!$B$2:$B$305,0))</f>
        <v>0</v>
      </c>
      <c r="O1431" t="e">
        <f>INDEX('GIS-Standards'!$I$2:$I$305,MATCH(C1431,'GIS-Standards'!$B$2:$B$305,0))</f>
        <v>#N/A</v>
      </c>
      <c r="P1431" t="e">
        <f>AND(TableRelationships12[[#This Row],[Source Type]]="BIM",TableRelationships12[[#This Row],[Target Type]]="BIM")</f>
        <v>#N/A</v>
      </c>
      <c r="Q1431">
        <f t="shared" si="66"/>
        <v>6</v>
      </c>
      <c r="S1431">
        <f t="shared" si="67"/>
        <v>1</v>
      </c>
      <c r="T1431" s="102" t="str">
        <f>IF(TableRelationships12[[#This Row],[Rank Pedro]]="Low","linkCategory1",IF(TableRelationships12[[#This Row],[Rank Pedro]]="Medium","linkCategory2",IF(TableRelationships12[[#This Row],[Rank Pedro]]="High","linkCategory3","")))</f>
        <v/>
      </c>
      <c r="U1431" s="102" t="str">
        <f>IF(TableRelationships12[[#This Row],[Rank Pedro]]="Low","Pink",IF(TableRelationships12[[#This Row],[Rank Pedro]]="Medium","Purple",IF(TableRelationships12[[#This Row],[Rank Pedro]]="High","Brown","")))</f>
        <v/>
      </c>
      <c r="V1431" s="4" t="e">
        <f>MAX(INDEX(Standards!$F$2:$F$296,MATCH(B1431,Standards!$B$2:$B$296,0)),INDEX(Standards!$F$2:$F$296,MATCH(C1431,Standards!$B$2:$B$296,0)))</f>
        <v>#N/A</v>
      </c>
      <c r="W1431" t="str">
        <f t="shared" si="68"/>
        <v>#d6bf2a</v>
      </c>
    </row>
    <row r="1432" spans="1:23" x14ac:dyDescent="0.5">
      <c r="A1432" s="54">
        <v>1431</v>
      </c>
      <c r="B1432" s="90" t="s">
        <v>639</v>
      </c>
      <c r="C1432" s="106" t="s">
        <v>1674</v>
      </c>
      <c r="D1432" s="1" t="s">
        <v>1131</v>
      </c>
      <c r="E1432" s="112">
        <v>1994.12</v>
      </c>
      <c r="F1432" s="112">
        <v>2005.1</v>
      </c>
      <c r="G1432" s="107"/>
      <c r="H1432">
        <f>INDEX('GIS-Standards'!$A$2:$A$305,MATCH(B1432,'GIS-Standards'!$B$2:$B$305,0))</f>
        <v>64</v>
      </c>
      <c r="I1432" t="e">
        <f>INDEX('GIS-Standards'!$A$2:$A$305,MATCH(C1432,'GIS-Standards'!$B$2:$B$305,0))</f>
        <v>#N/A</v>
      </c>
      <c r="J1432" t="str">
        <f>INDEX('GIS-Standards'!$O$2:$O$305,MATCH(B1432,'GIS-Standards'!$B$2:$B$305,0))</f>
        <v>ISO/TC 211</v>
      </c>
      <c r="K1432" t="e">
        <f>INDEX('GIS-Standards'!$O$2:$O$305,MATCH(C1432,'GIS-Standards'!$B$2:$B$305,0))</f>
        <v>#N/A</v>
      </c>
      <c r="M1432" t="s">
        <v>524</v>
      </c>
      <c r="N1432">
        <f>INDEX('GIS-Standards'!$I$2:$I$305,MATCH(B1432,'GIS-Standards'!$B$2:$B$305,0))</f>
        <v>0</v>
      </c>
      <c r="O1432" t="e">
        <f>INDEX('GIS-Standards'!$I$2:$I$305,MATCH(C1432,'GIS-Standards'!$B$2:$B$305,0))</f>
        <v>#N/A</v>
      </c>
      <c r="P1432" t="e">
        <f>AND(TableRelationships12[[#This Row],[Source Type]]="BIM",TableRelationships12[[#This Row],[Target Type]]="BIM")</f>
        <v>#N/A</v>
      </c>
      <c r="Q1432">
        <f t="shared" si="66"/>
        <v>6</v>
      </c>
      <c r="S1432">
        <f t="shared" si="67"/>
        <v>1</v>
      </c>
      <c r="T1432" s="102" t="str">
        <f>IF(TableRelationships12[[#This Row],[Rank Pedro]]="Low","linkCategory1",IF(TableRelationships12[[#This Row],[Rank Pedro]]="Medium","linkCategory2",IF(TableRelationships12[[#This Row],[Rank Pedro]]="High","linkCategory3","")))</f>
        <v/>
      </c>
      <c r="U1432" s="102" t="str">
        <f>IF(TableRelationships12[[#This Row],[Rank Pedro]]="Low","Pink",IF(TableRelationships12[[#This Row],[Rank Pedro]]="Medium","Purple",IF(TableRelationships12[[#This Row],[Rank Pedro]]="High","Brown","")))</f>
        <v/>
      </c>
      <c r="V1432" s="4" t="e">
        <f>MAX(INDEX(Standards!$F$2:$F$296,MATCH(B1432,Standards!$B$2:$B$296,0)),INDEX(Standards!$F$2:$F$296,MATCH(C1432,Standards!$B$2:$B$296,0)))</f>
        <v>#N/A</v>
      </c>
      <c r="W1432" t="str">
        <f t="shared" si="68"/>
        <v>#d6bf2a</v>
      </c>
    </row>
    <row r="1433" spans="1:23" x14ac:dyDescent="0.5">
      <c r="A1433" s="54">
        <v>1432</v>
      </c>
      <c r="B1433" s="90" t="s">
        <v>639</v>
      </c>
      <c r="C1433" t="s">
        <v>1596</v>
      </c>
      <c r="D1433" s="1"/>
      <c r="G1433" s="107"/>
      <c r="H1433">
        <f>INDEX('GIS-Standards'!$A$2:$A$305,MATCH(B1433,'GIS-Standards'!$B$2:$B$305,0))</f>
        <v>64</v>
      </c>
      <c r="I1433" t="e">
        <f>INDEX('GIS-Standards'!$A$2:$A$305,MATCH(C1433,'GIS-Standards'!$B$2:$B$305,0))</f>
        <v>#N/A</v>
      </c>
      <c r="J1433" t="str">
        <f>INDEX('GIS-Standards'!$O$2:$O$305,MATCH(B1433,'GIS-Standards'!$B$2:$B$305,0))</f>
        <v>ISO/TC 211</v>
      </c>
      <c r="K1433" t="e">
        <f>INDEX('GIS-Standards'!$O$2:$O$305,MATCH(C1433,'GIS-Standards'!$B$2:$B$305,0))</f>
        <v>#N/A</v>
      </c>
      <c r="M1433" t="s">
        <v>524</v>
      </c>
      <c r="N1433">
        <f>INDEX('GIS-Standards'!$I$2:$I$305,MATCH(B1433,'GIS-Standards'!$B$2:$B$305,0))</f>
        <v>0</v>
      </c>
      <c r="O1433" t="e">
        <f>INDEX('GIS-Standards'!$I$2:$I$305,MATCH(C1433,'GIS-Standards'!$B$2:$B$305,0))</f>
        <v>#N/A</v>
      </c>
      <c r="P1433" t="e">
        <f>AND(TableRelationships12[[#This Row],[Source Type]]="BIM",TableRelationships12[[#This Row],[Target Type]]="BIM")</f>
        <v>#N/A</v>
      </c>
      <c r="Q1433">
        <f t="shared" si="66"/>
        <v>6</v>
      </c>
      <c r="S1433">
        <f t="shared" si="67"/>
        <v>1</v>
      </c>
      <c r="T1433" s="102" t="str">
        <f>IF(TableRelationships12[[#This Row],[Rank Pedro]]="Low","linkCategory1",IF(TableRelationships12[[#This Row],[Rank Pedro]]="Medium","linkCategory2",IF(TableRelationships12[[#This Row],[Rank Pedro]]="High","linkCategory3","")))</f>
        <v/>
      </c>
      <c r="U1433" s="102" t="str">
        <f>IF(TableRelationships12[[#This Row],[Rank Pedro]]="Low","Pink",IF(TableRelationships12[[#This Row],[Rank Pedro]]="Medium","Purple",IF(TableRelationships12[[#This Row],[Rank Pedro]]="High","Brown","")))</f>
        <v/>
      </c>
      <c r="V1433" s="4" t="e">
        <f>MAX(INDEX(Standards!$F$2:$F$296,MATCH(B1433,Standards!$B$2:$B$296,0)),INDEX(Standards!$F$2:$F$296,MATCH(C1433,Standards!$B$2:$B$296,0)))</f>
        <v>#N/A</v>
      </c>
      <c r="W1433" t="str">
        <f t="shared" si="68"/>
        <v>#d6bf2a</v>
      </c>
    </row>
    <row r="1434" spans="1:23" x14ac:dyDescent="0.5">
      <c r="A1434" s="54">
        <v>1433</v>
      </c>
      <c r="B1434" s="90" t="s">
        <v>639</v>
      </c>
      <c r="C1434" t="s">
        <v>366</v>
      </c>
      <c r="D1434" s="1"/>
      <c r="E1434" s="113">
        <v>2005.07</v>
      </c>
      <c r="F1434" s="113">
        <v>2014.08</v>
      </c>
      <c r="G1434" s="107" t="s">
        <v>1489</v>
      </c>
      <c r="H1434">
        <f>INDEX('GIS-Standards'!$A$2:$A$305,MATCH(B1434,'GIS-Standards'!$B$2:$B$305,0))</f>
        <v>64</v>
      </c>
      <c r="I1434" t="e">
        <f>INDEX('GIS-Standards'!$A$2:$A$305,MATCH(C1434,'GIS-Standards'!$B$2:$B$305,0))</f>
        <v>#N/A</v>
      </c>
      <c r="J1434" t="str">
        <f>INDEX('GIS-Standards'!$O$2:$O$305,MATCH(B1434,'GIS-Standards'!$B$2:$B$305,0))</f>
        <v>ISO/TC 211</v>
      </c>
      <c r="K1434" t="e">
        <f>INDEX('GIS-Standards'!$O$2:$O$305,MATCH(C1434,'GIS-Standards'!$B$2:$B$305,0))</f>
        <v>#N/A</v>
      </c>
      <c r="M1434" t="s">
        <v>525</v>
      </c>
      <c r="N1434">
        <f>INDEX('GIS-Standards'!$I$2:$I$305,MATCH(B1434,'GIS-Standards'!$B$2:$B$305,0))</f>
        <v>0</v>
      </c>
      <c r="O1434" t="e">
        <f>INDEX('GIS-Standards'!$I$2:$I$305,MATCH(C1434,'GIS-Standards'!$B$2:$B$305,0))</f>
        <v>#N/A</v>
      </c>
      <c r="P1434" t="e">
        <f>AND(TableRelationships12[[#This Row],[Source Type]]="BIM",TableRelationships12[[#This Row],[Target Type]]="BIM")</f>
        <v>#N/A</v>
      </c>
      <c r="Q1434">
        <f t="shared" si="66"/>
        <v>1</v>
      </c>
      <c r="S1434">
        <f t="shared" si="67"/>
        <v>1</v>
      </c>
      <c r="T1434" s="102" t="str">
        <f>IF(TableRelationships12[[#This Row],[Rank Pedro]]="Low","linkCategory1",IF(TableRelationships12[[#This Row],[Rank Pedro]]="Medium","linkCategory2",IF(TableRelationships12[[#This Row],[Rank Pedro]]="High","linkCategory3","")))</f>
        <v/>
      </c>
      <c r="U1434" s="102" t="str">
        <f>IF(TableRelationships12[[#This Row],[Rank Pedro]]="Low","Pink",IF(TableRelationships12[[#This Row],[Rank Pedro]]="Medium","Purple",IF(TableRelationships12[[#This Row],[Rank Pedro]]="High","Brown","")))</f>
        <v/>
      </c>
      <c r="V1434" s="4" t="e">
        <f>MAX(INDEX(Standards!$F$2:$F$296,MATCH(B1434,Standards!$B$2:$B$296,0)),INDEX(Standards!$F$2:$F$296,MATCH(C1434,Standards!$B$2:$B$296,0)))</f>
        <v>#N/A</v>
      </c>
      <c r="W1434" t="str">
        <f t="shared" si="68"/>
        <v>#2f89d1</v>
      </c>
    </row>
    <row r="1435" spans="1:23" x14ac:dyDescent="0.5">
      <c r="A1435" s="54">
        <v>1434</v>
      </c>
      <c r="B1435" s="90" t="s">
        <v>639</v>
      </c>
      <c r="C1435" t="s">
        <v>259</v>
      </c>
      <c r="D1435" s="1"/>
      <c r="E1435" s="112">
        <v>2002.01</v>
      </c>
      <c r="F1435" s="112">
        <v>2016.03</v>
      </c>
      <c r="G1435" s="107" t="s">
        <v>1448</v>
      </c>
      <c r="H1435">
        <f>INDEX('GIS-Standards'!$A$2:$A$305,MATCH(B1435,'GIS-Standards'!$B$2:$B$305,0))</f>
        <v>64</v>
      </c>
      <c r="I1435" t="e">
        <f>INDEX('GIS-Standards'!$A$2:$A$305,MATCH(C1435,'GIS-Standards'!$B$2:$B$305,0))</f>
        <v>#N/A</v>
      </c>
      <c r="J1435" t="str">
        <f>INDEX('GIS-Standards'!$O$2:$O$305,MATCH(B1435,'GIS-Standards'!$B$2:$B$305,0))</f>
        <v>ISO/TC 211</v>
      </c>
      <c r="K1435" t="e">
        <f>INDEX('GIS-Standards'!$O$2:$O$305,MATCH(C1435,'GIS-Standards'!$B$2:$B$305,0))</f>
        <v>#N/A</v>
      </c>
      <c r="M1435" t="s">
        <v>525</v>
      </c>
      <c r="N1435">
        <f>INDEX('GIS-Standards'!$I$2:$I$305,MATCH(B1435,'GIS-Standards'!$B$2:$B$305,0))</f>
        <v>0</v>
      </c>
      <c r="O1435" t="e">
        <f>INDEX('GIS-Standards'!$I$2:$I$305,MATCH(C1435,'GIS-Standards'!$B$2:$B$305,0))</f>
        <v>#N/A</v>
      </c>
      <c r="P1435" t="e">
        <f>AND(TableRelationships12[[#This Row],[Source Type]]="BIM",TableRelationships12[[#This Row],[Target Type]]="BIM")</f>
        <v>#N/A</v>
      </c>
      <c r="Q1435">
        <f t="shared" si="66"/>
        <v>1</v>
      </c>
      <c r="S1435">
        <f t="shared" si="67"/>
        <v>1</v>
      </c>
      <c r="T1435" s="102" t="str">
        <f>IF(TableRelationships12[[#This Row],[Rank Pedro]]="Low","linkCategory1",IF(TableRelationships12[[#This Row],[Rank Pedro]]="Medium","linkCategory2",IF(TableRelationships12[[#This Row],[Rank Pedro]]="High","linkCategory3","")))</f>
        <v/>
      </c>
      <c r="U1435" s="102" t="str">
        <f>IF(TableRelationships12[[#This Row],[Rank Pedro]]="Low","Pink",IF(TableRelationships12[[#This Row],[Rank Pedro]]="Medium","Purple",IF(TableRelationships12[[#This Row],[Rank Pedro]]="High","Brown","")))</f>
        <v/>
      </c>
      <c r="V1435" s="4" t="e">
        <f>MAX(INDEX(Standards!$F$2:$F$296,MATCH(B1435,Standards!$B$2:$B$296,0)),INDEX(Standards!$F$2:$F$296,MATCH(C1435,Standards!$B$2:$B$296,0)))</f>
        <v>#N/A</v>
      </c>
      <c r="W1435" t="str">
        <f t="shared" si="68"/>
        <v>#2f89d1</v>
      </c>
    </row>
    <row r="1436" spans="1:23" x14ac:dyDescent="0.5">
      <c r="A1436" s="54">
        <v>1435</v>
      </c>
      <c r="B1436" s="90" t="s">
        <v>639</v>
      </c>
      <c r="C1436" t="s">
        <v>164</v>
      </c>
      <c r="D1436" s="1"/>
      <c r="E1436" s="112">
        <v>2003.08</v>
      </c>
      <c r="F1436" s="112">
        <v>2007.1</v>
      </c>
      <c r="G1436" s="107" t="s">
        <v>1448</v>
      </c>
      <c r="H1436">
        <f>INDEX('GIS-Standards'!$A$2:$A$305,MATCH(B1436,'GIS-Standards'!$B$2:$B$305,0))</f>
        <v>64</v>
      </c>
      <c r="I1436" t="e">
        <f>INDEX('GIS-Standards'!$A$2:$A$305,MATCH(C1436,'GIS-Standards'!$B$2:$B$305,0))</f>
        <v>#N/A</v>
      </c>
      <c r="J1436" t="str">
        <f>INDEX('GIS-Standards'!$O$2:$O$305,MATCH(B1436,'GIS-Standards'!$B$2:$B$305,0))</f>
        <v>ISO/TC 211</v>
      </c>
      <c r="K1436" t="e">
        <f>INDEX('GIS-Standards'!$O$2:$O$305,MATCH(C1436,'GIS-Standards'!$B$2:$B$305,0))</f>
        <v>#N/A</v>
      </c>
      <c r="M1436" t="s">
        <v>525</v>
      </c>
      <c r="N1436">
        <f>INDEX('GIS-Standards'!$I$2:$I$305,MATCH(B1436,'GIS-Standards'!$B$2:$B$305,0))</f>
        <v>0</v>
      </c>
      <c r="O1436" t="e">
        <f>INDEX('GIS-Standards'!$I$2:$I$305,MATCH(C1436,'GIS-Standards'!$B$2:$B$305,0))</f>
        <v>#N/A</v>
      </c>
      <c r="P1436" t="e">
        <f>AND(TableRelationships12[[#This Row],[Source Type]]="BIM",TableRelationships12[[#This Row],[Target Type]]="BIM")</f>
        <v>#N/A</v>
      </c>
      <c r="Q1436">
        <f t="shared" si="66"/>
        <v>1</v>
      </c>
      <c r="S1436">
        <f t="shared" si="67"/>
        <v>1</v>
      </c>
      <c r="T1436" s="102" t="str">
        <f>IF(TableRelationships12[[#This Row],[Rank Pedro]]="Low","linkCategory1",IF(TableRelationships12[[#This Row],[Rank Pedro]]="Medium","linkCategory2",IF(TableRelationships12[[#This Row],[Rank Pedro]]="High","linkCategory3","")))</f>
        <v/>
      </c>
      <c r="U1436" s="102" t="str">
        <f>IF(TableRelationships12[[#This Row],[Rank Pedro]]="Low","Pink",IF(TableRelationships12[[#This Row],[Rank Pedro]]="Medium","Purple",IF(TableRelationships12[[#This Row],[Rank Pedro]]="High","Brown","")))</f>
        <v/>
      </c>
      <c r="V1436" s="4" t="e">
        <f>MAX(INDEX(Standards!$F$2:$F$296,MATCH(B1436,Standards!$B$2:$B$296,0)),INDEX(Standards!$F$2:$F$296,MATCH(C1436,Standards!$B$2:$B$296,0)))</f>
        <v>#N/A</v>
      </c>
      <c r="W1436" t="str">
        <f t="shared" si="68"/>
        <v>#2f89d1</v>
      </c>
    </row>
    <row r="1437" spans="1:23" x14ac:dyDescent="0.5">
      <c r="A1437" s="54">
        <v>1436</v>
      </c>
      <c r="B1437" s="90" t="s">
        <v>639</v>
      </c>
      <c r="C1437" t="s">
        <v>198</v>
      </c>
      <c r="D1437" s="1"/>
      <c r="E1437" s="112">
        <v>1996.12</v>
      </c>
      <c r="F1437" s="112">
        <v>1996.12</v>
      </c>
      <c r="G1437" s="107" t="s">
        <v>1505</v>
      </c>
      <c r="H1437">
        <f>INDEX('GIS-Standards'!$A$2:$A$305,MATCH(B1437,'GIS-Standards'!$B$2:$B$305,0))</f>
        <v>64</v>
      </c>
      <c r="I1437" t="e">
        <f>INDEX('GIS-Standards'!$A$2:$A$305,MATCH(C1437,'GIS-Standards'!$B$2:$B$305,0))</f>
        <v>#N/A</v>
      </c>
      <c r="J1437" t="str">
        <f>INDEX('GIS-Standards'!$O$2:$O$305,MATCH(B1437,'GIS-Standards'!$B$2:$B$305,0))</f>
        <v>ISO/TC 211</v>
      </c>
      <c r="K1437" t="e">
        <f>INDEX('GIS-Standards'!$O$2:$O$305,MATCH(C1437,'GIS-Standards'!$B$2:$B$305,0))</f>
        <v>#N/A</v>
      </c>
      <c r="M1437" t="s">
        <v>525</v>
      </c>
      <c r="N1437">
        <f>INDEX('GIS-Standards'!$I$2:$I$305,MATCH(B1437,'GIS-Standards'!$B$2:$B$305,0))</f>
        <v>0</v>
      </c>
      <c r="O1437" t="e">
        <f>INDEX('GIS-Standards'!$I$2:$I$305,MATCH(C1437,'GIS-Standards'!$B$2:$B$305,0))</f>
        <v>#N/A</v>
      </c>
      <c r="P1437" t="e">
        <f>AND(TableRelationships12[[#This Row],[Source Type]]="BIM",TableRelationships12[[#This Row],[Target Type]]="BIM")</f>
        <v>#N/A</v>
      </c>
      <c r="Q1437">
        <f t="shared" si="66"/>
        <v>1</v>
      </c>
      <c r="S1437">
        <f t="shared" si="67"/>
        <v>1</v>
      </c>
      <c r="T1437" s="102" t="str">
        <f>IF(TableRelationships12[[#This Row],[Rank Pedro]]="Low","linkCategory1",IF(TableRelationships12[[#This Row],[Rank Pedro]]="Medium","linkCategory2",IF(TableRelationships12[[#This Row],[Rank Pedro]]="High","linkCategory3","")))</f>
        <v/>
      </c>
      <c r="U1437" s="102" t="str">
        <f>IF(TableRelationships12[[#This Row],[Rank Pedro]]="Low","Pink",IF(TableRelationships12[[#This Row],[Rank Pedro]]="Medium","Purple",IF(TableRelationships12[[#This Row],[Rank Pedro]]="High","Brown","")))</f>
        <v/>
      </c>
      <c r="V1437" s="4" t="e">
        <f>MAX(INDEX(Standards!$F$2:$F$296,MATCH(B1437,Standards!$B$2:$B$296,0)),INDEX(Standards!$F$2:$F$296,MATCH(C1437,Standards!$B$2:$B$296,0)))</f>
        <v>#N/A</v>
      </c>
      <c r="W1437" t="str">
        <f t="shared" si="68"/>
        <v>#2f89d1</v>
      </c>
    </row>
    <row r="1438" spans="1:23" x14ac:dyDescent="0.5">
      <c r="A1438" s="54">
        <v>1437</v>
      </c>
      <c r="B1438" s="90" t="s">
        <v>639</v>
      </c>
      <c r="C1438" t="s">
        <v>144</v>
      </c>
      <c r="D1438" s="1" t="s">
        <v>1317</v>
      </c>
      <c r="E1438" s="112">
        <v>2013.04</v>
      </c>
      <c r="F1438" s="112">
        <v>2024.03</v>
      </c>
      <c r="G1438" s="107" t="s">
        <v>1448</v>
      </c>
      <c r="H1438">
        <f>INDEX('GIS-Standards'!$A$2:$A$305,MATCH(B1438,'GIS-Standards'!$B$2:$B$305,0))</f>
        <v>64</v>
      </c>
      <c r="I1438" t="e">
        <f>INDEX('GIS-Standards'!$A$2:$A$305,MATCH(C1438,'GIS-Standards'!$B$2:$B$305,0))</f>
        <v>#N/A</v>
      </c>
      <c r="J1438" t="str">
        <f>INDEX('GIS-Standards'!$O$2:$O$305,MATCH(B1438,'GIS-Standards'!$B$2:$B$305,0))</f>
        <v>ISO/TC 211</v>
      </c>
      <c r="K1438" t="e">
        <f>INDEX('GIS-Standards'!$O$2:$O$305,MATCH(C1438,'GIS-Standards'!$B$2:$B$305,0))</f>
        <v>#N/A</v>
      </c>
      <c r="M1438" t="s">
        <v>525</v>
      </c>
      <c r="N1438">
        <f>INDEX('GIS-Standards'!$I$2:$I$305,MATCH(B1438,'GIS-Standards'!$B$2:$B$305,0))</f>
        <v>0</v>
      </c>
      <c r="O1438" t="e">
        <f>INDEX('GIS-Standards'!$I$2:$I$305,MATCH(C1438,'GIS-Standards'!$B$2:$B$305,0))</f>
        <v>#N/A</v>
      </c>
      <c r="P1438" t="e">
        <f>AND(TableRelationships12[[#This Row],[Source Type]]="BIM",TableRelationships12[[#This Row],[Target Type]]="BIM")</f>
        <v>#N/A</v>
      </c>
      <c r="Q1438">
        <f t="shared" si="66"/>
        <v>1</v>
      </c>
      <c r="S1438">
        <f t="shared" si="67"/>
        <v>1</v>
      </c>
      <c r="T1438" s="102" t="str">
        <f>IF(TableRelationships12[[#This Row],[Rank Pedro]]="Low","linkCategory1",IF(TableRelationships12[[#This Row],[Rank Pedro]]="Medium","linkCategory2",IF(TableRelationships12[[#This Row],[Rank Pedro]]="High","linkCategory3","")))</f>
        <v/>
      </c>
      <c r="U1438" s="102" t="str">
        <f>IF(TableRelationships12[[#This Row],[Rank Pedro]]="Low","Pink",IF(TableRelationships12[[#This Row],[Rank Pedro]]="Medium","Purple",IF(TableRelationships12[[#This Row],[Rank Pedro]]="High","Brown","")))</f>
        <v/>
      </c>
      <c r="V1438" s="4" t="e">
        <f>MAX(INDEX(Standards!$F$2:$F$296,MATCH(B1438,Standards!$B$2:$B$296,0)),INDEX(Standards!$F$2:$F$296,MATCH(C1438,Standards!$B$2:$B$296,0)))</f>
        <v>#N/A</v>
      </c>
      <c r="W1438" t="str">
        <f t="shared" si="68"/>
        <v>#2f89d1</v>
      </c>
    </row>
    <row r="1439" spans="1:23" x14ac:dyDescent="0.5">
      <c r="A1439" s="54">
        <v>1438</v>
      </c>
      <c r="B1439" s="90" t="s">
        <v>639</v>
      </c>
      <c r="C1439" t="s">
        <v>306</v>
      </c>
      <c r="D1439" s="1"/>
      <c r="E1439" s="112">
        <v>2005.06</v>
      </c>
      <c r="F1439" s="112">
        <v>2025.07</v>
      </c>
      <c r="G1439" s="107" t="s">
        <v>670</v>
      </c>
      <c r="H1439">
        <f>INDEX('GIS-Standards'!$A$2:$A$305,MATCH(B1439,'GIS-Standards'!$B$2:$B$305,0))</f>
        <v>64</v>
      </c>
      <c r="I1439">
        <f>INDEX('GIS-Standards'!$A$2:$A$305,MATCH(C1439,'GIS-Standards'!$B$2:$B$305,0))</f>
        <v>18</v>
      </c>
      <c r="J1439" t="str">
        <f>INDEX('GIS-Standards'!$O$2:$O$305,MATCH(B1439,'GIS-Standards'!$B$2:$B$305,0))</f>
        <v>ISO/TC 211</v>
      </c>
      <c r="K1439" t="str">
        <f>INDEX('GIS-Standards'!$O$2:$O$305,MATCH(C1439,'GIS-Standards'!$B$2:$B$305,0))</f>
        <v>ISO/TC 211</v>
      </c>
      <c r="M1439" t="s">
        <v>525</v>
      </c>
      <c r="N1439">
        <f>INDEX('GIS-Standards'!$I$2:$I$305,MATCH(B1439,'GIS-Standards'!$B$2:$B$305,0))</f>
        <v>0</v>
      </c>
      <c r="O1439">
        <f>INDEX('GIS-Standards'!$I$2:$I$305,MATCH(C1439,'GIS-Standards'!$B$2:$B$305,0))</f>
        <v>0</v>
      </c>
      <c r="P1439" t="b">
        <f>AND(TableRelationships12[[#This Row],[Source Type]]="BIM",TableRelationships12[[#This Row],[Target Type]]="BIM")</f>
        <v>0</v>
      </c>
      <c r="Q1439">
        <f t="shared" si="66"/>
        <v>1</v>
      </c>
      <c r="S1439">
        <f t="shared" si="67"/>
        <v>1</v>
      </c>
      <c r="T1439" s="102" t="str">
        <f>IF(TableRelationships12[[#This Row],[Rank Pedro]]="Low","linkCategory1",IF(TableRelationships12[[#This Row],[Rank Pedro]]="Medium","linkCategory2",IF(TableRelationships12[[#This Row],[Rank Pedro]]="High","linkCategory3","")))</f>
        <v/>
      </c>
      <c r="U1439" s="102" t="str">
        <f>IF(TableRelationships12[[#This Row],[Rank Pedro]]="Low","Pink",IF(TableRelationships12[[#This Row],[Rank Pedro]]="Medium","Purple",IF(TableRelationships12[[#This Row],[Rank Pedro]]="High","Brown","")))</f>
        <v/>
      </c>
      <c r="V1439" s="4" t="e">
        <f>MAX(INDEX(Standards!$F$2:$F$296,MATCH(B1439,Standards!$B$2:$B$296,0)),INDEX(Standards!$F$2:$F$296,MATCH(C1439,Standards!$B$2:$B$296,0)))</f>
        <v>#N/A</v>
      </c>
      <c r="W1439" t="str">
        <f t="shared" si="68"/>
        <v>#2f89d1</v>
      </c>
    </row>
    <row r="1440" spans="1:23" x14ac:dyDescent="0.5">
      <c r="A1440" s="54">
        <v>1439</v>
      </c>
      <c r="B1440" s="90" t="s">
        <v>639</v>
      </c>
      <c r="C1440" t="s">
        <v>310</v>
      </c>
      <c r="D1440" s="1"/>
      <c r="E1440" s="112">
        <v>2003.02</v>
      </c>
      <c r="F1440" s="112">
        <v>2023.08</v>
      </c>
      <c r="G1440" s="107" t="s">
        <v>670</v>
      </c>
      <c r="H1440">
        <f>INDEX('GIS-Standards'!$A$2:$A$305,MATCH(B1440,'GIS-Standards'!$B$2:$B$305,0))</f>
        <v>64</v>
      </c>
      <c r="I1440">
        <f>INDEX('GIS-Standards'!$A$2:$A$305,MATCH(C1440,'GIS-Standards'!$B$2:$B$305,0))</f>
        <v>20</v>
      </c>
      <c r="J1440" t="str">
        <f>INDEX('GIS-Standards'!$O$2:$O$305,MATCH(B1440,'GIS-Standards'!$B$2:$B$305,0))</f>
        <v>ISO/TC 211</v>
      </c>
      <c r="K1440" t="str">
        <f>INDEX('GIS-Standards'!$O$2:$O$305,MATCH(C1440,'GIS-Standards'!$B$2:$B$305,0))</f>
        <v>ISO/TC 211</v>
      </c>
      <c r="M1440" t="s">
        <v>525</v>
      </c>
      <c r="N1440">
        <f>INDEX('GIS-Standards'!$I$2:$I$305,MATCH(B1440,'GIS-Standards'!$B$2:$B$305,0))</f>
        <v>0</v>
      </c>
      <c r="O1440" t="str">
        <f>INDEX('GIS-Standards'!$I$2:$I$305,MATCH(C1440,'GIS-Standards'!$B$2:$B$305,0))</f>
        <v>08.2023</v>
      </c>
      <c r="P1440" t="b">
        <f>AND(TableRelationships12[[#This Row],[Source Type]]="BIM",TableRelationships12[[#This Row],[Target Type]]="BIM")</f>
        <v>0</v>
      </c>
      <c r="Q1440">
        <f t="shared" si="66"/>
        <v>1</v>
      </c>
      <c r="S1440">
        <f t="shared" si="67"/>
        <v>1</v>
      </c>
      <c r="T1440" s="102" t="str">
        <f>IF(TableRelationships12[[#This Row],[Rank Pedro]]="Low","linkCategory1",IF(TableRelationships12[[#This Row],[Rank Pedro]]="Medium","linkCategory2",IF(TableRelationships12[[#This Row],[Rank Pedro]]="High","linkCategory3","")))</f>
        <v/>
      </c>
      <c r="U1440" s="102" t="str">
        <f>IF(TableRelationships12[[#This Row],[Rank Pedro]]="Low","Pink",IF(TableRelationships12[[#This Row],[Rank Pedro]]="Medium","Purple",IF(TableRelationships12[[#This Row],[Rank Pedro]]="High","Brown","")))</f>
        <v/>
      </c>
      <c r="V1440" s="4" t="e">
        <f>MAX(INDEX(Standards!$F$2:$F$296,MATCH(B1440,Standards!$B$2:$B$296,0)),INDEX(Standards!$F$2:$F$296,MATCH(C1440,Standards!$B$2:$B$296,0)))</f>
        <v>#N/A</v>
      </c>
      <c r="W1440" t="str">
        <f t="shared" si="68"/>
        <v>#2f89d1</v>
      </c>
    </row>
    <row r="1441" spans="1:23" x14ac:dyDescent="0.5">
      <c r="A1441" s="54">
        <v>1440</v>
      </c>
      <c r="B1441" s="90" t="s">
        <v>639</v>
      </c>
      <c r="C1441" t="s">
        <v>312</v>
      </c>
      <c r="D1441" s="1"/>
      <c r="E1441" s="112">
        <v>2003.1</v>
      </c>
      <c r="F1441" s="112">
        <v>2019.02</v>
      </c>
      <c r="G1441" s="107" t="s">
        <v>670</v>
      </c>
      <c r="H1441">
        <f>INDEX('GIS-Standards'!$A$2:$A$305,MATCH(B1441,'GIS-Standards'!$B$2:$B$305,0))</f>
        <v>64</v>
      </c>
      <c r="I1441">
        <f>INDEX('GIS-Standards'!$A$2:$A$305,MATCH(C1441,'GIS-Standards'!$B$2:$B$305,0))</f>
        <v>21</v>
      </c>
      <c r="J1441" t="str">
        <f>INDEX('GIS-Standards'!$O$2:$O$305,MATCH(B1441,'GIS-Standards'!$B$2:$B$305,0))</f>
        <v>ISO/TC 211</v>
      </c>
      <c r="K1441" t="str">
        <f>INDEX('GIS-Standards'!$O$2:$O$305,MATCH(C1441,'GIS-Standards'!$B$2:$B$305,0))</f>
        <v>ISO/TC 211</v>
      </c>
      <c r="M1441" t="s">
        <v>525</v>
      </c>
      <c r="N1441">
        <f>INDEX('GIS-Standards'!$I$2:$I$305,MATCH(B1441,'GIS-Standards'!$B$2:$B$305,0))</f>
        <v>0</v>
      </c>
      <c r="O1441">
        <f>INDEX('GIS-Standards'!$I$2:$I$305,MATCH(C1441,'GIS-Standards'!$B$2:$B$305,0))</f>
        <v>0</v>
      </c>
      <c r="P1441" t="b">
        <f>AND(TableRelationships12[[#This Row],[Source Type]]="BIM",TableRelationships12[[#This Row],[Target Type]]="BIM")</f>
        <v>0</v>
      </c>
      <c r="Q1441">
        <f t="shared" si="66"/>
        <v>1</v>
      </c>
      <c r="S1441">
        <f t="shared" si="67"/>
        <v>1</v>
      </c>
      <c r="T1441" s="102" t="str">
        <f>IF(TableRelationships12[[#This Row],[Rank Pedro]]="Low","linkCategory1",IF(TableRelationships12[[#This Row],[Rank Pedro]]="Medium","linkCategory2",IF(TableRelationships12[[#This Row],[Rank Pedro]]="High","linkCategory3","")))</f>
        <v/>
      </c>
      <c r="U1441" s="102" t="str">
        <f>IF(TableRelationships12[[#This Row],[Rank Pedro]]="Low","Pink",IF(TableRelationships12[[#This Row],[Rank Pedro]]="Medium","Purple",IF(TableRelationships12[[#This Row],[Rank Pedro]]="High","Brown","")))</f>
        <v/>
      </c>
      <c r="V1441" s="4" t="e">
        <f>MAX(INDEX(Standards!$F$2:$F$296,MATCH(B1441,Standards!$B$2:$B$296,0)),INDEX(Standards!$F$2:$F$296,MATCH(C1441,Standards!$B$2:$B$296,0)))</f>
        <v>#N/A</v>
      </c>
      <c r="W1441" t="str">
        <f t="shared" si="68"/>
        <v>#2f89d1</v>
      </c>
    </row>
    <row r="1442" spans="1:23" x14ac:dyDescent="0.5">
      <c r="A1442" s="54">
        <v>1441</v>
      </c>
      <c r="B1442" s="90" t="s">
        <v>639</v>
      </c>
      <c r="C1442" t="s">
        <v>346</v>
      </c>
      <c r="D1442" s="1"/>
      <c r="E1442" s="112">
        <v>2015.07</v>
      </c>
      <c r="F1442" s="112">
        <v>2019.01</v>
      </c>
      <c r="G1442" s="107" t="s">
        <v>670</v>
      </c>
      <c r="H1442">
        <f>INDEX('GIS-Standards'!$A$2:$A$305,MATCH(B1442,'GIS-Standards'!$B$2:$B$305,0))</f>
        <v>64</v>
      </c>
      <c r="I1442">
        <f>INDEX('GIS-Standards'!$A$2:$A$305,MATCH(C1442,'GIS-Standards'!$B$2:$B$305,0))</f>
        <v>54</v>
      </c>
      <c r="J1442" t="str">
        <f>INDEX('GIS-Standards'!$O$2:$O$305,MATCH(B1442,'GIS-Standards'!$B$2:$B$305,0))</f>
        <v>ISO/TC 211</v>
      </c>
      <c r="K1442" t="str">
        <f>INDEX('GIS-Standards'!$O$2:$O$305,MATCH(C1442,'GIS-Standards'!$B$2:$B$305,0))</f>
        <v>ISO/TC 211</v>
      </c>
      <c r="M1442" t="s">
        <v>525</v>
      </c>
      <c r="N1442">
        <f>INDEX('GIS-Standards'!$I$2:$I$305,MATCH(B1442,'GIS-Standards'!$B$2:$B$305,0))</f>
        <v>0</v>
      </c>
      <c r="O1442" t="str">
        <f>INDEX('GIS-Standards'!$I$2:$I$305,MATCH(C1442,'GIS-Standards'!$B$2:$B$305,0))</f>
        <v>01.2019</v>
      </c>
      <c r="P1442" t="b">
        <f>AND(TableRelationships12[[#This Row],[Source Type]]="BIM",TableRelationships12[[#This Row],[Target Type]]="BIM")</f>
        <v>0</v>
      </c>
      <c r="Q1442">
        <f t="shared" si="66"/>
        <v>1</v>
      </c>
      <c r="S1442">
        <f t="shared" si="67"/>
        <v>1</v>
      </c>
      <c r="T1442" s="102" t="str">
        <f>IF(TableRelationships12[[#This Row],[Rank Pedro]]="Low","linkCategory1",IF(TableRelationships12[[#This Row],[Rank Pedro]]="Medium","linkCategory2",IF(TableRelationships12[[#This Row],[Rank Pedro]]="High","linkCategory3","")))</f>
        <v/>
      </c>
      <c r="U1442" s="102" t="str">
        <f>IF(TableRelationships12[[#This Row],[Rank Pedro]]="Low","Pink",IF(TableRelationships12[[#This Row],[Rank Pedro]]="Medium","Purple",IF(TableRelationships12[[#This Row],[Rank Pedro]]="High","Brown","")))</f>
        <v/>
      </c>
      <c r="V1442" s="4" t="e">
        <f>MAX(INDEX(Standards!$F$2:$F$296,MATCH(B1442,Standards!$B$2:$B$296,0)),INDEX(Standards!$F$2:$F$296,MATCH(C1442,Standards!$B$2:$B$296,0)))</f>
        <v>#N/A</v>
      </c>
      <c r="W1442" t="str">
        <f t="shared" si="68"/>
        <v>#2f89d1</v>
      </c>
    </row>
    <row r="1443" spans="1:23" x14ac:dyDescent="0.5">
      <c r="A1443" s="54">
        <v>1442</v>
      </c>
      <c r="B1443" s="90" t="s">
        <v>639</v>
      </c>
      <c r="C1443" t="s">
        <v>1318</v>
      </c>
      <c r="D1443" s="1"/>
      <c r="G1443" s="107"/>
      <c r="H1443">
        <f>INDEX('GIS-Standards'!$A$2:$A$305,MATCH(B1443,'GIS-Standards'!$B$2:$B$305,0))</f>
        <v>64</v>
      </c>
      <c r="I1443" t="e">
        <f>INDEX('GIS-Standards'!$A$2:$A$305,MATCH(C1443,'GIS-Standards'!$B$2:$B$305,0))</f>
        <v>#N/A</v>
      </c>
      <c r="J1443" t="str">
        <f>INDEX('GIS-Standards'!$O$2:$O$305,MATCH(B1443,'GIS-Standards'!$B$2:$B$305,0))</f>
        <v>ISO/TC 211</v>
      </c>
      <c r="K1443" t="e">
        <f>INDEX('GIS-Standards'!$O$2:$O$305,MATCH(C1443,'GIS-Standards'!$B$2:$B$305,0))</f>
        <v>#N/A</v>
      </c>
      <c r="M1443" t="s">
        <v>525</v>
      </c>
      <c r="N1443">
        <f>INDEX('GIS-Standards'!$I$2:$I$305,MATCH(B1443,'GIS-Standards'!$B$2:$B$305,0))</f>
        <v>0</v>
      </c>
      <c r="O1443" t="e">
        <f>INDEX('GIS-Standards'!$I$2:$I$305,MATCH(C1443,'GIS-Standards'!$B$2:$B$305,0))</f>
        <v>#N/A</v>
      </c>
      <c r="P1443" t="e">
        <f>AND(TableRelationships12[[#This Row],[Source Type]]="BIM",TableRelationships12[[#This Row],[Target Type]]="BIM")</f>
        <v>#N/A</v>
      </c>
      <c r="Q1443">
        <f t="shared" si="66"/>
        <v>1</v>
      </c>
      <c r="S1443">
        <f t="shared" si="67"/>
        <v>1</v>
      </c>
      <c r="T1443" s="102" t="str">
        <f>IF(TableRelationships12[[#This Row],[Rank Pedro]]="Low","linkCategory1",IF(TableRelationships12[[#This Row],[Rank Pedro]]="Medium","linkCategory2",IF(TableRelationships12[[#This Row],[Rank Pedro]]="High","linkCategory3","")))</f>
        <v/>
      </c>
      <c r="U1443" s="102" t="str">
        <f>IF(TableRelationships12[[#This Row],[Rank Pedro]]="Low","Pink",IF(TableRelationships12[[#This Row],[Rank Pedro]]="Medium","Purple",IF(TableRelationships12[[#This Row],[Rank Pedro]]="High","Brown","")))</f>
        <v/>
      </c>
      <c r="V1443" s="4" t="e">
        <f>MAX(INDEX(Standards!$F$2:$F$296,MATCH(B1443,Standards!$B$2:$B$296,0)),INDEX(Standards!$F$2:$F$296,MATCH(C1443,Standards!$B$2:$B$296,0)))</f>
        <v>#N/A</v>
      </c>
      <c r="W1443" t="str">
        <f t="shared" si="68"/>
        <v>#2f89d1</v>
      </c>
    </row>
    <row r="1444" spans="1:23" x14ac:dyDescent="0.5">
      <c r="A1444" s="54">
        <v>1443</v>
      </c>
      <c r="B1444" s="90" t="s">
        <v>639</v>
      </c>
      <c r="C1444" t="s">
        <v>1319</v>
      </c>
      <c r="D1444" s="1"/>
      <c r="G1444" s="107"/>
      <c r="H1444">
        <f>INDEX('GIS-Standards'!$A$2:$A$305,MATCH(B1444,'GIS-Standards'!$B$2:$B$305,0))</f>
        <v>64</v>
      </c>
      <c r="I1444" t="e">
        <f>INDEX('GIS-Standards'!$A$2:$A$305,MATCH(C1444,'GIS-Standards'!$B$2:$B$305,0))</f>
        <v>#N/A</v>
      </c>
      <c r="J1444" t="str">
        <f>INDEX('GIS-Standards'!$O$2:$O$305,MATCH(B1444,'GIS-Standards'!$B$2:$B$305,0))</f>
        <v>ISO/TC 211</v>
      </c>
      <c r="K1444" t="e">
        <f>INDEX('GIS-Standards'!$O$2:$O$305,MATCH(C1444,'GIS-Standards'!$B$2:$B$305,0))</f>
        <v>#N/A</v>
      </c>
      <c r="M1444" t="s">
        <v>525</v>
      </c>
      <c r="N1444">
        <f>INDEX('GIS-Standards'!$I$2:$I$305,MATCH(B1444,'GIS-Standards'!$B$2:$B$305,0))</f>
        <v>0</v>
      </c>
      <c r="O1444" t="e">
        <f>INDEX('GIS-Standards'!$I$2:$I$305,MATCH(C1444,'GIS-Standards'!$B$2:$B$305,0))</f>
        <v>#N/A</v>
      </c>
      <c r="P1444" t="e">
        <f>AND(TableRelationships12[[#This Row],[Source Type]]="BIM",TableRelationships12[[#This Row],[Target Type]]="BIM")</f>
        <v>#N/A</v>
      </c>
      <c r="Q1444">
        <f t="shared" si="66"/>
        <v>1</v>
      </c>
      <c r="S1444">
        <f t="shared" si="67"/>
        <v>1</v>
      </c>
      <c r="T1444" s="102" t="str">
        <f>IF(TableRelationships12[[#This Row],[Rank Pedro]]="Low","linkCategory1",IF(TableRelationships12[[#This Row],[Rank Pedro]]="Medium","linkCategory2",IF(TableRelationships12[[#This Row],[Rank Pedro]]="High","linkCategory3","")))</f>
        <v/>
      </c>
      <c r="U1444" s="102" t="str">
        <f>IF(TableRelationships12[[#This Row],[Rank Pedro]]="Low","Pink",IF(TableRelationships12[[#This Row],[Rank Pedro]]="Medium","Purple",IF(TableRelationships12[[#This Row],[Rank Pedro]]="High","Brown","")))</f>
        <v/>
      </c>
      <c r="V1444" s="4" t="e">
        <f>MAX(INDEX(Standards!$F$2:$F$296,MATCH(B1444,Standards!$B$2:$B$296,0)),INDEX(Standards!$F$2:$F$296,MATCH(C1444,Standards!$B$2:$B$296,0)))</f>
        <v>#N/A</v>
      </c>
      <c r="W1444" t="str">
        <f t="shared" si="68"/>
        <v>#2f89d1</v>
      </c>
    </row>
    <row r="1445" spans="1:23" x14ac:dyDescent="0.5">
      <c r="A1445" s="54">
        <v>1444</v>
      </c>
      <c r="B1445" s="90" t="s">
        <v>639</v>
      </c>
      <c r="C1445" t="s">
        <v>1554</v>
      </c>
      <c r="D1445" s="1"/>
      <c r="G1445" s="107"/>
      <c r="H1445">
        <f>INDEX('GIS-Standards'!$A$2:$A$305,MATCH(B1445,'GIS-Standards'!$B$2:$B$305,0))</f>
        <v>64</v>
      </c>
      <c r="I1445" t="e">
        <f>INDEX('GIS-Standards'!$A$2:$A$305,MATCH(C1445,'GIS-Standards'!$B$2:$B$305,0))</f>
        <v>#N/A</v>
      </c>
      <c r="J1445" t="str">
        <f>INDEX('GIS-Standards'!$O$2:$O$305,MATCH(B1445,'GIS-Standards'!$B$2:$B$305,0))</f>
        <v>ISO/TC 211</v>
      </c>
      <c r="K1445" t="e">
        <f>INDEX('GIS-Standards'!$O$2:$O$305,MATCH(C1445,'GIS-Standards'!$B$2:$B$305,0))</f>
        <v>#N/A</v>
      </c>
      <c r="M1445" t="s">
        <v>525</v>
      </c>
      <c r="N1445">
        <f>INDEX('GIS-Standards'!$I$2:$I$305,MATCH(B1445,'GIS-Standards'!$B$2:$B$305,0))</f>
        <v>0</v>
      </c>
      <c r="O1445" t="e">
        <f>INDEX('GIS-Standards'!$I$2:$I$305,MATCH(C1445,'GIS-Standards'!$B$2:$B$305,0))</f>
        <v>#N/A</v>
      </c>
      <c r="P1445" t="e">
        <f>AND(TableRelationships12[[#This Row],[Source Type]]="BIM",TableRelationships12[[#This Row],[Target Type]]="BIM")</f>
        <v>#N/A</v>
      </c>
      <c r="Q1445">
        <f t="shared" si="66"/>
        <v>1</v>
      </c>
      <c r="S1445">
        <f t="shared" si="67"/>
        <v>1</v>
      </c>
      <c r="T1445" s="102" t="str">
        <f>IF(TableRelationships12[[#This Row],[Rank Pedro]]="Low","linkCategory1",IF(TableRelationships12[[#This Row],[Rank Pedro]]="Medium","linkCategory2",IF(TableRelationships12[[#This Row],[Rank Pedro]]="High","linkCategory3","")))</f>
        <v/>
      </c>
      <c r="U1445" s="102" t="str">
        <f>IF(TableRelationships12[[#This Row],[Rank Pedro]]="Low","Pink",IF(TableRelationships12[[#This Row],[Rank Pedro]]="Medium","Purple",IF(TableRelationships12[[#This Row],[Rank Pedro]]="High","Brown","")))</f>
        <v/>
      </c>
      <c r="V1445" s="4" t="e">
        <f>MAX(INDEX(Standards!$F$2:$F$296,MATCH(B1445,Standards!$B$2:$B$296,0)),INDEX(Standards!$F$2:$F$296,MATCH(C1445,Standards!$B$2:$B$296,0)))</f>
        <v>#N/A</v>
      </c>
      <c r="W1445" t="str">
        <f t="shared" si="68"/>
        <v>#2f89d1</v>
      </c>
    </row>
    <row r="1446" spans="1:23" x14ac:dyDescent="0.5">
      <c r="A1446" s="54">
        <v>1445</v>
      </c>
      <c r="B1446" s="90" t="s">
        <v>639</v>
      </c>
      <c r="C1446" t="s">
        <v>1576</v>
      </c>
      <c r="D1446" s="1"/>
      <c r="G1446" s="107"/>
      <c r="H1446">
        <f>INDEX('GIS-Standards'!$A$2:$A$305,MATCH(B1446,'GIS-Standards'!$B$2:$B$305,0))</f>
        <v>64</v>
      </c>
      <c r="I1446" t="e">
        <f>INDEX('GIS-Standards'!$A$2:$A$305,MATCH(C1446,'GIS-Standards'!$B$2:$B$305,0))</f>
        <v>#N/A</v>
      </c>
      <c r="J1446" t="str">
        <f>INDEX('GIS-Standards'!$O$2:$O$305,MATCH(B1446,'GIS-Standards'!$B$2:$B$305,0))</f>
        <v>ISO/TC 211</v>
      </c>
      <c r="K1446" t="e">
        <f>INDEX('GIS-Standards'!$O$2:$O$305,MATCH(C1446,'GIS-Standards'!$B$2:$B$305,0))</f>
        <v>#N/A</v>
      </c>
      <c r="M1446" t="s">
        <v>525</v>
      </c>
      <c r="N1446">
        <f>INDEX('GIS-Standards'!$I$2:$I$305,MATCH(B1446,'GIS-Standards'!$B$2:$B$305,0))</f>
        <v>0</v>
      </c>
      <c r="O1446" t="e">
        <f>INDEX('GIS-Standards'!$I$2:$I$305,MATCH(C1446,'GIS-Standards'!$B$2:$B$305,0))</f>
        <v>#N/A</v>
      </c>
      <c r="P1446" t="e">
        <f>AND(TableRelationships12[[#This Row],[Source Type]]="BIM",TableRelationships12[[#This Row],[Target Type]]="BIM")</f>
        <v>#N/A</v>
      </c>
      <c r="Q1446">
        <f t="shared" si="66"/>
        <v>1</v>
      </c>
      <c r="S1446">
        <f t="shared" si="67"/>
        <v>1</v>
      </c>
      <c r="T1446" s="102" t="str">
        <f>IF(TableRelationships12[[#This Row],[Rank Pedro]]="Low","linkCategory1",IF(TableRelationships12[[#This Row],[Rank Pedro]]="Medium","linkCategory2",IF(TableRelationships12[[#This Row],[Rank Pedro]]="High","linkCategory3","")))</f>
        <v/>
      </c>
      <c r="U1446" s="102" t="str">
        <f>IF(TableRelationships12[[#This Row],[Rank Pedro]]="Low","Pink",IF(TableRelationships12[[#This Row],[Rank Pedro]]="Medium","Purple",IF(TableRelationships12[[#This Row],[Rank Pedro]]="High","Brown","")))</f>
        <v/>
      </c>
      <c r="V1446" s="4" t="e">
        <f>MAX(INDEX(Standards!$F$2:$F$296,MATCH(B1446,Standards!$B$2:$B$296,0)),INDEX(Standards!$F$2:$F$296,MATCH(C1446,Standards!$B$2:$B$296,0)))</f>
        <v>#N/A</v>
      </c>
      <c r="W1446" t="str">
        <f t="shared" si="68"/>
        <v>#2f89d1</v>
      </c>
    </row>
    <row r="1447" spans="1:23" x14ac:dyDescent="0.5">
      <c r="A1447" s="54">
        <v>1446</v>
      </c>
      <c r="B1447" s="90" t="s">
        <v>639</v>
      </c>
      <c r="C1447" t="s">
        <v>1575</v>
      </c>
      <c r="D1447" s="1"/>
      <c r="G1447" s="107"/>
      <c r="H1447">
        <f>INDEX('GIS-Standards'!$A$2:$A$305,MATCH(B1447,'GIS-Standards'!$B$2:$B$305,0))</f>
        <v>64</v>
      </c>
      <c r="I1447" t="e">
        <f>INDEX('GIS-Standards'!$A$2:$A$305,MATCH(C1447,'GIS-Standards'!$B$2:$B$305,0))</f>
        <v>#N/A</v>
      </c>
      <c r="J1447" t="str">
        <f>INDEX('GIS-Standards'!$O$2:$O$305,MATCH(B1447,'GIS-Standards'!$B$2:$B$305,0))</f>
        <v>ISO/TC 211</v>
      </c>
      <c r="K1447" t="e">
        <f>INDEX('GIS-Standards'!$O$2:$O$305,MATCH(C1447,'GIS-Standards'!$B$2:$B$305,0))</f>
        <v>#N/A</v>
      </c>
      <c r="M1447" t="s">
        <v>525</v>
      </c>
      <c r="N1447">
        <f>INDEX('GIS-Standards'!$I$2:$I$305,MATCH(B1447,'GIS-Standards'!$B$2:$B$305,0))</f>
        <v>0</v>
      </c>
      <c r="O1447" t="e">
        <f>INDEX('GIS-Standards'!$I$2:$I$305,MATCH(C1447,'GIS-Standards'!$B$2:$B$305,0))</f>
        <v>#N/A</v>
      </c>
      <c r="P1447" t="e">
        <f>AND(TableRelationships12[[#This Row],[Source Type]]="BIM",TableRelationships12[[#This Row],[Target Type]]="BIM")</f>
        <v>#N/A</v>
      </c>
      <c r="Q1447">
        <f t="shared" si="66"/>
        <v>1</v>
      </c>
      <c r="S1447">
        <f t="shared" si="67"/>
        <v>1</v>
      </c>
      <c r="T1447" s="102" t="str">
        <f>IF(TableRelationships12[[#This Row],[Rank Pedro]]="Low","linkCategory1",IF(TableRelationships12[[#This Row],[Rank Pedro]]="Medium","linkCategory2",IF(TableRelationships12[[#This Row],[Rank Pedro]]="High","linkCategory3","")))</f>
        <v/>
      </c>
      <c r="U1447" s="102" t="str">
        <f>IF(TableRelationships12[[#This Row],[Rank Pedro]]="Low","Pink",IF(TableRelationships12[[#This Row],[Rank Pedro]]="Medium","Purple",IF(TableRelationships12[[#This Row],[Rank Pedro]]="High","Brown","")))</f>
        <v/>
      </c>
      <c r="V1447" s="4" t="e">
        <f>MAX(INDEX(Standards!$F$2:$F$296,MATCH(B1447,Standards!$B$2:$B$296,0)),INDEX(Standards!$F$2:$F$296,MATCH(C1447,Standards!$B$2:$B$296,0)))</f>
        <v>#N/A</v>
      </c>
      <c r="W1447" t="str">
        <f t="shared" si="68"/>
        <v>#2f89d1</v>
      </c>
    </row>
    <row r="1448" spans="1:23" x14ac:dyDescent="0.5">
      <c r="A1448" s="54">
        <v>1447</v>
      </c>
      <c r="B1448" s="90" t="s">
        <v>1053</v>
      </c>
      <c r="C1448" t="s">
        <v>527</v>
      </c>
      <c r="D1448" s="1"/>
      <c r="E1448" s="112" t="s">
        <v>927</v>
      </c>
      <c r="F1448" s="112" t="s">
        <v>973</v>
      </c>
      <c r="G1448" s="121" t="s">
        <v>670</v>
      </c>
      <c r="H1448">
        <f>INDEX('GIS-Standards'!$A$2:$A$305,MATCH(B1448,'GIS-Standards'!$B$2:$B$305,0))</f>
        <v>65</v>
      </c>
      <c r="I1448" t="e">
        <f>INDEX('GIS-Standards'!$A$2:$A$305,MATCH(C1448,'GIS-Standards'!$B$2:$B$305,0))</f>
        <v>#N/A</v>
      </c>
      <c r="J1448" t="str">
        <f>INDEX('GIS-Standards'!$O$2:$O$305,MATCH(B1448,'GIS-Standards'!$B$2:$B$305,0))</f>
        <v>ISO/TC 211</v>
      </c>
      <c r="K1448" t="e">
        <f>INDEX('GIS-Standards'!$O$2:$O$305,MATCH(C1448,'GIS-Standards'!$B$2:$B$305,0))</f>
        <v>#N/A</v>
      </c>
      <c r="M1448" t="s">
        <v>237</v>
      </c>
      <c r="N1448">
        <f>INDEX('GIS-Standards'!$I$2:$I$305,MATCH(B1448,'GIS-Standards'!$B$2:$B$305,0))</f>
        <v>0</v>
      </c>
      <c r="O1448" t="e">
        <f>INDEX('GIS-Standards'!$I$2:$I$305,MATCH(C1448,'GIS-Standards'!$B$2:$B$305,0))</f>
        <v>#N/A</v>
      </c>
      <c r="P1448" t="e">
        <f>AND(TableRelationships12[[#This Row],[Source Type]]="BIM",TableRelationships12[[#This Row],[Target Type]]="BIM")</f>
        <v>#N/A</v>
      </c>
      <c r="Q1448">
        <f t="shared" si="66"/>
        <v>2</v>
      </c>
      <c r="S1448">
        <f t="shared" si="67"/>
        <v>1</v>
      </c>
      <c r="T1448" s="102" t="str">
        <f>IF(TableRelationships12[[#This Row],[Rank Pedro]]="Low","linkCategory1",IF(TableRelationships12[[#This Row],[Rank Pedro]]="Medium","linkCategory2",IF(TableRelationships12[[#This Row],[Rank Pedro]]="High","linkCategory3","")))</f>
        <v/>
      </c>
      <c r="U1448" s="102" t="str">
        <f>IF(TableRelationships12[[#This Row],[Rank Pedro]]="Low","Pink",IF(TableRelationships12[[#This Row],[Rank Pedro]]="Medium","Purple",IF(TableRelationships12[[#This Row],[Rank Pedro]]="High","Brown","")))</f>
        <v/>
      </c>
      <c r="V1448" s="4" t="e">
        <f>MAX(INDEX(Standards!$F$2:$F$296,MATCH(B1448,Standards!$B$2:$B$296,0)),INDEX(Standards!$F$2:$F$296,MATCH(C1448,Standards!$B$2:$B$296,0)))</f>
        <v>#N/A</v>
      </c>
      <c r="W1448">
        <f t="shared" si="68"/>
        <v>1</v>
      </c>
    </row>
    <row r="1449" spans="1:23" x14ac:dyDescent="0.5">
      <c r="A1449" s="54">
        <v>1448</v>
      </c>
      <c r="B1449" s="90" t="s">
        <v>1053</v>
      </c>
      <c r="C1449" t="s">
        <v>296</v>
      </c>
      <c r="D1449" s="1"/>
      <c r="E1449" s="112">
        <v>2005.07</v>
      </c>
      <c r="F1449" s="112">
        <v>2024.09</v>
      </c>
      <c r="G1449" s="107" t="s">
        <v>670</v>
      </c>
      <c r="H1449">
        <f>INDEX('GIS-Standards'!$A$2:$A$305,MATCH(B1449,'GIS-Standards'!$B$2:$B$305,0))</f>
        <v>65</v>
      </c>
      <c r="I1449">
        <f>INDEX('GIS-Standards'!$A$2:$A$305,MATCH(C1449,'GIS-Standards'!$B$2:$B$305,0))</f>
        <v>12</v>
      </c>
      <c r="J1449" t="str">
        <f>INDEX('GIS-Standards'!$O$2:$O$305,MATCH(B1449,'GIS-Standards'!$B$2:$B$305,0))</f>
        <v>ISO/TC 211</v>
      </c>
      <c r="K1449" t="str">
        <f>INDEX('GIS-Standards'!$O$2:$O$305,MATCH(C1449,'GIS-Standards'!$B$2:$B$305,0))</f>
        <v>ISO/TC 211</v>
      </c>
      <c r="M1449" t="s">
        <v>524</v>
      </c>
      <c r="N1449">
        <f>INDEX('GIS-Standards'!$I$2:$I$305,MATCH(B1449,'GIS-Standards'!$B$2:$B$305,0))</f>
        <v>0</v>
      </c>
      <c r="O1449">
        <f>INDEX('GIS-Standards'!$I$2:$I$305,MATCH(C1449,'GIS-Standards'!$B$2:$B$305,0))</f>
        <v>0</v>
      </c>
      <c r="P1449" t="b">
        <f>AND(TableRelationships12[[#This Row],[Source Type]]="BIM",TableRelationships12[[#This Row],[Target Type]]="BIM")</f>
        <v>0</v>
      </c>
      <c r="Q1449">
        <f t="shared" si="66"/>
        <v>6</v>
      </c>
      <c r="S1449">
        <f t="shared" si="67"/>
        <v>1</v>
      </c>
      <c r="T1449" s="102" t="str">
        <f>IF(TableRelationships12[[#This Row],[Rank Pedro]]="Low","linkCategory1",IF(TableRelationships12[[#This Row],[Rank Pedro]]="Medium","linkCategory2",IF(TableRelationships12[[#This Row],[Rank Pedro]]="High","linkCategory3","")))</f>
        <v/>
      </c>
      <c r="U1449" s="102" t="str">
        <f>IF(TableRelationships12[[#This Row],[Rank Pedro]]="Low","Pink",IF(TableRelationships12[[#This Row],[Rank Pedro]]="Medium","Purple",IF(TableRelationships12[[#This Row],[Rank Pedro]]="High","Brown","")))</f>
        <v/>
      </c>
      <c r="V1449" s="4" t="e">
        <f>MAX(INDEX(Standards!$F$2:$F$296,MATCH(B1449,Standards!$B$2:$B$296,0)),INDEX(Standards!$F$2:$F$296,MATCH(C1449,Standards!$B$2:$B$296,0)))</f>
        <v>#N/A</v>
      </c>
      <c r="W1449" t="str">
        <f t="shared" si="68"/>
        <v>#d6bf2a</v>
      </c>
    </row>
    <row r="1450" spans="1:23" x14ac:dyDescent="0.5">
      <c r="A1450" s="54">
        <v>1449</v>
      </c>
      <c r="B1450" s="90" t="s">
        <v>1053</v>
      </c>
      <c r="C1450" t="s">
        <v>302</v>
      </c>
      <c r="D1450" s="1"/>
      <c r="E1450" s="112">
        <v>2003.05</v>
      </c>
      <c r="F1450" s="112">
        <v>2019.12</v>
      </c>
      <c r="G1450" s="107" t="s">
        <v>670</v>
      </c>
      <c r="H1450">
        <f>INDEX('GIS-Standards'!$A$2:$A$305,MATCH(B1450,'GIS-Standards'!$B$2:$B$305,0))</f>
        <v>65</v>
      </c>
      <c r="I1450">
        <f>INDEX('GIS-Standards'!$A$2:$A$305,MATCH(C1450,'GIS-Standards'!$B$2:$B$305,0))</f>
        <v>16</v>
      </c>
      <c r="J1450" t="str">
        <f>INDEX('GIS-Standards'!$O$2:$O$305,MATCH(B1450,'GIS-Standards'!$B$2:$B$305,0))</f>
        <v>ISO/TC 211</v>
      </c>
      <c r="K1450" t="str">
        <f>INDEX('GIS-Standards'!$O$2:$O$305,MATCH(C1450,'GIS-Standards'!$B$2:$B$305,0))</f>
        <v>ISO/TC 211</v>
      </c>
      <c r="M1450" t="s">
        <v>524</v>
      </c>
      <c r="N1450">
        <f>INDEX('GIS-Standards'!$I$2:$I$305,MATCH(B1450,'GIS-Standards'!$B$2:$B$305,0))</f>
        <v>0</v>
      </c>
      <c r="O1450">
        <f>INDEX('GIS-Standards'!$I$2:$I$305,MATCH(C1450,'GIS-Standards'!$B$2:$B$305,0))</f>
        <v>0</v>
      </c>
      <c r="P1450" t="b">
        <f>AND(TableRelationships12[[#This Row],[Source Type]]="BIM",TableRelationships12[[#This Row],[Target Type]]="BIM")</f>
        <v>0</v>
      </c>
      <c r="Q1450">
        <f t="shared" si="66"/>
        <v>6</v>
      </c>
      <c r="S1450">
        <f t="shared" si="67"/>
        <v>1</v>
      </c>
      <c r="T1450" s="102" t="str">
        <f>IF(TableRelationships12[[#This Row],[Rank Pedro]]="Low","linkCategory1",IF(TableRelationships12[[#This Row],[Rank Pedro]]="Medium","linkCategory2",IF(TableRelationships12[[#This Row],[Rank Pedro]]="High","linkCategory3","")))</f>
        <v/>
      </c>
      <c r="U1450" s="102" t="str">
        <f>IF(TableRelationships12[[#This Row],[Rank Pedro]]="Low","Pink",IF(TableRelationships12[[#This Row],[Rank Pedro]]="Medium","Purple",IF(TableRelationships12[[#This Row],[Rank Pedro]]="High","Brown","")))</f>
        <v/>
      </c>
      <c r="V1450" s="4" t="e">
        <f>MAX(INDEX(Standards!$F$2:$F$296,MATCH(B1450,Standards!$B$2:$B$296,0)),INDEX(Standards!$F$2:$F$296,MATCH(C1450,Standards!$B$2:$B$296,0)))</f>
        <v>#N/A</v>
      </c>
      <c r="W1450" t="str">
        <f t="shared" si="68"/>
        <v>#d6bf2a</v>
      </c>
    </row>
    <row r="1451" spans="1:23" x14ac:dyDescent="0.5">
      <c r="A1451" s="54">
        <v>1450</v>
      </c>
      <c r="B1451" s="90" t="s">
        <v>1053</v>
      </c>
      <c r="C1451" t="s">
        <v>304</v>
      </c>
      <c r="D1451" s="1"/>
      <c r="E1451" s="112">
        <v>2002.09</v>
      </c>
      <c r="F1451" s="112">
        <v>2006.1</v>
      </c>
      <c r="G1451" s="107" t="s">
        <v>670</v>
      </c>
      <c r="H1451">
        <f>INDEX('GIS-Standards'!$A$2:$A$305,MATCH(B1451,'GIS-Standards'!$B$2:$B$305,0))</f>
        <v>65</v>
      </c>
      <c r="I1451">
        <f>INDEX('GIS-Standards'!$A$2:$A$305,MATCH(C1451,'GIS-Standards'!$B$2:$B$305,0))</f>
        <v>17</v>
      </c>
      <c r="J1451" t="str">
        <f>INDEX('GIS-Standards'!$O$2:$O$305,MATCH(B1451,'GIS-Standards'!$B$2:$B$305,0))</f>
        <v>ISO/TC 211</v>
      </c>
      <c r="K1451" t="str">
        <f>INDEX('GIS-Standards'!$O$2:$O$305,MATCH(C1451,'GIS-Standards'!$B$2:$B$305,0))</f>
        <v>ISO/TC 211</v>
      </c>
      <c r="M1451" t="s">
        <v>524</v>
      </c>
      <c r="N1451">
        <f>INDEX('GIS-Standards'!$I$2:$I$305,MATCH(B1451,'GIS-Standards'!$B$2:$B$305,0))</f>
        <v>0</v>
      </c>
      <c r="O1451" t="str">
        <f>INDEX('GIS-Standards'!$I$2:$I$305,MATCH(C1451,'GIS-Standards'!$B$2:$B$305,0))</f>
        <v>06.2008</v>
      </c>
      <c r="P1451" t="b">
        <f>AND(TableRelationships12[[#This Row],[Source Type]]="BIM",TableRelationships12[[#This Row],[Target Type]]="BIM")</f>
        <v>0</v>
      </c>
      <c r="Q1451">
        <f t="shared" si="66"/>
        <v>6</v>
      </c>
      <c r="S1451">
        <f t="shared" si="67"/>
        <v>1</v>
      </c>
      <c r="T1451" s="102" t="str">
        <f>IF(TableRelationships12[[#This Row],[Rank Pedro]]="Low","linkCategory1",IF(TableRelationships12[[#This Row],[Rank Pedro]]="Medium","linkCategory2",IF(TableRelationships12[[#This Row],[Rank Pedro]]="High","linkCategory3","")))</f>
        <v/>
      </c>
      <c r="U1451" s="102" t="str">
        <f>IF(TableRelationships12[[#This Row],[Rank Pedro]]="Low","Pink",IF(TableRelationships12[[#This Row],[Rank Pedro]]="Medium","Purple",IF(TableRelationships12[[#This Row],[Rank Pedro]]="High","Brown","")))</f>
        <v/>
      </c>
      <c r="V1451" s="4" t="e">
        <f>MAX(INDEX(Standards!$F$2:$F$296,MATCH(B1451,Standards!$B$2:$B$296,0)),INDEX(Standards!$F$2:$F$296,MATCH(C1451,Standards!$B$2:$B$296,0)))</f>
        <v>#N/A</v>
      </c>
      <c r="W1451" t="str">
        <f t="shared" si="68"/>
        <v>#d6bf2a</v>
      </c>
    </row>
    <row r="1452" spans="1:23" x14ac:dyDescent="0.5">
      <c r="A1452" s="54">
        <v>1451</v>
      </c>
      <c r="B1452" s="90" t="s">
        <v>1053</v>
      </c>
      <c r="C1452" t="s">
        <v>293</v>
      </c>
      <c r="D1452" s="1"/>
      <c r="E1452" s="112">
        <v>2002.07</v>
      </c>
      <c r="F1452" s="112">
        <v>2014.11</v>
      </c>
      <c r="G1452" s="107" t="s">
        <v>670</v>
      </c>
      <c r="H1452">
        <f>INDEX('GIS-Standards'!$A$2:$A$305,MATCH(B1452,'GIS-Standards'!$B$2:$B$305,0))</f>
        <v>65</v>
      </c>
      <c r="I1452">
        <f>INDEX('GIS-Standards'!$A$2:$A$305,MATCH(C1452,'GIS-Standards'!$B$2:$B$305,0))</f>
        <v>10</v>
      </c>
      <c r="J1452" t="str">
        <f>INDEX('GIS-Standards'!$O$2:$O$305,MATCH(B1452,'GIS-Standards'!$B$2:$B$305,0))</f>
        <v>ISO/TC 211</v>
      </c>
      <c r="K1452" t="str">
        <f>INDEX('GIS-Standards'!$O$2:$O$305,MATCH(C1452,'GIS-Standards'!$B$2:$B$305,0))</f>
        <v>ISO/TC 211</v>
      </c>
      <c r="M1452" t="s">
        <v>525</v>
      </c>
      <c r="N1452">
        <f>INDEX('GIS-Standards'!$I$2:$I$305,MATCH(B1452,'GIS-Standards'!$B$2:$B$305,0))</f>
        <v>0</v>
      </c>
      <c r="O1452">
        <f>INDEX('GIS-Standards'!$I$2:$I$305,MATCH(C1452,'GIS-Standards'!$B$2:$B$305,0))</f>
        <v>0</v>
      </c>
      <c r="P1452" t="b">
        <f>AND(TableRelationships12[[#This Row],[Source Type]]="BIM",TableRelationships12[[#This Row],[Target Type]]="BIM")</f>
        <v>0</v>
      </c>
      <c r="Q1452">
        <f t="shared" si="66"/>
        <v>1</v>
      </c>
      <c r="S1452">
        <f t="shared" si="67"/>
        <v>1</v>
      </c>
      <c r="T1452" s="102" t="str">
        <f>IF(TableRelationships12[[#This Row],[Rank Pedro]]="Low","linkCategory1",IF(TableRelationships12[[#This Row],[Rank Pedro]]="Medium","linkCategory2",IF(TableRelationships12[[#This Row],[Rank Pedro]]="High","linkCategory3","")))</f>
        <v/>
      </c>
      <c r="U1452" s="102" t="str">
        <f>IF(TableRelationships12[[#This Row],[Rank Pedro]]="Low","Pink",IF(TableRelationships12[[#This Row],[Rank Pedro]]="Medium","Purple",IF(TableRelationships12[[#This Row],[Rank Pedro]]="High","Brown","")))</f>
        <v/>
      </c>
      <c r="V1452" s="4" t="e">
        <f>MAX(INDEX(Standards!$F$2:$F$296,MATCH(B1452,Standards!$B$2:$B$296,0)),INDEX(Standards!$F$2:$F$296,MATCH(C1452,Standards!$B$2:$B$296,0)))</f>
        <v>#N/A</v>
      </c>
      <c r="W1452" t="str">
        <f t="shared" si="68"/>
        <v>#2f89d1</v>
      </c>
    </row>
    <row r="1453" spans="1:23" x14ac:dyDescent="0.5">
      <c r="A1453" s="54">
        <v>1452</v>
      </c>
      <c r="B1453" s="90" t="s">
        <v>1053</v>
      </c>
      <c r="C1453" t="s">
        <v>306</v>
      </c>
      <c r="D1453" s="1"/>
      <c r="E1453" s="112">
        <v>2005.06</v>
      </c>
      <c r="F1453" s="112">
        <v>2025.07</v>
      </c>
      <c r="G1453" s="107" t="s">
        <v>670</v>
      </c>
      <c r="H1453">
        <f>INDEX('GIS-Standards'!$A$2:$A$305,MATCH(B1453,'GIS-Standards'!$B$2:$B$305,0))</f>
        <v>65</v>
      </c>
      <c r="I1453">
        <f>INDEX('GIS-Standards'!$A$2:$A$305,MATCH(C1453,'GIS-Standards'!$B$2:$B$305,0))</f>
        <v>18</v>
      </c>
      <c r="J1453" t="str">
        <f>INDEX('GIS-Standards'!$O$2:$O$305,MATCH(B1453,'GIS-Standards'!$B$2:$B$305,0))</f>
        <v>ISO/TC 211</v>
      </c>
      <c r="K1453" t="str">
        <f>INDEX('GIS-Standards'!$O$2:$O$305,MATCH(C1453,'GIS-Standards'!$B$2:$B$305,0))</f>
        <v>ISO/TC 211</v>
      </c>
      <c r="M1453" t="s">
        <v>525</v>
      </c>
      <c r="N1453">
        <f>INDEX('GIS-Standards'!$I$2:$I$305,MATCH(B1453,'GIS-Standards'!$B$2:$B$305,0))</f>
        <v>0</v>
      </c>
      <c r="O1453">
        <f>INDEX('GIS-Standards'!$I$2:$I$305,MATCH(C1453,'GIS-Standards'!$B$2:$B$305,0))</f>
        <v>0</v>
      </c>
      <c r="P1453" t="b">
        <f>AND(TableRelationships12[[#This Row],[Source Type]]="BIM",TableRelationships12[[#This Row],[Target Type]]="BIM")</f>
        <v>0</v>
      </c>
      <c r="Q1453">
        <f t="shared" si="66"/>
        <v>1</v>
      </c>
      <c r="S1453">
        <f t="shared" si="67"/>
        <v>1</v>
      </c>
      <c r="T1453" s="102" t="str">
        <f>IF(TableRelationships12[[#This Row],[Rank Pedro]]="Low","linkCategory1",IF(TableRelationships12[[#This Row],[Rank Pedro]]="Medium","linkCategory2",IF(TableRelationships12[[#This Row],[Rank Pedro]]="High","linkCategory3","")))</f>
        <v/>
      </c>
      <c r="U1453" s="102" t="str">
        <f>IF(TableRelationships12[[#This Row],[Rank Pedro]]="Low","Pink",IF(TableRelationships12[[#This Row],[Rank Pedro]]="Medium","Purple",IF(TableRelationships12[[#This Row],[Rank Pedro]]="High","Brown","")))</f>
        <v/>
      </c>
      <c r="V1453" s="4" t="e">
        <f>MAX(INDEX(Standards!$F$2:$F$296,MATCH(B1453,Standards!$B$2:$B$296,0)),INDEX(Standards!$F$2:$F$296,MATCH(C1453,Standards!$B$2:$B$296,0)))</f>
        <v>#N/A</v>
      </c>
      <c r="W1453" t="str">
        <f t="shared" si="68"/>
        <v>#2f89d1</v>
      </c>
    </row>
    <row r="1454" spans="1:23" x14ac:dyDescent="0.5">
      <c r="A1454" s="54">
        <v>1453</v>
      </c>
      <c r="B1454" s="90" t="s">
        <v>1053</v>
      </c>
      <c r="C1454" t="s">
        <v>314</v>
      </c>
      <c r="D1454" s="1"/>
      <c r="E1454" s="112">
        <v>2003.05</v>
      </c>
      <c r="F1454" s="112">
        <v>2020.11</v>
      </c>
      <c r="G1454" s="107" t="s">
        <v>670</v>
      </c>
      <c r="H1454">
        <f>INDEX('GIS-Standards'!$A$2:$A$305,MATCH(B1454,'GIS-Standards'!$B$2:$B$305,0))</f>
        <v>65</v>
      </c>
      <c r="I1454">
        <f>INDEX('GIS-Standards'!$A$2:$A$305,MATCH(C1454,'GIS-Standards'!$B$2:$B$305,0))</f>
        <v>22</v>
      </c>
      <c r="J1454" t="str">
        <f>INDEX('GIS-Standards'!$O$2:$O$305,MATCH(B1454,'GIS-Standards'!$B$2:$B$305,0))</f>
        <v>ISO/TC 211</v>
      </c>
      <c r="K1454" t="str">
        <f>INDEX('GIS-Standards'!$O$2:$O$305,MATCH(C1454,'GIS-Standards'!$B$2:$B$305,0))</f>
        <v>ISO/TC 211</v>
      </c>
      <c r="M1454" t="s">
        <v>525</v>
      </c>
      <c r="N1454">
        <f>INDEX('GIS-Standards'!$I$2:$I$305,MATCH(B1454,'GIS-Standards'!$B$2:$B$305,0))</f>
        <v>0</v>
      </c>
      <c r="O1454" t="str">
        <f>INDEX('GIS-Standards'!$I$2:$I$305,MATCH(C1454,'GIS-Standards'!$B$2:$B$305,0))</f>
        <v>12.2020</v>
      </c>
      <c r="P1454" t="b">
        <f>AND(TableRelationships12[[#This Row],[Source Type]]="BIM",TableRelationships12[[#This Row],[Target Type]]="BIM")</f>
        <v>0</v>
      </c>
      <c r="Q1454">
        <f t="shared" si="66"/>
        <v>1</v>
      </c>
      <c r="S1454">
        <f t="shared" si="67"/>
        <v>1</v>
      </c>
      <c r="T1454" s="102" t="str">
        <f>IF(TableRelationships12[[#This Row],[Rank Pedro]]="Low","linkCategory1",IF(TableRelationships12[[#This Row],[Rank Pedro]]="Medium","linkCategory2",IF(TableRelationships12[[#This Row],[Rank Pedro]]="High","linkCategory3","")))</f>
        <v/>
      </c>
      <c r="U1454" s="102" t="str">
        <f>IF(TableRelationships12[[#This Row],[Rank Pedro]]="Low","Pink",IF(TableRelationships12[[#This Row],[Rank Pedro]]="Medium","Purple",IF(TableRelationships12[[#This Row],[Rank Pedro]]="High","Brown","")))</f>
        <v/>
      </c>
      <c r="V1454" s="4" t="e">
        <f>MAX(INDEX(Standards!$F$2:$F$296,MATCH(B1454,Standards!$B$2:$B$296,0)),INDEX(Standards!$F$2:$F$296,MATCH(C1454,Standards!$B$2:$B$296,0)))</f>
        <v>#N/A</v>
      </c>
      <c r="W1454" t="str">
        <f t="shared" si="68"/>
        <v>#2f89d1</v>
      </c>
    </row>
    <row r="1455" spans="1:23" x14ac:dyDescent="0.5">
      <c r="A1455" s="54">
        <v>1454</v>
      </c>
      <c r="B1455" s="90" t="s">
        <v>1053</v>
      </c>
      <c r="C1455" t="s">
        <v>320</v>
      </c>
      <c r="D1455" s="1"/>
      <c r="E1455" s="112">
        <v>2005.08</v>
      </c>
      <c r="F1455" s="112">
        <v>2023.06</v>
      </c>
      <c r="G1455" s="107" t="s">
        <v>670</v>
      </c>
      <c r="H1455">
        <f>INDEX('GIS-Standards'!$A$2:$A$305,MATCH(B1455,'GIS-Standards'!$B$2:$B$305,0))</f>
        <v>65</v>
      </c>
      <c r="I1455">
        <f>INDEX('GIS-Standards'!$A$2:$A$305,MATCH(C1455,'GIS-Standards'!$B$2:$B$305,0))</f>
        <v>29</v>
      </c>
      <c r="J1455" t="str">
        <f>INDEX('GIS-Standards'!$O$2:$O$305,MATCH(B1455,'GIS-Standards'!$B$2:$B$305,0))</f>
        <v>ISO/TC 211</v>
      </c>
      <c r="K1455" t="str">
        <f>INDEX('GIS-Standards'!$O$2:$O$305,MATCH(C1455,'GIS-Standards'!$B$2:$B$305,0))</f>
        <v>ISO/TC 211</v>
      </c>
      <c r="M1455" t="s">
        <v>525</v>
      </c>
      <c r="N1455">
        <f>INDEX('GIS-Standards'!$I$2:$I$305,MATCH(B1455,'GIS-Standards'!$B$2:$B$305,0))</f>
        <v>0</v>
      </c>
      <c r="O1455">
        <f>INDEX('GIS-Standards'!$I$2:$I$305,MATCH(C1455,'GIS-Standards'!$B$2:$B$305,0))</f>
        <v>0</v>
      </c>
      <c r="P1455" t="b">
        <f>AND(TableRelationships12[[#This Row],[Source Type]]="BIM",TableRelationships12[[#This Row],[Target Type]]="BIM")</f>
        <v>0</v>
      </c>
      <c r="Q1455">
        <f t="shared" si="66"/>
        <v>1</v>
      </c>
      <c r="S1455">
        <f t="shared" si="67"/>
        <v>1</v>
      </c>
      <c r="T1455" s="102" t="str">
        <f>IF(TableRelationships12[[#This Row],[Rank Pedro]]="Low","linkCategory1",IF(TableRelationships12[[#This Row],[Rank Pedro]]="Medium","linkCategory2",IF(TableRelationships12[[#This Row],[Rank Pedro]]="High","linkCategory3","")))</f>
        <v/>
      </c>
      <c r="U1455" s="102" t="str">
        <f>IF(TableRelationships12[[#This Row],[Rank Pedro]]="Low","Pink",IF(TableRelationships12[[#This Row],[Rank Pedro]]="Medium","Purple",IF(TableRelationships12[[#This Row],[Rank Pedro]]="High","Brown","")))</f>
        <v/>
      </c>
      <c r="V1455" s="4" t="e">
        <f>MAX(INDEX(Standards!$F$2:$F$296,MATCH(B1455,Standards!$B$2:$B$296,0)),INDEX(Standards!$F$2:$F$296,MATCH(C1455,Standards!$B$2:$B$296,0)))</f>
        <v>#N/A</v>
      </c>
      <c r="W1455" t="str">
        <f t="shared" si="68"/>
        <v>#2f89d1</v>
      </c>
    </row>
    <row r="1456" spans="1:23" x14ac:dyDescent="0.5">
      <c r="A1456" s="54">
        <v>1455</v>
      </c>
      <c r="B1456" s="90" t="s">
        <v>1053</v>
      </c>
      <c r="C1456" t="s">
        <v>632</v>
      </c>
      <c r="D1456" s="1"/>
      <c r="E1456" s="112">
        <v>2018.1</v>
      </c>
      <c r="F1456" s="112">
        <v>2018.1</v>
      </c>
      <c r="G1456" s="107" t="s">
        <v>670</v>
      </c>
      <c r="H1456">
        <f>INDEX('GIS-Standards'!$A$2:$A$305,MATCH(B1456,'GIS-Standards'!$B$2:$B$305,0))</f>
        <v>65</v>
      </c>
      <c r="I1456">
        <f>INDEX('GIS-Standards'!$A$2:$A$305,MATCH(C1456,'GIS-Standards'!$B$2:$B$305,0))</f>
        <v>30</v>
      </c>
      <c r="J1456" t="str">
        <f>INDEX('GIS-Standards'!$O$2:$O$305,MATCH(B1456,'GIS-Standards'!$B$2:$B$305,0))</f>
        <v>ISO/TC 211</v>
      </c>
      <c r="K1456" t="str">
        <f>INDEX('GIS-Standards'!$O$2:$O$305,MATCH(C1456,'GIS-Standards'!$B$2:$B$305,0))</f>
        <v>ISO/TC 211</v>
      </c>
      <c r="M1456" t="s">
        <v>525</v>
      </c>
      <c r="N1456">
        <f>INDEX('GIS-Standards'!$I$2:$I$305,MATCH(B1456,'GIS-Standards'!$B$2:$B$305,0))</f>
        <v>0</v>
      </c>
      <c r="O1456">
        <f>INDEX('GIS-Standards'!$I$2:$I$305,MATCH(C1456,'GIS-Standards'!$B$2:$B$305,0))</f>
        <v>0</v>
      </c>
      <c r="P1456" t="b">
        <f>AND(TableRelationships12[[#This Row],[Source Type]]="BIM",TableRelationships12[[#This Row],[Target Type]]="BIM")</f>
        <v>0</v>
      </c>
      <c r="Q1456">
        <f t="shared" si="66"/>
        <v>1</v>
      </c>
      <c r="S1456">
        <f t="shared" si="67"/>
        <v>1</v>
      </c>
      <c r="T1456" s="102" t="str">
        <f>IF(TableRelationships12[[#This Row],[Rank Pedro]]="Low","linkCategory1",IF(TableRelationships12[[#This Row],[Rank Pedro]]="Medium","linkCategory2",IF(TableRelationships12[[#This Row],[Rank Pedro]]="High","linkCategory3","")))</f>
        <v/>
      </c>
      <c r="U1456" s="102" t="str">
        <f>IF(TableRelationships12[[#This Row],[Rank Pedro]]="Low","Pink",IF(TableRelationships12[[#This Row],[Rank Pedro]]="Medium","Purple",IF(TableRelationships12[[#This Row],[Rank Pedro]]="High","Brown","")))</f>
        <v/>
      </c>
      <c r="V1456" s="4" t="e">
        <f>MAX(INDEX(Standards!$F$2:$F$296,MATCH(B1456,Standards!$B$2:$B$296,0)),INDEX(Standards!$F$2:$F$296,MATCH(C1456,Standards!$B$2:$B$296,0)))</f>
        <v>#N/A</v>
      </c>
      <c r="W1456" t="str">
        <f t="shared" si="68"/>
        <v>#2f89d1</v>
      </c>
    </row>
    <row r="1457" spans="1:23" x14ac:dyDescent="0.5">
      <c r="A1457" s="54">
        <v>1456</v>
      </c>
      <c r="B1457" s="90" t="s">
        <v>1053</v>
      </c>
      <c r="C1457" t="s">
        <v>334</v>
      </c>
      <c r="D1457" s="1"/>
      <c r="E1457" s="113">
        <v>2007.09</v>
      </c>
      <c r="F1457" s="113">
        <v>2020.01</v>
      </c>
      <c r="G1457" s="107" t="s">
        <v>670</v>
      </c>
      <c r="H1457">
        <f>INDEX('GIS-Standards'!$A$2:$A$305,MATCH(B1457,'GIS-Standards'!$B$2:$B$305,0))</f>
        <v>65</v>
      </c>
      <c r="I1457">
        <f>INDEX('GIS-Standards'!$A$2:$A$305,MATCH(C1457,'GIS-Standards'!$B$2:$B$305,0))</f>
        <v>42</v>
      </c>
      <c r="J1457" t="str">
        <f>INDEX('GIS-Standards'!$O$2:$O$305,MATCH(B1457,'GIS-Standards'!$B$2:$B$305,0))</f>
        <v>ISO/TC 211</v>
      </c>
      <c r="K1457" t="str">
        <f>INDEX('GIS-Standards'!$O$2:$O$305,MATCH(C1457,'GIS-Standards'!$B$2:$B$305,0))</f>
        <v>ISO/TC 211</v>
      </c>
      <c r="M1457" t="s">
        <v>525</v>
      </c>
      <c r="N1457">
        <f>INDEX('GIS-Standards'!$I$2:$I$305,MATCH(B1457,'GIS-Standards'!$B$2:$B$305,0))</f>
        <v>0</v>
      </c>
      <c r="O1457">
        <f>INDEX('GIS-Standards'!$I$2:$I$305,MATCH(C1457,'GIS-Standards'!$B$2:$B$305,0))</f>
        <v>0</v>
      </c>
      <c r="P1457" t="b">
        <f>AND(TableRelationships12[[#This Row],[Source Type]]="BIM",TableRelationships12[[#This Row],[Target Type]]="BIM")</f>
        <v>0</v>
      </c>
      <c r="Q1457">
        <f t="shared" si="66"/>
        <v>1</v>
      </c>
      <c r="S1457">
        <f t="shared" si="67"/>
        <v>1</v>
      </c>
      <c r="T1457" s="102" t="str">
        <f>IF(TableRelationships12[[#This Row],[Rank Pedro]]="Low","linkCategory1",IF(TableRelationships12[[#This Row],[Rank Pedro]]="Medium","linkCategory2",IF(TableRelationships12[[#This Row],[Rank Pedro]]="High","linkCategory3","")))</f>
        <v/>
      </c>
      <c r="U1457" s="102" t="str">
        <f>IF(TableRelationships12[[#This Row],[Rank Pedro]]="Low","Pink",IF(TableRelationships12[[#This Row],[Rank Pedro]]="Medium","Purple",IF(TableRelationships12[[#This Row],[Rank Pedro]]="High","Brown","")))</f>
        <v/>
      </c>
      <c r="V1457" s="4" t="e">
        <f>MAX(INDEX(Standards!$F$2:$F$296,MATCH(B1457,Standards!$B$2:$B$296,0)),INDEX(Standards!$F$2:$F$296,MATCH(C1457,Standards!$B$2:$B$296,0)))</f>
        <v>#N/A</v>
      </c>
      <c r="W1457" t="str">
        <f t="shared" si="68"/>
        <v>#2f89d1</v>
      </c>
    </row>
    <row r="1458" spans="1:23" x14ac:dyDescent="0.5">
      <c r="A1458" s="54">
        <v>1457</v>
      </c>
      <c r="B1458" s="90" t="s">
        <v>1053</v>
      </c>
      <c r="C1458" t="s">
        <v>348</v>
      </c>
      <c r="D1458" s="1" t="s">
        <v>640</v>
      </c>
      <c r="E1458" s="113">
        <v>2013.12</v>
      </c>
      <c r="F1458" s="113">
        <v>2023.04</v>
      </c>
      <c r="G1458" s="107" t="s">
        <v>670</v>
      </c>
      <c r="H1458">
        <f>INDEX('GIS-Standards'!$A$2:$A$305,MATCH(B1458,'GIS-Standards'!$B$2:$B$305,0))</f>
        <v>65</v>
      </c>
      <c r="I1458">
        <f>INDEX('GIS-Standards'!$A$2:$A$305,MATCH(C1458,'GIS-Standards'!$B$2:$B$305,0))</f>
        <v>66</v>
      </c>
      <c r="J1458" t="str">
        <f>INDEX('GIS-Standards'!$O$2:$O$305,MATCH(B1458,'GIS-Standards'!$B$2:$B$305,0))</f>
        <v>ISO/TC 211</v>
      </c>
      <c r="K1458" t="str">
        <f>INDEX('GIS-Standards'!$O$2:$O$305,MATCH(C1458,'GIS-Standards'!$B$2:$B$305,0))</f>
        <v>ISO/TC 211</v>
      </c>
      <c r="M1458" t="s">
        <v>525</v>
      </c>
      <c r="N1458">
        <f>INDEX('GIS-Standards'!$I$2:$I$305,MATCH(B1458,'GIS-Standards'!$B$2:$B$305,0))</f>
        <v>0</v>
      </c>
      <c r="O1458">
        <f>INDEX('GIS-Standards'!$I$2:$I$305,MATCH(C1458,'GIS-Standards'!$B$2:$B$305,0))</f>
        <v>0</v>
      </c>
      <c r="P1458" t="b">
        <f>AND(TableRelationships12[[#This Row],[Source Type]]="BIM",TableRelationships12[[#This Row],[Target Type]]="BIM")</f>
        <v>0</v>
      </c>
      <c r="Q1458">
        <f t="shared" si="66"/>
        <v>1</v>
      </c>
      <c r="S1458">
        <f t="shared" si="67"/>
        <v>1</v>
      </c>
      <c r="T1458" s="102" t="str">
        <f>IF(TableRelationships12[[#This Row],[Rank Pedro]]="Low","linkCategory1",IF(TableRelationships12[[#This Row],[Rank Pedro]]="Medium","linkCategory2",IF(TableRelationships12[[#This Row],[Rank Pedro]]="High","linkCategory3","")))</f>
        <v/>
      </c>
      <c r="U1458" s="102" t="str">
        <f>IF(TableRelationships12[[#This Row],[Rank Pedro]]="Low","Pink",IF(TableRelationships12[[#This Row],[Rank Pedro]]="Medium","Purple",IF(TableRelationships12[[#This Row],[Rank Pedro]]="High","Brown","")))</f>
        <v/>
      </c>
      <c r="V1458" s="4" t="e">
        <f>MAX(INDEX(Standards!$F$2:$F$296,MATCH(B1458,Standards!$B$2:$B$296,0)),INDEX(Standards!$F$2:$F$296,MATCH(C1458,Standards!$B$2:$B$296,0)))</f>
        <v>#N/A</v>
      </c>
      <c r="W1458" t="str">
        <f t="shared" si="68"/>
        <v>#2f89d1</v>
      </c>
    </row>
    <row r="1459" spans="1:23" x14ac:dyDescent="0.5">
      <c r="A1459" s="54">
        <v>1458</v>
      </c>
      <c r="B1459" s="90" t="s">
        <v>1053</v>
      </c>
      <c r="C1459" t="s">
        <v>348</v>
      </c>
      <c r="D1459" s="1"/>
      <c r="E1459" s="113">
        <v>2013.12</v>
      </c>
      <c r="F1459" s="113">
        <v>2023.04</v>
      </c>
      <c r="G1459" s="107" t="s">
        <v>670</v>
      </c>
      <c r="H1459">
        <f>INDEX('GIS-Standards'!$A$2:$A$305,MATCH(B1459,'GIS-Standards'!$B$2:$B$305,0))</f>
        <v>65</v>
      </c>
      <c r="I1459">
        <f>INDEX('GIS-Standards'!$A$2:$A$305,MATCH(C1459,'GIS-Standards'!$B$2:$B$305,0))</f>
        <v>66</v>
      </c>
      <c r="J1459" t="str">
        <f>INDEX('GIS-Standards'!$O$2:$O$305,MATCH(B1459,'GIS-Standards'!$B$2:$B$305,0))</f>
        <v>ISO/TC 211</v>
      </c>
      <c r="K1459" t="str">
        <f>INDEX('GIS-Standards'!$O$2:$O$305,MATCH(C1459,'GIS-Standards'!$B$2:$B$305,0))</f>
        <v>ISO/TC 211</v>
      </c>
      <c r="M1459" t="s">
        <v>525</v>
      </c>
      <c r="N1459">
        <f>INDEX('GIS-Standards'!$I$2:$I$305,MATCH(B1459,'GIS-Standards'!$B$2:$B$305,0))</f>
        <v>0</v>
      </c>
      <c r="O1459">
        <f>INDEX('GIS-Standards'!$I$2:$I$305,MATCH(C1459,'GIS-Standards'!$B$2:$B$305,0))</f>
        <v>0</v>
      </c>
      <c r="P1459" t="b">
        <f>AND(TableRelationships12[[#This Row],[Source Type]]="BIM",TableRelationships12[[#This Row],[Target Type]]="BIM")</f>
        <v>0</v>
      </c>
      <c r="Q1459">
        <f t="shared" si="66"/>
        <v>1</v>
      </c>
      <c r="S1459">
        <f t="shared" si="67"/>
        <v>1</v>
      </c>
      <c r="T1459" s="102" t="str">
        <f>IF(TableRelationships12[[#This Row],[Rank Pedro]]="Low","linkCategory1",IF(TableRelationships12[[#This Row],[Rank Pedro]]="Medium","linkCategory2",IF(TableRelationships12[[#This Row],[Rank Pedro]]="High","linkCategory3","")))</f>
        <v/>
      </c>
      <c r="U1459" s="102" t="str">
        <f>IF(TableRelationships12[[#This Row],[Rank Pedro]]="Low","Pink",IF(TableRelationships12[[#This Row],[Rank Pedro]]="Medium","Purple",IF(TableRelationships12[[#This Row],[Rank Pedro]]="High","Brown","")))</f>
        <v/>
      </c>
      <c r="V1459" s="4" t="e">
        <f>MAX(INDEX(Standards!$F$2:$F$296,MATCH(B1459,Standards!$B$2:$B$296,0)),INDEX(Standards!$F$2:$F$296,MATCH(C1459,Standards!$B$2:$B$296,0)))</f>
        <v>#N/A</v>
      </c>
      <c r="W1459" t="str">
        <f t="shared" si="68"/>
        <v>#2f89d1</v>
      </c>
    </row>
    <row r="1460" spans="1:23" x14ac:dyDescent="0.5">
      <c r="A1460" s="54">
        <v>1459</v>
      </c>
      <c r="B1460" s="90" t="s">
        <v>1053</v>
      </c>
      <c r="C1460" t="s">
        <v>1178</v>
      </c>
      <c r="D1460" s="1"/>
      <c r="E1460" s="112">
        <v>1998.08</v>
      </c>
      <c r="G1460" s="107"/>
      <c r="H1460">
        <f>INDEX('GIS-Standards'!$A$2:$A$305,MATCH(B1460,'GIS-Standards'!$B$2:$B$305,0))</f>
        <v>65</v>
      </c>
      <c r="I1460" t="e">
        <f>INDEX('GIS-Standards'!$A$2:$A$305,MATCH(C1460,'GIS-Standards'!$B$2:$B$305,0))</f>
        <v>#N/A</v>
      </c>
      <c r="J1460" t="str">
        <f>INDEX('GIS-Standards'!$O$2:$O$305,MATCH(B1460,'GIS-Standards'!$B$2:$B$305,0))</f>
        <v>ISO/TC 211</v>
      </c>
      <c r="K1460" t="e">
        <f>INDEX('GIS-Standards'!$O$2:$O$305,MATCH(C1460,'GIS-Standards'!$B$2:$B$305,0))</f>
        <v>#N/A</v>
      </c>
      <c r="M1460" t="s">
        <v>525</v>
      </c>
      <c r="N1460">
        <f>INDEX('GIS-Standards'!$I$2:$I$305,MATCH(B1460,'GIS-Standards'!$B$2:$B$305,0))</f>
        <v>0</v>
      </c>
      <c r="O1460" t="e">
        <f>INDEX('GIS-Standards'!$I$2:$I$305,MATCH(C1460,'GIS-Standards'!$B$2:$B$305,0))</f>
        <v>#N/A</v>
      </c>
      <c r="P1460" t="e">
        <f>AND(TableRelationships12[[#This Row],[Source Type]]="BIM",TableRelationships12[[#This Row],[Target Type]]="BIM")</f>
        <v>#N/A</v>
      </c>
      <c r="Q1460">
        <f t="shared" si="66"/>
        <v>1</v>
      </c>
      <c r="S1460">
        <f t="shared" si="67"/>
        <v>1</v>
      </c>
      <c r="T1460" s="102" t="str">
        <f>IF(TableRelationships12[[#This Row],[Rank Pedro]]="Low","linkCategory1",IF(TableRelationships12[[#This Row],[Rank Pedro]]="Medium","linkCategory2",IF(TableRelationships12[[#This Row],[Rank Pedro]]="High","linkCategory3","")))</f>
        <v/>
      </c>
      <c r="U1460" s="102" t="str">
        <f>IF(TableRelationships12[[#This Row],[Rank Pedro]]="Low","Pink",IF(TableRelationships12[[#This Row],[Rank Pedro]]="Medium","Purple",IF(TableRelationships12[[#This Row],[Rank Pedro]]="High","Brown","")))</f>
        <v/>
      </c>
      <c r="V1460" s="4" t="e">
        <f>MAX(INDEX(Standards!$F$2:$F$296,MATCH(B1460,Standards!$B$2:$B$296,0)),INDEX(Standards!$F$2:$F$296,MATCH(C1460,Standards!$B$2:$B$296,0)))</f>
        <v>#N/A</v>
      </c>
      <c r="W1460" t="str">
        <f t="shared" si="68"/>
        <v>#2f89d1</v>
      </c>
    </row>
    <row r="1461" spans="1:23" x14ac:dyDescent="0.5">
      <c r="A1461" s="54">
        <v>1460</v>
      </c>
      <c r="B1461" s="90" t="s">
        <v>1053</v>
      </c>
      <c r="C1461" t="s">
        <v>1209</v>
      </c>
      <c r="D1461" s="1"/>
      <c r="G1461" s="107"/>
      <c r="H1461">
        <f>INDEX('GIS-Standards'!$A$2:$A$305,MATCH(B1461,'GIS-Standards'!$B$2:$B$305,0))</f>
        <v>65</v>
      </c>
      <c r="I1461" t="e">
        <f>INDEX('GIS-Standards'!$A$2:$A$305,MATCH(C1461,'GIS-Standards'!$B$2:$B$305,0))</f>
        <v>#N/A</v>
      </c>
      <c r="J1461" t="str">
        <f>INDEX('GIS-Standards'!$O$2:$O$305,MATCH(B1461,'GIS-Standards'!$B$2:$B$305,0))</f>
        <v>ISO/TC 211</v>
      </c>
      <c r="K1461" t="e">
        <f>INDEX('GIS-Standards'!$O$2:$O$305,MATCH(C1461,'GIS-Standards'!$B$2:$B$305,0))</f>
        <v>#N/A</v>
      </c>
      <c r="M1461" t="s">
        <v>525</v>
      </c>
      <c r="N1461">
        <f>INDEX('GIS-Standards'!$I$2:$I$305,MATCH(B1461,'GIS-Standards'!$B$2:$B$305,0))</f>
        <v>0</v>
      </c>
      <c r="O1461" t="e">
        <f>INDEX('GIS-Standards'!$I$2:$I$305,MATCH(C1461,'GIS-Standards'!$B$2:$B$305,0))</f>
        <v>#N/A</v>
      </c>
      <c r="P1461" t="e">
        <f>AND(TableRelationships12[[#This Row],[Source Type]]="BIM",TableRelationships12[[#This Row],[Target Type]]="BIM")</f>
        <v>#N/A</v>
      </c>
      <c r="Q1461">
        <f t="shared" si="66"/>
        <v>1</v>
      </c>
      <c r="S1461">
        <f t="shared" si="67"/>
        <v>1</v>
      </c>
      <c r="T1461" s="102" t="str">
        <f>IF(TableRelationships12[[#This Row],[Rank Pedro]]="Low","linkCategory1",IF(TableRelationships12[[#This Row],[Rank Pedro]]="Medium","linkCategory2",IF(TableRelationships12[[#This Row],[Rank Pedro]]="High","linkCategory3","")))</f>
        <v/>
      </c>
      <c r="U1461" s="102" t="str">
        <f>IF(TableRelationships12[[#This Row],[Rank Pedro]]="Low","Pink",IF(TableRelationships12[[#This Row],[Rank Pedro]]="Medium","Purple",IF(TableRelationships12[[#This Row],[Rank Pedro]]="High","Brown","")))</f>
        <v/>
      </c>
      <c r="V1461" s="4" t="e">
        <f>MAX(INDEX(Standards!$F$2:$F$296,MATCH(B1461,Standards!$B$2:$B$296,0)),INDEX(Standards!$F$2:$F$296,MATCH(C1461,Standards!$B$2:$B$296,0)))</f>
        <v>#N/A</v>
      </c>
      <c r="W1461" t="str">
        <f t="shared" si="68"/>
        <v>#2f89d1</v>
      </c>
    </row>
    <row r="1462" spans="1:23" x14ac:dyDescent="0.5">
      <c r="A1462" s="54">
        <v>1461</v>
      </c>
      <c r="B1462" s="90" t="s">
        <v>1053</v>
      </c>
      <c r="C1462" t="s">
        <v>1210</v>
      </c>
      <c r="D1462" s="1"/>
      <c r="G1462" s="107"/>
      <c r="H1462">
        <f>INDEX('GIS-Standards'!$A$2:$A$305,MATCH(B1462,'GIS-Standards'!$B$2:$B$305,0))</f>
        <v>65</v>
      </c>
      <c r="I1462" t="e">
        <f>INDEX('GIS-Standards'!$A$2:$A$305,MATCH(C1462,'GIS-Standards'!$B$2:$B$305,0))</f>
        <v>#N/A</v>
      </c>
      <c r="J1462" t="str">
        <f>INDEX('GIS-Standards'!$O$2:$O$305,MATCH(B1462,'GIS-Standards'!$B$2:$B$305,0))</f>
        <v>ISO/TC 211</v>
      </c>
      <c r="K1462" t="e">
        <f>INDEX('GIS-Standards'!$O$2:$O$305,MATCH(C1462,'GIS-Standards'!$B$2:$B$305,0))</f>
        <v>#N/A</v>
      </c>
      <c r="M1462" t="s">
        <v>525</v>
      </c>
      <c r="N1462">
        <f>INDEX('GIS-Standards'!$I$2:$I$305,MATCH(B1462,'GIS-Standards'!$B$2:$B$305,0))</f>
        <v>0</v>
      </c>
      <c r="O1462" t="e">
        <f>INDEX('GIS-Standards'!$I$2:$I$305,MATCH(C1462,'GIS-Standards'!$B$2:$B$305,0))</f>
        <v>#N/A</v>
      </c>
      <c r="P1462" t="e">
        <f>AND(TableRelationships12[[#This Row],[Source Type]]="BIM",TableRelationships12[[#This Row],[Target Type]]="BIM")</f>
        <v>#N/A</v>
      </c>
      <c r="Q1462">
        <f t="shared" si="66"/>
        <v>1</v>
      </c>
      <c r="S1462">
        <f t="shared" si="67"/>
        <v>1</v>
      </c>
      <c r="T1462" s="102" t="str">
        <f>IF(TableRelationships12[[#This Row],[Rank Pedro]]="Low","linkCategory1",IF(TableRelationships12[[#This Row],[Rank Pedro]]="Medium","linkCategory2",IF(TableRelationships12[[#This Row],[Rank Pedro]]="High","linkCategory3","")))</f>
        <v/>
      </c>
      <c r="U1462" s="102" t="str">
        <f>IF(TableRelationships12[[#This Row],[Rank Pedro]]="Low","Pink",IF(TableRelationships12[[#This Row],[Rank Pedro]]="Medium","Purple",IF(TableRelationships12[[#This Row],[Rank Pedro]]="High","Brown","")))</f>
        <v/>
      </c>
      <c r="V1462" s="4" t="e">
        <f>MAX(INDEX(Standards!$F$2:$F$296,MATCH(B1462,Standards!$B$2:$B$296,0)),INDEX(Standards!$F$2:$F$296,MATCH(C1462,Standards!$B$2:$B$296,0)))</f>
        <v>#N/A</v>
      </c>
      <c r="W1462" t="str">
        <f t="shared" si="68"/>
        <v>#2f89d1</v>
      </c>
    </row>
    <row r="1463" spans="1:23" x14ac:dyDescent="0.5">
      <c r="A1463" s="54">
        <v>1462</v>
      </c>
      <c r="B1463" s="90" t="s">
        <v>1053</v>
      </c>
      <c r="C1463" t="s">
        <v>1211</v>
      </c>
      <c r="D1463" s="1"/>
      <c r="G1463" s="107"/>
      <c r="H1463">
        <f>INDEX('GIS-Standards'!$A$2:$A$305,MATCH(B1463,'GIS-Standards'!$B$2:$B$305,0))</f>
        <v>65</v>
      </c>
      <c r="I1463" t="e">
        <f>INDEX('GIS-Standards'!$A$2:$A$305,MATCH(C1463,'GIS-Standards'!$B$2:$B$305,0))</f>
        <v>#N/A</v>
      </c>
      <c r="J1463" t="str">
        <f>INDEX('GIS-Standards'!$O$2:$O$305,MATCH(B1463,'GIS-Standards'!$B$2:$B$305,0))</f>
        <v>ISO/TC 211</v>
      </c>
      <c r="K1463" t="e">
        <f>INDEX('GIS-Standards'!$O$2:$O$305,MATCH(C1463,'GIS-Standards'!$B$2:$B$305,0))</f>
        <v>#N/A</v>
      </c>
      <c r="M1463" t="s">
        <v>525</v>
      </c>
      <c r="N1463">
        <f>INDEX('GIS-Standards'!$I$2:$I$305,MATCH(B1463,'GIS-Standards'!$B$2:$B$305,0))</f>
        <v>0</v>
      </c>
      <c r="O1463" t="e">
        <f>INDEX('GIS-Standards'!$I$2:$I$305,MATCH(C1463,'GIS-Standards'!$B$2:$B$305,0))</f>
        <v>#N/A</v>
      </c>
      <c r="P1463" t="e">
        <f>AND(TableRelationships12[[#This Row],[Source Type]]="BIM",TableRelationships12[[#This Row],[Target Type]]="BIM")</f>
        <v>#N/A</v>
      </c>
      <c r="Q1463">
        <f t="shared" si="66"/>
        <v>1</v>
      </c>
      <c r="S1463">
        <f t="shared" si="67"/>
        <v>1</v>
      </c>
      <c r="T1463" s="102" t="str">
        <f>IF(TableRelationships12[[#This Row],[Rank Pedro]]="Low","linkCategory1",IF(TableRelationships12[[#This Row],[Rank Pedro]]="Medium","linkCategory2",IF(TableRelationships12[[#This Row],[Rank Pedro]]="High","linkCategory3","")))</f>
        <v/>
      </c>
      <c r="U1463" s="102" t="str">
        <f>IF(TableRelationships12[[#This Row],[Rank Pedro]]="Low","Pink",IF(TableRelationships12[[#This Row],[Rank Pedro]]="Medium","Purple",IF(TableRelationships12[[#This Row],[Rank Pedro]]="High","Brown","")))</f>
        <v/>
      </c>
      <c r="V1463" s="4" t="e">
        <f>MAX(INDEX(Standards!$F$2:$F$296,MATCH(B1463,Standards!$B$2:$B$296,0)),INDEX(Standards!$F$2:$F$296,MATCH(C1463,Standards!$B$2:$B$296,0)))</f>
        <v>#N/A</v>
      </c>
      <c r="W1463" t="str">
        <f t="shared" si="68"/>
        <v>#2f89d1</v>
      </c>
    </row>
    <row r="1464" spans="1:23" x14ac:dyDescent="0.5">
      <c r="A1464" s="54">
        <v>1463</v>
      </c>
      <c r="B1464" s="90" t="s">
        <v>1053</v>
      </c>
      <c r="C1464" t="s">
        <v>1533</v>
      </c>
      <c r="D1464" s="1"/>
      <c r="G1464" s="107"/>
      <c r="H1464">
        <f>INDEX('GIS-Standards'!$A$2:$A$305,MATCH(B1464,'GIS-Standards'!$B$2:$B$305,0))</f>
        <v>65</v>
      </c>
      <c r="I1464" t="e">
        <f>INDEX('GIS-Standards'!$A$2:$A$305,MATCH(C1464,'GIS-Standards'!$B$2:$B$305,0))</f>
        <v>#N/A</v>
      </c>
      <c r="J1464" t="str">
        <f>INDEX('GIS-Standards'!$O$2:$O$305,MATCH(B1464,'GIS-Standards'!$B$2:$B$305,0))</f>
        <v>ISO/TC 211</v>
      </c>
      <c r="K1464" t="e">
        <f>INDEX('GIS-Standards'!$O$2:$O$305,MATCH(C1464,'GIS-Standards'!$B$2:$B$305,0))</f>
        <v>#N/A</v>
      </c>
      <c r="M1464" t="s">
        <v>525</v>
      </c>
      <c r="N1464">
        <f>INDEX('GIS-Standards'!$I$2:$I$305,MATCH(B1464,'GIS-Standards'!$B$2:$B$305,0))</f>
        <v>0</v>
      </c>
      <c r="O1464" t="e">
        <f>INDEX('GIS-Standards'!$I$2:$I$305,MATCH(C1464,'GIS-Standards'!$B$2:$B$305,0))</f>
        <v>#N/A</v>
      </c>
      <c r="P1464" t="e">
        <f>AND(TableRelationships12[[#This Row],[Source Type]]="BIM",TableRelationships12[[#This Row],[Target Type]]="BIM")</f>
        <v>#N/A</v>
      </c>
      <c r="Q1464">
        <f t="shared" si="66"/>
        <v>1</v>
      </c>
      <c r="S1464">
        <f t="shared" si="67"/>
        <v>1</v>
      </c>
      <c r="T1464" s="102" t="str">
        <f>IF(TableRelationships12[[#This Row],[Rank Pedro]]="Low","linkCategory1",IF(TableRelationships12[[#This Row],[Rank Pedro]]="Medium","linkCategory2",IF(TableRelationships12[[#This Row],[Rank Pedro]]="High","linkCategory3","")))</f>
        <v/>
      </c>
      <c r="U1464" s="102" t="str">
        <f>IF(TableRelationships12[[#This Row],[Rank Pedro]]="Low","Pink",IF(TableRelationships12[[#This Row],[Rank Pedro]]="Medium","Purple",IF(TableRelationships12[[#This Row],[Rank Pedro]]="High","Brown","")))</f>
        <v/>
      </c>
      <c r="V1464" s="4" t="e">
        <f>MAX(INDEX(Standards!$F$2:$F$296,MATCH(B1464,Standards!$B$2:$B$296,0)),INDEX(Standards!$F$2:$F$296,MATCH(C1464,Standards!$B$2:$B$296,0)))</f>
        <v>#N/A</v>
      </c>
      <c r="W1464" t="str">
        <f t="shared" si="68"/>
        <v>#2f89d1</v>
      </c>
    </row>
    <row r="1465" spans="1:23" x14ac:dyDescent="0.5">
      <c r="A1465" s="54">
        <v>1464</v>
      </c>
      <c r="B1465" s="90" t="s">
        <v>1053</v>
      </c>
      <c r="C1465" t="s">
        <v>1212</v>
      </c>
      <c r="D1465" s="1"/>
      <c r="G1465" s="107"/>
      <c r="H1465">
        <f>INDEX('GIS-Standards'!$A$2:$A$305,MATCH(B1465,'GIS-Standards'!$B$2:$B$305,0))</f>
        <v>65</v>
      </c>
      <c r="I1465" t="e">
        <f>INDEX('GIS-Standards'!$A$2:$A$305,MATCH(C1465,'GIS-Standards'!$B$2:$B$305,0))</f>
        <v>#N/A</v>
      </c>
      <c r="J1465" t="str">
        <f>INDEX('GIS-Standards'!$O$2:$O$305,MATCH(B1465,'GIS-Standards'!$B$2:$B$305,0))</f>
        <v>ISO/TC 211</v>
      </c>
      <c r="K1465" t="e">
        <f>INDEX('GIS-Standards'!$O$2:$O$305,MATCH(C1465,'GIS-Standards'!$B$2:$B$305,0))</f>
        <v>#N/A</v>
      </c>
      <c r="M1465" t="s">
        <v>525</v>
      </c>
      <c r="N1465">
        <f>INDEX('GIS-Standards'!$I$2:$I$305,MATCH(B1465,'GIS-Standards'!$B$2:$B$305,0))</f>
        <v>0</v>
      </c>
      <c r="O1465" t="e">
        <f>INDEX('GIS-Standards'!$I$2:$I$305,MATCH(C1465,'GIS-Standards'!$B$2:$B$305,0))</f>
        <v>#N/A</v>
      </c>
      <c r="P1465" t="e">
        <f>AND(TableRelationships12[[#This Row],[Source Type]]="BIM",TableRelationships12[[#This Row],[Target Type]]="BIM")</f>
        <v>#N/A</v>
      </c>
      <c r="Q1465">
        <f t="shared" si="66"/>
        <v>1</v>
      </c>
      <c r="S1465">
        <f t="shared" si="67"/>
        <v>1</v>
      </c>
      <c r="T1465" s="102" t="str">
        <f>IF(TableRelationships12[[#This Row],[Rank Pedro]]="Low","linkCategory1",IF(TableRelationships12[[#This Row],[Rank Pedro]]="Medium","linkCategory2",IF(TableRelationships12[[#This Row],[Rank Pedro]]="High","linkCategory3","")))</f>
        <v/>
      </c>
      <c r="U1465" s="102" t="str">
        <f>IF(TableRelationships12[[#This Row],[Rank Pedro]]="Low","Pink",IF(TableRelationships12[[#This Row],[Rank Pedro]]="Medium","Purple",IF(TableRelationships12[[#This Row],[Rank Pedro]]="High","Brown","")))</f>
        <v/>
      </c>
      <c r="V1465" s="4" t="e">
        <f>MAX(INDEX(Standards!$F$2:$F$296,MATCH(B1465,Standards!$B$2:$B$296,0)),INDEX(Standards!$F$2:$F$296,MATCH(C1465,Standards!$B$2:$B$296,0)))</f>
        <v>#N/A</v>
      </c>
      <c r="W1465" t="str">
        <f t="shared" si="68"/>
        <v>#2f89d1</v>
      </c>
    </row>
    <row r="1466" spans="1:23" x14ac:dyDescent="0.5">
      <c r="A1466" s="54">
        <v>1465</v>
      </c>
      <c r="B1466" s="90" t="s">
        <v>1053</v>
      </c>
      <c r="C1466" t="s">
        <v>1087</v>
      </c>
      <c r="D1466" s="1"/>
      <c r="G1466" s="107"/>
      <c r="H1466">
        <f>INDEX('GIS-Standards'!$A$2:$A$305,MATCH(B1466,'GIS-Standards'!$B$2:$B$305,0))</f>
        <v>65</v>
      </c>
      <c r="I1466" t="e">
        <f>INDEX('GIS-Standards'!$A$2:$A$305,MATCH(C1466,'GIS-Standards'!$B$2:$B$305,0))</f>
        <v>#N/A</v>
      </c>
      <c r="J1466" t="str">
        <f>INDEX('GIS-Standards'!$O$2:$O$305,MATCH(B1466,'GIS-Standards'!$B$2:$B$305,0))</f>
        <v>ISO/TC 211</v>
      </c>
      <c r="K1466" t="e">
        <f>INDEX('GIS-Standards'!$O$2:$O$305,MATCH(C1466,'GIS-Standards'!$B$2:$B$305,0))</f>
        <v>#N/A</v>
      </c>
      <c r="M1466" t="s">
        <v>525</v>
      </c>
      <c r="N1466">
        <f>INDEX('GIS-Standards'!$I$2:$I$305,MATCH(B1466,'GIS-Standards'!$B$2:$B$305,0))</f>
        <v>0</v>
      </c>
      <c r="O1466" t="e">
        <f>INDEX('GIS-Standards'!$I$2:$I$305,MATCH(C1466,'GIS-Standards'!$B$2:$B$305,0))</f>
        <v>#N/A</v>
      </c>
      <c r="P1466" t="e">
        <f>AND(TableRelationships12[[#This Row],[Source Type]]="BIM",TableRelationships12[[#This Row],[Target Type]]="BIM")</f>
        <v>#N/A</v>
      </c>
      <c r="Q1466">
        <f t="shared" si="66"/>
        <v>1</v>
      </c>
      <c r="S1466">
        <f t="shared" si="67"/>
        <v>1</v>
      </c>
      <c r="T1466" s="102" t="str">
        <f>IF(TableRelationships12[[#This Row],[Rank Pedro]]="Low","linkCategory1",IF(TableRelationships12[[#This Row],[Rank Pedro]]="Medium","linkCategory2",IF(TableRelationships12[[#This Row],[Rank Pedro]]="High","linkCategory3","")))</f>
        <v/>
      </c>
      <c r="U1466" s="102" t="str">
        <f>IF(TableRelationships12[[#This Row],[Rank Pedro]]="Low","Pink",IF(TableRelationships12[[#This Row],[Rank Pedro]]="Medium","Purple",IF(TableRelationships12[[#This Row],[Rank Pedro]]="High","Brown","")))</f>
        <v/>
      </c>
      <c r="V1466" s="4" t="e">
        <f>MAX(INDEX(Standards!$F$2:$F$296,MATCH(B1466,Standards!$B$2:$B$296,0)),INDEX(Standards!$F$2:$F$296,MATCH(C1466,Standards!$B$2:$B$296,0)))</f>
        <v>#N/A</v>
      </c>
      <c r="W1466" t="str">
        <f t="shared" si="68"/>
        <v>#2f89d1</v>
      </c>
    </row>
    <row r="1467" spans="1:23" x14ac:dyDescent="0.5">
      <c r="A1467" s="54">
        <v>1466</v>
      </c>
      <c r="B1467" s="90" t="s">
        <v>1053</v>
      </c>
      <c r="C1467" t="s">
        <v>1213</v>
      </c>
      <c r="D1467" s="1"/>
      <c r="G1467" s="107"/>
      <c r="H1467">
        <f>INDEX('GIS-Standards'!$A$2:$A$305,MATCH(B1467,'GIS-Standards'!$B$2:$B$305,0))</f>
        <v>65</v>
      </c>
      <c r="I1467" t="e">
        <f>INDEX('GIS-Standards'!$A$2:$A$305,MATCH(C1467,'GIS-Standards'!$B$2:$B$305,0))</f>
        <v>#N/A</v>
      </c>
      <c r="J1467" t="str">
        <f>INDEX('GIS-Standards'!$O$2:$O$305,MATCH(B1467,'GIS-Standards'!$B$2:$B$305,0))</f>
        <v>ISO/TC 211</v>
      </c>
      <c r="K1467" t="e">
        <f>INDEX('GIS-Standards'!$O$2:$O$305,MATCH(C1467,'GIS-Standards'!$B$2:$B$305,0))</f>
        <v>#N/A</v>
      </c>
      <c r="M1467" t="s">
        <v>525</v>
      </c>
      <c r="N1467">
        <f>INDEX('GIS-Standards'!$I$2:$I$305,MATCH(B1467,'GIS-Standards'!$B$2:$B$305,0))</f>
        <v>0</v>
      </c>
      <c r="O1467" t="e">
        <f>INDEX('GIS-Standards'!$I$2:$I$305,MATCH(C1467,'GIS-Standards'!$B$2:$B$305,0))</f>
        <v>#N/A</v>
      </c>
      <c r="P1467" t="e">
        <f>AND(TableRelationships12[[#This Row],[Source Type]]="BIM",TableRelationships12[[#This Row],[Target Type]]="BIM")</f>
        <v>#N/A</v>
      </c>
      <c r="Q1467">
        <f t="shared" si="66"/>
        <v>1</v>
      </c>
      <c r="S1467">
        <f t="shared" si="67"/>
        <v>1</v>
      </c>
      <c r="T1467" s="102" t="str">
        <f>IF(TableRelationships12[[#This Row],[Rank Pedro]]="Low","linkCategory1",IF(TableRelationships12[[#This Row],[Rank Pedro]]="Medium","linkCategory2",IF(TableRelationships12[[#This Row],[Rank Pedro]]="High","linkCategory3","")))</f>
        <v/>
      </c>
      <c r="U1467" s="102" t="str">
        <f>IF(TableRelationships12[[#This Row],[Rank Pedro]]="Low","Pink",IF(TableRelationships12[[#This Row],[Rank Pedro]]="Medium","Purple",IF(TableRelationships12[[#This Row],[Rank Pedro]]="High","Brown","")))</f>
        <v/>
      </c>
      <c r="V1467" s="4" t="e">
        <f>MAX(INDEX(Standards!$F$2:$F$296,MATCH(B1467,Standards!$B$2:$B$296,0)),INDEX(Standards!$F$2:$F$296,MATCH(C1467,Standards!$B$2:$B$296,0)))</f>
        <v>#N/A</v>
      </c>
      <c r="W1467" t="str">
        <f t="shared" si="68"/>
        <v>#2f89d1</v>
      </c>
    </row>
    <row r="1468" spans="1:23" x14ac:dyDescent="0.5">
      <c r="A1468" s="54">
        <v>1467</v>
      </c>
      <c r="B1468" s="90" t="s">
        <v>1053</v>
      </c>
      <c r="C1468" t="s">
        <v>1043</v>
      </c>
      <c r="D1468" s="1"/>
      <c r="E1468" s="112">
        <v>2004.07</v>
      </c>
      <c r="F1468" s="112">
        <v>2025.04</v>
      </c>
      <c r="G1468" s="107" t="s">
        <v>670</v>
      </c>
      <c r="H1468">
        <f>INDEX('GIS-Standards'!$A$2:$A$305,MATCH(B1468,'GIS-Standards'!$B$2:$B$305,0))</f>
        <v>65</v>
      </c>
      <c r="I1468">
        <f>INDEX('GIS-Standards'!$A$2:$A$305,MATCH(C1468,'GIS-Standards'!$B$2:$B$305,0))</f>
        <v>25</v>
      </c>
      <c r="J1468" t="str">
        <f>INDEX('GIS-Standards'!$O$2:$O$305,MATCH(B1468,'GIS-Standards'!$B$2:$B$305,0))</f>
        <v>ISO/TC 211</v>
      </c>
      <c r="K1468" t="str">
        <f>INDEX('GIS-Standards'!$O$2:$O$305,MATCH(C1468,'GIS-Standards'!$B$2:$B$305,0))</f>
        <v>ISO/TC 211</v>
      </c>
      <c r="M1468" t="s">
        <v>525</v>
      </c>
      <c r="N1468">
        <f>INDEX('GIS-Standards'!$I$2:$I$305,MATCH(B1468,'GIS-Standards'!$B$2:$B$305,0))</f>
        <v>0</v>
      </c>
      <c r="O1468">
        <f>INDEX('GIS-Standards'!$I$2:$I$305,MATCH(C1468,'GIS-Standards'!$B$2:$B$305,0))</f>
        <v>0</v>
      </c>
      <c r="P1468" t="b">
        <f>AND(TableRelationships12[[#This Row],[Source Type]]="BIM",TableRelationships12[[#This Row],[Target Type]]="BIM")</f>
        <v>0</v>
      </c>
      <c r="Q1468">
        <f t="shared" si="66"/>
        <v>1</v>
      </c>
      <c r="S1468">
        <f t="shared" si="67"/>
        <v>1</v>
      </c>
      <c r="T1468" s="102" t="str">
        <f>IF(TableRelationships12[[#This Row],[Rank Pedro]]="Low","linkCategory1",IF(TableRelationships12[[#This Row],[Rank Pedro]]="Medium","linkCategory2",IF(TableRelationships12[[#This Row],[Rank Pedro]]="High","linkCategory3","")))</f>
        <v/>
      </c>
      <c r="U1468" s="102" t="str">
        <f>IF(TableRelationships12[[#This Row],[Rank Pedro]]="Low","Pink",IF(TableRelationships12[[#This Row],[Rank Pedro]]="Medium","Purple",IF(TableRelationships12[[#This Row],[Rank Pedro]]="High","Brown","")))</f>
        <v/>
      </c>
      <c r="V1468" s="4" t="e">
        <f>MAX(INDEX(Standards!$F$2:$F$296,MATCH(B1468,Standards!$B$2:$B$296,0)),INDEX(Standards!$F$2:$F$296,MATCH(C1468,Standards!$B$2:$B$296,0)))</f>
        <v>#N/A</v>
      </c>
      <c r="W1468" t="str">
        <f t="shared" si="68"/>
        <v>#2f89d1</v>
      </c>
    </row>
    <row r="1469" spans="1:23" x14ac:dyDescent="0.5">
      <c r="A1469" s="54">
        <v>1468</v>
      </c>
      <c r="B1469" s="90" t="s">
        <v>1053</v>
      </c>
      <c r="C1469" t="s">
        <v>1079</v>
      </c>
      <c r="D1469" s="1"/>
      <c r="E1469" s="112">
        <v>2005.04</v>
      </c>
      <c r="F1469" s="112">
        <v>2005.04</v>
      </c>
      <c r="G1469" s="107" t="s">
        <v>1502</v>
      </c>
      <c r="H1469">
        <f>INDEX('GIS-Standards'!$A$2:$A$305,MATCH(B1469,'GIS-Standards'!$B$2:$B$305,0))</f>
        <v>65</v>
      </c>
      <c r="I1469" t="e">
        <f>INDEX('GIS-Standards'!$A$2:$A$305,MATCH(C1469,'GIS-Standards'!$B$2:$B$305,0))</f>
        <v>#N/A</v>
      </c>
      <c r="J1469" t="str">
        <f>INDEX('GIS-Standards'!$O$2:$O$305,MATCH(B1469,'GIS-Standards'!$B$2:$B$305,0))</f>
        <v>ISO/TC 211</v>
      </c>
      <c r="K1469" t="e">
        <f>INDEX('GIS-Standards'!$O$2:$O$305,MATCH(C1469,'GIS-Standards'!$B$2:$B$305,0))</f>
        <v>#N/A</v>
      </c>
      <c r="M1469" t="s">
        <v>525</v>
      </c>
      <c r="N1469">
        <f>INDEX('GIS-Standards'!$I$2:$I$305,MATCH(B1469,'GIS-Standards'!$B$2:$B$305,0))</f>
        <v>0</v>
      </c>
      <c r="O1469" t="e">
        <f>INDEX('GIS-Standards'!$I$2:$I$305,MATCH(C1469,'GIS-Standards'!$B$2:$B$305,0))</f>
        <v>#N/A</v>
      </c>
      <c r="P1469" t="e">
        <f>AND(TableRelationships12[[#This Row],[Source Type]]="BIM",TableRelationships12[[#This Row],[Target Type]]="BIM")</f>
        <v>#N/A</v>
      </c>
      <c r="Q1469">
        <f t="shared" si="66"/>
        <v>1</v>
      </c>
      <c r="S1469">
        <f t="shared" si="67"/>
        <v>1</v>
      </c>
      <c r="T1469" s="102" t="str">
        <f>IF(TableRelationships12[[#This Row],[Rank Pedro]]="Low","linkCategory1",IF(TableRelationships12[[#This Row],[Rank Pedro]]="Medium","linkCategory2",IF(TableRelationships12[[#This Row],[Rank Pedro]]="High","linkCategory3","")))</f>
        <v/>
      </c>
      <c r="U1469" s="102" t="str">
        <f>IF(TableRelationships12[[#This Row],[Rank Pedro]]="Low","Pink",IF(TableRelationships12[[#This Row],[Rank Pedro]]="Medium","Purple",IF(TableRelationships12[[#This Row],[Rank Pedro]]="High","Brown","")))</f>
        <v/>
      </c>
      <c r="V1469" s="4" t="e">
        <f>MAX(INDEX(Standards!$F$2:$F$296,MATCH(B1469,Standards!$B$2:$B$296,0)),INDEX(Standards!$F$2:$F$296,MATCH(C1469,Standards!$B$2:$B$296,0)))</f>
        <v>#N/A</v>
      </c>
      <c r="W1469" t="str">
        <f t="shared" si="68"/>
        <v>#2f89d1</v>
      </c>
    </row>
    <row r="1470" spans="1:23" x14ac:dyDescent="0.5">
      <c r="A1470" s="54">
        <v>1469</v>
      </c>
      <c r="B1470" s="90" t="s">
        <v>1053</v>
      </c>
      <c r="C1470" t="s">
        <v>342</v>
      </c>
      <c r="D1470" s="1"/>
      <c r="E1470" s="112">
        <v>2010.1</v>
      </c>
      <c r="F1470" s="112">
        <v>2010.1</v>
      </c>
      <c r="G1470" s="107" t="s">
        <v>670</v>
      </c>
      <c r="H1470">
        <f>INDEX('GIS-Standards'!$A$2:$A$305,MATCH(B1470,'GIS-Standards'!$B$2:$B$305,0))</f>
        <v>65</v>
      </c>
      <c r="I1470">
        <f>INDEX('GIS-Standards'!$A$2:$A$305,MATCH(C1470,'GIS-Standards'!$B$2:$B$305,0))</f>
        <v>47</v>
      </c>
      <c r="J1470" t="str">
        <f>INDEX('GIS-Standards'!$O$2:$O$305,MATCH(B1470,'GIS-Standards'!$B$2:$B$305,0))</f>
        <v>ISO/TC 211</v>
      </c>
      <c r="K1470" t="str">
        <f>INDEX('GIS-Standards'!$O$2:$O$305,MATCH(C1470,'GIS-Standards'!$B$2:$B$305,0))</f>
        <v>ISO/TC 211</v>
      </c>
      <c r="M1470" t="s">
        <v>525</v>
      </c>
      <c r="N1470">
        <f>INDEX('GIS-Standards'!$I$2:$I$305,MATCH(B1470,'GIS-Standards'!$B$2:$B$305,0))</f>
        <v>0</v>
      </c>
      <c r="O1470">
        <f>INDEX('GIS-Standards'!$I$2:$I$305,MATCH(C1470,'GIS-Standards'!$B$2:$B$305,0))</f>
        <v>0</v>
      </c>
      <c r="P1470" t="b">
        <f>AND(TableRelationships12[[#This Row],[Source Type]]="BIM",TableRelationships12[[#This Row],[Target Type]]="BIM")</f>
        <v>0</v>
      </c>
      <c r="Q1470">
        <f t="shared" si="66"/>
        <v>1</v>
      </c>
      <c r="S1470">
        <f t="shared" si="67"/>
        <v>1</v>
      </c>
      <c r="T1470" s="102" t="str">
        <f>IF(TableRelationships12[[#This Row],[Rank Pedro]]="Low","linkCategory1",IF(TableRelationships12[[#This Row],[Rank Pedro]]="Medium","linkCategory2",IF(TableRelationships12[[#This Row],[Rank Pedro]]="High","linkCategory3","")))</f>
        <v/>
      </c>
      <c r="U1470" s="102" t="str">
        <f>IF(TableRelationships12[[#This Row],[Rank Pedro]]="Low","Pink",IF(TableRelationships12[[#This Row],[Rank Pedro]]="Medium","Purple",IF(TableRelationships12[[#This Row],[Rank Pedro]]="High","Brown","")))</f>
        <v/>
      </c>
      <c r="V1470" s="4" t="e">
        <f>MAX(INDEX(Standards!$F$2:$F$296,MATCH(B1470,Standards!$B$2:$B$296,0)),INDEX(Standards!$F$2:$F$296,MATCH(C1470,Standards!$B$2:$B$296,0)))</f>
        <v>#N/A</v>
      </c>
      <c r="W1470" t="str">
        <f t="shared" si="68"/>
        <v>#2f89d1</v>
      </c>
    </row>
    <row r="1471" spans="1:23" x14ac:dyDescent="0.5">
      <c r="A1471" s="54">
        <v>1470</v>
      </c>
      <c r="B1471" s="90" t="s">
        <v>1053</v>
      </c>
      <c r="C1471" t="s">
        <v>1171</v>
      </c>
      <c r="D1471" s="1"/>
      <c r="E1471" s="112">
        <v>1986.06</v>
      </c>
      <c r="F1471" s="112">
        <v>2015.09</v>
      </c>
      <c r="G1471" s="107" t="s">
        <v>1491</v>
      </c>
      <c r="H1471">
        <f>INDEX('GIS-Standards'!$A$2:$A$305,MATCH(B1471,'GIS-Standards'!$B$2:$B$305,0))</f>
        <v>65</v>
      </c>
      <c r="I1471" t="e">
        <f>INDEX('GIS-Standards'!$A$2:$A$305,MATCH(C1471,'GIS-Standards'!$B$2:$B$305,0))</f>
        <v>#N/A</v>
      </c>
      <c r="J1471" t="str">
        <f>INDEX('GIS-Standards'!$O$2:$O$305,MATCH(B1471,'GIS-Standards'!$B$2:$B$305,0))</f>
        <v>ISO/TC 211</v>
      </c>
      <c r="K1471" t="e">
        <f>INDEX('GIS-Standards'!$O$2:$O$305,MATCH(C1471,'GIS-Standards'!$B$2:$B$305,0))</f>
        <v>#N/A</v>
      </c>
      <c r="M1471" t="s">
        <v>525</v>
      </c>
      <c r="N1471">
        <f>INDEX('GIS-Standards'!$I$2:$I$305,MATCH(B1471,'GIS-Standards'!$B$2:$B$305,0))</f>
        <v>0</v>
      </c>
      <c r="O1471" t="e">
        <f>INDEX('GIS-Standards'!$I$2:$I$305,MATCH(C1471,'GIS-Standards'!$B$2:$B$305,0))</f>
        <v>#N/A</v>
      </c>
      <c r="P1471" t="e">
        <f>AND(TableRelationships12[[#This Row],[Source Type]]="BIM",TableRelationships12[[#This Row],[Target Type]]="BIM")</f>
        <v>#N/A</v>
      </c>
      <c r="Q1471">
        <f t="shared" si="66"/>
        <v>1</v>
      </c>
      <c r="S1471">
        <f t="shared" si="67"/>
        <v>1</v>
      </c>
      <c r="T1471" s="102" t="str">
        <f>IF(TableRelationships12[[#This Row],[Rank Pedro]]="Low","linkCategory1",IF(TableRelationships12[[#This Row],[Rank Pedro]]="Medium","linkCategory2",IF(TableRelationships12[[#This Row],[Rank Pedro]]="High","linkCategory3","")))</f>
        <v/>
      </c>
      <c r="U1471" s="102" t="str">
        <f>IF(TableRelationships12[[#This Row],[Rank Pedro]]="Low","Pink",IF(TableRelationships12[[#This Row],[Rank Pedro]]="Medium","Purple",IF(TableRelationships12[[#This Row],[Rank Pedro]]="High","Brown","")))</f>
        <v/>
      </c>
      <c r="V1471" s="4" t="e">
        <f>MAX(INDEX(Standards!$F$2:$F$296,MATCH(B1471,Standards!$B$2:$B$296,0)),INDEX(Standards!$F$2:$F$296,MATCH(C1471,Standards!$B$2:$B$296,0)))</f>
        <v>#N/A</v>
      </c>
      <c r="W1471" t="str">
        <f t="shared" si="68"/>
        <v>#2f89d1</v>
      </c>
    </row>
    <row r="1472" spans="1:23" x14ac:dyDescent="0.5">
      <c r="A1472" s="54">
        <v>1471</v>
      </c>
      <c r="B1472" s="90" t="s">
        <v>1053</v>
      </c>
      <c r="C1472" t="s">
        <v>631</v>
      </c>
      <c r="D1472" s="1"/>
      <c r="E1472" s="112">
        <v>2008.06</v>
      </c>
      <c r="F1472" s="112">
        <v>2018.05</v>
      </c>
      <c r="G1472" s="107" t="s">
        <v>670</v>
      </c>
      <c r="H1472">
        <f>INDEX('GIS-Standards'!$A$2:$A$305,MATCH(B1472,'GIS-Standards'!$B$2:$B$305,0))</f>
        <v>65</v>
      </c>
      <c r="I1472">
        <f>INDEX('GIS-Standards'!$A$2:$A$305,MATCH(C1472,'GIS-Standards'!$B$2:$B$305,0))</f>
        <v>11</v>
      </c>
      <c r="J1472" t="str">
        <f>INDEX('GIS-Standards'!$O$2:$O$305,MATCH(B1472,'GIS-Standards'!$B$2:$B$305,0))</f>
        <v>ISO/TC 211</v>
      </c>
      <c r="K1472" t="str">
        <f>INDEX('GIS-Standards'!$O$2:$O$305,MATCH(C1472,'GIS-Standards'!$B$2:$B$305,0))</f>
        <v>ISO/TC 211</v>
      </c>
      <c r="M1472" t="s">
        <v>525</v>
      </c>
      <c r="N1472">
        <f>INDEX('GIS-Standards'!$I$2:$I$305,MATCH(B1472,'GIS-Standards'!$B$2:$B$305,0))</f>
        <v>0</v>
      </c>
      <c r="O1472">
        <f>INDEX('GIS-Standards'!$I$2:$I$305,MATCH(C1472,'GIS-Standards'!$B$2:$B$305,0))</f>
        <v>0</v>
      </c>
      <c r="P1472" t="b">
        <f>AND(TableRelationships12[[#This Row],[Source Type]]="BIM",TableRelationships12[[#This Row],[Target Type]]="BIM")</f>
        <v>0</v>
      </c>
      <c r="Q1472">
        <f t="shared" si="66"/>
        <v>1</v>
      </c>
      <c r="S1472">
        <f t="shared" si="67"/>
        <v>1</v>
      </c>
      <c r="T1472" s="102" t="str">
        <f>IF(TableRelationships12[[#This Row],[Rank Pedro]]="Low","linkCategory1",IF(TableRelationships12[[#This Row],[Rank Pedro]]="Medium","linkCategory2",IF(TableRelationships12[[#This Row],[Rank Pedro]]="High","linkCategory3","")))</f>
        <v/>
      </c>
      <c r="U1472" s="102" t="str">
        <f>IF(TableRelationships12[[#This Row],[Rank Pedro]]="Low","Pink",IF(TableRelationships12[[#This Row],[Rank Pedro]]="Medium","Purple",IF(TableRelationships12[[#This Row],[Rank Pedro]]="High","Brown","")))</f>
        <v/>
      </c>
      <c r="V1472" s="4" t="e">
        <f>MAX(INDEX(Standards!$F$2:$F$296,MATCH(B1472,Standards!$B$2:$B$296,0)),INDEX(Standards!$F$2:$F$296,MATCH(C1472,Standards!$B$2:$B$296,0)))</f>
        <v>#N/A</v>
      </c>
      <c r="W1472" t="str">
        <f t="shared" si="68"/>
        <v>#2f89d1</v>
      </c>
    </row>
    <row r="1473" spans="1:23" x14ac:dyDescent="0.5">
      <c r="A1473" s="54">
        <v>1472</v>
      </c>
      <c r="B1473" s="90" t="s">
        <v>348</v>
      </c>
      <c r="C1473" t="s">
        <v>527</v>
      </c>
      <c r="D1473" s="1"/>
      <c r="E1473" s="112" t="s">
        <v>974</v>
      </c>
      <c r="F1473" s="112" t="s">
        <v>975</v>
      </c>
      <c r="G1473" s="121" t="s">
        <v>670</v>
      </c>
      <c r="H1473">
        <f>INDEX('GIS-Standards'!$A$2:$A$305,MATCH(B1473,'GIS-Standards'!$B$2:$B$305,0))</f>
        <v>66</v>
      </c>
      <c r="I1473" t="e">
        <f>INDEX('GIS-Standards'!$A$2:$A$305,MATCH(C1473,'GIS-Standards'!$B$2:$B$305,0))</f>
        <v>#N/A</v>
      </c>
      <c r="J1473" t="str">
        <f>INDEX('GIS-Standards'!$O$2:$O$305,MATCH(B1473,'GIS-Standards'!$B$2:$B$305,0))</f>
        <v>ISO/TC 211</v>
      </c>
      <c r="K1473" t="e">
        <f>INDEX('GIS-Standards'!$O$2:$O$305,MATCH(C1473,'GIS-Standards'!$B$2:$B$305,0))</f>
        <v>#N/A</v>
      </c>
      <c r="M1473" t="s">
        <v>237</v>
      </c>
      <c r="N1473">
        <f>INDEX('GIS-Standards'!$I$2:$I$305,MATCH(B1473,'GIS-Standards'!$B$2:$B$305,0))</f>
        <v>0</v>
      </c>
      <c r="O1473" t="e">
        <f>INDEX('GIS-Standards'!$I$2:$I$305,MATCH(C1473,'GIS-Standards'!$B$2:$B$305,0))</f>
        <v>#N/A</v>
      </c>
      <c r="P1473" t="e">
        <f>AND(TableRelationships12[[#This Row],[Source Type]]="BIM",TableRelationships12[[#This Row],[Target Type]]="BIM")</f>
        <v>#N/A</v>
      </c>
      <c r="Q1473">
        <f t="shared" si="66"/>
        <v>2</v>
      </c>
      <c r="S1473">
        <f t="shared" si="67"/>
        <v>1</v>
      </c>
      <c r="T1473" s="102" t="str">
        <f>IF(TableRelationships12[[#This Row],[Rank Pedro]]="Low","linkCategory1",IF(TableRelationships12[[#This Row],[Rank Pedro]]="Medium","linkCategory2",IF(TableRelationships12[[#This Row],[Rank Pedro]]="High","linkCategory3","")))</f>
        <v/>
      </c>
      <c r="U1473" s="102" t="str">
        <f>IF(TableRelationships12[[#This Row],[Rank Pedro]]="Low","Pink",IF(TableRelationships12[[#This Row],[Rank Pedro]]="Medium","Purple",IF(TableRelationships12[[#This Row],[Rank Pedro]]="High","Brown","")))</f>
        <v/>
      </c>
      <c r="V1473" s="4">
        <f>MAX(INDEX(Standards!$F$2:$F$296,MATCH(B1473,Standards!$B$2:$B$296,0)),INDEX(Standards!$F$2:$F$296,MATCH(C1473,Standards!$B$2:$B$296,0)))</f>
        <v>37596</v>
      </c>
      <c r="W1473">
        <f t="shared" si="68"/>
        <v>1</v>
      </c>
    </row>
    <row r="1474" spans="1:23" x14ac:dyDescent="0.5">
      <c r="A1474" s="54">
        <v>1473</v>
      </c>
      <c r="B1474" s="90" t="s">
        <v>348</v>
      </c>
      <c r="C1474" t="s">
        <v>296</v>
      </c>
      <c r="D1474" s="1"/>
      <c r="E1474" s="112">
        <v>2005.07</v>
      </c>
      <c r="F1474" s="112">
        <v>2024.09</v>
      </c>
      <c r="G1474" s="107" t="s">
        <v>670</v>
      </c>
      <c r="H1474">
        <f>INDEX('GIS-Standards'!$A$2:$A$305,MATCH(B1474,'GIS-Standards'!$B$2:$B$305,0))</f>
        <v>66</v>
      </c>
      <c r="I1474">
        <f>INDEX('GIS-Standards'!$A$2:$A$305,MATCH(C1474,'GIS-Standards'!$B$2:$B$305,0))</f>
        <v>12</v>
      </c>
      <c r="J1474" t="str">
        <f>INDEX('GIS-Standards'!$O$2:$O$305,MATCH(B1474,'GIS-Standards'!$B$2:$B$305,0))</f>
        <v>ISO/TC 211</v>
      </c>
      <c r="K1474" t="str">
        <f>INDEX('GIS-Standards'!$O$2:$O$305,MATCH(C1474,'GIS-Standards'!$B$2:$B$305,0))</f>
        <v>ISO/TC 211</v>
      </c>
      <c r="M1474" t="s">
        <v>524</v>
      </c>
      <c r="N1474">
        <f>INDEX('GIS-Standards'!$I$2:$I$305,MATCH(B1474,'GIS-Standards'!$B$2:$B$305,0))</f>
        <v>0</v>
      </c>
      <c r="O1474">
        <f>INDEX('GIS-Standards'!$I$2:$I$305,MATCH(C1474,'GIS-Standards'!$B$2:$B$305,0))</f>
        <v>0</v>
      </c>
      <c r="P1474" t="b">
        <f>AND(TableRelationships12[[#This Row],[Source Type]]="BIM",TableRelationships12[[#This Row],[Target Type]]="BIM")</f>
        <v>0</v>
      </c>
      <c r="Q1474">
        <f t="shared" ref="Q1474:Q1537" si="69">IF(M1474="Normative",6,IF(M1474="Secondary",4,IF(M1474="Anchor",2,1)))</f>
        <v>6</v>
      </c>
      <c r="S1474">
        <f t="shared" ref="S1474:S1537" si="70">IF(R1474="High",10,IF(R1474="Medium",6,IF(R1474="Low",2,1)))</f>
        <v>1</v>
      </c>
      <c r="T1474" s="102" t="str">
        <f>IF(TableRelationships12[[#This Row],[Rank Pedro]]="Low","linkCategory1",IF(TableRelationships12[[#This Row],[Rank Pedro]]="Medium","linkCategory2",IF(TableRelationships12[[#This Row],[Rank Pedro]]="High","linkCategory3","")))</f>
        <v/>
      </c>
      <c r="U1474" s="102" t="str">
        <f>IF(TableRelationships12[[#This Row],[Rank Pedro]]="Low","Pink",IF(TableRelationships12[[#This Row],[Rank Pedro]]="Medium","Purple",IF(TableRelationships12[[#This Row],[Rank Pedro]]="High","Brown","")))</f>
        <v/>
      </c>
      <c r="V1474" s="4">
        <f>MAX(INDEX(Standards!$F$2:$F$296,MATCH(B1474,Standards!$B$2:$B$296,0)),INDEX(Standards!$F$2:$F$296,MATCH(C1474,Standards!$B$2:$B$296,0)))</f>
        <v>38534</v>
      </c>
      <c r="W1474" t="str">
        <f t="shared" ref="W1474:W1537" si="71">IF(M1474="Normative", "#d6bf2a", IF(M1474="Informative", "#2f89d1", 1))</f>
        <v>#d6bf2a</v>
      </c>
    </row>
    <row r="1475" spans="1:23" x14ac:dyDescent="0.5">
      <c r="A1475" s="54">
        <v>1474</v>
      </c>
      <c r="B1475" s="90" t="s">
        <v>348</v>
      </c>
      <c r="C1475" t="s">
        <v>306</v>
      </c>
      <c r="D1475" s="1"/>
      <c r="E1475" s="112">
        <v>2005.06</v>
      </c>
      <c r="F1475" s="112">
        <v>2025.07</v>
      </c>
      <c r="G1475" s="107" t="s">
        <v>670</v>
      </c>
      <c r="H1475">
        <f>INDEX('GIS-Standards'!$A$2:$A$305,MATCH(B1475,'GIS-Standards'!$B$2:$B$305,0))</f>
        <v>66</v>
      </c>
      <c r="I1475">
        <f>INDEX('GIS-Standards'!$A$2:$A$305,MATCH(C1475,'GIS-Standards'!$B$2:$B$305,0))</f>
        <v>18</v>
      </c>
      <c r="J1475" t="str">
        <f>INDEX('GIS-Standards'!$O$2:$O$305,MATCH(B1475,'GIS-Standards'!$B$2:$B$305,0))</f>
        <v>ISO/TC 211</v>
      </c>
      <c r="K1475" t="str">
        <f>INDEX('GIS-Standards'!$O$2:$O$305,MATCH(C1475,'GIS-Standards'!$B$2:$B$305,0))</f>
        <v>ISO/TC 211</v>
      </c>
      <c r="M1475" t="s">
        <v>524</v>
      </c>
      <c r="N1475">
        <f>INDEX('GIS-Standards'!$I$2:$I$305,MATCH(B1475,'GIS-Standards'!$B$2:$B$305,0))</f>
        <v>0</v>
      </c>
      <c r="O1475">
        <f>INDEX('GIS-Standards'!$I$2:$I$305,MATCH(C1475,'GIS-Standards'!$B$2:$B$305,0))</f>
        <v>0</v>
      </c>
      <c r="P1475" t="b">
        <f>AND(TableRelationships12[[#This Row],[Source Type]]="BIM",TableRelationships12[[#This Row],[Target Type]]="BIM")</f>
        <v>0</v>
      </c>
      <c r="Q1475">
        <f t="shared" si="69"/>
        <v>6</v>
      </c>
      <c r="S1475">
        <f t="shared" si="70"/>
        <v>1</v>
      </c>
      <c r="T1475" s="102" t="str">
        <f>IF(TableRelationships12[[#This Row],[Rank Pedro]]="Low","linkCategory1",IF(TableRelationships12[[#This Row],[Rank Pedro]]="Medium","linkCategory2",IF(TableRelationships12[[#This Row],[Rank Pedro]]="High","linkCategory3","")))</f>
        <v/>
      </c>
      <c r="U1475" s="102" t="str">
        <f>IF(TableRelationships12[[#This Row],[Rank Pedro]]="Low","Pink",IF(TableRelationships12[[#This Row],[Rank Pedro]]="Medium","Purple",IF(TableRelationships12[[#This Row],[Rank Pedro]]="High","Brown","")))</f>
        <v/>
      </c>
      <c r="V1475" s="4">
        <f>MAX(INDEX(Standards!$F$2:$F$296,MATCH(B1475,Standards!$B$2:$B$296,0)),INDEX(Standards!$F$2:$F$296,MATCH(C1475,Standards!$B$2:$B$296,0)))</f>
        <v>38504</v>
      </c>
      <c r="W1475" t="str">
        <f t="shared" si="71"/>
        <v>#d6bf2a</v>
      </c>
    </row>
    <row r="1476" spans="1:23" x14ac:dyDescent="0.5">
      <c r="A1476" s="54">
        <v>1475</v>
      </c>
      <c r="B1476" s="90" t="s">
        <v>348</v>
      </c>
      <c r="C1476" t="s">
        <v>314</v>
      </c>
      <c r="D1476" s="1"/>
      <c r="E1476" s="112">
        <v>2003.05</v>
      </c>
      <c r="F1476" s="112">
        <v>2020.11</v>
      </c>
      <c r="G1476" s="107" t="s">
        <v>670</v>
      </c>
      <c r="H1476">
        <f>INDEX('GIS-Standards'!$A$2:$A$305,MATCH(B1476,'GIS-Standards'!$B$2:$B$305,0))</f>
        <v>66</v>
      </c>
      <c r="I1476">
        <f>INDEX('GIS-Standards'!$A$2:$A$305,MATCH(C1476,'GIS-Standards'!$B$2:$B$305,0))</f>
        <v>22</v>
      </c>
      <c r="J1476" t="str">
        <f>INDEX('GIS-Standards'!$O$2:$O$305,MATCH(B1476,'GIS-Standards'!$B$2:$B$305,0))</f>
        <v>ISO/TC 211</v>
      </c>
      <c r="K1476" t="str">
        <f>INDEX('GIS-Standards'!$O$2:$O$305,MATCH(C1476,'GIS-Standards'!$B$2:$B$305,0))</f>
        <v>ISO/TC 211</v>
      </c>
      <c r="M1476" t="s">
        <v>524</v>
      </c>
      <c r="N1476">
        <f>INDEX('GIS-Standards'!$I$2:$I$305,MATCH(B1476,'GIS-Standards'!$B$2:$B$305,0))</f>
        <v>0</v>
      </c>
      <c r="O1476" t="str">
        <f>INDEX('GIS-Standards'!$I$2:$I$305,MATCH(C1476,'GIS-Standards'!$B$2:$B$305,0))</f>
        <v>12.2020</v>
      </c>
      <c r="P1476" t="b">
        <f>AND(TableRelationships12[[#This Row],[Source Type]]="BIM",TableRelationships12[[#This Row],[Target Type]]="BIM")</f>
        <v>0</v>
      </c>
      <c r="Q1476">
        <f t="shared" si="69"/>
        <v>6</v>
      </c>
      <c r="S1476">
        <f t="shared" si="70"/>
        <v>1</v>
      </c>
      <c r="T1476" s="102" t="str">
        <f>IF(TableRelationships12[[#This Row],[Rank Pedro]]="Low","linkCategory1",IF(TableRelationships12[[#This Row],[Rank Pedro]]="Medium","linkCategory2",IF(TableRelationships12[[#This Row],[Rank Pedro]]="High","linkCategory3","")))</f>
        <v/>
      </c>
      <c r="U1476" s="102" t="str">
        <f>IF(TableRelationships12[[#This Row],[Rank Pedro]]="Low","Pink",IF(TableRelationships12[[#This Row],[Rank Pedro]]="Medium","Purple",IF(TableRelationships12[[#This Row],[Rank Pedro]]="High","Brown","")))</f>
        <v/>
      </c>
      <c r="V1476" s="4">
        <f>MAX(INDEX(Standards!$F$2:$F$296,MATCH(B1476,Standards!$B$2:$B$296,0)),INDEX(Standards!$F$2:$F$296,MATCH(C1476,Standards!$B$2:$B$296,0)))</f>
        <v>37742</v>
      </c>
      <c r="W1476" t="str">
        <f t="shared" si="71"/>
        <v>#d6bf2a</v>
      </c>
    </row>
    <row r="1477" spans="1:23" x14ac:dyDescent="0.5">
      <c r="A1477" s="54">
        <v>1476</v>
      </c>
      <c r="B1477" s="90" t="s">
        <v>348</v>
      </c>
      <c r="C1477" t="s">
        <v>1423</v>
      </c>
      <c r="D1477" s="1" t="s">
        <v>1677</v>
      </c>
      <c r="E1477" s="113">
        <v>1989.08</v>
      </c>
      <c r="F1477" s="113">
        <v>2011.06</v>
      </c>
      <c r="G1477" s="107" t="s">
        <v>1480</v>
      </c>
      <c r="H1477">
        <f>INDEX('GIS-Standards'!$A$2:$A$305,MATCH(B1477,'GIS-Standards'!$B$2:$B$305,0))</f>
        <v>66</v>
      </c>
      <c r="I1477" t="e">
        <f>INDEX('GIS-Standards'!$A$2:$A$305,MATCH(C1477,'GIS-Standards'!$B$2:$B$305,0))</f>
        <v>#N/A</v>
      </c>
      <c r="J1477" t="str">
        <f>INDEX('GIS-Standards'!$O$2:$O$305,MATCH(B1477,'GIS-Standards'!$B$2:$B$305,0))</f>
        <v>ISO/TC 211</v>
      </c>
      <c r="K1477" t="e">
        <f>INDEX('GIS-Standards'!$O$2:$O$305,MATCH(C1477,'GIS-Standards'!$B$2:$B$305,0))</f>
        <v>#N/A</v>
      </c>
      <c r="M1477" t="s">
        <v>525</v>
      </c>
      <c r="N1477">
        <f>INDEX('GIS-Standards'!$I$2:$I$305,MATCH(B1477,'GIS-Standards'!$B$2:$B$305,0))</f>
        <v>0</v>
      </c>
      <c r="O1477" t="e">
        <f>INDEX('GIS-Standards'!$I$2:$I$305,MATCH(C1477,'GIS-Standards'!$B$2:$B$305,0))</f>
        <v>#N/A</v>
      </c>
      <c r="P1477" t="e">
        <f>AND(TableRelationships12[[#This Row],[Source Type]]="BIM",TableRelationships12[[#This Row],[Target Type]]="BIM")</f>
        <v>#N/A</v>
      </c>
      <c r="Q1477">
        <f t="shared" si="69"/>
        <v>1</v>
      </c>
      <c r="S1477">
        <f t="shared" si="70"/>
        <v>1</v>
      </c>
      <c r="T1477" s="102" t="str">
        <f>IF(TableRelationships12[[#This Row],[Rank Pedro]]="Low","linkCategory1",IF(TableRelationships12[[#This Row],[Rank Pedro]]="Medium","linkCategory2",IF(TableRelationships12[[#This Row],[Rank Pedro]]="High","linkCategory3","")))</f>
        <v/>
      </c>
      <c r="U1477" s="102" t="str">
        <f>IF(TableRelationships12[[#This Row],[Rank Pedro]]="Low","Pink",IF(TableRelationships12[[#This Row],[Rank Pedro]]="Medium","Purple",IF(TableRelationships12[[#This Row],[Rank Pedro]]="High","Brown","")))</f>
        <v/>
      </c>
      <c r="V1477" s="4" t="e">
        <f>MAX(INDEX(Standards!$F$2:$F$296,MATCH(B1477,Standards!$B$2:$B$296,0)),INDEX(Standards!$F$2:$F$296,MATCH(C1477,Standards!$B$2:$B$296,0)))</f>
        <v>#N/A</v>
      </c>
      <c r="W1477" t="str">
        <f t="shared" si="71"/>
        <v>#2f89d1</v>
      </c>
    </row>
    <row r="1478" spans="1:23" x14ac:dyDescent="0.5">
      <c r="A1478" s="54">
        <v>1477</v>
      </c>
      <c r="B1478" s="90" t="s">
        <v>348</v>
      </c>
      <c r="C1478" t="s">
        <v>1424</v>
      </c>
      <c r="D1478" s="1" t="s">
        <v>1214</v>
      </c>
      <c r="E1478" s="113">
        <v>1985.08</v>
      </c>
      <c r="F1478" s="113">
        <v>2020.02</v>
      </c>
      <c r="G1478" s="107" t="s">
        <v>1480</v>
      </c>
      <c r="H1478">
        <f>INDEX('GIS-Standards'!$A$2:$A$305,MATCH(B1478,'GIS-Standards'!$B$2:$B$305,0))</f>
        <v>66</v>
      </c>
      <c r="I1478" t="e">
        <f>INDEX('GIS-Standards'!$A$2:$A$305,MATCH(C1478,'GIS-Standards'!$B$2:$B$305,0))</f>
        <v>#N/A</v>
      </c>
      <c r="J1478" t="str">
        <f>INDEX('GIS-Standards'!$O$2:$O$305,MATCH(B1478,'GIS-Standards'!$B$2:$B$305,0))</f>
        <v>ISO/TC 211</v>
      </c>
      <c r="K1478" t="e">
        <f>INDEX('GIS-Standards'!$O$2:$O$305,MATCH(C1478,'GIS-Standards'!$B$2:$B$305,0))</f>
        <v>#N/A</v>
      </c>
      <c r="M1478" t="s">
        <v>525</v>
      </c>
      <c r="N1478">
        <f>INDEX('GIS-Standards'!$I$2:$I$305,MATCH(B1478,'GIS-Standards'!$B$2:$B$305,0))</f>
        <v>0</v>
      </c>
      <c r="O1478" t="e">
        <f>INDEX('GIS-Standards'!$I$2:$I$305,MATCH(C1478,'GIS-Standards'!$B$2:$B$305,0))</f>
        <v>#N/A</v>
      </c>
      <c r="P1478" t="e">
        <f>AND(TableRelationships12[[#This Row],[Source Type]]="BIM",TableRelationships12[[#This Row],[Target Type]]="BIM")</f>
        <v>#N/A</v>
      </c>
      <c r="Q1478">
        <f t="shared" si="69"/>
        <v>1</v>
      </c>
      <c r="S1478">
        <f t="shared" si="70"/>
        <v>1</v>
      </c>
      <c r="T1478" s="102" t="str">
        <f>IF(TableRelationships12[[#This Row],[Rank Pedro]]="Low","linkCategory1",IF(TableRelationships12[[#This Row],[Rank Pedro]]="Medium","linkCategory2",IF(TableRelationships12[[#This Row],[Rank Pedro]]="High","linkCategory3","")))</f>
        <v/>
      </c>
      <c r="U1478" s="102" t="str">
        <f>IF(TableRelationships12[[#This Row],[Rank Pedro]]="Low","Pink",IF(TableRelationships12[[#This Row],[Rank Pedro]]="Medium","Purple",IF(TableRelationships12[[#This Row],[Rank Pedro]]="High","Brown","")))</f>
        <v/>
      </c>
      <c r="V1478" s="4" t="e">
        <f>MAX(INDEX(Standards!$F$2:$F$296,MATCH(B1478,Standards!$B$2:$B$296,0)),INDEX(Standards!$F$2:$F$296,MATCH(C1478,Standards!$B$2:$B$296,0)))</f>
        <v>#N/A</v>
      </c>
      <c r="W1478" t="str">
        <f t="shared" si="71"/>
        <v>#2f89d1</v>
      </c>
    </row>
    <row r="1479" spans="1:23" x14ac:dyDescent="0.5">
      <c r="A1479" s="54">
        <v>1478</v>
      </c>
      <c r="B1479" s="90" t="s">
        <v>348</v>
      </c>
      <c r="C1479" t="s">
        <v>1425</v>
      </c>
      <c r="D1479" s="1" t="s">
        <v>1214</v>
      </c>
      <c r="E1479" s="113">
        <v>1991.08</v>
      </c>
      <c r="F1479" s="113">
        <v>2005.05</v>
      </c>
      <c r="G1479" s="107" t="s">
        <v>1480</v>
      </c>
      <c r="H1479">
        <f>INDEX('GIS-Standards'!$A$2:$A$305,MATCH(B1479,'GIS-Standards'!$B$2:$B$305,0))</f>
        <v>66</v>
      </c>
      <c r="I1479" t="e">
        <f>INDEX('GIS-Standards'!$A$2:$A$305,MATCH(C1479,'GIS-Standards'!$B$2:$B$305,0))</f>
        <v>#N/A</v>
      </c>
      <c r="J1479" t="str">
        <f>INDEX('GIS-Standards'!$O$2:$O$305,MATCH(B1479,'GIS-Standards'!$B$2:$B$305,0))</f>
        <v>ISO/TC 211</v>
      </c>
      <c r="K1479" t="e">
        <f>INDEX('GIS-Standards'!$O$2:$O$305,MATCH(C1479,'GIS-Standards'!$B$2:$B$305,0))</f>
        <v>#N/A</v>
      </c>
      <c r="M1479" t="s">
        <v>525</v>
      </c>
      <c r="N1479">
        <f>INDEX('GIS-Standards'!$I$2:$I$305,MATCH(B1479,'GIS-Standards'!$B$2:$B$305,0))</f>
        <v>0</v>
      </c>
      <c r="O1479" t="e">
        <f>INDEX('GIS-Standards'!$I$2:$I$305,MATCH(C1479,'GIS-Standards'!$B$2:$B$305,0))</f>
        <v>#N/A</v>
      </c>
      <c r="P1479" t="e">
        <f>AND(TableRelationships12[[#This Row],[Source Type]]="BIM",TableRelationships12[[#This Row],[Target Type]]="BIM")</f>
        <v>#N/A</v>
      </c>
      <c r="Q1479">
        <f t="shared" si="69"/>
        <v>1</v>
      </c>
      <c r="S1479">
        <f t="shared" si="70"/>
        <v>1</v>
      </c>
      <c r="T1479" s="102" t="str">
        <f>IF(TableRelationships12[[#This Row],[Rank Pedro]]="Low","linkCategory1",IF(TableRelationships12[[#This Row],[Rank Pedro]]="Medium","linkCategory2",IF(TableRelationships12[[#This Row],[Rank Pedro]]="High","linkCategory3","")))</f>
        <v/>
      </c>
      <c r="U1479" s="102" t="str">
        <f>IF(TableRelationships12[[#This Row],[Rank Pedro]]="Low","Pink",IF(TableRelationships12[[#This Row],[Rank Pedro]]="Medium","Purple",IF(TableRelationships12[[#This Row],[Rank Pedro]]="High","Brown","")))</f>
        <v/>
      </c>
      <c r="V1479" s="4" t="e">
        <f>MAX(INDEX(Standards!$F$2:$F$296,MATCH(B1479,Standards!$B$2:$B$296,0)),INDEX(Standards!$F$2:$F$296,MATCH(C1479,Standards!$B$2:$B$296,0)))</f>
        <v>#N/A</v>
      </c>
      <c r="W1479" t="str">
        <f t="shared" si="71"/>
        <v>#2f89d1</v>
      </c>
    </row>
    <row r="1480" spans="1:23" x14ac:dyDescent="0.5">
      <c r="A1480" s="54">
        <v>1479</v>
      </c>
      <c r="B1480" s="90" t="s">
        <v>348</v>
      </c>
      <c r="C1480" t="s">
        <v>1426</v>
      </c>
      <c r="D1480" s="1" t="s">
        <v>1214</v>
      </c>
      <c r="E1480" s="113">
        <v>2002.08</v>
      </c>
      <c r="F1480" s="113">
        <v>2020.06</v>
      </c>
      <c r="G1480" s="107" t="s">
        <v>1480</v>
      </c>
      <c r="H1480">
        <f>INDEX('GIS-Standards'!$A$2:$A$305,MATCH(B1480,'GIS-Standards'!$B$2:$B$305,0))</f>
        <v>66</v>
      </c>
      <c r="I1480" t="e">
        <f>INDEX('GIS-Standards'!$A$2:$A$305,MATCH(C1480,'GIS-Standards'!$B$2:$B$305,0))</f>
        <v>#N/A</v>
      </c>
      <c r="J1480" t="str">
        <f>INDEX('GIS-Standards'!$O$2:$O$305,MATCH(B1480,'GIS-Standards'!$B$2:$B$305,0))</f>
        <v>ISO/TC 211</v>
      </c>
      <c r="K1480" t="e">
        <f>INDEX('GIS-Standards'!$O$2:$O$305,MATCH(C1480,'GIS-Standards'!$B$2:$B$305,0))</f>
        <v>#N/A</v>
      </c>
      <c r="M1480" t="s">
        <v>525</v>
      </c>
      <c r="N1480">
        <f>INDEX('GIS-Standards'!$I$2:$I$305,MATCH(B1480,'GIS-Standards'!$B$2:$B$305,0))</f>
        <v>0</v>
      </c>
      <c r="O1480" t="e">
        <f>INDEX('GIS-Standards'!$I$2:$I$305,MATCH(C1480,'GIS-Standards'!$B$2:$B$305,0))</f>
        <v>#N/A</v>
      </c>
      <c r="P1480" t="e">
        <f>AND(TableRelationships12[[#This Row],[Source Type]]="BIM",TableRelationships12[[#This Row],[Target Type]]="BIM")</f>
        <v>#N/A</v>
      </c>
      <c r="Q1480">
        <f t="shared" si="69"/>
        <v>1</v>
      </c>
      <c r="S1480">
        <f t="shared" si="70"/>
        <v>1</v>
      </c>
      <c r="T1480" s="102" t="str">
        <f>IF(TableRelationships12[[#This Row],[Rank Pedro]]="Low","linkCategory1",IF(TableRelationships12[[#This Row],[Rank Pedro]]="Medium","linkCategory2",IF(TableRelationships12[[#This Row],[Rank Pedro]]="High","linkCategory3","")))</f>
        <v/>
      </c>
      <c r="U1480" s="102" t="str">
        <f>IF(TableRelationships12[[#This Row],[Rank Pedro]]="Low","Pink",IF(TableRelationships12[[#This Row],[Rank Pedro]]="Medium","Purple",IF(TableRelationships12[[#This Row],[Rank Pedro]]="High","Brown","")))</f>
        <v/>
      </c>
      <c r="V1480" s="4" t="e">
        <f>MAX(INDEX(Standards!$F$2:$F$296,MATCH(B1480,Standards!$B$2:$B$296,0)),INDEX(Standards!$F$2:$F$296,MATCH(C1480,Standards!$B$2:$B$296,0)))</f>
        <v>#N/A</v>
      </c>
      <c r="W1480" t="str">
        <f t="shared" si="71"/>
        <v>#2f89d1</v>
      </c>
    </row>
    <row r="1481" spans="1:23" x14ac:dyDescent="0.5">
      <c r="A1481" s="54">
        <v>1480</v>
      </c>
      <c r="B1481" s="90" t="s">
        <v>348</v>
      </c>
      <c r="C1481" t="s">
        <v>1427</v>
      </c>
      <c r="D1481" s="1" t="s">
        <v>1214</v>
      </c>
      <c r="E1481" s="113">
        <v>2005.06</v>
      </c>
      <c r="F1481" s="113">
        <v>2005.06</v>
      </c>
      <c r="G1481" s="107" t="s">
        <v>1480</v>
      </c>
      <c r="H1481">
        <f>INDEX('GIS-Standards'!$A$2:$A$305,MATCH(B1481,'GIS-Standards'!$B$2:$B$305,0))</f>
        <v>66</v>
      </c>
      <c r="I1481" t="e">
        <f>INDEX('GIS-Standards'!$A$2:$A$305,MATCH(C1481,'GIS-Standards'!$B$2:$B$305,0))</f>
        <v>#N/A</v>
      </c>
      <c r="J1481" t="str">
        <f>INDEX('GIS-Standards'!$O$2:$O$305,MATCH(B1481,'GIS-Standards'!$B$2:$B$305,0))</f>
        <v>ISO/TC 211</v>
      </c>
      <c r="K1481" t="e">
        <f>INDEX('GIS-Standards'!$O$2:$O$305,MATCH(C1481,'GIS-Standards'!$B$2:$B$305,0))</f>
        <v>#N/A</v>
      </c>
      <c r="M1481" t="s">
        <v>525</v>
      </c>
      <c r="N1481">
        <f>INDEX('GIS-Standards'!$I$2:$I$305,MATCH(B1481,'GIS-Standards'!$B$2:$B$305,0))</f>
        <v>0</v>
      </c>
      <c r="O1481" t="e">
        <f>INDEX('GIS-Standards'!$I$2:$I$305,MATCH(C1481,'GIS-Standards'!$B$2:$B$305,0))</f>
        <v>#N/A</v>
      </c>
      <c r="P1481" t="e">
        <f>AND(TableRelationships12[[#This Row],[Source Type]]="BIM",TableRelationships12[[#This Row],[Target Type]]="BIM")</f>
        <v>#N/A</v>
      </c>
      <c r="Q1481">
        <f t="shared" si="69"/>
        <v>1</v>
      </c>
      <c r="S1481">
        <f t="shared" si="70"/>
        <v>1</v>
      </c>
      <c r="T1481" s="102" t="str">
        <f>IF(TableRelationships12[[#This Row],[Rank Pedro]]="Low","linkCategory1",IF(TableRelationships12[[#This Row],[Rank Pedro]]="Medium","linkCategory2",IF(TableRelationships12[[#This Row],[Rank Pedro]]="High","linkCategory3","")))</f>
        <v/>
      </c>
      <c r="U1481" s="102" t="str">
        <f>IF(TableRelationships12[[#This Row],[Rank Pedro]]="Low","Pink",IF(TableRelationships12[[#This Row],[Rank Pedro]]="Medium","Purple",IF(TableRelationships12[[#This Row],[Rank Pedro]]="High","Brown","")))</f>
        <v/>
      </c>
      <c r="V1481" s="4" t="e">
        <f>MAX(INDEX(Standards!$F$2:$F$296,MATCH(B1481,Standards!$B$2:$B$296,0)),INDEX(Standards!$F$2:$F$296,MATCH(C1481,Standards!$B$2:$B$296,0)))</f>
        <v>#N/A</v>
      </c>
      <c r="W1481" t="str">
        <f t="shared" si="71"/>
        <v>#2f89d1</v>
      </c>
    </row>
    <row r="1482" spans="1:23" x14ac:dyDescent="0.5">
      <c r="A1482" s="54">
        <v>1481</v>
      </c>
      <c r="B1482" s="90" t="s">
        <v>348</v>
      </c>
      <c r="C1482" t="s">
        <v>1144</v>
      </c>
      <c r="D1482" s="1"/>
      <c r="E1482" s="112">
        <v>1967.12</v>
      </c>
      <c r="F1482" s="112">
        <v>2006.09</v>
      </c>
      <c r="G1482" s="107" t="s">
        <v>1483</v>
      </c>
      <c r="H1482">
        <f>INDEX('GIS-Standards'!$A$2:$A$305,MATCH(B1482,'GIS-Standards'!$B$2:$B$305,0))</f>
        <v>66</v>
      </c>
      <c r="I1482" t="e">
        <f>INDEX('GIS-Standards'!$A$2:$A$305,MATCH(C1482,'GIS-Standards'!$B$2:$B$305,0))</f>
        <v>#N/A</v>
      </c>
      <c r="J1482" t="str">
        <f>INDEX('GIS-Standards'!$O$2:$O$305,MATCH(B1482,'GIS-Standards'!$B$2:$B$305,0))</f>
        <v>ISO/TC 211</v>
      </c>
      <c r="K1482" t="e">
        <f>INDEX('GIS-Standards'!$O$2:$O$305,MATCH(C1482,'GIS-Standards'!$B$2:$B$305,0))</f>
        <v>#N/A</v>
      </c>
      <c r="M1482" t="s">
        <v>525</v>
      </c>
      <c r="N1482">
        <f>INDEX('GIS-Standards'!$I$2:$I$305,MATCH(B1482,'GIS-Standards'!$B$2:$B$305,0))</f>
        <v>0</v>
      </c>
      <c r="O1482" t="e">
        <f>INDEX('GIS-Standards'!$I$2:$I$305,MATCH(C1482,'GIS-Standards'!$B$2:$B$305,0))</f>
        <v>#N/A</v>
      </c>
      <c r="P1482" t="e">
        <f>AND(TableRelationships12[[#This Row],[Source Type]]="BIM",TableRelationships12[[#This Row],[Target Type]]="BIM")</f>
        <v>#N/A</v>
      </c>
      <c r="Q1482">
        <f t="shared" si="69"/>
        <v>1</v>
      </c>
      <c r="S1482">
        <f t="shared" si="70"/>
        <v>1</v>
      </c>
      <c r="T1482" s="102" t="str">
        <f>IF(TableRelationships12[[#This Row],[Rank Pedro]]="Low","linkCategory1",IF(TableRelationships12[[#This Row],[Rank Pedro]]="Medium","linkCategory2",IF(TableRelationships12[[#This Row],[Rank Pedro]]="High","linkCategory3","")))</f>
        <v/>
      </c>
      <c r="U1482" s="102" t="str">
        <f>IF(TableRelationships12[[#This Row],[Rank Pedro]]="Low","Pink",IF(TableRelationships12[[#This Row],[Rank Pedro]]="Medium","Purple",IF(TableRelationships12[[#This Row],[Rank Pedro]]="High","Brown","")))</f>
        <v/>
      </c>
      <c r="V1482" s="4" t="e">
        <f>MAX(INDEX(Standards!$F$2:$F$296,MATCH(B1482,Standards!$B$2:$B$296,0)),INDEX(Standards!$F$2:$F$296,MATCH(C1482,Standards!$B$2:$B$296,0)))</f>
        <v>#N/A</v>
      </c>
      <c r="W1482" t="str">
        <f t="shared" si="71"/>
        <v>#2f89d1</v>
      </c>
    </row>
    <row r="1483" spans="1:23" x14ac:dyDescent="0.5">
      <c r="A1483" s="54">
        <v>1482</v>
      </c>
      <c r="B1483" s="90" t="s">
        <v>348</v>
      </c>
      <c r="C1483" t="s">
        <v>1215</v>
      </c>
      <c r="D1483" s="1"/>
      <c r="E1483" s="112">
        <v>2005.04</v>
      </c>
      <c r="F1483" s="112">
        <v>2022.08</v>
      </c>
      <c r="G1483" s="107" t="s">
        <v>1480</v>
      </c>
      <c r="H1483">
        <f>INDEX('GIS-Standards'!$A$2:$A$305,MATCH(B1483,'GIS-Standards'!$B$2:$B$305,0))</f>
        <v>66</v>
      </c>
      <c r="I1483" t="e">
        <f>INDEX('GIS-Standards'!$A$2:$A$305,MATCH(C1483,'GIS-Standards'!$B$2:$B$305,0))</f>
        <v>#N/A</v>
      </c>
      <c r="J1483" t="str">
        <f>INDEX('GIS-Standards'!$O$2:$O$305,MATCH(B1483,'GIS-Standards'!$B$2:$B$305,0))</f>
        <v>ISO/TC 211</v>
      </c>
      <c r="K1483" t="e">
        <f>INDEX('GIS-Standards'!$O$2:$O$305,MATCH(C1483,'GIS-Standards'!$B$2:$B$305,0))</f>
        <v>#N/A</v>
      </c>
      <c r="M1483" t="s">
        <v>525</v>
      </c>
      <c r="N1483">
        <f>INDEX('GIS-Standards'!$I$2:$I$305,MATCH(B1483,'GIS-Standards'!$B$2:$B$305,0))</f>
        <v>0</v>
      </c>
      <c r="O1483" t="e">
        <f>INDEX('GIS-Standards'!$I$2:$I$305,MATCH(C1483,'GIS-Standards'!$B$2:$B$305,0))</f>
        <v>#N/A</v>
      </c>
      <c r="P1483" t="e">
        <f>AND(TableRelationships12[[#This Row],[Source Type]]="BIM",TableRelationships12[[#This Row],[Target Type]]="BIM")</f>
        <v>#N/A</v>
      </c>
      <c r="Q1483">
        <f t="shared" si="69"/>
        <v>1</v>
      </c>
      <c r="S1483">
        <f t="shared" si="70"/>
        <v>1</v>
      </c>
      <c r="T1483" s="102" t="str">
        <f>IF(TableRelationships12[[#This Row],[Rank Pedro]]="Low","linkCategory1",IF(TableRelationships12[[#This Row],[Rank Pedro]]="Medium","linkCategory2",IF(TableRelationships12[[#This Row],[Rank Pedro]]="High","linkCategory3","")))</f>
        <v/>
      </c>
      <c r="U1483" s="102" t="str">
        <f>IF(TableRelationships12[[#This Row],[Rank Pedro]]="Low","Pink",IF(TableRelationships12[[#This Row],[Rank Pedro]]="Medium","Purple",IF(TableRelationships12[[#This Row],[Rank Pedro]]="High","Brown","")))</f>
        <v/>
      </c>
      <c r="V1483" s="4" t="e">
        <f>MAX(INDEX(Standards!$F$2:$F$296,MATCH(B1483,Standards!$B$2:$B$296,0)),INDEX(Standards!$F$2:$F$296,MATCH(C1483,Standards!$B$2:$B$296,0)))</f>
        <v>#N/A</v>
      </c>
      <c r="W1483" t="str">
        <f t="shared" si="71"/>
        <v>#2f89d1</v>
      </c>
    </row>
    <row r="1484" spans="1:23" x14ac:dyDescent="0.5">
      <c r="A1484" s="54">
        <v>1483</v>
      </c>
      <c r="B1484" s="90" t="s">
        <v>348</v>
      </c>
      <c r="C1484" t="s">
        <v>1216</v>
      </c>
      <c r="D1484" s="1"/>
      <c r="E1484" s="112">
        <v>2009.12</v>
      </c>
      <c r="F1484" s="112">
        <v>2022.09</v>
      </c>
      <c r="G1484" s="107" t="s">
        <v>1490</v>
      </c>
      <c r="H1484">
        <f>INDEX('GIS-Standards'!$A$2:$A$305,MATCH(B1484,'GIS-Standards'!$B$2:$B$305,0))</f>
        <v>66</v>
      </c>
      <c r="I1484" t="e">
        <f>INDEX('GIS-Standards'!$A$2:$A$305,MATCH(C1484,'GIS-Standards'!$B$2:$B$305,0))</f>
        <v>#N/A</v>
      </c>
      <c r="J1484" t="str">
        <f>INDEX('GIS-Standards'!$O$2:$O$305,MATCH(B1484,'GIS-Standards'!$B$2:$B$305,0))</f>
        <v>ISO/TC 211</v>
      </c>
      <c r="K1484" t="e">
        <f>INDEX('GIS-Standards'!$O$2:$O$305,MATCH(C1484,'GIS-Standards'!$B$2:$B$305,0))</f>
        <v>#N/A</v>
      </c>
      <c r="M1484" t="s">
        <v>525</v>
      </c>
      <c r="N1484">
        <f>INDEX('GIS-Standards'!$I$2:$I$305,MATCH(B1484,'GIS-Standards'!$B$2:$B$305,0))</f>
        <v>0</v>
      </c>
      <c r="O1484" t="e">
        <f>INDEX('GIS-Standards'!$I$2:$I$305,MATCH(C1484,'GIS-Standards'!$B$2:$B$305,0))</f>
        <v>#N/A</v>
      </c>
      <c r="P1484" t="e">
        <f>AND(TableRelationships12[[#This Row],[Source Type]]="BIM",TableRelationships12[[#This Row],[Target Type]]="BIM")</f>
        <v>#N/A</v>
      </c>
      <c r="Q1484">
        <f t="shared" si="69"/>
        <v>1</v>
      </c>
      <c r="S1484">
        <f t="shared" si="70"/>
        <v>1</v>
      </c>
      <c r="T1484" s="102" t="str">
        <f>IF(TableRelationships12[[#This Row],[Rank Pedro]]="Low","linkCategory1",IF(TableRelationships12[[#This Row],[Rank Pedro]]="Medium","linkCategory2",IF(TableRelationships12[[#This Row],[Rank Pedro]]="High","linkCategory3","")))</f>
        <v/>
      </c>
      <c r="U1484" s="102" t="str">
        <f>IF(TableRelationships12[[#This Row],[Rank Pedro]]="Low","Pink",IF(TableRelationships12[[#This Row],[Rank Pedro]]="Medium","Purple",IF(TableRelationships12[[#This Row],[Rank Pedro]]="High","Brown","")))</f>
        <v/>
      </c>
      <c r="V1484" s="4" t="e">
        <f>MAX(INDEX(Standards!$F$2:$F$296,MATCH(B1484,Standards!$B$2:$B$296,0)),INDEX(Standards!$F$2:$F$296,MATCH(C1484,Standards!$B$2:$B$296,0)))</f>
        <v>#N/A</v>
      </c>
      <c r="W1484" t="str">
        <f t="shared" si="71"/>
        <v>#2f89d1</v>
      </c>
    </row>
    <row r="1485" spans="1:23" x14ac:dyDescent="0.5">
      <c r="A1485" s="54">
        <v>1484</v>
      </c>
      <c r="B1485" s="90" t="s">
        <v>348</v>
      </c>
      <c r="C1485" t="s">
        <v>192</v>
      </c>
      <c r="D1485" s="1"/>
      <c r="E1485" s="113">
        <v>1976.04</v>
      </c>
      <c r="F1485" s="113">
        <v>2022.1</v>
      </c>
      <c r="G1485" s="107" t="s">
        <v>1481</v>
      </c>
      <c r="H1485">
        <f>INDEX('GIS-Standards'!$A$2:$A$305,MATCH(B1485,'GIS-Standards'!$B$2:$B$305,0))</f>
        <v>66</v>
      </c>
      <c r="I1485" t="e">
        <f>INDEX('GIS-Standards'!$A$2:$A$305,MATCH(C1485,'GIS-Standards'!$B$2:$B$305,0))</f>
        <v>#N/A</v>
      </c>
      <c r="J1485" t="str">
        <f>INDEX('GIS-Standards'!$O$2:$O$305,MATCH(B1485,'GIS-Standards'!$B$2:$B$305,0))</f>
        <v>ISO/TC 211</v>
      </c>
      <c r="K1485" t="e">
        <f>INDEX('GIS-Standards'!$O$2:$O$305,MATCH(C1485,'GIS-Standards'!$B$2:$B$305,0))</f>
        <v>#N/A</v>
      </c>
      <c r="M1485" t="s">
        <v>525</v>
      </c>
      <c r="N1485">
        <f>INDEX('GIS-Standards'!$I$2:$I$305,MATCH(B1485,'GIS-Standards'!$B$2:$B$305,0))</f>
        <v>0</v>
      </c>
      <c r="O1485" t="e">
        <f>INDEX('GIS-Standards'!$I$2:$I$305,MATCH(C1485,'GIS-Standards'!$B$2:$B$305,0))</f>
        <v>#N/A</v>
      </c>
      <c r="P1485" t="e">
        <f>AND(TableRelationships12[[#This Row],[Source Type]]="BIM",TableRelationships12[[#This Row],[Target Type]]="BIM")</f>
        <v>#N/A</v>
      </c>
      <c r="Q1485">
        <f t="shared" si="69"/>
        <v>1</v>
      </c>
      <c r="S1485">
        <f t="shared" si="70"/>
        <v>1</v>
      </c>
      <c r="T1485" s="102" t="str">
        <f>IF(TableRelationships12[[#This Row],[Rank Pedro]]="Low","linkCategory1",IF(TableRelationships12[[#This Row],[Rank Pedro]]="Medium","linkCategory2",IF(TableRelationships12[[#This Row],[Rank Pedro]]="High","linkCategory3","")))</f>
        <v/>
      </c>
      <c r="U1485" s="102" t="str">
        <f>IF(TableRelationships12[[#This Row],[Rank Pedro]]="Low","Pink",IF(TableRelationships12[[#This Row],[Rank Pedro]]="Medium","Purple",IF(TableRelationships12[[#This Row],[Rank Pedro]]="High","Brown","")))</f>
        <v/>
      </c>
      <c r="V1485" s="4">
        <f>MAX(INDEX(Standards!$F$2:$F$296,MATCH(B1485,Standards!$B$2:$B$296,0)),INDEX(Standards!$F$2:$F$296,MATCH(C1485,Standards!$B$2:$B$296,0)))</f>
        <v>43466</v>
      </c>
      <c r="W1485" t="str">
        <f t="shared" si="71"/>
        <v>#2f89d1</v>
      </c>
    </row>
    <row r="1486" spans="1:23" x14ac:dyDescent="0.5">
      <c r="A1486" s="54">
        <v>1485</v>
      </c>
      <c r="B1486" s="90" t="s">
        <v>348</v>
      </c>
      <c r="C1486" t="s">
        <v>1171</v>
      </c>
      <c r="D1486" s="1"/>
      <c r="E1486" s="112">
        <v>1986.06</v>
      </c>
      <c r="F1486" s="112">
        <v>2015.09</v>
      </c>
      <c r="G1486" s="107" t="s">
        <v>1491</v>
      </c>
      <c r="H1486">
        <f>INDEX('GIS-Standards'!$A$2:$A$305,MATCH(B1486,'GIS-Standards'!$B$2:$B$305,0))</f>
        <v>66</v>
      </c>
      <c r="I1486" t="e">
        <f>INDEX('GIS-Standards'!$A$2:$A$305,MATCH(C1486,'GIS-Standards'!$B$2:$B$305,0))</f>
        <v>#N/A</v>
      </c>
      <c r="J1486" t="str">
        <f>INDEX('GIS-Standards'!$O$2:$O$305,MATCH(B1486,'GIS-Standards'!$B$2:$B$305,0))</f>
        <v>ISO/TC 211</v>
      </c>
      <c r="K1486" t="e">
        <f>INDEX('GIS-Standards'!$O$2:$O$305,MATCH(C1486,'GIS-Standards'!$B$2:$B$305,0))</f>
        <v>#N/A</v>
      </c>
      <c r="M1486" t="s">
        <v>525</v>
      </c>
      <c r="N1486">
        <f>INDEX('GIS-Standards'!$I$2:$I$305,MATCH(B1486,'GIS-Standards'!$B$2:$B$305,0))</f>
        <v>0</v>
      </c>
      <c r="O1486" t="e">
        <f>INDEX('GIS-Standards'!$I$2:$I$305,MATCH(C1486,'GIS-Standards'!$B$2:$B$305,0))</f>
        <v>#N/A</v>
      </c>
      <c r="P1486" t="e">
        <f>AND(TableRelationships12[[#This Row],[Source Type]]="BIM",TableRelationships12[[#This Row],[Target Type]]="BIM")</f>
        <v>#N/A</v>
      </c>
      <c r="Q1486">
        <f t="shared" si="69"/>
        <v>1</v>
      </c>
      <c r="S1486">
        <f t="shared" si="70"/>
        <v>1</v>
      </c>
      <c r="T1486" s="102" t="str">
        <f>IF(TableRelationships12[[#This Row],[Rank Pedro]]="Low","linkCategory1",IF(TableRelationships12[[#This Row],[Rank Pedro]]="Medium","linkCategory2",IF(TableRelationships12[[#This Row],[Rank Pedro]]="High","linkCategory3","")))</f>
        <v/>
      </c>
      <c r="U1486" s="102" t="str">
        <f>IF(TableRelationships12[[#This Row],[Rank Pedro]]="Low","Pink",IF(TableRelationships12[[#This Row],[Rank Pedro]]="Medium","Purple",IF(TableRelationships12[[#This Row],[Rank Pedro]]="High","Brown","")))</f>
        <v/>
      </c>
      <c r="V1486" s="4" t="e">
        <f>MAX(INDEX(Standards!$F$2:$F$296,MATCH(B1486,Standards!$B$2:$B$296,0)),INDEX(Standards!$F$2:$F$296,MATCH(C1486,Standards!$B$2:$B$296,0)))</f>
        <v>#N/A</v>
      </c>
      <c r="W1486" t="str">
        <f t="shared" si="71"/>
        <v>#2f89d1</v>
      </c>
    </row>
    <row r="1487" spans="1:23" x14ac:dyDescent="0.5">
      <c r="A1487" s="54">
        <v>1486</v>
      </c>
      <c r="B1487" s="90" t="s">
        <v>348</v>
      </c>
      <c r="C1487" t="s">
        <v>293</v>
      </c>
      <c r="D1487" s="1"/>
      <c r="E1487" s="112">
        <v>2002.07</v>
      </c>
      <c r="F1487" s="112">
        <v>2014.11</v>
      </c>
      <c r="G1487" s="107" t="s">
        <v>670</v>
      </c>
      <c r="H1487">
        <f>INDEX('GIS-Standards'!$A$2:$A$305,MATCH(B1487,'GIS-Standards'!$B$2:$B$305,0))</f>
        <v>66</v>
      </c>
      <c r="I1487">
        <f>INDEX('GIS-Standards'!$A$2:$A$305,MATCH(C1487,'GIS-Standards'!$B$2:$B$305,0))</f>
        <v>10</v>
      </c>
      <c r="J1487" t="str">
        <f>INDEX('GIS-Standards'!$O$2:$O$305,MATCH(B1487,'GIS-Standards'!$B$2:$B$305,0))</f>
        <v>ISO/TC 211</v>
      </c>
      <c r="K1487" t="str">
        <f>INDEX('GIS-Standards'!$O$2:$O$305,MATCH(C1487,'GIS-Standards'!$B$2:$B$305,0))</f>
        <v>ISO/TC 211</v>
      </c>
      <c r="M1487" t="s">
        <v>525</v>
      </c>
      <c r="N1487">
        <f>INDEX('GIS-Standards'!$I$2:$I$305,MATCH(B1487,'GIS-Standards'!$B$2:$B$305,0))</f>
        <v>0</v>
      </c>
      <c r="O1487">
        <f>INDEX('GIS-Standards'!$I$2:$I$305,MATCH(C1487,'GIS-Standards'!$B$2:$B$305,0))</f>
        <v>0</v>
      </c>
      <c r="P1487" t="b">
        <f>AND(TableRelationships12[[#This Row],[Source Type]]="BIM",TableRelationships12[[#This Row],[Target Type]]="BIM")</f>
        <v>0</v>
      </c>
      <c r="Q1487">
        <f t="shared" si="69"/>
        <v>1</v>
      </c>
      <c r="S1487">
        <f t="shared" si="70"/>
        <v>1</v>
      </c>
      <c r="T1487" s="102" t="str">
        <f>IF(TableRelationships12[[#This Row],[Rank Pedro]]="Low","linkCategory1",IF(TableRelationships12[[#This Row],[Rank Pedro]]="Medium","linkCategory2",IF(TableRelationships12[[#This Row],[Rank Pedro]]="High","linkCategory3","")))</f>
        <v/>
      </c>
      <c r="U1487" s="102" t="str">
        <f>IF(TableRelationships12[[#This Row],[Rank Pedro]]="Low","Pink",IF(TableRelationships12[[#This Row],[Rank Pedro]]="Medium","Purple",IF(TableRelationships12[[#This Row],[Rank Pedro]]="High","Brown","")))</f>
        <v/>
      </c>
      <c r="V1487" s="4">
        <f>MAX(INDEX(Standards!$F$2:$F$296,MATCH(B1487,Standards!$B$2:$B$296,0)),INDEX(Standards!$F$2:$F$296,MATCH(C1487,Standards!$B$2:$B$296,0)))</f>
        <v>37596</v>
      </c>
      <c r="W1487" t="str">
        <f t="shared" si="71"/>
        <v>#2f89d1</v>
      </c>
    </row>
    <row r="1488" spans="1:23" x14ac:dyDescent="0.5">
      <c r="A1488" s="54">
        <v>1487</v>
      </c>
      <c r="B1488" s="90" t="s">
        <v>348</v>
      </c>
      <c r="C1488" t="s">
        <v>296</v>
      </c>
      <c r="D1488" s="1"/>
      <c r="E1488" s="112">
        <v>2005.07</v>
      </c>
      <c r="F1488" s="112">
        <v>2024.09</v>
      </c>
      <c r="G1488" s="107" t="s">
        <v>670</v>
      </c>
      <c r="H1488">
        <f>INDEX('GIS-Standards'!$A$2:$A$305,MATCH(B1488,'GIS-Standards'!$B$2:$B$305,0))</f>
        <v>66</v>
      </c>
      <c r="I1488">
        <f>INDEX('GIS-Standards'!$A$2:$A$305,MATCH(C1488,'GIS-Standards'!$B$2:$B$305,0))</f>
        <v>12</v>
      </c>
      <c r="J1488" t="str">
        <f>INDEX('GIS-Standards'!$O$2:$O$305,MATCH(B1488,'GIS-Standards'!$B$2:$B$305,0))</f>
        <v>ISO/TC 211</v>
      </c>
      <c r="K1488" t="str">
        <f>INDEX('GIS-Standards'!$O$2:$O$305,MATCH(C1488,'GIS-Standards'!$B$2:$B$305,0))</f>
        <v>ISO/TC 211</v>
      </c>
      <c r="M1488" t="s">
        <v>525</v>
      </c>
      <c r="N1488">
        <f>INDEX('GIS-Standards'!$I$2:$I$305,MATCH(B1488,'GIS-Standards'!$B$2:$B$305,0))</f>
        <v>0</v>
      </c>
      <c r="O1488">
        <f>INDEX('GIS-Standards'!$I$2:$I$305,MATCH(C1488,'GIS-Standards'!$B$2:$B$305,0))</f>
        <v>0</v>
      </c>
      <c r="P1488" t="b">
        <f>AND(TableRelationships12[[#This Row],[Source Type]]="BIM",TableRelationships12[[#This Row],[Target Type]]="BIM")</f>
        <v>0</v>
      </c>
      <c r="Q1488">
        <f t="shared" si="69"/>
        <v>1</v>
      </c>
      <c r="S1488">
        <f t="shared" si="70"/>
        <v>1</v>
      </c>
      <c r="T1488" s="102" t="str">
        <f>IF(TableRelationships12[[#This Row],[Rank Pedro]]="Low","linkCategory1",IF(TableRelationships12[[#This Row],[Rank Pedro]]="Medium","linkCategory2",IF(TableRelationships12[[#This Row],[Rank Pedro]]="High","linkCategory3","")))</f>
        <v/>
      </c>
      <c r="U1488" s="102" t="str">
        <f>IF(TableRelationships12[[#This Row],[Rank Pedro]]="Low","Pink",IF(TableRelationships12[[#This Row],[Rank Pedro]]="Medium","Purple",IF(TableRelationships12[[#This Row],[Rank Pedro]]="High","Brown","")))</f>
        <v/>
      </c>
      <c r="V1488" s="4">
        <f>MAX(INDEX(Standards!$F$2:$F$296,MATCH(B1488,Standards!$B$2:$B$296,0)),INDEX(Standards!$F$2:$F$296,MATCH(C1488,Standards!$B$2:$B$296,0)))</f>
        <v>38534</v>
      </c>
      <c r="W1488" t="str">
        <f t="shared" si="71"/>
        <v>#2f89d1</v>
      </c>
    </row>
    <row r="1489" spans="1:23" x14ac:dyDescent="0.5">
      <c r="A1489" s="54">
        <v>1488</v>
      </c>
      <c r="B1489" s="90" t="s">
        <v>348</v>
      </c>
      <c r="C1489" t="s">
        <v>298</v>
      </c>
      <c r="D1489" s="1"/>
      <c r="E1489" s="112">
        <v>2008.11</v>
      </c>
      <c r="F1489" s="112">
        <v>2016.1</v>
      </c>
      <c r="G1489" s="107" t="s">
        <v>1464</v>
      </c>
      <c r="H1489">
        <f>INDEX('GIS-Standards'!$A$2:$A$305,MATCH(B1489,'GIS-Standards'!$B$2:$B$305,0))</f>
        <v>66</v>
      </c>
      <c r="I1489">
        <f>INDEX('GIS-Standards'!$A$2:$A$305,MATCH(C1489,'GIS-Standards'!$B$2:$B$305,0))</f>
        <v>13</v>
      </c>
      <c r="J1489" t="str">
        <f>INDEX('GIS-Standards'!$O$2:$O$305,MATCH(B1489,'GIS-Standards'!$B$2:$B$305,0))</f>
        <v>ISO/TC 211</v>
      </c>
      <c r="K1489" t="str">
        <f>INDEX('GIS-Standards'!$O$2:$O$305,MATCH(C1489,'GIS-Standards'!$B$2:$B$305,0))</f>
        <v>ISO/TC 211</v>
      </c>
      <c r="M1489" t="s">
        <v>525</v>
      </c>
      <c r="N1489">
        <f>INDEX('GIS-Standards'!$I$2:$I$305,MATCH(B1489,'GIS-Standards'!$B$2:$B$305,0))</f>
        <v>0</v>
      </c>
      <c r="O1489">
        <f>INDEX('GIS-Standards'!$I$2:$I$305,MATCH(C1489,'GIS-Standards'!$B$2:$B$305,0))</f>
        <v>0</v>
      </c>
      <c r="P1489" t="b">
        <f>AND(TableRelationships12[[#This Row],[Source Type]]="BIM",TableRelationships12[[#This Row],[Target Type]]="BIM")</f>
        <v>0</v>
      </c>
      <c r="Q1489">
        <f t="shared" si="69"/>
        <v>1</v>
      </c>
      <c r="S1489">
        <f t="shared" si="70"/>
        <v>1</v>
      </c>
      <c r="T1489" s="102" t="str">
        <f>IF(TableRelationships12[[#This Row],[Rank Pedro]]="Low","linkCategory1",IF(TableRelationships12[[#This Row],[Rank Pedro]]="Medium","linkCategory2",IF(TableRelationships12[[#This Row],[Rank Pedro]]="High","linkCategory3","")))</f>
        <v/>
      </c>
      <c r="U1489" s="102" t="str">
        <f>IF(TableRelationships12[[#This Row],[Rank Pedro]]="Low","Pink",IF(TableRelationships12[[#This Row],[Rank Pedro]]="Medium","Purple",IF(TableRelationships12[[#This Row],[Rank Pedro]]="High","Brown","")))</f>
        <v/>
      </c>
      <c r="V1489" s="4">
        <f>MAX(INDEX(Standards!$F$2:$F$296,MATCH(B1489,Standards!$B$2:$B$296,0)),INDEX(Standards!$F$2:$F$296,MATCH(C1489,Standards!$B$2:$B$296,0)))</f>
        <v>39753</v>
      </c>
      <c r="W1489" t="str">
        <f t="shared" si="71"/>
        <v>#2f89d1</v>
      </c>
    </row>
    <row r="1490" spans="1:23" x14ac:dyDescent="0.5">
      <c r="A1490" s="54">
        <v>1489</v>
      </c>
      <c r="B1490" s="90" t="s">
        <v>348</v>
      </c>
      <c r="C1490" t="s">
        <v>300</v>
      </c>
      <c r="D1490" s="1"/>
      <c r="E1490" s="112">
        <v>2000.12</v>
      </c>
      <c r="F1490" s="112">
        <v>2022.07</v>
      </c>
      <c r="G1490" s="107" t="s">
        <v>670</v>
      </c>
      <c r="H1490">
        <f>INDEX('GIS-Standards'!$A$2:$A$305,MATCH(B1490,'GIS-Standards'!$B$2:$B$305,0))</f>
        <v>66</v>
      </c>
      <c r="I1490">
        <f>INDEX('GIS-Standards'!$A$2:$A$305,MATCH(C1490,'GIS-Standards'!$B$2:$B$305,0))</f>
        <v>14</v>
      </c>
      <c r="J1490" t="str">
        <f>INDEX('GIS-Standards'!$O$2:$O$305,MATCH(B1490,'GIS-Standards'!$B$2:$B$305,0))</f>
        <v>ISO/TC 211</v>
      </c>
      <c r="K1490" t="str">
        <f>INDEX('GIS-Standards'!$O$2:$O$305,MATCH(C1490,'GIS-Standards'!$B$2:$B$305,0))</f>
        <v>ISO/TC 211</v>
      </c>
      <c r="M1490" t="s">
        <v>525</v>
      </c>
      <c r="N1490">
        <f>INDEX('GIS-Standards'!$I$2:$I$305,MATCH(B1490,'GIS-Standards'!$B$2:$B$305,0))</f>
        <v>0</v>
      </c>
      <c r="O1490">
        <f>INDEX('GIS-Standards'!$I$2:$I$305,MATCH(C1490,'GIS-Standards'!$B$2:$B$305,0))</f>
        <v>0</v>
      </c>
      <c r="P1490" t="b">
        <f>AND(TableRelationships12[[#This Row],[Source Type]]="BIM",TableRelationships12[[#This Row],[Target Type]]="BIM")</f>
        <v>0</v>
      </c>
      <c r="Q1490">
        <f t="shared" si="69"/>
        <v>1</v>
      </c>
      <c r="S1490">
        <f t="shared" si="70"/>
        <v>1</v>
      </c>
      <c r="T1490" s="102" t="str">
        <f>IF(TableRelationships12[[#This Row],[Rank Pedro]]="Low","linkCategory1",IF(TableRelationships12[[#This Row],[Rank Pedro]]="Medium","linkCategory2",IF(TableRelationships12[[#This Row],[Rank Pedro]]="High","linkCategory3","")))</f>
        <v/>
      </c>
      <c r="U1490" s="102" t="str">
        <f>IF(TableRelationships12[[#This Row],[Rank Pedro]]="Low","Pink",IF(TableRelationships12[[#This Row],[Rank Pedro]]="Medium","Purple",IF(TableRelationships12[[#This Row],[Rank Pedro]]="High","Brown","")))</f>
        <v/>
      </c>
      <c r="V1490" s="4">
        <f>MAX(INDEX(Standards!$F$2:$F$296,MATCH(B1490,Standards!$B$2:$B$296,0)),INDEX(Standards!$F$2:$F$296,MATCH(C1490,Standards!$B$2:$B$296,0)))</f>
        <v>37596</v>
      </c>
      <c r="W1490" t="str">
        <f t="shared" si="71"/>
        <v>#2f89d1</v>
      </c>
    </row>
    <row r="1491" spans="1:23" x14ac:dyDescent="0.5">
      <c r="A1491" s="54">
        <v>1490</v>
      </c>
      <c r="B1491" s="90" t="s">
        <v>348</v>
      </c>
      <c r="C1491" t="s">
        <v>304</v>
      </c>
      <c r="D1491" s="1"/>
      <c r="E1491" s="112">
        <v>2002.09</v>
      </c>
      <c r="F1491" s="112">
        <v>2006.1</v>
      </c>
      <c r="G1491" s="107" t="s">
        <v>670</v>
      </c>
      <c r="H1491">
        <f>INDEX('GIS-Standards'!$A$2:$A$305,MATCH(B1491,'GIS-Standards'!$B$2:$B$305,0))</f>
        <v>66</v>
      </c>
      <c r="I1491">
        <f>INDEX('GIS-Standards'!$A$2:$A$305,MATCH(C1491,'GIS-Standards'!$B$2:$B$305,0))</f>
        <v>17</v>
      </c>
      <c r="J1491" t="str">
        <f>INDEX('GIS-Standards'!$O$2:$O$305,MATCH(B1491,'GIS-Standards'!$B$2:$B$305,0))</f>
        <v>ISO/TC 211</v>
      </c>
      <c r="K1491" t="str">
        <f>INDEX('GIS-Standards'!$O$2:$O$305,MATCH(C1491,'GIS-Standards'!$B$2:$B$305,0))</f>
        <v>ISO/TC 211</v>
      </c>
      <c r="M1491" t="s">
        <v>525</v>
      </c>
      <c r="N1491">
        <f>INDEX('GIS-Standards'!$I$2:$I$305,MATCH(B1491,'GIS-Standards'!$B$2:$B$305,0))</f>
        <v>0</v>
      </c>
      <c r="O1491" t="str">
        <f>INDEX('GIS-Standards'!$I$2:$I$305,MATCH(C1491,'GIS-Standards'!$B$2:$B$305,0))</f>
        <v>06.2008</v>
      </c>
      <c r="P1491" t="b">
        <f>AND(TableRelationships12[[#This Row],[Source Type]]="BIM",TableRelationships12[[#This Row],[Target Type]]="BIM")</f>
        <v>0</v>
      </c>
      <c r="Q1491">
        <f t="shared" si="69"/>
        <v>1</v>
      </c>
      <c r="S1491">
        <f t="shared" si="70"/>
        <v>1</v>
      </c>
      <c r="T1491" s="102" t="str">
        <f>IF(TableRelationships12[[#This Row],[Rank Pedro]]="Low","linkCategory1",IF(TableRelationships12[[#This Row],[Rank Pedro]]="Medium","linkCategory2",IF(TableRelationships12[[#This Row],[Rank Pedro]]="High","linkCategory3","")))</f>
        <v/>
      </c>
      <c r="U1491" s="102" t="str">
        <f>IF(TableRelationships12[[#This Row],[Rank Pedro]]="Low","Pink",IF(TableRelationships12[[#This Row],[Rank Pedro]]="Medium","Purple",IF(TableRelationships12[[#This Row],[Rank Pedro]]="High","Brown","")))</f>
        <v/>
      </c>
      <c r="V1491" s="4">
        <f>MAX(INDEX(Standards!$F$2:$F$296,MATCH(B1491,Standards!$B$2:$B$296,0)),INDEX(Standards!$F$2:$F$296,MATCH(C1491,Standards!$B$2:$B$296,0)))</f>
        <v>37596</v>
      </c>
      <c r="W1491" t="str">
        <f t="shared" si="71"/>
        <v>#2f89d1</v>
      </c>
    </row>
    <row r="1492" spans="1:23" x14ac:dyDescent="0.5">
      <c r="A1492" s="54">
        <v>1491</v>
      </c>
      <c r="B1492" s="90" t="s">
        <v>348</v>
      </c>
      <c r="C1492" t="s">
        <v>306</v>
      </c>
      <c r="D1492" s="1"/>
      <c r="E1492" s="112">
        <v>2005.06</v>
      </c>
      <c r="F1492" s="112">
        <v>2025.07</v>
      </c>
      <c r="G1492" s="107" t="s">
        <v>670</v>
      </c>
      <c r="H1492">
        <f>INDEX('GIS-Standards'!$A$2:$A$305,MATCH(B1492,'GIS-Standards'!$B$2:$B$305,0))</f>
        <v>66</v>
      </c>
      <c r="I1492">
        <f>INDEX('GIS-Standards'!$A$2:$A$305,MATCH(C1492,'GIS-Standards'!$B$2:$B$305,0))</f>
        <v>18</v>
      </c>
      <c r="J1492" t="str">
        <f>INDEX('GIS-Standards'!$O$2:$O$305,MATCH(B1492,'GIS-Standards'!$B$2:$B$305,0))</f>
        <v>ISO/TC 211</v>
      </c>
      <c r="K1492" t="str">
        <f>INDEX('GIS-Standards'!$O$2:$O$305,MATCH(C1492,'GIS-Standards'!$B$2:$B$305,0))</f>
        <v>ISO/TC 211</v>
      </c>
      <c r="M1492" t="s">
        <v>525</v>
      </c>
      <c r="N1492">
        <f>INDEX('GIS-Standards'!$I$2:$I$305,MATCH(B1492,'GIS-Standards'!$B$2:$B$305,0))</f>
        <v>0</v>
      </c>
      <c r="O1492">
        <f>INDEX('GIS-Standards'!$I$2:$I$305,MATCH(C1492,'GIS-Standards'!$B$2:$B$305,0))</f>
        <v>0</v>
      </c>
      <c r="P1492" t="b">
        <f>AND(TableRelationships12[[#This Row],[Source Type]]="BIM",TableRelationships12[[#This Row],[Target Type]]="BIM")</f>
        <v>0</v>
      </c>
      <c r="Q1492">
        <f t="shared" si="69"/>
        <v>1</v>
      </c>
      <c r="S1492">
        <f t="shared" si="70"/>
        <v>1</v>
      </c>
      <c r="T1492" s="102" t="str">
        <f>IF(TableRelationships12[[#This Row],[Rank Pedro]]="Low","linkCategory1",IF(TableRelationships12[[#This Row],[Rank Pedro]]="Medium","linkCategory2",IF(TableRelationships12[[#This Row],[Rank Pedro]]="High","linkCategory3","")))</f>
        <v/>
      </c>
      <c r="U1492" s="102" t="str">
        <f>IF(TableRelationships12[[#This Row],[Rank Pedro]]="Low","Pink",IF(TableRelationships12[[#This Row],[Rank Pedro]]="Medium","Purple",IF(TableRelationships12[[#This Row],[Rank Pedro]]="High","Brown","")))</f>
        <v/>
      </c>
      <c r="V1492" s="4">
        <f>MAX(INDEX(Standards!$F$2:$F$296,MATCH(B1492,Standards!$B$2:$B$296,0)),INDEX(Standards!$F$2:$F$296,MATCH(C1492,Standards!$B$2:$B$296,0)))</f>
        <v>38504</v>
      </c>
      <c r="W1492" t="str">
        <f t="shared" si="71"/>
        <v>#2f89d1</v>
      </c>
    </row>
    <row r="1493" spans="1:23" x14ac:dyDescent="0.5">
      <c r="A1493" s="54">
        <v>1492</v>
      </c>
      <c r="B1493" s="90" t="s">
        <v>348</v>
      </c>
      <c r="C1493" t="s">
        <v>308</v>
      </c>
      <c r="D1493" s="1"/>
      <c r="E1493" s="112">
        <v>2005.02</v>
      </c>
      <c r="F1493" s="112">
        <v>2016.12</v>
      </c>
      <c r="G1493" s="107" t="s">
        <v>670</v>
      </c>
      <c r="H1493">
        <f>INDEX('GIS-Standards'!$A$2:$A$305,MATCH(B1493,'GIS-Standards'!$B$2:$B$305,0))</f>
        <v>66</v>
      </c>
      <c r="I1493">
        <f>INDEX('GIS-Standards'!$A$2:$A$305,MATCH(C1493,'GIS-Standards'!$B$2:$B$305,0))</f>
        <v>19</v>
      </c>
      <c r="J1493" t="str">
        <f>INDEX('GIS-Standards'!$O$2:$O$305,MATCH(B1493,'GIS-Standards'!$B$2:$B$305,0))</f>
        <v>ISO/TC 211</v>
      </c>
      <c r="K1493" t="str">
        <f>INDEX('GIS-Standards'!$O$2:$O$305,MATCH(C1493,'GIS-Standards'!$B$2:$B$305,0))</f>
        <v>ISO/TC 211</v>
      </c>
      <c r="M1493" t="s">
        <v>525</v>
      </c>
      <c r="N1493">
        <f>INDEX('GIS-Standards'!$I$2:$I$305,MATCH(B1493,'GIS-Standards'!$B$2:$B$305,0))</f>
        <v>0</v>
      </c>
      <c r="O1493">
        <f>INDEX('GIS-Standards'!$I$2:$I$305,MATCH(C1493,'GIS-Standards'!$B$2:$B$305,0))</f>
        <v>0</v>
      </c>
      <c r="P1493" t="b">
        <f>AND(TableRelationships12[[#This Row],[Source Type]]="BIM",TableRelationships12[[#This Row],[Target Type]]="BIM")</f>
        <v>0</v>
      </c>
      <c r="Q1493">
        <f t="shared" si="69"/>
        <v>1</v>
      </c>
      <c r="S1493">
        <f t="shared" si="70"/>
        <v>1</v>
      </c>
      <c r="T1493" s="102" t="str">
        <f>IF(TableRelationships12[[#This Row],[Rank Pedro]]="Low","linkCategory1",IF(TableRelationships12[[#This Row],[Rank Pedro]]="Medium","linkCategory2",IF(TableRelationships12[[#This Row],[Rank Pedro]]="High","linkCategory3","")))</f>
        <v/>
      </c>
      <c r="U1493" s="102" t="str">
        <f>IF(TableRelationships12[[#This Row],[Rank Pedro]]="Low","Pink",IF(TableRelationships12[[#This Row],[Rank Pedro]]="Medium","Purple",IF(TableRelationships12[[#This Row],[Rank Pedro]]="High","Brown","")))</f>
        <v/>
      </c>
      <c r="V1493" s="4">
        <f>MAX(INDEX(Standards!$F$2:$F$296,MATCH(B1493,Standards!$B$2:$B$296,0)),INDEX(Standards!$F$2:$F$296,MATCH(C1493,Standards!$B$2:$B$296,0)))</f>
        <v>38384</v>
      </c>
      <c r="W1493" t="str">
        <f t="shared" si="71"/>
        <v>#2f89d1</v>
      </c>
    </row>
    <row r="1494" spans="1:23" x14ac:dyDescent="0.5">
      <c r="A1494" s="54">
        <v>1493</v>
      </c>
      <c r="B1494" s="90" t="s">
        <v>348</v>
      </c>
      <c r="C1494" t="s">
        <v>314</v>
      </c>
      <c r="D1494" s="1"/>
      <c r="E1494" s="112">
        <v>2003.05</v>
      </c>
      <c r="F1494" s="112">
        <v>2020.11</v>
      </c>
      <c r="G1494" s="107" t="s">
        <v>670</v>
      </c>
      <c r="H1494">
        <f>INDEX('GIS-Standards'!$A$2:$A$305,MATCH(B1494,'GIS-Standards'!$B$2:$B$305,0))</f>
        <v>66</v>
      </c>
      <c r="I1494">
        <f>INDEX('GIS-Standards'!$A$2:$A$305,MATCH(C1494,'GIS-Standards'!$B$2:$B$305,0))</f>
        <v>22</v>
      </c>
      <c r="J1494" t="str">
        <f>INDEX('GIS-Standards'!$O$2:$O$305,MATCH(B1494,'GIS-Standards'!$B$2:$B$305,0))</f>
        <v>ISO/TC 211</v>
      </c>
      <c r="K1494" t="str">
        <f>INDEX('GIS-Standards'!$O$2:$O$305,MATCH(C1494,'GIS-Standards'!$B$2:$B$305,0))</f>
        <v>ISO/TC 211</v>
      </c>
      <c r="M1494" t="s">
        <v>525</v>
      </c>
      <c r="N1494">
        <f>INDEX('GIS-Standards'!$I$2:$I$305,MATCH(B1494,'GIS-Standards'!$B$2:$B$305,0))</f>
        <v>0</v>
      </c>
      <c r="O1494" t="str">
        <f>INDEX('GIS-Standards'!$I$2:$I$305,MATCH(C1494,'GIS-Standards'!$B$2:$B$305,0))</f>
        <v>12.2020</v>
      </c>
      <c r="P1494" t="b">
        <f>AND(TableRelationships12[[#This Row],[Source Type]]="BIM",TableRelationships12[[#This Row],[Target Type]]="BIM")</f>
        <v>0</v>
      </c>
      <c r="Q1494">
        <f t="shared" si="69"/>
        <v>1</v>
      </c>
      <c r="S1494">
        <f t="shared" si="70"/>
        <v>1</v>
      </c>
      <c r="T1494" s="102" t="str">
        <f>IF(TableRelationships12[[#This Row],[Rank Pedro]]="Low","linkCategory1",IF(TableRelationships12[[#This Row],[Rank Pedro]]="Medium","linkCategory2",IF(TableRelationships12[[#This Row],[Rank Pedro]]="High","linkCategory3","")))</f>
        <v/>
      </c>
      <c r="U1494" s="102" t="str">
        <f>IF(TableRelationships12[[#This Row],[Rank Pedro]]="Low","Pink",IF(TableRelationships12[[#This Row],[Rank Pedro]]="Medium","Purple",IF(TableRelationships12[[#This Row],[Rank Pedro]]="High","Brown","")))</f>
        <v/>
      </c>
      <c r="V1494" s="4">
        <f>MAX(INDEX(Standards!$F$2:$F$296,MATCH(B1494,Standards!$B$2:$B$296,0)),INDEX(Standards!$F$2:$F$296,MATCH(C1494,Standards!$B$2:$B$296,0)))</f>
        <v>37742</v>
      </c>
      <c r="W1494" t="str">
        <f t="shared" si="71"/>
        <v>#2f89d1</v>
      </c>
    </row>
    <row r="1495" spans="1:23" x14ac:dyDescent="0.5">
      <c r="A1495" s="54">
        <v>1494</v>
      </c>
      <c r="B1495" s="90" t="s">
        <v>348</v>
      </c>
      <c r="C1495" t="s">
        <v>1043</v>
      </c>
      <c r="D1495" s="1"/>
      <c r="E1495" s="112">
        <v>2004.07</v>
      </c>
      <c r="F1495" s="112">
        <v>2025.04</v>
      </c>
      <c r="G1495" s="107" t="s">
        <v>670</v>
      </c>
      <c r="H1495">
        <f>INDEX('GIS-Standards'!$A$2:$A$305,MATCH(B1495,'GIS-Standards'!$B$2:$B$305,0))</f>
        <v>66</v>
      </c>
      <c r="I1495">
        <f>INDEX('GIS-Standards'!$A$2:$A$305,MATCH(C1495,'GIS-Standards'!$B$2:$B$305,0))</f>
        <v>25</v>
      </c>
      <c r="J1495" t="str">
        <f>INDEX('GIS-Standards'!$O$2:$O$305,MATCH(B1495,'GIS-Standards'!$B$2:$B$305,0))</f>
        <v>ISO/TC 211</v>
      </c>
      <c r="K1495" t="str">
        <f>INDEX('GIS-Standards'!$O$2:$O$305,MATCH(C1495,'GIS-Standards'!$B$2:$B$305,0))</f>
        <v>ISO/TC 211</v>
      </c>
      <c r="M1495" t="s">
        <v>525</v>
      </c>
      <c r="N1495">
        <f>INDEX('GIS-Standards'!$I$2:$I$305,MATCH(B1495,'GIS-Standards'!$B$2:$B$305,0))</f>
        <v>0</v>
      </c>
      <c r="O1495">
        <f>INDEX('GIS-Standards'!$I$2:$I$305,MATCH(C1495,'GIS-Standards'!$B$2:$B$305,0))</f>
        <v>0</v>
      </c>
      <c r="P1495" t="b">
        <f>AND(TableRelationships12[[#This Row],[Source Type]]="BIM",TableRelationships12[[#This Row],[Target Type]]="BIM")</f>
        <v>0</v>
      </c>
      <c r="Q1495">
        <f t="shared" si="69"/>
        <v>1</v>
      </c>
      <c r="S1495">
        <f t="shared" si="70"/>
        <v>1</v>
      </c>
      <c r="T1495" s="102" t="str">
        <f>IF(TableRelationships12[[#This Row],[Rank Pedro]]="Low","linkCategory1",IF(TableRelationships12[[#This Row],[Rank Pedro]]="Medium","linkCategory2",IF(TableRelationships12[[#This Row],[Rank Pedro]]="High","linkCategory3","")))</f>
        <v/>
      </c>
      <c r="U1495" s="102" t="str">
        <f>IF(TableRelationships12[[#This Row],[Rank Pedro]]="Low","Pink",IF(TableRelationships12[[#This Row],[Rank Pedro]]="Medium","Purple",IF(TableRelationships12[[#This Row],[Rank Pedro]]="High","Brown","")))</f>
        <v/>
      </c>
      <c r="V1495" s="4" t="e">
        <f>MAX(INDEX(Standards!$F$2:$F$296,MATCH(B1495,Standards!$B$2:$B$296,0)),INDEX(Standards!$F$2:$F$296,MATCH(C1495,Standards!$B$2:$B$296,0)))</f>
        <v>#N/A</v>
      </c>
      <c r="W1495" t="str">
        <f t="shared" si="71"/>
        <v>#2f89d1</v>
      </c>
    </row>
    <row r="1496" spans="1:23" x14ac:dyDescent="0.5">
      <c r="A1496" s="54">
        <v>1495</v>
      </c>
      <c r="B1496" s="90" t="s">
        <v>348</v>
      </c>
      <c r="C1496" t="s">
        <v>320</v>
      </c>
      <c r="D1496" s="1"/>
      <c r="E1496" s="112">
        <v>2005.08</v>
      </c>
      <c r="F1496" s="112">
        <v>2023.06</v>
      </c>
      <c r="G1496" s="107" t="s">
        <v>670</v>
      </c>
      <c r="H1496">
        <f>INDEX('GIS-Standards'!$A$2:$A$305,MATCH(B1496,'GIS-Standards'!$B$2:$B$305,0))</f>
        <v>66</v>
      </c>
      <c r="I1496">
        <f>INDEX('GIS-Standards'!$A$2:$A$305,MATCH(C1496,'GIS-Standards'!$B$2:$B$305,0))</f>
        <v>29</v>
      </c>
      <c r="J1496" t="str">
        <f>INDEX('GIS-Standards'!$O$2:$O$305,MATCH(B1496,'GIS-Standards'!$B$2:$B$305,0))</f>
        <v>ISO/TC 211</v>
      </c>
      <c r="K1496" t="str">
        <f>INDEX('GIS-Standards'!$O$2:$O$305,MATCH(C1496,'GIS-Standards'!$B$2:$B$305,0))</f>
        <v>ISO/TC 211</v>
      </c>
      <c r="M1496" t="s">
        <v>525</v>
      </c>
      <c r="N1496">
        <f>INDEX('GIS-Standards'!$I$2:$I$305,MATCH(B1496,'GIS-Standards'!$B$2:$B$305,0))</f>
        <v>0</v>
      </c>
      <c r="O1496">
        <f>INDEX('GIS-Standards'!$I$2:$I$305,MATCH(C1496,'GIS-Standards'!$B$2:$B$305,0))</f>
        <v>0</v>
      </c>
      <c r="P1496" t="b">
        <f>AND(TableRelationships12[[#This Row],[Source Type]]="BIM",TableRelationships12[[#This Row],[Target Type]]="BIM")</f>
        <v>0</v>
      </c>
      <c r="Q1496">
        <f t="shared" si="69"/>
        <v>1</v>
      </c>
      <c r="S1496">
        <f t="shared" si="70"/>
        <v>1</v>
      </c>
      <c r="T1496" s="102" t="str">
        <f>IF(TableRelationships12[[#This Row],[Rank Pedro]]="Low","linkCategory1",IF(TableRelationships12[[#This Row],[Rank Pedro]]="Medium","linkCategory2",IF(TableRelationships12[[#This Row],[Rank Pedro]]="High","linkCategory3","")))</f>
        <v/>
      </c>
      <c r="U1496" s="102" t="str">
        <f>IF(TableRelationships12[[#This Row],[Rank Pedro]]="Low","Pink",IF(TableRelationships12[[#This Row],[Rank Pedro]]="Medium","Purple",IF(TableRelationships12[[#This Row],[Rank Pedro]]="High","Brown","")))</f>
        <v/>
      </c>
      <c r="V1496" s="4">
        <f>MAX(INDEX(Standards!$F$2:$F$296,MATCH(B1496,Standards!$B$2:$B$296,0)),INDEX(Standards!$F$2:$F$296,MATCH(C1496,Standards!$B$2:$B$296,0)))</f>
        <v>38565</v>
      </c>
      <c r="W1496" t="str">
        <f t="shared" si="71"/>
        <v>#2f89d1</v>
      </c>
    </row>
    <row r="1497" spans="1:23" x14ac:dyDescent="0.5">
      <c r="A1497" s="54">
        <v>1496</v>
      </c>
      <c r="B1497" s="90" t="s">
        <v>348</v>
      </c>
      <c r="C1497" t="s">
        <v>328</v>
      </c>
      <c r="D1497" s="1"/>
      <c r="E1497" s="112">
        <v>2007.04</v>
      </c>
      <c r="F1497" s="112">
        <v>2022.11</v>
      </c>
      <c r="G1497" s="107" t="s">
        <v>670</v>
      </c>
      <c r="H1497">
        <f>INDEX('GIS-Standards'!$A$2:$A$305,MATCH(B1497,'GIS-Standards'!$B$2:$B$305,0))</f>
        <v>66</v>
      </c>
      <c r="I1497">
        <f>INDEX('GIS-Standards'!$A$2:$A$305,MATCH(C1497,'GIS-Standards'!$B$2:$B$305,0))</f>
        <v>37</v>
      </c>
      <c r="J1497" t="str">
        <f>INDEX('GIS-Standards'!$O$2:$O$305,MATCH(B1497,'GIS-Standards'!$B$2:$B$305,0))</f>
        <v>ISO/TC 211</v>
      </c>
      <c r="K1497" t="str">
        <f>INDEX('GIS-Standards'!$O$2:$O$305,MATCH(C1497,'GIS-Standards'!$B$2:$B$305,0))</f>
        <v>ISO/TC 211</v>
      </c>
      <c r="M1497" t="s">
        <v>525</v>
      </c>
      <c r="N1497">
        <f>INDEX('GIS-Standards'!$I$2:$I$305,MATCH(B1497,'GIS-Standards'!$B$2:$B$305,0))</f>
        <v>0</v>
      </c>
      <c r="O1497">
        <f>INDEX('GIS-Standards'!$I$2:$I$305,MATCH(C1497,'GIS-Standards'!$B$2:$B$305,0))</f>
        <v>0</v>
      </c>
      <c r="P1497" t="b">
        <f>AND(TableRelationships12[[#This Row],[Source Type]]="BIM",TableRelationships12[[#This Row],[Target Type]]="BIM")</f>
        <v>0</v>
      </c>
      <c r="Q1497">
        <f t="shared" si="69"/>
        <v>1</v>
      </c>
      <c r="S1497">
        <f t="shared" si="70"/>
        <v>1</v>
      </c>
      <c r="T1497" s="102" t="str">
        <f>IF(TableRelationships12[[#This Row],[Rank Pedro]]="Low","linkCategory1",IF(TableRelationships12[[#This Row],[Rank Pedro]]="Medium","linkCategory2",IF(TableRelationships12[[#This Row],[Rank Pedro]]="High","linkCategory3","")))</f>
        <v/>
      </c>
      <c r="U1497" s="102" t="str">
        <f>IF(TableRelationships12[[#This Row],[Rank Pedro]]="Low","Pink",IF(TableRelationships12[[#This Row],[Rank Pedro]]="Medium","Purple",IF(TableRelationships12[[#This Row],[Rank Pedro]]="High","Brown","")))</f>
        <v/>
      </c>
      <c r="V1497" s="4">
        <f>MAX(INDEX(Standards!$F$2:$F$296,MATCH(B1497,Standards!$B$2:$B$296,0)),INDEX(Standards!$F$2:$F$296,MATCH(C1497,Standards!$B$2:$B$296,0)))</f>
        <v>39173</v>
      </c>
      <c r="W1497" t="str">
        <f t="shared" si="71"/>
        <v>#2f89d1</v>
      </c>
    </row>
    <row r="1498" spans="1:23" x14ac:dyDescent="0.5">
      <c r="A1498" s="54">
        <v>1497</v>
      </c>
      <c r="B1498" s="90" t="s">
        <v>348</v>
      </c>
      <c r="C1498" t="s">
        <v>1048</v>
      </c>
      <c r="D1498" s="1"/>
      <c r="E1498" s="112">
        <v>2005.1</v>
      </c>
      <c r="F1498" s="112">
        <v>2021.02</v>
      </c>
      <c r="G1498" s="107" t="s">
        <v>670</v>
      </c>
      <c r="H1498">
        <f>INDEX('GIS-Standards'!$A$2:$A$305,MATCH(B1498,'GIS-Standards'!$B$2:$B$305,0))</f>
        <v>66</v>
      </c>
      <c r="I1498">
        <f>INDEX('GIS-Standards'!$A$2:$A$305,MATCH(C1498,'GIS-Standards'!$B$2:$B$305,0))</f>
        <v>41</v>
      </c>
      <c r="J1498" t="str">
        <f>INDEX('GIS-Standards'!$O$2:$O$305,MATCH(B1498,'GIS-Standards'!$B$2:$B$305,0))</f>
        <v>ISO/TC 211</v>
      </c>
      <c r="K1498" t="str">
        <f>INDEX('GIS-Standards'!$O$2:$O$305,MATCH(C1498,'GIS-Standards'!$B$2:$B$305,0))</f>
        <v>ISO/TC 211</v>
      </c>
      <c r="M1498" t="s">
        <v>525</v>
      </c>
      <c r="N1498">
        <f>INDEX('GIS-Standards'!$I$2:$I$305,MATCH(B1498,'GIS-Standards'!$B$2:$B$305,0))</f>
        <v>0</v>
      </c>
      <c r="O1498" t="str">
        <f>INDEX('GIS-Standards'!$I$2:$I$305,MATCH(C1498,'GIS-Standards'!$B$2:$B$305,0))</f>
        <v>03.2021</v>
      </c>
      <c r="P1498" t="b">
        <f>AND(TableRelationships12[[#This Row],[Source Type]]="BIM",TableRelationships12[[#This Row],[Target Type]]="BIM")</f>
        <v>0</v>
      </c>
      <c r="Q1498">
        <f t="shared" si="69"/>
        <v>1</v>
      </c>
      <c r="S1498">
        <f t="shared" si="70"/>
        <v>1</v>
      </c>
      <c r="T1498" s="102" t="str">
        <f>IF(TableRelationships12[[#This Row],[Rank Pedro]]="Low","linkCategory1",IF(TableRelationships12[[#This Row],[Rank Pedro]]="Medium","linkCategory2",IF(TableRelationships12[[#This Row],[Rank Pedro]]="High","linkCategory3","")))</f>
        <v/>
      </c>
      <c r="U1498" s="102" t="str">
        <f>IF(TableRelationships12[[#This Row],[Rank Pedro]]="Low","Pink",IF(TableRelationships12[[#This Row],[Rank Pedro]]="Medium","Purple",IF(TableRelationships12[[#This Row],[Rank Pedro]]="High","Brown","")))</f>
        <v/>
      </c>
      <c r="V1498" s="4" t="e">
        <f>MAX(INDEX(Standards!$F$2:$F$296,MATCH(B1498,Standards!$B$2:$B$296,0)),INDEX(Standards!$F$2:$F$296,MATCH(C1498,Standards!$B$2:$B$296,0)))</f>
        <v>#N/A</v>
      </c>
      <c r="W1498" t="str">
        <f t="shared" si="71"/>
        <v>#2f89d1</v>
      </c>
    </row>
    <row r="1499" spans="1:23" x14ac:dyDescent="0.5">
      <c r="A1499" s="54">
        <v>1498</v>
      </c>
      <c r="B1499" s="90" t="s">
        <v>348</v>
      </c>
      <c r="C1499" t="s">
        <v>1053</v>
      </c>
      <c r="D1499" s="1"/>
      <c r="E1499" s="113">
        <v>2011.12</v>
      </c>
      <c r="F1499" s="113">
        <v>2023.04</v>
      </c>
      <c r="G1499" s="107" t="s">
        <v>670</v>
      </c>
      <c r="H1499">
        <f>INDEX('GIS-Standards'!$A$2:$A$305,MATCH(B1499,'GIS-Standards'!$B$2:$B$305,0))</f>
        <v>66</v>
      </c>
      <c r="I1499">
        <f>INDEX('GIS-Standards'!$A$2:$A$305,MATCH(C1499,'GIS-Standards'!$B$2:$B$305,0))</f>
        <v>65</v>
      </c>
      <c r="J1499" t="str">
        <f>INDEX('GIS-Standards'!$O$2:$O$305,MATCH(B1499,'GIS-Standards'!$B$2:$B$305,0))</f>
        <v>ISO/TC 211</v>
      </c>
      <c r="K1499" t="str">
        <f>INDEX('GIS-Standards'!$O$2:$O$305,MATCH(C1499,'GIS-Standards'!$B$2:$B$305,0))</f>
        <v>ISO/TC 211</v>
      </c>
      <c r="M1499" t="s">
        <v>525</v>
      </c>
      <c r="N1499">
        <f>INDEX('GIS-Standards'!$I$2:$I$305,MATCH(B1499,'GIS-Standards'!$B$2:$B$305,0))</f>
        <v>0</v>
      </c>
      <c r="O1499">
        <f>INDEX('GIS-Standards'!$I$2:$I$305,MATCH(C1499,'GIS-Standards'!$B$2:$B$305,0))</f>
        <v>0</v>
      </c>
      <c r="P1499" t="b">
        <f>AND(TableRelationships12[[#This Row],[Source Type]]="BIM",TableRelationships12[[#This Row],[Target Type]]="BIM")</f>
        <v>0</v>
      </c>
      <c r="Q1499">
        <f t="shared" si="69"/>
        <v>1</v>
      </c>
      <c r="S1499">
        <f t="shared" si="70"/>
        <v>1</v>
      </c>
      <c r="T1499" s="102" t="str">
        <f>IF(TableRelationships12[[#This Row],[Rank Pedro]]="Low","linkCategory1",IF(TableRelationships12[[#This Row],[Rank Pedro]]="Medium","linkCategory2",IF(TableRelationships12[[#This Row],[Rank Pedro]]="High","linkCategory3","")))</f>
        <v/>
      </c>
      <c r="U1499" s="102" t="str">
        <f>IF(TableRelationships12[[#This Row],[Rank Pedro]]="Low","Pink",IF(TableRelationships12[[#This Row],[Rank Pedro]]="Medium","Purple",IF(TableRelationships12[[#This Row],[Rank Pedro]]="High","Brown","")))</f>
        <v/>
      </c>
      <c r="V1499" s="4" t="e">
        <f>MAX(INDEX(Standards!$F$2:$F$296,MATCH(B1499,Standards!$B$2:$B$296,0)),INDEX(Standards!$F$2:$F$296,MATCH(C1499,Standards!$B$2:$B$296,0)))</f>
        <v>#N/A</v>
      </c>
      <c r="W1499" t="str">
        <f t="shared" si="71"/>
        <v>#2f89d1</v>
      </c>
    </row>
    <row r="1500" spans="1:23" x14ac:dyDescent="0.5">
      <c r="A1500" s="54">
        <v>1499</v>
      </c>
      <c r="B1500" s="90" t="s">
        <v>348</v>
      </c>
      <c r="C1500" t="s">
        <v>1217</v>
      </c>
      <c r="D1500" s="1"/>
      <c r="E1500" s="112">
        <v>2020.02</v>
      </c>
      <c r="F1500" s="112">
        <v>2020.02</v>
      </c>
      <c r="G1500" s="107" t="s">
        <v>670</v>
      </c>
      <c r="H1500">
        <f>INDEX('GIS-Standards'!$A$2:$A$305,MATCH(B1500,'GIS-Standards'!$B$2:$B$305,0))</f>
        <v>66</v>
      </c>
      <c r="I1500" t="e">
        <f>INDEX('GIS-Standards'!$A$2:$A$305,MATCH(C1500,'GIS-Standards'!$B$2:$B$305,0))</f>
        <v>#N/A</v>
      </c>
      <c r="J1500" t="str">
        <f>INDEX('GIS-Standards'!$O$2:$O$305,MATCH(B1500,'GIS-Standards'!$B$2:$B$305,0))</f>
        <v>ISO/TC 211</v>
      </c>
      <c r="K1500" t="e">
        <f>INDEX('GIS-Standards'!$O$2:$O$305,MATCH(C1500,'GIS-Standards'!$B$2:$B$305,0))</f>
        <v>#N/A</v>
      </c>
      <c r="M1500" t="s">
        <v>525</v>
      </c>
      <c r="N1500">
        <f>INDEX('GIS-Standards'!$I$2:$I$305,MATCH(B1500,'GIS-Standards'!$B$2:$B$305,0))</f>
        <v>0</v>
      </c>
      <c r="O1500" t="e">
        <f>INDEX('GIS-Standards'!$I$2:$I$305,MATCH(C1500,'GIS-Standards'!$B$2:$B$305,0))</f>
        <v>#N/A</v>
      </c>
      <c r="P1500" t="e">
        <f>AND(TableRelationships12[[#This Row],[Source Type]]="BIM",TableRelationships12[[#This Row],[Target Type]]="BIM")</f>
        <v>#N/A</v>
      </c>
      <c r="Q1500">
        <f t="shared" si="69"/>
        <v>1</v>
      </c>
      <c r="S1500">
        <f t="shared" si="70"/>
        <v>1</v>
      </c>
      <c r="T1500" s="102" t="str">
        <f>IF(TableRelationships12[[#This Row],[Rank Pedro]]="Low","linkCategory1",IF(TableRelationships12[[#This Row],[Rank Pedro]]="Medium","linkCategory2",IF(TableRelationships12[[#This Row],[Rank Pedro]]="High","linkCategory3","")))</f>
        <v/>
      </c>
      <c r="U1500" s="102" t="str">
        <f>IF(TableRelationships12[[#This Row],[Rank Pedro]]="Low","Pink",IF(TableRelationships12[[#This Row],[Rank Pedro]]="Medium","Purple",IF(TableRelationships12[[#This Row],[Rank Pedro]]="High","Brown","")))</f>
        <v/>
      </c>
      <c r="V1500" s="4" t="e">
        <f>MAX(INDEX(Standards!$F$2:$F$296,MATCH(B1500,Standards!$B$2:$B$296,0)),INDEX(Standards!$F$2:$F$296,MATCH(C1500,Standards!$B$2:$B$296,0)))</f>
        <v>#N/A</v>
      </c>
      <c r="W1500" t="str">
        <f t="shared" si="71"/>
        <v>#2f89d1</v>
      </c>
    </row>
    <row r="1501" spans="1:23" x14ac:dyDescent="0.5">
      <c r="A1501" s="54">
        <v>1500</v>
      </c>
      <c r="B1501" s="90" t="s">
        <v>348</v>
      </c>
      <c r="C1501" t="s">
        <v>474</v>
      </c>
      <c r="D1501" s="1"/>
      <c r="E1501" s="113">
        <v>1974.12</v>
      </c>
      <c r="F1501" s="113">
        <v>2022.1</v>
      </c>
      <c r="G1501" s="107" t="s">
        <v>1511</v>
      </c>
      <c r="H1501">
        <f>INDEX('GIS-Standards'!$A$2:$A$305,MATCH(B1501,'GIS-Standards'!$B$2:$B$305,0))</f>
        <v>66</v>
      </c>
      <c r="I1501" t="e">
        <f>INDEX('GIS-Standards'!$A$2:$A$305,MATCH(C1501,'GIS-Standards'!$B$2:$B$305,0))</f>
        <v>#N/A</v>
      </c>
      <c r="J1501" t="str">
        <f>INDEX('GIS-Standards'!$O$2:$O$305,MATCH(B1501,'GIS-Standards'!$B$2:$B$305,0))</f>
        <v>ISO/TC 211</v>
      </c>
      <c r="K1501" t="e">
        <f>INDEX('GIS-Standards'!$O$2:$O$305,MATCH(C1501,'GIS-Standards'!$B$2:$B$305,0))</f>
        <v>#N/A</v>
      </c>
      <c r="M1501" t="s">
        <v>525</v>
      </c>
      <c r="N1501">
        <f>INDEX('GIS-Standards'!$I$2:$I$305,MATCH(B1501,'GIS-Standards'!$B$2:$B$305,0))</f>
        <v>0</v>
      </c>
      <c r="O1501" t="e">
        <f>INDEX('GIS-Standards'!$I$2:$I$305,MATCH(C1501,'GIS-Standards'!$B$2:$B$305,0))</f>
        <v>#N/A</v>
      </c>
      <c r="P1501" t="e">
        <f>AND(TableRelationships12[[#This Row],[Source Type]]="BIM",TableRelationships12[[#This Row],[Target Type]]="BIM")</f>
        <v>#N/A</v>
      </c>
      <c r="Q1501">
        <f t="shared" si="69"/>
        <v>1</v>
      </c>
      <c r="S1501">
        <f t="shared" si="70"/>
        <v>1</v>
      </c>
      <c r="T1501" s="102" t="str">
        <f>IF(TableRelationships12[[#This Row],[Rank Pedro]]="Low","linkCategory1",IF(TableRelationships12[[#This Row],[Rank Pedro]]="Medium","linkCategory2",IF(TableRelationships12[[#This Row],[Rank Pedro]]="High","linkCategory3","")))</f>
        <v/>
      </c>
      <c r="U1501" s="102" t="str">
        <f>IF(TableRelationships12[[#This Row],[Rank Pedro]]="Low","Pink",IF(TableRelationships12[[#This Row],[Rank Pedro]]="Medium","Purple",IF(TableRelationships12[[#This Row],[Rank Pedro]]="High","Brown","")))</f>
        <v/>
      </c>
      <c r="V1501" s="4">
        <f>MAX(INDEX(Standards!$F$2:$F$296,MATCH(B1501,Standards!$B$2:$B$296,0)),INDEX(Standards!$F$2:$F$296,MATCH(C1501,Standards!$B$2:$B$296,0)))</f>
        <v>39600</v>
      </c>
      <c r="W1501" t="str">
        <f t="shared" si="71"/>
        <v>#2f89d1</v>
      </c>
    </row>
    <row r="1502" spans="1:23" x14ac:dyDescent="0.5">
      <c r="A1502" s="54">
        <v>1501</v>
      </c>
      <c r="B1502" s="90" t="s">
        <v>348</v>
      </c>
      <c r="C1502" t="s">
        <v>1516</v>
      </c>
      <c r="D1502" s="1"/>
      <c r="E1502" s="113">
        <v>1987.01</v>
      </c>
      <c r="F1502" s="113">
        <v>2024.01</v>
      </c>
      <c r="G1502" s="107"/>
      <c r="H1502">
        <f>INDEX('GIS-Standards'!$A$2:$A$305,MATCH(B1502,'GIS-Standards'!$B$2:$B$305,0))</f>
        <v>66</v>
      </c>
      <c r="I1502" t="e">
        <f>INDEX('GIS-Standards'!$A$2:$A$305,MATCH(C1502,'GIS-Standards'!$B$2:$B$305,0))</f>
        <v>#N/A</v>
      </c>
      <c r="J1502" t="str">
        <f>INDEX('GIS-Standards'!$O$2:$O$305,MATCH(B1502,'GIS-Standards'!$B$2:$B$305,0))</f>
        <v>ISO/TC 211</v>
      </c>
      <c r="K1502" t="e">
        <f>INDEX('GIS-Standards'!$O$2:$O$305,MATCH(C1502,'GIS-Standards'!$B$2:$B$305,0))</f>
        <v>#N/A</v>
      </c>
      <c r="M1502" t="s">
        <v>525</v>
      </c>
      <c r="N1502">
        <f>INDEX('GIS-Standards'!$I$2:$I$305,MATCH(B1502,'GIS-Standards'!$B$2:$B$305,0))</f>
        <v>0</v>
      </c>
      <c r="O1502" t="e">
        <f>INDEX('GIS-Standards'!$I$2:$I$305,MATCH(C1502,'GIS-Standards'!$B$2:$B$305,0))</f>
        <v>#N/A</v>
      </c>
      <c r="P1502" t="e">
        <f>AND(TableRelationships12[[#This Row],[Source Type]]="BIM",TableRelationships12[[#This Row],[Target Type]]="BIM")</f>
        <v>#N/A</v>
      </c>
      <c r="Q1502">
        <f t="shared" si="69"/>
        <v>1</v>
      </c>
      <c r="S1502">
        <f t="shared" si="70"/>
        <v>1</v>
      </c>
      <c r="T1502" s="102" t="str">
        <f>IF(TableRelationships12[[#This Row],[Rank Pedro]]="Low","linkCategory1",IF(TableRelationships12[[#This Row],[Rank Pedro]]="Medium","linkCategory2",IF(TableRelationships12[[#This Row],[Rank Pedro]]="High","linkCategory3","")))</f>
        <v/>
      </c>
      <c r="U1502" s="102" t="str">
        <f>IF(TableRelationships12[[#This Row],[Rank Pedro]]="Low","Pink",IF(TableRelationships12[[#This Row],[Rank Pedro]]="Medium","Purple",IF(TableRelationships12[[#This Row],[Rank Pedro]]="High","Brown","")))</f>
        <v/>
      </c>
      <c r="V1502" s="4" t="e">
        <f>MAX(INDEX(Standards!$F$2:$F$296,MATCH(B1502,Standards!$B$2:$B$296,0)),INDEX(Standards!$F$2:$F$296,MATCH(C1502,Standards!$B$2:$B$296,0)))</f>
        <v>#N/A</v>
      </c>
      <c r="W1502" t="str">
        <f t="shared" si="71"/>
        <v>#2f89d1</v>
      </c>
    </row>
    <row r="1503" spans="1:23" x14ac:dyDescent="0.5">
      <c r="A1503" s="54">
        <v>1502</v>
      </c>
      <c r="B1503" s="90" t="s">
        <v>348</v>
      </c>
      <c r="C1503" t="s">
        <v>1143</v>
      </c>
      <c r="D1503" s="1"/>
      <c r="E1503" s="112">
        <v>1993.01</v>
      </c>
      <c r="F1503" s="112">
        <v>2011.11</v>
      </c>
      <c r="G1503" s="107" t="s">
        <v>1519</v>
      </c>
      <c r="H1503">
        <f>INDEX('GIS-Standards'!$A$2:$A$305,MATCH(B1503,'GIS-Standards'!$B$2:$B$305,0))</f>
        <v>66</v>
      </c>
      <c r="I1503" t="e">
        <f>INDEX('GIS-Standards'!$A$2:$A$305,MATCH(C1503,'GIS-Standards'!$B$2:$B$305,0))</f>
        <v>#N/A</v>
      </c>
      <c r="J1503" t="str">
        <f>INDEX('GIS-Standards'!$O$2:$O$305,MATCH(B1503,'GIS-Standards'!$B$2:$B$305,0))</f>
        <v>ISO/TC 211</v>
      </c>
      <c r="K1503" t="e">
        <f>INDEX('GIS-Standards'!$O$2:$O$305,MATCH(C1503,'GIS-Standards'!$B$2:$B$305,0))</f>
        <v>#N/A</v>
      </c>
      <c r="M1503" t="s">
        <v>525</v>
      </c>
      <c r="N1503">
        <f>INDEX('GIS-Standards'!$I$2:$I$305,MATCH(B1503,'GIS-Standards'!$B$2:$B$305,0))</f>
        <v>0</v>
      </c>
      <c r="O1503" t="e">
        <f>INDEX('GIS-Standards'!$I$2:$I$305,MATCH(C1503,'GIS-Standards'!$B$2:$B$305,0))</f>
        <v>#N/A</v>
      </c>
      <c r="P1503" t="e">
        <f>AND(TableRelationships12[[#This Row],[Source Type]]="BIM",TableRelationships12[[#This Row],[Target Type]]="BIM")</f>
        <v>#N/A</v>
      </c>
      <c r="Q1503">
        <f t="shared" si="69"/>
        <v>1</v>
      </c>
      <c r="S1503">
        <f t="shared" si="70"/>
        <v>1</v>
      </c>
      <c r="T1503" s="102" t="str">
        <f>IF(TableRelationships12[[#This Row],[Rank Pedro]]="Low","linkCategory1",IF(TableRelationships12[[#This Row],[Rank Pedro]]="Medium","linkCategory2",IF(TableRelationships12[[#This Row],[Rank Pedro]]="High","linkCategory3","")))</f>
        <v/>
      </c>
      <c r="U1503" s="102" t="str">
        <f>IF(TableRelationships12[[#This Row],[Rank Pedro]]="Low","Pink",IF(TableRelationships12[[#This Row],[Rank Pedro]]="Medium","Purple",IF(TableRelationships12[[#This Row],[Rank Pedro]]="High","Brown","")))</f>
        <v/>
      </c>
      <c r="V1503" s="4" t="e">
        <f>MAX(INDEX(Standards!$F$2:$F$296,MATCH(B1503,Standards!$B$2:$B$296,0)),INDEX(Standards!$F$2:$F$296,MATCH(C1503,Standards!$B$2:$B$296,0)))</f>
        <v>#N/A</v>
      </c>
      <c r="W1503" t="str">
        <f t="shared" si="71"/>
        <v>#2f89d1</v>
      </c>
    </row>
    <row r="1504" spans="1:23" x14ac:dyDescent="0.5">
      <c r="A1504" s="54">
        <v>1503</v>
      </c>
      <c r="B1504" s="90" t="s">
        <v>348</v>
      </c>
      <c r="C1504" t="s">
        <v>1137</v>
      </c>
      <c r="D1504" s="1" t="s">
        <v>1676</v>
      </c>
      <c r="E1504" s="112">
        <v>1993.01</v>
      </c>
      <c r="F1504" s="112">
        <v>2010.09</v>
      </c>
      <c r="G1504" s="107" t="s">
        <v>1520</v>
      </c>
      <c r="H1504">
        <f>INDEX('GIS-Standards'!$A$2:$A$305,MATCH(B1504,'GIS-Standards'!$B$2:$B$305,0))</f>
        <v>66</v>
      </c>
      <c r="I1504" t="e">
        <f>INDEX('GIS-Standards'!$A$2:$A$305,MATCH(C1504,'GIS-Standards'!$B$2:$B$305,0))</f>
        <v>#N/A</v>
      </c>
      <c r="J1504" t="str">
        <f>INDEX('GIS-Standards'!$O$2:$O$305,MATCH(B1504,'GIS-Standards'!$B$2:$B$305,0))</f>
        <v>ISO/TC 211</v>
      </c>
      <c r="K1504" t="e">
        <f>INDEX('GIS-Standards'!$O$2:$O$305,MATCH(C1504,'GIS-Standards'!$B$2:$B$305,0))</f>
        <v>#N/A</v>
      </c>
      <c r="M1504" t="s">
        <v>525</v>
      </c>
      <c r="N1504">
        <f>INDEX('GIS-Standards'!$I$2:$I$305,MATCH(B1504,'GIS-Standards'!$B$2:$B$305,0))</f>
        <v>0</v>
      </c>
      <c r="O1504" t="e">
        <f>INDEX('GIS-Standards'!$I$2:$I$305,MATCH(C1504,'GIS-Standards'!$B$2:$B$305,0))</f>
        <v>#N/A</v>
      </c>
      <c r="P1504" t="e">
        <f>AND(TableRelationships12[[#This Row],[Source Type]]="BIM",TableRelationships12[[#This Row],[Target Type]]="BIM")</f>
        <v>#N/A</v>
      </c>
      <c r="Q1504">
        <f t="shared" si="69"/>
        <v>1</v>
      </c>
      <c r="S1504">
        <f t="shared" si="70"/>
        <v>1</v>
      </c>
      <c r="T1504" s="102" t="str">
        <f>IF(TableRelationships12[[#This Row],[Rank Pedro]]="Low","linkCategory1",IF(TableRelationships12[[#This Row],[Rank Pedro]]="Medium","linkCategory2",IF(TableRelationships12[[#This Row],[Rank Pedro]]="High","linkCategory3","")))</f>
        <v/>
      </c>
      <c r="U1504" s="102" t="str">
        <f>IF(TableRelationships12[[#This Row],[Rank Pedro]]="Low","Pink",IF(TableRelationships12[[#This Row],[Rank Pedro]]="Medium","Purple",IF(TableRelationships12[[#This Row],[Rank Pedro]]="High","Brown","")))</f>
        <v/>
      </c>
      <c r="V1504" s="4" t="e">
        <f>MAX(INDEX(Standards!$F$2:$F$296,MATCH(B1504,Standards!$B$2:$B$296,0)),INDEX(Standards!$F$2:$F$296,MATCH(C1504,Standards!$B$2:$B$296,0)))</f>
        <v>#N/A</v>
      </c>
      <c r="W1504" t="str">
        <f t="shared" si="71"/>
        <v>#2f89d1</v>
      </c>
    </row>
    <row r="1505" spans="1:23" x14ac:dyDescent="0.5">
      <c r="A1505" s="54">
        <v>1504</v>
      </c>
      <c r="B1505" s="90" t="s">
        <v>348</v>
      </c>
      <c r="C1505" t="s">
        <v>1218</v>
      </c>
      <c r="D1505" s="1"/>
      <c r="E1505" s="112">
        <v>2008.12</v>
      </c>
      <c r="F1505" s="112">
        <v>2008.12</v>
      </c>
      <c r="G1505" s="107" t="s">
        <v>1502</v>
      </c>
      <c r="H1505">
        <f>INDEX('GIS-Standards'!$A$2:$A$305,MATCH(B1505,'GIS-Standards'!$B$2:$B$305,0))</f>
        <v>66</v>
      </c>
      <c r="I1505" t="e">
        <f>INDEX('GIS-Standards'!$A$2:$A$305,MATCH(C1505,'GIS-Standards'!$B$2:$B$305,0))</f>
        <v>#N/A</v>
      </c>
      <c r="J1505" t="str">
        <f>INDEX('GIS-Standards'!$O$2:$O$305,MATCH(B1505,'GIS-Standards'!$B$2:$B$305,0))</f>
        <v>ISO/TC 211</v>
      </c>
      <c r="K1505" t="e">
        <f>INDEX('GIS-Standards'!$O$2:$O$305,MATCH(C1505,'GIS-Standards'!$B$2:$B$305,0))</f>
        <v>#N/A</v>
      </c>
      <c r="M1505" t="s">
        <v>525</v>
      </c>
      <c r="N1505">
        <f>INDEX('GIS-Standards'!$I$2:$I$305,MATCH(B1505,'GIS-Standards'!$B$2:$B$305,0))</f>
        <v>0</v>
      </c>
      <c r="O1505" t="e">
        <f>INDEX('GIS-Standards'!$I$2:$I$305,MATCH(C1505,'GIS-Standards'!$B$2:$B$305,0))</f>
        <v>#N/A</v>
      </c>
      <c r="P1505" t="e">
        <f>AND(TableRelationships12[[#This Row],[Source Type]]="BIM",TableRelationships12[[#This Row],[Target Type]]="BIM")</f>
        <v>#N/A</v>
      </c>
      <c r="Q1505">
        <f t="shared" si="69"/>
        <v>1</v>
      </c>
      <c r="S1505">
        <f t="shared" si="70"/>
        <v>1</v>
      </c>
      <c r="T1505" s="102" t="str">
        <f>IF(TableRelationships12[[#This Row],[Rank Pedro]]="Low","linkCategory1",IF(TableRelationships12[[#This Row],[Rank Pedro]]="Medium","linkCategory2",IF(TableRelationships12[[#This Row],[Rank Pedro]]="High","linkCategory3","")))</f>
        <v/>
      </c>
      <c r="U1505" s="102" t="str">
        <f>IF(TableRelationships12[[#This Row],[Rank Pedro]]="Low","Pink",IF(TableRelationships12[[#This Row],[Rank Pedro]]="Medium","Purple",IF(TableRelationships12[[#This Row],[Rank Pedro]]="High","Brown","")))</f>
        <v/>
      </c>
      <c r="V1505" s="4" t="e">
        <f>MAX(INDEX(Standards!$F$2:$F$296,MATCH(B1505,Standards!$B$2:$B$296,0)),INDEX(Standards!$F$2:$F$296,MATCH(C1505,Standards!$B$2:$B$296,0)))</f>
        <v>#N/A</v>
      </c>
      <c r="W1505" t="str">
        <f t="shared" si="71"/>
        <v>#2f89d1</v>
      </c>
    </row>
    <row r="1506" spans="1:23" x14ac:dyDescent="0.5">
      <c r="A1506" s="54">
        <v>1505</v>
      </c>
      <c r="B1506" s="90" t="s">
        <v>348</v>
      </c>
      <c r="C1506" t="s">
        <v>1219</v>
      </c>
      <c r="D1506" s="1"/>
      <c r="E1506" s="112">
        <v>2007.05</v>
      </c>
      <c r="F1506" s="112">
        <v>2019.07</v>
      </c>
      <c r="G1506" s="107" t="s">
        <v>1502</v>
      </c>
      <c r="H1506">
        <f>INDEX('GIS-Standards'!$A$2:$A$305,MATCH(B1506,'GIS-Standards'!$B$2:$B$305,0))</f>
        <v>66</v>
      </c>
      <c r="I1506" t="e">
        <f>INDEX('GIS-Standards'!$A$2:$A$305,MATCH(C1506,'GIS-Standards'!$B$2:$B$305,0))</f>
        <v>#N/A</v>
      </c>
      <c r="J1506" t="str">
        <f>INDEX('GIS-Standards'!$O$2:$O$305,MATCH(B1506,'GIS-Standards'!$B$2:$B$305,0))</f>
        <v>ISO/TC 211</v>
      </c>
      <c r="K1506" t="e">
        <f>INDEX('GIS-Standards'!$O$2:$O$305,MATCH(C1506,'GIS-Standards'!$B$2:$B$305,0))</f>
        <v>#N/A</v>
      </c>
      <c r="M1506" t="s">
        <v>525</v>
      </c>
      <c r="N1506">
        <f>INDEX('GIS-Standards'!$I$2:$I$305,MATCH(B1506,'GIS-Standards'!$B$2:$B$305,0))</f>
        <v>0</v>
      </c>
      <c r="O1506" t="e">
        <f>INDEX('GIS-Standards'!$I$2:$I$305,MATCH(C1506,'GIS-Standards'!$B$2:$B$305,0))</f>
        <v>#N/A</v>
      </c>
      <c r="P1506" t="e">
        <f>AND(TableRelationships12[[#This Row],[Source Type]]="BIM",TableRelationships12[[#This Row],[Target Type]]="BIM")</f>
        <v>#N/A</v>
      </c>
      <c r="Q1506">
        <f t="shared" si="69"/>
        <v>1</v>
      </c>
      <c r="S1506">
        <f t="shared" si="70"/>
        <v>1</v>
      </c>
      <c r="T1506" s="102" t="str">
        <f>IF(TableRelationships12[[#This Row],[Rank Pedro]]="Low","linkCategory1",IF(TableRelationships12[[#This Row],[Rank Pedro]]="Medium","linkCategory2",IF(TableRelationships12[[#This Row],[Rank Pedro]]="High","linkCategory3","")))</f>
        <v/>
      </c>
      <c r="U1506" s="102" t="str">
        <f>IF(TableRelationships12[[#This Row],[Rank Pedro]]="Low","Pink",IF(TableRelationships12[[#This Row],[Rank Pedro]]="Medium","Purple",IF(TableRelationships12[[#This Row],[Rank Pedro]]="High","Brown","")))</f>
        <v/>
      </c>
      <c r="V1506" s="4" t="e">
        <f>MAX(INDEX(Standards!$F$2:$F$296,MATCH(B1506,Standards!$B$2:$B$296,0)),INDEX(Standards!$F$2:$F$296,MATCH(C1506,Standards!$B$2:$B$296,0)))</f>
        <v>#N/A</v>
      </c>
      <c r="W1506" t="str">
        <f t="shared" si="71"/>
        <v>#2f89d1</v>
      </c>
    </row>
    <row r="1507" spans="1:23" x14ac:dyDescent="0.5">
      <c r="A1507" s="54">
        <v>1506</v>
      </c>
      <c r="B1507" s="90" t="s">
        <v>348</v>
      </c>
      <c r="C1507" t="s">
        <v>1220</v>
      </c>
      <c r="D1507" s="1"/>
      <c r="E1507" s="112">
        <v>2004.04</v>
      </c>
      <c r="F1507" s="112">
        <v>2016.06</v>
      </c>
      <c r="G1507" s="107" t="s">
        <v>1502</v>
      </c>
      <c r="H1507">
        <f>INDEX('GIS-Standards'!$A$2:$A$305,MATCH(B1507,'GIS-Standards'!$B$2:$B$305,0))</f>
        <v>66</v>
      </c>
      <c r="I1507" t="e">
        <f>INDEX('GIS-Standards'!$A$2:$A$305,MATCH(C1507,'GIS-Standards'!$B$2:$B$305,0))</f>
        <v>#N/A</v>
      </c>
      <c r="J1507" t="str">
        <f>INDEX('GIS-Standards'!$O$2:$O$305,MATCH(B1507,'GIS-Standards'!$B$2:$B$305,0))</f>
        <v>ISO/TC 211</v>
      </c>
      <c r="K1507" t="e">
        <f>INDEX('GIS-Standards'!$O$2:$O$305,MATCH(C1507,'GIS-Standards'!$B$2:$B$305,0))</f>
        <v>#N/A</v>
      </c>
      <c r="M1507" t="s">
        <v>525</v>
      </c>
      <c r="N1507">
        <f>INDEX('GIS-Standards'!$I$2:$I$305,MATCH(B1507,'GIS-Standards'!$B$2:$B$305,0))</f>
        <v>0</v>
      </c>
      <c r="O1507" t="e">
        <f>INDEX('GIS-Standards'!$I$2:$I$305,MATCH(C1507,'GIS-Standards'!$B$2:$B$305,0))</f>
        <v>#N/A</v>
      </c>
      <c r="P1507" t="e">
        <f>AND(TableRelationships12[[#This Row],[Source Type]]="BIM",TableRelationships12[[#This Row],[Target Type]]="BIM")</f>
        <v>#N/A</v>
      </c>
      <c r="Q1507">
        <f t="shared" si="69"/>
        <v>1</v>
      </c>
      <c r="S1507">
        <f t="shared" si="70"/>
        <v>1</v>
      </c>
      <c r="T1507" s="102" t="str">
        <f>IF(TableRelationships12[[#This Row],[Rank Pedro]]="Low","linkCategory1",IF(TableRelationships12[[#This Row],[Rank Pedro]]="Medium","linkCategory2",IF(TableRelationships12[[#This Row],[Rank Pedro]]="High","linkCategory3","")))</f>
        <v/>
      </c>
      <c r="U1507" s="102" t="str">
        <f>IF(TableRelationships12[[#This Row],[Rank Pedro]]="Low","Pink",IF(TableRelationships12[[#This Row],[Rank Pedro]]="Medium","Purple",IF(TableRelationships12[[#This Row],[Rank Pedro]]="High","Brown","")))</f>
        <v/>
      </c>
      <c r="V1507" s="4" t="e">
        <f>MAX(INDEX(Standards!$F$2:$F$296,MATCH(B1507,Standards!$B$2:$B$296,0)),INDEX(Standards!$F$2:$F$296,MATCH(C1507,Standards!$B$2:$B$296,0)))</f>
        <v>#N/A</v>
      </c>
      <c r="W1507" t="str">
        <f t="shared" si="71"/>
        <v>#2f89d1</v>
      </c>
    </row>
    <row r="1508" spans="1:23" x14ac:dyDescent="0.5">
      <c r="A1508" s="54">
        <v>1507</v>
      </c>
      <c r="B1508" s="90" t="s">
        <v>348</v>
      </c>
      <c r="C1508" t="s">
        <v>1221</v>
      </c>
      <c r="D1508" s="1"/>
      <c r="E1508" s="112">
        <v>2003.07</v>
      </c>
      <c r="F1508" s="112">
        <v>2016.06</v>
      </c>
      <c r="G1508" s="107" t="s">
        <v>1502</v>
      </c>
      <c r="H1508">
        <f>INDEX('GIS-Standards'!$A$2:$A$305,MATCH(B1508,'GIS-Standards'!$B$2:$B$305,0))</f>
        <v>66</v>
      </c>
      <c r="I1508" t="e">
        <f>INDEX('GIS-Standards'!$A$2:$A$305,MATCH(C1508,'GIS-Standards'!$B$2:$B$305,0))</f>
        <v>#N/A</v>
      </c>
      <c r="J1508" t="str">
        <f>INDEX('GIS-Standards'!$O$2:$O$305,MATCH(B1508,'GIS-Standards'!$B$2:$B$305,0))</f>
        <v>ISO/TC 211</v>
      </c>
      <c r="K1508" t="e">
        <f>INDEX('GIS-Standards'!$O$2:$O$305,MATCH(C1508,'GIS-Standards'!$B$2:$B$305,0))</f>
        <v>#N/A</v>
      </c>
      <c r="M1508" t="s">
        <v>525</v>
      </c>
      <c r="N1508">
        <f>INDEX('GIS-Standards'!$I$2:$I$305,MATCH(B1508,'GIS-Standards'!$B$2:$B$305,0))</f>
        <v>0</v>
      </c>
      <c r="O1508" t="e">
        <f>INDEX('GIS-Standards'!$I$2:$I$305,MATCH(C1508,'GIS-Standards'!$B$2:$B$305,0))</f>
        <v>#N/A</v>
      </c>
      <c r="P1508" t="e">
        <f>AND(TableRelationships12[[#This Row],[Source Type]]="BIM",TableRelationships12[[#This Row],[Target Type]]="BIM")</f>
        <v>#N/A</v>
      </c>
      <c r="Q1508">
        <f t="shared" si="69"/>
        <v>1</v>
      </c>
      <c r="S1508">
        <f t="shared" si="70"/>
        <v>1</v>
      </c>
      <c r="T1508" s="102" t="str">
        <f>IF(TableRelationships12[[#This Row],[Rank Pedro]]="Low","linkCategory1",IF(TableRelationships12[[#This Row],[Rank Pedro]]="Medium","linkCategory2",IF(TableRelationships12[[#This Row],[Rank Pedro]]="High","linkCategory3","")))</f>
        <v/>
      </c>
      <c r="U1508" s="102" t="str">
        <f>IF(TableRelationships12[[#This Row],[Rank Pedro]]="Low","Pink",IF(TableRelationships12[[#This Row],[Rank Pedro]]="Medium","Purple",IF(TableRelationships12[[#This Row],[Rank Pedro]]="High","Brown","")))</f>
        <v/>
      </c>
      <c r="V1508" s="4" t="e">
        <f>MAX(INDEX(Standards!$F$2:$F$296,MATCH(B1508,Standards!$B$2:$B$296,0)),INDEX(Standards!$F$2:$F$296,MATCH(C1508,Standards!$B$2:$B$296,0)))</f>
        <v>#N/A</v>
      </c>
      <c r="W1508" t="str">
        <f t="shared" si="71"/>
        <v>#2f89d1</v>
      </c>
    </row>
    <row r="1509" spans="1:23" x14ac:dyDescent="0.5">
      <c r="A1509" s="54">
        <v>1508</v>
      </c>
      <c r="B1509" s="90" t="s">
        <v>348</v>
      </c>
      <c r="C1509" t="s">
        <v>1222</v>
      </c>
      <c r="D1509" s="1"/>
      <c r="E1509" s="112">
        <v>2015.1</v>
      </c>
      <c r="F1509" s="112">
        <v>2015.1</v>
      </c>
      <c r="G1509" s="107" t="s">
        <v>1502</v>
      </c>
      <c r="H1509">
        <f>INDEX('GIS-Standards'!$A$2:$A$305,MATCH(B1509,'GIS-Standards'!$B$2:$B$305,0))</f>
        <v>66</v>
      </c>
      <c r="I1509" t="e">
        <f>INDEX('GIS-Standards'!$A$2:$A$305,MATCH(C1509,'GIS-Standards'!$B$2:$B$305,0))</f>
        <v>#N/A</v>
      </c>
      <c r="J1509" t="str">
        <f>INDEX('GIS-Standards'!$O$2:$O$305,MATCH(B1509,'GIS-Standards'!$B$2:$B$305,0))</f>
        <v>ISO/TC 211</v>
      </c>
      <c r="K1509" t="e">
        <f>INDEX('GIS-Standards'!$O$2:$O$305,MATCH(C1509,'GIS-Standards'!$B$2:$B$305,0))</f>
        <v>#N/A</v>
      </c>
      <c r="M1509" t="s">
        <v>525</v>
      </c>
      <c r="N1509">
        <f>INDEX('GIS-Standards'!$I$2:$I$305,MATCH(B1509,'GIS-Standards'!$B$2:$B$305,0))</f>
        <v>0</v>
      </c>
      <c r="O1509" t="e">
        <f>INDEX('GIS-Standards'!$I$2:$I$305,MATCH(C1509,'GIS-Standards'!$B$2:$B$305,0))</f>
        <v>#N/A</v>
      </c>
      <c r="P1509" t="e">
        <f>AND(TableRelationships12[[#This Row],[Source Type]]="BIM",TableRelationships12[[#This Row],[Target Type]]="BIM")</f>
        <v>#N/A</v>
      </c>
      <c r="Q1509">
        <f t="shared" si="69"/>
        <v>1</v>
      </c>
      <c r="S1509">
        <f t="shared" si="70"/>
        <v>1</v>
      </c>
      <c r="T1509" s="102" t="str">
        <f>IF(TableRelationships12[[#This Row],[Rank Pedro]]="Low","linkCategory1",IF(TableRelationships12[[#This Row],[Rank Pedro]]="Medium","linkCategory2",IF(TableRelationships12[[#This Row],[Rank Pedro]]="High","linkCategory3","")))</f>
        <v/>
      </c>
      <c r="U1509" s="102" t="str">
        <f>IF(TableRelationships12[[#This Row],[Rank Pedro]]="Low","Pink",IF(TableRelationships12[[#This Row],[Rank Pedro]]="Medium","Purple",IF(TableRelationships12[[#This Row],[Rank Pedro]]="High","Brown","")))</f>
        <v/>
      </c>
      <c r="V1509" s="4" t="e">
        <f>MAX(INDEX(Standards!$F$2:$F$296,MATCH(B1509,Standards!$B$2:$B$296,0)),INDEX(Standards!$F$2:$F$296,MATCH(C1509,Standards!$B$2:$B$296,0)))</f>
        <v>#N/A</v>
      </c>
      <c r="W1509" t="str">
        <f t="shared" si="71"/>
        <v>#2f89d1</v>
      </c>
    </row>
    <row r="1510" spans="1:23" x14ac:dyDescent="0.5">
      <c r="A1510" s="54">
        <v>1509</v>
      </c>
      <c r="B1510" s="90" t="s">
        <v>348</v>
      </c>
      <c r="C1510" t="s">
        <v>94</v>
      </c>
      <c r="D1510" s="1" t="s">
        <v>1676</v>
      </c>
      <c r="E1510" s="112">
        <v>2010.12</v>
      </c>
      <c r="F1510" s="112">
        <v>2017.09</v>
      </c>
      <c r="G1510" s="107" t="s">
        <v>1522</v>
      </c>
      <c r="H1510">
        <f>INDEX('GIS-Standards'!$A$2:$A$305,MATCH(B1510,'GIS-Standards'!$B$2:$B$305,0))</f>
        <v>66</v>
      </c>
      <c r="I1510" t="e">
        <f>INDEX('GIS-Standards'!$A$2:$A$305,MATCH(C1510,'GIS-Standards'!$B$2:$B$305,0))</f>
        <v>#N/A</v>
      </c>
      <c r="J1510" t="str">
        <f>INDEX('GIS-Standards'!$O$2:$O$305,MATCH(B1510,'GIS-Standards'!$B$2:$B$305,0))</f>
        <v>ISO/TC 211</v>
      </c>
      <c r="K1510" t="e">
        <f>INDEX('GIS-Standards'!$O$2:$O$305,MATCH(C1510,'GIS-Standards'!$B$2:$B$305,0))</f>
        <v>#N/A</v>
      </c>
      <c r="M1510" t="s">
        <v>525</v>
      </c>
      <c r="N1510">
        <f>INDEX('GIS-Standards'!$I$2:$I$305,MATCH(B1510,'GIS-Standards'!$B$2:$B$305,0))</f>
        <v>0</v>
      </c>
      <c r="O1510" t="e">
        <f>INDEX('GIS-Standards'!$I$2:$I$305,MATCH(C1510,'GIS-Standards'!$B$2:$B$305,0))</f>
        <v>#N/A</v>
      </c>
      <c r="P1510" t="e">
        <f>AND(TableRelationships12[[#This Row],[Source Type]]="BIM",TableRelationships12[[#This Row],[Target Type]]="BIM")</f>
        <v>#N/A</v>
      </c>
      <c r="Q1510">
        <f t="shared" si="69"/>
        <v>1</v>
      </c>
      <c r="S1510">
        <f t="shared" si="70"/>
        <v>1</v>
      </c>
      <c r="T1510" s="102" t="str">
        <f>IF(TableRelationships12[[#This Row],[Rank Pedro]]="Low","linkCategory1",IF(TableRelationships12[[#This Row],[Rank Pedro]]="Medium","linkCategory2",IF(TableRelationships12[[#This Row],[Rank Pedro]]="High","linkCategory3","")))</f>
        <v/>
      </c>
      <c r="U1510" s="102" t="str">
        <f>IF(TableRelationships12[[#This Row],[Rank Pedro]]="Low","Pink",IF(TableRelationships12[[#This Row],[Rank Pedro]]="Medium","Purple",IF(TableRelationships12[[#This Row],[Rank Pedro]]="High","Brown","")))</f>
        <v/>
      </c>
      <c r="V1510" s="4">
        <f>MAX(INDEX(Standards!$F$2:$F$296,MATCH(B1510,Standards!$B$2:$B$296,0)),INDEX(Standards!$F$2:$F$296,MATCH(C1510,Standards!$B$2:$B$296,0)))</f>
        <v>40179</v>
      </c>
      <c r="W1510" t="str">
        <f t="shared" si="71"/>
        <v>#2f89d1</v>
      </c>
    </row>
    <row r="1511" spans="1:23" x14ac:dyDescent="0.5">
      <c r="A1511" s="54">
        <v>1510</v>
      </c>
      <c r="B1511" s="90" t="s">
        <v>348</v>
      </c>
      <c r="C1511" t="s">
        <v>1042</v>
      </c>
      <c r="D1511" s="1"/>
      <c r="E1511" s="112">
        <v>2016.08</v>
      </c>
      <c r="F1511" s="112">
        <v>2023.08</v>
      </c>
      <c r="G1511" s="107" t="s">
        <v>670</v>
      </c>
      <c r="H1511">
        <f>INDEX('GIS-Standards'!$A$2:$A$305,MATCH(B1511,'GIS-Standards'!$B$2:$B$305,0))</f>
        <v>66</v>
      </c>
      <c r="I1511">
        <f>INDEX('GIS-Standards'!$A$2:$A$305,MATCH(C1511,'GIS-Standards'!$B$2:$B$305,0))</f>
        <v>24</v>
      </c>
      <c r="J1511" t="str">
        <f>INDEX('GIS-Standards'!$O$2:$O$305,MATCH(B1511,'GIS-Standards'!$B$2:$B$305,0))</f>
        <v>ISO/TC 211</v>
      </c>
      <c r="K1511" t="str">
        <f>INDEX('GIS-Standards'!$O$2:$O$305,MATCH(C1511,'GIS-Standards'!$B$2:$B$305,0))</f>
        <v>ISO/TC 211</v>
      </c>
      <c r="M1511" t="s">
        <v>525</v>
      </c>
      <c r="N1511">
        <f>INDEX('GIS-Standards'!$I$2:$I$305,MATCH(B1511,'GIS-Standards'!$B$2:$B$305,0))</f>
        <v>0</v>
      </c>
      <c r="O1511">
        <f>INDEX('GIS-Standards'!$I$2:$I$305,MATCH(C1511,'GIS-Standards'!$B$2:$B$305,0))</f>
        <v>0</v>
      </c>
      <c r="P1511" t="b">
        <f>AND(TableRelationships12[[#This Row],[Source Type]]="BIM",TableRelationships12[[#This Row],[Target Type]]="BIM")</f>
        <v>0</v>
      </c>
      <c r="Q1511">
        <f t="shared" si="69"/>
        <v>1</v>
      </c>
      <c r="S1511">
        <f t="shared" si="70"/>
        <v>1</v>
      </c>
      <c r="T1511" s="102" t="str">
        <f>IF(TableRelationships12[[#This Row],[Rank Pedro]]="Low","linkCategory1",IF(TableRelationships12[[#This Row],[Rank Pedro]]="Medium","linkCategory2",IF(TableRelationships12[[#This Row],[Rank Pedro]]="High","linkCategory3","")))</f>
        <v/>
      </c>
      <c r="U1511" s="102" t="str">
        <f>IF(TableRelationships12[[#This Row],[Rank Pedro]]="Low","Pink",IF(TableRelationships12[[#This Row],[Rank Pedro]]="Medium","Purple",IF(TableRelationships12[[#This Row],[Rank Pedro]]="High","Brown","")))</f>
        <v/>
      </c>
      <c r="V1511" s="4" t="e">
        <f>MAX(INDEX(Standards!$F$2:$F$296,MATCH(B1511,Standards!$B$2:$B$296,0)),INDEX(Standards!$F$2:$F$296,MATCH(C1511,Standards!$B$2:$B$296,0)))</f>
        <v>#N/A</v>
      </c>
      <c r="W1511" t="str">
        <f t="shared" si="71"/>
        <v>#2f89d1</v>
      </c>
    </row>
    <row r="1512" spans="1:23" x14ac:dyDescent="0.5">
      <c r="A1512" s="54">
        <v>1511</v>
      </c>
      <c r="B1512" s="90" t="s">
        <v>348</v>
      </c>
      <c r="C1512" t="s">
        <v>653</v>
      </c>
      <c r="D1512" s="1"/>
      <c r="E1512" s="113">
        <v>2007.04</v>
      </c>
      <c r="F1512" s="113">
        <v>2019.03</v>
      </c>
      <c r="G1512" s="107" t="s">
        <v>670</v>
      </c>
      <c r="H1512">
        <f>INDEX('GIS-Standards'!$A$2:$A$305,MATCH(B1512,'GIS-Standards'!$B$2:$B$305,0))</f>
        <v>66</v>
      </c>
      <c r="I1512">
        <f>INDEX('GIS-Standards'!$A$2:$A$305,MATCH(C1512,'GIS-Standards'!$B$2:$B$305,0))</f>
        <v>102</v>
      </c>
      <c r="J1512" t="str">
        <f>INDEX('GIS-Standards'!$O$2:$O$305,MATCH(B1512,'GIS-Standards'!$B$2:$B$305,0))</f>
        <v>ISO/TC 211</v>
      </c>
      <c r="K1512" t="str">
        <f>INDEX('GIS-Standards'!$O$2:$O$305,MATCH(C1512,'GIS-Standards'!$B$2:$B$305,0))</f>
        <v>ISO/TC 211</v>
      </c>
      <c r="M1512" t="s">
        <v>525</v>
      </c>
      <c r="N1512">
        <f>INDEX('GIS-Standards'!$I$2:$I$305,MATCH(B1512,'GIS-Standards'!$B$2:$B$305,0))</f>
        <v>0</v>
      </c>
      <c r="O1512">
        <f>INDEX('GIS-Standards'!$I$2:$I$305,MATCH(C1512,'GIS-Standards'!$B$2:$B$305,0))</f>
        <v>0</v>
      </c>
      <c r="P1512" t="b">
        <f>AND(TableRelationships12[[#This Row],[Source Type]]="BIM",TableRelationships12[[#This Row],[Target Type]]="BIM")</f>
        <v>0</v>
      </c>
      <c r="Q1512">
        <f t="shared" si="69"/>
        <v>1</v>
      </c>
      <c r="S1512">
        <f t="shared" si="70"/>
        <v>1</v>
      </c>
      <c r="T1512" s="102" t="str">
        <f>IF(TableRelationships12[[#This Row],[Rank Pedro]]="Low","linkCategory1",IF(TableRelationships12[[#This Row],[Rank Pedro]]="Medium","linkCategory2",IF(TableRelationships12[[#This Row],[Rank Pedro]]="High","linkCategory3","")))</f>
        <v/>
      </c>
      <c r="U1512" s="102" t="str">
        <f>IF(TableRelationships12[[#This Row],[Rank Pedro]]="Low","Pink",IF(TableRelationships12[[#This Row],[Rank Pedro]]="Medium","Purple",IF(TableRelationships12[[#This Row],[Rank Pedro]]="High","Brown","")))</f>
        <v/>
      </c>
      <c r="V1512" s="4" t="e">
        <f>MAX(INDEX(Standards!$F$2:$F$296,MATCH(B1512,Standards!$B$2:$B$296,0)),INDEX(Standards!$F$2:$F$296,MATCH(C1512,Standards!$B$2:$B$296,0)))</f>
        <v>#N/A</v>
      </c>
      <c r="W1512" t="str">
        <f t="shared" si="71"/>
        <v>#2f89d1</v>
      </c>
    </row>
    <row r="1513" spans="1:23" x14ac:dyDescent="0.5">
      <c r="A1513" s="54">
        <v>1512</v>
      </c>
      <c r="B1513" s="90" t="s">
        <v>348</v>
      </c>
      <c r="C1513" t="s">
        <v>650</v>
      </c>
      <c r="D1513" s="1"/>
      <c r="E1513" s="112">
        <v>2009.04</v>
      </c>
      <c r="F1513" s="112">
        <v>2009.04</v>
      </c>
      <c r="G1513" s="107" t="s">
        <v>670</v>
      </c>
      <c r="H1513">
        <f>INDEX('GIS-Standards'!$A$2:$A$305,MATCH(B1513,'GIS-Standards'!$B$2:$B$305,0))</f>
        <v>66</v>
      </c>
      <c r="I1513">
        <f>INDEX('GIS-Standards'!$A$2:$A$305,MATCH(C1513,'GIS-Standards'!$B$2:$B$305,0))</f>
        <v>99</v>
      </c>
      <c r="J1513" t="str">
        <f>INDEX('GIS-Standards'!$O$2:$O$305,MATCH(B1513,'GIS-Standards'!$B$2:$B$305,0))</f>
        <v>ISO/TC 211</v>
      </c>
      <c r="K1513" t="str">
        <f>INDEX('GIS-Standards'!$O$2:$O$305,MATCH(C1513,'GIS-Standards'!$B$2:$B$305,0))</f>
        <v>ISO/TC 211</v>
      </c>
      <c r="M1513" t="s">
        <v>525</v>
      </c>
      <c r="N1513">
        <f>INDEX('GIS-Standards'!$I$2:$I$305,MATCH(B1513,'GIS-Standards'!$B$2:$B$305,0))</f>
        <v>0</v>
      </c>
      <c r="O1513">
        <f>INDEX('GIS-Standards'!$I$2:$I$305,MATCH(C1513,'GIS-Standards'!$B$2:$B$305,0))</f>
        <v>0</v>
      </c>
      <c r="P1513" t="b">
        <f>AND(TableRelationships12[[#This Row],[Source Type]]="BIM",TableRelationships12[[#This Row],[Target Type]]="BIM")</f>
        <v>0</v>
      </c>
      <c r="Q1513">
        <f t="shared" si="69"/>
        <v>1</v>
      </c>
      <c r="S1513">
        <f t="shared" si="70"/>
        <v>1</v>
      </c>
      <c r="T1513" s="102" t="str">
        <f>IF(TableRelationships12[[#This Row],[Rank Pedro]]="Low","linkCategory1",IF(TableRelationships12[[#This Row],[Rank Pedro]]="Medium","linkCategory2",IF(TableRelationships12[[#This Row],[Rank Pedro]]="High","linkCategory3","")))</f>
        <v/>
      </c>
      <c r="U1513" s="102" t="str">
        <f>IF(TableRelationships12[[#This Row],[Rank Pedro]]="Low","Pink",IF(TableRelationships12[[#This Row],[Rank Pedro]]="Medium","Purple",IF(TableRelationships12[[#This Row],[Rank Pedro]]="High","Brown","")))</f>
        <v/>
      </c>
      <c r="V1513" s="4" t="e">
        <f>MAX(INDEX(Standards!$F$2:$F$296,MATCH(B1513,Standards!$B$2:$B$296,0)),INDEX(Standards!$F$2:$F$296,MATCH(C1513,Standards!$B$2:$B$296,0)))</f>
        <v>#N/A</v>
      </c>
      <c r="W1513" t="str">
        <f t="shared" si="71"/>
        <v>#2f89d1</v>
      </c>
    </row>
    <row r="1514" spans="1:23" x14ac:dyDescent="0.5">
      <c r="A1514" s="54">
        <v>1513</v>
      </c>
      <c r="B1514" s="90" t="s">
        <v>348</v>
      </c>
      <c r="C1514" t="s">
        <v>1223</v>
      </c>
      <c r="D1514" s="1"/>
      <c r="G1514" s="107"/>
      <c r="H1514">
        <f>INDEX('GIS-Standards'!$A$2:$A$305,MATCH(B1514,'GIS-Standards'!$B$2:$B$305,0))</f>
        <v>66</v>
      </c>
      <c r="I1514" t="e">
        <f>INDEX('GIS-Standards'!$A$2:$A$305,MATCH(C1514,'GIS-Standards'!$B$2:$B$305,0))</f>
        <v>#N/A</v>
      </c>
      <c r="J1514" t="str">
        <f>INDEX('GIS-Standards'!$O$2:$O$305,MATCH(B1514,'GIS-Standards'!$B$2:$B$305,0))</f>
        <v>ISO/TC 211</v>
      </c>
      <c r="K1514" t="e">
        <f>INDEX('GIS-Standards'!$O$2:$O$305,MATCH(C1514,'GIS-Standards'!$B$2:$B$305,0))</f>
        <v>#N/A</v>
      </c>
      <c r="M1514" t="s">
        <v>525</v>
      </c>
      <c r="N1514">
        <f>INDEX('GIS-Standards'!$I$2:$I$305,MATCH(B1514,'GIS-Standards'!$B$2:$B$305,0))</f>
        <v>0</v>
      </c>
      <c r="O1514" t="e">
        <f>INDEX('GIS-Standards'!$I$2:$I$305,MATCH(C1514,'GIS-Standards'!$B$2:$B$305,0))</f>
        <v>#N/A</v>
      </c>
      <c r="P1514" t="e">
        <f>AND(TableRelationships12[[#This Row],[Source Type]]="BIM",TableRelationships12[[#This Row],[Target Type]]="BIM")</f>
        <v>#N/A</v>
      </c>
      <c r="Q1514">
        <f t="shared" si="69"/>
        <v>1</v>
      </c>
      <c r="S1514">
        <f t="shared" si="70"/>
        <v>1</v>
      </c>
      <c r="T1514" s="102" t="str">
        <f>IF(TableRelationships12[[#This Row],[Rank Pedro]]="Low","linkCategory1",IF(TableRelationships12[[#This Row],[Rank Pedro]]="Medium","linkCategory2",IF(TableRelationships12[[#This Row],[Rank Pedro]]="High","linkCategory3","")))</f>
        <v/>
      </c>
      <c r="U1514" s="102" t="str">
        <f>IF(TableRelationships12[[#This Row],[Rank Pedro]]="Low","Pink",IF(TableRelationships12[[#This Row],[Rank Pedro]]="Medium","Purple",IF(TableRelationships12[[#This Row],[Rank Pedro]]="High","Brown","")))</f>
        <v/>
      </c>
      <c r="V1514" s="4" t="e">
        <f>MAX(INDEX(Standards!$F$2:$F$296,MATCH(B1514,Standards!$B$2:$B$296,0)),INDEX(Standards!$F$2:$F$296,MATCH(C1514,Standards!$B$2:$B$296,0)))</f>
        <v>#N/A</v>
      </c>
      <c r="W1514" t="str">
        <f t="shared" si="71"/>
        <v>#2f89d1</v>
      </c>
    </row>
    <row r="1515" spans="1:23" x14ac:dyDescent="0.5">
      <c r="A1515" s="54">
        <v>1514</v>
      </c>
      <c r="B1515" s="116" t="s">
        <v>348</v>
      </c>
      <c r="C1515" s="117" t="s">
        <v>1224</v>
      </c>
      <c r="D1515" s="1" t="s">
        <v>1678</v>
      </c>
      <c r="E1515" s="112" t="s">
        <v>1681</v>
      </c>
      <c r="F1515" s="112" t="s">
        <v>1681</v>
      </c>
      <c r="G1515" s="107" t="s">
        <v>670</v>
      </c>
      <c r="H1515">
        <f>INDEX('GIS-Standards'!$A$2:$A$305,MATCH(B1515,'GIS-Standards'!$B$2:$B$305,0))</f>
        <v>66</v>
      </c>
      <c r="I1515" t="e">
        <f>INDEX('GIS-Standards'!$A$2:$A$305,MATCH(C1515,'GIS-Standards'!$B$2:$B$305,0))</f>
        <v>#N/A</v>
      </c>
      <c r="J1515" t="str">
        <f>INDEX('GIS-Standards'!$O$2:$O$305,MATCH(B1515,'GIS-Standards'!$B$2:$B$305,0))</f>
        <v>ISO/TC 211</v>
      </c>
      <c r="K1515" t="e">
        <f>INDEX('GIS-Standards'!$O$2:$O$305,MATCH(C1515,'GIS-Standards'!$B$2:$B$305,0))</f>
        <v>#N/A</v>
      </c>
      <c r="M1515" t="s">
        <v>525</v>
      </c>
      <c r="N1515">
        <f>INDEX('GIS-Standards'!$I$2:$I$305,MATCH(B1515,'GIS-Standards'!$B$2:$B$305,0))</f>
        <v>0</v>
      </c>
      <c r="O1515" t="e">
        <f>INDEX('GIS-Standards'!$I$2:$I$305,MATCH(C1515,'GIS-Standards'!$B$2:$B$305,0))</f>
        <v>#N/A</v>
      </c>
      <c r="P1515" t="e">
        <f>AND(TableRelationships12[[#This Row],[Source Type]]="BIM",TableRelationships12[[#This Row],[Target Type]]="BIM")</f>
        <v>#N/A</v>
      </c>
      <c r="Q1515">
        <f t="shared" si="69"/>
        <v>1</v>
      </c>
      <c r="S1515">
        <f t="shared" si="70"/>
        <v>1</v>
      </c>
      <c r="T1515" s="102" t="str">
        <f>IF(TableRelationships12[[#This Row],[Rank Pedro]]="Low","linkCategory1",IF(TableRelationships12[[#This Row],[Rank Pedro]]="Medium","linkCategory2",IF(TableRelationships12[[#This Row],[Rank Pedro]]="High","linkCategory3","")))</f>
        <v/>
      </c>
      <c r="U1515" s="102" t="str">
        <f>IF(TableRelationships12[[#This Row],[Rank Pedro]]="Low","Pink",IF(TableRelationships12[[#This Row],[Rank Pedro]]="Medium","Purple",IF(TableRelationships12[[#This Row],[Rank Pedro]]="High","Brown","")))</f>
        <v/>
      </c>
      <c r="V1515" s="4" t="e">
        <f>MAX(INDEX(Standards!$F$2:$F$296,MATCH(B1515,Standards!$B$2:$B$296,0)),INDEX(Standards!$F$2:$F$296,MATCH(C1515,Standards!$B$2:$B$296,0)))</f>
        <v>#N/A</v>
      </c>
      <c r="W1515" t="str">
        <f t="shared" si="71"/>
        <v>#2f89d1</v>
      </c>
    </row>
    <row r="1516" spans="1:23" x14ac:dyDescent="0.5">
      <c r="A1516" s="54">
        <v>1515</v>
      </c>
      <c r="B1516" s="90" t="s">
        <v>641</v>
      </c>
      <c r="C1516" t="s">
        <v>527</v>
      </c>
      <c r="D1516" s="1"/>
      <c r="E1516" s="112" t="s">
        <v>989</v>
      </c>
      <c r="F1516" s="112" t="s">
        <v>989</v>
      </c>
      <c r="G1516" s="121" t="s">
        <v>671</v>
      </c>
      <c r="H1516">
        <f>INDEX('GIS-Standards'!$A$2:$A$305,MATCH(B1516,'GIS-Standards'!$B$2:$B$305,0))</f>
        <v>67</v>
      </c>
      <c r="I1516" t="e">
        <f>INDEX('GIS-Standards'!$A$2:$A$305,MATCH(C1516,'GIS-Standards'!$B$2:$B$305,0))</f>
        <v>#N/A</v>
      </c>
      <c r="J1516" t="str">
        <f>INDEX('GIS-Standards'!$O$2:$O$305,MATCH(B1516,'GIS-Standards'!$B$2:$B$305,0))</f>
        <v>ISO/TC 211</v>
      </c>
      <c r="K1516" t="e">
        <f>INDEX('GIS-Standards'!$O$2:$O$305,MATCH(C1516,'GIS-Standards'!$B$2:$B$305,0))</f>
        <v>#N/A</v>
      </c>
      <c r="M1516" t="s">
        <v>237</v>
      </c>
      <c r="N1516">
        <f>INDEX('GIS-Standards'!$I$2:$I$305,MATCH(B1516,'GIS-Standards'!$B$2:$B$305,0))</f>
        <v>0</v>
      </c>
      <c r="O1516" t="e">
        <f>INDEX('GIS-Standards'!$I$2:$I$305,MATCH(C1516,'GIS-Standards'!$B$2:$B$305,0))</f>
        <v>#N/A</v>
      </c>
      <c r="P1516" t="e">
        <f>AND(TableRelationships12[[#This Row],[Source Type]]="BIM",TableRelationships12[[#This Row],[Target Type]]="BIM")</f>
        <v>#N/A</v>
      </c>
      <c r="Q1516">
        <f t="shared" si="69"/>
        <v>2</v>
      </c>
      <c r="S1516">
        <f t="shared" si="70"/>
        <v>1</v>
      </c>
      <c r="T1516" s="102" t="str">
        <f>IF(TableRelationships12[[#This Row],[Rank Pedro]]="Low","linkCategory1",IF(TableRelationships12[[#This Row],[Rank Pedro]]="Medium","linkCategory2",IF(TableRelationships12[[#This Row],[Rank Pedro]]="High","linkCategory3","")))</f>
        <v/>
      </c>
      <c r="U1516" s="102" t="str">
        <f>IF(TableRelationships12[[#This Row],[Rank Pedro]]="Low","Pink",IF(TableRelationships12[[#This Row],[Rank Pedro]]="Medium","Purple",IF(TableRelationships12[[#This Row],[Rank Pedro]]="High","Brown","")))</f>
        <v/>
      </c>
      <c r="V1516" s="4" t="e">
        <f>MAX(INDEX(Standards!$F$2:$F$296,MATCH(B1516,Standards!$B$2:$B$296,0)),INDEX(Standards!$F$2:$F$296,MATCH(C1516,Standards!$B$2:$B$296,0)))</f>
        <v>#N/A</v>
      </c>
      <c r="W1516">
        <f t="shared" si="71"/>
        <v>1</v>
      </c>
    </row>
    <row r="1517" spans="1:23" x14ac:dyDescent="0.5">
      <c r="A1517" s="54">
        <v>1516</v>
      </c>
      <c r="B1517" s="90" t="s">
        <v>641</v>
      </c>
      <c r="C1517" t="s">
        <v>310</v>
      </c>
      <c r="D1517" s="1"/>
      <c r="E1517" s="112">
        <v>2003.02</v>
      </c>
      <c r="F1517" s="112">
        <v>2023.08</v>
      </c>
      <c r="G1517" s="107" t="s">
        <v>670</v>
      </c>
      <c r="H1517">
        <f>INDEX('GIS-Standards'!$A$2:$A$305,MATCH(B1517,'GIS-Standards'!$B$2:$B$305,0))</f>
        <v>67</v>
      </c>
      <c r="I1517">
        <f>INDEX('GIS-Standards'!$A$2:$A$305,MATCH(C1517,'GIS-Standards'!$B$2:$B$305,0))</f>
        <v>20</v>
      </c>
      <c r="J1517" t="str">
        <f>INDEX('GIS-Standards'!$O$2:$O$305,MATCH(B1517,'GIS-Standards'!$B$2:$B$305,0))</f>
        <v>ISO/TC 211</v>
      </c>
      <c r="K1517" t="str">
        <f>INDEX('GIS-Standards'!$O$2:$O$305,MATCH(C1517,'GIS-Standards'!$B$2:$B$305,0))</f>
        <v>ISO/TC 211</v>
      </c>
      <c r="M1517" t="s">
        <v>525</v>
      </c>
      <c r="N1517">
        <f>INDEX('GIS-Standards'!$I$2:$I$305,MATCH(B1517,'GIS-Standards'!$B$2:$B$305,0))</f>
        <v>0</v>
      </c>
      <c r="O1517" t="str">
        <f>INDEX('GIS-Standards'!$I$2:$I$305,MATCH(C1517,'GIS-Standards'!$B$2:$B$305,0))</f>
        <v>08.2023</v>
      </c>
      <c r="P1517" t="b">
        <f>AND(TableRelationships12[[#This Row],[Source Type]]="BIM",TableRelationships12[[#This Row],[Target Type]]="BIM")</f>
        <v>0</v>
      </c>
      <c r="Q1517">
        <f t="shared" si="69"/>
        <v>1</v>
      </c>
      <c r="S1517">
        <f t="shared" si="70"/>
        <v>1</v>
      </c>
      <c r="T1517" s="102" t="str">
        <f>IF(TableRelationships12[[#This Row],[Rank Pedro]]="Low","linkCategory1",IF(TableRelationships12[[#This Row],[Rank Pedro]]="Medium","linkCategory2",IF(TableRelationships12[[#This Row],[Rank Pedro]]="High","linkCategory3","")))</f>
        <v/>
      </c>
      <c r="U1517" s="102" t="str">
        <f>IF(TableRelationships12[[#This Row],[Rank Pedro]]="Low","Pink",IF(TableRelationships12[[#This Row],[Rank Pedro]]="Medium","Purple",IF(TableRelationships12[[#This Row],[Rank Pedro]]="High","Brown","")))</f>
        <v/>
      </c>
      <c r="V1517" s="4" t="e">
        <f>MAX(INDEX(Standards!$F$2:$F$296,MATCH(B1517,Standards!$B$2:$B$296,0)),INDEX(Standards!$F$2:$F$296,MATCH(C1517,Standards!$B$2:$B$296,0)))</f>
        <v>#N/A</v>
      </c>
      <c r="W1517" t="str">
        <f t="shared" si="71"/>
        <v>#2f89d1</v>
      </c>
    </row>
    <row r="1518" spans="1:23" x14ac:dyDescent="0.5">
      <c r="A1518" s="54">
        <v>1517</v>
      </c>
      <c r="B1518" s="90" t="s">
        <v>642</v>
      </c>
      <c r="C1518" t="s">
        <v>527</v>
      </c>
      <c r="D1518" s="1"/>
      <c r="E1518" s="112" t="s">
        <v>990</v>
      </c>
      <c r="F1518" s="112" t="s">
        <v>991</v>
      </c>
      <c r="G1518" s="121" t="s">
        <v>670</v>
      </c>
      <c r="H1518">
        <f>INDEX('GIS-Standards'!$A$2:$A$305,MATCH(B1518,'GIS-Standards'!$B$2:$B$305,0))</f>
        <v>68</v>
      </c>
      <c r="I1518" t="e">
        <f>INDEX('GIS-Standards'!$A$2:$A$305,MATCH(C1518,'GIS-Standards'!$B$2:$B$305,0))</f>
        <v>#N/A</v>
      </c>
      <c r="J1518" t="str">
        <f>INDEX('GIS-Standards'!$O$2:$O$305,MATCH(B1518,'GIS-Standards'!$B$2:$B$305,0))</f>
        <v>ISO/TC 211</v>
      </c>
      <c r="K1518" t="e">
        <f>INDEX('GIS-Standards'!$O$2:$O$305,MATCH(C1518,'GIS-Standards'!$B$2:$B$305,0))</f>
        <v>#N/A</v>
      </c>
      <c r="M1518" t="s">
        <v>237</v>
      </c>
      <c r="N1518" t="str">
        <f>INDEX('GIS-Standards'!$I$2:$I$305,MATCH(B1518,'GIS-Standards'!$B$2:$B$305,0))</f>
        <v>08.2023</v>
      </c>
      <c r="O1518" t="e">
        <f>INDEX('GIS-Standards'!$I$2:$I$305,MATCH(C1518,'GIS-Standards'!$B$2:$B$305,0))</f>
        <v>#N/A</v>
      </c>
      <c r="P1518" t="e">
        <f>AND(TableRelationships12[[#This Row],[Source Type]]="BIM",TableRelationships12[[#This Row],[Target Type]]="BIM")</f>
        <v>#N/A</v>
      </c>
      <c r="Q1518">
        <f t="shared" si="69"/>
        <v>2</v>
      </c>
      <c r="S1518">
        <f t="shared" si="70"/>
        <v>1</v>
      </c>
      <c r="T1518" s="102" t="str">
        <f>IF(TableRelationships12[[#This Row],[Rank Pedro]]="Low","linkCategory1",IF(TableRelationships12[[#This Row],[Rank Pedro]]="Medium","linkCategory2",IF(TableRelationships12[[#This Row],[Rank Pedro]]="High","linkCategory3","")))</f>
        <v/>
      </c>
      <c r="U1518" s="102" t="str">
        <f>IF(TableRelationships12[[#This Row],[Rank Pedro]]="Low","Pink",IF(TableRelationships12[[#This Row],[Rank Pedro]]="Medium","Purple",IF(TableRelationships12[[#This Row],[Rank Pedro]]="High","Brown","")))</f>
        <v/>
      </c>
      <c r="V1518" s="4" t="e">
        <f>MAX(INDEX(Standards!$F$2:$F$296,MATCH(B1518,Standards!$B$2:$B$296,0)),INDEX(Standards!$F$2:$F$296,MATCH(C1518,Standards!$B$2:$B$296,0)))</f>
        <v>#N/A</v>
      </c>
      <c r="W1518">
        <f t="shared" si="71"/>
        <v>1</v>
      </c>
    </row>
    <row r="1519" spans="1:23" x14ac:dyDescent="0.5">
      <c r="A1519" s="54">
        <v>1518</v>
      </c>
      <c r="B1519" s="90" t="s">
        <v>642</v>
      </c>
      <c r="C1519" t="s">
        <v>192</v>
      </c>
      <c r="D1519" s="1"/>
      <c r="E1519" s="113">
        <v>1976.04</v>
      </c>
      <c r="F1519" s="113">
        <v>2022.1</v>
      </c>
      <c r="G1519" s="107" t="s">
        <v>1481</v>
      </c>
      <c r="H1519">
        <f>INDEX('GIS-Standards'!$A$2:$A$305,MATCH(B1519,'GIS-Standards'!$B$2:$B$305,0))</f>
        <v>68</v>
      </c>
      <c r="I1519" t="e">
        <f>INDEX('GIS-Standards'!$A$2:$A$305,MATCH(C1519,'GIS-Standards'!$B$2:$B$305,0))</f>
        <v>#N/A</v>
      </c>
      <c r="J1519" t="str">
        <f>INDEX('GIS-Standards'!$O$2:$O$305,MATCH(B1519,'GIS-Standards'!$B$2:$B$305,0))</f>
        <v>ISO/TC 211</v>
      </c>
      <c r="K1519" t="e">
        <f>INDEX('GIS-Standards'!$O$2:$O$305,MATCH(C1519,'GIS-Standards'!$B$2:$B$305,0))</f>
        <v>#N/A</v>
      </c>
      <c r="M1519" t="s">
        <v>524</v>
      </c>
      <c r="N1519" t="str">
        <f>INDEX('GIS-Standards'!$I$2:$I$305,MATCH(B1519,'GIS-Standards'!$B$2:$B$305,0))</f>
        <v>08.2023</v>
      </c>
      <c r="O1519" t="e">
        <f>INDEX('GIS-Standards'!$I$2:$I$305,MATCH(C1519,'GIS-Standards'!$B$2:$B$305,0))</f>
        <v>#N/A</v>
      </c>
      <c r="P1519" t="e">
        <f>AND(TableRelationships12[[#This Row],[Source Type]]="BIM",TableRelationships12[[#This Row],[Target Type]]="BIM")</f>
        <v>#N/A</v>
      </c>
      <c r="Q1519">
        <f t="shared" si="69"/>
        <v>6</v>
      </c>
      <c r="S1519">
        <f t="shared" si="70"/>
        <v>1</v>
      </c>
      <c r="T1519" s="102" t="str">
        <f>IF(TableRelationships12[[#This Row],[Rank Pedro]]="Low","linkCategory1",IF(TableRelationships12[[#This Row],[Rank Pedro]]="Medium","linkCategory2",IF(TableRelationships12[[#This Row],[Rank Pedro]]="High","linkCategory3","")))</f>
        <v/>
      </c>
      <c r="U1519" s="102" t="str">
        <f>IF(TableRelationships12[[#This Row],[Rank Pedro]]="Low","Pink",IF(TableRelationships12[[#This Row],[Rank Pedro]]="Medium","Purple",IF(TableRelationships12[[#This Row],[Rank Pedro]]="High","Brown","")))</f>
        <v/>
      </c>
      <c r="V1519" s="4" t="e">
        <f>MAX(INDEX(Standards!$F$2:$F$296,MATCH(B1519,Standards!$B$2:$B$296,0)),INDEX(Standards!$F$2:$F$296,MATCH(C1519,Standards!$B$2:$B$296,0)))</f>
        <v>#N/A</v>
      </c>
      <c r="W1519" t="str">
        <f t="shared" si="71"/>
        <v>#d6bf2a</v>
      </c>
    </row>
    <row r="1520" spans="1:23" x14ac:dyDescent="0.5">
      <c r="A1520" s="54">
        <v>1519</v>
      </c>
      <c r="B1520" s="90" t="s">
        <v>642</v>
      </c>
      <c r="C1520" t="s">
        <v>130</v>
      </c>
      <c r="D1520" s="1"/>
      <c r="E1520" s="112">
        <v>1993.05</v>
      </c>
      <c r="F1520" s="112">
        <v>2025.06</v>
      </c>
      <c r="G1520" s="107" t="s">
        <v>1501</v>
      </c>
      <c r="H1520">
        <f>INDEX('GIS-Standards'!$A$2:$A$305,MATCH(B1520,'GIS-Standards'!$B$2:$B$305,0))</f>
        <v>68</v>
      </c>
      <c r="I1520" t="e">
        <f>INDEX('GIS-Standards'!$A$2:$A$305,MATCH(C1520,'GIS-Standards'!$B$2:$B$305,0))</f>
        <v>#N/A</v>
      </c>
      <c r="J1520" t="str">
        <f>INDEX('GIS-Standards'!$O$2:$O$305,MATCH(B1520,'GIS-Standards'!$B$2:$B$305,0))</f>
        <v>ISO/TC 211</v>
      </c>
      <c r="K1520" t="e">
        <f>INDEX('GIS-Standards'!$O$2:$O$305,MATCH(C1520,'GIS-Standards'!$B$2:$B$305,0))</f>
        <v>#N/A</v>
      </c>
      <c r="M1520" t="s">
        <v>524</v>
      </c>
      <c r="N1520" t="str">
        <f>INDEX('GIS-Standards'!$I$2:$I$305,MATCH(B1520,'GIS-Standards'!$B$2:$B$305,0))</f>
        <v>08.2023</v>
      </c>
      <c r="O1520" t="e">
        <f>INDEX('GIS-Standards'!$I$2:$I$305,MATCH(C1520,'GIS-Standards'!$B$2:$B$305,0))</f>
        <v>#N/A</v>
      </c>
      <c r="P1520" t="e">
        <f>AND(TableRelationships12[[#This Row],[Source Type]]="BIM",TableRelationships12[[#This Row],[Target Type]]="BIM")</f>
        <v>#N/A</v>
      </c>
      <c r="Q1520">
        <f t="shared" si="69"/>
        <v>6</v>
      </c>
      <c r="S1520">
        <f t="shared" si="70"/>
        <v>1</v>
      </c>
      <c r="T1520" s="102" t="str">
        <f>IF(TableRelationships12[[#This Row],[Rank Pedro]]="Low","linkCategory1",IF(TableRelationships12[[#This Row],[Rank Pedro]]="Medium","linkCategory2",IF(TableRelationships12[[#This Row],[Rank Pedro]]="High","linkCategory3","")))</f>
        <v/>
      </c>
      <c r="U1520" s="102" t="str">
        <f>IF(TableRelationships12[[#This Row],[Rank Pedro]]="Low","Pink",IF(TableRelationships12[[#This Row],[Rank Pedro]]="Medium","Purple",IF(TableRelationships12[[#This Row],[Rank Pedro]]="High","Brown","")))</f>
        <v/>
      </c>
      <c r="V1520" s="4" t="e">
        <f>MAX(INDEX(Standards!$F$2:$F$296,MATCH(B1520,Standards!$B$2:$B$296,0)),INDEX(Standards!$F$2:$F$296,MATCH(C1520,Standards!$B$2:$B$296,0)))</f>
        <v>#N/A</v>
      </c>
      <c r="W1520" t="str">
        <f t="shared" si="71"/>
        <v>#d6bf2a</v>
      </c>
    </row>
    <row r="1521" spans="1:23" x14ac:dyDescent="0.5">
      <c r="A1521" s="54">
        <v>1520</v>
      </c>
      <c r="B1521" s="90" t="s">
        <v>642</v>
      </c>
      <c r="C1521" t="s">
        <v>310</v>
      </c>
      <c r="D1521" s="1"/>
      <c r="E1521" s="112">
        <v>2003.02</v>
      </c>
      <c r="F1521" s="112">
        <v>2023.08</v>
      </c>
      <c r="G1521" s="107" t="s">
        <v>670</v>
      </c>
      <c r="H1521">
        <f>INDEX('GIS-Standards'!$A$2:$A$305,MATCH(B1521,'GIS-Standards'!$B$2:$B$305,0))</f>
        <v>68</v>
      </c>
      <c r="I1521">
        <f>INDEX('GIS-Standards'!$A$2:$A$305,MATCH(C1521,'GIS-Standards'!$B$2:$B$305,0))</f>
        <v>20</v>
      </c>
      <c r="J1521" t="str">
        <f>INDEX('GIS-Standards'!$O$2:$O$305,MATCH(B1521,'GIS-Standards'!$B$2:$B$305,0))</f>
        <v>ISO/TC 211</v>
      </c>
      <c r="K1521" t="str">
        <f>INDEX('GIS-Standards'!$O$2:$O$305,MATCH(C1521,'GIS-Standards'!$B$2:$B$305,0))</f>
        <v>ISO/TC 211</v>
      </c>
      <c r="M1521" t="s">
        <v>524</v>
      </c>
      <c r="N1521" t="str">
        <f>INDEX('GIS-Standards'!$I$2:$I$305,MATCH(B1521,'GIS-Standards'!$B$2:$B$305,0))</f>
        <v>08.2023</v>
      </c>
      <c r="O1521" t="str">
        <f>INDEX('GIS-Standards'!$I$2:$I$305,MATCH(C1521,'GIS-Standards'!$B$2:$B$305,0))</f>
        <v>08.2023</v>
      </c>
      <c r="P1521" t="b">
        <f>AND(TableRelationships12[[#This Row],[Source Type]]="BIM",TableRelationships12[[#This Row],[Target Type]]="BIM")</f>
        <v>0</v>
      </c>
      <c r="Q1521">
        <f t="shared" si="69"/>
        <v>6</v>
      </c>
      <c r="S1521">
        <f t="shared" si="70"/>
        <v>1</v>
      </c>
      <c r="T1521" s="102" t="str">
        <f>IF(TableRelationships12[[#This Row],[Rank Pedro]]="Low","linkCategory1",IF(TableRelationships12[[#This Row],[Rank Pedro]]="Medium","linkCategory2",IF(TableRelationships12[[#This Row],[Rank Pedro]]="High","linkCategory3","")))</f>
        <v/>
      </c>
      <c r="U1521" s="102" t="str">
        <f>IF(TableRelationships12[[#This Row],[Rank Pedro]]="Low","Pink",IF(TableRelationships12[[#This Row],[Rank Pedro]]="Medium","Purple",IF(TableRelationships12[[#This Row],[Rank Pedro]]="High","Brown","")))</f>
        <v/>
      </c>
      <c r="V1521" s="4" t="e">
        <f>MAX(INDEX(Standards!$F$2:$F$296,MATCH(B1521,Standards!$B$2:$B$296,0)),INDEX(Standards!$F$2:$F$296,MATCH(C1521,Standards!$B$2:$B$296,0)))</f>
        <v>#N/A</v>
      </c>
      <c r="W1521" t="str">
        <f t="shared" si="71"/>
        <v>#d6bf2a</v>
      </c>
    </row>
    <row r="1522" spans="1:23" x14ac:dyDescent="0.5">
      <c r="A1522" s="54">
        <v>1521</v>
      </c>
      <c r="B1522" s="90" t="s">
        <v>642</v>
      </c>
      <c r="C1522" t="s">
        <v>296</v>
      </c>
      <c r="D1522" s="1"/>
      <c r="E1522" s="112">
        <v>2005.07</v>
      </c>
      <c r="F1522" s="112">
        <v>2024.09</v>
      </c>
      <c r="G1522" s="107" t="s">
        <v>670</v>
      </c>
      <c r="H1522">
        <f>INDEX('GIS-Standards'!$A$2:$A$305,MATCH(B1522,'GIS-Standards'!$B$2:$B$305,0))</f>
        <v>68</v>
      </c>
      <c r="I1522">
        <f>INDEX('GIS-Standards'!$A$2:$A$305,MATCH(C1522,'GIS-Standards'!$B$2:$B$305,0))</f>
        <v>12</v>
      </c>
      <c r="J1522" t="str">
        <f>INDEX('GIS-Standards'!$O$2:$O$305,MATCH(B1522,'GIS-Standards'!$B$2:$B$305,0))</f>
        <v>ISO/TC 211</v>
      </c>
      <c r="K1522" t="str">
        <f>INDEX('GIS-Standards'!$O$2:$O$305,MATCH(C1522,'GIS-Standards'!$B$2:$B$305,0))</f>
        <v>ISO/TC 211</v>
      </c>
      <c r="M1522" t="s">
        <v>525</v>
      </c>
      <c r="N1522" t="str">
        <f>INDEX('GIS-Standards'!$I$2:$I$305,MATCH(B1522,'GIS-Standards'!$B$2:$B$305,0))</f>
        <v>08.2023</v>
      </c>
      <c r="O1522">
        <f>INDEX('GIS-Standards'!$I$2:$I$305,MATCH(C1522,'GIS-Standards'!$B$2:$B$305,0))</f>
        <v>0</v>
      </c>
      <c r="P1522" t="b">
        <f>AND(TableRelationships12[[#This Row],[Source Type]]="BIM",TableRelationships12[[#This Row],[Target Type]]="BIM")</f>
        <v>0</v>
      </c>
      <c r="Q1522">
        <f t="shared" si="69"/>
        <v>1</v>
      </c>
      <c r="S1522">
        <f t="shared" si="70"/>
        <v>1</v>
      </c>
      <c r="T1522" s="102" t="str">
        <f>IF(TableRelationships12[[#This Row],[Rank Pedro]]="Low","linkCategory1",IF(TableRelationships12[[#This Row],[Rank Pedro]]="Medium","linkCategory2",IF(TableRelationships12[[#This Row],[Rank Pedro]]="High","linkCategory3","")))</f>
        <v/>
      </c>
      <c r="U1522" s="102" t="str">
        <f>IF(TableRelationships12[[#This Row],[Rank Pedro]]="Low","Pink",IF(TableRelationships12[[#This Row],[Rank Pedro]]="Medium","Purple",IF(TableRelationships12[[#This Row],[Rank Pedro]]="High","Brown","")))</f>
        <v/>
      </c>
      <c r="V1522" s="4" t="e">
        <f>MAX(INDEX(Standards!$F$2:$F$296,MATCH(B1522,Standards!$B$2:$B$296,0)),INDEX(Standards!$F$2:$F$296,MATCH(C1522,Standards!$B$2:$B$296,0)))</f>
        <v>#N/A</v>
      </c>
      <c r="W1522" t="str">
        <f t="shared" si="71"/>
        <v>#2f89d1</v>
      </c>
    </row>
    <row r="1523" spans="1:23" x14ac:dyDescent="0.5">
      <c r="A1523" s="54">
        <v>1522</v>
      </c>
      <c r="B1523" s="90" t="s">
        <v>642</v>
      </c>
      <c r="C1523" t="s">
        <v>1046</v>
      </c>
      <c r="D1523" s="1"/>
      <c r="E1523" s="112">
        <v>2004.08</v>
      </c>
      <c r="F1523" s="112">
        <v>2004.11</v>
      </c>
      <c r="G1523" s="107" t="s">
        <v>670</v>
      </c>
      <c r="H1523">
        <f>INDEX('GIS-Standards'!$A$2:$A$305,MATCH(B1523,'GIS-Standards'!$B$2:$B$305,0))</f>
        <v>68</v>
      </c>
      <c r="I1523">
        <f>INDEX('GIS-Standards'!$A$2:$A$305,MATCH(C1523,'GIS-Standards'!$B$2:$B$305,0))</f>
        <v>32</v>
      </c>
      <c r="J1523" t="str">
        <f>INDEX('GIS-Standards'!$O$2:$O$305,MATCH(B1523,'GIS-Standards'!$B$2:$B$305,0))</f>
        <v>ISO/TC 211</v>
      </c>
      <c r="K1523" t="str">
        <f>INDEX('GIS-Standards'!$O$2:$O$305,MATCH(C1523,'GIS-Standards'!$B$2:$B$305,0))</f>
        <v>ISO/TC 211</v>
      </c>
      <c r="M1523" t="s">
        <v>525</v>
      </c>
      <c r="N1523" t="str">
        <f>INDEX('GIS-Standards'!$I$2:$I$305,MATCH(B1523,'GIS-Standards'!$B$2:$B$305,0))</f>
        <v>08.2023</v>
      </c>
      <c r="O1523">
        <f>INDEX('GIS-Standards'!$I$2:$I$305,MATCH(C1523,'GIS-Standards'!$B$2:$B$305,0))</f>
        <v>0</v>
      </c>
      <c r="P1523" t="b">
        <f>AND(TableRelationships12[[#This Row],[Source Type]]="BIM",TableRelationships12[[#This Row],[Target Type]]="BIM")</f>
        <v>0</v>
      </c>
      <c r="Q1523">
        <f t="shared" si="69"/>
        <v>1</v>
      </c>
      <c r="S1523">
        <f t="shared" si="70"/>
        <v>1</v>
      </c>
      <c r="T1523" s="102" t="str">
        <f>IF(TableRelationships12[[#This Row],[Rank Pedro]]="Low","linkCategory1",IF(TableRelationships12[[#This Row],[Rank Pedro]]="Medium","linkCategory2",IF(TableRelationships12[[#This Row],[Rank Pedro]]="High","linkCategory3","")))</f>
        <v/>
      </c>
      <c r="U1523" s="102" t="str">
        <f>IF(TableRelationships12[[#This Row],[Rank Pedro]]="Low","Pink",IF(TableRelationships12[[#This Row],[Rank Pedro]]="Medium","Purple",IF(TableRelationships12[[#This Row],[Rank Pedro]]="High","Brown","")))</f>
        <v/>
      </c>
      <c r="V1523" s="4" t="e">
        <f>MAX(INDEX(Standards!$F$2:$F$296,MATCH(B1523,Standards!$B$2:$B$296,0)),INDEX(Standards!$F$2:$F$296,MATCH(C1523,Standards!$B$2:$B$296,0)))</f>
        <v>#N/A</v>
      </c>
      <c r="W1523" t="str">
        <f t="shared" si="71"/>
        <v>#2f89d1</v>
      </c>
    </row>
    <row r="1524" spans="1:23" x14ac:dyDescent="0.5">
      <c r="A1524" s="54">
        <v>1523</v>
      </c>
      <c r="B1524" s="90" t="s">
        <v>642</v>
      </c>
      <c r="C1524" t="s">
        <v>1320</v>
      </c>
      <c r="D1524" s="1"/>
      <c r="G1524" s="107"/>
      <c r="H1524">
        <f>INDEX('GIS-Standards'!$A$2:$A$305,MATCH(B1524,'GIS-Standards'!$B$2:$B$305,0))</f>
        <v>68</v>
      </c>
      <c r="I1524" t="e">
        <f>INDEX('GIS-Standards'!$A$2:$A$305,MATCH(C1524,'GIS-Standards'!$B$2:$B$305,0))</f>
        <v>#N/A</v>
      </c>
      <c r="J1524" t="str">
        <f>INDEX('GIS-Standards'!$O$2:$O$305,MATCH(B1524,'GIS-Standards'!$B$2:$B$305,0))</f>
        <v>ISO/TC 211</v>
      </c>
      <c r="K1524" t="e">
        <f>INDEX('GIS-Standards'!$O$2:$O$305,MATCH(C1524,'GIS-Standards'!$B$2:$B$305,0))</f>
        <v>#N/A</v>
      </c>
      <c r="M1524" t="s">
        <v>525</v>
      </c>
      <c r="N1524" t="str">
        <f>INDEX('GIS-Standards'!$I$2:$I$305,MATCH(B1524,'GIS-Standards'!$B$2:$B$305,0))</f>
        <v>08.2023</v>
      </c>
      <c r="O1524" t="e">
        <f>INDEX('GIS-Standards'!$I$2:$I$305,MATCH(C1524,'GIS-Standards'!$B$2:$B$305,0))</f>
        <v>#N/A</v>
      </c>
      <c r="P1524" t="e">
        <f>AND(TableRelationships12[[#This Row],[Source Type]]="BIM",TableRelationships12[[#This Row],[Target Type]]="BIM")</f>
        <v>#N/A</v>
      </c>
      <c r="Q1524">
        <f t="shared" si="69"/>
        <v>1</v>
      </c>
      <c r="S1524">
        <f t="shared" si="70"/>
        <v>1</v>
      </c>
      <c r="T1524" s="102" t="str">
        <f>IF(TableRelationships12[[#This Row],[Rank Pedro]]="Low","linkCategory1",IF(TableRelationships12[[#This Row],[Rank Pedro]]="Medium","linkCategory2",IF(TableRelationships12[[#This Row],[Rank Pedro]]="High","linkCategory3","")))</f>
        <v/>
      </c>
      <c r="U1524" s="102" t="str">
        <f>IF(TableRelationships12[[#This Row],[Rank Pedro]]="Low","Pink",IF(TableRelationships12[[#This Row],[Rank Pedro]]="Medium","Purple",IF(TableRelationships12[[#This Row],[Rank Pedro]]="High","Brown","")))</f>
        <v/>
      </c>
      <c r="V1524" s="4" t="e">
        <f>MAX(INDEX(Standards!$F$2:$F$296,MATCH(B1524,Standards!$B$2:$B$296,0)),INDEX(Standards!$F$2:$F$296,MATCH(C1524,Standards!$B$2:$B$296,0)))</f>
        <v>#N/A</v>
      </c>
      <c r="W1524" t="str">
        <f t="shared" si="71"/>
        <v>#2f89d1</v>
      </c>
    </row>
    <row r="1525" spans="1:23" x14ac:dyDescent="0.5">
      <c r="A1525" s="54">
        <v>1524</v>
      </c>
      <c r="B1525" s="90" t="s">
        <v>642</v>
      </c>
      <c r="C1525" t="s">
        <v>1321</v>
      </c>
      <c r="D1525" s="1"/>
      <c r="G1525" s="107"/>
      <c r="H1525">
        <f>INDEX('GIS-Standards'!$A$2:$A$305,MATCH(B1525,'GIS-Standards'!$B$2:$B$305,0))</f>
        <v>68</v>
      </c>
      <c r="I1525" t="e">
        <f>INDEX('GIS-Standards'!$A$2:$A$305,MATCH(C1525,'GIS-Standards'!$B$2:$B$305,0))</f>
        <v>#N/A</v>
      </c>
      <c r="J1525" t="str">
        <f>INDEX('GIS-Standards'!$O$2:$O$305,MATCH(B1525,'GIS-Standards'!$B$2:$B$305,0))</f>
        <v>ISO/TC 211</v>
      </c>
      <c r="K1525" t="e">
        <f>INDEX('GIS-Standards'!$O$2:$O$305,MATCH(C1525,'GIS-Standards'!$B$2:$B$305,0))</f>
        <v>#N/A</v>
      </c>
      <c r="M1525" t="s">
        <v>525</v>
      </c>
      <c r="N1525" t="str">
        <f>INDEX('GIS-Standards'!$I$2:$I$305,MATCH(B1525,'GIS-Standards'!$B$2:$B$305,0))</f>
        <v>08.2023</v>
      </c>
      <c r="O1525" t="e">
        <f>INDEX('GIS-Standards'!$I$2:$I$305,MATCH(C1525,'GIS-Standards'!$B$2:$B$305,0))</f>
        <v>#N/A</v>
      </c>
      <c r="P1525" t="e">
        <f>AND(TableRelationships12[[#This Row],[Source Type]]="BIM",TableRelationships12[[#This Row],[Target Type]]="BIM")</f>
        <v>#N/A</v>
      </c>
      <c r="Q1525">
        <f t="shared" si="69"/>
        <v>1</v>
      </c>
      <c r="S1525">
        <f t="shared" si="70"/>
        <v>1</v>
      </c>
      <c r="T1525" s="102" t="str">
        <f>IF(TableRelationships12[[#This Row],[Rank Pedro]]="Low","linkCategory1",IF(TableRelationships12[[#This Row],[Rank Pedro]]="Medium","linkCategory2",IF(TableRelationships12[[#This Row],[Rank Pedro]]="High","linkCategory3","")))</f>
        <v/>
      </c>
      <c r="U1525" s="102" t="str">
        <f>IF(TableRelationships12[[#This Row],[Rank Pedro]]="Low","Pink",IF(TableRelationships12[[#This Row],[Rank Pedro]]="Medium","Purple",IF(TableRelationships12[[#This Row],[Rank Pedro]]="High","Brown","")))</f>
        <v/>
      </c>
      <c r="V1525" s="4" t="e">
        <f>MAX(INDEX(Standards!$F$2:$F$296,MATCH(B1525,Standards!$B$2:$B$296,0)),INDEX(Standards!$F$2:$F$296,MATCH(C1525,Standards!$B$2:$B$296,0)))</f>
        <v>#N/A</v>
      </c>
      <c r="W1525" t="str">
        <f t="shared" si="71"/>
        <v>#2f89d1</v>
      </c>
    </row>
    <row r="1526" spans="1:23" x14ac:dyDescent="0.5">
      <c r="A1526" s="54">
        <v>1525</v>
      </c>
      <c r="B1526" s="90" t="s">
        <v>642</v>
      </c>
      <c r="C1526" t="s">
        <v>1322</v>
      </c>
      <c r="D1526" s="1"/>
      <c r="G1526" s="107"/>
      <c r="H1526">
        <f>INDEX('GIS-Standards'!$A$2:$A$305,MATCH(B1526,'GIS-Standards'!$B$2:$B$305,0))</f>
        <v>68</v>
      </c>
      <c r="I1526" t="e">
        <f>INDEX('GIS-Standards'!$A$2:$A$305,MATCH(C1526,'GIS-Standards'!$B$2:$B$305,0))</f>
        <v>#N/A</v>
      </c>
      <c r="J1526" t="str">
        <f>INDEX('GIS-Standards'!$O$2:$O$305,MATCH(B1526,'GIS-Standards'!$B$2:$B$305,0))</f>
        <v>ISO/TC 211</v>
      </c>
      <c r="K1526" t="e">
        <f>INDEX('GIS-Standards'!$O$2:$O$305,MATCH(C1526,'GIS-Standards'!$B$2:$B$305,0))</f>
        <v>#N/A</v>
      </c>
      <c r="M1526" t="s">
        <v>525</v>
      </c>
      <c r="N1526" t="str">
        <f>INDEX('GIS-Standards'!$I$2:$I$305,MATCH(B1526,'GIS-Standards'!$B$2:$B$305,0))</f>
        <v>08.2023</v>
      </c>
      <c r="O1526" t="e">
        <f>INDEX('GIS-Standards'!$I$2:$I$305,MATCH(C1526,'GIS-Standards'!$B$2:$B$305,0))</f>
        <v>#N/A</v>
      </c>
      <c r="P1526" t="e">
        <f>AND(TableRelationships12[[#This Row],[Source Type]]="BIM",TableRelationships12[[#This Row],[Target Type]]="BIM")</f>
        <v>#N/A</v>
      </c>
      <c r="Q1526">
        <f t="shared" si="69"/>
        <v>1</v>
      </c>
      <c r="S1526">
        <f t="shared" si="70"/>
        <v>1</v>
      </c>
      <c r="T1526" s="102" t="str">
        <f>IF(TableRelationships12[[#This Row],[Rank Pedro]]="Low","linkCategory1",IF(TableRelationships12[[#This Row],[Rank Pedro]]="Medium","linkCategory2",IF(TableRelationships12[[#This Row],[Rank Pedro]]="High","linkCategory3","")))</f>
        <v/>
      </c>
      <c r="U1526" s="102" t="str">
        <f>IF(TableRelationships12[[#This Row],[Rank Pedro]]="Low","Pink",IF(TableRelationships12[[#This Row],[Rank Pedro]]="Medium","Purple",IF(TableRelationships12[[#This Row],[Rank Pedro]]="High","Brown","")))</f>
        <v/>
      </c>
      <c r="V1526" s="4" t="e">
        <f>MAX(INDEX(Standards!$F$2:$F$296,MATCH(B1526,Standards!$B$2:$B$296,0)),INDEX(Standards!$F$2:$F$296,MATCH(C1526,Standards!$B$2:$B$296,0)))</f>
        <v>#N/A</v>
      </c>
      <c r="W1526" t="str">
        <f t="shared" si="71"/>
        <v>#2f89d1</v>
      </c>
    </row>
    <row r="1527" spans="1:23" x14ac:dyDescent="0.5">
      <c r="A1527" s="54">
        <v>1526</v>
      </c>
      <c r="B1527" s="90" t="s">
        <v>642</v>
      </c>
      <c r="C1527" t="s">
        <v>1323</v>
      </c>
      <c r="D1527" s="1"/>
      <c r="G1527" s="107"/>
      <c r="H1527">
        <f>INDEX('GIS-Standards'!$A$2:$A$305,MATCH(B1527,'GIS-Standards'!$B$2:$B$305,0))</f>
        <v>68</v>
      </c>
      <c r="I1527" t="e">
        <f>INDEX('GIS-Standards'!$A$2:$A$305,MATCH(C1527,'GIS-Standards'!$B$2:$B$305,0))</f>
        <v>#N/A</v>
      </c>
      <c r="J1527" t="str">
        <f>INDEX('GIS-Standards'!$O$2:$O$305,MATCH(B1527,'GIS-Standards'!$B$2:$B$305,0))</f>
        <v>ISO/TC 211</v>
      </c>
      <c r="K1527" t="e">
        <f>INDEX('GIS-Standards'!$O$2:$O$305,MATCH(C1527,'GIS-Standards'!$B$2:$B$305,0))</f>
        <v>#N/A</v>
      </c>
      <c r="M1527" t="s">
        <v>525</v>
      </c>
      <c r="N1527" t="str">
        <f>INDEX('GIS-Standards'!$I$2:$I$305,MATCH(B1527,'GIS-Standards'!$B$2:$B$305,0))</f>
        <v>08.2023</v>
      </c>
      <c r="O1527" t="e">
        <f>INDEX('GIS-Standards'!$I$2:$I$305,MATCH(C1527,'GIS-Standards'!$B$2:$B$305,0))</f>
        <v>#N/A</v>
      </c>
      <c r="P1527" t="e">
        <f>AND(TableRelationships12[[#This Row],[Source Type]]="BIM",TableRelationships12[[#This Row],[Target Type]]="BIM")</f>
        <v>#N/A</v>
      </c>
      <c r="Q1527">
        <f t="shared" si="69"/>
        <v>1</v>
      </c>
      <c r="S1527">
        <f t="shared" si="70"/>
        <v>1</v>
      </c>
      <c r="T1527" s="102" t="str">
        <f>IF(TableRelationships12[[#This Row],[Rank Pedro]]="Low","linkCategory1",IF(TableRelationships12[[#This Row],[Rank Pedro]]="Medium","linkCategory2",IF(TableRelationships12[[#This Row],[Rank Pedro]]="High","linkCategory3","")))</f>
        <v/>
      </c>
      <c r="U1527" s="102" t="str">
        <f>IF(TableRelationships12[[#This Row],[Rank Pedro]]="Low","Pink",IF(TableRelationships12[[#This Row],[Rank Pedro]]="Medium","Purple",IF(TableRelationships12[[#This Row],[Rank Pedro]]="High","Brown","")))</f>
        <v/>
      </c>
      <c r="V1527" s="4" t="e">
        <f>MAX(INDEX(Standards!$F$2:$F$296,MATCH(B1527,Standards!$B$2:$B$296,0)),INDEX(Standards!$F$2:$F$296,MATCH(C1527,Standards!$B$2:$B$296,0)))</f>
        <v>#N/A</v>
      </c>
      <c r="W1527" t="str">
        <f t="shared" si="71"/>
        <v>#2f89d1</v>
      </c>
    </row>
    <row r="1528" spans="1:23" x14ac:dyDescent="0.5">
      <c r="A1528" s="54">
        <v>1527</v>
      </c>
      <c r="B1528" s="90" t="s">
        <v>642</v>
      </c>
      <c r="C1528" t="s">
        <v>1116</v>
      </c>
      <c r="D1528" s="1" t="s">
        <v>1676</v>
      </c>
      <c r="E1528" s="112">
        <v>1990.12</v>
      </c>
      <c r="F1528" s="112">
        <v>2009.09</v>
      </c>
      <c r="G1528" s="107" t="s">
        <v>1504</v>
      </c>
      <c r="H1528">
        <f>INDEX('GIS-Standards'!$A$2:$A$305,MATCH(B1528,'GIS-Standards'!$B$2:$B$305,0))</f>
        <v>68</v>
      </c>
      <c r="I1528" t="e">
        <f>INDEX('GIS-Standards'!$A$2:$A$305,MATCH(C1528,'GIS-Standards'!$B$2:$B$305,0))</f>
        <v>#N/A</v>
      </c>
      <c r="J1528" t="str">
        <f>INDEX('GIS-Standards'!$O$2:$O$305,MATCH(B1528,'GIS-Standards'!$B$2:$B$305,0))</f>
        <v>ISO/TC 211</v>
      </c>
      <c r="K1528" t="e">
        <f>INDEX('GIS-Standards'!$O$2:$O$305,MATCH(C1528,'GIS-Standards'!$B$2:$B$305,0))</f>
        <v>#N/A</v>
      </c>
      <c r="M1528" t="s">
        <v>525</v>
      </c>
      <c r="N1528" t="str">
        <f>INDEX('GIS-Standards'!$I$2:$I$305,MATCH(B1528,'GIS-Standards'!$B$2:$B$305,0))</f>
        <v>08.2023</v>
      </c>
      <c r="O1528" t="e">
        <f>INDEX('GIS-Standards'!$I$2:$I$305,MATCH(C1528,'GIS-Standards'!$B$2:$B$305,0))</f>
        <v>#N/A</v>
      </c>
      <c r="P1528" t="e">
        <f>AND(TableRelationships12[[#This Row],[Source Type]]="BIM",TableRelationships12[[#This Row],[Target Type]]="BIM")</f>
        <v>#N/A</v>
      </c>
      <c r="Q1528">
        <f t="shared" si="69"/>
        <v>1</v>
      </c>
      <c r="S1528">
        <f t="shared" si="70"/>
        <v>1</v>
      </c>
      <c r="T1528" s="102" t="str">
        <f>IF(TableRelationships12[[#This Row],[Rank Pedro]]="Low","linkCategory1",IF(TableRelationships12[[#This Row],[Rank Pedro]]="Medium","linkCategory2",IF(TableRelationships12[[#This Row],[Rank Pedro]]="High","linkCategory3","")))</f>
        <v/>
      </c>
      <c r="U1528" s="102" t="str">
        <f>IF(TableRelationships12[[#This Row],[Rank Pedro]]="Low","Pink",IF(TableRelationships12[[#This Row],[Rank Pedro]]="Medium","Purple",IF(TableRelationships12[[#This Row],[Rank Pedro]]="High","Brown","")))</f>
        <v/>
      </c>
      <c r="V1528" s="4" t="e">
        <f>MAX(INDEX(Standards!$F$2:$F$296,MATCH(B1528,Standards!$B$2:$B$296,0)),INDEX(Standards!$F$2:$F$296,MATCH(C1528,Standards!$B$2:$B$296,0)))</f>
        <v>#N/A</v>
      </c>
      <c r="W1528" t="str">
        <f t="shared" si="71"/>
        <v>#2f89d1</v>
      </c>
    </row>
    <row r="1529" spans="1:23" x14ac:dyDescent="0.5">
      <c r="A1529" s="54">
        <v>1528</v>
      </c>
      <c r="B1529" s="90" t="s">
        <v>642</v>
      </c>
      <c r="C1529" t="s">
        <v>1324</v>
      </c>
      <c r="D1529" s="1"/>
      <c r="G1529" s="107"/>
      <c r="H1529">
        <f>INDEX('GIS-Standards'!$A$2:$A$305,MATCH(B1529,'GIS-Standards'!$B$2:$B$305,0))</f>
        <v>68</v>
      </c>
      <c r="I1529" t="e">
        <f>INDEX('GIS-Standards'!$A$2:$A$305,MATCH(C1529,'GIS-Standards'!$B$2:$B$305,0))</f>
        <v>#N/A</v>
      </c>
      <c r="J1529" t="str">
        <f>INDEX('GIS-Standards'!$O$2:$O$305,MATCH(B1529,'GIS-Standards'!$B$2:$B$305,0))</f>
        <v>ISO/TC 211</v>
      </c>
      <c r="K1529" t="e">
        <f>INDEX('GIS-Standards'!$O$2:$O$305,MATCH(C1529,'GIS-Standards'!$B$2:$B$305,0))</f>
        <v>#N/A</v>
      </c>
      <c r="M1529" t="s">
        <v>525</v>
      </c>
      <c r="N1529" t="str">
        <f>INDEX('GIS-Standards'!$I$2:$I$305,MATCH(B1529,'GIS-Standards'!$B$2:$B$305,0))</f>
        <v>08.2023</v>
      </c>
      <c r="O1529" t="e">
        <f>INDEX('GIS-Standards'!$I$2:$I$305,MATCH(C1529,'GIS-Standards'!$B$2:$B$305,0))</f>
        <v>#N/A</v>
      </c>
      <c r="P1529" t="e">
        <f>AND(TableRelationships12[[#This Row],[Source Type]]="BIM",TableRelationships12[[#This Row],[Target Type]]="BIM")</f>
        <v>#N/A</v>
      </c>
      <c r="Q1529">
        <f t="shared" si="69"/>
        <v>1</v>
      </c>
      <c r="S1529">
        <f t="shared" si="70"/>
        <v>1</v>
      </c>
      <c r="T1529" s="102" t="str">
        <f>IF(TableRelationships12[[#This Row],[Rank Pedro]]="Low","linkCategory1",IF(TableRelationships12[[#This Row],[Rank Pedro]]="Medium","linkCategory2",IF(TableRelationships12[[#This Row],[Rank Pedro]]="High","linkCategory3","")))</f>
        <v/>
      </c>
      <c r="U1529" s="102" t="str">
        <f>IF(TableRelationships12[[#This Row],[Rank Pedro]]="Low","Pink",IF(TableRelationships12[[#This Row],[Rank Pedro]]="Medium","Purple",IF(TableRelationships12[[#This Row],[Rank Pedro]]="High","Brown","")))</f>
        <v/>
      </c>
      <c r="V1529" s="4" t="e">
        <f>MAX(INDEX(Standards!$F$2:$F$296,MATCH(B1529,Standards!$B$2:$B$296,0)),INDEX(Standards!$F$2:$F$296,MATCH(C1529,Standards!$B$2:$B$296,0)))</f>
        <v>#N/A</v>
      </c>
      <c r="W1529" t="str">
        <f t="shared" si="71"/>
        <v>#2f89d1</v>
      </c>
    </row>
    <row r="1530" spans="1:23" x14ac:dyDescent="0.5">
      <c r="A1530" s="54">
        <v>1529</v>
      </c>
      <c r="B1530" s="90" t="s">
        <v>642</v>
      </c>
      <c r="C1530" t="s">
        <v>358</v>
      </c>
      <c r="D1530" s="1"/>
      <c r="E1530" s="113">
        <v>1987.06</v>
      </c>
      <c r="F1530" s="113">
        <v>2023.06</v>
      </c>
      <c r="G1530" s="107" t="s">
        <v>1504</v>
      </c>
      <c r="H1530">
        <f>INDEX('GIS-Standards'!$A$2:$A$305,MATCH(B1530,'GIS-Standards'!$B$2:$B$305,0))</f>
        <v>68</v>
      </c>
      <c r="I1530" t="e">
        <f>INDEX('GIS-Standards'!$A$2:$A$305,MATCH(C1530,'GIS-Standards'!$B$2:$B$305,0))</f>
        <v>#N/A</v>
      </c>
      <c r="J1530" t="str">
        <f>INDEX('GIS-Standards'!$O$2:$O$305,MATCH(B1530,'GIS-Standards'!$B$2:$B$305,0))</f>
        <v>ISO/TC 211</v>
      </c>
      <c r="K1530" t="e">
        <f>INDEX('GIS-Standards'!$O$2:$O$305,MATCH(C1530,'GIS-Standards'!$B$2:$B$305,0))</f>
        <v>#N/A</v>
      </c>
      <c r="M1530" t="s">
        <v>525</v>
      </c>
      <c r="N1530" t="str">
        <f>INDEX('GIS-Standards'!$I$2:$I$305,MATCH(B1530,'GIS-Standards'!$B$2:$B$305,0))</f>
        <v>08.2023</v>
      </c>
      <c r="O1530" t="e">
        <f>INDEX('GIS-Standards'!$I$2:$I$305,MATCH(C1530,'GIS-Standards'!$B$2:$B$305,0))</f>
        <v>#N/A</v>
      </c>
      <c r="P1530" t="e">
        <f>AND(TableRelationships12[[#This Row],[Source Type]]="BIM",TableRelationships12[[#This Row],[Target Type]]="BIM")</f>
        <v>#N/A</v>
      </c>
      <c r="Q1530">
        <f t="shared" si="69"/>
        <v>1</v>
      </c>
      <c r="S1530">
        <f t="shared" si="70"/>
        <v>1</v>
      </c>
      <c r="T1530" s="102" t="str">
        <f>IF(TableRelationships12[[#This Row],[Rank Pedro]]="Low","linkCategory1",IF(TableRelationships12[[#This Row],[Rank Pedro]]="Medium","linkCategory2",IF(TableRelationships12[[#This Row],[Rank Pedro]]="High","linkCategory3","")))</f>
        <v/>
      </c>
      <c r="U1530" s="102" t="str">
        <f>IF(TableRelationships12[[#This Row],[Rank Pedro]]="Low","Pink",IF(TableRelationships12[[#This Row],[Rank Pedro]]="Medium","Purple",IF(TableRelationships12[[#This Row],[Rank Pedro]]="High","Brown","")))</f>
        <v/>
      </c>
      <c r="V1530" s="4" t="e">
        <f>MAX(INDEX(Standards!$F$2:$F$296,MATCH(B1530,Standards!$B$2:$B$296,0)),INDEX(Standards!$F$2:$F$296,MATCH(C1530,Standards!$B$2:$B$296,0)))</f>
        <v>#N/A</v>
      </c>
      <c r="W1530" t="str">
        <f t="shared" si="71"/>
        <v>#2f89d1</v>
      </c>
    </row>
    <row r="1531" spans="1:23" x14ac:dyDescent="0.5">
      <c r="A1531" s="54">
        <v>1530</v>
      </c>
      <c r="B1531" s="90" t="s">
        <v>642</v>
      </c>
      <c r="C1531" t="s">
        <v>1325</v>
      </c>
      <c r="D1531" s="1"/>
      <c r="E1531" s="113">
        <v>1987.06</v>
      </c>
      <c r="F1531" s="113">
        <v>2023.06</v>
      </c>
      <c r="G1531" s="107" t="s">
        <v>1504</v>
      </c>
      <c r="H1531">
        <f>INDEX('GIS-Standards'!$A$2:$A$305,MATCH(B1531,'GIS-Standards'!$B$2:$B$305,0))</f>
        <v>68</v>
      </c>
      <c r="I1531" t="e">
        <f>INDEX('GIS-Standards'!$A$2:$A$305,MATCH(C1531,'GIS-Standards'!$B$2:$B$305,0))</f>
        <v>#N/A</v>
      </c>
      <c r="J1531" t="str">
        <f>INDEX('GIS-Standards'!$O$2:$O$305,MATCH(B1531,'GIS-Standards'!$B$2:$B$305,0))</f>
        <v>ISO/TC 211</v>
      </c>
      <c r="K1531" t="e">
        <f>INDEX('GIS-Standards'!$O$2:$O$305,MATCH(C1531,'GIS-Standards'!$B$2:$B$305,0))</f>
        <v>#N/A</v>
      </c>
      <c r="M1531" t="s">
        <v>525</v>
      </c>
      <c r="N1531" t="str">
        <f>INDEX('GIS-Standards'!$I$2:$I$305,MATCH(B1531,'GIS-Standards'!$B$2:$B$305,0))</f>
        <v>08.2023</v>
      </c>
      <c r="O1531" t="e">
        <f>INDEX('GIS-Standards'!$I$2:$I$305,MATCH(C1531,'GIS-Standards'!$B$2:$B$305,0))</f>
        <v>#N/A</v>
      </c>
      <c r="P1531" t="e">
        <f>AND(TableRelationships12[[#This Row],[Source Type]]="BIM",TableRelationships12[[#This Row],[Target Type]]="BIM")</f>
        <v>#N/A</v>
      </c>
      <c r="Q1531">
        <f t="shared" si="69"/>
        <v>1</v>
      </c>
      <c r="S1531">
        <f t="shared" si="70"/>
        <v>1</v>
      </c>
      <c r="T1531" s="102" t="str">
        <f>IF(TableRelationships12[[#This Row],[Rank Pedro]]="Low","linkCategory1",IF(TableRelationships12[[#This Row],[Rank Pedro]]="Medium","linkCategory2",IF(TableRelationships12[[#This Row],[Rank Pedro]]="High","linkCategory3","")))</f>
        <v/>
      </c>
      <c r="U1531" s="102" t="str">
        <f>IF(TableRelationships12[[#This Row],[Rank Pedro]]="Low","Pink",IF(TableRelationships12[[#This Row],[Rank Pedro]]="Medium","Purple",IF(TableRelationships12[[#This Row],[Rank Pedro]]="High","Brown","")))</f>
        <v/>
      </c>
      <c r="V1531" s="4" t="e">
        <f>MAX(INDEX(Standards!$F$2:$F$296,MATCH(B1531,Standards!$B$2:$B$296,0)),INDEX(Standards!$F$2:$F$296,MATCH(C1531,Standards!$B$2:$B$296,0)))</f>
        <v>#N/A</v>
      </c>
      <c r="W1531" t="str">
        <f t="shared" si="71"/>
        <v>#2f89d1</v>
      </c>
    </row>
    <row r="1532" spans="1:23" x14ac:dyDescent="0.5">
      <c r="A1532" s="54">
        <v>1531</v>
      </c>
      <c r="B1532" s="90" t="s">
        <v>642</v>
      </c>
      <c r="C1532" t="s">
        <v>314</v>
      </c>
      <c r="D1532" s="1"/>
      <c r="E1532" s="112">
        <v>2003.05</v>
      </c>
      <c r="F1532" s="112">
        <v>2020.11</v>
      </c>
      <c r="G1532" s="107" t="s">
        <v>670</v>
      </c>
      <c r="H1532">
        <f>INDEX('GIS-Standards'!$A$2:$A$305,MATCH(B1532,'GIS-Standards'!$B$2:$B$305,0))</f>
        <v>68</v>
      </c>
      <c r="I1532">
        <f>INDEX('GIS-Standards'!$A$2:$A$305,MATCH(C1532,'GIS-Standards'!$B$2:$B$305,0))</f>
        <v>22</v>
      </c>
      <c r="J1532" t="str">
        <f>INDEX('GIS-Standards'!$O$2:$O$305,MATCH(B1532,'GIS-Standards'!$B$2:$B$305,0))</f>
        <v>ISO/TC 211</v>
      </c>
      <c r="K1532" t="str">
        <f>INDEX('GIS-Standards'!$O$2:$O$305,MATCH(C1532,'GIS-Standards'!$B$2:$B$305,0))</f>
        <v>ISO/TC 211</v>
      </c>
      <c r="M1532" t="s">
        <v>525</v>
      </c>
      <c r="N1532" t="str">
        <f>INDEX('GIS-Standards'!$I$2:$I$305,MATCH(B1532,'GIS-Standards'!$B$2:$B$305,0))</f>
        <v>08.2023</v>
      </c>
      <c r="O1532" t="str">
        <f>INDEX('GIS-Standards'!$I$2:$I$305,MATCH(C1532,'GIS-Standards'!$B$2:$B$305,0))</f>
        <v>12.2020</v>
      </c>
      <c r="P1532" t="b">
        <f>AND(TableRelationships12[[#This Row],[Source Type]]="BIM",TableRelationships12[[#This Row],[Target Type]]="BIM")</f>
        <v>0</v>
      </c>
      <c r="Q1532">
        <f t="shared" si="69"/>
        <v>1</v>
      </c>
      <c r="S1532">
        <f t="shared" si="70"/>
        <v>1</v>
      </c>
      <c r="T1532" s="102" t="str">
        <f>IF(TableRelationships12[[#This Row],[Rank Pedro]]="Low","linkCategory1",IF(TableRelationships12[[#This Row],[Rank Pedro]]="Medium","linkCategory2",IF(TableRelationships12[[#This Row],[Rank Pedro]]="High","linkCategory3","")))</f>
        <v/>
      </c>
      <c r="U1532" s="102" t="str">
        <f>IF(TableRelationships12[[#This Row],[Rank Pedro]]="Low","Pink",IF(TableRelationships12[[#This Row],[Rank Pedro]]="Medium","Purple",IF(TableRelationships12[[#This Row],[Rank Pedro]]="High","Brown","")))</f>
        <v/>
      </c>
      <c r="V1532" s="4" t="e">
        <f>MAX(INDEX(Standards!$F$2:$F$296,MATCH(B1532,Standards!$B$2:$B$296,0)),INDEX(Standards!$F$2:$F$296,MATCH(C1532,Standards!$B$2:$B$296,0)))</f>
        <v>#N/A</v>
      </c>
      <c r="W1532" t="str">
        <f t="shared" si="71"/>
        <v>#2f89d1</v>
      </c>
    </row>
    <row r="1533" spans="1:23" x14ac:dyDescent="0.5">
      <c r="A1533" s="54">
        <v>1532</v>
      </c>
      <c r="B1533" s="90" t="s">
        <v>1054</v>
      </c>
      <c r="C1533" t="s">
        <v>527</v>
      </c>
      <c r="D1533" s="1"/>
      <c r="E1533" s="112" t="s">
        <v>976</v>
      </c>
      <c r="F1533" s="112" t="s">
        <v>976</v>
      </c>
      <c r="G1533" s="121" t="s">
        <v>670</v>
      </c>
      <c r="H1533">
        <f>INDEX('GIS-Standards'!$A$2:$A$305,MATCH(B1533,'GIS-Standards'!$B$2:$B$305,0))</f>
        <v>69</v>
      </c>
      <c r="I1533" t="e">
        <f>INDEX('GIS-Standards'!$A$2:$A$305,MATCH(C1533,'GIS-Standards'!$B$2:$B$305,0))</f>
        <v>#N/A</v>
      </c>
      <c r="J1533" t="str">
        <f>INDEX('GIS-Standards'!$O$2:$O$305,MATCH(B1533,'GIS-Standards'!$B$2:$B$305,0))</f>
        <v>ISO/TC 211</v>
      </c>
      <c r="K1533" t="e">
        <f>INDEX('GIS-Standards'!$O$2:$O$305,MATCH(C1533,'GIS-Standards'!$B$2:$B$305,0))</f>
        <v>#N/A</v>
      </c>
      <c r="M1533" t="s">
        <v>237</v>
      </c>
      <c r="N1533">
        <f>INDEX('GIS-Standards'!$I$2:$I$305,MATCH(B1533,'GIS-Standards'!$B$2:$B$305,0))</f>
        <v>0</v>
      </c>
      <c r="O1533" t="e">
        <f>INDEX('GIS-Standards'!$I$2:$I$305,MATCH(C1533,'GIS-Standards'!$B$2:$B$305,0))</f>
        <v>#N/A</v>
      </c>
      <c r="P1533" t="e">
        <f>AND(TableRelationships12[[#This Row],[Source Type]]="BIM",TableRelationships12[[#This Row],[Target Type]]="BIM")</f>
        <v>#N/A</v>
      </c>
      <c r="Q1533">
        <f t="shared" si="69"/>
        <v>2</v>
      </c>
      <c r="S1533">
        <f t="shared" si="70"/>
        <v>1</v>
      </c>
      <c r="T1533" s="102" t="str">
        <f>IF(TableRelationships12[[#This Row],[Rank Pedro]]="Low","linkCategory1",IF(TableRelationships12[[#This Row],[Rank Pedro]]="Medium","linkCategory2",IF(TableRelationships12[[#This Row],[Rank Pedro]]="High","linkCategory3","")))</f>
        <v/>
      </c>
      <c r="U1533" s="102" t="str">
        <f>IF(TableRelationships12[[#This Row],[Rank Pedro]]="Low","Pink",IF(TableRelationships12[[#This Row],[Rank Pedro]]="Medium","Purple",IF(TableRelationships12[[#This Row],[Rank Pedro]]="High","Brown","")))</f>
        <v/>
      </c>
      <c r="V1533" s="4" t="e">
        <f>MAX(INDEX(Standards!$F$2:$F$296,MATCH(B1533,Standards!$B$2:$B$296,0)),INDEX(Standards!$F$2:$F$296,MATCH(C1533,Standards!$B$2:$B$296,0)))</f>
        <v>#N/A</v>
      </c>
      <c r="W1533">
        <f t="shared" si="71"/>
        <v>1</v>
      </c>
    </row>
    <row r="1534" spans="1:23" x14ac:dyDescent="0.5">
      <c r="A1534" s="54">
        <v>1533</v>
      </c>
      <c r="B1534" s="90" t="s">
        <v>1054</v>
      </c>
      <c r="C1534" t="s">
        <v>296</v>
      </c>
      <c r="D1534" s="1"/>
      <c r="E1534" s="112">
        <v>2005.07</v>
      </c>
      <c r="F1534" s="112">
        <v>2024.09</v>
      </c>
      <c r="G1534" s="107" t="s">
        <v>670</v>
      </c>
      <c r="H1534">
        <f>INDEX('GIS-Standards'!$A$2:$A$305,MATCH(B1534,'GIS-Standards'!$B$2:$B$305,0))</f>
        <v>69</v>
      </c>
      <c r="I1534">
        <f>INDEX('GIS-Standards'!$A$2:$A$305,MATCH(C1534,'GIS-Standards'!$B$2:$B$305,0))</f>
        <v>12</v>
      </c>
      <c r="J1534" t="str">
        <f>INDEX('GIS-Standards'!$O$2:$O$305,MATCH(B1534,'GIS-Standards'!$B$2:$B$305,0))</f>
        <v>ISO/TC 211</v>
      </c>
      <c r="K1534" t="str">
        <f>INDEX('GIS-Standards'!$O$2:$O$305,MATCH(C1534,'GIS-Standards'!$B$2:$B$305,0))</f>
        <v>ISO/TC 211</v>
      </c>
      <c r="M1534" t="s">
        <v>524</v>
      </c>
      <c r="N1534">
        <f>INDEX('GIS-Standards'!$I$2:$I$305,MATCH(B1534,'GIS-Standards'!$B$2:$B$305,0))</f>
        <v>0</v>
      </c>
      <c r="O1534">
        <f>INDEX('GIS-Standards'!$I$2:$I$305,MATCH(C1534,'GIS-Standards'!$B$2:$B$305,0))</f>
        <v>0</v>
      </c>
      <c r="P1534" t="b">
        <f>AND(TableRelationships12[[#This Row],[Source Type]]="BIM",TableRelationships12[[#This Row],[Target Type]]="BIM")</f>
        <v>0</v>
      </c>
      <c r="Q1534">
        <f t="shared" si="69"/>
        <v>6</v>
      </c>
      <c r="S1534">
        <f t="shared" si="70"/>
        <v>1</v>
      </c>
      <c r="T1534" s="102" t="str">
        <f>IF(TableRelationships12[[#This Row],[Rank Pedro]]="Low","linkCategory1",IF(TableRelationships12[[#This Row],[Rank Pedro]]="Medium","linkCategory2",IF(TableRelationships12[[#This Row],[Rank Pedro]]="High","linkCategory3","")))</f>
        <v/>
      </c>
      <c r="U1534" s="102" t="str">
        <f>IF(TableRelationships12[[#This Row],[Rank Pedro]]="Low","Pink",IF(TableRelationships12[[#This Row],[Rank Pedro]]="Medium","Purple",IF(TableRelationships12[[#This Row],[Rank Pedro]]="High","Brown","")))</f>
        <v/>
      </c>
      <c r="V1534" s="4" t="e">
        <f>MAX(INDEX(Standards!$F$2:$F$296,MATCH(B1534,Standards!$B$2:$B$296,0)),INDEX(Standards!$F$2:$F$296,MATCH(C1534,Standards!$B$2:$B$296,0)))</f>
        <v>#N/A</v>
      </c>
      <c r="W1534" t="str">
        <f t="shared" si="71"/>
        <v>#d6bf2a</v>
      </c>
    </row>
    <row r="1535" spans="1:23" x14ac:dyDescent="0.5">
      <c r="A1535" s="54">
        <v>1534</v>
      </c>
      <c r="B1535" s="90" t="s">
        <v>1054</v>
      </c>
      <c r="C1535" t="s">
        <v>302</v>
      </c>
      <c r="D1535" s="1"/>
      <c r="E1535" s="112">
        <v>2003.05</v>
      </c>
      <c r="F1535" s="112">
        <v>2019.12</v>
      </c>
      <c r="G1535" s="107" t="s">
        <v>670</v>
      </c>
      <c r="H1535">
        <f>INDEX('GIS-Standards'!$A$2:$A$305,MATCH(B1535,'GIS-Standards'!$B$2:$B$305,0))</f>
        <v>69</v>
      </c>
      <c r="I1535">
        <f>INDEX('GIS-Standards'!$A$2:$A$305,MATCH(C1535,'GIS-Standards'!$B$2:$B$305,0))</f>
        <v>16</v>
      </c>
      <c r="J1535" t="str">
        <f>INDEX('GIS-Standards'!$O$2:$O$305,MATCH(B1535,'GIS-Standards'!$B$2:$B$305,0))</f>
        <v>ISO/TC 211</v>
      </c>
      <c r="K1535" t="str">
        <f>INDEX('GIS-Standards'!$O$2:$O$305,MATCH(C1535,'GIS-Standards'!$B$2:$B$305,0))</f>
        <v>ISO/TC 211</v>
      </c>
      <c r="M1535" t="s">
        <v>524</v>
      </c>
      <c r="N1535">
        <f>INDEX('GIS-Standards'!$I$2:$I$305,MATCH(B1535,'GIS-Standards'!$B$2:$B$305,0))</f>
        <v>0</v>
      </c>
      <c r="O1535">
        <f>INDEX('GIS-Standards'!$I$2:$I$305,MATCH(C1535,'GIS-Standards'!$B$2:$B$305,0))</f>
        <v>0</v>
      </c>
      <c r="P1535" t="b">
        <f>AND(TableRelationships12[[#This Row],[Source Type]]="BIM",TableRelationships12[[#This Row],[Target Type]]="BIM")</f>
        <v>0</v>
      </c>
      <c r="Q1535">
        <f t="shared" si="69"/>
        <v>6</v>
      </c>
      <c r="S1535">
        <f t="shared" si="70"/>
        <v>1</v>
      </c>
      <c r="T1535" s="102" t="str">
        <f>IF(TableRelationships12[[#This Row],[Rank Pedro]]="Low","linkCategory1",IF(TableRelationships12[[#This Row],[Rank Pedro]]="Medium","linkCategory2",IF(TableRelationships12[[#This Row],[Rank Pedro]]="High","linkCategory3","")))</f>
        <v/>
      </c>
      <c r="U1535" s="102" t="str">
        <f>IF(TableRelationships12[[#This Row],[Rank Pedro]]="Low","Pink",IF(TableRelationships12[[#This Row],[Rank Pedro]]="Medium","Purple",IF(TableRelationships12[[#This Row],[Rank Pedro]]="High","Brown","")))</f>
        <v/>
      </c>
      <c r="V1535" s="4" t="e">
        <f>MAX(INDEX(Standards!$F$2:$F$296,MATCH(B1535,Standards!$B$2:$B$296,0)),INDEX(Standards!$F$2:$F$296,MATCH(C1535,Standards!$B$2:$B$296,0)))</f>
        <v>#N/A</v>
      </c>
      <c r="W1535" t="str">
        <f t="shared" si="71"/>
        <v>#d6bf2a</v>
      </c>
    </row>
    <row r="1536" spans="1:23" x14ac:dyDescent="0.5">
      <c r="A1536" s="54">
        <v>1535</v>
      </c>
      <c r="B1536" s="90" t="s">
        <v>1054</v>
      </c>
      <c r="C1536" t="s">
        <v>304</v>
      </c>
      <c r="D1536" s="1"/>
      <c r="E1536" s="112">
        <v>2002.09</v>
      </c>
      <c r="F1536" s="112">
        <v>2006.1</v>
      </c>
      <c r="G1536" s="107" t="s">
        <v>670</v>
      </c>
      <c r="H1536">
        <f>INDEX('GIS-Standards'!$A$2:$A$305,MATCH(B1536,'GIS-Standards'!$B$2:$B$305,0))</f>
        <v>69</v>
      </c>
      <c r="I1536">
        <f>INDEX('GIS-Standards'!$A$2:$A$305,MATCH(C1536,'GIS-Standards'!$B$2:$B$305,0))</f>
        <v>17</v>
      </c>
      <c r="J1536" t="str">
        <f>INDEX('GIS-Standards'!$O$2:$O$305,MATCH(B1536,'GIS-Standards'!$B$2:$B$305,0))</f>
        <v>ISO/TC 211</v>
      </c>
      <c r="K1536" t="str">
        <f>INDEX('GIS-Standards'!$O$2:$O$305,MATCH(C1536,'GIS-Standards'!$B$2:$B$305,0))</f>
        <v>ISO/TC 211</v>
      </c>
      <c r="M1536" t="s">
        <v>524</v>
      </c>
      <c r="N1536">
        <f>INDEX('GIS-Standards'!$I$2:$I$305,MATCH(B1536,'GIS-Standards'!$B$2:$B$305,0))</f>
        <v>0</v>
      </c>
      <c r="O1536" t="str">
        <f>INDEX('GIS-Standards'!$I$2:$I$305,MATCH(C1536,'GIS-Standards'!$B$2:$B$305,0))</f>
        <v>06.2008</v>
      </c>
      <c r="P1536" t="b">
        <f>AND(TableRelationships12[[#This Row],[Source Type]]="BIM",TableRelationships12[[#This Row],[Target Type]]="BIM")</f>
        <v>0</v>
      </c>
      <c r="Q1536">
        <f t="shared" si="69"/>
        <v>6</v>
      </c>
      <c r="S1536">
        <f t="shared" si="70"/>
        <v>1</v>
      </c>
      <c r="T1536" s="102" t="str">
        <f>IF(TableRelationships12[[#This Row],[Rank Pedro]]="Low","linkCategory1",IF(TableRelationships12[[#This Row],[Rank Pedro]]="Medium","linkCategory2",IF(TableRelationships12[[#This Row],[Rank Pedro]]="High","linkCategory3","")))</f>
        <v/>
      </c>
      <c r="U1536" s="102" t="str">
        <f>IF(TableRelationships12[[#This Row],[Rank Pedro]]="Low","Pink",IF(TableRelationships12[[#This Row],[Rank Pedro]]="Medium","Purple",IF(TableRelationships12[[#This Row],[Rank Pedro]]="High","Brown","")))</f>
        <v/>
      </c>
      <c r="V1536" s="4" t="e">
        <f>MAX(INDEX(Standards!$F$2:$F$296,MATCH(B1536,Standards!$B$2:$B$296,0)),INDEX(Standards!$F$2:$F$296,MATCH(C1536,Standards!$B$2:$B$296,0)))</f>
        <v>#N/A</v>
      </c>
      <c r="W1536" t="str">
        <f t="shared" si="71"/>
        <v>#d6bf2a</v>
      </c>
    </row>
    <row r="1537" spans="1:23" x14ac:dyDescent="0.5">
      <c r="A1537" s="54">
        <v>1536</v>
      </c>
      <c r="B1537" s="90" t="s">
        <v>1054</v>
      </c>
      <c r="C1537" t="s">
        <v>306</v>
      </c>
      <c r="D1537" s="1"/>
      <c r="E1537" s="112">
        <v>2005.06</v>
      </c>
      <c r="F1537" s="112">
        <v>2025.07</v>
      </c>
      <c r="G1537" s="107" t="s">
        <v>670</v>
      </c>
      <c r="H1537">
        <f>INDEX('GIS-Standards'!$A$2:$A$305,MATCH(B1537,'GIS-Standards'!$B$2:$B$305,0))</f>
        <v>69</v>
      </c>
      <c r="I1537">
        <f>INDEX('GIS-Standards'!$A$2:$A$305,MATCH(C1537,'GIS-Standards'!$B$2:$B$305,0))</f>
        <v>18</v>
      </c>
      <c r="J1537" t="str">
        <f>INDEX('GIS-Standards'!$O$2:$O$305,MATCH(B1537,'GIS-Standards'!$B$2:$B$305,0))</f>
        <v>ISO/TC 211</v>
      </c>
      <c r="K1537" t="str">
        <f>INDEX('GIS-Standards'!$O$2:$O$305,MATCH(C1537,'GIS-Standards'!$B$2:$B$305,0))</f>
        <v>ISO/TC 211</v>
      </c>
      <c r="M1537" t="s">
        <v>524</v>
      </c>
      <c r="N1537">
        <f>INDEX('GIS-Standards'!$I$2:$I$305,MATCH(B1537,'GIS-Standards'!$B$2:$B$305,0))</f>
        <v>0</v>
      </c>
      <c r="O1537">
        <f>INDEX('GIS-Standards'!$I$2:$I$305,MATCH(C1537,'GIS-Standards'!$B$2:$B$305,0))</f>
        <v>0</v>
      </c>
      <c r="P1537" t="b">
        <f>AND(TableRelationships12[[#This Row],[Source Type]]="BIM",TableRelationships12[[#This Row],[Target Type]]="BIM")</f>
        <v>0</v>
      </c>
      <c r="Q1537">
        <f t="shared" si="69"/>
        <v>6</v>
      </c>
      <c r="S1537">
        <f t="shared" si="70"/>
        <v>1</v>
      </c>
      <c r="T1537" s="102" t="str">
        <f>IF(TableRelationships12[[#This Row],[Rank Pedro]]="Low","linkCategory1",IF(TableRelationships12[[#This Row],[Rank Pedro]]="Medium","linkCategory2",IF(TableRelationships12[[#This Row],[Rank Pedro]]="High","linkCategory3","")))</f>
        <v/>
      </c>
      <c r="U1537" s="102" t="str">
        <f>IF(TableRelationships12[[#This Row],[Rank Pedro]]="Low","Pink",IF(TableRelationships12[[#This Row],[Rank Pedro]]="Medium","Purple",IF(TableRelationships12[[#This Row],[Rank Pedro]]="High","Brown","")))</f>
        <v/>
      </c>
      <c r="V1537" s="4" t="e">
        <f>MAX(INDEX(Standards!$F$2:$F$296,MATCH(B1537,Standards!$B$2:$B$296,0)),INDEX(Standards!$F$2:$F$296,MATCH(C1537,Standards!$B$2:$B$296,0)))</f>
        <v>#N/A</v>
      </c>
      <c r="W1537" t="str">
        <f t="shared" si="71"/>
        <v>#d6bf2a</v>
      </c>
    </row>
    <row r="1538" spans="1:23" x14ac:dyDescent="0.5">
      <c r="A1538" s="54">
        <v>1537</v>
      </c>
      <c r="B1538" s="90" t="s">
        <v>1054</v>
      </c>
      <c r="C1538" t="s">
        <v>314</v>
      </c>
      <c r="D1538" s="1"/>
      <c r="E1538" s="112">
        <v>2003.05</v>
      </c>
      <c r="F1538" s="112">
        <v>2020.11</v>
      </c>
      <c r="G1538" s="107" t="s">
        <v>670</v>
      </c>
      <c r="H1538">
        <f>INDEX('GIS-Standards'!$A$2:$A$305,MATCH(B1538,'GIS-Standards'!$B$2:$B$305,0))</f>
        <v>69</v>
      </c>
      <c r="I1538">
        <f>INDEX('GIS-Standards'!$A$2:$A$305,MATCH(C1538,'GIS-Standards'!$B$2:$B$305,0))</f>
        <v>22</v>
      </c>
      <c r="J1538" t="str">
        <f>INDEX('GIS-Standards'!$O$2:$O$305,MATCH(B1538,'GIS-Standards'!$B$2:$B$305,0))</f>
        <v>ISO/TC 211</v>
      </c>
      <c r="K1538" t="str">
        <f>INDEX('GIS-Standards'!$O$2:$O$305,MATCH(C1538,'GIS-Standards'!$B$2:$B$305,0))</f>
        <v>ISO/TC 211</v>
      </c>
      <c r="M1538" t="s">
        <v>524</v>
      </c>
      <c r="N1538">
        <f>INDEX('GIS-Standards'!$I$2:$I$305,MATCH(B1538,'GIS-Standards'!$B$2:$B$305,0))</f>
        <v>0</v>
      </c>
      <c r="O1538" t="str">
        <f>INDEX('GIS-Standards'!$I$2:$I$305,MATCH(C1538,'GIS-Standards'!$B$2:$B$305,0))</f>
        <v>12.2020</v>
      </c>
      <c r="P1538" t="b">
        <f>AND(TableRelationships12[[#This Row],[Source Type]]="BIM",TableRelationships12[[#This Row],[Target Type]]="BIM")</f>
        <v>0</v>
      </c>
      <c r="Q1538">
        <f t="shared" ref="Q1538:Q1601" si="72">IF(M1538="Normative",6,IF(M1538="Secondary",4,IF(M1538="Anchor",2,1)))</f>
        <v>6</v>
      </c>
      <c r="S1538">
        <f t="shared" ref="S1538:S1601" si="73">IF(R1538="High",10,IF(R1538="Medium",6,IF(R1538="Low",2,1)))</f>
        <v>1</v>
      </c>
      <c r="T1538" s="102" t="str">
        <f>IF(TableRelationships12[[#This Row],[Rank Pedro]]="Low","linkCategory1",IF(TableRelationships12[[#This Row],[Rank Pedro]]="Medium","linkCategory2",IF(TableRelationships12[[#This Row],[Rank Pedro]]="High","linkCategory3","")))</f>
        <v/>
      </c>
      <c r="U1538" s="102" t="str">
        <f>IF(TableRelationships12[[#This Row],[Rank Pedro]]="Low","Pink",IF(TableRelationships12[[#This Row],[Rank Pedro]]="Medium","Purple",IF(TableRelationships12[[#This Row],[Rank Pedro]]="High","Brown","")))</f>
        <v/>
      </c>
      <c r="V1538" s="4" t="e">
        <f>MAX(INDEX(Standards!$F$2:$F$296,MATCH(B1538,Standards!$B$2:$B$296,0)),INDEX(Standards!$F$2:$F$296,MATCH(C1538,Standards!$B$2:$B$296,0)))</f>
        <v>#N/A</v>
      </c>
      <c r="W1538" t="str">
        <f t="shared" ref="W1538:W1601" si="74">IF(M1538="Normative", "#d6bf2a", IF(M1538="Informative", "#2f89d1", 1))</f>
        <v>#d6bf2a</v>
      </c>
    </row>
    <row r="1539" spans="1:23" x14ac:dyDescent="0.5">
      <c r="A1539" s="54">
        <v>1538</v>
      </c>
      <c r="B1539" s="90" t="s">
        <v>1054</v>
      </c>
      <c r="C1539" t="s">
        <v>144</v>
      </c>
      <c r="D1539" s="1"/>
      <c r="E1539" s="112">
        <v>2013.04</v>
      </c>
      <c r="F1539" s="112">
        <v>2024.03</v>
      </c>
      <c r="G1539" s="107" t="s">
        <v>1448</v>
      </c>
      <c r="H1539">
        <f>INDEX('GIS-Standards'!$A$2:$A$305,MATCH(B1539,'GIS-Standards'!$B$2:$B$305,0))</f>
        <v>69</v>
      </c>
      <c r="I1539" t="e">
        <f>INDEX('GIS-Standards'!$A$2:$A$305,MATCH(C1539,'GIS-Standards'!$B$2:$B$305,0))</f>
        <v>#N/A</v>
      </c>
      <c r="J1539" t="str">
        <f>INDEX('GIS-Standards'!$O$2:$O$305,MATCH(B1539,'GIS-Standards'!$B$2:$B$305,0))</f>
        <v>ISO/TC 211</v>
      </c>
      <c r="K1539" t="e">
        <f>INDEX('GIS-Standards'!$O$2:$O$305,MATCH(C1539,'GIS-Standards'!$B$2:$B$305,0))</f>
        <v>#N/A</v>
      </c>
      <c r="M1539" t="s">
        <v>524</v>
      </c>
      <c r="N1539">
        <f>INDEX('GIS-Standards'!$I$2:$I$305,MATCH(B1539,'GIS-Standards'!$B$2:$B$305,0))</f>
        <v>0</v>
      </c>
      <c r="O1539" t="e">
        <f>INDEX('GIS-Standards'!$I$2:$I$305,MATCH(C1539,'GIS-Standards'!$B$2:$B$305,0))</f>
        <v>#N/A</v>
      </c>
      <c r="P1539" t="e">
        <f>AND(TableRelationships12[[#This Row],[Source Type]]="BIM",TableRelationships12[[#This Row],[Target Type]]="BIM")</f>
        <v>#N/A</v>
      </c>
      <c r="Q1539">
        <f t="shared" si="72"/>
        <v>6</v>
      </c>
      <c r="S1539">
        <f t="shared" si="73"/>
        <v>1</v>
      </c>
      <c r="T1539" s="102" t="str">
        <f>IF(TableRelationships12[[#This Row],[Rank Pedro]]="Low","linkCategory1",IF(TableRelationships12[[#This Row],[Rank Pedro]]="Medium","linkCategory2",IF(TableRelationships12[[#This Row],[Rank Pedro]]="High","linkCategory3","")))</f>
        <v/>
      </c>
      <c r="U1539" s="102" t="str">
        <f>IF(TableRelationships12[[#This Row],[Rank Pedro]]="Low","Pink",IF(TableRelationships12[[#This Row],[Rank Pedro]]="Medium","Purple",IF(TableRelationships12[[#This Row],[Rank Pedro]]="High","Brown","")))</f>
        <v/>
      </c>
      <c r="V1539" s="4" t="e">
        <f>MAX(INDEX(Standards!$F$2:$F$296,MATCH(B1539,Standards!$B$2:$B$296,0)),INDEX(Standards!$F$2:$F$296,MATCH(C1539,Standards!$B$2:$B$296,0)))</f>
        <v>#N/A</v>
      </c>
      <c r="W1539" t="str">
        <f t="shared" si="74"/>
        <v>#d6bf2a</v>
      </c>
    </row>
    <row r="1540" spans="1:23" x14ac:dyDescent="0.5">
      <c r="A1540" s="54">
        <v>1539</v>
      </c>
      <c r="B1540" s="90" t="s">
        <v>1054</v>
      </c>
      <c r="C1540" t="s">
        <v>77</v>
      </c>
      <c r="D1540" s="1"/>
      <c r="E1540" s="112">
        <v>1983.12</v>
      </c>
      <c r="F1540" s="112">
        <v>2020.08</v>
      </c>
      <c r="G1540" s="107" t="s">
        <v>1488</v>
      </c>
      <c r="H1540">
        <f>INDEX('GIS-Standards'!$A$2:$A$305,MATCH(B1540,'GIS-Standards'!$B$2:$B$305,0))</f>
        <v>69</v>
      </c>
      <c r="I1540" t="e">
        <f>INDEX('GIS-Standards'!$A$2:$A$305,MATCH(C1540,'GIS-Standards'!$B$2:$B$305,0))</f>
        <v>#N/A</v>
      </c>
      <c r="J1540" t="str">
        <f>INDEX('GIS-Standards'!$O$2:$O$305,MATCH(B1540,'GIS-Standards'!$B$2:$B$305,0))</f>
        <v>ISO/TC 211</v>
      </c>
      <c r="K1540" t="e">
        <f>INDEX('GIS-Standards'!$O$2:$O$305,MATCH(C1540,'GIS-Standards'!$B$2:$B$305,0))</f>
        <v>#N/A</v>
      </c>
      <c r="M1540" t="s">
        <v>524</v>
      </c>
      <c r="N1540">
        <f>INDEX('GIS-Standards'!$I$2:$I$305,MATCH(B1540,'GIS-Standards'!$B$2:$B$305,0))</f>
        <v>0</v>
      </c>
      <c r="O1540" t="e">
        <f>INDEX('GIS-Standards'!$I$2:$I$305,MATCH(C1540,'GIS-Standards'!$B$2:$B$305,0))</f>
        <v>#N/A</v>
      </c>
      <c r="P1540" t="e">
        <f>AND(TableRelationships12[[#This Row],[Source Type]]="BIM",TableRelationships12[[#This Row],[Target Type]]="BIM")</f>
        <v>#N/A</v>
      </c>
      <c r="Q1540">
        <f t="shared" si="72"/>
        <v>6</v>
      </c>
      <c r="S1540">
        <f t="shared" si="73"/>
        <v>1</v>
      </c>
      <c r="T1540" s="102" t="str">
        <f>IF(TableRelationships12[[#This Row],[Rank Pedro]]="Low","linkCategory1",IF(TableRelationships12[[#This Row],[Rank Pedro]]="Medium","linkCategory2",IF(TableRelationships12[[#This Row],[Rank Pedro]]="High","linkCategory3","")))</f>
        <v/>
      </c>
      <c r="U1540" s="102" t="str">
        <f>IF(TableRelationships12[[#This Row],[Rank Pedro]]="Low","Pink",IF(TableRelationships12[[#This Row],[Rank Pedro]]="Medium","Purple",IF(TableRelationships12[[#This Row],[Rank Pedro]]="High","Brown","")))</f>
        <v/>
      </c>
      <c r="V1540" s="4" t="e">
        <f>MAX(INDEX(Standards!$F$2:$F$296,MATCH(B1540,Standards!$B$2:$B$296,0)),INDEX(Standards!$F$2:$F$296,MATCH(C1540,Standards!$B$2:$B$296,0)))</f>
        <v>#N/A</v>
      </c>
      <c r="W1540" t="str">
        <f t="shared" si="74"/>
        <v>#d6bf2a</v>
      </c>
    </row>
    <row r="1541" spans="1:23" x14ac:dyDescent="0.5">
      <c r="A1541" s="54">
        <v>1540</v>
      </c>
      <c r="B1541" s="90" t="s">
        <v>1054</v>
      </c>
      <c r="C1541" t="s">
        <v>308</v>
      </c>
      <c r="D1541" s="1"/>
      <c r="E1541" s="112">
        <v>2005.02</v>
      </c>
      <c r="F1541" s="112">
        <v>2016.12</v>
      </c>
      <c r="G1541" s="107" t="s">
        <v>670</v>
      </c>
      <c r="H1541">
        <f>INDEX('GIS-Standards'!$A$2:$A$305,MATCH(B1541,'GIS-Standards'!$B$2:$B$305,0))</f>
        <v>69</v>
      </c>
      <c r="I1541">
        <f>INDEX('GIS-Standards'!$A$2:$A$305,MATCH(C1541,'GIS-Standards'!$B$2:$B$305,0))</f>
        <v>19</v>
      </c>
      <c r="J1541" t="str">
        <f>INDEX('GIS-Standards'!$O$2:$O$305,MATCH(B1541,'GIS-Standards'!$B$2:$B$305,0))</f>
        <v>ISO/TC 211</v>
      </c>
      <c r="K1541" t="str">
        <f>INDEX('GIS-Standards'!$O$2:$O$305,MATCH(C1541,'GIS-Standards'!$B$2:$B$305,0))</f>
        <v>ISO/TC 211</v>
      </c>
      <c r="M1541" t="s">
        <v>525</v>
      </c>
      <c r="N1541">
        <f>INDEX('GIS-Standards'!$I$2:$I$305,MATCH(B1541,'GIS-Standards'!$B$2:$B$305,0))</f>
        <v>0</v>
      </c>
      <c r="O1541">
        <f>INDEX('GIS-Standards'!$I$2:$I$305,MATCH(C1541,'GIS-Standards'!$B$2:$B$305,0))</f>
        <v>0</v>
      </c>
      <c r="P1541" t="b">
        <f>AND(TableRelationships12[[#This Row],[Source Type]]="BIM",TableRelationships12[[#This Row],[Target Type]]="BIM")</f>
        <v>0</v>
      </c>
      <c r="Q1541">
        <f t="shared" si="72"/>
        <v>1</v>
      </c>
      <c r="S1541">
        <f t="shared" si="73"/>
        <v>1</v>
      </c>
      <c r="T1541" s="102" t="str">
        <f>IF(TableRelationships12[[#This Row],[Rank Pedro]]="Low","linkCategory1",IF(TableRelationships12[[#This Row],[Rank Pedro]]="Medium","linkCategory2",IF(TableRelationships12[[#This Row],[Rank Pedro]]="High","linkCategory3","")))</f>
        <v/>
      </c>
      <c r="U1541" s="102" t="str">
        <f>IF(TableRelationships12[[#This Row],[Rank Pedro]]="Low","Pink",IF(TableRelationships12[[#This Row],[Rank Pedro]]="Medium","Purple",IF(TableRelationships12[[#This Row],[Rank Pedro]]="High","Brown","")))</f>
        <v/>
      </c>
      <c r="V1541" s="4" t="e">
        <f>MAX(INDEX(Standards!$F$2:$F$296,MATCH(B1541,Standards!$B$2:$B$296,0)),INDEX(Standards!$F$2:$F$296,MATCH(C1541,Standards!$B$2:$B$296,0)))</f>
        <v>#N/A</v>
      </c>
      <c r="W1541" t="str">
        <f t="shared" si="74"/>
        <v>#2f89d1</v>
      </c>
    </row>
    <row r="1542" spans="1:23" x14ac:dyDescent="0.5">
      <c r="A1542" s="54">
        <v>1541</v>
      </c>
      <c r="B1542" s="90" t="s">
        <v>1054</v>
      </c>
      <c r="C1542" t="s">
        <v>293</v>
      </c>
      <c r="D1542" s="1"/>
      <c r="E1542" s="112">
        <v>2002.07</v>
      </c>
      <c r="F1542" s="112">
        <v>2014.11</v>
      </c>
      <c r="G1542" s="107" t="s">
        <v>670</v>
      </c>
      <c r="H1542">
        <f>INDEX('GIS-Standards'!$A$2:$A$305,MATCH(B1542,'GIS-Standards'!$B$2:$B$305,0))</f>
        <v>69</v>
      </c>
      <c r="I1542">
        <f>INDEX('GIS-Standards'!$A$2:$A$305,MATCH(C1542,'GIS-Standards'!$B$2:$B$305,0))</f>
        <v>10</v>
      </c>
      <c r="J1542" t="str">
        <f>INDEX('GIS-Standards'!$O$2:$O$305,MATCH(B1542,'GIS-Standards'!$B$2:$B$305,0))</f>
        <v>ISO/TC 211</v>
      </c>
      <c r="K1542" t="str">
        <f>INDEX('GIS-Standards'!$O$2:$O$305,MATCH(C1542,'GIS-Standards'!$B$2:$B$305,0))</f>
        <v>ISO/TC 211</v>
      </c>
      <c r="M1542" t="s">
        <v>525</v>
      </c>
      <c r="N1542">
        <f>INDEX('GIS-Standards'!$I$2:$I$305,MATCH(B1542,'GIS-Standards'!$B$2:$B$305,0))</f>
        <v>0</v>
      </c>
      <c r="O1542">
        <f>INDEX('GIS-Standards'!$I$2:$I$305,MATCH(C1542,'GIS-Standards'!$B$2:$B$305,0))</f>
        <v>0</v>
      </c>
      <c r="P1542" t="b">
        <f>AND(TableRelationships12[[#This Row],[Source Type]]="BIM",TableRelationships12[[#This Row],[Target Type]]="BIM")</f>
        <v>0</v>
      </c>
      <c r="Q1542">
        <f t="shared" si="72"/>
        <v>1</v>
      </c>
      <c r="S1542">
        <f t="shared" si="73"/>
        <v>1</v>
      </c>
      <c r="T1542" s="102" t="str">
        <f>IF(TableRelationships12[[#This Row],[Rank Pedro]]="Low","linkCategory1",IF(TableRelationships12[[#This Row],[Rank Pedro]]="Medium","linkCategory2",IF(TableRelationships12[[#This Row],[Rank Pedro]]="High","linkCategory3","")))</f>
        <v/>
      </c>
      <c r="U1542" s="102" t="str">
        <f>IF(TableRelationships12[[#This Row],[Rank Pedro]]="Low","Pink",IF(TableRelationships12[[#This Row],[Rank Pedro]]="Medium","Purple",IF(TableRelationships12[[#This Row],[Rank Pedro]]="High","Brown","")))</f>
        <v/>
      </c>
      <c r="V1542" s="4" t="e">
        <f>MAX(INDEX(Standards!$F$2:$F$296,MATCH(B1542,Standards!$B$2:$B$296,0)),INDEX(Standards!$F$2:$F$296,MATCH(C1542,Standards!$B$2:$B$296,0)))</f>
        <v>#N/A</v>
      </c>
      <c r="W1542" t="str">
        <f t="shared" si="74"/>
        <v>#2f89d1</v>
      </c>
    </row>
    <row r="1543" spans="1:23" x14ac:dyDescent="0.5">
      <c r="A1543" s="54">
        <v>1542</v>
      </c>
      <c r="B1543" s="90" t="s">
        <v>1054</v>
      </c>
      <c r="C1543" t="s">
        <v>1053</v>
      </c>
      <c r="D1543" s="1"/>
      <c r="E1543" s="113">
        <v>2011.12</v>
      </c>
      <c r="F1543" s="113">
        <v>2023.04</v>
      </c>
      <c r="G1543" s="107" t="s">
        <v>670</v>
      </c>
      <c r="H1543">
        <f>INDEX('GIS-Standards'!$A$2:$A$305,MATCH(B1543,'GIS-Standards'!$B$2:$B$305,0))</f>
        <v>69</v>
      </c>
      <c r="I1543">
        <f>INDEX('GIS-Standards'!$A$2:$A$305,MATCH(C1543,'GIS-Standards'!$B$2:$B$305,0))</f>
        <v>65</v>
      </c>
      <c r="J1543" t="str">
        <f>INDEX('GIS-Standards'!$O$2:$O$305,MATCH(B1543,'GIS-Standards'!$B$2:$B$305,0))</f>
        <v>ISO/TC 211</v>
      </c>
      <c r="K1543" t="str">
        <f>INDEX('GIS-Standards'!$O$2:$O$305,MATCH(C1543,'GIS-Standards'!$B$2:$B$305,0))</f>
        <v>ISO/TC 211</v>
      </c>
      <c r="M1543" t="s">
        <v>525</v>
      </c>
      <c r="N1543">
        <f>INDEX('GIS-Standards'!$I$2:$I$305,MATCH(B1543,'GIS-Standards'!$B$2:$B$305,0))</f>
        <v>0</v>
      </c>
      <c r="O1543">
        <f>INDEX('GIS-Standards'!$I$2:$I$305,MATCH(C1543,'GIS-Standards'!$B$2:$B$305,0))</f>
        <v>0</v>
      </c>
      <c r="P1543" t="b">
        <f>AND(TableRelationships12[[#This Row],[Source Type]]="BIM",TableRelationships12[[#This Row],[Target Type]]="BIM")</f>
        <v>0</v>
      </c>
      <c r="Q1543">
        <f t="shared" si="72"/>
        <v>1</v>
      </c>
      <c r="S1543">
        <f t="shared" si="73"/>
        <v>1</v>
      </c>
      <c r="T1543" s="102" t="str">
        <f>IF(TableRelationships12[[#This Row],[Rank Pedro]]="Low","linkCategory1",IF(TableRelationships12[[#This Row],[Rank Pedro]]="Medium","linkCategory2",IF(TableRelationships12[[#This Row],[Rank Pedro]]="High","linkCategory3","")))</f>
        <v/>
      </c>
      <c r="U1543" s="102" t="str">
        <f>IF(TableRelationships12[[#This Row],[Rank Pedro]]="Low","Pink",IF(TableRelationships12[[#This Row],[Rank Pedro]]="Medium","Purple",IF(TableRelationships12[[#This Row],[Rank Pedro]]="High","Brown","")))</f>
        <v/>
      </c>
      <c r="V1543" s="4" t="e">
        <f>MAX(INDEX(Standards!$F$2:$F$296,MATCH(B1543,Standards!$B$2:$B$296,0)),INDEX(Standards!$F$2:$F$296,MATCH(C1543,Standards!$B$2:$B$296,0)))</f>
        <v>#N/A</v>
      </c>
      <c r="W1543" t="str">
        <f t="shared" si="74"/>
        <v>#2f89d1</v>
      </c>
    </row>
    <row r="1544" spans="1:23" x14ac:dyDescent="0.5">
      <c r="A1544" s="54">
        <v>1543</v>
      </c>
      <c r="B1544" s="90" t="s">
        <v>1054</v>
      </c>
      <c r="C1544" t="s">
        <v>1225</v>
      </c>
      <c r="D1544" s="1"/>
      <c r="G1544" s="107"/>
      <c r="H1544">
        <f>INDEX('GIS-Standards'!$A$2:$A$305,MATCH(B1544,'GIS-Standards'!$B$2:$B$305,0))</f>
        <v>69</v>
      </c>
      <c r="I1544" t="e">
        <f>INDEX('GIS-Standards'!$A$2:$A$305,MATCH(C1544,'GIS-Standards'!$B$2:$B$305,0))</f>
        <v>#N/A</v>
      </c>
      <c r="J1544" t="str">
        <f>INDEX('GIS-Standards'!$O$2:$O$305,MATCH(B1544,'GIS-Standards'!$B$2:$B$305,0))</f>
        <v>ISO/TC 211</v>
      </c>
      <c r="K1544" t="e">
        <f>INDEX('GIS-Standards'!$O$2:$O$305,MATCH(C1544,'GIS-Standards'!$B$2:$B$305,0))</f>
        <v>#N/A</v>
      </c>
      <c r="M1544" t="s">
        <v>525</v>
      </c>
      <c r="N1544">
        <f>INDEX('GIS-Standards'!$I$2:$I$305,MATCH(B1544,'GIS-Standards'!$B$2:$B$305,0))</f>
        <v>0</v>
      </c>
      <c r="O1544" t="e">
        <f>INDEX('GIS-Standards'!$I$2:$I$305,MATCH(C1544,'GIS-Standards'!$B$2:$B$305,0))</f>
        <v>#N/A</v>
      </c>
      <c r="P1544" t="e">
        <f>AND(TableRelationships12[[#This Row],[Source Type]]="BIM",TableRelationships12[[#This Row],[Target Type]]="BIM")</f>
        <v>#N/A</v>
      </c>
      <c r="Q1544">
        <f t="shared" si="72"/>
        <v>1</v>
      </c>
      <c r="S1544">
        <f t="shared" si="73"/>
        <v>1</v>
      </c>
      <c r="T1544" s="102" t="str">
        <f>IF(TableRelationships12[[#This Row],[Rank Pedro]]="Low","linkCategory1",IF(TableRelationships12[[#This Row],[Rank Pedro]]="Medium","linkCategory2",IF(TableRelationships12[[#This Row],[Rank Pedro]]="High","linkCategory3","")))</f>
        <v/>
      </c>
      <c r="U1544" s="102" t="str">
        <f>IF(TableRelationships12[[#This Row],[Rank Pedro]]="Low","Pink",IF(TableRelationships12[[#This Row],[Rank Pedro]]="Medium","Purple",IF(TableRelationships12[[#This Row],[Rank Pedro]]="High","Brown","")))</f>
        <v/>
      </c>
      <c r="V1544" s="4" t="e">
        <f>MAX(INDEX(Standards!$F$2:$F$296,MATCH(B1544,Standards!$B$2:$B$296,0)),INDEX(Standards!$F$2:$F$296,MATCH(C1544,Standards!$B$2:$B$296,0)))</f>
        <v>#N/A</v>
      </c>
      <c r="W1544" t="str">
        <f t="shared" si="74"/>
        <v>#2f89d1</v>
      </c>
    </row>
    <row r="1545" spans="1:23" x14ac:dyDescent="0.5">
      <c r="A1545" s="54">
        <v>1544</v>
      </c>
      <c r="B1545" s="90" t="s">
        <v>1054</v>
      </c>
      <c r="C1545" t="s">
        <v>1226</v>
      </c>
      <c r="D1545" s="1"/>
      <c r="G1545" s="107"/>
      <c r="H1545">
        <f>INDEX('GIS-Standards'!$A$2:$A$305,MATCH(B1545,'GIS-Standards'!$B$2:$B$305,0))</f>
        <v>69</v>
      </c>
      <c r="I1545" t="e">
        <f>INDEX('GIS-Standards'!$A$2:$A$305,MATCH(C1545,'GIS-Standards'!$B$2:$B$305,0))</f>
        <v>#N/A</v>
      </c>
      <c r="J1545" t="str">
        <f>INDEX('GIS-Standards'!$O$2:$O$305,MATCH(B1545,'GIS-Standards'!$B$2:$B$305,0))</f>
        <v>ISO/TC 211</v>
      </c>
      <c r="K1545" t="e">
        <f>INDEX('GIS-Standards'!$O$2:$O$305,MATCH(C1545,'GIS-Standards'!$B$2:$B$305,0))</f>
        <v>#N/A</v>
      </c>
      <c r="M1545" t="s">
        <v>525</v>
      </c>
      <c r="N1545">
        <f>INDEX('GIS-Standards'!$I$2:$I$305,MATCH(B1545,'GIS-Standards'!$B$2:$B$305,0))</f>
        <v>0</v>
      </c>
      <c r="O1545" t="e">
        <f>INDEX('GIS-Standards'!$I$2:$I$305,MATCH(C1545,'GIS-Standards'!$B$2:$B$305,0))</f>
        <v>#N/A</v>
      </c>
      <c r="P1545" t="e">
        <f>AND(TableRelationships12[[#This Row],[Source Type]]="BIM",TableRelationships12[[#This Row],[Target Type]]="BIM")</f>
        <v>#N/A</v>
      </c>
      <c r="Q1545">
        <f t="shared" si="72"/>
        <v>1</v>
      </c>
      <c r="S1545">
        <f t="shared" si="73"/>
        <v>1</v>
      </c>
      <c r="T1545" s="102" t="str">
        <f>IF(TableRelationships12[[#This Row],[Rank Pedro]]="Low","linkCategory1",IF(TableRelationships12[[#This Row],[Rank Pedro]]="Medium","linkCategory2",IF(TableRelationships12[[#This Row],[Rank Pedro]]="High","linkCategory3","")))</f>
        <v/>
      </c>
      <c r="U1545" s="102" t="str">
        <f>IF(TableRelationships12[[#This Row],[Rank Pedro]]="Low","Pink",IF(TableRelationships12[[#This Row],[Rank Pedro]]="Medium","Purple",IF(TableRelationships12[[#This Row],[Rank Pedro]]="High","Brown","")))</f>
        <v/>
      </c>
      <c r="V1545" s="4" t="e">
        <f>MAX(INDEX(Standards!$F$2:$F$296,MATCH(B1545,Standards!$B$2:$B$296,0)),INDEX(Standards!$F$2:$F$296,MATCH(C1545,Standards!$B$2:$B$296,0)))</f>
        <v>#N/A</v>
      </c>
      <c r="W1545" t="str">
        <f t="shared" si="74"/>
        <v>#2f89d1</v>
      </c>
    </row>
    <row r="1546" spans="1:23" x14ac:dyDescent="0.5">
      <c r="A1546" s="54">
        <v>1545</v>
      </c>
      <c r="B1546" s="90" t="s">
        <v>1054</v>
      </c>
      <c r="C1546" t="s">
        <v>1227</v>
      </c>
      <c r="D1546" s="1"/>
      <c r="G1546" s="107"/>
      <c r="H1546">
        <f>INDEX('GIS-Standards'!$A$2:$A$305,MATCH(B1546,'GIS-Standards'!$B$2:$B$305,0))</f>
        <v>69</v>
      </c>
      <c r="I1546" t="e">
        <f>INDEX('GIS-Standards'!$A$2:$A$305,MATCH(C1546,'GIS-Standards'!$B$2:$B$305,0))</f>
        <v>#N/A</v>
      </c>
      <c r="J1546" t="str">
        <f>INDEX('GIS-Standards'!$O$2:$O$305,MATCH(B1546,'GIS-Standards'!$B$2:$B$305,0))</f>
        <v>ISO/TC 211</v>
      </c>
      <c r="K1546" t="e">
        <f>INDEX('GIS-Standards'!$O$2:$O$305,MATCH(C1546,'GIS-Standards'!$B$2:$B$305,0))</f>
        <v>#N/A</v>
      </c>
      <c r="M1546" t="s">
        <v>525</v>
      </c>
      <c r="N1546">
        <f>INDEX('GIS-Standards'!$I$2:$I$305,MATCH(B1546,'GIS-Standards'!$B$2:$B$305,0))</f>
        <v>0</v>
      </c>
      <c r="O1546" t="e">
        <f>INDEX('GIS-Standards'!$I$2:$I$305,MATCH(C1546,'GIS-Standards'!$B$2:$B$305,0))</f>
        <v>#N/A</v>
      </c>
      <c r="P1546" t="e">
        <f>AND(TableRelationships12[[#This Row],[Source Type]]="BIM",TableRelationships12[[#This Row],[Target Type]]="BIM")</f>
        <v>#N/A</v>
      </c>
      <c r="Q1546">
        <f t="shared" si="72"/>
        <v>1</v>
      </c>
      <c r="S1546">
        <f t="shared" si="73"/>
        <v>1</v>
      </c>
      <c r="T1546" s="102" t="str">
        <f>IF(TableRelationships12[[#This Row],[Rank Pedro]]="Low","linkCategory1",IF(TableRelationships12[[#This Row],[Rank Pedro]]="Medium","linkCategory2",IF(TableRelationships12[[#This Row],[Rank Pedro]]="High","linkCategory3","")))</f>
        <v/>
      </c>
      <c r="U1546" s="102" t="str">
        <f>IF(TableRelationships12[[#This Row],[Rank Pedro]]="Low","Pink",IF(TableRelationships12[[#This Row],[Rank Pedro]]="Medium","Purple",IF(TableRelationships12[[#This Row],[Rank Pedro]]="High","Brown","")))</f>
        <v/>
      </c>
      <c r="V1546" s="4" t="e">
        <f>MAX(INDEX(Standards!$F$2:$F$296,MATCH(B1546,Standards!$B$2:$B$296,0)),INDEX(Standards!$F$2:$F$296,MATCH(C1546,Standards!$B$2:$B$296,0)))</f>
        <v>#N/A</v>
      </c>
      <c r="W1546" t="str">
        <f t="shared" si="74"/>
        <v>#2f89d1</v>
      </c>
    </row>
    <row r="1547" spans="1:23" x14ac:dyDescent="0.5">
      <c r="A1547" s="54">
        <v>1546</v>
      </c>
      <c r="B1547" s="90" t="s">
        <v>1054</v>
      </c>
      <c r="C1547" t="s">
        <v>1536</v>
      </c>
      <c r="D1547" s="1"/>
      <c r="G1547" s="107"/>
      <c r="H1547">
        <f>INDEX('GIS-Standards'!$A$2:$A$305,MATCH(B1547,'GIS-Standards'!$B$2:$B$305,0))</f>
        <v>69</v>
      </c>
      <c r="I1547" t="e">
        <f>INDEX('GIS-Standards'!$A$2:$A$305,MATCH(C1547,'GIS-Standards'!$B$2:$B$305,0))</f>
        <v>#N/A</v>
      </c>
      <c r="J1547" t="str">
        <f>INDEX('GIS-Standards'!$O$2:$O$305,MATCH(B1547,'GIS-Standards'!$B$2:$B$305,0))</f>
        <v>ISO/TC 211</v>
      </c>
      <c r="K1547" t="e">
        <f>INDEX('GIS-Standards'!$O$2:$O$305,MATCH(C1547,'GIS-Standards'!$B$2:$B$305,0))</f>
        <v>#N/A</v>
      </c>
      <c r="M1547" t="s">
        <v>525</v>
      </c>
      <c r="N1547">
        <f>INDEX('GIS-Standards'!$I$2:$I$305,MATCH(B1547,'GIS-Standards'!$B$2:$B$305,0))</f>
        <v>0</v>
      </c>
      <c r="O1547" t="e">
        <f>INDEX('GIS-Standards'!$I$2:$I$305,MATCH(C1547,'GIS-Standards'!$B$2:$B$305,0))</f>
        <v>#N/A</v>
      </c>
      <c r="P1547" t="e">
        <f>AND(TableRelationships12[[#This Row],[Source Type]]="BIM",TableRelationships12[[#This Row],[Target Type]]="BIM")</f>
        <v>#N/A</v>
      </c>
      <c r="Q1547">
        <f t="shared" si="72"/>
        <v>1</v>
      </c>
      <c r="S1547">
        <f t="shared" si="73"/>
        <v>1</v>
      </c>
      <c r="T1547" s="102" t="str">
        <f>IF(TableRelationships12[[#This Row],[Rank Pedro]]="Low","linkCategory1",IF(TableRelationships12[[#This Row],[Rank Pedro]]="Medium","linkCategory2",IF(TableRelationships12[[#This Row],[Rank Pedro]]="High","linkCategory3","")))</f>
        <v/>
      </c>
      <c r="U1547" s="102" t="str">
        <f>IF(TableRelationships12[[#This Row],[Rank Pedro]]="Low","Pink",IF(TableRelationships12[[#This Row],[Rank Pedro]]="Medium","Purple",IF(TableRelationships12[[#This Row],[Rank Pedro]]="High","Brown","")))</f>
        <v/>
      </c>
      <c r="V1547" s="4" t="e">
        <f>MAX(INDEX(Standards!$F$2:$F$296,MATCH(B1547,Standards!$B$2:$B$296,0)),INDEX(Standards!$F$2:$F$296,MATCH(C1547,Standards!$B$2:$B$296,0)))</f>
        <v>#N/A</v>
      </c>
      <c r="W1547" t="str">
        <f t="shared" si="74"/>
        <v>#2f89d1</v>
      </c>
    </row>
    <row r="1548" spans="1:23" x14ac:dyDescent="0.5">
      <c r="A1548" s="54">
        <v>1547</v>
      </c>
      <c r="B1548" s="90" t="s">
        <v>1054</v>
      </c>
      <c r="C1548" t="s">
        <v>664</v>
      </c>
      <c r="D1548" s="1" t="s">
        <v>1676</v>
      </c>
      <c r="E1548" s="112">
        <v>2021.05</v>
      </c>
      <c r="F1548" s="112">
        <v>2021.05</v>
      </c>
      <c r="G1548" s="107" t="s">
        <v>670</v>
      </c>
      <c r="H1548">
        <f>INDEX('GIS-Standards'!$A$2:$A$305,MATCH(B1548,'GIS-Standards'!$B$2:$B$305,0))</f>
        <v>69</v>
      </c>
      <c r="I1548">
        <f>INDEX('GIS-Standards'!$A$2:$A$305,MATCH(C1548,'GIS-Standards'!$B$2:$B$305,0))</f>
        <v>113</v>
      </c>
      <c r="J1548" t="str">
        <f>INDEX('GIS-Standards'!$O$2:$O$305,MATCH(B1548,'GIS-Standards'!$B$2:$B$305,0))</f>
        <v>ISO/TC 211</v>
      </c>
      <c r="K1548" t="str">
        <f>INDEX('GIS-Standards'!$O$2:$O$305,MATCH(C1548,'GIS-Standards'!$B$2:$B$305,0))</f>
        <v>ISO/TC 211</v>
      </c>
      <c r="M1548" t="s">
        <v>525</v>
      </c>
      <c r="N1548">
        <f>INDEX('GIS-Standards'!$I$2:$I$305,MATCH(B1548,'GIS-Standards'!$B$2:$B$305,0))</f>
        <v>0</v>
      </c>
      <c r="O1548">
        <f>INDEX('GIS-Standards'!$I$2:$I$305,MATCH(C1548,'GIS-Standards'!$B$2:$B$305,0))</f>
        <v>0</v>
      </c>
      <c r="P1548" t="b">
        <f>AND(TableRelationships12[[#This Row],[Source Type]]="BIM",TableRelationships12[[#This Row],[Target Type]]="BIM")</f>
        <v>0</v>
      </c>
      <c r="Q1548">
        <f t="shared" si="72"/>
        <v>1</v>
      </c>
      <c r="S1548">
        <f t="shared" si="73"/>
        <v>1</v>
      </c>
      <c r="T1548" s="102" t="str">
        <f>IF(TableRelationships12[[#This Row],[Rank Pedro]]="Low","linkCategory1",IF(TableRelationships12[[#This Row],[Rank Pedro]]="Medium","linkCategory2",IF(TableRelationships12[[#This Row],[Rank Pedro]]="High","linkCategory3","")))</f>
        <v/>
      </c>
      <c r="U1548" s="102" t="str">
        <f>IF(TableRelationships12[[#This Row],[Rank Pedro]]="Low","Pink",IF(TableRelationships12[[#This Row],[Rank Pedro]]="Medium","Purple",IF(TableRelationships12[[#This Row],[Rank Pedro]]="High","Brown","")))</f>
        <v/>
      </c>
      <c r="V1548" s="4" t="e">
        <f>MAX(INDEX(Standards!$F$2:$F$296,MATCH(B1548,Standards!$B$2:$B$296,0)),INDEX(Standards!$F$2:$F$296,MATCH(C1548,Standards!$B$2:$B$296,0)))</f>
        <v>#N/A</v>
      </c>
      <c r="W1548" t="str">
        <f t="shared" si="74"/>
        <v>#2f89d1</v>
      </c>
    </row>
    <row r="1549" spans="1:23" x14ac:dyDescent="0.5">
      <c r="A1549" s="54">
        <v>1548</v>
      </c>
      <c r="B1549" s="90" t="s">
        <v>1054</v>
      </c>
      <c r="C1549" t="s">
        <v>1228</v>
      </c>
      <c r="D1549" s="1"/>
      <c r="G1549" s="107"/>
      <c r="H1549">
        <f>INDEX('GIS-Standards'!$A$2:$A$305,MATCH(B1549,'GIS-Standards'!$B$2:$B$305,0))</f>
        <v>69</v>
      </c>
      <c r="I1549" t="e">
        <f>INDEX('GIS-Standards'!$A$2:$A$305,MATCH(C1549,'GIS-Standards'!$B$2:$B$305,0))</f>
        <v>#N/A</v>
      </c>
      <c r="J1549" t="str">
        <f>INDEX('GIS-Standards'!$O$2:$O$305,MATCH(B1549,'GIS-Standards'!$B$2:$B$305,0))</f>
        <v>ISO/TC 211</v>
      </c>
      <c r="K1549" t="e">
        <f>INDEX('GIS-Standards'!$O$2:$O$305,MATCH(C1549,'GIS-Standards'!$B$2:$B$305,0))</f>
        <v>#N/A</v>
      </c>
      <c r="M1549" t="s">
        <v>525</v>
      </c>
      <c r="N1549">
        <f>INDEX('GIS-Standards'!$I$2:$I$305,MATCH(B1549,'GIS-Standards'!$B$2:$B$305,0))</f>
        <v>0</v>
      </c>
      <c r="O1549" t="e">
        <f>INDEX('GIS-Standards'!$I$2:$I$305,MATCH(C1549,'GIS-Standards'!$B$2:$B$305,0))</f>
        <v>#N/A</v>
      </c>
      <c r="P1549" t="e">
        <f>AND(TableRelationships12[[#This Row],[Source Type]]="BIM",TableRelationships12[[#This Row],[Target Type]]="BIM")</f>
        <v>#N/A</v>
      </c>
      <c r="Q1549">
        <f t="shared" si="72"/>
        <v>1</v>
      </c>
      <c r="S1549">
        <f t="shared" si="73"/>
        <v>1</v>
      </c>
      <c r="T1549" s="102" t="str">
        <f>IF(TableRelationships12[[#This Row],[Rank Pedro]]="Low","linkCategory1",IF(TableRelationships12[[#This Row],[Rank Pedro]]="Medium","linkCategory2",IF(TableRelationships12[[#This Row],[Rank Pedro]]="High","linkCategory3","")))</f>
        <v/>
      </c>
      <c r="U1549" s="102" t="str">
        <f>IF(TableRelationships12[[#This Row],[Rank Pedro]]="Low","Pink",IF(TableRelationships12[[#This Row],[Rank Pedro]]="Medium","Purple",IF(TableRelationships12[[#This Row],[Rank Pedro]]="High","Brown","")))</f>
        <v/>
      </c>
      <c r="V1549" s="4" t="e">
        <f>MAX(INDEX(Standards!$F$2:$F$296,MATCH(B1549,Standards!$B$2:$B$296,0)),INDEX(Standards!$F$2:$F$296,MATCH(C1549,Standards!$B$2:$B$296,0)))</f>
        <v>#N/A</v>
      </c>
      <c r="W1549" t="str">
        <f t="shared" si="74"/>
        <v>#2f89d1</v>
      </c>
    </row>
    <row r="1550" spans="1:23" x14ac:dyDescent="0.5">
      <c r="A1550" s="54">
        <v>1549</v>
      </c>
      <c r="B1550" s="90" t="s">
        <v>643</v>
      </c>
      <c r="C1550" t="s">
        <v>527</v>
      </c>
      <c r="D1550" s="1"/>
      <c r="E1550" s="112" t="s">
        <v>905</v>
      </c>
      <c r="F1550" s="112" t="s">
        <v>905</v>
      </c>
      <c r="G1550" s="121" t="s">
        <v>670</v>
      </c>
      <c r="H1550">
        <f>INDEX('GIS-Standards'!$A$2:$A$305,MATCH(B1550,'GIS-Standards'!$B$2:$B$305,0))</f>
        <v>70</v>
      </c>
      <c r="I1550" t="e">
        <f>INDEX('GIS-Standards'!$A$2:$A$305,MATCH(C1550,'GIS-Standards'!$B$2:$B$305,0))</f>
        <v>#N/A</v>
      </c>
      <c r="J1550" t="str">
        <f>INDEX('GIS-Standards'!$O$2:$O$305,MATCH(B1550,'GIS-Standards'!$B$2:$B$305,0))</f>
        <v>ISO/TC 211</v>
      </c>
      <c r="K1550" t="e">
        <f>INDEX('GIS-Standards'!$O$2:$O$305,MATCH(C1550,'GIS-Standards'!$B$2:$B$305,0))</f>
        <v>#N/A</v>
      </c>
      <c r="M1550" t="s">
        <v>237</v>
      </c>
      <c r="N1550">
        <f>INDEX('GIS-Standards'!$I$2:$I$305,MATCH(B1550,'GIS-Standards'!$B$2:$B$305,0))</f>
        <v>0</v>
      </c>
      <c r="O1550" t="e">
        <f>INDEX('GIS-Standards'!$I$2:$I$305,MATCH(C1550,'GIS-Standards'!$B$2:$B$305,0))</f>
        <v>#N/A</v>
      </c>
      <c r="P1550" t="e">
        <f>AND(TableRelationships12[[#This Row],[Source Type]]="BIM",TableRelationships12[[#This Row],[Target Type]]="BIM")</f>
        <v>#N/A</v>
      </c>
      <c r="Q1550">
        <f t="shared" si="72"/>
        <v>2</v>
      </c>
      <c r="S1550">
        <f t="shared" si="73"/>
        <v>1</v>
      </c>
      <c r="T1550" s="102" t="str">
        <f>IF(TableRelationships12[[#This Row],[Rank Pedro]]="Low","linkCategory1",IF(TableRelationships12[[#This Row],[Rank Pedro]]="Medium","linkCategory2",IF(TableRelationships12[[#This Row],[Rank Pedro]]="High","linkCategory3","")))</f>
        <v/>
      </c>
      <c r="U1550" s="102" t="str">
        <f>IF(TableRelationships12[[#This Row],[Rank Pedro]]="Low","Pink",IF(TableRelationships12[[#This Row],[Rank Pedro]]="Medium","Purple",IF(TableRelationships12[[#This Row],[Rank Pedro]]="High","Brown","")))</f>
        <v/>
      </c>
      <c r="V1550" s="4" t="e">
        <f>MAX(INDEX(Standards!$F$2:$F$296,MATCH(B1550,Standards!$B$2:$B$296,0)),INDEX(Standards!$F$2:$F$296,MATCH(C1550,Standards!$B$2:$B$296,0)))</f>
        <v>#N/A</v>
      </c>
      <c r="W1550">
        <f t="shared" si="74"/>
        <v>1</v>
      </c>
    </row>
    <row r="1551" spans="1:23" x14ac:dyDescent="0.5">
      <c r="A1551" s="54">
        <v>1550</v>
      </c>
      <c r="B1551" s="90" t="s">
        <v>643</v>
      </c>
      <c r="C1551" t="s">
        <v>1253</v>
      </c>
      <c r="D1551" s="1"/>
      <c r="E1551" s="112">
        <v>2012.09</v>
      </c>
      <c r="F1551" s="112">
        <v>2025.03</v>
      </c>
      <c r="G1551" s="107" t="s">
        <v>1455</v>
      </c>
      <c r="H1551">
        <f>INDEX('GIS-Standards'!$A$2:$A$305,MATCH(B1551,'GIS-Standards'!$B$2:$B$305,0))</f>
        <v>70</v>
      </c>
      <c r="I1551" t="e">
        <f>INDEX('GIS-Standards'!$A$2:$A$305,MATCH(C1551,'GIS-Standards'!$B$2:$B$305,0))</f>
        <v>#N/A</v>
      </c>
      <c r="J1551" t="str">
        <f>INDEX('GIS-Standards'!$O$2:$O$305,MATCH(B1551,'GIS-Standards'!$B$2:$B$305,0))</f>
        <v>ISO/TC 211</v>
      </c>
      <c r="K1551" t="e">
        <f>INDEX('GIS-Standards'!$O$2:$O$305,MATCH(C1551,'GIS-Standards'!$B$2:$B$305,0))</f>
        <v>#N/A</v>
      </c>
      <c r="M1551" t="s">
        <v>524</v>
      </c>
      <c r="N1551">
        <f>INDEX('GIS-Standards'!$I$2:$I$305,MATCH(B1551,'GIS-Standards'!$B$2:$B$305,0))</f>
        <v>0</v>
      </c>
      <c r="O1551" t="e">
        <f>INDEX('GIS-Standards'!$I$2:$I$305,MATCH(C1551,'GIS-Standards'!$B$2:$B$305,0))</f>
        <v>#N/A</v>
      </c>
      <c r="P1551" t="e">
        <f>AND(TableRelationships12[[#This Row],[Source Type]]="BIM",TableRelationships12[[#This Row],[Target Type]]="BIM")</f>
        <v>#N/A</v>
      </c>
      <c r="Q1551">
        <f t="shared" si="72"/>
        <v>6</v>
      </c>
      <c r="S1551">
        <f t="shared" si="73"/>
        <v>1</v>
      </c>
      <c r="T1551" s="102" t="str">
        <f>IF(TableRelationships12[[#This Row],[Rank Pedro]]="Low","linkCategory1",IF(TableRelationships12[[#This Row],[Rank Pedro]]="Medium","linkCategory2",IF(TableRelationships12[[#This Row],[Rank Pedro]]="High","linkCategory3","")))</f>
        <v/>
      </c>
      <c r="U1551" s="102" t="str">
        <f>IF(TableRelationships12[[#This Row],[Rank Pedro]]="Low","Pink",IF(TableRelationships12[[#This Row],[Rank Pedro]]="Medium","Purple",IF(TableRelationships12[[#This Row],[Rank Pedro]]="High","Brown","")))</f>
        <v/>
      </c>
      <c r="V1551" s="4" t="e">
        <f>MAX(INDEX(Standards!$F$2:$F$296,MATCH(B1551,Standards!$B$2:$B$296,0)),INDEX(Standards!$F$2:$F$296,MATCH(C1551,Standards!$B$2:$B$296,0)))</f>
        <v>#N/A</v>
      </c>
      <c r="W1551" t="str">
        <f t="shared" si="74"/>
        <v>#d6bf2a</v>
      </c>
    </row>
    <row r="1552" spans="1:23" x14ac:dyDescent="0.5">
      <c r="A1552" s="54">
        <v>1551</v>
      </c>
      <c r="B1552" s="90" t="s">
        <v>643</v>
      </c>
      <c r="C1552" t="s">
        <v>308</v>
      </c>
      <c r="D1552" s="1"/>
      <c r="E1552" s="112">
        <v>2005.02</v>
      </c>
      <c r="F1552" s="112">
        <v>2016.12</v>
      </c>
      <c r="G1552" s="107" t="s">
        <v>670</v>
      </c>
      <c r="H1552">
        <f>INDEX('GIS-Standards'!$A$2:$A$305,MATCH(B1552,'GIS-Standards'!$B$2:$B$305,0))</f>
        <v>70</v>
      </c>
      <c r="I1552">
        <f>INDEX('GIS-Standards'!$A$2:$A$305,MATCH(C1552,'GIS-Standards'!$B$2:$B$305,0))</f>
        <v>19</v>
      </c>
      <c r="J1552" t="str">
        <f>INDEX('GIS-Standards'!$O$2:$O$305,MATCH(B1552,'GIS-Standards'!$B$2:$B$305,0))</f>
        <v>ISO/TC 211</v>
      </c>
      <c r="K1552" t="str">
        <f>INDEX('GIS-Standards'!$O$2:$O$305,MATCH(C1552,'GIS-Standards'!$B$2:$B$305,0))</f>
        <v>ISO/TC 211</v>
      </c>
      <c r="M1552" t="s">
        <v>524</v>
      </c>
      <c r="N1552">
        <f>INDEX('GIS-Standards'!$I$2:$I$305,MATCH(B1552,'GIS-Standards'!$B$2:$B$305,0))</f>
        <v>0</v>
      </c>
      <c r="O1552">
        <f>INDEX('GIS-Standards'!$I$2:$I$305,MATCH(C1552,'GIS-Standards'!$B$2:$B$305,0))</f>
        <v>0</v>
      </c>
      <c r="P1552" t="b">
        <f>AND(TableRelationships12[[#This Row],[Source Type]]="BIM",TableRelationships12[[#This Row],[Target Type]]="BIM")</f>
        <v>0</v>
      </c>
      <c r="Q1552">
        <f t="shared" si="72"/>
        <v>6</v>
      </c>
      <c r="S1552">
        <f t="shared" si="73"/>
        <v>1</v>
      </c>
      <c r="T1552" s="102" t="str">
        <f>IF(TableRelationships12[[#This Row],[Rank Pedro]]="Low","linkCategory1",IF(TableRelationships12[[#This Row],[Rank Pedro]]="Medium","linkCategory2",IF(TableRelationships12[[#This Row],[Rank Pedro]]="High","linkCategory3","")))</f>
        <v/>
      </c>
      <c r="U1552" s="102" t="str">
        <f>IF(TableRelationships12[[#This Row],[Rank Pedro]]="Low","Pink",IF(TableRelationships12[[#This Row],[Rank Pedro]]="Medium","Purple",IF(TableRelationships12[[#This Row],[Rank Pedro]]="High","Brown","")))</f>
        <v/>
      </c>
      <c r="V1552" s="4" t="e">
        <f>MAX(INDEX(Standards!$F$2:$F$296,MATCH(B1552,Standards!$B$2:$B$296,0)),INDEX(Standards!$F$2:$F$296,MATCH(C1552,Standards!$B$2:$B$296,0)))</f>
        <v>#N/A</v>
      </c>
      <c r="W1552" t="str">
        <f t="shared" si="74"/>
        <v>#d6bf2a</v>
      </c>
    </row>
    <row r="1553" spans="1:23" x14ac:dyDescent="0.5">
      <c r="A1553" s="54">
        <v>1552</v>
      </c>
      <c r="B1553" s="90" t="s">
        <v>643</v>
      </c>
      <c r="C1553" t="s">
        <v>314</v>
      </c>
      <c r="D1553" s="1"/>
      <c r="E1553" s="112">
        <v>2003.05</v>
      </c>
      <c r="F1553" s="112">
        <v>2020.11</v>
      </c>
      <c r="G1553" s="107" t="s">
        <v>670</v>
      </c>
      <c r="H1553">
        <f>INDEX('GIS-Standards'!$A$2:$A$305,MATCH(B1553,'GIS-Standards'!$B$2:$B$305,0))</f>
        <v>70</v>
      </c>
      <c r="I1553">
        <f>INDEX('GIS-Standards'!$A$2:$A$305,MATCH(C1553,'GIS-Standards'!$B$2:$B$305,0))</f>
        <v>22</v>
      </c>
      <c r="J1553" t="str">
        <f>INDEX('GIS-Standards'!$O$2:$O$305,MATCH(B1553,'GIS-Standards'!$B$2:$B$305,0))</f>
        <v>ISO/TC 211</v>
      </c>
      <c r="K1553" t="str">
        <f>INDEX('GIS-Standards'!$O$2:$O$305,MATCH(C1553,'GIS-Standards'!$B$2:$B$305,0))</f>
        <v>ISO/TC 211</v>
      </c>
      <c r="M1553" t="s">
        <v>524</v>
      </c>
      <c r="N1553">
        <f>INDEX('GIS-Standards'!$I$2:$I$305,MATCH(B1553,'GIS-Standards'!$B$2:$B$305,0))</f>
        <v>0</v>
      </c>
      <c r="O1553" t="str">
        <f>INDEX('GIS-Standards'!$I$2:$I$305,MATCH(C1553,'GIS-Standards'!$B$2:$B$305,0))</f>
        <v>12.2020</v>
      </c>
      <c r="P1553" t="b">
        <f>AND(TableRelationships12[[#This Row],[Source Type]]="BIM",TableRelationships12[[#This Row],[Target Type]]="BIM")</f>
        <v>0</v>
      </c>
      <c r="Q1553">
        <f t="shared" si="72"/>
        <v>6</v>
      </c>
      <c r="S1553">
        <f t="shared" si="73"/>
        <v>1</v>
      </c>
      <c r="T1553" s="102" t="str">
        <f>IF(TableRelationships12[[#This Row],[Rank Pedro]]="Low","linkCategory1",IF(TableRelationships12[[#This Row],[Rank Pedro]]="Medium","linkCategory2",IF(TableRelationships12[[#This Row],[Rank Pedro]]="High","linkCategory3","")))</f>
        <v/>
      </c>
      <c r="U1553" s="102" t="str">
        <f>IF(TableRelationships12[[#This Row],[Rank Pedro]]="Low","Pink",IF(TableRelationships12[[#This Row],[Rank Pedro]]="Medium","Purple",IF(TableRelationships12[[#This Row],[Rank Pedro]]="High","Brown","")))</f>
        <v/>
      </c>
      <c r="V1553" s="4" t="e">
        <f>MAX(INDEX(Standards!$F$2:$F$296,MATCH(B1553,Standards!$B$2:$B$296,0)),INDEX(Standards!$F$2:$F$296,MATCH(C1553,Standards!$B$2:$B$296,0)))</f>
        <v>#N/A</v>
      </c>
      <c r="W1553" t="str">
        <f t="shared" si="74"/>
        <v>#d6bf2a</v>
      </c>
    </row>
    <row r="1554" spans="1:23" x14ac:dyDescent="0.5">
      <c r="A1554" s="54">
        <v>1553</v>
      </c>
      <c r="B1554" s="90" t="s">
        <v>643</v>
      </c>
      <c r="C1554" t="s">
        <v>1042</v>
      </c>
      <c r="D1554" s="1"/>
      <c r="E1554" s="112">
        <v>2016.08</v>
      </c>
      <c r="F1554" s="112">
        <v>2023.08</v>
      </c>
      <c r="G1554" s="107" t="s">
        <v>670</v>
      </c>
      <c r="H1554">
        <f>INDEX('GIS-Standards'!$A$2:$A$305,MATCH(B1554,'GIS-Standards'!$B$2:$B$305,0))</f>
        <v>70</v>
      </c>
      <c r="I1554">
        <f>INDEX('GIS-Standards'!$A$2:$A$305,MATCH(C1554,'GIS-Standards'!$B$2:$B$305,0))</f>
        <v>24</v>
      </c>
      <c r="J1554" t="str">
        <f>INDEX('GIS-Standards'!$O$2:$O$305,MATCH(B1554,'GIS-Standards'!$B$2:$B$305,0))</f>
        <v>ISO/TC 211</v>
      </c>
      <c r="K1554" t="str">
        <f>INDEX('GIS-Standards'!$O$2:$O$305,MATCH(C1554,'GIS-Standards'!$B$2:$B$305,0))</f>
        <v>ISO/TC 211</v>
      </c>
      <c r="M1554" t="s">
        <v>524</v>
      </c>
      <c r="N1554">
        <f>INDEX('GIS-Standards'!$I$2:$I$305,MATCH(B1554,'GIS-Standards'!$B$2:$B$305,0))</f>
        <v>0</v>
      </c>
      <c r="O1554">
        <f>INDEX('GIS-Standards'!$I$2:$I$305,MATCH(C1554,'GIS-Standards'!$B$2:$B$305,0))</f>
        <v>0</v>
      </c>
      <c r="P1554" t="b">
        <f>AND(TableRelationships12[[#This Row],[Source Type]]="BIM",TableRelationships12[[#This Row],[Target Type]]="BIM")</f>
        <v>0</v>
      </c>
      <c r="Q1554">
        <f t="shared" si="72"/>
        <v>6</v>
      </c>
      <c r="S1554">
        <f t="shared" si="73"/>
        <v>1</v>
      </c>
      <c r="T1554" s="102" t="str">
        <f>IF(TableRelationships12[[#This Row],[Rank Pedro]]="Low","linkCategory1",IF(TableRelationships12[[#This Row],[Rank Pedro]]="Medium","linkCategory2",IF(TableRelationships12[[#This Row],[Rank Pedro]]="High","linkCategory3","")))</f>
        <v/>
      </c>
      <c r="U1554" s="102" t="str">
        <f>IF(TableRelationships12[[#This Row],[Rank Pedro]]="Low","Pink",IF(TableRelationships12[[#This Row],[Rank Pedro]]="Medium","Purple",IF(TableRelationships12[[#This Row],[Rank Pedro]]="High","Brown","")))</f>
        <v/>
      </c>
      <c r="V1554" s="4" t="e">
        <f>MAX(INDEX(Standards!$F$2:$F$296,MATCH(B1554,Standards!$B$2:$B$296,0)),INDEX(Standards!$F$2:$F$296,MATCH(C1554,Standards!$B$2:$B$296,0)))</f>
        <v>#N/A</v>
      </c>
      <c r="W1554" t="str">
        <f t="shared" si="74"/>
        <v>#d6bf2a</v>
      </c>
    </row>
    <row r="1555" spans="1:23" x14ac:dyDescent="0.5">
      <c r="A1555" s="54">
        <v>1554</v>
      </c>
      <c r="B1555" s="90" t="s">
        <v>643</v>
      </c>
      <c r="C1555" t="s">
        <v>348</v>
      </c>
      <c r="D1555" s="1" t="s">
        <v>640</v>
      </c>
      <c r="E1555" s="113">
        <v>2013.12</v>
      </c>
      <c r="F1555" s="113">
        <v>2023.04</v>
      </c>
      <c r="G1555" s="107" t="s">
        <v>670</v>
      </c>
      <c r="H1555">
        <f>INDEX('GIS-Standards'!$A$2:$A$305,MATCH(B1555,'GIS-Standards'!$B$2:$B$305,0))</f>
        <v>70</v>
      </c>
      <c r="I1555">
        <f>INDEX('GIS-Standards'!$A$2:$A$305,MATCH(C1555,'GIS-Standards'!$B$2:$B$305,0))</f>
        <v>66</v>
      </c>
      <c r="J1555" t="str">
        <f>INDEX('GIS-Standards'!$O$2:$O$305,MATCH(B1555,'GIS-Standards'!$B$2:$B$305,0))</f>
        <v>ISO/TC 211</v>
      </c>
      <c r="K1555" t="str">
        <f>INDEX('GIS-Standards'!$O$2:$O$305,MATCH(C1555,'GIS-Standards'!$B$2:$B$305,0))</f>
        <v>ISO/TC 211</v>
      </c>
      <c r="M1555" t="s">
        <v>524</v>
      </c>
      <c r="N1555">
        <f>INDEX('GIS-Standards'!$I$2:$I$305,MATCH(B1555,'GIS-Standards'!$B$2:$B$305,0))</f>
        <v>0</v>
      </c>
      <c r="O1555">
        <f>INDEX('GIS-Standards'!$I$2:$I$305,MATCH(C1555,'GIS-Standards'!$B$2:$B$305,0))</f>
        <v>0</v>
      </c>
      <c r="P1555" t="b">
        <f>AND(TableRelationships12[[#This Row],[Source Type]]="BIM",TableRelationships12[[#This Row],[Target Type]]="BIM")</f>
        <v>0</v>
      </c>
      <c r="Q1555">
        <f t="shared" si="72"/>
        <v>6</v>
      </c>
      <c r="S1555">
        <f t="shared" si="73"/>
        <v>1</v>
      </c>
      <c r="T1555" s="102" t="str">
        <f>IF(TableRelationships12[[#This Row],[Rank Pedro]]="Low","linkCategory1",IF(TableRelationships12[[#This Row],[Rank Pedro]]="Medium","linkCategory2",IF(TableRelationships12[[#This Row],[Rank Pedro]]="High","linkCategory3","")))</f>
        <v/>
      </c>
      <c r="U1555" s="102" t="str">
        <f>IF(TableRelationships12[[#This Row],[Rank Pedro]]="Low","Pink",IF(TableRelationships12[[#This Row],[Rank Pedro]]="Medium","Purple",IF(TableRelationships12[[#This Row],[Rank Pedro]]="High","Brown","")))</f>
        <v/>
      </c>
      <c r="V1555" s="4" t="e">
        <f>MAX(INDEX(Standards!$F$2:$F$296,MATCH(B1555,Standards!$B$2:$B$296,0)),INDEX(Standards!$F$2:$F$296,MATCH(C1555,Standards!$B$2:$B$296,0)))</f>
        <v>#N/A</v>
      </c>
      <c r="W1555" t="str">
        <f t="shared" si="74"/>
        <v>#d6bf2a</v>
      </c>
    </row>
    <row r="1556" spans="1:23" x14ac:dyDescent="0.5">
      <c r="A1556" s="54">
        <v>1555</v>
      </c>
      <c r="B1556" s="90" t="s">
        <v>643</v>
      </c>
      <c r="C1556" t="s">
        <v>310</v>
      </c>
      <c r="D1556" s="1"/>
      <c r="E1556" s="112">
        <v>2003.02</v>
      </c>
      <c r="F1556" s="112">
        <v>2023.08</v>
      </c>
      <c r="G1556" s="107" t="s">
        <v>670</v>
      </c>
      <c r="H1556">
        <f>INDEX('GIS-Standards'!$A$2:$A$305,MATCH(B1556,'GIS-Standards'!$B$2:$B$305,0))</f>
        <v>70</v>
      </c>
      <c r="I1556">
        <f>INDEX('GIS-Standards'!$A$2:$A$305,MATCH(C1556,'GIS-Standards'!$B$2:$B$305,0))</f>
        <v>20</v>
      </c>
      <c r="J1556" t="str">
        <f>INDEX('GIS-Standards'!$O$2:$O$305,MATCH(B1556,'GIS-Standards'!$B$2:$B$305,0))</f>
        <v>ISO/TC 211</v>
      </c>
      <c r="K1556" t="str">
        <f>INDEX('GIS-Standards'!$O$2:$O$305,MATCH(C1556,'GIS-Standards'!$B$2:$B$305,0))</f>
        <v>ISO/TC 211</v>
      </c>
      <c r="M1556" t="s">
        <v>525</v>
      </c>
      <c r="N1556">
        <f>INDEX('GIS-Standards'!$I$2:$I$305,MATCH(B1556,'GIS-Standards'!$B$2:$B$305,0))</f>
        <v>0</v>
      </c>
      <c r="O1556" t="str">
        <f>INDEX('GIS-Standards'!$I$2:$I$305,MATCH(C1556,'GIS-Standards'!$B$2:$B$305,0))</f>
        <v>08.2023</v>
      </c>
      <c r="P1556" t="b">
        <f>AND(TableRelationships12[[#This Row],[Source Type]]="BIM",TableRelationships12[[#This Row],[Target Type]]="BIM")</f>
        <v>0</v>
      </c>
      <c r="Q1556">
        <f t="shared" si="72"/>
        <v>1</v>
      </c>
      <c r="S1556">
        <f t="shared" si="73"/>
        <v>1</v>
      </c>
      <c r="T1556" s="102" t="str">
        <f>IF(TableRelationships12[[#This Row],[Rank Pedro]]="Low","linkCategory1",IF(TableRelationships12[[#This Row],[Rank Pedro]]="Medium","linkCategory2",IF(TableRelationships12[[#This Row],[Rank Pedro]]="High","linkCategory3","")))</f>
        <v/>
      </c>
      <c r="U1556" s="102" t="str">
        <f>IF(TableRelationships12[[#This Row],[Rank Pedro]]="Low","Pink",IF(TableRelationships12[[#This Row],[Rank Pedro]]="Medium","Purple",IF(TableRelationships12[[#This Row],[Rank Pedro]]="High","Brown","")))</f>
        <v/>
      </c>
      <c r="V1556" s="4" t="e">
        <f>MAX(INDEX(Standards!$F$2:$F$296,MATCH(B1556,Standards!$B$2:$B$296,0)),INDEX(Standards!$F$2:$F$296,MATCH(C1556,Standards!$B$2:$B$296,0)))</f>
        <v>#N/A</v>
      </c>
      <c r="W1556" t="str">
        <f t="shared" si="74"/>
        <v>#2f89d1</v>
      </c>
    </row>
    <row r="1557" spans="1:23" x14ac:dyDescent="0.5">
      <c r="A1557" s="54">
        <v>1556</v>
      </c>
      <c r="B1557" s="90" t="s">
        <v>643</v>
      </c>
      <c r="C1557" t="s">
        <v>310</v>
      </c>
      <c r="D1557" s="1" t="s">
        <v>1120</v>
      </c>
      <c r="E1557" s="112">
        <v>2003.02</v>
      </c>
      <c r="F1557" s="112">
        <v>2023.08</v>
      </c>
      <c r="G1557" s="107" t="s">
        <v>670</v>
      </c>
      <c r="H1557">
        <f>INDEX('GIS-Standards'!$A$2:$A$305,MATCH(B1557,'GIS-Standards'!$B$2:$B$305,0))</f>
        <v>70</v>
      </c>
      <c r="I1557">
        <f>INDEX('GIS-Standards'!$A$2:$A$305,MATCH(C1557,'GIS-Standards'!$B$2:$B$305,0))</f>
        <v>20</v>
      </c>
      <c r="J1557" t="str">
        <f>INDEX('GIS-Standards'!$O$2:$O$305,MATCH(B1557,'GIS-Standards'!$B$2:$B$305,0))</f>
        <v>ISO/TC 211</v>
      </c>
      <c r="K1557" t="str">
        <f>INDEX('GIS-Standards'!$O$2:$O$305,MATCH(C1557,'GIS-Standards'!$B$2:$B$305,0))</f>
        <v>ISO/TC 211</v>
      </c>
      <c r="M1557" t="s">
        <v>525</v>
      </c>
      <c r="N1557">
        <f>INDEX('GIS-Standards'!$I$2:$I$305,MATCH(B1557,'GIS-Standards'!$B$2:$B$305,0))</f>
        <v>0</v>
      </c>
      <c r="O1557" t="str">
        <f>INDEX('GIS-Standards'!$I$2:$I$305,MATCH(C1557,'GIS-Standards'!$B$2:$B$305,0))</f>
        <v>08.2023</v>
      </c>
      <c r="P1557" t="b">
        <f>AND(TableRelationships12[[#This Row],[Source Type]]="BIM",TableRelationships12[[#This Row],[Target Type]]="BIM")</f>
        <v>0</v>
      </c>
      <c r="Q1557">
        <f t="shared" si="72"/>
        <v>1</v>
      </c>
      <c r="S1557">
        <f t="shared" si="73"/>
        <v>1</v>
      </c>
      <c r="T1557" s="102" t="str">
        <f>IF(TableRelationships12[[#This Row],[Rank Pedro]]="Low","linkCategory1",IF(TableRelationships12[[#This Row],[Rank Pedro]]="Medium","linkCategory2",IF(TableRelationships12[[#This Row],[Rank Pedro]]="High","linkCategory3","")))</f>
        <v/>
      </c>
      <c r="U1557" s="102" t="str">
        <f>IF(TableRelationships12[[#This Row],[Rank Pedro]]="Low","Pink",IF(TableRelationships12[[#This Row],[Rank Pedro]]="Medium","Purple",IF(TableRelationships12[[#This Row],[Rank Pedro]]="High","Brown","")))</f>
        <v/>
      </c>
      <c r="V1557" s="4" t="e">
        <f>MAX(INDEX(Standards!$F$2:$F$296,MATCH(B1557,Standards!$B$2:$B$296,0)),INDEX(Standards!$F$2:$F$296,MATCH(C1557,Standards!$B$2:$B$296,0)))</f>
        <v>#N/A</v>
      </c>
      <c r="W1557" t="str">
        <f t="shared" si="74"/>
        <v>#2f89d1</v>
      </c>
    </row>
    <row r="1558" spans="1:23" x14ac:dyDescent="0.5">
      <c r="A1558" s="54">
        <v>1557</v>
      </c>
      <c r="B1558" s="90" t="s">
        <v>643</v>
      </c>
      <c r="C1558" t="s">
        <v>328</v>
      </c>
      <c r="D1558" s="1"/>
      <c r="E1558" s="112">
        <v>2007.04</v>
      </c>
      <c r="F1558" s="112">
        <v>2022.11</v>
      </c>
      <c r="G1558" s="107" t="s">
        <v>670</v>
      </c>
      <c r="H1558">
        <f>INDEX('GIS-Standards'!$A$2:$A$305,MATCH(B1558,'GIS-Standards'!$B$2:$B$305,0))</f>
        <v>70</v>
      </c>
      <c r="I1558">
        <f>INDEX('GIS-Standards'!$A$2:$A$305,MATCH(C1558,'GIS-Standards'!$B$2:$B$305,0))</f>
        <v>37</v>
      </c>
      <c r="J1558" t="str">
        <f>INDEX('GIS-Standards'!$O$2:$O$305,MATCH(B1558,'GIS-Standards'!$B$2:$B$305,0))</f>
        <v>ISO/TC 211</v>
      </c>
      <c r="K1558" t="str">
        <f>INDEX('GIS-Standards'!$O$2:$O$305,MATCH(C1558,'GIS-Standards'!$B$2:$B$305,0))</f>
        <v>ISO/TC 211</v>
      </c>
      <c r="M1558" t="s">
        <v>525</v>
      </c>
      <c r="N1558">
        <f>INDEX('GIS-Standards'!$I$2:$I$305,MATCH(B1558,'GIS-Standards'!$B$2:$B$305,0))</f>
        <v>0</v>
      </c>
      <c r="O1558">
        <f>INDEX('GIS-Standards'!$I$2:$I$305,MATCH(C1558,'GIS-Standards'!$B$2:$B$305,0))</f>
        <v>0</v>
      </c>
      <c r="P1558" t="b">
        <f>AND(TableRelationships12[[#This Row],[Source Type]]="BIM",TableRelationships12[[#This Row],[Target Type]]="BIM")</f>
        <v>0</v>
      </c>
      <c r="Q1558">
        <f t="shared" si="72"/>
        <v>1</v>
      </c>
      <c r="S1558">
        <f t="shared" si="73"/>
        <v>1</v>
      </c>
      <c r="T1558" s="102" t="str">
        <f>IF(TableRelationships12[[#This Row],[Rank Pedro]]="Low","linkCategory1",IF(TableRelationships12[[#This Row],[Rank Pedro]]="Medium","linkCategory2",IF(TableRelationships12[[#This Row],[Rank Pedro]]="High","linkCategory3","")))</f>
        <v/>
      </c>
      <c r="U1558" s="102" t="str">
        <f>IF(TableRelationships12[[#This Row],[Rank Pedro]]="Low","Pink",IF(TableRelationships12[[#This Row],[Rank Pedro]]="Medium","Purple",IF(TableRelationships12[[#This Row],[Rank Pedro]]="High","Brown","")))</f>
        <v/>
      </c>
      <c r="V1558" s="4" t="e">
        <f>MAX(INDEX(Standards!$F$2:$F$296,MATCH(B1558,Standards!$B$2:$B$296,0)),INDEX(Standards!$F$2:$F$296,MATCH(C1558,Standards!$B$2:$B$296,0)))</f>
        <v>#N/A</v>
      </c>
      <c r="W1558" t="str">
        <f t="shared" si="74"/>
        <v>#2f89d1</v>
      </c>
    </row>
    <row r="1559" spans="1:23" x14ac:dyDescent="0.5">
      <c r="A1559" s="54">
        <v>1558</v>
      </c>
      <c r="B1559" s="90" t="s">
        <v>643</v>
      </c>
      <c r="C1559" t="s">
        <v>1326</v>
      </c>
      <c r="D1559" s="1"/>
      <c r="G1559" s="107"/>
      <c r="H1559">
        <f>INDEX('GIS-Standards'!$A$2:$A$305,MATCH(B1559,'GIS-Standards'!$B$2:$B$305,0))</f>
        <v>70</v>
      </c>
      <c r="I1559" t="e">
        <f>INDEX('GIS-Standards'!$A$2:$A$305,MATCH(C1559,'GIS-Standards'!$B$2:$B$305,0))</f>
        <v>#N/A</v>
      </c>
      <c r="J1559" t="str">
        <f>INDEX('GIS-Standards'!$O$2:$O$305,MATCH(B1559,'GIS-Standards'!$B$2:$B$305,0))</f>
        <v>ISO/TC 211</v>
      </c>
      <c r="K1559" t="e">
        <f>INDEX('GIS-Standards'!$O$2:$O$305,MATCH(C1559,'GIS-Standards'!$B$2:$B$305,0))</f>
        <v>#N/A</v>
      </c>
      <c r="M1559" t="s">
        <v>525</v>
      </c>
      <c r="N1559">
        <f>INDEX('GIS-Standards'!$I$2:$I$305,MATCH(B1559,'GIS-Standards'!$B$2:$B$305,0))</f>
        <v>0</v>
      </c>
      <c r="O1559" t="e">
        <f>INDEX('GIS-Standards'!$I$2:$I$305,MATCH(C1559,'GIS-Standards'!$B$2:$B$305,0))</f>
        <v>#N/A</v>
      </c>
      <c r="P1559" t="e">
        <f>AND(TableRelationships12[[#This Row],[Source Type]]="BIM",TableRelationships12[[#This Row],[Target Type]]="BIM")</f>
        <v>#N/A</v>
      </c>
      <c r="Q1559">
        <f t="shared" si="72"/>
        <v>1</v>
      </c>
      <c r="S1559">
        <f t="shared" si="73"/>
        <v>1</v>
      </c>
      <c r="T1559" s="102" t="str">
        <f>IF(TableRelationships12[[#This Row],[Rank Pedro]]="Low","linkCategory1",IF(TableRelationships12[[#This Row],[Rank Pedro]]="Medium","linkCategory2",IF(TableRelationships12[[#This Row],[Rank Pedro]]="High","linkCategory3","")))</f>
        <v/>
      </c>
      <c r="U1559" s="102" t="str">
        <f>IF(TableRelationships12[[#This Row],[Rank Pedro]]="Low","Pink",IF(TableRelationships12[[#This Row],[Rank Pedro]]="Medium","Purple",IF(TableRelationships12[[#This Row],[Rank Pedro]]="High","Brown","")))</f>
        <v/>
      </c>
      <c r="V1559" s="4" t="e">
        <f>MAX(INDEX(Standards!$F$2:$F$296,MATCH(B1559,Standards!$B$2:$B$296,0)),INDEX(Standards!$F$2:$F$296,MATCH(C1559,Standards!$B$2:$B$296,0)))</f>
        <v>#N/A</v>
      </c>
      <c r="W1559" t="str">
        <f t="shared" si="74"/>
        <v>#2f89d1</v>
      </c>
    </row>
    <row r="1560" spans="1:23" x14ac:dyDescent="0.5">
      <c r="A1560" s="54">
        <v>1559</v>
      </c>
      <c r="B1560" s="90" t="s">
        <v>643</v>
      </c>
      <c r="C1560" t="s">
        <v>1327</v>
      </c>
      <c r="D1560" s="1"/>
      <c r="E1560" s="112">
        <v>2006.12</v>
      </c>
      <c r="F1560" s="112">
        <v>2021.12</v>
      </c>
      <c r="G1560" s="107"/>
      <c r="H1560">
        <f>INDEX('GIS-Standards'!$A$2:$A$305,MATCH(B1560,'GIS-Standards'!$B$2:$B$305,0))</f>
        <v>70</v>
      </c>
      <c r="I1560" t="e">
        <f>INDEX('GIS-Standards'!$A$2:$A$305,MATCH(C1560,'GIS-Standards'!$B$2:$B$305,0))</f>
        <v>#N/A</v>
      </c>
      <c r="J1560" t="str">
        <f>INDEX('GIS-Standards'!$O$2:$O$305,MATCH(B1560,'GIS-Standards'!$B$2:$B$305,0))</f>
        <v>ISO/TC 211</v>
      </c>
      <c r="K1560" t="e">
        <f>INDEX('GIS-Standards'!$O$2:$O$305,MATCH(C1560,'GIS-Standards'!$B$2:$B$305,0))</f>
        <v>#N/A</v>
      </c>
      <c r="M1560" t="s">
        <v>525</v>
      </c>
      <c r="N1560">
        <f>INDEX('GIS-Standards'!$I$2:$I$305,MATCH(B1560,'GIS-Standards'!$B$2:$B$305,0))</f>
        <v>0</v>
      </c>
      <c r="O1560" t="e">
        <f>INDEX('GIS-Standards'!$I$2:$I$305,MATCH(C1560,'GIS-Standards'!$B$2:$B$305,0))</f>
        <v>#N/A</v>
      </c>
      <c r="P1560" t="e">
        <f>AND(TableRelationships12[[#This Row],[Source Type]]="BIM",TableRelationships12[[#This Row],[Target Type]]="BIM")</f>
        <v>#N/A</v>
      </c>
      <c r="Q1560">
        <f t="shared" si="72"/>
        <v>1</v>
      </c>
      <c r="S1560">
        <f t="shared" si="73"/>
        <v>1</v>
      </c>
      <c r="T1560" s="102" t="str">
        <f>IF(TableRelationships12[[#This Row],[Rank Pedro]]="Low","linkCategory1",IF(TableRelationships12[[#This Row],[Rank Pedro]]="Medium","linkCategory2",IF(TableRelationships12[[#This Row],[Rank Pedro]]="High","linkCategory3","")))</f>
        <v/>
      </c>
      <c r="U1560" s="102" t="str">
        <f>IF(TableRelationships12[[#This Row],[Rank Pedro]]="Low","Pink",IF(TableRelationships12[[#This Row],[Rank Pedro]]="Medium","Purple",IF(TableRelationships12[[#This Row],[Rank Pedro]]="High","Brown","")))</f>
        <v/>
      </c>
      <c r="V1560" s="4" t="e">
        <f>MAX(INDEX(Standards!$F$2:$F$296,MATCH(B1560,Standards!$B$2:$B$296,0)),INDEX(Standards!$F$2:$F$296,MATCH(C1560,Standards!$B$2:$B$296,0)))</f>
        <v>#N/A</v>
      </c>
      <c r="W1560" t="str">
        <f t="shared" si="74"/>
        <v>#2f89d1</v>
      </c>
    </row>
    <row r="1561" spans="1:23" x14ac:dyDescent="0.5">
      <c r="A1561" s="54">
        <v>1560</v>
      </c>
      <c r="B1561" s="90" t="s">
        <v>643</v>
      </c>
      <c r="C1561" t="s">
        <v>1531</v>
      </c>
      <c r="D1561" s="1"/>
      <c r="G1561" s="107"/>
      <c r="H1561">
        <f>INDEX('GIS-Standards'!$A$2:$A$305,MATCH(B1561,'GIS-Standards'!$B$2:$B$305,0))</f>
        <v>70</v>
      </c>
      <c r="I1561" t="e">
        <f>INDEX('GIS-Standards'!$A$2:$A$305,MATCH(C1561,'GIS-Standards'!$B$2:$B$305,0))</f>
        <v>#N/A</v>
      </c>
      <c r="J1561" t="str">
        <f>INDEX('GIS-Standards'!$O$2:$O$305,MATCH(B1561,'GIS-Standards'!$B$2:$B$305,0))</f>
        <v>ISO/TC 211</v>
      </c>
      <c r="K1561" t="e">
        <f>INDEX('GIS-Standards'!$O$2:$O$305,MATCH(C1561,'GIS-Standards'!$B$2:$B$305,0))</f>
        <v>#N/A</v>
      </c>
      <c r="M1561" t="s">
        <v>525</v>
      </c>
      <c r="N1561">
        <f>INDEX('GIS-Standards'!$I$2:$I$305,MATCH(B1561,'GIS-Standards'!$B$2:$B$305,0))</f>
        <v>0</v>
      </c>
      <c r="O1561" t="e">
        <f>INDEX('GIS-Standards'!$I$2:$I$305,MATCH(C1561,'GIS-Standards'!$B$2:$B$305,0))</f>
        <v>#N/A</v>
      </c>
      <c r="P1561" t="e">
        <f>AND(TableRelationships12[[#This Row],[Source Type]]="BIM",TableRelationships12[[#This Row],[Target Type]]="BIM")</f>
        <v>#N/A</v>
      </c>
      <c r="Q1561">
        <f t="shared" si="72"/>
        <v>1</v>
      </c>
      <c r="S1561">
        <f t="shared" si="73"/>
        <v>1</v>
      </c>
      <c r="T1561" s="102" t="str">
        <f>IF(TableRelationships12[[#This Row],[Rank Pedro]]="Low","linkCategory1",IF(TableRelationships12[[#This Row],[Rank Pedro]]="Medium","linkCategory2",IF(TableRelationships12[[#This Row],[Rank Pedro]]="High","linkCategory3","")))</f>
        <v/>
      </c>
      <c r="U1561" s="102" t="str">
        <f>IF(TableRelationships12[[#This Row],[Rank Pedro]]="Low","Pink",IF(TableRelationships12[[#This Row],[Rank Pedro]]="Medium","Purple",IF(TableRelationships12[[#This Row],[Rank Pedro]]="High","Brown","")))</f>
        <v/>
      </c>
      <c r="V1561" s="4" t="e">
        <f>MAX(INDEX(Standards!$F$2:$F$296,MATCH(B1561,Standards!$B$2:$B$296,0)),INDEX(Standards!$F$2:$F$296,MATCH(C1561,Standards!$B$2:$B$296,0)))</f>
        <v>#N/A</v>
      </c>
      <c r="W1561" t="str">
        <f t="shared" si="74"/>
        <v>#2f89d1</v>
      </c>
    </row>
    <row r="1562" spans="1:23" x14ac:dyDescent="0.5">
      <c r="A1562" s="54">
        <v>1561</v>
      </c>
      <c r="B1562" s="90" t="s">
        <v>643</v>
      </c>
      <c r="C1562" t="s">
        <v>1328</v>
      </c>
      <c r="D1562" s="1"/>
      <c r="G1562" s="107"/>
      <c r="H1562">
        <f>INDEX('GIS-Standards'!$A$2:$A$305,MATCH(B1562,'GIS-Standards'!$B$2:$B$305,0))</f>
        <v>70</v>
      </c>
      <c r="I1562" t="e">
        <f>INDEX('GIS-Standards'!$A$2:$A$305,MATCH(C1562,'GIS-Standards'!$B$2:$B$305,0))</f>
        <v>#N/A</v>
      </c>
      <c r="J1562" t="str">
        <f>INDEX('GIS-Standards'!$O$2:$O$305,MATCH(B1562,'GIS-Standards'!$B$2:$B$305,0))</f>
        <v>ISO/TC 211</v>
      </c>
      <c r="K1562" t="e">
        <f>INDEX('GIS-Standards'!$O$2:$O$305,MATCH(C1562,'GIS-Standards'!$B$2:$B$305,0))</f>
        <v>#N/A</v>
      </c>
      <c r="M1562" t="s">
        <v>525</v>
      </c>
      <c r="N1562">
        <f>INDEX('GIS-Standards'!$I$2:$I$305,MATCH(B1562,'GIS-Standards'!$B$2:$B$305,0))</f>
        <v>0</v>
      </c>
      <c r="O1562" t="e">
        <f>INDEX('GIS-Standards'!$I$2:$I$305,MATCH(C1562,'GIS-Standards'!$B$2:$B$305,0))</f>
        <v>#N/A</v>
      </c>
      <c r="P1562" t="e">
        <f>AND(TableRelationships12[[#This Row],[Source Type]]="BIM",TableRelationships12[[#This Row],[Target Type]]="BIM")</f>
        <v>#N/A</v>
      </c>
      <c r="Q1562">
        <f t="shared" si="72"/>
        <v>1</v>
      </c>
      <c r="S1562">
        <f t="shared" si="73"/>
        <v>1</v>
      </c>
      <c r="T1562" s="102" t="str">
        <f>IF(TableRelationships12[[#This Row],[Rank Pedro]]="Low","linkCategory1",IF(TableRelationships12[[#This Row],[Rank Pedro]]="Medium","linkCategory2",IF(TableRelationships12[[#This Row],[Rank Pedro]]="High","linkCategory3","")))</f>
        <v/>
      </c>
      <c r="U1562" s="102" t="str">
        <f>IF(TableRelationships12[[#This Row],[Rank Pedro]]="Low","Pink",IF(TableRelationships12[[#This Row],[Rank Pedro]]="Medium","Purple",IF(TableRelationships12[[#This Row],[Rank Pedro]]="High","Brown","")))</f>
        <v/>
      </c>
      <c r="V1562" s="4" t="e">
        <f>MAX(INDEX(Standards!$F$2:$F$296,MATCH(B1562,Standards!$B$2:$B$296,0)),INDEX(Standards!$F$2:$F$296,MATCH(C1562,Standards!$B$2:$B$296,0)))</f>
        <v>#N/A</v>
      </c>
      <c r="W1562" t="str">
        <f t="shared" si="74"/>
        <v>#2f89d1</v>
      </c>
    </row>
    <row r="1563" spans="1:23" x14ac:dyDescent="0.5">
      <c r="A1563" s="54">
        <v>1562</v>
      </c>
      <c r="B1563" s="90" t="s">
        <v>643</v>
      </c>
      <c r="C1563" t="s">
        <v>1494</v>
      </c>
      <c r="D1563" s="1" t="s">
        <v>1329</v>
      </c>
      <c r="E1563" s="113">
        <v>1988.04</v>
      </c>
      <c r="F1563" s="113">
        <v>2023.01</v>
      </c>
      <c r="G1563" s="107" t="s">
        <v>1495</v>
      </c>
      <c r="H1563">
        <f>INDEX('GIS-Standards'!$A$2:$A$305,MATCH(B1563,'GIS-Standards'!$B$2:$B$305,0))</f>
        <v>70</v>
      </c>
      <c r="I1563" t="e">
        <f>INDEX('GIS-Standards'!$A$2:$A$305,MATCH(C1563,'GIS-Standards'!$B$2:$B$305,0))</f>
        <v>#N/A</v>
      </c>
      <c r="J1563" t="str">
        <f>INDEX('GIS-Standards'!$O$2:$O$305,MATCH(B1563,'GIS-Standards'!$B$2:$B$305,0))</f>
        <v>ISO/TC 211</v>
      </c>
      <c r="K1563" t="e">
        <f>INDEX('GIS-Standards'!$O$2:$O$305,MATCH(C1563,'GIS-Standards'!$B$2:$B$305,0))</f>
        <v>#N/A</v>
      </c>
      <c r="M1563" t="s">
        <v>525</v>
      </c>
      <c r="N1563">
        <f>INDEX('GIS-Standards'!$I$2:$I$305,MATCH(B1563,'GIS-Standards'!$B$2:$B$305,0))</f>
        <v>0</v>
      </c>
      <c r="O1563" t="e">
        <f>INDEX('GIS-Standards'!$I$2:$I$305,MATCH(C1563,'GIS-Standards'!$B$2:$B$305,0))</f>
        <v>#N/A</v>
      </c>
      <c r="P1563" t="e">
        <f>AND(TableRelationships12[[#This Row],[Source Type]]="BIM",TableRelationships12[[#This Row],[Target Type]]="BIM")</f>
        <v>#N/A</v>
      </c>
      <c r="Q1563">
        <f t="shared" si="72"/>
        <v>1</v>
      </c>
      <c r="S1563">
        <f t="shared" si="73"/>
        <v>1</v>
      </c>
      <c r="T1563" s="102" t="str">
        <f>IF(TableRelationships12[[#This Row],[Rank Pedro]]="Low","linkCategory1",IF(TableRelationships12[[#This Row],[Rank Pedro]]="Medium","linkCategory2",IF(TableRelationships12[[#This Row],[Rank Pedro]]="High","linkCategory3","")))</f>
        <v/>
      </c>
      <c r="U1563" s="102" t="str">
        <f>IF(TableRelationships12[[#This Row],[Rank Pedro]]="Low","Pink",IF(TableRelationships12[[#This Row],[Rank Pedro]]="Medium","Purple",IF(TableRelationships12[[#This Row],[Rank Pedro]]="High","Brown","")))</f>
        <v/>
      </c>
      <c r="V1563" s="4" t="e">
        <f>MAX(INDEX(Standards!$F$2:$F$296,MATCH(B1563,Standards!$B$2:$B$296,0)),INDEX(Standards!$F$2:$F$296,MATCH(C1563,Standards!$B$2:$B$296,0)))</f>
        <v>#N/A</v>
      </c>
      <c r="W1563" t="str">
        <f t="shared" si="74"/>
        <v>#2f89d1</v>
      </c>
    </row>
    <row r="1564" spans="1:23" x14ac:dyDescent="0.5">
      <c r="A1564" s="54">
        <v>1563</v>
      </c>
      <c r="B1564" s="90" t="s">
        <v>643</v>
      </c>
      <c r="C1564" t="s">
        <v>1330</v>
      </c>
      <c r="D1564" s="1"/>
      <c r="E1564" s="112">
        <v>2012.02</v>
      </c>
      <c r="F1564" s="112">
        <v>2025.03</v>
      </c>
      <c r="G1564" s="107" t="s">
        <v>1455</v>
      </c>
      <c r="H1564">
        <f>INDEX('GIS-Standards'!$A$2:$A$305,MATCH(B1564,'GIS-Standards'!$B$2:$B$305,0))</f>
        <v>70</v>
      </c>
      <c r="I1564" t="e">
        <f>INDEX('GIS-Standards'!$A$2:$A$305,MATCH(C1564,'GIS-Standards'!$B$2:$B$305,0))</f>
        <v>#N/A</v>
      </c>
      <c r="J1564" t="str">
        <f>INDEX('GIS-Standards'!$O$2:$O$305,MATCH(B1564,'GIS-Standards'!$B$2:$B$305,0))</f>
        <v>ISO/TC 211</v>
      </c>
      <c r="K1564" t="e">
        <f>INDEX('GIS-Standards'!$O$2:$O$305,MATCH(C1564,'GIS-Standards'!$B$2:$B$305,0))</f>
        <v>#N/A</v>
      </c>
      <c r="M1564" t="s">
        <v>525</v>
      </c>
      <c r="N1564">
        <f>INDEX('GIS-Standards'!$I$2:$I$305,MATCH(B1564,'GIS-Standards'!$B$2:$B$305,0))</f>
        <v>0</v>
      </c>
      <c r="O1564" t="e">
        <f>INDEX('GIS-Standards'!$I$2:$I$305,MATCH(C1564,'GIS-Standards'!$B$2:$B$305,0))</f>
        <v>#N/A</v>
      </c>
      <c r="P1564" t="e">
        <f>AND(TableRelationships12[[#This Row],[Source Type]]="BIM",TableRelationships12[[#This Row],[Target Type]]="BIM")</f>
        <v>#N/A</v>
      </c>
      <c r="Q1564">
        <f t="shared" si="72"/>
        <v>1</v>
      </c>
      <c r="S1564">
        <f t="shared" si="73"/>
        <v>1</v>
      </c>
      <c r="T1564" s="102" t="str">
        <f>IF(TableRelationships12[[#This Row],[Rank Pedro]]="Low","linkCategory1",IF(TableRelationships12[[#This Row],[Rank Pedro]]="Medium","linkCategory2",IF(TableRelationships12[[#This Row],[Rank Pedro]]="High","linkCategory3","")))</f>
        <v/>
      </c>
      <c r="U1564" s="102" t="str">
        <f>IF(TableRelationships12[[#This Row],[Rank Pedro]]="Low","Pink",IF(TableRelationships12[[#This Row],[Rank Pedro]]="Medium","Purple",IF(TableRelationships12[[#This Row],[Rank Pedro]]="High","Brown","")))</f>
        <v/>
      </c>
      <c r="V1564" s="4" t="e">
        <f>MAX(INDEX(Standards!$F$2:$F$296,MATCH(B1564,Standards!$B$2:$B$296,0)),INDEX(Standards!$F$2:$F$296,MATCH(C1564,Standards!$B$2:$B$296,0)))</f>
        <v>#N/A</v>
      </c>
      <c r="W1564" t="str">
        <f t="shared" si="74"/>
        <v>#2f89d1</v>
      </c>
    </row>
    <row r="1565" spans="1:23" x14ac:dyDescent="0.5">
      <c r="A1565" s="54">
        <v>1564</v>
      </c>
      <c r="B1565" s="90" t="s">
        <v>643</v>
      </c>
      <c r="C1565" t="s">
        <v>304</v>
      </c>
      <c r="D1565" s="1"/>
      <c r="E1565" s="112">
        <v>2002.09</v>
      </c>
      <c r="F1565" s="112">
        <v>2006.1</v>
      </c>
      <c r="G1565" s="107" t="s">
        <v>670</v>
      </c>
      <c r="H1565">
        <f>INDEX('GIS-Standards'!$A$2:$A$305,MATCH(B1565,'GIS-Standards'!$B$2:$B$305,0))</f>
        <v>70</v>
      </c>
      <c r="I1565">
        <f>INDEX('GIS-Standards'!$A$2:$A$305,MATCH(C1565,'GIS-Standards'!$B$2:$B$305,0))</f>
        <v>17</v>
      </c>
      <c r="J1565" t="str">
        <f>INDEX('GIS-Standards'!$O$2:$O$305,MATCH(B1565,'GIS-Standards'!$B$2:$B$305,0))</f>
        <v>ISO/TC 211</v>
      </c>
      <c r="K1565" t="str">
        <f>INDEX('GIS-Standards'!$O$2:$O$305,MATCH(C1565,'GIS-Standards'!$B$2:$B$305,0))</f>
        <v>ISO/TC 211</v>
      </c>
      <c r="M1565" t="s">
        <v>525</v>
      </c>
      <c r="N1565">
        <f>INDEX('GIS-Standards'!$I$2:$I$305,MATCH(B1565,'GIS-Standards'!$B$2:$B$305,0))</f>
        <v>0</v>
      </c>
      <c r="O1565" t="str">
        <f>INDEX('GIS-Standards'!$I$2:$I$305,MATCH(C1565,'GIS-Standards'!$B$2:$B$305,0))</f>
        <v>06.2008</v>
      </c>
      <c r="P1565" t="b">
        <f>AND(TableRelationships12[[#This Row],[Source Type]]="BIM",TableRelationships12[[#This Row],[Target Type]]="BIM")</f>
        <v>0</v>
      </c>
      <c r="Q1565">
        <f t="shared" si="72"/>
        <v>1</v>
      </c>
      <c r="S1565">
        <f t="shared" si="73"/>
        <v>1</v>
      </c>
      <c r="T1565" s="102" t="str">
        <f>IF(TableRelationships12[[#This Row],[Rank Pedro]]="Low","linkCategory1",IF(TableRelationships12[[#This Row],[Rank Pedro]]="Medium","linkCategory2",IF(TableRelationships12[[#This Row],[Rank Pedro]]="High","linkCategory3","")))</f>
        <v/>
      </c>
      <c r="U1565" s="102" t="str">
        <f>IF(TableRelationships12[[#This Row],[Rank Pedro]]="Low","Pink",IF(TableRelationships12[[#This Row],[Rank Pedro]]="Medium","Purple",IF(TableRelationships12[[#This Row],[Rank Pedro]]="High","Brown","")))</f>
        <v/>
      </c>
      <c r="V1565" s="4" t="e">
        <f>MAX(INDEX(Standards!$F$2:$F$296,MATCH(B1565,Standards!$B$2:$B$296,0)),INDEX(Standards!$F$2:$F$296,MATCH(C1565,Standards!$B$2:$B$296,0)))</f>
        <v>#N/A</v>
      </c>
      <c r="W1565" t="str">
        <f t="shared" si="74"/>
        <v>#2f89d1</v>
      </c>
    </row>
    <row r="1566" spans="1:23" x14ac:dyDescent="0.5">
      <c r="A1566" s="54">
        <v>1565</v>
      </c>
      <c r="B1566" s="90" t="s">
        <v>643</v>
      </c>
      <c r="C1566" t="s">
        <v>1039</v>
      </c>
      <c r="D1566" s="1" t="s">
        <v>1331</v>
      </c>
      <c r="E1566" s="113">
        <v>2012.12</v>
      </c>
      <c r="F1566" s="113">
        <v>2024.01</v>
      </c>
      <c r="G1566" s="107" t="s">
        <v>670</v>
      </c>
      <c r="H1566">
        <f>INDEX('GIS-Standards'!$A$2:$A$305,MATCH(B1566,'GIS-Standards'!$B$2:$B$305,0))</f>
        <v>70</v>
      </c>
      <c r="I1566">
        <f>INDEX('GIS-Standards'!$A$2:$A$305,MATCH(C1566,'GIS-Standards'!$B$2:$B$305,0))</f>
        <v>57</v>
      </c>
      <c r="J1566" t="str">
        <f>INDEX('GIS-Standards'!$O$2:$O$305,MATCH(B1566,'GIS-Standards'!$B$2:$B$305,0))</f>
        <v>ISO/TC 211</v>
      </c>
      <c r="K1566" t="str">
        <f>INDEX('GIS-Standards'!$O$2:$O$305,MATCH(C1566,'GIS-Standards'!$B$2:$B$305,0))</f>
        <v>ISO/TC 211</v>
      </c>
      <c r="M1566" t="s">
        <v>525</v>
      </c>
      <c r="N1566">
        <f>INDEX('GIS-Standards'!$I$2:$I$305,MATCH(B1566,'GIS-Standards'!$B$2:$B$305,0))</f>
        <v>0</v>
      </c>
      <c r="O1566">
        <f>INDEX('GIS-Standards'!$I$2:$I$305,MATCH(C1566,'GIS-Standards'!$B$2:$B$305,0))</f>
        <v>0</v>
      </c>
      <c r="P1566" t="b">
        <f>AND(TableRelationships12[[#This Row],[Source Type]]="BIM",TableRelationships12[[#This Row],[Target Type]]="BIM")</f>
        <v>0</v>
      </c>
      <c r="Q1566">
        <f t="shared" si="72"/>
        <v>1</v>
      </c>
      <c r="S1566">
        <f t="shared" si="73"/>
        <v>1</v>
      </c>
      <c r="T1566" s="102" t="str">
        <f>IF(TableRelationships12[[#This Row],[Rank Pedro]]="Low","linkCategory1",IF(TableRelationships12[[#This Row],[Rank Pedro]]="Medium","linkCategory2",IF(TableRelationships12[[#This Row],[Rank Pedro]]="High","linkCategory3","")))</f>
        <v/>
      </c>
      <c r="U1566" s="102" t="str">
        <f>IF(TableRelationships12[[#This Row],[Rank Pedro]]="Low","Pink",IF(TableRelationships12[[#This Row],[Rank Pedro]]="Medium","Purple",IF(TableRelationships12[[#This Row],[Rank Pedro]]="High","Brown","")))</f>
        <v/>
      </c>
      <c r="V1566" s="4" t="e">
        <f>MAX(INDEX(Standards!$F$2:$F$296,MATCH(B1566,Standards!$B$2:$B$296,0)),INDEX(Standards!$F$2:$F$296,MATCH(C1566,Standards!$B$2:$B$296,0)))</f>
        <v>#N/A</v>
      </c>
      <c r="W1566" t="str">
        <f t="shared" si="74"/>
        <v>#2f89d1</v>
      </c>
    </row>
    <row r="1567" spans="1:23" x14ac:dyDescent="0.5">
      <c r="A1567" s="54">
        <v>1566</v>
      </c>
      <c r="B1567" s="90" t="s">
        <v>643</v>
      </c>
      <c r="C1567" t="s">
        <v>1206</v>
      </c>
      <c r="D1567" s="1" t="s">
        <v>1331</v>
      </c>
      <c r="E1567" s="113">
        <v>2012.12</v>
      </c>
      <c r="F1567" s="113">
        <v>2025.05</v>
      </c>
      <c r="G1567" s="107" t="s">
        <v>670</v>
      </c>
      <c r="H1567">
        <f>INDEX('GIS-Standards'!$A$2:$A$305,MATCH(B1567,'GIS-Standards'!$B$2:$B$305,0))</f>
        <v>70</v>
      </c>
      <c r="I1567">
        <f>INDEX('GIS-Standards'!$A$2:$A$305,MATCH(C1567,'GIS-Standards'!$B$2:$B$305,0))</f>
        <v>58</v>
      </c>
      <c r="J1567" t="str">
        <f>INDEX('GIS-Standards'!$O$2:$O$305,MATCH(B1567,'GIS-Standards'!$B$2:$B$305,0))</f>
        <v>ISO/TC 211</v>
      </c>
      <c r="K1567" t="str">
        <f>INDEX('GIS-Standards'!$O$2:$O$305,MATCH(C1567,'GIS-Standards'!$B$2:$B$305,0))</f>
        <v>ISO/TC 211</v>
      </c>
      <c r="M1567" t="s">
        <v>525</v>
      </c>
      <c r="N1567">
        <f>INDEX('GIS-Standards'!$I$2:$I$305,MATCH(B1567,'GIS-Standards'!$B$2:$B$305,0))</f>
        <v>0</v>
      </c>
      <c r="O1567">
        <f>INDEX('GIS-Standards'!$I$2:$I$305,MATCH(C1567,'GIS-Standards'!$B$2:$B$305,0))</f>
        <v>0</v>
      </c>
      <c r="P1567" t="b">
        <f>AND(TableRelationships12[[#This Row],[Source Type]]="BIM",TableRelationships12[[#This Row],[Target Type]]="BIM")</f>
        <v>0</v>
      </c>
      <c r="Q1567">
        <f t="shared" si="72"/>
        <v>1</v>
      </c>
      <c r="S1567">
        <f t="shared" si="73"/>
        <v>1</v>
      </c>
      <c r="T1567" s="102" t="str">
        <f>IF(TableRelationships12[[#This Row],[Rank Pedro]]="Low","linkCategory1",IF(TableRelationships12[[#This Row],[Rank Pedro]]="Medium","linkCategory2",IF(TableRelationships12[[#This Row],[Rank Pedro]]="High","linkCategory3","")))</f>
        <v/>
      </c>
      <c r="U1567" s="102" t="str">
        <f>IF(TableRelationships12[[#This Row],[Rank Pedro]]="Low","Pink",IF(TableRelationships12[[#This Row],[Rank Pedro]]="Medium","Purple",IF(TableRelationships12[[#This Row],[Rank Pedro]]="High","Brown","")))</f>
        <v/>
      </c>
      <c r="V1567" s="4" t="e">
        <f>MAX(INDEX(Standards!$F$2:$F$296,MATCH(B1567,Standards!$B$2:$B$296,0)),INDEX(Standards!$F$2:$F$296,MATCH(C1567,Standards!$B$2:$B$296,0)))</f>
        <v>#N/A</v>
      </c>
      <c r="W1567" t="str">
        <f t="shared" si="74"/>
        <v>#2f89d1</v>
      </c>
    </row>
    <row r="1568" spans="1:23" x14ac:dyDescent="0.5">
      <c r="A1568" s="54">
        <v>1567</v>
      </c>
      <c r="B1568" s="90" t="s">
        <v>643</v>
      </c>
      <c r="C1568" t="s">
        <v>1052</v>
      </c>
      <c r="D1568" s="1" t="s">
        <v>1331</v>
      </c>
      <c r="E1568" s="113">
        <v>2012.12</v>
      </c>
      <c r="F1568" s="113">
        <v>2024.07</v>
      </c>
      <c r="G1568" s="107" t="s">
        <v>670</v>
      </c>
      <c r="H1568">
        <f>INDEX('GIS-Standards'!$A$2:$A$305,MATCH(B1568,'GIS-Standards'!$B$2:$B$305,0))</f>
        <v>70</v>
      </c>
      <c r="I1568">
        <f>INDEX('GIS-Standards'!$A$2:$A$305,MATCH(C1568,'GIS-Standards'!$B$2:$B$305,0))</f>
        <v>59</v>
      </c>
      <c r="J1568" t="str">
        <f>INDEX('GIS-Standards'!$O$2:$O$305,MATCH(B1568,'GIS-Standards'!$B$2:$B$305,0))</f>
        <v>ISO/TC 211</v>
      </c>
      <c r="K1568" t="str">
        <f>INDEX('GIS-Standards'!$O$2:$O$305,MATCH(C1568,'GIS-Standards'!$B$2:$B$305,0))</f>
        <v>ISO/TC 211</v>
      </c>
      <c r="M1568" t="s">
        <v>525</v>
      </c>
      <c r="N1568">
        <f>INDEX('GIS-Standards'!$I$2:$I$305,MATCH(B1568,'GIS-Standards'!$B$2:$B$305,0))</f>
        <v>0</v>
      </c>
      <c r="O1568">
        <f>INDEX('GIS-Standards'!$I$2:$I$305,MATCH(C1568,'GIS-Standards'!$B$2:$B$305,0))</f>
        <v>0</v>
      </c>
      <c r="P1568" t="b">
        <f>AND(TableRelationships12[[#This Row],[Source Type]]="BIM",TableRelationships12[[#This Row],[Target Type]]="BIM")</f>
        <v>0</v>
      </c>
      <c r="Q1568">
        <f t="shared" si="72"/>
        <v>1</v>
      </c>
      <c r="S1568">
        <f t="shared" si="73"/>
        <v>1</v>
      </c>
      <c r="T1568" s="102" t="str">
        <f>IF(TableRelationships12[[#This Row],[Rank Pedro]]="Low","linkCategory1",IF(TableRelationships12[[#This Row],[Rank Pedro]]="Medium","linkCategory2",IF(TableRelationships12[[#This Row],[Rank Pedro]]="High","linkCategory3","")))</f>
        <v/>
      </c>
      <c r="U1568" s="102" t="str">
        <f>IF(TableRelationships12[[#This Row],[Rank Pedro]]="Low","Pink",IF(TableRelationships12[[#This Row],[Rank Pedro]]="Medium","Purple",IF(TableRelationships12[[#This Row],[Rank Pedro]]="High","Brown","")))</f>
        <v/>
      </c>
      <c r="V1568" s="4" t="e">
        <f>MAX(INDEX(Standards!$F$2:$F$296,MATCH(B1568,Standards!$B$2:$B$296,0)),INDEX(Standards!$F$2:$F$296,MATCH(C1568,Standards!$B$2:$B$296,0)))</f>
        <v>#N/A</v>
      </c>
      <c r="W1568" t="str">
        <f t="shared" si="74"/>
        <v>#2f89d1</v>
      </c>
    </row>
    <row r="1569" spans="1:23" x14ac:dyDescent="0.5">
      <c r="A1569" s="54">
        <v>1568</v>
      </c>
      <c r="B1569" s="90" t="s">
        <v>643</v>
      </c>
      <c r="C1569" t="s">
        <v>1469</v>
      </c>
      <c r="D1569" s="1" t="s">
        <v>1331</v>
      </c>
      <c r="E1569" s="113">
        <v>2012.12</v>
      </c>
      <c r="F1569" s="113">
        <v>2025.07</v>
      </c>
      <c r="G1569" s="107" t="s">
        <v>670</v>
      </c>
      <c r="H1569">
        <f>INDEX('GIS-Standards'!$A$2:$A$305,MATCH(B1569,'GIS-Standards'!$B$2:$B$305,0))</f>
        <v>70</v>
      </c>
      <c r="I1569">
        <f>INDEX('GIS-Standards'!$A$2:$A$305,MATCH(C1569,'GIS-Standards'!$B$2:$B$305,0))</f>
        <v>60</v>
      </c>
      <c r="J1569" t="str">
        <f>INDEX('GIS-Standards'!$O$2:$O$305,MATCH(B1569,'GIS-Standards'!$B$2:$B$305,0))</f>
        <v>ISO/TC 211</v>
      </c>
      <c r="K1569" t="str">
        <f>INDEX('GIS-Standards'!$O$2:$O$305,MATCH(C1569,'GIS-Standards'!$B$2:$B$305,0))</f>
        <v>ISO/TC 211</v>
      </c>
      <c r="M1569" t="s">
        <v>525</v>
      </c>
      <c r="N1569">
        <f>INDEX('GIS-Standards'!$I$2:$I$305,MATCH(B1569,'GIS-Standards'!$B$2:$B$305,0))</f>
        <v>0</v>
      </c>
      <c r="O1569">
        <f>INDEX('GIS-Standards'!$I$2:$I$305,MATCH(C1569,'GIS-Standards'!$B$2:$B$305,0))</f>
        <v>0</v>
      </c>
      <c r="P1569" t="b">
        <f>AND(TableRelationships12[[#This Row],[Source Type]]="BIM",TableRelationships12[[#This Row],[Target Type]]="BIM")</f>
        <v>0</v>
      </c>
      <c r="Q1569">
        <f t="shared" si="72"/>
        <v>1</v>
      </c>
      <c r="S1569">
        <f t="shared" si="73"/>
        <v>1</v>
      </c>
      <c r="T1569" s="102" t="str">
        <f>IF(TableRelationships12[[#This Row],[Rank Pedro]]="Low","linkCategory1",IF(TableRelationships12[[#This Row],[Rank Pedro]]="Medium","linkCategory2",IF(TableRelationships12[[#This Row],[Rank Pedro]]="High","linkCategory3","")))</f>
        <v/>
      </c>
      <c r="U1569" s="102" t="str">
        <f>IF(TableRelationships12[[#This Row],[Rank Pedro]]="Low","Pink",IF(TableRelationships12[[#This Row],[Rank Pedro]]="Medium","Purple",IF(TableRelationships12[[#This Row],[Rank Pedro]]="High","Brown","")))</f>
        <v/>
      </c>
      <c r="V1569" s="4" t="e">
        <f>MAX(INDEX(Standards!$F$2:$F$296,MATCH(B1569,Standards!$B$2:$B$296,0)),INDEX(Standards!$F$2:$F$296,MATCH(C1569,Standards!$B$2:$B$296,0)))</f>
        <v>#N/A</v>
      </c>
      <c r="W1569" t="str">
        <f t="shared" si="74"/>
        <v>#2f89d1</v>
      </c>
    </row>
    <row r="1570" spans="1:23" x14ac:dyDescent="0.5">
      <c r="A1570" s="54">
        <v>1569</v>
      </c>
      <c r="B1570" s="90" t="s">
        <v>643</v>
      </c>
      <c r="C1570" t="s">
        <v>1470</v>
      </c>
      <c r="D1570" s="1" t="s">
        <v>1331</v>
      </c>
      <c r="E1570" s="113">
        <v>2012.12</v>
      </c>
      <c r="F1570" s="113">
        <v>2025.08</v>
      </c>
      <c r="G1570" s="107" t="s">
        <v>670</v>
      </c>
      <c r="H1570">
        <f>INDEX('GIS-Standards'!$A$2:$A$305,MATCH(B1570,'GIS-Standards'!$B$2:$B$305,0))</f>
        <v>70</v>
      </c>
      <c r="I1570">
        <f>INDEX('GIS-Standards'!$A$2:$A$305,MATCH(C1570,'GIS-Standards'!$B$2:$B$305,0))</f>
        <v>61</v>
      </c>
      <c r="J1570" t="str">
        <f>INDEX('GIS-Standards'!$O$2:$O$305,MATCH(B1570,'GIS-Standards'!$B$2:$B$305,0))</f>
        <v>ISO/TC 211</v>
      </c>
      <c r="K1570" t="str">
        <f>INDEX('GIS-Standards'!$O$2:$O$305,MATCH(C1570,'GIS-Standards'!$B$2:$B$305,0))</f>
        <v>ISO/TC 211</v>
      </c>
      <c r="M1570" t="s">
        <v>525</v>
      </c>
      <c r="N1570">
        <f>INDEX('GIS-Standards'!$I$2:$I$305,MATCH(B1570,'GIS-Standards'!$B$2:$B$305,0))</f>
        <v>0</v>
      </c>
      <c r="O1570">
        <f>INDEX('GIS-Standards'!$I$2:$I$305,MATCH(C1570,'GIS-Standards'!$B$2:$B$305,0))</f>
        <v>0</v>
      </c>
      <c r="P1570" t="b">
        <f>AND(TableRelationships12[[#This Row],[Source Type]]="BIM",TableRelationships12[[#This Row],[Target Type]]="BIM")</f>
        <v>0</v>
      </c>
      <c r="Q1570">
        <f t="shared" si="72"/>
        <v>1</v>
      </c>
      <c r="S1570">
        <f t="shared" si="73"/>
        <v>1</v>
      </c>
      <c r="T1570" s="102" t="str">
        <f>IF(TableRelationships12[[#This Row],[Rank Pedro]]="Low","linkCategory1",IF(TableRelationships12[[#This Row],[Rank Pedro]]="Medium","linkCategory2",IF(TableRelationships12[[#This Row],[Rank Pedro]]="High","linkCategory3","")))</f>
        <v/>
      </c>
      <c r="U1570" s="102" t="str">
        <f>IF(TableRelationships12[[#This Row],[Rank Pedro]]="Low","Pink",IF(TableRelationships12[[#This Row],[Rank Pedro]]="Medium","Purple",IF(TableRelationships12[[#This Row],[Rank Pedro]]="High","Brown","")))</f>
        <v/>
      </c>
      <c r="V1570" s="4" t="e">
        <f>MAX(INDEX(Standards!$F$2:$F$296,MATCH(B1570,Standards!$B$2:$B$296,0)),INDEX(Standards!$F$2:$F$296,MATCH(C1570,Standards!$B$2:$B$296,0)))</f>
        <v>#N/A</v>
      </c>
      <c r="W1570" t="str">
        <f t="shared" si="74"/>
        <v>#2f89d1</v>
      </c>
    </row>
    <row r="1571" spans="1:23" x14ac:dyDescent="0.5">
      <c r="A1571" s="54">
        <v>1570</v>
      </c>
      <c r="B1571" s="90" t="s">
        <v>643</v>
      </c>
      <c r="C1571" t="s">
        <v>1332</v>
      </c>
      <c r="D1571" s="1"/>
      <c r="E1571" s="112">
        <v>2008.11</v>
      </c>
      <c r="F1571" s="112">
        <v>2021.08</v>
      </c>
      <c r="G1571" s="107" t="s">
        <v>1513</v>
      </c>
      <c r="H1571">
        <f>INDEX('GIS-Standards'!$A$2:$A$305,MATCH(B1571,'GIS-Standards'!$B$2:$B$305,0))</f>
        <v>70</v>
      </c>
      <c r="I1571" t="e">
        <f>INDEX('GIS-Standards'!$A$2:$A$305,MATCH(C1571,'GIS-Standards'!$B$2:$B$305,0))</f>
        <v>#N/A</v>
      </c>
      <c r="J1571" t="str">
        <f>INDEX('GIS-Standards'!$O$2:$O$305,MATCH(B1571,'GIS-Standards'!$B$2:$B$305,0))</f>
        <v>ISO/TC 211</v>
      </c>
      <c r="K1571" t="e">
        <f>INDEX('GIS-Standards'!$O$2:$O$305,MATCH(C1571,'GIS-Standards'!$B$2:$B$305,0))</f>
        <v>#N/A</v>
      </c>
      <c r="M1571" t="s">
        <v>525</v>
      </c>
      <c r="N1571">
        <f>INDEX('GIS-Standards'!$I$2:$I$305,MATCH(B1571,'GIS-Standards'!$B$2:$B$305,0))</f>
        <v>0</v>
      </c>
      <c r="O1571" t="e">
        <f>INDEX('GIS-Standards'!$I$2:$I$305,MATCH(C1571,'GIS-Standards'!$B$2:$B$305,0))</f>
        <v>#N/A</v>
      </c>
      <c r="P1571" t="e">
        <f>AND(TableRelationships12[[#This Row],[Source Type]]="BIM",TableRelationships12[[#This Row],[Target Type]]="BIM")</f>
        <v>#N/A</v>
      </c>
      <c r="Q1571">
        <f t="shared" si="72"/>
        <v>1</v>
      </c>
      <c r="S1571">
        <f t="shared" si="73"/>
        <v>1</v>
      </c>
      <c r="T1571" s="102" t="str">
        <f>IF(TableRelationships12[[#This Row],[Rank Pedro]]="Low","linkCategory1",IF(TableRelationships12[[#This Row],[Rank Pedro]]="Medium","linkCategory2",IF(TableRelationships12[[#This Row],[Rank Pedro]]="High","linkCategory3","")))</f>
        <v/>
      </c>
      <c r="U1571" s="102" t="str">
        <f>IF(TableRelationships12[[#This Row],[Rank Pedro]]="Low","Pink",IF(TableRelationships12[[#This Row],[Rank Pedro]]="Medium","Purple",IF(TableRelationships12[[#This Row],[Rank Pedro]]="High","Brown","")))</f>
        <v/>
      </c>
      <c r="V1571" s="4" t="e">
        <f>MAX(INDEX(Standards!$F$2:$F$296,MATCH(B1571,Standards!$B$2:$B$296,0)),INDEX(Standards!$F$2:$F$296,MATCH(C1571,Standards!$B$2:$B$296,0)))</f>
        <v>#N/A</v>
      </c>
      <c r="W1571" t="str">
        <f t="shared" si="74"/>
        <v>#2f89d1</v>
      </c>
    </row>
    <row r="1572" spans="1:23" x14ac:dyDescent="0.5">
      <c r="A1572" s="54">
        <v>1571</v>
      </c>
      <c r="B1572" s="90" t="s">
        <v>644</v>
      </c>
      <c r="C1572" t="s">
        <v>527</v>
      </c>
      <c r="D1572" s="1"/>
      <c r="E1572" s="112" t="s">
        <v>916</v>
      </c>
      <c r="F1572" s="112" t="s">
        <v>916</v>
      </c>
      <c r="G1572" s="121" t="s">
        <v>670</v>
      </c>
      <c r="H1572">
        <f>INDEX('GIS-Standards'!$A$2:$A$305,MATCH(B1572,'GIS-Standards'!$B$2:$B$305,0))</f>
        <v>71</v>
      </c>
      <c r="I1572" t="e">
        <f>INDEX('GIS-Standards'!$A$2:$A$305,MATCH(C1572,'GIS-Standards'!$B$2:$B$305,0))</f>
        <v>#N/A</v>
      </c>
      <c r="J1572" t="str">
        <f>INDEX('GIS-Standards'!$O$2:$O$305,MATCH(B1572,'GIS-Standards'!$B$2:$B$305,0))</f>
        <v>ISO/TC 211</v>
      </c>
      <c r="K1572" t="e">
        <f>INDEX('GIS-Standards'!$O$2:$O$305,MATCH(C1572,'GIS-Standards'!$B$2:$B$305,0))</f>
        <v>#N/A</v>
      </c>
      <c r="M1572" t="s">
        <v>237</v>
      </c>
      <c r="N1572">
        <f>INDEX('GIS-Standards'!$I$2:$I$305,MATCH(B1572,'GIS-Standards'!$B$2:$B$305,0))</f>
        <v>0</v>
      </c>
      <c r="O1572" t="e">
        <f>INDEX('GIS-Standards'!$I$2:$I$305,MATCH(C1572,'GIS-Standards'!$B$2:$B$305,0))</f>
        <v>#N/A</v>
      </c>
      <c r="P1572" t="e">
        <f>AND(TableRelationships12[[#This Row],[Source Type]]="BIM",TableRelationships12[[#This Row],[Target Type]]="BIM")</f>
        <v>#N/A</v>
      </c>
      <c r="Q1572">
        <f t="shared" si="72"/>
        <v>2</v>
      </c>
      <c r="S1572">
        <f t="shared" si="73"/>
        <v>1</v>
      </c>
      <c r="T1572" s="102" t="str">
        <f>IF(TableRelationships12[[#This Row],[Rank Pedro]]="Low","linkCategory1",IF(TableRelationships12[[#This Row],[Rank Pedro]]="Medium","linkCategory2",IF(TableRelationships12[[#This Row],[Rank Pedro]]="High","linkCategory3","")))</f>
        <v/>
      </c>
      <c r="U1572" s="102" t="str">
        <f>IF(TableRelationships12[[#This Row],[Rank Pedro]]="Low","Pink",IF(TableRelationships12[[#This Row],[Rank Pedro]]="Medium","Purple",IF(TableRelationships12[[#This Row],[Rank Pedro]]="High","Brown","")))</f>
        <v/>
      </c>
      <c r="V1572" s="4" t="e">
        <f>MAX(INDEX(Standards!$F$2:$F$296,MATCH(B1572,Standards!$B$2:$B$296,0)),INDEX(Standards!$F$2:$F$296,MATCH(C1572,Standards!$B$2:$B$296,0)))</f>
        <v>#N/A</v>
      </c>
      <c r="W1572">
        <f t="shared" si="74"/>
        <v>1</v>
      </c>
    </row>
    <row r="1573" spans="1:23" x14ac:dyDescent="0.5">
      <c r="A1573" s="54">
        <v>1572</v>
      </c>
      <c r="B1573" s="90" t="s">
        <v>644</v>
      </c>
      <c r="C1573" t="s">
        <v>314</v>
      </c>
      <c r="D1573" s="1"/>
      <c r="E1573" s="112">
        <v>2003.05</v>
      </c>
      <c r="F1573" s="112">
        <v>2020.11</v>
      </c>
      <c r="G1573" s="107" t="s">
        <v>670</v>
      </c>
      <c r="H1573">
        <f>INDEX('GIS-Standards'!$A$2:$A$305,MATCH(B1573,'GIS-Standards'!$B$2:$B$305,0))</f>
        <v>71</v>
      </c>
      <c r="I1573">
        <f>INDEX('GIS-Standards'!$A$2:$A$305,MATCH(C1573,'GIS-Standards'!$B$2:$B$305,0))</f>
        <v>22</v>
      </c>
      <c r="J1573" t="str">
        <f>INDEX('GIS-Standards'!$O$2:$O$305,MATCH(B1573,'GIS-Standards'!$B$2:$B$305,0))</f>
        <v>ISO/TC 211</v>
      </c>
      <c r="K1573" t="str">
        <f>INDEX('GIS-Standards'!$O$2:$O$305,MATCH(C1573,'GIS-Standards'!$B$2:$B$305,0))</f>
        <v>ISO/TC 211</v>
      </c>
      <c r="M1573" t="s">
        <v>524</v>
      </c>
      <c r="N1573">
        <f>INDEX('GIS-Standards'!$I$2:$I$305,MATCH(B1573,'GIS-Standards'!$B$2:$B$305,0))</f>
        <v>0</v>
      </c>
      <c r="O1573" t="str">
        <f>INDEX('GIS-Standards'!$I$2:$I$305,MATCH(C1573,'GIS-Standards'!$B$2:$B$305,0))</f>
        <v>12.2020</v>
      </c>
      <c r="P1573" t="b">
        <f>AND(TableRelationships12[[#This Row],[Source Type]]="BIM",TableRelationships12[[#This Row],[Target Type]]="BIM")</f>
        <v>0</v>
      </c>
      <c r="Q1573">
        <f t="shared" si="72"/>
        <v>6</v>
      </c>
      <c r="S1573">
        <f t="shared" si="73"/>
        <v>1</v>
      </c>
      <c r="T1573" s="102" t="str">
        <f>IF(TableRelationships12[[#This Row],[Rank Pedro]]="Low","linkCategory1",IF(TableRelationships12[[#This Row],[Rank Pedro]]="Medium","linkCategory2",IF(TableRelationships12[[#This Row],[Rank Pedro]]="High","linkCategory3","")))</f>
        <v/>
      </c>
      <c r="U1573" s="102" t="str">
        <f>IF(TableRelationships12[[#This Row],[Rank Pedro]]="Low","Pink",IF(TableRelationships12[[#This Row],[Rank Pedro]]="Medium","Purple",IF(TableRelationships12[[#This Row],[Rank Pedro]]="High","Brown","")))</f>
        <v/>
      </c>
      <c r="V1573" s="4" t="e">
        <f>MAX(INDEX(Standards!$F$2:$F$296,MATCH(B1573,Standards!$B$2:$B$296,0)),INDEX(Standards!$F$2:$F$296,MATCH(C1573,Standards!$B$2:$B$296,0)))</f>
        <v>#N/A</v>
      </c>
      <c r="W1573" t="str">
        <f t="shared" si="74"/>
        <v>#d6bf2a</v>
      </c>
    </row>
    <row r="1574" spans="1:23" x14ac:dyDescent="0.5">
      <c r="A1574" s="54">
        <v>1573</v>
      </c>
      <c r="B1574" s="90" t="s">
        <v>644</v>
      </c>
      <c r="C1574" t="s">
        <v>1041</v>
      </c>
      <c r="D1574" s="1"/>
      <c r="E1574" s="112">
        <v>2009.02</v>
      </c>
      <c r="F1574" s="112">
        <v>2022.03</v>
      </c>
      <c r="G1574" s="107" t="s">
        <v>670</v>
      </c>
      <c r="H1574">
        <f>INDEX('GIS-Standards'!$A$2:$A$305,MATCH(B1574,'GIS-Standards'!$B$2:$B$305,0))</f>
        <v>71</v>
      </c>
      <c r="I1574">
        <f>INDEX('GIS-Standards'!$A$2:$A$305,MATCH(C1574,'GIS-Standards'!$B$2:$B$305,0))</f>
        <v>23</v>
      </c>
      <c r="J1574" t="str">
        <f>INDEX('GIS-Standards'!$O$2:$O$305,MATCH(B1574,'GIS-Standards'!$B$2:$B$305,0))</f>
        <v>ISO/TC 211</v>
      </c>
      <c r="K1574" t="str">
        <f>INDEX('GIS-Standards'!$O$2:$O$305,MATCH(C1574,'GIS-Standards'!$B$2:$B$305,0))</f>
        <v>ISO/TC 211</v>
      </c>
      <c r="M1574" t="s">
        <v>524</v>
      </c>
      <c r="N1574">
        <f>INDEX('GIS-Standards'!$I$2:$I$305,MATCH(B1574,'GIS-Standards'!$B$2:$B$305,0))</f>
        <v>0</v>
      </c>
      <c r="O1574" t="str">
        <f>INDEX('GIS-Standards'!$I$2:$I$305,MATCH(C1574,'GIS-Standards'!$B$2:$B$305,0))</f>
        <v>03.2022</v>
      </c>
      <c r="P1574" t="b">
        <f>AND(TableRelationships12[[#This Row],[Source Type]]="BIM",TableRelationships12[[#This Row],[Target Type]]="BIM")</f>
        <v>0</v>
      </c>
      <c r="Q1574">
        <f t="shared" si="72"/>
        <v>6</v>
      </c>
      <c r="S1574">
        <f t="shared" si="73"/>
        <v>1</v>
      </c>
      <c r="T1574" s="102" t="str">
        <f>IF(TableRelationships12[[#This Row],[Rank Pedro]]="Low","linkCategory1",IF(TableRelationships12[[#This Row],[Rank Pedro]]="Medium","linkCategory2",IF(TableRelationships12[[#This Row],[Rank Pedro]]="High","linkCategory3","")))</f>
        <v/>
      </c>
      <c r="U1574" s="102" t="str">
        <f>IF(TableRelationships12[[#This Row],[Rank Pedro]]="Low","Pink",IF(TableRelationships12[[#This Row],[Rank Pedro]]="Medium","Purple",IF(TableRelationships12[[#This Row],[Rank Pedro]]="High","Brown","")))</f>
        <v/>
      </c>
      <c r="V1574" s="4" t="e">
        <f>MAX(INDEX(Standards!$F$2:$F$296,MATCH(B1574,Standards!$B$2:$B$296,0)),INDEX(Standards!$F$2:$F$296,MATCH(C1574,Standards!$B$2:$B$296,0)))</f>
        <v>#N/A</v>
      </c>
      <c r="W1574" t="str">
        <f t="shared" si="74"/>
        <v>#d6bf2a</v>
      </c>
    </row>
    <row r="1575" spans="1:23" x14ac:dyDescent="0.5">
      <c r="A1575" s="54">
        <v>1574</v>
      </c>
      <c r="B1575" s="90" t="s">
        <v>644</v>
      </c>
      <c r="C1575" t="s">
        <v>1042</v>
      </c>
      <c r="D1575" s="1"/>
      <c r="E1575" s="112">
        <v>2016.08</v>
      </c>
      <c r="F1575" s="112">
        <v>2023.08</v>
      </c>
      <c r="G1575" s="107" t="s">
        <v>670</v>
      </c>
      <c r="H1575">
        <f>INDEX('GIS-Standards'!$A$2:$A$305,MATCH(B1575,'GIS-Standards'!$B$2:$B$305,0))</f>
        <v>71</v>
      </c>
      <c r="I1575">
        <f>INDEX('GIS-Standards'!$A$2:$A$305,MATCH(C1575,'GIS-Standards'!$B$2:$B$305,0))</f>
        <v>24</v>
      </c>
      <c r="J1575" t="str">
        <f>INDEX('GIS-Standards'!$O$2:$O$305,MATCH(B1575,'GIS-Standards'!$B$2:$B$305,0))</f>
        <v>ISO/TC 211</v>
      </c>
      <c r="K1575" t="str">
        <f>INDEX('GIS-Standards'!$O$2:$O$305,MATCH(C1575,'GIS-Standards'!$B$2:$B$305,0))</f>
        <v>ISO/TC 211</v>
      </c>
      <c r="M1575" t="s">
        <v>524</v>
      </c>
      <c r="N1575">
        <f>INDEX('GIS-Standards'!$I$2:$I$305,MATCH(B1575,'GIS-Standards'!$B$2:$B$305,0))</f>
        <v>0</v>
      </c>
      <c r="O1575">
        <f>INDEX('GIS-Standards'!$I$2:$I$305,MATCH(C1575,'GIS-Standards'!$B$2:$B$305,0))</f>
        <v>0</v>
      </c>
      <c r="P1575" t="b">
        <f>AND(TableRelationships12[[#This Row],[Source Type]]="BIM",TableRelationships12[[#This Row],[Target Type]]="BIM")</f>
        <v>0</v>
      </c>
      <c r="Q1575">
        <f t="shared" si="72"/>
        <v>6</v>
      </c>
      <c r="S1575">
        <f t="shared" si="73"/>
        <v>1</v>
      </c>
      <c r="T1575" s="102" t="str">
        <f>IF(TableRelationships12[[#This Row],[Rank Pedro]]="Low","linkCategory1",IF(TableRelationships12[[#This Row],[Rank Pedro]]="Medium","linkCategory2",IF(TableRelationships12[[#This Row],[Rank Pedro]]="High","linkCategory3","")))</f>
        <v/>
      </c>
      <c r="U1575" s="102" t="str">
        <f>IF(TableRelationships12[[#This Row],[Rank Pedro]]="Low","Pink",IF(TableRelationships12[[#This Row],[Rank Pedro]]="Medium","Purple",IF(TableRelationships12[[#This Row],[Rank Pedro]]="High","Brown","")))</f>
        <v/>
      </c>
      <c r="V1575" s="4" t="e">
        <f>MAX(INDEX(Standards!$F$2:$F$296,MATCH(B1575,Standards!$B$2:$B$296,0)),INDEX(Standards!$F$2:$F$296,MATCH(C1575,Standards!$B$2:$B$296,0)))</f>
        <v>#N/A</v>
      </c>
      <c r="W1575" t="str">
        <f t="shared" si="74"/>
        <v>#d6bf2a</v>
      </c>
    </row>
    <row r="1576" spans="1:23" x14ac:dyDescent="0.5">
      <c r="A1576" s="54">
        <v>1575</v>
      </c>
      <c r="B1576" s="90" t="s">
        <v>644</v>
      </c>
      <c r="C1576" t="s">
        <v>633</v>
      </c>
      <c r="D1576" s="1"/>
      <c r="E1576" s="112">
        <v>2010.06</v>
      </c>
      <c r="F1576" s="112">
        <v>2018.09</v>
      </c>
      <c r="G1576" s="107" t="s">
        <v>670</v>
      </c>
      <c r="H1576">
        <f>INDEX('GIS-Standards'!$A$2:$A$305,MATCH(B1576,'GIS-Standards'!$B$2:$B$305,0))</f>
        <v>71</v>
      </c>
      <c r="I1576">
        <f>INDEX('GIS-Standards'!$A$2:$A$305,MATCH(C1576,'GIS-Standards'!$B$2:$B$305,0))</f>
        <v>36</v>
      </c>
      <c r="J1576" t="str">
        <f>INDEX('GIS-Standards'!$O$2:$O$305,MATCH(B1576,'GIS-Standards'!$B$2:$B$305,0))</f>
        <v>ISO/TC 211</v>
      </c>
      <c r="K1576" t="str">
        <f>INDEX('GIS-Standards'!$O$2:$O$305,MATCH(C1576,'GIS-Standards'!$B$2:$B$305,0))</f>
        <v>ISO/TC 211</v>
      </c>
      <c r="M1576" t="s">
        <v>524</v>
      </c>
      <c r="N1576">
        <f>INDEX('GIS-Standards'!$I$2:$I$305,MATCH(B1576,'GIS-Standards'!$B$2:$B$305,0))</f>
        <v>0</v>
      </c>
      <c r="O1576">
        <f>INDEX('GIS-Standards'!$I$2:$I$305,MATCH(C1576,'GIS-Standards'!$B$2:$B$305,0))</f>
        <v>0</v>
      </c>
      <c r="P1576" t="b">
        <f>AND(TableRelationships12[[#This Row],[Source Type]]="BIM",TableRelationships12[[#This Row],[Target Type]]="BIM")</f>
        <v>0</v>
      </c>
      <c r="Q1576">
        <f t="shared" si="72"/>
        <v>6</v>
      </c>
      <c r="S1576">
        <f t="shared" si="73"/>
        <v>1</v>
      </c>
      <c r="T1576" s="102" t="str">
        <f>IF(TableRelationships12[[#This Row],[Rank Pedro]]="Low","linkCategory1",IF(TableRelationships12[[#This Row],[Rank Pedro]]="Medium","linkCategory2",IF(TableRelationships12[[#This Row],[Rank Pedro]]="High","linkCategory3","")))</f>
        <v/>
      </c>
      <c r="U1576" s="102" t="str">
        <f>IF(TableRelationships12[[#This Row],[Rank Pedro]]="Low","Pink",IF(TableRelationships12[[#This Row],[Rank Pedro]]="Medium","Purple",IF(TableRelationships12[[#This Row],[Rank Pedro]]="High","Brown","")))</f>
        <v/>
      </c>
      <c r="V1576" s="4" t="e">
        <f>MAX(INDEX(Standards!$F$2:$F$296,MATCH(B1576,Standards!$B$2:$B$296,0)),INDEX(Standards!$F$2:$F$296,MATCH(C1576,Standards!$B$2:$B$296,0)))</f>
        <v>#N/A</v>
      </c>
      <c r="W1576" t="str">
        <f t="shared" si="74"/>
        <v>#d6bf2a</v>
      </c>
    </row>
    <row r="1577" spans="1:23" x14ac:dyDescent="0.5">
      <c r="A1577" s="54">
        <v>1576</v>
      </c>
      <c r="B1577" s="90" t="s">
        <v>644</v>
      </c>
      <c r="C1577" t="s">
        <v>651</v>
      </c>
      <c r="D1577" s="1" t="s">
        <v>1676</v>
      </c>
      <c r="E1577" s="112">
        <v>2014.01</v>
      </c>
      <c r="F1577" s="112">
        <v>2014.01</v>
      </c>
      <c r="G1577" s="107" t="s">
        <v>670</v>
      </c>
      <c r="H1577">
        <f>INDEX('GIS-Standards'!$A$2:$A$305,MATCH(B1577,'GIS-Standards'!$B$2:$B$305,0))</f>
        <v>71</v>
      </c>
      <c r="I1577">
        <f>INDEX('GIS-Standards'!$A$2:$A$305,MATCH(C1577,'GIS-Standards'!$B$2:$B$305,0))</f>
        <v>100</v>
      </c>
      <c r="J1577" t="str">
        <f>INDEX('GIS-Standards'!$O$2:$O$305,MATCH(B1577,'GIS-Standards'!$B$2:$B$305,0))</f>
        <v>ISO/TC 211</v>
      </c>
      <c r="K1577" t="str">
        <f>INDEX('GIS-Standards'!$O$2:$O$305,MATCH(C1577,'GIS-Standards'!$B$2:$B$305,0))</f>
        <v>ISO/TC 211</v>
      </c>
      <c r="M1577" t="s">
        <v>524</v>
      </c>
      <c r="N1577">
        <f>INDEX('GIS-Standards'!$I$2:$I$305,MATCH(B1577,'GIS-Standards'!$B$2:$B$305,0))</f>
        <v>0</v>
      </c>
      <c r="O1577">
        <f>INDEX('GIS-Standards'!$I$2:$I$305,MATCH(C1577,'GIS-Standards'!$B$2:$B$305,0))</f>
        <v>0</v>
      </c>
      <c r="P1577" t="b">
        <f>AND(TableRelationships12[[#This Row],[Source Type]]="BIM",TableRelationships12[[#This Row],[Target Type]]="BIM")</f>
        <v>0</v>
      </c>
      <c r="Q1577">
        <f t="shared" si="72"/>
        <v>6</v>
      </c>
      <c r="S1577">
        <f t="shared" si="73"/>
        <v>1</v>
      </c>
      <c r="T1577" s="102" t="str">
        <f>IF(TableRelationships12[[#This Row],[Rank Pedro]]="Low","linkCategory1",IF(TableRelationships12[[#This Row],[Rank Pedro]]="Medium","linkCategory2",IF(TableRelationships12[[#This Row],[Rank Pedro]]="High","linkCategory3","")))</f>
        <v/>
      </c>
      <c r="U1577" s="102" t="str">
        <f>IF(TableRelationships12[[#This Row],[Rank Pedro]]="Low","Pink",IF(TableRelationships12[[#This Row],[Rank Pedro]]="Medium","Purple",IF(TableRelationships12[[#This Row],[Rank Pedro]]="High","Brown","")))</f>
        <v/>
      </c>
      <c r="V1577" s="4" t="e">
        <f>MAX(INDEX(Standards!$F$2:$F$296,MATCH(B1577,Standards!$B$2:$B$296,0)),INDEX(Standards!$F$2:$F$296,MATCH(C1577,Standards!$B$2:$B$296,0)))</f>
        <v>#N/A</v>
      </c>
      <c r="W1577" t="str">
        <f t="shared" si="74"/>
        <v>#d6bf2a</v>
      </c>
    </row>
    <row r="1578" spans="1:23" x14ac:dyDescent="0.5">
      <c r="A1578" s="54">
        <v>1577</v>
      </c>
      <c r="B1578" s="90" t="s">
        <v>644</v>
      </c>
      <c r="C1578" t="s">
        <v>348</v>
      </c>
      <c r="D1578" s="1"/>
      <c r="E1578" s="113">
        <v>2013.12</v>
      </c>
      <c r="F1578" s="113">
        <v>2023.04</v>
      </c>
      <c r="G1578" s="107" t="s">
        <v>670</v>
      </c>
      <c r="H1578">
        <f>INDEX('GIS-Standards'!$A$2:$A$305,MATCH(B1578,'GIS-Standards'!$B$2:$B$305,0))</f>
        <v>71</v>
      </c>
      <c r="I1578">
        <f>INDEX('GIS-Standards'!$A$2:$A$305,MATCH(C1578,'GIS-Standards'!$B$2:$B$305,0))</f>
        <v>66</v>
      </c>
      <c r="J1578" t="str">
        <f>INDEX('GIS-Standards'!$O$2:$O$305,MATCH(B1578,'GIS-Standards'!$B$2:$B$305,0))</f>
        <v>ISO/TC 211</v>
      </c>
      <c r="K1578" t="str">
        <f>INDEX('GIS-Standards'!$O$2:$O$305,MATCH(C1578,'GIS-Standards'!$B$2:$B$305,0))</f>
        <v>ISO/TC 211</v>
      </c>
      <c r="M1578" t="s">
        <v>524</v>
      </c>
      <c r="N1578">
        <f>INDEX('GIS-Standards'!$I$2:$I$305,MATCH(B1578,'GIS-Standards'!$B$2:$B$305,0))</f>
        <v>0</v>
      </c>
      <c r="O1578">
        <f>INDEX('GIS-Standards'!$I$2:$I$305,MATCH(C1578,'GIS-Standards'!$B$2:$B$305,0))</f>
        <v>0</v>
      </c>
      <c r="P1578" t="b">
        <f>AND(TableRelationships12[[#This Row],[Source Type]]="BIM",TableRelationships12[[#This Row],[Target Type]]="BIM")</f>
        <v>0</v>
      </c>
      <c r="Q1578">
        <f t="shared" si="72"/>
        <v>6</v>
      </c>
      <c r="S1578">
        <f t="shared" si="73"/>
        <v>1</v>
      </c>
      <c r="T1578" s="102" t="str">
        <f>IF(TableRelationships12[[#This Row],[Rank Pedro]]="Low","linkCategory1",IF(TableRelationships12[[#This Row],[Rank Pedro]]="Medium","linkCategory2",IF(TableRelationships12[[#This Row],[Rank Pedro]]="High","linkCategory3","")))</f>
        <v/>
      </c>
      <c r="U1578" s="102" t="str">
        <f>IF(TableRelationships12[[#This Row],[Rank Pedro]]="Low","Pink",IF(TableRelationships12[[#This Row],[Rank Pedro]]="Medium","Purple",IF(TableRelationships12[[#This Row],[Rank Pedro]]="High","Brown","")))</f>
        <v/>
      </c>
      <c r="V1578" s="4" t="e">
        <f>MAX(INDEX(Standards!$F$2:$F$296,MATCH(B1578,Standards!$B$2:$B$296,0)),INDEX(Standards!$F$2:$F$296,MATCH(C1578,Standards!$B$2:$B$296,0)))</f>
        <v>#N/A</v>
      </c>
      <c r="W1578" t="str">
        <f t="shared" si="74"/>
        <v>#d6bf2a</v>
      </c>
    </row>
    <row r="1579" spans="1:23" x14ac:dyDescent="0.5">
      <c r="A1579" s="54">
        <v>1578</v>
      </c>
      <c r="B1579" s="90" t="s">
        <v>644</v>
      </c>
      <c r="C1579" t="s">
        <v>1333</v>
      </c>
      <c r="D1579" s="1"/>
      <c r="E1579" s="112">
        <v>2016.12</v>
      </c>
      <c r="F1579" s="112">
        <v>2016.12</v>
      </c>
      <c r="G1579" s="107" t="s">
        <v>670</v>
      </c>
      <c r="H1579">
        <f>INDEX('GIS-Standards'!$A$2:$A$305,MATCH(B1579,'GIS-Standards'!$B$2:$B$305,0))</f>
        <v>71</v>
      </c>
      <c r="I1579" t="e">
        <f>INDEX('GIS-Standards'!$A$2:$A$305,MATCH(C1579,'GIS-Standards'!$B$2:$B$305,0))</f>
        <v>#N/A</v>
      </c>
      <c r="J1579" t="str">
        <f>INDEX('GIS-Standards'!$O$2:$O$305,MATCH(B1579,'GIS-Standards'!$B$2:$B$305,0))</f>
        <v>ISO/TC 211</v>
      </c>
      <c r="K1579" t="e">
        <f>INDEX('GIS-Standards'!$O$2:$O$305,MATCH(C1579,'GIS-Standards'!$B$2:$B$305,0))</f>
        <v>#N/A</v>
      </c>
      <c r="M1579" t="s">
        <v>524</v>
      </c>
      <c r="N1579">
        <f>INDEX('GIS-Standards'!$I$2:$I$305,MATCH(B1579,'GIS-Standards'!$B$2:$B$305,0))</f>
        <v>0</v>
      </c>
      <c r="O1579" t="e">
        <f>INDEX('GIS-Standards'!$I$2:$I$305,MATCH(C1579,'GIS-Standards'!$B$2:$B$305,0))</f>
        <v>#N/A</v>
      </c>
      <c r="P1579" t="e">
        <f>AND(TableRelationships12[[#This Row],[Source Type]]="BIM",TableRelationships12[[#This Row],[Target Type]]="BIM")</f>
        <v>#N/A</v>
      </c>
      <c r="Q1579">
        <f t="shared" si="72"/>
        <v>6</v>
      </c>
      <c r="S1579">
        <f t="shared" si="73"/>
        <v>1</v>
      </c>
      <c r="T1579" s="102" t="str">
        <f>IF(TableRelationships12[[#This Row],[Rank Pedro]]="Low","linkCategory1",IF(TableRelationships12[[#This Row],[Rank Pedro]]="Medium","linkCategory2",IF(TableRelationships12[[#This Row],[Rank Pedro]]="High","linkCategory3","")))</f>
        <v/>
      </c>
      <c r="U1579" s="102" t="str">
        <f>IF(TableRelationships12[[#This Row],[Rank Pedro]]="Low","Pink",IF(TableRelationships12[[#This Row],[Rank Pedro]]="Medium","Purple",IF(TableRelationships12[[#This Row],[Rank Pedro]]="High","Brown","")))</f>
        <v/>
      </c>
      <c r="V1579" s="4" t="e">
        <f>MAX(INDEX(Standards!$F$2:$F$296,MATCH(B1579,Standards!$B$2:$B$296,0)),INDEX(Standards!$F$2:$F$296,MATCH(C1579,Standards!$B$2:$B$296,0)))</f>
        <v>#N/A</v>
      </c>
      <c r="W1579" t="str">
        <f t="shared" si="74"/>
        <v>#d6bf2a</v>
      </c>
    </row>
    <row r="1580" spans="1:23" x14ac:dyDescent="0.5">
      <c r="A1580" s="54">
        <v>1579</v>
      </c>
      <c r="B1580" s="90" t="s">
        <v>644</v>
      </c>
      <c r="C1580" t="s">
        <v>658</v>
      </c>
      <c r="D1580" s="1"/>
      <c r="E1580" s="112">
        <v>2014.07</v>
      </c>
      <c r="F1580" s="112">
        <v>2014.07</v>
      </c>
      <c r="G1580" s="107" t="s">
        <v>670</v>
      </c>
      <c r="H1580">
        <f>INDEX('GIS-Standards'!$A$2:$A$305,MATCH(B1580,'GIS-Standards'!$B$2:$B$305,0))</f>
        <v>71</v>
      </c>
      <c r="I1580">
        <f>INDEX('GIS-Standards'!$A$2:$A$305,MATCH(C1580,'GIS-Standards'!$B$2:$B$305,0))</f>
        <v>107</v>
      </c>
      <c r="J1580" t="str">
        <f>INDEX('GIS-Standards'!$O$2:$O$305,MATCH(B1580,'GIS-Standards'!$B$2:$B$305,0))</f>
        <v>ISO/TC 211</v>
      </c>
      <c r="K1580" t="str">
        <f>INDEX('GIS-Standards'!$O$2:$O$305,MATCH(C1580,'GIS-Standards'!$B$2:$B$305,0))</f>
        <v>ISO/TC 211</v>
      </c>
      <c r="M1580" t="s">
        <v>524</v>
      </c>
      <c r="N1580">
        <f>INDEX('GIS-Standards'!$I$2:$I$305,MATCH(B1580,'GIS-Standards'!$B$2:$B$305,0))</f>
        <v>0</v>
      </c>
      <c r="O1580">
        <f>INDEX('GIS-Standards'!$I$2:$I$305,MATCH(C1580,'GIS-Standards'!$B$2:$B$305,0))</f>
        <v>0</v>
      </c>
      <c r="P1580" t="b">
        <f>AND(TableRelationships12[[#This Row],[Source Type]]="BIM",TableRelationships12[[#This Row],[Target Type]]="BIM")</f>
        <v>0</v>
      </c>
      <c r="Q1580">
        <f t="shared" si="72"/>
        <v>6</v>
      </c>
      <c r="S1580">
        <f t="shared" si="73"/>
        <v>1</v>
      </c>
      <c r="T1580" s="102" t="str">
        <f>IF(TableRelationships12[[#This Row],[Rank Pedro]]="Low","linkCategory1",IF(TableRelationships12[[#This Row],[Rank Pedro]]="Medium","linkCategory2",IF(TableRelationships12[[#This Row],[Rank Pedro]]="High","linkCategory3","")))</f>
        <v/>
      </c>
      <c r="U1580" s="102" t="str">
        <f>IF(TableRelationships12[[#This Row],[Rank Pedro]]="Low","Pink",IF(TableRelationships12[[#This Row],[Rank Pedro]]="Medium","Purple",IF(TableRelationships12[[#This Row],[Rank Pedro]]="High","Brown","")))</f>
        <v/>
      </c>
      <c r="V1580" s="4" t="e">
        <f>MAX(INDEX(Standards!$F$2:$F$296,MATCH(B1580,Standards!$B$2:$B$296,0)),INDEX(Standards!$F$2:$F$296,MATCH(C1580,Standards!$B$2:$B$296,0)))</f>
        <v>#N/A</v>
      </c>
      <c r="W1580" t="str">
        <f t="shared" si="74"/>
        <v>#d6bf2a</v>
      </c>
    </row>
    <row r="1581" spans="1:23" x14ac:dyDescent="0.5">
      <c r="A1581" s="54">
        <v>1580</v>
      </c>
      <c r="B1581" s="90" t="s">
        <v>644</v>
      </c>
      <c r="C1581" t="s">
        <v>659</v>
      </c>
      <c r="D1581" s="1"/>
      <c r="E1581" s="112">
        <v>2016.04</v>
      </c>
      <c r="F1581" s="112">
        <v>2016.04</v>
      </c>
      <c r="G1581" s="107" t="s">
        <v>670</v>
      </c>
      <c r="H1581">
        <f>INDEX('GIS-Standards'!$A$2:$A$305,MATCH(B1581,'GIS-Standards'!$B$2:$B$305,0))</f>
        <v>71</v>
      </c>
      <c r="I1581">
        <f>INDEX('GIS-Standards'!$A$2:$A$305,MATCH(C1581,'GIS-Standards'!$B$2:$B$305,0))</f>
        <v>108</v>
      </c>
      <c r="J1581" t="str">
        <f>INDEX('GIS-Standards'!$O$2:$O$305,MATCH(B1581,'GIS-Standards'!$B$2:$B$305,0))</f>
        <v>ISO/TC 211</v>
      </c>
      <c r="K1581" t="str">
        <f>INDEX('GIS-Standards'!$O$2:$O$305,MATCH(C1581,'GIS-Standards'!$B$2:$B$305,0))</f>
        <v>ISO/TC 211</v>
      </c>
      <c r="M1581" t="s">
        <v>524</v>
      </c>
      <c r="N1581">
        <f>INDEX('GIS-Standards'!$I$2:$I$305,MATCH(B1581,'GIS-Standards'!$B$2:$B$305,0))</f>
        <v>0</v>
      </c>
      <c r="O1581">
        <f>INDEX('GIS-Standards'!$I$2:$I$305,MATCH(C1581,'GIS-Standards'!$B$2:$B$305,0))</f>
        <v>0</v>
      </c>
      <c r="P1581" t="b">
        <f>AND(TableRelationships12[[#This Row],[Source Type]]="BIM",TableRelationships12[[#This Row],[Target Type]]="BIM")</f>
        <v>0</v>
      </c>
      <c r="Q1581">
        <f t="shared" si="72"/>
        <v>6</v>
      </c>
      <c r="S1581">
        <f t="shared" si="73"/>
        <v>1</v>
      </c>
      <c r="T1581" s="102" t="str">
        <f>IF(TableRelationships12[[#This Row],[Rank Pedro]]="Low","linkCategory1",IF(TableRelationships12[[#This Row],[Rank Pedro]]="Medium","linkCategory2",IF(TableRelationships12[[#This Row],[Rank Pedro]]="High","linkCategory3","")))</f>
        <v/>
      </c>
      <c r="U1581" s="102" t="str">
        <f>IF(TableRelationships12[[#This Row],[Rank Pedro]]="Low","Pink",IF(TableRelationships12[[#This Row],[Rank Pedro]]="Medium","Purple",IF(TableRelationships12[[#This Row],[Rank Pedro]]="High","Brown","")))</f>
        <v/>
      </c>
      <c r="V1581" s="4" t="e">
        <f>MAX(INDEX(Standards!$F$2:$F$296,MATCH(B1581,Standards!$B$2:$B$296,0)),INDEX(Standards!$F$2:$F$296,MATCH(C1581,Standards!$B$2:$B$296,0)))</f>
        <v>#N/A</v>
      </c>
      <c r="W1581" t="str">
        <f t="shared" si="74"/>
        <v>#d6bf2a</v>
      </c>
    </row>
    <row r="1582" spans="1:23" x14ac:dyDescent="0.5">
      <c r="A1582" s="54">
        <v>1581</v>
      </c>
      <c r="B1582" s="90" t="s">
        <v>644</v>
      </c>
      <c r="C1582" t="s">
        <v>660</v>
      </c>
      <c r="D1582" s="1"/>
      <c r="E1582" s="112">
        <v>2018.05</v>
      </c>
      <c r="F1582" s="112">
        <v>2018.05</v>
      </c>
      <c r="G1582" s="107" t="s">
        <v>670</v>
      </c>
      <c r="H1582">
        <f>INDEX('GIS-Standards'!$A$2:$A$305,MATCH(B1582,'GIS-Standards'!$B$2:$B$305,0))</f>
        <v>71</v>
      </c>
      <c r="I1582">
        <f>INDEX('GIS-Standards'!$A$2:$A$305,MATCH(C1582,'GIS-Standards'!$B$2:$B$305,0))</f>
        <v>109</v>
      </c>
      <c r="J1582" t="str">
        <f>INDEX('GIS-Standards'!$O$2:$O$305,MATCH(B1582,'GIS-Standards'!$B$2:$B$305,0))</f>
        <v>ISO/TC 211</v>
      </c>
      <c r="K1582" t="str">
        <f>INDEX('GIS-Standards'!$O$2:$O$305,MATCH(C1582,'GIS-Standards'!$B$2:$B$305,0))</f>
        <v>ISO/TC 211</v>
      </c>
      <c r="M1582" t="s">
        <v>524</v>
      </c>
      <c r="N1582">
        <f>INDEX('GIS-Standards'!$I$2:$I$305,MATCH(B1582,'GIS-Standards'!$B$2:$B$305,0))</f>
        <v>0</v>
      </c>
      <c r="O1582">
        <f>INDEX('GIS-Standards'!$I$2:$I$305,MATCH(C1582,'GIS-Standards'!$B$2:$B$305,0))</f>
        <v>0</v>
      </c>
      <c r="P1582" t="b">
        <f>AND(TableRelationships12[[#This Row],[Source Type]]="BIM",TableRelationships12[[#This Row],[Target Type]]="BIM")</f>
        <v>0</v>
      </c>
      <c r="Q1582">
        <f t="shared" si="72"/>
        <v>6</v>
      </c>
      <c r="S1582">
        <f t="shared" si="73"/>
        <v>1</v>
      </c>
      <c r="T1582" s="102" t="str">
        <f>IF(TableRelationships12[[#This Row],[Rank Pedro]]="Low","linkCategory1",IF(TableRelationships12[[#This Row],[Rank Pedro]]="Medium","linkCategory2",IF(TableRelationships12[[#This Row],[Rank Pedro]]="High","linkCategory3","")))</f>
        <v/>
      </c>
      <c r="U1582" s="102" t="str">
        <f>IF(TableRelationships12[[#This Row],[Rank Pedro]]="Low","Pink",IF(TableRelationships12[[#This Row],[Rank Pedro]]="Medium","Purple",IF(TableRelationships12[[#This Row],[Rank Pedro]]="High","Brown","")))</f>
        <v/>
      </c>
      <c r="V1582" s="4" t="e">
        <f>MAX(INDEX(Standards!$F$2:$F$296,MATCH(B1582,Standards!$B$2:$B$296,0)),INDEX(Standards!$F$2:$F$296,MATCH(C1582,Standards!$B$2:$B$296,0)))</f>
        <v>#N/A</v>
      </c>
      <c r="W1582" t="str">
        <f t="shared" si="74"/>
        <v>#d6bf2a</v>
      </c>
    </row>
    <row r="1583" spans="1:23" x14ac:dyDescent="0.5">
      <c r="A1583" s="54">
        <v>1582</v>
      </c>
      <c r="B1583" s="90" t="s">
        <v>644</v>
      </c>
      <c r="C1583" t="s">
        <v>643</v>
      </c>
      <c r="D1583" s="1"/>
      <c r="E1583" s="112">
        <v>2018.05</v>
      </c>
      <c r="F1583" s="112">
        <v>2018.05</v>
      </c>
      <c r="G1583" s="107" t="s">
        <v>670</v>
      </c>
      <c r="H1583">
        <f>INDEX('GIS-Standards'!$A$2:$A$305,MATCH(B1583,'GIS-Standards'!$B$2:$B$305,0))</f>
        <v>71</v>
      </c>
      <c r="I1583">
        <f>INDEX('GIS-Standards'!$A$2:$A$305,MATCH(C1583,'GIS-Standards'!$B$2:$B$305,0))</f>
        <v>70</v>
      </c>
      <c r="J1583" t="str">
        <f>INDEX('GIS-Standards'!$O$2:$O$305,MATCH(B1583,'GIS-Standards'!$B$2:$B$305,0))</f>
        <v>ISO/TC 211</v>
      </c>
      <c r="K1583" t="str">
        <f>INDEX('GIS-Standards'!$O$2:$O$305,MATCH(C1583,'GIS-Standards'!$B$2:$B$305,0))</f>
        <v>ISO/TC 211</v>
      </c>
      <c r="M1583" t="s">
        <v>524</v>
      </c>
      <c r="N1583">
        <f>INDEX('GIS-Standards'!$I$2:$I$305,MATCH(B1583,'GIS-Standards'!$B$2:$B$305,0))</f>
        <v>0</v>
      </c>
      <c r="O1583">
        <f>INDEX('GIS-Standards'!$I$2:$I$305,MATCH(C1583,'GIS-Standards'!$B$2:$B$305,0))</f>
        <v>0</v>
      </c>
      <c r="P1583" t="b">
        <f>AND(TableRelationships12[[#This Row],[Source Type]]="BIM",TableRelationships12[[#This Row],[Target Type]]="BIM")</f>
        <v>0</v>
      </c>
      <c r="Q1583">
        <f t="shared" si="72"/>
        <v>6</v>
      </c>
      <c r="S1583">
        <f t="shared" si="73"/>
        <v>1</v>
      </c>
      <c r="T1583" s="102" t="str">
        <f>IF(TableRelationships12[[#This Row],[Rank Pedro]]="Low","linkCategory1",IF(TableRelationships12[[#This Row],[Rank Pedro]]="Medium","linkCategory2",IF(TableRelationships12[[#This Row],[Rank Pedro]]="High","linkCategory3","")))</f>
        <v/>
      </c>
      <c r="U1583" s="102" t="str">
        <f>IF(TableRelationships12[[#This Row],[Rank Pedro]]="Low","Pink",IF(TableRelationships12[[#This Row],[Rank Pedro]]="Medium","Purple",IF(TableRelationships12[[#This Row],[Rank Pedro]]="High","Brown","")))</f>
        <v/>
      </c>
      <c r="V1583" s="4" t="e">
        <f>MAX(INDEX(Standards!$F$2:$F$296,MATCH(B1583,Standards!$B$2:$B$296,0)),INDEX(Standards!$F$2:$F$296,MATCH(C1583,Standards!$B$2:$B$296,0)))</f>
        <v>#N/A</v>
      </c>
      <c r="W1583" t="str">
        <f t="shared" si="74"/>
        <v>#d6bf2a</v>
      </c>
    </row>
    <row r="1584" spans="1:23" x14ac:dyDescent="0.5">
      <c r="A1584" s="54">
        <v>1583</v>
      </c>
      <c r="B1584" s="90" t="s">
        <v>644</v>
      </c>
      <c r="C1584" t="s">
        <v>1253</v>
      </c>
      <c r="D1584" s="1"/>
      <c r="E1584" s="112">
        <v>2012.09</v>
      </c>
      <c r="F1584" s="112">
        <v>2025.03</v>
      </c>
      <c r="G1584" s="107" t="s">
        <v>1455</v>
      </c>
      <c r="H1584">
        <f>INDEX('GIS-Standards'!$A$2:$A$305,MATCH(B1584,'GIS-Standards'!$B$2:$B$305,0))</f>
        <v>71</v>
      </c>
      <c r="I1584" t="e">
        <f>INDEX('GIS-Standards'!$A$2:$A$305,MATCH(C1584,'GIS-Standards'!$B$2:$B$305,0))</f>
        <v>#N/A</v>
      </c>
      <c r="J1584" t="str">
        <f>INDEX('GIS-Standards'!$O$2:$O$305,MATCH(B1584,'GIS-Standards'!$B$2:$B$305,0))</f>
        <v>ISO/TC 211</v>
      </c>
      <c r="K1584" t="e">
        <f>INDEX('GIS-Standards'!$O$2:$O$305,MATCH(C1584,'GIS-Standards'!$B$2:$B$305,0))</f>
        <v>#N/A</v>
      </c>
      <c r="M1584" t="s">
        <v>525</v>
      </c>
      <c r="N1584">
        <f>INDEX('GIS-Standards'!$I$2:$I$305,MATCH(B1584,'GIS-Standards'!$B$2:$B$305,0))</f>
        <v>0</v>
      </c>
      <c r="O1584" t="e">
        <f>INDEX('GIS-Standards'!$I$2:$I$305,MATCH(C1584,'GIS-Standards'!$B$2:$B$305,0))</f>
        <v>#N/A</v>
      </c>
      <c r="P1584" t="e">
        <f>AND(TableRelationships12[[#This Row],[Source Type]]="BIM",TableRelationships12[[#This Row],[Target Type]]="BIM")</f>
        <v>#N/A</v>
      </c>
      <c r="Q1584">
        <f t="shared" si="72"/>
        <v>1</v>
      </c>
      <c r="S1584">
        <f t="shared" si="73"/>
        <v>1</v>
      </c>
      <c r="T1584" s="102" t="str">
        <f>IF(TableRelationships12[[#This Row],[Rank Pedro]]="Low","linkCategory1",IF(TableRelationships12[[#This Row],[Rank Pedro]]="Medium","linkCategory2",IF(TableRelationships12[[#This Row],[Rank Pedro]]="High","linkCategory3","")))</f>
        <v/>
      </c>
      <c r="U1584" s="102" t="str">
        <f>IF(TableRelationships12[[#This Row],[Rank Pedro]]="Low","Pink",IF(TableRelationships12[[#This Row],[Rank Pedro]]="Medium","Purple",IF(TableRelationships12[[#This Row],[Rank Pedro]]="High","Brown","")))</f>
        <v/>
      </c>
      <c r="V1584" s="4" t="e">
        <f>MAX(INDEX(Standards!$F$2:$F$296,MATCH(B1584,Standards!$B$2:$B$296,0)),INDEX(Standards!$F$2:$F$296,MATCH(C1584,Standards!$B$2:$B$296,0)))</f>
        <v>#N/A</v>
      </c>
      <c r="W1584" t="str">
        <f t="shared" si="74"/>
        <v>#2f89d1</v>
      </c>
    </row>
    <row r="1585" spans="1:23" x14ac:dyDescent="0.5">
      <c r="A1585" s="54">
        <v>1584</v>
      </c>
      <c r="B1585" s="90" t="s">
        <v>644</v>
      </c>
      <c r="C1585" t="s">
        <v>1330</v>
      </c>
      <c r="D1585" s="1"/>
      <c r="E1585" s="112">
        <v>2012.02</v>
      </c>
      <c r="F1585" s="112">
        <v>2025.03</v>
      </c>
      <c r="G1585" s="107" t="s">
        <v>1455</v>
      </c>
      <c r="H1585">
        <f>INDEX('GIS-Standards'!$A$2:$A$305,MATCH(B1585,'GIS-Standards'!$B$2:$B$305,0))</f>
        <v>71</v>
      </c>
      <c r="I1585" t="e">
        <f>INDEX('GIS-Standards'!$A$2:$A$305,MATCH(C1585,'GIS-Standards'!$B$2:$B$305,0))</f>
        <v>#N/A</v>
      </c>
      <c r="J1585" t="str">
        <f>INDEX('GIS-Standards'!$O$2:$O$305,MATCH(B1585,'GIS-Standards'!$B$2:$B$305,0))</f>
        <v>ISO/TC 211</v>
      </c>
      <c r="K1585" t="e">
        <f>INDEX('GIS-Standards'!$O$2:$O$305,MATCH(C1585,'GIS-Standards'!$B$2:$B$305,0))</f>
        <v>#N/A</v>
      </c>
      <c r="M1585" t="s">
        <v>525</v>
      </c>
      <c r="N1585">
        <f>INDEX('GIS-Standards'!$I$2:$I$305,MATCH(B1585,'GIS-Standards'!$B$2:$B$305,0))</f>
        <v>0</v>
      </c>
      <c r="O1585" t="e">
        <f>INDEX('GIS-Standards'!$I$2:$I$305,MATCH(C1585,'GIS-Standards'!$B$2:$B$305,0))</f>
        <v>#N/A</v>
      </c>
      <c r="P1585" t="e">
        <f>AND(TableRelationships12[[#This Row],[Source Type]]="BIM",TableRelationships12[[#This Row],[Target Type]]="BIM")</f>
        <v>#N/A</v>
      </c>
      <c r="Q1585">
        <f t="shared" si="72"/>
        <v>1</v>
      </c>
      <c r="S1585">
        <f t="shared" si="73"/>
        <v>1</v>
      </c>
      <c r="T1585" s="102" t="str">
        <f>IF(TableRelationships12[[#This Row],[Rank Pedro]]="Low","linkCategory1",IF(TableRelationships12[[#This Row],[Rank Pedro]]="Medium","linkCategory2",IF(TableRelationships12[[#This Row],[Rank Pedro]]="High","linkCategory3","")))</f>
        <v/>
      </c>
      <c r="U1585" s="102" t="str">
        <f>IF(TableRelationships12[[#This Row],[Rank Pedro]]="Low","Pink",IF(TableRelationships12[[#This Row],[Rank Pedro]]="Medium","Purple",IF(TableRelationships12[[#This Row],[Rank Pedro]]="High","Brown","")))</f>
        <v/>
      </c>
      <c r="V1585" s="4" t="e">
        <f>MAX(INDEX(Standards!$F$2:$F$296,MATCH(B1585,Standards!$B$2:$B$296,0)),INDEX(Standards!$F$2:$F$296,MATCH(C1585,Standards!$B$2:$B$296,0)))</f>
        <v>#N/A</v>
      </c>
      <c r="W1585" t="str">
        <f t="shared" si="74"/>
        <v>#2f89d1</v>
      </c>
    </row>
    <row r="1586" spans="1:23" x14ac:dyDescent="0.5">
      <c r="A1586" s="54">
        <v>1585</v>
      </c>
      <c r="B1586" s="90" t="s">
        <v>644</v>
      </c>
      <c r="C1586" t="s">
        <v>1334</v>
      </c>
      <c r="D1586" s="1"/>
      <c r="E1586" s="112">
        <v>2014.11</v>
      </c>
      <c r="F1586" s="112">
        <v>2025.03</v>
      </c>
      <c r="G1586" s="107" t="s">
        <v>1460</v>
      </c>
      <c r="H1586">
        <f>INDEX('GIS-Standards'!$A$2:$A$305,MATCH(B1586,'GIS-Standards'!$B$2:$B$305,0))</f>
        <v>71</v>
      </c>
      <c r="I1586" t="e">
        <f>INDEX('GIS-Standards'!$A$2:$A$305,MATCH(C1586,'GIS-Standards'!$B$2:$B$305,0))</f>
        <v>#N/A</v>
      </c>
      <c r="J1586" t="str">
        <f>INDEX('GIS-Standards'!$O$2:$O$305,MATCH(B1586,'GIS-Standards'!$B$2:$B$305,0))</f>
        <v>ISO/TC 211</v>
      </c>
      <c r="K1586" t="e">
        <f>INDEX('GIS-Standards'!$O$2:$O$305,MATCH(C1586,'GIS-Standards'!$B$2:$B$305,0))</f>
        <v>#N/A</v>
      </c>
      <c r="M1586" t="s">
        <v>525</v>
      </c>
      <c r="N1586">
        <f>INDEX('GIS-Standards'!$I$2:$I$305,MATCH(B1586,'GIS-Standards'!$B$2:$B$305,0))</f>
        <v>0</v>
      </c>
      <c r="O1586" t="e">
        <f>INDEX('GIS-Standards'!$I$2:$I$305,MATCH(C1586,'GIS-Standards'!$B$2:$B$305,0))</f>
        <v>#N/A</v>
      </c>
      <c r="P1586" t="e">
        <f>AND(TableRelationships12[[#This Row],[Source Type]]="BIM",TableRelationships12[[#This Row],[Target Type]]="BIM")</f>
        <v>#N/A</v>
      </c>
      <c r="Q1586">
        <f t="shared" si="72"/>
        <v>1</v>
      </c>
      <c r="S1586">
        <f t="shared" si="73"/>
        <v>1</v>
      </c>
      <c r="T1586" s="102" t="str">
        <f>IF(TableRelationships12[[#This Row],[Rank Pedro]]="Low","linkCategory1",IF(TableRelationships12[[#This Row],[Rank Pedro]]="Medium","linkCategory2",IF(TableRelationships12[[#This Row],[Rank Pedro]]="High","linkCategory3","")))</f>
        <v/>
      </c>
      <c r="U1586" s="102" t="str">
        <f>IF(TableRelationships12[[#This Row],[Rank Pedro]]="Low","Pink",IF(TableRelationships12[[#This Row],[Rank Pedro]]="Medium","Purple",IF(TableRelationships12[[#This Row],[Rank Pedro]]="High","Brown","")))</f>
        <v/>
      </c>
      <c r="V1586" s="4" t="e">
        <f>MAX(INDEX(Standards!$F$2:$F$296,MATCH(B1586,Standards!$B$2:$B$296,0)),INDEX(Standards!$F$2:$F$296,MATCH(C1586,Standards!$B$2:$B$296,0)))</f>
        <v>#N/A</v>
      </c>
      <c r="W1586" t="str">
        <f t="shared" si="74"/>
        <v>#2f89d1</v>
      </c>
    </row>
    <row r="1587" spans="1:23" x14ac:dyDescent="0.5">
      <c r="A1587" s="54">
        <v>1586</v>
      </c>
      <c r="B1587" s="90" t="s">
        <v>644</v>
      </c>
      <c r="C1587" t="s">
        <v>328</v>
      </c>
      <c r="D1587" s="1"/>
      <c r="E1587" s="112">
        <v>2007.04</v>
      </c>
      <c r="F1587" s="112">
        <v>2022.11</v>
      </c>
      <c r="G1587" s="107" t="s">
        <v>670</v>
      </c>
      <c r="H1587">
        <f>INDEX('GIS-Standards'!$A$2:$A$305,MATCH(B1587,'GIS-Standards'!$B$2:$B$305,0))</f>
        <v>71</v>
      </c>
      <c r="I1587">
        <f>INDEX('GIS-Standards'!$A$2:$A$305,MATCH(C1587,'GIS-Standards'!$B$2:$B$305,0))</f>
        <v>37</v>
      </c>
      <c r="J1587" t="str">
        <f>INDEX('GIS-Standards'!$O$2:$O$305,MATCH(B1587,'GIS-Standards'!$B$2:$B$305,0))</f>
        <v>ISO/TC 211</v>
      </c>
      <c r="K1587" t="str">
        <f>INDEX('GIS-Standards'!$O$2:$O$305,MATCH(C1587,'GIS-Standards'!$B$2:$B$305,0))</f>
        <v>ISO/TC 211</v>
      </c>
      <c r="M1587" t="s">
        <v>525</v>
      </c>
      <c r="N1587">
        <f>INDEX('GIS-Standards'!$I$2:$I$305,MATCH(B1587,'GIS-Standards'!$B$2:$B$305,0))</f>
        <v>0</v>
      </c>
      <c r="O1587">
        <f>INDEX('GIS-Standards'!$I$2:$I$305,MATCH(C1587,'GIS-Standards'!$B$2:$B$305,0))</f>
        <v>0</v>
      </c>
      <c r="P1587" t="b">
        <f>AND(TableRelationships12[[#This Row],[Source Type]]="BIM",TableRelationships12[[#This Row],[Target Type]]="BIM")</f>
        <v>0</v>
      </c>
      <c r="Q1587">
        <f t="shared" si="72"/>
        <v>1</v>
      </c>
      <c r="S1587">
        <f t="shared" si="73"/>
        <v>1</v>
      </c>
      <c r="T1587" s="102" t="str">
        <f>IF(TableRelationships12[[#This Row],[Rank Pedro]]="Low","linkCategory1",IF(TableRelationships12[[#This Row],[Rank Pedro]]="Medium","linkCategory2",IF(TableRelationships12[[#This Row],[Rank Pedro]]="High","linkCategory3","")))</f>
        <v/>
      </c>
      <c r="U1587" s="102" t="str">
        <f>IF(TableRelationships12[[#This Row],[Rank Pedro]]="Low","Pink",IF(TableRelationships12[[#This Row],[Rank Pedro]]="Medium","Purple",IF(TableRelationships12[[#This Row],[Rank Pedro]]="High","Brown","")))</f>
        <v/>
      </c>
      <c r="V1587" s="4" t="e">
        <f>MAX(INDEX(Standards!$F$2:$F$296,MATCH(B1587,Standards!$B$2:$B$296,0)),INDEX(Standards!$F$2:$F$296,MATCH(C1587,Standards!$B$2:$B$296,0)))</f>
        <v>#N/A</v>
      </c>
      <c r="W1587" t="str">
        <f t="shared" si="74"/>
        <v>#2f89d1</v>
      </c>
    </row>
    <row r="1588" spans="1:23" x14ac:dyDescent="0.5">
      <c r="A1588" s="54">
        <v>1587</v>
      </c>
      <c r="B1588" s="90" t="s">
        <v>644</v>
      </c>
      <c r="C1588" t="s">
        <v>1335</v>
      </c>
      <c r="D1588" s="1"/>
      <c r="G1588" s="107"/>
      <c r="H1588">
        <f>INDEX('GIS-Standards'!$A$2:$A$305,MATCH(B1588,'GIS-Standards'!$B$2:$B$305,0))</f>
        <v>71</v>
      </c>
      <c r="I1588" t="e">
        <f>INDEX('GIS-Standards'!$A$2:$A$305,MATCH(C1588,'GIS-Standards'!$B$2:$B$305,0))</f>
        <v>#N/A</v>
      </c>
      <c r="J1588" t="str">
        <f>INDEX('GIS-Standards'!$O$2:$O$305,MATCH(B1588,'GIS-Standards'!$B$2:$B$305,0))</f>
        <v>ISO/TC 211</v>
      </c>
      <c r="K1588" t="e">
        <f>INDEX('GIS-Standards'!$O$2:$O$305,MATCH(C1588,'GIS-Standards'!$B$2:$B$305,0))</f>
        <v>#N/A</v>
      </c>
      <c r="M1588" t="s">
        <v>525</v>
      </c>
      <c r="N1588">
        <f>INDEX('GIS-Standards'!$I$2:$I$305,MATCH(B1588,'GIS-Standards'!$B$2:$B$305,0))</f>
        <v>0</v>
      </c>
      <c r="O1588" t="e">
        <f>INDEX('GIS-Standards'!$I$2:$I$305,MATCH(C1588,'GIS-Standards'!$B$2:$B$305,0))</f>
        <v>#N/A</v>
      </c>
      <c r="P1588" t="e">
        <f>AND(TableRelationships12[[#This Row],[Source Type]]="BIM",TableRelationships12[[#This Row],[Target Type]]="BIM")</f>
        <v>#N/A</v>
      </c>
      <c r="Q1588">
        <f t="shared" si="72"/>
        <v>1</v>
      </c>
      <c r="S1588">
        <f t="shared" si="73"/>
        <v>1</v>
      </c>
      <c r="T1588" s="102" t="str">
        <f>IF(TableRelationships12[[#This Row],[Rank Pedro]]="Low","linkCategory1",IF(TableRelationships12[[#This Row],[Rank Pedro]]="Medium","linkCategory2",IF(TableRelationships12[[#This Row],[Rank Pedro]]="High","linkCategory3","")))</f>
        <v/>
      </c>
      <c r="U1588" s="102" t="str">
        <f>IF(TableRelationships12[[#This Row],[Rank Pedro]]="Low","Pink",IF(TableRelationships12[[#This Row],[Rank Pedro]]="Medium","Purple",IF(TableRelationships12[[#This Row],[Rank Pedro]]="High","Brown","")))</f>
        <v/>
      </c>
      <c r="V1588" s="4" t="e">
        <f>MAX(INDEX(Standards!$F$2:$F$296,MATCH(B1588,Standards!$B$2:$B$296,0)),INDEX(Standards!$F$2:$F$296,MATCH(C1588,Standards!$B$2:$B$296,0)))</f>
        <v>#N/A</v>
      </c>
      <c r="W1588" t="str">
        <f t="shared" si="74"/>
        <v>#2f89d1</v>
      </c>
    </row>
    <row r="1589" spans="1:23" x14ac:dyDescent="0.5">
      <c r="A1589" s="54">
        <v>1588</v>
      </c>
      <c r="B1589" s="90" t="s">
        <v>644</v>
      </c>
      <c r="C1589" t="s">
        <v>1531</v>
      </c>
      <c r="D1589" s="1"/>
      <c r="G1589" s="107"/>
      <c r="H1589">
        <f>INDEX('GIS-Standards'!$A$2:$A$305,MATCH(B1589,'GIS-Standards'!$B$2:$B$305,0))</f>
        <v>71</v>
      </c>
      <c r="I1589" t="e">
        <f>INDEX('GIS-Standards'!$A$2:$A$305,MATCH(C1589,'GIS-Standards'!$B$2:$B$305,0))</f>
        <v>#N/A</v>
      </c>
      <c r="J1589" t="str">
        <f>INDEX('GIS-Standards'!$O$2:$O$305,MATCH(B1589,'GIS-Standards'!$B$2:$B$305,0))</f>
        <v>ISO/TC 211</v>
      </c>
      <c r="K1589" t="e">
        <f>INDEX('GIS-Standards'!$O$2:$O$305,MATCH(C1589,'GIS-Standards'!$B$2:$B$305,0))</f>
        <v>#N/A</v>
      </c>
      <c r="M1589" t="s">
        <v>525</v>
      </c>
      <c r="N1589">
        <f>INDEX('GIS-Standards'!$I$2:$I$305,MATCH(B1589,'GIS-Standards'!$B$2:$B$305,0))</f>
        <v>0</v>
      </c>
      <c r="O1589" t="e">
        <f>INDEX('GIS-Standards'!$I$2:$I$305,MATCH(C1589,'GIS-Standards'!$B$2:$B$305,0))</f>
        <v>#N/A</v>
      </c>
      <c r="P1589" t="e">
        <f>AND(TableRelationships12[[#This Row],[Source Type]]="BIM",TableRelationships12[[#This Row],[Target Type]]="BIM")</f>
        <v>#N/A</v>
      </c>
      <c r="Q1589">
        <f t="shared" si="72"/>
        <v>1</v>
      </c>
      <c r="S1589">
        <f t="shared" si="73"/>
        <v>1</v>
      </c>
      <c r="T1589" s="102" t="str">
        <f>IF(TableRelationships12[[#This Row],[Rank Pedro]]="Low","linkCategory1",IF(TableRelationships12[[#This Row],[Rank Pedro]]="Medium","linkCategory2",IF(TableRelationships12[[#This Row],[Rank Pedro]]="High","linkCategory3","")))</f>
        <v/>
      </c>
      <c r="U1589" s="102" t="str">
        <f>IF(TableRelationships12[[#This Row],[Rank Pedro]]="Low","Pink",IF(TableRelationships12[[#This Row],[Rank Pedro]]="Medium","Purple",IF(TableRelationships12[[#This Row],[Rank Pedro]]="High","Brown","")))</f>
        <v/>
      </c>
      <c r="V1589" s="4" t="e">
        <f>MAX(INDEX(Standards!$F$2:$F$296,MATCH(B1589,Standards!$B$2:$B$296,0)),INDEX(Standards!$F$2:$F$296,MATCH(C1589,Standards!$B$2:$B$296,0)))</f>
        <v>#N/A</v>
      </c>
      <c r="W1589" t="str">
        <f t="shared" si="74"/>
        <v>#2f89d1</v>
      </c>
    </row>
    <row r="1590" spans="1:23" x14ac:dyDescent="0.5">
      <c r="A1590" s="54">
        <v>1589</v>
      </c>
      <c r="B1590" s="90" t="s">
        <v>644</v>
      </c>
      <c r="C1590" t="s">
        <v>1336</v>
      </c>
      <c r="D1590" s="1"/>
      <c r="G1590" s="107"/>
      <c r="H1590">
        <f>INDEX('GIS-Standards'!$A$2:$A$305,MATCH(B1590,'GIS-Standards'!$B$2:$B$305,0))</f>
        <v>71</v>
      </c>
      <c r="I1590" t="e">
        <f>INDEX('GIS-Standards'!$A$2:$A$305,MATCH(C1590,'GIS-Standards'!$B$2:$B$305,0))</f>
        <v>#N/A</v>
      </c>
      <c r="J1590" t="str">
        <f>INDEX('GIS-Standards'!$O$2:$O$305,MATCH(B1590,'GIS-Standards'!$B$2:$B$305,0))</f>
        <v>ISO/TC 211</v>
      </c>
      <c r="K1590" t="e">
        <f>INDEX('GIS-Standards'!$O$2:$O$305,MATCH(C1590,'GIS-Standards'!$B$2:$B$305,0))</f>
        <v>#N/A</v>
      </c>
      <c r="M1590" t="s">
        <v>525</v>
      </c>
      <c r="N1590">
        <f>INDEX('GIS-Standards'!$I$2:$I$305,MATCH(B1590,'GIS-Standards'!$B$2:$B$305,0))</f>
        <v>0</v>
      </c>
      <c r="O1590" t="e">
        <f>INDEX('GIS-Standards'!$I$2:$I$305,MATCH(C1590,'GIS-Standards'!$B$2:$B$305,0))</f>
        <v>#N/A</v>
      </c>
      <c r="P1590" t="e">
        <f>AND(TableRelationships12[[#This Row],[Source Type]]="BIM",TableRelationships12[[#This Row],[Target Type]]="BIM")</f>
        <v>#N/A</v>
      </c>
      <c r="Q1590">
        <f t="shared" si="72"/>
        <v>1</v>
      </c>
      <c r="S1590">
        <f t="shared" si="73"/>
        <v>1</v>
      </c>
      <c r="T1590" s="102" t="str">
        <f>IF(TableRelationships12[[#This Row],[Rank Pedro]]="Low","linkCategory1",IF(TableRelationships12[[#This Row],[Rank Pedro]]="Medium","linkCategory2",IF(TableRelationships12[[#This Row],[Rank Pedro]]="High","linkCategory3","")))</f>
        <v/>
      </c>
      <c r="U1590" s="102" t="str">
        <f>IF(TableRelationships12[[#This Row],[Rank Pedro]]="Low","Pink",IF(TableRelationships12[[#This Row],[Rank Pedro]]="Medium","Purple",IF(TableRelationships12[[#This Row],[Rank Pedro]]="High","Brown","")))</f>
        <v/>
      </c>
      <c r="V1590" s="4" t="e">
        <f>MAX(INDEX(Standards!$F$2:$F$296,MATCH(B1590,Standards!$B$2:$B$296,0)),INDEX(Standards!$F$2:$F$296,MATCH(C1590,Standards!$B$2:$B$296,0)))</f>
        <v>#N/A</v>
      </c>
      <c r="W1590" t="str">
        <f t="shared" si="74"/>
        <v>#2f89d1</v>
      </c>
    </row>
    <row r="1591" spans="1:23" x14ac:dyDescent="0.5">
      <c r="A1591" s="54">
        <v>1590</v>
      </c>
      <c r="B1591" s="90" t="s">
        <v>644</v>
      </c>
      <c r="C1591" t="s">
        <v>1433</v>
      </c>
      <c r="D1591" s="1"/>
      <c r="G1591" s="107"/>
      <c r="H1591">
        <f>INDEX('GIS-Standards'!$A$2:$A$305,MATCH(B1591,'GIS-Standards'!$B$2:$B$305,0))</f>
        <v>71</v>
      </c>
      <c r="I1591" t="e">
        <f>INDEX('GIS-Standards'!$A$2:$A$305,MATCH(C1591,'GIS-Standards'!$B$2:$B$305,0))</f>
        <v>#N/A</v>
      </c>
      <c r="J1591" t="str">
        <f>INDEX('GIS-Standards'!$O$2:$O$305,MATCH(B1591,'GIS-Standards'!$B$2:$B$305,0))</f>
        <v>ISO/TC 211</v>
      </c>
      <c r="K1591" t="e">
        <f>INDEX('GIS-Standards'!$O$2:$O$305,MATCH(C1591,'GIS-Standards'!$B$2:$B$305,0))</f>
        <v>#N/A</v>
      </c>
      <c r="M1591" t="s">
        <v>525</v>
      </c>
      <c r="N1591">
        <f>INDEX('GIS-Standards'!$I$2:$I$305,MATCH(B1591,'GIS-Standards'!$B$2:$B$305,0))</f>
        <v>0</v>
      </c>
      <c r="O1591" t="e">
        <f>INDEX('GIS-Standards'!$I$2:$I$305,MATCH(C1591,'GIS-Standards'!$B$2:$B$305,0))</f>
        <v>#N/A</v>
      </c>
      <c r="P1591" t="e">
        <f>AND(TableRelationships12[[#This Row],[Source Type]]="BIM",TableRelationships12[[#This Row],[Target Type]]="BIM")</f>
        <v>#N/A</v>
      </c>
      <c r="Q1591">
        <f t="shared" si="72"/>
        <v>1</v>
      </c>
      <c r="S1591">
        <f t="shared" si="73"/>
        <v>1</v>
      </c>
      <c r="T1591" s="102" t="str">
        <f>IF(TableRelationships12[[#This Row],[Rank Pedro]]="Low","linkCategory1",IF(TableRelationships12[[#This Row],[Rank Pedro]]="Medium","linkCategory2",IF(TableRelationships12[[#This Row],[Rank Pedro]]="High","linkCategory3","")))</f>
        <v/>
      </c>
      <c r="U1591" s="102" t="str">
        <f>IF(TableRelationships12[[#This Row],[Rank Pedro]]="Low","Pink",IF(TableRelationships12[[#This Row],[Rank Pedro]]="Medium","Purple",IF(TableRelationships12[[#This Row],[Rank Pedro]]="High","Brown","")))</f>
        <v/>
      </c>
      <c r="V1591" s="4" t="e">
        <f>MAX(INDEX(Standards!$F$2:$F$296,MATCH(B1591,Standards!$B$2:$B$296,0)),INDEX(Standards!$F$2:$F$296,MATCH(C1591,Standards!$B$2:$B$296,0)))</f>
        <v>#N/A</v>
      </c>
      <c r="W1591" t="str">
        <f t="shared" si="74"/>
        <v>#2f89d1</v>
      </c>
    </row>
    <row r="1592" spans="1:23" x14ac:dyDescent="0.5">
      <c r="A1592" s="54">
        <v>1591</v>
      </c>
      <c r="B1592" s="90" t="s">
        <v>644</v>
      </c>
      <c r="C1592" t="s">
        <v>1326</v>
      </c>
      <c r="D1592" s="1"/>
      <c r="G1592" s="107"/>
      <c r="H1592">
        <f>INDEX('GIS-Standards'!$A$2:$A$305,MATCH(B1592,'GIS-Standards'!$B$2:$B$305,0))</f>
        <v>71</v>
      </c>
      <c r="I1592" t="e">
        <f>INDEX('GIS-Standards'!$A$2:$A$305,MATCH(C1592,'GIS-Standards'!$B$2:$B$305,0))</f>
        <v>#N/A</v>
      </c>
      <c r="J1592" t="str">
        <f>INDEX('GIS-Standards'!$O$2:$O$305,MATCH(B1592,'GIS-Standards'!$B$2:$B$305,0))</f>
        <v>ISO/TC 211</v>
      </c>
      <c r="K1592" t="e">
        <f>INDEX('GIS-Standards'!$O$2:$O$305,MATCH(C1592,'GIS-Standards'!$B$2:$B$305,0))</f>
        <v>#N/A</v>
      </c>
      <c r="M1592" t="s">
        <v>525</v>
      </c>
      <c r="N1592">
        <f>INDEX('GIS-Standards'!$I$2:$I$305,MATCH(B1592,'GIS-Standards'!$B$2:$B$305,0))</f>
        <v>0</v>
      </c>
      <c r="O1592" t="e">
        <f>INDEX('GIS-Standards'!$I$2:$I$305,MATCH(C1592,'GIS-Standards'!$B$2:$B$305,0))</f>
        <v>#N/A</v>
      </c>
      <c r="P1592" t="e">
        <f>AND(TableRelationships12[[#This Row],[Source Type]]="BIM",TableRelationships12[[#This Row],[Target Type]]="BIM")</f>
        <v>#N/A</v>
      </c>
      <c r="Q1592">
        <f t="shared" si="72"/>
        <v>1</v>
      </c>
      <c r="S1592">
        <f t="shared" si="73"/>
        <v>1</v>
      </c>
      <c r="T1592" s="102" t="str">
        <f>IF(TableRelationships12[[#This Row],[Rank Pedro]]="Low","linkCategory1",IF(TableRelationships12[[#This Row],[Rank Pedro]]="Medium","linkCategory2",IF(TableRelationships12[[#This Row],[Rank Pedro]]="High","linkCategory3","")))</f>
        <v/>
      </c>
      <c r="U1592" s="102" t="str">
        <f>IF(TableRelationships12[[#This Row],[Rank Pedro]]="Low","Pink",IF(TableRelationships12[[#This Row],[Rank Pedro]]="Medium","Purple",IF(TableRelationships12[[#This Row],[Rank Pedro]]="High","Brown","")))</f>
        <v/>
      </c>
      <c r="V1592" s="4" t="e">
        <f>MAX(INDEX(Standards!$F$2:$F$296,MATCH(B1592,Standards!$B$2:$B$296,0)),INDEX(Standards!$F$2:$F$296,MATCH(C1592,Standards!$B$2:$B$296,0)))</f>
        <v>#N/A</v>
      </c>
      <c r="W1592" t="str">
        <f t="shared" si="74"/>
        <v>#2f89d1</v>
      </c>
    </row>
    <row r="1593" spans="1:23" x14ac:dyDescent="0.5">
      <c r="A1593" s="54">
        <v>1592</v>
      </c>
      <c r="B1593" s="90" t="s">
        <v>644</v>
      </c>
      <c r="C1593" t="s">
        <v>1337</v>
      </c>
      <c r="D1593" s="1"/>
      <c r="G1593" s="107"/>
      <c r="H1593">
        <f>INDEX('GIS-Standards'!$A$2:$A$305,MATCH(B1593,'GIS-Standards'!$B$2:$B$305,0))</f>
        <v>71</v>
      </c>
      <c r="I1593" t="e">
        <f>INDEX('GIS-Standards'!$A$2:$A$305,MATCH(C1593,'GIS-Standards'!$B$2:$B$305,0))</f>
        <v>#N/A</v>
      </c>
      <c r="J1593" t="str">
        <f>INDEX('GIS-Standards'!$O$2:$O$305,MATCH(B1593,'GIS-Standards'!$B$2:$B$305,0))</f>
        <v>ISO/TC 211</v>
      </c>
      <c r="K1593" t="e">
        <f>INDEX('GIS-Standards'!$O$2:$O$305,MATCH(C1593,'GIS-Standards'!$B$2:$B$305,0))</f>
        <v>#N/A</v>
      </c>
      <c r="M1593" t="s">
        <v>525</v>
      </c>
      <c r="N1593">
        <f>INDEX('GIS-Standards'!$I$2:$I$305,MATCH(B1593,'GIS-Standards'!$B$2:$B$305,0))</f>
        <v>0</v>
      </c>
      <c r="O1593" t="e">
        <f>INDEX('GIS-Standards'!$I$2:$I$305,MATCH(C1593,'GIS-Standards'!$B$2:$B$305,0))</f>
        <v>#N/A</v>
      </c>
      <c r="P1593" t="e">
        <f>AND(TableRelationships12[[#This Row],[Source Type]]="BIM",TableRelationships12[[#This Row],[Target Type]]="BIM")</f>
        <v>#N/A</v>
      </c>
      <c r="Q1593">
        <f t="shared" si="72"/>
        <v>1</v>
      </c>
      <c r="S1593">
        <f t="shared" si="73"/>
        <v>1</v>
      </c>
      <c r="T1593" s="102" t="str">
        <f>IF(TableRelationships12[[#This Row],[Rank Pedro]]="Low","linkCategory1",IF(TableRelationships12[[#This Row],[Rank Pedro]]="Medium","linkCategory2",IF(TableRelationships12[[#This Row],[Rank Pedro]]="High","linkCategory3","")))</f>
        <v/>
      </c>
      <c r="U1593" s="102" t="str">
        <f>IF(TableRelationships12[[#This Row],[Rank Pedro]]="Low","Pink",IF(TableRelationships12[[#This Row],[Rank Pedro]]="Medium","Purple",IF(TableRelationships12[[#This Row],[Rank Pedro]]="High","Brown","")))</f>
        <v/>
      </c>
      <c r="V1593" s="4" t="e">
        <f>MAX(INDEX(Standards!$F$2:$F$296,MATCH(B1593,Standards!$B$2:$B$296,0)),INDEX(Standards!$F$2:$F$296,MATCH(C1593,Standards!$B$2:$B$296,0)))</f>
        <v>#N/A</v>
      </c>
      <c r="W1593" t="str">
        <f t="shared" si="74"/>
        <v>#2f89d1</v>
      </c>
    </row>
    <row r="1594" spans="1:23" x14ac:dyDescent="0.5">
      <c r="A1594" s="54">
        <v>1593</v>
      </c>
      <c r="B1594" s="90" t="s">
        <v>644</v>
      </c>
      <c r="C1594" t="s">
        <v>1338</v>
      </c>
      <c r="D1594" s="1"/>
      <c r="G1594" s="107"/>
      <c r="H1594">
        <f>INDEX('GIS-Standards'!$A$2:$A$305,MATCH(B1594,'GIS-Standards'!$B$2:$B$305,0))</f>
        <v>71</v>
      </c>
      <c r="I1594" t="e">
        <f>INDEX('GIS-Standards'!$A$2:$A$305,MATCH(C1594,'GIS-Standards'!$B$2:$B$305,0))</f>
        <v>#N/A</v>
      </c>
      <c r="J1594" t="str">
        <f>INDEX('GIS-Standards'!$O$2:$O$305,MATCH(B1594,'GIS-Standards'!$B$2:$B$305,0))</f>
        <v>ISO/TC 211</v>
      </c>
      <c r="K1594" t="e">
        <f>INDEX('GIS-Standards'!$O$2:$O$305,MATCH(C1594,'GIS-Standards'!$B$2:$B$305,0))</f>
        <v>#N/A</v>
      </c>
      <c r="M1594" t="s">
        <v>525</v>
      </c>
      <c r="N1594">
        <f>INDEX('GIS-Standards'!$I$2:$I$305,MATCH(B1594,'GIS-Standards'!$B$2:$B$305,0))</f>
        <v>0</v>
      </c>
      <c r="O1594" t="e">
        <f>INDEX('GIS-Standards'!$I$2:$I$305,MATCH(C1594,'GIS-Standards'!$B$2:$B$305,0))</f>
        <v>#N/A</v>
      </c>
      <c r="P1594" t="e">
        <f>AND(TableRelationships12[[#This Row],[Source Type]]="BIM",TableRelationships12[[#This Row],[Target Type]]="BIM")</f>
        <v>#N/A</v>
      </c>
      <c r="Q1594">
        <f t="shared" si="72"/>
        <v>1</v>
      </c>
      <c r="S1594">
        <f t="shared" si="73"/>
        <v>1</v>
      </c>
      <c r="T1594" s="102" t="str">
        <f>IF(TableRelationships12[[#This Row],[Rank Pedro]]="Low","linkCategory1",IF(TableRelationships12[[#This Row],[Rank Pedro]]="Medium","linkCategory2",IF(TableRelationships12[[#This Row],[Rank Pedro]]="High","linkCategory3","")))</f>
        <v/>
      </c>
      <c r="U1594" s="102" t="str">
        <f>IF(TableRelationships12[[#This Row],[Rank Pedro]]="Low","Pink",IF(TableRelationships12[[#This Row],[Rank Pedro]]="Medium","Purple",IF(TableRelationships12[[#This Row],[Rank Pedro]]="High","Brown","")))</f>
        <v/>
      </c>
      <c r="V1594" s="4" t="e">
        <f>MAX(INDEX(Standards!$F$2:$F$296,MATCH(B1594,Standards!$B$2:$B$296,0)),INDEX(Standards!$F$2:$F$296,MATCH(C1594,Standards!$B$2:$B$296,0)))</f>
        <v>#N/A</v>
      </c>
      <c r="W1594" t="str">
        <f t="shared" si="74"/>
        <v>#2f89d1</v>
      </c>
    </row>
    <row r="1595" spans="1:23" x14ac:dyDescent="0.5">
      <c r="A1595" s="54">
        <v>1594</v>
      </c>
      <c r="B1595" s="90" t="s">
        <v>644</v>
      </c>
      <c r="C1595" t="s">
        <v>1339</v>
      </c>
      <c r="D1595" s="1"/>
      <c r="G1595" s="107"/>
      <c r="H1595">
        <f>INDEX('GIS-Standards'!$A$2:$A$305,MATCH(B1595,'GIS-Standards'!$B$2:$B$305,0))</f>
        <v>71</v>
      </c>
      <c r="I1595" t="e">
        <f>INDEX('GIS-Standards'!$A$2:$A$305,MATCH(C1595,'GIS-Standards'!$B$2:$B$305,0))</f>
        <v>#N/A</v>
      </c>
      <c r="J1595" t="str">
        <f>INDEX('GIS-Standards'!$O$2:$O$305,MATCH(B1595,'GIS-Standards'!$B$2:$B$305,0))</f>
        <v>ISO/TC 211</v>
      </c>
      <c r="K1595" t="e">
        <f>INDEX('GIS-Standards'!$O$2:$O$305,MATCH(C1595,'GIS-Standards'!$B$2:$B$305,0))</f>
        <v>#N/A</v>
      </c>
      <c r="M1595" t="s">
        <v>525</v>
      </c>
      <c r="N1595">
        <f>INDEX('GIS-Standards'!$I$2:$I$305,MATCH(B1595,'GIS-Standards'!$B$2:$B$305,0))</f>
        <v>0</v>
      </c>
      <c r="O1595" t="e">
        <f>INDEX('GIS-Standards'!$I$2:$I$305,MATCH(C1595,'GIS-Standards'!$B$2:$B$305,0))</f>
        <v>#N/A</v>
      </c>
      <c r="P1595" t="e">
        <f>AND(TableRelationships12[[#This Row],[Source Type]]="BIM",TableRelationships12[[#This Row],[Target Type]]="BIM")</f>
        <v>#N/A</v>
      </c>
      <c r="Q1595">
        <f t="shared" si="72"/>
        <v>1</v>
      </c>
      <c r="S1595">
        <f t="shared" si="73"/>
        <v>1</v>
      </c>
      <c r="T1595" s="102" t="str">
        <f>IF(TableRelationships12[[#This Row],[Rank Pedro]]="Low","linkCategory1",IF(TableRelationships12[[#This Row],[Rank Pedro]]="Medium","linkCategory2",IF(TableRelationships12[[#This Row],[Rank Pedro]]="High","linkCategory3","")))</f>
        <v/>
      </c>
      <c r="U1595" s="102" t="str">
        <f>IF(TableRelationships12[[#This Row],[Rank Pedro]]="Low","Pink",IF(TableRelationships12[[#This Row],[Rank Pedro]]="Medium","Purple",IF(TableRelationships12[[#This Row],[Rank Pedro]]="High","Brown","")))</f>
        <v/>
      </c>
      <c r="V1595" s="4" t="e">
        <f>MAX(INDEX(Standards!$F$2:$F$296,MATCH(B1595,Standards!$B$2:$B$296,0)),INDEX(Standards!$F$2:$F$296,MATCH(C1595,Standards!$B$2:$B$296,0)))</f>
        <v>#N/A</v>
      </c>
      <c r="W1595" t="str">
        <f t="shared" si="74"/>
        <v>#2f89d1</v>
      </c>
    </row>
    <row r="1596" spans="1:23" x14ac:dyDescent="0.5">
      <c r="A1596" s="54">
        <v>1595</v>
      </c>
      <c r="B1596" s="90" t="s">
        <v>350</v>
      </c>
      <c r="C1596" t="s">
        <v>527</v>
      </c>
      <c r="D1596" s="1"/>
      <c r="E1596" s="112" t="s">
        <v>954</v>
      </c>
      <c r="F1596" s="112" t="s">
        <v>977</v>
      </c>
      <c r="G1596" s="121" t="s">
        <v>670</v>
      </c>
      <c r="H1596">
        <f>INDEX('GIS-Standards'!$A$2:$A$305,MATCH(B1596,'GIS-Standards'!$B$2:$B$305,0))</f>
        <v>72</v>
      </c>
      <c r="I1596" t="e">
        <f>INDEX('GIS-Standards'!$A$2:$A$305,MATCH(C1596,'GIS-Standards'!$B$2:$B$305,0))</f>
        <v>#N/A</v>
      </c>
      <c r="J1596" t="str">
        <f>INDEX('GIS-Standards'!$O$2:$O$305,MATCH(B1596,'GIS-Standards'!$B$2:$B$305,0))</f>
        <v>ISO/TC 211</v>
      </c>
      <c r="K1596" t="e">
        <f>INDEX('GIS-Standards'!$O$2:$O$305,MATCH(C1596,'GIS-Standards'!$B$2:$B$305,0))</f>
        <v>#N/A</v>
      </c>
      <c r="M1596" t="s">
        <v>237</v>
      </c>
      <c r="N1596">
        <f>INDEX('GIS-Standards'!$I$2:$I$305,MATCH(B1596,'GIS-Standards'!$B$2:$B$305,0))</f>
        <v>0</v>
      </c>
      <c r="O1596" t="e">
        <f>INDEX('GIS-Standards'!$I$2:$I$305,MATCH(C1596,'GIS-Standards'!$B$2:$B$305,0))</f>
        <v>#N/A</v>
      </c>
      <c r="P1596" t="e">
        <f>AND(TableRelationships12[[#This Row],[Source Type]]="BIM",TableRelationships12[[#This Row],[Target Type]]="BIM")</f>
        <v>#N/A</v>
      </c>
      <c r="Q1596">
        <f t="shared" si="72"/>
        <v>2</v>
      </c>
      <c r="S1596">
        <f t="shared" si="73"/>
        <v>1</v>
      </c>
      <c r="T1596" s="102" t="str">
        <f>IF(TableRelationships12[[#This Row],[Rank Pedro]]="Low","linkCategory1",IF(TableRelationships12[[#This Row],[Rank Pedro]]="Medium","linkCategory2",IF(TableRelationships12[[#This Row],[Rank Pedro]]="High","linkCategory3","")))</f>
        <v/>
      </c>
      <c r="U1596" s="102" t="str">
        <f>IF(TableRelationships12[[#This Row],[Rank Pedro]]="Low","Pink",IF(TableRelationships12[[#This Row],[Rank Pedro]]="Medium","Purple",IF(TableRelationships12[[#This Row],[Rank Pedro]]="High","Brown","")))</f>
        <v/>
      </c>
      <c r="V1596" s="4">
        <f>MAX(INDEX(Standards!$F$2:$F$296,MATCH(B1596,Standards!$B$2:$B$296,0)),INDEX(Standards!$F$2:$F$296,MATCH(C1596,Standards!$B$2:$B$296,0)))</f>
        <v>44075</v>
      </c>
      <c r="W1596">
        <f t="shared" si="74"/>
        <v>1</v>
      </c>
    </row>
    <row r="1597" spans="1:23" x14ac:dyDescent="0.5">
      <c r="A1597" s="54">
        <v>1596</v>
      </c>
      <c r="B1597" s="90" t="s">
        <v>350</v>
      </c>
      <c r="C1597" t="s">
        <v>1544</v>
      </c>
      <c r="D1597" s="1"/>
      <c r="G1597" s="107"/>
      <c r="H1597">
        <f>INDEX('GIS-Standards'!$A$2:$A$305,MATCH(B1597,'GIS-Standards'!$B$2:$B$305,0))</f>
        <v>72</v>
      </c>
      <c r="I1597" t="e">
        <f>INDEX('GIS-Standards'!$A$2:$A$305,MATCH(C1597,'GIS-Standards'!$B$2:$B$305,0))</f>
        <v>#N/A</v>
      </c>
      <c r="J1597" t="str">
        <f>INDEX('GIS-Standards'!$O$2:$O$305,MATCH(B1597,'GIS-Standards'!$B$2:$B$305,0))</f>
        <v>ISO/TC 211</v>
      </c>
      <c r="K1597" t="e">
        <f>INDEX('GIS-Standards'!$O$2:$O$305,MATCH(C1597,'GIS-Standards'!$B$2:$B$305,0))</f>
        <v>#N/A</v>
      </c>
      <c r="M1597" t="s">
        <v>524</v>
      </c>
      <c r="N1597">
        <f>INDEX('GIS-Standards'!$I$2:$I$305,MATCH(B1597,'GIS-Standards'!$B$2:$B$305,0))</f>
        <v>0</v>
      </c>
      <c r="O1597" t="e">
        <f>INDEX('GIS-Standards'!$I$2:$I$305,MATCH(C1597,'GIS-Standards'!$B$2:$B$305,0))</f>
        <v>#N/A</v>
      </c>
      <c r="P1597" t="e">
        <f>AND(TableRelationships12[[#This Row],[Source Type]]="BIM",TableRelationships12[[#This Row],[Target Type]]="BIM")</f>
        <v>#N/A</v>
      </c>
      <c r="Q1597">
        <f t="shared" si="72"/>
        <v>6</v>
      </c>
      <c r="S1597">
        <f t="shared" si="73"/>
        <v>1</v>
      </c>
      <c r="T1597" s="102" t="str">
        <f>IF(TableRelationships12[[#This Row],[Rank Pedro]]="Low","linkCategory1",IF(TableRelationships12[[#This Row],[Rank Pedro]]="Medium","linkCategory2",IF(TableRelationships12[[#This Row],[Rank Pedro]]="High","linkCategory3","")))</f>
        <v/>
      </c>
      <c r="U1597" s="102" t="str">
        <f>IF(TableRelationships12[[#This Row],[Rank Pedro]]="Low","Pink",IF(TableRelationships12[[#This Row],[Rank Pedro]]="Medium","Purple",IF(TableRelationships12[[#This Row],[Rank Pedro]]="High","Brown","")))</f>
        <v/>
      </c>
      <c r="V1597" s="4" t="e">
        <f>MAX(INDEX(Standards!$F$2:$F$296,MATCH(B1597,Standards!$B$2:$B$296,0)),INDEX(Standards!$F$2:$F$296,MATCH(C1597,Standards!$B$2:$B$296,0)))</f>
        <v>#N/A</v>
      </c>
      <c r="W1597" t="str">
        <f t="shared" si="74"/>
        <v>#d6bf2a</v>
      </c>
    </row>
    <row r="1598" spans="1:23" x14ac:dyDescent="0.5">
      <c r="A1598" s="54">
        <v>1597</v>
      </c>
      <c r="B1598" s="90" t="s">
        <v>350</v>
      </c>
      <c r="C1598" t="s">
        <v>1229</v>
      </c>
      <c r="D1598" s="1"/>
      <c r="E1598" s="112">
        <v>2000.05</v>
      </c>
      <c r="G1598" s="107"/>
      <c r="H1598">
        <f>INDEX('GIS-Standards'!$A$2:$A$305,MATCH(B1598,'GIS-Standards'!$B$2:$B$305,0))</f>
        <v>72</v>
      </c>
      <c r="I1598" t="e">
        <f>INDEX('GIS-Standards'!$A$2:$A$305,MATCH(C1598,'GIS-Standards'!$B$2:$B$305,0))</f>
        <v>#N/A</v>
      </c>
      <c r="J1598" t="str">
        <f>INDEX('GIS-Standards'!$O$2:$O$305,MATCH(B1598,'GIS-Standards'!$B$2:$B$305,0))</f>
        <v>ISO/TC 211</v>
      </c>
      <c r="K1598" t="e">
        <f>INDEX('GIS-Standards'!$O$2:$O$305,MATCH(C1598,'GIS-Standards'!$B$2:$B$305,0))</f>
        <v>#N/A</v>
      </c>
      <c r="M1598" t="s">
        <v>524</v>
      </c>
      <c r="N1598">
        <f>INDEX('GIS-Standards'!$I$2:$I$305,MATCH(B1598,'GIS-Standards'!$B$2:$B$305,0))</f>
        <v>0</v>
      </c>
      <c r="O1598" t="e">
        <f>INDEX('GIS-Standards'!$I$2:$I$305,MATCH(C1598,'GIS-Standards'!$B$2:$B$305,0))</f>
        <v>#N/A</v>
      </c>
      <c r="P1598" t="e">
        <f>AND(TableRelationships12[[#This Row],[Source Type]]="BIM",TableRelationships12[[#This Row],[Target Type]]="BIM")</f>
        <v>#N/A</v>
      </c>
      <c r="Q1598">
        <f t="shared" si="72"/>
        <v>6</v>
      </c>
      <c r="S1598">
        <f t="shared" si="73"/>
        <v>1</v>
      </c>
      <c r="T1598" s="102" t="str">
        <f>IF(TableRelationships12[[#This Row],[Rank Pedro]]="Low","linkCategory1",IF(TableRelationships12[[#This Row],[Rank Pedro]]="Medium","linkCategory2",IF(TableRelationships12[[#This Row],[Rank Pedro]]="High","linkCategory3","")))</f>
        <v/>
      </c>
      <c r="U1598" s="102" t="str">
        <f>IF(TableRelationships12[[#This Row],[Rank Pedro]]="Low","Pink",IF(TableRelationships12[[#This Row],[Rank Pedro]]="Medium","Purple",IF(TableRelationships12[[#This Row],[Rank Pedro]]="High","Brown","")))</f>
        <v/>
      </c>
      <c r="V1598" s="4" t="e">
        <f>MAX(INDEX(Standards!$F$2:$F$296,MATCH(B1598,Standards!$B$2:$B$296,0)),INDEX(Standards!$F$2:$F$296,MATCH(C1598,Standards!$B$2:$B$296,0)))</f>
        <v>#N/A</v>
      </c>
      <c r="W1598" t="str">
        <f t="shared" si="74"/>
        <v>#d6bf2a</v>
      </c>
    </row>
    <row r="1599" spans="1:23" x14ac:dyDescent="0.5">
      <c r="A1599" s="54">
        <v>1598</v>
      </c>
      <c r="B1599" s="90" t="s">
        <v>350</v>
      </c>
      <c r="C1599" t="s">
        <v>1230</v>
      </c>
      <c r="D1599" s="1"/>
      <c r="E1599" s="112">
        <v>2002.07</v>
      </c>
      <c r="G1599" s="107"/>
      <c r="H1599">
        <f>INDEX('GIS-Standards'!$A$2:$A$305,MATCH(B1599,'GIS-Standards'!$B$2:$B$305,0))</f>
        <v>72</v>
      </c>
      <c r="I1599" t="e">
        <f>INDEX('GIS-Standards'!$A$2:$A$305,MATCH(C1599,'GIS-Standards'!$B$2:$B$305,0))</f>
        <v>#N/A</v>
      </c>
      <c r="J1599" t="str">
        <f>INDEX('GIS-Standards'!$O$2:$O$305,MATCH(B1599,'GIS-Standards'!$B$2:$B$305,0))</f>
        <v>ISO/TC 211</v>
      </c>
      <c r="K1599" t="e">
        <f>INDEX('GIS-Standards'!$O$2:$O$305,MATCH(C1599,'GIS-Standards'!$B$2:$B$305,0))</f>
        <v>#N/A</v>
      </c>
      <c r="M1599" t="s">
        <v>524</v>
      </c>
      <c r="N1599">
        <f>INDEX('GIS-Standards'!$I$2:$I$305,MATCH(B1599,'GIS-Standards'!$B$2:$B$305,0))</f>
        <v>0</v>
      </c>
      <c r="O1599" t="e">
        <f>INDEX('GIS-Standards'!$I$2:$I$305,MATCH(C1599,'GIS-Standards'!$B$2:$B$305,0))</f>
        <v>#N/A</v>
      </c>
      <c r="P1599" t="e">
        <f>AND(TableRelationships12[[#This Row],[Source Type]]="BIM",TableRelationships12[[#This Row],[Target Type]]="BIM")</f>
        <v>#N/A</v>
      </c>
      <c r="Q1599">
        <f t="shared" si="72"/>
        <v>6</v>
      </c>
      <c r="S1599">
        <f t="shared" si="73"/>
        <v>1</v>
      </c>
      <c r="T1599" s="102" t="str">
        <f>IF(TableRelationships12[[#This Row],[Rank Pedro]]="Low","linkCategory1",IF(TableRelationships12[[#This Row],[Rank Pedro]]="Medium","linkCategory2",IF(TableRelationships12[[#This Row],[Rank Pedro]]="High","linkCategory3","")))</f>
        <v/>
      </c>
      <c r="U1599" s="102" t="str">
        <f>IF(TableRelationships12[[#This Row],[Rank Pedro]]="Low","Pink",IF(TableRelationships12[[#This Row],[Rank Pedro]]="Medium","Purple",IF(TableRelationships12[[#This Row],[Rank Pedro]]="High","Brown","")))</f>
        <v/>
      </c>
      <c r="V1599" s="4" t="e">
        <f>MAX(INDEX(Standards!$F$2:$F$296,MATCH(B1599,Standards!$B$2:$B$296,0)),INDEX(Standards!$F$2:$F$296,MATCH(C1599,Standards!$B$2:$B$296,0)))</f>
        <v>#N/A</v>
      </c>
      <c r="W1599" t="str">
        <f t="shared" si="74"/>
        <v>#d6bf2a</v>
      </c>
    </row>
    <row r="1600" spans="1:23" x14ac:dyDescent="0.5">
      <c r="A1600" s="54">
        <v>1599</v>
      </c>
      <c r="B1600" s="90" t="s">
        <v>350</v>
      </c>
      <c r="C1600" t="s">
        <v>1444</v>
      </c>
      <c r="D1600" s="1" t="s">
        <v>1231</v>
      </c>
      <c r="E1600" s="113">
        <v>2014.06</v>
      </c>
      <c r="F1600" s="113"/>
      <c r="G1600" s="107"/>
      <c r="H1600">
        <f>INDEX('GIS-Standards'!$A$2:$A$305,MATCH(B1600,'GIS-Standards'!$B$2:$B$305,0))</f>
        <v>72</v>
      </c>
      <c r="I1600" t="e">
        <f>INDEX('GIS-Standards'!$A$2:$A$305,MATCH(C1600,'GIS-Standards'!$B$2:$B$305,0))</f>
        <v>#N/A</v>
      </c>
      <c r="J1600" t="str">
        <f>INDEX('GIS-Standards'!$O$2:$O$305,MATCH(B1600,'GIS-Standards'!$B$2:$B$305,0))</f>
        <v>ISO/TC 211</v>
      </c>
      <c r="K1600" t="e">
        <f>INDEX('GIS-Standards'!$O$2:$O$305,MATCH(C1600,'GIS-Standards'!$B$2:$B$305,0))</f>
        <v>#N/A</v>
      </c>
      <c r="M1600" t="s">
        <v>524</v>
      </c>
      <c r="N1600">
        <f>INDEX('GIS-Standards'!$I$2:$I$305,MATCH(B1600,'GIS-Standards'!$B$2:$B$305,0))</f>
        <v>0</v>
      </c>
      <c r="O1600" t="e">
        <f>INDEX('GIS-Standards'!$I$2:$I$305,MATCH(C1600,'GIS-Standards'!$B$2:$B$305,0))</f>
        <v>#N/A</v>
      </c>
      <c r="P1600" t="e">
        <f>AND(TableRelationships12[[#This Row],[Source Type]]="BIM",TableRelationships12[[#This Row],[Target Type]]="BIM")</f>
        <v>#N/A</v>
      </c>
      <c r="Q1600">
        <f t="shared" si="72"/>
        <v>6</v>
      </c>
      <c r="S1600">
        <f t="shared" si="73"/>
        <v>1</v>
      </c>
      <c r="T1600" s="102" t="str">
        <f>IF(TableRelationships12[[#This Row],[Rank Pedro]]="Low","linkCategory1",IF(TableRelationships12[[#This Row],[Rank Pedro]]="Medium","linkCategory2",IF(TableRelationships12[[#This Row],[Rank Pedro]]="High","linkCategory3","")))</f>
        <v/>
      </c>
      <c r="U1600" s="102" t="str">
        <f>IF(TableRelationships12[[#This Row],[Rank Pedro]]="Low","Pink",IF(TableRelationships12[[#This Row],[Rank Pedro]]="Medium","Purple",IF(TableRelationships12[[#This Row],[Rank Pedro]]="High","Brown","")))</f>
        <v/>
      </c>
      <c r="V1600" s="4" t="e">
        <f>MAX(INDEX(Standards!$F$2:$F$296,MATCH(B1600,Standards!$B$2:$B$296,0)),INDEX(Standards!$F$2:$F$296,MATCH(C1600,Standards!$B$2:$B$296,0)))</f>
        <v>#N/A</v>
      </c>
      <c r="W1600" t="str">
        <f t="shared" si="74"/>
        <v>#d6bf2a</v>
      </c>
    </row>
    <row r="1601" spans="1:23" x14ac:dyDescent="0.5">
      <c r="A1601" s="54">
        <v>1600</v>
      </c>
      <c r="B1601" s="90" t="s">
        <v>350</v>
      </c>
      <c r="C1601" t="s">
        <v>1440</v>
      </c>
      <c r="D1601" s="1" t="s">
        <v>1231</v>
      </c>
      <c r="E1601" s="113">
        <v>2014.06</v>
      </c>
      <c r="F1601" s="113"/>
      <c r="G1601" s="107"/>
      <c r="H1601">
        <f>INDEX('GIS-Standards'!$A$2:$A$305,MATCH(B1601,'GIS-Standards'!$B$2:$B$305,0))</f>
        <v>72</v>
      </c>
      <c r="I1601" t="e">
        <f>INDEX('GIS-Standards'!$A$2:$A$305,MATCH(C1601,'GIS-Standards'!$B$2:$B$305,0))</f>
        <v>#N/A</v>
      </c>
      <c r="J1601" t="str">
        <f>INDEX('GIS-Standards'!$O$2:$O$305,MATCH(B1601,'GIS-Standards'!$B$2:$B$305,0))</f>
        <v>ISO/TC 211</v>
      </c>
      <c r="K1601" t="e">
        <f>INDEX('GIS-Standards'!$O$2:$O$305,MATCH(C1601,'GIS-Standards'!$B$2:$B$305,0))</f>
        <v>#N/A</v>
      </c>
      <c r="M1601" t="s">
        <v>524</v>
      </c>
      <c r="N1601">
        <f>INDEX('GIS-Standards'!$I$2:$I$305,MATCH(B1601,'GIS-Standards'!$B$2:$B$305,0))</f>
        <v>0</v>
      </c>
      <c r="O1601" t="e">
        <f>INDEX('GIS-Standards'!$I$2:$I$305,MATCH(C1601,'GIS-Standards'!$B$2:$B$305,0))</f>
        <v>#N/A</v>
      </c>
      <c r="P1601" t="e">
        <f>AND(TableRelationships12[[#This Row],[Source Type]]="BIM",TableRelationships12[[#This Row],[Target Type]]="BIM")</f>
        <v>#N/A</v>
      </c>
      <c r="Q1601">
        <f t="shared" si="72"/>
        <v>6</v>
      </c>
      <c r="S1601">
        <f t="shared" si="73"/>
        <v>1</v>
      </c>
      <c r="T1601" s="102" t="str">
        <f>IF(TableRelationships12[[#This Row],[Rank Pedro]]="Low","linkCategory1",IF(TableRelationships12[[#This Row],[Rank Pedro]]="Medium","linkCategory2",IF(TableRelationships12[[#This Row],[Rank Pedro]]="High","linkCategory3","")))</f>
        <v/>
      </c>
      <c r="U1601" s="102" t="str">
        <f>IF(TableRelationships12[[#This Row],[Rank Pedro]]="Low","Pink",IF(TableRelationships12[[#This Row],[Rank Pedro]]="Medium","Purple",IF(TableRelationships12[[#This Row],[Rank Pedro]]="High","Brown","")))</f>
        <v/>
      </c>
      <c r="V1601" s="4" t="e">
        <f>MAX(INDEX(Standards!$F$2:$F$296,MATCH(B1601,Standards!$B$2:$B$296,0)),INDEX(Standards!$F$2:$F$296,MATCH(C1601,Standards!$B$2:$B$296,0)))</f>
        <v>#N/A</v>
      </c>
      <c r="W1601" t="str">
        <f t="shared" si="74"/>
        <v>#d6bf2a</v>
      </c>
    </row>
    <row r="1602" spans="1:23" x14ac:dyDescent="0.5">
      <c r="A1602" s="54">
        <v>1601</v>
      </c>
      <c r="B1602" s="90" t="s">
        <v>350</v>
      </c>
      <c r="C1602" t="s">
        <v>1242</v>
      </c>
      <c r="D1602" s="1" t="s">
        <v>1231</v>
      </c>
      <c r="E1602" s="113">
        <v>2014.06</v>
      </c>
      <c r="F1602" s="113"/>
      <c r="G1602" s="107"/>
      <c r="H1602">
        <f>INDEX('GIS-Standards'!$A$2:$A$305,MATCH(B1602,'GIS-Standards'!$B$2:$B$305,0))</f>
        <v>72</v>
      </c>
      <c r="I1602" t="e">
        <f>INDEX('GIS-Standards'!$A$2:$A$305,MATCH(C1602,'GIS-Standards'!$B$2:$B$305,0))</f>
        <v>#N/A</v>
      </c>
      <c r="J1602" t="str">
        <f>INDEX('GIS-Standards'!$O$2:$O$305,MATCH(B1602,'GIS-Standards'!$B$2:$B$305,0))</f>
        <v>ISO/TC 211</v>
      </c>
      <c r="K1602" t="e">
        <f>INDEX('GIS-Standards'!$O$2:$O$305,MATCH(C1602,'GIS-Standards'!$B$2:$B$305,0))</f>
        <v>#N/A</v>
      </c>
      <c r="M1602" t="s">
        <v>524</v>
      </c>
      <c r="N1602">
        <f>INDEX('GIS-Standards'!$I$2:$I$305,MATCH(B1602,'GIS-Standards'!$B$2:$B$305,0))</f>
        <v>0</v>
      </c>
      <c r="O1602" t="e">
        <f>INDEX('GIS-Standards'!$I$2:$I$305,MATCH(C1602,'GIS-Standards'!$B$2:$B$305,0))</f>
        <v>#N/A</v>
      </c>
      <c r="P1602" t="e">
        <f>AND(TableRelationships12[[#This Row],[Source Type]]="BIM",TableRelationships12[[#This Row],[Target Type]]="BIM")</f>
        <v>#N/A</v>
      </c>
      <c r="Q1602">
        <f t="shared" ref="Q1602:Q1665" si="75">IF(M1602="Normative",6,IF(M1602="Secondary",4,IF(M1602="Anchor",2,1)))</f>
        <v>6</v>
      </c>
      <c r="S1602">
        <f t="shared" ref="S1602:S1665" si="76">IF(R1602="High",10,IF(R1602="Medium",6,IF(R1602="Low",2,1)))</f>
        <v>1</v>
      </c>
      <c r="T1602" s="102" t="str">
        <f>IF(TableRelationships12[[#This Row],[Rank Pedro]]="Low","linkCategory1",IF(TableRelationships12[[#This Row],[Rank Pedro]]="Medium","linkCategory2",IF(TableRelationships12[[#This Row],[Rank Pedro]]="High","linkCategory3","")))</f>
        <v/>
      </c>
      <c r="U1602" s="102" t="str">
        <f>IF(TableRelationships12[[#This Row],[Rank Pedro]]="Low","Pink",IF(TableRelationships12[[#This Row],[Rank Pedro]]="Medium","Purple",IF(TableRelationships12[[#This Row],[Rank Pedro]]="High","Brown","")))</f>
        <v/>
      </c>
      <c r="V1602" s="4" t="e">
        <f>MAX(INDEX(Standards!$F$2:$F$296,MATCH(B1602,Standards!$B$2:$B$296,0)),INDEX(Standards!$F$2:$F$296,MATCH(C1602,Standards!$B$2:$B$296,0)))</f>
        <v>#N/A</v>
      </c>
      <c r="W1602" t="str">
        <f t="shared" ref="W1602:W1665" si="77">IF(M1602="Normative", "#d6bf2a", IF(M1602="Informative", "#2f89d1", 1))</f>
        <v>#d6bf2a</v>
      </c>
    </row>
    <row r="1603" spans="1:23" x14ac:dyDescent="0.5">
      <c r="A1603" s="54">
        <v>1602</v>
      </c>
      <c r="B1603" s="90" t="s">
        <v>350</v>
      </c>
      <c r="C1603" t="s">
        <v>1441</v>
      </c>
      <c r="D1603" s="1" t="s">
        <v>1231</v>
      </c>
      <c r="E1603" s="113">
        <v>2014.06</v>
      </c>
      <c r="F1603" s="113"/>
      <c r="G1603" s="107"/>
      <c r="H1603">
        <f>INDEX('GIS-Standards'!$A$2:$A$305,MATCH(B1603,'GIS-Standards'!$B$2:$B$305,0))</f>
        <v>72</v>
      </c>
      <c r="I1603" t="e">
        <f>INDEX('GIS-Standards'!$A$2:$A$305,MATCH(C1603,'GIS-Standards'!$B$2:$B$305,0))</f>
        <v>#N/A</v>
      </c>
      <c r="J1603" t="str">
        <f>INDEX('GIS-Standards'!$O$2:$O$305,MATCH(B1603,'GIS-Standards'!$B$2:$B$305,0))</f>
        <v>ISO/TC 211</v>
      </c>
      <c r="K1603" t="e">
        <f>INDEX('GIS-Standards'!$O$2:$O$305,MATCH(C1603,'GIS-Standards'!$B$2:$B$305,0))</f>
        <v>#N/A</v>
      </c>
      <c r="M1603" t="s">
        <v>524</v>
      </c>
      <c r="N1603">
        <f>INDEX('GIS-Standards'!$I$2:$I$305,MATCH(B1603,'GIS-Standards'!$B$2:$B$305,0))</f>
        <v>0</v>
      </c>
      <c r="O1603" t="e">
        <f>INDEX('GIS-Standards'!$I$2:$I$305,MATCH(C1603,'GIS-Standards'!$B$2:$B$305,0))</f>
        <v>#N/A</v>
      </c>
      <c r="P1603" t="e">
        <f>AND(TableRelationships12[[#This Row],[Source Type]]="BIM",TableRelationships12[[#This Row],[Target Type]]="BIM")</f>
        <v>#N/A</v>
      </c>
      <c r="Q1603">
        <f t="shared" si="75"/>
        <v>6</v>
      </c>
      <c r="S1603">
        <f t="shared" si="76"/>
        <v>1</v>
      </c>
      <c r="T1603" s="102" t="str">
        <f>IF(TableRelationships12[[#This Row],[Rank Pedro]]="Low","linkCategory1",IF(TableRelationships12[[#This Row],[Rank Pedro]]="Medium","linkCategory2",IF(TableRelationships12[[#This Row],[Rank Pedro]]="High","linkCategory3","")))</f>
        <v/>
      </c>
      <c r="U1603" s="102" t="str">
        <f>IF(TableRelationships12[[#This Row],[Rank Pedro]]="Low","Pink",IF(TableRelationships12[[#This Row],[Rank Pedro]]="Medium","Purple",IF(TableRelationships12[[#This Row],[Rank Pedro]]="High","Brown","")))</f>
        <v/>
      </c>
      <c r="V1603" s="4" t="e">
        <f>MAX(INDEX(Standards!$F$2:$F$296,MATCH(B1603,Standards!$B$2:$B$296,0)),INDEX(Standards!$F$2:$F$296,MATCH(C1603,Standards!$B$2:$B$296,0)))</f>
        <v>#N/A</v>
      </c>
      <c r="W1603" t="str">
        <f t="shared" si="77"/>
        <v>#d6bf2a</v>
      </c>
    </row>
    <row r="1604" spans="1:23" x14ac:dyDescent="0.5">
      <c r="A1604" s="54">
        <v>1603</v>
      </c>
      <c r="B1604" s="90" t="s">
        <v>350</v>
      </c>
      <c r="C1604" t="s">
        <v>1442</v>
      </c>
      <c r="D1604" s="1" t="s">
        <v>1231</v>
      </c>
      <c r="E1604" s="113">
        <v>2014.06</v>
      </c>
      <c r="F1604" s="113"/>
      <c r="G1604" s="107"/>
      <c r="H1604">
        <f>INDEX('GIS-Standards'!$A$2:$A$305,MATCH(B1604,'GIS-Standards'!$B$2:$B$305,0))</f>
        <v>72</v>
      </c>
      <c r="I1604" t="e">
        <f>INDEX('GIS-Standards'!$A$2:$A$305,MATCH(C1604,'GIS-Standards'!$B$2:$B$305,0))</f>
        <v>#N/A</v>
      </c>
      <c r="J1604" t="str">
        <f>INDEX('GIS-Standards'!$O$2:$O$305,MATCH(B1604,'GIS-Standards'!$B$2:$B$305,0))</f>
        <v>ISO/TC 211</v>
      </c>
      <c r="K1604" t="e">
        <f>INDEX('GIS-Standards'!$O$2:$O$305,MATCH(C1604,'GIS-Standards'!$B$2:$B$305,0))</f>
        <v>#N/A</v>
      </c>
      <c r="M1604" t="s">
        <v>524</v>
      </c>
      <c r="N1604">
        <f>INDEX('GIS-Standards'!$I$2:$I$305,MATCH(B1604,'GIS-Standards'!$B$2:$B$305,0))</f>
        <v>0</v>
      </c>
      <c r="O1604" t="e">
        <f>INDEX('GIS-Standards'!$I$2:$I$305,MATCH(C1604,'GIS-Standards'!$B$2:$B$305,0))</f>
        <v>#N/A</v>
      </c>
      <c r="P1604" t="e">
        <f>AND(TableRelationships12[[#This Row],[Source Type]]="BIM",TableRelationships12[[#This Row],[Target Type]]="BIM")</f>
        <v>#N/A</v>
      </c>
      <c r="Q1604">
        <f t="shared" si="75"/>
        <v>6</v>
      </c>
      <c r="S1604">
        <f t="shared" si="76"/>
        <v>1</v>
      </c>
      <c r="T1604" s="102" t="str">
        <f>IF(TableRelationships12[[#This Row],[Rank Pedro]]="Low","linkCategory1",IF(TableRelationships12[[#This Row],[Rank Pedro]]="Medium","linkCategory2",IF(TableRelationships12[[#This Row],[Rank Pedro]]="High","linkCategory3","")))</f>
        <v/>
      </c>
      <c r="U1604" s="102" t="str">
        <f>IF(TableRelationships12[[#This Row],[Rank Pedro]]="Low","Pink",IF(TableRelationships12[[#This Row],[Rank Pedro]]="Medium","Purple",IF(TableRelationships12[[#This Row],[Rank Pedro]]="High","Brown","")))</f>
        <v/>
      </c>
      <c r="V1604" s="4" t="e">
        <f>MAX(INDEX(Standards!$F$2:$F$296,MATCH(B1604,Standards!$B$2:$B$296,0)),INDEX(Standards!$F$2:$F$296,MATCH(C1604,Standards!$B$2:$B$296,0)))</f>
        <v>#N/A</v>
      </c>
      <c r="W1604" t="str">
        <f t="shared" si="77"/>
        <v>#d6bf2a</v>
      </c>
    </row>
    <row r="1605" spans="1:23" x14ac:dyDescent="0.5">
      <c r="A1605" s="54">
        <v>1604</v>
      </c>
      <c r="B1605" s="90" t="s">
        <v>350</v>
      </c>
      <c r="C1605" t="s">
        <v>1443</v>
      </c>
      <c r="D1605" s="1" t="s">
        <v>1231</v>
      </c>
      <c r="E1605" s="113">
        <v>2014.06</v>
      </c>
      <c r="F1605" s="113"/>
      <c r="G1605" s="107"/>
      <c r="H1605">
        <f>INDEX('GIS-Standards'!$A$2:$A$305,MATCH(B1605,'GIS-Standards'!$B$2:$B$305,0))</f>
        <v>72</v>
      </c>
      <c r="I1605" t="e">
        <f>INDEX('GIS-Standards'!$A$2:$A$305,MATCH(C1605,'GIS-Standards'!$B$2:$B$305,0))</f>
        <v>#N/A</v>
      </c>
      <c r="J1605" t="str">
        <f>INDEX('GIS-Standards'!$O$2:$O$305,MATCH(B1605,'GIS-Standards'!$B$2:$B$305,0))</f>
        <v>ISO/TC 211</v>
      </c>
      <c r="K1605" t="e">
        <f>INDEX('GIS-Standards'!$O$2:$O$305,MATCH(C1605,'GIS-Standards'!$B$2:$B$305,0))</f>
        <v>#N/A</v>
      </c>
      <c r="M1605" t="s">
        <v>524</v>
      </c>
      <c r="N1605">
        <f>INDEX('GIS-Standards'!$I$2:$I$305,MATCH(B1605,'GIS-Standards'!$B$2:$B$305,0))</f>
        <v>0</v>
      </c>
      <c r="O1605" t="e">
        <f>INDEX('GIS-Standards'!$I$2:$I$305,MATCH(C1605,'GIS-Standards'!$B$2:$B$305,0))</f>
        <v>#N/A</v>
      </c>
      <c r="P1605" t="e">
        <f>AND(TableRelationships12[[#This Row],[Source Type]]="BIM",TableRelationships12[[#This Row],[Target Type]]="BIM")</f>
        <v>#N/A</v>
      </c>
      <c r="Q1605">
        <f t="shared" si="75"/>
        <v>6</v>
      </c>
      <c r="S1605">
        <f t="shared" si="76"/>
        <v>1</v>
      </c>
      <c r="T1605" s="102" t="str">
        <f>IF(TableRelationships12[[#This Row],[Rank Pedro]]="Low","linkCategory1",IF(TableRelationships12[[#This Row],[Rank Pedro]]="Medium","linkCategory2",IF(TableRelationships12[[#This Row],[Rank Pedro]]="High","linkCategory3","")))</f>
        <v/>
      </c>
      <c r="U1605" s="102" t="str">
        <f>IF(TableRelationships12[[#This Row],[Rank Pedro]]="Low","Pink",IF(TableRelationships12[[#This Row],[Rank Pedro]]="Medium","Purple",IF(TableRelationships12[[#This Row],[Rank Pedro]]="High","Brown","")))</f>
        <v/>
      </c>
      <c r="V1605" s="4" t="e">
        <f>MAX(INDEX(Standards!$F$2:$F$296,MATCH(B1605,Standards!$B$2:$B$296,0)),INDEX(Standards!$F$2:$F$296,MATCH(C1605,Standards!$B$2:$B$296,0)))</f>
        <v>#N/A</v>
      </c>
      <c r="W1605" t="str">
        <f t="shared" si="77"/>
        <v>#d6bf2a</v>
      </c>
    </row>
    <row r="1606" spans="1:23" x14ac:dyDescent="0.5">
      <c r="A1606" s="54">
        <v>1605</v>
      </c>
      <c r="B1606" s="90" t="s">
        <v>350</v>
      </c>
      <c r="C1606" t="s">
        <v>1232</v>
      </c>
      <c r="D1606" s="1"/>
      <c r="E1606" s="112">
        <v>2017.1</v>
      </c>
      <c r="G1606" s="107"/>
      <c r="H1606">
        <f>INDEX('GIS-Standards'!$A$2:$A$305,MATCH(B1606,'GIS-Standards'!$B$2:$B$305,0))</f>
        <v>72</v>
      </c>
      <c r="I1606" t="e">
        <f>INDEX('GIS-Standards'!$A$2:$A$305,MATCH(C1606,'GIS-Standards'!$B$2:$B$305,0))</f>
        <v>#N/A</v>
      </c>
      <c r="J1606" t="str">
        <f>INDEX('GIS-Standards'!$O$2:$O$305,MATCH(B1606,'GIS-Standards'!$B$2:$B$305,0))</f>
        <v>ISO/TC 211</v>
      </c>
      <c r="K1606" t="e">
        <f>INDEX('GIS-Standards'!$O$2:$O$305,MATCH(C1606,'GIS-Standards'!$B$2:$B$305,0))</f>
        <v>#N/A</v>
      </c>
      <c r="M1606" t="s">
        <v>524</v>
      </c>
      <c r="N1606">
        <f>INDEX('GIS-Standards'!$I$2:$I$305,MATCH(B1606,'GIS-Standards'!$B$2:$B$305,0))</f>
        <v>0</v>
      </c>
      <c r="O1606" t="e">
        <f>INDEX('GIS-Standards'!$I$2:$I$305,MATCH(C1606,'GIS-Standards'!$B$2:$B$305,0))</f>
        <v>#N/A</v>
      </c>
      <c r="P1606" t="e">
        <f>AND(TableRelationships12[[#This Row],[Source Type]]="BIM",TableRelationships12[[#This Row],[Target Type]]="BIM")</f>
        <v>#N/A</v>
      </c>
      <c r="Q1606">
        <f t="shared" si="75"/>
        <v>6</v>
      </c>
      <c r="S1606">
        <f t="shared" si="76"/>
        <v>1</v>
      </c>
      <c r="T1606" s="102" t="str">
        <f>IF(TableRelationships12[[#This Row],[Rank Pedro]]="Low","linkCategory1",IF(TableRelationships12[[#This Row],[Rank Pedro]]="Medium","linkCategory2",IF(TableRelationships12[[#This Row],[Rank Pedro]]="High","linkCategory3","")))</f>
        <v/>
      </c>
      <c r="U1606" s="102" t="str">
        <f>IF(TableRelationships12[[#This Row],[Rank Pedro]]="Low","Pink",IF(TableRelationships12[[#This Row],[Rank Pedro]]="Medium","Purple",IF(TableRelationships12[[#This Row],[Rank Pedro]]="High","Brown","")))</f>
        <v/>
      </c>
      <c r="V1606" s="4" t="e">
        <f>MAX(INDEX(Standards!$F$2:$F$296,MATCH(B1606,Standards!$B$2:$B$296,0)),INDEX(Standards!$F$2:$F$296,MATCH(C1606,Standards!$B$2:$B$296,0)))</f>
        <v>#N/A</v>
      </c>
      <c r="W1606" t="str">
        <f t="shared" si="77"/>
        <v>#d6bf2a</v>
      </c>
    </row>
    <row r="1607" spans="1:23" x14ac:dyDescent="0.5">
      <c r="A1607" s="54">
        <v>1606</v>
      </c>
      <c r="B1607" s="90" t="s">
        <v>350</v>
      </c>
      <c r="C1607" t="s">
        <v>1233</v>
      </c>
      <c r="D1607" s="1"/>
      <c r="G1607" s="107"/>
      <c r="H1607">
        <f>INDEX('GIS-Standards'!$A$2:$A$305,MATCH(B1607,'GIS-Standards'!$B$2:$B$305,0))</f>
        <v>72</v>
      </c>
      <c r="I1607" t="e">
        <f>INDEX('GIS-Standards'!$A$2:$A$305,MATCH(C1607,'GIS-Standards'!$B$2:$B$305,0))</f>
        <v>#N/A</v>
      </c>
      <c r="J1607" t="str">
        <f>INDEX('GIS-Standards'!$O$2:$O$305,MATCH(B1607,'GIS-Standards'!$B$2:$B$305,0))</f>
        <v>ISO/TC 211</v>
      </c>
      <c r="K1607" t="e">
        <f>INDEX('GIS-Standards'!$O$2:$O$305,MATCH(C1607,'GIS-Standards'!$B$2:$B$305,0))</f>
        <v>#N/A</v>
      </c>
      <c r="M1607" t="s">
        <v>524</v>
      </c>
      <c r="N1607">
        <f>INDEX('GIS-Standards'!$I$2:$I$305,MATCH(B1607,'GIS-Standards'!$B$2:$B$305,0))</f>
        <v>0</v>
      </c>
      <c r="O1607" t="e">
        <f>INDEX('GIS-Standards'!$I$2:$I$305,MATCH(C1607,'GIS-Standards'!$B$2:$B$305,0))</f>
        <v>#N/A</v>
      </c>
      <c r="P1607" t="e">
        <f>AND(TableRelationships12[[#This Row],[Source Type]]="BIM",TableRelationships12[[#This Row],[Target Type]]="BIM")</f>
        <v>#N/A</v>
      </c>
      <c r="Q1607">
        <f t="shared" si="75"/>
        <v>6</v>
      </c>
      <c r="S1607">
        <f t="shared" si="76"/>
        <v>1</v>
      </c>
      <c r="T1607" s="102" t="str">
        <f>IF(TableRelationships12[[#This Row],[Rank Pedro]]="Low","linkCategory1",IF(TableRelationships12[[#This Row],[Rank Pedro]]="Medium","linkCategory2",IF(TableRelationships12[[#This Row],[Rank Pedro]]="High","linkCategory3","")))</f>
        <v/>
      </c>
      <c r="U1607" s="102" t="str">
        <f>IF(TableRelationships12[[#This Row],[Rank Pedro]]="Low","Pink",IF(TableRelationships12[[#This Row],[Rank Pedro]]="Medium","Purple",IF(TableRelationships12[[#This Row],[Rank Pedro]]="High","Brown","")))</f>
        <v/>
      </c>
      <c r="V1607" s="4" t="e">
        <f>MAX(INDEX(Standards!$F$2:$F$296,MATCH(B1607,Standards!$B$2:$B$296,0)),INDEX(Standards!$F$2:$F$296,MATCH(C1607,Standards!$B$2:$B$296,0)))</f>
        <v>#N/A</v>
      </c>
      <c r="W1607" t="str">
        <f t="shared" si="77"/>
        <v>#d6bf2a</v>
      </c>
    </row>
    <row r="1608" spans="1:23" x14ac:dyDescent="0.5">
      <c r="A1608" s="54">
        <v>1607</v>
      </c>
      <c r="B1608" s="90" t="s">
        <v>350</v>
      </c>
      <c r="C1608" t="s">
        <v>1234</v>
      </c>
      <c r="D1608" s="1"/>
      <c r="E1608" s="113">
        <v>2016.08</v>
      </c>
      <c r="G1608" s="107"/>
      <c r="H1608">
        <f>INDEX('GIS-Standards'!$A$2:$A$305,MATCH(B1608,'GIS-Standards'!$B$2:$B$305,0))</f>
        <v>72</v>
      </c>
      <c r="I1608" t="e">
        <f>INDEX('GIS-Standards'!$A$2:$A$305,MATCH(C1608,'GIS-Standards'!$B$2:$B$305,0))</f>
        <v>#N/A</v>
      </c>
      <c r="J1608" t="str">
        <f>INDEX('GIS-Standards'!$O$2:$O$305,MATCH(B1608,'GIS-Standards'!$B$2:$B$305,0))</f>
        <v>ISO/TC 211</v>
      </c>
      <c r="K1608" t="e">
        <f>INDEX('GIS-Standards'!$O$2:$O$305,MATCH(C1608,'GIS-Standards'!$B$2:$B$305,0))</f>
        <v>#N/A</v>
      </c>
      <c r="M1608" t="s">
        <v>524</v>
      </c>
      <c r="N1608">
        <f>INDEX('GIS-Standards'!$I$2:$I$305,MATCH(B1608,'GIS-Standards'!$B$2:$B$305,0))</f>
        <v>0</v>
      </c>
      <c r="O1608" t="e">
        <f>INDEX('GIS-Standards'!$I$2:$I$305,MATCH(C1608,'GIS-Standards'!$B$2:$B$305,0))</f>
        <v>#N/A</v>
      </c>
      <c r="P1608" t="e">
        <f>AND(TableRelationships12[[#This Row],[Source Type]]="BIM",TableRelationships12[[#This Row],[Target Type]]="BIM")</f>
        <v>#N/A</v>
      </c>
      <c r="Q1608">
        <f t="shared" si="75"/>
        <v>6</v>
      </c>
      <c r="S1608">
        <f t="shared" si="76"/>
        <v>1</v>
      </c>
      <c r="T1608" s="102" t="str">
        <f>IF(TableRelationships12[[#This Row],[Rank Pedro]]="Low","linkCategory1",IF(TableRelationships12[[#This Row],[Rank Pedro]]="Medium","linkCategory2",IF(TableRelationships12[[#This Row],[Rank Pedro]]="High","linkCategory3","")))</f>
        <v/>
      </c>
      <c r="U1608" s="102" t="str">
        <f>IF(TableRelationships12[[#This Row],[Rank Pedro]]="Low","Pink",IF(TableRelationships12[[#This Row],[Rank Pedro]]="Medium","Purple",IF(TableRelationships12[[#This Row],[Rank Pedro]]="High","Brown","")))</f>
        <v/>
      </c>
      <c r="V1608" s="4" t="e">
        <f>MAX(INDEX(Standards!$F$2:$F$296,MATCH(B1608,Standards!$B$2:$B$296,0)),INDEX(Standards!$F$2:$F$296,MATCH(C1608,Standards!$B$2:$B$296,0)))</f>
        <v>#N/A</v>
      </c>
      <c r="W1608" t="str">
        <f t="shared" si="77"/>
        <v>#d6bf2a</v>
      </c>
    </row>
    <row r="1609" spans="1:23" x14ac:dyDescent="0.5">
      <c r="A1609" s="54">
        <v>1608</v>
      </c>
      <c r="B1609" s="90" t="s">
        <v>350</v>
      </c>
      <c r="C1609" t="s">
        <v>1235</v>
      </c>
      <c r="D1609" s="1"/>
      <c r="G1609" s="107"/>
      <c r="H1609">
        <f>INDEX('GIS-Standards'!$A$2:$A$305,MATCH(B1609,'GIS-Standards'!$B$2:$B$305,0))</f>
        <v>72</v>
      </c>
      <c r="I1609" t="e">
        <f>INDEX('GIS-Standards'!$A$2:$A$305,MATCH(C1609,'GIS-Standards'!$B$2:$B$305,0))</f>
        <v>#N/A</v>
      </c>
      <c r="J1609" t="str">
        <f>INDEX('GIS-Standards'!$O$2:$O$305,MATCH(B1609,'GIS-Standards'!$B$2:$B$305,0))</f>
        <v>ISO/TC 211</v>
      </c>
      <c r="K1609" t="e">
        <f>INDEX('GIS-Standards'!$O$2:$O$305,MATCH(C1609,'GIS-Standards'!$B$2:$B$305,0))</f>
        <v>#N/A</v>
      </c>
      <c r="M1609" t="s">
        <v>524</v>
      </c>
      <c r="N1609">
        <f>INDEX('GIS-Standards'!$I$2:$I$305,MATCH(B1609,'GIS-Standards'!$B$2:$B$305,0))</f>
        <v>0</v>
      </c>
      <c r="O1609" t="e">
        <f>INDEX('GIS-Standards'!$I$2:$I$305,MATCH(C1609,'GIS-Standards'!$B$2:$B$305,0))</f>
        <v>#N/A</v>
      </c>
      <c r="P1609" t="e">
        <f>AND(TableRelationships12[[#This Row],[Source Type]]="BIM",TableRelationships12[[#This Row],[Target Type]]="BIM")</f>
        <v>#N/A</v>
      </c>
      <c r="Q1609">
        <f t="shared" si="75"/>
        <v>6</v>
      </c>
      <c r="S1609">
        <f t="shared" si="76"/>
        <v>1</v>
      </c>
      <c r="T1609" s="102" t="str">
        <f>IF(TableRelationships12[[#This Row],[Rank Pedro]]="Low","linkCategory1",IF(TableRelationships12[[#This Row],[Rank Pedro]]="Medium","linkCategory2",IF(TableRelationships12[[#This Row],[Rank Pedro]]="High","linkCategory3","")))</f>
        <v/>
      </c>
      <c r="U1609" s="102" t="str">
        <f>IF(TableRelationships12[[#This Row],[Rank Pedro]]="Low","Pink",IF(TableRelationships12[[#This Row],[Rank Pedro]]="Medium","Purple",IF(TableRelationships12[[#This Row],[Rank Pedro]]="High","Brown","")))</f>
        <v/>
      </c>
      <c r="V1609" s="4" t="e">
        <f>MAX(INDEX(Standards!$F$2:$F$296,MATCH(B1609,Standards!$B$2:$B$296,0)),INDEX(Standards!$F$2:$F$296,MATCH(C1609,Standards!$B$2:$B$296,0)))</f>
        <v>#N/A</v>
      </c>
      <c r="W1609" t="str">
        <f t="shared" si="77"/>
        <v>#d6bf2a</v>
      </c>
    </row>
    <row r="1610" spans="1:23" x14ac:dyDescent="0.5">
      <c r="A1610" s="54">
        <v>1609</v>
      </c>
      <c r="B1610" s="90" t="s">
        <v>350</v>
      </c>
      <c r="C1610" t="s">
        <v>1121</v>
      </c>
      <c r="D1610" s="1"/>
      <c r="E1610" s="112">
        <v>2005.01</v>
      </c>
      <c r="G1610" s="107"/>
      <c r="H1610">
        <f>INDEX('GIS-Standards'!$A$2:$A$305,MATCH(B1610,'GIS-Standards'!$B$2:$B$305,0))</f>
        <v>72</v>
      </c>
      <c r="I1610" t="e">
        <f>INDEX('GIS-Standards'!$A$2:$A$305,MATCH(C1610,'GIS-Standards'!$B$2:$B$305,0))</f>
        <v>#N/A</v>
      </c>
      <c r="J1610" t="str">
        <f>INDEX('GIS-Standards'!$O$2:$O$305,MATCH(B1610,'GIS-Standards'!$B$2:$B$305,0))</f>
        <v>ISO/TC 211</v>
      </c>
      <c r="K1610" t="e">
        <f>INDEX('GIS-Standards'!$O$2:$O$305,MATCH(C1610,'GIS-Standards'!$B$2:$B$305,0))</f>
        <v>#N/A</v>
      </c>
      <c r="M1610" t="s">
        <v>525</v>
      </c>
      <c r="N1610">
        <f>INDEX('GIS-Standards'!$I$2:$I$305,MATCH(B1610,'GIS-Standards'!$B$2:$B$305,0))</f>
        <v>0</v>
      </c>
      <c r="O1610" t="e">
        <f>INDEX('GIS-Standards'!$I$2:$I$305,MATCH(C1610,'GIS-Standards'!$B$2:$B$305,0))</f>
        <v>#N/A</v>
      </c>
      <c r="P1610" t="e">
        <f>AND(TableRelationships12[[#This Row],[Source Type]]="BIM",TableRelationships12[[#This Row],[Target Type]]="BIM")</f>
        <v>#N/A</v>
      </c>
      <c r="Q1610">
        <f t="shared" si="75"/>
        <v>1</v>
      </c>
      <c r="S1610">
        <f t="shared" si="76"/>
        <v>1</v>
      </c>
      <c r="T1610" s="102" t="str">
        <f>IF(TableRelationships12[[#This Row],[Rank Pedro]]="Low","linkCategory1",IF(TableRelationships12[[#This Row],[Rank Pedro]]="Medium","linkCategory2",IF(TableRelationships12[[#This Row],[Rank Pedro]]="High","linkCategory3","")))</f>
        <v/>
      </c>
      <c r="U1610" s="102" t="str">
        <f>IF(TableRelationships12[[#This Row],[Rank Pedro]]="Low","Pink",IF(TableRelationships12[[#This Row],[Rank Pedro]]="Medium","Purple",IF(TableRelationships12[[#This Row],[Rank Pedro]]="High","Brown","")))</f>
        <v/>
      </c>
      <c r="V1610" s="4" t="e">
        <f>MAX(INDEX(Standards!$F$2:$F$296,MATCH(B1610,Standards!$B$2:$B$296,0)),INDEX(Standards!$F$2:$F$296,MATCH(C1610,Standards!$B$2:$B$296,0)))</f>
        <v>#N/A</v>
      </c>
      <c r="W1610" t="str">
        <f t="shared" si="77"/>
        <v>#2f89d1</v>
      </c>
    </row>
    <row r="1611" spans="1:23" x14ac:dyDescent="0.5">
      <c r="A1611" s="54">
        <v>1610</v>
      </c>
      <c r="B1611" s="90" t="s">
        <v>350</v>
      </c>
      <c r="C1611" t="s">
        <v>1236</v>
      </c>
      <c r="D1611" s="1"/>
      <c r="E1611" s="112">
        <v>2005.08</v>
      </c>
      <c r="F1611" s="112">
        <v>2025.1</v>
      </c>
      <c r="G1611" s="107"/>
      <c r="H1611">
        <f>INDEX('GIS-Standards'!$A$2:$A$305,MATCH(B1611,'GIS-Standards'!$B$2:$B$305,0))</f>
        <v>72</v>
      </c>
      <c r="I1611" t="e">
        <f>INDEX('GIS-Standards'!$A$2:$A$305,MATCH(C1611,'GIS-Standards'!$B$2:$B$305,0))</f>
        <v>#N/A</v>
      </c>
      <c r="J1611" t="str">
        <f>INDEX('GIS-Standards'!$O$2:$O$305,MATCH(B1611,'GIS-Standards'!$B$2:$B$305,0))</f>
        <v>ISO/TC 211</v>
      </c>
      <c r="K1611" t="e">
        <f>INDEX('GIS-Standards'!$O$2:$O$305,MATCH(C1611,'GIS-Standards'!$B$2:$B$305,0))</f>
        <v>#N/A</v>
      </c>
      <c r="M1611" t="s">
        <v>525</v>
      </c>
      <c r="N1611">
        <f>INDEX('GIS-Standards'!$I$2:$I$305,MATCH(B1611,'GIS-Standards'!$B$2:$B$305,0))</f>
        <v>0</v>
      </c>
      <c r="O1611" t="e">
        <f>INDEX('GIS-Standards'!$I$2:$I$305,MATCH(C1611,'GIS-Standards'!$B$2:$B$305,0))</f>
        <v>#N/A</v>
      </c>
      <c r="P1611" t="e">
        <f>AND(TableRelationships12[[#This Row],[Source Type]]="BIM",TableRelationships12[[#This Row],[Target Type]]="BIM")</f>
        <v>#N/A</v>
      </c>
      <c r="Q1611">
        <f t="shared" si="75"/>
        <v>1</v>
      </c>
      <c r="S1611">
        <f t="shared" si="76"/>
        <v>1</v>
      </c>
      <c r="T1611" s="102" t="str">
        <f>IF(TableRelationships12[[#This Row],[Rank Pedro]]="Low","linkCategory1",IF(TableRelationships12[[#This Row],[Rank Pedro]]="Medium","linkCategory2",IF(TableRelationships12[[#This Row],[Rank Pedro]]="High","linkCategory3","")))</f>
        <v/>
      </c>
      <c r="U1611" s="102" t="str">
        <f>IF(TableRelationships12[[#This Row],[Rank Pedro]]="Low","Pink",IF(TableRelationships12[[#This Row],[Rank Pedro]]="Medium","Purple",IF(TableRelationships12[[#This Row],[Rank Pedro]]="High","Brown","")))</f>
        <v/>
      </c>
      <c r="V1611" s="4" t="e">
        <f>MAX(INDEX(Standards!$F$2:$F$296,MATCH(B1611,Standards!$B$2:$B$296,0)),INDEX(Standards!$F$2:$F$296,MATCH(C1611,Standards!$B$2:$B$296,0)))</f>
        <v>#N/A</v>
      </c>
      <c r="W1611" t="str">
        <f t="shared" si="77"/>
        <v>#2f89d1</v>
      </c>
    </row>
    <row r="1612" spans="1:23" x14ac:dyDescent="0.5">
      <c r="A1612" s="54">
        <v>1611</v>
      </c>
      <c r="B1612" s="90" t="s">
        <v>350</v>
      </c>
      <c r="C1612" t="s">
        <v>192</v>
      </c>
      <c r="D1612" s="1"/>
      <c r="E1612" s="113">
        <v>1976.04</v>
      </c>
      <c r="F1612" s="113">
        <v>2022.1</v>
      </c>
      <c r="G1612" s="107" t="s">
        <v>1481</v>
      </c>
      <c r="H1612">
        <f>INDEX('GIS-Standards'!$A$2:$A$305,MATCH(B1612,'GIS-Standards'!$B$2:$B$305,0))</f>
        <v>72</v>
      </c>
      <c r="I1612" t="e">
        <f>INDEX('GIS-Standards'!$A$2:$A$305,MATCH(C1612,'GIS-Standards'!$B$2:$B$305,0))</f>
        <v>#N/A</v>
      </c>
      <c r="J1612" t="str">
        <f>INDEX('GIS-Standards'!$O$2:$O$305,MATCH(B1612,'GIS-Standards'!$B$2:$B$305,0))</f>
        <v>ISO/TC 211</v>
      </c>
      <c r="K1612" t="e">
        <f>INDEX('GIS-Standards'!$O$2:$O$305,MATCH(C1612,'GIS-Standards'!$B$2:$B$305,0))</f>
        <v>#N/A</v>
      </c>
      <c r="M1612" t="s">
        <v>525</v>
      </c>
      <c r="N1612">
        <f>INDEX('GIS-Standards'!$I$2:$I$305,MATCH(B1612,'GIS-Standards'!$B$2:$B$305,0))</f>
        <v>0</v>
      </c>
      <c r="O1612" t="e">
        <f>INDEX('GIS-Standards'!$I$2:$I$305,MATCH(C1612,'GIS-Standards'!$B$2:$B$305,0))</f>
        <v>#N/A</v>
      </c>
      <c r="P1612" t="e">
        <f>AND(TableRelationships12[[#This Row],[Source Type]]="BIM",TableRelationships12[[#This Row],[Target Type]]="BIM")</f>
        <v>#N/A</v>
      </c>
      <c r="Q1612">
        <f t="shared" si="75"/>
        <v>1</v>
      </c>
      <c r="S1612">
        <f t="shared" si="76"/>
        <v>1</v>
      </c>
      <c r="T1612" s="102" t="str">
        <f>IF(TableRelationships12[[#This Row],[Rank Pedro]]="Low","linkCategory1",IF(TableRelationships12[[#This Row],[Rank Pedro]]="Medium","linkCategory2",IF(TableRelationships12[[#This Row],[Rank Pedro]]="High","linkCategory3","")))</f>
        <v/>
      </c>
      <c r="U1612" s="102" t="str">
        <f>IF(TableRelationships12[[#This Row],[Rank Pedro]]="Low","Pink",IF(TableRelationships12[[#This Row],[Rank Pedro]]="Medium","Purple",IF(TableRelationships12[[#This Row],[Rank Pedro]]="High","Brown","")))</f>
        <v/>
      </c>
      <c r="V1612" s="4">
        <f>MAX(INDEX(Standards!$F$2:$F$296,MATCH(B1612,Standards!$B$2:$B$296,0)),INDEX(Standards!$F$2:$F$296,MATCH(C1612,Standards!$B$2:$B$296,0)))</f>
        <v>44075</v>
      </c>
      <c r="W1612" t="str">
        <f t="shared" si="77"/>
        <v>#2f89d1</v>
      </c>
    </row>
    <row r="1613" spans="1:23" x14ac:dyDescent="0.5">
      <c r="A1613" s="54">
        <v>1612</v>
      </c>
      <c r="B1613" s="90" t="s">
        <v>350</v>
      </c>
      <c r="C1613" t="s">
        <v>340</v>
      </c>
      <c r="D1613" s="1"/>
      <c r="E1613" s="112">
        <v>2010.12</v>
      </c>
      <c r="F1613" s="112">
        <v>2010.12</v>
      </c>
      <c r="G1613" s="107" t="s">
        <v>670</v>
      </c>
      <c r="H1613">
        <f>INDEX('GIS-Standards'!$A$2:$A$305,MATCH(B1613,'GIS-Standards'!$B$2:$B$305,0))</f>
        <v>72</v>
      </c>
      <c r="I1613">
        <f>INDEX('GIS-Standards'!$A$2:$A$305,MATCH(C1613,'GIS-Standards'!$B$2:$B$305,0))</f>
        <v>46</v>
      </c>
      <c r="J1613" t="str">
        <f>INDEX('GIS-Standards'!$O$2:$O$305,MATCH(B1613,'GIS-Standards'!$B$2:$B$305,0))</f>
        <v>ISO/TC 211</v>
      </c>
      <c r="K1613" t="str">
        <f>INDEX('GIS-Standards'!$O$2:$O$305,MATCH(C1613,'GIS-Standards'!$B$2:$B$305,0))</f>
        <v>ISO/TC 211</v>
      </c>
      <c r="M1613" t="s">
        <v>525</v>
      </c>
      <c r="N1613">
        <f>INDEX('GIS-Standards'!$I$2:$I$305,MATCH(B1613,'GIS-Standards'!$B$2:$B$305,0))</f>
        <v>0</v>
      </c>
      <c r="O1613">
        <f>INDEX('GIS-Standards'!$I$2:$I$305,MATCH(C1613,'GIS-Standards'!$B$2:$B$305,0))</f>
        <v>0</v>
      </c>
      <c r="P1613" t="b">
        <f>AND(TableRelationships12[[#This Row],[Source Type]]="BIM",TableRelationships12[[#This Row],[Target Type]]="BIM")</f>
        <v>0</v>
      </c>
      <c r="Q1613">
        <f t="shared" si="75"/>
        <v>1</v>
      </c>
      <c r="S1613">
        <f t="shared" si="76"/>
        <v>1</v>
      </c>
      <c r="T1613" s="102" t="str">
        <f>IF(TableRelationships12[[#This Row],[Rank Pedro]]="Low","linkCategory1",IF(TableRelationships12[[#This Row],[Rank Pedro]]="Medium","linkCategory2",IF(TableRelationships12[[#This Row],[Rank Pedro]]="High","linkCategory3","")))</f>
        <v/>
      </c>
      <c r="U1613" s="102" t="str">
        <f>IF(TableRelationships12[[#This Row],[Rank Pedro]]="Low","Pink",IF(TableRelationships12[[#This Row],[Rank Pedro]]="Medium","Purple",IF(TableRelationships12[[#This Row],[Rank Pedro]]="High","Brown","")))</f>
        <v/>
      </c>
      <c r="V1613" s="4">
        <f>MAX(INDEX(Standards!$F$2:$F$296,MATCH(B1613,Standards!$B$2:$B$296,0)),INDEX(Standards!$F$2:$F$296,MATCH(C1613,Standards!$B$2:$B$296,0)))</f>
        <v>44075</v>
      </c>
      <c r="W1613" t="str">
        <f t="shared" si="77"/>
        <v>#2f89d1</v>
      </c>
    </row>
    <row r="1614" spans="1:23" x14ac:dyDescent="0.5">
      <c r="A1614" s="54">
        <v>1613</v>
      </c>
      <c r="B1614" s="90" t="s">
        <v>350</v>
      </c>
      <c r="C1614" t="s">
        <v>1237</v>
      </c>
      <c r="D1614" s="1"/>
      <c r="G1614" s="107"/>
      <c r="H1614">
        <f>INDEX('GIS-Standards'!$A$2:$A$305,MATCH(B1614,'GIS-Standards'!$B$2:$B$305,0))</f>
        <v>72</v>
      </c>
      <c r="I1614" t="e">
        <f>INDEX('GIS-Standards'!$A$2:$A$305,MATCH(C1614,'GIS-Standards'!$B$2:$B$305,0))</f>
        <v>#N/A</v>
      </c>
      <c r="J1614" t="str">
        <f>INDEX('GIS-Standards'!$O$2:$O$305,MATCH(B1614,'GIS-Standards'!$B$2:$B$305,0))</f>
        <v>ISO/TC 211</v>
      </c>
      <c r="K1614" t="e">
        <f>INDEX('GIS-Standards'!$O$2:$O$305,MATCH(C1614,'GIS-Standards'!$B$2:$B$305,0))</f>
        <v>#N/A</v>
      </c>
      <c r="M1614" t="s">
        <v>525</v>
      </c>
      <c r="N1614">
        <f>INDEX('GIS-Standards'!$I$2:$I$305,MATCH(B1614,'GIS-Standards'!$B$2:$B$305,0))</f>
        <v>0</v>
      </c>
      <c r="O1614" t="e">
        <f>INDEX('GIS-Standards'!$I$2:$I$305,MATCH(C1614,'GIS-Standards'!$B$2:$B$305,0))</f>
        <v>#N/A</v>
      </c>
      <c r="P1614" t="e">
        <f>AND(TableRelationships12[[#This Row],[Source Type]]="BIM",TableRelationships12[[#This Row],[Target Type]]="BIM")</f>
        <v>#N/A</v>
      </c>
      <c r="Q1614">
        <f t="shared" si="75"/>
        <v>1</v>
      </c>
      <c r="S1614">
        <f t="shared" si="76"/>
        <v>1</v>
      </c>
      <c r="T1614" s="102" t="str">
        <f>IF(TableRelationships12[[#This Row],[Rank Pedro]]="Low","linkCategory1",IF(TableRelationships12[[#This Row],[Rank Pedro]]="Medium","linkCategory2",IF(TableRelationships12[[#This Row],[Rank Pedro]]="High","linkCategory3","")))</f>
        <v/>
      </c>
      <c r="U1614" s="102" t="str">
        <f>IF(TableRelationships12[[#This Row],[Rank Pedro]]="Low","Pink",IF(TableRelationships12[[#This Row],[Rank Pedro]]="Medium","Purple",IF(TableRelationships12[[#This Row],[Rank Pedro]]="High","Brown","")))</f>
        <v/>
      </c>
      <c r="V1614" s="4" t="e">
        <f>MAX(INDEX(Standards!$F$2:$F$296,MATCH(B1614,Standards!$B$2:$B$296,0)),INDEX(Standards!$F$2:$F$296,MATCH(C1614,Standards!$B$2:$B$296,0)))</f>
        <v>#N/A</v>
      </c>
      <c r="W1614" t="str">
        <f t="shared" si="77"/>
        <v>#2f89d1</v>
      </c>
    </row>
    <row r="1615" spans="1:23" x14ac:dyDescent="0.5">
      <c r="A1615" s="54">
        <v>1614</v>
      </c>
      <c r="B1615" s="90" t="s">
        <v>350</v>
      </c>
      <c r="C1615" t="s">
        <v>1246</v>
      </c>
      <c r="D1615" s="1"/>
      <c r="G1615" s="107"/>
      <c r="H1615">
        <f>INDEX('GIS-Standards'!$A$2:$A$305,MATCH(B1615,'GIS-Standards'!$B$2:$B$305,0))</f>
        <v>72</v>
      </c>
      <c r="I1615" t="e">
        <f>INDEX('GIS-Standards'!$A$2:$A$305,MATCH(C1615,'GIS-Standards'!$B$2:$B$305,0))</f>
        <v>#N/A</v>
      </c>
      <c r="J1615" t="str">
        <f>INDEX('GIS-Standards'!$O$2:$O$305,MATCH(B1615,'GIS-Standards'!$B$2:$B$305,0))</f>
        <v>ISO/TC 211</v>
      </c>
      <c r="K1615" t="e">
        <f>INDEX('GIS-Standards'!$O$2:$O$305,MATCH(C1615,'GIS-Standards'!$B$2:$B$305,0))</f>
        <v>#N/A</v>
      </c>
      <c r="M1615" t="s">
        <v>525</v>
      </c>
      <c r="N1615">
        <f>INDEX('GIS-Standards'!$I$2:$I$305,MATCH(B1615,'GIS-Standards'!$B$2:$B$305,0))</f>
        <v>0</v>
      </c>
      <c r="O1615" t="e">
        <f>INDEX('GIS-Standards'!$I$2:$I$305,MATCH(C1615,'GIS-Standards'!$B$2:$B$305,0))</f>
        <v>#N/A</v>
      </c>
      <c r="P1615" t="e">
        <f>AND(TableRelationships12[[#This Row],[Source Type]]="BIM",TableRelationships12[[#This Row],[Target Type]]="BIM")</f>
        <v>#N/A</v>
      </c>
      <c r="Q1615">
        <f t="shared" si="75"/>
        <v>1</v>
      </c>
      <c r="S1615">
        <f t="shared" si="76"/>
        <v>1</v>
      </c>
      <c r="T1615" s="102" t="str">
        <f>IF(TableRelationships12[[#This Row],[Rank Pedro]]="Low","linkCategory1",IF(TableRelationships12[[#This Row],[Rank Pedro]]="Medium","linkCategory2",IF(TableRelationships12[[#This Row],[Rank Pedro]]="High","linkCategory3","")))</f>
        <v/>
      </c>
      <c r="U1615" s="102" t="str">
        <f>IF(TableRelationships12[[#This Row],[Rank Pedro]]="Low","Pink",IF(TableRelationships12[[#This Row],[Rank Pedro]]="Medium","Purple",IF(TableRelationships12[[#This Row],[Rank Pedro]]="High","Brown","")))</f>
        <v/>
      </c>
      <c r="V1615" s="4" t="e">
        <f>MAX(INDEX(Standards!$F$2:$F$296,MATCH(B1615,Standards!$B$2:$B$296,0)),INDEX(Standards!$F$2:$F$296,MATCH(C1615,Standards!$B$2:$B$296,0)))</f>
        <v>#N/A</v>
      </c>
      <c r="W1615" t="str">
        <f t="shared" si="77"/>
        <v>#2f89d1</v>
      </c>
    </row>
    <row r="1616" spans="1:23" x14ac:dyDescent="0.5">
      <c r="A1616" s="54">
        <v>1615</v>
      </c>
      <c r="B1616" s="90" t="s">
        <v>350</v>
      </c>
      <c r="C1616" t="s">
        <v>1238</v>
      </c>
      <c r="D1616" s="1"/>
      <c r="G1616" s="107"/>
      <c r="H1616">
        <f>INDEX('GIS-Standards'!$A$2:$A$305,MATCH(B1616,'GIS-Standards'!$B$2:$B$305,0))</f>
        <v>72</v>
      </c>
      <c r="I1616" t="e">
        <f>INDEX('GIS-Standards'!$A$2:$A$305,MATCH(C1616,'GIS-Standards'!$B$2:$B$305,0))</f>
        <v>#N/A</v>
      </c>
      <c r="J1616" t="str">
        <f>INDEX('GIS-Standards'!$O$2:$O$305,MATCH(B1616,'GIS-Standards'!$B$2:$B$305,0))</f>
        <v>ISO/TC 211</v>
      </c>
      <c r="K1616" t="e">
        <f>INDEX('GIS-Standards'!$O$2:$O$305,MATCH(C1616,'GIS-Standards'!$B$2:$B$305,0))</f>
        <v>#N/A</v>
      </c>
      <c r="M1616" t="s">
        <v>525</v>
      </c>
      <c r="N1616">
        <f>INDEX('GIS-Standards'!$I$2:$I$305,MATCH(B1616,'GIS-Standards'!$B$2:$B$305,0))</f>
        <v>0</v>
      </c>
      <c r="O1616" t="e">
        <f>INDEX('GIS-Standards'!$I$2:$I$305,MATCH(C1616,'GIS-Standards'!$B$2:$B$305,0))</f>
        <v>#N/A</v>
      </c>
      <c r="P1616" t="e">
        <f>AND(TableRelationships12[[#This Row],[Source Type]]="BIM",TableRelationships12[[#This Row],[Target Type]]="BIM")</f>
        <v>#N/A</v>
      </c>
      <c r="Q1616">
        <f t="shared" si="75"/>
        <v>1</v>
      </c>
      <c r="S1616">
        <f t="shared" si="76"/>
        <v>1</v>
      </c>
      <c r="T1616" s="102" t="str">
        <f>IF(TableRelationships12[[#This Row],[Rank Pedro]]="Low","linkCategory1",IF(TableRelationships12[[#This Row],[Rank Pedro]]="Medium","linkCategory2",IF(TableRelationships12[[#This Row],[Rank Pedro]]="High","linkCategory3","")))</f>
        <v/>
      </c>
      <c r="U1616" s="102" t="str">
        <f>IF(TableRelationships12[[#This Row],[Rank Pedro]]="Low","Pink",IF(TableRelationships12[[#This Row],[Rank Pedro]]="Medium","Purple",IF(TableRelationships12[[#This Row],[Rank Pedro]]="High","Brown","")))</f>
        <v/>
      </c>
      <c r="V1616" s="4" t="e">
        <f>MAX(INDEX(Standards!$F$2:$F$296,MATCH(B1616,Standards!$B$2:$B$296,0)),INDEX(Standards!$F$2:$F$296,MATCH(C1616,Standards!$B$2:$B$296,0)))</f>
        <v>#N/A</v>
      </c>
      <c r="W1616" t="str">
        <f t="shared" si="77"/>
        <v>#2f89d1</v>
      </c>
    </row>
    <row r="1617" spans="1:23" x14ac:dyDescent="0.5">
      <c r="A1617" s="54">
        <v>1616</v>
      </c>
      <c r="B1617" s="90" t="s">
        <v>350</v>
      </c>
      <c r="C1617" t="s">
        <v>1239</v>
      </c>
      <c r="D1617" s="1"/>
      <c r="G1617" s="107"/>
      <c r="H1617">
        <f>INDEX('GIS-Standards'!$A$2:$A$305,MATCH(B1617,'GIS-Standards'!$B$2:$B$305,0))</f>
        <v>72</v>
      </c>
      <c r="I1617" t="e">
        <f>INDEX('GIS-Standards'!$A$2:$A$305,MATCH(C1617,'GIS-Standards'!$B$2:$B$305,0))</f>
        <v>#N/A</v>
      </c>
      <c r="J1617" t="str">
        <f>INDEX('GIS-Standards'!$O$2:$O$305,MATCH(B1617,'GIS-Standards'!$B$2:$B$305,0))</f>
        <v>ISO/TC 211</v>
      </c>
      <c r="K1617" t="e">
        <f>INDEX('GIS-Standards'!$O$2:$O$305,MATCH(C1617,'GIS-Standards'!$B$2:$B$305,0))</f>
        <v>#N/A</v>
      </c>
      <c r="M1617" t="s">
        <v>525</v>
      </c>
      <c r="N1617">
        <f>INDEX('GIS-Standards'!$I$2:$I$305,MATCH(B1617,'GIS-Standards'!$B$2:$B$305,0))</f>
        <v>0</v>
      </c>
      <c r="O1617" t="e">
        <f>INDEX('GIS-Standards'!$I$2:$I$305,MATCH(C1617,'GIS-Standards'!$B$2:$B$305,0))</f>
        <v>#N/A</v>
      </c>
      <c r="P1617" t="e">
        <f>AND(TableRelationships12[[#This Row],[Source Type]]="BIM",TableRelationships12[[#This Row],[Target Type]]="BIM")</f>
        <v>#N/A</v>
      </c>
      <c r="Q1617">
        <f t="shared" si="75"/>
        <v>1</v>
      </c>
      <c r="S1617">
        <f t="shared" si="76"/>
        <v>1</v>
      </c>
      <c r="T1617" s="102" t="str">
        <f>IF(TableRelationships12[[#This Row],[Rank Pedro]]="Low","linkCategory1",IF(TableRelationships12[[#This Row],[Rank Pedro]]="Medium","linkCategory2",IF(TableRelationships12[[#This Row],[Rank Pedro]]="High","linkCategory3","")))</f>
        <v/>
      </c>
      <c r="U1617" s="102" t="str">
        <f>IF(TableRelationships12[[#This Row],[Rank Pedro]]="Low","Pink",IF(TableRelationships12[[#This Row],[Rank Pedro]]="Medium","Purple",IF(TableRelationships12[[#This Row],[Rank Pedro]]="High","Brown","")))</f>
        <v/>
      </c>
      <c r="V1617" s="4" t="e">
        <f>MAX(INDEX(Standards!$F$2:$F$296,MATCH(B1617,Standards!$B$2:$B$296,0)),INDEX(Standards!$F$2:$F$296,MATCH(C1617,Standards!$B$2:$B$296,0)))</f>
        <v>#N/A</v>
      </c>
      <c r="W1617" t="str">
        <f t="shared" si="77"/>
        <v>#2f89d1</v>
      </c>
    </row>
    <row r="1618" spans="1:23" x14ac:dyDescent="0.5">
      <c r="A1618" s="54">
        <v>1617</v>
      </c>
      <c r="B1618" s="90" t="s">
        <v>350</v>
      </c>
      <c r="C1618" t="s">
        <v>1240</v>
      </c>
      <c r="D1618" s="1"/>
      <c r="G1618" s="107"/>
      <c r="H1618">
        <f>INDEX('GIS-Standards'!$A$2:$A$305,MATCH(B1618,'GIS-Standards'!$B$2:$B$305,0))</f>
        <v>72</v>
      </c>
      <c r="I1618" t="e">
        <f>INDEX('GIS-Standards'!$A$2:$A$305,MATCH(C1618,'GIS-Standards'!$B$2:$B$305,0))</f>
        <v>#N/A</v>
      </c>
      <c r="J1618" t="str">
        <f>INDEX('GIS-Standards'!$O$2:$O$305,MATCH(B1618,'GIS-Standards'!$B$2:$B$305,0))</f>
        <v>ISO/TC 211</v>
      </c>
      <c r="K1618" t="e">
        <f>INDEX('GIS-Standards'!$O$2:$O$305,MATCH(C1618,'GIS-Standards'!$B$2:$B$305,0))</f>
        <v>#N/A</v>
      </c>
      <c r="M1618" t="s">
        <v>525</v>
      </c>
      <c r="N1618">
        <f>INDEX('GIS-Standards'!$I$2:$I$305,MATCH(B1618,'GIS-Standards'!$B$2:$B$305,0))</f>
        <v>0</v>
      </c>
      <c r="O1618" t="e">
        <f>INDEX('GIS-Standards'!$I$2:$I$305,MATCH(C1618,'GIS-Standards'!$B$2:$B$305,0))</f>
        <v>#N/A</v>
      </c>
      <c r="P1618" t="e">
        <f>AND(TableRelationships12[[#This Row],[Source Type]]="BIM",TableRelationships12[[#This Row],[Target Type]]="BIM")</f>
        <v>#N/A</v>
      </c>
      <c r="Q1618">
        <f t="shared" si="75"/>
        <v>1</v>
      </c>
      <c r="S1618">
        <f t="shared" si="76"/>
        <v>1</v>
      </c>
      <c r="T1618" s="102" t="str">
        <f>IF(TableRelationships12[[#This Row],[Rank Pedro]]="Low","linkCategory1",IF(TableRelationships12[[#This Row],[Rank Pedro]]="Medium","linkCategory2",IF(TableRelationships12[[#This Row],[Rank Pedro]]="High","linkCategory3","")))</f>
        <v/>
      </c>
      <c r="U1618" s="102" t="str">
        <f>IF(TableRelationships12[[#This Row],[Rank Pedro]]="Low","Pink",IF(TableRelationships12[[#This Row],[Rank Pedro]]="Medium","Purple",IF(TableRelationships12[[#This Row],[Rank Pedro]]="High","Brown","")))</f>
        <v/>
      </c>
      <c r="V1618" s="4" t="e">
        <f>MAX(INDEX(Standards!$F$2:$F$296,MATCH(B1618,Standards!$B$2:$B$296,0)),INDEX(Standards!$F$2:$F$296,MATCH(C1618,Standards!$B$2:$B$296,0)))</f>
        <v>#N/A</v>
      </c>
      <c r="W1618" t="str">
        <f t="shared" si="77"/>
        <v>#2f89d1</v>
      </c>
    </row>
    <row r="1619" spans="1:23" x14ac:dyDescent="0.5">
      <c r="A1619" s="54">
        <v>1618</v>
      </c>
      <c r="B1619" s="90" t="s">
        <v>350</v>
      </c>
      <c r="C1619" t="s">
        <v>1241</v>
      </c>
      <c r="D1619" s="1"/>
      <c r="E1619" s="112">
        <v>2003.11</v>
      </c>
      <c r="F1619" s="112">
        <v>2019.02</v>
      </c>
      <c r="G1619" s="107" t="s">
        <v>1458</v>
      </c>
      <c r="H1619">
        <f>INDEX('GIS-Standards'!$A$2:$A$305,MATCH(B1619,'GIS-Standards'!$B$2:$B$305,0))</f>
        <v>72</v>
      </c>
      <c r="I1619" t="e">
        <f>INDEX('GIS-Standards'!$A$2:$A$305,MATCH(C1619,'GIS-Standards'!$B$2:$B$305,0))</f>
        <v>#N/A</v>
      </c>
      <c r="J1619" t="str">
        <f>INDEX('GIS-Standards'!$O$2:$O$305,MATCH(B1619,'GIS-Standards'!$B$2:$B$305,0))</f>
        <v>ISO/TC 211</v>
      </c>
      <c r="K1619" t="e">
        <f>INDEX('GIS-Standards'!$O$2:$O$305,MATCH(C1619,'GIS-Standards'!$B$2:$B$305,0))</f>
        <v>#N/A</v>
      </c>
      <c r="M1619" t="s">
        <v>525</v>
      </c>
      <c r="N1619">
        <f>INDEX('GIS-Standards'!$I$2:$I$305,MATCH(B1619,'GIS-Standards'!$B$2:$B$305,0))</f>
        <v>0</v>
      </c>
      <c r="O1619" t="e">
        <f>INDEX('GIS-Standards'!$I$2:$I$305,MATCH(C1619,'GIS-Standards'!$B$2:$B$305,0))</f>
        <v>#N/A</v>
      </c>
      <c r="P1619" t="e">
        <f>AND(TableRelationships12[[#This Row],[Source Type]]="BIM",TableRelationships12[[#This Row],[Target Type]]="BIM")</f>
        <v>#N/A</v>
      </c>
      <c r="Q1619">
        <f t="shared" si="75"/>
        <v>1</v>
      </c>
      <c r="S1619">
        <f t="shared" si="76"/>
        <v>1</v>
      </c>
      <c r="T1619" s="102" t="str">
        <f>IF(TableRelationships12[[#This Row],[Rank Pedro]]="Low","linkCategory1",IF(TableRelationships12[[#This Row],[Rank Pedro]]="Medium","linkCategory2",IF(TableRelationships12[[#This Row],[Rank Pedro]]="High","linkCategory3","")))</f>
        <v/>
      </c>
      <c r="U1619" s="102" t="str">
        <f>IF(TableRelationships12[[#This Row],[Rank Pedro]]="Low","Pink",IF(TableRelationships12[[#This Row],[Rank Pedro]]="Medium","Purple",IF(TableRelationships12[[#This Row],[Rank Pedro]]="High","Brown","")))</f>
        <v/>
      </c>
      <c r="V1619" s="4" t="e">
        <f>MAX(INDEX(Standards!$F$2:$F$296,MATCH(B1619,Standards!$B$2:$B$296,0)),INDEX(Standards!$F$2:$F$296,MATCH(C1619,Standards!$B$2:$B$296,0)))</f>
        <v>#N/A</v>
      </c>
      <c r="W1619" t="str">
        <f t="shared" si="77"/>
        <v>#2f89d1</v>
      </c>
    </row>
    <row r="1620" spans="1:23" x14ac:dyDescent="0.5">
      <c r="A1620" s="54">
        <v>1619</v>
      </c>
      <c r="B1620" s="90" t="s">
        <v>350</v>
      </c>
      <c r="C1620" t="s">
        <v>1580</v>
      </c>
      <c r="D1620" s="1"/>
      <c r="G1620" s="107"/>
      <c r="H1620">
        <f>INDEX('GIS-Standards'!$A$2:$A$305,MATCH(B1620,'GIS-Standards'!$B$2:$B$305,0))</f>
        <v>72</v>
      </c>
      <c r="I1620" t="e">
        <f>INDEX('GIS-Standards'!$A$2:$A$305,MATCH(C1620,'GIS-Standards'!$B$2:$B$305,0))</f>
        <v>#N/A</v>
      </c>
      <c r="J1620" t="str">
        <f>INDEX('GIS-Standards'!$O$2:$O$305,MATCH(B1620,'GIS-Standards'!$B$2:$B$305,0))</f>
        <v>ISO/TC 211</v>
      </c>
      <c r="K1620" t="e">
        <f>INDEX('GIS-Standards'!$O$2:$O$305,MATCH(C1620,'GIS-Standards'!$B$2:$B$305,0))</f>
        <v>#N/A</v>
      </c>
      <c r="M1620" t="s">
        <v>525</v>
      </c>
      <c r="N1620">
        <f>INDEX('GIS-Standards'!$I$2:$I$305,MATCH(B1620,'GIS-Standards'!$B$2:$B$305,0))</f>
        <v>0</v>
      </c>
      <c r="O1620" t="e">
        <f>INDEX('GIS-Standards'!$I$2:$I$305,MATCH(C1620,'GIS-Standards'!$B$2:$B$305,0))</f>
        <v>#N/A</v>
      </c>
      <c r="P1620" t="e">
        <f>AND(TableRelationships12[[#This Row],[Source Type]]="BIM",TableRelationships12[[#This Row],[Target Type]]="BIM")</f>
        <v>#N/A</v>
      </c>
      <c r="Q1620">
        <f t="shared" si="75"/>
        <v>1</v>
      </c>
      <c r="S1620">
        <f t="shared" si="76"/>
        <v>1</v>
      </c>
      <c r="T1620" s="102" t="str">
        <f>IF(TableRelationships12[[#This Row],[Rank Pedro]]="Low","linkCategory1",IF(TableRelationships12[[#This Row],[Rank Pedro]]="Medium","linkCategory2",IF(TableRelationships12[[#This Row],[Rank Pedro]]="High","linkCategory3","")))</f>
        <v/>
      </c>
      <c r="U1620" s="102" t="str">
        <f>IF(TableRelationships12[[#This Row],[Rank Pedro]]="Low","Pink",IF(TableRelationships12[[#This Row],[Rank Pedro]]="Medium","Purple",IF(TableRelationships12[[#This Row],[Rank Pedro]]="High","Brown","")))</f>
        <v/>
      </c>
      <c r="V1620" s="4" t="e">
        <f>MAX(INDEX(Standards!$F$2:$F$296,MATCH(B1620,Standards!$B$2:$B$296,0)),INDEX(Standards!$F$2:$F$296,MATCH(C1620,Standards!$B$2:$B$296,0)))</f>
        <v>#N/A</v>
      </c>
      <c r="W1620" t="str">
        <f t="shared" si="77"/>
        <v>#2f89d1</v>
      </c>
    </row>
    <row r="1621" spans="1:23" x14ac:dyDescent="0.5">
      <c r="A1621" s="54">
        <v>1620</v>
      </c>
      <c r="B1621" s="90" t="s">
        <v>350</v>
      </c>
      <c r="C1621" t="s">
        <v>1243</v>
      </c>
      <c r="D1621" s="1"/>
      <c r="E1621" s="112">
        <v>2012.1</v>
      </c>
      <c r="G1621" s="107"/>
      <c r="H1621">
        <f>INDEX('GIS-Standards'!$A$2:$A$305,MATCH(B1621,'GIS-Standards'!$B$2:$B$305,0))</f>
        <v>72</v>
      </c>
      <c r="I1621" t="e">
        <f>INDEX('GIS-Standards'!$A$2:$A$305,MATCH(C1621,'GIS-Standards'!$B$2:$B$305,0))</f>
        <v>#N/A</v>
      </c>
      <c r="J1621" t="str">
        <f>INDEX('GIS-Standards'!$O$2:$O$305,MATCH(B1621,'GIS-Standards'!$B$2:$B$305,0))</f>
        <v>ISO/TC 211</v>
      </c>
      <c r="K1621" t="e">
        <f>INDEX('GIS-Standards'!$O$2:$O$305,MATCH(C1621,'GIS-Standards'!$B$2:$B$305,0))</f>
        <v>#N/A</v>
      </c>
      <c r="M1621" t="s">
        <v>525</v>
      </c>
      <c r="N1621">
        <f>INDEX('GIS-Standards'!$I$2:$I$305,MATCH(B1621,'GIS-Standards'!$B$2:$B$305,0))</f>
        <v>0</v>
      </c>
      <c r="O1621" t="e">
        <f>INDEX('GIS-Standards'!$I$2:$I$305,MATCH(C1621,'GIS-Standards'!$B$2:$B$305,0))</f>
        <v>#N/A</v>
      </c>
      <c r="P1621" t="e">
        <f>AND(TableRelationships12[[#This Row],[Source Type]]="BIM",TableRelationships12[[#This Row],[Target Type]]="BIM")</f>
        <v>#N/A</v>
      </c>
      <c r="Q1621">
        <f t="shared" si="75"/>
        <v>1</v>
      </c>
      <c r="S1621">
        <f t="shared" si="76"/>
        <v>1</v>
      </c>
      <c r="T1621" s="102" t="str">
        <f>IF(TableRelationships12[[#This Row],[Rank Pedro]]="Low","linkCategory1",IF(TableRelationships12[[#This Row],[Rank Pedro]]="Medium","linkCategory2",IF(TableRelationships12[[#This Row],[Rank Pedro]]="High","linkCategory3","")))</f>
        <v/>
      </c>
      <c r="U1621" s="102" t="str">
        <f>IF(TableRelationships12[[#This Row],[Rank Pedro]]="Low","Pink",IF(TableRelationships12[[#This Row],[Rank Pedro]]="Medium","Purple",IF(TableRelationships12[[#This Row],[Rank Pedro]]="High","Brown","")))</f>
        <v/>
      </c>
      <c r="V1621" s="4" t="e">
        <f>MAX(INDEX(Standards!$F$2:$F$296,MATCH(B1621,Standards!$B$2:$B$296,0)),INDEX(Standards!$F$2:$F$296,MATCH(C1621,Standards!$B$2:$B$296,0)))</f>
        <v>#N/A</v>
      </c>
      <c r="W1621" t="str">
        <f t="shared" si="77"/>
        <v>#2f89d1</v>
      </c>
    </row>
    <row r="1622" spans="1:23" x14ac:dyDescent="0.5">
      <c r="A1622" s="54">
        <v>1621</v>
      </c>
      <c r="B1622" s="90" t="s">
        <v>350</v>
      </c>
      <c r="C1622" t="s">
        <v>1244</v>
      </c>
      <c r="D1622" s="1"/>
      <c r="E1622" s="112">
        <v>1999.06</v>
      </c>
      <c r="G1622" s="107"/>
      <c r="H1622">
        <f>INDEX('GIS-Standards'!$A$2:$A$305,MATCH(B1622,'GIS-Standards'!$B$2:$B$305,0))</f>
        <v>72</v>
      </c>
      <c r="I1622" t="e">
        <f>INDEX('GIS-Standards'!$A$2:$A$305,MATCH(C1622,'GIS-Standards'!$B$2:$B$305,0))</f>
        <v>#N/A</v>
      </c>
      <c r="J1622" t="str">
        <f>INDEX('GIS-Standards'!$O$2:$O$305,MATCH(B1622,'GIS-Standards'!$B$2:$B$305,0))</f>
        <v>ISO/TC 211</v>
      </c>
      <c r="K1622" t="e">
        <f>INDEX('GIS-Standards'!$O$2:$O$305,MATCH(C1622,'GIS-Standards'!$B$2:$B$305,0))</f>
        <v>#N/A</v>
      </c>
      <c r="M1622" t="s">
        <v>525</v>
      </c>
      <c r="N1622">
        <f>INDEX('GIS-Standards'!$I$2:$I$305,MATCH(B1622,'GIS-Standards'!$B$2:$B$305,0))</f>
        <v>0</v>
      </c>
      <c r="O1622" t="e">
        <f>INDEX('GIS-Standards'!$I$2:$I$305,MATCH(C1622,'GIS-Standards'!$B$2:$B$305,0))</f>
        <v>#N/A</v>
      </c>
      <c r="P1622" t="e">
        <f>AND(TableRelationships12[[#This Row],[Source Type]]="BIM",TableRelationships12[[#This Row],[Target Type]]="BIM")</f>
        <v>#N/A</v>
      </c>
      <c r="Q1622">
        <f t="shared" si="75"/>
        <v>1</v>
      </c>
      <c r="S1622">
        <f t="shared" si="76"/>
        <v>1</v>
      </c>
      <c r="T1622" s="102" t="str">
        <f>IF(TableRelationships12[[#This Row],[Rank Pedro]]="Low","linkCategory1",IF(TableRelationships12[[#This Row],[Rank Pedro]]="Medium","linkCategory2",IF(TableRelationships12[[#This Row],[Rank Pedro]]="High","linkCategory3","")))</f>
        <v/>
      </c>
      <c r="U1622" s="102" t="str">
        <f>IF(TableRelationships12[[#This Row],[Rank Pedro]]="Low","Pink",IF(TableRelationships12[[#This Row],[Rank Pedro]]="Medium","Purple",IF(TableRelationships12[[#This Row],[Rank Pedro]]="High","Brown","")))</f>
        <v/>
      </c>
      <c r="V1622" s="4" t="e">
        <f>MAX(INDEX(Standards!$F$2:$F$296,MATCH(B1622,Standards!$B$2:$B$296,0)),INDEX(Standards!$F$2:$F$296,MATCH(C1622,Standards!$B$2:$B$296,0)))</f>
        <v>#N/A</v>
      </c>
      <c r="W1622" t="str">
        <f t="shared" si="77"/>
        <v>#2f89d1</v>
      </c>
    </row>
    <row r="1623" spans="1:23" x14ac:dyDescent="0.5">
      <c r="A1623" s="54">
        <v>1622</v>
      </c>
      <c r="B1623" s="90" t="s">
        <v>1055</v>
      </c>
      <c r="C1623" t="s">
        <v>527</v>
      </c>
      <c r="D1623" s="1"/>
      <c r="E1623" s="112" t="s">
        <v>924</v>
      </c>
      <c r="F1623" s="112" t="s">
        <v>924</v>
      </c>
      <c r="G1623" s="121" t="s">
        <v>670</v>
      </c>
      <c r="H1623">
        <f>INDEX('GIS-Standards'!$A$2:$A$305,MATCH(B1623,'GIS-Standards'!$B$2:$B$305,0))</f>
        <v>73</v>
      </c>
      <c r="I1623" t="e">
        <f>INDEX('GIS-Standards'!$A$2:$A$305,MATCH(C1623,'GIS-Standards'!$B$2:$B$305,0))</f>
        <v>#N/A</v>
      </c>
      <c r="J1623" t="str">
        <f>INDEX('GIS-Standards'!$O$2:$O$305,MATCH(B1623,'GIS-Standards'!$B$2:$B$305,0))</f>
        <v>ISO/TC 211</v>
      </c>
      <c r="K1623" t="e">
        <f>INDEX('GIS-Standards'!$O$2:$O$305,MATCH(C1623,'GIS-Standards'!$B$2:$B$305,0))</f>
        <v>#N/A</v>
      </c>
      <c r="M1623" t="s">
        <v>237</v>
      </c>
      <c r="N1623">
        <f>INDEX('GIS-Standards'!$I$2:$I$305,MATCH(B1623,'GIS-Standards'!$B$2:$B$305,0))</f>
        <v>0</v>
      </c>
      <c r="O1623" t="e">
        <f>INDEX('GIS-Standards'!$I$2:$I$305,MATCH(C1623,'GIS-Standards'!$B$2:$B$305,0))</f>
        <v>#N/A</v>
      </c>
      <c r="P1623" t="e">
        <f>AND(TableRelationships12[[#This Row],[Source Type]]="BIM",TableRelationships12[[#This Row],[Target Type]]="BIM")</f>
        <v>#N/A</v>
      </c>
      <c r="Q1623">
        <f t="shared" si="75"/>
        <v>2</v>
      </c>
      <c r="S1623">
        <f t="shared" si="76"/>
        <v>1</v>
      </c>
      <c r="T1623" s="102" t="str">
        <f>IF(TableRelationships12[[#This Row],[Rank Pedro]]="Low","linkCategory1",IF(TableRelationships12[[#This Row],[Rank Pedro]]="Medium","linkCategory2",IF(TableRelationships12[[#This Row],[Rank Pedro]]="High","linkCategory3","")))</f>
        <v/>
      </c>
      <c r="U1623" s="102" t="str">
        <f>IF(TableRelationships12[[#This Row],[Rank Pedro]]="Low","Pink",IF(TableRelationships12[[#This Row],[Rank Pedro]]="Medium","Purple",IF(TableRelationships12[[#This Row],[Rank Pedro]]="High","Brown","")))</f>
        <v/>
      </c>
      <c r="V1623" s="4" t="e">
        <f>MAX(INDEX(Standards!$F$2:$F$296,MATCH(B1623,Standards!$B$2:$B$296,0)),INDEX(Standards!$F$2:$F$296,MATCH(C1623,Standards!$B$2:$B$296,0)))</f>
        <v>#N/A</v>
      </c>
      <c r="W1623">
        <f t="shared" si="77"/>
        <v>1</v>
      </c>
    </row>
    <row r="1624" spans="1:23" x14ac:dyDescent="0.5">
      <c r="A1624" s="54">
        <v>1623</v>
      </c>
      <c r="B1624" s="90" t="s">
        <v>1055</v>
      </c>
      <c r="C1624" t="s">
        <v>350</v>
      </c>
      <c r="D1624" s="1"/>
      <c r="E1624" s="112">
        <v>2020.09</v>
      </c>
      <c r="F1624" s="112">
        <v>2025.01</v>
      </c>
      <c r="G1624" s="107" t="s">
        <v>670</v>
      </c>
      <c r="H1624">
        <f>INDEX('GIS-Standards'!$A$2:$A$305,MATCH(B1624,'GIS-Standards'!$B$2:$B$305,0))</f>
        <v>73</v>
      </c>
      <c r="I1624">
        <f>INDEX('GIS-Standards'!$A$2:$A$305,MATCH(C1624,'GIS-Standards'!$B$2:$B$305,0))</f>
        <v>72</v>
      </c>
      <c r="J1624" t="str">
        <f>INDEX('GIS-Standards'!$O$2:$O$305,MATCH(B1624,'GIS-Standards'!$B$2:$B$305,0))</f>
        <v>ISO/TC 211</v>
      </c>
      <c r="K1624" t="str">
        <f>INDEX('GIS-Standards'!$O$2:$O$305,MATCH(C1624,'GIS-Standards'!$B$2:$B$305,0))</f>
        <v>ISO/TC 211</v>
      </c>
      <c r="M1624" t="s">
        <v>524</v>
      </c>
      <c r="N1624">
        <f>INDEX('GIS-Standards'!$I$2:$I$305,MATCH(B1624,'GIS-Standards'!$B$2:$B$305,0))</f>
        <v>0</v>
      </c>
      <c r="O1624">
        <f>INDEX('GIS-Standards'!$I$2:$I$305,MATCH(C1624,'GIS-Standards'!$B$2:$B$305,0))</f>
        <v>0</v>
      </c>
      <c r="P1624" t="b">
        <f>AND(TableRelationships12[[#This Row],[Source Type]]="BIM",TableRelationships12[[#This Row],[Target Type]]="BIM")</f>
        <v>0</v>
      </c>
      <c r="Q1624">
        <f t="shared" si="75"/>
        <v>6</v>
      </c>
      <c r="S1624">
        <f t="shared" si="76"/>
        <v>1</v>
      </c>
      <c r="T1624" s="102" t="str">
        <f>IF(TableRelationships12[[#This Row],[Rank Pedro]]="Low","linkCategory1",IF(TableRelationships12[[#This Row],[Rank Pedro]]="Medium","linkCategory2",IF(TableRelationships12[[#This Row],[Rank Pedro]]="High","linkCategory3","")))</f>
        <v/>
      </c>
      <c r="U1624" s="102" t="str">
        <f>IF(TableRelationships12[[#This Row],[Rank Pedro]]="Low","Pink",IF(TableRelationships12[[#This Row],[Rank Pedro]]="Medium","Purple",IF(TableRelationships12[[#This Row],[Rank Pedro]]="High","Brown","")))</f>
        <v/>
      </c>
      <c r="V1624" s="4" t="e">
        <f>MAX(INDEX(Standards!$F$2:$F$296,MATCH(B1624,Standards!$B$2:$B$296,0)),INDEX(Standards!$F$2:$F$296,MATCH(C1624,Standards!$B$2:$B$296,0)))</f>
        <v>#N/A</v>
      </c>
      <c r="W1624" t="str">
        <f t="shared" si="77"/>
        <v>#d6bf2a</v>
      </c>
    </row>
    <row r="1625" spans="1:23" x14ac:dyDescent="0.5">
      <c r="A1625" s="54">
        <v>1624</v>
      </c>
      <c r="B1625" s="90" t="s">
        <v>1055</v>
      </c>
      <c r="C1625" t="s">
        <v>1544</v>
      </c>
      <c r="D1625" s="1"/>
      <c r="G1625" s="107"/>
      <c r="H1625">
        <f>INDEX('GIS-Standards'!$A$2:$A$305,MATCH(B1625,'GIS-Standards'!$B$2:$B$305,0))</f>
        <v>73</v>
      </c>
      <c r="I1625" t="e">
        <f>INDEX('GIS-Standards'!$A$2:$A$305,MATCH(C1625,'GIS-Standards'!$B$2:$B$305,0))</f>
        <v>#N/A</v>
      </c>
      <c r="J1625" t="str">
        <f>INDEX('GIS-Standards'!$O$2:$O$305,MATCH(B1625,'GIS-Standards'!$B$2:$B$305,0))</f>
        <v>ISO/TC 211</v>
      </c>
      <c r="K1625" t="e">
        <f>INDEX('GIS-Standards'!$O$2:$O$305,MATCH(C1625,'GIS-Standards'!$B$2:$B$305,0))</f>
        <v>#N/A</v>
      </c>
      <c r="M1625" t="s">
        <v>525</v>
      </c>
      <c r="N1625">
        <f>INDEX('GIS-Standards'!$I$2:$I$305,MATCH(B1625,'GIS-Standards'!$B$2:$B$305,0))</f>
        <v>0</v>
      </c>
      <c r="O1625" t="e">
        <f>INDEX('GIS-Standards'!$I$2:$I$305,MATCH(C1625,'GIS-Standards'!$B$2:$B$305,0))</f>
        <v>#N/A</v>
      </c>
      <c r="P1625" t="e">
        <f>AND(TableRelationships12[[#This Row],[Source Type]]="BIM",TableRelationships12[[#This Row],[Target Type]]="BIM")</f>
        <v>#N/A</v>
      </c>
      <c r="Q1625">
        <f t="shared" si="75"/>
        <v>1</v>
      </c>
      <c r="S1625">
        <f t="shared" si="76"/>
        <v>1</v>
      </c>
      <c r="T1625" s="102" t="str">
        <f>IF(TableRelationships12[[#This Row],[Rank Pedro]]="Low","linkCategory1",IF(TableRelationships12[[#This Row],[Rank Pedro]]="Medium","linkCategory2",IF(TableRelationships12[[#This Row],[Rank Pedro]]="High","linkCategory3","")))</f>
        <v/>
      </c>
      <c r="U1625" s="102" t="str">
        <f>IF(TableRelationships12[[#This Row],[Rank Pedro]]="Low","Pink",IF(TableRelationships12[[#This Row],[Rank Pedro]]="Medium","Purple",IF(TableRelationships12[[#This Row],[Rank Pedro]]="High","Brown","")))</f>
        <v/>
      </c>
      <c r="V1625" s="4" t="e">
        <f>MAX(INDEX(Standards!$F$2:$F$296,MATCH(B1625,Standards!$B$2:$B$296,0)),INDEX(Standards!$F$2:$F$296,MATCH(C1625,Standards!$B$2:$B$296,0)))</f>
        <v>#N/A</v>
      </c>
      <c r="W1625" t="str">
        <f t="shared" si="77"/>
        <v>#2f89d1</v>
      </c>
    </row>
    <row r="1626" spans="1:23" x14ac:dyDescent="0.5">
      <c r="A1626" s="54">
        <v>1625</v>
      </c>
      <c r="B1626" s="90" t="s">
        <v>1055</v>
      </c>
      <c r="C1626" t="s">
        <v>1245</v>
      </c>
      <c r="D1626" s="1"/>
      <c r="G1626" s="107"/>
      <c r="H1626">
        <f>INDEX('GIS-Standards'!$A$2:$A$305,MATCH(B1626,'GIS-Standards'!$B$2:$B$305,0))</f>
        <v>73</v>
      </c>
      <c r="I1626" t="e">
        <f>INDEX('GIS-Standards'!$A$2:$A$305,MATCH(C1626,'GIS-Standards'!$B$2:$B$305,0))</f>
        <v>#N/A</v>
      </c>
      <c r="J1626" t="str">
        <f>INDEX('GIS-Standards'!$O$2:$O$305,MATCH(B1626,'GIS-Standards'!$B$2:$B$305,0))</f>
        <v>ISO/TC 211</v>
      </c>
      <c r="K1626" t="e">
        <f>INDEX('GIS-Standards'!$O$2:$O$305,MATCH(C1626,'GIS-Standards'!$B$2:$B$305,0))</f>
        <v>#N/A</v>
      </c>
      <c r="M1626" t="s">
        <v>525</v>
      </c>
      <c r="N1626">
        <f>INDEX('GIS-Standards'!$I$2:$I$305,MATCH(B1626,'GIS-Standards'!$B$2:$B$305,0))</f>
        <v>0</v>
      </c>
      <c r="O1626" t="e">
        <f>INDEX('GIS-Standards'!$I$2:$I$305,MATCH(C1626,'GIS-Standards'!$B$2:$B$305,0))</f>
        <v>#N/A</v>
      </c>
      <c r="P1626" t="e">
        <f>AND(TableRelationships12[[#This Row],[Source Type]]="BIM",TableRelationships12[[#This Row],[Target Type]]="BIM")</f>
        <v>#N/A</v>
      </c>
      <c r="Q1626">
        <f t="shared" si="75"/>
        <v>1</v>
      </c>
      <c r="S1626">
        <f t="shared" si="76"/>
        <v>1</v>
      </c>
      <c r="T1626" s="102" t="str">
        <f>IF(TableRelationships12[[#This Row],[Rank Pedro]]="Low","linkCategory1",IF(TableRelationships12[[#This Row],[Rank Pedro]]="Medium","linkCategory2",IF(TableRelationships12[[#This Row],[Rank Pedro]]="High","linkCategory3","")))</f>
        <v/>
      </c>
      <c r="U1626" s="102" t="str">
        <f>IF(TableRelationships12[[#This Row],[Rank Pedro]]="Low","Pink",IF(TableRelationships12[[#This Row],[Rank Pedro]]="Medium","Purple",IF(TableRelationships12[[#This Row],[Rank Pedro]]="High","Brown","")))</f>
        <v/>
      </c>
      <c r="V1626" s="4" t="e">
        <f>MAX(INDEX(Standards!$F$2:$F$296,MATCH(B1626,Standards!$B$2:$B$296,0)),INDEX(Standards!$F$2:$F$296,MATCH(C1626,Standards!$B$2:$B$296,0)))</f>
        <v>#N/A</v>
      </c>
      <c r="W1626" t="str">
        <f t="shared" si="77"/>
        <v>#2f89d1</v>
      </c>
    </row>
    <row r="1627" spans="1:23" x14ac:dyDescent="0.5">
      <c r="A1627" s="54">
        <v>1626</v>
      </c>
      <c r="B1627" s="90" t="s">
        <v>1055</v>
      </c>
      <c r="C1627" t="s">
        <v>1233</v>
      </c>
      <c r="D1627" s="1"/>
      <c r="G1627" s="107"/>
      <c r="H1627">
        <f>INDEX('GIS-Standards'!$A$2:$A$305,MATCH(B1627,'GIS-Standards'!$B$2:$B$305,0))</f>
        <v>73</v>
      </c>
      <c r="I1627" t="e">
        <f>INDEX('GIS-Standards'!$A$2:$A$305,MATCH(C1627,'GIS-Standards'!$B$2:$B$305,0))</f>
        <v>#N/A</v>
      </c>
      <c r="J1627" t="str">
        <f>INDEX('GIS-Standards'!$O$2:$O$305,MATCH(B1627,'GIS-Standards'!$B$2:$B$305,0))</f>
        <v>ISO/TC 211</v>
      </c>
      <c r="K1627" t="e">
        <f>INDEX('GIS-Standards'!$O$2:$O$305,MATCH(C1627,'GIS-Standards'!$B$2:$B$305,0))</f>
        <v>#N/A</v>
      </c>
      <c r="M1627" t="s">
        <v>525</v>
      </c>
      <c r="N1627">
        <f>INDEX('GIS-Standards'!$I$2:$I$305,MATCH(B1627,'GIS-Standards'!$B$2:$B$305,0))</f>
        <v>0</v>
      </c>
      <c r="O1627" t="e">
        <f>INDEX('GIS-Standards'!$I$2:$I$305,MATCH(C1627,'GIS-Standards'!$B$2:$B$305,0))</f>
        <v>#N/A</v>
      </c>
      <c r="P1627" t="e">
        <f>AND(TableRelationships12[[#This Row],[Source Type]]="BIM",TableRelationships12[[#This Row],[Target Type]]="BIM")</f>
        <v>#N/A</v>
      </c>
      <c r="Q1627">
        <f t="shared" si="75"/>
        <v>1</v>
      </c>
      <c r="S1627">
        <f t="shared" si="76"/>
        <v>1</v>
      </c>
      <c r="T1627" s="102" t="str">
        <f>IF(TableRelationships12[[#This Row],[Rank Pedro]]="Low","linkCategory1",IF(TableRelationships12[[#This Row],[Rank Pedro]]="Medium","linkCategory2",IF(TableRelationships12[[#This Row],[Rank Pedro]]="High","linkCategory3","")))</f>
        <v/>
      </c>
      <c r="U1627" s="102" t="str">
        <f>IF(TableRelationships12[[#This Row],[Rank Pedro]]="Low","Pink",IF(TableRelationships12[[#This Row],[Rank Pedro]]="Medium","Purple",IF(TableRelationships12[[#This Row],[Rank Pedro]]="High","Brown","")))</f>
        <v/>
      </c>
      <c r="V1627" s="4" t="e">
        <f>MAX(INDEX(Standards!$F$2:$F$296,MATCH(B1627,Standards!$B$2:$B$296,0)),INDEX(Standards!$F$2:$F$296,MATCH(C1627,Standards!$B$2:$B$296,0)))</f>
        <v>#N/A</v>
      </c>
      <c r="W1627" t="str">
        <f t="shared" si="77"/>
        <v>#2f89d1</v>
      </c>
    </row>
    <row r="1628" spans="1:23" x14ac:dyDescent="0.5">
      <c r="A1628" s="54">
        <v>1627</v>
      </c>
      <c r="B1628" s="90" t="s">
        <v>1055</v>
      </c>
      <c r="C1628" t="s">
        <v>1234</v>
      </c>
      <c r="D1628" s="1"/>
      <c r="E1628" s="113">
        <v>2016.08</v>
      </c>
      <c r="G1628" s="107"/>
      <c r="H1628">
        <f>INDEX('GIS-Standards'!$A$2:$A$305,MATCH(B1628,'GIS-Standards'!$B$2:$B$305,0))</f>
        <v>73</v>
      </c>
      <c r="I1628" t="e">
        <f>INDEX('GIS-Standards'!$A$2:$A$305,MATCH(C1628,'GIS-Standards'!$B$2:$B$305,0))</f>
        <v>#N/A</v>
      </c>
      <c r="J1628" t="str">
        <f>INDEX('GIS-Standards'!$O$2:$O$305,MATCH(B1628,'GIS-Standards'!$B$2:$B$305,0))</f>
        <v>ISO/TC 211</v>
      </c>
      <c r="K1628" t="e">
        <f>INDEX('GIS-Standards'!$O$2:$O$305,MATCH(C1628,'GIS-Standards'!$B$2:$B$305,0))</f>
        <v>#N/A</v>
      </c>
      <c r="M1628" t="s">
        <v>525</v>
      </c>
      <c r="N1628">
        <f>INDEX('GIS-Standards'!$I$2:$I$305,MATCH(B1628,'GIS-Standards'!$B$2:$B$305,0))</f>
        <v>0</v>
      </c>
      <c r="O1628" t="e">
        <f>INDEX('GIS-Standards'!$I$2:$I$305,MATCH(C1628,'GIS-Standards'!$B$2:$B$305,0))</f>
        <v>#N/A</v>
      </c>
      <c r="P1628" t="e">
        <f>AND(TableRelationships12[[#This Row],[Source Type]]="BIM",TableRelationships12[[#This Row],[Target Type]]="BIM")</f>
        <v>#N/A</v>
      </c>
      <c r="Q1628">
        <f t="shared" si="75"/>
        <v>1</v>
      </c>
      <c r="S1628">
        <f t="shared" si="76"/>
        <v>1</v>
      </c>
      <c r="T1628" s="102" t="str">
        <f>IF(TableRelationships12[[#This Row],[Rank Pedro]]="Low","linkCategory1",IF(TableRelationships12[[#This Row],[Rank Pedro]]="Medium","linkCategory2",IF(TableRelationships12[[#This Row],[Rank Pedro]]="High","linkCategory3","")))</f>
        <v/>
      </c>
      <c r="U1628" s="102" t="str">
        <f>IF(TableRelationships12[[#This Row],[Rank Pedro]]="Low","Pink",IF(TableRelationships12[[#This Row],[Rank Pedro]]="Medium","Purple",IF(TableRelationships12[[#This Row],[Rank Pedro]]="High","Brown","")))</f>
        <v/>
      </c>
      <c r="V1628" s="4" t="e">
        <f>MAX(INDEX(Standards!$F$2:$F$296,MATCH(B1628,Standards!$B$2:$B$296,0)),INDEX(Standards!$F$2:$F$296,MATCH(C1628,Standards!$B$2:$B$296,0)))</f>
        <v>#N/A</v>
      </c>
      <c r="W1628" t="str">
        <f t="shared" si="77"/>
        <v>#2f89d1</v>
      </c>
    </row>
    <row r="1629" spans="1:23" x14ac:dyDescent="0.5">
      <c r="A1629" s="54">
        <v>1628</v>
      </c>
      <c r="B1629" s="90" t="s">
        <v>1055</v>
      </c>
      <c r="C1629" t="s">
        <v>1235</v>
      </c>
      <c r="D1629" s="1"/>
      <c r="G1629" s="107"/>
      <c r="H1629">
        <f>INDEX('GIS-Standards'!$A$2:$A$305,MATCH(B1629,'GIS-Standards'!$B$2:$B$305,0))</f>
        <v>73</v>
      </c>
      <c r="I1629" t="e">
        <f>INDEX('GIS-Standards'!$A$2:$A$305,MATCH(C1629,'GIS-Standards'!$B$2:$B$305,0))</f>
        <v>#N/A</v>
      </c>
      <c r="J1629" t="str">
        <f>INDEX('GIS-Standards'!$O$2:$O$305,MATCH(B1629,'GIS-Standards'!$B$2:$B$305,0))</f>
        <v>ISO/TC 211</v>
      </c>
      <c r="K1629" t="e">
        <f>INDEX('GIS-Standards'!$O$2:$O$305,MATCH(C1629,'GIS-Standards'!$B$2:$B$305,0))</f>
        <v>#N/A</v>
      </c>
      <c r="M1629" t="s">
        <v>525</v>
      </c>
      <c r="N1629">
        <f>INDEX('GIS-Standards'!$I$2:$I$305,MATCH(B1629,'GIS-Standards'!$B$2:$B$305,0))</f>
        <v>0</v>
      </c>
      <c r="O1629" t="e">
        <f>INDEX('GIS-Standards'!$I$2:$I$305,MATCH(C1629,'GIS-Standards'!$B$2:$B$305,0))</f>
        <v>#N/A</v>
      </c>
      <c r="P1629" t="e">
        <f>AND(TableRelationships12[[#This Row],[Source Type]]="BIM",TableRelationships12[[#This Row],[Target Type]]="BIM")</f>
        <v>#N/A</v>
      </c>
      <c r="Q1629">
        <f t="shared" si="75"/>
        <v>1</v>
      </c>
      <c r="S1629">
        <f t="shared" si="76"/>
        <v>1</v>
      </c>
      <c r="T1629" s="102" t="str">
        <f>IF(TableRelationships12[[#This Row],[Rank Pedro]]="Low","linkCategory1",IF(TableRelationships12[[#This Row],[Rank Pedro]]="Medium","linkCategory2",IF(TableRelationships12[[#This Row],[Rank Pedro]]="High","linkCategory3","")))</f>
        <v/>
      </c>
      <c r="U1629" s="102" t="str">
        <f>IF(TableRelationships12[[#This Row],[Rank Pedro]]="Low","Pink",IF(TableRelationships12[[#This Row],[Rank Pedro]]="Medium","Purple",IF(TableRelationships12[[#This Row],[Rank Pedro]]="High","Brown","")))</f>
        <v/>
      </c>
      <c r="V1629" s="4" t="e">
        <f>MAX(INDEX(Standards!$F$2:$F$296,MATCH(B1629,Standards!$B$2:$B$296,0)),INDEX(Standards!$F$2:$F$296,MATCH(C1629,Standards!$B$2:$B$296,0)))</f>
        <v>#N/A</v>
      </c>
      <c r="W1629" t="str">
        <f t="shared" si="77"/>
        <v>#2f89d1</v>
      </c>
    </row>
    <row r="1630" spans="1:23" x14ac:dyDescent="0.5">
      <c r="A1630" s="54">
        <v>1629</v>
      </c>
      <c r="B1630" s="90" t="s">
        <v>1055</v>
      </c>
      <c r="C1630" t="s">
        <v>1246</v>
      </c>
      <c r="D1630" s="1"/>
      <c r="G1630" s="107"/>
      <c r="H1630">
        <f>INDEX('GIS-Standards'!$A$2:$A$305,MATCH(B1630,'GIS-Standards'!$B$2:$B$305,0))</f>
        <v>73</v>
      </c>
      <c r="I1630" t="e">
        <f>INDEX('GIS-Standards'!$A$2:$A$305,MATCH(C1630,'GIS-Standards'!$B$2:$B$305,0))</f>
        <v>#N/A</v>
      </c>
      <c r="J1630" t="str">
        <f>INDEX('GIS-Standards'!$O$2:$O$305,MATCH(B1630,'GIS-Standards'!$B$2:$B$305,0))</f>
        <v>ISO/TC 211</v>
      </c>
      <c r="K1630" t="e">
        <f>INDEX('GIS-Standards'!$O$2:$O$305,MATCH(C1630,'GIS-Standards'!$B$2:$B$305,0))</f>
        <v>#N/A</v>
      </c>
      <c r="M1630" t="s">
        <v>525</v>
      </c>
      <c r="N1630">
        <f>INDEX('GIS-Standards'!$I$2:$I$305,MATCH(B1630,'GIS-Standards'!$B$2:$B$305,0))</f>
        <v>0</v>
      </c>
      <c r="O1630" t="e">
        <f>INDEX('GIS-Standards'!$I$2:$I$305,MATCH(C1630,'GIS-Standards'!$B$2:$B$305,0))</f>
        <v>#N/A</v>
      </c>
      <c r="P1630" t="e">
        <f>AND(TableRelationships12[[#This Row],[Source Type]]="BIM",TableRelationships12[[#This Row],[Target Type]]="BIM")</f>
        <v>#N/A</v>
      </c>
      <c r="Q1630">
        <f t="shared" si="75"/>
        <v>1</v>
      </c>
      <c r="S1630">
        <f t="shared" si="76"/>
        <v>1</v>
      </c>
      <c r="T1630" s="102" t="str">
        <f>IF(TableRelationships12[[#This Row],[Rank Pedro]]="Low","linkCategory1",IF(TableRelationships12[[#This Row],[Rank Pedro]]="Medium","linkCategory2",IF(TableRelationships12[[#This Row],[Rank Pedro]]="High","linkCategory3","")))</f>
        <v/>
      </c>
      <c r="U1630" s="102" t="str">
        <f>IF(TableRelationships12[[#This Row],[Rank Pedro]]="Low","Pink",IF(TableRelationships12[[#This Row],[Rank Pedro]]="Medium","Purple",IF(TableRelationships12[[#This Row],[Rank Pedro]]="High","Brown","")))</f>
        <v/>
      </c>
      <c r="V1630" s="4" t="e">
        <f>MAX(INDEX(Standards!$F$2:$F$296,MATCH(B1630,Standards!$B$2:$B$296,0)),INDEX(Standards!$F$2:$F$296,MATCH(C1630,Standards!$B$2:$B$296,0)))</f>
        <v>#N/A</v>
      </c>
      <c r="W1630" t="str">
        <f t="shared" si="77"/>
        <v>#2f89d1</v>
      </c>
    </row>
    <row r="1631" spans="1:23" x14ac:dyDescent="0.5">
      <c r="A1631" s="54">
        <v>1630</v>
      </c>
      <c r="B1631" s="90" t="s">
        <v>1055</v>
      </c>
      <c r="C1631" t="s">
        <v>310</v>
      </c>
      <c r="D1631" s="1"/>
      <c r="E1631" s="112">
        <v>2003.02</v>
      </c>
      <c r="F1631" s="112">
        <v>2023.08</v>
      </c>
      <c r="G1631" s="107" t="s">
        <v>670</v>
      </c>
      <c r="H1631">
        <f>INDEX('GIS-Standards'!$A$2:$A$305,MATCH(B1631,'GIS-Standards'!$B$2:$B$305,0))</f>
        <v>73</v>
      </c>
      <c r="I1631">
        <f>INDEX('GIS-Standards'!$A$2:$A$305,MATCH(C1631,'GIS-Standards'!$B$2:$B$305,0))</f>
        <v>20</v>
      </c>
      <c r="J1631" t="str">
        <f>INDEX('GIS-Standards'!$O$2:$O$305,MATCH(B1631,'GIS-Standards'!$B$2:$B$305,0))</f>
        <v>ISO/TC 211</v>
      </c>
      <c r="K1631" t="str">
        <f>INDEX('GIS-Standards'!$O$2:$O$305,MATCH(C1631,'GIS-Standards'!$B$2:$B$305,0))</f>
        <v>ISO/TC 211</v>
      </c>
      <c r="M1631" t="s">
        <v>525</v>
      </c>
      <c r="N1631">
        <f>INDEX('GIS-Standards'!$I$2:$I$305,MATCH(B1631,'GIS-Standards'!$B$2:$B$305,0))</f>
        <v>0</v>
      </c>
      <c r="O1631" t="str">
        <f>INDEX('GIS-Standards'!$I$2:$I$305,MATCH(C1631,'GIS-Standards'!$B$2:$B$305,0))</f>
        <v>08.2023</v>
      </c>
      <c r="P1631" t="b">
        <f>AND(TableRelationships12[[#This Row],[Source Type]]="BIM",TableRelationships12[[#This Row],[Target Type]]="BIM")</f>
        <v>0</v>
      </c>
      <c r="Q1631">
        <f t="shared" si="75"/>
        <v>1</v>
      </c>
      <c r="S1631">
        <f t="shared" si="76"/>
        <v>1</v>
      </c>
      <c r="T1631" s="102" t="str">
        <f>IF(TableRelationships12[[#This Row],[Rank Pedro]]="Low","linkCategory1",IF(TableRelationships12[[#This Row],[Rank Pedro]]="Medium","linkCategory2",IF(TableRelationships12[[#This Row],[Rank Pedro]]="High","linkCategory3","")))</f>
        <v/>
      </c>
      <c r="U1631" s="102" t="str">
        <f>IF(TableRelationships12[[#This Row],[Rank Pedro]]="Low","Pink",IF(TableRelationships12[[#This Row],[Rank Pedro]]="Medium","Purple",IF(TableRelationships12[[#This Row],[Rank Pedro]]="High","Brown","")))</f>
        <v/>
      </c>
      <c r="V1631" s="4" t="e">
        <f>MAX(INDEX(Standards!$F$2:$F$296,MATCH(B1631,Standards!$B$2:$B$296,0)),INDEX(Standards!$F$2:$F$296,MATCH(C1631,Standards!$B$2:$B$296,0)))</f>
        <v>#N/A</v>
      </c>
      <c r="W1631" t="str">
        <f t="shared" si="77"/>
        <v>#2f89d1</v>
      </c>
    </row>
    <row r="1632" spans="1:23" x14ac:dyDescent="0.5">
      <c r="A1632" s="54">
        <v>1631</v>
      </c>
      <c r="B1632" s="90" t="s">
        <v>645</v>
      </c>
      <c r="C1632" t="s">
        <v>527</v>
      </c>
      <c r="D1632" s="1"/>
      <c r="E1632" s="112" t="s">
        <v>920</v>
      </c>
      <c r="F1632" s="112" t="s">
        <v>920</v>
      </c>
      <c r="G1632" s="121" t="s">
        <v>670</v>
      </c>
      <c r="H1632">
        <f>INDEX('GIS-Standards'!$A$2:$A$305,MATCH(B1632,'GIS-Standards'!$B$2:$B$305,0))</f>
        <v>74</v>
      </c>
      <c r="I1632" t="e">
        <f>INDEX('GIS-Standards'!$A$2:$A$305,MATCH(C1632,'GIS-Standards'!$B$2:$B$305,0))</f>
        <v>#N/A</v>
      </c>
      <c r="J1632" t="str">
        <f>INDEX('GIS-Standards'!$O$2:$O$305,MATCH(B1632,'GIS-Standards'!$B$2:$B$305,0))</f>
        <v>ISO/TC 211</v>
      </c>
      <c r="K1632" t="e">
        <f>INDEX('GIS-Standards'!$O$2:$O$305,MATCH(C1632,'GIS-Standards'!$B$2:$B$305,0))</f>
        <v>#N/A</v>
      </c>
      <c r="M1632" t="s">
        <v>237</v>
      </c>
      <c r="N1632">
        <f>INDEX('GIS-Standards'!$I$2:$I$305,MATCH(B1632,'GIS-Standards'!$B$2:$B$305,0))</f>
        <v>0</v>
      </c>
      <c r="O1632" t="e">
        <f>INDEX('GIS-Standards'!$I$2:$I$305,MATCH(C1632,'GIS-Standards'!$B$2:$B$305,0))</f>
        <v>#N/A</v>
      </c>
      <c r="P1632" t="e">
        <f>AND(TableRelationships12[[#This Row],[Source Type]]="BIM",TableRelationships12[[#This Row],[Target Type]]="BIM")</f>
        <v>#N/A</v>
      </c>
      <c r="Q1632">
        <f t="shared" si="75"/>
        <v>2</v>
      </c>
      <c r="S1632">
        <f t="shared" si="76"/>
        <v>1</v>
      </c>
      <c r="T1632" s="102" t="str">
        <f>IF(TableRelationships12[[#This Row],[Rank Pedro]]="Low","linkCategory1",IF(TableRelationships12[[#This Row],[Rank Pedro]]="Medium","linkCategory2",IF(TableRelationships12[[#This Row],[Rank Pedro]]="High","linkCategory3","")))</f>
        <v/>
      </c>
      <c r="U1632" s="102" t="str">
        <f>IF(TableRelationships12[[#This Row],[Rank Pedro]]="Low","Pink",IF(TableRelationships12[[#This Row],[Rank Pedro]]="Medium","Purple",IF(TableRelationships12[[#This Row],[Rank Pedro]]="High","Brown","")))</f>
        <v/>
      </c>
      <c r="V1632" s="4" t="e">
        <f>MAX(INDEX(Standards!$F$2:$F$296,MATCH(B1632,Standards!$B$2:$B$296,0)),INDEX(Standards!$F$2:$F$296,MATCH(C1632,Standards!$B$2:$B$296,0)))</f>
        <v>#N/A</v>
      </c>
      <c r="W1632">
        <f t="shared" si="77"/>
        <v>1</v>
      </c>
    </row>
    <row r="1633" spans="1:23" x14ac:dyDescent="0.5">
      <c r="A1633" s="54">
        <v>1632</v>
      </c>
      <c r="B1633" s="90" t="s">
        <v>645</v>
      </c>
      <c r="C1633" t="s">
        <v>302</v>
      </c>
      <c r="D1633" s="1"/>
      <c r="E1633" s="112">
        <v>2003.05</v>
      </c>
      <c r="F1633" s="112">
        <v>2019.12</v>
      </c>
      <c r="G1633" s="107" t="s">
        <v>670</v>
      </c>
      <c r="H1633">
        <f>INDEX('GIS-Standards'!$A$2:$A$305,MATCH(B1633,'GIS-Standards'!$B$2:$B$305,0))</f>
        <v>74</v>
      </c>
      <c r="I1633">
        <f>INDEX('GIS-Standards'!$A$2:$A$305,MATCH(C1633,'GIS-Standards'!$B$2:$B$305,0))</f>
        <v>16</v>
      </c>
      <c r="J1633" t="str">
        <f>INDEX('GIS-Standards'!$O$2:$O$305,MATCH(B1633,'GIS-Standards'!$B$2:$B$305,0))</f>
        <v>ISO/TC 211</v>
      </c>
      <c r="K1633" t="str">
        <f>INDEX('GIS-Standards'!$O$2:$O$305,MATCH(C1633,'GIS-Standards'!$B$2:$B$305,0))</f>
        <v>ISO/TC 211</v>
      </c>
      <c r="M1633" t="s">
        <v>524</v>
      </c>
      <c r="N1633">
        <f>INDEX('GIS-Standards'!$I$2:$I$305,MATCH(B1633,'GIS-Standards'!$B$2:$B$305,0))</f>
        <v>0</v>
      </c>
      <c r="O1633">
        <f>INDEX('GIS-Standards'!$I$2:$I$305,MATCH(C1633,'GIS-Standards'!$B$2:$B$305,0))</f>
        <v>0</v>
      </c>
      <c r="P1633" t="b">
        <f>AND(TableRelationships12[[#This Row],[Source Type]]="BIM",TableRelationships12[[#This Row],[Target Type]]="BIM")</f>
        <v>0</v>
      </c>
      <c r="Q1633">
        <f t="shared" si="75"/>
        <v>6</v>
      </c>
      <c r="S1633">
        <f t="shared" si="76"/>
        <v>1</v>
      </c>
      <c r="T1633" s="102" t="str">
        <f>IF(TableRelationships12[[#This Row],[Rank Pedro]]="Low","linkCategory1",IF(TableRelationships12[[#This Row],[Rank Pedro]]="Medium","linkCategory2",IF(TableRelationships12[[#This Row],[Rank Pedro]]="High","linkCategory3","")))</f>
        <v/>
      </c>
      <c r="U1633" s="102" t="str">
        <f>IF(TableRelationships12[[#This Row],[Rank Pedro]]="Low","Pink",IF(TableRelationships12[[#This Row],[Rank Pedro]]="Medium","Purple",IF(TableRelationships12[[#This Row],[Rank Pedro]]="High","Brown","")))</f>
        <v/>
      </c>
      <c r="V1633" s="4" t="e">
        <f>MAX(INDEX(Standards!$F$2:$F$296,MATCH(B1633,Standards!$B$2:$B$296,0)),INDEX(Standards!$F$2:$F$296,MATCH(C1633,Standards!$B$2:$B$296,0)))</f>
        <v>#N/A</v>
      </c>
      <c r="W1633" t="str">
        <f t="shared" si="77"/>
        <v>#d6bf2a</v>
      </c>
    </row>
    <row r="1634" spans="1:23" x14ac:dyDescent="0.5">
      <c r="A1634" s="54">
        <v>1633</v>
      </c>
      <c r="B1634" s="90" t="s">
        <v>645</v>
      </c>
      <c r="C1634" t="s">
        <v>310</v>
      </c>
      <c r="D1634" s="1"/>
      <c r="E1634" s="112">
        <v>2003.02</v>
      </c>
      <c r="F1634" s="112">
        <v>2023.08</v>
      </c>
      <c r="G1634" s="107" t="s">
        <v>670</v>
      </c>
      <c r="H1634">
        <f>INDEX('GIS-Standards'!$A$2:$A$305,MATCH(B1634,'GIS-Standards'!$B$2:$B$305,0))</f>
        <v>74</v>
      </c>
      <c r="I1634">
        <f>INDEX('GIS-Standards'!$A$2:$A$305,MATCH(C1634,'GIS-Standards'!$B$2:$B$305,0))</f>
        <v>20</v>
      </c>
      <c r="J1634" t="str">
        <f>INDEX('GIS-Standards'!$O$2:$O$305,MATCH(B1634,'GIS-Standards'!$B$2:$B$305,0))</f>
        <v>ISO/TC 211</v>
      </c>
      <c r="K1634" t="str">
        <f>INDEX('GIS-Standards'!$O$2:$O$305,MATCH(C1634,'GIS-Standards'!$B$2:$B$305,0))</f>
        <v>ISO/TC 211</v>
      </c>
      <c r="M1634" t="s">
        <v>524</v>
      </c>
      <c r="N1634">
        <f>INDEX('GIS-Standards'!$I$2:$I$305,MATCH(B1634,'GIS-Standards'!$B$2:$B$305,0))</f>
        <v>0</v>
      </c>
      <c r="O1634" t="str">
        <f>INDEX('GIS-Standards'!$I$2:$I$305,MATCH(C1634,'GIS-Standards'!$B$2:$B$305,0))</f>
        <v>08.2023</v>
      </c>
      <c r="P1634" t="b">
        <f>AND(TableRelationships12[[#This Row],[Source Type]]="BIM",TableRelationships12[[#This Row],[Target Type]]="BIM")</f>
        <v>0</v>
      </c>
      <c r="Q1634">
        <f t="shared" si="75"/>
        <v>6</v>
      </c>
      <c r="S1634">
        <f t="shared" si="76"/>
        <v>1</v>
      </c>
      <c r="T1634" s="102" t="str">
        <f>IF(TableRelationships12[[#This Row],[Rank Pedro]]="Low","linkCategory1",IF(TableRelationships12[[#This Row],[Rank Pedro]]="Medium","linkCategory2",IF(TableRelationships12[[#This Row],[Rank Pedro]]="High","linkCategory3","")))</f>
        <v/>
      </c>
      <c r="U1634" s="102" t="str">
        <f>IF(TableRelationships12[[#This Row],[Rank Pedro]]="Low","Pink",IF(TableRelationships12[[#This Row],[Rank Pedro]]="Medium","Purple",IF(TableRelationships12[[#This Row],[Rank Pedro]]="High","Brown","")))</f>
        <v/>
      </c>
      <c r="V1634" s="4" t="e">
        <f>MAX(INDEX(Standards!$F$2:$F$296,MATCH(B1634,Standards!$B$2:$B$296,0)),INDEX(Standards!$F$2:$F$296,MATCH(C1634,Standards!$B$2:$B$296,0)))</f>
        <v>#N/A</v>
      </c>
      <c r="W1634" t="str">
        <f t="shared" si="77"/>
        <v>#d6bf2a</v>
      </c>
    </row>
    <row r="1635" spans="1:23" x14ac:dyDescent="0.5">
      <c r="A1635" s="54">
        <v>1634</v>
      </c>
      <c r="B1635" s="90" t="s">
        <v>645</v>
      </c>
      <c r="C1635" t="s">
        <v>312</v>
      </c>
      <c r="D1635" s="1"/>
      <c r="E1635" s="112">
        <v>2003.1</v>
      </c>
      <c r="F1635" s="112">
        <v>2019.02</v>
      </c>
      <c r="G1635" s="107" t="s">
        <v>670</v>
      </c>
      <c r="H1635">
        <f>INDEX('GIS-Standards'!$A$2:$A$305,MATCH(B1635,'GIS-Standards'!$B$2:$B$305,0))</f>
        <v>74</v>
      </c>
      <c r="I1635">
        <f>INDEX('GIS-Standards'!$A$2:$A$305,MATCH(C1635,'GIS-Standards'!$B$2:$B$305,0))</f>
        <v>21</v>
      </c>
      <c r="J1635" t="str">
        <f>INDEX('GIS-Standards'!$O$2:$O$305,MATCH(B1635,'GIS-Standards'!$B$2:$B$305,0))</f>
        <v>ISO/TC 211</v>
      </c>
      <c r="K1635" t="str">
        <f>INDEX('GIS-Standards'!$O$2:$O$305,MATCH(C1635,'GIS-Standards'!$B$2:$B$305,0))</f>
        <v>ISO/TC 211</v>
      </c>
      <c r="M1635" t="s">
        <v>524</v>
      </c>
      <c r="N1635">
        <f>INDEX('GIS-Standards'!$I$2:$I$305,MATCH(B1635,'GIS-Standards'!$B$2:$B$305,0))</f>
        <v>0</v>
      </c>
      <c r="O1635">
        <f>INDEX('GIS-Standards'!$I$2:$I$305,MATCH(C1635,'GIS-Standards'!$B$2:$B$305,0))</f>
        <v>0</v>
      </c>
      <c r="P1635" t="b">
        <f>AND(TableRelationships12[[#This Row],[Source Type]]="BIM",TableRelationships12[[#This Row],[Target Type]]="BIM")</f>
        <v>0</v>
      </c>
      <c r="Q1635">
        <f t="shared" si="75"/>
        <v>6</v>
      </c>
      <c r="S1635">
        <f t="shared" si="76"/>
        <v>1</v>
      </c>
      <c r="T1635" s="102" t="str">
        <f>IF(TableRelationships12[[#This Row],[Rank Pedro]]="Low","linkCategory1",IF(TableRelationships12[[#This Row],[Rank Pedro]]="Medium","linkCategory2",IF(TableRelationships12[[#This Row],[Rank Pedro]]="High","linkCategory3","")))</f>
        <v/>
      </c>
      <c r="U1635" s="102" t="str">
        <f>IF(TableRelationships12[[#This Row],[Rank Pedro]]="Low","Pink",IF(TableRelationships12[[#This Row],[Rank Pedro]]="Medium","Purple",IF(TableRelationships12[[#This Row],[Rank Pedro]]="High","Brown","")))</f>
        <v/>
      </c>
      <c r="V1635" s="4" t="e">
        <f>MAX(INDEX(Standards!$F$2:$F$296,MATCH(B1635,Standards!$B$2:$B$296,0)),INDEX(Standards!$F$2:$F$296,MATCH(C1635,Standards!$B$2:$B$296,0)))</f>
        <v>#N/A</v>
      </c>
      <c r="W1635" t="str">
        <f t="shared" si="77"/>
        <v>#d6bf2a</v>
      </c>
    </row>
    <row r="1636" spans="1:23" x14ac:dyDescent="0.5">
      <c r="A1636" s="54">
        <v>1635</v>
      </c>
      <c r="B1636" s="90" t="s">
        <v>645</v>
      </c>
      <c r="C1636" t="s">
        <v>314</v>
      </c>
      <c r="D1636" s="1"/>
      <c r="E1636" s="112">
        <v>2003.05</v>
      </c>
      <c r="F1636" s="112">
        <v>2020.11</v>
      </c>
      <c r="G1636" s="107" t="s">
        <v>670</v>
      </c>
      <c r="H1636">
        <f>INDEX('GIS-Standards'!$A$2:$A$305,MATCH(B1636,'GIS-Standards'!$B$2:$B$305,0))</f>
        <v>74</v>
      </c>
      <c r="I1636">
        <f>INDEX('GIS-Standards'!$A$2:$A$305,MATCH(C1636,'GIS-Standards'!$B$2:$B$305,0))</f>
        <v>22</v>
      </c>
      <c r="J1636" t="str">
        <f>INDEX('GIS-Standards'!$O$2:$O$305,MATCH(B1636,'GIS-Standards'!$B$2:$B$305,0))</f>
        <v>ISO/TC 211</v>
      </c>
      <c r="K1636" t="str">
        <f>INDEX('GIS-Standards'!$O$2:$O$305,MATCH(C1636,'GIS-Standards'!$B$2:$B$305,0))</f>
        <v>ISO/TC 211</v>
      </c>
      <c r="M1636" t="s">
        <v>524</v>
      </c>
      <c r="N1636">
        <f>INDEX('GIS-Standards'!$I$2:$I$305,MATCH(B1636,'GIS-Standards'!$B$2:$B$305,0))</f>
        <v>0</v>
      </c>
      <c r="O1636" t="str">
        <f>INDEX('GIS-Standards'!$I$2:$I$305,MATCH(C1636,'GIS-Standards'!$B$2:$B$305,0))</f>
        <v>12.2020</v>
      </c>
      <c r="P1636" t="b">
        <f>AND(TableRelationships12[[#This Row],[Source Type]]="BIM",TableRelationships12[[#This Row],[Target Type]]="BIM")</f>
        <v>0</v>
      </c>
      <c r="Q1636">
        <f t="shared" si="75"/>
        <v>6</v>
      </c>
      <c r="S1636">
        <f t="shared" si="76"/>
        <v>1</v>
      </c>
      <c r="T1636" s="102" t="str">
        <f>IF(TableRelationships12[[#This Row],[Rank Pedro]]="Low","linkCategory1",IF(TableRelationships12[[#This Row],[Rank Pedro]]="Medium","linkCategory2",IF(TableRelationships12[[#This Row],[Rank Pedro]]="High","linkCategory3","")))</f>
        <v/>
      </c>
      <c r="U1636" s="102" t="str">
        <f>IF(TableRelationships12[[#This Row],[Rank Pedro]]="Low","Pink",IF(TableRelationships12[[#This Row],[Rank Pedro]]="Medium","Purple",IF(TableRelationships12[[#This Row],[Rank Pedro]]="High","Brown","")))</f>
        <v/>
      </c>
      <c r="V1636" s="4" t="e">
        <f>MAX(INDEX(Standards!$F$2:$F$296,MATCH(B1636,Standards!$B$2:$B$296,0)),INDEX(Standards!$F$2:$F$296,MATCH(C1636,Standards!$B$2:$B$296,0)))</f>
        <v>#N/A</v>
      </c>
      <c r="W1636" t="str">
        <f t="shared" si="77"/>
        <v>#d6bf2a</v>
      </c>
    </row>
    <row r="1637" spans="1:23" x14ac:dyDescent="0.5">
      <c r="A1637" s="54">
        <v>1636</v>
      </c>
      <c r="B1637" s="90" t="s">
        <v>645</v>
      </c>
      <c r="C1637" t="s">
        <v>1053</v>
      </c>
      <c r="D1637" s="1"/>
      <c r="E1637" s="113">
        <v>2011.12</v>
      </c>
      <c r="F1637" s="113">
        <v>2023.04</v>
      </c>
      <c r="G1637" s="107" t="s">
        <v>670</v>
      </c>
      <c r="H1637">
        <f>INDEX('GIS-Standards'!$A$2:$A$305,MATCH(B1637,'GIS-Standards'!$B$2:$B$305,0))</f>
        <v>74</v>
      </c>
      <c r="I1637">
        <f>INDEX('GIS-Standards'!$A$2:$A$305,MATCH(C1637,'GIS-Standards'!$B$2:$B$305,0))</f>
        <v>65</v>
      </c>
      <c r="J1637" t="str">
        <f>INDEX('GIS-Standards'!$O$2:$O$305,MATCH(B1637,'GIS-Standards'!$B$2:$B$305,0))</f>
        <v>ISO/TC 211</v>
      </c>
      <c r="K1637" t="str">
        <f>INDEX('GIS-Standards'!$O$2:$O$305,MATCH(C1637,'GIS-Standards'!$B$2:$B$305,0))</f>
        <v>ISO/TC 211</v>
      </c>
      <c r="M1637" t="s">
        <v>524</v>
      </c>
      <c r="N1637">
        <f>INDEX('GIS-Standards'!$I$2:$I$305,MATCH(B1637,'GIS-Standards'!$B$2:$B$305,0))</f>
        <v>0</v>
      </c>
      <c r="O1637">
        <f>INDEX('GIS-Standards'!$I$2:$I$305,MATCH(C1637,'GIS-Standards'!$B$2:$B$305,0))</f>
        <v>0</v>
      </c>
      <c r="P1637" t="b">
        <f>AND(TableRelationships12[[#This Row],[Source Type]]="BIM",TableRelationships12[[#This Row],[Target Type]]="BIM")</f>
        <v>0</v>
      </c>
      <c r="Q1637">
        <f t="shared" si="75"/>
        <v>6</v>
      </c>
      <c r="S1637">
        <f t="shared" si="76"/>
        <v>1</v>
      </c>
      <c r="T1637" s="102" t="str">
        <f>IF(TableRelationships12[[#This Row],[Rank Pedro]]="Low","linkCategory1",IF(TableRelationships12[[#This Row],[Rank Pedro]]="Medium","linkCategory2",IF(TableRelationships12[[#This Row],[Rank Pedro]]="High","linkCategory3","")))</f>
        <v/>
      </c>
      <c r="U1637" s="102" t="str">
        <f>IF(TableRelationships12[[#This Row],[Rank Pedro]]="Low","Pink",IF(TableRelationships12[[#This Row],[Rank Pedro]]="Medium","Purple",IF(TableRelationships12[[#This Row],[Rank Pedro]]="High","Brown","")))</f>
        <v/>
      </c>
      <c r="V1637" s="4" t="e">
        <f>MAX(INDEX(Standards!$F$2:$F$296,MATCH(B1637,Standards!$B$2:$B$296,0)),INDEX(Standards!$F$2:$F$296,MATCH(C1637,Standards!$B$2:$B$296,0)))</f>
        <v>#N/A</v>
      </c>
      <c r="W1637" t="str">
        <f t="shared" si="77"/>
        <v>#d6bf2a</v>
      </c>
    </row>
    <row r="1638" spans="1:23" x14ac:dyDescent="0.5">
      <c r="A1638" s="54">
        <v>1637</v>
      </c>
      <c r="B1638" s="90" t="s">
        <v>645</v>
      </c>
      <c r="C1638" t="s">
        <v>293</v>
      </c>
      <c r="D1638" s="1"/>
      <c r="E1638" s="112">
        <v>2002.07</v>
      </c>
      <c r="F1638" s="112">
        <v>2014.11</v>
      </c>
      <c r="G1638" s="107" t="s">
        <v>670</v>
      </c>
      <c r="H1638">
        <f>INDEX('GIS-Standards'!$A$2:$A$305,MATCH(B1638,'GIS-Standards'!$B$2:$B$305,0))</f>
        <v>74</v>
      </c>
      <c r="I1638">
        <f>INDEX('GIS-Standards'!$A$2:$A$305,MATCH(C1638,'GIS-Standards'!$B$2:$B$305,0))</f>
        <v>10</v>
      </c>
      <c r="J1638" t="str">
        <f>INDEX('GIS-Standards'!$O$2:$O$305,MATCH(B1638,'GIS-Standards'!$B$2:$B$305,0))</f>
        <v>ISO/TC 211</v>
      </c>
      <c r="K1638" t="str">
        <f>INDEX('GIS-Standards'!$O$2:$O$305,MATCH(C1638,'GIS-Standards'!$B$2:$B$305,0))</f>
        <v>ISO/TC 211</v>
      </c>
      <c r="M1638" t="s">
        <v>525</v>
      </c>
      <c r="N1638">
        <f>INDEX('GIS-Standards'!$I$2:$I$305,MATCH(B1638,'GIS-Standards'!$B$2:$B$305,0))</f>
        <v>0</v>
      </c>
      <c r="O1638">
        <f>INDEX('GIS-Standards'!$I$2:$I$305,MATCH(C1638,'GIS-Standards'!$B$2:$B$305,0))</f>
        <v>0</v>
      </c>
      <c r="P1638" t="b">
        <f>AND(TableRelationships12[[#This Row],[Source Type]]="BIM",TableRelationships12[[#This Row],[Target Type]]="BIM")</f>
        <v>0</v>
      </c>
      <c r="Q1638">
        <f t="shared" si="75"/>
        <v>1</v>
      </c>
      <c r="S1638">
        <f t="shared" si="76"/>
        <v>1</v>
      </c>
      <c r="T1638" s="102" t="str">
        <f>IF(TableRelationships12[[#This Row],[Rank Pedro]]="Low","linkCategory1",IF(TableRelationships12[[#This Row],[Rank Pedro]]="Medium","linkCategory2",IF(TableRelationships12[[#This Row],[Rank Pedro]]="High","linkCategory3","")))</f>
        <v/>
      </c>
      <c r="U1638" s="102" t="str">
        <f>IF(TableRelationships12[[#This Row],[Rank Pedro]]="Low","Pink",IF(TableRelationships12[[#This Row],[Rank Pedro]]="Medium","Purple",IF(TableRelationships12[[#This Row],[Rank Pedro]]="High","Brown","")))</f>
        <v/>
      </c>
      <c r="V1638" s="4" t="e">
        <f>MAX(INDEX(Standards!$F$2:$F$296,MATCH(B1638,Standards!$B$2:$B$296,0)),INDEX(Standards!$F$2:$F$296,MATCH(C1638,Standards!$B$2:$B$296,0)))</f>
        <v>#N/A</v>
      </c>
      <c r="W1638" t="str">
        <f t="shared" si="77"/>
        <v>#2f89d1</v>
      </c>
    </row>
    <row r="1639" spans="1:23" x14ac:dyDescent="0.5">
      <c r="A1639" s="54">
        <v>1638</v>
      </c>
      <c r="B1639" s="90" t="s">
        <v>645</v>
      </c>
      <c r="C1639" t="s">
        <v>296</v>
      </c>
      <c r="D1639" s="1"/>
      <c r="E1639" s="112">
        <v>2005.07</v>
      </c>
      <c r="F1639" s="112">
        <v>2024.09</v>
      </c>
      <c r="G1639" s="107" t="s">
        <v>670</v>
      </c>
      <c r="H1639">
        <f>INDEX('GIS-Standards'!$A$2:$A$305,MATCH(B1639,'GIS-Standards'!$B$2:$B$305,0))</f>
        <v>74</v>
      </c>
      <c r="I1639">
        <f>INDEX('GIS-Standards'!$A$2:$A$305,MATCH(C1639,'GIS-Standards'!$B$2:$B$305,0))</f>
        <v>12</v>
      </c>
      <c r="J1639" t="str">
        <f>INDEX('GIS-Standards'!$O$2:$O$305,MATCH(B1639,'GIS-Standards'!$B$2:$B$305,0))</f>
        <v>ISO/TC 211</v>
      </c>
      <c r="K1639" t="str">
        <f>INDEX('GIS-Standards'!$O$2:$O$305,MATCH(C1639,'GIS-Standards'!$B$2:$B$305,0))</f>
        <v>ISO/TC 211</v>
      </c>
      <c r="M1639" t="s">
        <v>525</v>
      </c>
      <c r="N1639">
        <f>INDEX('GIS-Standards'!$I$2:$I$305,MATCH(B1639,'GIS-Standards'!$B$2:$B$305,0))</f>
        <v>0</v>
      </c>
      <c r="O1639">
        <f>INDEX('GIS-Standards'!$I$2:$I$305,MATCH(C1639,'GIS-Standards'!$B$2:$B$305,0))</f>
        <v>0</v>
      </c>
      <c r="P1639" t="b">
        <f>AND(TableRelationships12[[#This Row],[Source Type]]="BIM",TableRelationships12[[#This Row],[Target Type]]="BIM")</f>
        <v>0</v>
      </c>
      <c r="Q1639">
        <f t="shared" si="75"/>
        <v>1</v>
      </c>
      <c r="S1639">
        <f t="shared" si="76"/>
        <v>1</v>
      </c>
      <c r="T1639" s="102" t="str">
        <f>IF(TableRelationships12[[#This Row],[Rank Pedro]]="Low","linkCategory1",IF(TableRelationships12[[#This Row],[Rank Pedro]]="Medium","linkCategory2",IF(TableRelationships12[[#This Row],[Rank Pedro]]="High","linkCategory3","")))</f>
        <v/>
      </c>
      <c r="U1639" s="102" t="str">
        <f>IF(TableRelationships12[[#This Row],[Rank Pedro]]="Low","Pink",IF(TableRelationships12[[#This Row],[Rank Pedro]]="Medium","Purple",IF(TableRelationships12[[#This Row],[Rank Pedro]]="High","Brown","")))</f>
        <v/>
      </c>
      <c r="V1639" s="4" t="e">
        <f>MAX(INDEX(Standards!$F$2:$F$296,MATCH(B1639,Standards!$B$2:$B$296,0)),INDEX(Standards!$F$2:$F$296,MATCH(C1639,Standards!$B$2:$B$296,0)))</f>
        <v>#N/A</v>
      </c>
      <c r="W1639" t="str">
        <f t="shared" si="77"/>
        <v>#2f89d1</v>
      </c>
    </row>
    <row r="1640" spans="1:23" x14ac:dyDescent="0.5">
      <c r="A1640" s="54">
        <v>1639</v>
      </c>
      <c r="B1640" s="90" t="s">
        <v>645</v>
      </c>
      <c r="C1640" t="s">
        <v>304</v>
      </c>
      <c r="D1640" s="1"/>
      <c r="E1640" s="112">
        <v>2002.09</v>
      </c>
      <c r="F1640" s="112">
        <v>2006.1</v>
      </c>
      <c r="G1640" s="107" t="s">
        <v>670</v>
      </c>
      <c r="H1640">
        <f>INDEX('GIS-Standards'!$A$2:$A$305,MATCH(B1640,'GIS-Standards'!$B$2:$B$305,0))</f>
        <v>74</v>
      </c>
      <c r="I1640">
        <f>INDEX('GIS-Standards'!$A$2:$A$305,MATCH(C1640,'GIS-Standards'!$B$2:$B$305,0))</f>
        <v>17</v>
      </c>
      <c r="J1640" t="str">
        <f>INDEX('GIS-Standards'!$O$2:$O$305,MATCH(B1640,'GIS-Standards'!$B$2:$B$305,0))</f>
        <v>ISO/TC 211</v>
      </c>
      <c r="K1640" t="str">
        <f>INDEX('GIS-Standards'!$O$2:$O$305,MATCH(C1640,'GIS-Standards'!$B$2:$B$305,0))</f>
        <v>ISO/TC 211</v>
      </c>
      <c r="M1640" t="s">
        <v>525</v>
      </c>
      <c r="N1640">
        <f>INDEX('GIS-Standards'!$I$2:$I$305,MATCH(B1640,'GIS-Standards'!$B$2:$B$305,0))</f>
        <v>0</v>
      </c>
      <c r="O1640" t="str">
        <f>INDEX('GIS-Standards'!$I$2:$I$305,MATCH(C1640,'GIS-Standards'!$B$2:$B$305,0))</f>
        <v>06.2008</v>
      </c>
      <c r="P1640" t="b">
        <f>AND(TableRelationships12[[#This Row],[Source Type]]="BIM",TableRelationships12[[#This Row],[Target Type]]="BIM")</f>
        <v>0</v>
      </c>
      <c r="Q1640">
        <f t="shared" si="75"/>
        <v>1</v>
      </c>
      <c r="S1640">
        <f t="shared" si="76"/>
        <v>1</v>
      </c>
      <c r="T1640" s="102" t="str">
        <f>IF(TableRelationships12[[#This Row],[Rank Pedro]]="Low","linkCategory1",IF(TableRelationships12[[#This Row],[Rank Pedro]]="Medium","linkCategory2",IF(TableRelationships12[[#This Row],[Rank Pedro]]="High","linkCategory3","")))</f>
        <v/>
      </c>
      <c r="U1640" s="102" t="str">
        <f>IF(TableRelationships12[[#This Row],[Rank Pedro]]="Low","Pink",IF(TableRelationships12[[#This Row],[Rank Pedro]]="Medium","Purple",IF(TableRelationships12[[#This Row],[Rank Pedro]]="High","Brown","")))</f>
        <v/>
      </c>
      <c r="V1640" s="4" t="e">
        <f>MAX(INDEX(Standards!$F$2:$F$296,MATCH(B1640,Standards!$B$2:$B$296,0)),INDEX(Standards!$F$2:$F$296,MATCH(C1640,Standards!$B$2:$B$296,0)))</f>
        <v>#N/A</v>
      </c>
      <c r="W1640" t="str">
        <f t="shared" si="77"/>
        <v>#2f89d1</v>
      </c>
    </row>
    <row r="1641" spans="1:23" x14ac:dyDescent="0.5">
      <c r="A1641" s="54">
        <v>1640</v>
      </c>
      <c r="B1641" s="90" t="s">
        <v>645</v>
      </c>
      <c r="C1641" t="s">
        <v>1079</v>
      </c>
      <c r="D1641" s="1"/>
      <c r="E1641" s="112">
        <v>2005.04</v>
      </c>
      <c r="F1641" s="112">
        <v>2005.04</v>
      </c>
      <c r="G1641" s="107" t="s">
        <v>1502</v>
      </c>
      <c r="H1641">
        <f>INDEX('GIS-Standards'!$A$2:$A$305,MATCH(B1641,'GIS-Standards'!$B$2:$B$305,0))</f>
        <v>74</v>
      </c>
      <c r="I1641" t="e">
        <f>INDEX('GIS-Standards'!$A$2:$A$305,MATCH(C1641,'GIS-Standards'!$B$2:$B$305,0))</f>
        <v>#N/A</v>
      </c>
      <c r="J1641" t="str">
        <f>INDEX('GIS-Standards'!$O$2:$O$305,MATCH(B1641,'GIS-Standards'!$B$2:$B$305,0))</f>
        <v>ISO/TC 211</v>
      </c>
      <c r="K1641" t="e">
        <f>INDEX('GIS-Standards'!$O$2:$O$305,MATCH(C1641,'GIS-Standards'!$B$2:$B$305,0))</f>
        <v>#N/A</v>
      </c>
      <c r="M1641" t="s">
        <v>525</v>
      </c>
      <c r="N1641">
        <f>INDEX('GIS-Standards'!$I$2:$I$305,MATCH(B1641,'GIS-Standards'!$B$2:$B$305,0))</f>
        <v>0</v>
      </c>
      <c r="O1641" t="e">
        <f>INDEX('GIS-Standards'!$I$2:$I$305,MATCH(C1641,'GIS-Standards'!$B$2:$B$305,0))</f>
        <v>#N/A</v>
      </c>
      <c r="P1641" t="e">
        <f>AND(TableRelationships12[[#This Row],[Source Type]]="BIM",TableRelationships12[[#This Row],[Target Type]]="BIM")</f>
        <v>#N/A</v>
      </c>
      <c r="Q1641">
        <f t="shared" si="75"/>
        <v>1</v>
      </c>
      <c r="S1641">
        <f t="shared" si="76"/>
        <v>1</v>
      </c>
      <c r="T1641" s="102" t="str">
        <f>IF(TableRelationships12[[#This Row],[Rank Pedro]]="Low","linkCategory1",IF(TableRelationships12[[#This Row],[Rank Pedro]]="Medium","linkCategory2",IF(TableRelationships12[[#This Row],[Rank Pedro]]="High","linkCategory3","")))</f>
        <v/>
      </c>
      <c r="U1641" s="102" t="str">
        <f>IF(TableRelationships12[[#This Row],[Rank Pedro]]="Low","Pink",IF(TableRelationships12[[#This Row],[Rank Pedro]]="Medium","Purple",IF(TableRelationships12[[#This Row],[Rank Pedro]]="High","Brown","")))</f>
        <v/>
      </c>
      <c r="V1641" s="4" t="e">
        <f>MAX(INDEX(Standards!$F$2:$F$296,MATCH(B1641,Standards!$B$2:$B$296,0)),INDEX(Standards!$F$2:$F$296,MATCH(C1641,Standards!$B$2:$B$296,0)))</f>
        <v>#N/A</v>
      </c>
      <c r="W1641" t="str">
        <f t="shared" si="77"/>
        <v>#2f89d1</v>
      </c>
    </row>
    <row r="1642" spans="1:23" x14ac:dyDescent="0.5">
      <c r="A1642" s="54">
        <v>1641</v>
      </c>
      <c r="B1642" s="90" t="s">
        <v>645</v>
      </c>
      <c r="C1642" t="s">
        <v>1340</v>
      </c>
      <c r="D1642" s="1"/>
      <c r="G1642" s="107"/>
      <c r="H1642">
        <f>INDEX('GIS-Standards'!$A$2:$A$305,MATCH(B1642,'GIS-Standards'!$B$2:$B$305,0))</f>
        <v>74</v>
      </c>
      <c r="I1642" t="e">
        <f>INDEX('GIS-Standards'!$A$2:$A$305,MATCH(C1642,'GIS-Standards'!$B$2:$B$305,0))</f>
        <v>#N/A</v>
      </c>
      <c r="J1642" t="str">
        <f>INDEX('GIS-Standards'!$O$2:$O$305,MATCH(B1642,'GIS-Standards'!$B$2:$B$305,0))</f>
        <v>ISO/TC 211</v>
      </c>
      <c r="K1642" t="e">
        <f>INDEX('GIS-Standards'!$O$2:$O$305,MATCH(C1642,'GIS-Standards'!$B$2:$B$305,0))</f>
        <v>#N/A</v>
      </c>
      <c r="M1642" t="s">
        <v>525</v>
      </c>
      <c r="N1642">
        <f>INDEX('GIS-Standards'!$I$2:$I$305,MATCH(B1642,'GIS-Standards'!$B$2:$B$305,0))</f>
        <v>0</v>
      </c>
      <c r="O1642" t="e">
        <f>INDEX('GIS-Standards'!$I$2:$I$305,MATCH(C1642,'GIS-Standards'!$B$2:$B$305,0))</f>
        <v>#N/A</v>
      </c>
      <c r="P1642" t="e">
        <f>AND(TableRelationships12[[#This Row],[Source Type]]="BIM",TableRelationships12[[#This Row],[Target Type]]="BIM")</f>
        <v>#N/A</v>
      </c>
      <c r="Q1642">
        <f t="shared" si="75"/>
        <v>1</v>
      </c>
      <c r="S1642">
        <f t="shared" si="76"/>
        <v>1</v>
      </c>
      <c r="T1642" s="102" t="str">
        <f>IF(TableRelationships12[[#This Row],[Rank Pedro]]="Low","linkCategory1",IF(TableRelationships12[[#This Row],[Rank Pedro]]="Medium","linkCategory2",IF(TableRelationships12[[#This Row],[Rank Pedro]]="High","linkCategory3","")))</f>
        <v/>
      </c>
      <c r="U1642" s="102" t="str">
        <f>IF(TableRelationships12[[#This Row],[Rank Pedro]]="Low","Pink",IF(TableRelationships12[[#This Row],[Rank Pedro]]="Medium","Purple",IF(TableRelationships12[[#This Row],[Rank Pedro]]="High","Brown","")))</f>
        <v/>
      </c>
      <c r="V1642" s="4" t="e">
        <f>MAX(INDEX(Standards!$F$2:$F$296,MATCH(B1642,Standards!$B$2:$B$296,0)),INDEX(Standards!$F$2:$F$296,MATCH(C1642,Standards!$B$2:$B$296,0)))</f>
        <v>#N/A</v>
      </c>
      <c r="W1642" t="str">
        <f t="shared" si="77"/>
        <v>#2f89d1</v>
      </c>
    </row>
    <row r="1643" spans="1:23" x14ac:dyDescent="0.5">
      <c r="A1643" s="54">
        <v>1642</v>
      </c>
      <c r="B1643" s="90" t="s">
        <v>645</v>
      </c>
      <c r="C1643" t="s">
        <v>1341</v>
      </c>
      <c r="D1643" s="1"/>
      <c r="G1643" s="107"/>
      <c r="H1643">
        <f>INDEX('GIS-Standards'!$A$2:$A$305,MATCH(B1643,'GIS-Standards'!$B$2:$B$305,0))</f>
        <v>74</v>
      </c>
      <c r="I1643" t="e">
        <f>INDEX('GIS-Standards'!$A$2:$A$305,MATCH(C1643,'GIS-Standards'!$B$2:$B$305,0))</f>
        <v>#N/A</v>
      </c>
      <c r="J1643" t="str">
        <f>INDEX('GIS-Standards'!$O$2:$O$305,MATCH(B1643,'GIS-Standards'!$B$2:$B$305,0))</f>
        <v>ISO/TC 211</v>
      </c>
      <c r="K1643" t="e">
        <f>INDEX('GIS-Standards'!$O$2:$O$305,MATCH(C1643,'GIS-Standards'!$B$2:$B$305,0))</f>
        <v>#N/A</v>
      </c>
      <c r="M1643" t="s">
        <v>525</v>
      </c>
      <c r="N1643">
        <f>INDEX('GIS-Standards'!$I$2:$I$305,MATCH(B1643,'GIS-Standards'!$B$2:$B$305,0))</f>
        <v>0</v>
      </c>
      <c r="O1643" t="e">
        <f>INDEX('GIS-Standards'!$I$2:$I$305,MATCH(C1643,'GIS-Standards'!$B$2:$B$305,0))</f>
        <v>#N/A</v>
      </c>
      <c r="P1643" t="e">
        <f>AND(TableRelationships12[[#This Row],[Source Type]]="BIM",TableRelationships12[[#This Row],[Target Type]]="BIM")</f>
        <v>#N/A</v>
      </c>
      <c r="Q1643">
        <f t="shared" si="75"/>
        <v>1</v>
      </c>
      <c r="S1643">
        <f t="shared" si="76"/>
        <v>1</v>
      </c>
      <c r="T1643" s="102" t="str">
        <f>IF(TableRelationships12[[#This Row],[Rank Pedro]]="Low","linkCategory1",IF(TableRelationships12[[#This Row],[Rank Pedro]]="Medium","linkCategory2",IF(TableRelationships12[[#This Row],[Rank Pedro]]="High","linkCategory3","")))</f>
        <v/>
      </c>
      <c r="U1643" s="102" t="str">
        <f>IF(TableRelationships12[[#This Row],[Rank Pedro]]="Low","Pink",IF(TableRelationships12[[#This Row],[Rank Pedro]]="Medium","Purple",IF(TableRelationships12[[#This Row],[Rank Pedro]]="High","Brown","")))</f>
        <v/>
      </c>
      <c r="V1643" s="4" t="e">
        <f>MAX(INDEX(Standards!$F$2:$F$296,MATCH(B1643,Standards!$B$2:$B$296,0)),INDEX(Standards!$F$2:$F$296,MATCH(C1643,Standards!$B$2:$B$296,0)))</f>
        <v>#N/A</v>
      </c>
      <c r="W1643" t="str">
        <f t="shared" si="77"/>
        <v>#2f89d1</v>
      </c>
    </row>
    <row r="1644" spans="1:23" x14ac:dyDescent="0.5">
      <c r="A1644" s="54">
        <v>1643</v>
      </c>
      <c r="B1644" s="90" t="s">
        <v>645</v>
      </c>
      <c r="C1644" t="s">
        <v>1342</v>
      </c>
      <c r="D1644" s="1"/>
      <c r="G1644" s="107"/>
      <c r="H1644">
        <f>INDEX('GIS-Standards'!$A$2:$A$305,MATCH(B1644,'GIS-Standards'!$B$2:$B$305,0))</f>
        <v>74</v>
      </c>
      <c r="I1644" t="e">
        <f>INDEX('GIS-Standards'!$A$2:$A$305,MATCH(C1644,'GIS-Standards'!$B$2:$B$305,0))</f>
        <v>#N/A</v>
      </c>
      <c r="J1644" t="str">
        <f>INDEX('GIS-Standards'!$O$2:$O$305,MATCH(B1644,'GIS-Standards'!$B$2:$B$305,0))</f>
        <v>ISO/TC 211</v>
      </c>
      <c r="K1644" t="e">
        <f>INDEX('GIS-Standards'!$O$2:$O$305,MATCH(C1644,'GIS-Standards'!$B$2:$B$305,0))</f>
        <v>#N/A</v>
      </c>
      <c r="M1644" t="s">
        <v>525</v>
      </c>
      <c r="N1644">
        <f>INDEX('GIS-Standards'!$I$2:$I$305,MATCH(B1644,'GIS-Standards'!$B$2:$B$305,0))</f>
        <v>0</v>
      </c>
      <c r="O1644" t="e">
        <f>INDEX('GIS-Standards'!$I$2:$I$305,MATCH(C1644,'GIS-Standards'!$B$2:$B$305,0))</f>
        <v>#N/A</v>
      </c>
      <c r="P1644" t="e">
        <f>AND(TableRelationships12[[#This Row],[Source Type]]="BIM",TableRelationships12[[#This Row],[Target Type]]="BIM")</f>
        <v>#N/A</v>
      </c>
      <c r="Q1644">
        <f t="shared" si="75"/>
        <v>1</v>
      </c>
      <c r="S1644">
        <f t="shared" si="76"/>
        <v>1</v>
      </c>
      <c r="T1644" s="102" t="str">
        <f>IF(TableRelationships12[[#This Row],[Rank Pedro]]="Low","linkCategory1",IF(TableRelationships12[[#This Row],[Rank Pedro]]="Medium","linkCategory2",IF(TableRelationships12[[#This Row],[Rank Pedro]]="High","linkCategory3","")))</f>
        <v/>
      </c>
      <c r="U1644" s="102" t="str">
        <f>IF(TableRelationships12[[#This Row],[Rank Pedro]]="Low","Pink",IF(TableRelationships12[[#This Row],[Rank Pedro]]="Medium","Purple",IF(TableRelationships12[[#This Row],[Rank Pedro]]="High","Brown","")))</f>
        <v/>
      </c>
      <c r="V1644" s="4" t="e">
        <f>MAX(INDEX(Standards!$F$2:$F$296,MATCH(B1644,Standards!$B$2:$B$296,0)),INDEX(Standards!$F$2:$F$296,MATCH(C1644,Standards!$B$2:$B$296,0)))</f>
        <v>#N/A</v>
      </c>
      <c r="W1644" t="str">
        <f t="shared" si="77"/>
        <v>#2f89d1</v>
      </c>
    </row>
    <row r="1645" spans="1:23" x14ac:dyDescent="0.5">
      <c r="A1645" s="54">
        <v>1644</v>
      </c>
      <c r="B1645" s="90" t="s">
        <v>645</v>
      </c>
      <c r="C1645" t="s">
        <v>192</v>
      </c>
      <c r="D1645" s="1"/>
      <c r="E1645" s="113">
        <v>1976.04</v>
      </c>
      <c r="F1645" s="113">
        <v>2022.1</v>
      </c>
      <c r="G1645" s="107" t="s">
        <v>1481</v>
      </c>
      <c r="H1645">
        <f>INDEX('GIS-Standards'!$A$2:$A$305,MATCH(B1645,'GIS-Standards'!$B$2:$B$305,0))</f>
        <v>74</v>
      </c>
      <c r="I1645" t="e">
        <f>INDEX('GIS-Standards'!$A$2:$A$305,MATCH(C1645,'GIS-Standards'!$B$2:$B$305,0))</f>
        <v>#N/A</v>
      </c>
      <c r="J1645" t="str">
        <f>INDEX('GIS-Standards'!$O$2:$O$305,MATCH(B1645,'GIS-Standards'!$B$2:$B$305,0))</f>
        <v>ISO/TC 211</v>
      </c>
      <c r="K1645" t="e">
        <f>INDEX('GIS-Standards'!$O$2:$O$305,MATCH(C1645,'GIS-Standards'!$B$2:$B$305,0))</f>
        <v>#N/A</v>
      </c>
      <c r="M1645" t="s">
        <v>525</v>
      </c>
      <c r="N1645">
        <f>INDEX('GIS-Standards'!$I$2:$I$305,MATCH(B1645,'GIS-Standards'!$B$2:$B$305,0))</f>
        <v>0</v>
      </c>
      <c r="O1645" t="e">
        <f>INDEX('GIS-Standards'!$I$2:$I$305,MATCH(C1645,'GIS-Standards'!$B$2:$B$305,0))</f>
        <v>#N/A</v>
      </c>
      <c r="P1645" t="e">
        <f>AND(TableRelationships12[[#This Row],[Source Type]]="BIM",TableRelationships12[[#This Row],[Target Type]]="BIM")</f>
        <v>#N/A</v>
      </c>
      <c r="Q1645">
        <f t="shared" si="75"/>
        <v>1</v>
      </c>
      <c r="S1645">
        <f t="shared" si="76"/>
        <v>1</v>
      </c>
      <c r="T1645" s="102" t="str">
        <f>IF(TableRelationships12[[#This Row],[Rank Pedro]]="Low","linkCategory1",IF(TableRelationships12[[#This Row],[Rank Pedro]]="Medium","linkCategory2",IF(TableRelationships12[[#This Row],[Rank Pedro]]="High","linkCategory3","")))</f>
        <v/>
      </c>
      <c r="U1645" s="102" t="str">
        <f>IF(TableRelationships12[[#This Row],[Rank Pedro]]="Low","Pink",IF(TableRelationships12[[#This Row],[Rank Pedro]]="Medium","Purple",IF(TableRelationships12[[#This Row],[Rank Pedro]]="High","Brown","")))</f>
        <v/>
      </c>
      <c r="V1645" s="4" t="e">
        <f>MAX(INDEX(Standards!$F$2:$F$296,MATCH(B1645,Standards!$B$2:$B$296,0)),INDEX(Standards!$F$2:$F$296,MATCH(C1645,Standards!$B$2:$B$296,0)))</f>
        <v>#N/A</v>
      </c>
      <c r="W1645" t="str">
        <f t="shared" si="77"/>
        <v>#2f89d1</v>
      </c>
    </row>
    <row r="1646" spans="1:23" x14ac:dyDescent="0.5">
      <c r="A1646" s="54">
        <v>1645</v>
      </c>
      <c r="B1646" s="90" t="s">
        <v>645</v>
      </c>
      <c r="C1646" t="s">
        <v>320</v>
      </c>
      <c r="D1646" s="1" t="s">
        <v>1100</v>
      </c>
      <c r="E1646" s="112">
        <v>2005.08</v>
      </c>
      <c r="F1646" s="112">
        <v>2023.06</v>
      </c>
      <c r="G1646" s="107" t="s">
        <v>670</v>
      </c>
      <c r="H1646">
        <f>INDEX('GIS-Standards'!$A$2:$A$305,MATCH(B1646,'GIS-Standards'!$B$2:$B$305,0))</f>
        <v>74</v>
      </c>
      <c r="I1646">
        <f>INDEX('GIS-Standards'!$A$2:$A$305,MATCH(C1646,'GIS-Standards'!$B$2:$B$305,0))</f>
        <v>29</v>
      </c>
      <c r="J1646" t="str">
        <f>INDEX('GIS-Standards'!$O$2:$O$305,MATCH(B1646,'GIS-Standards'!$B$2:$B$305,0))</f>
        <v>ISO/TC 211</v>
      </c>
      <c r="K1646" t="str">
        <f>INDEX('GIS-Standards'!$O$2:$O$305,MATCH(C1646,'GIS-Standards'!$B$2:$B$305,0))</f>
        <v>ISO/TC 211</v>
      </c>
      <c r="M1646" t="s">
        <v>525</v>
      </c>
      <c r="N1646">
        <f>INDEX('GIS-Standards'!$I$2:$I$305,MATCH(B1646,'GIS-Standards'!$B$2:$B$305,0))</f>
        <v>0</v>
      </c>
      <c r="O1646">
        <f>INDEX('GIS-Standards'!$I$2:$I$305,MATCH(C1646,'GIS-Standards'!$B$2:$B$305,0))</f>
        <v>0</v>
      </c>
      <c r="P1646" t="b">
        <f>AND(TableRelationships12[[#This Row],[Source Type]]="BIM",TableRelationships12[[#This Row],[Target Type]]="BIM")</f>
        <v>0</v>
      </c>
      <c r="Q1646">
        <f t="shared" si="75"/>
        <v>1</v>
      </c>
      <c r="S1646">
        <f t="shared" si="76"/>
        <v>1</v>
      </c>
      <c r="T1646" s="102" t="str">
        <f>IF(TableRelationships12[[#This Row],[Rank Pedro]]="Low","linkCategory1",IF(TableRelationships12[[#This Row],[Rank Pedro]]="Medium","linkCategory2",IF(TableRelationships12[[#This Row],[Rank Pedro]]="High","linkCategory3","")))</f>
        <v/>
      </c>
      <c r="U1646" s="102" t="str">
        <f>IF(TableRelationships12[[#This Row],[Rank Pedro]]="Low","Pink",IF(TableRelationships12[[#This Row],[Rank Pedro]]="Medium","Purple",IF(TableRelationships12[[#This Row],[Rank Pedro]]="High","Brown","")))</f>
        <v/>
      </c>
      <c r="V1646" s="4" t="e">
        <f>MAX(INDEX(Standards!$F$2:$F$296,MATCH(B1646,Standards!$B$2:$B$296,0)),INDEX(Standards!$F$2:$F$296,MATCH(C1646,Standards!$B$2:$B$296,0)))</f>
        <v>#N/A</v>
      </c>
      <c r="W1646" t="str">
        <f t="shared" si="77"/>
        <v>#2f89d1</v>
      </c>
    </row>
    <row r="1647" spans="1:23" x14ac:dyDescent="0.5">
      <c r="A1647" s="54">
        <v>1646</v>
      </c>
      <c r="B1647" s="90" t="s">
        <v>645</v>
      </c>
      <c r="C1647" t="s">
        <v>474</v>
      </c>
      <c r="D1647" s="1"/>
      <c r="E1647" s="113">
        <v>1974.12</v>
      </c>
      <c r="F1647" s="113">
        <v>2022.1</v>
      </c>
      <c r="G1647" s="107" t="s">
        <v>1511</v>
      </c>
      <c r="H1647">
        <f>INDEX('GIS-Standards'!$A$2:$A$305,MATCH(B1647,'GIS-Standards'!$B$2:$B$305,0))</f>
        <v>74</v>
      </c>
      <c r="I1647" t="e">
        <f>INDEX('GIS-Standards'!$A$2:$A$305,MATCH(C1647,'GIS-Standards'!$B$2:$B$305,0))</f>
        <v>#N/A</v>
      </c>
      <c r="J1647" t="str">
        <f>INDEX('GIS-Standards'!$O$2:$O$305,MATCH(B1647,'GIS-Standards'!$B$2:$B$305,0))</f>
        <v>ISO/TC 211</v>
      </c>
      <c r="K1647" t="e">
        <f>INDEX('GIS-Standards'!$O$2:$O$305,MATCH(C1647,'GIS-Standards'!$B$2:$B$305,0))</f>
        <v>#N/A</v>
      </c>
      <c r="M1647" t="s">
        <v>525</v>
      </c>
      <c r="N1647">
        <f>INDEX('GIS-Standards'!$I$2:$I$305,MATCH(B1647,'GIS-Standards'!$B$2:$B$305,0))</f>
        <v>0</v>
      </c>
      <c r="O1647" t="e">
        <f>INDEX('GIS-Standards'!$I$2:$I$305,MATCH(C1647,'GIS-Standards'!$B$2:$B$305,0))</f>
        <v>#N/A</v>
      </c>
      <c r="P1647" t="e">
        <f>AND(TableRelationships12[[#This Row],[Source Type]]="BIM",TableRelationships12[[#This Row],[Target Type]]="BIM")</f>
        <v>#N/A</v>
      </c>
      <c r="Q1647">
        <f t="shared" si="75"/>
        <v>1</v>
      </c>
      <c r="S1647">
        <f t="shared" si="76"/>
        <v>1</v>
      </c>
      <c r="T1647" s="102" t="str">
        <f>IF(TableRelationships12[[#This Row],[Rank Pedro]]="Low","linkCategory1",IF(TableRelationships12[[#This Row],[Rank Pedro]]="Medium","linkCategory2",IF(TableRelationships12[[#This Row],[Rank Pedro]]="High","linkCategory3","")))</f>
        <v/>
      </c>
      <c r="U1647" s="102" t="str">
        <f>IF(TableRelationships12[[#This Row],[Rank Pedro]]="Low","Pink",IF(TableRelationships12[[#This Row],[Rank Pedro]]="Medium","Purple",IF(TableRelationships12[[#This Row],[Rank Pedro]]="High","Brown","")))</f>
        <v/>
      </c>
      <c r="V1647" s="4" t="e">
        <f>MAX(INDEX(Standards!$F$2:$F$296,MATCH(B1647,Standards!$B$2:$B$296,0)),INDEX(Standards!$F$2:$F$296,MATCH(C1647,Standards!$B$2:$B$296,0)))</f>
        <v>#N/A</v>
      </c>
      <c r="W1647" t="str">
        <f t="shared" si="77"/>
        <v>#2f89d1</v>
      </c>
    </row>
    <row r="1648" spans="1:23" x14ac:dyDescent="0.5">
      <c r="A1648" s="54">
        <v>1647</v>
      </c>
      <c r="B1648" s="90" t="s">
        <v>645</v>
      </c>
      <c r="C1648" t="s">
        <v>1044</v>
      </c>
      <c r="D1648" s="1"/>
      <c r="E1648" s="112">
        <v>2005.06</v>
      </c>
      <c r="F1648" s="112">
        <v>2012.12</v>
      </c>
      <c r="G1648" s="107" t="s">
        <v>670</v>
      </c>
      <c r="H1648">
        <f>INDEX('GIS-Standards'!$A$2:$A$305,MATCH(B1648,'GIS-Standards'!$B$2:$B$305,0))</f>
        <v>74</v>
      </c>
      <c r="I1648">
        <f>INDEX('GIS-Standards'!$A$2:$A$305,MATCH(C1648,'GIS-Standards'!$B$2:$B$305,0))</f>
        <v>26</v>
      </c>
      <c r="J1648" t="str">
        <f>INDEX('GIS-Standards'!$O$2:$O$305,MATCH(B1648,'GIS-Standards'!$B$2:$B$305,0))</f>
        <v>ISO/TC 211</v>
      </c>
      <c r="K1648" t="str">
        <f>INDEX('GIS-Standards'!$O$2:$O$305,MATCH(C1648,'GIS-Standards'!$B$2:$B$305,0))</f>
        <v>ISO/TC 211</v>
      </c>
      <c r="M1648" t="s">
        <v>525</v>
      </c>
      <c r="N1648">
        <f>INDEX('GIS-Standards'!$I$2:$I$305,MATCH(B1648,'GIS-Standards'!$B$2:$B$305,0))</f>
        <v>0</v>
      </c>
      <c r="O1648">
        <f>INDEX('GIS-Standards'!$I$2:$I$305,MATCH(C1648,'GIS-Standards'!$B$2:$B$305,0))</f>
        <v>0</v>
      </c>
      <c r="P1648" t="b">
        <f>AND(TableRelationships12[[#This Row],[Source Type]]="BIM",TableRelationships12[[#This Row],[Target Type]]="BIM")</f>
        <v>0</v>
      </c>
      <c r="Q1648">
        <f t="shared" si="75"/>
        <v>1</v>
      </c>
      <c r="S1648">
        <f t="shared" si="76"/>
        <v>1</v>
      </c>
      <c r="T1648" s="102" t="str">
        <f>IF(TableRelationships12[[#This Row],[Rank Pedro]]="Low","linkCategory1",IF(TableRelationships12[[#This Row],[Rank Pedro]]="Medium","linkCategory2",IF(TableRelationships12[[#This Row],[Rank Pedro]]="High","linkCategory3","")))</f>
        <v/>
      </c>
      <c r="U1648" s="102" t="str">
        <f>IF(TableRelationships12[[#This Row],[Rank Pedro]]="Low","Pink",IF(TableRelationships12[[#This Row],[Rank Pedro]]="Medium","Purple",IF(TableRelationships12[[#This Row],[Rank Pedro]]="High","Brown","")))</f>
        <v/>
      </c>
      <c r="V1648" s="4" t="e">
        <f>MAX(INDEX(Standards!$F$2:$F$296,MATCH(B1648,Standards!$B$2:$B$296,0)),INDEX(Standards!$F$2:$F$296,MATCH(C1648,Standards!$B$2:$B$296,0)))</f>
        <v>#N/A</v>
      </c>
      <c r="W1648" t="str">
        <f t="shared" si="77"/>
        <v>#2f89d1</v>
      </c>
    </row>
    <row r="1649" spans="1:23" x14ac:dyDescent="0.5">
      <c r="A1649" s="54">
        <v>1648</v>
      </c>
      <c r="B1649" s="90" t="s">
        <v>245</v>
      </c>
      <c r="C1649" t="s">
        <v>527</v>
      </c>
      <c r="D1649" s="1"/>
      <c r="E1649" s="112">
        <v>2020.04</v>
      </c>
      <c r="F1649" s="112">
        <v>2020.04</v>
      </c>
      <c r="G1649" s="121" t="s">
        <v>1873</v>
      </c>
      <c r="H1649">
        <f>INDEX('GIS-Standards'!$A$2:$A$305,MATCH(B1649,'GIS-Standards'!$B$2:$B$305,0))</f>
        <v>75</v>
      </c>
      <c r="I1649" t="e">
        <f>INDEX('GIS-Standards'!$A$2:$A$305,MATCH(C1649,'GIS-Standards'!$B$2:$B$305,0))</f>
        <v>#N/A</v>
      </c>
      <c r="J1649" t="str">
        <f>INDEX('GIS-Standards'!$O$2:$O$305,MATCH(B1649,'GIS-Standards'!$B$2:$B$305,0))</f>
        <v>ISO/TC 59/SC 13</v>
      </c>
      <c r="K1649" t="e">
        <f>INDEX('GIS-Standards'!$O$2:$O$305,MATCH(C1649,'GIS-Standards'!$B$2:$B$305,0))</f>
        <v>#N/A</v>
      </c>
      <c r="M1649" t="s">
        <v>237</v>
      </c>
      <c r="N1649">
        <f>INDEX('GIS-Standards'!$I$2:$I$305,MATCH(B1649,'GIS-Standards'!$B$2:$B$305,0))</f>
        <v>0</v>
      </c>
      <c r="O1649" t="e">
        <f>INDEX('GIS-Standards'!$I$2:$I$305,MATCH(C1649,'GIS-Standards'!$B$2:$B$305,0))</f>
        <v>#N/A</v>
      </c>
      <c r="P1649" t="e">
        <f>AND(TableRelationships12[[#This Row],[Source Type]]="BIM",TableRelationships12[[#This Row],[Target Type]]="BIM")</f>
        <v>#N/A</v>
      </c>
      <c r="Q1649">
        <f t="shared" si="75"/>
        <v>2</v>
      </c>
      <c r="S1649">
        <f t="shared" si="76"/>
        <v>1</v>
      </c>
      <c r="T1649" s="102" t="str">
        <f>IF(TableRelationships12[[#This Row],[Rank Pedro]]="Low","linkCategory1",IF(TableRelationships12[[#This Row],[Rank Pedro]]="Medium","linkCategory2",IF(TableRelationships12[[#This Row],[Rank Pedro]]="High","linkCategory3","")))</f>
        <v/>
      </c>
      <c r="U1649" s="102" t="str">
        <f>IF(TableRelationships12[[#This Row],[Rank Pedro]]="Low","Pink",IF(TableRelationships12[[#This Row],[Rank Pedro]]="Medium","Purple",IF(TableRelationships12[[#This Row],[Rank Pedro]]="High","Brown","")))</f>
        <v/>
      </c>
      <c r="V1649" s="4">
        <f>MAX(INDEX(Standards!$F$2:$F$296,MATCH(B1649,Standards!$B$2:$B$296,0)),INDEX(Standards!$F$2:$F$296,MATCH(C1649,Standards!$B$2:$B$296,0)))</f>
        <v>43943</v>
      </c>
      <c r="W1649">
        <f t="shared" si="77"/>
        <v>1</v>
      </c>
    </row>
    <row r="1650" spans="1:23" x14ac:dyDescent="0.5">
      <c r="A1650" s="54">
        <v>1649</v>
      </c>
      <c r="B1650" s="90" t="s">
        <v>245</v>
      </c>
      <c r="C1650" t="s">
        <v>1874</v>
      </c>
      <c r="D1650" s="1"/>
      <c r="E1650" s="112">
        <v>2015.1</v>
      </c>
      <c r="F1650" s="112">
        <v>2015.1</v>
      </c>
      <c r="G1650" s="107" t="s">
        <v>1458</v>
      </c>
      <c r="H1650">
        <f>INDEX('GIS-Standards'!$A$2:$A$305,MATCH(B1650,'GIS-Standards'!$B$2:$B$305,0))</f>
        <v>75</v>
      </c>
      <c r="I1650" t="e">
        <f>INDEX('GIS-Standards'!$A$2:$A$305,MATCH(C1650,'GIS-Standards'!$B$2:$B$305,0))</f>
        <v>#N/A</v>
      </c>
      <c r="J1650" t="str">
        <f>INDEX('GIS-Standards'!$O$2:$O$305,MATCH(B1650,'GIS-Standards'!$B$2:$B$305,0))</f>
        <v>ISO/TC 59/SC 13</v>
      </c>
      <c r="K1650" t="e">
        <f>INDEX('GIS-Standards'!$O$2:$O$305,MATCH(C1650,'GIS-Standards'!$B$2:$B$305,0))</f>
        <v>#N/A</v>
      </c>
      <c r="M1650" t="s">
        <v>524</v>
      </c>
      <c r="N1650">
        <f>INDEX('GIS-Standards'!$I$2:$I$305,MATCH(B1650,'GIS-Standards'!$B$2:$B$305,0))</f>
        <v>0</v>
      </c>
      <c r="O1650" t="e">
        <f>INDEX('GIS-Standards'!$I$2:$I$305,MATCH(C1650,'GIS-Standards'!$B$2:$B$305,0))</f>
        <v>#N/A</v>
      </c>
      <c r="P1650" t="e">
        <f>AND(TableRelationships12[[#This Row],[Source Type]]="BIM",TableRelationships12[[#This Row],[Target Type]]="BIM")</f>
        <v>#N/A</v>
      </c>
      <c r="Q1650">
        <f t="shared" si="75"/>
        <v>6</v>
      </c>
      <c r="S1650">
        <f t="shared" si="76"/>
        <v>1</v>
      </c>
      <c r="T1650" s="102" t="str">
        <f>IF(TableRelationships12[[#This Row],[Rank Pedro]]="Low","linkCategory1",IF(TableRelationships12[[#This Row],[Rank Pedro]]="Medium","linkCategory2",IF(TableRelationships12[[#This Row],[Rank Pedro]]="High","linkCategory3","")))</f>
        <v/>
      </c>
      <c r="U1650" s="102" t="str">
        <f>IF(TableRelationships12[[#This Row],[Rank Pedro]]="Low","Pink",IF(TableRelationships12[[#This Row],[Rank Pedro]]="Medium","Purple",IF(TableRelationships12[[#This Row],[Rank Pedro]]="High","Brown","")))</f>
        <v/>
      </c>
      <c r="V1650" s="4" t="e">
        <f>MAX(INDEX(Standards!$F$2:$F$296,MATCH(B1650,Standards!$B$2:$B$296,0)),INDEX(Standards!$F$2:$F$296,MATCH(C1650,Standards!$B$2:$B$296,0)))</f>
        <v>#N/A</v>
      </c>
      <c r="W1650" t="str">
        <f t="shared" si="77"/>
        <v>#d6bf2a</v>
      </c>
    </row>
    <row r="1651" spans="1:23" x14ac:dyDescent="0.5">
      <c r="A1651" s="54">
        <v>1650</v>
      </c>
      <c r="B1651" s="90" t="s">
        <v>245</v>
      </c>
      <c r="C1651" t="s">
        <v>1875</v>
      </c>
      <c r="D1651" s="1"/>
      <c r="G1651" s="107"/>
      <c r="H1651">
        <f>INDEX('GIS-Standards'!$A$2:$A$305,MATCH(B1651,'GIS-Standards'!$B$2:$B$305,0))</f>
        <v>75</v>
      </c>
      <c r="I1651" t="e">
        <f>INDEX('GIS-Standards'!$A$2:$A$305,MATCH(C1651,'GIS-Standards'!$B$2:$B$305,0))</f>
        <v>#N/A</v>
      </c>
      <c r="J1651" t="str">
        <f>INDEX('GIS-Standards'!$O$2:$O$305,MATCH(B1651,'GIS-Standards'!$B$2:$B$305,0))</f>
        <v>ISO/TC 59/SC 13</v>
      </c>
      <c r="K1651" t="e">
        <f>INDEX('GIS-Standards'!$O$2:$O$305,MATCH(C1651,'GIS-Standards'!$B$2:$B$305,0))</f>
        <v>#N/A</v>
      </c>
      <c r="M1651" t="s">
        <v>524</v>
      </c>
      <c r="N1651">
        <f>INDEX('GIS-Standards'!$I$2:$I$305,MATCH(B1651,'GIS-Standards'!$B$2:$B$305,0))</f>
        <v>0</v>
      </c>
      <c r="O1651" t="e">
        <f>INDEX('GIS-Standards'!$I$2:$I$305,MATCH(C1651,'GIS-Standards'!$B$2:$B$305,0))</f>
        <v>#N/A</v>
      </c>
      <c r="P1651" t="e">
        <f>AND(TableRelationships12[[#This Row],[Source Type]]="BIM",TableRelationships12[[#This Row],[Target Type]]="BIM")</f>
        <v>#N/A</v>
      </c>
      <c r="Q1651">
        <f t="shared" si="75"/>
        <v>6</v>
      </c>
      <c r="S1651">
        <f t="shared" si="76"/>
        <v>1</v>
      </c>
      <c r="T1651" s="102" t="str">
        <f>IF(TableRelationships12[[#This Row],[Rank Pedro]]="Low","linkCategory1",IF(TableRelationships12[[#This Row],[Rank Pedro]]="Medium","linkCategory2",IF(TableRelationships12[[#This Row],[Rank Pedro]]="High","linkCategory3","")))</f>
        <v/>
      </c>
      <c r="U1651" s="102" t="str">
        <f>IF(TableRelationships12[[#This Row],[Rank Pedro]]="Low","Pink",IF(TableRelationships12[[#This Row],[Rank Pedro]]="Medium","Purple",IF(TableRelationships12[[#This Row],[Rank Pedro]]="High","Brown","")))</f>
        <v/>
      </c>
      <c r="V1651" s="4" t="e">
        <f>MAX(INDEX(Standards!$F$2:$F$296,MATCH(B1651,Standards!$B$2:$B$296,0)),INDEX(Standards!$F$2:$F$296,MATCH(C1651,Standards!$B$2:$B$296,0)))</f>
        <v>#N/A</v>
      </c>
      <c r="W1651" t="str">
        <f t="shared" si="77"/>
        <v>#d6bf2a</v>
      </c>
    </row>
    <row r="1652" spans="1:23" x14ac:dyDescent="0.5">
      <c r="A1652" s="54">
        <v>1651</v>
      </c>
      <c r="B1652" s="90" t="s">
        <v>245</v>
      </c>
      <c r="C1652" t="s">
        <v>1565</v>
      </c>
      <c r="D1652" s="1"/>
      <c r="G1652" s="107"/>
      <c r="H1652">
        <f>INDEX('GIS-Standards'!$A$2:$A$305,MATCH(B1652,'GIS-Standards'!$B$2:$B$305,0))</f>
        <v>75</v>
      </c>
      <c r="I1652" t="e">
        <f>INDEX('GIS-Standards'!$A$2:$A$305,MATCH(C1652,'GIS-Standards'!$B$2:$B$305,0))</f>
        <v>#N/A</v>
      </c>
      <c r="J1652" t="str">
        <f>INDEX('GIS-Standards'!$O$2:$O$305,MATCH(B1652,'GIS-Standards'!$B$2:$B$305,0))</f>
        <v>ISO/TC 59/SC 13</v>
      </c>
      <c r="K1652" t="e">
        <f>INDEX('GIS-Standards'!$O$2:$O$305,MATCH(C1652,'GIS-Standards'!$B$2:$B$305,0))</f>
        <v>#N/A</v>
      </c>
      <c r="M1652" t="s">
        <v>524</v>
      </c>
      <c r="N1652">
        <f>INDEX('GIS-Standards'!$I$2:$I$305,MATCH(B1652,'GIS-Standards'!$B$2:$B$305,0))</f>
        <v>0</v>
      </c>
      <c r="O1652" t="e">
        <f>INDEX('GIS-Standards'!$I$2:$I$305,MATCH(C1652,'GIS-Standards'!$B$2:$B$305,0))</f>
        <v>#N/A</v>
      </c>
      <c r="P1652" t="e">
        <f>AND(TableRelationships12[[#This Row],[Source Type]]="BIM",TableRelationships12[[#This Row],[Target Type]]="BIM")</f>
        <v>#N/A</v>
      </c>
      <c r="Q1652">
        <f t="shared" si="75"/>
        <v>6</v>
      </c>
      <c r="S1652">
        <f t="shared" si="76"/>
        <v>1</v>
      </c>
      <c r="T1652" s="102" t="str">
        <f>IF(TableRelationships12[[#This Row],[Rank Pedro]]="Low","linkCategory1",IF(TableRelationships12[[#This Row],[Rank Pedro]]="Medium","linkCategory2",IF(TableRelationships12[[#This Row],[Rank Pedro]]="High","linkCategory3","")))</f>
        <v/>
      </c>
      <c r="U1652" s="102" t="str">
        <f>IF(TableRelationships12[[#This Row],[Rank Pedro]]="Low","Pink",IF(TableRelationships12[[#This Row],[Rank Pedro]]="Medium","Purple",IF(TableRelationships12[[#This Row],[Rank Pedro]]="High","Brown","")))</f>
        <v/>
      </c>
      <c r="V1652" s="4" t="e">
        <f>MAX(INDEX(Standards!$F$2:$F$296,MATCH(B1652,Standards!$B$2:$B$296,0)),INDEX(Standards!$F$2:$F$296,MATCH(C1652,Standards!$B$2:$B$296,0)))</f>
        <v>#N/A</v>
      </c>
      <c r="W1652" t="str">
        <f t="shared" si="77"/>
        <v>#d6bf2a</v>
      </c>
    </row>
    <row r="1653" spans="1:23" x14ac:dyDescent="0.5">
      <c r="A1653" s="54">
        <v>1652</v>
      </c>
      <c r="B1653" s="90" t="s">
        <v>245</v>
      </c>
      <c r="C1653" t="s">
        <v>1569</v>
      </c>
      <c r="D1653" s="1"/>
      <c r="G1653" s="107"/>
      <c r="H1653">
        <f>INDEX('GIS-Standards'!$A$2:$A$305,MATCH(B1653,'GIS-Standards'!$B$2:$B$305,0))</f>
        <v>75</v>
      </c>
      <c r="I1653" t="e">
        <f>INDEX('GIS-Standards'!$A$2:$A$305,MATCH(C1653,'GIS-Standards'!$B$2:$B$305,0))</f>
        <v>#N/A</v>
      </c>
      <c r="J1653" t="str">
        <f>INDEX('GIS-Standards'!$O$2:$O$305,MATCH(B1653,'GIS-Standards'!$B$2:$B$305,0))</f>
        <v>ISO/TC 59/SC 13</v>
      </c>
      <c r="K1653" t="e">
        <f>INDEX('GIS-Standards'!$O$2:$O$305,MATCH(C1653,'GIS-Standards'!$B$2:$B$305,0))</f>
        <v>#N/A</v>
      </c>
      <c r="M1653" t="s">
        <v>524</v>
      </c>
      <c r="N1653">
        <f>INDEX('GIS-Standards'!$I$2:$I$305,MATCH(B1653,'GIS-Standards'!$B$2:$B$305,0))</f>
        <v>0</v>
      </c>
      <c r="O1653" t="e">
        <f>INDEX('GIS-Standards'!$I$2:$I$305,MATCH(C1653,'GIS-Standards'!$B$2:$B$305,0))</f>
        <v>#N/A</v>
      </c>
      <c r="P1653" t="e">
        <f>AND(TableRelationships12[[#This Row],[Source Type]]="BIM",TableRelationships12[[#This Row],[Target Type]]="BIM")</f>
        <v>#N/A</v>
      </c>
      <c r="Q1653">
        <f t="shared" si="75"/>
        <v>6</v>
      </c>
      <c r="S1653">
        <f t="shared" si="76"/>
        <v>1</v>
      </c>
      <c r="T1653" s="102" t="str">
        <f>IF(TableRelationships12[[#This Row],[Rank Pedro]]="Low","linkCategory1",IF(TableRelationships12[[#This Row],[Rank Pedro]]="Medium","linkCategory2",IF(TableRelationships12[[#This Row],[Rank Pedro]]="High","linkCategory3","")))</f>
        <v/>
      </c>
      <c r="U1653" s="102" t="str">
        <f>IF(TableRelationships12[[#This Row],[Rank Pedro]]="Low","Pink",IF(TableRelationships12[[#This Row],[Rank Pedro]]="Medium","Purple",IF(TableRelationships12[[#This Row],[Rank Pedro]]="High","Brown","")))</f>
        <v/>
      </c>
      <c r="V1653" s="4" t="e">
        <f>MAX(INDEX(Standards!$F$2:$F$296,MATCH(B1653,Standards!$B$2:$B$296,0)),INDEX(Standards!$F$2:$F$296,MATCH(C1653,Standards!$B$2:$B$296,0)))</f>
        <v>#N/A</v>
      </c>
      <c r="W1653" t="str">
        <f t="shared" si="77"/>
        <v>#d6bf2a</v>
      </c>
    </row>
    <row r="1654" spans="1:23" x14ac:dyDescent="0.5">
      <c r="A1654" s="54">
        <v>1653</v>
      </c>
      <c r="B1654" s="90" t="s">
        <v>245</v>
      </c>
      <c r="C1654" t="s">
        <v>1567</v>
      </c>
      <c r="D1654" s="1"/>
      <c r="G1654" s="107"/>
      <c r="H1654">
        <f>INDEX('GIS-Standards'!$A$2:$A$305,MATCH(B1654,'GIS-Standards'!$B$2:$B$305,0))</f>
        <v>75</v>
      </c>
      <c r="I1654" t="e">
        <f>INDEX('GIS-Standards'!$A$2:$A$305,MATCH(C1654,'GIS-Standards'!$B$2:$B$305,0))</f>
        <v>#N/A</v>
      </c>
      <c r="J1654" t="str">
        <f>INDEX('GIS-Standards'!$O$2:$O$305,MATCH(B1654,'GIS-Standards'!$B$2:$B$305,0))</f>
        <v>ISO/TC 59/SC 13</v>
      </c>
      <c r="K1654" t="e">
        <f>INDEX('GIS-Standards'!$O$2:$O$305,MATCH(C1654,'GIS-Standards'!$B$2:$B$305,0))</f>
        <v>#N/A</v>
      </c>
      <c r="M1654" t="s">
        <v>524</v>
      </c>
      <c r="N1654">
        <f>INDEX('GIS-Standards'!$I$2:$I$305,MATCH(B1654,'GIS-Standards'!$B$2:$B$305,0))</f>
        <v>0</v>
      </c>
      <c r="O1654" t="e">
        <f>INDEX('GIS-Standards'!$I$2:$I$305,MATCH(C1654,'GIS-Standards'!$B$2:$B$305,0))</f>
        <v>#N/A</v>
      </c>
      <c r="P1654" t="e">
        <f>AND(TableRelationships12[[#This Row],[Source Type]]="BIM",TableRelationships12[[#This Row],[Target Type]]="BIM")</f>
        <v>#N/A</v>
      </c>
      <c r="Q1654">
        <f t="shared" si="75"/>
        <v>6</v>
      </c>
      <c r="S1654">
        <f t="shared" si="76"/>
        <v>1</v>
      </c>
      <c r="T1654" s="102" t="str">
        <f>IF(TableRelationships12[[#This Row],[Rank Pedro]]="Low","linkCategory1",IF(TableRelationships12[[#This Row],[Rank Pedro]]="Medium","linkCategory2",IF(TableRelationships12[[#This Row],[Rank Pedro]]="High","linkCategory3","")))</f>
        <v/>
      </c>
      <c r="U1654" s="102" t="str">
        <f>IF(TableRelationships12[[#This Row],[Rank Pedro]]="Low","Pink",IF(TableRelationships12[[#This Row],[Rank Pedro]]="Medium","Purple",IF(TableRelationships12[[#This Row],[Rank Pedro]]="High","Brown","")))</f>
        <v/>
      </c>
      <c r="V1654" s="4" t="e">
        <f>MAX(INDEX(Standards!$F$2:$F$296,MATCH(B1654,Standards!$B$2:$B$296,0)),INDEX(Standards!$F$2:$F$296,MATCH(C1654,Standards!$B$2:$B$296,0)))</f>
        <v>#N/A</v>
      </c>
      <c r="W1654" t="str">
        <f t="shared" si="77"/>
        <v>#d6bf2a</v>
      </c>
    </row>
    <row r="1655" spans="1:23" x14ac:dyDescent="0.5">
      <c r="A1655" s="54">
        <v>1654</v>
      </c>
      <c r="B1655" s="90" t="s">
        <v>245</v>
      </c>
      <c r="C1655" t="s">
        <v>1876</v>
      </c>
      <c r="D1655" s="1"/>
      <c r="G1655" s="107"/>
      <c r="H1655">
        <f>INDEX('GIS-Standards'!$A$2:$A$305,MATCH(B1655,'GIS-Standards'!$B$2:$B$305,0))</f>
        <v>75</v>
      </c>
      <c r="I1655" t="e">
        <f>INDEX('GIS-Standards'!$A$2:$A$305,MATCH(C1655,'GIS-Standards'!$B$2:$B$305,0))</f>
        <v>#N/A</v>
      </c>
      <c r="J1655" t="str">
        <f>INDEX('GIS-Standards'!$O$2:$O$305,MATCH(B1655,'GIS-Standards'!$B$2:$B$305,0))</f>
        <v>ISO/TC 59/SC 13</v>
      </c>
      <c r="K1655" t="e">
        <f>INDEX('GIS-Standards'!$O$2:$O$305,MATCH(C1655,'GIS-Standards'!$B$2:$B$305,0))</f>
        <v>#N/A</v>
      </c>
      <c r="M1655" t="s">
        <v>524</v>
      </c>
      <c r="N1655">
        <f>INDEX('GIS-Standards'!$I$2:$I$305,MATCH(B1655,'GIS-Standards'!$B$2:$B$305,0))</f>
        <v>0</v>
      </c>
      <c r="O1655" t="e">
        <f>INDEX('GIS-Standards'!$I$2:$I$305,MATCH(C1655,'GIS-Standards'!$B$2:$B$305,0))</f>
        <v>#N/A</v>
      </c>
      <c r="P1655" t="e">
        <f>AND(TableRelationships12[[#This Row],[Source Type]]="BIM",TableRelationships12[[#This Row],[Target Type]]="BIM")</f>
        <v>#N/A</v>
      </c>
      <c r="Q1655">
        <f t="shared" si="75"/>
        <v>6</v>
      </c>
      <c r="S1655">
        <f t="shared" si="76"/>
        <v>1</v>
      </c>
      <c r="T1655" s="102" t="str">
        <f>IF(TableRelationships12[[#This Row],[Rank Pedro]]="Low","linkCategory1",IF(TableRelationships12[[#This Row],[Rank Pedro]]="Medium","linkCategory2",IF(TableRelationships12[[#This Row],[Rank Pedro]]="High","linkCategory3","")))</f>
        <v/>
      </c>
      <c r="U1655" s="102" t="str">
        <f>IF(TableRelationships12[[#This Row],[Rank Pedro]]="Low","Pink",IF(TableRelationships12[[#This Row],[Rank Pedro]]="Medium","Purple",IF(TableRelationships12[[#This Row],[Rank Pedro]]="High","Brown","")))</f>
        <v/>
      </c>
      <c r="V1655" s="4" t="e">
        <f>MAX(INDEX(Standards!$F$2:$F$296,MATCH(B1655,Standards!$B$2:$B$296,0)),INDEX(Standards!$F$2:$F$296,MATCH(C1655,Standards!$B$2:$B$296,0)))</f>
        <v>#N/A</v>
      </c>
      <c r="W1655" t="str">
        <f t="shared" si="77"/>
        <v>#d6bf2a</v>
      </c>
    </row>
    <row r="1656" spans="1:23" x14ac:dyDescent="0.5">
      <c r="A1656" s="54">
        <v>1655</v>
      </c>
      <c r="B1656" s="90" t="s">
        <v>245</v>
      </c>
      <c r="C1656" t="s">
        <v>130</v>
      </c>
      <c r="D1656" s="1"/>
      <c r="E1656" s="112">
        <v>1993.05</v>
      </c>
      <c r="F1656" s="112">
        <v>2025.06</v>
      </c>
      <c r="G1656" s="107" t="s">
        <v>1501</v>
      </c>
      <c r="H1656">
        <f>INDEX('GIS-Standards'!$A$2:$A$305,MATCH(B1656,'GIS-Standards'!$B$2:$B$305,0))</f>
        <v>75</v>
      </c>
      <c r="I1656" t="e">
        <f>INDEX('GIS-Standards'!$A$2:$A$305,MATCH(C1656,'GIS-Standards'!$B$2:$B$305,0))</f>
        <v>#N/A</v>
      </c>
      <c r="J1656" t="str">
        <f>INDEX('GIS-Standards'!$O$2:$O$305,MATCH(B1656,'GIS-Standards'!$B$2:$B$305,0))</f>
        <v>ISO/TC 59/SC 13</v>
      </c>
      <c r="K1656" t="e">
        <f>INDEX('GIS-Standards'!$O$2:$O$305,MATCH(C1656,'GIS-Standards'!$B$2:$B$305,0))</f>
        <v>#N/A</v>
      </c>
      <c r="M1656" t="s">
        <v>525</v>
      </c>
      <c r="N1656">
        <f>INDEX('GIS-Standards'!$I$2:$I$305,MATCH(B1656,'GIS-Standards'!$B$2:$B$305,0))</f>
        <v>0</v>
      </c>
      <c r="O1656" t="e">
        <f>INDEX('GIS-Standards'!$I$2:$I$305,MATCH(C1656,'GIS-Standards'!$B$2:$B$305,0))</f>
        <v>#N/A</v>
      </c>
      <c r="P1656" t="e">
        <f>AND(TableRelationships12[[#This Row],[Source Type]]="BIM",TableRelationships12[[#This Row],[Target Type]]="BIM")</f>
        <v>#N/A</v>
      </c>
      <c r="Q1656">
        <f t="shared" si="75"/>
        <v>1</v>
      </c>
      <c r="S1656">
        <f t="shared" si="76"/>
        <v>1</v>
      </c>
      <c r="T1656" s="102" t="str">
        <f>IF(TableRelationships12[[#This Row],[Rank Pedro]]="Low","linkCategory1",IF(TableRelationships12[[#This Row],[Rank Pedro]]="Medium","linkCategory2",IF(TableRelationships12[[#This Row],[Rank Pedro]]="High","linkCategory3","")))</f>
        <v/>
      </c>
      <c r="U1656" s="102" t="str">
        <f>IF(TableRelationships12[[#This Row],[Rank Pedro]]="Low","Pink",IF(TableRelationships12[[#This Row],[Rank Pedro]]="Medium","Purple",IF(TableRelationships12[[#This Row],[Rank Pedro]]="High","Brown","")))</f>
        <v/>
      </c>
      <c r="V1656" s="4">
        <f>MAX(INDEX(Standards!$F$2:$F$296,MATCH(B1656,Standards!$B$2:$B$296,0)),INDEX(Standards!$F$2:$F$296,MATCH(C1656,Standards!$B$2:$B$296,0)))</f>
        <v>43943</v>
      </c>
      <c r="W1656" t="str">
        <f t="shared" si="77"/>
        <v>#2f89d1</v>
      </c>
    </row>
    <row r="1657" spans="1:23" x14ac:dyDescent="0.5">
      <c r="A1657" s="54">
        <v>1656</v>
      </c>
      <c r="B1657" s="90" t="s">
        <v>1719</v>
      </c>
      <c r="C1657" t="s">
        <v>527</v>
      </c>
      <c r="D1657" s="1"/>
      <c r="E1657" s="112">
        <v>2019.04</v>
      </c>
      <c r="F1657" s="112">
        <v>2019.04</v>
      </c>
      <c r="G1657" s="121" t="s">
        <v>673</v>
      </c>
      <c r="H1657">
        <f>INDEX('GIS-Standards'!$A$2:$A$305,MATCH(B1657,'GIS-Standards'!$B$2:$B$305,0))</f>
        <v>76</v>
      </c>
      <c r="I1657" t="e">
        <f>INDEX('GIS-Standards'!$A$2:$A$305,MATCH(C1657,'GIS-Standards'!$B$2:$B$305,0))</f>
        <v>#N/A</v>
      </c>
      <c r="J1657" t="str">
        <f>INDEX('GIS-Standards'!$O$2:$O$305,MATCH(B1657,'GIS-Standards'!$B$2:$B$305,0))</f>
        <v>ISO/TC 268</v>
      </c>
      <c r="K1657" t="e">
        <f>INDEX('GIS-Standards'!$O$2:$O$305,MATCH(C1657,'GIS-Standards'!$B$2:$B$305,0))</f>
        <v>#N/A</v>
      </c>
      <c r="M1657" t="s">
        <v>237</v>
      </c>
      <c r="N1657">
        <f>INDEX('GIS-Standards'!$I$2:$I$305,MATCH(B1657,'GIS-Standards'!$B$2:$B$305,0))</f>
        <v>0</v>
      </c>
      <c r="O1657" t="e">
        <f>INDEX('GIS-Standards'!$I$2:$I$305,MATCH(C1657,'GIS-Standards'!$B$2:$B$305,0))</f>
        <v>#N/A</v>
      </c>
      <c r="P1657" t="e">
        <f>AND(TableRelationships12[[#This Row],[Source Type]]="BIM",TableRelationships12[[#This Row],[Target Type]]="BIM")</f>
        <v>#N/A</v>
      </c>
      <c r="Q1657">
        <f t="shared" si="75"/>
        <v>2</v>
      </c>
      <c r="S1657">
        <f t="shared" si="76"/>
        <v>1</v>
      </c>
      <c r="T1657" s="102" t="str">
        <f>IF(TableRelationships12[[#This Row],[Rank Pedro]]="Low","linkCategory1",IF(TableRelationships12[[#This Row],[Rank Pedro]]="Medium","linkCategory2",IF(TableRelationships12[[#This Row],[Rank Pedro]]="High","linkCategory3","")))</f>
        <v/>
      </c>
      <c r="U1657" s="102" t="str">
        <f>IF(TableRelationships12[[#This Row],[Rank Pedro]]="Low","Pink",IF(TableRelationships12[[#This Row],[Rank Pedro]]="Medium","Purple",IF(TableRelationships12[[#This Row],[Rank Pedro]]="High","Brown","")))</f>
        <v/>
      </c>
      <c r="V1657" s="4" t="e">
        <f>MAX(INDEX(Standards!$F$2:$F$296,MATCH(B1657,Standards!$B$2:$B$296,0)),INDEX(Standards!$F$2:$F$296,MATCH(C1657,Standards!$B$2:$B$296,0)))</f>
        <v>#N/A</v>
      </c>
      <c r="W1657">
        <f t="shared" si="77"/>
        <v>1</v>
      </c>
    </row>
    <row r="1658" spans="1:23" x14ac:dyDescent="0.5">
      <c r="A1658" s="54">
        <v>1657</v>
      </c>
      <c r="B1658" s="90" t="s">
        <v>1719</v>
      </c>
      <c r="C1658" t="s">
        <v>1935</v>
      </c>
      <c r="D1658" s="1"/>
      <c r="E1658" s="112">
        <v>2016.07</v>
      </c>
      <c r="F1658" s="112">
        <v>2024.02</v>
      </c>
      <c r="G1658" s="107" t="s">
        <v>2090</v>
      </c>
      <c r="H1658">
        <f>INDEX('GIS-Standards'!$A$2:$A$305,MATCH(B1658,'GIS-Standards'!$B$2:$B$305,0))</f>
        <v>76</v>
      </c>
      <c r="I1658" t="e">
        <f>INDEX('GIS-Standards'!$A$2:$A$305,MATCH(C1658,'GIS-Standards'!$B$2:$B$305,0))</f>
        <v>#N/A</v>
      </c>
      <c r="J1658" t="str">
        <f>INDEX('GIS-Standards'!$O$2:$O$305,MATCH(B1658,'GIS-Standards'!$B$2:$B$305,0))</f>
        <v>ISO/TC 268</v>
      </c>
      <c r="K1658" t="e">
        <f>INDEX('GIS-Standards'!$O$2:$O$305,MATCH(C1658,'GIS-Standards'!$B$2:$B$305,0))</f>
        <v>#N/A</v>
      </c>
      <c r="M1658" t="s">
        <v>524</v>
      </c>
      <c r="N1658">
        <f>INDEX('GIS-Standards'!$I$2:$I$305,MATCH(B1658,'GIS-Standards'!$B$2:$B$305,0))</f>
        <v>0</v>
      </c>
      <c r="O1658" t="e">
        <f>INDEX('GIS-Standards'!$I$2:$I$305,MATCH(C1658,'GIS-Standards'!$B$2:$B$305,0))</f>
        <v>#N/A</v>
      </c>
      <c r="P1658" t="e">
        <f>AND(TableRelationships12[[#This Row],[Source Type]]="BIM",TableRelationships12[[#This Row],[Target Type]]="BIM")</f>
        <v>#N/A</v>
      </c>
      <c r="Q1658">
        <f t="shared" si="75"/>
        <v>6</v>
      </c>
      <c r="S1658">
        <f t="shared" si="76"/>
        <v>1</v>
      </c>
      <c r="T1658" s="102" t="str">
        <f>IF(TableRelationships12[[#This Row],[Rank Pedro]]="Low","linkCategory1",IF(TableRelationships12[[#This Row],[Rank Pedro]]="Medium","linkCategory2",IF(TableRelationships12[[#This Row],[Rank Pedro]]="High","linkCategory3","")))</f>
        <v/>
      </c>
      <c r="U1658" s="102" t="str">
        <f>IF(TableRelationships12[[#This Row],[Rank Pedro]]="Low","Pink",IF(TableRelationships12[[#This Row],[Rank Pedro]]="Medium","Purple",IF(TableRelationships12[[#This Row],[Rank Pedro]]="High","Brown","")))</f>
        <v/>
      </c>
      <c r="V1658" s="4" t="e">
        <f>MAX(INDEX(Standards!$F$2:$F$296,MATCH(B1658,Standards!$B$2:$B$296,0)),INDEX(Standards!$F$2:$F$296,MATCH(C1658,Standards!$B$2:$B$296,0)))</f>
        <v>#N/A</v>
      </c>
      <c r="W1658" t="str">
        <f t="shared" si="77"/>
        <v>#d6bf2a</v>
      </c>
    </row>
    <row r="1659" spans="1:23" x14ac:dyDescent="0.5">
      <c r="A1659" s="54">
        <v>1658</v>
      </c>
      <c r="B1659" s="90" t="s">
        <v>1719</v>
      </c>
      <c r="C1659" t="s">
        <v>1936</v>
      </c>
      <c r="D1659" s="1"/>
      <c r="E1659" s="112">
        <v>2005.09</v>
      </c>
      <c r="F1659" s="112">
        <v>2019.03</v>
      </c>
      <c r="G1659" s="107" t="s">
        <v>2106</v>
      </c>
      <c r="H1659">
        <f>INDEX('GIS-Standards'!$A$2:$A$305,MATCH(B1659,'GIS-Standards'!$B$2:$B$305,0))</f>
        <v>76</v>
      </c>
      <c r="I1659" t="e">
        <f>INDEX('GIS-Standards'!$A$2:$A$305,MATCH(C1659,'GIS-Standards'!$B$2:$B$305,0))</f>
        <v>#N/A</v>
      </c>
      <c r="J1659" t="str">
        <f>INDEX('GIS-Standards'!$O$2:$O$305,MATCH(B1659,'GIS-Standards'!$B$2:$B$305,0))</f>
        <v>ISO/TC 268</v>
      </c>
      <c r="K1659" t="e">
        <f>INDEX('GIS-Standards'!$O$2:$O$305,MATCH(C1659,'GIS-Standards'!$B$2:$B$305,0))</f>
        <v>#N/A</v>
      </c>
      <c r="M1659" t="s">
        <v>525</v>
      </c>
      <c r="N1659">
        <f>INDEX('GIS-Standards'!$I$2:$I$305,MATCH(B1659,'GIS-Standards'!$B$2:$B$305,0))</f>
        <v>0</v>
      </c>
      <c r="O1659" t="e">
        <f>INDEX('GIS-Standards'!$I$2:$I$305,MATCH(C1659,'GIS-Standards'!$B$2:$B$305,0))</f>
        <v>#N/A</v>
      </c>
      <c r="P1659" t="e">
        <f>AND(TableRelationships12[[#This Row],[Source Type]]="BIM",TableRelationships12[[#This Row],[Target Type]]="BIM")</f>
        <v>#N/A</v>
      </c>
      <c r="Q1659">
        <f t="shared" si="75"/>
        <v>1</v>
      </c>
      <c r="S1659">
        <f t="shared" si="76"/>
        <v>1</v>
      </c>
      <c r="T1659" s="102" t="str">
        <f>IF(TableRelationships12[[#This Row],[Rank Pedro]]="Low","linkCategory1",IF(TableRelationships12[[#This Row],[Rank Pedro]]="Medium","linkCategory2",IF(TableRelationships12[[#This Row],[Rank Pedro]]="High","linkCategory3","")))</f>
        <v/>
      </c>
      <c r="U1659" s="102" t="str">
        <f>IF(TableRelationships12[[#This Row],[Rank Pedro]]="Low","Pink",IF(TableRelationships12[[#This Row],[Rank Pedro]]="Medium","Purple",IF(TableRelationships12[[#This Row],[Rank Pedro]]="High","Brown","")))</f>
        <v/>
      </c>
      <c r="V1659" s="4" t="e">
        <f>MAX(INDEX(Standards!$F$2:$F$296,MATCH(B1659,Standards!$B$2:$B$296,0)),INDEX(Standards!$F$2:$F$296,MATCH(C1659,Standards!$B$2:$B$296,0)))</f>
        <v>#N/A</v>
      </c>
      <c r="W1659" t="str">
        <f t="shared" si="77"/>
        <v>#2f89d1</v>
      </c>
    </row>
    <row r="1660" spans="1:23" x14ac:dyDescent="0.5">
      <c r="A1660" s="54">
        <v>1659</v>
      </c>
      <c r="B1660" s="90" t="s">
        <v>1719</v>
      </c>
      <c r="C1660" t="s">
        <v>104</v>
      </c>
      <c r="D1660" s="1" t="s">
        <v>1676</v>
      </c>
      <c r="E1660" s="112">
        <v>1990.12</v>
      </c>
      <c r="F1660" s="112">
        <v>2018.07</v>
      </c>
      <c r="G1660" s="107" t="s">
        <v>1508</v>
      </c>
      <c r="H1660">
        <f>INDEX('GIS-Standards'!$A$2:$A$305,MATCH(B1660,'GIS-Standards'!$B$2:$B$305,0))</f>
        <v>76</v>
      </c>
      <c r="I1660" t="e">
        <f>INDEX('GIS-Standards'!$A$2:$A$305,MATCH(C1660,'GIS-Standards'!$B$2:$B$305,0))</f>
        <v>#N/A</v>
      </c>
      <c r="J1660" t="str">
        <f>INDEX('GIS-Standards'!$O$2:$O$305,MATCH(B1660,'GIS-Standards'!$B$2:$B$305,0))</f>
        <v>ISO/TC 268</v>
      </c>
      <c r="K1660" t="e">
        <f>INDEX('GIS-Standards'!$O$2:$O$305,MATCH(C1660,'GIS-Standards'!$B$2:$B$305,0))</f>
        <v>#N/A</v>
      </c>
      <c r="M1660" t="s">
        <v>525</v>
      </c>
      <c r="N1660">
        <f>INDEX('GIS-Standards'!$I$2:$I$305,MATCH(B1660,'GIS-Standards'!$B$2:$B$305,0))</f>
        <v>0</v>
      </c>
      <c r="O1660" t="e">
        <f>INDEX('GIS-Standards'!$I$2:$I$305,MATCH(C1660,'GIS-Standards'!$B$2:$B$305,0))</f>
        <v>#N/A</v>
      </c>
      <c r="P1660" t="e">
        <f>AND(TableRelationships12[[#This Row],[Source Type]]="BIM",TableRelationships12[[#This Row],[Target Type]]="BIM")</f>
        <v>#N/A</v>
      </c>
      <c r="Q1660">
        <f t="shared" si="75"/>
        <v>1</v>
      </c>
      <c r="S1660">
        <f t="shared" si="76"/>
        <v>1</v>
      </c>
      <c r="T1660" s="102" t="str">
        <f>IF(TableRelationships12[[#This Row],[Rank Pedro]]="Low","linkCategory1",IF(TableRelationships12[[#This Row],[Rank Pedro]]="Medium","linkCategory2",IF(TableRelationships12[[#This Row],[Rank Pedro]]="High","linkCategory3","")))</f>
        <v/>
      </c>
      <c r="U1660" s="102" t="str">
        <f>IF(TableRelationships12[[#This Row],[Rank Pedro]]="Low","Pink",IF(TableRelationships12[[#This Row],[Rank Pedro]]="Medium","Purple",IF(TableRelationships12[[#This Row],[Rank Pedro]]="High","Brown","")))</f>
        <v/>
      </c>
      <c r="V1660" s="4" t="e">
        <f>MAX(INDEX(Standards!$F$2:$F$296,MATCH(B1660,Standards!$B$2:$B$296,0)),INDEX(Standards!$F$2:$F$296,MATCH(C1660,Standards!$B$2:$B$296,0)))</f>
        <v>#N/A</v>
      </c>
      <c r="W1660" t="str">
        <f t="shared" si="77"/>
        <v>#2f89d1</v>
      </c>
    </row>
    <row r="1661" spans="1:23" x14ac:dyDescent="0.5">
      <c r="A1661" s="54">
        <v>1660</v>
      </c>
      <c r="B1661" s="90" t="s">
        <v>1719</v>
      </c>
      <c r="C1661" t="s">
        <v>1919</v>
      </c>
      <c r="D1661" s="1"/>
      <c r="E1661" s="112">
        <v>2017.02</v>
      </c>
      <c r="F1661" s="112">
        <v>2017.02</v>
      </c>
      <c r="G1661" s="107" t="s">
        <v>2100</v>
      </c>
      <c r="H1661">
        <f>INDEX('GIS-Standards'!$A$2:$A$305,MATCH(B1661,'GIS-Standards'!$B$2:$B$305,0))</f>
        <v>76</v>
      </c>
      <c r="I1661" t="e">
        <f>INDEX('GIS-Standards'!$A$2:$A$305,MATCH(C1661,'GIS-Standards'!$B$2:$B$305,0))</f>
        <v>#N/A</v>
      </c>
      <c r="J1661" t="str">
        <f>INDEX('GIS-Standards'!$O$2:$O$305,MATCH(B1661,'GIS-Standards'!$B$2:$B$305,0))</f>
        <v>ISO/TC 268</v>
      </c>
      <c r="K1661" t="e">
        <f>INDEX('GIS-Standards'!$O$2:$O$305,MATCH(C1661,'GIS-Standards'!$B$2:$B$305,0))</f>
        <v>#N/A</v>
      </c>
      <c r="M1661" t="s">
        <v>525</v>
      </c>
      <c r="N1661">
        <f>INDEX('GIS-Standards'!$I$2:$I$305,MATCH(B1661,'GIS-Standards'!$B$2:$B$305,0))</f>
        <v>0</v>
      </c>
      <c r="O1661" t="e">
        <f>INDEX('GIS-Standards'!$I$2:$I$305,MATCH(C1661,'GIS-Standards'!$B$2:$B$305,0))</f>
        <v>#N/A</v>
      </c>
      <c r="P1661" t="e">
        <f>AND(TableRelationships12[[#This Row],[Source Type]]="BIM",TableRelationships12[[#This Row],[Target Type]]="BIM")</f>
        <v>#N/A</v>
      </c>
      <c r="Q1661">
        <f t="shared" si="75"/>
        <v>1</v>
      </c>
      <c r="S1661">
        <f t="shared" si="76"/>
        <v>1</v>
      </c>
      <c r="T1661" s="102" t="str">
        <f>IF(TableRelationships12[[#This Row],[Rank Pedro]]="Low","linkCategory1",IF(TableRelationships12[[#This Row],[Rank Pedro]]="Medium","linkCategory2",IF(TableRelationships12[[#This Row],[Rank Pedro]]="High","linkCategory3","")))</f>
        <v/>
      </c>
      <c r="U1661" s="102" t="str">
        <f>IF(TableRelationships12[[#This Row],[Rank Pedro]]="Low","Pink",IF(TableRelationships12[[#This Row],[Rank Pedro]]="Medium","Purple",IF(TableRelationships12[[#This Row],[Rank Pedro]]="High","Brown","")))</f>
        <v/>
      </c>
      <c r="V1661" s="4" t="e">
        <f>MAX(INDEX(Standards!$F$2:$F$296,MATCH(B1661,Standards!$B$2:$B$296,0)),INDEX(Standards!$F$2:$F$296,MATCH(C1661,Standards!$B$2:$B$296,0)))</f>
        <v>#N/A</v>
      </c>
      <c r="W1661" t="str">
        <f t="shared" si="77"/>
        <v>#2f89d1</v>
      </c>
    </row>
    <row r="1662" spans="1:23" x14ac:dyDescent="0.5">
      <c r="A1662" s="54">
        <v>1661</v>
      </c>
      <c r="B1662" s="90" t="s">
        <v>1719</v>
      </c>
      <c r="C1662" t="s">
        <v>1379</v>
      </c>
      <c r="D1662" s="1"/>
      <c r="E1662" s="112">
        <v>2016.12</v>
      </c>
      <c r="F1662" s="112">
        <v>2016.12</v>
      </c>
      <c r="G1662" s="107" t="s">
        <v>673</v>
      </c>
      <c r="H1662">
        <f>INDEX('GIS-Standards'!$A$2:$A$305,MATCH(B1662,'GIS-Standards'!$B$2:$B$305,0))</f>
        <v>76</v>
      </c>
      <c r="I1662" t="e">
        <f>INDEX('GIS-Standards'!$A$2:$A$305,MATCH(C1662,'GIS-Standards'!$B$2:$B$305,0))</f>
        <v>#N/A</v>
      </c>
      <c r="J1662" t="str">
        <f>INDEX('GIS-Standards'!$O$2:$O$305,MATCH(B1662,'GIS-Standards'!$B$2:$B$305,0))</f>
        <v>ISO/TC 268</v>
      </c>
      <c r="K1662" t="e">
        <f>INDEX('GIS-Standards'!$O$2:$O$305,MATCH(C1662,'GIS-Standards'!$B$2:$B$305,0))</f>
        <v>#N/A</v>
      </c>
      <c r="M1662" t="s">
        <v>525</v>
      </c>
      <c r="N1662">
        <f>INDEX('GIS-Standards'!$I$2:$I$305,MATCH(B1662,'GIS-Standards'!$B$2:$B$305,0))</f>
        <v>0</v>
      </c>
      <c r="O1662" t="e">
        <f>INDEX('GIS-Standards'!$I$2:$I$305,MATCH(C1662,'GIS-Standards'!$B$2:$B$305,0))</f>
        <v>#N/A</v>
      </c>
      <c r="P1662" t="e">
        <f>AND(TableRelationships12[[#This Row],[Source Type]]="BIM",TableRelationships12[[#This Row],[Target Type]]="BIM")</f>
        <v>#N/A</v>
      </c>
      <c r="Q1662">
        <f t="shared" si="75"/>
        <v>1</v>
      </c>
      <c r="S1662">
        <f t="shared" si="76"/>
        <v>1</v>
      </c>
      <c r="T1662" s="102" t="str">
        <f>IF(TableRelationships12[[#This Row],[Rank Pedro]]="Low","linkCategory1",IF(TableRelationships12[[#This Row],[Rank Pedro]]="Medium","linkCategory2",IF(TableRelationships12[[#This Row],[Rank Pedro]]="High","linkCategory3","")))</f>
        <v/>
      </c>
      <c r="U1662" s="102" t="str">
        <f>IF(TableRelationships12[[#This Row],[Rank Pedro]]="Low","Pink",IF(TableRelationships12[[#This Row],[Rank Pedro]]="Medium","Purple",IF(TableRelationships12[[#This Row],[Rank Pedro]]="High","Brown","")))</f>
        <v/>
      </c>
      <c r="V1662" s="4" t="e">
        <f>MAX(INDEX(Standards!$F$2:$F$296,MATCH(B1662,Standards!$B$2:$B$296,0)),INDEX(Standards!$F$2:$F$296,MATCH(C1662,Standards!$B$2:$B$296,0)))</f>
        <v>#N/A</v>
      </c>
      <c r="W1662" t="str">
        <f t="shared" si="77"/>
        <v>#2f89d1</v>
      </c>
    </row>
    <row r="1663" spans="1:23" x14ac:dyDescent="0.5">
      <c r="A1663" s="54">
        <v>1662</v>
      </c>
      <c r="B1663" s="90" t="s">
        <v>1719</v>
      </c>
      <c r="C1663" t="s">
        <v>2078</v>
      </c>
      <c r="D1663" s="1"/>
      <c r="E1663" s="112">
        <v>2019.11</v>
      </c>
      <c r="F1663" s="112">
        <v>2019.11</v>
      </c>
      <c r="G1663" s="107" t="s">
        <v>673</v>
      </c>
      <c r="H1663">
        <f>INDEX('GIS-Standards'!$A$2:$A$305,MATCH(B1663,'GIS-Standards'!$B$2:$B$305,0))</f>
        <v>76</v>
      </c>
      <c r="I1663" t="e">
        <f>INDEX('GIS-Standards'!$A$2:$A$305,MATCH(C1663,'GIS-Standards'!$B$2:$B$305,0))</f>
        <v>#N/A</v>
      </c>
      <c r="J1663" t="str">
        <f>INDEX('GIS-Standards'!$O$2:$O$305,MATCH(B1663,'GIS-Standards'!$B$2:$B$305,0))</f>
        <v>ISO/TC 268</v>
      </c>
      <c r="K1663" t="e">
        <f>INDEX('GIS-Standards'!$O$2:$O$305,MATCH(C1663,'GIS-Standards'!$B$2:$B$305,0))</f>
        <v>#N/A</v>
      </c>
      <c r="M1663" t="s">
        <v>525</v>
      </c>
      <c r="N1663">
        <f>INDEX('GIS-Standards'!$I$2:$I$305,MATCH(B1663,'GIS-Standards'!$B$2:$B$305,0))</f>
        <v>0</v>
      </c>
      <c r="O1663" t="e">
        <f>INDEX('GIS-Standards'!$I$2:$I$305,MATCH(C1663,'GIS-Standards'!$B$2:$B$305,0))</f>
        <v>#N/A</v>
      </c>
      <c r="P1663" t="e">
        <f>AND(TableRelationships12[[#This Row],[Source Type]]="BIM",TableRelationships12[[#This Row],[Target Type]]="BIM")</f>
        <v>#N/A</v>
      </c>
      <c r="Q1663">
        <f t="shared" si="75"/>
        <v>1</v>
      </c>
      <c r="S1663">
        <f t="shared" si="76"/>
        <v>1</v>
      </c>
      <c r="T1663" s="102" t="str">
        <f>IF(TableRelationships12[[#This Row],[Rank Pedro]]="Low","linkCategory1",IF(TableRelationships12[[#This Row],[Rank Pedro]]="Medium","linkCategory2",IF(TableRelationships12[[#This Row],[Rank Pedro]]="High","linkCategory3","")))</f>
        <v/>
      </c>
      <c r="U1663" s="102" t="str">
        <f>IF(TableRelationships12[[#This Row],[Rank Pedro]]="Low","Pink",IF(TableRelationships12[[#This Row],[Rank Pedro]]="Medium","Purple",IF(TableRelationships12[[#This Row],[Rank Pedro]]="High","Brown","")))</f>
        <v/>
      </c>
      <c r="V1663" s="4" t="e">
        <f>MAX(INDEX(Standards!$F$2:$F$296,MATCH(B1663,Standards!$B$2:$B$296,0)),INDEX(Standards!$F$2:$F$296,MATCH(C1663,Standards!$B$2:$B$296,0)))</f>
        <v>#N/A</v>
      </c>
      <c r="W1663" t="str">
        <f t="shared" si="77"/>
        <v>#2f89d1</v>
      </c>
    </row>
    <row r="1664" spans="1:23" x14ac:dyDescent="0.5">
      <c r="A1664" s="54">
        <v>1663</v>
      </c>
      <c r="B1664" s="90" t="s">
        <v>1719</v>
      </c>
      <c r="C1664" t="s">
        <v>1937</v>
      </c>
      <c r="D1664" s="1"/>
      <c r="E1664" s="112">
        <v>2018.07</v>
      </c>
      <c r="F1664" s="112">
        <v>2018.07</v>
      </c>
      <c r="G1664" s="107" t="s">
        <v>673</v>
      </c>
      <c r="H1664">
        <f>INDEX('GIS-Standards'!$A$2:$A$305,MATCH(B1664,'GIS-Standards'!$B$2:$B$305,0))</f>
        <v>76</v>
      </c>
      <c r="I1664" t="e">
        <f>INDEX('GIS-Standards'!$A$2:$A$305,MATCH(C1664,'GIS-Standards'!$B$2:$B$305,0))</f>
        <v>#N/A</v>
      </c>
      <c r="J1664" t="str">
        <f>INDEX('GIS-Standards'!$O$2:$O$305,MATCH(B1664,'GIS-Standards'!$B$2:$B$305,0))</f>
        <v>ISO/TC 268</v>
      </c>
      <c r="K1664" t="e">
        <f>INDEX('GIS-Standards'!$O$2:$O$305,MATCH(C1664,'GIS-Standards'!$B$2:$B$305,0))</f>
        <v>#N/A</v>
      </c>
      <c r="M1664" t="s">
        <v>525</v>
      </c>
      <c r="N1664">
        <f>INDEX('GIS-Standards'!$I$2:$I$305,MATCH(B1664,'GIS-Standards'!$B$2:$B$305,0))</f>
        <v>0</v>
      </c>
      <c r="O1664" t="e">
        <f>INDEX('GIS-Standards'!$I$2:$I$305,MATCH(C1664,'GIS-Standards'!$B$2:$B$305,0))</f>
        <v>#N/A</v>
      </c>
      <c r="P1664" t="e">
        <f>AND(TableRelationships12[[#This Row],[Source Type]]="BIM",TableRelationships12[[#This Row],[Target Type]]="BIM")</f>
        <v>#N/A</v>
      </c>
      <c r="Q1664">
        <f t="shared" si="75"/>
        <v>1</v>
      </c>
      <c r="S1664">
        <f t="shared" si="76"/>
        <v>1</v>
      </c>
      <c r="T1664" s="102" t="str">
        <f>IF(TableRelationships12[[#This Row],[Rank Pedro]]="Low","linkCategory1",IF(TableRelationships12[[#This Row],[Rank Pedro]]="Medium","linkCategory2",IF(TableRelationships12[[#This Row],[Rank Pedro]]="High","linkCategory3","")))</f>
        <v/>
      </c>
      <c r="U1664" s="102" t="str">
        <f>IF(TableRelationships12[[#This Row],[Rank Pedro]]="Low","Pink",IF(TableRelationships12[[#This Row],[Rank Pedro]]="Medium","Purple",IF(TableRelationships12[[#This Row],[Rank Pedro]]="High","Brown","")))</f>
        <v/>
      </c>
      <c r="V1664" s="4" t="e">
        <f>MAX(INDEX(Standards!$F$2:$F$296,MATCH(B1664,Standards!$B$2:$B$296,0)),INDEX(Standards!$F$2:$F$296,MATCH(C1664,Standards!$B$2:$B$296,0)))</f>
        <v>#N/A</v>
      </c>
      <c r="W1664" t="str">
        <f t="shared" si="77"/>
        <v>#2f89d1</v>
      </c>
    </row>
    <row r="1665" spans="1:23" x14ac:dyDescent="0.5">
      <c r="A1665" s="54">
        <v>1664</v>
      </c>
      <c r="B1665" s="90" t="s">
        <v>1719</v>
      </c>
      <c r="C1665" t="s">
        <v>1920</v>
      </c>
      <c r="D1665" s="1"/>
      <c r="E1665" s="112">
        <v>2014.05</v>
      </c>
      <c r="F1665" s="112">
        <v>2018.07</v>
      </c>
      <c r="G1665" s="107" t="s">
        <v>673</v>
      </c>
      <c r="H1665">
        <f>INDEX('GIS-Standards'!$A$2:$A$305,MATCH(B1665,'GIS-Standards'!$B$2:$B$305,0))</f>
        <v>76</v>
      </c>
      <c r="I1665" t="e">
        <f>INDEX('GIS-Standards'!$A$2:$A$305,MATCH(C1665,'GIS-Standards'!$B$2:$B$305,0))</f>
        <v>#N/A</v>
      </c>
      <c r="J1665" t="str">
        <f>INDEX('GIS-Standards'!$O$2:$O$305,MATCH(B1665,'GIS-Standards'!$B$2:$B$305,0))</f>
        <v>ISO/TC 268</v>
      </c>
      <c r="K1665" t="e">
        <f>INDEX('GIS-Standards'!$O$2:$O$305,MATCH(C1665,'GIS-Standards'!$B$2:$B$305,0))</f>
        <v>#N/A</v>
      </c>
      <c r="M1665" t="s">
        <v>525</v>
      </c>
      <c r="N1665">
        <f>INDEX('GIS-Standards'!$I$2:$I$305,MATCH(B1665,'GIS-Standards'!$B$2:$B$305,0))</f>
        <v>0</v>
      </c>
      <c r="O1665" t="e">
        <f>INDEX('GIS-Standards'!$I$2:$I$305,MATCH(C1665,'GIS-Standards'!$B$2:$B$305,0))</f>
        <v>#N/A</v>
      </c>
      <c r="P1665" t="e">
        <f>AND(TableRelationships12[[#This Row],[Source Type]]="BIM",TableRelationships12[[#This Row],[Target Type]]="BIM")</f>
        <v>#N/A</v>
      </c>
      <c r="Q1665">
        <f t="shared" si="75"/>
        <v>1</v>
      </c>
      <c r="S1665">
        <f t="shared" si="76"/>
        <v>1</v>
      </c>
      <c r="T1665" s="102" t="str">
        <f>IF(TableRelationships12[[#This Row],[Rank Pedro]]="Low","linkCategory1",IF(TableRelationships12[[#This Row],[Rank Pedro]]="Medium","linkCategory2",IF(TableRelationships12[[#This Row],[Rank Pedro]]="High","linkCategory3","")))</f>
        <v/>
      </c>
      <c r="U1665" s="102" t="str">
        <f>IF(TableRelationships12[[#This Row],[Rank Pedro]]="Low","Pink",IF(TableRelationships12[[#This Row],[Rank Pedro]]="Medium","Purple",IF(TableRelationships12[[#This Row],[Rank Pedro]]="High","Brown","")))</f>
        <v/>
      </c>
      <c r="V1665" s="4" t="e">
        <f>MAX(INDEX(Standards!$F$2:$F$296,MATCH(B1665,Standards!$B$2:$B$296,0)),INDEX(Standards!$F$2:$F$296,MATCH(C1665,Standards!$B$2:$B$296,0)))</f>
        <v>#N/A</v>
      </c>
      <c r="W1665" t="str">
        <f t="shared" si="77"/>
        <v>#2f89d1</v>
      </c>
    </row>
    <row r="1666" spans="1:23" x14ac:dyDescent="0.5">
      <c r="A1666" s="54">
        <v>1665</v>
      </c>
      <c r="B1666" s="90" t="s">
        <v>1719</v>
      </c>
      <c r="C1666" t="s">
        <v>1938</v>
      </c>
      <c r="D1666" s="1"/>
      <c r="E1666" s="112">
        <v>2017.12</v>
      </c>
      <c r="F1666" s="112">
        <v>2024.08</v>
      </c>
      <c r="G1666" s="107" t="s">
        <v>673</v>
      </c>
      <c r="H1666">
        <f>INDEX('GIS-Standards'!$A$2:$A$305,MATCH(B1666,'GIS-Standards'!$B$2:$B$305,0))</f>
        <v>76</v>
      </c>
      <c r="I1666" t="e">
        <f>INDEX('GIS-Standards'!$A$2:$A$305,MATCH(C1666,'GIS-Standards'!$B$2:$B$305,0))</f>
        <v>#N/A</v>
      </c>
      <c r="J1666" t="str">
        <f>INDEX('GIS-Standards'!$O$2:$O$305,MATCH(B1666,'GIS-Standards'!$B$2:$B$305,0))</f>
        <v>ISO/TC 268</v>
      </c>
      <c r="K1666" t="e">
        <f>INDEX('GIS-Standards'!$O$2:$O$305,MATCH(C1666,'GIS-Standards'!$B$2:$B$305,0))</f>
        <v>#N/A</v>
      </c>
      <c r="M1666" t="s">
        <v>525</v>
      </c>
      <c r="N1666">
        <f>INDEX('GIS-Standards'!$I$2:$I$305,MATCH(B1666,'GIS-Standards'!$B$2:$B$305,0))</f>
        <v>0</v>
      </c>
      <c r="O1666" t="e">
        <f>INDEX('GIS-Standards'!$I$2:$I$305,MATCH(C1666,'GIS-Standards'!$B$2:$B$305,0))</f>
        <v>#N/A</v>
      </c>
      <c r="P1666" t="e">
        <f>AND(TableRelationships12[[#This Row],[Source Type]]="BIM",TableRelationships12[[#This Row],[Target Type]]="BIM")</f>
        <v>#N/A</v>
      </c>
      <c r="Q1666">
        <f t="shared" ref="Q1666:Q1729" si="78">IF(M1666="Normative",6,IF(M1666="Secondary",4,IF(M1666="Anchor",2,1)))</f>
        <v>1</v>
      </c>
      <c r="S1666">
        <f t="shared" ref="S1666:S1729" si="79">IF(R1666="High",10,IF(R1666="Medium",6,IF(R1666="Low",2,1)))</f>
        <v>1</v>
      </c>
      <c r="T1666" s="102" t="str">
        <f>IF(TableRelationships12[[#This Row],[Rank Pedro]]="Low","linkCategory1",IF(TableRelationships12[[#This Row],[Rank Pedro]]="Medium","linkCategory2",IF(TableRelationships12[[#This Row],[Rank Pedro]]="High","linkCategory3","")))</f>
        <v/>
      </c>
      <c r="U1666" s="102" t="str">
        <f>IF(TableRelationships12[[#This Row],[Rank Pedro]]="Low","Pink",IF(TableRelationships12[[#This Row],[Rank Pedro]]="Medium","Purple",IF(TableRelationships12[[#This Row],[Rank Pedro]]="High","Brown","")))</f>
        <v/>
      </c>
      <c r="V1666" s="4" t="e">
        <f>MAX(INDEX(Standards!$F$2:$F$296,MATCH(B1666,Standards!$B$2:$B$296,0)),INDEX(Standards!$F$2:$F$296,MATCH(C1666,Standards!$B$2:$B$296,0)))</f>
        <v>#N/A</v>
      </c>
      <c r="W1666" t="str">
        <f t="shared" ref="W1666:W1729" si="80">IF(M1666="Normative", "#d6bf2a", IF(M1666="Informative", "#2f89d1", 1))</f>
        <v>#2f89d1</v>
      </c>
    </row>
    <row r="1667" spans="1:23" x14ac:dyDescent="0.5">
      <c r="A1667" s="54">
        <v>1666</v>
      </c>
      <c r="B1667" s="90" t="s">
        <v>1715</v>
      </c>
      <c r="C1667" t="s">
        <v>527</v>
      </c>
      <c r="D1667" s="1"/>
      <c r="E1667" s="112">
        <v>2022.09</v>
      </c>
      <c r="F1667" s="112">
        <v>2022.09</v>
      </c>
      <c r="G1667" s="121" t="s">
        <v>673</v>
      </c>
      <c r="H1667">
        <f>INDEX('GIS-Standards'!$A$2:$A$305,MATCH(B1667,'GIS-Standards'!$B$2:$B$305,0))</f>
        <v>77</v>
      </c>
      <c r="I1667" t="e">
        <f>INDEX('GIS-Standards'!$A$2:$A$305,MATCH(C1667,'GIS-Standards'!$B$2:$B$305,0))</f>
        <v>#N/A</v>
      </c>
      <c r="J1667" t="str">
        <f>INDEX('GIS-Standards'!$O$2:$O$305,MATCH(B1667,'GIS-Standards'!$B$2:$B$305,0))</f>
        <v>ISO/TC 268</v>
      </c>
      <c r="K1667" t="e">
        <f>INDEX('GIS-Standards'!$O$2:$O$305,MATCH(C1667,'GIS-Standards'!$B$2:$B$305,0))</f>
        <v>#N/A</v>
      </c>
      <c r="M1667" t="s">
        <v>237</v>
      </c>
      <c r="N1667">
        <f>INDEX('GIS-Standards'!$I$2:$I$305,MATCH(B1667,'GIS-Standards'!$B$2:$B$305,0))</f>
        <v>0</v>
      </c>
      <c r="O1667" t="e">
        <f>INDEX('GIS-Standards'!$I$2:$I$305,MATCH(C1667,'GIS-Standards'!$B$2:$B$305,0))</f>
        <v>#N/A</v>
      </c>
      <c r="P1667" t="e">
        <f>AND(TableRelationships12[[#This Row],[Source Type]]="BIM",TableRelationships12[[#This Row],[Target Type]]="BIM")</f>
        <v>#N/A</v>
      </c>
      <c r="Q1667">
        <f t="shared" si="78"/>
        <v>2</v>
      </c>
      <c r="S1667">
        <f t="shared" si="79"/>
        <v>1</v>
      </c>
      <c r="T1667" s="102" t="str">
        <f>IF(TableRelationships12[[#This Row],[Rank Pedro]]="Low","linkCategory1",IF(TableRelationships12[[#This Row],[Rank Pedro]]="Medium","linkCategory2",IF(TableRelationships12[[#This Row],[Rank Pedro]]="High","linkCategory3","")))</f>
        <v/>
      </c>
      <c r="U1667" s="102" t="str">
        <f>IF(TableRelationships12[[#This Row],[Rank Pedro]]="Low","Pink",IF(TableRelationships12[[#This Row],[Rank Pedro]]="Medium","Purple",IF(TableRelationships12[[#This Row],[Rank Pedro]]="High","Brown","")))</f>
        <v/>
      </c>
      <c r="V1667" s="4" t="e">
        <f>MAX(INDEX(Standards!$F$2:$F$296,MATCH(B1667,Standards!$B$2:$B$296,0)),INDEX(Standards!$F$2:$F$296,MATCH(C1667,Standards!$B$2:$B$296,0)))</f>
        <v>#N/A</v>
      </c>
      <c r="W1667">
        <f t="shared" si="80"/>
        <v>1</v>
      </c>
    </row>
    <row r="1668" spans="1:23" x14ac:dyDescent="0.5">
      <c r="A1668" s="54">
        <v>1667</v>
      </c>
      <c r="B1668" s="90" t="s">
        <v>1715</v>
      </c>
      <c r="C1668" t="s">
        <v>1935</v>
      </c>
      <c r="D1668" s="1"/>
      <c r="E1668" s="112">
        <v>2016.07</v>
      </c>
      <c r="F1668" s="112">
        <v>2024.02</v>
      </c>
      <c r="G1668" s="107" t="s">
        <v>2090</v>
      </c>
      <c r="H1668">
        <f>INDEX('GIS-Standards'!$A$2:$A$305,MATCH(B1668,'GIS-Standards'!$B$2:$B$305,0))</f>
        <v>77</v>
      </c>
      <c r="I1668" t="e">
        <f>INDEX('GIS-Standards'!$A$2:$A$305,MATCH(C1668,'GIS-Standards'!$B$2:$B$305,0))</f>
        <v>#N/A</v>
      </c>
      <c r="J1668" t="str">
        <f>INDEX('GIS-Standards'!$O$2:$O$305,MATCH(B1668,'GIS-Standards'!$B$2:$B$305,0))</f>
        <v>ISO/TC 268</v>
      </c>
      <c r="K1668" t="e">
        <f>INDEX('GIS-Standards'!$O$2:$O$305,MATCH(C1668,'GIS-Standards'!$B$2:$B$305,0))</f>
        <v>#N/A</v>
      </c>
      <c r="M1668" t="s">
        <v>524</v>
      </c>
      <c r="N1668">
        <f>INDEX('GIS-Standards'!$I$2:$I$305,MATCH(B1668,'GIS-Standards'!$B$2:$B$305,0))</f>
        <v>0</v>
      </c>
      <c r="O1668" t="e">
        <f>INDEX('GIS-Standards'!$I$2:$I$305,MATCH(C1668,'GIS-Standards'!$B$2:$B$305,0))</f>
        <v>#N/A</v>
      </c>
      <c r="P1668" t="e">
        <f>AND(TableRelationships12[[#This Row],[Source Type]]="BIM",TableRelationships12[[#This Row],[Target Type]]="BIM")</f>
        <v>#N/A</v>
      </c>
      <c r="Q1668">
        <f t="shared" si="78"/>
        <v>6</v>
      </c>
      <c r="S1668">
        <f t="shared" si="79"/>
        <v>1</v>
      </c>
      <c r="T1668" s="102" t="str">
        <f>IF(TableRelationships12[[#This Row],[Rank Pedro]]="Low","linkCategory1",IF(TableRelationships12[[#This Row],[Rank Pedro]]="Medium","linkCategory2",IF(TableRelationships12[[#This Row],[Rank Pedro]]="High","linkCategory3","")))</f>
        <v/>
      </c>
      <c r="U1668" s="102" t="str">
        <f>IF(TableRelationships12[[#This Row],[Rank Pedro]]="Low","Pink",IF(TableRelationships12[[#This Row],[Rank Pedro]]="Medium","Purple",IF(TableRelationships12[[#This Row],[Rank Pedro]]="High","Brown","")))</f>
        <v/>
      </c>
      <c r="V1668" s="4" t="e">
        <f>MAX(INDEX(Standards!$F$2:$F$296,MATCH(B1668,Standards!$B$2:$B$296,0)),INDEX(Standards!$F$2:$F$296,MATCH(C1668,Standards!$B$2:$B$296,0)))</f>
        <v>#N/A</v>
      </c>
      <c r="W1668" t="str">
        <f t="shared" si="80"/>
        <v>#d6bf2a</v>
      </c>
    </row>
    <row r="1669" spans="1:23" x14ac:dyDescent="0.5">
      <c r="A1669" s="54">
        <v>1668</v>
      </c>
      <c r="B1669" s="90" t="s">
        <v>1715</v>
      </c>
      <c r="C1669" t="s">
        <v>1911</v>
      </c>
      <c r="D1669" s="1"/>
      <c r="E1669" s="112">
        <v>2021.05</v>
      </c>
      <c r="F1669" s="112">
        <v>2021.05</v>
      </c>
      <c r="G1669" s="107" t="s">
        <v>2083</v>
      </c>
      <c r="H1669">
        <f>INDEX('GIS-Standards'!$A$2:$A$305,MATCH(B1669,'GIS-Standards'!$B$2:$B$305,0))</f>
        <v>77</v>
      </c>
      <c r="I1669" t="e">
        <f>INDEX('GIS-Standards'!$A$2:$A$305,MATCH(C1669,'GIS-Standards'!$B$2:$B$305,0))</f>
        <v>#N/A</v>
      </c>
      <c r="J1669" t="str">
        <f>INDEX('GIS-Standards'!$O$2:$O$305,MATCH(B1669,'GIS-Standards'!$B$2:$B$305,0))</f>
        <v>ISO/TC 268</v>
      </c>
      <c r="K1669" t="e">
        <f>INDEX('GIS-Standards'!$O$2:$O$305,MATCH(C1669,'GIS-Standards'!$B$2:$B$305,0))</f>
        <v>#N/A</v>
      </c>
      <c r="M1669" t="s">
        <v>525</v>
      </c>
      <c r="N1669">
        <f>INDEX('GIS-Standards'!$I$2:$I$305,MATCH(B1669,'GIS-Standards'!$B$2:$B$305,0))</f>
        <v>0</v>
      </c>
      <c r="O1669" t="e">
        <f>INDEX('GIS-Standards'!$I$2:$I$305,MATCH(C1669,'GIS-Standards'!$B$2:$B$305,0))</f>
        <v>#N/A</v>
      </c>
      <c r="P1669" t="e">
        <f>AND(TableRelationships12[[#This Row],[Source Type]]="BIM",TableRelationships12[[#This Row],[Target Type]]="BIM")</f>
        <v>#N/A</v>
      </c>
      <c r="Q1669">
        <f t="shared" si="78"/>
        <v>1</v>
      </c>
      <c r="S1669">
        <f t="shared" si="79"/>
        <v>1</v>
      </c>
      <c r="T1669" s="102" t="str">
        <f>IF(TableRelationships12[[#This Row],[Rank Pedro]]="Low","linkCategory1",IF(TableRelationships12[[#This Row],[Rank Pedro]]="Medium","linkCategory2",IF(TableRelationships12[[#This Row],[Rank Pedro]]="High","linkCategory3","")))</f>
        <v/>
      </c>
      <c r="U1669" s="102" t="str">
        <f>IF(TableRelationships12[[#This Row],[Rank Pedro]]="Low","Pink",IF(TableRelationships12[[#This Row],[Rank Pedro]]="Medium","Purple",IF(TableRelationships12[[#This Row],[Rank Pedro]]="High","Brown","")))</f>
        <v/>
      </c>
      <c r="V1669" s="4" t="e">
        <f>MAX(INDEX(Standards!$F$2:$F$296,MATCH(B1669,Standards!$B$2:$B$296,0)),INDEX(Standards!$F$2:$F$296,MATCH(C1669,Standards!$B$2:$B$296,0)))</f>
        <v>#N/A</v>
      </c>
      <c r="W1669" t="str">
        <f t="shared" si="80"/>
        <v>#2f89d1</v>
      </c>
    </row>
    <row r="1670" spans="1:23" x14ac:dyDescent="0.5">
      <c r="A1670" s="54">
        <v>1669</v>
      </c>
      <c r="B1670" s="90" t="s">
        <v>1715</v>
      </c>
      <c r="C1670" t="s">
        <v>1941</v>
      </c>
      <c r="D1670" s="1" t="s">
        <v>1676</v>
      </c>
      <c r="E1670" s="112">
        <v>2006.03</v>
      </c>
      <c r="F1670" s="112">
        <v>2018.12</v>
      </c>
      <c r="G1670" s="107" t="s">
        <v>2054</v>
      </c>
      <c r="H1670">
        <f>INDEX('GIS-Standards'!$A$2:$A$305,MATCH(B1670,'GIS-Standards'!$B$2:$B$305,0))</f>
        <v>77</v>
      </c>
      <c r="I1670" t="e">
        <f>INDEX('GIS-Standards'!$A$2:$A$305,MATCH(C1670,'GIS-Standards'!$B$2:$B$305,0))</f>
        <v>#N/A</v>
      </c>
      <c r="J1670" t="str">
        <f>INDEX('GIS-Standards'!$O$2:$O$305,MATCH(B1670,'GIS-Standards'!$B$2:$B$305,0))</f>
        <v>ISO/TC 268</v>
      </c>
      <c r="K1670" t="e">
        <f>INDEX('GIS-Standards'!$O$2:$O$305,MATCH(C1670,'GIS-Standards'!$B$2:$B$305,0))</f>
        <v>#N/A</v>
      </c>
      <c r="M1670" t="s">
        <v>525</v>
      </c>
      <c r="N1670">
        <f>INDEX('GIS-Standards'!$I$2:$I$305,MATCH(B1670,'GIS-Standards'!$B$2:$B$305,0))</f>
        <v>0</v>
      </c>
      <c r="O1670" t="e">
        <f>INDEX('GIS-Standards'!$I$2:$I$305,MATCH(C1670,'GIS-Standards'!$B$2:$B$305,0))</f>
        <v>#N/A</v>
      </c>
      <c r="P1670" t="e">
        <f>AND(TableRelationships12[[#This Row],[Source Type]]="BIM",TableRelationships12[[#This Row],[Target Type]]="BIM")</f>
        <v>#N/A</v>
      </c>
      <c r="Q1670">
        <f t="shared" si="78"/>
        <v>1</v>
      </c>
      <c r="S1670">
        <f t="shared" si="79"/>
        <v>1</v>
      </c>
      <c r="T1670" s="102" t="str">
        <f>IF(TableRelationships12[[#This Row],[Rank Pedro]]="Low","linkCategory1",IF(TableRelationships12[[#This Row],[Rank Pedro]]="Medium","linkCategory2",IF(TableRelationships12[[#This Row],[Rank Pedro]]="High","linkCategory3","")))</f>
        <v/>
      </c>
      <c r="U1670" s="102" t="str">
        <f>IF(TableRelationships12[[#This Row],[Rank Pedro]]="Low","Pink",IF(TableRelationships12[[#This Row],[Rank Pedro]]="Medium","Purple",IF(TableRelationships12[[#This Row],[Rank Pedro]]="High","Brown","")))</f>
        <v/>
      </c>
      <c r="V1670" s="4" t="e">
        <f>MAX(INDEX(Standards!$F$2:$F$296,MATCH(B1670,Standards!$B$2:$B$296,0)),INDEX(Standards!$F$2:$F$296,MATCH(C1670,Standards!$B$2:$B$296,0)))</f>
        <v>#N/A</v>
      </c>
      <c r="W1670" t="str">
        <f t="shared" si="80"/>
        <v>#2f89d1</v>
      </c>
    </row>
    <row r="1671" spans="1:23" x14ac:dyDescent="0.5">
      <c r="A1671" s="54">
        <v>1670</v>
      </c>
      <c r="B1671" s="90" t="s">
        <v>1715</v>
      </c>
      <c r="C1671" t="s">
        <v>104</v>
      </c>
      <c r="D1671" s="1" t="s">
        <v>1676</v>
      </c>
      <c r="E1671" s="112">
        <v>1990.12</v>
      </c>
      <c r="F1671" s="112">
        <v>2018.07</v>
      </c>
      <c r="G1671" s="107" t="s">
        <v>1508</v>
      </c>
      <c r="H1671">
        <f>INDEX('GIS-Standards'!$A$2:$A$305,MATCH(B1671,'GIS-Standards'!$B$2:$B$305,0))</f>
        <v>77</v>
      </c>
      <c r="I1671" t="e">
        <f>INDEX('GIS-Standards'!$A$2:$A$305,MATCH(C1671,'GIS-Standards'!$B$2:$B$305,0))</f>
        <v>#N/A</v>
      </c>
      <c r="J1671" t="str">
        <f>INDEX('GIS-Standards'!$O$2:$O$305,MATCH(B1671,'GIS-Standards'!$B$2:$B$305,0))</f>
        <v>ISO/TC 268</v>
      </c>
      <c r="K1671" t="e">
        <f>INDEX('GIS-Standards'!$O$2:$O$305,MATCH(C1671,'GIS-Standards'!$B$2:$B$305,0))</f>
        <v>#N/A</v>
      </c>
      <c r="M1671" t="s">
        <v>525</v>
      </c>
      <c r="N1671">
        <f>INDEX('GIS-Standards'!$I$2:$I$305,MATCH(B1671,'GIS-Standards'!$B$2:$B$305,0))</f>
        <v>0</v>
      </c>
      <c r="O1671" t="e">
        <f>INDEX('GIS-Standards'!$I$2:$I$305,MATCH(C1671,'GIS-Standards'!$B$2:$B$305,0))</f>
        <v>#N/A</v>
      </c>
      <c r="P1671" t="e">
        <f>AND(TableRelationships12[[#This Row],[Source Type]]="BIM",TableRelationships12[[#This Row],[Target Type]]="BIM")</f>
        <v>#N/A</v>
      </c>
      <c r="Q1671">
        <f t="shared" si="78"/>
        <v>1</v>
      </c>
      <c r="S1671">
        <f t="shared" si="79"/>
        <v>1</v>
      </c>
      <c r="T1671" s="102" t="str">
        <f>IF(TableRelationships12[[#This Row],[Rank Pedro]]="Low","linkCategory1",IF(TableRelationships12[[#This Row],[Rank Pedro]]="Medium","linkCategory2",IF(TableRelationships12[[#This Row],[Rank Pedro]]="High","linkCategory3","")))</f>
        <v/>
      </c>
      <c r="U1671" s="102" t="str">
        <f>IF(TableRelationships12[[#This Row],[Rank Pedro]]="Low","Pink",IF(TableRelationships12[[#This Row],[Rank Pedro]]="Medium","Purple",IF(TableRelationships12[[#This Row],[Rank Pedro]]="High","Brown","")))</f>
        <v/>
      </c>
      <c r="V1671" s="4" t="e">
        <f>MAX(INDEX(Standards!$F$2:$F$296,MATCH(B1671,Standards!$B$2:$B$296,0)),INDEX(Standards!$F$2:$F$296,MATCH(C1671,Standards!$B$2:$B$296,0)))</f>
        <v>#N/A</v>
      </c>
      <c r="W1671" t="str">
        <f t="shared" si="80"/>
        <v>#2f89d1</v>
      </c>
    </row>
    <row r="1672" spans="1:23" x14ac:dyDescent="0.5">
      <c r="A1672" s="54">
        <v>1671</v>
      </c>
      <c r="B1672" s="90" t="s">
        <v>1715</v>
      </c>
      <c r="C1672" t="s">
        <v>1813</v>
      </c>
      <c r="D1672" s="1"/>
      <c r="E1672" s="113">
        <v>2006.03</v>
      </c>
      <c r="F1672" s="113">
        <v>2022.06</v>
      </c>
      <c r="G1672" s="107" t="s">
        <v>1718</v>
      </c>
      <c r="H1672">
        <f>INDEX('GIS-Standards'!$A$2:$A$305,MATCH(B1672,'GIS-Standards'!$B$2:$B$305,0))</f>
        <v>77</v>
      </c>
      <c r="I1672" t="e">
        <f>INDEX('GIS-Standards'!$A$2:$A$305,MATCH(C1672,'GIS-Standards'!$B$2:$B$305,0))</f>
        <v>#N/A</v>
      </c>
      <c r="J1672" t="str">
        <f>INDEX('GIS-Standards'!$O$2:$O$305,MATCH(B1672,'GIS-Standards'!$B$2:$B$305,0))</f>
        <v>ISO/TC 268</v>
      </c>
      <c r="K1672" t="e">
        <f>INDEX('GIS-Standards'!$O$2:$O$305,MATCH(C1672,'GIS-Standards'!$B$2:$B$305,0))</f>
        <v>#N/A</v>
      </c>
      <c r="M1672" t="s">
        <v>525</v>
      </c>
      <c r="N1672">
        <f>INDEX('GIS-Standards'!$I$2:$I$305,MATCH(B1672,'GIS-Standards'!$B$2:$B$305,0))</f>
        <v>0</v>
      </c>
      <c r="O1672" t="e">
        <f>INDEX('GIS-Standards'!$I$2:$I$305,MATCH(C1672,'GIS-Standards'!$B$2:$B$305,0))</f>
        <v>#N/A</v>
      </c>
      <c r="P1672" t="e">
        <f>AND(TableRelationships12[[#This Row],[Source Type]]="BIM",TableRelationships12[[#This Row],[Target Type]]="BIM")</f>
        <v>#N/A</v>
      </c>
      <c r="Q1672">
        <f t="shared" si="78"/>
        <v>1</v>
      </c>
      <c r="S1672">
        <f t="shared" si="79"/>
        <v>1</v>
      </c>
      <c r="T1672" s="102" t="str">
        <f>IF(TableRelationships12[[#This Row],[Rank Pedro]]="Low","linkCategory1",IF(TableRelationships12[[#This Row],[Rank Pedro]]="Medium","linkCategory2",IF(TableRelationships12[[#This Row],[Rank Pedro]]="High","linkCategory3","")))</f>
        <v/>
      </c>
      <c r="U1672" s="102" t="str">
        <f>IF(TableRelationships12[[#This Row],[Rank Pedro]]="Low","Pink",IF(TableRelationships12[[#This Row],[Rank Pedro]]="Medium","Purple",IF(TableRelationships12[[#This Row],[Rank Pedro]]="High","Brown","")))</f>
        <v/>
      </c>
      <c r="V1672" s="4" t="e">
        <f>MAX(INDEX(Standards!$F$2:$F$296,MATCH(B1672,Standards!$B$2:$B$296,0)),INDEX(Standards!$F$2:$F$296,MATCH(C1672,Standards!$B$2:$B$296,0)))</f>
        <v>#N/A</v>
      </c>
      <c r="W1672" t="str">
        <f t="shared" si="80"/>
        <v>#2f89d1</v>
      </c>
    </row>
    <row r="1673" spans="1:23" x14ac:dyDescent="0.5">
      <c r="A1673" s="54">
        <v>1672</v>
      </c>
      <c r="B1673" s="90" t="s">
        <v>1715</v>
      </c>
      <c r="C1673" t="s">
        <v>1942</v>
      </c>
      <c r="D1673" s="1"/>
      <c r="E1673" s="112">
        <v>2016.1</v>
      </c>
      <c r="F1673" s="112">
        <v>2016.1</v>
      </c>
      <c r="G1673" s="107" t="s">
        <v>1998</v>
      </c>
      <c r="H1673">
        <f>INDEX('GIS-Standards'!$A$2:$A$305,MATCH(B1673,'GIS-Standards'!$B$2:$B$305,0))</f>
        <v>77</v>
      </c>
      <c r="I1673" t="e">
        <f>INDEX('GIS-Standards'!$A$2:$A$305,MATCH(C1673,'GIS-Standards'!$B$2:$B$305,0))</f>
        <v>#N/A</v>
      </c>
      <c r="J1673" t="str">
        <f>INDEX('GIS-Standards'!$O$2:$O$305,MATCH(B1673,'GIS-Standards'!$B$2:$B$305,0))</f>
        <v>ISO/TC 268</v>
      </c>
      <c r="K1673" t="e">
        <f>INDEX('GIS-Standards'!$O$2:$O$305,MATCH(C1673,'GIS-Standards'!$B$2:$B$305,0))</f>
        <v>#N/A</v>
      </c>
      <c r="M1673" t="s">
        <v>525</v>
      </c>
      <c r="N1673">
        <f>INDEX('GIS-Standards'!$I$2:$I$305,MATCH(B1673,'GIS-Standards'!$B$2:$B$305,0))</f>
        <v>0</v>
      </c>
      <c r="O1673" t="e">
        <f>INDEX('GIS-Standards'!$I$2:$I$305,MATCH(C1673,'GIS-Standards'!$B$2:$B$305,0))</f>
        <v>#N/A</v>
      </c>
      <c r="P1673" t="e">
        <f>AND(TableRelationships12[[#This Row],[Source Type]]="BIM",TableRelationships12[[#This Row],[Target Type]]="BIM")</f>
        <v>#N/A</v>
      </c>
      <c r="Q1673">
        <f t="shared" si="78"/>
        <v>1</v>
      </c>
      <c r="S1673">
        <f t="shared" si="79"/>
        <v>1</v>
      </c>
      <c r="T1673" s="102" t="str">
        <f>IF(TableRelationships12[[#This Row],[Rank Pedro]]="Low","linkCategory1",IF(TableRelationships12[[#This Row],[Rank Pedro]]="Medium","linkCategory2",IF(TableRelationships12[[#This Row],[Rank Pedro]]="High","linkCategory3","")))</f>
        <v/>
      </c>
      <c r="U1673" s="102" t="str">
        <f>IF(TableRelationships12[[#This Row],[Rank Pedro]]="Low","Pink",IF(TableRelationships12[[#This Row],[Rank Pedro]]="Medium","Purple",IF(TableRelationships12[[#This Row],[Rank Pedro]]="High","Brown","")))</f>
        <v/>
      </c>
      <c r="V1673" s="4" t="e">
        <f>MAX(INDEX(Standards!$F$2:$F$296,MATCH(B1673,Standards!$B$2:$B$296,0)),INDEX(Standards!$F$2:$F$296,MATCH(C1673,Standards!$B$2:$B$296,0)))</f>
        <v>#N/A</v>
      </c>
      <c r="W1673" t="str">
        <f t="shared" si="80"/>
        <v>#2f89d1</v>
      </c>
    </row>
    <row r="1674" spans="1:23" x14ac:dyDescent="0.5">
      <c r="A1674" s="54">
        <v>1673</v>
      </c>
      <c r="B1674" s="90" t="s">
        <v>1715</v>
      </c>
      <c r="C1674" t="s">
        <v>1943</v>
      </c>
      <c r="D1674" s="1"/>
      <c r="E1674" s="112">
        <v>2010.11</v>
      </c>
      <c r="F1674" s="112">
        <v>2010.11</v>
      </c>
      <c r="G1674" s="107" t="s">
        <v>2098</v>
      </c>
      <c r="H1674">
        <f>INDEX('GIS-Standards'!$A$2:$A$305,MATCH(B1674,'GIS-Standards'!$B$2:$B$305,0))</f>
        <v>77</v>
      </c>
      <c r="I1674" t="e">
        <f>INDEX('GIS-Standards'!$A$2:$A$305,MATCH(C1674,'GIS-Standards'!$B$2:$B$305,0))</f>
        <v>#N/A</v>
      </c>
      <c r="J1674" t="str">
        <f>INDEX('GIS-Standards'!$O$2:$O$305,MATCH(B1674,'GIS-Standards'!$B$2:$B$305,0))</f>
        <v>ISO/TC 268</v>
      </c>
      <c r="K1674" t="e">
        <f>INDEX('GIS-Standards'!$O$2:$O$305,MATCH(C1674,'GIS-Standards'!$B$2:$B$305,0))</f>
        <v>#N/A</v>
      </c>
      <c r="M1674" t="s">
        <v>525</v>
      </c>
      <c r="N1674">
        <f>INDEX('GIS-Standards'!$I$2:$I$305,MATCH(B1674,'GIS-Standards'!$B$2:$B$305,0))</f>
        <v>0</v>
      </c>
      <c r="O1674" t="e">
        <f>INDEX('GIS-Standards'!$I$2:$I$305,MATCH(C1674,'GIS-Standards'!$B$2:$B$305,0))</f>
        <v>#N/A</v>
      </c>
      <c r="P1674" t="e">
        <f>AND(TableRelationships12[[#This Row],[Source Type]]="BIM",TableRelationships12[[#This Row],[Target Type]]="BIM")</f>
        <v>#N/A</v>
      </c>
      <c r="Q1674">
        <f t="shared" si="78"/>
        <v>1</v>
      </c>
      <c r="S1674">
        <f t="shared" si="79"/>
        <v>1</v>
      </c>
      <c r="T1674" s="102" t="str">
        <f>IF(TableRelationships12[[#This Row],[Rank Pedro]]="Low","linkCategory1",IF(TableRelationships12[[#This Row],[Rank Pedro]]="Medium","linkCategory2",IF(TableRelationships12[[#This Row],[Rank Pedro]]="High","linkCategory3","")))</f>
        <v/>
      </c>
      <c r="U1674" s="102" t="str">
        <f>IF(TableRelationships12[[#This Row],[Rank Pedro]]="Low","Pink",IF(TableRelationships12[[#This Row],[Rank Pedro]]="Medium","Purple",IF(TableRelationships12[[#This Row],[Rank Pedro]]="High","Brown","")))</f>
        <v/>
      </c>
      <c r="V1674" s="4" t="e">
        <f>MAX(INDEX(Standards!$F$2:$F$296,MATCH(B1674,Standards!$B$2:$B$296,0)),INDEX(Standards!$F$2:$F$296,MATCH(C1674,Standards!$B$2:$B$296,0)))</f>
        <v>#N/A</v>
      </c>
      <c r="W1674" t="str">
        <f t="shared" si="80"/>
        <v>#2f89d1</v>
      </c>
    </row>
    <row r="1675" spans="1:23" x14ac:dyDescent="0.5">
      <c r="A1675" s="54">
        <v>1674</v>
      </c>
      <c r="B1675" s="90" t="s">
        <v>1715</v>
      </c>
      <c r="C1675" t="s">
        <v>1719</v>
      </c>
      <c r="D1675" s="1"/>
      <c r="E1675" s="112">
        <v>2019.04</v>
      </c>
      <c r="F1675" s="112">
        <v>2019.04</v>
      </c>
      <c r="G1675" s="107" t="s">
        <v>673</v>
      </c>
      <c r="H1675">
        <f>INDEX('GIS-Standards'!$A$2:$A$305,MATCH(B1675,'GIS-Standards'!$B$2:$B$305,0))</f>
        <v>77</v>
      </c>
      <c r="I1675">
        <f>INDEX('GIS-Standards'!$A$2:$A$305,MATCH(C1675,'GIS-Standards'!$B$2:$B$305,0))</f>
        <v>76</v>
      </c>
      <c r="J1675" t="str">
        <f>INDEX('GIS-Standards'!$O$2:$O$305,MATCH(B1675,'GIS-Standards'!$B$2:$B$305,0))</f>
        <v>ISO/TC 268</v>
      </c>
      <c r="K1675" t="str">
        <f>INDEX('GIS-Standards'!$O$2:$O$305,MATCH(C1675,'GIS-Standards'!$B$2:$B$305,0))</f>
        <v>ISO/TC 268</v>
      </c>
      <c r="M1675" t="s">
        <v>525</v>
      </c>
      <c r="N1675">
        <f>INDEX('GIS-Standards'!$I$2:$I$305,MATCH(B1675,'GIS-Standards'!$B$2:$B$305,0))</f>
        <v>0</v>
      </c>
      <c r="O1675">
        <f>INDEX('GIS-Standards'!$I$2:$I$305,MATCH(C1675,'GIS-Standards'!$B$2:$B$305,0))</f>
        <v>0</v>
      </c>
      <c r="P1675" t="b">
        <f>AND(TableRelationships12[[#This Row],[Source Type]]="BIM",TableRelationships12[[#This Row],[Target Type]]="BIM")</f>
        <v>0</v>
      </c>
      <c r="Q1675">
        <f t="shared" si="78"/>
        <v>1</v>
      </c>
      <c r="S1675">
        <f t="shared" si="79"/>
        <v>1</v>
      </c>
      <c r="T1675" s="102" t="str">
        <f>IF(TableRelationships12[[#This Row],[Rank Pedro]]="Low","linkCategory1",IF(TableRelationships12[[#This Row],[Rank Pedro]]="Medium","linkCategory2",IF(TableRelationships12[[#This Row],[Rank Pedro]]="High","linkCategory3","")))</f>
        <v/>
      </c>
      <c r="U1675" s="102" t="str">
        <f>IF(TableRelationships12[[#This Row],[Rank Pedro]]="Low","Pink",IF(TableRelationships12[[#This Row],[Rank Pedro]]="Medium","Purple",IF(TableRelationships12[[#This Row],[Rank Pedro]]="High","Brown","")))</f>
        <v/>
      </c>
      <c r="V1675" s="4" t="e">
        <f>MAX(INDEX(Standards!$F$2:$F$296,MATCH(B1675,Standards!$B$2:$B$296,0)),INDEX(Standards!$F$2:$F$296,MATCH(C1675,Standards!$B$2:$B$296,0)))</f>
        <v>#N/A</v>
      </c>
      <c r="W1675" t="str">
        <f t="shared" si="80"/>
        <v>#2f89d1</v>
      </c>
    </row>
    <row r="1676" spans="1:23" x14ac:dyDescent="0.5">
      <c r="A1676" s="54">
        <v>1675</v>
      </c>
      <c r="B1676" s="90" t="s">
        <v>1715</v>
      </c>
      <c r="C1676" t="s">
        <v>1937</v>
      </c>
      <c r="D1676" s="1"/>
      <c r="E1676" s="112">
        <v>2018.07</v>
      </c>
      <c r="F1676" s="112">
        <v>2018.07</v>
      </c>
      <c r="G1676" s="107" t="s">
        <v>673</v>
      </c>
      <c r="H1676">
        <f>INDEX('GIS-Standards'!$A$2:$A$305,MATCH(B1676,'GIS-Standards'!$B$2:$B$305,0))</f>
        <v>77</v>
      </c>
      <c r="I1676" t="e">
        <f>INDEX('GIS-Standards'!$A$2:$A$305,MATCH(C1676,'GIS-Standards'!$B$2:$B$305,0))</f>
        <v>#N/A</v>
      </c>
      <c r="J1676" t="str">
        <f>INDEX('GIS-Standards'!$O$2:$O$305,MATCH(B1676,'GIS-Standards'!$B$2:$B$305,0))</f>
        <v>ISO/TC 268</v>
      </c>
      <c r="K1676" t="e">
        <f>INDEX('GIS-Standards'!$O$2:$O$305,MATCH(C1676,'GIS-Standards'!$B$2:$B$305,0))</f>
        <v>#N/A</v>
      </c>
      <c r="M1676" t="s">
        <v>525</v>
      </c>
      <c r="N1676">
        <f>INDEX('GIS-Standards'!$I$2:$I$305,MATCH(B1676,'GIS-Standards'!$B$2:$B$305,0))</f>
        <v>0</v>
      </c>
      <c r="O1676" t="e">
        <f>INDEX('GIS-Standards'!$I$2:$I$305,MATCH(C1676,'GIS-Standards'!$B$2:$B$305,0))</f>
        <v>#N/A</v>
      </c>
      <c r="P1676" t="e">
        <f>AND(TableRelationships12[[#This Row],[Source Type]]="BIM",TableRelationships12[[#This Row],[Target Type]]="BIM")</f>
        <v>#N/A</v>
      </c>
      <c r="Q1676">
        <f t="shared" si="78"/>
        <v>1</v>
      </c>
      <c r="S1676">
        <f t="shared" si="79"/>
        <v>1</v>
      </c>
      <c r="T1676" s="102" t="str">
        <f>IF(TableRelationships12[[#This Row],[Rank Pedro]]="Low","linkCategory1",IF(TableRelationships12[[#This Row],[Rank Pedro]]="Medium","linkCategory2",IF(TableRelationships12[[#This Row],[Rank Pedro]]="High","linkCategory3","")))</f>
        <v/>
      </c>
      <c r="U1676" s="102" t="str">
        <f>IF(TableRelationships12[[#This Row],[Rank Pedro]]="Low","Pink",IF(TableRelationships12[[#This Row],[Rank Pedro]]="Medium","Purple",IF(TableRelationships12[[#This Row],[Rank Pedro]]="High","Brown","")))</f>
        <v/>
      </c>
      <c r="V1676" s="4" t="e">
        <f>MAX(INDEX(Standards!$F$2:$F$296,MATCH(B1676,Standards!$B$2:$B$296,0)),INDEX(Standards!$F$2:$F$296,MATCH(C1676,Standards!$B$2:$B$296,0)))</f>
        <v>#N/A</v>
      </c>
      <c r="W1676" t="str">
        <f t="shared" si="80"/>
        <v>#2f89d1</v>
      </c>
    </row>
    <row r="1677" spans="1:23" x14ac:dyDescent="0.5">
      <c r="A1677" s="54">
        <v>1676</v>
      </c>
      <c r="B1677" s="90" t="s">
        <v>1715</v>
      </c>
      <c r="C1677" t="s">
        <v>1920</v>
      </c>
      <c r="D1677" s="1"/>
      <c r="E1677" s="112">
        <v>2014.05</v>
      </c>
      <c r="F1677" s="112">
        <v>2018.07</v>
      </c>
      <c r="G1677" s="107" t="s">
        <v>673</v>
      </c>
      <c r="H1677">
        <f>INDEX('GIS-Standards'!$A$2:$A$305,MATCH(B1677,'GIS-Standards'!$B$2:$B$305,0))</f>
        <v>77</v>
      </c>
      <c r="I1677" t="e">
        <f>INDEX('GIS-Standards'!$A$2:$A$305,MATCH(C1677,'GIS-Standards'!$B$2:$B$305,0))</f>
        <v>#N/A</v>
      </c>
      <c r="J1677" t="str">
        <f>INDEX('GIS-Standards'!$O$2:$O$305,MATCH(B1677,'GIS-Standards'!$B$2:$B$305,0))</f>
        <v>ISO/TC 268</v>
      </c>
      <c r="K1677" t="e">
        <f>INDEX('GIS-Standards'!$O$2:$O$305,MATCH(C1677,'GIS-Standards'!$B$2:$B$305,0))</f>
        <v>#N/A</v>
      </c>
      <c r="M1677" t="s">
        <v>525</v>
      </c>
      <c r="N1677">
        <f>INDEX('GIS-Standards'!$I$2:$I$305,MATCH(B1677,'GIS-Standards'!$B$2:$B$305,0))</f>
        <v>0</v>
      </c>
      <c r="O1677" t="e">
        <f>INDEX('GIS-Standards'!$I$2:$I$305,MATCH(C1677,'GIS-Standards'!$B$2:$B$305,0))</f>
        <v>#N/A</v>
      </c>
      <c r="P1677" t="e">
        <f>AND(TableRelationships12[[#This Row],[Source Type]]="BIM",TableRelationships12[[#This Row],[Target Type]]="BIM")</f>
        <v>#N/A</v>
      </c>
      <c r="Q1677">
        <f t="shared" si="78"/>
        <v>1</v>
      </c>
      <c r="S1677">
        <f t="shared" si="79"/>
        <v>1</v>
      </c>
      <c r="T1677" s="102" t="str">
        <f>IF(TableRelationships12[[#This Row],[Rank Pedro]]="Low","linkCategory1",IF(TableRelationships12[[#This Row],[Rank Pedro]]="Medium","linkCategory2",IF(TableRelationships12[[#This Row],[Rank Pedro]]="High","linkCategory3","")))</f>
        <v/>
      </c>
      <c r="U1677" s="102" t="str">
        <f>IF(TableRelationships12[[#This Row],[Rank Pedro]]="Low","Pink",IF(TableRelationships12[[#This Row],[Rank Pedro]]="Medium","Purple",IF(TableRelationships12[[#This Row],[Rank Pedro]]="High","Brown","")))</f>
        <v/>
      </c>
      <c r="V1677" s="4" t="e">
        <f>MAX(INDEX(Standards!$F$2:$F$296,MATCH(B1677,Standards!$B$2:$B$296,0)),INDEX(Standards!$F$2:$F$296,MATCH(C1677,Standards!$B$2:$B$296,0)))</f>
        <v>#N/A</v>
      </c>
      <c r="W1677" t="str">
        <f t="shared" si="80"/>
        <v>#2f89d1</v>
      </c>
    </row>
    <row r="1678" spans="1:23" x14ac:dyDescent="0.5">
      <c r="A1678" s="54">
        <v>1677</v>
      </c>
      <c r="B1678" s="90" t="s">
        <v>1715</v>
      </c>
      <c r="C1678" t="s">
        <v>1921</v>
      </c>
      <c r="D1678" s="1"/>
      <c r="E1678" s="112">
        <v>2019.05</v>
      </c>
      <c r="F1678" s="112">
        <v>2019.05</v>
      </c>
      <c r="G1678" s="107" t="s">
        <v>673</v>
      </c>
      <c r="H1678">
        <f>INDEX('GIS-Standards'!$A$2:$A$305,MATCH(B1678,'GIS-Standards'!$B$2:$B$305,0))</f>
        <v>77</v>
      </c>
      <c r="I1678" t="e">
        <f>INDEX('GIS-Standards'!$A$2:$A$305,MATCH(C1678,'GIS-Standards'!$B$2:$B$305,0))</f>
        <v>#N/A</v>
      </c>
      <c r="J1678" t="str">
        <f>INDEX('GIS-Standards'!$O$2:$O$305,MATCH(B1678,'GIS-Standards'!$B$2:$B$305,0))</f>
        <v>ISO/TC 268</v>
      </c>
      <c r="K1678" t="e">
        <f>INDEX('GIS-Standards'!$O$2:$O$305,MATCH(C1678,'GIS-Standards'!$B$2:$B$305,0))</f>
        <v>#N/A</v>
      </c>
      <c r="M1678" t="s">
        <v>525</v>
      </c>
      <c r="N1678">
        <f>INDEX('GIS-Standards'!$I$2:$I$305,MATCH(B1678,'GIS-Standards'!$B$2:$B$305,0))</f>
        <v>0</v>
      </c>
      <c r="O1678" t="e">
        <f>INDEX('GIS-Standards'!$I$2:$I$305,MATCH(C1678,'GIS-Standards'!$B$2:$B$305,0))</f>
        <v>#N/A</v>
      </c>
      <c r="P1678" t="e">
        <f>AND(TableRelationships12[[#This Row],[Source Type]]="BIM",TableRelationships12[[#This Row],[Target Type]]="BIM")</f>
        <v>#N/A</v>
      </c>
      <c r="Q1678">
        <f t="shared" si="78"/>
        <v>1</v>
      </c>
      <c r="S1678">
        <f t="shared" si="79"/>
        <v>1</v>
      </c>
      <c r="T1678" s="102" t="str">
        <f>IF(TableRelationships12[[#This Row],[Rank Pedro]]="Low","linkCategory1",IF(TableRelationships12[[#This Row],[Rank Pedro]]="Medium","linkCategory2",IF(TableRelationships12[[#This Row],[Rank Pedro]]="High","linkCategory3","")))</f>
        <v/>
      </c>
      <c r="U1678" s="102" t="str">
        <f>IF(TableRelationships12[[#This Row],[Rank Pedro]]="Low","Pink",IF(TableRelationships12[[#This Row],[Rank Pedro]]="Medium","Purple",IF(TableRelationships12[[#This Row],[Rank Pedro]]="High","Brown","")))</f>
        <v/>
      </c>
      <c r="V1678" s="4" t="e">
        <f>MAX(INDEX(Standards!$F$2:$F$296,MATCH(B1678,Standards!$B$2:$B$296,0)),INDEX(Standards!$F$2:$F$296,MATCH(C1678,Standards!$B$2:$B$296,0)))</f>
        <v>#N/A</v>
      </c>
      <c r="W1678" t="str">
        <f t="shared" si="80"/>
        <v>#2f89d1</v>
      </c>
    </row>
    <row r="1679" spans="1:23" x14ac:dyDescent="0.5">
      <c r="A1679" s="54">
        <v>1678</v>
      </c>
      <c r="B1679" s="90" t="s">
        <v>1715</v>
      </c>
      <c r="C1679" t="s">
        <v>1922</v>
      </c>
      <c r="D1679" s="1"/>
      <c r="E1679" s="112">
        <v>2019.12</v>
      </c>
      <c r="F1679" s="112">
        <v>2019.12</v>
      </c>
      <c r="G1679" s="107" t="s">
        <v>673</v>
      </c>
      <c r="H1679">
        <f>INDEX('GIS-Standards'!$A$2:$A$305,MATCH(B1679,'GIS-Standards'!$B$2:$B$305,0))</f>
        <v>77</v>
      </c>
      <c r="I1679" t="e">
        <f>INDEX('GIS-Standards'!$A$2:$A$305,MATCH(C1679,'GIS-Standards'!$B$2:$B$305,0))</f>
        <v>#N/A</v>
      </c>
      <c r="J1679" t="str">
        <f>INDEX('GIS-Standards'!$O$2:$O$305,MATCH(B1679,'GIS-Standards'!$B$2:$B$305,0))</f>
        <v>ISO/TC 268</v>
      </c>
      <c r="K1679" t="e">
        <f>INDEX('GIS-Standards'!$O$2:$O$305,MATCH(C1679,'GIS-Standards'!$B$2:$B$305,0))</f>
        <v>#N/A</v>
      </c>
      <c r="M1679" t="s">
        <v>525</v>
      </c>
      <c r="N1679">
        <f>INDEX('GIS-Standards'!$I$2:$I$305,MATCH(B1679,'GIS-Standards'!$B$2:$B$305,0))</f>
        <v>0</v>
      </c>
      <c r="O1679" t="e">
        <f>INDEX('GIS-Standards'!$I$2:$I$305,MATCH(C1679,'GIS-Standards'!$B$2:$B$305,0))</f>
        <v>#N/A</v>
      </c>
      <c r="P1679" t="e">
        <f>AND(TableRelationships12[[#This Row],[Source Type]]="BIM",TableRelationships12[[#This Row],[Target Type]]="BIM")</f>
        <v>#N/A</v>
      </c>
      <c r="Q1679">
        <f t="shared" si="78"/>
        <v>1</v>
      </c>
      <c r="S1679">
        <f t="shared" si="79"/>
        <v>1</v>
      </c>
      <c r="T1679" s="102" t="str">
        <f>IF(TableRelationships12[[#This Row],[Rank Pedro]]="Low","linkCategory1",IF(TableRelationships12[[#This Row],[Rank Pedro]]="Medium","linkCategory2",IF(TableRelationships12[[#This Row],[Rank Pedro]]="High","linkCategory3","")))</f>
        <v/>
      </c>
      <c r="U1679" s="102" t="str">
        <f>IF(TableRelationships12[[#This Row],[Rank Pedro]]="Low","Pink",IF(TableRelationships12[[#This Row],[Rank Pedro]]="Medium","Purple",IF(TableRelationships12[[#This Row],[Rank Pedro]]="High","Brown","")))</f>
        <v/>
      </c>
      <c r="V1679" s="4" t="e">
        <f>MAX(INDEX(Standards!$F$2:$F$296,MATCH(B1679,Standards!$B$2:$B$296,0)),INDEX(Standards!$F$2:$F$296,MATCH(C1679,Standards!$B$2:$B$296,0)))</f>
        <v>#N/A</v>
      </c>
      <c r="W1679" t="str">
        <f t="shared" si="80"/>
        <v>#2f89d1</v>
      </c>
    </row>
    <row r="1680" spans="1:23" x14ac:dyDescent="0.5">
      <c r="A1680" s="54">
        <v>1679</v>
      </c>
      <c r="B1680" s="90" t="s">
        <v>1715</v>
      </c>
      <c r="C1680" t="s">
        <v>1944</v>
      </c>
      <c r="D1680" s="1"/>
      <c r="E1680" s="112">
        <v>2014.12</v>
      </c>
      <c r="F1680" s="112">
        <v>2024.08</v>
      </c>
      <c r="G1680" s="107" t="s">
        <v>2084</v>
      </c>
      <c r="H1680">
        <f>INDEX('GIS-Standards'!$A$2:$A$305,MATCH(B1680,'GIS-Standards'!$B$2:$B$305,0))</f>
        <v>77</v>
      </c>
      <c r="I1680" t="e">
        <f>INDEX('GIS-Standards'!$A$2:$A$305,MATCH(C1680,'GIS-Standards'!$B$2:$B$305,0))</f>
        <v>#N/A</v>
      </c>
      <c r="J1680" t="str">
        <f>INDEX('GIS-Standards'!$O$2:$O$305,MATCH(B1680,'GIS-Standards'!$B$2:$B$305,0))</f>
        <v>ISO/TC 268</v>
      </c>
      <c r="K1680" t="e">
        <f>INDEX('GIS-Standards'!$O$2:$O$305,MATCH(C1680,'GIS-Standards'!$B$2:$B$305,0))</f>
        <v>#N/A</v>
      </c>
      <c r="M1680" t="s">
        <v>525</v>
      </c>
      <c r="N1680">
        <f>INDEX('GIS-Standards'!$I$2:$I$305,MATCH(B1680,'GIS-Standards'!$B$2:$B$305,0))</f>
        <v>0</v>
      </c>
      <c r="O1680" t="e">
        <f>INDEX('GIS-Standards'!$I$2:$I$305,MATCH(C1680,'GIS-Standards'!$B$2:$B$305,0))</f>
        <v>#N/A</v>
      </c>
      <c r="P1680" t="e">
        <f>AND(TableRelationships12[[#This Row],[Source Type]]="BIM",TableRelationships12[[#This Row],[Target Type]]="BIM")</f>
        <v>#N/A</v>
      </c>
      <c r="Q1680">
        <f t="shared" si="78"/>
        <v>1</v>
      </c>
      <c r="S1680">
        <f t="shared" si="79"/>
        <v>1</v>
      </c>
      <c r="T1680" s="102" t="str">
        <f>IF(TableRelationships12[[#This Row],[Rank Pedro]]="Low","linkCategory1",IF(TableRelationships12[[#This Row],[Rank Pedro]]="Medium","linkCategory2",IF(TableRelationships12[[#This Row],[Rank Pedro]]="High","linkCategory3","")))</f>
        <v/>
      </c>
      <c r="U1680" s="102" t="str">
        <f>IF(TableRelationships12[[#This Row],[Rank Pedro]]="Low","Pink",IF(TableRelationships12[[#This Row],[Rank Pedro]]="Medium","Purple",IF(TableRelationships12[[#This Row],[Rank Pedro]]="High","Brown","")))</f>
        <v/>
      </c>
      <c r="V1680" s="4" t="e">
        <f>MAX(INDEX(Standards!$F$2:$F$296,MATCH(B1680,Standards!$B$2:$B$296,0)),INDEX(Standards!$F$2:$F$296,MATCH(C1680,Standards!$B$2:$B$296,0)))</f>
        <v>#N/A</v>
      </c>
      <c r="W1680" t="str">
        <f t="shared" si="80"/>
        <v>#2f89d1</v>
      </c>
    </row>
    <row r="1681" spans="1:23" x14ac:dyDescent="0.5">
      <c r="A1681" s="54">
        <v>1680</v>
      </c>
      <c r="B1681" s="90" t="s">
        <v>1715</v>
      </c>
      <c r="C1681" t="s">
        <v>1945</v>
      </c>
      <c r="D1681" s="1"/>
      <c r="E1681" s="112">
        <v>2008.06</v>
      </c>
      <c r="F1681" s="112">
        <v>2024.02</v>
      </c>
      <c r="G1681" s="107" t="s">
        <v>1509</v>
      </c>
      <c r="H1681">
        <f>INDEX('GIS-Standards'!$A$2:$A$305,MATCH(B1681,'GIS-Standards'!$B$2:$B$305,0))</f>
        <v>77</v>
      </c>
      <c r="I1681" t="e">
        <f>INDEX('GIS-Standards'!$A$2:$A$305,MATCH(C1681,'GIS-Standards'!$B$2:$B$305,0))</f>
        <v>#N/A</v>
      </c>
      <c r="J1681" t="str">
        <f>INDEX('GIS-Standards'!$O$2:$O$305,MATCH(B1681,'GIS-Standards'!$B$2:$B$305,0))</f>
        <v>ISO/TC 268</v>
      </c>
      <c r="K1681" t="e">
        <f>INDEX('GIS-Standards'!$O$2:$O$305,MATCH(C1681,'GIS-Standards'!$B$2:$B$305,0))</f>
        <v>#N/A</v>
      </c>
      <c r="M1681" t="s">
        <v>525</v>
      </c>
      <c r="N1681">
        <f>INDEX('GIS-Standards'!$I$2:$I$305,MATCH(B1681,'GIS-Standards'!$B$2:$B$305,0))</f>
        <v>0</v>
      </c>
      <c r="O1681" t="e">
        <f>INDEX('GIS-Standards'!$I$2:$I$305,MATCH(C1681,'GIS-Standards'!$B$2:$B$305,0))</f>
        <v>#N/A</v>
      </c>
      <c r="P1681" t="e">
        <f>AND(TableRelationships12[[#This Row],[Source Type]]="BIM",TableRelationships12[[#This Row],[Target Type]]="BIM")</f>
        <v>#N/A</v>
      </c>
      <c r="Q1681">
        <f t="shared" si="78"/>
        <v>1</v>
      </c>
      <c r="S1681">
        <f t="shared" si="79"/>
        <v>1</v>
      </c>
      <c r="T1681" s="102" t="str">
        <f>IF(TableRelationships12[[#This Row],[Rank Pedro]]="Low","linkCategory1",IF(TableRelationships12[[#This Row],[Rank Pedro]]="Medium","linkCategory2",IF(TableRelationships12[[#This Row],[Rank Pedro]]="High","linkCategory3","")))</f>
        <v/>
      </c>
      <c r="U1681" s="102" t="str">
        <f>IF(TableRelationships12[[#This Row],[Rank Pedro]]="Low","Pink",IF(TableRelationships12[[#This Row],[Rank Pedro]]="Medium","Purple",IF(TableRelationships12[[#This Row],[Rank Pedro]]="High","Brown","")))</f>
        <v/>
      </c>
      <c r="V1681" s="4" t="e">
        <f>MAX(INDEX(Standards!$F$2:$F$296,MATCH(B1681,Standards!$B$2:$B$296,0)),INDEX(Standards!$F$2:$F$296,MATCH(C1681,Standards!$B$2:$B$296,0)))</f>
        <v>#N/A</v>
      </c>
      <c r="W1681" t="str">
        <f t="shared" si="80"/>
        <v>#2f89d1</v>
      </c>
    </row>
    <row r="1682" spans="1:23" x14ac:dyDescent="0.5">
      <c r="A1682" s="54">
        <v>1681</v>
      </c>
      <c r="B1682" s="90" t="s">
        <v>1715</v>
      </c>
      <c r="C1682" t="s">
        <v>1946</v>
      </c>
      <c r="D1682" s="1"/>
      <c r="E1682" s="112">
        <v>2014.02</v>
      </c>
      <c r="F1682" s="112">
        <v>2017.12</v>
      </c>
      <c r="G1682" s="107" t="s">
        <v>1509</v>
      </c>
      <c r="H1682">
        <f>INDEX('GIS-Standards'!$A$2:$A$305,MATCH(B1682,'GIS-Standards'!$B$2:$B$305,0))</f>
        <v>77</v>
      </c>
      <c r="I1682" t="e">
        <f>INDEX('GIS-Standards'!$A$2:$A$305,MATCH(C1682,'GIS-Standards'!$B$2:$B$305,0))</f>
        <v>#N/A</v>
      </c>
      <c r="J1682" t="str">
        <f>INDEX('GIS-Standards'!$O$2:$O$305,MATCH(B1682,'GIS-Standards'!$B$2:$B$305,0))</f>
        <v>ISO/TC 268</v>
      </c>
      <c r="K1682" t="e">
        <f>INDEX('GIS-Standards'!$O$2:$O$305,MATCH(C1682,'GIS-Standards'!$B$2:$B$305,0))</f>
        <v>#N/A</v>
      </c>
      <c r="M1682" t="s">
        <v>525</v>
      </c>
      <c r="N1682">
        <f>INDEX('GIS-Standards'!$I$2:$I$305,MATCH(B1682,'GIS-Standards'!$B$2:$B$305,0))</f>
        <v>0</v>
      </c>
      <c r="O1682" t="e">
        <f>INDEX('GIS-Standards'!$I$2:$I$305,MATCH(C1682,'GIS-Standards'!$B$2:$B$305,0))</f>
        <v>#N/A</v>
      </c>
      <c r="P1682" t="e">
        <f>AND(TableRelationships12[[#This Row],[Source Type]]="BIM",TableRelationships12[[#This Row],[Target Type]]="BIM")</f>
        <v>#N/A</v>
      </c>
      <c r="Q1682">
        <f t="shared" si="78"/>
        <v>1</v>
      </c>
      <c r="S1682">
        <f t="shared" si="79"/>
        <v>1</v>
      </c>
      <c r="T1682" s="102" t="str">
        <f>IF(TableRelationships12[[#This Row],[Rank Pedro]]="Low","linkCategory1",IF(TableRelationships12[[#This Row],[Rank Pedro]]="Medium","linkCategory2",IF(TableRelationships12[[#This Row],[Rank Pedro]]="High","linkCategory3","")))</f>
        <v/>
      </c>
      <c r="U1682" s="102" t="str">
        <f>IF(TableRelationships12[[#This Row],[Rank Pedro]]="Low","Pink",IF(TableRelationships12[[#This Row],[Rank Pedro]]="Medium","Purple",IF(TableRelationships12[[#This Row],[Rank Pedro]]="High","Brown","")))</f>
        <v/>
      </c>
      <c r="V1682" s="4" t="e">
        <f>MAX(INDEX(Standards!$F$2:$F$296,MATCH(B1682,Standards!$B$2:$B$296,0)),INDEX(Standards!$F$2:$F$296,MATCH(C1682,Standards!$B$2:$B$296,0)))</f>
        <v>#N/A</v>
      </c>
      <c r="W1682" t="str">
        <f t="shared" si="80"/>
        <v>#2f89d1</v>
      </c>
    </row>
    <row r="1683" spans="1:23" x14ac:dyDescent="0.5">
      <c r="A1683" s="54">
        <v>1682</v>
      </c>
      <c r="B1683" s="90" t="s">
        <v>1715</v>
      </c>
      <c r="C1683" t="s">
        <v>1947</v>
      </c>
      <c r="D1683" s="1"/>
      <c r="G1683" s="107"/>
      <c r="H1683">
        <f>INDEX('GIS-Standards'!$A$2:$A$305,MATCH(B1683,'GIS-Standards'!$B$2:$B$305,0))</f>
        <v>77</v>
      </c>
      <c r="I1683" t="e">
        <f>INDEX('GIS-Standards'!$A$2:$A$305,MATCH(C1683,'GIS-Standards'!$B$2:$B$305,0))</f>
        <v>#N/A</v>
      </c>
      <c r="J1683" t="str">
        <f>INDEX('GIS-Standards'!$O$2:$O$305,MATCH(B1683,'GIS-Standards'!$B$2:$B$305,0))</f>
        <v>ISO/TC 268</v>
      </c>
      <c r="K1683" t="e">
        <f>INDEX('GIS-Standards'!$O$2:$O$305,MATCH(C1683,'GIS-Standards'!$B$2:$B$305,0))</f>
        <v>#N/A</v>
      </c>
      <c r="M1683" t="s">
        <v>525</v>
      </c>
      <c r="N1683">
        <f>INDEX('GIS-Standards'!$I$2:$I$305,MATCH(B1683,'GIS-Standards'!$B$2:$B$305,0))</f>
        <v>0</v>
      </c>
      <c r="O1683" t="e">
        <f>INDEX('GIS-Standards'!$I$2:$I$305,MATCH(C1683,'GIS-Standards'!$B$2:$B$305,0))</f>
        <v>#N/A</v>
      </c>
      <c r="P1683" t="e">
        <f>AND(TableRelationships12[[#This Row],[Source Type]]="BIM",TableRelationships12[[#This Row],[Target Type]]="BIM")</f>
        <v>#N/A</v>
      </c>
      <c r="Q1683">
        <f t="shared" si="78"/>
        <v>1</v>
      </c>
      <c r="S1683">
        <f t="shared" si="79"/>
        <v>1</v>
      </c>
      <c r="T1683" s="102" t="str">
        <f>IF(TableRelationships12[[#This Row],[Rank Pedro]]="Low","linkCategory1",IF(TableRelationships12[[#This Row],[Rank Pedro]]="Medium","linkCategory2",IF(TableRelationships12[[#This Row],[Rank Pedro]]="High","linkCategory3","")))</f>
        <v/>
      </c>
      <c r="U1683" s="102" t="str">
        <f>IF(TableRelationships12[[#This Row],[Rank Pedro]]="Low","Pink",IF(TableRelationships12[[#This Row],[Rank Pedro]]="Medium","Purple",IF(TableRelationships12[[#This Row],[Rank Pedro]]="High","Brown","")))</f>
        <v/>
      </c>
      <c r="V1683" s="4" t="e">
        <f>MAX(INDEX(Standards!$F$2:$F$296,MATCH(B1683,Standards!$B$2:$B$296,0)),INDEX(Standards!$F$2:$F$296,MATCH(C1683,Standards!$B$2:$B$296,0)))</f>
        <v>#N/A</v>
      </c>
      <c r="W1683" t="str">
        <f t="shared" si="80"/>
        <v>#2f89d1</v>
      </c>
    </row>
    <row r="1684" spans="1:23" x14ac:dyDescent="0.5">
      <c r="A1684" s="54">
        <v>1683</v>
      </c>
      <c r="B1684" s="90" t="s">
        <v>1715</v>
      </c>
      <c r="C1684" t="s">
        <v>1948</v>
      </c>
      <c r="D1684" s="1"/>
      <c r="G1684" s="107"/>
      <c r="H1684">
        <f>INDEX('GIS-Standards'!$A$2:$A$305,MATCH(B1684,'GIS-Standards'!$B$2:$B$305,0))</f>
        <v>77</v>
      </c>
      <c r="I1684" t="e">
        <f>INDEX('GIS-Standards'!$A$2:$A$305,MATCH(C1684,'GIS-Standards'!$B$2:$B$305,0))</f>
        <v>#N/A</v>
      </c>
      <c r="J1684" t="str">
        <f>INDEX('GIS-Standards'!$O$2:$O$305,MATCH(B1684,'GIS-Standards'!$B$2:$B$305,0))</f>
        <v>ISO/TC 268</v>
      </c>
      <c r="K1684" t="e">
        <f>INDEX('GIS-Standards'!$O$2:$O$305,MATCH(C1684,'GIS-Standards'!$B$2:$B$305,0))</f>
        <v>#N/A</v>
      </c>
      <c r="M1684" t="s">
        <v>525</v>
      </c>
      <c r="N1684">
        <f>INDEX('GIS-Standards'!$I$2:$I$305,MATCH(B1684,'GIS-Standards'!$B$2:$B$305,0))</f>
        <v>0</v>
      </c>
      <c r="O1684" t="e">
        <f>INDEX('GIS-Standards'!$I$2:$I$305,MATCH(C1684,'GIS-Standards'!$B$2:$B$305,0))</f>
        <v>#N/A</v>
      </c>
      <c r="P1684" t="e">
        <f>AND(TableRelationships12[[#This Row],[Source Type]]="BIM",TableRelationships12[[#This Row],[Target Type]]="BIM")</f>
        <v>#N/A</v>
      </c>
      <c r="Q1684">
        <f t="shared" si="78"/>
        <v>1</v>
      </c>
      <c r="S1684">
        <f t="shared" si="79"/>
        <v>1</v>
      </c>
      <c r="T1684" s="102" t="str">
        <f>IF(TableRelationships12[[#This Row],[Rank Pedro]]="Low","linkCategory1",IF(TableRelationships12[[#This Row],[Rank Pedro]]="Medium","linkCategory2",IF(TableRelationships12[[#This Row],[Rank Pedro]]="High","linkCategory3","")))</f>
        <v/>
      </c>
      <c r="U1684" s="102" t="str">
        <f>IF(TableRelationships12[[#This Row],[Rank Pedro]]="Low","Pink",IF(TableRelationships12[[#This Row],[Rank Pedro]]="Medium","Purple",IF(TableRelationships12[[#This Row],[Rank Pedro]]="High","Brown","")))</f>
        <v/>
      </c>
      <c r="V1684" s="4" t="e">
        <f>MAX(INDEX(Standards!$F$2:$F$296,MATCH(B1684,Standards!$B$2:$B$296,0)),INDEX(Standards!$F$2:$F$296,MATCH(C1684,Standards!$B$2:$B$296,0)))</f>
        <v>#N/A</v>
      </c>
      <c r="W1684" t="str">
        <f t="shared" si="80"/>
        <v>#2f89d1</v>
      </c>
    </row>
    <row r="1685" spans="1:23" x14ac:dyDescent="0.5">
      <c r="A1685" s="54">
        <v>1684</v>
      </c>
      <c r="B1685" s="90" t="s">
        <v>1715</v>
      </c>
      <c r="C1685" t="s">
        <v>1949</v>
      </c>
      <c r="D1685" s="1"/>
      <c r="G1685" s="107"/>
      <c r="H1685">
        <f>INDEX('GIS-Standards'!$A$2:$A$305,MATCH(B1685,'GIS-Standards'!$B$2:$B$305,0))</f>
        <v>77</v>
      </c>
      <c r="I1685" t="e">
        <f>INDEX('GIS-Standards'!$A$2:$A$305,MATCH(C1685,'GIS-Standards'!$B$2:$B$305,0))</f>
        <v>#N/A</v>
      </c>
      <c r="J1685" t="str">
        <f>INDEX('GIS-Standards'!$O$2:$O$305,MATCH(B1685,'GIS-Standards'!$B$2:$B$305,0))</f>
        <v>ISO/TC 268</v>
      </c>
      <c r="K1685" t="e">
        <f>INDEX('GIS-Standards'!$O$2:$O$305,MATCH(C1685,'GIS-Standards'!$B$2:$B$305,0))</f>
        <v>#N/A</v>
      </c>
      <c r="M1685" t="s">
        <v>525</v>
      </c>
      <c r="N1685">
        <f>INDEX('GIS-Standards'!$I$2:$I$305,MATCH(B1685,'GIS-Standards'!$B$2:$B$305,0))</f>
        <v>0</v>
      </c>
      <c r="O1685" t="e">
        <f>INDEX('GIS-Standards'!$I$2:$I$305,MATCH(C1685,'GIS-Standards'!$B$2:$B$305,0))</f>
        <v>#N/A</v>
      </c>
      <c r="P1685" t="e">
        <f>AND(TableRelationships12[[#This Row],[Source Type]]="BIM",TableRelationships12[[#This Row],[Target Type]]="BIM")</f>
        <v>#N/A</v>
      </c>
      <c r="Q1685">
        <f t="shared" si="78"/>
        <v>1</v>
      </c>
      <c r="S1685">
        <f t="shared" si="79"/>
        <v>1</v>
      </c>
      <c r="T1685" s="102" t="str">
        <f>IF(TableRelationships12[[#This Row],[Rank Pedro]]="Low","linkCategory1",IF(TableRelationships12[[#This Row],[Rank Pedro]]="Medium","linkCategory2",IF(TableRelationships12[[#This Row],[Rank Pedro]]="High","linkCategory3","")))</f>
        <v/>
      </c>
      <c r="U1685" s="102" t="str">
        <f>IF(TableRelationships12[[#This Row],[Rank Pedro]]="Low","Pink",IF(TableRelationships12[[#This Row],[Rank Pedro]]="Medium","Purple",IF(TableRelationships12[[#This Row],[Rank Pedro]]="High","Brown","")))</f>
        <v/>
      </c>
      <c r="V1685" s="4" t="e">
        <f>MAX(INDEX(Standards!$F$2:$F$296,MATCH(B1685,Standards!$B$2:$B$296,0)),INDEX(Standards!$F$2:$F$296,MATCH(C1685,Standards!$B$2:$B$296,0)))</f>
        <v>#N/A</v>
      </c>
      <c r="W1685" t="str">
        <f t="shared" si="80"/>
        <v>#2f89d1</v>
      </c>
    </row>
    <row r="1686" spans="1:23" x14ac:dyDescent="0.5">
      <c r="A1686" s="54">
        <v>1685</v>
      </c>
      <c r="B1686" s="90" t="s">
        <v>1715</v>
      </c>
      <c r="C1686" t="s">
        <v>1950</v>
      </c>
      <c r="D1686" s="1"/>
      <c r="G1686" s="107"/>
      <c r="H1686">
        <f>INDEX('GIS-Standards'!$A$2:$A$305,MATCH(B1686,'GIS-Standards'!$B$2:$B$305,0))</f>
        <v>77</v>
      </c>
      <c r="I1686" t="e">
        <f>INDEX('GIS-Standards'!$A$2:$A$305,MATCH(C1686,'GIS-Standards'!$B$2:$B$305,0))</f>
        <v>#N/A</v>
      </c>
      <c r="J1686" t="str">
        <f>INDEX('GIS-Standards'!$O$2:$O$305,MATCH(B1686,'GIS-Standards'!$B$2:$B$305,0))</f>
        <v>ISO/TC 268</v>
      </c>
      <c r="K1686" t="e">
        <f>INDEX('GIS-Standards'!$O$2:$O$305,MATCH(C1686,'GIS-Standards'!$B$2:$B$305,0))</f>
        <v>#N/A</v>
      </c>
      <c r="M1686" t="s">
        <v>525</v>
      </c>
      <c r="N1686">
        <f>INDEX('GIS-Standards'!$I$2:$I$305,MATCH(B1686,'GIS-Standards'!$B$2:$B$305,0))</f>
        <v>0</v>
      </c>
      <c r="O1686" t="e">
        <f>INDEX('GIS-Standards'!$I$2:$I$305,MATCH(C1686,'GIS-Standards'!$B$2:$B$305,0))</f>
        <v>#N/A</v>
      </c>
      <c r="P1686" t="e">
        <f>AND(TableRelationships12[[#This Row],[Source Type]]="BIM",TableRelationships12[[#This Row],[Target Type]]="BIM")</f>
        <v>#N/A</v>
      </c>
      <c r="Q1686">
        <f t="shared" si="78"/>
        <v>1</v>
      </c>
      <c r="S1686">
        <f t="shared" si="79"/>
        <v>1</v>
      </c>
      <c r="T1686" s="102" t="str">
        <f>IF(TableRelationships12[[#This Row],[Rank Pedro]]="Low","linkCategory1",IF(TableRelationships12[[#This Row],[Rank Pedro]]="Medium","linkCategory2",IF(TableRelationships12[[#This Row],[Rank Pedro]]="High","linkCategory3","")))</f>
        <v/>
      </c>
      <c r="U1686" s="102" t="str">
        <f>IF(TableRelationships12[[#This Row],[Rank Pedro]]="Low","Pink",IF(TableRelationships12[[#This Row],[Rank Pedro]]="Medium","Purple",IF(TableRelationships12[[#This Row],[Rank Pedro]]="High","Brown","")))</f>
        <v/>
      </c>
      <c r="V1686" s="4" t="e">
        <f>MAX(INDEX(Standards!$F$2:$F$296,MATCH(B1686,Standards!$B$2:$B$296,0)),INDEX(Standards!$F$2:$F$296,MATCH(C1686,Standards!$B$2:$B$296,0)))</f>
        <v>#N/A</v>
      </c>
      <c r="W1686" t="str">
        <f t="shared" si="80"/>
        <v>#2f89d1</v>
      </c>
    </row>
    <row r="1687" spans="1:23" x14ac:dyDescent="0.5">
      <c r="A1687" s="54">
        <v>1686</v>
      </c>
      <c r="B1687" s="90" t="s">
        <v>1706</v>
      </c>
      <c r="C1687" t="s">
        <v>527</v>
      </c>
      <c r="D1687" s="1"/>
      <c r="E1687" s="112">
        <v>2022.02</v>
      </c>
      <c r="F1687" s="112">
        <v>2022.02</v>
      </c>
      <c r="G1687" s="121" t="s">
        <v>1914</v>
      </c>
      <c r="H1687">
        <f>INDEX('GIS-Standards'!$A$2:$A$305,MATCH(B1687,'GIS-Standards'!$B$2:$B$305,0))</f>
        <v>78</v>
      </c>
      <c r="I1687" t="e">
        <f>INDEX('GIS-Standards'!$A$2:$A$305,MATCH(C1687,'GIS-Standards'!$B$2:$B$305,0))</f>
        <v>#N/A</v>
      </c>
      <c r="J1687" t="str">
        <f>INDEX('GIS-Standards'!$O$2:$O$305,MATCH(B1687,'GIS-Standards'!$B$2:$B$305,0))</f>
        <v>ISO/TC 268/SC 1</v>
      </c>
      <c r="K1687" t="e">
        <f>INDEX('GIS-Standards'!$O$2:$O$305,MATCH(C1687,'GIS-Standards'!$B$2:$B$305,0))</f>
        <v>#N/A</v>
      </c>
      <c r="M1687" t="s">
        <v>237</v>
      </c>
      <c r="N1687">
        <f>INDEX('GIS-Standards'!$I$2:$I$305,MATCH(B1687,'GIS-Standards'!$B$2:$B$305,0))</f>
        <v>0</v>
      </c>
      <c r="O1687" t="e">
        <f>INDEX('GIS-Standards'!$I$2:$I$305,MATCH(C1687,'GIS-Standards'!$B$2:$B$305,0))</f>
        <v>#N/A</v>
      </c>
      <c r="P1687" t="e">
        <f>AND(TableRelationships12[[#This Row],[Source Type]]="BIM",TableRelationships12[[#This Row],[Target Type]]="BIM")</f>
        <v>#N/A</v>
      </c>
      <c r="Q1687">
        <f t="shared" si="78"/>
        <v>2</v>
      </c>
      <c r="S1687">
        <f t="shared" si="79"/>
        <v>1</v>
      </c>
      <c r="T1687" s="102" t="str">
        <f>IF(TableRelationships12[[#This Row],[Rank Pedro]]="Low","linkCategory1",IF(TableRelationships12[[#This Row],[Rank Pedro]]="Medium","linkCategory2",IF(TableRelationships12[[#This Row],[Rank Pedro]]="High","linkCategory3","")))</f>
        <v/>
      </c>
      <c r="U1687" s="102" t="str">
        <f>IF(TableRelationships12[[#This Row],[Rank Pedro]]="Low","Pink",IF(TableRelationships12[[#This Row],[Rank Pedro]]="Medium","Purple",IF(TableRelationships12[[#This Row],[Rank Pedro]]="High","Brown","")))</f>
        <v/>
      </c>
      <c r="V1687" s="4" t="e">
        <f>MAX(INDEX(Standards!$F$2:$F$296,MATCH(B1687,Standards!$B$2:$B$296,0)),INDEX(Standards!$F$2:$F$296,MATCH(C1687,Standards!$B$2:$B$296,0)))</f>
        <v>#N/A</v>
      </c>
      <c r="W1687">
        <f t="shared" si="80"/>
        <v>1</v>
      </c>
    </row>
    <row r="1688" spans="1:23" x14ac:dyDescent="0.5">
      <c r="A1688" s="54">
        <v>1687</v>
      </c>
      <c r="B1688" s="90" t="s">
        <v>1706</v>
      </c>
      <c r="C1688" t="s">
        <v>474</v>
      </c>
      <c r="D1688" s="1"/>
      <c r="E1688" s="113">
        <v>1974.12</v>
      </c>
      <c r="F1688" s="113">
        <v>2022.1</v>
      </c>
      <c r="G1688" s="107" t="s">
        <v>1511</v>
      </c>
      <c r="H1688">
        <f>INDEX('GIS-Standards'!$A$2:$A$305,MATCH(B1688,'GIS-Standards'!$B$2:$B$305,0))</f>
        <v>78</v>
      </c>
      <c r="I1688" t="e">
        <f>INDEX('GIS-Standards'!$A$2:$A$305,MATCH(C1688,'GIS-Standards'!$B$2:$B$305,0))</f>
        <v>#N/A</v>
      </c>
      <c r="J1688" t="str">
        <f>INDEX('GIS-Standards'!$O$2:$O$305,MATCH(B1688,'GIS-Standards'!$B$2:$B$305,0))</f>
        <v>ISO/TC 268/SC 1</v>
      </c>
      <c r="K1688" t="e">
        <f>INDEX('GIS-Standards'!$O$2:$O$305,MATCH(C1688,'GIS-Standards'!$B$2:$B$305,0))</f>
        <v>#N/A</v>
      </c>
      <c r="M1688" t="s">
        <v>525</v>
      </c>
      <c r="N1688">
        <f>INDEX('GIS-Standards'!$I$2:$I$305,MATCH(B1688,'GIS-Standards'!$B$2:$B$305,0))</f>
        <v>0</v>
      </c>
      <c r="O1688" t="e">
        <f>INDEX('GIS-Standards'!$I$2:$I$305,MATCH(C1688,'GIS-Standards'!$B$2:$B$305,0))</f>
        <v>#N/A</v>
      </c>
      <c r="P1688" t="e">
        <f>AND(TableRelationships12[[#This Row],[Source Type]]="BIM",TableRelationships12[[#This Row],[Target Type]]="BIM")</f>
        <v>#N/A</v>
      </c>
      <c r="Q1688">
        <f t="shared" si="78"/>
        <v>1</v>
      </c>
      <c r="S1688">
        <f t="shared" si="79"/>
        <v>1</v>
      </c>
      <c r="T1688" s="102" t="str">
        <f>IF(TableRelationships12[[#This Row],[Rank Pedro]]="Low","linkCategory1",IF(TableRelationships12[[#This Row],[Rank Pedro]]="Medium","linkCategory2",IF(TableRelationships12[[#This Row],[Rank Pedro]]="High","linkCategory3","")))</f>
        <v/>
      </c>
      <c r="U1688" s="102" t="str">
        <f>IF(TableRelationships12[[#This Row],[Rank Pedro]]="Low","Pink",IF(TableRelationships12[[#This Row],[Rank Pedro]]="Medium","Purple",IF(TableRelationships12[[#This Row],[Rank Pedro]]="High","Brown","")))</f>
        <v/>
      </c>
      <c r="V1688" s="4" t="e">
        <f>MAX(INDEX(Standards!$F$2:$F$296,MATCH(B1688,Standards!$B$2:$B$296,0)),INDEX(Standards!$F$2:$F$296,MATCH(C1688,Standards!$B$2:$B$296,0)))</f>
        <v>#N/A</v>
      </c>
      <c r="W1688" t="str">
        <f t="shared" si="80"/>
        <v>#2f89d1</v>
      </c>
    </row>
    <row r="1689" spans="1:23" x14ac:dyDescent="0.5">
      <c r="A1689" s="54">
        <v>1688</v>
      </c>
      <c r="B1689" s="90" t="s">
        <v>1706</v>
      </c>
      <c r="C1689" t="s">
        <v>1076</v>
      </c>
      <c r="D1689" s="1"/>
      <c r="E1689" s="111">
        <v>1983.12</v>
      </c>
      <c r="F1689" s="111">
        <v>2017.05</v>
      </c>
      <c r="G1689" s="109" t="s">
        <v>1485</v>
      </c>
      <c r="H1689">
        <f>INDEX('GIS-Standards'!$A$2:$A$305,MATCH(B1689,'GIS-Standards'!$B$2:$B$305,0))</f>
        <v>78</v>
      </c>
      <c r="I1689" t="e">
        <f>INDEX('GIS-Standards'!$A$2:$A$305,MATCH(C1689,'GIS-Standards'!$B$2:$B$305,0))</f>
        <v>#N/A</v>
      </c>
      <c r="J1689" t="str">
        <f>INDEX('GIS-Standards'!$O$2:$O$305,MATCH(B1689,'GIS-Standards'!$B$2:$B$305,0))</f>
        <v>ISO/TC 268/SC 1</v>
      </c>
      <c r="K1689" t="e">
        <f>INDEX('GIS-Standards'!$O$2:$O$305,MATCH(C1689,'GIS-Standards'!$B$2:$B$305,0))</f>
        <v>#N/A</v>
      </c>
      <c r="M1689" t="s">
        <v>525</v>
      </c>
      <c r="N1689">
        <f>INDEX('GIS-Standards'!$I$2:$I$305,MATCH(B1689,'GIS-Standards'!$B$2:$B$305,0))</f>
        <v>0</v>
      </c>
      <c r="O1689" t="e">
        <f>INDEX('GIS-Standards'!$I$2:$I$305,MATCH(C1689,'GIS-Standards'!$B$2:$B$305,0))</f>
        <v>#N/A</v>
      </c>
      <c r="P1689" t="e">
        <f>AND(TableRelationships12[[#This Row],[Source Type]]="BIM",TableRelationships12[[#This Row],[Target Type]]="BIM")</f>
        <v>#N/A</v>
      </c>
      <c r="Q1689">
        <f t="shared" si="78"/>
        <v>1</v>
      </c>
      <c r="S1689">
        <f t="shared" si="79"/>
        <v>1</v>
      </c>
      <c r="T1689" s="102" t="str">
        <f>IF(TableRelationships12[[#This Row],[Rank Pedro]]="Low","linkCategory1",IF(TableRelationships12[[#This Row],[Rank Pedro]]="Medium","linkCategory2",IF(TableRelationships12[[#This Row],[Rank Pedro]]="High","linkCategory3","")))</f>
        <v/>
      </c>
      <c r="U1689" s="102" t="str">
        <f>IF(TableRelationships12[[#This Row],[Rank Pedro]]="Low","Pink",IF(TableRelationships12[[#This Row],[Rank Pedro]]="Medium","Purple",IF(TableRelationships12[[#This Row],[Rank Pedro]]="High","Brown","")))</f>
        <v/>
      </c>
      <c r="V1689" s="4" t="e">
        <f>MAX(INDEX(Standards!$F$2:$F$296,MATCH(B1689,Standards!$B$2:$B$296,0)),INDEX(Standards!$F$2:$F$296,MATCH(C1689,Standards!$B$2:$B$296,0)))</f>
        <v>#N/A</v>
      </c>
      <c r="W1689" t="str">
        <f t="shared" si="80"/>
        <v>#2f89d1</v>
      </c>
    </row>
    <row r="1690" spans="1:23" x14ac:dyDescent="0.5">
      <c r="A1690" s="54">
        <v>1689</v>
      </c>
      <c r="B1690" s="90" t="s">
        <v>1706</v>
      </c>
      <c r="C1690" t="s">
        <v>1216</v>
      </c>
      <c r="D1690" s="1"/>
      <c r="E1690" s="112">
        <v>2009.12</v>
      </c>
      <c r="F1690" s="112">
        <v>2022.09</v>
      </c>
      <c r="G1690" s="107" t="s">
        <v>1490</v>
      </c>
      <c r="H1690">
        <f>INDEX('GIS-Standards'!$A$2:$A$305,MATCH(B1690,'GIS-Standards'!$B$2:$B$305,0))</f>
        <v>78</v>
      </c>
      <c r="I1690" t="e">
        <f>INDEX('GIS-Standards'!$A$2:$A$305,MATCH(C1690,'GIS-Standards'!$B$2:$B$305,0))</f>
        <v>#N/A</v>
      </c>
      <c r="J1690" t="str">
        <f>INDEX('GIS-Standards'!$O$2:$O$305,MATCH(B1690,'GIS-Standards'!$B$2:$B$305,0))</f>
        <v>ISO/TC 268/SC 1</v>
      </c>
      <c r="K1690" t="e">
        <f>INDEX('GIS-Standards'!$O$2:$O$305,MATCH(C1690,'GIS-Standards'!$B$2:$B$305,0))</f>
        <v>#N/A</v>
      </c>
      <c r="M1690" t="s">
        <v>525</v>
      </c>
      <c r="N1690">
        <f>INDEX('GIS-Standards'!$I$2:$I$305,MATCH(B1690,'GIS-Standards'!$B$2:$B$305,0))</f>
        <v>0</v>
      </c>
      <c r="O1690" t="e">
        <f>INDEX('GIS-Standards'!$I$2:$I$305,MATCH(C1690,'GIS-Standards'!$B$2:$B$305,0))</f>
        <v>#N/A</v>
      </c>
      <c r="P1690" t="e">
        <f>AND(TableRelationships12[[#This Row],[Source Type]]="BIM",TableRelationships12[[#This Row],[Target Type]]="BIM")</f>
        <v>#N/A</v>
      </c>
      <c r="Q1690">
        <f t="shared" si="78"/>
        <v>1</v>
      </c>
      <c r="S1690">
        <f t="shared" si="79"/>
        <v>1</v>
      </c>
      <c r="T1690" s="102" t="str">
        <f>IF(TableRelationships12[[#This Row],[Rank Pedro]]="Low","linkCategory1",IF(TableRelationships12[[#This Row],[Rank Pedro]]="Medium","linkCategory2",IF(TableRelationships12[[#This Row],[Rank Pedro]]="High","linkCategory3","")))</f>
        <v/>
      </c>
      <c r="U1690" s="102" t="str">
        <f>IF(TableRelationships12[[#This Row],[Rank Pedro]]="Low","Pink",IF(TableRelationships12[[#This Row],[Rank Pedro]]="Medium","Purple",IF(TableRelationships12[[#This Row],[Rank Pedro]]="High","Brown","")))</f>
        <v/>
      </c>
      <c r="V1690" s="4" t="e">
        <f>MAX(INDEX(Standards!$F$2:$F$296,MATCH(B1690,Standards!$B$2:$B$296,0)),INDEX(Standards!$F$2:$F$296,MATCH(C1690,Standards!$B$2:$B$296,0)))</f>
        <v>#N/A</v>
      </c>
      <c r="W1690" t="str">
        <f t="shared" si="80"/>
        <v>#2f89d1</v>
      </c>
    </row>
    <row r="1691" spans="1:23" x14ac:dyDescent="0.5">
      <c r="A1691" s="54">
        <v>1690</v>
      </c>
      <c r="B1691" s="90" t="s">
        <v>1706</v>
      </c>
      <c r="C1691" t="s">
        <v>1171</v>
      </c>
      <c r="D1691" s="1"/>
      <c r="E1691" s="112">
        <v>1986.06</v>
      </c>
      <c r="F1691" s="112">
        <v>2015.09</v>
      </c>
      <c r="G1691" s="107" t="s">
        <v>1491</v>
      </c>
      <c r="H1691">
        <f>INDEX('GIS-Standards'!$A$2:$A$305,MATCH(B1691,'GIS-Standards'!$B$2:$B$305,0))</f>
        <v>78</v>
      </c>
      <c r="I1691" t="e">
        <f>INDEX('GIS-Standards'!$A$2:$A$305,MATCH(C1691,'GIS-Standards'!$B$2:$B$305,0))</f>
        <v>#N/A</v>
      </c>
      <c r="J1691" t="str">
        <f>INDEX('GIS-Standards'!$O$2:$O$305,MATCH(B1691,'GIS-Standards'!$B$2:$B$305,0))</f>
        <v>ISO/TC 268/SC 1</v>
      </c>
      <c r="K1691" t="e">
        <f>INDEX('GIS-Standards'!$O$2:$O$305,MATCH(C1691,'GIS-Standards'!$B$2:$B$305,0))</f>
        <v>#N/A</v>
      </c>
      <c r="M1691" t="s">
        <v>525</v>
      </c>
      <c r="N1691">
        <f>INDEX('GIS-Standards'!$I$2:$I$305,MATCH(B1691,'GIS-Standards'!$B$2:$B$305,0))</f>
        <v>0</v>
      </c>
      <c r="O1691" t="e">
        <f>INDEX('GIS-Standards'!$I$2:$I$305,MATCH(C1691,'GIS-Standards'!$B$2:$B$305,0))</f>
        <v>#N/A</v>
      </c>
      <c r="P1691" t="e">
        <f>AND(TableRelationships12[[#This Row],[Source Type]]="BIM",TableRelationships12[[#This Row],[Target Type]]="BIM")</f>
        <v>#N/A</v>
      </c>
      <c r="Q1691">
        <f t="shared" si="78"/>
        <v>1</v>
      </c>
      <c r="S1691">
        <f t="shared" si="79"/>
        <v>1</v>
      </c>
      <c r="T1691" s="102" t="str">
        <f>IF(TableRelationships12[[#This Row],[Rank Pedro]]="Low","linkCategory1",IF(TableRelationships12[[#This Row],[Rank Pedro]]="Medium","linkCategory2",IF(TableRelationships12[[#This Row],[Rank Pedro]]="High","linkCategory3","")))</f>
        <v/>
      </c>
      <c r="U1691" s="102" t="str">
        <f>IF(TableRelationships12[[#This Row],[Rank Pedro]]="Low","Pink",IF(TableRelationships12[[#This Row],[Rank Pedro]]="Medium","Purple",IF(TableRelationships12[[#This Row],[Rank Pedro]]="High","Brown","")))</f>
        <v/>
      </c>
      <c r="V1691" s="4" t="e">
        <f>MAX(INDEX(Standards!$F$2:$F$296,MATCH(B1691,Standards!$B$2:$B$296,0)),INDEX(Standards!$F$2:$F$296,MATCH(C1691,Standards!$B$2:$B$296,0)))</f>
        <v>#N/A</v>
      </c>
      <c r="W1691" t="str">
        <f t="shared" si="80"/>
        <v>#2f89d1</v>
      </c>
    </row>
    <row r="1692" spans="1:23" x14ac:dyDescent="0.5">
      <c r="A1692" s="54">
        <v>1691</v>
      </c>
      <c r="B1692" s="90" t="s">
        <v>1706</v>
      </c>
      <c r="C1692" t="s">
        <v>1915</v>
      </c>
      <c r="D1692" s="1"/>
      <c r="E1692" s="112">
        <v>2011.08</v>
      </c>
      <c r="F1692" s="112">
        <v>2019.07</v>
      </c>
      <c r="G1692" s="107" t="s">
        <v>2036</v>
      </c>
      <c r="H1692">
        <f>INDEX('GIS-Standards'!$A$2:$A$305,MATCH(B1692,'GIS-Standards'!$B$2:$B$305,0))</f>
        <v>78</v>
      </c>
      <c r="I1692" t="e">
        <f>INDEX('GIS-Standards'!$A$2:$A$305,MATCH(C1692,'GIS-Standards'!$B$2:$B$305,0))</f>
        <v>#N/A</v>
      </c>
      <c r="J1692" t="str">
        <f>INDEX('GIS-Standards'!$O$2:$O$305,MATCH(B1692,'GIS-Standards'!$B$2:$B$305,0))</f>
        <v>ISO/TC 268/SC 1</v>
      </c>
      <c r="K1692" t="e">
        <f>INDEX('GIS-Standards'!$O$2:$O$305,MATCH(C1692,'GIS-Standards'!$B$2:$B$305,0))</f>
        <v>#N/A</v>
      </c>
      <c r="M1692" t="s">
        <v>525</v>
      </c>
      <c r="N1692">
        <f>INDEX('GIS-Standards'!$I$2:$I$305,MATCH(B1692,'GIS-Standards'!$B$2:$B$305,0))</f>
        <v>0</v>
      </c>
      <c r="O1692" t="e">
        <f>INDEX('GIS-Standards'!$I$2:$I$305,MATCH(C1692,'GIS-Standards'!$B$2:$B$305,0))</f>
        <v>#N/A</v>
      </c>
      <c r="P1692" t="e">
        <f>AND(TableRelationships12[[#This Row],[Source Type]]="BIM",TableRelationships12[[#This Row],[Target Type]]="BIM")</f>
        <v>#N/A</v>
      </c>
      <c r="Q1692">
        <f t="shared" si="78"/>
        <v>1</v>
      </c>
      <c r="S1692">
        <f t="shared" si="79"/>
        <v>1</v>
      </c>
      <c r="T1692" s="102" t="str">
        <f>IF(TableRelationships12[[#This Row],[Rank Pedro]]="Low","linkCategory1",IF(TableRelationships12[[#This Row],[Rank Pedro]]="Medium","linkCategory2",IF(TableRelationships12[[#This Row],[Rank Pedro]]="High","linkCategory3","")))</f>
        <v/>
      </c>
      <c r="U1692" s="102" t="str">
        <f>IF(TableRelationships12[[#This Row],[Rank Pedro]]="Low","Pink",IF(TableRelationships12[[#This Row],[Rank Pedro]]="Medium","Purple",IF(TableRelationships12[[#This Row],[Rank Pedro]]="High","Brown","")))</f>
        <v/>
      </c>
      <c r="V1692" s="4" t="e">
        <f>MAX(INDEX(Standards!$F$2:$F$296,MATCH(B1692,Standards!$B$2:$B$296,0)),INDEX(Standards!$F$2:$F$296,MATCH(C1692,Standards!$B$2:$B$296,0)))</f>
        <v>#N/A</v>
      </c>
      <c r="W1692" t="str">
        <f t="shared" si="80"/>
        <v>#2f89d1</v>
      </c>
    </row>
    <row r="1693" spans="1:23" x14ac:dyDescent="0.5">
      <c r="A1693" s="54">
        <v>1692</v>
      </c>
      <c r="B1693" s="90" t="s">
        <v>1706</v>
      </c>
      <c r="C1693" t="s">
        <v>158</v>
      </c>
      <c r="D1693" s="1"/>
      <c r="E1693" s="112">
        <v>2007.03</v>
      </c>
      <c r="F1693" s="112">
        <v>2014.02</v>
      </c>
      <c r="G1693" s="107" t="s">
        <v>2049</v>
      </c>
      <c r="H1693">
        <f>INDEX('GIS-Standards'!$A$2:$A$305,MATCH(B1693,'GIS-Standards'!$B$2:$B$305,0))</f>
        <v>78</v>
      </c>
      <c r="I1693" t="e">
        <f>INDEX('GIS-Standards'!$A$2:$A$305,MATCH(C1693,'GIS-Standards'!$B$2:$B$305,0))</f>
        <v>#N/A</v>
      </c>
      <c r="J1693" t="str">
        <f>INDEX('GIS-Standards'!$O$2:$O$305,MATCH(B1693,'GIS-Standards'!$B$2:$B$305,0))</f>
        <v>ISO/TC 268/SC 1</v>
      </c>
      <c r="K1693" t="e">
        <f>INDEX('GIS-Standards'!$O$2:$O$305,MATCH(C1693,'GIS-Standards'!$B$2:$B$305,0))</f>
        <v>#N/A</v>
      </c>
      <c r="M1693" t="s">
        <v>525</v>
      </c>
      <c r="N1693">
        <f>INDEX('GIS-Standards'!$I$2:$I$305,MATCH(B1693,'GIS-Standards'!$B$2:$B$305,0))</f>
        <v>0</v>
      </c>
      <c r="O1693" t="e">
        <f>INDEX('GIS-Standards'!$I$2:$I$305,MATCH(C1693,'GIS-Standards'!$B$2:$B$305,0))</f>
        <v>#N/A</v>
      </c>
      <c r="P1693" t="e">
        <f>AND(TableRelationships12[[#This Row],[Source Type]]="BIM",TableRelationships12[[#This Row],[Target Type]]="BIM")</f>
        <v>#N/A</v>
      </c>
      <c r="Q1693">
        <f t="shared" si="78"/>
        <v>1</v>
      </c>
      <c r="S1693">
        <f t="shared" si="79"/>
        <v>1</v>
      </c>
      <c r="T1693" s="102" t="str">
        <f>IF(TableRelationships12[[#This Row],[Rank Pedro]]="Low","linkCategory1",IF(TableRelationships12[[#This Row],[Rank Pedro]]="Medium","linkCategory2",IF(TableRelationships12[[#This Row],[Rank Pedro]]="High","linkCategory3","")))</f>
        <v/>
      </c>
      <c r="U1693" s="102" t="str">
        <f>IF(TableRelationships12[[#This Row],[Rank Pedro]]="Low","Pink",IF(TableRelationships12[[#This Row],[Rank Pedro]]="Medium","Purple",IF(TableRelationships12[[#This Row],[Rank Pedro]]="High","Brown","")))</f>
        <v/>
      </c>
      <c r="V1693" s="4" t="e">
        <f>MAX(INDEX(Standards!$F$2:$F$296,MATCH(B1693,Standards!$B$2:$B$296,0)),INDEX(Standards!$F$2:$F$296,MATCH(C1693,Standards!$B$2:$B$296,0)))</f>
        <v>#N/A</v>
      </c>
      <c r="W1693" t="str">
        <f t="shared" si="80"/>
        <v>#2f89d1</v>
      </c>
    </row>
    <row r="1694" spans="1:23" x14ac:dyDescent="0.5">
      <c r="A1694" s="54">
        <v>1693</v>
      </c>
      <c r="B1694" s="90" t="s">
        <v>1706</v>
      </c>
      <c r="C1694" t="s">
        <v>1916</v>
      </c>
      <c r="D1694" s="1"/>
      <c r="E1694" s="112">
        <v>2002.12</v>
      </c>
      <c r="F1694" s="112">
        <v>2015.1</v>
      </c>
      <c r="G1694" s="107" t="s">
        <v>1499</v>
      </c>
      <c r="H1694">
        <f>INDEX('GIS-Standards'!$A$2:$A$305,MATCH(B1694,'GIS-Standards'!$B$2:$B$305,0))</f>
        <v>78</v>
      </c>
      <c r="I1694" t="e">
        <f>INDEX('GIS-Standards'!$A$2:$A$305,MATCH(C1694,'GIS-Standards'!$B$2:$B$305,0))</f>
        <v>#N/A</v>
      </c>
      <c r="J1694" t="str">
        <f>INDEX('GIS-Standards'!$O$2:$O$305,MATCH(B1694,'GIS-Standards'!$B$2:$B$305,0))</f>
        <v>ISO/TC 268/SC 1</v>
      </c>
      <c r="K1694" t="e">
        <f>INDEX('GIS-Standards'!$O$2:$O$305,MATCH(C1694,'GIS-Standards'!$B$2:$B$305,0))</f>
        <v>#N/A</v>
      </c>
      <c r="M1694" t="s">
        <v>525</v>
      </c>
      <c r="N1694">
        <f>INDEX('GIS-Standards'!$I$2:$I$305,MATCH(B1694,'GIS-Standards'!$B$2:$B$305,0))</f>
        <v>0</v>
      </c>
      <c r="O1694" t="e">
        <f>INDEX('GIS-Standards'!$I$2:$I$305,MATCH(C1694,'GIS-Standards'!$B$2:$B$305,0))</f>
        <v>#N/A</v>
      </c>
      <c r="P1694" t="e">
        <f>AND(TableRelationships12[[#This Row],[Source Type]]="BIM",TableRelationships12[[#This Row],[Target Type]]="BIM")</f>
        <v>#N/A</v>
      </c>
      <c r="Q1694">
        <f t="shared" si="78"/>
        <v>1</v>
      </c>
      <c r="S1694">
        <f t="shared" si="79"/>
        <v>1</v>
      </c>
      <c r="T1694" s="102" t="str">
        <f>IF(TableRelationships12[[#This Row],[Rank Pedro]]="Low","linkCategory1",IF(TableRelationships12[[#This Row],[Rank Pedro]]="Medium","linkCategory2",IF(TableRelationships12[[#This Row],[Rank Pedro]]="High","linkCategory3","")))</f>
        <v/>
      </c>
      <c r="U1694" s="102" t="str">
        <f>IF(TableRelationships12[[#This Row],[Rank Pedro]]="Low","Pink",IF(TableRelationships12[[#This Row],[Rank Pedro]]="Medium","Purple",IF(TableRelationships12[[#This Row],[Rank Pedro]]="High","Brown","")))</f>
        <v/>
      </c>
      <c r="V1694" s="4" t="e">
        <f>MAX(INDEX(Standards!$F$2:$F$296,MATCH(B1694,Standards!$B$2:$B$296,0)),INDEX(Standards!$F$2:$F$296,MATCH(C1694,Standards!$B$2:$B$296,0)))</f>
        <v>#N/A</v>
      </c>
      <c r="W1694" t="str">
        <f t="shared" si="80"/>
        <v>#2f89d1</v>
      </c>
    </row>
    <row r="1695" spans="1:23" x14ac:dyDescent="0.5">
      <c r="A1695" s="54">
        <v>1694</v>
      </c>
      <c r="B1695" s="90" t="s">
        <v>1706</v>
      </c>
      <c r="C1695" t="s">
        <v>1767</v>
      </c>
      <c r="D1695" s="1"/>
      <c r="E1695" s="112">
        <v>2015.05</v>
      </c>
      <c r="F1695" s="112">
        <v>2023.05</v>
      </c>
      <c r="G1695" s="107" t="s">
        <v>1502</v>
      </c>
      <c r="H1695">
        <f>INDEX('GIS-Standards'!$A$2:$A$305,MATCH(B1695,'GIS-Standards'!$B$2:$B$305,0))</f>
        <v>78</v>
      </c>
      <c r="I1695" t="e">
        <f>INDEX('GIS-Standards'!$A$2:$A$305,MATCH(C1695,'GIS-Standards'!$B$2:$B$305,0))</f>
        <v>#N/A</v>
      </c>
      <c r="J1695" t="str">
        <f>INDEX('GIS-Standards'!$O$2:$O$305,MATCH(B1695,'GIS-Standards'!$B$2:$B$305,0))</f>
        <v>ISO/TC 268/SC 1</v>
      </c>
      <c r="K1695" t="e">
        <f>INDEX('GIS-Standards'!$O$2:$O$305,MATCH(C1695,'GIS-Standards'!$B$2:$B$305,0))</f>
        <v>#N/A</v>
      </c>
      <c r="M1695" t="s">
        <v>525</v>
      </c>
      <c r="N1695">
        <f>INDEX('GIS-Standards'!$I$2:$I$305,MATCH(B1695,'GIS-Standards'!$B$2:$B$305,0))</f>
        <v>0</v>
      </c>
      <c r="O1695" t="e">
        <f>INDEX('GIS-Standards'!$I$2:$I$305,MATCH(C1695,'GIS-Standards'!$B$2:$B$305,0))</f>
        <v>#N/A</v>
      </c>
      <c r="P1695" t="e">
        <f>AND(TableRelationships12[[#This Row],[Source Type]]="BIM",TableRelationships12[[#This Row],[Target Type]]="BIM")</f>
        <v>#N/A</v>
      </c>
      <c r="Q1695">
        <f t="shared" si="78"/>
        <v>1</v>
      </c>
      <c r="S1695">
        <f t="shared" si="79"/>
        <v>1</v>
      </c>
      <c r="T1695" s="102" t="str">
        <f>IF(TableRelationships12[[#This Row],[Rank Pedro]]="Low","linkCategory1",IF(TableRelationships12[[#This Row],[Rank Pedro]]="Medium","linkCategory2",IF(TableRelationships12[[#This Row],[Rank Pedro]]="High","linkCategory3","")))</f>
        <v/>
      </c>
      <c r="U1695" s="102" t="str">
        <f>IF(TableRelationships12[[#This Row],[Rank Pedro]]="Low","Pink",IF(TableRelationships12[[#This Row],[Rank Pedro]]="Medium","Purple",IF(TableRelationships12[[#This Row],[Rank Pedro]]="High","Brown","")))</f>
        <v/>
      </c>
      <c r="V1695" s="4" t="e">
        <f>MAX(INDEX(Standards!$F$2:$F$296,MATCH(B1695,Standards!$B$2:$B$296,0)),INDEX(Standards!$F$2:$F$296,MATCH(C1695,Standards!$B$2:$B$296,0)))</f>
        <v>#N/A</v>
      </c>
      <c r="W1695" t="str">
        <f t="shared" si="80"/>
        <v>#2f89d1</v>
      </c>
    </row>
    <row r="1696" spans="1:23" x14ac:dyDescent="0.5">
      <c r="A1696" s="54">
        <v>1695</v>
      </c>
      <c r="B1696" s="90" t="s">
        <v>1706</v>
      </c>
      <c r="C1696" t="s">
        <v>1124</v>
      </c>
      <c r="D1696" s="1"/>
      <c r="E1696" s="112">
        <v>2001.09</v>
      </c>
      <c r="F1696" s="112">
        <v>2016.04</v>
      </c>
      <c r="G1696" s="107" t="s">
        <v>1457</v>
      </c>
      <c r="H1696">
        <f>INDEX('GIS-Standards'!$A$2:$A$305,MATCH(B1696,'GIS-Standards'!$B$2:$B$305,0))</f>
        <v>78</v>
      </c>
      <c r="I1696" t="e">
        <f>INDEX('GIS-Standards'!$A$2:$A$305,MATCH(C1696,'GIS-Standards'!$B$2:$B$305,0))</f>
        <v>#N/A</v>
      </c>
      <c r="J1696" t="str">
        <f>INDEX('GIS-Standards'!$O$2:$O$305,MATCH(B1696,'GIS-Standards'!$B$2:$B$305,0))</f>
        <v>ISO/TC 268/SC 1</v>
      </c>
      <c r="K1696" t="e">
        <f>INDEX('GIS-Standards'!$O$2:$O$305,MATCH(C1696,'GIS-Standards'!$B$2:$B$305,0))</f>
        <v>#N/A</v>
      </c>
      <c r="M1696" t="s">
        <v>525</v>
      </c>
      <c r="N1696">
        <f>INDEX('GIS-Standards'!$I$2:$I$305,MATCH(B1696,'GIS-Standards'!$B$2:$B$305,0))</f>
        <v>0</v>
      </c>
      <c r="O1696" t="e">
        <f>INDEX('GIS-Standards'!$I$2:$I$305,MATCH(C1696,'GIS-Standards'!$B$2:$B$305,0))</f>
        <v>#N/A</v>
      </c>
      <c r="P1696" t="e">
        <f>AND(TableRelationships12[[#This Row],[Source Type]]="BIM",TableRelationships12[[#This Row],[Target Type]]="BIM")</f>
        <v>#N/A</v>
      </c>
      <c r="Q1696">
        <f t="shared" si="78"/>
        <v>1</v>
      </c>
      <c r="S1696">
        <f t="shared" si="79"/>
        <v>1</v>
      </c>
      <c r="T1696" s="102" t="str">
        <f>IF(TableRelationships12[[#This Row],[Rank Pedro]]="Low","linkCategory1",IF(TableRelationships12[[#This Row],[Rank Pedro]]="Medium","linkCategory2",IF(TableRelationships12[[#This Row],[Rank Pedro]]="High","linkCategory3","")))</f>
        <v/>
      </c>
      <c r="U1696" s="102" t="str">
        <f>IF(TableRelationships12[[#This Row],[Rank Pedro]]="Low","Pink",IF(TableRelationships12[[#This Row],[Rank Pedro]]="Medium","Purple",IF(TableRelationships12[[#This Row],[Rank Pedro]]="High","Brown","")))</f>
        <v/>
      </c>
      <c r="V1696" s="4" t="e">
        <f>MAX(INDEX(Standards!$F$2:$F$296,MATCH(B1696,Standards!$B$2:$B$296,0)),INDEX(Standards!$F$2:$F$296,MATCH(C1696,Standards!$B$2:$B$296,0)))</f>
        <v>#N/A</v>
      </c>
      <c r="W1696" t="str">
        <f t="shared" si="80"/>
        <v>#2f89d1</v>
      </c>
    </row>
    <row r="1697" spans="1:23" x14ac:dyDescent="0.5">
      <c r="A1697" s="54">
        <v>1696</v>
      </c>
      <c r="B1697" s="90" t="s">
        <v>1706</v>
      </c>
      <c r="C1697" t="s">
        <v>310</v>
      </c>
      <c r="D1697" s="1"/>
      <c r="E1697" s="112">
        <v>2003.02</v>
      </c>
      <c r="F1697" s="112">
        <v>2023.08</v>
      </c>
      <c r="G1697" s="107" t="s">
        <v>670</v>
      </c>
      <c r="H1697">
        <f>INDEX('GIS-Standards'!$A$2:$A$305,MATCH(B1697,'GIS-Standards'!$B$2:$B$305,0))</f>
        <v>78</v>
      </c>
      <c r="I1697">
        <f>INDEX('GIS-Standards'!$A$2:$A$305,MATCH(C1697,'GIS-Standards'!$B$2:$B$305,0))</f>
        <v>20</v>
      </c>
      <c r="J1697" t="str">
        <f>INDEX('GIS-Standards'!$O$2:$O$305,MATCH(B1697,'GIS-Standards'!$B$2:$B$305,0))</f>
        <v>ISO/TC 268/SC 1</v>
      </c>
      <c r="K1697" t="str">
        <f>INDEX('GIS-Standards'!$O$2:$O$305,MATCH(C1697,'GIS-Standards'!$B$2:$B$305,0))</f>
        <v>ISO/TC 211</v>
      </c>
      <c r="M1697" t="s">
        <v>525</v>
      </c>
      <c r="N1697">
        <f>INDEX('GIS-Standards'!$I$2:$I$305,MATCH(B1697,'GIS-Standards'!$B$2:$B$305,0))</f>
        <v>0</v>
      </c>
      <c r="O1697" t="str">
        <f>INDEX('GIS-Standards'!$I$2:$I$305,MATCH(C1697,'GIS-Standards'!$B$2:$B$305,0))</f>
        <v>08.2023</v>
      </c>
      <c r="P1697" t="b">
        <f>AND(TableRelationships12[[#This Row],[Source Type]]="BIM",TableRelationships12[[#This Row],[Target Type]]="BIM")</f>
        <v>0</v>
      </c>
      <c r="Q1697">
        <f t="shared" si="78"/>
        <v>1</v>
      </c>
      <c r="S1697">
        <f t="shared" si="79"/>
        <v>1</v>
      </c>
      <c r="T1697" s="102" t="str">
        <f>IF(TableRelationships12[[#This Row],[Rank Pedro]]="Low","linkCategory1",IF(TableRelationships12[[#This Row],[Rank Pedro]]="Medium","linkCategory2",IF(TableRelationships12[[#This Row],[Rank Pedro]]="High","linkCategory3","")))</f>
        <v/>
      </c>
      <c r="U1697" s="102" t="str">
        <f>IF(TableRelationships12[[#This Row],[Rank Pedro]]="Low","Pink",IF(TableRelationships12[[#This Row],[Rank Pedro]]="Medium","Purple",IF(TableRelationships12[[#This Row],[Rank Pedro]]="High","Brown","")))</f>
        <v/>
      </c>
      <c r="V1697" s="4" t="e">
        <f>MAX(INDEX(Standards!$F$2:$F$296,MATCH(B1697,Standards!$B$2:$B$296,0)),INDEX(Standards!$F$2:$F$296,MATCH(C1697,Standards!$B$2:$B$296,0)))</f>
        <v>#N/A</v>
      </c>
      <c r="W1697" t="str">
        <f t="shared" si="80"/>
        <v>#2f89d1</v>
      </c>
    </row>
    <row r="1698" spans="1:23" x14ac:dyDescent="0.5">
      <c r="A1698" s="54">
        <v>1697</v>
      </c>
      <c r="B1698" s="90" t="s">
        <v>1706</v>
      </c>
      <c r="C1698" t="s">
        <v>1039</v>
      </c>
      <c r="D1698" s="1" t="s">
        <v>1331</v>
      </c>
      <c r="E1698" s="113">
        <v>2012.12</v>
      </c>
      <c r="F1698" s="113">
        <v>2024.01</v>
      </c>
      <c r="G1698" s="107" t="s">
        <v>670</v>
      </c>
      <c r="H1698">
        <f>INDEX('GIS-Standards'!$A$2:$A$305,MATCH(B1698,'GIS-Standards'!$B$2:$B$305,0))</f>
        <v>78</v>
      </c>
      <c r="I1698">
        <f>INDEX('GIS-Standards'!$A$2:$A$305,MATCH(C1698,'GIS-Standards'!$B$2:$B$305,0))</f>
        <v>57</v>
      </c>
      <c r="J1698" t="str">
        <f>INDEX('GIS-Standards'!$O$2:$O$305,MATCH(B1698,'GIS-Standards'!$B$2:$B$305,0))</f>
        <v>ISO/TC 268/SC 1</v>
      </c>
      <c r="K1698" t="str">
        <f>INDEX('GIS-Standards'!$O$2:$O$305,MATCH(C1698,'GIS-Standards'!$B$2:$B$305,0))</f>
        <v>ISO/TC 211</v>
      </c>
      <c r="M1698" t="s">
        <v>525</v>
      </c>
      <c r="N1698">
        <f>INDEX('GIS-Standards'!$I$2:$I$305,MATCH(B1698,'GIS-Standards'!$B$2:$B$305,0))</f>
        <v>0</v>
      </c>
      <c r="O1698">
        <f>INDEX('GIS-Standards'!$I$2:$I$305,MATCH(C1698,'GIS-Standards'!$B$2:$B$305,0))</f>
        <v>0</v>
      </c>
      <c r="P1698" t="b">
        <f>AND(TableRelationships12[[#This Row],[Source Type]]="BIM",TableRelationships12[[#This Row],[Target Type]]="BIM")</f>
        <v>0</v>
      </c>
      <c r="Q1698">
        <f t="shared" si="78"/>
        <v>1</v>
      </c>
      <c r="S1698">
        <f t="shared" si="79"/>
        <v>1</v>
      </c>
      <c r="T1698" s="102" t="str">
        <f>IF(TableRelationships12[[#This Row],[Rank Pedro]]="Low","linkCategory1",IF(TableRelationships12[[#This Row],[Rank Pedro]]="Medium","linkCategory2",IF(TableRelationships12[[#This Row],[Rank Pedro]]="High","linkCategory3","")))</f>
        <v/>
      </c>
      <c r="U1698" s="102" t="str">
        <f>IF(TableRelationships12[[#This Row],[Rank Pedro]]="Low","Pink",IF(TableRelationships12[[#This Row],[Rank Pedro]]="Medium","Purple",IF(TableRelationships12[[#This Row],[Rank Pedro]]="High","Brown","")))</f>
        <v/>
      </c>
      <c r="V1698" s="4" t="e">
        <f>MAX(INDEX(Standards!$F$2:$F$296,MATCH(B1698,Standards!$B$2:$B$296,0)),INDEX(Standards!$F$2:$F$296,MATCH(C1698,Standards!$B$2:$B$296,0)))</f>
        <v>#N/A</v>
      </c>
      <c r="W1698" t="str">
        <f t="shared" si="80"/>
        <v>#2f89d1</v>
      </c>
    </row>
    <row r="1699" spans="1:23" x14ac:dyDescent="0.5">
      <c r="A1699" s="54">
        <v>1698</v>
      </c>
      <c r="B1699" s="90" t="s">
        <v>1706</v>
      </c>
      <c r="C1699" t="s">
        <v>348</v>
      </c>
      <c r="D1699" s="1" t="s">
        <v>640</v>
      </c>
      <c r="E1699" s="113">
        <v>2013.12</v>
      </c>
      <c r="F1699" s="113">
        <v>2023.04</v>
      </c>
      <c r="G1699" s="107" t="s">
        <v>670</v>
      </c>
      <c r="H1699">
        <f>INDEX('GIS-Standards'!$A$2:$A$305,MATCH(B1699,'GIS-Standards'!$B$2:$B$305,0))</f>
        <v>78</v>
      </c>
      <c r="I1699">
        <f>INDEX('GIS-Standards'!$A$2:$A$305,MATCH(C1699,'GIS-Standards'!$B$2:$B$305,0))</f>
        <v>66</v>
      </c>
      <c r="J1699" t="str">
        <f>INDEX('GIS-Standards'!$O$2:$O$305,MATCH(B1699,'GIS-Standards'!$B$2:$B$305,0))</f>
        <v>ISO/TC 268/SC 1</v>
      </c>
      <c r="K1699" t="str">
        <f>INDEX('GIS-Standards'!$O$2:$O$305,MATCH(C1699,'GIS-Standards'!$B$2:$B$305,0))</f>
        <v>ISO/TC 211</v>
      </c>
      <c r="M1699" t="s">
        <v>525</v>
      </c>
      <c r="N1699">
        <f>INDEX('GIS-Standards'!$I$2:$I$305,MATCH(B1699,'GIS-Standards'!$B$2:$B$305,0))</f>
        <v>0</v>
      </c>
      <c r="O1699">
        <f>INDEX('GIS-Standards'!$I$2:$I$305,MATCH(C1699,'GIS-Standards'!$B$2:$B$305,0))</f>
        <v>0</v>
      </c>
      <c r="P1699" t="b">
        <f>AND(TableRelationships12[[#This Row],[Source Type]]="BIM",TableRelationships12[[#This Row],[Target Type]]="BIM")</f>
        <v>0</v>
      </c>
      <c r="Q1699">
        <f t="shared" si="78"/>
        <v>1</v>
      </c>
      <c r="S1699">
        <f t="shared" si="79"/>
        <v>1</v>
      </c>
      <c r="T1699" s="102" t="str">
        <f>IF(TableRelationships12[[#This Row],[Rank Pedro]]="Low","linkCategory1",IF(TableRelationships12[[#This Row],[Rank Pedro]]="Medium","linkCategory2",IF(TableRelationships12[[#This Row],[Rank Pedro]]="High","linkCategory3","")))</f>
        <v/>
      </c>
      <c r="U1699" s="102" t="str">
        <f>IF(TableRelationships12[[#This Row],[Rank Pedro]]="Low","Pink",IF(TableRelationships12[[#This Row],[Rank Pedro]]="Medium","Purple",IF(TableRelationships12[[#This Row],[Rank Pedro]]="High","Brown","")))</f>
        <v/>
      </c>
      <c r="V1699" s="4" t="e">
        <f>MAX(INDEX(Standards!$F$2:$F$296,MATCH(B1699,Standards!$B$2:$B$296,0)),INDEX(Standards!$F$2:$F$296,MATCH(C1699,Standards!$B$2:$B$296,0)))</f>
        <v>#N/A</v>
      </c>
      <c r="W1699" t="str">
        <f t="shared" si="80"/>
        <v>#2f89d1</v>
      </c>
    </row>
    <row r="1700" spans="1:23" x14ac:dyDescent="0.5">
      <c r="A1700" s="54">
        <v>1699</v>
      </c>
      <c r="B1700" s="90" t="s">
        <v>1706</v>
      </c>
      <c r="C1700" t="s">
        <v>1917</v>
      </c>
      <c r="D1700" s="1"/>
      <c r="E1700" s="112">
        <v>2019.02</v>
      </c>
      <c r="F1700" s="112">
        <v>2019.02</v>
      </c>
      <c r="G1700" s="107" t="s">
        <v>2074</v>
      </c>
      <c r="H1700">
        <f>INDEX('GIS-Standards'!$A$2:$A$305,MATCH(B1700,'GIS-Standards'!$B$2:$B$305,0))</f>
        <v>78</v>
      </c>
      <c r="I1700" t="e">
        <f>INDEX('GIS-Standards'!$A$2:$A$305,MATCH(C1700,'GIS-Standards'!$B$2:$B$305,0))</f>
        <v>#N/A</v>
      </c>
      <c r="J1700" t="str">
        <f>INDEX('GIS-Standards'!$O$2:$O$305,MATCH(B1700,'GIS-Standards'!$B$2:$B$305,0))</f>
        <v>ISO/TC 268/SC 1</v>
      </c>
      <c r="K1700" t="e">
        <f>INDEX('GIS-Standards'!$O$2:$O$305,MATCH(C1700,'GIS-Standards'!$B$2:$B$305,0))</f>
        <v>#N/A</v>
      </c>
      <c r="M1700" t="s">
        <v>525</v>
      </c>
      <c r="N1700">
        <f>INDEX('GIS-Standards'!$I$2:$I$305,MATCH(B1700,'GIS-Standards'!$B$2:$B$305,0))</f>
        <v>0</v>
      </c>
      <c r="O1700" t="e">
        <f>INDEX('GIS-Standards'!$I$2:$I$305,MATCH(C1700,'GIS-Standards'!$B$2:$B$305,0))</f>
        <v>#N/A</v>
      </c>
      <c r="P1700" t="e">
        <f>AND(TableRelationships12[[#This Row],[Source Type]]="BIM",TableRelationships12[[#This Row],[Target Type]]="BIM")</f>
        <v>#N/A</v>
      </c>
      <c r="Q1700">
        <f t="shared" si="78"/>
        <v>1</v>
      </c>
      <c r="S1700">
        <f t="shared" si="79"/>
        <v>1</v>
      </c>
      <c r="T1700" s="102" t="str">
        <f>IF(TableRelationships12[[#This Row],[Rank Pedro]]="Low","linkCategory1",IF(TableRelationships12[[#This Row],[Rank Pedro]]="Medium","linkCategory2",IF(TableRelationships12[[#This Row],[Rank Pedro]]="High","linkCategory3","")))</f>
        <v/>
      </c>
      <c r="U1700" s="102" t="str">
        <f>IF(TableRelationships12[[#This Row],[Rank Pedro]]="Low","Pink",IF(TableRelationships12[[#This Row],[Rank Pedro]]="Medium","Purple",IF(TableRelationships12[[#This Row],[Rank Pedro]]="High","Brown","")))</f>
        <v/>
      </c>
      <c r="V1700" s="4" t="e">
        <f>MAX(INDEX(Standards!$F$2:$F$296,MATCH(B1700,Standards!$B$2:$B$296,0)),INDEX(Standards!$F$2:$F$296,MATCH(C1700,Standards!$B$2:$B$296,0)))</f>
        <v>#N/A</v>
      </c>
      <c r="W1700" t="str">
        <f t="shared" si="80"/>
        <v>#2f89d1</v>
      </c>
    </row>
    <row r="1701" spans="1:23" x14ac:dyDescent="0.5">
      <c r="A1701" s="54">
        <v>1700</v>
      </c>
      <c r="B1701" s="90" t="s">
        <v>1706</v>
      </c>
      <c r="C1701" t="s">
        <v>1918</v>
      </c>
      <c r="D1701" s="1"/>
      <c r="E1701" s="112">
        <v>2020.03</v>
      </c>
      <c r="F1701" s="112">
        <v>2020.03</v>
      </c>
      <c r="G1701" s="107" t="s">
        <v>1509</v>
      </c>
      <c r="H1701">
        <f>INDEX('GIS-Standards'!$A$2:$A$305,MATCH(B1701,'GIS-Standards'!$B$2:$B$305,0))</f>
        <v>78</v>
      </c>
      <c r="I1701" t="e">
        <f>INDEX('GIS-Standards'!$A$2:$A$305,MATCH(C1701,'GIS-Standards'!$B$2:$B$305,0))</f>
        <v>#N/A</v>
      </c>
      <c r="J1701" t="str">
        <f>INDEX('GIS-Standards'!$O$2:$O$305,MATCH(B1701,'GIS-Standards'!$B$2:$B$305,0))</f>
        <v>ISO/TC 268/SC 1</v>
      </c>
      <c r="K1701" t="e">
        <f>INDEX('GIS-Standards'!$O$2:$O$305,MATCH(C1701,'GIS-Standards'!$B$2:$B$305,0))</f>
        <v>#N/A</v>
      </c>
      <c r="M1701" t="s">
        <v>525</v>
      </c>
      <c r="N1701">
        <f>INDEX('GIS-Standards'!$I$2:$I$305,MATCH(B1701,'GIS-Standards'!$B$2:$B$305,0))</f>
        <v>0</v>
      </c>
      <c r="O1701" t="e">
        <f>INDEX('GIS-Standards'!$I$2:$I$305,MATCH(C1701,'GIS-Standards'!$B$2:$B$305,0))</f>
        <v>#N/A</v>
      </c>
      <c r="P1701" t="e">
        <f>AND(TableRelationships12[[#This Row],[Source Type]]="BIM",TableRelationships12[[#This Row],[Target Type]]="BIM")</f>
        <v>#N/A</v>
      </c>
      <c r="Q1701">
        <f t="shared" si="78"/>
        <v>1</v>
      </c>
      <c r="S1701">
        <f t="shared" si="79"/>
        <v>1</v>
      </c>
      <c r="T1701" s="102" t="str">
        <f>IF(TableRelationships12[[#This Row],[Rank Pedro]]="Low","linkCategory1",IF(TableRelationships12[[#This Row],[Rank Pedro]]="Medium","linkCategory2",IF(TableRelationships12[[#This Row],[Rank Pedro]]="High","linkCategory3","")))</f>
        <v/>
      </c>
      <c r="U1701" s="102" t="str">
        <f>IF(TableRelationships12[[#This Row],[Rank Pedro]]="Low","Pink",IF(TableRelationships12[[#This Row],[Rank Pedro]]="Medium","Purple",IF(TableRelationships12[[#This Row],[Rank Pedro]]="High","Brown","")))</f>
        <v/>
      </c>
      <c r="V1701" s="4" t="e">
        <f>MAX(INDEX(Standards!$F$2:$F$296,MATCH(B1701,Standards!$B$2:$B$296,0)),INDEX(Standards!$F$2:$F$296,MATCH(C1701,Standards!$B$2:$B$296,0)))</f>
        <v>#N/A</v>
      </c>
      <c r="W1701" t="str">
        <f t="shared" si="80"/>
        <v>#2f89d1</v>
      </c>
    </row>
    <row r="1702" spans="1:23" x14ac:dyDescent="0.5">
      <c r="A1702" s="54">
        <v>1701</v>
      </c>
      <c r="B1702" s="90" t="s">
        <v>1706</v>
      </c>
      <c r="C1702" t="s">
        <v>1919</v>
      </c>
      <c r="D1702" s="1"/>
      <c r="E1702" s="112">
        <v>2017.02</v>
      </c>
      <c r="F1702" s="112">
        <v>2017.02</v>
      </c>
      <c r="G1702" s="107" t="s">
        <v>2100</v>
      </c>
      <c r="H1702">
        <f>INDEX('GIS-Standards'!$A$2:$A$305,MATCH(B1702,'GIS-Standards'!$B$2:$B$305,0))</f>
        <v>78</v>
      </c>
      <c r="I1702" t="e">
        <f>INDEX('GIS-Standards'!$A$2:$A$305,MATCH(C1702,'GIS-Standards'!$B$2:$B$305,0))</f>
        <v>#N/A</v>
      </c>
      <c r="J1702" t="str">
        <f>INDEX('GIS-Standards'!$O$2:$O$305,MATCH(B1702,'GIS-Standards'!$B$2:$B$305,0))</f>
        <v>ISO/TC 268/SC 1</v>
      </c>
      <c r="K1702" t="e">
        <f>INDEX('GIS-Standards'!$O$2:$O$305,MATCH(C1702,'GIS-Standards'!$B$2:$B$305,0))</f>
        <v>#N/A</v>
      </c>
      <c r="M1702" t="s">
        <v>525</v>
      </c>
      <c r="N1702">
        <f>INDEX('GIS-Standards'!$I$2:$I$305,MATCH(B1702,'GIS-Standards'!$B$2:$B$305,0))</f>
        <v>0</v>
      </c>
      <c r="O1702" t="e">
        <f>INDEX('GIS-Standards'!$I$2:$I$305,MATCH(C1702,'GIS-Standards'!$B$2:$B$305,0))</f>
        <v>#N/A</v>
      </c>
      <c r="P1702" t="e">
        <f>AND(TableRelationships12[[#This Row],[Source Type]]="BIM",TableRelationships12[[#This Row],[Target Type]]="BIM")</f>
        <v>#N/A</v>
      </c>
      <c r="Q1702">
        <f t="shared" si="78"/>
        <v>1</v>
      </c>
      <c r="S1702">
        <f t="shared" si="79"/>
        <v>1</v>
      </c>
      <c r="T1702" s="102" t="str">
        <f>IF(TableRelationships12[[#This Row],[Rank Pedro]]="Low","linkCategory1",IF(TableRelationships12[[#This Row],[Rank Pedro]]="Medium","linkCategory2",IF(TableRelationships12[[#This Row],[Rank Pedro]]="High","linkCategory3","")))</f>
        <v/>
      </c>
      <c r="U1702" s="102" t="str">
        <f>IF(TableRelationships12[[#This Row],[Rank Pedro]]="Low","Pink",IF(TableRelationships12[[#This Row],[Rank Pedro]]="Medium","Purple",IF(TableRelationships12[[#This Row],[Rank Pedro]]="High","Brown","")))</f>
        <v/>
      </c>
      <c r="V1702" s="4" t="e">
        <f>MAX(INDEX(Standards!$F$2:$F$296,MATCH(B1702,Standards!$B$2:$B$296,0)),INDEX(Standards!$F$2:$F$296,MATCH(C1702,Standards!$B$2:$B$296,0)))</f>
        <v>#N/A</v>
      </c>
      <c r="W1702" t="str">
        <f t="shared" si="80"/>
        <v>#2f89d1</v>
      </c>
    </row>
    <row r="1703" spans="1:23" x14ac:dyDescent="0.5">
      <c r="A1703" s="54">
        <v>1702</v>
      </c>
      <c r="B1703" s="90" t="s">
        <v>1706</v>
      </c>
      <c r="C1703" t="s">
        <v>92</v>
      </c>
      <c r="D1703" s="1"/>
      <c r="E1703" s="112">
        <v>2015.1</v>
      </c>
      <c r="F1703" s="112">
        <v>2015.1</v>
      </c>
      <c r="G1703" s="107" t="s">
        <v>1502</v>
      </c>
      <c r="H1703">
        <f>INDEX('GIS-Standards'!$A$2:$A$305,MATCH(B1703,'GIS-Standards'!$B$2:$B$305,0))</f>
        <v>78</v>
      </c>
      <c r="I1703" t="e">
        <f>INDEX('GIS-Standards'!$A$2:$A$305,MATCH(C1703,'GIS-Standards'!$B$2:$B$305,0))</f>
        <v>#N/A</v>
      </c>
      <c r="J1703" t="str">
        <f>INDEX('GIS-Standards'!$O$2:$O$305,MATCH(B1703,'GIS-Standards'!$B$2:$B$305,0))</f>
        <v>ISO/TC 268/SC 1</v>
      </c>
      <c r="K1703" t="e">
        <f>INDEX('GIS-Standards'!$O$2:$O$305,MATCH(C1703,'GIS-Standards'!$B$2:$B$305,0))</f>
        <v>#N/A</v>
      </c>
      <c r="M1703" t="s">
        <v>525</v>
      </c>
      <c r="N1703">
        <f>INDEX('GIS-Standards'!$I$2:$I$305,MATCH(B1703,'GIS-Standards'!$B$2:$B$305,0))</f>
        <v>0</v>
      </c>
      <c r="O1703" t="e">
        <f>INDEX('GIS-Standards'!$I$2:$I$305,MATCH(C1703,'GIS-Standards'!$B$2:$B$305,0))</f>
        <v>#N/A</v>
      </c>
      <c r="P1703" t="e">
        <f>AND(TableRelationships12[[#This Row],[Source Type]]="BIM",TableRelationships12[[#This Row],[Target Type]]="BIM")</f>
        <v>#N/A</v>
      </c>
      <c r="Q1703">
        <f t="shared" si="78"/>
        <v>1</v>
      </c>
      <c r="S1703">
        <f t="shared" si="79"/>
        <v>1</v>
      </c>
      <c r="T1703" s="102" t="str">
        <f>IF(TableRelationships12[[#This Row],[Rank Pedro]]="Low","linkCategory1",IF(TableRelationships12[[#This Row],[Rank Pedro]]="Medium","linkCategory2",IF(TableRelationships12[[#This Row],[Rank Pedro]]="High","linkCategory3","")))</f>
        <v/>
      </c>
      <c r="U1703" s="102" t="str">
        <f>IF(TableRelationships12[[#This Row],[Rank Pedro]]="Low","Pink",IF(TableRelationships12[[#This Row],[Rank Pedro]]="Medium","Purple",IF(TableRelationships12[[#This Row],[Rank Pedro]]="High","Brown","")))</f>
        <v/>
      </c>
      <c r="V1703" s="4" t="e">
        <f>MAX(INDEX(Standards!$F$2:$F$296,MATCH(B1703,Standards!$B$2:$B$296,0)),INDEX(Standards!$F$2:$F$296,MATCH(C1703,Standards!$B$2:$B$296,0)))</f>
        <v>#N/A</v>
      </c>
      <c r="W1703" t="str">
        <f t="shared" si="80"/>
        <v>#2f89d1</v>
      </c>
    </row>
    <row r="1704" spans="1:23" x14ac:dyDescent="0.5">
      <c r="A1704" s="54">
        <v>1703</v>
      </c>
      <c r="B1704" s="90" t="s">
        <v>1706</v>
      </c>
      <c r="C1704" t="s">
        <v>1379</v>
      </c>
      <c r="D1704" s="1"/>
      <c r="E1704" s="112">
        <v>2016.12</v>
      </c>
      <c r="F1704" s="112">
        <v>2016.12</v>
      </c>
      <c r="G1704" s="107" t="s">
        <v>673</v>
      </c>
      <c r="H1704">
        <f>INDEX('GIS-Standards'!$A$2:$A$305,MATCH(B1704,'GIS-Standards'!$B$2:$B$305,0))</f>
        <v>78</v>
      </c>
      <c r="I1704" t="e">
        <f>INDEX('GIS-Standards'!$A$2:$A$305,MATCH(C1704,'GIS-Standards'!$B$2:$B$305,0))</f>
        <v>#N/A</v>
      </c>
      <c r="J1704" t="str">
        <f>INDEX('GIS-Standards'!$O$2:$O$305,MATCH(B1704,'GIS-Standards'!$B$2:$B$305,0))</f>
        <v>ISO/TC 268/SC 1</v>
      </c>
      <c r="K1704" t="e">
        <f>INDEX('GIS-Standards'!$O$2:$O$305,MATCH(C1704,'GIS-Standards'!$B$2:$B$305,0))</f>
        <v>#N/A</v>
      </c>
      <c r="M1704" t="s">
        <v>525</v>
      </c>
      <c r="N1704">
        <f>INDEX('GIS-Standards'!$I$2:$I$305,MATCH(B1704,'GIS-Standards'!$B$2:$B$305,0))</f>
        <v>0</v>
      </c>
      <c r="O1704" t="e">
        <f>INDEX('GIS-Standards'!$I$2:$I$305,MATCH(C1704,'GIS-Standards'!$B$2:$B$305,0))</f>
        <v>#N/A</v>
      </c>
      <c r="P1704" t="e">
        <f>AND(TableRelationships12[[#This Row],[Source Type]]="BIM",TableRelationships12[[#This Row],[Target Type]]="BIM")</f>
        <v>#N/A</v>
      </c>
      <c r="Q1704">
        <f t="shared" si="78"/>
        <v>1</v>
      </c>
      <c r="S1704">
        <f t="shared" si="79"/>
        <v>1</v>
      </c>
      <c r="T1704" s="102" t="str">
        <f>IF(TableRelationships12[[#This Row],[Rank Pedro]]="Low","linkCategory1",IF(TableRelationships12[[#This Row],[Rank Pedro]]="Medium","linkCategory2",IF(TableRelationships12[[#This Row],[Rank Pedro]]="High","linkCategory3","")))</f>
        <v/>
      </c>
      <c r="U1704" s="102" t="str">
        <f>IF(TableRelationships12[[#This Row],[Rank Pedro]]="Low","Pink",IF(TableRelationships12[[#This Row],[Rank Pedro]]="Medium","Purple",IF(TableRelationships12[[#This Row],[Rank Pedro]]="High","Brown","")))</f>
        <v/>
      </c>
      <c r="V1704" s="4" t="e">
        <f>MAX(INDEX(Standards!$F$2:$F$296,MATCH(B1704,Standards!$B$2:$B$296,0)),INDEX(Standards!$F$2:$F$296,MATCH(C1704,Standards!$B$2:$B$296,0)))</f>
        <v>#N/A</v>
      </c>
      <c r="W1704" t="str">
        <f t="shared" si="80"/>
        <v>#2f89d1</v>
      </c>
    </row>
    <row r="1705" spans="1:23" x14ac:dyDescent="0.5">
      <c r="A1705" s="54">
        <v>1704</v>
      </c>
      <c r="B1705" s="90" t="s">
        <v>1706</v>
      </c>
      <c r="C1705" t="s">
        <v>1920</v>
      </c>
      <c r="D1705" s="1"/>
      <c r="E1705" s="112">
        <v>2014.05</v>
      </c>
      <c r="F1705" s="112">
        <v>2018.07</v>
      </c>
      <c r="G1705" s="107" t="s">
        <v>673</v>
      </c>
      <c r="H1705">
        <f>INDEX('GIS-Standards'!$A$2:$A$305,MATCH(B1705,'GIS-Standards'!$B$2:$B$305,0))</f>
        <v>78</v>
      </c>
      <c r="I1705" t="e">
        <f>INDEX('GIS-Standards'!$A$2:$A$305,MATCH(C1705,'GIS-Standards'!$B$2:$B$305,0))</f>
        <v>#N/A</v>
      </c>
      <c r="J1705" t="str">
        <f>INDEX('GIS-Standards'!$O$2:$O$305,MATCH(B1705,'GIS-Standards'!$B$2:$B$305,0))</f>
        <v>ISO/TC 268/SC 1</v>
      </c>
      <c r="K1705" t="e">
        <f>INDEX('GIS-Standards'!$O$2:$O$305,MATCH(C1705,'GIS-Standards'!$B$2:$B$305,0))</f>
        <v>#N/A</v>
      </c>
      <c r="M1705" t="s">
        <v>525</v>
      </c>
      <c r="N1705">
        <f>INDEX('GIS-Standards'!$I$2:$I$305,MATCH(B1705,'GIS-Standards'!$B$2:$B$305,0))</f>
        <v>0</v>
      </c>
      <c r="O1705" t="e">
        <f>INDEX('GIS-Standards'!$I$2:$I$305,MATCH(C1705,'GIS-Standards'!$B$2:$B$305,0))</f>
        <v>#N/A</v>
      </c>
      <c r="P1705" t="e">
        <f>AND(TableRelationships12[[#This Row],[Source Type]]="BIM",TableRelationships12[[#This Row],[Target Type]]="BIM")</f>
        <v>#N/A</v>
      </c>
      <c r="Q1705">
        <f t="shared" si="78"/>
        <v>1</v>
      </c>
      <c r="S1705">
        <f t="shared" si="79"/>
        <v>1</v>
      </c>
      <c r="T1705" s="102" t="str">
        <f>IF(TableRelationships12[[#This Row],[Rank Pedro]]="Low","linkCategory1",IF(TableRelationships12[[#This Row],[Rank Pedro]]="Medium","linkCategory2",IF(TableRelationships12[[#This Row],[Rank Pedro]]="High","linkCategory3","")))</f>
        <v/>
      </c>
      <c r="U1705" s="102" t="str">
        <f>IF(TableRelationships12[[#This Row],[Rank Pedro]]="Low","Pink",IF(TableRelationships12[[#This Row],[Rank Pedro]]="Medium","Purple",IF(TableRelationships12[[#This Row],[Rank Pedro]]="High","Brown","")))</f>
        <v/>
      </c>
      <c r="V1705" s="4" t="e">
        <f>MAX(INDEX(Standards!$F$2:$F$296,MATCH(B1705,Standards!$B$2:$B$296,0)),INDEX(Standards!$F$2:$F$296,MATCH(C1705,Standards!$B$2:$B$296,0)))</f>
        <v>#N/A</v>
      </c>
      <c r="W1705" t="str">
        <f t="shared" si="80"/>
        <v>#2f89d1</v>
      </c>
    </row>
    <row r="1706" spans="1:23" x14ac:dyDescent="0.5">
      <c r="A1706" s="54">
        <v>1705</v>
      </c>
      <c r="B1706" s="90" t="s">
        <v>1706</v>
      </c>
      <c r="C1706" t="s">
        <v>1921</v>
      </c>
      <c r="D1706" s="1"/>
      <c r="E1706" s="112">
        <v>2019.05</v>
      </c>
      <c r="F1706" s="112">
        <v>2019.05</v>
      </c>
      <c r="G1706" s="107" t="s">
        <v>673</v>
      </c>
      <c r="H1706">
        <f>INDEX('GIS-Standards'!$A$2:$A$305,MATCH(B1706,'GIS-Standards'!$B$2:$B$305,0))</f>
        <v>78</v>
      </c>
      <c r="I1706" t="e">
        <f>INDEX('GIS-Standards'!$A$2:$A$305,MATCH(C1706,'GIS-Standards'!$B$2:$B$305,0))</f>
        <v>#N/A</v>
      </c>
      <c r="J1706" t="str">
        <f>INDEX('GIS-Standards'!$O$2:$O$305,MATCH(B1706,'GIS-Standards'!$B$2:$B$305,0))</f>
        <v>ISO/TC 268/SC 1</v>
      </c>
      <c r="K1706" t="e">
        <f>INDEX('GIS-Standards'!$O$2:$O$305,MATCH(C1706,'GIS-Standards'!$B$2:$B$305,0))</f>
        <v>#N/A</v>
      </c>
      <c r="M1706" t="s">
        <v>525</v>
      </c>
      <c r="N1706">
        <f>INDEX('GIS-Standards'!$I$2:$I$305,MATCH(B1706,'GIS-Standards'!$B$2:$B$305,0))</f>
        <v>0</v>
      </c>
      <c r="O1706" t="e">
        <f>INDEX('GIS-Standards'!$I$2:$I$305,MATCH(C1706,'GIS-Standards'!$B$2:$B$305,0))</f>
        <v>#N/A</v>
      </c>
      <c r="P1706" t="e">
        <f>AND(TableRelationships12[[#This Row],[Source Type]]="BIM",TableRelationships12[[#This Row],[Target Type]]="BIM")</f>
        <v>#N/A</v>
      </c>
      <c r="Q1706">
        <f t="shared" si="78"/>
        <v>1</v>
      </c>
      <c r="S1706">
        <f t="shared" si="79"/>
        <v>1</v>
      </c>
      <c r="T1706" s="102" t="str">
        <f>IF(TableRelationships12[[#This Row],[Rank Pedro]]="Low","linkCategory1",IF(TableRelationships12[[#This Row],[Rank Pedro]]="Medium","linkCategory2",IF(TableRelationships12[[#This Row],[Rank Pedro]]="High","linkCategory3","")))</f>
        <v/>
      </c>
      <c r="U1706" s="102" t="str">
        <f>IF(TableRelationships12[[#This Row],[Rank Pedro]]="Low","Pink",IF(TableRelationships12[[#This Row],[Rank Pedro]]="Medium","Purple",IF(TableRelationships12[[#This Row],[Rank Pedro]]="High","Brown","")))</f>
        <v/>
      </c>
      <c r="V1706" s="4" t="e">
        <f>MAX(INDEX(Standards!$F$2:$F$296,MATCH(B1706,Standards!$B$2:$B$296,0)),INDEX(Standards!$F$2:$F$296,MATCH(C1706,Standards!$B$2:$B$296,0)))</f>
        <v>#N/A</v>
      </c>
      <c r="W1706" t="str">
        <f t="shared" si="80"/>
        <v>#2f89d1</v>
      </c>
    </row>
    <row r="1707" spans="1:23" x14ac:dyDescent="0.5">
      <c r="A1707" s="54">
        <v>1706</v>
      </c>
      <c r="B1707" s="90" t="s">
        <v>1706</v>
      </c>
      <c r="C1707" t="s">
        <v>1922</v>
      </c>
      <c r="D1707" s="1"/>
      <c r="E1707" s="112">
        <v>2019.12</v>
      </c>
      <c r="F1707" s="112">
        <v>2019.12</v>
      </c>
      <c r="G1707" s="107" t="s">
        <v>673</v>
      </c>
      <c r="H1707">
        <f>INDEX('GIS-Standards'!$A$2:$A$305,MATCH(B1707,'GIS-Standards'!$B$2:$B$305,0))</f>
        <v>78</v>
      </c>
      <c r="I1707" t="e">
        <f>INDEX('GIS-Standards'!$A$2:$A$305,MATCH(C1707,'GIS-Standards'!$B$2:$B$305,0))</f>
        <v>#N/A</v>
      </c>
      <c r="J1707" t="str">
        <f>INDEX('GIS-Standards'!$O$2:$O$305,MATCH(B1707,'GIS-Standards'!$B$2:$B$305,0))</f>
        <v>ISO/TC 268/SC 1</v>
      </c>
      <c r="K1707" t="e">
        <f>INDEX('GIS-Standards'!$O$2:$O$305,MATCH(C1707,'GIS-Standards'!$B$2:$B$305,0))</f>
        <v>#N/A</v>
      </c>
      <c r="M1707" t="s">
        <v>525</v>
      </c>
      <c r="N1707">
        <f>INDEX('GIS-Standards'!$I$2:$I$305,MATCH(B1707,'GIS-Standards'!$B$2:$B$305,0))</f>
        <v>0</v>
      </c>
      <c r="O1707" t="e">
        <f>INDEX('GIS-Standards'!$I$2:$I$305,MATCH(C1707,'GIS-Standards'!$B$2:$B$305,0))</f>
        <v>#N/A</v>
      </c>
      <c r="P1707" t="e">
        <f>AND(TableRelationships12[[#This Row],[Source Type]]="BIM",TableRelationships12[[#This Row],[Target Type]]="BIM")</f>
        <v>#N/A</v>
      </c>
      <c r="Q1707">
        <f t="shared" si="78"/>
        <v>1</v>
      </c>
      <c r="S1707">
        <f t="shared" si="79"/>
        <v>1</v>
      </c>
      <c r="T1707" s="102" t="str">
        <f>IF(TableRelationships12[[#This Row],[Rank Pedro]]="Low","linkCategory1",IF(TableRelationships12[[#This Row],[Rank Pedro]]="Medium","linkCategory2",IF(TableRelationships12[[#This Row],[Rank Pedro]]="High","linkCategory3","")))</f>
        <v/>
      </c>
      <c r="U1707" s="102" t="str">
        <f>IF(TableRelationships12[[#This Row],[Rank Pedro]]="Low","Pink",IF(TableRelationships12[[#This Row],[Rank Pedro]]="Medium","Purple",IF(TableRelationships12[[#This Row],[Rank Pedro]]="High","Brown","")))</f>
        <v/>
      </c>
      <c r="V1707" s="4" t="e">
        <f>MAX(INDEX(Standards!$F$2:$F$296,MATCH(B1707,Standards!$B$2:$B$296,0)),INDEX(Standards!$F$2:$F$296,MATCH(C1707,Standards!$B$2:$B$296,0)))</f>
        <v>#N/A</v>
      </c>
      <c r="W1707" t="str">
        <f t="shared" si="80"/>
        <v>#2f89d1</v>
      </c>
    </row>
    <row r="1708" spans="1:23" x14ac:dyDescent="0.5">
      <c r="A1708" s="54">
        <v>1707</v>
      </c>
      <c r="B1708" s="90" t="s">
        <v>1706</v>
      </c>
      <c r="C1708" t="s">
        <v>1923</v>
      </c>
      <c r="D1708" s="1"/>
      <c r="E1708" s="112">
        <v>2014.02</v>
      </c>
      <c r="F1708" s="112">
        <v>2014.02</v>
      </c>
      <c r="G1708" s="107" t="s">
        <v>673</v>
      </c>
      <c r="H1708">
        <f>INDEX('GIS-Standards'!$A$2:$A$305,MATCH(B1708,'GIS-Standards'!$B$2:$B$305,0))</f>
        <v>78</v>
      </c>
      <c r="I1708" t="e">
        <f>INDEX('GIS-Standards'!$A$2:$A$305,MATCH(C1708,'GIS-Standards'!$B$2:$B$305,0))</f>
        <v>#N/A</v>
      </c>
      <c r="J1708" t="str">
        <f>INDEX('GIS-Standards'!$O$2:$O$305,MATCH(B1708,'GIS-Standards'!$B$2:$B$305,0))</f>
        <v>ISO/TC 268/SC 1</v>
      </c>
      <c r="K1708" t="e">
        <f>INDEX('GIS-Standards'!$O$2:$O$305,MATCH(C1708,'GIS-Standards'!$B$2:$B$305,0))</f>
        <v>#N/A</v>
      </c>
      <c r="M1708" t="s">
        <v>525</v>
      </c>
      <c r="N1708">
        <f>INDEX('GIS-Standards'!$I$2:$I$305,MATCH(B1708,'GIS-Standards'!$B$2:$B$305,0))</f>
        <v>0</v>
      </c>
      <c r="O1708" t="e">
        <f>INDEX('GIS-Standards'!$I$2:$I$305,MATCH(C1708,'GIS-Standards'!$B$2:$B$305,0))</f>
        <v>#N/A</v>
      </c>
      <c r="P1708" t="e">
        <f>AND(TableRelationships12[[#This Row],[Source Type]]="BIM",TableRelationships12[[#This Row],[Target Type]]="BIM")</f>
        <v>#N/A</v>
      </c>
      <c r="Q1708">
        <f t="shared" si="78"/>
        <v>1</v>
      </c>
      <c r="S1708">
        <f t="shared" si="79"/>
        <v>1</v>
      </c>
      <c r="T1708" s="102" t="str">
        <f>IF(TableRelationships12[[#This Row],[Rank Pedro]]="Low","linkCategory1",IF(TableRelationships12[[#This Row],[Rank Pedro]]="Medium","linkCategory2",IF(TableRelationships12[[#This Row],[Rank Pedro]]="High","linkCategory3","")))</f>
        <v/>
      </c>
      <c r="U1708" s="102" t="str">
        <f>IF(TableRelationships12[[#This Row],[Rank Pedro]]="Low","Pink",IF(TableRelationships12[[#This Row],[Rank Pedro]]="Medium","Purple",IF(TableRelationships12[[#This Row],[Rank Pedro]]="High","Brown","")))</f>
        <v/>
      </c>
      <c r="V1708" s="4" t="e">
        <f>MAX(INDEX(Standards!$F$2:$F$296,MATCH(B1708,Standards!$B$2:$B$296,0)),INDEX(Standards!$F$2:$F$296,MATCH(C1708,Standards!$B$2:$B$296,0)))</f>
        <v>#N/A</v>
      </c>
      <c r="W1708" t="str">
        <f t="shared" si="80"/>
        <v>#2f89d1</v>
      </c>
    </row>
    <row r="1709" spans="1:23" x14ac:dyDescent="0.5">
      <c r="A1709" s="54">
        <v>1708</v>
      </c>
      <c r="B1709" s="90" t="s">
        <v>1706</v>
      </c>
      <c r="C1709" t="s">
        <v>2066</v>
      </c>
      <c r="D1709" s="1"/>
      <c r="E1709" s="112">
        <v>2015.05</v>
      </c>
      <c r="F1709" s="112">
        <v>2024.09</v>
      </c>
      <c r="G1709" s="107" t="s">
        <v>673</v>
      </c>
      <c r="H1709">
        <f>INDEX('GIS-Standards'!$A$2:$A$305,MATCH(B1709,'GIS-Standards'!$B$2:$B$305,0))</f>
        <v>78</v>
      </c>
      <c r="I1709" t="e">
        <f>INDEX('GIS-Standards'!$A$2:$A$305,MATCH(C1709,'GIS-Standards'!$B$2:$B$305,0))</f>
        <v>#N/A</v>
      </c>
      <c r="J1709" t="str">
        <f>INDEX('GIS-Standards'!$O$2:$O$305,MATCH(B1709,'GIS-Standards'!$B$2:$B$305,0))</f>
        <v>ISO/TC 268/SC 1</v>
      </c>
      <c r="K1709" t="e">
        <f>INDEX('GIS-Standards'!$O$2:$O$305,MATCH(C1709,'GIS-Standards'!$B$2:$B$305,0))</f>
        <v>#N/A</v>
      </c>
      <c r="M1709" t="s">
        <v>525</v>
      </c>
      <c r="N1709">
        <f>INDEX('GIS-Standards'!$I$2:$I$305,MATCH(B1709,'GIS-Standards'!$B$2:$B$305,0))</f>
        <v>0</v>
      </c>
      <c r="O1709" t="e">
        <f>INDEX('GIS-Standards'!$I$2:$I$305,MATCH(C1709,'GIS-Standards'!$B$2:$B$305,0))</f>
        <v>#N/A</v>
      </c>
      <c r="P1709" t="e">
        <f>AND(TableRelationships12[[#This Row],[Source Type]]="BIM",TableRelationships12[[#This Row],[Target Type]]="BIM")</f>
        <v>#N/A</v>
      </c>
      <c r="Q1709">
        <f t="shared" si="78"/>
        <v>1</v>
      </c>
      <c r="S1709">
        <f t="shared" si="79"/>
        <v>1</v>
      </c>
      <c r="T1709" s="102" t="str">
        <f>IF(TableRelationships12[[#This Row],[Rank Pedro]]="Low","linkCategory1",IF(TableRelationships12[[#This Row],[Rank Pedro]]="Medium","linkCategory2",IF(TableRelationships12[[#This Row],[Rank Pedro]]="High","linkCategory3","")))</f>
        <v/>
      </c>
      <c r="U1709" s="102" t="str">
        <f>IF(TableRelationships12[[#This Row],[Rank Pedro]]="Low","Pink",IF(TableRelationships12[[#This Row],[Rank Pedro]]="Medium","Purple",IF(TableRelationships12[[#This Row],[Rank Pedro]]="High","Brown","")))</f>
        <v/>
      </c>
      <c r="V1709" s="4" t="e">
        <f>MAX(INDEX(Standards!$F$2:$F$296,MATCH(B1709,Standards!$B$2:$B$296,0)),INDEX(Standards!$F$2:$F$296,MATCH(C1709,Standards!$B$2:$B$296,0)))</f>
        <v>#N/A</v>
      </c>
      <c r="W1709" t="str">
        <f t="shared" si="80"/>
        <v>#2f89d1</v>
      </c>
    </row>
    <row r="1710" spans="1:23" x14ac:dyDescent="0.5">
      <c r="A1710" s="54">
        <v>1709</v>
      </c>
      <c r="B1710" s="90" t="s">
        <v>1706</v>
      </c>
      <c r="C1710" t="s">
        <v>2092</v>
      </c>
      <c r="D1710" s="1" t="s">
        <v>1924</v>
      </c>
      <c r="E1710" s="112">
        <v>2020.01</v>
      </c>
      <c r="F1710" s="112">
        <v>2020.01</v>
      </c>
      <c r="G1710" s="107" t="s">
        <v>673</v>
      </c>
      <c r="H1710">
        <f>INDEX('GIS-Standards'!$A$2:$A$305,MATCH(B1710,'GIS-Standards'!$B$2:$B$305,0))</f>
        <v>78</v>
      </c>
      <c r="I1710" t="e">
        <f>INDEX('GIS-Standards'!$A$2:$A$305,MATCH(C1710,'GIS-Standards'!$B$2:$B$305,0))</f>
        <v>#N/A</v>
      </c>
      <c r="J1710" t="str">
        <f>INDEX('GIS-Standards'!$O$2:$O$305,MATCH(B1710,'GIS-Standards'!$B$2:$B$305,0))</f>
        <v>ISO/TC 268/SC 1</v>
      </c>
      <c r="K1710" t="e">
        <f>INDEX('GIS-Standards'!$O$2:$O$305,MATCH(C1710,'GIS-Standards'!$B$2:$B$305,0))</f>
        <v>#N/A</v>
      </c>
      <c r="M1710" t="s">
        <v>525</v>
      </c>
      <c r="N1710">
        <f>INDEX('GIS-Standards'!$I$2:$I$305,MATCH(B1710,'GIS-Standards'!$B$2:$B$305,0))</f>
        <v>0</v>
      </c>
      <c r="O1710" t="e">
        <f>INDEX('GIS-Standards'!$I$2:$I$305,MATCH(C1710,'GIS-Standards'!$B$2:$B$305,0))</f>
        <v>#N/A</v>
      </c>
      <c r="P1710" t="e">
        <f>AND(TableRelationships12[[#This Row],[Source Type]]="BIM",TableRelationships12[[#This Row],[Target Type]]="BIM")</f>
        <v>#N/A</v>
      </c>
      <c r="Q1710">
        <f t="shared" si="78"/>
        <v>1</v>
      </c>
      <c r="S1710">
        <f t="shared" si="79"/>
        <v>1</v>
      </c>
      <c r="T1710" s="102" t="str">
        <f>IF(TableRelationships12[[#This Row],[Rank Pedro]]="Low","linkCategory1",IF(TableRelationships12[[#This Row],[Rank Pedro]]="Medium","linkCategory2",IF(TableRelationships12[[#This Row],[Rank Pedro]]="High","linkCategory3","")))</f>
        <v/>
      </c>
      <c r="U1710" s="102" t="str">
        <f>IF(TableRelationships12[[#This Row],[Rank Pedro]]="Low","Pink",IF(TableRelationships12[[#This Row],[Rank Pedro]]="Medium","Purple",IF(TableRelationships12[[#This Row],[Rank Pedro]]="High","Brown","")))</f>
        <v/>
      </c>
      <c r="V1710" s="4" t="e">
        <f>MAX(INDEX(Standards!$F$2:$F$296,MATCH(B1710,Standards!$B$2:$B$296,0)),INDEX(Standards!$F$2:$F$296,MATCH(C1710,Standards!$B$2:$B$296,0)))</f>
        <v>#N/A</v>
      </c>
      <c r="W1710" t="str">
        <f t="shared" si="80"/>
        <v>#2f89d1</v>
      </c>
    </row>
    <row r="1711" spans="1:23" x14ac:dyDescent="0.5">
      <c r="A1711" s="54">
        <v>1710</v>
      </c>
      <c r="B1711" s="90" t="s">
        <v>1706</v>
      </c>
      <c r="C1711" t="s">
        <v>1380</v>
      </c>
      <c r="D1711" s="1"/>
      <c r="E1711" s="112">
        <v>2020.02</v>
      </c>
      <c r="F1711" s="112">
        <v>2020.02</v>
      </c>
      <c r="G1711" s="107" t="s">
        <v>673</v>
      </c>
      <c r="H1711">
        <f>INDEX('GIS-Standards'!$A$2:$A$305,MATCH(B1711,'GIS-Standards'!$B$2:$B$305,0))</f>
        <v>78</v>
      </c>
      <c r="I1711" t="e">
        <f>INDEX('GIS-Standards'!$A$2:$A$305,MATCH(C1711,'GIS-Standards'!$B$2:$B$305,0))</f>
        <v>#N/A</v>
      </c>
      <c r="J1711" t="str">
        <f>INDEX('GIS-Standards'!$O$2:$O$305,MATCH(B1711,'GIS-Standards'!$B$2:$B$305,0))</f>
        <v>ISO/TC 268/SC 1</v>
      </c>
      <c r="K1711" t="e">
        <f>INDEX('GIS-Standards'!$O$2:$O$305,MATCH(C1711,'GIS-Standards'!$B$2:$B$305,0))</f>
        <v>#N/A</v>
      </c>
      <c r="M1711" t="s">
        <v>525</v>
      </c>
      <c r="N1711">
        <f>INDEX('GIS-Standards'!$I$2:$I$305,MATCH(B1711,'GIS-Standards'!$B$2:$B$305,0))</f>
        <v>0</v>
      </c>
      <c r="O1711" t="e">
        <f>INDEX('GIS-Standards'!$I$2:$I$305,MATCH(C1711,'GIS-Standards'!$B$2:$B$305,0))</f>
        <v>#N/A</v>
      </c>
      <c r="P1711" t="e">
        <f>AND(TableRelationships12[[#This Row],[Source Type]]="BIM",TableRelationships12[[#This Row],[Target Type]]="BIM")</f>
        <v>#N/A</v>
      </c>
      <c r="Q1711">
        <f t="shared" si="78"/>
        <v>1</v>
      </c>
      <c r="S1711">
        <f t="shared" si="79"/>
        <v>1</v>
      </c>
      <c r="T1711" s="102" t="str">
        <f>IF(TableRelationships12[[#This Row],[Rank Pedro]]="Low","linkCategory1",IF(TableRelationships12[[#This Row],[Rank Pedro]]="Medium","linkCategory2",IF(TableRelationships12[[#This Row],[Rank Pedro]]="High","linkCategory3","")))</f>
        <v/>
      </c>
      <c r="U1711" s="102" t="str">
        <f>IF(TableRelationships12[[#This Row],[Rank Pedro]]="Low","Pink",IF(TableRelationships12[[#This Row],[Rank Pedro]]="Medium","Purple",IF(TableRelationships12[[#This Row],[Rank Pedro]]="High","Brown","")))</f>
        <v/>
      </c>
      <c r="V1711" s="4" t="e">
        <f>MAX(INDEX(Standards!$F$2:$F$296,MATCH(B1711,Standards!$B$2:$B$296,0)),INDEX(Standards!$F$2:$F$296,MATCH(C1711,Standards!$B$2:$B$296,0)))</f>
        <v>#N/A</v>
      </c>
      <c r="W1711" t="str">
        <f t="shared" si="80"/>
        <v>#2f89d1</v>
      </c>
    </row>
    <row r="1712" spans="1:23" x14ac:dyDescent="0.5">
      <c r="A1712" s="54">
        <v>1711</v>
      </c>
      <c r="B1712" s="90" t="s">
        <v>1706</v>
      </c>
      <c r="C1712" t="s">
        <v>1925</v>
      </c>
      <c r="D1712" s="1"/>
      <c r="E1712" s="112">
        <v>2018.06</v>
      </c>
      <c r="F1712" s="112">
        <v>2023.1</v>
      </c>
      <c r="G1712" s="107" t="s">
        <v>1512</v>
      </c>
      <c r="H1712">
        <f>INDEX('GIS-Standards'!$A$2:$A$305,MATCH(B1712,'GIS-Standards'!$B$2:$B$305,0))</f>
        <v>78</v>
      </c>
      <c r="I1712" t="e">
        <f>INDEX('GIS-Standards'!$A$2:$A$305,MATCH(C1712,'GIS-Standards'!$B$2:$B$305,0))</f>
        <v>#N/A</v>
      </c>
      <c r="J1712" t="str">
        <f>INDEX('GIS-Standards'!$O$2:$O$305,MATCH(B1712,'GIS-Standards'!$B$2:$B$305,0))</f>
        <v>ISO/TC 268/SC 1</v>
      </c>
      <c r="K1712" t="e">
        <f>INDEX('GIS-Standards'!$O$2:$O$305,MATCH(C1712,'GIS-Standards'!$B$2:$B$305,0))</f>
        <v>#N/A</v>
      </c>
      <c r="M1712" t="s">
        <v>525</v>
      </c>
      <c r="N1712">
        <f>INDEX('GIS-Standards'!$I$2:$I$305,MATCH(B1712,'GIS-Standards'!$B$2:$B$305,0))</f>
        <v>0</v>
      </c>
      <c r="O1712" t="e">
        <f>INDEX('GIS-Standards'!$I$2:$I$305,MATCH(C1712,'GIS-Standards'!$B$2:$B$305,0))</f>
        <v>#N/A</v>
      </c>
      <c r="P1712" t="e">
        <f>AND(TableRelationships12[[#This Row],[Source Type]]="BIM",TableRelationships12[[#This Row],[Target Type]]="BIM")</f>
        <v>#N/A</v>
      </c>
      <c r="Q1712">
        <f t="shared" si="78"/>
        <v>1</v>
      </c>
      <c r="S1712">
        <f t="shared" si="79"/>
        <v>1</v>
      </c>
      <c r="T1712" s="102" t="str">
        <f>IF(TableRelationships12[[#This Row],[Rank Pedro]]="Low","linkCategory1",IF(TableRelationships12[[#This Row],[Rank Pedro]]="Medium","linkCategory2",IF(TableRelationships12[[#This Row],[Rank Pedro]]="High","linkCategory3","")))</f>
        <v/>
      </c>
      <c r="U1712" s="102" t="str">
        <f>IF(TableRelationships12[[#This Row],[Rank Pedro]]="Low","Pink",IF(TableRelationships12[[#This Row],[Rank Pedro]]="Medium","Purple",IF(TableRelationships12[[#This Row],[Rank Pedro]]="High","Brown","")))</f>
        <v/>
      </c>
      <c r="V1712" s="4" t="e">
        <f>MAX(INDEX(Standards!$F$2:$F$296,MATCH(B1712,Standards!$B$2:$B$296,0)),INDEX(Standards!$F$2:$F$296,MATCH(C1712,Standards!$B$2:$B$296,0)))</f>
        <v>#N/A</v>
      </c>
      <c r="W1712" t="str">
        <f t="shared" si="80"/>
        <v>#2f89d1</v>
      </c>
    </row>
    <row r="1713" spans="1:23" x14ac:dyDescent="0.5">
      <c r="A1713" s="54">
        <v>1712</v>
      </c>
      <c r="B1713" s="90" t="s">
        <v>1706</v>
      </c>
      <c r="C1713" t="s">
        <v>1926</v>
      </c>
      <c r="D1713" s="1"/>
      <c r="G1713" s="107"/>
      <c r="H1713">
        <f>INDEX('GIS-Standards'!$A$2:$A$305,MATCH(B1713,'GIS-Standards'!$B$2:$B$305,0))</f>
        <v>78</v>
      </c>
      <c r="I1713" t="e">
        <f>INDEX('GIS-Standards'!$A$2:$A$305,MATCH(C1713,'GIS-Standards'!$B$2:$B$305,0))</f>
        <v>#N/A</v>
      </c>
      <c r="J1713" t="str">
        <f>INDEX('GIS-Standards'!$O$2:$O$305,MATCH(B1713,'GIS-Standards'!$B$2:$B$305,0))</f>
        <v>ISO/TC 268/SC 1</v>
      </c>
      <c r="K1713" t="e">
        <f>INDEX('GIS-Standards'!$O$2:$O$305,MATCH(C1713,'GIS-Standards'!$B$2:$B$305,0))</f>
        <v>#N/A</v>
      </c>
      <c r="M1713" t="s">
        <v>525</v>
      </c>
      <c r="N1713">
        <f>INDEX('GIS-Standards'!$I$2:$I$305,MATCH(B1713,'GIS-Standards'!$B$2:$B$305,0))</f>
        <v>0</v>
      </c>
      <c r="O1713" t="e">
        <f>INDEX('GIS-Standards'!$I$2:$I$305,MATCH(C1713,'GIS-Standards'!$B$2:$B$305,0))</f>
        <v>#N/A</v>
      </c>
      <c r="P1713" t="e">
        <f>AND(TableRelationships12[[#This Row],[Source Type]]="BIM",TableRelationships12[[#This Row],[Target Type]]="BIM")</f>
        <v>#N/A</v>
      </c>
      <c r="Q1713">
        <f t="shared" si="78"/>
        <v>1</v>
      </c>
      <c r="S1713">
        <f t="shared" si="79"/>
        <v>1</v>
      </c>
      <c r="T1713" s="102" t="str">
        <f>IF(TableRelationships12[[#This Row],[Rank Pedro]]="Low","linkCategory1",IF(TableRelationships12[[#This Row],[Rank Pedro]]="Medium","linkCategory2",IF(TableRelationships12[[#This Row],[Rank Pedro]]="High","linkCategory3","")))</f>
        <v/>
      </c>
      <c r="U1713" s="102" t="str">
        <f>IF(TableRelationships12[[#This Row],[Rank Pedro]]="Low","Pink",IF(TableRelationships12[[#This Row],[Rank Pedro]]="Medium","Purple",IF(TableRelationships12[[#This Row],[Rank Pedro]]="High","Brown","")))</f>
        <v/>
      </c>
      <c r="V1713" s="4" t="e">
        <f>MAX(INDEX(Standards!$F$2:$F$296,MATCH(B1713,Standards!$B$2:$B$296,0)),INDEX(Standards!$F$2:$F$296,MATCH(C1713,Standards!$B$2:$B$296,0)))</f>
        <v>#N/A</v>
      </c>
      <c r="W1713" t="str">
        <f t="shared" si="80"/>
        <v>#2f89d1</v>
      </c>
    </row>
    <row r="1714" spans="1:23" x14ac:dyDescent="0.5">
      <c r="A1714" s="54">
        <v>1713</v>
      </c>
      <c r="B1714" s="90" t="s">
        <v>1706</v>
      </c>
      <c r="C1714" t="s">
        <v>1927</v>
      </c>
      <c r="D1714" s="1"/>
      <c r="G1714" s="107"/>
      <c r="H1714">
        <f>INDEX('GIS-Standards'!$A$2:$A$305,MATCH(B1714,'GIS-Standards'!$B$2:$B$305,0))</f>
        <v>78</v>
      </c>
      <c r="I1714" t="e">
        <f>INDEX('GIS-Standards'!$A$2:$A$305,MATCH(C1714,'GIS-Standards'!$B$2:$B$305,0))</f>
        <v>#N/A</v>
      </c>
      <c r="J1714" t="str">
        <f>INDEX('GIS-Standards'!$O$2:$O$305,MATCH(B1714,'GIS-Standards'!$B$2:$B$305,0))</f>
        <v>ISO/TC 268/SC 1</v>
      </c>
      <c r="K1714" t="e">
        <f>INDEX('GIS-Standards'!$O$2:$O$305,MATCH(C1714,'GIS-Standards'!$B$2:$B$305,0))</f>
        <v>#N/A</v>
      </c>
      <c r="M1714" t="s">
        <v>525</v>
      </c>
      <c r="N1714">
        <f>INDEX('GIS-Standards'!$I$2:$I$305,MATCH(B1714,'GIS-Standards'!$B$2:$B$305,0))</f>
        <v>0</v>
      </c>
      <c r="O1714" t="e">
        <f>INDEX('GIS-Standards'!$I$2:$I$305,MATCH(C1714,'GIS-Standards'!$B$2:$B$305,0))</f>
        <v>#N/A</v>
      </c>
      <c r="P1714" t="e">
        <f>AND(TableRelationships12[[#This Row],[Source Type]]="BIM",TableRelationships12[[#This Row],[Target Type]]="BIM")</f>
        <v>#N/A</v>
      </c>
      <c r="Q1714">
        <f t="shared" si="78"/>
        <v>1</v>
      </c>
      <c r="S1714">
        <f t="shared" si="79"/>
        <v>1</v>
      </c>
      <c r="T1714" s="102" t="str">
        <f>IF(TableRelationships12[[#This Row],[Rank Pedro]]="Low","linkCategory1",IF(TableRelationships12[[#This Row],[Rank Pedro]]="Medium","linkCategory2",IF(TableRelationships12[[#This Row],[Rank Pedro]]="High","linkCategory3","")))</f>
        <v/>
      </c>
      <c r="U1714" s="102" t="str">
        <f>IF(TableRelationships12[[#This Row],[Rank Pedro]]="Low","Pink",IF(TableRelationships12[[#This Row],[Rank Pedro]]="Medium","Purple",IF(TableRelationships12[[#This Row],[Rank Pedro]]="High","Brown","")))</f>
        <v/>
      </c>
      <c r="V1714" s="4" t="e">
        <f>MAX(INDEX(Standards!$F$2:$F$296,MATCH(B1714,Standards!$B$2:$B$296,0)),INDEX(Standards!$F$2:$F$296,MATCH(C1714,Standards!$B$2:$B$296,0)))</f>
        <v>#N/A</v>
      </c>
      <c r="W1714" t="str">
        <f t="shared" si="80"/>
        <v>#2f89d1</v>
      </c>
    </row>
    <row r="1715" spans="1:23" x14ac:dyDescent="0.5">
      <c r="A1715" s="54">
        <v>1714</v>
      </c>
      <c r="B1715" s="90" t="s">
        <v>1706</v>
      </c>
      <c r="C1715" t="s">
        <v>1928</v>
      </c>
      <c r="D1715" s="1"/>
      <c r="G1715" s="107"/>
      <c r="H1715">
        <f>INDEX('GIS-Standards'!$A$2:$A$305,MATCH(B1715,'GIS-Standards'!$B$2:$B$305,0))</f>
        <v>78</v>
      </c>
      <c r="I1715" t="e">
        <f>INDEX('GIS-Standards'!$A$2:$A$305,MATCH(C1715,'GIS-Standards'!$B$2:$B$305,0))</f>
        <v>#N/A</v>
      </c>
      <c r="J1715" t="str">
        <f>INDEX('GIS-Standards'!$O$2:$O$305,MATCH(B1715,'GIS-Standards'!$B$2:$B$305,0))</f>
        <v>ISO/TC 268/SC 1</v>
      </c>
      <c r="K1715" t="e">
        <f>INDEX('GIS-Standards'!$O$2:$O$305,MATCH(C1715,'GIS-Standards'!$B$2:$B$305,0))</f>
        <v>#N/A</v>
      </c>
      <c r="M1715" t="s">
        <v>525</v>
      </c>
      <c r="N1715">
        <f>INDEX('GIS-Standards'!$I$2:$I$305,MATCH(B1715,'GIS-Standards'!$B$2:$B$305,0))</f>
        <v>0</v>
      </c>
      <c r="O1715" t="e">
        <f>INDEX('GIS-Standards'!$I$2:$I$305,MATCH(C1715,'GIS-Standards'!$B$2:$B$305,0))</f>
        <v>#N/A</v>
      </c>
      <c r="P1715" t="e">
        <f>AND(TableRelationships12[[#This Row],[Source Type]]="BIM",TableRelationships12[[#This Row],[Target Type]]="BIM")</f>
        <v>#N/A</v>
      </c>
      <c r="Q1715">
        <f t="shared" si="78"/>
        <v>1</v>
      </c>
      <c r="S1715">
        <f t="shared" si="79"/>
        <v>1</v>
      </c>
      <c r="T1715" s="102" t="str">
        <f>IF(TableRelationships12[[#This Row],[Rank Pedro]]="Low","linkCategory1",IF(TableRelationships12[[#This Row],[Rank Pedro]]="Medium","linkCategory2",IF(TableRelationships12[[#This Row],[Rank Pedro]]="High","linkCategory3","")))</f>
        <v/>
      </c>
      <c r="U1715" s="102" t="str">
        <f>IF(TableRelationships12[[#This Row],[Rank Pedro]]="Low","Pink",IF(TableRelationships12[[#This Row],[Rank Pedro]]="Medium","Purple",IF(TableRelationships12[[#This Row],[Rank Pedro]]="High","Brown","")))</f>
        <v/>
      </c>
      <c r="V1715" s="4" t="e">
        <f>MAX(INDEX(Standards!$F$2:$F$296,MATCH(B1715,Standards!$B$2:$B$296,0)),INDEX(Standards!$F$2:$F$296,MATCH(C1715,Standards!$B$2:$B$296,0)))</f>
        <v>#N/A</v>
      </c>
      <c r="W1715" t="str">
        <f t="shared" si="80"/>
        <v>#2f89d1</v>
      </c>
    </row>
    <row r="1716" spans="1:23" x14ac:dyDescent="0.5">
      <c r="A1716" s="54">
        <v>1715</v>
      </c>
      <c r="B1716" s="90" t="s">
        <v>1706</v>
      </c>
      <c r="C1716" t="s">
        <v>1929</v>
      </c>
      <c r="D1716" s="1"/>
      <c r="G1716" s="107"/>
      <c r="H1716">
        <f>INDEX('GIS-Standards'!$A$2:$A$305,MATCH(B1716,'GIS-Standards'!$B$2:$B$305,0))</f>
        <v>78</v>
      </c>
      <c r="I1716" t="e">
        <f>INDEX('GIS-Standards'!$A$2:$A$305,MATCH(C1716,'GIS-Standards'!$B$2:$B$305,0))</f>
        <v>#N/A</v>
      </c>
      <c r="J1716" t="str">
        <f>INDEX('GIS-Standards'!$O$2:$O$305,MATCH(B1716,'GIS-Standards'!$B$2:$B$305,0))</f>
        <v>ISO/TC 268/SC 1</v>
      </c>
      <c r="K1716" t="e">
        <f>INDEX('GIS-Standards'!$O$2:$O$305,MATCH(C1716,'GIS-Standards'!$B$2:$B$305,0))</f>
        <v>#N/A</v>
      </c>
      <c r="M1716" t="s">
        <v>525</v>
      </c>
      <c r="N1716">
        <f>INDEX('GIS-Standards'!$I$2:$I$305,MATCH(B1716,'GIS-Standards'!$B$2:$B$305,0))</f>
        <v>0</v>
      </c>
      <c r="O1716" t="e">
        <f>INDEX('GIS-Standards'!$I$2:$I$305,MATCH(C1716,'GIS-Standards'!$B$2:$B$305,0))</f>
        <v>#N/A</v>
      </c>
      <c r="P1716" t="e">
        <f>AND(TableRelationships12[[#This Row],[Source Type]]="BIM",TableRelationships12[[#This Row],[Target Type]]="BIM")</f>
        <v>#N/A</v>
      </c>
      <c r="Q1716">
        <f t="shared" si="78"/>
        <v>1</v>
      </c>
      <c r="S1716">
        <f t="shared" si="79"/>
        <v>1</v>
      </c>
      <c r="T1716" s="102" t="str">
        <f>IF(TableRelationships12[[#This Row],[Rank Pedro]]="Low","linkCategory1",IF(TableRelationships12[[#This Row],[Rank Pedro]]="Medium","linkCategory2",IF(TableRelationships12[[#This Row],[Rank Pedro]]="High","linkCategory3","")))</f>
        <v/>
      </c>
      <c r="U1716" s="102" t="str">
        <f>IF(TableRelationships12[[#This Row],[Rank Pedro]]="Low","Pink",IF(TableRelationships12[[#This Row],[Rank Pedro]]="Medium","Purple",IF(TableRelationships12[[#This Row],[Rank Pedro]]="High","Brown","")))</f>
        <v/>
      </c>
      <c r="V1716" s="4" t="e">
        <f>MAX(INDEX(Standards!$F$2:$F$296,MATCH(B1716,Standards!$B$2:$B$296,0)),INDEX(Standards!$F$2:$F$296,MATCH(C1716,Standards!$B$2:$B$296,0)))</f>
        <v>#N/A</v>
      </c>
      <c r="W1716" t="str">
        <f t="shared" si="80"/>
        <v>#2f89d1</v>
      </c>
    </row>
    <row r="1717" spans="1:23" x14ac:dyDescent="0.5">
      <c r="A1717" s="54">
        <v>1716</v>
      </c>
      <c r="B1717" s="90" t="s">
        <v>1706</v>
      </c>
      <c r="C1717" t="s">
        <v>2093</v>
      </c>
      <c r="D1717" s="1" t="s">
        <v>1924</v>
      </c>
      <c r="E1717" s="112">
        <v>2021.05</v>
      </c>
      <c r="F1717" s="112">
        <v>2021.05</v>
      </c>
      <c r="G1717" s="107" t="s">
        <v>673</v>
      </c>
      <c r="H1717">
        <f>INDEX('GIS-Standards'!$A$2:$A$305,MATCH(B1717,'GIS-Standards'!$B$2:$B$305,0))</f>
        <v>78</v>
      </c>
      <c r="I1717" t="e">
        <f>INDEX('GIS-Standards'!$A$2:$A$305,MATCH(C1717,'GIS-Standards'!$B$2:$B$305,0))</f>
        <v>#N/A</v>
      </c>
      <c r="J1717" t="str">
        <f>INDEX('GIS-Standards'!$O$2:$O$305,MATCH(B1717,'GIS-Standards'!$B$2:$B$305,0))</f>
        <v>ISO/TC 268/SC 1</v>
      </c>
      <c r="K1717" t="e">
        <f>INDEX('GIS-Standards'!$O$2:$O$305,MATCH(C1717,'GIS-Standards'!$B$2:$B$305,0))</f>
        <v>#N/A</v>
      </c>
      <c r="M1717" t="s">
        <v>525</v>
      </c>
      <c r="N1717">
        <f>INDEX('GIS-Standards'!$I$2:$I$305,MATCH(B1717,'GIS-Standards'!$B$2:$B$305,0))</f>
        <v>0</v>
      </c>
      <c r="O1717" t="e">
        <f>INDEX('GIS-Standards'!$I$2:$I$305,MATCH(C1717,'GIS-Standards'!$B$2:$B$305,0))</f>
        <v>#N/A</v>
      </c>
      <c r="P1717" t="e">
        <f>AND(TableRelationships12[[#This Row],[Source Type]]="BIM",TableRelationships12[[#This Row],[Target Type]]="BIM")</f>
        <v>#N/A</v>
      </c>
      <c r="Q1717">
        <f t="shared" si="78"/>
        <v>1</v>
      </c>
      <c r="S1717">
        <f t="shared" si="79"/>
        <v>1</v>
      </c>
      <c r="T1717" s="102" t="str">
        <f>IF(TableRelationships12[[#This Row],[Rank Pedro]]="Low","linkCategory1",IF(TableRelationships12[[#This Row],[Rank Pedro]]="Medium","linkCategory2",IF(TableRelationships12[[#This Row],[Rank Pedro]]="High","linkCategory3","")))</f>
        <v/>
      </c>
      <c r="U1717" s="102" t="str">
        <f>IF(TableRelationships12[[#This Row],[Rank Pedro]]="Low","Pink",IF(TableRelationships12[[#This Row],[Rank Pedro]]="Medium","Purple",IF(TableRelationships12[[#This Row],[Rank Pedro]]="High","Brown","")))</f>
        <v/>
      </c>
      <c r="V1717" s="4" t="e">
        <f>MAX(INDEX(Standards!$F$2:$F$296,MATCH(B1717,Standards!$B$2:$B$296,0)),INDEX(Standards!$F$2:$F$296,MATCH(C1717,Standards!$B$2:$B$296,0)))</f>
        <v>#N/A</v>
      </c>
      <c r="W1717" t="str">
        <f t="shared" si="80"/>
        <v>#2f89d1</v>
      </c>
    </row>
    <row r="1718" spans="1:23" x14ac:dyDescent="0.5">
      <c r="A1718" s="54">
        <v>1717</v>
      </c>
      <c r="B1718" s="90" t="s">
        <v>1688</v>
      </c>
      <c r="C1718" t="s">
        <v>527</v>
      </c>
      <c r="D1718" s="1"/>
      <c r="E1718" s="112">
        <v>2024.08</v>
      </c>
      <c r="F1718" s="112">
        <v>2024.08</v>
      </c>
      <c r="G1718" s="121" t="s">
        <v>673</v>
      </c>
      <c r="H1718">
        <f>INDEX('GIS-Standards'!$A$2:$A$305,MATCH(B1718,'GIS-Standards'!$B$2:$B$305,0))</f>
        <v>79</v>
      </c>
      <c r="I1718" t="e">
        <f>INDEX('GIS-Standards'!$A$2:$A$305,MATCH(C1718,'GIS-Standards'!$B$2:$B$305,0))</f>
        <v>#N/A</v>
      </c>
      <c r="J1718" t="str">
        <f>INDEX('GIS-Standards'!$O$2:$O$305,MATCH(B1718,'GIS-Standards'!$B$2:$B$305,0))</f>
        <v>ISO/TC 268/SC 1</v>
      </c>
      <c r="K1718" t="e">
        <f>INDEX('GIS-Standards'!$O$2:$O$305,MATCH(C1718,'GIS-Standards'!$B$2:$B$305,0))</f>
        <v>#N/A</v>
      </c>
      <c r="M1718" t="s">
        <v>237</v>
      </c>
      <c r="N1718">
        <f>INDEX('GIS-Standards'!$I$2:$I$305,MATCH(B1718,'GIS-Standards'!$B$2:$B$305,0))</f>
        <v>0</v>
      </c>
      <c r="O1718" t="e">
        <f>INDEX('GIS-Standards'!$I$2:$I$305,MATCH(C1718,'GIS-Standards'!$B$2:$B$305,0))</f>
        <v>#N/A</v>
      </c>
      <c r="P1718" t="e">
        <f>AND(TableRelationships12[[#This Row],[Source Type]]="BIM",TableRelationships12[[#This Row],[Target Type]]="BIM")</f>
        <v>#N/A</v>
      </c>
      <c r="Q1718">
        <f t="shared" si="78"/>
        <v>2</v>
      </c>
      <c r="S1718">
        <f t="shared" si="79"/>
        <v>1</v>
      </c>
      <c r="T1718" s="102" t="str">
        <f>IF(TableRelationships12[[#This Row],[Rank Pedro]]="Low","linkCategory1",IF(TableRelationships12[[#This Row],[Rank Pedro]]="Medium","linkCategory2",IF(TableRelationships12[[#This Row],[Rank Pedro]]="High","linkCategory3","")))</f>
        <v/>
      </c>
      <c r="U1718" s="102" t="str">
        <f>IF(TableRelationships12[[#This Row],[Rank Pedro]]="Low","Pink",IF(TableRelationships12[[#This Row],[Rank Pedro]]="Medium","Purple",IF(TableRelationships12[[#This Row],[Rank Pedro]]="High","Brown","")))</f>
        <v/>
      </c>
      <c r="V1718" s="4" t="e">
        <f>MAX(INDEX(Standards!$F$2:$F$296,MATCH(B1718,Standards!$B$2:$B$296,0)),INDEX(Standards!$F$2:$F$296,MATCH(C1718,Standards!$B$2:$B$296,0)))</f>
        <v>#N/A</v>
      </c>
      <c r="W1718">
        <f t="shared" si="80"/>
        <v>1</v>
      </c>
    </row>
    <row r="1719" spans="1:23" x14ac:dyDescent="0.5">
      <c r="A1719" s="54">
        <v>1718</v>
      </c>
      <c r="B1719" s="90" t="s">
        <v>1688</v>
      </c>
      <c r="C1719" t="s">
        <v>293</v>
      </c>
      <c r="D1719" s="1"/>
      <c r="E1719" s="112">
        <v>2002.07</v>
      </c>
      <c r="F1719" s="112">
        <v>2014.11</v>
      </c>
      <c r="G1719" s="107" t="s">
        <v>670</v>
      </c>
      <c r="H1719">
        <f>INDEX('GIS-Standards'!$A$2:$A$305,MATCH(B1719,'GIS-Standards'!$B$2:$B$305,0))</f>
        <v>79</v>
      </c>
      <c r="I1719">
        <f>INDEX('GIS-Standards'!$A$2:$A$305,MATCH(C1719,'GIS-Standards'!$B$2:$B$305,0))</f>
        <v>10</v>
      </c>
      <c r="J1719" t="str">
        <f>INDEX('GIS-Standards'!$O$2:$O$305,MATCH(B1719,'GIS-Standards'!$B$2:$B$305,0))</f>
        <v>ISO/TC 268/SC 1</v>
      </c>
      <c r="K1719" t="str">
        <f>INDEX('GIS-Standards'!$O$2:$O$305,MATCH(C1719,'GIS-Standards'!$B$2:$B$305,0))</f>
        <v>ISO/TC 211</v>
      </c>
      <c r="M1719" t="s">
        <v>525</v>
      </c>
      <c r="N1719">
        <f>INDEX('GIS-Standards'!$I$2:$I$305,MATCH(B1719,'GIS-Standards'!$B$2:$B$305,0))</f>
        <v>0</v>
      </c>
      <c r="O1719">
        <f>INDEX('GIS-Standards'!$I$2:$I$305,MATCH(C1719,'GIS-Standards'!$B$2:$B$305,0))</f>
        <v>0</v>
      </c>
      <c r="P1719" t="b">
        <f>AND(TableRelationships12[[#This Row],[Source Type]]="BIM",TableRelationships12[[#This Row],[Target Type]]="BIM")</f>
        <v>0</v>
      </c>
      <c r="Q1719">
        <f t="shared" si="78"/>
        <v>1</v>
      </c>
      <c r="S1719">
        <f t="shared" si="79"/>
        <v>1</v>
      </c>
      <c r="T1719" s="102" t="str">
        <f>IF(TableRelationships12[[#This Row],[Rank Pedro]]="Low","linkCategory1",IF(TableRelationships12[[#This Row],[Rank Pedro]]="Medium","linkCategory2",IF(TableRelationships12[[#This Row],[Rank Pedro]]="High","linkCategory3","")))</f>
        <v/>
      </c>
      <c r="U1719" s="102" t="str">
        <f>IF(TableRelationships12[[#This Row],[Rank Pedro]]="Low","Pink",IF(TableRelationships12[[#This Row],[Rank Pedro]]="Medium","Purple",IF(TableRelationships12[[#This Row],[Rank Pedro]]="High","Brown","")))</f>
        <v/>
      </c>
      <c r="V1719" s="4" t="e">
        <f>MAX(INDEX(Standards!$F$2:$F$296,MATCH(B1719,Standards!$B$2:$B$296,0)),INDEX(Standards!$F$2:$F$296,MATCH(C1719,Standards!$B$2:$B$296,0)))</f>
        <v>#N/A</v>
      </c>
      <c r="W1719" t="str">
        <f t="shared" si="80"/>
        <v>#2f89d1</v>
      </c>
    </row>
    <row r="1720" spans="1:23" x14ac:dyDescent="0.5">
      <c r="A1720" s="54">
        <v>1719</v>
      </c>
      <c r="B1720" s="90" t="s">
        <v>1688</v>
      </c>
      <c r="C1720" t="s">
        <v>388</v>
      </c>
      <c r="D1720" s="1"/>
      <c r="E1720" s="112">
        <v>2020.03</v>
      </c>
      <c r="F1720" s="112">
        <v>2020.03</v>
      </c>
      <c r="G1720" s="107" t="s">
        <v>2003</v>
      </c>
      <c r="H1720">
        <f>INDEX('GIS-Standards'!$A$2:$A$305,MATCH(B1720,'GIS-Standards'!$B$2:$B$305,0))</f>
        <v>79</v>
      </c>
      <c r="I1720" t="e">
        <f>INDEX('GIS-Standards'!$A$2:$A$305,MATCH(C1720,'GIS-Standards'!$B$2:$B$305,0))</f>
        <v>#N/A</v>
      </c>
      <c r="J1720" t="str">
        <f>INDEX('GIS-Standards'!$O$2:$O$305,MATCH(B1720,'GIS-Standards'!$B$2:$B$305,0))</f>
        <v>ISO/TC 268/SC 1</v>
      </c>
      <c r="K1720" t="e">
        <f>INDEX('GIS-Standards'!$O$2:$O$305,MATCH(C1720,'GIS-Standards'!$B$2:$B$305,0))</f>
        <v>#N/A</v>
      </c>
      <c r="M1720" t="s">
        <v>525</v>
      </c>
      <c r="N1720">
        <f>INDEX('GIS-Standards'!$I$2:$I$305,MATCH(B1720,'GIS-Standards'!$B$2:$B$305,0))</f>
        <v>0</v>
      </c>
      <c r="O1720" t="e">
        <f>INDEX('GIS-Standards'!$I$2:$I$305,MATCH(C1720,'GIS-Standards'!$B$2:$B$305,0))</f>
        <v>#N/A</v>
      </c>
      <c r="P1720" t="e">
        <f>AND(TableRelationships12[[#This Row],[Source Type]]="BIM",TableRelationships12[[#This Row],[Target Type]]="BIM")</f>
        <v>#N/A</v>
      </c>
      <c r="Q1720">
        <f t="shared" si="78"/>
        <v>1</v>
      </c>
      <c r="S1720">
        <f t="shared" si="79"/>
        <v>1</v>
      </c>
      <c r="T1720" s="102" t="str">
        <f>IF(TableRelationships12[[#This Row],[Rank Pedro]]="Low","linkCategory1",IF(TableRelationships12[[#This Row],[Rank Pedro]]="Medium","linkCategory2",IF(TableRelationships12[[#This Row],[Rank Pedro]]="High","linkCategory3","")))</f>
        <v/>
      </c>
      <c r="U1720" s="102" t="str">
        <f>IF(TableRelationships12[[#This Row],[Rank Pedro]]="Low","Pink",IF(TableRelationships12[[#This Row],[Rank Pedro]]="Medium","Purple",IF(TableRelationships12[[#This Row],[Rank Pedro]]="High","Brown","")))</f>
        <v/>
      </c>
      <c r="V1720" s="4" t="e">
        <f>MAX(INDEX(Standards!$F$2:$F$296,MATCH(B1720,Standards!$B$2:$B$296,0)),INDEX(Standards!$F$2:$F$296,MATCH(C1720,Standards!$B$2:$B$296,0)))</f>
        <v>#N/A</v>
      </c>
      <c r="W1720" t="str">
        <f t="shared" si="80"/>
        <v>#2f89d1</v>
      </c>
    </row>
    <row r="1721" spans="1:23" x14ac:dyDescent="0.5">
      <c r="A1721" s="54">
        <v>1720</v>
      </c>
      <c r="B1721" s="98" t="s">
        <v>1721</v>
      </c>
      <c r="C1721" t="s">
        <v>527</v>
      </c>
      <c r="D1721" s="1" t="s">
        <v>1981</v>
      </c>
      <c r="E1721" s="112" t="s">
        <v>1681</v>
      </c>
      <c r="F1721" s="112" t="s">
        <v>1681</v>
      </c>
      <c r="G1721" s="121" t="s">
        <v>691</v>
      </c>
      <c r="H1721">
        <f>INDEX('GIS-Standards'!$A$2:$A$305,MATCH(B1721,'GIS-Standards'!$B$2:$B$305,0))</f>
        <v>81</v>
      </c>
      <c r="I1721" t="e">
        <f>INDEX('GIS-Standards'!$A$2:$A$305,MATCH(C1721,'GIS-Standards'!$B$2:$B$305,0))</f>
        <v>#N/A</v>
      </c>
      <c r="J1721" t="str">
        <f>INDEX('GIS-Standards'!$O$2:$O$305,MATCH(B1721,'GIS-Standards'!$B$2:$B$305,0))</f>
        <v>ISO/TC 59/SC 13</v>
      </c>
      <c r="K1721" t="e">
        <f>INDEX('GIS-Standards'!$O$2:$O$305,MATCH(C1721,'GIS-Standards'!$B$2:$B$305,0))</f>
        <v>#N/A</v>
      </c>
      <c r="M1721" t="s">
        <v>237</v>
      </c>
      <c r="N1721">
        <f>INDEX('GIS-Standards'!$I$2:$I$305,MATCH(B1721,'GIS-Standards'!$B$2:$B$305,0))</f>
        <v>0</v>
      </c>
      <c r="O1721" t="e">
        <f>INDEX('GIS-Standards'!$I$2:$I$305,MATCH(C1721,'GIS-Standards'!$B$2:$B$305,0))</f>
        <v>#N/A</v>
      </c>
      <c r="P1721" t="e">
        <f>AND(TableRelationships12[[#This Row],[Source Type]]="BIM",TableRelationships12[[#This Row],[Target Type]]="BIM")</f>
        <v>#N/A</v>
      </c>
      <c r="Q1721">
        <f t="shared" si="78"/>
        <v>2</v>
      </c>
      <c r="S1721">
        <f t="shared" si="79"/>
        <v>1</v>
      </c>
      <c r="T1721" s="102" t="str">
        <f>IF(TableRelationships12[[#This Row],[Rank Pedro]]="Low","linkCategory1",IF(TableRelationships12[[#This Row],[Rank Pedro]]="Medium","linkCategory2",IF(TableRelationships12[[#This Row],[Rank Pedro]]="High","linkCategory3","")))</f>
        <v/>
      </c>
      <c r="U1721" s="102" t="str">
        <f>IF(TableRelationships12[[#This Row],[Rank Pedro]]="Low","Pink",IF(TableRelationships12[[#This Row],[Rank Pedro]]="Medium","Purple",IF(TableRelationships12[[#This Row],[Rank Pedro]]="High","Brown","")))</f>
        <v/>
      </c>
      <c r="V1721" s="4" t="e">
        <f>MAX(INDEX(Standards!$F$2:$F$296,MATCH(B1721,Standards!$B$2:$B$296,0)),INDEX(Standards!$F$2:$F$296,MATCH(C1721,Standards!$B$2:$B$296,0)))</f>
        <v>#N/A</v>
      </c>
      <c r="W1721">
        <f t="shared" si="80"/>
        <v>1</v>
      </c>
    </row>
    <row r="1722" spans="1:23" x14ac:dyDescent="0.5">
      <c r="A1722" s="54">
        <v>1721</v>
      </c>
      <c r="B1722" s="98" t="s">
        <v>1721</v>
      </c>
      <c r="C1722" t="s">
        <v>484</v>
      </c>
      <c r="D1722" s="1"/>
      <c r="E1722" s="112">
        <v>2024.06</v>
      </c>
      <c r="F1722" s="112">
        <v>2024.06</v>
      </c>
      <c r="G1722" s="107" t="s">
        <v>2079</v>
      </c>
      <c r="H1722">
        <f>INDEX('GIS-Standards'!$A$2:$A$305,MATCH(B1722,'GIS-Standards'!$B$2:$B$305,0))</f>
        <v>81</v>
      </c>
      <c r="I1722" t="e">
        <f>INDEX('GIS-Standards'!$A$2:$A$305,MATCH(C1722,'GIS-Standards'!$B$2:$B$305,0))</f>
        <v>#N/A</v>
      </c>
      <c r="J1722" t="str">
        <f>INDEX('GIS-Standards'!$O$2:$O$305,MATCH(B1722,'GIS-Standards'!$B$2:$B$305,0))</f>
        <v>ISO/TC 59/SC 13</v>
      </c>
      <c r="K1722" t="e">
        <f>INDEX('GIS-Standards'!$O$2:$O$305,MATCH(C1722,'GIS-Standards'!$B$2:$B$305,0))</f>
        <v>#N/A</v>
      </c>
      <c r="M1722" t="s">
        <v>524</v>
      </c>
      <c r="N1722">
        <f>INDEX('GIS-Standards'!$I$2:$I$305,MATCH(B1722,'GIS-Standards'!$B$2:$B$305,0))</f>
        <v>0</v>
      </c>
      <c r="O1722" t="e">
        <f>INDEX('GIS-Standards'!$I$2:$I$305,MATCH(C1722,'GIS-Standards'!$B$2:$B$305,0))</f>
        <v>#N/A</v>
      </c>
      <c r="P1722" t="e">
        <f>AND(TableRelationships12[[#This Row],[Source Type]]="BIM",TableRelationships12[[#This Row],[Target Type]]="BIM")</f>
        <v>#N/A</v>
      </c>
      <c r="Q1722">
        <f t="shared" si="78"/>
        <v>6</v>
      </c>
      <c r="S1722">
        <f t="shared" si="79"/>
        <v>1</v>
      </c>
      <c r="T1722" s="102" t="str">
        <f>IF(TableRelationships12[[#This Row],[Rank Pedro]]="Low","linkCategory1",IF(TableRelationships12[[#This Row],[Rank Pedro]]="Medium","linkCategory2",IF(TableRelationships12[[#This Row],[Rank Pedro]]="High","linkCategory3","")))</f>
        <v/>
      </c>
      <c r="U1722" s="102" t="str">
        <f>IF(TableRelationships12[[#This Row],[Rank Pedro]]="Low","Pink",IF(TableRelationships12[[#This Row],[Rank Pedro]]="Medium","Purple",IF(TableRelationships12[[#This Row],[Rank Pedro]]="High","Brown","")))</f>
        <v/>
      </c>
      <c r="V1722" s="4" t="e">
        <f>MAX(INDEX(Standards!$F$2:$F$296,MATCH(B1722,Standards!$B$2:$B$296,0)),INDEX(Standards!$F$2:$F$296,MATCH(C1722,Standards!$B$2:$B$296,0)))</f>
        <v>#N/A</v>
      </c>
      <c r="W1722" t="str">
        <f t="shared" si="80"/>
        <v>#d6bf2a</v>
      </c>
    </row>
    <row r="1723" spans="1:23" x14ac:dyDescent="0.5">
      <c r="A1723" s="54">
        <v>1722</v>
      </c>
      <c r="B1723" s="98" t="s">
        <v>1721</v>
      </c>
      <c r="C1723" t="s">
        <v>310</v>
      </c>
      <c r="D1723" s="1"/>
      <c r="E1723" s="112">
        <v>2003.02</v>
      </c>
      <c r="F1723" s="112">
        <v>2023.08</v>
      </c>
      <c r="G1723" s="107" t="s">
        <v>670</v>
      </c>
      <c r="H1723">
        <f>INDEX('GIS-Standards'!$A$2:$A$305,MATCH(B1723,'GIS-Standards'!$B$2:$B$305,0))</f>
        <v>81</v>
      </c>
      <c r="I1723">
        <f>INDEX('GIS-Standards'!$A$2:$A$305,MATCH(C1723,'GIS-Standards'!$B$2:$B$305,0))</f>
        <v>20</v>
      </c>
      <c r="J1723" t="str">
        <f>INDEX('GIS-Standards'!$O$2:$O$305,MATCH(B1723,'GIS-Standards'!$B$2:$B$305,0))</f>
        <v>ISO/TC 59/SC 13</v>
      </c>
      <c r="K1723" t="str">
        <f>INDEX('GIS-Standards'!$O$2:$O$305,MATCH(C1723,'GIS-Standards'!$B$2:$B$305,0))</f>
        <v>ISO/TC 211</v>
      </c>
      <c r="M1723" t="s">
        <v>524</v>
      </c>
      <c r="N1723">
        <f>INDEX('GIS-Standards'!$I$2:$I$305,MATCH(B1723,'GIS-Standards'!$B$2:$B$305,0))</f>
        <v>0</v>
      </c>
      <c r="O1723" t="str">
        <f>INDEX('GIS-Standards'!$I$2:$I$305,MATCH(C1723,'GIS-Standards'!$B$2:$B$305,0))</f>
        <v>08.2023</v>
      </c>
      <c r="P1723" t="b">
        <f>AND(TableRelationships12[[#This Row],[Source Type]]="BIM",TableRelationships12[[#This Row],[Target Type]]="BIM")</f>
        <v>0</v>
      </c>
      <c r="Q1723">
        <f t="shared" si="78"/>
        <v>6</v>
      </c>
      <c r="S1723">
        <f t="shared" si="79"/>
        <v>1</v>
      </c>
      <c r="T1723" s="102" t="str">
        <f>IF(TableRelationships12[[#This Row],[Rank Pedro]]="Low","linkCategory1",IF(TableRelationships12[[#This Row],[Rank Pedro]]="Medium","linkCategory2",IF(TableRelationships12[[#This Row],[Rank Pedro]]="High","linkCategory3","")))</f>
        <v/>
      </c>
      <c r="U1723" s="102" t="str">
        <f>IF(TableRelationships12[[#This Row],[Rank Pedro]]="Low","Pink",IF(TableRelationships12[[#This Row],[Rank Pedro]]="Medium","Purple",IF(TableRelationships12[[#This Row],[Rank Pedro]]="High","Brown","")))</f>
        <v/>
      </c>
      <c r="V1723" s="4" t="e">
        <f>MAX(INDEX(Standards!$F$2:$F$296,MATCH(B1723,Standards!$B$2:$B$296,0)),INDEX(Standards!$F$2:$F$296,MATCH(C1723,Standards!$B$2:$B$296,0)))</f>
        <v>#N/A</v>
      </c>
      <c r="W1723" t="str">
        <f t="shared" si="80"/>
        <v>#d6bf2a</v>
      </c>
    </row>
    <row r="1724" spans="1:23" x14ac:dyDescent="0.5">
      <c r="A1724" s="54">
        <v>1723</v>
      </c>
      <c r="B1724" s="98" t="s">
        <v>1721</v>
      </c>
      <c r="C1724" t="s">
        <v>228</v>
      </c>
      <c r="D1724" s="1"/>
      <c r="E1724" s="112">
        <v>2022.08</v>
      </c>
      <c r="F1724" s="112">
        <v>2022.08</v>
      </c>
      <c r="G1724" s="107" t="s">
        <v>2061</v>
      </c>
      <c r="H1724">
        <f>INDEX('GIS-Standards'!$A$2:$A$305,MATCH(B1724,'GIS-Standards'!$B$2:$B$305,0))</f>
        <v>81</v>
      </c>
      <c r="I1724" t="e">
        <f>INDEX('GIS-Standards'!$A$2:$A$305,MATCH(C1724,'GIS-Standards'!$B$2:$B$305,0))</f>
        <v>#N/A</v>
      </c>
      <c r="J1724" t="str">
        <f>INDEX('GIS-Standards'!$O$2:$O$305,MATCH(B1724,'GIS-Standards'!$B$2:$B$305,0))</f>
        <v>ISO/TC 59/SC 13</v>
      </c>
      <c r="K1724" t="e">
        <f>INDEX('GIS-Standards'!$O$2:$O$305,MATCH(C1724,'GIS-Standards'!$B$2:$B$305,0))</f>
        <v>#N/A</v>
      </c>
      <c r="M1724" t="s">
        <v>524</v>
      </c>
      <c r="N1724">
        <f>INDEX('GIS-Standards'!$I$2:$I$305,MATCH(B1724,'GIS-Standards'!$B$2:$B$305,0))</f>
        <v>0</v>
      </c>
      <c r="O1724" t="e">
        <f>INDEX('GIS-Standards'!$I$2:$I$305,MATCH(C1724,'GIS-Standards'!$B$2:$B$305,0))</f>
        <v>#N/A</v>
      </c>
      <c r="P1724" t="e">
        <f>AND(TableRelationships12[[#This Row],[Source Type]]="BIM",TableRelationships12[[#This Row],[Target Type]]="BIM")</f>
        <v>#N/A</v>
      </c>
      <c r="Q1724">
        <f t="shared" si="78"/>
        <v>6</v>
      </c>
      <c r="S1724">
        <f t="shared" si="79"/>
        <v>1</v>
      </c>
      <c r="T1724" s="102" t="str">
        <f>IF(TableRelationships12[[#This Row],[Rank Pedro]]="Low","linkCategory1",IF(TableRelationships12[[#This Row],[Rank Pedro]]="Medium","linkCategory2",IF(TableRelationships12[[#This Row],[Rank Pedro]]="High","linkCategory3","")))</f>
        <v/>
      </c>
      <c r="U1724" s="102" t="str">
        <f>IF(TableRelationships12[[#This Row],[Rank Pedro]]="Low","Pink",IF(TableRelationships12[[#This Row],[Rank Pedro]]="Medium","Purple",IF(TableRelationships12[[#This Row],[Rank Pedro]]="High","Brown","")))</f>
        <v/>
      </c>
      <c r="V1724" s="4" t="e">
        <f>MAX(INDEX(Standards!$F$2:$F$296,MATCH(B1724,Standards!$B$2:$B$296,0)),INDEX(Standards!$F$2:$F$296,MATCH(C1724,Standards!$B$2:$B$296,0)))</f>
        <v>#N/A</v>
      </c>
      <c r="W1724" t="str">
        <f t="shared" si="80"/>
        <v>#d6bf2a</v>
      </c>
    </row>
    <row r="1725" spans="1:23" x14ac:dyDescent="0.5">
      <c r="A1725" s="54">
        <v>1724</v>
      </c>
      <c r="B1725" s="98" t="s">
        <v>1721</v>
      </c>
      <c r="C1725" t="s">
        <v>408</v>
      </c>
      <c r="D1725" s="1"/>
      <c r="E1725" s="112">
        <v>2010.05</v>
      </c>
      <c r="F1725" s="112">
        <v>2025.11</v>
      </c>
      <c r="G1725" s="107" t="s">
        <v>2003</v>
      </c>
      <c r="H1725">
        <f>INDEX('GIS-Standards'!$A$2:$A$305,MATCH(B1725,'GIS-Standards'!$B$2:$B$305,0))</f>
        <v>81</v>
      </c>
      <c r="I1725" t="e">
        <f>INDEX('GIS-Standards'!$A$2:$A$305,MATCH(C1725,'GIS-Standards'!$B$2:$B$305,0))</f>
        <v>#N/A</v>
      </c>
      <c r="J1725" t="str">
        <f>INDEX('GIS-Standards'!$O$2:$O$305,MATCH(B1725,'GIS-Standards'!$B$2:$B$305,0))</f>
        <v>ISO/TC 59/SC 13</v>
      </c>
      <c r="K1725" t="e">
        <f>INDEX('GIS-Standards'!$O$2:$O$305,MATCH(C1725,'GIS-Standards'!$B$2:$B$305,0))</f>
        <v>#N/A</v>
      </c>
      <c r="M1725" t="s">
        <v>524</v>
      </c>
      <c r="N1725">
        <f>INDEX('GIS-Standards'!$I$2:$I$305,MATCH(B1725,'GIS-Standards'!$B$2:$B$305,0))</f>
        <v>0</v>
      </c>
      <c r="O1725" t="e">
        <f>INDEX('GIS-Standards'!$I$2:$I$305,MATCH(C1725,'GIS-Standards'!$B$2:$B$305,0))</f>
        <v>#N/A</v>
      </c>
      <c r="P1725" t="e">
        <f>AND(TableRelationships12[[#This Row],[Source Type]]="BIM",TableRelationships12[[#This Row],[Target Type]]="BIM")</f>
        <v>#N/A</v>
      </c>
      <c r="Q1725">
        <f t="shared" si="78"/>
        <v>6</v>
      </c>
      <c r="S1725">
        <f t="shared" si="79"/>
        <v>1</v>
      </c>
      <c r="T1725" s="102" t="str">
        <f>IF(TableRelationships12[[#This Row],[Rank Pedro]]="Low","linkCategory1",IF(TableRelationships12[[#This Row],[Rank Pedro]]="Medium","linkCategory2",IF(TableRelationships12[[#This Row],[Rank Pedro]]="High","linkCategory3","")))</f>
        <v/>
      </c>
      <c r="U1725" s="102" t="str">
        <f>IF(TableRelationships12[[#This Row],[Rank Pedro]]="Low","Pink",IF(TableRelationships12[[#This Row],[Rank Pedro]]="Medium","Purple",IF(TableRelationships12[[#This Row],[Rank Pedro]]="High","Brown","")))</f>
        <v/>
      </c>
      <c r="V1725" s="4" t="e">
        <f>MAX(INDEX(Standards!$F$2:$F$296,MATCH(B1725,Standards!$B$2:$B$296,0)),INDEX(Standards!$F$2:$F$296,MATCH(C1725,Standards!$B$2:$B$296,0)))</f>
        <v>#N/A</v>
      </c>
      <c r="W1725" t="str">
        <f t="shared" si="80"/>
        <v>#d6bf2a</v>
      </c>
    </row>
    <row r="1726" spans="1:23" x14ac:dyDescent="0.5">
      <c r="A1726" s="54">
        <v>1725</v>
      </c>
      <c r="B1726" s="98" t="s">
        <v>1721</v>
      </c>
      <c r="C1726" t="s">
        <v>302</v>
      </c>
      <c r="D1726" s="1"/>
      <c r="E1726" s="112">
        <v>2003.05</v>
      </c>
      <c r="F1726" s="112">
        <v>2019.12</v>
      </c>
      <c r="G1726" s="107" t="s">
        <v>670</v>
      </c>
      <c r="H1726">
        <f>INDEX('GIS-Standards'!$A$2:$A$305,MATCH(B1726,'GIS-Standards'!$B$2:$B$305,0))</f>
        <v>81</v>
      </c>
      <c r="I1726">
        <f>INDEX('GIS-Standards'!$A$2:$A$305,MATCH(C1726,'GIS-Standards'!$B$2:$B$305,0))</f>
        <v>16</v>
      </c>
      <c r="J1726" t="str">
        <f>INDEX('GIS-Standards'!$O$2:$O$305,MATCH(B1726,'GIS-Standards'!$B$2:$B$305,0))</f>
        <v>ISO/TC 59/SC 13</v>
      </c>
      <c r="K1726" t="str">
        <f>INDEX('GIS-Standards'!$O$2:$O$305,MATCH(C1726,'GIS-Standards'!$B$2:$B$305,0))</f>
        <v>ISO/TC 211</v>
      </c>
      <c r="M1726" t="s">
        <v>525</v>
      </c>
      <c r="N1726">
        <f>INDEX('GIS-Standards'!$I$2:$I$305,MATCH(B1726,'GIS-Standards'!$B$2:$B$305,0))</f>
        <v>0</v>
      </c>
      <c r="O1726">
        <f>INDEX('GIS-Standards'!$I$2:$I$305,MATCH(C1726,'GIS-Standards'!$B$2:$B$305,0))</f>
        <v>0</v>
      </c>
      <c r="P1726" t="b">
        <f>AND(TableRelationships12[[#This Row],[Source Type]]="BIM",TableRelationships12[[#This Row],[Target Type]]="BIM")</f>
        <v>0</v>
      </c>
      <c r="Q1726">
        <f t="shared" si="78"/>
        <v>1</v>
      </c>
      <c r="S1726">
        <f t="shared" si="79"/>
        <v>1</v>
      </c>
      <c r="T1726" s="102" t="str">
        <f>IF(TableRelationships12[[#This Row],[Rank Pedro]]="Low","linkCategory1",IF(TableRelationships12[[#This Row],[Rank Pedro]]="Medium","linkCategory2",IF(TableRelationships12[[#This Row],[Rank Pedro]]="High","linkCategory3","")))</f>
        <v/>
      </c>
      <c r="U1726" s="102" t="str">
        <f>IF(TableRelationships12[[#This Row],[Rank Pedro]]="Low","Pink",IF(TableRelationships12[[#This Row],[Rank Pedro]]="Medium","Purple",IF(TableRelationships12[[#This Row],[Rank Pedro]]="High","Brown","")))</f>
        <v/>
      </c>
      <c r="V1726" s="4" t="e">
        <f>MAX(INDEX(Standards!$F$2:$F$296,MATCH(B1726,Standards!$B$2:$B$296,0)),INDEX(Standards!$F$2:$F$296,MATCH(C1726,Standards!$B$2:$B$296,0)))</f>
        <v>#N/A</v>
      </c>
      <c r="W1726" t="str">
        <f t="shared" si="80"/>
        <v>#2f89d1</v>
      </c>
    </row>
    <row r="1727" spans="1:23" x14ac:dyDescent="0.5">
      <c r="A1727" s="54">
        <v>1726</v>
      </c>
      <c r="B1727" s="98" t="s">
        <v>1721</v>
      </c>
      <c r="C1727" t="s">
        <v>310</v>
      </c>
      <c r="D1727" s="1"/>
      <c r="E1727" s="112">
        <v>2003.02</v>
      </c>
      <c r="F1727" s="112">
        <v>2023.08</v>
      </c>
      <c r="G1727" s="107" t="s">
        <v>670</v>
      </c>
      <c r="H1727">
        <f>INDEX('GIS-Standards'!$A$2:$A$305,MATCH(B1727,'GIS-Standards'!$B$2:$B$305,0))</f>
        <v>81</v>
      </c>
      <c r="I1727">
        <f>INDEX('GIS-Standards'!$A$2:$A$305,MATCH(C1727,'GIS-Standards'!$B$2:$B$305,0))</f>
        <v>20</v>
      </c>
      <c r="J1727" t="str">
        <f>INDEX('GIS-Standards'!$O$2:$O$305,MATCH(B1727,'GIS-Standards'!$B$2:$B$305,0))</f>
        <v>ISO/TC 59/SC 13</v>
      </c>
      <c r="K1727" t="str">
        <f>INDEX('GIS-Standards'!$O$2:$O$305,MATCH(C1727,'GIS-Standards'!$B$2:$B$305,0))</f>
        <v>ISO/TC 211</v>
      </c>
      <c r="M1727" t="s">
        <v>525</v>
      </c>
      <c r="N1727">
        <f>INDEX('GIS-Standards'!$I$2:$I$305,MATCH(B1727,'GIS-Standards'!$B$2:$B$305,0))</f>
        <v>0</v>
      </c>
      <c r="O1727" t="str">
        <f>INDEX('GIS-Standards'!$I$2:$I$305,MATCH(C1727,'GIS-Standards'!$B$2:$B$305,0))</f>
        <v>08.2023</v>
      </c>
      <c r="P1727" t="b">
        <f>AND(TableRelationships12[[#This Row],[Source Type]]="BIM",TableRelationships12[[#This Row],[Target Type]]="BIM")</f>
        <v>0</v>
      </c>
      <c r="Q1727">
        <f t="shared" si="78"/>
        <v>1</v>
      </c>
      <c r="S1727">
        <f t="shared" si="79"/>
        <v>1</v>
      </c>
      <c r="T1727" s="102" t="str">
        <f>IF(TableRelationships12[[#This Row],[Rank Pedro]]="Low","linkCategory1",IF(TableRelationships12[[#This Row],[Rank Pedro]]="Medium","linkCategory2",IF(TableRelationships12[[#This Row],[Rank Pedro]]="High","linkCategory3","")))</f>
        <v/>
      </c>
      <c r="U1727" s="102" t="str">
        <f>IF(TableRelationships12[[#This Row],[Rank Pedro]]="Low","Pink",IF(TableRelationships12[[#This Row],[Rank Pedro]]="Medium","Purple",IF(TableRelationships12[[#This Row],[Rank Pedro]]="High","Brown","")))</f>
        <v/>
      </c>
      <c r="V1727" s="4" t="e">
        <f>MAX(INDEX(Standards!$F$2:$F$296,MATCH(B1727,Standards!$B$2:$B$296,0)),INDEX(Standards!$F$2:$F$296,MATCH(C1727,Standards!$B$2:$B$296,0)))</f>
        <v>#N/A</v>
      </c>
      <c r="W1727" t="str">
        <f t="shared" si="80"/>
        <v>#2f89d1</v>
      </c>
    </row>
    <row r="1728" spans="1:23" x14ac:dyDescent="0.5">
      <c r="A1728" s="54">
        <v>1727</v>
      </c>
      <c r="B1728" s="98" t="s">
        <v>1721</v>
      </c>
      <c r="C1728" t="s">
        <v>314</v>
      </c>
      <c r="D1728" s="1"/>
      <c r="E1728" s="112">
        <v>2003.05</v>
      </c>
      <c r="F1728" s="112">
        <v>2020.11</v>
      </c>
      <c r="G1728" s="107" t="s">
        <v>670</v>
      </c>
      <c r="H1728">
        <f>INDEX('GIS-Standards'!$A$2:$A$305,MATCH(B1728,'GIS-Standards'!$B$2:$B$305,0))</f>
        <v>81</v>
      </c>
      <c r="I1728">
        <f>INDEX('GIS-Standards'!$A$2:$A$305,MATCH(C1728,'GIS-Standards'!$B$2:$B$305,0))</f>
        <v>22</v>
      </c>
      <c r="J1728" t="str">
        <f>INDEX('GIS-Standards'!$O$2:$O$305,MATCH(B1728,'GIS-Standards'!$B$2:$B$305,0))</f>
        <v>ISO/TC 59/SC 13</v>
      </c>
      <c r="K1728" t="str">
        <f>INDEX('GIS-Standards'!$O$2:$O$305,MATCH(C1728,'GIS-Standards'!$B$2:$B$305,0))</f>
        <v>ISO/TC 211</v>
      </c>
      <c r="M1728" t="s">
        <v>525</v>
      </c>
      <c r="N1728">
        <f>INDEX('GIS-Standards'!$I$2:$I$305,MATCH(B1728,'GIS-Standards'!$B$2:$B$305,0))</f>
        <v>0</v>
      </c>
      <c r="O1728" t="str">
        <f>INDEX('GIS-Standards'!$I$2:$I$305,MATCH(C1728,'GIS-Standards'!$B$2:$B$305,0))</f>
        <v>12.2020</v>
      </c>
      <c r="P1728" t="b">
        <f>AND(TableRelationships12[[#This Row],[Source Type]]="BIM",TableRelationships12[[#This Row],[Target Type]]="BIM")</f>
        <v>0</v>
      </c>
      <c r="Q1728">
        <f t="shared" si="78"/>
        <v>1</v>
      </c>
      <c r="S1728">
        <f t="shared" si="79"/>
        <v>1</v>
      </c>
      <c r="T1728" s="102" t="str">
        <f>IF(TableRelationships12[[#This Row],[Rank Pedro]]="Low","linkCategory1",IF(TableRelationships12[[#This Row],[Rank Pedro]]="Medium","linkCategory2",IF(TableRelationships12[[#This Row],[Rank Pedro]]="High","linkCategory3","")))</f>
        <v/>
      </c>
      <c r="U1728" s="102" t="str">
        <f>IF(TableRelationships12[[#This Row],[Rank Pedro]]="Low","Pink",IF(TableRelationships12[[#This Row],[Rank Pedro]]="Medium","Purple",IF(TableRelationships12[[#This Row],[Rank Pedro]]="High","Brown","")))</f>
        <v/>
      </c>
      <c r="V1728" s="4" t="e">
        <f>MAX(INDEX(Standards!$F$2:$F$296,MATCH(B1728,Standards!$B$2:$B$296,0)),INDEX(Standards!$F$2:$F$296,MATCH(C1728,Standards!$B$2:$B$296,0)))</f>
        <v>#N/A</v>
      </c>
      <c r="W1728" t="str">
        <f t="shared" si="80"/>
        <v>#2f89d1</v>
      </c>
    </row>
    <row r="1729" spans="1:23" x14ac:dyDescent="0.5">
      <c r="A1729" s="54">
        <v>1728</v>
      </c>
      <c r="B1729" s="98" t="s">
        <v>1721</v>
      </c>
      <c r="C1729" t="s">
        <v>653</v>
      </c>
      <c r="D1729" s="1"/>
      <c r="E1729" s="113">
        <v>2007.04</v>
      </c>
      <c r="F1729" s="113">
        <v>2019.03</v>
      </c>
      <c r="G1729" s="107" t="s">
        <v>670</v>
      </c>
      <c r="H1729">
        <f>INDEX('GIS-Standards'!$A$2:$A$305,MATCH(B1729,'GIS-Standards'!$B$2:$B$305,0))</f>
        <v>81</v>
      </c>
      <c r="I1729">
        <f>INDEX('GIS-Standards'!$A$2:$A$305,MATCH(C1729,'GIS-Standards'!$B$2:$B$305,0))</f>
        <v>102</v>
      </c>
      <c r="J1729" t="str">
        <f>INDEX('GIS-Standards'!$O$2:$O$305,MATCH(B1729,'GIS-Standards'!$B$2:$B$305,0))</f>
        <v>ISO/TC 59/SC 13</v>
      </c>
      <c r="K1729" t="str">
        <f>INDEX('GIS-Standards'!$O$2:$O$305,MATCH(C1729,'GIS-Standards'!$B$2:$B$305,0))</f>
        <v>ISO/TC 211</v>
      </c>
      <c r="M1729" t="s">
        <v>525</v>
      </c>
      <c r="N1729">
        <f>INDEX('GIS-Standards'!$I$2:$I$305,MATCH(B1729,'GIS-Standards'!$B$2:$B$305,0))</f>
        <v>0</v>
      </c>
      <c r="O1729">
        <f>INDEX('GIS-Standards'!$I$2:$I$305,MATCH(C1729,'GIS-Standards'!$B$2:$B$305,0))</f>
        <v>0</v>
      </c>
      <c r="P1729" t="b">
        <f>AND(TableRelationships12[[#This Row],[Source Type]]="BIM",TableRelationships12[[#This Row],[Target Type]]="BIM")</f>
        <v>0</v>
      </c>
      <c r="Q1729">
        <f t="shared" si="78"/>
        <v>1</v>
      </c>
      <c r="S1729">
        <f t="shared" si="79"/>
        <v>1</v>
      </c>
      <c r="T1729" s="102" t="str">
        <f>IF(TableRelationships12[[#This Row],[Rank Pedro]]="Low","linkCategory1",IF(TableRelationships12[[#This Row],[Rank Pedro]]="Medium","linkCategory2",IF(TableRelationships12[[#This Row],[Rank Pedro]]="High","linkCategory3","")))</f>
        <v/>
      </c>
      <c r="U1729" s="102" t="str">
        <f>IF(TableRelationships12[[#This Row],[Rank Pedro]]="Low","Pink",IF(TableRelationships12[[#This Row],[Rank Pedro]]="Medium","Purple",IF(TableRelationships12[[#This Row],[Rank Pedro]]="High","Brown","")))</f>
        <v/>
      </c>
      <c r="V1729" s="4" t="e">
        <f>MAX(INDEX(Standards!$F$2:$F$296,MATCH(B1729,Standards!$B$2:$B$296,0)),INDEX(Standards!$F$2:$F$296,MATCH(C1729,Standards!$B$2:$B$296,0)))</f>
        <v>#N/A</v>
      </c>
      <c r="W1729" t="str">
        <f t="shared" si="80"/>
        <v>#2f89d1</v>
      </c>
    </row>
    <row r="1730" spans="1:23" x14ac:dyDescent="0.5">
      <c r="A1730" s="54">
        <v>1729</v>
      </c>
      <c r="B1730" s="98" t="s">
        <v>1721</v>
      </c>
      <c r="C1730" t="s">
        <v>334</v>
      </c>
      <c r="D1730" s="1"/>
      <c r="E1730" s="113">
        <v>2007.09</v>
      </c>
      <c r="F1730" s="113">
        <v>2020.01</v>
      </c>
      <c r="G1730" s="107" t="s">
        <v>670</v>
      </c>
      <c r="H1730">
        <f>INDEX('GIS-Standards'!$A$2:$A$305,MATCH(B1730,'GIS-Standards'!$B$2:$B$305,0))</f>
        <v>81</v>
      </c>
      <c r="I1730">
        <f>INDEX('GIS-Standards'!$A$2:$A$305,MATCH(C1730,'GIS-Standards'!$B$2:$B$305,0))</f>
        <v>42</v>
      </c>
      <c r="J1730" t="str">
        <f>INDEX('GIS-Standards'!$O$2:$O$305,MATCH(B1730,'GIS-Standards'!$B$2:$B$305,0))</f>
        <v>ISO/TC 59/SC 13</v>
      </c>
      <c r="K1730" t="str">
        <f>INDEX('GIS-Standards'!$O$2:$O$305,MATCH(C1730,'GIS-Standards'!$B$2:$B$305,0))</f>
        <v>ISO/TC 211</v>
      </c>
      <c r="M1730" t="s">
        <v>525</v>
      </c>
      <c r="N1730">
        <f>INDEX('GIS-Standards'!$I$2:$I$305,MATCH(B1730,'GIS-Standards'!$B$2:$B$305,0))</f>
        <v>0</v>
      </c>
      <c r="O1730">
        <f>INDEX('GIS-Standards'!$I$2:$I$305,MATCH(C1730,'GIS-Standards'!$B$2:$B$305,0))</f>
        <v>0</v>
      </c>
      <c r="P1730" t="b">
        <f>AND(TableRelationships12[[#This Row],[Source Type]]="BIM",TableRelationships12[[#This Row],[Target Type]]="BIM")</f>
        <v>0</v>
      </c>
      <c r="Q1730">
        <f t="shared" ref="Q1730:Q1793" si="81">IF(M1730="Normative",6,IF(M1730="Secondary",4,IF(M1730="Anchor",2,1)))</f>
        <v>1</v>
      </c>
      <c r="S1730">
        <f t="shared" ref="S1730:S1793" si="82">IF(R1730="High",10,IF(R1730="Medium",6,IF(R1730="Low",2,1)))</f>
        <v>1</v>
      </c>
      <c r="T1730" s="102" t="str">
        <f>IF(TableRelationships12[[#This Row],[Rank Pedro]]="Low","linkCategory1",IF(TableRelationships12[[#This Row],[Rank Pedro]]="Medium","linkCategory2",IF(TableRelationships12[[#This Row],[Rank Pedro]]="High","linkCategory3","")))</f>
        <v/>
      </c>
      <c r="U1730" s="102" t="str">
        <f>IF(TableRelationships12[[#This Row],[Rank Pedro]]="Low","Pink",IF(TableRelationships12[[#This Row],[Rank Pedro]]="Medium","Purple",IF(TableRelationships12[[#This Row],[Rank Pedro]]="High","Brown","")))</f>
        <v/>
      </c>
      <c r="V1730" s="4" t="e">
        <f>MAX(INDEX(Standards!$F$2:$F$296,MATCH(B1730,Standards!$B$2:$B$296,0)),INDEX(Standards!$F$2:$F$296,MATCH(C1730,Standards!$B$2:$B$296,0)))</f>
        <v>#N/A</v>
      </c>
      <c r="W1730" t="str">
        <f t="shared" ref="W1730:W1793" si="83">IF(M1730="Normative", "#d6bf2a", IF(M1730="Informative", "#2f89d1", 1))</f>
        <v>#2f89d1</v>
      </c>
    </row>
    <row r="1731" spans="1:23" x14ac:dyDescent="0.5">
      <c r="A1731" s="54">
        <v>1730</v>
      </c>
      <c r="B1731" s="98" t="s">
        <v>1721</v>
      </c>
      <c r="C1731" t="s">
        <v>642</v>
      </c>
      <c r="D1731" s="1"/>
      <c r="E1731" s="112">
        <v>2015.08</v>
      </c>
      <c r="F1731" s="112">
        <v>2023.08</v>
      </c>
      <c r="G1731" s="107" t="s">
        <v>670</v>
      </c>
      <c r="H1731">
        <f>INDEX('GIS-Standards'!$A$2:$A$305,MATCH(B1731,'GIS-Standards'!$B$2:$B$305,0))</f>
        <v>81</v>
      </c>
      <c r="I1731">
        <f>INDEX('GIS-Standards'!$A$2:$A$305,MATCH(C1731,'GIS-Standards'!$B$2:$B$305,0))</f>
        <v>68</v>
      </c>
      <c r="J1731" t="str">
        <f>INDEX('GIS-Standards'!$O$2:$O$305,MATCH(B1731,'GIS-Standards'!$B$2:$B$305,0))</f>
        <v>ISO/TC 59/SC 13</v>
      </c>
      <c r="K1731" t="str">
        <f>INDEX('GIS-Standards'!$O$2:$O$305,MATCH(C1731,'GIS-Standards'!$B$2:$B$305,0))</f>
        <v>ISO/TC 211</v>
      </c>
      <c r="M1731" t="s">
        <v>525</v>
      </c>
      <c r="N1731">
        <f>INDEX('GIS-Standards'!$I$2:$I$305,MATCH(B1731,'GIS-Standards'!$B$2:$B$305,0))</f>
        <v>0</v>
      </c>
      <c r="O1731" t="str">
        <f>INDEX('GIS-Standards'!$I$2:$I$305,MATCH(C1731,'GIS-Standards'!$B$2:$B$305,0))</f>
        <v>08.2023</v>
      </c>
      <c r="P1731" t="b">
        <f>AND(TableRelationships12[[#This Row],[Source Type]]="BIM",TableRelationships12[[#This Row],[Target Type]]="BIM")</f>
        <v>0</v>
      </c>
      <c r="Q1731">
        <f t="shared" si="81"/>
        <v>1</v>
      </c>
      <c r="S1731">
        <f t="shared" si="82"/>
        <v>1</v>
      </c>
      <c r="T1731" s="102" t="str">
        <f>IF(TableRelationships12[[#This Row],[Rank Pedro]]="Low","linkCategory1",IF(TableRelationships12[[#This Row],[Rank Pedro]]="Medium","linkCategory2",IF(TableRelationships12[[#This Row],[Rank Pedro]]="High","linkCategory3","")))</f>
        <v/>
      </c>
      <c r="U1731" s="102" t="str">
        <f>IF(TableRelationships12[[#This Row],[Rank Pedro]]="Low","Pink",IF(TableRelationships12[[#This Row],[Rank Pedro]]="Medium","Purple",IF(TableRelationships12[[#This Row],[Rank Pedro]]="High","Brown","")))</f>
        <v/>
      </c>
      <c r="V1731" s="4" t="e">
        <f>MAX(INDEX(Standards!$F$2:$F$296,MATCH(B1731,Standards!$B$2:$B$296,0)),INDEX(Standards!$F$2:$F$296,MATCH(C1731,Standards!$B$2:$B$296,0)))</f>
        <v>#N/A</v>
      </c>
      <c r="W1731" t="str">
        <f t="shared" si="83"/>
        <v>#2f89d1</v>
      </c>
    </row>
    <row r="1732" spans="1:23" x14ac:dyDescent="0.5">
      <c r="A1732" s="54">
        <v>1731</v>
      </c>
      <c r="B1732" s="98" t="s">
        <v>1721</v>
      </c>
      <c r="C1732" t="s">
        <v>144</v>
      </c>
      <c r="D1732" s="1"/>
      <c r="E1732" s="112">
        <v>2013.04</v>
      </c>
      <c r="F1732" s="112">
        <v>2024.03</v>
      </c>
      <c r="G1732" s="107" t="s">
        <v>1448</v>
      </c>
      <c r="H1732">
        <f>INDEX('GIS-Standards'!$A$2:$A$305,MATCH(B1732,'GIS-Standards'!$B$2:$B$305,0))</f>
        <v>81</v>
      </c>
      <c r="I1732" t="e">
        <f>INDEX('GIS-Standards'!$A$2:$A$305,MATCH(C1732,'GIS-Standards'!$B$2:$B$305,0))</f>
        <v>#N/A</v>
      </c>
      <c r="J1732" t="str">
        <f>INDEX('GIS-Standards'!$O$2:$O$305,MATCH(B1732,'GIS-Standards'!$B$2:$B$305,0))</f>
        <v>ISO/TC 59/SC 13</v>
      </c>
      <c r="K1732" t="e">
        <f>INDEX('GIS-Standards'!$O$2:$O$305,MATCH(C1732,'GIS-Standards'!$B$2:$B$305,0))</f>
        <v>#N/A</v>
      </c>
      <c r="M1732" t="s">
        <v>525</v>
      </c>
      <c r="N1732">
        <f>INDEX('GIS-Standards'!$I$2:$I$305,MATCH(B1732,'GIS-Standards'!$B$2:$B$305,0))</f>
        <v>0</v>
      </c>
      <c r="O1732" t="e">
        <f>INDEX('GIS-Standards'!$I$2:$I$305,MATCH(C1732,'GIS-Standards'!$B$2:$B$305,0))</f>
        <v>#N/A</v>
      </c>
      <c r="P1732" t="e">
        <f>AND(TableRelationships12[[#This Row],[Source Type]]="BIM",TableRelationships12[[#This Row],[Target Type]]="BIM")</f>
        <v>#N/A</v>
      </c>
      <c r="Q1732">
        <f t="shared" si="81"/>
        <v>1</v>
      </c>
      <c r="S1732">
        <f t="shared" si="82"/>
        <v>1</v>
      </c>
      <c r="T1732" s="102" t="str">
        <f>IF(TableRelationships12[[#This Row],[Rank Pedro]]="Low","linkCategory1",IF(TableRelationships12[[#This Row],[Rank Pedro]]="Medium","linkCategory2",IF(TableRelationships12[[#This Row],[Rank Pedro]]="High","linkCategory3","")))</f>
        <v/>
      </c>
      <c r="U1732" s="102" t="str">
        <f>IF(TableRelationships12[[#This Row],[Rank Pedro]]="Low","Pink",IF(TableRelationships12[[#This Row],[Rank Pedro]]="Medium","Purple",IF(TableRelationships12[[#This Row],[Rank Pedro]]="High","Brown","")))</f>
        <v/>
      </c>
      <c r="V1732" s="4" t="e">
        <f>MAX(INDEX(Standards!$F$2:$F$296,MATCH(B1732,Standards!$B$2:$B$296,0)),INDEX(Standards!$F$2:$F$296,MATCH(C1732,Standards!$B$2:$B$296,0)))</f>
        <v>#N/A</v>
      </c>
      <c r="W1732" t="str">
        <f t="shared" si="83"/>
        <v>#2f89d1</v>
      </c>
    </row>
    <row r="1733" spans="1:23" x14ac:dyDescent="0.5">
      <c r="A1733" s="54">
        <v>1732</v>
      </c>
      <c r="B1733" s="98" t="s">
        <v>1721</v>
      </c>
      <c r="C1733" t="s">
        <v>210</v>
      </c>
      <c r="D1733" s="1" t="s">
        <v>1676</v>
      </c>
      <c r="E1733" s="112">
        <v>2018.12</v>
      </c>
      <c r="F1733" s="112">
        <v>2018.12</v>
      </c>
      <c r="G1733" s="107" t="s">
        <v>2061</v>
      </c>
      <c r="H1733">
        <f>INDEX('GIS-Standards'!$A$2:$A$305,MATCH(B1733,'GIS-Standards'!$B$2:$B$305,0))</f>
        <v>81</v>
      </c>
      <c r="I1733" t="e">
        <f>INDEX('GIS-Standards'!$A$2:$A$305,MATCH(C1733,'GIS-Standards'!$B$2:$B$305,0))</f>
        <v>#N/A</v>
      </c>
      <c r="J1733" t="str">
        <f>INDEX('GIS-Standards'!$O$2:$O$305,MATCH(B1733,'GIS-Standards'!$B$2:$B$305,0))</f>
        <v>ISO/TC 59/SC 13</v>
      </c>
      <c r="K1733" t="e">
        <f>INDEX('GIS-Standards'!$O$2:$O$305,MATCH(C1733,'GIS-Standards'!$B$2:$B$305,0))</f>
        <v>#N/A</v>
      </c>
      <c r="M1733" t="s">
        <v>525</v>
      </c>
      <c r="N1733">
        <f>INDEX('GIS-Standards'!$I$2:$I$305,MATCH(B1733,'GIS-Standards'!$B$2:$B$305,0))</f>
        <v>0</v>
      </c>
      <c r="O1733" t="e">
        <f>INDEX('GIS-Standards'!$I$2:$I$305,MATCH(C1733,'GIS-Standards'!$B$2:$B$305,0))</f>
        <v>#N/A</v>
      </c>
      <c r="P1733" t="e">
        <f>AND(TableRelationships12[[#This Row],[Source Type]]="BIM",TableRelationships12[[#This Row],[Target Type]]="BIM")</f>
        <v>#N/A</v>
      </c>
      <c r="Q1733">
        <f t="shared" si="81"/>
        <v>1</v>
      </c>
      <c r="S1733">
        <f t="shared" si="82"/>
        <v>1</v>
      </c>
      <c r="T1733" s="102" t="str">
        <f>IF(TableRelationships12[[#This Row],[Rank Pedro]]="Low","linkCategory1",IF(TableRelationships12[[#This Row],[Rank Pedro]]="Medium","linkCategory2",IF(TableRelationships12[[#This Row],[Rank Pedro]]="High","linkCategory3","")))</f>
        <v/>
      </c>
      <c r="U1733" s="102" t="str">
        <f>IF(TableRelationships12[[#This Row],[Rank Pedro]]="Low","Pink",IF(TableRelationships12[[#This Row],[Rank Pedro]]="Medium","Purple",IF(TableRelationships12[[#This Row],[Rank Pedro]]="High","Brown","")))</f>
        <v/>
      </c>
      <c r="V1733" s="4" t="e">
        <f>MAX(INDEX(Standards!$F$2:$F$296,MATCH(B1733,Standards!$B$2:$B$296,0)),INDEX(Standards!$F$2:$F$296,MATCH(C1733,Standards!$B$2:$B$296,0)))</f>
        <v>#N/A</v>
      </c>
      <c r="W1733" t="str">
        <f t="shared" si="83"/>
        <v>#2f89d1</v>
      </c>
    </row>
    <row r="1734" spans="1:23" x14ac:dyDescent="0.5">
      <c r="A1734" s="54">
        <v>1733</v>
      </c>
      <c r="B1734" s="98" t="s">
        <v>1721</v>
      </c>
      <c r="C1734" t="s">
        <v>214</v>
      </c>
      <c r="D1734" s="1" t="s">
        <v>1676</v>
      </c>
      <c r="E1734" s="112">
        <v>2018.12</v>
      </c>
      <c r="F1734" s="112">
        <v>2018.12</v>
      </c>
      <c r="G1734" s="107" t="s">
        <v>2061</v>
      </c>
      <c r="H1734">
        <f>INDEX('GIS-Standards'!$A$2:$A$305,MATCH(B1734,'GIS-Standards'!$B$2:$B$305,0))</f>
        <v>81</v>
      </c>
      <c r="I1734" t="e">
        <f>INDEX('GIS-Standards'!$A$2:$A$305,MATCH(C1734,'GIS-Standards'!$B$2:$B$305,0))</f>
        <v>#N/A</v>
      </c>
      <c r="J1734" t="str">
        <f>INDEX('GIS-Standards'!$O$2:$O$305,MATCH(B1734,'GIS-Standards'!$B$2:$B$305,0))</f>
        <v>ISO/TC 59/SC 13</v>
      </c>
      <c r="K1734" t="e">
        <f>INDEX('GIS-Standards'!$O$2:$O$305,MATCH(C1734,'GIS-Standards'!$B$2:$B$305,0))</f>
        <v>#N/A</v>
      </c>
      <c r="M1734" t="s">
        <v>525</v>
      </c>
      <c r="N1734">
        <f>INDEX('GIS-Standards'!$I$2:$I$305,MATCH(B1734,'GIS-Standards'!$B$2:$B$305,0))</f>
        <v>0</v>
      </c>
      <c r="O1734" t="e">
        <f>INDEX('GIS-Standards'!$I$2:$I$305,MATCH(C1734,'GIS-Standards'!$B$2:$B$305,0))</f>
        <v>#N/A</v>
      </c>
      <c r="P1734" t="e">
        <f>AND(TableRelationships12[[#This Row],[Source Type]]="BIM",TableRelationships12[[#This Row],[Target Type]]="BIM")</f>
        <v>#N/A</v>
      </c>
      <c r="Q1734">
        <f t="shared" si="81"/>
        <v>1</v>
      </c>
      <c r="S1734">
        <f t="shared" si="82"/>
        <v>1</v>
      </c>
      <c r="T1734" s="102" t="str">
        <f>IF(TableRelationships12[[#This Row],[Rank Pedro]]="Low","linkCategory1",IF(TableRelationships12[[#This Row],[Rank Pedro]]="Medium","linkCategory2",IF(TableRelationships12[[#This Row],[Rank Pedro]]="High","linkCategory3","")))</f>
        <v/>
      </c>
      <c r="U1734" s="102" t="str">
        <f>IF(TableRelationships12[[#This Row],[Rank Pedro]]="Low","Pink",IF(TableRelationships12[[#This Row],[Rank Pedro]]="Medium","Purple",IF(TableRelationships12[[#This Row],[Rank Pedro]]="High","Brown","")))</f>
        <v/>
      </c>
      <c r="V1734" s="4" t="e">
        <f>MAX(INDEX(Standards!$F$2:$F$296,MATCH(B1734,Standards!$B$2:$B$296,0)),INDEX(Standards!$F$2:$F$296,MATCH(C1734,Standards!$B$2:$B$296,0)))</f>
        <v>#N/A</v>
      </c>
      <c r="W1734" t="str">
        <f t="shared" si="83"/>
        <v>#2f89d1</v>
      </c>
    </row>
    <row r="1735" spans="1:23" x14ac:dyDescent="0.5">
      <c r="A1735" s="54">
        <v>1734</v>
      </c>
      <c r="B1735" s="98" t="s">
        <v>1721</v>
      </c>
      <c r="C1735" t="s">
        <v>224</v>
      </c>
      <c r="D1735" s="1" t="s">
        <v>1676</v>
      </c>
      <c r="E1735" s="112">
        <v>2020.07</v>
      </c>
      <c r="F1735" s="112">
        <v>2020.07</v>
      </c>
      <c r="G1735" s="107" t="s">
        <v>2061</v>
      </c>
      <c r="H1735">
        <f>INDEX('GIS-Standards'!$A$2:$A$305,MATCH(B1735,'GIS-Standards'!$B$2:$B$305,0))</f>
        <v>81</v>
      </c>
      <c r="I1735" t="e">
        <f>INDEX('GIS-Standards'!$A$2:$A$305,MATCH(C1735,'GIS-Standards'!$B$2:$B$305,0))</f>
        <v>#N/A</v>
      </c>
      <c r="J1735" t="str">
        <f>INDEX('GIS-Standards'!$O$2:$O$305,MATCH(B1735,'GIS-Standards'!$B$2:$B$305,0))</f>
        <v>ISO/TC 59/SC 13</v>
      </c>
      <c r="K1735" t="e">
        <f>INDEX('GIS-Standards'!$O$2:$O$305,MATCH(C1735,'GIS-Standards'!$B$2:$B$305,0))</f>
        <v>#N/A</v>
      </c>
      <c r="M1735" t="s">
        <v>525</v>
      </c>
      <c r="N1735">
        <f>INDEX('GIS-Standards'!$I$2:$I$305,MATCH(B1735,'GIS-Standards'!$B$2:$B$305,0))</f>
        <v>0</v>
      </c>
      <c r="O1735" t="e">
        <f>INDEX('GIS-Standards'!$I$2:$I$305,MATCH(C1735,'GIS-Standards'!$B$2:$B$305,0))</f>
        <v>#N/A</v>
      </c>
      <c r="P1735" t="e">
        <f>AND(TableRelationships12[[#This Row],[Source Type]]="BIM",TableRelationships12[[#This Row],[Target Type]]="BIM")</f>
        <v>#N/A</v>
      </c>
      <c r="Q1735">
        <f t="shared" si="81"/>
        <v>1</v>
      </c>
      <c r="S1735">
        <f t="shared" si="82"/>
        <v>1</v>
      </c>
      <c r="T1735" s="102" t="str">
        <f>IF(TableRelationships12[[#This Row],[Rank Pedro]]="Low","linkCategory1",IF(TableRelationships12[[#This Row],[Rank Pedro]]="Medium","linkCategory2",IF(TableRelationships12[[#This Row],[Rank Pedro]]="High","linkCategory3","")))</f>
        <v/>
      </c>
      <c r="U1735" s="102" t="str">
        <f>IF(TableRelationships12[[#This Row],[Rank Pedro]]="Low","Pink",IF(TableRelationships12[[#This Row],[Rank Pedro]]="Medium","Purple",IF(TableRelationships12[[#This Row],[Rank Pedro]]="High","Brown","")))</f>
        <v/>
      </c>
      <c r="V1735" s="4" t="e">
        <f>MAX(INDEX(Standards!$F$2:$F$296,MATCH(B1735,Standards!$B$2:$B$296,0)),INDEX(Standards!$F$2:$F$296,MATCH(C1735,Standards!$B$2:$B$296,0)))</f>
        <v>#N/A</v>
      </c>
      <c r="W1735" t="str">
        <f t="shared" si="83"/>
        <v>#2f89d1</v>
      </c>
    </row>
    <row r="1736" spans="1:23" x14ac:dyDescent="0.5">
      <c r="A1736" s="54">
        <v>1735</v>
      </c>
      <c r="B1736" s="98" t="s">
        <v>1721</v>
      </c>
      <c r="C1736" t="s">
        <v>228</v>
      </c>
      <c r="D1736" s="1"/>
      <c r="E1736" s="112">
        <v>2022.08</v>
      </c>
      <c r="F1736" s="112">
        <v>2022.08</v>
      </c>
      <c r="G1736" s="107" t="s">
        <v>2061</v>
      </c>
      <c r="H1736">
        <f>INDEX('GIS-Standards'!$A$2:$A$305,MATCH(B1736,'GIS-Standards'!$B$2:$B$305,0))</f>
        <v>81</v>
      </c>
      <c r="I1736" t="e">
        <f>INDEX('GIS-Standards'!$A$2:$A$305,MATCH(C1736,'GIS-Standards'!$B$2:$B$305,0))</f>
        <v>#N/A</v>
      </c>
      <c r="J1736" t="str">
        <f>INDEX('GIS-Standards'!$O$2:$O$305,MATCH(B1736,'GIS-Standards'!$B$2:$B$305,0))</f>
        <v>ISO/TC 59/SC 13</v>
      </c>
      <c r="K1736" t="e">
        <f>INDEX('GIS-Standards'!$O$2:$O$305,MATCH(C1736,'GIS-Standards'!$B$2:$B$305,0))</f>
        <v>#N/A</v>
      </c>
      <c r="M1736" t="s">
        <v>525</v>
      </c>
      <c r="N1736">
        <f>INDEX('GIS-Standards'!$I$2:$I$305,MATCH(B1736,'GIS-Standards'!$B$2:$B$305,0))</f>
        <v>0</v>
      </c>
      <c r="O1736" t="e">
        <f>INDEX('GIS-Standards'!$I$2:$I$305,MATCH(C1736,'GIS-Standards'!$B$2:$B$305,0))</f>
        <v>#N/A</v>
      </c>
      <c r="P1736" t="e">
        <f>AND(TableRelationships12[[#This Row],[Source Type]]="BIM",TableRelationships12[[#This Row],[Target Type]]="BIM")</f>
        <v>#N/A</v>
      </c>
      <c r="Q1736">
        <f t="shared" si="81"/>
        <v>1</v>
      </c>
      <c r="S1736">
        <f t="shared" si="82"/>
        <v>1</v>
      </c>
      <c r="T1736" s="102" t="str">
        <f>IF(TableRelationships12[[#This Row],[Rank Pedro]]="Low","linkCategory1",IF(TableRelationships12[[#This Row],[Rank Pedro]]="Medium","linkCategory2",IF(TableRelationships12[[#This Row],[Rank Pedro]]="High","linkCategory3","")))</f>
        <v/>
      </c>
      <c r="U1736" s="102" t="str">
        <f>IF(TableRelationships12[[#This Row],[Rank Pedro]]="Low","Pink",IF(TableRelationships12[[#This Row],[Rank Pedro]]="Medium","Purple",IF(TableRelationships12[[#This Row],[Rank Pedro]]="High","Brown","")))</f>
        <v/>
      </c>
      <c r="V1736" s="4" t="e">
        <f>MAX(INDEX(Standards!$F$2:$F$296,MATCH(B1736,Standards!$B$2:$B$296,0)),INDEX(Standards!$F$2:$F$296,MATCH(C1736,Standards!$B$2:$B$296,0)))</f>
        <v>#N/A</v>
      </c>
      <c r="W1736" t="str">
        <f t="shared" si="83"/>
        <v>#2f89d1</v>
      </c>
    </row>
    <row r="1737" spans="1:23" x14ac:dyDescent="0.5">
      <c r="A1737" s="54">
        <v>1736</v>
      </c>
      <c r="B1737" s="98" t="s">
        <v>1721</v>
      </c>
      <c r="C1737" t="s">
        <v>232</v>
      </c>
      <c r="D1737" s="1"/>
      <c r="E1737" s="112">
        <v>2020.06</v>
      </c>
      <c r="F1737" s="112">
        <v>2020.06</v>
      </c>
      <c r="G1737" s="107" t="s">
        <v>2061</v>
      </c>
      <c r="H1737">
        <f>INDEX('GIS-Standards'!$A$2:$A$305,MATCH(B1737,'GIS-Standards'!$B$2:$B$305,0))</f>
        <v>81</v>
      </c>
      <c r="I1737" t="e">
        <f>INDEX('GIS-Standards'!$A$2:$A$305,MATCH(C1737,'GIS-Standards'!$B$2:$B$305,0))</f>
        <v>#N/A</v>
      </c>
      <c r="J1737" t="str">
        <f>INDEX('GIS-Standards'!$O$2:$O$305,MATCH(B1737,'GIS-Standards'!$B$2:$B$305,0))</f>
        <v>ISO/TC 59/SC 13</v>
      </c>
      <c r="K1737" t="e">
        <f>INDEX('GIS-Standards'!$O$2:$O$305,MATCH(C1737,'GIS-Standards'!$B$2:$B$305,0))</f>
        <v>#N/A</v>
      </c>
      <c r="M1737" t="s">
        <v>525</v>
      </c>
      <c r="N1737">
        <f>INDEX('GIS-Standards'!$I$2:$I$305,MATCH(B1737,'GIS-Standards'!$B$2:$B$305,0))</f>
        <v>0</v>
      </c>
      <c r="O1737" t="e">
        <f>INDEX('GIS-Standards'!$I$2:$I$305,MATCH(C1737,'GIS-Standards'!$B$2:$B$305,0))</f>
        <v>#N/A</v>
      </c>
      <c r="P1737" t="e">
        <f>AND(TableRelationships12[[#This Row],[Source Type]]="BIM",TableRelationships12[[#This Row],[Target Type]]="BIM")</f>
        <v>#N/A</v>
      </c>
      <c r="Q1737">
        <f t="shared" si="81"/>
        <v>1</v>
      </c>
      <c r="S1737">
        <f t="shared" si="82"/>
        <v>1</v>
      </c>
      <c r="T1737" s="102" t="str">
        <f>IF(TableRelationships12[[#This Row],[Rank Pedro]]="Low","linkCategory1",IF(TableRelationships12[[#This Row],[Rank Pedro]]="Medium","linkCategory2",IF(TableRelationships12[[#This Row],[Rank Pedro]]="High","linkCategory3","")))</f>
        <v/>
      </c>
      <c r="U1737" s="102" t="str">
        <f>IF(TableRelationships12[[#This Row],[Rank Pedro]]="Low","Pink",IF(TableRelationships12[[#This Row],[Rank Pedro]]="Medium","Purple",IF(TableRelationships12[[#This Row],[Rank Pedro]]="High","Brown","")))</f>
        <v/>
      </c>
      <c r="V1737" s="4" t="e">
        <f>MAX(INDEX(Standards!$F$2:$F$296,MATCH(B1737,Standards!$B$2:$B$296,0)),INDEX(Standards!$F$2:$F$296,MATCH(C1737,Standards!$B$2:$B$296,0)))</f>
        <v>#N/A</v>
      </c>
      <c r="W1737" t="str">
        <f t="shared" si="83"/>
        <v>#2f89d1</v>
      </c>
    </row>
    <row r="1738" spans="1:23" x14ac:dyDescent="0.5">
      <c r="A1738" s="54">
        <v>1737</v>
      </c>
      <c r="B1738" s="98" t="s">
        <v>1721</v>
      </c>
      <c r="C1738" t="s">
        <v>408</v>
      </c>
      <c r="D1738" s="1"/>
      <c r="E1738" s="112">
        <v>2010.05</v>
      </c>
      <c r="F1738" s="112">
        <v>2025.11</v>
      </c>
      <c r="G1738" s="107" t="s">
        <v>2003</v>
      </c>
      <c r="H1738">
        <f>INDEX('GIS-Standards'!$A$2:$A$305,MATCH(B1738,'GIS-Standards'!$B$2:$B$305,0))</f>
        <v>81</v>
      </c>
      <c r="I1738" t="e">
        <f>INDEX('GIS-Standards'!$A$2:$A$305,MATCH(C1738,'GIS-Standards'!$B$2:$B$305,0))</f>
        <v>#N/A</v>
      </c>
      <c r="J1738" t="str">
        <f>INDEX('GIS-Standards'!$O$2:$O$305,MATCH(B1738,'GIS-Standards'!$B$2:$B$305,0))</f>
        <v>ISO/TC 59/SC 13</v>
      </c>
      <c r="K1738" t="e">
        <f>INDEX('GIS-Standards'!$O$2:$O$305,MATCH(C1738,'GIS-Standards'!$B$2:$B$305,0))</f>
        <v>#N/A</v>
      </c>
      <c r="M1738" t="s">
        <v>525</v>
      </c>
      <c r="N1738">
        <f>INDEX('GIS-Standards'!$I$2:$I$305,MATCH(B1738,'GIS-Standards'!$B$2:$B$305,0))</f>
        <v>0</v>
      </c>
      <c r="O1738" t="e">
        <f>INDEX('GIS-Standards'!$I$2:$I$305,MATCH(C1738,'GIS-Standards'!$B$2:$B$305,0))</f>
        <v>#N/A</v>
      </c>
      <c r="P1738" t="e">
        <f>AND(TableRelationships12[[#This Row],[Source Type]]="BIM",TableRelationships12[[#This Row],[Target Type]]="BIM")</f>
        <v>#N/A</v>
      </c>
      <c r="Q1738">
        <f t="shared" si="81"/>
        <v>1</v>
      </c>
      <c r="S1738">
        <f t="shared" si="82"/>
        <v>1</v>
      </c>
      <c r="T1738" s="102" t="str">
        <f>IF(TableRelationships12[[#This Row],[Rank Pedro]]="Low","linkCategory1",IF(TableRelationships12[[#This Row],[Rank Pedro]]="Medium","linkCategory2",IF(TableRelationships12[[#This Row],[Rank Pedro]]="High","linkCategory3","")))</f>
        <v/>
      </c>
      <c r="U1738" s="102" t="str">
        <f>IF(TableRelationships12[[#This Row],[Rank Pedro]]="Low","Pink",IF(TableRelationships12[[#This Row],[Rank Pedro]]="Medium","Purple",IF(TableRelationships12[[#This Row],[Rank Pedro]]="High","Brown","")))</f>
        <v/>
      </c>
      <c r="V1738" s="4" t="e">
        <f>MAX(INDEX(Standards!$F$2:$F$296,MATCH(B1738,Standards!$B$2:$B$296,0)),INDEX(Standards!$F$2:$F$296,MATCH(C1738,Standards!$B$2:$B$296,0)))</f>
        <v>#N/A</v>
      </c>
      <c r="W1738" t="str">
        <f t="shared" si="83"/>
        <v>#2f89d1</v>
      </c>
    </row>
    <row r="1739" spans="1:23" x14ac:dyDescent="0.5">
      <c r="A1739" s="54">
        <v>1738</v>
      </c>
      <c r="B1739" s="98" t="s">
        <v>1721</v>
      </c>
      <c r="C1739" t="s">
        <v>447</v>
      </c>
      <c r="D1739" s="1"/>
      <c r="E1739" s="112">
        <v>2022.09</v>
      </c>
      <c r="F1739" s="112">
        <v>2022.09</v>
      </c>
      <c r="G1739" s="107" t="s">
        <v>2079</v>
      </c>
      <c r="H1739">
        <f>INDEX('GIS-Standards'!$A$2:$A$305,MATCH(B1739,'GIS-Standards'!$B$2:$B$305,0))</f>
        <v>81</v>
      </c>
      <c r="I1739" t="e">
        <f>INDEX('GIS-Standards'!$A$2:$A$305,MATCH(C1739,'GIS-Standards'!$B$2:$B$305,0))</f>
        <v>#N/A</v>
      </c>
      <c r="J1739" t="str">
        <f>INDEX('GIS-Standards'!$O$2:$O$305,MATCH(B1739,'GIS-Standards'!$B$2:$B$305,0))</f>
        <v>ISO/TC 59/SC 13</v>
      </c>
      <c r="K1739" t="e">
        <f>INDEX('GIS-Standards'!$O$2:$O$305,MATCH(C1739,'GIS-Standards'!$B$2:$B$305,0))</f>
        <v>#N/A</v>
      </c>
      <c r="M1739" t="s">
        <v>525</v>
      </c>
      <c r="N1739">
        <f>INDEX('GIS-Standards'!$I$2:$I$305,MATCH(B1739,'GIS-Standards'!$B$2:$B$305,0))</f>
        <v>0</v>
      </c>
      <c r="O1739" t="e">
        <f>INDEX('GIS-Standards'!$I$2:$I$305,MATCH(C1739,'GIS-Standards'!$B$2:$B$305,0))</f>
        <v>#N/A</v>
      </c>
      <c r="P1739" t="e">
        <f>AND(TableRelationships12[[#This Row],[Source Type]]="BIM",TableRelationships12[[#This Row],[Target Type]]="BIM")</f>
        <v>#N/A</v>
      </c>
      <c r="Q1739">
        <f t="shared" si="81"/>
        <v>1</v>
      </c>
      <c r="S1739">
        <f t="shared" si="82"/>
        <v>1</v>
      </c>
      <c r="T1739" s="102" t="str">
        <f>IF(TableRelationships12[[#This Row],[Rank Pedro]]="Low","linkCategory1",IF(TableRelationships12[[#This Row],[Rank Pedro]]="Medium","linkCategory2",IF(TableRelationships12[[#This Row],[Rank Pedro]]="High","linkCategory3","")))</f>
        <v/>
      </c>
      <c r="U1739" s="102" t="str">
        <f>IF(TableRelationships12[[#This Row],[Rank Pedro]]="Low","Pink",IF(TableRelationships12[[#This Row],[Rank Pedro]]="Medium","Purple",IF(TableRelationships12[[#This Row],[Rank Pedro]]="High","Brown","")))</f>
        <v/>
      </c>
      <c r="V1739" s="4" t="e">
        <f>MAX(INDEX(Standards!$F$2:$F$296,MATCH(B1739,Standards!$B$2:$B$296,0)),INDEX(Standards!$F$2:$F$296,MATCH(C1739,Standards!$B$2:$B$296,0)))</f>
        <v>#N/A</v>
      </c>
      <c r="W1739" t="str">
        <f t="shared" si="83"/>
        <v>#2f89d1</v>
      </c>
    </row>
    <row r="1740" spans="1:23" x14ac:dyDescent="0.5">
      <c r="A1740" s="54">
        <v>1739</v>
      </c>
      <c r="B1740" s="98" t="s">
        <v>1721</v>
      </c>
      <c r="C1740" t="s">
        <v>488</v>
      </c>
      <c r="D1740" s="1"/>
      <c r="E1740" s="112">
        <v>2021.05</v>
      </c>
      <c r="F1740" s="112">
        <v>2021.05</v>
      </c>
      <c r="G1740" s="107" t="s">
        <v>1848</v>
      </c>
      <c r="H1740">
        <f>INDEX('GIS-Standards'!$A$2:$A$305,MATCH(B1740,'GIS-Standards'!$B$2:$B$305,0))</f>
        <v>81</v>
      </c>
      <c r="I1740">
        <f>INDEX('GIS-Standards'!$A$2:$A$305,MATCH(C1740,'GIS-Standards'!$B$2:$B$305,0))</f>
        <v>95</v>
      </c>
      <c r="J1740" t="str">
        <f>INDEX('GIS-Standards'!$O$2:$O$305,MATCH(B1740,'GIS-Standards'!$B$2:$B$305,0))</f>
        <v>ISO/TC 59/SC 13</v>
      </c>
      <c r="K1740" t="str">
        <f>INDEX('GIS-Standards'!$O$2:$O$305,MATCH(C1740,'GIS-Standards'!$B$2:$B$305,0))</f>
        <v>ISO/TC 59/SC 13</v>
      </c>
      <c r="M1740" t="s">
        <v>525</v>
      </c>
      <c r="N1740">
        <f>INDEX('GIS-Standards'!$I$2:$I$305,MATCH(B1740,'GIS-Standards'!$B$2:$B$305,0))</f>
        <v>0</v>
      </c>
      <c r="O1740">
        <f>INDEX('GIS-Standards'!$I$2:$I$305,MATCH(C1740,'GIS-Standards'!$B$2:$B$305,0))</f>
        <v>0</v>
      </c>
      <c r="P1740" t="b">
        <f>AND(TableRelationships12[[#This Row],[Source Type]]="BIM",TableRelationships12[[#This Row],[Target Type]]="BIM")</f>
        <v>0</v>
      </c>
      <c r="Q1740">
        <f t="shared" si="81"/>
        <v>1</v>
      </c>
      <c r="S1740">
        <f t="shared" si="82"/>
        <v>1</v>
      </c>
      <c r="T1740" s="102" t="str">
        <f>IF(TableRelationships12[[#This Row],[Rank Pedro]]="Low","linkCategory1",IF(TableRelationships12[[#This Row],[Rank Pedro]]="Medium","linkCategory2",IF(TableRelationships12[[#This Row],[Rank Pedro]]="High","linkCategory3","")))</f>
        <v/>
      </c>
      <c r="U1740" s="102" t="str">
        <f>IF(TableRelationships12[[#This Row],[Rank Pedro]]="Low","Pink",IF(TableRelationships12[[#This Row],[Rank Pedro]]="Medium","Purple",IF(TableRelationships12[[#This Row],[Rank Pedro]]="High","Brown","")))</f>
        <v/>
      </c>
      <c r="V1740" s="4" t="e">
        <f>MAX(INDEX(Standards!$F$2:$F$296,MATCH(B1740,Standards!$B$2:$B$296,0)),INDEX(Standards!$F$2:$F$296,MATCH(C1740,Standards!$B$2:$B$296,0)))</f>
        <v>#N/A</v>
      </c>
      <c r="W1740" t="str">
        <f t="shared" si="83"/>
        <v>#2f89d1</v>
      </c>
    </row>
    <row r="1741" spans="1:23" x14ac:dyDescent="0.5">
      <c r="A1741" s="54">
        <v>1740</v>
      </c>
      <c r="B1741" s="98" t="s">
        <v>1721</v>
      </c>
      <c r="C1741" t="s">
        <v>1685</v>
      </c>
      <c r="D1741" s="1"/>
      <c r="E1741" s="112">
        <v>2025.05</v>
      </c>
      <c r="F1741" s="112">
        <v>2025.05</v>
      </c>
      <c r="G1741" s="107" t="s">
        <v>2068</v>
      </c>
      <c r="H1741">
        <f>INDEX('GIS-Standards'!$A$2:$A$305,MATCH(B1741,'GIS-Standards'!$B$2:$B$305,0))</f>
        <v>81</v>
      </c>
      <c r="I1741">
        <f>INDEX('GIS-Standards'!$A$2:$A$305,MATCH(C1741,'GIS-Standards'!$B$2:$B$305,0))</f>
        <v>88</v>
      </c>
      <c r="J1741" t="str">
        <f>INDEX('GIS-Standards'!$O$2:$O$305,MATCH(B1741,'GIS-Standards'!$B$2:$B$305,0))</f>
        <v>ISO/TC 59/SC 13</v>
      </c>
      <c r="K1741" t="str">
        <f>INDEX('GIS-Standards'!$O$2:$O$305,MATCH(C1741,'GIS-Standards'!$B$2:$B$305,0))</f>
        <v>ISO/TC 59/SC 13</v>
      </c>
      <c r="M1741" t="s">
        <v>525</v>
      </c>
      <c r="N1741">
        <f>INDEX('GIS-Standards'!$I$2:$I$305,MATCH(B1741,'GIS-Standards'!$B$2:$B$305,0))</f>
        <v>0</v>
      </c>
      <c r="O1741">
        <f>INDEX('GIS-Standards'!$I$2:$I$305,MATCH(C1741,'GIS-Standards'!$B$2:$B$305,0))</f>
        <v>0</v>
      </c>
      <c r="P1741" t="b">
        <f>AND(TableRelationships12[[#This Row],[Source Type]]="BIM",TableRelationships12[[#This Row],[Target Type]]="BIM")</f>
        <v>0</v>
      </c>
      <c r="Q1741">
        <f t="shared" si="81"/>
        <v>1</v>
      </c>
      <c r="S1741">
        <f t="shared" si="82"/>
        <v>1</v>
      </c>
      <c r="T1741" s="102" t="str">
        <f>IF(TableRelationships12[[#This Row],[Rank Pedro]]="Low","linkCategory1",IF(TableRelationships12[[#This Row],[Rank Pedro]]="Medium","linkCategory2",IF(TableRelationships12[[#This Row],[Rank Pedro]]="High","linkCategory3","")))</f>
        <v/>
      </c>
      <c r="U1741" s="102" t="str">
        <f>IF(TableRelationships12[[#This Row],[Rank Pedro]]="Low","Pink",IF(TableRelationships12[[#This Row],[Rank Pedro]]="Medium","Purple",IF(TableRelationships12[[#This Row],[Rank Pedro]]="High","Brown","")))</f>
        <v/>
      </c>
      <c r="V1741" s="4" t="e">
        <f>MAX(INDEX(Standards!$F$2:$F$296,MATCH(B1741,Standards!$B$2:$B$296,0)),INDEX(Standards!$F$2:$F$296,MATCH(C1741,Standards!$B$2:$B$296,0)))</f>
        <v>#N/A</v>
      </c>
      <c r="W1741" t="str">
        <f t="shared" si="83"/>
        <v>#2f89d1</v>
      </c>
    </row>
    <row r="1742" spans="1:23" x14ac:dyDescent="0.5">
      <c r="A1742" s="54">
        <v>1741</v>
      </c>
      <c r="B1742" s="98" t="s">
        <v>1721</v>
      </c>
      <c r="C1742" t="s">
        <v>484</v>
      </c>
      <c r="D1742" s="1"/>
      <c r="E1742" s="112">
        <v>2024.06</v>
      </c>
      <c r="F1742" s="112">
        <v>2024.06</v>
      </c>
      <c r="G1742" s="107" t="s">
        <v>2079</v>
      </c>
      <c r="H1742">
        <f>INDEX('GIS-Standards'!$A$2:$A$305,MATCH(B1742,'GIS-Standards'!$B$2:$B$305,0))</f>
        <v>81</v>
      </c>
      <c r="I1742" t="e">
        <f>INDEX('GIS-Standards'!$A$2:$A$305,MATCH(C1742,'GIS-Standards'!$B$2:$B$305,0))</f>
        <v>#N/A</v>
      </c>
      <c r="J1742" t="str">
        <f>INDEX('GIS-Standards'!$O$2:$O$305,MATCH(B1742,'GIS-Standards'!$B$2:$B$305,0))</f>
        <v>ISO/TC 59/SC 13</v>
      </c>
      <c r="K1742" t="e">
        <f>INDEX('GIS-Standards'!$O$2:$O$305,MATCH(C1742,'GIS-Standards'!$B$2:$B$305,0))</f>
        <v>#N/A</v>
      </c>
      <c r="M1742" t="s">
        <v>525</v>
      </c>
      <c r="N1742">
        <f>INDEX('GIS-Standards'!$I$2:$I$305,MATCH(B1742,'GIS-Standards'!$B$2:$B$305,0))</f>
        <v>0</v>
      </c>
      <c r="O1742" t="e">
        <f>INDEX('GIS-Standards'!$I$2:$I$305,MATCH(C1742,'GIS-Standards'!$B$2:$B$305,0))</f>
        <v>#N/A</v>
      </c>
      <c r="P1742" t="e">
        <f>AND(TableRelationships12[[#This Row],[Source Type]]="BIM",TableRelationships12[[#This Row],[Target Type]]="BIM")</f>
        <v>#N/A</v>
      </c>
      <c r="Q1742">
        <f t="shared" si="81"/>
        <v>1</v>
      </c>
      <c r="S1742">
        <f t="shared" si="82"/>
        <v>1</v>
      </c>
      <c r="T1742" s="102" t="str">
        <f>IF(TableRelationships12[[#This Row],[Rank Pedro]]="Low","linkCategory1",IF(TableRelationships12[[#This Row],[Rank Pedro]]="Medium","linkCategory2",IF(TableRelationships12[[#This Row],[Rank Pedro]]="High","linkCategory3","")))</f>
        <v/>
      </c>
      <c r="U1742" s="102" t="str">
        <f>IF(TableRelationships12[[#This Row],[Rank Pedro]]="Low","Pink",IF(TableRelationships12[[#This Row],[Rank Pedro]]="Medium","Purple",IF(TableRelationships12[[#This Row],[Rank Pedro]]="High","Brown","")))</f>
        <v/>
      </c>
      <c r="V1742" s="4" t="e">
        <f>MAX(INDEX(Standards!$F$2:$F$296,MATCH(B1742,Standards!$B$2:$B$296,0)),INDEX(Standards!$F$2:$F$296,MATCH(C1742,Standards!$B$2:$B$296,0)))</f>
        <v>#N/A</v>
      </c>
      <c r="W1742" t="str">
        <f t="shared" si="83"/>
        <v>#2f89d1</v>
      </c>
    </row>
    <row r="1743" spans="1:23" x14ac:dyDescent="0.5">
      <c r="A1743" s="54">
        <v>1742</v>
      </c>
      <c r="B1743" s="98" t="s">
        <v>1721</v>
      </c>
      <c r="C1743" t="s">
        <v>245</v>
      </c>
      <c r="D1743" s="1"/>
      <c r="E1743" s="112">
        <v>2020.04</v>
      </c>
      <c r="F1743" s="112">
        <v>2020.04</v>
      </c>
      <c r="G1743" s="107" t="s">
        <v>2079</v>
      </c>
      <c r="H1743">
        <f>INDEX('GIS-Standards'!$A$2:$A$305,MATCH(B1743,'GIS-Standards'!$B$2:$B$305,0))</f>
        <v>81</v>
      </c>
      <c r="I1743">
        <f>INDEX('GIS-Standards'!$A$2:$A$305,MATCH(C1743,'GIS-Standards'!$B$2:$B$305,0))</f>
        <v>75</v>
      </c>
      <c r="J1743" t="str">
        <f>INDEX('GIS-Standards'!$O$2:$O$305,MATCH(B1743,'GIS-Standards'!$B$2:$B$305,0))</f>
        <v>ISO/TC 59/SC 13</v>
      </c>
      <c r="K1743" t="str">
        <f>INDEX('GIS-Standards'!$O$2:$O$305,MATCH(C1743,'GIS-Standards'!$B$2:$B$305,0))</f>
        <v>ISO/TC 59/SC 13</v>
      </c>
      <c r="M1743" t="s">
        <v>525</v>
      </c>
      <c r="N1743">
        <f>INDEX('GIS-Standards'!$I$2:$I$305,MATCH(B1743,'GIS-Standards'!$B$2:$B$305,0))</f>
        <v>0</v>
      </c>
      <c r="O1743">
        <f>INDEX('GIS-Standards'!$I$2:$I$305,MATCH(C1743,'GIS-Standards'!$B$2:$B$305,0))</f>
        <v>0</v>
      </c>
      <c r="P1743" t="b">
        <f>AND(TableRelationships12[[#This Row],[Source Type]]="BIM",TableRelationships12[[#This Row],[Target Type]]="BIM")</f>
        <v>0</v>
      </c>
      <c r="Q1743">
        <f t="shared" si="81"/>
        <v>1</v>
      </c>
      <c r="S1743">
        <f t="shared" si="82"/>
        <v>1</v>
      </c>
      <c r="T1743" s="102" t="str">
        <f>IF(TableRelationships12[[#This Row],[Rank Pedro]]="Low","linkCategory1",IF(TableRelationships12[[#This Row],[Rank Pedro]]="Medium","linkCategory2",IF(TableRelationships12[[#This Row],[Rank Pedro]]="High","linkCategory3","")))</f>
        <v/>
      </c>
      <c r="U1743" s="102" t="str">
        <f>IF(TableRelationships12[[#This Row],[Rank Pedro]]="Low","Pink",IF(TableRelationships12[[#This Row],[Rank Pedro]]="Medium","Purple",IF(TableRelationships12[[#This Row],[Rank Pedro]]="High","Brown","")))</f>
        <v/>
      </c>
      <c r="V1743" s="4" t="e">
        <f>MAX(INDEX(Standards!$F$2:$F$296,MATCH(B1743,Standards!$B$2:$B$296,0)),INDEX(Standards!$F$2:$F$296,MATCH(C1743,Standards!$B$2:$B$296,0)))</f>
        <v>#N/A</v>
      </c>
      <c r="W1743" t="str">
        <f t="shared" si="83"/>
        <v>#2f89d1</v>
      </c>
    </row>
    <row r="1744" spans="1:23" x14ac:dyDescent="0.5">
      <c r="A1744" s="54">
        <v>1743</v>
      </c>
      <c r="B1744" s="98" t="s">
        <v>1721</v>
      </c>
      <c r="C1744" t="s">
        <v>250</v>
      </c>
      <c r="D1744" s="1"/>
      <c r="E1744" s="112">
        <v>2020.11</v>
      </c>
      <c r="F1744" s="112">
        <v>2020.11</v>
      </c>
      <c r="G1744" s="107" t="s">
        <v>2079</v>
      </c>
      <c r="H1744">
        <f>INDEX('GIS-Standards'!$A$2:$A$305,MATCH(B1744,'GIS-Standards'!$B$2:$B$305,0))</f>
        <v>81</v>
      </c>
      <c r="I1744" t="e">
        <f>INDEX('GIS-Standards'!$A$2:$A$305,MATCH(C1744,'GIS-Standards'!$B$2:$B$305,0))</f>
        <v>#N/A</v>
      </c>
      <c r="J1744" t="str">
        <f>INDEX('GIS-Standards'!$O$2:$O$305,MATCH(B1744,'GIS-Standards'!$B$2:$B$305,0))</f>
        <v>ISO/TC 59/SC 13</v>
      </c>
      <c r="K1744" t="e">
        <f>INDEX('GIS-Standards'!$O$2:$O$305,MATCH(C1744,'GIS-Standards'!$B$2:$B$305,0))</f>
        <v>#N/A</v>
      </c>
      <c r="M1744" t="s">
        <v>525</v>
      </c>
      <c r="N1744">
        <f>INDEX('GIS-Standards'!$I$2:$I$305,MATCH(B1744,'GIS-Standards'!$B$2:$B$305,0))</f>
        <v>0</v>
      </c>
      <c r="O1744" t="e">
        <f>INDEX('GIS-Standards'!$I$2:$I$305,MATCH(C1744,'GIS-Standards'!$B$2:$B$305,0))</f>
        <v>#N/A</v>
      </c>
      <c r="P1744" t="e">
        <f>AND(TableRelationships12[[#This Row],[Source Type]]="BIM",TableRelationships12[[#This Row],[Target Type]]="BIM")</f>
        <v>#N/A</v>
      </c>
      <c r="Q1744">
        <f t="shared" si="81"/>
        <v>1</v>
      </c>
      <c r="S1744">
        <f t="shared" si="82"/>
        <v>1</v>
      </c>
      <c r="T1744" s="102" t="str">
        <f>IF(TableRelationships12[[#This Row],[Rank Pedro]]="Low","linkCategory1",IF(TableRelationships12[[#This Row],[Rank Pedro]]="Medium","linkCategory2",IF(TableRelationships12[[#This Row],[Rank Pedro]]="High","linkCategory3","")))</f>
        <v/>
      </c>
      <c r="U1744" s="102" t="str">
        <f>IF(TableRelationships12[[#This Row],[Rank Pedro]]="Low","Pink",IF(TableRelationships12[[#This Row],[Rank Pedro]]="Medium","Purple",IF(TableRelationships12[[#This Row],[Rank Pedro]]="High","Brown","")))</f>
        <v/>
      </c>
      <c r="V1744" s="4" t="e">
        <f>MAX(INDEX(Standards!$F$2:$F$296,MATCH(B1744,Standards!$B$2:$B$296,0)),INDEX(Standards!$F$2:$F$296,MATCH(C1744,Standards!$B$2:$B$296,0)))</f>
        <v>#N/A</v>
      </c>
      <c r="W1744" t="str">
        <f t="shared" si="83"/>
        <v>#2f89d1</v>
      </c>
    </row>
    <row r="1745" spans="1:23" x14ac:dyDescent="0.5">
      <c r="A1745" s="54">
        <v>1744</v>
      </c>
      <c r="B1745" s="98" t="s">
        <v>1721</v>
      </c>
      <c r="C1745" t="s">
        <v>144</v>
      </c>
      <c r="D1745" s="1"/>
      <c r="E1745" s="112">
        <v>2013.04</v>
      </c>
      <c r="F1745" s="112">
        <v>2024.03</v>
      </c>
      <c r="G1745" s="107" t="s">
        <v>1448</v>
      </c>
      <c r="H1745">
        <f>INDEX('GIS-Standards'!$A$2:$A$305,MATCH(B1745,'GIS-Standards'!$B$2:$B$305,0))</f>
        <v>81</v>
      </c>
      <c r="I1745" t="e">
        <f>INDEX('GIS-Standards'!$A$2:$A$305,MATCH(C1745,'GIS-Standards'!$B$2:$B$305,0))</f>
        <v>#N/A</v>
      </c>
      <c r="J1745" t="str">
        <f>INDEX('GIS-Standards'!$O$2:$O$305,MATCH(B1745,'GIS-Standards'!$B$2:$B$305,0))</f>
        <v>ISO/TC 59/SC 13</v>
      </c>
      <c r="K1745" t="e">
        <f>INDEX('GIS-Standards'!$O$2:$O$305,MATCH(C1745,'GIS-Standards'!$B$2:$B$305,0))</f>
        <v>#N/A</v>
      </c>
      <c r="M1745" t="s">
        <v>525</v>
      </c>
      <c r="N1745">
        <f>INDEX('GIS-Standards'!$I$2:$I$305,MATCH(B1745,'GIS-Standards'!$B$2:$B$305,0))</f>
        <v>0</v>
      </c>
      <c r="O1745" t="e">
        <f>INDEX('GIS-Standards'!$I$2:$I$305,MATCH(C1745,'GIS-Standards'!$B$2:$B$305,0))</f>
        <v>#N/A</v>
      </c>
      <c r="P1745" t="e">
        <f>AND(TableRelationships12[[#This Row],[Source Type]]="BIM",TableRelationships12[[#This Row],[Target Type]]="BIM")</f>
        <v>#N/A</v>
      </c>
      <c r="Q1745">
        <f t="shared" si="81"/>
        <v>1</v>
      </c>
      <c r="S1745">
        <f t="shared" si="82"/>
        <v>1</v>
      </c>
      <c r="T1745" s="102" t="str">
        <f>IF(TableRelationships12[[#This Row],[Rank Pedro]]="Low","linkCategory1",IF(TableRelationships12[[#This Row],[Rank Pedro]]="Medium","linkCategory2",IF(TableRelationships12[[#This Row],[Rank Pedro]]="High","linkCategory3","")))</f>
        <v/>
      </c>
      <c r="U1745" s="102" t="str">
        <f>IF(TableRelationships12[[#This Row],[Rank Pedro]]="Low","Pink",IF(TableRelationships12[[#This Row],[Rank Pedro]]="Medium","Purple",IF(TableRelationships12[[#This Row],[Rank Pedro]]="High","Brown","")))</f>
        <v/>
      </c>
      <c r="V1745" s="4" t="e">
        <f>MAX(INDEX(Standards!$F$2:$F$296,MATCH(B1745,Standards!$B$2:$B$296,0)),INDEX(Standards!$F$2:$F$296,MATCH(C1745,Standards!$B$2:$B$296,0)))</f>
        <v>#N/A</v>
      </c>
      <c r="W1745" t="str">
        <f t="shared" si="83"/>
        <v>#2f89d1</v>
      </c>
    </row>
    <row r="1746" spans="1:23" x14ac:dyDescent="0.5">
      <c r="A1746" s="54">
        <v>1745</v>
      </c>
      <c r="B1746" s="98" t="s">
        <v>1721</v>
      </c>
      <c r="C1746" t="s">
        <v>1753</v>
      </c>
      <c r="D1746" s="1"/>
      <c r="G1746" s="107"/>
      <c r="H1746">
        <f>INDEX('GIS-Standards'!$A$2:$A$305,MATCH(B1746,'GIS-Standards'!$B$2:$B$305,0))</f>
        <v>81</v>
      </c>
      <c r="I1746" t="e">
        <f>INDEX('GIS-Standards'!$A$2:$A$305,MATCH(C1746,'GIS-Standards'!$B$2:$B$305,0))</f>
        <v>#N/A</v>
      </c>
      <c r="J1746" t="str">
        <f>INDEX('GIS-Standards'!$O$2:$O$305,MATCH(B1746,'GIS-Standards'!$B$2:$B$305,0))</f>
        <v>ISO/TC 59/SC 13</v>
      </c>
      <c r="K1746" t="e">
        <f>INDEX('GIS-Standards'!$O$2:$O$305,MATCH(C1746,'GIS-Standards'!$B$2:$B$305,0))</f>
        <v>#N/A</v>
      </c>
      <c r="M1746" t="s">
        <v>525</v>
      </c>
      <c r="N1746">
        <f>INDEX('GIS-Standards'!$I$2:$I$305,MATCH(B1746,'GIS-Standards'!$B$2:$B$305,0))</f>
        <v>0</v>
      </c>
      <c r="O1746" t="e">
        <f>INDEX('GIS-Standards'!$I$2:$I$305,MATCH(C1746,'GIS-Standards'!$B$2:$B$305,0))</f>
        <v>#N/A</v>
      </c>
      <c r="P1746" t="e">
        <f>AND(TableRelationships12[[#This Row],[Source Type]]="BIM",TableRelationships12[[#This Row],[Target Type]]="BIM")</f>
        <v>#N/A</v>
      </c>
      <c r="Q1746">
        <f t="shared" si="81"/>
        <v>1</v>
      </c>
      <c r="S1746">
        <f t="shared" si="82"/>
        <v>1</v>
      </c>
      <c r="T1746" s="102" t="str">
        <f>IF(TableRelationships12[[#This Row],[Rank Pedro]]="Low","linkCategory1",IF(TableRelationships12[[#This Row],[Rank Pedro]]="Medium","linkCategory2",IF(TableRelationships12[[#This Row],[Rank Pedro]]="High","linkCategory3","")))</f>
        <v/>
      </c>
      <c r="U1746" s="102" t="str">
        <f>IF(TableRelationships12[[#This Row],[Rank Pedro]]="Low","Pink",IF(TableRelationships12[[#This Row],[Rank Pedro]]="Medium","Purple",IF(TableRelationships12[[#This Row],[Rank Pedro]]="High","Brown","")))</f>
        <v/>
      </c>
      <c r="V1746" s="4" t="e">
        <f>MAX(INDEX(Standards!$F$2:$F$296,MATCH(B1746,Standards!$B$2:$B$296,0)),INDEX(Standards!$F$2:$F$296,MATCH(C1746,Standards!$B$2:$B$296,0)))</f>
        <v>#N/A</v>
      </c>
      <c r="W1746" t="str">
        <f t="shared" si="83"/>
        <v>#2f89d1</v>
      </c>
    </row>
    <row r="1747" spans="1:23" x14ac:dyDescent="0.5">
      <c r="A1747" s="54">
        <v>1746</v>
      </c>
      <c r="B1747" s="98" t="s">
        <v>1721</v>
      </c>
      <c r="C1747" t="s">
        <v>1982</v>
      </c>
      <c r="D1747" s="1"/>
      <c r="E1747" s="112">
        <v>2007.07</v>
      </c>
      <c r="F1747" s="112">
        <v>2021.01</v>
      </c>
      <c r="G1747" s="107" t="s">
        <v>1499</v>
      </c>
      <c r="H1747">
        <f>INDEX('GIS-Standards'!$A$2:$A$305,MATCH(B1747,'GIS-Standards'!$B$2:$B$305,0))</f>
        <v>81</v>
      </c>
      <c r="I1747" t="e">
        <f>INDEX('GIS-Standards'!$A$2:$A$305,MATCH(C1747,'GIS-Standards'!$B$2:$B$305,0))</f>
        <v>#N/A</v>
      </c>
      <c r="J1747" t="str">
        <f>INDEX('GIS-Standards'!$O$2:$O$305,MATCH(B1747,'GIS-Standards'!$B$2:$B$305,0))</f>
        <v>ISO/TC 59/SC 13</v>
      </c>
      <c r="K1747" t="e">
        <f>INDEX('GIS-Standards'!$O$2:$O$305,MATCH(C1747,'GIS-Standards'!$B$2:$B$305,0))</f>
        <v>#N/A</v>
      </c>
      <c r="M1747" t="s">
        <v>525</v>
      </c>
      <c r="N1747">
        <f>INDEX('GIS-Standards'!$I$2:$I$305,MATCH(B1747,'GIS-Standards'!$B$2:$B$305,0))</f>
        <v>0</v>
      </c>
      <c r="O1747" t="e">
        <f>INDEX('GIS-Standards'!$I$2:$I$305,MATCH(C1747,'GIS-Standards'!$B$2:$B$305,0))</f>
        <v>#N/A</v>
      </c>
      <c r="P1747" t="e">
        <f>AND(TableRelationships12[[#This Row],[Source Type]]="BIM",TableRelationships12[[#This Row],[Target Type]]="BIM")</f>
        <v>#N/A</v>
      </c>
      <c r="Q1747">
        <f t="shared" si="81"/>
        <v>1</v>
      </c>
      <c r="S1747">
        <f t="shared" si="82"/>
        <v>1</v>
      </c>
      <c r="T1747" s="102" t="str">
        <f>IF(TableRelationships12[[#This Row],[Rank Pedro]]="Low","linkCategory1",IF(TableRelationships12[[#This Row],[Rank Pedro]]="Medium","linkCategory2",IF(TableRelationships12[[#This Row],[Rank Pedro]]="High","linkCategory3","")))</f>
        <v/>
      </c>
      <c r="U1747" s="102" t="str">
        <f>IF(TableRelationships12[[#This Row],[Rank Pedro]]="Low","Pink",IF(TableRelationships12[[#This Row],[Rank Pedro]]="Medium","Purple",IF(TableRelationships12[[#This Row],[Rank Pedro]]="High","Brown","")))</f>
        <v/>
      </c>
      <c r="V1747" s="4" t="e">
        <f>MAX(INDEX(Standards!$F$2:$F$296,MATCH(B1747,Standards!$B$2:$B$296,0)),INDEX(Standards!$F$2:$F$296,MATCH(C1747,Standards!$B$2:$B$296,0)))</f>
        <v>#N/A</v>
      </c>
      <c r="W1747" t="str">
        <f t="shared" si="83"/>
        <v>#2f89d1</v>
      </c>
    </row>
    <row r="1748" spans="1:23" x14ac:dyDescent="0.5">
      <c r="A1748" s="54">
        <v>1747</v>
      </c>
      <c r="B1748" s="98" t="s">
        <v>1721</v>
      </c>
      <c r="C1748" t="s">
        <v>210</v>
      </c>
      <c r="D1748" s="1" t="s">
        <v>1676</v>
      </c>
      <c r="E1748" s="112">
        <v>2018.12</v>
      </c>
      <c r="F1748" s="112">
        <v>2018.12</v>
      </c>
      <c r="G1748" s="107" t="s">
        <v>2061</v>
      </c>
      <c r="H1748">
        <f>INDEX('GIS-Standards'!$A$2:$A$305,MATCH(B1748,'GIS-Standards'!$B$2:$B$305,0))</f>
        <v>81</v>
      </c>
      <c r="I1748" t="e">
        <f>INDEX('GIS-Standards'!$A$2:$A$305,MATCH(C1748,'GIS-Standards'!$B$2:$B$305,0))</f>
        <v>#N/A</v>
      </c>
      <c r="J1748" t="str">
        <f>INDEX('GIS-Standards'!$O$2:$O$305,MATCH(B1748,'GIS-Standards'!$B$2:$B$305,0))</f>
        <v>ISO/TC 59/SC 13</v>
      </c>
      <c r="K1748" t="e">
        <f>INDEX('GIS-Standards'!$O$2:$O$305,MATCH(C1748,'GIS-Standards'!$B$2:$B$305,0))</f>
        <v>#N/A</v>
      </c>
      <c r="M1748" t="s">
        <v>525</v>
      </c>
      <c r="N1748">
        <f>INDEX('GIS-Standards'!$I$2:$I$305,MATCH(B1748,'GIS-Standards'!$B$2:$B$305,0))</f>
        <v>0</v>
      </c>
      <c r="O1748" t="e">
        <f>INDEX('GIS-Standards'!$I$2:$I$305,MATCH(C1748,'GIS-Standards'!$B$2:$B$305,0))</f>
        <v>#N/A</v>
      </c>
      <c r="P1748" t="e">
        <f>AND(TableRelationships12[[#This Row],[Source Type]]="BIM",TableRelationships12[[#This Row],[Target Type]]="BIM")</f>
        <v>#N/A</v>
      </c>
      <c r="Q1748">
        <f t="shared" si="81"/>
        <v>1</v>
      </c>
      <c r="S1748">
        <f t="shared" si="82"/>
        <v>1</v>
      </c>
      <c r="T1748" s="102" t="str">
        <f>IF(TableRelationships12[[#This Row],[Rank Pedro]]="Low","linkCategory1",IF(TableRelationships12[[#This Row],[Rank Pedro]]="Medium","linkCategory2",IF(TableRelationships12[[#This Row],[Rank Pedro]]="High","linkCategory3","")))</f>
        <v/>
      </c>
      <c r="U1748" s="102" t="str">
        <f>IF(TableRelationships12[[#This Row],[Rank Pedro]]="Low","Pink",IF(TableRelationships12[[#This Row],[Rank Pedro]]="Medium","Purple",IF(TableRelationships12[[#This Row],[Rank Pedro]]="High","Brown","")))</f>
        <v/>
      </c>
      <c r="V1748" s="4" t="e">
        <f>MAX(INDEX(Standards!$F$2:$F$296,MATCH(B1748,Standards!$B$2:$B$296,0)),INDEX(Standards!$F$2:$F$296,MATCH(C1748,Standards!$B$2:$B$296,0)))</f>
        <v>#N/A</v>
      </c>
      <c r="W1748" t="str">
        <f t="shared" si="83"/>
        <v>#2f89d1</v>
      </c>
    </row>
    <row r="1749" spans="1:23" x14ac:dyDescent="0.5">
      <c r="A1749" s="54">
        <v>1748</v>
      </c>
      <c r="B1749" s="98" t="s">
        <v>1721</v>
      </c>
      <c r="C1749" t="s">
        <v>80</v>
      </c>
      <c r="D1749" s="1"/>
      <c r="E1749" s="112">
        <v>1993.12</v>
      </c>
      <c r="F1749" s="112">
        <v>2017.11</v>
      </c>
      <c r="G1749" s="107" t="s">
        <v>2082</v>
      </c>
      <c r="H1749">
        <f>INDEX('GIS-Standards'!$A$2:$A$305,MATCH(B1749,'GIS-Standards'!$B$2:$B$305,0))</f>
        <v>81</v>
      </c>
      <c r="I1749" t="e">
        <f>INDEX('GIS-Standards'!$A$2:$A$305,MATCH(C1749,'GIS-Standards'!$B$2:$B$305,0))</f>
        <v>#N/A</v>
      </c>
      <c r="J1749" t="str">
        <f>INDEX('GIS-Standards'!$O$2:$O$305,MATCH(B1749,'GIS-Standards'!$B$2:$B$305,0))</f>
        <v>ISO/TC 59/SC 13</v>
      </c>
      <c r="K1749" t="e">
        <f>INDEX('GIS-Standards'!$O$2:$O$305,MATCH(C1749,'GIS-Standards'!$B$2:$B$305,0))</f>
        <v>#N/A</v>
      </c>
      <c r="M1749" t="s">
        <v>525</v>
      </c>
      <c r="N1749">
        <f>INDEX('GIS-Standards'!$I$2:$I$305,MATCH(B1749,'GIS-Standards'!$B$2:$B$305,0))</f>
        <v>0</v>
      </c>
      <c r="O1749" t="e">
        <f>INDEX('GIS-Standards'!$I$2:$I$305,MATCH(C1749,'GIS-Standards'!$B$2:$B$305,0))</f>
        <v>#N/A</v>
      </c>
      <c r="P1749" t="e">
        <f>AND(TableRelationships12[[#This Row],[Source Type]]="BIM",TableRelationships12[[#This Row],[Target Type]]="BIM")</f>
        <v>#N/A</v>
      </c>
      <c r="Q1749">
        <f t="shared" si="81"/>
        <v>1</v>
      </c>
      <c r="S1749">
        <f t="shared" si="82"/>
        <v>1</v>
      </c>
      <c r="T1749" s="102" t="str">
        <f>IF(TableRelationships12[[#This Row],[Rank Pedro]]="Low","linkCategory1",IF(TableRelationships12[[#This Row],[Rank Pedro]]="Medium","linkCategory2",IF(TableRelationships12[[#This Row],[Rank Pedro]]="High","linkCategory3","")))</f>
        <v/>
      </c>
      <c r="U1749" s="102" t="str">
        <f>IF(TableRelationships12[[#This Row],[Rank Pedro]]="Low","Pink",IF(TableRelationships12[[#This Row],[Rank Pedro]]="Medium","Purple",IF(TableRelationships12[[#This Row],[Rank Pedro]]="High","Brown","")))</f>
        <v/>
      </c>
      <c r="V1749" s="4" t="e">
        <f>MAX(INDEX(Standards!$F$2:$F$296,MATCH(B1749,Standards!$B$2:$B$296,0)),INDEX(Standards!$F$2:$F$296,MATCH(C1749,Standards!$B$2:$B$296,0)))</f>
        <v>#N/A</v>
      </c>
      <c r="W1749" t="str">
        <f t="shared" si="83"/>
        <v>#2f89d1</v>
      </c>
    </row>
    <row r="1750" spans="1:23" x14ac:dyDescent="0.5">
      <c r="A1750" s="54">
        <v>1749</v>
      </c>
      <c r="B1750" s="98" t="s">
        <v>1721</v>
      </c>
      <c r="C1750" t="s">
        <v>1911</v>
      </c>
      <c r="D1750" s="1"/>
      <c r="E1750" s="112">
        <v>2021.05</v>
      </c>
      <c r="F1750" s="112">
        <v>2021.05</v>
      </c>
      <c r="G1750" s="107" t="s">
        <v>2083</v>
      </c>
      <c r="H1750">
        <f>INDEX('GIS-Standards'!$A$2:$A$305,MATCH(B1750,'GIS-Standards'!$B$2:$B$305,0))</f>
        <v>81</v>
      </c>
      <c r="I1750" t="e">
        <f>INDEX('GIS-Standards'!$A$2:$A$305,MATCH(C1750,'GIS-Standards'!$B$2:$B$305,0))</f>
        <v>#N/A</v>
      </c>
      <c r="J1750" t="str">
        <f>INDEX('GIS-Standards'!$O$2:$O$305,MATCH(B1750,'GIS-Standards'!$B$2:$B$305,0))</f>
        <v>ISO/TC 59/SC 13</v>
      </c>
      <c r="K1750" t="e">
        <f>INDEX('GIS-Standards'!$O$2:$O$305,MATCH(C1750,'GIS-Standards'!$B$2:$B$305,0))</f>
        <v>#N/A</v>
      </c>
      <c r="M1750" t="s">
        <v>525</v>
      </c>
      <c r="N1750">
        <f>INDEX('GIS-Standards'!$I$2:$I$305,MATCH(B1750,'GIS-Standards'!$B$2:$B$305,0))</f>
        <v>0</v>
      </c>
      <c r="O1750" t="e">
        <f>INDEX('GIS-Standards'!$I$2:$I$305,MATCH(C1750,'GIS-Standards'!$B$2:$B$305,0))</f>
        <v>#N/A</v>
      </c>
      <c r="P1750" t="e">
        <f>AND(TableRelationships12[[#This Row],[Source Type]]="BIM",TableRelationships12[[#This Row],[Target Type]]="BIM")</f>
        <v>#N/A</v>
      </c>
      <c r="Q1750">
        <f t="shared" si="81"/>
        <v>1</v>
      </c>
      <c r="S1750">
        <f t="shared" si="82"/>
        <v>1</v>
      </c>
      <c r="T1750" s="102" t="str">
        <f>IF(TableRelationships12[[#This Row],[Rank Pedro]]="Low","linkCategory1",IF(TableRelationships12[[#This Row],[Rank Pedro]]="Medium","linkCategory2",IF(TableRelationships12[[#This Row],[Rank Pedro]]="High","linkCategory3","")))</f>
        <v/>
      </c>
      <c r="U1750" s="102" t="str">
        <f>IF(TableRelationships12[[#This Row],[Rank Pedro]]="Low","Pink",IF(TableRelationships12[[#This Row],[Rank Pedro]]="Medium","Purple",IF(TableRelationships12[[#This Row],[Rank Pedro]]="High","Brown","")))</f>
        <v/>
      </c>
      <c r="V1750" s="4" t="e">
        <f>MAX(INDEX(Standards!$F$2:$F$296,MATCH(B1750,Standards!$B$2:$B$296,0)),INDEX(Standards!$F$2:$F$296,MATCH(C1750,Standards!$B$2:$B$296,0)))</f>
        <v>#N/A</v>
      </c>
      <c r="W1750" t="str">
        <f t="shared" si="83"/>
        <v>#2f89d1</v>
      </c>
    </row>
    <row r="1751" spans="1:23" x14ac:dyDescent="0.5">
      <c r="A1751" s="54">
        <v>1750</v>
      </c>
      <c r="B1751" s="98" t="s">
        <v>1721</v>
      </c>
      <c r="C1751" t="s">
        <v>443</v>
      </c>
      <c r="D1751" s="1"/>
      <c r="E1751" s="112">
        <v>2017.08</v>
      </c>
      <c r="F1751" s="112">
        <v>2022.11</v>
      </c>
      <c r="G1751" s="107" t="s">
        <v>2082</v>
      </c>
      <c r="H1751">
        <f>INDEX('GIS-Standards'!$A$2:$A$305,MATCH(B1751,'GIS-Standards'!$B$2:$B$305,0))</f>
        <v>81</v>
      </c>
      <c r="I1751" t="e">
        <f>INDEX('GIS-Standards'!$A$2:$A$305,MATCH(C1751,'GIS-Standards'!$B$2:$B$305,0))</f>
        <v>#N/A</v>
      </c>
      <c r="J1751" t="str">
        <f>INDEX('GIS-Standards'!$O$2:$O$305,MATCH(B1751,'GIS-Standards'!$B$2:$B$305,0))</f>
        <v>ISO/TC 59/SC 13</v>
      </c>
      <c r="K1751" t="e">
        <f>INDEX('GIS-Standards'!$O$2:$O$305,MATCH(C1751,'GIS-Standards'!$B$2:$B$305,0))</f>
        <v>#N/A</v>
      </c>
      <c r="M1751" t="s">
        <v>525</v>
      </c>
      <c r="N1751">
        <f>INDEX('GIS-Standards'!$I$2:$I$305,MATCH(B1751,'GIS-Standards'!$B$2:$B$305,0))</f>
        <v>0</v>
      </c>
      <c r="O1751" t="e">
        <f>INDEX('GIS-Standards'!$I$2:$I$305,MATCH(C1751,'GIS-Standards'!$B$2:$B$305,0))</f>
        <v>#N/A</v>
      </c>
      <c r="P1751" t="e">
        <f>AND(TableRelationships12[[#This Row],[Source Type]]="BIM",TableRelationships12[[#This Row],[Target Type]]="BIM")</f>
        <v>#N/A</v>
      </c>
      <c r="Q1751">
        <f t="shared" si="81"/>
        <v>1</v>
      </c>
      <c r="S1751">
        <f t="shared" si="82"/>
        <v>1</v>
      </c>
      <c r="T1751" s="102" t="str">
        <f>IF(TableRelationships12[[#This Row],[Rank Pedro]]="Low","linkCategory1",IF(TableRelationships12[[#This Row],[Rank Pedro]]="Medium","linkCategory2",IF(TableRelationships12[[#This Row],[Rank Pedro]]="High","linkCategory3","")))</f>
        <v/>
      </c>
      <c r="U1751" s="102" t="str">
        <f>IF(TableRelationships12[[#This Row],[Rank Pedro]]="Low","Pink",IF(TableRelationships12[[#This Row],[Rank Pedro]]="Medium","Purple",IF(TableRelationships12[[#This Row],[Rank Pedro]]="High","Brown","")))</f>
        <v/>
      </c>
      <c r="V1751" s="4" t="e">
        <f>MAX(INDEX(Standards!$F$2:$F$296,MATCH(B1751,Standards!$B$2:$B$296,0)),INDEX(Standards!$F$2:$F$296,MATCH(C1751,Standards!$B$2:$B$296,0)))</f>
        <v>#N/A</v>
      </c>
      <c r="W1751" t="str">
        <f t="shared" si="83"/>
        <v>#2f89d1</v>
      </c>
    </row>
    <row r="1752" spans="1:23" x14ac:dyDescent="0.5">
      <c r="A1752" s="54">
        <v>1751</v>
      </c>
      <c r="B1752" s="98" t="s">
        <v>1721</v>
      </c>
      <c r="C1752" t="s">
        <v>1983</v>
      </c>
      <c r="D1752" s="1"/>
      <c r="E1752" s="112">
        <v>2025.05</v>
      </c>
      <c r="F1752" s="112">
        <v>2025.05</v>
      </c>
      <c r="G1752" s="107" t="s">
        <v>1999</v>
      </c>
      <c r="H1752">
        <f>INDEX('GIS-Standards'!$A$2:$A$305,MATCH(B1752,'GIS-Standards'!$B$2:$B$305,0))</f>
        <v>81</v>
      </c>
      <c r="I1752" t="e">
        <f>INDEX('GIS-Standards'!$A$2:$A$305,MATCH(C1752,'GIS-Standards'!$B$2:$B$305,0))</f>
        <v>#N/A</v>
      </c>
      <c r="J1752" t="str">
        <f>INDEX('GIS-Standards'!$O$2:$O$305,MATCH(B1752,'GIS-Standards'!$B$2:$B$305,0))</f>
        <v>ISO/TC 59/SC 13</v>
      </c>
      <c r="K1752" t="e">
        <f>INDEX('GIS-Standards'!$O$2:$O$305,MATCH(C1752,'GIS-Standards'!$B$2:$B$305,0))</f>
        <v>#N/A</v>
      </c>
      <c r="M1752" t="s">
        <v>525</v>
      </c>
      <c r="N1752">
        <f>INDEX('GIS-Standards'!$I$2:$I$305,MATCH(B1752,'GIS-Standards'!$B$2:$B$305,0))</f>
        <v>0</v>
      </c>
      <c r="O1752" t="e">
        <f>INDEX('GIS-Standards'!$I$2:$I$305,MATCH(C1752,'GIS-Standards'!$B$2:$B$305,0))</f>
        <v>#N/A</v>
      </c>
      <c r="P1752" t="e">
        <f>AND(TableRelationships12[[#This Row],[Source Type]]="BIM",TableRelationships12[[#This Row],[Target Type]]="BIM")</f>
        <v>#N/A</v>
      </c>
      <c r="Q1752">
        <f t="shared" si="81"/>
        <v>1</v>
      </c>
      <c r="S1752">
        <f t="shared" si="82"/>
        <v>1</v>
      </c>
      <c r="T1752" s="102" t="str">
        <f>IF(TableRelationships12[[#This Row],[Rank Pedro]]="Low","linkCategory1",IF(TableRelationships12[[#This Row],[Rank Pedro]]="Medium","linkCategory2",IF(TableRelationships12[[#This Row],[Rank Pedro]]="High","linkCategory3","")))</f>
        <v/>
      </c>
      <c r="U1752" s="102" t="str">
        <f>IF(TableRelationships12[[#This Row],[Rank Pedro]]="Low","Pink",IF(TableRelationships12[[#This Row],[Rank Pedro]]="Medium","Purple",IF(TableRelationships12[[#This Row],[Rank Pedro]]="High","Brown","")))</f>
        <v/>
      </c>
      <c r="V1752" s="4" t="e">
        <f>MAX(INDEX(Standards!$F$2:$F$296,MATCH(B1752,Standards!$B$2:$B$296,0)),INDEX(Standards!$F$2:$F$296,MATCH(C1752,Standards!$B$2:$B$296,0)))</f>
        <v>#N/A</v>
      </c>
      <c r="W1752" t="str">
        <f t="shared" si="83"/>
        <v>#2f89d1</v>
      </c>
    </row>
    <row r="1753" spans="1:23" x14ac:dyDescent="0.5">
      <c r="A1753" s="54">
        <v>1752</v>
      </c>
      <c r="B1753" s="98" t="s">
        <v>1721</v>
      </c>
      <c r="C1753" t="s">
        <v>1984</v>
      </c>
      <c r="D1753" s="1" t="s">
        <v>1676</v>
      </c>
      <c r="E1753" s="112">
        <v>2012.09</v>
      </c>
      <c r="F1753" s="112">
        <v>2012.09</v>
      </c>
      <c r="G1753" s="107" t="s">
        <v>2101</v>
      </c>
      <c r="H1753">
        <f>INDEX('GIS-Standards'!$A$2:$A$305,MATCH(B1753,'GIS-Standards'!$B$2:$B$305,0))</f>
        <v>81</v>
      </c>
      <c r="I1753" t="e">
        <f>INDEX('GIS-Standards'!$A$2:$A$305,MATCH(C1753,'GIS-Standards'!$B$2:$B$305,0))</f>
        <v>#N/A</v>
      </c>
      <c r="J1753" t="str">
        <f>INDEX('GIS-Standards'!$O$2:$O$305,MATCH(B1753,'GIS-Standards'!$B$2:$B$305,0))</f>
        <v>ISO/TC 59/SC 13</v>
      </c>
      <c r="K1753" t="e">
        <f>INDEX('GIS-Standards'!$O$2:$O$305,MATCH(C1753,'GIS-Standards'!$B$2:$B$305,0))</f>
        <v>#N/A</v>
      </c>
      <c r="M1753" t="s">
        <v>525</v>
      </c>
      <c r="N1753">
        <f>INDEX('GIS-Standards'!$I$2:$I$305,MATCH(B1753,'GIS-Standards'!$B$2:$B$305,0))</f>
        <v>0</v>
      </c>
      <c r="O1753" t="e">
        <f>INDEX('GIS-Standards'!$I$2:$I$305,MATCH(C1753,'GIS-Standards'!$B$2:$B$305,0))</f>
        <v>#N/A</v>
      </c>
      <c r="P1753" t="e">
        <f>AND(TableRelationships12[[#This Row],[Source Type]]="BIM",TableRelationships12[[#This Row],[Target Type]]="BIM")</f>
        <v>#N/A</v>
      </c>
      <c r="Q1753">
        <f t="shared" si="81"/>
        <v>1</v>
      </c>
      <c r="S1753">
        <f t="shared" si="82"/>
        <v>1</v>
      </c>
      <c r="T1753" s="102" t="str">
        <f>IF(TableRelationships12[[#This Row],[Rank Pedro]]="Low","linkCategory1",IF(TableRelationships12[[#This Row],[Rank Pedro]]="Medium","linkCategory2",IF(TableRelationships12[[#This Row],[Rank Pedro]]="High","linkCategory3","")))</f>
        <v/>
      </c>
      <c r="U1753" s="102" t="str">
        <f>IF(TableRelationships12[[#This Row],[Rank Pedro]]="Low","Pink",IF(TableRelationships12[[#This Row],[Rank Pedro]]="Medium","Purple",IF(TableRelationships12[[#This Row],[Rank Pedro]]="High","Brown","")))</f>
        <v/>
      </c>
      <c r="V1753" s="4" t="e">
        <f>MAX(INDEX(Standards!$F$2:$F$296,MATCH(B1753,Standards!$B$2:$B$296,0)),INDEX(Standards!$F$2:$F$296,MATCH(C1753,Standards!$B$2:$B$296,0)))</f>
        <v>#N/A</v>
      </c>
      <c r="W1753" t="str">
        <f t="shared" si="83"/>
        <v>#2f89d1</v>
      </c>
    </row>
    <row r="1754" spans="1:23" x14ac:dyDescent="0.5">
      <c r="A1754" s="54">
        <v>1753</v>
      </c>
      <c r="B1754" s="98" t="s">
        <v>1721</v>
      </c>
      <c r="C1754" t="s">
        <v>310</v>
      </c>
      <c r="D1754" s="1"/>
      <c r="E1754" s="112">
        <v>2003.02</v>
      </c>
      <c r="F1754" s="112">
        <v>2023.08</v>
      </c>
      <c r="G1754" s="107" t="s">
        <v>670</v>
      </c>
      <c r="H1754">
        <f>INDEX('GIS-Standards'!$A$2:$A$305,MATCH(B1754,'GIS-Standards'!$B$2:$B$305,0))</f>
        <v>81</v>
      </c>
      <c r="I1754">
        <f>INDEX('GIS-Standards'!$A$2:$A$305,MATCH(C1754,'GIS-Standards'!$B$2:$B$305,0))</f>
        <v>20</v>
      </c>
      <c r="J1754" t="str">
        <f>INDEX('GIS-Standards'!$O$2:$O$305,MATCH(B1754,'GIS-Standards'!$B$2:$B$305,0))</f>
        <v>ISO/TC 59/SC 13</v>
      </c>
      <c r="K1754" t="str">
        <f>INDEX('GIS-Standards'!$O$2:$O$305,MATCH(C1754,'GIS-Standards'!$B$2:$B$305,0))</f>
        <v>ISO/TC 211</v>
      </c>
      <c r="M1754" t="s">
        <v>525</v>
      </c>
      <c r="N1754">
        <f>INDEX('GIS-Standards'!$I$2:$I$305,MATCH(B1754,'GIS-Standards'!$B$2:$B$305,0))</f>
        <v>0</v>
      </c>
      <c r="O1754" t="str">
        <f>INDEX('GIS-Standards'!$I$2:$I$305,MATCH(C1754,'GIS-Standards'!$B$2:$B$305,0))</f>
        <v>08.2023</v>
      </c>
      <c r="P1754" t="b">
        <f>AND(TableRelationships12[[#This Row],[Source Type]]="BIM",TableRelationships12[[#This Row],[Target Type]]="BIM")</f>
        <v>0</v>
      </c>
      <c r="Q1754">
        <f t="shared" si="81"/>
        <v>1</v>
      </c>
      <c r="S1754">
        <f t="shared" si="82"/>
        <v>1</v>
      </c>
      <c r="T1754" s="102" t="str">
        <f>IF(TableRelationships12[[#This Row],[Rank Pedro]]="Low","linkCategory1",IF(TableRelationships12[[#This Row],[Rank Pedro]]="Medium","linkCategory2",IF(TableRelationships12[[#This Row],[Rank Pedro]]="High","linkCategory3","")))</f>
        <v/>
      </c>
      <c r="U1754" s="102" t="str">
        <f>IF(TableRelationships12[[#This Row],[Rank Pedro]]="Low","Pink",IF(TableRelationships12[[#This Row],[Rank Pedro]]="Medium","Purple",IF(TableRelationships12[[#This Row],[Rank Pedro]]="High","Brown","")))</f>
        <v/>
      </c>
      <c r="V1754" s="4" t="e">
        <f>MAX(INDEX(Standards!$F$2:$F$296,MATCH(B1754,Standards!$B$2:$B$296,0)),INDEX(Standards!$F$2:$F$296,MATCH(C1754,Standards!$B$2:$B$296,0)))</f>
        <v>#N/A</v>
      </c>
      <c r="W1754" t="str">
        <f t="shared" si="83"/>
        <v>#2f89d1</v>
      </c>
    </row>
    <row r="1755" spans="1:23" x14ac:dyDescent="0.5">
      <c r="A1755" s="54">
        <v>1754</v>
      </c>
      <c r="B1755" s="98" t="s">
        <v>1721</v>
      </c>
      <c r="C1755" t="s">
        <v>2057</v>
      </c>
      <c r="D1755" s="1" t="s">
        <v>1985</v>
      </c>
      <c r="E1755" s="112">
        <v>2011.12</v>
      </c>
      <c r="F1755" s="112">
        <v>2024.08</v>
      </c>
      <c r="G1755" s="107" t="s">
        <v>2056</v>
      </c>
      <c r="H1755">
        <f>INDEX('GIS-Standards'!$A$2:$A$305,MATCH(B1755,'GIS-Standards'!$B$2:$B$305,0))</f>
        <v>81</v>
      </c>
      <c r="I1755" t="e">
        <f>INDEX('GIS-Standards'!$A$2:$A$305,MATCH(C1755,'GIS-Standards'!$B$2:$B$305,0))</f>
        <v>#N/A</v>
      </c>
      <c r="J1755" t="str">
        <f>INDEX('GIS-Standards'!$O$2:$O$305,MATCH(B1755,'GIS-Standards'!$B$2:$B$305,0))</f>
        <v>ISO/TC 59/SC 13</v>
      </c>
      <c r="K1755" t="e">
        <f>INDEX('GIS-Standards'!$O$2:$O$305,MATCH(C1755,'GIS-Standards'!$B$2:$B$305,0))</f>
        <v>#N/A</v>
      </c>
      <c r="M1755" t="s">
        <v>525</v>
      </c>
      <c r="N1755">
        <f>INDEX('GIS-Standards'!$I$2:$I$305,MATCH(B1755,'GIS-Standards'!$B$2:$B$305,0))</f>
        <v>0</v>
      </c>
      <c r="O1755" t="e">
        <f>INDEX('GIS-Standards'!$I$2:$I$305,MATCH(C1755,'GIS-Standards'!$B$2:$B$305,0))</f>
        <v>#N/A</v>
      </c>
      <c r="P1755" t="e">
        <f>AND(TableRelationships12[[#This Row],[Source Type]]="BIM",TableRelationships12[[#This Row],[Target Type]]="BIM")</f>
        <v>#N/A</v>
      </c>
      <c r="Q1755">
        <f t="shared" si="81"/>
        <v>1</v>
      </c>
      <c r="S1755">
        <f t="shared" si="82"/>
        <v>1</v>
      </c>
      <c r="T1755" s="102" t="str">
        <f>IF(TableRelationships12[[#This Row],[Rank Pedro]]="Low","linkCategory1",IF(TableRelationships12[[#This Row],[Rank Pedro]]="Medium","linkCategory2",IF(TableRelationships12[[#This Row],[Rank Pedro]]="High","linkCategory3","")))</f>
        <v/>
      </c>
      <c r="U1755" s="102" t="str">
        <f>IF(TableRelationships12[[#This Row],[Rank Pedro]]="Low","Pink",IF(TableRelationships12[[#This Row],[Rank Pedro]]="Medium","Purple",IF(TableRelationships12[[#This Row],[Rank Pedro]]="High","Brown","")))</f>
        <v/>
      </c>
      <c r="V1755" s="4" t="e">
        <f>MAX(INDEX(Standards!$F$2:$F$296,MATCH(B1755,Standards!$B$2:$B$296,0)),INDEX(Standards!$F$2:$F$296,MATCH(C1755,Standards!$B$2:$B$296,0)))</f>
        <v>#N/A</v>
      </c>
      <c r="W1755" t="str">
        <f t="shared" si="83"/>
        <v>#2f89d1</v>
      </c>
    </row>
    <row r="1756" spans="1:23" x14ac:dyDescent="0.5">
      <c r="A1756" s="54">
        <v>1755</v>
      </c>
      <c r="B1756" s="98" t="s">
        <v>1721</v>
      </c>
      <c r="C1756" t="s">
        <v>408</v>
      </c>
      <c r="D1756" s="1"/>
      <c r="E1756" s="112">
        <v>2010.05</v>
      </c>
      <c r="F1756" s="112">
        <v>2025.11</v>
      </c>
      <c r="G1756" s="107" t="s">
        <v>2003</v>
      </c>
      <c r="H1756">
        <f>INDEX('GIS-Standards'!$A$2:$A$305,MATCH(B1756,'GIS-Standards'!$B$2:$B$305,0))</f>
        <v>81</v>
      </c>
      <c r="I1756" t="e">
        <f>INDEX('GIS-Standards'!$A$2:$A$305,MATCH(C1756,'GIS-Standards'!$B$2:$B$305,0))</f>
        <v>#N/A</v>
      </c>
      <c r="J1756" t="str">
        <f>INDEX('GIS-Standards'!$O$2:$O$305,MATCH(B1756,'GIS-Standards'!$B$2:$B$305,0))</f>
        <v>ISO/TC 59/SC 13</v>
      </c>
      <c r="K1756" t="e">
        <f>INDEX('GIS-Standards'!$O$2:$O$305,MATCH(C1756,'GIS-Standards'!$B$2:$B$305,0))</f>
        <v>#N/A</v>
      </c>
      <c r="M1756" t="s">
        <v>525</v>
      </c>
      <c r="N1756">
        <f>INDEX('GIS-Standards'!$I$2:$I$305,MATCH(B1756,'GIS-Standards'!$B$2:$B$305,0))</f>
        <v>0</v>
      </c>
      <c r="O1756" t="e">
        <f>INDEX('GIS-Standards'!$I$2:$I$305,MATCH(C1756,'GIS-Standards'!$B$2:$B$305,0))</f>
        <v>#N/A</v>
      </c>
      <c r="P1756" t="e">
        <f>AND(TableRelationships12[[#This Row],[Source Type]]="BIM",TableRelationships12[[#This Row],[Target Type]]="BIM")</f>
        <v>#N/A</v>
      </c>
      <c r="Q1756">
        <f t="shared" si="81"/>
        <v>1</v>
      </c>
      <c r="S1756">
        <f t="shared" si="82"/>
        <v>1</v>
      </c>
      <c r="T1756" s="102" t="str">
        <f>IF(TableRelationships12[[#This Row],[Rank Pedro]]="Low","linkCategory1",IF(TableRelationships12[[#This Row],[Rank Pedro]]="Medium","linkCategory2",IF(TableRelationships12[[#This Row],[Rank Pedro]]="High","linkCategory3","")))</f>
        <v/>
      </c>
      <c r="U1756" s="102" t="str">
        <f>IF(TableRelationships12[[#This Row],[Rank Pedro]]="Low","Pink",IF(TableRelationships12[[#This Row],[Rank Pedro]]="Medium","Purple",IF(TableRelationships12[[#This Row],[Rank Pedro]]="High","Brown","")))</f>
        <v/>
      </c>
      <c r="V1756" s="4" t="e">
        <f>MAX(INDEX(Standards!$F$2:$F$296,MATCH(B1756,Standards!$B$2:$B$296,0)),INDEX(Standards!$F$2:$F$296,MATCH(C1756,Standards!$B$2:$B$296,0)))</f>
        <v>#N/A</v>
      </c>
      <c r="W1756" t="str">
        <f t="shared" si="83"/>
        <v>#2f89d1</v>
      </c>
    </row>
    <row r="1757" spans="1:23" x14ac:dyDescent="0.5">
      <c r="A1757" s="54">
        <v>1756</v>
      </c>
      <c r="B1757" s="98" t="s">
        <v>1721</v>
      </c>
      <c r="C1757" t="s">
        <v>1171</v>
      </c>
      <c r="D1757" s="1"/>
      <c r="E1757" s="112">
        <v>1986.06</v>
      </c>
      <c r="F1757" s="112">
        <v>2015.09</v>
      </c>
      <c r="G1757" s="107" t="s">
        <v>1491</v>
      </c>
      <c r="H1757">
        <f>INDEX('GIS-Standards'!$A$2:$A$305,MATCH(B1757,'GIS-Standards'!$B$2:$B$305,0))</f>
        <v>81</v>
      </c>
      <c r="I1757" t="e">
        <f>INDEX('GIS-Standards'!$A$2:$A$305,MATCH(C1757,'GIS-Standards'!$B$2:$B$305,0))</f>
        <v>#N/A</v>
      </c>
      <c r="J1757" t="str">
        <f>INDEX('GIS-Standards'!$O$2:$O$305,MATCH(B1757,'GIS-Standards'!$B$2:$B$305,0))</f>
        <v>ISO/TC 59/SC 13</v>
      </c>
      <c r="K1757" t="e">
        <f>INDEX('GIS-Standards'!$O$2:$O$305,MATCH(C1757,'GIS-Standards'!$B$2:$B$305,0))</f>
        <v>#N/A</v>
      </c>
      <c r="M1757" t="s">
        <v>525</v>
      </c>
      <c r="N1757">
        <f>INDEX('GIS-Standards'!$I$2:$I$305,MATCH(B1757,'GIS-Standards'!$B$2:$B$305,0))</f>
        <v>0</v>
      </c>
      <c r="O1757" t="e">
        <f>INDEX('GIS-Standards'!$I$2:$I$305,MATCH(C1757,'GIS-Standards'!$B$2:$B$305,0))</f>
        <v>#N/A</v>
      </c>
      <c r="P1757" t="e">
        <f>AND(TableRelationships12[[#This Row],[Source Type]]="BIM",TableRelationships12[[#This Row],[Target Type]]="BIM")</f>
        <v>#N/A</v>
      </c>
      <c r="Q1757">
        <f t="shared" si="81"/>
        <v>1</v>
      </c>
      <c r="S1757">
        <f t="shared" si="82"/>
        <v>1</v>
      </c>
      <c r="T1757" s="102" t="str">
        <f>IF(TableRelationships12[[#This Row],[Rank Pedro]]="Low","linkCategory1",IF(TableRelationships12[[#This Row],[Rank Pedro]]="Medium","linkCategory2",IF(TableRelationships12[[#This Row],[Rank Pedro]]="High","linkCategory3","")))</f>
        <v/>
      </c>
      <c r="U1757" s="102" t="str">
        <f>IF(TableRelationships12[[#This Row],[Rank Pedro]]="Low","Pink",IF(TableRelationships12[[#This Row],[Rank Pedro]]="Medium","Purple",IF(TableRelationships12[[#This Row],[Rank Pedro]]="High","Brown","")))</f>
        <v/>
      </c>
      <c r="V1757" s="4" t="e">
        <f>MAX(INDEX(Standards!$F$2:$F$296,MATCH(B1757,Standards!$B$2:$B$296,0)),INDEX(Standards!$F$2:$F$296,MATCH(C1757,Standards!$B$2:$B$296,0)))</f>
        <v>#N/A</v>
      </c>
      <c r="W1757" t="str">
        <f t="shared" si="83"/>
        <v>#2f89d1</v>
      </c>
    </row>
    <row r="1758" spans="1:23" x14ac:dyDescent="0.5">
      <c r="A1758" s="54">
        <v>1757</v>
      </c>
      <c r="B1758" s="98" t="s">
        <v>1721</v>
      </c>
      <c r="C1758" t="s">
        <v>74</v>
      </c>
      <c r="D1758" s="1"/>
      <c r="E1758" s="112">
        <v>2014.01</v>
      </c>
      <c r="F1758" s="112">
        <v>2024.07</v>
      </c>
      <c r="G1758" s="107" t="s">
        <v>2089</v>
      </c>
      <c r="H1758">
        <f>INDEX('GIS-Standards'!$A$2:$A$305,MATCH(B1758,'GIS-Standards'!$B$2:$B$305,0))</f>
        <v>81</v>
      </c>
      <c r="I1758" t="e">
        <f>INDEX('GIS-Standards'!$A$2:$A$305,MATCH(C1758,'GIS-Standards'!$B$2:$B$305,0))</f>
        <v>#N/A</v>
      </c>
      <c r="J1758" t="str">
        <f>INDEX('GIS-Standards'!$O$2:$O$305,MATCH(B1758,'GIS-Standards'!$B$2:$B$305,0))</f>
        <v>ISO/TC 59/SC 13</v>
      </c>
      <c r="K1758" t="e">
        <f>INDEX('GIS-Standards'!$O$2:$O$305,MATCH(C1758,'GIS-Standards'!$B$2:$B$305,0))</f>
        <v>#N/A</v>
      </c>
      <c r="M1758" t="s">
        <v>525</v>
      </c>
      <c r="N1758">
        <f>INDEX('GIS-Standards'!$I$2:$I$305,MATCH(B1758,'GIS-Standards'!$B$2:$B$305,0))</f>
        <v>0</v>
      </c>
      <c r="O1758" t="e">
        <f>INDEX('GIS-Standards'!$I$2:$I$305,MATCH(C1758,'GIS-Standards'!$B$2:$B$305,0))</f>
        <v>#N/A</v>
      </c>
      <c r="P1758" t="e">
        <f>AND(TableRelationships12[[#This Row],[Source Type]]="BIM",TableRelationships12[[#This Row],[Target Type]]="BIM")</f>
        <v>#N/A</v>
      </c>
      <c r="Q1758">
        <f t="shared" si="81"/>
        <v>1</v>
      </c>
      <c r="S1758">
        <f t="shared" si="82"/>
        <v>1</v>
      </c>
      <c r="T1758" s="102" t="str">
        <f>IF(TableRelationships12[[#This Row],[Rank Pedro]]="Low","linkCategory1",IF(TableRelationships12[[#This Row],[Rank Pedro]]="Medium","linkCategory2",IF(TableRelationships12[[#This Row],[Rank Pedro]]="High","linkCategory3","")))</f>
        <v/>
      </c>
      <c r="U1758" s="102" t="str">
        <f>IF(TableRelationships12[[#This Row],[Rank Pedro]]="Low","Pink",IF(TableRelationships12[[#This Row],[Rank Pedro]]="Medium","Purple",IF(TableRelationships12[[#This Row],[Rank Pedro]]="High","Brown","")))</f>
        <v/>
      </c>
      <c r="V1758" s="4" t="e">
        <f>MAX(INDEX(Standards!$F$2:$F$296,MATCH(B1758,Standards!$B$2:$B$296,0)),INDEX(Standards!$F$2:$F$296,MATCH(C1758,Standards!$B$2:$B$296,0)))</f>
        <v>#N/A</v>
      </c>
      <c r="W1758" t="str">
        <f t="shared" si="83"/>
        <v>#2f89d1</v>
      </c>
    </row>
    <row r="1759" spans="1:23" x14ac:dyDescent="0.5">
      <c r="A1759" s="54">
        <v>1758</v>
      </c>
      <c r="B1759" s="98" t="s">
        <v>1721</v>
      </c>
      <c r="C1759" t="s">
        <v>404</v>
      </c>
      <c r="D1759" s="1"/>
      <c r="E1759" s="112">
        <v>2020.07</v>
      </c>
      <c r="F1759" s="112">
        <v>2025.09</v>
      </c>
      <c r="G1759" s="107" t="s">
        <v>2003</v>
      </c>
      <c r="H1759">
        <f>INDEX('GIS-Standards'!$A$2:$A$305,MATCH(B1759,'GIS-Standards'!$B$2:$B$305,0))</f>
        <v>81</v>
      </c>
      <c r="I1759" t="e">
        <f>INDEX('GIS-Standards'!$A$2:$A$305,MATCH(C1759,'GIS-Standards'!$B$2:$B$305,0))</f>
        <v>#N/A</v>
      </c>
      <c r="J1759" t="str">
        <f>INDEX('GIS-Standards'!$O$2:$O$305,MATCH(B1759,'GIS-Standards'!$B$2:$B$305,0))</f>
        <v>ISO/TC 59/SC 13</v>
      </c>
      <c r="K1759" t="e">
        <f>INDEX('GIS-Standards'!$O$2:$O$305,MATCH(C1759,'GIS-Standards'!$B$2:$B$305,0))</f>
        <v>#N/A</v>
      </c>
      <c r="M1759" t="s">
        <v>525</v>
      </c>
      <c r="N1759">
        <f>INDEX('GIS-Standards'!$I$2:$I$305,MATCH(B1759,'GIS-Standards'!$B$2:$B$305,0))</f>
        <v>0</v>
      </c>
      <c r="O1759" t="e">
        <f>INDEX('GIS-Standards'!$I$2:$I$305,MATCH(C1759,'GIS-Standards'!$B$2:$B$305,0))</f>
        <v>#N/A</v>
      </c>
      <c r="P1759" t="e">
        <f>AND(TableRelationships12[[#This Row],[Source Type]]="BIM",TableRelationships12[[#This Row],[Target Type]]="BIM")</f>
        <v>#N/A</v>
      </c>
      <c r="Q1759">
        <f t="shared" si="81"/>
        <v>1</v>
      </c>
      <c r="S1759">
        <f t="shared" si="82"/>
        <v>1</v>
      </c>
      <c r="T1759" s="102" t="str">
        <f>IF(TableRelationships12[[#This Row],[Rank Pedro]]="Low","linkCategory1",IF(TableRelationships12[[#This Row],[Rank Pedro]]="Medium","linkCategory2",IF(TableRelationships12[[#This Row],[Rank Pedro]]="High","linkCategory3","")))</f>
        <v/>
      </c>
      <c r="U1759" s="102" t="str">
        <f>IF(TableRelationships12[[#This Row],[Rank Pedro]]="Low","Pink",IF(TableRelationships12[[#This Row],[Rank Pedro]]="Medium","Purple",IF(TableRelationships12[[#This Row],[Rank Pedro]]="High","Brown","")))</f>
        <v/>
      </c>
      <c r="V1759" s="4" t="e">
        <f>MAX(INDEX(Standards!$F$2:$F$296,MATCH(B1759,Standards!$B$2:$B$296,0)),INDEX(Standards!$F$2:$F$296,MATCH(C1759,Standards!$B$2:$B$296,0)))</f>
        <v>#N/A</v>
      </c>
      <c r="W1759" t="str">
        <f t="shared" si="83"/>
        <v>#2f89d1</v>
      </c>
    </row>
    <row r="1760" spans="1:23" x14ac:dyDescent="0.5">
      <c r="A1760" s="54">
        <v>1759</v>
      </c>
      <c r="B1760" s="98" t="s">
        <v>1721</v>
      </c>
      <c r="C1760" t="s">
        <v>1253</v>
      </c>
      <c r="D1760" s="1"/>
      <c r="E1760" s="112">
        <v>2012.09</v>
      </c>
      <c r="F1760" s="112">
        <v>2025.03</v>
      </c>
      <c r="G1760" s="107" t="s">
        <v>1455</v>
      </c>
      <c r="H1760">
        <f>INDEX('GIS-Standards'!$A$2:$A$305,MATCH(B1760,'GIS-Standards'!$B$2:$B$305,0))</f>
        <v>81</v>
      </c>
      <c r="I1760" t="e">
        <f>INDEX('GIS-Standards'!$A$2:$A$305,MATCH(C1760,'GIS-Standards'!$B$2:$B$305,0))</f>
        <v>#N/A</v>
      </c>
      <c r="J1760" t="str">
        <f>INDEX('GIS-Standards'!$O$2:$O$305,MATCH(B1760,'GIS-Standards'!$B$2:$B$305,0))</f>
        <v>ISO/TC 59/SC 13</v>
      </c>
      <c r="K1760" t="e">
        <f>INDEX('GIS-Standards'!$O$2:$O$305,MATCH(C1760,'GIS-Standards'!$B$2:$B$305,0))</f>
        <v>#N/A</v>
      </c>
      <c r="M1760" t="s">
        <v>525</v>
      </c>
      <c r="N1760">
        <f>INDEX('GIS-Standards'!$I$2:$I$305,MATCH(B1760,'GIS-Standards'!$B$2:$B$305,0))</f>
        <v>0</v>
      </c>
      <c r="O1760" t="e">
        <f>INDEX('GIS-Standards'!$I$2:$I$305,MATCH(C1760,'GIS-Standards'!$B$2:$B$305,0))</f>
        <v>#N/A</v>
      </c>
      <c r="P1760" t="e">
        <f>AND(TableRelationships12[[#This Row],[Source Type]]="BIM",TableRelationships12[[#This Row],[Target Type]]="BIM")</f>
        <v>#N/A</v>
      </c>
      <c r="Q1760">
        <f t="shared" si="81"/>
        <v>1</v>
      </c>
      <c r="S1760">
        <f t="shared" si="82"/>
        <v>1</v>
      </c>
      <c r="T1760" s="102" t="str">
        <f>IF(TableRelationships12[[#This Row],[Rank Pedro]]="Low","linkCategory1",IF(TableRelationships12[[#This Row],[Rank Pedro]]="Medium","linkCategory2",IF(TableRelationships12[[#This Row],[Rank Pedro]]="High","linkCategory3","")))</f>
        <v/>
      </c>
      <c r="U1760" s="102" t="str">
        <f>IF(TableRelationships12[[#This Row],[Rank Pedro]]="Low","Pink",IF(TableRelationships12[[#This Row],[Rank Pedro]]="Medium","Purple",IF(TableRelationships12[[#This Row],[Rank Pedro]]="High","Brown","")))</f>
        <v/>
      </c>
      <c r="V1760" s="4" t="e">
        <f>MAX(INDEX(Standards!$F$2:$F$296,MATCH(B1760,Standards!$B$2:$B$296,0)),INDEX(Standards!$F$2:$F$296,MATCH(C1760,Standards!$B$2:$B$296,0)))</f>
        <v>#N/A</v>
      </c>
      <c r="W1760" t="str">
        <f t="shared" si="83"/>
        <v>#2f89d1</v>
      </c>
    </row>
    <row r="1761" spans="1:23" x14ac:dyDescent="0.5">
      <c r="A1761" s="54">
        <v>1760</v>
      </c>
      <c r="B1761" s="98" t="s">
        <v>1721</v>
      </c>
      <c r="C1761" t="s">
        <v>1986</v>
      </c>
      <c r="D1761" s="1"/>
      <c r="E1761" s="112">
        <v>2007.02</v>
      </c>
      <c r="F1761" s="112">
        <v>2007.02</v>
      </c>
      <c r="G1761" s="107" t="s">
        <v>2073</v>
      </c>
      <c r="H1761">
        <f>INDEX('GIS-Standards'!$A$2:$A$305,MATCH(B1761,'GIS-Standards'!$B$2:$B$305,0))</f>
        <v>81</v>
      </c>
      <c r="I1761" t="e">
        <f>INDEX('GIS-Standards'!$A$2:$A$305,MATCH(C1761,'GIS-Standards'!$B$2:$B$305,0))</f>
        <v>#N/A</v>
      </c>
      <c r="J1761" t="str">
        <f>INDEX('GIS-Standards'!$O$2:$O$305,MATCH(B1761,'GIS-Standards'!$B$2:$B$305,0))</f>
        <v>ISO/TC 59/SC 13</v>
      </c>
      <c r="K1761" t="e">
        <f>INDEX('GIS-Standards'!$O$2:$O$305,MATCH(C1761,'GIS-Standards'!$B$2:$B$305,0))</f>
        <v>#N/A</v>
      </c>
      <c r="M1761" t="s">
        <v>525</v>
      </c>
      <c r="N1761">
        <f>INDEX('GIS-Standards'!$I$2:$I$305,MATCH(B1761,'GIS-Standards'!$B$2:$B$305,0))</f>
        <v>0</v>
      </c>
      <c r="O1761" t="e">
        <f>INDEX('GIS-Standards'!$I$2:$I$305,MATCH(C1761,'GIS-Standards'!$B$2:$B$305,0))</f>
        <v>#N/A</v>
      </c>
      <c r="P1761" t="e">
        <f>AND(TableRelationships12[[#This Row],[Source Type]]="BIM",TableRelationships12[[#This Row],[Target Type]]="BIM")</f>
        <v>#N/A</v>
      </c>
      <c r="Q1761">
        <f t="shared" si="81"/>
        <v>1</v>
      </c>
      <c r="S1761">
        <f t="shared" si="82"/>
        <v>1</v>
      </c>
      <c r="T1761" s="102" t="str">
        <f>IF(TableRelationships12[[#This Row],[Rank Pedro]]="Low","linkCategory1",IF(TableRelationships12[[#This Row],[Rank Pedro]]="Medium","linkCategory2",IF(TableRelationships12[[#This Row],[Rank Pedro]]="High","linkCategory3","")))</f>
        <v/>
      </c>
      <c r="U1761" s="102" t="str">
        <f>IF(TableRelationships12[[#This Row],[Rank Pedro]]="Low","Pink",IF(TableRelationships12[[#This Row],[Rank Pedro]]="Medium","Purple",IF(TableRelationships12[[#This Row],[Rank Pedro]]="High","Brown","")))</f>
        <v/>
      </c>
      <c r="V1761" s="4" t="e">
        <f>MAX(INDEX(Standards!$F$2:$F$296,MATCH(B1761,Standards!$B$2:$B$296,0)),INDEX(Standards!$F$2:$F$296,MATCH(C1761,Standards!$B$2:$B$296,0)))</f>
        <v>#N/A</v>
      </c>
      <c r="W1761" t="str">
        <f t="shared" si="83"/>
        <v>#2f89d1</v>
      </c>
    </row>
    <row r="1762" spans="1:23" x14ac:dyDescent="0.5">
      <c r="A1762" s="54">
        <v>1761</v>
      </c>
      <c r="B1762" s="98" t="s">
        <v>1721</v>
      </c>
      <c r="C1762" t="s">
        <v>314</v>
      </c>
      <c r="D1762" s="1"/>
      <c r="E1762" s="112">
        <v>2003.05</v>
      </c>
      <c r="F1762" s="112">
        <v>2020.11</v>
      </c>
      <c r="G1762" s="107" t="s">
        <v>670</v>
      </c>
      <c r="H1762">
        <f>INDEX('GIS-Standards'!$A$2:$A$305,MATCH(B1762,'GIS-Standards'!$B$2:$B$305,0))</f>
        <v>81</v>
      </c>
      <c r="I1762">
        <f>INDEX('GIS-Standards'!$A$2:$A$305,MATCH(C1762,'GIS-Standards'!$B$2:$B$305,0))</f>
        <v>22</v>
      </c>
      <c r="J1762" t="str">
        <f>INDEX('GIS-Standards'!$O$2:$O$305,MATCH(B1762,'GIS-Standards'!$B$2:$B$305,0))</f>
        <v>ISO/TC 59/SC 13</v>
      </c>
      <c r="K1762" t="str">
        <f>INDEX('GIS-Standards'!$O$2:$O$305,MATCH(C1762,'GIS-Standards'!$B$2:$B$305,0))</f>
        <v>ISO/TC 211</v>
      </c>
      <c r="M1762" t="s">
        <v>525</v>
      </c>
      <c r="N1762">
        <f>INDEX('GIS-Standards'!$I$2:$I$305,MATCH(B1762,'GIS-Standards'!$B$2:$B$305,0))</f>
        <v>0</v>
      </c>
      <c r="O1762" t="str">
        <f>INDEX('GIS-Standards'!$I$2:$I$305,MATCH(C1762,'GIS-Standards'!$B$2:$B$305,0))</f>
        <v>12.2020</v>
      </c>
      <c r="P1762" t="b">
        <f>AND(TableRelationships12[[#This Row],[Source Type]]="BIM",TableRelationships12[[#This Row],[Target Type]]="BIM")</f>
        <v>0</v>
      </c>
      <c r="Q1762">
        <f t="shared" si="81"/>
        <v>1</v>
      </c>
      <c r="S1762">
        <f t="shared" si="82"/>
        <v>1</v>
      </c>
      <c r="T1762" s="102" t="str">
        <f>IF(TableRelationships12[[#This Row],[Rank Pedro]]="Low","linkCategory1",IF(TableRelationships12[[#This Row],[Rank Pedro]]="Medium","linkCategory2",IF(TableRelationships12[[#This Row],[Rank Pedro]]="High","linkCategory3","")))</f>
        <v/>
      </c>
      <c r="U1762" s="102" t="str">
        <f>IF(TableRelationships12[[#This Row],[Rank Pedro]]="Low","Pink",IF(TableRelationships12[[#This Row],[Rank Pedro]]="Medium","Purple",IF(TableRelationships12[[#This Row],[Rank Pedro]]="High","Brown","")))</f>
        <v/>
      </c>
      <c r="V1762" s="4" t="e">
        <f>MAX(INDEX(Standards!$F$2:$F$296,MATCH(B1762,Standards!$B$2:$B$296,0)),INDEX(Standards!$F$2:$F$296,MATCH(C1762,Standards!$B$2:$B$296,0)))</f>
        <v>#N/A</v>
      </c>
      <c r="W1762" t="str">
        <f t="shared" si="83"/>
        <v>#2f89d1</v>
      </c>
    </row>
    <row r="1763" spans="1:23" x14ac:dyDescent="0.5">
      <c r="A1763" s="54">
        <v>1762</v>
      </c>
      <c r="B1763" s="98" t="s">
        <v>1721</v>
      </c>
      <c r="C1763" t="s">
        <v>633</v>
      </c>
      <c r="D1763" s="1"/>
      <c r="E1763" s="112">
        <v>2010.06</v>
      </c>
      <c r="F1763" s="112">
        <v>2018.09</v>
      </c>
      <c r="G1763" s="107" t="s">
        <v>670</v>
      </c>
      <c r="H1763">
        <f>INDEX('GIS-Standards'!$A$2:$A$305,MATCH(B1763,'GIS-Standards'!$B$2:$B$305,0))</f>
        <v>81</v>
      </c>
      <c r="I1763">
        <f>INDEX('GIS-Standards'!$A$2:$A$305,MATCH(C1763,'GIS-Standards'!$B$2:$B$305,0))</f>
        <v>36</v>
      </c>
      <c r="J1763" t="str">
        <f>INDEX('GIS-Standards'!$O$2:$O$305,MATCH(B1763,'GIS-Standards'!$B$2:$B$305,0))</f>
        <v>ISO/TC 59/SC 13</v>
      </c>
      <c r="K1763" t="str">
        <f>INDEX('GIS-Standards'!$O$2:$O$305,MATCH(C1763,'GIS-Standards'!$B$2:$B$305,0))</f>
        <v>ISO/TC 211</v>
      </c>
      <c r="M1763" t="s">
        <v>525</v>
      </c>
      <c r="N1763">
        <f>INDEX('GIS-Standards'!$I$2:$I$305,MATCH(B1763,'GIS-Standards'!$B$2:$B$305,0))</f>
        <v>0</v>
      </c>
      <c r="O1763">
        <f>INDEX('GIS-Standards'!$I$2:$I$305,MATCH(C1763,'GIS-Standards'!$B$2:$B$305,0))</f>
        <v>0</v>
      </c>
      <c r="P1763" t="b">
        <f>AND(TableRelationships12[[#This Row],[Source Type]]="BIM",TableRelationships12[[#This Row],[Target Type]]="BIM")</f>
        <v>0</v>
      </c>
      <c r="Q1763">
        <f t="shared" si="81"/>
        <v>1</v>
      </c>
      <c r="S1763">
        <f t="shared" si="82"/>
        <v>1</v>
      </c>
      <c r="T1763" s="102" t="str">
        <f>IF(TableRelationships12[[#This Row],[Rank Pedro]]="Low","linkCategory1",IF(TableRelationships12[[#This Row],[Rank Pedro]]="Medium","linkCategory2",IF(TableRelationships12[[#This Row],[Rank Pedro]]="High","linkCategory3","")))</f>
        <v/>
      </c>
      <c r="U1763" s="102" t="str">
        <f>IF(TableRelationships12[[#This Row],[Rank Pedro]]="Low","Pink",IF(TableRelationships12[[#This Row],[Rank Pedro]]="Medium","Purple",IF(TableRelationships12[[#This Row],[Rank Pedro]]="High","Brown","")))</f>
        <v/>
      </c>
      <c r="V1763" s="4" t="e">
        <f>MAX(INDEX(Standards!$F$2:$F$296,MATCH(B1763,Standards!$B$2:$B$296,0)),INDEX(Standards!$F$2:$F$296,MATCH(C1763,Standards!$B$2:$B$296,0)))</f>
        <v>#N/A</v>
      </c>
      <c r="W1763" t="str">
        <f t="shared" si="83"/>
        <v>#2f89d1</v>
      </c>
    </row>
    <row r="1764" spans="1:23" x14ac:dyDescent="0.5">
      <c r="A1764" s="54">
        <v>1763</v>
      </c>
      <c r="B1764" s="98" t="s">
        <v>1721</v>
      </c>
      <c r="C1764" t="s">
        <v>318</v>
      </c>
      <c r="D1764" s="1"/>
      <c r="E1764" s="112">
        <v>2005.02</v>
      </c>
      <c r="F1764" s="112">
        <v>2016.01</v>
      </c>
      <c r="G1764" s="107" t="s">
        <v>670</v>
      </c>
      <c r="H1764">
        <f>INDEX('GIS-Standards'!$A$2:$A$305,MATCH(B1764,'GIS-Standards'!$B$2:$B$305,0))</f>
        <v>81</v>
      </c>
      <c r="I1764">
        <f>INDEX('GIS-Standards'!$A$2:$A$305,MATCH(C1764,'GIS-Standards'!$B$2:$B$305,0))</f>
        <v>28</v>
      </c>
      <c r="J1764" t="str">
        <f>INDEX('GIS-Standards'!$O$2:$O$305,MATCH(B1764,'GIS-Standards'!$B$2:$B$305,0))</f>
        <v>ISO/TC 59/SC 13</v>
      </c>
      <c r="K1764" t="str">
        <f>INDEX('GIS-Standards'!$O$2:$O$305,MATCH(C1764,'GIS-Standards'!$B$2:$B$305,0))</f>
        <v>ISO/TC 211</v>
      </c>
      <c r="M1764" t="s">
        <v>525</v>
      </c>
      <c r="N1764">
        <f>INDEX('GIS-Standards'!$I$2:$I$305,MATCH(B1764,'GIS-Standards'!$B$2:$B$305,0))</f>
        <v>0</v>
      </c>
      <c r="O1764">
        <f>INDEX('GIS-Standards'!$I$2:$I$305,MATCH(C1764,'GIS-Standards'!$B$2:$B$305,0))</f>
        <v>0</v>
      </c>
      <c r="P1764" t="b">
        <f>AND(TableRelationships12[[#This Row],[Source Type]]="BIM",TableRelationships12[[#This Row],[Target Type]]="BIM")</f>
        <v>0</v>
      </c>
      <c r="Q1764">
        <f t="shared" si="81"/>
        <v>1</v>
      </c>
      <c r="S1764">
        <f t="shared" si="82"/>
        <v>1</v>
      </c>
      <c r="T1764" s="102" t="str">
        <f>IF(TableRelationships12[[#This Row],[Rank Pedro]]="Low","linkCategory1",IF(TableRelationships12[[#This Row],[Rank Pedro]]="Medium","linkCategory2",IF(TableRelationships12[[#This Row],[Rank Pedro]]="High","linkCategory3","")))</f>
        <v/>
      </c>
      <c r="U1764" s="102" t="str">
        <f>IF(TableRelationships12[[#This Row],[Rank Pedro]]="Low","Pink",IF(TableRelationships12[[#This Row],[Rank Pedro]]="Medium","Purple",IF(TableRelationships12[[#This Row],[Rank Pedro]]="High","Brown","")))</f>
        <v/>
      </c>
      <c r="V1764" s="4" t="e">
        <f>MAX(INDEX(Standards!$F$2:$F$296,MATCH(B1764,Standards!$B$2:$B$296,0)),INDEX(Standards!$F$2:$F$296,MATCH(C1764,Standards!$B$2:$B$296,0)))</f>
        <v>#N/A</v>
      </c>
      <c r="W1764" t="str">
        <f t="shared" si="83"/>
        <v>#2f89d1</v>
      </c>
    </row>
    <row r="1765" spans="1:23" x14ac:dyDescent="0.5">
      <c r="A1765" s="54">
        <v>1764</v>
      </c>
      <c r="B1765" s="98" t="s">
        <v>1721</v>
      </c>
      <c r="C1765" t="s">
        <v>420</v>
      </c>
      <c r="D1765" s="1" t="s">
        <v>1676</v>
      </c>
      <c r="E1765" s="112">
        <v>2018.04</v>
      </c>
      <c r="F1765" s="112">
        <v>2024.02</v>
      </c>
      <c r="G1765" s="107" t="s">
        <v>2086</v>
      </c>
      <c r="H1765">
        <f>INDEX('GIS-Standards'!$A$2:$A$305,MATCH(B1765,'GIS-Standards'!$B$2:$B$305,0))</f>
        <v>81</v>
      </c>
      <c r="I1765" t="e">
        <f>INDEX('GIS-Standards'!$A$2:$A$305,MATCH(C1765,'GIS-Standards'!$B$2:$B$305,0))</f>
        <v>#N/A</v>
      </c>
      <c r="J1765" t="str">
        <f>INDEX('GIS-Standards'!$O$2:$O$305,MATCH(B1765,'GIS-Standards'!$B$2:$B$305,0))</f>
        <v>ISO/TC 59/SC 13</v>
      </c>
      <c r="K1765" t="e">
        <f>INDEX('GIS-Standards'!$O$2:$O$305,MATCH(C1765,'GIS-Standards'!$B$2:$B$305,0))</f>
        <v>#N/A</v>
      </c>
      <c r="M1765" t="s">
        <v>525</v>
      </c>
      <c r="N1765">
        <f>INDEX('GIS-Standards'!$I$2:$I$305,MATCH(B1765,'GIS-Standards'!$B$2:$B$305,0))</f>
        <v>0</v>
      </c>
      <c r="O1765" t="e">
        <f>INDEX('GIS-Standards'!$I$2:$I$305,MATCH(C1765,'GIS-Standards'!$B$2:$B$305,0))</f>
        <v>#N/A</v>
      </c>
      <c r="P1765" t="e">
        <f>AND(TableRelationships12[[#This Row],[Source Type]]="BIM",TableRelationships12[[#This Row],[Target Type]]="BIM")</f>
        <v>#N/A</v>
      </c>
      <c r="Q1765">
        <f t="shared" si="81"/>
        <v>1</v>
      </c>
      <c r="S1765">
        <f t="shared" si="82"/>
        <v>1</v>
      </c>
      <c r="T1765" s="102" t="str">
        <f>IF(TableRelationships12[[#This Row],[Rank Pedro]]="Low","linkCategory1",IF(TableRelationships12[[#This Row],[Rank Pedro]]="Medium","linkCategory2",IF(TableRelationships12[[#This Row],[Rank Pedro]]="High","linkCategory3","")))</f>
        <v/>
      </c>
      <c r="U1765" s="102" t="str">
        <f>IF(TableRelationships12[[#This Row],[Rank Pedro]]="Low","Pink",IF(TableRelationships12[[#This Row],[Rank Pedro]]="Medium","Purple",IF(TableRelationships12[[#This Row],[Rank Pedro]]="High","Brown","")))</f>
        <v/>
      </c>
      <c r="V1765" s="4" t="e">
        <f>MAX(INDEX(Standards!$F$2:$F$296,MATCH(B1765,Standards!$B$2:$B$296,0)),INDEX(Standards!$F$2:$F$296,MATCH(C1765,Standards!$B$2:$B$296,0)))</f>
        <v>#N/A</v>
      </c>
      <c r="W1765" t="str">
        <f t="shared" si="83"/>
        <v>#2f89d1</v>
      </c>
    </row>
    <row r="1766" spans="1:23" x14ac:dyDescent="0.5">
      <c r="A1766" s="54">
        <v>1765</v>
      </c>
      <c r="B1766" s="98" t="s">
        <v>1721</v>
      </c>
      <c r="C1766" t="s">
        <v>1987</v>
      </c>
      <c r="D1766" s="1" t="s">
        <v>1676</v>
      </c>
      <c r="E1766" s="112">
        <v>1990.11</v>
      </c>
      <c r="F1766" s="112">
        <v>2018.12</v>
      </c>
      <c r="G1766" s="107" t="s">
        <v>1502</v>
      </c>
      <c r="H1766">
        <f>INDEX('GIS-Standards'!$A$2:$A$305,MATCH(B1766,'GIS-Standards'!$B$2:$B$305,0))</f>
        <v>81</v>
      </c>
      <c r="I1766" t="e">
        <f>INDEX('GIS-Standards'!$A$2:$A$305,MATCH(C1766,'GIS-Standards'!$B$2:$B$305,0))</f>
        <v>#N/A</v>
      </c>
      <c r="J1766" t="str">
        <f>INDEX('GIS-Standards'!$O$2:$O$305,MATCH(B1766,'GIS-Standards'!$B$2:$B$305,0))</f>
        <v>ISO/TC 59/SC 13</v>
      </c>
      <c r="K1766" t="e">
        <f>INDEX('GIS-Standards'!$O$2:$O$305,MATCH(C1766,'GIS-Standards'!$B$2:$B$305,0))</f>
        <v>#N/A</v>
      </c>
      <c r="M1766" t="s">
        <v>525</v>
      </c>
      <c r="N1766">
        <f>INDEX('GIS-Standards'!$I$2:$I$305,MATCH(B1766,'GIS-Standards'!$B$2:$B$305,0))</f>
        <v>0</v>
      </c>
      <c r="O1766" t="e">
        <f>INDEX('GIS-Standards'!$I$2:$I$305,MATCH(C1766,'GIS-Standards'!$B$2:$B$305,0))</f>
        <v>#N/A</v>
      </c>
      <c r="P1766" t="e">
        <f>AND(TableRelationships12[[#This Row],[Source Type]]="BIM",TableRelationships12[[#This Row],[Target Type]]="BIM")</f>
        <v>#N/A</v>
      </c>
      <c r="Q1766">
        <f t="shared" si="81"/>
        <v>1</v>
      </c>
      <c r="S1766">
        <f t="shared" si="82"/>
        <v>1</v>
      </c>
      <c r="T1766" s="102" t="str">
        <f>IF(TableRelationships12[[#This Row],[Rank Pedro]]="Low","linkCategory1",IF(TableRelationships12[[#This Row],[Rank Pedro]]="Medium","linkCategory2",IF(TableRelationships12[[#This Row],[Rank Pedro]]="High","linkCategory3","")))</f>
        <v/>
      </c>
      <c r="U1766" s="102" t="str">
        <f>IF(TableRelationships12[[#This Row],[Rank Pedro]]="Low","Pink",IF(TableRelationships12[[#This Row],[Rank Pedro]]="Medium","Purple",IF(TableRelationships12[[#This Row],[Rank Pedro]]="High","Brown","")))</f>
        <v/>
      </c>
      <c r="V1766" s="4" t="e">
        <f>MAX(INDEX(Standards!$F$2:$F$296,MATCH(B1766,Standards!$B$2:$B$296,0)),INDEX(Standards!$F$2:$F$296,MATCH(C1766,Standards!$B$2:$B$296,0)))</f>
        <v>#N/A</v>
      </c>
      <c r="W1766" t="str">
        <f t="shared" si="83"/>
        <v>#2f89d1</v>
      </c>
    </row>
    <row r="1767" spans="1:23" x14ac:dyDescent="0.5">
      <c r="A1767" s="54">
        <v>1766</v>
      </c>
      <c r="B1767" s="98" t="s">
        <v>1721</v>
      </c>
      <c r="C1767" t="s">
        <v>314</v>
      </c>
      <c r="D1767" s="1"/>
      <c r="E1767" s="112">
        <v>2003.05</v>
      </c>
      <c r="F1767" s="112">
        <v>2020.11</v>
      </c>
      <c r="G1767" s="107" t="s">
        <v>670</v>
      </c>
      <c r="H1767">
        <f>INDEX('GIS-Standards'!$A$2:$A$305,MATCH(B1767,'GIS-Standards'!$B$2:$B$305,0))</f>
        <v>81</v>
      </c>
      <c r="I1767">
        <f>INDEX('GIS-Standards'!$A$2:$A$305,MATCH(C1767,'GIS-Standards'!$B$2:$B$305,0))</f>
        <v>22</v>
      </c>
      <c r="J1767" t="str">
        <f>INDEX('GIS-Standards'!$O$2:$O$305,MATCH(B1767,'GIS-Standards'!$B$2:$B$305,0))</f>
        <v>ISO/TC 59/SC 13</v>
      </c>
      <c r="K1767" t="str">
        <f>INDEX('GIS-Standards'!$O$2:$O$305,MATCH(C1767,'GIS-Standards'!$B$2:$B$305,0))</f>
        <v>ISO/TC 211</v>
      </c>
      <c r="M1767" t="s">
        <v>525</v>
      </c>
      <c r="N1767">
        <f>INDEX('GIS-Standards'!$I$2:$I$305,MATCH(B1767,'GIS-Standards'!$B$2:$B$305,0))</f>
        <v>0</v>
      </c>
      <c r="O1767" t="str">
        <f>INDEX('GIS-Standards'!$I$2:$I$305,MATCH(C1767,'GIS-Standards'!$B$2:$B$305,0))</f>
        <v>12.2020</v>
      </c>
      <c r="P1767" t="b">
        <f>AND(TableRelationships12[[#This Row],[Source Type]]="BIM",TableRelationships12[[#This Row],[Target Type]]="BIM")</f>
        <v>0</v>
      </c>
      <c r="Q1767">
        <f t="shared" si="81"/>
        <v>1</v>
      </c>
      <c r="S1767">
        <f t="shared" si="82"/>
        <v>1</v>
      </c>
      <c r="T1767" s="102" t="str">
        <f>IF(TableRelationships12[[#This Row],[Rank Pedro]]="Low","linkCategory1",IF(TableRelationships12[[#This Row],[Rank Pedro]]="Medium","linkCategory2",IF(TableRelationships12[[#This Row],[Rank Pedro]]="High","linkCategory3","")))</f>
        <v/>
      </c>
      <c r="U1767" s="102" t="str">
        <f>IF(TableRelationships12[[#This Row],[Rank Pedro]]="Low","Pink",IF(TableRelationships12[[#This Row],[Rank Pedro]]="Medium","Purple",IF(TableRelationships12[[#This Row],[Rank Pedro]]="High","Brown","")))</f>
        <v/>
      </c>
      <c r="V1767" s="4" t="e">
        <f>MAX(INDEX(Standards!$F$2:$F$296,MATCH(B1767,Standards!$B$2:$B$296,0)),INDEX(Standards!$F$2:$F$296,MATCH(C1767,Standards!$B$2:$B$296,0)))</f>
        <v>#N/A</v>
      </c>
      <c r="W1767" t="str">
        <f t="shared" si="83"/>
        <v>#2f89d1</v>
      </c>
    </row>
    <row r="1768" spans="1:23" x14ac:dyDescent="0.5">
      <c r="A1768" s="54">
        <v>1767</v>
      </c>
      <c r="B1768" s="98" t="s">
        <v>1721</v>
      </c>
      <c r="C1768" t="s">
        <v>293</v>
      </c>
      <c r="D1768" s="1"/>
      <c r="E1768" s="112">
        <v>2002.07</v>
      </c>
      <c r="F1768" s="112">
        <v>2014.11</v>
      </c>
      <c r="G1768" s="107" t="s">
        <v>670</v>
      </c>
      <c r="H1768">
        <f>INDEX('GIS-Standards'!$A$2:$A$305,MATCH(B1768,'GIS-Standards'!$B$2:$B$305,0))</f>
        <v>81</v>
      </c>
      <c r="I1768">
        <f>INDEX('GIS-Standards'!$A$2:$A$305,MATCH(C1768,'GIS-Standards'!$B$2:$B$305,0))</f>
        <v>10</v>
      </c>
      <c r="J1768" t="str">
        <f>INDEX('GIS-Standards'!$O$2:$O$305,MATCH(B1768,'GIS-Standards'!$B$2:$B$305,0))</f>
        <v>ISO/TC 59/SC 13</v>
      </c>
      <c r="K1768" t="str">
        <f>INDEX('GIS-Standards'!$O$2:$O$305,MATCH(C1768,'GIS-Standards'!$B$2:$B$305,0))</f>
        <v>ISO/TC 211</v>
      </c>
      <c r="M1768" t="s">
        <v>525</v>
      </c>
      <c r="N1768">
        <f>INDEX('GIS-Standards'!$I$2:$I$305,MATCH(B1768,'GIS-Standards'!$B$2:$B$305,0))</f>
        <v>0</v>
      </c>
      <c r="O1768">
        <f>INDEX('GIS-Standards'!$I$2:$I$305,MATCH(C1768,'GIS-Standards'!$B$2:$B$305,0))</f>
        <v>0</v>
      </c>
      <c r="P1768" t="b">
        <f>AND(TableRelationships12[[#This Row],[Source Type]]="BIM",TableRelationships12[[#This Row],[Target Type]]="BIM")</f>
        <v>0</v>
      </c>
      <c r="Q1768">
        <f t="shared" si="81"/>
        <v>1</v>
      </c>
      <c r="S1768">
        <f t="shared" si="82"/>
        <v>1</v>
      </c>
      <c r="T1768" s="102" t="str">
        <f>IF(TableRelationships12[[#This Row],[Rank Pedro]]="Low","linkCategory1",IF(TableRelationships12[[#This Row],[Rank Pedro]]="Medium","linkCategory2",IF(TableRelationships12[[#This Row],[Rank Pedro]]="High","linkCategory3","")))</f>
        <v/>
      </c>
      <c r="U1768" s="102" t="str">
        <f>IF(TableRelationships12[[#This Row],[Rank Pedro]]="Low","Pink",IF(TableRelationships12[[#This Row],[Rank Pedro]]="Medium","Purple",IF(TableRelationships12[[#This Row],[Rank Pedro]]="High","Brown","")))</f>
        <v/>
      </c>
      <c r="V1768" s="4" t="e">
        <f>MAX(INDEX(Standards!$F$2:$F$296,MATCH(B1768,Standards!$B$2:$B$296,0)),INDEX(Standards!$F$2:$F$296,MATCH(C1768,Standards!$B$2:$B$296,0)))</f>
        <v>#N/A</v>
      </c>
      <c r="W1768" t="str">
        <f t="shared" si="83"/>
        <v>#2f89d1</v>
      </c>
    </row>
    <row r="1769" spans="1:23" x14ac:dyDescent="0.5">
      <c r="A1769" s="54">
        <v>1768</v>
      </c>
      <c r="B1769" s="98" t="s">
        <v>1721</v>
      </c>
      <c r="C1769" t="s">
        <v>1988</v>
      </c>
      <c r="D1769" s="1"/>
      <c r="G1769" s="107"/>
      <c r="H1769">
        <f>INDEX('GIS-Standards'!$A$2:$A$305,MATCH(B1769,'GIS-Standards'!$B$2:$B$305,0))</f>
        <v>81</v>
      </c>
      <c r="I1769" t="e">
        <f>INDEX('GIS-Standards'!$A$2:$A$305,MATCH(C1769,'GIS-Standards'!$B$2:$B$305,0))</f>
        <v>#N/A</v>
      </c>
      <c r="J1769" t="str">
        <f>INDEX('GIS-Standards'!$O$2:$O$305,MATCH(B1769,'GIS-Standards'!$B$2:$B$305,0))</f>
        <v>ISO/TC 59/SC 13</v>
      </c>
      <c r="K1769" t="e">
        <f>INDEX('GIS-Standards'!$O$2:$O$305,MATCH(C1769,'GIS-Standards'!$B$2:$B$305,0))</f>
        <v>#N/A</v>
      </c>
      <c r="M1769" t="s">
        <v>525</v>
      </c>
      <c r="N1769">
        <f>INDEX('GIS-Standards'!$I$2:$I$305,MATCH(B1769,'GIS-Standards'!$B$2:$B$305,0))</f>
        <v>0</v>
      </c>
      <c r="O1769" t="e">
        <f>INDEX('GIS-Standards'!$I$2:$I$305,MATCH(C1769,'GIS-Standards'!$B$2:$B$305,0))</f>
        <v>#N/A</v>
      </c>
      <c r="P1769" t="e">
        <f>AND(TableRelationships12[[#This Row],[Source Type]]="BIM",TableRelationships12[[#This Row],[Target Type]]="BIM")</f>
        <v>#N/A</v>
      </c>
      <c r="Q1769">
        <f t="shared" si="81"/>
        <v>1</v>
      </c>
      <c r="S1769">
        <f t="shared" si="82"/>
        <v>1</v>
      </c>
      <c r="T1769" s="102" t="str">
        <f>IF(TableRelationships12[[#This Row],[Rank Pedro]]="Low","linkCategory1",IF(TableRelationships12[[#This Row],[Rank Pedro]]="Medium","linkCategory2",IF(TableRelationships12[[#This Row],[Rank Pedro]]="High","linkCategory3","")))</f>
        <v/>
      </c>
      <c r="U1769" s="102" t="str">
        <f>IF(TableRelationships12[[#This Row],[Rank Pedro]]="Low","Pink",IF(TableRelationships12[[#This Row],[Rank Pedro]]="Medium","Purple",IF(TableRelationships12[[#This Row],[Rank Pedro]]="High","Brown","")))</f>
        <v/>
      </c>
      <c r="V1769" s="4" t="e">
        <f>MAX(INDEX(Standards!$F$2:$F$296,MATCH(B1769,Standards!$B$2:$B$296,0)),INDEX(Standards!$F$2:$F$296,MATCH(C1769,Standards!$B$2:$B$296,0)))</f>
        <v>#N/A</v>
      </c>
      <c r="W1769" t="str">
        <f t="shared" si="83"/>
        <v>#2f89d1</v>
      </c>
    </row>
    <row r="1770" spans="1:23" x14ac:dyDescent="0.5">
      <c r="A1770" s="54">
        <v>1769</v>
      </c>
      <c r="B1770" s="98" t="s">
        <v>1721</v>
      </c>
      <c r="C1770" t="s">
        <v>484</v>
      </c>
      <c r="D1770" s="1"/>
      <c r="E1770" s="112">
        <v>2024.06</v>
      </c>
      <c r="F1770" s="112">
        <v>2024.06</v>
      </c>
      <c r="G1770" s="107" t="s">
        <v>2079</v>
      </c>
      <c r="H1770">
        <f>INDEX('GIS-Standards'!$A$2:$A$305,MATCH(B1770,'GIS-Standards'!$B$2:$B$305,0))</f>
        <v>81</v>
      </c>
      <c r="I1770" t="e">
        <f>INDEX('GIS-Standards'!$A$2:$A$305,MATCH(C1770,'GIS-Standards'!$B$2:$B$305,0))</f>
        <v>#N/A</v>
      </c>
      <c r="J1770" t="str">
        <f>INDEX('GIS-Standards'!$O$2:$O$305,MATCH(B1770,'GIS-Standards'!$B$2:$B$305,0))</f>
        <v>ISO/TC 59/SC 13</v>
      </c>
      <c r="K1770" t="e">
        <f>INDEX('GIS-Standards'!$O$2:$O$305,MATCH(C1770,'GIS-Standards'!$B$2:$B$305,0))</f>
        <v>#N/A</v>
      </c>
      <c r="M1770" t="s">
        <v>525</v>
      </c>
      <c r="N1770">
        <f>INDEX('GIS-Standards'!$I$2:$I$305,MATCH(B1770,'GIS-Standards'!$B$2:$B$305,0))</f>
        <v>0</v>
      </c>
      <c r="O1770" t="e">
        <f>INDEX('GIS-Standards'!$I$2:$I$305,MATCH(C1770,'GIS-Standards'!$B$2:$B$305,0))</f>
        <v>#N/A</v>
      </c>
      <c r="P1770" t="e">
        <f>AND(TableRelationships12[[#This Row],[Source Type]]="BIM",TableRelationships12[[#This Row],[Target Type]]="BIM")</f>
        <v>#N/A</v>
      </c>
      <c r="Q1770">
        <f t="shared" si="81"/>
        <v>1</v>
      </c>
      <c r="S1770">
        <f t="shared" si="82"/>
        <v>1</v>
      </c>
      <c r="T1770" s="102" t="str">
        <f>IF(TableRelationships12[[#This Row],[Rank Pedro]]="Low","linkCategory1",IF(TableRelationships12[[#This Row],[Rank Pedro]]="Medium","linkCategory2",IF(TableRelationships12[[#This Row],[Rank Pedro]]="High","linkCategory3","")))</f>
        <v/>
      </c>
      <c r="U1770" s="102" t="str">
        <f>IF(TableRelationships12[[#This Row],[Rank Pedro]]="Low","Pink",IF(TableRelationships12[[#This Row],[Rank Pedro]]="Medium","Purple",IF(TableRelationships12[[#This Row],[Rank Pedro]]="High","Brown","")))</f>
        <v/>
      </c>
      <c r="V1770" s="4" t="e">
        <f>MAX(INDEX(Standards!$F$2:$F$296,MATCH(B1770,Standards!$B$2:$B$296,0)),INDEX(Standards!$F$2:$F$296,MATCH(C1770,Standards!$B$2:$B$296,0)))</f>
        <v>#N/A</v>
      </c>
      <c r="W1770" t="str">
        <f t="shared" si="83"/>
        <v>#2f89d1</v>
      </c>
    </row>
    <row r="1771" spans="1:23" x14ac:dyDescent="0.5">
      <c r="A1771" s="54">
        <v>1770</v>
      </c>
      <c r="B1771" s="98" t="s">
        <v>1721</v>
      </c>
      <c r="C1771" t="s">
        <v>1809</v>
      </c>
      <c r="D1771" s="1" t="s">
        <v>1676</v>
      </c>
      <c r="E1771" s="113">
        <v>2000.03</v>
      </c>
      <c r="F1771" s="113">
        <v>2006.07</v>
      </c>
      <c r="G1771" s="107" t="s">
        <v>2052</v>
      </c>
      <c r="H1771">
        <f>INDEX('GIS-Standards'!$A$2:$A$305,MATCH(B1771,'GIS-Standards'!$B$2:$B$305,0))</f>
        <v>81</v>
      </c>
      <c r="I1771" t="e">
        <f>INDEX('GIS-Standards'!$A$2:$A$305,MATCH(C1771,'GIS-Standards'!$B$2:$B$305,0))</f>
        <v>#N/A</v>
      </c>
      <c r="J1771" t="str">
        <f>INDEX('GIS-Standards'!$O$2:$O$305,MATCH(B1771,'GIS-Standards'!$B$2:$B$305,0))</f>
        <v>ISO/TC 59/SC 13</v>
      </c>
      <c r="K1771" t="e">
        <f>INDEX('GIS-Standards'!$O$2:$O$305,MATCH(C1771,'GIS-Standards'!$B$2:$B$305,0))</f>
        <v>#N/A</v>
      </c>
      <c r="M1771" t="s">
        <v>525</v>
      </c>
      <c r="N1771">
        <f>INDEX('GIS-Standards'!$I$2:$I$305,MATCH(B1771,'GIS-Standards'!$B$2:$B$305,0))</f>
        <v>0</v>
      </c>
      <c r="O1771" t="e">
        <f>INDEX('GIS-Standards'!$I$2:$I$305,MATCH(C1771,'GIS-Standards'!$B$2:$B$305,0))</f>
        <v>#N/A</v>
      </c>
      <c r="P1771" t="e">
        <f>AND(TableRelationships12[[#This Row],[Source Type]]="BIM",TableRelationships12[[#This Row],[Target Type]]="BIM")</f>
        <v>#N/A</v>
      </c>
      <c r="Q1771">
        <f t="shared" si="81"/>
        <v>1</v>
      </c>
      <c r="S1771">
        <f t="shared" si="82"/>
        <v>1</v>
      </c>
      <c r="T1771" s="102" t="str">
        <f>IF(TableRelationships12[[#This Row],[Rank Pedro]]="Low","linkCategory1",IF(TableRelationships12[[#This Row],[Rank Pedro]]="Medium","linkCategory2",IF(TableRelationships12[[#This Row],[Rank Pedro]]="High","linkCategory3","")))</f>
        <v/>
      </c>
      <c r="U1771" s="102" t="str">
        <f>IF(TableRelationships12[[#This Row],[Rank Pedro]]="Low","Pink",IF(TableRelationships12[[#This Row],[Rank Pedro]]="Medium","Purple",IF(TableRelationships12[[#This Row],[Rank Pedro]]="High","Brown","")))</f>
        <v/>
      </c>
      <c r="V1771" s="4" t="e">
        <f>MAX(INDEX(Standards!$F$2:$F$296,MATCH(B1771,Standards!$B$2:$B$296,0)),INDEX(Standards!$F$2:$F$296,MATCH(C1771,Standards!$B$2:$B$296,0)))</f>
        <v>#N/A</v>
      </c>
      <c r="W1771" t="str">
        <f t="shared" si="83"/>
        <v>#2f89d1</v>
      </c>
    </row>
    <row r="1772" spans="1:23" x14ac:dyDescent="0.5">
      <c r="A1772" s="54">
        <v>1771</v>
      </c>
      <c r="B1772" s="98" t="s">
        <v>1721</v>
      </c>
      <c r="C1772" t="s">
        <v>328</v>
      </c>
      <c r="D1772" s="1"/>
      <c r="E1772" s="112">
        <v>2007.04</v>
      </c>
      <c r="F1772" s="112">
        <v>2022.11</v>
      </c>
      <c r="G1772" s="107" t="s">
        <v>670</v>
      </c>
      <c r="H1772">
        <f>INDEX('GIS-Standards'!$A$2:$A$305,MATCH(B1772,'GIS-Standards'!$B$2:$B$305,0))</f>
        <v>81</v>
      </c>
      <c r="I1772">
        <f>INDEX('GIS-Standards'!$A$2:$A$305,MATCH(C1772,'GIS-Standards'!$B$2:$B$305,0))</f>
        <v>37</v>
      </c>
      <c r="J1772" t="str">
        <f>INDEX('GIS-Standards'!$O$2:$O$305,MATCH(B1772,'GIS-Standards'!$B$2:$B$305,0))</f>
        <v>ISO/TC 59/SC 13</v>
      </c>
      <c r="K1772" t="str">
        <f>INDEX('GIS-Standards'!$O$2:$O$305,MATCH(C1772,'GIS-Standards'!$B$2:$B$305,0))</f>
        <v>ISO/TC 211</v>
      </c>
      <c r="M1772" t="s">
        <v>525</v>
      </c>
      <c r="N1772">
        <f>INDEX('GIS-Standards'!$I$2:$I$305,MATCH(B1772,'GIS-Standards'!$B$2:$B$305,0))</f>
        <v>0</v>
      </c>
      <c r="O1772">
        <f>INDEX('GIS-Standards'!$I$2:$I$305,MATCH(C1772,'GIS-Standards'!$B$2:$B$305,0))</f>
        <v>0</v>
      </c>
      <c r="P1772" t="b">
        <f>AND(TableRelationships12[[#This Row],[Source Type]]="BIM",TableRelationships12[[#This Row],[Target Type]]="BIM")</f>
        <v>0</v>
      </c>
      <c r="Q1772">
        <f t="shared" si="81"/>
        <v>1</v>
      </c>
      <c r="S1772">
        <f t="shared" si="82"/>
        <v>1</v>
      </c>
      <c r="T1772" s="102" t="str">
        <f>IF(TableRelationships12[[#This Row],[Rank Pedro]]="Low","linkCategory1",IF(TableRelationships12[[#This Row],[Rank Pedro]]="Medium","linkCategory2",IF(TableRelationships12[[#This Row],[Rank Pedro]]="High","linkCategory3","")))</f>
        <v/>
      </c>
      <c r="U1772" s="102" t="str">
        <f>IF(TableRelationships12[[#This Row],[Rank Pedro]]="Low","Pink",IF(TableRelationships12[[#This Row],[Rank Pedro]]="Medium","Purple",IF(TableRelationships12[[#This Row],[Rank Pedro]]="High","Brown","")))</f>
        <v/>
      </c>
      <c r="V1772" s="4" t="e">
        <f>MAX(INDEX(Standards!$F$2:$F$296,MATCH(B1772,Standards!$B$2:$B$296,0)),INDEX(Standards!$F$2:$F$296,MATCH(C1772,Standards!$B$2:$B$296,0)))</f>
        <v>#N/A</v>
      </c>
      <c r="W1772" t="str">
        <f t="shared" si="83"/>
        <v>#2f89d1</v>
      </c>
    </row>
    <row r="1773" spans="1:23" x14ac:dyDescent="0.5">
      <c r="A1773" s="54">
        <v>1772</v>
      </c>
      <c r="B1773" s="98" t="s">
        <v>1721</v>
      </c>
      <c r="C1773" t="s">
        <v>388</v>
      </c>
      <c r="D1773" s="1"/>
      <c r="E1773" s="112">
        <v>2020.03</v>
      </c>
      <c r="F1773" s="112">
        <v>2020.03</v>
      </c>
      <c r="G1773" s="107" t="s">
        <v>2003</v>
      </c>
      <c r="H1773">
        <f>INDEX('GIS-Standards'!$A$2:$A$305,MATCH(B1773,'GIS-Standards'!$B$2:$B$305,0))</f>
        <v>81</v>
      </c>
      <c r="I1773" t="e">
        <f>INDEX('GIS-Standards'!$A$2:$A$305,MATCH(C1773,'GIS-Standards'!$B$2:$B$305,0))</f>
        <v>#N/A</v>
      </c>
      <c r="J1773" t="str">
        <f>INDEX('GIS-Standards'!$O$2:$O$305,MATCH(B1773,'GIS-Standards'!$B$2:$B$305,0))</f>
        <v>ISO/TC 59/SC 13</v>
      </c>
      <c r="K1773" t="e">
        <f>INDEX('GIS-Standards'!$O$2:$O$305,MATCH(C1773,'GIS-Standards'!$B$2:$B$305,0))</f>
        <v>#N/A</v>
      </c>
      <c r="M1773" t="s">
        <v>525</v>
      </c>
      <c r="N1773">
        <f>INDEX('GIS-Standards'!$I$2:$I$305,MATCH(B1773,'GIS-Standards'!$B$2:$B$305,0))</f>
        <v>0</v>
      </c>
      <c r="O1773" t="e">
        <f>INDEX('GIS-Standards'!$I$2:$I$305,MATCH(C1773,'GIS-Standards'!$B$2:$B$305,0))</f>
        <v>#N/A</v>
      </c>
      <c r="P1773" t="e">
        <f>AND(TableRelationships12[[#This Row],[Source Type]]="BIM",TableRelationships12[[#This Row],[Target Type]]="BIM")</f>
        <v>#N/A</v>
      </c>
      <c r="Q1773">
        <f t="shared" si="81"/>
        <v>1</v>
      </c>
      <c r="S1773">
        <f t="shared" si="82"/>
        <v>1</v>
      </c>
      <c r="T1773" s="102" t="str">
        <f>IF(TableRelationships12[[#This Row],[Rank Pedro]]="Low","linkCategory1",IF(TableRelationships12[[#This Row],[Rank Pedro]]="Medium","linkCategory2",IF(TableRelationships12[[#This Row],[Rank Pedro]]="High","linkCategory3","")))</f>
        <v/>
      </c>
      <c r="U1773" s="102" t="str">
        <f>IF(TableRelationships12[[#This Row],[Rank Pedro]]="Low","Pink",IF(TableRelationships12[[#This Row],[Rank Pedro]]="Medium","Purple",IF(TableRelationships12[[#This Row],[Rank Pedro]]="High","Brown","")))</f>
        <v/>
      </c>
      <c r="V1773" s="4" t="e">
        <f>MAX(INDEX(Standards!$F$2:$F$296,MATCH(B1773,Standards!$B$2:$B$296,0)),INDEX(Standards!$F$2:$F$296,MATCH(C1773,Standards!$B$2:$B$296,0)))</f>
        <v>#N/A</v>
      </c>
      <c r="W1773" t="str">
        <f t="shared" si="83"/>
        <v>#2f89d1</v>
      </c>
    </row>
    <row r="1774" spans="1:23" x14ac:dyDescent="0.5">
      <c r="A1774" s="54">
        <v>1773</v>
      </c>
      <c r="B1774" s="98" t="s">
        <v>1721</v>
      </c>
      <c r="C1774" t="s">
        <v>404</v>
      </c>
      <c r="D1774" s="1"/>
      <c r="E1774" s="112">
        <v>2020.07</v>
      </c>
      <c r="F1774" s="112">
        <v>2025.09</v>
      </c>
      <c r="G1774" s="107" t="s">
        <v>2003</v>
      </c>
      <c r="H1774">
        <f>INDEX('GIS-Standards'!$A$2:$A$305,MATCH(B1774,'GIS-Standards'!$B$2:$B$305,0))</f>
        <v>81</v>
      </c>
      <c r="I1774" t="e">
        <f>INDEX('GIS-Standards'!$A$2:$A$305,MATCH(C1774,'GIS-Standards'!$B$2:$B$305,0))</f>
        <v>#N/A</v>
      </c>
      <c r="J1774" t="str">
        <f>INDEX('GIS-Standards'!$O$2:$O$305,MATCH(B1774,'GIS-Standards'!$B$2:$B$305,0))</f>
        <v>ISO/TC 59/SC 13</v>
      </c>
      <c r="K1774" t="e">
        <f>INDEX('GIS-Standards'!$O$2:$O$305,MATCH(C1774,'GIS-Standards'!$B$2:$B$305,0))</f>
        <v>#N/A</v>
      </c>
      <c r="M1774" t="s">
        <v>525</v>
      </c>
      <c r="N1774">
        <f>INDEX('GIS-Standards'!$I$2:$I$305,MATCH(B1774,'GIS-Standards'!$B$2:$B$305,0))</f>
        <v>0</v>
      </c>
      <c r="O1774" t="e">
        <f>INDEX('GIS-Standards'!$I$2:$I$305,MATCH(C1774,'GIS-Standards'!$B$2:$B$305,0))</f>
        <v>#N/A</v>
      </c>
      <c r="P1774" t="e">
        <f>AND(TableRelationships12[[#This Row],[Source Type]]="BIM",TableRelationships12[[#This Row],[Target Type]]="BIM")</f>
        <v>#N/A</v>
      </c>
      <c r="Q1774">
        <f t="shared" si="81"/>
        <v>1</v>
      </c>
      <c r="S1774">
        <f t="shared" si="82"/>
        <v>1</v>
      </c>
      <c r="T1774" s="102" t="str">
        <f>IF(TableRelationships12[[#This Row],[Rank Pedro]]="Low","linkCategory1",IF(TableRelationships12[[#This Row],[Rank Pedro]]="Medium","linkCategory2",IF(TableRelationships12[[#This Row],[Rank Pedro]]="High","linkCategory3","")))</f>
        <v/>
      </c>
      <c r="U1774" s="102" t="str">
        <f>IF(TableRelationships12[[#This Row],[Rank Pedro]]="Low","Pink",IF(TableRelationships12[[#This Row],[Rank Pedro]]="Medium","Purple",IF(TableRelationships12[[#This Row],[Rank Pedro]]="High","Brown","")))</f>
        <v/>
      </c>
      <c r="V1774" s="4" t="e">
        <f>MAX(INDEX(Standards!$F$2:$F$296,MATCH(B1774,Standards!$B$2:$B$296,0)),INDEX(Standards!$F$2:$F$296,MATCH(C1774,Standards!$B$2:$B$296,0)))</f>
        <v>#N/A</v>
      </c>
      <c r="W1774" t="str">
        <f t="shared" si="83"/>
        <v>#2f89d1</v>
      </c>
    </row>
    <row r="1775" spans="1:23" x14ac:dyDescent="0.5">
      <c r="A1775" s="54">
        <v>1774</v>
      </c>
      <c r="B1775" s="98" t="s">
        <v>1721</v>
      </c>
      <c r="C1775" t="s">
        <v>465</v>
      </c>
      <c r="D1775" s="1"/>
      <c r="E1775" s="112">
        <v>2022.04</v>
      </c>
      <c r="F1775" s="112">
        <v>2022.04</v>
      </c>
      <c r="G1775" s="107" t="s">
        <v>2096</v>
      </c>
      <c r="H1775">
        <f>INDEX('GIS-Standards'!$A$2:$A$305,MATCH(B1775,'GIS-Standards'!$B$2:$B$305,0))</f>
        <v>81</v>
      </c>
      <c r="I1775" t="e">
        <f>INDEX('GIS-Standards'!$A$2:$A$305,MATCH(C1775,'GIS-Standards'!$B$2:$B$305,0))</f>
        <v>#N/A</v>
      </c>
      <c r="J1775" t="str">
        <f>INDEX('GIS-Standards'!$O$2:$O$305,MATCH(B1775,'GIS-Standards'!$B$2:$B$305,0))</f>
        <v>ISO/TC 59/SC 13</v>
      </c>
      <c r="K1775" t="e">
        <f>INDEX('GIS-Standards'!$O$2:$O$305,MATCH(C1775,'GIS-Standards'!$B$2:$B$305,0))</f>
        <v>#N/A</v>
      </c>
      <c r="M1775" t="s">
        <v>525</v>
      </c>
      <c r="N1775">
        <f>INDEX('GIS-Standards'!$I$2:$I$305,MATCH(B1775,'GIS-Standards'!$B$2:$B$305,0))</f>
        <v>0</v>
      </c>
      <c r="O1775" t="e">
        <f>INDEX('GIS-Standards'!$I$2:$I$305,MATCH(C1775,'GIS-Standards'!$B$2:$B$305,0))</f>
        <v>#N/A</v>
      </c>
      <c r="P1775" t="e">
        <f>AND(TableRelationships12[[#This Row],[Source Type]]="BIM",TableRelationships12[[#This Row],[Target Type]]="BIM")</f>
        <v>#N/A</v>
      </c>
      <c r="Q1775">
        <f t="shared" si="81"/>
        <v>1</v>
      </c>
      <c r="S1775">
        <f t="shared" si="82"/>
        <v>1</v>
      </c>
      <c r="T1775" s="102" t="str">
        <f>IF(TableRelationships12[[#This Row],[Rank Pedro]]="Low","linkCategory1",IF(TableRelationships12[[#This Row],[Rank Pedro]]="Medium","linkCategory2",IF(TableRelationships12[[#This Row],[Rank Pedro]]="High","linkCategory3","")))</f>
        <v/>
      </c>
      <c r="U1775" s="102" t="str">
        <f>IF(TableRelationships12[[#This Row],[Rank Pedro]]="Low","Pink",IF(TableRelationships12[[#This Row],[Rank Pedro]]="Medium","Purple",IF(TableRelationships12[[#This Row],[Rank Pedro]]="High","Brown","")))</f>
        <v/>
      </c>
      <c r="V1775" s="4" t="e">
        <f>MAX(INDEX(Standards!$F$2:$F$296,MATCH(B1775,Standards!$B$2:$B$296,0)),INDEX(Standards!$F$2:$F$296,MATCH(C1775,Standards!$B$2:$B$296,0)))</f>
        <v>#N/A</v>
      </c>
      <c r="W1775" t="str">
        <f t="shared" si="83"/>
        <v>#2f89d1</v>
      </c>
    </row>
    <row r="1776" spans="1:23" x14ac:dyDescent="0.5">
      <c r="A1776" s="54">
        <v>1775</v>
      </c>
      <c r="B1776" s="98" t="s">
        <v>1721</v>
      </c>
      <c r="C1776" t="s">
        <v>488</v>
      </c>
      <c r="D1776" s="1"/>
      <c r="E1776" s="112">
        <v>2021.05</v>
      </c>
      <c r="F1776" s="112">
        <v>2021.05</v>
      </c>
      <c r="G1776" s="107" t="s">
        <v>1848</v>
      </c>
      <c r="H1776">
        <f>INDEX('GIS-Standards'!$A$2:$A$305,MATCH(B1776,'GIS-Standards'!$B$2:$B$305,0))</f>
        <v>81</v>
      </c>
      <c r="I1776">
        <f>INDEX('GIS-Standards'!$A$2:$A$305,MATCH(C1776,'GIS-Standards'!$B$2:$B$305,0))</f>
        <v>95</v>
      </c>
      <c r="J1776" t="str">
        <f>INDEX('GIS-Standards'!$O$2:$O$305,MATCH(B1776,'GIS-Standards'!$B$2:$B$305,0))</f>
        <v>ISO/TC 59/SC 13</v>
      </c>
      <c r="K1776" t="str">
        <f>INDEX('GIS-Standards'!$O$2:$O$305,MATCH(C1776,'GIS-Standards'!$B$2:$B$305,0))</f>
        <v>ISO/TC 59/SC 13</v>
      </c>
      <c r="M1776" t="s">
        <v>525</v>
      </c>
      <c r="N1776">
        <f>INDEX('GIS-Standards'!$I$2:$I$305,MATCH(B1776,'GIS-Standards'!$B$2:$B$305,0))</f>
        <v>0</v>
      </c>
      <c r="O1776">
        <f>INDEX('GIS-Standards'!$I$2:$I$305,MATCH(C1776,'GIS-Standards'!$B$2:$B$305,0))</f>
        <v>0</v>
      </c>
      <c r="P1776" t="b">
        <f>AND(TableRelationships12[[#This Row],[Source Type]]="BIM",TableRelationships12[[#This Row],[Target Type]]="BIM")</f>
        <v>0</v>
      </c>
      <c r="Q1776">
        <f t="shared" si="81"/>
        <v>1</v>
      </c>
      <c r="S1776">
        <f t="shared" si="82"/>
        <v>1</v>
      </c>
      <c r="T1776" s="102" t="str">
        <f>IF(TableRelationships12[[#This Row],[Rank Pedro]]="Low","linkCategory1",IF(TableRelationships12[[#This Row],[Rank Pedro]]="Medium","linkCategory2",IF(TableRelationships12[[#This Row],[Rank Pedro]]="High","linkCategory3","")))</f>
        <v/>
      </c>
      <c r="U1776" s="102" t="str">
        <f>IF(TableRelationships12[[#This Row],[Rank Pedro]]="Low","Pink",IF(TableRelationships12[[#This Row],[Rank Pedro]]="Medium","Purple",IF(TableRelationships12[[#This Row],[Rank Pedro]]="High","Brown","")))</f>
        <v/>
      </c>
      <c r="V1776" s="4" t="e">
        <f>MAX(INDEX(Standards!$F$2:$F$296,MATCH(B1776,Standards!$B$2:$B$296,0)),INDEX(Standards!$F$2:$F$296,MATCH(C1776,Standards!$B$2:$B$296,0)))</f>
        <v>#N/A</v>
      </c>
      <c r="W1776" t="str">
        <f t="shared" si="83"/>
        <v>#2f89d1</v>
      </c>
    </row>
    <row r="1777" spans="1:23" x14ac:dyDescent="0.5">
      <c r="A1777" s="54">
        <v>1776</v>
      </c>
      <c r="B1777" s="98" t="s">
        <v>1721</v>
      </c>
      <c r="C1777" t="s">
        <v>348</v>
      </c>
      <c r="D1777" s="1"/>
      <c r="E1777" s="113">
        <v>2013.12</v>
      </c>
      <c r="F1777" s="113">
        <v>2023.04</v>
      </c>
      <c r="G1777" s="107" t="s">
        <v>670</v>
      </c>
      <c r="H1777">
        <f>INDEX('GIS-Standards'!$A$2:$A$305,MATCH(B1777,'GIS-Standards'!$B$2:$B$305,0))</f>
        <v>81</v>
      </c>
      <c r="I1777">
        <f>INDEX('GIS-Standards'!$A$2:$A$305,MATCH(C1777,'GIS-Standards'!$B$2:$B$305,0))</f>
        <v>66</v>
      </c>
      <c r="J1777" t="str">
        <f>INDEX('GIS-Standards'!$O$2:$O$305,MATCH(B1777,'GIS-Standards'!$B$2:$B$305,0))</f>
        <v>ISO/TC 59/SC 13</v>
      </c>
      <c r="K1777" t="str">
        <f>INDEX('GIS-Standards'!$O$2:$O$305,MATCH(C1777,'GIS-Standards'!$B$2:$B$305,0))</f>
        <v>ISO/TC 211</v>
      </c>
      <c r="M1777" t="s">
        <v>525</v>
      </c>
      <c r="N1777">
        <f>INDEX('GIS-Standards'!$I$2:$I$305,MATCH(B1777,'GIS-Standards'!$B$2:$B$305,0))</f>
        <v>0</v>
      </c>
      <c r="O1777">
        <f>INDEX('GIS-Standards'!$I$2:$I$305,MATCH(C1777,'GIS-Standards'!$B$2:$B$305,0))</f>
        <v>0</v>
      </c>
      <c r="P1777" t="b">
        <f>AND(TableRelationships12[[#This Row],[Source Type]]="BIM",TableRelationships12[[#This Row],[Target Type]]="BIM")</f>
        <v>0</v>
      </c>
      <c r="Q1777">
        <f t="shared" si="81"/>
        <v>1</v>
      </c>
      <c r="S1777">
        <f t="shared" si="82"/>
        <v>1</v>
      </c>
      <c r="T1777" s="102" t="str">
        <f>IF(TableRelationships12[[#This Row],[Rank Pedro]]="Low","linkCategory1",IF(TableRelationships12[[#This Row],[Rank Pedro]]="Medium","linkCategory2",IF(TableRelationships12[[#This Row],[Rank Pedro]]="High","linkCategory3","")))</f>
        <v/>
      </c>
      <c r="U1777" s="102" t="str">
        <f>IF(TableRelationships12[[#This Row],[Rank Pedro]]="Low","Pink",IF(TableRelationships12[[#This Row],[Rank Pedro]]="Medium","Purple",IF(TableRelationships12[[#This Row],[Rank Pedro]]="High","Brown","")))</f>
        <v/>
      </c>
      <c r="V1777" s="4" t="e">
        <f>MAX(INDEX(Standards!$F$2:$F$296,MATCH(B1777,Standards!$B$2:$B$296,0)),INDEX(Standards!$F$2:$F$296,MATCH(C1777,Standards!$B$2:$B$296,0)))</f>
        <v>#N/A</v>
      </c>
      <c r="W1777" t="str">
        <f t="shared" si="83"/>
        <v>#2f89d1</v>
      </c>
    </row>
    <row r="1778" spans="1:23" x14ac:dyDescent="0.5">
      <c r="A1778" s="54">
        <v>1777</v>
      </c>
      <c r="B1778" s="98" t="s">
        <v>1721</v>
      </c>
      <c r="C1778" t="s">
        <v>664</v>
      </c>
      <c r="D1778" s="1"/>
      <c r="E1778" s="112">
        <v>2021.05</v>
      </c>
      <c r="F1778" s="112">
        <v>2021.05</v>
      </c>
      <c r="G1778" s="107" t="s">
        <v>670</v>
      </c>
      <c r="H1778">
        <f>INDEX('GIS-Standards'!$A$2:$A$305,MATCH(B1778,'GIS-Standards'!$B$2:$B$305,0))</f>
        <v>81</v>
      </c>
      <c r="I1778">
        <f>INDEX('GIS-Standards'!$A$2:$A$305,MATCH(C1778,'GIS-Standards'!$B$2:$B$305,0))</f>
        <v>113</v>
      </c>
      <c r="J1778" t="str">
        <f>INDEX('GIS-Standards'!$O$2:$O$305,MATCH(B1778,'GIS-Standards'!$B$2:$B$305,0))</f>
        <v>ISO/TC 59/SC 13</v>
      </c>
      <c r="K1778" t="str">
        <f>INDEX('GIS-Standards'!$O$2:$O$305,MATCH(C1778,'GIS-Standards'!$B$2:$B$305,0))</f>
        <v>ISO/TC 211</v>
      </c>
      <c r="M1778" t="s">
        <v>525</v>
      </c>
      <c r="N1778">
        <f>INDEX('GIS-Standards'!$I$2:$I$305,MATCH(B1778,'GIS-Standards'!$B$2:$B$305,0))</f>
        <v>0</v>
      </c>
      <c r="O1778">
        <f>INDEX('GIS-Standards'!$I$2:$I$305,MATCH(C1778,'GIS-Standards'!$B$2:$B$305,0))</f>
        <v>0</v>
      </c>
      <c r="P1778" t="b">
        <f>AND(TableRelationships12[[#This Row],[Source Type]]="BIM",TableRelationships12[[#This Row],[Target Type]]="BIM")</f>
        <v>0</v>
      </c>
      <c r="Q1778">
        <f t="shared" si="81"/>
        <v>1</v>
      </c>
      <c r="S1778">
        <f t="shared" si="82"/>
        <v>1</v>
      </c>
      <c r="T1778" s="102" t="str">
        <f>IF(TableRelationships12[[#This Row],[Rank Pedro]]="Low","linkCategory1",IF(TableRelationships12[[#This Row],[Rank Pedro]]="Medium","linkCategory2",IF(TableRelationships12[[#This Row],[Rank Pedro]]="High","linkCategory3","")))</f>
        <v/>
      </c>
      <c r="U1778" s="102" t="str">
        <f>IF(TableRelationships12[[#This Row],[Rank Pedro]]="Low","Pink",IF(TableRelationships12[[#This Row],[Rank Pedro]]="Medium","Purple",IF(TableRelationships12[[#This Row],[Rank Pedro]]="High","Brown","")))</f>
        <v/>
      </c>
      <c r="V1778" s="4" t="e">
        <f>MAX(INDEX(Standards!$F$2:$F$296,MATCH(B1778,Standards!$B$2:$B$296,0)),INDEX(Standards!$F$2:$F$296,MATCH(C1778,Standards!$B$2:$B$296,0)))</f>
        <v>#N/A</v>
      </c>
      <c r="W1778" t="str">
        <f t="shared" si="83"/>
        <v>#2f89d1</v>
      </c>
    </row>
    <row r="1779" spans="1:23" x14ac:dyDescent="0.5">
      <c r="A1779" s="54">
        <v>1778</v>
      </c>
      <c r="B1779" s="98" t="s">
        <v>1721</v>
      </c>
      <c r="C1779" t="s">
        <v>232</v>
      </c>
      <c r="D1779" s="1"/>
      <c r="E1779" s="112">
        <v>2020.06</v>
      </c>
      <c r="F1779" s="112">
        <v>2020.06</v>
      </c>
      <c r="G1779" s="107" t="s">
        <v>2061</v>
      </c>
      <c r="H1779">
        <f>INDEX('GIS-Standards'!$A$2:$A$305,MATCH(B1779,'GIS-Standards'!$B$2:$B$305,0))</f>
        <v>81</v>
      </c>
      <c r="I1779" t="e">
        <f>INDEX('GIS-Standards'!$A$2:$A$305,MATCH(C1779,'GIS-Standards'!$B$2:$B$305,0))</f>
        <v>#N/A</v>
      </c>
      <c r="J1779" t="str">
        <f>INDEX('GIS-Standards'!$O$2:$O$305,MATCH(B1779,'GIS-Standards'!$B$2:$B$305,0))</f>
        <v>ISO/TC 59/SC 13</v>
      </c>
      <c r="K1779" t="e">
        <f>INDEX('GIS-Standards'!$O$2:$O$305,MATCH(C1779,'GIS-Standards'!$B$2:$B$305,0))</f>
        <v>#N/A</v>
      </c>
      <c r="M1779" t="s">
        <v>525</v>
      </c>
      <c r="N1779">
        <f>INDEX('GIS-Standards'!$I$2:$I$305,MATCH(B1779,'GIS-Standards'!$B$2:$B$305,0))</f>
        <v>0</v>
      </c>
      <c r="O1779" t="e">
        <f>INDEX('GIS-Standards'!$I$2:$I$305,MATCH(C1779,'GIS-Standards'!$B$2:$B$305,0))</f>
        <v>#N/A</v>
      </c>
      <c r="P1779" t="e">
        <f>AND(TableRelationships12[[#This Row],[Source Type]]="BIM",TableRelationships12[[#This Row],[Target Type]]="BIM")</f>
        <v>#N/A</v>
      </c>
      <c r="Q1779">
        <f t="shared" si="81"/>
        <v>1</v>
      </c>
      <c r="S1779">
        <f t="shared" si="82"/>
        <v>1</v>
      </c>
      <c r="T1779" s="102" t="str">
        <f>IF(TableRelationships12[[#This Row],[Rank Pedro]]="Low","linkCategory1",IF(TableRelationships12[[#This Row],[Rank Pedro]]="Medium","linkCategory2",IF(TableRelationships12[[#This Row],[Rank Pedro]]="High","linkCategory3","")))</f>
        <v/>
      </c>
      <c r="U1779" s="102" t="str">
        <f>IF(TableRelationships12[[#This Row],[Rank Pedro]]="Low","Pink",IF(TableRelationships12[[#This Row],[Rank Pedro]]="Medium","Purple",IF(TableRelationships12[[#This Row],[Rank Pedro]]="High","Brown","")))</f>
        <v/>
      </c>
      <c r="V1779" s="4" t="e">
        <f>MAX(INDEX(Standards!$F$2:$F$296,MATCH(B1779,Standards!$B$2:$B$296,0)),INDEX(Standards!$F$2:$F$296,MATCH(C1779,Standards!$B$2:$B$296,0)))</f>
        <v>#N/A</v>
      </c>
      <c r="W1779" t="str">
        <f t="shared" si="83"/>
        <v>#2f89d1</v>
      </c>
    </row>
    <row r="1780" spans="1:23" x14ac:dyDescent="0.5">
      <c r="A1780" s="54">
        <v>1779</v>
      </c>
      <c r="B1780" s="98" t="s">
        <v>1721</v>
      </c>
      <c r="C1780" t="s">
        <v>1685</v>
      </c>
      <c r="D1780" s="1"/>
      <c r="E1780" s="112">
        <v>2025.05</v>
      </c>
      <c r="F1780" s="112">
        <v>2025.05</v>
      </c>
      <c r="G1780" s="107" t="s">
        <v>2068</v>
      </c>
      <c r="H1780">
        <f>INDEX('GIS-Standards'!$A$2:$A$305,MATCH(B1780,'GIS-Standards'!$B$2:$B$305,0))</f>
        <v>81</v>
      </c>
      <c r="I1780">
        <f>INDEX('GIS-Standards'!$A$2:$A$305,MATCH(C1780,'GIS-Standards'!$B$2:$B$305,0))</f>
        <v>88</v>
      </c>
      <c r="J1780" t="str">
        <f>INDEX('GIS-Standards'!$O$2:$O$305,MATCH(B1780,'GIS-Standards'!$B$2:$B$305,0))</f>
        <v>ISO/TC 59/SC 13</v>
      </c>
      <c r="K1780" t="str">
        <f>INDEX('GIS-Standards'!$O$2:$O$305,MATCH(C1780,'GIS-Standards'!$B$2:$B$305,0))</f>
        <v>ISO/TC 59/SC 13</v>
      </c>
      <c r="M1780" t="s">
        <v>525</v>
      </c>
      <c r="N1780">
        <f>INDEX('GIS-Standards'!$I$2:$I$305,MATCH(B1780,'GIS-Standards'!$B$2:$B$305,0))</f>
        <v>0</v>
      </c>
      <c r="O1780">
        <f>INDEX('GIS-Standards'!$I$2:$I$305,MATCH(C1780,'GIS-Standards'!$B$2:$B$305,0))</f>
        <v>0</v>
      </c>
      <c r="P1780" t="b">
        <f>AND(TableRelationships12[[#This Row],[Source Type]]="BIM",TableRelationships12[[#This Row],[Target Type]]="BIM")</f>
        <v>0</v>
      </c>
      <c r="Q1780">
        <f t="shared" si="81"/>
        <v>1</v>
      </c>
      <c r="S1780">
        <f t="shared" si="82"/>
        <v>1</v>
      </c>
      <c r="T1780" s="102" t="str">
        <f>IF(TableRelationships12[[#This Row],[Rank Pedro]]="Low","linkCategory1",IF(TableRelationships12[[#This Row],[Rank Pedro]]="Medium","linkCategory2",IF(TableRelationships12[[#This Row],[Rank Pedro]]="High","linkCategory3","")))</f>
        <v/>
      </c>
      <c r="U1780" s="102" t="str">
        <f>IF(TableRelationships12[[#This Row],[Rank Pedro]]="Low","Pink",IF(TableRelationships12[[#This Row],[Rank Pedro]]="Medium","Purple",IF(TableRelationships12[[#This Row],[Rank Pedro]]="High","Brown","")))</f>
        <v/>
      </c>
      <c r="V1780" s="4" t="e">
        <f>MAX(INDEX(Standards!$F$2:$F$296,MATCH(B1780,Standards!$B$2:$B$296,0)),INDEX(Standards!$F$2:$F$296,MATCH(C1780,Standards!$B$2:$B$296,0)))</f>
        <v>#N/A</v>
      </c>
      <c r="W1780" t="str">
        <f t="shared" si="83"/>
        <v>#2f89d1</v>
      </c>
    </row>
    <row r="1781" spans="1:23" x14ac:dyDescent="0.5">
      <c r="A1781" s="54">
        <v>1780</v>
      </c>
      <c r="B1781" s="98" t="s">
        <v>1721</v>
      </c>
      <c r="C1781" t="s">
        <v>1146</v>
      </c>
      <c r="D1781" s="1"/>
      <c r="E1781" s="112">
        <v>1983.05</v>
      </c>
      <c r="F1781" s="112">
        <v>2022.09</v>
      </c>
      <c r="G1781" s="107" t="s">
        <v>670</v>
      </c>
      <c r="H1781">
        <f>INDEX('GIS-Standards'!$A$2:$A$305,MATCH(B1781,'GIS-Standards'!$B$2:$B$305,0))</f>
        <v>81</v>
      </c>
      <c r="I1781" t="e">
        <f>INDEX('GIS-Standards'!$A$2:$A$305,MATCH(C1781,'GIS-Standards'!$B$2:$B$305,0))</f>
        <v>#N/A</v>
      </c>
      <c r="J1781" t="str">
        <f>INDEX('GIS-Standards'!$O$2:$O$305,MATCH(B1781,'GIS-Standards'!$B$2:$B$305,0))</f>
        <v>ISO/TC 59/SC 13</v>
      </c>
      <c r="K1781" t="e">
        <f>INDEX('GIS-Standards'!$O$2:$O$305,MATCH(C1781,'GIS-Standards'!$B$2:$B$305,0))</f>
        <v>#N/A</v>
      </c>
      <c r="M1781" t="s">
        <v>525</v>
      </c>
      <c r="N1781">
        <f>INDEX('GIS-Standards'!$I$2:$I$305,MATCH(B1781,'GIS-Standards'!$B$2:$B$305,0))</f>
        <v>0</v>
      </c>
      <c r="O1781" t="e">
        <f>INDEX('GIS-Standards'!$I$2:$I$305,MATCH(C1781,'GIS-Standards'!$B$2:$B$305,0))</f>
        <v>#N/A</v>
      </c>
      <c r="P1781" t="e">
        <f>AND(TableRelationships12[[#This Row],[Source Type]]="BIM",TableRelationships12[[#This Row],[Target Type]]="BIM")</f>
        <v>#N/A</v>
      </c>
      <c r="Q1781">
        <f t="shared" si="81"/>
        <v>1</v>
      </c>
      <c r="S1781">
        <f t="shared" si="82"/>
        <v>1</v>
      </c>
      <c r="T1781" s="102" t="str">
        <f>IF(TableRelationships12[[#This Row],[Rank Pedro]]="Low","linkCategory1",IF(TableRelationships12[[#This Row],[Rank Pedro]]="Medium","linkCategory2",IF(TableRelationships12[[#This Row],[Rank Pedro]]="High","linkCategory3","")))</f>
        <v/>
      </c>
      <c r="U1781" s="102" t="str">
        <f>IF(TableRelationships12[[#This Row],[Rank Pedro]]="Low","Pink",IF(TableRelationships12[[#This Row],[Rank Pedro]]="Medium","Purple",IF(TableRelationships12[[#This Row],[Rank Pedro]]="High","Brown","")))</f>
        <v/>
      </c>
      <c r="V1781" s="4" t="e">
        <f>MAX(INDEX(Standards!$F$2:$F$296,MATCH(B1781,Standards!$B$2:$B$296,0)),INDEX(Standards!$F$2:$F$296,MATCH(C1781,Standards!$B$2:$B$296,0)))</f>
        <v>#N/A</v>
      </c>
      <c r="W1781" t="str">
        <f t="shared" si="83"/>
        <v>#2f89d1</v>
      </c>
    </row>
    <row r="1782" spans="1:23" x14ac:dyDescent="0.5">
      <c r="A1782" s="54">
        <v>1781</v>
      </c>
      <c r="B1782" s="98" t="s">
        <v>1722</v>
      </c>
      <c r="C1782" t="s">
        <v>527</v>
      </c>
      <c r="D1782" s="1" t="s">
        <v>1981</v>
      </c>
      <c r="E1782" s="112" t="s">
        <v>1681</v>
      </c>
      <c r="F1782" s="112" t="s">
        <v>1681</v>
      </c>
      <c r="G1782" s="121" t="s">
        <v>691</v>
      </c>
      <c r="H1782">
        <f>INDEX('GIS-Standards'!$A$2:$A$305,MATCH(B1782,'GIS-Standards'!$B$2:$B$305,0))</f>
        <v>82</v>
      </c>
      <c r="I1782" t="e">
        <f>INDEX('GIS-Standards'!$A$2:$A$305,MATCH(C1782,'GIS-Standards'!$B$2:$B$305,0))</f>
        <v>#N/A</v>
      </c>
      <c r="J1782" t="str">
        <f>INDEX('GIS-Standards'!$O$2:$O$305,MATCH(B1782,'GIS-Standards'!$B$2:$B$305,0))</f>
        <v>ISO/TC 59/SC 13</v>
      </c>
      <c r="K1782" t="e">
        <f>INDEX('GIS-Standards'!$O$2:$O$305,MATCH(C1782,'GIS-Standards'!$B$2:$B$305,0))</f>
        <v>#N/A</v>
      </c>
      <c r="M1782" t="s">
        <v>237</v>
      </c>
      <c r="N1782">
        <f>INDEX('GIS-Standards'!$I$2:$I$305,MATCH(B1782,'GIS-Standards'!$B$2:$B$305,0))</f>
        <v>0</v>
      </c>
      <c r="O1782" t="e">
        <f>INDEX('GIS-Standards'!$I$2:$I$305,MATCH(C1782,'GIS-Standards'!$B$2:$B$305,0))</f>
        <v>#N/A</v>
      </c>
      <c r="P1782" t="e">
        <f>AND(TableRelationships12[[#This Row],[Source Type]]="BIM",TableRelationships12[[#This Row],[Target Type]]="BIM")</f>
        <v>#N/A</v>
      </c>
      <c r="Q1782">
        <f t="shared" si="81"/>
        <v>2</v>
      </c>
      <c r="S1782">
        <f t="shared" si="82"/>
        <v>1</v>
      </c>
      <c r="T1782" s="102" t="str">
        <f>IF(TableRelationships12[[#This Row],[Rank Pedro]]="Low","linkCategory1",IF(TableRelationships12[[#This Row],[Rank Pedro]]="Medium","linkCategory2",IF(TableRelationships12[[#This Row],[Rank Pedro]]="High","linkCategory3","")))</f>
        <v/>
      </c>
      <c r="U1782" s="102" t="str">
        <f>IF(TableRelationships12[[#This Row],[Rank Pedro]]="Low","Pink",IF(TableRelationships12[[#This Row],[Rank Pedro]]="Medium","Purple",IF(TableRelationships12[[#This Row],[Rank Pedro]]="High","Brown","")))</f>
        <v/>
      </c>
      <c r="V1782" s="4" t="e">
        <f>MAX(INDEX(Standards!$F$2:$F$296,MATCH(B1782,Standards!$B$2:$B$296,0)),INDEX(Standards!$F$2:$F$296,MATCH(C1782,Standards!$B$2:$B$296,0)))</f>
        <v>#N/A</v>
      </c>
      <c r="W1782">
        <f t="shared" si="83"/>
        <v>1</v>
      </c>
    </row>
    <row r="1783" spans="1:23" x14ac:dyDescent="0.5">
      <c r="A1783" s="54">
        <v>1782</v>
      </c>
      <c r="B1783" s="98" t="s">
        <v>1722</v>
      </c>
      <c r="C1783" t="s">
        <v>447</v>
      </c>
      <c r="D1783" s="1"/>
      <c r="E1783" s="112">
        <v>2022.09</v>
      </c>
      <c r="F1783" s="112">
        <v>2022.09</v>
      </c>
      <c r="G1783" s="107" t="s">
        <v>2079</v>
      </c>
      <c r="H1783">
        <f>INDEX('GIS-Standards'!$A$2:$A$305,MATCH(B1783,'GIS-Standards'!$B$2:$B$305,0))</f>
        <v>82</v>
      </c>
      <c r="I1783" t="e">
        <f>INDEX('GIS-Standards'!$A$2:$A$305,MATCH(C1783,'GIS-Standards'!$B$2:$B$305,0))</f>
        <v>#N/A</v>
      </c>
      <c r="J1783" t="str">
        <f>INDEX('GIS-Standards'!$O$2:$O$305,MATCH(B1783,'GIS-Standards'!$B$2:$B$305,0))</f>
        <v>ISO/TC 59/SC 13</v>
      </c>
      <c r="K1783" t="e">
        <f>INDEX('GIS-Standards'!$O$2:$O$305,MATCH(C1783,'GIS-Standards'!$B$2:$B$305,0))</f>
        <v>#N/A</v>
      </c>
      <c r="M1783" t="s">
        <v>525</v>
      </c>
      <c r="N1783">
        <f>INDEX('GIS-Standards'!$I$2:$I$305,MATCH(B1783,'GIS-Standards'!$B$2:$B$305,0))</f>
        <v>0</v>
      </c>
      <c r="O1783" t="e">
        <f>INDEX('GIS-Standards'!$I$2:$I$305,MATCH(C1783,'GIS-Standards'!$B$2:$B$305,0))</f>
        <v>#N/A</v>
      </c>
      <c r="P1783" t="e">
        <f>AND(TableRelationships12[[#This Row],[Source Type]]="BIM",TableRelationships12[[#This Row],[Target Type]]="BIM")</f>
        <v>#N/A</v>
      </c>
      <c r="Q1783">
        <f t="shared" si="81"/>
        <v>1</v>
      </c>
      <c r="S1783">
        <f t="shared" si="82"/>
        <v>1</v>
      </c>
      <c r="T1783" s="102" t="str">
        <f>IF(TableRelationships12[[#This Row],[Rank Pedro]]="Low","linkCategory1",IF(TableRelationships12[[#This Row],[Rank Pedro]]="Medium","linkCategory2",IF(TableRelationships12[[#This Row],[Rank Pedro]]="High","linkCategory3","")))</f>
        <v/>
      </c>
      <c r="U1783" s="102" t="str">
        <f>IF(TableRelationships12[[#This Row],[Rank Pedro]]="Low","Pink",IF(TableRelationships12[[#This Row],[Rank Pedro]]="Medium","Purple",IF(TableRelationships12[[#This Row],[Rank Pedro]]="High","Brown","")))</f>
        <v/>
      </c>
      <c r="V1783" s="4" t="e">
        <f>MAX(INDEX(Standards!$F$2:$F$296,MATCH(B1783,Standards!$B$2:$B$296,0)),INDEX(Standards!$F$2:$F$296,MATCH(C1783,Standards!$B$2:$B$296,0)))</f>
        <v>#N/A</v>
      </c>
      <c r="W1783" t="str">
        <f t="shared" si="83"/>
        <v>#2f89d1</v>
      </c>
    </row>
    <row r="1784" spans="1:23" x14ac:dyDescent="0.5">
      <c r="A1784" s="54">
        <v>1783</v>
      </c>
      <c r="B1784" s="98" t="s">
        <v>1722</v>
      </c>
      <c r="C1784" t="s">
        <v>314</v>
      </c>
      <c r="D1784" s="1"/>
      <c r="E1784" s="112">
        <v>2003.05</v>
      </c>
      <c r="F1784" s="112">
        <v>2020.11</v>
      </c>
      <c r="G1784" s="107" t="s">
        <v>670</v>
      </c>
      <c r="H1784">
        <f>INDEX('GIS-Standards'!$A$2:$A$305,MATCH(B1784,'GIS-Standards'!$B$2:$B$305,0))</f>
        <v>82</v>
      </c>
      <c r="I1784">
        <f>INDEX('GIS-Standards'!$A$2:$A$305,MATCH(C1784,'GIS-Standards'!$B$2:$B$305,0))</f>
        <v>22</v>
      </c>
      <c r="J1784" t="str">
        <f>INDEX('GIS-Standards'!$O$2:$O$305,MATCH(B1784,'GIS-Standards'!$B$2:$B$305,0))</f>
        <v>ISO/TC 59/SC 13</v>
      </c>
      <c r="K1784" t="str">
        <f>INDEX('GIS-Standards'!$O$2:$O$305,MATCH(C1784,'GIS-Standards'!$B$2:$B$305,0))</f>
        <v>ISO/TC 211</v>
      </c>
      <c r="M1784" t="s">
        <v>525</v>
      </c>
      <c r="N1784">
        <f>INDEX('GIS-Standards'!$I$2:$I$305,MATCH(B1784,'GIS-Standards'!$B$2:$B$305,0))</f>
        <v>0</v>
      </c>
      <c r="O1784" t="str">
        <f>INDEX('GIS-Standards'!$I$2:$I$305,MATCH(C1784,'GIS-Standards'!$B$2:$B$305,0))</f>
        <v>12.2020</v>
      </c>
      <c r="P1784" t="b">
        <f>AND(TableRelationships12[[#This Row],[Source Type]]="BIM",TableRelationships12[[#This Row],[Target Type]]="BIM")</f>
        <v>0</v>
      </c>
      <c r="Q1784">
        <f t="shared" si="81"/>
        <v>1</v>
      </c>
      <c r="S1784">
        <f t="shared" si="82"/>
        <v>1</v>
      </c>
      <c r="T1784" s="102" t="str">
        <f>IF(TableRelationships12[[#This Row],[Rank Pedro]]="Low","linkCategory1",IF(TableRelationships12[[#This Row],[Rank Pedro]]="Medium","linkCategory2",IF(TableRelationships12[[#This Row],[Rank Pedro]]="High","linkCategory3","")))</f>
        <v/>
      </c>
      <c r="U1784" s="102" t="str">
        <f>IF(TableRelationships12[[#This Row],[Rank Pedro]]="Low","Pink",IF(TableRelationships12[[#This Row],[Rank Pedro]]="Medium","Purple",IF(TableRelationships12[[#This Row],[Rank Pedro]]="High","Brown","")))</f>
        <v/>
      </c>
      <c r="V1784" s="4" t="e">
        <f>MAX(INDEX(Standards!$F$2:$F$296,MATCH(B1784,Standards!$B$2:$B$296,0)),INDEX(Standards!$F$2:$F$296,MATCH(C1784,Standards!$B$2:$B$296,0)))</f>
        <v>#N/A</v>
      </c>
      <c r="W1784" t="str">
        <f t="shared" si="83"/>
        <v>#2f89d1</v>
      </c>
    </row>
    <row r="1785" spans="1:23" x14ac:dyDescent="0.5">
      <c r="A1785" s="54">
        <v>1784</v>
      </c>
      <c r="B1785" s="98" t="s">
        <v>1722</v>
      </c>
      <c r="C1785" t="s">
        <v>408</v>
      </c>
      <c r="D1785" s="1"/>
      <c r="E1785" s="112">
        <v>2010.05</v>
      </c>
      <c r="F1785" s="112">
        <v>2025.11</v>
      </c>
      <c r="G1785" s="107" t="s">
        <v>2003</v>
      </c>
      <c r="H1785">
        <f>INDEX('GIS-Standards'!$A$2:$A$305,MATCH(B1785,'GIS-Standards'!$B$2:$B$305,0))</f>
        <v>82</v>
      </c>
      <c r="I1785" t="e">
        <f>INDEX('GIS-Standards'!$A$2:$A$305,MATCH(C1785,'GIS-Standards'!$B$2:$B$305,0))</f>
        <v>#N/A</v>
      </c>
      <c r="J1785" t="str">
        <f>INDEX('GIS-Standards'!$O$2:$O$305,MATCH(B1785,'GIS-Standards'!$B$2:$B$305,0))</f>
        <v>ISO/TC 59/SC 13</v>
      </c>
      <c r="K1785" t="e">
        <f>INDEX('GIS-Standards'!$O$2:$O$305,MATCH(C1785,'GIS-Standards'!$B$2:$B$305,0))</f>
        <v>#N/A</v>
      </c>
      <c r="M1785" t="s">
        <v>525</v>
      </c>
      <c r="N1785">
        <f>INDEX('GIS-Standards'!$I$2:$I$305,MATCH(B1785,'GIS-Standards'!$B$2:$B$305,0))</f>
        <v>0</v>
      </c>
      <c r="O1785" t="e">
        <f>INDEX('GIS-Standards'!$I$2:$I$305,MATCH(C1785,'GIS-Standards'!$B$2:$B$305,0))</f>
        <v>#N/A</v>
      </c>
      <c r="P1785" t="e">
        <f>AND(TableRelationships12[[#This Row],[Source Type]]="BIM",TableRelationships12[[#This Row],[Target Type]]="BIM")</f>
        <v>#N/A</v>
      </c>
      <c r="Q1785">
        <f t="shared" si="81"/>
        <v>1</v>
      </c>
      <c r="S1785">
        <f t="shared" si="82"/>
        <v>1</v>
      </c>
      <c r="T1785" s="102" t="str">
        <f>IF(TableRelationships12[[#This Row],[Rank Pedro]]="Low","linkCategory1",IF(TableRelationships12[[#This Row],[Rank Pedro]]="Medium","linkCategory2",IF(TableRelationships12[[#This Row],[Rank Pedro]]="High","linkCategory3","")))</f>
        <v/>
      </c>
      <c r="U1785" s="102" t="str">
        <f>IF(TableRelationships12[[#This Row],[Rank Pedro]]="Low","Pink",IF(TableRelationships12[[#This Row],[Rank Pedro]]="Medium","Purple",IF(TableRelationships12[[#This Row],[Rank Pedro]]="High","Brown","")))</f>
        <v/>
      </c>
      <c r="V1785" s="4" t="e">
        <f>MAX(INDEX(Standards!$F$2:$F$296,MATCH(B1785,Standards!$B$2:$B$296,0)),INDEX(Standards!$F$2:$F$296,MATCH(C1785,Standards!$B$2:$B$296,0)))</f>
        <v>#N/A</v>
      </c>
      <c r="W1785" t="str">
        <f t="shared" si="83"/>
        <v>#2f89d1</v>
      </c>
    </row>
    <row r="1786" spans="1:23" x14ac:dyDescent="0.5">
      <c r="A1786" s="54">
        <v>1785</v>
      </c>
      <c r="B1786" s="98" t="s">
        <v>1722</v>
      </c>
      <c r="C1786" t="s">
        <v>210</v>
      </c>
      <c r="D1786" s="1" t="s">
        <v>1676</v>
      </c>
      <c r="E1786" s="112">
        <v>2018.12</v>
      </c>
      <c r="F1786" s="112">
        <v>2018.12</v>
      </c>
      <c r="G1786" s="107" t="s">
        <v>2061</v>
      </c>
      <c r="H1786">
        <f>INDEX('GIS-Standards'!$A$2:$A$305,MATCH(B1786,'GIS-Standards'!$B$2:$B$305,0))</f>
        <v>82</v>
      </c>
      <c r="I1786" t="e">
        <f>INDEX('GIS-Standards'!$A$2:$A$305,MATCH(C1786,'GIS-Standards'!$B$2:$B$305,0))</f>
        <v>#N/A</v>
      </c>
      <c r="J1786" t="str">
        <f>INDEX('GIS-Standards'!$O$2:$O$305,MATCH(B1786,'GIS-Standards'!$B$2:$B$305,0))</f>
        <v>ISO/TC 59/SC 13</v>
      </c>
      <c r="K1786" t="e">
        <f>INDEX('GIS-Standards'!$O$2:$O$305,MATCH(C1786,'GIS-Standards'!$B$2:$B$305,0))</f>
        <v>#N/A</v>
      </c>
      <c r="M1786" t="s">
        <v>525</v>
      </c>
      <c r="N1786">
        <f>INDEX('GIS-Standards'!$I$2:$I$305,MATCH(B1786,'GIS-Standards'!$B$2:$B$305,0))</f>
        <v>0</v>
      </c>
      <c r="O1786" t="e">
        <f>INDEX('GIS-Standards'!$I$2:$I$305,MATCH(C1786,'GIS-Standards'!$B$2:$B$305,0))</f>
        <v>#N/A</v>
      </c>
      <c r="P1786" t="e">
        <f>AND(TableRelationships12[[#This Row],[Source Type]]="BIM",TableRelationships12[[#This Row],[Target Type]]="BIM")</f>
        <v>#N/A</v>
      </c>
      <c r="Q1786">
        <f t="shared" si="81"/>
        <v>1</v>
      </c>
      <c r="S1786">
        <f t="shared" si="82"/>
        <v>1</v>
      </c>
      <c r="T1786" s="102" t="str">
        <f>IF(TableRelationships12[[#This Row],[Rank Pedro]]="Low","linkCategory1",IF(TableRelationships12[[#This Row],[Rank Pedro]]="Medium","linkCategory2",IF(TableRelationships12[[#This Row],[Rank Pedro]]="High","linkCategory3","")))</f>
        <v/>
      </c>
      <c r="U1786" s="102" t="str">
        <f>IF(TableRelationships12[[#This Row],[Rank Pedro]]="Low","Pink",IF(TableRelationships12[[#This Row],[Rank Pedro]]="Medium","Purple",IF(TableRelationships12[[#This Row],[Rank Pedro]]="High","Brown","")))</f>
        <v/>
      </c>
      <c r="V1786" s="4" t="e">
        <f>MAX(INDEX(Standards!$F$2:$F$296,MATCH(B1786,Standards!$B$2:$B$296,0)),INDEX(Standards!$F$2:$F$296,MATCH(C1786,Standards!$B$2:$B$296,0)))</f>
        <v>#N/A</v>
      </c>
      <c r="W1786" t="str">
        <f t="shared" si="83"/>
        <v>#2f89d1</v>
      </c>
    </row>
    <row r="1787" spans="1:23" x14ac:dyDescent="0.5">
      <c r="A1787" s="54">
        <v>1786</v>
      </c>
      <c r="B1787" s="98" t="s">
        <v>1722</v>
      </c>
      <c r="C1787" t="s">
        <v>1990</v>
      </c>
      <c r="D1787" s="1"/>
      <c r="E1787" s="112" t="s">
        <v>2067</v>
      </c>
      <c r="F1787" s="112" t="s">
        <v>2067</v>
      </c>
      <c r="G1787" s="107" t="s">
        <v>1487</v>
      </c>
      <c r="H1787">
        <f>INDEX('GIS-Standards'!$A$2:$A$305,MATCH(B1787,'GIS-Standards'!$B$2:$B$305,0))</f>
        <v>82</v>
      </c>
      <c r="I1787" t="e">
        <f>INDEX('GIS-Standards'!$A$2:$A$305,MATCH(C1787,'GIS-Standards'!$B$2:$B$305,0))</f>
        <v>#N/A</v>
      </c>
      <c r="J1787" t="str">
        <f>INDEX('GIS-Standards'!$O$2:$O$305,MATCH(B1787,'GIS-Standards'!$B$2:$B$305,0))</f>
        <v>ISO/TC 59/SC 13</v>
      </c>
      <c r="K1787" t="e">
        <f>INDEX('GIS-Standards'!$O$2:$O$305,MATCH(C1787,'GIS-Standards'!$B$2:$B$305,0))</f>
        <v>#N/A</v>
      </c>
      <c r="M1787" t="s">
        <v>525</v>
      </c>
      <c r="N1787">
        <f>INDEX('GIS-Standards'!$I$2:$I$305,MATCH(B1787,'GIS-Standards'!$B$2:$B$305,0))</f>
        <v>0</v>
      </c>
      <c r="O1787" t="e">
        <f>INDEX('GIS-Standards'!$I$2:$I$305,MATCH(C1787,'GIS-Standards'!$B$2:$B$305,0))</f>
        <v>#N/A</v>
      </c>
      <c r="P1787" t="e">
        <f>AND(TableRelationships12[[#This Row],[Source Type]]="BIM",TableRelationships12[[#This Row],[Target Type]]="BIM")</f>
        <v>#N/A</v>
      </c>
      <c r="Q1787">
        <f t="shared" si="81"/>
        <v>1</v>
      </c>
      <c r="S1787">
        <f t="shared" si="82"/>
        <v>1</v>
      </c>
      <c r="T1787" s="102" t="str">
        <f>IF(TableRelationships12[[#This Row],[Rank Pedro]]="Low","linkCategory1",IF(TableRelationships12[[#This Row],[Rank Pedro]]="Medium","linkCategory2",IF(TableRelationships12[[#This Row],[Rank Pedro]]="High","linkCategory3","")))</f>
        <v/>
      </c>
      <c r="U1787" s="102" t="str">
        <f>IF(TableRelationships12[[#This Row],[Rank Pedro]]="Low","Pink",IF(TableRelationships12[[#This Row],[Rank Pedro]]="Medium","Purple",IF(TableRelationships12[[#This Row],[Rank Pedro]]="High","Brown","")))</f>
        <v/>
      </c>
      <c r="V1787" s="4" t="e">
        <f>MAX(INDEX(Standards!$F$2:$F$296,MATCH(B1787,Standards!$B$2:$B$296,0)),INDEX(Standards!$F$2:$F$296,MATCH(C1787,Standards!$B$2:$B$296,0)))</f>
        <v>#N/A</v>
      </c>
      <c r="W1787" t="str">
        <f t="shared" si="83"/>
        <v>#2f89d1</v>
      </c>
    </row>
    <row r="1788" spans="1:23" x14ac:dyDescent="0.5">
      <c r="A1788" s="54">
        <v>1787</v>
      </c>
      <c r="B1788" s="98" t="s">
        <v>1722</v>
      </c>
      <c r="C1788" t="s">
        <v>1991</v>
      </c>
      <c r="D1788" s="1"/>
      <c r="E1788" s="112">
        <v>2003.11</v>
      </c>
      <c r="F1788" s="112">
        <v>2003.11</v>
      </c>
      <c r="G1788" s="107" t="s">
        <v>2024</v>
      </c>
      <c r="H1788">
        <f>INDEX('GIS-Standards'!$A$2:$A$305,MATCH(B1788,'GIS-Standards'!$B$2:$B$305,0))</f>
        <v>82</v>
      </c>
      <c r="I1788" t="e">
        <f>INDEX('GIS-Standards'!$A$2:$A$305,MATCH(C1788,'GIS-Standards'!$B$2:$B$305,0))</f>
        <v>#N/A</v>
      </c>
      <c r="J1788" t="str">
        <f>INDEX('GIS-Standards'!$O$2:$O$305,MATCH(B1788,'GIS-Standards'!$B$2:$B$305,0))</f>
        <v>ISO/TC 59/SC 13</v>
      </c>
      <c r="K1788" t="e">
        <f>INDEX('GIS-Standards'!$O$2:$O$305,MATCH(C1788,'GIS-Standards'!$B$2:$B$305,0))</f>
        <v>#N/A</v>
      </c>
      <c r="M1788" t="s">
        <v>525</v>
      </c>
      <c r="N1788">
        <f>INDEX('GIS-Standards'!$I$2:$I$305,MATCH(B1788,'GIS-Standards'!$B$2:$B$305,0))</f>
        <v>0</v>
      </c>
      <c r="O1788" t="e">
        <f>INDEX('GIS-Standards'!$I$2:$I$305,MATCH(C1788,'GIS-Standards'!$B$2:$B$305,0))</f>
        <v>#N/A</v>
      </c>
      <c r="P1788" t="e">
        <f>AND(TableRelationships12[[#This Row],[Source Type]]="BIM",TableRelationships12[[#This Row],[Target Type]]="BIM")</f>
        <v>#N/A</v>
      </c>
      <c r="Q1788">
        <f t="shared" si="81"/>
        <v>1</v>
      </c>
      <c r="S1788">
        <f t="shared" si="82"/>
        <v>1</v>
      </c>
      <c r="T1788" s="102" t="str">
        <f>IF(TableRelationships12[[#This Row],[Rank Pedro]]="Low","linkCategory1",IF(TableRelationships12[[#This Row],[Rank Pedro]]="Medium","linkCategory2",IF(TableRelationships12[[#This Row],[Rank Pedro]]="High","linkCategory3","")))</f>
        <v/>
      </c>
      <c r="U1788" s="102" t="str">
        <f>IF(TableRelationships12[[#This Row],[Rank Pedro]]="Low","Pink",IF(TableRelationships12[[#This Row],[Rank Pedro]]="Medium","Purple",IF(TableRelationships12[[#This Row],[Rank Pedro]]="High","Brown","")))</f>
        <v/>
      </c>
      <c r="V1788" s="4" t="e">
        <f>MAX(INDEX(Standards!$F$2:$F$296,MATCH(B1788,Standards!$B$2:$B$296,0)),INDEX(Standards!$F$2:$F$296,MATCH(C1788,Standards!$B$2:$B$296,0)))</f>
        <v>#N/A</v>
      </c>
      <c r="W1788" t="str">
        <f t="shared" si="83"/>
        <v>#2f89d1</v>
      </c>
    </row>
    <row r="1789" spans="1:23" x14ac:dyDescent="0.5">
      <c r="A1789" s="54">
        <v>1788</v>
      </c>
      <c r="B1789" s="98" t="s">
        <v>1722</v>
      </c>
      <c r="C1789" t="s">
        <v>484</v>
      </c>
      <c r="D1789" s="1"/>
      <c r="E1789" s="112">
        <v>2024.06</v>
      </c>
      <c r="F1789" s="112">
        <v>2024.06</v>
      </c>
      <c r="G1789" s="107" t="s">
        <v>2079</v>
      </c>
      <c r="H1789">
        <f>INDEX('GIS-Standards'!$A$2:$A$305,MATCH(B1789,'GIS-Standards'!$B$2:$B$305,0))</f>
        <v>82</v>
      </c>
      <c r="I1789" t="e">
        <f>INDEX('GIS-Standards'!$A$2:$A$305,MATCH(C1789,'GIS-Standards'!$B$2:$B$305,0))</f>
        <v>#N/A</v>
      </c>
      <c r="J1789" t="str">
        <f>INDEX('GIS-Standards'!$O$2:$O$305,MATCH(B1789,'GIS-Standards'!$B$2:$B$305,0))</f>
        <v>ISO/TC 59/SC 13</v>
      </c>
      <c r="K1789" t="e">
        <f>INDEX('GIS-Standards'!$O$2:$O$305,MATCH(C1789,'GIS-Standards'!$B$2:$B$305,0))</f>
        <v>#N/A</v>
      </c>
      <c r="M1789" t="s">
        <v>525</v>
      </c>
      <c r="N1789">
        <f>INDEX('GIS-Standards'!$I$2:$I$305,MATCH(B1789,'GIS-Standards'!$B$2:$B$305,0))</f>
        <v>0</v>
      </c>
      <c r="O1789" t="e">
        <f>INDEX('GIS-Standards'!$I$2:$I$305,MATCH(C1789,'GIS-Standards'!$B$2:$B$305,0))</f>
        <v>#N/A</v>
      </c>
      <c r="P1789" t="e">
        <f>AND(TableRelationships12[[#This Row],[Source Type]]="BIM",TableRelationships12[[#This Row],[Target Type]]="BIM")</f>
        <v>#N/A</v>
      </c>
      <c r="Q1789">
        <f t="shared" si="81"/>
        <v>1</v>
      </c>
      <c r="S1789">
        <f t="shared" si="82"/>
        <v>1</v>
      </c>
      <c r="T1789" s="102" t="str">
        <f>IF(TableRelationships12[[#This Row],[Rank Pedro]]="Low","linkCategory1",IF(TableRelationships12[[#This Row],[Rank Pedro]]="Medium","linkCategory2",IF(TableRelationships12[[#This Row],[Rank Pedro]]="High","linkCategory3","")))</f>
        <v/>
      </c>
      <c r="U1789" s="102" t="str">
        <f>IF(TableRelationships12[[#This Row],[Rank Pedro]]="Low","Pink",IF(TableRelationships12[[#This Row],[Rank Pedro]]="Medium","Purple",IF(TableRelationships12[[#This Row],[Rank Pedro]]="High","Brown","")))</f>
        <v/>
      </c>
      <c r="V1789" s="4" t="e">
        <f>MAX(INDEX(Standards!$F$2:$F$296,MATCH(B1789,Standards!$B$2:$B$296,0)),INDEX(Standards!$F$2:$F$296,MATCH(C1789,Standards!$B$2:$B$296,0)))</f>
        <v>#N/A</v>
      </c>
      <c r="W1789" t="str">
        <f t="shared" si="83"/>
        <v>#2f89d1</v>
      </c>
    </row>
    <row r="1790" spans="1:23" x14ac:dyDescent="0.5">
      <c r="A1790" s="54">
        <v>1789</v>
      </c>
      <c r="B1790" s="98" t="s">
        <v>1722</v>
      </c>
      <c r="C1790" t="s">
        <v>306</v>
      </c>
      <c r="D1790" s="1"/>
      <c r="E1790" s="112">
        <v>2005.06</v>
      </c>
      <c r="F1790" s="112">
        <v>2025.07</v>
      </c>
      <c r="G1790" s="107" t="s">
        <v>670</v>
      </c>
      <c r="H1790">
        <f>INDEX('GIS-Standards'!$A$2:$A$305,MATCH(B1790,'GIS-Standards'!$B$2:$B$305,0))</f>
        <v>82</v>
      </c>
      <c r="I1790">
        <f>INDEX('GIS-Standards'!$A$2:$A$305,MATCH(C1790,'GIS-Standards'!$B$2:$B$305,0))</f>
        <v>18</v>
      </c>
      <c r="J1790" t="str">
        <f>INDEX('GIS-Standards'!$O$2:$O$305,MATCH(B1790,'GIS-Standards'!$B$2:$B$305,0))</f>
        <v>ISO/TC 59/SC 13</v>
      </c>
      <c r="K1790" t="str">
        <f>INDEX('GIS-Standards'!$O$2:$O$305,MATCH(C1790,'GIS-Standards'!$B$2:$B$305,0))</f>
        <v>ISO/TC 211</v>
      </c>
      <c r="M1790" t="s">
        <v>525</v>
      </c>
      <c r="N1790">
        <f>INDEX('GIS-Standards'!$I$2:$I$305,MATCH(B1790,'GIS-Standards'!$B$2:$B$305,0))</f>
        <v>0</v>
      </c>
      <c r="O1790">
        <f>INDEX('GIS-Standards'!$I$2:$I$305,MATCH(C1790,'GIS-Standards'!$B$2:$B$305,0))</f>
        <v>0</v>
      </c>
      <c r="P1790" t="b">
        <f>AND(TableRelationships12[[#This Row],[Source Type]]="BIM",TableRelationships12[[#This Row],[Target Type]]="BIM")</f>
        <v>0</v>
      </c>
      <c r="Q1790">
        <f t="shared" si="81"/>
        <v>1</v>
      </c>
      <c r="S1790">
        <f t="shared" si="82"/>
        <v>1</v>
      </c>
      <c r="T1790" s="102" t="str">
        <f>IF(TableRelationships12[[#This Row],[Rank Pedro]]="Low","linkCategory1",IF(TableRelationships12[[#This Row],[Rank Pedro]]="Medium","linkCategory2",IF(TableRelationships12[[#This Row],[Rank Pedro]]="High","linkCategory3","")))</f>
        <v/>
      </c>
      <c r="U1790" s="102" t="str">
        <f>IF(TableRelationships12[[#This Row],[Rank Pedro]]="Low","Pink",IF(TableRelationships12[[#This Row],[Rank Pedro]]="Medium","Purple",IF(TableRelationships12[[#This Row],[Rank Pedro]]="High","Brown","")))</f>
        <v/>
      </c>
      <c r="V1790" s="4" t="e">
        <f>MAX(INDEX(Standards!$F$2:$F$296,MATCH(B1790,Standards!$B$2:$B$296,0)),INDEX(Standards!$F$2:$F$296,MATCH(C1790,Standards!$B$2:$B$296,0)))</f>
        <v>#N/A</v>
      </c>
      <c r="W1790" t="str">
        <f t="shared" si="83"/>
        <v>#2f89d1</v>
      </c>
    </row>
    <row r="1791" spans="1:23" x14ac:dyDescent="0.5">
      <c r="A1791" s="54">
        <v>1790</v>
      </c>
      <c r="B1791" s="98" t="s">
        <v>1722</v>
      </c>
      <c r="C1791" t="s">
        <v>1054</v>
      </c>
      <c r="D1791" s="1"/>
      <c r="E1791" s="112">
        <v>2024.08</v>
      </c>
      <c r="F1791" s="112">
        <v>2024.08</v>
      </c>
      <c r="G1791" s="107" t="s">
        <v>670</v>
      </c>
      <c r="H1791">
        <f>INDEX('GIS-Standards'!$A$2:$A$305,MATCH(B1791,'GIS-Standards'!$B$2:$B$305,0))</f>
        <v>82</v>
      </c>
      <c r="I1791">
        <f>INDEX('GIS-Standards'!$A$2:$A$305,MATCH(C1791,'GIS-Standards'!$B$2:$B$305,0))</f>
        <v>69</v>
      </c>
      <c r="J1791" t="str">
        <f>INDEX('GIS-Standards'!$O$2:$O$305,MATCH(B1791,'GIS-Standards'!$B$2:$B$305,0))</f>
        <v>ISO/TC 59/SC 13</v>
      </c>
      <c r="K1791" t="str">
        <f>INDEX('GIS-Standards'!$O$2:$O$305,MATCH(C1791,'GIS-Standards'!$B$2:$B$305,0))</f>
        <v>ISO/TC 211</v>
      </c>
      <c r="M1791" t="s">
        <v>525</v>
      </c>
      <c r="N1791">
        <f>INDEX('GIS-Standards'!$I$2:$I$305,MATCH(B1791,'GIS-Standards'!$B$2:$B$305,0))</f>
        <v>0</v>
      </c>
      <c r="O1791">
        <f>INDEX('GIS-Standards'!$I$2:$I$305,MATCH(C1791,'GIS-Standards'!$B$2:$B$305,0))</f>
        <v>0</v>
      </c>
      <c r="P1791" t="b">
        <f>AND(TableRelationships12[[#This Row],[Source Type]]="BIM",TableRelationships12[[#This Row],[Target Type]]="BIM")</f>
        <v>0</v>
      </c>
      <c r="Q1791">
        <f t="shared" si="81"/>
        <v>1</v>
      </c>
      <c r="S1791">
        <f t="shared" si="82"/>
        <v>1</v>
      </c>
      <c r="T1791" s="102" t="str">
        <f>IF(TableRelationships12[[#This Row],[Rank Pedro]]="Low","linkCategory1",IF(TableRelationships12[[#This Row],[Rank Pedro]]="Medium","linkCategory2",IF(TableRelationships12[[#This Row],[Rank Pedro]]="High","linkCategory3","")))</f>
        <v/>
      </c>
      <c r="U1791" s="102" t="str">
        <f>IF(TableRelationships12[[#This Row],[Rank Pedro]]="Low","Pink",IF(TableRelationships12[[#This Row],[Rank Pedro]]="Medium","Purple",IF(TableRelationships12[[#This Row],[Rank Pedro]]="High","Brown","")))</f>
        <v/>
      </c>
      <c r="V1791" s="4" t="e">
        <f>MAX(INDEX(Standards!$F$2:$F$296,MATCH(B1791,Standards!$B$2:$B$296,0)),INDEX(Standards!$F$2:$F$296,MATCH(C1791,Standards!$B$2:$B$296,0)))</f>
        <v>#N/A</v>
      </c>
      <c r="W1791" t="str">
        <f t="shared" si="83"/>
        <v>#2f89d1</v>
      </c>
    </row>
    <row r="1792" spans="1:23" x14ac:dyDescent="0.5">
      <c r="A1792" s="54">
        <v>1791</v>
      </c>
      <c r="B1792" s="98" t="s">
        <v>1722</v>
      </c>
      <c r="C1792" t="s">
        <v>144</v>
      </c>
      <c r="D1792" s="1"/>
      <c r="E1792" s="112">
        <v>2013.04</v>
      </c>
      <c r="F1792" s="112">
        <v>2024.03</v>
      </c>
      <c r="G1792" s="107" t="s">
        <v>1448</v>
      </c>
      <c r="H1792">
        <f>INDEX('GIS-Standards'!$A$2:$A$305,MATCH(B1792,'GIS-Standards'!$B$2:$B$305,0))</f>
        <v>82</v>
      </c>
      <c r="I1792" t="e">
        <f>INDEX('GIS-Standards'!$A$2:$A$305,MATCH(C1792,'GIS-Standards'!$B$2:$B$305,0))</f>
        <v>#N/A</v>
      </c>
      <c r="J1792" t="str">
        <f>INDEX('GIS-Standards'!$O$2:$O$305,MATCH(B1792,'GIS-Standards'!$B$2:$B$305,0))</f>
        <v>ISO/TC 59/SC 13</v>
      </c>
      <c r="K1792" t="e">
        <f>INDEX('GIS-Standards'!$O$2:$O$305,MATCH(C1792,'GIS-Standards'!$B$2:$B$305,0))</f>
        <v>#N/A</v>
      </c>
      <c r="M1792" t="s">
        <v>525</v>
      </c>
      <c r="N1792">
        <f>INDEX('GIS-Standards'!$I$2:$I$305,MATCH(B1792,'GIS-Standards'!$B$2:$B$305,0))</f>
        <v>0</v>
      </c>
      <c r="O1792" t="e">
        <f>INDEX('GIS-Standards'!$I$2:$I$305,MATCH(C1792,'GIS-Standards'!$B$2:$B$305,0))</f>
        <v>#N/A</v>
      </c>
      <c r="P1792" t="e">
        <f>AND(TableRelationships12[[#This Row],[Source Type]]="BIM",TableRelationships12[[#This Row],[Target Type]]="BIM")</f>
        <v>#N/A</v>
      </c>
      <c r="Q1792">
        <f t="shared" si="81"/>
        <v>1</v>
      </c>
      <c r="S1792">
        <f t="shared" si="82"/>
        <v>1</v>
      </c>
      <c r="T1792" s="102" t="str">
        <f>IF(TableRelationships12[[#This Row],[Rank Pedro]]="Low","linkCategory1",IF(TableRelationships12[[#This Row],[Rank Pedro]]="Medium","linkCategory2",IF(TableRelationships12[[#This Row],[Rank Pedro]]="High","linkCategory3","")))</f>
        <v/>
      </c>
      <c r="U1792" s="102" t="str">
        <f>IF(TableRelationships12[[#This Row],[Rank Pedro]]="Low","Pink",IF(TableRelationships12[[#This Row],[Rank Pedro]]="Medium","Purple",IF(TableRelationships12[[#This Row],[Rank Pedro]]="High","Brown","")))</f>
        <v/>
      </c>
      <c r="V1792" s="4" t="e">
        <f>MAX(INDEX(Standards!$F$2:$F$296,MATCH(B1792,Standards!$B$2:$B$296,0)),INDEX(Standards!$F$2:$F$296,MATCH(C1792,Standards!$B$2:$B$296,0)))</f>
        <v>#N/A</v>
      </c>
      <c r="W1792" t="str">
        <f t="shared" si="83"/>
        <v>#2f89d1</v>
      </c>
    </row>
    <row r="1793" spans="1:23" x14ac:dyDescent="0.5">
      <c r="A1793" s="54">
        <v>1792</v>
      </c>
      <c r="B1793" s="98" t="s">
        <v>1723</v>
      </c>
      <c r="C1793" t="s">
        <v>527</v>
      </c>
      <c r="D1793" s="1" t="s">
        <v>1981</v>
      </c>
      <c r="E1793" s="112" t="s">
        <v>1681</v>
      </c>
      <c r="F1793" s="112" t="s">
        <v>1681</v>
      </c>
      <c r="G1793" s="121" t="s">
        <v>691</v>
      </c>
      <c r="H1793">
        <f>INDEX('GIS-Standards'!$A$2:$A$305,MATCH(B1793,'GIS-Standards'!$B$2:$B$305,0))</f>
        <v>83</v>
      </c>
      <c r="I1793" t="e">
        <f>INDEX('GIS-Standards'!$A$2:$A$305,MATCH(C1793,'GIS-Standards'!$B$2:$B$305,0))</f>
        <v>#N/A</v>
      </c>
      <c r="J1793" t="str">
        <f>INDEX('GIS-Standards'!$O$2:$O$305,MATCH(B1793,'GIS-Standards'!$B$2:$B$305,0))</f>
        <v>ISO/TC 59/SC 13</v>
      </c>
      <c r="K1793" t="e">
        <f>INDEX('GIS-Standards'!$O$2:$O$305,MATCH(C1793,'GIS-Standards'!$B$2:$B$305,0))</f>
        <v>#N/A</v>
      </c>
      <c r="M1793" t="s">
        <v>524</v>
      </c>
      <c r="N1793">
        <f>INDEX('GIS-Standards'!$I$2:$I$305,MATCH(B1793,'GIS-Standards'!$B$2:$B$305,0))</f>
        <v>0</v>
      </c>
      <c r="O1793" t="e">
        <f>INDEX('GIS-Standards'!$I$2:$I$305,MATCH(C1793,'GIS-Standards'!$B$2:$B$305,0))</f>
        <v>#N/A</v>
      </c>
      <c r="P1793" t="e">
        <f>AND(TableRelationships12[[#This Row],[Source Type]]="BIM",TableRelationships12[[#This Row],[Target Type]]="BIM")</f>
        <v>#N/A</v>
      </c>
      <c r="Q1793">
        <f t="shared" si="81"/>
        <v>6</v>
      </c>
      <c r="S1793">
        <f t="shared" si="82"/>
        <v>1</v>
      </c>
      <c r="T1793" s="102" t="str">
        <f>IF(TableRelationships12[[#This Row],[Rank Pedro]]="Low","linkCategory1",IF(TableRelationships12[[#This Row],[Rank Pedro]]="Medium","linkCategory2",IF(TableRelationships12[[#This Row],[Rank Pedro]]="High","linkCategory3","")))</f>
        <v/>
      </c>
      <c r="U1793" s="102" t="str">
        <f>IF(TableRelationships12[[#This Row],[Rank Pedro]]="Low","Pink",IF(TableRelationships12[[#This Row],[Rank Pedro]]="Medium","Purple",IF(TableRelationships12[[#This Row],[Rank Pedro]]="High","Brown","")))</f>
        <v/>
      </c>
      <c r="V1793" s="4" t="e">
        <f>MAX(INDEX(Standards!$F$2:$F$296,MATCH(B1793,Standards!$B$2:$B$296,0)),INDEX(Standards!$F$2:$F$296,MATCH(C1793,Standards!$B$2:$B$296,0)))</f>
        <v>#N/A</v>
      </c>
      <c r="W1793" t="str">
        <f t="shared" si="83"/>
        <v>#d6bf2a</v>
      </c>
    </row>
    <row r="1794" spans="1:23" x14ac:dyDescent="0.5">
      <c r="A1794" s="54">
        <v>1793</v>
      </c>
      <c r="B1794" s="98" t="s">
        <v>1723</v>
      </c>
      <c r="C1794" t="s">
        <v>68</v>
      </c>
      <c r="D1794" s="1"/>
      <c r="E1794" s="113" t="s">
        <v>2045</v>
      </c>
      <c r="F1794" s="113">
        <v>2022.07</v>
      </c>
      <c r="G1794" s="107" t="s">
        <v>2043</v>
      </c>
      <c r="H1794">
        <f>INDEX('GIS-Standards'!$A$2:$A$305,MATCH(B1794,'GIS-Standards'!$B$2:$B$305,0))</f>
        <v>83</v>
      </c>
      <c r="I1794" t="e">
        <f>INDEX('GIS-Standards'!$A$2:$A$305,MATCH(C1794,'GIS-Standards'!$B$2:$B$305,0))</f>
        <v>#N/A</v>
      </c>
      <c r="J1794" t="str">
        <f>INDEX('GIS-Standards'!$O$2:$O$305,MATCH(B1794,'GIS-Standards'!$B$2:$B$305,0))</f>
        <v>ISO/TC 59/SC 13</v>
      </c>
      <c r="K1794" t="e">
        <f>INDEX('GIS-Standards'!$O$2:$O$305,MATCH(C1794,'GIS-Standards'!$B$2:$B$305,0))</f>
        <v>#N/A</v>
      </c>
      <c r="M1794" t="s">
        <v>524</v>
      </c>
      <c r="N1794">
        <f>INDEX('GIS-Standards'!$I$2:$I$305,MATCH(B1794,'GIS-Standards'!$B$2:$B$305,0))</f>
        <v>0</v>
      </c>
      <c r="O1794" t="e">
        <f>INDEX('GIS-Standards'!$I$2:$I$305,MATCH(C1794,'GIS-Standards'!$B$2:$B$305,0))</f>
        <v>#N/A</v>
      </c>
      <c r="P1794" t="e">
        <f>AND(TableRelationships12[[#This Row],[Source Type]]="BIM",TableRelationships12[[#This Row],[Target Type]]="BIM")</f>
        <v>#N/A</v>
      </c>
      <c r="Q1794">
        <f t="shared" ref="Q1794:Q1857" si="84">IF(M1794="Normative",6,IF(M1794="Secondary",4,IF(M1794="Anchor",2,1)))</f>
        <v>6</v>
      </c>
      <c r="S1794">
        <f t="shared" ref="S1794:S1857" si="85">IF(R1794="High",10,IF(R1794="Medium",6,IF(R1794="Low",2,1)))</f>
        <v>1</v>
      </c>
      <c r="T1794" s="102" t="str">
        <f>IF(TableRelationships12[[#This Row],[Rank Pedro]]="Low","linkCategory1",IF(TableRelationships12[[#This Row],[Rank Pedro]]="Medium","linkCategory2",IF(TableRelationships12[[#This Row],[Rank Pedro]]="High","linkCategory3","")))</f>
        <v/>
      </c>
      <c r="U1794" s="102" t="str">
        <f>IF(TableRelationships12[[#This Row],[Rank Pedro]]="Low","Pink",IF(TableRelationships12[[#This Row],[Rank Pedro]]="Medium","Purple",IF(TableRelationships12[[#This Row],[Rank Pedro]]="High","Brown","")))</f>
        <v/>
      </c>
      <c r="V1794" s="4" t="e">
        <f>MAX(INDEX(Standards!$F$2:$F$296,MATCH(B1794,Standards!$B$2:$B$296,0)),INDEX(Standards!$F$2:$F$296,MATCH(C1794,Standards!$B$2:$B$296,0)))</f>
        <v>#N/A</v>
      </c>
      <c r="W1794" t="str">
        <f t="shared" ref="W1794:W1857" si="86">IF(M1794="Normative", "#d6bf2a", IF(M1794="Informative", "#2f89d1", 1))</f>
        <v>#d6bf2a</v>
      </c>
    </row>
    <row r="1795" spans="1:23" x14ac:dyDescent="0.5">
      <c r="A1795" s="54">
        <v>1794</v>
      </c>
      <c r="B1795" s="98" t="s">
        <v>1723</v>
      </c>
      <c r="C1795" t="s">
        <v>144</v>
      </c>
      <c r="D1795" s="1"/>
      <c r="E1795" s="112">
        <v>2013.04</v>
      </c>
      <c r="F1795" s="112">
        <v>2024.03</v>
      </c>
      <c r="G1795" s="107" t="s">
        <v>1448</v>
      </c>
      <c r="H1795">
        <f>INDEX('GIS-Standards'!$A$2:$A$305,MATCH(B1795,'GIS-Standards'!$B$2:$B$305,0))</f>
        <v>83</v>
      </c>
      <c r="I1795" t="e">
        <f>INDEX('GIS-Standards'!$A$2:$A$305,MATCH(C1795,'GIS-Standards'!$B$2:$B$305,0))</f>
        <v>#N/A</v>
      </c>
      <c r="J1795" t="str">
        <f>INDEX('GIS-Standards'!$O$2:$O$305,MATCH(B1795,'GIS-Standards'!$B$2:$B$305,0))</f>
        <v>ISO/TC 59/SC 13</v>
      </c>
      <c r="K1795" t="e">
        <f>INDEX('GIS-Standards'!$O$2:$O$305,MATCH(C1795,'GIS-Standards'!$B$2:$B$305,0))</f>
        <v>#N/A</v>
      </c>
      <c r="M1795" t="s">
        <v>524</v>
      </c>
      <c r="N1795">
        <f>INDEX('GIS-Standards'!$I$2:$I$305,MATCH(B1795,'GIS-Standards'!$B$2:$B$305,0))</f>
        <v>0</v>
      </c>
      <c r="O1795" t="e">
        <f>INDEX('GIS-Standards'!$I$2:$I$305,MATCH(C1795,'GIS-Standards'!$B$2:$B$305,0))</f>
        <v>#N/A</v>
      </c>
      <c r="P1795" t="e">
        <f>AND(TableRelationships12[[#This Row],[Source Type]]="BIM",TableRelationships12[[#This Row],[Target Type]]="BIM")</f>
        <v>#N/A</v>
      </c>
      <c r="Q1795">
        <f t="shared" si="84"/>
        <v>6</v>
      </c>
      <c r="S1795">
        <f t="shared" si="85"/>
        <v>1</v>
      </c>
      <c r="T1795" s="102" t="str">
        <f>IF(TableRelationships12[[#This Row],[Rank Pedro]]="Low","linkCategory1",IF(TableRelationships12[[#This Row],[Rank Pedro]]="Medium","linkCategory2",IF(TableRelationships12[[#This Row],[Rank Pedro]]="High","linkCategory3","")))</f>
        <v/>
      </c>
      <c r="U1795" s="102" t="str">
        <f>IF(TableRelationships12[[#This Row],[Rank Pedro]]="Low","Pink",IF(TableRelationships12[[#This Row],[Rank Pedro]]="Medium","Purple",IF(TableRelationships12[[#This Row],[Rank Pedro]]="High","Brown","")))</f>
        <v/>
      </c>
      <c r="V1795" s="4" t="e">
        <f>MAX(INDEX(Standards!$F$2:$F$296,MATCH(B1795,Standards!$B$2:$B$296,0)),INDEX(Standards!$F$2:$F$296,MATCH(C1795,Standards!$B$2:$B$296,0)))</f>
        <v>#N/A</v>
      </c>
      <c r="W1795" t="str">
        <f t="shared" si="86"/>
        <v>#d6bf2a</v>
      </c>
    </row>
    <row r="1796" spans="1:23" x14ac:dyDescent="0.5">
      <c r="A1796" s="54">
        <v>1795</v>
      </c>
      <c r="B1796" s="98" t="s">
        <v>1723</v>
      </c>
      <c r="C1796" t="s">
        <v>293</v>
      </c>
      <c r="D1796" s="1"/>
      <c r="E1796" s="112">
        <v>2002.07</v>
      </c>
      <c r="F1796" s="112">
        <v>2014.11</v>
      </c>
      <c r="G1796" s="107" t="s">
        <v>670</v>
      </c>
      <c r="H1796">
        <f>INDEX('GIS-Standards'!$A$2:$A$305,MATCH(B1796,'GIS-Standards'!$B$2:$B$305,0))</f>
        <v>83</v>
      </c>
      <c r="I1796">
        <f>INDEX('GIS-Standards'!$A$2:$A$305,MATCH(C1796,'GIS-Standards'!$B$2:$B$305,0))</f>
        <v>10</v>
      </c>
      <c r="J1796" t="str">
        <f>INDEX('GIS-Standards'!$O$2:$O$305,MATCH(B1796,'GIS-Standards'!$B$2:$B$305,0))</f>
        <v>ISO/TC 59/SC 13</v>
      </c>
      <c r="K1796" t="str">
        <f>INDEX('GIS-Standards'!$O$2:$O$305,MATCH(C1796,'GIS-Standards'!$B$2:$B$305,0))</f>
        <v>ISO/TC 211</v>
      </c>
      <c r="M1796" t="s">
        <v>524</v>
      </c>
      <c r="N1796">
        <f>INDEX('GIS-Standards'!$I$2:$I$305,MATCH(B1796,'GIS-Standards'!$B$2:$B$305,0))</f>
        <v>0</v>
      </c>
      <c r="O1796">
        <f>INDEX('GIS-Standards'!$I$2:$I$305,MATCH(C1796,'GIS-Standards'!$B$2:$B$305,0))</f>
        <v>0</v>
      </c>
      <c r="P1796" t="b">
        <f>AND(TableRelationships12[[#This Row],[Source Type]]="BIM",TableRelationships12[[#This Row],[Target Type]]="BIM")</f>
        <v>0</v>
      </c>
      <c r="Q1796">
        <f t="shared" si="84"/>
        <v>6</v>
      </c>
      <c r="S1796">
        <f t="shared" si="85"/>
        <v>1</v>
      </c>
      <c r="T1796" s="102" t="str">
        <f>IF(TableRelationships12[[#This Row],[Rank Pedro]]="Low","linkCategory1",IF(TableRelationships12[[#This Row],[Rank Pedro]]="Medium","linkCategory2",IF(TableRelationships12[[#This Row],[Rank Pedro]]="High","linkCategory3","")))</f>
        <v/>
      </c>
      <c r="U1796" s="102" t="str">
        <f>IF(TableRelationships12[[#This Row],[Rank Pedro]]="Low","Pink",IF(TableRelationships12[[#This Row],[Rank Pedro]]="Medium","Purple",IF(TableRelationships12[[#This Row],[Rank Pedro]]="High","Brown","")))</f>
        <v/>
      </c>
      <c r="V1796" s="4" t="e">
        <f>MAX(INDEX(Standards!$F$2:$F$296,MATCH(B1796,Standards!$B$2:$B$296,0)),INDEX(Standards!$F$2:$F$296,MATCH(C1796,Standards!$B$2:$B$296,0)))</f>
        <v>#N/A</v>
      </c>
      <c r="W1796" t="str">
        <f t="shared" si="86"/>
        <v>#d6bf2a</v>
      </c>
    </row>
    <row r="1797" spans="1:23" x14ac:dyDescent="0.5">
      <c r="A1797" s="54">
        <v>1796</v>
      </c>
      <c r="B1797" s="98" t="s">
        <v>1723</v>
      </c>
      <c r="C1797" t="s">
        <v>306</v>
      </c>
      <c r="D1797" s="1"/>
      <c r="E1797" s="112">
        <v>2005.06</v>
      </c>
      <c r="F1797" s="112">
        <v>2025.07</v>
      </c>
      <c r="G1797" s="107" t="s">
        <v>670</v>
      </c>
      <c r="H1797">
        <f>INDEX('GIS-Standards'!$A$2:$A$305,MATCH(B1797,'GIS-Standards'!$B$2:$B$305,0))</f>
        <v>83</v>
      </c>
      <c r="I1797">
        <f>INDEX('GIS-Standards'!$A$2:$A$305,MATCH(C1797,'GIS-Standards'!$B$2:$B$305,0))</f>
        <v>18</v>
      </c>
      <c r="J1797" t="str">
        <f>INDEX('GIS-Standards'!$O$2:$O$305,MATCH(B1797,'GIS-Standards'!$B$2:$B$305,0))</f>
        <v>ISO/TC 59/SC 13</v>
      </c>
      <c r="K1797" t="str">
        <f>INDEX('GIS-Standards'!$O$2:$O$305,MATCH(C1797,'GIS-Standards'!$B$2:$B$305,0))</f>
        <v>ISO/TC 211</v>
      </c>
      <c r="M1797" t="s">
        <v>524</v>
      </c>
      <c r="N1797">
        <f>INDEX('GIS-Standards'!$I$2:$I$305,MATCH(B1797,'GIS-Standards'!$B$2:$B$305,0))</f>
        <v>0</v>
      </c>
      <c r="O1797">
        <f>INDEX('GIS-Standards'!$I$2:$I$305,MATCH(C1797,'GIS-Standards'!$B$2:$B$305,0))</f>
        <v>0</v>
      </c>
      <c r="P1797" t="b">
        <f>AND(TableRelationships12[[#This Row],[Source Type]]="BIM",TableRelationships12[[#This Row],[Target Type]]="BIM")</f>
        <v>0</v>
      </c>
      <c r="Q1797">
        <f t="shared" si="84"/>
        <v>6</v>
      </c>
      <c r="S1797">
        <f t="shared" si="85"/>
        <v>1</v>
      </c>
      <c r="T1797" s="102" t="str">
        <f>IF(TableRelationships12[[#This Row],[Rank Pedro]]="Low","linkCategory1",IF(TableRelationships12[[#This Row],[Rank Pedro]]="Medium","linkCategory2",IF(TableRelationships12[[#This Row],[Rank Pedro]]="High","linkCategory3","")))</f>
        <v/>
      </c>
      <c r="U1797" s="102" t="str">
        <f>IF(TableRelationships12[[#This Row],[Rank Pedro]]="Low","Pink",IF(TableRelationships12[[#This Row],[Rank Pedro]]="Medium","Purple",IF(TableRelationships12[[#This Row],[Rank Pedro]]="High","Brown","")))</f>
        <v/>
      </c>
      <c r="V1797" s="4" t="e">
        <f>MAX(INDEX(Standards!$F$2:$F$296,MATCH(B1797,Standards!$B$2:$B$296,0)),INDEX(Standards!$F$2:$F$296,MATCH(C1797,Standards!$B$2:$B$296,0)))</f>
        <v>#N/A</v>
      </c>
      <c r="W1797" t="str">
        <f t="shared" si="86"/>
        <v>#d6bf2a</v>
      </c>
    </row>
    <row r="1798" spans="1:23" x14ac:dyDescent="0.5">
      <c r="A1798" s="54">
        <v>1797</v>
      </c>
      <c r="B1798" s="98" t="s">
        <v>1723</v>
      </c>
      <c r="C1798" t="s">
        <v>404</v>
      </c>
      <c r="D1798" s="1"/>
      <c r="E1798" s="112">
        <v>2020.07</v>
      </c>
      <c r="F1798" s="112">
        <v>2025.09</v>
      </c>
      <c r="G1798" s="107" t="s">
        <v>2003</v>
      </c>
      <c r="H1798">
        <f>INDEX('GIS-Standards'!$A$2:$A$305,MATCH(B1798,'GIS-Standards'!$B$2:$B$305,0))</f>
        <v>83</v>
      </c>
      <c r="I1798" t="e">
        <f>INDEX('GIS-Standards'!$A$2:$A$305,MATCH(C1798,'GIS-Standards'!$B$2:$B$305,0))</f>
        <v>#N/A</v>
      </c>
      <c r="J1798" t="str">
        <f>INDEX('GIS-Standards'!$O$2:$O$305,MATCH(B1798,'GIS-Standards'!$B$2:$B$305,0))</f>
        <v>ISO/TC 59/SC 13</v>
      </c>
      <c r="K1798" t="e">
        <f>INDEX('GIS-Standards'!$O$2:$O$305,MATCH(C1798,'GIS-Standards'!$B$2:$B$305,0))</f>
        <v>#N/A</v>
      </c>
      <c r="M1798" t="s">
        <v>524</v>
      </c>
      <c r="N1798">
        <f>INDEX('GIS-Standards'!$I$2:$I$305,MATCH(B1798,'GIS-Standards'!$B$2:$B$305,0))</f>
        <v>0</v>
      </c>
      <c r="O1798" t="e">
        <f>INDEX('GIS-Standards'!$I$2:$I$305,MATCH(C1798,'GIS-Standards'!$B$2:$B$305,0))</f>
        <v>#N/A</v>
      </c>
      <c r="P1798" t="e">
        <f>AND(TableRelationships12[[#This Row],[Source Type]]="BIM",TableRelationships12[[#This Row],[Target Type]]="BIM")</f>
        <v>#N/A</v>
      </c>
      <c r="Q1798">
        <f t="shared" si="84"/>
        <v>6</v>
      </c>
      <c r="S1798">
        <f t="shared" si="85"/>
        <v>1</v>
      </c>
      <c r="T1798" s="102" t="str">
        <f>IF(TableRelationships12[[#This Row],[Rank Pedro]]="Low","linkCategory1",IF(TableRelationships12[[#This Row],[Rank Pedro]]="Medium","linkCategory2",IF(TableRelationships12[[#This Row],[Rank Pedro]]="High","linkCategory3","")))</f>
        <v/>
      </c>
      <c r="U1798" s="102" t="str">
        <f>IF(TableRelationships12[[#This Row],[Rank Pedro]]="Low","Pink",IF(TableRelationships12[[#This Row],[Rank Pedro]]="Medium","Purple",IF(TableRelationships12[[#This Row],[Rank Pedro]]="High","Brown","")))</f>
        <v/>
      </c>
      <c r="V1798" s="4" t="e">
        <f>MAX(INDEX(Standards!$F$2:$F$296,MATCH(B1798,Standards!$B$2:$B$296,0)),INDEX(Standards!$F$2:$F$296,MATCH(C1798,Standards!$B$2:$B$296,0)))</f>
        <v>#N/A</v>
      </c>
      <c r="W1798" t="str">
        <f t="shared" si="86"/>
        <v>#d6bf2a</v>
      </c>
    </row>
    <row r="1799" spans="1:23" x14ac:dyDescent="0.5">
      <c r="A1799" s="54">
        <v>1798</v>
      </c>
      <c r="B1799" s="98" t="s">
        <v>1723</v>
      </c>
      <c r="C1799" t="s">
        <v>126</v>
      </c>
      <c r="D1799" s="1"/>
      <c r="E1799" s="112">
        <v>1990.04</v>
      </c>
      <c r="F1799" s="112">
        <v>2019.09</v>
      </c>
      <c r="G1799" s="107" t="s">
        <v>1449</v>
      </c>
      <c r="H1799">
        <f>INDEX('GIS-Standards'!$A$2:$A$305,MATCH(B1799,'GIS-Standards'!$B$2:$B$305,0))</f>
        <v>83</v>
      </c>
      <c r="I1799" t="e">
        <f>INDEX('GIS-Standards'!$A$2:$A$305,MATCH(C1799,'GIS-Standards'!$B$2:$B$305,0))</f>
        <v>#N/A</v>
      </c>
      <c r="J1799" t="str">
        <f>INDEX('GIS-Standards'!$O$2:$O$305,MATCH(B1799,'GIS-Standards'!$B$2:$B$305,0))</f>
        <v>ISO/TC 59/SC 13</v>
      </c>
      <c r="K1799" t="e">
        <f>INDEX('GIS-Standards'!$O$2:$O$305,MATCH(C1799,'GIS-Standards'!$B$2:$B$305,0))</f>
        <v>#N/A</v>
      </c>
      <c r="M1799" t="s">
        <v>525</v>
      </c>
      <c r="N1799">
        <f>INDEX('GIS-Standards'!$I$2:$I$305,MATCH(B1799,'GIS-Standards'!$B$2:$B$305,0))</f>
        <v>0</v>
      </c>
      <c r="O1799" t="e">
        <f>INDEX('GIS-Standards'!$I$2:$I$305,MATCH(C1799,'GIS-Standards'!$B$2:$B$305,0))</f>
        <v>#N/A</v>
      </c>
      <c r="P1799" t="e">
        <f>AND(TableRelationships12[[#This Row],[Source Type]]="BIM",TableRelationships12[[#This Row],[Target Type]]="BIM")</f>
        <v>#N/A</v>
      </c>
      <c r="Q1799">
        <f t="shared" si="84"/>
        <v>1</v>
      </c>
      <c r="S1799">
        <f t="shared" si="85"/>
        <v>1</v>
      </c>
      <c r="T1799" s="102" t="str">
        <f>IF(TableRelationships12[[#This Row],[Rank Pedro]]="Low","linkCategory1",IF(TableRelationships12[[#This Row],[Rank Pedro]]="Medium","linkCategory2",IF(TableRelationships12[[#This Row],[Rank Pedro]]="High","linkCategory3","")))</f>
        <v/>
      </c>
      <c r="U1799" s="102" t="str">
        <f>IF(TableRelationships12[[#This Row],[Rank Pedro]]="Low","Pink",IF(TableRelationships12[[#This Row],[Rank Pedro]]="Medium","Purple",IF(TableRelationships12[[#This Row],[Rank Pedro]]="High","Brown","")))</f>
        <v/>
      </c>
      <c r="V1799" s="4" t="e">
        <f>MAX(INDEX(Standards!$F$2:$F$296,MATCH(B1799,Standards!$B$2:$B$296,0)),INDEX(Standards!$F$2:$F$296,MATCH(C1799,Standards!$B$2:$B$296,0)))</f>
        <v>#N/A</v>
      </c>
      <c r="W1799" t="str">
        <f t="shared" si="86"/>
        <v>#2f89d1</v>
      </c>
    </row>
    <row r="1800" spans="1:23" x14ac:dyDescent="0.5">
      <c r="A1800" s="54">
        <v>1799</v>
      </c>
      <c r="B1800" s="98" t="s">
        <v>1723</v>
      </c>
      <c r="C1800" t="s">
        <v>1994</v>
      </c>
      <c r="D1800" s="1" t="s">
        <v>1676</v>
      </c>
      <c r="E1800" s="112">
        <v>2015.04</v>
      </c>
      <c r="F1800" s="112">
        <v>2024.07</v>
      </c>
      <c r="G1800" s="107" t="s">
        <v>2065</v>
      </c>
      <c r="H1800">
        <f>INDEX('GIS-Standards'!$A$2:$A$305,MATCH(B1800,'GIS-Standards'!$B$2:$B$305,0))</f>
        <v>83</v>
      </c>
      <c r="I1800" t="e">
        <f>INDEX('GIS-Standards'!$A$2:$A$305,MATCH(C1800,'GIS-Standards'!$B$2:$B$305,0))</f>
        <v>#N/A</v>
      </c>
      <c r="J1800" t="str">
        <f>INDEX('GIS-Standards'!$O$2:$O$305,MATCH(B1800,'GIS-Standards'!$B$2:$B$305,0))</f>
        <v>ISO/TC 59/SC 13</v>
      </c>
      <c r="K1800" t="e">
        <f>INDEX('GIS-Standards'!$O$2:$O$305,MATCH(C1800,'GIS-Standards'!$B$2:$B$305,0))</f>
        <v>#N/A</v>
      </c>
      <c r="M1800" t="s">
        <v>525</v>
      </c>
      <c r="N1800">
        <f>INDEX('GIS-Standards'!$I$2:$I$305,MATCH(B1800,'GIS-Standards'!$B$2:$B$305,0))</f>
        <v>0</v>
      </c>
      <c r="O1800" t="e">
        <f>INDEX('GIS-Standards'!$I$2:$I$305,MATCH(C1800,'GIS-Standards'!$B$2:$B$305,0))</f>
        <v>#N/A</v>
      </c>
      <c r="P1800" t="e">
        <f>AND(TableRelationships12[[#This Row],[Source Type]]="BIM",TableRelationships12[[#This Row],[Target Type]]="BIM")</f>
        <v>#N/A</v>
      </c>
      <c r="Q1800">
        <f t="shared" si="84"/>
        <v>1</v>
      </c>
      <c r="S1800">
        <f t="shared" si="85"/>
        <v>1</v>
      </c>
      <c r="T1800" s="102" t="str">
        <f>IF(TableRelationships12[[#This Row],[Rank Pedro]]="Low","linkCategory1",IF(TableRelationships12[[#This Row],[Rank Pedro]]="Medium","linkCategory2",IF(TableRelationships12[[#This Row],[Rank Pedro]]="High","linkCategory3","")))</f>
        <v/>
      </c>
      <c r="U1800" s="102" t="str">
        <f>IF(TableRelationships12[[#This Row],[Rank Pedro]]="Low","Pink",IF(TableRelationships12[[#This Row],[Rank Pedro]]="Medium","Purple",IF(TableRelationships12[[#This Row],[Rank Pedro]]="High","Brown","")))</f>
        <v/>
      </c>
      <c r="V1800" s="4" t="e">
        <f>MAX(INDEX(Standards!$F$2:$F$296,MATCH(B1800,Standards!$B$2:$B$296,0)),INDEX(Standards!$F$2:$F$296,MATCH(C1800,Standards!$B$2:$B$296,0)))</f>
        <v>#N/A</v>
      </c>
      <c r="W1800" t="str">
        <f t="shared" si="86"/>
        <v>#2f89d1</v>
      </c>
    </row>
    <row r="1801" spans="1:23" x14ac:dyDescent="0.5">
      <c r="A1801" s="54">
        <v>1800</v>
      </c>
      <c r="B1801" s="98" t="s">
        <v>1723</v>
      </c>
      <c r="C1801" t="s">
        <v>484</v>
      </c>
      <c r="D1801" s="1"/>
      <c r="E1801" s="112">
        <v>2024.06</v>
      </c>
      <c r="F1801" s="112">
        <v>2024.06</v>
      </c>
      <c r="G1801" s="107" t="s">
        <v>2079</v>
      </c>
      <c r="H1801">
        <f>INDEX('GIS-Standards'!$A$2:$A$305,MATCH(B1801,'GIS-Standards'!$B$2:$B$305,0))</f>
        <v>83</v>
      </c>
      <c r="I1801" t="e">
        <f>INDEX('GIS-Standards'!$A$2:$A$305,MATCH(C1801,'GIS-Standards'!$B$2:$B$305,0))</f>
        <v>#N/A</v>
      </c>
      <c r="J1801" t="str">
        <f>INDEX('GIS-Standards'!$O$2:$O$305,MATCH(B1801,'GIS-Standards'!$B$2:$B$305,0))</f>
        <v>ISO/TC 59/SC 13</v>
      </c>
      <c r="K1801" t="e">
        <f>INDEX('GIS-Standards'!$O$2:$O$305,MATCH(C1801,'GIS-Standards'!$B$2:$B$305,0))</f>
        <v>#N/A</v>
      </c>
      <c r="M1801" t="s">
        <v>525</v>
      </c>
      <c r="N1801">
        <f>INDEX('GIS-Standards'!$I$2:$I$305,MATCH(B1801,'GIS-Standards'!$B$2:$B$305,0))</f>
        <v>0</v>
      </c>
      <c r="O1801" t="e">
        <f>INDEX('GIS-Standards'!$I$2:$I$305,MATCH(C1801,'GIS-Standards'!$B$2:$B$305,0))</f>
        <v>#N/A</v>
      </c>
      <c r="P1801" t="e">
        <f>AND(TableRelationships12[[#This Row],[Source Type]]="BIM",TableRelationships12[[#This Row],[Target Type]]="BIM")</f>
        <v>#N/A</v>
      </c>
      <c r="Q1801">
        <f t="shared" si="84"/>
        <v>1</v>
      </c>
      <c r="S1801">
        <f t="shared" si="85"/>
        <v>1</v>
      </c>
      <c r="T1801" s="102" t="str">
        <f>IF(TableRelationships12[[#This Row],[Rank Pedro]]="Low","linkCategory1",IF(TableRelationships12[[#This Row],[Rank Pedro]]="Medium","linkCategory2",IF(TableRelationships12[[#This Row],[Rank Pedro]]="High","linkCategory3","")))</f>
        <v/>
      </c>
      <c r="U1801" s="102" t="str">
        <f>IF(TableRelationships12[[#This Row],[Rank Pedro]]="Low","Pink",IF(TableRelationships12[[#This Row],[Rank Pedro]]="Medium","Purple",IF(TableRelationships12[[#This Row],[Rank Pedro]]="High","Brown","")))</f>
        <v/>
      </c>
      <c r="V1801" s="4" t="e">
        <f>MAX(INDEX(Standards!$F$2:$F$296,MATCH(B1801,Standards!$B$2:$B$296,0)),INDEX(Standards!$F$2:$F$296,MATCH(C1801,Standards!$B$2:$B$296,0)))</f>
        <v>#N/A</v>
      </c>
      <c r="W1801" t="str">
        <f t="shared" si="86"/>
        <v>#2f89d1</v>
      </c>
    </row>
    <row r="1802" spans="1:23" x14ac:dyDescent="0.5">
      <c r="A1802" s="54">
        <v>1801</v>
      </c>
      <c r="B1802" s="98" t="s">
        <v>1723</v>
      </c>
      <c r="C1802" t="s">
        <v>655</v>
      </c>
      <c r="D1802" s="1"/>
      <c r="E1802" s="112">
        <v>2012.11</v>
      </c>
      <c r="F1802" s="112">
        <v>2012.11</v>
      </c>
      <c r="G1802" s="107" t="s">
        <v>670</v>
      </c>
      <c r="H1802">
        <f>INDEX('GIS-Standards'!$A$2:$A$305,MATCH(B1802,'GIS-Standards'!$B$2:$B$305,0))</f>
        <v>83</v>
      </c>
      <c r="I1802">
        <f>INDEX('GIS-Standards'!$A$2:$A$305,MATCH(C1802,'GIS-Standards'!$B$2:$B$305,0))</f>
        <v>104</v>
      </c>
      <c r="J1802" t="str">
        <f>INDEX('GIS-Standards'!$O$2:$O$305,MATCH(B1802,'GIS-Standards'!$B$2:$B$305,0))</f>
        <v>ISO/TC 59/SC 13</v>
      </c>
      <c r="K1802" t="str">
        <f>INDEX('GIS-Standards'!$O$2:$O$305,MATCH(C1802,'GIS-Standards'!$B$2:$B$305,0))</f>
        <v>ISO/TC 211</v>
      </c>
      <c r="M1802" t="s">
        <v>525</v>
      </c>
      <c r="N1802">
        <f>INDEX('GIS-Standards'!$I$2:$I$305,MATCH(B1802,'GIS-Standards'!$B$2:$B$305,0))</f>
        <v>0</v>
      </c>
      <c r="O1802">
        <f>INDEX('GIS-Standards'!$I$2:$I$305,MATCH(C1802,'GIS-Standards'!$B$2:$B$305,0))</f>
        <v>0</v>
      </c>
      <c r="P1802" t="b">
        <f>AND(TableRelationships12[[#This Row],[Source Type]]="BIM",TableRelationships12[[#This Row],[Target Type]]="BIM")</f>
        <v>0</v>
      </c>
      <c r="Q1802">
        <f t="shared" si="84"/>
        <v>1</v>
      </c>
      <c r="S1802">
        <f t="shared" si="85"/>
        <v>1</v>
      </c>
      <c r="T1802" s="102" t="str">
        <f>IF(TableRelationships12[[#This Row],[Rank Pedro]]="Low","linkCategory1",IF(TableRelationships12[[#This Row],[Rank Pedro]]="Medium","linkCategory2",IF(TableRelationships12[[#This Row],[Rank Pedro]]="High","linkCategory3","")))</f>
        <v/>
      </c>
      <c r="U1802" s="102" t="str">
        <f>IF(TableRelationships12[[#This Row],[Rank Pedro]]="Low","Pink",IF(TableRelationships12[[#This Row],[Rank Pedro]]="Medium","Purple",IF(TableRelationships12[[#This Row],[Rank Pedro]]="High","Brown","")))</f>
        <v/>
      </c>
      <c r="V1802" s="4" t="e">
        <f>MAX(INDEX(Standards!$F$2:$F$296,MATCH(B1802,Standards!$B$2:$B$296,0)),INDEX(Standards!$F$2:$F$296,MATCH(C1802,Standards!$B$2:$B$296,0)))</f>
        <v>#N/A</v>
      </c>
      <c r="W1802" t="str">
        <f t="shared" si="86"/>
        <v>#2f89d1</v>
      </c>
    </row>
    <row r="1803" spans="1:23" x14ac:dyDescent="0.5">
      <c r="A1803" s="54">
        <v>1802</v>
      </c>
      <c r="B1803" s="98" t="s">
        <v>1723</v>
      </c>
      <c r="C1803" t="s">
        <v>447</v>
      </c>
      <c r="D1803" s="1"/>
      <c r="E1803" s="112">
        <v>2022.09</v>
      </c>
      <c r="F1803" s="112">
        <v>2022.09</v>
      </c>
      <c r="G1803" s="107" t="s">
        <v>2079</v>
      </c>
      <c r="H1803">
        <f>INDEX('GIS-Standards'!$A$2:$A$305,MATCH(B1803,'GIS-Standards'!$B$2:$B$305,0))</f>
        <v>83</v>
      </c>
      <c r="I1803" t="e">
        <f>INDEX('GIS-Standards'!$A$2:$A$305,MATCH(C1803,'GIS-Standards'!$B$2:$B$305,0))</f>
        <v>#N/A</v>
      </c>
      <c r="J1803" t="str">
        <f>INDEX('GIS-Standards'!$O$2:$O$305,MATCH(B1803,'GIS-Standards'!$B$2:$B$305,0))</f>
        <v>ISO/TC 59/SC 13</v>
      </c>
      <c r="K1803" t="e">
        <f>INDEX('GIS-Standards'!$O$2:$O$305,MATCH(C1803,'GIS-Standards'!$B$2:$B$305,0))</f>
        <v>#N/A</v>
      </c>
      <c r="M1803" t="s">
        <v>525</v>
      </c>
      <c r="N1803">
        <f>INDEX('GIS-Standards'!$I$2:$I$305,MATCH(B1803,'GIS-Standards'!$B$2:$B$305,0))</f>
        <v>0</v>
      </c>
      <c r="O1803" t="e">
        <f>INDEX('GIS-Standards'!$I$2:$I$305,MATCH(C1803,'GIS-Standards'!$B$2:$B$305,0))</f>
        <v>#N/A</v>
      </c>
      <c r="P1803" t="e">
        <f>AND(TableRelationships12[[#This Row],[Source Type]]="BIM",TableRelationships12[[#This Row],[Target Type]]="BIM")</f>
        <v>#N/A</v>
      </c>
      <c r="Q1803">
        <f t="shared" si="84"/>
        <v>1</v>
      </c>
      <c r="S1803">
        <f t="shared" si="85"/>
        <v>1</v>
      </c>
      <c r="T1803" s="102" t="str">
        <f>IF(TableRelationships12[[#This Row],[Rank Pedro]]="Low","linkCategory1",IF(TableRelationships12[[#This Row],[Rank Pedro]]="Medium","linkCategory2",IF(TableRelationships12[[#This Row],[Rank Pedro]]="High","linkCategory3","")))</f>
        <v/>
      </c>
      <c r="U1803" s="102" t="str">
        <f>IF(TableRelationships12[[#This Row],[Rank Pedro]]="Low","Pink",IF(TableRelationships12[[#This Row],[Rank Pedro]]="Medium","Purple",IF(TableRelationships12[[#This Row],[Rank Pedro]]="High","Brown","")))</f>
        <v/>
      </c>
      <c r="V1803" s="4" t="e">
        <f>MAX(INDEX(Standards!$F$2:$F$296,MATCH(B1803,Standards!$B$2:$B$296,0)),INDEX(Standards!$F$2:$F$296,MATCH(C1803,Standards!$B$2:$B$296,0)))</f>
        <v>#N/A</v>
      </c>
      <c r="W1803" t="str">
        <f t="shared" si="86"/>
        <v>#2f89d1</v>
      </c>
    </row>
    <row r="1804" spans="1:23" x14ac:dyDescent="0.5">
      <c r="A1804" s="54">
        <v>1803</v>
      </c>
      <c r="B1804" s="98" t="s">
        <v>1723</v>
      </c>
      <c r="C1804" t="s">
        <v>306</v>
      </c>
      <c r="D1804" s="1"/>
      <c r="E1804" s="112">
        <v>2005.06</v>
      </c>
      <c r="F1804" s="112">
        <v>2025.07</v>
      </c>
      <c r="G1804" s="107" t="s">
        <v>670</v>
      </c>
      <c r="H1804">
        <f>INDEX('GIS-Standards'!$A$2:$A$305,MATCH(B1804,'GIS-Standards'!$B$2:$B$305,0))</f>
        <v>83</v>
      </c>
      <c r="I1804">
        <f>INDEX('GIS-Standards'!$A$2:$A$305,MATCH(C1804,'GIS-Standards'!$B$2:$B$305,0))</f>
        <v>18</v>
      </c>
      <c r="J1804" t="str">
        <f>INDEX('GIS-Standards'!$O$2:$O$305,MATCH(B1804,'GIS-Standards'!$B$2:$B$305,0))</f>
        <v>ISO/TC 59/SC 13</v>
      </c>
      <c r="K1804" t="str">
        <f>INDEX('GIS-Standards'!$O$2:$O$305,MATCH(C1804,'GIS-Standards'!$B$2:$B$305,0))</f>
        <v>ISO/TC 211</v>
      </c>
      <c r="M1804" t="s">
        <v>525</v>
      </c>
      <c r="N1804">
        <f>INDEX('GIS-Standards'!$I$2:$I$305,MATCH(B1804,'GIS-Standards'!$B$2:$B$305,0))</f>
        <v>0</v>
      </c>
      <c r="O1804">
        <f>INDEX('GIS-Standards'!$I$2:$I$305,MATCH(C1804,'GIS-Standards'!$B$2:$B$305,0))</f>
        <v>0</v>
      </c>
      <c r="P1804" t="b">
        <f>AND(TableRelationships12[[#This Row],[Source Type]]="BIM",TableRelationships12[[#This Row],[Target Type]]="BIM")</f>
        <v>0</v>
      </c>
      <c r="Q1804">
        <f t="shared" si="84"/>
        <v>1</v>
      </c>
      <c r="S1804">
        <f t="shared" si="85"/>
        <v>1</v>
      </c>
      <c r="T1804" s="102" t="str">
        <f>IF(TableRelationships12[[#This Row],[Rank Pedro]]="Low","linkCategory1",IF(TableRelationships12[[#This Row],[Rank Pedro]]="Medium","linkCategory2",IF(TableRelationships12[[#This Row],[Rank Pedro]]="High","linkCategory3","")))</f>
        <v/>
      </c>
      <c r="U1804" s="102" t="str">
        <f>IF(TableRelationships12[[#This Row],[Rank Pedro]]="Low","Pink",IF(TableRelationships12[[#This Row],[Rank Pedro]]="Medium","Purple",IF(TableRelationships12[[#This Row],[Rank Pedro]]="High","Brown","")))</f>
        <v/>
      </c>
      <c r="V1804" s="4" t="e">
        <f>MAX(INDEX(Standards!$F$2:$F$296,MATCH(B1804,Standards!$B$2:$B$296,0)),INDEX(Standards!$F$2:$F$296,MATCH(C1804,Standards!$B$2:$B$296,0)))</f>
        <v>#N/A</v>
      </c>
      <c r="W1804" t="str">
        <f t="shared" si="86"/>
        <v>#2f89d1</v>
      </c>
    </row>
    <row r="1805" spans="1:23" x14ac:dyDescent="0.5">
      <c r="A1805" s="54">
        <v>1804</v>
      </c>
      <c r="B1805" s="98" t="s">
        <v>1723</v>
      </c>
      <c r="C1805" t="s">
        <v>348</v>
      </c>
      <c r="D1805" s="1"/>
      <c r="E1805" s="113">
        <v>2013.12</v>
      </c>
      <c r="F1805" s="113">
        <v>2023.04</v>
      </c>
      <c r="G1805" s="107" t="s">
        <v>670</v>
      </c>
      <c r="H1805">
        <f>INDEX('GIS-Standards'!$A$2:$A$305,MATCH(B1805,'GIS-Standards'!$B$2:$B$305,0))</f>
        <v>83</v>
      </c>
      <c r="I1805">
        <f>INDEX('GIS-Standards'!$A$2:$A$305,MATCH(C1805,'GIS-Standards'!$B$2:$B$305,0))</f>
        <v>66</v>
      </c>
      <c r="J1805" t="str">
        <f>INDEX('GIS-Standards'!$O$2:$O$305,MATCH(B1805,'GIS-Standards'!$B$2:$B$305,0))</f>
        <v>ISO/TC 59/SC 13</v>
      </c>
      <c r="K1805" t="str">
        <f>INDEX('GIS-Standards'!$O$2:$O$305,MATCH(C1805,'GIS-Standards'!$B$2:$B$305,0))</f>
        <v>ISO/TC 211</v>
      </c>
      <c r="M1805" t="s">
        <v>525</v>
      </c>
      <c r="N1805">
        <f>INDEX('GIS-Standards'!$I$2:$I$305,MATCH(B1805,'GIS-Standards'!$B$2:$B$305,0))</f>
        <v>0</v>
      </c>
      <c r="O1805">
        <f>INDEX('GIS-Standards'!$I$2:$I$305,MATCH(C1805,'GIS-Standards'!$B$2:$B$305,0))</f>
        <v>0</v>
      </c>
      <c r="P1805" t="b">
        <f>AND(TableRelationships12[[#This Row],[Source Type]]="BIM",TableRelationships12[[#This Row],[Target Type]]="BIM")</f>
        <v>0</v>
      </c>
      <c r="Q1805">
        <f t="shared" si="84"/>
        <v>1</v>
      </c>
      <c r="S1805">
        <f t="shared" si="85"/>
        <v>1</v>
      </c>
      <c r="T1805" s="102" t="str">
        <f>IF(TableRelationships12[[#This Row],[Rank Pedro]]="Low","linkCategory1",IF(TableRelationships12[[#This Row],[Rank Pedro]]="Medium","linkCategory2",IF(TableRelationships12[[#This Row],[Rank Pedro]]="High","linkCategory3","")))</f>
        <v/>
      </c>
      <c r="U1805" s="102" t="str">
        <f>IF(TableRelationships12[[#This Row],[Rank Pedro]]="Low","Pink",IF(TableRelationships12[[#This Row],[Rank Pedro]]="Medium","Purple",IF(TableRelationships12[[#This Row],[Rank Pedro]]="High","Brown","")))</f>
        <v/>
      </c>
      <c r="V1805" s="4" t="e">
        <f>MAX(INDEX(Standards!$F$2:$F$296,MATCH(B1805,Standards!$B$2:$B$296,0)),INDEX(Standards!$F$2:$F$296,MATCH(C1805,Standards!$B$2:$B$296,0)))</f>
        <v>#N/A</v>
      </c>
      <c r="W1805" t="str">
        <f t="shared" si="86"/>
        <v>#2f89d1</v>
      </c>
    </row>
    <row r="1806" spans="1:23" x14ac:dyDescent="0.5">
      <c r="A1806" s="54">
        <v>1805</v>
      </c>
      <c r="B1806" s="98" t="s">
        <v>1723</v>
      </c>
      <c r="C1806" t="s">
        <v>312</v>
      </c>
      <c r="D1806" s="1"/>
      <c r="E1806" s="112">
        <v>2003.1</v>
      </c>
      <c r="F1806" s="112">
        <v>2019.02</v>
      </c>
      <c r="G1806" s="107" t="s">
        <v>670</v>
      </c>
      <c r="H1806">
        <f>INDEX('GIS-Standards'!$A$2:$A$305,MATCH(B1806,'GIS-Standards'!$B$2:$B$305,0))</f>
        <v>83</v>
      </c>
      <c r="I1806">
        <f>INDEX('GIS-Standards'!$A$2:$A$305,MATCH(C1806,'GIS-Standards'!$B$2:$B$305,0))</f>
        <v>21</v>
      </c>
      <c r="J1806" t="str">
        <f>INDEX('GIS-Standards'!$O$2:$O$305,MATCH(B1806,'GIS-Standards'!$B$2:$B$305,0))</f>
        <v>ISO/TC 59/SC 13</v>
      </c>
      <c r="K1806" t="str">
        <f>INDEX('GIS-Standards'!$O$2:$O$305,MATCH(C1806,'GIS-Standards'!$B$2:$B$305,0))</f>
        <v>ISO/TC 211</v>
      </c>
      <c r="M1806" t="s">
        <v>525</v>
      </c>
      <c r="N1806">
        <f>INDEX('GIS-Standards'!$I$2:$I$305,MATCH(B1806,'GIS-Standards'!$B$2:$B$305,0))</f>
        <v>0</v>
      </c>
      <c r="O1806">
        <f>INDEX('GIS-Standards'!$I$2:$I$305,MATCH(C1806,'GIS-Standards'!$B$2:$B$305,0))</f>
        <v>0</v>
      </c>
      <c r="P1806" t="b">
        <f>AND(TableRelationships12[[#This Row],[Source Type]]="BIM",TableRelationships12[[#This Row],[Target Type]]="BIM")</f>
        <v>0</v>
      </c>
      <c r="Q1806">
        <f t="shared" si="84"/>
        <v>1</v>
      </c>
      <c r="S1806">
        <f t="shared" si="85"/>
        <v>1</v>
      </c>
      <c r="T1806" s="102" t="str">
        <f>IF(TableRelationships12[[#This Row],[Rank Pedro]]="Low","linkCategory1",IF(TableRelationships12[[#This Row],[Rank Pedro]]="Medium","linkCategory2",IF(TableRelationships12[[#This Row],[Rank Pedro]]="High","linkCategory3","")))</f>
        <v/>
      </c>
      <c r="U1806" s="102" t="str">
        <f>IF(TableRelationships12[[#This Row],[Rank Pedro]]="Low","Pink",IF(TableRelationships12[[#This Row],[Rank Pedro]]="Medium","Purple",IF(TableRelationships12[[#This Row],[Rank Pedro]]="High","Brown","")))</f>
        <v/>
      </c>
      <c r="V1806" s="4" t="e">
        <f>MAX(INDEX(Standards!$F$2:$F$296,MATCH(B1806,Standards!$B$2:$B$296,0)),INDEX(Standards!$F$2:$F$296,MATCH(C1806,Standards!$B$2:$B$296,0)))</f>
        <v>#N/A</v>
      </c>
      <c r="W1806" t="str">
        <f t="shared" si="86"/>
        <v>#2f89d1</v>
      </c>
    </row>
    <row r="1807" spans="1:23" x14ac:dyDescent="0.5">
      <c r="A1807" s="54">
        <v>1806</v>
      </c>
      <c r="B1807" s="98" t="s">
        <v>1723</v>
      </c>
      <c r="C1807" t="s">
        <v>144</v>
      </c>
      <c r="D1807" s="1"/>
      <c r="E1807" s="112">
        <v>2013.04</v>
      </c>
      <c r="F1807" s="112">
        <v>2024.03</v>
      </c>
      <c r="G1807" s="107" t="s">
        <v>1448</v>
      </c>
      <c r="H1807">
        <f>INDEX('GIS-Standards'!$A$2:$A$305,MATCH(B1807,'GIS-Standards'!$B$2:$B$305,0))</f>
        <v>83</v>
      </c>
      <c r="I1807" t="e">
        <f>INDEX('GIS-Standards'!$A$2:$A$305,MATCH(C1807,'GIS-Standards'!$B$2:$B$305,0))</f>
        <v>#N/A</v>
      </c>
      <c r="J1807" t="str">
        <f>INDEX('GIS-Standards'!$O$2:$O$305,MATCH(B1807,'GIS-Standards'!$B$2:$B$305,0))</f>
        <v>ISO/TC 59/SC 13</v>
      </c>
      <c r="K1807" t="e">
        <f>INDEX('GIS-Standards'!$O$2:$O$305,MATCH(C1807,'GIS-Standards'!$B$2:$B$305,0))</f>
        <v>#N/A</v>
      </c>
      <c r="M1807" t="s">
        <v>525</v>
      </c>
      <c r="N1807">
        <f>INDEX('GIS-Standards'!$I$2:$I$305,MATCH(B1807,'GIS-Standards'!$B$2:$B$305,0))</f>
        <v>0</v>
      </c>
      <c r="O1807" t="e">
        <f>INDEX('GIS-Standards'!$I$2:$I$305,MATCH(C1807,'GIS-Standards'!$B$2:$B$305,0))</f>
        <v>#N/A</v>
      </c>
      <c r="P1807" t="e">
        <f>AND(TableRelationships12[[#This Row],[Source Type]]="BIM",TableRelationships12[[#This Row],[Target Type]]="BIM")</f>
        <v>#N/A</v>
      </c>
      <c r="Q1807">
        <f t="shared" si="84"/>
        <v>1</v>
      </c>
      <c r="S1807">
        <f t="shared" si="85"/>
        <v>1</v>
      </c>
      <c r="T1807" s="102" t="str">
        <f>IF(TableRelationships12[[#This Row],[Rank Pedro]]="Low","linkCategory1",IF(TableRelationships12[[#This Row],[Rank Pedro]]="Medium","linkCategory2",IF(TableRelationships12[[#This Row],[Rank Pedro]]="High","linkCategory3","")))</f>
        <v/>
      </c>
      <c r="U1807" s="102" t="str">
        <f>IF(TableRelationships12[[#This Row],[Rank Pedro]]="Low","Pink",IF(TableRelationships12[[#This Row],[Rank Pedro]]="Medium","Purple",IF(TableRelationships12[[#This Row],[Rank Pedro]]="High","Brown","")))</f>
        <v/>
      </c>
      <c r="V1807" s="4" t="e">
        <f>MAX(INDEX(Standards!$F$2:$F$296,MATCH(B1807,Standards!$B$2:$B$296,0)),INDEX(Standards!$F$2:$F$296,MATCH(C1807,Standards!$B$2:$B$296,0)))</f>
        <v>#N/A</v>
      </c>
      <c r="W1807" t="str">
        <f t="shared" si="86"/>
        <v>#2f89d1</v>
      </c>
    </row>
    <row r="1808" spans="1:23" x14ac:dyDescent="0.5">
      <c r="A1808" s="54">
        <v>1807</v>
      </c>
      <c r="B1808" s="98" t="s">
        <v>1723</v>
      </c>
      <c r="C1808" t="s">
        <v>302</v>
      </c>
      <c r="D1808" s="1"/>
      <c r="E1808" s="112">
        <v>2003.05</v>
      </c>
      <c r="F1808" s="112">
        <v>2019.12</v>
      </c>
      <c r="G1808" s="107" t="s">
        <v>670</v>
      </c>
      <c r="H1808">
        <f>INDEX('GIS-Standards'!$A$2:$A$305,MATCH(B1808,'GIS-Standards'!$B$2:$B$305,0))</f>
        <v>83</v>
      </c>
      <c r="I1808">
        <f>INDEX('GIS-Standards'!$A$2:$A$305,MATCH(C1808,'GIS-Standards'!$B$2:$B$305,0))</f>
        <v>16</v>
      </c>
      <c r="J1808" t="str">
        <f>INDEX('GIS-Standards'!$O$2:$O$305,MATCH(B1808,'GIS-Standards'!$B$2:$B$305,0))</f>
        <v>ISO/TC 59/SC 13</v>
      </c>
      <c r="K1808" t="str">
        <f>INDEX('GIS-Standards'!$O$2:$O$305,MATCH(C1808,'GIS-Standards'!$B$2:$B$305,0))</f>
        <v>ISO/TC 211</v>
      </c>
      <c r="M1808" t="s">
        <v>525</v>
      </c>
      <c r="N1808">
        <f>INDEX('GIS-Standards'!$I$2:$I$305,MATCH(B1808,'GIS-Standards'!$B$2:$B$305,0))</f>
        <v>0</v>
      </c>
      <c r="O1808">
        <f>INDEX('GIS-Standards'!$I$2:$I$305,MATCH(C1808,'GIS-Standards'!$B$2:$B$305,0))</f>
        <v>0</v>
      </c>
      <c r="P1808" t="b">
        <f>AND(TableRelationships12[[#This Row],[Source Type]]="BIM",TableRelationships12[[#This Row],[Target Type]]="BIM")</f>
        <v>0</v>
      </c>
      <c r="Q1808">
        <f t="shared" si="84"/>
        <v>1</v>
      </c>
      <c r="S1808">
        <f t="shared" si="85"/>
        <v>1</v>
      </c>
      <c r="T1808" s="102" t="str">
        <f>IF(TableRelationships12[[#This Row],[Rank Pedro]]="Low","linkCategory1",IF(TableRelationships12[[#This Row],[Rank Pedro]]="Medium","linkCategory2",IF(TableRelationships12[[#This Row],[Rank Pedro]]="High","linkCategory3","")))</f>
        <v/>
      </c>
      <c r="U1808" s="102" t="str">
        <f>IF(TableRelationships12[[#This Row],[Rank Pedro]]="Low","Pink",IF(TableRelationships12[[#This Row],[Rank Pedro]]="Medium","Purple",IF(TableRelationships12[[#This Row],[Rank Pedro]]="High","Brown","")))</f>
        <v/>
      </c>
      <c r="V1808" s="4" t="e">
        <f>MAX(INDEX(Standards!$F$2:$F$296,MATCH(B1808,Standards!$B$2:$B$296,0)),INDEX(Standards!$F$2:$F$296,MATCH(C1808,Standards!$B$2:$B$296,0)))</f>
        <v>#N/A</v>
      </c>
      <c r="W1808" t="str">
        <f t="shared" si="86"/>
        <v>#2f89d1</v>
      </c>
    </row>
    <row r="1809" spans="1:23" x14ac:dyDescent="0.5">
      <c r="A1809" s="54">
        <v>1808</v>
      </c>
      <c r="B1809" s="98" t="s">
        <v>1723</v>
      </c>
      <c r="C1809" t="s">
        <v>310</v>
      </c>
      <c r="D1809" s="1"/>
      <c r="E1809" s="112">
        <v>2003.02</v>
      </c>
      <c r="F1809" s="112">
        <v>2023.08</v>
      </c>
      <c r="G1809" s="107" t="s">
        <v>670</v>
      </c>
      <c r="H1809">
        <f>INDEX('GIS-Standards'!$A$2:$A$305,MATCH(B1809,'GIS-Standards'!$B$2:$B$305,0))</f>
        <v>83</v>
      </c>
      <c r="I1809">
        <f>INDEX('GIS-Standards'!$A$2:$A$305,MATCH(C1809,'GIS-Standards'!$B$2:$B$305,0))</f>
        <v>20</v>
      </c>
      <c r="J1809" t="str">
        <f>INDEX('GIS-Standards'!$O$2:$O$305,MATCH(B1809,'GIS-Standards'!$B$2:$B$305,0))</f>
        <v>ISO/TC 59/SC 13</v>
      </c>
      <c r="K1809" t="str">
        <f>INDEX('GIS-Standards'!$O$2:$O$305,MATCH(C1809,'GIS-Standards'!$B$2:$B$305,0))</f>
        <v>ISO/TC 211</v>
      </c>
      <c r="M1809" t="s">
        <v>525</v>
      </c>
      <c r="N1809">
        <f>INDEX('GIS-Standards'!$I$2:$I$305,MATCH(B1809,'GIS-Standards'!$B$2:$B$305,0))</f>
        <v>0</v>
      </c>
      <c r="O1809" t="str">
        <f>INDEX('GIS-Standards'!$I$2:$I$305,MATCH(C1809,'GIS-Standards'!$B$2:$B$305,0))</f>
        <v>08.2023</v>
      </c>
      <c r="P1809" t="b">
        <f>AND(TableRelationships12[[#This Row],[Source Type]]="BIM",TableRelationships12[[#This Row],[Target Type]]="BIM")</f>
        <v>0</v>
      </c>
      <c r="Q1809">
        <f t="shared" si="84"/>
        <v>1</v>
      </c>
      <c r="S1809">
        <f t="shared" si="85"/>
        <v>1</v>
      </c>
      <c r="T1809" s="102" t="str">
        <f>IF(TableRelationships12[[#This Row],[Rank Pedro]]="Low","linkCategory1",IF(TableRelationships12[[#This Row],[Rank Pedro]]="Medium","linkCategory2",IF(TableRelationships12[[#This Row],[Rank Pedro]]="High","linkCategory3","")))</f>
        <v/>
      </c>
      <c r="U1809" s="102" t="str">
        <f>IF(TableRelationships12[[#This Row],[Rank Pedro]]="Low","Pink",IF(TableRelationships12[[#This Row],[Rank Pedro]]="Medium","Purple",IF(TableRelationships12[[#This Row],[Rank Pedro]]="High","Brown","")))</f>
        <v/>
      </c>
      <c r="V1809" s="4" t="e">
        <f>MAX(INDEX(Standards!$F$2:$F$296,MATCH(B1809,Standards!$B$2:$B$296,0)),INDEX(Standards!$F$2:$F$296,MATCH(C1809,Standards!$B$2:$B$296,0)))</f>
        <v>#N/A</v>
      </c>
      <c r="W1809" t="str">
        <f t="shared" si="86"/>
        <v>#2f89d1</v>
      </c>
    </row>
    <row r="1810" spans="1:23" x14ac:dyDescent="0.5">
      <c r="A1810" s="54">
        <v>1809</v>
      </c>
      <c r="B1810" s="98" t="s">
        <v>1723</v>
      </c>
      <c r="C1810" t="s">
        <v>1044</v>
      </c>
      <c r="D1810" s="1"/>
      <c r="E1810" s="112">
        <v>2005.06</v>
      </c>
      <c r="F1810" s="112">
        <v>2012.12</v>
      </c>
      <c r="G1810" s="107" t="s">
        <v>670</v>
      </c>
      <c r="H1810">
        <f>INDEX('GIS-Standards'!$A$2:$A$305,MATCH(B1810,'GIS-Standards'!$B$2:$B$305,0))</f>
        <v>83</v>
      </c>
      <c r="I1810">
        <f>INDEX('GIS-Standards'!$A$2:$A$305,MATCH(C1810,'GIS-Standards'!$B$2:$B$305,0))</f>
        <v>26</v>
      </c>
      <c r="J1810" t="str">
        <f>INDEX('GIS-Standards'!$O$2:$O$305,MATCH(B1810,'GIS-Standards'!$B$2:$B$305,0))</f>
        <v>ISO/TC 59/SC 13</v>
      </c>
      <c r="K1810" t="str">
        <f>INDEX('GIS-Standards'!$O$2:$O$305,MATCH(C1810,'GIS-Standards'!$B$2:$B$305,0))</f>
        <v>ISO/TC 211</v>
      </c>
      <c r="M1810" t="s">
        <v>525</v>
      </c>
      <c r="N1810">
        <f>INDEX('GIS-Standards'!$I$2:$I$305,MATCH(B1810,'GIS-Standards'!$B$2:$B$305,0))</f>
        <v>0</v>
      </c>
      <c r="O1810">
        <f>INDEX('GIS-Standards'!$I$2:$I$305,MATCH(C1810,'GIS-Standards'!$B$2:$B$305,0))</f>
        <v>0</v>
      </c>
      <c r="P1810" t="b">
        <f>AND(TableRelationships12[[#This Row],[Source Type]]="BIM",TableRelationships12[[#This Row],[Target Type]]="BIM")</f>
        <v>0</v>
      </c>
      <c r="Q1810">
        <f t="shared" si="84"/>
        <v>1</v>
      </c>
      <c r="S1810">
        <f t="shared" si="85"/>
        <v>1</v>
      </c>
      <c r="T1810" s="102" t="str">
        <f>IF(TableRelationships12[[#This Row],[Rank Pedro]]="Low","linkCategory1",IF(TableRelationships12[[#This Row],[Rank Pedro]]="Medium","linkCategory2",IF(TableRelationships12[[#This Row],[Rank Pedro]]="High","linkCategory3","")))</f>
        <v/>
      </c>
      <c r="U1810" s="102" t="str">
        <f>IF(TableRelationships12[[#This Row],[Rank Pedro]]="Low","Pink",IF(TableRelationships12[[#This Row],[Rank Pedro]]="Medium","Purple",IF(TableRelationships12[[#This Row],[Rank Pedro]]="High","Brown","")))</f>
        <v/>
      </c>
      <c r="V1810" s="4" t="e">
        <f>MAX(INDEX(Standards!$F$2:$F$296,MATCH(B1810,Standards!$B$2:$B$296,0)),INDEX(Standards!$F$2:$F$296,MATCH(C1810,Standards!$B$2:$B$296,0)))</f>
        <v>#N/A</v>
      </c>
      <c r="W1810" t="str">
        <f t="shared" si="86"/>
        <v>#2f89d1</v>
      </c>
    </row>
    <row r="1811" spans="1:23" x14ac:dyDescent="0.5">
      <c r="A1811" s="54">
        <v>1810</v>
      </c>
      <c r="B1811" s="98" t="s">
        <v>1723</v>
      </c>
      <c r="C1811" t="s">
        <v>308</v>
      </c>
      <c r="D1811" s="1"/>
      <c r="E1811" s="112">
        <v>2005.02</v>
      </c>
      <c r="F1811" s="112">
        <v>2016.12</v>
      </c>
      <c r="G1811" s="107" t="s">
        <v>670</v>
      </c>
      <c r="H1811">
        <f>INDEX('GIS-Standards'!$A$2:$A$305,MATCH(B1811,'GIS-Standards'!$B$2:$B$305,0))</f>
        <v>83</v>
      </c>
      <c r="I1811">
        <f>INDEX('GIS-Standards'!$A$2:$A$305,MATCH(C1811,'GIS-Standards'!$B$2:$B$305,0))</f>
        <v>19</v>
      </c>
      <c r="J1811" t="str">
        <f>INDEX('GIS-Standards'!$O$2:$O$305,MATCH(B1811,'GIS-Standards'!$B$2:$B$305,0))</f>
        <v>ISO/TC 59/SC 13</v>
      </c>
      <c r="K1811" t="str">
        <f>INDEX('GIS-Standards'!$O$2:$O$305,MATCH(C1811,'GIS-Standards'!$B$2:$B$305,0))</f>
        <v>ISO/TC 211</v>
      </c>
      <c r="M1811" t="s">
        <v>525</v>
      </c>
      <c r="N1811">
        <f>INDEX('GIS-Standards'!$I$2:$I$305,MATCH(B1811,'GIS-Standards'!$B$2:$B$305,0))</f>
        <v>0</v>
      </c>
      <c r="O1811">
        <f>INDEX('GIS-Standards'!$I$2:$I$305,MATCH(C1811,'GIS-Standards'!$B$2:$B$305,0))</f>
        <v>0</v>
      </c>
      <c r="P1811" t="b">
        <f>AND(TableRelationships12[[#This Row],[Source Type]]="BIM",TableRelationships12[[#This Row],[Target Type]]="BIM")</f>
        <v>0</v>
      </c>
      <c r="Q1811">
        <f t="shared" si="84"/>
        <v>1</v>
      </c>
      <c r="S1811">
        <f t="shared" si="85"/>
        <v>1</v>
      </c>
      <c r="T1811" s="102" t="str">
        <f>IF(TableRelationships12[[#This Row],[Rank Pedro]]="Low","linkCategory1",IF(TableRelationships12[[#This Row],[Rank Pedro]]="Medium","linkCategory2",IF(TableRelationships12[[#This Row],[Rank Pedro]]="High","linkCategory3","")))</f>
        <v/>
      </c>
      <c r="U1811" s="102" t="str">
        <f>IF(TableRelationships12[[#This Row],[Rank Pedro]]="Low","Pink",IF(TableRelationships12[[#This Row],[Rank Pedro]]="Medium","Purple",IF(TableRelationships12[[#This Row],[Rank Pedro]]="High","Brown","")))</f>
        <v/>
      </c>
      <c r="V1811" s="4" t="e">
        <f>MAX(INDEX(Standards!$F$2:$F$296,MATCH(B1811,Standards!$B$2:$B$296,0)),INDEX(Standards!$F$2:$F$296,MATCH(C1811,Standards!$B$2:$B$296,0)))</f>
        <v>#N/A</v>
      </c>
      <c r="W1811" t="str">
        <f t="shared" si="86"/>
        <v>#2f89d1</v>
      </c>
    </row>
    <row r="1812" spans="1:23" x14ac:dyDescent="0.5">
      <c r="A1812" s="54">
        <v>1811</v>
      </c>
      <c r="B1812" s="98" t="s">
        <v>1723</v>
      </c>
      <c r="C1812" t="s">
        <v>1685</v>
      </c>
      <c r="D1812" s="1"/>
      <c r="E1812" s="112">
        <v>2025.05</v>
      </c>
      <c r="F1812" s="112">
        <v>2025.05</v>
      </c>
      <c r="G1812" s="107" t="s">
        <v>2068</v>
      </c>
      <c r="H1812">
        <f>INDEX('GIS-Standards'!$A$2:$A$305,MATCH(B1812,'GIS-Standards'!$B$2:$B$305,0))</f>
        <v>83</v>
      </c>
      <c r="I1812">
        <f>INDEX('GIS-Standards'!$A$2:$A$305,MATCH(C1812,'GIS-Standards'!$B$2:$B$305,0))</f>
        <v>88</v>
      </c>
      <c r="J1812" t="str">
        <f>INDEX('GIS-Standards'!$O$2:$O$305,MATCH(B1812,'GIS-Standards'!$B$2:$B$305,0))</f>
        <v>ISO/TC 59/SC 13</v>
      </c>
      <c r="K1812" t="str">
        <f>INDEX('GIS-Standards'!$O$2:$O$305,MATCH(C1812,'GIS-Standards'!$B$2:$B$305,0))</f>
        <v>ISO/TC 59/SC 13</v>
      </c>
      <c r="M1812" t="s">
        <v>525</v>
      </c>
      <c r="N1812">
        <f>INDEX('GIS-Standards'!$I$2:$I$305,MATCH(B1812,'GIS-Standards'!$B$2:$B$305,0))</f>
        <v>0</v>
      </c>
      <c r="O1812">
        <f>INDEX('GIS-Standards'!$I$2:$I$305,MATCH(C1812,'GIS-Standards'!$B$2:$B$305,0))</f>
        <v>0</v>
      </c>
      <c r="P1812" t="b">
        <f>AND(TableRelationships12[[#This Row],[Source Type]]="BIM",TableRelationships12[[#This Row],[Target Type]]="BIM")</f>
        <v>0</v>
      </c>
      <c r="Q1812">
        <f t="shared" si="84"/>
        <v>1</v>
      </c>
      <c r="S1812">
        <f t="shared" si="85"/>
        <v>1</v>
      </c>
      <c r="T1812" s="102" t="str">
        <f>IF(TableRelationships12[[#This Row],[Rank Pedro]]="Low","linkCategory1",IF(TableRelationships12[[#This Row],[Rank Pedro]]="Medium","linkCategory2",IF(TableRelationships12[[#This Row],[Rank Pedro]]="High","linkCategory3","")))</f>
        <v/>
      </c>
      <c r="U1812" s="102" t="str">
        <f>IF(TableRelationships12[[#This Row],[Rank Pedro]]="Low","Pink",IF(TableRelationships12[[#This Row],[Rank Pedro]]="Medium","Purple",IF(TableRelationships12[[#This Row],[Rank Pedro]]="High","Brown","")))</f>
        <v/>
      </c>
      <c r="V1812" s="4" t="e">
        <f>MAX(INDEX(Standards!$F$2:$F$296,MATCH(B1812,Standards!$B$2:$B$296,0)),INDEX(Standards!$F$2:$F$296,MATCH(C1812,Standards!$B$2:$B$296,0)))</f>
        <v>#N/A</v>
      </c>
      <c r="W1812" t="str">
        <f t="shared" si="86"/>
        <v>#2f89d1</v>
      </c>
    </row>
    <row r="1813" spans="1:23" x14ac:dyDescent="0.5">
      <c r="A1813" s="54">
        <v>1812</v>
      </c>
      <c r="B1813" s="98" t="s">
        <v>1723</v>
      </c>
      <c r="C1813" t="s">
        <v>488</v>
      </c>
      <c r="D1813" s="1"/>
      <c r="E1813" s="112">
        <v>2021.05</v>
      </c>
      <c r="F1813" s="112">
        <v>2021.05</v>
      </c>
      <c r="G1813" s="107" t="s">
        <v>1848</v>
      </c>
      <c r="H1813">
        <f>INDEX('GIS-Standards'!$A$2:$A$305,MATCH(B1813,'GIS-Standards'!$B$2:$B$305,0))</f>
        <v>83</v>
      </c>
      <c r="I1813">
        <f>INDEX('GIS-Standards'!$A$2:$A$305,MATCH(C1813,'GIS-Standards'!$B$2:$B$305,0))</f>
        <v>95</v>
      </c>
      <c r="J1813" t="str">
        <f>INDEX('GIS-Standards'!$O$2:$O$305,MATCH(B1813,'GIS-Standards'!$B$2:$B$305,0))</f>
        <v>ISO/TC 59/SC 13</v>
      </c>
      <c r="K1813" t="str">
        <f>INDEX('GIS-Standards'!$O$2:$O$305,MATCH(C1813,'GIS-Standards'!$B$2:$B$305,0))</f>
        <v>ISO/TC 59/SC 13</v>
      </c>
      <c r="M1813" t="s">
        <v>525</v>
      </c>
      <c r="N1813">
        <f>INDEX('GIS-Standards'!$I$2:$I$305,MATCH(B1813,'GIS-Standards'!$B$2:$B$305,0))</f>
        <v>0</v>
      </c>
      <c r="O1813">
        <f>INDEX('GIS-Standards'!$I$2:$I$305,MATCH(C1813,'GIS-Standards'!$B$2:$B$305,0))</f>
        <v>0</v>
      </c>
      <c r="P1813" t="b">
        <f>AND(TableRelationships12[[#This Row],[Source Type]]="BIM",TableRelationships12[[#This Row],[Target Type]]="BIM")</f>
        <v>0</v>
      </c>
      <c r="Q1813">
        <f t="shared" si="84"/>
        <v>1</v>
      </c>
      <c r="S1813">
        <f t="shared" si="85"/>
        <v>1</v>
      </c>
      <c r="T1813" s="102" t="str">
        <f>IF(TableRelationships12[[#This Row],[Rank Pedro]]="Low","linkCategory1",IF(TableRelationships12[[#This Row],[Rank Pedro]]="Medium","linkCategory2",IF(TableRelationships12[[#This Row],[Rank Pedro]]="High","linkCategory3","")))</f>
        <v/>
      </c>
      <c r="U1813" s="102" t="str">
        <f>IF(TableRelationships12[[#This Row],[Rank Pedro]]="Low","Pink",IF(TableRelationships12[[#This Row],[Rank Pedro]]="Medium","Purple",IF(TableRelationships12[[#This Row],[Rank Pedro]]="High","Brown","")))</f>
        <v/>
      </c>
      <c r="V1813" s="4" t="e">
        <f>MAX(INDEX(Standards!$F$2:$F$296,MATCH(B1813,Standards!$B$2:$B$296,0)),INDEX(Standards!$F$2:$F$296,MATCH(C1813,Standards!$B$2:$B$296,0)))</f>
        <v>#N/A</v>
      </c>
      <c r="W1813" t="str">
        <f t="shared" si="86"/>
        <v>#2f89d1</v>
      </c>
    </row>
    <row r="1814" spans="1:23" x14ac:dyDescent="0.5">
      <c r="A1814" s="54">
        <v>1813</v>
      </c>
      <c r="B1814" s="98" t="s">
        <v>1723</v>
      </c>
      <c r="C1814" t="s">
        <v>1042</v>
      </c>
      <c r="D1814" s="1"/>
      <c r="E1814" s="112">
        <v>2016.08</v>
      </c>
      <c r="F1814" s="112">
        <v>2023.08</v>
      </c>
      <c r="G1814" s="107" t="s">
        <v>670</v>
      </c>
      <c r="H1814">
        <f>INDEX('GIS-Standards'!$A$2:$A$305,MATCH(B1814,'GIS-Standards'!$B$2:$B$305,0))</f>
        <v>83</v>
      </c>
      <c r="I1814">
        <f>INDEX('GIS-Standards'!$A$2:$A$305,MATCH(C1814,'GIS-Standards'!$B$2:$B$305,0))</f>
        <v>24</v>
      </c>
      <c r="J1814" t="str">
        <f>INDEX('GIS-Standards'!$O$2:$O$305,MATCH(B1814,'GIS-Standards'!$B$2:$B$305,0))</f>
        <v>ISO/TC 59/SC 13</v>
      </c>
      <c r="K1814" t="str">
        <f>INDEX('GIS-Standards'!$O$2:$O$305,MATCH(C1814,'GIS-Standards'!$B$2:$B$305,0))</f>
        <v>ISO/TC 211</v>
      </c>
      <c r="M1814" t="s">
        <v>525</v>
      </c>
      <c r="N1814">
        <f>INDEX('GIS-Standards'!$I$2:$I$305,MATCH(B1814,'GIS-Standards'!$B$2:$B$305,0))</f>
        <v>0</v>
      </c>
      <c r="O1814">
        <f>INDEX('GIS-Standards'!$I$2:$I$305,MATCH(C1814,'GIS-Standards'!$B$2:$B$305,0))</f>
        <v>0</v>
      </c>
      <c r="P1814" t="b">
        <f>AND(TableRelationships12[[#This Row],[Source Type]]="BIM",TableRelationships12[[#This Row],[Target Type]]="BIM")</f>
        <v>0</v>
      </c>
      <c r="Q1814">
        <f t="shared" si="84"/>
        <v>1</v>
      </c>
      <c r="S1814">
        <f t="shared" si="85"/>
        <v>1</v>
      </c>
      <c r="T1814" s="102" t="str">
        <f>IF(TableRelationships12[[#This Row],[Rank Pedro]]="Low","linkCategory1",IF(TableRelationships12[[#This Row],[Rank Pedro]]="Medium","linkCategory2",IF(TableRelationships12[[#This Row],[Rank Pedro]]="High","linkCategory3","")))</f>
        <v/>
      </c>
      <c r="U1814" s="102" t="str">
        <f>IF(TableRelationships12[[#This Row],[Rank Pedro]]="Low","Pink",IF(TableRelationships12[[#This Row],[Rank Pedro]]="Medium","Purple",IF(TableRelationships12[[#This Row],[Rank Pedro]]="High","Brown","")))</f>
        <v/>
      </c>
      <c r="V1814" s="4" t="e">
        <f>MAX(INDEX(Standards!$F$2:$F$296,MATCH(B1814,Standards!$B$2:$B$296,0)),INDEX(Standards!$F$2:$F$296,MATCH(C1814,Standards!$B$2:$B$296,0)))</f>
        <v>#N/A</v>
      </c>
      <c r="W1814" t="str">
        <f t="shared" si="86"/>
        <v>#2f89d1</v>
      </c>
    </row>
    <row r="1815" spans="1:23" x14ac:dyDescent="0.5">
      <c r="A1815" s="54">
        <v>1814</v>
      </c>
      <c r="B1815" s="98" t="s">
        <v>1723</v>
      </c>
      <c r="C1815" t="s">
        <v>124</v>
      </c>
      <c r="D1815" s="1"/>
      <c r="E1815" s="112">
        <v>1987.07</v>
      </c>
      <c r="F1815" s="112">
        <v>2022.07</v>
      </c>
      <c r="G1815" s="107" t="s">
        <v>1452</v>
      </c>
      <c r="H1815">
        <f>INDEX('GIS-Standards'!$A$2:$A$305,MATCH(B1815,'GIS-Standards'!$B$2:$B$305,0))</f>
        <v>83</v>
      </c>
      <c r="I1815" t="e">
        <f>INDEX('GIS-Standards'!$A$2:$A$305,MATCH(C1815,'GIS-Standards'!$B$2:$B$305,0))</f>
        <v>#N/A</v>
      </c>
      <c r="J1815" t="str">
        <f>INDEX('GIS-Standards'!$O$2:$O$305,MATCH(B1815,'GIS-Standards'!$B$2:$B$305,0))</f>
        <v>ISO/TC 59/SC 13</v>
      </c>
      <c r="K1815" t="e">
        <f>INDEX('GIS-Standards'!$O$2:$O$305,MATCH(C1815,'GIS-Standards'!$B$2:$B$305,0))</f>
        <v>#N/A</v>
      </c>
      <c r="M1815" t="s">
        <v>525</v>
      </c>
      <c r="N1815">
        <f>INDEX('GIS-Standards'!$I$2:$I$305,MATCH(B1815,'GIS-Standards'!$B$2:$B$305,0))</f>
        <v>0</v>
      </c>
      <c r="O1815" t="e">
        <f>INDEX('GIS-Standards'!$I$2:$I$305,MATCH(C1815,'GIS-Standards'!$B$2:$B$305,0))</f>
        <v>#N/A</v>
      </c>
      <c r="P1815" t="e">
        <f>AND(TableRelationships12[[#This Row],[Source Type]]="BIM",TableRelationships12[[#This Row],[Target Type]]="BIM")</f>
        <v>#N/A</v>
      </c>
      <c r="Q1815">
        <f t="shared" si="84"/>
        <v>1</v>
      </c>
      <c r="S1815">
        <f t="shared" si="85"/>
        <v>1</v>
      </c>
      <c r="T1815" s="102" t="str">
        <f>IF(TableRelationships12[[#This Row],[Rank Pedro]]="Low","linkCategory1",IF(TableRelationships12[[#This Row],[Rank Pedro]]="Medium","linkCategory2",IF(TableRelationships12[[#This Row],[Rank Pedro]]="High","linkCategory3","")))</f>
        <v/>
      </c>
      <c r="U1815" s="102" t="str">
        <f>IF(TableRelationships12[[#This Row],[Rank Pedro]]="Low","Pink",IF(TableRelationships12[[#This Row],[Rank Pedro]]="Medium","Purple",IF(TableRelationships12[[#This Row],[Rank Pedro]]="High","Brown","")))</f>
        <v/>
      </c>
      <c r="V1815" s="4" t="e">
        <f>MAX(INDEX(Standards!$F$2:$F$296,MATCH(B1815,Standards!$B$2:$B$296,0)),INDEX(Standards!$F$2:$F$296,MATCH(C1815,Standards!$B$2:$B$296,0)))</f>
        <v>#N/A</v>
      </c>
      <c r="W1815" t="str">
        <f t="shared" si="86"/>
        <v>#2f89d1</v>
      </c>
    </row>
    <row r="1816" spans="1:23" x14ac:dyDescent="0.5">
      <c r="A1816" s="54">
        <v>1815</v>
      </c>
      <c r="B1816" s="98" t="s">
        <v>1723</v>
      </c>
      <c r="C1816" t="s">
        <v>1045</v>
      </c>
      <c r="D1816" s="1"/>
      <c r="E1816" s="112">
        <v>2023.06</v>
      </c>
      <c r="F1816" s="112">
        <v>2023.11</v>
      </c>
      <c r="G1816" s="107" t="s">
        <v>670</v>
      </c>
      <c r="H1816">
        <f>INDEX('GIS-Standards'!$A$2:$A$305,MATCH(B1816,'GIS-Standards'!$B$2:$B$305,0))</f>
        <v>83</v>
      </c>
      <c r="I1816">
        <f>INDEX('GIS-Standards'!$A$2:$A$305,MATCH(C1816,'GIS-Standards'!$B$2:$B$305,0))</f>
        <v>31</v>
      </c>
      <c r="J1816" t="str">
        <f>INDEX('GIS-Standards'!$O$2:$O$305,MATCH(B1816,'GIS-Standards'!$B$2:$B$305,0))</f>
        <v>ISO/TC 59/SC 13</v>
      </c>
      <c r="K1816" t="str">
        <f>INDEX('GIS-Standards'!$O$2:$O$305,MATCH(C1816,'GIS-Standards'!$B$2:$B$305,0))</f>
        <v>ISO/TC 211</v>
      </c>
      <c r="M1816" t="s">
        <v>525</v>
      </c>
      <c r="N1816">
        <f>INDEX('GIS-Standards'!$I$2:$I$305,MATCH(B1816,'GIS-Standards'!$B$2:$B$305,0))</f>
        <v>0</v>
      </c>
      <c r="O1816">
        <f>INDEX('GIS-Standards'!$I$2:$I$305,MATCH(C1816,'GIS-Standards'!$B$2:$B$305,0))</f>
        <v>0</v>
      </c>
      <c r="P1816" t="b">
        <f>AND(TableRelationships12[[#This Row],[Source Type]]="BIM",TableRelationships12[[#This Row],[Target Type]]="BIM")</f>
        <v>0</v>
      </c>
      <c r="Q1816">
        <f t="shared" si="84"/>
        <v>1</v>
      </c>
      <c r="S1816">
        <f t="shared" si="85"/>
        <v>1</v>
      </c>
      <c r="T1816" s="102" t="str">
        <f>IF(TableRelationships12[[#This Row],[Rank Pedro]]="Low","linkCategory1",IF(TableRelationships12[[#This Row],[Rank Pedro]]="Medium","linkCategory2",IF(TableRelationships12[[#This Row],[Rank Pedro]]="High","linkCategory3","")))</f>
        <v/>
      </c>
      <c r="U1816" s="102" t="str">
        <f>IF(TableRelationships12[[#This Row],[Rank Pedro]]="Low","Pink",IF(TableRelationships12[[#This Row],[Rank Pedro]]="Medium","Purple",IF(TableRelationships12[[#This Row],[Rank Pedro]]="High","Brown","")))</f>
        <v/>
      </c>
      <c r="V1816" s="4" t="e">
        <f>MAX(INDEX(Standards!$F$2:$F$296,MATCH(B1816,Standards!$B$2:$B$296,0)),INDEX(Standards!$F$2:$F$296,MATCH(C1816,Standards!$B$2:$B$296,0)))</f>
        <v>#N/A</v>
      </c>
      <c r="W1816" t="str">
        <f t="shared" si="86"/>
        <v>#2f89d1</v>
      </c>
    </row>
    <row r="1817" spans="1:23" x14ac:dyDescent="0.5">
      <c r="A1817" s="54">
        <v>1816</v>
      </c>
      <c r="B1817" s="98" t="s">
        <v>1723</v>
      </c>
      <c r="C1817" t="s">
        <v>259</v>
      </c>
      <c r="D1817" s="1"/>
      <c r="E1817" s="112">
        <v>2002.01</v>
      </c>
      <c r="F1817" s="112">
        <v>2016.03</v>
      </c>
      <c r="G1817" s="107" t="s">
        <v>1448</v>
      </c>
      <c r="H1817">
        <f>INDEX('GIS-Standards'!$A$2:$A$305,MATCH(B1817,'GIS-Standards'!$B$2:$B$305,0))</f>
        <v>83</v>
      </c>
      <c r="I1817" t="e">
        <f>INDEX('GIS-Standards'!$A$2:$A$305,MATCH(C1817,'GIS-Standards'!$B$2:$B$305,0))</f>
        <v>#N/A</v>
      </c>
      <c r="J1817" t="str">
        <f>INDEX('GIS-Standards'!$O$2:$O$305,MATCH(B1817,'GIS-Standards'!$B$2:$B$305,0))</f>
        <v>ISO/TC 59/SC 13</v>
      </c>
      <c r="K1817" t="e">
        <f>INDEX('GIS-Standards'!$O$2:$O$305,MATCH(C1817,'GIS-Standards'!$B$2:$B$305,0))</f>
        <v>#N/A</v>
      </c>
      <c r="M1817" t="s">
        <v>525</v>
      </c>
      <c r="N1817">
        <f>INDEX('GIS-Standards'!$I$2:$I$305,MATCH(B1817,'GIS-Standards'!$B$2:$B$305,0))</f>
        <v>0</v>
      </c>
      <c r="O1817" t="e">
        <f>INDEX('GIS-Standards'!$I$2:$I$305,MATCH(C1817,'GIS-Standards'!$B$2:$B$305,0))</f>
        <v>#N/A</v>
      </c>
      <c r="P1817" t="e">
        <f>AND(TableRelationships12[[#This Row],[Source Type]]="BIM",TableRelationships12[[#This Row],[Target Type]]="BIM")</f>
        <v>#N/A</v>
      </c>
      <c r="Q1817">
        <f t="shared" si="84"/>
        <v>1</v>
      </c>
      <c r="S1817">
        <f t="shared" si="85"/>
        <v>1</v>
      </c>
      <c r="T1817" s="102" t="str">
        <f>IF(TableRelationships12[[#This Row],[Rank Pedro]]="Low","linkCategory1",IF(TableRelationships12[[#This Row],[Rank Pedro]]="Medium","linkCategory2",IF(TableRelationships12[[#This Row],[Rank Pedro]]="High","linkCategory3","")))</f>
        <v/>
      </c>
      <c r="U1817" s="102" t="str">
        <f>IF(TableRelationships12[[#This Row],[Rank Pedro]]="Low","Pink",IF(TableRelationships12[[#This Row],[Rank Pedro]]="Medium","Purple",IF(TableRelationships12[[#This Row],[Rank Pedro]]="High","Brown","")))</f>
        <v/>
      </c>
      <c r="V1817" s="4" t="e">
        <f>MAX(INDEX(Standards!$F$2:$F$296,MATCH(B1817,Standards!$B$2:$B$296,0)),INDEX(Standards!$F$2:$F$296,MATCH(C1817,Standards!$B$2:$B$296,0)))</f>
        <v>#N/A</v>
      </c>
      <c r="W1817" t="str">
        <f t="shared" si="86"/>
        <v>#2f89d1</v>
      </c>
    </row>
    <row r="1818" spans="1:23" x14ac:dyDescent="0.5">
      <c r="A1818" s="54">
        <v>1817</v>
      </c>
      <c r="B1818" s="98" t="s">
        <v>1723</v>
      </c>
      <c r="C1818" t="s">
        <v>304</v>
      </c>
      <c r="D1818" s="1"/>
      <c r="E1818" s="112">
        <v>2002.09</v>
      </c>
      <c r="F1818" s="112">
        <v>2006.1</v>
      </c>
      <c r="G1818" s="107" t="s">
        <v>670</v>
      </c>
      <c r="H1818">
        <f>INDEX('GIS-Standards'!$A$2:$A$305,MATCH(B1818,'GIS-Standards'!$B$2:$B$305,0))</f>
        <v>83</v>
      </c>
      <c r="I1818">
        <f>INDEX('GIS-Standards'!$A$2:$A$305,MATCH(C1818,'GIS-Standards'!$B$2:$B$305,0))</f>
        <v>17</v>
      </c>
      <c r="J1818" t="str">
        <f>INDEX('GIS-Standards'!$O$2:$O$305,MATCH(B1818,'GIS-Standards'!$B$2:$B$305,0))</f>
        <v>ISO/TC 59/SC 13</v>
      </c>
      <c r="K1818" t="str">
        <f>INDEX('GIS-Standards'!$O$2:$O$305,MATCH(C1818,'GIS-Standards'!$B$2:$B$305,0))</f>
        <v>ISO/TC 211</v>
      </c>
      <c r="M1818" t="s">
        <v>525</v>
      </c>
      <c r="N1818">
        <f>INDEX('GIS-Standards'!$I$2:$I$305,MATCH(B1818,'GIS-Standards'!$B$2:$B$305,0))</f>
        <v>0</v>
      </c>
      <c r="O1818" t="str">
        <f>INDEX('GIS-Standards'!$I$2:$I$305,MATCH(C1818,'GIS-Standards'!$B$2:$B$305,0))</f>
        <v>06.2008</v>
      </c>
      <c r="P1818" t="b">
        <f>AND(TableRelationships12[[#This Row],[Source Type]]="BIM",TableRelationships12[[#This Row],[Target Type]]="BIM")</f>
        <v>0</v>
      </c>
      <c r="Q1818">
        <f t="shared" si="84"/>
        <v>1</v>
      </c>
      <c r="S1818">
        <f t="shared" si="85"/>
        <v>1</v>
      </c>
      <c r="T1818" s="102" t="str">
        <f>IF(TableRelationships12[[#This Row],[Rank Pedro]]="Low","linkCategory1",IF(TableRelationships12[[#This Row],[Rank Pedro]]="Medium","linkCategory2",IF(TableRelationships12[[#This Row],[Rank Pedro]]="High","linkCategory3","")))</f>
        <v/>
      </c>
      <c r="U1818" s="102" t="str">
        <f>IF(TableRelationships12[[#This Row],[Rank Pedro]]="Low","Pink",IF(TableRelationships12[[#This Row],[Rank Pedro]]="Medium","Purple",IF(TableRelationships12[[#This Row],[Rank Pedro]]="High","Brown","")))</f>
        <v/>
      </c>
      <c r="V1818" s="4" t="e">
        <f>MAX(INDEX(Standards!$F$2:$F$296,MATCH(B1818,Standards!$B$2:$B$296,0)),INDEX(Standards!$F$2:$F$296,MATCH(C1818,Standards!$B$2:$B$296,0)))</f>
        <v>#N/A</v>
      </c>
      <c r="W1818" t="str">
        <f t="shared" si="86"/>
        <v>#2f89d1</v>
      </c>
    </row>
    <row r="1819" spans="1:23" x14ac:dyDescent="0.5">
      <c r="A1819" s="54">
        <v>1818</v>
      </c>
      <c r="B1819" s="98" t="s">
        <v>1723</v>
      </c>
      <c r="C1819" t="s">
        <v>1041</v>
      </c>
      <c r="D1819" s="1"/>
      <c r="E1819" s="112">
        <v>2009.02</v>
      </c>
      <c r="F1819" s="112">
        <v>2022.03</v>
      </c>
      <c r="G1819" s="107" t="s">
        <v>670</v>
      </c>
      <c r="H1819">
        <f>INDEX('GIS-Standards'!$A$2:$A$305,MATCH(B1819,'GIS-Standards'!$B$2:$B$305,0))</f>
        <v>83</v>
      </c>
      <c r="I1819">
        <f>INDEX('GIS-Standards'!$A$2:$A$305,MATCH(C1819,'GIS-Standards'!$B$2:$B$305,0))</f>
        <v>23</v>
      </c>
      <c r="J1819" t="str">
        <f>INDEX('GIS-Standards'!$O$2:$O$305,MATCH(B1819,'GIS-Standards'!$B$2:$B$305,0))</f>
        <v>ISO/TC 59/SC 13</v>
      </c>
      <c r="K1819" t="str">
        <f>INDEX('GIS-Standards'!$O$2:$O$305,MATCH(C1819,'GIS-Standards'!$B$2:$B$305,0))</f>
        <v>ISO/TC 211</v>
      </c>
      <c r="M1819" t="s">
        <v>525</v>
      </c>
      <c r="N1819">
        <f>INDEX('GIS-Standards'!$I$2:$I$305,MATCH(B1819,'GIS-Standards'!$B$2:$B$305,0))</f>
        <v>0</v>
      </c>
      <c r="O1819" t="str">
        <f>INDEX('GIS-Standards'!$I$2:$I$305,MATCH(C1819,'GIS-Standards'!$B$2:$B$305,0))</f>
        <v>03.2022</v>
      </c>
      <c r="P1819" t="b">
        <f>AND(TableRelationships12[[#This Row],[Source Type]]="BIM",TableRelationships12[[#This Row],[Target Type]]="BIM")</f>
        <v>0</v>
      </c>
      <c r="Q1819">
        <f t="shared" si="84"/>
        <v>1</v>
      </c>
      <c r="S1819">
        <f t="shared" si="85"/>
        <v>1</v>
      </c>
      <c r="T1819" s="102" t="str">
        <f>IF(TableRelationships12[[#This Row],[Rank Pedro]]="Low","linkCategory1",IF(TableRelationships12[[#This Row],[Rank Pedro]]="Medium","linkCategory2",IF(TableRelationships12[[#This Row],[Rank Pedro]]="High","linkCategory3","")))</f>
        <v/>
      </c>
      <c r="U1819" s="102" t="str">
        <f>IF(TableRelationships12[[#This Row],[Rank Pedro]]="Low","Pink",IF(TableRelationships12[[#This Row],[Rank Pedro]]="Medium","Purple",IF(TableRelationships12[[#This Row],[Rank Pedro]]="High","Brown","")))</f>
        <v/>
      </c>
      <c r="V1819" s="4" t="e">
        <f>MAX(INDEX(Standards!$F$2:$F$296,MATCH(B1819,Standards!$B$2:$B$296,0)),INDEX(Standards!$F$2:$F$296,MATCH(C1819,Standards!$B$2:$B$296,0)))</f>
        <v>#N/A</v>
      </c>
      <c r="W1819" t="str">
        <f t="shared" si="86"/>
        <v>#2f89d1</v>
      </c>
    </row>
    <row r="1820" spans="1:23" x14ac:dyDescent="0.5">
      <c r="A1820" s="54">
        <v>1819</v>
      </c>
      <c r="B1820" s="98" t="s">
        <v>1723</v>
      </c>
      <c r="C1820" t="s">
        <v>314</v>
      </c>
      <c r="D1820" s="1"/>
      <c r="E1820" s="112">
        <v>2003.05</v>
      </c>
      <c r="F1820" s="112">
        <v>2020.11</v>
      </c>
      <c r="G1820" s="107" t="s">
        <v>670</v>
      </c>
      <c r="H1820">
        <f>INDEX('GIS-Standards'!$A$2:$A$305,MATCH(B1820,'GIS-Standards'!$B$2:$B$305,0))</f>
        <v>83</v>
      </c>
      <c r="I1820">
        <f>INDEX('GIS-Standards'!$A$2:$A$305,MATCH(C1820,'GIS-Standards'!$B$2:$B$305,0))</f>
        <v>22</v>
      </c>
      <c r="J1820" t="str">
        <f>INDEX('GIS-Standards'!$O$2:$O$305,MATCH(B1820,'GIS-Standards'!$B$2:$B$305,0))</f>
        <v>ISO/TC 59/SC 13</v>
      </c>
      <c r="K1820" t="str">
        <f>INDEX('GIS-Standards'!$O$2:$O$305,MATCH(C1820,'GIS-Standards'!$B$2:$B$305,0))</f>
        <v>ISO/TC 211</v>
      </c>
      <c r="M1820" t="s">
        <v>525</v>
      </c>
      <c r="N1820">
        <f>INDEX('GIS-Standards'!$I$2:$I$305,MATCH(B1820,'GIS-Standards'!$B$2:$B$305,0))</f>
        <v>0</v>
      </c>
      <c r="O1820" t="str">
        <f>INDEX('GIS-Standards'!$I$2:$I$305,MATCH(C1820,'GIS-Standards'!$B$2:$B$305,0))</f>
        <v>12.2020</v>
      </c>
      <c r="P1820" t="b">
        <f>AND(TableRelationships12[[#This Row],[Source Type]]="BIM",TableRelationships12[[#This Row],[Target Type]]="BIM")</f>
        <v>0</v>
      </c>
      <c r="Q1820">
        <f t="shared" si="84"/>
        <v>1</v>
      </c>
      <c r="S1820">
        <f t="shared" si="85"/>
        <v>1</v>
      </c>
      <c r="T1820" s="102" t="str">
        <f>IF(TableRelationships12[[#This Row],[Rank Pedro]]="Low","linkCategory1",IF(TableRelationships12[[#This Row],[Rank Pedro]]="Medium","linkCategory2",IF(TableRelationships12[[#This Row],[Rank Pedro]]="High","linkCategory3","")))</f>
        <v/>
      </c>
      <c r="U1820" s="102" t="str">
        <f>IF(TableRelationships12[[#This Row],[Rank Pedro]]="Low","Pink",IF(TableRelationships12[[#This Row],[Rank Pedro]]="Medium","Purple",IF(TableRelationships12[[#This Row],[Rank Pedro]]="High","Brown","")))</f>
        <v/>
      </c>
      <c r="V1820" s="4" t="e">
        <f>MAX(INDEX(Standards!$F$2:$F$296,MATCH(B1820,Standards!$B$2:$B$296,0)),INDEX(Standards!$F$2:$F$296,MATCH(C1820,Standards!$B$2:$B$296,0)))</f>
        <v>#N/A</v>
      </c>
      <c r="W1820" t="str">
        <f t="shared" si="86"/>
        <v>#2f89d1</v>
      </c>
    </row>
    <row r="1821" spans="1:23" x14ac:dyDescent="0.5">
      <c r="A1821" s="54">
        <v>1820</v>
      </c>
      <c r="B1821" s="98" t="s">
        <v>1723</v>
      </c>
      <c r="C1821" t="s">
        <v>344</v>
      </c>
      <c r="D1821" s="1"/>
      <c r="E1821" s="112">
        <v>2012.02</v>
      </c>
      <c r="F1821" s="112">
        <v>2021.04</v>
      </c>
      <c r="G1821" s="107" t="s">
        <v>670</v>
      </c>
      <c r="H1821">
        <f>INDEX('GIS-Standards'!$A$2:$A$305,MATCH(B1821,'GIS-Standards'!$B$2:$B$305,0))</f>
        <v>83</v>
      </c>
      <c r="I1821">
        <f>INDEX('GIS-Standards'!$A$2:$A$305,MATCH(C1821,'GIS-Standards'!$B$2:$B$305,0))</f>
        <v>53</v>
      </c>
      <c r="J1821" t="str">
        <f>INDEX('GIS-Standards'!$O$2:$O$305,MATCH(B1821,'GIS-Standards'!$B$2:$B$305,0))</f>
        <v>ISO/TC 59/SC 13</v>
      </c>
      <c r="K1821" t="str">
        <f>INDEX('GIS-Standards'!$O$2:$O$305,MATCH(C1821,'GIS-Standards'!$B$2:$B$305,0))</f>
        <v>ISO/TC 211</v>
      </c>
      <c r="M1821" t="s">
        <v>525</v>
      </c>
      <c r="N1821">
        <f>INDEX('GIS-Standards'!$I$2:$I$305,MATCH(B1821,'GIS-Standards'!$B$2:$B$305,0))</f>
        <v>0</v>
      </c>
      <c r="O1821">
        <f>INDEX('GIS-Standards'!$I$2:$I$305,MATCH(C1821,'GIS-Standards'!$B$2:$B$305,0))</f>
        <v>0</v>
      </c>
      <c r="P1821" t="b">
        <f>AND(TableRelationships12[[#This Row],[Source Type]]="BIM",TableRelationships12[[#This Row],[Target Type]]="BIM")</f>
        <v>0</v>
      </c>
      <c r="Q1821">
        <f t="shared" si="84"/>
        <v>1</v>
      </c>
      <c r="S1821">
        <f t="shared" si="85"/>
        <v>1</v>
      </c>
      <c r="T1821" s="102" t="str">
        <f>IF(TableRelationships12[[#This Row],[Rank Pedro]]="Low","linkCategory1",IF(TableRelationships12[[#This Row],[Rank Pedro]]="Medium","linkCategory2",IF(TableRelationships12[[#This Row],[Rank Pedro]]="High","linkCategory3","")))</f>
        <v/>
      </c>
      <c r="U1821" s="102" t="str">
        <f>IF(TableRelationships12[[#This Row],[Rank Pedro]]="Low","Pink",IF(TableRelationships12[[#This Row],[Rank Pedro]]="Medium","Purple",IF(TableRelationships12[[#This Row],[Rank Pedro]]="High","Brown","")))</f>
        <v/>
      </c>
      <c r="V1821" s="4" t="e">
        <f>MAX(INDEX(Standards!$F$2:$F$296,MATCH(B1821,Standards!$B$2:$B$296,0)),INDEX(Standards!$F$2:$F$296,MATCH(C1821,Standards!$B$2:$B$296,0)))</f>
        <v>#N/A</v>
      </c>
      <c r="W1821" t="str">
        <f t="shared" si="86"/>
        <v>#2f89d1</v>
      </c>
    </row>
    <row r="1822" spans="1:23" x14ac:dyDescent="0.5">
      <c r="A1822" s="54">
        <v>1821</v>
      </c>
      <c r="B1822" s="98" t="s">
        <v>1723</v>
      </c>
      <c r="C1822" t="s">
        <v>334</v>
      </c>
      <c r="D1822" s="1"/>
      <c r="E1822" s="113">
        <v>2007.09</v>
      </c>
      <c r="F1822" s="113">
        <v>2020.01</v>
      </c>
      <c r="G1822" s="107" t="s">
        <v>670</v>
      </c>
      <c r="H1822">
        <f>INDEX('GIS-Standards'!$A$2:$A$305,MATCH(B1822,'GIS-Standards'!$B$2:$B$305,0))</f>
        <v>83</v>
      </c>
      <c r="I1822">
        <f>INDEX('GIS-Standards'!$A$2:$A$305,MATCH(C1822,'GIS-Standards'!$B$2:$B$305,0))</f>
        <v>42</v>
      </c>
      <c r="J1822" t="str">
        <f>INDEX('GIS-Standards'!$O$2:$O$305,MATCH(B1822,'GIS-Standards'!$B$2:$B$305,0))</f>
        <v>ISO/TC 59/SC 13</v>
      </c>
      <c r="K1822" t="str">
        <f>INDEX('GIS-Standards'!$O$2:$O$305,MATCH(C1822,'GIS-Standards'!$B$2:$B$305,0))</f>
        <v>ISO/TC 211</v>
      </c>
      <c r="M1822" t="s">
        <v>525</v>
      </c>
      <c r="N1822">
        <f>INDEX('GIS-Standards'!$I$2:$I$305,MATCH(B1822,'GIS-Standards'!$B$2:$B$305,0))</f>
        <v>0</v>
      </c>
      <c r="O1822">
        <f>INDEX('GIS-Standards'!$I$2:$I$305,MATCH(C1822,'GIS-Standards'!$B$2:$B$305,0))</f>
        <v>0</v>
      </c>
      <c r="P1822" t="b">
        <f>AND(TableRelationships12[[#This Row],[Source Type]]="BIM",TableRelationships12[[#This Row],[Target Type]]="BIM")</f>
        <v>0</v>
      </c>
      <c r="Q1822">
        <f t="shared" si="84"/>
        <v>1</v>
      </c>
      <c r="S1822">
        <f t="shared" si="85"/>
        <v>1</v>
      </c>
      <c r="T1822" s="102" t="str">
        <f>IF(TableRelationships12[[#This Row],[Rank Pedro]]="Low","linkCategory1",IF(TableRelationships12[[#This Row],[Rank Pedro]]="Medium","linkCategory2",IF(TableRelationships12[[#This Row],[Rank Pedro]]="High","linkCategory3","")))</f>
        <v/>
      </c>
      <c r="U1822" s="102" t="str">
        <f>IF(TableRelationships12[[#This Row],[Rank Pedro]]="Low","Pink",IF(TableRelationships12[[#This Row],[Rank Pedro]]="Medium","Purple",IF(TableRelationships12[[#This Row],[Rank Pedro]]="High","Brown","")))</f>
        <v/>
      </c>
      <c r="V1822" s="4" t="e">
        <f>MAX(INDEX(Standards!$F$2:$F$296,MATCH(B1822,Standards!$B$2:$B$296,0)),INDEX(Standards!$F$2:$F$296,MATCH(C1822,Standards!$B$2:$B$296,0)))</f>
        <v>#N/A</v>
      </c>
      <c r="W1822" t="str">
        <f t="shared" si="86"/>
        <v>#2f89d1</v>
      </c>
    </row>
    <row r="1823" spans="1:23" x14ac:dyDescent="0.5">
      <c r="A1823" s="54">
        <v>1822</v>
      </c>
      <c r="B1823" s="98" t="s">
        <v>1723</v>
      </c>
      <c r="C1823" t="s">
        <v>296</v>
      </c>
      <c r="D1823" s="1"/>
      <c r="E1823" s="112">
        <v>2005.07</v>
      </c>
      <c r="F1823" s="112">
        <v>2024.09</v>
      </c>
      <c r="G1823" s="107" t="s">
        <v>670</v>
      </c>
      <c r="H1823">
        <f>INDEX('GIS-Standards'!$A$2:$A$305,MATCH(B1823,'GIS-Standards'!$B$2:$B$305,0))</f>
        <v>83</v>
      </c>
      <c r="I1823">
        <f>INDEX('GIS-Standards'!$A$2:$A$305,MATCH(C1823,'GIS-Standards'!$B$2:$B$305,0))</f>
        <v>12</v>
      </c>
      <c r="J1823" t="str">
        <f>INDEX('GIS-Standards'!$O$2:$O$305,MATCH(B1823,'GIS-Standards'!$B$2:$B$305,0))</f>
        <v>ISO/TC 59/SC 13</v>
      </c>
      <c r="K1823" t="str">
        <f>INDEX('GIS-Standards'!$O$2:$O$305,MATCH(C1823,'GIS-Standards'!$B$2:$B$305,0))</f>
        <v>ISO/TC 211</v>
      </c>
      <c r="M1823" t="s">
        <v>525</v>
      </c>
      <c r="N1823">
        <f>INDEX('GIS-Standards'!$I$2:$I$305,MATCH(B1823,'GIS-Standards'!$B$2:$B$305,0))</f>
        <v>0</v>
      </c>
      <c r="O1823">
        <f>INDEX('GIS-Standards'!$I$2:$I$305,MATCH(C1823,'GIS-Standards'!$B$2:$B$305,0))</f>
        <v>0</v>
      </c>
      <c r="P1823" t="b">
        <f>AND(TableRelationships12[[#This Row],[Source Type]]="BIM",TableRelationships12[[#This Row],[Target Type]]="BIM")</f>
        <v>0</v>
      </c>
      <c r="Q1823">
        <f t="shared" si="84"/>
        <v>1</v>
      </c>
      <c r="S1823">
        <f t="shared" si="85"/>
        <v>1</v>
      </c>
      <c r="T1823" s="102" t="str">
        <f>IF(TableRelationships12[[#This Row],[Rank Pedro]]="Low","linkCategory1",IF(TableRelationships12[[#This Row],[Rank Pedro]]="Medium","linkCategory2",IF(TableRelationships12[[#This Row],[Rank Pedro]]="High","linkCategory3","")))</f>
        <v/>
      </c>
      <c r="U1823" s="102" t="str">
        <f>IF(TableRelationships12[[#This Row],[Rank Pedro]]="Low","Pink",IF(TableRelationships12[[#This Row],[Rank Pedro]]="Medium","Purple",IF(TableRelationships12[[#This Row],[Rank Pedro]]="High","Brown","")))</f>
        <v/>
      </c>
      <c r="V1823" s="4" t="e">
        <f>MAX(INDEX(Standards!$F$2:$F$296,MATCH(B1823,Standards!$B$2:$B$296,0)),INDEX(Standards!$F$2:$F$296,MATCH(C1823,Standards!$B$2:$B$296,0)))</f>
        <v>#N/A</v>
      </c>
      <c r="W1823" t="str">
        <f t="shared" si="86"/>
        <v>#2f89d1</v>
      </c>
    </row>
    <row r="1824" spans="1:23" x14ac:dyDescent="0.5">
      <c r="A1824" s="54">
        <v>1823</v>
      </c>
      <c r="B1824" s="98" t="s">
        <v>1723</v>
      </c>
      <c r="C1824" t="s">
        <v>128</v>
      </c>
      <c r="D1824" s="1"/>
      <c r="E1824" s="112">
        <v>1994.12</v>
      </c>
      <c r="F1824" s="112">
        <v>2004.11</v>
      </c>
      <c r="G1824" s="107" t="s">
        <v>1448</v>
      </c>
      <c r="H1824">
        <f>INDEX('GIS-Standards'!$A$2:$A$305,MATCH(B1824,'GIS-Standards'!$B$2:$B$305,0))</f>
        <v>83</v>
      </c>
      <c r="I1824" t="e">
        <f>INDEX('GIS-Standards'!$A$2:$A$305,MATCH(C1824,'GIS-Standards'!$B$2:$B$305,0))</f>
        <v>#N/A</v>
      </c>
      <c r="J1824" t="str">
        <f>INDEX('GIS-Standards'!$O$2:$O$305,MATCH(B1824,'GIS-Standards'!$B$2:$B$305,0))</f>
        <v>ISO/TC 59/SC 13</v>
      </c>
      <c r="K1824" t="e">
        <f>INDEX('GIS-Standards'!$O$2:$O$305,MATCH(C1824,'GIS-Standards'!$B$2:$B$305,0))</f>
        <v>#N/A</v>
      </c>
      <c r="M1824" t="s">
        <v>525</v>
      </c>
      <c r="N1824">
        <f>INDEX('GIS-Standards'!$I$2:$I$305,MATCH(B1824,'GIS-Standards'!$B$2:$B$305,0))</f>
        <v>0</v>
      </c>
      <c r="O1824" t="e">
        <f>INDEX('GIS-Standards'!$I$2:$I$305,MATCH(C1824,'GIS-Standards'!$B$2:$B$305,0))</f>
        <v>#N/A</v>
      </c>
      <c r="P1824" t="e">
        <f>AND(TableRelationships12[[#This Row],[Source Type]]="BIM",TableRelationships12[[#This Row],[Target Type]]="BIM")</f>
        <v>#N/A</v>
      </c>
      <c r="Q1824">
        <f t="shared" si="84"/>
        <v>1</v>
      </c>
      <c r="S1824">
        <f t="shared" si="85"/>
        <v>1</v>
      </c>
      <c r="T1824" s="102" t="str">
        <f>IF(TableRelationships12[[#This Row],[Rank Pedro]]="Low","linkCategory1",IF(TableRelationships12[[#This Row],[Rank Pedro]]="Medium","linkCategory2",IF(TableRelationships12[[#This Row],[Rank Pedro]]="High","linkCategory3","")))</f>
        <v/>
      </c>
      <c r="U1824" s="102" t="str">
        <f>IF(TableRelationships12[[#This Row],[Rank Pedro]]="Low","Pink",IF(TableRelationships12[[#This Row],[Rank Pedro]]="Medium","Purple",IF(TableRelationships12[[#This Row],[Rank Pedro]]="High","Brown","")))</f>
        <v/>
      </c>
      <c r="V1824" s="4" t="e">
        <f>MAX(INDEX(Standards!$F$2:$F$296,MATCH(B1824,Standards!$B$2:$B$296,0)),INDEX(Standards!$F$2:$F$296,MATCH(C1824,Standards!$B$2:$B$296,0)))</f>
        <v>#N/A</v>
      </c>
      <c r="W1824" t="str">
        <f t="shared" si="86"/>
        <v>#2f89d1</v>
      </c>
    </row>
    <row r="1825" spans="1:23" x14ac:dyDescent="0.5">
      <c r="A1825" s="54">
        <v>1824</v>
      </c>
      <c r="B1825" s="98" t="s">
        <v>1723</v>
      </c>
      <c r="C1825" t="s">
        <v>352</v>
      </c>
      <c r="D1825" s="1"/>
      <c r="E1825" s="112">
        <v>1985.02</v>
      </c>
      <c r="F1825" s="112">
        <v>2013.03</v>
      </c>
      <c r="G1825" s="107" t="s">
        <v>1457</v>
      </c>
      <c r="H1825">
        <f>INDEX('GIS-Standards'!$A$2:$A$305,MATCH(B1825,'GIS-Standards'!$B$2:$B$305,0))</f>
        <v>83</v>
      </c>
      <c r="I1825" t="e">
        <f>INDEX('GIS-Standards'!$A$2:$A$305,MATCH(C1825,'GIS-Standards'!$B$2:$B$305,0))</f>
        <v>#N/A</v>
      </c>
      <c r="J1825" t="str">
        <f>INDEX('GIS-Standards'!$O$2:$O$305,MATCH(B1825,'GIS-Standards'!$B$2:$B$305,0))</f>
        <v>ISO/TC 59/SC 13</v>
      </c>
      <c r="K1825" t="e">
        <f>INDEX('GIS-Standards'!$O$2:$O$305,MATCH(C1825,'GIS-Standards'!$B$2:$B$305,0))</f>
        <v>#N/A</v>
      </c>
      <c r="M1825" t="s">
        <v>525</v>
      </c>
      <c r="N1825">
        <f>INDEX('GIS-Standards'!$I$2:$I$305,MATCH(B1825,'GIS-Standards'!$B$2:$B$305,0))</f>
        <v>0</v>
      </c>
      <c r="O1825" t="e">
        <f>INDEX('GIS-Standards'!$I$2:$I$305,MATCH(C1825,'GIS-Standards'!$B$2:$B$305,0))</f>
        <v>#N/A</v>
      </c>
      <c r="P1825" t="e">
        <f>AND(TableRelationships12[[#This Row],[Source Type]]="BIM",TableRelationships12[[#This Row],[Target Type]]="BIM")</f>
        <v>#N/A</v>
      </c>
      <c r="Q1825">
        <f t="shared" si="84"/>
        <v>1</v>
      </c>
      <c r="S1825">
        <f t="shared" si="85"/>
        <v>1</v>
      </c>
      <c r="T1825" s="102" t="str">
        <f>IF(TableRelationships12[[#This Row],[Rank Pedro]]="Low","linkCategory1",IF(TableRelationships12[[#This Row],[Rank Pedro]]="Medium","linkCategory2",IF(TableRelationships12[[#This Row],[Rank Pedro]]="High","linkCategory3","")))</f>
        <v/>
      </c>
      <c r="U1825" s="102" t="str">
        <f>IF(TableRelationships12[[#This Row],[Rank Pedro]]="Low","Pink",IF(TableRelationships12[[#This Row],[Rank Pedro]]="Medium","Purple",IF(TableRelationships12[[#This Row],[Rank Pedro]]="High","Brown","")))</f>
        <v/>
      </c>
      <c r="V1825" s="4" t="e">
        <f>MAX(INDEX(Standards!$F$2:$F$296,MATCH(B1825,Standards!$B$2:$B$296,0)),INDEX(Standards!$F$2:$F$296,MATCH(C1825,Standards!$B$2:$B$296,0)))</f>
        <v>#N/A</v>
      </c>
      <c r="W1825" t="str">
        <f t="shared" si="86"/>
        <v>#2f89d1</v>
      </c>
    </row>
    <row r="1826" spans="1:23" x14ac:dyDescent="0.5">
      <c r="A1826" s="54">
        <v>1825</v>
      </c>
      <c r="B1826" s="98" t="s">
        <v>1723</v>
      </c>
      <c r="C1826" t="s">
        <v>346</v>
      </c>
      <c r="D1826" s="1"/>
      <c r="E1826" s="112">
        <v>2015.07</v>
      </c>
      <c r="F1826" s="112">
        <v>2019.01</v>
      </c>
      <c r="G1826" s="107" t="s">
        <v>670</v>
      </c>
      <c r="H1826">
        <f>INDEX('GIS-Standards'!$A$2:$A$305,MATCH(B1826,'GIS-Standards'!$B$2:$B$305,0))</f>
        <v>83</v>
      </c>
      <c r="I1826">
        <f>INDEX('GIS-Standards'!$A$2:$A$305,MATCH(C1826,'GIS-Standards'!$B$2:$B$305,0))</f>
        <v>54</v>
      </c>
      <c r="J1826" t="str">
        <f>INDEX('GIS-Standards'!$O$2:$O$305,MATCH(B1826,'GIS-Standards'!$B$2:$B$305,0))</f>
        <v>ISO/TC 59/SC 13</v>
      </c>
      <c r="K1826" t="str">
        <f>INDEX('GIS-Standards'!$O$2:$O$305,MATCH(C1826,'GIS-Standards'!$B$2:$B$305,0))</f>
        <v>ISO/TC 211</v>
      </c>
      <c r="M1826" t="s">
        <v>525</v>
      </c>
      <c r="N1826">
        <f>INDEX('GIS-Standards'!$I$2:$I$305,MATCH(B1826,'GIS-Standards'!$B$2:$B$305,0))</f>
        <v>0</v>
      </c>
      <c r="O1826" t="str">
        <f>INDEX('GIS-Standards'!$I$2:$I$305,MATCH(C1826,'GIS-Standards'!$B$2:$B$305,0))</f>
        <v>01.2019</v>
      </c>
      <c r="P1826" t="b">
        <f>AND(TableRelationships12[[#This Row],[Source Type]]="BIM",TableRelationships12[[#This Row],[Target Type]]="BIM")</f>
        <v>0</v>
      </c>
      <c r="Q1826">
        <f t="shared" si="84"/>
        <v>1</v>
      </c>
      <c r="S1826">
        <f t="shared" si="85"/>
        <v>1</v>
      </c>
      <c r="T1826" s="102" t="str">
        <f>IF(TableRelationships12[[#This Row],[Rank Pedro]]="Low","linkCategory1",IF(TableRelationships12[[#This Row],[Rank Pedro]]="Medium","linkCategory2",IF(TableRelationships12[[#This Row],[Rank Pedro]]="High","linkCategory3","")))</f>
        <v/>
      </c>
      <c r="U1826" s="102" t="str">
        <f>IF(TableRelationships12[[#This Row],[Rank Pedro]]="Low","Pink",IF(TableRelationships12[[#This Row],[Rank Pedro]]="Medium","Purple",IF(TableRelationships12[[#This Row],[Rank Pedro]]="High","Brown","")))</f>
        <v/>
      </c>
      <c r="V1826" s="4" t="e">
        <f>MAX(INDEX(Standards!$F$2:$F$296,MATCH(B1826,Standards!$B$2:$B$296,0)),INDEX(Standards!$F$2:$F$296,MATCH(C1826,Standards!$B$2:$B$296,0)))</f>
        <v>#N/A</v>
      </c>
      <c r="W1826" t="str">
        <f t="shared" si="86"/>
        <v>#2f89d1</v>
      </c>
    </row>
    <row r="1827" spans="1:23" x14ac:dyDescent="0.5">
      <c r="A1827" s="54">
        <v>1826</v>
      </c>
      <c r="B1827" s="118" t="s">
        <v>1702</v>
      </c>
      <c r="C1827" t="s">
        <v>527</v>
      </c>
      <c r="D1827" s="1" t="s">
        <v>1678</v>
      </c>
      <c r="E1827" s="112" t="s">
        <v>1681</v>
      </c>
      <c r="F1827" s="112" t="s">
        <v>1681</v>
      </c>
      <c r="G1827" s="121" t="s">
        <v>1971</v>
      </c>
      <c r="H1827">
        <f>INDEX('GIS-Standards'!$A$2:$A$305,MATCH(B1827,'GIS-Standards'!$B$2:$B$305,0))</f>
        <v>84</v>
      </c>
      <c r="I1827" t="e">
        <f>INDEX('GIS-Standards'!$A$2:$A$305,MATCH(C1827,'GIS-Standards'!$B$2:$B$305,0))</f>
        <v>#N/A</v>
      </c>
      <c r="J1827" t="str">
        <f>INDEX('GIS-Standards'!$O$2:$O$305,MATCH(B1827,'GIS-Standards'!$B$2:$B$305,0))</f>
        <v>ISO/TC 268/SC 1</v>
      </c>
      <c r="K1827" t="e">
        <f>INDEX('GIS-Standards'!$O$2:$O$305,MATCH(C1827,'GIS-Standards'!$B$2:$B$305,0))</f>
        <v>#N/A</v>
      </c>
      <c r="M1827" t="s">
        <v>237</v>
      </c>
      <c r="N1827">
        <f>INDEX('GIS-Standards'!$I$2:$I$305,MATCH(B1827,'GIS-Standards'!$B$2:$B$305,0))</f>
        <v>0</v>
      </c>
      <c r="O1827" t="e">
        <f>INDEX('GIS-Standards'!$I$2:$I$305,MATCH(C1827,'GIS-Standards'!$B$2:$B$305,0))</f>
        <v>#N/A</v>
      </c>
      <c r="P1827" t="e">
        <f>AND(TableRelationships12[[#This Row],[Source Type]]="BIM",TableRelationships12[[#This Row],[Target Type]]="BIM")</f>
        <v>#N/A</v>
      </c>
      <c r="Q1827">
        <f t="shared" si="84"/>
        <v>2</v>
      </c>
      <c r="S1827">
        <f t="shared" si="85"/>
        <v>1</v>
      </c>
      <c r="T1827" s="102" t="str">
        <f>IF(TableRelationships12[[#This Row],[Rank Pedro]]="Low","linkCategory1",IF(TableRelationships12[[#This Row],[Rank Pedro]]="Medium","linkCategory2",IF(TableRelationships12[[#This Row],[Rank Pedro]]="High","linkCategory3","")))</f>
        <v/>
      </c>
      <c r="U1827" s="102" t="str">
        <f>IF(TableRelationships12[[#This Row],[Rank Pedro]]="Low","Pink",IF(TableRelationships12[[#This Row],[Rank Pedro]]="Medium","Purple",IF(TableRelationships12[[#This Row],[Rank Pedro]]="High","Brown","")))</f>
        <v/>
      </c>
      <c r="V1827" s="4" t="e">
        <f>MAX(INDEX(Standards!$F$2:$F$296,MATCH(B1827,Standards!$B$2:$B$296,0)),INDEX(Standards!$F$2:$F$296,MATCH(C1827,Standards!$B$2:$B$296,0)))</f>
        <v>#N/A</v>
      </c>
      <c r="W1827">
        <f t="shared" si="86"/>
        <v>1</v>
      </c>
    </row>
    <row r="1828" spans="1:23" x14ac:dyDescent="0.5">
      <c r="A1828" s="54">
        <v>1827</v>
      </c>
      <c r="B1828" s="118" t="s">
        <v>1702</v>
      </c>
      <c r="C1828" t="s">
        <v>1380</v>
      </c>
      <c r="D1828" s="1"/>
      <c r="E1828" s="112">
        <v>2020.02</v>
      </c>
      <c r="F1828" s="112">
        <v>2020.02</v>
      </c>
      <c r="G1828" s="107" t="s">
        <v>673</v>
      </c>
      <c r="H1828">
        <f>INDEX('GIS-Standards'!$A$2:$A$305,MATCH(B1828,'GIS-Standards'!$B$2:$B$305,0))</f>
        <v>84</v>
      </c>
      <c r="I1828" t="e">
        <f>INDEX('GIS-Standards'!$A$2:$A$305,MATCH(C1828,'GIS-Standards'!$B$2:$B$305,0))</f>
        <v>#N/A</v>
      </c>
      <c r="J1828" t="str">
        <f>INDEX('GIS-Standards'!$O$2:$O$305,MATCH(B1828,'GIS-Standards'!$B$2:$B$305,0))</f>
        <v>ISO/TC 268/SC 1</v>
      </c>
      <c r="K1828" t="e">
        <f>INDEX('GIS-Standards'!$O$2:$O$305,MATCH(C1828,'GIS-Standards'!$B$2:$B$305,0))</f>
        <v>#N/A</v>
      </c>
      <c r="M1828" t="s">
        <v>524</v>
      </c>
      <c r="N1828">
        <f>INDEX('GIS-Standards'!$I$2:$I$305,MATCH(B1828,'GIS-Standards'!$B$2:$B$305,0))</f>
        <v>0</v>
      </c>
      <c r="O1828" t="e">
        <f>INDEX('GIS-Standards'!$I$2:$I$305,MATCH(C1828,'GIS-Standards'!$B$2:$B$305,0))</f>
        <v>#N/A</v>
      </c>
      <c r="P1828" t="e">
        <f>AND(TableRelationships12[[#This Row],[Source Type]]="BIM",TableRelationships12[[#This Row],[Target Type]]="BIM")</f>
        <v>#N/A</v>
      </c>
      <c r="Q1828">
        <f t="shared" si="84"/>
        <v>6</v>
      </c>
      <c r="S1828">
        <f t="shared" si="85"/>
        <v>1</v>
      </c>
      <c r="T1828" s="102" t="str">
        <f>IF(TableRelationships12[[#This Row],[Rank Pedro]]="Low","linkCategory1",IF(TableRelationships12[[#This Row],[Rank Pedro]]="Medium","linkCategory2",IF(TableRelationships12[[#This Row],[Rank Pedro]]="High","linkCategory3","")))</f>
        <v/>
      </c>
      <c r="U1828" s="102" t="str">
        <f>IF(TableRelationships12[[#This Row],[Rank Pedro]]="Low","Pink",IF(TableRelationships12[[#This Row],[Rank Pedro]]="Medium","Purple",IF(TableRelationships12[[#This Row],[Rank Pedro]]="High","Brown","")))</f>
        <v/>
      </c>
      <c r="V1828" s="4" t="e">
        <f>MAX(INDEX(Standards!$F$2:$F$296,MATCH(B1828,Standards!$B$2:$B$296,0)),INDEX(Standards!$F$2:$F$296,MATCH(C1828,Standards!$B$2:$B$296,0)))</f>
        <v>#N/A</v>
      </c>
      <c r="W1828" t="str">
        <f t="shared" si="86"/>
        <v>#d6bf2a</v>
      </c>
    </row>
    <row r="1829" spans="1:23" x14ac:dyDescent="0.5">
      <c r="A1829" s="54">
        <v>1828</v>
      </c>
      <c r="B1829" s="118" t="s">
        <v>1702</v>
      </c>
      <c r="C1829" t="s">
        <v>293</v>
      </c>
      <c r="D1829" s="1"/>
      <c r="E1829" s="112">
        <v>2002.07</v>
      </c>
      <c r="F1829" s="112">
        <v>2014.11</v>
      </c>
      <c r="G1829" s="107" t="s">
        <v>670</v>
      </c>
      <c r="H1829">
        <f>INDEX('GIS-Standards'!$A$2:$A$305,MATCH(B1829,'GIS-Standards'!$B$2:$B$305,0))</f>
        <v>84</v>
      </c>
      <c r="I1829">
        <f>INDEX('GIS-Standards'!$A$2:$A$305,MATCH(C1829,'GIS-Standards'!$B$2:$B$305,0))</f>
        <v>10</v>
      </c>
      <c r="J1829" t="str">
        <f>INDEX('GIS-Standards'!$O$2:$O$305,MATCH(B1829,'GIS-Standards'!$B$2:$B$305,0))</f>
        <v>ISO/TC 268/SC 1</v>
      </c>
      <c r="K1829" t="str">
        <f>INDEX('GIS-Standards'!$O$2:$O$305,MATCH(C1829,'GIS-Standards'!$B$2:$B$305,0))</f>
        <v>ISO/TC 211</v>
      </c>
      <c r="M1829" t="s">
        <v>525</v>
      </c>
      <c r="N1829">
        <f>INDEX('GIS-Standards'!$I$2:$I$305,MATCH(B1829,'GIS-Standards'!$B$2:$B$305,0))</f>
        <v>0</v>
      </c>
      <c r="O1829">
        <f>INDEX('GIS-Standards'!$I$2:$I$305,MATCH(C1829,'GIS-Standards'!$B$2:$B$305,0))</f>
        <v>0</v>
      </c>
      <c r="P1829" t="b">
        <f>AND(TableRelationships12[[#This Row],[Source Type]]="BIM",TableRelationships12[[#This Row],[Target Type]]="BIM")</f>
        <v>0</v>
      </c>
      <c r="Q1829">
        <f t="shared" si="84"/>
        <v>1</v>
      </c>
      <c r="S1829">
        <f t="shared" si="85"/>
        <v>1</v>
      </c>
      <c r="T1829" s="102" t="str">
        <f>IF(TableRelationships12[[#This Row],[Rank Pedro]]="Low","linkCategory1",IF(TableRelationships12[[#This Row],[Rank Pedro]]="Medium","linkCategory2",IF(TableRelationships12[[#This Row],[Rank Pedro]]="High","linkCategory3","")))</f>
        <v/>
      </c>
      <c r="U1829" s="102" t="str">
        <f>IF(TableRelationships12[[#This Row],[Rank Pedro]]="Low","Pink",IF(TableRelationships12[[#This Row],[Rank Pedro]]="Medium","Purple",IF(TableRelationships12[[#This Row],[Rank Pedro]]="High","Brown","")))</f>
        <v/>
      </c>
      <c r="V1829" s="4" t="e">
        <f>MAX(INDEX(Standards!$F$2:$F$296,MATCH(B1829,Standards!$B$2:$B$296,0)),INDEX(Standards!$F$2:$F$296,MATCH(C1829,Standards!$B$2:$B$296,0)))</f>
        <v>#N/A</v>
      </c>
      <c r="W1829" t="str">
        <f t="shared" si="86"/>
        <v>#2f89d1</v>
      </c>
    </row>
    <row r="1830" spans="1:23" x14ac:dyDescent="0.5">
      <c r="A1830" s="54">
        <v>1829</v>
      </c>
      <c r="B1830" s="118" t="s">
        <v>1702</v>
      </c>
      <c r="C1830" t="s">
        <v>210</v>
      </c>
      <c r="D1830" s="1" t="s">
        <v>1676</v>
      </c>
      <c r="E1830" s="112">
        <v>2018.12</v>
      </c>
      <c r="F1830" s="112">
        <v>2018.12</v>
      </c>
      <c r="G1830" s="107" t="s">
        <v>2061</v>
      </c>
      <c r="H1830">
        <f>INDEX('GIS-Standards'!$A$2:$A$305,MATCH(B1830,'GIS-Standards'!$B$2:$B$305,0))</f>
        <v>84</v>
      </c>
      <c r="I1830" t="e">
        <f>INDEX('GIS-Standards'!$A$2:$A$305,MATCH(C1830,'GIS-Standards'!$B$2:$B$305,0))</f>
        <v>#N/A</v>
      </c>
      <c r="J1830" t="str">
        <f>INDEX('GIS-Standards'!$O$2:$O$305,MATCH(B1830,'GIS-Standards'!$B$2:$B$305,0))</f>
        <v>ISO/TC 268/SC 1</v>
      </c>
      <c r="K1830" t="e">
        <f>INDEX('GIS-Standards'!$O$2:$O$305,MATCH(C1830,'GIS-Standards'!$B$2:$B$305,0))</f>
        <v>#N/A</v>
      </c>
      <c r="M1830" t="s">
        <v>525</v>
      </c>
      <c r="N1830">
        <f>INDEX('GIS-Standards'!$I$2:$I$305,MATCH(B1830,'GIS-Standards'!$B$2:$B$305,0))</f>
        <v>0</v>
      </c>
      <c r="O1830" t="e">
        <f>INDEX('GIS-Standards'!$I$2:$I$305,MATCH(C1830,'GIS-Standards'!$B$2:$B$305,0))</f>
        <v>#N/A</v>
      </c>
      <c r="P1830" t="e">
        <f>AND(TableRelationships12[[#This Row],[Source Type]]="BIM",TableRelationships12[[#This Row],[Target Type]]="BIM")</f>
        <v>#N/A</v>
      </c>
      <c r="Q1830">
        <f t="shared" si="84"/>
        <v>1</v>
      </c>
      <c r="S1830">
        <f t="shared" si="85"/>
        <v>1</v>
      </c>
      <c r="T1830" s="102" t="str">
        <f>IF(TableRelationships12[[#This Row],[Rank Pedro]]="Low","linkCategory1",IF(TableRelationships12[[#This Row],[Rank Pedro]]="Medium","linkCategory2",IF(TableRelationships12[[#This Row],[Rank Pedro]]="High","linkCategory3","")))</f>
        <v/>
      </c>
      <c r="U1830" s="102" t="str">
        <f>IF(TableRelationships12[[#This Row],[Rank Pedro]]="Low","Pink",IF(TableRelationships12[[#This Row],[Rank Pedro]]="Medium","Purple",IF(TableRelationships12[[#This Row],[Rank Pedro]]="High","Brown","")))</f>
        <v/>
      </c>
      <c r="V1830" s="4" t="e">
        <f>MAX(INDEX(Standards!$F$2:$F$296,MATCH(B1830,Standards!$B$2:$B$296,0)),INDEX(Standards!$F$2:$F$296,MATCH(C1830,Standards!$B$2:$B$296,0)))</f>
        <v>#N/A</v>
      </c>
      <c r="W1830" t="str">
        <f t="shared" si="86"/>
        <v>#2f89d1</v>
      </c>
    </row>
    <row r="1831" spans="1:23" x14ac:dyDescent="0.5">
      <c r="A1831" s="54">
        <v>1830</v>
      </c>
      <c r="B1831" s="118" t="s">
        <v>1702</v>
      </c>
      <c r="C1831" t="s">
        <v>1972</v>
      </c>
      <c r="D1831" s="1"/>
      <c r="E1831" s="112">
        <v>2018.12</v>
      </c>
      <c r="F1831" s="112">
        <v>2024.02</v>
      </c>
      <c r="G1831" s="107" t="s">
        <v>2074</v>
      </c>
      <c r="H1831">
        <f>INDEX('GIS-Standards'!$A$2:$A$305,MATCH(B1831,'GIS-Standards'!$B$2:$B$305,0))</f>
        <v>84</v>
      </c>
      <c r="I1831" t="e">
        <f>INDEX('GIS-Standards'!$A$2:$A$305,MATCH(C1831,'GIS-Standards'!$B$2:$B$305,0))</f>
        <v>#N/A</v>
      </c>
      <c r="J1831" t="str">
        <f>INDEX('GIS-Standards'!$O$2:$O$305,MATCH(B1831,'GIS-Standards'!$B$2:$B$305,0))</f>
        <v>ISO/TC 268/SC 1</v>
      </c>
      <c r="K1831" t="e">
        <f>INDEX('GIS-Standards'!$O$2:$O$305,MATCH(C1831,'GIS-Standards'!$B$2:$B$305,0))</f>
        <v>#N/A</v>
      </c>
      <c r="M1831" t="s">
        <v>525</v>
      </c>
      <c r="N1831">
        <f>INDEX('GIS-Standards'!$I$2:$I$305,MATCH(B1831,'GIS-Standards'!$B$2:$B$305,0))</f>
        <v>0</v>
      </c>
      <c r="O1831" t="e">
        <f>INDEX('GIS-Standards'!$I$2:$I$305,MATCH(C1831,'GIS-Standards'!$B$2:$B$305,0))</f>
        <v>#N/A</v>
      </c>
      <c r="P1831" t="e">
        <f>AND(TableRelationships12[[#This Row],[Source Type]]="BIM",TableRelationships12[[#This Row],[Target Type]]="BIM")</f>
        <v>#N/A</v>
      </c>
      <c r="Q1831">
        <f t="shared" si="84"/>
        <v>1</v>
      </c>
      <c r="S1831">
        <f t="shared" si="85"/>
        <v>1</v>
      </c>
      <c r="T1831" s="102" t="str">
        <f>IF(TableRelationships12[[#This Row],[Rank Pedro]]="Low","linkCategory1",IF(TableRelationships12[[#This Row],[Rank Pedro]]="Medium","linkCategory2",IF(TableRelationships12[[#This Row],[Rank Pedro]]="High","linkCategory3","")))</f>
        <v/>
      </c>
      <c r="U1831" s="102" t="str">
        <f>IF(TableRelationships12[[#This Row],[Rank Pedro]]="Low","Pink",IF(TableRelationships12[[#This Row],[Rank Pedro]]="Medium","Purple",IF(TableRelationships12[[#This Row],[Rank Pedro]]="High","Brown","")))</f>
        <v/>
      </c>
      <c r="V1831" s="4" t="e">
        <f>MAX(INDEX(Standards!$F$2:$F$296,MATCH(B1831,Standards!$B$2:$B$296,0)),INDEX(Standards!$F$2:$F$296,MATCH(C1831,Standards!$B$2:$B$296,0)))</f>
        <v>#N/A</v>
      </c>
      <c r="W1831" t="str">
        <f t="shared" si="86"/>
        <v>#2f89d1</v>
      </c>
    </row>
    <row r="1832" spans="1:23" x14ac:dyDescent="0.5">
      <c r="A1832" s="54">
        <v>1831</v>
      </c>
      <c r="B1832" s="118" t="s">
        <v>1702</v>
      </c>
      <c r="C1832" t="s">
        <v>1973</v>
      </c>
      <c r="D1832" s="1"/>
      <c r="E1832" s="112">
        <v>2017.05</v>
      </c>
      <c r="F1832" s="112">
        <v>2017.05</v>
      </c>
      <c r="G1832" s="107" t="s">
        <v>1653</v>
      </c>
      <c r="H1832">
        <f>INDEX('GIS-Standards'!$A$2:$A$305,MATCH(B1832,'GIS-Standards'!$B$2:$B$305,0))</f>
        <v>84</v>
      </c>
      <c r="I1832" t="e">
        <f>INDEX('GIS-Standards'!$A$2:$A$305,MATCH(C1832,'GIS-Standards'!$B$2:$B$305,0))</f>
        <v>#N/A</v>
      </c>
      <c r="J1832" t="str">
        <f>INDEX('GIS-Standards'!$O$2:$O$305,MATCH(B1832,'GIS-Standards'!$B$2:$B$305,0))</f>
        <v>ISO/TC 268/SC 1</v>
      </c>
      <c r="K1832" t="e">
        <f>INDEX('GIS-Standards'!$O$2:$O$305,MATCH(C1832,'GIS-Standards'!$B$2:$B$305,0))</f>
        <v>#N/A</v>
      </c>
      <c r="M1832" t="s">
        <v>525</v>
      </c>
      <c r="N1832">
        <f>INDEX('GIS-Standards'!$I$2:$I$305,MATCH(B1832,'GIS-Standards'!$B$2:$B$305,0))</f>
        <v>0</v>
      </c>
      <c r="O1832" t="e">
        <f>INDEX('GIS-Standards'!$I$2:$I$305,MATCH(C1832,'GIS-Standards'!$B$2:$B$305,0))</f>
        <v>#N/A</v>
      </c>
      <c r="P1832" t="e">
        <f>AND(TableRelationships12[[#This Row],[Source Type]]="BIM",TableRelationships12[[#This Row],[Target Type]]="BIM")</f>
        <v>#N/A</v>
      </c>
      <c r="Q1832">
        <f t="shared" si="84"/>
        <v>1</v>
      </c>
      <c r="S1832">
        <f t="shared" si="85"/>
        <v>1</v>
      </c>
      <c r="T1832" s="102" t="str">
        <f>IF(TableRelationships12[[#This Row],[Rank Pedro]]="Low","linkCategory1",IF(TableRelationships12[[#This Row],[Rank Pedro]]="Medium","linkCategory2",IF(TableRelationships12[[#This Row],[Rank Pedro]]="High","linkCategory3","")))</f>
        <v/>
      </c>
      <c r="U1832" s="102" t="str">
        <f>IF(TableRelationships12[[#This Row],[Rank Pedro]]="Low","Pink",IF(TableRelationships12[[#This Row],[Rank Pedro]]="Medium","Purple",IF(TableRelationships12[[#This Row],[Rank Pedro]]="High","Brown","")))</f>
        <v/>
      </c>
      <c r="V1832" s="4" t="e">
        <f>MAX(INDEX(Standards!$F$2:$F$296,MATCH(B1832,Standards!$B$2:$B$296,0)),INDEX(Standards!$F$2:$F$296,MATCH(C1832,Standards!$B$2:$B$296,0)))</f>
        <v>#N/A</v>
      </c>
      <c r="W1832" t="str">
        <f t="shared" si="86"/>
        <v>#2f89d1</v>
      </c>
    </row>
    <row r="1833" spans="1:23" x14ac:dyDescent="0.5">
      <c r="A1833" s="54">
        <v>1832</v>
      </c>
      <c r="B1833" s="118" t="s">
        <v>1702</v>
      </c>
      <c r="C1833" t="s">
        <v>1920</v>
      </c>
      <c r="D1833" s="1"/>
      <c r="E1833" s="112">
        <v>2014.05</v>
      </c>
      <c r="F1833" s="112">
        <v>2018.07</v>
      </c>
      <c r="G1833" s="107" t="s">
        <v>673</v>
      </c>
      <c r="H1833">
        <f>INDEX('GIS-Standards'!$A$2:$A$305,MATCH(B1833,'GIS-Standards'!$B$2:$B$305,0))</f>
        <v>84</v>
      </c>
      <c r="I1833" t="e">
        <f>INDEX('GIS-Standards'!$A$2:$A$305,MATCH(C1833,'GIS-Standards'!$B$2:$B$305,0))</f>
        <v>#N/A</v>
      </c>
      <c r="J1833" t="str">
        <f>INDEX('GIS-Standards'!$O$2:$O$305,MATCH(B1833,'GIS-Standards'!$B$2:$B$305,0))</f>
        <v>ISO/TC 268/SC 1</v>
      </c>
      <c r="K1833" t="e">
        <f>INDEX('GIS-Standards'!$O$2:$O$305,MATCH(C1833,'GIS-Standards'!$B$2:$B$305,0))</f>
        <v>#N/A</v>
      </c>
      <c r="M1833" t="s">
        <v>525</v>
      </c>
      <c r="N1833">
        <f>INDEX('GIS-Standards'!$I$2:$I$305,MATCH(B1833,'GIS-Standards'!$B$2:$B$305,0))</f>
        <v>0</v>
      </c>
      <c r="O1833" t="e">
        <f>INDEX('GIS-Standards'!$I$2:$I$305,MATCH(C1833,'GIS-Standards'!$B$2:$B$305,0))</f>
        <v>#N/A</v>
      </c>
      <c r="P1833" t="e">
        <f>AND(TableRelationships12[[#This Row],[Source Type]]="BIM",TableRelationships12[[#This Row],[Target Type]]="BIM")</f>
        <v>#N/A</v>
      </c>
      <c r="Q1833">
        <f t="shared" si="84"/>
        <v>1</v>
      </c>
      <c r="S1833">
        <f t="shared" si="85"/>
        <v>1</v>
      </c>
      <c r="T1833" s="102" t="str">
        <f>IF(TableRelationships12[[#This Row],[Rank Pedro]]="Low","linkCategory1",IF(TableRelationships12[[#This Row],[Rank Pedro]]="Medium","linkCategory2",IF(TableRelationships12[[#This Row],[Rank Pedro]]="High","linkCategory3","")))</f>
        <v/>
      </c>
      <c r="U1833" s="102" t="str">
        <f>IF(TableRelationships12[[#This Row],[Rank Pedro]]="Low","Pink",IF(TableRelationships12[[#This Row],[Rank Pedro]]="Medium","Purple",IF(TableRelationships12[[#This Row],[Rank Pedro]]="High","Brown","")))</f>
        <v/>
      </c>
      <c r="V1833" s="4" t="e">
        <f>MAX(INDEX(Standards!$F$2:$F$296,MATCH(B1833,Standards!$B$2:$B$296,0)),INDEX(Standards!$F$2:$F$296,MATCH(C1833,Standards!$B$2:$B$296,0)))</f>
        <v>#N/A</v>
      </c>
      <c r="W1833" t="str">
        <f t="shared" si="86"/>
        <v>#2f89d1</v>
      </c>
    </row>
    <row r="1834" spans="1:23" x14ac:dyDescent="0.5">
      <c r="A1834" s="54">
        <v>1833</v>
      </c>
      <c r="B1834" s="118" t="s">
        <v>1702</v>
      </c>
      <c r="C1834" t="s">
        <v>1921</v>
      </c>
      <c r="D1834" s="1"/>
      <c r="E1834" s="112">
        <v>2019.05</v>
      </c>
      <c r="F1834" s="112">
        <v>2019.05</v>
      </c>
      <c r="G1834" s="107" t="s">
        <v>673</v>
      </c>
      <c r="H1834">
        <f>INDEX('GIS-Standards'!$A$2:$A$305,MATCH(B1834,'GIS-Standards'!$B$2:$B$305,0))</f>
        <v>84</v>
      </c>
      <c r="I1834" t="e">
        <f>INDEX('GIS-Standards'!$A$2:$A$305,MATCH(C1834,'GIS-Standards'!$B$2:$B$305,0))</f>
        <v>#N/A</v>
      </c>
      <c r="J1834" t="str">
        <f>INDEX('GIS-Standards'!$O$2:$O$305,MATCH(B1834,'GIS-Standards'!$B$2:$B$305,0))</f>
        <v>ISO/TC 268/SC 1</v>
      </c>
      <c r="K1834" t="e">
        <f>INDEX('GIS-Standards'!$O$2:$O$305,MATCH(C1834,'GIS-Standards'!$B$2:$B$305,0))</f>
        <v>#N/A</v>
      </c>
      <c r="M1834" t="s">
        <v>525</v>
      </c>
      <c r="N1834">
        <f>INDEX('GIS-Standards'!$I$2:$I$305,MATCH(B1834,'GIS-Standards'!$B$2:$B$305,0))</f>
        <v>0</v>
      </c>
      <c r="O1834" t="e">
        <f>INDEX('GIS-Standards'!$I$2:$I$305,MATCH(C1834,'GIS-Standards'!$B$2:$B$305,0))</f>
        <v>#N/A</v>
      </c>
      <c r="P1834" t="e">
        <f>AND(TableRelationships12[[#This Row],[Source Type]]="BIM",TableRelationships12[[#This Row],[Target Type]]="BIM")</f>
        <v>#N/A</v>
      </c>
      <c r="Q1834">
        <f t="shared" si="84"/>
        <v>1</v>
      </c>
      <c r="S1834">
        <f t="shared" si="85"/>
        <v>1</v>
      </c>
      <c r="T1834" s="102" t="str">
        <f>IF(TableRelationships12[[#This Row],[Rank Pedro]]="Low","linkCategory1",IF(TableRelationships12[[#This Row],[Rank Pedro]]="Medium","linkCategory2",IF(TableRelationships12[[#This Row],[Rank Pedro]]="High","linkCategory3","")))</f>
        <v/>
      </c>
      <c r="U1834" s="102" t="str">
        <f>IF(TableRelationships12[[#This Row],[Rank Pedro]]="Low","Pink",IF(TableRelationships12[[#This Row],[Rank Pedro]]="Medium","Purple",IF(TableRelationships12[[#This Row],[Rank Pedro]]="High","Brown","")))</f>
        <v/>
      </c>
      <c r="V1834" s="4" t="e">
        <f>MAX(INDEX(Standards!$F$2:$F$296,MATCH(B1834,Standards!$B$2:$B$296,0)),INDEX(Standards!$F$2:$F$296,MATCH(C1834,Standards!$B$2:$B$296,0)))</f>
        <v>#N/A</v>
      </c>
      <c r="W1834" t="str">
        <f t="shared" si="86"/>
        <v>#2f89d1</v>
      </c>
    </row>
    <row r="1835" spans="1:23" x14ac:dyDescent="0.5">
      <c r="A1835" s="54">
        <v>1834</v>
      </c>
      <c r="B1835" s="118" t="s">
        <v>1702</v>
      </c>
      <c r="C1835" t="s">
        <v>1380</v>
      </c>
      <c r="D1835" s="1"/>
      <c r="E1835" s="112">
        <v>2020.02</v>
      </c>
      <c r="F1835" s="112">
        <v>2020.02</v>
      </c>
      <c r="G1835" s="107" t="s">
        <v>673</v>
      </c>
      <c r="H1835">
        <f>INDEX('GIS-Standards'!$A$2:$A$305,MATCH(B1835,'GIS-Standards'!$B$2:$B$305,0))</f>
        <v>84</v>
      </c>
      <c r="I1835" t="e">
        <f>INDEX('GIS-Standards'!$A$2:$A$305,MATCH(C1835,'GIS-Standards'!$B$2:$B$305,0))</f>
        <v>#N/A</v>
      </c>
      <c r="J1835" t="str">
        <f>INDEX('GIS-Standards'!$O$2:$O$305,MATCH(B1835,'GIS-Standards'!$B$2:$B$305,0))</f>
        <v>ISO/TC 268/SC 1</v>
      </c>
      <c r="K1835" t="e">
        <f>INDEX('GIS-Standards'!$O$2:$O$305,MATCH(C1835,'GIS-Standards'!$B$2:$B$305,0))</f>
        <v>#N/A</v>
      </c>
      <c r="M1835" t="s">
        <v>525</v>
      </c>
      <c r="N1835">
        <f>INDEX('GIS-Standards'!$I$2:$I$305,MATCH(B1835,'GIS-Standards'!$B$2:$B$305,0))</f>
        <v>0</v>
      </c>
      <c r="O1835" t="e">
        <f>INDEX('GIS-Standards'!$I$2:$I$305,MATCH(C1835,'GIS-Standards'!$B$2:$B$305,0))</f>
        <v>#N/A</v>
      </c>
      <c r="P1835" t="e">
        <f>AND(TableRelationships12[[#This Row],[Source Type]]="BIM",TableRelationships12[[#This Row],[Target Type]]="BIM")</f>
        <v>#N/A</v>
      </c>
      <c r="Q1835">
        <f t="shared" si="84"/>
        <v>1</v>
      </c>
      <c r="S1835">
        <f t="shared" si="85"/>
        <v>1</v>
      </c>
      <c r="T1835" s="102" t="str">
        <f>IF(TableRelationships12[[#This Row],[Rank Pedro]]="Low","linkCategory1",IF(TableRelationships12[[#This Row],[Rank Pedro]]="Medium","linkCategory2",IF(TableRelationships12[[#This Row],[Rank Pedro]]="High","linkCategory3","")))</f>
        <v/>
      </c>
      <c r="U1835" s="102" t="str">
        <f>IF(TableRelationships12[[#This Row],[Rank Pedro]]="Low","Pink",IF(TableRelationships12[[#This Row],[Rank Pedro]]="Medium","Purple",IF(TableRelationships12[[#This Row],[Rank Pedro]]="High","Brown","")))</f>
        <v/>
      </c>
      <c r="V1835" s="4" t="e">
        <f>MAX(INDEX(Standards!$F$2:$F$296,MATCH(B1835,Standards!$B$2:$B$296,0)),INDEX(Standards!$F$2:$F$296,MATCH(C1835,Standards!$B$2:$B$296,0)))</f>
        <v>#N/A</v>
      </c>
      <c r="W1835" t="str">
        <f t="shared" si="86"/>
        <v>#2f89d1</v>
      </c>
    </row>
    <row r="1836" spans="1:23" x14ac:dyDescent="0.5">
      <c r="A1836" s="54">
        <v>1835</v>
      </c>
      <c r="B1836" s="118" t="s">
        <v>1687</v>
      </c>
      <c r="C1836" t="s">
        <v>527</v>
      </c>
      <c r="D1836" s="1" t="s">
        <v>1678</v>
      </c>
      <c r="E1836" s="112" t="s">
        <v>1681</v>
      </c>
      <c r="F1836" s="112" t="s">
        <v>1681</v>
      </c>
      <c r="G1836" s="121" t="s">
        <v>1914</v>
      </c>
      <c r="H1836">
        <f>INDEX('GIS-Standards'!$A$2:$A$305,MATCH(B1836,'GIS-Standards'!$B$2:$B$305,0))</f>
        <v>85</v>
      </c>
      <c r="I1836" t="e">
        <f>INDEX('GIS-Standards'!$A$2:$A$305,MATCH(C1836,'GIS-Standards'!$B$2:$B$305,0))</f>
        <v>#N/A</v>
      </c>
      <c r="J1836" t="str">
        <f>INDEX('GIS-Standards'!$O$2:$O$305,MATCH(B1836,'GIS-Standards'!$B$2:$B$305,0))</f>
        <v>ISO/TC 268/SC 1</v>
      </c>
      <c r="K1836" t="e">
        <f>INDEX('GIS-Standards'!$O$2:$O$305,MATCH(C1836,'GIS-Standards'!$B$2:$B$305,0))</f>
        <v>#N/A</v>
      </c>
      <c r="M1836" t="s">
        <v>237</v>
      </c>
      <c r="N1836">
        <f>INDEX('GIS-Standards'!$I$2:$I$305,MATCH(B1836,'GIS-Standards'!$B$2:$B$305,0))</f>
        <v>0</v>
      </c>
      <c r="O1836" t="e">
        <f>INDEX('GIS-Standards'!$I$2:$I$305,MATCH(C1836,'GIS-Standards'!$B$2:$B$305,0))</f>
        <v>#N/A</v>
      </c>
      <c r="P1836" t="e">
        <f>AND(TableRelationships12[[#This Row],[Source Type]]="BIM",TableRelationships12[[#This Row],[Target Type]]="BIM")</f>
        <v>#N/A</v>
      </c>
      <c r="Q1836">
        <f t="shared" si="84"/>
        <v>2</v>
      </c>
      <c r="S1836">
        <f t="shared" si="85"/>
        <v>1</v>
      </c>
      <c r="T1836" s="102" t="str">
        <f>IF(TableRelationships12[[#This Row],[Rank Pedro]]="Low","linkCategory1",IF(TableRelationships12[[#This Row],[Rank Pedro]]="Medium","linkCategory2",IF(TableRelationships12[[#This Row],[Rank Pedro]]="High","linkCategory3","")))</f>
        <v/>
      </c>
      <c r="U1836" s="102" t="str">
        <f>IF(TableRelationships12[[#This Row],[Rank Pedro]]="Low","Pink",IF(TableRelationships12[[#This Row],[Rank Pedro]]="Medium","Purple",IF(TableRelationships12[[#This Row],[Rank Pedro]]="High","Brown","")))</f>
        <v/>
      </c>
      <c r="V1836" s="4" t="e">
        <f>MAX(INDEX(Standards!$F$2:$F$296,MATCH(B1836,Standards!$B$2:$B$296,0)),INDEX(Standards!$F$2:$F$296,MATCH(C1836,Standards!$B$2:$B$296,0)))</f>
        <v>#N/A</v>
      </c>
      <c r="W1836">
        <f t="shared" si="86"/>
        <v>1</v>
      </c>
    </row>
    <row r="1837" spans="1:23" x14ac:dyDescent="0.5">
      <c r="A1837" s="54">
        <v>1836</v>
      </c>
      <c r="B1837" s="90" t="s">
        <v>1357</v>
      </c>
      <c r="C1837" t="s">
        <v>527</v>
      </c>
      <c r="D1837" s="1"/>
      <c r="E1837" s="112">
        <v>2004.05</v>
      </c>
      <c r="F1837" s="112">
        <v>2023.11</v>
      </c>
      <c r="G1837" s="121" t="s">
        <v>1503</v>
      </c>
      <c r="H1837">
        <f>INDEX('GIS-Standards'!$A$2:$A$305,MATCH(B1837,'GIS-Standards'!$B$2:$B$305,0))</f>
        <v>86</v>
      </c>
      <c r="I1837" t="e">
        <f>INDEX('GIS-Standards'!$A$2:$A$305,MATCH(C1837,'GIS-Standards'!$B$2:$B$305,0))</f>
        <v>#N/A</v>
      </c>
      <c r="J1837" t="str">
        <f>INDEX('GIS-Standards'!$O$2:$O$305,MATCH(B1837,'GIS-Standards'!$B$2:$B$305,0))</f>
        <v>ISO/IEC JTC 1/SC 29</v>
      </c>
      <c r="K1837" t="e">
        <f>INDEX('GIS-Standards'!$O$2:$O$305,MATCH(C1837,'GIS-Standards'!$B$2:$B$305,0))</f>
        <v>#N/A</v>
      </c>
      <c r="M1837" t="s">
        <v>237</v>
      </c>
      <c r="N1837">
        <f>INDEX('GIS-Standards'!$I$2:$I$305,MATCH(B1837,'GIS-Standards'!$B$2:$B$305,0))</f>
        <v>0</v>
      </c>
      <c r="O1837" t="e">
        <f>INDEX('GIS-Standards'!$I$2:$I$305,MATCH(C1837,'GIS-Standards'!$B$2:$B$305,0))</f>
        <v>#N/A</v>
      </c>
      <c r="P1837" t="e">
        <f>AND(TableRelationships12[[#This Row],[Source Type]]="BIM",TableRelationships12[[#This Row],[Target Type]]="BIM")</f>
        <v>#N/A</v>
      </c>
      <c r="Q1837">
        <f t="shared" si="84"/>
        <v>2</v>
      </c>
      <c r="S1837">
        <f t="shared" si="85"/>
        <v>1</v>
      </c>
      <c r="T1837" s="102" t="str">
        <f>IF(TableRelationships12[[#This Row],[Rank Pedro]]="Low","linkCategory1",IF(TableRelationships12[[#This Row],[Rank Pedro]]="Medium","linkCategory2",IF(TableRelationships12[[#This Row],[Rank Pedro]]="High","linkCategory3","")))</f>
        <v/>
      </c>
      <c r="U1837" s="102" t="str">
        <f>IF(TableRelationships12[[#This Row],[Rank Pedro]]="Low","Pink",IF(TableRelationships12[[#This Row],[Rank Pedro]]="Medium","Purple",IF(TableRelationships12[[#This Row],[Rank Pedro]]="High","Brown","")))</f>
        <v/>
      </c>
      <c r="V1837" s="4" t="e">
        <f>MAX(INDEX(Standards!$F$2:$F$296,MATCH(B1837,Standards!$B$2:$B$296,0)),INDEX(Standards!$F$2:$F$296,MATCH(C1837,Standards!$B$2:$B$296,0)))</f>
        <v>#N/A</v>
      </c>
      <c r="W1837">
        <f t="shared" si="86"/>
        <v>1</v>
      </c>
    </row>
    <row r="1838" spans="1:23" x14ac:dyDescent="0.5">
      <c r="A1838" s="54">
        <v>1837</v>
      </c>
      <c r="B1838" s="90" t="s">
        <v>1357</v>
      </c>
      <c r="C1838" t="s">
        <v>398</v>
      </c>
      <c r="D1838" s="1"/>
      <c r="E1838" s="112">
        <v>1994.02</v>
      </c>
      <c r="F1838" s="112">
        <v>2005.02</v>
      </c>
      <c r="G1838" s="107" t="s">
        <v>1503</v>
      </c>
      <c r="H1838">
        <f>INDEX('GIS-Standards'!$A$2:$A$305,MATCH(B1838,'GIS-Standards'!$B$2:$B$305,0))</f>
        <v>86</v>
      </c>
      <c r="I1838" t="e">
        <f>INDEX('GIS-Standards'!$A$2:$A$305,MATCH(C1838,'GIS-Standards'!$B$2:$B$305,0))</f>
        <v>#N/A</v>
      </c>
      <c r="J1838" t="str">
        <f>INDEX('GIS-Standards'!$O$2:$O$305,MATCH(B1838,'GIS-Standards'!$B$2:$B$305,0))</f>
        <v>ISO/IEC JTC 1/SC 29</v>
      </c>
      <c r="K1838" t="e">
        <f>INDEX('GIS-Standards'!$O$2:$O$305,MATCH(C1838,'GIS-Standards'!$B$2:$B$305,0))</f>
        <v>#N/A</v>
      </c>
      <c r="M1838" t="s">
        <v>524</v>
      </c>
      <c r="N1838">
        <f>INDEX('GIS-Standards'!$I$2:$I$305,MATCH(B1838,'GIS-Standards'!$B$2:$B$305,0))</f>
        <v>0</v>
      </c>
      <c r="O1838" t="e">
        <f>INDEX('GIS-Standards'!$I$2:$I$305,MATCH(C1838,'GIS-Standards'!$B$2:$B$305,0))</f>
        <v>#N/A</v>
      </c>
      <c r="P1838" t="e">
        <f>AND(TableRelationships12[[#This Row],[Source Type]]="BIM",TableRelationships12[[#This Row],[Target Type]]="BIM")</f>
        <v>#N/A</v>
      </c>
      <c r="Q1838">
        <f t="shared" si="84"/>
        <v>6</v>
      </c>
      <c r="S1838">
        <f t="shared" si="85"/>
        <v>1</v>
      </c>
      <c r="T1838" s="102" t="str">
        <f>IF(TableRelationships12[[#This Row],[Rank Pedro]]="Low","linkCategory1",IF(TableRelationships12[[#This Row],[Rank Pedro]]="Medium","linkCategory2",IF(TableRelationships12[[#This Row],[Rank Pedro]]="High","linkCategory3","")))</f>
        <v/>
      </c>
      <c r="U1838" s="102" t="str">
        <f>IF(TableRelationships12[[#This Row],[Rank Pedro]]="Low","Pink",IF(TableRelationships12[[#This Row],[Rank Pedro]]="Medium","Purple",IF(TableRelationships12[[#This Row],[Rank Pedro]]="High","Brown","")))</f>
        <v/>
      </c>
      <c r="V1838" s="4" t="e">
        <f>MAX(INDEX(Standards!$F$2:$F$296,MATCH(B1838,Standards!$B$2:$B$296,0)),INDEX(Standards!$F$2:$F$296,MATCH(C1838,Standards!$B$2:$B$296,0)))</f>
        <v>#N/A</v>
      </c>
      <c r="W1838" t="str">
        <f t="shared" si="86"/>
        <v>#d6bf2a</v>
      </c>
    </row>
    <row r="1839" spans="1:23" x14ac:dyDescent="0.5">
      <c r="A1839" s="54">
        <v>1838</v>
      </c>
      <c r="B1839" s="90" t="s">
        <v>1357</v>
      </c>
      <c r="C1839" t="s">
        <v>1343</v>
      </c>
      <c r="D1839" s="1"/>
      <c r="E1839" s="112">
        <v>1993.12</v>
      </c>
      <c r="F1839" s="112">
        <v>2001.12</v>
      </c>
      <c r="G1839" s="107" t="s">
        <v>1503</v>
      </c>
      <c r="H1839">
        <f>INDEX('GIS-Standards'!$A$2:$A$305,MATCH(B1839,'GIS-Standards'!$B$2:$B$305,0))</f>
        <v>86</v>
      </c>
      <c r="I1839" t="e">
        <f>INDEX('GIS-Standards'!$A$2:$A$305,MATCH(C1839,'GIS-Standards'!$B$2:$B$305,0))</f>
        <v>#N/A</v>
      </c>
      <c r="J1839" t="str">
        <f>INDEX('GIS-Standards'!$O$2:$O$305,MATCH(B1839,'GIS-Standards'!$B$2:$B$305,0))</f>
        <v>ISO/IEC JTC 1/SC 29</v>
      </c>
      <c r="K1839" t="e">
        <f>INDEX('GIS-Standards'!$O$2:$O$305,MATCH(C1839,'GIS-Standards'!$B$2:$B$305,0))</f>
        <v>#N/A</v>
      </c>
      <c r="M1839" t="s">
        <v>524</v>
      </c>
      <c r="N1839">
        <f>INDEX('GIS-Standards'!$I$2:$I$305,MATCH(B1839,'GIS-Standards'!$B$2:$B$305,0))</f>
        <v>0</v>
      </c>
      <c r="O1839" t="e">
        <f>INDEX('GIS-Standards'!$I$2:$I$305,MATCH(C1839,'GIS-Standards'!$B$2:$B$305,0))</f>
        <v>#N/A</v>
      </c>
      <c r="P1839" t="e">
        <f>AND(TableRelationships12[[#This Row],[Source Type]]="BIM",TableRelationships12[[#This Row],[Target Type]]="BIM")</f>
        <v>#N/A</v>
      </c>
      <c r="Q1839">
        <f t="shared" si="84"/>
        <v>6</v>
      </c>
      <c r="S1839">
        <f t="shared" si="85"/>
        <v>1</v>
      </c>
      <c r="T1839" s="102" t="str">
        <f>IF(TableRelationships12[[#This Row],[Rank Pedro]]="Low","linkCategory1",IF(TableRelationships12[[#This Row],[Rank Pedro]]="Medium","linkCategory2",IF(TableRelationships12[[#This Row],[Rank Pedro]]="High","linkCategory3","")))</f>
        <v/>
      </c>
      <c r="U1839" s="102" t="str">
        <f>IF(TableRelationships12[[#This Row],[Rank Pedro]]="Low","Pink",IF(TableRelationships12[[#This Row],[Rank Pedro]]="Medium","Purple",IF(TableRelationships12[[#This Row],[Rank Pedro]]="High","Brown","")))</f>
        <v/>
      </c>
      <c r="V1839" s="4" t="e">
        <f>MAX(INDEX(Standards!$F$2:$F$296,MATCH(B1839,Standards!$B$2:$B$296,0)),INDEX(Standards!$F$2:$F$296,MATCH(C1839,Standards!$B$2:$B$296,0)))</f>
        <v>#N/A</v>
      </c>
      <c r="W1839" t="str">
        <f t="shared" si="86"/>
        <v>#d6bf2a</v>
      </c>
    </row>
    <row r="1840" spans="1:23" x14ac:dyDescent="0.5">
      <c r="A1840" s="54">
        <v>1839</v>
      </c>
      <c r="B1840" s="90" t="s">
        <v>1357</v>
      </c>
      <c r="C1840" t="s">
        <v>1623</v>
      </c>
      <c r="D1840" s="1"/>
      <c r="E1840" s="112">
        <v>1997.05</v>
      </c>
      <c r="F1840" s="112">
        <v>1999.12</v>
      </c>
      <c r="G1840" s="107" t="s">
        <v>1503</v>
      </c>
      <c r="H1840">
        <f>INDEX('GIS-Standards'!$A$2:$A$305,MATCH(B1840,'GIS-Standards'!$B$2:$B$305,0))</f>
        <v>86</v>
      </c>
      <c r="I1840" t="e">
        <f>INDEX('GIS-Standards'!$A$2:$A$305,MATCH(C1840,'GIS-Standards'!$B$2:$B$305,0))</f>
        <v>#N/A</v>
      </c>
      <c r="J1840" t="str">
        <f>INDEX('GIS-Standards'!$O$2:$O$305,MATCH(B1840,'GIS-Standards'!$B$2:$B$305,0))</f>
        <v>ISO/IEC JTC 1/SC 29</v>
      </c>
      <c r="K1840" t="e">
        <f>INDEX('GIS-Standards'!$O$2:$O$305,MATCH(C1840,'GIS-Standards'!$B$2:$B$305,0))</f>
        <v>#N/A</v>
      </c>
      <c r="M1840" t="s">
        <v>524</v>
      </c>
      <c r="N1840">
        <f>INDEX('GIS-Standards'!$I$2:$I$305,MATCH(B1840,'GIS-Standards'!$B$2:$B$305,0))</f>
        <v>0</v>
      </c>
      <c r="O1840" t="e">
        <f>INDEX('GIS-Standards'!$I$2:$I$305,MATCH(C1840,'GIS-Standards'!$B$2:$B$305,0))</f>
        <v>#N/A</v>
      </c>
      <c r="P1840" t="e">
        <f>AND(TableRelationships12[[#This Row],[Source Type]]="BIM",TableRelationships12[[#This Row],[Target Type]]="BIM")</f>
        <v>#N/A</v>
      </c>
      <c r="Q1840">
        <f t="shared" si="84"/>
        <v>6</v>
      </c>
      <c r="S1840">
        <f t="shared" si="85"/>
        <v>1</v>
      </c>
      <c r="T1840" s="102" t="str">
        <f>IF(TableRelationships12[[#This Row],[Rank Pedro]]="Low","linkCategory1",IF(TableRelationships12[[#This Row],[Rank Pedro]]="Medium","linkCategory2",IF(TableRelationships12[[#This Row],[Rank Pedro]]="High","linkCategory3","")))</f>
        <v/>
      </c>
      <c r="U1840" s="102" t="str">
        <f>IF(TableRelationships12[[#This Row],[Rank Pedro]]="Low","Pink",IF(TableRelationships12[[#This Row],[Rank Pedro]]="Medium","Purple",IF(TableRelationships12[[#This Row],[Rank Pedro]]="High","Brown","")))</f>
        <v/>
      </c>
      <c r="V1840" s="4" t="e">
        <f>MAX(INDEX(Standards!$F$2:$F$296,MATCH(B1840,Standards!$B$2:$B$296,0)),INDEX(Standards!$F$2:$F$296,MATCH(C1840,Standards!$B$2:$B$296,0)))</f>
        <v>#N/A</v>
      </c>
      <c r="W1840" t="str">
        <f t="shared" si="86"/>
        <v>#d6bf2a</v>
      </c>
    </row>
    <row r="1841" spans="1:23" x14ac:dyDescent="0.5">
      <c r="A1841" s="54">
        <v>1840</v>
      </c>
      <c r="B1841" s="90" t="s">
        <v>1357</v>
      </c>
      <c r="C1841" t="s">
        <v>1263</v>
      </c>
      <c r="D1841" s="1"/>
      <c r="E1841" s="112">
        <v>2000.12</v>
      </c>
      <c r="F1841" s="112">
        <v>2024.11</v>
      </c>
      <c r="G1841" s="107" t="s">
        <v>1503</v>
      </c>
      <c r="H1841">
        <f>INDEX('GIS-Standards'!$A$2:$A$305,MATCH(B1841,'GIS-Standards'!$B$2:$B$305,0))</f>
        <v>86</v>
      </c>
      <c r="I1841" t="e">
        <f>INDEX('GIS-Standards'!$A$2:$A$305,MATCH(C1841,'GIS-Standards'!$B$2:$B$305,0))</f>
        <v>#N/A</v>
      </c>
      <c r="J1841" t="str">
        <f>INDEX('GIS-Standards'!$O$2:$O$305,MATCH(B1841,'GIS-Standards'!$B$2:$B$305,0))</f>
        <v>ISO/IEC JTC 1/SC 29</v>
      </c>
      <c r="K1841" t="e">
        <f>INDEX('GIS-Standards'!$O$2:$O$305,MATCH(C1841,'GIS-Standards'!$B$2:$B$305,0))</f>
        <v>#N/A</v>
      </c>
      <c r="M1841" t="s">
        <v>524</v>
      </c>
      <c r="N1841">
        <f>INDEX('GIS-Standards'!$I$2:$I$305,MATCH(B1841,'GIS-Standards'!$B$2:$B$305,0))</f>
        <v>0</v>
      </c>
      <c r="O1841" t="e">
        <f>INDEX('GIS-Standards'!$I$2:$I$305,MATCH(C1841,'GIS-Standards'!$B$2:$B$305,0))</f>
        <v>#N/A</v>
      </c>
      <c r="P1841" t="e">
        <f>AND(TableRelationships12[[#This Row],[Source Type]]="BIM",TableRelationships12[[#This Row],[Target Type]]="BIM")</f>
        <v>#N/A</v>
      </c>
      <c r="Q1841">
        <f t="shared" si="84"/>
        <v>6</v>
      </c>
      <c r="S1841">
        <f t="shared" si="85"/>
        <v>1</v>
      </c>
      <c r="T1841" s="102" t="str">
        <f>IF(TableRelationships12[[#This Row],[Rank Pedro]]="Low","linkCategory1",IF(TableRelationships12[[#This Row],[Rank Pedro]]="Medium","linkCategory2",IF(TableRelationships12[[#This Row],[Rank Pedro]]="High","linkCategory3","")))</f>
        <v/>
      </c>
      <c r="U1841" s="102" t="str">
        <f>IF(TableRelationships12[[#This Row],[Rank Pedro]]="Low","Pink",IF(TableRelationships12[[#This Row],[Rank Pedro]]="Medium","Purple",IF(TableRelationships12[[#This Row],[Rank Pedro]]="High","Brown","")))</f>
        <v/>
      </c>
      <c r="V1841" s="4" t="e">
        <f>MAX(INDEX(Standards!$F$2:$F$296,MATCH(B1841,Standards!$B$2:$B$296,0)),INDEX(Standards!$F$2:$F$296,MATCH(C1841,Standards!$B$2:$B$296,0)))</f>
        <v>#N/A</v>
      </c>
      <c r="W1841" t="str">
        <f t="shared" si="86"/>
        <v>#d6bf2a</v>
      </c>
    </row>
    <row r="1842" spans="1:23" x14ac:dyDescent="0.5">
      <c r="A1842" s="54">
        <v>1841</v>
      </c>
      <c r="B1842" s="90" t="s">
        <v>1357</v>
      </c>
      <c r="C1842" t="s">
        <v>1887</v>
      </c>
      <c r="D1842" s="1"/>
      <c r="E1842" s="112">
        <v>2003.1</v>
      </c>
      <c r="F1842" s="112">
        <v>2003.1</v>
      </c>
      <c r="G1842" s="107" t="s">
        <v>1503</v>
      </c>
      <c r="H1842">
        <f>INDEX('GIS-Standards'!$A$2:$A$305,MATCH(B1842,'GIS-Standards'!$B$2:$B$305,0))</f>
        <v>86</v>
      </c>
      <c r="I1842" t="e">
        <f>INDEX('GIS-Standards'!$A$2:$A$305,MATCH(C1842,'GIS-Standards'!$B$2:$B$305,0))</f>
        <v>#N/A</v>
      </c>
      <c r="J1842" t="str">
        <f>INDEX('GIS-Standards'!$O$2:$O$305,MATCH(B1842,'GIS-Standards'!$B$2:$B$305,0))</f>
        <v>ISO/IEC JTC 1/SC 29</v>
      </c>
      <c r="K1842" t="e">
        <f>INDEX('GIS-Standards'!$O$2:$O$305,MATCH(C1842,'GIS-Standards'!$B$2:$B$305,0))</f>
        <v>#N/A</v>
      </c>
      <c r="M1842" t="s">
        <v>524</v>
      </c>
      <c r="N1842">
        <f>INDEX('GIS-Standards'!$I$2:$I$305,MATCH(B1842,'GIS-Standards'!$B$2:$B$305,0))</f>
        <v>0</v>
      </c>
      <c r="O1842" t="e">
        <f>INDEX('GIS-Standards'!$I$2:$I$305,MATCH(C1842,'GIS-Standards'!$B$2:$B$305,0))</f>
        <v>#N/A</v>
      </c>
      <c r="P1842" t="e">
        <f>AND(TableRelationships12[[#This Row],[Source Type]]="BIM",TableRelationships12[[#This Row],[Target Type]]="BIM")</f>
        <v>#N/A</v>
      </c>
      <c r="Q1842">
        <f t="shared" si="84"/>
        <v>6</v>
      </c>
      <c r="S1842">
        <f t="shared" si="85"/>
        <v>1</v>
      </c>
      <c r="T1842" s="102" t="str">
        <f>IF(TableRelationships12[[#This Row],[Rank Pedro]]="Low","linkCategory1",IF(TableRelationships12[[#This Row],[Rank Pedro]]="Medium","linkCategory2",IF(TableRelationships12[[#This Row],[Rank Pedro]]="High","linkCategory3","")))</f>
        <v/>
      </c>
      <c r="U1842" s="102" t="str">
        <f>IF(TableRelationships12[[#This Row],[Rank Pedro]]="Low","Pink",IF(TableRelationships12[[#This Row],[Rank Pedro]]="Medium","Purple",IF(TableRelationships12[[#This Row],[Rank Pedro]]="High","Brown","")))</f>
        <v/>
      </c>
      <c r="V1842" s="4" t="e">
        <f>MAX(INDEX(Standards!$F$2:$F$296,MATCH(B1842,Standards!$B$2:$B$296,0)),INDEX(Standards!$F$2:$F$296,MATCH(C1842,Standards!$B$2:$B$296,0)))</f>
        <v>#N/A</v>
      </c>
      <c r="W1842" t="str">
        <f t="shared" si="86"/>
        <v>#d6bf2a</v>
      </c>
    </row>
    <row r="1843" spans="1:23" x14ac:dyDescent="0.5">
      <c r="A1843" s="54">
        <v>1842</v>
      </c>
      <c r="B1843" s="90" t="s">
        <v>1357</v>
      </c>
      <c r="C1843" t="s">
        <v>1888</v>
      </c>
      <c r="D1843" s="1"/>
      <c r="E1843" s="112">
        <v>2019.1</v>
      </c>
      <c r="F1843" s="112">
        <v>2019.1</v>
      </c>
      <c r="G1843" s="107" t="s">
        <v>1503</v>
      </c>
      <c r="H1843">
        <f>INDEX('GIS-Standards'!$A$2:$A$305,MATCH(B1843,'GIS-Standards'!$B$2:$B$305,0))</f>
        <v>86</v>
      </c>
      <c r="I1843" t="e">
        <f>INDEX('GIS-Standards'!$A$2:$A$305,MATCH(C1843,'GIS-Standards'!$B$2:$B$305,0))</f>
        <v>#N/A</v>
      </c>
      <c r="J1843" t="str">
        <f>INDEX('GIS-Standards'!$O$2:$O$305,MATCH(B1843,'GIS-Standards'!$B$2:$B$305,0))</f>
        <v>ISO/IEC JTC 1/SC 29</v>
      </c>
      <c r="K1843" t="e">
        <f>INDEX('GIS-Standards'!$O$2:$O$305,MATCH(C1843,'GIS-Standards'!$B$2:$B$305,0))</f>
        <v>#N/A</v>
      </c>
      <c r="M1843" t="s">
        <v>524</v>
      </c>
      <c r="N1843">
        <f>INDEX('GIS-Standards'!$I$2:$I$305,MATCH(B1843,'GIS-Standards'!$B$2:$B$305,0))</f>
        <v>0</v>
      </c>
      <c r="O1843" t="e">
        <f>INDEX('GIS-Standards'!$I$2:$I$305,MATCH(C1843,'GIS-Standards'!$B$2:$B$305,0))</f>
        <v>#N/A</v>
      </c>
      <c r="P1843" t="e">
        <f>AND(TableRelationships12[[#This Row],[Source Type]]="BIM",TableRelationships12[[#This Row],[Target Type]]="BIM")</f>
        <v>#N/A</v>
      </c>
      <c r="Q1843">
        <f t="shared" si="84"/>
        <v>6</v>
      </c>
      <c r="S1843">
        <f t="shared" si="85"/>
        <v>1</v>
      </c>
      <c r="T1843" s="102" t="str">
        <f>IF(TableRelationships12[[#This Row],[Rank Pedro]]="Low","linkCategory1",IF(TableRelationships12[[#This Row],[Rank Pedro]]="Medium","linkCategory2",IF(TableRelationships12[[#This Row],[Rank Pedro]]="High","linkCategory3","")))</f>
        <v/>
      </c>
      <c r="U1843" s="102" t="str">
        <f>IF(TableRelationships12[[#This Row],[Rank Pedro]]="Low","Pink",IF(TableRelationships12[[#This Row],[Rank Pedro]]="Medium","Purple",IF(TableRelationships12[[#This Row],[Rank Pedro]]="High","Brown","")))</f>
        <v/>
      </c>
      <c r="V1843" s="4" t="e">
        <f>MAX(INDEX(Standards!$F$2:$F$296,MATCH(B1843,Standards!$B$2:$B$296,0)),INDEX(Standards!$F$2:$F$296,MATCH(C1843,Standards!$B$2:$B$296,0)))</f>
        <v>#N/A</v>
      </c>
      <c r="W1843" t="str">
        <f t="shared" si="86"/>
        <v>#d6bf2a</v>
      </c>
    </row>
    <row r="1844" spans="1:23" x14ac:dyDescent="0.5">
      <c r="A1844" s="54">
        <v>1843</v>
      </c>
      <c r="B1844" s="90" t="s">
        <v>1357</v>
      </c>
      <c r="C1844" t="s">
        <v>1889</v>
      </c>
      <c r="D1844" s="1"/>
      <c r="E1844" s="112">
        <v>2008.11</v>
      </c>
      <c r="F1844" s="112">
        <v>2021.08</v>
      </c>
      <c r="G1844" s="107" t="s">
        <v>1513</v>
      </c>
      <c r="H1844">
        <f>INDEX('GIS-Standards'!$A$2:$A$305,MATCH(B1844,'GIS-Standards'!$B$2:$B$305,0))</f>
        <v>86</v>
      </c>
      <c r="I1844" t="e">
        <f>INDEX('GIS-Standards'!$A$2:$A$305,MATCH(C1844,'GIS-Standards'!$B$2:$B$305,0))</f>
        <v>#N/A</v>
      </c>
      <c r="J1844" t="str">
        <f>INDEX('GIS-Standards'!$O$2:$O$305,MATCH(B1844,'GIS-Standards'!$B$2:$B$305,0))</f>
        <v>ISO/IEC JTC 1/SC 29</v>
      </c>
      <c r="K1844" t="e">
        <f>INDEX('GIS-Standards'!$O$2:$O$305,MATCH(C1844,'GIS-Standards'!$B$2:$B$305,0))</f>
        <v>#N/A</v>
      </c>
      <c r="M1844" t="s">
        <v>524</v>
      </c>
      <c r="N1844">
        <f>INDEX('GIS-Standards'!$I$2:$I$305,MATCH(B1844,'GIS-Standards'!$B$2:$B$305,0))</f>
        <v>0</v>
      </c>
      <c r="O1844" t="e">
        <f>INDEX('GIS-Standards'!$I$2:$I$305,MATCH(C1844,'GIS-Standards'!$B$2:$B$305,0))</f>
        <v>#N/A</v>
      </c>
      <c r="P1844" t="e">
        <f>AND(TableRelationships12[[#This Row],[Source Type]]="BIM",TableRelationships12[[#This Row],[Target Type]]="BIM")</f>
        <v>#N/A</v>
      </c>
      <c r="Q1844">
        <f t="shared" si="84"/>
        <v>6</v>
      </c>
      <c r="S1844">
        <f t="shared" si="85"/>
        <v>1</v>
      </c>
      <c r="T1844" s="102" t="str">
        <f>IF(TableRelationships12[[#This Row],[Rank Pedro]]="Low","linkCategory1",IF(TableRelationships12[[#This Row],[Rank Pedro]]="Medium","linkCategory2",IF(TableRelationships12[[#This Row],[Rank Pedro]]="High","linkCategory3","")))</f>
        <v/>
      </c>
      <c r="U1844" s="102" t="str">
        <f>IF(TableRelationships12[[#This Row],[Rank Pedro]]="Low","Pink",IF(TableRelationships12[[#This Row],[Rank Pedro]]="Medium","Purple",IF(TableRelationships12[[#This Row],[Rank Pedro]]="High","Brown","")))</f>
        <v/>
      </c>
      <c r="V1844" s="4" t="e">
        <f>MAX(INDEX(Standards!$F$2:$F$296,MATCH(B1844,Standards!$B$2:$B$296,0)),INDEX(Standards!$F$2:$F$296,MATCH(C1844,Standards!$B$2:$B$296,0)))</f>
        <v>#N/A</v>
      </c>
      <c r="W1844" t="str">
        <f t="shared" si="86"/>
        <v>#d6bf2a</v>
      </c>
    </row>
    <row r="1845" spans="1:23" x14ac:dyDescent="0.5">
      <c r="A1845" s="54">
        <v>1844</v>
      </c>
      <c r="B1845" s="90" t="s">
        <v>1357</v>
      </c>
      <c r="C1845" t="s">
        <v>1890</v>
      </c>
      <c r="D1845" s="1"/>
      <c r="G1845" s="107"/>
      <c r="H1845">
        <f>INDEX('GIS-Standards'!$A$2:$A$305,MATCH(B1845,'GIS-Standards'!$B$2:$B$305,0))</f>
        <v>86</v>
      </c>
      <c r="I1845" t="e">
        <f>INDEX('GIS-Standards'!$A$2:$A$305,MATCH(C1845,'GIS-Standards'!$B$2:$B$305,0))</f>
        <v>#N/A</v>
      </c>
      <c r="J1845" t="str">
        <f>INDEX('GIS-Standards'!$O$2:$O$305,MATCH(B1845,'GIS-Standards'!$B$2:$B$305,0))</f>
        <v>ISO/IEC JTC 1/SC 29</v>
      </c>
      <c r="K1845" t="e">
        <f>INDEX('GIS-Standards'!$O$2:$O$305,MATCH(C1845,'GIS-Standards'!$B$2:$B$305,0))</f>
        <v>#N/A</v>
      </c>
      <c r="M1845" t="s">
        <v>524</v>
      </c>
      <c r="N1845">
        <f>INDEX('GIS-Standards'!$I$2:$I$305,MATCH(B1845,'GIS-Standards'!$B$2:$B$305,0))</f>
        <v>0</v>
      </c>
      <c r="O1845" t="e">
        <f>INDEX('GIS-Standards'!$I$2:$I$305,MATCH(C1845,'GIS-Standards'!$B$2:$B$305,0))</f>
        <v>#N/A</v>
      </c>
      <c r="P1845" t="e">
        <f>AND(TableRelationships12[[#This Row],[Source Type]]="BIM",TableRelationships12[[#This Row],[Target Type]]="BIM")</f>
        <v>#N/A</v>
      </c>
      <c r="Q1845">
        <f t="shared" si="84"/>
        <v>6</v>
      </c>
      <c r="S1845">
        <f t="shared" si="85"/>
        <v>1</v>
      </c>
      <c r="T1845" s="102" t="str">
        <f>IF(TableRelationships12[[#This Row],[Rank Pedro]]="Low","linkCategory1",IF(TableRelationships12[[#This Row],[Rank Pedro]]="Medium","linkCategory2",IF(TableRelationships12[[#This Row],[Rank Pedro]]="High","linkCategory3","")))</f>
        <v/>
      </c>
      <c r="U1845" s="102" t="str">
        <f>IF(TableRelationships12[[#This Row],[Rank Pedro]]="Low","Pink",IF(TableRelationships12[[#This Row],[Rank Pedro]]="Medium","Purple",IF(TableRelationships12[[#This Row],[Rank Pedro]]="High","Brown","")))</f>
        <v/>
      </c>
      <c r="V1845" s="4" t="e">
        <f>MAX(INDEX(Standards!$F$2:$F$296,MATCH(B1845,Standards!$B$2:$B$296,0)),INDEX(Standards!$F$2:$F$296,MATCH(C1845,Standards!$B$2:$B$296,0)))</f>
        <v>#N/A</v>
      </c>
      <c r="W1845" t="str">
        <f t="shared" si="86"/>
        <v>#d6bf2a</v>
      </c>
    </row>
    <row r="1846" spans="1:23" x14ac:dyDescent="0.5">
      <c r="A1846" s="54">
        <v>1845</v>
      </c>
      <c r="B1846" s="90" t="s">
        <v>1357</v>
      </c>
      <c r="C1846" t="s">
        <v>1891</v>
      </c>
      <c r="D1846" s="1"/>
      <c r="E1846" s="112">
        <v>2013.07</v>
      </c>
      <c r="F1846" s="112">
        <v>2025.02</v>
      </c>
      <c r="G1846" s="107" t="s">
        <v>1506</v>
      </c>
      <c r="H1846">
        <f>INDEX('GIS-Standards'!$A$2:$A$305,MATCH(B1846,'GIS-Standards'!$B$2:$B$305,0))</f>
        <v>86</v>
      </c>
      <c r="I1846" t="e">
        <f>INDEX('GIS-Standards'!$A$2:$A$305,MATCH(C1846,'GIS-Standards'!$B$2:$B$305,0))</f>
        <v>#N/A</v>
      </c>
      <c r="J1846" t="str">
        <f>INDEX('GIS-Standards'!$O$2:$O$305,MATCH(B1846,'GIS-Standards'!$B$2:$B$305,0))</f>
        <v>ISO/IEC JTC 1/SC 29</v>
      </c>
      <c r="K1846" t="e">
        <f>INDEX('GIS-Standards'!$O$2:$O$305,MATCH(C1846,'GIS-Standards'!$B$2:$B$305,0))</f>
        <v>#N/A</v>
      </c>
      <c r="M1846" t="s">
        <v>524</v>
      </c>
      <c r="N1846">
        <f>INDEX('GIS-Standards'!$I$2:$I$305,MATCH(B1846,'GIS-Standards'!$B$2:$B$305,0))</f>
        <v>0</v>
      </c>
      <c r="O1846" t="e">
        <f>INDEX('GIS-Standards'!$I$2:$I$305,MATCH(C1846,'GIS-Standards'!$B$2:$B$305,0))</f>
        <v>#N/A</v>
      </c>
      <c r="P1846" t="e">
        <f>AND(TableRelationships12[[#This Row],[Source Type]]="BIM",TableRelationships12[[#This Row],[Target Type]]="BIM")</f>
        <v>#N/A</v>
      </c>
      <c r="Q1846">
        <f t="shared" si="84"/>
        <v>6</v>
      </c>
      <c r="S1846">
        <f t="shared" si="85"/>
        <v>1</v>
      </c>
      <c r="T1846" s="102" t="str">
        <f>IF(TableRelationships12[[#This Row],[Rank Pedro]]="Low","linkCategory1",IF(TableRelationships12[[#This Row],[Rank Pedro]]="Medium","linkCategory2",IF(TableRelationships12[[#This Row],[Rank Pedro]]="High","linkCategory3","")))</f>
        <v/>
      </c>
      <c r="U1846" s="102" t="str">
        <f>IF(TableRelationships12[[#This Row],[Rank Pedro]]="Low","Pink",IF(TableRelationships12[[#This Row],[Rank Pedro]]="Medium","Purple",IF(TableRelationships12[[#This Row],[Rank Pedro]]="High","Brown","")))</f>
        <v/>
      </c>
      <c r="V1846" s="4" t="e">
        <f>MAX(INDEX(Standards!$F$2:$F$296,MATCH(B1846,Standards!$B$2:$B$296,0)),INDEX(Standards!$F$2:$F$296,MATCH(C1846,Standards!$B$2:$B$296,0)))</f>
        <v>#N/A</v>
      </c>
      <c r="W1846" t="str">
        <f t="shared" si="86"/>
        <v>#d6bf2a</v>
      </c>
    </row>
    <row r="1847" spans="1:23" x14ac:dyDescent="0.5">
      <c r="A1847" s="54">
        <v>1846</v>
      </c>
      <c r="B1847" s="90" t="s">
        <v>1357</v>
      </c>
      <c r="C1847" t="s">
        <v>1892</v>
      </c>
      <c r="D1847" s="1"/>
      <c r="G1847" s="107"/>
      <c r="H1847">
        <f>INDEX('GIS-Standards'!$A$2:$A$305,MATCH(B1847,'GIS-Standards'!$B$2:$B$305,0))</f>
        <v>86</v>
      </c>
      <c r="I1847" t="e">
        <f>INDEX('GIS-Standards'!$A$2:$A$305,MATCH(C1847,'GIS-Standards'!$B$2:$B$305,0))</f>
        <v>#N/A</v>
      </c>
      <c r="J1847" t="str">
        <f>INDEX('GIS-Standards'!$O$2:$O$305,MATCH(B1847,'GIS-Standards'!$B$2:$B$305,0))</f>
        <v>ISO/IEC JTC 1/SC 29</v>
      </c>
      <c r="K1847" t="e">
        <f>INDEX('GIS-Standards'!$O$2:$O$305,MATCH(C1847,'GIS-Standards'!$B$2:$B$305,0))</f>
        <v>#N/A</v>
      </c>
      <c r="M1847" t="s">
        <v>524</v>
      </c>
      <c r="N1847">
        <f>INDEX('GIS-Standards'!$I$2:$I$305,MATCH(B1847,'GIS-Standards'!$B$2:$B$305,0))</f>
        <v>0</v>
      </c>
      <c r="O1847" t="e">
        <f>INDEX('GIS-Standards'!$I$2:$I$305,MATCH(C1847,'GIS-Standards'!$B$2:$B$305,0))</f>
        <v>#N/A</v>
      </c>
      <c r="P1847" t="e">
        <f>AND(TableRelationships12[[#This Row],[Source Type]]="BIM",TableRelationships12[[#This Row],[Target Type]]="BIM")</f>
        <v>#N/A</v>
      </c>
      <c r="Q1847">
        <f t="shared" si="84"/>
        <v>6</v>
      </c>
      <c r="S1847">
        <f t="shared" si="85"/>
        <v>1</v>
      </c>
      <c r="T1847" s="102" t="str">
        <f>IF(TableRelationships12[[#This Row],[Rank Pedro]]="Low","linkCategory1",IF(TableRelationships12[[#This Row],[Rank Pedro]]="Medium","linkCategory2",IF(TableRelationships12[[#This Row],[Rank Pedro]]="High","linkCategory3","")))</f>
        <v/>
      </c>
      <c r="U1847" s="102" t="str">
        <f>IF(TableRelationships12[[#This Row],[Rank Pedro]]="Low","Pink",IF(TableRelationships12[[#This Row],[Rank Pedro]]="Medium","Purple",IF(TableRelationships12[[#This Row],[Rank Pedro]]="High","Brown","")))</f>
        <v/>
      </c>
      <c r="V1847" s="4" t="e">
        <f>MAX(INDEX(Standards!$F$2:$F$296,MATCH(B1847,Standards!$B$2:$B$296,0)),INDEX(Standards!$F$2:$F$296,MATCH(C1847,Standards!$B$2:$B$296,0)))</f>
        <v>#N/A</v>
      </c>
      <c r="W1847" t="str">
        <f t="shared" si="86"/>
        <v>#d6bf2a</v>
      </c>
    </row>
    <row r="1848" spans="1:23" x14ac:dyDescent="0.5">
      <c r="A1848" s="54">
        <v>1847</v>
      </c>
      <c r="B1848" s="90" t="s">
        <v>1357</v>
      </c>
      <c r="C1848" t="s">
        <v>1893</v>
      </c>
      <c r="D1848" s="1"/>
      <c r="G1848" s="107"/>
      <c r="H1848">
        <f>INDEX('GIS-Standards'!$A$2:$A$305,MATCH(B1848,'GIS-Standards'!$B$2:$B$305,0))</f>
        <v>86</v>
      </c>
      <c r="I1848" t="e">
        <f>INDEX('GIS-Standards'!$A$2:$A$305,MATCH(C1848,'GIS-Standards'!$B$2:$B$305,0))</f>
        <v>#N/A</v>
      </c>
      <c r="J1848" t="str">
        <f>INDEX('GIS-Standards'!$O$2:$O$305,MATCH(B1848,'GIS-Standards'!$B$2:$B$305,0))</f>
        <v>ISO/IEC JTC 1/SC 29</v>
      </c>
      <c r="K1848" t="e">
        <f>INDEX('GIS-Standards'!$O$2:$O$305,MATCH(C1848,'GIS-Standards'!$B$2:$B$305,0))</f>
        <v>#N/A</v>
      </c>
      <c r="M1848" t="s">
        <v>524</v>
      </c>
      <c r="N1848">
        <f>INDEX('GIS-Standards'!$I$2:$I$305,MATCH(B1848,'GIS-Standards'!$B$2:$B$305,0))</f>
        <v>0</v>
      </c>
      <c r="O1848" t="e">
        <f>INDEX('GIS-Standards'!$I$2:$I$305,MATCH(C1848,'GIS-Standards'!$B$2:$B$305,0))</f>
        <v>#N/A</v>
      </c>
      <c r="P1848" t="e">
        <f>AND(TableRelationships12[[#This Row],[Source Type]]="BIM",TableRelationships12[[#This Row],[Target Type]]="BIM")</f>
        <v>#N/A</v>
      </c>
      <c r="Q1848">
        <f t="shared" si="84"/>
        <v>6</v>
      </c>
      <c r="S1848">
        <f t="shared" si="85"/>
        <v>1</v>
      </c>
      <c r="T1848" s="102" t="str">
        <f>IF(TableRelationships12[[#This Row],[Rank Pedro]]="Low","linkCategory1",IF(TableRelationships12[[#This Row],[Rank Pedro]]="Medium","linkCategory2",IF(TableRelationships12[[#This Row],[Rank Pedro]]="High","linkCategory3","")))</f>
        <v/>
      </c>
      <c r="U1848" s="102" t="str">
        <f>IF(TableRelationships12[[#This Row],[Rank Pedro]]="Low","Pink",IF(TableRelationships12[[#This Row],[Rank Pedro]]="Medium","Purple",IF(TableRelationships12[[#This Row],[Rank Pedro]]="High","Brown","")))</f>
        <v/>
      </c>
      <c r="V1848" s="4" t="e">
        <f>MAX(INDEX(Standards!$F$2:$F$296,MATCH(B1848,Standards!$B$2:$B$296,0)),INDEX(Standards!$F$2:$F$296,MATCH(C1848,Standards!$B$2:$B$296,0)))</f>
        <v>#N/A</v>
      </c>
      <c r="W1848" t="str">
        <f t="shared" si="86"/>
        <v>#d6bf2a</v>
      </c>
    </row>
    <row r="1849" spans="1:23" x14ac:dyDescent="0.5">
      <c r="A1849" s="54">
        <v>1848</v>
      </c>
      <c r="B1849" s="90" t="s">
        <v>1357</v>
      </c>
      <c r="C1849" t="s">
        <v>1894</v>
      </c>
      <c r="D1849" s="1"/>
      <c r="E1849" s="112">
        <v>2000.03</v>
      </c>
      <c r="F1849" s="112">
        <v>2003.05</v>
      </c>
      <c r="G1849" s="107" t="s">
        <v>1671</v>
      </c>
      <c r="H1849">
        <f>INDEX('GIS-Standards'!$A$2:$A$305,MATCH(B1849,'GIS-Standards'!$B$2:$B$305,0))</f>
        <v>86</v>
      </c>
      <c r="I1849" t="e">
        <f>INDEX('GIS-Standards'!$A$2:$A$305,MATCH(C1849,'GIS-Standards'!$B$2:$B$305,0))</f>
        <v>#N/A</v>
      </c>
      <c r="J1849" t="str">
        <f>INDEX('GIS-Standards'!$O$2:$O$305,MATCH(B1849,'GIS-Standards'!$B$2:$B$305,0))</f>
        <v>ISO/IEC JTC 1/SC 29</v>
      </c>
      <c r="K1849" t="e">
        <f>INDEX('GIS-Standards'!$O$2:$O$305,MATCH(C1849,'GIS-Standards'!$B$2:$B$305,0))</f>
        <v>#N/A</v>
      </c>
      <c r="M1849" t="s">
        <v>524</v>
      </c>
      <c r="N1849">
        <f>INDEX('GIS-Standards'!$I$2:$I$305,MATCH(B1849,'GIS-Standards'!$B$2:$B$305,0))</f>
        <v>0</v>
      </c>
      <c r="O1849" t="e">
        <f>INDEX('GIS-Standards'!$I$2:$I$305,MATCH(C1849,'GIS-Standards'!$B$2:$B$305,0))</f>
        <v>#N/A</v>
      </c>
      <c r="P1849" t="e">
        <f>AND(TableRelationships12[[#This Row],[Source Type]]="BIM",TableRelationships12[[#This Row],[Target Type]]="BIM")</f>
        <v>#N/A</v>
      </c>
      <c r="Q1849">
        <f t="shared" si="84"/>
        <v>6</v>
      </c>
      <c r="S1849">
        <f t="shared" si="85"/>
        <v>1</v>
      </c>
      <c r="T1849" s="102" t="str">
        <f>IF(TableRelationships12[[#This Row],[Rank Pedro]]="Low","linkCategory1",IF(TableRelationships12[[#This Row],[Rank Pedro]]="Medium","linkCategory2",IF(TableRelationships12[[#This Row],[Rank Pedro]]="High","linkCategory3","")))</f>
        <v/>
      </c>
      <c r="U1849" s="102" t="str">
        <f>IF(TableRelationships12[[#This Row],[Rank Pedro]]="Low","Pink",IF(TableRelationships12[[#This Row],[Rank Pedro]]="Medium","Purple",IF(TableRelationships12[[#This Row],[Rank Pedro]]="High","Brown","")))</f>
        <v/>
      </c>
      <c r="V1849" s="4" t="e">
        <f>MAX(INDEX(Standards!$F$2:$F$296,MATCH(B1849,Standards!$B$2:$B$296,0)),INDEX(Standards!$F$2:$F$296,MATCH(C1849,Standards!$B$2:$B$296,0)))</f>
        <v>#N/A</v>
      </c>
      <c r="W1849" t="str">
        <f t="shared" si="86"/>
        <v>#d6bf2a</v>
      </c>
    </row>
    <row r="1850" spans="1:23" x14ac:dyDescent="0.5">
      <c r="A1850" s="54">
        <v>1849</v>
      </c>
      <c r="B1850" s="90" t="s">
        <v>1357</v>
      </c>
      <c r="C1850" t="s">
        <v>1249</v>
      </c>
      <c r="D1850" s="1"/>
      <c r="E1850" s="112">
        <v>2003.01</v>
      </c>
      <c r="F1850" s="112">
        <v>2003.08</v>
      </c>
      <c r="G1850" s="107" t="s">
        <v>1671</v>
      </c>
      <c r="H1850">
        <f>INDEX('GIS-Standards'!$A$2:$A$305,MATCH(B1850,'GIS-Standards'!$B$2:$B$305,0))</f>
        <v>86</v>
      </c>
      <c r="I1850" t="e">
        <f>INDEX('GIS-Standards'!$A$2:$A$305,MATCH(C1850,'GIS-Standards'!$B$2:$B$305,0))</f>
        <v>#N/A</v>
      </c>
      <c r="J1850" t="str">
        <f>INDEX('GIS-Standards'!$O$2:$O$305,MATCH(B1850,'GIS-Standards'!$B$2:$B$305,0))</f>
        <v>ISO/IEC JTC 1/SC 29</v>
      </c>
      <c r="K1850" t="e">
        <f>INDEX('GIS-Standards'!$O$2:$O$305,MATCH(C1850,'GIS-Standards'!$B$2:$B$305,0))</f>
        <v>#N/A</v>
      </c>
      <c r="M1850" t="s">
        <v>524</v>
      </c>
      <c r="N1850">
        <f>INDEX('GIS-Standards'!$I$2:$I$305,MATCH(B1850,'GIS-Standards'!$B$2:$B$305,0))</f>
        <v>0</v>
      </c>
      <c r="O1850" t="e">
        <f>INDEX('GIS-Standards'!$I$2:$I$305,MATCH(C1850,'GIS-Standards'!$B$2:$B$305,0))</f>
        <v>#N/A</v>
      </c>
      <c r="P1850" t="e">
        <f>AND(TableRelationships12[[#This Row],[Source Type]]="BIM",TableRelationships12[[#This Row],[Target Type]]="BIM")</f>
        <v>#N/A</v>
      </c>
      <c r="Q1850">
        <f t="shared" si="84"/>
        <v>6</v>
      </c>
      <c r="S1850">
        <f t="shared" si="85"/>
        <v>1</v>
      </c>
      <c r="T1850" s="102" t="str">
        <f>IF(TableRelationships12[[#This Row],[Rank Pedro]]="Low","linkCategory1",IF(TableRelationships12[[#This Row],[Rank Pedro]]="Medium","linkCategory2",IF(TableRelationships12[[#This Row],[Rank Pedro]]="High","linkCategory3","")))</f>
        <v/>
      </c>
      <c r="U1850" s="102" t="str">
        <f>IF(TableRelationships12[[#This Row],[Rank Pedro]]="Low","Pink",IF(TableRelationships12[[#This Row],[Rank Pedro]]="Medium","Purple",IF(TableRelationships12[[#This Row],[Rank Pedro]]="High","Brown","")))</f>
        <v/>
      </c>
      <c r="V1850" s="4" t="e">
        <f>MAX(INDEX(Standards!$F$2:$F$296,MATCH(B1850,Standards!$B$2:$B$296,0)),INDEX(Standards!$F$2:$F$296,MATCH(C1850,Standards!$B$2:$B$296,0)))</f>
        <v>#N/A</v>
      </c>
      <c r="W1850" t="str">
        <f t="shared" si="86"/>
        <v>#d6bf2a</v>
      </c>
    </row>
    <row r="1851" spans="1:23" x14ac:dyDescent="0.5">
      <c r="A1851" s="54">
        <v>1850</v>
      </c>
      <c r="B1851" s="90" t="s">
        <v>1357</v>
      </c>
      <c r="C1851" t="s">
        <v>1895</v>
      </c>
      <c r="D1851" s="1"/>
      <c r="E1851" s="112">
        <v>1992.04</v>
      </c>
      <c r="G1851" s="107"/>
      <c r="H1851">
        <f>INDEX('GIS-Standards'!$A$2:$A$305,MATCH(B1851,'GIS-Standards'!$B$2:$B$305,0))</f>
        <v>86</v>
      </c>
      <c r="I1851" t="e">
        <f>INDEX('GIS-Standards'!$A$2:$A$305,MATCH(C1851,'GIS-Standards'!$B$2:$B$305,0))</f>
        <v>#N/A</v>
      </c>
      <c r="J1851" t="str">
        <f>INDEX('GIS-Standards'!$O$2:$O$305,MATCH(B1851,'GIS-Standards'!$B$2:$B$305,0))</f>
        <v>ISO/IEC JTC 1/SC 29</v>
      </c>
      <c r="K1851" t="e">
        <f>INDEX('GIS-Standards'!$O$2:$O$305,MATCH(C1851,'GIS-Standards'!$B$2:$B$305,0))</f>
        <v>#N/A</v>
      </c>
      <c r="M1851" t="s">
        <v>524</v>
      </c>
      <c r="N1851">
        <f>INDEX('GIS-Standards'!$I$2:$I$305,MATCH(B1851,'GIS-Standards'!$B$2:$B$305,0))</f>
        <v>0</v>
      </c>
      <c r="O1851" t="e">
        <f>INDEX('GIS-Standards'!$I$2:$I$305,MATCH(C1851,'GIS-Standards'!$B$2:$B$305,0))</f>
        <v>#N/A</v>
      </c>
      <c r="P1851" t="e">
        <f>AND(TableRelationships12[[#This Row],[Source Type]]="BIM",TableRelationships12[[#This Row],[Target Type]]="BIM")</f>
        <v>#N/A</v>
      </c>
      <c r="Q1851">
        <f t="shared" si="84"/>
        <v>6</v>
      </c>
      <c r="S1851">
        <f t="shared" si="85"/>
        <v>1</v>
      </c>
      <c r="T1851" s="102" t="str">
        <f>IF(TableRelationships12[[#This Row],[Rank Pedro]]="Low","linkCategory1",IF(TableRelationships12[[#This Row],[Rank Pedro]]="Medium","linkCategory2",IF(TableRelationships12[[#This Row],[Rank Pedro]]="High","linkCategory3","")))</f>
        <v/>
      </c>
      <c r="U1851" s="102" t="str">
        <f>IF(TableRelationships12[[#This Row],[Rank Pedro]]="Low","Pink",IF(TableRelationships12[[#This Row],[Rank Pedro]]="Medium","Purple",IF(TableRelationships12[[#This Row],[Rank Pedro]]="High","Brown","")))</f>
        <v/>
      </c>
      <c r="V1851" s="4" t="e">
        <f>MAX(INDEX(Standards!$F$2:$F$296,MATCH(B1851,Standards!$B$2:$B$296,0)),INDEX(Standards!$F$2:$F$296,MATCH(C1851,Standards!$B$2:$B$296,0)))</f>
        <v>#N/A</v>
      </c>
      <c r="W1851" t="str">
        <f t="shared" si="86"/>
        <v>#d6bf2a</v>
      </c>
    </row>
    <row r="1852" spans="1:23" x14ac:dyDescent="0.5">
      <c r="A1852" s="54">
        <v>1851</v>
      </c>
      <c r="B1852" s="90" t="s">
        <v>1357</v>
      </c>
      <c r="C1852" t="s">
        <v>1896</v>
      </c>
      <c r="D1852" s="1"/>
      <c r="E1852" s="112">
        <v>1999.06</v>
      </c>
      <c r="G1852" s="107"/>
      <c r="H1852">
        <f>INDEX('GIS-Standards'!$A$2:$A$305,MATCH(B1852,'GIS-Standards'!$B$2:$B$305,0))</f>
        <v>86</v>
      </c>
      <c r="I1852" t="e">
        <f>INDEX('GIS-Standards'!$A$2:$A$305,MATCH(C1852,'GIS-Standards'!$B$2:$B$305,0))</f>
        <v>#N/A</v>
      </c>
      <c r="J1852" t="str">
        <f>INDEX('GIS-Standards'!$O$2:$O$305,MATCH(B1852,'GIS-Standards'!$B$2:$B$305,0))</f>
        <v>ISO/IEC JTC 1/SC 29</v>
      </c>
      <c r="K1852" t="e">
        <f>INDEX('GIS-Standards'!$O$2:$O$305,MATCH(C1852,'GIS-Standards'!$B$2:$B$305,0))</f>
        <v>#N/A</v>
      </c>
      <c r="M1852" t="s">
        <v>524</v>
      </c>
      <c r="N1852">
        <f>INDEX('GIS-Standards'!$I$2:$I$305,MATCH(B1852,'GIS-Standards'!$B$2:$B$305,0))</f>
        <v>0</v>
      </c>
      <c r="O1852" t="e">
        <f>INDEX('GIS-Standards'!$I$2:$I$305,MATCH(C1852,'GIS-Standards'!$B$2:$B$305,0))</f>
        <v>#N/A</v>
      </c>
      <c r="P1852" t="e">
        <f>AND(TableRelationships12[[#This Row],[Source Type]]="BIM",TableRelationships12[[#This Row],[Target Type]]="BIM")</f>
        <v>#N/A</v>
      </c>
      <c r="Q1852">
        <f t="shared" si="84"/>
        <v>6</v>
      </c>
      <c r="S1852">
        <f t="shared" si="85"/>
        <v>1</v>
      </c>
      <c r="T1852" s="102" t="str">
        <f>IF(TableRelationships12[[#This Row],[Rank Pedro]]="Low","linkCategory1",IF(TableRelationships12[[#This Row],[Rank Pedro]]="Medium","linkCategory2",IF(TableRelationships12[[#This Row],[Rank Pedro]]="High","linkCategory3","")))</f>
        <v/>
      </c>
      <c r="U1852" s="102" t="str">
        <f>IF(TableRelationships12[[#This Row],[Rank Pedro]]="Low","Pink",IF(TableRelationships12[[#This Row],[Rank Pedro]]="Medium","Purple",IF(TableRelationships12[[#This Row],[Rank Pedro]]="High","Brown","")))</f>
        <v/>
      </c>
      <c r="V1852" s="4" t="e">
        <f>MAX(INDEX(Standards!$F$2:$F$296,MATCH(B1852,Standards!$B$2:$B$296,0)),INDEX(Standards!$F$2:$F$296,MATCH(C1852,Standards!$B$2:$B$296,0)))</f>
        <v>#N/A</v>
      </c>
      <c r="W1852" t="str">
        <f t="shared" si="86"/>
        <v>#d6bf2a</v>
      </c>
    </row>
    <row r="1853" spans="1:23" x14ac:dyDescent="0.5">
      <c r="A1853" s="54">
        <v>1852</v>
      </c>
      <c r="B1853" s="90" t="s">
        <v>1357</v>
      </c>
      <c r="C1853" t="s">
        <v>132</v>
      </c>
      <c r="D1853" s="1"/>
      <c r="E1853" s="112">
        <v>1997.09</v>
      </c>
      <c r="F1853" s="112">
        <v>2020.08</v>
      </c>
      <c r="G1853" s="107" t="s">
        <v>1481</v>
      </c>
      <c r="H1853">
        <f>INDEX('GIS-Standards'!$A$2:$A$305,MATCH(B1853,'GIS-Standards'!$B$2:$B$305,0))</f>
        <v>86</v>
      </c>
      <c r="I1853" t="e">
        <f>INDEX('GIS-Standards'!$A$2:$A$305,MATCH(C1853,'GIS-Standards'!$B$2:$B$305,0))</f>
        <v>#N/A</v>
      </c>
      <c r="J1853" t="str">
        <f>INDEX('GIS-Standards'!$O$2:$O$305,MATCH(B1853,'GIS-Standards'!$B$2:$B$305,0))</f>
        <v>ISO/IEC JTC 1/SC 29</v>
      </c>
      <c r="K1853" t="e">
        <f>INDEX('GIS-Standards'!$O$2:$O$305,MATCH(C1853,'GIS-Standards'!$B$2:$B$305,0))</f>
        <v>#N/A</v>
      </c>
      <c r="M1853" t="s">
        <v>524</v>
      </c>
      <c r="N1853">
        <f>INDEX('GIS-Standards'!$I$2:$I$305,MATCH(B1853,'GIS-Standards'!$B$2:$B$305,0))</f>
        <v>0</v>
      </c>
      <c r="O1853" t="e">
        <f>INDEX('GIS-Standards'!$I$2:$I$305,MATCH(C1853,'GIS-Standards'!$B$2:$B$305,0))</f>
        <v>#N/A</v>
      </c>
      <c r="P1853" t="e">
        <f>AND(TableRelationships12[[#This Row],[Source Type]]="BIM",TableRelationships12[[#This Row],[Target Type]]="BIM")</f>
        <v>#N/A</v>
      </c>
      <c r="Q1853">
        <f t="shared" si="84"/>
        <v>6</v>
      </c>
      <c r="S1853">
        <f t="shared" si="85"/>
        <v>1</v>
      </c>
      <c r="T1853" s="102" t="str">
        <f>IF(TableRelationships12[[#This Row],[Rank Pedro]]="Low","linkCategory1",IF(TableRelationships12[[#This Row],[Rank Pedro]]="Medium","linkCategory2",IF(TableRelationships12[[#This Row],[Rank Pedro]]="High","linkCategory3","")))</f>
        <v/>
      </c>
      <c r="U1853" s="102" t="str">
        <f>IF(TableRelationships12[[#This Row],[Rank Pedro]]="Low","Pink",IF(TableRelationships12[[#This Row],[Rank Pedro]]="Medium","Purple",IF(TableRelationships12[[#This Row],[Rank Pedro]]="High","Brown","")))</f>
        <v/>
      </c>
      <c r="V1853" s="4" t="e">
        <f>MAX(INDEX(Standards!$F$2:$F$296,MATCH(B1853,Standards!$B$2:$B$296,0)),INDEX(Standards!$F$2:$F$296,MATCH(C1853,Standards!$B$2:$B$296,0)))</f>
        <v>#N/A</v>
      </c>
      <c r="W1853" t="str">
        <f t="shared" si="86"/>
        <v>#d6bf2a</v>
      </c>
    </row>
    <row r="1854" spans="1:23" x14ac:dyDescent="0.5">
      <c r="A1854" s="54">
        <v>1853</v>
      </c>
      <c r="B1854" s="90" t="s">
        <v>1357</v>
      </c>
      <c r="C1854" t="s">
        <v>1401</v>
      </c>
      <c r="D1854" s="1"/>
      <c r="E1854" s="113">
        <v>1998.12</v>
      </c>
      <c r="F1854" s="112">
        <v>2020.08</v>
      </c>
      <c r="G1854" s="107" t="s">
        <v>1481</v>
      </c>
      <c r="H1854">
        <f>INDEX('GIS-Standards'!$A$2:$A$305,MATCH(B1854,'GIS-Standards'!$B$2:$B$305,0))</f>
        <v>86</v>
      </c>
      <c r="I1854" t="e">
        <f>INDEX('GIS-Standards'!$A$2:$A$305,MATCH(C1854,'GIS-Standards'!$B$2:$B$305,0))</f>
        <v>#N/A</v>
      </c>
      <c r="J1854" t="str">
        <f>INDEX('GIS-Standards'!$O$2:$O$305,MATCH(B1854,'GIS-Standards'!$B$2:$B$305,0))</f>
        <v>ISO/IEC JTC 1/SC 29</v>
      </c>
      <c r="K1854" t="e">
        <f>INDEX('GIS-Standards'!$O$2:$O$305,MATCH(C1854,'GIS-Standards'!$B$2:$B$305,0))</f>
        <v>#N/A</v>
      </c>
      <c r="M1854" t="s">
        <v>524</v>
      </c>
      <c r="N1854">
        <f>INDEX('GIS-Standards'!$I$2:$I$305,MATCH(B1854,'GIS-Standards'!$B$2:$B$305,0))</f>
        <v>0</v>
      </c>
      <c r="O1854" t="e">
        <f>INDEX('GIS-Standards'!$I$2:$I$305,MATCH(C1854,'GIS-Standards'!$B$2:$B$305,0))</f>
        <v>#N/A</v>
      </c>
      <c r="P1854" t="e">
        <f>AND(TableRelationships12[[#This Row],[Source Type]]="BIM",TableRelationships12[[#This Row],[Target Type]]="BIM")</f>
        <v>#N/A</v>
      </c>
      <c r="Q1854">
        <f t="shared" si="84"/>
        <v>6</v>
      </c>
      <c r="S1854">
        <f t="shared" si="85"/>
        <v>1</v>
      </c>
      <c r="T1854" s="102" t="str">
        <f>IF(TableRelationships12[[#This Row],[Rank Pedro]]="Low","linkCategory1",IF(TableRelationships12[[#This Row],[Rank Pedro]]="Medium","linkCategory2",IF(TableRelationships12[[#This Row],[Rank Pedro]]="High","linkCategory3","")))</f>
        <v/>
      </c>
      <c r="U1854" s="102" t="str">
        <f>IF(TableRelationships12[[#This Row],[Rank Pedro]]="Low","Pink",IF(TableRelationships12[[#This Row],[Rank Pedro]]="Medium","Purple",IF(TableRelationships12[[#This Row],[Rank Pedro]]="High","Brown","")))</f>
        <v/>
      </c>
      <c r="V1854" s="4" t="e">
        <f>MAX(INDEX(Standards!$F$2:$F$296,MATCH(B1854,Standards!$B$2:$B$296,0)),INDEX(Standards!$F$2:$F$296,MATCH(C1854,Standards!$B$2:$B$296,0)))</f>
        <v>#N/A</v>
      </c>
      <c r="W1854" t="str">
        <f t="shared" si="86"/>
        <v>#d6bf2a</v>
      </c>
    </row>
    <row r="1855" spans="1:23" x14ac:dyDescent="0.5">
      <c r="A1855" s="54">
        <v>1854</v>
      </c>
      <c r="B1855" s="90" t="s">
        <v>1357</v>
      </c>
      <c r="C1855" t="s">
        <v>1897</v>
      </c>
      <c r="D1855" s="1"/>
      <c r="G1855" s="107"/>
      <c r="H1855">
        <f>INDEX('GIS-Standards'!$A$2:$A$305,MATCH(B1855,'GIS-Standards'!$B$2:$B$305,0))</f>
        <v>86</v>
      </c>
      <c r="I1855" t="e">
        <f>INDEX('GIS-Standards'!$A$2:$A$305,MATCH(C1855,'GIS-Standards'!$B$2:$B$305,0))</f>
        <v>#N/A</v>
      </c>
      <c r="J1855" t="str">
        <f>INDEX('GIS-Standards'!$O$2:$O$305,MATCH(B1855,'GIS-Standards'!$B$2:$B$305,0))</f>
        <v>ISO/IEC JTC 1/SC 29</v>
      </c>
      <c r="K1855" t="e">
        <f>INDEX('GIS-Standards'!$O$2:$O$305,MATCH(C1855,'GIS-Standards'!$B$2:$B$305,0))</f>
        <v>#N/A</v>
      </c>
      <c r="M1855" t="s">
        <v>524</v>
      </c>
      <c r="N1855">
        <f>INDEX('GIS-Standards'!$I$2:$I$305,MATCH(B1855,'GIS-Standards'!$B$2:$B$305,0))</f>
        <v>0</v>
      </c>
      <c r="O1855" t="e">
        <f>INDEX('GIS-Standards'!$I$2:$I$305,MATCH(C1855,'GIS-Standards'!$B$2:$B$305,0))</f>
        <v>#N/A</v>
      </c>
      <c r="P1855" t="e">
        <f>AND(TableRelationships12[[#This Row],[Source Type]]="BIM",TableRelationships12[[#This Row],[Target Type]]="BIM")</f>
        <v>#N/A</v>
      </c>
      <c r="Q1855">
        <f t="shared" si="84"/>
        <v>6</v>
      </c>
      <c r="S1855">
        <f t="shared" si="85"/>
        <v>1</v>
      </c>
      <c r="T1855" s="102" t="str">
        <f>IF(TableRelationships12[[#This Row],[Rank Pedro]]="Low","linkCategory1",IF(TableRelationships12[[#This Row],[Rank Pedro]]="Medium","linkCategory2",IF(TableRelationships12[[#This Row],[Rank Pedro]]="High","linkCategory3","")))</f>
        <v/>
      </c>
      <c r="U1855" s="102" t="str">
        <f>IF(TableRelationships12[[#This Row],[Rank Pedro]]="Low","Pink",IF(TableRelationships12[[#This Row],[Rank Pedro]]="Medium","Purple",IF(TableRelationships12[[#This Row],[Rank Pedro]]="High","Brown","")))</f>
        <v/>
      </c>
      <c r="V1855" s="4" t="e">
        <f>MAX(INDEX(Standards!$F$2:$F$296,MATCH(B1855,Standards!$B$2:$B$296,0)),INDEX(Standards!$F$2:$F$296,MATCH(C1855,Standards!$B$2:$B$296,0)))</f>
        <v>#N/A</v>
      </c>
      <c r="W1855" t="str">
        <f t="shared" si="86"/>
        <v>#d6bf2a</v>
      </c>
    </row>
    <row r="1856" spans="1:23" x14ac:dyDescent="0.5">
      <c r="A1856" s="54">
        <v>1855</v>
      </c>
      <c r="B1856" s="90" t="s">
        <v>1357</v>
      </c>
      <c r="C1856" t="s">
        <v>1256</v>
      </c>
      <c r="D1856" s="1"/>
      <c r="E1856" s="112">
        <v>2006.08</v>
      </c>
      <c r="F1856" s="112">
        <v>2013.04</v>
      </c>
      <c r="G1856" s="107" t="s">
        <v>1479</v>
      </c>
      <c r="H1856">
        <f>INDEX('GIS-Standards'!$A$2:$A$305,MATCH(B1856,'GIS-Standards'!$B$2:$B$305,0))</f>
        <v>86</v>
      </c>
      <c r="I1856" t="e">
        <f>INDEX('GIS-Standards'!$A$2:$A$305,MATCH(C1856,'GIS-Standards'!$B$2:$B$305,0))</f>
        <v>#N/A</v>
      </c>
      <c r="J1856" t="str">
        <f>INDEX('GIS-Standards'!$O$2:$O$305,MATCH(B1856,'GIS-Standards'!$B$2:$B$305,0))</f>
        <v>ISO/IEC JTC 1/SC 29</v>
      </c>
      <c r="K1856" t="e">
        <f>INDEX('GIS-Standards'!$O$2:$O$305,MATCH(C1856,'GIS-Standards'!$B$2:$B$305,0))</f>
        <v>#N/A</v>
      </c>
      <c r="M1856" t="s">
        <v>524</v>
      </c>
      <c r="N1856">
        <f>INDEX('GIS-Standards'!$I$2:$I$305,MATCH(B1856,'GIS-Standards'!$B$2:$B$305,0))</f>
        <v>0</v>
      </c>
      <c r="O1856" t="e">
        <f>INDEX('GIS-Standards'!$I$2:$I$305,MATCH(C1856,'GIS-Standards'!$B$2:$B$305,0))</f>
        <v>#N/A</v>
      </c>
      <c r="P1856" t="e">
        <f>AND(TableRelationships12[[#This Row],[Source Type]]="BIM",TableRelationships12[[#This Row],[Target Type]]="BIM")</f>
        <v>#N/A</v>
      </c>
      <c r="Q1856">
        <f t="shared" si="84"/>
        <v>6</v>
      </c>
      <c r="S1856">
        <f t="shared" si="85"/>
        <v>1</v>
      </c>
      <c r="T1856" s="102" t="str">
        <f>IF(TableRelationships12[[#This Row],[Rank Pedro]]="Low","linkCategory1",IF(TableRelationships12[[#This Row],[Rank Pedro]]="Medium","linkCategory2",IF(TableRelationships12[[#This Row],[Rank Pedro]]="High","linkCategory3","")))</f>
        <v/>
      </c>
      <c r="U1856" s="102" t="str">
        <f>IF(TableRelationships12[[#This Row],[Rank Pedro]]="Low","Pink",IF(TableRelationships12[[#This Row],[Rank Pedro]]="Medium","Purple",IF(TableRelationships12[[#This Row],[Rank Pedro]]="High","Brown","")))</f>
        <v/>
      </c>
      <c r="V1856" s="4" t="e">
        <f>MAX(INDEX(Standards!$F$2:$F$296,MATCH(B1856,Standards!$B$2:$B$296,0)),INDEX(Standards!$F$2:$F$296,MATCH(C1856,Standards!$B$2:$B$296,0)))</f>
        <v>#N/A</v>
      </c>
      <c r="W1856" t="str">
        <f t="shared" si="86"/>
        <v>#d6bf2a</v>
      </c>
    </row>
    <row r="1857" spans="1:23" x14ac:dyDescent="0.5">
      <c r="A1857" s="54">
        <v>1856</v>
      </c>
      <c r="B1857" s="90" t="s">
        <v>1357</v>
      </c>
      <c r="C1857" t="s">
        <v>1898</v>
      </c>
      <c r="D1857" s="1"/>
      <c r="E1857" s="112">
        <v>2005.12</v>
      </c>
      <c r="F1857" s="112">
        <v>2025.1</v>
      </c>
      <c r="G1857" s="107" t="s">
        <v>2109</v>
      </c>
      <c r="H1857">
        <f>INDEX('GIS-Standards'!$A$2:$A$305,MATCH(B1857,'GIS-Standards'!$B$2:$B$305,0))</f>
        <v>86</v>
      </c>
      <c r="I1857" t="e">
        <f>INDEX('GIS-Standards'!$A$2:$A$305,MATCH(C1857,'GIS-Standards'!$B$2:$B$305,0))</f>
        <v>#N/A</v>
      </c>
      <c r="J1857" t="str">
        <f>INDEX('GIS-Standards'!$O$2:$O$305,MATCH(B1857,'GIS-Standards'!$B$2:$B$305,0))</f>
        <v>ISO/IEC JTC 1/SC 29</v>
      </c>
      <c r="K1857" t="e">
        <f>INDEX('GIS-Standards'!$O$2:$O$305,MATCH(C1857,'GIS-Standards'!$B$2:$B$305,0))</f>
        <v>#N/A</v>
      </c>
      <c r="M1857" t="s">
        <v>524</v>
      </c>
      <c r="N1857">
        <f>INDEX('GIS-Standards'!$I$2:$I$305,MATCH(B1857,'GIS-Standards'!$B$2:$B$305,0))</f>
        <v>0</v>
      </c>
      <c r="O1857" t="e">
        <f>INDEX('GIS-Standards'!$I$2:$I$305,MATCH(C1857,'GIS-Standards'!$B$2:$B$305,0))</f>
        <v>#N/A</v>
      </c>
      <c r="P1857" t="e">
        <f>AND(TableRelationships12[[#This Row],[Source Type]]="BIM",TableRelationships12[[#This Row],[Target Type]]="BIM")</f>
        <v>#N/A</v>
      </c>
      <c r="Q1857">
        <f t="shared" si="84"/>
        <v>6</v>
      </c>
      <c r="S1857">
        <f t="shared" si="85"/>
        <v>1</v>
      </c>
      <c r="T1857" s="102" t="str">
        <f>IF(TableRelationships12[[#This Row],[Rank Pedro]]="Low","linkCategory1",IF(TableRelationships12[[#This Row],[Rank Pedro]]="Medium","linkCategory2",IF(TableRelationships12[[#This Row],[Rank Pedro]]="High","linkCategory3","")))</f>
        <v/>
      </c>
      <c r="U1857" s="102" t="str">
        <f>IF(TableRelationships12[[#This Row],[Rank Pedro]]="Low","Pink",IF(TableRelationships12[[#This Row],[Rank Pedro]]="Medium","Purple",IF(TableRelationships12[[#This Row],[Rank Pedro]]="High","Brown","")))</f>
        <v/>
      </c>
      <c r="V1857" s="4" t="e">
        <f>MAX(INDEX(Standards!$F$2:$F$296,MATCH(B1857,Standards!$B$2:$B$296,0)),INDEX(Standards!$F$2:$F$296,MATCH(C1857,Standards!$B$2:$B$296,0)))</f>
        <v>#N/A</v>
      </c>
      <c r="W1857" t="str">
        <f t="shared" si="86"/>
        <v>#d6bf2a</v>
      </c>
    </row>
    <row r="1858" spans="1:23" x14ac:dyDescent="0.5">
      <c r="A1858" s="54">
        <v>1857</v>
      </c>
      <c r="B1858" s="90" t="s">
        <v>1357</v>
      </c>
      <c r="C1858" t="s">
        <v>1899</v>
      </c>
      <c r="D1858" s="1"/>
      <c r="E1858" s="112">
        <v>2006.04</v>
      </c>
      <c r="F1858" s="112">
        <v>2008.02</v>
      </c>
      <c r="G1858" s="107" t="s">
        <v>1506</v>
      </c>
      <c r="H1858">
        <f>INDEX('GIS-Standards'!$A$2:$A$305,MATCH(B1858,'GIS-Standards'!$B$2:$B$305,0))</f>
        <v>86</v>
      </c>
      <c r="I1858" t="e">
        <f>INDEX('GIS-Standards'!$A$2:$A$305,MATCH(C1858,'GIS-Standards'!$B$2:$B$305,0))</f>
        <v>#N/A</v>
      </c>
      <c r="J1858" t="str">
        <f>INDEX('GIS-Standards'!$O$2:$O$305,MATCH(B1858,'GIS-Standards'!$B$2:$B$305,0))</f>
        <v>ISO/IEC JTC 1/SC 29</v>
      </c>
      <c r="K1858" t="e">
        <f>INDEX('GIS-Standards'!$O$2:$O$305,MATCH(C1858,'GIS-Standards'!$B$2:$B$305,0))</f>
        <v>#N/A</v>
      </c>
      <c r="M1858" t="s">
        <v>524</v>
      </c>
      <c r="N1858">
        <f>INDEX('GIS-Standards'!$I$2:$I$305,MATCH(B1858,'GIS-Standards'!$B$2:$B$305,0))</f>
        <v>0</v>
      </c>
      <c r="O1858" t="e">
        <f>INDEX('GIS-Standards'!$I$2:$I$305,MATCH(C1858,'GIS-Standards'!$B$2:$B$305,0))</f>
        <v>#N/A</v>
      </c>
      <c r="P1858" t="e">
        <f>AND(TableRelationships12[[#This Row],[Source Type]]="BIM",TableRelationships12[[#This Row],[Target Type]]="BIM")</f>
        <v>#N/A</v>
      </c>
      <c r="Q1858">
        <f t="shared" ref="Q1858:Q1921" si="87">IF(M1858="Normative",6,IF(M1858="Secondary",4,IF(M1858="Anchor",2,1)))</f>
        <v>6</v>
      </c>
      <c r="S1858">
        <f t="shared" ref="S1858:S1921" si="88">IF(R1858="High",10,IF(R1858="Medium",6,IF(R1858="Low",2,1)))</f>
        <v>1</v>
      </c>
      <c r="T1858" s="102" t="str">
        <f>IF(TableRelationships12[[#This Row],[Rank Pedro]]="Low","linkCategory1",IF(TableRelationships12[[#This Row],[Rank Pedro]]="Medium","linkCategory2",IF(TableRelationships12[[#This Row],[Rank Pedro]]="High","linkCategory3","")))</f>
        <v/>
      </c>
      <c r="U1858" s="102" t="str">
        <f>IF(TableRelationships12[[#This Row],[Rank Pedro]]="Low","Pink",IF(TableRelationships12[[#This Row],[Rank Pedro]]="Medium","Purple",IF(TableRelationships12[[#This Row],[Rank Pedro]]="High","Brown","")))</f>
        <v/>
      </c>
      <c r="V1858" s="4" t="e">
        <f>MAX(INDEX(Standards!$F$2:$F$296,MATCH(B1858,Standards!$B$2:$B$296,0)),INDEX(Standards!$F$2:$F$296,MATCH(C1858,Standards!$B$2:$B$296,0)))</f>
        <v>#N/A</v>
      </c>
      <c r="W1858" t="str">
        <f t="shared" ref="W1858:W1921" si="89">IF(M1858="Normative", "#d6bf2a", IF(M1858="Informative", "#2f89d1", 1))</f>
        <v>#d6bf2a</v>
      </c>
    </row>
    <row r="1859" spans="1:23" x14ac:dyDescent="0.5">
      <c r="A1859" s="54">
        <v>1858</v>
      </c>
      <c r="B1859" s="90" t="s">
        <v>1357</v>
      </c>
      <c r="C1859" t="s">
        <v>1900</v>
      </c>
      <c r="D1859" s="1" t="s">
        <v>1676</v>
      </c>
      <c r="E1859" s="112">
        <v>2019.05</v>
      </c>
      <c r="F1859" s="112">
        <v>2024.07</v>
      </c>
      <c r="G1859" s="107" t="s">
        <v>2075</v>
      </c>
      <c r="H1859">
        <f>INDEX('GIS-Standards'!$A$2:$A$305,MATCH(B1859,'GIS-Standards'!$B$2:$B$305,0))</f>
        <v>86</v>
      </c>
      <c r="I1859" t="e">
        <f>INDEX('GIS-Standards'!$A$2:$A$305,MATCH(C1859,'GIS-Standards'!$B$2:$B$305,0))</f>
        <v>#N/A</v>
      </c>
      <c r="J1859" t="str">
        <f>INDEX('GIS-Standards'!$O$2:$O$305,MATCH(B1859,'GIS-Standards'!$B$2:$B$305,0))</f>
        <v>ISO/IEC JTC 1/SC 29</v>
      </c>
      <c r="K1859" t="e">
        <f>INDEX('GIS-Standards'!$O$2:$O$305,MATCH(C1859,'GIS-Standards'!$B$2:$B$305,0))</f>
        <v>#N/A</v>
      </c>
      <c r="M1859" t="s">
        <v>524</v>
      </c>
      <c r="N1859">
        <f>INDEX('GIS-Standards'!$I$2:$I$305,MATCH(B1859,'GIS-Standards'!$B$2:$B$305,0))</f>
        <v>0</v>
      </c>
      <c r="O1859" t="e">
        <f>INDEX('GIS-Standards'!$I$2:$I$305,MATCH(C1859,'GIS-Standards'!$B$2:$B$305,0))</f>
        <v>#N/A</v>
      </c>
      <c r="P1859" t="e">
        <f>AND(TableRelationships12[[#This Row],[Source Type]]="BIM",TableRelationships12[[#This Row],[Target Type]]="BIM")</f>
        <v>#N/A</v>
      </c>
      <c r="Q1859">
        <f t="shared" si="87"/>
        <v>6</v>
      </c>
      <c r="S1859">
        <f t="shared" si="88"/>
        <v>1</v>
      </c>
      <c r="T1859" s="102" t="str">
        <f>IF(TableRelationships12[[#This Row],[Rank Pedro]]="Low","linkCategory1",IF(TableRelationships12[[#This Row],[Rank Pedro]]="Medium","linkCategory2",IF(TableRelationships12[[#This Row],[Rank Pedro]]="High","linkCategory3","")))</f>
        <v/>
      </c>
      <c r="U1859" s="102" t="str">
        <f>IF(TableRelationships12[[#This Row],[Rank Pedro]]="Low","Pink",IF(TableRelationships12[[#This Row],[Rank Pedro]]="Medium","Purple",IF(TableRelationships12[[#This Row],[Rank Pedro]]="High","Brown","")))</f>
        <v/>
      </c>
      <c r="V1859" s="4" t="e">
        <f>MAX(INDEX(Standards!$F$2:$F$296,MATCH(B1859,Standards!$B$2:$B$296,0)),INDEX(Standards!$F$2:$F$296,MATCH(C1859,Standards!$B$2:$B$296,0)))</f>
        <v>#N/A</v>
      </c>
      <c r="W1859" t="str">
        <f t="shared" si="89"/>
        <v>#d6bf2a</v>
      </c>
    </row>
    <row r="1860" spans="1:23" x14ac:dyDescent="0.5">
      <c r="A1860" s="54">
        <v>1859</v>
      </c>
      <c r="B1860" s="90" t="s">
        <v>1357</v>
      </c>
      <c r="C1860" t="s">
        <v>1901</v>
      </c>
      <c r="D1860" s="1"/>
      <c r="E1860" s="112">
        <v>1982.06</v>
      </c>
      <c r="F1860" s="112">
        <v>2020.05</v>
      </c>
      <c r="G1860" s="107" t="s">
        <v>2073</v>
      </c>
      <c r="H1860">
        <f>INDEX('GIS-Standards'!$A$2:$A$305,MATCH(B1860,'GIS-Standards'!$B$2:$B$305,0))</f>
        <v>86</v>
      </c>
      <c r="I1860" t="e">
        <f>INDEX('GIS-Standards'!$A$2:$A$305,MATCH(C1860,'GIS-Standards'!$B$2:$B$305,0))</f>
        <v>#N/A</v>
      </c>
      <c r="J1860" t="str">
        <f>INDEX('GIS-Standards'!$O$2:$O$305,MATCH(B1860,'GIS-Standards'!$B$2:$B$305,0))</f>
        <v>ISO/IEC JTC 1/SC 29</v>
      </c>
      <c r="K1860" t="e">
        <f>INDEX('GIS-Standards'!$O$2:$O$305,MATCH(C1860,'GIS-Standards'!$B$2:$B$305,0))</f>
        <v>#N/A</v>
      </c>
      <c r="M1860" t="s">
        <v>524</v>
      </c>
      <c r="N1860">
        <f>INDEX('GIS-Standards'!$I$2:$I$305,MATCH(B1860,'GIS-Standards'!$B$2:$B$305,0))</f>
        <v>0</v>
      </c>
      <c r="O1860" t="e">
        <f>INDEX('GIS-Standards'!$I$2:$I$305,MATCH(C1860,'GIS-Standards'!$B$2:$B$305,0))</f>
        <v>#N/A</v>
      </c>
      <c r="P1860" t="e">
        <f>AND(TableRelationships12[[#This Row],[Source Type]]="BIM",TableRelationships12[[#This Row],[Target Type]]="BIM")</f>
        <v>#N/A</v>
      </c>
      <c r="Q1860">
        <f t="shared" si="87"/>
        <v>6</v>
      </c>
      <c r="S1860">
        <f t="shared" si="88"/>
        <v>1</v>
      </c>
      <c r="T1860" s="102" t="str">
        <f>IF(TableRelationships12[[#This Row],[Rank Pedro]]="Low","linkCategory1",IF(TableRelationships12[[#This Row],[Rank Pedro]]="Medium","linkCategory2",IF(TableRelationships12[[#This Row],[Rank Pedro]]="High","linkCategory3","")))</f>
        <v/>
      </c>
      <c r="U1860" s="102" t="str">
        <f>IF(TableRelationships12[[#This Row],[Rank Pedro]]="Low","Pink",IF(TableRelationships12[[#This Row],[Rank Pedro]]="Medium","Purple",IF(TableRelationships12[[#This Row],[Rank Pedro]]="High","Brown","")))</f>
        <v/>
      </c>
      <c r="V1860" s="4" t="e">
        <f>MAX(INDEX(Standards!$F$2:$F$296,MATCH(B1860,Standards!$B$2:$B$296,0)),INDEX(Standards!$F$2:$F$296,MATCH(C1860,Standards!$B$2:$B$296,0)))</f>
        <v>#N/A</v>
      </c>
      <c r="W1860" t="str">
        <f t="shared" si="89"/>
        <v>#d6bf2a</v>
      </c>
    </row>
    <row r="1861" spans="1:23" x14ac:dyDescent="0.5">
      <c r="A1861" s="54">
        <v>1860</v>
      </c>
      <c r="B1861" s="90" t="s">
        <v>1357</v>
      </c>
      <c r="C1861" t="s">
        <v>1902</v>
      </c>
      <c r="D1861" s="1"/>
      <c r="G1861" s="107"/>
      <c r="H1861">
        <f>INDEX('GIS-Standards'!$A$2:$A$305,MATCH(B1861,'GIS-Standards'!$B$2:$B$305,0))</f>
        <v>86</v>
      </c>
      <c r="I1861" t="e">
        <f>INDEX('GIS-Standards'!$A$2:$A$305,MATCH(C1861,'GIS-Standards'!$B$2:$B$305,0))</f>
        <v>#N/A</v>
      </c>
      <c r="J1861" t="str">
        <f>INDEX('GIS-Standards'!$O$2:$O$305,MATCH(B1861,'GIS-Standards'!$B$2:$B$305,0))</f>
        <v>ISO/IEC JTC 1/SC 29</v>
      </c>
      <c r="K1861" t="e">
        <f>INDEX('GIS-Standards'!$O$2:$O$305,MATCH(C1861,'GIS-Standards'!$B$2:$B$305,0))</f>
        <v>#N/A</v>
      </c>
      <c r="M1861" t="s">
        <v>524</v>
      </c>
      <c r="N1861">
        <f>INDEX('GIS-Standards'!$I$2:$I$305,MATCH(B1861,'GIS-Standards'!$B$2:$B$305,0))</f>
        <v>0</v>
      </c>
      <c r="O1861" t="e">
        <f>INDEX('GIS-Standards'!$I$2:$I$305,MATCH(C1861,'GIS-Standards'!$B$2:$B$305,0))</f>
        <v>#N/A</v>
      </c>
      <c r="P1861" t="e">
        <f>AND(TableRelationships12[[#This Row],[Source Type]]="BIM",TableRelationships12[[#This Row],[Target Type]]="BIM")</f>
        <v>#N/A</v>
      </c>
      <c r="Q1861">
        <f t="shared" si="87"/>
        <v>6</v>
      </c>
      <c r="S1861">
        <f t="shared" si="88"/>
        <v>1</v>
      </c>
      <c r="T1861" s="102" t="str">
        <f>IF(TableRelationships12[[#This Row],[Rank Pedro]]="Low","linkCategory1",IF(TableRelationships12[[#This Row],[Rank Pedro]]="Medium","linkCategory2",IF(TableRelationships12[[#This Row],[Rank Pedro]]="High","linkCategory3","")))</f>
        <v/>
      </c>
      <c r="U1861" s="102" t="str">
        <f>IF(TableRelationships12[[#This Row],[Rank Pedro]]="Low","Pink",IF(TableRelationships12[[#This Row],[Rank Pedro]]="Medium","Purple",IF(TableRelationships12[[#This Row],[Rank Pedro]]="High","Brown","")))</f>
        <v/>
      </c>
      <c r="V1861" s="4" t="e">
        <f>MAX(INDEX(Standards!$F$2:$F$296,MATCH(B1861,Standards!$B$2:$B$296,0)),INDEX(Standards!$F$2:$F$296,MATCH(C1861,Standards!$B$2:$B$296,0)))</f>
        <v>#N/A</v>
      </c>
      <c r="W1861" t="str">
        <f t="shared" si="89"/>
        <v>#d6bf2a</v>
      </c>
    </row>
    <row r="1862" spans="1:23" x14ac:dyDescent="0.5">
      <c r="A1862" s="54">
        <v>1861</v>
      </c>
      <c r="B1862" s="90" t="s">
        <v>1357</v>
      </c>
      <c r="C1862" t="s">
        <v>1903</v>
      </c>
      <c r="D1862" s="1"/>
      <c r="G1862" s="107"/>
      <c r="H1862">
        <f>INDEX('GIS-Standards'!$A$2:$A$305,MATCH(B1862,'GIS-Standards'!$B$2:$B$305,0))</f>
        <v>86</v>
      </c>
      <c r="I1862" t="e">
        <f>INDEX('GIS-Standards'!$A$2:$A$305,MATCH(C1862,'GIS-Standards'!$B$2:$B$305,0))</f>
        <v>#N/A</v>
      </c>
      <c r="J1862" t="str">
        <f>INDEX('GIS-Standards'!$O$2:$O$305,MATCH(B1862,'GIS-Standards'!$B$2:$B$305,0))</f>
        <v>ISO/IEC JTC 1/SC 29</v>
      </c>
      <c r="K1862" t="e">
        <f>INDEX('GIS-Standards'!$O$2:$O$305,MATCH(C1862,'GIS-Standards'!$B$2:$B$305,0))</f>
        <v>#N/A</v>
      </c>
      <c r="M1862" t="s">
        <v>524</v>
      </c>
      <c r="N1862">
        <f>INDEX('GIS-Standards'!$I$2:$I$305,MATCH(B1862,'GIS-Standards'!$B$2:$B$305,0))</f>
        <v>0</v>
      </c>
      <c r="O1862" t="e">
        <f>INDEX('GIS-Standards'!$I$2:$I$305,MATCH(C1862,'GIS-Standards'!$B$2:$B$305,0))</f>
        <v>#N/A</v>
      </c>
      <c r="P1862" t="e">
        <f>AND(TableRelationships12[[#This Row],[Source Type]]="BIM",TableRelationships12[[#This Row],[Target Type]]="BIM")</f>
        <v>#N/A</v>
      </c>
      <c r="Q1862">
        <f t="shared" si="87"/>
        <v>6</v>
      </c>
      <c r="S1862">
        <f t="shared" si="88"/>
        <v>1</v>
      </c>
      <c r="T1862" s="102" t="str">
        <f>IF(TableRelationships12[[#This Row],[Rank Pedro]]="Low","linkCategory1",IF(TableRelationships12[[#This Row],[Rank Pedro]]="Medium","linkCategory2",IF(TableRelationships12[[#This Row],[Rank Pedro]]="High","linkCategory3","")))</f>
        <v/>
      </c>
      <c r="U1862" s="102" t="str">
        <f>IF(TableRelationships12[[#This Row],[Rank Pedro]]="Low","Pink",IF(TableRelationships12[[#This Row],[Rank Pedro]]="Medium","Purple",IF(TableRelationships12[[#This Row],[Rank Pedro]]="High","Brown","")))</f>
        <v/>
      </c>
      <c r="V1862" s="4" t="e">
        <f>MAX(INDEX(Standards!$F$2:$F$296,MATCH(B1862,Standards!$B$2:$B$296,0)),INDEX(Standards!$F$2:$F$296,MATCH(C1862,Standards!$B$2:$B$296,0)))</f>
        <v>#N/A</v>
      </c>
      <c r="W1862" t="str">
        <f t="shared" si="89"/>
        <v>#d6bf2a</v>
      </c>
    </row>
    <row r="1863" spans="1:23" x14ac:dyDescent="0.5">
      <c r="A1863" s="54">
        <v>1862</v>
      </c>
      <c r="B1863" s="90" t="s">
        <v>1357</v>
      </c>
      <c r="C1863" t="s">
        <v>1904</v>
      </c>
      <c r="D1863" s="1"/>
      <c r="G1863" s="107"/>
      <c r="H1863">
        <f>INDEX('GIS-Standards'!$A$2:$A$305,MATCH(B1863,'GIS-Standards'!$B$2:$B$305,0))</f>
        <v>86</v>
      </c>
      <c r="I1863" t="e">
        <f>INDEX('GIS-Standards'!$A$2:$A$305,MATCH(C1863,'GIS-Standards'!$B$2:$B$305,0))</f>
        <v>#N/A</v>
      </c>
      <c r="J1863" t="str">
        <f>INDEX('GIS-Standards'!$O$2:$O$305,MATCH(B1863,'GIS-Standards'!$B$2:$B$305,0))</f>
        <v>ISO/IEC JTC 1/SC 29</v>
      </c>
      <c r="K1863" t="e">
        <f>INDEX('GIS-Standards'!$O$2:$O$305,MATCH(C1863,'GIS-Standards'!$B$2:$B$305,0))</f>
        <v>#N/A</v>
      </c>
      <c r="M1863" t="s">
        <v>524</v>
      </c>
      <c r="N1863">
        <f>INDEX('GIS-Standards'!$I$2:$I$305,MATCH(B1863,'GIS-Standards'!$B$2:$B$305,0))</f>
        <v>0</v>
      </c>
      <c r="O1863" t="e">
        <f>INDEX('GIS-Standards'!$I$2:$I$305,MATCH(C1863,'GIS-Standards'!$B$2:$B$305,0))</f>
        <v>#N/A</v>
      </c>
      <c r="P1863" t="e">
        <f>AND(TableRelationships12[[#This Row],[Source Type]]="BIM",TableRelationships12[[#This Row],[Target Type]]="BIM")</f>
        <v>#N/A</v>
      </c>
      <c r="Q1863">
        <f t="shared" si="87"/>
        <v>6</v>
      </c>
      <c r="S1863">
        <f t="shared" si="88"/>
        <v>1</v>
      </c>
      <c r="T1863" s="102" t="str">
        <f>IF(TableRelationships12[[#This Row],[Rank Pedro]]="Low","linkCategory1",IF(TableRelationships12[[#This Row],[Rank Pedro]]="Medium","linkCategory2",IF(TableRelationships12[[#This Row],[Rank Pedro]]="High","linkCategory3","")))</f>
        <v/>
      </c>
      <c r="U1863" s="102" t="str">
        <f>IF(TableRelationships12[[#This Row],[Rank Pedro]]="Low","Pink",IF(TableRelationships12[[#This Row],[Rank Pedro]]="Medium","Purple",IF(TableRelationships12[[#This Row],[Rank Pedro]]="High","Brown","")))</f>
        <v/>
      </c>
      <c r="V1863" s="4" t="e">
        <f>MAX(INDEX(Standards!$F$2:$F$296,MATCH(B1863,Standards!$B$2:$B$296,0)),INDEX(Standards!$F$2:$F$296,MATCH(C1863,Standards!$B$2:$B$296,0)))</f>
        <v>#N/A</v>
      </c>
      <c r="W1863" t="str">
        <f t="shared" si="89"/>
        <v>#d6bf2a</v>
      </c>
    </row>
    <row r="1864" spans="1:23" x14ac:dyDescent="0.5">
      <c r="A1864" s="54">
        <v>1863</v>
      </c>
      <c r="B1864" s="90" t="s">
        <v>1357</v>
      </c>
      <c r="C1864" t="s">
        <v>1595</v>
      </c>
      <c r="D1864" s="1"/>
      <c r="G1864" s="107"/>
      <c r="H1864">
        <f>INDEX('GIS-Standards'!$A$2:$A$305,MATCH(B1864,'GIS-Standards'!$B$2:$B$305,0))</f>
        <v>86</v>
      </c>
      <c r="I1864" t="e">
        <f>INDEX('GIS-Standards'!$A$2:$A$305,MATCH(C1864,'GIS-Standards'!$B$2:$B$305,0))</f>
        <v>#N/A</v>
      </c>
      <c r="J1864" t="str">
        <f>INDEX('GIS-Standards'!$O$2:$O$305,MATCH(B1864,'GIS-Standards'!$B$2:$B$305,0))</f>
        <v>ISO/IEC JTC 1/SC 29</v>
      </c>
      <c r="K1864" t="e">
        <f>INDEX('GIS-Standards'!$O$2:$O$305,MATCH(C1864,'GIS-Standards'!$B$2:$B$305,0))</f>
        <v>#N/A</v>
      </c>
      <c r="M1864" t="s">
        <v>524</v>
      </c>
      <c r="N1864">
        <f>INDEX('GIS-Standards'!$I$2:$I$305,MATCH(B1864,'GIS-Standards'!$B$2:$B$305,0))</f>
        <v>0</v>
      </c>
      <c r="O1864" t="e">
        <f>INDEX('GIS-Standards'!$I$2:$I$305,MATCH(C1864,'GIS-Standards'!$B$2:$B$305,0))</f>
        <v>#N/A</v>
      </c>
      <c r="P1864" t="e">
        <f>AND(TableRelationships12[[#This Row],[Source Type]]="BIM",TableRelationships12[[#This Row],[Target Type]]="BIM")</f>
        <v>#N/A</v>
      </c>
      <c r="Q1864">
        <f t="shared" si="87"/>
        <v>6</v>
      </c>
      <c r="S1864">
        <f t="shared" si="88"/>
        <v>1</v>
      </c>
      <c r="T1864" s="102" t="str">
        <f>IF(TableRelationships12[[#This Row],[Rank Pedro]]="Low","linkCategory1",IF(TableRelationships12[[#This Row],[Rank Pedro]]="Medium","linkCategory2",IF(TableRelationships12[[#This Row],[Rank Pedro]]="High","linkCategory3","")))</f>
        <v/>
      </c>
      <c r="U1864" s="102" t="str">
        <f>IF(TableRelationships12[[#This Row],[Rank Pedro]]="Low","Pink",IF(TableRelationships12[[#This Row],[Rank Pedro]]="Medium","Purple",IF(TableRelationships12[[#This Row],[Rank Pedro]]="High","Brown","")))</f>
        <v/>
      </c>
      <c r="V1864" s="4" t="e">
        <f>MAX(INDEX(Standards!$F$2:$F$296,MATCH(B1864,Standards!$B$2:$B$296,0)),INDEX(Standards!$F$2:$F$296,MATCH(C1864,Standards!$B$2:$B$296,0)))</f>
        <v>#N/A</v>
      </c>
      <c r="W1864" t="str">
        <f t="shared" si="89"/>
        <v>#d6bf2a</v>
      </c>
    </row>
    <row r="1865" spans="1:23" x14ac:dyDescent="0.5">
      <c r="A1865" s="54">
        <v>1864</v>
      </c>
      <c r="B1865" s="90" t="s">
        <v>1357</v>
      </c>
      <c r="C1865" t="s">
        <v>1570</v>
      </c>
      <c r="D1865" s="1"/>
      <c r="G1865" s="107"/>
      <c r="H1865">
        <f>INDEX('GIS-Standards'!$A$2:$A$305,MATCH(B1865,'GIS-Standards'!$B$2:$B$305,0))</f>
        <v>86</v>
      </c>
      <c r="I1865" t="e">
        <f>INDEX('GIS-Standards'!$A$2:$A$305,MATCH(C1865,'GIS-Standards'!$B$2:$B$305,0))</f>
        <v>#N/A</v>
      </c>
      <c r="J1865" t="str">
        <f>INDEX('GIS-Standards'!$O$2:$O$305,MATCH(B1865,'GIS-Standards'!$B$2:$B$305,0))</f>
        <v>ISO/IEC JTC 1/SC 29</v>
      </c>
      <c r="K1865" t="e">
        <f>INDEX('GIS-Standards'!$O$2:$O$305,MATCH(C1865,'GIS-Standards'!$B$2:$B$305,0))</f>
        <v>#N/A</v>
      </c>
      <c r="M1865" t="s">
        <v>524</v>
      </c>
      <c r="N1865">
        <f>INDEX('GIS-Standards'!$I$2:$I$305,MATCH(B1865,'GIS-Standards'!$B$2:$B$305,0))</f>
        <v>0</v>
      </c>
      <c r="O1865" t="e">
        <f>INDEX('GIS-Standards'!$I$2:$I$305,MATCH(C1865,'GIS-Standards'!$B$2:$B$305,0))</f>
        <v>#N/A</v>
      </c>
      <c r="P1865" t="e">
        <f>AND(TableRelationships12[[#This Row],[Source Type]]="BIM",TableRelationships12[[#This Row],[Target Type]]="BIM")</f>
        <v>#N/A</v>
      </c>
      <c r="Q1865">
        <f t="shared" si="87"/>
        <v>6</v>
      </c>
      <c r="S1865">
        <f t="shared" si="88"/>
        <v>1</v>
      </c>
      <c r="T1865" s="102" t="str">
        <f>IF(TableRelationships12[[#This Row],[Rank Pedro]]="Low","linkCategory1",IF(TableRelationships12[[#This Row],[Rank Pedro]]="Medium","linkCategory2",IF(TableRelationships12[[#This Row],[Rank Pedro]]="High","linkCategory3","")))</f>
        <v/>
      </c>
      <c r="U1865" s="102" t="str">
        <f>IF(TableRelationships12[[#This Row],[Rank Pedro]]="Low","Pink",IF(TableRelationships12[[#This Row],[Rank Pedro]]="Medium","Purple",IF(TableRelationships12[[#This Row],[Rank Pedro]]="High","Brown","")))</f>
        <v/>
      </c>
      <c r="V1865" s="4" t="e">
        <f>MAX(INDEX(Standards!$F$2:$F$296,MATCH(B1865,Standards!$B$2:$B$296,0)),INDEX(Standards!$F$2:$F$296,MATCH(C1865,Standards!$B$2:$B$296,0)))</f>
        <v>#N/A</v>
      </c>
      <c r="W1865" t="str">
        <f t="shared" si="89"/>
        <v>#d6bf2a</v>
      </c>
    </row>
    <row r="1866" spans="1:23" x14ac:dyDescent="0.5">
      <c r="A1866" s="54">
        <v>1865</v>
      </c>
      <c r="B1866" s="90" t="s">
        <v>1357</v>
      </c>
      <c r="C1866" t="s">
        <v>1141</v>
      </c>
      <c r="D1866" s="1"/>
      <c r="G1866" s="107"/>
      <c r="H1866">
        <f>INDEX('GIS-Standards'!$A$2:$A$305,MATCH(B1866,'GIS-Standards'!$B$2:$B$305,0))</f>
        <v>86</v>
      </c>
      <c r="I1866" t="e">
        <f>INDEX('GIS-Standards'!$A$2:$A$305,MATCH(C1866,'GIS-Standards'!$B$2:$B$305,0))</f>
        <v>#N/A</v>
      </c>
      <c r="J1866" t="str">
        <f>INDEX('GIS-Standards'!$O$2:$O$305,MATCH(B1866,'GIS-Standards'!$B$2:$B$305,0))</f>
        <v>ISO/IEC JTC 1/SC 29</v>
      </c>
      <c r="K1866" t="e">
        <f>INDEX('GIS-Standards'!$O$2:$O$305,MATCH(C1866,'GIS-Standards'!$B$2:$B$305,0))</f>
        <v>#N/A</v>
      </c>
      <c r="M1866" t="s">
        <v>524</v>
      </c>
      <c r="N1866">
        <f>INDEX('GIS-Standards'!$I$2:$I$305,MATCH(B1866,'GIS-Standards'!$B$2:$B$305,0))</f>
        <v>0</v>
      </c>
      <c r="O1866" t="e">
        <f>INDEX('GIS-Standards'!$I$2:$I$305,MATCH(C1866,'GIS-Standards'!$B$2:$B$305,0))</f>
        <v>#N/A</v>
      </c>
      <c r="P1866" t="e">
        <f>AND(TableRelationships12[[#This Row],[Source Type]]="BIM",TableRelationships12[[#This Row],[Target Type]]="BIM")</f>
        <v>#N/A</v>
      </c>
      <c r="Q1866">
        <f t="shared" si="87"/>
        <v>6</v>
      </c>
      <c r="S1866">
        <f t="shared" si="88"/>
        <v>1</v>
      </c>
      <c r="T1866" s="102" t="str">
        <f>IF(TableRelationships12[[#This Row],[Rank Pedro]]="Low","linkCategory1",IF(TableRelationships12[[#This Row],[Rank Pedro]]="Medium","linkCategory2",IF(TableRelationships12[[#This Row],[Rank Pedro]]="High","linkCategory3","")))</f>
        <v/>
      </c>
      <c r="U1866" s="102" t="str">
        <f>IF(TableRelationships12[[#This Row],[Rank Pedro]]="Low","Pink",IF(TableRelationships12[[#This Row],[Rank Pedro]]="Medium","Purple",IF(TableRelationships12[[#This Row],[Rank Pedro]]="High","Brown","")))</f>
        <v/>
      </c>
      <c r="V1866" s="4" t="e">
        <f>MAX(INDEX(Standards!$F$2:$F$296,MATCH(B1866,Standards!$B$2:$B$296,0)),INDEX(Standards!$F$2:$F$296,MATCH(C1866,Standards!$B$2:$B$296,0)))</f>
        <v>#N/A</v>
      </c>
      <c r="W1866" t="str">
        <f t="shared" si="89"/>
        <v>#d6bf2a</v>
      </c>
    </row>
    <row r="1867" spans="1:23" x14ac:dyDescent="0.5">
      <c r="A1867" s="54">
        <v>1866</v>
      </c>
      <c r="B1867" s="90" t="s">
        <v>1357</v>
      </c>
      <c r="C1867" t="s">
        <v>1142</v>
      </c>
      <c r="D1867" s="1"/>
      <c r="G1867" s="107"/>
      <c r="H1867">
        <f>INDEX('GIS-Standards'!$A$2:$A$305,MATCH(B1867,'GIS-Standards'!$B$2:$B$305,0))</f>
        <v>86</v>
      </c>
      <c r="I1867" t="e">
        <f>INDEX('GIS-Standards'!$A$2:$A$305,MATCH(C1867,'GIS-Standards'!$B$2:$B$305,0))</f>
        <v>#N/A</v>
      </c>
      <c r="J1867" t="str">
        <f>INDEX('GIS-Standards'!$O$2:$O$305,MATCH(B1867,'GIS-Standards'!$B$2:$B$305,0))</f>
        <v>ISO/IEC JTC 1/SC 29</v>
      </c>
      <c r="K1867" t="e">
        <f>INDEX('GIS-Standards'!$O$2:$O$305,MATCH(C1867,'GIS-Standards'!$B$2:$B$305,0))</f>
        <v>#N/A</v>
      </c>
      <c r="M1867" t="s">
        <v>524</v>
      </c>
      <c r="N1867">
        <f>INDEX('GIS-Standards'!$I$2:$I$305,MATCH(B1867,'GIS-Standards'!$B$2:$B$305,0))</f>
        <v>0</v>
      </c>
      <c r="O1867" t="e">
        <f>INDEX('GIS-Standards'!$I$2:$I$305,MATCH(C1867,'GIS-Standards'!$B$2:$B$305,0))</f>
        <v>#N/A</v>
      </c>
      <c r="P1867" t="e">
        <f>AND(TableRelationships12[[#This Row],[Source Type]]="BIM",TableRelationships12[[#This Row],[Target Type]]="BIM")</f>
        <v>#N/A</v>
      </c>
      <c r="Q1867">
        <f t="shared" si="87"/>
        <v>6</v>
      </c>
      <c r="S1867">
        <f t="shared" si="88"/>
        <v>1</v>
      </c>
      <c r="T1867" s="102" t="str">
        <f>IF(TableRelationships12[[#This Row],[Rank Pedro]]="Low","linkCategory1",IF(TableRelationships12[[#This Row],[Rank Pedro]]="Medium","linkCategory2",IF(TableRelationships12[[#This Row],[Rank Pedro]]="High","linkCategory3","")))</f>
        <v/>
      </c>
      <c r="U1867" s="102" t="str">
        <f>IF(TableRelationships12[[#This Row],[Rank Pedro]]="Low","Pink",IF(TableRelationships12[[#This Row],[Rank Pedro]]="Medium","Purple",IF(TableRelationships12[[#This Row],[Rank Pedro]]="High","Brown","")))</f>
        <v/>
      </c>
      <c r="V1867" s="4" t="e">
        <f>MAX(INDEX(Standards!$F$2:$F$296,MATCH(B1867,Standards!$B$2:$B$296,0)),INDEX(Standards!$F$2:$F$296,MATCH(C1867,Standards!$B$2:$B$296,0)))</f>
        <v>#N/A</v>
      </c>
      <c r="W1867" t="str">
        <f t="shared" si="89"/>
        <v>#d6bf2a</v>
      </c>
    </row>
    <row r="1868" spans="1:23" x14ac:dyDescent="0.5">
      <c r="A1868" s="54">
        <v>1867</v>
      </c>
      <c r="B1868" s="90" t="s">
        <v>1700</v>
      </c>
      <c r="C1868" t="s">
        <v>527</v>
      </c>
      <c r="D1868" s="1"/>
      <c r="E1868" s="112">
        <v>2023.07</v>
      </c>
      <c r="F1868" s="112">
        <v>2023.07</v>
      </c>
      <c r="G1868" s="121">
        <v>35.14</v>
      </c>
      <c r="H1868">
        <f>INDEX('GIS-Standards'!$A$2:$A$305,MATCH(B1868,'GIS-Standards'!$B$2:$B$305,0))</f>
        <v>87</v>
      </c>
      <c r="I1868" t="e">
        <f>INDEX('GIS-Standards'!$A$2:$A$305,MATCH(C1868,'GIS-Standards'!$B$2:$B$305,0))</f>
        <v>#N/A</v>
      </c>
      <c r="J1868" t="str">
        <f>INDEX('GIS-Standards'!$O$2:$O$305,MATCH(B1868,'GIS-Standards'!$B$2:$B$305,0))</f>
        <v>ISO/IEC JTC 1/SC 24</v>
      </c>
      <c r="K1868" t="e">
        <f>INDEX('GIS-Standards'!$O$2:$O$305,MATCH(C1868,'GIS-Standards'!$B$2:$B$305,0))</f>
        <v>#N/A</v>
      </c>
      <c r="M1868" t="s">
        <v>237</v>
      </c>
      <c r="N1868">
        <f>INDEX('GIS-Standards'!$I$2:$I$305,MATCH(B1868,'GIS-Standards'!$B$2:$B$305,0))</f>
        <v>0</v>
      </c>
      <c r="O1868" t="e">
        <f>INDEX('GIS-Standards'!$I$2:$I$305,MATCH(C1868,'GIS-Standards'!$B$2:$B$305,0))</f>
        <v>#N/A</v>
      </c>
      <c r="P1868" t="e">
        <f>AND(TableRelationships12[[#This Row],[Source Type]]="BIM",TableRelationships12[[#This Row],[Target Type]]="BIM")</f>
        <v>#N/A</v>
      </c>
      <c r="Q1868">
        <f t="shared" si="87"/>
        <v>2</v>
      </c>
      <c r="S1868">
        <f t="shared" si="88"/>
        <v>1</v>
      </c>
      <c r="T1868" s="102" t="str">
        <f>IF(TableRelationships12[[#This Row],[Rank Pedro]]="Low","linkCategory1",IF(TableRelationships12[[#This Row],[Rank Pedro]]="Medium","linkCategory2",IF(TableRelationships12[[#This Row],[Rank Pedro]]="High","linkCategory3","")))</f>
        <v/>
      </c>
      <c r="U1868" s="102" t="str">
        <f>IF(TableRelationships12[[#This Row],[Rank Pedro]]="Low","Pink",IF(TableRelationships12[[#This Row],[Rank Pedro]]="Medium","Purple",IF(TableRelationships12[[#This Row],[Rank Pedro]]="High","Brown","")))</f>
        <v/>
      </c>
      <c r="V1868" s="4" t="e">
        <f>MAX(INDEX(Standards!$F$2:$F$296,MATCH(B1868,Standards!$B$2:$B$296,0)),INDEX(Standards!$F$2:$F$296,MATCH(C1868,Standards!$B$2:$B$296,0)))</f>
        <v>#N/A</v>
      </c>
      <c r="W1868">
        <f t="shared" si="89"/>
        <v>1</v>
      </c>
    </row>
    <row r="1869" spans="1:23" x14ac:dyDescent="0.5">
      <c r="A1869" s="54">
        <v>1868</v>
      </c>
      <c r="B1869" s="90" t="s">
        <v>1700</v>
      </c>
      <c r="C1869" t="s">
        <v>1880</v>
      </c>
      <c r="D1869" s="1"/>
      <c r="E1869" s="112">
        <v>2006.05</v>
      </c>
      <c r="F1869" s="112">
        <v>2019.11</v>
      </c>
      <c r="G1869" s="107" t="s">
        <v>1500</v>
      </c>
      <c r="H1869">
        <f>INDEX('GIS-Standards'!$A$2:$A$305,MATCH(B1869,'GIS-Standards'!$B$2:$B$305,0))</f>
        <v>87</v>
      </c>
      <c r="I1869" t="e">
        <f>INDEX('GIS-Standards'!$A$2:$A$305,MATCH(C1869,'GIS-Standards'!$B$2:$B$305,0))</f>
        <v>#N/A</v>
      </c>
      <c r="J1869" t="str">
        <f>INDEX('GIS-Standards'!$O$2:$O$305,MATCH(B1869,'GIS-Standards'!$B$2:$B$305,0))</f>
        <v>ISO/IEC JTC 1/SC 24</v>
      </c>
      <c r="K1869" t="e">
        <f>INDEX('GIS-Standards'!$O$2:$O$305,MATCH(C1869,'GIS-Standards'!$B$2:$B$305,0))</f>
        <v>#N/A</v>
      </c>
      <c r="M1869" t="s">
        <v>525</v>
      </c>
      <c r="N1869">
        <f>INDEX('GIS-Standards'!$I$2:$I$305,MATCH(B1869,'GIS-Standards'!$B$2:$B$305,0))</f>
        <v>0</v>
      </c>
      <c r="O1869" t="e">
        <f>INDEX('GIS-Standards'!$I$2:$I$305,MATCH(C1869,'GIS-Standards'!$B$2:$B$305,0))</f>
        <v>#N/A</v>
      </c>
      <c r="P1869" t="e">
        <f>AND(TableRelationships12[[#This Row],[Source Type]]="BIM",TableRelationships12[[#This Row],[Target Type]]="BIM")</f>
        <v>#N/A</v>
      </c>
      <c r="Q1869">
        <f t="shared" si="87"/>
        <v>1</v>
      </c>
      <c r="S1869">
        <f t="shared" si="88"/>
        <v>1</v>
      </c>
      <c r="T1869" s="102" t="str">
        <f>IF(TableRelationships12[[#This Row],[Rank Pedro]]="Low","linkCategory1",IF(TableRelationships12[[#This Row],[Rank Pedro]]="Medium","linkCategory2",IF(TableRelationships12[[#This Row],[Rank Pedro]]="High","linkCategory3","")))</f>
        <v/>
      </c>
      <c r="U1869" s="102" t="str">
        <f>IF(TableRelationships12[[#This Row],[Rank Pedro]]="Low","Pink",IF(TableRelationships12[[#This Row],[Rank Pedro]]="Medium","Purple",IF(TableRelationships12[[#This Row],[Rank Pedro]]="High","Brown","")))</f>
        <v/>
      </c>
      <c r="V1869" s="4" t="e">
        <f>MAX(INDEX(Standards!$F$2:$F$296,MATCH(B1869,Standards!$B$2:$B$296,0)),INDEX(Standards!$F$2:$F$296,MATCH(C1869,Standards!$B$2:$B$296,0)))</f>
        <v>#N/A</v>
      </c>
      <c r="W1869" t="str">
        <f t="shared" si="89"/>
        <v>#2f89d1</v>
      </c>
    </row>
    <row r="1870" spans="1:23" x14ac:dyDescent="0.5">
      <c r="A1870" s="54">
        <v>1869</v>
      </c>
      <c r="B1870" s="90" t="s">
        <v>1700</v>
      </c>
      <c r="C1870" t="s">
        <v>1881</v>
      </c>
      <c r="D1870" s="1"/>
      <c r="E1870" s="112">
        <v>2006.05</v>
      </c>
      <c r="F1870" s="112">
        <v>2019.11</v>
      </c>
      <c r="G1870" s="107" t="s">
        <v>1500</v>
      </c>
      <c r="H1870">
        <f>INDEX('GIS-Standards'!$A$2:$A$305,MATCH(B1870,'GIS-Standards'!$B$2:$B$305,0))</f>
        <v>87</v>
      </c>
      <c r="I1870" t="e">
        <f>INDEX('GIS-Standards'!$A$2:$A$305,MATCH(C1870,'GIS-Standards'!$B$2:$B$305,0))</f>
        <v>#N/A</v>
      </c>
      <c r="J1870" t="str">
        <f>INDEX('GIS-Standards'!$O$2:$O$305,MATCH(B1870,'GIS-Standards'!$B$2:$B$305,0))</f>
        <v>ISO/IEC JTC 1/SC 24</v>
      </c>
      <c r="K1870" t="e">
        <f>INDEX('GIS-Standards'!$O$2:$O$305,MATCH(C1870,'GIS-Standards'!$B$2:$B$305,0))</f>
        <v>#N/A</v>
      </c>
      <c r="M1870" t="s">
        <v>525</v>
      </c>
      <c r="N1870">
        <f>INDEX('GIS-Standards'!$I$2:$I$305,MATCH(B1870,'GIS-Standards'!$B$2:$B$305,0))</f>
        <v>0</v>
      </c>
      <c r="O1870" t="e">
        <f>INDEX('GIS-Standards'!$I$2:$I$305,MATCH(C1870,'GIS-Standards'!$B$2:$B$305,0))</f>
        <v>#N/A</v>
      </c>
      <c r="P1870" t="e">
        <f>AND(TableRelationships12[[#This Row],[Source Type]]="BIM",TableRelationships12[[#This Row],[Target Type]]="BIM")</f>
        <v>#N/A</v>
      </c>
      <c r="Q1870">
        <f t="shared" si="87"/>
        <v>1</v>
      </c>
      <c r="S1870">
        <f t="shared" si="88"/>
        <v>1</v>
      </c>
      <c r="T1870" s="102" t="str">
        <f>IF(TableRelationships12[[#This Row],[Rank Pedro]]="Low","linkCategory1",IF(TableRelationships12[[#This Row],[Rank Pedro]]="Medium","linkCategory2",IF(TableRelationships12[[#This Row],[Rank Pedro]]="High","linkCategory3","")))</f>
        <v/>
      </c>
      <c r="U1870" s="102" t="str">
        <f>IF(TableRelationships12[[#This Row],[Rank Pedro]]="Low","Pink",IF(TableRelationships12[[#This Row],[Rank Pedro]]="Medium","Purple",IF(TableRelationships12[[#This Row],[Rank Pedro]]="High","Brown","")))</f>
        <v/>
      </c>
      <c r="V1870" s="4" t="e">
        <f>MAX(INDEX(Standards!$F$2:$F$296,MATCH(B1870,Standards!$B$2:$B$296,0)),INDEX(Standards!$F$2:$F$296,MATCH(C1870,Standards!$B$2:$B$296,0)))</f>
        <v>#N/A</v>
      </c>
      <c r="W1870" t="str">
        <f t="shared" si="89"/>
        <v>#2f89d1</v>
      </c>
    </row>
    <row r="1871" spans="1:23" x14ac:dyDescent="0.5">
      <c r="A1871" s="54">
        <v>1870</v>
      </c>
      <c r="B1871" s="90" t="s">
        <v>1700</v>
      </c>
      <c r="C1871" t="s">
        <v>1882</v>
      </c>
      <c r="D1871" s="1"/>
      <c r="E1871" s="112">
        <v>2004.12</v>
      </c>
      <c r="F1871" s="112">
        <v>2023.12</v>
      </c>
      <c r="G1871" s="107" t="s">
        <v>1500</v>
      </c>
      <c r="H1871">
        <f>INDEX('GIS-Standards'!$A$2:$A$305,MATCH(B1871,'GIS-Standards'!$B$2:$B$305,0))</f>
        <v>87</v>
      </c>
      <c r="I1871" t="e">
        <f>INDEX('GIS-Standards'!$A$2:$A$305,MATCH(C1871,'GIS-Standards'!$B$2:$B$305,0))</f>
        <v>#N/A</v>
      </c>
      <c r="J1871" t="str">
        <f>INDEX('GIS-Standards'!$O$2:$O$305,MATCH(B1871,'GIS-Standards'!$B$2:$B$305,0))</f>
        <v>ISO/IEC JTC 1/SC 24</v>
      </c>
      <c r="K1871" t="e">
        <f>INDEX('GIS-Standards'!$O$2:$O$305,MATCH(C1871,'GIS-Standards'!$B$2:$B$305,0))</f>
        <v>#N/A</v>
      </c>
      <c r="M1871" t="s">
        <v>525</v>
      </c>
      <c r="N1871">
        <f>INDEX('GIS-Standards'!$I$2:$I$305,MATCH(B1871,'GIS-Standards'!$B$2:$B$305,0))</f>
        <v>0</v>
      </c>
      <c r="O1871" t="e">
        <f>INDEX('GIS-Standards'!$I$2:$I$305,MATCH(C1871,'GIS-Standards'!$B$2:$B$305,0))</f>
        <v>#N/A</v>
      </c>
      <c r="P1871" t="e">
        <f>AND(TableRelationships12[[#This Row],[Source Type]]="BIM",TableRelationships12[[#This Row],[Target Type]]="BIM")</f>
        <v>#N/A</v>
      </c>
      <c r="Q1871">
        <f t="shared" si="87"/>
        <v>1</v>
      </c>
      <c r="S1871">
        <f t="shared" si="88"/>
        <v>1</v>
      </c>
      <c r="T1871" s="102" t="str">
        <f>IF(TableRelationships12[[#This Row],[Rank Pedro]]="Low","linkCategory1",IF(TableRelationships12[[#This Row],[Rank Pedro]]="Medium","linkCategory2",IF(TableRelationships12[[#This Row],[Rank Pedro]]="High","linkCategory3","")))</f>
        <v/>
      </c>
      <c r="U1871" s="102" t="str">
        <f>IF(TableRelationships12[[#This Row],[Rank Pedro]]="Low","Pink",IF(TableRelationships12[[#This Row],[Rank Pedro]]="Medium","Purple",IF(TableRelationships12[[#This Row],[Rank Pedro]]="High","Brown","")))</f>
        <v/>
      </c>
      <c r="V1871" s="4" t="e">
        <f>MAX(INDEX(Standards!$F$2:$F$296,MATCH(B1871,Standards!$B$2:$B$296,0)),INDEX(Standards!$F$2:$F$296,MATCH(C1871,Standards!$B$2:$B$296,0)))</f>
        <v>#N/A</v>
      </c>
      <c r="W1871" t="str">
        <f t="shared" si="89"/>
        <v>#2f89d1</v>
      </c>
    </row>
    <row r="1872" spans="1:23" x14ac:dyDescent="0.5">
      <c r="A1872" s="54">
        <v>1871</v>
      </c>
      <c r="B1872" s="90" t="s">
        <v>1700</v>
      </c>
      <c r="C1872" t="s">
        <v>1260</v>
      </c>
      <c r="D1872" s="1"/>
      <c r="E1872" s="112">
        <v>1998.1</v>
      </c>
      <c r="F1872" s="112">
        <v>2025.08</v>
      </c>
      <c r="G1872" s="107" t="s">
        <v>1500</v>
      </c>
      <c r="H1872">
        <f>INDEX('GIS-Standards'!$A$2:$A$305,MATCH(B1872,'GIS-Standards'!$B$2:$B$305,0))</f>
        <v>87</v>
      </c>
      <c r="I1872" t="e">
        <f>INDEX('GIS-Standards'!$A$2:$A$305,MATCH(C1872,'GIS-Standards'!$B$2:$B$305,0))</f>
        <v>#N/A</v>
      </c>
      <c r="J1872" t="str">
        <f>INDEX('GIS-Standards'!$O$2:$O$305,MATCH(B1872,'GIS-Standards'!$B$2:$B$305,0))</f>
        <v>ISO/IEC JTC 1/SC 24</v>
      </c>
      <c r="K1872" t="e">
        <f>INDEX('GIS-Standards'!$O$2:$O$305,MATCH(C1872,'GIS-Standards'!$B$2:$B$305,0))</f>
        <v>#N/A</v>
      </c>
      <c r="M1872" t="s">
        <v>525</v>
      </c>
      <c r="N1872">
        <f>INDEX('GIS-Standards'!$I$2:$I$305,MATCH(B1872,'GIS-Standards'!$B$2:$B$305,0))</f>
        <v>0</v>
      </c>
      <c r="O1872" t="e">
        <f>INDEX('GIS-Standards'!$I$2:$I$305,MATCH(C1872,'GIS-Standards'!$B$2:$B$305,0))</f>
        <v>#N/A</v>
      </c>
      <c r="P1872" t="e">
        <f>AND(TableRelationships12[[#This Row],[Source Type]]="BIM",TableRelationships12[[#This Row],[Target Type]]="BIM")</f>
        <v>#N/A</v>
      </c>
      <c r="Q1872">
        <f t="shared" si="87"/>
        <v>1</v>
      </c>
      <c r="S1872">
        <f t="shared" si="88"/>
        <v>1</v>
      </c>
      <c r="T1872" s="102" t="str">
        <f>IF(TableRelationships12[[#This Row],[Rank Pedro]]="Low","linkCategory1",IF(TableRelationships12[[#This Row],[Rank Pedro]]="Medium","linkCategory2",IF(TableRelationships12[[#This Row],[Rank Pedro]]="High","linkCategory3","")))</f>
        <v/>
      </c>
      <c r="U1872" s="102" t="str">
        <f>IF(TableRelationships12[[#This Row],[Rank Pedro]]="Low","Pink",IF(TableRelationships12[[#This Row],[Rank Pedro]]="Medium","Purple",IF(TableRelationships12[[#This Row],[Rank Pedro]]="High","Brown","")))</f>
        <v/>
      </c>
      <c r="V1872" s="4" t="e">
        <f>MAX(INDEX(Standards!$F$2:$F$296,MATCH(B1872,Standards!$B$2:$B$296,0)),INDEX(Standards!$F$2:$F$296,MATCH(C1872,Standards!$B$2:$B$296,0)))</f>
        <v>#N/A</v>
      </c>
      <c r="W1872" t="str">
        <f t="shared" si="89"/>
        <v>#2f89d1</v>
      </c>
    </row>
    <row r="1873" spans="1:23" x14ac:dyDescent="0.5">
      <c r="A1873" s="54">
        <v>1872</v>
      </c>
      <c r="B1873" s="90" t="s">
        <v>1700</v>
      </c>
      <c r="C1873" t="s">
        <v>210</v>
      </c>
      <c r="D1873" s="1" t="s">
        <v>1676</v>
      </c>
      <c r="E1873" s="112">
        <v>2018.12</v>
      </c>
      <c r="F1873" s="112">
        <v>2018.12</v>
      </c>
      <c r="G1873" s="107" t="s">
        <v>2061</v>
      </c>
      <c r="H1873">
        <f>INDEX('GIS-Standards'!$A$2:$A$305,MATCH(B1873,'GIS-Standards'!$B$2:$B$305,0))</f>
        <v>87</v>
      </c>
      <c r="I1873" t="e">
        <f>INDEX('GIS-Standards'!$A$2:$A$305,MATCH(C1873,'GIS-Standards'!$B$2:$B$305,0))</f>
        <v>#N/A</v>
      </c>
      <c r="J1873" t="str">
        <f>INDEX('GIS-Standards'!$O$2:$O$305,MATCH(B1873,'GIS-Standards'!$B$2:$B$305,0))</f>
        <v>ISO/IEC JTC 1/SC 24</v>
      </c>
      <c r="K1873" t="e">
        <f>INDEX('GIS-Standards'!$O$2:$O$305,MATCH(C1873,'GIS-Standards'!$B$2:$B$305,0))</f>
        <v>#N/A</v>
      </c>
      <c r="M1873" t="s">
        <v>525</v>
      </c>
      <c r="N1873">
        <f>INDEX('GIS-Standards'!$I$2:$I$305,MATCH(B1873,'GIS-Standards'!$B$2:$B$305,0))</f>
        <v>0</v>
      </c>
      <c r="O1873" t="e">
        <f>INDEX('GIS-Standards'!$I$2:$I$305,MATCH(C1873,'GIS-Standards'!$B$2:$B$305,0))</f>
        <v>#N/A</v>
      </c>
      <c r="P1873" t="e">
        <f>AND(TableRelationships12[[#This Row],[Source Type]]="BIM",TableRelationships12[[#This Row],[Target Type]]="BIM")</f>
        <v>#N/A</v>
      </c>
      <c r="Q1873">
        <f t="shared" si="87"/>
        <v>1</v>
      </c>
      <c r="S1873">
        <f t="shared" si="88"/>
        <v>1</v>
      </c>
      <c r="T1873" s="102" t="str">
        <f>IF(TableRelationships12[[#This Row],[Rank Pedro]]="Low","linkCategory1",IF(TableRelationships12[[#This Row],[Rank Pedro]]="Medium","linkCategory2",IF(TableRelationships12[[#This Row],[Rank Pedro]]="High","linkCategory3","")))</f>
        <v/>
      </c>
      <c r="U1873" s="102" t="str">
        <f>IF(TableRelationships12[[#This Row],[Rank Pedro]]="Low","Pink",IF(TableRelationships12[[#This Row],[Rank Pedro]]="Medium","Purple",IF(TableRelationships12[[#This Row],[Rank Pedro]]="High","Brown","")))</f>
        <v/>
      </c>
      <c r="V1873" s="4" t="e">
        <f>MAX(INDEX(Standards!$F$2:$F$296,MATCH(B1873,Standards!$B$2:$B$296,0)),INDEX(Standards!$F$2:$F$296,MATCH(C1873,Standards!$B$2:$B$296,0)))</f>
        <v>#N/A</v>
      </c>
      <c r="W1873" t="str">
        <f t="shared" si="89"/>
        <v>#2f89d1</v>
      </c>
    </row>
    <row r="1874" spans="1:23" x14ac:dyDescent="0.5">
      <c r="A1874" s="54">
        <v>1873</v>
      </c>
      <c r="B1874" s="90" t="s">
        <v>1700</v>
      </c>
      <c r="C1874" t="s">
        <v>1228</v>
      </c>
      <c r="D1874" s="1"/>
      <c r="F1874" s="112">
        <v>2023.06</v>
      </c>
      <c r="G1874" s="107"/>
      <c r="H1874">
        <f>INDEX('GIS-Standards'!$A$2:$A$305,MATCH(B1874,'GIS-Standards'!$B$2:$B$305,0))</f>
        <v>87</v>
      </c>
      <c r="I1874" t="e">
        <f>INDEX('GIS-Standards'!$A$2:$A$305,MATCH(C1874,'GIS-Standards'!$B$2:$B$305,0))</f>
        <v>#N/A</v>
      </c>
      <c r="J1874" t="str">
        <f>INDEX('GIS-Standards'!$O$2:$O$305,MATCH(B1874,'GIS-Standards'!$B$2:$B$305,0))</f>
        <v>ISO/IEC JTC 1/SC 24</v>
      </c>
      <c r="K1874" t="e">
        <f>INDEX('GIS-Standards'!$O$2:$O$305,MATCH(C1874,'GIS-Standards'!$B$2:$B$305,0))</f>
        <v>#N/A</v>
      </c>
      <c r="M1874" t="s">
        <v>525</v>
      </c>
      <c r="N1874">
        <f>INDEX('GIS-Standards'!$I$2:$I$305,MATCH(B1874,'GIS-Standards'!$B$2:$B$305,0))</f>
        <v>0</v>
      </c>
      <c r="O1874" t="e">
        <f>INDEX('GIS-Standards'!$I$2:$I$305,MATCH(C1874,'GIS-Standards'!$B$2:$B$305,0))</f>
        <v>#N/A</v>
      </c>
      <c r="P1874" t="e">
        <f>AND(TableRelationships12[[#This Row],[Source Type]]="BIM",TableRelationships12[[#This Row],[Target Type]]="BIM")</f>
        <v>#N/A</v>
      </c>
      <c r="Q1874">
        <f t="shared" si="87"/>
        <v>1</v>
      </c>
      <c r="S1874">
        <f t="shared" si="88"/>
        <v>1</v>
      </c>
      <c r="T1874" s="102" t="str">
        <f>IF(TableRelationships12[[#This Row],[Rank Pedro]]="Low","linkCategory1",IF(TableRelationships12[[#This Row],[Rank Pedro]]="Medium","linkCategory2",IF(TableRelationships12[[#This Row],[Rank Pedro]]="High","linkCategory3","")))</f>
        <v/>
      </c>
      <c r="U1874" s="102" t="str">
        <f>IF(TableRelationships12[[#This Row],[Rank Pedro]]="Low","Pink",IF(TableRelationships12[[#This Row],[Rank Pedro]]="Medium","Purple",IF(TableRelationships12[[#This Row],[Rank Pedro]]="High","Brown","")))</f>
        <v/>
      </c>
      <c r="V1874" s="4" t="e">
        <f>MAX(INDEX(Standards!$F$2:$F$296,MATCH(B1874,Standards!$B$2:$B$296,0)),INDEX(Standards!$F$2:$F$296,MATCH(C1874,Standards!$B$2:$B$296,0)))</f>
        <v>#N/A</v>
      </c>
      <c r="W1874" t="str">
        <f t="shared" si="89"/>
        <v>#2f89d1</v>
      </c>
    </row>
    <row r="1875" spans="1:23" x14ac:dyDescent="0.5">
      <c r="A1875" s="54">
        <v>1874</v>
      </c>
      <c r="B1875" s="90" t="s">
        <v>1700</v>
      </c>
      <c r="C1875" t="s">
        <v>285</v>
      </c>
      <c r="D1875" s="1"/>
      <c r="E1875" s="112">
        <v>2004.03</v>
      </c>
      <c r="F1875" s="112">
        <v>2004.03</v>
      </c>
      <c r="G1875" s="107" t="s">
        <v>1500</v>
      </c>
      <c r="H1875">
        <f>INDEX('GIS-Standards'!$A$2:$A$305,MATCH(B1875,'GIS-Standards'!$B$2:$B$305,0))</f>
        <v>87</v>
      </c>
      <c r="I1875" t="e">
        <f>INDEX('GIS-Standards'!$A$2:$A$305,MATCH(C1875,'GIS-Standards'!$B$2:$B$305,0))</f>
        <v>#N/A</v>
      </c>
      <c r="J1875" t="str">
        <f>INDEX('GIS-Standards'!$O$2:$O$305,MATCH(B1875,'GIS-Standards'!$B$2:$B$305,0))</f>
        <v>ISO/IEC JTC 1/SC 24</v>
      </c>
      <c r="K1875" t="e">
        <f>INDEX('GIS-Standards'!$O$2:$O$305,MATCH(C1875,'GIS-Standards'!$B$2:$B$305,0))</f>
        <v>#N/A</v>
      </c>
      <c r="M1875" t="s">
        <v>525</v>
      </c>
      <c r="N1875">
        <f>INDEX('GIS-Standards'!$I$2:$I$305,MATCH(B1875,'GIS-Standards'!$B$2:$B$305,0))</f>
        <v>0</v>
      </c>
      <c r="O1875" t="e">
        <f>INDEX('GIS-Standards'!$I$2:$I$305,MATCH(C1875,'GIS-Standards'!$B$2:$B$305,0))</f>
        <v>#N/A</v>
      </c>
      <c r="P1875" t="e">
        <f>AND(TableRelationships12[[#This Row],[Source Type]]="BIM",TableRelationships12[[#This Row],[Target Type]]="BIM")</f>
        <v>#N/A</v>
      </c>
      <c r="Q1875">
        <f t="shared" si="87"/>
        <v>1</v>
      </c>
      <c r="S1875">
        <f t="shared" si="88"/>
        <v>1</v>
      </c>
      <c r="T1875" s="102" t="str">
        <f>IF(TableRelationships12[[#This Row],[Rank Pedro]]="Low","linkCategory1",IF(TableRelationships12[[#This Row],[Rank Pedro]]="Medium","linkCategory2",IF(TableRelationships12[[#This Row],[Rank Pedro]]="High","linkCategory3","")))</f>
        <v/>
      </c>
      <c r="U1875" s="102" t="str">
        <f>IF(TableRelationships12[[#This Row],[Rank Pedro]]="Low","Pink",IF(TableRelationships12[[#This Row],[Rank Pedro]]="Medium","Purple",IF(TableRelationships12[[#This Row],[Rank Pedro]]="High","Brown","")))</f>
        <v/>
      </c>
      <c r="V1875" s="4" t="e">
        <f>MAX(INDEX(Standards!$F$2:$F$296,MATCH(B1875,Standards!$B$2:$B$296,0)),INDEX(Standards!$F$2:$F$296,MATCH(C1875,Standards!$B$2:$B$296,0)))</f>
        <v>#N/A</v>
      </c>
      <c r="W1875" t="str">
        <f t="shared" si="89"/>
        <v>#2f89d1</v>
      </c>
    </row>
    <row r="1876" spans="1:23" x14ac:dyDescent="0.5">
      <c r="A1876" s="54">
        <v>1875</v>
      </c>
      <c r="B1876" s="90" t="s">
        <v>1700</v>
      </c>
      <c r="C1876" t="s">
        <v>1883</v>
      </c>
      <c r="D1876" s="1"/>
      <c r="E1876" s="112">
        <v>2019.1</v>
      </c>
      <c r="F1876" s="112">
        <v>2019.1</v>
      </c>
      <c r="G1876" s="107" t="s">
        <v>2072</v>
      </c>
      <c r="H1876">
        <f>INDEX('GIS-Standards'!$A$2:$A$305,MATCH(B1876,'GIS-Standards'!$B$2:$B$305,0))</f>
        <v>87</v>
      </c>
      <c r="I1876" t="e">
        <f>INDEX('GIS-Standards'!$A$2:$A$305,MATCH(C1876,'GIS-Standards'!$B$2:$B$305,0))</f>
        <v>#N/A</v>
      </c>
      <c r="J1876" t="str">
        <f>INDEX('GIS-Standards'!$O$2:$O$305,MATCH(B1876,'GIS-Standards'!$B$2:$B$305,0))</f>
        <v>ISO/IEC JTC 1/SC 24</v>
      </c>
      <c r="K1876" t="e">
        <f>INDEX('GIS-Standards'!$O$2:$O$305,MATCH(C1876,'GIS-Standards'!$B$2:$B$305,0))</f>
        <v>#N/A</v>
      </c>
      <c r="M1876" t="s">
        <v>525</v>
      </c>
      <c r="N1876">
        <f>INDEX('GIS-Standards'!$I$2:$I$305,MATCH(B1876,'GIS-Standards'!$B$2:$B$305,0))</f>
        <v>0</v>
      </c>
      <c r="O1876" t="e">
        <f>INDEX('GIS-Standards'!$I$2:$I$305,MATCH(C1876,'GIS-Standards'!$B$2:$B$305,0))</f>
        <v>#N/A</v>
      </c>
      <c r="P1876" t="e">
        <f>AND(TableRelationships12[[#This Row],[Source Type]]="BIM",TableRelationships12[[#This Row],[Target Type]]="BIM")</f>
        <v>#N/A</v>
      </c>
      <c r="Q1876">
        <f t="shared" si="87"/>
        <v>1</v>
      </c>
      <c r="S1876">
        <f t="shared" si="88"/>
        <v>1</v>
      </c>
      <c r="T1876" s="102" t="str">
        <f>IF(TableRelationships12[[#This Row],[Rank Pedro]]="Low","linkCategory1",IF(TableRelationships12[[#This Row],[Rank Pedro]]="Medium","linkCategory2",IF(TableRelationships12[[#This Row],[Rank Pedro]]="High","linkCategory3","")))</f>
        <v/>
      </c>
      <c r="U1876" s="102" t="str">
        <f>IF(TableRelationships12[[#This Row],[Rank Pedro]]="Low","Pink",IF(TableRelationships12[[#This Row],[Rank Pedro]]="Medium","Purple",IF(TableRelationships12[[#This Row],[Rank Pedro]]="High","Brown","")))</f>
        <v/>
      </c>
      <c r="V1876" s="4" t="e">
        <f>MAX(INDEX(Standards!$F$2:$F$296,MATCH(B1876,Standards!$B$2:$B$296,0)),INDEX(Standards!$F$2:$F$296,MATCH(C1876,Standards!$B$2:$B$296,0)))</f>
        <v>#N/A</v>
      </c>
      <c r="W1876" t="str">
        <f t="shared" si="89"/>
        <v>#2f89d1</v>
      </c>
    </row>
    <row r="1877" spans="1:23" x14ac:dyDescent="0.5">
      <c r="A1877" s="54">
        <v>1876</v>
      </c>
      <c r="B1877" s="90" t="s">
        <v>1685</v>
      </c>
      <c r="C1877" t="s">
        <v>527</v>
      </c>
      <c r="D1877" s="1"/>
      <c r="E1877" s="112">
        <v>2025.05</v>
      </c>
      <c r="F1877" s="112">
        <v>2025.05</v>
      </c>
      <c r="G1877" s="121" t="s">
        <v>1907</v>
      </c>
      <c r="H1877">
        <f>INDEX('GIS-Standards'!$A$2:$A$305,MATCH(B1877,'GIS-Standards'!$B$2:$B$305,0))</f>
        <v>88</v>
      </c>
      <c r="I1877" t="e">
        <f>INDEX('GIS-Standards'!$A$2:$A$305,MATCH(C1877,'GIS-Standards'!$B$2:$B$305,0))</f>
        <v>#N/A</v>
      </c>
      <c r="J1877" t="str">
        <f>INDEX('GIS-Standards'!$O$2:$O$305,MATCH(B1877,'GIS-Standards'!$B$2:$B$305,0))</f>
        <v>ISO/TC 59/SC 13</v>
      </c>
      <c r="K1877" t="e">
        <f>INDEX('GIS-Standards'!$O$2:$O$305,MATCH(C1877,'GIS-Standards'!$B$2:$B$305,0))</f>
        <v>#N/A</v>
      </c>
      <c r="M1877" t="s">
        <v>237</v>
      </c>
      <c r="N1877">
        <f>INDEX('GIS-Standards'!$I$2:$I$305,MATCH(B1877,'GIS-Standards'!$B$2:$B$305,0))</f>
        <v>0</v>
      </c>
      <c r="O1877" t="e">
        <f>INDEX('GIS-Standards'!$I$2:$I$305,MATCH(C1877,'GIS-Standards'!$B$2:$B$305,0))</f>
        <v>#N/A</v>
      </c>
      <c r="P1877" t="e">
        <f>AND(TableRelationships12[[#This Row],[Source Type]]="BIM",TableRelationships12[[#This Row],[Target Type]]="BIM")</f>
        <v>#N/A</v>
      </c>
      <c r="Q1877">
        <f t="shared" si="87"/>
        <v>2</v>
      </c>
      <c r="S1877">
        <f t="shared" si="88"/>
        <v>1</v>
      </c>
      <c r="T1877" s="102" t="str">
        <f>IF(TableRelationships12[[#This Row],[Rank Pedro]]="Low","linkCategory1",IF(TableRelationships12[[#This Row],[Rank Pedro]]="Medium","linkCategory2",IF(TableRelationships12[[#This Row],[Rank Pedro]]="High","linkCategory3","")))</f>
        <v/>
      </c>
      <c r="U1877" s="102" t="str">
        <f>IF(TableRelationships12[[#This Row],[Rank Pedro]]="Low","Pink",IF(TableRelationships12[[#This Row],[Rank Pedro]]="Medium","Purple",IF(TableRelationships12[[#This Row],[Rank Pedro]]="High","Brown","")))</f>
        <v/>
      </c>
      <c r="V1877" s="4" t="e">
        <f>MAX(INDEX(Standards!$F$2:$F$296,MATCH(B1877,Standards!$B$2:$B$296,0)),INDEX(Standards!$F$2:$F$296,MATCH(C1877,Standards!$B$2:$B$296,0)))</f>
        <v>#N/A</v>
      </c>
      <c r="W1877">
        <f t="shared" si="89"/>
        <v>1</v>
      </c>
    </row>
    <row r="1878" spans="1:23" x14ac:dyDescent="0.5">
      <c r="A1878" s="54">
        <v>1877</v>
      </c>
      <c r="B1878" s="90" t="s">
        <v>1685</v>
      </c>
      <c r="C1878" t="s">
        <v>1908</v>
      </c>
      <c r="D1878" s="1"/>
      <c r="E1878" s="112">
        <v>2001.03</v>
      </c>
      <c r="F1878" s="112">
        <v>2005.1</v>
      </c>
      <c r="G1878" s="107" t="s">
        <v>1448</v>
      </c>
      <c r="H1878">
        <f>INDEX('GIS-Standards'!$A$2:$A$305,MATCH(B1878,'GIS-Standards'!$B$2:$B$305,0))</f>
        <v>88</v>
      </c>
      <c r="I1878" t="e">
        <f>INDEX('GIS-Standards'!$A$2:$A$305,MATCH(C1878,'GIS-Standards'!$B$2:$B$305,0))</f>
        <v>#N/A</v>
      </c>
      <c r="J1878" t="str">
        <f>INDEX('GIS-Standards'!$O$2:$O$305,MATCH(B1878,'GIS-Standards'!$B$2:$B$305,0))</f>
        <v>ISO/TC 59/SC 13</v>
      </c>
      <c r="K1878" t="e">
        <f>INDEX('GIS-Standards'!$O$2:$O$305,MATCH(C1878,'GIS-Standards'!$B$2:$B$305,0))</f>
        <v>#N/A</v>
      </c>
      <c r="M1878" t="s">
        <v>525</v>
      </c>
      <c r="N1878">
        <f>INDEX('GIS-Standards'!$I$2:$I$305,MATCH(B1878,'GIS-Standards'!$B$2:$B$305,0))</f>
        <v>0</v>
      </c>
      <c r="O1878" t="e">
        <f>INDEX('GIS-Standards'!$I$2:$I$305,MATCH(C1878,'GIS-Standards'!$B$2:$B$305,0))</f>
        <v>#N/A</v>
      </c>
      <c r="P1878" t="e">
        <f>AND(TableRelationships12[[#This Row],[Source Type]]="BIM",TableRelationships12[[#This Row],[Target Type]]="BIM")</f>
        <v>#N/A</v>
      </c>
      <c r="Q1878">
        <f t="shared" si="87"/>
        <v>1</v>
      </c>
      <c r="S1878">
        <f t="shared" si="88"/>
        <v>1</v>
      </c>
      <c r="T1878" s="102" t="str">
        <f>IF(TableRelationships12[[#This Row],[Rank Pedro]]="Low","linkCategory1",IF(TableRelationships12[[#This Row],[Rank Pedro]]="Medium","linkCategory2",IF(TableRelationships12[[#This Row],[Rank Pedro]]="High","linkCategory3","")))</f>
        <v/>
      </c>
      <c r="U1878" s="102" t="str">
        <f>IF(TableRelationships12[[#This Row],[Rank Pedro]]="Low","Pink",IF(TableRelationships12[[#This Row],[Rank Pedro]]="Medium","Purple",IF(TableRelationships12[[#This Row],[Rank Pedro]]="High","Brown","")))</f>
        <v/>
      </c>
      <c r="V1878" s="4" t="e">
        <f>MAX(INDEX(Standards!$F$2:$F$296,MATCH(B1878,Standards!$B$2:$B$296,0)),INDEX(Standards!$F$2:$F$296,MATCH(C1878,Standards!$B$2:$B$296,0)))</f>
        <v>#N/A</v>
      </c>
      <c r="W1878" t="str">
        <f t="shared" si="89"/>
        <v>#2f89d1</v>
      </c>
    </row>
    <row r="1879" spans="1:23" x14ac:dyDescent="0.5">
      <c r="A1879" s="54">
        <v>1878</v>
      </c>
      <c r="B1879" s="90" t="s">
        <v>1685</v>
      </c>
      <c r="C1879" t="s">
        <v>126</v>
      </c>
      <c r="D1879" s="1"/>
      <c r="E1879" s="112">
        <v>1990.04</v>
      </c>
      <c r="F1879" s="112">
        <v>2019.09</v>
      </c>
      <c r="G1879" s="107" t="s">
        <v>1449</v>
      </c>
      <c r="H1879">
        <f>INDEX('GIS-Standards'!$A$2:$A$305,MATCH(B1879,'GIS-Standards'!$B$2:$B$305,0))</f>
        <v>88</v>
      </c>
      <c r="I1879" t="e">
        <f>INDEX('GIS-Standards'!$A$2:$A$305,MATCH(C1879,'GIS-Standards'!$B$2:$B$305,0))</f>
        <v>#N/A</v>
      </c>
      <c r="J1879" t="str">
        <f>INDEX('GIS-Standards'!$O$2:$O$305,MATCH(B1879,'GIS-Standards'!$B$2:$B$305,0))</f>
        <v>ISO/TC 59/SC 13</v>
      </c>
      <c r="K1879" t="e">
        <f>INDEX('GIS-Standards'!$O$2:$O$305,MATCH(C1879,'GIS-Standards'!$B$2:$B$305,0))</f>
        <v>#N/A</v>
      </c>
      <c r="M1879" t="s">
        <v>525</v>
      </c>
      <c r="N1879">
        <f>INDEX('GIS-Standards'!$I$2:$I$305,MATCH(B1879,'GIS-Standards'!$B$2:$B$305,0))</f>
        <v>0</v>
      </c>
      <c r="O1879" t="e">
        <f>INDEX('GIS-Standards'!$I$2:$I$305,MATCH(C1879,'GIS-Standards'!$B$2:$B$305,0))</f>
        <v>#N/A</v>
      </c>
      <c r="P1879" t="e">
        <f>AND(TableRelationships12[[#This Row],[Source Type]]="BIM",TableRelationships12[[#This Row],[Target Type]]="BIM")</f>
        <v>#N/A</v>
      </c>
      <c r="Q1879">
        <f t="shared" si="87"/>
        <v>1</v>
      </c>
      <c r="S1879">
        <f t="shared" si="88"/>
        <v>1</v>
      </c>
      <c r="T1879" s="102" t="str">
        <f>IF(TableRelationships12[[#This Row],[Rank Pedro]]="Low","linkCategory1",IF(TableRelationships12[[#This Row],[Rank Pedro]]="Medium","linkCategory2",IF(TableRelationships12[[#This Row],[Rank Pedro]]="High","linkCategory3","")))</f>
        <v/>
      </c>
      <c r="U1879" s="102" t="str">
        <f>IF(TableRelationships12[[#This Row],[Rank Pedro]]="Low","Pink",IF(TableRelationships12[[#This Row],[Rank Pedro]]="Medium","Purple",IF(TableRelationships12[[#This Row],[Rank Pedro]]="High","Brown","")))</f>
        <v/>
      </c>
      <c r="V1879" s="4" t="e">
        <f>MAX(INDEX(Standards!$F$2:$F$296,MATCH(B1879,Standards!$B$2:$B$296,0)),INDEX(Standards!$F$2:$F$296,MATCH(C1879,Standards!$B$2:$B$296,0)))</f>
        <v>#N/A</v>
      </c>
      <c r="W1879" t="str">
        <f t="shared" si="89"/>
        <v>#2f89d1</v>
      </c>
    </row>
    <row r="1880" spans="1:23" x14ac:dyDescent="0.5">
      <c r="A1880" s="54">
        <v>1879</v>
      </c>
      <c r="B1880" s="90" t="s">
        <v>1685</v>
      </c>
      <c r="C1880" t="s">
        <v>126</v>
      </c>
      <c r="D1880" s="1" t="s">
        <v>1199</v>
      </c>
      <c r="E1880" s="112">
        <v>1990.04</v>
      </c>
      <c r="F1880" s="112">
        <v>2019.09</v>
      </c>
      <c r="G1880" s="107" t="s">
        <v>1449</v>
      </c>
      <c r="H1880">
        <f>INDEX('GIS-Standards'!$A$2:$A$305,MATCH(B1880,'GIS-Standards'!$B$2:$B$305,0))</f>
        <v>88</v>
      </c>
      <c r="I1880" t="e">
        <f>INDEX('GIS-Standards'!$A$2:$A$305,MATCH(C1880,'GIS-Standards'!$B$2:$B$305,0))</f>
        <v>#N/A</v>
      </c>
      <c r="J1880" t="str">
        <f>INDEX('GIS-Standards'!$O$2:$O$305,MATCH(B1880,'GIS-Standards'!$B$2:$B$305,0))</f>
        <v>ISO/TC 59/SC 13</v>
      </c>
      <c r="K1880" t="e">
        <f>INDEX('GIS-Standards'!$O$2:$O$305,MATCH(C1880,'GIS-Standards'!$B$2:$B$305,0))</f>
        <v>#N/A</v>
      </c>
      <c r="M1880" t="s">
        <v>525</v>
      </c>
      <c r="N1880">
        <f>INDEX('GIS-Standards'!$I$2:$I$305,MATCH(B1880,'GIS-Standards'!$B$2:$B$305,0))</f>
        <v>0</v>
      </c>
      <c r="O1880" t="e">
        <f>INDEX('GIS-Standards'!$I$2:$I$305,MATCH(C1880,'GIS-Standards'!$B$2:$B$305,0))</f>
        <v>#N/A</v>
      </c>
      <c r="P1880" t="e">
        <f>AND(TableRelationships12[[#This Row],[Source Type]]="BIM",TableRelationships12[[#This Row],[Target Type]]="BIM")</f>
        <v>#N/A</v>
      </c>
      <c r="Q1880">
        <f t="shared" si="87"/>
        <v>1</v>
      </c>
      <c r="S1880">
        <f t="shared" si="88"/>
        <v>1</v>
      </c>
      <c r="T1880" s="102" t="str">
        <f>IF(TableRelationships12[[#This Row],[Rank Pedro]]="Low","linkCategory1",IF(TableRelationships12[[#This Row],[Rank Pedro]]="Medium","linkCategory2",IF(TableRelationships12[[#This Row],[Rank Pedro]]="High","linkCategory3","")))</f>
        <v/>
      </c>
      <c r="U1880" s="102" t="str">
        <f>IF(TableRelationships12[[#This Row],[Rank Pedro]]="Low","Pink",IF(TableRelationships12[[#This Row],[Rank Pedro]]="Medium","Purple",IF(TableRelationships12[[#This Row],[Rank Pedro]]="High","Brown","")))</f>
        <v/>
      </c>
      <c r="V1880" s="4" t="e">
        <f>MAX(INDEX(Standards!$F$2:$F$296,MATCH(B1880,Standards!$B$2:$B$296,0)),INDEX(Standards!$F$2:$F$296,MATCH(C1880,Standards!$B$2:$B$296,0)))</f>
        <v>#N/A</v>
      </c>
      <c r="W1880" t="str">
        <f t="shared" si="89"/>
        <v>#2f89d1</v>
      </c>
    </row>
    <row r="1881" spans="1:23" x14ac:dyDescent="0.5">
      <c r="A1881" s="54">
        <v>1880</v>
      </c>
      <c r="B1881" s="90" t="s">
        <v>1685</v>
      </c>
      <c r="C1881" t="s">
        <v>1150</v>
      </c>
      <c r="D1881" s="1"/>
      <c r="E1881" s="112">
        <v>1994.12</v>
      </c>
      <c r="F1881" s="112">
        <v>2023.01</v>
      </c>
      <c r="G1881" s="107" t="s">
        <v>1487</v>
      </c>
      <c r="H1881">
        <f>INDEX('GIS-Standards'!$A$2:$A$305,MATCH(B1881,'GIS-Standards'!$B$2:$B$305,0))</f>
        <v>88</v>
      </c>
      <c r="I1881" t="e">
        <f>INDEX('GIS-Standards'!$A$2:$A$305,MATCH(C1881,'GIS-Standards'!$B$2:$B$305,0))</f>
        <v>#N/A</v>
      </c>
      <c r="J1881" t="str">
        <f>INDEX('GIS-Standards'!$O$2:$O$305,MATCH(B1881,'GIS-Standards'!$B$2:$B$305,0))</f>
        <v>ISO/TC 59/SC 13</v>
      </c>
      <c r="K1881" t="e">
        <f>INDEX('GIS-Standards'!$O$2:$O$305,MATCH(C1881,'GIS-Standards'!$B$2:$B$305,0))</f>
        <v>#N/A</v>
      </c>
      <c r="M1881" t="s">
        <v>525</v>
      </c>
      <c r="N1881">
        <f>INDEX('GIS-Standards'!$I$2:$I$305,MATCH(B1881,'GIS-Standards'!$B$2:$B$305,0))</f>
        <v>0</v>
      </c>
      <c r="O1881" t="e">
        <f>INDEX('GIS-Standards'!$I$2:$I$305,MATCH(C1881,'GIS-Standards'!$B$2:$B$305,0))</f>
        <v>#N/A</v>
      </c>
      <c r="P1881" t="e">
        <f>AND(TableRelationships12[[#This Row],[Source Type]]="BIM",TableRelationships12[[#This Row],[Target Type]]="BIM")</f>
        <v>#N/A</v>
      </c>
      <c r="Q1881">
        <f t="shared" si="87"/>
        <v>1</v>
      </c>
      <c r="S1881">
        <f t="shared" si="88"/>
        <v>1</v>
      </c>
      <c r="T1881" s="102" t="str">
        <f>IF(TableRelationships12[[#This Row],[Rank Pedro]]="Low","linkCategory1",IF(TableRelationships12[[#This Row],[Rank Pedro]]="Medium","linkCategory2",IF(TableRelationships12[[#This Row],[Rank Pedro]]="High","linkCategory3","")))</f>
        <v/>
      </c>
      <c r="U1881" s="102" t="str">
        <f>IF(TableRelationships12[[#This Row],[Rank Pedro]]="Low","Pink",IF(TableRelationships12[[#This Row],[Rank Pedro]]="Medium","Purple",IF(TableRelationships12[[#This Row],[Rank Pedro]]="High","Brown","")))</f>
        <v/>
      </c>
      <c r="V1881" s="4" t="e">
        <f>MAX(INDEX(Standards!$F$2:$F$296,MATCH(B1881,Standards!$B$2:$B$296,0)),INDEX(Standards!$F$2:$F$296,MATCH(C1881,Standards!$B$2:$B$296,0)))</f>
        <v>#N/A</v>
      </c>
      <c r="W1881" t="str">
        <f t="shared" si="89"/>
        <v>#2f89d1</v>
      </c>
    </row>
    <row r="1882" spans="1:23" x14ac:dyDescent="0.5">
      <c r="A1882" s="54">
        <v>1881</v>
      </c>
      <c r="B1882" s="90" t="s">
        <v>1685</v>
      </c>
      <c r="C1882" t="s">
        <v>63</v>
      </c>
      <c r="D1882" s="1"/>
      <c r="E1882" s="113" t="s">
        <v>2041</v>
      </c>
      <c r="F1882" s="113">
        <v>2015.05</v>
      </c>
      <c r="G1882" s="107" t="s">
        <v>2043</v>
      </c>
      <c r="H1882">
        <f>INDEX('GIS-Standards'!$A$2:$A$305,MATCH(B1882,'GIS-Standards'!$B$2:$B$305,0))</f>
        <v>88</v>
      </c>
      <c r="I1882" t="e">
        <f>INDEX('GIS-Standards'!$A$2:$A$305,MATCH(C1882,'GIS-Standards'!$B$2:$B$305,0))</f>
        <v>#N/A</v>
      </c>
      <c r="J1882" t="str">
        <f>INDEX('GIS-Standards'!$O$2:$O$305,MATCH(B1882,'GIS-Standards'!$B$2:$B$305,0))</f>
        <v>ISO/TC 59/SC 13</v>
      </c>
      <c r="K1882" t="e">
        <f>INDEX('GIS-Standards'!$O$2:$O$305,MATCH(C1882,'GIS-Standards'!$B$2:$B$305,0))</f>
        <v>#N/A</v>
      </c>
      <c r="M1882" t="s">
        <v>525</v>
      </c>
      <c r="N1882">
        <f>INDEX('GIS-Standards'!$I$2:$I$305,MATCH(B1882,'GIS-Standards'!$B$2:$B$305,0))</f>
        <v>0</v>
      </c>
      <c r="O1882" t="e">
        <f>INDEX('GIS-Standards'!$I$2:$I$305,MATCH(C1882,'GIS-Standards'!$B$2:$B$305,0))</f>
        <v>#N/A</v>
      </c>
      <c r="P1882" t="e">
        <f>AND(TableRelationships12[[#This Row],[Source Type]]="BIM",TableRelationships12[[#This Row],[Target Type]]="BIM")</f>
        <v>#N/A</v>
      </c>
      <c r="Q1882">
        <f t="shared" si="87"/>
        <v>1</v>
      </c>
      <c r="S1882">
        <f t="shared" si="88"/>
        <v>1</v>
      </c>
      <c r="T1882" s="102" t="str">
        <f>IF(TableRelationships12[[#This Row],[Rank Pedro]]="Low","linkCategory1",IF(TableRelationships12[[#This Row],[Rank Pedro]]="Medium","linkCategory2",IF(TableRelationships12[[#This Row],[Rank Pedro]]="High","linkCategory3","")))</f>
        <v/>
      </c>
      <c r="U1882" s="102" t="str">
        <f>IF(TableRelationships12[[#This Row],[Rank Pedro]]="Low","Pink",IF(TableRelationships12[[#This Row],[Rank Pedro]]="Medium","Purple",IF(TableRelationships12[[#This Row],[Rank Pedro]]="High","Brown","")))</f>
        <v/>
      </c>
      <c r="V1882" s="4" t="e">
        <f>MAX(INDEX(Standards!$F$2:$F$296,MATCH(B1882,Standards!$B$2:$B$296,0)),INDEX(Standards!$F$2:$F$296,MATCH(C1882,Standards!$B$2:$B$296,0)))</f>
        <v>#N/A</v>
      </c>
      <c r="W1882" t="str">
        <f t="shared" si="89"/>
        <v>#2f89d1</v>
      </c>
    </row>
    <row r="1883" spans="1:23" x14ac:dyDescent="0.5">
      <c r="A1883" s="54">
        <v>1882</v>
      </c>
      <c r="B1883" s="90" t="s">
        <v>1685</v>
      </c>
      <c r="C1883" t="s">
        <v>96</v>
      </c>
      <c r="D1883" s="1"/>
      <c r="E1883" s="112">
        <v>2012.09</v>
      </c>
      <c r="F1883" s="112">
        <v>2023.02</v>
      </c>
      <c r="G1883" s="107" t="s">
        <v>2044</v>
      </c>
      <c r="H1883">
        <f>INDEX('GIS-Standards'!$A$2:$A$305,MATCH(B1883,'GIS-Standards'!$B$2:$B$305,0))</f>
        <v>88</v>
      </c>
      <c r="I1883" t="e">
        <f>INDEX('GIS-Standards'!$A$2:$A$305,MATCH(C1883,'GIS-Standards'!$B$2:$B$305,0))</f>
        <v>#N/A</v>
      </c>
      <c r="J1883" t="str">
        <f>INDEX('GIS-Standards'!$O$2:$O$305,MATCH(B1883,'GIS-Standards'!$B$2:$B$305,0))</f>
        <v>ISO/TC 59/SC 13</v>
      </c>
      <c r="K1883" t="e">
        <f>INDEX('GIS-Standards'!$O$2:$O$305,MATCH(C1883,'GIS-Standards'!$B$2:$B$305,0))</f>
        <v>#N/A</v>
      </c>
      <c r="M1883" t="s">
        <v>525</v>
      </c>
      <c r="N1883">
        <f>INDEX('GIS-Standards'!$I$2:$I$305,MATCH(B1883,'GIS-Standards'!$B$2:$B$305,0))</f>
        <v>0</v>
      </c>
      <c r="O1883" t="e">
        <f>INDEX('GIS-Standards'!$I$2:$I$305,MATCH(C1883,'GIS-Standards'!$B$2:$B$305,0))</f>
        <v>#N/A</v>
      </c>
      <c r="P1883" t="e">
        <f>AND(TableRelationships12[[#This Row],[Source Type]]="BIM",TableRelationships12[[#This Row],[Target Type]]="BIM")</f>
        <v>#N/A</v>
      </c>
      <c r="Q1883">
        <f t="shared" si="87"/>
        <v>1</v>
      </c>
      <c r="S1883">
        <f t="shared" si="88"/>
        <v>1</v>
      </c>
      <c r="T1883" s="102" t="str">
        <f>IF(TableRelationships12[[#This Row],[Rank Pedro]]="Low","linkCategory1",IF(TableRelationships12[[#This Row],[Rank Pedro]]="Medium","linkCategory2",IF(TableRelationships12[[#This Row],[Rank Pedro]]="High","linkCategory3","")))</f>
        <v/>
      </c>
      <c r="U1883" s="102" t="str">
        <f>IF(TableRelationships12[[#This Row],[Rank Pedro]]="Low","Pink",IF(TableRelationships12[[#This Row],[Rank Pedro]]="Medium","Purple",IF(TableRelationships12[[#This Row],[Rank Pedro]]="High","Brown","")))</f>
        <v/>
      </c>
      <c r="V1883" s="4" t="e">
        <f>MAX(INDEX(Standards!$F$2:$F$296,MATCH(B1883,Standards!$B$2:$B$296,0)),INDEX(Standards!$F$2:$F$296,MATCH(C1883,Standards!$B$2:$B$296,0)))</f>
        <v>#N/A</v>
      </c>
      <c r="W1883" t="str">
        <f t="shared" si="89"/>
        <v>#2f89d1</v>
      </c>
    </row>
    <row r="1884" spans="1:23" x14ac:dyDescent="0.5">
      <c r="A1884" s="54">
        <v>1883</v>
      </c>
      <c r="B1884" s="90" t="s">
        <v>1685</v>
      </c>
      <c r="C1884" t="s">
        <v>220</v>
      </c>
      <c r="D1884" s="1"/>
      <c r="E1884" s="112">
        <v>1999.12</v>
      </c>
      <c r="F1884" s="112">
        <v>2016.01</v>
      </c>
      <c r="G1884" s="107" t="s">
        <v>1504</v>
      </c>
      <c r="H1884">
        <f>INDEX('GIS-Standards'!$A$2:$A$305,MATCH(B1884,'GIS-Standards'!$B$2:$B$305,0))</f>
        <v>88</v>
      </c>
      <c r="I1884" t="e">
        <f>INDEX('GIS-Standards'!$A$2:$A$305,MATCH(C1884,'GIS-Standards'!$B$2:$B$305,0))</f>
        <v>#N/A</v>
      </c>
      <c r="J1884" t="str">
        <f>INDEX('GIS-Standards'!$O$2:$O$305,MATCH(B1884,'GIS-Standards'!$B$2:$B$305,0))</f>
        <v>ISO/TC 59/SC 13</v>
      </c>
      <c r="K1884" t="e">
        <f>INDEX('GIS-Standards'!$O$2:$O$305,MATCH(C1884,'GIS-Standards'!$B$2:$B$305,0))</f>
        <v>#N/A</v>
      </c>
      <c r="M1884" t="s">
        <v>525</v>
      </c>
      <c r="N1884">
        <f>INDEX('GIS-Standards'!$I$2:$I$305,MATCH(B1884,'GIS-Standards'!$B$2:$B$305,0))</f>
        <v>0</v>
      </c>
      <c r="O1884" t="e">
        <f>INDEX('GIS-Standards'!$I$2:$I$305,MATCH(C1884,'GIS-Standards'!$B$2:$B$305,0))</f>
        <v>#N/A</v>
      </c>
      <c r="P1884" t="e">
        <f>AND(TableRelationships12[[#This Row],[Source Type]]="BIM",TableRelationships12[[#This Row],[Target Type]]="BIM")</f>
        <v>#N/A</v>
      </c>
      <c r="Q1884">
        <f t="shared" si="87"/>
        <v>1</v>
      </c>
      <c r="S1884">
        <f t="shared" si="88"/>
        <v>1</v>
      </c>
      <c r="T1884" s="102" t="str">
        <f>IF(TableRelationships12[[#This Row],[Rank Pedro]]="Low","linkCategory1",IF(TableRelationships12[[#This Row],[Rank Pedro]]="Medium","linkCategory2",IF(TableRelationships12[[#This Row],[Rank Pedro]]="High","linkCategory3","")))</f>
        <v/>
      </c>
      <c r="U1884" s="102" t="str">
        <f>IF(TableRelationships12[[#This Row],[Rank Pedro]]="Low","Pink",IF(TableRelationships12[[#This Row],[Rank Pedro]]="Medium","Purple",IF(TableRelationships12[[#This Row],[Rank Pedro]]="High","Brown","")))</f>
        <v/>
      </c>
      <c r="V1884" s="4" t="e">
        <f>MAX(INDEX(Standards!$F$2:$F$296,MATCH(B1884,Standards!$B$2:$B$296,0)),INDEX(Standards!$F$2:$F$296,MATCH(C1884,Standards!$B$2:$B$296,0)))</f>
        <v>#N/A</v>
      </c>
      <c r="W1884" t="str">
        <f t="shared" si="89"/>
        <v>#2f89d1</v>
      </c>
    </row>
    <row r="1885" spans="1:23" x14ac:dyDescent="0.5">
      <c r="A1885" s="54">
        <v>1884</v>
      </c>
      <c r="B1885" s="90" t="s">
        <v>1685</v>
      </c>
      <c r="C1885" t="s">
        <v>1253</v>
      </c>
      <c r="D1885" s="1"/>
      <c r="E1885" s="112">
        <v>2012.09</v>
      </c>
      <c r="F1885" s="112">
        <v>2025.03</v>
      </c>
      <c r="G1885" s="107" t="s">
        <v>1455</v>
      </c>
      <c r="H1885">
        <f>INDEX('GIS-Standards'!$A$2:$A$305,MATCH(B1885,'GIS-Standards'!$B$2:$B$305,0))</f>
        <v>88</v>
      </c>
      <c r="I1885" t="e">
        <f>INDEX('GIS-Standards'!$A$2:$A$305,MATCH(C1885,'GIS-Standards'!$B$2:$B$305,0))</f>
        <v>#N/A</v>
      </c>
      <c r="J1885" t="str">
        <f>INDEX('GIS-Standards'!$O$2:$O$305,MATCH(B1885,'GIS-Standards'!$B$2:$B$305,0))</f>
        <v>ISO/TC 59/SC 13</v>
      </c>
      <c r="K1885" t="e">
        <f>INDEX('GIS-Standards'!$O$2:$O$305,MATCH(C1885,'GIS-Standards'!$B$2:$B$305,0))</f>
        <v>#N/A</v>
      </c>
      <c r="M1885" t="s">
        <v>525</v>
      </c>
      <c r="N1885">
        <f>INDEX('GIS-Standards'!$I$2:$I$305,MATCH(B1885,'GIS-Standards'!$B$2:$B$305,0))</f>
        <v>0</v>
      </c>
      <c r="O1885" t="e">
        <f>INDEX('GIS-Standards'!$I$2:$I$305,MATCH(C1885,'GIS-Standards'!$B$2:$B$305,0))</f>
        <v>#N/A</v>
      </c>
      <c r="P1885" t="e">
        <f>AND(TableRelationships12[[#This Row],[Source Type]]="BIM",TableRelationships12[[#This Row],[Target Type]]="BIM")</f>
        <v>#N/A</v>
      </c>
      <c r="Q1885">
        <f t="shared" si="87"/>
        <v>1</v>
      </c>
      <c r="S1885">
        <f t="shared" si="88"/>
        <v>1</v>
      </c>
      <c r="T1885" s="102" t="str">
        <f>IF(TableRelationships12[[#This Row],[Rank Pedro]]="Low","linkCategory1",IF(TableRelationships12[[#This Row],[Rank Pedro]]="Medium","linkCategory2",IF(TableRelationships12[[#This Row],[Rank Pedro]]="High","linkCategory3","")))</f>
        <v/>
      </c>
      <c r="U1885" s="102" t="str">
        <f>IF(TableRelationships12[[#This Row],[Rank Pedro]]="Low","Pink",IF(TableRelationships12[[#This Row],[Rank Pedro]]="Medium","Purple",IF(TableRelationships12[[#This Row],[Rank Pedro]]="High","Brown","")))</f>
        <v/>
      </c>
      <c r="V1885" s="4" t="e">
        <f>MAX(INDEX(Standards!$F$2:$F$296,MATCH(B1885,Standards!$B$2:$B$296,0)),INDEX(Standards!$F$2:$F$296,MATCH(C1885,Standards!$B$2:$B$296,0)))</f>
        <v>#N/A</v>
      </c>
      <c r="W1885" t="str">
        <f t="shared" si="89"/>
        <v>#2f89d1</v>
      </c>
    </row>
    <row r="1886" spans="1:23" x14ac:dyDescent="0.5">
      <c r="A1886" s="54">
        <v>1885</v>
      </c>
      <c r="B1886" s="90" t="s">
        <v>1685</v>
      </c>
      <c r="C1886" t="s">
        <v>1909</v>
      </c>
      <c r="D1886" s="1"/>
      <c r="E1886" s="112">
        <v>2008.03</v>
      </c>
      <c r="F1886" s="112">
        <v>2010.07</v>
      </c>
      <c r="G1886" s="107" t="s">
        <v>1453</v>
      </c>
      <c r="H1886">
        <f>INDEX('GIS-Standards'!$A$2:$A$305,MATCH(B1886,'GIS-Standards'!$B$2:$B$305,0))</f>
        <v>88</v>
      </c>
      <c r="I1886" t="e">
        <f>INDEX('GIS-Standards'!$A$2:$A$305,MATCH(C1886,'GIS-Standards'!$B$2:$B$305,0))</f>
        <v>#N/A</v>
      </c>
      <c r="J1886" t="str">
        <f>INDEX('GIS-Standards'!$O$2:$O$305,MATCH(B1886,'GIS-Standards'!$B$2:$B$305,0))</f>
        <v>ISO/TC 59/SC 13</v>
      </c>
      <c r="K1886" t="e">
        <f>INDEX('GIS-Standards'!$O$2:$O$305,MATCH(C1886,'GIS-Standards'!$B$2:$B$305,0))</f>
        <v>#N/A</v>
      </c>
      <c r="M1886" t="s">
        <v>525</v>
      </c>
      <c r="N1886">
        <f>INDEX('GIS-Standards'!$I$2:$I$305,MATCH(B1886,'GIS-Standards'!$B$2:$B$305,0))</f>
        <v>0</v>
      </c>
      <c r="O1886" t="e">
        <f>INDEX('GIS-Standards'!$I$2:$I$305,MATCH(C1886,'GIS-Standards'!$B$2:$B$305,0))</f>
        <v>#N/A</v>
      </c>
      <c r="P1886" t="e">
        <f>AND(TableRelationships12[[#This Row],[Source Type]]="BIM",TableRelationships12[[#This Row],[Target Type]]="BIM")</f>
        <v>#N/A</v>
      </c>
      <c r="Q1886">
        <f t="shared" si="87"/>
        <v>1</v>
      </c>
      <c r="S1886">
        <f t="shared" si="88"/>
        <v>1</v>
      </c>
      <c r="T1886" s="102" t="str">
        <f>IF(TableRelationships12[[#This Row],[Rank Pedro]]="Low","linkCategory1",IF(TableRelationships12[[#This Row],[Rank Pedro]]="Medium","linkCategory2",IF(TableRelationships12[[#This Row],[Rank Pedro]]="High","linkCategory3","")))</f>
        <v/>
      </c>
      <c r="U1886" s="102" t="str">
        <f>IF(TableRelationships12[[#This Row],[Rank Pedro]]="Low","Pink",IF(TableRelationships12[[#This Row],[Rank Pedro]]="Medium","Purple",IF(TableRelationships12[[#This Row],[Rank Pedro]]="High","Brown","")))</f>
        <v/>
      </c>
      <c r="V1886" s="4" t="e">
        <f>MAX(INDEX(Standards!$F$2:$F$296,MATCH(B1886,Standards!$B$2:$B$296,0)),INDEX(Standards!$F$2:$F$296,MATCH(C1886,Standards!$B$2:$B$296,0)))</f>
        <v>#N/A</v>
      </c>
      <c r="W1886" t="str">
        <f t="shared" si="89"/>
        <v>#2f89d1</v>
      </c>
    </row>
    <row r="1887" spans="1:23" x14ac:dyDescent="0.5">
      <c r="A1887" s="54">
        <v>1886</v>
      </c>
      <c r="B1887" s="90" t="s">
        <v>1685</v>
      </c>
      <c r="C1887" t="s">
        <v>293</v>
      </c>
      <c r="D1887" s="1"/>
      <c r="E1887" s="112">
        <v>2002.07</v>
      </c>
      <c r="F1887" s="112">
        <v>2014.11</v>
      </c>
      <c r="G1887" s="107" t="s">
        <v>670</v>
      </c>
      <c r="H1887">
        <f>INDEX('GIS-Standards'!$A$2:$A$305,MATCH(B1887,'GIS-Standards'!$B$2:$B$305,0))</f>
        <v>88</v>
      </c>
      <c r="I1887">
        <f>INDEX('GIS-Standards'!$A$2:$A$305,MATCH(C1887,'GIS-Standards'!$B$2:$B$305,0))</f>
        <v>10</v>
      </c>
      <c r="J1887" t="str">
        <f>INDEX('GIS-Standards'!$O$2:$O$305,MATCH(B1887,'GIS-Standards'!$B$2:$B$305,0))</f>
        <v>ISO/TC 59/SC 13</v>
      </c>
      <c r="K1887" t="str">
        <f>INDEX('GIS-Standards'!$O$2:$O$305,MATCH(C1887,'GIS-Standards'!$B$2:$B$305,0))</f>
        <v>ISO/TC 211</v>
      </c>
      <c r="M1887" t="s">
        <v>525</v>
      </c>
      <c r="N1887">
        <f>INDEX('GIS-Standards'!$I$2:$I$305,MATCH(B1887,'GIS-Standards'!$B$2:$B$305,0))</f>
        <v>0</v>
      </c>
      <c r="O1887">
        <f>INDEX('GIS-Standards'!$I$2:$I$305,MATCH(C1887,'GIS-Standards'!$B$2:$B$305,0))</f>
        <v>0</v>
      </c>
      <c r="P1887" t="b">
        <f>AND(TableRelationships12[[#This Row],[Source Type]]="BIM",TableRelationships12[[#This Row],[Target Type]]="BIM")</f>
        <v>0</v>
      </c>
      <c r="Q1887">
        <f t="shared" si="87"/>
        <v>1</v>
      </c>
      <c r="S1887">
        <f t="shared" si="88"/>
        <v>1</v>
      </c>
      <c r="T1887" s="102" t="str">
        <f>IF(TableRelationships12[[#This Row],[Rank Pedro]]="Low","linkCategory1",IF(TableRelationships12[[#This Row],[Rank Pedro]]="Medium","linkCategory2",IF(TableRelationships12[[#This Row],[Rank Pedro]]="High","linkCategory3","")))</f>
        <v/>
      </c>
      <c r="U1887" s="102" t="str">
        <f>IF(TableRelationships12[[#This Row],[Rank Pedro]]="Low","Pink",IF(TableRelationships12[[#This Row],[Rank Pedro]]="Medium","Purple",IF(TableRelationships12[[#This Row],[Rank Pedro]]="High","Brown","")))</f>
        <v/>
      </c>
      <c r="V1887" s="4" t="e">
        <f>MAX(INDEX(Standards!$F$2:$F$296,MATCH(B1887,Standards!$B$2:$B$296,0)),INDEX(Standards!$F$2:$F$296,MATCH(C1887,Standards!$B$2:$B$296,0)))</f>
        <v>#N/A</v>
      </c>
      <c r="W1887" t="str">
        <f t="shared" si="89"/>
        <v>#2f89d1</v>
      </c>
    </row>
    <row r="1888" spans="1:23" x14ac:dyDescent="0.5">
      <c r="A1888" s="54">
        <v>1887</v>
      </c>
      <c r="B1888" s="90" t="s">
        <v>1685</v>
      </c>
      <c r="C1888" t="s">
        <v>631</v>
      </c>
      <c r="D1888" s="1"/>
      <c r="E1888" s="112">
        <v>2008.06</v>
      </c>
      <c r="F1888" s="112">
        <v>2018.05</v>
      </c>
      <c r="G1888" s="107" t="s">
        <v>670</v>
      </c>
      <c r="H1888">
        <f>INDEX('GIS-Standards'!$A$2:$A$305,MATCH(B1888,'GIS-Standards'!$B$2:$B$305,0))</f>
        <v>88</v>
      </c>
      <c r="I1888">
        <f>INDEX('GIS-Standards'!$A$2:$A$305,MATCH(C1888,'GIS-Standards'!$B$2:$B$305,0))</f>
        <v>11</v>
      </c>
      <c r="J1888" t="str">
        <f>INDEX('GIS-Standards'!$O$2:$O$305,MATCH(B1888,'GIS-Standards'!$B$2:$B$305,0))</f>
        <v>ISO/TC 59/SC 13</v>
      </c>
      <c r="K1888" t="str">
        <f>INDEX('GIS-Standards'!$O$2:$O$305,MATCH(C1888,'GIS-Standards'!$B$2:$B$305,0))</f>
        <v>ISO/TC 211</v>
      </c>
      <c r="M1888" t="s">
        <v>525</v>
      </c>
      <c r="N1888">
        <f>INDEX('GIS-Standards'!$I$2:$I$305,MATCH(B1888,'GIS-Standards'!$B$2:$B$305,0))</f>
        <v>0</v>
      </c>
      <c r="O1888">
        <f>INDEX('GIS-Standards'!$I$2:$I$305,MATCH(C1888,'GIS-Standards'!$B$2:$B$305,0))</f>
        <v>0</v>
      </c>
      <c r="P1888" t="b">
        <f>AND(TableRelationships12[[#This Row],[Source Type]]="BIM",TableRelationships12[[#This Row],[Target Type]]="BIM")</f>
        <v>0</v>
      </c>
      <c r="Q1888">
        <f t="shared" si="87"/>
        <v>1</v>
      </c>
      <c r="S1888">
        <f t="shared" si="88"/>
        <v>1</v>
      </c>
      <c r="T1888" s="102" t="str">
        <f>IF(TableRelationships12[[#This Row],[Rank Pedro]]="Low","linkCategory1",IF(TableRelationships12[[#This Row],[Rank Pedro]]="Medium","linkCategory2",IF(TableRelationships12[[#This Row],[Rank Pedro]]="High","linkCategory3","")))</f>
        <v/>
      </c>
      <c r="U1888" s="102" t="str">
        <f>IF(TableRelationships12[[#This Row],[Rank Pedro]]="Low","Pink",IF(TableRelationships12[[#This Row],[Rank Pedro]]="Medium","Purple",IF(TableRelationships12[[#This Row],[Rank Pedro]]="High","Brown","")))</f>
        <v/>
      </c>
      <c r="V1888" s="4" t="e">
        <f>MAX(INDEX(Standards!$F$2:$F$296,MATCH(B1888,Standards!$B$2:$B$296,0)),INDEX(Standards!$F$2:$F$296,MATCH(C1888,Standards!$B$2:$B$296,0)))</f>
        <v>#N/A</v>
      </c>
      <c r="W1888" t="str">
        <f t="shared" si="89"/>
        <v>#2f89d1</v>
      </c>
    </row>
    <row r="1889" spans="1:23" x14ac:dyDescent="0.5">
      <c r="A1889" s="54">
        <v>1888</v>
      </c>
      <c r="B1889" s="90" t="s">
        <v>1685</v>
      </c>
      <c r="C1889" t="s">
        <v>296</v>
      </c>
      <c r="D1889" s="1"/>
      <c r="E1889" s="112">
        <v>2005.07</v>
      </c>
      <c r="F1889" s="112">
        <v>2024.09</v>
      </c>
      <c r="G1889" s="107" t="s">
        <v>670</v>
      </c>
      <c r="H1889">
        <f>INDEX('GIS-Standards'!$A$2:$A$305,MATCH(B1889,'GIS-Standards'!$B$2:$B$305,0))</f>
        <v>88</v>
      </c>
      <c r="I1889">
        <f>INDEX('GIS-Standards'!$A$2:$A$305,MATCH(C1889,'GIS-Standards'!$B$2:$B$305,0))</f>
        <v>12</v>
      </c>
      <c r="J1889" t="str">
        <f>INDEX('GIS-Standards'!$O$2:$O$305,MATCH(B1889,'GIS-Standards'!$B$2:$B$305,0))</f>
        <v>ISO/TC 59/SC 13</v>
      </c>
      <c r="K1889" t="str">
        <f>INDEX('GIS-Standards'!$O$2:$O$305,MATCH(C1889,'GIS-Standards'!$B$2:$B$305,0))</f>
        <v>ISO/TC 211</v>
      </c>
      <c r="M1889" t="s">
        <v>525</v>
      </c>
      <c r="N1889">
        <f>INDEX('GIS-Standards'!$I$2:$I$305,MATCH(B1889,'GIS-Standards'!$B$2:$B$305,0))</f>
        <v>0</v>
      </c>
      <c r="O1889">
        <f>INDEX('GIS-Standards'!$I$2:$I$305,MATCH(C1889,'GIS-Standards'!$B$2:$B$305,0))</f>
        <v>0</v>
      </c>
      <c r="P1889" t="b">
        <f>AND(TableRelationships12[[#This Row],[Source Type]]="BIM",TableRelationships12[[#This Row],[Target Type]]="BIM")</f>
        <v>0</v>
      </c>
      <c r="Q1889">
        <f t="shared" si="87"/>
        <v>1</v>
      </c>
      <c r="S1889">
        <f t="shared" si="88"/>
        <v>1</v>
      </c>
      <c r="T1889" s="102" t="str">
        <f>IF(TableRelationships12[[#This Row],[Rank Pedro]]="Low","linkCategory1",IF(TableRelationships12[[#This Row],[Rank Pedro]]="Medium","linkCategory2",IF(TableRelationships12[[#This Row],[Rank Pedro]]="High","linkCategory3","")))</f>
        <v/>
      </c>
      <c r="U1889" s="102" t="str">
        <f>IF(TableRelationships12[[#This Row],[Rank Pedro]]="Low","Pink",IF(TableRelationships12[[#This Row],[Rank Pedro]]="Medium","Purple",IF(TableRelationships12[[#This Row],[Rank Pedro]]="High","Brown","")))</f>
        <v/>
      </c>
      <c r="V1889" s="4" t="e">
        <f>MAX(INDEX(Standards!$F$2:$F$296,MATCH(B1889,Standards!$B$2:$B$296,0)),INDEX(Standards!$F$2:$F$296,MATCH(C1889,Standards!$B$2:$B$296,0)))</f>
        <v>#N/A</v>
      </c>
      <c r="W1889" t="str">
        <f t="shared" si="89"/>
        <v>#2f89d1</v>
      </c>
    </row>
    <row r="1890" spans="1:23" x14ac:dyDescent="0.5">
      <c r="A1890" s="54">
        <v>1889</v>
      </c>
      <c r="B1890" s="90" t="s">
        <v>1685</v>
      </c>
      <c r="C1890" t="s">
        <v>300</v>
      </c>
      <c r="D1890" s="1"/>
      <c r="E1890" s="112">
        <v>2000.12</v>
      </c>
      <c r="F1890" s="112">
        <v>2022.07</v>
      </c>
      <c r="G1890" s="107" t="s">
        <v>670</v>
      </c>
      <c r="H1890">
        <f>INDEX('GIS-Standards'!$A$2:$A$305,MATCH(B1890,'GIS-Standards'!$B$2:$B$305,0))</f>
        <v>88</v>
      </c>
      <c r="I1890">
        <f>INDEX('GIS-Standards'!$A$2:$A$305,MATCH(C1890,'GIS-Standards'!$B$2:$B$305,0))</f>
        <v>14</v>
      </c>
      <c r="J1890" t="str">
        <f>INDEX('GIS-Standards'!$O$2:$O$305,MATCH(B1890,'GIS-Standards'!$B$2:$B$305,0))</f>
        <v>ISO/TC 59/SC 13</v>
      </c>
      <c r="K1890" t="str">
        <f>INDEX('GIS-Standards'!$O$2:$O$305,MATCH(C1890,'GIS-Standards'!$B$2:$B$305,0))</f>
        <v>ISO/TC 211</v>
      </c>
      <c r="M1890" t="s">
        <v>525</v>
      </c>
      <c r="N1890">
        <f>INDEX('GIS-Standards'!$I$2:$I$305,MATCH(B1890,'GIS-Standards'!$B$2:$B$305,0))</f>
        <v>0</v>
      </c>
      <c r="O1890">
        <f>INDEX('GIS-Standards'!$I$2:$I$305,MATCH(C1890,'GIS-Standards'!$B$2:$B$305,0))</f>
        <v>0</v>
      </c>
      <c r="P1890" t="b">
        <f>AND(TableRelationships12[[#This Row],[Source Type]]="BIM",TableRelationships12[[#This Row],[Target Type]]="BIM")</f>
        <v>0</v>
      </c>
      <c r="Q1890">
        <f t="shared" si="87"/>
        <v>1</v>
      </c>
      <c r="S1890">
        <f t="shared" si="88"/>
        <v>1</v>
      </c>
      <c r="T1890" s="102" t="str">
        <f>IF(TableRelationships12[[#This Row],[Rank Pedro]]="Low","linkCategory1",IF(TableRelationships12[[#This Row],[Rank Pedro]]="Medium","linkCategory2",IF(TableRelationships12[[#This Row],[Rank Pedro]]="High","linkCategory3","")))</f>
        <v/>
      </c>
      <c r="U1890" s="102" t="str">
        <f>IF(TableRelationships12[[#This Row],[Rank Pedro]]="Low","Pink",IF(TableRelationships12[[#This Row],[Rank Pedro]]="Medium","Purple",IF(TableRelationships12[[#This Row],[Rank Pedro]]="High","Brown","")))</f>
        <v/>
      </c>
      <c r="V1890" s="4" t="e">
        <f>MAX(INDEX(Standards!$F$2:$F$296,MATCH(B1890,Standards!$B$2:$B$296,0)),INDEX(Standards!$F$2:$F$296,MATCH(C1890,Standards!$B$2:$B$296,0)))</f>
        <v>#N/A</v>
      </c>
      <c r="W1890" t="str">
        <f t="shared" si="89"/>
        <v>#2f89d1</v>
      </c>
    </row>
    <row r="1891" spans="1:23" x14ac:dyDescent="0.5">
      <c r="A1891" s="54">
        <v>1890</v>
      </c>
      <c r="B1891" s="90" t="s">
        <v>1685</v>
      </c>
      <c r="C1891" t="s">
        <v>302</v>
      </c>
      <c r="D1891" s="1"/>
      <c r="E1891" s="112">
        <v>2003.05</v>
      </c>
      <c r="F1891" s="112">
        <v>2019.12</v>
      </c>
      <c r="G1891" s="107" t="s">
        <v>670</v>
      </c>
      <c r="H1891">
        <f>INDEX('GIS-Standards'!$A$2:$A$305,MATCH(B1891,'GIS-Standards'!$B$2:$B$305,0))</f>
        <v>88</v>
      </c>
      <c r="I1891">
        <f>INDEX('GIS-Standards'!$A$2:$A$305,MATCH(C1891,'GIS-Standards'!$B$2:$B$305,0))</f>
        <v>16</v>
      </c>
      <c r="J1891" t="str">
        <f>INDEX('GIS-Standards'!$O$2:$O$305,MATCH(B1891,'GIS-Standards'!$B$2:$B$305,0))</f>
        <v>ISO/TC 59/SC 13</v>
      </c>
      <c r="K1891" t="str">
        <f>INDEX('GIS-Standards'!$O$2:$O$305,MATCH(C1891,'GIS-Standards'!$B$2:$B$305,0))</f>
        <v>ISO/TC 211</v>
      </c>
      <c r="M1891" t="s">
        <v>525</v>
      </c>
      <c r="N1891">
        <f>INDEX('GIS-Standards'!$I$2:$I$305,MATCH(B1891,'GIS-Standards'!$B$2:$B$305,0))</f>
        <v>0</v>
      </c>
      <c r="O1891">
        <f>INDEX('GIS-Standards'!$I$2:$I$305,MATCH(C1891,'GIS-Standards'!$B$2:$B$305,0))</f>
        <v>0</v>
      </c>
      <c r="P1891" t="b">
        <f>AND(TableRelationships12[[#This Row],[Source Type]]="BIM",TableRelationships12[[#This Row],[Target Type]]="BIM")</f>
        <v>0</v>
      </c>
      <c r="Q1891">
        <f t="shared" si="87"/>
        <v>1</v>
      </c>
      <c r="S1891">
        <f t="shared" si="88"/>
        <v>1</v>
      </c>
      <c r="T1891" s="102" t="str">
        <f>IF(TableRelationships12[[#This Row],[Rank Pedro]]="Low","linkCategory1",IF(TableRelationships12[[#This Row],[Rank Pedro]]="Medium","linkCategory2",IF(TableRelationships12[[#This Row],[Rank Pedro]]="High","linkCategory3","")))</f>
        <v/>
      </c>
      <c r="U1891" s="102" t="str">
        <f>IF(TableRelationships12[[#This Row],[Rank Pedro]]="Low","Pink",IF(TableRelationships12[[#This Row],[Rank Pedro]]="Medium","Purple",IF(TableRelationships12[[#This Row],[Rank Pedro]]="High","Brown","")))</f>
        <v/>
      </c>
      <c r="V1891" s="4" t="e">
        <f>MAX(INDEX(Standards!$F$2:$F$296,MATCH(B1891,Standards!$B$2:$B$296,0)),INDEX(Standards!$F$2:$F$296,MATCH(C1891,Standards!$B$2:$B$296,0)))</f>
        <v>#N/A</v>
      </c>
      <c r="W1891" t="str">
        <f t="shared" si="89"/>
        <v>#2f89d1</v>
      </c>
    </row>
    <row r="1892" spans="1:23" x14ac:dyDescent="0.5">
      <c r="A1892" s="54">
        <v>1891</v>
      </c>
      <c r="B1892" s="90" t="s">
        <v>1685</v>
      </c>
      <c r="C1892" t="s">
        <v>306</v>
      </c>
      <c r="D1892" s="1"/>
      <c r="E1892" s="112">
        <v>2005.06</v>
      </c>
      <c r="F1892" s="112">
        <v>2025.07</v>
      </c>
      <c r="G1892" s="107" t="s">
        <v>670</v>
      </c>
      <c r="H1892">
        <f>INDEX('GIS-Standards'!$A$2:$A$305,MATCH(B1892,'GIS-Standards'!$B$2:$B$305,0))</f>
        <v>88</v>
      </c>
      <c r="I1892">
        <f>INDEX('GIS-Standards'!$A$2:$A$305,MATCH(C1892,'GIS-Standards'!$B$2:$B$305,0))</f>
        <v>18</v>
      </c>
      <c r="J1892" t="str">
        <f>INDEX('GIS-Standards'!$O$2:$O$305,MATCH(B1892,'GIS-Standards'!$B$2:$B$305,0))</f>
        <v>ISO/TC 59/SC 13</v>
      </c>
      <c r="K1892" t="str">
        <f>INDEX('GIS-Standards'!$O$2:$O$305,MATCH(C1892,'GIS-Standards'!$B$2:$B$305,0))</f>
        <v>ISO/TC 211</v>
      </c>
      <c r="M1892" t="s">
        <v>525</v>
      </c>
      <c r="N1892">
        <f>INDEX('GIS-Standards'!$I$2:$I$305,MATCH(B1892,'GIS-Standards'!$B$2:$B$305,0))</f>
        <v>0</v>
      </c>
      <c r="O1892">
        <f>INDEX('GIS-Standards'!$I$2:$I$305,MATCH(C1892,'GIS-Standards'!$B$2:$B$305,0))</f>
        <v>0</v>
      </c>
      <c r="P1892" t="b">
        <f>AND(TableRelationships12[[#This Row],[Source Type]]="BIM",TableRelationships12[[#This Row],[Target Type]]="BIM")</f>
        <v>0</v>
      </c>
      <c r="Q1892">
        <f t="shared" si="87"/>
        <v>1</v>
      </c>
      <c r="S1892">
        <f t="shared" si="88"/>
        <v>1</v>
      </c>
      <c r="T1892" s="102" t="str">
        <f>IF(TableRelationships12[[#This Row],[Rank Pedro]]="Low","linkCategory1",IF(TableRelationships12[[#This Row],[Rank Pedro]]="Medium","linkCategory2",IF(TableRelationships12[[#This Row],[Rank Pedro]]="High","linkCategory3","")))</f>
        <v/>
      </c>
      <c r="U1892" s="102" t="str">
        <f>IF(TableRelationships12[[#This Row],[Rank Pedro]]="Low","Pink",IF(TableRelationships12[[#This Row],[Rank Pedro]]="Medium","Purple",IF(TableRelationships12[[#This Row],[Rank Pedro]]="High","Brown","")))</f>
        <v/>
      </c>
      <c r="V1892" s="4" t="e">
        <f>MAX(INDEX(Standards!$F$2:$F$296,MATCH(B1892,Standards!$B$2:$B$296,0)),INDEX(Standards!$F$2:$F$296,MATCH(C1892,Standards!$B$2:$B$296,0)))</f>
        <v>#N/A</v>
      </c>
      <c r="W1892" t="str">
        <f t="shared" si="89"/>
        <v>#2f89d1</v>
      </c>
    </row>
    <row r="1893" spans="1:23" x14ac:dyDescent="0.5">
      <c r="A1893" s="54">
        <v>1892</v>
      </c>
      <c r="B1893" s="90" t="s">
        <v>1685</v>
      </c>
      <c r="C1893" t="s">
        <v>308</v>
      </c>
      <c r="D1893" s="1"/>
      <c r="E1893" s="112">
        <v>2005.02</v>
      </c>
      <c r="F1893" s="112">
        <v>2016.12</v>
      </c>
      <c r="G1893" s="107" t="s">
        <v>670</v>
      </c>
      <c r="H1893">
        <f>INDEX('GIS-Standards'!$A$2:$A$305,MATCH(B1893,'GIS-Standards'!$B$2:$B$305,0))</f>
        <v>88</v>
      </c>
      <c r="I1893">
        <f>INDEX('GIS-Standards'!$A$2:$A$305,MATCH(C1893,'GIS-Standards'!$B$2:$B$305,0))</f>
        <v>19</v>
      </c>
      <c r="J1893" t="str">
        <f>INDEX('GIS-Standards'!$O$2:$O$305,MATCH(B1893,'GIS-Standards'!$B$2:$B$305,0))</f>
        <v>ISO/TC 59/SC 13</v>
      </c>
      <c r="K1893" t="str">
        <f>INDEX('GIS-Standards'!$O$2:$O$305,MATCH(C1893,'GIS-Standards'!$B$2:$B$305,0))</f>
        <v>ISO/TC 211</v>
      </c>
      <c r="M1893" t="s">
        <v>525</v>
      </c>
      <c r="N1893">
        <f>INDEX('GIS-Standards'!$I$2:$I$305,MATCH(B1893,'GIS-Standards'!$B$2:$B$305,0))</f>
        <v>0</v>
      </c>
      <c r="O1893">
        <f>INDEX('GIS-Standards'!$I$2:$I$305,MATCH(C1893,'GIS-Standards'!$B$2:$B$305,0))</f>
        <v>0</v>
      </c>
      <c r="P1893" t="b">
        <f>AND(TableRelationships12[[#This Row],[Source Type]]="BIM",TableRelationships12[[#This Row],[Target Type]]="BIM")</f>
        <v>0</v>
      </c>
      <c r="Q1893">
        <f t="shared" si="87"/>
        <v>1</v>
      </c>
      <c r="S1893">
        <f t="shared" si="88"/>
        <v>1</v>
      </c>
      <c r="T1893" s="102" t="str">
        <f>IF(TableRelationships12[[#This Row],[Rank Pedro]]="Low","linkCategory1",IF(TableRelationships12[[#This Row],[Rank Pedro]]="Medium","linkCategory2",IF(TableRelationships12[[#This Row],[Rank Pedro]]="High","linkCategory3","")))</f>
        <v/>
      </c>
      <c r="U1893" s="102" t="str">
        <f>IF(TableRelationships12[[#This Row],[Rank Pedro]]="Low","Pink",IF(TableRelationships12[[#This Row],[Rank Pedro]]="Medium","Purple",IF(TableRelationships12[[#This Row],[Rank Pedro]]="High","Brown","")))</f>
        <v/>
      </c>
      <c r="V1893" s="4" t="e">
        <f>MAX(INDEX(Standards!$F$2:$F$296,MATCH(B1893,Standards!$B$2:$B$296,0)),INDEX(Standards!$F$2:$F$296,MATCH(C1893,Standards!$B$2:$B$296,0)))</f>
        <v>#N/A</v>
      </c>
      <c r="W1893" t="str">
        <f t="shared" si="89"/>
        <v>#2f89d1</v>
      </c>
    </row>
    <row r="1894" spans="1:23" x14ac:dyDescent="0.5">
      <c r="A1894" s="54">
        <v>1893</v>
      </c>
      <c r="B1894" s="90" t="s">
        <v>1685</v>
      </c>
      <c r="C1894" t="s">
        <v>314</v>
      </c>
      <c r="D1894" s="1"/>
      <c r="E1894" s="112">
        <v>2003.05</v>
      </c>
      <c r="F1894" s="112">
        <v>2020.11</v>
      </c>
      <c r="G1894" s="107" t="s">
        <v>670</v>
      </c>
      <c r="H1894">
        <f>INDEX('GIS-Standards'!$A$2:$A$305,MATCH(B1894,'GIS-Standards'!$B$2:$B$305,0))</f>
        <v>88</v>
      </c>
      <c r="I1894">
        <f>INDEX('GIS-Standards'!$A$2:$A$305,MATCH(C1894,'GIS-Standards'!$B$2:$B$305,0))</f>
        <v>22</v>
      </c>
      <c r="J1894" t="str">
        <f>INDEX('GIS-Standards'!$O$2:$O$305,MATCH(B1894,'GIS-Standards'!$B$2:$B$305,0))</f>
        <v>ISO/TC 59/SC 13</v>
      </c>
      <c r="K1894" t="str">
        <f>INDEX('GIS-Standards'!$O$2:$O$305,MATCH(C1894,'GIS-Standards'!$B$2:$B$305,0))</f>
        <v>ISO/TC 211</v>
      </c>
      <c r="M1894" t="s">
        <v>525</v>
      </c>
      <c r="N1894">
        <f>INDEX('GIS-Standards'!$I$2:$I$305,MATCH(B1894,'GIS-Standards'!$B$2:$B$305,0))</f>
        <v>0</v>
      </c>
      <c r="O1894" t="str">
        <f>INDEX('GIS-Standards'!$I$2:$I$305,MATCH(C1894,'GIS-Standards'!$B$2:$B$305,0))</f>
        <v>12.2020</v>
      </c>
      <c r="P1894" t="b">
        <f>AND(TableRelationships12[[#This Row],[Source Type]]="BIM",TableRelationships12[[#This Row],[Target Type]]="BIM")</f>
        <v>0</v>
      </c>
      <c r="Q1894">
        <f t="shared" si="87"/>
        <v>1</v>
      </c>
      <c r="S1894">
        <f t="shared" si="88"/>
        <v>1</v>
      </c>
      <c r="T1894" s="102" t="str">
        <f>IF(TableRelationships12[[#This Row],[Rank Pedro]]="Low","linkCategory1",IF(TableRelationships12[[#This Row],[Rank Pedro]]="Medium","linkCategory2",IF(TableRelationships12[[#This Row],[Rank Pedro]]="High","linkCategory3","")))</f>
        <v/>
      </c>
      <c r="U1894" s="102" t="str">
        <f>IF(TableRelationships12[[#This Row],[Rank Pedro]]="Low","Pink",IF(TableRelationships12[[#This Row],[Rank Pedro]]="Medium","Purple",IF(TableRelationships12[[#This Row],[Rank Pedro]]="High","Brown","")))</f>
        <v/>
      </c>
      <c r="V1894" s="4" t="e">
        <f>MAX(INDEX(Standards!$F$2:$F$296,MATCH(B1894,Standards!$B$2:$B$296,0)),INDEX(Standards!$F$2:$F$296,MATCH(C1894,Standards!$B$2:$B$296,0)))</f>
        <v>#N/A</v>
      </c>
      <c r="W1894" t="str">
        <f t="shared" si="89"/>
        <v>#2f89d1</v>
      </c>
    </row>
    <row r="1895" spans="1:23" x14ac:dyDescent="0.5">
      <c r="A1895" s="54">
        <v>1894</v>
      </c>
      <c r="B1895" s="90" t="s">
        <v>1685</v>
      </c>
      <c r="C1895" t="s">
        <v>1043</v>
      </c>
      <c r="D1895" s="1"/>
      <c r="E1895" s="112">
        <v>2004.07</v>
      </c>
      <c r="F1895" s="112">
        <v>2025.04</v>
      </c>
      <c r="G1895" s="107" t="s">
        <v>670</v>
      </c>
      <c r="H1895">
        <f>INDEX('GIS-Standards'!$A$2:$A$305,MATCH(B1895,'GIS-Standards'!$B$2:$B$305,0))</f>
        <v>88</v>
      </c>
      <c r="I1895">
        <f>INDEX('GIS-Standards'!$A$2:$A$305,MATCH(C1895,'GIS-Standards'!$B$2:$B$305,0))</f>
        <v>25</v>
      </c>
      <c r="J1895" t="str">
        <f>INDEX('GIS-Standards'!$O$2:$O$305,MATCH(B1895,'GIS-Standards'!$B$2:$B$305,0))</f>
        <v>ISO/TC 59/SC 13</v>
      </c>
      <c r="K1895" t="str">
        <f>INDEX('GIS-Standards'!$O$2:$O$305,MATCH(C1895,'GIS-Standards'!$B$2:$B$305,0))</f>
        <v>ISO/TC 211</v>
      </c>
      <c r="M1895" t="s">
        <v>525</v>
      </c>
      <c r="N1895">
        <f>INDEX('GIS-Standards'!$I$2:$I$305,MATCH(B1895,'GIS-Standards'!$B$2:$B$305,0))</f>
        <v>0</v>
      </c>
      <c r="O1895">
        <f>INDEX('GIS-Standards'!$I$2:$I$305,MATCH(C1895,'GIS-Standards'!$B$2:$B$305,0))</f>
        <v>0</v>
      </c>
      <c r="P1895" t="b">
        <f>AND(TableRelationships12[[#This Row],[Source Type]]="BIM",TableRelationships12[[#This Row],[Target Type]]="BIM")</f>
        <v>0</v>
      </c>
      <c r="Q1895">
        <f t="shared" si="87"/>
        <v>1</v>
      </c>
      <c r="S1895">
        <f t="shared" si="88"/>
        <v>1</v>
      </c>
      <c r="T1895" s="102" t="str">
        <f>IF(TableRelationships12[[#This Row],[Rank Pedro]]="Low","linkCategory1",IF(TableRelationships12[[#This Row],[Rank Pedro]]="Medium","linkCategory2",IF(TableRelationships12[[#This Row],[Rank Pedro]]="High","linkCategory3","")))</f>
        <v/>
      </c>
      <c r="U1895" s="102" t="str">
        <f>IF(TableRelationships12[[#This Row],[Rank Pedro]]="Low","Pink",IF(TableRelationships12[[#This Row],[Rank Pedro]]="Medium","Purple",IF(TableRelationships12[[#This Row],[Rank Pedro]]="High","Brown","")))</f>
        <v/>
      </c>
      <c r="V1895" s="4" t="e">
        <f>MAX(INDEX(Standards!$F$2:$F$296,MATCH(B1895,Standards!$B$2:$B$296,0)),INDEX(Standards!$F$2:$F$296,MATCH(C1895,Standards!$B$2:$B$296,0)))</f>
        <v>#N/A</v>
      </c>
      <c r="W1895" t="str">
        <f t="shared" si="89"/>
        <v>#2f89d1</v>
      </c>
    </row>
    <row r="1896" spans="1:23" x14ac:dyDescent="0.5">
      <c r="A1896" s="54">
        <v>1895</v>
      </c>
      <c r="B1896" s="90" t="s">
        <v>1685</v>
      </c>
      <c r="C1896" t="s">
        <v>1044</v>
      </c>
      <c r="D1896" s="1"/>
      <c r="E1896" s="112">
        <v>2005.06</v>
      </c>
      <c r="F1896" s="112">
        <v>2012.12</v>
      </c>
      <c r="G1896" s="107" t="s">
        <v>670</v>
      </c>
      <c r="H1896">
        <f>INDEX('GIS-Standards'!$A$2:$A$305,MATCH(B1896,'GIS-Standards'!$B$2:$B$305,0))</f>
        <v>88</v>
      </c>
      <c r="I1896">
        <f>INDEX('GIS-Standards'!$A$2:$A$305,MATCH(C1896,'GIS-Standards'!$B$2:$B$305,0))</f>
        <v>26</v>
      </c>
      <c r="J1896" t="str">
        <f>INDEX('GIS-Standards'!$O$2:$O$305,MATCH(B1896,'GIS-Standards'!$B$2:$B$305,0))</f>
        <v>ISO/TC 59/SC 13</v>
      </c>
      <c r="K1896" t="str">
        <f>INDEX('GIS-Standards'!$O$2:$O$305,MATCH(C1896,'GIS-Standards'!$B$2:$B$305,0))</f>
        <v>ISO/TC 211</v>
      </c>
      <c r="M1896" t="s">
        <v>525</v>
      </c>
      <c r="N1896">
        <f>INDEX('GIS-Standards'!$I$2:$I$305,MATCH(B1896,'GIS-Standards'!$B$2:$B$305,0))</f>
        <v>0</v>
      </c>
      <c r="O1896">
        <f>INDEX('GIS-Standards'!$I$2:$I$305,MATCH(C1896,'GIS-Standards'!$B$2:$B$305,0))</f>
        <v>0</v>
      </c>
      <c r="P1896" t="b">
        <f>AND(TableRelationships12[[#This Row],[Source Type]]="BIM",TableRelationships12[[#This Row],[Target Type]]="BIM")</f>
        <v>0</v>
      </c>
      <c r="Q1896">
        <f t="shared" si="87"/>
        <v>1</v>
      </c>
      <c r="S1896">
        <f t="shared" si="88"/>
        <v>1</v>
      </c>
      <c r="T1896" s="102" t="str">
        <f>IF(TableRelationships12[[#This Row],[Rank Pedro]]="Low","linkCategory1",IF(TableRelationships12[[#This Row],[Rank Pedro]]="Medium","linkCategory2",IF(TableRelationships12[[#This Row],[Rank Pedro]]="High","linkCategory3","")))</f>
        <v/>
      </c>
      <c r="U1896" s="102" t="str">
        <f>IF(TableRelationships12[[#This Row],[Rank Pedro]]="Low","Pink",IF(TableRelationships12[[#This Row],[Rank Pedro]]="Medium","Purple",IF(TableRelationships12[[#This Row],[Rank Pedro]]="High","Brown","")))</f>
        <v/>
      </c>
      <c r="V1896" s="4" t="e">
        <f>MAX(INDEX(Standards!$F$2:$F$296,MATCH(B1896,Standards!$B$2:$B$296,0)),INDEX(Standards!$F$2:$F$296,MATCH(C1896,Standards!$B$2:$B$296,0)))</f>
        <v>#N/A</v>
      </c>
      <c r="W1896" t="str">
        <f t="shared" si="89"/>
        <v>#2f89d1</v>
      </c>
    </row>
    <row r="1897" spans="1:23" x14ac:dyDescent="0.5">
      <c r="A1897" s="54">
        <v>1896</v>
      </c>
      <c r="B1897" s="90" t="s">
        <v>1685</v>
      </c>
      <c r="C1897" t="s">
        <v>316</v>
      </c>
      <c r="D1897" s="1"/>
      <c r="E1897" s="112">
        <v>2005.07</v>
      </c>
      <c r="F1897" s="112">
        <v>2011.1</v>
      </c>
      <c r="G1897" s="107" t="s">
        <v>670</v>
      </c>
      <c r="H1897">
        <f>INDEX('GIS-Standards'!$A$2:$A$305,MATCH(B1897,'GIS-Standards'!$B$2:$B$305,0))</f>
        <v>88</v>
      </c>
      <c r="I1897">
        <f>INDEX('GIS-Standards'!$A$2:$A$305,MATCH(C1897,'GIS-Standards'!$B$2:$B$305,0))</f>
        <v>27</v>
      </c>
      <c r="J1897" t="str">
        <f>INDEX('GIS-Standards'!$O$2:$O$305,MATCH(B1897,'GIS-Standards'!$B$2:$B$305,0))</f>
        <v>ISO/TC 59/SC 13</v>
      </c>
      <c r="K1897" t="str">
        <f>INDEX('GIS-Standards'!$O$2:$O$305,MATCH(C1897,'GIS-Standards'!$B$2:$B$305,0))</f>
        <v>ISO/TC 211</v>
      </c>
      <c r="M1897" t="s">
        <v>525</v>
      </c>
      <c r="N1897">
        <f>INDEX('GIS-Standards'!$I$2:$I$305,MATCH(B1897,'GIS-Standards'!$B$2:$B$305,0))</f>
        <v>0</v>
      </c>
      <c r="O1897">
        <f>INDEX('GIS-Standards'!$I$2:$I$305,MATCH(C1897,'GIS-Standards'!$B$2:$B$305,0))</f>
        <v>0</v>
      </c>
      <c r="P1897" t="b">
        <f>AND(TableRelationships12[[#This Row],[Source Type]]="BIM",TableRelationships12[[#This Row],[Target Type]]="BIM")</f>
        <v>0</v>
      </c>
      <c r="Q1897">
        <f t="shared" si="87"/>
        <v>1</v>
      </c>
      <c r="S1897">
        <f t="shared" si="88"/>
        <v>1</v>
      </c>
      <c r="T1897" s="102" t="str">
        <f>IF(TableRelationships12[[#This Row],[Rank Pedro]]="Low","linkCategory1",IF(TableRelationships12[[#This Row],[Rank Pedro]]="Medium","linkCategory2",IF(TableRelationships12[[#This Row],[Rank Pedro]]="High","linkCategory3","")))</f>
        <v/>
      </c>
      <c r="U1897" s="102" t="str">
        <f>IF(TableRelationships12[[#This Row],[Rank Pedro]]="Low","Pink",IF(TableRelationships12[[#This Row],[Rank Pedro]]="Medium","Purple",IF(TableRelationships12[[#This Row],[Rank Pedro]]="High","Brown","")))</f>
        <v/>
      </c>
      <c r="V1897" s="4" t="e">
        <f>MAX(INDEX(Standards!$F$2:$F$296,MATCH(B1897,Standards!$B$2:$B$296,0)),INDEX(Standards!$F$2:$F$296,MATCH(C1897,Standards!$B$2:$B$296,0)))</f>
        <v>#N/A</v>
      </c>
      <c r="W1897" t="str">
        <f t="shared" si="89"/>
        <v>#2f89d1</v>
      </c>
    </row>
    <row r="1898" spans="1:23" x14ac:dyDescent="0.5">
      <c r="A1898" s="54">
        <v>1897</v>
      </c>
      <c r="B1898" s="90" t="s">
        <v>1685</v>
      </c>
      <c r="C1898" t="s">
        <v>318</v>
      </c>
      <c r="D1898" s="1"/>
      <c r="E1898" s="112">
        <v>2005.02</v>
      </c>
      <c r="F1898" s="112">
        <v>2016.01</v>
      </c>
      <c r="G1898" s="107" t="s">
        <v>670</v>
      </c>
      <c r="H1898">
        <f>INDEX('GIS-Standards'!$A$2:$A$305,MATCH(B1898,'GIS-Standards'!$B$2:$B$305,0))</f>
        <v>88</v>
      </c>
      <c r="I1898">
        <f>INDEX('GIS-Standards'!$A$2:$A$305,MATCH(C1898,'GIS-Standards'!$B$2:$B$305,0))</f>
        <v>28</v>
      </c>
      <c r="J1898" t="str">
        <f>INDEX('GIS-Standards'!$O$2:$O$305,MATCH(B1898,'GIS-Standards'!$B$2:$B$305,0))</f>
        <v>ISO/TC 59/SC 13</v>
      </c>
      <c r="K1898" t="str">
        <f>INDEX('GIS-Standards'!$O$2:$O$305,MATCH(C1898,'GIS-Standards'!$B$2:$B$305,0))</f>
        <v>ISO/TC 211</v>
      </c>
      <c r="M1898" t="s">
        <v>525</v>
      </c>
      <c r="N1898">
        <f>INDEX('GIS-Standards'!$I$2:$I$305,MATCH(B1898,'GIS-Standards'!$B$2:$B$305,0))</f>
        <v>0</v>
      </c>
      <c r="O1898">
        <f>INDEX('GIS-Standards'!$I$2:$I$305,MATCH(C1898,'GIS-Standards'!$B$2:$B$305,0))</f>
        <v>0</v>
      </c>
      <c r="P1898" t="b">
        <f>AND(TableRelationships12[[#This Row],[Source Type]]="BIM",TableRelationships12[[#This Row],[Target Type]]="BIM")</f>
        <v>0</v>
      </c>
      <c r="Q1898">
        <f t="shared" si="87"/>
        <v>1</v>
      </c>
      <c r="S1898">
        <f t="shared" si="88"/>
        <v>1</v>
      </c>
      <c r="T1898" s="102" t="str">
        <f>IF(TableRelationships12[[#This Row],[Rank Pedro]]="Low","linkCategory1",IF(TableRelationships12[[#This Row],[Rank Pedro]]="Medium","linkCategory2",IF(TableRelationships12[[#This Row],[Rank Pedro]]="High","linkCategory3","")))</f>
        <v/>
      </c>
      <c r="U1898" s="102" t="str">
        <f>IF(TableRelationships12[[#This Row],[Rank Pedro]]="Low","Pink",IF(TableRelationships12[[#This Row],[Rank Pedro]]="Medium","Purple",IF(TableRelationships12[[#This Row],[Rank Pedro]]="High","Brown","")))</f>
        <v/>
      </c>
      <c r="V1898" s="4" t="e">
        <f>MAX(INDEX(Standards!$F$2:$F$296,MATCH(B1898,Standards!$B$2:$B$296,0)),INDEX(Standards!$F$2:$F$296,MATCH(C1898,Standards!$B$2:$B$296,0)))</f>
        <v>#N/A</v>
      </c>
      <c r="W1898" t="str">
        <f t="shared" si="89"/>
        <v>#2f89d1</v>
      </c>
    </row>
    <row r="1899" spans="1:23" x14ac:dyDescent="0.5">
      <c r="A1899" s="54">
        <v>1898</v>
      </c>
      <c r="B1899" s="90" t="s">
        <v>1685</v>
      </c>
      <c r="C1899" t="s">
        <v>322</v>
      </c>
      <c r="D1899" s="1"/>
      <c r="E1899" s="112">
        <v>2009.11</v>
      </c>
      <c r="F1899" s="112">
        <v>2021.05</v>
      </c>
      <c r="G1899" s="107" t="s">
        <v>670</v>
      </c>
      <c r="H1899">
        <f>INDEX('GIS-Standards'!$A$2:$A$305,MATCH(B1899,'GIS-Standards'!$B$2:$B$305,0))</f>
        <v>88</v>
      </c>
      <c r="I1899">
        <f>INDEX('GIS-Standards'!$A$2:$A$305,MATCH(C1899,'GIS-Standards'!$B$2:$B$305,0))</f>
        <v>33</v>
      </c>
      <c r="J1899" t="str">
        <f>INDEX('GIS-Standards'!$O$2:$O$305,MATCH(B1899,'GIS-Standards'!$B$2:$B$305,0))</f>
        <v>ISO/TC 59/SC 13</v>
      </c>
      <c r="K1899" t="str">
        <f>INDEX('GIS-Standards'!$O$2:$O$305,MATCH(C1899,'GIS-Standards'!$B$2:$B$305,0))</f>
        <v>ISO/TC 211</v>
      </c>
      <c r="M1899" t="s">
        <v>525</v>
      </c>
      <c r="N1899">
        <f>INDEX('GIS-Standards'!$I$2:$I$305,MATCH(B1899,'GIS-Standards'!$B$2:$B$305,0))</f>
        <v>0</v>
      </c>
      <c r="O1899">
        <f>INDEX('GIS-Standards'!$I$2:$I$305,MATCH(C1899,'GIS-Standards'!$B$2:$B$305,0))</f>
        <v>0</v>
      </c>
      <c r="P1899" t="b">
        <f>AND(TableRelationships12[[#This Row],[Source Type]]="BIM",TableRelationships12[[#This Row],[Target Type]]="BIM")</f>
        <v>0</v>
      </c>
      <c r="Q1899">
        <f t="shared" si="87"/>
        <v>1</v>
      </c>
      <c r="S1899">
        <f t="shared" si="88"/>
        <v>1</v>
      </c>
      <c r="T1899" s="102" t="str">
        <f>IF(TableRelationships12[[#This Row],[Rank Pedro]]="Low","linkCategory1",IF(TableRelationships12[[#This Row],[Rank Pedro]]="Medium","linkCategory2",IF(TableRelationships12[[#This Row],[Rank Pedro]]="High","linkCategory3","")))</f>
        <v/>
      </c>
      <c r="U1899" s="102" t="str">
        <f>IF(TableRelationships12[[#This Row],[Rank Pedro]]="Low","Pink",IF(TableRelationships12[[#This Row],[Rank Pedro]]="Medium","Purple",IF(TableRelationships12[[#This Row],[Rank Pedro]]="High","Brown","")))</f>
        <v/>
      </c>
      <c r="V1899" s="4" t="e">
        <f>MAX(INDEX(Standards!$F$2:$F$296,MATCH(B1899,Standards!$B$2:$B$296,0)),INDEX(Standards!$F$2:$F$296,MATCH(C1899,Standards!$B$2:$B$296,0)))</f>
        <v>#N/A</v>
      </c>
      <c r="W1899" t="str">
        <f t="shared" si="89"/>
        <v>#2f89d1</v>
      </c>
    </row>
    <row r="1900" spans="1:23" x14ac:dyDescent="0.5">
      <c r="A1900" s="54">
        <v>1899</v>
      </c>
      <c r="B1900" s="90" t="s">
        <v>1685</v>
      </c>
      <c r="C1900" t="s">
        <v>326</v>
      </c>
      <c r="D1900" s="1"/>
      <c r="E1900" s="112">
        <v>2005.12</v>
      </c>
      <c r="F1900" s="112">
        <v>2005.12</v>
      </c>
      <c r="G1900" s="107" t="s">
        <v>670</v>
      </c>
      <c r="H1900">
        <f>INDEX('GIS-Standards'!$A$2:$A$305,MATCH(B1900,'GIS-Standards'!$B$2:$B$305,0))</f>
        <v>88</v>
      </c>
      <c r="I1900">
        <f>INDEX('GIS-Standards'!$A$2:$A$305,MATCH(C1900,'GIS-Standards'!$B$2:$B$305,0))</f>
        <v>35</v>
      </c>
      <c r="J1900" t="str">
        <f>INDEX('GIS-Standards'!$O$2:$O$305,MATCH(B1900,'GIS-Standards'!$B$2:$B$305,0))</f>
        <v>ISO/TC 59/SC 13</v>
      </c>
      <c r="K1900" t="str">
        <f>INDEX('GIS-Standards'!$O$2:$O$305,MATCH(C1900,'GIS-Standards'!$B$2:$B$305,0))</f>
        <v>ISO/TC 211</v>
      </c>
      <c r="M1900" t="s">
        <v>525</v>
      </c>
      <c r="N1900">
        <f>INDEX('GIS-Standards'!$I$2:$I$305,MATCH(B1900,'GIS-Standards'!$B$2:$B$305,0))</f>
        <v>0</v>
      </c>
      <c r="O1900">
        <f>INDEX('GIS-Standards'!$I$2:$I$305,MATCH(C1900,'GIS-Standards'!$B$2:$B$305,0))</f>
        <v>0</v>
      </c>
      <c r="P1900" t="b">
        <f>AND(TableRelationships12[[#This Row],[Source Type]]="BIM",TableRelationships12[[#This Row],[Target Type]]="BIM")</f>
        <v>0</v>
      </c>
      <c r="Q1900">
        <f t="shared" si="87"/>
        <v>1</v>
      </c>
      <c r="S1900">
        <f t="shared" si="88"/>
        <v>1</v>
      </c>
      <c r="T1900" s="102" t="str">
        <f>IF(TableRelationships12[[#This Row],[Rank Pedro]]="Low","linkCategory1",IF(TableRelationships12[[#This Row],[Rank Pedro]]="Medium","linkCategory2",IF(TableRelationships12[[#This Row],[Rank Pedro]]="High","linkCategory3","")))</f>
        <v/>
      </c>
      <c r="U1900" s="102" t="str">
        <f>IF(TableRelationships12[[#This Row],[Rank Pedro]]="Low","Pink",IF(TableRelationships12[[#This Row],[Rank Pedro]]="Medium","Purple",IF(TableRelationships12[[#This Row],[Rank Pedro]]="High","Brown","")))</f>
        <v/>
      </c>
      <c r="V1900" s="4" t="e">
        <f>MAX(INDEX(Standards!$F$2:$F$296,MATCH(B1900,Standards!$B$2:$B$296,0)),INDEX(Standards!$F$2:$F$296,MATCH(C1900,Standards!$B$2:$B$296,0)))</f>
        <v>#N/A</v>
      </c>
      <c r="W1900" t="str">
        <f t="shared" si="89"/>
        <v>#2f89d1</v>
      </c>
    </row>
    <row r="1901" spans="1:23" x14ac:dyDescent="0.5">
      <c r="A1901" s="54">
        <v>1900</v>
      </c>
      <c r="B1901" s="90" t="s">
        <v>1685</v>
      </c>
      <c r="C1901" t="s">
        <v>332</v>
      </c>
      <c r="D1901" s="1"/>
      <c r="E1901" s="112">
        <v>2005.1</v>
      </c>
      <c r="F1901" s="112">
        <v>2005.1</v>
      </c>
      <c r="G1901" s="107" t="s">
        <v>670</v>
      </c>
      <c r="H1901">
        <f>INDEX('GIS-Standards'!$A$2:$A$305,MATCH(B1901,'GIS-Standards'!$B$2:$B$305,0))</f>
        <v>88</v>
      </c>
      <c r="I1901">
        <f>INDEX('GIS-Standards'!$A$2:$A$305,MATCH(C1901,'GIS-Standards'!$B$2:$B$305,0))</f>
        <v>39</v>
      </c>
      <c r="J1901" t="str">
        <f>INDEX('GIS-Standards'!$O$2:$O$305,MATCH(B1901,'GIS-Standards'!$B$2:$B$305,0))</f>
        <v>ISO/TC 59/SC 13</v>
      </c>
      <c r="K1901" t="str">
        <f>INDEX('GIS-Standards'!$O$2:$O$305,MATCH(C1901,'GIS-Standards'!$B$2:$B$305,0))</f>
        <v>ISO/TC 211</v>
      </c>
      <c r="M1901" t="s">
        <v>525</v>
      </c>
      <c r="N1901">
        <f>INDEX('GIS-Standards'!$I$2:$I$305,MATCH(B1901,'GIS-Standards'!$B$2:$B$305,0))</f>
        <v>0</v>
      </c>
      <c r="O1901">
        <f>INDEX('GIS-Standards'!$I$2:$I$305,MATCH(C1901,'GIS-Standards'!$B$2:$B$305,0))</f>
        <v>0</v>
      </c>
      <c r="P1901" t="b">
        <f>AND(TableRelationships12[[#This Row],[Source Type]]="BIM",TableRelationships12[[#This Row],[Target Type]]="BIM")</f>
        <v>0</v>
      </c>
      <c r="Q1901">
        <f t="shared" si="87"/>
        <v>1</v>
      </c>
      <c r="S1901">
        <f t="shared" si="88"/>
        <v>1</v>
      </c>
      <c r="T1901" s="102" t="str">
        <f>IF(TableRelationships12[[#This Row],[Rank Pedro]]="Low","linkCategory1",IF(TableRelationships12[[#This Row],[Rank Pedro]]="Medium","linkCategory2",IF(TableRelationships12[[#This Row],[Rank Pedro]]="High","linkCategory3","")))</f>
        <v/>
      </c>
      <c r="U1901" s="102" t="str">
        <f>IF(TableRelationships12[[#This Row],[Rank Pedro]]="Low","Pink",IF(TableRelationships12[[#This Row],[Rank Pedro]]="Medium","Purple",IF(TableRelationships12[[#This Row],[Rank Pedro]]="High","Brown","")))</f>
        <v/>
      </c>
      <c r="V1901" s="4" t="e">
        <f>MAX(INDEX(Standards!$F$2:$F$296,MATCH(B1901,Standards!$B$2:$B$296,0)),INDEX(Standards!$F$2:$F$296,MATCH(C1901,Standards!$B$2:$B$296,0)))</f>
        <v>#N/A</v>
      </c>
      <c r="W1901" t="str">
        <f t="shared" si="89"/>
        <v>#2f89d1</v>
      </c>
    </row>
    <row r="1902" spans="1:23" x14ac:dyDescent="0.5">
      <c r="A1902" s="54">
        <v>1901</v>
      </c>
      <c r="B1902" s="90" t="s">
        <v>1685</v>
      </c>
      <c r="C1902" t="s">
        <v>1048</v>
      </c>
      <c r="D1902" s="1"/>
      <c r="E1902" s="112">
        <v>2005.1</v>
      </c>
      <c r="F1902" s="112">
        <v>2021.02</v>
      </c>
      <c r="G1902" s="107" t="s">
        <v>670</v>
      </c>
      <c r="H1902">
        <f>INDEX('GIS-Standards'!$A$2:$A$305,MATCH(B1902,'GIS-Standards'!$B$2:$B$305,0))</f>
        <v>88</v>
      </c>
      <c r="I1902">
        <f>INDEX('GIS-Standards'!$A$2:$A$305,MATCH(C1902,'GIS-Standards'!$B$2:$B$305,0))</f>
        <v>41</v>
      </c>
      <c r="J1902" t="str">
        <f>INDEX('GIS-Standards'!$O$2:$O$305,MATCH(B1902,'GIS-Standards'!$B$2:$B$305,0))</f>
        <v>ISO/TC 59/SC 13</v>
      </c>
      <c r="K1902" t="str">
        <f>INDEX('GIS-Standards'!$O$2:$O$305,MATCH(C1902,'GIS-Standards'!$B$2:$B$305,0))</f>
        <v>ISO/TC 211</v>
      </c>
      <c r="M1902" t="s">
        <v>525</v>
      </c>
      <c r="N1902">
        <f>INDEX('GIS-Standards'!$I$2:$I$305,MATCH(B1902,'GIS-Standards'!$B$2:$B$305,0))</f>
        <v>0</v>
      </c>
      <c r="O1902" t="str">
        <f>INDEX('GIS-Standards'!$I$2:$I$305,MATCH(C1902,'GIS-Standards'!$B$2:$B$305,0))</f>
        <v>03.2021</v>
      </c>
      <c r="P1902" t="b">
        <f>AND(TableRelationships12[[#This Row],[Source Type]]="BIM",TableRelationships12[[#This Row],[Target Type]]="BIM")</f>
        <v>0</v>
      </c>
      <c r="Q1902">
        <f t="shared" si="87"/>
        <v>1</v>
      </c>
      <c r="S1902">
        <f t="shared" si="88"/>
        <v>1</v>
      </c>
      <c r="T1902" s="102" t="str">
        <f>IF(TableRelationships12[[#This Row],[Rank Pedro]]="Low","linkCategory1",IF(TableRelationships12[[#This Row],[Rank Pedro]]="Medium","linkCategory2",IF(TableRelationships12[[#This Row],[Rank Pedro]]="High","linkCategory3","")))</f>
        <v/>
      </c>
      <c r="U1902" s="102" t="str">
        <f>IF(TableRelationships12[[#This Row],[Rank Pedro]]="Low","Pink",IF(TableRelationships12[[#This Row],[Rank Pedro]]="Medium","Purple",IF(TableRelationships12[[#This Row],[Rank Pedro]]="High","Brown","")))</f>
        <v/>
      </c>
      <c r="V1902" s="4" t="e">
        <f>MAX(INDEX(Standards!$F$2:$F$296,MATCH(B1902,Standards!$B$2:$B$296,0)),INDEX(Standards!$F$2:$F$296,MATCH(C1902,Standards!$B$2:$B$296,0)))</f>
        <v>#N/A</v>
      </c>
      <c r="W1902" t="str">
        <f t="shared" si="89"/>
        <v>#2f89d1</v>
      </c>
    </row>
    <row r="1903" spans="1:23" x14ac:dyDescent="0.5">
      <c r="A1903" s="54">
        <v>1902</v>
      </c>
      <c r="B1903" s="90" t="s">
        <v>1685</v>
      </c>
      <c r="C1903" t="s">
        <v>334</v>
      </c>
      <c r="D1903" s="1"/>
      <c r="E1903" s="113">
        <v>2007.09</v>
      </c>
      <c r="F1903" s="113">
        <v>2020.01</v>
      </c>
      <c r="G1903" s="107" t="s">
        <v>670</v>
      </c>
      <c r="H1903">
        <f>INDEX('GIS-Standards'!$A$2:$A$305,MATCH(B1903,'GIS-Standards'!$B$2:$B$305,0))</f>
        <v>88</v>
      </c>
      <c r="I1903">
        <f>INDEX('GIS-Standards'!$A$2:$A$305,MATCH(C1903,'GIS-Standards'!$B$2:$B$305,0))</f>
        <v>42</v>
      </c>
      <c r="J1903" t="str">
        <f>INDEX('GIS-Standards'!$O$2:$O$305,MATCH(B1903,'GIS-Standards'!$B$2:$B$305,0))</f>
        <v>ISO/TC 59/SC 13</v>
      </c>
      <c r="K1903" t="str">
        <f>INDEX('GIS-Standards'!$O$2:$O$305,MATCH(C1903,'GIS-Standards'!$B$2:$B$305,0))</f>
        <v>ISO/TC 211</v>
      </c>
      <c r="M1903" t="s">
        <v>525</v>
      </c>
      <c r="N1903">
        <f>INDEX('GIS-Standards'!$I$2:$I$305,MATCH(B1903,'GIS-Standards'!$B$2:$B$305,0))</f>
        <v>0</v>
      </c>
      <c r="O1903">
        <f>INDEX('GIS-Standards'!$I$2:$I$305,MATCH(C1903,'GIS-Standards'!$B$2:$B$305,0))</f>
        <v>0</v>
      </c>
      <c r="P1903" t="b">
        <f>AND(TableRelationships12[[#This Row],[Source Type]]="BIM",TableRelationships12[[#This Row],[Target Type]]="BIM")</f>
        <v>0</v>
      </c>
      <c r="Q1903">
        <f t="shared" si="87"/>
        <v>1</v>
      </c>
      <c r="S1903">
        <f t="shared" si="88"/>
        <v>1</v>
      </c>
      <c r="T1903" s="102" t="str">
        <f>IF(TableRelationships12[[#This Row],[Rank Pedro]]="Low","linkCategory1",IF(TableRelationships12[[#This Row],[Rank Pedro]]="Medium","linkCategory2",IF(TableRelationships12[[#This Row],[Rank Pedro]]="High","linkCategory3","")))</f>
        <v/>
      </c>
      <c r="U1903" s="102" t="str">
        <f>IF(TableRelationships12[[#This Row],[Rank Pedro]]="Low","Pink",IF(TableRelationships12[[#This Row],[Rank Pedro]]="Medium","Purple",IF(TableRelationships12[[#This Row],[Rank Pedro]]="High","Brown","")))</f>
        <v/>
      </c>
      <c r="V1903" s="4" t="e">
        <f>MAX(INDEX(Standards!$F$2:$F$296,MATCH(B1903,Standards!$B$2:$B$296,0)),INDEX(Standards!$F$2:$F$296,MATCH(C1903,Standards!$B$2:$B$296,0)))</f>
        <v>#N/A</v>
      </c>
      <c r="W1903" t="str">
        <f t="shared" si="89"/>
        <v>#2f89d1</v>
      </c>
    </row>
    <row r="1904" spans="1:23" x14ac:dyDescent="0.5">
      <c r="A1904" s="54">
        <v>1903</v>
      </c>
      <c r="B1904" s="90" t="s">
        <v>1685</v>
      </c>
      <c r="C1904" t="s">
        <v>342</v>
      </c>
      <c r="D1904" s="1"/>
      <c r="E1904" s="112">
        <v>2010.1</v>
      </c>
      <c r="F1904" s="112">
        <v>2010.1</v>
      </c>
      <c r="G1904" s="107" t="s">
        <v>670</v>
      </c>
      <c r="H1904">
        <f>INDEX('GIS-Standards'!$A$2:$A$305,MATCH(B1904,'GIS-Standards'!$B$2:$B$305,0))</f>
        <v>88</v>
      </c>
      <c r="I1904">
        <f>INDEX('GIS-Standards'!$A$2:$A$305,MATCH(C1904,'GIS-Standards'!$B$2:$B$305,0))</f>
        <v>47</v>
      </c>
      <c r="J1904" t="str">
        <f>INDEX('GIS-Standards'!$O$2:$O$305,MATCH(B1904,'GIS-Standards'!$B$2:$B$305,0))</f>
        <v>ISO/TC 59/SC 13</v>
      </c>
      <c r="K1904" t="str">
        <f>INDEX('GIS-Standards'!$O$2:$O$305,MATCH(C1904,'GIS-Standards'!$B$2:$B$305,0))</f>
        <v>ISO/TC 211</v>
      </c>
      <c r="M1904" t="s">
        <v>525</v>
      </c>
      <c r="N1904">
        <f>INDEX('GIS-Standards'!$I$2:$I$305,MATCH(B1904,'GIS-Standards'!$B$2:$B$305,0))</f>
        <v>0</v>
      </c>
      <c r="O1904">
        <f>INDEX('GIS-Standards'!$I$2:$I$305,MATCH(C1904,'GIS-Standards'!$B$2:$B$305,0))</f>
        <v>0</v>
      </c>
      <c r="P1904" t="b">
        <f>AND(TableRelationships12[[#This Row],[Source Type]]="BIM",TableRelationships12[[#This Row],[Target Type]]="BIM")</f>
        <v>0</v>
      </c>
      <c r="Q1904">
        <f t="shared" si="87"/>
        <v>1</v>
      </c>
      <c r="S1904">
        <f t="shared" si="88"/>
        <v>1</v>
      </c>
      <c r="T1904" s="102" t="str">
        <f>IF(TableRelationships12[[#This Row],[Rank Pedro]]="Low","linkCategory1",IF(TableRelationships12[[#This Row],[Rank Pedro]]="Medium","linkCategory2",IF(TableRelationships12[[#This Row],[Rank Pedro]]="High","linkCategory3","")))</f>
        <v/>
      </c>
      <c r="U1904" s="102" t="str">
        <f>IF(TableRelationships12[[#This Row],[Rank Pedro]]="Low","Pink",IF(TableRelationships12[[#This Row],[Rank Pedro]]="Medium","Purple",IF(TableRelationships12[[#This Row],[Rank Pedro]]="High","Brown","")))</f>
        <v/>
      </c>
      <c r="V1904" s="4" t="e">
        <f>MAX(INDEX(Standards!$F$2:$F$296,MATCH(B1904,Standards!$B$2:$B$296,0)),INDEX(Standards!$F$2:$F$296,MATCH(C1904,Standards!$B$2:$B$296,0)))</f>
        <v>#N/A</v>
      </c>
      <c r="W1904" t="str">
        <f t="shared" si="89"/>
        <v>#2f89d1</v>
      </c>
    </row>
    <row r="1905" spans="1:23" x14ac:dyDescent="0.5">
      <c r="A1905" s="54">
        <v>1904</v>
      </c>
      <c r="B1905" s="90" t="s">
        <v>1685</v>
      </c>
      <c r="C1905" t="s">
        <v>1037</v>
      </c>
      <c r="D1905" s="1"/>
      <c r="E1905" s="112">
        <v>2009.09</v>
      </c>
      <c r="F1905" s="112">
        <v>2012.08</v>
      </c>
      <c r="G1905" s="107" t="s">
        <v>670</v>
      </c>
      <c r="H1905">
        <f>INDEX('GIS-Standards'!$A$2:$A$305,MATCH(B1905,'GIS-Standards'!$B$2:$B$305,0))</f>
        <v>88</v>
      </c>
      <c r="I1905">
        <f>INDEX('GIS-Standards'!$A$2:$A$305,MATCH(C1905,'GIS-Standards'!$B$2:$B$305,0))</f>
        <v>48</v>
      </c>
      <c r="J1905" t="str">
        <f>INDEX('GIS-Standards'!$O$2:$O$305,MATCH(B1905,'GIS-Standards'!$B$2:$B$305,0))</f>
        <v>ISO/TC 59/SC 13</v>
      </c>
      <c r="K1905" t="str">
        <f>INDEX('GIS-Standards'!$O$2:$O$305,MATCH(C1905,'GIS-Standards'!$B$2:$B$305,0))</f>
        <v>ISO/TC 211</v>
      </c>
      <c r="M1905" t="s">
        <v>525</v>
      </c>
      <c r="N1905">
        <f>INDEX('GIS-Standards'!$I$2:$I$305,MATCH(B1905,'GIS-Standards'!$B$2:$B$305,0))</f>
        <v>0</v>
      </c>
      <c r="O1905" t="str">
        <f>INDEX('GIS-Standards'!$I$2:$I$305,MATCH(C1905,'GIS-Standards'!$B$2:$B$305,0))</f>
        <v>08.2012</v>
      </c>
      <c r="P1905" t="b">
        <f>AND(TableRelationships12[[#This Row],[Source Type]]="BIM",TableRelationships12[[#This Row],[Target Type]]="BIM")</f>
        <v>0</v>
      </c>
      <c r="Q1905">
        <f t="shared" si="87"/>
        <v>1</v>
      </c>
      <c r="S1905">
        <f t="shared" si="88"/>
        <v>1</v>
      </c>
      <c r="T1905" s="102" t="str">
        <f>IF(TableRelationships12[[#This Row],[Rank Pedro]]="Low","linkCategory1",IF(TableRelationships12[[#This Row],[Rank Pedro]]="Medium","linkCategory2",IF(TableRelationships12[[#This Row],[Rank Pedro]]="High","linkCategory3","")))</f>
        <v/>
      </c>
      <c r="U1905" s="102" t="str">
        <f>IF(TableRelationships12[[#This Row],[Rank Pedro]]="Low","Pink",IF(TableRelationships12[[#This Row],[Rank Pedro]]="Medium","Purple",IF(TableRelationships12[[#This Row],[Rank Pedro]]="High","Brown","")))</f>
        <v/>
      </c>
      <c r="V1905" s="4" t="e">
        <f>MAX(INDEX(Standards!$F$2:$F$296,MATCH(B1905,Standards!$B$2:$B$296,0)),INDEX(Standards!$F$2:$F$296,MATCH(C1905,Standards!$B$2:$B$296,0)))</f>
        <v>#N/A</v>
      </c>
      <c r="W1905" t="str">
        <f t="shared" si="89"/>
        <v>#2f89d1</v>
      </c>
    </row>
    <row r="1906" spans="1:23" x14ac:dyDescent="0.5">
      <c r="A1906" s="54">
        <v>1905</v>
      </c>
      <c r="B1906" s="90" t="s">
        <v>1685</v>
      </c>
      <c r="C1906" t="s">
        <v>1038</v>
      </c>
      <c r="D1906" s="1"/>
      <c r="E1906" s="112">
        <v>2012.07</v>
      </c>
      <c r="F1906" s="112">
        <v>2023.12</v>
      </c>
      <c r="G1906" s="107" t="s">
        <v>670</v>
      </c>
      <c r="H1906">
        <f>INDEX('GIS-Standards'!$A$2:$A$305,MATCH(B1906,'GIS-Standards'!$B$2:$B$305,0))</f>
        <v>88</v>
      </c>
      <c r="I1906">
        <f>INDEX('GIS-Standards'!$A$2:$A$305,MATCH(C1906,'GIS-Standards'!$B$2:$B$305,0))</f>
        <v>49</v>
      </c>
      <c r="J1906" t="str">
        <f>INDEX('GIS-Standards'!$O$2:$O$305,MATCH(B1906,'GIS-Standards'!$B$2:$B$305,0))</f>
        <v>ISO/TC 59/SC 13</v>
      </c>
      <c r="K1906" t="str">
        <f>INDEX('GIS-Standards'!$O$2:$O$305,MATCH(C1906,'GIS-Standards'!$B$2:$B$305,0))</f>
        <v>ISO/TC 211</v>
      </c>
      <c r="M1906" t="s">
        <v>525</v>
      </c>
      <c r="N1906">
        <f>INDEX('GIS-Standards'!$I$2:$I$305,MATCH(B1906,'GIS-Standards'!$B$2:$B$305,0))</f>
        <v>0</v>
      </c>
      <c r="O1906">
        <f>INDEX('GIS-Standards'!$I$2:$I$305,MATCH(C1906,'GIS-Standards'!$B$2:$B$305,0))</f>
        <v>0</v>
      </c>
      <c r="P1906" t="b">
        <f>AND(TableRelationships12[[#This Row],[Source Type]]="BIM",TableRelationships12[[#This Row],[Target Type]]="BIM")</f>
        <v>0</v>
      </c>
      <c r="Q1906">
        <f t="shared" si="87"/>
        <v>1</v>
      </c>
      <c r="S1906">
        <f t="shared" si="88"/>
        <v>1</v>
      </c>
      <c r="T1906" s="102" t="str">
        <f>IF(TableRelationships12[[#This Row],[Rank Pedro]]="Low","linkCategory1",IF(TableRelationships12[[#This Row],[Rank Pedro]]="Medium","linkCategory2",IF(TableRelationships12[[#This Row],[Rank Pedro]]="High","linkCategory3","")))</f>
        <v/>
      </c>
      <c r="U1906" s="102" t="str">
        <f>IF(TableRelationships12[[#This Row],[Rank Pedro]]="Low","Pink",IF(TableRelationships12[[#This Row],[Rank Pedro]]="Medium","Purple",IF(TableRelationships12[[#This Row],[Rank Pedro]]="High","Brown","")))</f>
        <v/>
      </c>
      <c r="V1906" s="4" t="e">
        <f>MAX(INDEX(Standards!$F$2:$F$296,MATCH(B1906,Standards!$B$2:$B$296,0)),INDEX(Standards!$F$2:$F$296,MATCH(C1906,Standards!$B$2:$B$296,0)))</f>
        <v>#N/A</v>
      </c>
      <c r="W1906" t="str">
        <f t="shared" si="89"/>
        <v>#2f89d1</v>
      </c>
    </row>
    <row r="1907" spans="1:23" x14ac:dyDescent="0.5">
      <c r="A1907" s="54">
        <v>1906</v>
      </c>
      <c r="B1907" s="90" t="s">
        <v>1685</v>
      </c>
      <c r="C1907" t="s">
        <v>635</v>
      </c>
      <c r="D1907" s="1"/>
      <c r="E1907" s="112">
        <v>2015.06</v>
      </c>
      <c r="F1907" s="112">
        <v>2015.06</v>
      </c>
      <c r="G1907" s="107" t="s">
        <v>670</v>
      </c>
      <c r="H1907">
        <f>INDEX('GIS-Standards'!$A$2:$A$305,MATCH(B1907,'GIS-Standards'!$B$2:$B$305,0))</f>
        <v>88</v>
      </c>
      <c r="I1907">
        <f>INDEX('GIS-Standards'!$A$2:$A$305,MATCH(C1907,'GIS-Standards'!$B$2:$B$305,0))</f>
        <v>52</v>
      </c>
      <c r="J1907" t="str">
        <f>INDEX('GIS-Standards'!$O$2:$O$305,MATCH(B1907,'GIS-Standards'!$B$2:$B$305,0))</f>
        <v>ISO/TC 59/SC 13</v>
      </c>
      <c r="K1907" t="str">
        <f>INDEX('GIS-Standards'!$O$2:$O$305,MATCH(C1907,'GIS-Standards'!$B$2:$B$305,0))</f>
        <v>ISO/TC 211</v>
      </c>
      <c r="M1907" t="s">
        <v>525</v>
      </c>
      <c r="N1907">
        <f>INDEX('GIS-Standards'!$I$2:$I$305,MATCH(B1907,'GIS-Standards'!$B$2:$B$305,0))</f>
        <v>0</v>
      </c>
      <c r="O1907">
        <f>INDEX('GIS-Standards'!$I$2:$I$305,MATCH(C1907,'GIS-Standards'!$B$2:$B$305,0))</f>
        <v>0</v>
      </c>
      <c r="P1907" t="b">
        <f>AND(TableRelationships12[[#This Row],[Source Type]]="BIM",TableRelationships12[[#This Row],[Target Type]]="BIM")</f>
        <v>0</v>
      </c>
      <c r="Q1907">
        <f t="shared" si="87"/>
        <v>1</v>
      </c>
      <c r="S1907">
        <f t="shared" si="88"/>
        <v>1</v>
      </c>
      <c r="T1907" s="102" t="str">
        <f>IF(TableRelationships12[[#This Row],[Rank Pedro]]="Low","linkCategory1",IF(TableRelationships12[[#This Row],[Rank Pedro]]="Medium","linkCategory2",IF(TableRelationships12[[#This Row],[Rank Pedro]]="High","linkCategory3","")))</f>
        <v/>
      </c>
      <c r="U1907" s="102" t="str">
        <f>IF(TableRelationships12[[#This Row],[Rank Pedro]]="Low","Pink",IF(TableRelationships12[[#This Row],[Rank Pedro]]="Medium","Purple",IF(TableRelationships12[[#This Row],[Rank Pedro]]="High","Brown","")))</f>
        <v/>
      </c>
      <c r="V1907" s="4" t="e">
        <f>MAX(INDEX(Standards!$F$2:$F$296,MATCH(B1907,Standards!$B$2:$B$296,0)),INDEX(Standards!$F$2:$F$296,MATCH(C1907,Standards!$B$2:$B$296,0)))</f>
        <v>#N/A</v>
      </c>
      <c r="W1907" t="str">
        <f t="shared" si="89"/>
        <v>#2f89d1</v>
      </c>
    </row>
    <row r="1908" spans="1:23" x14ac:dyDescent="0.5">
      <c r="A1908" s="54">
        <v>1907</v>
      </c>
      <c r="B1908" s="90" t="s">
        <v>1685</v>
      </c>
      <c r="C1908" t="s">
        <v>346</v>
      </c>
      <c r="D1908" s="1"/>
      <c r="E1908" s="112">
        <v>2015.07</v>
      </c>
      <c r="F1908" s="112">
        <v>2019.01</v>
      </c>
      <c r="G1908" s="107" t="s">
        <v>670</v>
      </c>
      <c r="H1908">
        <f>INDEX('GIS-Standards'!$A$2:$A$305,MATCH(B1908,'GIS-Standards'!$B$2:$B$305,0))</f>
        <v>88</v>
      </c>
      <c r="I1908">
        <f>INDEX('GIS-Standards'!$A$2:$A$305,MATCH(C1908,'GIS-Standards'!$B$2:$B$305,0))</f>
        <v>54</v>
      </c>
      <c r="J1908" t="str">
        <f>INDEX('GIS-Standards'!$O$2:$O$305,MATCH(B1908,'GIS-Standards'!$B$2:$B$305,0))</f>
        <v>ISO/TC 59/SC 13</v>
      </c>
      <c r="K1908" t="str">
        <f>INDEX('GIS-Standards'!$O$2:$O$305,MATCH(C1908,'GIS-Standards'!$B$2:$B$305,0))</f>
        <v>ISO/TC 211</v>
      </c>
      <c r="M1908" t="s">
        <v>525</v>
      </c>
      <c r="N1908">
        <f>INDEX('GIS-Standards'!$I$2:$I$305,MATCH(B1908,'GIS-Standards'!$B$2:$B$305,0))</f>
        <v>0</v>
      </c>
      <c r="O1908" t="str">
        <f>INDEX('GIS-Standards'!$I$2:$I$305,MATCH(C1908,'GIS-Standards'!$B$2:$B$305,0))</f>
        <v>01.2019</v>
      </c>
      <c r="P1908" t="b">
        <f>AND(TableRelationships12[[#This Row],[Source Type]]="BIM",TableRelationships12[[#This Row],[Target Type]]="BIM")</f>
        <v>0</v>
      </c>
      <c r="Q1908">
        <f t="shared" si="87"/>
        <v>1</v>
      </c>
      <c r="S1908">
        <f t="shared" si="88"/>
        <v>1</v>
      </c>
      <c r="T1908" s="102" t="str">
        <f>IF(TableRelationships12[[#This Row],[Rank Pedro]]="Low","linkCategory1",IF(TableRelationships12[[#This Row],[Rank Pedro]]="Medium","linkCategory2",IF(TableRelationships12[[#This Row],[Rank Pedro]]="High","linkCategory3","")))</f>
        <v/>
      </c>
      <c r="U1908" s="102" t="str">
        <f>IF(TableRelationships12[[#This Row],[Rank Pedro]]="Low","Pink",IF(TableRelationships12[[#This Row],[Rank Pedro]]="Medium","Purple",IF(TableRelationships12[[#This Row],[Rank Pedro]]="High","Brown","")))</f>
        <v/>
      </c>
      <c r="V1908" s="4" t="e">
        <f>MAX(INDEX(Standards!$F$2:$F$296,MATCH(B1908,Standards!$B$2:$B$296,0)),INDEX(Standards!$F$2:$F$296,MATCH(C1908,Standards!$B$2:$B$296,0)))</f>
        <v>#N/A</v>
      </c>
      <c r="W1908" t="str">
        <f t="shared" si="89"/>
        <v>#2f89d1</v>
      </c>
    </row>
    <row r="1909" spans="1:23" x14ac:dyDescent="0.5">
      <c r="A1909" s="54">
        <v>1908</v>
      </c>
      <c r="B1909" s="90" t="s">
        <v>1685</v>
      </c>
      <c r="C1909" t="s">
        <v>1039</v>
      </c>
      <c r="D1909" s="1" t="s">
        <v>1331</v>
      </c>
      <c r="E1909" s="113">
        <v>2012.12</v>
      </c>
      <c r="F1909" s="113">
        <v>2024.01</v>
      </c>
      <c r="G1909" s="107" t="s">
        <v>670</v>
      </c>
      <c r="H1909">
        <f>INDEX('GIS-Standards'!$A$2:$A$305,MATCH(B1909,'GIS-Standards'!$B$2:$B$305,0))</f>
        <v>88</v>
      </c>
      <c r="I1909">
        <f>INDEX('GIS-Standards'!$A$2:$A$305,MATCH(C1909,'GIS-Standards'!$B$2:$B$305,0))</f>
        <v>57</v>
      </c>
      <c r="J1909" t="str">
        <f>INDEX('GIS-Standards'!$O$2:$O$305,MATCH(B1909,'GIS-Standards'!$B$2:$B$305,0))</f>
        <v>ISO/TC 59/SC 13</v>
      </c>
      <c r="K1909" t="str">
        <f>INDEX('GIS-Standards'!$O$2:$O$305,MATCH(C1909,'GIS-Standards'!$B$2:$B$305,0))</f>
        <v>ISO/TC 211</v>
      </c>
      <c r="M1909" t="s">
        <v>525</v>
      </c>
      <c r="N1909">
        <f>INDEX('GIS-Standards'!$I$2:$I$305,MATCH(B1909,'GIS-Standards'!$B$2:$B$305,0))</f>
        <v>0</v>
      </c>
      <c r="O1909">
        <f>INDEX('GIS-Standards'!$I$2:$I$305,MATCH(C1909,'GIS-Standards'!$B$2:$B$305,0))</f>
        <v>0</v>
      </c>
      <c r="P1909" t="b">
        <f>AND(TableRelationships12[[#This Row],[Source Type]]="BIM",TableRelationships12[[#This Row],[Target Type]]="BIM")</f>
        <v>0</v>
      </c>
      <c r="Q1909">
        <f t="shared" si="87"/>
        <v>1</v>
      </c>
      <c r="S1909">
        <f t="shared" si="88"/>
        <v>1</v>
      </c>
      <c r="T1909" s="102" t="str">
        <f>IF(TableRelationships12[[#This Row],[Rank Pedro]]="Low","linkCategory1",IF(TableRelationships12[[#This Row],[Rank Pedro]]="Medium","linkCategory2",IF(TableRelationships12[[#This Row],[Rank Pedro]]="High","linkCategory3","")))</f>
        <v/>
      </c>
      <c r="U1909" s="102" t="str">
        <f>IF(TableRelationships12[[#This Row],[Rank Pedro]]="Low","Pink",IF(TableRelationships12[[#This Row],[Rank Pedro]]="Medium","Purple",IF(TableRelationships12[[#This Row],[Rank Pedro]]="High","Brown","")))</f>
        <v/>
      </c>
      <c r="V1909" s="4" t="e">
        <f>MAX(INDEX(Standards!$F$2:$F$296,MATCH(B1909,Standards!$B$2:$B$296,0)),INDEX(Standards!$F$2:$F$296,MATCH(C1909,Standards!$B$2:$B$296,0)))</f>
        <v>#N/A</v>
      </c>
      <c r="W1909" t="str">
        <f t="shared" si="89"/>
        <v>#2f89d1</v>
      </c>
    </row>
    <row r="1910" spans="1:23" x14ac:dyDescent="0.5">
      <c r="A1910" s="54">
        <v>1909</v>
      </c>
      <c r="B1910" s="90" t="s">
        <v>1685</v>
      </c>
      <c r="C1910" t="s">
        <v>1053</v>
      </c>
      <c r="D1910" s="1"/>
      <c r="E1910" s="113">
        <v>2011.12</v>
      </c>
      <c r="F1910" s="113">
        <v>2023.04</v>
      </c>
      <c r="G1910" s="107" t="s">
        <v>670</v>
      </c>
      <c r="H1910">
        <f>INDEX('GIS-Standards'!$A$2:$A$305,MATCH(B1910,'GIS-Standards'!$B$2:$B$305,0))</f>
        <v>88</v>
      </c>
      <c r="I1910">
        <f>INDEX('GIS-Standards'!$A$2:$A$305,MATCH(C1910,'GIS-Standards'!$B$2:$B$305,0))</f>
        <v>65</v>
      </c>
      <c r="J1910" t="str">
        <f>INDEX('GIS-Standards'!$O$2:$O$305,MATCH(B1910,'GIS-Standards'!$B$2:$B$305,0))</f>
        <v>ISO/TC 59/SC 13</v>
      </c>
      <c r="K1910" t="str">
        <f>INDEX('GIS-Standards'!$O$2:$O$305,MATCH(C1910,'GIS-Standards'!$B$2:$B$305,0))</f>
        <v>ISO/TC 211</v>
      </c>
      <c r="M1910" t="s">
        <v>525</v>
      </c>
      <c r="N1910">
        <f>INDEX('GIS-Standards'!$I$2:$I$305,MATCH(B1910,'GIS-Standards'!$B$2:$B$305,0))</f>
        <v>0</v>
      </c>
      <c r="O1910">
        <f>INDEX('GIS-Standards'!$I$2:$I$305,MATCH(C1910,'GIS-Standards'!$B$2:$B$305,0))</f>
        <v>0</v>
      </c>
      <c r="P1910" t="b">
        <f>AND(TableRelationships12[[#This Row],[Source Type]]="BIM",TableRelationships12[[#This Row],[Target Type]]="BIM")</f>
        <v>0</v>
      </c>
      <c r="Q1910">
        <f t="shared" si="87"/>
        <v>1</v>
      </c>
      <c r="S1910">
        <f t="shared" si="88"/>
        <v>1</v>
      </c>
      <c r="T1910" s="102" t="str">
        <f>IF(TableRelationships12[[#This Row],[Rank Pedro]]="Low","linkCategory1",IF(TableRelationships12[[#This Row],[Rank Pedro]]="Medium","linkCategory2",IF(TableRelationships12[[#This Row],[Rank Pedro]]="High","linkCategory3","")))</f>
        <v/>
      </c>
      <c r="U1910" s="102" t="str">
        <f>IF(TableRelationships12[[#This Row],[Rank Pedro]]="Low","Pink",IF(TableRelationships12[[#This Row],[Rank Pedro]]="Medium","Purple",IF(TableRelationships12[[#This Row],[Rank Pedro]]="High","Brown","")))</f>
        <v/>
      </c>
      <c r="V1910" s="4" t="e">
        <f>MAX(INDEX(Standards!$F$2:$F$296,MATCH(B1910,Standards!$B$2:$B$296,0)),INDEX(Standards!$F$2:$F$296,MATCH(C1910,Standards!$B$2:$B$296,0)))</f>
        <v>#N/A</v>
      </c>
      <c r="W1910" t="str">
        <f t="shared" si="89"/>
        <v>#2f89d1</v>
      </c>
    </row>
    <row r="1911" spans="1:23" x14ac:dyDescent="0.5">
      <c r="A1911" s="54">
        <v>1910</v>
      </c>
      <c r="B1911" s="90" t="s">
        <v>1685</v>
      </c>
      <c r="C1911" t="s">
        <v>348</v>
      </c>
      <c r="D1911" s="1"/>
      <c r="E1911" s="113">
        <v>2013.12</v>
      </c>
      <c r="F1911" s="113">
        <v>2023.04</v>
      </c>
      <c r="G1911" s="107" t="s">
        <v>670</v>
      </c>
      <c r="H1911">
        <f>INDEX('GIS-Standards'!$A$2:$A$305,MATCH(B1911,'GIS-Standards'!$B$2:$B$305,0))</f>
        <v>88</v>
      </c>
      <c r="I1911">
        <f>INDEX('GIS-Standards'!$A$2:$A$305,MATCH(C1911,'GIS-Standards'!$B$2:$B$305,0))</f>
        <v>66</v>
      </c>
      <c r="J1911" t="str">
        <f>INDEX('GIS-Standards'!$O$2:$O$305,MATCH(B1911,'GIS-Standards'!$B$2:$B$305,0))</f>
        <v>ISO/TC 59/SC 13</v>
      </c>
      <c r="K1911" t="str">
        <f>INDEX('GIS-Standards'!$O$2:$O$305,MATCH(C1911,'GIS-Standards'!$B$2:$B$305,0))</f>
        <v>ISO/TC 211</v>
      </c>
      <c r="M1911" t="s">
        <v>525</v>
      </c>
      <c r="N1911">
        <f>INDEX('GIS-Standards'!$I$2:$I$305,MATCH(B1911,'GIS-Standards'!$B$2:$B$305,0))</f>
        <v>0</v>
      </c>
      <c r="O1911">
        <f>INDEX('GIS-Standards'!$I$2:$I$305,MATCH(C1911,'GIS-Standards'!$B$2:$B$305,0))</f>
        <v>0</v>
      </c>
      <c r="P1911" t="b">
        <f>AND(TableRelationships12[[#This Row],[Source Type]]="BIM",TableRelationships12[[#This Row],[Target Type]]="BIM")</f>
        <v>0</v>
      </c>
      <c r="Q1911">
        <f t="shared" si="87"/>
        <v>1</v>
      </c>
      <c r="S1911">
        <f t="shared" si="88"/>
        <v>1</v>
      </c>
      <c r="T1911" s="102" t="str">
        <f>IF(TableRelationships12[[#This Row],[Rank Pedro]]="Low","linkCategory1",IF(TableRelationships12[[#This Row],[Rank Pedro]]="Medium","linkCategory2",IF(TableRelationships12[[#This Row],[Rank Pedro]]="High","linkCategory3","")))</f>
        <v/>
      </c>
      <c r="U1911" s="102" t="str">
        <f>IF(TableRelationships12[[#This Row],[Rank Pedro]]="Low","Pink",IF(TableRelationships12[[#This Row],[Rank Pedro]]="Medium","Purple",IF(TableRelationships12[[#This Row],[Rank Pedro]]="High","Brown","")))</f>
        <v/>
      </c>
      <c r="V1911" s="4" t="e">
        <f>MAX(INDEX(Standards!$F$2:$F$296,MATCH(B1911,Standards!$B$2:$B$296,0)),INDEX(Standards!$F$2:$F$296,MATCH(C1911,Standards!$B$2:$B$296,0)))</f>
        <v>#N/A</v>
      </c>
      <c r="W1911" t="str">
        <f t="shared" si="89"/>
        <v>#2f89d1</v>
      </c>
    </row>
    <row r="1912" spans="1:23" x14ac:dyDescent="0.5">
      <c r="A1912" s="54">
        <v>1911</v>
      </c>
      <c r="B1912" s="90" t="s">
        <v>1685</v>
      </c>
      <c r="C1912" t="s">
        <v>1117</v>
      </c>
      <c r="D1912" s="1"/>
      <c r="E1912" s="112">
        <v>2015.12</v>
      </c>
      <c r="F1912" s="112">
        <v>2015.12</v>
      </c>
      <c r="G1912" s="107" t="s">
        <v>670</v>
      </c>
      <c r="H1912">
        <f>INDEX('GIS-Standards'!$A$2:$A$305,MATCH(B1912,'GIS-Standards'!$B$2:$B$305,0))</f>
        <v>88</v>
      </c>
      <c r="I1912" t="e">
        <f>INDEX('GIS-Standards'!$A$2:$A$305,MATCH(C1912,'GIS-Standards'!$B$2:$B$305,0))</f>
        <v>#N/A</v>
      </c>
      <c r="J1912" t="str">
        <f>INDEX('GIS-Standards'!$O$2:$O$305,MATCH(B1912,'GIS-Standards'!$B$2:$B$305,0))</f>
        <v>ISO/TC 59/SC 13</v>
      </c>
      <c r="K1912" t="e">
        <f>INDEX('GIS-Standards'!$O$2:$O$305,MATCH(C1912,'GIS-Standards'!$B$2:$B$305,0))</f>
        <v>#N/A</v>
      </c>
      <c r="M1912" t="s">
        <v>525</v>
      </c>
      <c r="N1912">
        <f>INDEX('GIS-Standards'!$I$2:$I$305,MATCH(B1912,'GIS-Standards'!$B$2:$B$305,0))</f>
        <v>0</v>
      </c>
      <c r="O1912" t="e">
        <f>INDEX('GIS-Standards'!$I$2:$I$305,MATCH(C1912,'GIS-Standards'!$B$2:$B$305,0))</f>
        <v>#N/A</v>
      </c>
      <c r="P1912" t="e">
        <f>AND(TableRelationships12[[#This Row],[Source Type]]="BIM",TableRelationships12[[#This Row],[Target Type]]="BIM")</f>
        <v>#N/A</v>
      </c>
      <c r="Q1912">
        <f t="shared" si="87"/>
        <v>1</v>
      </c>
      <c r="S1912">
        <f t="shared" si="88"/>
        <v>1</v>
      </c>
      <c r="T1912" s="102" t="str">
        <f>IF(TableRelationships12[[#This Row],[Rank Pedro]]="Low","linkCategory1",IF(TableRelationships12[[#This Row],[Rank Pedro]]="Medium","linkCategory2",IF(TableRelationships12[[#This Row],[Rank Pedro]]="High","linkCategory3","")))</f>
        <v/>
      </c>
      <c r="U1912" s="102" t="str">
        <f>IF(TableRelationships12[[#This Row],[Rank Pedro]]="Low","Pink",IF(TableRelationships12[[#This Row],[Rank Pedro]]="Medium","Purple",IF(TableRelationships12[[#This Row],[Rank Pedro]]="High","Brown","")))</f>
        <v/>
      </c>
      <c r="V1912" s="4" t="e">
        <f>MAX(INDEX(Standards!$F$2:$F$296,MATCH(B1912,Standards!$B$2:$B$296,0)),INDEX(Standards!$F$2:$F$296,MATCH(C1912,Standards!$B$2:$B$296,0)))</f>
        <v>#N/A</v>
      </c>
      <c r="W1912" t="str">
        <f t="shared" si="89"/>
        <v>#2f89d1</v>
      </c>
    </row>
    <row r="1913" spans="1:23" x14ac:dyDescent="0.5">
      <c r="A1913" s="54">
        <v>1912</v>
      </c>
      <c r="B1913" s="90" t="s">
        <v>1685</v>
      </c>
      <c r="C1913" t="s">
        <v>1217</v>
      </c>
      <c r="D1913" s="1"/>
      <c r="E1913" s="112">
        <v>2020.02</v>
      </c>
      <c r="F1913" s="112">
        <v>2020.02</v>
      </c>
      <c r="G1913" s="107" t="s">
        <v>670</v>
      </c>
      <c r="H1913">
        <f>INDEX('GIS-Standards'!$A$2:$A$305,MATCH(B1913,'GIS-Standards'!$B$2:$B$305,0))</f>
        <v>88</v>
      </c>
      <c r="I1913" t="e">
        <f>INDEX('GIS-Standards'!$A$2:$A$305,MATCH(C1913,'GIS-Standards'!$B$2:$B$305,0))</f>
        <v>#N/A</v>
      </c>
      <c r="J1913" t="str">
        <f>INDEX('GIS-Standards'!$O$2:$O$305,MATCH(B1913,'GIS-Standards'!$B$2:$B$305,0))</f>
        <v>ISO/TC 59/SC 13</v>
      </c>
      <c r="K1913" t="e">
        <f>INDEX('GIS-Standards'!$O$2:$O$305,MATCH(C1913,'GIS-Standards'!$B$2:$B$305,0))</f>
        <v>#N/A</v>
      </c>
      <c r="M1913" t="s">
        <v>525</v>
      </c>
      <c r="N1913">
        <f>INDEX('GIS-Standards'!$I$2:$I$305,MATCH(B1913,'GIS-Standards'!$B$2:$B$305,0))</f>
        <v>0</v>
      </c>
      <c r="O1913" t="e">
        <f>INDEX('GIS-Standards'!$I$2:$I$305,MATCH(C1913,'GIS-Standards'!$B$2:$B$305,0))</f>
        <v>#N/A</v>
      </c>
      <c r="P1913" t="e">
        <f>AND(TableRelationships12[[#This Row],[Source Type]]="BIM",TableRelationships12[[#This Row],[Target Type]]="BIM")</f>
        <v>#N/A</v>
      </c>
      <c r="Q1913">
        <f t="shared" si="87"/>
        <v>1</v>
      </c>
      <c r="S1913">
        <f t="shared" si="88"/>
        <v>1</v>
      </c>
      <c r="T1913" s="102" t="str">
        <f>IF(TableRelationships12[[#This Row],[Rank Pedro]]="Low","linkCategory1",IF(TableRelationships12[[#This Row],[Rank Pedro]]="Medium","linkCategory2",IF(TableRelationships12[[#This Row],[Rank Pedro]]="High","linkCategory3","")))</f>
        <v/>
      </c>
      <c r="U1913" s="102" t="str">
        <f>IF(TableRelationships12[[#This Row],[Rank Pedro]]="Low","Pink",IF(TableRelationships12[[#This Row],[Rank Pedro]]="Medium","Purple",IF(TableRelationships12[[#This Row],[Rank Pedro]]="High","Brown","")))</f>
        <v/>
      </c>
      <c r="V1913" s="4" t="e">
        <f>MAX(INDEX(Standards!$F$2:$F$296,MATCH(B1913,Standards!$B$2:$B$296,0)),INDEX(Standards!$F$2:$F$296,MATCH(C1913,Standards!$B$2:$B$296,0)))</f>
        <v>#N/A</v>
      </c>
      <c r="W1913" t="str">
        <f t="shared" si="89"/>
        <v>#2f89d1</v>
      </c>
    </row>
    <row r="1914" spans="1:23" x14ac:dyDescent="0.5">
      <c r="A1914" s="54">
        <v>1913</v>
      </c>
      <c r="B1914" s="90" t="s">
        <v>1685</v>
      </c>
      <c r="C1914" t="s">
        <v>643</v>
      </c>
      <c r="D1914" s="1"/>
      <c r="E1914" s="112">
        <v>2018.05</v>
      </c>
      <c r="F1914" s="112">
        <v>2018.05</v>
      </c>
      <c r="G1914" s="107" t="s">
        <v>670</v>
      </c>
      <c r="H1914">
        <f>INDEX('GIS-Standards'!$A$2:$A$305,MATCH(B1914,'GIS-Standards'!$B$2:$B$305,0))</f>
        <v>88</v>
      </c>
      <c r="I1914">
        <f>INDEX('GIS-Standards'!$A$2:$A$305,MATCH(C1914,'GIS-Standards'!$B$2:$B$305,0))</f>
        <v>70</v>
      </c>
      <c r="J1914" t="str">
        <f>INDEX('GIS-Standards'!$O$2:$O$305,MATCH(B1914,'GIS-Standards'!$B$2:$B$305,0))</f>
        <v>ISO/TC 59/SC 13</v>
      </c>
      <c r="K1914" t="str">
        <f>INDEX('GIS-Standards'!$O$2:$O$305,MATCH(C1914,'GIS-Standards'!$B$2:$B$305,0))</f>
        <v>ISO/TC 211</v>
      </c>
      <c r="M1914" t="s">
        <v>525</v>
      </c>
      <c r="N1914">
        <f>INDEX('GIS-Standards'!$I$2:$I$305,MATCH(B1914,'GIS-Standards'!$B$2:$B$305,0))</f>
        <v>0</v>
      </c>
      <c r="O1914">
        <f>INDEX('GIS-Standards'!$I$2:$I$305,MATCH(C1914,'GIS-Standards'!$B$2:$B$305,0))</f>
        <v>0</v>
      </c>
      <c r="P1914" t="b">
        <f>AND(TableRelationships12[[#This Row],[Source Type]]="BIM",TableRelationships12[[#This Row],[Target Type]]="BIM")</f>
        <v>0</v>
      </c>
      <c r="Q1914">
        <f t="shared" si="87"/>
        <v>1</v>
      </c>
      <c r="S1914">
        <f t="shared" si="88"/>
        <v>1</v>
      </c>
      <c r="T1914" s="102" t="str">
        <f>IF(TableRelationships12[[#This Row],[Rank Pedro]]="Low","linkCategory1",IF(TableRelationships12[[#This Row],[Rank Pedro]]="Medium","linkCategory2",IF(TableRelationships12[[#This Row],[Rank Pedro]]="High","linkCategory3","")))</f>
        <v/>
      </c>
      <c r="U1914" s="102" t="str">
        <f>IF(TableRelationships12[[#This Row],[Rank Pedro]]="Low","Pink",IF(TableRelationships12[[#This Row],[Rank Pedro]]="Medium","Purple",IF(TableRelationships12[[#This Row],[Rank Pedro]]="High","Brown","")))</f>
        <v/>
      </c>
      <c r="V1914" s="4" t="e">
        <f>MAX(INDEX(Standards!$F$2:$F$296,MATCH(B1914,Standards!$B$2:$B$296,0)),INDEX(Standards!$F$2:$F$296,MATCH(C1914,Standards!$B$2:$B$296,0)))</f>
        <v>#N/A</v>
      </c>
      <c r="W1914" t="str">
        <f t="shared" si="89"/>
        <v>#2f89d1</v>
      </c>
    </row>
    <row r="1915" spans="1:23" x14ac:dyDescent="0.5">
      <c r="A1915" s="54">
        <v>1914</v>
      </c>
      <c r="B1915" s="90" t="s">
        <v>1685</v>
      </c>
      <c r="C1915" t="s">
        <v>350</v>
      </c>
      <c r="D1915" s="1"/>
      <c r="E1915" s="112">
        <v>2020.09</v>
      </c>
      <c r="F1915" s="112">
        <v>2025.01</v>
      </c>
      <c r="G1915" s="107" t="s">
        <v>670</v>
      </c>
      <c r="H1915">
        <f>INDEX('GIS-Standards'!$A$2:$A$305,MATCH(B1915,'GIS-Standards'!$B$2:$B$305,0))</f>
        <v>88</v>
      </c>
      <c r="I1915">
        <f>INDEX('GIS-Standards'!$A$2:$A$305,MATCH(C1915,'GIS-Standards'!$B$2:$B$305,0))</f>
        <v>72</v>
      </c>
      <c r="J1915" t="str">
        <f>INDEX('GIS-Standards'!$O$2:$O$305,MATCH(B1915,'GIS-Standards'!$B$2:$B$305,0))</f>
        <v>ISO/TC 59/SC 13</v>
      </c>
      <c r="K1915" t="str">
        <f>INDEX('GIS-Standards'!$O$2:$O$305,MATCH(C1915,'GIS-Standards'!$B$2:$B$305,0))</f>
        <v>ISO/TC 211</v>
      </c>
      <c r="M1915" t="s">
        <v>525</v>
      </c>
      <c r="N1915">
        <f>INDEX('GIS-Standards'!$I$2:$I$305,MATCH(B1915,'GIS-Standards'!$B$2:$B$305,0))</f>
        <v>0</v>
      </c>
      <c r="O1915">
        <f>INDEX('GIS-Standards'!$I$2:$I$305,MATCH(C1915,'GIS-Standards'!$B$2:$B$305,0))</f>
        <v>0</v>
      </c>
      <c r="P1915" t="b">
        <f>AND(TableRelationships12[[#This Row],[Source Type]]="BIM",TableRelationships12[[#This Row],[Target Type]]="BIM")</f>
        <v>0</v>
      </c>
      <c r="Q1915">
        <f t="shared" si="87"/>
        <v>1</v>
      </c>
      <c r="S1915">
        <f t="shared" si="88"/>
        <v>1</v>
      </c>
      <c r="T1915" s="102" t="str">
        <f>IF(TableRelationships12[[#This Row],[Rank Pedro]]="Low","linkCategory1",IF(TableRelationships12[[#This Row],[Rank Pedro]]="Medium","linkCategory2",IF(TableRelationships12[[#This Row],[Rank Pedro]]="High","linkCategory3","")))</f>
        <v/>
      </c>
      <c r="U1915" s="102" t="str">
        <f>IF(TableRelationships12[[#This Row],[Rank Pedro]]="Low","Pink",IF(TableRelationships12[[#This Row],[Rank Pedro]]="Medium","Purple",IF(TableRelationships12[[#This Row],[Rank Pedro]]="High","Brown","")))</f>
        <v/>
      </c>
      <c r="V1915" s="4" t="e">
        <f>MAX(INDEX(Standards!$F$2:$F$296,MATCH(B1915,Standards!$B$2:$B$296,0)),INDEX(Standards!$F$2:$F$296,MATCH(C1915,Standards!$B$2:$B$296,0)))</f>
        <v>#N/A</v>
      </c>
      <c r="W1915" t="str">
        <f t="shared" si="89"/>
        <v>#2f89d1</v>
      </c>
    </row>
    <row r="1916" spans="1:23" x14ac:dyDescent="0.5">
      <c r="A1916" s="54">
        <v>1915</v>
      </c>
      <c r="B1916" s="90" t="s">
        <v>1685</v>
      </c>
      <c r="C1916" t="s">
        <v>210</v>
      </c>
      <c r="D1916" s="1" t="s">
        <v>1676</v>
      </c>
      <c r="E1916" s="112">
        <v>2018.12</v>
      </c>
      <c r="F1916" s="112">
        <v>2018.12</v>
      </c>
      <c r="G1916" s="107" t="s">
        <v>2061</v>
      </c>
      <c r="H1916">
        <f>INDEX('GIS-Standards'!$A$2:$A$305,MATCH(B1916,'GIS-Standards'!$B$2:$B$305,0))</f>
        <v>88</v>
      </c>
      <c r="I1916" t="e">
        <f>INDEX('GIS-Standards'!$A$2:$A$305,MATCH(C1916,'GIS-Standards'!$B$2:$B$305,0))</f>
        <v>#N/A</v>
      </c>
      <c r="J1916" t="str">
        <f>INDEX('GIS-Standards'!$O$2:$O$305,MATCH(B1916,'GIS-Standards'!$B$2:$B$305,0))</f>
        <v>ISO/TC 59/SC 13</v>
      </c>
      <c r="K1916" t="e">
        <f>INDEX('GIS-Standards'!$O$2:$O$305,MATCH(C1916,'GIS-Standards'!$B$2:$B$305,0))</f>
        <v>#N/A</v>
      </c>
      <c r="M1916" t="s">
        <v>525</v>
      </c>
      <c r="N1916">
        <f>INDEX('GIS-Standards'!$I$2:$I$305,MATCH(B1916,'GIS-Standards'!$B$2:$B$305,0))</f>
        <v>0</v>
      </c>
      <c r="O1916" t="e">
        <f>INDEX('GIS-Standards'!$I$2:$I$305,MATCH(C1916,'GIS-Standards'!$B$2:$B$305,0))</f>
        <v>#N/A</v>
      </c>
      <c r="P1916" t="e">
        <f>AND(TableRelationships12[[#This Row],[Source Type]]="BIM",TableRelationships12[[#This Row],[Target Type]]="BIM")</f>
        <v>#N/A</v>
      </c>
      <c r="Q1916">
        <f t="shared" si="87"/>
        <v>1</v>
      </c>
      <c r="S1916">
        <f t="shared" si="88"/>
        <v>1</v>
      </c>
      <c r="T1916" s="102" t="str">
        <f>IF(TableRelationships12[[#This Row],[Rank Pedro]]="Low","linkCategory1",IF(TableRelationships12[[#This Row],[Rank Pedro]]="Medium","linkCategory2",IF(TableRelationships12[[#This Row],[Rank Pedro]]="High","linkCategory3","")))</f>
        <v/>
      </c>
      <c r="U1916" s="102" t="str">
        <f>IF(TableRelationships12[[#This Row],[Rank Pedro]]="Low","Pink",IF(TableRelationships12[[#This Row],[Rank Pedro]]="Medium","Purple",IF(TableRelationships12[[#This Row],[Rank Pedro]]="High","Brown","")))</f>
        <v/>
      </c>
      <c r="V1916" s="4" t="e">
        <f>MAX(INDEX(Standards!$F$2:$F$296,MATCH(B1916,Standards!$B$2:$B$296,0)),INDEX(Standards!$F$2:$F$296,MATCH(C1916,Standards!$B$2:$B$296,0)))</f>
        <v>#N/A</v>
      </c>
      <c r="W1916" t="str">
        <f t="shared" si="89"/>
        <v>#2f89d1</v>
      </c>
    </row>
    <row r="1917" spans="1:23" x14ac:dyDescent="0.5">
      <c r="A1917" s="54">
        <v>1916</v>
      </c>
      <c r="B1917" s="90" t="s">
        <v>1685</v>
      </c>
      <c r="C1917" t="s">
        <v>214</v>
      </c>
      <c r="D1917" s="1" t="s">
        <v>1676</v>
      </c>
      <c r="E1917" s="112">
        <v>2018.12</v>
      </c>
      <c r="F1917" s="112">
        <v>2018.12</v>
      </c>
      <c r="G1917" s="107" t="s">
        <v>2061</v>
      </c>
      <c r="H1917">
        <f>INDEX('GIS-Standards'!$A$2:$A$305,MATCH(B1917,'GIS-Standards'!$B$2:$B$305,0))</f>
        <v>88</v>
      </c>
      <c r="I1917" t="e">
        <f>INDEX('GIS-Standards'!$A$2:$A$305,MATCH(C1917,'GIS-Standards'!$B$2:$B$305,0))</f>
        <v>#N/A</v>
      </c>
      <c r="J1917" t="str">
        <f>INDEX('GIS-Standards'!$O$2:$O$305,MATCH(B1917,'GIS-Standards'!$B$2:$B$305,0))</f>
        <v>ISO/TC 59/SC 13</v>
      </c>
      <c r="K1917" t="e">
        <f>INDEX('GIS-Standards'!$O$2:$O$305,MATCH(C1917,'GIS-Standards'!$B$2:$B$305,0))</f>
        <v>#N/A</v>
      </c>
      <c r="M1917" t="s">
        <v>525</v>
      </c>
      <c r="N1917">
        <f>INDEX('GIS-Standards'!$I$2:$I$305,MATCH(B1917,'GIS-Standards'!$B$2:$B$305,0))</f>
        <v>0</v>
      </c>
      <c r="O1917" t="e">
        <f>INDEX('GIS-Standards'!$I$2:$I$305,MATCH(C1917,'GIS-Standards'!$B$2:$B$305,0))</f>
        <v>#N/A</v>
      </c>
      <c r="P1917" t="e">
        <f>AND(TableRelationships12[[#This Row],[Source Type]]="BIM",TableRelationships12[[#This Row],[Target Type]]="BIM")</f>
        <v>#N/A</v>
      </c>
      <c r="Q1917">
        <f t="shared" si="87"/>
        <v>1</v>
      </c>
      <c r="S1917">
        <f t="shared" si="88"/>
        <v>1</v>
      </c>
      <c r="T1917" s="102" t="str">
        <f>IF(TableRelationships12[[#This Row],[Rank Pedro]]="Low","linkCategory1",IF(TableRelationships12[[#This Row],[Rank Pedro]]="Medium","linkCategory2",IF(TableRelationships12[[#This Row],[Rank Pedro]]="High","linkCategory3","")))</f>
        <v/>
      </c>
      <c r="U1917" s="102" t="str">
        <f>IF(TableRelationships12[[#This Row],[Rank Pedro]]="Low","Pink",IF(TableRelationships12[[#This Row],[Rank Pedro]]="Medium","Purple",IF(TableRelationships12[[#This Row],[Rank Pedro]]="High","Brown","")))</f>
        <v/>
      </c>
      <c r="V1917" s="4" t="e">
        <f>MAX(INDEX(Standards!$F$2:$F$296,MATCH(B1917,Standards!$B$2:$B$296,0)),INDEX(Standards!$F$2:$F$296,MATCH(C1917,Standards!$B$2:$B$296,0)))</f>
        <v>#N/A</v>
      </c>
      <c r="W1917" t="str">
        <f t="shared" si="89"/>
        <v>#2f89d1</v>
      </c>
    </row>
    <row r="1918" spans="1:23" x14ac:dyDescent="0.5">
      <c r="A1918" s="54">
        <v>1917</v>
      </c>
      <c r="B1918" s="90" t="s">
        <v>1685</v>
      </c>
      <c r="C1918" t="s">
        <v>228</v>
      </c>
      <c r="D1918" s="1"/>
      <c r="E1918" s="112">
        <v>2022.08</v>
      </c>
      <c r="F1918" s="112">
        <v>2022.08</v>
      </c>
      <c r="G1918" s="107" t="s">
        <v>2061</v>
      </c>
      <c r="H1918">
        <f>INDEX('GIS-Standards'!$A$2:$A$305,MATCH(B1918,'GIS-Standards'!$B$2:$B$305,0))</f>
        <v>88</v>
      </c>
      <c r="I1918" t="e">
        <f>INDEX('GIS-Standards'!$A$2:$A$305,MATCH(C1918,'GIS-Standards'!$B$2:$B$305,0))</f>
        <v>#N/A</v>
      </c>
      <c r="J1918" t="str">
        <f>INDEX('GIS-Standards'!$O$2:$O$305,MATCH(B1918,'GIS-Standards'!$B$2:$B$305,0))</f>
        <v>ISO/TC 59/SC 13</v>
      </c>
      <c r="K1918" t="e">
        <f>INDEX('GIS-Standards'!$O$2:$O$305,MATCH(C1918,'GIS-Standards'!$B$2:$B$305,0))</f>
        <v>#N/A</v>
      </c>
      <c r="M1918" t="s">
        <v>525</v>
      </c>
      <c r="N1918">
        <f>INDEX('GIS-Standards'!$I$2:$I$305,MATCH(B1918,'GIS-Standards'!$B$2:$B$305,0))</f>
        <v>0</v>
      </c>
      <c r="O1918" t="e">
        <f>INDEX('GIS-Standards'!$I$2:$I$305,MATCH(C1918,'GIS-Standards'!$B$2:$B$305,0))</f>
        <v>#N/A</v>
      </c>
      <c r="P1918" t="e">
        <f>AND(TableRelationships12[[#This Row],[Source Type]]="BIM",TableRelationships12[[#This Row],[Target Type]]="BIM")</f>
        <v>#N/A</v>
      </c>
      <c r="Q1918">
        <f t="shared" si="87"/>
        <v>1</v>
      </c>
      <c r="S1918">
        <f t="shared" si="88"/>
        <v>1</v>
      </c>
      <c r="T1918" s="102" t="str">
        <f>IF(TableRelationships12[[#This Row],[Rank Pedro]]="Low","linkCategory1",IF(TableRelationships12[[#This Row],[Rank Pedro]]="Medium","linkCategory2",IF(TableRelationships12[[#This Row],[Rank Pedro]]="High","linkCategory3","")))</f>
        <v/>
      </c>
      <c r="U1918" s="102" t="str">
        <f>IF(TableRelationships12[[#This Row],[Rank Pedro]]="Low","Pink",IF(TableRelationships12[[#This Row],[Rank Pedro]]="Medium","Purple",IF(TableRelationships12[[#This Row],[Rank Pedro]]="High","Brown","")))</f>
        <v/>
      </c>
      <c r="V1918" s="4" t="e">
        <f>MAX(INDEX(Standards!$F$2:$F$296,MATCH(B1918,Standards!$B$2:$B$296,0)),INDEX(Standards!$F$2:$F$296,MATCH(C1918,Standards!$B$2:$B$296,0)))</f>
        <v>#N/A</v>
      </c>
      <c r="W1918" t="str">
        <f t="shared" si="89"/>
        <v>#2f89d1</v>
      </c>
    </row>
    <row r="1919" spans="1:23" x14ac:dyDescent="0.5">
      <c r="A1919" s="54">
        <v>1918</v>
      </c>
      <c r="B1919" s="90" t="s">
        <v>1685</v>
      </c>
      <c r="C1919" t="s">
        <v>245</v>
      </c>
      <c r="D1919" s="1"/>
      <c r="E1919" s="112">
        <v>2020.04</v>
      </c>
      <c r="F1919" s="112">
        <v>2020.04</v>
      </c>
      <c r="G1919" s="107" t="s">
        <v>2079</v>
      </c>
      <c r="H1919">
        <f>INDEX('GIS-Standards'!$A$2:$A$305,MATCH(B1919,'GIS-Standards'!$B$2:$B$305,0))</f>
        <v>88</v>
      </c>
      <c r="I1919">
        <f>INDEX('GIS-Standards'!$A$2:$A$305,MATCH(C1919,'GIS-Standards'!$B$2:$B$305,0))</f>
        <v>75</v>
      </c>
      <c r="J1919" t="str">
        <f>INDEX('GIS-Standards'!$O$2:$O$305,MATCH(B1919,'GIS-Standards'!$B$2:$B$305,0))</f>
        <v>ISO/TC 59/SC 13</v>
      </c>
      <c r="K1919" t="str">
        <f>INDEX('GIS-Standards'!$O$2:$O$305,MATCH(C1919,'GIS-Standards'!$B$2:$B$305,0))</f>
        <v>ISO/TC 59/SC 13</v>
      </c>
      <c r="M1919" t="s">
        <v>525</v>
      </c>
      <c r="N1919">
        <f>INDEX('GIS-Standards'!$I$2:$I$305,MATCH(B1919,'GIS-Standards'!$B$2:$B$305,0))</f>
        <v>0</v>
      </c>
      <c r="O1919">
        <f>INDEX('GIS-Standards'!$I$2:$I$305,MATCH(C1919,'GIS-Standards'!$B$2:$B$305,0))</f>
        <v>0</v>
      </c>
      <c r="P1919" t="b">
        <f>AND(TableRelationships12[[#This Row],[Source Type]]="BIM",TableRelationships12[[#This Row],[Target Type]]="BIM")</f>
        <v>0</v>
      </c>
      <c r="Q1919">
        <f t="shared" si="87"/>
        <v>1</v>
      </c>
      <c r="S1919">
        <f t="shared" si="88"/>
        <v>1</v>
      </c>
      <c r="T1919" s="102" t="str">
        <f>IF(TableRelationships12[[#This Row],[Rank Pedro]]="Low","linkCategory1",IF(TableRelationships12[[#This Row],[Rank Pedro]]="Medium","linkCategory2",IF(TableRelationships12[[#This Row],[Rank Pedro]]="High","linkCategory3","")))</f>
        <v/>
      </c>
      <c r="U1919" s="102" t="str">
        <f>IF(TableRelationships12[[#This Row],[Rank Pedro]]="Low","Pink",IF(TableRelationships12[[#This Row],[Rank Pedro]]="Medium","Purple",IF(TableRelationships12[[#This Row],[Rank Pedro]]="High","Brown","")))</f>
        <v/>
      </c>
      <c r="V1919" s="4" t="e">
        <f>MAX(INDEX(Standards!$F$2:$F$296,MATCH(B1919,Standards!$B$2:$B$296,0)),INDEX(Standards!$F$2:$F$296,MATCH(C1919,Standards!$B$2:$B$296,0)))</f>
        <v>#N/A</v>
      </c>
      <c r="W1919" t="str">
        <f t="shared" si="89"/>
        <v>#2f89d1</v>
      </c>
    </row>
    <row r="1920" spans="1:23" x14ac:dyDescent="0.5">
      <c r="A1920" s="54">
        <v>1919</v>
      </c>
      <c r="B1920" s="90" t="s">
        <v>1685</v>
      </c>
      <c r="C1920" t="s">
        <v>376</v>
      </c>
      <c r="D1920" s="1"/>
      <c r="E1920" s="113">
        <v>2008.01</v>
      </c>
      <c r="F1920" s="113">
        <v>2008.01</v>
      </c>
      <c r="G1920" s="107" t="s">
        <v>2044</v>
      </c>
      <c r="H1920">
        <f>INDEX('GIS-Standards'!$A$2:$A$305,MATCH(B1920,'GIS-Standards'!$B$2:$B$305,0))</f>
        <v>88</v>
      </c>
      <c r="I1920" t="e">
        <f>INDEX('GIS-Standards'!$A$2:$A$305,MATCH(C1920,'GIS-Standards'!$B$2:$B$305,0))</f>
        <v>#N/A</v>
      </c>
      <c r="J1920" t="str">
        <f>INDEX('GIS-Standards'!$O$2:$O$305,MATCH(B1920,'GIS-Standards'!$B$2:$B$305,0))</f>
        <v>ISO/TC 59/SC 13</v>
      </c>
      <c r="K1920" t="e">
        <f>INDEX('GIS-Standards'!$O$2:$O$305,MATCH(C1920,'GIS-Standards'!$B$2:$B$305,0))</f>
        <v>#N/A</v>
      </c>
      <c r="M1920" t="s">
        <v>525</v>
      </c>
      <c r="N1920">
        <f>INDEX('GIS-Standards'!$I$2:$I$305,MATCH(B1920,'GIS-Standards'!$B$2:$B$305,0))</f>
        <v>0</v>
      </c>
      <c r="O1920" t="e">
        <f>INDEX('GIS-Standards'!$I$2:$I$305,MATCH(C1920,'GIS-Standards'!$B$2:$B$305,0))</f>
        <v>#N/A</v>
      </c>
      <c r="P1920" t="e">
        <f>AND(TableRelationships12[[#This Row],[Source Type]]="BIM",TableRelationships12[[#This Row],[Target Type]]="BIM")</f>
        <v>#N/A</v>
      </c>
      <c r="Q1920">
        <f t="shared" si="87"/>
        <v>1</v>
      </c>
      <c r="S1920">
        <f t="shared" si="88"/>
        <v>1</v>
      </c>
      <c r="T1920" s="102" t="str">
        <f>IF(TableRelationships12[[#This Row],[Rank Pedro]]="Low","linkCategory1",IF(TableRelationships12[[#This Row],[Rank Pedro]]="Medium","linkCategory2",IF(TableRelationships12[[#This Row],[Rank Pedro]]="High","linkCategory3","")))</f>
        <v/>
      </c>
      <c r="U1920" s="102" t="str">
        <f>IF(TableRelationships12[[#This Row],[Rank Pedro]]="Low","Pink",IF(TableRelationships12[[#This Row],[Rank Pedro]]="Medium","Purple",IF(TableRelationships12[[#This Row],[Rank Pedro]]="High","Brown","")))</f>
        <v/>
      </c>
      <c r="V1920" s="4" t="e">
        <f>MAX(INDEX(Standards!$F$2:$F$296,MATCH(B1920,Standards!$B$2:$B$296,0)),INDEX(Standards!$F$2:$F$296,MATCH(C1920,Standards!$B$2:$B$296,0)))</f>
        <v>#N/A</v>
      </c>
      <c r="W1920" t="str">
        <f t="shared" si="89"/>
        <v>#2f89d1</v>
      </c>
    </row>
    <row r="1921" spans="1:23" x14ac:dyDescent="0.5">
      <c r="A1921" s="54">
        <v>1920</v>
      </c>
      <c r="B1921" s="90" t="s">
        <v>1685</v>
      </c>
      <c r="C1921" t="s">
        <v>118</v>
      </c>
      <c r="D1921" s="1"/>
      <c r="E1921" s="112">
        <v>2013.01</v>
      </c>
      <c r="F1921" s="112">
        <v>2013.01</v>
      </c>
      <c r="G1921" s="107" t="s">
        <v>2097</v>
      </c>
      <c r="H1921">
        <f>INDEX('GIS-Standards'!$A$2:$A$305,MATCH(B1921,'GIS-Standards'!$B$2:$B$305,0))</f>
        <v>88</v>
      </c>
      <c r="I1921" t="e">
        <f>INDEX('GIS-Standards'!$A$2:$A$305,MATCH(C1921,'GIS-Standards'!$B$2:$B$305,0))</f>
        <v>#N/A</v>
      </c>
      <c r="J1921" t="str">
        <f>INDEX('GIS-Standards'!$O$2:$O$305,MATCH(B1921,'GIS-Standards'!$B$2:$B$305,0))</f>
        <v>ISO/TC 59/SC 13</v>
      </c>
      <c r="K1921" t="e">
        <f>INDEX('GIS-Standards'!$O$2:$O$305,MATCH(C1921,'GIS-Standards'!$B$2:$B$305,0))</f>
        <v>#N/A</v>
      </c>
      <c r="M1921" t="s">
        <v>525</v>
      </c>
      <c r="N1921">
        <f>INDEX('GIS-Standards'!$I$2:$I$305,MATCH(B1921,'GIS-Standards'!$B$2:$B$305,0))</f>
        <v>0</v>
      </c>
      <c r="O1921" t="e">
        <f>INDEX('GIS-Standards'!$I$2:$I$305,MATCH(C1921,'GIS-Standards'!$B$2:$B$305,0))</f>
        <v>#N/A</v>
      </c>
      <c r="P1921" t="e">
        <f>AND(TableRelationships12[[#This Row],[Source Type]]="BIM",TableRelationships12[[#This Row],[Target Type]]="BIM")</f>
        <v>#N/A</v>
      </c>
      <c r="Q1921">
        <f t="shared" si="87"/>
        <v>1</v>
      </c>
      <c r="S1921">
        <f t="shared" si="88"/>
        <v>1</v>
      </c>
      <c r="T1921" s="102" t="str">
        <f>IF(TableRelationships12[[#This Row],[Rank Pedro]]="Low","linkCategory1",IF(TableRelationships12[[#This Row],[Rank Pedro]]="Medium","linkCategory2",IF(TableRelationships12[[#This Row],[Rank Pedro]]="High","linkCategory3","")))</f>
        <v/>
      </c>
      <c r="U1921" s="102" t="str">
        <f>IF(TableRelationships12[[#This Row],[Rank Pedro]]="Low","Pink",IF(TableRelationships12[[#This Row],[Rank Pedro]]="Medium","Purple",IF(TableRelationships12[[#This Row],[Rank Pedro]]="High","Brown","")))</f>
        <v/>
      </c>
      <c r="V1921" s="4" t="e">
        <f>MAX(INDEX(Standards!$F$2:$F$296,MATCH(B1921,Standards!$B$2:$B$296,0)),INDEX(Standards!$F$2:$F$296,MATCH(C1921,Standards!$B$2:$B$296,0)))</f>
        <v>#N/A</v>
      </c>
      <c r="W1921" t="str">
        <f t="shared" si="89"/>
        <v>#2f89d1</v>
      </c>
    </row>
    <row r="1922" spans="1:23" x14ac:dyDescent="0.5">
      <c r="A1922" s="54">
        <v>1921</v>
      </c>
      <c r="B1922" s="90" t="s">
        <v>1685</v>
      </c>
      <c r="C1922" t="s">
        <v>101</v>
      </c>
      <c r="D1922" s="1"/>
      <c r="E1922" s="112">
        <v>2012.05</v>
      </c>
      <c r="F1922" s="112">
        <v>2025.11</v>
      </c>
      <c r="G1922" s="107" t="s">
        <v>2089</v>
      </c>
      <c r="H1922">
        <f>INDEX('GIS-Standards'!$A$2:$A$305,MATCH(B1922,'GIS-Standards'!$B$2:$B$305,0))</f>
        <v>88</v>
      </c>
      <c r="I1922" t="e">
        <f>INDEX('GIS-Standards'!$A$2:$A$305,MATCH(C1922,'GIS-Standards'!$B$2:$B$305,0))</f>
        <v>#N/A</v>
      </c>
      <c r="J1922" t="str">
        <f>INDEX('GIS-Standards'!$O$2:$O$305,MATCH(B1922,'GIS-Standards'!$B$2:$B$305,0))</f>
        <v>ISO/TC 59/SC 13</v>
      </c>
      <c r="K1922" t="e">
        <f>INDEX('GIS-Standards'!$O$2:$O$305,MATCH(C1922,'GIS-Standards'!$B$2:$B$305,0))</f>
        <v>#N/A</v>
      </c>
      <c r="M1922" t="s">
        <v>525</v>
      </c>
      <c r="N1922">
        <f>INDEX('GIS-Standards'!$I$2:$I$305,MATCH(B1922,'GIS-Standards'!$B$2:$B$305,0))</f>
        <v>0</v>
      </c>
      <c r="O1922" t="e">
        <f>INDEX('GIS-Standards'!$I$2:$I$305,MATCH(C1922,'GIS-Standards'!$B$2:$B$305,0))</f>
        <v>#N/A</v>
      </c>
      <c r="P1922" t="e">
        <f>AND(TableRelationships12[[#This Row],[Source Type]]="BIM",TableRelationships12[[#This Row],[Target Type]]="BIM")</f>
        <v>#N/A</v>
      </c>
      <c r="Q1922">
        <f t="shared" ref="Q1922:Q1985" si="90">IF(M1922="Normative",6,IF(M1922="Secondary",4,IF(M1922="Anchor",2,1)))</f>
        <v>1</v>
      </c>
      <c r="S1922">
        <f t="shared" ref="S1922:S1985" si="91">IF(R1922="High",10,IF(R1922="Medium",6,IF(R1922="Low",2,1)))</f>
        <v>1</v>
      </c>
      <c r="T1922" s="102" t="str">
        <f>IF(TableRelationships12[[#This Row],[Rank Pedro]]="Low","linkCategory1",IF(TableRelationships12[[#This Row],[Rank Pedro]]="Medium","linkCategory2",IF(TableRelationships12[[#This Row],[Rank Pedro]]="High","linkCategory3","")))</f>
        <v/>
      </c>
      <c r="U1922" s="102" t="str">
        <f>IF(TableRelationships12[[#This Row],[Rank Pedro]]="Low","Pink",IF(TableRelationships12[[#This Row],[Rank Pedro]]="Medium","Purple",IF(TableRelationships12[[#This Row],[Rank Pedro]]="High","Brown","")))</f>
        <v/>
      </c>
      <c r="V1922" s="4" t="e">
        <f>MAX(INDEX(Standards!$F$2:$F$296,MATCH(B1922,Standards!$B$2:$B$296,0)),INDEX(Standards!$F$2:$F$296,MATCH(C1922,Standards!$B$2:$B$296,0)))</f>
        <v>#N/A</v>
      </c>
      <c r="W1922" t="str">
        <f t="shared" ref="W1922:W1985" si="92">IF(M1922="Normative", "#d6bf2a", IF(M1922="Informative", "#2f89d1", 1))</f>
        <v>#2f89d1</v>
      </c>
    </row>
    <row r="1923" spans="1:23" x14ac:dyDescent="0.5">
      <c r="A1923" s="54">
        <v>1922</v>
      </c>
      <c r="B1923" s="90" t="s">
        <v>1685</v>
      </c>
      <c r="C1923" t="s">
        <v>468</v>
      </c>
      <c r="D1923" s="1"/>
      <c r="E1923" s="112">
        <v>2007.11</v>
      </c>
      <c r="F1923" s="112">
        <v>2007.11</v>
      </c>
      <c r="G1923" s="107" t="s">
        <v>2103</v>
      </c>
      <c r="H1923">
        <f>INDEX('GIS-Standards'!$A$2:$A$305,MATCH(B1923,'GIS-Standards'!$B$2:$B$305,0))</f>
        <v>88</v>
      </c>
      <c r="I1923" t="e">
        <f>INDEX('GIS-Standards'!$A$2:$A$305,MATCH(C1923,'GIS-Standards'!$B$2:$B$305,0))</f>
        <v>#N/A</v>
      </c>
      <c r="J1923" t="str">
        <f>INDEX('GIS-Standards'!$O$2:$O$305,MATCH(B1923,'GIS-Standards'!$B$2:$B$305,0))</f>
        <v>ISO/TC 59/SC 13</v>
      </c>
      <c r="K1923" t="e">
        <f>INDEX('GIS-Standards'!$O$2:$O$305,MATCH(C1923,'GIS-Standards'!$B$2:$B$305,0))</f>
        <v>#N/A</v>
      </c>
      <c r="M1923" t="s">
        <v>525</v>
      </c>
      <c r="N1923">
        <f>INDEX('GIS-Standards'!$I$2:$I$305,MATCH(B1923,'GIS-Standards'!$B$2:$B$305,0))</f>
        <v>0</v>
      </c>
      <c r="O1923" t="e">
        <f>INDEX('GIS-Standards'!$I$2:$I$305,MATCH(C1923,'GIS-Standards'!$B$2:$B$305,0))</f>
        <v>#N/A</v>
      </c>
      <c r="P1923" t="e">
        <f>AND(TableRelationships12[[#This Row],[Source Type]]="BIM",TableRelationships12[[#This Row],[Target Type]]="BIM")</f>
        <v>#N/A</v>
      </c>
      <c r="Q1923">
        <f t="shared" si="90"/>
        <v>1</v>
      </c>
      <c r="S1923">
        <f t="shared" si="91"/>
        <v>1</v>
      </c>
      <c r="T1923" s="102" t="str">
        <f>IF(TableRelationships12[[#This Row],[Rank Pedro]]="Low","linkCategory1",IF(TableRelationships12[[#This Row],[Rank Pedro]]="Medium","linkCategory2",IF(TableRelationships12[[#This Row],[Rank Pedro]]="High","linkCategory3","")))</f>
        <v/>
      </c>
      <c r="U1923" s="102" t="str">
        <f>IF(TableRelationships12[[#This Row],[Rank Pedro]]="Low","Pink",IF(TableRelationships12[[#This Row],[Rank Pedro]]="Medium","Purple",IF(TableRelationships12[[#This Row],[Rank Pedro]]="High","Brown","")))</f>
        <v/>
      </c>
      <c r="V1923" s="4" t="e">
        <f>MAX(INDEX(Standards!$F$2:$F$296,MATCH(B1923,Standards!$B$2:$B$296,0)),INDEX(Standards!$F$2:$F$296,MATCH(C1923,Standards!$B$2:$B$296,0)))</f>
        <v>#N/A</v>
      </c>
      <c r="W1923" t="str">
        <f t="shared" si="92"/>
        <v>#2f89d1</v>
      </c>
    </row>
    <row r="1924" spans="1:23" x14ac:dyDescent="0.5">
      <c r="A1924" s="54">
        <v>1923</v>
      </c>
      <c r="B1924" s="90" t="s">
        <v>1685</v>
      </c>
      <c r="C1924" t="s">
        <v>388</v>
      </c>
      <c r="D1924" s="1"/>
      <c r="E1924" s="112">
        <v>2020.03</v>
      </c>
      <c r="F1924" s="112">
        <v>2020.03</v>
      </c>
      <c r="G1924" s="107" t="s">
        <v>2003</v>
      </c>
      <c r="H1924">
        <f>INDEX('GIS-Standards'!$A$2:$A$305,MATCH(B1924,'GIS-Standards'!$B$2:$B$305,0))</f>
        <v>88</v>
      </c>
      <c r="I1924" t="e">
        <f>INDEX('GIS-Standards'!$A$2:$A$305,MATCH(C1924,'GIS-Standards'!$B$2:$B$305,0))</f>
        <v>#N/A</v>
      </c>
      <c r="J1924" t="str">
        <f>INDEX('GIS-Standards'!$O$2:$O$305,MATCH(B1924,'GIS-Standards'!$B$2:$B$305,0))</f>
        <v>ISO/TC 59/SC 13</v>
      </c>
      <c r="K1924" t="e">
        <f>INDEX('GIS-Standards'!$O$2:$O$305,MATCH(C1924,'GIS-Standards'!$B$2:$B$305,0))</f>
        <v>#N/A</v>
      </c>
      <c r="M1924" t="s">
        <v>525</v>
      </c>
      <c r="N1924">
        <f>INDEX('GIS-Standards'!$I$2:$I$305,MATCH(B1924,'GIS-Standards'!$B$2:$B$305,0))</f>
        <v>0</v>
      </c>
      <c r="O1924" t="e">
        <f>INDEX('GIS-Standards'!$I$2:$I$305,MATCH(C1924,'GIS-Standards'!$B$2:$B$305,0))</f>
        <v>#N/A</v>
      </c>
      <c r="P1924" t="e">
        <f>AND(TableRelationships12[[#This Row],[Source Type]]="BIM",TableRelationships12[[#This Row],[Target Type]]="BIM")</f>
        <v>#N/A</v>
      </c>
      <c r="Q1924">
        <f t="shared" si="90"/>
        <v>1</v>
      </c>
      <c r="S1924">
        <f t="shared" si="91"/>
        <v>1</v>
      </c>
      <c r="T1924" s="102" t="str">
        <f>IF(TableRelationships12[[#This Row],[Rank Pedro]]="Low","linkCategory1",IF(TableRelationships12[[#This Row],[Rank Pedro]]="Medium","linkCategory2",IF(TableRelationships12[[#This Row],[Rank Pedro]]="High","linkCategory3","")))</f>
        <v/>
      </c>
      <c r="U1924" s="102" t="str">
        <f>IF(TableRelationships12[[#This Row],[Rank Pedro]]="Low","Pink",IF(TableRelationships12[[#This Row],[Rank Pedro]]="Medium","Purple",IF(TableRelationships12[[#This Row],[Rank Pedro]]="High","Brown","")))</f>
        <v/>
      </c>
      <c r="V1924" s="4" t="e">
        <f>MAX(INDEX(Standards!$F$2:$F$296,MATCH(B1924,Standards!$B$2:$B$296,0)),INDEX(Standards!$F$2:$F$296,MATCH(C1924,Standards!$B$2:$B$296,0)))</f>
        <v>#N/A</v>
      </c>
      <c r="W1924" t="str">
        <f t="shared" si="92"/>
        <v>#2f89d1</v>
      </c>
    </row>
    <row r="1925" spans="1:23" x14ac:dyDescent="0.5">
      <c r="A1925" s="54">
        <v>1924</v>
      </c>
      <c r="B1925" s="90" t="s">
        <v>1685</v>
      </c>
      <c r="C1925" t="s">
        <v>474</v>
      </c>
      <c r="D1925" s="1"/>
      <c r="E1925" s="113">
        <v>1974.12</v>
      </c>
      <c r="F1925" s="113">
        <v>2022.1</v>
      </c>
      <c r="G1925" s="107" t="s">
        <v>1511</v>
      </c>
      <c r="H1925">
        <f>INDEX('GIS-Standards'!$A$2:$A$305,MATCH(B1925,'GIS-Standards'!$B$2:$B$305,0))</f>
        <v>88</v>
      </c>
      <c r="I1925" t="e">
        <f>INDEX('GIS-Standards'!$A$2:$A$305,MATCH(C1925,'GIS-Standards'!$B$2:$B$305,0))</f>
        <v>#N/A</v>
      </c>
      <c r="J1925" t="str">
        <f>INDEX('GIS-Standards'!$O$2:$O$305,MATCH(B1925,'GIS-Standards'!$B$2:$B$305,0))</f>
        <v>ISO/TC 59/SC 13</v>
      </c>
      <c r="K1925" t="e">
        <f>INDEX('GIS-Standards'!$O$2:$O$305,MATCH(C1925,'GIS-Standards'!$B$2:$B$305,0))</f>
        <v>#N/A</v>
      </c>
      <c r="M1925" t="s">
        <v>525</v>
      </c>
      <c r="N1925">
        <f>INDEX('GIS-Standards'!$I$2:$I$305,MATCH(B1925,'GIS-Standards'!$B$2:$B$305,0))</f>
        <v>0</v>
      </c>
      <c r="O1925" t="e">
        <f>INDEX('GIS-Standards'!$I$2:$I$305,MATCH(C1925,'GIS-Standards'!$B$2:$B$305,0))</f>
        <v>#N/A</v>
      </c>
      <c r="P1925" t="e">
        <f>AND(TableRelationships12[[#This Row],[Source Type]]="BIM",TableRelationships12[[#This Row],[Target Type]]="BIM")</f>
        <v>#N/A</v>
      </c>
      <c r="Q1925">
        <f t="shared" si="90"/>
        <v>1</v>
      </c>
      <c r="S1925">
        <f t="shared" si="91"/>
        <v>1</v>
      </c>
      <c r="T1925" s="102" t="str">
        <f>IF(TableRelationships12[[#This Row],[Rank Pedro]]="Low","linkCategory1",IF(TableRelationships12[[#This Row],[Rank Pedro]]="Medium","linkCategory2",IF(TableRelationships12[[#This Row],[Rank Pedro]]="High","linkCategory3","")))</f>
        <v/>
      </c>
      <c r="U1925" s="102" t="str">
        <f>IF(TableRelationships12[[#This Row],[Rank Pedro]]="Low","Pink",IF(TableRelationships12[[#This Row],[Rank Pedro]]="Medium","Purple",IF(TableRelationships12[[#This Row],[Rank Pedro]]="High","Brown","")))</f>
        <v/>
      </c>
      <c r="V1925" s="4" t="e">
        <f>MAX(INDEX(Standards!$F$2:$F$296,MATCH(B1925,Standards!$B$2:$B$296,0)),INDEX(Standards!$F$2:$F$296,MATCH(C1925,Standards!$B$2:$B$296,0)))</f>
        <v>#N/A</v>
      </c>
      <c r="W1925" t="str">
        <f t="shared" si="92"/>
        <v>#2f89d1</v>
      </c>
    </row>
    <row r="1926" spans="1:23" x14ac:dyDescent="0.5">
      <c r="A1926" s="54">
        <v>1925</v>
      </c>
      <c r="B1926" s="90" t="s">
        <v>1685</v>
      </c>
      <c r="C1926" t="s">
        <v>92</v>
      </c>
      <c r="D1926" s="1"/>
      <c r="E1926" s="112">
        <v>2015.1</v>
      </c>
      <c r="F1926" s="112">
        <v>2015.1</v>
      </c>
      <c r="G1926" s="107" t="s">
        <v>1502</v>
      </c>
      <c r="H1926">
        <f>INDEX('GIS-Standards'!$A$2:$A$305,MATCH(B1926,'GIS-Standards'!$B$2:$B$305,0))</f>
        <v>88</v>
      </c>
      <c r="I1926" t="e">
        <f>INDEX('GIS-Standards'!$A$2:$A$305,MATCH(C1926,'GIS-Standards'!$B$2:$B$305,0))</f>
        <v>#N/A</v>
      </c>
      <c r="J1926" t="str">
        <f>INDEX('GIS-Standards'!$O$2:$O$305,MATCH(B1926,'GIS-Standards'!$B$2:$B$305,0))</f>
        <v>ISO/TC 59/SC 13</v>
      </c>
      <c r="K1926" t="e">
        <f>INDEX('GIS-Standards'!$O$2:$O$305,MATCH(C1926,'GIS-Standards'!$B$2:$B$305,0))</f>
        <v>#N/A</v>
      </c>
      <c r="M1926" t="s">
        <v>525</v>
      </c>
      <c r="N1926">
        <f>INDEX('GIS-Standards'!$I$2:$I$305,MATCH(B1926,'GIS-Standards'!$B$2:$B$305,0))</f>
        <v>0</v>
      </c>
      <c r="O1926" t="e">
        <f>INDEX('GIS-Standards'!$I$2:$I$305,MATCH(C1926,'GIS-Standards'!$B$2:$B$305,0))</f>
        <v>#N/A</v>
      </c>
      <c r="P1926" t="e">
        <f>AND(TableRelationships12[[#This Row],[Source Type]]="BIM",TableRelationships12[[#This Row],[Target Type]]="BIM")</f>
        <v>#N/A</v>
      </c>
      <c r="Q1926">
        <f t="shared" si="90"/>
        <v>1</v>
      </c>
      <c r="S1926">
        <f t="shared" si="91"/>
        <v>1</v>
      </c>
      <c r="T1926" s="102" t="str">
        <f>IF(TableRelationships12[[#This Row],[Rank Pedro]]="Low","linkCategory1",IF(TableRelationships12[[#This Row],[Rank Pedro]]="Medium","linkCategory2",IF(TableRelationships12[[#This Row],[Rank Pedro]]="High","linkCategory3","")))</f>
        <v/>
      </c>
      <c r="U1926" s="102" t="str">
        <f>IF(TableRelationships12[[#This Row],[Rank Pedro]]="Low","Pink",IF(TableRelationships12[[#This Row],[Rank Pedro]]="Medium","Purple",IF(TableRelationships12[[#This Row],[Rank Pedro]]="High","Brown","")))</f>
        <v/>
      </c>
      <c r="V1926" s="4" t="e">
        <f>MAX(INDEX(Standards!$F$2:$F$296,MATCH(B1926,Standards!$B$2:$B$296,0)),INDEX(Standards!$F$2:$F$296,MATCH(C1926,Standards!$B$2:$B$296,0)))</f>
        <v>#N/A</v>
      </c>
      <c r="W1926" t="str">
        <f t="shared" si="92"/>
        <v>#2f89d1</v>
      </c>
    </row>
    <row r="1927" spans="1:23" x14ac:dyDescent="0.5">
      <c r="A1927" s="54">
        <v>1926</v>
      </c>
      <c r="B1927" s="90" t="s">
        <v>1685</v>
      </c>
      <c r="C1927" t="s">
        <v>408</v>
      </c>
      <c r="D1927" s="1"/>
      <c r="E1927" s="112">
        <v>2010.05</v>
      </c>
      <c r="F1927" s="112">
        <v>2025.11</v>
      </c>
      <c r="G1927" s="107" t="s">
        <v>2003</v>
      </c>
      <c r="H1927">
        <f>INDEX('GIS-Standards'!$A$2:$A$305,MATCH(B1927,'GIS-Standards'!$B$2:$B$305,0))</f>
        <v>88</v>
      </c>
      <c r="I1927" t="e">
        <f>INDEX('GIS-Standards'!$A$2:$A$305,MATCH(C1927,'GIS-Standards'!$B$2:$B$305,0))</f>
        <v>#N/A</v>
      </c>
      <c r="J1927" t="str">
        <f>INDEX('GIS-Standards'!$O$2:$O$305,MATCH(B1927,'GIS-Standards'!$B$2:$B$305,0))</f>
        <v>ISO/TC 59/SC 13</v>
      </c>
      <c r="K1927" t="e">
        <f>INDEX('GIS-Standards'!$O$2:$O$305,MATCH(C1927,'GIS-Standards'!$B$2:$B$305,0))</f>
        <v>#N/A</v>
      </c>
      <c r="M1927" t="s">
        <v>525</v>
      </c>
      <c r="N1927">
        <f>INDEX('GIS-Standards'!$I$2:$I$305,MATCH(B1927,'GIS-Standards'!$B$2:$B$305,0))</f>
        <v>0</v>
      </c>
      <c r="O1927" t="e">
        <f>INDEX('GIS-Standards'!$I$2:$I$305,MATCH(C1927,'GIS-Standards'!$B$2:$B$305,0))</f>
        <v>#N/A</v>
      </c>
      <c r="P1927" t="e">
        <f>AND(TableRelationships12[[#This Row],[Source Type]]="BIM",TableRelationships12[[#This Row],[Target Type]]="BIM")</f>
        <v>#N/A</v>
      </c>
      <c r="Q1927">
        <f t="shared" si="90"/>
        <v>1</v>
      </c>
      <c r="S1927">
        <f t="shared" si="91"/>
        <v>1</v>
      </c>
      <c r="T1927" s="102" t="str">
        <f>IF(TableRelationships12[[#This Row],[Rank Pedro]]="Low","linkCategory1",IF(TableRelationships12[[#This Row],[Rank Pedro]]="Medium","linkCategory2",IF(TableRelationships12[[#This Row],[Rank Pedro]]="High","linkCategory3","")))</f>
        <v/>
      </c>
      <c r="U1927" s="102" t="str">
        <f>IF(TableRelationships12[[#This Row],[Rank Pedro]]="Low","Pink",IF(TableRelationships12[[#This Row],[Rank Pedro]]="Medium","Purple",IF(TableRelationships12[[#This Row],[Rank Pedro]]="High","Brown","")))</f>
        <v/>
      </c>
      <c r="V1927" s="4" t="e">
        <f>MAX(INDEX(Standards!$F$2:$F$296,MATCH(B1927,Standards!$B$2:$B$296,0)),INDEX(Standards!$F$2:$F$296,MATCH(C1927,Standards!$B$2:$B$296,0)))</f>
        <v>#N/A</v>
      </c>
      <c r="W1927" t="str">
        <f t="shared" si="92"/>
        <v>#2f89d1</v>
      </c>
    </row>
    <row r="1928" spans="1:23" x14ac:dyDescent="0.5">
      <c r="A1928" s="54">
        <v>1927</v>
      </c>
      <c r="B1928" s="90" t="s">
        <v>1685</v>
      </c>
      <c r="C1928" t="s">
        <v>1910</v>
      </c>
      <c r="D1928" s="1" t="s">
        <v>1676</v>
      </c>
      <c r="E1928" s="112">
        <v>2011.11</v>
      </c>
      <c r="F1928" s="112">
        <v>2020.04</v>
      </c>
      <c r="G1928" s="107" t="s">
        <v>1485</v>
      </c>
      <c r="H1928">
        <f>INDEX('GIS-Standards'!$A$2:$A$305,MATCH(B1928,'GIS-Standards'!$B$2:$B$305,0))</f>
        <v>88</v>
      </c>
      <c r="I1928" t="e">
        <f>INDEX('GIS-Standards'!$A$2:$A$305,MATCH(C1928,'GIS-Standards'!$B$2:$B$305,0))</f>
        <v>#N/A</v>
      </c>
      <c r="J1928" t="str">
        <f>INDEX('GIS-Standards'!$O$2:$O$305,MATCH(B1928,'GIS-Standards'!$B$2:$B$305,0))</f>
        <v>ISO/TC 59/SC 13</v>
      </c>
      <c r="K1928" t="e">
        <f>INDEX('GIS-Standards'!$O$2:$O$305,MATCH(C1928,'GIS-Standards'!$B$2:$B$305,0))</f>
        <v>#N/A</v>
      </c>
      <c r="M1928" t="s">
        <v>525</v>
      </c>
      <c r="N1928">
        <f>INDEX('GIS-Standards'!$I$2:$I$305,MATCH(B1928,'GIS-Standards'!$B$2:$B$305,0))</f>
        <v>0</v>
      </c>
      <c r="O1928" t="e">
        <f>INDEX('GIS-Standards'!$I$2:$I$305,MATCH(C1928,'GIS-Standards'!$B$2:$B$305,0))</f>
        <v>#N/A</v>
      </c>
      <c r="P1928" t="e">
        <f>AND(TableRelationships12[[#This Row],[Source Type]]="BIM",TableRelationships12[[#This Row],[Target Type]]="BIM")</f>
        <v>#N/A</v>
      </c>
      <c r="Q1928">
        <f t="shared" si="90"/>
        <v>1</v>
      </c>
      <c r="S1928">
        <f t="shared" si="91"/>
        <v>1</v>
      </c>
      <c r="T1928" s="102" t="str">
        <f>IF(TableRelationships12[[#This Row],[Rank Pedro]]="Low","linkCategory1",IF(TableRelationships12[[#This Row],[Rank Pedro]]="Medium","linkCategory2",IF(TableRelationships12[[#This Row],[Rank Pedro]]="High","linkCategory3","")))</f>
        <v/>
      </c>
      <c r="U1928" s="102" t="str">
        <f>IF(TableRelationships12[[#This Row],[Rank Pedro]]="Low","Pink",IF(TableRelationships12[[#This Row],[Rank Pedro]]="Medium","Purple",IF(TableRelationships12[[#This Row],[Rank Pedro]]="High","Brown","")))</f>
        <v/>
      </c>
      <c r="V1928" s="4" t="e">
        <f>MAX(INDEX(Standards!$F$2:$F$296,MATCH(B1928,Standards!$B$2:$B$296,0)),INDEX(Standards!$F$2:$F$296,MATCH(C1928,Standards!$B$2:$B$296,0)))</f>
        <v>#N/A</v>
      </c>
      <c r="W1928" t="str">
        <f t="shared" si="92"/>
        <v>#2f89d1</v>
      </c>
    </row>
    <row r="1929" spans="1:23" x14ac:dyDescent="0.5">
      <c r="A1929" s="54">
        <v>1928</v>
      </c>
      <c r="B1929" s="90" t="s">
        <v>1685</v>
      </c>
      <c r="C1929" t="s">
        <v>1144</v>
      </c>
      <c r="D1929" s="1"/>
      <c r="E1929" s="112">
        <v>1967.12</v>
      </c>
      <c r="F1929" s="112">
        <v>2006.09</v>
      </c>
      <c r="G1929" s="107" t="s">
        <v>1483</v>
      </c>
      <c r="H1929">
        <f>INDEX('GIS-Standards'!$A$2:$A$305,MATCH(B1929,'GIS-Standards'!$B$2:$B$305,0))</f>
        <v>88</v>
      </c>
      <c r="I1929" t="e">
        <f>INDEX('GIS-Standards'!$A$2:$A$305,MATCH(C1929,'GIS-Standards'!$B$2:$B$305,0))</f>
        <v>#N/A</v>
      </c>
      <c r="J1929" t="str">
        <f>INDEX('GIS-Standards'!$O$2:$O$305,MATCH(B1929,'GIS-Standards'!$B$2:$B$305,0))</f>
        <v>ISO/TC 59/SC 13</v>
      </c>
      <c r="K1929" t="e">
        <f>INDEX('GIS-Standards'!$O$2:$O$305,MATCH(C1929,'GIS-Standards'!$B$2:$B$305,0))</f>
        <v>#N/A</v>
      </c>
      <c r="M1929" t="s">
        <v>525</v>
      </c>
      <c r="N1929">
        <f>INDEX('GIS-Standards'!$I$2:$I$305,MATCH(B1929,'GIS-Standards'!$B$2:$B$305,0))</f>
        <v>0</v>
      </c>
      <c r="O1929" t="e">
        <f>INDEX('GIS-Standards'!$I$2:$I$305,MATCH(C1929,'GIS-Standards'!$B$2:$B$305,0))</f>
        <v>#N/A</v>
      </c>
      <c r="P1929" t="e">
        <f>AND(TableRelationships12[[#This Row],[Source Type]]="BIM",TableRelationships12[[#This Row],[Target Type]]="BIM")</f>
        <v>#N/A</v>
      </c>
      <c r="Q1929">
        <f t="shared" si="90"/>
        <v>1</v>
      </c>
      <c r="S1929">
        <f t="shared" si="91"/>
        <v>1</v>
      </c>
      <c r="T1929" s="102" t="str">
        <f>IF(TableRelationships12[[#This Row],[Rank Pedro]]="Low","linkCategory1",IF(TableRelationships12[[#This Row],[Rank Pedro]]="Medium","linkCategory2",IF(TableRelationships12[[#This Row],[Rank Pedro]]="High","linkCategory3","")))</f>
        <v/>
      </c>
      <c r="U1929" s="102" t="str">
        <f>IF(TableRelationships12[[#This Row],[Rank Pedro]]="Low","Pink",IF(TableRelationships12[[#This Row],[Rank Pedro]]="Medium","Purple",IF(TableRelationships12[[#This Row],[Rank Pedro]]="High","Brown","")))</f>
        <v/>
      </c>
      <c r="V1929" s="4" t="e">
        <f>MAX(INDEX(Standards!$F$2:$F$296,MATCH(B1929,Standards!$B$2:$B$296,0)),INDEX(Standards!$F$2:$F$296,MATCH(C1929,Standards!$B$2:$B$296,0)))</f>
        <v>#N/A</v>
      </c>
      <c r="W1929" t="str">
        <f t="shared" si="92"/>
        <v>#2f89d1</v>
      </c>
    </row>
    <row r="1930" spans="1:23" x14ac:dyDescent="0.5">
      <c r="A1930" s="54">
        <v>1929</v>
      </c>
      <c r="B1930" s="90" t="s">
        <v>1685</v>
      </c>
      <c r="C1930" t="s">
        <v>116</v>
      </c>
      <c r="D1930" s="1"/>
      <c r="E1930" s="112">
        <v>2014.11</v>
      </c>
      <c r="F1930" s="112">
        <v>2014.11</v>
      </c>
      <c r="G1930" s="107" t="s">
        <v>2085</v>
      </c>
      <c r="H1930">
        <f>INDEX('GIS-Standards'!$A$2:$A$305,MATCH(B1930,'GIS-Standards'!$B$2:$B$305,0))</f>
        <v>88</v>
      </c>
      <c r="I1930" t="e">
        <f>INDEX('GIS-Standards'!$A$2:$A$305,MATCH(C1930,'GIS-Standards'!$B$2:$B$305,0))</f>
        <v>#N/A</v>
      </c>
      <c r="J1930" t="str">
        <f>INDEX('GIS-Standards'!$O$2:$O$305,MATCH(B1930,'GIS-Standards'!$B$2:$B$305,0))</f>
        <v>ISO/TC 59/SC 13</v>
      </c>
      <c r="K1930" t="e">
        <f>INDEX('GIS-Standards'!$O$2:$O$305,MATCH(C1930,'GIS-Standards'!$B$2:$B$305,0))</f>
        <v>#N/A</v>
      </c>
      <c r="M1930" t="s">
        <v>525</v>
      </c>
      <c r="N1930">
        <f>INDEX('GIS-Standards'!$I$2:$I$305,MATCH(B1930,'GIS-Standards'!$B$2:$B$305,0))</f>
        <v>0</v>
      </c>
      <c r="O1930" t="e">
        <f>INDEX('GIS-Standards'!$I$2:$I$305,MATCH(C1930,'GIS-Standards'!$B$2:$B$305,0))</f>
        <v>#N/A</v>
      </c>
      <c r="P1930" t="e">
        <f>AND(TableRelationships12[[#This Row],[Source Type]]="BIM",TableRelationships12[[#This Row],[Target Type]]="BIM")</f>
        <v>#N/A</v>
      </c>
      <c r="Q1930">
        <f t="shared" si="90"/>
        <v>1</v>
      </c>
      <c r="S1930">
        <f t="shared" si="91"/>
        <v>1</v>
      </c>
      <c r="T1930" s="102" t="str">
        <f>IF(TableRelationships12[[#This Row],[Rank Pedro]]="Low","linkCategory1",IF(TableRelationships12[[#This Row],[Rank Pedro]]="Medium","linkCategory2",IF(TableRelationships12[[#This Row],[Rank Pedro]]="High","linkCategory3","")))</f>
        <v/>
      </c>
      <c r="U1930" s="102" t="str">
        <f>IF(TableRelationships12[[#This Row],[Rank Pedro]]="Low","Pink",IF(TableRelationships12[[#This Row],[Rank Pedro]]="Medium","Purple",IF(TableRelationships12[[#This Row],[Rank Pedro]]="High","Brown","")))</f>
        <v/>
      </c>
      <c r="V1930" s="4" t="e">
        <f>MAX(INDEX(Standards!$F$2:$F$296,MATCH(B1930,Standards!$B$2:$B$296,0)),INDEX(Standards!$F$2:$F$296,MATCH(C1930,Standards!$B$2:$B$296,0)))</f>
        <v>#N/A</v>
      </c>
      <c r="W1930" t="str">
        <f t="shared" si="92"/>
        <v>#2f89d1</v>
      </c>
    </row>
    <row r="1931" spans="1:23" x14ac:dyDescent="0.5">
      <c r="A1931" s="54">
        <v>1930</v>
      </c>
      <c r="B1931" s="90" t="s">
        <v>1685</v>
      </c>
      <c r="C1931" t="s">
        <v>420</v>
      </c>
      <c r="D1931" s="1" t="s">
        <v>1676</v>
      </c>
      <c r="E1931" s="112">
        <v>2018.04</v>
      </c>
      <c r="F1931" s="112">
        <v>2024.02</v>
      </c>
      <c r="G1931" s="107" t="s">
        <v>2086</v>
      </c>
      <c r="H1931">
        <f>INDEX('GIS-Standards'!$A$2:$A$305,MATCH(B1931,'GIS-Standards'!$B$2:$B$305,0))</f>
        <v>88</v>
      </c>
      <c r="I1931" t="e">
        <f>INDEX('GIS-Standards'!$A$2:$A$305,MATCH(C1931,'GIS-Standards'!$B$2:$B$305,0))</f>
        <v>#N/A</v>
      </c>
      <c r="J1931" t="str">
        <f>INDEX('GIS-Standards'!$O$2:$O$305,MATCH(B1931,'GIS-Standards'!$B$2:$B$305,0))</f>
        <v>ISO/TC 59/SC 13</v>
      </c>
      <c r="K1931" t="e">
        <f>INDEX('GIS-Standards'!$O$2:$O$305,MATCH(C1931,'GIS-Standards'!$B$2:$B$305,0))</f>
        <v>#N/A</v>
      </c>
      <c r="M1931" t="s">
        <v>525</v>
      </c>
      <c r="N1931">
        <f>INDEX('GIS-Standards'!$I$2:$I$305,MATCH(B1931,'GIS-Standards'!$B$2:$B$305,0))</f>
        <v>0</v>
      </c>
      <c r="O1931" t="e">
        <f>INDEX('GIS-Standards'!$I$2:$I$305,MATCH(C1931,'GIS-Standards'!$B$2:$B$305,0))</f>
        <v>#N/A</v>
      </c>
      <c r="P1931" t="e">
        <f>AND(TableRelationships12[[#This Row],[Source Type]]="BIM",TableRelationships12[[#This Row],[Target Type]]="BIM")</f>
        <v>#N/A</v>
      </c>
      <c r="Q1931">
        <f t="shared" si="90"/>
        <v>1</v>
      </c>
      <c r="S1931">
        <f t="shared" si="91"/>
        <v>1</v>
      </c>
      <c r="T1931" s="102" t="str">
        <f>IF(TableRelationships12[[#This Row],[Rank Pedro]]="Low","linkCategory1",IF(TableRelationships12[[#This Row],[Rank Pedro]]="Medium","linkCategory2",IF(TableRelationships12[[#This Row],[Rank Pedro]]="High","linkCategory3","")))</f>
        <v/>
      </c>
      <c r="U1931" s="102" t="str">
        <f>IF(TableRelationships12[[#This Row],[Rank Pedro]]="Low","Pink",IF(TableRelationships12[[#This Row],[Rank Pedro]]="Medium","Purple",IF(TableRelationships12[[#This Row],[Rank Pedro]]="High","Brown","")))</f>
        <v/>
      </c>
      <c r="V1931" s="4" t="e">
        <f>MAX(INDEX(Standards!$F$2:$F$296,MATCH(B1931,Standards!$B$2:$B$296,0)),INDEX(Standards!$F$2:$F$296,MATCH(C1931,Standards!$B$2:$B$296,0)))</f>
        <v>#N/A</v>
      </c>
      <c r="W1931" t="str">
        <f t="shared" si="92"/>
        <v>#2f89d1</v>
      </c>
    </row>
    <row r="1932" spans="1:23" x14ac:dyDescent="0.5">
      <c r="A1932" s="54">
        <v>1931</v>
      </c>
      <c r="B1932" s="90" t="s">
        <v>1685</v>
      </c>
      <c r="C1932" t="s">
        <v>1076</v>
      </c>
      <c r="D1932" s="1"/>
      <c r="E1932" s="111">
        <v>1983.12</v>
      </c>
      <c r="F1932" s="111">
        <v>2017.05</v>
      </c>
      <c r="G1932" s="109" t="s">
        <v>1485</v>
      </c>
      <c r="H1932">
        <f>INDEX('GIS-Standards'!$A$2:$A$305,MATCH(B1932,'GIS-Standards'!$B$2:$B$305,0))</f>
        <v>88</v>
      </c>
      <c r="I1932" t="e">
        <f>INDEX('GIS-Standards'!$A$2:$A$305,MATCH(C1932,'GIS-Standards'!$B$2:$B$305,0))</f>
        <v>#N/A</v>
      </c>
      <c r="J1932" t="str">
        <f>INDEX('GIS-Standards'!$O$2:$O$305,MATCH(B1932,'GIS-Standards'!$B$2:$B$305,0))</f>
        <v>ISO/TC 59/SC 13</v>
      </c>
      <c r="K1932" t="e">
        <f>INDEX('GIS-Standards'!$O$2:$O$305,MATCH(C1932,'GIS-Standards'!$B$2:$B$305,0))</f>
        <v>#N/A</v>
      </c>
      <c r="M1932" t="s">
        <v>525</v>
      </c>
      <c r="N1932">
        <f>INDEX('GIS-Standards'!$I$2:$I$305,MATCH(B1932,'GIS-Standards'!$B$2:$B$305,0))</f>
        <v>0</v>
      </c>
      <c r="O1932" t="e">
        <f>INDEX('GIS-Standards'!$I$2:$I$305,MATCH(C1932,'GIS-Standards'!$B$2:$B$305,0))</f>
        <v>#N/A</v>
      </c>
      <c r="P1932" t="e">
        <f>AND(TableRelationships12[[#This Row],[Source Type]]="BIM",TableRelationships12[[#This Row],[Target Type]]="BIM")</f>
        <v>#N/A</v>
      </c>
      <c r="Q1932">
        <f t="shared" si="90"/>
        <v>1</v>
      </c>
      <c r="S1932">
        <f t="shared" si="91"/>
        <v>1</v>
      </c>
      <c r="T1932" s="102" t="str">
        <f>IF(TableRelationships12[[#This Row],[Rank Pedro]]="Low","linkCategory1",IF(TableRelationships12[[#This Row],[Rank Pedro]]="Medium","linkCategory2",IF(TableRelationships12[[#This Row],[Rank Pedro]]="High","linkCategory3","")))</f>
        <v/>
      </c>
      <c r="U1932" s="102" t="str">
        <f>IF(TableRelationships12[[#This Row],[Rank Pedro]]="Low","Pink",IF(TableRelationships12[[#This Row],[Rank Pedro]]="Medium","Purple",IF(TableRelationships12[[#This Row],[Rank Pedro]]="High","Brown","")))</f>
        <v/>
      </c>
      <c r="V1932" s="4" t="e">
        <f>MAX(INDEX(Standards!$F$2:$F$296,MATCH(B1932,Standards!$B$2:$B$296,0)),INDEX(Standards!$F$2:$F$296,MATCH(C1932,Standards!$B$2:$B$296,0)))</f>
        <v>#N/A</v>
      </c>
      <c r="W1932" t="str">
        <f t="shared" si="92"/>
        <v>#2f89d1</v>
      </c>
    </row>
    <row r="1933" spans="1:23" x14ac:dyDescent="0.5">
      <c r="A1933" s="54">
        <v>1932</v>
      </c>
      <c r="B1933" s="90" t="s">
        <v>1685</v>
      </c>
      <c r="C1933" t="s">
        <v>77</v>
      </c>
      <c r="D1933" s="1"/>
      <c r="E1933" s="112">
        <v>1983.12</v>
      </c>
      <c r="F1933" s="112">
        <v>2020.08</v>
      </c>
      <c r="G1933" s="107" t="s">
        <v>1488</v>
      </c>
      <c r="H1933">
        <f>INDEX('GIS-Standards'!$A$2:$A$305,MATCH(B1933,'GIS-Standards'!$B$2:$B$305,0))</f>
        <v>88</v>
      </c>
      <c r="I1933" t="e">
        <f>INDEX('GIS-Standards'!$A$2:$A$305,MATCH(C1933,'GIS-Standards'!$B$2:$B$305,0))</f>
        <v>#N/A</v>
      </c>
      <c r="J1933" t="str">
        <f>INDEX('GIS-Standards'!$O$2:$O$305,MATCH(B1933,'GIS-Standards'!$B$2:$B$305,0))</f>
        <v>ISO/TC 59/SC 13</v>
      </c>
      <c r="K1933" t="e">
        <f>INDEX('GIS-Standards'!$O$2:$O$305,MATCH(C1933,'GIS-Standards'!$B$2:$B$305,0))</f>
        <v>#N/A</v>
      </c>
      <c r="M1933" t="s">
        <v>525</v>
      </c>
      <c r="N1933">
        <f>INDEX('GIS-Standards'!$I$2:$I$305,MATCH(B1933,'GIS-Standards'!$B$2:$B$305,0))</f>
        <v>0</v>
      </c>
      <c r="O1933" t="e">
        <f>INDEX('GIS-Standards'!$I$2:$I$305,MATCH(C1933,'GIS-Standards'!$B$2:$B$305,0))</f>
        <v>#N/A</v>
      </c>
      <c r="P1933" t="e">
        <f>AND(TableRelationships12[[#This Row],[Source Type]]="BIM",TableRelationships12[[#This Row],[Target Type]]="BIM")</f>
        <v>#N/A</v>
      </c>
      <c r="Q1933">
        <f t="shared" si="90"/>
        <v>1</v>
      </c>
      <c r="S1933">
        <f t="shared" si="91"/>
        <v>1</v>
      </c>
      <c r="T1933" s="102" t="str">
        <f>IF(TableRelationships12[[#This Row],[Rank Pedro]]="Low","linkCategory1",IF(TableRelationships12[[#This Row],[Rank Pedro]]="Medium","linkCategory2",IF(TableRelationships12[[#This Row],[Rank Pedro]]="High","linkCategory3","")))</f>
        <v/>
      </c>
      <c r="U1933" s="102" t="str">
        <f>IF(TableRelationships12[[#This Row],[Rank Pedro]]="Low","Pink",IF(TableRelationships12[[#This Row],[Rank Pedro]]="Medium","Purple",IF(TableRelationships12[[#This Row],[Rank Pedro]]="High","Brown","")))</f>
        <v/>
      </c>
      <c r="V1933" s="4" t="e">
        <f>MAX(INDEX(Standards!$F$2:$F$296,MATCH(B1933,Standards!$B$2:$B$296,0)),INDEX(Standards!$F$2:$F$296,MATCH(C1933,Standards!$B$2:$B$296,0)))</f>
        <v>#N/A</v>
      </c>
      <c r="W1933" t="str">
        <f t="shared" si="92"/>
        <v>#2f89d1</v>
      </c>
    </row>
    <row r="1934" spans="1:23" x14ac:dyDescent="0.5">
      <c r="A1934" s="54">
        <v>1933</v>
      </c>
      <c r="B1934" s="90" t="s">
        <v>1685</v>
      </c>
      <c r="C1934" t="s">
        <v>80</v>
      </c>
      <c r="D1934" s="1"/>
      <c r="E1934" s="112">
        <v>1993.12</v>
      </c>
      <c r="F1934" s="112">
        <v>2017.11</v>
      </c>
      <c r="G1934" s="107" t="s">
        <v>2082</v>
      </c>
      <c r="H1934">
        <f>INDEX('GIS-Standards'!$A$2:$A$305,MATCH(B1934,'GIS-Standards'!$B$2:$B$305,0))</f>
        <v>88</v>
      </c>
      <c r="I1934" t="e">
        <f>INDEX('GIS-Standards'!$A$2:$A$305,MATCH(C1934,'GIS-Standards'!$B$2:$B$305,0))</f>
        <v>#N/A</v>
      </c>
      <c r="J1934" t="str">
        <f>INDEX('GIS-Standards'!$O$2:$O$305,MATCH(B1934,'GIS-Standards'!$B$2:$B$305,0))</f>
        <v>ISO/TC 59/SC 13</v>
      </c>
      <c r="K1934" t="e">
        <f>INDEX('GIS-Standards'!$O$2:$O$305,MATCH(C1934,'GIS-Standards'!$B$2:$B$305,0))</f>
        <v>#N/A</v>
      </c>
      <c r="M1934" t="s">
        <v>525</v>
      </c>
      <c r="N1934">
        <f>INDEX('GIS-Standards'!$I$2:$I$305,MATCH(B1934,'GIS-Standards'!$B$2:$B$305,0))</f>
        <v>0</v>
      </c>
      <c r="O1934" t="e">
        <f>INDEX('GIS-Standards'!$I$2:$I$305,MATCH(C1934,'GIS-Standards'!$B$2:$B$305,0))</f>
        <v>#N/A</v>
      </c>
      <c r="P1934" t="e">
        <f>AND(TableRelationships12[[#This Row],[Source Type]]="BIM",TableRelationships12[[#This Row],[Target Type]]="BIM")</f>
        <v>#N/A</v>
      </c>
      <c r="Q1934">
        <f t="shared" si="90"/>
        <v>1</v>
      </c>
      <c r="S1934">
        <f t="shared" si="91"/>
        <v>1</v>
      </c>
      <c r="T1934" s="102" t="str">
        <f>IF(TableRelationships12[[#This Row],[Rank Pedro]]="Low","linkCategory1",IF(TableRelationships12[[#This Row],[Rank Pedro]]="Medium","linkCategory2",IF(TableRelationships12[[#This Row],[Rank Pedro]]="High","linkCategory3","")))</f>
        <v/>
      </c>
      <c r="U1934" s="102" t="str">
        <f>IF(TableRelationships12[[#This Row],[Rank Pedro]]="Low","Pink",IF(TableRelationships12[[#This Row],[Rank Pedro]]="Medium","Purple",IF(TableRelationships12[[#This Row],[Rank Pedro]]="High","Brown","")))</f>
        <v/>
      </c>
      <c r="V1934" s="4" t="e">
        <f>MAX(INDEX(Standards!$F$2:$F$296,MATCH(B1934,Standards!$B$2:$B$296,0)),INDEX(Standards!$F$2:$F$296,MATCH(C1934,Standards!$B$2:$B$296,0)))</f>
        <v>#N/A</v>
      </c>
      <c r="W1934" t="str">
        <f t="shared" si="92"/>
        <v>#2f89d1</v>
      </c>
    </row>
    <row r="1935" spans="1:23" x14ac:dyDescent="0.5">
      <c r="A1935" s="54">
        <v>1934</v>
      </c>
      <c r="B1935" s="90" t="s">
        <v>1685</v>
      </c>
      <c r="C1935" t="s">
        <v>443</v>
      </c>
      <c r="D1935" s="1"/>
      <c r="E1935" s="112">
        <v>2017.08</v>
      </c>
      <c r="F1935" s="112">
        <v>2022.11</v>
      </c>
      <c r="G1935" s="107" t="s">
        <v>2082</v>
      </c>
      <c r="H1935">
        <f>INDEX('GIS-Standards'!$A$2:$A$305,MATCH(B1935,'GIS-Standards'!$B$2:$B$305,0))</f>
        <v>88</v>
      </c>
      <c r="I1935" t="e">
        <f>INDEX('GIS-Standards'!$A$2:$A$305,MATCH(C1935,'GIS-Standards'!$B$2:$B$305,0))</f>
        <v>#N/A</v>
      </c>
      <c r="J1935" t="str">
        <f>INDEX('GIS-Standards'!$O$2:$O$305,MATCH(B1935,'GIS-Standards'!$B$2:$B$305,0))</f>
        <v>ISO/TC 59/SC 13</v>
      </c>
      <c r="K1935" t="e">
        <f>INDEX('GIS-Standards'!$O$2:$O$305,MATCH(C1935,'GIS-Standards'!$B$2:$B$305,0))</f>
        <v>#N/A</v>
      </c>
      <c r="M1935" t="s">
        <v>525</v>
      </c>
      <c r="N1935">
        <f>INDEX('GIS-Standards'!$I$2:$I$305,MATCH(B1935,'GIS-Standards'!$B$2:$B$305,0))</f>
        <v>0</v>
      </c>
      <c r="O1935" t="e">
        <f>INDEX('GIS-Standards'!$I$2:$I$305,MATCH(C1935,'GIS-Standards'!$B$2:$B$305,0))</f>
        <v>#N/A</v>
      </c>
      <c r="P1935" t="e">
        <f>AND(TableRelationships12[[#This Row],[Source Type]]="BIM",TableRelationships12[[#This Row],[Target Type]]="BIM")</f>
        <v>#N/A</v>
      </c>
      <c r="Q1935">
        <f t="shared" si="90"/>
        <v>1</v>
      </c>
      <c r="S1935">
        <f t="shared" si="91"/>
        <v>1</v>
      </c>
      <c r="T1935" s="102" t="str">
        <f>IF(TableRelationships12[[#This Row],[Rank Pedro]]="Low","linkCategory1",IF(TableRelationships12[[#This Row],[Rank Pedro]]="Medium","linkCategory2",IF(TableRelationships12[[#This Row],[Rank Pedro]]="High","linkCategory3","")))</f>
        <v/>
      </c>
      <c r="U1935" s="102" t="str">
        <f>IF(TableRelationships12[[#This Row],[Rank Pedro]]="Low","Pink",IF(TableRelationships12[[#This Row],[Rank Pedro]]="Medium","Purple",IF(TableRelationships12[[#This Row],[Rank Pedro]]="High","Brown","")))</f>
        <v/>
      </c>
      <c r="V1935" s="4" t="e">
        <f>MAX(INDEX(Standards!$F$2:$F$296,MATCH(B1935,Standards!$B$2:$B$296,0)),INDEX(Standards!$F$2:$F$296,MATCH(C1935,Standards!$B$2:$B$296,0)))</f>
        <v>#N/A</v>
      </c>
      <c r="W1935" t="str">
        <f t="shared" si="92"/>
        <v>#2f89d1</v>
      </c>
    </row>
    <row r="1936" spans="1:23" x14ac:dyDescent="0.5">
      <c r="A1936" s="54">
        <v>1935</v>
      </c>
      <c r="B1936" s="90" t="s">
        <v>1685</v>
      </c>
      <c r="C1936" t="s">
        <v>1911</v>
      </c>
      <c r="D1936" s="1"/>
      <c r="E1936" s="112">
        <v>2021.05</v>
      </c>
      <c r="F1936" s="112">
        <v>2021.05</v>
      </c>
      <c r="G1936" s="107" t="s">
        <v>2083</v>
      </c>
      <c r="H1936">
        <f>INDEX('GIS-Standards'!$A$2:$A$305,MATCH(B1936,'GIS-Standards'!$B$2:$B$305,0))</f>
        <v>88</v>
      </c>
      <c r="I1936" t="e">
        <f>INDEX('GIS-Standards'!$A$2:$A$305,MATCH(C1936,'GIS-Standards'!$B$2:$B$305,0))</f>
        <v>#N/A</v>
      </c>
      <c r="J1936" t="str">
        <f>INDEX('GIS-Standards'!$O$2:$O$305,MATCH(B1936,'GIS-Standards'!$B$2:$B$305,0))</f>
        <v>ISO/TC 59/SC 13</v>
      </c>
      <c r="K1936" t="e">
        <f>INDEX('GIS-Standards'!$O$2:$O$305,MATCH(C1936,'GIS-Standards'!$B$2:$B$305,0))</f>
        <v>#N/A</v>
      </c>
      <c r="M1936" t="s">
        <v>525</v>
      </c>
      <c r="N1936">
        <f>INDEX('GIS-Standards'!$I$2:$I$305,MATCH(B1936,'GIS-Standards'!$B$2:$B$305,0))</f>
        <v>0</v>
      </c>
      <c r="O1936" t="e">
        <f>INDEX('GIS-Standards'!$I$2:$I$305,MATCH(C1936,'GIS-Standards'!$B$2:$B$305,0))</f>
        <v>#N/A</v>
      </c>
      <c r="P1936" t="e">
        <f>AND(TableRelationships12[[#This Row],[Source Type]]="BIM",TableRelationships12[[#This Row],[Target Type]]="BIM")</f>
        <v>#N/A</v>
      </c>
      <c r="Q1936">
        <f t="shared" si="90"/>
        <v>1</v>
      </c>
      <c r="S1936">
        <f t="shared" si="91"/>
        <v>1</v>
      </c>
      <c r="T1936" s="102" t="str">
        <f>IF(TableRelationships12[[#This Row],[Rank Pedro]]="Low","linkCategory1",IF(TableRelationships12[[#This Row],[Rank Pedro]]="Medium","linkCategory2",IF(TableRelationships12[[#This Row],[Rank Pedro]]="High","linkCategory3","")))</f>
        <v/>
      </c>
      <c r="U1936" s="102" t="str">
        <f>IF(TableRelationships12[[#This Row],[Rank Pedro]]="Low","Pink",IF(TableRelationships12[[#This Row],[Rank Pedro]]="Medium","Purple",IF(TableRelationships12[[#This Row],[Rank Pedro]]="High","Brown","")))</f>
        <v/>
      </c>
      <c r="V1936" s="4" t="e">
        <f>MAX(INDEX(Standards!$F$2:$F$296,MATCH(B1936,Standards!$B$2:$B$296,0)),INDEX(Standards!$F$2:$F$296,MATCH(C1936,Standards!$B$2:$B$296,0)))</f>
        <v>#N/A</v>
      </c>
      <c r="W1936" t="str">
        <f t="shared" si="92"/>
        <v>#2f89d1</v>
      </c>
    </row>
    <row r="1937" spans="1:23" x14ac:dyDescent="0.5">
      <c r="A1937" s="54">
        <v>1936</v>
      </c>
      <c r="B1937" s="90" t="s">
        <v>1685</v>
      </c>
      <c r="C1937" t="s">
        <v>182</v>
      </c>
      <c r="D1937" s="1"/>
      <c r="E1937" s="113">
        <v>1981.07</v>
      </c>
      <c r="F1937" s="113">
        <v>2022.12</v>
      </c>
      <c r="G1937" s="107" t="s">
        <v>1446</v>
      </c>
      <c r="H1937">
        <f>INDEX('GIS-Standards'!$A$2:$A$305,MATCH(B1937,'GIS-Standards'!$B$2:$B$305,0))</f>
        <v>88</v>
      </c>
      <c r="I1937" t="e">
        <f>INDEX('GIS-Standards'!$A$2:$A$305,MATCH(C1937,'GIS-Standards'!$B$2:$B$305,0))</f>
        <v>#N/A</v>
      </c>
      <c r="J1937" t="str">
        <f>INDEX('GIS-Standards'!$O$2:$O$305,MATCH(B1937,'GIS-Standards'!$B$2:$B$305,0))</f>
        <v>ISO/TC 59/SC 13</v>
      </c>
      <c r="K1937" t="e">
        <f>INDEX('GIS-Standards'!$O$2:$O$305,MATCH(C1937,'GIS-Standards'!$B$2:$B$305,0))</f>
        <v>#N/A</v>
      </c>
      <c r="M1937" t="s">
        <v>525</v>
      </c>
      <c r="N1937">
        <f>INDEX('GIS-Standards'!$I$2:$I$305,MATCH(B1937,'GIS-Standards'!$B$2:$B$305,0))</f>
        <v>0</v>
      </c>
      <c r="O1937" t="e">
        <f>INDEX('GIS-Standards'!$I$2:$I$305,MATCH(C1937,'GIS-Standards'!$B$2:$B$305,0))</f>
        <v>#N/A</v>
      </c>
      <c r="P1937" t="e">
        <f>AND(TableRelationships12[[#This Row],[Source Type]]="BIM",TableRelationships12[[#This Row],[Target Type]]="BIM")</f>
        <v>#N/A</v>
      </c>
      <c r="Q1937">
        <f t="shared" si="90"/>
        <v>1</v>
      </c>
      <c r="S1937">
        <f t="shared" si="91"/>
        <v>1</v>
      </c>
      <c r="T1937" s="102" t="str">
        <f>IF(TableRelationships12[[#This Row],[Rank Pedro]]="Low","linkCategory1",IF(TableRelationships12[[#This Row],[Rank Pedro]]="Medium","linkCategory2",IF(TableRelationships12[[#This Row],[Rank Pedro]]="High","linkCategory3","")))</f>
        <v/>
      </c>
      <c r="U1937" s="102" t="str">
        <f>IF(TableRelationships12[[#This Row],[Rank Pedro]]="Low","Pink",IF(TableRelationships12[[#This Row],[Rank Pedro]]="Medium","Purple",IF(TableRelationships12[[#This Row],[Rank Pedro]]="High","Brown","")))</f>
        <v/>
      </c>
      <c r="V1937" s="4" t="e">
        <f>MAX(INDEX(Standards!$F$2:$F$296,MATCH(B1937,Standards!$B$2:$B$296,0)),INDEX(Standards!$F$2:$F$296,MATCH(C1937,Standards!$B$2:$B$296,0)))</f>
        <v>#N/A</v>
      </c>
      <c r="W1937" t="str">
        <f t="shared" si="92"/>
        <v>#2f89d1</v>
      </c>
    </row>
    <row r="1938" spans="1:23" x14ac:dyDescent="0.5">
      <c r="A1938" s="54">
        <v>1937</v>
      </c>
      <c r="B1938" s="90" t="s">
        <v>1685</v>
      </c>
      <c r="C1938" t="s">
        <v>1216</v>
      </c>
      <c r="D1938" s="1"/>
      <c r="E1938" s="112">
        <v>2009.12</v>
      </c>
      <c r="F1938" s="112">
        <v>2022.09</v>
      </c>
      <c r="G1938" s="107" t="s">
        <v>1490</v>
      </c>
      <c r="H1938">
        <f>INDEX('GIS-Standards'!$A$2:$A$305,MATCH(B1938,'GIS-Standards'!$B$2:$B$305,0))</f>
        <v>88</v>
      </c>
      <c r="I1938" t="e">
        <f>INDEX('GIS-Standards'!$A$2:$A$305,MATCH(C1938,'GIS-Standards'!$B$2:$B$305,0))</f>
        <v>#N/A</v>
      </c>
      <c r="J1938" t="str">
        <f>INDEX('GIS-Standards'!$O$2:$O$305,MATCH(B1938,'GIS-Standards'!$B$2:$B$305,0))</f>
        <v>ISO/TC 59/SC 13</v>
      </c>
      <c r="K1938" t="e">
        <f>INDEX('GIS-Standards'!$O$2:$O$305,MATCH(C1938,'GIS-Standards'!$B$2:$B$305,0))</f>
        <v>#N/A</v>
      </c>
      <c r="M1938" t="s">
        <v>525</v>
      </c>
      <c r="N1938">
        <f>INDEX('GIS-Standards'!$I$2:$I$305,MATCH(B1938,'GIS-Standards'!$B$2:$B$305,0))</f>
        <v>0</v>
      </c>
      <c r="O1938" t="e">
        <f>INDEX('GIS-Standards'!$I$2:$I$305,MATCH(C1938,'GIS-Standards'!$B$2:$B$305,0))</f>
        <v>#N/A</v>
      </c>
      <c r="P1938" t="e">
        <f>AND(TableRelationships12[[#This Row],[Source Type]]="BIM",TableRelationships12[[#This Row],[Target Type]]="BIM")</f>
        <v>#N/A</v>
      </c>
      <c r="Q1938">
        <f t="shared" si="90"/>
        <v>1</v>
      </c>
      <c r="S1938">
        <f t="shared" si="91"/>
        <v>1</v>
      </c>
      <c r="T1938" s="102" t="str">
        <f>IF(TableRelationships12[[#This Row],[Rank Pedro]]="Low","linkCategory1",IF(TableRelationships12[[#This Row],[Rank Pedro]]="Medium","linkCategory2",IF(TableRelationships12[[#This Row],[Rank Pedro]]="High","linkCategory3","")))</f>
        <v/>
      </c>
      <c r="U1938" s="102" t="str">
        <f>IF(TableRelationships12[[#This Row],[Rank Pedro]]="Low","Pink",IF(TableRelationships12[[#This Row],[Rank Pedro]]="Medium","Purple",IF(TableRelationships12[[#This Row],[Rank Pedro]]="High","Brown","")))</f>
        <v/>
      </c>
      <c r="V1938" s="4" t="e">
        <f>MAX(INDEX(Standards!$F$2:$F$296,MATCH(B1938,Standards!$B$2:$B$296,0)),INDEX(Standards!$F$2:$F$296,MATCH(C1938,Standards!$B$2:$B$296,0)))</f>
        <v>#N/A</v>
      </c>
      <c r="W1938" t="str">
        <f t="shared" si="92"/>
        <v>#2f89d1</v>
      </c>
    </row>
    <row r="1939" spans="1:23" x14ac:dyDescent="0.5">
      <c r="A1939" s="54">
        <v>1938</v>
      </c>
      <c r="B1939" s="90" t="s">
        <v>1685</v>
      </c>
      <c r="C1939" t="s">
        <v>33</v>
      </c>
      <c r="D1939" s="1"/>
      <c r="E1939" s="112">
        <v>2001.11</v>
      </c>
      <c r="F1939" s="112">
        <v>2001.11</v>
      </c>
      <c r="G1939" s="107" t="s">
        <v>2032</v>
      </c>
      <c r="H1939">
        <f>INDEX('GIS-Standards'!$A$2:$A$305,MATCH(B1939,'GIS-Standards'!$B$2:$B$305,0))</f>
        <v>88</v>
      </c>
      <c r="I1939" t="e">
        <f>INDEX('GIS-Standards'!$A$2:$A$305,MATCH(C1939,'GIS-Standards'!$B$2:$B$305,0))</f>
        <v>#N/A</v>
      </c>
      <c r="J1939" t="str">
        <f>INDEX('GIS-Standards'!$O$2:$O$305,MATCH(B1939,'GIS-Standards'!$B$2:$B$305,0))</f>
        <v>ISO/TC 59/SC 13</v>
      </c>
      <c r="K1939" t="e">
        <f>INDEX('GIS-Standards'!$O$2:$O$305,MATCH(C1939,'GIS-Standards'!$B$2:$B$305,0))</f>
        <v>#N/A</v>
      </c>
      <c r="M1939" t="s">
        <v>525</v>
      </c>
      <c r="N1939">
        <f>INDEX('GIS-Standards'!$I$2:$I$305,MATCH(B1939,'GIS-Standards'!$B$2:$B$305,0))</f>
        <v>0</v>
      </c>
      <c r="O1939" t="e">
        <f>INDEX('GIS-Standards'!$I$2:$I$305,MATCH(C1939,'GIS-Standards'!$B$2:$B$305,0))</f>
        <v>#N/A</v>
      </c>
      <c r="P1939" t="e">
        <f>AND(TableRelationships12[[#This Row],[Source Type]]="BIM",TableRelationships12[[#This Row],[Target Type]]="BIM")</f>
        <v>#N/A</v>
      </c>
      <c r="Q1939">
        <f t="shared" si="90"/>
        <v>1</v>
      </c>
      <c r="S1939">
        <f t="shared" si="91"/>
        <v>1</v>
      </c>
      <c r="T1939" s="102" t="str">
        <f>IF(TableRelationships12[[#This Row],[Rank Pedro]]="Low","linkCategory1",IF(TableRelationships12[[#This Row],[Rank Pedro]]="Medium","linkCategory2",IF(TableRelationships12[[#This Row],[Rank Pedro]]="High","linkCategory3","")))</f>
        <v/>
      </c>
      <c r="U1939" s="102" t="str">
        <f>IF(TableRelationships12[[#This Row],[Rank Pedro]]="Low","Pink",IF(TableRelationships12[[#This Row],[Rank Pedro]]="Medium","Purple",IF(TableRelationships12[[#This Row],[Rank Pedro]]="High","Brown","")))</f>
        <v/>
      </c>
      <c r="V1939" s="4" t="e">
        <f>MAX(INDEX(Standards!$F$2:$F$296,MATCH(B1939,Standards!$B$2:$B$296,0)),INDEX(Standards!$F$2:$F$296,MATCH(C1939,Standards!$B$2:$B$296,0)))</f>
        <v>#N/A</v>
      </c>
      <c r="W1939" t="str">
        <f t="shared" si="92"/>
        <v>#2f89d1</v>
      </c>
    </row>
    <row r="1940" spans="1:23" x14ac:dyDescent="0.5">
      <c r="A1940" s="54">
        <v>1939</v>
      </c>
      <c r="B1940" s="90" t="s">
        <v>1685</v>
      </c>
      <c r="C1940" t="s">
        <v>1171</v>
      </c>
      <c r="D1940" s="1"/>
      <c r="E1940" s="112">
        <v>1986.06</v>
      </c>
      <c r="F1940" s="112">
        <v>2015.09</v>
      </c>
      <c r="G1940" s="107" t="s">
        <v>1491</v>
      </c>
      <c r="H1940">
        <f>INDEX('GIS-Standards'!$A$2:$A$305,MATCH(B1940,'GIS-Standards'!$B$2:$B$305,0))</f>
        <v>88</v>
      </c>
      <c r="I1940" t="e">
        <f>INDEX('GIS-Standards'!$A$2:$A$305,MATCH(C1940,'GIS-Standards'!$B$2:$B$305,0))</f>
        <v>#N/A</v>
      </c>
      <c r="J1940" t="str">
        <f>INDEX('GIS-Standards'!$O$2:$O$305,MATCH(B1940,'GIS-Standards'!$B$2:$B$305,0))</f>
        <v>ISO/TC 59/SC 13</v>
      </c>
      <c r="K1940" t="e">
        <f>INDEX('GIS-Standards'!$O$2:$O$305,MATCH(C1940,'GIS-Standards'!$B$2:$B$305,0))</f>
        <v>#N/A</v>
      </c>
      <c r="M1940" t="s">
        <v>525</v>
      </c>
      <c r="N1940">
        <f>INDEX('GIS-Standards'!$I$2:$I$305,MATCH(B1940,'GIS-Standards'!$B$2:$B$305,0))</f>
        <v>0</v>
      </c>
      <c r="O1940" t="e">
        <f>INDEX('GIS-Standards'!$I$2:$I$305,MATCH(C1940,'GIS-Standards'!$B$2:$B$305,0))</f>
        <v>#N/A</v>
      </c>
      <c r="P1940" t="e">
        <f>AND(TableRelationships12[[#This Row],[Source Type]]="BIM",TableRelationships12[[#This Row],[Target Type]]="BIM")</f>
        <v>#N/A</v>
      </c>
      <c r="Q1940">
        <f t="shared" si="90"/>
        <v>1</v>
      </c>
      <c r="S1940">
        <f t="shared" si="91"/>
        <v>1</v>
      </c>
      <c r="T1940" s="102" t="str">
        <f>IF(TableRelationships12[[#This Row],[Rank Pedro]]="Low","linkCategory1",IF(TableRelationships12[[#This Row],[Rank Pedro]]="Medium","linkCategory2",IF(TableRelationships12[[#This Row],[Rank Pedro]]="High","linkCategory3","")))</f>
        <v/>
      </c>
      <c r="U1940" s="102" t="str">
        <f>IF(TableRelationships12[[#This Row],[Rank Pedro]]="Low","Pink",IF(TableRelationships12[[#This Row],[Rank Pedro]]="Medium","Purple",IF(TableRelationships12[[#This Row],[Rank Pedro]]="High","Brown","")))</f>
        <v/>
      </c>
      <c r="V1940" s="4" t="e">
        <f>MAX(INDEX(Standards!$F$2:$F$296,MATCH(B1940,Standards!$B$2:$B$296,0)),INDEX(Standards!$F$2:$F$296,MATCH(C1940,Standards!$B$2:$B$296,0)))</f>
        <v>#N/A</v>
      </c>
      <c r="W1940" t="str">
        <f t="shared" si="92"/>
        <v>#2f89d1</v>
      </c>
    </row>
    <row r="1941" spans="1:23" x14ac:dyDescent="0.5">
      <c r="A1941" s="54">
        <v>1940</v>
      </c>
      <c r="B1941" s="90" t="s">
        <v>1685</v>
      </c>
      <c r="C1941" t="s">
        <v>1767</v>
      </c>
      <c r="D1941" s="1"/>
      <c r="E1941" s="112">
        <v>2015.05</v>
      </c>
      <c r="F1941" s="112">
        <v>2023.05</v>
      </c>
      <c r="G1941" s="107" t="s">
        <v>1502</v>
      </c>
      <c r="H1941">
        <f>INDEX('GIS-Standards'!$A$2:$A$305,MATCH(B1941,'GIS-Standards'!$B$2:$B$305,0))</f>
        <v>88</v>
      </c>
      <c r="I1941" t="e">
        <f>INDEX('GIS-Standards'!$A$2:$A$305,MATCH(C1941,'GIS-Standards'!$B$2:$B$305,0))</f>
        <v>#N/A</v>
      </c>
      <c r="J1941" t="str">
        <f>INDEX('GIS-Standards'!$O$2:$O$305,MATCH(B1941,'GIS-Standards'!$B$2:$B$305,0))</f>
        <v>ISO/TC 59/SC 13</v>
      </c>
      <c r="K1941" t="e">
        <f>INDEX('GIS-Standards'!$O$2:$O$305,MATCH(C1941,'GIS-Standards'!$B$2:$B$305,0))</f>
        <v>#N/A</v>
      </c>
      <c r="M1941" t="s">
        <v>525</v>
      </c>
      <c r="N1941">
        <f>INDEX('GIS-Standards'!$I$2:$I$305,MATCH(B1941,'GIS-Standards'!$B$2:$B$305,0))</f>
        <v>0</v>
      </c>
      <c r="O1941" t="e">
        <f>INDEX('GIS-Standards'!$I$2:$I$305,MATCH(C1941,'GIS-Standards'!$B$2:$B$305,0))</f>
        <v>#N/A</v>
      </c>
      <c r="P1941" t="e">
        <f>AND(TableRelationships12[[#This Row],[Source Type]]="BIM",TableRelationships12[[#This Row],[Target Type]]="BIM")</f>
        <v>#N/A</v>
      </c>
      <c r="Q1941">
        <f t="shared" si="90"/>
        <v>1</v>
      </c>
      <c r="S1941">
        <f t="shared" si="91"/>
        <v>1</v>
      </c>
      <c r="T1941" s="102" t="str">
        <f>IF(TableRelationships12[[#This Row],[Rank Pedro]]="Low","linkCategory1",IF(TableRelationships12[[#This Row],[Rank Pedro]]="Medium","linkCategory2",IF(TableRelationships12[[#This Row],[Rank Pedro]]="High","linkCategory3","")))</f>
        <v/>
      </c>
      <c r="U1941" s="102" t="str">
        <f>IF(TableRelationships12[[#This Row],[Rank Pedro]]="Low","Pink",IF(TableRelationships12[[#This Row],[Rank Pedro]]="Medium","Purple",IF(TableRelationships12[[#This Row],[Rank Pedro]]="High","Brown","")))</f>
        <v/>
      </c>
      <c r="V1941" s="4" t="e">
        <f>MAX(INDEX(Standards!$F$2:$F$296,MATCH(B1941,Standards!$B$2:$B$296,0)),INDEX(Standards!$F$2:$F$296,MATCH(C1941,Standards!$B$2:$B$296,0)))</f>
        <v>#N/A</v>
      </c>
      <c r="W1941" t="str">
        <f t="shared" si="92"/>
        <v>#2f89d1</v>
      </c>
    </row>
    <row r="1942" spans="1:23" x14ac:dyDescent="0.5">
      <c r="A1942" s="54">
        <v>1941</v>
      </c>
      <c r="B1942" s="90" t="s">
        <v>1685</v>
      </c>
      <c r="C1942" t="s">
        <v>488</v>
      </c>
      <c r="D1942" s="1"/>
      <c r="E1942" s="112">
        <v>2021.05</v>
      </c>
      <c r="F1942" s="112">
        <v>2021.05</v>
      </c>
      <c r="G1942" s="107" t="s">
        <v>1848</v>
      </c>
      <c r="H1942">
        <f>INDEX('GIS-Standards'!$A$2:$A$305,MATCH(B1942,'GIS-Standards'!$B$2:$B$305,0))</f>
        <v>88</v>
      </c>
      <c r="I1942">
        <f>INDEX('GIS-Standards'!$A$2:$A$305,MATCH(C1942,'GIS-Standards'!$B$2:$B$305,0))</f>
        <v>95</v>
      </c>
      <c r="J1942" t="str">
        <f>INDEX('GIS-Standards'!$O$2:$O$305,MATCH(B1942,'GIS-Standards'!$B$2:$B$305,0))</f>
        <v>ISO/TC 59/SC 13</v>
      </c>
      <c r="K1942" t="str">
        <f>INDEX('GIS-Standards'!$O$2:$O$305,MATCH(C1942,'GIS-Standards'!$B$2:$B$305,0))</f>
        <v>ISO/TC 59/SC 13</v>
      </c>
      <c r="M1942" t="s">
        <v>525</v>
      </c>
      <c r="N1942">
        <f>INDEX('GIS-Standards'!$I$2:$I$305,MATCH(B1942,'GIS-Standards'!$B$2:$B$305,0))</f>
        <v>0</v>
      </c>
      <c r="O1942">
        <f>INDEX('GIS-Standards'!$I$2:$I$305,MATCH(C1942,'GIS-Standards'!$B$2:$B$305,0))</f>
        <v>0</v>
      </c>
      <c r="P1942" t="b">
        <f>AND(TableRelationships12[[#This Row],[Source Type]]="BIM",TableRelationships12[[#This Row],[Target Type]]="BIM")</f>
        <v>0</v>
      </c>
      <c r="Q1942">
        <f t="shared" si="90"/>
        <v>1</v>
      </c>
      <c r="S1942">
        <f t="shared" si="91"/>
        <v>1</v>
      </c>
      <c r="T1942" s="102" t="str">
        <f>IF(TableRelationships12[[#This Row],[Rank Pedro]]="Low","linkCategory1",IF(TableRelationships12[[#This Row],[Rank Pedro]]="Medium","linkCategory2",IF(TableRelationships12[[#This Row],[Rank Pedro]]="High","linkCategory3","")))</f>
        <v/>
      </c>
      <c r="U1942" s="102" t="str">
        <f>IF(TableRelationships12[[#This Row],[Rank Pedro]]="Low","Pink",IF(TableRelationships12[[#This Row],[Rank Pedro]]="Medium","Purple",IF(TableRelationships12[[#This Row],[Rank Pedro]]="High","Brown","")))</f>
        <v/>
      </c>
      <c r="V1942" s="4" t="e">
        <f>MAX(INDEX(Standards!$F$2:$F$296,MATCH(B1942,Standards!$B$2:$B$296,0)),INDEX(Standards!$F$2:$F$296,MATCH(C1942,Standards!$B$2:$B$296,0)))</f>
        <v>#N/A</v>
      </c>
      <c r="W1942" t="str">
        <f t="shared" si="92"/>
        <v>#2f89d1</v>
      </c>
    </row>
    <row r="1943" spans="1:23" x14ac:dyDescent="0.5">
      <c r="A1943" s="54">
        <v>1942</v>
      </c>
      <c r="B1943" s="90" t="s">
        <v>1685</v>
      </c>
      <c r="C1943" t="s">
        <v>1403</v>
      </c>
      <c r="D1943" s="1"/>
      <c r="E1943" s="112">
        <v>1999.12</v>
      </c>
      <c r="F1943" s="112">
        <v>2023.01</v>
      </c>
      <c r="G1943" s="107" t="s">
        <v>1487</v>
      </c>
      <c r="H1943">
        <f>INDEX('GIS-Standards'!$A$2:$A$305,MATCH(B1943,'GIS-Standards'!$B$2:$B$305,0))</f>
        <v>88</v>
      </c>
      <c r="I1943" t="e">
        <f>INDEX('GIS-Standards'!$A$2:$A$305,MATCH(C1943,'GIS-Standards'!$B$2:$B$305,0))</f>
        <v>#N/A</v>
      </c>
      <c r="J1943" t="str">
        <f>INDEX('GIS-Standards'!$O$2:$O$305,MATCH(B1943,'GIS-Standards'!$B$2:$B$305,0))</f>
        <v>ISO/TC 59/SC 13</v>
      </c>
      <c r="K1943" t="e">
        <f>INDEX('GIS-Standards'!$O$2:$O$305,MATCH(C1943,'GIS-Standards'!$B$2:$B$305,0))</f>
        <v>#N/A</v>
      </c>
      <c r="M1943" t="s">
        <v>525</v>
      </c>
      <c r="N1943">
        <f>INDEX('GIS-Standards'!$I$2:$I$305,MATCH(B1943,'GIS-Standards'!$B$2:$B$305,0))</f>
        <v>0</v>
      </c>
      <c r="O1943" t="e">
        <f>INDEX('GIS-Standards'!$I$2:$I$305,MATCH(C1943,'GIS-Standards'!$B$2:$B$305,0))</f>
        <v>#N/A</v>
      </c>
      <c r="P1943" t="e">
        <f>AND(TableRelationships12[[#This Row],[Source Type]]="BIM",TableRelationships12[[#This Row],[Target Type]]="BIM")</f>
        <v>#N/A</v>
      </c>
      <c r="Q1943">
        <f t="shared" si="90"/>
        <v>1</v>
      </c>
      <c r="S1943">
        <f t="shared" si="91"/>
        <v>1</v>
      </c>
      <c r="T1943" s="102" t="str">
        <f>IF(TableRelationships12[[#This Row],[Rank Pedro]]="Low","linkCategory1",IF(TableRelationships12[[#This Row],[Rank Pedro]]="Medium","linkCategory2",IF(TableRelationships12[[#This Row],[Rank Pedro]]="High","linkCategory3","")))</f>
        <v/>
      </c>
      <c r="U1943" s="102" t="str">
        <f>IF(TableRelationships12[[#This Row],[Rank Pedro]]="Low","Pink",IF(TableRelationships12[[#This Row],[Rank Pedro]]="Medium","Purple",IF(TableRelationships12[[#This Row],[Rank Pedro]]="High","Brown","")))</f>
        <v/>
      </c>
      <c r="V1943" s="4" t="e">
        <f>MAX(INDEX(Standards!$F$2:$F$296,MATCH(B1943,Standards!$B$2:$B$296,0)),INDEX(Standards!$F$2:$F$296,MATCH(C1943,Standards!$B$2:$B$296,0)))</f>
        <v>#N/A</v>
      </c>
      <c r="W1943" t="str">
        <f t="shared" si="92"/>
        <v>#2f89d1</v>
      </c>
    </row>
    <row r="1944" spans="1:23" x14ac:dyDescent="0.5">
      <c r="A1944" s="54">
        <v>1943</v>
      </c>
      <c r="B1944" s="90" t="s">
        <v>646</v>
      </c>
      <c r="C1944" t="s">
        <v>527</v>
      </c>
      <c r="D1944" s="1"/>
      <c r="E1944" s="112" t="s">
        <v>992</v>
      </c>
      <c r="F1944" s="112" t="s">
        <v>992</v>
      </c>
      <c r="G1944" s="121" t="s">
        <v>670</v>
      </c>
      <c r="H1944">
        <f>INDEX('GIS-Standards'!$A$2:$A$305,MATCH(B1944,'GIS-Standards'!$B$2:$B$305,0))</f>
        <v>89</v>
      </c>
      <c r="I1944" t="e">
        <f>INDEX('GIS-Standards'!$A$2:$A$305,MATCH(C1944,'GIS-Standards'!$B$2:$B$305,0))</f>
        <v>#N/A</v>
      </c>
      <c r="J1944" t="str">
        <f>INDEX('GIS-Standards'!$O$2:$O$305,MATCH(B1944,'GIS-Standards'!$B$2:$B$305,0))</f>
        <v>ISO/TC 211</v>
      </c>
      <c r="K1944" t="e">
        <f>INDEX('GIS-Standards'!$O$2:$O$305,MATCH(C1944,'GIS-Standards'!$B$2:$B$305,0))</f>
        <v>#N/A</v>
      </c>
      <c r="M1944" t="s">
        <v>237</v>
      </c>
      <c r="N1944">
        <f>INDEX('GIS-Standards'!$I$2:$I$305,MATCH(B1944,'GIS-Standards'!$B$2:$B$305,0))</f>
        <v>0</v>
      </c>
      <c r="O1944" t="e">
        <f>INDEX('GIS-Standards'!$I$2:$I$305,MATCH(C1944,'GIS-Standards'!$B$2:$B$305,0))</f>
        <v>#N/A</v>
      </c>
      <c r="P1944" t="e">
        <f>AND(TableRelationships12[[#This Row],[Source Type]]="BIM",TableRelationships12[[#This Row],[Target Type]]="BIM")</f>
        <v>#N/A</v>
      </c>
      <c r="Q1944">
        <f t="shared" si="90"/>
        <v>2</v>
      </c>
      <c r="S1944">
        <f t="shared" si="91"/>
        <v>1</v>
      </c>
      <c r="T1944" s="102" t="str">
        <f>IF(TableRelationships12[[#This Row],[Rank Pedro]]="Low","linkCategory1",IF(TableRelationships12[[#This Row],[Rank Pedro]]="Medium","linkCategory2",IF(TableRelationships12[[#This Row],[Rank Pedro]]="High","linkCategory3","")))</f>
        <v/>
      </c>
      <c r="U1944" s="102" t="str">
        <f>IF(TableRelationships12[[#This Row],[Rank Pedro]]="Low","Pink",IF(TableRelationships12[[#This Row],[Rank Pedro]]="Medium","Purple",IF(TableRelationships12[[#This Row],[Rank Pedro]]="High","Brown","")))</f>
        <v/>
      </c>
      <c r="V1944" s="4" t="e">
        <f>MAX(INDEX(Standards!$F$2:$F$296,MATCH(B1944,Standards!$B$2:$B$296,0)),INDEX(Standards!$F$2:$F$296,MATCH(C1944,Standards!$B$2:$B$296,0)))</f>
        <v>#N/A</v>
      </c>
      <c r="W1944">
        <f t="shared" si="92"/>
        <v>1</v>
      </c>
    </row>
    <row r="1945" spans="1:23" x14ac:dyDescent="0.5">
      <c r="A1945" s="54">
        <v>1944</v>
      </c>
      <c r="B1945" s="90" t="s">
        <v>646</v>
      </c>
      <c r="C1945" t="s">
        <v>293</v>
      </c>
      <c r="D1945" s="1" t="s">
        <v>1127</v>
      </c>
      <c r="E1945" s="112">
        <v>2002.07</v>
      </c>
      <c r="F1945" s="112">
        <v>2014.11</v>
      </c>
      <c r="G1945" s="107" t="s">
        <v>670</v>
      </c>
      <c r="H1945">
        <f>INDEX('GIS-Standards'!$A$2:$A$305,MATCH(B1945,'GIS-Standards'!$B$2:$B$305,0))</f>
        <v>89</v>
      </c>
      <c r="I1945">
        <f>INDEX('GIS-Standards'!$A$2:$A$305,MATCH(C1945,'GIS-Standards'!$B$2:$B$305,0))</f>
        <v>10</v>
      </c>
      <c r="J1945" t="str">
        <f>INDEX('GIS-Standards'!$O$2:$O$305,MATCH(B1945,'GIS-Standards'!$B$2:$B$305,0))</f>
        <v>ISO/TC 211</v>
      </c>
      <c r="K1945" t="str">
        <f>INDEX('GIS-Standards'!$O$2:$O$305,MATCH(C1945,'GIS-Standards'!$B$2:$B$305,0))</f>
        <v>ISO/TC 211</v>
      </c>
      <c r="M1945" t="s">
        <v>524</v>
      </c>
      <c r="N1945">
        <f>INDEX('GIS-Standards'!$I$2:$I$305,MATCH(B1945,'GIS-Standards'!$B$2:$B$305,0))</f>
        <v>0</v>
      </c>
      <c r="O1945">
        <f>INDEX('GIS-Standards'!$I$2:$I$305,MATCH(C1945,'GIS-Standards'!$B$2:$B$305,0))</f>
        <v>0</v>
      </c>
      <c r="P1945" t="b">
        <f>AND(TableRelationships12[[#This Row],[Source Type]]="BIM",TableRelationships12[[#This Row],[Target Type]]="BIM")</f>
        <v>0</v>
      </c>
      <c r="Q1945">
        <f t="shared" si="90"/>
        <v>6</v>
      </c>
      <c r="S1945">
        <f t="shared" si="91"/>
        <v>1</v>
      </c>
      <c r="T1945" s="102" t="str">
        <f>IF(TableRelationships12[[#This Row],[Rank Pedro]]="Low","linkCategory1",IF(TableRelationships12[[#This Row],[Rank Pedro]]="Medium","linkCategory2",IF(TableRelationships12[[#This Row],[Rank Pedro]]="High","linkCategory3","")))</f>
        <v/>
      </c>
      <c r="U1945" s="102" t="str">
        <f>IF(TableRelationships12[[#This Row],[Rank Pedro]]="Low","Pink",IF(TableRelationships12[[#This Row],[Rank Pedro]]="Medium","Purple",IF(TableRelationships12[[#This Row],[Rank Pedro]]="High","Brown","")))</f>
        <v/>
      </c>
      <c r="V1945" s="4" t="e">
        <f>MAX(INDEX(Standards!$F$2:$F$296,MATCH(B1945,Standards!$B$2:$B$296,0)),INDEX(Standards!$F$2:$F$296,MATCH(C1945,Standards!$B$2:$B$296,0)))</f>
        <v>#N/A</v>
      </c>
      <c r="W1945" t="str">
        <f t="shared" si="92"/>
        <v>#d6bf2a</v>
      </c>
    </row>
    <row r="1946" spans="1:23" x14ac:dyDescent="0.5">
      <c r="A1946" s="54">
        <v>1945</v>
      </c>
      <c r="B1946" s="90" t="s">
        <v>646</v>
      </c>
      <c r="C1946" t="s">
        <v>296</v>
      </c>
      <c r="D1946" s="1"/>
      <c r="E1946" s="112">
        <v>2005.07</v>
      </c>
      <c r="F1946" s="112">
        <v>2024.09</v>
      </c>
      <c r="G1946" s="107" t="s">
        <v>670</v>
      </c>
      <c r="H1946">
        <f>INDEX('GIS-Standards'!$A$2:$A$305,MATCH(B1946,'GIS-Standards'!$B$2:$B$305,0))</f>
        <v>89</v>
      </c>
      <c r="I1946">
        <f>INDEX('GIS-Standards'!$A$2:$A$305,MATCH(C1946,'GIS-Standards'!$B$2:$B$305,0))</f>
        <v>12</v>
      </c>
      <c r="J1946" t="str">
        <f>INDEX('GIS-Standards'!$O$2:$O$305,MATCH(B1946,'GIS-Standards'!$B$2:$B$305,0))</f>
        <v>ISO/TC 211</v>
      </c>
      <c r="K1946" t="str">
        <f>INDEX('GIS-Standards'!$O$2:$O$305,MATCH(C1946,'GIS-Standards'!$B$2:$B$305,0))</f>
        <v>ISO/TC 211</v>
      </c>
      <c r="M1946" t="s">
        <v>524</v>
      </c>
      <c r="N1946">
        <f>INDEX('GIS-Standards'!$I$2:$I$305,MATCH(B1946,'GIS-Standards'!$B$2:$B$305,0))</f>
        <v>0</v>
      </c>
      <c r="O1946">
        <f>INDEX('GIS-Standards'!$I$2:$I$305,MATCH(C1946,'GIS-Standards'!$B$2:$B$305,0))</f>
        <v>0</v>
      </c>
      <c r="P1946" t="b">
        <f>AND(TableRelationships12[[#This Row],[Source Type]]="BIM",TableRelationships12[[#This Row],[Target Type]]="BIM")</f>
        <v>0</v>
      </c>
      <c r="Q1946">
        <f t="shared" si="90"/>
        <v>6</v>
      </c>
      <c r="S1946">
        <f t="shared" si="91"/>
        <v>1</v>
      </c>
      <c r="T1946" s="102" t="str">
        <f>IF(TableRelationships12[[#This Row],[Rank Pedro]]="Low","linkCategory1",IF(TableRelationships12[[#This Row],[Rank Pedro]]="Medium","linkCategory2",IF(TableRelationships12[[#This Row],[Rank Pedro]]="High","linkCategory3","")))</f>
        <v/>
      </c>
      <c r="U1946" s="102" t="str">
        <f>IF(TableRelationships12[[#This Row],[Rank Pedro]]="Low","Pink",IF(TableRelationships12[[#This Row],[Rank Pedro]]="Medium","Purple",IF(TableRelationships12[[#This Row],[Rank Pedro]]="High","Brown","")))</f>
        <v/>
      </c>
      <c r="V1946" s="4" t="e">
        <f>MAX(INDEX(Standards!$F$2:$F$296,MATCH(B1946,Standards!$B$2:$B$296,0)),INDEX(Standards!$F$2:$F$296,MATCH(C1946,Standards!$B$2:$B$296,0)))</f>
        <v>#N/A</v>
      </c>
      <c r="W1946" t="str">
        <f t="shared" si="92"/>
        <v>#d6bf2a</v>
      </c>
    </row>
    <row r="1947" spans="1:23" x14ac:dyDescent="0.5">
      <c r="A1947" s="54">
        <v>1946</v>
      </c>
      <c r="B1947" s="90" t="s">
        <v>646</v>
      </c>
      <c r="C1947" t="s">
        <v>298</v>
      </c>
      <c r="D1947" s="1"/>
      <c r="E1947" s="112">
        <v>2008.11</v>
      </c>
      <c r="F1947" s="112">
        <v>2016.1</v>
      </c>
      <c r="G1947" s="107" t="s">
        <v>1464</v>
      </c>
      <c r="H1947">
        <f>INDEX('GIS-Standards'!$A$2:$A$305,MATCH(B1947,'GIS-Standards'!$B$2:$B$305,0))</f>
        <v>89</v>
      </c>
      <c r="I1947">
        <f>INDEX('GIS-Standards'!$A$2:$A$305,MATCH(C1947,'GIS-Standards'!$B$2:$B$305,0))</f>
        <v>13</v>
      </c>
      <c r="J1947" t="str">
        <f>INDEX('GIS-Standards'!$O$2:$O$305,MATCH(B1947,'GIS-Standards'!$B$2:$B$305,0))</f>
        <v>ISO/TC 211</v>
      </c>
      <c r="K1947" t="str">
        <f>INDEX('GIS-Standards'!$O$2:$O$305,MATCH(C1947,'GIS-Standards'!$B$2:$B$305,0))</f>
        <v>ISO/TC 211</v>
      </c>
      <c r="M1947" t="s">
        <v>524</v>
      </c>
      <c r="N1947">
        <f>INDEX('GIS-Standards'!$I$2:$I$305,MATCH(B1947,'GIS-Standards'!$B$2:$B$305,0))</f>
        <v>0</v>
      </c>
      <c r="O1947">
        <f>INDEX('GIS-Standards'!$I$2:$I$305,MATCH(C1947,'GIS-Standards'!$B$2:$B$305,0))</f>
        <v>0</v>
      </c>
      <c r="P1947" t="b">
        <f>AND(TableRelationships12[[#This Row],[Source Type]]="BIM",TableRelationships12[[#This Row],[Target Type]]="BIM")</f>
        <v>0</v>
      </c>
      <c r="Q1947">
        <f t="shared" si="90"/>
        <v>6</v>
      </c>
      <c r="S1947">
        <f t="shared" si="91"/>
        <v>1</v>
      </c>
      <c r="T1947" s="102" t="str">
        <f>IF(TableRelationships12[[#This Row],[Rank Pedro]]="Low","linkCategory1",IF(TableRelationships12[[#This Row],[Rank Pedro]]="Medium","linkCategory2",IF(TableRelationships12[[#This Row],[Rank Pedro]]="High","linkCategory3","")))</f>
        <v/>
      </c>
      <c r="U1947" s="102" t="str">
        <f>IF(TableRelationships12[[#This Row],[Rank Pedro]]="Low","Pink",IF(TableRelationships12[[#This Row],[Rank Pedro]]="Medium","Purple",IF(TableRelationships12[[#This Row],[Rank Pedro]]="High","Brown","")))</f>
        <v/>
      </c>
      <c r="V1947" s="4" t="e">
        <f>MAX(INDEX(Standards!$F$2:$F$296,MATCH(B1947,Standards!$B$2:$B$296,0)),INDEX(Standards!$F$2:$F$296,MATCH(C1947,Standards!$B$2:$B$296,0)))</f>
        <v>#N/A</v>
      </c>
      <c r="W1947" t="str">
        <f t="shared" si="92"/>
        <v>#d6bf2a</v>
      </c>
    </row>
    <row r="1948" spans="1:23" x14ac:dyDescent="0.5">
      <c r="A1948" s="54">
        <v>1947</v>
      </c>
      <c r="B1948" s="90" t="s">
        <v>646</v>
      </c>
      <c r="C1948" t="s">
        <v>300</v>
      </c>
      <c r="D1948" s="1"/>
      <c r="E1948" s="112">
        <v>2000.12</v>
      </c>
      <c r="F1948" s="112">
        <v>2022.07</v>
      </c>
      <c r="G1948" s="107" t="s">
        <v>670</v>
      </c>
      <c r="H1948">
        <f>INDEX('GIS-Standards'!$A$2:$A$305,MATCH(B1948,'GIS-Standards'!$B$2:$B$305,0))</f>
        <v>89</v>
      </c>
      <c r="I1948">
        <f>INDEX('GIS-Standards'!$A$2:$A$305,MATCH(C1948,'GIS-Standards'!$B$2:$B$305,0))</f>
        <v>14</v>
      </c>
      <c r="J1948" t="str">
        <f>INDEX('GIS-Standards'!$O$2:$O$305,MATCH(B1948,'GIS-Standards'!$B$2:$B$305,0))</f>
        <v>ISO/TC 211</v>
      </c>
      <c r="K1948" t="str">
        <f>INDEX('GIS-Standards'!$O$2:$O$305,MATCH(C1948,'GIS-Standards'!$B$2:$B$305,0))</f>
        <v>ISO/TC 211</v>
      </c>
      <c r="M1948" t="s">
        <v>524</v>
      </c>
      <c r="N1948">
        <f>INDEX('GIS-Standards'!$I$2:$I$305,MATCH(B1948,'GIS-Standards'!$B$2:$B$305,0))</f>
        <v>0</v>
      </c>
      <c r="O1948">
        <f>INDEX('GIS-Standards'!$I$2:$I$305,MATCH(C1948,'GIS-Standards'!$B$2:$B$305,0))</f>
        <v>0</v>
      </c>
      <c r="P1948" t="b">
        <f>AND(TableRelationships12[[#This Row],[Source Type]]="BIM",TableRelationships12[[#This Row],[Target Type]]="BIM")</f>
        <v>0</v>
      </c>
      <c r="Q1948">
        <f t="shared" si="90"/>
        <v>6</v>
      </c>
      <c r="S1948">
        <f t="shared" si="91"/>
        <v>1</v>
      </c>
      <c r="T1948" s="102" t="str">
        <f>IF(TableRelationships12[[#This Row],[Rank Pedro]]="Low","linkCategory1",IF(TableRelationships12[[#This Row],[Rank Pedro]]="Medium","linkCategory2",IF(TableRelationships12[[#This Row],[Rank Pedro]]="High","linkCategory3","")))</f>
        <v/>
      </c>
      <c r="U1948" s="102" t="str">
        <f>IF(TableRelationships12[[#This Row],[Rank Pedro]]="Low","Pink",IF(TableRelationships12[[#This Row],[Rank Pedro]]="Medium","Purple",IF(TableRelationships12[[#This Row],[Rank Pedro]]="High","Brown","")))</f>
        <v/>
      </c>
      <c r="V1948" s="4" t="e">
        <f>MAX(INDEX(Standards!$F$2:$F$296,MATCH(B1948,Standards!$B$2:$B$296,0)),INDEX(Standards!$F$2:$F$296,MATCH(C1948,Standards!$B$2:$B$296,0)))</f>
        <v>#N/A</v>
      </c>
      <c r="W1948" t="str">
        <f t="shared" si="92"/>
        <v>#d6bf2a</v>
      </c>
    </row>
    <row r="1949" spans="1:23" x14ac:dyDescent="0.5">
      <c r="A1949" s="54">
        <v>1948</v>
      </c>
      <c r="B1949" s="90" t="s">
        <v>646</v>
      </c>
      <c r="C1949" t="s">
        <v>1040</v>
      </c>
      <c r="D1949" s="1"/>
      <c r="E1949" s="112">
        <v>2004.07</v>
      </c>
      <c r="F1949" s="112">
        <v>2004.07</v>
      </c>
      <c r="G1949" s="107" t="s">
        <v>670</v>
      </c>
      <c r="H1949">
        <f>INDEX('GIS-Standards'!$A$2:$A$305,MATCH(B1949,'GIS-Standards'!$B$2:$B$305,0))</f>
        <v>89</v>
      </c>
      <c r="I1949">
        <f>INDEX('GIS-Standards'!$A$2:$A$305,MATCH(C1949,'GIS-Standards'!$B$2:$B$305,0))</f>
        <v>15</v>
      </c>
      <c r="J1949" t="str">
        <f>INDEX('GIS-Standards'!$O$2:$O$305,MATCH(B1949,'GIS-Standards'!$B$2:$B$305,0))</f>
        <v>ISO/TC 211</v>
      </c>
      <c r="K1949" t="str">
        <f>INDEX('GIS-Standards'!$O$2:$O$305,MATCH(C1949,'GIS-Standards'!$B$2:$B$305,0))</f>
        <v>ISO/TC 211</v>
      </c>
      <c r="M1949" t="s">
        <v>524</v>
      </c>
      <c r="N1949">
        <f>INDEX('GIS-Standards'!$I$2:$I$305,MATCH(B1949,'GIS-Standards'!$B$2:$B$305,0))</f>
        <v>0</v>
      </c>
      <c r="O1949">
        <f>INDEX('GIS-Standards'!$I$2:$I$305,MATCH(C1949,'GIS-Standards'!$B$2:$B$305,0))</f>
        <v>0</v>
      </c>
      <c r="P1949" t="b">
        <f>AND(TableRelationships12[[#This Row],[Source Type]]="BIM",TableRelationships12[[#This Row],[Target Type]]="BIM")</f>
        <v>0</v>
      </c>
      <c r="Q1949">
        <f t="shared" si="90"/>
        <v>6</v>
      </c>
      <c r="S1949">
        <f t="shared" si="91"/>
        <v>1</v>
      </c>
      <c r="T1949" s="102" t="str">
        <f>IF(TableRelationships12[[#This Row],[Rank Pedro]]="Low","linkCategory1",IF(TableRelationships12[[#This Row],[Rank Pedro]]="Medium","linkCategory2",IF(TableRelationships12[[#This Row],[Rank Pedro]]="High","linkCategory3","")))</f>
        <v/>
      </c>
      <c r="U1949" s="102" t="str">
        <f>IF(TableRelationships12[[#This Row],[Rank Pedro]]="Low","Pink",IF(TableRelationships12[[#This Row],[Rank Pedro]]="Medium","Purple",IF(TableRelationships12[[#This Row],[Rank Pedro]]="High","Brown","")))</f>
        <v/>
      </c>
      <c r="V1949" s="4" t="e">
        <f>MAX(INDEX(Standards!$F$2:$F$296,MATCH(B1949,Standards!$B$2:$B$296,0)),INDEX(Standards!$F$2:$F$296,MATCH(C1949,Standards!$B$2:$B$296,0)))</f>
        <v>#N/A</v>
      </c>
      <c r="W1949" t="str">
        <f t="shared" si="92"/>
        <v>#d6bf2a</v>
      </c>
    </row>
    <row r="1950" spans="1:23" x14ac:dyDescent="0.5">
      <c r="A1950" s="54">
        <v>1949</v>
      </c>
      <c r="B1950" s="90" t="s">
        <v>646</v>
      </c>
      <c r="C1950" t="s">
        <v>302</v>
      </c>
      <c r="D1950" s="1"/>
      <c r="E1950" s="112">
        <v>2003.05</v>
      </c>
      <c r="F1950" s="112">
        <v>2019.12</v>
      </c>
      <c r="G1950" s="107" t="s">
        <v>670</v>
      </c>
      <c r="H1950">
        <f>INDEX('GIS-Standards'!$A$2:$A$305,MATCH(B1950,'GIS-Standards'!$B$2:$B$305,0))</f>
        <v>89</v>
      </c>
      <c r="I1950">
        <f>INDEX('GIS-Standards'!$A$2:$A$305,MATCH(C1950,'GIS-Standards'!$B$2:$B$305,0))</f>
        <v>16</v>
      </c>
      <c r="J1950" t="str">
        <f>INDEX('GIS-Standards'!$O$2:$O$305,MATCH(B1950,'GIS-Standards'!$B$2:$B$305,0))</f>
        <v>ISO/TC 211</v>
      </c>
      <c r="K1950" t="str">
        <f>INDEX('GIS-Standards'!$O$2:$O$305,MATCH(C1950,'GIS-Standards'!$B$2:$B$305,0))</f>
        <v>ISO/TC 211</v>
      </c>
      <c r="M1950" t="s">
        <v>524</v>
      </c>
      <c r="N1950">
        <f>INDEX('GIS-Standards'!$I$2:$I$305,MATCH(B1950,'GIS-Standards'!$B$2:$B$305,0))</f>
        <v>0</v>
      </c>
      <c r="O1950">
        <f>INDEX('GIS-Standards'!$I$2:$I$305,MATCH(C1950,'GIS-Standards'!$B$2:$B$305,0))</f>
        <v>0</v>
      </c>
      <c r="P1950" t="b">
        <f>AND(TableRelationships12[[#This Row],[Source Type]]="BIM",TableRelationships12[[#This Row],[Target Type]]="BIM")</f>
        <v>0</v>
      </c>
      <c r="Q1950">
        <f t="shared" si="90"/>
        <v>6</v>
      </c>
      <c r="S1950">
        <f t="shared" si="91"/>
        <v>1</v>
      </c>
      <c r="T1950" s="102" t="str">
        <f>IF(TableRelationships12[[#This Row],[Rank Pedro]]="Low","linkCategory1",IF(TableRelationships12[[#This Row],[Rank Pedro]]="Medium","linkCategory2",IF(TableRelationships12[[#This Row],[Rank Pedro]]="High","linkCategory3","")))</f>
        <v/>
      </c>
      <c r="U1950" s="102" t="str">
        <f>IF(TableRelationships12[[#This Row],[Rank Pedro]]="Low","Pink",IF(TableRelationships12[[#This Row],[Rank Pedro]]="Medium","Purple",IF(TableRelationships12[[#This Row],[Rank Pedro]]="High","Brown","")))</f>
        <v/>
      </c>
      <c r="V1950" s="4" t="e">
        <f>MAX(INDEX(Standards!$F$2:$F$296,MATCH(B1950,Standards!$B$2:$B$296,0)),INDEX(Standards!$F$2:$F$296,MATCH(C1950,Standards!$B$2:$B$296,0)))</f>
        <v>#N/A</v>
      </c>
      <c r="W1950" t="str">
        <f t="shared" si="92"/>
        <v>#d6bf2a</v>
      </c>
    </row>
    <row r="1951" spans="1:23" x14ac:dyDescent="0.5">
      <c r="A1951" s="54">
        <v>1950</v>
      </c>
      <c r="B1951" s="90" t="s">
        <v>646</v>
      </c>
      <c r="C1951" t="s">
        <v>304</v>
      </c>
      <c r="D1951" s="1"/>
      <c r="E1951" s="112">
        <v>2002.09</v>
      </c>
      <c r="F1951" s="112">
        <v>2006.1</v>
      </c>
      <c r="G1951" s="107" t="s">
        <v>670</v>
      </c>
      <c r="H1951">
        <f>INDEX('GIS-Standards'!$A$2:$A$305,MATCH(B1951,'GIS-Standards'!$B$2:$B$305,0))</f>
        <v>89</v>
      </c>
      <c r="I1951">
        <f>INDEX('GIS-Standards'!$A$2:$A$305,MATCH(C1951,'GIS-Standards'!$B$2:$B$305,0))</f>
        <v>17</v>
      </c>
      <c r="J1951" t="str">
        <f>INDEX('GIS-Standards'!$O$2:$O$305,MATCH(B1951,'GIS-Standards'!$B$2:$B$305,0))</f>
        <v>ISO/TC 211</v>
      </c>
      <c r="K1951" t="str">
        <f>INDEX('GIS-Standards'!$O$2:$O$305,MATCH(C1951,'GIS-Standards'!$B$2:$B$305,0))</f>
        <v>ISO/TC 211</v>
      </c>
      <c r="M1951" t="s">
        <v>524</v>
      </c>
      <c r="N1951">
        <f>INDEX('GIS-Standards'!$I$2:$I$305,MATCH(B1951,'GIS-Standards'!$B$2:$B$305,0))</f>
        <v>0</v>
      </c>
      <c r="O1951" t="str">
        <f>INDEX('GIS-Standards'!$I$2:$I$305,MATCH(C1951,'GIS-Standards'!$B$2:$B$305,0))</f>
        <v>06.2008</v>
      </c>
      <c r="P1951" t="b">
        <f>AND(TableRelationships12[[#This Row],[Source Type]]="BIM",TableRelationships12[[#This Row],[Target Type]]="BIM")</f>
        <v>0</v>
      </c>
      <c r="Q1951">
        <f t="shared" si="90"/>
        <v>6</v>
      </c>
      <c r="S1951">
        <f t="shared" si="91"/>
        <v>1</v>
      </c>
      <c r="T1951" s="102" t="str">
        <f>IF(TableRelationships12[[#This Row],[Rank Pedro]]="Low","linkCategory1",IF(TableRelationships12[[#This Row],[Rank Pedro]]="Medium","linkCategory2",IF(TableRelationships12[[#This Row],[Rank Pedro]]="High","linkCategory3","")))</f>
        <v/>
      </c>
      <c r="U1951" s="102" t="str">
        <f>IF(TableRelationships12[[#This Row],[Rank Pedro]]="Low","Pink",IF(TableRelationships12[[#This Row],[Rank Pedro]]="Medium","Purple",IF(TableRelationships12[[#This Row],[Rank Pedro]]="High","Brown","")))</f>
        <v/>
      </c>
      <c r="V1951" s="4" t="e">
        <f>MAX(INDEX(Standards!$F$2:$F$296,MATCH(B1951,Standards!$B$2:$B$296,0)),INDEX(Standards!$F$2:$F$296,MATCH(C1951,Standards!$B$2:$B$296,0)))</f>
        <v>#N/A</v>
      </c>
      <c r="W1951" t="str">
        <f t="shared" si="92"/>
        <v>#d6bf2a</v>
      </c>
    </row>
    <row r="1952" spans="1:23" x14ac:dyDescent="0.5">
      <c r="A1952" s="54">
        <v>1951</v>
      </c>
      <c r="B1952" s="90" t="s">
        <v>646</v>
      </c>
      <c r="C1952" t="s">
        <v>306</v>
      </c>
      <c r="D1952" s="1"/>
      <c r="E1952" s="112">
        <v>2005.06</v>
      </c>
      <c r="F1952" s="112">
        <v>2025.07</v>
      </c>
      <c r="G1952" s="107" t="s">
        <v>670</v>
      </c>
      <c r="H1952">
        <f>INDEX('GIS-Standards'!$A$2:$A$305,MATCH(B1952,'GIS-Standards'!$B$2:$B$305,0))</f>
        <v>89</v>
      </c>
      <c r="I1952">
        <f>INDEX('GIS-Standards'!$A$2:$A$305,MATCH(C1952,'GIS-Standards'!$B$2:$B$305,0))</f>
        <v>18</v>
      </c>
      <c r="J1952" t="str">
        <f>INDEX('GIS-Standards'!$O$2:$O$305,MATCH(B1952,'GIS-Standards'!$B$2:$B$305,0))</f>
        <v>ISO/TC 211</v>
      </c>
      <c r="K1952" t="str">
        <f>INDEX('GIS-Standards'!$O$2:$O$305,MATCH(C1952,'GIS-Standards'!$B$2:$B$305,0))</f>
        <v>ISO/TC 211</v>
      </c>
      <c r="M1952" t="s">
        <v>524</v>
      </c>
      <c r="N1952">
        <f>INDEX('GIS-Standards'!$I$2:$I$305,MATCH(B1952,'GIS-Standards'!$B$2:$B$305,0))</f>
        <v>0</v>
      </c>
      <c r="O1952">
        <f>INDEX('GIS-Standards'!$I$2:$I$305,MATCH(C1952,'GIS-Standards'!$B$2:$B$305,0))</f>
        <v>0</v>
      </c>
      <c r="P1952" t="b">
        <f>AND(TableRelationships12[[#This Row],[Source Type]]="BIM",TableRelationships12[[#This Row],[Target Type]]="BIM")</f>
        <v>0</v>
      </c>
      <c r="Q1952">
        <f t="shared" si="90"/>
        <v>6</v>
      </c>
      <c r="S1952">
        <f t="shared" si="91"/>
        <v>1</v>
      </c>
      <c r="T1952" s="102" t="str">
        <f>IF(TableRelationships12[[#This Row],[Rank Pedro]]="Low","linkCategory1",IF(TableRelationships12[[#This Row],[Rank Pedro]]="Medium","linkCategory2",IF(TableRelationships12[[#This Row],[Rank Pedro]]="High","linkCategory3","")))</f>
        <v/>
      </c>
      <c r="U1952" s="102" t="str">
        <f>IF(TableRelationships12[[#This Row],[Rank Pedro]]="Low","Pink",IF(TableRelationships12[[#This Row],[Rank Pedro]]="Medium","Purple",IF(TableRelationships12[[#This Row],[Rank Pedro]]="High","Brown","")))</f>
        <v/>
      </c>
      <c r="V1952" s="4" t="e">
        <f>MAX(INDEX(Standards!$F$2:$F$296,MATCH(B1952,Standards!$B$2:$B$296,0)),INDEX(Standards!$F$2:$F$296,MATCH(C1952,Standards!$B$2:$B$296,0)))</f>
        <v>#N/A</v>
      </c>
      <c r="W1952" t="str">
        <f t="shared" si="92"/>
        <v>#d6bf2a</v>
      </c>
    </row>
    <row r="1953" spans="1:23" x14ac:dyDescent="0.5">
      <c r="A1953" s="54">
        <v>1952</v>
      </c>
      <c r="B1953" s="90" t="s">
        <v>646</v>
      </c>
      <c r="C1953" t="s">
        <v>308</v>
      </c>
      <c r="D1953" s="1"/>
      <c r="E1953" s="112">
        <v>2005.02</v>
      </c>
      <c r="F1953" s="112">
        <v>2016.12</v>
      </c>
      <c r="G1953" s="107" t="s">
        <v>670</v>
      </c>
      <c r="H1953">
        <f>INDEX('GIS-Standards'!$A$2:$A$305,MATCH(B1953,'GIS-Standards'!$B$2:$B$305,0))</f>
        <v>89</v>
      </c>
      <c r="I1953">
        <f>INDEX('GIS-Standards'!$A$2:$A$305,MATCH(C1953,'GIS-Standards'!$B$2:$B$305,0))</f>
        <v>19</v>
      </c>
      <c r="J1953" t="str">
        <f>INDEX('GIS-Standards'!$O$2:$O$305,MATCH(B1953,'GIS-Standards'!$B$2:$B$305,0))</f>
        <v>ISO/TC 211</v>
      </c>
      <c r="K1953" t="str">
        <f>INDEX('GIS-Standards'!$O$2:$O$305,MATCH(C1953,'GIS-Standards'!$B$2:$B$305,0))</f>
        <v>ISO/TC 211</v>
      </c>
      <c r="M1953" t="s">
        <v>524</v>
      </c>
      <c r="N1953">
        <f>INDEX('GIS-Standards'!$I$2:$I$305,MATCH(B1953,'GIS-Standards'!$B$2:$B$305,0))</f>
        <v>0</v>
      </c>
      <c r="O1953">
        <f>INDEX('GIS-Standards'!$I$2:$I$305,MATCH(C1953,'GIS-Standards'!$B$2:$B$305,0))</f>
        <v>0</v>
      </c>
      <c r="P1953" t="b">
        <f>AND(TableRelationships12[[#This Row],[Source Type]]="BIM",TableRelationships12[[#This Row],[Target Type]]="BIM")</f>
        <v>0</v>
      </c>
      <c r="Q1953">
        <f t="shared" si="90"/>
        <v>6</v>
      </c>
      <c r="S1953">
        <f t="shared" si="91"/>
        <v>1</v>
      </c>
      <c r="T1953" s="102" t="str">
        <f>IF(TableRelationships12[[#This Row],[Rank Pedro]]="Low","linkCategory1",IF(TableRelationships12[[#This Row],[Rank Pedro]]="Medium","linkCategory2",IF(TableRelationships12[[#This Row],[Rank Pedro]]="High","linkCategory3","")))</f>
        <v/>
      </c>
      <c r="U1953" s="102" t="str">
        <f>IF(TableRelationships12[[#This Row],[Rank Pedro]]="Low","Pink",IF(TableRelationships12[[#This Row],[Rank Pedro]]="Medium","Purple",IF(TableRelationships12[[#This Row],[Rank Pedro]]="High","Brown","")))</f>
        <v/>
      </c>
      <c r="V1953" s="4" t="e">
        <f>MAX(INDEX(Standards!$F$2:$F$296,MATCH(B1953,Standards!$B$2:$B$296,0)),INDEX(Standards!$F$2:$F$296,MATCH(C1953,Standards!$B$2:$B$296,0)))</f>
        <v>#N/A</v>
      </c>
      <c r="W1953" t="str">
        <f t="shared" si="92"/>
        <v>#d6bf2a</v>
      </c>
    </row>
    <row r="1954" spans="1:23" x14ac:dyDescent="0.5">
      <c r="A1954" s="54">
        <v>1953</v>
      </c>
      <c r="B1954" s="90" t="s">
        <v>646</v>
      </c>
      <c r="C1954" t="s">
        <v>310</v>
      </c>
      <c r="D1954" s="1"/>
      <c r="E1954" s="112">
        <v>2003.02</v>
      </c>
      <c r="F1954" s="112">
        <v>2023.08</v>
      </c>
      <c r="G1954" s="107" t="s">
        <v>670</v>
      </c>
      <c r="H1954">
        <f>INDEX('GIS-Standards'!$A$2:$A$305,MATCH(B1954,'GIS-Standards'!$B$2:$B$305,0))</f>
        <v>89</v>
      </c>
      <c r="I1954">
        <f>INDEX('GIS-Standards'!$A$2:$A$305,MATCH(C1954,'GIS-Standards'!$B$2:$B$305,0))</f>
        <v>20</v>
      </c>
      <c r="J1954" t="str">
        <f>INDEX('GIS-Standards'!$O$2:$O$305,MATCH(B1954,'GIS-Standards'!$B$2:$B$305,0))</f>
        <v>ISO/TC 211</v>
      </c>
      <c r="K1954" t="str">
        <f>INDEX('GIS-Standards'!$O$2:$O$305,MATCH(C1954,'GIS-Standards'!$B$2:$B$305,0))</f>
        <v>ISO/TC 211</v>
      </c>
      <c r="M1954" t="s">
        <v>524</v>
      </c>
      <c r="N1954">
        <f>INDEX('GIS-Standards'!$I$2:$I$305,MATCH(B1954,'GIS-Standards'!$B$2:$B$305,0))</f>
        <v>0</v>
      </c>
      <c r="O1954" t="str">
        <f>INDEX('GIS-Standards'!$I$2:$I$305,MATCH(C1954,'GIS-Standards'!$B$2:$B$305,0))</f>
        <v>08.2023</v>
      </c>
      <c r="P1954" t="b">
        <f>AND(TableRelationships12[[#This Row],[Source Type]]="BIM",TableRelationships12[[#This Row],[Target Type]]="BIM")</f>
        <v>0</v>
      </c>
      <c r="Q1954">
        <f t="shared" si="90"/>
        <v>6</v>
      </c>
      <c r="S1954">
        <f t="shared" si="91"/>
        <v>1</v>
      </c>
      <c r="T1954" s="102" t="str">
        <f>IF(TableRelationships12[[#This Row],[Rank Pedro]]="Low","linkCategory1",IF(TableRelationships12[[#This Row],[Rank Pedro]]="Medium","linkCategory2",IF(TableRelationships12[[#This Row],[Rank Pedro]]="High","linkCategory3","")))</f>
        <v/>
      </c>
      <c r="U1954" s="102" t="str">
        <f>IF(TableRelationships12[[#This Row],[Rank Pedro]]="Low","Pink",IF(TableRelationships12[[#This Row],[Rank Pedro]]="Medium","Purple",IF(TableRelationships12[[#This Row],[Rank Pedro]]="High","Brown","")))</f>
        <v/>
      </c>
      <c r="V1954" s="4" t="e">
        <f>MAX(INDEX(Standards!$F$2:$F$296,MATCH(B1954,Standards!$B$2:$B$296,0)),INDEX(Standards!$F$2:$F$296,MATCH(C1954,Standards!$B$2:$B$296,0)))</f>
        <v>#N/A</v>
      </c>
      <c r="W1954" t="str">
        <f t="shared" si="92"/>
        <v>#d6bf2a</v>
      </c>
    </row>
    <row r="1955" spans="1:23" x14ac:dyDescent="0.5">
      <c r="A1955" s="54">
        <v>1954</v>
      </c>
      <c r="B1955" s="90" t="s">
        <v>646</v>
      </c>
      <c r="C1955" t="s">
        <v>312</v>
      </c>
      <c r="D1955" s="1"/>
      <c r="E1955" s="112">
        <v>2003.1</v>
      </c>
      <c r="F1955" s="112">
        <v>2019.02</v>
      </c>
      <c r="G1955" s="107" t="s">
        <v>670</v>
      </c>
      <c r="H1955">
        <f>INDEX('GIS-Standards'!$A$2:$A$305,MATCH(B1955,'GIS-Standards'!$B$2:$B$305,0))</f>
        <v>89</v>
      </c>
      <c r="I1955">
        <f>INDEX('GIS-Standards'!$A$2:$A$305,MATCH(C1955,'GIS-Standards'!$B$2:$B$305,0))</f>
        <v>21</v>
      </c>
      <c r="J1955" t="str">
        <f>INDEX('GIS-Standards'!$O$2:$O$305,MATCH(B1955,'GIS-Standards'!$B$2:$B$305,0))</f>
        <v>ISO/TC 211</v>
      </c>
      <c r="K1955" t="str">
        <f>INDEX('GIS-Standards'!$O$2:$O$305,MATCH(C1955,'GIS-Standards'!$B$2:$B$305,0))</f>
        <v>ISO/TC 211</v>
      </c>
      <c r="M1955" t="s">
        <v>524</v>
      </c>
      <c r="N1955">
        <f>INDEX('GIS-Standards'!$I$2:$I$305,MATCH(B1955,'GIS-Standards'!$B$2:$B$305,0))</f>
        <v>0</v>
      </c>
      <c r="O1955">
        <f>INDEX('GIS-Standards'!$I$2:$I$305,MATCH(C1955,'GIS-Standards'!$B$2:$B$305,0))</f>
        <v>0</v>
      </c>
      <c r="P1955" t="b">
        <f>AND(TableRelationships12[[#This Row],[Source Type]]="BIM",TableRelationships12[[#This Row],[Target Type]]="BIM")</f>
        <v>0</v>
      </c>
      <c r="Q1955">
        <f t="shared" si="90"/>
        <v>6</v>
      </c>
      <c r="S1955">
        <f t="shared" si="91"/>
        <v>1</v>
      </c>
      <c r="T1955" s="102" t="str">
        <f>IF(TableRelationships12[[#This Row],[Rank Pedro]]="Low","linkCategory1",IF(TableRelationships12[[#This Row],[Rank Pedro]]="Medium","linkCategory2",IF(TableRelationships12[[#This Row],[Rank Pedro]]="High","linkCategory3","")))</f>
        <v/>
      </c>
      <c r="U1955" s="102" t="str">
        <f>IF(TableRelationships12[[#This Row],[Rank Pedro]]="Low","Pink",IF(TableRelationships12[[#This Row],[Rank Pedro]]="Medium","Purple",IF(TableRelationships12[[#This Row],[Rank Pedro]]="High","Brown","")))</f>
        <v/>
      </c>
      <c r="V1955" s="4" t="e">
        <f>MAX(INDEX(Standards!$F$2:$F$296,MATCH(B1955,Standards!$B$2:$B$296,0)),INDEX(Standards!$F$2:$F$296,MATCH(C1955,Standards!$B$2:$B$296,0)))</f>
        <v>#N/A</v>
      </c>
      <c r="W1955" t="str">
        <f t="shared" si="92"/>
        <v>#d6bf2a</v>
      </c>
    </row>
    <row r="1956" spans="1:23" x14ac:dyDescent="0.5">
      <c r="A1956" s="54">
        <v>1955</v>
      </c>
      <c r="B1956" s="90" t="s">
        <v>646</v>
      </c>
      <c r="C1956" t="s">
        <v>348</v>
      </c>
      <c r="D1956" s="1" t="s">
        <v>1151</v>
      </c>
      <c r="E1956" s="113">
        <v>2013.12</v>
      </c>
      <c r="F1956" s="113">
        <v>2023.04</v>
      </c>
      <c r="G1956" s="107" t="s">
        <v>670</v>
      </c>
      <c r="H1956">
        <f>INDEX('GIS-Standards'!$A$2:$A$305,MATCH(B1956,'GIS-Standards'!$B$2:$B$305,0))</f>
        <v>89</v>
      </c>
      <c r="I1956">
        <f>INDEX('GIS-Standards'!$A$2:$A$305,MATCH(C1956,'GIS-Standards'!$B$2:$B$305,0))</f>
        <v>66</v>
      </c>
      <c r="J1956" t="str">
        <f>INDEX('GIS-Standards'!$O$2:$O$305,MATCH(B1956,'GIS-Standards'!$B$2:$B$305,0))</f>
        <v>ISO/TC 211</v>
      </c>
      <c r="K1956" t="str">
        <f>INDEX('GIS-Standards'!$O$2:$O$305,MATCH(C1956,'GIS-Standards'!$B$2:$B$305,0))</f>
        <v>ISO/TC 211</v>
      </c>
      <c r="M1956" t="s">
        <v>524</v>
      </c>
      <c r="N1956">
        <f>INDEX('GIS-Standards'!$I$2:$I$305,MATCH(B1956,'GIS-Standards'!$B$2:$B$305,0))</f>
        <v>0</v>
      </c>
      <c r="O1956">
        <f>INDEX('GIS-Standards'!$I$2:$I$305,MATCH(C1956,'GIS-Standards'!$B$2:$B$305,0))</f>
        <v>0</v>
      </c>
      <c r="P1956" t="b">
        <f>AND(TableRelationships12[[#This Row],[Source Type]]="BIM",TableRelationships12[[#This Row],[Target Type]]="BIM")</f>
        <v>0</v>
      </c>
      <c r="Q1956">
        <f t="shared" si="90"/>
        <v>6</v>
      </c>
      <c r="S1956">
        <f t="shared" si="91"/>
        <v>1</v>
      </c>
      <c r="T1956" s="102" t="str">
        <f>IF(TableRelationships12[[#This Row],[Rank Pedro]]="Low","linkCategory1",IF(TableRelationships12[[#This Row],[Rank Pedro]]="Medium","linkCategory2",IF(TableRelationships12[[#This Row],[Rank Pedro]]="High","linkCategory3","")))</f>
        <v/>
      </c>
      <c r="U1956" s="102" t="str">
        <f>IF(TableRelationships12[[#This Row],[Rank Pedro]]="Low","Pink",IF(TableRelationships12[[#This Row],[Rank Pedro]]="Medium","Purple",IF(TableRelationships12[[#This Row],[Rank Pedro]]="High","Brown","")))</f>
        <v/>
      </c>
      <c r="V1956" s="4" t="e">
        <f>MAX(INDEX(Standards!$F$2:$F$296,MATCH(B1956,Standards!$B$2:$B$296,0)),INDEX(Standards!$F$2:$F$296,MATCH(C1956,Standards!$B$2:$B$296,0)))</f>
        <v>#N/A</v>
      </c>
      <c r="W1956" t="str">
        <f t="shared" si="92"/>
        <v>#d6bf2a</v>
      </c>
    </row>
    <row r="1957" spans="1:23" x14ac:dyDescent="0.5">
      <c r="A1957" s="54">
        <v>1956</v>
      </c>
      <c r="B1957" s="90" t="s">
        <v>646</v>
      </c>
      <c r="C1957" t="s">
        <v>348</v>
      </c>
      <c r="D1957" s="1" t="s">
        <v>1098</v>
      </c>
      <c r="E1957" s="113">
        <v>2013.12</v>
      </c>
      <c r="F1957" s="113">
        <v>2023.04</v>
      </c>
      <c r="G1957" s="107" t="s">
        <v>670</v>
      </c>
      <c r="H1957">
        <f>INDEX('GIS-Standards'!$A$2:$A$305,MATCH(B1957,'GIS-Standards'!$B$2:$B$305,0))</f>
        <v>89</v>
      </c>
      <c r="I1957">
        <f>INDEX('GIS-Standards'!$A$2:$A$305,MATCH(C1957,'GIS-Standards'!$B$2:$B$305,0))</f>
        <v>66</v>
      </c>
      <c r="J1957" t="str">
        <f>INDEX('GIS-Standards'!$O$2:$O$305,MATCH(B1957,'GIS-Standards'!$B$2:$B$305,0))</f>
        <v>ISO/TC 211</v>
      </c>
      <c r="K1957" t="str">
        <f>INDEX('GIS-Standards'!$O$2:$O$305,MATCH(C1957,'GIS-Standards'!$B$2:$B$305,0))</f>
        <v>ISO/TC 211</v>
      </c>
      <c r="M1957" t="s">
        <v>524</v>
      </c>
      <c r="N1957">
        <f>INDEX('GIS-Standards'!$I$2:$I$305,MATCH(B1957,'GIS-Standards'!$B$2:$B$305,0))</f>
        <v>0</v>
      </c>
      <c r="O1957">
        <f>INDEX('GIS-Standards'!$I$2:$I$305,MATCH(C1957,'GIS-Standards'!$B$2:$B$305,0))</f>
        <v>0</v>
      </c>
      <c r="P1957" t="b">
        <f>AND(TableRelationships12[[#This Row],[Source Type]]="BIM",TableRelationships12[[#This Row],[Target Type]]="BIM")</f>
        <v>0</v>
      </c>
      <c r="Q1957">
        <f t="shared" si="90"/>
        <v>6</v>
      </c>
      <c r="S1957">
        <f t="shared" si="91"/>
        <v>1</v>
      </c>
      <c r="T1957" s="102" t="str">
        <f>IF(TableRelationships12[[#This Row],[Rank Pedro]]="Low","linkCategory1",IF(TableRelationships12[[#This Row],[Rank Pedro]]="Medium","linkCategory2",IF(TableRelationships12[[#This Row],[Rank Pedro]]="High","linkCategory3","")))</f>
        <v/>
      </c>
      <c r="U1957" s="102" t="str">
        <f>IF(TableRelationships12[[#This Row],[Rank Pedro]]="Low","Pink",IF(TableRelationships12[[#This Row],[Rank Pedro]]="Medium","Purple",IF(TableRelationships12[[#This Row],[Rank Pedro]]="High","Brown","")))</f>
        <v/>
      </c>
      <c r="V1957" s="4" t="e">
        <f>MAX(INDEX(Standards!$F$2:$F$296,MATCH(B1957,Standards!$B$2:$B$296,0)),INDEX(Standards!$F$2:$F$296,MATCH(C1957,Standards!$B$2:$B$296,0)))</f>
        <v>#N/A</v>
      </c>
      <c r="W1957" t="str">
        <f t="shared" si="92"/>
        <v>#d6bf2a</v>
      </c>
    </row>
    <row r="1958" spans="1:23" x14ac:dyDescent="0.5">
      <c r="A1958" s="54">
        <v>1957</v>
      </c>
      <c r="B1958" s="90" t="s">
        <v>646</v>
      </c>
      <c r="C1958" t="s">
        <v>314</v>
      </c>
      <c r="D1958" s="1" t="s">
        <v>1099</v>
      </c>
      <c r="E1958" s="112">
        <v>2003.05</v>
      </c>
      <c r="F1958" s="112">
        <v>2020.11</v>
      </c>
      <c r="G1958" s="107" t="s">
        <v>670</v>
      </c>
      <c r="H1958">
        <f>INDEX('GIS-Standards'!$A$2:$A$305,MATCH(B1958,'GIS-Standards'!$B$2:$B$305,0))</f>
        <v>89</v>
      </c>
      <c r="I1958">
        <f>INDEX('GIS-Standards'!$A$2:$A$305,MATCH(C1958,'GIS-Standards'!$B$2:$B$305,0))</f>
        <v>22</v>
      </c>
      <c r="J1958" t="str">
        <f>INDEX('GIS-Standards'!$O$2:$O$305,MATCH(B1958,'GIS-Standards'!$B$2:$B$305,0))</f>
        <v>ISO/TC 211</v>
      </c>
      <c r="K1958" t="str">
        <f>INDEX('GIS-Standards'!$O$2:$O$305,MATCH(C1958,'GIS-Standards'!$B$2:$B$305,0))</f>
        <v>ISO/TC 211</v>
      </c>
      <c r="M1958" t="s">
        <v>524</v>
      </c>
      <c r="N1958">
        <f>INDEX('GIS-Standards'!$I$2:$I$305,MATCH(B1958,'GIS-Standards'!$B$2:$B$305,0))</f>
        <v>0</v>
      </c>
      <c r="O1958" t="str">
        <f>INDEX('GIS-Standards'!$I$2:$I$305,MATCH(C1958,'GIS-Standards'!$B$2:$B$305,0))</f>
        <v>12.2020</v>
      </c>
      <c r="P1958" t="b">
        <f>AND(TableRelationships12[[#This Row],[Source Type]]="BIM",TableRelationships12[[#This Row],[Target Type]]="BIM")</f>
        <v>0</v>
      </c>
      <c r="Q1958">
        <f t="shared" si="90"/>
        <v>6</v>
      </c>
      <c r="S1958">
        <f t="shared" si="91"/>
        <v>1</v>
      </c>
      <c r="T1958" s="102" t="str">
        <f>IF(TableRelationships12[[#This Row],[Rank Pedro]]="Low","linkCategory1",IF(TableRelationships12[[#This Row],[Rank Pedro]]="Medium","linkCategory2",IF(TableRelationships12[[#This Row],[Rank Pedro]]="High","linkCategory3","")))</f>
        <v/>
      </c>
      <c r="U1958" s="102" t="str">
        <f>IF(TableRelationships12[[#This Row],[Rank Pedro]]="Low","Pink",IF(TableRelationships12[[#This Row],[Rank Pedro]]="Medium","Purple",IF(TableRelationships12[[#This Row],[Rank Pedro]]="High","Brown","")))</f>
        <v/>
      </c>
      <c r="V1958" s="4" t="e">
        <f>MAX(INDEX(Standards!$F$2:$F$296,MATCH(B1958,Standards!$B$2:$B$296,0)),INDEX(Standards!$F$2:$F$296,MATCH(C1958,Standards!$B$2:$B$296,0)))</f>
        <v>#N/A</v>
      </c>
      <c r="W1958" t="str">
        <f t="shared" si="92"/>
        <v>#d6bf2a</v>
      </c>
    </row>
    <row r="1959" spans="1:23" x14ac:dyDescent="0.5">
      <c r="A1959" s="54">
        <v>1958</v>
      </c>
      <c r="B1959" s="90" t="s">
        <v>646</v>
      </c>
      <c r="C1959" t="s">
        <v>1043</v>
      </c>
      <c r="D1959" s="1"/>
      <c r="E1959" s="112">
        <v>2004.07</v>
      </c>
      <c r="F1959" s="112">
        <v>2025.04</v>
      </c>
      <c r="G1959" s="107" t="s">
        <v>670</v>
      </c>
      <c r="H1959">
        <f>INDEX('GIS-Standards'!$A$2:$A$305,MATCH(B1959,'GIS-Standards'!$B$2:$B$305,0))</f>
        <v>89</v>
      </c>
      <c r="I1959">
        <f>INDEX('GIS-Standards'!$A$2:$A$305,MATCH(C1959,'GIS-Standards'!$B$2:$B$305,0))</f>
        <v>25</v>
      </c>
      <c r="J1959" t="str">
        <f>INDEX('GIS-Standards'!$O$2:$O$305,MATCH(B1959,'GIS-Standards'!$B$2:$B$305,0))</f>
        <v>ISO/TC 211</v>
      </c>
      <c r="K1959" t="str">
        <f>INDEX('GIS-Standards'!$O$2:$O$305,MATCH(C1959,'GIS-Standards'!$B$2:$B$305,0))</f>
        <v>ISO/TC 211</v>
      </c>
      <c r="M1959" t="s">
        <v>524</v>
      </c>
      <c r="N1959">
        <f>INDEX('GIS-Standards'!$I$2:$I$305,MATCH(B1959,'GIS-Standards'!$B$2:$B$305,0))</f>
        <v>0</v>
      </c>
      <c r="O1959">
        <f>INDEX('GIS-Standards'!$I$2:$I$305,MATCH(C1959,'GIS-Standards'!$B$2:$B$305,0))</f>
        <v>0</v>
      </c>
      <c r="P1959" t="b">
        <f>AND(TableRelationships12[[#This Row],[Source Type]]="BIM",TableRelationships12[[#This Row],[Target Type]]="BIM")</f>
        <v>0</v>
      </c>
      <c r="Q1959">
        <f t="shared" si="90"/>
        <v>6</v>
      </c>
      <c r="S1959">
        <f t="shared" si="91"/>
        <v>1</v>
      </c>
      <c r="T1959" s="102" t="str">
        <f>IF(TableRelationships12[[#This Row],[Rank Pedro]]="Low","linkCategory1",IF(TableRelationships12[[#This Row],[Rank Pedro]]="Medium","linkCategory2",IF(TableRelationships12[[#This Row],[Rank Pedro]]="High","linkCategory3","")))</f>
        <v/>
      </c>
      <c r="U1959" s="102" t="str">
        <f>IF(TableRelationships12[[#This Row],[Rank Pedro]]="Low","Pink",IF(TableRelationships12[[#This Row],[Rank Pedro]]="Medium","Purple",IF(TableRelationships12[[#This Row],[Rank Pedro]]="High","Brown","")))</f>
        <v/>
      </c>
      <c r="V1959" s="4" t="e">
        <f>MAX(INDEX(Standards!$F$2:$F$296,MATCH(B1959,Standards!$B$2:$B$296,0)),INDEX(Standards!$F$2:$F$296,MATCH(C1959,Standards!$B$2:$B$296,0)))</f>
        <v>#N/A</v>
      </c>
      <c r="W1959" t="str">
        <f t="shared" si="92"/>
        <v>#d6bf2a</v>
      </c>
    </row>
    <row r="1960" spans="1:23" x14ac:dyDescent="0.5">
      <c r="A1960" s="54">
        <v>1959</v>
      </c>
      <c r="B1960" s="90" t="s">
        <v>646</v>
      </c>
      <c r="C1960" t="s">
        <v>1044</v>
      </c>
      <c r="D1960" s="1"/>
      <c r="E1960" s="112">
        <v>2005.06</v>
      </c>
      <c r="F1960" s="112">
        <v>2012.12</v>
      </c>
      <c r="G1960" s="107" t="s">
        <v>670</v>
      </c>
      <c r="H1960">
        <f>INDEX('GIS-Standards'!$A$2:$A$305,MATCH(B1960,'GIS-Standards'!$B$2:$B$305,0))</f>
        <v>89</v>
      </c>
      <c r="I1960">
        <f>INDEX('GIS-Standards'!$A$2:$A$305,MATCH(C1960,'GIS-Standards'!$B$2:$B$305,0))</f>
        <v>26</v>
      </c>
      <c r="J1960" t="str">
        <f>INDEX('GIS-Standards'!$O$2:$O$305,MATCH(B1960,'GIS-Standards'!$B$2:$B$305,0))</f>
        <v>ISO/TC 211</v>
      </c>
      <c r="K1960" t="str">
        <f>INDEX('GIS-Standards'!$O$2:$O$305,MATCH(C1960,'GIS-Standards'!$B$2:$B$305,0))</f>
        <v>ISO/TC 211</v>
      </c>
      <c r="M1960" t="s">
        <v>524</v>
      </c>
      <c r="N1960">
        <f>INDEX('GIS-Standards'!$I$2:$I$305,MATCH(B1960,'GIS-Standards'!$B$2:$B$305,0))</f>
        <v>0</v>
      </c>
      <c r="O1960">
        <f>INDEX('GIS-Standards'!$I$2:$I$305,MATCH(C1960,'GIS-Standards'!$B$2:$B$305,0))</f>
        <v>0</v>
      </c>
      <c r="P1960" t="b">
        <f>AND(TableRelationships12[[#This Row],[Source Type]]="BIM",TableRelationships12[[#This Row],[Target Type]]="BIM")</f>
        <v>0</v>
      </c>
      <c r="Q1960">
        <f t="shared" si="90"/>
        <v>6</v>
      </c>
      <c r="S1960">
        <f t="shared" si="91"/>
        <v>1</v>
      </c>
      <c r="T1960" s="102" t="str">
        <f>IF(TableRelationships12[[#This Row],[Rank Pedro]]="Low","linkCategory1",IF(TableRelationships12[[#This Row],[Rank Pedro]]="Medium","linkCategory2",IF(TableRelationships12[[#This Row],[Rank Pedro]]="High","linkCategory3","")))</f>
        <v/>
      </c>
      <c r="U1960" s="102" t="str">
        <f>IF(TableRelationships12[[#This Row],[Rank Pedro]]="Low","Pink",IF(TableRelationships12[[#This Row],[Rank Pedro]]="Medium","Purple",IF(TableRelationships12[[#This Row],[Rank Pedro]]="High","Brown","")))</f>
        <v/>
      </c>
      <c r="V1960" s="4" t="e">
        <f>MAX(INDEX(Standards!$F$2:$F$296,MATCH(B1960,Standards!$B$2:$B$296,0)),INDEX(Standards!$F$2:$F$296,MATCH(C1960,Standards!$B$2:$B$296,0)))</f>
        <v>#N/A</v>
      </c>
      <c r="W1960" t="str">
        <f t="shared" si="92"/>
        <v>#d6bf2a</v>
      </c>
    </row>
    <row r="1961" spans="1:23" x14ac:dyDescent="0.5">
      <c r="A1961" s="54">
        <v>1960</v>
      </c>
      <c r="B1961" s="90" t="s">
        <v>646</v>
      </c>
      <c r="C1961" t="s">
        <v>316</v>
      </c>
      <c r="D1961" s="1"/>
      <c r="E1961" s="112">
        <v>2005.07</v>
      </c>
      <c r="F1961" s="112">
        <v>2011.1</v>
      </c>
      <c r="G1961" s="107" t="s">
        <v>670</v>
      </c>
      <c r="H1961">
        <f>INDEX('GIS-Standards'!$A$2:$A$305,MATCH(B1961,'GIS-Standards'!$B$2:$B$305,0))</f>
        <v>89</v>
      </c>
      <c r="I1961">
        <f>INDEX('GIS-Standards'!$A$2:$A$305,MATCH(C1961,'GIS-Standards'!$B$2:$B$305,0))</f>
        <v>27</v>
      </c>
      <c r="J1961" t="str">
        <f>INDEX('GIS-Standards'!$O$2:$O$305,MATCH(B1961,'GIS-Standards'!$B$2:$B$305,0))</f>
        <v>ISO/TC 211</v>
      </c>
      <c r="K1961" t="str">
        <f>INDEX('GIS-Standards'!$O$2:$O$305,MATCH(C1961,'GIS-Standards'!$B$2:$B$305,0))</f>
        <v>ISO/TC 211</v>
      </c>
      <c r="M1961" t="s">
        <v>524</v>
      </c>
      <c r="N1961">
        <f>INDEX('GIS-Standards'!$I$2:$I$305,MATCH(B1961,'GIS-Standards'!$B$2:$B$305,0))</f>
        <v>0</v>
      </c>
      <c r="O1961">
        <f>INDEX('GIS-Standards'!$I$2:$I$305,MATCH(C1961,'GIS-Standards'!$B$2:$B$305,0))</f>
        <v>0</v>
      </c>
      <c r="P1961" t="b">
        <f>AND(TableRelationships12[[#This Row],[Source Type]]="BIM",TableRelationships12[[#This Row],[Target Type]]="BIM")</f>
        <v>0</v>
      </c>
      <c r="Q1961">
        <f t="shared" si="90"/>
        <v>6</v>
      </c>
      <c r="S1961">
        <f t="shared" si="91"/>
        <v>1</v>
      </c>
      <c r="T1961" s="102" t="str">
        <f>IF(TableRelationships12[[#This Row],[Rank Pedro]]="Low","linkCategory1",IF(TableRelationships12[[#This Row],[Rank Pedro]]="Medium","linkCategory2",IF(TableRelationships12[[#This Row],[Rank Pedro]]="High","linkCategory3","")))</f>
        <v/>
      </c>
      <c r="U1961" s="102" t="str">
        <f>IF(TableRelationships12[[#This Row],[Rank Pedro]]="Low","Pink",IF(TableRelationships12[[#This Row],[Rank Pedro]]="Medium","Purple",IF(TableRelationships12[[#This Row],[Rank Pedro]]="High","Brown","")))</f>
        <v/>
      </c>
      <c r="V1961" s="4" t="e">
        <f>MAX(INDEX(Standards!$F$2:$F$296,MATCH(B1961,Standards!$B$2:$B$296,0)),INDEX(Standards!$F$2:$F$296,MATCH(C1961,Standards!$B$2:$B$296,0)))</f>
        <v>#N/A</v>
      </c>
      <c r="W1961" t="str">
        <f t="shared" si="92"/>
        <v>#d6bf2a</v>
      </c>
    </row>
    <row r="1962" spans="1:23" x14ac:dyDescent="0.5">
      <c r="A1962" s="54">
        <v>1961</v>
      </c>
      <c r="B1962" s="90" t="s">
        <v>646</v>
      </c>
      <c r="C1962" t="s">
        <v>318</v>
      </c>
      <c r="D1962" s="1"/>
      <c r="E1962" s="112">
        <v>2005.02</v>
      </c>
      <c r="F1962" s="112">
        <v>2016.01</v>
      </c>
      <c r="G1962" s="107" t="s">
        <v>670</v>
      </c>
      <c r="H1962">
        <f>INDEX('GIS-Standards'!$A$2:$A$305,MATCH(B1962,'GIS-Standards'!$B$2:$B$305,0))</f>
        <v>89</v>
      </c>
      <c r="I1962">
        <f>INDEX('GIS-Standards'!$A$2:$A$305,MATCH(C1962,'GIS-Standards'!$B$2:$B$305,0))</f>
        <v>28</v>
      </c>
      <c r="J1962" t="str">
        <f>INDEX('GIS-Standards'!$O$2:$O$305,MATCH(B1962,'GIS-Standards'!$B$2:$B$305,0))</f>
        <v>ISO/TC 211</v>
      </c>
      <c r="K1962" t="str">
        <f>INDEX('GIS-Standards'!$O$2:$O$305,MATCH(C1962,'GIS-Standards'!$B$2:$B$305,0))</f>
        <v>ISO/TC 211</v>
      </c>
      <c r="M1962" t="s">
        <v>524</v>
      </c>
      <c r="N1962">
        <f>INDEX('GIS-Standards'!$I$2:$I$305,MATCH(B1962,'GIS-Standards'!$B$2:$B$305,0))</f>
        <v>0</v>
      </c>
      <c r="O1962">
        <f>INDEX('GIS-Standards'!$I$2:$I$305,MATCH(C1962,'GIS-Standards'!$B$2:$B$305,0))</f>
        <v>0</v>
      </c>
      <c r="P1962" t="b">
        <f>AND(TableRelationships12[[#This Row],[Source Type]]="BIM",TableRelationships12[[#This Row],[Target Type]]="BIM")</f>
        <v>0</v>
      </c>
      <c r="Q1962">
        <f t="shared" si="90"/>
        <v>6</v>
      </c>
      <c r="S1962">
        <f t="shared" si="91"/>
        <v>1</v>
      </c>
      <c r="T1962" s="102" t="str">
        <f>IF(TableRelationships12[[#This Row],[Rank Pedro]]="Low","linkCategory1",IF(TableRelationships12[[#This Row],[Rank Pedro]]="Medium","linkCategory2",IF(TableRelationships12[[#This Row],[Rank Pedro]]="High","linkCategory3","")))</f>
        <v/>
      </c>
      <c r="U1962" s="102" t="str">
        <f>IF(TableRelationships12[[#This Row],[Rank Pedro]]="Low","Pink",IF(TableRelationships12[[#This Row],[Rank Pedro]]="Medium","Purple",IF(TableRelationships12[[#This Row],[Rank Pedro]]="High","Brown","")))</f>
        <v/>
      </c>
      <c r="V1962" s="4" t="e">
        <f>MAX(INDEX(Standards!$F$2:$F$296,MATCH(B1962,Standards!$B$2:$B$296,0)),INDEX(Standards!$F$2:$F$296,MATCH(C1962,Standards!$B$2:$B$296,0)))</f>
        <v>#N/A</v>
      </c>
      <c r="W1962" t="str">
        <f t="shared" si="92"/>
        <v>#d6bf2a</v>
      </c>
    </row>
    <row r="1963" spans="1:23" x14ac:dyDescent="0.5">
      <c r="A1963" s="54">
        <v>1962</v>
      </c>
      <c r="B1963" s="90" t="s">
        <v>646</v>
      </c>
      <c r="C1963" t="s">
        <v>1613</v>
      </c>
      <c r="D1963" s="1"/>
      <c r="E1963" s="112">
        <v>1987.08</v>
      </c>
      <c r="F1963" s="112">
        <v>1999.12</v>
      </c>
      <c r="G1963" s="107" t="s">
        <v>1500</v>
      </c>
      <c r="H1963">
        <f>INDEX('GIS-Standards'!$A$2:$A$305,MATCH(B1963,'GIS-Standards'!$B$2:$B$305,0))</f>
        <v>89</v>
      </c>
      <c r="I1963" t="e">
        <f>INDEX('GIS-Standards'!$A$2:$A$305,MATCH(C1963,'GIS-Standards'!$B$2:$B$305,0))</f>
        <v>#N/A</v>
      </c>
      <c r="J1963" t="str">
        <f>INDEX('GIS-Standards'!$O$2:$O$305,MATCH(B1963,'GIS-Standards'!$B$2:$B$305,0))</f>
        <v>ISO/TC 211</v>
      </c>
      <c r="K1963" t="e">
        <f>INDEX('GIS-Standards'!$O$2:$O$305,MATCH(C1963,'GIS-Standards'!$B$2:$B$305,0))</f>
        <v>#N/A</v>
      </c>
      <c r="M1963" t="s">
        <v>525</v>
      </c>
      <c r="N1963">
        <f>INDEX('GIS-Standards'!$I$2:$I$305,MATCH(B1963,'GIS-Standards'!$B$2:$B$305,0))</f>
        <v>0</v>
      </c>
      <c r="O1963" t="e">
        <f>INDEX('GIS-Standards'!$I$2:$I$305,MATCH(C1963,'GIS-Standards'!$B$2:$B$305,0))</f>
        <v>#N/A</v>
      </c>
      <c r="P1963" t="e">
        <f>AND(TableRelationships12[[#This Row],[Source Type]]="BIM",TableRelationships12[[#This Row],[Target Type]]="BIM")</f>
        <v>#N/A</v>
      </c>
      <c r="Q1963">
        <f t="shared" si="90"/>
        <v>1</v>
      </c>
      <c r="S1963">
        <f t="shared" si="91"/>
        <v>1</v>
      </c>
      <c r="T1963" s="102" t="str">
        <f>IF(TableRelationships12[[#This Row],[Rank Pedro]]="Low","linkCategory1",IF(TableRelationships12[[#This Row],[Rank Pedro]]="Medium","linkCategory2",IF(TableRelationships12[[#This Row],[Rank Pedro]]="High","linkCategory3","")))</f>
        <v/>
      </c>
      <c r="U1963" s="102" t="str">
        <f>IF(TableRelationships12[[#This Row],[Rank Pedro]]="Low","Pink",IF(TableRelationships12[[#This Row],[Rank Pedro]]="Medium","Purple",IF(TableRelationships12[[#This Row],[Rank Pedro]]="High","Brown","")))</f>
        <v/>
      </c>
      <c r="V1963" s="4" t="e">
        <f>MAX(INDEX(Standards!$F$2:$F$296,MATCH(B1963,Standards!$B$2:$B$296,0)),INDEX(Standards!$F$2:$F$296,MATCH(C1963,Standards!$B$2:$B$296,0)))</f>
        <v>#N/A</v>
      </c>
      <c r="W1963" t="str">
        <f t="shared" si="92"/>
        <v>#2f89d1</v>
      </c>
    </row>
    <row r="1964" spans="1:23" x14ac:dyDescent="0.5">
      <c r="A1964" s="54">
        <v>1963</v>
      </c>
      <c r="B1964" s="90" t="s">
        <v>646</v>
      </c>
      <c r="C1964" t="s">
        <v>1614</v>
      </c>
      <c r="D1964" s="1"/>
      <c r="E1964" s="112">
        <v>1987.08</v>
      </c>
      <c r="F1964" s="112">
        <v>1999.12</v>
      </c>
      <c r="G1964" s="107" t="s">
        <v>1500</v>
      </c>
      <c r="H1964">
        <f>INDEX('GIS-Standards'!$A$2:$A$305,MATCH(B1964,'GIS-Standards'!$B$2:$B$305,0))</f>
        <v>89</v>
      </c>
      <c r="I1964" t="e">
        <f>INDEX('GIS-Standards'!$A$2:$A$305,MATCH(C1964,'GIS-Standards'!$B$2:$B$305,0))</f>
        <v>#N/A</v>
      </c>
      <c r="J1964" t="str">
        <f>INDEX('GIS-Standards'!$O$2:$O$305,MATCH(B1964,'GIS-Standards'!$B$2:$B$305,0))</f>
        <v>ISO/TC 211</v>
      </c>
      <c r="K1964" t="e">
        <f>INDEX('GIS-Standards'!$O$2:$O$305,MATCH(C1964,'GIS-Standards'!$B$2:$B$305,0))</f>
        <v>#N/A</v>
      </c>
      <c r="M1964" t="s">
        <v>525</v>
      </c>
      <c r="N1964">
        <f>INDEX('GIS-Standards'!$I$2:$I$305,MATCH(B1964,'GIS-Standards'!$B$2:$B$305,0))</f>
        <v>0</v>
      </c>
      <c r="O1964" t="e">
        <f>INDEX('GIS-Standards'!$I$2:$I$305,MATCH(C1964,'GIS-Standards'!$B$2:$B$305,0))</f>
        <v>#N/A</v>
      </c>
      <c r="P1964" t="e">
        <f>AND(TableRelationships12[[#This Row],[Source Type]]="BIM",TableRelationships12[[#This Row],[Target Type]]="BIM")</f>
        <v>#N/A</v>
      </c>
      <c r="Q1964">
        <f t="shared" si="90"/>
        <v>1</v>
      </c>
      <c r="S1964">
        <f t="shared" si="91"/>
        <v>1</v>
      </c>
      <c r="T1964" s="102" t="str">
        <f>IF(TableRelationships12[[#This Row],[Rank Pedro]]="Low","linkCategory1",IF(TableRelationships12[[#This Row],[Rank Pedro]]="Medium","linkCategory2",IF(TableRelationships12[[#This Row],[Rank Pedro]]="High","linkCategory3","")))</f>
        <v/>
      </c>
      <c r="U1964" s="102" t="str">
        <f>IF(TableRelationships12[[#This Row],[Rank Pedro]]="Low","Pink",IF(TableRelationships12[[#This Row],[Rank Pedro]]="Medium","Purple",IF(TableRelationships12[[#This Row],[Rank Pedro]]="High","Brown","")))</f>
        <v/>
      </c>
      <c r="V1964" s="4" t="e">
        <f>MAX(INDEX(Standards!$F$2:$F$296,MATCH(B1964,Standards!$B$2:$B$296,0)),INDEX(Standards!$F$2:$F$296,MATCH(C1964,Standards!$B$2:$B$296,0)))</f>
        <v>#N/A</v>
      </c>
      <c r="W1964" t="str">
        <f t="shared" si="92"/>
        <v>#2f89d1</v>
      </c>
    </row>
    <row r="1965" spans="1:23" x14ac:dyDescent="0.5">
      <c r="A1965" s="54">
        <v>1964</v>
      </c>
      <c r="B1965" s="90" t="s">
        <v>646</v>
      </c>
      <c r="C1965" t="s">
        <v>1615</v>
      </c>
      <c r="D1965" s="1"/>
      <c r="E1965" s="112">
        <v>1987.08</v>
      </c>
      <c r="F1965" s="112">
        <v>1999.12</v>
      </c>
      <c r="G1965" s="107" t="s">
        <v>1500</v>
      </c>
      <c r="H1965">
        <f>INDEX('GIS-Standards'!$A$2:$A$305,MATCH(B1965,'GIS-Standards'!$B$2:$B$305,0))</f>
        <v>89</v>
      </c>
      <c r="I1965" t="e">
        <f>INDEX('GIS-Standards'!$A$2:$A$305,MATCH(C1965,'GIS-Standards'!$B$2:$B$305,0))</f>
        <v>#N/A</v>
      </c>
      <c r="J1965" t="str">
        <f>INDEX('GIS-Standards'!$O$2:$O$305,MATCH(B1965,'GIS-Standards'!$B$2:$B$305,0))</f>
        <v>ISO/TC 211</v>
      </c>
      <c r="K1965" t="e">
        <f>INDEX('GIS-Standards'!$O$2:$O$305,MATCH(C1965,'GIS-Standards'!$B$2:$B$305,0))</f>
        <v>#N/A</v>
      </c>
      <c r="M1965" t="s">
        <v>525</v>
      </c>
      <c r="N1965">
        <f>INDEX('GIS-Standards'!$I$2:$I$305,MATCH(B1965,'GIS-Standards'!$B$2:$B$305,0))</f>
        <v>0</v>
      </c>
      <c r="O1965" t="e">
        <f>INDEX('GIS-Standards'!$I$2:$I$305,MATCH(C1965,'GIS-Standards'!$B$2:$B$305,0))</f>
        <v>#N/A</v>
      </c>
      <c r="P1965" t="e">
        <f>AND(TableRelationships12[[#This Row],[Source Type]]="BIM",TableRelationships12[[#This Row],[Target Type]]="BIM")</f>
        <v>#N/A</v>
      </c>
      <c r="Q1965">
        <f t="shared" si="90"/>
        <v>1</v>
      </c>
      <c r="S1965">
        <f t="shared" si="91"/>
        <v>1</v>
      </c>
      <c r="T1965" s="102" t="str">
        <f>IF(TableRelationships12[[#This Row],[Rank Pedro]]="Low","linkCategory1",IF(TableRelationships12[[#This Row],[Rank Pedro]]="Medium","linkCategory2",IF(TableRelationships12[[#This Row],[Rank Pedro]]="High","linkCategory3","")))</f>
        <v/>
      </c>
      <c r="U1965" s="102" t="str">
        <f>IF(TableRelationships12[[#This Row],[Rank Pedro]]="Low","Pink",IF(TableRelationships12[[#This Row],[Rank Pedro]]="Medium","Purple",IF(TableRelationships12[[#This Row],[Rank Pedro]]="High","Brown","")))</f>
        <v/>
      </c>
      <c r="V1965" s="4" t="e">
        <f>MAX(INDEX(Standards!$F$2:$F$296,MATCH(B1965,Standards!$B$2:$B$296,0)),INDEX(Standards!$F$2:$F$296,MATCH(C1965,Standards!$B$2:$B$296,0)))</f>
        <v>#N/A</v>
      </c>
      <c r="W1965" t="str">
        <f t="shared" si="92"/>
        <v>#2f89d1</v>
      </c>
    </row>
    <row r="1966" spans="1:23" x14ac:dyDescent="0.5">
      <c r="A1966" s="54">
        <v>1965</v>
      </c>
      <c r="B1966" s="90" t="s">
        <v>646</v>
      </c>
      <c r="C1966" t="s">
        <v>1618</v>
      </c>
      <c r="D1966" s="1"/>
      <c r="E1966" s="112">
        <v>1995.1</v>
      </c>
      <c r="F1966" s="112">
        <v>2021.06</v>
      </c>
      <c r="G1966" s="107" t="s">
        <v>1514</v>
      </c>
      <c r="H1966">
        <f>INDEX('GIS-Standards'!$A$2:$A$305,MATCH(B1966,'GIS-Standards'!$B$2:$B$305,0))</f>
        <v>89</v>
      </c>
      <c r="I1966" t="e">
        <f>INDEX('GIS-Standards'!$A$2:$A$305,MATCH(C1966,'GIS-Standards'!$B$2:$B$305,0))</f>
        <v>#N/A</v>
      </c>
      <c r="J1966" t="str">
        <f>INDEX('GIS-Standards'!$O$2:$O$305,MATCH(B1966,'GIS-Standards'!$B$2:$B$305,0))</f>
        <v>ISO/TC 211</v>
      </c>
      <c r="K1966" t="e">
        <f>INDEX('GIS-Standards'!$O$2:$O$305,MATCH(C1966,'GIS-Standards'!$B$2:$B$305,0))</f>
        <v>#N/A</v>
      </c>
      <c r="M1966" t="s">
        <v>525</v>
      </c>
      <c r="N1966">
        <f>INDEX('GIS-Standards'!$I$2:$I$305,MATCH(B1966,'GIS-Standards'!$B$2:$B$305,0))</f>
        <v>0</v>
      </c>
      <c r="O1966" t="e">
        <f>INDEX('GIS-Standards'!$I$2:$I$305,MATCH(C1966,'GIS-Standards'!$B$2:$B$305,0))</f>
        <v>#N/A</v>
      </c>
      <c r="P1966" t="e">
        <f>AND(TableRelationships12[[#This Row],[Source Type]]="BIM",TableRelationships12[[#This Row],[Target Type]]="BIM")</f>
        <v>#N/A</v>
      </c>
      <c r="Q1966">
        <f t="shared" si="90"/>
        <v>1</v>
      </c>
      <c r="S1966">
        <f t="shared" si="91"/>
        <v>1</v>
      </c>
      <c r="T1966" s="102" t="str">
        <f>IF(TableRelationships12[[#This Row],[Rank Pedro]]="Low","linkCategory1",IF(TableRelationships12[[#This Row],[Rank Pedro]]="Medium","linkCategory2",IF(TableRelationships12[[#This Row],[Rank Pedro]]="High","linkCategory3","")))</f>
        <v/>
      </c>
      <c r="U1966" s="102" t="str">
        <f>IF(TableRelationships12[[#This Row],[Rank Pedro]]="Low","Pink",IF(TableRelationships12[[#This Row],[Rank Pedro]]="Medium","Purple",IF(TableRelationships12[[#This Row],[Rank Pedro]]="High","Brown","")))</f>
        <v/>
      </c>
      <c r="V1966" s="4" t="e">
        <f>MAX(INDEX(Standards!$F$2:$F$296,MATCH(B1966,Standards!$B$2:$B$296,0)),INDEX(Standards!$F$2:$F$296,MATCH(C1966,Standards!$B$2:$B$296,0)))</f>
        <v>#N/A</v>
      </c>
      <c r="W1966" t="str">
        <f t="shared" si="92"/>
        <v>#2f89d1</v>
      </c>
    </row>
    <row r="1967" spans="1:23" x14ac:dyDescent="0.5">
      <c r="A1967" s="54">
        <v>1966</v>
      </c>
      <c r="B1967" s="90" t="s">
        <v>646</v>
      </c>
      <c r="C1967" t="s">
        <v>1619</v>
      </c>
      <c r="D1967" s="1"/>
      <c r="E1967" s="112">
        <v>1995.1</v>
      </c>
      <c r="F1967" s="112">
        <v>2021.06</v>
      </c>
      <c r="G1967" s="107" t="s">
        <v>1514</v>
      </c>
      <c r="H1967">
        <f>INDEX('GIS-Standards'!$A$2:$A$305,MATCH(B1967,'GIS-Standards'!$B$2:$B$305,0))</f>
        <v>89</v>
      </c>
      <c r="I1967" t="e">
        <f>INDEX('GIS-Standards'!$A$2:$A$305,MATCH(C1967,'GIS-Standards'!$B$2:$B$305,0))</f>
        <v>#N/A</v>
      </c>
      <c r="J1967" t="str">
        <f>INDEX('GIS-Standards'!$O$2:$O$305,MATCH(B1967,'GIS-Standards'!$B$2:$B$305,0))</f>
        <v>ISO/TC 211</v>
      </c>
      <c r="K1967" t="e">
        <f>INDEX('GIS-Standards'!$O$2:$O$305,MATCH(C1967,'GIS-Standards'!$B$2:$B$305,0))</f>
        <v>#N/A</v>
      </c>
      <c r="M1967" t="s">
        <v>525</v>
      </c>
      <c r="N1967">
        <f>INDEX('GIS-Standards'!$I$2:$I$305,MATCH(B1967,'GIS-Standards'!$B$2:$B$305,0))</f>
        <v>0</v>
      </c>
      <c r="O1967" t="e">
        <f>INDEX('GIS-Standards'!$I$2:$I$305,MATCH(C1967,'GIS-Standards'!$B$2:$B$305,0))</f>
        <v>#N/A</v>
      </c>
      <c r="P1967" t="e">
        <f>AND(TableRelationships12[[#This Row],[Source Type]]="BIM",TableRelationships12[[#This Row],[Target Type]]="BIM")</f>
        <v>#N/A</v>
      </c>
      <c r="Q1967">
        <f t="shared" si="90"/>
        <v>1</v>
      </c>
      <c r="S1967">
        <f t="shared" si="91"/>
        <v>1</v>
      </c>
      <c r="T1967" s="102" t="str">
        <f>IF(TableRelationships12[[#This Row],[Rank Pedro]]="Low","linkCategory1",IF(TableRelationships12[[#This Row],[Rank Pedro]]="Medium","linkCategory2",IF(TableRelationships12[[#This Row],[Rank Pedro]]="High","linkCategory3","")))</f>
        <v/>
      </c>
      <c r="U1967" s="102" t="str">
        <f>IF(TableRelationships12[[#This Row],[Rank Pedro]]="Low","Pink",IF(TableRelationships12[[#This Row],[Rank Pedro]]="Medium","Purple",IF(TableRelationships12[[#This Row],[Rank Pedro]]="High","Brown","")))</f>
        <v/>
      </c>
      <c r="V1967" s="4" t="e">
        <f>MAX(INDEX(Standards!$F$2:$F$296,MATCH(B1967,Standards!$B$2:$B$296,0)),INDEX(Standards!$F$2:$F$296,MATCH(C1967,Standards!$B$2:$B$296,0)))</f>
        <v>#N/A</v>
      </c>
      <c r="W1967" t="str">
        <f t="shared" si="92"/>
        <v>#2f89d1</v>
      </c>
    </row>
    <row r="1968" spans="1:23" x14ac:dyDescent="0.5">
      <c r="A1968" s="54">
        <v>1967</v>
      </c>
      <c r="B1968" s="90" t="s">
        <v>646</v>
      </c>
      <c r="C1968" t="s">
        <v>1620</v>
      </c>
      <c r="D1968" s="1"/>
      <c r="E1968" s="112">
        <v>1995.1</v>
      </c>
      <c r="F1968" s="112">
        <v>2021.06</v>
      </c>
      <c r="G1968" s="107" t="s">
        <v>1514</v>
      </c>
      <c r="H1968">
        <f>INDEX('GIS-Standards'!$A$2:$A$305,MATCH(B1968,'GIS-Standards'!$B$2:$B$305,0))</f>
        <v>89</v>
      </c>
      <c r="I1968" t="e">
        <f>INDEX('GIS-Standards'!$A$2:$A$305,MATCH(C1968,'GIS-Standards'!$B$2:$B$305,0))</f>
        <v>#N/A</v>
      </c>
      <c r="J1968" t="str">
        <f>INDEX('GIS-Standards'!$O$2:$O$305,MATCH(B1968,'GIS-Standards'!$B$2:$B$305,0))</f>
        <v>ISO/TC 211</v>
      </c>
      <c r="K1968" t="e">
        <f>INDEX('GIS-Standards'!$O$2:$O$305,MATCH(C1968,'GIS-Standards'!$B$2:$B$305,0))</f>
        <v>#N/A</v>
      </c>
      <c r="M1968" t="s">
        <v>525</v>
      </c>
      <c r="N1968">
        <f>INDEX('GIS-Standards'!$I$2:$I$305,MATCH(B1968,'GIS-Standards'!$B$2:$B$305,0))</f>
        <v>0</v>
      </c>
      <c r="O1968" t="e">
        <f>INDEX('GIS-Standards'!$I$2:$I$305,MATCH(C1968,'GIS-Standards'!$B$2:$B$305,0))</f>
        <v>#N/A</v>
      </c>
      <c r="P1968" t="e">
        <f>AND(TableRelationships12[[#This Row],[Source Type]]="BIM",TableRelationships12[[#This Row],[Target Type]]="BIM")</f>
        <v>#N/A</v>
      </c>
      <c r="Q1968">
        <f t="shared" si="90"/>
        <v>1</v>
      </c>
      <c r="S1968">
        <f t="shared" si="91"/>
        <v>1</v>
      </c>
      <c r="T1968" s="102" t="str">
        <f>IF(TableRelationships12[[#This Row],[Rank Pedro]]="Low","linkCategory1",IF(TableRelationships12[[#This Row],[Rank Pedro]]="Medium","linkCategory2",IF(TableRelationships12[[#This Row],[Rank Pedro]]="High","linkCategory3","")))</f>
        <v/>
      </c>
      <c r="U1968" s="102" t="str">
        <f>IF(TableRelationships12[[#This Row],[Rank Pedro]]="Low","Pink",IF(TableRelationships12[[#This Row],[Rank Pedro]]="Medium","Purple",IF(TableRelationships12[[#This Row],[Rank Pedro]]="High","Brown","")))</f>
        <v/>
      </c>
      <c r="V1968" s="4" t="e">
        <f>MAX(INDEX(Standards!$F$2:$F$296,MATCH(B1968,Standards!$B$2:$B$296,0)),INDEX(Standards!$F$2:$F$296,MATCH(C1968,Standards!$B$2:$B$296,0)))</f>
        <v>#N/A</v>
      </c>
      <c r="W1968" t="str">
        <f t="shared" si="92"/>
        <v>#2f89d1</v>
      </c>
    </row>
    <row r="1969" spans="1:23" x14ac:dyDescent="0.5">
      <c r="A1969" s="54">
        <v>1968</v>
      </c>
      <c r="B1969" s="90" t="s">
        <v>646</v>
      </c>
      <c r="C1969" t="s">
        <v>1621</v>
      </c>
      <c r="D1969" s="1"/>
      <c r="E1969" s="112">
        <v>1995.1</v>
      </c>
      <c r="F1969" s="112">
        <v>2021.06</v>
      </c>
      <c r="G1969" s="107" t="s">
        <v>1514</v>
      </c>
      <c r="H1969">
        <f>INDEX('GIS-Standards'!$A$2:$A$305,MATCH(B1969,'GIS-Standards'!$B$2:$B$305,0))</f>
        <v>89</v>
      </c>
      <c r="I1969" t="e">
        <f>INDEX('GIS-Standards'!$A$2:$A$305,MATCH(C1969,'GIS-Standards'!$B$2:$B$305,0))</f>
        <v>#N/A</v>
      </c>
      <c r="J1969" t="str">
        <f>INDEX('GIS-Standards'!$O$2:$O$305,MATCH(B1969,'GIS-Standards'!$B$2:$B$305,0))</f>
        <v>ISO/TC 211</v>
      </c>
      <c r="K1969" t="e">
        <f>INDEX('GIS-Standards'!$O$2:$O$305,MATCH(C1969,'GIS-Standards'!$B$2:$B$305,0))</f>
        <v>#N/A</v>
      </c>
      <c r="M1969" t="s">
        <v>525</v>
      </c>
      <c r="N1969">
        <f>INDEX('GIS-Standards'!$I$2:$I$305,MATCH(B1969,'GIS-Standards'!$B$2:$B$305,0))</f>
        <v>0</v>
      </c>
      <c r="O1969" t="e">
        <f>INDEX('GIS-Standards'!$I$2:$I$305,MATCH(C1969,'GIS-Standards'!$B$2:$B$305,0))</f>
        <v>#N/A</v>
      </c>
      <c r="P1969" t="e">
        <f>AND(TableRelationships12[[#This Row],[Source Type]]="BIM",TableRelationships12[[#This Row],[Target Type]]="BIM")</f>
        <v>#N/A</v>
      </c>
      <c r="Q1969">
        <f t="shared" si="90"/>
        <v>1</v>
      </c>
      <c r="S1969">
        <f t="shared" si="91"/>
        <v>1</v>
      </c>
      <c r="T1969" s="102" t="str">
        <f>IF(TableRelationships12[[#This Row],[Rank Pedro]]="Low","linkCategory1",IF(TableRelationships12[[#This Row],[Rank Pedro]]="Medium","linkCategory2",IF(TableRelationships12[[#This Row],[Rank Pedro]]="High","linkCategory3","")))</f>
        <v/>
      </c>
      <c r="U1969" s="102" t="str">
        <f>IF(TableRelationships12[[#This Row],[Rank Pedro]]="Low","Pink",IF(TableRelationships12[[#This Row],[Rank Pedro]]="Medium","Purple",IF(TableRelationships12[[#This Row],[Rank Pedro]]="High","Brown","")))</f>
        <v/>
      </c>
      <c r="V1969" s="4" t="e">
        <f>MAX(INDEX(Standards!$F$2:$F$296,MATCH(B1969,Standards!$B$2:$B$296,0)),INDEX(Standards!$F$2:$F$296,MATCH(C1969,Standards!$B$2:$B$296,0)))</f>
        <v>#N/A</v>
      </c>
      <c r="W1969" t="str">
        <f t="shared" si="92"/>
        <v>#2f89d1</v>
      </c>
    </row>
    <row r="1970" spans="1:23" x14ac:dyDescent="0.5">
      <c r="A1970" s="54">
        <v>1969</v>
      </c>
      <c r="B1970" s="90" t="s">
        <v>646</v>
      </c>
      <c r="C1970" t="s">
        <v>358</v>
      </c>
      <c r="D1970" s="1"/>
      <c r="E1970" s="113">
        <v>1987.06</v>
      </c>
      <c r="F1970" s="113">
        <v>2023.06</v>
      </c>
      <c r="G1970" s="107" t="s">
        <v>1504</v>
      </c>
      <c r="H1970">
        <f>INDEX('GIS-Standards'!$A$2:$A$305,MATCH(B1970,'GIS-Standards'!$B$2:$B$305,0))</f>
        <v>89</v>
      </c>
      <c r="I1970" t="e">
        <f>INDEX('GIS-Standards'!$A$2:$A$305,MATCH(C1970,'GIS-Standards'!$B$2:$B$305,0))</f>
        <v>#N/A</v>
      </c>
      <c r="J1970" t="str">
        <f>INDEX('GIS-Standards'!$O$2:$O$305,MATCH(B1970,'GIS-Standards'!$B$2:$B$305,0))</f>
        <v>ISO/TC 211</v>
      </c>
      <c r="K1970" t="e">
        <f>INDEX('GIS-Standards'!$O$2:$O$305,MATCH(C1970,'GIS-Standards'!$B$2:$B$305,0))</f>
        <v>#N/A</v>
      </c>
      <c r="M1970" t="s">
        <v>525</v>
      </c>
      <c r="N1970">
        <f>INDEX('GIS-Standards'!$I$2:$I$305,MATCH(B1970,'GIS-Standards'!$B$2:$B$305,0))</f>
        <v>0</v>
      </c>
      <c r="O1970" t="e">
        <f>INDEX('GIS-Standards'!$I$2:$I$305,MATCH(C1970,'GIS-Standards'!$B$2:$B$305,0))</f>
        <v>#N/A</v>
      </c>
      <c r="P1970" t="e">
        <f>AND(TableRelationships12[[#This Row],[Source Type]]="BIM",TableRelationships12[[#This Row],[Target Type]]="BIM")</f>
        <v>#N/A</v>
      </c>
      <c r="Q1970">
        <f t="shared" si="90"/>
        <v>1</v>
      </c>
      <c r="S1970">
        <f t="shared" si="91"/>
        <v>1</v>
      </c>
      <c r="T1970" s="102" t="str">
        <f>IF(TableRelationships12[[#This Row],[Rank Pedro]]="Low","linkCategory1",IF(TableRelationships12[[#This Row],[Rank Pedro]]="Medium","linkCategory2",IF(TableRelationships12[[#This Row],[Rank Pedro]]="High","linkCategory3","")))</f>
        <v/>
      </c>
      <c r="U1970" s="102" t="str">
        <f>IF(TableRelationships12[[#This Row],[Rank Pedro]]="Low","Pink",IF(TableRelationships12[[#This Row],[Rank Pedro]]="Medium","Purple",IF(TableRelationships12[[#This Row],[Rank Pedro]]="High","Brown","")))</f>
        <v/>
      </c>
      <c r="V1970" s="4" t="e">
        <f>MAX(INDEX(Standards!$F$2:$F$296,MATCH(B1970,Standards!$B$2:$B$296,0)),INDEX(Standards!$F$2:$F$296,MATCH(C1970,Standards!$B$2:$B$296,0)))</f>
        <v>#N/A</v>
      </c>
      <c r="W1970" t="str">
        <f t="shared" si="92"/>
        <v>#2f89d1</v>
      </c>
    </row>
    <row r="1971" spans="1:23" x14ac:dyDescent="0.5">
      <c r="A1971" s="54">
        <v>1970</v>
      </c>
      <c r="B1971" s="90" t="s">
        <v>646</v>
      </c>
      <c r="C1971" t="s">
        <v>1325</v>
      </c>
      <c r="D1971" s="1"/>
      <c r="E1971" s="113">
        <v>1987.06</v>
      </c>
      <c r="F1971" s="113">
        <v>2023.06</v>
      </c>
      <c r="G1971" s="107" t="s">
        <v>1504</v>
      </c>
      <c r="H1971">
        <f>INDEX('GIS-Standards'!$A$2:$A$305,MATCH(B1971,'GIS-Standards'!$B$2:$B$305,0))</f>
        <v>89</v>
      </c>
      <c r="I1971" t="e">
        <f>INDEX('GIS-Standards'!$A$2:$A$305,MATCH(C1971,'GIS-Standards'!$B$2:$B$305,0))</f>
        <v>#N/A</v>
      </c>
      <c r="J1971" t="str">
        <f>INDEX('GIS-Standards'!$O$2:$O$305,MATCH(B1971,'GIS-Standards'!$B$2:$B$305,0))</f>
        <v>ISO/TC 211</v>
      </c>
      <c r="K1971" t="e">
        <f>INDEX('GIS-Standards'!$O$2:$O$305,MATCH(C1971,'GIS-Standards'!$B$2:$B$305,0))</f>
        <v>#N/A</v>
      </c>
      <c r="M1971" t="s">
        <v>525</v>
      </c>
      <c r="N1971">
        <f>INDEX('GIS-Standards'!$I$2:$I$305,MATCH(B1971,'GIS-Standards'!$B$2:$B$305,0))</f>
        <v>0</v>
      </c>
      <c r="O1971" t="e">
        <f>INDEX('GIS-Standards'!$I$2:$I$305,MATCH(C1971,'GIS-Standards'!$B$2:$B$305,0))</f>
        <v>#N/A</v>
      </c>
      <c r="P1971" t="e">
        <f>AND(TableRelationships12[[#This Row],[Source Type]]="BIM",TableRelationships12[[#This Row],[Target Type]]="BIM")</f>
        <v>#N/A</v>
      </c>
      <c r="Q1971">
        <f t="shared" si="90"/>
        <v>1</v>
      </c>
      <c r="S1971">
        <f t="shared" si="91"/>
        <v>1</v>
      </c>
      <c r="T1971" s="102" t="str">
        <f>IF(TableRelationships12[[#This Row],[Rank Pedro]]="Low","linkCategory1",IF(TableRelationships12[[#This Row],[Rank Pedro]]="Medium","linkCategory2",IF(TableRelationships12[[#This Row],[Rank Pedro]]="High","linkCategory3","")))</f>
        <v/>
      </c>
      <c r="U1971" s="102" t="str">
        <f>IF(TableRelationships12[[#This Row],[Rank Pedro]]="Low","Pink",IF(TableRelationships12[[#This Row],[Rank Pedro]]="Medium","Purple",IF(TableRelationships12[[#This Row],[Rank Pedro]]="High","Brown","")))</f>
        <v/>
      </c>
      <c r="V1971" s="4" t="e">
        <f>MAX(INDEX(Standards!$F$2:$F$296,MATCH(B1971,Standards!$B$2:$B$296,0)),INDEX(Standards!$F$2:$F$296,MATCH(C1971,Standards!$B$2:$B$296,0)))</f>
        <v>#N/A</v>
      </c>
      <c r="W1971" t="str">
        <f t="shared" si="92"/>
        <v>#2f89d1</v>
      </c>
    </row>
    <row r="1972" spans="1:23" x14ac:dyDescent="0.5">
      <c r="A1972" s="54">
        <v>1971</v>
      </c>
      <c r="B1972" s="90" t="s">
        <v>646</v>
      </c>
      <c r="C1972" t="s">
        <v>1413</v>
      </c>
      <c r="D1972" s="1"/>
      <c r="E1972" s="113">
        <v>1995.12</v>
      </c>
      <c r="F1972" s="113">
        <v>2023.06</v>
      </c>
      <c r="G1972" s="107" t="s">
        <v>1504</v>
      </c>
      <c r="H1972">
        <f>INDEX('GIS-Standards'!$A$2:$A$305,MATCH(B1972,'GIS-Standards'!$B$2:$B$305,0))</f>
        <v>89</v>
      </c>
      <c r="I1972" t="e">
        <f>INDEX('GIS-Standards'!$A$2:$A$305,MATCH(C1972,'GIS-Standards'!$B$2:$B$305,0))</f>
        <v>#N/A</v>
      </c>
      <c r="J1972" t="str">
        <f>INDEX('GIS-Standards'!$O$2:$O$305,MATCH(B1972,'GIS-Standards'!$B$2:$B$305,0))</f>
        <v>ISO/TC 211</v>
      </c>
      <c r="K1972" t="e">
        <f>INDEX('GIS-Standards'!$O$2:$O$305,MATCH(C1972,'GIS-Standards'!$B$2:$B$305,0))</f>
        <v>#N/A</v>
      </c>
      <c r="M1972" t="s">
        <v>525</v>
      </c>
      <c r="N1972">
        <f>INDEX('GIS-Standards'!$I$2:$I$305,MATCH(B1972,'GIS-Standards'!$B$2:$B$305,0))</f>
        <v>0</v>
      </c>
      <c r="O1972" t="e">
        <f>INDEX('GIS-Standards'!$I$2:$I$305,MATCH(C1972,'GIS-Standards'!$B$2:$B$305,0))</f>
        <v>#N/A</v>
      </c>
      <c r="P1972" t="e">
        <f>AND(TableRelationships12[[#This Row],[Source Type]]="BIM",TableRelationships12[[#This Row],[Target Type]]="BIM")</f>
        <v>#N/A</v>
      </c>
      <c r="Q1972">
        <f t="shared" si="90"/>
        <v>1</v>
      </c>
      <c r="S1972">
        <f t="shared" si="91"/>
        <v>1</v>
      </c>
      <c r="T1972" s="102" t="str">
        <f>IF(TableRelationships12[[#This Row],[Rank Pedro]]="Low","linkCategory1",IF(TableRelationships12[[#This Row],[Rank Pedro]]="Medium","linkCategory2",IF(TableRelationships12[[#This Row],[Rank Pedro]]="High","linkCategory3","")))</f>
        <v/>
      </c>
      <c r="U1972" s="102" t="str">
        <f>IF(TableRelationships12[[#This Row],[Rank Pedro]]="Low","Pink",IF(TableRelationships12[[#This Row],[Rank Pedro]]="Medium","Purple",IF(TableRelationships12[[#This Row],[Rank Pedro]]="High","Brown","")))</f>
        <v/>
      </c>
      <c r="V1972" s="4" t="e">
        <f>MAX(INDEX(Standards!$F$2:$F$296,MATCH(B1972,Standards!$B$2:$B$296,0)),INDEX(Standards!$F$2:$F$296,MATCH(C1972,Standards!$B$2:$B$296,0)))</f>
        <v>#N/A</v>
      </c>
      <c r="W1972" t="str">
        <f t="shared" si="92"/>
        <v>#2f89d1</v>
      </c>
    </row>
    <row r="1973" spans="1:23" x14ac:dyDescent="0.5">
      <c r="A1973" s="54">
        <v>1972</v>
      </c>
      <c r="B1973" s="90" t="s">
        <v>646</v>
      </c>
      <c r="C1973" t="s">
        <v>1414</v>
      </c>
      <c r="D1973" s="1"/>
      <c r="E1973" s="113">
        <v>1996.12</v>
      </c>
      <c r="F1973" s="113">
        <v>2023.06</v>
      </c>
      <c r="G1973" s="107" t="s">
        <v>1504</v>
      </c>
      <c r="H1973">
        <f>INDEX('GIS-Standards'!$A$2:$A$305,MATCH(B1973,'GIS-Standards'!$B$2:$B$305,0))</f>
        <v>89</v>
      </c>
      <c r="I1973" t="e">
        <f>INDEX('GIS-Standards'!$A$2:$A$305,MATCH(C1973,'GIS-Standards'!$B$2:$B$305,0))</f>
        <v>#N/A</v>
      </c>
      <c r="J1973" t="str">
        <f>INDEX('GIS-Standards'!$O$2:$O$305,MATCH(B1973,'GIS-Standards'!$B$2:$B$305,0))</f>
        <v>ISO/TC 211</v>
      </c>
      <c r="K1973" t="e">
        <f>INDEX('GIS-Standards'!$O$2:$O$305,MATCH(C1973,'GIS-Standards'!$B$2:$B$305,0))</f>
        <v>#N/A</v>
      </c>
      <c r="M1973" t="s">
        <v>525</v>
      </c>
      <c r="N1973">
        <f>INDEX('GIS-Standards'!$I$2:$I$305,MATCH(B1973,'GIS-Standards'!$B$2:$B$305,0))</f>
        <v>0</v>
      </c>
      <c r="O1973" t="e">
        <f>INDEX('GIS-Standards'!$I$2:$I$305,MATCH(C1973,'GIS-Standards'!$B$2:$B$305,0))</f>
        <v>#N/A</v>
      </c>
      <c r="P1973" t="e">
        <f>AND(TableRelationships12[[#This Row],[Source Type]]="BIM",TableRelationships12[[#This Row],[Target Type]]="BIM")</f>
        <v>#N/A</v>
      </c>
      <c r="Q1973">
        <f t="shared" si="90"/>
        <v>1</v>
      </c>
      <c r="S1973">
        <f t="shared" si="91"/>
        <v>1</v>
      </c>
      <c r="T1973" s="102" t="str">
        <f>IF(TableRelationships12[[#This Row],[Rank Pedro]]="Low","linkCategory1",IF(TableRelationships12[[#This Row],[Rank Pedro]]="Medium","linkCategory2",IF(TableRelationships12[[#This Row],[Rank Pedro]]="High","linkCategory3","")))</f>
        <v/>
      </c>
      <c r="U1973" s="102" t="str">
        <f>IF(TableRelationships12[[#This Row],[Rank Pedro]]="Low","Pink",IF(TableRelationships12[[#This Row],[Rank Pedro]]="Medium","Purple",IF(TableRelationships12[[#This Row],[Rank Pedro]]="High","Brown","")))</f>
        <v/>
      </c>
      <c r="V1973" s="4" t="e">
        <f>MAX(INDEX(Standards!$F$2:$F$296,MATCH(B1973,Standards!$B$2:$B$296,0)),INDEX(Standards!$F$2:$F$296,MATCH(C1973,Standards!$B$2:$B$296,0)))</f>
        <v>#N/A</v>
      </c>
      <c r="W1973" t="str">
        <f t="shared" si="92"/>
        <v>#2f89d1</v>
      </c>
    </row>
    <row r="1974" spans="1:23" x14ac:dyDescent="0.5">
      <c r="A1974" s="54">
        <v>1973</v>
      </c>
      <c r="B1974" s="90" t="s">
        <v>646</v>
      </c>
      <c r="C1974" t="s">
        <v>1415</v>
      </c>
      <c r="D1974" s="1"/>
      <c r="E1974" s="113">
        <v>2016.12</v>
      </c>
      <c r="F1974" s="113">
        <v>2021.08</v>
      </c>
      <c r="G1974" s="107" t="s">
        <v>1504</v>
      </c>
      <c r="H1974">
        <f>INDEX('GIS-Standards'!$A$2:$A$305,MATCH(B1974,'GIS-Standards'!$B$2:$B$305,0))</f>
        <v>89</v>
      </c>
      <c r="I1974" t="e">
        <f>INDEX('GIS-Standards'!$A$2:$A$305,MATCH(C1974,'GIS-Standards'!$B$2:$B$305,0))</f>
        <v>#N/A</v>
      </c>
      <c r="J1974" t="str">
        <f>INDEX('GIS-Standards'!$O$2:$O$305,MATCH(B1974,'GIS-Standards'!$B$2:$B$305,0))</f>
        <v>ISO/TC 211</v>
      </c>
      <c r="K1974" t="e">
        <f>INDEX('GIS-Standards'!$O$2:$O$305,MATCH(C1974,'GIS-Standards'!$B$2:$B$305,0))</f>
        <v>#N/A</v>
      </c>
      <c r="M1974" t="s">
        <v>525</v>
      </c>
      <c r="N1974">
        <f>INDEX('GIS-Standards'!$I$2:$I$305,MATCH(B1974,'GIS-Standards'!$B$2:$B$305,0))</f>
        <v>0</v>
      </c>
      <c r="O1974" t="e">
        <f>INDEX('GIS-Standards'!$I$2:$I$305,MATCH(C1974,'GIS-Standards'!$B$2:$B$305,0))</f>
        <v>#N/A</v>
      </c>
      <c r="P1974" t="e">
        <f>AND(TableRelationships12[[#This Row],[Source Type]]="BIM",TableRelationships12[[#This Row],[Target Type]]="BIM")</f>
        <v>#N/A</v>
      </c>
      <c r="Q1974">
        <f t="shared" si="90"/>
        <v>1</v>
      </c>
      <c r="S1974">
        <f t="shared" si="91"/>
        <v>1</v>
      </c>
      <c r="T1974" s="102" t="str">
        <f>IF(TableRelationships12[[#This Row],[Rank Pedro]]="Low","linkCategory1",IF(TableRelationships12[[#This Row],[Rank Pedro]]="Medium","linkCategory2",IF(TableRelationships12[[#This Row],[Rank Pedro]]="High","linkCategory3","")))</f>
        <v/>
      </c>
      <c r="U1974" s="102" t="str">
        <f>IF(TableRelationships12[[#This Row],[Rank Pedro]]="Low","Pink",IF(TableRelationships12[[#This Row],[Rank Pedro]]="Medium","Purple",IF(TableRelationships12[[#This Row],[Rank Pedro]]="High","Brown","")))</f>
        <v/>
      </c>
      <c r="V1974" s="4" t="e">
        <f>MAX(INDEX(Standards!$F$2:$F$296,MATCH(B1974,Standards!$B$2:$B$296,0)),INDEX(Standards!$F$2:$F$296,MATCH(C1974,Standards!$B$2:$B$296,0)))</f>
        <v>#N/A</v>
      </c>
      <c r="W1974" t="str">
        <f t="shared" si="92"/>
        <v>#2f89d1</v>
      </c>
    </row>
    <row r="1975" spans="1:23" x14ac:dyDescent="0.5">
      <c r="A1975" s="54">
        <v>1974</v>
      </c>
      <c r="B1975" s="90" t="s">
        <v>646</v>
      </c>
      <c r="C1975" t="s">
        <v>1416</v>
      </c>
      <c r="D1975" s="1"/>
      <c r="E1975" s="113">
        <v>2001.05</v>
      </c>
      <c r="F1975" s="113">
        <v>2023.06</v>
      </c>
      <c r="G1975" s="107" t="s">
        <v>1504</v>
      </c>
      <c r="H1975">
        <f>INDEX('GIS-Standards'!$A$2:$A$305,MATCH(B1975,'GIS-Standards'!$B$2:$B$305,0))</f>
        <v>89</v>
      </c>
      <c r="I1975" t="e">
        <f>INDEX('GIS-Standards'!$A$2:$A$305,MATCH(C1975,'GIS-Standards'!$B$2:$B$305,0))</f>
        <v>#N/A</v>
      </c>
      <c r="J1975" t="str">
        <f>INDEX('GIS-Standards'!$O$2:$O$305,MATCH(B1975,'GIS-Standards'!$B$2:$B$305,0))</f>
        <v>ISO/TC 211</v>
      </c>
      <c r="K1975" t="e">
        <f>INDEX('GIS-Standards'!$O$2:$O$305,MATCH(C1975,'GIS-Standards'!$B$2:$B$305,0))</f>
        <v>#N/A</v>
      </c>
      <c r="M1975" t="s">
        <v>525</v>
      </c>
      <c r="N1975">
        <f>INDEX('GIS-Standards'!$I$2:$I$305,MATCH(B1975,'GIS-Standards'!$B$2:$B$305,0))</f>
        <v>0</v>
      </c>
      <c r="O1975" t="e">
        <f>INDEX('GIS-Standards'!$I$2:$I$305,MATCH(C1975,'GIS-Standards'!$B$2:$B$305,0))</f>
        <v>#N/A</v>
      </c>
      <c r="P1975" t="e">
        <f>AND(TableRelationships12[[#This Row],[Source Type]]="BIM",TableRelationships12[[#This Row],[Target Type]]="BIM")</f>
        <v>#N/A</v>
      </c>
      <c r="Q1975">
        <f t="shared" si="90"/>
        <v>1</v>
      </c>
      <c r="S1975">
        <f t="shared" si="91"/>
        <v>1</v>
      </c>
      <c r="T1975" s="102" t="str">
        <f>IF(TableRelationships12[[#This Row],[Rank Pedro]]="Low","linkCategory1",IF(TableRelationships12[[#This Row],[Rank Pedro]]="Medium","linkCategory2",IF(TableRelationships12[[#This Row],[Rank Pedro]]="High","linkCategory3","")))</f>
        <v/>
      </c>
      <c r="U1975" s="102" t="str">
        <f>IF(TableRelationships12[[#This Row],[Rank Pedro]]="Low","Pink",IF(TableRelationships12[[#This Row],[Rank Pedro]]="Medium","Purple",IF(TableRelationships12[[#This Row],[Rank Pedro]]="High","Brown","")))</f>
        <v/>
      </c>
      <c r="V1975" s="4" t="e">
        <f>MAX(INDEX(Standards!$F$2:$F$296,MATCH(B1975,Standards!$B$2:$B$296,0)),INDEX(Standards!$F$2:$F$296,MATCH(C1975,Standards!$B$2:$B$296,0)))</f>
        <v>#N/A</v>
      </c>
      <c r="W1975" t="str">
        <f t="shared" si="92"/>
        <v>#2f89d1</v>
      </c>
    </row>
    <row r="1976" spans="1:23" x14ac:dyDescent="0.5">
      <c r="A1976" s="54">
        <v>1975</v>
      </c>
      <c r="B1976" s="90" t="s">
        <v>646</v>
      </c>
      <c r="C1976" t="s">
        <v>1417</v>
      </c>
      <c r="D1976" s="1"/>
      <c r="E1976" s="113">
        <v>2000.11</v>
      </c>
      <c r="F1976" s="113">
        <v>2023.06</v>
      </c>
      <c r="G1976" s="107" t="s">
        <v>1504</v>
      </c>
      <c r="H1976">
        <f>INDEX('GIS-Standards'!$A$2:$A$305,MATCH(B1976,'GIS-Standards'!$B$2:$B$305,0))</f>
        <v>89</v>
      </c>
      <c r="I1976" t="e">
        <f>INDEX('GIS-Standards'!$A$2:$A$305,MATCH(C1976,'GIS-Standards'!$B$2:$B$305,0))</f>
        <v>#N/A</v>
      </c>
      <c r="J1976" t="str">
        <f>INDEX('GIS-Standards'!$O$2:$O$305,MATCH(B1976,'GIS-Standards'!$B$2:$B$305,0))</f>
        <v>ISO/TC 211</v>
      </c>
      <c r="K1976" t="e">
        <f>INDEX('GIS-Standards'!$O$2:$O$305,MATCH(C1976,'GIS-Standards'!$B$2:$B$305,0))</f>
        <v>#N/A</v>
      </c>
      <c r="M1976" t="s">
        <v>525</v>
      </c>
      <c r="N1976">
        <f>INDEX('GIS-Standards'!$I$2:$I$305,MATCH(B1976,'GIS-Standards'!$B$2:$B$305,0))</f>
        <v>0</v>
      </c>
      <c r="O1976" t="e">
        <f>INDEX('GIS-Standards'!$I$2:$I$305,MATCH(C1976,'GIS-Standards'!$B$2:$B$305,0))</f>
        <v>#N/A</v>
      </c>
      <c r="P1976" t="e">
        <f>AND(TableRelationships12[[#This Row],[Source Type]]="BIM",TableRelationships12[[#This Row],[Target Type]]="BIM")</f>
        <v>#N/A</v>
      </c>
      <c r="Q1976">
        <f t="shared" si="90"/>
        <v>1</v>
      </c>
      <c r="S1976">
        <f t="shared" si="91"/>
        <v>1</v>
      </c>
      <c r="T1976" s="102" t="str">
        <f>IF(TableRelationships12[[#This Row],[Rank Pedro]]="Low","linkCategory1",IF(TableRelationships12[[#This Row],[Rank Pedro]]="Medium","linkCategory2",IF(TableRelationships12[[#This Row],[Rank Pedro]]="High","linkCategory3","")))</f>
        <v/>
      </c>
      <c r="U1976" s="102" t="str">
        <f>IF(TableRelationships12[[#This Row],[Rank Pedro]]="Low","Pink",IF(TableRelationships12[[#This Row],[Rank Pedro]]="Medium","Purple",IF(TableRelationships12[[#This Row],[Rank Pedro]]="High","Brown","")))</f>
        <v/>
      </c>
      <c r="V1976" s="4" t="e">
        <f>MAX(INDEX(Standards!$F$2:$F$296,MATCH(B1976,Standards!$B$2:$B$296,0)),INDEX(Standards!$F$2:$F$296,MATCH(C1976,Standards!$B$2:$B$296,0)))</f>
        <v>#N/A</v>
      </c>
      <c r="W1976" t="str">
        <f t="shared" si="92"/>
        <v>#2f89d1</v>
      </c>
    </row>
    <row r="1977" spans="1:23" x14ac:dyDescent="0.5">
      <c r="A1977" s="54">
        <v>1976</v>
      </c>
      <c r="B1977" s="90" t="s">
        <v>646</v>
      </c>
      <c r="C1977" t="s">
        <v>1418</v>
      </c>
      <c r="D1977" s="1"/>
      <c r="E1977" s="113">
        <v>1987.06</v>
      </c>
      <c r="F1977" s="113">
        <v>2023.06</v>
      </c>
      <c r="G1977" s="107" t="s">
        <v>1504</v>
      </c>
      <c r="H1977">
        <f>INDEX('GIS-Standards'!$A$2:$A$305,MATCH(B1977,'GIS-Standards'!$B$2:$B$305,0))</f>
        <v>89</v>
      </c>
      <c r="I1977" t="e">
        <f>INDEX('GIS-Standards'!$A$2:$A$305,MATCH(C1977,'GIS-Standards'!$B$2:$B$305,0))</f>
        <v>#N/A</v>
      </c>
      <c r="J1977" t="str">
        <f>INDEX('GIS-Standards'!$O$2:$O$305,MATCH(B1977,'GIS-Standards'!$B$2:$B$305,0))</f>
        <v>ISO/TC 211</v>
      </c>
      <c r="K1977" t="e">
        <f>INDEX('GIS-Standards'!$O$2:$O$305,MATCH(C1977,'GIS-Standards'!$B$2:$B$305,0))</f>
        <v>#N/A</v>
      </c>
      <c r="M1977" t="s">
        <v>525</v>
      </c>
      <c r="N1977">
        <f>INDEX('GIS-Standards'!$I$2:$I$305,MATCH(B1977,'GIS-Standards'!$B$2:$B$305,0))</f>
        <v>0</v>
      </c>
      <c r="O1977" t="e">
        <f>INDEX('GIS-Standards'!$I$2:$I$305,MATCH(C1977,'GIS-Standards'!$B$2:$B$305,0))</f>
        <v>#N/A</v>
      </c>
      <c r="P1977" t="e">
        <f>AND(TableRelationships12[[#This Row],[Source Type]]="BIM",TableRelationships12[[#This Row],[Target Type]]="BIM")</f>
        <v>#N/A</v>
      </c>
      <c r="Q1977">
        <f t="shared" si="90"/>
        <v>1</v>
      </c>
      <c r="S1977">
        <f t="shared" si="91"/>
        <v>1</v>
      </c>
      <c r="T1977" s="102" t="str">
        <f>IF(TableRelationships12[[#This Row],[Rank Pedro]]="Low","linkCategory1",IF(TableRelationships12[[#This Row],[Rank Pedro]]="Medium","linkCategory2",IF(TableRelationships12[[#This Row],[Rank Pedro]]="High","linkCategory3","")))</f>
        <v/>
      </c>
      <c r="U1977" s="102" t="str">
        <f>IF(TableRelationships12[[#This Row],[Rank Pedro]]="Low","Pink",IF(TableRelationships12[[#This Row],[Rank Pedro]]="Medium","Purple",IF(TableRelationships12[[#This Row],[Rank Pedro]]="High","Brown","")))</f>
        <v/>
      </c>
      <c r="V1977" s="4" t="e">
        <f>MAX(INDEX(Standards!$F$2:$F$296,MATCH(B1977,Standards!$B$2:$B$296,0)),INDEX(Standards!$F$2:$F$296,MATCH(C1977,Standards!$B$2:$B$296,0)))</f>
        <v>#N/A</v>
      </c>
      <c r="W1977" t="str">
        <f t="shared" si="92"/>
        <v>#2f89d1</v>
      </c>
    </row>
    <row r="1978" spans="1:23" x14ac:dyDescent="0.5">
      <c r="A1978" s="54">
        <v>1977</v>
      </c>
      <c r="B1978" s="90" t="s">
        <v>646</v>
      </c>
      <c r="C1978" t="s">
        <v>1419</v>
      </c>
      <c r="D1978" s="1"/>
      <c r="E1978" s="113">
        <v>2002.07</v>
      </c>
      <c r="F1978" s="113">
        <v>2023.06</v>
      </c>
      <c r="G1978" s="107" t="s">
        <v>1504</v>
      </c>
      <c r="H1978">
        <f>INDEX('GIS-Standards'!$A$2:$A$305,MATCH(B1978,'GIS-Standards'!$B$2:$B$305,0))</f>
        <v>89</v>
      </c>
      <c r="I1978" t="e">
        <f>INDEX('GIS-Standards'!$A$2:$A$305,MATCH(C1978,'GIS-Standards'!$B$2:$B$305,0))</f>
        <v>#N/A</v>
      </c>
      <c r="J1978" t="str">
        <f>INDEX('GIS-Standards'!$O$2:$O$305,MATCH(B1978,'GIS-Standards'!$B$2:$B$305,0))</f>
        <v>ISO/TC 211</v>
      </c>
      <c r="K1978" t="e">
        <f>INDEX('GIS-Standards'!$O$2:$O$305,MATCH(C1978,'GIS-Standards'!$B$2:$B$305,0))</f>
        <v>#N/A</v>
      </c>
      <c r="M1978" t="s">
        <v>525</v>
      </c>
      <c r="N1978">
        <f>INDEX('GIS-Standards'!$I$2:$I$305,MATCH(B1978,'GIS-Standards'!$B$2:$B$305,0))</f>
        <v>0</v>
      </c>
      <c r="O1978" t="e">
        <f>INDEX('GIS-Standards'!$I$2:$I$305,MATCH(C1978,'GIS-Standards'!$B$2:$B$305,0))</f>
        <v>#N/A</v>
      </c>
      <c r="P1978" t="e">
        <f>AND(TableRelationships12[[#This Row],[Source Type]]="BIM",TableRelationships12[[#This Row],[Target Type]]="BIM")</f>
        <v>#N/A</v>
      </c>
      <c r="Q1978">
        <f t="shared" si="90"/>
        <v>1</v>
      </c>
      <c r="S1978">
        <f t="shared" si="91"/>
        <v>1</v>
      </c>
      <c r="T1978" s="102" t="str">
        <f>IF(TableRelationships12[[#This Row],[Rank Pedro]]="Low","linkCategory1",IF(TableRelationships12[[#This Row],[Rank Pedro]]="Medium","linkCategory2",IF(TableRelationships12[[#This Row],[Rank Pedro]]="High","linkCategory3","")))</f>
        <v/>
      </c>
      <c r="U1978" s="102" t="str">
        <f>IF(TableRelationships12[[#This Row],[Rank Pedro]]="Low","Pink",IF(TableRelationships12[[#This Row],[Rank Pedro]]="Medium","Purple",IF(TableRelationships12[[#This Row],[Rank Pedro]]="High","Brown","")))</f>
        <v/>
      </c>
      <c r="V1978" s="4" t="e">
        <f>MAX(INDEX(Standards!$F$2:$F$296,MATCH(B1978,Standards!$B$2:$B$296,0)),INDEX(Standards!$F$2:$F$296,MATCH(C1978,Standards!$B$2:$B$296,0)))</f>
        <v>#N/A</v>
      </c>
      <c r="W1978" t="str">
        <f t="shared" si="92"/>
        <v>#2f89d1</v>
      </c>
    </row>
    <row r="1979" spans="1:23" x14ac:dyDescent="0.5">
      <c r="A1979" s="54">
        <v>1978</v>
      </c>
      <c r="B1979" s="90" t="s">
        <v>646</v>
      </c>
      <c r="C1979" t="s">
        <v>1420</v>
      </c>
      <c r="D1979" s="1"/>
      <c r="E1979" s="113">
        <v>2003.12</v>
      </c>
      <c r="F1979" s="113">
        <v>2023.06</v>
      </c>
      <c r="G1979" s="107" t="s">
        <v>1504</v>
      </c>
      <c r="H1979">
        <f>INDEX('GIS-Standards'!$A$2:$A$305,MATCH(B1979,'GIS-Standards'!$B$2:$B$305,0))</f>
        <v>89</v>
      </c>
      <c r="I1979" t="e">
        <f>INDEX('GIS-Standards'!$A$2:$A$305,MATCH(C1979,'GIS-Standards'!$B$2:$B$305,0))</f>
        <v>#N/A</v>
      </c>
      <c r="J1979" t="str">
        <f>INDEX('GIS-Standards'!$O$2:$O$305,MATCH(B1979,'GIS-Standards'!$B$2:$B$305,0))</f>
        <v>ISO/TC 211</v>
      </c>
      <c r="K1979" t="e">
        <f>INDEX('GIS-Standards'!$O$2:$O$305,MATCH(C1979,'GIS-Standards'!$B$2:$B$305,0))</f>
        <v>#N/A</v>
      </c>
      <c r="M1979" t="s">
        <v>525</v>
      </c>
      <c r="N1979">
        <f>INDEX('GIS-Standards'!$I$2:$I$305,MATCH(B1979,'GIS-Standards'!$B$2:$B$305,0))</f>
        <v>0</v>
      </c>
      <c r="O1979" t="e">
        <f>INDEX('GIS-Standards'!$I$2:$I$305,MATCH(C1979,'GIS-Standards'!$B$2:$B$305,0))</f>
        <v>#N/A</v>
      </c>
      <c r="P1979" t="e">
        <f>AND(TableRelationships12[[#This Row],[Source Type]]="BIM",TableRelationships12[[#This Row],[Target Type]]="BIM")</f>
        <v>#N/A</v>
      </c>
      <c r="Q1979">
        <f t="shared" si="90"/>
        <v>1</v>
      </c>
      <c r="S1979">
        <f t="shared" si="91"/>
        <v>1</v>
      </c>
      <c r="T1979" s="102" t="str">
        <f>IF(TableRelationships12[[#This Row],[Rank Pedro]]="Low","linkCategory1",IF(TableRelationships12[[#This Row],[Rank Pedro]]="Medium","linkCategory2",IF(TableRelationships12[[#This Row],[Rank Pedro]]="High","linkCategory3","")))</f>
        <v/>
      </c>
      <c r="U1979" s="102" t="str">
        <f>IF(TableRelationships12[[#This Row],[Rank Pedro]]="Low","Pink",IF(TableRelationships12[[#This Row],[Rank Pedro]]="Medium","Purple",IF(TableRelationships12[[#This Row],[Rank Pedro]]="High","Brown","")))</f>
        <v/>
      </c>
      <c r="V1979" s="4" t="e">
        <f>MAX(INDEX(Standards!$F$2:$F$296,MATCH(B1979,Standards!$B$2:$B$296,0)),INDEX(Standards!$F$2:$F$296,MATCH(C1979,Standards!$B$2:$B$296,0)))</f>
        <v>#N/A</v>
      </c>
      <c r="W1979" t="str">
        <f t="shared" si="92"/>
        <v>#2f89d1</v>
      </c>
    </row>
    <row r="1980" spans="1:23" x14ac:dyDescent="0.5">
      <c r="A1980" s="54">
        <v>1979</v>
      </c>
      <c r="B1980" s="90" t="s">
        <v>646</v>
      </c>
      <c r="C1980" t="s">
        <v>1421</v>
      </c>
      <c r="D1980" s="1" t="s">
        <v>1676</v>
      </c>
      <c r="E1980" s="113">
        <v>2019.06</v>
      </c>
      <c r="F1980" s="113">
        <v>2023.06</v>
      </c>
      <c r="G1980" s="107" t="s">
        <v>1504</v>
      </c>
      <c r="H1980">
        <f>INDEX('GIS-Standards'!$A$2:$A$305,MATCH(B1980,'GIS-Standards'!$B$2:$B$305,0))</f>
        <v>89</v>
      </c>
      <c r="I1980" t="e">
        <f>INDEX('GIS-Standards'!$A$2:$A$305,MATCH(C1980,'GIS-Standards'!$B$2:$B$305,0))</f>
        <v>#N/A</v>
      </c>
      <c r="J1980" t="str">
        <f>INDEX('GIS-Standards'!$O$2:$O$305,MATCH(B1980,'GIS-Standards'!$B$2:$B$305,0))</f>
        <v>ISO/TC 211</v>
      </c>
      <c r="K1980" t="e">
        <f>INDEX('GIS-Standards'!$O$2:$O$305,MATCH(C1980,'GIS-Standards'!$B$2:$B$305,0))</f>
        <v>#N/A</v>
      </c>
      <c r="M1980" t="s">
        <v>525</v>
      </c>
      <c r="N1980">
        <f>INDEX('GIS-Standards'!$I$2:$I$305,MATCH(B1980,'GIS-Standards'!$B$2:$B$305,0))</f>
        <v>0</v>
      </c>
      <c r="O1980" t="e">
        <f>INDEX('GIS-Standards'!$I$2:$I$305,MATCH(C1980,'GIS-Standards'!$B$2:$B$305,0))</f>
        <v>#N/A</v>
      </c>
      <c r="P1980" t="e">
        <f>AND(TableRelationships12[[#This Row],[Source Type]]="BIM",TableRelationships12[[#This Row],[Target Type]]="BIM")</f>
        <v>#N/A</v>
      </c>
      <c r="Q1980">
        <f t="shared" si="90"/>
        <v>1</v>
      </c>
      <c r="S1980">
        <f t="shared" si="91"/>
        <v>1</v>
      </c>
      <c r="T1980" s="102" t="str">
        <f>IF(TableRelationships12[[#This Row],[Rank Pedro]]="Low","linkCategory1",IF(TableRelationships12[[#This Row],[Rank Pedro]]="Medium","linkCategory2",IF(TableRelationships12[[#This Row],[Rank Pedro]]="High","linkCategory3","")))</f>
        <v/>
      </c>
      <c r="U1980" s="102" t="str">
        <f>IF(TableRelationships12[[#This Row],[Rank Pedro]]="Low","Pink",IF(TableRelationships12[[#This Row],[Rank Pedro]]="Medium","Purple",IF(TableRelationships12[[#This Row],[Rank Pedro]]="High","Brown","")))</f>
        <v/>
      </c>
      <c r="V1980" s="4" t="e">
        <f>MAX(INDEX(Standards!$F$2:$F$296,MATCH(B1980,Standards!$B$2:$B$296,0)),INDEX(Standards!$F$2:$F$296,MATCH(C1980,Standards!$B$2:$B$296,0)))</f>
        <v>#N/A</v>
      </c>
      <c r="W1980" t="str">
        <f t="shared" si="92"/>
        <v>#2f89d1</v>
      </c>
    </row>
    <row r="1981" spans="1:23" x14ac:dyDescent="0.5">
      <c r="A1981" s="54">
        <v>1980</v>
      </c>
      <c r="B1981" s="90" t="s">
        <v>646</v>
      </c>
      <c r="C1981" t="s">
        <v>1422</v>
      </c>
      <c r="D1981" s="1" t="s">
        <v>1676</v>
      </c>
      <c r="E1981" s="113">
        <v>2023.06</v>
      </c>
      <c r="F1981" s="113">
        <v>2023.06</v>
      </c>
      <c r="G1981" s="107" t="s">
        <v>1504</v>
      </c>
      <c r="H1981">
        <f>INDEX('GIS-Standards'!$A$2:$A$305,MATCH(B1981,'GIS-Standards'!$B$2:$B$305,0))</f>
        <v>89</v>
      </c>
      <c r="I1981" t="e">
        <f>INDEX('GIS-Standards'!$A$2:$A$305,MATCH(C1981,'GIS-Standards'!$B$2:$B$305,0))</f>
        <v>#N/A</v>
      </c>
      <c r="J1981" t="str">
        <f>INDEX('GIS-Standards'!$O$2:$O$305,MATCH(B1981,'GIS-Standards'!$B$2:$B$305,0))</f>
        <v>ISO/TC 211</v>
      </c>
      <c r="K1981" t="e">
        <f>INDEX('GIS-Standards'!$O$2:$O$305,MATCH(C1981,'GIS-Standards'!$B$2:$B$305,0))</f>
        <v>#N/A</v>
      </c>
      <c r="M1981" t="s">
        <v>525</v>
      </c>
      <c r="N1981">
        <f>INDEX('GIS-Standards'!$I$2:$I$305,MATCH(B1981,'GIS-Standards'!$B$2:$B$305,0))</f>
        <v>0</v>
      </c>
      <c r="O1981" t="e">
        <f>INDEX('GIS-Standards'!$I$2:$I$305,MATCH(C1981,'GIS-Standards'!$B$2:$B$305,0))</f>
        <v>#N/A</v>
      </c>
      <c r="P1981" t="e">
        <f>AND(TableRelationships12[[#This Row],[Source Type]]="BIM",TableRelationships12[[#This Row],[Target Type]]="BIM")</f>
        <v>#N/A</v>
      </c>
      <c r="Q1981">
        <f t="shared" si="90"/>
        <v>1</v>
      </c>
      <c r="S1981">
        <f t="shared" si="91"/>
        <v>1</v>
      </c>
      <c r="T1981" s="102" t="str">
        <f>IF(TableRelationships12[[#This Row],[Rank Pedro]]="Low","linkCategory1",IF(TableRelationships12[[#This Row],[Rank Pedro]]="Medium","linkCategory2",IF(TableRelationships12[[#This Row],[Rank Pedro]]="High","linkCategory3","")))</f>
        <v/>
      </c>
      <c r="U1981" s="102" t="str">
        <f>IF(TableRelationships12[[#This Row],[Rank Pedro]]="Low","Pink",IF(TableRelationships12[[#This Row],[Rank Pedro]]="Medium","Purple",IF(TableRelationships12[[#This Row],[Rank Pedro]]="High","Brown","")))</f>
        <v/>
      </c>
      <c r="V1981" s="4" t="e">
        <f>MAX(INDEX(Standards!$F$2:$F$296,MATCH(B1981,Standards!$B$2:$B$296,0)),INDEX(Standards!$F$2:$F$296,MATCH(C1981,Standards!$B$2:$B$296,0)))</f>
        <v>#N/A</v>
      </c>
      <c r="W1981" t="str">
        <f t="shared" si="92"/>
        <v>#2f89d1</v>
      </c>
    </row>
    <row r="1982" spans="1:23" x14ac:dyDescent="0.5">
      <c r="A1982" s="54">
        <v>1981</v>
      </c>
      <c r="B1982" s="90" t="s">
        <v>646</v>
      </c>
      <c r="C1982" t="s">
        <v>1166</v>
      </c>
      <c r="D1982" s="1" t="s">
        <v>1676</v>
      </c>
      <c r="E1982" s="113">
        <v>1988.12</v>
      </c>
      <c r="F1982" s="113">
        <v>2013.07</v>
      </c>
      <c r="G1982" s="107" t="s">
        <v>1500</v>
      </c>
      <c r="H1982">
        <f>INDEX('GIS-Standards'!$A$2:$A$305,MATCH(B1982,'GIS-Standards'!$B$2:$B$305,0))</f>
        <v>89</v>
      </c>
      <c r="I1982" t="e">
        <f>INDEX('GIS-Standards'!$A$2:$A$305,MATCH(C1982,'GIS-Standards'!$B$2:$B$305,0))</f>
        <v>#N/A</v>
      </c>
      <c r="J1982" t="str">
        <f>INDEX('GIS-Standards'!$O$2:$O$305,MATCH(B1982,'GIS-Standards'!$B$2:$B$305,0))</f>
        <v>ISO/TC 211</v>
      </c>
      <c r="K1982" t="e">
        <f>INDEX('GIS-Standards'!$O$2:$O$305,MATCH(C1982,'GIS-Standards'!$B$2:$B$305,0))</f>
        <v>#N/A</v>
      </c>
      <c r="M1982" t="s">
        <v>525</v>
      </c>
      <c r="N1982">
        <f>INDEX('GIS-Standards'!$I$2:$I$305,MATCH(B1982,'GIS-Standards'!$B$2:$B$305,0))</f>
        <v>0</v>
      </c>
      <c r="O1982" t="e">
        <f>INDEX('GIS-Standards'!$I$2:$I$305,MATCH(C1982,'GIS-Standards'!$B$2:$B$305,0))</f>
        <v>#N/A</v>
      </c>
      <c r="P1982" t="e">
        <f>AND(TableRelationships12[[#This Row],[Source Type]]="BIM",TableRelationships12[[#This Row],[Target Type]]="BIM")</f>
        <v>#N/A</v>
      </c>
      <c r="Q1982">
        <f t="shared" si="90"/>
        <v>1</v>
      </c>
      <c r="S1982">
        <f t="shared" si="91"/>
        <v>1</v>
      </c>
      <c r="T1982" s="102" t="str">
        <f>IF(TableRelationships12[[#This Row],[Rank Pedro]]="Low","linkCategory1",IF(TableRelationships12[[#This Row],[Rank Pedro]]="Medium","linkCategory2",IF(TableRelationships12[[#This Row],[Rank Pedro]]="High","linkCategory3","")))</f>
        <v/>
      </c>
      <c r="U1982" s="102" t="str">
        <f>IF(TableRelationships12[[#This Row],[Rank Pedro]]="Low","Pink",IF(TableRelationships12[[#This Row],[Rank Pedro]]="Medium","Purple",IF(TableRelationships12[[#This Row],[Rank Pedro]]="High","Brown","")))</f>
        <v/>
      </c>
      <c r="V1982" s="4" t="e">
        <f>MAX(INDEX(Standards!$F$2:$F$296,MATCH(B1982,Standards!$B$2:$B$296,0)),INDEX(Standards!$F$2:$F$296,MATCH(C1982,Standards!$B$2:$B$296,0)))</f>
        <v>#N/A</v>
      </c>
      <c r="W1982" t="str">
        <f t="shared" si="92"/>
        <v>#2f89d1</v>
      </c>
    </row>
    <row r="1983" spans="1:23" x14ac:dyDescent="0.5">
      <c r="A1983" s="54">
        <v>1982</v>
      </c>
      <c r="B1983" s="90" t="s">
        <v>646</v>
      </c>
      <c r="C1983" t="s">
        <v>398</v>
      </c>
      <c r="D1983" s="1"/>
      <c r="E1983" s="112">
        <v>1994.02</v>
      </c>
      <c r="F1983" s="112">
        <v>2005.02</v>
      </c>
      <c r="G1983" s="107" t="s">
        <v>1503</v>
      </c>
      <c r="H1983">
        <f>INDEX('GIS-Standards'!$A$2:$A$305,MATCH(B1983,'GIS-Standards'!$B$2:$B$305,0))</f>
        <v>89</v>
      </c>
      <c r="I1983" t="e">
        <f>INDEX('GIS-Standards'!$A$2:$A$305,MATCH(C1983,'GIS-Standards'!$B$2:$B$305,0))</f>
        <v>#N/A</v>
      </c>
      <c r="J1983" t="str">
        <f>INDEX('GIS-Standards'!$O$2:$O$305,MATCH(B1983,'GIS-Standards'!$B$2:$B$305,0))</f>
        <v>ISO/TC 211</v>
      </c>
      <c r="K1983" t="e">
        <f>INDEX('GIS-Standards'!$O$2:$O$305,MATCH(C1983,'GIS-Standards'!$B$2:$B$305,0))</f>
        <v>#N/A</v>
      </c>
      <c r="M1983" t="s">
        <v>525</v>
      </c>
      <c r="N1983">
        <f>INDEX('GIS-Standards'!$I$2:$I$305,MATCH(B1983,'GIS-Standards'!$B$2:$B$305,0))</f>
        <v>0</v>
      </c>
      <c r="O1983" t="e">
        <f>INDEX('GIS-Standards'!$I$2:$I$305,MATCH(C1983,'GIS-Standards'!$B$2:$B$305,0))</f>
        <v>#N/A</v>
      </c>
      <c r="P1983" t="e">
        <f>AND(TableRelationships12[[#This Row],[Source Type]]="BIM",TableRelationships12[[#This Row],[Target Type]]="BIM")</f>
        <v>#N/A</v>
      </c>
      <c r="Q1983">
        <f t="shared" si="90"/>
        <v>1</v>
      </c>
      <c r="S1983">
        <f t="shared" si="91"/>
        <v>1</v>
      </c>
      <c r="T1983" s="102" t="str">
        <f>IF(TableRelationships12[[#This Row],[Rank Pedro]]="Low","linkCategory1",IF(TableRelationships12[[#This Row],[Rank Pedro]]="Medium","linkCategory2",IF(TableRelationships12[[#This Row],[Rank Pedro]]="High","linkCategory3","")))</f>
        <v/>
      </c>
      <c r="U1983" s="102" t="str">
        <f>IF(TableRelationships12[[#This Row],[Rank Pedro]]="Low","Pink",IF(TableRelationships12[[#This Row],[Rank Pedro]]="Medium","Purple",IF(TableRelationships12[[#This Row],[Rank Pedro]]="High","Brown","")))</f>
        <v/>
      </c>
      <c r="V1983" s="4" t="e">
        <f>MAX(INDEX(Standards!$F$2:$F$296,MATCH(B1983,Standards!$B$2:$B$296,0)),INDEX(Standards!$F$2:$F$296,MATCH(C1983,Standards!$B$2:$B$296,0)))</f>
        <v>#N/A</v>
      </c>
      <c r="W1983" t="str">
        <f t="shared" si="92"/>
        <v>#2f89d1</v>
      </c>
    </row>
    <row r="1984" spans="1:23" x14ac:dyDescent="0.5">
      <c r="A1984" s="54">
        <v>1983</v>
      </c>
      <c r="B1984" s="90" t="s">
        <v>646</v>
      </c>
      <c r="C1984" t="s">
        <v>1622</v>
      </c>
      <c r="D1984" s="1"/>
      <c r="E1984" s="112">
        <v>1995.08</v>
      </c>
      <c r="F1984" s="112">
        <v>1995.08</v>
      </c>
      <c r="G1984" s="107" t="s">
        <v>1503</v>
      </c>
      <c r="H1984">
        <f>INDEX('GIS-Standards'!$A$2:$A$305,MATCH(B1984,'GIS-Standards'!$B$2:$B$305,0))</f>
        <v>89</v>
      </c>
      <c r="I1984" t="e">
        <f>INDEX('GIS-Standards'!$A$2:$A$305,MATCH(C1984,'GIS-Standards'!$B$2:$B$305,0))</f>
        <v>#N/A</v>
      </c>
      <c r="J1984" t="str">
        <f>INDEX('GIS-Standards'!$O$2:$O$305,MATCH(B1984,'GIS-Standards'!$B$2:$B$305,0))</f>
        <v>ISO/TC 211</v>
      </c>
      <c r="K1984" t="e">
        <f>INDEX('GIS-Standards'!$O$2:$O$305,MATCH(C1984,'GIS-Standards'!$B$2:$B$305,0))</f>
        <v>#N/A</v>
      </c>
      <c r="M1984" t="s">
        <v>525</v>
      </c>
      <c r="N1984">
        <f>INDEX('GIS-Standards'!$I$2:$I$305,MATCH(B1984,'GIS-Standards'!$B$2:$B$305,0))</f>
        <v>0</v>
      </c>
      <c r="O1984" t="e">
        <f>INDEX('GIS-Standards'!$I$2:$I$305,MATCH(C1984,'GIS-Standards'!$B$2:$B$305,0))</f>
        <v>#N/A</v>
      </c>
      <c r="P1984" t="e">
        <f>AND(TableRelationships12[[#This Row],[Source Type]]="BIM",TableRelationships12[[#This Row],[Target Type]]="BIM")</f>
        <v>#N/A</v>
      </c>
      <c r="Q1984">
        <f t="shared" si="90"/>
        <v>1</v>
      </c>
      <c r="S1984">
        <f t="shared" si="91"/>
        <v>1</v>
      </c>
      <c r="T1984" s="102" t="str">
        <f>IF(TableRelationships12[[#This Row],[Rank Pedro]]="Low","linkCategory1",IF(TableRelationships12[[#This Row],[Rank Pedro]]="Medium","linkCategory2",IF(TableRelationships12[[#This Row],[Rank Pedro]]="High","linkCategory3","")))</f>
        <v/>
      </c>
      <c r="U1984" s="102" t="str">
        <f>IF(TableRelationships12[[#This Row],[Rank Pedro]]="Low","Pink",IF(TableRelationships12[[#This Row],[Rank Pedro]]="Medium","Purple",IF(TableRelationships12[[#This Row],[Rank Pedro]]="High","Brown","")))</f>
        <v/>
      </c>
      <c r="V1984" s="4" t="e">
        <f>MAX(INDEX(Standards!$F$2:$F$296,MATCH(B1984,Standards!$B$2:$B$296,0)),INDEX(Standards!$F$2:$F$296,MATCH(C1984,Standards!$B$2:$B$296,0)))</f>
        <v>#N/A</v>
      </c>
      <c r="W1984" t="str">
        <f t="shared" si="92"/>
        <v>#2f89d1</v>
      </c>
    </row>
    <row r="1985" spans="1:23" x14ac:dyDescent="0.5">
      <c r="A1985" s="54">
        <v>1984</v>
      </c>
      <c r="B1985" s="90" t="s">
        <v>646</v>
      </c>
      <c r="C1985" t="s">
        <v>1623</v>
      </c>
      <c r="D1985" s="1"/>
      <c r="E1985" s="112">
        <v>1997.05</v>
      </c>
      <c r="F1985" s="112">
        <v>1999.12</v>
      </c>
      <c r="G1985" s="107" t="s">
        <v>1503</v>
      </c>
      <c r="H1985">
        <f>INDEX('GIS-Standards'!$A$2:$A$305,MATCH(B1985,'GIS-Standards'!$B$2:$B$305,0))</f>
        <v>89</v>
      </c>
      <c r="I1985" t="e">
        <f>INDEX('GIS-Standards'!$A$2:$A$305,MATCH(C1985,'GIS-Standards'!$B$2:$B$305,0))</f>
        <v>#N/A</v>
      </c>
      <c r="J1985" t="str">
        <f>INDEX('GIS-Standards'!$O$2:$O$305,MATCH(B1985,'GIS-Standards'!$B$2:$B$305,0))</f>
        <v>ISO/TC 211</v>
      </c>
      <c r="K1985" t="e">
        <f>INDEX('GIS-Standards'!$O$2:$O$305,MATCH(C1985,'GIS-Standards'!$B$2:$B$305,0))</f>
        <v>#N/A</v>
      </c>
      <c r="M1985" t="s">
        <v>525</v>
      </c>
      <c r="N1985">
        <f>INDEX('GIS-Standards'!$I$2:$I$305,MATCH(B1985,'GIS-Standards'!$B$2:$B$305,0))</f>
        <v>0</v>
      </c>
      <c r="O1985" t="e">
        <f>INDEX('GIS-Standards'!$I$2:$I$305,MATCH(C1985,'GIS-Standards'!$B$2:$B$305,0))</f>
        <v>#N/A</v>
      </c>
      <c r="P1985" t="e">
        <f>AND(TableRelationships12[[#This Row],[Source Type]]="BIM",TableRelationships12[[#This Row],[Target Type]]="BIM")</f>
        <v>#N/A</v>
      </c>
      <c r="Q1985">
        <f t="shared" si="90"/>
        <v>1</v>
      </c>
      <c r="S1985">
        <f t="shared" si="91"/>
        <v>1</v>
      </c>
      <c r="T1985" s="102" t="str">
        <f>IF(TableRelationships12[[#This Row],[Rank Pedro]]="Low","linkCategory1",IF(TableRelationships12[[#This Row],[Rank Pedro]]="Medium","linkCategory2",IF(TableRelationships12[[#This Row],[Rank Pedro]]="High","linkCategory3","")))</f>
        <v/>
      </c>
      <c r="U1985" s="102" t="str">
        <f>IF(TableRelationships12[[#This Row],[Rank Pedro]]="Low","Pink",IF(TableRelationships12[[#This Row],[Rank Pedro]]="Medium","Purple",IF(TableRelationships12[[#This Row],[Rank Pedro]]="High","Brown","")))</f>
        <v/>
      </c>
      <c r="V1985" s="4" t="e">
        <f>MAX(INDEX(Standards!$F$2:$F$296,MATCH(B1985,Standards!$B$2:$B$296,0)),INDEX(Standards!$F$2:$F$296,MATCH(C1985,Standards!$B$2:$B$296,0)))</f>
        <v>#N/A</v>
      </c>
      <c r="W1985" t="str">
        <f t="shared" si="92"/>
        <v>#2f89d1</v>
      </c>
    </row>
    <row r="1986" spans="1:23" x14ac:dyDescent="0.5">
      <c r="A1986" s="54">
        <v>1985</v>
      </c>
      <c r="B1986" s="90" t="s">
        <v>646</v>
      </c>
      <c r="C1986" t="s">
        <v>1624</v>
      </c>
      <c r="D1986" s="1"/>
      <c r="E1986" s="112">
        <v>1999.08</v>
      </c>
      <c r="F1986" s="112">
        <v>2024.05</v>
      </c>
      <c r="G1986" s="107" t="s">
        <v>1503</v>
      </c>
      <c r="H1986">
        <f>INDEX('GIS-Standards'!$A$2:$A$305,MATCH(B1986,'GIS-Standards'!$B$2:$B$305,0))</f>
        <v>89</v>
      </c>
      <c r="I1986" t="e">
        <f>INDEX('GIS-Standards'!$A$2:$A$305,MATCH(C1986,'GIS-Standards'!$B$2:$B$305,0))</f>
        <v>#N/A</v>
      </c>
      <c r="J1986" t="str">
        <f>INDEX('GIS-Standards'!$O$2:$O$305,MATCH(B1986,'GIS-Standards'!$B$2:$B$305,0))</f>
        <v>ISO/TC 211</v>
      </c>
      <c r="K1986" t="e">
        <f>INDEX('GIS-Standards'!$O$2:$O$305,MATCH(C1986,'GIS-Standards'!$B$2:$B$305,0))</f>
        <v>#N/A</v>
      </c>
      <c r="M1986" t="s">
        <v>525</v>
      </c>
      <c r="N1986">
        <f>INDEX('GIS-Standards'!$I$2:$I$305,MATCH(B1986,'GIS-Standards'!$B$2:$B$305,0))</f>
        <v>0</v>
      </c>
      <c r="O1986" t="e">
        <f>INDEX('GIS-Standards'!$I$2:$I$305,MATCH(C1986,'GIS-Standards'!$B$2:$B$305,0))</f>
        <v>#N/A</v>
      </c>
      <c r="P1986" t="e">
        <f>AND(TableRelationships12[[#This Row],[Source Type]]="BIM",TableRelationships12[[#This Row],[Target Type]]="BIM")</f>
        <v>#N/A</v>
      </c>
      <c r="Q1986">
        <f t="shared" ref="Q1986:Q2049" si="93">IF(M1986="Normative",6,IF(M1986="Secondary",4,IF(M1986="Anchor",2,1)))</f>
        <v>1</v>
      </c>
      <c r="S1986">
        <f t="shared" ref="S1986:S2049" si="94">IF(R1986="High",10,IF(R1986="Medium",6,IF(R1986="Low",2,1)))</f>
        <v>1</v>
      </c>
      <c r="T1986" s="102" t="str">
        <f>IF(TableRelationships12[[#This Row],[Rank Pedro]]="Low","linkCategory1",IF(TableRelationships12[[#This Row],[Rank Pedro]]="Medium","linkCategory2",IF(TableRelationships12[[#This Row],[Rank Pedro]]="High","linkCategory3","")))</f>
        <v/>
      </c>
      <c r="U1986" s="102" t="str">
        <f>IF(TableRelationships12[[#This Row],[Rank Pedro]]="Low","Pink",IF(TableRelationships12[[#This Row],[Rank Pedro]]="Medium","Purple",IF(TableRelationships12[[#This Row],[Rank Pedro]]="High","Brown","")))</f>
        <v/>
      </c>
      <c r="V1986" s="4" t="e">
        <f>MAX(INDEX(Standards!$F$2:$F$296,MATCH(B1986,Standards!$B$2:$B$296,0)),INDEX(Standards!$F$2:$F$296,MATCH(C1986,Standards!$B$2:$B$296,0)))</f>
        <v>#N/A</v>
      </c>
      <c r="W1986" t="str">
        <f t="shared" ref="W1986:W2049" si="95">IF(M1986="Normative", "#d6bf2a", IF(M1986="Informative", "#2f89d1", 1))</f>
        <v>#2f89d1</v>
      </c>
    </row>
    <row r="1987" spans="1:23" x14ac:dyDescent="0.5">
      <c r="A1987" s="54">
        <v>1986</v>
      </c>
      <c r="B1987" s="90" t="s">
        <v>646</v>
      </c>
      <c r="C1987" t="s">
        <v>1625</v>
      </c>
      <c r="D1987" s="1"/>
      <c r="E1987" s="112">
        <v>2013.05</v>
      </c>
      <c r="F1987" s="112">
        <v>2013.05</v>
      </c>
      <c r="G1987" s="107" t="s">
        <v>1503</v>
      </c>
      <c r="H1987">
        <f>INDEX('GIS-Standards'!$A$2:$A$305,MATCH(B1987,'GIS-Standards'!$B$2:$B$305,0))</f>
        <v>89</v>
      </c>
      <c r="I1987" t="e">
        <f>INDEX('GIS-Standards'!$A$2:$A$305,MATCH(C1987,'GIS-Standards'!$B$2:$B$305,0))</f>
        <v>#N/A</v>
      </c>
      <c r="J1987" t="str">
        <f>INDEX('GIS-Standards'!$O$2:$O$305,MATCH(B1987,'GIS-Standards'!$B$2:$B$305,0))</f>
        <v>ISO/TC 211</v>
      </c>
      <c r="K1987" t="e">
        <f>INDEX('GIS-Standards'!$O$2:$O$305,MATCH(C1987,'GIS-Standards'!$B$2:$B$305,0))</f>
        <v>#N/A</v>
      </c>
      <c r="M1987" t="s">
        <v>525</v>
      </c>
      <c r="N1987">
        <f>INDEX('GIS-Standards'!$I$2:$I$305,MATCH(B1987,'GIS-Standards'!$B$2:$B$305,0))</f>
        <v>0</v>
      </c>
      <c r="O1987" t="e">
        <f>INDEX('GIS-Standards'!$I$2:$I$305,MATCH(C1987,'GIS-Standards'!$B$2:$B$305,0))</f>
        <v>#N/A</v>
      </c>
      <c r="P1987" t="e">
        <f>AND(TableRelationships12[[#This Row],[Source Type]]="BIM",TableRelationships12[[#This Row],[Target Type]]="BIM")</f>
        <v>#N/A</v>
      </c>
      <c r="Q1987">
        <f t="shared" si="93"/>
        <v>1</v>
      </c>
      <c r="S1987">
        <f t="shared" si="94"/>
        <v>1</v>
      </c>
      <c r="T1987" s="102" t="str">
        <f>IF(TableRelationships12[[#This Row],[Rank Pedro]]="Low","linkCategory1",IF(TableRelationships12[[#This Row],[Rank Pedro]]="Medium","linkCategory2",IF(TableRelationships12[[#This Row],[Rank Pedro]]="High","linkCategory3","")))</f>
        <v/>
      </c>
      <c r="U1987" s="102" t="str">
        <f>IF(TableRelationships12[[#This Row],[Rank Pedro]]="Low","Pink",IF(TableRelationships12[[#This Row],[Rank Pedro]]="Medium","Purple",IF(TableRelationships12[[#This Row],[Rank Pedro]]="High","Brown","")))</f>
        <v/>
      </c>
      <c r="V1987" s="4" t="e">
        <f>MAX(INDEX(Standards!$F$2:$F$296,MATCH(B1987,Standards!$B$2:$B$296,0)),INDEX(Standards!$F$2:$F$296,MATCH(C1987,Standards!$B$2:$B$296,0)))</f>
        <v>#N/A</v>
      </c>
      <c r="W1987" t="str">
        <f t="shared" si="95"/>
        <v>#2f89d1</v>
      </c>
    </row>
    <row r="1988" spans="1:23" x14ac:dyDescent="0.5">
      <c r="A1988" s="54">
        <v>1987</v>
      </c>
      <c r="B1988" s="90" t="s">
        <v>646</v>
      </c>
      <c r="C1988" t="s">
        <v>1626</v>
      </c>
      <c r="D1988" s="1"/>
      <c r="E1988" s="112">
        <v>2013.04</v>
      </c>
      <c r="F1988" s="112">
        <v>2013.04</v>
      </c>
      <c r="G1988" s="107" t="s">
        <v>1503</v>
      </c>
      <c r="H1988">
        <f>INDEX('GIS-Standards'!$A$2:$A$305,MATCH(B1988,'GIS-Standards'!$B$2:$B$305,0))</f>
        <v>89</v>
      </c>
      <c r="I1988" t="e">
        <f>INDEX('GIS-Standards'!$A$2:$A$305,MATCH(C1988,'GIS-Standards'!$B$2:$B$305,0))</f>
        <v>#N/A</v>
      </c>
      <c r="J1988" t="str">
        <f>INDEX('GIS-Standards'!$O$2:$O$305,MATCH(B1988,'GIS-Standards'!$B$2:$B$305,0))</f>
        <v>ISO/TC 211</v>
      </c>
      <c r="K1988" t="e">
        <f>INDEX('GIS-Standards'!$O$2:$O$305,MATCH(C1988,'GIS-Standards'!$B$2:$B$305,0))</f>
        <v>#N/A</v>
      </c>
      <c r="M1988" t="s">
        <v>525</v>
      </c>
      <c r="N1988">
        <f>INDEX('GIS-Standards'!$I$2:$I$305,MATCH(B1988,'GIS-Standards'!$B$2:$B$305,0))</f>
        <v>0</v>
      </c>
      <c r="O1988" t="e">
        <f>INDEX('GIS-Standards'!$I$2:$I$305,MATCH(C1988,'GIS-Standards'!$B$2:$B$305,0))</f>
        <v>#N/A</v>
      </c>
      <c r="P1988" t="e">
        <f>AND(TableRelationships12[[#This Row],[Source Type]]="BIM",TableRelationships12[[#This Row],[Target Type]]="BIM")</f>
        <v>#N/A</v>
      </c>
      <c r="Q1988">
        <f t="shared" si="93"/>
        <v>1</v>
      </c>
      <c r="S1988">
        <f t="shared" si="94"/>
        <v>1</v>
      </c>
      <c r="T1988" s="102" t="str">
        <f>IF(TableRelationships12[[#This Row],[Rank Pedro]]="Low","linkCategory1",IF(TableRelationships12[[#This Row],[Rank Pedro]]="Medium","linkCategory2",IF(TableRelationships12[[#This Row],[Rank Pedro]]="High","linkCategory3","")))</f>
        <v/>
      </c>
      <c r="U1988" s="102" t="str">
        <f>IF(TableRelationships12[[#This Row],[Rank Pedro]]="Low","Pink",IF(TableRelationships12[[#This Row],[Rank Pedro]]="Medium","Purple",IF(TableRelationships12[[#This Row],[Rank Pedro]]="High","Brown","")))</f>
        <v/>
      </c>
      <c r="V1988" s="4" t="e">
        <f>MAX(INDEX(Standards!$F$2:$F$296,MATCH(B1988,Standards!$B$2:$B$296,0)),INDEX(Standards!$F$2:$F$296,MATCH(C1988,Standards!$B$2:$B$296,0)))</f>
        <v>#N/A</v>
      </c>
      <c r="W1988" t="str">
        <f t="shared" si="95"/>
        <v>#2f89d1</v>
      </c>
    </row>
    <row r="1989" spans="1:23" x14ac:dyDescent="0.5">
      <c r="A1989" s="54">
        <v>1988</v>
      </c>
      <c r="B1989" s="90" t="s">
        <v>646</v>
      </c>
      <c r="C1989" t="s">
        <v>1627</v>
      </c>
      <c r="D1989" s="1"/>
      <c r="E1989" s="112">
        <v>2019.12</v>
      </c>
      <c r="F1989" s="112">
        <v>2023.11</v>
      </c>
      <c r="G1989" s="107" t="s">
        <v>1503</v>
      </c>
      <c r="H1989">
        <f>INDEX('GIS-Standards'!$A$2:$A$305,MATCH(B1989,'GIS-Standards'!$B$2:$B$305,0))</f>
        <v>89</v>
      </c>
      <c r="I1989" t="e">
        <f>INDEX('GIS-Standards'!$A$2:$A$305,MATCH(C1989,'GIS-Standards'!$B$2:$B$305,0))</f>
        <v>#N/A</v>
      </c>
      <c r="J1989" t="str">
        <f>INDEX('GIS-Standards'!$O$2:$O$305,MATCH(B1989,'GIS-Standards'!$B$2:$B$305,0))</f>
        <v>ISO/TC 211</v>
      </c>
      <c r="K1989" t="e">
        <f>INDEX('GIS-Standards'!$O$2:$O$305,MATCH(C1989,'GIS-Standards'!$B$2:$B$305,0))</f>
        <v>#N/A</v>
      </c>
      <c r="M1989" t="s">
        <v>525</v>
      </c>
      <c r="N1989">
        <f>INDEX('GIS-Standards'!$I$2:$I$305,MATCH(B1989,'GIS-Standards'!$B$2:$B$305,0))</f>
        <v>0</v>
      </c>
      <c r="O1989" t="e">
        <f>INDEX('GIS-Standards'!$I$2:$I$305,MATCH(C1989,'GIS-Standards'!$B$2:$B$305,0))</f>
        <v>#N/A</v>
      </c>
      <c r="P1989" t="e">
        <f>AND(TableRelationships12[[#This Row],[Source Type]]="BIM",TableRelationships12[[#This Row],[Target Type]]="BIM")</f>
        <v>#N/A</v>
      </c>
      <c r="Q1989">
        <f t="shared" si="93"/>
        <v>1</v>
      </c>
      <c r="S1989">
        <f t="shared" si="94"/>
        <v>1</v>
      </c>
      <c r="T1989" s="102" t="str">
        <f>IF(TableRelationships12[[#This Row],[Rank Pedro]]="Low","linkCategory1",IF(TableRelationships12[[#This Row],[Rank Pedro]]="Medium","linkCategory2",IF(TableRelationships12[[#This Row],[Rank Pedro]]="High","linkCategory3","")))</f>
        <v/>
      </c>
      <c r="U1989" s="102" t="str">
        <f>IF(TableRelationships12[[#This Row],[Rank Pedro]]="Low","Pink",IF(TableRelationships12[[#This Row],[Rank Pedro]]="Medium","Purple",IF(TableRelationships12[[#This Row],[Rank Pedro]]="High","Brown","")))</f>
        <v/>
      </c>
      <c r="V1989" s="4" t="e">
        <f>MAX(INDEX(Standards!$F$2:$F$296,MATCH(B1989,Standards!$B$2:$B$296,0)),INDEX(Standards!$F$2:$F$296,MATCH(C1989,Standards!$B$2:$B$296,0)))</f>
        <v>#N/A</v>
      </c>
      <c r="W1989" t="str">
        <f t="shared" si="95"/>
        <v>#2f89d1</v>
      </c>
    </row>
    <row r="1990" spans="1:23" x14ac:dyDescent="0.5">
      <c r="A1990" s="54">
        <v>1989</v>
      </c>
      <c r="B1990" s="90" t="s">
        <v>646</v>
      </c>
      <c r="C1990" t="s">
        <v>1343</v>
      </c>
      <c r="D1990" s="1"/>
      <c r="E1990" s="112">
        <v>1993.12</v>
      </c>
      <c r="F1990" s="112">
        <v>2001.12</v>
      </c>
      <c r="G1990" s="107" t="s">
        <v>1503</v>
      </c>
      <c r="H1990">
        <f>INDEX('GIS-Standards'!$A$2:$A$305,MATCH(B1990,'GIS-Standards'!$B$2:$B$305,0))</f>
        <v>89</v>
      </c>
      <c r="I1990" t="e">
        <f>INDEX('GIS-Standards'!$A$2:$A$305,MATCH(C1990,'GIS-Standards'!$B$2:$B$305,0))</f>
        <v>#N/A</v>
      </c>
      <c r="J1990" t="str">
        <f>INDEX('GIS-Standards'!$O$2:$O$305,MATCH(B1990,'GIS-Standards'!$B$2:$B$305,0))</f>
        <v>ISO/TC 211</v>
      </c>
      <c r="K1990" t="e">
        <f>INDEX('GIS-Standards'!$O$2:$O$305,MATCH(C1990,'GIS-Standards'!$B$2:$B$305,0))</f>
        <v>#N/A</v>
      </c>
      <c r="M1990" t="s">
        <v>525</v>
      </c>
      <c r="N1990">
        <f>INDEX('GIS-Standards'!$I$2:$I$305,MATCH(B1990,'GIS-Standards'!$B$2:$B$305,0))</f>
        <v>0</v>
      </c>
      <c r="O1990" t="e">
        <f>INDEX('GIS-Standards'!$I$2:$I$305,MATCH(C1990,'GIS-Standards'!$B$2:$B$305,0))</f>
        <v>#N/A</v>
      </c>
      <c r="P1990" t="e">
        <f>AND(TableRelationships12[[#This Row],[Source Type]]="BIM",TableRelationships12[[#This Row],[Target Type]]="BIM")</f>
        <v>#N/A</v>
      </c>
      <c r="Q1990">
        <f t="shared" si="93"/>
        <v>1</v>
      </c>
      <c r="S1990">
        <f t="shared" si="94"/>
        <v>1</v>
      </c>
      <c r="T1990" s="102" t="str">
        <f>IF(TableRelationships12[[#This Row],[Rank Pedro]]="Low","linkCategory1",IF(TableRelationships12[[#This Row],[Rank Pedro]]="Medium","linkCategory2",IF(TableRelationships12[[#This Row],[Rank Pedro]]="High","linkCategory3","")))</f>
        <v/>
      </c>
      <c r="U1990" s="102" t="str">
        <f>IF(TableRelationships12[[#This Row],[Rank Pedro]]="Low","Pink",IF(TableRelationships12[[#This Row],[Rank Pedro]]="Medium","Purple",IF(TableRelationships12[[#This Row],[Rank Pedro]]="High","Brown","")))</f>
        <v/>
      </c>
      <c r="V1990" s="4" t="e">
        <f>MAX(INDEX(Standards!$F$2:$F$296,MATCH(B1990,Standards!$B$2:$B$296,0)),INDEX(Standards!$F$2:$F$296,MATCH(C1990,Standards!$B$2:$B$296,0)))</f>
        <v>#N/A</v>
      </c>
      <c r="W1990" t="str">
        <f t="shared" si="95"/>
        <v>#2f89d1</v>
      </c>
    </row>
    <row r="1991" spans="1:23" x14ac:dyDescent="0.5">
      <c r="A1991" s="54">
        <v>1990</v>
      </c>
      <c r="B1991" s="90" t="s">
        <v>646</v>
      </c>
      <c r="C1991" t="s">
        <v>1259</v>
      </c>
      <c r="D1991" s="1"/>
      <c r="E1991" s="112">
        <v>1995.04</v>
      </c>
      <c r="F1991" s="112">
        <v>1995.04</v>
      </c>
      <c r="G1991" s="107" t="s">
        <v>1500</v>
      </c>
      <c r="H1991">
        <f>INDEX('GIS-Standards'!$A$2:$A$305,MATCH(B1991,'GIS-Standards'!$B$2:$B$305,0))</f>
        <v>89</v>
      </c>
      <c r="I1991" t="e">
        <f>INDEX('GIS-Standards'!$A$2:$A$305,MATCH(C1991,'GIS-Standards'!$B$2:$B$305,0))</f>
        <v>#N/A</v>
      </c>
      <c r="J1991" t="str">
        <f>INDEX('GIS-Standards'!$O$2:$O$305,MATCH(B1991,'GIS-Standards'!$B$2:$B$305,0))</f>
        <v>ISO/TC 211</v>
      </c>
      <c r="K1991" t="e">
        <f>INDEX('GIS-Standards'!$O$2:$O$305,MATCH(C1991,'GIS-Standards'!$B$2:$B$305,0))</f>
        <v>#N/A</v>
      </c>
      <c r="M1991" t="s">
        <v>525</v>
      </c>
      <c r="N1991">
        <f>INDEX('GIS-Standards'!$I$2:$I$305,MATCH(B1991,'GIS-Standards'!$B$2:$B$305,0))</f>
        <v>0</v>
      </c>
      <c r="O1991" t="e">
        <f>INDEX('GIS-Standards'!$I$2:$I$305,MATCH(C1991,'GIS-Standards'!$B$2:$B$305,0))</f>
        <v>#N/A</v>
      </c>
      <c r="P1991" t="e">
        <f>AND(TableRelationships12[[#This Row],[Source Type]]="BIM",TableRelationships12[[#This Row],[Target Type]]="BIM")</f>
        <v>#N/A</v>
      </c>
      <c r="Q1991">
        <f t="shared" si="93"/>
        <v>1</v>
      </c>
      <c r="S1991">
        <f t="shared" si="94"/>
        <v>1</v>
      </c>
      <c r="T1991" s="102" t="str">
        <f>IF(TableRelationships12[[#This Row],[Rank Pedro]]="Low","linkCategory1",IF(TableRelationships12[[#This Row],[Rank Pedro]]="Medium","linkCategory2",IF(TableRelationships12[[#This Row],[Rank Pedro]]="High","linkCategory3","")))</f>
        <v/>
      </c>
      <c r="U1991" s="102" t="str">
        <f>IF(TableRelationships12[[#This Row],[Rank Pedro]]="Low","Pink",IF(TableRelationships12[[#This Row],[Rank Pedro]]="Medium","Purple",IF(TableRelationships12[[#This Row],[Rank Pedro]]="High","Brown","")))</f>
        <v/>
      </c>
      <c r="V1991" s="4" t="e">
        <f>MAX(INDEX(Standards!$F$2:$F$296,MATCH(B1991,Standards!$B$2:$B$296,0)),INDEX(Standards!$F$2:$F$296,MATCH(C1991,Standards!$B$2:$B$296,0)))</f>
        <v>#N/A</v>
      </c>
      <c r="W1991" t="str">
        <f t="shared" si="95"/>
        <v>#2f89d1</v>
      </c>
    </row>
    <row r="1992" spans="1:23" x14ac:dyDescent="0.5">
      <c r="A1992" s="54">
        <v>1991</v>
      </c>
      <c r="B1992" s="90" t="s">
        <v>646</v>
      </c>
      <c r="C1992" t="s">
        <v>1344</v>
      </c>
      <c r="D1992" s="1"/>
      <c r="E1992" s="112">
        <v>1994.09</v>
      </c>
      <c r="F1992" s="112">
        <v>1997.09</v>
      </c>
      <c r="G1992" s="107" t="s">
        <v>1500</v>
      </c>
      <c r="H1992">
        <f>INDEX('GIS-Standards'!$A$2:$A$305,MATCH(B1992,'GIS-Standards'!$B$2:$B$305,0))</f>
        <v>89</v>
      </c>
      <c r="I1992" t="e">
        <f>INDEX('GIS-Standards'!$A$2:$A$305,MATCH(C1992,'GIS-Standards'!$B$2:$B$305,0))</f>
        <v>#N/A</v>
      </c>
      <c r="J1992" t="str">
        <f>INDEX('GIS-Standards'!$O$2:$O$305,MATCH(B1992,'GIS-Standards'!$B$2:$B$305,0))</f>
        <v>ISO/TC 211</v>
      </c>
      <c r="K1992" t="e">
        <f>INDEX('GIS-Standards'!$O$2:$O$305,MATCH(C1992,'GIS-Standards'!$B$2:$B$305,0))</f>
        <v>#N/A</v>
      </c>
      <c r="M1992" t="s">
        <v>525</v>
      </c>
      <c r="N1992">
        <f>INDEX('GIS-Standards'!$I$2:$I$305,MATCH(B1992,'GIS-Standards'!$B$2:$B$305,0))</f>
        <v>0</v>
      </c>
      <c r="O1992" t="e">
        <f>INDEX('GIS-Standards'!$I$2:$I$305,MATCH(C1992,'GIS-Standards'!$B$2:$B$305,0))</f>
        <v>#N/A</v>
      </c>
      <c r="P1992" t="e">
        <f>AND(TableRelationships12[[#This Row],[Source Type]]="BIM",TableRelationships12[[#This Row],[Target Type]]="BIM")</f>
        <v>#N/A</v>
      </c>
      <c r="Q1992">
        <f t="shared" si="93"/>
        <v>1</v>
      </c>
      <c r="S1992">
        <f t="shared" si="94"/>
        <v>1</v>
      </c>
      <c r="T1992" s="102" t="str">
        <f>IF(TableRelationships12[[#This Row],[Rank Pedro]]="Low","linkCategory1",IF(TableRelationships12[[#This Row],[Rank Pedro]]="Medium","linkCategory2",IF(TableRelationships12[[#This Row],[Rank Pedro]]="High","linkCategory3","")))</f>
        <v/>
      </c>
      <c r="U1992" s="102" t="str">
        <f>IF(TableRelationships12[[#This Row],[Rank Pedro]]="Low","Pink",IF(TableRelationships12[[#This Row],[Rank Pedro]]="Medium","Purple",IF(TableRelationships12[[#This Row],[Rank Pedro]]="High","Brown","")))</f>
        <v/>
      </c>
      <c r="V1992" s="4" t="e">
        <f>MAX(INDEX(Standards!$F$2:$F$296,MATCH(B1992,Standards!$B$2:$B$296,0)),INDEX(Standards!$F$2:$F$296,MATCH(C1992,Standards!$B$2:$B$296,0)))</f>
        <v>#N/A</v>
      </c>
      <c r="W1992" t="str">
        <f t="shared" si="95"/>
        <v>#2f89d1</v>
      </c>
    </row>
    <row r="1993" spans="1:23" x14ac:dyDescent="0.5">
      <c r="A1993" s="54">
        <v>1992</v>
      </c>
      <c r="B1993" s="90" t="s">
        <v>646</v>
      </c>
      <c r="C1993" t="s">
        <v>1345</v>
      </c>
      <c r="D1993" s="1"/>
      <c r="E1993" s="112">
        <v>1995.02</v>
      </c>
      <c r="F1993" s="112">
        <v>1996.12</v>
      </c>
      <c r="G1993" s="107" t="s">
        <v>1500</v>
      </c>
      <c r="H1993">
        <f>INDEX('GIS-Standards'!$A$2:$A$305,MATCH(B1993,'GIS-Standards'!$B$2:$B$305,0))</f>
        <v>89</v>
      </c>
      <c r="I1993" t="e">
        <f>INDEX('GIS-Standards'!$A$2:$A$305,MATCH(C1993,'GIS-Standards'!$B$2:$B$305,0))</f>
        <v>#N/A</v>
      </c>
      <c r="J1993" t="str">
        <f>INDEX('GIS-Standards'!$O$2:$O$305,MATCH(B1993,'GIS-Standards'!$B$2:$B$305,0))</f>
        <v>ISO/TC 211</v>
      </c>
      <c r="K1993" t="e">
        <f>INDEX('GIS-Standards'!$O$2:$O$305,MATCH(C1993,'GIS-Standards'!$B$2:$B$305,0))</f>
        <v>#N/A</v>
      </c>
      <c r="M1993" t="s">
        <v>525</v>
      </c>
      <c r="N1993">
        <f>INDEX('GIS-Standards'!$I$2:$I$305,MATCH(B1993,'GIS-Standards'!$B$2:$B$305,0))</f>
        <v>0</v>
      </c>
      <c r="O1993" t="e">
        <f>INDEX('GIS-Standards'!$I$2:$I$305,MATCH(C1993,'GIS-Standards'!$B$2:$B$305,0))</f>
        <v>#N/A</v>
      </c>
      <c r="P1993" t="e">
        <f>AND(TableRelationships12[[#This Row],[Source Type]]="BIM",TableRelationships12[[#This Row],[Target Type]]="BIM")</f>
        <v>#N/A</v>
      </c>
      <c r="Q1993">
        <f t="shared" si="93"/>
        <v>1</v>
      </c>
      <c r="S1993">
        <f t="shared" si="94"/>
        <v>1</v>
      </c>
      <c r="T1993" s="102" t="str">
        <f>IF(TableRelationships12[[#This Row],[Rank Pedro]]="Low","linkCategory1",IF(TableRelationships12[[#This Row],[Rank Pedro]]="Medium","linkCategory2",IF(TableRelationships12[[#This Row],[Rank Pedro]]="High","linkCategory3","")))</f>
        <v/>
      </c>
      <c r="U1993" s="102" t="str">
        <f>IF(TableRelationships12[[#This Row],[Rank Pedro]]="Low","Pink",IF(TableRelationships12[[#This Row],[Rank Pedro]]="Medium","Purple",IF(TableRelationships12[[#This Row],[Rank Pedro]]="High","Brown","")))</f>
        <v/>
      </c>
      <c r="V1993" s="4" t="e">
        <f>MAX(INDEX(Standards!$F$2:$F$296,MATCH(B1993,Standards!$B$2:$B$296,0)),INDEX(Standards!$F$2:$F$296,MATCH(C1993,Standards!$B$2:$B$296,0)))</f>
        <v>#N/A</v>
      </c>
      <c r="W1993" t="str">
        <f t="shared" si="95"/>
        <v>#2f89d1</v>
      </c>
    </row>
    <row r="1994" spans="1:23" x14ac:dyDescent="0.5">
      <c r="A1994" s="54">
        <v>1993</v>
      </c>
      <c r="B1994" s="90" t="s">
        <v>646</v>
      </c>
      <c r="C1994" t="s">
        <v>1260</v>
      </c>
      <c r="D1994" s="1"/>
      <c r="E1994" s="112">
        <v>1998.1</v>
      </c>
      <c r="F1994" s="112">
        <v>2025.08</v>
      </c>
      <c r="G1994" s="107" t="s">
        <v>1500</v>
      </c>
      <c r="H1994">
        <f>INDEX('GIS-Standards'!$A$2:$A$305,MATCH(B1994,'GIS-Standards'!$B$2:$B$305,0))</f>
        <v>89</v>
      </c>
      <c r="I1994" t="e">
        <f>INDEX('GIS-Standards'!$A$2:$A$305,MATCH(C1994,'GIS-Standards'!$B$2:$B$305,0))</f>
        <v>#N/A</v>
      </c>
      <c r="J1994" t="str">
        <f>INDEX('GIS-Standards'!$O$2:$O$305,MATCH(B1994,'GIS-Standards'!$B$2:$B$305,0))</f>
        <v>ISO/TC 211</v>
      </c>
      <c r="K1994" t="e">
        <f>INDEX('GIS-Standards'!$O$2:$O$305,MATCH(C1994,'GIS-Standards'!$B$2:$B$305,0))</f>
        <v>#N/A</v>
      </c>
      <c r="M1994" t="s">
        <v>525</v>
      </c>
      <c r="N1994">
        <f>INDEX('GIS-Standards'!$I$2:$I$305,MATCH(B1994,'GIS-Standards'!$B$2:$B$305,0))</f>
        <v>0</v>
      </c>
      <c r="O1994" t="e">
        <f>INDEX('GIS-Standards'!$I$2:$I$305,MATCH(C1994,'GIS-Standards'!$B$2:$B$305,0))</f>
        <v>#N/A</v>
      </c>
      <c r="P1994" t="e">
        <f>AND(TableRelationships12[[#This Row],[Source Type]]="BIM",TableRelationships12[[#This Row],[Target Type]]="BIM")</f>
        <v>#N/A</v>
      </c>
      <c r="Q1994">
        <f t="shared" si="93"/>
        <v>1</v>
      </c>
      <c r="S1994">
        <f t="shared" si="94"/>
        <v>1</v>
      </c>
      <c r="T1994" s="102" t="str">
        <f>IF(TableRelationships12[[#This Row],[Rank Pedro]]="Low","linkCategory1",IF(TableRelationships12[[#This Row],[Rank Pedro]]="Medium","linkCategory2",IF(TableRelationships12[[#This Row],[Rank Pedro]]="High","linkCategory3","")))</f>
        <v/>
      </c>
      <c r="U1994" s="102" t="str">
        <f>IF(TableRelationships12[[#This Row],[Rank Pedro]]="Low","Pink",IF(TableRelationships12[[#This Row],[Rank Pedro]]="Medium","Purple",IF(TableRelationships12[[#This Row],[Rank Pedro]]="High","Brown","")))</f>
        <v/>
      </c>
      <c r="V1994" s="4" t="e">
        <f>MAX(INDEX(Standards!$F$2:$F$296,MATCH(B1994,Standards!$B$2:$B$296,0)),INDEX(Standards!$F$2:$F$296,MATCH(C1994,Standards!$B$2:$B$296,0)))</f>
        <v>#N/A</v>
      </c>
      <c r="W1994" t="str">
        <f t="shared" si="95"/>
        <v>#2f89d1</v>
      </c>
    </row>
    <row r="1995" spans="1:23" x14ac:dyDescent="0.5">
      <c r="A1995" s="54">
        <v>1994</v>
      </c>
      <c r="B1995" s="90" t="s">
        <v>646</v>
      </c>
      <c r="C1995" t="s">
        <v>1346</v>
      </c>
      <c r="D1995" s="1"/>
      <c r="E1995" s="112">
        <v>1997.12</v>
      </c>
      <c r="F1995" s="112">
        <v>1997.12</v>
      </c>
      <c r="G1995" s="107" t="s">
        <v>1500</v>
      </c>
      <c r="H1995">
        <f>INDEX('GIS-Standards'!$A$2:$A$305,MATCH(B1995,'GIS-Standards'!$B$2:$B$305,0))</f>
        <v>89</v>
      </c>
      <c r="I1995" t="e">
        <f>INDEX('GIS-Standards'!$A$2:$A$305,MATCH(C1995,'GIS-Standards'!$B$2:$B$305,0))</f>
        <v>#N/A</v>
      </c>
      <c r="J1995" t="str">
        <f>INDEX('GIS-Standards'!$O$2:$O$305,MATCH(B1995,'GIS-Standards'!$B$2:$B$305,0))</f>
        <v>ISO/TC 211</v>
      </c>
      <c r="K1995" t="e">
        <f>INDEX('GIS-Standards'!$O$2:$O$305,MATCH(C1995,'GIS-Standards'!$B$2:$B$305,0))</f>
        <v>#N/A</v>
      </c>
      <c r="M1995" t="s">
        <v>525</v>
      </c>
      <c r="N1995">
        <f>INDEX('GIS-Standards'!$I$2:$I$305,MATCH(B1995,'GIS-Standards'!$B$2:$B$305,0))</f>
        <v>0</v>
      </c>
      <c r="O1995" t="e">
        <f>INDEX('GIS-Standards'!$I$2:$I$305,MATCH(C1995,'GIS-Standards'!$B$2:$B$305,0))</f>
        <v>#N/A</v>
      </c>
      <c r="P1995" t="e">
        <f>AND(TableRelationships12[[#This Row],[Source Type]]="BIM",TableRelationships12[[#This Row],[Target Type]]="BIM")</f>
        <v>#N/A</v>
      </c>
      <c r="Q1995">
        <f t="shared" si="93"/>
        <v>1</v>
      </c>
      <c r="S1995">
        <f t="shared" si="94"/>
        <v>1</v>
      </c>
      <c r="T1995" s="102" t="str">
        <f>IF(TableRelationships12[[#This Row],[Rank Pedro]]="Low","linkCategory1",IF(TableRelationships12[[#This Row],[Rank Pedro]]="Medium","linkCategory2",IF(TableRelationships12[[#This Row],[Rank Pedro]]="High","linkCategory3","")))</f>
        <v/>
      </c>
      <c r="U1995" s="102" t="str">
        <f>IF(TableRelationships12[[#This Row],[Rank Pedro]]="Low","Pink",IF(TableRelationships12[[#This Row],[Rank Pedro]]="Medium","Purple",IF(TableRelationships12[[#This Row],[Rank Pedro]]="High","Brown","")))</f>
        <v/>
      </c>
      <c r="V1995" s="4" t="e">
        <f>MAX(INDEX(Standards!$F$2:$F$296,MATCH(B1995,Standards!$B$2:$B$296,0)),INDEX(Standards!$F$2:$F$296,MATCH(C1995,Standards!$B$2:$B$296,0)))</f>
        <v>#N/A</v>
      </c>
      <c r="W1995" t="str">
        <f t="shared" si="95"/>
        <v>#2f89d1</v>
      </c>
    </row>
    <row r="1996" spans="1:23" x14ac:dyDescent="0.5">
      <c r="A1996" s="54">
        <v>1995</v>
      </c>
      <c r="B1996" s="90" t="s">
        <v>646</v>
      </c>
      <c r="C1996" t="s">
        <v>1347</v>
      </c>
      <c r="D1996" s="1"/>
      <c r="E1996" s="112">
        <v>1998.1</v>
      </c>
      <c r="F1996" s="112">
        <v>2004.05</v>
      </c>
      <c r="G1996" s="107" t="s">
        <v>1453</v>
      </c>
      <c r="H1996">
        <f>INDEX('GIS-Standards'!$A$2:$A$305,MATCH(B1996,'GIS-Standards'!$B$2:$B$305,0))</f>
        <v>89</v>
      </c>
      <c r="I1996" t="e">
        <f>INDEX('GIS-Standards'!$A$2:$A$305,MATCH(C1996,'GIS-Standards'!$B$2:$B$305,0))</f>
        <v>#N/A</v>
      </c>
      <c r="J1996" t="str">
        <f>INDEX('GIS-Standards'!$O$2:$O$305,MATCH(B1996,'GIS-Standards'!$B$2:$B$305,0))</f>
        <v>ISO/TC 211</v>
      </c>
      <c r="K1996" t="e">
        <f>INDEX('GIS-Standards'!$O$2:$O$305,MATCH(C1996,'GIS-Standards'!$B$2:$B$305,0))</f>
        <v>#N/A</v>
      </c>
      <c r="M1996" t="s">
        <v>525</v>
      </c>
      <c r="N1996">
        <f>INDEX('GIS-Standards'!$I$2:$I$305,MATCH(B1996,'GIS-Standards'!$B$2:$B$305,0))</f>
        <v>0</v>
      </c>
      <c r="O1996" t="e">
        <f>INDEX('GIS-Standards'!$I$2:$I$305,MATCH(C1996,'GIS-Standards'!$B$2:$B$305,0))</f>
        <v>#N/A</v>
      </c>
      <c r="P1996" t="e">
        <f>AND(TableRelationships12[[#This Row],[Source Type]]="BIM",TableRelationships12[[#This Row],[Target Type]]="BIM")</f>
        <v>#N/A</v>
      </c>
      <c r="Q1996">
        <f t="shared" si="93"/>
        <v>1</v>
      </c>
      <c r="S1996">
        <f t="shared" si="94"/>
        <v>1</v>
      </c>
      <c r="T1996" s="102" t="str">
        <f>IF(TableRelationships12[[#This Row],[Rank Pedro]]="Low","linkCategory1",IF(TableRelationships12[[#This Row],[Rank Pedro]]="Medium","linkCategory2",IF(TableRelationships12[[#This Row],[Rank Pedro]]="High","linkCategory3","")))</f>
        <v/>
      </c>
      <c r="U1996" s="102" t="str">
        <f>IF(TableRelationships12[[#This Row],[Rank Pedro]]="Low","Pink",IF(TableRelationships12[[#This Row],[Rank Pedro]]="Medium","Purple",IF(TableRelationships12[[#This Row],[Rank Pedro]]="High","Brown","")))</f>
        <v/>
      </c>
      <c r="V1996" s="4" t="e">
        <f>MAX(INDEX(Standards!$F$2:$F$296,MATCH(B1996,Standards!$B$2:$B$296,0)),INDEX(Standards!$F$2:$F$296,MATCH(C1996,Standards!$B$2:$B$296,0)))</f>
        <v>#N/A</v>
      </c>
      <c r="W1996" t="str">
        <f t="shared" si="95"/>
        <v>#2f89d1</v>
      </c>
    </row>
    <row r="1997" spans="1:23" x14ac:dyDescent="0.5">
      <c r="A1997" s="54">
        <v>1996</v>
      </c>
      <c r="B1997" s="90" t="s">
        <v>646</v>
      </c>
      <c r="C1997" t="s">
        <v>1261</v>
      </c>
      <c r="D1997" s="1"/>
      <c r="E1997" s="112">
        <v>2001.05</v>
      </c>
      <c r="F1997" s="112">
        <v>2003.11</v>
      </c>
      <c r="G1997" s="107" t="s">
        <v>1504</v>
      </c>
      <c r="H1997">
        <f>INDEX('GIS-Standards'!$A$2:$A$305,MATCH(B1997,'GIS-Standards'!$B$2:$B$305,0))</f>
        <v>89</v>
      </c>
      <c r="I1997" t="e">
        <f>INDEX('GIS-Standards'!$A$2:$A$305,MATCH(C1997,'GIS-Standards'!$B$2:$B$305,0))</f>
        <v>#N/A</v>
      </c>
      <c r="J1997" t="str">
        <f>INDEX('GIS-Standards'!$O$2:$O$305,MATCH(B1997,'GIS-Standards'!$B$2:$B$305,0))</f>
        <v>ISO/TC 211</v>
      </c>
      <c r="K1997" t="e">
        <f>INDEX('GIS-Standards'!$O$2:$O$305,MATCH(C1997,'GIS-Standards'!$B$2:$B$305,0))</f>
        <v>#N/A</v>
      </c>
      <c r="M1997" t="s">
        <v>525</v>
      </c>
      <c r="N1997">
        <f>INDEX('GIS-Standards'!$I$2:$I$305,MATCH(B1997,'GIS-Standards'!$B$2:$B$305,0))</f>
        <v>0</v>
      </c>
      <c r="O1997" t="e">
        <f>INDEX('GIS-Standards'!$I$2:$I$305,MATCH(C1997,'GIS-Standards'!$B$2:$B$305,0))</f>
        <v>#N/A</v>
      </c>
      <c r="P1997" t="e">
        <f>AND(TableRelationships12[[#This Row],[Source Type]]="BIM",TableRelationships12[[#This Row],[Target Type]]="BIM")</f>
        <v>#N/A</v>
      </c>
      <c r="Q1997">
        <f t="shared" si="93"/>
        <v>1</v>
      </c>
      <c r="S1997">
        <f t="shared" si="94"/>
        <v>1</v>
      </c>
      <c r="T1997" s="102" t="str">
        <f>IF(TableRelationships12[[#This Row],[Rank Pedro]]="Low","linkCategory1",IF(TableRelationships12[[#This Row],[Rank Pedro]]="Medium","linkCategory2",IF(TableRelationships12[[#This Row],[Rank Pedro]]="High","linkCategory3","")))</f>
        <v/>
      </c>
      <c r="U1997" s="102" t="str">
        <f>IF(TableRelationships12[[#This Row],[Rank Pedro]]="Low","Pink",IF(TableRelationships12[[#This Row],[Rank Pedro]]="Medium","Purple",IF(TableRelationships12[[#This Row],[Rank Pedro]]="High","Brown","")))</f>
        <v/>
      </c>
      <c r="V1997" s="4" t="e">
        <f>MAX(INDEX(Standards!$F$2:$F$296,MATCH(B1997,Standards!$B$2:$B$296,0)),INDEX(Standards!$F$2:$F$296,MATCH(C1997,Standards!$B$2:$B$296,0)))</f>
        <v>#N/A</v>
      </c>
      <c r="W1997" t="str">
        <f t="shared" si="95"/>
        <v>#2f89d1</v>
      </c>
    </row>
    <row r="1998" spans="1:23" x14ac:dyDescent="0.5">
      <c r="A1998" s="54">
        <v>1997</v>
      </c>
      <c r="B1998" s="90" t="s">
        <v>646</v>
      </c>
      <c r="C1998" t="s">
        <v>1628</v>
      </c>
      <c r="D1998" s="1"/>
      <c r="E1998" s="112">
        <v>1997.05</v>
      </c>
      <c r="F1998" s="112">
        <v>1997.05</v>
      </c>
      <c r="G1998" s="107" t="s">
        <v>1506</v>
      </c>
      <c r="H1998">
        <f>INDEX('GIS-Standards'!$A$2:$A$305,MATCH(B1998,'GIS-Standards'!$B$2:$B$305,0))</f>
        <v>89</v>
      </c>
      <c r="I1998" t="e">
        <f>INDEX('GIS-Standards'!$A$2:$A$305,MATCH(C1998,'GIS-Standards'!$B$2:$B$305,0))</f>
        <v>#N/A</v>
      </c>
      <c r="J1998" t="str">
        <f>INDEX('GIS-Standards'!$O$2:$O$305,MATCH(B1998,'GIS-Standards'!$B$2:$B$305,0))</f>
        <v>ISO/TC 211</v>
      </c>
      <c r="K1998" t="e">
        <f>INDEX('GIS-Standards'!$O$2:$O$305,MATCH(C1998,'GIS-Standards'!$B$2:$B$305,0))</f>
        <v>#N/A</v>
      </c>
      <c r="M1998" t="s">
        <v>525</v>
      </c>
      <c r="N1998">
        <f>INDEX('GIS-Standards'!$I$2:$I$305,MATCH(B1998,'GIS-Standards'!$B$2:$B$305,0))</f>
        <v>0</v>
      </c>
      <c r="O1998" t="e">
        <f>INDEX('GIS-Standards'!$I$2:$I$305,MATCH(C1998,'GIS-Standards'!$B$2:$B$305,0))</f>
        <v>#N/A</v>
      </c>
      <c r="P1998" t="e">
        <f>AND(TableRelationships12[[#This Row],[Source Type]]="BIM",TableRelationships12[[#This Row],[Target Type]]="BIM")</f>
        <v>#N/A</v>
      </c>
      <c r="Q1998">
        <f t="shared" si="93"/>
        <v>1</v>
      </c>
      <c r="S1998">
        <f t="shared" si="94"/>
        <v>1</v>
      </c>
      <c r="T1998" s="102" t="str">
        <f>IF(TableRelationships12[[#This Row],[Rank Pedro]]="Low","linkCategory1",IF(TableRelationships12[[#This Row],[Rank Pedro]]="Medium","linkCategory2",IF(TableRelationships12[[#This Row],[Rank Pedro]]="High","linkCategory3","")))</f>
        <v/>
      </c>
      <c r="U1998" s="102" t="str">
        <f>IF(TableRelationships12[[#This Row],[Rank Pedro]]="Low","Pink",IF(TableRelationships12[[#This Row],[Rank Pedro]]="Medium","Purple",IF(TableRelationships12[[#This Row],[Rank Pedro]]="High","Brown","")))</f>
        <v/>
      </c>
      <c r="V1998" s="4" t="e">
        <f>MAX(INDEX(Standards!$F$2:$F$296,MATCH(B1998,Standards!$B$2:$B$296,0)),INDEX(Standards!$F$2:$F$296,MATCH(C1998,Standards!$B$2:$B$296,0)))</f>
        <v>#N/A</v>
      </c>
      <c r="W1998" t="str">
        <f t="shared" si="95"/>
        <v>#2f89d1</v>
      </c>
    </row>
    <row r="1999" spans="1:23" x14ac:dyDescent="0.5">
      <c r="A1999" s="54">
        <v>1998</v>
      </c>
      <c r="B1999" s="90" t="s">
        <v>646</v>
      </c>
      <c r="C1999" t="s">
        <v>1629</v>
      </c>
      <c r="D1999" s="1"/>
      <c r="E1999" s="112">
        <v>1997.05</v>
      </c>
      <c r="F1999" s="112">
        <v>1997.05</v>
      </c>
      <c r="G1999" s="107" t="s">
        <v>1506</v>
      </c>
      <c r="H1999">
        <f>INDEX('GIS-Standards'!$A$2:$A$305,MATCH(B1999,'GIS-Standards'!$B$2:$B$305,0))</f>
        <v>89</v>
      </c>
      <c r="I1999" t="e">
        <f>INDEX('GIS-Standards'!$A$2:$A$305,MATCH(C1999,'GIS-Standards'!$B$2:$B$305,0))</f>
        <v>#N/A</v>
      </c>
      <c r="J1999" t="str">
        <f>INDEX('GIS-Standards'!$O$2:$O$305,MATCH(B1999,'GIS-Standards'!$B$2:$B$305,0))</f>
        <v>ISO/TC 211</v>
      </c>
      <c r="K1999" t="e">
        <f>INDEX('GIS-Standards'!$O$2:$O$305,MATCH(C1999,'GIS-Standards'!$B$2:$B$305,0))</f>
        <v>#N/A</v>
      </c>
      <c r="M1999" t="s">
        <v>525</v>
      </c>
      <c r="N1999">
        <f>INDEX('GIS-Standards'!$I$2:$I$305,MATCH(B1999,'GIS-Standards'!$B$2:$B$305,0))</f>
        <v>0</v>
      </c>
      <c r="O1999" t="e">
        <f>INDEX('GIS-Standards'!$I$2:$I$305,MATCH(C1999,'GIS-Standards'!$B$2:$B$305,0))</f>
        <v>#N/A</v>
      </c>
      <c r="P1999" t="e">
        <f>AND(TableRelationships12[[#This Row],[Source Type]]="BIM",TableRelationships12[[#This Row],[Target Type]]="BIM")</f>
        <v>#N/A</v>
      </c>
      <c r="Q1999">
        <f t="shared" si="93"/>
        <v>1</v>
      </c>
      <c r="S1999">
        <f t="shared" si="94"/>
        <v>1</v>
      </c>
      <c r="T1999" s="102" t="str">
        <f>IF(TableRelationships12[[#This Row],[Rank Pedro]]="Low","linkCategory1",IF(TableRelationships12[[#This Row],[Rank Pedro]]="Medium","linkCategory2",IF(TableRelationships12[[#This Row],[Rank Pedro]]="High","linkCategory3","")))</f>
        <v/>
      </c>
      <c r="U1999" s="102" t="str">
        <f>IF(TableRelationships12[[#This Row],[Rank Pedro]]="Low","Pink",IF(TableRelationships12[[#This Row],[Rank Pedro]]="Medium","Purple",IF(TableRelationships12[[#This Row],[Rank Pedro]]="High","Brown","")))</f>
        <v/>
      </c>
      <c r="V1999" s="4" t="e">
        <f>MAX(INDEX(Standards!$F$2:$F$296,MATCH(B1999,Standards!$B$2:$B$296,0)),INDEX(Standards!$F$2:$F$296,MATCH(C1999,Standards!$B$2:$B$296,0)))</f>
        <v>#N/A</v>
      </c>
      <c r="W1999" t="str">
        <f t="shared" si="95"/>
        <v>#2f89d1</v>
      </c>
    </row>
    <row r="2000" spans="1:23" x14ac:dyDescent="0.5">
      <c r="A2000" s="54">
        <v>1999</v>
      </c>
      <c r="B2000" s="90" t="s">
        <v>646</v>
      </c>
      <c r="C2000" t="s">
        <v>1630</v>
      </c>
      <c r="D2000" s="1"/>
      <c r="E2000" s="112">
        <v>1997.04</v>
      </c>
      <c r="F2000" s="112">
        <v>1997.04</v>
      </c>
      <c r="G2000" s="107" t="s">
        <v>1506</v>
      </c>
      <c r="H2000">
        <f>INDEX('GIS-Standards'!$A$2:$A$305,MATCH(B2000,'GIS-Standards'!$B$2:$B$305,0))</f>
        <v>89</v>
      </c>
      <c r="I2000" t="e">
        <f>INDEX('GIS-Standards'!$A$2:$A$305,MATCH(C2000,'GIS-Standards'!$B$2:$B$305,0))</f>
        <v>#N/A</v>
      </c>
      <c r="J2000" t="str">
        <f>INDEX('GIS-Standards'!$O$2:$O$305,MATCH(B2000,'GIS-Standards'!$B$2:$B$305,0))</f>
        <v>ISO/TC 211</v>
      </c>
      <c r="K2000" t="e">
        <f>INDEX('GIS-Standards'!$O$2:$O$305,MATCH(C2000,'GIS-Standards'!$B$2:$B$305,0))</f>
        <v>#N/A</v>
      </c>
      <c r="M2000" t="s">
        <v>525</v>
      </c>
      <c r="N2000">
        <f>INDEX('GIS-Standards'!$I$2:$I$305,MATCH(B2000,'GIS-Standards'!$B$2:$B$305,0))</f>
        <v>0</v>
      </c>
      <c r="O2000" t="e">
        <f>INDEX('GIS-Standards'!$I$2:$I$305,MATCH(C2000,'GIS-Standards'!$B$2:$B$305,0))</f>
        <v>#N/A</v>
      </c>
      <c r="P2000" t="e">
        <f>AND(TableRelationships12[[#This Row],[Source Type]]="BIM",TableRelationships12[[#This Row],[Target Type]]="BIM")</f>
        <v>#N/A</v>
      </c>
      <c r="Q2000">
        <f t="shared" si="93"/>
        <v>1</v>
      </c>
      <c r="S2000">
        <f t="shared" si="94"/>
        <v>1</v>
      </c>
      <c r="T2000" s="102" t="str">
        <f>IF(TableRelationships12[[#This Row],[Rank Pedro]]="Low","linkCategory1",IF(TableRelationships12[[#This Row],[Rank Pedro]]="Medium","linkCategory2",IF(TableRelationships12[[#This Row],[Rank Pedro]]="High","linkCategory3","")))</f>
        <v/>
      </c>
      <c r="U2000" s="102" t="str">
        <f>IF(TableRelationships12[[#This Row],[Rank Pedro]]="Low","Pink",IF(TableRelationships12[[#This Row],[Rank Pedro]]="Medium","Purple",IF(TableRelationships12[[#This Row],[Rank Pedro]]="High","Brown","")))</f>
        <v/>
      </c>
      <c r="V2000" s="4" t="e">
        <f>MAX(INDEX(Standards!$F$2:$F$296,MATCH(B2000,Standards!$B$2:$B$296,0)),INDEX(Standards!$F$2:$F$296,MATCH(C2000,Standards!$B$2:$B$296,0)))</f>
        <v>#N/A</v>
      </c>
      <c r="W2000" t="str">
        <f t="shared" si="95"/>
        <v>#2f89d1</v>
      </c>
    </row>
    <row r="2001" spans="1:23" x14ac:dyDescent="0.5">
      <c r="A2001" s="54">
        <v>2000</v>
      </c>
      <c r="B2001" s="90" t="s">
        <v>646</v>
      </c>
      <c r="C2001" t="s">
        <v>1631</v>
      </c>
      <c r="D2001" s="1"/>
      <c r="E2001" s="112">
        <v>1998.1</v>
      </c>
      <c r="F2001" s="112">
        <v>1998.1</v>
      </c>
      <c r="G2001" s="107" t="s">
        <v>1506</v>
      </c>
      <c r="H2001">
        <f>INDEX('GIS-Standards'!$A$2:$A$305,MATCH(B2001,'GIS-Standards'!$B$2:$B$305,0))</f>
        <v>89</v>
      </c>
      <c r="I2001" t="e">
        <f>INDEX('GIS-Standards'!$A$2:$A$305,MATCH(C2001,'GIS-Standards'!$B$2:$B$305,0))</f>
        <v>#N/A</v>
      </c>
      <c r="J2001" t="str">
        <f>INDEX('GIS-Standards'!$O$2:$O$305,MATCH(B2001,'GIS-Standards'!$B$2:$B$305,0))</f>
        <v>ISO/TC 211</v>
      </c>
      <c r="K2001" t="e">
        <f>INDEX('GIS-Standards'!$O$2:$O$305,MATCH(C2001,'GIS-Standards'!$B$2:$B$305,0))</f>
        <v>#N/A</v>
      </c>
      <c r="M2001" t="s">
        <v>525</v>
      </c>
      <c r="N2001">
        <f>INDEX('GIS-Standards'!$I$2:$I$305,MATCH(B2001,'GIS-Standards'!$B$2:$B$305,0))</f>
        <v>0</v>
      </c>
      <c r="O2001" t="e">
        <f>INDEX('GIS-Standards'!$I$2:$I$305,MATCH(C2001,'GIS-Standards'!$B$2:$B$305,0))</f>
        <v>#N/A</v>
      </c>
      <c r="P2001" t="e">
        <f>AND(TableRelationships12[[#This Row],[Source Type]]="BIM",TableRelationships12[[#This Row],[Target Type]]="BIM")</f>
        <v>#N/A</v>
      </c>
      <c r="Q2001">
        <f t="shared" si="93"/>
        <v>1</v>
      </c>
      <c r="S2001">
        <f t="shared" si="94"/>
        <v>1</v>
      </c>
      <c r="T2001" s="102" t="str">
        <f>IF(TableRelationships12[[#This Row],[Rank Pedro]]="Low","linkCategory1",IF(TableRelationships12[[#This Row],[Rank Pedro]]="Medium","linkCategory2",IF(TableRelationships12[[#This Row],[Rank Pedro]]="High","linkCategory3","")))</f>
        <v/>
      </c>
      <c r="U2001" s="102" t="str">
        <f>IF(TableRelationships12[[#This Row],[Rank Pedro]]="Low","Pink",IF(TableRelationships12[[#This Row],[Rank Pedro]]="Medium","Purple",IF(TableRelationships12[[#This Row],[Rank Pedro]]="High","Brown","")))</f>
        <v/>
      </c>
      <c r="V2001" s="4" t="e">
        <f>MAX(INDEX(Standards!$F$2:$F$296,MATCH(B2001,Standards!$B$2:$B$296,0)),INDEX(Standards!$F$2:$F$296,MATCH(C2001,Standards!$B$2:$B$296,0)))</f>
        <v>#N/A</v>
      </c>
      <c r="W2001" t="str">
        <f t="shared" si="95"/>
        <v>#2f89d1</v>
      </c>
    </row>
    <row r="2002" spans="1:23" x14ac:dyDescent="0.5">
      <c r="A2002" s="54">
        <v>2001</v>
      </c>
      <c r="B2002" s="90" t="s">
        <v>646</v>
      </c>
      <c r="C2002" t="s">
        <v>1632</v>
      </c>
      <c r="D2002" s="1"/>
      <c r="E2002" s="112">
        <v>2001.04</v>
      </c>
      <c r="F2002" s="112">
        <v>2001.04</v>
      </c>
      <c r="G2002" s="107" t="s">
        <v>1506</v>
      </c>
      <c r="H2002">
        <f>INDEX('GIS-Standards'!$A$2:$A$305,MATCH(B2002,'GIS-Standards'!$B$2:$B$305,0))</f>
        <v>89</v>
      </c>
      <c r="I2002" t="e">
        <f>INDEX('GIS-Standards'!$A$2:$A$305,MATCH(C2002,'GIS-Standards'!$B$2:$B$305,0))</f>
        <v>#N/A</v>
      </c>
      <c r="J2002" t="str">
        <f>INDEX('GIS-Standards'!$O$2:$O$305,MATCH(B2002,'GIS-Standards'!$B$2:$B$305,0))</f>
        <v>ISO/TC 211</v>
      </c>
      <c r="K2002" t="e">
        <f>INDEX('GIS-Standards'!$O$2:$O$305,MATCH(C2002,'GIS-Standards'!$B$2:$B$305,0))</f>
        <v>#N/A</v>
      </c>
      <c r="M2002" t="s">
        <v>525</v>
      </c>
      <c r="N2002">
        <f>INDEX('GIS-Standards'!$I$2:$I$305,MATCH(B2002,'GIS-Standards'!$B$2:$B$305,0))</f>
        <v>0</v>
      </c>
      <c r="O2002" t="e">
        <f>INDEX('GIS-Standards'!$I$2:$I$305,MATCH(C2002,'GIS-Standards'!$B$2:$B$305,0))</f>
        <v>#N/A</v>
      </c>
      <c r="P2002" t="e">
        <f>AND(TableRelationships12[[#This Row],[Source Type]]="BIM",TableRelationships12[[#This Row],[Target Type]]="BIM")</f>
        <v>#N/A</v>
      </c>
      <c r="Q2002">
        <f t="shared" si="93"/>
        <v>1</v>
      </c>
      <c r="S2002">
        <f t="shared" si="94"/>
        <v>1</v>
      </c>
      <c r="T2002" s="102" t="str">
        <f>IF(TableRelationships12[[#This Row],[Rank Pedro]]="Low","linkCategory1",IF(TableRelationships12[[#This Row],[Rank Pedro]]="Medium","linkCategory2",IF(TableRelationships12[[#This Row],[Rank Pedro]]="High","linkCategory3","")))</f>
        <v/>
      </c>
      <c r="U2002" s="102" t="str">
        <f>IF(TableRelationships12[[#This Row],[Rank Pedro]]="Low","Pink",IF(TableRelationships12[[#This Row],[Rank Pedro]]="Medium","Purple",IF(TableRelationships12[[#This Row],[Rank Pedro]]="High","Brown","")))</f>
        <v/>
      </c>
      <c r="V2002" s="4" t="e">
        <f>MAX(INDEX(Standards!$F$2:$F$296,MATCH(B2002,Standards!$B$2:$B$296,0)),INDEX(Standards!$F$2:$F$296,MATCH(C2002,Standards!$B$2:$B$296,0)))</f>
        <v>#N/A</v>
      </c>
      <c r="W2002" t="str">
        <f t="shared" si="95"/>
        <v>#2f89d1</v>
      </c>
    </row>
    <row r="2003" spans="1:23" x14ac:dyDescent="0.5">
      <c r="A2003" s="54">
        <v>2002</v>
      </c>
      <c r="B2003" s="90" t="s">
        <v>646</v>
      </c>
      <c r="C2003" t="s">
        <v>1633</v>
      </c>
      <c r="D2003" s="1"/>
      <c r="E2003" s="112">
        <v>2001.05</v>
      </c>
      <c r="F2003" s="112">
        <v>2001.05</v>
      </c>
      <c r="G2003" s="107" t="s">
        <v>1506</v>
      </c>
      <c r="H2003">
        <f>INDEX('GIS-Standards'!$A$2:$A$305,MATCH(B2003,'GIS-Standards'!$B$2:$B$305,0))</f>
        <v>89</v>
      </c>
      <c r="I2003" t="e">
        <f>INDEX('GIS-Standards'!$A$2:$A$305,MATCH(C2003,'GIS-Standards'!$B$2:$B$305,0))</f>
        <v>#N/A</v>
      </c>
      <c r="J2003" t="str">
        <f>INDEX('GIS-Standards'!$O$2:$O$305,MATCH(B2003,'GIS-Standards'!$B$2:$B$305,0))</f>
        <v>ISO/TC 211</v>
      </c>
      <c r="K2003" t="e">
        <f>INDEX('GIS-Standards'!$O$2:$O$305,MATCH(C2003,'GIS-Standards'!$B$2:$B$305,0))</f>
        <v>#N/A</v>
      </c>
      <c r="M2003" t="s">
        <v>525</v>
      </c>
      <c r="N2003">
        <f>INDEX('GIS-Standards'!$I$2:$I$305,MATCH(B2003,'GIS-Standards'!$B$2:$B$305,0))</f>
        <v>0</v>
      </c>
      <c r="O2003" t="e">
        <f>INDEX('GIS-Standards'!$I$2:$I$305,MATCH(C2003,'GIS-Standards'!$B$2:$B$305,0))</f>
        <v>#N/A</v>
      </c>
      <c r="P2003" t="e">
        <f>AND(TableRelationships12[[#This Row],[Source Type]]="BIM",TableRelationships12[[#This Row],[Target Type]]="BIM")</f>
        <v>#N/A</v>
      </c>
      <c r="Q2003">
        <f t="shared" si="93"/>
        <v>1</v>
      </c>
      <c r="S2003">
        <f t="shared" si="94"/>
        <v>1</v>
      </c>
      <c r="T2003" s="102" t="str">
        <f>IF(TableRelationships12[[#This Row],[Rank Pedro]]="Low","linkCategory1",IF(TableRelationships12[[#This Row],[Rank Pedro]]="Medium","linkCategory2",IF(TableRelationships12[[#This Row],[Rank Pedro]]="High","linkCategory3","")))</f>
        <v/>
      </c>
      <c r="U2003" s="102" t="str">
        <f>IF(TableRelationships12[[#This Row],[Rank Pedro]]="Low","Pink",IF(TableRelationships12[[#This Row],[Rank Pedro]]="Medium","Purple",IF(TableRelationships12[[#This Row],[Rank Pedro]]="High","Brown","")))</f>
        <v/>
      </c>
      <c r="V2003" s="4" t="e">
        <f>MAX(INDEX(Standards!$F$2:$F$296,MATCH(B2003,Standards!$B$2:$B$296,0)),INDEX(Standards!$F$2:$F$296,MATCH(C2003,Standards!$B$2:$B$296,0)))</f>
        <v>#N/A</v>
      </c>
      <c r="W2003" t="str">
        <f t="shared" si="95"/>
        <v>#2f89d1</v>
      </c>
    </row>
    <row r="2004" spans="1:23" x14ac:dyDescent="0.5">
      <c r="A2004" s="54">
        <v>2003</v>
      </c>
      <c r="B2004" s="90" t="s">
        <v>646</v>
      </c>
      <c r="C2004" t="s">
        <v>1634</v>
      </c>
      <c r="D2004" s="1"/>
      <c r="E2004" s="112">
        <v>1996.04</v>
      </c>
      <c r="F2004" s="112">
        <v>2025.08</v>
      </c>
      <c r="G2004" s="107" t="s">
        <v>1506</v>
      </c>
      <c r="H2004">
        <f>INDEX('GIS-Standards'!$A$2:$A$305,MATCH(B2004,'GIS-Standards'!$B$2:$B$305,0))</f>
        <v>89</v>
      </c>
      <c r="I2004" t="e">
        <f>INDEX('GIS-Standards'!$A$2:$A$305,MATCH(C2004,'GIS-Standards'!$B$2:$B$305,0))</f>
        <v>#N/A</v>
      </c>
      <c r="J2004" t="str">
        <f>INDEX('GIS-Standards'!$O$2:$O$305,MATCH(B2004,'GIS-Standards'!$B$2:$B$305,0))</f>
        <v>ISO/TC 211</v>
      </c>
      <c r="K2004" t="e">
        <f>INDEX('GIS-Standards'!$O$2:$O$305,MATCH(C2004,'GIS-Standards'!$B$2:$B$305,0))</f>
        <v>#N/A</v>
      </c>
      <c r="M2004" t="s">
        <v>525</v>
      </c>
      <c r="N2004">
        <f>INDEX('GIS-Standards'!$I$2:$I$305,MATCH(B2004,'GIS-Standards'!$B$2:$B$305,0))</f>
        <v>0</v>
      </c>
      <c r="O2004" t="e">
        <f>INDEX('GIS-Standards'!$I$2:$I$305,MATCH(C2004,'GIS-Standards'!$B$2:$B$305,0))</f>
        <v>#N/A</v>
      </c>
      <c r="P2004" t="e">
        <f>AND(TableRelationships12[[#This Row],[Source Type]]="BIM",TableRelationships12[[#This Row],[Target Type]]="BIM")</f>
        <v>#N/A</v>
      </c>
      <c r="Q2004">
        <f t="shared" si="93"/>
        <v>1</v>
      </c>
      <c r="S2004">
        <f t="shared" si="94"/>
        <v>1</v>
      </c>
      <c r="T2004" s="102" t="str">
        <f>IF(TableRelationships12[[#This Row],[Rank Pedro]]="Low","linkCategory1",IF(TableRelationships12[[#This Row],[Rank Pedro]]="Medium","linkCategory2",IF(TableRelationships12[[#This Row],[Rank Pedro]]="High","linkCategory3","")))</f>
        <v/>
      </c>
      <c r="U2004" s="102" t="str">
        <f>IF(TableRelationships12[[#This Row],[Rank Pedro]]="Low","Pink",IF(TableRelationships12[[#This Row],[Rank Pedro]]="Medium","Purple",IF(TableRelationships12[[#This Row],[Rank Pedro]]="High","Brown","")))</f>
        <v/>
      </c>
      <c r="V2004" s="4" t="e">
        <f>MAX(INDEX(Standards!$F$2:$F$296,MATCH(B2004,Standards!$B$2:$B$296,0)),INDEX(Standards!$F$2:$F$296,MATCH(C2004,Standards!$B$2:$B$296,0)))</f>
        <v>#N/A</v>
      </c>
      <c r="W2004" t="str">
        <f t="shared" si="95"/>
        <v>#2f89d1</v>
      </c>
    </row>
    <row r="2005" spans="1:23" x14ac:dyDescent="0.5">
      <c r="A2005" s="54">
        <v>2004</v>
      </c>
      <c r="B2005" s="90" t="s">
        <v>646</v>
      </c>
      <c r="C2005" t="s">
        <v>1635</v>
      </c>
      <c r="D2005" s="1"/>
      <c r="E2005" s="112">
        <v>1996.05</v>
      </c>
      <c r="F2005" s="112">
        <v>2013.1</v>
      </c>
      <c r="G2005" s="107" t="s">
        <v>1506</v>
      </c>
      <c r="H2005">
        <f>INDEX('GIS-Standards'!$A$2:$A$305,MATCH(B2005,'GIS-Standards'!$B$2:$B$305,0))</f>
        <v>89</v>
      </c>
      <c r="I2005" t="e">
        <f>INDEX('GIS-Standards'!$A$2:$A$305,MATCH(C2005,'GIS-Standards'!$B$2:$B$305,0))</f>
        <v>#N/A</v>
      </c>
      <c r="J2005" t="str">
        <f>INDEX('GIS-Standards'!$O$2:$O$305,MATCH(B2005,'GIS-Standards'!$B$2:$B$305,0))</f>
        <v>ISO/TC 211</v>
      </c>
      <c r="K2005" t="e">
        <f>INDEX('GIS-Standards'!$O$2:$O$305,MATCH(C2005,'GIS-Standards'!$B$2:$B$305,0))</f>
        <v>#N/A</v>
      </c>
      <c r="M2005" t="s">
        <v>525</v>
      </c>
      <c r="N2005">
        <f>INDEX('GIS-Standards'!$I$2:$I$305,MATCH(B2005,'GIS-Standards'!$B$2:$B$305,0))</f>
        <v>0</v>
      </c>
      <c r="O2005" t="e">
        <f>INDEX('GIS-Standards'!$I$2:$I$305,MATCH(C2005,'GIS-Standards'!$B$2:$B$305,0))</f>
        <v>#N/A</v>
      </c>
      <c r="P2005" t="e">
        <f>AND(TableRelationships12[[#This Row],[Source Type]]="BIM",TableRelationships12[[#This Row],[Target Type]]="BIM")</f>
        <v>#N/A</v>
      </c>
      <c r="Q2005">
        <f t="shared" si="93"/>
        <v>1</v>
      </c>
      <c r="S2005">
        <f t="shared" si="94"/>
        <v>1</v>
      </c>
      <c r="T2005" s="102" t="str">
        <f>IF(TableRelationships12[[#This Row],[Rank Pedro]]="Low","linkCategory1",IF(TableRelationships12[[#This Row],[Rank Pedro]]="Medium","linkCategory2",IF(TableRelationships12[[#This Row],[Rank Pedro]]="High","linkCategory3","")))</f>
        <v/>
      </c>
      <c r="U2005" s="102" t="str">
        <f>IF(TableRelationships12[[#This Row],[Rank Pedro]]="Low","Pink",IF(TableRelationships12[[#This Row],[Rank Pedro]]="Medium","Purple",IF(TableRelationships12[[#This Row],[Rank Pedro]]="High","Brown","")))</f>
        <v/>
      </c>
      <c r="V2005" s="4" t="e">
        <f>MAX(INDEX(Standards!$F$2:$F$296,MATCH(B2005,Standards!$B$2:$B$296,0)),INDEX(Standards!$F$2:$F$296,MATCH(C2005,Standards!$B$2:$B$296,0)))</f>
        <v>#N/A</v>
      </c>
      <c r="W2005" t="str">
        <f t="shared" si="95"/>
        <v>#2f89d1</v>
      </c>
    </row>
    <row r="2006" spans="1:23" x14ac:dyDescent="0.5">
      <c r="A2006" s="54">
        <v>2005</v>
      </c>
      <c r="B2006" s="90" t="s">
        <v>646</v>
      </c>
      <c r="C2006" t="s">
        <v>1636</v>
      </c>
      <c r="D2006" s="1"/>
      <c r="E2006" s="112">
        <v>1995.05</v>
      </c>
      <c r="F2006" s="112">
        <v>1998.04</v>
      </c>
      <c r="G2006" s="107" t="s">
        <v>1506</v>
      </c>
      <c r="H2006">
        <f>INDEX('GIS-Standards'!$A$2:$A$305,MATCH(B2006,'GIS-Standards'!$B$2:$B$305,0))</f>
        <v>89</v>
      </c>
      <c r="I2006" t="e">
        <f>INDEX('GIS-Standards'!$A$2:$A$305,MATCH(C2006,'GIS-Standards'!$B$2:$B$305,0))</f>
        <v>#N/A</v>
      </c>
      <c r="J2006" t="str">
        <f>INDEX('GIS-Standards'!$O$2:$O$305,MATCH(B2006,'GIS-Standards'!$B$2:$B$305,0))</f>
        <v>ISO/TC 211</v>
      </c>
      <c r="K2006" t="e">
        <f>INDEX('GIS-Standards'!$O$2:$O$305,MATCH(C2006,'GIS-Standards'!$B$2:$B$305,0))</f>
        <v>#N/A</v>
      </c>
      <c r="M2006" t="s">
        <v>525</v>
      </c>
      <c r="N2006">
        <f>INDEX('GIS-Standards'!$I$2:$I$305,MATCH(B2006,'GIS-Standards'!$B$2:$B$305,0))</f>
        <v>0</v>
      </c>
      <c r="O2006" t="e">
        <f>INDEX('GIS-Standards'!$I$2:$I$305,MATCH(C2006,'GIS-Standards'!$B$2:$B$305,0))</f>
        <v>#N/A</v>
      </c>
      <c r="P2006" t="e">
        <f>AND(TableRelationships12[[#This Row],[Source Type]]="BIM",TableRelationships12[[#This Row],[Target Type]]="BIM")</f>
        <v>#N/A</v>
      </c>
      <c r="Q2006">
        <f t="shared" si="93"/>
        <v>1</v>
      </c>
      <c r="S2006">
        <f t="shared" si="94"/>
        <v>1</v>
      </c>
      <c r="T2006" s="102" t="str">
        <f>IF(TableRelationships12[[#This Row],[Rank Pedro]]="Low","linkCategory1",IF(TableRelationships12[[#This Row],[Rank Pedro]]="Medium","linkCategory2",IF(TableRelationships12[[#This Row],[Rank Pedro]]="High","linkCategory3","")))</f>
        <v/>
      </c>
      <c r="U2006" s="102" t="str">
        <f>IF(TableRelationships12[[#This Row],[Rank Pedro]]="Low","Pink",IF(TableRelationships12[[#This Row],[Rank Pedro]]="Medium","Purple",IF(TableRelationships12[[#This Row],[Rank Pedro]]="High","Brown","")))</f>
        <v/>
      </c>
      <c r="V2006" s="4" t="e">
        <f>MAX(INDEX(Standards!$F$2:$F$296,MATCH(B2006,Standards!$B$2:$B$296,0)),INDEX(Standards!$F$2:$F$296,MATCH(C2006,Standards!$B$2:$B$296,0)))</f>
        <v>#N/A</v>
      </c>
      <c r="W2006" t="str">
        <f t="shared" si="95"/>
        <v>#2f89d1</v>
      </c>
    </row>
    <row r="2007" spans="1:23" x14ac:dyDescent="0.5">
      <c r="A2007" s="54">
        <v>2006</v>
      </c>
      <c r="B2007" s="90" t="s">
        <v>646</v>
      </c>
      <c r="C2007" t="s">
        <v>1637</v>
      </c>
      <c r="D2007" s="1"/>
      <c r="E2007" s="112">
        <v>1998.12</v>
      </c>
      <c r="F2007" s="112">
        <v>2009.06</v>
      </c>
      <c r="G2007" s="107" t="s">
        <v>1506</v>
      </c>
      <c r="H2007">
        <f>INDEX('GIS-Standards'!$A$2:$A$305,MATCH(B2007,'GIS-Standards'!$B$2:$B$305,0))</f>
        <v>89</v>
      </c>
      <c r="I2007" t="e">
        <f>INDEX('GIS-Standards'!$A$2:$A$305,MATCH(C2007,'GIS-Standards'!$B$2:$B$305,0))</f>
        <v>#N/A</v>
      </c>
      <c r="J2007" t="str">
        <f>INDEX('GIS-Standards'!$O$2:$O$305,MATCH(B2007,'GIS-Standards'!$B$2:$B$305,0))</f>
        <v>ISO/TC 211</v>
      </c>
      <c r="K2007" t="e">
        <f>INDEX('GIS-Standards'!$O$2:$O$305,MATCH(C2007,'GIS-Standards'!$B$2:$B$305,0))</f>
        <v>#N/A</v>
      </c>
      <c r="M2007" t="s">
        <v>525</v>
      </c>
      <c r="N2007">
        <f>INDEX('GIS-Standards'!$I$2:$I$305,MATCH(B2007,'GIS-Standards'!$B$2:$B$305,0))</f>
        <v>0</v>
      </c>
      <c r="O2007" t="e">
        <f>INDEX('GIS-Standards'!$I$2:$I$305,MATCH(C2007,'GIS-Standards'!$B$2:$B$305,0))</f>
        <v>#N/A</v>
      </c>
      <c r="P2007" t="e">
        <f>AND(TableRelationships12[[#This Row],[Source Type]]="BIM",TableRelationships12[[#This Row],[Target Type]]="BIM")</f>
        <v>#N/A</v>
      </c>
      <c r="Q2007">
        <f t="shared" si="93"/>
        <v>1</v>
      </c>
      <c r="S2007">
        <f t="shared" si="94"/>
        <v>1</v>
      </c>
      <c r="T2007" s="102" t="str">
        <f>IF(TableRelationships12[[#This Row],[Rank Pedro]]="Low","linkCategory1",IF(TableRelationships12[[#This Row],[Rank Pedro]]="Medium","linkCategory2",IF(TableRelationships12[[#This Row],[Rank Pedro]]="High","linkCategory3","")))</f>
        <v/>
      </c>
      <c r="U2007" s="102" t="str">
        <f>IF(TableRelationships12[[#This Row],[Rank Pedro]]="Low","Pink",IF(TableRelationships12[[#This Row],[Rank Pedro]]="Medium","Purple",IF(TableRelationships12[[#This Row],[Rank Pedro]]="High","Brown","")))</f>
        <v/>
      </c>
      <c r="V2007" s="4" t="e">
        <f>MAX(INDEX(Standards!$F$2:$F$296,MATCH(B2007,Standards!$B$2:$B$296,0)),INDEX(Standards!$F$2:$F$296,MATCH(C2007,Standards!$B$2:$B$296,0)))</f>
        <v>#N/A</v>
      </c>
      <c r="W2007" t="str">
        <f t="shared" si="95"/>
        <v>#2f89d1</v>
      </c>
    </row>
    <row r="2008" spans="1:23" x14ac:dyDescent="0.5">
      <c r="A2008" s="54">
        <v>2007</v>
      </c>
      <c r="B2008" s="90" t="s">
        <v>646</v>
      </c>
      <c r="C2008" t="s">
        <v>1638</v>
      </c>
      <c r="D2008" s="1"/>
      <c r="E2008" s="112">
        <v>1997.12</v>
      </c>
      <c r="F2008" s="112">
        <v>2005.1</v>
      </c>
      <c r="G2008" s="107" t="s">
        <v>1506</v>
      </c>
      <c r="H2008">
        <f>INDEX('GIS-Standards'!$A$2:$A$305,MATCH(B2008,'GIS-Standards'!$B$2:$B$305,0))</f>
        <v>89</v>
      </c>
      <c r="I2008" t="e">
        <f>INDEX('GIS-Standards'!$A$2:$A$305,MATCH(C2008,'GIS-Standards'!$B$2:$B$305,0))</f>
        <v>#N/A</v>
      </c>
      <c r="J2008" t="str">
        <f>INDEX('GIS-Standards'!$O$2:$O$305,MATCH(B2008,'GIS-Standards'!$B$2:$B$305,0))</f>
        <v>ISO/TC 211</v>
      </c>
      <c r="K2008" t="e">
        <f>INDEX('GIS-Standards'!$O$2:$O$305,MATCH(C2008,'GIS-Standards'!$B$2:$B$305,0))</f>
        <v>#N/A</v>
      </c>
      <c r="M2008" t="s">
        <v>525</v>
      </c>
      <c r="N2008">
        <f>INDEX('GIS-Standards'!$I$2:$I$305,MATCH(B2008,'GIS-Standards'!$B$2:$B$305,0))</f>
        <v>0</v>
      </c>
      <c r="O2008" t="e">
        <f>INDEX('GIS-Standards'!$I$2:$I$305,MATCH(C2008,'GIS-Standards'!$B$2:$B$305,0))</f>
        <v>#N/A</v>
      </c>
      <c r="P2008" t="e">
        <f>AND(TableRelationships12[[#This Row],[Source Type]]="BIM",TableRelationships12[[#This Row],[Target Type]]="BIM")</f>
        <v>#N/A</v>
      </c>
      <c r="Q2008">
        <f t="shared" si="93"/>
        <v>1</v>
      </c>
      <c r="S2008">
        <f t="shared" si="94"/>
        <v>1</v>
      </c>
      <c r="T2008" s="102" t="str">
        <f>IF(TableRelationships12[[#This Row],[Rank Pedro]]="Low","linkCategory1",IF(TableRelationships12[[#This Row],[Rank Pedro]]="Medium","linkCategory2",IF(TableRelationships12[[#This Row],[Rank Pedro]]="High","linkCategory3","")))</f>
        <v/>
      </c>
      <c r="U2008" s="102" t="str">
        <f>IF(TableRelationships12[[#This Row],[Rank Pedro]]="Low","Pink",IF(TableRelationships12[[#This Row],[Rank Pedro]]="Medium","Purple",IF(TableRelationships12[[#This Row],[Rank Pedro]]="High","Brown","")))</f>
        <v/>
      </c>
      <c r="V2008" s="4" t="e">
        <f>MAX(INDEX(Standards!$F$2:$F$296,MATCH(B2008,Standards!$B$2:$B$296,0)),INDEX(Standards!$F$2:$F$296,MATCH(C2008,Standards!$B$2:$B$296,0)))</f>
        <v>#N/A</v>
      </c>
      <c r="W2008" t="str">
        <f t="shared" si="95"/>
        <v>#2f89d1</v>
      </c>
    </row>
    <row r="2009" spans="1:23" x14ac:dyDescent="0.5">
      <c r="A2009" s="54">
        <v>2008</v>
      </c>
      <c r="B2009" s="90" t="s">
        <v>646</v>
      </c>
      <c r="C2009" t="s">
        <v>1639</v>
      </c>
      <c r="D2009" s="1"/>
      <c r="E2009" s="112">
        <v>1998.1</v>
      </c>
      <c r="F2009" s="112">
        <v>2001.08</v>
      </c>
      <c r="G2009" s="107" t="s">
        <v>1506</v>
      </c>
      <c r="H2009">
        <f>INDEX('GIS-Standards'!$A$2:$A$305,MATCH(B2009,'GIS-Standards'!$B$2:$B$305,0))</f>
        <v>89</v>
      </c>
      <c r="I2009" t="e">
        <f>INDEX('GIS-Standards'!$A$2:$A$305,MATCH(C2009,'GIS-Standards'!$B$2:$B$305,0))</f>
        <v>#N/A</v>
      </c>
      <c r="J2009" t="str">
        <f>INDEX('GIS-Standards'!$O$2:$O$305,MATCH(B2009,'GIS-Standards'!$B$2:$B$305,0))</f>
        <v>ISO/TC 211</v>
      </c>
      <c r="K2009" t="e">
        <f>INDEX('GIS-Standards'!$O$2:$O$305,MATCH(C2009,'GIS-Standards'!$B$2:$B$305,0))</f>
        <v>#N/A</v>
      </c>
      <c r="M2009" t="s">
        <v>525</v>
      </c>
      <c r="N2009">
        <f>INDEX('GIS-Standards'!$I$2:$I$305,MATCH(B2009,'GIS-Standards'!$B$2:$B$305,0))</f>
        <v>0</v>
      </c>
      <c r="O2009" t="e">
        <f>INDEX('GIS-Standards'!$I$2:$I$305,MATCH(C2009,'GIS-Standards'!$B$2:$B$305,0))</f>
        <v>#N/A</v>
      </c>
      <c r="P2009" t="e">
        <f>AND(TableRelationships12[[#This Row],[Source Type]]="BIM",TableRelationships12[[#This Row],[Target Type]]="BIM")</f>
        <v>#N/A</v>
      </c>
      <c r="Q2009">
        <f t="shared" si="93"/>
        <v>1</v>
      </c>
      <c r="S2009">
        <f t="shared" si="94"/>
        <v>1</v>
      </c>
      <c r="T2009" s="102" t="str">
        <f>IF(TableRelationships12[[#This Row],[Rank Pedro]]="Low","linkCategory1",IF(TableRelationships12[[#This Row],[Rank Pedro]]="Medium","linkCategory2",IF(TableRelationships12[[#This Row],[Rank Pedro]]="High","linkCategory3","")))</f>
        <v/>
      </c>
      <c r="U2009" s="102" t="str">
        <f>IF(TableRelationships12[[#This Row],[Rank Pedro]]="Low","Pink",IF(TableRelationships12[[#This Row],[Rank Pedro]]="Medium","Purple",IF(TableRelationships12[[#This Row],[Rank Pedro]]="High","Brown","")))</f>
        <v/>
      </c>
      <c r="V2009" s="4" t="e">
        <f>MAX(INDEX(Standards!$F$2:$F$296,MATCH(B2009,Standards!$B$2:$B$296,0)),INDEX(Standards!$F$2:$F$296,MATCH(C2009,Standards!$B$2:$B$296,0)))</f>
        <v>#N/A</v>
      </c>
      <c r="W2009" t="str">
        <f t="shared" si="95"/>
        <v>#2f89d1</v>
      </c>
    </row>
    <row r="2010" spans="1:23" x14ac:dyDescent="0.5">
      <c r="A2010" s="54">
        <v>2009</v>
      </c>
      <c r="B2010" s="90" t="s">
        <v>646</v>
      </c>
      <c r="C2010" t="s">
        <v>1640</v>
      </c>
      <c r="D2010" s="1"/>
      <c r="E2010" s="112">
        <v>1997.12</v>
      </c>
      <c r="F2010" s="112">
        <v>2007.11</v>
      </c>
      <c r="G2010" s="107" t="s">
        <v>1506</v>
      </c>
      <c r="H2010">
        <f>INDEX('GIS-Standards'!$A$2:$A$305,MATCH(B2010,'GIS-Standards'!$B$2:$B$305,0))</f>
        <v>89</v>
      </c>
      <c r="I2010" t="e">
        <f>INDEX('GIS-Standards'!$A$2:$A$305,MATCH(C2010,'GIS-Standards'!$B$2:$B$305,0))</f>
        <v>#N/A</v>
      </c>
      <c r="J2010" t="str">
        <f>INDEX('GIS-Standards'!$O$2:$O$305,MATCH(B2010,'GIS-Standards'!$B$2:$B$305,0))</f>
        <v>ISO/TC 211</v>
      </c>
      <c r="K2010" t="e">
        <f>INDEX('GIS-Standards'!$O$2:$O$305,MATCH(C2010,'GIS-Standards'!$B$2:$B$305,0))</f>
        <v>#N/A</v>
      </c>
      <c r="M2010" t="s">
        <v>525</v>
      </c>
      <c r="N2010">
        <f>INDEX('GIS-Standards'!$I$2:$I$305,MATCH(B2010,'GIS-Standards'!$B$2:$B$305,0))</f>
        <v>0</v>
      </c>
      <c r="O2010" t="e">
        <f>INDEX('GIS-Standards'!$I$2:$I$305,MATCH(C2010,'GIS-Standards'!$B$2:$B$305,0))</f>
        <v>#N/A</v>
      </c>
      <c r="P2010" t="e">
        <f>AND(TableRelationships12[[#This Row],[Source Type]]="BIM",TableRelationships12[[#This Row],[Target Type]]="BIM")</f>
        <v>#N/A</v>
      </c>
      <c r="Q2010">
        <f t="shared" si="93"/>
        <v>1</v>
      </c>
      <c r="S2010">
        <f t="shared" si="94"/>
        <v>1</v>
      </c>
      <c r="T2010" s="102" t="str">
        <f>IF(TableRelationships12[[#This Row],[Rank Pedro]]="Low","linkCategory1",IF(TableRelationships12[[#This Row],[Rank Pedro]]="Medium","linkCategory2",IF(TableRelationships12[[#This Row],[Rank Pedro]]="High","linkCategory3","")))</f>
        <v/>
      </c>
      <c r="U2010" s="102" t="str">
        <f>IF(TableRelationships12[[#This Row],[Rank Pedro]]="Low","Pink",IF(TableRelationships12[[#This Row],[Rank Pedro]]="Medium","Purple",IF(TableRelationships12[[#This Row],[Rank Pedro]]="High","Brown","")))</f>
        <v/>
      </c>
      <c r="V2010" s="4" t="e">
        <f>MAX(INDEX(Standards!$F$2:$F$296,MATCH(B2010,Standards!$B$2:$B$296,0)),INDEX(Standards!$F$2:$F$296,MATCH(C2010,Standards!$B$2:$B$296,0)))</f>
        <v>#N/A</v>
      </c>
      <c r="W2010" t="str">
        <f t="shared" si="95"/>
        <v>#2f89d1</v>
      </c>
    </row>
    <row r="2011" spans="1:23" x14ac:dyDescent="0.5">
      <c r="A2011" s="54">
        <v>2010</v>
      </c>
      <c r="B2011" s="90" t="s">
        <v>646</v>
      </c>
      <c r="C2011" t="s">
        <v>1641</v>
      </c>
      <c r="D2011" s="1"/>
      <c r="E2011" s="112">
        <v>1996.12</v>
      </c>
      <c r="F2011" s="112">
        <v>1996.12</v>
      </c>
      <c r="G2011" s="107" t="s">
        <v>1506</v>
      </c>
      <c r="H2011">
        <f>INDEX('GIS-Standards'!$A$2:$A$305,MATCH(B2011,'GIS-Standards'!$B$2:$B$305,0))</f>
        <v>89</v>
      </c>
      <c r="I2011" t="e">
        <f>INDEX('GIS-Standards'!$A$2:$A$305,MATCH(C2011,'GIS-Standards'!$B$2:$B$305,0))</f>
        <v>#N/A</v>
      </c>
      <c r="J2011" t="str">
        <f>INDEX('GIS-Standards'!$O$2:$O$305,MATCH(B2011,'GIS-Standards'!$B$2:$B$305,0))</f>
        <v>ISO/TC 211</v>
      </c>
      <c r="K2011" t="e">
        <f>INDEX('GIS-Standards'!$O$2:$O$305,MATCH(C2011,'GIS-Standards'!$B$2:$B$305,0))</f>
        <v>#N/A</v>
      </c>
      <c r="M2011" t="s">
        <v>525</v>
      </c>
      <c r="N2011">
        <f>INDEX('GIS-Standards'!$I$2:$I$305,MATCH(B2011,'GIS-Standards'!$B$2:$B$305,0))</f>
        <v>0</v>
      </c>
      <c r="O2011" t="e">
        <f>INDEX('GIS-Standards'!$I$2:$I$305,MATCH(C2011,'GIS-Standards'!$B$2:$B$305,0))</f>
        <v>#N/A</v>
      </c>
      <c r="P2011" t="e">
        <f>AND(TableRelationships12[[#This Row],[Source Type]]="BIM",TableRelationships12[[#This Row],[Target Type]]="BIM")</f>
        <v>#N/A</v>
      </c>
      <c r="Q2011">
        <f t="shared" si="93"/>
        <v>1</v>
      </c>
      <c r="S2011">
        <f t="shared" si="94"/>
        <v>1</v>
      </c>
      <c r="T2011" s="102" t="str">
        <f>IF(TableRelationships12[[#This Row],[Rank Pedro]]="Low","linkCategory1",IF(TableRelationships12[[#This Row],[Rank Pedro]]="Medium","linkCategory2",IF(TableRelationships12[[#This Row],[Rank Pedro]]="High","linkCategory3","")))</f>
        <v/>
      </c>
      <c r="U2011" s="102" t="str">
        <f>IF(TableRelationships12[[#This Row],[Rank Pedro]]="Low","Pink",IF(TableRelationships12[[#This Row],[Rank Pedro]]="Medium","Purple",IF(TableRelationships12[[#This Row],[Rank Pedro]]="High","Brown","")))</f>
        <v/>
      </c>
      <c r="V2011" s="4" t="e">
        <f>MAX(INDEX(Standards!$F$2:$F$296,MATCH(B2011,Standards!$B$2:$B$296,0)),INDEX(Standards!$F$2:$F$296,MATCH(C2011,Standards!$B$2:$B$296,0)))</f>
        <v>#N/A</v>
      </c>
      <c r="W2011" t="str">
        <f t="shared" si="95"/>
        <v>#2f89d1</v>
      </c>
    </row>
    <row r="2012" spans="1:23" x14ac:dyDescent="0.5">
      <c r="A2012" s="54">
        <v>2011</v>
      </c>
      <c r="B2012" s="90" t="s">
        <v>646</v>
      </c>
      <c r="C2012" t="s">
        <v>1642</v>
      </c>
      <c r="D2012" s="1"/>
      <c r="E2012" s="112">
        <v>1999.07</v>
      </c>
      <c r="F2012" s="112">
        <v>1999.07</v>
      </c>
      <c r="G2012" s="107" t="s">
        <v>1506</v>
      </c>
      <c r="H2012">
        <f>INDEX('GIS-Standards'!$A$2:$A$305,MATCH(B2012,'GIS-Standards'!$B$2:$B$305,0))</f>
        <v>89</v>
      </c>
      <c r="I2012" t="e">
        <f>INDEX('GIS-Standards'!$A$2:$A$305,MATCH(C2012,'GIS-Standards'!$B$2:$B$305,0))</f>
        <v>#N/A</v>
      </c>
      <c r="J2012" t="str">
        <f>INDEX('GIS-Standards'!$O$2:$O$305,MATCH(B2012,'GIS-Standards'!$B$2:$B$305,0))</f>
        <v>ISO/TC 211</v>
      </c>
      <c r="K2012" t="e">
        <f>INDEX('GIS-Standards'!$O$2:$O$305,MATCH(C2012,'GIS-Standards'!$B$2:$B$305,0))</f>
        <v>#N/A</v>
      </c>
      <c r="M2012" t="s">
        <v>525</v>
      </c>
      <c r="N2012">
        <f>INDEX('GIS-Standards'!$I$2:$I$305,MATCH(B2012,'GIS-Standards'!$B$2:$B$305,0))</f>
        <v>0</v>
      </c>
      <c r="O2012" t="e">
        <f>INDEX('GIS-Standards'!$I$2:$I$305,MATCH(C2012,'GIS-Standards'!$B$2:$B$305,0))</f>
        <v>#N/A</v>
      </c>
      <c r="P2012" t="e">
        <f>AND(TableRelationships12[[#This Row],[Source Type]]="BIM",TableRelationships12[[#This Row],[Target Type]]="BIM")</f>
        <v>#N/A</v>
      </c>
      <c r="Q2012">
        <f t="shared" si="93"/>
        <v>1</v>
      </c>
      <c r="S2012">
        <f t="shared" si="94"/>
        <v>1</v>
      </c>
      <c r="T2012" s="102" t="str">
        <f>IF(TableRelationships12[[#This Row],[Rank Pedro]]="Low","linkCategory1",IF(TableRelationships12[[#This Row],[Rank Pedro]]="Medium","linkCategory2",IF(TableRelationships12[[#This Row],[Rank Pedro]]="High","linkCategory3","")))</f>
        <v/>
      </c>
      <c r="U2012" s="102" t="str">
        <f>IF(TableRelationships12[[#This Row],[Rank Pedro]]="Low","Pink",IF(TableRelationships12[[#This Row],[Rank Pedro]]="Medium","Purple",IF(TableRelationships12[[#This Row],[Rank Pedro]]="High","Brown","")))</f>
        <v/>
      </c>
      <c r="V2012" s="4" t="e">
        <f>MAX(INDEX(Standards!$F$2:$F$296,MATCH(B2012,Standards!$B$2:$B$296,0)),INDEX(Standards!$F$2:$F$296,MATCH(C2012,Standards!$B$2:$B$296,0)))</f>
        <v>#N/A</v>
      </c>
      <c r="W2012" t="str">
        <f t="shared" si="95"/>
        <v>#2f89d1</v>
      </c>
    </row>
    <row r="2013" spans="1:23" x14ac:dyDescent="0.5">
      <c r="A2013" s="54">
        <v>2012</v>
      </c>
      <c r="B2013" s="90" t="s">
        <v>646</v>
      </c>
      <c r="C2013" t="s">
        <v>1643</v>
      </c>
      <c r="D2013" s="1"/>
      <c r="E2013" s="112">
        <v>2004.02</v>
      </c>
      <c r="F2013" s="112">
        <v>2004.02</v>
      </c>
      <c r="G2013" s="107" t="s">
        <v>1506</v>
      </c>
      <c r="H2013">
        <f>INDEX('GIS-Standards'!$A$2:$A$305,MATCH(B2013,'GIS-Standards'!$B$2:$B$305,0))</f>
        <v>89</v>
      </c>
      <c r="I2013" t="e">
        <f>INDEX('GIS-Standards'!$A$2:$A$305,MATCH(C2013,'GIS-Standards'!$B$2:$B$305,0))</f>
        <v>#N/A</v>
      </c>
      <c r="J2013" t="str">
        <f>INDEX('GIS-Standards'!$O$2:$O$305,MATCH(B2013,'GIS-Standards'!$B$2:$B$305,0))</f>
        <v>ISO/TC 211</v>
      </c>
      <c r="K2013" t="e">
        <f>INDEX('GIS-Standards'!$O$2:$O$305,MATCH(C2013,'GIS-Standards'!$B$2:$B$305,0))</f>
        <v>#N/A</v>
      </c>
      <c r="M2013" t="s">
        <v>525</v>
      </c>
      <c r="N2013">
        <f>INDEX('GIS-Standards'!$I$2:$I$305,MATCH(B2013,'GIS-Standards'!$B$2:$B$305,0))</f>
        <v>0</v>
      </c>
      <c r="O2013" t="e">
        <f>INDEX('GIS-Standards'!$I$2:$I$305,MATCH(C2013,'GIS-Standards'!$B$2:$B$305,0))</f>
        <v>#N/A</v>
      </c>
      <c r="P2013" t="e">
        <f>AND(TableRelationships12[[#This Row],[Source Type]]="BIM",TableRelationships12[[#This Row],[Target Type]]="BIM")</f>
        <v>#N/A</v>
      </c>
      <c r="Q2013">
        <f t="shared" si="93"/>
        <v>1</v>
      </c>
      <c r="S2013">
        <f t="shared" si="94"/>
        <v>1</v>
      </c>
      <c r="T2013" s="102" t="str">
        <f>IF(TableRelationships12[[#This Row],[Rank Pedro]]="Low","linkCategory1",IF(TableRelationships12[[#This Row],[Rank Pedro]]="Medium","linkCategory2",IF(TableRelationships12[[#This Row],[Rank Pedro]]="High","linkCategory3","")))</f>
        <v/>
      </c>
      <c r="U2013" s="102" t="str">
        <f>IF(TableRelationships12[[#This Row],[Rank Pedro]]="Low","Pink",IF(TableRelationships12[[#This Row],[Rank Pedro]]="Medium","Purple",IF(TableRelationships12[[#This Row],[Rank Pedro]]="High","Brown","")))</f>
        <v/>
      </c>
      <c r="V2013" s="4" t="e">
        <f>MAX(INDEX(Standards!$F$2:$F$296,MATCH(B2013,Standards!$B$2:$B$296,0)),INDEX(Standards!$F$2:$F$296,MATCH(C2013,Standards!$B$2:$B$296,0)))</f>
        <v>#N/A</v>
      </c>
      <c r="W2013" t="str">
        <f t="shared" si="95"/>
        <v>#2f89d1</v>
      </c>
    </row>
    <row r="2014" spans="1:23" x14ac:dyDescent="0.5">
      <c r="A2014" s="54">
        <v>2013</v>
      </c>
      <c r="B2014" s="90" t="s">
        <v>646</v>
      </c>
      <c r="C2014" t="s">
        <v>1644</v>
      </c>
      <c r="D2014" s="1"/>
      <c r="E2014" s="112">
        <v>2015.12</v>
      </c>
      <c r="F2014" s="112">
        <v>2018.12</v>
      </c>
      <c r="G2014" s="107" t="s">
        <v>1506</v>
      </c>
      <c r="H2014">
        <f>INDEX('GIS-Standards'!$A$2:$A$305,MATCH(B2014,'GIS-Standards'!$B$2:$B$305,0))</f>
        <v>89</v>
      </c>
      <c r="I2014" t="e">
        <f>INDEX('GIS-Standards'!$A$2:$A$305,MATCH(C2014,'GIS-Standards'!$B$2:$B$305,0))</f>
        <v>#N/A</v>
      </c>
      <c r="J2014" t="str">
        <f>INDEX('GIS-Standards'!$O$2:$O$305,MATCH(B2014,'GIS-Standards'!$B$2:$B$305,0))</f>
        <v>ISO/TC 211</v>
      </c>
      <c r="K2014" t="e">
        <f>INDEX('GIS-Standards'!$O$2:$O$305,MATCH(C2014,'GIS-Standards'!$B$2:$B$305,0))</f>
        <v>#N/A</v>
      </c>
      <c r="M2014" t="s">
        <v>525</v>
      </c>
      <c r="N2014">
        <f>INDEX('GIS-Standards'!$I$2:$I$305,MATCH(B2014,'GIS-Standards'!$B$2:$B$305,0))</f>
        <v>0</v>
      </c>
      <c r="O2014" t="e">
        <f>INDEX('GIS-Standards'!$I$2:$I$305,MATCH(C2014,'GIS-Standards'!$B$2:$B$305,0))</f>
        <v>#N/A</v>
      </c>
      <c r="P2014" t="e">
        <f>AND(TableRelationships12[[#This Row],[Source Type]]="BIM",TableRelationships12[[#This Row],[Target Type]]="BIM")</f>
        <v>#N/A</v>
      </c>
      <c r="Q2014">
        <f t="shared" si="93"/>
        <v>1</v>
      </c>
      <c r="S2014">
        <f t="shared" si="94"/>
        <v>1</v>
      </c>
      <c r="T2014" s="102" t="str">
        <f>IF(TableRelationships12[[#This Row],[Rank Pedro]]="Low","linkCategory1",IF(TableRelationships12[[#This Row],[Rank Pedro]]="Medium","linkCategory2",IF(TableRelationships12[[#This Row],[Rank Pedro]]="High","linkCategory3","")))</f>
        <v/>
      </c>
      <c r="U2014" s="102" t="str">
        <f>IF(TableRelationships12[[#This Row],[Rank Pedro]]="Low","Pink",IF(TableRelationships12[[#This Row],[Rank Pedro]]="Medium","Purple",IF(TableRelationships12[[#This Row],[Rank Pedro]]="High","Brown","")))</f>
        <v/>
      </c>
      <c r="V2014" s="4" t="e">
        <f>MAX(INDEX(Standards!$F$2:$F$296,MATCH(B2014,Standards!$B$2:$B$296,0)),INDEX(Standards!$F$2:$F$296,MATCH(C2014,Standards!$B$2:$B$296,0)))</f>
        <v>#N/A</v>
      </c>
      <c r="W2014" t="str">
        <f t="shared" si="95"/>
        <v>#2f89d1</v>
      </c>
    </row>
    <row r="2015" spans="1:23" x14ac:dyDescent="0.5">
      <c r="A2015" s="54">
        <v>2014</v>
      </c>
      <c r="B2015" s="90" t="s">
        <v>646</v>
      </c>
      <c r="C2015" t="s">
        <v>1529</v>
      </c>
      <c r="D2015" s="1"/>
      <c r="G2015" s="107"/>
      <c r="H2015">
        <f>INDEX('GIS-Standards'!$A$2:$A$305,MATCH(B2015,'GIS-Standards'!$B$2:$B$305,0))</f>
        <v>89</v>
      </c>
      <c r="I2015" t="e">
        <f>INDEX('GIS-Standards'!$A$2:$A$305,MATCH(C2015,'GIS-Standards'!$B$2:$B$305,0))</f>
        <v>#N/A</v>
      </c>
      <c r="J2015" t="str">
        <f>INDEX('GIS-Standards'!$O$2:$O$305,MATCH(B2015,'GIS-Standards'!$B$2:$B$305,0))</f>
        <v>ISO/TC 211</v>
      </c>
      <c r="K2015" t="e">
        <f>INDEX('GIS-Standards'!$O$2:$O$305,MATCH(C2015,'GIS-Standards'!$B$2:$B$305,0))</f>
        <v>#N/A</v>
      </c>
      <c r="M2015" t="s">
        <v>525</v>
      </c>
      <c r="N2015">
        <f>INDEX('GIS-Standards'!$I$2:$I$305,MATCH(B2015,'GIS-Standards'!$B$2:$B$305,0))</f>
        <v>0</v>
      </c>
      <c r="O2015" t="e">
        <f>INDEX('GIS-Standards'!$I$2:$I$305,MATCH(C2015,'GIS-Standards'!$B$2:$B$305,0))</f>
        <v>#N/A</v>
      </c>
      <c r="P2015" t="e">
        <f>AND(TableRelationships12[[#This Row],[Source Type]]="BIM",TableRelationships12[[#This Row],[Target Type]]="BIM")</f>
        <v>#N/A</v>
      </c>
      <c r="Q2015">
        <f t="shared" si="93"/>
        <v>1</v>
      </c>
      <c r="S2015">
        <f t="shared" si="94"/>
        <v>1</v>
      </c>
      <c r="T2015" s="102" t="str">
        <f>IF(TableRelationships12[[#This Row],[Rank Pedro]]="Low","linkCategory1",IF(TableRelationships12[[#This Row],[Rank Pedro]]="Medium","linkCategory2",IF(TableRelationships12[[#This Row],[Rank Pedro]]="High","linkCategory3","")))</f>
        <v/>
      </c>
      <c r="U2015" s="102" t="str">
        <f>IF(TableRelationships12[[#This Row],[Rank Pedro]]="Low","Pink",IF(TableRelationships12[[#This Row],[Rank Pedro]]="Medium","Purple",IF(TableRelationships12[[#This Row],[Rank Pedro]]="High","Brown","")))</f>
        <v/>
      </c>
      <c r="V2015" s="4" t="e">
        <f>MAX(INDEX(Standards!$F$2:$F$296,MATCH(B2015,Standards!$B$2:$B$296,0)),INDEX(Standards!$F$2:$F$296,MATCH(C2015,Standards!$B$2:$B$296,0)))</f>
        <v>#N/A</v>
      </c>
      <c r="W2015" t="str">
        <f t="shared" si="95"/>
        <v>#2f89d1</v>
      </c>
    </row>
    <row r="2016" spans="1:23" x14ac:dyDescent="0.5">
      <c r="A2016" s="54">
        <v>2015</v>
      </c>
      <c r="B2016" s="90" t="s">
        <v>646</v>
      </c>
      <c r="C2016" t="s">
        <v>1534</v>
      </c>
      <c r="D2016" s="1"/>
      <c r="G2016" s="107"/>
      <c r="H2016">
        <f>INDEX('GIS-Standards'!$A$2:$A$305,MATCH(B2016,'GIS-Standards'!$B$2:$B$305,0))</f>
        <v>89</v>
      </c>
      <c r="I2016" t="e">
        <f>INDEX('GIS-Standards'!$A$2:$A$305,MATCH(C2016,'GIS-Standards'!$B$2:$B$305,0))</f>
        <v>#N/A</v>
      </c>
      <c r="J2016" t="str">
        <f>INDEX('GIS-Standards'!$O$2:$O$305,MATCH(B2016,'GIS-Standards'!$B$2:$B$305,0))</f>
        <v>ISO/TC 211</v>
      </c>
      <c r="K2016" t="e">
        <f>INDEX('GIS-Standards'!$O$2:$O$305,MATCH(C2016,'GIS-Standards'!$B$2:$B$305,0))</f>
        <v>#N/A</v>
      </c>
      <c r="M2016" t="s">
        <v>525</v>
      </c>
      <c r="N2016">
        <f>INDEX('GIS-Standards'!$I$2:$I$305,MATCH(B2016,'GIS-Standards'!$B$2:$B$305,0))</f>
        <v>0</v>
      </c>
      <c r="O2016" t="e">
        <f>INDEX('GIS-Standards'!$I$2:$I$305,MATCH(C2016,'GIS-Standards'!$B$2:$B$305,0))</f>
        <v>#N/A</v>
      </c>
      <c r="P2016" t="e">
        <f>AND(TableRelationships12[[#This Row],[Source Type]]="BIM",TableRelationships12[[#This Row],[Target Type]]="BIM")</f>
        <v>#N/A</v>
      </c>
      <c r="Q2016">
        <f t="shared" si="93"/>
        <v>1</v>
      </c>
      <c r="S2016">
        <f t="shared" si="94"/>
        <v>1</v>
      </c>
      <c r="T2016" s="102" t="str">
        <f>IF(TableRelationships12[[#This Row],[Rank Pedro]]="Low","linkCategory1",IF(TableRelationships12[[#This Row],[Rank Pedro]]="Medium","linkCategory2",IF(TableRelationships12[[#This Row],[Rank Pedro]]="High","linkCategory3","")))</f>
        <v/>
      </c>
      <c r="U2016" s="102" t="str">
        <f>IF(TableRelationships12[[#This Row],[Rank Pedro]]="Low","Pink",IF(TableRelationships12[[#This Row],[Rank Pedro]]="Medium","Purple",IF(TableRelationships12[[#This Row],[Rank Pedro]]="High","Brown","")))</f>
        <v/>
      </c>
      <c r="V2016" s="4" t="e">
        <f>MAX(INDEX(Standards!$F$2:$F$296,MATCH(B2016,Standards!$B$2:$B$296,0)),INDEX(Standards!$F$2:$F$296,MATCH(C2016,Standards!$B$2:$B$296,0)))</f>
        <v>#N/A</v>
      </c>
      <c r="W2016" t="str">
        <f t="shared" si="95"/>
        <v>#2f89d1</v>
      </c>
    </row>
    <row r="2017" spans="1:23" x14ac:dyDescent="0.5">
      <c r="A2017" s="54">
        <v>2016</v>
      </c>
      <c r="B2017" s="90" t="s">
        <v>646</v>
      </c>
      <c r="C2017" t="s">
        <v>1348</v>
      </c>
      <c r="D2017" s="1"/>
      <c r="G2017" s="107"/>
      <c r="H2017">
        <f>INDEX('GIS-Standards'!$A$2:$A$305,MATCH(B2017,'GIS-Standards'!$B$2:$B$305,0))</f>
        <v>89</v>
      </c>
      <c r="I2017" t="e">
        <f>INDEX('GIS-Standards'!$A$2:$A$305,MATCH(C2017,'GIS-Standards'!$B$2:$B$305,0))</f>
        <v>#N/A</v>
      </c>
      <c r="J2017" t="str">
        <f>INDEX('GIS-Standards'!$O$2:$O$305,MATCH(B2017,'GIS-Standards'!$B$2:$B$305,0))</f>
        <v>ISO/TC 211</v>
      </c>
      <c r="K2017" t="e">
        <f>INDEX('GIS-Standards'!$O$2:$O$305,MATCH(C2017,'GIS-Standards'!$B$2:$B$305,0))</f>
        <v>#N/A</v>
      </c>
      <c r="M2017" t="s">
        <v>525</v>
      </c>
      <c r="N2017">
        <f>INDEX('GIS-Standards'!$I$2:$I$305,MATCH(B2017,'GIS-Standards'!$B$2:$B$305,0))</f>
        <v>0</v>
      </c>
      <c r="O2017" t="e">
        <f>INDEX('GIS-Standards'!$I$2:$I$305,MATCH(C2017,'GIS-Standards'!$B$2:$B$305,0))</f>
        <v>#N/A</v>
      </c>
      <c r="P2017" t="e">
        <f>AND(TableRelationships12[[#This Row],[Source Type]]="BIM",TableRelationships12[[#This Row],[Target Type]]="BIM")</f>
        <v>#N/A</v>
      </c>
      <c r="Q2017">
        <f t="shared" si="93"/>
        <v>1</v>
      </c>
      <c r="S2017">
        <f t="shared" si="94"/>
        <v>1</v>
      </c>
      <c r="T2017" s="102" t="str">
        <f>IF(TableRelationships12[[#This Row],[Rank Pedro]]="Low","linkCategory1",IF(TableRelationships12[[#This Row],[Rank Pedro]]="Medium","linkCategory2",IF(TableRelationships12[[#This Row],[Rank Pedro]]="High","linkCategory3","")))</f>
        <v/>
      </c>
      <c r="U2017" s="102" t="str">
        <f>IF(TableRelationships12[[#This Row],[Rank Pedro]]="Low","Pink",IF(TableRelationships12[[#This Row],[Rank Pedro]]="Medium","Purple",IF(TableRelationships12[[#This Row],[Rank Pedro]]="High","Brown","")))</f>
        <v/>
      </c>
      <c r="V2017" s="4" t="e">
        <f>MAX(INDEX(Standards!$F$2:$F$296,MATCH(B2017,Standards!$B$2:$B$296,0)),INDEX(Standards!$F$2:$F$296,MATCH(C2017,Standards!$B$2:$B$296,0)))</f>
        <v>#N/A</v>
      </c>
      <c r="W2017" t="str">
        <f t="shared" si="95"/>
        <v>#2f89d1</v>
      </c>
    </row>
    <row r="2018" spans="1:23" x14ac:dyDescent="0.5">
      <c r="A2018" s="54">
        <v>2017</v>
      </c>
      <c r="B2018" s="90" t="s">
        <v>646</v>
      </c>
      <c r="C2018" t="s">
        <v>1547</v>
      </c>
      <c r="D2018" s="1"/>
      <c r="G2018" s="107"/>
      <c r="H2018">
        <f>INDEX('GIS-Standards'!$A$2:$A$305,MATCH(B2018,'GIS-Standards'!$B$2:$B$305,0))</f>
        <v>89</v>
      </c>
      <c r="I2018" t="e">
        <f>INDEX('GIS-Standards'!$A$2:$A$305,MATCH(C2018,'GIS-Standards'!$B$2:$B$305,0))</f>
        <v>#N/A</v>
      </c>
      <c r="J2018" t="str">
        <f>INDEX('GIS-Standards'!$O$2:$O$305,MATCH(B2018,'GIS-Standards'!$B$2:$B$305,0))</f>
        <v>ISO/TC 211</v>
      </c>
      <c r="K2018" t="e">
        <f>INDEX('GIS-Standards'!$O$2:$O$305,MATCH(C2018,'GIS-Standards'!$B$2:$B$305,0))</f>
        <v>#N/A</v>
      </c>
      <c r="M2018" t="s">
        <v>525</v>
      </c>
      <c r="N2018">
        <f>INDEX('GIS-Standards'!$I$2:$I$305,MATCH(B2018,'GIS-Standards'!$B$2:$B$305,0))</f>
        <v>0</v>
      </c>
      <c r="O2018" t="e">
        <f>INDEX('GIS-Standards'!$I$2:$I$305,MATCH(C2018,'GIS-Standards'!$B$2:$B$305,0))</f>
        <v>#N/A</v>
      </c>
      <c r="P2018" t="e">
        <f>AND(TableRelationships12[[#This Row],[Source Type]]="BIM",TableRelationships12[[#This Row],[Target Type]]="BIM")</f>
        <v>#N/A</v>
      </c>
      <c r="Q2018">
        <f t="shared" si="93"/>
        <v>1</v>
      </c>
      <c r="S2018">
        <f t="shared" si="94"/>
        <v>1</v>
      </c>
      <c r="T2018" s="102" t="str">
        <f>IF(TableRelationships12[[#This Row],[Rank Pedro]]="Low","linkCategory1",IF(TableRelationships12[[#This Row],[Rank Pedro]]="Medium","linkCategory2",IF(TableRelationships12[[#This Row],[Rank Pedro]]="High","linkCategory3","")))</f>
        <v/>
      </c>
      <c r="U2018" s="102" t="str">
        <f>IF(TableRelationships12[[#This Row],[Rank Pedro]]="Low","Pink",IF(TableRelationships12[[#This Row],[Rank Pedro]]="Medium","Purple",IF(TableRelationships12[[#This Row],[Rank Pedro]]="High","Brown","")))</f>
        <v/>
      </c>
      <c r="V2018" s="4" t="e">
        <f>MAX(INDEX(Standards!$F$2:$F$296,MATCH(B2018,Standards!$B$2:$B$296,0)),INDEX(Standards!$F$2:$F$296,MATCH(C2018,Standards!$B$2:$B$296,0)))</f>
        <v>#N/A</v>
      </c>
      <c r="W2018" t="str">
        <f t="shared" si="95"/>
        <v>#2f89d1</v>
      </c>
    </row>
    <row r="2019" spans="1:23" x14ac:dyDescent="0.5">
      <c r="A2019" s="54">
        <v>2018</v>
      </c>
      <c r="B2019" s="90" t="s">
        <v>646</v>
      </c>
      <c r="C2019" t="s">
        <v>1272</v>
      </c>
      <c r="D2019" s="1"/>
      <c r="G2019" s="107"/>
      <c r="H2019">
        <f>INDEX('GIS-Standards'!$A$2:$A$305,MATCH(B2019,'GIS-Standards'!$B$2:$B$305,0))</f>
        <v>89</v>
      </c>
      <c r="I2019" t="e">
        <f>INDEX('GIS-Standards'!$A$2:$A$305,MATCH(C2019,'GIS-Standards'!$B$2:$B$305,0))</f>
        <v>#N/A</v>
      </c>
      <c r="J2019" t="str">
        <f>INDEX('GIS-Standards'!$O$2:$O$305,MATCH(B2019,'GIS-Standards'!$B$2:$B$305,0))</f>
        <v>ISO/TC 211</v>
      </c>
      <c r="K2019" t="e">
        <f>INDEX('GIS-Standards'!$O$2:$O$305,MATCH(C2019,'GIS-Standards'!$B$2:$B$305,0))</f>
        <v>#N/A</v>
      </c>
      <c r="M2019" t="s">
        <v>525</v>
      </c>
      <c r="N2019">
        <f>INDEX('GIS-Standards'!$I$2:$I$305,MATCH(B2019,'GIS-Standards'!$B$2:$B$305,0))</f>
        <v>0</v>
      </c>
      <c r="O2019" t="e">
        <f>INDEX('GIS-Standards'!$I$2:$I$305,MATCH(C2019,'GIS-Standards'!$B$2:$B$305,0))</f>
        <v>#N/A</v>
      </c>
      <c r="P2019" t="e">
        <f>AND(TableRelationships12[[#This Row],[Source Type]]="BIM",TableRelationships12[[#This Row],[Target Type]]="BIM")</f>
        <v>#N/A</v>
      </c>
      <c r="Q2019">
        <f t="shared" si="93"/>
        <v>1</v>
      </c>
      <c r="S2019">
        <f t="shared" si="94"/>
        <v>1</v>
      </c>
      <c r="T2019" s="102" t="str">
        <f>IF(TableRelationships12[[#This Row],[Rank Pedro]]="Low","linkCategory1",IF(TableRelationships12[[#This Row],[Rank Pedro]]="Medium","linkCategory2",IF(TableRelationships12[[#This Row],[Rank Pedro]]="High","linkCategory3","")))</f>
        <v/>
      </c>
      <c r="U2019" s="102" t="str">
        <f>IF(TableRelationships12[[#This Row],[Rank Pedro]]="Low","Pink",IF(TableRelationships12[[#This Row],[Rank Pedro]]="Medium","Purple",IF(TableRelationships12[[#This Row],[Rank Pedro]]="High","Brown","")))</f>
        <v/>
      </c>
      <c r="V2019" s="4" t="e">
        <f>MAX(INDEX(Standards!$F$2:$F$296,MATCH(B2019,Standards!$B$2:$B$296,0)),INDEX(Standards!$F$2:$F$296,MATCH(C2019,Standards!$B$2:$B$296,0)))</f>
        <v>#N/A</v>
      </c>
      <c r="W2019" t="str">
        <f t="shared" si="95"/>
        <v>#2f89d1</v>
      </c>
    </row>
    <row r="2020" spans="1:23" x14ac:dyDescent="0.5">
      <c r="A2020" s="54">
        <v>2019</v>
      </c>
      <c r="B2020" s="90" t="s">
        <v>646</v>
      </c>
      <c r="C2020" t="s">
        <v>1349</v>
      </c>
      <c r="D2020" s="1"/>
      <c r="G2020" s="107"/>
      <c r="H2020">
        <f>INDEX('GIS-Standards'!$A$2:$A$305,MATCH(B2020,'GIS-Standards'!$B$2:$B$305,0))</f>
        <v>89</v>
      </c>
      <c r="I2020" t="e">
        <f>INDEX('GIS-Standards'!$A$2:$A$305,MATCH(C2020,'GIS-Standards'!$B$2:$B$305,0))</f>
        <v>#N/A</v>
      </c>
      <c r="J2020" t="str">
        <f>INDEX('GIS-Standards'!$O$2:$O$305,MATCH(B2020,'GIS-Standards'!$B$2:$B$305,0))</f>
        <v>ISO/TC 211</v>
      </c>
      <c r="K2020" t="e">
        <f>INDEX('GIS-Standards'!$O$2:$O$305,MATCH(C2020,'GIS-Standards'!$B$2:$B$305,0))</f>
        <v>#N/A</v>
      </c>
      <c r="M2020" t="s">
        <v>525</v>
      </c>
      <c r="N2020">
        <f>INDEX('GIS-Standards'!$I$2:$I$305,MATCH(B2020,'GIS-Standards'!$B$2:$B$305,0))</f>
        <v>0</v>
      </c>
      <c r="O2020" t="e">
        <f>INDEX('GIS-Standards'!$I$2:$I$305,MATCH(C2020,'GIS-Standards'!$B$2:$B$305,0))</f>
        <v>#N/A</v>
      </c>
      <c r="P2020" t="e">
        <f>AND(TableRelationships12[[#This Row],[Source Type]]="BIM",TableRelationships12[[#This Row],[Target Type]]="BIM")</f>
        <v>#N/A</v>
      </c>
      <c r="Q2020">
        <f t="shared" si="93"/>
        <v>1</v>
      </c>
      <c r="S2020">
        <f t="shared" si="94"/>
        <v>1</v>
      </c>
      <c r="T2020" s="102" t="str">
        <f>IF(TableRelationships12[[#This Row],[Rank Pedro]]="Low","linkCategory1",IF(TableRelationships12[[#This Row],[Rank Pedro]]="Medium","linkCategory2",IF(TableRelationships12[[#This Row],[Rank Pedro]]="High","linkCategory3","")))</f>
        <v/>
      </c>
      <c r="U2020" s="102" t="str">
        <f>IF(TableRelationships12[[#This Row],[Rank Pedro]]="Low","Pink",IF(TableRelationships12[[#This Row],[Rank Pedro]]="Medium","Purple",IF(TableRelationships12[[#This Row],[Rank Pedro]]="High","Brown","")))</f>
        <v/>
      </c>
      <c r="V2020" s="4" t="e">
        <f>MAX(INDEX(Standards!$F$2:$F$296,MATCH(B2020,Standards!$B$2:$B$296,0)),INDEX(Standards!$F$2:$F$296,MATCH(C2020,Standards!$B$2:$B$296,0)))</f>
        <v>#N/A</v>
      </c>
      <c r="W2020" t="str">
        <f t="shared" si="95"/>
        <v>#2f89d1</v>
      </c>
    </row>
    <row r="2021" spans="1:23" x14ac:dyDescent="0.5">
      <c r="A2021" s="54">
        <v>2020</v>
      </c>
      <c r="B2021" s="90" t="s">
        <v>646</v>
      </c>
      <c r="C2021" t="s">
        <v>1595</v>
      </c>
      <c r="D2021" s="1"/>
      <c r="G2021" s="107"/>
      <c r="H2021">
        <f>INDEX('GIS-Standards'!$A$2:$A$305,MATCH(B2021,'GIS-Standards'!$B$2:$B$305,0))</f>
        <v>89</v>
      </c>
      <c r="I2021" t="e">
        <f>INDEX('GIS-Standards'!$A$2:$A$305,MATCH(C2021,'GIS-Standards'!$B$2:$B$305,0))</f>
        <v>#N/A</v>
      </c>
      <c r="J2021" t="str">
        <f>INDEX('GIS-Standards'!$O$2:$O$305,MATCH(B2021,'GIS-Standards'!$B$2:$B$305,0))</f>
        <v>ISO/TC 211</v>
      </c>
      <c r="K2021" t="e">
        <f>INDEX('GIS-Standards'!$O$2:$O$305,MATCH(C2021,'GIS-Standards'!$B$2:$B$305,0))</f>
        <v>#N/A</v>
      </c>
      <c r="M2021" t="s">
        <v>525</v>
      </c>
      <c r="N2021">
        <f>INDEX('GIS-Standards'!$I$2:$I$305,MATCH(B2021,'GIS-Standards'!$B$2:$B$305,0))</f>
        <v>0</v>
      </c>
      <c r="O2021" t="e">
        <f>INDEX('GIS-Standards'!$I$2:$I$305,MATCH(C2021,'GIS-Standards'!$B$2:$B$305,0))</f>
        <v>#N/A</v>
      </c>
      <c r="P2021" t="e">
        <f>AND(TableRelationships12[[#This Row],[Source Type]]="BIM",TableRelationships12[[#This Row],[Target Type]]="BIM")</f>
        <v>#N/A</v>
      </c>
      <c r="Q2021">
        <f t="shared" si="93"/>
        <v>1</v>
      </c>
      <c r="S2021">
        <f t="shared" si="94"/>
        <v>1</v>
      </c>
      <c r="T2021" s="102" t="str">
        <f>IF(TableRelationships12[[#This Row],[Rank Pedro]]="Low","linkCategory1",IF(TableRelationships12[[#This Row],[Rank Pedro]]="Medium","linkCategory2",IF(TableRelationships12[[#This Row],[Rank Pedro]]="High","linkCategory3","")))</f>
        <v/>
      </c>
      <c r="U2021" s="102" t="str">
        <f>IF(TableRelationships12[[#This Row],[Rank Pedro]]="Low","Pink",IF(TableRelationships12[[#This Row],[Rank Pedro]]="Medium","Purple",IF(TableRelationships12[[#This Row],[Rank Pedro]]="High","Brown","")))</f>
        <v/>
      </c>
      <c r="V2021" s="4" t="e">
        <f>MAX(INDEX(Standards!$F$2:$F$296,MATCH(B2021,Standards!$B$2:$B$296,0)),INDEX(Standards!$F$2:$F$296,MATCH(C2021,Standards!$B$2:$B$296,0)))</f>
        <v>#N/A</v>
      </c>
      <c r="W2021" t="str">
        <f t="shared" si="95"/>
        <v>#2f89d1</v>
      </c>
    </row>
    <row r="2022" spans="1:23" x14ac:dyDescent="0.5">
      <c r="A2022" s="54">
        <v>2021</v>
      </c>
      <c r="B2022" s="90" t="s">
        <v>647</v>
      </c>
      <c r="C2022" t="s">
        <v>527</v>
      </c>
      <c r="D2022" s="1"/>
      <c r="E2022" s="112" t="s">
        <v>934</v>
      </c>
      <c r="F2022" s="112" t="s">
        <v>934</v>
      </c>
      <c r="G2022" s="121" t="s">
        <v>670</v>
      </c>
      <c r="H2022">
        <f>INDEX('GIS-Standards'!$A$2:$A$305,MATCH(B2022,'GIS-Standards'!$B$2:$B$305,0))</f>
        <v>90</v>
      </c>
      <c r="I2022" t="e">
        <f>INDEX('GIS-Standards'!$A$2:$A$305,MATCH(C2022,'GIS-Standards'!$B$2:$B$305,0))</f>
        <v>#N/A</v>
      </c>
      <c r="J2022" t="str">
        <f>INDEX('GIS-Standards'!$O$2:$O$305,MATCH(B2022,'GIS-Standards'!$B$2:$B$305,0))</f>
        <v>ISO/TC 211</v>
      </c>
      <c r="K2022" t="e">
        <f>INDEX('GIS-Standards'!$O$2:$O$305,MATCH(C2022,'GIS-Standards'!$B$2:$B$305,0))</f>
        <v>#N/A</v>
      </c>
      <c r="M2022" t="s">
        <v>237</v>
      </c>
      <c r="N2022">
        <f>INDEX('GIS-Standards'!$I$2:$I$305,MATCH(B2022,'GIS-Standards'!$B$2:$B$305,0))</f>
        <v>0</v>
      </c>
      <c r="O2022" t="e">
        <f>INDEX('GIS-Standards'!$I$2:$I$305,MATCH(C2022,'GIS-Standards'!$B$2:$B$305,0))</f>
        <v>#N/A</v>
      </c>
      <c r="P2022" t="e">
        <f>AND(TableRelationships12[[#This Row],[Source Type]]="BIM",TableRelationships12[[#This Row],[Target Type]]="BIM")</f>
        <v>#N/A</v>
      </c>
      <c r="Q2022">
        <f t="shared" si="93"/>
        <v>2</v>
      </c>
      <c r="S2022">
        <f t="shared" si="94"/>
        <v>1</v>
      </c>
      <c r="T2022" s="102" t="str">
        <f>IF(TableRelationships12[[#This Row],[Rank Pedro]]="Low","linkCategory1",IF(TableRelationships12[[#This Row],[Rank Pedro]]="Medium","linkCategory2",IF(TableRelationships12[[#This Row],[Rank Pedro]]="High","linkCategory3","")))</f>
        <v/>
      </c>
      <c r="U2022" s="102" t="str">
        <f>IF(TableRelationships12[[#This Row],[Rank Pedro]]="Low","Pink",IF(TableRelationships12[[#This Row],[Rank Pedro]]="Medium","Purple",IF(TableRelationships12[[#This Row],[Rank Pedro]]="High","Brown","")))</f>
        <v/>
      </c>
      <c r="V2022" s="4" t="e">
        <f>MAX(INDEX(Standards!$F$2:$F$296,MATCH(B2022,Standards!$B$2:$B$296,0)),INDEX(Standards!$F$2:$F$296,MATCH(C2022,Standards!$B$2:$B$296,0)))</f>
        <v>#N/A</v>
      </c>
      <c r="W2022">
        <f t="shared" si="95"/>
        <v>1</v>
      </c>
    </row>
    <row r="2023" spans="1:23" x14ac:dyDescent="0.5">
      <c r="A2023" s="54">
        <v>2022</v>
      </c>
      <c r="B2023" s="90" t="s">
        <v>647</v>
      </c>
      <c r="C2023" t="s">
        <v>1350</v>
      </c>
      <c r="D2023" s="1"/>
      <c r="E2023" s="112">
        <v>2016.03</v>
      </c>
      <c r="F2023" s="112">
        <v>2016.03</v>
      </c>
      <c r="G2023" s="107" t="s">
        <v>1462</v>
      </c>
      <c r="H2023">
        <f>INDEX('GIS-Standards'!$A$2:$A$305,MATCH(B2023,'GIS-Standards'!$B$2:$B$305,0))</f>
        <v>90</v>
      </c>
      <c r="I2023" t="e">
        <f>INDEX('GIS-Standards'!$A$2:$A$305,MATCH(C2023,'GIS-Standards'!$B$2:$B$305,0))</f>
        <v>#N/A</v>
      </c>
      <c r="J2023" t="str">
        <f>INDEX('GIS-Standards'!$O$2:$O$305,MATCH(B2023,'GIS-Standards'!$B$2:$B$305,0))</f>
        <v>ISO/TC 211</v>
      </c>
      <c r="K2023" t="e">
        <f>INDEX('GIS-Standards'!$O$2:$O$305,MATCH(C2023,'GIS-Standards'!$B$2:$B$305,0))</f>
        <v>#N/A</v>
      </c>
      <c r="M2023" t="s">
        <v>525</v>
      </c>
      <c r="N2023">
        <f>INDEX('GIS-Standards'!$I$2:$I$305,MATCH(B2023,'GIS-Standards'!$B$2:$B$305,0))</f>
        <v>0</v>
      </c>
      <c r="O2023" t="e">
        <f>INDEX('GIS-Standards'!$I$2:$I$305,MATCH(C2023,'GIS-Standards'!$B$2:$B$305,0))</f>
        <v>#N/A</v>
      </c>
      <c r="P2023" t="e">
        <f>AND(TableRelationships12[[#This Row],[Source Type]]="BIM",TableRelationships12[[#This Row],[Target Type]]="BIM")</f>
        <v>#N/A</v>
      </c>
      <c r="Q2023">
        <f t="shared" si="93"/>
        <v>1</v>
      </c>
      <c r="S2023">
        <f t="shared" si="94"/>
        <v>1</v>
      </c>
      <c r="T2023" s="102" t="str">
        <f>IF(TableRelationships12[[#This Row],[Rank Pedro]]="Low","linkCategory1",IF(TableRelationships12[[#This Row],[Rank Pedro]]="Medium","linkCategory2",IF(TableRelationships12[[#This Row],[Rank Pedro]]="High","linkCategory3","")))</f>
        <v/>
      </c>
      <c r="U2023" s="102" t="str">
        <f>IF(TableRelationships12[[#This Row],[Rank Pedro]]="Low","Pink",IF(TableRelationships12[[#This Row],[Rank Pedro]]="Medium","Purple",IF(TableRelationships12[[#This Row],[Rank Pedro]]="High","Brown","")))</f>
        <v/>
      </c>
      <c r="V2023" s="4" t="e">
        <f>MAX(INDEX(Standards!$F$2:$F$296,MATCH(B2023,Standards!$B$2:$B$296,0)),INDEX(Standards!$F$2:$F$296,MATCH(C2023,Standards!$B$2:$B$296,0)))</f>
        <v>#N/A</v>
      </c>
      <c r="W2023" t="str">
        <f t="shared" si="95"/>
        <v>#2f89d1</v>
      </c>
    </row>
    <row r="2024" spans="1:23" x14ac:dyDescent="0.5">
      <c r="A2024" s="54">
        <v>2023</v>
      </c>
      <c r="B2024" s="90" t="s">
        <v>647</v>
      </c>
      <c r="C2024" t="s">
        <v>318</v>
      </c>
      <c r="D2024" s="1"/>
      <c r="E2024" s="112">
        <v>2005.02</v>
      </c>
      <c r="F2024" s="112">
        <v>2016.01</v>
      </c>
      <c r="G2024" s="107" t="s">
        <v>670</v>
      </c>
      <c r="H2024">
        <f>INDEX('GIS-Standards'!$A$2:$A$305,MATCH(B2024,'GIS-Standards'!$B$2:$B$305,0))</f>
        <v>90</v>
      </c>
      <c r="I2024">
        <f>INDEX('GIS-Standards'!$A$2:$A$305,MATCH(C2024,'GIS-Standards'!$B$2:$B$305,0))</f>
        <v>28</v>
      </c>
      <c r="J2024" t="str">
        <f>INDEX('GIS-Standards'!$O$2:$O$305,MATCH(B2024,'GIS-Standards'!$B$2:$B$305,0))</f>
        <v>ISO/TC 211</v>
      </c>
      <c r="K2024" t="str">
        <f>INDEX('GIS-Standards'!$O$2:$O$305,MATCH(C2024,'GIS-Standards'!$B$2:$B$305,0))</f>
        <v>ISO/TC 211</v>
      </c>
      <c r="M2024" t="s">
        <v>525</v>
      </c>
      <c r="N2024">
        <f>INDEX('GIS-Standards'!$I$2:$I$305,MATCH(B2024,'GIS-Standards'!$B$2:$B$305,0))</f>
        <v>0</v>
      </c>
      <c r="O2024">
        <f>INDEX('GIS-Standards'!$I$2:$I$305,MATCH(C2024,'GIS-Standards'!$B$2:$B$305,0))</f>
        <v>0</v>
      </c>
      <c r="P2024" t="b">
        <f>AND(TableRelationships12[[#This Row],[Source Type]]="BIM",TableRelationships12[[#This Row],[Target Type]]="BIM")</f>
        <v>0</v>
      </c>
      <c r="Q2024">
        <f t="shared" si="93"/>
        <v>1</v>
      </c>
      <c r="S2024">
        <f t="shared" si="94"/>
        <v>1</v>
      </c>
      <c r="T2024" s="102" t="str">
        <f>IF(TableRelationships12[[#This Row],[Rank Pedro]]="Low","linkCategory1",IF(TableRelationships12[[#This Row],[Rank Pedro]]="Medium","linkCategory2",IF(TableRelationships12[[#This Row],[Rank Pedro]]="High","linkCategory3","")))</f>
        <v/>
      </c>
      <c r="U2024" s="102" t="str">
        <f>IF(TableRelationships12[[#This Row],[Rank Pedro]]="Low","Pink",IF(TableRelationships12[[#This Row],[Rank Pedro]]="Medium","Purple",IF(TableRelationships12[[#This Row],[Rank Pedro]]="High","Brown","")))</f>
        <v/>
      </c>
      <c r="V2024" s="4" t="e">
        <f>MAX(INDEX(Standards!$F$2:$F$296,MATCH(B2024,Standards!$B$2:$B$296,0)),INDEX(Standards!$F$2:$F$296,MATCH(C2024,Standards!$B$2:$B$296,0)))</f>
        <v>#N/A</v>
      </c>
      <c r="W2024" t="str">
        <f t="shared" si="95"/>
        <v>#2f89d1</v>
      </c>
    </row>
    <row r="2025" spans="1:23" x14ac:dyDescent="0.5">
      <c r="A2025" s="54">
        <v>2024</v>
      </c>
      <c r="B2025" s="90" t="s">
        <v>647</v>
      </c>
      <c r="C2025" t="s">
        <v>637</v>
      </c>
      <c r="D2025" s="1"/>
      <c r="E2025" s="113">
        <v>2014.11</v>
      </c>
      <c r="F2025" s="113">
        <v>2014.11</v>
      </c>
      <c r="G2025" s="107" t="s">
        <v>670</v>
      </c>
      <c r="H2025">
        <f>INDEX('GIS-Standards'!$A$2:$A$305,MATCH(B2025,'GIS-Standards'!$B$2:$B$305,0))</f>
        <v>90</v>
      </c>
      <c r="I2025">
        <f>INDEX('GIS-Standards'!$A$2:$A$305,MATCH(C2025,'GIS-Standards'!$B$2:$B$305,0))</f>
        <v>62</v>
      </c>
      <c r="J2025" t="str">
        <f>INDEX('GIS-Standards'!$O$2:$O$305,MATCH(B2025,'GIS-Standards'!$B$2:$B$305,0))</f>
        <v>ISO/TC 211</v>
      </c>
      <c r="K2025" t="str">
        <f>INDEX('GIS-Standards'!$O$2:$O$305,MATCH(C2025,'GIS-Standards'!$B$2:$B$305,0))</f>
        <v>ISO/TC 211</v>
      </c>
      <c r="M2025" t="s">
        <v>525</v>
      </c>
      <c r="N2025">
        <f>INDEX('GIS-Standards'!$I$2:$I$305,MATCH(B2025,'GIS-Standards'!$B$2:$B$305,0))</f>
        <v>0</v>
      </c>
      <c r="O2025">
        <f>INDEX('GIS-Standards'!$I$2:$I$305,MATCH(C2025,'GIS-Standards'!$B$2:$B$305,0))</f>
        <v>0</v>
      </c>
      <c r="P2025" t="b">
        <f>AND(TableRelationships12[[#This Row],[Source Type]]="BIM",TableRelationships12[[#This Row],[Target Type]]="BIM")</f>
        <v>0</v>
      </c>
      <c r="Q2025">
        <f t="shared" si="93"/>
        <v>1</v>
      </c>
      <c r="S2025">
        <f t="shared" si="94"/>
        <v>1</v>
      </c>
      <c r="T2025" s="102" t="str">
        <f>IF(TableRelationships12[[#This Row],[Rank Pedro]]="Low","linkCategory1",IF(TableRelationships12[[#This Row],[Rank Pedro]]="Medium","linkCategory2",IF(TableRelationships12[[#This Row],[Rank Pedro]]="High","linkCategory3","")))</f>
        <v/>
      </c>
      <c r="U2025" s="102" t="str">
        <f>IF(TableRelationships12[[#This Row],[Rank Pedro]]="Low","Pink",IF(TableRelationships12[[#This Row],[Rank Pedro]]="Medium","Purple",IF(TableRelationships12[[#This Row],[Rank Pedro]]="High","Brown","")))</f>
        <v/>
      </c>
      <c r="V2025" s="4" t="e">
        <f>MAX(INDEX(Standards!$F$2:$F$296,MATCH(B2025,Standards!$B$2:$B$296,0)),INDEX(Standards!$F$2:$F$296,MATCH(C2025,Standards!$B$2:$B$296,0)))</f>
        <v>#N/A</v>
      </c>
      <c r="W2025" t="str">
        <f t="shared" si="95"/>
        <v>#2f89d1</v>
      </c>
    </row>
    <row r="2026" spans="1:23" x14ac:dyDescent="0.5">
      <c r="A2026" s="54">
        <v>2025</v>
      </c>
      <c r="B2026" s="90" t="s">
        <v>647</v>
      </c>
      <c r="C2026" t="s">
        <v>1053</v>
      </c>
      <c r="D2026" s="1"/>
      <c r="E2026" s="113">
        <v>2011.12</v>
      </c>
      <c r="F2026" s="113">
        <v>2023.04</v>
      </c>
      <c r="G2026" s="107" t="s">
        <v>670</v>
      </c>
      <c r="H2026">
        <f>INDEX('GIS-Standards'!$A$2:$A$305,MATCH(B2026,'GIS-Standards'!$B$2:$B$305,0))</f>
        <v>90</v>
      </c>
      <c r="I2026">
        <f>INDEX('GIS-Standards'!$A$2:$A$305,MATCH(C2026,'GIS-Standards'!$B$2:$B$305,0))</f>
        <v>65</v>
      </c>
      <c r="J2026" t="str">
        <f>INDEX('GIS-Standards'!$O$2:$O$305,MATCH(B2026,'GIS-Standards'!$B$2:$B$305,0))</f>
        <v>ISO/TC 211</v>
      </c>
      <c r="K2026" t="str">
        <f>INDEX('GIS-Standards'!$O$2:$O$305,MATCH(C2026,'GIS-Standards'!$B$2:$B$305,0))</f>
        <v>ISO/TC 211</v>
      </c>
      <c r="M2026" t="s">
        <v>525</v>
      </c>
      <c r="N2026">
        <f>INDEX('GIS-Standards'!$I$2:$I$305,MATCH(B2026,'GIS-Standards'!$B$2:$B$305,0))</f>
        <v>0</v>
      </c>
      <c r="O2026">
        <f>INDEX('GIS-Standards'!$I$2:$I$305,MATCH(C2026,'GIS-Standards'!$B$2:$B$305,0))</f>
        <v>0</v>
      </c>
      <c r="P2026" t="b">
        <f>AND(TableRelationships12[[#This Row],[Source Type]]="BIM",TableRelationships12[[#This Row],[Target Type]]="BIM")</f>
        <v>0</v>
      </c>
      <c r="Q2026">
        <f t="shared" si="93"/>
        <v>1</v>
      </c>
      <c r="S2026">
        <f t="shared" si="94"/>
        <v>1</v>
      </c>
      <c r="T2026" s="102" t="str">
        <f>IF(TableRelationships12[[#This Row],[Rank Pedro]]="Low","linkCategory1",IF(TableRelationships12[[#This Row],[Rank Pedro]]="Medium","linkCategory2",IF(TableRelationships12[[#This Row],[Rank Pedro]]="High","linkCategory3","")))</f>
        <v/>
      </c>
      <c r="U2026" s="102" t="str">
        <f>IF(TableRelationships12[[#This Row],[Rank Pedro]]="Low","Pink",IF(TableRelationships12[[#This Row],[Rank Pedro]]="Medium","Purple",IF(TableRelationships12[[#This Row],[Rank Pedro]]="High","Brown","")))</f>
        <v/>
      </c>
      <c r="V2026" s="4" t="e">
        <f>MAX(INDEX(Standards!$F$2:$F$296,MATCH(B2026,Standards!$B$2:$B$296,0)),INDEX(Standards!$F$2:$F$296,MATCH(C2026,Standards!$B$2:$B$296,0)))</f>
        <v>#N/A</v>
      </c>
      <c r="W2026" t="str">
        <f t="shared" si="95"/>
        <v>#2f89d1</v>
      </c>
    </row>
    <row r="2027" spans="1:23" x14ac:dyDescent="0.5">
      <c r="A2027" s="54">
        <v>2026</v>
      </c>
      <c r="B2027" s="90" t="s">
        <v>648</v>
      </c>
      <c r="C2027" t="s">
        <v>527</v>
      </c>
      <c r="D2027" s="1"/>
      <c r="E2027" s="112" t="s">
        <v>954</v>
      </c>
      <c r="F2027" s="112" t="s">
        <v>954</v>
      </c>
      <c r="G2027" s="121" t="s">
        <v>670</v>
      </c>
      <c r="H2027">
        <f>INDEX('GIS-Standards'!$A$2:$A$305,MATCH(B2027,'GIS-Standards'!$B$2:$B$305,0))</f>
        <v>91</v>
      </c>
      <c r="I2027" t="e">
        <f>INDEX('GIS-Standards'!$A$2:$A$305,MATCH(C2027,'GIS-Standards'!$B$2:$B$305,0))</f>
        <v>#N/A</v>
      </c>
      <c r="J2027" t="str">
        <f>INDEX('GIS-Standards'!$O$2:$O$305,MATCH(B2027,'GIS-Standards'!$B$2:$B$305,0))</f>
        <v>ISO/TC 211</v>
      </c>
      <c r="K2027" t="e">
        <f>INDEX('GIS-Standards'!$O$2:$O$305,MATCH(C2027,'GIS-Standards'!$B$2:$B$305,0))</f>
        <v>#N/A</v>
      </c>
      <c r="M2027" t="s">
        <v>237</v>
      </c>
      <c r="N2027">
        <f>INDEX('GIS-Standards'!$I$2:$I$305,MATCH(B2027,'GIS-Standards'!$B$2:$B$305,0))</f>
        <v>0</v>
      </c>
      <c r="O2027" t="e">
        <f>INDEX('GIS-Standards'!$I$2:$I$305,MATCH(C2027,'GIS-Standards'!$B$2:$B$305,0))</f>
        <v>#N/A</v>
      </c>
      <c r="P2027" t="e">
        <f>AND(TableRelationships12[[#This Row],[Source Type]]="BIM",TableRelationships12[[#This Row],[Target Type]]="BIM")</f>
        <v>#N/A</v>
      </c>
      <c r="Q2027">
        <f t="shared" si="93"/>
        <v>2</v>
      </c>
      <c r="S2027">
        <f t="shared" si="94"/>
        <v>1</v>
      </c>
      <c r="T2027" s="102" t="str">
        <f>IF(TableRelationships12[[#This Row],[Rank Pedro]]="Low","linkCategory1",IF(TableRelationships12[[#This Row],[Rank Pedro]]="Medium","linkCategory2",IF(TableRelationships12[[#This Row],[Rank Pedro]]="High","linkCategory3","")))</f>
        <v/>
      </c>
      <c r="U2027" s="102" t="str">
        <f>IF(TableRelationships12[[#This Row],[Rank Pedro]]="Low","Pink",IF(TableRelationships12[[#This Row],[Rank Pedro]]="Medium","Purple",IF(TableRelationships12[[#This Row],[Rank Pedro]]="High","Brown","")))</f>
        <v/>
      </c>
      <c r="V2027" s="4" t="e">
        <f>MAX(INDEX(Standards!$F$2:$F$296,MATCH(B2027,Standards!$B$2:$B$296,0)),INDEX(Standards!$F$2:$F$296,MATCH(C2027,Standards!$B$2:$B$296,0)))</f>
        <v>#N/A</v>
      </c>
      <c r="W2027">
        <f t="shared" si="95"/>
        <v>1</v>
      </c>
    </row>
    <row r="2028" spans="1:23" x14ac:dyDescent="0.5">
      <c r="A2028" s="54">
        <v>2027</v>
      </c>
      <c r="B2028" s="90" t="s">
        <v>648</v>
      </c>
      <c r="C2028" t="s">
        <v>293</v>
      </c>
      <c r="D2028" s="1"/>
      <c r="E2028" s="112">
        <v>2002.07</v>
      </c>
      <c r="F2028" s="112">
        <v>2014.11</v>
      </c>
      <c r="G2028" s="107" t="s">
        <v>670</v>
      </c>
      <c r="H2028">
        <f>INDEX('GIS-Standards'!$A$2:$A$305,MATCH(B2028,'GIS-Standards'!$B$2:$B$305,0))</f>
        <v>91</v>
      </c>
      <c r="I2028">
        <f>INDEX('GIS-Standards'!$A$2:$A$305,MATCH(C2028,'GIS-Standards'!$B$2:$B$305,0))</f>
        <v>10</v>
      </c>
      <c r="J2028" t="str">
        <f>INDEX('GIS-Standards'!$O$2:$O$305,MATCH(B2028,'GIS-Standards'!$B$2:$B$305,0))</f>
        <v>ISO/TC 211</v>
      </c>
      <c r="K2028" t="str">
        <f>INDEX('GIS-Standards'!$O$2:$O$305,MATCH(C2028,'GIS-Standards'!$B$2:$B$305,0))</f>
        <v>ISO/TC 211</v>
      </c>
      <c r="M2028" t="s">
        <v>525</v>
      </c>
      <c r="N2028">
        <f>INDEX('GIS-Standards'!$I$2:$I$305,MATCH(B2028,'GIS-Standards'!$B$2:$B$305,0))</f>
        <v>0</v>
      </c>
      <c r="O2028">
        <f>INDEX('GIS-Standards'!$I$2:$I$305,MATCH(C2028,'GIS-Standards'!$B$2:$B$305,0))</f>
        <v>0</v>
      </c>
      <c r="P2028" t="b">
        <f>AND(TableRelationships12[[#This Row],[Source Type]]="BIM",TableRelationships12[[#This Row],[Target Type]]="BIM")</f>
        <v>0</v>
      </c>
      <c r="Q2028">
        <f t="shared" si="93"/>
        <v>1</v>
      </c>
      <c r="S2028">
        <f t="shared" si="94"/>
        <v>1</v>
      </c>
      <c r="T2028" s="102" t="str">
        <f>IF(TableRelationships12[[#This Row],[Rank Pedro]]="Low","linkCategory1",IF(TableRelationships12[[#This Row],[Rank Pedro]]="Medium","linkCategory2",IF(TableRelationships12[[#This Row],[Rank Pedro]]="High","linkCategory3","")))</f>
        <v/>
      </c>
      <c r="U2028" s="102" t="str">
        <f>IF(TableRelationships12[[#This Row],[Rank Pedro]]="Low","Pink",IF(TableRelationships12[[#This Row],[Rank Pedro]]="Medium","Purple",IF(TableRelationships12[[#This Row],[Rank Pedro]]="High","Brown","")))</f>
        <v/>
      </c>
      <c r="V2028" s="4" t="e">
        <f>MAX(INDEX(Standards!$F$2:$F$296,MATCH(B2028,Standards!$B$2:$B$296,0)),INDEX(Standards!$F$2:$F$296,MATCH(C2028,Standards!$B$2:$B$296,0)))</f>
        <v>#N/A</v>
      </c>
      <c r="W2028" t="str">
        <f t="shared" si="95"/>
        <v>#2f89d1</v>
      </c>
    </row>
    <row r="2029" spans="1:23" x14ac:dyDescent="0.5">
      <c r="A2029" s="54">
        <v>2028</v>
      </c>
      <c r="B2029" s="90" t="s">
        <v>648</v>
      </c>
      <c r="C2029" t="s">
        <v>296</v>
      </c>
      <c r="D2029" s="1"/>
      <c r="E2029" s="112">
        <v>2005.07</v>
      </c>
      <c r="F2029" s="112">
        <v>2024.09</v>
      </c>
      <c r="G2029" s="107" t="s">
        <v>670</v>
      </c>
      <c r="H2029">
        <f>INDEX('GIS-Standards'!$A$2:$A$305,MATCH(B2029,'GIS-Standards'!$B$2:$B$305,0))</f>
        <v>91</v>
      </c>
      <c r="I2029">
        <f>INDEX('GIS-Standards'!$A$2:$A$305,MATCH(C2029,'GIS-Standards'!$B$2:$B$305,0))</f>
        <v>12</v>
      </c>
      <c r="J2029" t="str">
        <f>INDEX('GIS-Standards'!$O$2:$O$305,MATCH(B2029,'GIS-Standards'!$B$2:$B$305,0))</f>
        <v>ISO/TC 211</v>
      </c>
      <c r="K2029" t="str">
        <f>INDEX('GIS-Standards'!$O$2:$O$305,MATCH(C2029,'GIS-Standards'!$B$2:$B$305,0))</f>
        <v>ISO/TC 211</v>
      </c>
      <c r="M2029" t="s">
        <v>525</v>
      </c>
      <c r="N2029">
        <f>INDEX('GIS-Standards'!$I$2:$I$305,MATCH(B2029,'GIS-Standards'!$B$2:$B$305,0))</f>
        <v>0</v>
      </c>
      <c r="O2029">
        <f>INDEX('GIS-Standards'!$I$2:$I$305,MATCH(C2029,'GIS-Standards'!$B$2:$B$305,0))</f>
        <v>0</v>
      </c>
      <c r="P2029" t="b">
        <f>AND(TableRelationships12[[#This Row],[Source Type]]="BIM",TableRelationships12[[#This Row],[Target Type]]="BIM")</f>
        <v>0</v>
      </c>
      <c r="Q2029">
        <f t="shared" si="93"/>
        <v>1</v>
      </c>
      <c r="S2029">
        <f t="shared" si="94"/>
        <v>1</v>
      </c>
      <c r="T2029" s="102" t="str">
        <f>IF(TableRelationships12[[#This Row],[Rank Pedro]]="Low","linkCategory1",IF(TableRelationships12[[#This Row],[Rank Pedro]]="Medium","linkCategory2",IF(TableRelationships12[[#This Row],[Rank Pedro]]="High","linkCategory3","")))</f>
        <v/>
      </c>
      <c r="U2029" s="102" t="str">
        <f>IF(TableRelationships12[[#This Row],[Rank Pedro]]="Low","Pink",IF(TableRelationships12[[#This Row],[Rank Pedro]]="Medium","Purple",IF(TableRelationships12[[#This Row],[Rank Pedro]]="High","Brown","")))</f>
        <v/>
      </c>
      <c r="V2029" s="4" t="e">
        <f>MAX(INDEX(Standards!$F$2:$F$296,MATCH(B2029,Standards!$B$2:$B$296,0)),INDEX(Standards!$F$2:$F$296,MATCH(C2029,Standards!$B$2:$B$296,0)))</f>
        <v>#N/A</v>
      </c>
      <c r="W2029" t="str">
        <f t="shared" si="95"/>
        <v>#2f89d1</v>
      </c>
    </row>
    <row r="2030" spans="1:23" x14ac:dyDescent="0.5">
      <c r="A2030" s="54">
        <v>2029</v>
      </c>
      <c r="B2030" s="90" t="s">
        <v>648</v>
      </c>
      <c r="C2030" t="s">
        <v>306</v>
      </c>
      <c r="D2030" s="1"/>
      <c r="E2030" s="112">
        <v>2005.06</v>
      </c>
      <c r="F2030" s="112">
        <v>2025.07</v>
      </c>
      <c r="G2030" s="107" t="s">
        <v>670</v>
      </c>
      <c r="H2030">
        <f>INDEX('GIS-Standards'!$A$2:$A$305,MATCH(B2030,'GIS-Standards'!$B$2:$B$305,0))</f>
        <v>91</v>
      </c>
      <c r="I2030">
        <f>INDEX('GIS-Standards'!$A$2:$A$305,MATCH(C2030,'GIS-Standards'!$B$2:$B$305,0))</f>
        <v>18</v>
      </c>
      <c r="J2030" t="str">
        <f>INDEX('GIS-Standards'!$O$2:$O$305,MATCH(B2030,'GIS-Standards'!$B$2:$B$305,0))</f>
        <v>ISO/TC 211</v>
      </c>
      <c r="K2030" t="str">
        <f>INDEX('GIS-Standards'!$O$2:$O$305,MATCH(C2030,'GIS-Standards'!$B$2:$B$305,0))</f>
        <v>ISO/TC 211</v>
      </c>
      <c r="M2030" t="s">
        <v>525</v>
      </c>
      <c r="N2030">
        <f>INDEX('GIS-Standards'!$I$2:$I$305,MATCH(B2030,'GIS-Standards'!$B$2:$B$305,0))</f>
        <v>0</v>
      </c>
      <c r="O2030">
        <f>INDEX('GIS-Standards'!$I$2:$I$305,MATCH(C2030,'GIS-Standards'!$B$2:$B$305,0))</f>
        <v>0</v>
      </c>
      <c r="P2030" t="b">
        <f>AND(TableRelationships12[[#This Row],[Source Type]]="BIM",TableRelationships12[[#This Row],[Target Type]]="BIM")</f>
        <v>0</v>
      </c>
      <c r="Q2030">
        <f t="shared" si="93"/>
        <v>1</v>
      </c>
      <c r="S2030">
        <f t="shared" si="94"/>
        <v>1</v>
      </c>
      <c r="T2030" s="102" t="str">
        <f>IF(TableRelationships12[[#This Row],[Rank Pedro]]="Low","linkCategory1",IF(TableRelationships12[[#This Row],[Rank Pedro]]="Medium","linkCategory2",IF(TableRelationships12[[#This Row],[Rank Pedro]]="High","linkCategory3","")))</f>
        <v/>
      </c>
      <c r="U2030" s="102" t="str">
        <f>IF(TableRelationships12[[#This Row],[Rank Pedro]]="Low","Pink",IF(TableRelationships12[[#This Row],[Rank Pedro]]="Medium","Purple",IF(TableRelationships12[[#This Row],[Rank Pedro]]="High","Brown","")))</f>
        <v/>
      </c>
      <c r="V2030" s="4" t="e">
        <f>MAX(INDEX(Standards!$F$2:$F$296,MATCH(B2030,Standards!$B$2:$B$296,0)),INDEX(Standards!$F$2:$F$296,MATCH(C2030,Standards!$B$2:$B$296,0)))</f>
        <v>#N/A</v>
      </c>
      <c r="W2030" t="str">
        <f t="shared" si="95"/>
        <v>#2f89d1</v>
      </c>
    </row>
    <row r="2031" spans="1:23" x14ac:dyDescent="0.5">
      <c r="A2031" s="54">
        <v>2030</v>
      </c>
      <c r="B2031" s="90" t="s">
        <v>648</v>
      </c>
      <c r="C2031" t="s">
        <v>308</v>
      </c>
      <c r="D2031" s="1"/>
      <c r="E2031" s="112">
        <v>2005.02</v>
      </c>
      <c r="F2031" s="112">
        <v>2016.12</v>
      </c>
      <c r="G2031" s="107" t="s">
        <v>670</v>
      </c>
      <c r="H2031">
        <f>INDEX('GIS-Standards'!$A$2:$A$305,MATCH(B2031,'GIS-Standards'!$B$2:$B$305,0))</f>
        <v>91</v>
      </c>
      <c r="I2031">
        <f>INDEX('GIS-Standards'!$A$2:$A$305,MATCH(C2031,'GIS-Standards'!$B$2:$B$305,0))</f>
        <v>19</v>
      </c>
      <c r="J2031" t="str">
        <f>INDEX('GIS-Standards'!$O$2:$O$305,MATCH(B2031,'GIS-Standards'!$B$2:$B$305,0))</f>
        <v>ISO/TC 211</v>
      </c>
      <c r="K2031" t="str">
        <f>INDEX('GIS-Standards'!$O$2:$O$305,MATCH(C2031,'GIS-Standards'!$B$2:$B$305,0))</f>
        <v>ISO/TC 211</v>
      </c>
      <c r="M2031" t="s">
        <v>525</v>
      </c>
      <c r="N2031">
        <f>INDEX('GIS-Standards'!$I$2:$I$305,MATCH(B2031,'GIS-Standards'!$B$2:$B$305,0))</f>
        <v>0</v>
      </c>
      <c r="O2031">
        <f>INDEX('GIS-Standards'!$I$2:$I$305,MATCH(C2031,'GIS-Standards'!$B$2:$B$305,0))</f>
        <v>0</v>
      </c>
      <c r="P2031" t="b">
        <f>AND(TableRelationships12[[#This Row],[Source Type]]="BIM",TableRelationships12[[#This Row],[Target Type]]="BIM")</f>
        <v>0</v>
      </c>
      <c r="Q2031">
        <f t="shared" si="93"/>
        <v>1</v>
      </c>
      <c r="S2031">
        <f t="shared" si="94"/>
        <v>1</v>
      </c>
      <c r="T2031" s="102" t="str">
        <f>IF(TableRelationships12[[#This Row],[Rank Pedro]]="Low","linkCategory1",IF(TableRelationships12[[#This Row],[Rank Pedro]]="Medium","linkCategory2",IF(TableRelationships12[[#This Row],[Rank Pedro]]="High","linkCategory3","")))</f>
        <v/>
      </c>
      <c r="U2031" s="102" t="str">
        <f>IF(TableRelationships12[[#This Row],[Rank Pedro]]="Low","Pink",IF(TableRelationships12[[#This Row],[Rank Pedro]]="Medium","Purple",IF(TableRelationships12[[#This Row],[Rank Pedro]]="High","Brown","")))</f>
        <v/>
      </c>
      <c r="V2031" s="4" t="e">
        <f>MAX(INDEX(Standards!$F$2:$F$296,MATCH(B2031,Standards!$B$2:$B$296,0)),INDEX(Standards!$F$2:$F$296,MATCH(C2031,Standards!$B$2:$B$296,0)))</f>
        <v>#N/A</v>
      </c>
      <c r="W2031" t="str">
        <f t="shared" si="95"/>
        <v>#2f89d1</v>
      </c>
    </row>
    <row r="2032" spans="1:23" x14ac:dyDescent="0.5">
      <c r="A2032" s="54">
        <v>2031</v>
      </c>
      <c r="B2032" s="90" t="s">
        <v>648</v>
      </c>
      <c r="C2032" t="s">
        <v>316</v>
      </c>
      <c r="D2032" s="1"/>
      <c r="E2032" s="112">
        <v>2005.07</v>
      </c>
      <c r="F2032" s="112">
        <v>2011.1</v>
      </c>
      <c r="G2032" s="107" t="s">
        <v>670</v>
      </c>
      <c r="H2032">
        <f>INDEX('GIS-Standards'!$A$2:$A$305,MATCH(B2032,'GIS-Standards'!$B$2:$B$305,0))</f>
        <v>91</v>
      </c>
      <c r="I2032">
        <f>INDEX('GIS-Standards'!$A$2:$A$305,MATCH(C2032,'GIS-Standards'!$B$2:$B$305,0))</f>
        <v>27</v>
      </c>
      <c r="J2032" t="str">
        <f>INDEX('GIS-Standards'!$O$2:$O$305,MATCH(B2032,'GIS-Standards'!$B$2:$B$305,0))</f>
        <v>ISO/TC 211</v>
      </c>
      <c r="K2032" t="str">
        <f>INDEX('GIS-Standards'!$O$2:$O$305,MATCH(C2032,'GIS-Standards'!$B$2:$B$305,0))</f>
        <v>ISO/TC 211</v>
      </c>
      <c r="M2032" t="s">
        <v>525</v>
      </c>
      <c r="N2032">
        <f>INDEX('GIS-Standards'!$I$2:$I$305,MATCH(B2032,'GIS-Standards'!$B$2:$B$305,0))</f>
        <v>0</v>
      </c>
      <c r="O2032">
        <f>INDEX('GIS-Standards'!$I$2:$I$305,MATCH(C2032,'GIS-Standards'!$B$2:$B$305,0))</f>
        <v>0</v>
      </c>
      <c r="P2032" t="b">
        <f>AND(TableRelationships12[[#This Row],[Source Type]]="BIM",TableRelationships12[[#This Row],[Target Type]]="BIM")</f>
        <v>0</v>
      </c>
      <c r="Q2032">
        <f t="shared" si="93"/>
        <v>1</v>
      </c>
      <c r="S2032">
        <f t="shared" si="94"/>
        <v>1</v>
      </c>
      <c r="T2032" s="102" t="str">
        <f>IF(TableRelationships12[[#This Row],[Rank Pedro]]="Low","linkCategory1",IF(TableRelationships12[[#This Row],[Rank Pedro]]="Medium","linkCategory2",IF(TableRelationships12[[#This Row],[Rank Pedro]]="High","linkCategory3","")))</f>
        <v/>
      </c>
      <c r="U2032" s="102" t="str">
        <f>IF(TableRelationships12[[#This Row],[Rank Pedro]]="Low","Pink",IF(TableRelationships12[[#This Row],[Rank Pedro]]="Medium","Purple",IF(TableRelationships12[[#This Row],[Rank Pedro]]="High","Brown","")))</f>
        <v/>
      </c>
      <c r="V2032" s="4" t="e">
        <f>MAX(INDEX(Standards!$F$2:$F$296,MATCH(B2032,Standards!$B$2:$B$296,0)),INDEX(Standards!$F$2:$F$296,MATCH(C2032,Standards!$B$2:$B$296,0)))</f>
        <v>#N/A</v>
      </c>
      <c r="W2032" t="str">
        <f t="shared" si="95"/>
        <v>#2f89d1</v>
      </c>
    </row>
    <row r="2033" spans="1:23" x14ac:dyDescent="0.5">
      <c r="A2033" s="54">
        <v>2032</v>
      </c>
      <c r="B2033" s="90" t="s">
        <v>648</v>
      </c>
      <c r="C2033" t="s">
        <v>334</v>
      </c>
      <c r="D2033" s="1"/>
      <c r="E2033" s="113">
        <v>2007.09</v>
      </c>
      <c r="F2033" s="113">
        <v>2020.01</v>
      </c>
      <c r="G2033" s="107" t="s">
        <v>670</v>
      </c>
      <c r="H2033">
        <f>INDEX('GIS-Standards'!$A$2:$A$305,MATCH(B2033,'GIS-Standards'!$B$2:$B$305,0))</f>
        <v>91</v>
      </c>
      <c r="I2033">
        <f>INDEX('GIS-Standards'!$A$2:$A$305,MATCH(C2033,'GIS-Standards'!$B$2:$B$305,0))</f>
        <v>42</v>
      </c>
      <c r="J2033" t="str">
        <f>INDEX('GIS-Standards'!$O$2:$O$305,MATCH(B2033,'GIS-Standards'!$B$2:$B$305,0))</f>
        <v>ISO/TC 211</v>
      </c>
      <c r="K2033" t="str">
        <f>INDEX('GIS-Standards'!$O$2:$O$305,MATCH(C2033,'GIS-Standards'!$B$2:$B$305,0))</f>
        <v>ISO/TC 211</v>
      </c>
      <c r="M2033" t="s">
        <v>525</v>
      </c>
      <c r="N2033">
        <f>INDEX('GIS-Standards'!$I$2:$I$305,MATCH(B2033,'GIS-Standards'!$B$2:$B$305,0))</f>
        <v>0</v>
      </c>
      <c r="O2033">
        <f>INDEX('GIS-Standards'!$I$2:$I$305,MATCH(C2033,'GIS-Standards'!$B$2:$B$305,0))</f>
        <v>0</v>
      </c>
      <c r="P2033" t="b">
        <f>AND(TableRelationships12[[#This Row],[Source Type]]="BIM",TableRelationships12[[#This Row],[Target Type]]="BIM")</f>
        <v>0</v>
      </c>
      <c r="Q2033">
        <f t="shared" si="93"/>
        <v>1</v>
      </c>
      <c r="S2033">
        <f t="shared" si="94"/>
        <v>1</v>
      </c>
      <c r="T2033" s="102" t="str">
        <f>IF(TableRelationships12[[#This Row],[Rank Pedro]]="Low","linkCategory1",IF(TableRelationships12[[#This Row],[Rank Pedro]]="Medium","linkCategory2",IF(TableRelationships12[[#This Row],[Rank Pedro]]="High","linkCategory3","")))</f>
        <v/>
      </c>
      <c r="U2033" s="102" t="str">
        <f>IF(TableRelationships12[[#This Row],[Rank Pedro]]="Low","Pink",IF(TableRelationships12[[#This Row],[Rank Pedro]]="Medium","Purple",IF(TableRelationships12[[#This Row],[Rank Pedro]]="High","Brown","")))</f>
        <v/>
      </c>
      <c r="V2033" s="4" t="e">
        <f>MAX(INDEX(Standards!$F$2:$F$296,MATCH(B2033,Standards!$B$2:$B$296,0)),INDEX(Standards!$F$2:$F$296,MATCH(C2033,Standards!$B$2:$B$296,0)))</f>
        <v>#N/A</v>
      </c>
      <c r="W2033" t="str">
        <f t="shared" si="95"/>
        <v>#2f89d1</v>
      </c>
    </row>
    <row r="2034" spans="1:23" x14ac:dyDescent="0.5">
      <c r="A2034" s="54">
        <v>2033</v>
      </c>
      <c r="B2034" s="90" t="s">
        <v>648</v>
      </c>
      <c r="C2034" t="s">
        <v>1072</v>
      </c>
      <c r="D2034" s="1" t="s">
        <v>1172</v>
      </c>
      <c r="E2034" s="113">
        <v>2011.07</v>
      </c>
      <c r="F2034" s="113">
        <v>2020.03</v>
      </c>
      <c r="G2034" s="107" t="s">
        <v>1456</v>
      </c>
      <c r="H2034">
        <f>INDEX('GIS-Standards'!$A$2:$A$305,MATCH(B2034,'GIS-Standards'!$B$2:$B$305,0))</f>
        <v>91</v>
      </c>
      <c r="I2034" t="e">
        <f>INDEX('GIS-Standards'!$A$2:$A$305,MATCH(C2034,'GIS-Standards'!$B$2:$B$305,0))</f>
        <v>#N/A</v>
      </c>
      <c r="J2034" t="str">
        <f>INDEX('GIS-Standards'!$O$2:$O$305,MATCH(B2034,'GIS-Standards'!$B$2:$B$305,0))</f>
        <v>ISO/TC 211</v>
      </c>
      <c r="K2034" t="e">
        <f>INDEX('GIS-Standards'!$O$2:$O$305,MATCH(C2034,'GIS-Standards'!$B$2:$B$305,0))</f>
        <v>#N/A</v>
      </c>
      <c r="M2034" t="s">
        <v>525</v>
      </c>
      <c r="N2034">
        <f>INDEX('GIS-Standards'!$I$2:$I$305,MATCH(B2034,'GIS-Standards'!$B$2:$B$305,0))</f>
        <v>0</v>
      </c>
      <c r="O2034" t="e">
        <f>INDEX('GIS-Standards'!$I$2:$I$305,MATCH(C2034,'GIS-Standards'!$B$2:$B$305,0))</f>
        <v>#N/A</v>
      </c>
      <c r="P2034" t="e">
        <f>AND(TableRelationships12[[#This Row],[Source Type]]="BIM",TableRelationships12[[#This Row],[Target Type]]="BIM")</f>
        <v>#N/A</v>
      </c>
      <c r="Q2034">
        <f t="shared" si="93"/>
        <v>1</v>
      </c>
      <c r="S2034">
        <f t="shared" si="94"/>
        <v>1</v>
      </c>
      <c r="T2034" s="102" t="str">
        <f>IF(TableRelationships12[[#This Row],[Rank Pedro]]="Low","linkCategory1",IF(TableRelationships12[[#This Row],[Rank Pedro]]="Medium","linkCategory2",IF(TableRelationships12[[#This Row],[Rank Pedro]]="High","linkCategory3","")))</f>
        <v/>
      </c>
      <c r="U2034" s="102" t="str">
        <f>IF(TableRelationships12[[#This Row],[Rank Pedro]]="Low","Pink",IF(TableRelationships12[[#This Row],[Rank Pedro]]="Medium","Purple",IF(TableRelationships12[[#This Row],[Rank Pedro]]="High","Brown","")))</f>
        <v/>
      </c>
      <c r="V2034" s="4" t="e">
        <f>MAX(INDEX(Standards!$F$2:$F$296,MATCH(B2034,Standards!$B$2:$B$296,0)),INDEX(Standards!$F$2:$F$296,MATCH(C2034,Standards!$B$2:$B$296,0)))</f>
        <v>#N/A</v>
      </c>
      <c r="W2034" t="str">
        <f t="shared" si="95"/>
        <v>#2f89d1</v>
      </c>
    </row>
    <row r="2035" spans="1:23" x14ac:dyDescent="0.5">
      <c r="A2035" s="54">
        <v>2034</v>
      </c>
      <c r="B2035" s="90" t="s">
        <v>648</v>
      </c>
      <c r="C2035" t="s">
        <v>1073</v>
      </c>
      <c r="D2035" s="1" t="s">
        <v>1172</v>
      </c>
      <c r="E2035" s="113">
        <v>2011.07</v>
      </c>
      <c r="F2035" s="113">
        <v>2020.11</v>
      </c>
      <c r="G2035" s="107" t="s">
        <v>1456</v>
      </c>
      <c r="H2035">
        <f>INDEX('GIS-Standards'!$A$2:$A$305,MATCH(B2035,'GIS-Standards'!$B$2:$B$305,0))</f>
        <v>91</v>
      </c>
      <c r="I2035" t="e">
        <f>INDEX('GIS-Standards'!$A$2:$A$305,MATCH(C2035,'GIS-Standards'!$B$2:$B$305,0))</f>
        <v>#N/A</v>
      </c>
      <c r="J2035" t="str">
        <f>INDEX('GIS-Standards'!$O$2:$O$305,MATCH(B2035,'GIS-Standards'!$B$2:$B$305,0))</f>
        <v>ISO/TC 211</v>
      </c>
      <c r="K2035" t="e">
        <f>INDEX('GIS-Standards'!$O$2:$O$305,MATCH(C2035,'GIS-Standards'!$B$2:$B$305,0))</f>
        <v>#N/A</v>
      </c>
      <c r="M2035" t="s">
        <v>525</v>
      </c>
      <c r="N2035">
        <f>INDEX('GIS-Standards'!$I$2:$I$305,MATCH(B2035,'GIS-Standards'!$B$2:$B$305,0))</f>
        <v>0</v>
      </c>
      <c r="O2035" t="e">
        <f>INDEX('GIS-Standards'!$I$2:$I$305,MATCH(C2035,'GIS-Standards'!$B$2:$B$305,0))</f>
        <v>#N/A</v>
      </c>
      <c r="P2035" t="e">
        <f>AND(TableRelationships12[[#This Row],[Source Type]]="BIM",TableRelationships12[[#This Row],[Target Type]]="BIM")</f>
        <v>#N/A</v>
      </c>
      <c r="Q2035">
        <f t="shared" si="93"/>
        <v>1</v>
      </c>
      <c r="S2035">
        <f t="shared" si="94"/>
        <v>1</v>
      </c>
      <c r="T2035" s="102" t="str">
        <f>IF(TableRelationships12[[#This Row],[Rank Pedro]]="Low","linkCategory1",IF(TableRelationships12[[#This Row],[Rank Pedro]]="Medium","linkCategory2",IF(TableRelationships12[[#This Row],[Rank Pedro]]="High","linkCategory3","")))</f>
        <v/>
      </c>
      <c r="U2035" s="102" t="str">
        <f>IF(TableRelationships12[[#This Row],[Rank Pedro]]="Low","Pink",IF(TableRelationships12[[#This Row],[Rank Pedro]]="Medium","Purple",IF(TableRelationships12[[#This Row],[Rank Pedro]]="High","Brown","")))</f>
        <v/>
      </c>
      <c r="V2035" s="4" t="e">
        <f>MAX(INDEX(Standards!$F$2:$F$296,MATCH(B2035,Standards!$B$2:$B$296,0)),INDEX(Standards!$F$2:$F$296,MATCH(C2035,Standards!$B$2:$B$296,0)))</f>
        <v>#N/A</v>
      </c>
      <c r="W2035" t="str">
        <f t="shared" si="95"/>
        <v>#2f89d1</v>
      </c>
    </row>
    <row r="2036" spans="1:23" x14ac:dyDescent="0.5">
      <c r="A2036" s="54">
        <v>2035</v>
      </c>
      <c r="B2036" s="90" t="s">
        <v>648</v>
      </c>
      <c r="C2036" t="s">
        <v>1072</v>
      </c>
      <c r="D2036" s="1"/>
      <c r="E2036" s="113">
        <v>2011.07</v>
      </c>
      <c r="F2036" s="113">
        <v>2020.03</v>
      </c>
      <c r="G2036" s="107" t="s">
        <v>1456</v>
      </c>
      <c r="H2036">
        <f>INDEX('GIS-Standards'!$A$2:$A$305,MATCH(B2036,'GIS-Standards'!$B$2:$B$305,0))</f>
        <v>91</v>
      </c>
      <c r="I2036" t="e">
        <f>INDEX('GIS-Standards'!$A$2:$A$305,MATCH(C2036,'GIS-Standards'!$B$2:$B$305,0))</f>
        <v>#N/A</v>
      </c>
      <c r="J2036" t="str">
        <f>INDEX('GIS-Standards'!$O$2:$O$305,MATCH(B2036,'GIS-Standards'!$B$2:$B$305,0))</f>
        <v>ISO/TC 211</v>
      </c>
      <c r="K2036" t="e">
        <f>INDEX('GIS-Standards'!$O$2:$O$305,MATCH(C2036,'GIS-Standards'!$B$2:$B$305,0))</f>
        <v>#N/A</v>
      </c>
      <c r="M2036" t="s">
        <v>525</v>
      </c>
      <c r="N2036">
        <f>INDEX('GIS-Standards'!$I$2:$I$305,MATCH(B2036,'GIS-Standards'!$B$2:$B$305,0))</f>
        <v>0</v>
      </c>
      <c r="O2036" t="e">
        <f>INDEX('GIS-Standards'!$I$2:$I$305,MATCH(C2036,'GIS-Standards'!$B$2:$B$305,0))</f>
        <v>#N/A</v>
      </c>
      <c r="P2036" t="e">
        <f>AND(TableRelationships12[[#This Row],[Source Type]]="BIM",TableRelationships12[[#This Row],[Target Type]]="BIM")</f>
        <v>#N/A</v>
      </c>
      <c r="Q2036">
        <f t="shared" si="93"/>
        <v>1</v>
      </c>
      <c r="S2036">
        <f t="shared" si="94"/>
        <v>1</v>
      </c>
      <c r="T2036" s="102" t="str">
        <f>IF(TableRelationships12[[#This Row],[Rank Pedro]]="Low","linkCategory1",IF(TableRelationships12[[#This Row],[Rank Pedro]]="Medium","linkCategory2",IF(TableRelationships12[[#This Row],[Rank Pedro]]="High","linkCategory3","")))</f>
        <v/>
      </c>
      <c r="U2036" s="102" t="str">
        <f>IF(TableRelationships12[[#This Row],[Rank Pedro]]="Low","Pink",IF(TableRelationships12[[#This Row],[Rank Pedro]]="Medium","Purple",IF(TableRelationships12[[#This Row],[Rank Pedro]]="High","Brown","")))</f>
        <v/>
      </c>
      <c r="V2036" s="4" t="e">
        <f>MAX(INDEX(Standards!$F$2:$F$296,MATCH(B2036,Standards!$B$2:$B$296,0)),INDEX(Standards!$F$2:$F$296,MATCH(C2036,Standards!$B$2:$B$296,0)))</f>
        <v>#N/A</v>
      </c>
      <c r="W2036" t="str">
        <f t="shared" si="95"/>
        <v>#2f89d1</v>
      </c>
    </row>
    <row r="2037" spans="1:23" x14ac:dyDescent="0.5">
      <c r="A2037" s="54">
        <v>2036</v>
      </c>
      <c r="B2037" s="90" t="s">
        <v>648</v>
      </c>
      <c r="C2037" t="s">
        <v>1111</v>
      </c>
      <c r="D2037" s="1"/>
      <c r="G2037" s="107"/>
      <c r="H2037">
        <f>INDEX('GIS-Standards'!$A$2:$A$305,MATCH(B2037,'GIS-Standards'!$B$2:$B$305,0))</f>
        <v>91</v>
      </c>
      <c r="I2037" t="e">
        <f>INDEX('GIS-Standards'!$A$2:$A$305,MATCH(C2037,'GIS-Standards'!$B$2:$B$305,0))</f>
        <v>#N/A</v>
      </c>
      <c r="J2037" t="str">
        <f>INDEX('GIS-Standards'!$O$2:$O$305,MATCH(B2037,'GIS-Standards'!$B$2:$B$305,0))</f>
        <v>ISO/TC 211</v>
      </c>
      <c r="K2037" t="e">
        <f>INDEX('GIS-Standards'!$O$2:$O$305,MATCH(C2037,'GIS-Standards'!$B$2:$B$305,0))</f>
        <v>#N/A</v>
      </c>
      <c r="M2037" t="s">
        <v>525</v>
      </c>
      <c r="N2037">
        <f>INDEX('GIS-Standards'!$I$2:$I$305,MATCH(B2037,'GIS-Standards'!$B$2:$B$305,0))</f>
        <v>0</v>
      </c>
      <c r="O2037" t="e">
        <f>INDEX('GIS-Standards'!$I$2:$I$305,MATCH(C2037,'GIS-Standards'!$B$2:$B$305,0))</f>
        <v>#N/A</v>
      </c>
      <c r="P2037" t="e">
        <f>AND(TableRelationships12[[#This Row],[Source Type]]="BIM",TableRelationships12[[#This Row],[Target Type]]="BIM")</f>
        <v>#N/A</v>
      </c>
      <c r="Q2037">
        <f t="shared" si="93"/>
        <v>1</v>
      </c>
      <c r="S2037">
        <f t="shared" si="94"/>
        <v>1</v>
      </c>
      <c r="T2037" s="102" t="str">
        <f>IF(TableRelationships12[[#This Row],[Rank Pedro]]="Low","linkCategory1",IF(TableRelationships12[[#This Row],[Rank Pedro]]="Medium","linkCategory2",IF(TableRelationships12[[#This Row],[Rank Pedro]]="High","linkCategory3","")))</f>
        <v/>
      </c>
      <c r="U2037" s="102" t="str">
        <f>IF(TableRelationships12[[#This Row],[Rank Pedro]]="Low","Pink",IF(TableRelationships12[[#This Row],[Rank Pedro]]="Medium","Purple",IF(TableRelationships12[[#This Row],[Rank Pedro]]="High","Brown","")))</f>
        <v/>
      </c>
      <c r="V2037" s="4" t="e">
        <f>MAX(INDEX(Standards!$F$2:$F$296,MATCH(B2037,Standards!$B$2:$B$296,0)),INDEX(Standards!$F$2:$F$296,MATCH(C2037,Standards!$B$2:$B$296,0)))</f>
        <v>#N/A</v>
      </c>
      <c r="W2037" t="str">
        <f t="shared" si="95"/>
        <v>#2f89d1</v>
      </c>
    </row>
    <row r="2038" spans="1:23" x14ac:dyDescent="0.5">
      <c r="A2038" s="54">
        <v>2037</v>
      </c>
      <c r="B2038" s="90" t="s">
        <v>648</v>
      </c>
      <c r="C2038" t="s">
        <v>1351</v>
      </c>
      <c r="D2038" s="1"/>
      <c r="G2038" s="107"/>
      <c r="H2038">
        <f>INDEX('GIS-Standards'!$A$2:$A$305,MATCH(B2038,'GIS-Standards'!$B$2:$B$305,0))</f>
        <v>91</v>
      </c>
      <c r="I2038" t="e">
        <f>INDEX('GIS-Standards'!$A$2:$A$305,MATCH(C2038,'GIS-Standards'!$B$2:$B$305,0))</f>
        <v>#N/A</v>
      </c>
      <c r="J2038" t="str">
        <f>INDEX('GIS-Standards'!$O$2:$O$305,MATCH(B2038,'GIS-Standards'!$B$2:$B$305,0))</f>
        <v>ISO/TC 211</v>
      </c>
      <c r="K2038" t="e">
        <f>INDEX('GIS-Standards'!$O$2:$O$305,MATCH(C2038,'GIS-Standards'!$B$2:$B$305,0))</f>
        <v>#N/A</v>
      </c>
      <c r="M2038" t="s">
        <v>525</v>
      </c>
      <c r="N2038">
        <f>INDEX('GIS-Standards'!$I$2:$I$305,MATCH(B2038,'GIS-Standards'!$B$2:$B$305,0))</f>
        <v>0</v>
      </c>
      <c r="O2038" t="e">
        <f>INDEX('GIS-Standards'!$I$2:$I$305,MATCH(C2038,'GIS-Standards'!$B$2:$B$305,0))</f>
        <v>#N/A</v>
      </c>
      <c r="P2038" t="e">
        <f>AND(TableRelationships12[[#This Row],[Source Type]]="BIM",TableRelationships12[[#This Row],[Target Type]]="BIM")</f>
        <v>#N/A</v>
      </c>
      <c r="Q2038">
        <f t="shared" si="93"/>
        <v>1</v>
      </c>
      <c r="S2038">
        <f t="shared" si="94"/>
        <v>1</v>
      </c>
      <c r="T2038" s="102" t="str">
        <f>IF(TableRelationships12[[#This Row],[Rank Pedro]]="Low","linkCategory1",IF(TableRelationships12[[#This Row],[Rank Pedro]]="Medium","linkCategory2",IF(TableRelationships12[[#This Row],[Rank Pedro]]="High","linkCategory3","")))</f>
        <v/>
      </c>
      <c r="U2038" s="102" t="str">
        <f>IF(TableRelationships12[[#This Row],[Rank Pedro]]="Low","Pink",IF(TableRelationships12[[#This Row],[Rank Pedro]]="Medium","Purple",IF(TableRelationships12[[#This Row],[Rank Pedro]]="High","Brown","")))</f>
        <v/>
      </c>
      <c r="V2038" s="4" t="e">
        <f>MAX(INDEX(Standards!$F$2:$F$296,MATCH(B2038,Standards!$B$2:$B$296,0)),INDEX(Standards!$F$2:$F$296,MATCH(C2038,Standards!$B$2:$B$296,0)))</f>
        <v>#N/A</v>
      </c>
      <c r="W2038" t="str">
        <f t="shared" si="95"/>
        <v>#2f89d1</v>
      </c>
    </row>
    <row r="2039" spans="1:23" x14ac:dyDescent="0.5">
      <c r="A2039" s="54">
        <v>2038</v>
      </c>
      <c r="B2039" s="90" t="s">
        <v>648</v>
      </c>
      <c r="C2039" t="s">
        <v>314</v>
      </c>
      <c r="D2039" s="1"/>
      <c r="E2039" s="112">
        <v>2003.05</v>
      </c>
      <c r="F2039" s="112">
        <v>2020.11</v>
      </c>
      <c r="G2039" s="107" t="s">
        <v>670</v>
      </c>
      <c r="H2039">
        <f>INDEX('GIS-Standards'!$A$2:$A$305,MATCH(B2039,'GIS-Standards'!$B$2:$B$305,0))</f>
        <v>91</v>
      </c>
      <c r="I2039">
        <f>INDEX('GIS-Standards'!$A$2:$A$305,MATCH(C2039,'GIS-Standards'!$B$2:$B$305,0))</f>
        <v>22</v>
      </c>
      <c r="J2039" t="str">
        <f>INDEX('GIS-Standards'!$O$2:$O$305,MATCH(B2039,'GIS-Standards'!$B$2:$B$305,0))</f>
        <v>ISO/TC 211</v>
      </c>
      <c r="K2039" t="str">
        <f>INDEX('GIS-Standards'!$O$2:$O$305,MATCH(C2039,'GIS-Standards'!$B$2:$B$305,0))</f>
        <v>ISO/TC 211</v>
      </c>
      <c r="M2039" t="s">
        <v>525</v>
      </c>
      <c r="N2039">
        <f>INDEX('GIS-Standards'!$I$2:$I$305,MATCH(B2039,'GIS-Standards'!$B$2:$B$305,0))</f>
        <v>0</v>
      </c>
      <c r="O2039" t="str">
        <f>INDEX('GIS-Standards'!$I$2:$I$305,MATCH(C2039,'GIS-Standards'!$B$2:$B$305,0))</f>
        <v>12.2020</v>
      </c>
      <c r="P2039" t="b">
        <f>AND(TableRelationships12[[#This Row],[Source Type]]="BIM",TableRelationships12[[#This Row],[Target Type]]="BIM")</f>
        <v>0</v>
      </c>
      <c r="Q2039">
        <f t="shared" si="93"/>
        <v>1</v>
      </c>
      <c r="S2039">
        <f t="shared" si="94"/>
        <v>1</v>
      </c>
      <c r="T2039" s="102" t="str">
        <f>IF(TableRelationships12[[#This Row],[Rank Pedro]]="Low","linkCategory1",IF(TableRelationships12[[#This Row],[Rank Pedro]]="Medium","linkCategory2",IF(TableRelationships12[[#This Row],[Rank Pedro]]="High","linkCategory3","")))</f>
        <v/>
      </c>
      <c r="U2039" s="102" t="str">
        <f>IF(TableRelationships12[[#This Row],[Rank Pedro]]="Low","Pink",IF(TableRelationships12[[#This Row],[Rank Pedro]]="Medium","Purple",IF(TableRelationships12[[#This Row],[Rank Pedro]]="High","Brown","")))</f>
        <v/>
      </c>
      <c r="V2039" s="4" t="e">
        <f>MAX(INDEX(Standards!$F$2:$F$296,MATCH(B2039,Standards!$B$2:$B$296,0)),INDEX(Standards!$F$2:$F$296,MATCH(C2039,Standards!$B$2:$B$296,0)))</f>
        <v>#N/A</v>
      </c>
      <c r="W2039" t="str">
        <f t="shared" si="95"/>
        <v>#2f89d1</v>
      </c>
    </row>
    <row r="2040" spans="1:23" x14ac:dyDescent="0.5">
      <c r="A2040" s="54">
        <v>2039</v>
      </c>
      <c r="B2040" s="90" t="s">
        <v>648</v>
      </c>
      <c r="C2040" t="s">
        <v>1352</v>
      </c>
      <c r="D2040" s="1"/>
      <c r="E2040" s="112">
        <v>2018.12</v>
      </c>
      <c r="F2040" s="112">
        <v>2018.12</v>
      </c>
      <c r="G2040" s="107" t="s">
        <v>1653</v>
      </c>
      <c r="H2040">
        <f>INDEX('GIS-Standards'!$A$2:$A$305,MATCH(B2040,'GIS-Standards'!$B$2:$B$305,0))</f>
        <v>91</v>
      </c>
      <c r="I2040" t="e">
        <f>INDEX('GIS-Standards'!$A$2:$A$305,MATCH(C2040,'GIS-Standards'!$B$2:$B$305,0))</f>
        <v>#N/A</v>
      </c>
      <c r="J2040" t="str">
        <f>INDEX('GIS-Standards'!$O$2:$O$305,MATCH(B2040,'GIS-Standards'!$B$2:$B$305,0))</f>
        <v>ISO/TC 211</v>
      </c>
      <c r="K2040" t="e">
        <f>INDEX('GIS-Standards'!$O$2:$O$305,MATCH(C2040,'GIS-Standards'!$B$2:$B$305,0))</f>
        <v>#N/A</v>
      </c>
      <c r="M2040" t="s">
        <v>525</v>
      </c>
      <c r="N2040">
        <f>INDEX('GIS-Standards'!$I$2:$I$305,MATCH(B2040,'GIS-Standards'!$B$2:$B$305,0))</f>
        <v>0</v>
      </c>
      <c r="O2040" t="e">
        <f>INDEX('GIS-Standards'!$I$2:$I$305,MATCH(C2040,'GIS-Standards'!$B$2:$B$305,0))</f>
        <v>#N/A</v>
      </c>
      <c r="P2040" t="e">
        <f>AND(TableRelationships12[[#This Row],[Source Type]]="BIM",TableRelationships12[[#This Row],[Target Type]]="BIM")</f>
        <v>#N/A</v>
      </c>
      <c r="Q2040">
        <f t="shared" si="93"/>
        <v>1</v>
      </c>
      <c r="S2040">
        <f t="shared" si="94"/>
        <v>1</v>
      </c>
      <c r="T2040" s="102" t="str">
        <f>IF(TableRelationships12[[#This Row],[Rank Pedro]]="Low","linkCategory1",IF(TableRelationships12[[#This Row],[Rank Pedro]]="Medium","linkCategory2",IF(TableRelationships12[[#This Row],[Rank Pedro]]="High","linkCategory3","")))</f>
        <v/>
      </c>
      <c r="U2040" s="102" t="str">
        <f>IF(TableRelationships12[[#This Row],[Rank Pedro]]="Low","Pink",IF(TableRelationships12[[#This Row],[Rank Pedro]]="Medium","Purple",IF(TableRelationships12[[#This Row],[Rank Pedro]]="High","Brown","")))</f>
        <v/>
      </c>
      <c r="V2040" s="4" t="e">
        <f>MAX(INDEX(Standards!$F$2:$F$296,MATCH(B2040,Standards!$B$2:$B$296,0)),INDEX(Standards!$F$2:$F$296,MATCH(C2040,Standards!$B$2:$B$296,0)))</f>
        <v>#N/A</v>
      </c>
      <c r="W2040" t="str">
        <f t="shared" si="95"/>
        <v>#2f89d1</v>
      </c>
    </row>
    <row r="2041" spans="1:23" x14ac:dyDescent="0.5">
      <c r="A2041" s="54">
        <v>2040</v>
      </c>
      <c r="B2041" s="90" t="s">
        <v>648</v>
      </c>
      <c r="C2041" t="s">
        <v>1073</v>
      </c>
      <c r="D2041" s="1"/>
      <c r="E2041" s="113">
        <v>2011.07</v>
      </c>
      <c r="F2041" s="113">
        <v>2020.11</v>
      </c>
      <c r="G2041" s="107" t="s">
        <v>1456</v>
      </c>
      <c r="H2041">
        <f>INDEX('GIS-Standards'!$A$2:$A$305,MATCH(B2041,'GIS-Standards'!$B$2:$B$305,0))</f>
        <v>91</v>
      </c>
      <c r="I2041" t="e">
        <f>INDEX('GIS-Standards'!$A$2:$A$305,MATCH(C2041,'GIS-Standards'!$B$2:$B$305,0))</f>
        <v>#N/A</v>
      </c>
      <c r="J2041" t="str">
        <f>INDEX('GIS-Standards'!$O$2:$O$305,MATCH(B2041,'GIS-Standards'!$B$2:$B$305,0))</f>
        <v>ISO/TC 211</v>
      </c>
      <c r="K2041" t="e">
        <f>INDEX('GIS-Standards'!$O$2:$O$305,MATCH(C2041,'GIS-Standards'!$B$2:$B$305,0))</f>
        <v>#N/A</v>
      </c>
      <c r="M2041" t="s">
        <v>525</v>
      </c>
      <c r="N2041">
        <f>INDEX('GIS-Standards'!$I$2:$I$305,MATCH(B2041,'GIS-Standards'!$B$2:$B$305,0))</f>
        <v>0</v>
      </c>
      <c r="O2041" t="e">
        <f>INDEX('GIS-Standards'!$I$2:$I$305,MATCH(C2041,'GIS-Standards'!$B$2:$B$305,0))</f>
        <v>#N/A</v>
      </c>
      <c r="P2041" t="e">
        <f>AND(TableRelationships12[[#This Row],[Source Type]]="BIM",TableRelationships12[[#This Row],[Target Type]]="BIM")</f>
        <v>#N/A</v>
      </c>
      <c r="Q2041">
        <f t="shared" si="93"/>
        <v>1</v>
      </c>
      <c r="S2041">
        <f t="shared" si="94"/>
        <v>1</v>
      </c>
      <c r="T2041" s="102" t="str">
        <f>IF(TableRelationships12[[#This Row],[Rank Pedro]]="Low","linkCategory1",IF(TableRelationships12[[#This Row],[Rank Pedro]]="Medium","linkCategory2",IF(TableRelationships12[[#This Row],[Rank Pedro]]="High","linkCategory3","")))</f>
        <v/>
      </c>
      <c r="U2041" s="102" t="str">
        <f>IF(TableRelationships12[[#This Row],[Rank Pedro]]="Low","Pink",IF(TableRelationships12[[#This Row],[Rank Pedro]]="Medium","Purple",IF(TableRelationships12[[#This Row],[Rank Pedro]]="High","Brown","")))</f>
        <v/>
      </c>
      <c r="V2041" s="4" t="e">
        <f>MAX(INDEX(Standards!$F$2:$F$296,MATCH(B2041,Standards!$B$2:$B$296,0)),INDEX(Standards!$F$2:$F$296,MATCH(C2041,Standards!$B$2:$B$296,0)))</f>
        <v>#N/A</v>
      </c>
      <c r="W2041" t="str">
        <f t="shared" si="95"/>
        <v>#2f89d1</v>
      </c>
    </row>
    <row r="2042" spans="1:23" x14ac:dyDescent="0.5">
      <c r="A2042" s="54">
        <v>2041</v>
      </c>
      <c r="B2042" s="90" t="s">
        <v>648</v>
      </c>
      <c r="C2042" t="s">
        <v>330</v>
      </c>
      <c r="D2042" s="1"/>
      <c r="E2042" s="112">
        <v>2007.1</v>
      </c>
      <c r="F2042" s="112">
        <v>2007.1</v>
      </c>
      <c r="G2042" s="107" t="s">
        <v>670</v>
      </c>
      <c r="H2042">
        <f>INDEX('GIS-Standards'!$A$2:$A$305,MATCH(B2042,'GIS-Standards'!$B$2:$B$305,0))</f>
        <v>91</v>
      </c>
      <c r="I2042">
        <f>INDEX('GIS-Standards'!$A$2:$A$305,MATCH(C2042,'GIS-Standards'!$B$2:$B$305,0))</f>
        <v>38</v>
      </c>
      <c r="J2042" t="str">
        <f>INDEX('GIS-Standards'!$O$2:$O$305,MATCH(B2042,'GIS-Standards'!$B$2:$B$305,0))</f>
        <v>ISO/TC 211</v>
      </c>
      <c r="K2042" t="str">
        <f>INDEX('GIS-Standards'!$O$2:$O$305,MATCH(C2042,'GIS-Standards'!$B$2:$B$305,0))</f>
        <v>ISO/TC 211</v>
      </c>
      <c r="M2042" t="s">
        <v>525</v>
      </c>
      <c r="N2042">
        <f>INDEX('GIS-Standards'!$I$2:$I$305,MATCH(B2042,'GIS-Standards'!$B$2:$B$305,0))</f>
        <v>0</v>
      </c>
      <c r="O2042">
        <f>INDEX('GIS-Standards'!$I$2:$I$305,MATCH(C2042,'GIS-Standards'!$B$2:$B$305,0))</f>
        <v>0</v>
      </c>
      <c r="P2042" t="b">
        <f>AND(TableRelationships12[[#This Row],[Source Type]]="BIM",TableRelationships12[[#This Row],[Target Type]]="BIM")</f>
        <v>0</v>
      </c>
      <c r="Q2042">
        <f t="shared" si="93"/>
        <v>1</v>
      </c>
      <c r="S2042">
        <f t="shared" si="94"/>
        <v>1</v>
      </c>
      <c r="T2042" s="102" t="str">
        <f>IF(TableRelationships12[[#This Row],[Rank Pedro]]="Low","linkCategory1",IF(TableRelationships12[[#This Row],[Rank Pedro]]="Medium","linkCategory2",IF(TableRelationships12[[#This Row],[Rank Pedro]]="High","linkCategory3","")))</f>
        <v/>
      </c>
      <c r="U2042" s="102" t="str">
        <f>IF(TableRelationships12[[#This Row],[Rank Pedro]]="Low","Pink",IF(TableRelationships12[[#This Row],[Rank Pedro]]="Medium","Purple",IF(TableRelationships12[[#This Row],[Rank Pedro]]="High","Brown","")))</f>
        <v/>
      </c>
      <c r="V2042" s="4" t="e">
        <f>MAX(INDEX(Standards!$F$2:$F$296,MATCH(B2042,Standards!$B$2:$B$296,0)),INDEX(Standards!$F$2:$F$296,MATCH(C2042,Standards!$B$2:$B$296,0)))</f>
        <v>#N/A</v>
      </c>
      <c r="W2042" t="str">
        <f t="shared" si="95"/>
        <v>#2f89d1</v>
      </c>
    </row>
    <row r="2043" spans="1:23" x14ac:dyDescent="0.5">
      <c r="A2043" s="54">
        <v>2042</v>
      </c>
      <c r="B2043" s="90" t="s">
        <v>648</v>
      </c>
      <c r="C2043" t="s">
        <v>344</v>
      </c>
      <c r="D2043" s="1"/>
      <c r="E2043" s="112">
        <v>2012.02</v>
      </c>
      <c r="F2043" s="112">
        <v>2021.04</v>
      </c>
      <c r="G2043" s="107" t="s">
        <v>670</v>
      </c>
      <c r="H2043">
        <f>INDEX('GIS-Standards'!$A$2:$A$305,MATCH(B2043,'GIS-Standards'!$B$2:$B$305,0))</f>
        <v>91</v>
      </c>
      <c r="I2043">
        <f>INDEX('GIS-Standards'!$A$2:$A$305,MATCH(C2043,'GIS-Standards'!$B$2:$B$305,0))</f>
        <v>53</v>
      </c>
      <c r="J2043" t="str">
        <f>INDEX('GIS-Standards'!$O$2:$O$305,MATCH(B2043,'GIS-Standards'!$B$2:$B$305,0))</f>
        <v>ISO/TC 211</v>
      </c>
      <c r="K2043" t="str">
        <f>INDEX('GIS-Standards'!$O$2:$O$305,MATCH(C2043,'GIS-Standards'!$B$2:$B$305,0))</f>
        <v>ISO/TC 211</v>
      </c>
      <c r="M2043" t="s">
        <v>525</v>
      </c>
      <c r="N2043">
        <f>INDEX('GIS-Standards'!$I$2:$I$305,MATCH(B2043,'GIS-Standards'!$B$2:$B$305,0))</f>
        <v>0</v>
      </c>
      <c r="O2043">
        <f>INDEX('GIS-Standards'!$I$2:$I$305,MATCH(C2043,'GIS-Standards'!$B$2:$B$305,0))</f>
        <v>0</v>
      </c>
      <c r="P2043" t="b">
        <f>AND(TableRelationships12[[#This Row],[Source Type]]="BIM",TableRelationships12[[#This Row],[Target Type]]="BIM")</f>
        <v>0</v>
      </c>
      <c r="Q2043">
        <f t="shared" si="93"/>
        <v>1</v>
      </c>
      <c r="S2043">
        <f t="shared" si="94"/>
        <v>1</v>
      </c>
      <c r="T2043" s="102" t="str">
        <f>IF(TableRelationships12[[#This Row],[Rank Pedro]]="Low","linkCategory1",IF(TableRelationships12[[#This Row],[Rank Pedro]]="Medium","linkCategory2",IF(TableRelationships12[[#This Row],[Rank Pedro]]="High","linkCategory3","")))</f>
        <v/>
      </c>
      <c r="U2043" s="102" t="str">
        <f>IF(TableRelationships12[[#This Row],[Rank Pedro]]="Low","Pink",IF(TableRelationships12[[#This Row],[Rank Pedro]]="Medium","Purple",IF(TableRelationships12[[#This Row],[Rank Pedro]]="High","Brown","")))</f>
        <v/>
      </c>
      <c r="V2043" s="4" t="e">
        <f>MAX(INDEX(Standards!$F$2:$F$296,MATCH(B2043,Standards!$B$2:$B$296,0)),INDEX(Standards!$F$2:$F$296,MATCH(C2043,Standards!$B$2:$B$296,0)))</f>
        <v>#N/A</v>
      </c>
      <c r="W2043" t="str">
        <f t="shared" si="95"/>
        <v>#2f89d1</v>
      </c>
    </row>
    <row r="2044" spans="1:23" x14ac:dyDescent="0.5">
      <c r="A2044" s="54">
        <v>2043</v>
      </c>
      <c r="B2044" s="90" t="s">
        <v>1712</v>
      </c>
      <c r="C2044" t="s">
        <v>527</v>
      </c>
      <c r="D2044" s="1"/>
      <c r="E2044" s="112">
        <v>2025.05</v>
      </c>
      <c r="F2044" s="112">
        <v>2025.05</v>
      </c>
      <c r="G2044" s="121" t="s">
        <v>1714</v>
      </c>
      <c r="H2044">
        <f>INDEX('GIS-Standards'!$A$2:$A$305,MATCH(B2044,'GIS-Standards'!$B$2:$B$305,0))</f>
        <v>92</v>
      </c>
      <c r="I2044" t="e">
        <f>INDEX('GIS-Standards'!$A$2:$A$305,MATCH(C2044,'GIS-Standards'!$B$2:$B$305,0))</f>
        <v>#N/A</v>
      </c>
      <c r="J2044" t="str">
        <f>INDEX('GIS-Standards'!$O$2:$O$305,MATCH(B2044,'GIS-Standards'!$B$2:$B$305,0))</f>
        <v>ISO/TC 211; ISO/TC 287</v>
      </c>
      <c r="K2044" t="e">
        <f>INDEX('GIS-Standards'!$O$2:$O$305,MATCH(C2044,'GIS-Standards'!$B$2:$B$305,0))</f>
        <v>#N/A</v>
      </c>
      <c r="M2044" t="s">
        <v>237</v>
      </c>
      <c r="N2044">
        <f>INDEX('GIS-Standards'!$I$2:$I$305,MATCH(B2044,'GIS-Standards'!$B$2:$B$305,0))</f>
        <v>0</v>
      </c>
      <c r="O2044" t="e">
        <f>INDEX('GIS-Standards'!$I$2:$I$305,MATCH(C2044,'GIS-Standards'!$B$2:$B$305,0))</f>
        <v>#N/A</v>
      </c>
      <c r="P2044" t="e">
        <f>AND(TableRelationships12[[#This Row],[Source Type]]="BIM",TableRelationships12[[#This Row],[Target Type]]="BIM")</f>
        <v>#N/A</v>
      </c>
      <c r="Q2044">
        <f t="shared" si="93"/>
        <v>2</v>
      </c>
      <c r="S2044">
        <f t="shared" si="94"/>
        <v>1</v>
      </c>
      <c r="T2044" s="102" t="str">
        <f>IF(TableRelationships12[[#This Row],[Rank Pedro]]="Low","linkCategory1",IF(TableRelationships12[[#This Row],[Rank Pedro]]="Medium","linkCategory2",IF(TableRelationships12[[#This Row],[Rank Pedro]]="High","linkCategory3","")))</f>
        <v/>
      </c>
      <c r="U2044" s="102" t="str">
        <f>IF(TableRelationships12[[#This Row],[Rank Pedro]]="Low","Pink",IF(TableRelationships12[[#This Row],[Rank Pedro]]="Medium","Purple",IF(TableRelationships12[[#This Row],[Rank Pedro]]="High","Brown","")))</f>
        <v/>
      </c>
      <c r="V2044" s="4" t="e">
        <f>MAX(INDEX(Standards!$F$2:$F$296,MATCH(B2044,Standards!$B$2:$B$296,0)),INDEX(Standards!$F$2:$F$296,MATCH(C2044,Standards!$B$2:$B$296,0)))</f>
        <v>#N/A</v>
      </c>
      <c r="W2044">
        <f t="shared" si="95"/>
        <v>1</v>
      </c>
    </row>
    <row r="2045" spans="1:23" x14ac:dyDescent="0.5">
      <c r="A2045" s="54">
        <v>2044</v>
      </c>
      <c r="B2045" s="90" t="s">
        <v>1712</v>
      </c>
      <c r="C2045" t="s">
        <v>1737</v>
      </c>
      <c r="D2045" s="1"/>
      <c r="E2045" s="112">
        <v>2023.08</v>
      </c>
      <c r="F2045" s="112">
        <v>2023.08</v>
      </c>
      <c r="G2045" s="107" t="s">
        <v>2072</v>
      </c>
      <c r="H2045">
        <f>INDEX('GIS-Standards'!$A$2:$A$305,MATCH(B2045,'GIS-Standards'!$B$2:$B$305,0))</f>
        <v>92</v>
      </c>
      <c r="I2045" t="e">
        <f>INDEX('GIS-Standards'!$A$2:$A$305,MATCH(C2045,'GIS-Standards'!$B$2:$B$305,0))</f>
        <v>#N/A</v>
      </c>
      <c r="J2045" t="str">
        <f>INDEX('GIS-Standards'!$O$2:$O$305,MATCH(B2045,'GIS-Standards'!$B$2:$B$305,0))</f>
        <v>ISO/TC 211; ISO/TC 287</v>
      </c>
      <c r="K2045" t="e">
        <f>INDEX('GIS-Standards'!$O$2:$O$305,MATCH(C2045,'GIS-Standards'!$B$2:$B$305,0))</f>
        <v>#N/A</v>
      </c>
      <c r="M2045" t="s">
        <v>525</v>
      </c>
      <c r="N2045">
        <f>INDEX('GIS-Standards'!$I$2:$I$305,MATCH(B2045,'GIS-Standards'!$B$2:$B$305,0))</f>
        <v>0</v>
      </c>
      <c r="O2045" t="e">
        <f>INDEX('GIS-Standards'!$I$2:$I$305,MATCH(C2045,'GIS-Standards'!$B$2:$B$305,0))</f>
        <v>#N/A</v>
      </c>
      <c r="P2045" t="e">
        <f>AND(TableRelationships12[[#This Row],[Source Type]]="BIM",TableRelationships12[[#This Row],[Target Type]]="BIM")</f>
        <v>#N/A</v>
      </c>
      <c r="Q2045">
        <f t="shared" si="93"/>
        <v>1</v>
      </c>
      <c r="S2045">
        <f t="shared" si="94"/>
        <v>1</v>
      </c>
      <c r="T2045" s="102" t="str">
        <f>IF(TableRelationships12[[#This Row],[Rank Pedro]]="Low","linkCategory1",IF(TableRelationships12[[#This Row],[Rank Pedro]]="Medium","linkCategory2",IF(TableRelationships12[[#This Row],[Rank Pedro]]="High","linkCategory3","")))</f>
        <v/>
      </c>
      <c r="U2045" s="102" t="str">
        <f>IF(TableRelationships12[[#This Row],[Rank Pedro]]="Low","Pink",IF(TableRelationships12[[#This Row],[Rank Pedro]]="Medium","Purple",IF(TableRelationships12[[#This Row],[Rank Pedro]]="High","Brown","")))</f>
        <v/>
      </c>
      <c r="V2045" s="4" t="e">
        <f>MAX(INDEX(Standards!$F$2:$F$296,MATCH(B2045,Standards!$B$2:$B$296,0)),INDEX(Standards!$F$2:$F$296,MATCH(C2045,Standards!$B$2:$B$296,0)))</f>
        <v>#N/A</v>
      </c>
      <c r="W2045" t="str">
        <f t="shared" si="95"/>
        <v>#2f89d1</v>
      </c>
    </row>
    <row r="2046" spans="1:23" x14ac:dyDescent="0.5">
      <c r="A2046" s="54">
        <v>2045</v>
      </c>
      <c r="B2046" s="90" t="s">
        <v>1712</v>
      </c>
      <c r="C2046" t="s">
        <v>1738</v>
      </c>
      <c r="D2046" s="1"/>
      <c r="E2046" s="112">
        <v>2024.04</v>
      </c>
      <c r="F2046" s="112">
        <v>2024.04</v>
      </c>
      <c r="G2046" s="107" t="s">
        <v>2072</v>
      </c>
      <c r="H2046">
        <f>INDEX('GIS-Standards'!$A$2:$A$305,MATCH(B2046,'GIS-Standards'!$B$2:$B$305,0))</f>
        <v>92</v>
      </c>
      <c r="I2046" t="e">
        <f>INDEX('GIS-Standards'!$A$2:$A$305,MATCH(C2046,'GIS-Standards'!$B$2:$B$305,0))</f>
        <v>#N/A</v>
      </c>
      <c r="J2046" t="str">
        <f>INDEX('GIS-Standards'!$O$2:$O$305,MATCH(B2046,'GIS-Standards'!$B$2:$B$305,0))</f>
        <v>ISO/TC 211; ISO/TC 287</v>
      </c>
      <c r="K2046" t="e">
        <f>INDEX('GIS-Standards'!$O$2:$O$305,MATCH(C2046,'GIS-Standards'!$B$2:$B$305,0))</f>
        <v>#N/A</v>
      </c>
      <c r="M2046" t="s">
        <v>525</v>
      </c>
      <c r="N2046">
        <f>INDEX('GIS-Standards'!$I$2:$I$305,MATCH(B2046,'GIS-Standards'!$B$2:$B$305,0))</f>
        <v>0</v>
      </c>
      <c r="O2046" t="e">
        <f>INDEX('GIS-Standards'!$I$2:$I$305,MATCH(C2046,'GIS-Standards'!$B$2:$B$305,0))</f>
        <v>#N/A</v>
      </c>
      <c r="P2046" t="e">
        <f>AND(TableRelationships12[[#This Row],[Source Type]]="BIM",TableRelationships12[[#This Row],[Target Type]]="BIM")</f>
        <v>#N/A</v>
      </c>
      <c r="Q2046">
        <f t="shared" si="93"/>
        <v>1</v>
      </c>
      <c r="S2046">
        <f t="shared" si="94"/>
        <v>1</v>
      </c>
      <c r="T2046" s="102" t="str">
        <f>IF(TableRelationships12[[#This Row],[Rank Pedro]]="Low","linkCategory1",IF(TableRelationships12[[#This Row],[Rank Pedro]]="Medium","linkCategory2",IF(TableRelationships12[[#This Row],[Rank Pedro]]="High","linkCategory3","")))</f>
        <v/>
      </c>
      <c r="U2046" s="102" t="str">
        <f>IF(TableRelationships12[[#This Row],[Rank Pedro]]="Low","Pink",IF(TableRelationships12[[#This Row],[Rank Pedro]]="Medium","Purple",IF(TableRelationships12[[#This Row],[Rank Pedro]]="High","Brown","")))</f>
        <v/>
      </c>
      <c r="V2046" s="4" t="e">
        <f>MAX(INDEX(Standards!$F$2:$F$296,MATCH(B2046,Standards!$B$2:$B$296,0)),INDEX(Standards!$F$2:$F$296,MATCH(C2046,Standards!$B$2:$B$296,0)))</f>
        <v>#N/A</v>
      </c>
      <c r="W2046" t="str">
        <f t="shared" si="95"/>
        <v>#2f89d1</v>
      </c>
    </row>
    <row r="2047" spans="1:23" x14ac:dyDescent="0.5">
      <c r="A2047" s="54">
        <v>2046</v>
      </c>
      <c r="B2047" s="90" t="s">
        <v>1712</v>
      </c>
      <c r="C2047" t="s">
        <v>1739</v>
      </c>
      <c r="D2047" s="1"/>
      <c r="E2047" s="112">
        <v>2020.1</v>
      </c>
      <c r="F2047" s="112">
        <v>2020.1</v>
      </c>
      <c r="G2047" s="107" t="s">
        <v>2072</v>
      </c>
      <c r="H2047">
        <f>INDEX('GIS-Standards'!$A$2:$A$305,MATCH(B2047,'GIS-Standards'!$B$2:$B$305,0))</f>
        <v>92</v>
      </c>
      <c r="I2047" t="e">
        <f>INDEX('GIS-Standards'!$A$2:$A$305,MATCH(C2047,'GIS-Standards'!$B$2:$B$305,0))</f>
        <v>#N/A</v>
      </c>
      <c r="J2047" t="str">
        <f>INDEX('GIS-Standards'!$O$2:$O$305,MATCH(B2047,'GIS-Standards'!$B$2:$B$305,0))</f>
        <v>ISO/TC 211; ISO/TC 287</v>
      </c>
      <c r="K2047" t="e">
        <f>INDEX('GIS-Standards'!$O$2:$O$305,MATCH(C2047,'GIS-Standards'!$B$2:$B$305,0))</f>
        <v>#N/A</v>
      </c>
      <c r="M2047" t="s">
        <v>525</v>
      </c>
      <c r="N2047">
        <f>INDEX('GIS-Standards'!$I$2:$I$305,MATCH(B2047,'GIS-Standards'!$B$2:$B$305,0))</f>
        <v>0</v>
      </c>
      <c r="O2047" t="e">
        <f>INDEX('GIS-Standards'!$I$2:$I$305,MATCH(C2047,'GIS-Standards'!$B$2:$B$305,0))</f>
        <v>#N/A</v>
      </c>
      <c r="P2047" t="e">
        <f>AND(TableRelationships12[[#This Row],[Source Type]]="BIM",TableRelationships12[[#This Row],[Target Type]]="BIM")</f>
        <v>#N/A</v>
      </c>
      <c r="Q2047">
        <f t="shared" si="93"/>
        <v>1</v>
      </c>
      <c r="S2047">
        <f t="shared" si="94"/>
        <v>1</v>
      </c>
      <c r="T2047" s="102" t="str">
        <f>IF(TableRelationships12[[#This Row],[Rank Pedro]]="Low","linkCategory1",IF(TableRelationships12[[#This Row],[Rank Pedro]]="Medium","linkCategory2",IF(TableRelationships12[[#This Row],[Rank Pedro]]="High","linkCategory3","")))</f>
        <v/>
      </c>
      <c r="U2047" s="102" t="str">
        <f>IF(TableRelationships12[[#This Row],[Rank Pedro]]="Low","Pink",IF(TableRelationships12[[#This Row],[Rank Pedro]]="Medium","Purple",IF(TableRelationships12[[#This Row],[Rank Pedro]]="High","Brown","")))</f>
        <v/>
      </c>
      <c r="V2047" s="4" t="e">
        <f>MAX(INDEX(Standards!$F$2:$F$296,MATCH(B2047,Standards!$B$2:$B$296,0)),INDEX(Standards!$F$2:$F$296,MATCH(C2047,Standards!$B$2:$B$296,0)))</f>
        <v>#N/A</v>
      </c>
      <c r="W2047" t="str">
        <f t="shared" si="95"/>
        <v>#2f89d1</v>
      </c>
    </row>
    <row r="2048" spans="1:23" x14ac:dyDescent="0.5">
      <c r="A2048" s="54">
        <v>2047</v>
      </c>
      <c r="B2048" s="90" t="s">
        <v>1712</v>
      </c>
      <c r="C2048" t="s">
        <v>2064</v>
      </c>
      <c r="D2048" s="1"/>
      <c r="E2048" s="112">
        <v>2008.1</v>
      </c>
      <c r="F2048" s="112">
        <v>2008.1</v>
      </c>
      <c r="G2048" s="107" t="s">
        <v>1456</v>
      </c>
      <c r="H2048">
        <f>INDEX('GIS-Standards'!$A$2:$A$305,MATCH(B2048,'GIS-Standards'!$B$2:$B$305,0))</f>
        <v>92</v>
      </c>
      <c r="I2048" t="e">
        <f>INDEX('GIS-Standards'!$A$2:$A$305,MATCH(C2048,'GIS-Standards'!$B$2:$B$305,0))</f>
        <v>#N/A</v>
      </c>
      <c r="J2048" t="str">
        <f>INDEX('GIS-Standards'!$O$2:$O$305,MATCH(B2048,'GIS-Standards'!$B$2:$B$305,0))</f>
        <v>ISO/TC 211; ISO/TC 287</v>
      </c>
      <c r="K2048" t="e">
        <f>INDEX('GIS-Standards'!$O$2:$O$305,MATCH(C2048,'GIS-Standards'!$B$2:$B$305,0))</f>
        <v>#N/A</v>
      </c>
      <c r="M2048" t="s">
        <v>525</v>
      </c>
      <c r="N2048">
        <f>INDEX('GIS-Standards'!$I$2:$I$305,MATCH(B2048,'GIS-Standards'!$B$2:$B$305,0))</f>
        <v>0</v>
      </c>
      <c r="O2048" t="e">
        <f>INDEX('GIS-Standards'!$I$2:$I$305,MATCH(C2048,'GIS-Standards'!$B$2:$B$305,0))</f>
        <v>#N/A</v>
      </c>
      <c r="P2048" t="e">
        <f>AND(TableRelationships12[[#This Row],[Source Type]]="BIM",TableRelationships12[[#This Row],[Target Type]]="BIM")</f>
        <v>#N/A</v>
      </c>
      <c r="Q2048">
        <f t="shared" si="93"/>
        <v>1</v>
      </c>
      <c r="S2048">
        <f t="shared" si="94"/>
        <v>1</v>
      </c>
      <c r="T2048" s="102" t="str">
        <f>IF(TableRelationships12[[#This Row],[Rank Pedro]]="Low","linkCategory1",IF(TableRelationships12[[#This Row],[Rank Pedro]]="Medium","linkCategory2",IF(TableRelationships12[[#This Row],[Rank Pedro]]="High","linkCategory3","")))</f>
        <v/>
      </c>
      <c r="U2048" s="102" t="str">
        <f>IF(TableRelationships12[[#This Row],[Rank Pedro]]="Low","Pink",IF(TableRelationships12[[#This Row],[Rank Pedro]]="Medium","Purple",IF(TableRelationships12[[#This Row],[Rank Pedro]]="High","Brown","")))</f>
        <v/>
      </c>
      <c r="V2048" s="4" t="e">
        <f>MAX(INDEX(Standards!$F$2:$F$296,MATCH(B2048,Standards!$B$2:$B$296,0)),INDEX(Standards!$F$2:$F$296,MATCH(C2048,Standards!$B$2:$B$296,0)))</f>
        <v>#N/A</v>
      </c>
      <c r="W2048" t="str">
        <f t="shared" si="95"/>
        <v>#2f89d1</v>
      </c>
    </row>
    <row r="2049" spans="1:23" x14ac:dyDescent="0.5">
      <c r="A2049" s="54">
        <v>2048</v>
      </c>
      <c r="B2049" s="90" t="s">
        <v>1712</v>
      </c>
      <c r="C2049" t="s">
        <v>1740</v>
      </c>
      <c r="D2049" s="1"/>
      <c r="E2049" s="112">
        <v>2020.08</v>
      </c>
      <c r="F2049" s="112">
        <v>2020.08</v>
      </c>
      <c r="G2049" s="107" t="s">
        <v>2072</v>
      </c>
      <c r="H2049">
        <f>INDEX('GIS-Standards'!$A$2:$A$305,MATCH(B2049,'GIS-Standards'!$B$2:$B$305,0))</f>
        <v>92</v>
      </c>
      <c r="I2049" t="e">
        <f>INDEX('GIS-Standards'!$A$2:$A$305,MATCH(C2049,'GIS-Standards'!$B$2:$B$305,0))</f>
        <v>#N/A</v>
      </c>
      <c r="J2049" t="str">
        <f>INDEX('GIS-Standards'!$O$2:$O$305,MATCH(B2049,'GIS-Standards'!$B$2:$B$305,0))</f>
        <v>ISO/TC 211; ISO/TC 287</v>
      </c>
      <c r="K2049" t="e">
        <f>INDEX('GIS-Standards'!$O$2:$O$305,MATCH(C2049,'GIS-Standards'!$B$2:$B$305,0))</f>
        <v>#N/A</v>
      </c>
      <c r="M2049" t="s">
        <v>525</v>
      </c>
      <c r="N2049">
        <f>INDEX('GIS-Standards'!$I$2:$I$305,MATCH(B2049,'GIS-Standards'!$B$2:$B$305,0))</f>
        <v>0</v>
      </c>
      <c r="O2049" t="e">
        <f>INDEX('GIS-Standards'!$I$2:$I$305,MATCH(C2049,'GIS-Standards'!$B$2:$B$305,0))</f>
        <v>#N/A</v>
      </c>
      <c r="P2049" t="e">
        <f>AND(TableRelationships12[[#This Row],[Source Type]]="BIM",TableRelationships12[[#This Row],[Target Type]]="BIM")</f>
        <v>#N/A</v>
      </c>
      <c r="Q2049">
        <f t="shared" si="93"/>
        <v>1</v>
      </c>
      <c r="S2049">
        <f t="shared" si="94"/>
        <v>1</v>
      </c>
      <c r="T2049" s="102" t="str">
        <f>IF(TableRelationships12[[#This Row],[Rank Pedro]]="Low","linkCategory1",IF(TableRelationships12[[#This Row],[Rank Pedro]]="Medium","linkCategory2",IF(TableRelationships12[[#This Row],[Rank Pedro]]="High","linkCategory3","")))</f>
        <v/>
      </c>
      <c r="U2049" s="102" t="str">
        <f>IF(TableRelationships12[[#This Row],[Rank Pedro]]="Low","Pink",IF(TableRelationships12[[#This Row],[Rank Pedro]]="Medium","Purple",IF(TableRelationships12[[#This Row],[Rank Pedro]]="High","Brown","")))</f>
        <v/>
      </c>
      <c r="V2049" s="4" t="e">
        <f>MAX(INDEX(Standards!$F$2:$F$296,MATCH(B2049,Standards!$B$2:$B$296,0)),INDEX(Standards!$F$2:$F$296,MATCH(C2049,Standards!$B$2:$B$296,0)))</f>
        <v>#N/A</v>
      </c>
      <c r="W2049" t="str">
        <f t="shared" si="95"/>
        <v>#2f89d1</v>
      </c>
    </row>
    <row r="2050" spans="1:23" x14ac:dyDescent="0.5">
      <c r="A2050" s="54">
        <v>2049</v>
      </c>
      <c r="B2050" s="90" t="s">
        <v>1712</v>
      </c>
      <c r="C2050" t="s">
        <v>1380</v>
      </c>
      <c r="D2050" s="1"/>
      <c r="E2050" s="112">
        <v>2020.02</v>
      </c>
      <c r="F2050" s="112">
        <v>2020.02</v>
      </c>
      <c r="G2050" s="107" t="s">
        <v>673</v>
      </c>
      <c r="H2050">
        <f>INDEX('GIS-Standards'!$A$2:$A$305,MATCH(B2050,'GIS-Standards'!$B$2:$B$305,0))</f>
        <v>92</v>
      </c>
      <c r="I2050" t="e">
        <f>INDEX('GIS-Standards'!$A$2:$A$305,MATCH(C2050,'GIS-Standards'!$B$2:$B$305,0))</f>
        <v>#N/A</v>
      </c>
      <c r="J2050" t="str">
        <f>INDEX('GIS-Standards'!$O$2:$O$305,MATCH(B2050,'GIS-Standards'!$B$2:$B$305,0))</f>
        <v>ISO/TC 211; ISO/TC 287</v>
      </c>
      <c r="K2050" t="e">
        <f>INDEX('GIS-Standards'!$O$2:$O$305,MATCH(C2050,'GIS-Standards'!$B$2:$B$305,0))</f>
        <v>#N/A</v>
      </c>
      <c r="M2050" t="s">
        <v>525</v>
      </c>
      <c r="N2050">
        <f>INDEX('GIS-Standards'!$I$2:$I$305,MATCH(B2050,'GIS-Standards'!$B$2:$B$305,0))</f>
        <v>0</v>
      </c>
      <c r="O2050" t="e">
        <f>INDEX('GIS-Standards'!$I$2:$I$305,MATCH(C2050,'GIS-Standards'!$B$2:$B$305,0))</f>
        <v>#N/A</v>
      </c>
      <c r="P2050" t="e">
        <f>AND(TableRelationships12[[#This Row],[Source Type]]="BIM",TableRelationships12[[#This Row],[Target Type]]="BIM")</f>
        <v>#N/A</v>
      </c>
      <c r="Q2050">
        <f t="shared" ref="Q2050:Q2113" si="96">IF(M2050="Normative",6,IF(M2050="Secondary",4,IF(M2050="Anchor",2,1)))</f>
        <v>1</v>
      </c>
      <c r="S2050">
        <f t="shared" ref="S2050:S2113" si="97">IF(R2050="High",10,IF(R2050="Medium",6,IF(R2050="Low",2,1)))</f>
        <v>1</v>
      </c>
      <c r="T2050" s="102" t="str">
        <f>IF(TableRelationships12[[#This Row],[Rank Pedro]]="Low","linkCategory1",IF(TableRelationships12[[#This Row],[Rank Pedro]]="Medium","linkCategory2",IF(TableRelationships12[[#This Row],[Rank Pedro]]="High","linkCategory3","")))</f>
        <v/>
      </c>
      <c r="U2050" s="102" t="str">
        <f>IF(TableRelationships12[[#This Row],[Rank Pedro]]="Low","Pink",IF(TableRelationships12[[#This Row],[Rank Pedro]]="Medium","Purple",IF(TableRelationships12[[#This Row],[Rank Pedro]]="High","Brown","")))</f>
        <v/>
      </c>
      <c r="V2050" s="4" t="e">
        <f>MAX(INDEX(Standards!$F$2:$F$296,MATCH(B2050,Standards!$B$2:$B$296,0)),INDEX(Standards!$F$2:$F$296,MATCH(C2050,Standards!$B$2:$B$296,0)))</f>
        <v>#N/A</v>
      </c>
      <c r="W2050" t="str">
        <f t="shared" ref="W2050:W2113" si="98">IF(M2050="Normative", "#d6bf2a", IF(M2050="Informative", "#2f89d1", 1))</f>
        <v>#2f89d1</v>
      </c>
    </row>
    <row r="2051" spans="1:23" x14ac:dyDescent="0.5">
      <c r="A2051" s="54">
        <v>2050</v>
      </c>
      <c r="B2051" s="90" t="s">
        <v>1712</v>
      </c>
      <c r="C2051" t="s">
        <v>1741</v>
      </c>
      <c r="D2051" s="1"/>
      <c r="E2051" s="112">
        <v>2007.02</v>
      </c>
      <c r="F2051" s="112">
        <v>2023.07</v>
      </c>
      <c r="G2051" s="107" t="s">
        <v>1487</v>
      </c>
      <c r="H2051">
        <f>INDEX('GIS-Standards'!$A$2:$A$305,MATCH(B2051,'GIS-Standards'!$B$2:$B$305,0))</f>
        <v>92</v>
      </c>
      <c r="I2051" t="e">
        <f>INDEX('GIS-Standards'!$A$2:$A$305,MATCH(C2051,'GIS-Standards'!$B$2:$B$305,0))</f>
        <v>#N/A</v>
      </c>
      <c r="J2051" t="str">
        <f>INDEX('GIS-Standards'!$O$2:$O$305,MATCH(B2051,'GIS-Standards'!$B$2:$B$305,0))</f>
        <v>ISO/TC 211; ISO/TC 287</v>
      </c>
      <c r="K2051" t="e">
        <f>INDEX('GIS-Standards'!$O$2:$O$305,MATCH(C2051,'GIS-Standards'!$B$2:$B$305,0))</f>
        <v>#N/A</v>
      </c>
      <c r="M2051" t="s">
        <v>525</v>
      </c>
      <c r="N2051">
        <f>INDEX('GIS-Standards'!$I$2:$I$305,MATCH(B2051,'GIS-Standards'!$B$2:$B$305,0))</f>
        <v>0</v>
      </c>
      <c r="O2051" t="e">
        <f>INDEX('GIS-Standards'!$I$2:$I$305,MATCH(C2051,'GIS-Standards'!$B$2:$B$305,0))</f>
        <v>#N/A</v>
      </c>
      <c r="P2051" t="e">
        <f>AND(TableRelationships12[[#This Row],[Source Type]]="BIM",TableRelationships12[[#This Row],[Target Type]]="BIM")</f>
        <v>#N/A</v>
      </c>
      <c r="Q2051">
        <f t="shared" si="96"/>
        <v>1</v>
      </c>
      <c r="S2051">
        <f t="shared" si="97"/>
        <v>1</v>
      </c>
      <c r="T2051" s="102" t="str">
        <f>IF(TableRelationships12[[#This Row],[Rank Pedro]]="Low","linkCategory1",IF(TableRelationships12[[#This Row],[Rank Pedro]]="Medium","linkCategory2",IF(TableRelationships12[[#This Row],[Rank Pedro]]="High","linkCategory3","")))</f>
        <v/>
      </c>
      <c r="U2051" s="102" t="str">
        <f>IF(TableRelationships12[[#This Row],[Rank Pedro]]="Low","Pink",IF(TableRelationships12[[#This Row],[Rank Pedro]]="Medium","Purple",IF(TableRelationships12[[#This Row],[Rank Pedro]]="High","Brown","")))</f>
        <v/>
      </c>
      <c r="V2051" s="4" t="e">
        <f>MAX(INDEX(Standards!$F$2:$F$296,MATCH(B2051,Standards!$B$2:$B$296,0)),INDEX(Standards!$F$2:$F$296,MATCH(C2051,Standards!$B$2:$B$296,0)))</f>
        <v>#N/A</v>
      </c>
      <c r="W2051" t="str">
        <f t="shared" si="98"/>
        <v>#2f89d1</v>
      </c>
    </row>
    <row r="2052" spans="1:23" x14ac:dyDescent="0.5">
      <c r="A2052" s="54">
        <v>2051</v>
      </c>
      <c r="B2052" s="90" t="s">
        <v>1712</v>
      </c>
      <c r="C2052" t="s">
        <v>1742</v>
      </c>
      <c r="D2052" s="1"/>
      <c r="F2052" s="112">
        <v>2020.02</v>
      </c>
      <c r="G2052" s="107"/>
      <c r="H2052">
        <f>INDEX('GIS-Standards'!$A$2:$A$305,MATCH(B2052,'GIS-Standards'!$B$2:$B$305,0))</f>
        <v>92</v>
      </c>
      <c r="I2052" t="e">
        <f>INDEX('GIS-Standards'!$A$2:$A$305,MATCH(C2052,'GIS-Standards'!$B$2:$B$305,0))</f>
        <v>#N/A</v>
      </c>
      <c r="J2052" t="str">
        <f>INDEX('GIS-Standards'!$O$2:$O$305,MATCH(B2052,'GIS-Standards'!$B$2:$B$305,0))</f>
        <v>ISO/TC 211; ISO/TC 287</v>
      </c>
      <c r="K2052" t="e">
        <f>INDEX('GIS-Standards'!$O$2:$O$305,MATCH(C2052,'GIS-Standards'!$B$2:$B$305,0))</f>
        <v>#N/A</v>
      </c>
      <c r="M2052" t="s">
        <v>525</v>
      </c>
      <c r="N2052">
        <f>INDEX('GIS-Standards'!$I$2:$I$305,MATCH(B2052,'GIS-Standards'!$B$2:$B$305,0))</f>
        <v>0</v>
      </c>
      <c r="O2052" t="e">
        <f>INDEX('GIS-Standards'!$I$2:$I$305,MATCH(C2052,'GIS-Standards'!$B$2:$B$305,0))</f>
        <v>#N/A</v>
      </c>
      <c r="P2052" t="e">
        <f>AND(TableRelationships12[[#This Row],[Source Type]]="BIM",TableRelationships12[[#This Row],[Target Type]]="BIM")</f>
        <v>#N/A</v>
      </c>
      <c r="Q2052">
        <f t="shared" si="96"/>
        <v>1</v>
      </c>
      <c r="S2052">
        <f t="shared" si="97"/>
        <v>1</v>
      </c>
      <c r="T2052" s="102" t="str">
        <f>IF(TableRelationships12[[#This Row],[Rank Pedro]]="Low","linkCategory1",IF(TableRelationships12[[#This Row],[Rank Pedro]]="Medium","linkCategory2",IF(TableRelationships12[[#This Row],[Rank Pedro]]="High","linkCategory3","")))</f>
        <v/>
      </c>
      <c r="U2052" s="102" t="str">
        <f>IF(TableRelationships12[[#This Row],[Rank Pedro]]="Low","Pink",IF(TableRelationships12[[#This Row],[Rank Pedro]]="Medium","Purple",IF(TableRelationships12[[#This Row],[Rank Pedro]]="High","Brown","")))</f>
        <v/>
      </c>
      <c r="V2052" s="4" t="e">
        <f>MAX(INDEX(Standards!$F$2:$F$296,MATCH(B2052,Standards!$B$2:$B$296,0)),INDEX(Standards!$F$2:$F$296,MATCH(C2052,Standards!$B$2:$B$296,0)))</f>
        <v>#N/A</v>
      </c>
      <c r="W2052" t="str">
        <f t="shared" si="98"/>
        <v>#2f89d1</v>
      </c>
    </row>
    <row r="2053" spans="1:23" x14ac:dyDescent="0.5">
      <c r="A2053" s="54">
        <v>2052</v>
      </c>
      <c r="B2053" s="90" t="s">
        <v>1712</v>
      </c>
      <c r="C2053" t="s">
        <v>1743</v>
      </c>
      <c r="D2053" s="1"/>
      <c r="F2053" s="112">
        <v>2022.01</v>
      </c>
      <c r="G2053" s="107"/>
      <c r="H2053">
        <f>INDEX('GIS-Standards'!$A$2:$A$305,MATCH(B2053,'GIS-Standards'!$B$2:$B$305,0))</f>
        <v>92</v>
      </c>
      <c r="I2053" t="e">
        <f>INDEX('GIS-Standards'!$A$2:$A$305,MATCH(C2053,'GIS-Standards'!$B$2:$B$305,0))</f>
        <v>#N/A</v>
      </c>
      <c r="J2053" t="str">
        <f>INDEX('GIS-Standards'!$O$2:$O$305,MATCH(B2053,'GIS-Standards'!$B$2:$B$305,0))</f>
        <v>ISO/TC 211; ISO/TC 287</v>
      </c>
      <c r="K2053" t="e">
        <f>INDEX('GIS-Standards'!$O$2:$O$305,MATCH(C2053,'GIS-Standards'!$B$2:$B$305,0))</f>
        <v>#N/A</v>
      </c>
      <c r="M2053" t="s">
        <v>525</v>
      </c>
      <c r="N2053">
        <f>INDEX('GIS-Standards'!$I$2:$I$305,MATCH(B2053,'GIS-Standards'!$B$2:$B$305,0))</f>
        <v>0</v>
      </c>
      <c r="O2053" t="e">
        <f>INDEX('GIS-Standards'!$I$2:$I$305,MATCH(C2053,'GIS-Standards'!$B$2:$B$305,0))</f>
        <v>#N/A</v>
      </c>
      <c r="P2053" t="e">
        <f>AND(TableRelationships12[[#This Row],[Source Type]]="BIM",TableRelationships12[[#This Row],[Target Type]]="BIM")</f>
        <v>#N/A</v>
      </c>
      <c r="Q2053">
        <f t="shared" si="96"/>
        <v>1</v>
      </c>
      <c r="S2053">
        <f t="shared" si="97"/>
        <v>1</v>
      </c>
      <c r="T2053" s="102" t="str">
        <f>IF(TableRelationships12[[#This Row],[Rank Pedro]]="Low","linkCategory1",IF(TableRelationships12[[#This Row],[Rank Pedro]]="Medium","linkCategory2",IF(TableRelationships12[[#This Row],[Rank Pedro]]="High","linkCategory3","")))</f>
        <v/>
      </c>
      <c r="U2053" s="102" t="str">
        <f>IF(TableRelationships12[[#This Row],[Rank Pedro]]="Low","Pink",IF(TableRelationships12[[#This Row],[Rank Pedro]]="Medium","Purple",IF(TableRelationships12[[#This Row],[Rank Pedro]]="High","Brown","")))</f>
        <v/>
      </c>
      <c r="V2053" s="4" t="e">
        <f>MAX(INDEX(Standards!$F$2:$F$296,MATCH(B2053,Standards!$B$2:$B$296,0)),INDEX(Standards!$F$2:$F$296,MATCH(C2053,Standards!$B$2:$B$296,0)))</f>
        <v>#N/A</v>
      </c>
      <c r="W2053" t="str">
        <f t="shared" si="98"/>
        <v>#2f89d1</v>
      </c>
    </row>
    <row r="2054" spans="1:23" x14ac:dyDescent="0.5">
      <c r="A2054" s="54">
        <v>2053</v>
      </c>
      <c r="B2054" s="90" t="s">
        <v>1712</v>
      </c>
      <c r="C2054" t="s">
        <v>1744</v>
      </c>
      <c r="D2054" s="1"/>
      <c r="E2054" s="112">
        <v>2007.03</v>
      </c>
      <c r="F2054" s="112">
        <v>2024.02</v>
      </c>
      <c r="G2054" s="107" t="s">
        <v>1487</v>
      </c>
      <c r="H2054">
        <f>INDEX('GIS-Standards'!$A$2:$A$305,MATCH(B2054,'GIS-Standards'!$B$2:$B$305,0))</f>
        <v>92</v>
      </c>
      <c r="I2054" t="e">
        <f>INDEX('GIS-Standards'!$A$2:$A$305,MATCH(C2054,'GIS-Standards'!$B$2:$B$305,0))</f>
        <v>#N/A</v>
      </c>
      <c r="J2054" t="str">
        <f>INDEX('GIS-Standards'!$O$2:$O$305,MATCH(B2054,'GIS-Standards'!$B$2:$B$305,0))</f>
        <v>ISO/TC 211; ISO/TC 287</v>
      </c>
      <c r="K2054" t="e">
        <f>INDEX('GIS-Standards'!$O$2:$O$305,MATCH(C2054,'GIS-Standards'!$B$2:$B$305,0))</f>
        <v>#N/A</v>
      </c>
      <c r="M2054" t="s">
        <v>525</v>
      </c>
      <c r="N2054">
        <f>INDEX('GIS-Standards'!$I$2:$I$305,MATCH(B2054,'GIS-Standards'!$B$2:$B$305,0))</f>
        <v>0</v>
      </c>
      <c r="O2054" t="e">
        <f>INDEX('GIS-Standards'!$I$2:$I$305,MATCH(C2054,'GIS-Standards'!$B$2:$B$305,0))</f>
        <v>#N/A</v>
      </c>
      <c r="P2054" t="e">
        <f>AND(TableRelationships12[[#This Row],[Source Type]]="BIM",TableRelationships12[[#This Row],[Target Type]]="BIM")</f>
        <v>#N/A</v>
      </c>
      <c r="Q2054">
        <f t="shared" si="96"/>
        <v>1</v>
      </c>
      <c r="S2054">
        <f t="shared" si="97"/>
        <v>1</v>
      </c>
      <c r="T2054" s="102" t="str">
        <f>IF(TableRelationships12[[#This Row],[Rank Pedro]]="Low","linkCategory1",IF(TableRelationships12[[#This Row],[Rank Pedro]]="Medium","linkCategory2",IF(TableRelationships12[[#This Row],[Rank Pedro]]="High","linkCategory3","")))</f>
        <v/>
      </c>
      <c r="U2054" s="102" t="str">
        <f>IF(TableRelationships12[[#This Row],[Rank Pedro]]="Low","Pink",IF(TableRelationships12[[#This Row],[Rank Pedro]]="Medium","Purple",IF(TableRelationships12[[#This Row],[Rank Pedro]]="High","Brown","")))</f>
        <v/>
      </c>
      <c r="V2054" s="4" t="e">
        <f>MAX(INDEX(Standards!$F$2:$F$296,MATCH(B2054,Standards!$B$2:$B$296,0)),INDEX(Standards!$F$2:$F$296,MATCH(C2054,Standards!$B$2:$B$296,0)))</f>
        <v>#N/A</v>
      </c>
      <c r="W2054" t="str">
        <f t="shared" si="98"/>
        <v>#2f89d1</v>
      </c>
    </row>
    <row r="2055" spans="1:23" x14ac:dyDescent="0.5">
      <c r="A2055" s="54">
        <v>2054</v>
      </c>
      <c r="B2055" s="90" t="s">
        <v>1712</v>
      </c>
      <c r="C2055" t="s">
        <v>1745</v>
      </c>
      <c r="D2055" s="1"/>
      <c r="E2055" s="112">
        <v>2015.09</v>
      </c>
      <c r="F2055" s="112">
        <v>2024.02</v>
      </c>
      <c r="G2055" s="107" t="s">
        <v>1487</v>
      </c>
      <c r="H2055">
        <f>INDEX('GIS-Standards'!$A$2:$A$305,MATCH(B2055,'GIS-Standards'!$B$2:$B$305,0))</f>
        <v>92</v>
      </c>
      <c r="I2055" t="e">
        <f>INDEX('GIS-Standards'!$A$2:$A$305,MATCH(C2055,'GIS-Standards'!$B$2:$B$305,0))</f>
        <v>#N/A</v>
      </c>
      <c r="J2055" t="str">
        <f>INDEX('GIS-Standards'!$O$2:$O$305,MATCH(B2055,'GIS-Standards'!$B$2:$B$305,0))</f>
        <v>ISO/TC 211; ISO/TC 287</v>
      </c>
      <c r="K2055" t="e">
        <f>INDEX('GIS-Standards'!$O$2:$O$305,MATCH(C2055,'GIS-Standards'!$B$2:$B$305,0))</f>
        <v>#N/A</v>
      </c>
      <c r="M2055" t="s">
        <v>525</v>
      </c>
      <c r="N2055">
        <f>INDEX('GIS-Standards'!$I$2:$I$305,MATCH(B2055,'GIS-Standards'!$B$2:$B$305,0))</f>
        <v>0</v>
      </c>
      <c r="O2055" t="e">
        <f>INDEX('GIS-Standards'!$I$2:$I$305,MATCH(C2055,'GIS-Standards'!$B$2:$B$305,0))</f>
        <v>#N/A</v>
      </c>
      <c r="P2055" t="e">
        <f>AND(TableRelationships12[[#This Row],[Source Type]]="BIM",TableRelationships12[[#This Row],[Target Type]]="BIM")</f>
        <v>#N/A</v>
      </c>
      <c r="Q2055">
        <f t="shared" si="96"/>
        <v>1</v>
      </c>
      <c r="S2055">
        <f t="shared" si="97"/>
        <v>1</v>
      </c>
      <c r="T2055" s="102" t="str">
        <f>IF(TableRelationships12[[#This Row],[Rank Pedro]]="Low","linkCategory1",IF(TableRelationships12[[#This Row],[Rank Pedro]]="Medium","linkCategory2",IF(TableRelationships12[[#This Row],[Rank Pedro]]="High","linkCategory3","")))</f>
        <v/>
      </c>
      <c r="U2055" s="102" t="str">
        <f>IF(TableRelationships12[[#This Row],[Rank Pedro]]="Low","Pink",IF(TableRelationships12[[#This Row],[Rank Pedro]]="Medium","Purple",IF(TableRelationships12[[#This Row],[Rank Pedro]]="High","Brown","")))</f>
        <v/>
      </c>
      <c r="V2055" s="4" t="e">
        <f>MAX(INDEX(Standards!$F$2:$F$296,MATCH(B2055,Standards!$B$2:$B$296,0)),INDEX(Standards!$F$2:$F$296,MATCH(C2055,Standards!$B$2:$B$296,0)))</f>
        <v>#N/A</v>
      </c>
      <c r="W2055" t="str">
        <f t="shared" si="98"/>
        <v>#2f89d1</v>
      </c>
    </row>
    <row r="2056" spans="1:23" x14ac:dyDescent="0.5">
      <c r="A2056" s="54">
        <v>2055</v>
      </c>
      <c r="B2056" s="90" t="s">
        <v>1712</v>
      </c>
      <c r="C2056" t="s">
        <v>1746</v>
      </c>
      <c r="D2056" s="1"/>
      <c r="E2056" s="112">
        <v>2014.12</v>
      </c>
      <c r="F2056" s="112">
        <v>2023.07</v>
      </c>
      <c r="G2056" s="107" t="s">
        <v>1487</v>
      </c>
      <c r="H2056">
        <f>INDEX('GIS-Standards'!$A$2:$A$305,MATCH(B2056,'GIS-Standards'!$B$2:$B$305,0))</f>
        <v>92</v>
      </c>
      <c r="I2056" t="e">
        <f>INDEX('GIS-Standards'!$A$2:$A$305,MATCH(C2056,'GIS-Standards'!$B$2:$B$305,0))</f>
        <v>#N/A</v>
      </c>
      <c r="J2056" t="str">
        <f>INDEX('GIS-Standards'!$O$2:$O$305,MATCH(B2056,'GIS-Standards'!$B$2:$B$305,0))</f>
        <v>ISO/TC 211; ISO/TC 287</v>
      </c>
      <c r="K2056" t="e">
        <f>INDEX('GIS-Standards'!$O$2:$O$305,MATCH(C2056,'GIS-Standards'!$B$2:$B$305,0))</f>
        <v>#N/A</v>
      </c>
      <c r="M2056" t="s">
        <v>525</v>
      </c>
      <c r="N2056">
        <f>INDEX('GIS-Standards'!$I$2:$I$305,MATCH(B2056,'GIS-Standards'!$B$2:$B$305,0))</f>
        <v>0</v>
      </c>
      <c r="O2056" t="e">
        <f>INDEX('GIS-Standards'!$I$2:$I$305,MATCH(C2056,'GIS-Standards'!$B$2:$B$305,0))</f>
        <v>#N/A</v>
      </c>
      <c r="P2056" t="e">
        <f>AND(TableRelationships12[[#This Row],[Source Type]]="BIM",TableRelationships12[[#This Row],[Target Type]]="BIM")</f>
        <v>#N/A</v>
      </c>
      <c r="Q2056">
        <f t="shared" si="96"/>
        <v>1</v>
      </c>
      <c r="S2056">
        <f t="shared" si="97"/>
        <v>1</v>
      </c>
      <c r="T2056" s="102" t="str">
        <f>IF(TableRelationships12[[#This Row],[Rank Pedro]]="Low","linkCategory1",IF(TableRelationships12[[#This Row],[Rank Pedro]]="Medium","linkCategory2",IF(TableRelationships12[[#This Row],[Rank Pedro]]="High","linkCategory3","")))</f>
        <v/>
      </c>
      <c r="U2056" s="102" t="str">
        <f>IF(TableRelationships12[[#This Row],[Rank Pedro]]="Low","Pink",IF(TableRelationships12[[#This Row],[Rank Pedro]]="Medium","Purple",IF(TableRelationships12[[#This Row],[Rank Pedro]]="High","Brown","")))</f>
        <v/>
      </c>
      <c r="V2056" s="4" t="e">
        <f>MAX(INDEX(Standards!$F$2:$F$296,MATCH(B2056,Standards!$B$2:$B$296,0)),INDEX(Standards!$F$2:$F$296,MATCH(C2056,Standards!$B$2:$B$296,0)))</f>
        <v>#N/A</v>
      </c>
      <c r="W2056" t="str">
        <f t="shared" si="98"/>
        <v>#2f89d1</v>
      </c>
    </row>
    <row r="2057" spans="1:23" x14ac:dyDescent="0.5">
      <c r="A2057" s="54">
        <v>2056</v>
      </c>
      <c r="B2057" s="90" t="s">
        <v>1712</v>
      </c>
      <c r="C2057" t="s">
        <v>1150</v>
      </c>
      <c r="D2057" s="1"/>
      <c r="E2057" s="112">
        <v>2013.02</v>
      </c>
      <c r="F2057" s="112">
        <v>2023.01</v>
      </c>
      <c r="G2057" s="107" t="s">
        <v>1487</v>
      </c>
      <c r="H2057">
        <f>INDEX('GIS-Standards'!$A$2:$A$305,MATCH(B2057,'GIS-Standards'!$B$2:$B$305,0))</f>
        <v>92</v>
      </c>
      <c r="I2057" t="e">
        <f>INDEX('GIS-Standards'!$A$2:$A$305,MATCH(C2057,'GIS-Standards'!$B$2:$B$305,0))</f>
        <v>#N/A</v>
      </c>
      <c r="J2057" t="str">
        <f>INDEX('GIS-Standards'!$O$2:$O$305,MATCH(B2057,'GIS-Standards'!$B$2:$B$305,0))</f>
        <v>ISO/TC 211; ISO/TC 287</v>
      </c>
      <c r="K2057" t="e">
        <f>INDEX('GIS-Standards'!$O$2:$O$305,MATCH(C2057,'GIS-Standards'!$B$2:$B$305,0))</f>
        <v>#N/A</v>
      </c>
      <c r="M2057" t="s">
        <v>525</v>
      </c>
      <c r="N2057">
        <f>INDEX('GIS-Standards'!$I$2:$I$305,MATCH(B2057,'GIS-Standards'!$B$2:$B$305,0))</f>
        <v>0</v>
      </c>
      <c r="O2057" t="e">
        <f>INDEX('GIS-Standards'!$I$2:$I$305,MATCH(C2057,'GIS-Standards'!$B$2:$B$305,0))</f>
        <v>#N/A</v>
      </c>
      <c r="P2057" t="e">
        <f>AND(TableRelationships12[[#This Row],[Source Type]]="BIM",TableRelationships12[[#This Row],[Target Type]]="BIM")</f>
        <v>#N/A</v>
      </c>
      <c r="Q2057">
        <f t="shared" si="96"/>
        <v>1</v>
      </c>
      <c r="S2057">
        <f t="shared" si="97"/>
        <v>1</v>
      </c>
      <c r="T2057" s="102" t="str">
        <f>IF(TableRelationships12[[#This Row],[Rank Pedro]]="Low","linkCategory1",IF(TableRelationships12[[#This Row],[Rank Pedro]]="Medium","linkCategory2",IF(TableRelationships12[[#This Row],[Rank Pedro]]="High","linkCategory3","")))</f>
        <v/>
      </c>
      <c r="U2057" s="102" t="str">
        <f>IF(TableRelationships12[[#This Row],[Rank Pedro]]="Low","Pink",IF(TableRelationships12[[#This Row],[Rank Pedro]]="Medium","Purple",IF(TableRelationships12[[#This Row],[Rank Pedro]]="High","Brown","")))</f>
        <v/>
      </c>
      <c r="V2057" s="4" t="e">
        <f>MAX(INDEX(Standards!$F$2:$F$296,MATCH(B2057,Standards!$B$2:$B$296,0)),INDEX(Standards!$F$2:$F$296,MATCH(C2057,Standards!$B$2:$B$296,0)))</f>
        <v>#N/A</v>
      </c>
      <c r="W2057" t="str">
        <f t="shared" si="98"/>
        <v>#2f89d1</v>
      </c>
    </row>
    <row r="2058" spans="1:23" x14ac:dyDescent="0.5">
      <c r="A2058" s="54">
        <v>2057</v>
      </c>
      <c r="B2058" s="90" t="s">
        <v>1708</v>
      </c>
      <c r="C2058" t="s">
        <v>527</v>
      </c>
      <c r="D2058" s="1"/>
      <c r="E2058" s="112">
        <v>2025.06</v>
      </c>
      <c r="F2058" s="112">
        <v>2025.06</v>
      </c>
      <c r="G2058" s="121" t="s">
        <v>1710</v>
      </c>
      <c r="H2058">
        <f>INDEX('GIS-Standards'!$A$2:$A$305,MATCH(B2058,'GIS-Standards'!$B$2:$B$305,0))</f>
        <v>93</v>
      </c>
      <c r="I2058" t="e">
        <f>INDEX('GIS-Standards'!$A$2:$A$305,MATCH(C2058,'GIS-Standards'!$B$2:$B$305,0))</f>
        <v>#N/A</v>
      </c>
      <c r="J2058" t="str">
        <f>INDEX('GIS-Standards'!$O$2:$O$305,MATCH(B2058,'GIS-Standards'!$B$2:$B$305,0))</f>
        <v>ISO/TC 211; ISO/TC 287</v>
      </c>
      <c r="K2058" t="e">
        <f>INDEX('GIS-Standards'!$O$2:$O$305,MATCH(C2058,'GIS-Standards'!$B$2:$B$305,0))</f>
        <v>#N/A</v>
      </c>
      <c r="M2058" t="s">
        <v>237</v>
      </c>
      <c r="N2058">
        <f>INDEX('GIS-Standards'!$I$2:$I$305,MATCH(B2058,'GIS-Standards'!$B$2:$B$305,0))</f>
        <v>0</v>
      </c>
      <c r="O2058" t="e">
        <f>INDEX('GIS-Standards'!$I$2:$I$305,MATCH(C2058,'GIS-Standards'!$B$2:$B$305,0))</f>
        <v>#N/A</v>
      </c>
      <c r="P2058" t="e">
        <f>AND(TableRelationships12[[#This Row],[Source Type]]="BIM",TableRelationships12[[#This Row],[Target Type]]="BIM")</f>
        <v>#N/A</v>
      </c>
      <c r="Q2058">
        <f t="shared" si="96"/>
        <v>2</v>
      </c>
      <c r="S2058">
        <f t="shared" si="97"/>
        <v>1</v>
      </c>
      <c r="T2058" s="102" t="str">
        <f>IF(TableRelationships12[[#This Row],[Rank Pedro]]="Low","linkCategory1",IF(TableRelationships12[[#This Row],[Rank Pedro]]="Medium","linkCategory2",IF(TableRelationships12[[#This Row],[Rank Pedro]]="High","linkCategory3","")))</f>
        <v/>
      </c>
      <c r="U2058" s="102" t="str">
        <f>IF(TableRelationships12[[#This Row],[Rank Pedro]]="Low","Pink",IF(TableRelationships12[[#This Row],[Rank Pedro]]="Medium","Purple",IF(TableRelationships12[[#This Row],[Rank Pedro]]="High","Brown","")))</f>
        <v/>
      </c>
      <c r="V2058" s="4" t="e">
        <f>MAX(INDEX(Standards!$F$2:$F$296,MATCH(B2058,Standards!$B$2:$B$296,0)),INDEX(Standards!$F$2:$F$296,MATCH(C2058,Standards!$B$2:$B$296,0)))</f>
        <v>#N/A</v>
      </c>
      <c r="W2058">
        <f t="shared" si="98"/>
        <v>1</v>
      </c>
    </row>
    <row r="2059" spans="1:23" x14ac:dyDescent="0.5">
      <c r="A2059" s="54">
        <v>2058</v>
      </c>
      <c r="B2059" s="90" t="s">
        <v>1708</v>
      </c>
      <c r="C2059" t="s">
        <v>1749</v>
      </c>
      <c r="D2059" s="1" t="s">
        <v>1676</v>
      </c>
      <c r="E2059" s="112">
        <v>2016.01</v>
      </c>
      <c r="F2059" s="112">
        <v>2016.01</v>
      </c>
      <c r="G2059" s="107" t="s">
        <v>1499</v>
      </c>
      <c r="H2059">
        <f>INDEX('GIS-Standards'!$A$2:$A$305,MATCH(B2059,'GIS-Standards'!$B$2:$B$305,0))</f>
        <v>93</v>
      </c>
      <c r="I2059" t="e">
        <f>INDEX('GIS-Standards'!$A$2:$A$305,MATCH(C2059,'GIS-Standards'!$B$2:$B$305,0))</f>
        <v>#N/A</v>
      </c>
      <c r="J2059" t="str">
        <f>INDEX('GIS-Standards'!$O$2:$O$305,MATCH(B2059,'GIS-Standards'!$B$2:$B$305,0))</f>
        <v>ISO/TC 211; ISO/TC 287</v>
      </c>
      <c r="K2059" t="e">
        <f>INDEX('GIS-Standards'!$O$2:$O$305,MATCH(C2059,'GIS-Standards'!$B$2:$B$305,0))</f>
        <v>#N/A</v>
      </c>
      <c r="M2059" t="s">
        <v>525</v>
      </c>
      <c r="N2059">
        <f>INDEX('GIS-Standards'!$I$2:$I$305,MATCH(B2059,'GIS-Standards'!$B$2:$B$305,0))</f>
        <v>0</v>
      </c>
      <c r="O2059" t="e">
        <f>INDEX('GIS-Standards'!$I$2:$I$305,MATCH(C2059,'GIS-Standards'!$B$2:$B$305,0))</f>
        <v>#N/A</v>
      </c>
      <c r="P2059" t="e">
        <f>AND(TableRelationships12[[#This Row],[Source Type]]="BIM",TableRelationships12[[#This Row],[Target Type]]="BIM")</f>
        <v>#N/A</v>
      </c>
      <c r="Q2059">
        <f t="shared" si="96"/>
        <v>1</v>
      </c>
      <c r="S2059">
        <f t="shared" si="97"/>
        <v>1</v>
      </c>
      <c r="T2059" s="102" t="str">
        <f>IF(TableRelationships12[[#This Row],[Rank Pedro]]="Low","linkCategory1",IF(TableRelationships12[[#This Row],[Rank Pedro]]="Medium","linkCategory2",IF(TableRelationships12[[#This Row],[Rank Pedro]]="High","linkCategory3","")))</f>
        <v/>
      </c>
      <c r="U2059" s="102" t="str">
        <f>IF(TableRelationships12[[#This Row],[Rank Pedro]]="Low","Pink",IF(TableRelationships12[[#This Row],[Rank Pedro]]="Medium","Purple",IF(TableRelationships12[[#This Row],[Rank Pedro]]="High","Brown","")))</f>
        <v/>
      </c>
      <c r="V2059" s="4" t="e">
        <f>MAX(INDEX(Standards!$F$2:$F$296,MATCH(B2059,Standards!$B$2:$B$296,0)),INDEX(Standards!$F$2:$F$296,MATCH(C2059,Standards!$B$2:$B$296,0)))</f>
        <v>#N/A</v>
      </c>
      <c r="W2059" t="str">
        <f t="shared" si="98"/>
        <v>#2f89d1</v>
      </c>
    </row>
    <row r="2060" spans="1:23" x14ac:dyDescent="0.5">
      <c r="A2060" s="54">
        <v>2059</v>
      </c>
      <c r="B2060" s="90" t="s">
        <v>1708</v>
      </c>
      <c r="C2060" t="s">
        <v>1750</v>
      </c>
      <c r="D2060" s="1"/>
      <c r="E2060" s="112">
        <v>2024.09</v>
      </c>
      <c r="F2060" s="112">
        <v>2024.09</v>
      </c>
      <c r="G2060" s="107" t="s">
        <v>1499</v>
      </c>
      <c r="H2060">
        <f>INDEX('GIS-Standards'!$A$2:$A$305,MATCH(B2060,'GIS-Standards'!$B$2:$B$305,0))</f>
        <v>93</v>
      </c>
      <c r="I2060" t="e">
        <f>INDEX('GIS-Standards'!$A$2:$A$305,MATCH(C2060,'GIS-Standards'!$B$2:$B$305,0))</f>
        <v>#N/A</v>
      </c>
      <c r="J2060" t="str">
        <f>INDEX('GIS-Standards'!$O$2:$O$305,MATCH(B2060,'GIS-Standards'!$B$2:$B$305,0))</f>
        <v>ISO/TC 211; ISO/TC 287</v>
      </c>
      <c r="K2060" t="e">
        <f>INDEX('GIS-Standards'!$O$2:$O$305,MATCH(C2060,'GIS-Standards'!$B$2:$B$305,0))</f>
        <v>#N/A</v>
      </c>
      <c r="M2060" t="s">
        <v>525</v>
      </c>
      <c r="N2060">
        <f>INDEX('GIS-Standards'!$I$2:$I$305,MATCH(B2060,'GIS-Standards'!$B$2:$B$305,0))</f>
        <v>0</v>
      </c>
      <c r="O2060" t="e">
        <f>INDEX('GIS-Standards'!$I$2:$I$305,MATCH(C2060,'GIS-Standards'!$B$2:$B$305,0))</f>
        <v>#N/A</v>
      </c>
      <c r="P2060" t="e">
        <f>AND(TableRelationships12[[#This Row],[Source Type]]="BIM",TableRelationships12[[#This Row],[Target Type]]="BIM")</f>
        <v>#N/A</v>
      </c>
      <c r="Q2060">
        <f t="shared" si="96"/>
        <v>1</v>
      </c>
      <c r="S2060">
        <f t="shared" si="97"/>
        <v>1</v>
      </c>
      <c r="T2060" s="102" t="str">
        <f>IF(TableRelationships12[[#This Row],[Rank Pedro]]="Low","linkCategory1",IF(TableRelationships12[[#This Row],[Rank Pedro]]="Medium","linkCategory2",IF(TableRelationships12[[#This Row],[Rank Pedro]]="High","linkCategory3","")))</f>
        <v/>
      </c>
      <c r="U2060" s="102" t="str">
        <f>IF(TableRelationships12[[#This Row],[Rank Pedro]]="Low","Pink",IF(TableRelationships12[[#This Row],[Rank Pedro]]="Medium","Purple",IF(TableRelationships12[[#This Row],[Rank Pedro]]="High","Brown","")))</f>
        <v/>
      </c>
      <c r="V2060" s="4" t="e">
        <f>MAX(INDEX(Standards!$F$2:$F$296,MATCH(B2060,Standards!$B$2:$B$296,0)),INDEX(Standards!$F$2:$F$296,MATCH(C2060,Standards!$B$2:$B$296,0)))</f>
        <v>#N/A</v>
      </c>
      <c r="W2060" t="str">
        <f t="shared" si="98"/>
        <v>#2f89d1</v>
      </c>
    </row>
    <row r="2061" spans="1:23" x14ac:dyDescent="0.5">
      <c r="A2061" s="54">
        <v>2060</v>
      </c>
      <c r="B2061" s="90" t="s">
        <v>1708</v>
      </c>
      <c r="C2061" t="s">
        <v>1072</v>
      </c>
      <c r="D2061" s="1"/>
      <c r="E2061" s="113">
        <v>2011.07</v>
      </c>
      <c r="F2061" s="113">
        <v>2020.03</v>
      </c>
      <c r="G2061" s="107" t="s">
        <v>1456</v>
      </c>
      <c r="H2061">
        <f>INDEX('GIS-Standards'!$A$2:$A$305,MATCH(B2061,'GIS-Standards'!$B$2:$B$305,0))</f>
        <v>93</v>
      </c>
      <c r="I2061" t="e">
        <f>INDEX('GIS-Standards'!$A$2:$A$305,MATCH(C2061,'GIS-Standards'!$B$2:$B$305,0))</f>
        <v>#N/A</v>
      </c>
      <c r="J2061" t="str">
        <f>INDEX('GIS-Standards'!$O$2:$O$305,MATCH(B2061,'GIS-Standards'!$B$2:$B$305,0))</f>
        <v>ISO/TC 211; ISO/TC 287</v>
      </c>
      <c r="K2061" t="e">
        <f>INDEX('GIS-Standards'!$O$2:$O$305,MATCH(C2061,'GIS-Standards'!$B$2:$B$305,0))</f>
        <v>#N/A</v>
      </c>
      <c r="M2061" t="s">
        <v>525</v>
      </c>
      <c r="N2061">
        <f>INDEX('GIS-Standards'!$I$2:$I$305,MATCH(B2061,'GIS-Standards'!$B$2:$B$305,0))</f>
        <v>0</v>
      </c>
      <c r="O2061" t="e">
        <f>INDEX('GIS-Standards'!$I$2:$I$305,MATCH(C2061,'GIS-Standards'!$B$2:$B$305,0))</f>
        <v>#N/A</v>
      </c>
      <c r="P2061" t="e">
        <f>AND(TableRelationships12[[#This Row],[Source Type]]="BIM",TableRelationships12[[#This Row],[Target Type]]="BIM")</f>
        <v>#N/A</v>
      </c>
      <c r="Q2061">
        <f t="shared" si="96"/>
        <v>1</v>
      </c>
      <c r="S2061">
        <f t="shared" si="97"/>
        <v>1</v>
      </c>
      <c r="T2061" s="102" t="str">
        <f>IF(TableRelationships12[[#This Row],[Rank Pedro]]="Low","linkCategory1",IF(TableRelationships12[[#This Row],[Rank Pedro]]="Medium","linkCategory2",IF(TableRelationships12[[#This Row],[Rank Pedro]]="High","linkCategory3","")))</f>
        <v/>
      </c>
      <c r="U2061" s="102" t="str">
        <f>IF(TableRelationships12[[#This Row],[Rank Pedro]]="Low","Pink",IF(TableRelationships12[[#This Row],[Rank Pedro]]="Medium","Purple",IF(TableRelationships12[[#This Row],[Rank Pedro]]="High","Brown","")))</f>
        <v/>
      </c>
      <c r="V2061" s="4" t="e">
        <f>MAX(INDEX(Standards!$F$2:$F$296,MATCH(B2061,Standards!$B$2:$B$296,0)),INDEX(Standards!$F$2:$F$296,MATCH(C2061,Standards!$B$2:$B$296,0)))</f>
        <v>#N/A</v>
      </c>
      <c r="W2061" t="str">
        <f t="shared" si="98"/>
        <v>#2f89d1</v>
      </c>
    </row>
    <row r="2062" spans="1:23" x14ac:dyDescent="0.5">
      <c r="A2062" s="54">
        <v>2061</v>
      </c>
      <c r="B2062" s="90" t="s">
        <v>1708</v>
      </c>
      <c r="C2062" t="s">
        <v>1751</v>
      </c>
      <c r="D2062" s="1"/>
      <c r="F2062" s="112">
        <v>2024.11</v>
      </c>
      <c r="G2062" s="107"/>
      <c r="H2062">
        <f>INDEX('GIS-Standards'!$A$2:$A$305,MATCH(B2062,'GIS-Standards'!$B$2:$B$305,0))</f>
        <v>93</v>
      </c>
      <c r="I2062" t="e">
        <f>INDEX('GIS-Standards'!$A$2:$A$305,MATCH(C2062,'GIS-Standards'!$B$2:$B$305,0))</f>
        <v>#N/A</v>
      </c>
      <c r="J2062" t="str">
        <f>INDEX('GIS-Standards'!$O$2:$O$305,MATCH(B2062,'GIS-Standards'!$B$2:$B$305,0))</f>
        <v>ISO/TC 211; ISO/TC 287</v>
      </c>
      <c r="K2062" t="e">
        <f>INDEX('GIS-Standards'!$O$2:$O$305,MATCH(C2062,'GIS-Standards'!$B$2:$B$305,0))</f>
        <v>#N/A</v>
      </c>
      <c r="M2062" t="s">
        <v>525</v>
      </c>
      <c r="N2062">
        <f>INDEX('GIS-Standards'!$I$2:$I$305,MATCH(B2062,'GIS-Standards'!$B$2:$B$305,0))</f>
        <v>0</v>
      </c>
      <c r="O2062" t="e">
        <f>INDEX('GIS-Standards'!$I$2:$I$305,MATCH(C2062,'GIS-Standards'!$B$2:$B$305,0))</f>
        <v>#N/A</v>
      </c>
      <c r="P2062" t="e">
        <f>AND(TableRelationships12[[#This Row],[Source Type]]="BIM",TableRelationships12[[#This Row],[Target Type]]="BIM")</f>
        <v>#N/A</v>
      </c>
      <c r="Q2062">
        <f t="shared" si="96"/>
        <v>1</v>
      </c>
      <c r="S2062">
        <f t="shared" si="97"/>
        <v>1</v>
      </c>
      <c r="T2062" s="102" t="str">
        <f>IF(TableRelationships12[[#This Row],[Rank Pedro]]="Low","linkCategory1",IF(TableRelationships12[[#This Row],[Rank Pedro]]="Medium","linkCategory2",IF(TableRelationships12[[#This Row],[Rank Pedro]]="High","linkCategory3","")))</f>
        <v/>
      </c>
      <c r="U2062" s="102" t="str">
        <f>IF(TableRelationships12[[#This Row],[Rank Pedro]]="Low","Pink",IF(TableRelationships12[[#This Row],[Rank Pedro]]="Medium","Purple",IF(TableRelationships12[[#This Row],[Rank Pedro]]="High","Brown","")))</f>
        <v/>
      </c>
      <c r="V2062" s="4" t="e">
        <f>MAX(INDEX(Standards!$F$2:$F$296,MATCH(B2062,Standards!$B$2:$B$296,0)),INDEX(Standards!$F$2:$F$296,MATCH(C2062,Standards!$B$2:$B$296,0)))</f>
        <v>#N/A</v>
      </c>
      <c r="W2062" t="str">
        <f t="shared" si="98"/>
        <v>#2f89d1</v>
      </c>
    </row>
    <row r="2063" spans="1:23" x14ac:dyDescent="0.5">
      <c r="A2063" s="54">
        <v>2062</v>
      </c>
      <c r="B2063" s="90" t="s">
        <v>1708</v>
      </c>
      <c r="C2063" t="s">
        <v>1752</v>
      </c>
      <c r="D2063" s="1"/>
      <c r="E2063" s="112">
        <v>2024.09</v>
      </c>
      <c r="F2063" s="112">
        <v>2024.09</v>
      </c>
      <c r="G2063" s="107" t="s">
        <v>1499</v>
      </c>
      <c r="H2063">
        <f>INDEX('GIS-Standards'!$A$2:$A$305,MATCH(B2063,'GIS-Standards'!$B$2:$B$305,0))</f>
        <v>93</v>
      </c>
      <c r="I2063" t="e">
        <f>INDEX('GIS-Standards'!$A$2:$A$305,MATCH(C2063,'GIS-Standards'!$B$2:$B$305,0))</f>
        <v>#N/A</v>
      </c>
      <c r="J2063" t="str">
        <f>INDEX('GIS-Standards'!$O$2:$O$305,MATCH(B2063,'GIS-Standards'!$B$2:$B$305,0))</f>
        <v>ISO/TC 211; ISO/TC 287</v>
      </c>
      <c r="K2063" t="e">
        <f>INDEX('GIS-Standards'!$O$2:$O$305,MATCH(C2063,'GIS-Standards'!$B$2:$B$305,0))</f>
        <v>#N/A</v>
      </c>
      <c r="M2063" t="s">
        <v>525</v>
      </c>
      <c r="N2063">
        <f>INDEX('GIS-Standards'!$I$2:$I$305,MATCH(B2063,'GIS-Standards'!$B$2:$B$305,0))</f>
        <v>0</v>
      </c>
      <c r="O2063" t="e">
        <f>INDEX('GIS-Standards'!$I$2:$I$305,MATCH(C2063,'GIS-Standards'!$B$2:$B$305,0))</f>
        <v>#N/A</v>
      </c>
      <c r="P2063" t="e">
        <f>AND(TableRelationships12[[#This Row],[Source Type]]="BIM",TableRelationships12[[#This Row],[Target Type]]="BIM")</f>
        <v>#N/A</v>
      </c>
      <c r="Q2063">
        <f t="shared" si="96"/>
        <v>1</v>
      </c>
      <c r="S2063">
        <f t="shared" si="97"/>
        <v>1</v>
      </c>
      <c r="T2063" s="102" t="str">
        <f>IF(TableRelationships12[[#This Row],[Rank Pedro]]="Low","linkCategory1",IF(TableRelationships12[[#This Row],[Rank Pedro]]="Medium","linkCategory2",IF(TableRelationships12[[#This Row],[Rank Pedro]]="High","linkCategory3","")))</f>
        <v/>
      </c>
      <c r="U2063" s="102" t="str">
        <f>IF(TableRelationships12[[#This Row],[Rank Pedro]]="Low","Pink",IF(TableRelationships12[[#This Row],[Rank Pedro]]="Medium","Purple",IF(TableRelationships12[[#This Row],[Rank Pedro]]="High","Brown","")))</f>
        <v/>
      </c>
      <c r="V2063" s="4" t="e">
        <f>MAX(INDEX(Standards!$F$2:$F$296,MATCH(B2063,Standards!$B$2:$B$296,0)),INDEX(Standards!$F$2:$F$296,MATCH(C2063,Standards!$B$2:$B$296,0)))</f>
        <v>#N/A</v>
      </c>
      <c r="W2063" t="str">
        <f t="shared" si="98"/>
        <v>#2f89d1</v>
      </c>
    </row>
    <row r="2064" spans="1:23" x14ac:dyDescent="0.5">
      <c r="A2064" s="54">
        <v>2063</v>
      </c>
      <c r="B2064" s="90" t="s">
        <v>1708</v>
      </c>
      <c r="C2064" t="s">
        <v>1054</v>
      </c>
      <c r="D2064" s="1"/>
      <c r="E2064" s="112">
        <v>2024.08</v>
      </c>
      <c r="F2064" s="112">
        <v>2024.08</v>
      </c>
      <c r="G2064" s="107" t="s">
        <v>670</v>
      </c>
      <c r="H2064">
        <f>INDEX('GIS-Standards'!$A$2:$A$305,MATCH(B2064,'GIS-Standards'!$B$2:$B$305,0))</f>
        <v>93</v>
      </c>
      <c r="I2064">
        <f>INDEX('GIS-Standards'!$A$2:$A$305,MATCH(C2064,'GIS-Standards'!$B$2:$B$305,0))</f>
        <v>69</v>
      </c>
      <c r="J2064" t="str">
        <f>INDEX('GIS-Standards'!$O$2:$O$305,MATCH(B2064,'GIS-Standards'!$B$2:$B$305,0))</f>
        <v>ISO/TC 211; ISO/TC 287</v>
      </c>
      <c r="K2064" t="str">
        <f>INDEX('GIS-Standards'!$O$2:$O$305,MATCH(C2064,'GIS-Standards'!$B$2:$B$305,0))</f>
        <v>ISO/TC 211</v>
      </c>
      <c r="M2064" t="s">
        <v>525</v>
      </c>
      <c r="N2064">
        <f>INDEX('GIS-Standards'!$I$2:$I$305,MATCH(B2064,'GIS-Standards'!$B$2:$B$305,0))</f>
        <v>0</v>
      </c>
      <c r="O2064">
        <f>INDEX('GIS-Standards'!$I$2:$I$305,MATCH(C2064,'GIS-Standards'!$B$2:$B$305,0))</f>
        <v>0</v>
      </c>
      <c r="P2064" t="b">
        <f>AND(TableRelationships12[[#This Row],[Source Type]]="BIM",TableRelationships12[[#This Row],[Target Type]]="BIM")</f>
        <v>0</v>
      </c>
      <c r="Q2064">
        <f t="shared" si="96"/>
        <v>1</v>
      </c>
      <c r="S2064">
        <f t="shared" si="97"/>
        <v>1</v>
      </c>
      <c r="T2064" s="102" t="str">
        <f>IF(TableRelationships12[[#This Row],[Rank Pedro]]="Low","linkCategory1",IF(TableRelationships12[[#This Row],[Rank Pedro]]="Medium","linkCategory2",IF(TableRelationships12[[#This Row],[Rank Pedro]]="High","linkCategory3","")))</f>
        <v/>
      </c>
      <c r="U2064" s="102" t="str">
        <f>IF(TableRelationships12[[#This Row],[Rank Pedro]]="Low","Pink",IF(TableRelationships12[[#This Row],[Rank Pedro]]="Medium","Purple",IF(TableRelationships12[[#This Row],[Rank Pedro]]="High","Brown","")))</f>
        <v/>
      </c>
      <c r="V2064" s="4" t="e">
        <f>MAX(INDEX(Standards!$F$2:$F$296,MATCH(B2064,Standards!$B$2:$B$296,0)),INDEX(Standards!$F$2:$F$296,MATCH(C2064,Standards!$B$2:$B$296,0)))</f>
        <v>#N/A</v>
      </c>
      <c r="W2064" t="str">
        <f t="shared" si="98"/>
        <v>#2f89d1</v>
      </c>
    </row>
    <row r="2065" spans="1:23" x14ac:dyDescent="0.5">
      <c r="A2065" s="54">
        <v>2064</v>
      </c>
      <c r="B2065" s="90" t="s">
        <v>1708</v>
      </c>
      <c r="C2065" t="s">
        <v>1225</v>
      </c>
      <c r="D2065" s="1"/>
      <c r="G2065" s="107"/>
      <c r="H2065">
        <f>INDEX('GIS-Standards'!$A$2:$A$305,MATCH(B2065,'GIS-Standards'!$B$2:$B$305,0))</f>
        <v>93</v>
      </c>
      <c r="I2065" t="e">
        <f>INDEX('GIS-Standards'!$A$2:$A$305,MATCH(C2065,'GIS-Standards'!$B$2:$B$305,0))</f>
        <v>#N/A</v>
      </c>
      <c r="J2065" t="str">
        <f>INDEX('GIS-Standards'!$O$2:$O$305,MATCH(B2065,'GIS-Standards'!$B$2:$B$305,0))</f>
        <v>ISO/TC 211; ISO/TC 287</v>
      </c>
      <c r="K2065" t="e">
        <f>INDEX('GIS-Standards'!$O$2:$O$305,MATCH(C2065,'GIS-Standards'!$B$2:$B$305,0))</f>
        <v>#N/A</v>
      </c>
      <c r="M2065" t="s">
        <v>525</v>
      </c>
      <c r="N2065">
        <f>INDEX('GIS-Standards'!$I$2:$I$305,MATCH(B2065,'GIS-Standards'!$B$2:$B$305,0))</f>
        <v>0</v>
      </c>
      <c r="O2065" t="e">
        <f>INDEX('GIS-Standards'!$I$2:$I$305,MATCH(C2065,'GIS-Standards'!$B$2:$B$305,0))</f>
        <v>#N/A</v>
      </c>
      <c r="P2065" t="e">
        <f>AND(TableRelationships12[[#This Row],[Source Type]]="BIM",TableRelationships12[[#This Row],[Target Type]]="BIM")</f>
        <v>#N/A</v>
      </c>
      <c r="Q2065">
        <f t="shared" si="96"/>
        <v>1</v>
      </c>
      <c r="S2065">
        <f t="shared" si="97"/>
        <v>1</v>
      </c>
      <c r="T2065" s="102" t="str">
        <f>IF(TableRelationships12[[#This Row],[Rank Pedro]]="Low","linkCategory1",IF(TableRelationships12[[#This Row],[Rank Pedro]]="Medium","linkCategory2",IF(TableRelationships12[[#This Row],[Rank Pedro]]="High","linkCategory3","")))</f>
        <v/>
      </c>
      <c r="U2065" s="102" t="str">
        <f>IF(TableRelationships12[[#This Row],[Rank Pedro]]="Low","Pink",IF(TableRelationships12[[#This Row],[Rank Pedro]]="Medium","Purple",IF(TableRelationships12[[#This Row],[Rank Pedro]]="High","Brown","")))</f>
        <v/>
      </c>
      <c r="V2065" s="4" t="e">
        <f>MAX(INDEX(Standards!$F$2:$F$296,MATCH(B2065,Standards!$B$2:$B$296,0)),INDEX(Standards!$F$2:$F$296,MATCH(C2065,Standards!$B$2:$B$296,0)))</f>
        <v>#N/A</v>
      </c>
      <c r="W2065" t="str">
        <f t="shared" si="98"/>
        <v>#2f89d1</v>
      </c>
    </row>
    <row r="2066" spans="1:23" x14ac:dyDescent="0.5">
      <c r="A2066" s="54">
        <v>2065</v>
      </c>
      <c r="B2066" s="90" t="s">
        <v>1708</v>
      </c>
      <c r="C2066" t="s">
        <v>1753</v>
      </c>
      <c r="D2066" s="1"/>
      <c r="G2066" s="107"/>
      <c r="H2066">
        <f>INDEX('GIS-Standards'!$A$2:$A$305,MATCH(B2066,'GIS-Standards'!$B$2:$B$305,0))</f>
        <v>93</v>
      </c>
      <c r="I2066" t="e">
        <f>INDEX('GIS-Standards'!$A$2:$A$305,MATCH(C2066,'GIS-Standards'!$B$2:$B$305,0))</f>
        <v>#N/A</v>
      </c>
      <c r="J2066" t="str">
        <f>INDEX('GIS-Standards'!$O$2:$O$305,MATCH(B2066,'GIS-Standards'!$B$2:$B$305,0))</f>
        <v>ISO/TC 211; ISO/TC 287</v>
      </c>
      <c r="K2066" t="e">
        <f>INDEX('GIS-Standards'!$O$2:$O$305,MATCH(C2066,'GIS-Standards'!$B$2:$B$305,0))</f>
        <v>#N/A</v>
      </c>
      <c r="M2066" t="s">
        <v>525</v>
      </c>
      <c r="N2066">
        <f>INDEX('GIS-Standards'!$I$2:$I$305,MATCH(B2066,'GIS-Standards'!$B$2:$B$305,0))</f>
        <v>0</v>
      </c>
      <c r="O2066" t="e">
        <f>INDEX('GIS-Standards'!$I$2:$I$305,MATCH(C2066,'GIS-Standards'!$B$2:$B$305,0))</f>
        <v>#N/A</v>
      </c>
      <c r="P2066" t="e">
        <f>AND(TableRelationships12[[#This Row],[Source Type]]="BIM",TableRelationships12[[#This Row],[Target Type]]="BIM")</f>
        <v>#N/A</v>
      </c>
      <c r="Q2066">
        <f t="shared" si="96"/>
        <v>1</v>
      </c>
      <c r="S2066">
        <f t="shared" si="97"/>
        <v>1</v>
      </c>
      <c r="T2066" s="102" t="str">
        <f>IF(TableRelationships12[[#This Row],[Rank Pedro]]="Low","linkCategory1",IF(TableRelationships12[[#This Row],[Rank Pedro]]="Medium","linkCategory2",IF(TableRelationships12[[#This Row],[Rank Pedro]]="High","linkCategory3","")))</f>
        <v/>
      </c>
      <c r="U2066" s="102" t="str">
        <f>IF(TableRelationships12[[#This Row],[Rank Pedro]]="Low","Pink",IF(TableRelationships12[[#This Row],[Rank Pedro]]="Medium","Purple",IF(TableRelationships12[[#This Row],[Rank Pedro]]="High","Brown","")))</f>
        <v/>
      </c>
      <c r="V2066" s="4" t="e">
        <f>MAX(INDEX(Standards!$F$2:$F$296,MATCH(B2066,Standards!$B$2:$B$296,0)),INDEX(Standards!$F$2:$F$296,MATCH(C2066,Standards!$B$2:$B$296,0)))</f>
        <v>#N/A</v>
      </c>
      <c r="W2066" t="str">
        <f t="shared" si="98"/>
        <v>#2f89d1</v>
      </c>
    </row>
    <row r="2067" spans="1:23" x14ac:dyDescent="0.5">
      <c r="A2067" s="54">
        <v>2066</v>
      </c>
      <c r="B2067" s="90" t="s">
        <v>1708</v>
      </c>
      <c r="C2067" t="s">
        <v>144</v>
      </c>
      <c r="D2067" s="1"/>
      <c r="E2067" s="112">
        <v>2013.04</v>
      </c>
      <c r="F2067" s="112">
        <v>2024.03</v>
      </c>
      <c r="G2067" s="107" t="s">
        <v>1448</v>
      </c>
      <c r="H2067">
        <f>INDEX('GIS-Standards'!$A$2:$A$305,MATCH(B2067,'GIS-Standards'!$B$2:$B$305,0))</f>
        <v>93</v>
      </c>
      <c r="I2067" t="e">
        <f>INDEX('GIS-Standards'!$A$2:$A$305,MATCH(C2067,'GIS-Standards'!$B$2:$B$305,0))</f>
        <v>#N/A</v>
      </c>
      <c r="J2067" t="str">
        <f>INDEX('GIS-Standards'!$O$2:$O$305,MATCH(B2067,'GIS-Standards'!$B$2:$B$305,0))</f>
        <v>ISO/TC 211; ISO/TC 287</v>
      </c>
      <c r="K2067" t="e">
        <f>INDEX('GIS-Standards'!$O$2:$O$305,MATCH(C2067,'GIS-Standards'!$B$2:$B$305,0))</f>
        <v>#N/A</v>
      </c>
      <c r="M2067" t="s">
        <v>525</v>
      </c>
      <c r="N2067">
        <f>INDEX('GIS-Standards'!$I$2:$I$305,MATCH(B2067,'GIS-Standards'!$B$2:$B$305,0))</f>
        <v>0</v>
      </c>
      <c r="O2067" t="e">
        <f>INDEX('GIS-Standards'!$I$2:$I$305,MATCH(C2067,'GIS-Standards'!$B$2:$B$305,0))</f>
        <v>#N/A</v>
      </c>
      <c r="P2067" t="e">
        <f>AND(TableRelationships12[[#This Row],[Source Type]]="BIM",TableRelationships12[[#This Row],[Target Type]]="BIM")</f>
        <v>#N/A</v>
      </c>
      <c r="Q2067">
        <f t="shared" si="96"/>
        <v>1</v>
      </c>
      <c r="S2067">
        <f t="shared" si="97"/>
        <v>1</v>
      </c>
      <c r="T2067" s="102" t="str">
        <f>IF(TableRelationships12[[#This Row],[Rank Pedro]]="Low","linkCategory1",IF(TableRelationships12[[#This Row],[Rank Pedro]]="Medium","linkCategory2",IF(TableRelationships12[[#This Row],[Rank Pedro]]="High","linkCategory3","")))</f>
        <v/>
      </c>
      <c r="U2067" s="102" t="str">
        <f>IF(TableRelationships12[[#This Row],[Rank Pedro]]="Low","Pink",IF(TableRelationships12[[#This Row],[Rank Pedro]]="Medium","Purple",IF(TableRelationships12[[#This Row],[Rank Pedro]]="High","Brown","")))</f>
        <v/>
      </c>
      <c r="V2067" s="4" t="e">
        <f>MAX(INDEX(Standards!$F$2:$F$296,MATCH(B2067,Standards!$B$2:$B$296,0)),INDEX(Standards!$F$2:$F$296,MATCH(C2067,Standards!$B$2:$B$296,0)))</f>
        <v>#N/A</v>
      </c>
      <c r="W2067" t="str">
        <f t="shared" si="98"/>
        <v>#2f89d1</v>
      </c>
    </row>
    <row r="2068" spans="1:23" x14ac:dyDescent="0.5">
      <c r="A2068" s="54">
        <v>2067</v>
      </c>
      <c r="B2068" s="90" t="s">
        <v>1708</v>
      </c>
      <c r="C2068" t="s">
        <v>1742</v>
      </c>
      <c r="D2068" s="1"/>
      <c r="F2068" s="112">
        <v>2020.02</v>
      </c>
      <c r="G2068" s="107"/>
      <c r="H2068">
        <f>INDEX('GIS-Standards'!$A$2:$A$305,MATCH(B2068,'GIS-Standards'!$B$2:$B$305,0))</f>
        <v>93</v>
      </c>
      <c r="I2068" t="e">
        <f>INDEX('GIS-Standards'!$A$2:$A$305,MATCH(C2068,'GIS-Standards'!$B$2:$B$305,0))</f>
        <v>#N/A</v>
      </c>
      <c r="J2068" t="str">
        <f>INDEX('GIS-Standards'!$O$2:$O$305,MATCH(B2068,'GIS-Standards'!$B$2:$B$305,0))</f>
        <v>ISO/TC 211; ISO/TC 287</v>
      </c>
      <c r="K2068" t="e">
        <f>INDEX('GIS-Standards'!$O$2:$O$305,MATCH(C2068,'GIS-Standards'!$B$2:$B$305,0))</f>
        <v>#N/A</v>
      </c>
      <c r="M2068" t="s">
        <v>525</v>
      </c>
      <c r="N2068">
        <f>INDEX('GIS-Standards'!$I$2:$I$305,MATCH(B2068,'GIS-Standards'!$B$2:$B$305,0))</f>
        <v>0</v>
      </c>
      <c r="O2068" t="e">
        <f>INDEX('GIS-Standards'!$I$2:$I$305,MATCH(C2068,'GIS-Standards'!$B$2:$B$305,0))</f>
        <v>#N/A</v>
      </c>
      <c r="P2068" t="e">
        <f>AND(TableRelationships12[[#This Row],[Source Type]]="BIM",TableRelationships12[[#This Row],[Target Type]]="BIM")</f>
        <v>#N/A</v>
      </c>
      <c r="Q2068">
        <f t="shared" si="96"/>
        <v>1</v>
      </c>
      <c r="S2068">
        <f t="shared" si="97"/>
        <v>1</v>
      </c>
      <c r="T2068" s="102" t="str">
        <f>IF(TableRelationships12[[#This Row],[Rank Pedro]]="Low","linkCategory1",IF(TableRelationships12[[#This Row],[Rank Pedro]]="Medium","linkCategory2",IF(TableRelationships12[[#This Row],[Rank Pedro]]="High","linkCategory3","")))</f>
        <v/>
      </c>
      <c r="U2068" s="102" t="str">
        <f>IF(TableRelationships12[[#This Row],[Rank Pedro]]="Low","Pink",IF(TableRelationships12[[#This Row],[Rank Pedro]]="Medium","Purple",IF(TableRelationships12[[#This Row],[Rank Pedro]]="High","Brown","")))</f>
        <v/>
      </c>
      <c r="V2068" s="4" t="e">
        <f>MAX(INDEX(Standards!$F$2:$F$296,MATCH(B2068,Standards!$B$2:$B$296,0)),INDEX(Standards!$F$2:$F$296,MATCH(C2068,Standards!$B$2:$B$296,0)))</f>
        <v>#N/A</v>
      </c>
      <c r="W2068" t="str">
        <f t="shared" si="98"/>
        <v>#2f89d1</v>
      </c>
    </row>
    <row r="2069" spans="1:23" x14ac:dyDescent="0.5">
      <c r="A2069" s="54">
        <v>2068</v>
      </c>
      <c r="B2069" s="90" t="s">
        <v>1696</v>
      </c>
      <c r="C2069" t="s">
        <v>527</v>
      </c>
      <c r="D2069" s="1"/>
      <c r="E2069" s="112">
        <v>2023.09</v>
      </c>
      <c r="F2069" s="112">
        <v>2023.09</v>
      </c>
      <c r="G2069" s="121" t="s">
        <v>1448</v>
      </c>
      <c r="H2069">
        <f>INDEX('GIS-Standards'!$A$2:$A$305,MATCH(B2069,'GIS-Standards'!$B$2:$B$305,0))</f>
        <v>94</v>
      </c>
      <c r="I2069" t="e">
        <f>INDEX('GIS-Standards'!$A$2:$A$305,MATCH(C2069,'GIS-Standards'!$B$2:$B$305,0))</f>
        <v>#N/A</v>
      </c>
      <c r="J2069" t="str">
        <f>INDEX('GIS-Standards'!$O$2:$O$305,MATCH(B2069,'GIS-Standards'!$B$2:$B$305,0))</f>
        <v>ISO/TC 184</v>
      </c>
      <c r="K2069" t="e">
        <f>INDEX('GIS-Standards'!$O$2:$O$305,MATCH(C2069,'GIS-Standards'!$B$2:$B$305,0))</f>
        <v>#N/A</v>
      </c>
      <c r="M2069" t="s">
        <v>237</v>
      </c>
      <c r="N2069">
        <f>INDEX('GIS-Standards'!$I$2:$I$305,MATCH(B2069,'GIS-Standards'!$B$2:$B$305,0))</f>
        <v>0</v>
      </c>
      <c r="O2069" t="e">
        <f>INDEX('GIS-Standards'!$I$2:$I$305,MATCH(C2069,'GIS-Standards'!$B$2:$B$305,0))</f>
        <v>#N/A</v>
      </c>
      <c r="P2069" t="e">
        <f>AND(TableRelationships12[[#This Row],[Source Type]]="BIM",TableRelationships12[[#This Row],[Target Type]]="BIM")</f>
        <v>#N/A</v>
      </c>
      <c r="Q2069">
        <f t="shared" si="96"/>
        <v>2</v>
      </c>
      <c r="S2069">
        <f t="shared" si="97"/>
        <v>1</v>
      </c>
      <c r="T2069" s="102" t="str">
        <f>IF(TableRelationships12[[#This Row],[Rank Pedro]]="Low","linkCategory1",IF(TableRelationships12[[#This Row],[Rank Pedro]]="Medium","linkCategory2",IF(TableRelationships12[[#This Row],[Rank Pedro]]="High","linkCategory3","")))</f>
        <v/>
      </c>
      <c r="U2069" s="102" t="str">
        <f>IF(TableRelationships12[[#This Row],[Rank Pedro]]="Low","Pink",IF(TableRelationships12[[#This Row],[Rank Pedro]]="Medium","Purple",IF(TableRelationships12[[#This Row],[Rank Pedro]]="High","Brown","")))</f>
        <v/>
      </c>
      <c r="V2069" s="4" t="e">
        <f>MAX(INDEX(Standards!$F$2:$F$296,MATCH(B2069,Standards!$B$2:$B$296,0)),INDEX(Standards!$F$2:$F$296,MATCH(C2069,Standards!$B$2:$B$296,0)))</f>
        <v>#N/A</v>
      </c>
      <c r="W2069">
        <f t="shared" si="98"/>
        <v>1</v>
      </c>
    </row>
    <row r="2070" spans="1:23" x14ac:dyDescent="0.5">
      <c r="A2070" s="54">
        <v>2069</v>
      </c>
      <c r="B2070" s="90" t="s">
        <v>1696</v>
      </c>
      <c r="C2070" t="s">
        <v>272</v>
      </c>
      <c r="D2070" s="1"/>
      <c r="E2070" s="112">
        <v>2011.09</v>
      </c>
      <c r="F2070" s="112">
        <v>2011.09</v>
      </c>
      <c r="G2070" s="107" t="s">
        <v>2038</v>
      </c>
      <c r="H2070">
        <f>INDEX('GIS-Standards'!$A$2:$A$305,MATCH(B2070,'GIS-Standards'!$B$2:$B$305,0))</f>
        <v>94</v>
      </c>
      <c r="I2070" t="e">
        <f>INDEX('GIS-Standards'!$A$2:$A$305,MATCH(C2070,'GIS-Standards'!$B$2:$B$305,0))</f>
        <v>#N/A</v>
      </c>
      <c r="J2070" t="str">
        <f>INDEX('GIS-Standards'!$O$2:$O$305,MATCH(B2070,'GIS-Standards'!$B$2:$B$305,0))</f>
        <v>ISO/TC 184</v>
      </c>
      <c r="K2070" t="e">
        <f>INDEX('GIS-Standards'!$O$2:$O$305,MATCH(C2070,'GIS-Standards'!$B$2:$B$305,0))</f>
        <v>#N/A</v>
      </c>
      <c r="M2070" t="s">
        <v>525</v>
      </c>
      <c r="N2070">
        <f>INDEX('GIS-Standards'!$I$2:$I$305,MATCH(B2070,'GIS-Standards'!$B$2:$B$305,0))</f>
        <v>0</v>
      </c>
      <c r="O2070" t="e">
        <f>INDEX('GIS-Standards'!$I$2:$I$305,MATCH(C2070,'GIS-Standards'!$B$2:$B$305,0))</f>
        <v>#N/A</v>
      </c>
      <c r="P2070" t="e">
        <f>AND(TableRelationships12[[#This Row],[Source Type]]="BIM",TableRelationships12[[#This Row],[Target Type]]="BIM")</f>
        <v>#N/A</v>
      </c>
      <c r="Q2070">
        <f t="shared" si="96"/>
        <v>1</v>
      </c>
      <c r="S2070">
        <f t="shared" si="97"/>
        <v>1</v>
      </c>
      <c r="T2070" s="102" t="str">
        <f>IF(TableRelationships12[[#This Row],[Rank Pedro]]="Low","linkCategory1",IF(TableRelationships12[[#This Row],[Rank Pedro]]="Medium","linkCategory2",IF(TableRelationships12[[#This Row],[Rank Pedro]]="High","linkCategory3","")))</f>
        <v/>
      </c>
      <c r="U2070" s="102" t="str">
        <f>IF(TableRelationships12[[#This Row],[Rank Pedro]]="Low","Pink",IF(TableRelationships12[[#This Row],[Rank Pedro]]="Medium","Purple",IF(TableRelationships12[[#This Row],[Rank Pedro]]="High","Brown","")))</f>
        <v/>
      </c>
      <c r="V2070" s="4" t="e">
        <f>MAX(INDEX(Standards!$F$2:$F$296,MATCH(B2070,Standards!$B$2:$B$296,0)),INDEX(Standards!$F$2:$F$296,MATCH(C2070,Standards!$B$2:$B$296,0)))</f>
        <v>#N/A</v>
      </c>
      <c r="W2070" t="str">
        <f t="shared" si="98"/>
        <v>#2f89d1</v>
      </c>
    </row>
    <row r="2071" spans="1:23" x14ac:dyDescent="0.5">
      <c r="A2071" s="54">
        <v>2070</v>
      </c>
      <c r="B2071" s="90" t="s">
        <v>1696</v>
      </c>
      <c r="C2071" t="s">
        <v>99</v>
      </c>
      <c r="D2071" s="1"/>
      <c r="E2071" s="112">
        <v>2005.1</v>
      </c>
      <c r="F2071" s="112">
        <v>2024.02</v>
      </c>
      <c r="G2071" s="107" t="s">
        <v>2071</v>
      </c>
      <c r="H2071">
        <f>INDEX('GIS-Standards'!$A$2:$A$305,MATCH(B2071,'GIS-Standards'!$B$2:$B$305,0))</f>
        <v>94</v>
      </c>
      <c r="I2071" t="e">
        <f>INDEX('GIS-Standards'!$A$2:$A$305,MATCH(C2071,'GIS-Standards'!$B$2:$B$305,0))</f>
        <v>#N/A</v>
      </c>
      <c r="J2071" t="str">
        <f>INDEX('GIS-Standards'!$O$2:$O$305,MATCH(B2071,'GIS-Standards'!$B$2:$B$305,0))</f>
        <v>ISO/TC 184</v>
      </c>
      <c r="K2071" t="e">
        <f>INDEX('GIS-Standards'!$O$2:$O$305,MATCH(C2071,'GIS-Standards'!$B$2:$B$305,0))</f>
        <v>#N/A</v>
      </c>
      <c r="M2071" t="s">
        <v>525</v>
      </c>
      <c r="N2071">
        <f>INDEX('GIS-Standards'!$I$2:$I$305,MATCH(B2071,'GIS-Standards'!$B$2:$B$305,0))</f>
        <v>0</v>
      </c>
      <c r="O2071" t="e">
        <f>INDEX('GIS-Standards'!$I$2:$I$305,MATCH(C2071,'GIS-Standards'!$B$2:$B$305,0))</f>
        <v>#N/A</v>
      </c>
      <c r="P2071" t="e">
        <f>AND(TableRelationships12[[#This Row],[Source Type]]="BIM",TableRelationships12[[#This Row],[Target Type]]="BIM")</f>
        <v>#N/A</v>
      </c>
      <c r="Q2071">
        <f t="shared" si="96"/>
        <v>1</v>
      </c>
      <c r="S2071">
        <f t="shared" si="97"/>
        <v>1</v>
      </c>
      <c r="T2071" s="102" t="str">
        <f>IF(TableRelationships12[[#This Row],[Rank Pedro]]="Low","linkCategory1",IF(TableRelationships12[[#This Row],[Rank Pedro]]="Medium","linkCategory2",IF(TableRelationships12[[#This Row],[Rank Pedro]]="High","linkCategory3","")))</f>
        <v/>
      </c>
      <c r="U2071" s="102" t="str">
        <f>IF(TableRelationships12[[#This Row],[Rank Pedro]]="Low","Pink",IF(TableRelationships12[[#This Row],[Rank Pedro]]="Medium","Purple",IF(TableRelationships12[[#This Row],[Rank Pedro]]="High","Brown","")))</f>
        <v/>
      </c>
      <c r="V2071" s="4" t="e">
        <f>MAX(INDEX(Standards!$F$2:$F$296,MATCH(B2071,Standards!$B$2:$B$296,0)),INDEX(Standards!$F$2:$F$296,MATCH(C2071,Standards!$B$2:$B$296,0)))</f>
        <v>#N/A</v>
      </c>
      <c r="W2071" t="str">
        <f t="shared" si="98"/>
        <v>#2f89d1</v>
      </c>
    </row>
    <row r="2072" spans="1:23" x14ac:dyDescent="0.5">
      <c r="A2072" s="54">
        <v>2071</v>
      </c>
      <c r="B2072" s="90" t="s">
        <v>1696</v>
      </c>
      <c r="C2072" t="s">
        <v>1757</v>
      </c>
      <c r="D2072" s="1"/>
      <c r="G2072" s="107"/>
      <c r="H2072">
        <f>INDEX('GIS-Standards'!$A$2:$A$305,MATCH(B2072,'GIS-Standards'!$B$2:$B$305,0))</f>
        <v>94</v>
      </c>
      <c r="I2072" t="e">
        <f>INDEX('GIS-Standards'!$A$2:$A$305,MATCH(C2072,'GIS-Standards'!$B$2:$B$305,0))</f>
        <v>#N/A</v>
      </c>
      <c r="J2072" t="str">
        <f>INDEX('GIS-Standards'!$O$2:$O$305,MATCH(B2072,'GIS-Standards'!$B$2:$B$305,0))</f>
        <v>ISO/TC 184</v>
      </c>
      <c r="K2072" t="e">
        <f>INDEX('GIS-Standards'!$O$2:$O$305,MATCH(C2072,'GIS-Standards'!$B$2:$B$305,0))</f>
        <v>#N/A</v>
      </c>
      <c r="M2072" t="s">
        <v>525</v>
      </c>
      <c r="N2072">
        <f>INDEX('GIS-Standards'!$I$2:$I$305,MATCH(B2072,'GIS-Standards'!$B$2:$B$305,0))</f>
        <v>0</v>
      </c>
      <c r="O2072" t="e">
        <f>INDEX('GIS-Standards'!$I$2:$I$305,MATCH(C2072,'GIS-Standards'!$B$2:$B$305,0))</f>
        <v>#N/A</v>
      </c>
      <c r="P2072" t="e">
        <f>AND(TableRelationships12[[#This Row],[Source Type]]="BIM",TableRelationships12[[#This Row],[Target Type]]="BIM")</f>
        <v>#N/A</v>
      </c>
      <c r="Q2072">
        <f t="shared" si="96"/>
        <v>1</v>
      </c>
      <c r="S2072">
        <f t="shared" si="97"/>
        <v>1</v>
      </c>
      <c r="T2072" s="102" t="str">
        <f>IF(TableRelationships12[[#This Row],[Rank Pedro]]="Low","linkCategory1",IF(TableRelationships12[[#This Row],[Rank Pedro]]="Medium","linkCategory2",IF(TableRelationships12[[#This Row],[Rank Pedro]]="High","linkCategory3","")))</f>
        <v/>
      </c>
      <c r="U2072" s="102" t="str">
        <f>IF(TableRelationships12[[#This Row],[Rank Pedro]]="Low","Pink",IF(TableRelationships12[[#This Row],[Rank Pedro]]="Medium","Purple",IF(TableRelationships12[[#This Row],[Rank Pedro]]="High","Brown","")))</f>
        <v/>
      </c>
      <c r="V2072" s="4" t="e">
        <f>MAX(INDEX(Standards!$F$2:$F$296,MATCH(B2072,Standards!$B$2:$B$296,0)),INDEX(Standards!$F$2:$F$296,MATCH(C2072,Standards!$B$2:$B$296,0)))</f>
        <v>#N/A</v>
      </c>
      <c r="W2072" t="str">
        <f t="shared" si="98"/>
        <v>#2f89d1</v>
      </c>
    </row>
    <row r="2073" spans="1:23" x14ac:dyDescent="0.5">
      <c r="A2073" s="54">
        <v>2072</v>
      </c>
      <c r="B2073" s="90" t="s">
        <v>1696</v>
      </c>
      <c r="C2073" t="s">
        <v>2013</v>
      </c>
      <c r="D2073" s="1" t="s">
        <v>1758</v>
      </c>
      <c r="E2073" s="112">
        <v>2019.02</v>
      </c>
      <c r="F2073" s="112">
        <v>2019.02</v>
      </c>
      <c r="G2073" s="107" t="s">
        <v>2015</v>
      </c>
      <c r="H2073">
        <f>INDEX('GIS-Standards'!$A$2:$A$305,MATCH(B2073,'GIS-Standards'!$B$2:$B$305,0))</f>
        <v>94</v>
      </c>
      <c r="I2073" t="e">
        <f>INDEX('GIS-Standards'!$A$2:$A$305,MATCH(C2073,'GIS-Standards'!$B$2:$B$305,0))</f>
        <v>#N/A</v>
      </c>
      <c r="J2073" t="str">
        <f>INDEX('GIS-Standards'!$O$2:$O$305,MATCH(B2073,'GIS-Standards'!$B$2:$B$305,0))</f>
        <v>ISO/TC 184</v>
      </c>
      <c r="K2073" t="e">
        <f>INDEX('GIS-Standards'!$O$2:$O$305,MATCH(C2073,'GIS-Standards'!$B$2:$B$305,0))</f>
        <v>#N/A</v>
      </c>
      <c r="M2073" t="s">
        <v>525</v>
      </c>
      <c r="N2073">
        <f>INDEX('GIS-Standards'!$I$2:$I$305,MATCH(B2073,'GIS-Standards'!$B$2:$B$305,0))</f>
        <v>0</v>
      </c>
      <c r="O2073" t="e">
        <f>INDEX('GIS-Standards'!$I$2:$I$305,MATCH(C2073,'GIS-Standards'!$B$2:$B$305,0))</f>
        <v>#N/A</v>
      </c>
      <c r="P2073" t="e">
        <f>AND(TableRelationships12[[#This Row],[Source Type]]="BIM",TableRelationships12[[#This Row],[Target Type]]="BIM")</f>
        <v>#N/A</v>
      </c>
      <c r="Q2073">
        <f t="shared" si="96"/>
        <v>1</v>
      </c>
      <c r="S2073">
        <f t="shared" si="97"/>
        <v>1</v>
      </c>
      <c r="T2073" s="102" t="str">
        <f>IF(TableRelationships12[[#This Row],[Rank Pedro]]="Low","linkCategory1",IF(TableRelationships12[[#This Row],[Rank Pedro]]="Medium","linkCategory2",IF(TableRelationships12[[#This Row],[Rank Pedro]]="High","linkCategory3","")))</f>
        <v/>
      </c>
      <c r="U2073" s="102" t="str">
        <f>IF(TableRelationships12[[#This Row],[Rank Pedro]]="Low","Pink",IF(TableRelationships12[[#This Row],[Rank Pedro]]="Medium","Purple",IF(TableRelationships12[[#This Row],[Rank Pedro]]="High","Brown","")))</f>
        <v/>
      </c>
      <c r="V2073" s="4" t="e">
        <f>MAX(INDEX(Standards!$F$2:$F$296,MATCH(B2073,Standards!$B$2:$B$296,0)),INDEX(Standards!$F$2:$F$296,MATCH(C2073,Standards!$B$2:$B$296,0)))</f>
        <v>#N/A</v>
      </c>
      <c r="W2073" t="str">
        <f t="shared" si="98"/>
        <v>#2f89d1</v>
      </c>
    </row>
    <row r="2074" spans="1:23" x14ac:dyDescent="0.5">
      <c r="A2074" s="54">
        <v>2073</v>
      </c>
      <c r="B2074" s="90" t="s">
        <v>1696</v>
      </c>
      <c r="C2074" t="s">
        <v>1759</v>
      </c>
      <c r="D2074" s="1"/>
      <c r="E2074" s="112">
        <v>2018.05</v>
      </c>
      <c r="F2074" s="112">
        <v>2024.02</v>
      </c>
      <c r="G2074" s="107" t="s">
        <v>2058</v>
      </c>
      <c r="H2074">
        <f>INDEX('GIS-Standards'!$A$2:$A$305,MATCH(B2074,'GIS-Standards'!$B$2:$B$305,0))</f>
        <v>94</v>
      </c>
      <c r="I2074" t="e">
        <f>INDEX('GIS-Standards'!$A$2:$A$305,MATCH(C2074,'GIS-Standards'!$B$2:$B$305,0))</f>
        <v>#N/A</v>
      </c>
      <c r="J2074" t="str">
        <f>INDEX('GIS-Standards'!$O$2:$O$305,MATCH(B2074,'GIS-Standards'!$B$2:$B$305,0))</f>
        <v>ISO/TC 184</v>
      </c>
      <c r="K2074" t="e">
        <f>INDEX('GIS-Standards'!$O$2:$O$305,MATCH(C2074,'GIS-Standards'!$B$2:$B$305,0))</f>
        <v>#N/A</v>
      </c>
      <c r="M2074" t="s">
        <v>525</v>
      </c>
      <c r="N2074">
        <f>INDEX('GIS-Standards'!$I$2:$I$305,MATCH(B2074,'GIS-Standards'!$B$2:$B$305,0))</f>
        <v>0</v>
      </c>
      <c r="O2074" t="e">
        <f>INDEX('GIS-Standards'!$I$2:$I$305,MATCH(C2074,'GIS-Standards'!$B$2:$B$305,0))</f>
        <v>#N/A</v>
      </c>
      <c r="P2074" t="e">
        <f>AND(TableRelationships12[[#This Row],[Source Type]]="BIM",TableRelationships12[[#This Row],[Target Type]]="BIM")</f>
        <v>#N/A</v>
      </c>
      <c r="Q2074">
        <f t="shared" si="96"/>
        <v>1</v>
      </c>
      <c r="S2074">
        <f t="shared" si="97"/>
        <v>1</v>
      </c>
      <c r="T2074" s="102" t="str">
        <f>IF(TableRelationships12[[#This Row],[Rank Pedro]]="Low","linkCategory1",IF(TableRelationships12[[#This Row],[Rank Pedro]]="Medium","linkCategory2",IF(TableRelationships12[[#This Row],[Rank Pedro]]="High","linkCategory3","")))</f>
        <v/>
      </c>
      <c r="U2074" s="102" t="str">
        <f>IF(TableRelationships12[[#This Row],[Rank Pedro]]="Low","Pink",IF(TableRelationships12[[#This Row],[Rank Pedro]]="Medium","Purple",IF(TableRelationships12[[#This Row],[Rank Pedro]]="High","Brown","")))</f>
        <v/>
      </c>
      <c r="V2074" s="4" t="e">
        <f>MAX(INDEX(Standards!$F$2:$F$296,MATCH(B2074,Standards!$B$2:$B$296,0)),INDEX(Standards!$F$2:$F$296,MATCH(C2074,Standards!$B$2:$B$296,0)))</f>
        <v>#N/A</v>
      </c>
      <c r="W2074" t="str">
        <f t="shared" si="98"/>
        <v>#2f89d1</v>
      </c>
    </row>
    <row r="2075" spans="1:23" x14ac:dyDescent="0.5">
      <c r="A2075" s="54">
        <v>2074</v>
      </c>
      <c r="B2075" s="90" t="s">
        <v>1696</v>
      </c>
      <c r="C2075" t="s">
        <v>1760</v>
      </c>
      <c r="D2075" s="1"/>
      <c r="G2075" s="107"/>
      <c r="H2075">
        <f>INDEX('GIS-Standards'!$A$2:$A$305,MATCH(B2075,'GIS-Standards'!$B$2:$B$305,0))</f>
        <v>94</v>
      </c>
      <c r="I2075" t="e">
        <f>INDEX('GIS-Standards'!$A$2:$A$305,MATCH(C2075,'GIS-Standards'!$B$2:$B$305,0))</f>
        <v>#N/A</v>
      </c>
      <c r="J2075" t="str">
        <f>INDEX('GIS-Standards'!$O$2:$O$305,MATCH(B2075,'GIS-Standards'!$B$2:$B$305,0))</f>
        <v>ISO/TC 184</v>
      </c>
      <c r="K2075" t="e">
        <f>INDEX('GIS-Standards'!$O$2:$O$305,MATCH(C2075,'GIS-Standards'!$B$2:$B$305,0))</f>
        <v>#N/A</v>
      </c>
      <c r="M2075" t="s">
        <v>525</v>
      </c>
      <c r="N2075">
        <f>INDEX('GIS-Standards'!$I$2:$I$305,MATCH(B2075,'GIS-Standards'!$B$2:$B$305,0))</f>
        <v>0</v>
      </c>
      <c r="O2075" t="e">
        <f>INDEX('GIS-Standards'!$I$2:$I$305,MATCH(C2075,'GIS-Standards'!$B$2:$B$305,0))</f>
        <v>#N/A</v>
      </c>
      <c r="P2075" t="e">
        <f>AND(TableRelationships12[[#This Row],[Source Type]]="BIM",TableRelationships12[[#This Row],[Target Type]]="BIM")</f>
        <v>#N/A</v>
      </c>
      <c r="Q2075">
        <f t="shared" si="96"/>
        <v>1</v>
      </c>
      <c r="S2075">
        <f t="shared" si="97"/>
        <v>1</v>
      </c>
      <c r="T2075" s="102" t="str">
        <f>IF(TableRelationships12[[#This Row],[Rank Pedro]]="Low","linkCategory1",IF(TableRelationships12[[#This Row],[Rank Pedro]]="Medium","linkCategory2",IF(TableRelationships12[[#This Row],[Rank Pedro]]="High","linkCategory3","")))</f>
        <v/>
      </c>
      <c r="U2075" s="102" t="str">
        <f>IF(TableRelationships12[[#This Row],[Rank Pedro]]="Low","Pink",IF(TableRelationships12[[#This Row],[Rank Pedro]]="Medium","Purple",IF(TableRelationships12[[#This Row],[Rank Pedro]]="High","Brown","")))</f>
        <v/>
      </c>
      <c r="V2075" s="4" t="e">
        <f>MAX(INDEX(Standards!$F$2:$F$296,MATCH(B2075,Standards!$B$2:$B$296,0)),INDEX(Standards!$F$2:$F$296,MATCH(C2075,Standards!$B$2:$B$296,0)))</f>
        <v>#N/A</v>
      </c>
      <c r="W2075" t="str">
        <f t="shared" si="98"/>
        <v>#2f89d1</v>
      </c>
    </row>
    <row r="2076" spans="1:23" x14ac:dyDescent="0.5">
      <c r="A2076" s="54">
        <v>2075</v>
      </c>
      <c r="B2076" s="90" t="s">
        <v>1696</v>
      </c>
      <c r="C2076" t="s">
        <v>1761</v>
      </c>
      <c r="D2076" s="1"/>
      <c r="G2076" s="107"/>
      <c r="H2076">
        <f>INDEX('GIS-Standards'!$A$2:$A$305,MATCH(B2076,'GIS-Standards'!$B$2:$B$305,0))</f>
        <v>94</v>
      </c>
      <c r="I2076" t="e">
        <f>INDEX('GIS-Standards'!$A$2:$A$305,MATCH(C2076,'GIS-Standards'!$B$2:$B$305,0))</f>
        <v>#N/A</v>
      </c>
      <c r="J2076" t="str">
        <f>INDEX('GIS-Standards'!$O$2:$O$305,MATCH(B2076,'GIS-Standards'!$B$2:$B$305,0))</f>
        <v>ISO/TC 184</v>
      </c>
      <c r="K2076" t="e">
        <f>INDEX('GIS-Standards'!$O$2:$O$305,MATCH(C2076,'GIS-Standards'!$B$2:$B$305,0))</f>
        <v>#N/A</v>
      </c>
      <c r="M2076" t="s">
        <v>525</v>
      </c>
      <c r="N2076">
        <f>INDEX('GIS-Standards'!$I$2:$I$305,MATCH(B2076,'GIS-Standards'!$B$2:$B$305,0))</f>
        <v>0</v>
      </c>
      <c r="O2076" t="e">
        <f>INDEX('GIS-Standards'!$I$2:$I$305,MATCH(C2076,'GIS-Standards'!$B$2:$B$305,0))</f>
        <v>#N/A</v>
      </c>
      <c r="P2076" t="e">
        <f>AND(TableRelationships12[[#This Row],[Source Type]]="BIM",TableRelationships12[[#This Row],[Target Type]]="BIM")</f>
        <v>#N/A</v>
      </c>
      <c r="Q2076">
        <f t="shared" si="96"/>
        <v>1</v>
      </c>
      <c r="S2076">
        <f t="shared" si="97"/>
        <v>1</v>
      </c>
      <c r="T2076" s="102" t="str">
        <f>IF(TableRelationships12[[#This Row],[Rank Pedro]]="Low","linkCategory1",IF(TableRelationships12[[#This Row],[Rank Pedro]]="Medium","linkCategory2",IF(TableRelationships12[[#This Row],[Rank Pedro]]="High","linkCategory3","")))</f>
        <v/>
      </c>
      <c r="U2076" s="102" t="str">
        <f>IF(TableRelationships12[[#This Row],[Rank Pedro]]="Low","Pink",IF(TableRelationships12[[#This Row],[Rank Pedro]]="Medium","Purple",IF(TableRelationships12[[#This Row],[Rank Pedro]]="High","Brown","")))</f>
        <v/>
      </c>
      <c r="V2076" s="4" t="e">
        <f>MAX(INDEX(Standards!$F$2:$F$296,MATCH(B2076,Standards!$B$2:$B$296,0)),INDEX(Standards!$F$2:$F$296,MATCH(C2076,Standards!$B$2:$B$296,0)))</f>
        <v>#N/A</v>
      </c>
      <c r="W2076" t="str">
        <f t="shared" si="98"/>
        <v>#2f89d1</v>
      </c>
    </row>
    <row r="2077" spans="1:23" x14ac:dyDescent="0.5">
      <c r="A2077" s="54">
        <v>2076</v>
      </c>
      <c r="B2077" s="90" t="s">
        <v>1696</v>
      </c>
      <c r="C2077" t="s">
        <v>1762</v>
      </c>
      <c r="D2077" s="1"/>
      <c r="G2077" s="107"/>
      <c r="H2077">
        <f>INDEX('GIS-Standards'!$A$2:$A$305,MATCH(B2077,'GIS-Standards'!$B$2:$B$305,0))</f>
        <v>94</v>
      </c>
      <c r="I2077" t="e">
        <f>INDEX('GIS-Standards'!$A$2:$A$305,MATCH(C2077,'GIS-Standards'!$B$2:$B$305,0))</f>
        <v>#N/A</v>
      </c>
      <c r="J2077" t="str">
        <f>INDEX('GIS-Standards'!$O$2:$O$305,MATCH(B2077,'GIS-Standards'!$B$2:$B$305,0))</f>
        <v>ISO/TC 184</v>
      </c>
      <c r="K2077" t="e">
        <f>INDEX('GIS-Standards'!$O$2:$O$305,MATCH(C2077,'GIS-Standards'!$B$2:$B$305,0))</f>
        <v>#N/A</v>
      </c>
      <c r="M2077" t="s">
        <v>525</v>
      </c>
      <c r="N2077">
        <f>INDEX('GIS-Standards'!$I$2:$I$305,MATCH(B2077,'GIS-Standards'!$B$2:$B$305,0))</f>
        <v>0</v>
      </c>
      <c r="O2077" t="e">
        <f>INDEX('GIS-Standards'!$I$2:$I$305,MATCH(C2077,'GIS-Standards'!$B$2:$B$305,0))</f>
        <v>#N/A</v>
      </c>
      <c r="P2077" t="e">
        <f>AND(TableRelationships12[[#This Row],[Source Type]]="BIM",TableRelationships12[[#This Row],[Target Type]]="BIM")</f>
        <v>#N/A</v>
      </c>
      <c r="Q2077">
        <f t="shared" si="96"/>
        <v>1</v>
      </c>
      <c r="S2077">
        <f t="shared" si="97"/>
        <v>1</v>
      </c>
      <c r="T2077" s="102" t="str">
        <f>IF(TableRelationships12[[#This Row],[Rank Pedro]]="Low","linkCategory1",IF(TableRelationships12[[#This Row],[Rank Pedro]]="Medium","linkCategory2",IF(TableRelationships12[[#This Row],[Rank Pedro]]="High","linkCategory3","")))</f>
        <v/>
      </c>
      <c r="U2077" s="102" t="str">
        <f>IF(TableRelationships12[[#This Row],[Rank Pedro]]="Low","Pink",IF(TableRelationships12[[#This Row],[Rank Pedro]]="Medium","Purple",IF(TableRelationships12[[#This Row],[Rank Pedro]]="High","Brown","")))</f>
        <v/>
      </c>
      <c r="V2077" s="4" t="e">
        <f>MAX(INDEX(Standards!$F$2:$F$296,MATCH(B2077,Standards!$B$2:$B$296,0)),INDEX(Standards!$F$2:$F$296,MATCH(C2077,Standards!$B$2:$B$296,0)))</f>
        <v>#N/A</v>
      </c>
      <c r="W2077" t="str">
        <f t="shared" si="98"/>
        <v>#2f89d1</v>
      </c>
    </row>
    <row r="2078" spans="1:23" x14ac:dyDescent="0.5">
      <c r="A2078" s="54">
        <v>2077</v>
      </c>
      <c r="B2078" s="90" t="s">
        <v>1696</v>
      </c>
      <c r="C2078" t="s">
        <v>1763</v>
      </c>
      <c r="D2078" s="1"/>
      <c r="E2078" s="112">
        <v>2009.1</v>
      </c>
      <c r="F2078" s="112">
        <v>2022.05</v>
      </c>
      <c r="G2078" s="107" t="s">
        <v>2031</v>
      </c>
      <c r="H2078">
        <f>INDEX('GIS-Standards'!$A$2:$A$305,MATCH(B2078,'GIS-Standards'!$B$2:$B$305,0))</f>
        <v>94</v>
      </c>
      <c r="I2078" t="e">
        <f>INDEX('GIS-Standards'!$A$2:$A$305,MATCH(C2078,'GIS-Standards'!$B$2:$B$305,0))</f>
        <v>#N/A</v>
      </c>
      <c r="J2078" t="str">
        <f>INDEX('GIS-Standards'!$O$2:$O$305,MATCH(B2078,'GIS-Standards'!$B$2:$B$305,0))</f>
        <v>ISO/TC 184</v>
      </c>
      <c r="K2078" t="e">
        <f>INDEX('GIS-Standards'!$O$2:$O$305,MATCH(C2078,'GIS-Standards'!$B$2:$B$305,0))</f>
        <v>#N/A</v>
      </c>
      <c r="M2078" t="s">
        <v>525</v>
      </c>
      <c r="N2078">
        <f>INDEX('GIS-Standards'!$I$2:$I$305,MATCH(B2078,'GIS-Standards'!$B$2:$B$305,0))</f>
        <v>0</v>
      </c>
      <c r="O2078" t="e">
        <f>INDEX('GIS-Standards'!$I$2:$I$305,MATCH(C2078,'GIS-Standards'!$B$2:$B$305,0))</f>
        <v>#N/A</v>
      </c>
      <c r="P2078" t="e">
        <f>AND(TableRelationships12[[#This Row],[Source Type]]="BIM",TableRelationships12[[#This Row],[Target Type]]="BIM")</f>
        <v>#N/A</v>
      </c>
      <c r="Q2078">
        <f t="shared" si="96"/>
        <v>1</v>
      </c>
      <c r="S2078">
        <f t="shared" si="97"/>
        <v>1</v>
      </c>
      <c r="T2078" s="102" t="str">
        <f>IF(TableRelationships12[[#This Row],[Rank Pedro]]="Low","linkCategory1",IF(TableRelationships12[[#This Row],[Rank Pedro]]="Medium","linkCategory2",IF(TableRelationships12[[#This Row],[Rank Pedro]]="High","linkCategory3","")))</f>
        <v/>
      </c>
      <c r="U2078" s="102" t="str">
        <f>IF(TableRelationships12[[#This Row],[Rank Pedro]]="Low","Pink",IF(TableRelationships12[[#This Row],[Rank Pedro]]="Medium","Purple",IF(TableRelationships12[[#This Row],[Rank Pedro]]="High","Brown","")))</f>
        <v/>
      </c>
      <c r="V2078" s="4" t="e">
        <f>MAX(INDEX(Standards!$F$2:$F$296,MATCH(B2078,Standards!$B$2:$B$296,0)),INDEX(Standards!$F$2:$F$296,MATCH(C2078,Standards!$B$2:$B$296,0)))</f>
        <v>#N/A</v>
      </c>
      <c r="W2078" t="str">
        <f t="shared" si="98"/>
        <v>#2f89d1</v>
      </c>
    </row>
    <row r="2079" spans="1:23" x14ac:dyDescent="0.5">
      <c r="A2079" s="54">
        <v>2078</v>
      </c>
      <c r="B2079" s="90" t="s">
        <v>1696</v>
      </c>
      <c r="C2079" t="s">
        <v>2063</v>
      </c>
      <c r="D2079" s="1" t="s">
        <v>1676</v>
      </c>
      <c r="E2079" s="112">
        <v>2009.07</v>
      </c>
      <c r="F2079" s="112">
        <v>2019.06</v>
      </c>
      <c r="G2079" s="107" t="s">
        <v>2031</v>
      </c>
      <c r="H2079">
        <f>INDEX('GIS-Standards'!$A$2:$A$305,MATCH(B2079,'GIS-Standards'!$B$2:$B$305,0))</f>
        <v>94</v>
      </c>
      <c r="I2079" t="e">
        <f>INDEX('GIS-Standards'!$A$2:$A$305,MATCH(C2079,'GIS-Standards'!$B$2:$B$305,0))</f>
        <v>#N/A</v>
      </c>
      <c r="J2079" t="str">
        <f>INDEX('GIS-Standards'!$O$2:$O$305,MATCH(B2079,'GIS-Standards'!$B$2:$B$305,0))</f>
        <v>ISO/TC 184</v>
      </c>
      <c r="K2079" t="e">
        <f>INDEX('GIS-Standards'!$O$2:$O$305,MATCH(C2079,'GIS-Standards'!$B$2:$B$305,0))</f>
        <v>#N/A</v>
      </c>
      <c r="M2079" t="s">
        <v>525</v>
      </c>
      <c r="N2079">
        <f>INDEX('GIS-Standards'!$I$2:$I$305,MATCH(B2079,'GIS-Standards'!$B$2:$B$305,0))</f>
        <v>0</v>
      </c>
      <c r="O2079" t="e">
        <f>INDEX('GIS-Standards'!$I$2:$I$305,MATCH(C2079,'GIS-Standards'!$B$2:$B$305,0))</f>
        <v>#N/A</v>
      </c>
      <c r="P2079" t="e">
        <f>AND(TableRelationships12[[#This Row],[Source Type]]="BIM",TableRelationships12[[#This Row],[Target Type]]="BIM")</f>
        <v>#N/A</v>
      </c>
      <c r="Q2079">
        <f t="shared" si="96"/>
        <v>1</v>
      </c>
      <c r="S2079">
        <f t="shared" si="97"/>
        <v>1</v>
      </c>
      <c r="T2079" s="102" t="str">
        <f>IF(TableRelationships12[[#This Row],[Rank Pedro]]="Low","linkCategory1",IF(TableRelationships12[[#This Row],[Rank Pedro]]="Medium","linkCategory2",IF(TableRelationships12[[#This Row],[Rank Pedro]]="High","linkCategory3","")))</f>
        <v/>
      </c>
      <c r="U2079" s="102" t="str">
        <f>IF(TableRelationships12[[#This Row],[Rank Pedro]]="Low","Pink",IF(TableRelationships12[[#This Row],[Rank Pedro]]="Medium","Purple",IF(TableRelationships12[[#This Row],[Rank Pedro]]="High","Brown","")))</f>
        <v/>
      </c>
      <c r="V2079" s="4" t="e">
        <f>MAX(INDEX(Standards!$F$2:$F$296,MATCH(B2079,Standards!$B$2:$B$296,0)),INDEX(Standards!$F$2:$F$296,MATCH(C2079,Standards!$B$2:$B$296,0)))</f>
        <v>#N/A</v>
      </c>
      <c r="W2079" t="str">
        <f t="shared" si="98"/>
        <v>#2f89d1</v>
      </c>
    </row>
    <row r="2080" spans="1:23" x14ac:dyDescent="0.5">
      <c r="A2080" s="54">
        <v>2079</v>
      </c>
      <c r="B2080" s="90" t="s">
        <v>1696</v>
      </c>
      <c r="C2080" t="s">
        <v>1764</v>
      </c>
      <c r="D2080" s="1"/>
      <c r="E2080" s="112">
        <v>2015.02</v>
      </c>
      <c r="F2080" s="112">
        <v>2022.08</v>
      </c>
      <c r="G2080" s="107" t="s">
        <v>1865</v>
      </c>
      <c r="H2080">
        <f>INDEX('GIS-Standards'!$A$2:$A$305,MATCH(B2080,'GIS-Standards'!$B$2:$B$305,0))</f>
        <v>94</v>
      </c>
      <c r="I2080" t="e">
        <f>INDEX('GIS-Standards'!$A$2:$A$305,MATCH(C2080,'GIS-Standards'!$B$2:$B$305,0))</f>
        <v>#N/A</v>
      </c>
      <c r="J2080" t="str">
        <f>INDEX('GIS-Standards'!$O$2:$O$305,MATCH(B2080,'GIS-Standards'!$B$2:$B$305,0))</f>
        <v>ISO/TC 184</v>
      </c>
      <c r="K2080" t="e">
        <f>INDEX('GIS-Standards'!$O$2:$O$305,MATCH(C2080,'GIS-Standards'!$B$2:$B$305,0))</f>
        <v>#N/A</v>
      </c>
      <c r="M2080" t="s">
        <v>525</v>
      </c>
      <c r="N2080">
        <f>INDEX('GIS-Standards'!$I$2:$I$305,MATCH(B2080,'GIS-Standards'!$B$2:$B$305,0))</f>
        <v>0</v>
      </c>
      <c r="O2080" t="e">
        <f>INDEX('GIS-Standards'!$I$2:$I$305,MATCH(C2080,'GIS-Standards'!$B$2:$B$305,0))</f>
        <v>#N/A</v>
      </c>
      <c r="P2080" t="e">
        <f>AND(TableRelationships12[[#This Row],[Source Type]]="BIM",TableRelationships12[[#This Row],[Target Type]]="BIM")</f>
        <v>#N/A</v>
      </c>
      <c r="Q2080">
        <f t="shared" si="96"/>
        <v>1</v>
      </c>
      <c r="S2080">
        <f t="shared" si="97"/>
        <v>1</v>
      </c>
      <c r="T2080" s="102" t="str">
        <f>IF(TableRelationships12[[#This Row],[Rank Pedro]]="Low","linkCategory1",IF(TableRelationships12[[#This Row],[Rank Pedro]]="Medium","linkCategory2",IF(TableRelationships12[[#This Row],[Rank Pedro]]="High","linkCategory3","")))</f>
        <v/>
      </c>
      <c r="U2080" s="102" t="str">
        <f>IF(TableRelationships12[[#This Row],[Rank Pedro]]="Low","Pink",IF(TableRelationships12[[#This Row],[Rank Pedro]]="Medium","Purple",IF(TableRelationships12[[#This Row],[Rank Pedro]]="High","Brown","")))</f>
        <v/>
      </c>
      <c r="V2080" s="4" t="e">
        <f>MAX(INDEX(Standards!$F$2:$F$296,MATCH(B2080,Standards!$B$2:$B$296,0)),INDEX(Standards!$F$2:$F$296,MATCH(C2080,Standards!$B$2:$B$296,0)))</f>
        <v>#N/A</v>
      </c>
      <c r="W2080" t="str">
        <f t="shared" si="98"/>
        <v>#2f89d1</v>
      </c>
    </row>
    <row r="2081" spans="1:23" x14ac:dyDescent="0.5">
      <c r="A2081" s="54">
        <v>2080</v>
      </c>
      <c r="B2081" s="90" t="s">
        <v>1696</v>
      </c>
      <c r="C2081" t="s">
        <v>2062</v>
      </c>
      <c r="D2081" s="1"/>
      <c r="E2081" s="112">
        <v>2018.05</v>
      </c>
      <c r="F2081" s="112">
        <v>2018.05</v>
      </c>
      <c r="G2081" s="107" t="s">
        <v>1865</v>
      </c>
      <c r="H2081">
        <f>INDEX('GIS-Standards'!$A$2:$A$305,MATCH(B2081,'GIS-Standards'!$B$2:$B$305,0))</f>
        <v>94</v>
      </c>
      <c r="I2081" t="e">
        <f>INDEX('GIS-Standards'!$A$2:$A$305,MATCH(C2081,'GIS-Standards'!$B$2:$B$305,0))</f>
        <v>#N/A</v>
      </c>
      <c r="J2081" t="str">
        <f>INDEX('GIS-Standards'!$O$2:$O$305,MATCH(B2081,'GIS-Standards'!$B$2:$B$305,0))</f>
        <v>ISO/TC 184</v>
      </c>
      <c r="K2081" t="e">
        <f>INDEX('GIS-Standards'!$O$2:$O$305,MATCH(C2081,'GIS-Standards'!$B$2:$B$305,0))</f>
        <v>#N/A</v>
      </c>
      <c r="M2081" t="s">
        <v>525</v>
      </c>
      <c r="N2081">
        <f>INDEX('GIS-Standards'!$I$2:$I$305,MATCH(B2081,'GIS-Standards'!$B$2:$B$305,0))</f>
        <v>0</v>
      </c>
      <c r="O2081" t="e">
        <f>INDEX('GIS-Standards'!$I$2:$I$305,MATCH(C2081,'GIS-Standards'!$B$2:$B$305,0))</f>
        <v>#N/A</v>
      </c>
      <c r="P2081" t="e">
        <f>AND(TableRelationships12[[#This Row],[Source Type]]="BIM",TableRelationships12[[#This Row],[Target Type]]="BIM")</f>
        <v>#N/A</v>
      </c>
      <c r="Q2081">
        <f t="shared" si="96"/>
        <v>1</v>
      </c>
      <c r="S2081">
        <f t="shared" si="97"/>
        <v>1</v>
      </c>
      <c r="T2081" s="102" t="str">
        <f>IF(TableRelationships12[[#This Row],[Rank Pedro]]="Low","linkCategory1",IF(TableRelationships12[[#This Row],[Rank Pedro]]="Medium","linkCategory2",IF(TableRelationships12[[#This Row],[Rank Pedro]]="High","linkCategory3","")))</f>
        <v/>
      </c>
      <c r="U2081" s="102" t="str">
        <f>IF(TableRelationships12[[#This Row],[Rank Pedro]]="Low","Pink",IF(TableRelationships12[[#This Row],[Rank Pedro]]="Medium","Purple",IF(TableRelationships12[[#This Row],[Rank Pedro]]="High","Brown","")))</f>
        <v/>
      </c>
      <c r="V2081" s="4" t="e">
        <f>MAX(INDEX(Standards!$F$2:$F$296,MATCH(B2081,Standards!$B$2:$B$296,0)),INDEX(Standards!$F$2:$F$296,MATCH(C2081,Standards!$B$2:$B$296,0)))</f>
        <v>#N/A</v>
      </c>
      <c r="W2081" t="str">
        <f t="shared" si="98"/>
        <v>#2f89d1</v>
      </c>
    </row>
    <row r="2082" spans="1:23" x14ac:dyDescent="0.5">
      <c r="A2082" s="54">
        <v>2081</v>
      </c>
      <c r="B2082" s="90" t="s">
        <v>1696</v>
      </c>
      <c r="C2082" t="s">
        <v>1765</v>
      </c>
      <c r="D2082" s="1"/>
      <c r="E2082" s="112">
        <v>2015.11</v>
      </c>
      <c r="F2082" s="112">
        <v>2015.11</v>
      </c>
      <c r="G2082" s="107" t="s">
        <v>2081</v>
      </c>
      <c r="H2082">
        <f>INDEX('GIS-Standards'!$A$2:$A$305,MATCH(B2082,'GIS-Standards'!$B$2:$B$305,0))</f>
        <v>94</v>
      </c>
      <c r="I2082" t="e">
        <f>INDEX('GIS-Standards'!$A$2:$A$305,MATCH(C2082,'GIS-Standards'!$B$2:$B$305,0))</f>
        <v>#N/A</v>
      </c>
      <c r="J2082" t="str">
        <f>INDEX('GIS-Standards'!$O$2:$O$305,MATCH(B2082,'GIS-Standards'!$B$2:$B$305,0))</f>
        <v>ISO/TC 184</v>
      </c>
      <c r="K2082" t="e">
        <f>INDEX('GIS-Standards'!$O$2:$O$305,MATCH(C2082,'GIS-Standards'!$B$2:$B$305,0))</f>
        <v>#N/A</v>
      </c>
      <c r="M2082" t="s">
        <v>525</v>
      </c>
      <c r="N2082">
        <f>INDEX('GIS-Standards'!$I$2:$I$305,MATCH(B2082,'GIS-Standards'!$B$2:$B$305,0))</f>
        <v>0</v>
      </c>
      <c r="O2082" t="e">
        <f>INDEX('GIS-Standards'!$I$2:$I$305,MATCH(C2082,'GIS-Standards'!$B$2:$B$305,0))</f>
        <v>#N/A</v>
      </c>
      <c r="P2082" t="e">
        <f>AND(TableRelationships12[[#This Row],[Source Type]]="BIM",TableRelationships12[[#This Row],[Target Type]]="BIM")</f>
        <v>#N/A</v>
      </c>
      <c r="Q2082">
        <f t="shared" si="96"/>
        <v>1</v>
      </c>
      <c r="S2082">
        <f t="shared" si="97"/>
        <v>1</v>
      </c>
      <c r="T2082" s="102" t="str">
        <f>IF(TableRelationships12[[#This Row],[Rank Pedro]]="Low","linkCategory1",IF(TableRelationships12[[#This Row],[Rank Pedro]]="Medium","linkCategory2",IF(TableRelationships12[[#This Row],[Rank Pedro]]="High","linkCategory3","")))</f>
        <v/>
      </c>
      <c r="U2082" s="102" t="str">
        <f>IF(TableRelationships12[[#This Row],[Rank Pedro]]="Low","Pink",IF(TableRelationships12[[#This Row],[Rank Pedro]]="Medium","Purple",IF(TableRelationships12[[#This Row],[Rank Pedro]]="High","Brown","")))</f>
        <v/>
      </c>
      <c r="V2082" s="4" t="e">
        <f>MAX(INDEX(Standards!$F$2:$F$296,MATCH(B2082,Standards!$B$2:$B$296,0)),INDEX(Standards!$F$2:$F$296,MATCH(C2082,Standards!$B$2:$B$296,0)))</f>
        <v>#N/A</v>
      </c>
      <c r="W2082" t="str">
        <f t="shared" si="98"/>
        <v>#2f89d1</v>
      </c>
    </row>
    <row r="2083" spans="1:23" x14ac:dyDescent="0.5">
      <c r="A2083" s="54">
        <v>2082</v>
      </c>
      <c r="B2083" s="90" t="s">
        <v>1696</v>
      </c>
      <c r="C2083" t="s">
        <v>1253</v>
      </c>
      <c r="D2083" s="1"/>
      <c r="E2083" s="112">
        <v>2012.09</v>
      </c>
      <c r="F2083" s="112">
        <v>2025.03</v>
      </c>
      <c r="G2083" s="107" t="s">
        <v>1455</v>
      </c>
      <c r="H2083">
        <f>INDEX('GIS-Standards'!$A$2:$A$305,MATCH(B2083,'GIS-Standards'!$B$2:$B$305,0))</f>
        <v>94</v>
      </c>
      <c r="I2083" t="e">
        <f>INDEX('GIS-Standards'!$A$2:$A$305,MATCH(C2083,'GIS-Standards'!$B$2:$B$305,0))</f>
        <v>#N/A</v>
      </c>
      <c r="J2083" t="str">
        <f>INDEX('GIS-Standards'!$O$2:$O$305,MATCH(B2083,'GIS-Standards'!$B$2:$B$305,0))</f>
        <v>ISO/TC 184</v>
      </c>
      <c r="K2083" t="e">
        <f>INDEX('GIS-Standards'!$O$2:$O$305,MATCH(C2083,'GIS-Standards'!$B$2:$B$305,0))</f>
        <v>#N/A</v>
      </c>
      <c r="M2083" t="s">
        <v>525</v>
      </c>
      <c r="N2083">
        <f>INDEX('GIS-Standards'!$I$2:$I$305,MATCH(B2083,'GIS-Standards'!$B$2:$B$305,0))</f>
        <v>0</v>
      </c>
      <c r="O2083" t="e">
        <f>INDEX('GIS-Standards'!$I$2:$I$305,MATCH(C2083,'GIS-Standards'!$B$2:$B$305,0))</f>
        <v>#N/A</v>
      </c>
      <c r="P2083" t="e">
        <f>AND(TableRelationships12[[#This Row],[Source Type]]="BIM",TableRelationships12[[#This Row],[Target Type]]="BIM")</f>
        <v>#N/A</v>
      </c>
      <c r="Q2083">
        <f t="shared" si="96"/>
        <v>1</v>
      </c>
      <c r="S2083">
        <f t="shared" si="97"/>
        <v>1</v>
      </c>
      <c r="T2083" s="102" t="str">
        <f>IF(TableRelationships12[[#This Row],[Rank Pedro]]="Low","linkCategory1",IF(TableRelationships12[[#This Row],[Rank Pedro]]="Medium","linkCategory2",IF(TableRelationships12[[#This Row],[Rank Pedro]]="High","linkCategory3","")))</f>
        <v/>
      </c>
      <c r="U2083" s="102" t="str">
        <f>IF(TableRelationships12[[#This Row],[Rank Pedro]]="Low","Pink",IF(TableRelationships12[[#This Row],[Rank Pedro]]="Medium","Purple",IF(TableRelationships12[[#This Row],[Rank Pedro]]="High","Brown","")))</f>
        <v/>
      </c>
      <c r="V2083" s="4" t="e">
        <f>MAX(INDEX(Standards!$F$2:$F$296,MATCH(B2083,Standards!$B$2:$B$296,0)),INDEX(Standards!$F$2:$F$296,MATCH(C2083,Standards!$B$2:$B$296,0)))</f>
        <v>#N/A</v>
      </c>
      <c r="W2083" t="str">
        <f t="shared" si="98"/>
        <v>#2f89d1</v>
      </c>
    </row>
    <row r="2084" spans="1:23" x14ac:dyDescent="0.5">
      <c r="A2084" s="54">
        <v>2083</v>
      </c>
      <c r="B2084" s="90" t="s">
        <v>1696</v>
      </c>
      <c r="C2084" t="s">
        <v>1766</v>
      </c>
      <c r="D2084" s="1"/>
      <c r="E2084" s="112">
        <v>2019.06</v>
      </c>
      <c r="F2084" s="112">
        <v>2019.06</v>
      </c>
      <c r="G2084" s="107" t="s">
        <v>2070</v>
      </c>
      <c r="H2084">
        <f>INDEX('GIS-Standards'!$A$2:$A$305,MATCH(B2084,'GIS-Standards'!$B$2:$B$305,0))</f>
        <v>94</v>
      </c>
      <c r="I2084" t="e">
        <f>INDEX('GIS-Standards'!$A$2:$A$305,MATCH(C2084,'GIS-Standards'!$B$2:$B$305,0))</f>
        <v>#N/A</v>
      </c>
      <c r="J2084" t="str">
        <f>INDEX('GIS-Standards'!$O$2:$O$305,MATCH(B2084,'GIS-Standards'!$B$2:$B$305,0))</f>
        <v>ISO/TC 184</v>
      </c>
      <c r="K2084" t="e">
        <f>INDEX('GIS-Standards'!$O$2:$O$305,MATCH(C2084,'GIS-Standards'!$B$2:$B$305,0))</f>
        <v>#N/A</v>
      </c>
      <c r="M2084" t="s">
        <v>525</v>
      </c>
      <c r="N2084">
        <f>INDEX('GIS-Standards'!$I$2:$I$305,MATCH(B2084,'GIS-Standards'!$B$2:$B$305,0))</f>
        <v>0</v>
      </c>
      <c r="O2084" t="e">
        <f>INDEX('GIS-Standards'!$I$2:$I$305,MATCH(C2084,'GIS-Standards'!$B$2:$B$305,0))</f>
        <v>#N/A</v>
      </c>
      <c r="P2084" t="e">
        <f>AND(TableRelationships12[[#This Row],[Source Type]]="BIM",TableRelationships12[[#This Row],[Target Type]]="BIM")</f>
        <v>#N/A</v>
      </c>
      <c r="Q2084">
        <f t="shared" si="96"/>
        <v>1</v>
      </c>
      <c r="S2084">
        <f t="shared" si="97"/>
        <v>1</v>
      </c>
      <c r="T2084" s="102" t="str">
        <f>IF(TableRelationships12[[#This Row],[Rank Pedro]]="Low","linkCategory1",IF(TableRelationships12[[#This Row],[Rank Pedro]]="Medium","linkCategory2",IF(TableRelationships12[[#This Row],[Rank Pedro]]="High","linkCategory3","")))</f>
        <v/>
      </c>
      <c r="U2084" s="102" t="str">
        <f>IF(TableRelationships12[[#This Row],[Rank Pedro]]="Low","Pink",IF(TableRelationships12[[#This Row],[Rank Pedro]]="Medium","Purple",IF(TableRelationships12[[#This Row],[Rank Pedro]]="High","Brown","")))</f>
        <v/>
      </c>
      <c r="V2084" s="4" t="e">
        <f>MAX(INDEX(Standards!$F$2:$F$296,MATCH(B2084,Standards!$B$2:$B$296,0)),INDEX(Standards!$F$2:$F$296,MATCH(C2084,Standards!$B$2:$B$296,0)))</f>
        <v>#N/A</v>
      </c>
      <c r="W2084" t="str">
        <f t="shared" si="98"/>
        <v>#2f89d1</v>
      </c>
    </row>
    <row r="2085" spans="1:23" x14ac:dyDescent="0.5">
      <c r="A2085" s="54">
        <v>2084</v>
      </c>
      <c r="B2085" s="90" t="s">
        <v>1696</v>
      </c>
      <c r="C2085" t="s">
        <v>474</v>
      </c>
      <c r="D2085" s="1"/>
      <c r="E2085" s="113">
        <v>1974.12</v>
      </c>
      <c r="F2085" s="113">
        <v>2022.1</v>
      </c>
      <c r="G2085" s="107" t="s">
        <v>1511</v>
      </c>
      <c r="H2085">
        <f>INDEX('GIS-Standards'!$A$2:$A$305,MATCH(B2085,'GIS-Standards'!$B$2:$B$305,0))</f>
        <v>94</v>
      </c>
      <c r="I2085" t="e">
        <f>INDEX('GIS-Standards'!$A$2:$A$305,MATCH(C2085,'GIS-Standards'!$B$2:$B$305,0))</f>
        <v>#N/A</v>
      </c>
      <c r="J2085" t="str">
        <f>INDEX('GIS-Standards'!$O$2:$O$305,MATCH(B2085,'GIS-Standards'!$B$2:$B$305,0))</f>
        <v>ISO/TC 184</v>
      </c>
      <c r="K2085" t="e">
        <f>INDEX('GIS-Standards'!$O$2:$O$305,MATCH(C2085,'GIS-Standards'!$B$2:$B$305,0))</f>
        <v>#N/A</v>
      </c>
      <c r="M2085" t="s">
        <v>525</v>
      </c>
      <c r="N2085">
        <f>INDEX('GIS-Standards'!$I$2:$I$305,MATCH(B2085,'GIS-Standards'!$B$2:$B$305,0))</f>
        <v>0</v>
      </c>
      <c r="O2085" t="e">
        <f>INDEX('GIS-Standards'!$I$2:$I$305,MATCH(C2085,'GIS-Standards'!$B$2:$B$305,0))</f>
        <v>#N/A</v>
      </c>
      <c r="P2085" t="e">
        <f>AND(TableRelationships12[[#This Row],[Source Type]]="BIM",TableRelationships12[[#This Row],[Target Type]]="BIM")</f>
        <v>#N/A</v>
      </c>
      <c r="Q2085">
        <f t="shared" si="96"/>
        <v>1</v>
      </c>
      <c r="S2085">
        <f t="shared" si="97"/>
        <v>1</v>
      </c>
      <c r="T2085" s="102" t="str">
        <f>IF(TableRelationships12[[#This Row],[Rank Pedro]]="Low","linkCategory1",IF(TableRelationships12[[#This Row],[Rank Pedro]]="Medium","linkCategory2",IF(TableRelationships12[[#This Row],[Rank Pedro]]="High","linkCategory3","")))</f>
        <v/>
      </c>
      <c r="U2085" s="102" t="str">
        <f>IF(TableRelationships12[[#This Row],[Rank Pedro]]="Low","Pink",IF(TableRelationships12[[#This Row],[Rank Pedro]]="Medium","Purple",IF(TableRelationships12[[#This Row],[Rank Pedro]]="High","Brown","")))</f>
        <v/>
      </c>
      <c r="V2085" s="4" t="e">
        <f>MAX(INDEX(Standards!$F$2:$F$296,MATCH(B2085,Standards!$B$2:$B$296,0)),INDEX(Standards!$F$2:$F$296,MATCH(C2085,Standards!$B$2:$B$296,0)))</f>
        <v>#N/A</v>
      </c>
      <c r="W2085" t="str">
        <f t="shared" si="98"/>
        <v>#2f89d1</v>
      </c>
    </row>
    <row r="2086" spans="1:23" x14ac:dyDescent="0.5">
      <c r="A2086" s="54">
        <v>2085</v>
      </c>
      <c r="B2086" s="90" t="s">
        <v>1696</v>
      </c>
      <c r="C2086" t="s">
        <v>1216</v>
      </c>
      <c r="D2086" s="1"/>
      <c r="E2086" s="112">
        <v>2009.12</v>
      </c>
      <c r="F2086" s="112">
        <v>2022.09</v>
      </c>
      <c r="G2086" s="107" t="s">
        <v>1490</v>
      </c>
      <c r="H2086">
        <f>INDEX('GIS-Standards'!$A$2:$A$305,MATCH(B2086,'GIS-Standards'!$B$2:$B$305,0))</f>
        <v>94</v>
      </c>
      <c r="I2086" t="e">
        <f>INDEX('GIS-Standards'!$A$2:$A$305,MATCH(C2086,'GIS-Standards'!$B$2:$B$305,0))</f>
        <v>#N/A</v>
      </c>
      <c r="J2086" t="str">
        <f>INDEX('GIS-Standards'!$O$2:$O$305,MATCH(B2086,'GIS-Standards'!$B$2:$B$305,0))</f>
        <v>ISO/TC 184</v>
      </c>
      <c r="K2086" t="e">
        <f>INDEX('GIS-Standards'!$O$2:$O$305,MATCH(C2086,'GIS-Standards'!$B$2:$B$305,0))</f>
        <v>#N/A</v>
      </c>
      <c r="M2086" t="s">
        <v>525</v>
      </c>
      <c r="N2086">
        <f>INDEX('GIS-Standards'!$I$2:$I$305,MATCH(B2086,'GIS-Standards'!$B$2:$B$305,0))</f>
        <v>0</v>
      </c>
      <c r="O2086" t="e">
        <f>INDEX('GIS-Standards'!$I$2:$I$305,MATCH(C2086,'GIS-Standards'!$B$2:$B$305,0))</f>
        <v>#N/A</v>
      </c>
      <c r="P2086" t="e">
        <f>AND(TableRelationships12[[#This Row],[Source Type]]="BIM",TableRelationships12[[#This Row],[Target Type]]="BIM")</f>
        <v>#N/A</v>
      </c>
      <c r="Q2086">
        <f t="shared" si="96"/>
        <v>1</v>
      </c>
      <c r="S2086">
        <f t="shared" si="97"/>
        <v>1</v>
      </c>
      <c r="T2086" s="102" t="str">
        <f>IF(TableRelationships12[[#This Row],[Rank Pedro]]="Low","linkCategory1",IF(TableRelationships12[[#This Row],[Rank Pedro]]="Medium","linkCategory2",IF(TableRelationships12[[#This Row],[Rank Pedro]]="High","linkCategory3","")))</f>
        <v/>
      </c>
      <c r="U2086" s="102" t="str">
        <f>IF(TableRelationships12[[#This Row],[Rank Pedro]]="Low","Pink",IF(TableRelationships12[[#This Row],[Rank Pedro]]="Medium","Purple",IF(TableRelationships12[[#This Row],[Rank Pedro]]="High","Brown","")))</f>
        <v/>
      </c>
      <c r="V2086" s="4" t="e">
        <f>MAX(INDEX(Standards!$F$2:$F$296,MATCH(B2086,Standards!$B$2:$B$296,0)),INDEX(Standards!$F$2:$F$296,MATCH(C2086,Standards!$B$2:$B$296,0)))</f>
        <v>#N/A</v>
      </c>
      <c r="W2086" t="str">
        <f t="shared" si="98"/>
        <v>#2f89d1</v>
      </c>
    </row>
    <row r="2087" spans="1:23" x14ac:dyDescent="0.5">
      <c r="A2087" s="54">
        <v>2086</v>
      </c>
      <c r="B2087" s="90" t="s">
        <v>1696</v>
      </c>
      <c r="C2087" t="s">
        <v>2107</v>
      </c>
      <c r="D2087" t="s">
        <v>2027</v>
      </c>
      <c r="E2087" s="112">
        <v>2004.07</v>
      </c>
      <c r="F2087" s="112">
        <v>2004.07</v>
      </c>
      <c r="G2087" s="107" t="s">
        <v>2070</v>
      </c>
      <c r="H2087">
        <f>INDEX('GIS-Standards'!$A$2:$A$305,MATCH(B2087,'GIS-Standards'!$B$2:$B$305,0))</f>
        <v>94</v>
      </c>
      <c r="I2087" t="e">
        <f>INDEX('GIS-Standards'!$A$2:$A$305,MATCH(C2087,'GIS-Standards'!$B$2:$B$305,0))</f>
        <v>#N/A</v>
      </c>
      <c r="J2087" t="str">
        <f>INDEX('GIS-Standards'!$O$2:$O$305,MATCH(B2087,'GIS-Standards'!$B$2:$B$305,0))</f>
        <v>ISO/TC 184</v>
      </c>
      <c r="K2087" t="e">
        <f>INDEX('GIS-Standards'!$O$2:$O$305,MATCH(C2087,'GIS-Standards'!$B$2:$B$305,0))</f>
        <v>#N/A</v>
      </c>
      <c r="M2087" t="s">
        <v>525</v>
      </c>
      <c r="N2087">
        <f>INDEX('GIS-Standards'!$I$2:$I$305,MATCH(B2087,'GIS-Standards'!$B$2:$B$305,0))</f>
        <v>0</v>
      </c>
      <c r="O2087" t="e">
        <f>INDEX('GIS-Standards'!$I$2:$I$305,MATCH(C2087,'GIS-Standards'!$B$2:$B$305,0))</f>
        <v>#N/A</v>
      </c>
      <c r="P2087" t="e">
        <f>AND(TableRelationships12[[#This Row],[Source Type]]="BIM",TableRelationships12[[#This Row],[Target Type]]="BIM")</f>
        <v>#N/A</v>
      </c>
      <c r="Q2087">
        <f t="shared" si="96"/>
        <v>1</v>
      </c>
      <c r="S2087">
        <f t="shared" si="97"/>
        <v>1</v>
      </c>
      <c r="T2087" s="102" t="str">
        <f>IF(TableRelationships12[[#This Row],[Rank Pedro]]="Low","linkCategory1",IF(TableRelationships12[[#This Row],[Rank Pedro]]="Medium","linkCategory2",IF(TableRelationships12[[#This Row],[Rank Pedro]]="High","linkCategory3","")))</f>
        <v/>
      </c>
      <c r="U2087" s="102" t="str">
        <f>IF(TableRelationships12[[#This Row],[Rank Pedro]]="Low","Pink",IF(TableRelationships12[[#This Row],[Rank Pedro]]="Medium","Purple",IF(TableRelationships12[[#This Row],[Rank Pedro]]="High","Brown","")))</f>
        <v/>
      </c>
      <c r="V2087" s="4" t="e">
        <f>MAX(INDEX(Standards!$F$2:$F$296,MATCH(B2087,Standards!$B$2:$B$296,0)),INDEX(Standards!$F$2:$F$296,MATCH(C2087,Standards!$B$2:$B$296,0)))</f>
        <v>#N/A</v>
      </c>
      <c r="W2087" t="str">
        <f t="shared" si="98"/>
        <v>#2f89d1</v>
      </c>
    </row>
    <row r="2088" spans="1:23" x14ac:dyDescent="0.5">
      <c r="A2088" s="54">
        <v>2087</v>
      </c>
      <c r="B2088" s="90" t="s">
        <v>1696</v>
      </c>
      <c r="C2088" t="s">
        <v>1171</v>
      </c>
      <c r="D2088" s="1"/>
      <c r="E2088" s="112">
        <v>1986.06</v>
      </c>
      <c r="F2088" s="112">
        <v>2015.09</v>
      </c>
      <c r="G2088" s="107" t="s">
        <v>1491</v>
      </c>
      <c r="H2088">
        <f>INDEX('GIS-Standards'!$A$2:$A$305,MATCH(B2088,'GIS-Standards'!$B$2:$B$305,0))</f>
        <v>94</v>
      </c>
      <c r="I2088" t="e">
        <f>INDEX('GIS-Standards'!$A$2:$A$305,MATCH(C2088,'GIS-Standards'!$B$2:$B$305,0))</f>
        <v>#N/A</v>
      </c>
      <c r="J2088" t="str">
        <f>INDEX('GIS-Standards'!$O$2:$O$305,MATCH(B2088,'GIS-Standards'!$B$2:$B$305,0))</f>
        <v>ISO/TC 184</v>
      </c>
      <c r="K2088" t="e">
        <f>INDEX('GIS-Standards'!$O$2:$O$305,MATCH(C2088,'GIS-Standards'!$B$2:$B$305,0))</f>
        <v>#N/A</v>
      </c>
      <c r="M2088" t="s">
        <v>525</v>
      </c>
      <c r="N2088">
        <f>INDEX('GIS-Standards'!$I$2:$I$305,MATCH(B2088,'GIS-Standards'!$B$2:$B$305,0))</f>
        <v>0</v>
      </c>
      <c r="O2088" t="e">
        <f>INDEX('GIS-Standards'!$I$2:$I$305,MATCH(C2088,'GIS-Standards'!$B$2:$B$305,0))</f>
        <v>#N/A</v>
      </c>
      <c r="P2088" t="e">
        <f>AND(TableRelationships12[[#This Row],[Source Type]]="BIM",TableRelationships12[[#This Row],[Target Type]]="BIM")</f>
        <v>#N/A</v>
      </c>
      <c r="Q2088">
        <f t="shared" si="96"/>
        <v>1</v>
      </c>
      <c r="S2088">
        <f t="shared" si="97"/>
        <v>1</v>
      </c>
      <c r="T2088" s="102" t="str">
        <f>IF(TableRelationships12[[#This Row],[Rank Pedro]]="Low","linkCategory1",IF(TableRelationships12[[#This Row],[Rank Pedro]]="Medium","linkCategory2",IF(TableRelationships12[[#This Row],[Rank Pedro]]="High","linkCategory3","")))</f>
        <v/>
      </c>
      <c r="U2088" s="102" t="str">
        <f>IF(TableRelationships12[[#This Row],[Rank Pedro]]="Low","Pink",IF(TableRelationships12[[#This Row],[Rank Pedro]]="Medium","Purple",IF(TableRelationships12[[#This Row],[Rank Pedro]]="High","Brown","")))</f>
        <v/>
      </c>
      <c r="V2088" s="4" t="e">
        <f>MAX(INDEX(Standards!$F$2:$F$296,MATCH(B2088,Standards!$B$2:$B$296,0)),INDEX(Standards!$F$2:$F$296,MATCH(C2088,Standards!$B$2:$B$296,0)))</f>
        <v>#N/A</v>
      </c>
      <c r="W2088" t="str">
        <f t="shared" si="98"/>
        <v>#2f89d1</v>
      </c>
    </row>
    <row r="2089" spans="1:23" x14ac:dyDescent="0.5">
      <c r="A2089" s="54">
        <v>2088</v>
      </c>
      <c r="B2089" s="90" t="s">
        <v>1696</v>
      </c>
      <c r="C2089" t="s">
        <v>1767</v>
      </c>
      <c r="D2089" s="1"/>
      <c r="E2089" s="112">
        <v>2015.05</v>
      </c>
      <c r="F2089" s="112">
        <v>2023.05</v>
      </c>
      <c r="G2089" s="107" t="s">
        <v>1502</v>
      </c>
      <c r="H2089">
        <f>INDEX('GIS-Standards'!$A$2:$A$305,MATCH(B2089,'GIS-Standards'!$B$2:$B$305,0))</f>
        <v>94</v>
      </c>
      <c r="I2089" t="e">
        <f>INDEX('GIS-Standards'!$A$2:$A$305,MATCH(C2089,'GIS-Standards'!$B$2:$B$305,0))</f>
        <v>#N/A</v>
      </c>
      <c r="J2089" t="str">
        <f>INDEX('GIS-Standards'!$O$2:$O$305,MATCH(B2089,'GIS-Standards'!$B$2:$B$305,0))</f>
        <v>ISO/TC 184</v>
      </c>
      <c r="K2089" t="e">
        <f>INDEX('GIS-Standards'!$O$2:$O$305,MATCH(C2089,'GIS-Standards'!$B$2:$B$305,0))</f>
        <v>#N/A</v>
      </c>
      <c r="M2089" t="s">
        <v>525</v>
      </c>
      <c r="N2089">
        <f>INDEX('GIS-Standards'!$I$2:$I$305,MATCH(B2089,'GIS-Standards'!$B$2:$B$305,0))</f>
        <v>0</v>
      </c>
      <c r="O2089" t="e">
        <f>INDEX('GIS-Standards'!$I$2:$I$305,MATCH(C2089,'GIS-Standards'!$B$2:$B$305,0))</f>
        <v>#N/A</v>
      </c>
      <c r="P2089" t="e">
        <f>AND(TableRelationships12[[#This Row],[Source Type]]="BIM",TableRelationships12[[#This Row],[Target Type]]="BIM")</f>
        <v>#N/A</v>
      </c>
      <c r="Q2089">
        <f t="shared" si="96"/>
        <v>1</v>
      </c>
      <c r="S2089">
        <f t="shared" si="97"/>
        <v>1</v>
      </c>
      <c r="T2089" s="102" t="str">
        <f>IF(TableRelationships12[[#This Row],[Rank Pedro]]="Low","linkCategory1",IF(TableRelationships12[[#This Row],[Rank Pedro]]="Medium","linkCategory2",IF(TableRelationships12[[#This Row],[Rank Pedro]]="High","linkCategory3","")))</f>
        <v/>
      </c>
      <c r="U2089" s="102" t="str">
        <f>IF(TableRelationships12[[#This Row],[Rank Pedro]]="Low","Pink",IF(TableRelationships12[[#This Row],[Rank Pedro]]="Medium","Purple",IF(TableRelationships12[[#This Row],[Rank Pedro]]="High","Brown","")))</f>
        <v/>
      </c>
      <c r="V2089" s="4" t="e">
        <f>MAX(INDEX(Standards!$F$2:$F$296,MATCH(B2089,Standards!$B$2:$B$296,0)),INDEX(Standards!$F$2:$F$296,MATCH(C2089,Standards!$B$2:$B$296,0)))</f>
        <v>#N/A</v>
      </c>
      <c r="W2089" t="str">
        <f t="shared" si="98"/>
        <v>#2f89d1</v>
      </c>
    </row>
    <row r="2090" spans="1:23" x14ac:dyDescent="0.5">
      <c r="A2090" s="54">
        <v>2089</v>
      </c>
      <c r="B2090" s="90" t="s">
        <v>1696</v>
      </c>
      <c r="C2090" t="s">
        <v>144</v>
      </c>
      <c r="D2090" s="1"/>
      <c r="E2090" s="112">
        <v>2013.04</v>
      </c>
      <c r="F2090" s="112">
        <v>2024.03</v>
      </c>
      <c r="G2090" s="107" t="s">
        <v>1448</v>
      </c>
      <c r="H2090">
        <f>INDEX('GIS-Standards'!$A$2:$A$305,MATCH(B2090,'GIS-Standards'!$B$2:$B$305,0))</f>
        <v>94</v>
      </c>
      <c r="I2090" t="e">
        <f>INDEX('GIS-Standards'!$A$2:$A$305,MATCH(C2090,'GIS-Standards'!$B$2:$B$305,0))</f>
        <v>#N/A</v>
      </c>
      <c r="J2090" t="str">
        <f>INDEX('GIS-Standards'!$O$2:$O$305,MATCH(B2090,'GIS-Standards'!$B$2:$B$305,0))</f>
        <v>ISO/TC 184</v>
      </c>
      <c r="K2090" t="e">
        <f>INDEX('GIS-Standards'!$O$2:$O$305,MATCH(C2090,'GIS-Standards'!$B$2:$B$305,0))</f>
        <v>#N/A</v>
      </c>
      <c r="M2090" t="s">
        <v>525</v>
      </c>
      <c r="N2090">
        <f>INDEX('GIS-Standards'!$I$2:$I$305,MATCH(B2090,'GIS-Standards'!$B$2:$B$305,0))</f>
        <v>0</v>
      </c>
      <c r="O2090" t="e">
        <f>INDEX('GIS-Standards'!$I$2:$I$305,MATCH(C2090,'GIS-Standards'!$B$2:$B$305,0))</f>
        <v>#N/A</v>
      </c>
      <c r="P2090" t="e">
        <f>AND(TableRelationships12[[#This Row],[Source Type]]="BIM",TableRelationships12[[#This Row],[Target Type]]="BIM")</f>
        <v>#N/A</v>
      </c>
      <c r="Q2090">
        <f t="shared" si="96"/>
        <v>1</v>
      </c>
      <c r="S2090">
        <f t="shared" si="97"/>
        <v>1</v>
      </c>
      <c r="T2090" s="102" t="str">
        <f>IF(TableRelationships12[[#This Row],[Rank Pedro]]="Low","linkCategory1",IF(TableRelationships12[[#This Row],[Rank Pedro]]="Medium","linkCategory2",IF(TableRelationships12[[#This Row],[Rank Pedro]]="High","linkCategory3","")))</f>
        <v/>
      </c>
      <c r="U2090" s="102" t="str">
        <f>IF(TableRelationships12[[#This Row],[Rank Pedro]]="Low","Pink",IF(TableRelationships12[[#This Row],[Rank Pedro]]="Medium","Purple",IF(TableRelationships12[[#This Row],[Rank Pedro]]="High","Brown","")))</f>
        <v/>
      </c>
      <c r="V2090" s="4" t="e">
        <f>MAX(INDEX(Standards!$F$2:$F$296,MATCH(B2090,Standards!$B$2:$B$296,0)),INDEX(Standards!$F$2:$F$296,MATCH(C2090,Standards!$B$2:$B$296,0)))</f>
        <v>#N/A</v>
      </c>
      <c r="W2090" t="str">
        <f t="shared" si="98"/>
        <v>#2f89d1</v>
      </c>
    </row>
    <row r="2091" spans="1:23" x14ac:dyDescent="0.5">
      <c r="A2091" s="54">
        <v>2090</v>
      </c>
      <c r="B2091" s="90" t="s">
        <v>1696</v>
      </c>
      <c r="C2091" t="s">
        <v>2080</v>
      </c>
      <c r="D2091" s="1" t="s">
        <v>2027</v>
      </c>
      <c r="E2091" s="112">
        <v>2011.12</v>
      </c>
      <c r="F2091" s="112">
        <v>2022.04</v>
      </c>
      <c r="G2091" s="107" t="s">
        <v>1448</v>
      </c>
      <c r="H2091">
        <f>INDEX('GIS-Standards'!$A$2:$A$305,MATCH(B2091,'GIS-Standards'!$B$2:$B$305,0))</f>
        <v>94</v>
      </c>
      <c r="I2091" t="e">
        <f>INDEX('GIS-Standards'!$A$2:$A$305,MATCH(C2091,'GIS-Standards'!$B$2:$B$305,0))</f>
        <v>#N/A</v>
      </c>
      <c r="J2091" t="str">
        <f>INDEX('GIS-Standards'!$O$2:$O$305,MATCH(B2091,'GIS-Standards'!$B$2:$B$305,0))</f>
        <v>ISO/TC 184</v>
      </c>
      <c r="K2091" t="e">
        <f>INDEX('GIS-Standards'!$O$2:$O$305,MATCH(C2091,'GIS-Standards'!$B$2:$B$305,0))</f>
        <v>#N/A</v>
      </c>
      <c r="M2091" t="s">
        <v>525</v>
      </c>
      <c r="N2091">
        <f>INDEX('GIS-Standards'!$I$2:$I$305,MATCH(B2091,'GIS-Standards'!$B$2:$B$305,0))</f>
        <v>0</v>
      </c>
      <c r="O2091" t="e">
        <f>INDEX('GIS-Standards'!$I$2:$I$305,MATCH(C2091,'GIS-Standards'!$B$2:$B$305,0))</f>
        <v>#N/A</v>
      </c>
      <c r="P2091" t="e">
        <f>AND(TableRelationships12[[#This Row],[Source Type]]="BIM",TableRelationships12[[#This Row],[Target Type]]="BIM")</f>
        <v>#N/A</v>
      </c>
      <c r="Q2091">
        <f t="shared" si="96"/>
        <v>1</v>
      </c>
      <c r="S2091">
        <f t="shared" si="97"/>
        <v>1</v>
      </c>
      <c r="T2091" s="102" t="str">
        <f>IF(TableRelationships12[[#This Row],[Rank Pedro]]="Low","linkCategory1",IF(TableRelationships12[[#This Row],[Rank Pedro]]="Medium","linkCategory2",IF(TableRelationships12[[#This Row],[Rank Pedro]]="High","linkCategory3","")))</f>
        <v/>
      </c>
      <c r="U2091" s="102" t="str">
        <f>IF(TableRelationships12[[#This Row],[Rank Pedro]]="Low","Pink",IF(TableRelationships12[[#This Row],[Rank Pedro]]="Medium","Purple",IF(TableRelationships12[[#This Row],[Rank Pedro]]="High","Brown","")))</f>
        <v/>
      </c>
      <c r="V2091" s="4" t="e">
        <f>MAX(INDEX(Standards!$F$2:$F$296,MATCH(B2091,Standards!$B$2:$B$296,0)),INDEX(Standards!$F$2:$F$296,MATCH(C2091,Standards!$B$2:$B$296,0)))</f>
        <v>#N/A</v>
      </c>
      <c r="W2091" t="str">
        <f t="shared" si="98"/>
        <v>#2f89d1</v>
      </c>
    </row>
    <row r="2092" spans="1:23" x14ac:dyDescent="0.5">
      <c r="A2092" s="54">
        <v>2091</v>
      </c>
      <c r="B2092" s="90" t="s">
        <v>1696</v>
      </c>
      <c r="C2092" t="s">
        <v>1768</v>
      </c>
      <c r="D2092" s="1"/>
      <c r="E2092" s="112">
        <v>2017.1</v>
      </c>
      <c r="F2092" s="112">
        <v>2017.1</v>
      </c>
      <c r="G2092" s="107" t="s">
        <v>1512</v>
      </c>
      <c r="H2092">
        <f>INDEX('GIS-Standards'!$A$2:$A$305,MATCH(B2092,'GIS-Standards'!$B$2:$B$305,0))</f>
        <v>94</v>
      </c>
      <c r="I2092" t="e">
        <f>INDEX('GIS-Standards'!$A$2:$A$305,MATCH(C2092,'GIS-Standards'!$B$2:$B$305,0))</f>
        <v>#N/A</v>
      </c>
      <c r="J2092" t="str">
        <f>INDEX('GIS-Standards'!$O$2:$O$305,MATCH(B2092,'GIS-Standards'!$B$2:$B$305,0))</f>
        <v>ISO/TC 184</v>
      </c>
      <c r="K2092" t="e">
        <f>INDEX('GIS-Standards'!$O$2:$O$305,MATCH(C2092,'GIS-Standards'!$B$2:$B$305,0))</f>
        <v>#N/A</v>
      </c>
      <c r="M2092" t="s">
        <v>525</v>
      </c>
      <c r="N2092">
        <f>INDEX('GIS-Standards'!$I$2:$I$305,MATCH(B2092,'GIS-Standards'!$B$2:$B$305,0))</f>
        <v>0</v>
      </c>
      <c r="O2092" t="e">
        <f>INDEX('GIS-Standards'!$I$2:$I$305,MATCH(C2092,'GIS-Standards'!$B$2:$B$305,0))</f>
        <v>#N/A</v>
      </c>
      <c r="P2092" t="e">
        <f>AND(TableRelationships12[[#This Row],[Source Type]]="BIM",TableRelationships12[[#This Row],[Target Type]]="BIM")</f>
        <v>#N/A</v>
      </c>
      <c r="Q2092">
        <f t="shared" si="96"/>
        <v>1</v>
      </c>
      <c r="S2092">
        <f t="shared" si="97"/>
        <v>1</v>
      </c>
      <c r="T2092" s="102" t="str">
        <f>IF(TableRelationships12[[#This Row],[Rank Pedro]]="Low","linkCategory1",IF(TableRelationships12[[#This Row],[Rank Pedro]]="Medium","linkCategory2",IF(TableRelationships12[[#This Row],[Rank Pedro]]="High","linkCategory3","")))</f>
        <v/>
      </c>
      <c r="U2092" s="102" t="str">
        <f>IF(TableRelationships12[[#This Row],[Rank Pedro]]="Low","Pink",IF(TableRelationships12[[#This Row],[Rank Pedro]]="Medium","Purple",IF(TableRelationships12[[#This Row],[Rank Pedro]]="High","Brown","")))</f>
        <v/>
      </c>
      <c r="V2092" s="4" t="e">
        <f>MAX(INDEX(Standards!$F$2:$F$296,MATCH(B2092,Standards!$B$2:$B$296,0)),INDEX(Standards!$F$2:$F$296,MATCH(C2092,Standards!$B$2:$B$296,0)))</f>
        <v>#N/A</v>
      </c>
      <c r="W2092" t="str">
        <f t="shared" si="98"/>
        <v>#2f89d1</v>
      </c>
    </row>
    <row r="2093" spans="1:23" x14ac:dyDescent="0.5">
      <c r="A2093" s="54">
        <v>2092</v>
      </c>
      <c r="B2093" s="90" t="s">
        <v>1696</v>
      </c>
      <c r="C2093" t="s">
        <v>85</v>
      </c>
      <c r="D2093" s="1"/>
      <c r="E2093" s="112">
        <v>1987.03</v>
      </c>
      <c r="F2093" s="112">
        <v>2024.02</v>
      </c>
      <c r="G2093" s="107" t="s">
        <v>1492</v>
      </c>
      <c r="H2093">
        <f>INDEX('GIS-Standards'!$A$2:$A$305,MATCH(B2093,'GIS-Standards'!$B$2:$B$305,0))</f>
        <v>94</v>
      </c>
      <c r="I2093" t="e">
        <f>INDEX('GIS-Standards'!$A$2:$A$305,MATCH(C2093,'GIS-Standards'!$B$2:$B$305,0))</f>
        <v>#N/A</v>
      </c>
      <c r="J2093" t="str">
        <f>INDEX('GIS-Standards'!$O$2:$O$305,MATCH(B2093,'GIS-Standards'!$B$2:$B$305,0))</f>
        <v>ISO/TC 184</v>
      </c>
      <c r="K2093" t="e">
        <f>INDEX('GIS-Standards'!$O$2:$O$305,MATCH(C2093,'GIS-Standards'!$B$2:$B$305,0))</f>
        <v>#N/A</v>
      </c>
      <c r="M2093" t="s">
        <v>525</v>
      </c>
      <c r="N2093">
        <f>INDEX('GIS-Standards'!$I$2:$I$305,MATCH(B2093,'GIS-Standards'!$B$2:$B$305,0))</f>
        <v>0</v>
      </c>
      <c r="O2093" t="e">
        <f>INDEX('GIS-Standards'!$I$2:$I$305,MATCH(C2093,'GIS-Standards'!$B$2:$B$305,0))</f>
        <v>#N/A</v>
      </c>
      <c r="P2093" t="e">
        <f>AND(TableRelationships12[[#This Row],[Source Type]]="BIM",TableRelationships12[[#This Row],[Target Type]]="BIM")</f>
        <v>#N/A</v>
      </c>
      <c r="Q2093">
        <f t="shared" si="96"/>
        <v>1</v>
      </c>
      <c r="S2093">
        <f t="shared" si="97"/>
        <v>1</v>
      </c>
      <c r="T2093" s="102" t="str">
        <f>IF(TableRelationships12[[#This Row],[Rank Pedro]]="Low","linkCategory1",IF(TableRelationships12[[#This Row],[Rank Pedro]]="Medium","linkCategory2",IF(TableRelationships12[[#This Row],[Rank Pedro]]="High","linkCategory3","")))</f>
        <v/>
      </c>
      <c r="U2093" s="102" t="str">
        <f>IF(TableRelationships12[[#This Row],[Rank Pedro]]="Low","Pink",IF(TableRelationships12[[#This Row],[Rank Pedro]]="Medium","Purple",IF(TableRelationships12[[#This Row],[Rank Pedro]]="High","Brown","")))</f>
        <v/>
      </c>
      <c r="V2093" s="4" t="e">
        <f>MAX(INDEX(Standards!$F$2:$F$296,MATCH(B2093,Standards!$B$2:$B$296,0)),INDEX(Standards!$F$2:$F$296,MATCH(C2093,Standards!$B$2:$B$296,0)))</f>
        <v>#N/A</v>
      </c>
      <c r="W2093" t="str">
        <f t="shared" si="98"/>
        <v>#2f89d1</v>
      </c>
    </row>
    <row r="2094" spans="1:23" x14ac:dyDescent="0.5">
      <c r="A2094" s="54">
        <v>2093</v>
      </c>
      <c r="B2094" s="90" t="s">
        <v>1696</v>
      </c>
      <c r="C2094" t="s">
        <v>1769</v>
      </c>
      <c r="D2094" s="1"/>
      <c r="G2094" s="107"/>
      <c r="H2094">
        <f>INDEX('GIS-Standards'!$A$2:$A$305,MATCH(B2094,'GIS-Standards'!$B$2:$B$305,0))</f>
        <v>94</v>
      </c>
      <c r="I2094" t="e">
        <f>INDEX('GIS-Standards'!$A$2:$A$305,MATCH(C2094,'GIS-Standards'!$B$2:$B$305,0))</f>
        <v>#N/A</v>
      </c>
      <c r="J2094" t="str">
        <f>INDEX('GIS-Standards'!$O$2:$O$305,MATCH(B2094,'GIS-Standards'!$B$2:$B$305,0))</f>
        <v>ISO/TC 184</v>
      </c>
      <c r="K2094" t="e">
        <f>INDEX('GIS-Standards'!$O$2:$O$305,MATCH(C2094,'GIS-Standards'!$B$2:$B$305,0))</f>
        <v>#N/A</v>
      </c>
      <c r="M2094" t="s">
        <v>525</v>
      </c>
      <c r="N2094">
        <f>INDEX('GIS-Standards'!$I$2:$I$305,MATCH(B2094,'GIS-Standards'!$B$2:$B$305,0))</f>
        <v>0</v>
      </c>
      <c r="O2094" t="e">
        <f>INDEX('GIS-Standards'!$I$2:$I$305,MATCH(C2094,'GIS-Standards'!$B$2:$B$305,0))</f>
        <v>#N/A</v>
      </c>
      <c r="P2094" t="e">
        <f>AND(TableRelationships12[[#This Row],[Source Type]]="BIM",TableRelationships12[[#This Row],[Target Type]]="BIM")</f>
        <v>#N/A</v>
      </c>
      <c r="Q2094">
        <f t="shared" si="96"/>
        <v>1</v>
      </c>
      <c r="S2094">
        <f t="shared" si="97"/>
        <v>1</v>
      </c>
      <c r="T2094" s="102" t="str">
        <f>IF(TableRelationships12[[#This Row],[Rank Pedro]]="Low","linkCategory1",IF(TableRelationships12[[#This Row],[Rank Pedro]]="Medium","linkCategory2",IF(TableRelationships12[[#This Row],[Rank Pedro]]="High","linkCategory3","")))</f>
        <v/>
      </c>
      <c r="U2094" s="102" t="str">
        <f>IF(TableRelationships12[[#This Row],[Rank Pedro]]="Low","Pink",IF(TableRelationships12[[#This Row],[Rank Pedro]]="Medium","Purple",IF(TableRelationships12[[#This Row],[Rank Pedro]]="High","Brown","")))</f>
        <v/>
      </c>
      <c r="V2094" s="4" t="e">
        <f>MAX(INDEX(Standards!$F$2:$F$296,MATCH(B2094,Standards!$B$2:$B$296,0)),INDEX(Standards!$F$2:$F$296,MATCH(C2094,Standards!$B$2:$B$296,0)))</f>
        <v>#N/A</v>
      </c>
      <c r="W2094" t="str">
        <f t="shared" si="98"/>
        <v>#2f89d1</v>
      </c>
    </row>
    <row r="2095" spans="1:23" x14ac:dyDescent="0.5">
      <c r="A2095" s="54">
        <v>2094</v>
      </c>
      <c r="B2095" s="90" t="s">
        <v>1696</v>
      </c>
      <c r="C2095" t="s">
        <v>2000</v>
      </c>
      <c r="D2095" s="1"/>
      <c r="E2095" s="112">
        <v>1998.01</v>
      </c>
      <c r="F2095" s="112">
        <v>2019.02</v>
      </c>
      <c r="G2095" s="107"/>
      <c r="H2095">
        <f>INDEX('GIS-Standards'!$A$2:$A$305,MATCH(B2095,'GIS-Standards'!$B$2:$B$305,0))</f>
        <v>94</v>
      </c>
      <c r="I2095" t="e">
        <f>INDEX('GIS-Standards'!$A$2:$A$305,MATCH(C2095,'GIS-Standards'!$B$2:$B$305,0))</f>
        <v>#N/A</v>
      </c>
      <c r="J2095" t="str">
        <f>INDEX('GIS-Standards'!$O$2:$O$305,MATCH(B2095,'GIS-Standards'!$B$2:$B$305,0))</f>
        <v>ISO/TC 184</v>
      </c>
      <c r="K2095" t="e">
        <f>INDEX('GIS-Standards'!$O$2:$O$305,MATCH(C2095,'GIS-Standards'!$B$2:$B$305,0))</f>
        <v>#N/A</v>
      </c>
      <c r="M2095" t="s">
        <v>525</v>
      </c>
      <c r="N2095">
        <f>INDEX('GIS-Standards'!$I$2:$I$305,MATCH(B2095,'GIS-Standards'!$B$2:$B$305,0))</f>
        <v>0</v>
      </c>
      <c r="O2095" t="e">
        <f>INDEX('GIS-Standards'!$I$2:$I$305,MATCH(C2095,'GIS-Standards'!$B$2:$B$305,0))</f>
        <v>#N/A</v>
      </c>
      <c r="P2095" t="e">
        <f>AND(TableRelationships12[[#This Row],[Source Type]]="BIM",TableRelationships12[[#This Row],[Target Type]]="BIM")</f>
        <v>#N/A</v>
      </c>
      <c r="Q2095">
        <f t="shared" si="96"/>
        <v>1</v>
      </c>
      <c r="S2095">
        <f t="shared" si="97"/>
        <v>1</v>
      </c>
      <c r="T2095" s="102" t="str">
        <f>IF(TableRelationships12[[#This Row],[Rank Pedro]]="Low","linkCategory1",IF(TableRelationships12[[#This Row],[Rank Pedro]]="Medium","linkCategory2",IF(TableRelationships12[[#This Row],[Rank Pedro]]="High","linkCategory3","")))</f>
        <v/>
      </c>
      <c r="U2095" s="102" t="str">
        <f>IF(TableRelationships12[[#This Row],[Rank Pedro]]="Low","Pink",IF(TableRelationships12[[#This Row],[Rank Pedro]]="Medium","Purple",IF(TableRelationships12[[#This Row],[Rank Pedro]]="High","Brown","")))</f>
        <v/>
      </c>
      <c r="V2095" s="4" t="e">
        <f>MAX(INDEX(Standards!$F$2:$F$296,MATCH(B2095,Standards!$B$2:$B$296,0)),INDEX(Standards!$F$2:$F$296,MATCH(C2095,Standards!$B$2:$B$296,0)))</f>
        <v>#N/A</v>
      </c>
      <c r="W2095" t="str">
        <f t="shared" si="98"/>
        <v>#2f89d1</v>
      </c>
    </row>
    <row r="2096" spans="1:23" x14ac:dyDescent="0.5">
      <c r="A2096" s="54">
        <v>2095</v>
      </c>
      <c r="B2096" s="90" t="s">
        <v>1696</v>
      </c>
      <c r="C2096" t="s">
        <v>2004</v>
      </c>
      <c r="D2096" s="1"/>
      <c r="E2096" s="112">
        <v>2006.04</v>
      </c>
      <c r="F2096" s="112">
        <v>2017.02</v>
      </c>
      <c r="G2096" s="107" t="s">
        <v>2005</v>
      </c>
      <c r="H2096">
        <f>INDEX('GIS-Standards'!$A$2:$A$305,MATCH(B2096,'GIS-Standards'!$B$2:$B$305,0))</f>
        <v>94</v>
      </c>
      <c r="I2096" t="e">
        <f>INDEX('GIS-Standards'!$A$2:$A$305,MATCH(C2096,'GIS-Standards'!$B$2:$B$305,0))</f>
        <v>#N/A</v>
      </c>
      <c r="J2096" t="str">
        <f>INDEX('GIS-Standards'!$O$2:$O$305,MATCH(B2096,'GIS-Standards'!$B$2:$B$305,0))</f>
        <v>ISO/TC 184</v>
      </c>
      <c r="K2096" t="e">
        <f>INDEX('GIS-Standards'!$O$2:$O$305,MATCH(C2096,'GIS-Standards'!$B$2:$B$305,0))</f>
        <v>#N/A</v>
      </c>
      <c r="M2096" t="s">
        <v>525</v>
      </c>
      <c r="N2096">
        <f>INDEX('GIS-Standards'!$I$2:$I$305,MATCH(B2096,'GIS-Standards'!$B$2:$B$305,0))</f>
        <v>0</v>
      </c>
      <c r="O2096" t="e">
        <f>INDEX('GIS-Standards'!$I$2:$I$305,MATCH(C2096,'GIS-Standards'!$B$2:$B$305,0))</f>
        <v>#N/A</v>
      </c>
      <c r="P2096" t="e">
        <f>AND(TableRelationships12[[#This Row],[Source Type]]="BIM",TableRelationships12[[#This Row],[Target Type]]="BIM")</f>
        <v>#N/A</v>
      </c>
      <c r="Q2096">
        <f t="shared" si="96"/>
        <v>1</v>
      </c>
      <c r="S2096">
        <f t="shared" si="97"/>
        <v>1</v>
      </c>
      <c r="T2096" s="102" t="str">
        <f>IF(TableRelationships12[[#This Row],[Rank Pedro]]="Low","linkCategory1",IF(TableRelationships12[[#This Row],[Rank Pedro]]="Medium","linkCategory2",IF(TableRelationships12[[#This Row],[Rank Pedro]]="High","linkCategory3","")))</f>
        <v/>
      </c>
      <c r="U2096" s="102" t="str">
        <f>IF(TableRelationships12[[#This Row],[Rank Pedro]]="Low","Pink",IF(TableRelationships12[[#This Row],[Rank Pedro]]="Medium","Purple",IF(TableRelationships12[[#This Row],[Rank Pedro]]="High","Brown","")))</f>
        <v/>
      </c>
      <c r="V2096" s="4" t="e">
        <f>MAX(INDEX(Standards!$F$2:$F$296,MATCH(B2096,Standards!$B$2:$B$296,0)),INDEX(Standards!$F$2:$F$296,MATCH(C2096,Standards!$B$2:$B$296,0)))</f>
        <v>#N/A</v>
      </c>
      <c r="W2096" t="str">
        <f t="shared" si="98"/>
        <v>#2f89d1</v>
      </c>
    </row>
    <row r="2097" spans="1:23" x14ac:dyDescent="0.5">
      <c r="A2097" s="54">
        <v>2096</v>
      </c>
      <c r="B2097" s="90" t="s">
        <v>1696</v>
      </c>
      <c r="C2097" t="s">
        <v>1124</v>
      </c>
      <c r="D2097" s="1"/>
      <c r="E2097" s="112">
        <v>2001.09</v>
      </c>
      <c r="F2097" s="112">
        <v>2016.04</v>
      </c>
      <c r="G2097" s="107" t="s">
        <v>1457</v>
      </c>
      <c r="H2097">
        <f>INDEX('GIS-Standards'!$A$2:$A$305,MATCH(B2097,'GIS-Standards'!$B$2:$B$305,0))</f>
        <v>94</v>
      </c>
      <c r="I2097" t="e">
        <f>INDEX('GIS-Standards'!$A$2:$A$305,MATCH(C2097,'GIS-Standards'!$B$2:$B$305,0))</f>
        <v>#N/A</v>
      </c>
      <c r="J2097" t="str">
        <f>INDEX('GIS-Standards'!$O$2:$O$305,MATCH(B2097,'GIS-Standards'!$B$2:$B$305,0))</f>
        <v>ISO/TC 184</v>
      </c>
      <c r="K2097" t="e">
        <f>INDEX('GIS-Standards'!$O$2:$O$305,MATCH(C2097,'GIS-Standards'!$B$2:$B$305,0))</f>
        <v>#N/A</v>
      </c>
      <c r="M2097" t="s">
        <v>525</v>
      </c>
      <c r="N2097">
        <f>INDEX('GIS-Standards'!$I$2:$I$305,MATCH(B2097,'GIS-Standards'!$B$2:$B$305,0))</f>
        <v>0</v>
      </c>
      <c r="O2097" t="e">
        <f>INDEX('GIS-Standards'!$I$2:$I$305,MATCH(C2097,'GIS-Standards'!$B$2:$B$305,0))</f>
        <v>#N/A</v>
      </c>
      <c r="P2097" t="e">
        <f>AND(TableRelationships12[[#This Row],[Source Type]]="BIM",TableRelationships12[[#This Row],[Target Type]]="BIM")</f>
        <v>#N/A</v>
      </c>
      <c r="Q2097">
        <f t="shared" si="96"/>
        <v>1</v>
      </c>
      <c r="S2097">
        <f t="shared" si="97"/>
        <v>1</v>
      </c>
      <c r="T2097" s="102" t="str">
        <f>IF(TableRelationships12[[#This Row],[Rank Pedro]]="Low","linkCategory1",IF(TableRelationships12[[#This Row],[Rank Pedro]]="Medium","linkCategory2",IF(TableRelationships12[[#This Row],[Rank Pedro]]="High","linkCategory3","")))</f>
        <v/>
      </c>
      <c r="U2097" s="102" t="str">
        <f>IF(TableRelationships12[[#This Row],[Rank Pedro]]="Low","Pink",IF(TableRelationships12[[#This Row],[Rank Pedro]]="Medium","Purple",IF(TableRelationships12[[#This Row],[Rank Pedro]]="High","Brown","")))</f>
        <v/>
      </c>
      <c r="V2097" s="4" t="e">
        <f>MAX(INDEX(Standards!$F$2:$F$296,MATCH(B2097,Standards!$B$2:$B$296,0)),INDEX(Standards!$F$2:$F$296,MATCH(C2097,Standards!$B$2:$B$296,0)))</f>
        <v>#N/A</v>
      </c>
      <c r="W2097" t="str">
        <f t="shared" si="98"/>
        <v>#2f89d1</v>
      </c>
    </row>
    <row r="2098" spans="1:23" x14ac:dyDescent="0.5">
      <c r="A2098" s="54">
        <v>2097</v>
      </c>
      <c r="B2098" s="90" t="s">
        <v>1696</v>
      </c>
      <c r="C2098" t="s">
        <v>1770</v>
      </c>
      <c r="D2098" s="1"/>
      <c r="E2098" s="112">
        <v>2011.12</v>
      </c>
      <c r="F2098" s="112">
        <v>2018.11</v>
      </c>
      <c r="G2098" s="107" t="s">
        <v>1502</v>
      </c>
      <c r="H2098">
        <f>INDEX('GIS-Standards'!$A$2:$A$305,MATCH(B2098,'GIS-Standards'!$B$2:$B$305,0))</f>
        <v>94</v>
      </c>
      <c r="I2098" t="e">
        <f>INDEX('GIS-Standards'!$A$2:$A$305,MATCH(C2098,'GIS-Standards'!$B$2:$B$305,0))</f>
        <v>#N/A</v>
      </c>
      <c r="J2098" t="str">
        <f>INDEX('GIS-Standards'!$O$2:$O$305,MATCH(B2098,'GIS-Standards'!$B$2:$B$305,0))</f>
        <v>ISO/TC 184</v>
      </c>
      <c r="K2098" t="e">
        <f>INDEX('GIS-Standards'!$O$2:$O$305,MATCH(C2098,'GIS-Standards'!$B$2:$B$305,0))</f>
        <v>#N/A</v>
      </c>
      <c r="M2098" t="s">
        <v>525</v>
      </c>
      <c r="N2098">
        <f>INDEX('GIS-Standards'!$I$2:$I$305,MATCH(B2098,'GIS-Standards'!$B$2:$B$305,0))</f>
        <v>0</v>
      </c>
      <c r="O2098" t="e">
        <f>INDEX('GIS-Standards'!$I$2:$I$305,MATCH(C2098,'GIS-Standards'!$B$2:$B$305,0))</f>
        <v>#N/A</v>
      </c>
      <c r="P2098" t="e">
        <f>AND(TableRelationships12[[#This Row],[Source Type]]="BIM",TableRelationships12[[#This Row],[Target Type]]="BIM")</f>
        <v>#N/A</v>
      </c>
      <c r="Q2098">
        <f t="shared" si="96"/>
        <v>1</v>
      </c>
      <c r="S2098">
        <f t="shared" si="97"/>
        <v>1</v>
      </c>
      <c r="T2098" s="102" t="str">
        <f>IF(TableRelationships12[[#This Row],[Rank Pedro]]="Low","linkCategory1",IF(TableRelationships12[[#This Row],[Rank Pedro]]="Medium","linkCategory2",IF(TableRelationships12[[#This Row],[Rank Pedro]]="High","linkCategory3","")))</f>
        <v/>
      </c>
      <c r="U2098" s="102" t="str">
        <f>IF(TableRelationships12[[#This Row],[Rank Pedro]]="Low","Pink",IF(TableRelationships12[[#This Row],[Rank Pedro]]="Medium","Purple",IF(TableRelationships12[[#This Row],[Rank Pedro]]="High","Brown","")))</f>
        <v/>
      </c>
      <c r="V2098" s="4" t="e">
        <f>MAX(INDEX(Standards!$F$2:$F$296,MATCH(B2098,Standards!$B$2:$B$296,0)),INDEX(Standards!$F$2:$F$296,MATCH(C2098,Standards!$B$2:$B$296,0)))</f>
        <v>#N/A</v>
      </c>
      <c r="W2098" t="str">
        <f t="shared" si="98"/>
        <v>#2f89d1</v>
      </c>
    </row>
    <row r="2099" spans="1:23" x14ac:dyDescent="0.5">
      <c r="A2099" s="54">
        <v>2098</v>
      </c>
      <c r="B2099" s="90" t="s">
        <v>1696</v>
      </c>
      <c r="C2099" t="s">
        <v>1771</v>
      </c>
      <c r="D2099" s="1" t="s">
        <v>1676</v>
      </c>
      <c r="E2099" s="112">
        <v>2009.1</v>
      </c>
      <c r="F2099" s="112">
        <v>2019.08</v>
      </c>
      <c r="G2099" s="107" t="s">
        <v>2031</v>
      </c>
      <c r="H2099">
        <f>INDEX('GIS-Standards'!$A$2:$A$305,MATCH(B2099,'GIS-Standards'!$B$2:$B$305,0))</f>
        <v>94</v>
      </c>
      <c r="I2099" t="e">
        <f>INDEX('GIS-Standards'!$A$2:$A$305,MATCH(C2099,'GIS-Standards'!$B$2:$B$305,0))</f>
        <v>#N/A</v>
      </c>
      <c r="J2099" t="str">
        <f>INDEX('GIS-Standards'!$O$2:$O$305,MATCH(B2099,'GIS-Standards'!$B$2:$B$305,0))</f>
        <v>ISO/TC 184</v>
      </c>
      <c r="K2099" t="e">
        <f>INDEX('GIS-Standards'!$O$2:$O$305,MATCH(C2099,'GIS-Standards'!$B$2:$B$305,0))</f>
        <v>#N/A</v>
      </c>
      <c r="M2099" t="s">
        <v>525</v>
      </c>
      <c r="N2099">
        <f>INDEX('GIS-Standards'!$I$2:$I$305,MATCH(B2099,'GIS-Standards'!$B$2:$B$305,0))</f>
        <v>0</v>
      </c>
      <c r="O2099" t="e">
        <f>INDEX('GIS-Standards'!$I$2:$I$305,MATCH(C2099,'GIS-Standards'!$B$2:$B$305,0))</f>
        <v>#N/A</v>
      </c>
      <c r="P2099" t="e">
        <f>AND(TableRelationships12[[#This Row],[Source Type]]="BIM",TableRelationships12[[#This Row],[Target Type]]="BIM")</f>
        <v>#N/A</v>
      </c>
      <c r="Q2099">
        <f t="shared" si="96"/>
        <v>1</v>
      </c>
      <c r="S2099">
        <f t="shared" si="97"/>
        <v>1</v>
      </c>
      <c r="T2099" s="102" t="str">
        <f>IF(TableRelationships12[[#This Row],[Rank Pedro]]="Low","linkCategory1",IF(TableRelationships12[[#This Row],[Rank Pedro]]="Medium","linkCategory2",IF(TableRelationships12[[#This Row],[Rank Pedro]]="High","linkCategory3","")))</f>
        <v/>
      </c>
      <c r="U2099" s="102" t="str">
        <f>IF(TableRelationships12[[#This Row],[Rank Pedro]]="Low","Pink",IF(TableRelationships12[[#This Row],[Rank Pedro]]="Medium","Purple",IF(TableRelationships12[[#This Row],[Rank Pedro]]="High","Brown","")))</f>
        <v/>
      </c>
      <c r="V2099" s="4" t="e">
        <f>MAX(INDEX(Standards!$F$2:$F$296,MATCH(B2099,Standards!$B$2:$B$296,0)),INDEX(Standards!$F$2:$F$296,MATCH(C2099,Standards!$B$2:$B$296,0)))</f>
        <v>#N/A</v>
      </c>
      <c r="W2099" t="str">
        <f t="shared" si="98"/>
        <v>#2f89d1</v>
      </c>
    </row>
    <row r="2100" spans="1:23" x14ac:dyDescent="0.5">
      <c r="A2100" s="54">
        <v>2099</v>
      </c>
      <c r="B2100" s="90" t="s">
        <v>1696</v>
      </c>
      <c r="C2100" t="s">
        <v>1764</v>
      </c>
      <c r="D2100" s="1"/>
      <c r="E2100" s="112">
        <v>2015.02</v>
      </c>
      <c r="F2100" s="112">
        <v>2022.08</v>
      </c>
      <c r="G2100" s="107" t="s">
        <v>1865</v>
      </c>
      <c r="H2100">
        <f>INDEX('GIS-Standards'!$A$2:$A$305,MATCH(B2100,'GIS-Standards'!$B$2:$B$305,0))</f>
        <v>94</v>
      </c>
      <c r="I2100" t="e">
        <f>INDEX('GIS-Standards'!$A$2:$A$305,MATCH(C2100,'GIS-Standards'!$B$2:$B$305,0))</f>
        <v>#N/A</v>
      </c>
      <c r="J2100" t="str">
        <f>INDEX('GIS-Standards'!$O$2:$O$305,MATCH(B2100,'GIS-Standards'!$B$2:$B$305,0))</f>
        <v>ISO/TC 184</v>
      </c>
      <c r="K2100" t="e">
        <f>INDEX('GIS-Standards'!$O$2:$O$305,MATCH(C2100,'GIS-Standards'!$B$2:$B$305,0))</f>
        <v>#N/A</v>
      </c>
      <c r="M2100" t="s">
        <v>525</v>
      </c>
      <c r="N2100">
        <f>INDEX('GIS-Standards'!$I$2:$I$305,MATCH(B2100,'GIS-Standards'!$B$2:$B$305,0))</f>
        <v>0</v>
      </c>
      <c r="O2100" t="e">
        <f>INDEX('GIS-Standards'!$I$2:$I$305,MATCH(C2100,'GIS-Standards'!$B$2:$B$305,0))</f>
        <v>#N/A</v>
      </c>
      <c r="P2100" t="e">
        <f>AND(TableRelationships12[[#This Row],[Source Type]]="BIM",TableRelationships12[[#This Row],[Target Type]]="BIM")</f>
        <v>#N/A</v>
      </c>
      <c r="Q2100">
        <f t="shared" si="96"/>
        <v>1</v>
      </c>
      <c r="S2100">
        <f t="shared" si="97"/>
        <v>1</v>
      </c>
      <c r="T2100" s="102" t="str">
        <f>IF(TableRelationships12[[#This Row],[Rank Pedro]]="Low","linkCategory1",IF(TableRelationships12[[#This Row],[Rank Pedro]]="Medium","linkCategory2",IF(TableRelationships12[[#This Row],[Rank Pedro]]="High","linkCategory3","")))</f>
        <v/>
      </c>
      <c r="U2100" s="102" t="str">
        <f>IF(TableRelationships12[[#This Row],[Rank Pedro]]="Low","Pink",IF(TableRelationships12[[#This Row],[Rank Pedro]]="Medium","Purple",IF(TableRelationships12[[#This Row],[Rank Pedro]]="High","Brown","")))</f>
        <v/>
      </c>
      <c r="V2100" s="4" t="e">
        <f>MAX(INDEX(Standards!$F$2:$F$296,MATCH(B2100,Standards!$B$2:$B$296,0)),INDEX(Standards!$F$2:$F$296,MATCH(C2100,Standards!$B$2:$B$296,0)))</f>
        <v>#N/A</v>
      </c>
      <c r="W2100" t="str">
        <f t="shared" si="98"/>
        <v>#2f89d1</v>
      </c>
    </row>
    <row r="2101" spans="1:23" x14ac:dyDescent="0.5">
      <c r="A2101" s="54">
        <v>2100</v>
      </c>
      <c r="B2101" s="90" t="s">
        <v>1696</v>
      </c>
      <c r="C2101" t="s">
        <v>484</v>
      </c>
      <c r="D2101" s="1" t="s">
        <v>1772</v>
      </c>
      <c r="E2101" s="112">
        <v>2020.11</v>
      </c>
      <c r="F2101" s="112">
        <v>2024.07</v>
      </c>
      <c r="G2101" s="107" t="s">
        <v>2003</v>
      </c>
      <c r="H2101">
        <f>INDEX('GIS-Standards'!$A$2:$A$305,MATCH(B2101,'GIS-Standards'!$B$2:$B$305,0))</f>
        <v>94</v>
      </c>
      <c r="I2101" t="e">
        <f>INDEX('GIS-Standards'!$A$2:$A$305,MATCH(C2101,'GIS-Standards'!$B$2:$B$305,0))</f>
        <v>#N/A</v>
      </c>
      <c r="J2101" t="str">
        <f>INDEX('GIS-Standards'!$O$2:$O$305,MATCH(B2101,'GIS-Standards'!$B$2:$B$305,0))</f>
        <v>ISO/TC 184</v>
      </c>
      <c r="K2101" t="e">
        <f>INDEX('GIS-Standards'!$O$2:$O$305,MATCH(C2101,'GIS-Standards'!$B$2:$B$305,0))</f>
        <v>#N/A</v>
      </c>
      <c r="M2101" t="s">
        <v>525</v>
      </c>
      <c r="N2101">
        <f>INDEX('GIS-Standards'!$I$2:$I$305,MATCH(B2101,'GIS-Standards'!$B$2:$B$305,0))</f>
        <v>0</v>
      </c>
      <c r="O2101" t="e">
        <f>INDEX('GIS-Standards'!$I$2:$I$305,MATCH(C2101,'GIS-Standards'!$B$2:$B$305,0))</f>
        <v>#N/A</v>
      </c>
      <c r="P2101" t="e">
        <f>AND(TableRelationships12[[#This Row],[Source Type]]="BIM",TableRelationships12[[#This Row],[Target Type]]="BIM")</f>
        <v>#N/A</v>
      </c>
      <c r="Q2101">
        <f t="shared" si="96"/>
        <v>1</v>
      </c>
      <c r="S2101">
        <f t="shared" si="97"/>
        <v>1</v>
      </c>
      <c r="T2101" s="102" t="str">
        <f>IF(TableRelationships12[[#This Row],[Rank Pedro]]="Low","linkCategory1",IF(TableRelationships12[[#This Row],[Rank Pedro]]="Medium","linkCategory2",IF(TableRelationships12[[#This Row],[Rank Pedro]]="High","linkCategory3","")))</f>
        <v/>
      </c>
      <c r="U2101" s="102" t="str">
        <f>IF(TableRelationships12[[#This Row],[Rank Pedro]]="Low","Pink",IF(TableRelationships12[[#This Row],[Rank Pedro]]="Medium","Purple",IF(TableRelationships12[[#This Row],[Rank Pedro]]="High","Brown","")))</f>
        <v/>
      </c>
      <c r="V2101" s="4" t="e">
        <f>MAX(INDEX(Standards!$F$2:$F$296,MATCH(B2101,Standards!$B$2:$B$296,0)),INDEX(Standards!$F$2:$F$296,MATCH(C2101,Standards!$B$2:$B$296,0)))</f>
        <v>#N/A</v>
      </c>
      <c r="W2101" t="str">
        <f t="shared" si="98"/>
        <v>#2f89d1</v>
      </c>
    </row>
    <row r="2102" spans="1:23" x14ac:dyDescent="0.5">
      <c r="A2102" s="54">
        <v>2101</v>
      </c>
      <c r="B2102" s="90" t="s">
        <v>1696</v>
      </c>
      <c r="C2102" t="s">
        <v>51</v>
      </c>
      <c r="D2102" s="1" t="s">
        <v>1773</v>
      </c>
      <c r="E2102" s="112">
        <v>2022.12</v>
      </c>
      <c r="F2102" s="112">
        <v>2022.12</v>
      </c>
      <c r="G2102" s="107" t="s">
        <v>2003</v>
      </c>
      <c r="H2102">
        <f>INDEX('GIS-Standards'!$A$2:$A$305,MATCH(B2102,'GIS-Standards'!$B$2:$B$305,0))</f>
        <v>94</v>
      </c>
      <c r="I2102" t="e">
        <f>INDEX('GIS-Standards'!$A$2:$A$305,MATCH(C2102,'GIS-Standards'!$B$2:$B$305,0))</f>
        <v>#N/A</v>
      </c>
      <c r="J2102" t="str">
        <f>INDEX('GIS-Standards'!$O$2:$O$305,MATCH(B2102,'GIS-Standards'!$B$2:$B$305,0))</f>
        <v>ISO/TC 184</v>
      </c>
      <c r="K2102" t="e">
        <f>INDEX('GIS-Standards'!$O$2:$O$305,MATCH(C2102,'GIS-Standards'!$B$2:$B$305,0))</f>
        <v>#N/A</v>
      </c>
      <c r="M2102" t="s">
        <v>525</v>
      </c>
      <c r="N2102">
        <f>INDEX('GIS-Standards'!$I$2:$I$305,MATCH(B2102,'GIS-Standards'!$B$2:$B$305,0))</f>
        <v>0</v>
      </c>
      <c r="O2102" t="e">
        <f>INDEX('GIS-Standards'!$I$2:$I$305,MATCH(C2102,'GIS-Standards'!$B$2:$B$305,0))</f>
        <v>#N/A</v>
      </c>
      <c r="P2102" t="e">
        <f>AND(TableRelationships12[[#This Row],[Source Type]]="BIM",TableRelationships12[[#This Row],[Target Type]]="BIM")</f>
        <v>#N/A</v>
      </c>
      <c r="Q2102">
        <f t="shared" si="96"/>
        <v>1</v>
      </c>
      <c r="S2102">
        <f t="shared" si="97"/>
        <v>1</v>
      </c>
      <c r="T2102" s="102" t="str">
        <f>IF(TableRelationships12[[#This Row],[Rank Pedro]]="Low","linkCategory1",IF(TableRelationships12[[#This Row],[Rank Pedro]]="Medium","linkCategory2",IF(TableRelationships12[[#This Row],[Rank Pedro]]="High","linkCategory3","")))</f>
        <v/>
      </c>
      <c r="U2102" s="102" t="str">
        <f>IF(TableRelationships12[[#This Row],[Rank Pedro]]="Low","Pink",IF(TableRelationships12[[#This Row],[Rank Pedro]]="Medium","Purple",IF(TableRelationships12[[#This Row],[Rank Pedro]]="High","Brown","")))</f>
        <v/>
      </c>
      <c r="V2102" s="4" t="e">
        <f>MAX(INDEX(Standards!$F$2:$F$296,MATCH(B2102,Standards!$B$2:$B$296,0)),INDEX(Standards!$F$2:$F$296,MATCH(C2102,Standards!$B$2:$B$296,0)))</f>
        <v>#N/A</v>
      </c>
      <c r="W2102" t="str">
        <f t="shared" si="98"/>
        <v>#2f89d1</v>
      </c>
    </row>
    <row r="2103" spans="1:23" x14ac:dyDescent="0.5">
      <c r="A2103" s="54">
        <v>2102</v>
      </c>
      <c r="B2103" s="90" t="s">
        <v>1696</v>
      </c>
      <c r="C2103" t="s">
        <v>210</v>
      </c>
      <c r="D2103" s="1" t="s">
        <v>2060</v>
      </c>
      <c r="E2103" s="112">
        <v>2018.12</v>
      </c>
      <c r="F2103" s="112">
        <v>2018.12</v>
      </c>
      <c r="G2103" s="107" t="s">
        <v>2061</v>
      </c>
      <c r="H2103">
        <f>INDEX('GIS-Standards'!$A$2:$A$305,MATCH(B2103,'GIS-Standards'!$B$2:$B$305,0))</f>
        <v>94</v>
      </c>
      <c r="I2103" t="e">
        <f>INDEX('GIS-Standards'!$A$2:$A$305,MATCH(C2103,'GIS-Standards'!$B$2:$B$305,0))</f>
        <v>#N/A</v>
      </c>
      <c r="J2103" t="str">
        <f>INDEX('GIS-Standards'!$O$2:$O$305,MATCH(B2103,'GIS-Standards'!$B$2:$B$305,0))</f>
        <v>ISO/TC 184</v>
      </c>
      <c r="K2103" t="e">
        <f>INDEX('GIS-Standards'!$O$2:$O$305,MATCH(C2103,'GIS-Standards'!$B$2:$B$305,0))</f>
        <v>#N/A</v>
      </c>
      <c r="M2103" t="s">
        <v>525</v>
      </c>
      <c r="N2103">
        <f>INDEX('GIS-Standards'!$I$2:$I$305,MATCH(B2103,'GIS-Standards'!$B$2:$B$305,0))</f>
        <v>0</v>
      </c>
      <c r="O2103" t="e">
        <f>INDEX('GIS-Standards'!$I$2:$I$305,MATCH(C2103,'GIS-Standards'!$B$2:$B$305,0))</f>
        <v>#N/A</v>
      </c>
      <c r="P2103" t="e">
        <f>AND(TableRelationships12[[#This Row],[Source Type]]="BIM",TableRelationships12[[#This Row],[Target Type]]="BIM")</f>
        <v>#N/A</v>
      </c>
      <c r="Q2103">
        <f t="shared" si="96"/>
        <v>1</v>
      </c>
      <c r="S2103">
        <f t="shared" si="97"/>
        <v>1</v>
      </c>
      <c r="T2103" s="102" t="str">
        <f>IF(TableRelationships12[[#This Row],[Rank Pedro]]="Low","linkCategory1",IF(TableRelationships12[[#This Row],[Rank Pedro]]="Medium","linkCategory2",IF(TableRelationships12[[#This Row],[Rank Pedro]]="High","linkCategory3","")))</f>
        <v/>
      </c>
      <c r="U2103" s="102" t="str">
        <f>IF(TableRelationships12[[#This Row],[Rank Pedro]]="Low","Pink",IF(TableRelationships12[[#This Row],[Rank Pedro]]="Medium","Purple",IF(TableRelationships12[[#This Row],[Rank Pedro]]="High","Brown","")))</f>
        <v/>
      </c>
      <c r="V2103" s="4" t="e">
        <f>MAX(INDEX(Standards!$F$2:$F$296,MATCH(B2103,Standards!$B$2:$B$296,0)),INDEX(Standards!$F$2:$F$296,MATCH(C2103,Standards!$B$2:$B$296,0)))</f>
        <v>#N/A</v>
      </c>
      <c r="W2103" t="str">
        <f t="shared" si="98"/>
        <v>#2f89d1</v>
      </c>
    </row>
    <row r="2104" spans="1:23" x14ac:dyDescent="0.5">
      <c r="A2104" s="54">
        <v>2103</v>
      </c>
      <c r="B2104" s="90" t="s">
        <v>1696</v>
      </c>
      <c r="C2104" t="s">
        <v>74</v>
      </c>
      <c r="D2104" s="1"/>
      <c r="E2104" s="112">
        <v>2014.01</v>
      </c>
      <c r="F2104" s="112">
        <v>2024.07</v>
      </c>
      <c r="G2104" s="107" t="s">
        <v>2089</v>
      </c>
      <c r="H2104">
        <f>INDEX('GIS-Standards'!$A$2:$A$305,MATCH(B2104,'GIS-Standards'!$B$2:$B$305,0))</f>
        <v>94</v>
      </c>
      <c r="I2104" t="e">
        <f>INDEX('GIS-Standards'!$A$2:$A$305,MATCH(C2104,'GIS-Standards'!$B$2:$B$305,0))</f>
        <v>#N/A</v>
      </c>
      <c r="J2104" t="str">
        <f>INDEX('GIS-Standards'!$O$2:$O$305,MATCH(B2104,'GIS-Standards'!$B$2:$B$305,0))</f>
        <v>ISO/TC 184</v>
      </c>
      <c r="K2104" t="e">
        <f>INDEX('GIS-Standards'!$O$2:$O$305,MATCH(C2104,'GIS-Standards'!$B$2:$B$305,0))</f>
        <v>#N/A</v>
      </c>
      <c r="M2104" t="s">
        <v>525</v>
      </c>
      <c r="N2104">
        <f>INDEX('GIS-Standards'!$I$2:$I$305,MATCH(B2104,'GIS-Standards'!$B$2:$B$305,0))</f>
        <v>0</v>
      </c>
      <c r="O2104" t="e">
        <f>INDEX('GIS-Standards'!$I$2:$I$305,MATCH(C2104,'GIS-Standards'!$B$2:$B$305,0))</f>
        <v>#N/A</v>
      </c>
      <c r="P2104" t="e">
        <f>AND(TableRelationships12[[#This Row],[Source Type]]="BIM",TableRelationships12[[#This Row],[Target Type]]="BIM")</f>
        <v>#N/A</v>
      </c>
      <c r="Q2104">
        <f t="shared" si="96"/>
        <v>1</v>
      </c>
      <c r="S2104">
        <f t="shared" si="97"/>
        <v>1</v>
      </c>
      <c r="T2104" s="102" t="str">
        <f>IF(TableRelationships12[[#This Row],[Rank Pedro]]="Low","linkCategory1",IF(TableRelationships12[[#This Row],[Rank Pedro]]="Medium","linkCategory2",IF(TableRelationships12[[#This Row],[Rank Pedro]]="High","linkCategory3","")))</f>
        <v/>
      </c>
      <c r="U2104" s="102" t="str">
        <f>IF(TableRelationships12[[#This Row],[Rank Pedro]]="Low","Pink",IF(TableRelationships12[[#This Row],[Rank Pedro]]="Medium","Purple",IF(TableRelationships12[[#This Row],[Rank Pedro]]="High","Brown","")))</f>
        <v/>
      </c>
      <c r="V2104" s="4" t="e">
        <f>MAX(INDEX(Standards!$F$2:$F$296,MATCH(B2104,Standards!$B$2:$B$296,0)),INDEX(Standards!$F$2:$F$296,MATCH(C2104,Standards!$B$2:$B$296,0)))</f>
        <v>#N/A</v>
      </c>
      <c r="W2104" t="str">
        <f t="shared" si="98"/>
        <v>#2f89d1</v>
      </c>
    </row>
    <row r="2105" spans="1:23" x14ac:dyDescent="0.5">
      <c r="A2105" s="54">
        <v>2104</v>
      </c>
      <c r="B2105" s="90" t="s">
        <v>1696</v>
      </c>
      <c r="C2105" t="s">
        <v>1775</v>
      </c>
      <c r="D2105" s="1"/>
      <c r="G2105" s="107"/>
      <c r="H2105">
        <f>INDEX('GIS-Standards'!$A$2:$A$305,MATCH(B2105,'GIS-Standards'!$B$2:$B$305,0))</f>
        <v>94</v>
      </c>
      <c r="I2105" t="e">
        <f>INDEX('GIS-Standards'!$A$2:$A$305,MATCH(C2105,'GIS-Standards'!$B$2:$B$305,0))</f>
        <v>#N/A</v>
      </c>
      <c r="J2105" t="str">
        <f>INDEX('GIS-Standards'!$O$2:$O$305,MATCH(B2105,'GIS-Standards'!$B$2:$B$305,0))</f>
        <v>ISO/TC 184</v>
      </c>
      <c r="K2105" t="e">
        <f>INDEX('GIS-Standards'!$O$2:$O$305,MATCH(C2105,'GIS-Standards'!$B$2:$B$305,0))</f>
        <v>#N/A</v>
      </c>
      <c r="M2105" t="s">
        <v>525</v>
      </c>
      <c r="N2105">
        <f>INDEX('GIS-Standards'!$I$2:$I$305,MATCH(B2105,'GIS-Standards'!$B$2:$B$305,0))</f>
        <v>0</v>
      </c>
      <c r="O2105" t="e">
        <f>INDEX('GIS-Standards'!$I$2:$I$305,MATCH(C2105,'GIS-Standards'!$B$2:$B$305,0))</f>
        <v>#N/A</v>
      </c>
      <c r="P2105" t="e">
        <f>AND(TableRelationships12[[#This Row],[Source Type]]="BIM",TableRelationships12[[#This Row],[Target Type]]="BIM")</f>
        <v>#N/A</v>
      </c>
      <c r="Q2105">
        <f t="shared" si="96"/>
        <v>1</v>
      </c>
      <c r="S2105">
        <f t="shared" si="97"/>
        <v>1</v>
      </c>
      <c r="T2105" s="102" t="str">
        <f>IF(TableRelationships12[[#This Row],[Rank Pedro]]="Low","linkCategory1",IF(TableRelationships12[[#This Row],[Rank Pedro]]="Medium","linkCategory2",IF(TableRelationships12[[#This Row],[Rank Pedro]]="High","linkCategory3","")))</f>
        <v/>
      </c>
      <c r="U2105" s="102" t="str">
        <f>IF(TableRelationships12[[#This Row],[Rank Pedro]]="Low","Pink",IF(TableRelationships12[[#This Row],[Rank Pedro]]="Medium","Purple",IF(TableRelationships12[[#This Row],[Rank Pedro]]="High","Brown","")))</f>
        <v/>
      </c>
      <c r="V2105" s="4" t="e">
        <f>MAX(INDEX(Standards!$F$2:$F$296,MATCH(B2105,Standards!$B$2:$B$296,0)),INDEX(Standards!$F$2:$F$296,MATCH(C2105,Standards!$B$2:$B$296,0)))</f>
        <v>#N/A</v>
      </c>
      <c r="W2105" t="str">
        <f t="shared" si="98"/>
        <v>#2f89d1</v>
      </c>
    </row>
    <row r="2106" spans="1:23" x14ac:dyDescent="0.5">
      <c r="A2106" s="54">
        <v>2105</v>
      </c>
      <c r="B2106" s="90" t="s">
        <v>1696</v>
      </c>
      <c r="C2106" t="s">
        <v>416</v>
      </c>
      <c r="D2106" s="1" t="s">
        <v>2027</v>
      </c>
      <c r="E2106" s="112">
        <v>2001.04</v>
      </c>
      <c r="F2106" s="112">
        <v>2001.04</v>
      </c>
      <c r="G2106" s="107" t="s">
        <v>2050</v>
      </c>
      <c r="H2106">
        <f>INDEX('GIS-Standards'!$A$2:$A$305,MATCH(B2106,'GIS-Standards'!$B$2:$B$305,0))</f>
        <v>94</v>
      </c>
      <c r="I2106" t="e">
        <f>INDEX('GIS-Standards'!$A$2:$A$305,MATCH(C2106,'GIS-Standards'!$B$2:$B$305,0))</f>
        <v>#N/A</v>
      </c>
      <c r="J2106" t="str">
        <f>INDEX('GIS-Standards'!$O$2:$O$305,MATCH(B2106,'GIS-Standards'!$B$2:$B$305,0))</f>
        <v>ISO/TC 184</v>
      </c>
      <c r="K2106" t="e">
        <f>INDEX('GIS-Standards'!$O$2:$O$305,MATCH(C2106,'GIS-Standards'!$B$2:$B$305,0))</f>
        <v>#N/A</v>
      </c>
      <c r="M2106" t="s">
        <v>525</v>
      </c>
      <c r="N2106">
        <f>INDEX('GIS-Standards'!$I$2:$I$305,MATCH(B2106,'GIS-Standards'!$B$2:$B$305,0))</f>
        <v>0</v>
      </c>
      <c r="O2106" t="e">
        <f>INDEX('GIS-Standards'!$I$2:$I$305,MATCH(C2106,'GIS-Standards'!$B$2:$B$305,0))</f>
        <v>#N/A</v>
      </c>
      <c r="P2106" t="e">
        <f>AND(TableRelationships12[[#This Row],[Source Type]]="BIM",TableRelationships12[[#This Row],[Target Type]]="BIM")</f>
        <v>#N/A</v>
      </c>
      <c r="Q2106">
        <f t="shared" si="96"/>
        <v>1</v>
      </c>
      <c r="S2106">
        <f t="shared" si="97"/>
        <v>1</v>
      </c>
      <c r="T2106" s="102" t="str">
        <f>IF(TableRelationships12[[#This Row],[Rank Pedro]]="Low","linkCategory1",IF(TableRelationships12[[#This Row],[Rank Pedro]]="Medium","linkCategory2",IF(TableRelationships12[[#This Row],[Rank Pedro]]="High","linkCategory3","")))</f>
        <v/>
      </c>
      <c r="U2106" s="102" t="str">
        <f>IF(TableRelationships12[[#This Row],[Rank Pedro]]="Low","Pink",IF(TableRelationships12[[#This Row],[Rank Pedro]]="Medium","Purple",IF(TableRelationships12[[#This Row],[Rank Pedro]]="High","Brown","")))</f>
        <v/>
      </c>
      <c r="V2106" s="4" t="e">
        <f>MAX(INDEX(Standards!$F$2:$F$296,MATCH(B2106,Standards!$B$2:$B$296,0)),INDEX(Standards!$F$2:$F$296,MATCH(C2106,Standards!$B$2:$B$296,0)))</f>
        <v>#N/A</v>
      </c>
      <c r="W2106" t="str">
        <f t="shared" si="98"/>
        <v>#2f89d1</v>
      </c>
    </row>
    <row r="2107" spans="1:23" x14ac:dyDescent="0.5">
      <c r="A2107" s="54">
        <v>2106</v>
      </c>
      <c r="B2107" s="90" t="s">
        <v>1696</v>
      </c>
      <c r="C2107" t="s">
        <v>2007</v>
      </c>
      <c r="D2107" s="1" t="s">
        <v>162</v>
      </c>
      <c r="E2107" s="112">
        <v>2010.05</v>
      </c>
      <c r="F2107" s="112">
        <v>2017.12</v>
      </c>
      <c r="G2107" s="107" t="s">
        <v>2008</v>
      </c>
      <c r="H2107">
        <f>INDEX('GIS-Standards'!$A$2:$A$305,MATCH(B2107,'GIS-Standards'!$B$2:$B$305,0))</f>
        <v>94</v>
      </c>
      <c r="I2107" t="e">
        <f>INDEX('GIS-Standards'!$A$2:$A$305,MATCH(C2107,'GIS-Standards'!$B$2:$B$305,0))</f>
        <v>#N/A</v>
      </c>
      <c r="J2107" t="str">
        <f>INDEX('GIS-Standards'!$O$2:$O$305,MATCH(B2107,'GIS-Standards'!$B$2:$B$305,0))</f>
        <v>ISO/TC 184</v>
      </c>
      <c r="K2107" t="e">
        <f>INDEX('GIS-Standards'!$O$2:$O$305,MATCH(C2107,'GIS-Standards'!$B$2:$B$305,0))</f>
        <v>#N/A</v>
      </c>
      <c r="M2107" t="s">
        <v>525</v>
      </c>
      <c r="N2107">
        <f>INDEX('GIS-Standards'!$I$2:$I$305,MATCH(B2107,'GIS-Standards'!$B$2:$B$305,0))</f>
        <v>0</v>
      </c>
      <c r="O2107" t="e">
        <f>INDEX('GIS-Standards'!$I$2:$I$305,MATCH(C2107,'GIS-Standards'!$B$2:$B$305,0))</f>
        <v>#N/A</v>
      </c>
      <c r="P2107" t="e">
        <f>AND(TableRelationships12[[#This Row],[Source Type]]="BIM",TableRelationships12[[#This Row],[Target Type]]="BIM")</f>
        <v>#N/A</v>
      </c>
      <c r="Q2107">
        <f t="shared" si="96"/>
        <v>1</v>
      </c>
      <c r="S2107">
        <f t="shared" si="97"/>
        <v>1</v>
      </c>
      <c r="T2107" s="102" t="str">
        <f>IF(TableRelationships12[[#This Row],[Rank Pedro]]="Low","linkCategory1",IF(TableRelationships12[[#This Row],[Rank Pedro]]="Medium","linkCategory2",IF(TableRelationships12[[#This Row],[Rank Pedro]]="High","linkCategory3","")))</f>
        <v/>
      </c>
      <c r="U2107" s="102" t="str">
        <f>IF(TableRelationships12[[#This Row],[Rank Pedro]]="Low","Pink",IF(TableRelationships12[[#This Row],[Rank Pedro]]="Medium","Purple",IF(TableRelationships12[[#This Row],[Rank Pedro]]="High","Brown","")))</f>
        <v/>
      </c>
      <c r="V2107" s="4" t="e">
        <f>MAX(INDEX(Standards!$F$2:$F$296,MATCH(B2107,Standards!$B$2:$B$296,0)),INDEX(Standards!$F$2:$F$296,MATCH(C2107,Standards!$B$2:$B$296,0)))</f>
        <v>#N/A</v>
      </c>
      <c r="W2107" t="str">
        <f t="shared" si="98"/>
        <v>#2f89d1</v>
      </c>
    </row>
    <row r="2108" spans="1:23" x14ac:dyDescent="0.5">
      <c r="A2108" s="54">
        <v>2107</v>
      </c>
      <c r="B2108" s="90" t="s">
        <v>1696</v>
      </c>
      <c r="C2108" t="s">
        <v>2047</v>
      </c>
      <c r="D2108" s="1" t="s">
        <v>2027</v>
      </c>
      <c r="E2108" s="112">
        <v>2006.02</v>
      </c>
      <c r="F2108" s="112">
        <v>2010.05</v>
      </c>
      <c r="G2108" s="107" t="s">
        <v>2048</v>
      </c>
      <c r="H2108">
        <f>INDEX('GIS-Standards'!$A$2:$A$305,MATCH(B2108,'GIS-Standards'!$B$2:$B$305,0))</f>
        <v>94</v>
      </c>
      <c r="I2108" t="e">
        <f>INDEX('GIS-Standards'!$A$2:$A$305,MATCH(C2108,'GIS-Standards'!$B$2:$B$305,0))</f>
        <v>#N/A</v>
      </c>
      <c r="J2108" t="str">
        <f>INDEX('GIS-Standards'!$O$2:$O$305,MATCH(B2108,'GIS-Standards'!$B$2:$B$305,0))</f>
        <v>ISO/TC 184</v>
      </c>
      <c r="K2108" t="e">
        <f>INDEX('GIS-Standards'!$O$2:$O$305,MATCH(C2108,'GIS-Standards'!$B$2:$B$305,0))</f>
        <v>#N/A</v>
      </c>
      <c r="M2108" t="s">
        <v>525</v>
      </c>
      <c r="N2108">
        <f>INDEX('GIS-Standards'!$I$2:$I$305,MATCH(B2108,'GIS-Standards'!$B$2:$B$305,0))</f>
        <v>0</v>
      </c>
      <c r="O2108" t="e">
        <f>INDEX('GIS-Standards'!$I$2:$I$305,MATCH(C2108,'GIS-Standards'!$B$2:$B$305,0))</f>
        <v>#N/A</v>
      </c>
      <c r="P2108" t="e">
        <f>AND(TableRelationships12[[#This Row],[Source Type]]="BIM",TableRelationships12[[#This Row],[Target Type]]="BIM")</f>
        <v>#N/A</v>
      </c>
      <c r="Q2108">
        <f t="shared" si="96"/>
        <v>1</v>
      </c>
      <c r="S2108">
        <f t="shared" si="97"/>
        <v>1</v>
      </c>
      <c r="T2108" s="102" t="str">
        <f>IF(TableRelationships12[[#This Row],[Rank Pedro]]="Low","linkCategory1",IF(TableRelationships12[[#This Row],[Rank Pedro]]="Medium","linkCategory2",IF(TableRelationships12[[#This Row],[Rank Pedro]]="High","linkCategory3","")))</f>
        <v/>
      </c>
      <c r="U2108" s="102" t="str">
        <f>IF(TableRelationships12[[#This Row],[Rank Pedro]]="Low","Pink",IF(TableRelationships12[[#This Row],[Rank Pedro]]="Medium","Purple",IF(TableRelationships12[[#This Row],[Rank Pedro]]="High","Brown","")))</f>
        <v/>
      </c>
      <c r="V2108" s="4" t="e">
        <f>MAX(INDEX(Standards!$F$2:$F$296,MATCH(B2108,Standards!$B$2:$B$296,0)),INDEX(Standards!$F$2:$F$296,MATCH(C2108,Standards!$B$2:$B$296,0)))</f>
        <v>#N/A</v>
      </c>
      <c r="W2108" t="str">
        <f t="shared" si="98"/>
        <v>#2f89d1</v>
      </c>
    </row>
    <row r="2109" spans="1:23" x14ac:dyDescent="0.5">
      <c r="A2109" s="54">
        <v>2108</v>
      </c>
      <c r="B2109" s="90" t="s">
        <v>1696</v>
      </c>
      <c r="C2109" t="s">
        <v>160</v>
      </c>
      <c r="D2109" s="1"/>
      <c r="E2109" s="112">
        <v>1994.12</v>
      </c>
      <c r="F2109" s="112">
        <v>2025.11</v>
      </c>
      <c r="G2109" s="107" t="s">
        <v>2035</v>
      </c>
      <c r="H2109">
        <f>INDEX('GIS-Standards'!$A$2:$A$305,MATCH(B2109,'GIS-Standards'!$B$2:$B$305,0))</f>
        <v>94</v>
      </c>
      <c r="I2109" t="e">
        <f>INDEX('GIS-Standards'!$A$2:$A$305,MATCH(C2109,'GIS-Standards'!$B$2:$B$305,0))</f>
        <v>#N/A</v>
      </c>
      <c r="J2109" t="str">
        <f>INDEX('GIS-Standards'!$O$2:$O$305,MATCH(B2109,'GIS-Standards'!$B$2:$B$305,0))</f>
        <v>ISO/TC 184</v>
      </c>
      <c r="K2109" t="e">
        <f>INDEX('GIS-Standards'!$O$2:$O$305,MATCH(C2109,'GIS-Standards'!$B$2:$B$305,0))</f>
        <v>#N/A</v>
      </c>
      <c r="M2109" t="s">
        <v>525</v>
      </c>
      <c r="N2109">
        <f>INDEX('GIS-Standards'!$I$2:$I$305,MATCH(B2109,'GIS-Standards'!$B$2:$B$305,0))</f>
        <v>0</v>
      </c>
      <c r="O2109" t="e">
        <f>INDEX('GIS-Standards'!$I$2:$I$305,MATCH(C2109,'GIS-Standards'!$B$2:$B$305,0))</f>
        <v>#N/A</v>
      </c>
      <c r="P2109" t="e">
        <f>AND(TableRelationships12[[#This Row],[Source Type]]="BIM",TableRelationships12[[#This Row],[Target Type]]="BIM")</f>
        <v>#N/A</v>
      </c>
      <c r="Q2109">
        <f t="shared" si="96"/>
        <v>1</v>
      </c>
      <c r="S2109">
        <f t="shared" si="97"/>
        <v>1</v>
      </c>
      <c r="T2109" s="102" t="str">
        <f>IF(TableRelationships12[[#This Row],[Rank Pedro]]="Low","linkCategory1",IF(TableRelationships12[[#This Row],[Rank Pedro]]="Medium","linkCategory2",IF(TableRelationships12[[#This Row],[Rank Pedro]]="High","linkCategory3","")))</f>
        <v/>
      </c>
      <c r="U2109" s="102" t="str">
        <f>IF(TableRelationships12[[#This Row],[Rank Pedro]]="Low","Pink",IF(TableRelationships12[[#This Row],[Rank Pedro]]="Medium","Purple",IF(TableRelationships12[[#This Row],[Rank Pedro]]="High","Brown","")))</f>
        <v/>
      </c>
      <c r="V2109" s="4" t="e">
        <f>MAX(INDEX(Standards!$F$2:$F$296,MATCH(B2109,Standards!$B$2:$B$296,0)),INDEX(Standards!$F$2:$F$296,MATCH(C2109,Standards!$B$2:$B$296,0)))</f>
        <v>#N/A</v>
      </c>
      <c r="W2109" t="str">
        <f t="shared" si="98"/>
        <v>#2f89d1</v>
      </c>
    </row>
    <row r="2110" spans="1:23" x14ac:dyDescent="0.5">
      <c r="A2110" s="54">
        <v>2109</v>
      </c>
      <c r="B2110" s="90" t="s">
        <v>1696</v>
      </c>
      <c r="C2110" t="s">
        <v>492</v>
      </c>
      <c r="D2110" s="1" t="s">
        <v>2027</v>
      </c>
      <c r="E2110" s="112">
        <v>2021.1</v>
      </c>
      <c r="F2110" s="112">
        <v>2021.1</v>
      </c>
      <c r="G2110" s="107" t="s">
        <v>2024</v>
      </c>
      <c r="H2110">
        <f>INDEX('GIS-Standards'!$A$2:$A$305,MATCH(B2110,'GIS-Standards'!$B$2:$B$305,0))</f>
        <v>94</v>
      </c>
      <c r="I2110" t="e">
        <f>INDEX('GIS-Standards'!$A$2:$A$305,MATCH(C2110,'GIS-Standards'!$B$2:$B$305,0))</f>
        <v>#N/A</v>
      </c>
      <c r="J2110" t="str">
        <f>INDEX('GIS-Standards'!$O$2:$O$305,MATCH(B2110,'GIS-Standards'!$B$2:$B$305,0))</f>
        <v>ISO/TC 184</v>
      </c>
      <c r="K2110" t="e">
        <f>INDEX('GIS-Standards'!$O$2:$O$305,MATCH(C2110,'GIS-Standards'!$B$2:$B$305,0))</f>
        <v>#N/A</v>
      </c>
      <c r="M2110" t="s">
        <v>525</v>
      </c>
      <c r="N2110">
        <f>INDEX('GIS-Standards'!$I$2:$I$305,MATCH(B2110,'GIS-Standards'!$B$2:$B$305,0))</f>
        <v>0</v>
      </c>
      <c r="O2110" t="e">
        <f>INDEX('GIS-Standards'!$I$2:$I$305,MATCH(C2110,'GIS-Standards'!$B$2:$B$305,0))</f>
        <v>#N/A</v>
      </c>
      <c r="P2110" t="e">
        <f>AND(TableRelationships12[[#This Row],[Source Type]]="BIM",TableRelationships12[[#This Row],[Target Type]]="BIM")</f>
        <v>#N/A</v>
      </c>
      <c r="Q2110">
        <f t="shared" si="96"/>
        <v>1</v>
      </c>
      <c r="S2110">
        <f t="shared" si="97"/>
        <v>1</v>
      </c>
      <c r="T2110" s="102" t="str">
        <f>IF(TableRelationships12[[#This Row],[Rank Pedro]]="Low","linkCategory1",IF(TableRelationships12[[#This Row],[Rank Pedro]]="Medium","linkCategory2",IF(TableRelationships12[[#This Row],[Rank Pedro]]="High","linkCategory3","")))</f>
        <v/>
      </c>
      <c r="U2110" s="102" t="str">
        <f>IF(TableRelationships12[[#This Row],[Rank Pedro]]="Low","Pink",IF(TableRelationships12[[#This Row],[Rank Pedro]]="Medium","Purple",IF(TableRelationships12[[#This Row],[Rank Pedro]]="High","Brown","")))</f>
        <v/>
      </c>
      <c r="V2110" s="4" t="e">
        <f>MAX(INDEX(Standards!$F$2:$F$296,MATCH(B2110,Standards!$B$2:$B$296,0)),INDEX(Standards!$F$2:$F$296,MATCH(C2110,Standards!$B$2:$B$296,0)))</f>
        <v>#N/A</v>
      </c>
      <c r="W2110" t="str">
        <f t="shared" si="98"/>
        <v>#2f89d1</v>
      </c>
    </row>
    <row r="2111" spans="1:23" x14ac:dyDescent="0.5">
      <c r="A2111" s="54">
        <v>2110</v>
      </c>
      <c r="B2111" s="90" t="s">
        <v>1696</v>
      </c>
      <c r="C2111" t="s">
        <v>59</v>
      </c>
      <c r="D2111" s="1"/>
      <c r="E2111" s="112">
        <v>2012.09</v>
      </c>
      <c r="F2111" s="112">
        <v>2021.03</v>
      </c>
      <c r="G2111" s="107" t="s">
        <v>2095</v>
      </c>
      <c r="H2111">
        <f>INDEX('GIS-Standards'!$A$2:$A$305,MATCH(B2111,'GIS-Standards'!$B$2:$B$305,0))</f>
        <v>94</v>
      </c>
      <c r="I2111" t="e">
        <f>INDEX('GIS-Standards'!$A$2:$A$305,MATCH(C2111,'GIS-Standards'!$B$2:$B$305,0))</f>
        <v>#N/A</v>
      </c>
      <c r="J2111" t="str">
        <f>INDEX('GIS-Standards'!$O$2:$O$305,MATCH(B2111,'GIS-Standards'!$B$2:$B$305,0))</f>
        <v>ISO/TC 184</v>
      </c>
      <c r="K2111" t="e">
        <f>INDEX('GIS-Standards'!$O$2:$O$305,MATCH(C2111,'GIS-Standards'!$B$2:$B$305,0))</f>
        <v>#N/A</v>
      </c>
      <c r="M2111" t="s">
        <v>525</v>
      </c>
      <c r="N2111">
        <f>INDEX('GIS-Standards'!$I$2:$I$305,MATCH(B2111,'GIS-Standards'!$B$2:$B$305,0))</f>
        <v>0</v>
      </c>
      <c r="O2111" t="e">
        <f>INDEX('GIS-Standards'!$I$2:$I$305,MATCH(C2111,'GIS-Standards'!$B$2:$B$305,0))</f>
        <v>#N/A</v>
      </c>
      <c r="P2111" t="e">
        <f>AND(TableRelationships12[[#This Row],[Source Type]]="BIM",TableRelationships12[[#This Row],[Target Type]]="BIM")</f>
        <v>#N/A</v>
      </c>
      <c r="Q2111">
        <f t="shared" si="96"/>
        <v>1</v>
      </c>
      <c r="S2111">
        <f t="shared" si="97"/>
        <v>1</v>
      </c>
      <c r="T2111" s="102" t="str">
        <f>IF(TableRelationships12[[#This Row],[Rank Pedro]]="Low","linkCategory1",IF(TableRelationships12[[#This Row],[Rank Pedro]]="Medium","linkCategory2",IF(TableRelationships12[[#This Row],[Rank Pedro]]="High","linkCategory3","")))</f>
        <v/>
      </c>
      <c r="U2111" s="102" t="str">
        <f>IF(TableRelationships12[[#This Row],[Rank Pedro]]="Low","Pink",IF(TableRelationships12[[#This Row],[Rank Pedro]]="Medium","Purple",IF(TableRelationships12[[#This Row],[Rank Pedro]]="High","Brown","")))</f>
        <v/>
      </c>
      <c r="V2111" s="4" t="e">
        <f>MAX(INDEX(Standards!$F$2:$F$296,MATCH(B2111,Standards!$B$2:$B$296,0)),INDEX(Standards!$F$2:$F$296,MATCH(C2111,Standards!$B$2:$B$296,0)))</f>
        <v>#N/A</v>
      </c>
      <c r="W2111" t="str">
        <f t="shared" si="98"/>
        <v>#2f89d1</v>
      </c>
    </row>
    <row r="2112" spans="1:23" x14ac:dyDescent="0.5">
      <c r="A2112" s="54">
        <v>2111</v>
      </c>
      <c r="B2112" s="90" t="s">
        <v>1696</v>
      </c>
      <c r="C2112" t="s">
        <v>1776</v>
      </c>
      <c r="D2112" s="1"/>
      <c r="G2112" s="107"/>
      <c r="H2112">
        <f>INDEX('GIS-Standards'!$A$2:$A$305,MATCH(B2112,'GIS-Standards'!$B$2:$B$305,0))</f>
        <v>94</v>
      </c>
      <c r="I2112" t="e">
        <f>INDEX('GIS-Standards'!$A$2:$A$305,MATCH(C2112,'GIS-Standards'!$B$2:$B$305,0))</f>
        <v>#N/A</v>
      </c>
      <c r="J2112" t="str">
        <f>INDEX('GIS-Standards'!$O$2:$O$305,MATCH(B2112,'GIS-Standards'!$B$2:$B$305,0))</f>
        <v>ISO/TC 184</v>
      </c>
      <c r="K2112" t="e">
        <f>INDEX('GIS-Standards'!$O$2:$O$305,MATCH(C2112,'GIS-Standards'!$B$2:$B$305,0))</f>
        <v>#N/A</v>
      </c>
      <c r="M2112" t="s">
        <v>525</v>
      </c>
      <c r="N2112">
        <f>INDEX('GIS-Standards'!$I$2:$I$305,MATCH(B2112,'GIS-Standards'!$B$2:$B$305,0))</f>
        <v>0</v>
      </c>
      <c r="O2112" t="e">
        <f>INDEX('GIS-Standards'!$I$2:$I$305,MATCH(C2112,'GIS-Standards'!$B$2:$B$305,0))</f>
        <v>#N/A</v>
      </c>
      <c r="P2112" t="e">
        <f>AND(TableRelationships12[[#This Row],[Source Type]]="BIM",TableRelationships12[[#This Row],[Target Type]]="BIM")</f>
        <v>#N/A</v>
      </c>
      <c r="Q2112">
        <f t="shared" si="96"/>
        <v>1</v>
      </c>
      <c r="S2112">
        <f t="shared" si="97"/>
        <v>1</v>
      </c>
      <c r="T2112" s="102" t="str">
        <f>IF(TableRelationships12[[#This Row],[Rank Pedro]]="Low","linkCategory1",IF(TableRelationships12[[#This Row],[Rank Pedro]]="Medium","linkCategory2",IF(TableRelationships12[[#This Row],[Rank Pedro]]="High","linkCategory3","")))</f>
        <v/>
      </c>
      <c r="U2112" s="102" t="str">
        <f>IF(TableRelationships12[[#This Row],[Rank Pedro]]="Low","Pink",IF(TableRelationships12[[#This Row],[Rank Pedro]]="Medium","Purple",IF(TableRelationships12[[#This Row],[Rank Pedro]]="High","Brown","")))</f>
        <v/>
      </c>
      <c r="V2112" s="4" t="e">
        <f>MAX(INDEX(Standards!$F$2:$F$296,MATCH(B2112,Standards!$B$2:$B$296,0)),INDEX(Standards!$F$2:$F$296,MATCH(C2112,Standards!$B$2:$B$296,0)))</f>
        <v>#N/A</v>
      </c>
      <c r="W2112" t="str">
        <f t="shared" si="98"/>
        <v>#2f89d1</v>
      </c>
    </row>
    <row r="2113" spans="1:23" x14ac:dyDescent="0.5">
      <c r="A2113" s="54">
        <v>2112</v>
      </c>
      <c r="B2113" s="90" t="s">
        <v>1696</v>
      </c>
      <c r="C2113" t="s">
        <v>1777</v>
      </c>
      <c r="D2113" s="1"/>
      <c r="E2113" s="112">
        <v>2018.04</v>
      </c>
      <c r="F2113" s="112">
        <v>2018.04</v>
      </c>
      <c r="G2113" s="107" t="s">
        <v>1512</v>
      </c>
      <c r="H2113">
        <f>INDEX('GIS-Standards'!$A$2:$A$305,MATCH(B2113,'GIS-Standards'!$B$2:$B$305,0))</f>
        <v>94</v>
      </c>
      <c r="I2113" t="e">
        <f>INDEX('GIS-Standards'!$A$2:$A$305,MATCH(C2113,'GIS-Standards'!$B$2:$B$305,0))</f>
        <v>#N/A</v>
      </c>
      <c r="J2113" t="str">
        <f>INDEX('GIS-Standards'!$O$2:$O$305,MATCH(B2113,'GIS-Standards'!$B$2:$B$305,0))</f>
        <v>ISO/TC 184</v>
      </c>
      <c r="K2113" t="e">
        <f>INDEX('GIS-Standards'!$O$2:$O$305,MATCH(C2113,'GIS-Standards'!$B$2:$B$305,0))</f>
        <v>#N/A</v>
      </c>
      <c r="M2113" t="s">
        <v>525</v>
      </c>
      <c r="N2113">
        <f>INDEX('GIS-Standards'!$I$2:$I$305,MATCH(B2113,'GIS-Standards'!$B$2:$B$305,0))</f>
        <v>0</v>
      </c>
      <c r="O2113" t="e">
        <f>INDEX('GIS-Standards'!$I$2:$I$305,MATCH(C2113,'GIS-Standards'!$B$2:$B$305,0))</f>
        <v>#N/A</v>
      </c>
      <c r="P2113" t="e">
        <f>AND(TableRelationships12[[#This Row],[Source Type]]="BIM",TableRelationships12[[#This Row],[Target Type]]="BIM")</f>
        <v>#N/A</v>
      </c>
      <c r="Q2113">
        <f t="shared" si="96"/>
        <v>1</v>
      </c>
      <c r="S2113">
        <f t="shared" si="97"/>
        <v>1</v>
      </c>
      <c r="T2113" s="102" t="str">
        <f>IF(TableRelationships12[[#This Row],[Rank Pedro]]="Low","linkCategory1",IF(TableRelationships12[[#This Row],[Rank Pedro]]="Medium","linkCategory2",IF(TableRelationships12[[#This Row],[Rank Pedro]]="High","linkCategory3","")))</f>
        <v/>
      </c>
      <c r="U2113" s="102" t="str">
        <f>IF(TableRelationships12[[#This Row],[Rank Pedro]]="Low","Pink",IF(TableRelationships12[[#This Row],[Rank Pedro]]="Medium","Purple",IF(TableRelationships12[[#This Row],[Rank Pedro]]="High","Brown","")))</f>
        <v/>
      </c>
      <c r="V2113" s="4" t="e">
        <f>MAX(INDEX(Standards!$F$2:$F$296,MATCH(B2113,Standards!$B$2:$B$296,0)),INDEX(Standards!$F$2:$F$296,MATCH(C2113,Standards!$B$2:$B$296,0)))</f>
        <v>#N/A</v>
      </c>
      <c r="W2113" t="str">
        <f t="shared" si="98"/>
        <v>#2f89d1</v>
      </c>
    </row>
    <row r="2114" spans="1:23" x14ac:dyDescent="0.5">
      <c r="A2114" s="54">
        <v>2113</v>
      </c>
      <c r="B2114" s="90" t="s">
        <v>1696</v>
      </c>
      <c r="C2114" t="s">
        <v>55</v>
      </c>
      <c r="D2114" s="1" t="s">
        <v>1773</v>
      </c>
      <c r="E2114" s="112">
        <v>2024.11</v>
      </c>
      <c r="F2114" s="112">
        <v>2024.11</v>
      </c>
      <c r="G2114" s="107" t="s">
        <v>2003</v>
      </c>
      <c r="H2114">
        <f>INDEX('GIS-Standards'!$A$2:$A$305,MATCH(B2114,'GIS-Standards'!$B$2:$B$305,0))</f>
        <v>94</v>
      </c>
      <c r="I2114" t="e">
        <f>INDEX('GIS-Standards'!$A$2:$A$305,MATCH(C2114,'GIS-Standards'!$B$2:$B$305,0))</f>
        <v>#N/A</v>
      </c>
      <c r="J2114" t="str">
        <f>INDEX('GIS-Standards'!$O$2:$O$305,MATCH(B2114,'GIS-Standards'!$B$2:$B$305,0))</f>
        <v>ISO/TC 184</v>
      </c>
      <c r="K2114" t="e">
        <f>INDEX('GIS-Standards'!$O$2:$O$305,MATCH(C2114,'GIS-Standards'!$B$2:$B$305,0))</f>
        <v>#N/A</v>
      </c>
      <c r="M2114" t="s">
        <v>525</v>
      </c>
      <c r="N2114">
        <f>INDEX('GIS-Standards'!$I$2:$I$305,MATCH(B2114,'GIS-Standards'!$B$2:$B$305,0))</f>
        <v>0</v>
      </c>
      <c r="O2114" t="e">
        <f>INDEX('GIS-Standards'!$I$2:$I$305,MATCH(C2114,'GIS-Standards'!$B$2:$B$305,0))</f>
        <v>#N/A</v>
      </c>
      <c r="P2114" t="e">
        <f>AND(TableRelationships12[[#This Row],[Source Type]]="BIM",TableRelationships12[[#This Row],[Target Type]]="BIM")</f>
        <v>#N/A</v>
      </c>
      <c r="Q2114">
        <f t="shared" ref="Q2114:Q2177" si="99">IF(M2114="Normative",6,IF(M2114="Secondary",4,IF(M2114="Anchor",2,1)))</f>
        <v>1</v>
      </c>
      <c r="S2114">
        <f t="shared" ref="S2114:S2177" si="100">IF(R2114="High",10,IF(R2114="Medium",6,IF(R2114="Low",2,1)))</f>
        <v>1</v>
      </c>
      <c r="T2114" s="102" t="str">
        <f>IF(TableRelationships12[[#This Row],[Rank Pedro]]="Low","linkCategory1",IF(TableRelationships12[[#This Row],[Rank Pedro]]="Medium","linkCategory2",IF(TableRelationships12[[#This Row],[Rank Pedro]]="High","linkCategory3","")))</f>
        <v/>
      </c>
      <c r="U2114" s="102" t="str">
        <f>IF(TableRelationships12[[#This Row],[Rank Pedro]]="Low","Pink",IF(TableRelationships12[[#This Row],[Rank Pedro]]="Medium","Purple",IF(TableRelationships12[[#This Row],[Rank Pedro]]="High","Brown","")))</f>
        <v/>
      </c>
      <c r="V2114" s="4" t="e">
        <f>MAX(INDEX(Standards!$F$2:$F$296,MATCH(B2114,Standards!$B$2:$B$296,0)),INDEX(Standards!$F$2:$F$296,MATCH(C2114,Standards!$B$2:$B$296,0)))</f>
        <v>#N/A</v>
      </c>
      <c r="W2114" t="str">
        <f t="shared" ref="W2114:W2177" si="101">IF(M2114="Normative", "#d6bf2a", IF(M2114="Informative", "#2f89d1", 1))</f>
        <v>#2f89d1</v>
      </c>
    </row>
    <row r="2115" spans="1:23" x14ac:dyDescent="0.5">
      <c r="A2115" s="54">
        <v>2114</v>
      </c>
      <c r="B2115" s="90" t="s">
        <v>1696</v>
      </c>
      <c r="C2115" t="s">
        <v>2009</v>
      </c>
      <c r="D2115" s="1" t="s">
        <v>162</v>
      </c>
      <c r="E2115" s="112">
        <v>2002.03</v>
      </c>
      <c r="F2115" s="112">
        <v>2013.01</v>
      </c>
      <c r="G2115" s="107" t="s">
        <v>2008</v>
      </c>
      <c r="H2115">
        <f>INDEX('GIS-Standards'!$A$2:$A$305,MATCH(B2115,'GIS-Standards'!$B$2:$B$305,0))</f>
        <v>94</v>
      </c>
      <c r="I2115" t="e">
        <f>INDEX('GIS-Standards'!$A$2:$A$305,MATCH(C2115,'GIS-Standards'!$B$2:$B$305,0))</f>
        <v>#N/A</v>
      </c>
      <c r="J2115" t="str">
        <f>INDEX('GIS-Standards'!$O$2:$O$305,MATCH(B2115,'GIS-Standards'!$B$2:$B$305,0))</f>
        <v>ISO/TC 184</v>
      </c>
      <c r="K2115" t="e">
        <f>INDEX('GIS-Standards'!$O$2:$O$305,MATCH(C2115,'GIS-Standards'!$B$2:$B$305,0))</f>
        <v>#N/A</v>
      </c>
      <c r="M2115" t="s">
        <v>525</v>
      </c>
      <c r="N2115">
        <f>INDEX('GIS-Standards'!$I$2:$I$305,MATCH(B2115,'GIS-Standards'!$B$2:$B$305,0))</f>
        <v>0</v>
      </c>
      <c r="O2115" t="e">
        <f>INDEX('GIS-Standards'!$I$2:$I$305,MATCH(C2115,'GIS-Standards'!$B$2:$B$305,0))</f>
        <v>#N/A</v>
      </c>
      <c r="P2115" t="e">
        <f>AND(TableRelationships12[[#This Row],[Source Type]]="BIM",TableRelationships12[[#This Row],[Target Type]]="BIM")</f>
        <v>#N/A</v>
      </c>
      <c r="Q2115">
        <f t="shared" si="99"/>
        <v>1</v>
      </c>
      <c r="S2115">
        <f t="shared" si="100"/>
        <v>1</v>
      </c>
      <c r="T2115" s="102" t="str">
        <f>IF(TableRelationships12[[#This Row],[Rank Pedro]]="Low","linkCategory1",IF(TableRelationships12[[#This Row],[Rank Pedro]]="Medium","linkCategory2",IF(TableRelationships12[[#This Row],[Rank Pedro]]="High","linkCategory3","")))</f>
        <v/>
      </c>
      <c r="U2115" s="102" t="str">
        <f>IF(TableRelationships12[[#This Row],[Rank Pedro]]="Low","Pink",IF(TableRelationships12[[#This Row],[Rank Pedro]]="Medium","Purple",IF(TableRelationships12[[#This Row],[Rank Pedro]]="High","Brown","")))</f>
        <v/>
      </c>
      <c r="V2115" s="4" t="e">
        <f>MAX(INDEX(Standards!$F$2:$F$296,MATCH(B2115,Standards!$B$2:$B$296,0)),INDEX(Standards!$F$2:$F$296,MATCH(C2115,Standards!$B$2:$B$296,0)))</f>
        <v>#N/A</v>
      </c>
      <c r="W2115" t="str">
        <f t="shared" si="101"/>
        <v>#2f89d1</v>
      </c>
    </row>
    <row r="2116" spans="1:23" x14ac:dyDescent="0.5">
      <c r="A2116" s="54">
        <v>2115</v>
      </c>
      <c r="B2116" s="90" t="s">
        <v>1696</v>
      </c>
      <c r="C2116" t="s">
        <v>2010</v>
      </c>
      <c r="D2116" s="1" t="s">
        <v>162</v>
      </c>
      <c r="E2116" s="112">
        <v>2017.01</v>
      </c>
      <c r="F2116" s="112">
        <v>2017.01</v>
      </c>
      <c r="G2116" s="107" t="s">
        <v>2012</v>
      </c>
      <c r="H2116">
        <f>INDEX('GIS-Standards'!$A$2:$A$305,MATCH(B2116,'GIS-Standards'!$B$2:$B$305,0))</f>
        <v>94</v>
      </c>
      <c r="I2116" t="e">
        <f>INDEX('GIS-Standards'!$A$2:$A$305,MATCH(C2116,'GIS-Standards'!$B$2:$B$305,0))</f>
        <v>#N/A</v>
      </c>
      <c r="J2116" t="str">
        <f>INDEX('GIS-Standards'!$O$2:$O$305,MATCH(B2116,'GIS-Standards'!$B$2:$B$305,0))</f>
        <v>ISO/TC 184</v>
      </c>
      <c r="K2116" t="e">
        <f>INDEX('GIS-Standards'!$O$2:$O$305,MATCH(C2116,'GIS-Standards'!$B$2:$B$305,0))</f>
        <v>#N/A</v>
      </c>
      <c r="M2116" t="s">
        <v>525</v>
      </c>
      <c r="N2116">
        <f>INDEX('GIS-Standards'!$I$2:$I$305,MATCH(B2116,'GIS-Standards'!$B$2:$B$305,0))</f>
        <v>0</v>
      </c>
      <c r="O2116" t="e">
        <f>INDEX('GIS-Standards'!$I$2:$I$305,MATCH(C2116,'GIS-Standards'!$B$2:$B$305,0))</f>
        <v>#N/A</v>
      </c>
      <c r="P2116" t="e">
        <f>AND(TableRelationships12[[#This Row],[Source Type]]="BIM",TableRelationships12[[#This Row],[Target Type]]="BIM")</f>
        <v>#N/A</v>
      </c>
      <c r="Q2116">
        <f t="shared" si="99"/>
        <v>1</v>
      </c>
      <c r="S2116">
        <f t="shared" si="100"/>
        <v>1</v>
      </c>
      <c r="T2116" s="102" t="str">
        <f>IF(TableRelationships12[[#This Row],[Rank Pedro]]="Low","linkCategory1",IF(TableRelationships12[[#This Row],[Rank Pedro]]="Medium","linkCategory2",IF(TableRelationships12[[#This Row],[Rank Pedro]]="High","linkCategory3","")))</f>
        <v/>
      </c>
      <c r="U2116" s="102" t="str">
        <f>IF(TableRelationships12[[#This Row],[Rank Pedro]]="Low","Pink",IF(TableRelationships12[[#This Row],[Rank Pedro]]="Medium","Purple",IF(TableRelationships12[[#This Row],[Rank Pedro]]="High","Brown","")))</f>
        <v/>
      </c>
      <c r="V2116" s="4" t="e">
        <f>MAX(INDEX(Standards!$F$2:$F$296,MATCH(B2116,Standards!$B$2:$B$296,0)),INDEX(Standards!$F$2:$F$296,MATCH(C2116,Standards!$B$2:$B$296,0)))</f>
        <v>#N/A</v>
      </c>
      <c r="W2116" t="str">
        <f t="shared" si="101"/>
        <v>#2f89d1</v>
      </c>
    </row>
    <row r="2117" spans="1:23" x14ac:dyDescent="0.5">
      <c r="A2117" s="54">
        <v>2116</v>
      </c>
      <c r="B2117" s="90" t="s">
        <v>1696</v>
      </c>
      <c r="C2117" t="s">
        <v>2011</v>
      </c>
      <c r="D2117" s="1" t="s">
        <v>162</v>
      </c>
      <c r="E2117" s="112">
        <v>2024.01</v>
      </c>
      <c r="F2117" s="112">
        <v>2024.01</v>
      </c>
      <c r="G2117" s="107" t="s">
        <v>2012</v>
      </c>
      <c r="H2117">
        <f>INDEX('GIS-Standards'!$A$2:$A$305,MATCH(B2117,'GIS-Standards'!$B$2:$B$305,0))</f>
        <v>94</v>
      </c>
      <c r="I2117" t="e">
        <f>INDEX('GIS-Standards'!$A$2:$A$305,MATCH(C2117,'GIS-Standards'!$B$2:$B$305,0))</f>
        <v>#N/A</v>
      </c>
      <c r="J2117" t="str">
        <f>INDEX('GIS-Standards'!$O$2:$O$305,MATCH(B2117,'GIS-Standards'!$B$2:$B$305,0))</f>
        <v>ISO/TC 184</v>
      </c>
      <c r="K2117" t="e">
        <f>INDEX('GIS-Standards'!$O$2:$O$305,MATCH(C2117,'GIS-Standards'!$B$2:$B$305,0))</f>
        <v>#N/A</v>
      </c>
      <c r="M2117" t="s">
        <v>525</v>
      </c>
      <c r="N2117">
        <f>INDEX('GIS-Standards'!$I$2:$I$305,MATCH(B2117,'GIS-Standards'!$B$2:$B$305,0))</f>
        <v>0</v>
      </c>
      <c r="O2117" t="e">
        <f>INDEX('GIS-Standards'!$I$2:$I$305,MATCH(C2117,'GIS-Standards'!$B$2:$B$305,0))</f>
        <v>#N/A</v>
      </c>
      <c r="P2117" t="e">
        <f>AND(TableRelationships12[[#This Row],[Source Type]]="BIM",TableRelationships12[[#This Row],[Target Type]]="BIM")</f>
        <v>#N/A</v>
      </c>
      <c r="Q2117">
        <f t="shared" si="99"/>
        <v>1</v>
      </c>
      <c r="S2117">
        <f t="shared" si="100"/>
        <v>1</v>
      </c>
      <c r="T2117" s="102" t="str">
        <f>IF(TableRelationships12[[#This Row],[Rank Pedro]]="Low","linkCategory1",IF(TableRelationships12[[#This Row],[Rank Pedro]]="Medium","linkCategory2",IF(TableRelationships12[[#This Row],[Rank Pedro]]="High","linkCategory3","")))</f>
        <v/>
      </c>
      <c r="U2117" s="102" t="str">
        <f>IF(TableRelationships12[[#This Row],[Rank Pedro]]="Low","Pink",IF(TableRelationships12[[#This Row],[Rank Pedro]]="Medium","Purple",IF(TableRelationships12[[#This Row],[Rank Pedro]]="High","Brown","")))</f>
        <v/>
      </c>
      <c r="V2117" s="4" t="e">
        <f>MAX(INDEX(Standards!$F$2:$F$296,MATCH(B2117,Standards!$B$2:$B$296,0)),INDEX(Standards!$F$2:$F$296,MATCH(C2117,Standards!$B$2:$B$296,0)))</f>
        <v>#N/A</v>
      </c>
      <c r="W2117" t="str">
        <f t="shared" si="101"/>
        <v>#2f89d1</v>
      </c>
    </row>
    <row r="2118" spans="1:23" x14ac:dyDescent="0.5">
      <c r="A2118" s="54">
        <v>2117</v>
      </c>
      <c r="B2118" s="90" t="s">
        <v>1696</v>
      </c>
      <c r="C2118" t="s">
        <v>2014</v>
      </c>
      <c r="D2118" s="1" t="s">
        <v>1758</v>
      </c>
      <c r="E2118" s="112">
        <v>2010.04</v>
      </c>
      <c r="F2118" s="112">
        <v>2010.04</v>
      </c>
      <c r="G2118" s="107" t="s">
        <v>2016</v>
      </c>
      <c r="H2118">
        <f>INDEX('GIS-Standards'!$A$2:$A$305,MATCH(B2118,'GIS-Standards'!$B$2:$B$305,0))</f>
        <v>94</v>
      </c>
      <c r="I2118" t="e">
        <f>INDEX('GIS-Standards'!$A$2:$A$305,MATCH(C2118,'GIS-Standards'!$B$2:$B$305,0))</f>
        <v>#N/A</v>
      </c>
      <c r="J2118" t="str">
        <f>INDEX('GIS-Standards'!$O$2:$O$305,MATCH(B2118,'GIS-Standards'!$B$2:$B$305,0))</f>
        <v>ISO/TC 184</v>
      </c>
      <c r="K2118" t="e">
        <f>INDEX('GIS-Standards'!$O$2:$O$305,MATCH(C2118,'GIS-Standards'!$B$2:$B$305,0))</f>
        <v>#N/A</v>
      </c>
      <c r="M2118" t="s">
        <v>525</v>
      </c>
      <c r="N2118">
        <f>INDEX('GIS-Standards'!$I$2:$I$305,MATCH(B2118,'GIS-Standards'!$B$2:$B$305,0))</f>
        <v>0</v>
      </c>
      <c r="O2118" t="e">
        <f>INDEX('GIS-Standards'!$I$2:$I$305,MATCH(C2118,'GIS-Standards'!$B$2:$B$305,0))</f>
        <v>#N/A</v>
      </c>
      <c r="P2118" t="e">
        <f>AND(TableRelationships12[[#This Row],[Source Type]]="BIM",TableRelationships12[[#This Row],[Target Type]]="BIM")</f>
        <v>#N/A</v>
      </c>
      <c r="Q2118">
        <f t="shared" si="99"/>
        <v>1</v>
      </c>
      <c r="S2118">
        <f t="shared" si="100"/>
        <v>1</v>
      </c>
      <c r="T2118" s="102" t="str">
        <f>IF(TableRelationships12[[#This Row],[Rank Pedro]]="Low","linkCategory1",IF(TableRelationships12[[#This Row],[Rank Pedro]]="Medium","linkCategory2",IF(TableRelationships12[[#This Row],[Rank Pedro]]="High","linkCategory3","")))</f>
        <v/>
      </c>
      <c r="U2118" s="102" t="str">
        <f>IF(TableRelationships12[[#This Row],[Rank Pedro]]="Low","Pink",IF(TableRelationships12[[#This Row],[Rank Pedro]]="Medium","Purple",IF(TableRelationships12[[#This Row],[Rank Pedro]]="High","Brown","")))</f>
        <v/>
      </c>
      <c r="V2118" s="4" t="e">
        <f>MAX(INDEX(Standards!$F$2:$F$296,MATCH(B2118,Standards!$B$2:$B$296,0)),INDEX(Standards!$F$2:$F$296,MATCH(C2118,Standards!$B$2:$B$296,0)))</f>
        <v>#N/A</v>
      </c>
      <c r="W2118" t="str">
        <f t="shared" si="101"/>
        <v>#2f89d1</v>
      </c>
    </row>
    <row r="2119" spans="1:23" x14ac:dyDescent="0.5">
      <c r="A2119" s="54">
        <v>2118</v>
      </c>
      <c r="B2119" s="90" t="s">
        <v>1696</v>
      </c>
      <c r="C2119" t="s">
        <v>2017</v>
      </c>
      <c r="D2119" s="1" t="s">
        <v>1758</v>
      </c>
      <c r="E2119" s="112">
        <v>2001.12</v>
      </c>
      <c r="F2119" s="112">
        <v>2010.05</v>
      </c>
      <c r="G2119" s="107" t="s">
        <v>1448</v>
      </c>
      <c r="H2119">
        <f>INDEX('GIS-Standards'!$A$2:$A$305,MATCH(B2119,'GIS-Standards'!$B$2:$B$305,0))</f>
        <v>94</v>
      </c>
      <c r="I2119" t="e">
        <f>INDEX('GIS-Standards'!$A$2:$A$305,MATCH(C2119,'GIS-Standards'!$B$2:$B$305,0))</f>
        <v>#N/A</v>
      </c>
      <c r="J2119" t="str">
        <f>INDEX('GIS-Standards'!$O$2:$O$305,MATCH(B2119,'GIS-Standards'!$B$2:$B$305,0))</f>
        <v>ISO/TC 184</v>
      </c>
      <c r="K2119" t="e">
        <f>INDEX('GIS-Standards'!$O$2:$O$305,MATCH(C2119,'GIS-Standards'!$B$2:$B$305,0))</f>
        <v>#N/A</v>
      </c>
      <c r="M2119" t="s">
        <v>525</v>
      </c>
      <c r="N2119">
        <f>INDEX('GIS-Standards'!$I$2:$I$305,MATCH(B2119,'GIS-Standards'!$B$2:$B$305,0))</f>
        <v>0</v>
      </c>
      <c r="O2119" t="e">
        <f>INDEX('GIS-Standards'!$I$2:$I$305,MATCH(C2119,'GIS-Standards'!$B$2:$B$305,0))</f>
        <v>#N/A</v>
      </c>
      <c r="P2119" t="e">
        <f>AND(TableRelationships12[[#This Row],[Source Type]]="BIM",TableRelationships12[[#This Row],[Target Type]]="BIM")</f>
        <v>#N/A</v>
      </c>
      <c r="Q2119">
        <f t="shared" si="99"/>
        <v>1</v>
      </c>
      <c r="S2119">
        <f t="shared" si="100"/>
        <v>1</v>
      </c>
      <c r="T2119" s="102" t="str">
        <f>IF(TableRelationships12[[#This Row],[Rank Pedro]]="Low","linkCategory1",IF(TableRelationships12[[#This Row],[Rank Pedro]]="Medium","linkCategory2",IF(TableRelationships12[[#This Row],[Rank Pedro]]="High","linkCategory3","")))</f>
        <v/>
      </c>
      <c r="U2119" s="102" t="str">
        <f>IF(TableRelationships12[[#This Row],[Rank Pedro]]="Low","Pink",IF(TableRelationships12[[#This Row],[Rank Pedro]]="Medium","Purple",IF(TableRelationships12[[#This Row],[Rank Pedro]]="High","Brown","")))</f>
        <v/>
      </c>
      <c r="V2119" s="4" t="e">
        <f>MAX(INDEX(Standards!$F$2:$F$296,MATCH(B2119,Standards!$B$2:$B$296,0)),INDEX(Standards!$F$2:$F$296,MATCH(C2119,Standards!$B$2:$B$296,0)))</f>
        <v>#N/A</v>
      </c>
      <c r="W2119" t="str">
        <f t="shared" si="101"/>
        <v>#2f89d1</v>
      </c>
    </row>
    <row r="2120" spans="1:23" x14ac:dyDescent="0.5">
      <c r="A2120" s="54">
        <v>2119</v>
      </c>
      <c r="B2120" s="90" t="s">
        <v>1696</v>
      </c>
      <c r="C2120" t="s">
        <v>2018</v>
      </c>
      <c r="D2120" s="1" t="s">
        <v>1758</v>
      </c>
      <c r="E2120" s="112">
        <v>2001.12</v>
      </c>
      <c r="F2120" s="112">
        <v>2010.05</v>
      </c>
      <c r="G2120" s="107" t="s">
        <v>1448</v>
      </c>
      <c r="H2120">
        <f>INDEX('GIS-Standards'!$A$2:$A$305,MATCH(B2120,'GIS-Standards'!$B$2:$B$305,0))</f>
        <v>94</v>
      </c>
      <c r="I2120" t="e">
        <f>INDEX('GIS-Standards'!$A$2:$A$305,MATCH(C2120,'GIS-Standards'!$B$2:$B$305,0))</f>
        <v>#N/A</v>
      </c>
      <c r="J2120" t="str">
        <f>INDEX('GIS-Standards'!$O$2:$O$305,MATCH(B2120,'GIS-Standards'!$B$2:$B$305,0))</f>
        <v>ISO/TC 184</v>
      </c>
      <c r="K2120" t="e">
        <f>INDEX('GIS-Standards'!$O$2:$O$305,MATCH(C2120,'GIS-Standards'!$B$2:$B$305,0))</f>
        <v>#N/A</v>
      </c>
      <c r="M2120" t="s">
        <v>525</v>
      </c>
      <c r="N2120">
        <f>INDEX('GIS-Standards'!$I$2:$I$305,MATCH(B2120,'GIS-Standards'!$B$2:$B$305,0))</f>
        <v>0</v>
      </c>
      <c r="O2120" t="e">
        <f>INDEX('GIS-Standards'!$I$2:$I$305,MATCH(C2120,'GIS-Standards'!$B$2:$B$305,0))</f>
        <v>#N/A</v>
      </c>
      <c r="P2120" t="e">
        <f>AND(TableRelationships12[[#This Row],[Source Type]]="BIM",TableRelationships12[[#This Row],[Target Type]]="BIM")</f>
        <v>#N/A</v>
      </c>
      <c r="Q2120">
        <f t="shared" si="99"/>
        <v>1</v>
      </c>
      <c r="S2120">
        <f t="shared" si="100"/>
        <v>1</v>
      </c>
      <c r="T2120" s="102" t="str">
        <f>IF(TableRelationships12[[#This Row],[Rank Pedro]]="Low","linkCategory1",IF(TableRelationships12[[#This Row],[Rank Pedro]]="Medium","linkCategory2",IF(TableRelationships12[[#This Row],[Rank Pedro]]="High","linkCategory3","")))</f>
        <v/>
      </c>
      <c r="U2120" s="102" t="str">
        <f>IF(TableRelationships12[[#This Row],[Rank Pedro]]="Low","Pink",IF(TableRelationships12[[#This Row],[Rank Pedro]]="Medium","Purple",IF(TableRelationships12[[#This Row],[Rank Pedro]]="High","Brown","")))</f>
        <v/>
      </c>
      <c r="V2120" s="4" t="e">
        <f>MAX(INDEX(Standards!$F$2:$F$296,MATCH(B2120,Standards!$B$2:$B$296,0)),INDEX(Standards!$F$2:$F$296,MATCH(C2120,Standards!$B$2:$B$296,0)))</f>
        <v>#N/A</v>
      </c>
      <c r="W2120" t="str">
        <f t="shared" si="101"/>
        <v>#2f89d1</v>
      </c>
    </row>
    <row r="2121" spans="1:23" x14ac:dyDescent="0.5">
      <c r="A2121" s="54">
        <v>2120</v>
      </c>
      <c r="B2121" s="90" t="s">
        <v>1696</v>
      </c>
      <c r="C2121" t="s">
        <v>2020</v>
      </c>
      <c r="D2121" s="1" t="s">
        <v>1758</v>
      </c>
      <c r="E2121" s="112">
        <v>2001.12</v>
      </c>
      <c r="F2121" s="112">
        <v>2010.05</v>
      </c>
      <c r="G2121" s="107" t="s">
        <v>2019</v>
      </c>
      <c r="H2121">
        <f>INDEX('GIS-Standards'!$A$2:$A$305,MATCH(B2121,'GIS-Standards'!$B$2:$B$305,0))</f>
        <v>94</v>
      </c>
      <c r="I2121" t="e">
        <f>INDEX('GIS-Standards'!$A$2:$A$305,MATCH(C2121,'GIS-Standards'!$B$2:$B$305,0))</f>
        <v>#N/A</v>
      </c>
      <c r="J2121" t="str">
        <f>INDEX('GIS-Standards'!$O$2:$O$305,MATCH(B2121,'GIS-Standards'!$B$2:$B$305,0))</f>
        <v>ISO/TC 184</v>
      </c>
      <c r="K2121" t="e">
        <f>INDEX('GIS-Standards'!$O$2:$O$305,MATCH(C2121,'GIS-Standards'!$B$2:$B$305,0))</f>
        <v>#N/A</v>
      </c>
      <c r="M2121" t="s">
        <v>525</v>
      </c>
      <c r="N2121">
        <f>INDEX('GIS-Standards'!$I$2:$I$305,MATCH(B2121,'GIS-Standards'!$B$2:$B$305,0))</f>
        <v>0</v>
      </c>
      <c r="O2121" t="e">
        <f>INDEX('GIS-Standards'!$I$2:$I$305,MATCH(C2121,'GIS-Standards'!$B$2:$B$305,0))</f>
        <v>#N/A</v>
      </c>
      <c r="P2121" t="e">
        <f>AND(TableRelationships12[[#This Row],[Source Type]]="BIM",TableRelationships12[[#This Row],[Target Type]]="BIM")</f>
        <v>#N/A</v>
      </c>
      <c r="Q2121">
        <f t="shared" si="99"/>
        <v>1</v>
      </c>
      <c r="S2121">
        <f t="shared" si="100"/>
        <v>1</v>
      </c>
      <c r="T2121" s="102" t="str">
        <f>IF(TableRelationships12[[#This Row],[Rank Pedro]]="Low","linkCategory1",IF(TableRelationships12[[#This Row],[Rank Pedro]]="Medium","linkCategory2",IF(TableRelationships12[[#This Row],[Rank Pedro]]="High","linkCategory3","")))</f>
        <v/>
      </c>
      <c r="U2121" s="102" t="str">
        <f>IF(TableRelationships12[[#This Row],[Rank Pedro]]="Low","Pink",IF(TableRelationships12[[#This Row],[Rank Pedro]]="Medium","Purple",IF(TableRelationships12[[#This Row],[Rank Pedro]]="High","Brown","")))</f>
        <v/>
      </c>
      <c r="V2121" s="4" t="e">
        <f>MAX(INDEX(Standards!$F$2:$F$296,MATCH(B2121,Standards!$B$2:$B$296,0)),INDEX(Standards!$F$2:$F$296,MATCH(C2121,Standards!$B$2:$B$296,0)))</f>
        <v>#N/A</v>
      </c>
      <c r="W2121" t="str">
        <f t="shared" si="101"/>
        <v>#2f89d1</v>
      </c>
    </row>
    <row r="2122" spans="1:23" x14ac:dyDescent="0.5">
      <c r="A2122" s="54">
        <v>2121</v>
      </c>
      <c r="B2122" s="90" t="s">
        <v>1696</v>
      </c>
      <c r="C2122" t="s">
        <v>2021</v>
      </c>
      <c r="D2122" s="1" t="s">
        <v>1758</v>
      </c>
      <c r="E2122" s="112">
        <v>2001.12</v>
      </c>
      <c r="F2122" s="112">
        <v>2010.05</v>
      </c>
      <c r="G2122" s="107" t="s">
        <v>1448</v>
      </c>
      <c r="H2122">
        <f>INDEX('GIS-Standards'!$A$2:$A$305,MATCH(B2122,'GIS-Standards'!$B$2:$B$305,0))</f>
        <v>94</v>
      </c>
      <c r="I2122" t="e">
        <f>INDEX('GIS-Standards'!$A$2:$A$305,MATCH(C2122,'GIS-Standards'!$B$2:$B$305,0))</f>
        <v>#N/A</v>
      </c>
      <c r="J2122" t="str">
        <f>INDEX('GIS-Standards'!$O$2:$O$305,MATCH(B2122,'GIS-Standards'!$B$2:$B$305,0))</f>
        <v>ISO/TC 184</v>
      </c>
      <c r="K2122" t="e">
        <f>INDEX('GIS-Standards'!$O$2:$O$305,MATCH(C2122,'GIS-Standards'!$B$2:$B$305,0))</f>
        <v>#N/A</v>
      </c>
      <c r="M2122" t="s">
        <v>525</v>
      </c>
      <c r="N2122">
        <f>INDEX('GIS-Standards'!$I$2:$I$305,MATCH(B2122,'GIS-Standards'!$B$2:$B$305,0))</f>
        <v>0</v>
      </c>
      <c r="O2122" t="e">
        <f>INDEX('GIS-Standards'!$I$2:$I$305,MATCH(C2122,'GIS-Standards'!$B$2:$B$305,0))</f>
        <v>#N/A</v>
      </c>
      <c r="P2122" t="e">
        <f>AND(TableRelationships12[[#This Row],[Source Type]]="BIM",TableRelationships12[[#This Row],[Target Type]]="BIM")</f>
        <v>#N/A</v>
      </c>
      <c r="Q2122">
        <f t="shared" si="99"/>
        <v>1</v>
      </c>
      <c r="S2122">
        <f t="shared" si="100"/>
        <v>1</v>
      </c>
      <c r="T2122" s="102" t="str">
        <f>IF(TableRelationships12[[#This Row],[Rank Pedro]]="Low","linkCategory1",IF(TableRelationships12[[#This Row],[Rank Pedro]]="Medium","linkCategory2",IF(TableRelationships12[[#This Row],[Rank Pedro]]="High","linkCategory3","")))</f>
        <v/>
      </c>
      <c r="U2122" s="102" t="str">
        <f>IF(TableRelationships12[[#This Row],[Rank Pedro]]="Low","Pink",IF(TableRelationships12[[#This Row],[Rank Pedro]]="Medium","Purple",IF(TableRelationships12[[#This Row],[Rank Pedro]]="High","Brown","")))</f>
        <v/>
      </c>
      <c r="V2122" s="4" t="e">
        <f>MAX(INDEX(Standards!$F$2:$F$296,MATCH(B2122,Standards!$B$2:$B$296,0)),INDEX(Standards!$F$2:$F$296,MATCH(C2122,Standards!$B$2:$B$296,0)))</f>
        <v>#N/A</v>
      </c>
      <c r="W2122" t="str">
        <f t="shared" si="101"/>
        <v>#2f89d1</v>
      </c>
    </row>
    <row r="2123" spans="1:23" x14ac:dyDescent="0.5">
      <c r="A2123" s="54">
        <v>2122</v>
      </c>
      <c r="B2123" s="90" t="s">
        <v>1696</v>
      </c>
      <c r="C2123" t="s">
        <v>2022</v>
      </c>
      <c r="D2123" s="1" t="s">
        <v>2023</v>
      </c>
      <c r="E2123" s="112">
        <v>2001.12</v>
      </c>
      <c r="F2123" s="112">
        <v>2010.05</v>
      </c>
      <c r="G2123" s="107" t="s">
        <v>1448</v>
      </c>
      <c r="H2123">
        <f>INDEX('GIS-Standards'!$A$2:$A$305,MATCH(B2123,'GIS-Standards'!$B$2:$B$305,0))</f>
        <v>94</v>
      </c>
      <c r="I2123" t="e">
        <f>INDEX('GIS-Standards'!$A$2:$A$305,MATCH(C2123,'GIS-Standards'!$B$2:$B$305,0))</f>
        <v>#N/A</v>
      </c>
      <c r="J2123" t="str">
        <f>INDEX('GIS-Standards'!$O$2:$O$305,MATCH(B2123,'GIS-Standards'!$B$2:$B$305,0))</f>
        <v>ISO/TC 184</v>
      </c>
      <c r="K2123" t="e">
        <f>INDEX('GIS-Standards'!$O$2:$O$305,MATCH(C2123,'GIS-Standards'!$B$2:$B$305,0))</f>
        <v>#N/A</v>
      </c>
      <c r="M2123" t="s">
        <v>525</v>
      </c>
      <c r="N2123">
        <f>INDEX('GIS-Standards'!$I$2:$I$305,MATCH(B2123,'GIS-Standards'!$B$2:$B$305,0))</f>
        <v>0</v>
      </c>
      <c r="O2123" t="e">
        <f>INDEX('GIS-Standards'!$I$2:$I$305,MATCH(C2123,'GIS-Standards'!$B$2:$B$305,0))</f>
        <v>#N/A</v>
      </c>
      <c r="P2123" t="e">
        <f>AND(TableRelationships12[[#This Row],[Source Type]]="BIM",TableRelationships12[[#This Row],[Target Type]]="BIM")</f>
        <v>#N/A</v>
      </c>
      <c r="Q2123">
        <f t="shared" si="99"/>
        <v>1</v>
      </c>
      <c r="S2123">
        <f t="shared" si="100"/>
        <v>1</v>
      </c>
      <c r="T2123" s="102" t="str">
        <f>IF(TableRelationships12[[#This Row],[Rank Pedro]]="Low","linkCategory1",IF(TableRelationships12[[#This Row],[Rank Pedro]]="Medium","linkCategory2",IF(TableRelationships12[[#This Row],[Rank Pedro]]="High","linkCategory3","")))</f>
        <v/>
      </c>
      <c r="U2123" s="102" t="str">
        <f>IF(TableRelationships12[[#This Row],[Rank Pedro]]="Low","Pink",IF(TableRelationships12[[#This Row],[Rank Pedro]]="Medium","Purple",IF(TableRelationships12[[#This Row],[Rank Pedro]]="High","Brown","")))</f>
        <v/>
      </c>
      <c r="V2123" s="4" t="e">
        <f>MAX(INDEX(Standards!$F$2:$F$296,MATCH(B2123,Standards!$B$2:$B$296,0)),INDEX(Standards!$F$2:$F$296,MATCH(C2123,Standards!$B$2:$B$296,0)))</f>
        <v>#N/A</v>
      </c>
      <c r="W2123" t="str">
        <f t="shared" si="101"/>
        <v>#2f89d1</v>
      </c>
    </row>
    <row r="2124" spans="1:23" x14ac:dyDescent="0.5">
      <c r="A2124" s="54">
        <v>2123</v>
      </c>
      <c r="B2124" s="90" t="s">
        <v>1696</v>
      </c>
      <c r="C2124" t="s">
        <v>2025</v>
      </c>
      <c r="D2124" s="1" t="s">
        <v>2023</v>
      </c>
      <c r="E2124" s="112">
        <v>2001.12</v>
      </c>
      <c r="F2124" s="112">
        <v>2010.05</v>
      </c>
      <c r="G2124" s="107" t="s">
        <v>2024</v>
      </c>
      <c r="H2124">
        <f>INDEX('GIS-Standards'!$A$2:$A$305,MATCH(B2124,'GIS-Standards'!$B$2:$B$305,0))</f>
        <v>94</v>
      </c>
      <c r="I2124" t="e">
        <f>INDEX('GIS-Standards'!$A$2:$A$305,MATCH(C2124,'GIS-Standards'!$B$2:$B$305,0))</f>
        <v>#N/A</v>
      </c>
      <c r="J2124" t="str">
        <f>INDEX('GIS-Standards'!$O$2:$O$305,MATCH(B2124,'GIS-Standards'!$B$2:$B$305,0))</f>
        <v>ISO/TC 184</v>
      </c>
      <c r="K2124" t="e">
        <f>INDEX('GIS-Standards'!$O$2:$O$305,MATCH(C2124,'GIS-Standards'!$B$2:$B$305,0))</f>
        <v>#N/A</v>
      </c>
      <c r="M2124" t="s">
        <v>525</v>
      </c>
      <c r="N2124">
        <f>INDEX('GIS-Standards'!$I$2:$I$305,MATCH(B2124,'GIS-Standards'!$B$2:$B$305,0))</f>
        <v>0</v>
      </c>
      <c r="O2124" t="e">
        <f>INDEX('GIS-Standards'!$I$2:$I$305,MATCH(C2124,'GIS-Standards'!$B$2:$B$305,0))</f>
        <v>#N/A</v>
      </c>
      <c r="P2124" t="e">
        <f>AND(TableRelationships12[[#This Row],[Source Type]]="BIM",TableRelationships12[[#This Row],[Target Type]]="BIM")</f>
        <v>#N/A</v>
      </c>
      <c r="Q2124">
        <f t="shared" si="99"/>
        <v>1</v>
      </c>
      <c r="S2124">
        <f t="shared" si="100"/>
        <v>1</v>
      </c>
      <c r="T2124" s="102" t="str">
        <f>IF(TableRelationships12[[#This Row],[Rank Pedro]]="Low","linkCategory1",IF(TableRelationships12[[#This Row],[Rank Pedro]]="Medium","linkCategory2",IF(TableRelationships12[[#This Row],[Rank Pedro]]="High","linkCategory3","")))</f>
        <v/>
      </c>
      <c r="U2124" s="102" t="str">
        <f>IF(TableRelationships12[[#This Row],[Rank Pedro]]="Low","Pink",IF(TableRelationships12[[#This Row],[Rank Pedro]]="Medium","Purple",IF(TableRelationships12[[#This Row],[Rank Pedro]]="High","Brown","")))</f>
        <v/>
      </c>
      <c r="V2124" s="4" t="e">
        <f>MAX(INDEX(Standards!$F$2:$F$296,MATCH(B2124,Standards!$B$2:$B$296,0)),INDEX(Standards!$F$2:$F$296,MATCH(C2124,Standards!$B$2:$B$296,0)))</f>
        <v>#N/A</v>
      </c>
      <c r="W2124" t="str">
        <f t="shared" si="101"/>
        <v>#2f89d1</v>
      </c>
    </row>
    <row r="2125" spans="1:23" x14ac:dyDescent="0.5">
      <c r="A2125" s="54">
        <v>2124</v>
      </c>
      <c r="B2125" s="90" t="s">
        <v>1696</v>
      </c>
      <c r="C2125" t="s">
        <v>214</v>
      </c>
      <c r="D2125" s="1" t="s">
        <v>2060</v>
      </c>
      <c r="E2125" s="112">
        <v>2018.12</v>
      </c>
      <c r="F2125" s="112">
        <v>2018.12</v>
      </c>
      <c r="G2125" s="107" t="s">
        <v>2061</v>
      </c>
      <c r="H2125">
        <f>INDEX('GIS-Standards'!$A$2:$A$305,MATCH(B2125,'GIS-Standards'!$B$2:$B$305,0))</f>
        <v>94</v>
      </c>
      <c r="I2125" t="e">
        <f>INDEX('GIS-Standards'!$A$2:$A$305,MATCH(C2125,'GIS-Standards'!$B$2:$B$305,0))</f>
        <v>#N/A</v>
      </c>
      <c r="J2125" t="str">
        <f>INDEX('GIS-Standards'!$O$2:$O$305,MATCH(B2125,'GIS-Standards'!$B$2:$B$305,0))</f>
        <v>ISO/TC 184</v>
      </c>
      <c r="K2125" t="e">
        <f>INDEX('GIS-Standards'!$O$2:$O$305,MATCH(C2125,'GIS-Standards'!$B$2:$B$305,0))</f>
        <v>#N/A</v>
      </c>
      <c r="M2125" t="s">
        <v>525</v>
      </c>
      <c r="N2125">
        <f>INDEX('GIS-Standards'!$I$2:$I$305,MATCH(B2125,'GIS-Standards'!$B$2:$B$305,0))</f>
        <v>0</v>
      </c>
      <c r="O2125" t="e">
        <f>INDEX('GIS-Standards'!$I$2:$I$305,MATCH(C2125,'GIS-Standards'!$B$2:$B$305,0))</f>
        <v>#N/A</v>
      </c>
      <c r="P2125" t="e">
        <f>AND(TableRelationships12[[#This Row],[Source Type]]="BIM",TableRelationships12[[#This Row],[Target Type]]="BIM")</f>
        <v>#N/A</v>
      </c>
      <c r="Q2125">
        <f t="shared" si="99"/>
        <v>1</v>
      </c>
      <c r="S2125">
        <f t="shared" si="100"/>
        <v>1</v>
      </c>
      <c r="T2125" s="102" t="str">
        <f>IF(TableRelationships12[[#This Row],[Rank Pedro]]="Low","linkCategory1",IF(TableRelationships12[[#This Row],[Rank Pedro]]="Medium","linkCategory2",IF(TableRelationships12[[#This Row],[Rank Pedro]]="High","linkCategory3","")))</f>
        <v/>
      </c>
      <c r="U2125" s="102" t="str">
        <f>IF(TableRelationships12[[#This Row],[Rank Pedro]]="Low","Pink",IF(TableRelationships12[[#This Row],[Rank Pedro]]="Medium","Purple",IF(TableRelationships12[[#This Row],[Rank Pedro]]="High","Brown","")))</f>
        <v/>
      </c>
      <c r="V2125" s="4" t="e">
        <f>MAX(INDEX(Standards!$F$2:$F$296,MATCH(B2125,Standards!$B$2:$B$296,0)),INDEX(Standards!$F$2:$F$296,MATCH(C2125,Standards!$B$2:$B$296,0)))</f>
        <v>#N/A</v>
      </c>
      <c r="W2125" t="str">
        <f t="shared" si="101"/>
        <v>#2f89d1</v>
      </c>
    </row>
    <row r="2126" spans="1:23" x14ac:dyDescent="0.5">
      <c r="A2126" s="54">
        <v>2125</v>
      </c>
      <c r="B2126" s="90" t="s">
        <v>1696</v>
      </c>
      <c r="C2126" t="s">
        <v>224</v>
      </c>
      <c r="D2126" s="1" t="s">
        <v>2060</v>
      </c>
      <c r="E2126" s="112">
        <v>2020.07</v>
      </c>
      <c r="F2126" s="112">
        <v>2020.07</v>
      </c>
      <c r="G2126" s="107" t="s">
        <v>2061</v>
      </c>
      <c r="H2126">
        <f>INDEX('GIS-Standards'!$A$2:$A$305,MATCH(B2126,'GIS-Standards'!$B$2:$B$305,0))</f>
        <v>94</v>
      </c>
      <c r="I2126" t="e">
        <f>INDEX('GIS-Standards'!$A$2:$A$305,MATCH(C2126,'GIS-Standards'!$B$2:$B$305,0))</f>
        <v>#N/A</v>
      </c>
      <c r="J2126" t="str">
        <f>INDEX('GIS-Standards'!$O$2:$O$305,MATCH(B2126,'GIS-Standards'!$B$2:$B$305,0))</f>
        <v>ISO/TC 184</v>
      </c>
      <c r="K2126" t="e">
        <f>INDEX('GIS-Standards'!$O$2:$O$305,MATCH(C2126,'GIS-Standards'!$B$2:$B$305,0))</f>
        <v>#N/A</v>
      </c>
      <c r="M2126" t="s">
        <v>525</v>
      </c>
      <c r="N2126">
        <f>INDEX('GIS-Standards'!$I$2:$I$305,MATCH(B2126,'GIS-Standards'!$B$2:$B$305,0))</f>
        <v>0</v>
      </c>
      <c r="O2126" t="e">
        <f>INDEX('GIS-Standards'!$I$2:$I$305,MATCH(C2126,'GIS-Standards'!$B$2:$B$305,0))</f>
        <v>#N/A</v>
      </c>
      <c r="P2126" t="e">
        <f>AND(TableRelationships12[[#This Row],[Source Type]]="BIM",TableRelationships12[[#This Row],[Target Type]]="BIM")</f>
        <v>#N/A</v>
      </c>
      <c r="Q2126">
        <f t="shared" si="99"/>
        <v>1</v>
      </c>
      <c r="S2126">
        <f t="shared" si="100"/>
        <v>1</v>
      </c>
      <c r="T2126" s="102" t="str">
        <f>IF(TableRelationships12[[#This Row],[Rank Pedro]]="Low","linkCategory1",IF(TableRelationships12[[#This Row],[Rank Pedro]]="Medium","linkCategory2",IF(TableRelationships12[[#This Row],[Rank Pedro]]="High","linkCategory3","")))</f>
        <v/>
      </c>
      <c r="U2126" s="102" t="str">
        <f>IF(TableRelationships12[[#This Row],[Rank Pedro]]="Low","Pink",IF(TableRelationships12[[#This Row],[Rank Pedro]]="Medium","Purple",IF(TableRelationships12[[#This Row],[Rank Pedro]]="High","Brown","")))</f>
        <v/>
      </c>
      <c r="V2126" s="4" t="e">
        <f>MAX(INDEX(Standards!$F$2:$F$296,MATCH(B2126,Standards!$B$2:$B$296,0)),INDEX(Standards!$F$2:$F$296,MATCH(C2126,Standards!$B$2:$B$296,0)))</f>
        <v>#N/A</v>
      </c>
      <c r="W2126" t="str">
        <f t="shared" si="101"/>
        <v>#2f89d1</v>
      </c>
    </row>
    <row r="2127" spans="1:23" x14ac:dyDescent="0.5">
      <c r="A2127" s="54">
        <v>2126</v>
      </c>
      <c r="B2127" s="90" t="s">
        <v>1696</v>
      </c>
      <c r="C2127" t="s">
        <v>228</v>
      </c>
      <c r="D2127" s="1" t="s">
        <v>1774</v>
      </c>
      <c r="E2127" s="112">
        <v>2022.08</v>
      </c>
      <c r="F2127" s="112">
        <v>2022.08</v>
      </c>
      <c r="G2127" s="107" t="s">
        <v>2061</v>
      </c>
      <c r="H2127">
        <f>INDEX('GIS-Standards'!$A$2:$A$305,MATCH(B2127,'GIS-Standards'!$B$2:$B$305,0))</f>
        <v>94</v>
      </c>
      <c r="I2127" t="e">
        <f>INDEX('GIS-Standards'!$A$2:$A$305,MATCH(C2127,'GIS-Standards'!$B$2:$B$305,0))</f>
        <v>#N/A</v>
      </c>
      <c r="J2127" t="str">
        <f>INDEX('GIS-Standards'!$O$2:$O$305,MATCH(B2127,'GIS-Standards'!$B$2:$B$305,0))</f>
        <v>ISO/TC 184</v>
      </c>
      <c r="K2127" t="e">
        <f>INDEX('GIS-Standards'!$O$2:$O$305,MATCH(C2127,'GIS-Standards'!$B$2:$B$305,0))</f>
        <v>#N/A</v>
      </c>
      <c r="M2127" t="s">
        <v>525</v>
      </c>
      <c r="N2127">
        <f>INDEX('GIS-Standards'!$I$2:$I$305,MATCH(B2127,'GIS-Standards'!$B$2:$B$305,0))</f>
        <v>0</v>
      </c>
      <c r="O2127" t="e">
        <f>INDEX('GIS-Standards'!$I$2:$I$305,MATCH(C2127,'GIS-Standards'!$B$2:$B$305,0))</f>
        <v>#N/A</v>
      </c>
      <c r="P2127" t="e">
        <f>AND(TableRelationships12[[#This Row],[Source Type]]="BIM",TableRelationships12[[#This Row],[Target Type]]="BIM")</f>
        <v>#N/A</v>
      </c>
      <c r="Q2127">
        <f t="shared" si="99"/>
        <v>1</v>
      </c>
      <c r="S2127">
        <f t="shared" si="100"/>
        <v>1</v>
      </c>
      <c r="T2127" s="102" t="str">
        <f>IF(TableRelationships12[[#This Row],[Rank Pedro]]="Low","linkCategory1",IF(TableRelationships12[[#This Row],[Rank Pedro]]="Medium","linkCategory2",IF(TableRelationships12[[#This Row],[Rank Pedro]]="High","linkCategory3","")))</f>
        <v/>
      </c>
      <c r="U2127" s="102" t="str">
        <f>IF(TableRelationships12[[#This Row],[Rank Pedro]]="Low","Pink",IF(TableRelationships12[[#This Row],[Rank Pedro]]="Medium","Purple",IF(TableRelationships12[[#This Row],[Rank Pedro]]="High","Brown","")))</f>
        <v/>
      </c>
      <c r="V2127" s="4" t="e">
        <f>MAX(INDEX(Standards!$F$2:$F$296,MATCH(B2127,Standards!$B$2:$B$296,0)),INDEX(Standards!$F$2:$F$296,MATCH(C2127,Standards!$B$2:$B$296,0)))</f>
        <v>#N/A</v>
      </c>
      <c r="W2127" t="str">
        <f t="shared" si="101"/>
        <v>#2f89d1</v>
      </c>
    </row>
    <row r="2128" spans="1:23" x14ac:dyDescent="0.5">
      <c r="A2128" s="54">
        <v>2127</v>
      </c>
      <c r="B2128" s="90" t="s">
        <v>1696</v>
      </c>
      <c r="C2128" t="s">
        <v>232</v>
      </c>
      <c r="D2128" s="1" t="s">
        <v>1774</v>
      </c>
      <c r="E2128" s="112">
        <v>2020.06</v>
      </c>
      <c r="F2128" s="112">
        <v>2020.06</v>
      </c>
      <c r="G2128" s="107" t="s">
        <v>2061</v>
      </c>
      <c r="H2128">
        <f>INDEX('GIS-Standards'!$A$2:$A$305,MATCH(B2128,'GIS-Standards'!$B$2:$B$305,0))</f>
        <v>94</v>
      </c>
      <c r="I2128" t="e">
        <f>INDEX('GIS-Standards'!$A$2:$A$305,MATCH(C2128,'GIS-Standards'!$B$2:$B$305,0))</f>
        <v>#N/A</v>
      </c>
      <c r="J2128" t="str">
        <f>INDEX('GIS-Standards'!$O$2:$O$305,MATCH(B2128,'GIS-Standards'!$B$2:$B$305,0))</f>
        <v>ISO/TC 184</v>
      </c>
      <c r="K2128" t="e">
        <f>INDEX('GIS-Standards'!$O$2:$O$305,MATCH(C2128,'GIS-Standards'!$B$2:$B$305,0))</f>
        <v>#N/A</v>
      </c>
      <c r="M2128" t="s">
        <v>525</v>
      </c>
      <c r="N2128">
        <f>INDEX('GIS-Standards'!$I$2:$I$305,MATCH(B2128,'GIS-Standards'!$B$2:$B$305,0))</f>
        <v>0</v>
      </c>
      <c r="O2128" t="e">
        <f>INDEX('GIS-Standards'!$I$2:$I$305,MATCH(C2128,'GIS-Standards'!$B$2:$B$305,0))</f>
        <v>#N/A</v>
      </c>
      <c r="P2128" t="e">
        <f>AND(TableRelationships12[[#This Row],[Source Type]]="BIM",TableRelationships12[[#This Row],[Target Type]]="BIM")</f>
        <v>#N/A</v>
      </c>
      <c r="Q2128">
        <f t="shared" si="99"/>
        <v>1</v>
      </c>
      <c r="S2128">
        <f t="shared" si="100"/>
        <v>1</v>
      </c>
      <c r="T2128" s="102" t="str">
        <f>IF(TableRelationships12[[#This Row],[Rank Pedro]]="Low","linkCategory1",IF(TableRelationships12[[#This Row],[Rank Pedro]]="Medium","linkCategory2",IF(TableRelationships12[[#This Row],[Rank Pedro]]="High","linkCategory3","")))</f>
        <v/>
      </c>
      <c r="U2128" s="102" t="str">
        <f>IF(TableRelationships12[[#This Row],[Rank Pedro]]="Low","Pink",IF(TableRelationships12[[#This Row],[Rank Pedro]]="Medium","Purple",IF(TableRelationships12[[#This Row],[Rank Pedro]]="High","Brown","")))</f>
        <v/>
      </c>
      <c r="V2128" s="4" t="e">
        <f>MAX(INDEX(Standards!$F$2:$F$296,MATCH(B2128,Standards!$B$2:$B$296,0)),INDEX(Standards!$F$2:$F$296,MATCH(C2128,Standards!$B$2:$B$296,0)))</f>
        <v>#N/A</v>
      </c>
      <c r="W2128" t="str">
        <f t="shared" si="101"/>
        <v>#2f89d1</v>
      </c>
    </row>
    <row r="2129" spans="1:23" x14ac:dyDescent="0.5">
      <c r="A2129" s="54">
        <v>2128</v>
      </c>
      <c r="B2129" s="90" t="s">
        <v>1696</v>
      </c>
      <c r="C2129" t="s">
        <v>2059</v>
      </c>
      <c r="D2129" s="1" t="s">
        <v>1774</v>
      </c>
      <c r="E2129" s="112">
        <v>2025.01</v>
      </c>
      <c r="F2129" s="112">
        <v>2025.01</v>
      </c>
      <c r="G2129" s="107" t="s">
        <v>2061</v>
      </c>
      <c r="H2129">
        <f>INDEX('GIS-Standards'!$A$2:$A$305,MATCH(B2129,'GIS-Standards'!$B$2:$B$305,0))</f>
        <v>94</v>
      </c>
      <c r="I2129" t="e">
        <f>INDEX('GIS-Standards'!$A$2:$A$305,MATCH(C2129,'GIS-Standards'!$B$2:$B$305,0))</f>
        <v>#N/A</v>
      </c>
      <c r="J2129" t="str">
        <f>INDEX('GIS-Standards'!$O$2:$O$305,MATCH(B2129,'GIS-Standards'!$B$2:$B$305,0))</f>
        <v>ISO/TC 184</v>
      </c>
      <c r="K2129" t="e">
        <f>INDEX('GIS-Standards'!$O$2:$O$305,MATCH(C2129,'GIS-Standards'!$B$2:$B$305,0))</f>
        <v>#N/A</v>
      </c>
      <c r="M2129" t="s">
        <v>525</v>
      </c>
      <c r="N2129">
        <f>INDEX('GIS-Standards'!$I$2:$I$305,MATCH(B2129,'GIS-Standards'!$B$2:$B$305,0))</f>
        <v>0</v>
      </c>
      <c r="O2129" t="e">
        <f>INDEX('GIS-Standards'!$I$2:$I$305,MATCH(C2129,'GIS-Standards'!$B$2:$B$305,0))</f>
        <v>#N/A</v>
      </c>
      <c r="P2129" t="e">
        <f>AND(TableRelationships12[[#This Row],[Source Type]]="BIM",TableRelationships12[[#This Row],[Target Type]]="BIM")</f>
        <v>#N/A</v>
      </c>
      <c r="Q2129">
        <f t="shared" si="99"/>
        <v>1</v>
      </c>
      <c r="S2129">
        <f t="shared" si="100"/>
        <v>1</v>
      </c>
      <c r="T2129" s="102" t="str">
        <f>IF(TableRelationships12[[#This Row],[Rank Pedro]]="Low","linkCategory1",IF(TableRelationships12[[#This Row],[Rank Pedro]]="Medium","linkCategory2",IF(TableRelationships12[[#This Row],[Rank Pedro]]="High","linkCategory3","")))</f>
        <v/>
      </c>
      <c r="U2129" s="102" t="str">
        <f>IF(TableRelationships12[[#This Row],[Rank Pedro]]="Low","Pink",IF(TableRelationships12[[#This Row],[Rank Pedro]]="Medium","Purple",IF(TableRelationships12[[#This Row],[Rank Pedro]]="High","Brown","")))</f>
        <v/>
      </c>
      <c r="V2129" s="4" t="e">
        <f>MAX(INDEX(Standards!$F$2:$F$296,MATCH(B2129,Standards!$B$2:$B$296,0)),INDEX(Standards!$F$2:$F$296,MATCH(C2129,Standards!$B$2:$B$296,0)))</f>
        <v>#N/A</v>
      </c>
      <c r="W2129" t="str">
        <f t="shared" si="101"/>
        <v>#2f89d1</v>
      </c>
    </row>
    <row r="2130" spans="1:23" x14ac:dyDescent="0.5">
      <c r="A2130" s="54">
        <v>2129</v>
      </c>
      <c r="B2130" s="90" t="s">
        <v>488</v>
      </c>
      <c r="C2130" t="s">
        <v>527</v>
      </c>
      <c r="D2130" s="1"/>
      <c r="E2130" s="112">
        <v>2021.05</v>
      </c>
      <c r="F2130" s="112">
        <v>2021.05</v>
      </c>
      <c r="G2130" s="121" t="s">
        <v>1848</v>
      </c>
      <c r="H2130">
        <f>INDEX('GIS-Standards'!$A$2:$A$305,MATCH(B2130,'GIS-Standards'!$B$2:$B$305,0))</f>
        <v>95</v>
      </c>
      <c r="I2130" t="e">
        <f>INDEX('GIS-Standards'!$A$2:$A$305,MATCH(C2130,'GIS-Standards'!$B$2:$B$305,0))</f>
        <v>#N/A</v>
      </c>
      <c r="J2130" t="str">
        <f>INDEX('GIS-Standards'!$O$2:$O$305,MATCH(B2130,'GIS-Standards'!$B$2:$B$305,0))</f>
        <v>ISO/TC 59/SC 13</v>
      </c>
      <c r="K2130" t="e">
        <f>INDEX('GIS-Standards'!$O$2:$O$305,MATCH(C2130,'GIS-Standards'!$B$2:$B$305,0))</f>
        <v>#N/A</v>
      </c>
      <c r="M2130" t="s">
        <v>237</v>
      </c>
      <c r="N2130">
        <f>INDEX('GIS-Standards'!$I$2:$I$305,MATCH(B2130,'GIS-Standards'!$B$2:$B$305,0))</f>
        <v>0</v>
      </c>
      <c r="O2130" t="e">
        <f>INDEX('GIS-Standards'!$I$2:$I$305,MATCH(C2130,'GIS-Standards'!$B$2:$B$305,0))</f>
        <v>#N/A</v>
      </c>
      <c r="P2130" t="e">
        <f>AND(TableRelationships12[[#This Row],[Source Type]]="BIM",TableRelationships12[[#This Row],[Target Type]]="BIM")</f>
        <v>#N/A</v>
      </c>
      <c r="Q2130">
        <f t="shared" si="99"/>
        <v>2</v>
      </c>
      <c r="S2130">
        <f t="shared" si="100"/>
        <v>1</v>
      </c>
      <c r="T2130" s="102" t="str">
        <f>IF(TableRelationships12[[#This Row],[Rank Pedro]]="Low","linkCategory1",IF(TableRelationships12[[#This Row],[Rank Pedro]]="Medium","linkCategory2",IF(TableRelationships12[[#This Row],[Rank Pedro]]="High","linkCategory3","")))</f>
        <v/>
      </c>
      <c r="U2130" s="102" t="str">
        <f>IF(TableRelationships12[[#This Row],[Rank Pedro]]="Low","Pink",IF(TableRelationships12[[#This Row],[Rank Pedro]]="Medium","Purple",IF(TableRelationships12[[#This Row],[Rank Pedro]]="High","Brown","")))</f>
        <v/>
      </c>
      <c r="V2130" s="4">
        <f>MAX(INDEX(Standards!$F$2:$F$296,MATCH(B2130,Standards!$B$2:$B$296,0)),INDEX(Standards!$F$2:$F$296,MATCH(C2130,Standards!$B$2:$B$296,0)))</f>
        <v>44317</v>
      </c>
      <c r="W2130">
        <f t="shared" si="101"/>
        <v>1</v>
      </c>
    </row>
    <row r="2131" spans="1:23" x14ac:dyDescent="0.5">
      <c r="A2131" s="54">
        <v>2130</v>
      </c>
      <c r="B2131" s="90" t="s">
        <v>488</v>
      </c>
      <c r="C2131" t="s">
        <v>474</v>
      </c>
      <c r="D2131" s="1"/>
      <c r="E2131" s="113">
        <v>1974.12</v>
      </c>
      <c r="F2131" s="113">
        <v>2022.1</v>
      </c>
      <c r="G2131" s="107" t="s">
        <v>1511</v>
      </c>
      <c r="H2131">
        <f>INDEX('GIS-Standards'!$A$2:$A$305,MATCH(B2131,'GIS-Standards'!$B$2:$B$305,0))</f>
        <v>95</v>
      </c>
      <c r="I2131" t="e">
        <f>INDEX('GIS-Standards'!$A$2:$A$305,MATCH(C2131,'GIS-Standards'!$B$2:$B$305,0))</f>
        <v>#N/A</v>
      </c>
      <c r="J2131" t="str">
        <f>INDEX('GIS-Standards'!$O$2:$O$305,MATCH(B2131,'GIS-Standards'!$B$2:$B$305,0))</f>
        <v>ISO/TC 59/SC 13</v>
      </c>
      <c r="K2131" t="e">
        <f>INDEX('GIS-Standards'!$O$2:$O$305,MATCH(C2131,'GIS-Standards'!$B$2:$B$305,0))</f>
        <v>#N/A</v>
      </c>
      <c r="M2131" t="s">
        <v>525</v>
      </c>
      <c r="N2131">
        <f>INDEX('GIS-Standards'!$I$2:$I$305,MATCH(B2131,'GIS-Standards'!$B$2:$B$305,0))</f>
        <v>0</v>
      </c>
      <c r="O2131" t="e">
        <f>INDEX('GIS-Standards'!$I$2:$I$305,MATCH(C2131,'GIS-Standards'!$B$2:$B$305,0))</f>
        <v>#N/A</v>
      </c>
      <c r="P2131" t="e">
        <f>AND(TableRelationships12[[#This Row],[Source Type]]="BIM",TableRelationships12[[#This Row],[Target Type]]="BIM")</f>
        <v>#N/A</v>
      </c>
      <c r="Q2131">
        <f t="shared" si="99"/>
        <v>1</v>
      </c>
      <c r="S2131">
        <f t="shared" si="100"/>
        <v>1</v>
      </c>
      <c r="T2131" s="102" t="str">
        <f>IF(TableRelationships12[[#This Row],[Rank Pedro]]="Low","linkCategory1",IF(TableRelationships12[[#This Row],[Rank Pedro]]="Medium","linkCategory2",IF(TableRelationships12[[#This Row],[Rank Pedro]]="High","linkCategory3","")))</f>
        <v/>
      </c>
      <c r="U2131" s="102" t="str">
        <f>IF(TableRelationships12[[#This Row],[Rank Pedro]]="Low","Pink",IF(TableRelationships12[[#This Row],[Rank Pedro]]="Medium","Purple",IF(TableRelationships12[[#This Row],[Rank Pedro]]="High","Brown","")))</f>
        <v/>
      </c>
      <c r="V2131" s="4">
        <f>MAX(INDEX(Standards!$F$2:$F$296,MATCH(B2131,Standards!$B$2:$B$296,0)),INDEX(Standards!$F$2:$F$296,MATCH(C2131,Standards!$B$2:$B$296,0)))</f>
        <v>44317</v>
      </c>
      <c r="W2131" t="str">
        <f t="shared" si="101"/>
        <v>#2f89d1</v>
      </c>
    </row>
    <row r="2132" spans="1:23" x14ac:dyDescent="0.5">
      <c r="A2132" s="54">
        <v>2131</v>
      </c>
      <c r="B2132" s="90" t="s">
        <v>488</v>
      </c>
      <c r="C2132" t="s">
        <v>1171</v>
      </c>
      <c r="D2132" s="1"/>
      <c r="E2132" s="112">
        <v>1986.06</v>
      </c>
      <c r="F2132" s="112">
        <v>2015.09</v>
      </c>
      <c r="G2132" s="107" t="s">
        <v>1491</v>
      </c>
      <c r="H2132">
        <f>INDEX('GIS-Standards'!$A$2:$A$305,MATCH(B2132,'GIS-Standards'!$B$2:$B$305,0))</f>
        <v>95</v>
      </c>
      <c r="I2132" t="e">
        <f>INDEX('GIS-Standards'!$A$2:$A$305,MATCH(C2132,'GIS-Standards'!$B$2:$B$305,0))</f>
        <v>#N/A</v>
      </c>
      <c r="J2132" t="str">
        <f>INDEX('GIS-Standards'!$O$2:$O$305,MATCH(B2132,'GIS-Standards'!$B$2:$B$305,0))</f>
        <v>ISO/TC 59/SC 13</v>
      </c>
      <c r="K2132" t="e">
        <f>INDEX('GIS-Standards'!$O$2:$O$305,MATCH(C2132,'GIS-Standards'!$B$2:$B$305,0))</f>
        <v>#N/A</v>
      </c>
      <c r="M2132" t="s">
        <v>525</v>
      </c>
      <c r="N2132">
        <f>INDEX('GIS-Standards'!$I$2:$I$305,MATCH(B2132,'GIS-Standards'!$B$2:$B$305,0))</f>
        <v>0</v>
      </c>
      <c r="O2132" t="e">
        <f>INDEX('GIS-Standards'!$I$2:$I$305,MATCH(C2132,'GIS-Standards'!$B$2:$B$305,0))</f>
        <v>#N/A</v>
      </c>
      <c r="P2132" t="e">
        <f>AND(TableRelationships12[[#This Row],[Source Type]]="BIM",TableRelationships12[[#This Row],[Target Type]]="BIM")</f>
        <v>#N/A</v>
      </c>
      <c r="Q2132">
        <f t="shared" si="99"/>
        <v>1</v>
      </c>
      <c r="S2132">
        <f t="shared" si="100"/>
        <v>1</v>
      </c>
      <c r="T2132" s="102" t="str">
        <f>IF(TableRelationships12[[#This Row],[Rank Pedro]]="Low","linkCategory1",IF(TableRelationships12[[#This Row],[Rank Pedro]]="Medium","linkCategory2",IF(TableRelationships12[[#This Row],[Rank Pedro]]="High","linkCategory3","")))</f>
        <v/>
      </c>
      <c r="U2132" s="102" t="str">
        <f>IF(TableRelationships12[[#This Row],[Rank Pedro]]="Low","Pink",IF(TableRelationships12[[#This Row],[Rank Pedro]]="Medium","Purple",IF(TableRelationships12[[#This Row],[Rank Pedro]]="High","Brown","")))</f>
        <v/>
      </c>
      <c r="V2132" s="4" t="e">
        <f>MAX(INDEX(Standards!$F$2:$F$296,MATCH(B2132,Standards!$B$2:$B$296,0)),INDEX(Standards!$F$2:$F$296,MATCH(C2132,Standards!$B$2:$B$296,0)))</f>
        <v>#N/A</v>
      </c>
      <c r="W2132" t="str">
        <f t="shared" si="101"/>
        <v>#2f89d1</v>
      </c>
    </row>
    <row r="2133" spans="1:23" x14ac:dyDescent="0.5">
      <c r="A2133" s="54">
        <v>2132</v>
      </c>
      <c r="B2133" s="90" t="s">
        <v>488</v>
      </c>
      <c r="C2133" t="s">
        <v>2034</v>
      </c>
      <c r="D2133" s="1" t="s">
        <v>2027</v>
      </c>
      <c r="E2133" s="112">
        <v>1994.12</v>
      </c>
      <c r="F2133" s="112">
        <v>2024.01</v>
      </c>
      <c r="G2133" s="107" t="s">
        <v>1448</v>
      </c>
      <c r="H2133">
        <f>INDEX('GIS-Standards'!$A$2:$A$305,MATCH(B2133,'GIS-Standards'!$B$2:$B$305,0))</f>
        <v>95</v>
      </c>
      <c r="I2133" t="e">
        <f>INDEX('GIS-Standards'!$A$2:$A$305,MATCH(C2133,'GIS-Standards'!$B$2:$B$305,0))</f>
        <v>#N/A</v>
      </c>
      <c r="J2133" t="str">
        <f>INDEX('GIS-Standards'!$O$2:$O$305,MATCH(B2133,'GIS-Standards'!$B$2:$B$305,0))</f>
        <v>ISO/TC 59/SC 13</v>
      </c>
      <c r="K2133" t="e">
        <f>INDEX('GIS-Standards'!$O$2:$O$305,MATCH(C2133,'GIS-Standards'!$B$2:$B$305,0))</f>
        <v>#N/A</v>
      </c>
      <c r="M2133" t="s">
        <v>525</v>
      </c>
      <c r="N2133">
        <f>INDEX('GIS-Standards'!$I$2:$I$305,MATCH(B2133,'GIS-Standards'!$B$2:$B$305,0))</f>
        <v>0</v>
      </c>
      <c r="O2133" t="e">
        <f>INDEX('GIS-Standards'!$I$2:$I$305,MATCH(C2133,'GIS-Standards'!$B$2:$B$305,0))</f>
        <v>#N/A</v>
      </c>
      <c r="P2133" t="e">
        <f>AND(TableRelationships12[[#This Row],[Source Type]]="BIM",TableRelationships12[[#This Row],[Target Type]]="BIM")</f>
        <v>#N/A</v>
      </c>
      <c r="Q2133">
        <f t="shared" si="99"/>
        <v>1</v>
      </c>
      <c r="S2133">
        <f t="shared" si="100"/>
        <v>1</v>
      </c>
      <c r="T2133" s="102" t="str">
        <f>IF(TableRelationships12[[#This Row],[Rank Pedro]]="Low","linkCategory1",IF(TableRelationships12[[#This Row],[Rank Pedro]]="Medium","linkCategory2",IF(TableRelationships12[[#This Row],[Rank Pedro]]="High","linkCategory3","")))</f>
        <v/>
      </c>
      <c r="U2133" s="102" t="str">
        <f>IF(TableRelationships12[[#This Row],[Rank Pedro]]="Low","Pink",IF(TableRelationships12[[#This Row],[Rank Pedro]]="Medium","Purple",IF(TableRelationships12[[#This Row],[Rank Pedro]]="High","Brown","")))</f>
        <v/>
      </c>
      <c r="V2133" s="4" t="e">
        <f>MAX(INDEX(Standards!$F$2:$F$296,MATCH(B2133,Standards!$B$2:$B$296,0)),INDEX(Standards!$F$2:$F$296,MATCH(C2133,Standards!$B$2:$B$296,0)))</f>
        <v>#N/A</v>
      </c>
      <c r="W2133" t="str">
        <f t="shared" si="101"/>
        <v>#2f89d1</v>
      </c>
    </row>
    <row r="2134" spans="1:23" x14ac:dyDescent="0.5">
      <c r="A2134" s="54">
        <v>2133</v>
      </c>
      <c r="B2134" s="90" t="s">
        <v>488</v>
      </c>
      <c r="C2134" t="s">
        <v>1403</v>
      </c>
      <c r="D2134" s="1"/>
      <c r="E2134" s="112">
        <v>1999.12</v>
      </c>
      <c r="F2134" s="112">
        <v>2023.01</v>
      </c>
      <c r="G2134" s="107" t="s">
        <v>1487</v>
      </c>
      <c r="H2134">
        <f>INDEX('GIS-Standards'!$A$2:$A$305,MATCH(B2134,'GIS-Standards'!$B$2:$B$305,0))</f>
        <v>95</v>
      </c>
      <c r="I2134" t="e">
        <f>INDEX('GIS-Standards'!$A$2:$A$305,MATCH(C2134,'GIS-Standards'!$B$2:$B$305,0))</f>
        <v>#N/A</v>
      </c>
      <c r="J2134" t="str">
        <f>INDEX('GIS-Standards'!$O$2:$O$305,MATCH(B2134,'GIS-Standards'!$B$2:$B$305,0))</f>
        <v>ISO/TC 59/SC 13</v>
      </c>
      <c r="K2134" t="e">
        <f>INDEX('GIS-Standards'!$O$2:$O$305,MATCH(C2134,'GIS-Standards'!$B$2:$B$305,0))</f>
        <v>#N/A</v>
      </c>
      <c r="M2134" t="s">
        <v>525</v>
      </c>
      <c r="N2134">
        <f>INDEX('GIS-Standards'!$I$2:$I$305,MATCH(B2134,'GIS-Standards'!$B$2:$B$305,0))</f>
        <v>0</v>
      </c>
      <c r="O2134" t="e">
        <f>INDEX('GIS-Standards'!$I$2:$I$305,MATCH(C2134,'GIS-Standards'!$B$2:$B$305,0))</f>
        <v>#N/A</v>
      </c>
      <c r="P2134" t="e">
        <f>AND(TableRelationships12[[#This Row],[Source Type]]="BIM",TableRelationships12[[#This Row],[Target Type]]="BIM")</f>
        <v>#N/A</v>
      </c>
      <c r="Q2134">
        <f t="shared" si="99"/>
        <v>1</v>
      </c>
      <c r="S2134">
        <f t="shared" si="100"/>
        <v>1</v>
      </c>
      <c r="T2134" s="102" t="str">
        <f>IF(TableRelationships12[[#This Row],[Rank Pedro]]="Low","linkCategory1",IF(TableRelationships12[[#This Row],[Rank Pedro]]="Medium","linkCategory2",IF(TableRelationships12[[#This Row],[Rank Pedro]]="High","linkCategory3","")))</f>
        <v/>
      </c>
      <c r="U2134" s="102" t="str">
        <f>IF(TableRelationships12[[#This Row],[Rank Pedro]]="Low","Pink",IF(TableRelationships12[[#This Row],[Rank Pedro]]="Medium","Purple",IF(TableRelationships12[[#This Row],[Rank Pedro]]="High","Brown","")))</f>
        <v/>
      </c>
      <c r="V2134" s="4" t="e">
        <f>MAX(INDEX(Standards!$F$2:$F$296,MATCH(B2134,Standards!$B$2:$B$296,0)),INDEX(Standards!$F$2:$F$296,MATCH(C2134,Standards!$B$2:$B$296,0)))</f>
        <v>#N/A</v>
      </c>
      <c r="W2134" t="str">
        <f t="shared" si="101"/>
        <v>#2f89d1</v>
      </c>
    </row>
    <row r="2135" spans="1:23" x14ac:dyDescent="0.5">
      <c r="A2135" s="54">
        <v>2134</v>
      </c>
      <c r="B2135" s="90" t="s">
        <v>488</v>
      </c>
      <c r="C2135" t="s">
        <v>1150</v>
      </c>
      <c r="D2135" s="1"/>
      <c r="E2135" s="112">
        <v>2013.02</v>
      </c>
      <c r="F2135" s="112">
        <v>2023.01</v>
      </c>
      <c r="G2135" s="107" t="s">
        <v>1487</v>
      </c>
      <c r="H2135">
        <f>INDEX('GIS-Standards'!$A$2:$A$305,MATCH(B2135,'GIS-Standards'!$B$2:$B$305,0))</f>
        <v>95</v>
      </c>
      <c r="I2135" t="e">
        <f>INDEX('GIS-Standards'!$A$2:$A$305,MATCH(C2135,'GIS-Standards'!$B$2:$B$305,0))</f>
        <v>#N/A</v>
      </c>
      <c r="J2135" t="str">
        <f>INDEX('GIS-Standards'!$O$2:$O$305,MATCH(B2135,'GIS-Standards'!$B$2:$B$305,0))</f>
        <v>ISO/TC 59/SC 13</v>
      </c>
      <c r="K2135" t="e">
        <f>INDEX('GIS-Standards'!$O$2:$O$305,MATCH(C2135,'GIS-Standards'!$B$2:$B$305,0))</f>
        <v>#N/A</v>
      </c>
      <c r="M2135" t="s">
        <v>525</v>
      </c>
      <c r="N2135">
        <f>INDEX('GIS-Standards'!$I$2:$I$305,MATCH(B2135,'GIS-Standards'!$B$2:$B$305,0))</f>
        <v>0</v>
      </c>
      <c r="O2135" t="e">
        <f>INDEX('GIS-Standards'!$I$2:$I$305,MATCH(C2135,'GIS-Standards'!$B$2:$B$305,0))</f>
        <v>#N/A</v>
      </c>
      <c r="P2135" t="e">
        <f>AND(TableRelationships12[[#This Row],[Source Type]]="BIM",TableRelationships12[[#This Row],[Target Type]]="BIM")</f>
        <v>#N/A</v>
      </c>
      <c r="Q2135">
        <f t="shared" si="99"/>
        <v>1</v>
      </c>
      <c r="S2135">
        <f t="shared" si="100"/>
        <v>1</v>
      </c>
      <c r="T2135" s="102" t="str">
        <f>IF(TableRelationships12[[#This Row],[Rank Pedro]]="Low","linkCategory1",IF(TableRelationships12[[#This Row],[Rank Pedro]]="Medium","linkCategory2",IF(TableRelationships12[[#This Row],[Rank Pedro]]="High","linkCategory3","")))</f>
        <v/>
      </c>
      <c r="U2135" s="102" t="str">
        <f>IF(TableRelationships12[[#This Row],[Rank Pedro]]="Low","Pink",IF(TableRelationships12[[#This Row],[Rank Pedro]]="Medium","Purple",IF(TableRelationships12[[#This Row],[Rank Pedro]]="High","Brown","")))</f>
        <v/>
      </c>
      <c r="V2135" s="4" t="e">
        <f>MAX(INDEX(Standards!$F$2:$F$296,MATCH(B2135,Standards!$B$2:$B$296,0)),INDEX(Standards!$F$2:$F$296,MATCH(C2135,Standards!$B$2:$B$296,0)))</f>
        <v>#N/A</v>
      </c>
      <c r="W2135" t="str">
        <f t="shared" si="101"/>
        <v>#2f89d1</v>
      </c>
    </row>
    <row r="2136" spans="1:23" x14ac:dyDescent="0.5">
      <c r="A2136" s="54">
        <v>2135</v>
      </c>
      <c r="B2136" s="90" t="s">
        <v>488</v>
      </c>
      <c r="C2136" t="s">
        <v>272</v>
      </c>
      <c r="D2136" s="1" t="s">
        <v>1849</v>
      </c>
      <c r="E2136" s="112">
        <v>2011.09</v>
      </c>
      <c r="F2136" s="112">
        <v>2011.09</v>
      </c>
      <c r="G2136" s="107" t="s">
        <v>2038</v>
      </c>
      <c r="H2136">
        <f>INDEX('GIS-Standards'!$A$2:$A$305,MATCH(B2136,'GIS-Standards'!$B$2:$B$305,0))</f>
        <v>95</v>
      </c>
      <c r="I2136" t="e">
        <f>INDEX('GIS-Standards'!$A$2:$A$305,MATCH(C2136,'GIS-Standards'!$B$2:$B$305,0))</f>
        <v>#N/A</v>
      </c>
      <c r="J2136" t="str">
        <f>INDEX('GIS-Standards'!$O$2:$O$305,MATCH(B2136,'GIS-Standards'!$B$2:$B$305,0))</f>
        <v>ISO/TC 59/SC 13</v>
      </c>
      <c r="K2136" t="e">
        <f>INDEX('GIS-Standards'!$O$2:$O$305,MATCH(C2136,'GIS-Standards'!$B$2:$B$305,0))</f>
        <v>#N/A</v>
      </c>
      <c r="M2136" t="s">
        <v>525</v>
      </c>
      <c r="N2136">
        <f>INDEX('GIS-Standards'!$I$2:$I$305,MATCH(B2136,'GIS-Standards'!$B$2:$B$305,0))</f>
        <v>0</v>
      </c>
      <c r="O2136" t="e">
        <f>INDEX('GIS-Standards'!$I$2:$I$305,MATCH(C2136,'GIS-Standards'!$B$2:$B$305,0))</f>
        <v>#N/A</v>
      </c>
      <c r="P2136" t="e">
        <f>AND(TableRelationships12[[#This Row],[Source Type]]="BIM",TableRelationships12[[#This Row],[Target Type]]="BIM")</f>
        <v>#N/A</v>
      </c>
      <c r="Q2136">
        <f t="shared" si="99"/>
        <v>1</v>
      </c>
      <c r="S2136">
        <f t="shared" si="100"/>
        <v>1</v>
      </c>
      <c r="T2136" s="102" t="str">
        <f>IF(TableRelationships12[[#This Row],[Rank Pedro]]="Low","linkCategory1",IF(TableRelationships12[[#This Row],[Rank Pedro]]="Medium","linkCategory2",IF(TableRelationships12[[#This Row],[Rank Pedro]]="High","linkCategory3","")))</f>
        <v/>
      </c>
      <c r="U2136" s="102" t="str">
        <f>IF(TableRelationships12[[#This Row],[Rank Pedro]]="Low","Pink",IF(TableRelationships12[[#This Row],[Rank Pedro]]="Medium","Purple",IF(TableRelationships12[[#This Row],[Rank Pedro]]="High","Brown","")))</f>
        <v/>
      </c>
      <c r="V2136" s="4">
        <f>MAX(INDEX(Standards!$F$2:$F$296,MATCH(B2136,Standards!$B$2:$B$296,0)),INDEX(Standards!$F$2:$F$296,MATCH(C2136,Standards!$B$2:$B$296,0)))</f>
        <v>44317</v>
      </c>
      <c r="W2136" t="str">
        <f t="shared" si="101"/>
        <v>#2f89d1</v>
      </c>
    </row>
    <row r="2137" spans="1:23" x14ac:dyDescent="0.5">
      <c r="A2137" s="54">
        <v>2136</v>
      </c>
      <c r="B2137" s="90" t="s">
        <v>488</v>
      </c>
      <c r="C2137" t="s">
        <v>63</v>
      </c>
      <c r="D2137" s="1" t="s">
        <v>2040</v>
      </c>
      <c r="E2137" s="113" t="s">
        <v>2041</v>
      </c>
      <c r="F2137" s="113">
        <v>2015.05</v>
      </c>
      <c r="G2137" s="107" t="s">
        <v>2043</v>
      </c>
      <c r="H2137">
        <f>INDEX('GIS-Standards'!$A$2:$A$305,MATCH(B2137,'GIS-Standards'!$B$2:$B$305,0))</f>
        <v>95</v>
      </c>
      <c r="I2137" t="e">
        <f>INDEX('GIS-Standards'!$A$2:$A$305,MATCH(C2137,'GIS-Standards'!$B$2:$B$305,0))</f>
        <v>#N/A</v>
      </c>
      <c r="J2137" t="str">
        <f>INDEX('GIS-Standards'!$O$2:$O$305,MATCH(B2137,'GIS-Standards'!$B$2:$B$305,0))</f>
        <v>ISO/TC 59/SC 13</v>
      </c>
      <c r="K2137" t="e">
        <f>INDEX('GIS-Standards'!$O$2:$O$305,MATCH(C2137,'GIS-Standards'!$B$2:$B$305,0))</f>
        <v>#N/A</v>
      </c>
      <c r="M2137" t="s">
        <v>525</v>
      </c>
      <c r="N2137">
        <f>INDEX('GIS-Standards'!$I$2:$I$305,MATCH(B2137,'GIS-Standards'!$B$2:$B$305,0))</f>
        <v>0</v>
      </c>
      <c r="O2137" t="e">
        <f>INDEX('GIS-Standards'!$I$2:$I$305,MATCH(C2137,'GIS-Standards'!$B$2:$B$305,0))</f>
        <v>#N/A</v>
      </c>
      <c r="P2137" t="e">
        <f>AND(TableRelationships12[[#This Row],[Source Type]]="BIM",TableRelationships12[[#This Row],[Target Type]]="BIM")</f>
        <v>#N/A</v>
      </c>
      <c r="Q2137">
        <f t="shared" si="99"/>
        <v>1</v>
      </c>
      <c r="S2137">
        <f t="shared" si="100"/>
        <v>1</v>
      </c>
      <c r="T2137" s="102" t="str">
        <f>IF(TableRelationships12[[#This Row],[Rank Pedro]]="Low","linkCategory1",IF(TableRelationships12[[#This Row],[Rank Pedro]]="Medium","linkCategory2",IF(TableRelationships12[[#This Row],[Rank Pedro]]="High","linkCategory3","")))</f>
        <v/>
      </c>
      <c r="U2137" s="102" t="str">
        <f>IF(TableRelationships12[[#This Row],[Rank Pedro]]="Low","Pink",IF(TableRelationships12[[#This Row],[Rank Pedro]]="Medium","Purple",IF(TableRelationships12[[#This Row],[Rank Pedro]]="High","Brown","")))</f>
        <v/>
      </c>
      <c r="V2137" s="4">
        <f>MAX(INDEX(Standards!$F$2:$F$296,MATCH(B2137,Standards!$B$2:$B$296,0)),INDEX(Standards!$F$2:$F$296,MATCH(C2137,Standards!$B$2:$B$296,0)))</f>
        <v>44317</v>
      </c>
      <c r="W2137" t="str">
        <f t="shared" si="101"/>
        <v>#2f89d1</v>
      </c>
    </row>
    <row r="2138" spans="1:23" x14ac:dyDescent="0.5">
      <c r="A2138" s="54">
        <v>2137</v>
      </c>
      <c r="B2138" s="90" t="s">
        <v>488</v>
      </c>
      <c r="C2138" t="s">
        <v>1851</v>
      </c>
      <c r="D2138" s="1"/>
      <c r="E2138" s="112">
        <v>2012.08</v>
      </c>
      <c r="F2138" s="112">
        <v>2012.08</v>
      </c>
      <c r="G2138" s="107" t="s">
        <v>2055</v>
      </c>
      <c r="H2138">
        <f>INDEX('GIS-Standards'!$A$2:$A$305,MATCH(B2138,'GIS-Standards'!$B$2:$B$305,0))</f>
        <v>95</v>
      </c>
      <c r="I2138" t="e">
        <f>INDEX('GIS-Standards'!$A$2:$A$305,MATCH(C2138,'GIS-Standards'!$B$2:$B$305,0))</f>
        <v>#N/A</v>
      </c>
      <c r="J2138" t="str">
        <f>INDEX('GIS-Standards'!$O$2:$O$305,MATCH(B2138,'GIS-Standards'!$B$2:$B$305,0))</f>
        <v>ISO/TC 59/SC 13</v>
      </c>
      <c r="K2138" t="e">
        <f>INDEX('GIS-Standards'!$O$2:$O$305,MATCH(C2138,'GIS-Standards'!$B$2:$B$305,0))</f>
        <v>#N/A</v>
      </c>
      <c r="M2138" t="s">
        <v>525</v>
      </c>
      <c r="N2138">
        <f>INDEX('GIS-Standards'!$I$2:$I$305,MATCH(B2138,'GIS-Standards'!$B$2:$B$305,0))</f>
        <v>0</v>
      </c>
      <c r="O2138" t="e">
        <f>INDEX('GIS-Standards'!$I$2:$I$305,MATCH(C2138,'GIS-Standards'!$B$2:$B$305,0))</f>
        <v>#N/A</v>
      </c>
      <c r="P2138" t="e">
        <f>AND(TableRelationships12[[#This Row],[Source Type]]="BIM",TableRelationships12[[#This Row],[Target Type]]="BIM")</f>
        <v>#N/A</v>
      </c>
      <c r="Q2138">
        <f t="shared" si="99"/>
        <v>1</v>
      </c>
      <c r="S2138">
        <f t="shared" si="100"/>
        <v>1</v>
      </c>
      <c r="T2138" s="102" t="str">
        <f>IF(TableRelationships12[[#This Row],[Rank Pedro]]="Low","linkCategory1",IF(TableRelationships12[[#This Row],[Rank Pedro]]="Medium","linkCategory2",IF(TableRelationships12[[#This Row],[Rank Pedro]]="High","linkCategory3","")))</f>
        <v/>
      </c>
      <c r="U2138" s="102" t="str">
        <f>IF(TableRelationships12[[#This Row],[Rank Pedro]]="Low","Pink",IF(TableRelationships12[[#This Row],[Rank Pedro]]="Medium","Purple",IF(TableRelationships12[[#This Row],[Rank Pedro]]="High","Brown","")))</f>
        <v/>
      </c>
      <c r="V2138" s="4" t="e">
        <f>MAX(INDEX(Standards!$F$2:$F$296,MATCH(B2138,Standards!$B$2:$B$296,0)),INDEX(Standards!$F$2:$F$296,MATCH(C2138,Standards!$B$2:$B$296,0)))</f>
        <v>#N/A</v>
      </c>
      <c r="W2138" t="str">
        <f t="shared" si="101"/>
        <v>#2f89d1</v>
      </c>
    </row>
    <row r="2139" spans="1:23" x14ac:dyDescent="0.5">
      <c r="A2139" s="54">
        <v>2138</v>
      </c>
      <c r="B2139" s="90" t="s">
        <v>488</v>
      </c>
      <c r="C2139" t="s">
        <v>1852</v>
      </c>
      <c r="D2139" s="1"/>
      <c r="E2139" s="112">
        <v>2007.01</v>
      </c>
      <c r="F2139" s="112">
        <v>2021.11</v>
      </c>
      <c r="G2139" s="107" t="s">
        <v>2049</v>
      </c>
      <c r="H2139">
        <f>INDEX('GIS-Standards'!$A$2:$A$305,MATCH(B2139,'GIS-Standards'!$B$2:$B$305,0))</f>
        <v>95</v>
      </c>
      <c r="I2139" t="e">
        <f>INDEX('GIS-Standards'!$A$2:$A$305,MATCH(C2139,'GIS-Standards'!$B$2:$B$305,0))</f>
        <v>#N/A</v>
      </c>
      <c r="J2139" t="str">
        <f>INDEX('GIS-Standards'!$O$2:$O$305,MATCH(B2139,'GIS-Standards'!$B$2:$B$305,0))</f>
        <v>ISO/TC 59/SC 13</v>
      </c>
      <c r="K2139" t="e">
        <f>INDEX('GIS-Standards'!$O$2:$O$305,MATCH(C2139,'GIS-Standards'!$B$2:$B$305,0))</f>
        <v>#N/A</v>
      </c>
      <c r="M2139" t="s">
        <v>525</v>
      </c>
      <c r="N2139">
        <f>INDEX('GIS-Standards'!$I$2:$I$305,MATCH(B2139,'GIS-Standards'!$B$2:$B$305,0))</f>
        <v>0</v>
      </c>
      <c r="O2139" t="e">
        <f>INDEX('GIS-Standards'!$I$2:$I$305,MATCH(C2139,'GIS-Standards'!$B$2:$B$305,0))</f>
        <v>#N/A</v>
      </c>
      <c r="P2139" t="e">
        <f>AND(TableRelationships12[[#This Row],[Source Type]]="BIM",TableRelationships12[[#This Row],[Target Type]]="BIM")</f>
        <v>#N/A</v>
      </c>
      <c r="Q2139">
        <f t="shared" si="99"/>
        <v>1</v>
      </c>
      <c r="S2139">
        <f t="shared" si="100"/>
        <v>1</v>
      </c>
      <c r="T2139" s="102" t="str">
        <f>IF(TableRelationships12[[#This Row],[Rank Pedro]]="Low","linkCategory1",IF(TableRelationships12[[#This Row],[Rank Pedro]]="Medium","linkCategory2",IF(TableRelationships12[[#This Row],[Rank Pedro]]="High","linkCategory3","")))</f>
        <v/>
      </c>
      <c r="U2139" s="102" t="str">
        <f>IF(TableRelationships12[[#This Row],[Rank Pedro]]="Low","Pink",IF(TableRelationships12[[#This Row],[Rank Pedro]]="Medium","Purple",IF(TableRelationships12[[#This Row],[Rank Pedro]]="High","Brown","")))</f>
        <v/>
      </c>
      <c r="V2139" s="4" t="e">
        <f>MAX(INDEX(Standards!$F$2:$F$296,MATCH(B2139,Standards!$B$2:$B$296,0)),INDEX(Standards!$F$2:$F$296,MATCH(C2139,Standards!$B$2:$B$296,0)))</f>
        <v>#N/A</v>
      </c>
      <c r="W2139" t="str">
        <f t="shared" si="101"/>
        <v>#2f89d1</v>
      </c>
    </row>
    <row r="2140" spans="1:23" x14ac:dyDescent="0.5">
      <c r="A2140" s="54">
        <v>2139</v>
      </c>
      <c r="B2140" s="90" t="s">
        <v>488</v>
      </c>
      <c r="C2140" t="s">
        <v>275</v>
      </c>
      <c r="D2140" s="1"/>
      <c r="E2140" s="112">
        <v>2015.09</v>
      </c>
      <c r="F2140" s="112">
        <v>2024.12</v>
      </c>
      <c r="G2140" s="107" t="s">
        <v>2055</v>
      </c>
      <c r="H2140">
        <f>INDEX('GIS-Standards'!$A$2:$A$305,MATCH(B2140,'GIS-Standards'!$B$2:$B$305,0))</f>
        <v>95</v>
      </c>
      <c r="I2140" t="e">
        <f>INDEX('GIS-Standards'!$A$2:$A$305,MATCH(C2140,'GIS-Standards'!$B$2:$B$305,0))</f>
        <v>#N/A</v>
      </c>
      <c r="J2140" t="str">
        <f>INDEX('GIS-Standards'!$O$2:$O$305,MATCH(B2140,'GIS-Standards'!$B$2:$B$305,0))</f>
        <v>ISO/TC 59/SC 13</v>
      </c>
      <c r="K2140" t="e">
        <f>INDEX('GIS-Standards'!$O$2:$O$305,MATCH(C2140,'GIS-Standards'!$B$2:$B$305,0))</f>
        <v>#N/A</v>
      </c>
      <c r="M2140" t="s">
        <v>525</v>
      </c>
      <c r="N2140">
        <f>INDEX('GIS-Standards'!$I$2:$I$305,MATCH(B2140,'GIS-Standards'!$B$2:$B$305,0))</f>
        <v>0</v>
      </c>
      <c r="O2140" t="e">
        <f>INDEX('GIS-Standards'!$I$2:$I$305,MATCH(C2140,'GIS-Standards'!$B$2:$B$305,0))</f>
        <v>#N/A</v>
      </c>
      <c r="P2140" t="e">
        <f>AND(TableRelationships12[[#This Row],[Source Type]]="BIM",TableRelationships12[[#This Row],[Target Type]]="BIM")</f>
        <v>#N/A</v>
      </c>
      <c r="Q2140">
        <f t="shared" si="99"/>
        <v>1</v>
      </c>
      <c r="S2140">
        <f t="shared" si="100"/>
        <v>1</v>
      </c>
      <c r="T2140" s="102" t="str">
        <f>IF(TableRelationships12[[#This Row],[Rank Pedro]]="Low","linkCategory1",IF(TableRelationships12[[#This Row],[Rank Pedro]]="Medium","linkCategory2",IF(TableRelationships12[[#This Row],[Rank Pedro]]="High","linkCategory3","")))</f>
        <v/>
      </c>
      <c r="U2140" s="102" t="str">
        <f>IF(TableRelationships12[[#This Row],[Rank Pedro]]="Low","Pink",IF(TableRelationships12[[#This Row],[Rank Pedro]]="Medium","Purple",IF(TableRelationships12[[#This Row],[Rank Pedro]]="High","Brown","")))</f>
        <v/>
      </c>
      <c r="V2140" s="4">
        <f>MAX(INDEX(Standards!$F$2:$F$296,MATCH(B2140,Standards!$B$2:$B$296,0)),INDEX(Standards!$F$2:$F$296,MATCH(C2140,Standards!$B$2:$B$296,0)))</f>
        <v>44317</v>
      </c>
      <c r="W2140" t="str">
        <f t="shared" si="101"/>
        <v>#2f89d1</v>
      </c>
    </row>
    <row r="2141" spans="1:23" x14ac:dyDescent="0.5">
      <c r="A2141" s="54">
        <v>2140</v>
      </c>
      <c r="B2141" s="90" t="s">
        <v>488</v>
      </c>
      <c r="C2141" t="s">
        <v>279</v>
      </c>
      <c r="D2141" s="1" t="s">
        <v>1676</v>
      </c>
      <c r="E2141" s="113">
        <v>2000.09</v>
      </c>
      <c r="F2141" s="113">
        <v>2011.05</v>
      </c>
      <c r="G2141" s="107" t="s">
        <v>1718</v>
      </c>
      <c r="H2141">
        <f>INDEX('GIS-Standards'!$A$2:$A$305,MATCH(B2141,'GIS-Standards'!$B$2:$B$305,0))</f>
        <v>95</v>
      </c>
      <c r="I2141">
        <f>INDEX('GIS-Standards'!$A$2:$A$305,MATCH(C2141,'GIS-Standards'!$B$2:$B$305,0))</f>
        <v>6</v>
      </c>
      <c r="J2141" t="str">
        <f>INDEX('GIS-Standards'!$O$2:$O$305,MATCH(B2141,'GIS-Standards'!$B$2:$B$305,0))</f>
        <v>ISO/TC 59/SC 13</v>
      </c>
      <c r="K2141" t="str">
        <f>INDEX('GIS-Standards'!$O$2:$O$305,MATCH(C2141,'GIS-Standards'!$B$2:$B$305,0))</f>
        <v>ISO/TC 59</v>
      </c>
      <c r="M2141" t="s">
        <v>525</v>
      </c>
      <c r="N2141">
        <f>INDEX('GIS-Standards'!$I$2:$I$305,MATCH(B2141,'GIS-Standards'!$B$2:$B$305,0))</f>
        <v>0</v>
      </c>
      <c r="O2141">
        <f>INDEX('GIS-Standards'!$I$2:$I$305,MATCH(C2141,'GIS-Standards'!$B$2:$B$305,0))</f>
        <v>0</v>
      </c>
      <c r="P2141" t="b">
        <f>AND(TableRelationships12[[#This Row],[Source Type]]="BIM",TableRelationships12[[#This Row],[Target Type]]="BIM")</f>
        <v>0</v>
      </c>
      <c r="Q2141">
        <f t="shared" si="99"/>
        <v>1</v>
      </c>
      <c r="S2141">
        <f t="shared" si="100"/>
        <v>1</v>
      </c>
      <c r="T2141" s="102" t="str">
        <f>IF(TableRelationships12[[#This Row],[Rank Pedro]]="Low","linkCategory1",IF(TableRelationships12[[#This Row],[Rank Pedro]]="Medium","linkCategory2",IF(TableRelationships12[[#This Row],[Rank Pedro]]="High","linkCategory3","")))</f>
        <v/>
      </c>
      <c r="U2141" s="102" t="str">
        <f>IF(TableRelationships12[[#This Row],[Rank Pedro]]="Low","Pink",IF(TableRelationships12[[#This Row],[Rank Pedro]]="Medium","Purple",IF(TableRelationships12[[#This Row],[Rank Pedro]]="High","Brown","")))</f>
        <v/>
      </c>
      <c r="V2141" s="4">
        <f>MAX(INDEX(Standards!$F$2:$F$296,MATCH(B2141,Standards!$B$2:$B$296,0)),INDEX(Standards!$F$2:$F$296,MATCH(C2141,Standards!$B$2:$B$296,0)))</f>
        <v>44317</v>
      </c>
      <c r="W2141" t="str">
        <f t="shared" si="101"/>
        <v>#2f89d1</v>
      </c>
    </row>
    <row r="2142" spans="1:23" x14ac:dyDescent="0.5">
      <c r="A2142" s="54">
        <v>2141</v>
      </c>
      <c r="B2142" s="90" t="s">
        <v>488</v>
      </c>
      <c r="C2142" t="s">
        <v>2107</v>
      </c>
      <c r="D2142" t="s">
        <v>2027</v>
      </c>
      <c r="E2142" s="112">
        <v>2004.07</v>
      </c>
      <c r="F2142" s="112">
        <v>2004.07</v>
      </c>
      <c r="G2142" s="107" t="s">
        <v>2070</v>
      </c>
      <c r="H2142">
        <f>INDEX('GIS-Standards'!$A$2:$A$305,MATCH(B2142,'GIS-Standards'!$B$2:$B$305,0))</f>
        <v>95</v>
      </c>
      <c r="I2142" t="e">
        <f>INDEX('GIS-Standards'!$A$2:$A$305,MATCH(C2142,'GIS-Standards'!$B$2:$B$305,0))</f>
        <v>#N/A</v>
      </c>
      <c r="J2142" t="str">
        <f>INDEX('GIS-Standards'!$O$2:$O$305,MATCH(B2142,'GIS-Standards'!$B$2:$B$305,0))</f>
        <v>ISO/TC 59/SC 13</v>
      </c>
      <c r="K2142" t="e">
        <f>INDEX('GIS-Standards'!$O$2:$O$305,MATCH(C2142,'GIS-Standards'!$B$2:$B$305,0))</f>
        <v>#N/A</v>
      </c>
      <c r="M2142" t="s">
        <v>525</v>
      </c>
      <c r="N2142">
        <f>INDEX('GIS-Standards'!$I$2:$I$305,MATCH(B2142,'GIS-Standards'!$B$2:$B$305,0))</f>
        <v>0</v>
      </c>
      <c r="O2142" t="e">
        <f>INDEX('GIS-Standards'!$I$2:$I$305,MATCH(C2142,'GIS-Standards'!$B$2:$B$305,0))</f>
        <v>#N/A</v>
      </c>
      <c r="P2142" t="e">
        <f>AND(TableRelationships12[[#This Row],[Source Type]]="BIM",TableRelationships12[[#This Row],[Target Type]]="BIM")</f>
        <v>#N/A</v>
      </c>
      <c r="Q2142">
        <f t="shared" si="99"/>
        <v>1</v>
      </c>
      <c r="S2142">
        <f t="shared" si="100"/>
        <v>1</v>
      </c>
      <c r="T2142" s="102" t="str">
        <f>IF(TableRelationships12[[#This Row],[Rank Pedro]]="Low","linkCategory1",IF(TableRelationships12[[#This Row],[Rank Pedro]]="Medium","linkCategory2",IF(TableRelationships12[[#This Row],[Rank Pedro]]="High","linkCategory3","")))</f>
        <v/>
      </c>
      <c r="U2142" s="102" t="str">
        <f>IF(TableRelationships12[[#This Row],[Rank Pedro]]="Low","Pink",IF(TableRelationships12[[#This Row],[Rank Pedro]]="Medium","Purple",IF(TableRelationships12[[#This Row],[Rank Pedro]]="High","Brown","")))</f>
        <v/>
      </c>
      <c r="V2142" s="4" t="e">
        <f>MAX(INDEX(Standards!$F$2:$F$296,MATCH(B2142,Standards!$B$2:$B$296,0)),INDEX(Standards!$F$2:$F$296,MATCH(C2142,Standards!$B$2:$B$296,0)))</f>
        <v>#N/A</v>
      </c>
      <c r="W2142" t="str">
        <f t="shared" si="101"/>
        <v>#2f89d1</v>
      </c>
    </row>
    <row r="2143" spans="1:23" x14ac:dyDescent="0.5">
      <c r="A2143" s="54">
        <v>2142</v>
      </c>
      <c r="B2143" s="90" t="s">
        <v>488</v>
      </c>
      <c r="C2143" s="90" t="s">
        <v>1853</v>
      </c>
      <c r="D2143" s="1"/>
      <c r="E2143" s="112">
        <v>2005.1</v>
      </c>
      <c r="F2143" s="112">
        <v>2024.03</v>
      </c>
      <c r="G2143" s="107" t="s">
        <v>1448</v>
      </c>
      <c r="H2143">
        <f>INDEX('GIS-Standards'!$A$2:$A$305,MATCH(B2143,'GIS-Standards'!$B$2:$B$305,0))</f>
        <v>95</v>
      </c>
      <c r="I2143" t="e">
        <f>INDEX('GIS-Standards'!$A$2:$A$305,MATCH(C2143,'GIS-Standards'!$B$2:$B$305,0))</f>
        <v>#N/A</v>
      </c>
      <c r="J2143" t="str">
        <f>INDEX('GIS-Standards'!$O$2:$O$305,MATCH(B2143,'GIS-Standards'!$B$2:$B$305,0))</f>
        <v>ISO/TC 59/SC 13</v>
      </c>
      <c r="K2143" t="e">
        <f>INDEX('GIS-Standards'!$O$2:$O$305,MATCH(C2143,'GIS-Standards'!$B$2:$B$305,0))</f>
        <v>#N/A</v>
      </c>
      <c r="M2143" t="s">
        <v>525</v>
      </c>
      <c r="N2143">
        <f>INDEX('GIS-Standards'!$I$2:$I$305,MATCH(B2143,'GIS-Standards'!$B$2:$B$305,0))</f>
        <v>0</v>
      </c>
      <c r="O2143" t="e">
        <f>INDEX('GIS-Standards'!$I$2:$I$305,MATCH(C2143,'GIS-Standards'!$B$2:$B$305,0))</f>
        <v>#N/A</v>
      </c>
      <c r="P2143" t="e">
        <f>AND(TableRelationships12[[#This Row],[Source Type]]="BIM",TableRelationships12[[#This Row],[Target Type]]="BIM")</f>
        <v>#N/A</v>
      </c>
      <c r="Q2143">
        <f t="shared" si="99"/>
        <v>1</v>
      </c>
      <c r="S2143">
        <f t="shared" si="100"/>
        <v>1</v>
      </c>
      <c r="T2143" s="102" t="str">
        <f>IF(TableRelationships12[[#This Row],[Rank Pedro]]="Low","linkCategory1",IF(TableRelationships12[[#This Row],[Rank Pedro]]="Medium","linkCategory2",IF(TableRelationships12[[#This Row],[Rank Pedro]]="High","linkCategory3","")))</f>
        <v/>
      </c>
      <c r="U2143" s="102" t="str">
        <f>IF(TableRelationships12[[#This Row],[Rank Pedro]]="Low","Pink",IF(TableRelationships12[[#This Row],[Rank Pedro]]="Medium","Purple",IF(TableRelationships12[[#This Row],[Rank Pedro]]="High","Brown","")))</f>
        <v/>
      </c>
      <c r="V2143" s="4" t="e">
        <f>MAX(INDEX(Standards!$F$2:$F$296,MATCH(B2143,Standards!$B$2:$B$296,0)),INDEX(Standards!$F$2:$F$296,MATCH(C2143,Standards!$B$2:$B$296,0)))</f>
        <v>#N/A</v>
      </c>
      <c r="W2143" t="str">
        <f t="shared" si="101"/>
        <v>#2f89d1</v>
      </c>
    </row>
    <row r="2144" spans="1:23" x14ac:dyDescent="0.5">
      <c r="A2144" s="54">
        <v>2143</v>
      </c>
      <c r="B2144" s="90" t="s">
        <v>488</v>
      </c>
      <c r="C2144" t="s">
        <v>170</v>
      </c>
      <c r="D2144" t="s">
        <v>1854</v>
      </c>
      <c r="E2144" s="112">
        <v>2015.02</v>
      </c>
      <c r="F2144" s="112">
        <v>2015.02</v>
      </c>
      <c r="G2144" s="107" t="s">
        <v>2044</v>
      </c>
      <c r="H2144">
        <f>INDEX('GIS-Standards'!$A$2:$A$305,MATCH(B2144,'GIS-Standards'!$B$2:$B$305,0))</f>
        <v>95</v>
      </c>
      <c r="I2144" t="e">
        <f>INDEX('GIS-Standards'!$A$2:$A$305,MATCH(C2144,'GIS-Standards'!$B$2:$B$305,0))</f>
        <v>#N/A</v>
      </c>
      <c r="J2144" t="str">
        <f>INDEX('GIS-Standards'!$O$2:$O$305,MATCH(B2144,'GIS-Standards'!$B$2:$B$305,0))</f>
        <v>ISO/TC 59/SC 13</v>
      </c>
      <c r="K2144" t="e">
        <f>INDEX('GIS-Standards'!$O$2:$O$305,MATCH(C2144,'GIS-Standards'!$B$2:$B$305,0))</f>
        <v>#N/A</v>
      </c>
      <c r="M2144" t="s">
        <v>525</v>
      </c>
      <c r="N2144">
        <f>INDEX('GIS-Standards'!$I$2:$I$305,MATCH(B2144,'GIS-Standards'!$B$2:$B$305,0))</f>
        <v>0</v>
      </c>
      <c r="O2144" t="e">
        <f>INDEX('GIS-Standards'!$I$2:$I$305,MATCH(C2144,'GIS-Standards'!$B$2:$B$305,0))</f>
        <v>#N/A</v>
      </c>
      <c r="P2144" t="e">
        <f>AND(TableRelationships12[[#This Row],[Source Type]]="BIM",TableRelationships12[[#This Row],[Target Type]]="BIM")</f>
        <v>#N/A</v>
      </c>
      <c r="Q2144">
        <f t="shared" si="99"/>
        <v>1</v>
      </c>
      <c r="S2144">
        <f t="shared" si="100"/>
        <v>1</v>
      </c>
      <c r="T2144" s="102" t="str">
        <f>IF(TableRelationships12[[#This Row],[Rank Pedro]]="Low","linkCategory1",IF(TableRelationships12[[#This Row],[Rank Pedro]]="Medium","linkCategory2",IF(TableRelationships12[[#This Row],[Rank Pedro]]="High","linkCategory3","")))</f>
        <v/>
      </c>
      <c r="U2144" s="102" t="str">
        <f>IF(TableRelationships12[[#This Row],[Rank Pedro]]="Low","Pink",IF(TableRelationships12[[#This Row],[Rank Pedro]]="Medium","Purple",IF(TableRelationships12[[#This Row],[Rank Pedro]]="High","Brown","")))</f>
        <v/>
      </c>
      <c r="V2144" s="4">
        <f>MAX(INDEX(Standards!$F$2:$F$296,MATCH(B2144,Standards!$B$2:$B$296,0)),INDEX(Standards!$F$2:$F$296,MATCH(C2144,Standards!$B$2:$B$296,0)))</f>
        <v>44317</v>
      </c>
      <c r="W2144" t="str">
        <f t="shared" si="101"/>
        <v>#2f89d1</v>
      </c>
    </row>
    <row r="2145" spans="1:23" x14ac:dyDescent="0.5">
      <c r="A2145" s="54">
        <v>2144</v>
      </c>
      <c r="B2145" s="90" t="s">
        <v>488</v>
      </c>
      <c r="C2145" t="s">
        <v>174</v>
      </c>
      <c r="D2145" t="s">
        <v>1854</v>
      </c>
      <c r="E2145" s="112">
        <v>2016.11</v>
      </c>
      <c r="F2145" s="112">
        <v>2016.11</v>
      </c>
      <c r="G2145" s="107" t="s">
        <v>2044</v>
      </c>
      <c r="H2145">
        <f>INDEX('GIS-Standards'!$A$2:$A$305,MATCH(B2145,'GIS-Standards'!$B$2:$B$305,0))</f>
        <v>95</v>
      </c>
      <c r="I2145" t="e">
        <f>INDEX('GIS-Standards'!$A$2:$A$305,MATCH(C2145,'GIS-Standards'!$B$2:$B$305,0))</f>
        <v>#N/A</v>
      </c>
      <c r="J2145" t="str">
        <f>INDEX('GIS-Standards'!$O$2:$O$305,MATCH(B2145,'GIS-Standards'!$B$2:$B$305,0))</f>
        <v>ISO/TC 59/SC 13</v>
      </c>
      <c r="K2145" t="e">
        <f>INDEX('GIS-Standards'!$O$2:$O$305,MATCH(C2145,'GIS-Standards'!$B$2:$B$305,0))</f>
        <v>#N/A</v>
      </c>
      <c r="M2145" t="s">
        <v>525</v>
      </c>
      <c r="N2145">
        <f>INDEX('GIS-Standards'!$I$2:$I$305,MATCH(B2145,'GIS-Standards'!$B$2:$B$305,0))</f>
        <v>0</v>
      </c>
      <c r="O2145" t="e">
        <f>INDEX('GIS-Standards'!$I$2:$I$305,MATCH(C2145,'GIS-Standards'!$B$2:$B$305,0))</f>
        <v>#N/A</v>
      </c>
      <c r="P2145" t="e">
        <f>AND(TableRelationships12[[#This Row],[Source Type]]="BIM",TableRelationships12[[#This Row],[Target Type]]="BIM")</f>
        <v>#N/A</v>
      </c>
      <c r="Q2145">
        <f t="shared" si="99"/>
        <v>1</v>
      </c>
      <c r="S2145">
        <f t="shared" si="100"/>
        <v>1</v>
      </c>
      <c r="T2145" s="102" t="str">
        <f>IF(TableRelationships12[[#This Row],[Rank Pedro]]="Low","linkCategory1",IF(TableRelationships12[[#This Row],[Rank Pedro]]="Medium","linkCategory2",IF(TableRelationships12[[#This Row],[Rank Pedro]]="High","linkCategory3","")))</f>
        <v/>
      </c>
      <c r="U2145" s="102" t="str">
        <f>IF(TableRelationships12[[#This Row],[Rank Pedro]]="Low","Pink",IF(TableRelationships12[[#This Row],[Rank Pedro]]="Medium","Purple",IF(TableRelationships12[[#This Row],[Rank Pedro]]="High","Brown","")))</f>
        <v/>
      </c>
      <c r="V2145" s="4">
        <f>MAX(INDEX(Standards!$F$2:$F$296,MATCH(B2145,Standards!$B$2:$B$296,0)),INDEX(Standards!$F$2:$F$296,MATCH(C2145,Standards!$B$2:$B$296,0)))</f>
        <v>44317</v>
      </c>
      <c r="W2145" t="str">
        <f t="shared" si="101"/>
        <v>#2f89d1</v>
      </c>
    </row>
    <row r="2146" spans="1:23" x14ac:dyDescent="0.5">
      <c r="A2146" s="54">
        <v>2145</v>
      </c>
      <c r="B2146" s="90" t="s">
        <v>488</v>
      </c>
      <c r="C2146" t="s">
        <v>2104</v>
      </c>
      <c r="D2146" t="s">
        <v>1854</v>
      </c>
      <c r="E2146" s="112">
        <v>2025.1</v>
      </c>
      <c r="F2146" s="112">
        <v>2025.1</v>
      </c>
      <c r="G2146" s="107" t="s">
        <v>2044</v>
      </c>
      <c r="H2146">
        <f>INDEX('GIS-Standards'!$A$2:$A$305,MATCH(B2146,'GIS-Standards'!$B$2:$B$305,0))</f>
        <v>95</v>
      </c>
      <c r="I2146" t="e">
        <f>INDEX('GIS-Standards'!$A$2:$A$305,MATCH(C2146,'GIS-Standards'!$B$2:$B$305,0))</f>
        <v>#N/A</v>
      </c>
      <c r="J2146" t="str">
        <f>INDEX('GIS-Standards'!$O$2:$O$305,MATCH(B2146,'GIS-Standards'!$B$2:$B$305,0))</f>
        <v>ISO/TC 59/SC 13</v>
      </c>
      <c r="K2146" t="e">
        <f>INDEX('GIS-Standards'!$O$2:$O$305,MATCH(C2146,'GIS-Standards'!$B$2:$B$305,0))</f>
        <v>#N/A</v>
      </c>
      <c r="M2146" t="s">
        <v>525</v>
      </c>
      <c r="N2146">
        <f>INDEX('GIS-Standards'!$I$2:$I$305,MATCH(B2146,'GIS-Standards'!$B$2:$B$305,0))</f>
        <v>0</v>
      </c>
      <c r="O2146" t="e">
        <f>INDEX('GIS-Standards'!$I$2:$I$305,MATCH(C2146,'GIS-Standards'!$B$2:$B$305,0))</f>
        <v>#N/A</v>
      </c>
      <c r="P2146" t="e">
        <f>AND(TableRelationships12[[#This Row],[Source Type]]="BIM",TableRelationships12[[#This Row],[Target Type]]="BIM")</f>
        <v>#N/A</v>
      </c>
      <c r="Q2146">
        <f t="shared" si="99"/>
        <v>1</v>
      </c>
      <c r="S2146">
        <f t="shared" si="100"/>
        <v>1</v>
      </c>
      <c r="T2146" s="102" t="str">
        <f>IF(TableRelationships12[[#This Row],[Rank Pedro]]="Low","linkCategory1",IF(TableRelationships12[[#This Row],[Rank Pedro]]="Medium","linkCategory2",IF(TableRelationships12[[#This Row],[Rank Pedro]]="High","linkCategory3","")))</f>
        <v/>
      </c>
      <c r="U2146" s="102" t="str">
        <f>IF(TableRelationships12[[#This Row],[Rank Pedro]]="Low","Pink",IF(TableRelationships12[[#This Row],[Rank Pedro]]="Medium","Purple",IF(TableRelationships12[[#This Row],[Rank Pedro]]="High","Brown","")))</f>
        <v/>
      </c>
      <c r="V2146" s="4" t="e">
        <f>MAX(INDEX(Standards!$F$2:$F$296,MATCH(B2146,Standards!$B$2:$B$296,0)),INDEX(Standards!$F$2:$F$296,MATCH(C2146,Standards!$B$2:$B$296,0)))</f>
        <v>#N/A</v>
      </c>
      <c r="W2146" t="str">
        <f t="shared" si="101"/>
        <v>#2f89d1</v>
      </c>
    </row>
    <row r="2147" spans="1:23" x14ac:dyDescent="0.5">
      <c r="A2147" s="54">
        <v>2146</v>
      </c>
      <c r="B2147" s="90" t="s">
        <v>488</v>
      </c>
      <c r="C2147" t="s">
        <v>2105</v>
      </c>
      <c r="D2147" t="s">
        <v>1854</v>
      </c>
      <c r="E2147" s="112">
        <v>2025.1</v>
      </c>
      <c r="F2147" s="112">
        <v>2025.1</v>
      </c>
      <c r="G2147" s="107" t="s">
        <v>2044</v>
      </c>
      <c r="H2147">
        <f>INDEX('GIS-Standards'!$A$2:$A$305,MATCH(B2147,'GIS-Standards'!$B$2:$B$305,0))</f>
        <v>95</v>
      </c>
      <c r="I2147" t="e">
        <f>INDEX('GIS-Standards'!$A$2:$A$305,MATCH(C2147,'GIS-Standards'!$B$2:$B$305,0))</f>
        <v>#N/A</v>
      </c>
      <c r="J2147" t="str">
        <f>INDEX('GIS-Standards'!$O$2:$O$305,MATCH(B2147,'GIS-Standards'!$B$2:$B$305,0))</f>
        <v>ISO/TC 59/SC 13</v>
      </c>
      <c r="K2147" t="e">
        <f>INDEX('GIS-Standards'!$O$2:$O$305,MATCH(C2147,'GIS-Standards'!$B$2:$B$305,0))</f>
        <v>#N/A</v>
      </c>
      <c r="M2147" t="s">
        <v>525</v>
      </c>
      <c r="N2147">
        <f>INDEX('GIS-Standards'!$I$2:$I$305,MATCH(B2147,'GIS-Standards'!$B$2:$B$305,0))</f>
        <v>0</v>
      </c>
      <c r="O2147" t="e">
        <f>INDEX('GIS-Standards'!$I$2:$I$305,MATCH(C2147,'GIS-Standards'!$B$2:$B$305,0))</f>
        <v>#N/A</v>
      </c>
      <c r="P2147" t="e">
        <f>AND(TableRelationships12[[#This Row],[Source Type]]="BIM",TableRelationships12[[#This Row],[Target Type]]="BIM")</f>
        <v>#N/A</v>
      </c>
      <c r="Q2147">
        <f t="shared" si="99"/>
        <v>1</v>
      </c>
      <c r="S2147">
        <f t="shared" si="100"/>
        <v>1</v>
      </c>
      <c r="T2147" s="102" t="str">
        <f>IF(TableRelationships12[[#This Row],[Rank Pedro]]="Low","linkCategory1",IF(TableRelationships12[[#This Row],[Rank Pedro]]="Medium","linkCategory2",IF(TableRelationships12[[#This Row],[Rank Pedro]]="High","linkCategory3","")))</f>
        <v/>
      </c>
      <c r="U2147" s="102" t="str">
        <f>IF(TableRelationships12[[#This Row],[Rank Pedro]]="Low","Pink",IF(TableRelationships12[[#This Row],[Rank Pedro]]="Medium","Purple",IF(TableRelationships12[[#This Row],[Rank Pedro]]="High","Brown","")))</f>
        <v/>
      </c>
      <c r="V2147" s="4" t="e">
        <f>MAX(INDEX(Standards!$F$2:$F$296,MATCH(B2147,Standards!$B$2:$B$296,0)),INDEX(Standards!$F$2:$F$296,MATCH(C2147,Standards!$B$2:$B$296,0)))</f>
        <v>#N/A</v>
      </c>
      <c r="W2147" t="str">
        <f t="shared" si="101"/>
        <v>#2f89d1</v>
      </c>
    </row>
    <row r="2148" spans="1:23" x14ac:dyDescent="0.5">
      <c r="A2148" s="54">
        <v>2147</v>
      </c>
      <c r="B2148" s="90" t="s">
        <v>488</v>
      </c>
      <c r="C2148" t="s">
        <v>289</v>
      </c>
      <c r="D2148" s="1"/>
      <c r="E2148" s="112">
        <v>2004.02</v>
      </c>
      <c r="F2148" s="112">
        <v>2011.04</v>
      </c>
      <c r="G2148" s="107" t="s">
        <v>2055</v>
      </c>
      <c r="H2148">
        <f>INDEX('GIS-Standards'!$A$2:$A$305,MATCH(B2148,'GIS-Standards'!$B$2:$B$305,0))</f>
        <v>95</v>
      </c>
      <c r="I2148" t="e">
        <f>INDEX('GIS-Standards'!$A$2:$A$305,MATCH(C2148,'GIS-Standards'!$B$2:$B$305,0))</f>
        <v>#N/A</v>
      </c>
      <c r="J2148" t="str">
        <f>INDEX('GIS-Standards'!$O$2:$O$305,MATCH(B2148,'GIS-Standards'!$B$2:$B$305,0))</f>
        <v>ISO/TC 59/SC 13</v>
      </c>
      <c r="K2148" t="e">
        <f>INDEX('GIS-Standards'!$O$2:$O$305,MATCH(C2148,'GIS-Standards'!$B$2:$B$305,0))</f>
        <v>#N/A</v>
      </c>
      <c r="M2148" t="s">
        <v>525</v>
      </c>
      <c r="N2148">
        <f>INDEX('GIS-Standards'!$I$2:$I$305,MATCH(B2148,'GIS-Standards'!$B$2:$B$305,0))</f>
        <v>0</v>
      </c>
      <c r="O2148" t="e">
        <f>INDEX('GIS-Standards'!$I$2:$I$305,MATCH(C2148,'GIS-Standards'!$B$2:$B$305,0))</f>
        <v>#N/A</v>
      </c>
      <c r="P2148" t="e">
        <f>AND(TableRelationships12[[#This Row],[Source Type]]="BIM",TableRelationships12[[#This Row],[Target Type]]="BIM")</f>
        <v>#N/A</v>
      </c>
      <c r="Q2148">
        <f t="shared" si="99"/>
        <v>1</v>
      </c>
      <c r="S2148">
        <f t="shared" si="100"/>
        <v>1</v>
      </c>
      <c r="T2148" s="102" t="str">
        <f>IF(TableRelationships12[[#This Row],[Rank Pedro]]="Low","linkCategory1",IF(TableRelationships12[[#This Row],[Rank Pedro]]="Medium","linkCategory2",IF(TableRelationships12[[#This Row],[Rank Pedro]]="High","linkCategory3","")))</f>
        <v/>
      </c>
      <c r="U2148" s="102" t="str">
        <f>IF(TableRelationships12[[#This Row],[Rank Pedro]]="Low","Pink",IF(TableRelationships12[[#This Row],[Rank Pedro]]="Medium","Purple",IF(TableRelationships12[[#This Row],[Rank Pedro]]="High","Brown","")))</f>
        <v/>
      </c>
      <c r="V2148" s="4">
        <f>MAX(INDEX(Standards!$F$2:$F$296,MATCH(B2148,Standards!$B$2:$B$296,0)),INDEX(Standards!$F$2:$F$296,MATCH(C2148,Standards!$B$2:$B$296,0)))</f>
        <v>44317</v>
      </c>
      <c r="W2148" t="str">
        <f t="shared" si="101"/>
        <v>#2f89d1</v>
      </c>
    </row>
    <row r="2149" spans="1:23" x14ac:dyDescent="0.5">
      <c r="A2149" s="54">
        <v>2148</v>
      </c>
      <c r="B2149" s="90" t="s">
        <v>488</v>
      </c>
      <c r="C2149" t="s">
        <v>291</v>
      </c>
      <c r="D2149" s="1"/>
      <c r="E2149" s="112">
        <v>2015.08</v>
      </c>
      <c r="F2149" s="112">
        <v>2015.08</v>
      </c>
      <c r="G2149" s="107" t="s">
        <v>1448</v>
      </c>
      <c r="H2149">
        <f>INDEX('GIS-Standards'!$A$2:$A$305,MATCH(B2149,'GIS-Standards'!$B$2:$B$305,0))</f>
        <v>95</v>
      </c>
      <c r="I2149" t="e">
        <f>INDEX('GIS-Standards'!$A$2:$A$305,MATCH(C2149,'GIS-Standards'!$B$2:$B$305,0))</f>
        <v>#N/A</v>
      </c>
      <c r="J2149" t="str">
        <f>INDEX('GIS-Standards'!$O$2:$O$305,MATCH(B2149,'GIS-Standards'!$B$2:$B$305,0))</f>
        <v>ISO/TC 59/SC 13</v>
      </c>
      <c r="K2149" t="e">
        <f>INDEX('GIS-Standards'!$O$2:$O$305,MATCH(C2149,'GIS-Standards'!$B$2:$B$305,0))</f>
        <v>#N/A</v>
      </c>
      <c r="M2149" t="s">
        <v>525</v>
      </c>
      <c r="N2149">
        <f>INDEX('GIS-Standards'!$I$2:$I$305,MATCH(B2149,'GIS-Standards'!$B$2:$B$305,0))</f>
        <v>0</v>
      </c>
      <c r="O2149" t="e">
        <f>INDEX('GIS-Standards'!$I$2:$I$305,MATCH(C2149,'GIS-Standards'!$B$2:$B$305,0))</f>
        <v>#N/A</v>
      </c>
      <c r="P2149" t="e">
        <f>AND(TableRelationships12[[#This Row],[Source Type]]="BIM",TableRelationships12[[#This Row],[Target Type]]="BIM")</f>
        <v>#N/A</v>
      </c>
      <c r="Q2149">
        <f t="shared" si="99"/>
        <v>1</v>
      </c>
      <c r="S2149">
        <f t="shared" si="100"/>
        <v>1</v>
      </c>
      <c r="T2149" s="102" t="str">
        <f>IF(TableRelationships12[[#This Row],[Rank Pedro]]="Low","linkCategory1",IF(TableRelationships12[[#This Row],[Rank Pedro]]="Medium","linkCategory2",IF(TableRelationships12[[#This Row],[Rank Pedro]]="High","linkCategory3","")))</f>
        <v/>
      </c>
      <c r="U2149" s="102" t="str">
        <f>IF(TableRelationships12[[#This Row],[Rank Pedro]]="Low","Pink",IF(TableRelationships12[[#This Row],[Rank Pedro]]="Medium","Purple",IF(TableRelationships12[[#This Row],[Rank Pedro]]="High","Brown","")))</f>
        <v/>
      </c>
      <c r="V2149" s="4">
        <f>MAX(INDEX(Standards!$F$2:$F$296,MATCH(B2149,Standards!$B$2:$B$296,0)),INDEX(Standards!$F$2:$F$296,MATCH(C2149,Standards!$B$2:$B$296,0)))</f>
        <v>44317</v>
      </c>
      <c r="W2149" t="str">
        <f t="shared" si="101"/>
        <v>#2f89d1</v>
      </c>
    </row>
    <row r="2150" spans="1:23" x14ac:dyDescent="0.5">
      <c r="A2150" s="54">
        <v>2149</v>
      </c>
      <c r="B2150" s="90" t="s">
        <v>488</v>
      </c>
      <c r="C2150" t="s">
        <v>293</v>
      </c>
      <c r="D2150" t="s">
        <v>1855</v>
      </c>
      <c r="E2150" s="112">
        <v>2002.07</v>
      </c>
      <c r="F2150" s="112">
        <v>2014.11</v>
      </c>
      <c r="G2150" s="107" t="s">
        <v>670</v>
      </c>
      <c r="H2150">
        <f>INDEX('GIS-Standards'!$A$2:$A$305,MATCH(B2150,'GIS-Standards'!$B$2:$B$305,0))</f>
        <v>95</v>
      </c>
      <c r="I2150">
        <f>INDEX('GIS-Standards'!$A$2:$A$305,MATCH(C2150,'GIS-Standards'!$B$2:$B$305,0))</f>
        <v>10</v>
      </c>
      <c r="J2150" t="str">
        <f>INDEX('GIS-Standards'!$O$2:$O$305,MATCH(B2150,'GIS-Standards'!$B$2:$B$305,0))</f>
        <v>ISO/TC 59/SC 13</v>
      </c>
      <c r="K2150" t="str">
        <f>INDEX('GIS-Standards'!$O$2:$O$305,MATCH(C2150,'GIS-Standards'!$B$2:$B$305,0))</f>
        <v>ISO/TC 211</v>
      </c>
      <c r="M2150" t="s">
        <v>525</v>
      </c>
      <c r="N2150">
        <f>INDEX('GIS-Standards'!$I$2:$I$305,MATCH(B2150,'GIS-Standards'!$B$2:$B$305,0))</f>
        <v>0</v>
      </c>
      <c r="O2150">
        <f>INDEX('GIS-Standards'!$I$2:$I$305,MATCH(C2150,'GIS-Standards'!$B$2:$B$305,0))</f>
        <v>0</v>
      </c>
      <c r="P2150" t="b">
        <f>AND(TableRelationships12[[#This Row],[Source Type]]="BIM",TableRelationships12[[#This Row],[Target Type]]="BIM")</f>
        <v>0</v>
      </c>
      <c r="Q2150">
        <f t="shared" si="99"/>
        <v>1</v>
      </c>
      <c r="S2150">
        <f t="shared" si="100"/>
        <v>1</v>
      </c>
      <c r="T2150" s="102" t="str">
        <f>IF(TableRelationships12[[#This Row],[Rank Pedro]]="Low","linkCategory1",IF(TableRelationships12[[#This Row],[Rank Pedro]]="Medium","linkCategory2",IF(TableRelationships12[[#This Row],[Rank Pedro]]="High","linkCategory3","")))</f>
        <v/>
      </c>
      <c r="U2150" s="102" t="str">
        <f>IF(TableRelationships12[[#This Row],[Rank Pedro]]="Low","Pink",IF(TableRelationships12[[#This Row],[Rank Pedro]]="Medium","Purple",IF(TableRelationships12[[#This Row],[Rank Pedro]]="High","Brown","")))</f>
        <v/>
      </c>
      <c r="V2150" s="4">
        <f>MAX(INDEX(Standards!$F$2:$F$296,MATCH(B2150,Standards!$B$2:$B$296,0)),INDEX(Standards!$F$2:$F$296,MATCH(C2150,Standards!$B$2:$B$296,0)))</f>
        <v>44317</v>
      </c>
      <c r="W2150" t="str">
        <f t="shared" si="101"/>
        <v>#2f89d1</v>
      </c>
    </row>
    <row r="2151" spans="1:23" x14ac:dyDescent="0.5">
      <c r="A2151" s="54">
        <v>2150</v>
      </c>
      <c r="B2151" s="90" t="s">
        <v>488</v>
      </c>
      <c r="C2151" t="s">
        <v>631</v>
      </c>
      <c r="D2151" t="s">
        <v>1855</v>
      </c>
      <c r="E2151" s="112">
        <v>2008.06</v>
      </c>
      <c r="F2151" s="112">
        <v>2018.05</v>
      </c>
      <c r="G2151" s="107" t="s">
        <v>670</v>
      </c>
      <c r="H2151">
        <f>INDEX('GIS-Standards'!$A$2:$A$305,MATCH(B2151,'GIS-Standards'!$B$2:$B$305,0))</f>
        <v>95</v>
      </c>
      <c r="I2151">
        <f>INDEX('GIS-Standards'!$A$2:$A$305,MATCH(C2151,'GIS-Standards'!$B$2:$B$305,0))</f>
        <v>11</v>
      </c>
      <c r="J2151" t="str">
        <f>INDEX('GIS-Standards'!$O$2:$O$305,MATCH(B2151,'GIS-Standards'!$B$2:$B$305,0))</f>
        <v>ISO/TC 59/SC 13</v>
      </c>
      <c r="K2151" t="str">
        <f>INDEX('GIS-Standards'!$O$2:$O$305,MATCH(C2151,'GIS-Standards'!$B$2:$B$305,0))</f>
        <v>ISO/TC 211</v>
      </c>
      <c r="M2151" t="s">
        <v>525</v>
      </c>
      <c r="N2151">
        <f>INDEX('GIS-Standards'!$I$2:$I$305,MATCH(B2151,'GIS-Standards'!$B$2:$B$305,0))</f>
        <v>0</v>
      </c>
      <c r="O2151">
        <f>INDEX('GIS-Standards'!$I$2:$I$305,MATCH(C2151,'GIS-Standards'!$B$2:$B$305,0))</f>
        <v>0</v>
      </c>
      <c r="P2151" t="b">
        <f>AND(TableRelationships12[[#This Row],[Source Type]]="BIM",TableRelationships12[[#This Row],[Target Type]]="BIM")</f>
        <v>0</v>
      </c>
      <c r="Q2151">
        <f t="shared" si="99"/>
        <v>1</v>
      </c>
      <c r="S2151">
        <f t="shared" si="100"/>
        <v>1</v>
      </c>
      <c r="T2151" s="102" t="str">
        <f>IF(TableRelationships12[[#This Row],[Rank Pedro]]="Low","linkCategory1",IF(TableRelationships12[[#This Row],[Rank Pedro]]="Medium","linkCategory2",IF(TableRelationships12[[#This Row],[Rank Pedro]]="High","linkCategory3","")))</f>
        <v/>
      </c>
      <c r="U2151" s="102" t="str">
        <f>IF(TableRelationships12[[#This Row],[Rank Pedro]]="Low","Pink",IF(TableRelationships12[[#This Row],[Rank Pedro]]="Medium","Purple",IF(TableRelationships12[[#This Row],[Rank Pedro]]="High","Brown","")))</f>
        <v/>
      </c>
      <c r="V2151" s="4" t="e">
        <f>MAX(INDEX(Standards!$F$2:$F$296,MATCH(B2151,Standards!$B$2:$B$296,0)),INDEX(Standards!$F$2:$F$296,MATCH(C2151,Standards!$B$2:$B$296,0)))</f>
        <v>#N/A</v>
      </c>
      <c r="W2151" t="str">
        <f t="shared" si="101"/>
        <v>#2f89d1</v>
      </c>
    </row>
    <row r="2152" spans="1:23" x14ac:dyDescent="0.5">
      <c r="A2152" s="54">
        <v>2151</v>
      </c>
      <c r="B2152" s="90" t="s">
        <v>488</v>
      </c>
      <c r="C2152" t="s">
        <v>296</v>
      </c>
      <c r="D2152" s="1"/>
      <c r="E2152" s="112">
        <v>2005.07</v>
      </c>
      <c r="F2152" s="112">
        <v>2024.09</v>
      </c>
      <c r="G2152" s="107" t="s">
        <v>670</v>
      </c>
      <c r="H2152">
        <f>INDEX('GIS-Standards'!$A$2:$A$305,MATCH(B2152,'GIS-Standards'!$B$2:$B$305,0))</f>
        <v>95</v>
      </c>
      <c r="I2152">
        <f>INDEX('GIS-Standards'!$A$2:$A$305,MATCH(C2152,'GIS-Standards'!$B$2:$B$305,0))</f>
        <v>12</v>
      </c>
      <c r="J2152" t="str">
        <f>INDEX('GIS-Standards'!$O$2:$O$305,MATCH(B2152,'GIS-Standards'!$B$2:$B$305,0))</f>
        <v>ISO/TC 59/SC 13</v>
      </c>
      <c r="K2152" t="str">
        <f>INDEX('GIS-Standards'!$O$2:$O$305,MATCH(C2152,'GIS-Standards'!$B$2:$B$305,0))</f>
        <v>ISO/TC 211</v>
      </c>
      <c r="M2152" t="s">
        <v>525</v>
      </c>
      <c r="N2152">
        <f>INDEX('GIS-Standards'!$I$2:$I$305,MATCH(B2152,'GIS-Standards'!$B$2:$B$305,0))</f>
        <v>0</v>
      </c>
      <c r="O2152">
        <f>INDEX('GIS-Standards'!$I$2:$I$305,MATCH(C2152,'GIS-Standards'!$B$2:$B$305,0))</f>
        <v>0</v>
      </c>
      <c r="P2152" t="b">
        <f>AND(TableRelationships12[[#This Row],[Source Type]]="BIM",TableRelationships12[[#This Row],[Target Type]]="BIM")</f>
        <v>0</v>
      </c>
      <c r="Q2152">
        <f t="shared" si="99"/>
        <v>1</v>
      </c>
      <c r="S2152">
        <f t="shared" si="100"/>
        <v>1</v>
      </c>
      <c r="T2152" s="102" t="str">
        <f>IF(TableRelationships12[[#This Row],[Rank Pedro]]="Low","linkCategory1",IF(TableRelationships12[[#This Row],[Rank Pedro]]="Medium","linkCategory2",IF(TableRelationships12[[#This Row],[Rank Pedro]]="High","linkCategory3","")))</f>
        <v/>
      </c>
      <c r="U2152" s="102" t="str">
        <f>IF(TableRelationships12[[#This Row],[Rank Pedro]]="Low","Pink",IF(TableRelationships12[[#This Row],[Rank Pedro]]="Medium","Purple",IF(TableRelationships12[[#This Row],[Rank Pedro]]="High","Brown","")))</f>
        <v/>
      </c>
      <c r="V2152" s="4">
        <f>MAX(INDEX(Standards!$F$2:$F$296,MATCH(B2152,Standards!$B$2:$B$296,0)),INDEX(Standards!$F$2:$F$296,MATCH(C2152,Standards!$B$2:$B$296,0)))</f>
        <v>44317</v>
      </c>
      <c r="W2152" t="str">
        <f t="shared" si="101"/>
        <v>#2f89d1</v>
      </c>
    </row>
    <row r="2153" spans="1:23" x14ac:dyDescent="0.5">
      <c r="A2153" s="54">
        <v>2152</v>
      </c>
      <c r="B2153" s="90" t="s">
        <v>488</v>
      </c>
      <c r="C2153" t="s">
        <v>298</v>
      </c>
      <c r="D2153" s="1"/>
      <c r="E2153" s="112">
        <v>2008.11</v>
      </c>
      <c r="F2153" s="112">
        <v>2016.1</v>
      </c>
      <c r="G2153" s="107" t="s">
        <v>1464</v>
      </c>
      <c r="H2153">
        <f>INDEX('GIS-Standards'!$A$2:$A$305,MATCH(B2153,'GIS-Standards'!$B$2:$B$305,0))</f>
        <v>95</v>
      </c>
      <c r="I2153">
        <f>INDEX('GIS-Standards'!$A$2:$A$305,MATCH(C2153,'GIS-Standards'!$B$2:$B$305,0))</f>
        <v>13</v>
      </c>
      <c r="J2153" t="str">
        <f>INDEX('GIS-Standards'!$O$2:$O$305,MATCH(B2153,'GIS-Standards'!$B$2:$B$305,0))</f>
        <v>ISO/TC 59/SC 13</v>
      </c>
      <c r="K2153" t="str">
        <f>INDEX('GIS-Standards'!$O$2:$O$305,MATCH(C2153,'GIS-Standards'!$B$2:$B$305,0))</f>
        <v>ISO/TC 211</v>
      </c>
      <c r="M2153" t="s">
        <v>525</v>
      </c>
      <c r="N2153">
        <f>INDEX('GIS-Standards'!$I$2:$I$305,MATCH(B2153,'GIS-Standards'!$B$2:$B$305,0))</f>
        <v>0</v>
      </c>
      <c r="O2153">
        <f>INDEX('GIS-Standards'!$I$2:$I$305,MATCH(C2153,'GIS-Standards'!$B$2:$B$305,0))</f>
        <v>0</v>
      </c>
      <c r="P2153" t="b">
        <f>AND(TableRelationships12[[#This Row],[Source Type]]="BIM",TableRelationships12[[#This Row],[Target Type]]="BIM")</f>
        <v>0</v>
      </c>
      <c r="Q2153">
        <f t="shared" si="99"/>
        <v>1</v>
      </c>
      <c r="S2153">
        <f t="shared" si="100"/>
        <v>1</v>
      </c>
      <c r="T2153" s="102" t="str">
        <f>IF(TableRelationships12[[#This Row],[Rank Pedro]]="Low","linkCategory1",IF(TableRelationships12[[#This Row],[Rank Pedro]]="Medium","linkCategory2",IF(TableRelationships12[[#This Row],[Rank Pedro]]="High","linkCategory3","")))</f>
        <v/>
      </c>
      <c r="U2153" s="102" t="str">
        <f>IF(TableRelationships12[[#This Row],[Rank Pedro]]="Low","Pink",IF(TableRelationships12[[#This Row],[Rank Pedro]]="Medium","Purple",IF(TableRelationships12[[#This Row],[Rank Pedro]]="High","Brown","")))</f>
        <v/>
      </c>
      <c r="V2153" s="4">
        <f>MAX(INDEX(Standards!$F$2:$F$296,MATCH(B2153,Standards!$B$2:$B$296,0)),INDEX(Standards!$F$2:$F$296,MATCH(C2153,Standards!$B$2:$B$296,0)))</f>
        <v>44317</v>
      </c>
      <c r="W2153" t="str">
        <f t="shared" si="101"/>
        <v>#2f89d1</v>
      </c>
    </row>
    <row r="2154" spans="1:23" x14ac:dyDescent="0.5">
      <c r="A2154" s="54">
        <v>2153</v>
      </c>
      <c r="B2154" s="90" t="s">
        <v>488</v>
      </c>
      <c r="C2154" t="s">
        <v>300</v>
      </c>
      <c r="D2154" s="1"/>
      <c r="E2154" s="112">
        <v>2000.12</v>
      </c>
      <c r="F2154" s="112">
        <v>2022.07</v>
      </c>
      <c r="G2154" s="107" t="s">
        <v>670</v>
      </c>
      <c r="H2154">
        <f>INDEX('GIS-Standards'!$A$2:$A$305,MATCH(B2154,'GIS-Standards'!$B$2:$B$305,0))</f>
        <v>95</v>
      </c>
      <c r="I2154">
        <f>INDEX('GIS-Standards'!$A$2:$A$305,MATCH(C2154,'GIS-Standards'!$B$2:$B$305,0))</f>
        <v>14</v>
      </c>
      <c r="J2154" t="str">
        <f>INDEX('GIS-Standards'!$O$2:$O$305,MATCH(B2154,'GIS-Standards'!$B$2:$B$305,0))</f>
        <v>ISO/TC 59/SC 13</v>
      </c>
      <c r="K2154" t="str">
        <f>INDEX('GIS-Standards'!$O$2:$O$305,MATCH(C2154,'GIS-Standards'!$B$2:$B$305,0))</f>
        <v>ISO/TC 211</v>
      </c>
      <c r="M2154" t="s">
        <v>525</v>
      </c>
      <c r="N2154">
        <f>INDEX('GIS-Standards'!$I$2:$I$305,MATCH(B2154,'GIS-Standards'!$B$2:$B$305,0))</f>
        <v>0</v>
      </c>
      <c r="O2154">
        <f>INDEX('GIS-Standards'!$I$2:$I$305,MATCH(C2154,'GIS-Standards'!$B$2:$B$305,0))</f>
        <v>0</v>
      </c>
      <c r="P2154" t="b">
        <f>AND(TableRelationships12[[#This Row],[Source Type]]="BIM",TableRelationships12[[#This Row],[Target Type]]="BIM")</f>
        <v>0</v>
      </c>
      <c r="Q2154">
        <f t="shared" si="99"/>
        <v>1</v>
      </c>
      <c r="S2154">
        <f t="shared" si="100"/>
        <v>1</v>
      </c>
      <c r="T2154" s="102" t="str">
        <f>IF(TableRelationships12[[#This Row],[Rank Pedro]]="Low","linkCategory1",IF(TableRelationships12[[#This Row],[Rank Pedro]]="Medium","linkCategory2",IF(TableRelationships12[[#This Row],[Rank Pedro]]="High","linkCategory3","")))</f>
        <v/>
      </c>
      <c r="U2154" s="102" t="str">
        <f>IF(TableRelationships12[[#This Row],[Rank Pedro]]="Low","Pink",IF(TableRelationships12[[#This Row],[Rank Pedro]]="Medium","Purple",IF(TableRelationships12[[#This Row],[Rank Pedro]]="High","Brown","")))</f>
        <v/>
      </c>
      <c r="V2154" s="4">
        <f>MAX(INDEX(Standards!$F$2:$F$296,MATCH(B2154,Standards!$B$2:$B$296,0)),INDEX(Standards!$F$2:$F$296,MATCH(C2154,Standards!$B$2:$B$296,0)))</f>
        <v>44317</v>
      </c>
      <c r="W2154" t="str">
        <f t="shared" si="101"/>
        <v>#2f89d1</v>
      </c>
    </row>
    <row r="2155" spans="1:23" x14ac:dyDescent="0.5">
      <c r="A2155" s="54">
        <v>2154</v>
      </c>
      <c r="B2155" s="90" t="s">
        <v>488</v>
      </c>
      <c r="C2155" t="s">
        <v>1040</v>
      </c>
      <c r="D2155" s="1"/>
      <c r="E2155" s="112">
        <v>2004.07</v>
      </c>
      <c r="F2155" s="112">
        <v>2004.07</v>
      </c>
      <c r="G2155" s="107" t="s">
        <v>670</v>
      </c>
      <c r="H2155">
        <f>INDEX('GIS-Standards'!$A$2:$A$305,MATCH(B2155,'GIS-Standards'!$B$2:$B$305,0))</f>
        <v>95</v>
      </c>
      <c r="I2155">
        <f>INDEX('GIS-Standards'!$A$2:$A$305,MATCH(C2155,'GIS-Standards'!$B$2:$B$305,0))</f>
        <v>15</v>
      </c>
      <c r="J2155" t="str">
        <f>INDEX('GIS-Standards'!$O$2:$O$305,MATCH(B2155,'GIS-Standards'!$B$2:$B$305,0))</f>
        <v>ISO/TC 59/SC 13</v>
      </c>
      <c r="K2155" t="str">
        <f>INDEX('GIS-Standards'!$O$2:$O$305,MATCH(C2155,'GIS-Standards'!$B$2:$B$305,0))</f>
        <v>ISO/TC 211</v>
      </c>
      <c r="M2155" t="s">
        <v>525</v>
      </c>
      <c r="N2155">
        <f>INDEX('GIS-Standards'!$I$2:$I$305,MATCH(B2155,'GIS-Standards'!$B$2:$B$305,0))</f>
        <v>0</v>
      </c>
      <c r="O2155">
        <f>INDEX('GIS-Standards'!$I$2:$I$305,MATCH(C2155,'GIS-Standards'!$B$2:$B$305,0))</f>
        <v>0</v>
      </c>
      <c r="P2155" t="b">
        <f>AND(TableRelationships12[[#This Row],[Source Type]]="BIM",TableRelationships12[[#This Row],[Target Type]]="BIM")</f>
        <v>0</v>
      </c>
      <c r="Q2155">
        <f t="shared" si="99"/>
        <v>1</v>
      </c>
      <c r="S2155">
        <f t="shared" si="100"/>
        <v>1</v>
      </c>
      <c r="T2155" s="102" t="str">
        <f>IF(TableRelationships12[[#This Row],[Rank Pedro]]="Low","linkCategory1",IF(TableRelationships12[[#This Row],[Rank Pedro]]="Medium","linkCategory2",IF(TableRelationships12[[#This Row],[Rank Pedro]]="High","linkCategory3","")))</f>
        <v/>
      </c>
      <c r="U2155" s="102" t="str">
        <f>IF(TableRelationships12[[#This Row],[Rank Pedro]]="Low","Pink",IF(TableRelationships12[[#This Row],[Rank Pedro]]="Medium","Purple",IF(TableRelationships12[[#This Row],[Rank Pedro]]="High","Brown","")))</f>
        <v/>
      </c>
      <c r="V2155" s="4" t="e">
        <f>MAX(INDEX(Standards!$F$2:$F$296,MATCH(B2155,Standards!$B$2:$B$296,0)),INDEX(Standards!$F$2:$F$296,MATCH(C2155,Standards!$B$2:$B$296,0)))</f>
        <v>#N/A</v>
      </c>
      <c r="W2155" t="str">
        <f t="shared" si="101"/>
        <v>#2f89d1</v>
      </c>
    </row>
    <row r="2156" spans="1:23" x14ac:dyDescent="0.5">
      <c r="A2156" s="54">
        <v>2155</v>
      </c>
      <c r="B2156" s="90" t="s">
        <v>488</v>
      </c>
      <c r="C2156" t="s">
        <v>302</v>
      </c>
      <c r="D2156" s="1"/>
      <c r="E2156" s="112">
        <v>2003.05</v>
      </c>
      <c r="F2156" s="112">
        <v>2019.12</v>
      </c>
      <c r="G2156" s="107" t="s">
        <v>670</v>
      </c>
      <c r="H2156">
        <f>INDEX('GIS-Standards'!$A$2:$A$305,MATCH(B2156,'GIS-Standards'!$B$2:$B$305,0))</f>
        <v>95</v>
      </c>
      <c r="I2156">
        <f>INDEX('GIS-Standards'!$A$2:$A$305,MATCH(C2156,'GIS-Standards'!$B$2:$B$305,0))</f>
        <v>16</v>
      </c>
      <c r="J2156" t="str">
        <f>INDEX('GIS-Standards'!$O$2:$O$305,MATCH(B2156,'GIS-Standards'!$B$2:$B$305,0))</f>
        <v>ISO/TC 59/SC 13</v>
      </c>
      <c r="K2156" t="str">
        <f>INDEX('GIS-Standards'!$O$2:$O$305,MATCH(C2156,'GIS-Standards'!$B$2:$B$305,0))</f>
        <v>ISO/TC 211</v>
      </c>
      <c r="M2156" t="s">
        <v>525</v>
      </c>
      <c r="N2156">
        <f>INDEX('GIS-Standards'!$I$2:$I$305,MATCH(B2156,'GIS-Standards'!$B$2:$B$305,0))</f>
        <v>0</v>
      </c>
      <c r="O2156">
        <f>INDEX('GIS-Standards'!$I$2:$I$305,MATCH(C2156,'GIS-Standards'!$B$2:$B$305,0))</f>
        <v>0</v>
      </c>
      <c r="P2156" t="b">
        <f>AND(TableRelationships12[[#This Row],[Source Type]]="BIM",TableRelationships12[[#This Row],[Target Type]]="BIM")</f>
        <v>0</v>
      </c>
      <c r="Q2156">
        <f t="shared" si="99"/>
        <v>1</v>
      </c>
      <c r="S2156">
        <f t="shared" si="100"/>
        <v>1</v>
      </c>
      <c r="T2156" s="102" t="str">
        <f>IF(TableRelationships12[[#This Row],[Rank Pedro]]="Low","linkCategory1",IF(TableRelationships12[[#This Row],[Rank Pedro]]="Medium","linkCategory2",IF(TableRelationships12[[#This Row],[Rank Pedro]]="High","linkCategory3","")))</f>
        <v/>
      </c>
      <c r="U2156" s="102" t="str">
        <f>IF(TableRelationships12[[#This Row],[Rank Pedro]]="Low","Pink",IF(TableRelationships12[[#This Row],[Rank Pedro]]="Medium","Purple",IF(TableRelationships12[[#This Row],[Rank Pedro]]="High","Brown","")))</f>
        <v/>
      </c>
      <c r="V2156" s="4">
        <f>MAX(INDEX(Standards!$F$2:$F$296,MATCH(B2156,Standards!$B$2:$B$296,0)),INDEX(Standards!$F$2:$F$296,MATCH(C2156,Standards!$B$2:$B$296,0)))</f>
        <v>44317</v>
      </c>
      <c r="W2156" t="str">
        <f t="shared" si="101"/>
        <v>#2f89d1</v>
      </c>
    </row>
    <row r="2157" spans="1:23" x14ac:dyDescent="0.5">
      <c r="A2157" s="54">
        <v>2156</v>
      </c>
      <c r="B2157" s="90" t="s">
        <v>488</v>
      </c>
      <c r="C2157" t="s">
        <v>304</v>
      </c>
      <c r="D2157" s="1"/>
      <c r="E2157" s="112">
        <v>2002.09</v>
      </c>
      <c r="F2157" s="112">
        <v>2006.1</v>
      </c>
      <c r="G2157" s="107" t="s">
        <v>670</v>
      </c>
      <c r="H2157">
        <f>INDEX('GIS-Standards'!$A$2:$A$305,MATCH(B2157,'GIS-Standards'!$B$2:$B$305,0))</f>
        <v>95</v>
      </c>
      <c r="I2157">
        <f>INDEX('GIS-Standards'!$A$2:$A$305,MATCH(C2157,'GIS-Standards'!$B$2:$B$305,0))</f>
        <v>17</v>
      </c>
      <c r="J2157" t="str">
        <f>INDEX('GIS-Standards'!$O$2:$O$305,MATCH(B2157,'GIS-Standards'!$B$2:$B$305,0))</f>
        <v>ISO/TC 59/SC 13</v>
      </c>
      <c r="K2157" t="str">
        <f>INDEX('GIS-Standards'!$O$2:$O$305,MATCH(C2157,'GIS-Standards'!$B$2:$B$305,0))</f>
        <v>ISO/TC 211</v>
      </c>
      <c r="M2157" t="s">
        <v>525</v>
      </c>
      <c r="N2157">
        <f>INDEX('GIS-Standards'!$I$2:$I$305,MATCH(B2157,'GIS-Standards'!$B$2:$B$305,0))</f>
        <v>0</v>
      </c>
      <c r="O2157" t="str">
        <f>INDEX('GIS-Standards'!$I$2:$I$305,MATCH(C2157,'GIS-Standards'!$B$2:$B$305,0))</f>
        <v>06.2008</v>
      </c>
      <c r="P2157" t="b">
        <f>AND(TableRelationships12[[#This Row],[Source Type]]="BIM",TableRelationships12[[#This Row],[Target Type]]="BIM")</f>
        <v>0</v>
      </c>
      <c r="Q2157">
        <f t="shared" si="99"/>
        <v>1</v>
      </c>
      <c r="S2157">
        <f t="shared" si="100"/>
        <v>1</v>
      </c>
      <c r="T2157" s="102" t="str">
        <f>IF(TableRelationships12[[#This Row],[Rank Pedro]]="Low","linkCategory1",IF(TableRelationships12[[#This Row],[Rank Pedro]]="Medium","linkCategory2",IF(TableRelationships12[[#This Row],[Rank Pedro]]="High","linkCategory3","")))</f>
        <v/>
      </c>
      <c r="U2157" s="102" t="str">
        <f>IF(TableRelationships12[[#This Row],[Rank Pedro]]="Low","Pink",IF(TableRelationships12[[#This Row],[Rank Pedro]]="Medium","Purple",IF(TableRelationships12[[#This Row],[Rank Pedro]]="High","Brown","")))</f>
        <v/>
      </c>
      <c r="V2157" s="4">
        <f>MAX(INDEX(Standards!$F$2:$F$296,MATCH(B2157,Standards!$B$2:$B$296,0)),INDEX(Standards!$F$2:$F$296,MATCH(C2157,Standards!$B$2:$B$296,0)))</f>
        <v>44317</v>
      </c>
      <c r="W2157" t="str">
        <f t="shared" si="101"/>
        <v>#2f89d1</v>
      </c>
    </row>
    <row r="2158" spans="1:23" x14ac:dyDescent="0.5">
      <c r="A2158" s="54">
        <v>2157</v>
      </c>
      <c r="B2158" s="90" t="s">
        <v>488</v>
      </c>
      <c r="C2158" t="s">
        <v>306</v>
      </c>
      <c r="D2158" s="1"/>
      <c r="E2158" s="112">
        <v>2005.06</v>
      </c>
      <c r="F2158" s="112">
        <v>2025.07</v>
      </c>
      <c r="G2158" s="107" t="s">
        <v>670</v>
      </c>
      <c r="H2158">
        <f>INDEX('GIS-Standards'!$A$2:$A$305,MATCH(B2158,'GIS-Standards'!$B$2:$B$305,0))</f>
        <v>95</v>
      </c>
      <c r="I2158">
        <f>INDEX('GIS-Standards'!$A$2:$A$305,MATCH(C2158,'GIS-Standards'!$B$2:$B$305,0))</f>
        <v>18</v>
      </c>
      <c r="J2158" t="str">
        <f>INDEX('GIS-Standards'!$O$2:$O$305,MATCH(B2158,'GIS-Standards'!$B$2:$B$305,0))</f>
        <v>ISO/TC 59/SC 13</v>
      </c>
      <c r="K2158" t="str">
        <f>INDEX('GIS-Standards'!$O$2:$O$305,MATCH(C2158,'GIS-Standards'!$B$2:$B$305,0))</f>
        <v>ISO/TC 211</v>
      </c>
      <c r="M2158" t="s">
        <v>525</v>
      </c>
      <c r="N2158">
        <f>INDEX('GIS-Standards'!$I$2:$I$305,MATCH(B2158,'GIS-Standards'!$B$2:$B$305,0))</f>
        <v>0</v>
      </c>
      <c r="O2158">
        <f>INDEX('GIS-Standards'!$I$2:$I$305,MATCH(C2158,'GIS-Standards'!$B$2:$B$305,0))</f>
        <v>0</v>
      </c>
      <c r="P2158" t="b">
        <f>AND(TableRelationships12[[#This Row],[Source Type]]="BIM",TableRelationships12[[#This Row],[Target Type]]="BIM")</f>
        <v>0</v>
      </c>
      <c r="Q2158">
        <f t="shared" si="99"/>
        <v>1</v>
      </c>
      <c r="S2158">
        <f t="shared" si="100"/>
        <v>1</v>
      </c>
      <c r="T2158" s="102" t="str">
        <f>IF(TableRelationships12[[#This Row],[Rank Pedro]]="Low","linkCategory1",IF(TableRelationships12[[#This Row],[Rank Pedro]]="Medium","linkCategory2",IF(TableRelationships12[[#This Row],[Rank Pedro]]="High","linkCategory3","")))</f>
        <v/>
      </c>
      <c r="U2158" s="102" t="str">
        <f>IF(TableRelationships12[[#This Row],[Rank Pedro]]="Low","Pink",IF(TableRelationships12[[#This Row],[Rank Pedro]]="Medium","Purple",IF(TableRelationships12[[#This Row],[Rank Pedro]]="High","Brown","")))</f>
        <v/>
      </c>
      <c r="V2158" s="4">
        <f>MAX(INDEX(Standards!$F$2:$F$296,MATCH(B2158,Standards!$B$2:$B$296,0)),INDEX(Standards!$F$2:$F$296,MATCH(C2158,Standards!$B$2:$B$296,0)))</f>
        <v>44317</v>
      </c>
      <c r="W2158" t="str">
        <f t="shared" si="101"/>
        <v>#2f89d1</v>
      </c>
    </row>
    <row r="2159" spans="1:23" x14ac:dyDescent="0.5">
      <c r="A2159" s="54">
        <v>2158</v>
      </c>
      <c r="B2159" s="90" t="s">
        <v>488</v>
      </c>
      <c r="C2159" t="s">
        <v>308</v>
      </c>
      <c r="D2159" s="1"/>
      <c r="E2159" s="112">
        <v>2005.02</v>
      </c>
      <c r="F2159" s="112">
        <v>2016.12</v>
      </c>
      <c r="G2159" s="107" t="s">
        <v>670</v>
      </c>
      <c r="H2159">
        <f>INDEX('GIS-Standards'!$A$2:$A$305,MATCH(B2159,'GIS-Standards'!$B$2:$B$305,0))</f>
        <v>95</v>
      </c>
      <c r="I2159">
        <f>INDEX('GIS-Standards'!$A$2:$A$305,MATCH(C2159,'GIS-Standards'!$B$2:$B$305,0))</f>
        <v>19</v>
      </c>
      <c r="J2159" t="str">
        <f>INDEX('GIS-Standards'!$O$2:$O$305,MATCH(B2159,'GIS-Standards'!$B$2:$B$305,0))</f>
        <v>ISO/TC 59/SC 13</v>
      </c>
      <c r="K2159" t="str">
        <f>INDEX('GIS-Standards'!$O$2:$O$305,MATCH(C2159,'GIS-Standards'!$B$2:$B$305,0))</f>
        <v>ISO/TC 211</v>
      </c>
      <c r="M2159" t="s">
        <v>525</v>
      </c>
      <c r="N2159">
        <f>INDEX('GIS-Standards'!$I$2:$I$305,MATCH(B2159,'GIS-Standards'!$B$2:$B$305,0))</f>
        <v>0</v>
      </c>
      <c r="O2159">
        <f>INDEX('GIS-Standards'!$I$2:$I$305,MATCH(C2159,'GIS-Standards'!$B$2:$B$305,0))</f>
        <v>0</v>
      </c>
      <c r="P2159" t="b">
        <f>AND(TableRelationships12[[#This Row],[Source Type]]="BIM",TableRelationships12[[#This Row],[Target Type]]="BIM")</f>
        <v>0</v>
      </c>
      <c r="Q2159">
        <f t="shared" si="99"/>
        <v>1</v>
      </c>
      <c r="S2159">
        <f t="shared" si="100"/>
        <v>1</v>
      </c>
      <c r="T2159" s="102" t="str">
        <f>IF(TableRelationships12[[#This Row],[Rank Pedro]]="Low","linkCategory1",IF(TableRelationships12[[#This Row],[Rank Pedro]]="Medium","linkCategory2",IF(TableRelationships12[[#This Row],[Rank Pedro]]="High","linkCategory3","")))</f>
        <v/>
      </c>
      <c r="U2159" s="102" t="str">
        <f>IF(TableRelationships12[[#This Row],[Rank Pedro]]="Low","Pink",IF(TableRelationships12[[#This Row],[Rank Pedro]]="Medium","Purple",IF(TableRelationships12[[#This Row],[Rank Pedro]]="High","Brown","")))</f>
        <v/>
      </c>
      <c r="V2159" s="4">
        <f>MAX(INDEX(Standards!$F$2:$F$296,MATCH(B2159,Standards!$B$2:$B$296,0)),INDEX(Standards!$F$2:$F$296,MATCH(C2159,Standards!$B$2:$B$296,0)))</f>
        <v>44317</v>
      </c>
      <c r="W2159" t="str">
        <f t="shared" si="101"/>
        <v>#2f89d1</v>
      </c>
    </row>
    <row r="2160" spans="1:23" x14ac:dyDescent="0.5">
      <c r="A2160" s="54">
        <v>2159</v>
      </c>
      <c r="B2160" s="90" t="s">
        <v>488</v>
      </c>
      <c r="C2160" t="s">
        <v>310</v>
      </c>
      <c r="D2160" s="1"/>
      <c r="E2160" s="112">
        <v>2003.02</v>
      </c>
      <c r="F2160" s="112">
        <v>2023.08</v>
      </c>
      <c r="G2160" s="107" t="s">
        <v>670</v>
      </c>
      <c r="H2160">
        <f>INDEX('GIS-Standards'!$A$2:$A$305,MATCH(B2160,'GIS-Standards'!$B$2:$B$305,0))</f>
        <v>95</v>
      </c>
      <c r="I2160">
        <f>INDEX('GIS-Standards'!$A$2:$A$305,MATCH(C2160,'GIS-Standards'!$B$2:$B$305,0))</f>
        <v>20</v>
      </c>
      <c r="J2160" t="str">
        <f>INDEX('GIS-Standards'!$O$2:$O$305,MATCH(B2160,'GIS-Standards'!$B$2:$B$305,0))</f>
        <v>ISO/TC 59/SC 13</v>
      </c>
      <c r="K2160" t="str">
        <f>INDEX('GIS-Standards'!$O$2:$O$305,MATCH(C2160,'GIS-Standards'!$B$2:$B$305,0))</f>
        <v>ISO/TC 211</v>
      </c>
      <c r="M2160" t="s">
        <v>525</v>
      </c>
      <c r="N2160">
        <f>INDEX('GIS-Standards'!$I$2:$I$305,MATCH(B2160,'GIS-Standards'!$B$2:$B$305,0))</f>
        <v>0</v>
      </c>
      <c r="O2160" t="str">
        <f>INDEX('GIS-Standards'!$I$2:$I$305,MATCH(C2160,'GIS-Standards'!$B$2:$B$305,0))</f>
        <v>08.2023</v>
      </c>
      <c r="P2160" t="b">
        <f>AND(TableRelationships12[[#This Row],[Source Type]]="BIM",TableRelationships12[[#This Row],[Target Type]]="BIM")</f>
        <v>0</v>
      </c>
      <c r="Q2160">
        <f t="shared" si="99"/>
        <v>1</v>
      </c>
      <c r="S2160">
        <f t="shared" si="100"/>
        <v>1</v>
      </c>
      <c r="T2160" s="102" t="str">
        <f>IF(TableRelationships12[[#This Row],[Rank Pedro]]="Low","linkCategory1",IF(TableRelationships12[[#This Row],[Rank Pedro]]="Medium","linkCategory2",IF(TableRelationships12[[#This Row],[Rank Pedro]]="High","linkCategory3","")))</f>
        <v/>
      </c>
      <c r="U2160" s="102" t="str">
        <f>IF(TableRelationships12[[#This Row],[Rank Pedro]]="Low","Pink",IF(TableRelationships12[[#This Row],[Rank Pedro]]="Medium","Purple",IF(TableRelationships12[[#This Row],[Rank Pedro]]="High","Brown","")))</f>
        <v/>
      </c>
      <c r="V2160" s="4">
        <f>MAX(INDEX(Standards!$F$2:$F$296,MATCH(B2160,Standards!$B$2:$B$296,0)),INDEX(Standards!$F$2:$F$296,MATCH(C2160,Standards!$B$2:$B$296,0)))</f>
        <v>44317</v>
      </c>
      <c r="W2160" t="str">
        <f t="shared" si="101"/>
        <v>#2f89d1</v>
      </c>
    </row>
    <row r="2161" spans="1:23" x14ac:dyDescent="0.5">
      <c r="A2161" s="54">
        <v>2160</v>
      </c>
      <c r="B2161" s="90" t="s">
        <v>488</v>
      </c>
      <c r="C2161" t="s">
        <v>312</v>
      </c>
      <c r="D2161" s="1"/>
      <c r="E2161" s="112">
        <v>2003.1</v>
      </c>
      <c r="F2161" s="112">
        <v>2019.02</v>
      </c>
      <c r="G2161" s="107" t="s">
        <v>670</v>
      </c>
      <c r="H2161">
        <f>INDEX('GIS-Standards'!$A$2:$A$305,MATCH(B2161,'GIS-Standards'!$B$2:$B$305,0))</f>
        <v>95</v>
      </c>
      <c r="I2161">
        <f>INDEX('GIS-Standards'!$A$2:$A$305,MATCH(C2161,'GIS-Standards'!$B$2:$B$305,0))</f>
        <v>21</v>
      </c>
      <c r="J2161" t="str">
        <f>INDEX('GIS-Standards'!$O$2:$O$305,MATCH(B2161,'GIS-Standards'!$B$2:$B$305,0))</f>
        <v>ISO/TC 59/SC 13</v>
      </c>
      <c r="K2161" t="str">
        <f>INDEX('GIS-Standards'!$O$2:$O$305,MATCH(C2161,'GIS-Standards'!$B$2:$B$305,0))</f>
        <v>ISO/TC 211</v>
      </c>
      <c r="M2161" t="s">
        <v>525</v>
      </c>
      <c r="N2161">
        <f>INDEX('GIS-Standards'!$I$2:$I$305,MATCH(B2161,'GIS-Standards'!$B$2:$B$305,0))</f>
        <v>0</v>
      </c>
      <c r="O2161">
        <f>INDEX('GIS-Standards'!$I$2:$I$305,MATCH(C2161,'GIS-Standards'!$B$2:$B$305,0))</f>
        <v>0</v>
      </c>
      <c r="P2161" t="b">
        <f>AND(TableRelationships12[[#This Row],[Source Type]]="BIM",TableRelationships12[[#This Row],[Target Type]]="BIM")</f>
        <v>0</v>
      </c>
      <c r="Q2161">
        <f t="shared" si="99"/>
        <v>1</v>
      </c>
      <c r="S2161">
        <f t="shared" si="100"/>
        <v>1</v>
      </c>
      <c r="T2161" s="102" t="str">
        <f>IF(TableRelationships12[[#This Row],[Rank Pedro]]="Low","linkCategory1",IF(TableRelationships12[[#This Row],[Rank Pedro]]="Medium","linkCategory2",IF(TableRelationships12[[#This Row],[Rank Pedro]]="High","linkCategory3","")))</f>
        <v/>
      </c>
      <c r="U2161" s="102" t="str">
        <f>IF(TableRelationships12[[#This Row],[Rank Pedro]]="Low","Pink",IF(TableRelationships12[[#This Row],[Rank Pedro]]="Medium","Purple",IF(TableRelationships12[[#This Row],[Rank Pedro]]="High","Brown","")))</f>
        <v/>
      </c>
      <c r="V2161" s="4">
        <f>MAX(INDEX(Standards!$F$2:$F$296,MATCH(B2161,Standards!$B$2:$B$296,0)),INDEX(Standards!$F$2:$F$296,MATCH(C2161,Standards!$B$2:$B$296,0)))</f>
        <v>44317</v>
      </c>
      <c r="W2161" t="str">
        <f t="shared" si="101"/>
        <v>#2f89d1</v>
      </c>
    </row>
    <row r="2162" spans="1:23" x14ac:dyDescent="0.5">
      <c r="A2162" s="54">
        <v>2161</v>
      </c>
      <c r="B2162" s="90" t="s">
        <v>488</v>
      </c>
      <c r="C2162" t="s">
        <v>314</v>
      </c>
      <c r="D2162" s="1" t="s">
        <v>1099</v>
      </c>
      <c r="E2162" s="112">
        <v>2003.05</v>
      </c>
      <c r="F2162" s="112">
        <v>2020.11</v>
      </c>
      <c r="G2162" s="107" t="s">
        <v>670</v>
      </c>
      <c r="H2162">
        <f>INDEX('GIS-Standards'!$A$2:$A$305,MATCH(B2162,'GIS-Standards'!$B$2:$B$305,0))</f>
        <v>95</v>
      </c>
      <c r="I2162">
        <f>INDEX('GIS-Standards'!$A$2:$A$305,MATCH(C2162,'GIS-Standards'!$B$2:$B$305,0))</f>
        <v>22</v>
      </c>
      <c r="J2162" t="str">
        <f>INDEX('GIS-Standards'!$O$2:$O$305,MATCH(B2162,'GIS-Standards'!$B$2:$B$305,0))</f>
        <v>ISO/TC 59/SC 13</v>
      </c>
      <c r="K2162" t="str">
        <f>INDEX('GIS-Standards'!$O$2:$O$305,MATCH(C2162,'GIS-Standards'!$B$2:$B$305,0))</f>
        <v>ISO/TC 211</v>
      </c>
      <c r="M2162" t="s">
        <v>525</v>
      </c>
      <c r="N2162">
        <f>INDEX('GIS-Standards'!$I$2:$I$305,MATCH(B2162,'GIS-Standards'!$B$2:$B$305,0))</f>
        <v>0</v>
      </c>
      <c r="O2162" t="str">
        <f>INDEX('GIS-Standards'!$I$2:$I$305,MATCH(C2162,'GIS-Standards'!$B$2:$B$305,0))</f>
        <v>12.2020</v>
      </c>
      <c r="P2162" t="b">
        <f>AND(TableRelationships12[[#This Row],[Source Type]]="BIM",TableRelationships12[[#This Row],[Target Type]]="BIM")</f>
        <v>0</v>
      </c>
      <c r="Q2162">
        <f t="shared" si="99"/>
        <v>1</v>
      </c>
      <c r="S2162">
        <f t="shared" si="100"/>
        <v>1</v>
      </c>
      <c r="T2162" s="102" t="str">
        <f>IF(TableRelationships12[[#This Row],[Rank Pedro]]="Low","linkCategory1",IF(TableRelationships12[[#This Row],[Rank Pedro]]="Medium","linkCategory2",IF(TableRelationships12[[#This Row],[Rank Pedro]]="High","linkCategory3","")))</f>
        <v/>
      </c>
      <c r="U2162" s="102" t="str">
        <f>IF(TableRelationships12[[#This Row],[Rank Pedro]]="Low","Pink",IF(TableRelationships12[[#This Row],[Rank Pedro]]="Medium","Purple",IF(TableRelationships12[[#This Row],[Rank Pedro]]="High","Brown","")))</f>
        <v/>
      </c>
      <c r="V2162" s="4">
        <f>MAX(INDEX(Standards!$F$2:$F$296,MATCH(B2162,Standards!$B$2:$B$296,0)),INDEX(Standards!$F$2:$F$296,MATCH(C2162,Standards!$B$2:$B$296,0)))</f>
        <v>44317</v>
      </c>
      <c r="W2162" t="str">
        <f t="shared" si="101"/>
        <v>#2f89d1</v>
      </c>
    </row>
    <row r="2163" spans="1:23" x14ac:dyDescent="0.5">
      <c r="A2163" s="54">
        <v>2162</v>
      </c>
      <c r="B2163" s="90" t="s">
        <v>488</v>
      </c>
      <c r="C2163" t="s">
        <v>316</v>
      </c>
      <c r="D2163" s="1"/>
      <c r="E2163" s="112">
        <v>2005.07</v>
      </c>
      <c r="F2163" s="112">
        <v>2011.1</v>
      </c>
      <c r="G2163" s="107" t="s">
        <v>670</v>
      </c>
      <c r="H2163">
        <f>INDEX('GIS-Standards'!$A$2:$A$305,MATCH(B2163,'GIS-Standards'!$B$2:$B$305,0))</f>
        <v>95</v>
      </c>
      <c r="I2163">
        <f>INDEX('GIS-Standards'!$A$2:$A$305,MATCH(C2163,'GIS-Standards'!$B$2:$B$305,0))</f>
        <v>27</v>
      </c>
      <c r="J2163" t="str">
        <f>INDEX('GIS-Standards'!$O$2:$O$305,MATCH(B2163,'GIS-Standards'!$B$2:$B$305,0))</f>
        <v>ISO/TC 59/SC 13</v>
      </c>
      <c r="K2163" t="str">
        <f>INDEX('GIS-Standards'!$O$2:$O$305,MATCH(C2163,'GIS-Standards'!$B$2:$B$305,0))</f>
        <v>ISO/TC 211</v>
      </c>
      <c r="M2163" t="s">
        <v>525</v>
      </c>
      <c r="N2163">
        <f>INDEX('GIS-Standards'!$I$2:$I$305,MATCH(B2163,'GIS-Standards'!$B$2:$B$305,0))</f>
        <v>0</v>
      </c>
      <c r="O2163">
        <f>INDEX('GIS-Standards'!$I$2:$I$305,MATCH(C2163,'GIS-Standards'!$B$2:$B$305,0))</f>
        <v>0</v>
      </c>
      <c r="P2163" t="b">
        <f>AND(TableRelationships12[[#This Row],[Source Type]]="BIM",TableRelationships12[[#This Row],[Target Type]]="BIM")</f>
        <v>0</v>
      </c>
      <c r="Q2163">
        <f t="shared" si="99"/>
        <v>1</v>
      </c>
      <c r="S2163">
        <f t="shared" si="100"/>
        <v>1</v>
      </c>
      <c r="T2163" s="102" t="str">
        <f>IF(TableRelationships12[[#This Row],[Rank Pedro]]="Low","linkCategory1",IF(TableRelationships12[[#This Row],[Rank Pedro]]="Medium","linkCategory2",IF(TableRelationships12[[#This Row],[Rank Pedro]]="High","linkCategory3","")))</f>
        <v/>
      </c>
      <c r="U2163" s="102" t="str">
        <f>IF(TableRelationships12[[#This Row],[Rank Pedro]]="Low","Pink",IF(TableRelationships12[[#This Row],[Rank Pedro]]="Medium","Purple",IF(TableRelationships12[[#This Row],[Rank Pedro]]="High","Brown","")))</f>
        <v/>
      </c>
      <c r="V2163" s="4">
        <f>MAX(INDEX(Standards!$F$2:$F$296,MATCH(B2163,Standards!$B$2:$B$296,0)),INDEX(Standards!$F$2:$F$296,MATCH(C2163,Standards!$B$2:$B$296,0)))</f>
        <v>44317</v>
      </c>
      <c r="W2163" t="str">
        <f t="shared" si="101"/>
        <v>#2f89d1</v>
      </c>
    </row>
    <row r="2164" spans="1:23" x14ac:dyDescent="0.5">
      <c r="A2164" s="54">
        <v>2163</v>
      </c>
      <c r="B2164" s="90" t="s">
        <v>488</v>
      </c>
      <c r="C2164" t="s">
        <v>318</v>
      </c>
      <c r="D2164" s="1"/>
      <c r="E2164" s="112">
        <v>2005.02</v>
      </c>
      <c r="F2164" s="112">
        <v>2016.01</v>
      </c>
      <c r="G2164" s="107" t="s">
        <v>670</v>
      </c>
      <c r="H2164">
        <f>INDEX('GIS-Standards'!$A$2:$A$305,MATCH(B2164,'GIS-Standards'!$B$2:$B$305,0))</f>
        <v>95</v>
      </c>
      <c r="I2164">
        <f>INDEX('GIS-Standards'!$A$2:$A$305,MATCH(C2164,'GIS-Standards'!$B$2:$B$305,0))</f>
        <v>28</v>
      </c>
      <c r="J2164" t="str">
        <f>INDEX('GIS-Standards'!$O$2:$O$305,MATCH(B2164,'GIS-Standards'!$B$2:$B$305,0))</f>
        <v>ISO/TC 59/SC 13</v>
      </c>
      <c r="K2164" t="str">
        <f>INDEX('GIS-Standards'!$O$2:$O$305,MATCH(C2164,'GIS-Standards'!$B$2:$B$305,0))</f>
        <v>ISO/TC 211</v>
      </c>
      <c r="M2164" t="s">
        <v>525</v>
      </c>
      <c r="N2164">
        <f>INDEX('GIS-Standards'!$I$2:$I$305,MATCH(B2164,'GIS-Standards'!$B$2:$B$305,0))</f>
        <v>0</v>
      </c>
      <c r="O2164">
        <f>INDEX('GIS-Standards'!$I$2:$I$305,MATCH(C2164,'GIS-Standards'!$B$2:$B$305,0))</f>
        <v>0</v>
      </c>
      <c r="P2164" t="b">
        <f>AND(TableRelationships12[[#This Row],[Source Type]]="BIM",TableRelationships12[[#This Row],[Target Type]]="BIM")</f>
        <v>0</v>
      </c>
      <c r="Q2164">
        <f t="shared" si="99"/>
        <v>1</v>
      </c>
      <c r="S2164">
        <f t="shared" si="100"/>
        <v>1</v>
      </c>
      <c r="T2164" s="102" t="str">
        <f>IF(TableRelationships12[[#This Row],[Rank Pedro]]="Low","linkCategory1",IF(TableRelationships12[[#This Row],[Rank Pedro]]="Medium","linkCategory2",IF(TableRelationships12[[#This Row],[Rank Pedro]]="High","linkCategory3","")))</f>
        <v/>
      </c>
      <c r="U2164" s="102" t="str">
        <f>IF(TableRelationships12[[#This Row],[Rank Pedro]]="Low","Pink",IF(TableRelationships12[[#This Row],[Rank Pedro]]="Medium","Purple",IF(TableRelationships12[[#This Row],[Rank Pedro]]="High","Brown","")))</f>
        <v/>
      </c>
      <c r="V2164" s="4">
        <f>MAX(INDEX(Standards!$F$2:$F$296,MATCH(B2164,Standards!$B$2:$B$296,0)),INDEX(Standards!$F$2:$F$296,MATCH(C2164,Standards!$B$2:$B$296,0)))</f>
        <v>44317</v>
      </c>
      <c r="W2164" t="str">
        <f t="shared" si="101"/>
        <v>#2f89d1</v>
      </c>
    </row>
    <row r="2165" spans="1:23" x14ac:dyDescent="0.5">
      <c r="A2165" s="54">
        <v>2164</v>
      </c>
      <c r="B2165" s="90" t="s">
        <v>488</v>
      </c>
      <c r="C2165" t="s">
        <v>320</v>
      </c>
      <c r="D2165" s="1" t="s">
        <v>1100</v>
      </c>
      <c r="E2165" s="112">
        <v>2005.08</v>
      </c>
      <c r="F2165" s="112">
        <v>2023.06</v>
      </c>
      <c r="G2165" s="107" t="s">
        <v>670</v>
      </c>
      <c r="H2165">
        <f>INDEX('GIS-Standards'!$A$2:$A$305,MATCH(B2165,'GIS-Standards'!$B$2:$B$305,0))</f>
        <v>95</v>
      </c>
      <c r="I2165">
        <f>INDEX('GIS-Standards'!$A$2:$A$305,MATCH(C2165,'GIS-Standards'!$B$2:$B$305,0))</f>
        <v>29</v>
      </c>
      <c r="J2165" t="str">
        <f>INDEX('GIS-Standards'!$O$2:$O$305,MATCH(B2165,'GIS-Standards'!$B$2:$B$305,0))</f>
        <v>ISO/TC 59/SC 13</v>
      </c>
      <c r="K2165" t="str">
        <f>INDEX('GIS-Standards'!$O$2:$O$305,MATCH(C2165,'GIS-Standards'!$B$2:$B$305,0))</f>
        <v>ISO/TC 211</v>
      </c>
      <c r="M2165" t="s">
        <v>525</v>
      </c>
      <c r="N2165">
        <f>INDEX('GIS-Standards'!$I$2:$I$305,MATCH(B2165,'GIS-Standards'!$B$2:$B$305,0))</f>
        <v>0</v>
      </c>
      <c r="O2165">
        <f>INDEX('GIS-Standards'!$I$2:$I$305,MATCH(C2165,'GIS-Standards'!$B$2:$B$305,0))</f>
        <v>0</v>
      </c>
      <c r="P2165" t="b">
        <f>AND(TableRelationships12[[#This Row],[Source Type]]="BIM",TableRelationships12[[#This Row],[Target Type]]="BIM")</f>
        <v>0</v>
      </c>
      <c r="Q2165">
        <f t="shared" si="99"/>
        <v>1</v>
      </c>
      <c r="S2165">
        <f t="shared" si="100"/>
        <v>1</v>
      </c>
      <c r="T2165" s="102" t="str">
        <f>IF(TableRelationships12[[#This Row],[Rank Pedro]]="Low","linkCategory1",IF(TableRelationships12[[#This Row],[Rank Pedro]]="Medium","linkCategory2",IF(TableRelationships12[[#This Row],[Rank Pedro]]="High","linkCategory3","")))</f>
        <v/>
      </c>
      <c r="U2165" s="102" t="str">
        <f>IF(TableRelationships12[[#This Row],[Rank Pedro]]="Low","Pink",IF(TableRelationships12[[#This Row],[Rank Pedro]]="Medium","Purple",IF(TableRelationships12[[#This Row],[Rank Pedro]]="High","Brown","")))</f>
        <v/>
      </c>
      <c r="V2165" s="4">
        <f>MAX(INDEX(Standards!$F$2:$F$296,MATCH(B2165,Standards!$B$2:$B$296,0)),INDEX(Standards!$F$2:$F$296,MATCH(C2165,Standards!$B$2:$B$296,0)))</f>
        <v>44317</v>
      </c>
      <c r="W2165" t="str">
        <f t="shared" si="101"/>
        <v>#2f89d1</v>
      </c>
    </row>
    <row r="2166" spans="1:23" x14ac:dyDescent="0.5">
      <c r="A2166" s="54">
        <v>2165</v>
      </c>
      <c r="B2166" s="90" t="s">
        <v>488</v>
      </c>
      <c r="C2166" t="s">
        <v>322</v>
      </c>
      <c r="D2166" s="1"/>
      <c r="E2166" s="112">
        <v>2009.11</v>
      </c>
      <c r="F2166" s="112">
        <v>2021.05</v>
      </c>
      <c r="G2166" s="107" t="s">
        <v>670</v>
      </c>
      <c r="H2166">
        <f>INDEX('GIS-Standards'!$A$2:$A$305,MATCH(B2166,'GIS-Standards'!$B$2:$B$305,0))</f>
        <v>95</v>
      </c>
      <c r="I2166">
        <f>INDEX('GIS-Standards'!$A$2:$A$305,MATCH(C2166,'GIS-Standards'!$B$2:$B$305,0))</f>
        <v>33</v>
      </c>
      <c r="J2166" t="str">
        <f>INDEX('GIS-Standards'!$O$2:$O$305,MATCH(B2166,'GIS-Standards'!$B$2:$B$305,0))</f>
        <v>ISO/TC 59/SC 13</v>
      </c>
      <c r="K2166" t="str">
        <f>INDEX('GIS-Standards'!$O$2:$O$305,MATCH(C2166,'GIS-Standards'!$B$2:$B$305,0))</f>
        <v>ISO/TC 211</v>
      </c>
      <c r="M2166" t="s">
        <v>525</v>
      </c>
      <c r="N2166">
        <f>INDEX('GIS-Standards'!$I$2:$I$305,MATCH(B2166,'GIS-Standards'!$B$2:$B$305,0))</f>
        <v>0</v>
      </c>
      <c r="O2166">
        <f>INDEX('GIS-Standards'!$I$2:$I$305,MATCH(C2166,'GIS-Standards'!$B$2:$B$305,0))</f>
        <v>0</v>
      </c>
      <c r="P2166" t="b">
        <f>AND(TableRelationships12[[#This Row],[Source Type]]="BIM",TableRelationships12[[#This Row],[Target Type]]="BIM")</f>
        <v>0</v>
      </c>
      <c r="Q2166">
        <f t="shared" si="99"/>
        <v>1</v>
      </c>
      <c r="S2166">
        <f t="shared" si="100"/>
        <v>1</v>
      </c>
      <c r="T2166" s="102" t="str">
        <f>IF(TableRelationships12[[#This Row],[Rank Pedro]]="Low","linkCategory1",IF(TableRelationships12[[#This Row],[Rank Pedro]]="Medium","linkCategory2",IF(TableRelationships12[[#This Row],[Rank Pedro]]="High","linkCategory3","")))</f>
        <v/>
      </c>
      <c r="U2166" s="102" t="str">
        <f>IF(TableRelationships12[[#This Row],[Rank Pedro]]="Low","Pink",IF(TableRelationships12[[#This Row],[Rank Pedro]]="Medium","Purple",IF(TableRelationships12[[#This Row],[Rank Pedro]]="High","Brown","")))</f>
        <v/>
      </c>
      <c r="V2166" s="4">
        <f>MAX(INDEX(Standards!$F$2:$F$296,MATCH(B2166,Standards!$B$2:$B$296,0)),INDEX(Standards!$F$2:$F$296,MATCH(C2166,Standards!$B$2:$B$296,0)))</f>
        <v>44317</v>
      </c>
      <c r="W2166" t="str">
        <f t="shared" si="101"/>
        <v>#2f89d1</v>
      </c>
    </row>
    <row r="2167" spans="1:23" x14ac:dyDescent="0.5">
      <c r="A2167" s="54">
        <v>2166</v>
      </c>
      <c r="B2167" s="90" t="s">
        <v>488</v>
      </c>
      <c r="C2167" t="s">
        <v>324</v>
      </c>
      <c r="D2167" s="1"/>
      <c r="E2167" s="112">
        <v>2005.06</v>
      </c>
      <c r="F2167" s="112">
        <v>2019.02</v>
      </c>
      <c r="G2167" s="107" t="s">
        <v>1465</v>
      </c>
      <c r="H2167">
        <f>INDEX('GIS-Standards'!$A$2:$A$305,MATCH(B2167,'GIS-Standards'!$B$2:$B$305,0))</f>
        <v>95</v>
      </c>
      <c r="I2167">
        <f>INDEX('GIS-Standards'!$A$2:$A$305,MATCH(C2167,'GIS-Standards'!$B$2:$B$305,0))</f>
        <v>34</v>
      </c>
      <c r="J2167" t="str">
        <f>INDEX('GIS-Standards'!$O$2:$O$305,MATCH(B2167,'GIS-Standards'!$B$2:$B$305,0))</f>
        <v>ISO/TC 59/SC 13</v>
      </c>
      <c r="K2167" t="str">
        <f>INDEX('GIS-Standards'!$O$2:$O$305,MATCH(C2167,'GIS-Standards'!$B$2:$B$305,0))</f>
        <v>ISO/TC 211</v>
      </c>
      <c r="M2167" t="s">
        <v>525</v>
      </c>
      <c r="N2167">
        <f>INDEX('GIS-Standards'!$I$2:$I$305,MATCH(B2167,'GIS-Standards'!$B$2:$B$305,0))</f>
        <v>0</v>
      </c>
      <c r="O2167">
        <f>INDEX('GIS-Standards'!$I$2:$I$305,MATCH(C2167,'GIS-Standards'!$B$2:$B$305,0))</f>
        <v>0</v>
      </c>
      <c r="P2167" t="b">
        <f>AND(TableRelationships12[[#This Row],[Source Type]]="BIM",TableRelationships12[[#This Row],[Target Type]]="BIM")</f>
        <v>0</v>
      </c>
      <c r="Q2167">
        <f t="shared" si="99"/>
        <v>1</v>
      </c>
      <c r="S2167">
        <f t="shared" si="100"/>
        <v>1</v>
      </c>
      <c r="T2167" s="102" t="str">
        <f>IF(TableRelationships12[[#This Row],[Rank Pedro]]="Low","linkCategory1",IF(TableRelationships12[[#This Row],[Rank Pedro]]="Medium","linkCategory2",IF(TableRelationships12[[#This Row],[Rank Pedro]]="High","linkCategory3","")))</f>
        <v/>
      </c>
      <c r="U2167" s="102" t="str">
        <f>IF(TableRelationships12[[#This Row],[Rank Pedro]]="Low","Pink",IF(TableRelationships12[[#This Row],[Rank Pedro]]="Medium","Purple",IF(TableRelationships12[[#This Row],[Rank Pedro]]="High","Brown","")))</f>
        <v/>
      </c>
      <c r="V2167" s="4">
        <f>MAX(INDEX(Standards!$F$2:$F$296,MATCH(B2167,Standards!$B$2:$B$296,0)),INDEX(Standards!$F$2:$F$296,MATCH(C2167,Standards!$B$2:$B$296,0)))</f>
        <v>44317</v>
      </c>
      <c r="W2167" t="str">
        <f t="shared" si="101"/>
        <v>#2f89d1</v>
      </c>
    </row>
    <row r="2168" spans="1:23" x14ac:dyDescent="0.5">
      <c r="A2168" s="54">
        <v>2167</v>
      </c>
      <c r="B2168" s="90" t="s">
        <v>488</v>
      </c>
      <c r="C2168" t="s">
        <v>326</v>
      </c>
      <c r="D2168" s="1"/>
      <c r="E2168" s="112">
        <v>2005.12</v>
      </c>
      <c r="F2168" s="112">
        <v>2005.12</v>
      </c>
      <c r="G2168" s="107" t="s">
        <v>670</v>
      </c>
      <c r="H2168">
        <f>INDEX('GIS-Standards'!$A$2:$A$305,MATCH(B2168,'GIS-Standards'!$B$2:$B$305,0))</f>
        <v>95</v>
      </c>
      <c r="I2168">
        <f>INDEX('GIS-Standards'!$A$2:$A$305,MATCH(C2168,'GIS-Standards'!$B$2:$B$305,0))</f>
        <v>35</v>
      </c>
      <c r="J2168" t="str">
        <f>INDEX('GIS-Standards'!$O$2:$O$305,MATCH(B2168,'GIS-Standards'!$B$2:$B$305,0))</f>
        <v>ISO/TC 59/SC 13</v>
      </c>
      <c r="K2168" t="str">
        <f>INDEX('GIS-Standards'!$O$2:$O$305,MATCH(C2168,'GIS-Standards'!$B$2:$B$305,0))</f>
        <v>ISO/TC 211</v>
      </c>
      <c r="M2168" t="s">
        <v>525</v>
      </c>
      <c r="N2168">
        <f>INDEX('GIS-Standards'!$I$2:$I$305,MATCH(B2168,'GIS-Standards'!$B$2:$B$305,0))</f>
        <v>0</v>
      </c>
      <c r="O2168">
        <f>INDEX('GIS-Standards'!$I$2:$I$305,MATCH(C2168,'GIS-Standards'!$B$2:$B$305,0))</f>
        <v>0</v>
      </c>
      <c r="P2168" t="b">
        <f>AND(TableRelationships12[[#This Row],[Source Type]]="BIM",TableRelationships12[[#This Row],[Target Type]]="BIM")</f>
        <v>0</v>
      </c>
      <c r="Q2168">
        <f t="shared" si="99"/>
        <v>1</v>
      </c>
      <c r="S2168">
        <f t="shared" si="100"/>
        <v>1</v>
      </c>
      <c r="T2168" s="102" t="str">
        <f>IF(TableRelationships12[[#This Row],[Rank Pedro]]="Low","linkCategory1",IF(TableRelationships12[[#This Row],[Rank Pedro]]="Medium","linkCategory2",IF(TableRelationships12[[#This Row],[Rank Pedro]]="High","linkCategory3","")))</f>
        <v/>
      </c>
      <c r="U2168" s="102" t="str">
        <f>IF(TableRelationships12[[#This Row],[Rank Pedro]]="Low","Pink",IF(TableRelationships12[[#This Row],[Rank Pedro]]="Medium","Purple",IF(TableRelationships12[[#This Row],[Rank Pedro]]="High","Brown","")))</f>
        <v/>
      </c>
      <c r="V2168" s="4">
        <f>MAX(INDEX(Standards!$F$2:$F$296,MATCH(B2168,Standards!$B$2:$B$296,0)),INDEX(Standards!$F$2:$F$296,MATCH(C2168,Standards!$B$2:$B$296,0)))</f>
        <v>44317</v>
      </c>
      <c r="W2168" t="str">
        <f t="shared" si="101"/>
        <v>#2f89d1</v>
      </c>
    </row>
    <row r="2169" spans="1:23" x14ac:dyDescent="0.5">
      <c r="A2169" s="54">
        <v>2168</v>
      </c>
      <c r="B2169" s="90" t="s">
        <v>488</v>
      </c>
      <c r="C2169" t="s">
        <v>328</v>
      </c>
      <c r="D2169" s="1"/>
      <c r="E2169" s="112">
        <v>2007.04</v>
      </c>
      <c r="F2169" s="112">
        <v>2022.11</v>
      </c>
      <c r="G2169" s="107" t="s">
        <v>670</v>
      </c>
      <c r="H2169">
        <f>INDEX('GIS-Standards'!$A$2:$A$305,MATCH(B2169,'GIS-Standards'!$B$2:$B$305,0))</f>
        <v>95</v>
      </c>
      <c r="I2169">
        <f>INDEX('GIS-Standards'!$A$2:$A$305,MATCH(C2169,'GIS-Standards'!$B$2:$B$305,0))</f>
        <v>37</v>
      </c>
      <c r="J2169" t="str">
        <f>INDEX('GIS-Standards'!$O$2:$O$305,MATCH(B2169,'GIS-Standards'!$B$2:$B$305,0))</f>
        <v>ISO/TC 59/SC 13</v>
      </c>
      <c r="K2169" t="str">
        <f>INDEX('GIS-Standards'!$O$2:$O$305,MATCH(C2169,'GIS-Standards'!$B$2:$B$305,0))</f>
        <v>ISO/TC 211</v>
      </c>
      <c r="M2169" t="s">
        <v>525</v>
      </c>
      <c r="N2169">
        <f>INDEX('GIS-Standards'!$I$2:$I$305,MATCH(B2169,'GIS-Standards'!$B$2:$B$305,0))</f>
        <v>0</v>
      </c>
      <c r="O2169">
        <f>INDEX('GIS-Standards'!$I$2:$I$305,MATCH(C2169,'GIS-Standards'!$B$2:$B$305,0))</f>
        <v>0</v>
      </c>
      <c r="P2169" t="b">
        <f>AND(TableRelationships12[[#This Row],[Source Type]]="BIM",TableRelationships12[[#This Row],[Target Type]]="BIM")</f>
        <v>0</v>
      </c>
      <c r="Q2169">
        <f t="shared" si="99"/>
        <v>1</v>
      </c>
      <c r="S2169">
        <f t="shared" si="100"/>
        <v>1</v>
      </c>
      <c r="T2169" s="102" t="str">
        <f>IF(TableRelationships12[[#This Row],[Rank Pedro]]="Low","linkCategory1",IF(TableRelationships12[[#This Row],[Rank Pedro]]="Medium","linkCategory2",IF(TableRelationships12[[#This Row],[Rank Pedro]]="High","linkCategory3","")))</f>
        <v/>
      </c>
      <c r="U2169" s="102" t="str">
        <f>IF(TableRelationships12[[#This Row],[Rank Pedro]]="Low","Pink",IF(TableRelationships12[[#This Row],[Rank Pedro]]="Medium","Purple",IF(TableRelationships12[[#This Row],[Rank Pedro]]="High","Brown","")))</f>
        <v/>
      </c>
      <c r="V2169" s="4">
        <f>MAX(INDEX(Standards!$F$2:$F$296,MATCH(B2169,Standards!$B$2:$B$296,0)),INDEX(Standards!$F$2:$F$296,MATCH(C2169,Standards!$B$2:$B$296,0)))</f>
        <v>44317</v>
      </c>
      <c r="W2169" t="str">
        <f t="shared" si="101"/>
        <v>#2f89d1</v>
      </c>
    </row>
    <row r="2170" spans="1:23" x14ac:dyDescent="0.5">
      <c r="A2170" s="54">
        <v>2169</v>
      </c>
      <c r="B2170" s="90" t="s">
        <v>488</v>
      </c>
      <c r="C2170" t="s">
        <v>330</v>
      </c>
      <c r="D2170" s="1"/>
      <c r="E2170" s="112">
        <v>2007.1</v>
      </c>
      <c r="F2170" s="112">
        <v>2007.1</v>
      </c>
      <c r="G2170" s="107" t="s">
        <v>670</v>
      </c>
      <c r="H2170">
        <f>INDEX('GIS-Standards'!$A$2:$A$305,MATCH(B2170,'GIS-Standards'!$B$2:$B$305,0))</f>
        <v>95</v>
      </c>
      <c r="I2170">
        <f>INDEX('GIS-Standards'!$A$2:$A$305,MATCH(C2170,'GIS-Standards'!$B$2:$B$305,0))</f>
        <v>38</v>
      </c>
      <c r="J2170" t="str">
        <f>INDEX('GIS-Standards'!$O$2:$O$305,MATCH(B2170,'GIS-Standards'!$B$2:$B$305,0))</f>
        <v>ISO/TC 59/SC 13</v>
      </c>
      <c r="K2170" t="str">
        <f>INDEX('GIS-Standards'!$O$2:$O$305,MATCH(C2170,'GIS-Standards'!$B$2:$B$305,0))</f>
        <v>ISO/TC 211</v>
      </c>
      <c r="M2170" t="s">
        <v>525</v>
      </c>
      <c r="N2170">
        <f>INDEX('GIS-Standards'!$I$2:$I$305,MATCH(B2170,'GIS-Standards'!$B$2:$B$305,0))</f>
        <v>0</v>
      </c>
      <c r="O2170">
        <f>INDEX('GIS-Standards'!$I$2:$I$305,MATCH(C2170,'GIS-Standards'!$B$2:$B$305,0))</f>
        <v>0</v>
      </c>
      <c r="P2170" t="b">
        <f>AND(TableRelationships12[[#This Row],[Source Type]]="BIM",TableRelationships12[[#This Row],[Target Type]]="BIM")</f>
        <v>0</v>
      </c>
      <c r="Q2170">
        <f t="shared" si="99"/>
        <v>1</v>
      </c>
      <c r="S2170">
        <f t="shared" si="100"/>
        <v>1</v>
      </c>
      <c r="T2170" s="102" t="str">
        <f>IF(TableRelationships12[[#This Row],[Rank Pedro]]="Low","linkCategory1",IF(TableRelationships12[[#This Row],[Rank Pedro]]="Medium","linkCategory2",IF(TableRelationships12[[#This Row],[Rank Pedro]]="High","linkCategory3","")))</f>
        <v/>
      </c>
      <c r="U2170" s="102" t="str">
        <f>IF(TableRelationships12[[#This Row],[Rank Pedro]]="Low","Pink",IF(TableRelationships12[[#This Row],[Rank Pedro]]="Medium","Purple",IF(TableRelationships12[[#This Row],[Rank Pedro]]="High","Brown","")))</f>
        <v/>
      </c>
      <c r="V2170" s="4">
        <f>MAX(INDEX(Standards!$F$2:$F$296,MATCH(B2170,Standards!$B$2:$B$296,0)),INDEX(Standards!$F$2:$F$296,MATCH(C2170,Standards!$B$2:$B$296,0)))</f>
        <v>44317</v>
      </c>
      <c r="W2170" t="str">
        <f t="shared" si="101"/>
        <v>#2f89d1</v>
      </c>
    </row>
    <row r="2171" spans="1:23" x14ac:dyDescent="0.5">
      <c r="A2171" s="54">
        <v>2170</v>
      </c>
      <c r="B2171" s="90" t="s">
        <v>488</v>
      </c>
      <c r="C2171" t="s">
        <v>332</v>
      </c>
      <c r="D2171" s="1"/>
      <c r="E2171" s="112">
        <v>2005.1</v>
      </c>
      <c r="F2171" s="112">
        <v>2005.1</v>
      </c>
      <c r="G2171" s="107" t="s">
        <v>670</v>
      </c>
      <c r="H2171">
        <f>INDEX('GIS-Standards'!$A$2:$A$305,MATCH(B2171,'GIS-Standards'!$B$2:$B$305,0))</f>
        <v>95</v>
      </c>
      <c r="I2171">
        <f>INDEX('GIS-Standards'!$A$2:$A$305,MATCH(C2171,'GIS-Standards'!$B$2:$B$305,0))</f>
        <v>39</v>
      </c>
      <c r="J2171" t="str">
        <f>INDEX('GIS-Standards'!$O$2:$O$305,MATCH(B2171,'GIS-Standards'!$B$2:$B$305,0))</f>
        <v>ISO/TC 59/SC 13</v>
      </c>
      <c r="K2171" t="str">
        <f>INDEX('GIS-Standards'!$O$2:$O$305,MATCH(C2171,'GIS-Standards'!$B$2:$B$305,0))</f>
        <v>ISO/TC 211</v>
      </c>
      <c r="M2171" t="s">
        <v>525</v>
      </c>
      <c r="N2171">
        <f>INDEX('GIS-Standards'!$I$2:$I$305,MATCH(B2171,'GIS-Standards'!$B$2:$B$305,0))</f>
        <v>0</v>
      </c>
      <c r="O2171">
        <f>INDEX('GIS-Standards'!$I$2:$I$305,MATCH(C2171,'GIS-Standards'!$B$2:$B$305,0))</f>
        <v>0</v>
      </c>
      <c r="P2171" t="b">
        <f>AND(TableRelationships12[[#This Row],[Source Type]]="BIM",TableRelationships12[[#This Row],[Target Type]]="BIM")</f>
        <v>0</v>
      </c>
      <c r="Q2171">
        <f t="shared" si="99"/>
        <v>1</v>
      </c>
      <c r="S2171">
        <f t="shared" si="100"/>
        <v>1</v>
      </c>
      <c r="T2171" s="102" t="str">
        <f>IF(TableRelationships12[[#This Row],[Rank Pedro]]="Low","linkCategory1",IF(TableRelationships12[[#This Row],[Rank Pedro]]="Medium","linkCategory2",IF(TableRelationships12[[#This Row],[Rank Pedro]]="High","linkCategory3","")))</f>
        <v/>
      </c>
      <c r="U2171" s="102" t="str">
        <f>IF(TableRelationships12[[#This Row],[Rank Pedro]]="Low","Pink",IF(TableRelationships12[[#This Row],[Rank Pedro]]="Medium","Purple",IF(TableRelationships12[[#This Row],[Rank Pedro]]="High","Brown","")))</f>
        <v/>
      </c>
      <c r="V2171" s="4">
        <f>MAX(INDEX(Standards!$F$2:$F$296,MATCH(B2171,Standards!$B$2:$B$296,0)),INDEX(Standards!$F$2:$F$296,MATCH(C2171,Standards!$B$2:$B$296,0)))</f>
        <v>44317</v>
      </c>
      <c r="W2171" t="str">
        <f t="shared" si="101"/>
        <v>#2f89d1</v>
      </c>
    </row>
    <row r="2172" spans="1:23" x14ac:dyDescent="0.5">
      <c r="A2172" s="54">
        <v>2171</v>
      </c>
      <c r="B2172" s="90" t="s">
        <v>488</v>
      </c>
      <c r="C2172" t="s">
        <v>334</v>
      </c>
      <c r="D2172" s="1" t="s">
        <v>1856</v>
      </c>
      <c r="E2172" s="113">
        <v>2007.09</v>
      </c>
      <c r="F2172" s="113">
        <v>2020.01</v>
      </c>
      <c r="G2172" s="107" t="s">
        <v>670</v>
      </c>
      <c r="H2172">
        <f>INDEX('GIS-Standards'!$A$2:$A$305,MATCH(B2172,'GIS-Standards'!$B$2:$B$305,0))</f>
        <v>95</v>
      </c>
      <c r="I2172">
        <f>INDEX('GIS-Standards'!$A$2:$A$305,MATCH(C2172,'GIS-Standards'!$B$2:$B$305,0))</f>
        <v>42</v>
      </c>
      <c r="J2172" t="str">
        <f>INDEX('GIS-Standards'!$O$2:$O$305,MATCH(B2172,'GIS-Standards'!$B$2:$B$305,0))</f>
        <v>ISO/TC 59/SC 13</v>
      </c>
      <c r="K2172" t="str">
        <f>INDEX('GIS-Standards'!$O$2:$O$305,MATCH(C2172,'GIS-Standards'!$B$2:$B$305,0))</f>
        <v>ISO/TC 211</v>
      </c>
      <c r="M2172" t="s">
        <v>525</v>
      </c>
      <c r="N2172">
        <f>INDEX('GIS-Standards'!$I$2:$I$305,MATCH(B2172,'GIS-Standards'!$B$2:$B$305,0))</f>
        <v>0</v>
      </c>
      <c r="O2172">
        <f>INDEX('GIS-Standards'!$I$2:$I$305,MATCH(C2172,'GIS-Standards'!$B$2:$B$305,0))</f>
        <v>0</v>
      </c>
      <c r="P2172" t="b">
        <f>AND(TableRelationships12[[#This Row],[Source Type]]="BIM",TableRelationships12[[#This Row],[Target Type]]="BIM")</f>
        <v>0</v>
      </c>
      <c r="Q2172">
        <f t="shared" si="99"/>
        <v>1</v>
      </c>
      <c r="S2172">
        <f t="shared" si="100"/>
        <v>1</v>
      </c>
      <c r="T2172" s="102" t="str">
        <f>IF(TableRelationships12[[#This Row],[Rank Pedro]]="Low","linkCategory1",IF(TableRelationships12[[#This Row],[Rank Pedro]]="Medium","linkCategory2",IF(TableRelationships12[[#This Row],[Rank Pedro]]="High","linkCategory3","")))</f>
        <v/>
      </c>
      <c r="U2172" s="102" t="str">
        <f>IF(TableRelationships12[[#This Row],[Rank Pedro]]="Low","Pink",IF(TableRelationships12[[#This Row],[Rank Pedro]]="Medium","Purple",IF(TableRelationships12[[#This Row],[Rank Pedro]]="High","Brown","")))</f>
        <v/>
      </c>
      <c r="V2172" s="4">
        <f>MAX(INDEX(Standards!$F$2:$F$296,MATCH(B2172,Standards!$B$2:$B$296,0)),INDEX(Standards!$F$2:$F$296,MATCH(C2172,Standards!$B$2:$B$296,0)))</f>
        <v>44317</v>
      </c>
      <c r="W2172" t="str">
        <f t="shared" si="101"/>
        <v>#2f89d1</v>
      </c>
    </row>
    <row r="2173" spans="1:23" x14ac:dyDescent="0.5">
      <c r="A2173" s="54">
        <v>2172</v>
      </c>
      <c r="B2173" s="90" t="s">
        <v>488</v>
      </c>
      <c r="C2173" t="s">
        <v>336</v>
      </c>
      <c r="D2173" s="1"/>
      <c r="E2173" s="112">
        <v>2007.05</v>
      </c>
      <c r="F2173" s="112">
        <v>2007.05</v>
      </c>
      <c r="G2173" s="107" t="s">
        <v>670</v>
      </c>
      <c r="H2173">
        <f>INDEX('GIS-Standards'!$A$2:$A$305,MATCH(B2173,'GIS-Standards'!$B$2:$B$305,0))</f>
        <v>95</v>
      </c>
      <c r="I2173">
        <f>INDEX('GIS-Standards'!$A$2:$A$305,MATCH(C2173,'GIS-Standards'!$B$2:$B$305,0))</f>
        <v>44</v>
      </c>
      <c r="J2173" t="str">
        <f>INDEX('GIS-Standards'!$O$2:$O$305,MATCH(B2173,'GIS-Standards'!$B$2:$B$305,0))</f>
        <v>ISO/TC 59/SC 13</v>
      </c>
      <c r="K2173" t="str">
        <f>INDEX('GIS-Standards'!$O$2:$O$305,MATCH(C2173,'GIS-Standards'!$B$2:$B$305,0))</f>
        <v>ISO/TC 211</v>
      </c>
      <c r="M2173" t="s">
        <v>525</v>
      </c>
      <c r="N2173">
        <f>INDEX('GIS-Standards'!$I$2:$I$305,MATCH(B2173,'GIS-Standards'!$B$2:$B$305,0))</f>
        <v>0</v>
      </c>
      <c r="O2173">
        <f>INDEX('GIS-Standards'!$I$2:$I$305,MATCH(C2173,'GIS-Standards'!$B$2:$B$305,0))</f>
        <v>0</v>
      </c>
      <c r="P2173" t="b">
        <f>AND(TableRelationships12[[#This Row],[Source Type]]="BIM",TableRelationships12[[#This Row],[Target Type]]="BIM")</f>
        <v>0</v>
      </c>
      <c r="Q2173">
        <f t="shared" si="99"/>
        <v>1</v>
      </c>
      <c r="S2173">
        <f t="shared" si="100"/>
        <v>1</v>
      </c>
      <c r="T2173" s="102" t="str">
        <f>IF(TableRelationships12[[#This Row],[Rank Pedro]]="Low","linkCategory1",IF(TableRelationships12[[#This Row],[Rank Pedro]]="Medium","linkCategory2",IF(TableRelationships12[[#This Row],[Rank Pedro]]="High","linkCategory3","")))</f>
        <v/>
      </c>
      <c r="U2173" s="102" t="str">
        <f>IF(TableRelationships12[[#This Row],[Rank Pedro]]="Low","Pink",IF(TableRelationships12[[#This Row],[Rank Pedro]]="Medium","Purple",IF(TableRelationships12[[#This Row],[Rank Pedro]]="High","Brown","")))</f>
        <v/>
      </c>
      <c r="V2173" s="4">
        <f>MAX(INDEX(Standards!$F$2:$F$296,MATCH(B2173,Standards!$B$2:$B$296,0)),INDEX(Standards!$F$2:$F$296,MATCH(C2173,Standards!$B$2:$B$296,0)))</f>
        <v>44317</v>
      </c>
      <c r="W2173" t="str">
        <f t="shared" si="101"/>
        <v>#2f89d1</v>
      </c>
    </row>
    <row r="2174" spans="1:23" x14ac:dyDescent="0.5">
      <c r="A2174" s="54">
        <v>2173</v>
      </c>
      <c r="B2174" s="90" t="s">
        <v>488</v>
      </c>
      <c r="C2174" t="s">
        <v>338</v>
      </c>
      <c r="D2174" s="1"/>
      <c r="E2174" s="112">
        <v>2008.06</v>
      </c>
      <c r="F2174" s="112">
        <v>2008.06</v>
      </c>
      <c r="G2174" s="107" t="s">
        <v>670</v>
      </c>
      <c r="H2174">
        <f>INDEX('GIS-Standards'!$A$2:$A$305,MATCH(B2174,'GIS-Standards'!$B$2:$B$305,0))</f>
        <v>95</v>
      </c>
      <c r="I2174">
        <f>INDEX('GIS-Standards'!$A$2:$A$305,MATCH(C2174,'GIS-Standards'!$B$2:$B$305,0))</f>
        <v>45</v>
      </c>
      <c r="J2174" t="str">
        <f>INDEX('GIS-Standards'!$O$2:$O$305,MATCH(B2174,'GIS-Standards'!$B$2:$B$305,0))</f>
        <v>ISO/TC 59/SC 13</v>
      </c>
      <c r="K2174" t="str">
        <f>INDEX('GIS-Standards'!$O$2:$O$305,MATCH(C2174,'GIS-Standards'!$B$2:$B$305,0))</f>
        <v>ISO/TC 211</v>
      </c>
      <c r="M2174" t="s">
        <v>525</v>
      </c>
      <c r="N2174">
        <f>INDEX('GIS-Standards'!$I$2:$I$305,MATCH(B2174,'GIS-Standards'!$B$2:$B$305,0))</f>
        <v>0</v>
      </c>
      <c r="O2174">
        <f>INDEX('GIS-Standards'!$I$2:$I$305,MATCH(C2174,'GIS-Standards'!$B$2:$B$305,0))</f>
        <v>0</v>
      </c>
      <c r="P2174" t="b">
        <f>AND(TableRelationships12[[#This Row],[Source Type]]="BIM",TableRelationships12[[#This Row],[Target Type]]="BIM")</f>
        <v>0</v>
      </c>
      <c r="Q2174">
        <f t="shared" si="99"/>
        <v>1</v>
      </c>
      <c r="S2174">
        <f t="shared" si="100"/>
        <v>1</v>
      </c>
      <c r="T2174" s="102" t="str">
        <f>IF(TableRelationships12[[#This Row],[Rank Pedro]]="Low","linkCategory1",IF(TableRelationships12[[#This Row],[Rank Pedro]]="Medium","linkCategory2",IF(TableRelationships12[[#This Row],[Rank Pedro]]="High","linkCategory3","")))</f>
        <v/>
      </c>
      <c r="U2174" s="102" t="str">
        <f>IF(TableRelationships12[[#This Row],[Rank Pedro]]="Low","Pink",IF(TableRelationships12[[#This Row],[Rank Pedro]]="Medium","Purple",IF(TableRelationships12[[#This Row],[Rank Pedro]]="High","Brown","")))</f>
        <v/>
      </c>
      <c r="V2174" s="4">
        <f>MAX(INDEX(Standards!$F$2:$F$296,MATCH(B2174,Standards!$B$2:$B$296,0)),INDEX(Standards!$F$2:$F$296,MATCH(C2174,Standards!$B$2:$B$296,0)))</f>
        <v>44317</v>
      </c>
      <c r="W2174" t="str">
        <f t="shared" si="101"/>
        <v>#2f89d1</v>
      </c>
    </row>
    <row r="2175" spans="1:23" x14ac:dyDescent="0.5">
      <c r="A2175" s="54">
        <v>2174</v>
      </c>
      <c r="B2175" s="90" t="s">
        <v>488</v>
      </c>
      <c r="C2175" t="s">
        <v>340</v>
      </c>
      <c r="D2175" s="1"/>
      <c r="E2175" s="112">
        <v>2010.12</v>
      </c>
      <c r="F2175" s="112">
        <v>2010.12</v>
      </c>
      <c r="G2175" s="107" t="s">
        <v>670</v>
      </c>
      <c r="H2175">
        <f>INDEX('GIS-Standards'!$A$2:$A$305,MATCH(B2175,'GIS-Standards'!$B$2:$B$305,0))</f>
        <v>95</v>
      </c>
      <c r="I2175">
        <f>INDEX('GIS-Standards'!$A$2:$A$305,MATCH(C2175,'GIS-Standards'!$B$2:$B$305,0))</f>
        <v>46</v>
      </c>
      <c r="J2175" t="str">
        <f>INDEX('GIS-Standards'!$O$2:$O$305,MATCH(B2175,'GIS-Standards'!$B$2:$B$305,0))</f>
        <v>ISO/TC 59/SC 13</v>
      </c>
      <c r="K2175" t="str">
        <f>INDEX('GIS-Standards'!$O$2:$O$305,MATCH(C2175,'GIS-Standards'!$B$2:$B$305,0))</f>
        <v>ISO/TC 211</v>
      </c>
      <c r="M2175" t="s">
        <v>525</v>
      </c>
      <c r="N2175">
        <f>INDEX('GIS-Standards'!$I$2:$I$305,MATCH(B2175,'GIS-Standards'!$B$2:$B$305,0))</f>
        <v>0</v>
      </c>
      <c r="O2175">
        <f>INDEX('GIS-Standards'!$I$2:$I$305,MATCH(C2175,'GIS-Standards'!$B$2:$B$305,0))</f>
        <v>0</v>
      </c>
      <c r="P2175" t="b">
        <f>AND(TableRelationships12[[#This Row],[Source Type]]="BIM",TableRelationships12[[#This Row],[Target Type]]="BIM")</f>
        <v>0</v>
      </c>
      <c r="Q2175">
        <f t="shared" si="99"/>
        <v>1</v>
      </c>
      <c r="S2175">
        <f t="shared" si="100"/>
        <v>1</v>
      </c>
      <c r="T2175" s="102" t="str">
        <f>IF(TableRelationships12[[#This Row],[Rank Pedro]]="Low","linkCategory1",IF(TableRelationships12[[#This Row],[Rank Pedro]]="Medium","linkCategory2",IF(TableRelationships12[[#This Row],[Rank Pedro]]="High","linkCategory3","")))</f>
        <v/>
      </c>
      <c r="U2175" s="102" t="str">
        <f>IF(TableRelationships12[[#This Row],[Rank Pedro]]="Low","Pink",IF(TableRelationships12[[#This Row],[Rank Pedro]]="Medium","Purple",IF(TableRelationships12[[#This Row],[Rank Pedro]]="High","Brown","")))</f>
        <v/>
      </c>
      <c r="V2175" s="4">
        <f>MAX(INDEX(Standards!$F$2:$F$296,MATCH(B2175,Standards!$B$2:$B$296,0)),INDEX(Standards!$F$2:$F$296,MATCH(C2175,Standards!$B$2:$B$296,0)))</f>
        <v>44317</v>
      </c>
      <c r="W2175" t="str">
        <f t="shared" si="101"/>
        <v>#2f89d1</v>
      </c>
    </row>
    <row r="2176" spans="1:23" x14ac:dyDescent="0.5">
      <c r="A2176" s="54">
        <v>2175</v>
      </c>
      <c r="B2176" s="90" t="s">
        <v>488</v>
      </c>
      <c r="C2176" t="s">
        <v>342</v>
      </c>
      <c r="D2176" s="1"/>
      <c r="E2176" s="112">
        <v>2010.1</v>
      </c>
      <c r="F2176" s="112">
        <v>2010.1</v>
      </c>
      <c r="G2176" s="107" t="s">
        <v>670</v>
      </c>
      <c r="H2176">
        <f>INDEX('GIS-Standards'!$A$2:$A$305,MATCH(B2176,'GIS-Standards'!$B$2:$B$305,0))</f>
        <v>95</v>
      </c>
      <c r="I2176">
        <f>INDEX('GIS-Standards'!$A$2:$A$305,MATCH(C2176,'GIS-Standards'!$B$2:$B$305,0))</f>
        <v>47</v>
      </c>
      <c r="J2176" t="str">
        <f>INDEX('GIS-Standards'!$O$2:$O$305,MATCH(B2176,'GIS-Standards'!$B$2:$B$305,0))</f>
        <v>ISO/TC 59/SC 13</v>
      </c>
      <c r="K2176" t="str">
        <f>INDEX('GIS-Standards'!$O$2:$O$305,MATCH(C2176,'GIS-Standards'!$B$2:$B$305,0))</f>
        <v>ISO/TC 211</v>
      </c>
      <c r="M2176" t="s">
        <v>525</v>
      </c>
      <c r="N2176">
        <f>INDEX('GIS-Standards'!$I$2:$I$305,MATCH(B2176,'GIS-Standards'!$B$2:$B$305,0))</f>
        <v>0</v>
      </c>
      <c r="O2176">
        <f>INDEX('GIS-Standards'!$I$2:$I$305,MATCH(C2176,'GIS-Standards'!$B$2:$B$305,0))</f>
        <v>0</v>
      </c>
      <c r="P2176" t="b">
        <f>AND(TableRelationships12[[#This Row],[Source Type]]="BIM",TableRelationships12[[#This Row],[Target Type]]="BIM")</f>
        <v>0</v>
      </c>
      <c r="Q2176">
        <f t="shared" si="99"/>
        <v>1</v>
      </c>
      <c r="S2176">
        <f t="shared" si="100"/>
        <v>1</v>
      </c>
      <c r="T2176" s="102" t="str">
        <f>IF(TableRelationships12[[#This Row],[Rank Pedro]]="Low","linkCategory1",IF(TableRelationships12[[#This Row],[Rank Pedro]]="Medium","linkCategory2",IF(TableRelationships12[[#This Row],[Rank Pedro]]="High","linkCategory3","")))</f>
        <v/>
      </c>
      <c r="U2176" s="102" t="str">
        <f>IF(TableRelationships12[[#This Row],[Rank Pedro]]="Low","Pink",IF(TableRelationships12[[#This Row],[Rank Pedro]]="Medium","Purple",IF(TableRelationships12[[#This Row],[Rank Pedro]]="High","Brown","")))</f>
        <v/>
      </c>
      <c r="V2176" s="4">
        <f>MAX(INDEX(Standards!$F$2:$F$296,MATCH(B2176,Standards!$B$2:$B$296,0)),INDEX(Standards!$F$2:$F$296,MATCH(C2176,Standards!$B$2:$B$296,0)))</f>
        <v>44317</v>
      </c>
      <c r="W2176" t="str">
        <f t="shared" si="101"/>
        <v>#2f89d1</v>
      </c>
    </row>
    <row r="2177" spans="1:23" x14ac:dyDescent="0.5">
      <c r="A2177" s="54">
        <v>2176</v>
      </c>
      <c r="B2177" s="90" t="s">
        <v>488</v>
      </c>
      <c r="C2177" t="s">
        <v>344</v>
      </c>
      <c r="D2177" s="1"/>
      <c r="E2177" s="112">
        <v>2012.02</v>
      </c>
      <c r="F2177" s="112">
        <v>2021.04</v>
      </c>
      <c r="G2177" s="107" t="s">
        <v>670</v>
      </c>
      <c r="H2177">
        <f>INDEX('GIS-Standards'!$A$2:$A$305,MATCH(B2177,'GIS-Standards'!$B$2:$B$305,0))</f>
        <v>95</v>
      </c>
      <c r="I2177">
        <f>INDEX('GIS-Standards'!$A$2:$A$305,MATCH(C2177,'GIS-Standards'!$B$2:$B$305,0))</f>
        <v>53</v>
      </c>
      <c r="J2177" t="str">
        <f>INDEX('GIS-Standards'!$O$2:$O$305,MATCH(B2177,'GIS-Standards'!$B$2:$B$305,0))</f>
        <v>ISO/TC 59/SC 13</v>
      </c>
      <c r="K2177" t="str">
        <f>INDEX('GIS-Standards'!$O$2:$O$305,MATCH(C2177,'GIS-Standards'!$B$2:$B$305,0))</f>
        <v>ISO/TC 211</v>
      </c>
      <c r="M2177" t="s">
        <v>525</v>
      </c>
      <c r="N2177">
        <f>INDEX('GIS-Standards'!$I$2:$I$305,MATCH(B2177,'GIS-Standards'!$B$2:$B$305,0))</f>
        <v>0</v>
      </c>
      <c r="O2177">
        <f>INDEX('GIS-Standards'!$I$2:$I$305,MATCH(C2177,'GIS-Standards'!$B$2:$B$305,0))</f>
        <v>0</v>
      </c>
      <c r="P2177" t="b">
        <f>AND(TableRelationships12[[#This Row],[Source Type]]="BIM",TableRelationships12[[#This Row],[Target Type]]="BIM")</f>
        <v>0</v>
      </c>
      <c r="Q2177">
        <f t="shared" si="99"/>
        <v>1</v>
      </c>
      <c r="S2177">
        <f t="shared" si="100"/>
        <v>1</v>
      </c>
      <c r="T2177" s="102" t="str">
        <f>IF(TableRelationships12[[#This Row],[Rank Pedro]]="Low","linkCategory1",IF(TableRelationships12[[#This Row],[Rank Pedro]]="Medium","linkCategory2",IF(TableRelationships12[[#This Row],[Rank Pedro]]="High","linkCategory3","")))</f>
        <v/>
      </c>
      <c r="U2177" s="102" t="str">
        <f>IF(TableRelationships12[[#This Row],[Rank Pedro]]="Low","Pink",IF(TableRelationships12[[#This Row],[Rank Pedro]]="Medium","Purple",IF(TableRelationships12[[#This Row],[Rank Pedro]]="High","Brown","")))</f>
        <v/>
      </c>
      <c r="V2177" s="4">
        <f>MAX(INDEX(Standards!$F$2:$F$296,MATCH(B2177,Standards!$B$2:$B$296,0)),INDEX(Standards!$F$2:$F$296,MATCH(C2177,Standards!$B$2:$B$296,0)))</f>
        <v>44317</v>
      </c>
      <c r="W2177" t="str">
        <f t="shared" si="101"/>
        <v>#2f89d1</v>
      </c>
    </row>
    <row r="2178" spans="1:23" x14ac:dyDescent="0.5">
      <c r="A2178" s="54">
        <v>2177</v>
      </c>
      <c r="B2178" s="90" t="s">
        <v>488</v>
      </c>
      <c r="C2178" t="s">
        <v>346</v>
      </c>
      <c r="D2178" s="1" t="s">
        <v>1156</v>
      </c>
      <c r="E2178" s="112">
        <v>2015.07</v>
      </c>
      <c r="F2178" s="112">
        <v>2019.01</v>
      </c>
      <c r="G2178" s="107" t="s">
        <v>670</v>
      </c>
      <c r="H2178">
        <f>INDEX('GIS-Standards'!$A$2:$A$305,MATCH(B2178,'GIS-Standards'!$B$2:$B$305,0))</f>
        <v>95</v>
      </c>
      <c r="I2178">
        <f>INDEX('GIS-Standards'!$A$2:$A$305,MATCH(C2178,'GIS-Standards'!$B$2:$B$305,0))</f>
        <v>54</v>
      </c>
      <c r="J2178" t="str">
        <f>INDEX('GIS-Standards'!$O$2:$O$305,MATCH(B2178,'GIS-Standards'!$B$2:$B$305,0))</f>
        <v>ISO/TC 59/SC 13</v>
      </c>
      <c r="K2178" t="str">
        <f>INDEX('GIS-Standards'!$O$2:$O$305,MATCH(C2178,'GIS-Standards'!$B$2:$B$305,0))</f>
        <v>ISO/TC 211</v>
      </c>
      <c r="M2178" t="s">
        <v>525</v>
      </c>
      <c r="N2178">
        <f>INDEX('GIS-Standards'!$I$2:$I$305,MATCH(B2178,'GIS-Standards'!$B$2:$B$305,0))</f>
        <v>0</v>
      </c>
      <c r="O2178" t="str">
        <f>INDEX('GIS-Standards'!$I$2:$I$305,MATCH(C2178,'GIS-Standards'!$B$2:$B$305,0))</f>
        <v>01.2019</v>
      </c>
      <c r="P2178" t="b">
        <f>AND(TableRelationships12[[#This Row],[Source Type]]="BIM",TableRelationships12[[#This Row],[Target Type]]="BIM")</f>
        <v>0</v>
      </c>
      <c r="Q2178">
        <f t="shared" ref="Q2178:Q2241" si="102">IF(M2178="Normative",6,IF(M2178="Secondary",4,IF(M2178="Anchor",2,1)))</f>
        <v>1</v>
      </c>
      <c r="S2178">
        <f t="shared" ref="S2178:S2241" si="103">IF(R2178="High",10,IF(R2178="Medium",6,IF(R2178="Low",2,1)))</f>
        <v>1</v>
      </c>
      <c r="T2178" s="102" t="str">
        <f>IF(TableRelationships12[[#This Row],[Rank Pedro]]="Low","linkCategory1",IF(TableRelationships12[[#This Row],[Rank Pedro]]="Medium","linkCategory2",IF(TableRelationships12[[#This Row],[Rank Pedro]]="High","linkCategory3","")))</f>
        <v/>
      </c>
      <c r="U2178" s="102" t="str">
        <f>IF(TableRelationships12[[#This Row],[Rank Pedro]]="Low","Pink",IF(TableRelationships12[[#This Row],[Rank Pedro]]="Medium","Purple",IF(TableRelationships12[[#This Row],[Rank Pedro]]="High","Brown","")))</f>
        <v/>
      </c>
      <c r="V2178" s="4">
        <f>MAX(INDEX(Standards!$F$2:$F$296,MATCH(B2178,Standards!$B$2:$B$296,0)),INDEX(Standards!$F$2:$F$296,MATCH(C2178,Standards!$B$2:$B$296,0)))</f>
        <v>44317</v>
      </c>
      <c r="W2178" t="str">
        <f t="shared" ref="W2178:W2241" si="104">IF(M2178="Normative", "#d6bf2a", IF(M2178="Informative", "#2f89d1", 1))</f>
        <v>#2f89d1</v>
      </c>
    </row>
    <row r="2179" spans="1:23" x14ac:dyDescent="0.5">
      <c r="A2179" s="54">
        <v>2178</v>
      </c>
      <c r="B2179" s="90" t="s">
        <v>488</v>
      </c>
      <c r="C2179" t="s">
        <v>348</v>
      </c>
      <c r="D2179" s="1" t="s">
        <v>640</v>
      </c>
      <c r="E2179" s="113">
        <v>2013.12</v>
      </c>
      <c r="F2179" s="113">
        <v>2023.04</v>
      </c>
      <c r="G2179" s="107" t="s">
        <v>670</v>
      </c>
      <c r="H2179">
        <f>INDEX('GIS-Standards'!$A$2:$A$305,MATCH(B2179,'GIS-Standards'!$B$2:$B$305,0))</f>
        <v>95</v>
      </c>
      <c r="I2179">
        <f>INDEX('GIS-Standards'!$A$2:$A$305,MATCH(C2179,'GIS-Standards'!$B$2:$B$305,0))</f>
        <v>66</v>
      </c>
      <c r="J2179" t="str">
        <f>INDEX('GIS-Standards'!$O$2:$O$305,MATCH(B2179,'GIS-Standards'!$B$2:$B$305,0))</f>
        <v>ISO/TC 59/SC 13</v>
      </c>
      <c r="K2179" t="str">
        <f>INDEX('GIS-Standards'!$O$2:$O$305,MATCH(C2179,'GIS-Standards'!$B$2:$B$305,0))</f>
        <v>ISO/TC 211</v>
      </c>
      <c r="M2179" t="s">
        <v>525</v>
      </c>
      <c r="N2179">
        <f>INDEX('GIS-Standards'!$I$2:$I$305,MATCH(B2179,'GIS-Standards'!$B$2:$B$305,0))</f>
        <v>0</v>
      </c>
      <c r="O2179">
        <f>INDEX('GIS-Standards'!$I$2:$I$305,MATCH(C2179,'GIS-Standards'!$B$2:$B$305,0))</f>
        <v>0</v>
      </c>
      <c r="P2179" t="b">
        <f>AND(TableRelationships12[[#This Row],[Source Type]]="BIM",TableRelationships12[[#This Row],[Target Type]]="BIM")</f>
        <v>0</v>
      </c>
      <c r="Q2179">
        <f t="shared" si="102"/>
        <v>1</v>
      </c>
      <c r="S2179">
        <f t="shared" si="103"/>
        <v>1</v>
      </c>
      <c r="T2179" s="102" t="str">
        <f>IF(TableRelationships12[[#This Row],[Rank Pedro]]="Low","linkCategory1",IF(TableRelationships12[[#This Row],[Rank Pedro]]="Medium","linkCategory2",IF(TableRelationships12[[#This Row],[Rank Pedro]]="High","linkCategory3","")))</f>
        <v/>
      </c>
      <c r="U2179" s="102" t="str">
        <f>IF(TableRelationships12[[#This Row],[Rank Pedro]]="Low","Pink",IF(TableRelationships12[[#This Row],[Rank Pedro]]="Medium","Purple",IF(TableRelationships12[[#This Row],[Rank Pedro]]="High","Brown","")))</f>
        <v/>
      </c>
      <c r="V2179" s="4">
        <f>MAX(INDEX(Standards!$F$2:$F$296,MATCH(B2179,Standards!$B$2:$B$296,0)),INDEX(Standards!$F$2:$F$296,MATCH(C2179,Standards!$B$2:$B$296,0)))</f>
        <v>44317</v>
      </c>
      <c r="W2179" t="str">
        <f t="shared" si="104"/>
        <v>#2f89d1</v>
      </c>
    </row>
    <row r="2180" spans="1:23" x14ac:dyDescent="0.5">
      <c r="A2180" s="54">
        <v>2179</v>
      </c>
      <c r="B2180" s="90" t="s">
        <v>488</v>
      </c>
      <c r="C2180" t="s">
        <v>350</v>
      </c>
      <c r="D2180" s="1"/>
      <c r="E2180" s="112">
        <v>2020.09</v>
      </c>
      <c r="F2180" s="112">
        <v>2025.01</v>
      </c>
      <c r="G2180" s="107" t="s">
        <v>670</v>
      </c>
      <c r="H2180">
        <f>INDEX('GIS-Standards'!$A$2:$A$305,MATCH(B2180,'GIS-Standards'!$B$2:$B$305,0))</f>
        <v>95</v>
      </c>
      <c r="I2180">
        <f>INDEX('GIS-Standards'!$A$2:$A$305,MATCH(C2180,'GIS-Standards'!$B$2:$B$305,0))</f>
        <v>72</v>
      </c>
      <c r="J2180" t="str">
        <f>INDEX('GIS-Standards'!$O$2:$O$305,MATCH(B2180,'GIS-Standards'!$B$2:$B$305,0))</f>
        <v>ISO/TC 59/SC 13</v>
      </c>
      <c r="K2180" t="str">
        <f>INDEX('GIS-Standards'!$O$2:$O$305,MATCH(C2180,'GIS-Standards'!$B$2:$B$305,0))</f>
        <v>ISO/TC 211</v>
      </c>
      <c r="M2180" t="s">
        <v>525</v>
      </c>
      <c r="N2180">
        <f>INDEX('GIS-Standards'!$I$2:$I$305,MATCH(B2180,'GIS-Standards'!$B$2:$B$305,0))</f>
        <v>0</v>
      </c>
      <c r="O2180">
        <f>INDEX('GIS-Standards'!$I$2:$I$305,MATCH(C2180,'GIS-Standards'!$B$2:$B$305,0))</f>
        <v>0</v>
      </c>
      <c r="P2180" t="b">
        <f>AND(TableRelationships12[[#This Row],[Source Type]]="BIM",TableRelationships12[[#This Row],[Target Type]]="BIM")</f>
        <v>0</v>
      </c>
      <c r="Q2180">
        <f t="shared" si="102"/>
        <v>1</v>
      </c>
      <c r="S2180">
        <f t="shared" si="103"/>
        <v>1</v>
      </c>
      <c r="T2180" s="102" t="str">
        <f>IF(TableRelationships12[[#This Row],[Rank Pedro]]="Low","linkCategory1",IF(TableRelationships12[[#This Row],[Rank Pedro]]="Medium","linkCategory2",IF(TableRelationships12[[#This Row],[Rank Pedro]]="High","linkCategory3","")))</f>
        <v/>
      </c>
      <c r="U2180" s="102" t="str">
        <f>IF(TableRelationships12[[#This Row],[Rank Pedro]]="Low","Pink",IF(TableRelationships12[[#This Row],[Rank Pedro]]="Medium","Purple",IF(TableRelationships12[[#This Row],[Rank Pedro]]="High","Brown","")))</f>
        <v/>
      </c>
      <c r="V2180" s="4">
        <f>MAX(INDEX(Standards!$F$2:$F$296,MATCH(B2180,Standards!$B$2:$B$296,0)),INDEX(Standards!$F$2:$F$296,MATCH(C2180,Standards!$B$2:$B$296,0)))</f>
        <v>44317</v>
      </c>
      <c r="W2180" t="str">
        <f t="shared" si="104"/>
        <v>#2f89d1</v>
      </c>
    </row>
    <row r="2181" spans="1:23" x14ac:dyDescent="0.5">
      <c r="A2181" s="54">
        <v>2180</v>
      </c>
      <c r="B2181" s="90" t="s">
        <v>488</v>
      </c>
      <c r="C2181" t="s">
        <v>360</v>
      </c>
      <c r="D2181" s="1"/>
      <c r="E2181" s="112">
        <v>2012.04</v>
      </c>
      <c r="F2181" s="112">
        <v>2012.04</v>
      </c>
      <c r="G2181" s="107" t="s">
        <v>1504</v>
      </c>
      <c r="H2181">
        <f>INDEX('GIS-Standards'!$A$2:$A$305,MATCH(B2181,'GIS-Standards'!$B$2:$B$305,0))</f>
        <v>95</v>
      </c>
      <c r="I2181" t="e">
        <f>INDEX('GIS-Standards'!$A$2:$A$305,MATCH(C2181,'GIS-Standards'!$B$2:$B$305,0))</f>
        <v>#N/A</v>
      </c>
      <c r="J2181" t="str">
        <f>INDEX('GIS-Standards'!$O$2:$O$305,MATCH(B2181,'GIS-Standards'!$B$2:$B$305,0))</f>
        <v>ISO/TC 59/SC 13</v>
      </c>
      <c r="K2181" t="e">
        <f>INDEX('GIS-Standards'!$O$2:$O$305,MATCH(C2181,'GIS-Standards'!$B$2:$B$305,0))</f>
        <v>#N/A</v>
      </c>
      <c r="M2181" t="s">
        <v>525</v>
      </c>
      <c r="N2181">
        <f>INDEX('GIS-Standards'!$I$2:$I$305,MATCH(B2181,'GIS-Standards'!$B$2:$B$305,0))</f>
        <v>0</v>
      </c>
      <c r="O2181" t="e">
        <f>INDEX('GIS-Standards'!$I$2:$I$305,MATCH(C2181,'GIS-Standards'!$B$2:$B$305,0))</f>
        <v>#N/A</v>
      </c>
      <c r="P2181" t="e">
        <f>AND(TableRelationships12[[#This Row],[Source Type]]="BIM",TableRelationships12[[#This Row],[Target Type]]="BIM")</f>
        <v>#N/A</v>
      </c>
      <c r="Q2181">
        <f t="shared" si="102"/>
        <v>1</v>
      </c>
      <c r="S2181">
        <f t="shared" si="103"/>
        <v>1</v>
      </c>
      <c r="T2181" s="102" t="str">
        <f>IF(TableRelationships12[[#This Row],[Rank Pedro]]="Low","linkCategory1",IF(TableRelationships12[[#This Row],[Rank Pedro]]="Medium","linkCategory2",IF(TableRelationships12[[#This Row],[Rank Pedro]]="High","linkCategory3","")))</f>
        <v/>
      </c>
      <c r="U2181" s="102" t="str">
        <f>IF(TableRelationships12[[#This Row],[Rank Pedro]]="Low","Pink",IF(TableRelationships12[[#This Row],[Rank Pedro]]="Medium","Purple",IF(TableRelationships12[[#This Row],[Rank Pedro]]="High","Brown","")))</f>
        <v/>
      </c>
      <c r="V2181" s="4">
        <f>MAX(INDEX(Standards!$F$2:$F$296,MATCH(B2181,Standards!$B$2:$B$296,0)),INDEX(Standards!$F$2:$F$296,MATCH(C2181,Standards!$B$2:$B$296,0)))</f>
        <v>44317</v>
      </c>
      <c r="W2181" t="str">
        <f t="shared" si="104"/>
        <v>#2f89d1</v>
      </c>
    </row>
    <row r="2182" spans="1:23" x14ac:dyDescent="0.5">
      <c r="A2182" s="54">
        <v>2181</v>
      </c>
      <c r="B2182" s="90" t="s">
        <v>488</v>
      </c>
      <c r="C2182" t="s">
        <v>210</v>
      </c>
      <c r="D2182" s="1" t="s">
        <v>2060</v>
      </c>
      <c r="E2182" s="112">
        <v>2018.12</v>
      </c>
      <c r="F2182" s="112">
        <v>2018.12</v>
      </c>
      <c r="G2182" s="107" t="s">
        <v>2061</v>
      </c>
      <c r="H2182">
        <f>INDEX('GIS-Standards'!$A$2:$A$305,MATCH(B2182,'GIS-Standards'!$B$2:$B$305,0))</f>
        <v>95</v>
      </c>
      <c r="I2182" t="e">
        <f>INDEX('GIS-Standards'!$A$2:$A$305,MATCH(C2182,'GIS-Standards'!$B$2:$B$305,0))</f>
        <v>#N/A</v>
      </c>
      <c r="J2182" t="str">
        <f>INDEX('GIS-Standards'!$O$2:$O$305,MATCH(B2182,'GIS-Standards'!$B$2:$B$305,0))</f>
        <v>ISO/TC 59/SC 13</v>
      </c>
      <c r="K2182" t="e">
        <f>INDEX('GIS-Standards'!$O$2:$O$305,MATCH(C2182,'GIS-Standards'!$B$2:$B$305,0))</f>
        <v>#N/A</v>
      </c>
      <c r="M2182" t="s">
        <v>525</v>
      </c>
      <c r="N2182">
        <f>INDEX('GIS-Standards'!$I$2:$I$305,MATCH(B2182,'GIS-Standards'!$B$2:$B$305,0))</f>
        <v>0</v>
      </c>
      <c r="O2182" t="e">
        <f>INDEX('GIS-Standards'!$I$2:$I$305,MATCH(C2182,'GIS-Standards'!$B$2:$B$305,0))</f>
        <v>#N/A</v>
      </c>
      <c r="P2182" t="e">
        <f>AND(TableRelationships12[[#This Row],[Source Type]]="BIM",TableRelationships12[[#This Row],[Target Type]]="BIM")</f>
        <v>#N/A</v>
      </c>
      <c r="Q2182">
        <f t="shared" si="102"/>
        <v>1</v>
      </c>
      <c r="S2182">
        <f t="shared" si="103"/>
        <v>1</v>
      </c>
      <c r="T2182" s="102" t="str">
        <f>IF(TableRelationships12[[#This Row],[Rank Pedro]]="Low","linkCategory1",IF(TableRelationships12[[#This Row],[Rank Pedro]]="Medium","linkCategory2",IF(TableRelationships12[[#This Row],[Rank Pedro]]="High","linkCategory3","")))</f>
        <v/>
      </c>
      <c r="U2182" s="102" t="str">
        <f>IF(TableRelationships12[[#This Row],[Rank Pedro]]="Low","Pink",IF(TableRelationships12[[#This Row],[Rank Pedro]]="Medium","Purple",IF(TableRelationships12[[#This Row],[Rank Pedro]]="High","Brown","")))</f>
        <v/>
      </c>
      <c r="V2182" s="4">
        <f>MAX(INDEX(Standards!$F$2:$F$296,MATCH(B2182,Standards!$B$2:$B$296,0)),INDEX(Standards!$F$2:$F$296,MATCH(C2182,Standards!$B$2:$B$296,0)))</f>
        <v>44317</v>
      </c>
      <c r="W2182" t="str">
        <f t="shared" si="104"/>
        <v>#2f89d1</v>
      </c>
    </row>
    <row r="2183" spans="1:23" x14ac:dyDescent="0.5">
      <c r="A2183" s="54">
        <v>2182</v>
      </c>
      <c r="B2183" s="90" t="s">
        <v>488</v>
      </c>
      <c r="C2183" t="s">
        <v>1744</v>
      </c>
      <c r="D2183" s="1"/>
      <c r="E2183" s="112">
        <v>2007.03</v>
      </c>
      <c r="F2183" s="112">
        <v>2024.02</v>
      </c>
      <c r="G2183" s="107" t="s">
        <v>1487</v>
      </c>
      <c r="H2183">
        <f>INDEX('GIS-Standards'!$A$2:$A$305,MATCH(B2183,'GIS-Standards'!$B$2:$B$305,0))</f>
        <v>95</v>
      </c>
      <c r="I2183" t="e">
        <f>INDEX('GIS-Standards'!$A$2:$A$305,MATCH(C2183,'GIS-Standards'!$B$2:$B$305,0))</f>
        <v>#N/A</v>
      </c>
      <c r="J2183" t="str">
        <f>INDEX('GIS-Standards'!$O$2:$O$305,MATCH(B2183,'GIS-Standards'!$B$2:$B$305,0))</f>
        <v>ISO/TC 59/SC 13</v>
      </c>
      <c r="K2183" t="e">
        <f>INDEX('GIS-Standards'!$O$2:$O$305,MATCH(C2183,'GIS-Standards'!$B$2:$B$305,0))</f>
        <v>#N/A</v>
      </c>
      <c r="M2183" t="s">
        <v>525</v>
      </c>
      <c r="N2183">
        <f>INDEX('GIS-Standards'!$I$2:$I$305,MATCH(B2183,'GIS-Standards'!$B$2:$B$305,0))</f>
        <v>0</v>
      </c>
      <c r="O2183" t="e">
        <f>INDEX('GIS-Standards'!$I$2:$I$305,MATCH(C2183,'GIS-Standards'!$B$2:$B$305,0))</f>
        <v>#N/A</v>
      </c>
      <c r="P2183" t="e">
        <f>AND(TableRelationships12[[#This Row],[Source Type]]="BIM",TableRelationships12[[#This Row],[Target Type]]="BIM")</f>
        <v>#N/A</v>
      </c>
      <c r="Q2183">
        <f t="shared" si="102"/>
        <v>1</v>
      </c>
      <c r="S2183">
        <f t="shared" si="103"/>
        <v>1</v>
      </c>
      <c r="T2183" s="102" t="str">
        <f>IF(TableRelationships12[[#This Row],[Rank Pedro]]="Low","linkCategory1",IF(TableRelationships12[[#This Row],[Rank Pedro]]="Medium","linkCategory2",IF(TableRelationships12[[#This Row],[Rank Pedro]]="High","linkCategory3","")))</f>
        <v/>
      </c>
      <c r="U2183" s="102" t="str">
        <f>IF(TableRelationships12[[#This Row],[Rank Pedro]]="Low","Pink",IF(TableRelationships12[[#This Row],[Rank Pedro]]="Medium","Purple",IF(TableRelationships12[[#This Row],[Rank Pedro]]="High","Brown","")))</f>
        <v/>
      </c>
      <c r="V2183" s="4" t="e">
        <f>MAX(INDEX(Standards!$F$2:$F$296,MATCH(B2183,Standards!$B$2:$B$296,0)),INDEX(Standards!$F$2:$F$296,MATCH(C2183,Standards!$B$2:$B$296,0)))</f>
        <v>#N/A</v>
      </c>
      <c r="W2183" t="str">
        <f t="shared" si="104"/>
        <v>#2f89d1</v>
      </c>
    </row>
    <row r="2184" spans="1:23" x14ac:dyDescent="0.5">
      <c r="A2184" s="54">
        <v>2183</v>
      </c>
      <c r="B2184" s="90" t="s">
        <v>488</v>
      </c>
      <c r="C2184" t="s">
        <v>465</v>
      </c>
      <c r="D2184" s="1"/>
      <c r="E2184" s="112">
        <v>2022.04</v>
      </c>
      <c r="F2184" s="112">
        <v>2022.04</v>
      </c>
      <c r="G2184" s="107" t="s">
        <v>2096</v>
      </c>
      <c r="H2184">
        <f>INDEX('GIS-Standards'!$A$2:$A$305,MATCH(B2184,'GIS-Standards'!$B$2:$B$305,0))</f>
        <v>95</v>
      </c>
      <c r="I2184" t="e">
        <f>INDEX('GIS-Standards'!$A$2:$A$305,MATCH(C2184,'GIS-Standards'!$B$2:$B$305,0))</f>
        <v>#N/A</v>
      </c>
      <c r="J2184" t="str">
        <f>INDEX('GIS-Standards'!$O$2:$O$305,MATCH(B2184,'GIS-Standards'!$B$2:$B$305,0))</f>
        <v>ISO/TC 59/SC 13</v>
      </c>
      <c r="K2184" t="e">
        <f>INDEX('GIS-Standards'!$O$2:$O$305,MATCH(C2184,'GIS-Standards'!$B$2:$B$305,0))</f>
        <v>#N/A</v>
      </c>
      <c r="M2184" t="s">
        <v>525</v>
      </c>
      <c r="N2184">
        <f>INDEX('GIS-Standards'!$I$2:$I$305,MATCH(B2184,'GIS-Standards'!$B$2:$B$305,0))</f>
        <v>0</v>
      </c>
      <c r="O2184" t="e">
        <f>INDEX('GIS-Standards'!$I$2:$I$305,MATCH(C2184,'GIS-Standards'!$B$2:$B$305,0))</f>
        <v>#N/A</v>
      </c>
      <c r="P2184" t="e">
        <f>AND(TableRelationships12[[#This Row],[Source Type]]="BIM",TableRelationships12[[#This Row],[Target Type]]="BIM")</f>
        <v>#N/A</v>
      </c>
      <c r="Q2184">
        <f t="shared" si="102"/>
        <v>1</v>
      </c>
      <c r="S2184">
        <f t="shared" si="103"/>
        <v>1</v>
      </c>
      <c r="T2184" s="102" t="str">
        <f>IF(TableRelationships12[[#This Row],[Rank Pedro]]="Low","linkCategory1",IF(TableRelationships12[[#This Row],[Rank Pedro]]="Medium","linkCategory2",IF(TableRelationships12[[#This Row],[Rank Pedro]]="High","linkCategory3","")))</f>
        <v/>
      </c>
      <c r="U2184" s="102" t="str">
        <f>IF(TableRelationships12[[#This Row],[Rank Pedro]]="Low","Pink",IF(TableRelationships12[[#This Row],[Rank Pedro]]="Medium","Purple",IF(TableRelationships12[[#This Row],[Rank Pedro]]="High","Brown","")))</f>
        <v/>
      </c>
      <c r="V2184" s="4">
        <f>MAX(INDEX(Standards!$F$2:$F$296,MATCH(B2184,Standards!$B$2:$B$296,0)),INDEX(Standards!$F$2:$F$296,MATCH(C2184,Standards!$B$2:$B$296,0)))</f>
        <v>44652</v>
      </c>
      <c r="W2184" t="str">
        <f t="shared" si="104"/>
        <v>#2f89d1</v>
      </c>
    </row>
    <row r="2185" spans="1:23" x14ac:dyDescent="0.5">
      <c r="A2185" s="54">
        <v>2184</v>
      </c>
      <c r="B2185" s="90" t="s">
        <v>488</v>
      </c>
      <c r="C2185" t="s">
        <v>388</v>
      </c>
      <c r="D2185" s="1"/>
      <c r="E2185" s="112">
        <v>2020.03</v>
      </c>
      <c r="F2185" s="112">
        <v>2020.03</v>
      </c>
      <c r="G2185" s="107" t="s">
        <v>2003</v>
      </c>
      <c r="H2185">
        <f>INDEX('GIS-Standards'!$A$2:$A$305,MATCH(B2185,'GIS-Standards'!$B$2:$B$305,0))</f>
        <v>95</v>
      </c>
      <c r="I2185" t="e">
        <f>INDEX('GIS-Standards'!$A$2:$A$305,MATCH(C2185,'GIS-Standards'!$B$2:$B$305,0))</f>
        <v>#N/A</v>
      </c>
      <c r="J2185" t="str">
        <f>INDEX('GIS-Standards'!$O$2:$O$305,MATCH(B2185,'GIS-Standards'!$B$2:$B$305,0))</f>
        <v>ISO/TC 59/SC 13</v>
      </c>
      <c r="K2185" t="e">
        <f>INDEX('GIS-Standards'!$O$2:$O$305,MATCH(C2185,'GIS-Standards'!$B$2:$B$305,0))</f>
        <v>#N/A</v>
      </c>
      <c r="M2185" t="s">
        <v>525</v>
      </c>
      <c r="N2185">
        <f>INDEX('GIS-Standards'!$I$2:$I$305,MATCH(B2185,'GIS-Standards'!$B$2:$B$305,0))</f>
        <v>0</v>
      </c>
      <c r="O2185" t="e">
        <f>INDEX('GIS-Standards'!$I$2:$I$305,MATCH(C2185,'GIS-Standards'!$B$2:$B$305,0))</f>
        <v>#N/A</v>
      </c>
      <c r="P2185" t="e">
        <f>AND(TableRelationships12[[#This Row],[Source Type]]="BIM",TableRelationships12[[#This Row],[Target Type]]="BIM")</f>
        <v>#N/A</v>
      </c>
      <c r="Q2185">
        <f t="shared" si="102"/>
        <v>1</v>
      </c>
      <c r="S2185">
        <f t="shared" si="103"/>
        <v>1</v>
      </c>
      <c r="T2185" s="102" t="str">
        <f>IF(TableRelationships12[[#This Row],[Rank Pedro]]="Low","linkCategory1",IF(TableRelationships12[[#This Row],[Rank Pedro]]="Medium","linkCategory2",IF(TableRelationships12[[#This Row],[Rank Pedro]]="High","linkCategory3","")))</f>
        <v/>
      </c>
      <c r="U2185" s="102" t="str">
        <f>IF(TableRelationships12[[#This Row],[Rank Pedro]]="Low","Pink",IF(TableRelationships12[[#This Row],[Rank Pedro]]="Medium","Purple",IF(TableRelationships12[[#This Row],[Rank Pedro]]="High","Brown","")))</f>
        <v/>
      </c>
      <c r="V2185" s="4">
        <f>MAX(INDEX(Standards!$F$2:$F$296,MATCH(B2185,Standards!$B$2:$B$296,0)),INDEX(Standards!$F$2:$F$296,MATCH(C2185,Standards!$B$2:$B$296,0)))</f>
        <v>44317</v>
      </c>
      <c r="W2185" t="str">
        <f t="shared" si="104"/>
        <v>#2f89d1</v>
      </c>
    </row>
    <row r="2186" spans="1:23" x14ac:dyDescent="0.5">
      <c r="A2186" s="54">
        <v>2185</v>
      </c>
      <c r="B2186" s="90" t="s">
        <v>488</v>
      </c>
      <c r="C2186" t="s">
        <v>404</v>
      </c>
      <c r="D2186" s="1"/>
      <c r="E2186" s="112">
        <v>2020.07</v>
      </c>
      <c r="F2186" s="112">
        <v>2025.09</v>
      </c>
      <c r="G2186" s="107" t="s">
        <v>2003</v>
      </c>
      <c r="H2186">
        <f>INDEX('GIS-Standards'!$A$2:$A$305,MATCH(B2186,'GIS-Standards'!$B$2:$B$305,0))</f>
        <v>95</v>
      </c>
      <c r="I2186" t="e">
        <f>INDEX('GIS-Standards'!$A$2:$A$305,MATCH(C2186,'GIS-Standards'!$B$2:$B$305,0))</f>
        <v>#N/A</v>
      </c>
      <c r="J2186" t="str">
        <f>INDEX('GIS-Standards'!$O$2:$O$305,MATCH(B2186,'GIS-Standards'!$B$2:$B$305,0))</f>
        <v>ISO/TC 59/SC 13</v>
      </c>
      <c r="K2186" t="e">
        <f>INDEX('GIS-Standards'!$O$2:$O$305,MATCH(C2186,'GIS-Standards'!$B$2:$B$305,0))</f>
        <v>#N/A</v>
      </c>
      <c r="M2186" t="s">
        <v>525</v>
      </c>
      <c r="N2186">
        <f>INDEX('GIS-Standards'!$I$2:$I$305,MATCH(B2186,'GIS-Standards'!$B$2:$B$305,0))</f>
        <v>0</v>
      </c>
      <c r="O2186" t="e">
        <f>INDEX('GIS-Standards'!$I$2:$I$305,MATCH(C2186,'GIS-Standards'!$B$2:$B$305,0))</f>
        <v>#N/A</v>
      </c>
      <c r="P2186" t="e">
        <f>AND(TableRelationships12[[#This Row],[Source Type]]="BIM",TableRelationships12[[#This Row],[Target Type]]="BIM")</f>
        <v>#N/A</v>
      </c>
      <c r="Q2186">
        <f t="shared" si="102"/>
        <v>1</v>
      </c>
      <c r="S2186">
        <f t="shared" si="103"/>
        <v>1</v>
      </c>
      <c r="T2186" s="102" t="str">
        <f>IF(TableRelationships12[[#This Row],[Rank Pedro]]="Low","linkCategory1",IF(TableRelationships12[[#This Row],[Rank Pedro]]="Medium","linkCategory2",IF(TableRelationships12[[#This Row],[Rank Pedro]]="High","linkCategory3","")))</f>
        <v/>
      </c>
      <c r="U2186" s="102" t="str">
        <f>IF(TableRelationships12[[#This Row],[Rank Pedro]]="Low","Pink",IF(TableRelationships12[[#This Row],[Rank Pedro]]="Medium","Purple",IF(TableRelationships12[[#This Row],[Rank Pedro]]="High","Brown","")))</f>
        <v/>
      </c>
      <c r="V2186" s="4">
        <f>MAX(INDEX(Standards!$F$2:$F$296,MATCH(B2186,Standards!$B$2:$B$296,0)),INDEX(Standards!$F$2:$F$296,MATCH(C2186,Standards!$B$2:$B$296,0)))</f>
        <v>44317</v>
      </c>
      <c r="W2186" t="str">
        <f t="shared" si="104"/>
        <v>#2f89d1</v>
      </c>
    </row>
    <row r="2187" spans="1:23" x14ac:dyDescent="0.5">
      <c r="A2187" s="54">
        <v>2186</v>
      </c>
      <c r="B2187" s="90" t="s">
        <v>488</v>
      </c>
      <c r="C2187" t="s">
        <v>94</v>
      </c>
      <c r="D2187" s="1"/>
      <c r="E2187" s="112">
        <v>2010.12</v>
      </c>
      <c r="F2187" s="112">
        <v>2017.09</v>
      </c>
      <c r="G2187" s="107" t="s">
        <v>1522</v>
      </c>
      <c r="H2187">
        <f>INDEX('GIS-Standards'!$A$2:$A$305,MATCH(B2187,'GIS-Standards'!$B$2:$B$305,0))</f>
        <v>95</v>
      </c>
      <c r="I2187" t="e">
        <f>INDEX('GIS-Standards'!$A$2:$A$305,MATCH(C2187,'GIS-Standards'!$B$2:$B$305,0))</f>
        <v>#N/A</v>
      </c>
      <c r="J2187" t="str">
        <f>INDEX('GIS-Standards'!$O$2:$O$305,MATCH(B2187,'GIS-Standards'!$B$2:$B$305,0))</f>
        <v>ISO/TC 59/SC 13</v>
      </c>
      <c r="K2187" t="e">
        <f>INDEX('GIS-Standards'!$O$2:$O$305,MATCH(C2187,'GIS-Standards'!$B$2:$B$305,0))</f>
        <v>#N/A</v>
      </c>
      <c r="M2187" t="s">
        <v>525</v>
      </c>
      <c r="N2187">
        <f>INDEX('GIS-Standards'!$I$2:$I$305,MATCH(B2187,'GIS-Standards'!$B$2:$B$305,0))</f>
        <v>0</v>
      </c>
      <c r="O2187" t="e">
        <f>INDEX('GIS-Standards'!$I$2:$I$305,MATCH(C2187,'GIS-Standards'!$B$2:$B$305,0))</f>
        <v>#N/A</v>
      </c>
      <c r="P2187" t="e">
        <f>AND(TableRelationships12[[#This Row],[Source Type]]="BIM",TableRelationships12[[#This Row],[Target Type]]="BIM")</f>
        <v>#N/A</v>
      </c>
      <c r="Q2187">
        <f t="shared" si="102"/>
        <v>1</v>
      </c>
      <c r="S2187">
        <f t="shared" si="103"/>
        <v>1</v>
      </c>
      <c r="T2187" s="102" t="str">
        <f>IF(TableRelationships12[[#This Row],[Rank Pedro]]="Low","linkCategory1",IF(TableRelationships12[[#This Row],[Rank Pedro]]="Medium","linkCategory2",IF(TableRelationships12[[#This Row],[Rank Pedro]]="High","linkCategory3","")))</f>
        <v/>
      </c>
      <c r="U2187" s="102" t="str">
        <f>IF(TableRelationships12[[#This Row],[Rank Pedro]]="Low","Pink",IF(TableRelationships12[[#This Row],[Rank Pedro]]="Medium","Purple",IF(TableRelationships12[[#This Row],[Rank Pedro]]="High","Brown","")))</f>
        <v/>
      </c>
      <c r="V2187" s="4">
        <f>MAX(INDEX(Standards!$F$2:$F$296,MATCH(B2187,Standards!$B$2:$B$296,0)),INDEX(Standards!$F$2:$F$296,MATCH(C2187,Standards!$B$2:$B$296,0)))</f>
        <v>44317</v>
      </c>
      <c r="W2187" t="str">
        <f t="shared" si="104"/>
        <v>#2f89d1</v>
      </c>
    </row>
    <row r="2188" spans="1:23" x14ac:dyDescent="0.5">
      <c r="A2188" s="54">
        <v>2187</v>
      </c>
      <c r="B2188" s="90" t="s">
        <v>488</v>
      </c>
      <c r="C2188" t="s">
        <v>352</v>
      </c>
      <c r="D2188" s="1"/>
      <c r="E2188" s="112">
        <v>1985.02</v>
      </c>
      <c r="F2188" s="112">
        <v>2013.03</v>
      </c>
      <c r="G2188" s="107" t="s">
        <v>1457</v>
      </c>
      <c r="H2188">
        <f>INDEX('GIS-Standards'!$A$2:$A$305,MATCH(B2188,'GIS-Standards'!$B$2:$B$305,0))</f>
        <v>95</v>
      </c>
      <c r="I2188" t="e">
        <f>INDEX('GIS-Standards'!$A$2:$A$305,MATCH(C2188,'GIS-Standards'!$B$2:$B$305,0))</f>
        <v>#N/A</v>
      </c>
      <c r="J2188" t="str">
        <f>INDEX('GIS-Standards'!$O$2:$O$305,MATCH(B2188,'GIS-Standards'!$B$2:$B$305,0))</f>
        <v>ISO/TC 59/SC 13</v>
      </c>
      <c r="K2188" t="e">
        <f>INDEX('GIS-Standards'!$O$2:$O$305,MATCH(C2188,'GIS-Standards'!$B$2:$B$305,0))</f>
        <v>#N/A</v>
      </c>
      <c r="M2188" t="s">
        <v>525</v>
      </c>
      <c r="N2188">
        <f>INDEX('GIS-Standards'!$I$2:$I$305,MATCH(B2188,'GIS-Standards'!$B$2:$B$305,0))</f>
        <v>0</v>
      </c>
      <c r="O2188" t="e">
        <f>INDEX('GIS-Standards'!$I$2:$I$305,MATCH(C2188,'GIS-Standards'!$B$2:$B$305,0))</f>
        <v>#N/A</v>
      </c>
      <c r="P2188" t="e">
        <f>AND(TableRelationships12[[#This Row],[Source Type]]="BIM",TableRelationships12[[#This Row],[Target Type]]="BIM")</f>
        <v>#N/A</v>
      </c>
      <c r="Q2188">
        <f t="shared" si="102"/>
        <v>1</v>
      </c>
      <c r="S2188">
        <f t="shared" si="103"/>
        <v>1</v>
      </c>
      <c r="T2188" s="102" t="str">
        <f>IF(TableRelationships12[[#This Row],[Rank Pedro]]="Low","linkCategory1",IF(TableRelationships12[[#This Row],[Rank Pedro]]="Medium","linkCategory2",IF(TableRelationships12[[#This Row],[Rank Pedro]]="High","linkCategory3","")))</f>
        <v/>
      </c>
      <c r="U2188" s="102" t="str">
        <f>IF(TableRelationships12[[#This Row],[Rank Pedro]]="Low","Pink",IF(TableRelationships12[[#This Row],[Rank Pedro]]="Medium","Purple",IF(TableRelationships12[[#This Row],[Rank Pedro]]="High","Brown","")))</f>
        <v/>
      </c>
      <c r="V2188" s="4">
        <f>MAX(INDEX(Standards!$F$2:$F$296,MATCH(B2188,Standards!$B$2:$B$296,0)),INDEX(Standards!$F$2:$F$296,MATCH(C2188,Standards!$B$2:$B$296,0)))</f>
        <v>44317</v>
      </c>
      <c r="W2188" t="str">
        <f t="shared" si="104"/>
        <v>#2f89d1</v>
      </c>
    </row>
    <row r="2189" spans="1:23" x14ac:dyDescent="0.5">
      <c r="A2189" s="54">
        <v>2188</v>
      </c>
      <c r="B2189" s="90" t="s">
        <v>488</v>
      </c>
      <c r="C2189" t="s">
        <v>408</v>
      </c>
      <c r="D2189" s="1" t="s">
        <v>1857</v>
      </c>
      <c r="E2189" s="112">
        <v>2010.05</v>
      </c>
      <c r="F2189" s="112">
        <v>2025.11</v>
      </c>
      <c r="G2189" s="107" t="s">
        <v>2003</v>
      </c>
      <c r="H2189">
        <f>INDEX('GIS-Standards'!$A$2:$A$305,MATCH(B2189,'GIS-Standards'!$B$2:$B$305,0))</f>
        <v>95</v>
      </c>
      <c r="I2189" t="e">
        <f>INDEX('GIS-Standards'!$A$2:$A$305,MATCH(C2189,'GIS-Standards'!$B$2:$B$305,0))</f>
        <v>#N/A</v>
      </c>
      <c r="J2189" t="str">
        <f>INDEX('GIS-Standards'!$O$2:$O$305,MATCH(B2189,'GIS-Standards'!$B$2:$B$305,0))</f>
        <v>ISO/TC 59/SC 13</v>
      </c>
      <c r="K2189" t="e">
        <f>INDEX('GIS-Standards'!$O$2:$O$305,MATCH(C2189,'GIS-Standards'!$B$2:$B$305,0))</f>
        <v>#N/A</v>
      </c>
      <c r="M2189" t="s">
        <v>525</v>
      </c>
      <c r="N2189">
        <f>INDEX('GIS-Standards'!$I$2:$I$305,MATCH(B2189,'GIS-Standards'!$B$2:$B$305,0))</f>
        <v>0</v>
      </c>
      <c r="O2189" t="e">
        <f>INDEX('GIS-Standards'!$I$2:$I$305,MATCH(C2189,'GIS-Standards'!$B$2:$B$305,0))</f>
        <v>#N/A</v>
      </c>
      <c r="P2189" t="e">
        <f>AND(TableRelationships12[[#This Row],[Source Type]]="BIM",TableRelationships12[[#This Row],[Target Type]]="BIM")</f>
        <v>#N/A</v>
      </c>
      <c r="Q2189">
        <f t="shared" si="102"/>
        <v>1</v>
      </c>
      <c r="S2189">
        <f t="shared" si="103"/>
        <v>1</v>
      </c>
      <c r="T2189" s="102" t="str">
        <f>IF(TableRelationships12[[#This Row],[Rank Pedro]]="Low","linkCategory1",IF(TableRelationships12[[#This Row],[Rank Pedro]]="Medium","linkCategory2",IF(TableRelationships12[[#This Row],[Rank Pedro]]="High","linkCategory3","")))</f>
        <v/>
      </c>
      <c r="U2189" s="102" t="str">
        <f>IF(TableRelationships12[[#This Row],[Rank Pedro]]="Low","Pink",IF(TableRelationships12[[#This Row],[Rank Pedro]]="Medium","Purple",IF(TableRelationships12[[#This Row],[Rank Pedro]]="High","Brown","")))</f>
        <v/>
      </c>
      <c r="V2189" s="4">
        <f>MAX(INDEX(Standards!$F$2:$F$296,MATCH(B2189,Standards!$B$2:$B$296,0)),INDEX(Standards!$F$2:$F$296,MATCH(C2189,Standards!$B$2:$B$296,0)))</f>
        <v>44317</v>
      </c>
      <c r="W2189" t="str">
        <f t="shared" si="104"/>
        <v>#2f89d1</v>
      </c>
    </row>
    <row r="2190" spans="1:23" x14ac:dyDescent="0.5">
      <c r="A2190" s="54">
        <v>2189</v>
      </c>
      <c r="B2190" s="90" t="s">
        <v>488</v>
      </c>
      <c r="C2190" t="s">
        <v>1858</v>
      </c>
      <c r="D2190" s="1"/>
      <c r="G2190" s="107"/>
      <c r="H2190">
        <f>INDEX('GIS-Standards'!$A$2:$A$305,MATCH(B2190,'GIS-Standards'!$B$2:$B$305,0))</f>
        <v>95</v>
      </c>
      <c r="I2190" t="e">
        <f>INDEX('GIS-Standards'!$A$2:$A$305,MATCH(C2190,'GIS-Standards'!$B$2:$B$305,0))</f>
        <v>#N/A</v>
      </c>
      <c r="J2190" t="str">
        <f>INDEX('GIS-Standards'!$O$2:$O$305,MATCH(B2190,'GIS-Standards'!$B$2:$B$305,0))</f>
        <v>ISO/TC 59/SC 13</v>
      </c>
      <c r="K2190" t="e">
        <f>INDEX('GIS-Standards'!$O$2:$O$305,MATCH(C2190,'GIS-Standards'!$B$2:$B$305,0))</f>
        <v>#N/A</v>
      </c>
      <c r="M2190" t="s">
        <v>525</v>
      </c>
      <c r="N2190">
        <f>INDEX('GIS-Standards'!$I$2:$I$305,MATCH(B2190,'GIS-Standards'!$B$2:$B$305,0))</f>
        <v>0</v>
      </c>
      <c r="O2190" t="e">
        <f>INDEX('GIS-Standards'!$I$2:$I$305,MATCH(C2190,'GIS-Standards'!$B$2:$B$305,0))</f>
        <v>#N/A</v>
      </c>
      <c r="P2190" t="e">
        <f>AND(TableRelationships12[[#This Row],[Source Type]]="BIM",TableRelationships12[[#This Row],[Target Type]]="BIM")</f>
        <v>#N/A</v>
      </c>
      <c r="Q2190">
        <f t="shared" si="102"/>
        <v>1</v>
      </c>
      <c r="S2190">
        <f t="shared" si="103"/>
        <v>1</v>
      </c>
      <c r="T2190" s="102" t="str">
        <f>IF(TableRelationships12[[#This Row],[Rank Pedro]]="Low","linkCategory1",IF(TableRelationships12[[#This Row],[Rank Pedro]]="Medium","linkCategory2",IF(TableRelationships12[[#This Row],[Rank Pedro]]="High","linkCategory3","")))</f>
        <v/>
      </c>
      <c r="U2190" s="102" t="str">
        <f>IF(TableRelationships12[[#This Row],[Rank Pedro]]="Low","Pink",IF(TableRelationships12[[#This Row],[Rank Pedro]]="Medium","Purple",IF(TableRelationships12[[#This Row],[Rank Pedro]]="High","Brown","")))</f>
        <v/>
      </c>
      <c r="V2190" s="4" t="e">
        <f>MAX(INDEX(Standards!$F$2:$F$296,MATCH(B2190,Standards!$B$2:$B$296,0)),INDEX(Standards!$F$2:$F$296,MATCH(C2190,Standards!$B$2:$B$296,0)))</f>
        <v>#N/A</v>
      </c>
      <c r="W2190" t="str">
        <f t="shared" si="104"/>
        <v>#2f89d1</v>
      </c>
    </row>
    <row r="2191" spans="1:23" x14ac:dyDescent="0.5">
      <c r="A2191" s="54">
        <v>2190</v>
      </c>
      <c r="B2191" s="90" t="s">
        <v>488</v>
      </c>
      <c r="C2191" t="s">
        <v>1859</v>
      </c>
      <c r="D2191" s="1"/>
      <c r="G2191" s="107"/>
      <c r="H2191">
        <f>INDEX('GIS-Standards'!$A$2:$A$305,MATCH(B2191,'GIS-Standards'!$B$2:$B$305,0))</f>
        <v>95</v>
      </c>
      <c r="I2191" t="e">
        <f>INDEX('GIS-Standards'!$A$2:$A$305,MATCH(C2191,'GIS-Standards'!$B$2:$B$305,0))</f>
        <v>#N/A</v>
      </c>
      <c r="J2191" t="str">
        <f>INDEX('GIS-Standards'!$O$2:$O$305,MATCH(B2191,'GIS-Standards'!$B$2:$B$305,0))</f>
        <v>ISO/TC 59/SC 13</v>
      </c>
      <c r="K2191" t="e">
        <f>INDEX('GIS-Standards'!$O$2:$O$305,MATCH(C2191,'GIS-Standards'!$B$2:$B$305,0))</f>
        <v>#N/A</v>
      </c>
      <c r="M2191" t="s">
        <v>525</v>
      </c>
      <c r="N2191">
        <f>INDEX('GIS-Standards'!$I$2:$I$305,MATCH(B2191,'GIS-Standards'!$B$2:$B$305,0))</f>
        <v>0</v>
      </c>
      <c r="O2191" t="e">
        <f>INDEX('GIS-Standards'!$I$2:$I$305,MATCH(C2191,'GIS-Standards'!$B$2:$B$305,0))</f>
        <v>#N/A</v>
      </c>
      <c r="P2191" t="e">
        <f>AND(TableRelationships12[[#This Row],[Source Type]]="BIM",TableRelationships12[[#This Row],[Target Type]]="BIM")</f>
        <v>#N/A</v>
      </c>
      <c r="Q2191">
        <f t="shared" si="102"/>
        <v>1</v>
      </c>
      <c r="S2191">
        <f t="shared" si="103"/>
        <v>1</v>
      </c>
      <c r="T2191" s="102" t="str">
        <f>IF(TableRelationships12[[#This Row],[Rank Pedro]]="Low","linkCategory1",IF(TableRelationships12[[#This Row],[Rank Pedro]]="Medium","linkCategory2",IF(TableRelationships12[[#This Row],[Rank Pedro]]="High","linkCategory3","")))</f>
        <v/>
      </c>
      <c r="U2191" s="102" t="str">
        <f>IF(TableRelationships12[[#This Row],[Rank Pedro]]="Low","Pink",IF(TableRelationships12[[#This Row],[Rank Pedro]]="Medium","Purple",IF(TableRelationships12[[#This Row],[Rank Pedro]]="High","Brown","")))</f>
        <v/>
      </c>
      <c r="V2191" s="4" t="e">
        <f>MAX(INDEX(Standards!$F$2:$F$296,MATCH(B2191,Standards!$B$2:$B$296,0)),INDEX(Standards!$F$2:$F$296,MATCH(C2191,Standards!$B$2:$B$296,0)))</f>
        <v>#N/A</v>
      </c>
      <c r="W2191" t="str">
        <f t="shared" si="104"/>
        <v>#2f89d1</v>
      </c>
    </row>
    <row r="2192" spans="1:23" x14ac:dyDescent="0.5">
      <c r="A2192" s="54">
        <v>2191</v>
      </c>
      <c r="B2192" s="90" t="s">
        <v>488</v>
      </c>
      <c r="C2192" t="s">
        <v>1860</v>
      </c>
      <c r="D2192" s="1"/>
      <c r="G2192" s="107"/>
      <c r="H2192">
        <f>INDEX('GIS-Standards'!$A$2:$A$305,MATCH(B2192,'GIS-Standards'!$B$2:$B$305,0))</f>
        <v>95</v>
      </c>
      <c r="I2192" t="e">
        <f>INDEX('GIS-Standards'!$A$2:$A$305,MATCH(C2192,'GIS-Standards'!$B$2:$B$305,0))</f>
        <v>#N/A</v>
      </c>
      <c r="J2192" t="str">
        <f>INDEX('GIS-Standards'!$O$2:$O$305,MATCH(B2192,'GIS-Standards'!$B$2:$B$305,0))</f>
        <v>ISO/TC 59/SC 13</v>
      </c>
      <c r="K2192" t="e">
        <f>INDEX('GIS-Standards'!$O$2:$O$305,MATCH(C2192,'GIS-Standards'!$B$2:$B$305,0))</f>
        <v>#N/A</v>
      </c>
      <c r="M2192" t="s">
        <v>525</v>
      </c>
      <c r="N2192">
        <f>INDEX('GIS-Standards'!$I$2:$I$305,MATCH(B2192,'GIS-Standards'!$B$2:$B$305,0))</f>
        <v>0</v>
      </c>
      <c r="O2192" t="e">
        <f>INDEX('GIS-Standards'!$I$2:$I$305,MATCH(C2192,'GIS-Standards'!$B$2:$B$305,0))</f>
        <v>#N/A</v>
      </c>
      <c r="P2192" t="e">
        <f>AND(TableRelationships12[[#This Row],[Source Type]]="BIM",TableRelationships12[[#This Row],[Target Type]]="BIM")</f>
        <v>#N/A</v>
      </c>
      <c r="Q2192">
        <f t="shared" si="102"/>
        <v>1</v>
      </c>
      <c r="S2192">
        <f t="shared" si="103"/>
        <v>1</v>
      </c>
      <c r="T2192" s="102" t="str">
        <f>IF(TableRelationships12[[#This Row],[Rank Pedro]]="Low","linkCategory1",IF(TableRelationships12[[#This Row],[Rank Pedro]]="Medium","linkCategory2",IF(TableRelationships12[[#This Row],[Rank Pedro]]="High","linkCategory3","")))</f>
        <v/>
      </c>
      <c r="U2192" s="102" t="str">
        <f>IF(TableRelationships12[[#This Row],[Rank Pedro]]="Low","Pink",IF(TableRelationships12[[#This Row],[Rank Pedro]]="Medium","Purple",IF(TableRelationships12[[#This Row],[Rank Pedro]]="High","Brown","")))</f>
        <v/>
      </c>
      <c r="V2192" s="4" t="e">
        <f>MAX(INDEX(Standards!$F$2:$F$296,MATCH(B2192,Standards!$B$2:$B$296,0)),INDEX(Standards!$F$2:$F$296,MATCH(C2192,Standards!$B$2:$B$296,0)))</f>
        <v>#N/A</v>
      </c>
      <c r="W2192" t="str">
        <f t="shared" si="104"/>
        <v>#2f89d1</v>
      </c>
    </row>
    <row r="2193" spans="1:23" x14ac:dyDescent="0.5">
      <c r="A2193" s="54">
        <v>2192</v>
      </c>
      <c r="B2193" s="90" t="s">
        <v>488</v>
      </c>
      <c r="C2193" t="s">
        <v>1861</v>
      </c>
      <c r="D2193" s="1"/>
      <c r="G2193" s="107"/>
      <c r="H2193">
        <f>INDEX('GIS-Standards'!$A$2:$A$305,MATCH(B2193,'GIS-Standards'!$B$2:$B$305,0))</f>
        <v>95</v>
      </c>
      <c r="I2193" t="e">
        <f>INDEX('GIS-Standards'!$A$2:$A$305,MATCH(C2193,'GIS-Standards'!$B$2:$B$305,0))</f>
        <v>#N/A</v>
      </c>
      <c r="J2193" t="str">
        <f>INDEX('GIS-Standards'!$O$2:$O$305,MATCH(B2193,'GIS-Standards'!$B$2:$B$305,0))</f>
        <v>ISO/TC 59/SC 13</v>
      </c>
      <c r="K2193" t="e">
        <f>INDEX('GIS-Standards'!$O$2:$O$305,MATCH(C2193,'GIS-Standards'!$B$2:$B$305,0))</f>
        <v>#N/A</v>
      </c>
      <c r="M2193" t="s">
        <v>525</v>
      </c>
      <c r="N2193">
        <f>INDEX('GIS-Standards'!$I$2:$I$305,MATCH(B2193,'GIS-Standards'!$B$2:$B$305,0))</f>
        <v>0</v>
      </c>
      <c r="O2193" t="e">
        <f>INDEX('GIS-Standards'!$I$2:$I$305,MATCH(C2193,'GIS-Standards'!$B$2:$B$305,0))</f>
        <v>#N/A</v>
      </c>
      <c r="P2193" t="e">
        <f>AND(TableRelationships12[[#This Row],[Source Type]]="BIM",TableRelationships12[[#This Row],[Target Type]]="BIM")</f>
        <v>#N/A</v>
      </c>
      <c r="Q2193">
        <f t="shared" si="102"/>
        <v>1</v>
      </c>
      <c r="S2193">
        <f t="shared" si="103"/>
        <v>1</v>
      </c>
      <c r="T2193" s="102" t="str">
        <f>IF(TableRelationships12[[#This Row],[Rank Pedro]]="Low","linkCategory1",IF(TableRelationships12[[#This Row],[Rank Pedro]]="Medium","linkCategory2",IF(TableRelationships12[[#This Row],[Rank Pedro]]="High","linkCategory3","")))</f>
        <v/>
      </c>
      <c r="U2193" s="102" t="str">
        <f>IF(TableRelationships12[[#This Row],[Rank Pedro]]="Low","Pink",IF(TableRelationships12[[#This Row],[Rank Pedro]]="Medium","Purple",IF(TableRelationships12[[#This Row],[Rank Pedro]]="High","Brown","")))</f>
        <v/>
      </c>
      <c r="V2193" s="4" t="e">
        <f>MAX(INDEX(Standards!$F$2:$F$296,MATCH(B2193,Standards!$B$2:$B$296,0)),INDEX(Standards!$F$2:$F$296,MATCH(C2193,Standards!$B$2:$B$296,0)))</f>
        <v>#N/A</v>
      </c>
      <c r="W2193" t="str">
        <f t="shared" si="104"/>
        <v>#2f89d1</v>
      </c>
    </row>
    <row r="2194" spans="1:23" x14ac:dyDescent="0.5">
      <c r="A2194" s="54">
        <v>2193</v>
      </c>
      <c r="B2194" s="90" t="s">
        <v>488</v>
      </c>
      <c r="C2194" t="s">
        <v>1862</v>
      </c>
      <c r="D2194" s="1"/>
      <c r="G2194" s="107"/>
      <c r="H2194">
        <f>INDEX('GIS-Standards'!$A$2:$A$305,MATCH(B2194,'GIS-Standards'!$B$2:$B$305,0))</f>
        <v>95</v>
      </c>
      <c r="I2194" t="e">
        <f>INDEX('GIS-Standards'!$A$2:$A$305,MATCH(C2194,'GIS-Standards'!$B$2:$B$305,0))</f>
        <v>#N/A</v>
      </c>
      <c r="J2194" t="str">
        <f>INDEX('GIS-Standards'!$O$2:$O$305,MATCH(B2194,'GIS-Standards'!$B$2:$B$305,0))</f>
        <v>ISO/TC 59/SC 13</v>
      </c>
      <c r="K2194" t="e">
        <f>INDEX('GIS-Standards'!$O$2:$O$305,MATCH(C2194,'GIS-Standards'!$B$2:$B$305,0))</f>
        <v>#N/A</v>
      </c>
      <c r="M2194" t="s">
        <v>525</v>
      </c>
      <c r="N2194">
        <f>INDEX('GIS-Standards'!$I$2:$I$305,MATCH(B2194,'GIS-Standards'!$B$2:$B$305,0))</f>
        <v>0</v>
      </c>
      <c r="O2194" t="e">
        <f>INDEX('GIS-Standards'!$I$2:$I$305,MATCH(C2194,'GIS-Standards'!$B$2:$B$305,0))</f>
        <v>#N/A</v>
      </c>
      <c r="P2194" t="e">
        <f>AND(TableRelationships12[[#This Row],[Source Type]]="BIM",TableRelationships12[[#This Row],[Target Type]]="BIM")</f>
        <v>#N/A</v>
      </c>
      <c r="Q2194">
        <f t="shared" si="102"/>
        <v>1</v>
      </c>
      <c r="S2194">
        <f t="shared" si="103"/>
        <v>1</v>
      </c>
      <c r="T2194" s="102" t="str">
        <f>IF(TableRelationships12[[#This Row],[Rank Pedro]]="Low","linkCategory1",IF(TableRelationships12[[#This Row],[Rank Pedro]]="Medium","linkCategory2",IF(TableRelationships12[[#This Row],[Rank Pedro]]="High","linkCategory3","")))</f>
        <v/>
      </c>
      <c r="U2194" s="102" t="str">
        <f>IF(TableRelationships12[[#This Row],[Rank Pedro]]="Low","Pink",IF(TableRelationships12[[#This Row],[Rank Pedro]]="Medium","Purple",IF(TableRelationships12[[#This Row],[Rank Pedro]]="High","Brown","")))</f>
        <v/>
      </c>
      <c r="V2194" s="4" t="e">
        <f>MAX(INDEX(Standards!$F$2:$F$296,MATCH(B2194,Standards!$B$2:$B$296,0)),INDEX(Standards!$F$2:$F$296,MATCH(C2194,Standards!$B$2:$B$296,0)))</f>
        <v>#N/A</v>
      </c>
      <c r="W2194" t="str">
        <f t="shared" si="104"/>
        <v>#2f89d1</v>
      </c>
    </row>
    <row r="2195" spans="1:23" x14ac:dyDescent="0.5">
      <c r="A2195" s="54">
        <v>2194</v>
      </c>
      <c r="B2195" s="90" t="s">
        <v>488</v>
      </c>
      <c r="C2195" t="s">
        <v>2037</v>
      </c>
      <c r="D2195" s="1" t="s">
        <v>1849</v>
      </c>
      <c r="E2195" s="112">
        <v>2015.07</v>
      </c>
      <c r="F2195" s="112">
        <v>2015.07</v>
      </c>
      <c r="G2195" s="107" t="s">
        <v>2038</v>
      </c>
      <c r="H2195">
        <f>INDEX('GIS-Standards'!$A$2:$A$305,MATCH(B2195,'GIS-Standards'!$B$2:$B$305,0))</f>
        <v>95</v>
      </c>
      <c r="I2195" t="e">
        <f>INDEX('GIS-Standards'!$A$2:$A$305,MATCH(C2195,'GIS-Standards'!$B$2:$B$305,0))</f>
        <v>#N/A</v>
      </c>
      <c r="J2195" t="str">
        <f>INDEX('GIS-Standards'!$O$2:$O$305,MATCH(B2195,'GIS-Standards'!$B$2:$B$305,0))</f>
        <v>ISO/TC 59/SC 13</v>
      </c>
      <c r="K2195" t="e">
        <f>INDEX('GIS-Standards'!$O$2:$O$305,MATCH(C2195,'GIS-Standards'!$B$2:$B$305,0))</f>
        <v>#N/A</v>
      </c>
      <c r="M2195" t="s">
        <v>525</v>
      </c>
      <c r="N2195">
        <f>INDEX('GIS-Standards'!$I$2:$I$305,MATCH(B2195,'GIS-Standards'!$B$2:$B$305,0))</f>
        <v>0</v>
      </c>
      <c r="O2195" t="e">
        <f>INDEX('GIS-Standards'!$I$2:$I$305,MATCH(C2195,'GIS-Standards'!$B$2:$B$305,0))</f>
        <v>#N/A</v>
      </c>
      <c r="P2195" t="e">
        <f>AND(TableRelationships12[[#This Row],[Source Type]]="BIM",TableRelationships12[[#This Row],[Target Type]]="BIM")</f>
        <v>#N/A</v>
      </c>
      <c r="Q2195">
        <f t="shared" si="102"/>
        <v>1</v>
      </c>
      <c r="S2195">
        <f t="shared" si="103"/>
        <v>1</v>
      </c>
      <c r="T2195" s="102" t="str">
        <f>IF(TableRelationships12[[#This Row],[Rank Pedro]]="Low","linkCategory1",IF(TableRelationships12[[#This Row],[Rank Pedro]]="Medium","linkCategory2",IF(TableRelationships12[[#This Row],[Rank Pedro]]="High","linkCategory3","")))</f>
        <v/>
      </c>
      <c r="U2195" s="102" t="str">
        <f>IF(TableRelationships12[[#This Row],[Rank Pedro]]="Low","Pink",IF(TableRelationships12[[#This Row],[Rank Pedro]]="Medium","Purple",IF(TableRelationships12[[#This Row],[Rank Pedro]]="High","Brown","")))</f>
        <v/>
      </c>
      <c r="V2195" s="4" t="e">
        <f>MAX(INDEX(Standards!$F$2:$F$296,MATCH(B2195,Standards!$B$2:$B$296,0)),INDEX(Standards!$F$2:$F$296,MATCH(C2195,Standards!$B$2:$B$296,0)))</f>
        <v>#N/A</v>
      </c>
      <c r="W2195" t="str">
        <f t="shared" si="104"/>
        <v>#2f89d1</v>
      </c>
    </row>
    <row r="2196" spans="1:23" x14ac:dyDescent="0.5">
      <c r="A2196" s="54">
        <v>2195</v>
      </c>
      <c r="B2196" s="90" t="s">
        <v>488</v>
      </c>
      <c r="C2196" t="s">
        <v>68</v>
      </c>
      <c r="D2196" s="1" t="s">
        <v>1850</v>
      </c>
      <c r="E2196" s="113" t="s">
        <v>2045</v>
      </c>
      <c r="F2196" s="113">
        <v>2022.07</v>
      </c>
      <c r="G2196" s="107" t="s">
        <v>2043</v>
      </c>
      <c r="H2196">
        <f>INDEX('GIS-Standards'!$A$2:$A$305,MATCH(B2196,'GIS-Standards'!$B$2:$B$305,0))</f>
        <v>95</v>
      </c>
      <c r="I2196" t="e">
        <f>INDEX('GIS-Standards'!$A$2:$A$305,MATCH(C2196,'GIS-Standards'!$B$2:$B$305,0))</f>
        <v>#N/A</v>
      </c>
      <c r="J2196" t="str">
        <f>INDEX('GIS-Standards'!$O$2:$O$305,MATCH(B2196,'GIS-Standards'!$B$2:$B$305,0))</f>
        <v>ISO/TC 59/SC 13</v>
      </c>
      <c r="K2196" t="e">
        <f>INDEX('GIS-Standards'!$O$2:$O$305,MATCH(C2196,'GIS-Standards'!$B$2:$B$305,0))</f>
        <v>#N/A</v>
      </c>
      <c r="M2196" t="s">
        <v>525</v>
      </c>
      <c r="N2196">
        <f>INDEX('GIS-Standards'!$I$2:$I$305,MATCH(B2196,'GIS-Standards'!$B$2:$B$305,0))</f>
        <v>0</v>
      </c>
      <c r="O2196" t="e">
        <f>INDEX('GIS-Standards'!$I$2:$I$305,MATCH(C2196,'GIS-Standards'!$B$2:$B$305,0))</f>
        <v>#N/A</v>
      </c>
      <c r="P2196" t="e">
        <f>AND(TableRelationships12[[#This Row],[Source Type]]="BIM",TableRelationships12[[#This Row],[Target Type]]="BIM")</f>
        <v>#N/A</v>
      </c>
      <c r="Q2196">
        <f t="shared" si="102"/>
        <v>1</v>
      </c>
      <c r="S2196">
        <f t="shared" si="103"/>
        <v>1</v>
      </c>
      <c r="T2196" s="102" t="str">
        <f>IF(TableRelationships12[[#This Row],[Rank Pedro]]="Low","linkCategory1",IF(TableRelationships12[[#This Row],[Rank Pedro]]="Medium","linkCategory2",IF(TableRelationships12[[#This Row],[Rank Pedro]]="High","linkCategory3","")))</f>
        <v/>
      </c>
      <c r="U2196" s="102" t="str">
        <f>IF(TableRelationships12[[#This Row],[Rank Pedro]]="Low","Pink",IF(TableRelationships12[[#This Row],[Rank Pedro]]="Medium","Purple",IF(TableRelationships12[[#This Row],[Rank Pedro]]="High","Brown","")))</f>
        <v/>
      </c>
      <c r="V2196" s="4">
        <f>MAX(INDEX(Standards!$F$2:$F$296,MATCH(B2196,Standards!$B$2:$B$296,0)),INDEX(Standards!$F$2:$F$296,MATCH(C2196,Standards!$B$2:$B$296,0)))</f>
        <v>44317</v>
      </c>
      <c r="W2196" t="str">
        <f t="shared" si="104"/>
        <v>#2f89d1</v>
      </c>
    </row>
    <row r="2197" spans="1:23" x14ac:dyDescent="0.5">
      <c r="A2197" s="54">
        <v>2196</v>
      </c>
      <c r="B2197" s="90" t="s">
        <v>488</v>
      </c>
      <c r="C2197" t="s">
        <v>1049</v>
      </c>
      <c r="D2197" s="1" t="s">
        <v>1856</v>
      </c>
      <c r="E2197" s="112">
        <v>2015.08</v>
      </c>
      <c r="F2197" s="112">
        <v>2015.08</v>
      </c>
      <c r="G2197" s="107" t="s">
        <v>670</v>
      </c>
      <c r="H2197">
        <f>INDEX('GIS-Standards'!$A$2:$A$305,MATCH(B2197,'GIS-Standards'!$B$2:$B$305,0))</f>
        <v>95</v>
      </c>
      <c r="I2197">
        <f>INDEX('GIS-Standards'!$A$2:$A$305,MATCH(C2197,'GIS-Standards'!$B$2:$B$305,0))</f>
        <v>43</v>
      </c>
      <c r="J2197" t="str">
        <f>INDEX('GIS-Standards'!$O$2:$O$305,MATCH(B2197,'GIS-Standards'!$B$2:$B$305,0))</f>
        <v>ISO/TC 59/SC 13</v>
      </c>
      <c r="K2197" t="str">
        <f>INDEX('GIS-Standards'!$O$2:$O$305,MATCH(C2197,'GIS-Standards'!$B$2:$B$305,0))</f>
        <v>ISO/TC 211</v>
      </c>
      <c r="M2197" t="s">
        <v>525</v>
      </c>
      <c r="N2197">
        <f>INDEX('GIS-Standards'!$I$2:$I$305,MATCH(B2197,'GIS-Standards'!$B$2:$B$305,0))</f>
        <v>0</v>
      </c>
      <c r="O2197">
        <f>INDEX('GIS-Standards'!$I$2:$I$305,MATCH(C2197,'GIS-Standards'!$B$2:$B$305,0))</f>
        <v>0</v>
      </c>
      <c r="P2197" t="b">
        <f>AND(TableRelationships12[[#This Row],[Source Type]]="BIM",TableRelationships12[[#This Row],[Target Type]]="BIM")</f>
        <v>0</v>
      </c>
      <c r="Q2197">
        <f t="shared" si="102"/>
        <v>1</v>
      </c>
      <c r="S2197">
        <f t="shared" si="103"/>
        <v>1</v>
      </c>
      <c r="T2197" s="102" t="str">
        <f>IF(TableRelationships12[[#This Row],[Rank Pedro]]="Low","linkCategory1",IF(TableRelationships12[[#This Row],[Rank Pedro]]="Medium","linkCategory2",IF(TableRelationships12[[#This Row],[Rank Pedro]]="High","linkCategory3","")))</f>
        <v/>
      </c>
      <c r="U2197" s="102" t="str">
        <f>IF(TableRelationships12[[#This Row],[Rank Pedro]]="Low","Pink",IF(TableRelationships12[[#This Row],[Rank Pedro]]="Medium","Purple",IF(TableRelationships12[[#This Row],[Rank Pedro]]="High","Brown","")))</f>
        <v/>
      </c>
      <c r="V2197" s="4" t="e">
        <f>MAX(INDEX(Standards!$F$2:$F$296,MATCH(B2197,Standards!$B$2:$B$296,0)),INDEX(Standards!$F$2:$F$296,MATCH(C2197,Standards!$B$2:$B$296,0)))</f>
        <v>#N/A</v>
      </c>
      <c r="W2197" t="str">
        <f t="shared" si="104"/>
        <v>#2f89d1</v>
      </c>
    </row>
    <row r="2198" spans="1:23" x14ac:dyDescent="0.5">
      <c r="A2198" s="54">
        <v>2197</v>
      </c>
      <c r="B2198" s="90" t="s">
        <v>488</v>
      </c>
      <c r="C2198" t="s">
        <v>636</v>
      </c>
      <c r="D2198" s="1" t="s">
        <v>1156</v>
      </c>
      <c r="E2198" s="113">
        <v>2019.05</v>
      </c>
      <c r="F2198" s="113">
        <v>2019.05</v>
      </c>
      <c r="G2198" s="107" t="s">
        <v>670</v>
      </c>
      <c r="H2198">
        <f>INDEX('GIS-Standards'!$A$2:$A$305,MATCH(B2198,'GIS-Standards'!$B$2:$B$305,0))</f>
        <v>95</v>
      </c>
      <c r="I2198">
        <f>INDEX('GIS-Standards'!$A$2:$A$305,MATCH(C2198,'GIS-Standards'!$B$2:$B$305,0))</f>
        <v>55</v>
      </c>
      <c r="J2198" t="str">
        <f>INDEX('GIS-Standards'!$O$2:$O$305,MATCH(B2198,'GIS-Standards'!$B$2:$B$305,0))</f>
        <v>ISO/TC 59/SC 13</v>
      </c>
      <c r="K2198" t="str">
        <f>INDEX('GIS-Standards'!$O$2:$O$305,MATCH(C2198,'GIS-Standards'!$B$2:$B$305,0))</f>
        <v>ISO/TC 211</v>
      </c>
      <c r="M2198" t="s">
        <v>525</v>
      </c>
      <c r="N2198">
        <f>INDEX('GIS-Standards'!$I$2:$I$305,MATCH(B2198,'GIS-Standards'!$B$2:$B$305,0))</f>
        <v>0</v>
      </c>
      <c r="O2198">
        <f>INDEX('GIS-Standards'!$I$2:$I$305,MATCH(C2198,'GIS-Standards'!$B$2:$B$305,0))</f>
        <v>0</v>
      </c>
      <c r="P2198" t="b">
        <f>AND(TableRelationships12[[#This Row],[Source Type]]="BIM",TableRelationships12[[#This Row],[Target Type]]="BIM")</f>
        <v>0</v>
      </c>
      <c r="Q2198">
        <f t="shared" si="102"/>
        <v>1</v>
      </c>
      <c r="S2198">
        <f t="shared" si="103"/>
        <v>1</v>
      </c>
      <c r="T2198" s="102" t="str">
        <f>IF(TableRelationships12[[#This Row],[Rank Pedro]]="Low","linkCategory1",IF(TableRelationships12[[#This Row],[Rank Pedro]]="Medium","linkCategory2",IF(TableRelationships12[[#This Row],[Rank Pedro]]="High","linkCategory3","")))</f>
        <v/>
      </c>
      <c r="U2198" s="102" t="str">
        <f>IF(TableRelationships12[[#This Row],[Rank Pedro]]="Low","Pink",IF(TableRelationships12[[#This Row],[Rank Pedro]]="Medium","Purple",IF(TableRelationships12[[#This Row],[Rank Pedro]]="High","Brown","")))</f>
        <v/>
      </c>
      <c r="V2198" s="4" t="e">
        <f>MAX(INDEX(Standards!$F$2:$F$296,MATCH(B2198,Standards!$B$2:$B$296,0)),INDEX(Standards!$F$2:$F$296,MATCH(C2198,Standards!$B$2:$B$296,0)))</f>
        <v>#N/A</v>
      </c>
      <c r="W2198" t="str">
        <f t="shared" si="104"/>
        <v>#2f89d1</v>
      </c>
    </row>
    <row r="2199" spans="1:23" x14ac:dyDescent="0.5">
      <c r="A2199" s="54">
        <v>2198</v>
      </c>
      <c r="B2199" s="90" t="s">
        <v>488</v>
      </c>
      <c r="C2199" t="s">
        <v>1051</v>
      </c>
      <c r="D2199" s="1" t="s">
        <v>1156</v>
      </c>
      <c r="E2199" s="113">
        <v>2023.06</v>
      </c>
      <c r="F2199" s="113">
        <v>2023.06</v>
      </c>
      <c r="G2199" s="107" t="s">
        <v>670</v>
      </c>
      <c r="H2199">
        <f>INDEX('GIS-Standards'!$A$2:$A$305,MATCH(B2199,'GIS-Standards'!$B$2:$B$305,0))</f>
        <v>95</v>
      </c>
      <c r="I2199">
        <f>INDEX('GIS-Standards'!$A$2:$A$305,MATCH(C2199,'GIS-Standards'!$B$2:$B$305,0))</f>
        <v>56</v>
      </c>
      <c r="J2199" t="str">
        <f>INDEX('GIS-Standards'!$O$2:$O$305,MATCH(B2199,'GIS-Standards'!$B$2:$B$305,0))</f>
        <v>ISO/TC 59/SC 13</v>
      </c>
      <c r="K2199" t="str">
        <f>INDEX('GIS-Standards'!$O$2:$O$305,MATCH(C2199,'GIS-Standards'!$B$2:$B$305,0))</f>
        <v>ISO/TC 211</v>
      </c>
      <c r="M2199" t="s">
        <v>525</v>
      </c>
      <c r="N2199">
        <f>INDEX('GIS-Standards'!$I$2:$I$305,MATCH(B2199,'GIS-Standards'!$B$2:$B$305,0))</f>
        <v>0</v>
      </c>
      <c r="O2199">
        <f>INDEX('GIS-Standards'!$I$2:$I$305,MATCH(C2199,'GIS-Standards'!$B$2:$B$305,0))</f>
        <v>0</v>
      </c>
      <c r="P2199" t="b">
        <f>AND(TableRelationships12[[#This Row],[Source Type]]="BIM",TableRelationships12[[#This Row],[Target Type]]="BIM")</f>
        <v>0</v>
      </c>
      <c r="Q2199">
        <f t="shared" si="102"/>
        <v>1</v>
      </c>
      <c r="S2199">
        <f t="shared" si="103"/>
        <v>1</v>
      </c>
      <c r="T2199" s="102" t="str">
        <f>IF(TableRelationships12[[#This Row],[Rank Pedro]]="Low","linkCategory1",IF(TableRelationships12[[#This Row],[Rank Pedro]]="Medium","linkCategory2",IF(TableRelationships12[[#This Row],[Rank Pedro]]="High","linkCategory3","")))</f>
        <v/>
      </c>
      <c r="U2199" s="102" t="str">
        <f>IF(TableRelationships12[[#This Row],[Rank Pedro]]="Low","Pink",IF(TableRelationships12[[#This Row],[Rank Pedro]]="Medium","Purple",IF(TableRelationships12[[#This Row],[Rank Pedro]]="High","Brown","")))</f>
        <v/>
      </c>
      <c r="V2199" s="4" t="e">
        <f>MAX(INDEX(Standards!$F$2:$F$296,MATCH(B2199,Standards!$B$2:$B$296,0)),INDEX(Standards!$F$2:$F$296,MATCH(C2199,Standards!$B$2:$B$296,0)))</f>
        <v>#N/A</v>
      </c>
      <c r="W2199" t="str">
        <f t="shared" si="104"/>
        <v>#2f89d1</v>
      </c>
    </row>
    <row r="2200" spans="1:23" x14ac:dyDescent="0.5">
      <c r="A2200" s="54">
        <v>2199</v>
      </c>
      <c r="B2200" s="90" t="s">
        <v>488</v>
      </c>
      <c r="C2200" t="s">
        <v>214</v>
      </c>
      <c r="D2200" s="1" t="s">
        <v>2060</v>
      </c>
      <c r="E2200" s="112">
        <v>2018.12</v>
      </c>
      <c r="F2200" s="112">
        <v>2018.12</v>
      </c>
      <c r="G2200" s="107" t="s">
        <v>2061</v>
      </c>
      <c r="H2200">
        <f>INDEX('GIS-Standards'!$A$2:$A$305,MATCH(B2200,'GIS-Standards'!$B$2:$B$305,0))</f>
        <v>95</v>
      </c>
      <c r="I2200" t="e">
        <f>INDEX('GIS-Standards'!$A$2:$A$305,MATCH(C2200,'GIS-Standards'!$B$2:$B$305,0))</f>
        <v>#N/A</v>
      </c>
      <c r="J2200" t="str">
        <f>INDEX('GIS-Standards'!$O$2:$O$305,MATCH(B2200,'GIS-Standards'!$B$2:$B$305,0))</f>
        <v>ISO/TC 59/SC 13</v>
      </c>
      <c r="K2200" t="e">
        <f>INDEX('GIS-Standards'!$O$2:$O$305,MATCH(C2200,'GIS-Standards'!$B$2:$B$305,0))</f>
        <v>#N/A</v>
      </c>
      <c r="M2200" t="s">
        <v>525</v>
      </c>
      <c r="N2200">
        <f>INDEX('GIS-Standards'!$I$2:$I$305,MATCH(B2200,'GIS-Standards'!$B$2:$B$305,0))</f>
        <v>0</v>
      </c>
      <c r="O2200" t="e">
        <f>INDEX('GIS-Standards'!$I$2:$I$305,MATCH(C2200,'GIS-Standards'!$B$2:$B$305,0))</f>
        <v>#N/A</v>
      </c>
      <c r="P2200" t="e">
        <f>AND(TableRelationships12[[#This Row],[Source Type]]="BIM",TableRelationships12[[#This Row],[Target Type]]="BIM")</f>
        <v>#N/A</v>
      </c>
      <c r="Q2200">
        <f t="shared" si="102"/>
        <v>1</v>
      </c>
      <c r="S2200">
        <f t="shared" si="103"/>
        <v>1</v>
      </c>
      <c r="T2200" s="102" t="str">
        <f>IF(TableRelationships12[[#This Row],[Rank Pedro]]="Low","linkCategory1",IF(TableRelationships12[[#This Row],[Rank Pedro]]="Medium","linkCategory2",IF(TableRelationships12[[#This Row],[Rank Pedro]]="High","linkCategory3","")))</f>
        <v/>
      </c>
      <c r="U2200" s="102" t="str">
        <f>IF(TableRelationships12[[#This Row],[Rank Pedro]]="Low","Pink",IF(TableRelationships12[[#This Row],[Rank Pedro]]="Medium","Purple",IF(TableRelationships12[[#This Row],[Rank Pedro]]="High","Brown","")))</f>
        <v/>
      </c>
      <c r="V2200" s="4">
        <f>MAX(INDEX(Standards!$F$2:$F$296,MATCH(B2200,Standards!$B$2:$B$296,0)),INDEX(Standards!$F$2:$F$296,MATCH(C2200,Standards!$B$2:$B$296,0)))</f>
        <v>44317</v>
      </c>
      <c r="W2200" t="str">
        <f t="shared" si="104"/>
        <v>#2f89d1</v>
      </c>
    </row>
    <row r="2201" spans="1:23" x14ac:dyDescent="0.5">
      <c r="A2201" s="54">
        <v>2200</v>
      </c>
      <c r="B2201" s="90" t="s">
        <v>488</v>
      </c>
      <c r="C2201" t="s">
        <v>224</v>
      </c>
      <c r="D2201" s="1" t="s">
        <v>2060</v>
      </c>
      <c r="E2201" s="112">
        <v>2020.07</v>
      </c>
      <c r="F2201" s="112">
        <v>2020.07</v>
      </c>
      <c r="G2201" s="107" t="s">
        <v>2061</v>
      </c>
      <c r="H2201">
        <f>INDEX('GIS-Standards'!$A$2:$A$305,MATCH(B2201,'GIS-Standards'!$B$2:$B$305,0))</f>
        <v>95</v>
      </c>
      <c r="I2201" t="e">
        <f>INDEX('GIS-Standards'!$A$2:$A$305,MATCH(C2201,'GIS-Standards'!$B$2:$B$305,0))</f>
        <v>#N/A</v>
      </c>
      <c r="J2201" t="str">
        <f>INDEX('GIS-Standards'!$O$2:$O$305,MATCH(B2201,'GIS-Standards'!$B$2:$B$305,0))</f>
        <v>ISO/TC 59/SC 13</v>
      </c>
      <c r="K2201" t="e">
        <f>INDEX('GIS-Standards'!$O$2:$O$305,MATCH(C2201,'GIS-Standards'!$B$2:$B$305,0))</f>
        <v>#N/A</v>
      </c>
      <c r="M2201" t="s">
        <v>525</v>
      </c>
      <c r="N2201">
        <f>INDEX('GIS-Standards'!$I$2:$I$305,MATCH(B2201,'GIS-Standards'!$B$2:$B$305,0))</f>
        <v>0</v>
      </c>
      <c r="O2201" t="e">
        <f>INDEX('GIS-Standards'!$I$2:$I$305,MATCH(C2201,'GIS-Standards'!$B$2:$B$305,0))</f>
        <v>#N/A</v>
      </c>
      <c r="P2201" t="e">
        <f>AND(TableRelationships12[[#This Row],[Source Type]]="BIM",TableRelationships12[[#This Row],[Target Type]]="BIM")</f>
        <v>#N/A</v>
      </c>
      <c r="Q2201">
        <f t="shared" si="102"/>
        <v>1</v>
      </c>
      <c r="S2201">
        <f t="shared" si="103"/>
        <v>1</v>
      </c>
      <c r="T2201" s="102" t="str">
        <f>IF(TableRelationships12[[#This Row],[Rank Pedro]]="Low","linkCategory1",IF(TableRelationships12[[#This Row],[Rank Pedro]]="Medium","linkCategory2",IF(TableRelationships12[[#This Row],[Rank Pedro]]="High","linkCategory3","")))</f>
        <v/>
      </c>
      <c r="U2201" s="102" t="str">
        <f>IF(TableRelationships12[[#This Row],[Rank Pedro]]="Low","Pink",IF(TableRelationships12[[#This Row],[Rank Pedro]]="Medium","Purple",IF(TableRelationships12[[#This Row],[Rank Pedro]]="High","Brown","")))</f>
        <v/>
      </c>
      <c r="V2201" s="4">
        <f>MAX(INDEX(Standards!$F$2:$F$296,MATCH(B2201,Standards!$B$2:$B$296,0)),INDEX(Standards!$F$2:$F$296,MATCH(C2201,Standards!$B$2:$B$296,0)))</f>
        <v>44317</v>
      </c>
      <c r="W2201" t="str">
        <f t="shared" si="104"/>
        <v>#2f89d1</v>
      </c>
    </row>
    <row r="2202" spans="1:23" x14ac:dyDescent="0.5">
      <c r="A2202" s="54">
        <v>2201</v>
      </c>
      <c r="B2202" s="90" t="s">
        <v>488</v>
      </c>
      <c r="C2202" t="s">
        <v>228</v>
      </c>
      <c r="D2202" s="1" t="s">
        <v>1774</v>
      </c>
      <c r="E2202" s="112">
        <v>2022.08</v>
      </c>
      <c r="F2202" s="112">
        <v>2022.08</v>
      </c>
      <c r="G2202" s="107" t="s">
        <v>2061</v>
      </c>
      <c r="H2202">
        <f>INDEX('GIS-Standards'!$A$2:$A$305,MATCH(B2202,'GIS-Standards'!$B$2:$B$305,0))</f>
        <v>95</v>
      </c>
      <c r="I2202" t="e">
        <f>INDEX('GIS-Standards'!$A$2:$A$305,MATCH(C2202,'GIS-Standards'!$B$2:$B$305,0))</f>
        <v>#N/A</v>
      </c>
      <c r="J2202" t="str">
        <f>INDEX('GIS-Standards'!$O$2:$O$305,MATCH(B2202,'GIS-Standards'!$B$2:$B$305,0))</f>
        <v>ISO/TC 59/SC 13</v>
      </c>
      <c r="K2202" t="e">
        <f>INDEX('GIS-Standards'!$O$2:$O$305,MATCH(C2202,'GIS-Standards'!$B$2:$B$305,0))</f>
        <v>#N/A</v>
      </c>
      <c r="M2202" t="s">
        <v>525</v>
      </c>
      <c r="N2202">
        <f>INDEX('GIS-Standards'!$I$2:$I$305,MATCH(B2202,'GIS-Standards'!$B$2:$B$305,0))</f>
        <v>0</v>
      </c>
      <c r="O2202" t="e">
        <f>INDEX('GIS-Standards'!$I$2:$I$305,MATCH(C2202,'GIS-Standards'!$B$2:$B$305,0))</f>
        <v>#N/A</v>
      </c>
      <c r="P2202" t="e">
        <f>AND(TableRelationships12[[#This Row],[Source Type]]="BIM",TableRelationships12[[#This Row],[Target Type]]="BIM")</f>
        <v>#N/A</v>
      </c>
      <c r="Q2202">
        <f t="shared" si="102"/>
        <v>1</v>
      </c>
      <c r="S2202">
        <f t="shared" si="103"/>
        <v>1</v>
      </c>
      <c r="T2202" s="102" t="str">
        <f>IF(TableRelationships12[[#This Row],[Rank Pedro]]="Low","linkCategory1",IF(TableRelationships12[[#This Row],[Rank Pedro]]="Medium","linkCategory2",IF(TableRelationships12[[#This Row],[Rank Pedro]]="High","linkCategory3","")))</f>
        <v/>
      </c>
      <c r="U2202" s="102" t="str">
        <f>IF(TableRelationships12[[#This Row],[Rank Pedro]]="Low","Pink",IF(TableRelationships12[[#This Row],[Rank Pedro]]="Medium","Purple",IF(TableRelationships12[[#This Row],[Rank Pedro]]="High","Brown","")))</f>
        <v/>
      </c>
      <c r="V2202" s="4">
        <f>MAX(INDEX(Standards!$F$2:$F$296,MATCH(B2202,Standards!$B$2:$B$296,0)),INDEX(Standards!$F$2:$F$296,MATCH(C2202,Standards!$B$2:$B$296,0)))</f>
        <v>44819</v>
      </c>
      <c r="W2202" t="str">
        <f t="shared" si="104"/>
        <v>#2f89d1</v>
      </c>
    </row>
    <row r="2203" spans="1:23" x14ac:dyDescent="0.5">
      <c r="A2203" s="54">
        <v>2202</v>
      </c>
      <c r="B2203" s="90" t="s">
        <v>488</v>
      </c>
      <c r="C2203" t="s">
        <v>232</v>
      </c>
      <c r="D2203" s="1" t="s">
        <v>1774</v>
      </c>
      <c r="E2203" s="112">
        <v>2020.06</v>
      </c>
      <c r="F2203" s="112">
        <v>2020.06</v>
      </c>
      <c r="G2203" s="107" t="s">
        <v>2061</v>
      </c>
      <c r="H2203">
        <f>INDEX('GIS-Standards'!$A$2:$A$305,MATCH(B2203,'GIS-Standards'!$B$2:$B$305,0))</f>
        <v>95</v>
      </c>
      <c r="I2203" t="e">
        <f>INDEX('GIS-Standards'!$A$2:$A$305,MATCH(C2203,'GIS-Standards'!$B$2:$B$305,0))</f>
        <v>#N/A</v>
      </c>
      <c r="J2203" t="str">
        <f>INDEX('GIS-Standards'!$O$2:$O$305,MATCH(B2203,'GIS-Standards'!$B$2:$B$305,0))</f>
        <v>ISO/TC 59/SC 13</v>
      </c>
      <c r="K2203" t="e">
        <f>INDEX('GIS-Standards'!$O$2:$O$305,MATCH(C2203,'GIS-Standards'!$B$2:$B$305,0))</f>
        <v>#N/A</v>
      </c>
      <c r="M2203" t="s">
        <v>525</v>
      </c>
      <c r="N2203">
        <f>INDEX('GIS-Standards'!$I$2:$I$305,MATCH(B2203,'GIS-Standards'!$B$2:$B$305,0))</f>
        <v>0</v>
      </c>
      <c r="O2203" t="e">
        <f>INDEX('GIS-Standards'!$I$2:$I$305,MATCH(C2203,'GIS-Standards'!$B$2:$B$305,0))</f>
        <v>#N/A</v>
      </c>
      <c r="P2203" t="e">
        <f>AND(TableRelationships12[[#This Row],[Source Type]]="BIM",TableRelationships12[[#This Row],[Target Type]]="BIM")</f>
        <v>#N/A</v>
      </c>
      <c r="Q2203">
        <f t="shared" si="102"/>
        <v>1</v>
      </c>
      <c r="S2203">
        <f t="shared" si="103"/>
        <v>1</v>
      </c>
      <c r="T2203" s="102" t="str">
        <f>IF(TableRelationships12[[#This Row],[Rank Pedro]]="Low","linkCategory1",IF(TableRelationships12[[#This Row],[Rank Pedro]]="Medium","linkCategory2",IF(TableRelationships12[[#This Row],[Rank Pedro]]="High","linkCategory3","")))</f>
        <v/>
      </c>
      <c r="U2203" s="102" t="str">
        <f>IF(TableRelationships12[[#This Row],[Rank Pedro]]="Low","Pink",IF(TableRelationships12[[#This Row],[Rank Pedro]]="Medium","Purple",IF(TableRelationships12[[#This Row],[Rank Pedro]]="High","Brown","")))</f>
        <v/>
      </c>
      <c r="V2203" s="4">
        <f>MAX(INDEX(Standards!$F$2:$F$296,MATCH(B2203,Standards!$B$2:$B$296,0)),INDEX(Standards!$F$2:$F$296,MATCH(C2203,Standards!$B$2:$B$296,0)))</f>
        <v>44317</v>
      </c>
      <c r="W2203" t="str">
        <f t="shared" si="104"/>
        <v>#2f89d1</v>
      </c>
    </row>
    <row r="2204" spans="1:23" x14ac:dyDescent="0.5">
      <c r="A2204" s="54">
        <v>2203</v>
      </c>
      <c r="B2204" s="90" t="s">
        <v>488</v>
      </c>
      <c r="C2204" t="s">
        <v>2059</v>
      </c>
      <c r="D2204" s="1" t="s">
        <v>1774</v>
      </c>
      <c r="E2204" s="112">
        <v>2025.01</v>
      </c>
      <c r="F2204" s="112">
        <v>2025.01</v>
      </c>
      <c r="G2204" s="107" t="s">
        <v>2061</v>
      </c>
      <c r="H2204">
        <f>INDEX('GIS-Standards'!$A$2:$A$305,MATCH(B2204,'GIS-Standards'!$B$2:$B$305,0))</f>
        <v>95</v>
      </c>
      <c r="I2204" t="e">
        <f>INDEX('GIS-Standards'!$A$2:$A$305,MATCH(C2204,'GIS-Standards'!$B$2:$B$305,0))</f>
        <v>#N/A</v>
      </c>
      <c r="J2204" t="str">
        <f>INDEX('GIS-Standards'!$O$2:$O$305,MATCH(B2204,'GIS-Standards'!$B$2:$B$305,0))</f>
        <v>ISO/TC 59/SC 13</v>
      </c>
      <c r="K2204" t="e">
        <f>INDEX('GIS-Standards'!$O$2:$O$305,MATCH(C2204,'GIS-Standards'!$B$2:$B$305,0))</f>
        <v>#N/A</v>
      </c>
      <c r="M2204" t="s">
        <v>525</v>
      </c>
      <c r="N2204">
        <f>INDEX('GIS-Standards'!$I$2:$I$305,MATCH(B2204,'GIS-Standards'!$B$2:$B$305,0))</f>
        <v>0</v>
      </c>
      <c r="O2204" t="e">
        <f>INDEX('GIS-Standards'!$I$2:$I$305,MATCH(C2204,'GIS-Standards'!$B$2:$B$305,0))</f>
        <v>#N/A</v>
      </c>
      <c r="P2204" t="e">
        <f>AND(TableRelationships12[[#This Row],[Source Type]]="BIM",TableRelationships12[[#This Row],[Target Type]]="BIM")</f>
        <v>#N/A</v>
      </c>
      <c r="Q2204">
        <f t="shared" si="102"/>
        <v>1</v>
      </c>
      <c r="S2204">
        <f t="shared" si="103"/>
        <v>1</v>
      </c>
      <c r="T2204" s="102" t="str">
        <f>IF(TableRelationships12[[#This Row],[Rank Pedro]]="Low","linkCategory1",IF(TableRelationships12[[#This Row],[Rank Pedro]]="Medium","linkCategory2",IF(TableRelationships12[[#This Row],[Rank Pedro]]="High","linkCategory3","")))</f>
        <v/>
      </c>
      <c r="U2204" s="102" t="str">
        <f>IF(TableRelationships12[[#This Row],[Rank Pedro]]="Low","Pink",IF(TableRelationships12[[#This Row],[Rank Pedro]]="Medium","Purple",IF(TableRelationships12[[#This Row],[Rank Pedro]]="High","Brown","")))</f>
        <v/>
      </c>
      <c r="V2204" s="4" t="e">
        <f>MAX(INDEX(Standards!$F$2:$F$296,MATCH(B2204,Standards!$B$2:$B$296,0)),INDEX(Standards!$F$2:$F$296,MATCH(C2204,Standards!$B$2:$B$296,0)))</f>
        <v>#N/A</v>
      </c>
      <c r="W2204" t="str">
        <f t="shared" si="104"/>
        <v>#2f89d1</v>
      </c>
    </row>
    <row r="2205" spans="1:23" x14ac:dyDescent="0.5">
      <c r="A2205" s="54">
        <v>2204</v>
      </c>
      <c r="B2205" s="90" t="s">
        <v>488</v>
      </c>
      <c r="C2205" t="s">
        <v>426</v>
      </c>
      <c r="D2205" s="1" t="s">
        <v>2094</v>
      </c>
      <c r="E2205" s="112">
        <v>2012.12</v>
      </c>
      <c r="F2205" s="112">
        <v>2012.12</v>
      </c>
      <c r="G2205" s="107" t="s">
        <v>2079</v>
      </c>
      <c r="H2205">
        <f>INDEX('GIS-Standards'!$A$2:$A$305,MATCH(B2205,'GIS-Standards'!$B$2:$B$305,0))</f>
        <v>95</v>
      </c>
      <c r="I2205" t="e">
        <f>INDEX('GIS-Standards'!$A$2:$A$305,MATCH(C2205,'GIS-Standards'!$B$2:$B$305,0))</f>
        <v>#N/A</v>
      </c>
      <c r="J2205" t="str">
        <f>INDEX('GIS-Standards'!$O$2:$O$305,MATCH(B2205,'GIS-Standards'!$B$2:$B$305,0))</f>
        <v>ISO/TC 59/SC 13</v>
      </c>
      <c r="K2205" t="e">
        <f>INDEX('GIS-Standards'!$O$2:$O$305,MATCH(C2205,'GIS-Standards'!$B$2:$B$305,0))</f>
        <v>#N/A</v>
      </c>
      <c r="M2205" t="s">
        <v>525</v>
      </c>
      <c r="N2205">
        <f>INDEX('GIS-Standards'!$I$2:$I$305,MATCH(B2205,'GIS-Standards'!$B$2:$B$305,0))</f>
        <v>0</v>
      </c>
      <c r="O2205" t="e">
        <f>INDEX('GIS-Standards'!$I$2:$I$305,MATCH(C2205,'GIS-Standards'!$B$2:$B$305,0))</f>
        <v>#N/A</v>
      </c>
      <c r="P2205" t="e">
        <f>AND(TableRelationships12[[#This Row],[Source Type]]="BIM",TableRelationships12[[#This Row],[Target Type]]="BIM")</f>
        <v>#N/A</v>
      </c>
      <c r="Q2205">
        <f t="shared" si="102"/>
        <v>1</v>
      </c>
      <c r="S2205">
        <f t="shared" si="103"/>
        <v>1</v>
      </c>
      <c r="T2205" s="102" t="str">
        <f>IF(TableRelationships12[[#This Row],[Rank Pedro]]="Low","linkCategory1",IF(TableRelationships12[[#This Row],[Rank Pedro]]="Medium","linkCategory2",IF(TableRelationships12[[#This Row],[Rank Pedro]]="High","linkCategory3","")))</f>
        <v/>
      </c>
      <c r="U2205" s="102" t="str">
        <f>IF(TableRelationships12[[#This Row],[Rank Pedro]]="Low","Pink",IF(TableRelationships12[[#This Row],[Rank Pedro]]="Medium","Purple",IF(TableRelationships12[[#This Row],[Rank Pedro]]="High","Brown","")))</f>
        <v/>
      </c>
      <c r="V2205" s="4">
        <f>MAX(INDEX(Standards!$F$2:$F$296,MATCH(B2205,Standards!$B$2:$B$296,0)),INDEX(Standards!$F$2:$F$296,MATCH(C2205,Standards!$B$2:$B$296,0)))</f>
        <v>44317</v>
      </c>
      <c r="W2205" t="str">
        <f t="shared" si="104"/>
        <v>#2f89d1</v>
      </c>
    </row>
    <row r="2206" spans="1:23" x14ac:dyDescent="0.5">
      <c r="A2206" s="54">
        <v>2205</v>
      </c>
      <c r="B2206" s="90" t="s">
        <v>488</v>
      </c>
      <c r="C2206" t="s">
        <v>447</v>
      </c>
      <c r="D2206" s="1" t="s">
        <v>1857</v>
      </c>
      <c r="E2206" s="112">
        <v>2022.09</v>
      </c>
      <c r="F2206" s="112">
        <v>2022.09</v>
      </c>
      <c r="G2206" s="107" t="s">
        <v>2079</v>
      </c>
      <c r="H2206">
        <f>INDEX('GIS-Standards'!$A$2:$A$305,MATCH(B2206,'GIS-Standards'!$B$2:$B$305,0))</f>
        <v>95</v>
      </c>
      <c r="I2206" t="e">
        <f>INDEX('GIS-Standards'!$A$2:$A$305,MATCH(C2206,'GIS-Standards'!$B$2:$B$305,0))</f>
        <v>#N/A</v>
      </c>
      <c r="J2206" t="str">
        <f>INDEX('GIS-Standards'!$O$2:$O$305,MATCH(B2206,'GIS-Standards'!$B$2:$B$305,0))</f>
        <v>ISO/TC 59/SC 13</v>
      </c>
      <c r="K2206" t="e">
        <f>INDEX('GIS-Standards'!$O$2:$O$305,MATCH(C2206,'GIS-Standards'!$B$2:$B$305,0))</f>
        <v>#N/A</v>
      </c>
      <c r="M2206" t="s">
        <v>525</v>
      </c>
      <c r="N2206">
        <f>INDEX('GIS-Standards'!$I$2:$I$305,MATCH(B2206,'GIS-Standards'!$B$2:$B$305,0))</f>
        <v>0</v>
      </c>
      <c r="O2206" t="e">
        <f>INDEX('GIS-Standards'!$I$2:$I$305,MATCH(C2206,'GIS-Standards'!$B$2:$B$305,0))</f>
        <v>#N/A</v>
      </c>
      <c r="P2206" t="e">
        <f>AND(TableRelationships12[[#This Row],[Source Type]]="BIM",TableRelationships12[[#This Row],[Target Type]]="BIM")</f>
        <v>#N/A</v>
      </c>
      <c r="Q2206">
        <f t="shared" si="102"/>
        <v>1</v>
      </c>
      <c r="S2206">
        <f t="shared" si="103"/>
        <v>1</v>
      </c>
      <c r="T2206" s="102" t="str">
        <f>IF(TableRelationships12[[#This Row],[Rank Pedro]]="Low","linkCategory1",IF(TableRelationships12[[#This Row],[Rank Pedro]]="Medium","linkCategory2",IF(TableRelationships12[[#This Row],[Rank Pedro]]="High","linkCategory3","")))</f>
        <v/>
      </c>
      <c r="U2206" s="102" t="str">
        <f>IF(TableRelationships12[[#This Row],[Rank Pedro]]="Low","Pink",IF(TableRelationships12[[#This Row],[Rank Pedro]]="Medium","Purple",IF(TableRelationships12[[#This Row],[Rank Pedro]]="High","Brown","")))</f>
        <v/>
      </c>
      <c r="V2206" s="4">
        <f>MAX(INDEX(Standards!$F$2:$F$296,MATCH(B2206,Standards!$B$2:$B$296,0)),INDEX(Standards!$F$2:$F$296,MATCH(C2206,Standards!$B$2:$B$296,0)))</f>
        <v>44846</v>
      </c>
      <c r="W2206" t="str">
        <f t="shared" si="104"/>
        <v>#2f89d1</v>
      </c>
    </row>
    <row r="2207" spans="1:23" x14ac:dyDescent="0.5">
      <c r="A2207" s="54">
        <v>2206</v>
      </c>
      <c r="B2207" s="90" t="s">
        <v>1703</v>
      </c>
      <c r="C2207" t="s">
        <v>527</v>
      </c>
      <c r="D2207" s="1"/>
      <c r="E2207" s="112">
        <v>2024.03</v>
      </c>
      <c r="F2207" s="112">
        <v>2024.03</v>
      </c>
      <c r="G2207" s="121" t="s">
        <v>1953</v>
      </c>
      <c r="H2207">
        <f>INDEX('GIS-Standards'!$A$2:$A$305,MATCH(B2207,'GIS-Standards'!$B$2:$B$305,0))</f>
        <v>96</v>
      </c>
      <c r="I2207" t="e">
        <f>INDEX('GIS-Standards'!$A$2:$A$305,MATCH(C2207,'GIS-Standards'!$B$2:$B$305,0))</f>
        <v>#N/A</v>
      </c>
      <c r="J2207" t="str">
        <f>INDEX('GIS-Standards'!$O$2:$O$305,MATCH(B2207,'GIS-Standards'!$B$2:$B$305,0))</f>
        <v>ISO/TC 268</v>
      </c>
      <c r="K2207" t="e">
        <f>INDEX('GIS-Standards'!$O$2:$O$305,MATCH(C2207,'GIS-Standards'!$B$2:$B$305,0))</f>
        <v>#N/A</v>
      </c>
      <c r="M2207" t="s">
        <v>237</v>
      </c>
      <c r="N2207">
        <f>INDEX('GIS-Standards'!$I$2:$I$305,MATCH(B2207,'GIS-Standards'!$B$2:$B$305,0))</f>
        <v>0</v>
      </c>
      <c r="O2207" t="e">
        <f>INDEX('GIS-Standards'!$I$2:$I$305,MATCH(C2207,'GIS-Standards'!$B$2:$B$305,0))</f>
        <v>#N/A</v>
      </c>
      <c r="P2207" t="e">
        <f>AND(TableRelationships12[[#This Row],[Source Type]]="BIM",TableRelationships12[[#This Row],[Target Type]]="BIM")</f>
        <v>#N/A</v>
      </c>
      <c r="Q2207">
        <f t="shared" si="102"/>
        <v>2</v>
      </c>
      <c r="S2207">
        <f t="shared" si="103"/>
        <v>1</v>
      </c>
      <c r="T2207" s="102" t="str">
        <f>IF(TableRelationships12[[#This Row],[Rank Pedro]]="Low","linkCategory1",IF(TableRelationships12[[#This Row],[Rank Pedro]]="Medium","linkCategory2",IF(TableRelationships12[[#This Row],[Rank Pedro]]="High","linkCategory3","")))</f>
        <v/>
      </c>
      <c r="U2207" s="102" t="str">
        <f>IF(TableRelationships12[[#This Row],[Rank Pedro]]="Low","Pink",IF(TableRelationships12[[#This Row],[Rank Pedro]]="Medium","Purple",IF(TableRelationships12[[#This Row],[Rank Pedro]]="High","Brown","")))</f>
        <v/>
      </c>
      <c r="V2207" s="4" t="e">
        <f>MAX(INDEX(Standards!$F$2:$F$296,MATCH(B2207,Standards!$B$2:$B$296,0)),INDEX(Standards!$F$2:$F$296,MATCH(C2207,Standards!$B$2:$B$296,0)))</f>
        <v>#N/A</v>
      </c>
      <c r="W2207">
        <f t="shared" si="104"/>
        <v>1</v>
      </c>
    </row>
    <row r="2208" spans="1:23" x14ac:dyDescent="0.5">
      <c r="A2208" s="54">
        <v>2207</v>
      </c>
      <c r="B2208" s="90" t="s">
        <v>1703</v>
      </c>
      <c r="C2208" t="s">
        <v>1935</v>
      </c>
      <c r="D2208" s="1"/>
      <c r="E2208" s="112">
        <v>2016.07</v>
      </c>
      <c r="F2208" s="112">
        <v>2024.02</v>
      </c>
      <c r="G2208" s="107" t="s">
        <v>2090</v>
      </c>
      <c r="H2208">
        <f>INDEX('GIS-Standards'!$A$2:$A$305,MATCH(B2208,'GIS-Standards'!$B$2:$B$305,0))</f>
        <v>96</v>
      </c>
      <c r="I2208" t="e">
        <f>INDEX('GIS-Standards'!$A$2:$A$305,MATCH(C2208,'GIS-Standards'!$B$2:$B$305,0))</f>
        <v>#N/A</v>
      </c>
      <c r="J2208" t="str">
        <f>INDEX('GIS-Standards'!$O$2:$O$305,MATCH(B2208,'GIS-Standards'!$B$2:$B$305,0))</f>
        <v>ISO/TC 268</v>
      </c>
      <c r="K2208" t="e">
        <f>INDEX('GIS-Standards'!$O$2:$O$305,MATCH(C2208,'GIS-Standards'!$B$2:$B$305,0))</f>
        <v>#N/A</v>
      </c>
      <c r="M2208" t="s">
        <v>525</v>
      </c>
      <c r="N2208">
        <f>INDEX('GIS-Standards'!$I$2:$I$305,MATCH(B2208,'GIS-Standards'!$B$2:$B$305,0))</f>
        <v>0</v>
      </c>
      <c r="O2208" t="e">
        <f>INDEX('GIS-Standards'!$I$2:$I$305,MATCH(C2208,'GIS-Standards'!$B$2:$B$305,0))</f>
        <v>#N/A</v>
      </c>
      <c r="P2208" t="e">
        <f>AND(TableRelationships12[[#This Row],[Source Type]]="BIM",TableRelationships12[[#This Row],[Target Type]]="BIM")</f>
        <v>#N/A</v>
      </c>
      <c r="Q2208">
        <f t="shared" si="102"/>
        <v>1</v>
      </c>
      <c r="S2208">
        <f t="shared" si="103"/>
        <v>1</v>
      </c>
      <c r="T2208" s="102" t="str">
        <f>IF(TableRelationships12[[#This Row],[Rank Pedro]]="Low","linkCategory1",IF(TableRelationships12[[#This Row],[Rank Pedro]]="Medium","linkCategory2",IF(TableRelationships12[[#This Row],[Rank Pedro]]="High","linkCategory3","")))</f>
        <v/>
      </c>
      <c r="U2208" s="102" t="str">
        <f>IF(TableRelationships12[[#This Row],[Rank Pedro]]="Low","Pink",IF(TableRelationships12[[#This Row],[Rank Pedro]]="Medium","Purple",IF(TableRelationships12[[#This Row],[Rank Pedro]]="High","Brown","")))</f>
        <v/>
      </c>
      <c r="V2208" s="4" t="e">
        <f>MAX(INDEX(Standards!$F$2:$F$296,MATCH(B2208,Standards!$B$2:$B$296,0)),INDEX(Standards!$F$2:$F$296,MATCH(C2208,Standards!$B$2:$B$296,0)))</f>
        <v>#N/A</v>
      </c>
      <c r="W2208" t="str">
        <f t="shared" si="104"/>
        <v>#2f89d1</v>
      </c>
    </row>
    <row r="2209" spans="1:23" x14ac:dyDescent="0.5">
      <c r="A2209" s="54">
        <v>2208</v>
      </c>
      <c r="B2209" s="90" t="s">
        <v>1703</v>
      </c>
      <c r="C2209" t="s">
        <v>1937</v>
      </c>
      <c r="D2209" s="1"/>
      <c r="E2209" s="112">
        <v>2018.07</v>
      </c>
      <c r="F2209" s="112">
        <v>2018.07</v>
      </c>
      <c r="G2209" s="107" t="s">
        <v>673</v>
      </c>
      <c r="H2209">
        <f>INDEX('GIS-Standards'!$A$2:$A$305,MATCH(B2209,'GIS-Standards'!$B$2:$B$305,0))</f>
        <v>96</v>
      </c>
      <c r="I2209" t="e">
        <f>INDEX('GIS-Standards'!$A$2:$A$305,MATCH(C2209,'GIS-Standards'!$B$2:$B$305,0))</f>
        <v>#N/A</v>
      </c>
      <c r="J2209" t="str">
        <f>INDEX('GIS-Standards'!$O$2:$O$305,MATCH(B2209,'GIS-Standards'!$B$2:$B$305,0))</f>
        <v>ISO/TC 268</v>
      </c>
      <c r="K2209" t="e">
        <f>INDEX('GIS-Standards'!$O$2:$O$305,MATCH(C2209,'GIS-Standards'!$B$2:$B$305,0))</f>
        <v>#N/A</v>
      </c>
      <c r="M2209" t="s">
        <v>525</v>
      </c>
      <c r="N2209">
        <f>INDEX('GIS-Standards'!$I$2:$I$305,MATCH(B2209,'GIS-Standards'!$B$2:$B$305,0))</f>
        <v>0</v>
      </c>
      <c r="O2209" t="e">
        <f>INDEX('GIS-Standards'!$I$2:$I$305,MATCH(C2209,'GIS-Standards'!$B$2:$B$305,0))</f>
        <v>#N/A</v>
      </c>
      <c r="P2209" t="e">
        <f>AND(TableRelationships12[[#This Row],[Source Type]]="BIM",TableRelationships12[[#This Row],[Target Type]]="BIM")</f>
        <v>#N/A</v>
      </c>
      <c r="Q2209">
        <f t="shared" si="102"/>
        <v>1</v>
      </c>
      <c r="S2209">
        <f t="shared" si="103"/>
        <v>1</v>
      </c>
      <c r="T2209" s="102" t="str">
        <f>IF(TableRelationships12[[#This Row],[Rank Pedro]]="Low","linkCategory1",IF(TableRelationships12[[#This Row],[Rank Pedro]]="Medium","linkCategory2",IF(TableRelationships12[[#This Row],[Rank Pedro]]="High","linkCategory3","")))</f>
        <v/>
      </c>
      <c r="U2209" s="102" t="str">
        <f>IF(TableRelationships12[[#This Row],[Rank Pedro]]="Low","Pink",IF(TableRelationships12[[#This Row],[Rank Pedro]]="Medium","Purple",IF(TableRelationships12[[#This Row],[Rank Pedro]]="High","Brown","")))</f>
        <v/>
      </c>
      <c r="V2209" s="4" t="e">
        <f>MAX(INDEX(Standards!$F$2:$F$296,MATCH(B2209,Standards!$B$2:$B$296,0)),INDEX(Standards!$F$2:$F$296,MATCH(C2209,Standards!$B$2:$B$296,0)))</f>
        <v>#N/A</v>
      </c>
      <c r="W2209" t="str">
        <f t="shared" si="104"/>
        <v>#2f89d1</v>
      </c>
    </row>
    <row r="2210" spans="1:23" x14ac:dyDescent="0.5">
      <c r="A2210" s="54">
        <v>2209</v>
      </c>
      <c r="B2210" s="90" t="s">
        <v>1703</v>
      </c>
      <c r="C2210" t="s">
        <v>1954</v>
      </c>
      <c r="D2210" s="1"/>
      <c r="E2210" s="112">
        <v>2019.12</v>
      </c>
      <c r="F2210" s="112">
        <v>2019.12</v>
      </c>
      <c r="G2210" s="107" t="s">
        <v>673</v>
      </c>
      <c r="H2210">
        <f>INDEX('GIS-Standards'!$A$2:$A$305,MATCH(B2210,'GIS-Standards'!$B$2:$B$305,0))</f>
        <v>96</v>
      </c>
      <c r="I2210" t="e">
        <f>INDEX('GIS-Standards'!$A$2:$A$305,MATCH(C2210,'GIS-Standards'!$B$2:$B$305,0))</f>
        <v>#N/A</v>
      </c>
      <c r="J2210" t="str">
        <f>INDEX('GIS-Standards'!$O$2:$O$305,MATCH(B2210,'GIS-Standards'!$B$2:$B$305,0))</f>
        <v>ISO/TC 268</v>
      </c>
      <c r="K2210" t="e">
        <f>INDEX('GIS-Standards'!$O$2:$O$305,MATCH(C2210,'GIS-Standards'!$B$2:$B$305,0))</f>
        <v>#N/A</v>
      </c>
      <c r="M2210" t="s">
        <v>525</v>
      </c>
      <c r="N2210">
        <f>INDEX('GIS-Standards'!$I$2:$I$305,MATCH(B2210,'GIS-Standards'!$B$2:$B$305,0))</f>
        <v>0</v>
      </c>
      <c r="O2210" t="e">
        <f>INDEX('GIS-Standards'!$I$2:$I$305,MATCH(C2210,'GIS-Standards'!$B$2:$B$305,0))</f>
        <v>#N/A</v>
      </c>
      <c r="P2210" t="e">
        <f>AND(TableRelationships12[[#This Row],[Source Type]]="BIM",TableRelationships12[[#This Row],[Target Type]]="BIM")</f>
        <v>#N/A</v>
      </c>
      <c r="Q2210">
        <f t="shared" si="102"/>
        <v>1</v>
      </c>
      <c r="S2210">
        <f t="shared" si="103"/>
        <v>1</v>
      </c>
      <c r="T2210" s="102" t="str">
        <f>IF(TableRelationships12[[#This Row],[Rank Pedro]]="Low","linkCategory1",IF(TableRelationships12[[#This Row],[Rank Pedro]]="Medium","linkCategory2",IF(TableRelationships12[[#This Row],[Rank Pedro]]="High","linkCategory3","")))</f>
        <v/>
      </c>
      <c r="U2210" s="102" t="str">
        <f>IF(TableRelationships12[[#This Row],[Rank Pedro]]="Low","Pink",IF(TableRelationships12[[#This Row],[Rank Pedro]]="Medium","Purple",IF(TableRelationships12[[#This Row],[Rank Pedro]]="High","Brown","")))</f>
        <v/>
      </c>
      <c r="V2210" s="4" t="e">
        <f>MAX(INDEX(Standards!$F$2:$F$296,MATCH(B2210,Standards!$B$2:$B$296,0)),INDEX(Standards!$F$2:$F$296,MATCH(C2210,Standards!$B$2:$B$296,0)))</f>
        <v>#N/A</v>
      </c>
      <c r="W2210" t="str">
        <f t="shared" si="104"/>
        <v>#2f89d1</v>
      </c>
    </row>
    <row r="2211" spans="1:23" x14ac:dyDescent="0.5">
      <c r="A2211" s="54">
        <v>2210</v>
      </c>
      <c r="B2211" s="90" t="s">
        <v>1703</v>
      </c>
      <c r="C2211" t="s">
        <v>1938</v>
      </c>
      <c r="D2211" s="1"/>
      <c r="E2211" s="112">
        <v>2017.12</v>
      </c>
      <c r="F2211" s="112">
        <v>2024.08</v>
      </c>
      <c r="G2211" s="107" t="s">
        <v>673</v>
      </c>
      <c r="H2211">
        <f>INDEX('GIS-Standards'!$A$2:$A$305,MATCH(B2211,'GIS-Standards'!$B$2:$B$305,0))</f>
        <v>96</v>
      </c>
      <c r="I2211" t="e">
        <f>INDEX('GIS-Standards'!$A$2:$A$305,MATCH(C2211,'GIS-Standards'!$B$2:$B$305,0))</f>
        <v>#N/A</v>
      </c>
      <c r="J2211" t="str">
        <f>INDEX('GIS-Standards'!$O$2:$O$305,MATCH(B2211,'GIS-Standards'!$B$2:$B$305,0))</f>
        <v>ISO/TC 268</v>
      </c>
      <c r="K2211" t="e">
        <f>INDEX('GIS-Standards'!$O$2:$O$305,MATCH(C2211,'GIS-Standards'!$B$2:$B$305,0))</f>
        <v>#N/A</v>
      </c>
      <c r="M2211" t="s">
        <v>525</v>
      </c>
      <c r="N2211">
        <f>INDEX('GIS-Standards'!$I$2:$I$305,MATCH(B2211,'GIS-Standards'!$B$2:$B$305,0))</f>
        <v>0</v>
      </c>
      <c r="O2211" t="e">
        <f>INDEX('GIS-Standards'!$I$2:$I$305,MATCH(C2211,'GIS-Standards'!$B$2:$B$305,0))</f>
        <v>#N/A</v>
      </c>
      <c r="P2211" t="e">
        <f>AND(TableRelationships12[[#This Row],[Source Type]]="BIM",TableRelationships12[[#This Row],[Target Type]]="BIM")</f>
        <v>#N/A</v>
      </c>
      <c r="Q2211">
        <f t="shared" si="102"/>
        <v>1</v>
      </c>
      <c r="S2211">
        <f t="shared" si="103"/>
        <v>1</v>
      </c>
      <c r="T2211" s="102" t="str">
        <f>IF(TableRelationships12[[#This Row],[Rank Pedro]]="Low","linkCategory1",IF(TableRelationships12[[#This Row],[Rank Pedro]]="Medium","linkCategory2",IF(TableRelationships12[[#This Row],[Rank Pedro]]="High","linkCategory3","")))</f>
        <v/>
      </c>
      <c r="U2211" s="102" t="str">
        <f>IF(TableRelationships12[[#This Row],[Rank Pedro]]="Low","Pink",IF(TableRelationships12[[#This Row],[Rank Pedro]]="Medium","Purple",IF(TableRelationships12[[#This Row],[Rank Pedro]]="High","Brown","")))</f>
        <v/>
      </c>
      <c r="V2211" s="4" t="e">
        <f>MAX(INDEX(Standards!$F$2:$F$296,MATCH(B2211,Standards!$B$2:$B$296,0)),INDEX(Standards!$F$2:$F$296,MATCH(C2211,Standards!$B$2:$B$296,0)))</f>
        <v>#N/A</v>
      </c>
      <c r="W2211" t="str">
        <f t="shared" si="104"/>
        <v>#2f89d1</v>
      </c>
    </row>
    <row r="2212" spans="1:23" x14ac:dyDescent="0.5">
      <c r="A2212" s="54">
        <v>2211</v>
      </c>
      <c r="B2212" s="90" t="s">
        <v>1703</v>
      </c>
      <c r="C2212" t="s">
        <v>1921</v>
      </c>
      <c r="D2212" s="1"/>
      <c r="E2212" s="112">
        <v>2019.05</v>
      </c>
      <c r="F2212" s="112">
        <v>2019.05</v>
      </c>
      <c r="G2212" s="107" t="s">
        <v>673</v>
      </c>
      <c r="H2212">
        <f>INDEX('GIS-Standards'!$A$2:$A$305,MATCH(B2212,'GIS-Standards'!$B$2:$B$305,0))</f>
        <v>96</v>
      </c>
      <c r="I2212" t="e">
        <f>INDEX('GIS-Standards'!$A$2:$A$305,MATCH(C2212,'GIS-Standards'!$B$2:$B$305,0))</f>
        <v>#N/A</v>
      </c>
      <c r="J2212" t="str">
        <f>INDEX('GIS-Standards'!$O$2:$O$305,MATCH(B2212,'GIS-Standards'!$B$2:$B$305,0))</f>
        <v>ISO/TC 268</v>
      </c>
      <c r="K2212" t="e">
        <f>INDEX('GIS-Standards'!$O$2:$O$305,MATCH(C2212,'GIS-Standards'!$B$2:$B$305,0))</f>
        <v>#N/A</v>
      </c>
      <c r="M2212" t="s">
        <v>525</v>
      </c>
      <c r="N2212">
        <f>INDEX('GIS-Standards'!$I$2:$I$305,MATCH(B2212,'GIS-Standards'!$B$2:$B$305,0))</f>
        <v>0</v>
      </c>
      <c r="O2212" t="e">
        <f>INDEX('GIS-Standards'!$I$2:$I$305,MATCH(C2212,'GIS-Standards'!$B$2:$B$305,0))</f>
        <v>#N/A</v>
      </c>
      <c r="P2212" t="e">
        <f>AND(TableRelationships12[[#This Row],[Source Type]]="BIM",TableRelationships12[[#This Row],[Target Type]]="BIM")</f>
        <v>#N/A</v>
      </c>
      <c r="Q2212">
        <f t="shared" si="102"/>
        <v>1</v>
      </c>
      <c r="S2212">
        <f t="shared" si="103"/>
        <v>1</v>
      </c>
      <c r="T2212" s="102" t="str">
        <f>IF(TableRelationships12[[#This Row],[Rank Pedro]]="Low","linkCategory1",IF(TableRelationships12[[#This Row],[Rank Pedro]]="Medium","linkCategory2",IF(TableRelationships12[[#This Row],[Rank Pedro]]="High","linkCategory3","")))</f>
        <v/>
      </c>
      <c r="U2212" s="102" t="str">
        <f>IF(TableRelationships12[[#This Row],[Rank Pedro]]="Low","Pink",IF(TableRelationships12[[#This Row],[Rank Pedro]]="Medium","Purple",IF(TableRelationships12[[#This Row],[Rank Pedro]]="High","Brown","")))</f>
        <v/>
      </c>
      <c r="V2212" s="4" t="e">
        <f>MAX(INDEX(Standards!$F$2:$F$296,MATCH(B2212,Standards!$B$2:$B$296,0)),INDEX(Standards!$F$2:$F$296,MATCH(C2212,Standards!$B$2:$B$296,0)))</f>
        <v>#N/A</v>
      </c>
      <c r="W2212" t="str">
        <f t="shared" si="104"/>
        <v>#2f89d1</v>
      </c>
    </row>
    <row r="2213" spans="1:23" x14ac:dyDescent="0.5">
      <c r="A2213" s="54">
        <v>2212</v>
      </c>
      <c r="B2213" s="90" t="s">
        <v>1703</v>
      </c>
      <c r="C2213" t="s">
        <v>1955</v>
      </c>
      <c r="D2213" s="1"/>
      <c r="E2213" s="112">
        <v>2019.01</v>
      </c>
      <c r="F2213" s="112">
        <v>2019.01</v>
      </c>
      <c r="G2213" s="107" t="s">
        <v>1508</v>
      </c>
      <c r="H2213">
        <f>INDEX('GIS-Standards'!$A$2:$A$305,MATCH(B2213,'GIS-Standards'!$B$2:$B$305,0))</f>
        <v>96</v>
      </c>
      <c r="I2213" t="e">
        <f>INDEX('GIS-Standards'!$A$2:$A$305,MATCH(C2213,'GIS-Standards'!$B$2:$B$305,0))</f>
        <v>#N/A</v>
      </c>
      <c r="J2213" t="str">
        <f>INDEX('GIS-Standards'!$O$2:$O$305,MATCH(B2213,'GIS-Standards'!$B$2:$B$305,0))</f>
        <v>ISO/TC 268</v>
      </c>
      <c r="K2213" t="e">
        <f>INDEX('GIS-Standards'!$O$2:$O$305,MATCH(C2213,'GIS-Standards'!$B$2:$B$305,0))</f>
        <v>#N/A</v>
      </c>
      <c r="M2213" t="s">
        <v>525</v>
      </c>
      <c r="N2213">
        <f>INDEX('GIS-Standards'!$I$2:$I$305,MATCH(B2213,'GIS-Standards'!$B$2:$B$305,0))</f>
        <v>0</v>
      </c>
      <c r="O2213" t="e">
        <f>INDEX('GIS-Standards'!$I$2:$I$305,MATCH(C2213,'GIS-Standards'!$B$2:$B$305,0))</f>
        <v>#N/A</v>
      </c>
      <c r="P2213" t="e">
        <f>AND(TableRelationships12[[#This Row],[Source Type]]="BIM",TableRelationships12[[#This Row],[Target Type]]="BIM")</f>
        <v>#N/A</v>
      </c>
      <c r="Q2213">
        <f t="shared" si="102"/>
        <v>1</v>
      </c>
      <c r="S2213">
        <f t="shared" si="103"/>
        <v>1</v>
      </c>
      <c r="T2213" s="102" t="str">
        <f>IF(TableRelationships12[[#This Row],[Rank Pedro]]="Low","linkCategory1",IF(TableRelationships12[[#This Row],[Rank Pedro]]="Medium","linkCategory2",IF(TableRelationships12[[#This Row],[Rank Pedro]]="High","linkCategory3","")))</f>
        <v/>
      </c>
      <c r="U2213" s="102" t="str">
        <f>IF(TableRelationships12[[#This Row],[Rank Pedro]]="Low","Pink",IF(TableRelationships12[[#This Row],[Rank Pedro]]="Medium","Purple",IF(TableRelationships12[[#This Row],[Rank Pedro]]="High","Brown","")))</f>
        <v/>
      </c>
      <c r="V2213" s="4" t="e">
        <f>MAX(INDEX(Standards!$F$2:$F$296,MATCH(B2213,Standards!$B$2:$B$296,0)),INDEX(Standards!$F$2:$F$296,MATCH(C2213,Standards!$B$2:$B$296,0)))</f>
        <v>#N/A</v>
      </c>
      <c r="W2213" t="str">
        <f t="shared" si="104"/>
        <v>#2f89d1</v>
      </c>
    </row>
    <row r="2214" spans="1:23" x14ac:dyDescent="0.5">
      <c r="A2214" s="54">
        <v>2213</v>
      </c>
      <c r="B2214" s="90" t="s">
        <v>1703</v>
      </c>
      <c r="C2214" t="s">
        <v>1956</v>
      </c>
      <c r="D2214" s="1" t="s">
        <v>1676</v>
      </c>
      <c r="E2214" s="112">
        <v>2009.12</v>
      </c>
      <c r="F2214" s="112">
        <v>2016.12</v>
      </c>
      <c r="G2214" s="107" t="s">
        <v>1512</v>
      </c>
      <c r="H2214">
        <f>INDEX('GIS-Standards'!$A$2:$A$305,MATCH(B2214,'GIS-Standards'!$B$2:$B$305,0))</f>
        <v>96</v>
      </c>
      <c r="I2214" t="e">
        <f>INDEX('GIS-Standards'!$A$2:$A$305,MATCH(C2214,'GIS-Standards'!$B$2:$B$305,0))</f>
        <v>#N/A</v>
      </c>
      <c r="J2214" t="str">
        <f>INDEX('GIS-Standards'!$O$2:$O$305,MATCH(B2214,'GIS-Standards'!$B$2:$B$305,0))</f>
        <v>ISO/TC 268</v>
      </c>
      <c r="K2214" t="e">
        <f>INDEX('GIS-Standards'!$O$2:$O$305,MATCH(C2214,'GIS-Standards'!$B$2:$B$305,0))</f>
        <v>#N/A</v>
      </c>
      <c r="M2214" t="s">
        <v>525</v>
      </c>
      <c r="N2214">
        <f>INDEX('GIS-Standards'!$I$2:$I$305,MATCH(B2214,'GIS-Standards'!$B$2:$B$305,0))</f>
        <v>0</v>
      </c>
      <c r="O2214" t="e">
        <f>INDEX('GIS-Standards'!$I$2:$I$305,MATCH(C2214,'GIS-Standards'!$B$2:$B$305,0))</f>
        <v>#N/A</v>
      </c>
      <c r="P2214" t="e">
        <f>AND(TableRelationships12[[#This Row],[Source Type]]="BIM",TableRelationships12[[#This Row],[Target Type]]="BIM")</f>
        <v>#N/A</v>
      </c>
      <c r="Q2214">
        <f t="shared" si="102"/>
        <v>1</v>
      </c>
      <c r="S2214">
        <f t="shared" si="103"/>
        <v>1</v>
      </c>
      <c r="T2214" s="102" t="str">
        <f>IF(TableRelationships12[[#This Row],[Rank Pedro]]="Low","linkCategory1",IF(TableRelationships12[[#This Row],[Rank Pedro]]="Medium","linkCategory2",IF(TableRelationships12[[#This Row],[Rank Pedro]]="High","linkCategory3","")))</f>
        <v/>
      </c>
      <c r="U2214" s="102" t="str">
        <f>IF(TableRelationships12[[#This Row],[Rank Pedro]]="Low","Pink",IF(TableRelationships12[[#This Row],[Rank Pedro]]="Medium","Purple",IF(TableRelationships12[[#This Row],[Rank Pedro]]="High","Brown","")))</f>
        <v/>
      </c>
      <c r="V2214" s="4" t="e">
        <f>MAX(INDEX(Standards!$F$2:$F$296,MATCH(B2214,Standards!$B$2:$B$296,0)),INDEX(Standards!$F$2:$F$296,MATCH(C2214,Standards!$B$2:$B$296,0)))</f>
        <v>#N/A</v>
      </c>
      <c r="W2214" t="str">
        <f t="shared" si="104"/>
        <v>#2f89d1</v>
      </c>
    </row>
    <row r="2215" spans="1:23" x14ac:dyDescent="0.5">
      <c r="A2215" s="54">
        <v>2214</v>
      </c>
      <c r="B2215" s="90" t="s">
        <v>1703</v>
      </c>
      <c r="C2215" t="s">
        <v>72</v>
      </c>
      <c r="D2215" s="1" t="s">
        <v>1676</v>
      </c>
      <c r="E2215" s="112">
        <v>2009.11</v>
      </c>
      <c r="F2215" s="112">
        <v>2018.02</v>
      </c>
      <c r="G2215" s="107" t="s">
        <v>1998</v>
      </c>
      <c r="H2215">
        <f>INDEX('GIS-Standards'!$A$2:$A$305,MATCH(B2215,'GIS-Standards'!$B$2:$B$305,0))</f>
        <v>96</v>
      </c>
      <c r="I2215" t="e">
        <f>INDEX('GIS-Standards'!$A$2:$A$305,MATCH(C2215,'GIS-Standards'!$B$2:$B$305,0))</f>
        <v>#N/A</v>
      </c>
      <c r="J2215" t="str">
        <f>INDEX('GIS-Standards'!$O$2:$O$305,MATCH(B2215,'GIS-Standards'!$B$2:$B$305,0))</f>
        <v>ISO/TC 268</v>
      </c>
      <c r="K2215" t="e">
        <f>INDEX('GIS-Standards'!$O$2:$O$305,MATCH(C2215,'GIS-Standards'!$B$2:$B$305,0))</f>
        <v>#N/A</v>
      </c>
      <c r="M2215" t="s">
        <v>525</v>
      </c>
      <c r="N2215">
        <f>INDEX('GIS-Standards'!$I$2:$I$305,MATCH(B2215,'GIS-Standards'!$B$2:$B$305,0))</f>
        <v>0</v>
      </c>
      <c r="O2215" t="e">
        <f>INDEX('GIS-Standards'!$I$2:$I$305,MATCH(C2215,'GIS-Standards'!$B$2:$B$305,0))</f>
        <v>#N/A</v>
      </c>
      <c r="P2215" t="e">
        <f>AND(TableRelationships12[[#This Row],[Source Type]]="BIM",TableRelationships12[[#This Row],[Target Type]]="BIM")</f>
        <v>#N/A</v>
      </c>
      <c r="Q2215">
        <f t="shared" si="102"/>
        <v>1</v>
      </c>
      <c r="S2215">
        <f t="shared" si="103"/>
        <v>1</v>
      </c>
      <c r="T2215" s="102" t="str">
        <f>IF(TableRelationships12[[#This Row],[Rank Pedro]]="Low","linkCategory1",IF(TableRelationships12[[#This Row],[Rank Pedro]]="Medium","linkCategory2",IF(TableRelationships12[[#This Row],[Rank Pedro]]="High","linkCategory3","")))</f>
        <v/>
      </c>
      <c r="U2215" s="102" t="str">
        <f>IF(TableRelationships12[[#This Row],[Rank Pedro]]="Low","Pink",IF(TableRelationships12[[#This Row],[Rank Pedro]]="Medium","Purple",IF(TableRelationships12[[#This Row],[Rank Pedro]]="High","Brown","")))</f>
        <v/>
      </c>
      <c r="V2215" s="4" t="e">
        <f>MAX(INDEX(Standards!$F$2:$F$296,MATCH(B2215,Standards!$B$2:$B$296,0)),INDEX(Standards!$F$2:$F$296,MATCH(C2215,Standards!$B$2:$B$296,0)))</f>
        <v>#N/A</v>
      </c>
      <c r="W2215" t="str">
        <f t="shared" si="104"/>
        <v>#2f89d1</v>
      </c>
    </row>
    <row r="2216" spans="1:23" x14ac:dyDescent="0.5">
      <c r="A2216" s="54">
        <v>2215</v>
      </c>
      <c r="B2216" s="90" t="s">
        <v>1703</v>
      </c>
      <c r="C2216" t="s">
        <v>1957</v>
      </c>
      <c r="D2216" s="1" t="s">
        <v>1676</v>
      </c>
      <c r="E2216" s="112">
        <v>2017.03</v>
      </c>
      <c r="F2216" s="112">
        <v>2017.03</v>
      </c>
      <c r="G2216" s="107" t="s">
        <v>1998</v>
      </c>
      <c r="H2216">
        <f>INDEX('GIS-Standards'!$A$2:$A$305,MATCH(B2216,'GIS-Standards'!$B$2:$B$305,0))</f>
        <v>96</v>
      </c>
      <c r="I2216" t="e">
        <f>INDEX('GIS-Standards'!$A$2:$A$305,MATCH(C2216,'GIS-Standards'!$B$2:$B$305,0))</f>
        <v>#N/A</v>
      </c>
      <c r="J2216" t="str">
        <f>INDEX('GIS-Standards'!$O$2:$O$305,MATCH(B2216,'GIS-Standards'!$B$2:$B$305,0))</f>
        <v>ISO/TC 268</v>
      </c>
      <c r="K2216" t="e">
        <f>INDEX('GIS-Standards'!$O$2:$O$305,MATCH(C2216,'GIS-Standards'!$B$2:$B$305,0))</f>
        <v>#N/A</v>
      </c>
      <c r="M2216" t="s">
        <v>525</v>
      </c>
      <c r="N2216">
        <f>INDEX('GIS-Standards'!$I$2:$I$305,MATCH(B2216,'GIS-Standards'!$B$2:$B$305,0))</f>
        <v>0</v>
      </c>
      <c r="O2216" t="e">
        <f>INDEX('GIS-Standards'!$I$2:$I$305,MATCH(C2216,'GIS-Standards'!$B$2:$B$305,0))</f>
        <v>#N/A</v>
      </c>
      <c r="P2216" t="e">
        <f>AND(TableRelationships12[[#This Row],[Source Type]]="BIM",TableRelationships12[[#This Row],[Target Type]]="BIM")</f>
        <v>#N/A</v>
      </c>
      <c r="Q2216">
        <f t="shared" si="102"/>
        <v>1</v>
      </c>
      <c r="S2216">
        <f t="shared" si="103"/>
        <v>1</v>
      </c>
      <c r="T2216" s="102" t="str">
        <f>IF(TableRelationships12[[#This Row],[Rank Pedro]]="Low","linkCategory1",IF(TableRelationships12[[#This Row],[Rank Pedro]]="Medium","linkCategory2",IF(TableRelationships12[[#This Row],[Rank Pedro]]="High","linkCategory3","")))</f>
        <v/>
      </c>
      <c r="U2216" s="102" t="str">
        <f>IF(TableRelationships12[[#This Row],[Rank Pedro]]="Low","Pink",IF(TableRelationships12[[#This Row],[Rank Pedro]]="Medium","Purple",IF(TableRelationships12[[#This Row],[Rank Pedro]]="High","Brown","")))</f>
        <v/>
      </c>
      <c r="V2216" s="4" t="e">
        <f>MAX(INDEX(Standards!$F$2:$F$296,MATCH(B2216,Standards!$B$2:$B$296,0)),INDEX(Standards!$F$2:$F$296,MATCH(C2216,Standards!$B$2:$B$296,0)))</f>
        <v>#N/A</v>
      </c>
      <c r="W2216" t="str">
        <f t="shared" si="104"/>
        <v>#2f89d1</v>
      </c>
    </row>
    <row r="2217" spans="1:23" x14ac:dyDescent="0.5">
      <c r="A2217" s="54">
        <v>2216</v>
      </c>
      <c r="B2217" s="90" t="s">
        <v>1703</v>
      </c>
      <c r="C2217" t="s">
        <v>1958</v>
      </c>
      <c r="D2217" s="1"/>
      <c r="E2217" s="112">
        <v>2014.12</v>
      </c>
      <c r="F2217" s="112">
        <v>2014.12</v>
      </c>
      <c r="G2217" s="107" t="s">
        <v>1998</v>
      </c>
      <c r="H2217">
        <f>INDEX('GIS-Standards'!$A$2:$A$305,MATCH(B2217,'GIS-Standards'!$B$2:$B$305,0))</f>
        <v>96</v>
      </c>
      <c r="I2217" t="e">
        <f>INDEX('GIS-Standards'!$A$2:$A$305,MATCH(C2217,'GIS-Standards'!$B$2:$B$305,0))</f>
        <v>#N/A</v>
      </c>
      <c r="J2217" t="str">
        <f>INDEX('GIS-Standards'!$O$2:$O$305,MATCH(B2217,'GIS-Standards'!$B$2:$B$305,0))</f>
        <v>ISO/TC 268</v>
      </c>
      <c r="K2217" t="e">
        <f>INDEX('GIS-Standards'!$O$2:$O$305,MATCH(C2217,'GIS-Standards'!$B$2:$B$305,0))</f>
        <v>#N/A</v>
      </c>
      <c r="M2217" t="s">
        <v>525</v>
      </c>
      <c r="N2217">
        <f>INDEX('GIS-Standards'!$I$2:$I$305,MATCH(B2217,'GIS-Standards'!$B$2:$B$305,0))</f>
        <v>0</v>
      </c>
      <c r="O2217" t="e">
        <f>INDEX('GIS-Standards'!$I$2:$I$305,MATCH(C2217,'GIS-Standards'!$B$2:$B$305,0))</f>
        <v>#N/A</v>
      </c>
      <c r="P2217" t="e">
        <f>AND(TableRelationships12[[#This Row],[Source Type]]="BIM",TableRelationships12[[#This Row],[Target Type]]="BIM")</f>
        <v>#N/A</v>
      </c>
      <c r="Q2217">
        <f t="shared" si="102"/>
        <v>1</v>
      </c>
      <c r="S2217">
        <f t="shared" si="103"/>
        <v>1</v>
      </c>
      <c r="T2217" s="102" t="str">
        <f>IF(TableRelationships12[[#This Row],[Rank Pedro]]="Low","linkCategory1",IF(TableRelationships12[[#This Row],[Rank Pedro]]="Medium","linkCategory2",IF(TableRelationships12[[#This Row],[Rank Pedro]]="High","linkCategory3","")))</f>
        <v/>
      </c>
      <c r="U2217" s="102" t="str">
        <f>IF(TableRelationships12[[#This Row],[Rank Pedro]]="Low","Pink",IF(TableRelationships12[[#This Row],[Rank Pedro]]="Medium","Purple",IF(TableRelationships12[[#This Row],[Rank Pedro]]="High","Brown","")))</f>
        <v/>
      </c>
      <c r="V2217" s="4" t="e">
        <f>MAX(INDEX(Standards!$F$2:$F$296,MATCH(B2217,Standards!$B$2:$B$296,0)),INDEX(Standards!$F$2:$F$296,MATCH(C2217,Standards!$B$2:$B$296,0)))</f>
        <v>#N/A</v>
      </c>
      <c r="W2217" t="str">
        <f t="shared" si="104"/>
        <v>#2f89d1</v>
      </c>
    </row>
    <row r="2218" spans="1:23" x14ac:dyDescent="0.5">
      <c r="A2218" s="54">
        <v>2217</v>
      </c>
      <c r="B2218" s="90" t="s">
        <v>1703</v>
      </c>
      <c r="C2218" t="s">
        <v>1922</v>
      </c>
      <c r="D2218" s="1"/>
      <c r="E2218" s="112">
        <v>2019.12</v>
      </c>
      <c r="F2218" s="112">
        <v>2019.12</v>
      </c>
      <c r="G2218" s="107" t="s">
        <v>673</v>
      </c>
      <c r="H2218">
        <f>INDEX('GIS-Standards'!$A$2:$A$305,MATCH(B2218,'GIS-Standards'!$B$2:$B$305,0))</f>
        <v>96</v>
      </c>
      <c r="I2218" t="e">
        <f>INDEX('GIS-Standards'!$A$2:$A$305,MATCH(C2218,'GIS-Standards'!$B$2:$B$305,0))</f>
        <v>#N/A</v>
      </c>
      <c r="J2218" t="str">
        <f>INDEX('GIS-Standards'!$O$2:$O$305,MATCH(B2218,'GIS-Standards'!$B$2:$B$305,0))</f>
        <v>ISO/TC 268</v>
      </c>
      <c r="K2218" t="e">
        <f>INDEX('GIS-Standards'!$O$2:$O$305,MATCH(C2218,'GIS-Standards'!$B$2:$B$305,0))</f>
        <v>#N/A</v>
      </c>
      <c r="M2218" t="s">
        <v>525</v>
      </c>
      <c r="N2218">
        <f>INDEX('GIS-Standards'!$I$2:$I$305,MATCH(B2218,'GIS-Standards'!$B$2:$B$305,0))</f>
        <v>0</v>
      </c>
      <c r="O2218" t="e">
        <f>INDEX('GIS-Standards'!$I$2:$I$305,MATCH(C2218,'GIS-Standards'!$B$2:$B$305,0))</f>
        <v>#N/A</v>
      </c>
      <c r="P2218" t="e">
        <f>AND(TableRelationships12[[#This Row],[Source Type]]="BIM",TableRelationships12[[#This Row],[Target Type]]="BIM")</f>
        <v>#N/A</v>
      </c>
      <c r="Q2218">
        <f t="shared" si="102"/>
        <v>1</v>
      </c>
      <c r="S2218">
        <f t="shared" si="103"/>
        <v>1</v>
      </c>
      <c r="T2218" s="102" t="str">
        <f>IF(TableRelationships12[[#This Row],[Rank Pedro]]="Low","linkCategory1",IF(TableRelationships12[[#This Row],[Rank Pedro]]="Medium","linkCategory2",IF(TableRelationships12[[#This Row],[Rank Pedro]]="High","linkCategory3","")))</f>
        <v/>
      </c>
      <c r="U2218" s="102" t="str">
        <f>IF(TableRelationships12[[#This Row],[Rank Pedro]]="Low","Pink",IF(TableRelationships12[[#This Row],[Rank Pedro]]="Medium","Purple",IF(TableRelationships12[[#This Row],[Rank Pedro]]="High","Brown","")))</f>
        <v/>
      </c>
      <c r="V2218" s="4" t="e">
        <f>MAX(INDEX(Standards!$F$2:$F$296,MATCH(B2218,Standards!$B$2:$B$296,0)),INDEX(Standards!$F$2:$F$296,MATCH(C2218,Standards!$B$2:$B$296,0)))</f>
        <v>#N/A</v>
      </c>
      <c r="W2218" t="str">
        <f t="shared" si="104"/>
        <v>#2f89d1</v>
      </c>
    </row>
    <row r="2219" spans="1:23" x14ac:dyDescent="0.5">
      <c r="A2219" s="54">
        <v>2218</v>
      </c>
      <c r="B2219" s="90" t="s">
        <v>1703</v>
      </c>
      <c r="C2219" t="s">
        <v>1959</v>
      </c>
      <c r="D2219" s="1"/>
      <c r="E2219" s="112">
        <v>2018.1</v>
      </c>
      <c r="F2219" s="112">
        <v>2018.1</v>
      </c>
      <c r="G2219" s="107" t="s">
        <v>1998</v>
      </c>
      <c r="H2219">
        <f>INDEX('GIS-Standards'!$A$2:$A$305,MATCH(B2219,'GIS-Standards'!$B$2:$B$305,0))</f>
        <v>96</v>
      </c>
      <c r="I2219" t="e">
        <f>INDEX('GIS-Standards'!$A$2:$A$305,MATCH(C2219,'GIS-Standards'!$B$2:$B$305,0))</f>
        <v>#N/A</v>
      </c>
      <c r="J2219" t="str">
        <f>INDEX('GIS-Standards'!$O$2:$O$305,MATCH(B2219,'GIS-Standards'!$B$2:$B$305,0))</f>
        <v>ISO/TC 268</v>
      </c>
      <c r="K2219" t="e">
        <f>INDEX('GIS-Standards'!$O$2:$O$305,MATCH(C2219,'GIS-Standards'!$B$2:$B$305,0))</f>
        <v>#N/A</v>
      </c>
      <c r="M2219" t="s">
        <v>525</v>
      </c>
      <c r="N2219">
        <f>INDEX('GIS-Standards'!$I$2:$I$305,MATCH(B2219,'GIS-Standards'!$B$2:$B$305,0))</f>
        <v>0</v>
      </c>
      <c r="O2219" t="e">
        <f>INDEX('GIS-Standards'!$I$2:$I$305,MATCH(C2219,'GIS-Standards'!$B$2:$B$305,0))</f>
        <v>#N/A</v>
      </c>
      <c r="P2219" t="e">
        <f>AND(TableRelationships12[[#This Row],[Source Type]]="BIM",TableRelationships12[[#This Row],[Target Type]]="BIM")</f>
        <v>#N/A</v>
      </c>
      <c r="Q2219">
        <f t="shared" si="102"/>
        <v>1</v>
      </c>
      <c r="S2219">
        <f t="shared" si="103"/>
        <v>1</v>
      </c>
      <c r="T2219" s="102" t="str">
        <f>IF(TableRelationships12[[#This Row],[Rank Pedro]]="Low","linkCategory1",IF(TableRelationships12[[#This Row],[Rank Pedro]]="Medium","linkCategory2",IF(TableRelationships12[[#This Row],[Rank Pedro]]="High","linkCategory3","")))</f>
        <v/>
      </c>
      <c r="U2219" s="102" t="str">
        <f>IF(TableRelationships12[[#This Row],[Rank Pedro]]="Low","Pink",IF(TableRelationships12[[#This Row],[Rank Pedro]]="Medium","Purple",IF(TableRelationships12[[#This Row],[Rank Pedro]]="High","Brown","")))</f>
        <v/>
      </c>
      <c r="V2219" s="4" t="e">
        <f>MAX(INDEX(Standards!$F$2:$F$296,MATCH(B2219,Standards!$B$2:$B$296,0)),INDEX(Standards!$F$2:$F$296,MATCH(C2219,Standards!$B$2:$B$296,0)))</f>
        <v>#N/A</v>
      </c>
      <c r="W2219" t="str">
        <f t="shared" si="104"/>
        <v>#2f89d1</v>
      </c>
    </row>
    <row r="2220" spans="1:23" x14ac:dyDescent="0.5">
      <c r="A2220" s="54">
        <v>2219</v>
      </c>
      <c r="B2220" s="90" t="s">
        <v>1703</v>
      </c>
      <c r="C2220" t="s">
        <v>1960</v>
      </c>
      <c r="D2220" s="1"/>
      <c r="E2220" s="112">
        <v>2011.11</v>
      </c>
      <c r="F2220" s="112">
        <v>2018.11</v>
      </c>
      <c r="G2220" s="107" t="s">
        <v>1998</v>
      </c>
      <c r="H2220">
        <f>INDEX('GIS-Standards'!$A$2:$A$305,MATCH(B2220,'GIS-Standards'!$B$2:$B$305,0))</f>
        <v>96</v>
      </c>
      <c r="I2220" t="e">
        <f>INDEX('GIS-Standards'!$A$2:$A$305,MATCH(C2220,'GIS-Standards'!$B$2:$B$305,0))</f>
        <v>#N/A</v>
      </c>
      <c r="J2220" t="str">
        <f>INDEX('GIS-Standards'!$O$2:$O$305,MATCH(B2220,'GIS-Standards'!$B$2:$B$305,0))</f>
        <v>ISO/TC 268</v>
      </c>
      <c r="K2220" t="e">
        <f>INDEX('GIS-Standards'!$O$2:$O$305,MATCH(C2220,'GIS-Standards'!$B$2:$B$305,0))</f>
        <v>#N/A</v>
      </c>
      <c r="M2220" t="s">
        <v>525</v>
      </c>
      <c r="N2220">
        <f>INDEX('GIS-Standards'!$I$2:$I$305,MATCH(B2220,'GIS-Standards'!$B$2:$B$305,0))</f>
        <v>0</v>
      </c>
      <c r="O2220" t="e">
        <f>INDEX('GIS-Standards'!$I$2:$I$305,MATCH(C2220,'GIS-Standards'!$B$2:$B$305,0))</f>
        <v>#N/A</v>
      </c>
      <c r="P2220" t="e">
        <f>AND(TableRelationships12[[#This Row],[Source Type]]="BIM",TableRelationships12[[#This Row],[Target Type]]="BIM")</f>
        <v>#N/A</v>
      </c>
      <c r="Q2220">
        <f t="shared" si="102"/>
        <v>1</v>
      </c>
      <c r="S2220">
        <f t="shared" si="103"/>
        <v>1</v>
      </c>
      <c r="T2220" s="102" t="str">
        <f>IF(TableRelationships12[[#This Row],[Rank Pedro]]="Low","linkCategory1",IF(TableRelationships12[[#This Row],[Rank Pedro]]="Medium","linkCategory2",IF(TableRelationships12[[#This Row],[Rank Pedro]]="High","linkCategory3","")))</f>
        <v/>
      </c>
      <c r="U2220" s="102" t="str">
        <f>IF(TableRelationships12[[#This Row],[Rank Pedro]]="Low","Pink",IF(TableRelationships12[[#This Row],[Rank Pedro]]="Medium","Purple",IF(TableRelationships12[[#This Row],[Rank Pedro]]="High","Brown","")))</f>
        <v/>
      </c>
      <c r="V2220" s="4" t="e">
        <f>MAX(INDEX(Standards!$F$2:$F$296,MATCH(B2220,Standards!$B$2:$B$296,0)),INDEX(Standards!$F$2:$F$296,MATCH(C2220,Standards!$B$2:$B$296,0)))</f>
        <v>#N/A</v>
      </c>
      <c r="W2220" t="str">
        <f t="shared" si="104"/>
        <v>#2f89d1</v>
      </c>
    </row>
    <row r="2221" spans="1:23" x14ac:dyDescent="0.5">
      <c r="A2221" s="54">
        <v>2220</v>
      </c>
      <c r="B2221" s="90" t="s">
        <v>1703</v>
      </c>
      <c r="C2221" t="s">
        <v>2102</v>
      </c>
      <c r="D2221" s="1" t="s">
        <v>1961</v>
      </c>
      <c r="E2221" s="112">
        <v>2018.1</v>
      </c>
      <c r="F2221" s="112">
        <v>2024.1</v>
      </c>
      <c r="G2221" s="107" t="s">
        <v>1998</v>
      </c>
      <c r="H2221">
        <f>INDEX('GIS-Standards'!$A$2:$A$305,MATCH(B2221,'GIS-Standards'!$B$2:$B$305,0))</f>
        <v>96</v>
      </c>
      <c r="I2221" t="e">
        <f>INDEX('GIS-Standards'!$A$2:$A$305,MATCH(C2221,'GIS-Standards'!$B$2:$B$305,0))</f>
        <v>#N/A</v>
      </c>
      <c r="J2221" t="str">
        <f>INDEX('GIS-Standards'!$O$2:$O$305,MATCH(B2221,'GIS-Standards'!$B$2:$B$305,0))</f>
        <v>ISO/TC 268</v>
      </c>
      <c r="K2221" t="e">
        <f>INDEX('GIS-Standards'!$O$2:$O$305,MATCH(C2221,'GIS-Standards'!$B$2:$B$305,0))</f>
        <v>#N/A</v>
      </c>
      <c r="M2221" t="s">
        <v>525</v>
      </c>
      <c r="N2221">
        <f>INDEX('GIS-Standards'!$I$2:$I$305,MATCH(B2221,'GIS-Standards'!$B$2:$B$305,0))</f>
        <v>0</v>
      </c>
      <c r="O2221" t="e">
        <f>INDEX('GIS-Standards'!$I$2:$I$305,MATCH(C2221,'GIS-Standards'!$B$2:$B$305,0))</f>
        <v>#N/A</v>
      </c>
      <c r="P2221" t="e">
        <f>AND(TableRelationships12[[#This Row],[Source Type]]="BIM",TableRelationships12[[#This Row],[Target Type]]="BIM")</f>
        <v>#N/A</v>
      </c>
      <c r="Q2221">
        <f t="shared" si="102"/>
        <v>1</v>
      </c>
      <c r="S2221">
        <f t="shared" si="103"/>
        <v>1</v>
      </c>
      <c r="T2221" s="102" t="str">
        <f>IF(TableRelationships12[[#This Row],[Rank Pedro]]="Low","linkCategory1",IF(TableRelationships12[[#This Row],[Rank Pedro]]="Medium","linkCategory2",IF(TableRelationships12[[#This Row],[Rank Pedro]]="High","linkCategory3","")))</f>
        <v/>
      </c>
      <c r="U2221" s="102" t="str">
        <f>IF(TableRelationships12[[#This Row],[Rank Pedro]]="Low","Pink",IF(TableRelationships12[[#This Row],[Rank Pedro]]="Medium","Purple",IF(TableRelationships12[[#This Row],[Rank Pedro]]="High","Brown","")))</f>
        <v/>
      </c>
      <c r="V2221" s="4" t="e">
        <f>MAX(INDEX(Standards!$F$2:$F$296,MATCH(B2221,Standards!$B$2:$B$296,0)),INDEX(Standards!$F$2:$F$296,MATCH(C2221,Standards!$B$2:$B$296,0)))</f>
        <v>#N/A</v>
      </c>
      <c r="W2221" t="str">
        <f t="shared" si="104"/>
        <v>#2f89d1</v>
      </c>
    </row>
    <row r="2222" spans="1:23" x14ac:dyDescent="0.5">
      <c r="A2222" s="54">
        <v>2221</v>
      </c>
      <c r="B2222" s="90" t="s">
        <v>1703</v>
      </c>
      <c r="C2222" t="s">
        <v>1962</v>
      </c>
      <c r="D2222" s="1"/>
      <c r="E2222" s="112">
        <v>2015.09</v>
      </c>
      <c r="F2222" s="112">
        <v>2015.09</v>
      </c>
      <c r="G2222" s="107" t="s">
        <v>1998</v>
      </c>
      <c r="H2222">
        <f>INDEX('GIS-Standards'!$A$2:$A$305,MATCH(B2222,'GIS-Standards'!$B$2:$B$305,0))</f>
        <v>96</v>
      </c>
      <c r="I2222" t="e">
        <f>INDEX('GIS-Standards'!$A$2:$A$305,MATCH(C2222,'GIS-Standards'!$B$2:$B$305,0))</f>
        <v>#N/A</v>
      </c>
      <c r="J2222" t="str">
        <f>INDEX('GIS-Standards'!$O$2:$O$305,MATCH(B2222,'GIS-Standards'!$B$2:$B$305,0))</f>
        <v>ISO/TC 268</v>
      </c>
      <c r="K2222" t="e">
        <f>INDEX('GIS-Standards'!$O$2:$O$305,MATCH(C2222,'GIS-Standards'!$B$2:$B$305,0))</f>
        <v>#N/A</v>
      </c>
      <c r="M2222" t="s">
        <v>525</v>
      </c>
      <c r="N2222">
        <f>INDEX('GIS-Standards'!$I$2:$I$305,MATCH(B2222,'GIS-Standards'!$B$2:$B$305,0))</f>
        <v>0</v>
      </c>
      <c r="O2222" t="e">
        <f>INDEX('GIS-Standards'!$I$2:$I$305,MATCH(C2222,'GIS-Standards'!$B$2:$B$305,0))</f>
        <v>#N/A</v>
      </c>
      <c r="P2222" t="e">
        <f>AND(TableRelationships12[[#This Row],[Source Type]]="BIM",TableRelationships12[[#This Row],[Target Type]]="BIM")</f>
        <v>#N/A</v>
      </c>
      <c r="Q2222">
        <f t="shared" si="102"/>
        <v>1</v>
      </c>
      <c r="S2222">
        <f t="shared" si="103"/>
        <v>1</v>
      </c>
      <c r="T2222" s="102" t="str">
        <f>IF(TableRelationships12[[#This Row],[Rank Pedro]]="Low","linkCategory1",IF(TableRelationships12[[#This Row],[Rank Pedro]]="Medium","linkCategory2",IF(TableRelationships12[[#This Row],[Rank Pedro]]="High","linkCategory3","")))</f>
        <v/>
      </c>
      <c r="U2222" s="102" t="str">
        <f>IF(TableRelationships12[[#This Row],[Rank Pedro]]="Low","Pink",IF(TableRelationships12[[#This Row],[Rank Pedro]]="Medium","Purple",IF(TableRelationships12[[#This Row],[Rank Pedro]]="High","Brown","")))</f>
        <v/>
      </c>
      <c r="V2222" s="4" t="e">
        <f>MAX(INDEX(Standards!$F$2:$F$296,MATCH(B2222,Standards!$B$2:$B$296,0)),INDEX(Standards!$F$2:$F$296,MATCH(C2222,Standards!$B$2:$B$296,0)))</f>
        <v>#N/A</v>
      </c>
      <c r="W2222" t="str">
        <f t="shared" si="104"/>
        <v>#2f89d1</v>
      </c>
    </row>
    <row r="2223" spans="1:23" x14ac:dyDescent="0.5">
      <c r="A2223" s="54">
        <v>2222</v>
      </c>
      <c r="B2223" s="90" t="s">
        <v>1703</v>
      </c>
      <c r="C2223" t="s">
        <v>1963</v>
      </c>
      <c r="D2223" s="1"/>
      <c r="E2223" s="112">
        <v>2014.03</v>
      </c>
      <c r="F2223" s="112">
        <v>2019.11</v>
      </c>
      <c r="G2223" s="107" t="s">
        <v>2077</v>
      </c>
      <c r="H2223">
        <f>INDEX('GIS-Standards'!$A$2:$A$305,MATCH(B2223,'GIS-Standards'!$B$2:$B$305,0))</f>
        <v>96</v>
      </c>
      <c r="I2223" t="e">
        <f>INDEX('GIS-Standards'!$A$2:$A$305,MATCH(C2223,'GIS-Standards'!$B$2:$B$305,0))</f>
        <v>#N/A</v>
      </c>
      <c r="J2223" t="str">
        <f>INDEX('GIS-Standards'!$O$2:$O$305,MATCH(B2223,'GIS-Standards'!$B$2:$B$305,0))</f>
        <v>ISO/TC 268</v>
      </c>
      <c r="K2223" t="e">
        <f>INDEX('GIS-Standards'!$O$2:$O$305,MATCH(C2223,'GIS-Standards'!$B$2:$B$305,0))</f>
        <v>#N/A</v>
      </c>
      <c r="M2223" t="s">
        <v>525</v>
      </c>
      <c r="N2223">
        <f>INDEX('GIS-Standards'!$I$2:$I$305,MATCH(B2223,'GIS-Standards'!$B$2:$B$305,0))</f>
        <v>0</v>
      </c>
      <c r="O2223" t="e">
        <f>INDEX('GIS-Standards'!$I$2:$I$305,MATCH(C2223,'GIS-Standards'!$B$2:$B$305,0))</f>
        <v>#N/A</v>
      </c>
      <c r="P2223" t="e">
        <f>AND(TableRelationships12[[#This Row],[Source Type]]="BIM",TableRelationships12[[#This Row],[Target Type]]="BIM")</f>
        <v>#N/A</v>
      </c>
      <c r="Q2223">
        <f t="shared" si="102"/>
        <v>1</v>
      </c>
      <c r="S2223">
        <f t="shared" si="103"/>
        <v>1</v>
      </c>
      <c r="T2223" s="102" t="str">
        <f>IF(TableRelationships12[[#This Row],[Rank Pedro]]="Low","linkCategory1",IF(TableRelationships12[[#This Row],[Rank Pedro]]="Medium","linkCategory2",IF(TableRelationships12[[#This Row],[Rank Pedro]]="High","linkCategory3","")))</f>
        <v/>
      </c>
      <c r="U2223" s="102" t="str">
        <f>IF(TableRelationships12[[#This Row],[Rank Pedro]]="Low","Pink",IF(TableRelationships12[[#This Row],[Rank Pedro]]="Medium","Purple",IF(TableRelationships12[[#This Row],[Rank Pedro]]="High","Brown","")))</f>
        <v/>
      </c>
      <c r="V2223" s="4" t="e">
        <f>MAX(INDEX(Standards!$F$2:$F$296,MATCH(B2223,Standards!$B$2:$B$296,0)),INDEX(Standards!$F$2:$F$296,MATCH(C2223,Standards!$B$2:$B$296,0)))</f>
        <v>#N/A</v>
      </c>
      <c r="W2223" t="str">
        <f t="shared" si="104"/>
        <v>#2f89d1</v>
      </c>
    </row>
    <row r="2224" spans="1:23" x14ac:dyDescent="0.5">
      <c r="A2224" s="54">
        <v>2223</v>
      </c>
      <c r="B2224" s="90" t="s">
        <v>1703</v>
      </c>
      <c r="C2224" t="s">
        <v>1964</v>
      </c>
      <c r="D2224" s="1"/>
      <c r="E2224" s="112">
        <v>2018.1</v>
      </c>
      <c r="F2224" s="112">
        <v>2022.11</v>
      </c>
      <c r="G2224" s="107" t="s">
        <v>1998</v>
      </c>
      <c r="H2224">
        <f>INDEX('GIS-Standards'!$A$2:$A$305,MATCH(B2224,'GIS-Standards'!$B$2:$B$305,0))</f>
        <v>96</v>
      </c>
      <c r="I2224" t="e">
        <f>INDEX('GIS-Standards'!$A$2:$A$305,MATCH(C2224,'GIS-Standards'!$B$2:$B$305,0))</f>
        <v>#N/A</v>
      </c>
      <c r="J2224" t="str">
        <f>INDEX('GIS-Standards'!$O$2:$O$305,MATCH(B2224,'GIS-Standards'!$B$2:$B$305,0))</f>
        <v>ISO/TC 268</v>
      </c>
      <c r="K2224" t="e">
        <f>INDEX('GIS-Standards'!$O$2:$O$305,MATCH(C2224,'GIS-Standards'!$B$2:$B$305,0))</f>
        <v>#N/A</v>
      </c>
      <c r="M2224" t="s">
        <v>525</v>
      </c>
      <c r="N2224">
        <f>INDEX('GIS-Standards'!$I$2:$I$305,MATCH(B2224,'GIS-Standards'!$B$2:$B$305,0))</f>
        <v>0</v>
      </c>
      <c r="O2224" t="e">
        <f>INDEX('GIS-Standards'!$I$2:$I$305,MATCH(C2224,'GIS-Standards'!$B$2:$B$305,0))</f>
        <v>#N/A</v>
      </c>
      <c r="P2224" t="e">
        <f>AND(TableRelationships12[[#This Row],[Source Type]]="BIM",TableRelationships12[[#This Row],[Target Type]]="BIM")</f>
        <v>#N/A</v>
      </c>
      <c r="Q2224">
        <f t="shared" si="102"/>
        <v>1</v>
      </c>
      <c r="S2224">
        <f t="shared" si="103"/>
        <v>1</v>
      </c>
      <c r="T2224" s="102" t="str">
        <f>IF(TableRelationships12[[#This Row],[Rank Pedro]]="Low","linkCategory1",IF(TableRelationships12[[#This Row],[Rank Pedro]]="Medium","linkCategory2",IF(TableRelationships12[[#This Row],[Rank Pedro]]="High","linkCategory3","")))</f>
        <v/>
      </c>
      <c r="U2224" s="102" t="str">
        <f>IF(TableRelationships12[[#This Row],[Rank Pedro]]="Low","Pink",IF(TableRelationships12[[#This Row],[Rank Pedro]]="Medium","Purple",IF(TableRelationships12[[#This Row],[Rank Pedro]]="High","Brown","")))</f>
        <v/>
      </c>
      <c r="V2224" s="4" t="e">
        <f>MAX(INDEX(Standards!$F$2:$F$296,MATCH(B2224,Standards!$B$2:$B$296,0)),INDEX(Standards!$F$2:$F$296,MATCH(C2224,Standards!$B$2:$B$296,0)))</f>
        <v>#N/A</v>
      </c>
      <c r="W2224" t="str">
        <f t="shared" si="104"/>
        <v>#2f89d1</v>
      </c>
    </row>
    <row r="2225" spans="1:23" x14ac:dyDescent="0.5">
      <c r="A2225" s="54">
        <v>2224</v>
      </c>
      <c r="B2225" s="90" t="s">
        <v>1703</v>
      </c>
      <c r="C2225" t="s">
        <v>1965</v>
      </c>
      <c r="D2225" s="1"/>
      <c r="E2225" s="112">
        <v>2017.04</v>
      </c>
      <c r="F2225" s="112">
        <v>2017.04</v>
      </c>
      <c r="G2225" s="107" t="s">
        <v>1998</v>
      </c>
      <c r="H2225">
        <f>INDEX('GIS-Standards'!$A$2:$A$305,MATCH(B2225,'GIS-Standards'!$B$2:$B$305,0))</f>
        <v>96</v>
      </c>
      <c r="I2225" t="e">
        <f>INDEX('GIS-Standards'!$A$2:$A$305,MATCH(C2225,'GIS-Standards'!$B$2:$B$305,0))</f>
        <v>#N/A</v>
      </c>
      <c r="J2225" t="str">
        <f>INDEX('GIS-Standards'!$O$2:$O$305,MATCH(B2225,'GIS-Standards'!$B$2:$B$305,0))</f>
        <v>ISO/TC 268</v>
      </c>
      <c r="K2225" t="e">
        <f>INDEX('GIS-Standards'!$O$2:$O$305,MATCH(C2225,'GIS-Standards'!$B$2:$B$305,0))</f>
        <v>#N/A</v>
      </c>
      <c r="M2225" t="s">
        <v>525</v>
      </c>
      <c r="N2225">
        <f>INDEX('GIS-Standards'!$I$2:$I$305,MATCH(B2225,'GIS-Standards'!$B$2:$B$305,0))</f>
        <v>0</v>
      </c>
      <c r="O2225" t="e">
        <f>INDEX('GIS-Standards'!$I$2:$I$305,MATCH(C2225,'GIS-Standards'!$B$2:$B$305,0))</f>
        <v>#N/A</v>
      </c>
      <c r="P2225" t="e">
        <f>AND(TableRelationships12[[#This Row],[Source Type]]="BIM",TableRelationships12[[#This Row],[Target Type]]="BIM")</f>
        <v>#N/A</v>
      </c>
      <c r="Q2225">
        <f t="shared" si="102"/>
        <v>1</v>
      </c>
      <c r="S2225">
        <f t="shared" si="103"/>
        <v>1</v>
      </c>
      <c r="T2225" s="102" t="str">
        <f>IF(TableRelationships12[[#This Row],[Rank Pedro]]="Low","linkCategory1",IF(TableRelationships12[[#This Row],[Rank Pedro]]="Medium","linkCategory2",IF(TableRelationships12[[#This Row],[Rank Pedro]]="High","linkCategory3","")))</f>
        <v/>
      </c>
      <c r="U2225" s="102" t="str">
        <f>IF(TableRelationships12[[#This Row],[Rank Pedro]]="Low","Pink",IF(TableRelationships12[[#This Row],[Rank Pedro]]="Medium","Purple",IF(TableRelationships12[[#This Row],[Rank Pedro]]="High","Brown","")))</f>
        <v/>
      </c>
      <c r="V2225" s="4" t="e">
        <f>MAX(INDEX(Standards!$F$2:$F$296,MATCH(B2225,Standards!$B$2:$B$296,0)),INDEX(Standards!$F$2:$F$296,MATCH(C2225,Standards!$B$2:$B$296,0)))</f>
        <v>#N/A</v>
      </c>
      <c r="W2225" t="str">
        <f t="shared" si="104"/>
        <v>#2f89d1</v>
      </c>
    </row>
    <row r="2226" spans="1:23" x14ac:dyDescent="0.5">
      <c r="A2226" s="54">
        <v>2225</v>
      </c>
      <c r="B2226" s="90" t="s">
        <v>1703</v>
      </c>
      <c r="C2226" t="s">
        <v>1966</v>
      </c>
      <c r="D2226" s="1"/>
      <c r="E2226" s="112">
        <v>1998.06</v>
      </c>
      <c r="F2226" s="112">
        <v>2022.1</v>
      </c>
      <c r="G2226" s="107" t="s">
        <v>1512</v>
      </c>
      <c r="H2226">
        <f>INDEX('GIS-Standards'!$A$2:$A$305,MATCH(B2226,'GIS-Standards'!$B$2:$B$305,0))</f>
        <v>96</v>
      </c>
      <c r="I2226" t="e">
        <f>INDEX('GIS-Standards'!$A$2:$A$305,MATCH(C2226,'GIS-Standards'!$B$2:$B$305,0))</f>
        <v>#N/A</v>
      </c>
      <c r="J2226" t="str">
        <f>INDEX('GIS-Standards'!$O$2:$O$305,MATCH(B2226,'GIS-Standards'!$B$2:$B$305,0))</f>
        <v>ISO/TC 268</v>
      </c>
      <c r="K2226" t="e">
        <f>INDEX('GIS-Standards'!$O$2:$O$305,MATCH(C2226,'GIS-Standards'!$B$2:$B$305,0))</f>
        <v>#N/A</v>
      </c>
      <c r="M2226" t="s">
        <v>525</v>
      </c>
      <c r="N2226">
        <f>INDEX('GIS-Standards'!$I$2:$I$305,MATCH(B2226,'GIS-Standards'!$B$2:$B$305,0))</f>
        <v>0</v>
      </c>
      <c r="O2226" t="e">
        <f>INDEX('GIS-Standards'!$I$2:$I$305,MATCH(C2226,'GIS-Standards'!$B$2:$B$305,0))</f>
        <v>#N/A</v>
      </c>
      <c r="P2226" t="e">
        <f>AND(TableRelationships12[[#This Row],[Source Type]]="BIM",TableRelationships12[[#This Row],[Target Type]]="BIM")</f>
        <v>#N/A</v>
      </c>
      <c r="Q2226">
        <f t="shared" si="102"/>
        <v>1</v>
      </c>
      <c r="S2226">
        <f t="shared" si="103"/>
        <v>1</v>
      </c>
      <c r="T2226" s="102" t="str">
        <f>IF(TableRelationships12[[#This Row],[Rank Pedro]]="Low","linkCategory1",IF(TableRelationships12[[#This Row],[Rank Pedro]]="Medium","linkCategory2",IF(TableRelationships12[[#This Row],[Rank Pedro]]="High","linkCategory3","")))</f>
        <v/>
      </c>
      <c r="U2226" s="102" t="str">
        <f>IF(TableRelationships12[[#This Row],[Rank Pedro]]="Low","Pink",IF(TableRelationships12[[#This Row],[Rank Pedro]]="Medium","Purple",IF(TableRelationships12[[#This Row],[Rank Pedro]]="High","Brown","")))</f>
        <v/>
      </c>
      <c r="V2226" s="4" t="e">
        <f>MAX(INDEX(Standards!$F$2:$F$296,MATCH(B2226,Standards!$B$2:$B$296,0)),INDEX(Standards!$F$2:$F$296,MATCH(C2226,Standards!$B$2:$B$296,0)))</f>
        <v>#N/A</v>
      </c>
      <c r="W2226" t="str">
        <f t="shared" si="104"/>
        <v>#2f89d1</v>
      </c>
    </row>
    <row r="2227" spans="1:23" x14ac:dyDescent="0.5">
      <c r="A2227" s="54">
        <v>2226</v>
      </c>
      <c r="B2227" s="90" t="s">
        <v>1703</v>
      </c>
      <c r="C2227" t="s">
        <v>1920</v>
      </c>
      <c r="D2227" s="1"/>
      <c r="E2227" s="112">
        <v>2014.05</v>
      </c>
      <c r="F2227" s="112">
        <v>2018.07</v>
      </c>
      <c r="G2227" s="107" t="s">
        <v>673</v>
      </c>
      <c r="H2227">
        <f>INDEX('GIS-Standards'!$A$2:$A$305,MATCH(B2227,'GIS-Standards'!$B$2:$B$305,0))</f>
        <v>96</v>
      </c>
      <c r="I2227" t="e">
        <f>INDEX('GIS-Standards'!$A$2:$A$305,MATCH(C2227,'GIS-Standards'!$B$2:$B$305,0))</f>
        <v>#N/A</v>
      </c>
      <c r="J2227" t="str">
        <f>INDEX('GIS-Standards'!$O$2:$O$305,MATCH(B2227,'GIS-Standards'!$B$2:$B$305,0))</f>
        <v>ISO/TC 268</v>
      </c>
      <c r="K2227" t="e">
        <f>INDEX('GIS-Standards'!$O$2:$O$305,MATCH(C2227,'GIS-Standards'!$B$2:$B$305,0))</f>
        <v>#N/A</v>
      </c>
      <c r="M2227" t="s">
        <v>525</v>
      </c>
      <c r="N2227">
        <f>INDEX('GIS-Standards'!$I$2:$I$305,MATCH(B2227,'GIS-Standards'!$B$2:$B$305,0))</f>
        <v>0</v>
      </c>
      <c r="O2227" t="e">
        <f>INDEX('GIS-Standards'!$I$2:$I$305,MATCH(C2227,'GIS-Standards'!$B$2:$B$305,0))</f>
        <v>#N/A</v>
      </c>
      <c r="P2227" t="e">
        <f>AND(TableRelationships12[[#This Row],[Source Type]]="BIM",TableRelationships12[[#This Row],[Target Type]]="BIM")</f>
        <v>#N/A</v>
      </c>
      <c r="Q2227">
        <f t="shared" si="102"/>
        <v>1</v>
      </c>
      <c r="S2227">
        <f t="shared" si="103"/>
        <v>1</v>
      </c>
      <c r="T2227" s="102" t="str">
        <f>IF(TableRelationships12[[#This Row],[Rank Pedro]]="Low","linkCategory1",IF(TableRelationships12[[#This Row],[Rank Pedro]]="Medium","linkCategory2",IF(TableRelationships12[[#This Row],[Rank Pedro]]="High","linkCategory3","")))</f>
        <v/>
      </c>
      <c r="U2227" s="102" t="str">
        <f>IF(TableRelationships12[[#This Row],[Rank Pedro]]="Low","Pink",IF(TableRelationships12[[#This Row],[Rank Pedro]]="Medium","Purple",IF(TableRelationships12[[#This Row],[Rank Pedro]]="High","Brown","")))</f>
        <v/>
      </c>
      <c r="V2227" s="4" t="e">
        <f>MAX(INDEX(Standards!$F$2:$F$296,MATCH(B2227,Standards!$B$2:$B$296,0)),INDEX(Standards!$F$2:$F$296,MATCH(C2227,Standards!$B$2:$B$296,0)))</f>
        <v>#N/A</v>
      </c>
      <c r="W2227" t="str">
        <f t="shared" si="104"/>
        <v>#2f89d1</v>
      </c>
    </row>
    <row r="2228" spans="1:23" x14ac:dyDescent="0.5">
      <c r="A2228" s="54">
        <v>2227</v>
      </c>
      <c r="B2228" s="90" t="s">
        <v>1703</v>
      </c>
      <c r="C2228" t="s">
        <v>1921</v>
      </c>
      <c r="D2228" s="1"/>
      <c r="E2228" s="112">
        <v>2019.05</v>
      </c>
      <c r="F2228" s="112">
        <v>2019.05</v>
      </c>
      <c r="G2228" s="107" t="s">
        <v>673</v>
      </c>
      <c r="H2228">
        <f>INDEX('GIS-Standards'!$A$2:$A$305,MATCH(B2228,'GIS-Standards'!$B$2:$B$305,0))</f>
        <v>96</v>
      </c>
      <c r="I2228" t="e">
        <f>INDEX('GIS-Standards'!$A$2:$A$305,MATCH(C2228,'GIS-Standards'!$B$2:$B$305,0))</f>
        <v>#N/A</v>
      </c>
      <c r="J2228" t="str">
        <f>INDEX('GIS-Standards'!$O$2:$O$305,MATCH(B2228,'GIS-Standards'!$B$2:$B$305,0))</f>
        <v>ISO/TC 268</v>
      </c>
      <c r="K2228" t="e">
        <f>INDEX('GIS-Standards'!$O$2:$O$305,MATCH(C2228,'GIS-Standards'!$B$2:$B$305,0))</f>
        <v>#N/A</v>
      </c>
      <c r="M2228" t="s">
        <v>525</v>
      </c>
      <c r="N2228">
        <f>INDEX('GIS-Standards'!$I$2:$I$305,MATCH(B2228,'GIS-Standards'!$B$2:$B$305,0))</f>
        <v>0</v>
      </c>
      <c r="O2228" t="e">
        <f>INDEX('GIS-Standards'!$I$2:$I$305,MATCH(C2228,'GIS-Standards'!$B$2:$B$305,0))</f>
        <v>#N/A</v>
      </c>
      <c r="P2228" t="e">
        <f>AND(TableRelationships12[[#This Row],[Source Type]]="BIM",TableRelationships12[[#This Row],[Target Type]]="BIM")</f>
        <v>#N/A</v>
      </c>
      <c r="Q2228">
        <f t="shared" si="102"/>
        <v>1</v>
      </c>
      <c r="S2228">
        <f t="shared" si="103"/>
        <v>1</v>
      </c>
      <c r="T2228" s="102" t="str">
        <f>IF(TableRelationships12[[#This Row],[Rank Pedro]]="Low","linkCategory1",IF(TableRelationships12[[#This Row],[Rank Pedro]]="Medium","linkCategory2",IF(TableRelationships12[[#This Row],[Rank Pedro]]="High","linkCategory3","")))</f>
        <v/>
      </c>
      <c r="U2228" s="102" t="str">
        <f>IF(TableRelationships12[[#This Row],[Rank Pedro]]="Low","Pink",IF(TableRelationships12[[#This Row],[Rank Pedro]]="Medium","Purple",IF(TableRelationships12[[#This Row],[Rank Pedro]]="High","Brown","")))</f>
        <v/>
      </c>
      <c r="V2228" s="4" t="e">
        <f>MAX(INDEX(Standards!$F$2:$F$296,MATCH(B2228,Standards!$B$2:$B$296,0)),INDEX(Standards!$F$2:$F$296,MATCH(C2228,Standards!$B$2:$B$296,0)))</f>
        <v>#N/A</v>
      </c>
      <c r="W2228" t="str">
        <f t="shared" si="104"/>
        <v>#2f89d1</v>
      </c>
    </row>
    <row r="2229" spans="1:23" x14ac:dyDescent="0.5">
      <c r="A2229" s="54">
        <v>2228</v>
      </c>
      <c r="B2229" s="90" t="s">
        <v>1703</v>
      </c>
      <c r="C2229" t="s">
        <v>1922</v>
      </c>
      <c r="D2229" s="1"/>
      <c r="E2229" s="112">
        <v>2019.12</v>
      </c>
      <c r="F2229" s="112">
        <v>2019.12</v>
      </c>
      <c r="G2229" s="107" t="s">
        <v>673</v>
      </c>
      <c r="H2229">
        <f>INDEX('GIS-Standards'!$A$2:$A$305,MATCH(B2229,'GIS-Standards'!$B$2:$B$305,0))</f>
        <v>96</v>
      </c>
      <c r="I2229" t="e">
        <f>INDEX('GIS-Standards'!$A$2:$A$305,MATCH(C2229,'GIS-Standards'!$B$2:$B$305,0))</f>
        <v>#N/A</v>
      </c>
      <c r="J2229" t="str">
        <f>INDEX('GIS-Standards'!$O$2:$O$305,MATCH(B2229,'GIS-Standards'!$B$2:$B$305,0))</f>
        <v>ISO/TC 268</v>
      </c>
      <c r="K2229" t="e">
        <f>INDEX('GIS-Standards'!$O$2:$O$305,MATCH(C2229,'GIS-Standards'!$B$2:$B$305,0))</f>
        <v>#N/A</v>
      </c>
      <c r="M2229" t="s">
        <v>525</v>
      </c>
      <c r="N2229">
        <f>INDEX('GIS-Standards'!$I$2:$I$305,MATCH(B2229,'GIS-Standards'!$B$2:$B$305,0))</f>
        <v>0</v>
      </c>
      <c r="O2229" t="e">
        <f>INDEX('GIS-Standards'!$I$2:$I$305,MATCH(C2229,'GIS-Standards'!$B$2:$B$305,0))</f>
        <v>#N/A</v>
      </c>
      <c r="P2229" t="e">
        <f>AND(TableRelationships12[[#This Row],[Source Type]]="BIM",TableRelationships12[[#This Row],[Target Type]]="BIM")</f>
        <v>#N/A</v>
      </c>
      <c r="Q2229">
        <f t="shared" si="102"/>
        <v>1</v>
      </c>
      <c r="S2229">
        <f t="shared" si="103"/>
        <v>1</v>
      </c>
      <c r="T2229" s="102" t="str">
        <f>IF(TableRelationships12[[#This Row],[Rank Pedro]]="Low","linkCategory1",IF(TableRelationships12[[#This Row],[Rank Pedro]]="Medium","linkCategory2",IF(TableRelationships12[[#This Row],[Rank Pedro]]="High","linkCategory3","")))</f>
        <v/>
      </c>
      <c r="U2229" s="102" t="str">
        <f>IF(TableRelationships12[[#This Row],[Rank Pedro]]="Low","Pink",IF(TableRelationships12[[#This Row],[Rank Pedro]]="Medium","Purple",IF(TableRelationships12[[#This Row],[Rank Pedro]]="High","Brown","")))</f>
        <v/>
      </c>
      <c r="V2229" s="4" t="e">
        <f>MAX(INDEX(Standards!$F$2:$F$296,MATCH(B2229,Standards!$B$2:$B$296,0)),INDEX(Standards!$F$2:$F$296,MATCH(C2229,Standards!$B$2:$B$296,0)))</f>
        <v>#N/A</v>
      </c>
      <c r="W2229" t="str">
        <f t="shared" si="104"/>
        <v>#2f89d1</v>
      </c>
    </row>
    <row r="2230" spans="1:23" x14ac:dyDescent="0.5">
      <c r="A2230" s="54">
        <v>2229</v>
      </c>
      <c r="B2230" s="90" t="s">
        <v>1703</v>
      </c>
      <c r="C2230" t="s">
        <v>1967</v>
      </c>
      <c r="D2230" s="1"/>
      <c r="E2230" s="112">
        <v>2024.09</v>
      </c>
      <c r="F2230" s="112">
        <v>2024.09</v>
      </c>
      <c r="G2230" s="107" t="s">
        <v>2091</v>
      </c>
      <c r="H2230">
        <f>INDEX('GIS-Standards'!$A$2:$A$305,MATCH(B2230,'GIS-Standards'!$B$2:$B$305,0))</f>
        <v>96</v>
      </c>
      <c r="I2230" t="e">
        <f>INDEX('GIS-Standards'!$A$2:$A$305,MATCH(C2230,'GIS-Standards'!$B$2:$B$305,0))</f>
        <v>#N/A</v>
      </c>
      <c r="J2230" t="str">
        <f>INDEX('GIS-Standards'!$O$2:$O$305,MATCH(B2230,'GIS-Standards'!$B$2:$B$305,0))</f>
        <v>ISO/TC 268</v>
      </c>
      <c r="K2230" t="e">
        <f>INDEX('GIS-Standards'!$O$2:$O$305,MATCH(C2230,'GIS-Standards'!$B$2:$B$305,0))</f>
        <v>#N/A</v>
      </c>
      <c r="M2230" t="s">
        <v>525</v>
      </c>
      <c r="N2230">
        <f>INDEX('GIS-Standards'!$I$2:$I$305,MATCH(B2230,'GIS-Standards'!$B$2:$B$305,0))</f>
        <v>0</v>
      </c>
      <c r="O2230" t="e">
        <f>INDEX('GIS-Standards'!$I$2:$I$305,MATCH(C2230,'GIS-Standards'!$B$2:$B$305,0))</f>
        <v>#N/A</v>
      </c>
      <c r="P2230" t="e">
        <f>AND(TableRelationships12[[#This Row],[Source Type]]="BIM",TableRelationships12[[#This Row],[Target Type]]="BIM")</f>
        <v>#N/A</v>
      </c>
      <c r="Q2230">
        <f t="shared" si="102"/>
        <v>1</v>
      </c>
      <c r="S2230">
        <f t="shared" si="103"/>
        <v>1</v>
      </c>
      <c r="T2230" s="102" t="str">
        <f>IF(TableRelationships12[[#This Row],[Rank Pedro]]="Low","linkCategory1",IF(TableRelationships12[[#This Row],[Rank Pedro]]="Medium","linkCategory2",IF(TableRelationships12[[#This Row],[Rank Pedro]]="High","linkCategory3","")))</f>
        <v/>
      </c>
      <c r="U2230" s="102" t="str">
        <f>IF(TableRelationships12[[#This Row],[Rank Pedro]]="Low","Pink",IF(TableRelationships12[[#This Row],[Rank Pedro]]="Medium","Purple",IF(TableRelationships12[[#This Row],[Rank Pedro]]="High","Brown","")))</f>
        <v/>
      </c>
      <c r="V2230" s="4" t="e">
        <f>MAX(INDEX(Standards!$F$2:$F$296,MATCH(B2230,Standards!$B$2:$B$296,0)),INDEX(Standards!$F$2:$F$296,MATCH(C2230,Standards!$B$2:$B$296,0)))</f>
        <v>#N/A</v>
      </c>
      <c r="W2230" t="str">
        <f t="shared" si="104"/>
        <v>#2f89d1</v>
      </c>
    </row>
    <row r="2231" spans="1:23" x14ac:dyDescent="0.5">
      <c r="A2231" s="54">
        <v>2230</v>
      </c>
      <c r="B2231" s="90" t="s">
        <v>1703</v>
      </c>
      <c r="C2231" t="s">
        <v>1968</v>
      </c>
      <c r="D2231" s="1"/>
      <c r="E2231" s="112">
        <v>2022.06</v>
      </c>
      <c r="F2231" s="112">
        <v>2022.06</v>
      </c>
      <c r="G2231" s="107" t="s">
        <v>673</v>
      </c>
      <c r="H2231">
        <f>INDEX('GIS-Standards'!$A$2:$A$305,MATCH(B2231,'GIS-Standards'!$B$2:$B$305,0))</f>
        <v>96</v>
      </c>
      <c r="I2231" t="e">
        <f>INDEX('GIS-Standards'!$A$2:$A$305,MATCH(C2231,'GIS-Standards'!$B$2:$B$305,0))</f>
        <v>#N/A</v>
      </c>
      <c r="J2231" t="str">
        <f>INDEX('GIS-Standards'!$O$2:$O$305,MATCH(B2231,'GIS-Standards'!$B$2:$B$305,0))</f>
        <v>ISO/TC 268</v>
      </c>
      <c r="K2231" t="e">
        <f>INDEX('GIS-Standards'!$O$2:$O$305,MATCH(C2231,'GIS-Standards'!$B$2:$B$305,0))</f>
        <v>#N/A</v>
      </c>
      <c r="M2231" t="s">
        <v>525</v>
      </c>
      <c r="N2231">
        <f>INDEX('GIS-Standards'!$I$2:$I$305,MATCH(B2231,'GIS-Standards'!$B$2:$B$305,0))</f>
        <v>0</v>
      </c>
      <c r="O2231" t="e">
        <f>INDEX('GIS-Standards'!$I$2:$I$305,MATCH(C2231,'GIS-Standards'!$B$2:$B$305,0))</f>
        <v>#N/A</v>
      </c>
      <c r="P2231" t="e">
        <f>AND(TableRelationships12[[#This Row],[Source Type]]="BIM",TableRelationships12[[#This Row],[Target Type]]="BIM")</f>
        <v>#N/A</v>
      </c>
      <c r="Q2231">
        <f t="shared" si="102"/>
        <v>1</v>
      </c>
      <c r="S2231">
        <f t="shared" si="103"/>
        <v>1</v>
      </c>
      <c r="T2231" s="102" t="str">
        <f>IF(TableRelationships12[[#This Row],[Rank Pedro]]="Low","linkCategory1",IF(TableRelationships12[[#This Row],[Rank Pedro]]="Medium","linkCategory2",IF(TableRelationships12[[#This Row],[Rank Pedro]]="High","linkCategory3","")))</f>
        <v/>
      </c>
      <c r="U2231" s="102" t="str">
        <f>IF(TableRelationships12[[#This Row],[Rank Pedro]]="Low","Pink",IF(TableRelationships12[[#This Row],[Rank Pedro]]="Medium","Purple",IF(TableRelationships12[[#This Row],[Rank Pedro]]="High","Brown","")))</f>
        <v/>
      </c>
      <c r="V2231" s="4" t="e">
        <f>MAX(INDEX(Standards!$F$2:$F$296,MATCH(B2231,Standards!$B$2:$B$296,0)),INDEX(Standards!$F$2:$F$296,MATCH(C2231,Standards!$B$2:$B$296,0)))</f>
        <v>#N/A</v>
      </c>
      <c r="W2231" t="str">
        <f t="shared" si="104"/>
        <v>#2f89d1</v>
      </c>
    </row>
    <row r="2232" spans="1:23" x14ac:dyDescent="0.5">
      <c r="A2232" s="54">
        <v>2231</v>
      </c>
      <c r="B2232" s="90" t="s">
        <v>1694</v>
      </c>
      <c r="C2232" t="s">
        <v>527</v>
      </c>
      <c r="D2232" s="1"/>
      <c r="E2232" s="112">
        <v>2024.04</v>
      </c>
      <c r="F2232" s="112">
        <v>2024.04</v>
      </c>
      <c r="G2232" s="121" t="s">
        <v>1842</v>
      </c>
      <c r="H2232">
        <f>INDEX('GIS-Standards'!$A$2:$A$305,MATCH(B2232,'GIS-Standards'!$B$2:$B$305,0))</f>
        <v>97</v>
      </c>
      <c r="I2232" t="e">
        <f>INDEX('GIS-Standards'!$A$2:$A$305,MATCH(C2232,'GIS-Standards'!$B$2:$B$305,0))</f>
        <v>#N/A</v>
      </c>
      <c r="J2232" t="str">
        <f>INDEX('GIS-Standards'!$O$2:$O$305,MATCH(B2232,'GIS-Standards'!$B$2:$B$305,0))</f>
        <v>ISO/TC 267</v>
      </c>
      <c r="K2232" t="e">
        <f>INDEX('GIS-Standards'!$O$2:$O$305,MATCH(C2232,'GIS-Standards'!$B$2:$B$305,0))</f>
        <v>#N/A</v>
      </c>
      <c r="M2232" t="s">
        <v>237</v>
      </c>
      <c r="N2232">
        <f>INDEX('GIS-Standards'!$I$2:$I$305,MATCH(B2232,'GIS-Standards'!$B$2:$B$305,0))</f>
        <v>0</v>
      </c>
      <c r="O2232" t="e">
        <f>INDEX('GIS-Standards'!$I$2:$I$305,MATCH(C2232,'GIS-Standards'!$B$2:$B$305,0))</f>
        <v>#N/A</v>
      </c>
      <c r="P2232" t="e">
        <f>AND(TableRelationships12[[#This Row],[Source Type]]="BIM",TableRelationships12[[#This Row],[Target Type]]="BIM")</f>
        <v>#N/A</v>
      </c>
      <c r="Q2232">
        <f t="shared" si="102"/>
        <v>2</v>
      </c>
      <c r="S2232">
        <f t="shared" si="103"/>
        <v>1</v>
      </c>
      <c r="T2232" s="102" t="str">
        <f>IF(TableRelationships12[[#This Row],[Rank Pedro]]="Low","linkCategory1",IF(TableRelationships12[[#This Row],[Rank Pedro]]="Medium","linkCategory2",IF(TableRelationships12[[#This Row],[Rank Pedro]]="High","linkCategory3","")))</f>
        <v/>
      </c>
      <c r="U2232" s="102" t="str">
        <f>IF(TableRelationships12[[#This Row],[Rank Pedro]]="Low","Pink",IF(TableRelationships12[[#This Row],[Rank Pedro]]="Medium","Purple",IF(TableRelationships12[[#This Row],[Rank Pedro]]="High","Brown","")))</f>
        <v/>
      </c>
      <c r="V2232" s="4" t="e">
        <f>MAX(INDEX(Standards!$F$2:$F$296,MATCH(B2232,Standards!$B$2:$B$296,0)),INDEX(Standards!$F$2:$F$296,MATCH(C2232,Standards!$B$2:$B$296,0)))</f>
        <v>#N/A</v>
      </c>
      <c r="W2232">
        <f t="shared" si="104"/>
        <v>1</v>
      </c>
    </row>
    <row r="2233" spans="1:23" x14ac:dyDescent="0.5">
      <c r="A2233" s="54">
        <v>2232</v>
      </c>
      <c r="B2233" s="90" t="s">
        <v>1694</v>
      </c>
      <c r="C2233" t="s">
        <v>420</v>
      </c>
      <c r="D2233" s="1" t="s">
        <v>1676</v>
      </c>
      <c r="E2233" s="112">
        <v>2018.04</v>
      </c>
      <c r="F2233" s="112">
        <v>2024.02</v>
      </c>
      <c r="G2233" s="107" t="s">
        <v>2086</v>
      </c>
      <c r="H2233">
        <f>INDEX('GIS-Standards'!$A$2:$A$305,MATCH(B2233,'GIS-Standards'!$B$2:$B$305,0))</f>
        <v>97</v>
      </c>
      <c r="I2233" t="e">
        <f>INDEX('GIS-Standards'!$A$2:$A$305,MATCH(C2233,'GIS-Standards'!$B$2:$B$305,0))</f>
        <v>#N/A</v>
      </c>
      <c r="J2233" t="str">
        <f>INDEX('GIS-Standards'!$O$2:$O$305,MATCH(B2233,'GIS-Standards'!$B$2:$B$305,0))</f>
        <v>ISO/TC 267</v>
      </c>
      <c r="K2233" t="e">
        <f>INDEX('GIS-Standards'!$O$2:$O$305,MATCH(C2233,'GIS-Standards'!$B$2:$B$305,0))</f>
        <v>#N/A</v>
      </c>
      <c r="M2233" t="s">
        <v>524</v>
      </c>
      <c r="N2233">
        <f>INDEX('GIS-Standards'!$I$2:$I$305,MATCH(B2233,'GIS-Standards'!$B$2:$B$305,0))</f>
        <v>0</v>
      </c>
      <c r="O2233" t="e">
        <f>INDEX('GIS-Standards'!$I$2:$I$305,MATCH(C2233,'GIS-Standards'!$B$2:$B$305,0))</f>
        <v>#N/A</v>
      </c>
      <c r="P2233" t="e">
        <f>AND(TableRelationships12[[#This Row],[Source Type]]="BIM",TableRelationships12[[#This Row],[Target Type]]="BIM")</f>
        <v>#N/A</v>
      </c>
      <c r="Q2233">
        <f t="shared" si="102"/>
        <v>6</v>
      </c>
      <c r="S2233">
        <f t="shared" si="103"/>
        <v>1</v>
      </c>
      <c r="T2233" s="102" t="str">
        <f>IF(TableRelationships12[[#This Row],[Rank Pedro]]="Low","linkCategory1",IF(TableRelationships12[[#This Row],[Rank Pedro]]="Medium","linkCategory2",IF(TableRelationships12[[#This Row],[Rank Pedro]]="High","linkCategory3","")))</f>
        <v/>
      </c>
      <c r="U2233" s="102" t="str">
        <f>IF(TableRelationships12[[#This Row],[Rank Pedro]]="Low","Pink",IF(TableRelationships12[[#This Row],[Rank Pedro]]="Medium","Purple",IF(TableRelationships12[[#This Row],[Rank Pedro]]="High","Brown","")))</f>
        <v/>
      </c>
      <c r="V2233" s="4" t="e">
        <f>MAX(INDEX(Standards!$F$2:$F$296,MATCH(B2233,Standards!$B$2:$B$296,0)),INDEX(Standards!$F$2:$F$296,MATCH(C2233,Standards!$B$2:$B$296,0)))</f>
        <v>#N/A</v>
      </c>
      <c r="W2233" t="str">
        <f t="shared" si="104"/>
        <v>#d6bf2a</v>
      </c>
    </row>
    <row r="2234" spans="1:23" x14ac:dyDescent="0.5">
      <c r="A2234" s="54">
        <v>2233</v>
      </c>
      <c r="B2234" s="90" t="s">
        <v>1694</v>
      </c>
      <c r="C2234" t="s">
        <v>114</v>
      </c>
      <c r="D2234" s="1" t="s">
        <v>1676</v>
      </c>
      <c r="E2234" s="112">
        <v>2018.04</v>
      </c>
      <c r="F2234" s="112">
        <v>2024.02</v>
      </c>
      <c r="G2234" s="107" t="s">
        <v>2086</v>
      </c>
      <c r="H2234">
        <f>INDEX('GIS-Standards'!$A$2:$A$305,MATCH(B2234,'GIS-Standards'!$B$2:$B$305,0))</f>
        <v>97</v>
      </c>
      <c r="I2234" t="e">
        <f>INDEX('GIS-Standards'!$A$2:$A$305,MATCH(C2234,'GIS-Standards'!$B$2:$B$305,0))</f>
        <v>#N/A</v>
      </c>
      <c r="J2234" t="str">
        <f>INDEX('GIS-Standards'!$O$2:$O$305,MATCH(B2234,'GIS-Standards'!$B$2:$B$305,0))</f>
        <v>ISO/TC 267</v>
      </c>
      <c r="K2234" t="e">
        <f>INDEX('GIS-Standards'!$O$2:$O$305,MATCH(C2234,'GIS-Standards'!$B$2:$B$305,0))</f>
        <v>#N/A</v>
      </c>
      <c r="M2234" t="s">
        <v>525</v>
      </c>
      <c r="N2234">
        <f>INDEX('GIS-Standards'!$I$2:$I$305,MATCH(B2234,'GIS-Standards'!$B$2:$B$305,0))</f>
        <v>0</v>
      </c>
      <c r="O2234" t="e">
        <f>INDEX('GIS-Standards'!$I$2:$I$305,MATCH(C2234,'GIS-Standards'!$B$2:$B$305,0))</f>
        <v>#N/A</v>
      </c>
      <c r="P2234" t="e">
        <f>AND(TableRelationships12[[#This Row],[Source Type]]="BIM",TableRelationships12[[#This Row],[Target Type]]="BIM")</f>
        <v>#N/A</v>
      </c>
      <c r="Q2234">
        <f t="shared" si="102"/>
        <v>1</v>
      </c>
      <c r="S2234">
        <f t="shared" si="103"/>
        <v>1</v>
      </c>
      <c r="T2234" s="102" t="str">
        <f>IF(TableRelationships12[[#This Row],[Rank Pedro]]="Low","linkCategory1",IF(TableRelationships12[[#This Row],[Rank Pedro]]="Medium","linkCategory2",IF(TableRelationships12[[#This Row],[Rank Pedro]]="High","linkCategory3","")))</f>
        <v/>
      </c>
      <c r="U2234" s="102" t="str">
        <f>IF(TableRelationships12[[#This Row],[Rank Pedro]]="Low","Pink",IF(TableRelationships12[[#This Row],[Rank Pedro]]="Medium","Purple",IF(TableRelationships12[[#This Row],[Rank Pedro]]="High","Brown","")))</f>
        <v/>
      </c>
      <c r="V2234" s="4" t="e">
        <f>MAX(INDEX(Standards!$F$2:$F$296,MATCH(B2234,Standards!$B$2:$B$296,0)),INDEX(Standards!$F$2:$F$296,MATCH(C2234,Standards!$B$2:$B$296,0)))</f>
        <v>#N/A</v>
      </c>
      <c r="W2234" t="str">
        <f t="shared" si="104"/>
        <v>#2f89d1</v>
      </c>
    </row>
    <row r="2235" spans="1:23" x14ac:dyDescent="0.5">
      <c r="A2235" s="54">
        <v>2234</v>
      </c>
      <c r="B2235" s="90" t="s">
        <v>1694</v>
      </c>
      <c r="C2235" t="s">
        <v>1844</v>
      </c>
      <c r="D2235" s="1" t="s">
        <v>1676</v>
      </c>
      <c r="E2235" s="112">
        <v>2017.04</v>
      </c>
      <c r="F2235" s="112">
        <v>2017.04</v>
      </c>
      <c r="G2235" s="107" t="s">
        <v>2069</v>
      </c>
      <c r="H2235">
        <f>INDEX('GIS-Standards'!$A$2:$A$305,MATCH(B2235,'GIS-Standards'!$B$2:$B$305,0))</f>
        <v>97</v>
      </c>
      <c r="I2235" t="e">
        <f>INDEX('GIS-Standards'!$A$2:$A$305,MATCH(C2235,'GIS-Standards'!$B$2:$B$305,0))</f>
        <v>#N/A</v>
      </c>
      <c r="J2235" t="str">
        <f>INDEX('GIS-Standards'!$O$2:$O$305,MATCH(B2235,'GIS-Standards'!$B$2:$B$305,0))</f>
        <v>ISO/TC 267</v>
      </c>
      <c r="K2235" t="e">
        <f>INDEX('GIS-Standards'!$O$2:$O$305,MATCH(C2235,'GIS-Standards'!$B$2:$B$305,0))</f>
        <v>#N/A</v>
      </c>
      <c r="M2235" t="s">
        <v>525</v>
      </c>
      <c r="N2235">
        <f>INDEX('GIS-Standards'!$I$2:$I$305,MATCH(B2235,'GIS-Standards'!$B$2:$B$305,0))</f>
        <v>0</v>
      </c>
      <c r="O2235" t="e">
        <f>INDEX('GIS-Standards'!$I$2:$I$305,MATCH(C2235,'GIS-Standards'!$B$2:$B$305,0))</f>
        <v>#N/A</v>
      </c>
      <c r="P2235" t="e">
        <f>AND(TableRelationships12[[#This Row],[Source Type]]="BIM",TableRelationships12[[#This Row],[Target Type]]="BIM")</f>
        <v>#N/A</v>
      </c>
      <c r="Q2235">
        <f t="shared" si="102"/>
        <v>1</v>
      </c>
      <c r="S2235">
        <f t="shared" si="103"/>
        <v>1</v>
      </c>
      <c r="T2235" s="102" t="str">
        <f>IF(TableRelationships12[[#This Row],[Rank Pedro]]="Low","linkCategory1",IF(TableRelationships12[[#This Row],[Rank Pedro]]="Medium","linkCategory2",IF(TableRelationships12[[#This Row],[Rank Pedro]]="High","linkCategory3","")))</f>
        <v/>
      </c>
      <c r="U2235" s="102" t="str">
        <f>IF(TableRelationships12[[#This Row],[Rank Pedro]]="Low","Pink",IF(TableRelationships12[[#This Row],[Rank Pedro]]="Medium","Purple",IF(TableRelationships12[[#This Row],[Rank Pedro]]="High","Brown","")))</f>
        <v/>
      </c>
      <c r="V2235" s="4" t="e">
        <f>MAX(INDEX(Standards!$F$2:$F$296,MATCH(B2235,Standards!$B$2:$B$296,0)),INDEX(Standards!$F$2:$F$296,MATCH(C2235,Standards!$B$2:$B$296,0)))</f>
        <v>#N/A</v>
      </c>
      <c r="W2235" t="str">
        <f t="shared" si="104"/>
        <v>#2f89d1</v>
      </c>
    </row>
    <row r="2236" spans="1:23" x14ac:dyDescent="0.5">
      <c r="A2236" s="54">
        <v>2235</v>
      </c>
      <c r="B2236" s="90" t="s">
        <v>1694</v>
      </c>
      <c r="C2236" t="s">
        <v>1845</v>
      </c>
      <c r="D2236" s="1"/>
      <c r="E2236" s="112">
        <v>2017.07</v>
      </c>
      <c r="F2236" s="112">
        <v>2017.07</v>
      </c>
      <c r="G2236" s="107" t="s">
        <v>2069</v>
      </c>
      <c r="H2236">
        <f>INDEX('GIS-Standards'!$A$2:$A$305,MATCH(B2236,'GIS-Standards'!$B$2:$B$305,0))</f>
        <v>97</v>
      </c>
      <c r="I2236" t="e">
        <f>INDEX('GIS-Standards'!$A$2:$A$305,MATCH(C2236,'GIS-Standards'!$B$2:$B$305,0))</f>
        <v>#N/A</v>
      </c>
      <c r="J2236" t="str">
        <f>INDEX('GIS-Standards'!$O$2:$O$305,MATCH(B2236,'GIS-Standards'!$B$2:$B$305,0))</f>
        <v>ISO/TC 267</v>
      </c>
      <c r="K2236" t="e">
        <f>INDEX('GIS-Standards'!$O$2:$O$305,MATCH(C2236,'GIS-Standards'!$B$2:$B$305,0))</f>
        <v>#N/A</v>
      </c>
      <c r="M2236" t="s">
        <v>525</v>
      </c>
      <c r="N2236">
        <f>INDEX('GIS-Standards'!$I$2:$I$305,MATCH(B2236,'GIS-Standards'!$B$2:$B$305,0))</f>
        <v>0</v>
      </c>
      <c r="O2236" t="e">
        <f>INDEX('GIS-Standards'!$I$2:$I$305,MATCH(C2236,'GIS-Standards'!$B$2:$B$305,0))</f>
        <v>#N/A</v>
      </c>
      <c r="P2236" t="e">
        <f>AND(TableRelationships12[[#This Row],[Source Type]]="BIM",TableRelationships12[[#This Row],[Target Type]]="BIM")</f>
        <v>#N/A</v>
      </c>
      <c r="Q2236">
        <f t="shared" si="102"/>
        <v>1</v>
      </c>
      <c r="S2236">
        <f t="shared" si="103"/>
        <v>1</v>
      </c>
      <c r="T2236" s="102" t="str">
        <f>IF(TableRelationships12[[#This Row],[Rank Pedro]]="Low","linkCategory1",IF(TableRelationships12[[#This Row],[Rank Pedro]]="Medium","linkCategory2",IF(TableRelationships12[[#This Row],[Rank Pedro]]="High","linkCategory3","")))</f>
        <v/>
      </c>
      <c r="U2236" s="102" t="str">
        <f>IF(TableRelationships12[[#This Row],[Rank Pedro]]="Low","Pink",IF(TableRelationships12[[#This Row],[Rank Pedro]]="Medium","Purple",IF(TableRelationships12[[#This Row],[Rank Pedro]]="High","Brown","")))</f>
        <v/>
      </c>
      <c r="V2236" s="4" t="e">
        <f>MAX(INDEX(Standards!$F$2:$F$296,MATCH(B2236,Standards!$B$2:$B$296,0)),INDEX(Standards!$F$2:$F$296,MATCH(C2236,Standards!$B$2:$B$296,0)))</f>
        <v>#N/A</v>
      </c>
      <c r="W2236" t="str">
        <f t="shared" si="104"/>
        <v>#2f89d1</v>
      </c>
    </row>
    <row r="2237" spans="1:23" x14ac:dyDescent="0.5">
      <c r="A2237" s="54">
        <v>2236</v>
      </c>
      <c r="B2237" s="90" t="s">
        <v>1694</v>
      </c>
      <c r="C2237" t="s">
        <v>1846</v>
      </c>
      <c r="D2237" s="1"/>
      <c r="E2237" s="112">
        <v>2020.09</v>
      </c>
      <c r="F2237" s="112">
        <v>2020.09</v>
      </c>
      <c r="G2237" s="107" t="s">
        <v>2069</v>
      </c>
      <c r="H2237">
        <f>INDEX('GIS-Standards'!$A$2:$A$305,MATCH(B2237,'GIS-Standards'!$B$2:$B$305,0))</f>
        <v>97</v>
      </c>
      <c r="I2237" t="e">
        <f>INDEX('GIS-Standards'!$A$2:$A$305,MATCH(C2237,'GIS-Standards'!$B$2:$B$305,0))</f>
        <v>#N/A</v>
      </c>
      <c r="J2237" t="str">
        <f>INDEX('GIS-Standards'!$O$2:$O$305,MATCH(B2237,'GIS-Standards'!$B$2:$B$305,0))</f>
        <v>ISO/TC 267</v>
      </c>
      <c r="K2237" t="e">
        <f>INDEX('GIS-Standards'!$O$2:$O$305,MATCH(C2237,'GIS-Standards'!$B$2:$B$305,0))</f>
        <v>#N/A</v>
      </c>
      <c r="M2237" t="s">
        <v>525</v>
      </c>
      <c r="N2237">
        <f>INDEX('GIS-Standards'!$I$2:$I$305,MATCH(B2237,'GIS-Standards'!$B$2:$B$305,0))</f>
        <v>0</v>
      </c>
      <c r="O2237" t="e">
        <f>INDEX('GIS-Standards'!$I$2:$I$305,MATCH(C2237,'GIS-Standards'!$B$2:$B$305,0))</f>
        <v>#N/A</v>
      </c>
      <c r="P2237" t="e">
        <f>AND(TableRelationships12[[#This Row],[Source Type]]="BIM",TableRelationships12[[#This Row],[Target Type]]="BIM")</f>
        <v>#N/A</v>
      </c>
      <c r="Q2237">
        <f t="shared" si="102"/>
        <v>1</v>
      </c>
      <c r="S2237">
        <f t="shared" si="103"/>
        <v>1</v>
      </c>
      <c r="T2237" s="102" t="str">
        <f>IF(TableRelationships12[[#This Row],[Rank Pedro]]="Low","linkCategory1",IF(TableRelationships12[[#This Row],[Rank Pedro]]="Medium","linkCategory2",IF(TableRelationships12[[#This Row],[Rank Pedro]]="High","linkCategory3","")))</f>
        <v/>
      </c>
      <c r="U2237" s="102" t="str">
        <f>IF(TableRelationships12[[#This Row],[Rank Pedro]]="Low","Pink",IF(TableRelationships12[[#This Row],[Rank Pedro]]="Medium","Purple",IF(TableRelationships12[[#This Row],[Rank Pedro]]="High","Brown","")))</f>
        <v/>
      </c>
      <c r="V2237" s="4" t="e">
        <f>MAX(INDEX(Standards!$F$2:$F$296,MATCH(B2237,Standards!$B$2:$B$296,0)),INDEX(Standards!$F$2:$F$296,MATCH(C2237,Standards!$B$2:$B$296,0)))</f>
        <v>#N/A</v>
      </c>
      <c r="W2237" t="str">
        <f t="shared" si="104"/>
        <v>#2f89d1</v>
      </c>
    </row>
    <row r="2238" spans="1:23" x14ac:dyDescent="0.5">
      <c r="A2238" s="54">
        <v>2237</v>
      </c>
      <c r="B2238" s="90" t="s">
        <v>1694</v>
      </c>
      <c r="C2238" t="s">
        <v>92</v>
      </c>
      <c r="D2238" s="1"/>
      <c r="E2238" s="112">
        <v>2015.1</v>
      </c>
      <c r="F2238" s="112">
        <v>2015.1</v>
      </c>
      <c r="G2238" s="107" t="s">
        <v>1502</v>
      </c>
      <c r="H2238">
        <f>INDEX('GIS-Standards'!$A$2:$A$305,MATCH(B2238,'GIS-Standards'!$B$2:$B$305,0))</f>
        <v>97</v>
      </c>
      <c r="I2238" t="e">
        <f>INDEX('GIS-Standards'!$A$2:$A$305,MATCH(C2238,'GIS-Standards'!$B$2:$B$305,0))</f>
        <v>#N/A</v>
      </c>
      <c r="J2238" t="str">
        <f>INDEX('GIS-Standards'!$O$2:$O$305,MATCH(B2238,'GIS-Standards'!$B$2:$B$305,0))</f>
        <v>ISO/TC 267</v>
      </c>
      <c r="K2238" t="e">
        <f>INDEX('GIS-Standards'!$O$2:$O$305,MATCH(C2238,'GIS-Standards'!$B$2:$B$305,0))</f>
        <v>#N/A</v>
      </c>
      <c r="M2238" t="s">
        <v>525</v>
      </c>
      <c r="N2238">
        <f>INDEX('GIS-Standards'!$I$2:$I$305,MATCH(B2238,'GIS-Standards'!$B$2:$B$305,0))</f>
        <v>0</v>
      </c>
      <c r="O2238" t="e">
        <f>INDEX('GIS-Standards'!$I$2:$I$305,MATCH(C2238,'GIS-Standards'!$B$2:$B$305,0))</f>
        <v>#N/A</v>
      </c>
      <c r="P2238" t="e">
        <f>AND(TableRelationships12[[#This Row],[Source Type]]="BIM",TableRelationships12[[#This Row],[Target Type]]="BIM")</f>
        <v>#N/A</v>
      </c>
      <c r="Q2238">
        <f t="shared" si="102"/>
        <v>1</v>
      </c>
      <c r="S2238">
        <f t="shared" si="103"/>
        <v>1</v>
      </c>
      <c r="T2238" s="102" t="str">
        <f>IF(TableRelationships12[[#This Row],[Rank Pedro]]="Low","linkCategory1",IF(TableRelationships12[[#This Row],[Rank Pedro]]="Medium","linkCategory2",IF(TableRelationships12[[#This Row],[Rank Pedro]]="High","linkCategory3","")))</f>
        <v/>
      </c>
      <c r="U2238" s="102" t="str">
        <f>IF(TableRelationships12[[#This Row],[Rank Pedro]]="Low","Pink",IF(TableRelationships12[[#This Row],[Rank Pedro]]="Medium","Purple",IF(TableRelationships12[[#This Row],[Rank Pedro]]="High","Brown","")))</f>
        <v/>
      </c>
      <c r="V2238" s="4" t="e">
        <f>MAX(INDEX(Standards!$F$2:$F$296,MATCH(B2238,Standards!$B$2:$B$296,0)),INDEX(Standards!$F$2:$F$296,MATCH(C2238,Standards!$B$2:$B$296,0)))</f>
        <v>#N/A</v>
      </c>
      <c r="W2238" t="str">
        <f t="shared" si="104"/>
        <v>#2f89d1</v>
      </c>
    </row>
    <row r="2239" spans="1:23" x14ac:dyDescent="0.5">
      <c r="A2239" s="54">
        <v>2238</v>
      </c>
      <c r="B2239" s="90" t="s">
        <v>1694</v>
      </c>
      <c r="C2239" t="s">
        <v>210</v>
      </c>
      <c r="D2239" s="1" t="s">
        <v>1676</v>
      </c>
      <c r="E2239" s="112">
        <v>2018.12</v>
      </c>
      <c r="F2239" s="112">
        <v>2018.12</v>
      </c>
      <c r="G2239" s="107" t="s">
        <v>2061</v>
      </c>
      <c r="H2239">
        <f>INDEX('GIS-Standards'!$A$2:$A$305,MATCH(B2239,'GIS-Standards'!$B$2:$B$305,0))</f>
        <v>97</v>
      </c>
      <c r="I2239" t="e">
        <f>INDEX('GIS-Standards'!$A$2:$A$305,MATCH(C2239,'GIS-Standards'!$B$2:$B$305,0))</f>
        <v>#N/A</v>
      </c>
      <c r="J2239" t="str">
        <f>INDEX('GIS-Standards'!$O$2:$O$305,MATCH(B2239,'GIS-Standards'!$B$2:$B$305,0))</f>
        <v>ISO/TC 267</v>
      </c>
      <c r="K2239" t="e">
        <f>INDEX('GIS-Standards'!$O$2:$O$305,MATCH(C2239,'GIS-Standards'!$B$2:$B$305,0))</f>
        <v>#N/A</v>
      </c>
      <c r="M2239" t="s">
        <v>525</v>
      </c>
      <c r="N2239">
        <f>INDEX('GIS-Standards'!$I$2:$I$305,MATCH(B2239,'GIS-Standards'!$B$2:$B$305,0))</f>
        <v>0</v>
      </c>
      <c r="O2239" t="e">
        <f>INDEX('GIS-Standards'!$I$2:$I$305,MATCH(C2239,'GIS-Standards'!$B$2:$B$305,0))</f>
        <v>#N/A</v>
      </c>
      <c r="P2239" t="e">
        <f>AND(TableRelationships12[[#This Row],[Source Type]]="BIM",TableRelationships12[[#This Row],[Target Type]]="BIM")</f>
        <v>#N/A</v>
      </c>
      <c r="Q2239">
        <f t="shared" si="102"/>
        <v>1</v>
      </c>
      <c r="S2239">
        <f t="shared" si="103"/>
        <v>1</v>
      </c>
      <c r="T2239" s="102" t="str">
        <f>IF(TableRelationships12[[#This Row],[Rank Pedro]]="Low","linkCategory1",IF(TableRelationships12[[#This Row],[Rank Pedro]]="Medium","linkCategory2",IF(TableRelationships12[[#This Row],[Rank Pedro]]="High","linkCategory3","")))</f>
        <v/>
      </c>
      <c r="U2239" s="102" t="str">
        <f>IF(TableRelationships12[[#This Row],[Rank Pedro]]="Low","Pink",IF(TableRelationships12[[#This Row],[Rank Pedro]]="Medium","Purple",IF(TableRelationships12[[#This Row],[Rank Pedro]]="High","Brown","")))</f>
        <v/>
      </c>
      <c r="V2239" s="4" t="e">
        <f>MAX(INDEX(Standards!$F$2:$F$296,MATCH(B2239,Standards!$B$2:$B$296,0)),INDEX(Standards!$F$2:$F$296,MATCH(C2239,Standards!$B$2:$B$296,0)))</f>
        <v>#N/A</v>
      </c>
      <c r="W2239" t="str">
        <f t="shared" si="104"/>
        <v>#2f89d1</v>
      </c>
    </row>
    <row r="2240" spans="1:23" x14ac:dyDescent="0.5">
      <c r="A2240" s="54">
        <v>2239</v>
      </c>
      <c r="B2240" s="90" t="s">
        <v>649</v>
      </c>
      <c r="C2240" t="s">
        <v>527</v>
      </c>
      <c r="D2240" s="1"/>
      <c r="E2240" s="112" t="s">
        <v>975</v>
      </c>
      <c r="F2240" s="112" t="s">
        <v>975</v>
      </c>
      <c r="G2240" s="121" t="s">
        <v>670</v>
      </c>
      <c r="H2240">
        <f>INDEX('GIS-Standards'!$A$2:$A$305,MATCH(B2240,'GIS-Standards'!$B$2:$B$305,0))</f>
        <v>98</v>
      </c>
      <c r="I2240" t="e">
        <f>INDEX('GIS-Standards'!$A$2:$A$305,MATCH(C2240,'GIS-Standards'!$B$2:$B$305,0))</f>
        <v>#N/A</v>
      </c>
      <c r="J2240" t="str">
        <f>INDEX('GIS-Standards'!$O$2:$O$305,MATCH(B2240,'GIS-Standards'!$B$2:$B$305,0))</f>
        <v>ISO/TC 211</v>
      </c>
      <c r="K2240" t="e">
        <f>INDEX('GIS-Standards'!$O$2:$O$305,MATCH(C2240,'GIS-Standards'!$B$2:$B$305,0))</f>
        <v>#N/A</v>
      </c>
      <c r="M2240" t="s">
        <v>237</v>
      </c>
      <c r="N2240">
        <f>INDEX('GIS-Standards'!$I$2:$I$305,MATCH(B2240,'GIS-Standards'!$B$2:$B$305,0))</f>
        <v>0</v>
      </c>
      <c r="O2240" t="e">
        <f>INDEX('GIS-Standards'!$I$2:$I$305,MATCH(C2240,'GIS-Standards'!$B$2:$B$305,0))</f>
        <v>#N/A</v>
      </c>
      <c r="P2240" t="e">
        <f>AND(TableRelationships12[[#This Row],[Source Type]]="BIM",TableRelationships12[[#This Row],[Target Type]]="BIM")</f>
        <v>#N/A</v>
      </c>
      <c r="Q2240">
        <f t="shared" si="102"/>
        <v>2</v>
      </c>
      <c r="S2240">
        <f t="shared" si="103"/>
        <v>1</v>
      </c>
      <c r="T2240" s="102" t="str">
        <f>IF(TableRelationships12[[#This Row],[Rank Pedro]]="Low","linkCategory1",IF(TableRelationships12[[#This Row],[Rank Pedro]]="Medium","linkCategory2",IF(TableRelationships12[[#This Row],[Rank Pedro]]="High","linkCategory3","")))</f>
        <v/>
      </c>
      <c r="U2240" s="102" t="str">
        <f>IF(TableRelationships12[[#This Row],[Rank Pedro]]="Low","Pink",IF(TableRelationships12[[#This Row],[Rank Pedro]]="Medium","Purple",IF(TableRelationships12[[#This Row],[Rank Pedro]]="High","Brown","")))</f>
        <v/>
      </c>
      <c r="V2240" s="4" t="e">
        <f>MAX(INDEX(Standards!$F$2:$F$296,MATCH(B2240,Standards!$B$2:$B$296,0)),INDEX(Standards!$F$2:$F$296,MATCH(C2240,Standards!$B$2:$B$296,0)))</f>
        <v>#N/A</v>
      </c>
      <c r="W2240">
        <f t="shared" si="104"/>
        <v>1</v>
      </c>
    </row>
    <row r="2241" spans="1:23" x14ac:dyDescent="0.5">
      <c r="A2241" s="54">
        <v>2240</v>
      </c>
      <c r="B2241" s="90" t="s">
        <v>649</v>
      </c>
      <c r="C2241" t="s">
        <v>348</v>
      </c>
      <c r="D2241" s="1"/>
      <c r="E2241" s="113">
        <v>2013.12</v>
      </c>
      <c r="F2241" s="113">
        <v>2023.04</v>
      </c>
      <c r="G2241" s="107" t="s">
        <v>670</v>
      </c>
      <c r="H2241">
        <f>INDEX('GIS-Standards'!$A$2:$A$305,MATCH(B2241,'GIS-Standards'!$B$2:$B$305,0))</f>
        <v>98</v>
      </c>
      <c r="I2241">
        <f>INDEX('GIS-Standards'!$A$2:$A$305,MATCH(C2241,'GIS-Standards'!$B$2:$B$305,0))</f>
        <v>66</v>
      </c>
      <c r="J2241" t="str">
        <f>INDEX('GIS-Standards'!$O$2:$O$305,MATCH(B2241,'GIS-Standards'!$B$2:$B$305,0))</f>
        <v>ISO/TC 211</v>
      </c>
      <c r="K2241" t="str">
        <f>INDEX('GIS-Standards'!$O$2:$O$305,MATCH(C2241,'GIS-Standards'!$B$2:$B$305,0))</f>
        <v>ISO/TC 211</v>
      </c>
      <c r="M2241" t="s">
        <v>524</v>
      </c>
      <c r="N2241">
        <f>INDEX('GIS-Standards'!$I$2:$I$305,MATCH(B2241,'GIS-Standards'!$B$2:$B$305,0))</f>
        <v>0</v>
      </c>
      <c r="O2241">
        <f>INDEX('GIS-Standards'!$I$2:$I$305,MATCH(C2241,'GIS-Standards'!$B$2:$B$305,0))</f>
        <v>0</v>
      </c>
      <c r="P2241" t="b">
        <f>AND(TableRelationships12[[#This Row],[Source Type]]="BIM",TableRelationships12[[#This Row],[Target Type]]="BIM")</f>
        <v>0</v>
      </c>
      <c r="Q2241">
        <f t="shared" si="102"/>
        <v>6</v>
      </c>
      <c r="S2241">
        <f t="shared" si="103"/>
        <v>1</v>
      </c>
      <c r="T2241" s="102" t="str">
        <f>IF(TableRelationships12[[#This Row],[Rank Pedro]]="Low","linkCategory1",IF(TableRelationships12[[#This Row],[Rank Pedro]]="Medium","linkCategory2",IF(TableRelationships12[[#This Row],[Rank Pedro]]="High","linkCategory3","")))</f>
        <v/>
      </c>
      <c r="U2241" s="102" t="str">
        <f>IF(TableRelationships12[[#This Row],[Rank Pedro]]="Low","Pink",IF(TableRelationships12[[#This Row],[Rank Pedro]]="Medium","Purple",IF(TableRelationships12[[#This Row],[Rank Pedro]]="High","Brown","")))</f>
        <v/>
      </c>
      <c r="V2241" s="4" t="e">
        <f>MAX(INDEX(Standards!$F$2:$F$296,MATCH(B2241,Standards!$B$2:$B$296,0)),INDEX(Standards!$F$2:$F$296,MATCH(C2241,Standards!$B$2:$B$296,0)))</f>
        <v>#N/A</v>
      </c>
      <c r="W2241" t="str">
        <f t="shared" si="104"/>
        <v>#d6bf2a</v>
      </c>
    </row>
    <row r="2242" spans="1:23" x14ac:dyDescent="0.5">
      <c r="A2242" s="54">
        <v>2241</v>
      </c>
      <c r="B2242" s="90" t="s">
        <v>649</v>
      </c>
      <c r="C2242" t="s">
        <v>314</v>
      </c>
      <c r="D2242" s="1"/>
      <c r="E2242" s="112">
        <v>2003.05</v>
      </c>
      <c r="F2242" s="112">
        <v>2020.11</v>
      </c>
      <c r="G2242" s="107" t="s">
        <v>670</v>
      </c>
      <c r="H2242">
        <f>INDEX('GIS-Standards'!$A$2:$A$305,MATCH(B2242,'GIS-Standards'!$B$2:$B$305,0))</f>
        <v>98</v>
      </c>
      <c r="I2242">
        <f>INDEX('GIS-Standards'!$A$2:$A$305,MATCH(C2242,'GIS-Standards'!$B$2:$B$305,0))</f>
        <v>22</v>
      </c>
      <c r="J2242" t="str">
        <f>INDEX('GIS-Standards'!$O$2:$O$305,MATCH(B2242,'GIS-Standards'!$B$2:$B$305,0))</f>
        <v>ISO/TC 211</v>
      </c>
      <c r="K2242" t="str">
        <f>INDEX('GIS-Standards'!$O$2:$O$305,MATCH(C2242,'GIS-Standards'!$B$2:$B$305,0))</f>
        <v>ISO/TC 211</v>
      </c>
      <c r="M2242" t="s">
        <v>525</v>
      </c>
      <c r="N2242">
        <f>INDEX('GIS-Standards'!$I$2:$I$305,MATCH(B2242,'GIS-Standards'!$B$2:$B$305,0))</f>
        <v>0</v>
      </c>
      <c r="O2242" t="str">
        <f>INDEX('GIS-Standards'!$I$2:$I$305,MATCH(C2242,'GIS-Standards'!$B$2:$B$305,0))</f>
        <v>12.2020</v>
      </c>
      <c r="P2242" t="b">
        <f>AND(TableRelationships12[[#This Row],[Source Type]]="BIM",TableRelationships12[[#This Row],[Target Type]]="BIM")</f>
        <v>0</v>
      </c>
      <c r="Q2242">
        <f t="shared" ref="Q2242:Q2305" si="105">IF(M2242="Normative",6,IF(M2242="Secondary",4,IF(M2242="Anchor",2,1)))</f>
        <v>1</v>
      </c>
      <c r="S2242">
        <f t="shared" ref="S2242:S2305" si="106">IF(R2242="High",10,IF(R2242="Medium",6,IF(R2242="Low",2,1)))</f>
        <v>1</v>
      </c>
      <c r="T2242" s="102" t="str">
        <f>IF(TableRelationships12[[#This Row],[Rank Pedro]]="Low","linkCategory1",IF(TableRelationships12[[#This Row],[Rank Pedro]]="Medium","linkCategory2",IF(TableRelationships12[[#This Row],[Rank Pedro]]="High","linkCategory3","")))</f>
        <v/>
      </c>
      <c r="U2242" s="102" t="str">
        <f>IF(TableRelationships12[[#This Row],[Rank Pedro]]="Low","Pink",IF(TableRelationships12[[#This Row],[Rank Pedro]]="Medium","Purple",IF(TableRelationships12[[#This Row],[Rank Pedro]]="High","Brown","")))</f>
        <v/>
      </c>
      <c r="V2242" s="4" t="e">
        <f>MAX(INDEX(Standards!$F$2:$F$296,MATCH(B2242,Standards!$B$2:$B$296,0)),INDEX(Standards!$F$2:$F$296,MATCH(C2242,Standards!$B$2:$B$296,0)))</f>
        <v>#N/A</v>
      </c>
      <c r="W2242" t="str">
        <f t="shared" ref="W2242:W2305" si="107">IF(M2242="Normative", "#d6bf2a", IF(M2242="Informative", "#2f89d1", 1))</f>
        <v>#2f89d1</v>
      </c>
    </row>
    <row r="2243" spans="1:23" x14ac:dyDescent="0.5">
      <c r="A2243" s="54">
        <v>2242</v>
      </c>
      <c r="B2243" s="90" t="s">
        <v>649</v>
      </c>
      <c r="C2243" t="s">
        <v>631</v>
      </c>
      <c r="D2243" s="1"/>
      <c r="E2243" s="112">
        <v>2008.06</v>
      </c>
      <c r="F2243" s="112">
        <v>2018.05</v>
      </c>
      <c r="G2243" s="107" t="s">
        <v>670</v>
      </c>
      <c r="H2243">
        <f>INDEX('GIS-Standards'!$A$2:$A$305,MATCH(B2243,'GIS-Standards'!$B$2:$B$305,0))</f>
        <v>98</v>
      </c>
      <c r="I2243">
        <f>INDEX('GIS-Standards'!$A$2:$A$305,MATCH(C2243,'GIS-Standards'!$B$2:$B$305,0))</f>
        <v>11</v>
      </c>
      <c r="J2243" t="str">
        <f>INDEX('GIS-Standards'!$O$2:$O$305,MATCH(B2243,'GIS-Standards'!$B$2:$B$305,0))</f>
        <v>ISO/TC 211</v>
      </c>
      <c r="K2243" t="str">
        <f>INDEX('GIS-Standards'!$O$2:$O$305,MATCH(C2243,'GIS-Standards'!$B$2:$B$305,0))</f>
        <v>ISO/TC 211</v>
      </c>
      <c r="M2243" t="s">
        <v>525</v>
      </c>
      <c r="N2243">
        <f>INDEX('GIS-Standards'!$I$2:$I$305,MATCH(B2243,'GIS-Standards'!$B$2:$B$305,0))</f>
        <v>0</v>
      </c>
      <c r="O2243">
        <f>INDEX('GIS-Standards'!$I$2:$I$305,MATCH(C2243,'GIS-Standards'!$B$2:$B$305,0))</f>
        <v>0</v>
      </c>
      <c r="P2243" t="b">
        <f>AND(TableRelationships12[[#This Row],[Source Type]]="BIM",TableRelationships12[[#This Row],[Target Type]]="BIM")</f>
        <v>0</v>
      </c>
      <c r="Q2243">
        <f t="shared" si="105"/>
        <v>1</v>
      </c>
      <c r="S2243">
        <f t="shared" si="106"/>
        <v>1</v>
      </c>
      <c r="T2243" s="102" t="str">
        <f>IF(TableRelationships12[[#This Row],[Rank Pedro]]="Low","linkCategory1",IF(TableRelationships12[[#This Row],[Rank Pedro]]="Medium","linkCategory2",IF(TableRelationships12[[#This Row],[Rank Pedro]]="High","linkCategory3","")))</f>
        <v/>
      </c>
      <c r="U2243" s="102" t="str">
        <f>IF(TableRelationships12[[#This Row],[Rank Pedro]]="Low","Pink",IF(TableRelationships12[[#This Row],[Rank Pedro]]="Medium","Purple",IF(TableRelationships12[[#This Row],[Rank Pedro]]="High","Brown","")))</f>
        <v/>
      </c>
      <c r="V2243" s="4" t="e">
        <f>MAX(INDEX(Standards!$F$2:$F$296,MATCH(B2243,Standards!$B$2:$B$296,0)),INDEX(Standards!$F$2:$F$296,MATCH(C2243,Standards!$B$2:$B$296,0)))</f>
        <v>#N/A</v>
      </c>
      <c r="W2243" t="str">
        <f t="shared" si="107"/>
        <v>#2f89d1</v>
      </c>
    </row>
    <row r="2244" spans="1:23" x14ac:dyDescent="0.5">
      <c r="A2244" s="54">
        <v>2243</v>
      </c>
      <c r="B2244" s="90" t="s">
        <v>649</v>
      </c>
      <c r="C2244" t="s">
        <v>1144</v>
      </c>
      <c r="D2244" s="1"/>
      <c r="E2244" s="112">
        <v>1967.12</v>
      </c>
      <c r="F2244" s="112">
        <v>2006.09</v>
      </c>
      <c r="G2244" s="107" t="s">
        <v>1483</v>
      </c>
      <c r="H2244">
        <f>INDEX('GIS-Standards'!$A$2:$A$305,MATCH(B2244,'GIS-Standards'!$B$2:$B$305,0))</f>
        <v>98</v>
      </c>
      <c r="I2244" t="e">
        <f>INDEX('GIS-Standards'!$A$2:$A$305,MATCH(C2244,'GIS-Standards'!$B$2:$B$305,0))</f>
        <v>#N/A</v>
      </c>
      <c r="J2244" t="str">
        <f>INDEX('GIS-Standards'!$O$2:$O$305,MATCH(B2244,'GIS-Standards'!$B$2:$B$305,0))</f>
        <v>ISO/TC 211</v>
      </c>
      <c r="K2244" t="e">
        <f>INDEX('GIS-Standards'!$O$2:$O$305,MATCH(C2244,'GIS-Standards'!$B$2:$B$305,0))</f>
        <v>#N/A</v>
      </c>
      <c r="M2244" t="s">
        <v>525</v>
      </c>
      <c r="N2244">
        <f>INDEX('GIS-Standards'!$I$2:$I$305,MATCH(B2244,'GIS-Standards'!$B$2:$B$305,0))</f>
        <v>0</v>
      </c>
      <c r="O2244" t="e">
        <f>INDEX('GIS-Standards'!$I$2:$I$305,MATCH(C2244,'GIS-Standards'!$B$2:$B$305,0))</f>
        <v>#N/A</v>
      </c>
      <c r="P2244" t="e">
        <f>AND(TableRelationships12[[#This Row],[Source Type]]="BIM",TableRelationships12[[#This Row],[Target Type]]="BIM")</f>
        <v>#N/A</v>
      </c>
      <c r="Q2244">
        <f t="shared" si="105"/>
        <v>1</v>
      </c>
      <c r="S2244">
        <f t="shared" si="106"/>
        <v>1</v>
      </c>
      <c r="T2244" s="102" t="str">
        <f>IF(TableRelationships12[[#This Row],[Rank Pedro]]="Low","linkCategory1",IF(TableRelationships12[[#This Row],[Rank Pedro]]="Medium","linkCategory2",IF(TableRelationships12[[#This Row],[Rank Pedro]]="High","linkCategory3","")))</f>
        <v/>
      </c>
      <c r="U2244" s="102" t="str">
        <f>IF(TableRelationships12[[#This Row],[Rank Pedro]]="Low","Pink",IF(TableRelationships12[[#This Row],[Rank Pedro]]="Medium","Purple",IF(TableRelationships12[[#This Row],[Rank Pedro]]="High","Brown","")))</f>
        <v/>
      </c>
      <c r="V2244" s="4" t="e">
        <f>MAX(INDEX(Standards!$F$2:$F$296,MATCH(B2244,Standards!$B$2:$B$296,0)),INDEX(Standards!$F$2:$F$296,MATCH(C2244,Standards!$B$2:$B$296,0)))</f>
        <v>#N/A</v>
      </c>
      <c r="W2244" t="str">
        <f t="shared" si="107"/>
        <v>#2f89d1</v>
      </c>
    </row>
    <row r="2245" spans="1:23" x14ac:dyDescent="0.5">
      <c r="A2245" s="54">
        <v>2244</v>
      </c>
      <c r="B2245" s="90" t="s">
        <v>649</v>
      </c>
      <c r="C2245" t="s">
        <v>661</v>
      </c>
      <c r="D2245" s="1"/>
      <c r="E2245" s="112">
        <v>2022.11</v>
      </c>
      <c r="F2245" s="112">
        <v>2022.11</v>
      </c>
      <c r="G2245" s="107" t="s">
        <v>670</v>
      </c>
      <c r="H2245">
        <f>INDEX('GIS-Standards'!$A$2:$A$305,MATCH(B2245,'GIS-Standards'!$B$2:$B$305,0))</f>
        <v>98</v>
      </c>
      <c r="I2245">
        <f>INDEX('GIS-Standards'!$A$2:$A$305,MATCH(C2245,'GIS-Standards'!$B$2:$B$305,0))</f>
        <v>110</v>
      </c>
      <c r="J2245" t="str">
        <f>INDEX('GIS-Standards'!$O$2:$O$305,MATCH(B2245,'GIS-Standards'!$B$2:$B$305,0))</f>
        <v>ISO/TC 211</v>
      </c>
      <c r="K2245" t="str">
        <f>INDEX('GIS-Standards'!$O$2:$O$305,MATCH(C2245,'GIS-Standards'!$B$2:$B$305,0))</f>
        <v>ISO/TC 211</v>
      </c>
      <c r="M2245" t="s">
        <v>525</v>
      </c>
      <c r="N2245">
        <f>INDEX('GIS-Standards'!$I$2:$I$305,MATCH(B2245,'GIS-Standards'!$B$2:$B$305,0))</f>
        <v>0</v>
      </c>
      <c r="O2245">
        <f>INDEX('GIS-Standards'!$I$2:$I$305,MATCH(C2245,'GIS-Standards'!$B$2:$B$305,0))</f>
        <v>0</v>
      </c>
      <c r="P2245" t="b">
        <f>AND(TableRelationships12[[#This Row],[Source Type]]="BIM",TableRelationships12[[#This Row],[Target Type]]="BIM")</f>
        <v>0</v>
      </c>
      <c r="Q2245">
        <f t="shared" si="105"/>
        <v>1</v>
      </c>
      <c r="S2245">
        <f t="shared" si="106"/>
        <v>1</v>
      </c>
      <c r="T2245" s="102" t="str">
        <f>IF(TableRelationships12[[#This Row],[Rank Pedro]]="Low","linkCategory1",IF(TableRelationships12[[#This Row],[Rank Pedro]]="Medium","linkCategory2",IF(TableRelationships12[[#This Row],[Rank Pedro]]="High","linkCategory3","")))</f>
        <v/>
      </c>
      <c r="U2245" s="102" t="str">
        <f>IF(TableRelationships12[[#This Row],[Rank Pedro]]="Low","Pink",IF(TableRelationships12[[#This Row],[Rank Pedro]]="Medium","Purple",IF(TableRelationships12[[#This Row],[Rank Pedro]]="High","Brown","")))</f>
        <v/>
      </c>
      <c r="V2245" s="4" t="e">
        <f>MAX(INDEX(Standards!$F$2:$F$296,MATCH(B2245,Standards!$B$2:$B$296,0)),INDEX(Standards!$F$2:$F$296,MATCH(C2245,Standards!$B$2:$B$296,0)))</f>
        <v>#N/A</v>
      </c>
      <c r="W2245" t="str">
        <f t="shared" si="107"/>
        <v>#2f89d1</v>
      </c>
    </row>
    <row r="2246" spans="1:23" x14ac:dyDescent="0.5">
      <c r="A2246" s="54">
        <v>2245</v>
      </c>
      <c r="B2246" s="90" t="s">
        <v>649</v>
      </c>
      <c r="C2246" t="s">
        <v>1137</v>
      </c>
      <c r="D2246" s="1" t="s">
        <v>1676</v>
      </c>
      <c r="E2246" s="112">
        <v>1993.01</v>
      </c>
      <c r="F2246" s="112">
        <v>2010.09</v>
      </c>
      <c r="G2246" s="107" t="s">
        <v>1520</v>
      </c>
      <c r="H2246">
        <f>INDEX('GIS-Standards'!$A$2:$A$305,MATCH(B2246,'GIS-Standards'!$B$2:$B$305,0))</f>
        <v>98</v>
      </c>
      <c r="I2246" t="e">
        <f>INDEX('GIS-Standards'!$A$2:$A$305,MATCH(C2246,'GIS-Standards'!$B$2:$B$305,0))</f>
        <v>#N/A</v>
      </c>
      <c r="J2246" t="str">
        <f>INDEX('GIS-Standards'!$O$2:$O$305,MATCH(B2246,'GIS-Standards'!$B$2:$B$305,0))</f>
        <v>ISO/TC 211</v>
      </c>
      <c r="K2246" t="e">
        <f>INDEX('GIS-Standards'!$O$2:$O$305,MATCH(C2246,'GIS-Standards'!$B$2:$B$305,0))</f>
        <v>#N/A</v>
      </c>
      <c r="M2246" t="s">
        <v>525</v>
      </c>
      <c r="N2246">
        <f>INDEX('GIS-Standards'!$I$2:$I$305,MATCH(B2246,'GIS-Standards'!$B$2:$B$305,0))</f>
        <v>0</v>
      </c>
      <c r="O2246" t="e">
        <f>INDEX('GIS-Standards'!$I$2:$I$305,MATCH(C2246,'GIS-Standards'!$B$2:$B$305,0))</f>
        <v>#N/A</v>
      </c>
      <c r="P2246" t="e">
        <f>AND(TableRelationships12[[#This Row],[Source Type]]="BIM",TableRelationships12[[#This Row],[Target Type]]="BIM")</f>
        <v>#N/A</v>
      </c>
      <c r="Q2246">
        <f t="shared" si="105"/>
        <v>1</v>
      </c>
      <c r="S2246">
        <f t="shared" si="106"/>
        <v>1</v>
      </c>
      <c r="T2246" s="102" t="str">
        <f>IF(TableRelationships12[[#This Row],[Rank Pedro]]="Low","linkCategory1",IF(TableRelationships12[[#This Row],[Rank Pedro]]="Medium","linkCategory2",IF(TableRelationships12[[#This Row],[Rank Pedro]]="High","linkCategory3","")))</f>
        <v/>
      </c>
      <c r="U2246" s="102" t="str">
        <f>IF(TableRelationships12[[#This Row],[Rank Pedro]]="Low","Pink",IF(TableRelationships12[[#This Row],[Rank Pedro]]="Medium","Purple",IF(TableRelationships12[[#This Row],[Rank Pedro]]="High","Brown","")))</f>
        <v/>
      </c>
      <c r="V2246" s="4" t="e">
        <f>MAX(INDEX(Standards!$F$2:$F$296,MATCH(B2246,Standards!$B$2:$B$296,0)),INDEX(Standards!$F$2:$F$296,MATCH(C2246,Standards!$B$2:$B$296,0)))</f>
        <v>#N/A</v>
      </c>
      <c r="W2246" t="str">
        <f t="shared" si="107"/>
        <v>#2f89d1</v>
      </c>
    </row>
    <row r="2247" spans="1:23" x14ac:dyDescent="0.5">
      <c r="A2247" s="54">
        <v>2246</v>
      </c>
      <c r="B2247" s="90" t="s">
        <v>649</v>
      </c>
      <c r="C2247" t="s">
        <v>633</v>
      </c>
      <c r="D2247" s="1"/>
      <c r="E2247" s="112">
        <v>2010.06</v>
      </c>
      <c r="F2247" s="112">
        <v>2018.09</v>
      </c>
      <c r="G2247" s="107" t="s">
        <v>670</v>
      </c>
      <c r="H2247">
        <f>INDEX('GIS-Standards'!$A$2:$A$305,MATCH(B2247,'GIS-Standards'!$B$2:$B$305,0))</f>
        <v>98</v>
      </c>
      <c r="I2247">
        <f>INDEX('GIS-Standards'!$A$2:$A$305,MATCH(C2247,'GIS-Standards'!$B$2:$B$305,0))</f>
        <v>36</v>
      </c>
      <c r="J2247" t="str">
        <f>INDEX('GIS-Standards'!$O$2:$O$305,MATCH(B2247,'GIS-Standards'!$B$2:$B$305,0))</f>
        <v>ISO/TC 211</v>
      </c>
      <c r="K2247" t="str">
        <f>INDEX('GIS-Standards'!$O$2:$O$305,MATCH(C2247,'GIS-Standards'!$B$2:$B$305,0))</f>
        <v>ISO/TC 211</v>
      </c>
      <c r="M2247" t="s">
        <v>525</v>
      </c>
      <c r="N2247">
        <f>INDEX('GIS-Standards'!$I$2:$I$305,MATCH(B2247,'GIS-Standards'!$B$2:$B$305,0))</f>
        <v>0</v>
      </c>
      <c r="O2247">
        <f>INDEX('GIS-Standards'!$I$2:$I$305,MATCH(C2247,'GIS-Standards'!$B$2:$B$305,0))</f>
        <v>0</v>
      </c>
      <c r="P2247" t="b">
        <f>AND(TableRelationships12[[#This Row],[Source Type]]="BIM",TableRelationships12[[#This Row],[Target Type]]="BIM")</f>
        <v>0</v>
      </c>
      <c r="Q2247">
        <f t="shared" si="105"/>
        <v>1</v>
      </c>
      <c r="S2247">
        <f t="shared" si="106"/>
        <v>1</v>
      </c>
      <c r="T2247" s="102" t="str">
        <f>IF(TableRelationships12[[#This Row],[Rank Pedro]]="Low","linkCategory1",IF(TableRelationships12[[#This Row],[Rank Pedro]]="Medium","linkCategory2",IF(TableRelationships12[[#This Row],[Rank Pedro]]="High","linkCategory3","")))</f>
        <v/>
      </c>
      <c r="U2247" s="102" t="str">
        <f>IF(TableRelationships12[[#This Row],[Rank Pedro]]="Low","Pink",IF(TableRelationships12[[#This Row],[Rank Pedro]]="Medium","Purple",IF(TableRelationships12[[#This Row],[Rank Pedro]]="High","Brown","")))</f>
        <v/>
      </c>
      <c r="V2247" s="4" t="e">
        <f>MAX(INDEX(Standards!$F$2:$F$296,MATCH(B2247,Standards!$B$2:$B$296,0)),INDEX(Standards!$F$2:$F$296,MATCH(C2247,Standards!$B$2:$B$296,0)))</f>
        <v>#N/A</v>
      </c>
      <c r="W2247" t="str">
        <f t="shared" si="107"/>
        <v>#2f89d1</v>
      </c>
    </row>
    <row r="2248" spans="1:23" x14ac:dyDescent="0.5">
      <c r="A2248" s="54">
        <v>2247</v>
      </c>
      <c r="B2248" s="90" t="s">
        <v>649</v>
      </c>
      <c r="C2248" t="s">
        <v>658</v>
      </c>
      <c r="D2248" s="1"/>
      <c r="E2248" s="112">
        <v>2014.07</v>
      </c>
      <c r="F2248" s="112">
        <v>2014.07</v>
      </c>
      <c r="G2248" s="107" t="s">
        <v>670</v>
      </c>
      <c r="H2248">
        <f>INDEX('GIS-Standards'!$A$2:$A$305,MATCH(B2248,'GIS-Standards'!$B$2:$B$305,0))</f>
        <v>98</v>
      </c>
      <c r="I2248">
        <f>INDEX('GIS-Standards'!$A$2:$A$305,MATCH(C2248,'GIS-Standards'!$B$2:$B$305,0))</f>
        <v>107</v>
      </c>
      <c r="J2248" t="str">
        <f>INDEX('GIS-Standards'!$O$2:$O$305,MATCH(B2248,'GIS-Standards'!$B$2:$B$305,0))</f>
        <v>ISO/TC 211</v>
      </c>
      <c r="K2248" t="str">
        <f>INDEX('GIS-Standards'!$O$2:$O$305,MATCH(C2248,'GIS-Standards'!$B$2:$B$305,0))</f>
        <v>ISO/TC 211</v>
      </c>
      <c r="M2248" t="s">
        <v>525</v>
      </c>
      <c r="N2248">
        <f>INDEX('GIS-Standards'!$I$2:$I$305,MATCH(B2248,'GIS-Standards'!$B$2:$B$305,0))</f>
        <v>0</v>
      </c>
      <c r="O2248">
        <f>INDEX('GIS-Standards'!$I$2:$I$305,MATCH(C2248,'GIS-Standards'!$B$2:$B$305,0))</f>
        <v>0</v>
      </c>
      <c r="P2248" t="b">
        <f>AND(TableRelationships12[[#This Row],[Source Type]]="BIM",TableRelationships12[[#This Row],[Target Type]]="BIM")</f>
        <v>0</v>
      </c>
      <c r="Q2248">
        <f t="shared" si="105"/>
        <v>1</v>
      </c>
      <c r="S2248">
        <f t="shared" si="106"/>
        <v>1</v>
      </c>
      <c r="T2248" s="102" t="str">
        <f>IF(TableRelationships12[[#This Row],[Rank Pedro]]="Low","linkCategory1",IF(TableRelationships12[[#This Row],[Rank Pedro]]="Medium","linkCategory2",IF(TableRelationships12[[#This Row],[Rank Pedro]]="High","linkCategory3","")))</f>
        <v/>
      </c>
      <c r="U2248" s="102" t="str">
        <f>IF(TableRelationships12[[#This Row],[Rank Pedro]]="Low","Pink",IF(TableRelationships12[[#This Row],[Rank Pedro]]="Medium","Purple",IF(TableRelationships12[[#This Row],[Rank Pedro]]="High","Brown","")))</f>
        <v/>
      </c>
      <c r="V2248" s="4" t="e">
        <f>MAX(INDEX(Standards!$F$2:$F$296,MATCH(B2248,Standards!$B$2:$B$296,0)),INDEX(Standards!$F$2:$F$296,MATCH(C2248,Standards!$B$2:$B$296,0)))</f>
        <v>#N/A</v>
      </c>
      <c r="W2248" t="str">
        <f t="shared" si="107"/>
        <v>#2f89d1</v>
      </c>
    </row>
    <row r="2249" spans="1:23" x14ac:dyDescent="0.5">
      <c r="A2249" s="54">
        <v>2248</v>
      </c>
      <c r="B2249" s="90" t="s">
        <v>649</v>
      </c>
      <c r="C2249" t="s">
        <v>1043</v>
      </c>
      <c r="D2249" s="1"/>
      <c r="E2249" s="112">
        <v>2004.07</v>
      </c>
      <c r="F2249" s="112">
        <v>2025.04</v>
      </c>
      <c r="G2249" s="107" t="s">
        <v>670</v>
      </c>
      <c r="H2249">
        <f>INDEX('GIS-Standards'!$A$2:$A$305,MATCH(B2249,'GIS-Standards'!$B$2:$B$305,0))</f>
        <v>98</v>
      </c>
      <c r="I2249">
        <f>INDEX('GIS-Standards'!$A$2:$A$305,MATCH(C2249,'GIS-Standards'!$B$2:$B$305,0))</f>
        <v>25</v>
      </c>
      <c r="J2249" t="str">
        <f>INDEX('GIS-Standards'!$O$2:$O$305,MATCH(B2249,'GIS-Standards'!$B$2:$B$305,0))</f>
        <v>ISO/TC 211</v>
      </c>
      <c r="K2249" t="str">
        <f>INDEX('GIS-Standards'!$O$2:$O$305,MATCH(C2249,'GIS-Standards'!$B$2:$B$305,0))</f>
        <v>ISO/TC 211</v>
      </c>
      <c r="M2249" t="s">
        <v>525</v>
      </c>
      <c r="N2249">
        <f>INDEX('GIS-Standards'!$I$2:$I$305,MATCH(B2249,'GIS-Standards'!$B$2:$B$305,0))</f>
        <v>0</v>
      </c>
      <c r="O2249">
        <f>INDEX('GIS-Standards'!$I$2:$I$305,MATCH(C2249,'GIS-Standards'!$B$2:$B$305,0))</f>
        <v>0</v>
      </c>
      <c r="P2249" t="b">
        <f>AND(TableRelationships12[[#This Row],[Source Type]]="BIM",TableRelationships12[[#This Row],[Target Type]]="BIM")</f>
        <v>0</v>
      </c>
      <c r="Q2249">
        <f t="shared" si="105"/>
        <v>1</v>
      </c>
      <c r="S2249">
        <f t="shared" si="106"/>
        <v>1</v>
      </c>
      <c r="T2249" s="102" t="str">
        <f>IF(TableRelationships12[[#This Row],[Rank Pedro]]="Low","linkCategory1",IF(TableRelationships12[[#This Row],[Rank Pedro]]="Medium","linkCategory2",IF(TableRelationships12[[#This Row],[Rank Pedro]]="High","linkCategory3","")))</f>
        <v/>
      </c>
      <c r="U2249" s="102" t="str">
        <f>IF(TableRelationships12[[#This Row],[Rank Pedro]]="Low","Pink",IF(TableRelationships12[[#This Row],[Rank Pedro]]="Medium","Purple",IF(TableRelationships12[[#This Row],[Rank Pedro]]="High","Brown","")))</f>
        <v/>
      </c>
      <c r="V2249" s="4" t="e">
        <f>MAX(INDEX(Standards!$F$2:$F$296,MATCH(B2249,Standards!$B$2:$B$296,0)),INDEX(Standards!$F$2:$F$296,MATCH(C2249,Standards!$B$2:$B$296,0)))</f>
        <v>#N/A</v>
      </c>
      <c r="W2249" t="str">
        <f t="shared" si="107"/>
        <v>#2f89d1</v>
      </c>
    </row>
    <row r="2250" spans="1:23" x14ac:dyDescent="0.5">
      <c r="A2250" s="54">
        <v>2249</v>
      </c>
      <c r="B2250" s="90" t="s">
        <v>650</v>
      </c>
      <c r="C2250" t="s">
        <v>527</v>
      </c>
      <c r="D2250" s="1"/>
      <c r="E2250" s="112" t="s">
        <v>993</v>
      </c>
      <c r="F2250" s="112" t="s">
        <v>993</v>
      </c>
      <c r="G2250" s="121" t="s">
        <v>670</v>
      </c>
      <c r="H2250">
        <f>INDEX('GIS-Standards'!$A$2:$A$305,MATCH(B2250,'GIS-Standards'!$B$2:$B$305,0))</f>
        <v>99</v>
      </c>
      <c r="I2250" t="e">
        <f>INDEX('GIS-Standards'!$A$2:$A$305,MATCH(C2250,'GIS-Standards'!$B$2:$B$305,0))</f>
        <v>#N/A</v>
      </c>
      <c r="J2250" t="str">
        <f>INDEX('GIS-Standards'!$O$2:$O$305,MATCH(B2250,'GIS-Standards'!$B$2:$B$305,0))</f>
        <v>ISO/TC 211</v>
      </c>
      <c r="K2250" t="e">
        <f>INDEX('GIS-Standards'!$O$2:$O$305,MATCH(C2250,'GIS-Standards'!$B$2:$B$305,0))</f>
        <v>#N/A</v>
      </c>
      <c r="M2250" t="s">
        <v>237</v>
      </c>
      <c r="N2250">
        <f>INDEX('GIS-Standards'!$I$2:$I$305,MATCH(B2250,'GIS-Standards'!$B$2:$B$305,0))</f>
        <v>0</v>
      </c>
      <c r="O2250" t="e">
        <f>INDEX('GIS-Standards'!$I$2:$I$305,MATCH(C2250,'GIS-Standards'!$B$2:$B$305,0))</f>
        <v>#N/A</v>
      </c>
      <c r="P2250" t="e">
        <f>AND(TableRelationships12[[#This Row],[Source Type]]="BIM",TableRelationships12[[#This Row],[Target Type]]="BIM")</f>
        <v>#N/A</v>
      </c>
      <c r="Q2250">
        <f t="shared" si="105"/>
        <v>2</v>
      </c>
      <c r="S2250">
        <f t="shared" si="106"/>
        <v>1</v>
      </c>
      <c r="T2250" s="102" t="str">
        <f>IF(TableRelationships12[[#This Row],[Rank Pedro]]="Low","linkCategory1",IF(TableRelationships12[[#This Row],[Rank Pedro]]="Medium","linkCategory2",IF(TableRelationships12[[#This Row],[Rank Pedro]]="High","linkCategory3","")))</f>
        <v/>
      </c>
      <c r="U2250" s="102" t="str">
        <f>IF(TableRelationships12[[#This Row],[Rank Pedro]]="Low","Pink",IF(TableRelationships12[[#This Row],[Rank Pedro]]="Medium","Purple",IF(TableRelationships12[[#This Row],[Rank Pedro]]="High","Brown","")))</f>
        <v/>
      </c>
      <c r="V2250" s="4" t="e">
        <f>MAX(INDEX(Standards!$F$2:$F$296,MATCH(B2250,Standards!$B$2:$B$296,0)),INDEX(Standards!$F$2:$F$296,MATCH(C2250,Standards!$B$2:$B$296,0)))</f>
        <v>#N/A</v>
      </c>
      <c r="W2250">
        <f t="shared" si="107"/>
        <v>1</v>
      </c>
    </row>
    <row r="2251" spans="1:23" x14ac:dyDescent="0.5">
      <c r="A2251" s="54">
        <v>2250</v>
      </c>
      <c r="B2251" s="90" t="s">
        <v>650</v>
      </c>
      <c r="C2251" t="s">
        <v>302</v>
      </c>
      <c r="D2251" s="1"/>
      <c r="E2251" s="112">
        <v>2003.05</v>
      </c>
      <c r="F2251" s="112">
        <v>2019.12</v>
      </c>
      <c r="G2251" s="107" t="s">
        <v>670</v>
      </c>
      <c r="H2251">
        <f>INDEX('GIS-Standards'!$A$2:$A$305,MATCH(B2251,'GIS-Standards'!$B$2:$B$305,0))</f>
        <v>99</v>
      </c>
      <c r="I2251">
        <f>INDEX('GIS-Standards'!$A$2:$A$305,MATCH(C2251,'GIS-Standards'!$B$2:$B$305,0))</f>
        <v>16</v>
      </c>
      <c r="J2251" t="str">
        <f>INDEX('GIS-Standards'!$O$2:$O$305,MATCH(B2251,'GIS-Standards'!$B$2:$B$305,0))</f>
        <v>ISO/TC 211</v>
      </c>
      <c r="K2251" t="str">
        <f>INDEX('GIS-Standards'!$O$2:$O$305,MATCH(C2251,'GIS-Standards'!$B$2:$B$305,0))</f>
        <v>ISO/TC 211</v>
      </c>
      <c r="M2251" t="s">
        <v>524</v>
      </c>
      <c r="N2251">
        <f>INDEX('GIS-Standards'!$I$2:$I$305,MATCH(B2251,'GIS-Standards'!$B$2:$B$305,0))</f>
        <v>0</v>
      </c>
      <c r="O2251">
        <f>INDEX('GIS-Standards'!$I$2:$I$305,MATCH(C2251,'GIS-Standards'!$B$2:$B$305,0))</f>
        <v>0</v>
      </c>
      <c r="P2251" t="b">
        <f>AND(TableRelationships12[[#This Row],[Source Type]]="BIM",TableRelationships12[[#This Row],[Target Type]]="BIM")</f>
        <v>0</v>
      </c>
      <c r="Q2251">
        <f t="shared" si="105"/>
        <v>6</v>
      </c>
      <c r="S2251">
        <f t="shared" si="106"/>
        <v>1</v>
      </c>
      <c r="T2251" s="102" t="str">
        <f>IF(TableRelationships12[[#This Row],[Rank Pedro]]="Low","linkCategory1",IF(TableRelationships12[[#This Row],[Rank Pedro]]="Medium","linkCategory2",IF(TableRelationships12[[#This Row],[Rank Pedro]]="High","linkCategory3","")))</f>
        <v/>
      </c>
      <c r="U2251" s="102" t="str">
        <f>IF(TableRelationships12[[#This Row],[Rank Pedro]]="Low","Pink",IF(TableRelationships12[[#This Row],[Rank Pedro]]="Medium","Purple",IF(TableRelationships12[[#This Row],[Rank Pedro]]="High","Brown","")))</f>
        <v/>
      </c>
      <c r="V2251" s="4" t="e">
        <f>MAX(INDEX(Standards!$F$2:$F$296,MATCH(B2251,Standards!$B$2:$B$296,0)),INDEX(Standards!$F$2:$F$296,MATCH(C2251,Standards!$B$2:$B$296,0)))</f>
        <v>#N/A</v>
      </c>
      <c r="W2251" t="str">
        <f t="shared" si="107"/>
        <v>#d6bf2a</v>
      </c>
    </row>
    <row r="2252" spans="1:23" x14ac:dyDescent="0.5">
      <c r="A2252" s="54">
        <v>2251</v>
      </c>
      <c r="B2252" s="90" t="s">
        <v>650</v>
      </c>
      <c r="C2252" t="s">
        <v>306</v>
      </c>
      <c r="D2252" s="1"/>
      <c r="E2252" s="112">
        <v>2005.06</v>
      </c>
      <c r="F2252" s="112">
        <v>2025.07</v>
      </c>
      <c r="G2252" s="107" t="s">
        <v>670</v>
      </c>
      <c r="H2252">
        <f>INDEX('GIS-Standards'!$A$2:$A$305,MATCH(B2252,'GIS-Standards'!$B$2:$B$305,0))</f>
        <v>99</v>
      </c>
      <c r="I2252">
        <f>INDEX('GIS-Standards'!$A$2:$A$305,MATCH(C2252,'GIS-Standards'!$B$2:$B$305,0))</f>
        <v>18</v>
      </c>
      <c r="J2252" t="str">
        <f>INDEX('GIS-Standards'!$O$2:$O$305,MATCH(B2252,'GIS-Standards'!$B$2:$B$305,0))</f>
        <v>ISO/TC 211</v>
      </c>
      <c r="K2252" t="str">
        <f>INDEX('GIS-Standards'!$O$2:$O$305,MATCH(C2252,'GIS-Standards'!$B$2:$B$305,0))</f>
        <v>ISO/TC 211</v>
      </c>
      <c r="M2252" t="s">
        <v>524</v>
      </c>
      <c r="N2252">
        <f>INDEX('GIS-Standards'!$I$2:$I$305,MATCH(B2252,'GIS-Standards'!$B$2:$B$305,0))</f>
        <v>0</v>
      </c>
      <c r="O2252">
        <f>INDEX('GIS-Standards'!$I$2:$I$305,MATCH(C2252,'GIS-Standards'!$B$2:$B$305,0))</f>
        <v>0</v>
      </c>
      <c r="P2252" t="b">
        <f>AND(TableRelationships12[[#This Row],[Source Type]]="BIM",TableRelationships12[[#This Row],[Target Type]]="BIM")</f>
        <v>0</v>
      </c>
      <c r="Q2252">
        <f t="shared" si="105"/>
        <v>6</v>
      </c>
      <c r="S2252">
        <f t="shared" si="106"/>
        <v>1</v>
      </c>
      <c r="T2252" s="102" t="str">
        <f>IF(TableRelationships12[[#This Row],[Rank Pedro]]="Low","linkCategory1",IF(TableRelationships12[[#This Row],[Rank Pedro]]="Medium","linkCategory2",IF(TableRelationships12[[#This Row],[Rank Pedro]]="High","linkCategory3","")))</f>
        <v/>
      </c>
      <c r="U2252" s="102" t="str">
        <f>IF(TableRelationships12[[#This Row],[Rank Pedro]]="Low","Pink",IF(TableRelationships12[[#This Row],[Rank Pedro]]="Medium","Purple",IF(TableRelationships12[[#This Row],[Rank Pedro]]="High","Brown","")))</f>
        <v/>
      </c>
      <c r="V2252" s="4" t="e">
        <f>MAX(INDEX(Standards!$F$2:$F$296,MATCH(B2252,Standards!$B$2:$B$296,0)),INDEX(Standards!$F$2:$F$296,MATCH(C2252,Standards!$B$2:$B$296,0)))</f>
        <v>#N/A</v>
      </c>
      <c r="W2252" t="str">
        <f t="shared" si="107"/>
        <v>#d6bf2a</v>
      </c>
    </row>
    <row r="2253" spans="1:23" x14ac:dyDescent="0.5">
      <c r="A2253" s="54">
        <v>2252</v>
      </c>
      <c r="B2253" s="90" t="s">
        <v>650</v>
      </c>
      <c r="C2253" t="s">
        <v>314</v>
      </c>
      <c r="D2253" s="1" t="s">
        <v>1099</v>
      </c>
      <c r="E2253" s="112">
        <v>2003.05</v>
      </c>
      <c r="F2253" s="112">
        <v>2020.11</v>
      </c>
      <c r="G2253" s="107" t="s">
        <v>670</v>
      </c>
      <c r="H2253">
        <f>INDEX('GIS-Standards'!$A$2:$A$305,MATCH(B2253,'GIS-Standards'!$B$2:$B$305,0))</f>
        <v>99</v>
      </c>
      <c r="I2253">
        <f>INDEX('GIS-Standards'!$A$2:$A$305,MATCH(C2253,'GIS-Standards'!$B$2:$B$305,0))</f>
        <v>22</v>
      </c>
      <c r="J2253" t="str">
        <f>INDEX('GIS-Standards'!$O$2:$O$305,MATCH(B2253,'GIS-Standards'!$B$2:$B$305,0))</f>
        <v>ISO/TC 211</v>
      </c>
      <c r="K2253" t="str">
        <f>INDEX('GIS-Standards'!$O$2:$O$305,MATCH(C2253,'GIS-Standards'!$B$2:$B$305,0))</f>
        <v>ISO/TC 211</v>
      </c>
      <c r="M2253" t="s">
        <v>524</v>
      </c>
      <c r="N2253">
        <f>INDEX('GIS-Standards'!$I$2:$I$305,MATCH(B2253,'GIS-Standards'!$B$2:$B$305,0))</f>
        <v>0</v>
      </c>
      <c r="O2253" t="str">
        <f>INDEX('GIS-Standards'!$I$2:$I$305,MATCH(C2253,'GIS-Standards'!$B$2:$B$305,0))</f>
        <v>12.2020</v>
      </c>
      <c r="P2253" t="b">
        <f>AND(TableRelationships12[[#This Row],[Source Type]]="BIM",TableRelationships12[[#This Row],[Target Type]]="BIM")</f>
        <v>0</v>
      </c>
      <c r="Q2253">
        <f t="shared" si="105"/>
        <v>6</v>
      </c>
      <c r="S2253">
        <f t="shared" si="106"/>
        <v>1</v>
      </c>
      <c r="T2253" s="102" t="str">
        <f>IF(TableRelationships12[[#This Row],[Rank Pedro]]="Low","linkCategory1",IF(TableRelationships12[[#This Row],[Rank Pedro]]="Medium","linkCategory2",IF(TableRelationships12[[#This Row],[Rank Pedro]]="High","linkCategory3","")))</f>
        <v/>
      </c>
      <c r="U2253" s="102" t="str">
        <f>IF(TableRelationships12[[#This Row],[Rank Pedro]]="Low","Pink",IF(TableRelationships12[[#This Row],[Rank Pedro]]="Medium","Purple",IF(TableRelationships12[[#This Row],[Rank Pedro]]="High","Brown","")))</f>
        <v/>
      </c>
      <c r="V2253" s="4" t="e">
        <f>MAX(INDEX(Standards!$F$2:$F$296,MATCH(B2253,Standards!$B$2:$B$296,0)),INDEX(Standards!$F$2:$F$296,MATCH(C2253,Standards!$B$2:$B$296,0)))</f>
        <v>#N/A</v>
      </c>
      <c r="W2253" t="str">
        <f t="shared" si="107"/>
        <v>#d6bf2a</v>
      </c>
    </row>
    <row r="2254" spans="1:23" x14ac:dyDescent="0.5">
      <c r="A2254" s="54">
        <v>2253</v>
      </c>
      <c r="B2254" s="90" t="s">
        <v>650</v>
      </c>
      <c r="C2254" t="s">
        <v>1041</v>
      </c>
      <c r="D2254" s="1"/>
      <c r="E2254" s="112">
        <v>2009.02</v>
      </c>
      <c r="F2254" s="112">
        <v>2022.03</v>
      </c>
      <c r="G2254" s="107" t="s">
        <v>670</v>
      </c>
      <c r="H2254">
        <f>INDEX('GIS-Standards'!$A$2:$A$305,MATCH(B2254,'GIS-Standards'!$B$2:$B$305,0))</f>
        <v>99</v>
      </c>
      <c r="I2254">
        <f>INDEX('GIS-Standards'!$A$2:$A$305,MATCH(C2254,'GIS-Standards'!$B$2:$B$305,0))</f>
        <v>23</v>
      </c>
      <c r="J2254" t="str">
        <f>INDEX('GIS-Standards'!$O$2:$O$305,MATCH(B2254,'GIS-Standards'!$B$2:$B$305,0))</f>
        <v>ISO/TC 211</v>
      </c>
      <c r="K2254" t="str">
        <f>INDEX('GIS-Standards'!$O$2:$O$305,MATCH(C2254,'GIS-Standards'!$B$2:$B$305,0))</f>
        <v>ISO/TC 211</v>
      </c>
      <c r="M2254" t="s">
        <v>524</v>
      </c>
      <c r="N2254">
        <f>INDEX('GIS-Standards'!$I$2:$I$305,MATCH(B2254,'GIS-Standards'!$B$2:$B$305,0))</f>
        <v>0</v>
      </c>
      <c r="O2254" t="str">
        <f>INDEX('GIS-Standards'!$I$2:$I$305,MATCH(C2254,'GIS-Standards'!$B$2:$B$305,0))</f>
        <v>03.2022</v>
      </c>
      <c r="P2254" t="b">
        <f>AND(TableRelationships12[[#This Row],[Source Type]]="BIM",TableRelationships12[[#This Row],[Target Type]]="BIM")</f>
        <v>0</v>
      </c>
      <c r="Q2254">
        <f t="shared" si="105"/>
        <v>6</v>
      </c>
      <c r="S2254">
        <f t="shared" si="106"/>
        <v>1</v>
      </c>
      <c r="T2254" s="102" t="str">
        <f>IF(TableRelationships12[[#This Row],[Rank Pedro]]="Low","linkCategory1",IF(TableRelationships12[[#This Row],[Rank Pedro]]="Medium","linkCategory2",IF(TableRelationships12[[#This Row],[Rank Pedro]]="High","linkCategory3","")))</f>
        <v/>
      </c>
      <c r="U2254" s="102" t="str">
        <f>IF(TableRelationships12[[#This Row],[Rank Pedro]]="Low","Pink",IF(TableRelationships12[[#This Row],[Rank Pedro]]="Medium","Purple",IF(TableRelationships12[[#This Row],[Rank Pedro]]="High","Brown","")))</f>
        <v/>
      </c>
      <c r="V2254" s="4" t="e">
        <f>MAX(INDEX(Standards!$F$2:$F$296,MATCH(B2254,Standards!$B$2:$B$296,0)),INDEX(Standards!$F$2:$F$296,MATCH(C2254,Standards!$B$2:$B$296,0)))</f>
        <v>#N/A</v>
      </c>
      <c r="W2254" t="str">
        <f t="shared" si="107"/>
        <v>#d6bf2a</v>
      </c>
    </row>
    <row r="2255" spans="1:23" x14ac:dyDescent="0.5">
      <c r="A2255" s="54">
        <v>2254</v>
      </c>
      <c r="B2255" s="90" t="s">
        <v>650</v>
      </c>
      <c r="C2255" t="s">
        <v>316</v>
      </c>
      <c r="D2255" s="1"/>
      <c r="E2255" s="112">
        <v>2005.07</v>
      </c>
      <c r="F2255" s="112">
        <v>2011.1</v>
      </c>
      <c r="G2255" s="107" t="s">
        <v>670</v>
      </c>
      <c r="H2255">
        <f>INDEX('GIS-Standards'!$A$2:$A$305,MATCH(B2255,'GIS-Standards'!$B$2:$B$305,0))</f>
        <v>99</v>
      </c>
      <c r="I2255">
        <f>INDEX('GIS-Standards'!$A$2:$A$305,MATCH(C2255,'GIS-Standards'!$B$2:$B$305,0))</f>
        <v>27</v>
      </c>
      <c r="J2255" t="str">
        <f>INDEX('GIS-Standards'!$O$2:$O$305,MATCH(B2255,'GIS-Standards'!$B$2:$B$305,0))</f>
        <v>ISO/TC 211</v>
      </c>
      <c r="K2255" t="str">
        <f>INDEX('GIS-Standards'!$O$2:$O$305,MATCH(C2255,'GIS-Standards'!$B$2:$B$305,0))</f>
        <v>ISO/TC 211</v>
      </c>
      <c r="M2255" t="s">
        <v>524</v>
      </c>
      <c r="N2255">
        <f>INDEX('GIS-Standards'!$I$2:$I$305,MATCH(B2255,'GIS-Standards'!$B$2:$B$305,0))</f>
        <v>0</v>
      </c>
      <c r="O2255">
        <f>INDEX('GIS-Standards'!$I$2:$I$305,MATCH(C2255,'GIS-Standards'!$B$2:$B$305,0))</f>
        <v>0</v>
      </c>
      <c r="P2255" t="b">
        <f>AND(TableRelationships12[[#This Row],[Source Type]]="BIM",TableRelationships12[[#This Row],[Target Type]]="BIM")</f>
        <v>0</v>
      </c>
      <c r="Q2255">
        <f t="shared" si="105"/>
        <v>6</v>
      </c>
      <c r="S2255">
        <f t="shared" si="106"/>
        <v>1</v>
      </c>
      <c r="T2255" s="102" t="str">
        <f>IF(TableRelationships12[[#This Row],[Rank Pedro]]="Low","linkCategory1",IF(TableRelationships12[[#This Row],[Rank Pedro]]="Medium","linkCategory2",IF(TableRelationships12[[#This Row],[Rank Pedro]]="High","linkCategory3","")))</f>
        <v/>
      </c>
      <c r="U2255" s="102" t="str">
        <f>IF(TableRelationships12[[#This Row],[Rank Pedro]]="Low","Pink",IF(TableRelationships12[[#This Row],[Rank Pedro]]="Medium","Purple",IF(TableRelationships12[[#This Row],[Rank Pedro]]="High","Brown","")))</f>
        <v/>
      </c>
      <c r="V2255" s="4" t="e">
        <f>MAX(INDEX(Standards!$F$2:$F$296,MATCH(B2255,Standards!$B$2:$B$296,0)),INDEX(Standards!$F$2:$F$296,MATCH(C2255,Standards!$B$2:$B$296,0)))</f>
        <v>#N/A</v>
      </c>
      <c r="W2255" t="str">
        <f t="shared" si="107"/>
        <v>#d6bf2a</v>
      </c>
    </row>
    <row r="2256" spans="1:23" x14ac:dyDescent="0.5">
      <c r="A2256" s="54">
        <v>2255</v>
      </c>
      <c r="B2256" s="90" t="s">
        <v>650</v>
      </c>
      <c r="C2256" t="s">
        <v>320</v>
      </c>
      <c r="D2256" s="1" t="s">
        <v>1100</v>
      </c>
      <c r="E2256" s="112">
        <v>2005.08</v>
      </c>
      <c r="F2256" s="112">
        <v>2023.06</v>
      </c>
      <c r="G2256" s="107" t="s">
        <v>670</v>
      </c>
      <c r="H2256">
        <f>INDEX('GIS-Standards'!$A$2:$A$305,MATCH(B2256,'GIS-Standards'!$B$2:$B$305,0))</f>
        <v>99</v>
      </c>
      <c r="I2256">
        <f>INDEX('GIS-Standards'!$A$2:$A$305,MATCH(C2256,'GIS-Standards'!$B$2:$B$305,0))</f>
        <v>29</v>
      </c>
      <c r="J2256" t="str">
        <f>INDEX('GIS-Standards'!$O$2:$O$305,MATCH(B2256,'GIS-Standards'!$B$2:$B$305,0))</f>
        <v>ISO/TC 211</v>
      </c>
      <c r="K2256" t="str">
        <f>INDEX('GIS-Standards'!$O$2:$O$305,MATCH(C2256,'GIS-Standards'!$B$2:$B$305,0))</f>
        <v>ISO/TC 211</v>
      </c>
      <c r="M2256" t="s">
        <v>524</v>
      </c>
      <c r="N2256">
        <f>INDEX('GIS-Standards'!$I$2:$I$305,MATCH(B2256,'GIS-Standards'!$B$2:$B$305,0))</f>
        <v>0</v>
      </c>
      <c r="O2256">
        <f>INDEX('GIS-Standards'!$I$2:$I$305,MATCH(C2256,'GIS-Standards'!$B$2:$B$305,0))</f>
        <v>0</v>
      </c>
      <c r="P2256" t="b">
        <f>AND(TableRelationships12[[#This Row],[Source Type]]="BIM",TableRelationships12[[#This Row],[Target Type]]="BIM")</f>
        <v>0</v>
      </c>
      <c r="Q2256">
        <f t="shared" si="105"/>
        <v>6</v>
      </c>
      <c r="S2256">
        <f t="shared" si="106"/>
        <v>1</v>
      </c>
      <c r="T2256" s="102" t="str">
        <f>IF(TableRelationships12[[#This Row],[Rank Pedro]]="Low","linkCategory1",IF(TableRelationships12[[#This Row],[Rank Pedro]]="Medium","linkCategory2",IF(TableRelationships12[[#This Row],[Rank Pedro]]="High","linkCategory3","")))</f>
        <v/>
      </c>
      <c r="U2256" s="102" t="str">
        <f>IF(TableRelationships12[[#This Row],[Rank Pedro]]="Low","Pink",IF(TableRelationships12[[#This Row],[Rank Pedro]]="Medium","Purple",IF(TableRelationships12[[#This Row],[Rank Pedro]]="High","Brown","")))</f>
        <v/>
      </c>
      <c r="V2256" s="4" t="e">
        <f>MAX(INDEX(Standards!$F$2:$F$296,MATCH(B2256,Standards!$B$2:$B$296,0)),INDEX(Standards!$F$2:$F$296,MATCH(C2256,Standards!$B$2:$B$296,0)))</f>
        <v>#N/A</v>
      </c>
      <c r="W2256" t="str">
        <f t="shared" si="107"/>
        <v>#d6bf2a</v>
      </c>
    </row>
    <row r="2257" spans="1:23" x14ac:dyDescent="0.5">
      <c r="A2257" s="54">
        <v>2256</v>
      </c>
      <c r="B2257" s="90" t="s">
        <v>650</v>
      </c>
      <c r="C2257" t="s">
        <v>1353</v>
      </c>
      <c r="D2257" s="1"/>
      <c r="E2257" s="112">
        <v>1984.1</v>
      </c>
      <c r="F2257" s="112">
        <v>1996.06</v>
      </c>
      <c r="G2257" s="107" t="s">
        <v>1489</v>
      </c>
      <c r="H2257">
        <f>INDEX('GIS-Standards'!$A$2:$A$305,MATCH(B2257,'GIS-Standards'!$B$2:$B$305,0))</f>
        <v>99</v>
      </c>
      <c r="I2257" t="e">
        <f>INDEX('GIS-Standards'!$A$2:$A$305,MATCH(C2257,'GIS-Standards'!$B$2:$B$305,0))</f>
        <v>#N/A</v>
      </c>
      <c r="J2257" t="str">
        <f>INDEX('GIS-Standards'!$O$2:$O$305,MATCH(B2257,'GIS-Standards'!$B$2:$B$305,0))</f>
        <v>ISO/TC 211</v>
      </c>
      <c r="K2257" t="e">
        <f>INDEX('GIS-Standards'!$O$2:$O$305,MATCH(C2257,'GIS-Standards'!$B$2:$B$305,0))</f>
        <v>#N/A</v>
      </c>
      <c r="M2257" t="s">
        <v>525</v>
      </c>
      <c r="N2257">
        <f>INDEX('GIS-Standards'!$I$2:$I$305,MATCH(B2257,'GIS-Standards'!$B$2:$B$305,0))</f>
        <v>0</v>
      </c>
      <c r="O2257" t="e">
        <f>INDEX('GIS-Standards'!$I$2:$I$305,MATCH(C2257,'GIS-Standards'!$B$2:$B$305,0))</f>
        <v>#N/A</v>
      </c>
      <c r="P2257" t="e">
        <f>AND(TableRelationships12[[#This Row],[Source Type]]="BIM",TableRelationships12[[#This Row],[Target Type]]="BIM")</f>
        <v>#N/A</v>
      </c>
      <c r="Q2257">
        <f t="shared" si="105"/>
        <v>1</v>
      </c>
      <c r="S2257">
        <f t="shared" si="106"/>
        <v>1</v>
      </c>
      <c r="T2257" s="102" t="str">
        <f>IF(TableRelationships12[[#This Row],[Rank Pedro]]="Low","linkCategory1",IF(TableRelationships12[[#This Row],[Rank Pedro]]="Medium","linkCategory2",IF(TableRelationships12[[#This Row],[Rank Pedro]]="High","linkCategory3","")))</f>
        <v/>
      </c>
      <c r="U2257" s="102" t="str">
        <f>IF(TableRelationships12[[#This Row],[Rank Pedro]]="Low","Pink",IF(TableRelationships12[[#This Row],[Rank Pedro]]="Medium","Purple",IF(TableRelationships12[[#This Row],[Rank Pedro]]="High","Brown","")))</f>
        <v/>
      </c>
      <c r="V2257" s="4" t="e">
        <f>MAX(INDEX(Standards!$F$2:$F$296,MATCH(B2257,Standards!$B$2:$B$296,0)),INDEX(Standards!$F$2:$F$296,MATCH(C2257,Standards!$B$2:$B$296,0)))</f>
        <v>#N/A</v>
      </c>
      <c r="W2257" t="str">
        <f t="shared" si="107"/>
        <v>#2f89d1</v>
      </c>
    </row>
    <row r="2258" spans="1:23" x14ac:dyDescent="0.5">
      <c r="A2258" s="54">
        <v>2257</v>
      </c>
      <c r="B2258" s="90" t="s">
        <v>650</v>
      </c>
      <c r="C2258" t="s">
        <v>1149</v>
      </c>
      <c r="D2258" s="1"/>
      <c r="E2258" s="112">
        <v>1985.12</v>
      </c>
      <c r="F2258" s="112">
        <v>1994.1</v>
      </c>
      <c r="G2258" s="107" t="s">
        <v>1502</v>
      </c>
      <c r="H2258">
        <f>INDEX('GIS-Standards'!$A$2:$A$305,MATCH(B2258,'GIS-Standards'!$B$2:$B$305,0))</f>
        <v>99</v>
      </c>
      <c r="I2258" t="e">
        <f>INDEX('GIS-Standards'!$A$2:$A$305,MATCH(C2258,'GIS-Standards'!$B$2:$B$305,0))</f>
        <v>#N/A</v>
      </c>
      <c r="J2258" t="str">
        <f>INDEX('GIS-Standards'!$O$2:$O$305,MATCH(B2258,'GIS-Standards'!$B$2:$B$305,0))</f>
        <v>ISO/TC 211</v>
      </c>
      <c r="K2258" t="e">
        <f>INDEX('GIS-Standards'!$O$2:$O$305,MATCH(C2258,'GIS-Standards'!$B$2:$B$305,0))</f>
        <v>#N/A</v>
      </c>
      <c r="M2258" t="s">
        <v>525</v>
      </c>
      <c r="N2258">
        <f>INDEX('GIS-Standards'!$I$2:$I$305,MATCH(B2258,'GIS-Standards'!$B$2:$B$305,0))</f>
        <v>0</v>
      </c>
      <c r="O2258" t="e">
        <f>INDEX('GIS-Standards'!$I$2:$I$305,MATCH(C2258,'GIS-Standards'!$B$2:$B$305,0))</f>
        <v>#N/A</v>
      </c>
      <c r="P2258" t="e">
        <f>AND(TableRelationships12[[#This Row],[Source Type]]="BIM",TableRelationships12[[#This Row],[Target Type]]="BIM")</f>
        <v>#N/A</v>
      </c>
      <c r="Q2258">
        <f t="shared" si="105"/>
        <v>1</v>
      </c>
      <c r="S2258">
        <f t="shared" si="106"/>
        <v>1</v>
      </c>
      <c r="T2258" s="102" t="str">
        <f>IF(TableRelationships12[[#This Row],[Rank Pedro]]="Low","linkCategory1",IF(TableRelationships12[[#This Row],[Rank Pedro]]="Medium","linkCategory2",IF(TableRelationships12[[#This Row],[Rank Pedro]]="High","linkCategory3","")))</f>
        <v/>
      </c>
      <c r="U2258" s="102" t="str">
        <f>IF(TableRelationships12[[#This Row],[Rank Pedro]]="Low","Pink",IF(TableRelationships12[[#This Row],[Rank Pedro]]="Medium","Purple",IF(TableRelationships12[[#This Row],[Rank Pedro]]="High","Brown","")))</f>
        <v/>
      </c>
      <c r="V2258" s="4" t="e">
        <f>MAX(INDEX(Standards!$F$2:$F$296,MATCH(B2258,Standards!$B$2:$B$296,0)),INDEX(Standards!$F$2:$F$296,MATCH(C2258,Standards!$B$2:$B$296,0)))</f>
        <v>#N/A</v>
      </c>
      <c r="W2258" t="str">
        <f t="shared" si="107"/>
        <v>#2f89d1</v>
      </c>
    </row>
    <row r="2259" spans="1:23" x14ac:dyDescent="0.5">
      <c r="A2259" s="54">
        <v>2258</v>
      </c>
      <c r="B2259" s="90" t="s">
        <v>650</v>
      </c>
      <c r="C2259" t="s">
        <v>1515</v>
      </c>
      <c r="D2259" s="1" t="s">
        <v>1354</v>
      </c>
      <c r="E2259" s="112">
        <v>1995.1</v>
      </c>
      <c r="F2259" s="112">
        <v>2021.06</v>
      </c>
      <c r="G2259" s="107" t="s">
        <v>1514</v>
      </c>
      <c r="H2259">
        <f>INDEX('GIS-Standards'!$A$2:$A$305,MATCH(B2259,'GIS-Standards'!$B$2:$B$305,0))</f>
        <v>99</v>
      </c>
      <c r="I2259" t="e">
        <f>INDEX('GIS-Standards'!$A$2:$A$305,MATCH(C2259,'GIS-Standards'!$B$2:$B$305,0))</f>
        <v>#N/A</v>
      </c>
      <c r="J2259" t="str">
        <f>INDEX('GIS-Standards'!$O$2:$O$305,MATCH(B2259,'GIS-Standards'!$B$2:$B$305,0))</f>
        <v>ISO/TC 211</v>
      </c>
      <c r="K2259" t="e">
        <f>INDEX('GIS-Standards'!$O$2:$O$305,MATCH(C2259,'GIS-Standards'!$B$2:$B$305,0))</f>
        <v>#N/A</v>
      </c>
      <c r="M2259" t="s">
        <v>525</v>
      </c>
      <c r="N2259">
        <f>INDEX('GIS-Standards'!$I$2:$I$305,MATCH(B2259,'GIS-Standards'!$B$2:$B$305,0))</f>
        <v>0</v>
      </c>
      <c r="O2259" t="e">
        <f>INDEX('GIS-Standards'!$I$2:$I$305,MATCH(C2259,'GIS-Standards'!$B$2:$B$305,0))</f>
        <v>#N/A</v>
      </c>
      <c r="P2259" t="e">
        <f>AND(TableRelationships12[[#This Row],[Source Type]]="BIM",TableRelationships12[[#This Row],[Target Type]]="BIM")</f>
        <v>#N/A</v>
      </c>
      <c r="Q2259">
        <f t="shared" si="105"/>
        <v>1</v>
      </c>
      <c r="S2259">
        <f t="shared" si="106"/>
        <v>1</v>
      </c>
      <c r="T2259" s="102" t="str">
        <f>IF(TableRelationships12[[#This Row],[Rank Pedro]]="Low","linkCategory1",IF(TableRelationships12[[#This Row],[Rank Pedro]]="Medium","linkCategory2",IF(TableRelationships12[[#This Row],[Rank Pedro]]="High","linkCategory3","")))</f>
        <v/>
      </c>
      <c r="U2259" s="102" t="str">
        <f>IF(TableRelationships12[[#This Row],[Rank Pedro]]="Low","Pink",IF(TableRelationships12[[#This Row],[Rank Pedro]]="Medium","Purple",IF(TableRelationships12[[#This Row],[Rank Pedro]]="High","Brown","")))</f>
        <v/>
      </c>
      <c r="V2259" s="4" t="e">
        <f>MAX(INDEX(Standards!$F$2:$F$296,MATCH(B2259,Standards!$B$2:$B$296,0)),INDEX(Standards!$F$2:$F$296,MATCH(C2259,Standards!$B$2:$B$296,0)))</f>
        <v>#N/A</v>
      </c>
      <c r="W2259" t="str">
        <f t="shared" si="107"/>
        <v>#2f89d1</v>
      </c>
    </row>
    <row r="2260" spans="1:23" x14ac:dyDescent="0.5">
      <c r="A2260" s="54">
        <v>2259</v>
      </c>
      <c r="B2260" s="90" t="s">
        <v>650</v>
      </c>
      <c r="C2260" t="s">
        <v>1063</v>
      </c>
      <c r="D2260" s="1" t="s">
        <v>1355</v>
      </c>
      <c r="E2260" s="112">
        <v>1998.12</v>
      </c>
      <c r="F2260" s="112">
        <v>1998.12</v>
      </c>
      <c r="G2260" s="107" t="s">
        <v>1502</v>
      </c>
      <c r="H2260">
        <f>INDEX('GIS-Standards'!$A$2:$A$305,MATCH(B2260,'GIS-Standards'!$B$2:$B$305,0))</f>
        <v>99</v>
      </c>
      <c r="I2260" t="e">
        <f>INDEX('GIS-Standards'!$A$2:$A$305,MATCH(C2260,'GIS-Standards'!$B$2:$B$305,0))</f>
        <v>#N/A</v>
      </c>
      <c r="J2260" t="str">
        <f>INDEX('GIS-Standards'!$O$2:$O$305,MATCH(B2260,'GIS-Standards'!$B$2:$B$305,0))</f>
        <v>ISO/TC 211</v>
      </c>
      <c r="K2260" t="e">
        <f>INDEX('GIS-Standards'!$O$2:$O$305,MATCH(C2260,'GIS-Standards'!$B$2:$B$305,0))</f>
        <v>#N/A</v>
      </c>
      <c r="M2260" t="s">
        <v>525</v>
      </c>
      <c r="N2260">
        <f>INDEX('GIS-Standards'!$I$2:$I$305,MATCH(B2260,'GIS-Standards'!$B$2:$B$305,0))</f>
        <v>0</v>
      </c>
      <c r="O2260" t="e">
        <f>INDEX('GIS-Standards'!$I$2:$I$305,MATCH(C2260,'GIS-Standards'!$B$2:$B$305,0))</f>
        <v>#N/A</v>
      </c>
      <c r="P2260" t="e">
        <f>AND(TableRelationships12[[#This Row],[Source Type]]="BIM",TableRelationships12[[#This Row],[Target Type]]="BIM")</f>
        <v>#N/A</v>
      </c>
      <c r="Q2260">
        <f t="shared" si="105"/>
        <v>1</v>
      </c>
      <c r="S2260">
        <f t="shared" si="106"/>
        <v>1</v>
      </c>
      <c r="T2260" s="102" t="str">
        <f>IF(TableRelationships12[[#This Row],[Rank Pedro]]="Low","linkCategory1",IF(TableRelationships12[[#This Row],[Rank Pedro]]="Medium","linkCategory2",IF(TableRelationships12[[#This Row],[Rank Pedro]]="High","linkCategory3","")))</f>
        <v/>
      </c>
      <c r="U2260" s="102" t="str">
        <f>IF(TableRelationships12[[#This Row],[Rank Pedro]]="Low","Pink",IF(TableRelationships12[[#This Row],[Rank Pedro]]="Medium","Purple",IF(TableRelationships12[[#This Row],[Rank Pedro]]="High","Brown","")))</f>
        <v/>
      </c>
      <c r="V2260" s="4" t="e">
        <f>MAX(INDEX(Standards!$F$2:$F$296,MATCH(B2260,Standards!$B$2:$B$296,0)),INDEX(Standards!$F$2:$F$296,MATCH(C2260,Standards!$B$2:$B$296,0)))</f>
        <v>#N/A</v>
      </c>
      <c r="W2260" t="str">
        <f t="shared" si="107"/>
        <v>#2f89d1</v>
      </c>
    </row>
    <row r="2261" spans="1:23" x14ac:dyDescent="0.5">
      <c r="A2261" s="54">
        <v>2260</v>
      </c>
      <c r="B2261" s="90" t="s">
        <v>650</v>
      </c>
      <c r="C2261" t="s">
        <v>1064</v>
      </c>
      <c r="D2261" s="1" t="s">
        <v>1355</v>
      </c>
      <c r="E2261" s="112">
        <v>1996.09</v>
      </c>
      <c r="F2261" s="112">
        <v>2009.12</v>
      </c>
      <c r="G2261" s="107" t="s">
        <v>1502</v>
      </c>
      <c r="H2261">
        <f>INDEX('GIS-Standards'!$A$2:$A$305,MATCH(B2261,'GIS-Standards'!$B$2:$B$305,0))</f>
        <v>99</v>
      </c>
      <c r="I2261" t="e">
        <f>INDEX('GIS-Standards'!$A$2:$A$305,MATCH(C2261,'GIS-Standards'!$B$2:$B$305,0))</f>
        <v>#N/A</v>
      </c>
      <c r="J2261" t="str">
        <f>INDEX('GIS-Standards'!$O$2:$O$305,MATCH(B2261,'GIS-Standards'!$B$2:$B$305,0))</f>
        <v>ISO/TC 211</v>
      </c>
      <c r="K2261" t="e">
        <f>INDEX('GIS-Standards'!$O$2:$O$305,MATCH(C2261,'GIS-Standards'!$B$2:$B$305,0))</f>
        <v>#N/A</v>
      </c>
      <c r="M2261" t="s">
        <v>525</v>
      </c>
      <c r="N2261">
        <f>INDEX('GIS-Standards'!$I$2:$I$305,MATCH(B2261,'GIS-Standards'!$B$2:$B$305,0))</f>
        <v>0</v>
      </c>
      <c r="O2261" t="e">
        <f>INDEX('GIS-Standards'!$I$2:$I$305,MATCH(C2261,'GIS-Standards'!$B$2:$B$305,0))</f>
        <v>#N/A</v>
      </c>
      <c r="P2261" t="e">
        <f>AND(TableRelationships12[[#This Row],[Source Type]]="BIM",TableRelationships12[[#This Row],[Target Type]]="BIM")</f>
        <v>#N/A</v>
      </c>
      <c r="Q2261">
        <f t="shared" si="105"/>
        <v>1</v>
      </c>
      <c r="S2261">
        <f t="shared" si="106"/>
        <v>1</v>
      </c>
      <c r="T2261" s="102" t="str">
        <f>IF(TableRelationships12[[#This Row],[Rank Pedro]]="Low","linkCategory1",IF(TableRelationships12[[#This Row],[Rank Pedro]]="Medium","linkCategory2",IF(TableRelationships12[[#This Row],[Rank Pedro]]="High","linkCategory3","")))</f>
        <v/>
      </c>
      <c r="U2261" s="102" t="str">
        <f>IF(TableRelationships12[[#This Row],[Rank Pedro]]="Low","Pink",IF(TableRelationships12[[#This Row],[Rank Pedro]]="Medium","Purple",IF(TableRelationships12[[#This Row],[Rank Pedro]]="High","Brown","")))</f>
        <v/>
      </c>
      <c r="V2261" s="4" t="e">
        <f>MAX(INDEX(Standards!$F$2:$F$296,MATCH(B2261,Standards!$B$2:$B$296,0)),INDEX(Standards!$F$2:$F$296,MATCH(C2261,Standards!$B$2:$B$296,0)))</f>
        <v>#N/A</v>
      </c>
      <c r="W2261" t="str">
        <f t="shared" si="107"/>
        <v>#2f89d1</v>
      </c>
    </row>
    <row r="2262" spans="1:23" x14ac:dyDescent="0.5">
      <c r="A2262" s="54">
        <v>2261</v>
      </c>
      <c r="B2262" s="90" t="s">
        <v>650</v>
      </c>
      <c r="C2262" t="s">
        <v>1065</v>
      </c>
      <c r="D2262" s="1" t="s">
        <v>1355</v>
      </c>
      <c r="E2262" s="112">
        <v>1996.09</v>
      </c>
      <c r="F2262" s="112">
        <v>2009.12</v>
      </c>
      <c r="G2262" s="107" t="s">
        <v>1502</v>
      </c>
      <c r="H2262">
        <f>INDEX('GIS-Standards'!$A$2:$A$305,MATCH(B2262,'GIS-Standards'!$B$2:$B$305,0))</f>
        <v>99</v>
      </c>
      <c r="I2262" t="e">
        <f>INDEX('GIS-Standards'!$A$2:$A$305,MATCH(C2262,'GIS-Standards'!$B$2:$B$305,0))</f>
        <v>#N/A</v>
      </c>
      <c r="J2262" t="str">
        <f>INDEX('GIS-Standards'!$O$2:$O$305,MATCH(B2262,'GIS-Standards'!$B$2:$B$305,0))</f>
        <v>ISO/TC 211</v>
      </c>
      <c r="K2262" t="e">
        <f>INDEX('GIS-Standards'!$O$2:$O$305,MATCH(C2262,'GIS-Standards'!$B$2:$B$305,0))</f>
        <v>#N/A</v>
      </c>
      <c r="M2262" t="s">
        <v>525</v>
      </c>
      <c r="N2262">
        <f>INDEX('GIS-Standards'!$I$2:$I$305,MATCH(B2262,'GIS-Standards'!$B$2:$B$305,0))</f>
        <v>0</v>
      </c>
      <c r="O2262" t="e">
        <f>INDEX('GIS-Standards'!$I$2:$I$305,MATCH(C2262,'GIS-Standards'!$B$2:$B$305,0))</f>
        <v>#N/A</v>
      </c>
      <c r="P2262" t="e">
        <f>AND(TableRelationships12[[#This Row],[Source Type]]="BIM",TableRelationships12[[#This Row],[Target Type]]="BIM")</f>
        <v>#N/A</v>
      </c>
      <c r="Q2262">
        <f t="shared" si="105"/>
        <v>1</v>
      </c>
      <c r="S2262">
        <f t="shared" si="106"/>
        <v>1</v>
      </c>
      <c r="T2262" s="102" t="str">
        <f>IF(TableRelationships12[[#This Row],[Rank Pedro]]="Low","linkCategory1",IF(TableRelationships12[[#This Row],[Rank Pedro]]="Medium","linkCategory2",IF(TableRelationships12[[#This Row],[Rank Pedro]]="High","linkCategory3","")))</f>
        <v/>
      </c>
      <c r="U2262" s="102" t="str">
        <f>IF(TableRelationships12[[#This Row],[Rank Pedro]]="Low","Pink",IF(TableRelationships12[[#This Row],[Rank Pedro]]="Medium","Purple",IF(TableRelationships12[[#This Row],[Rank Pedro]]="High","Brown","")))</f>
        <v/>
      </c>
      <c r="V2262" s="4" t="e">
        <f>MAX(INDEX(Standards!$F$2:$F$296,MATCH(B2262,Standards!$B$2:$B$296,0)),INDEX(Standards!$F$2:$F$296,MATCH(C2262,Standards!$B$2:$B$296,0)))</f>
        <v>#N/A</v>
      </c>
      <c r="W2262" t="str">
        <f t="shared" si="107"/>
        <v>#2f89d1</v>
      </c>
    </row>
    <row r="2263" spans="1:23" x14ac:dyDescent="0.5">
      <c r="A2263" s="54">
        <v>2262</v>
      </c>
      <c r="B2263" s="90" t="s">
        <v>650</v>
      </c>
      <c r="C2263" t="s">
        <v>1066</v>
      </c>
      <c r="D2263" s="1" t="s">
        <v>1355</v>
      </c>
      <c r="E2263" s="112">
        <v>1998.12</v>
      </c>
      <c r="F2263" s="112">
        <v>2001.12</v>
      </c>
      <c r="G2263" s="107" t="s">
        <v>1502</v>
      </c>
      <c r="H2263">
        <f>INDEX('GIS-Standards'!$A$2:$A$305,MATCH(B2263,'GIS-Standards'!$B$2:$B$305,0))</f>
        <v>99</v>
      </c>
      <c r="I2263" t="e">
        <f>INDEX('GIS-Standards'!$A$2:$A$305,MATCH(C2263,'GIS-Standards'!$B$2:$B$305,0))</f>
        <v>#N/A</v>
      </c>
      <c r="J2263" t="str">
        <f>INDEX('GIS-Standards'!$O$2:$O$305,MATCH(B2263,'GIS-Standards'!$B$2:$B$305,0))</f>
        <v>ISO/TC 211</v>
      </c>
      <c r="K2263" t="e">
        <f>INDEX('GIS-Standards'!$O$2:$O$305,MATCH(C2263,'GIS-Standards'!$B$2:$B$305,0))</f>
        <v>#N/A</v>
      </c>
      <c r="M2263" t="s">
        <v>525</v>
      </c>
      <c r="N2263">
        <f>INDEX('GIS-Standards'!$I$2:$I$305,MATCH(B2263,'GIS-Standards'!$B$2:$B$305,0))</f>
        <v>0</v>
      </c>
      <c r="O2263" t="e">
        <f>INDEX('GIS-Standards'!$I$2:$I$305,MATCH(C2263,'GIS-Standards'!$B$2:$B$305,0))</f>
        <v>#N/A</v>
      </c>
      <c r="P2263" t="e">
        <f>AND(TableRelationships12[[#This Row],[Source Type]]="BIM",TableRelationships12[[#This Row],[Target Type]]="BIM")</f>
        <v>#N/A</v>
      </c>
      <c r="Q2263">
        <f t="shared" si="105"/>
        <v>1</v>
      </c>
      <c r="S2263">
        <f t="shared" si="106"/>
        <v>1</v>
      </c>
      <c r="T2263" s="102" t="str">
        <f>IF(TableRelationships12[[#This Row],[Rank Pedro]]="Low","linkCategory1",IF(TableRelationships12[[#This Row],[Rank Pedro]]="Medium","linkCategory2",IF(TableRelationships12[[#This Row],[Rank Pedro]]="High","linkCategory3","")))</f>
        <v/>
      </c>
      <c r="U2263" s="102" t="str">
        <f>IF(TableRelationships12[[#This Row],[Rank Pedro]]="Low","Pink",IF(TableRelationships12[[#This Row],[Rank Pedro]]="Medium","Purple",IF(TableRelationships12[[#This Row],[Rank Pedro]]="High","Brown","")))</f>
        <v/>
      </c>
      <c r="V2263" s="4" t="e">
        <f>MAX(INDEX(Standards!$F$2:$F$296,MATCH(B2263,Standards!$B$2:$B$296,0)),INDEX(Standards!$F$2:$F$296,MATCH(C2263,Standards!$B$2:$B$296,0)))</f>
        <v>#N/A</v>
      </c>
      <c r="W2263" t="str">
        <f t="shared" si="107"/>
        <v>#2f89d1</v>
      </c>
    </row>
    <row r="2264" spans="1:23" x14ac:dyDescent="0.5">
      <c r="A2264" s="54">
        <v>2263</v>
      </c>
      <c r="B2264" s="90" t="s">
        <v>650</v>
      </c>
      <c r="C2264" t="s">
        <v>1260</v>
      </c>
      <c r="D2264" s="1"/>
      <c r="E2264" s="112">
        <v>1998.1</v>
      </c>
      <c r="F2264" s="112">
        <v>2025.08</v>
      </c>
      <c r="G2264" s="107" t="s">
        <v>1500</v>
      </c>
      <c r="H2264">
        <f>INDEX('GIS-Standards'!$A$2:$A$305,MATCH(B2264,'GIS-Standards'!$B$2:$B$305,0))</f>
        <v>99</v>
      </c>
      <c r="I2264" t="e">
        <f>INDEX('GIS-Standards'!$A$2:$A$305,MATCH(C2264,'GIS-Standards'!$B$2:$B$305,0))</f>
        <v>#N/A</v>
      </c>
      <c r="J2264" t="str">
        <f>INDEX('GIS-Standards'!$O$2:$O$305,MATCH(B2264,'GIS-Standards'!$B$2:$B$305,0))</f>
        <v>ISO/TC 211</v>
      </c>
      <c r="K2264" t="e">
        <f>INDEX('GIS-Standards'!$O$2:$O$305,MATCH(C2264,'GIS-Standards'!$B$2:$B$305,0))</f>
        <v>#N/A</v>
      </c>
      <c r="M2264" t="s">
        <v>525</v>
      </c>
      <c r="N2264">
        <f>INDEX('GIS-Standards'!$I$2:$I$305,MATCH(B2264,'GIS-Standards'!$B$2:$B$305,0))</f>
        <v>0</v>
      </c>
      <c r="O2264" t="e">
        <f>INDEX('GIS-Standards'!$I$2:$I$305,MATCH(C2264,'GIS-Standards'!$B$2:$B$305,0))</f>
        <v>#N/A</v>
      </c>
      <c r="P2264" t="e">
        <f>AND(TableRelationships12[[#This Row],[Source Type]]="BIM",TableRelationships12[[#This Row],[Target Type]]="BIM")</f>
        <v>#N/A</v>
      </c>
      <c r="Q2264">
        <f t="shared" si="105"/>
        <v>1</v>
      </c>
      <c r="S2264">
        <f t="shared" si="106"/>
        <v>1</v>
      </c>
      <c r="T2264" s="102" t="str">
        <f>IF(TableRelationships12[[#This Row],[Rank Pedro]]="Low","linkCategory1",IF(TableRelationships12[[#This Row],[Rank Pedro]]="Medium","linkCategory2",IF(TableRelationships12[[#This Row],[Rank Pedro]]="High","linkCategory3","")))</f>
        <v/>
      </c>
      <c r="U2264" s="102" t="str">
        <f>IF(TableRelationships12[[#This Row],[Rank Pedro]]="Low","Pink",IF(TableRelationships12[[#This Row],[Rank Pedro]]="Medium","Purple",IF(TableRelationships12[[#This Row],[Rank Pedro]]="High","Brown","")))</f>
        <v/>
      </c>
      <c r="V2264" s="4" t="e">
        <f>MAX(INDEX(Standards!$F$2:$F$296,MATCH(B2264,Standards!$B$2:$B$296,0)),INDEX(Standards!$F$2:$F$296,MATCH(C2264,Standards!$B$2:$B$296,0)))</f>
        <v>#N/A</v>
      </c>
      <c r="W2264" t="str">
        <f t="shared" si="107"/>
        <v>#2f89d1</v>
      </c>
    </row>
    <row r="2265" spans="1:23" x14ac:dyDescent="0.5">
      <c r="A2265" s="54">
        <v>2264</v>
      </c>
      <c r="B2265" s="90" t="s">
        <v>650</v>
      </c>
      <c r="C2265" s="105" t="s">
        <v>1356</v>
      </c>
      <c r="D2265" s="120"/>
      <c r="E2265" s="114">
        <v>2001.05</v>
      </c>
      <c r="F2265" s="114">
        <v>2003.11</v>
      </c>
      <c r="G2265" s="110" t="s">
        <v>1504</v>
      </c>
      <c r="H2265">
        <f>INDEX('GIS-Standards'!$A$2:$A$305,MATCH(B2265,'GIS-Standards'!$B$2:$B$305,0))</f>
        <v>99</v>
      </c>
      <c r="I2265" t="e">
        <f>INDEX('GIS-Standards'!$A$2:$A$305,MATCH(C2265,'GIS-Standards'!$B$2:$B$305,0))</f>
        <v>#N/A</v>
      </c>
      <c r="J2265" t="str">
        <f>INDEX('GIS-Standards'!$O$2:$O$305,MATCH(B2265,'GIS-Standards'!$B$2:$B$305,0))</f>
        <v>ISO/TC 211</v>
      </c>
      <c r="K2265" t="e">
        <f>INDEX('GIS-Standards'!$O$2:$O$305,MATCH(C2265,'GIS-Standards'!$B$2:$B$305,0))</f>
        <v>#N/A</v>
      </c>
      <c r="M2265" t="s">
        <v>525</v>
      </c>
      <c r="N2265">
        <f>INDEX('GIS-Standards'!$I$2:$I$305,MATCH(B2265,'GIS-Standards'!$B$2:$B$305,0))</f>
        <v>0</v>
      </c>
      <c r="O2265" t="e">
        <f>INDEX('GIS-Standards'!$I$2:$I$305,MATCH(C2265,'GIS-Standards'!$B$2:$B$305,0))</f>
        <v>#N/A</v>
      </c>
      <c r="P2265" t="e">
        <f>AND(TableRelationships12[[#This Row],[Source Type]]="BIM",TableRelationships12[[#This Row],[Target Type]]="BIM")</f>
        <v>#N/A</v>
      </c>
      <c r="Q2265">
        <f t="shared" si="105"/>
        <v>1</v>
      </c>
      <c r="S2265">
        <f t="shared" si="106"/>
        <v>1</v>
      </c>
      <c r="T2265" s="102" t="str">
        <f>IF(TableRelationships12[[#This Row],[Rank Pedro]]="Low","linkCategory1",IF(TableRelationships12[[#This Row],[Rank Pedro]]="Medium","linkCategory2",IF(TableRelationships12[[#This Row],[Rank Pedro]]="High","linkCategory3","")))</f>
        <v/>
      </c>
      <c r="U2265" s="102" t="str">
        <f>IF(TableRelationships12[[#This Row],[Rank Pedro]]="Low","Pink",IF(TableRelationships12[[#This Row],[Rank Pedro]]="Medium","Purple",IF(TableRelationships12[[#This Row],[Rank Pedro]]="High","Brown","")))</f>
        <v/>
      </c>
      <c r="V2265" s="4" t="e">
        <f>MAX(INDEX(Standards!$F$2:$F$296,MATCH(B2265,Standards!$B$2:$B$296,0)),INDEX(Standards!$F$2:$F$296,MATCH(C2265,Standards!$B$2:$B$296,0)))</f>
        <v>#N/A</v>
      </c>
      <c r="W2265" t="str">
        <f t="shared" si="107"/>
        <v>#2f89d1</v>
      </c>
    </row>
    <row r="2266" spans="1:23" x14ac:dyDescent="0.5">
      <c r="A2266" s="54">
        <v>2265</v>
      </c>
      <c r="B2266" s="90" t="s">
        <v>650</v>
      </c>
      <c r="C2266" t="s">
        <v>1263</v>
      </c>
      <c r="D2266" s="1"/>
      <c r="E2266" s="112">
        <v>2000.12</v>
      </c>
      <c r="F2266" s="112">
        <v>2024.11</v>
      </c>
      <c r="G2266" s="107" t="s">
        <v>1503</v>
      </c>
      <c r="H2266">
        <f>INDEX('GIS-Standards'!$A$2:$A$305,MATCH(B2266,'GIS-Standards'!$B$2:$B$305,0))</f>
        <v>99</v>
      </c>
      <c r="I2266" t="e">
        <f>INDEX('GIS-Standards'!$A$2:$A$305,MATCH(C2266,'GIS-Standards'!$B$2:$B$305,0))</f>
        <v>#N/A</v>
      </c>
      <c r="J2266" t="str">
        <f>INDEX('GIS-Standards'!$O$2:$O$305,MATCH(B2266,'GIS-Standards'!$B$2:$B$305,0))</f>
        <v>ISO/TC 211</v>
      </c>
      <c r="K2266" t="e">
        <f>INDEX('GIS-Standards'!$O$2:$O$305,MATCH(C2266,'GIS-Standards'!$B$2:$B$305,0))</f>
        <v>#N/A</v>
      </c>
      <c r="M2266" t="s">
        <v>525</v>
      </c>
      <c r="N2266">
        <f>INDEX('GIS-Standards'!$I$2:$I$305,MATCH(B2266,'GIS-Standards'!$B$2:$B$305,0))</f>
        <v>0</v>
      </c>
      <c r="O2266" t="e">
        <f>INDEX('GIS-Standards'!$I$2:$I$305,MATCH(C2266,'GIS-Standards'!$B$2:$B$305,0))</f>
        <v>#N/A</v>
      </c>
      <c r="P2266" t="e">
        <f>AND(TableRelationships12[[#This Row],[Source Type]]="BIM",TableRelationships12[[#This Row],[Target Type]]="BIM")</f>
        <v>#N/A</v>
      </c>
      <c r="Q2266">
        <f t="shared" si="105"/>
        <v>1</v>
      </c>
      <c r="S2266">
        <f t="shared" si="106"/>
        <v>1</v>
      </c>
      <c r="T2266" s="102" t="str">
        <f>IF(TableRelationships12[[#This Row],[Rank Pedro]]="Low","linkCategory1",IF(TableRelationships12[[#This Row],[Rank Pedro]]="Medium","linkCategory2",IF(TableRelationships12[[#This Row],[Rank Pedro]]="High","linkCategory3","")))</f>
        <v/>
      </c>
      <c r="U2266" s="102" t="str">
        <f>IF(TableRelationships12[[#This Row],[Rank Pedro]]="Low","Pink",IF(TableRelationships12[[#This Row],[Rank Pedro]]="Medium","Purple",IF(TableRelationships12[[#This Row],[Rank Pedro]]="High","Brown","")))</f>
        <v/>
      </c>
      <c r="V2266" s="4" t="e">
        <f>MAX(INDEX(Standards!$F$2:$F$296,MATCH(B2266,Standards!$B$2:$B$296,0)),INDEX(Standards!$F$2:$F$296,MATCH(C2266,Standards!$B$2:$B$296,0)))</f>
        <v>#N/A</v>
      </c>
      <c r="W2266" t="str">
        <f t="shared" si="107"/>
        <v>#2f89d1</v>
      </c>
    </row>
    <row r="2267" spans="1:23" x14ac:dyDescent="0.5">
      <c r="A2267" s="54">
        <v>2266</v>
      </c>
      <c r="B2267" s="90" t="s">
        <v>650</v>
      </c>
      <c r="C2267" t="s">
        <v>1357</v>
      </c>
      <c r="D2267" s="1"/>
      <c r="E2267" s="112">
        <v>2004.05</v>
      </c>
      <c r="F2267" s="112">
        <v>2023.11</v>
      </c>
      <c r="G2267" s="107" t="s">
        <v>1503</v>
      </c>
      <c r="H2267">
        <f>INDEX('GIS-Standards'!$A$2:$A$305,MATCH(B2267,'GIS-Standards'!$B$2:$B$305,0))</f>
        <v>99</v>
      </c>
      <c r="I2267">
        <f>INDEX('GIS-Standards'!$A$2:$A$305,MATCH(C2267,'GIS-Standards'!$B$2:$B$305,0))</f>
        <v>86</v>
      </c>
      <c r="J2267" t="str">
        <f>INDEX('GIS-Standards'!$O$2:$O$305,MATCH(B2267,'GIS-Standards'!$B$2:$B$305,0))</f>
        <v>ISO/TC 211</v>
      </c>
      <c r="K2267" t="str">
        <f>INDEX('GIS-Standards'!$O$2:$O$305,MATCH(C2267,'GIS-Standards'!$B$2:$B$305,0))</f>
        <v>ISO/IEC JTC 1/SC 29</v>
      </c>
      <c r="M2267" t="s">
        <v>525</v>
      </c>
      <c r="N2267">
        <f>INDEX('GIS-Standards'!$I$2:$I$305,MATCH(B2267,'GIS-Standards'!$B$2:$B$305,0))</f>
        <v>0</v>
      </c>
      <c r="O2267">
        <f>INDEX('GIS-Standards'!$I$2:$I$305,MATCH(C2267,'GIS-Standards'!$B$2:$B$305,0))</f>
        <v>0</v>
      </c>
      <c r="P2267" t="b">
        <f>AND(TableRelationships12[[#This Row],[Source Type]]="BIM",TableRelationships12[[#This Row],[Target Type]]="BIM")</f>
        <v>0</v>
      </c>
      <c r="Q2267">
        <f t="shared" si="105"/>
        <v>1</v>
      </c>
      <c r="S2267">
        <f t="shared" si="106"/>
        <v>1</v>
      </c>
      <c r="T2267" s="102" t="str">
        <f>IF(TableRelationships12[[#This Row],[Rank Pedro]]="Low","linkCategory1",IF(TableRelationships12[[#This Row],[Rank Pedro]]="Medium","linkCategory2",IF(TableRelationships12[[#This Row],[Rank Pedro]]="High","linkCategory3","")))</f>
        <v/>
      </c>
      <c r="U2267" s="102" t="str">
        <f>IF(TableRelationships12[[#This Row],[Rank Pedro]]="Low","Pink",IF(TableRelationships12[[#This Row],[Rank Pedro]]="Medium","Purple",IF(TableRelationships12[[#This Row],[Rank Pedro]]="High","Brown","")))</f>
        <v/>
      </c>
      <c r="V2267" s="4" t="e">
        <f>MAX(INDEX(Standards!$F$2:$F$296,MATCH(B2267,Standards!$B$2:$B$296,0)),INDEX(Standards!$F$2:$F$296,MATCH(C2267,Standards!$B$2:$B$296,0)))</f>
        <v>#N/A</v>
      </c>
      <c r="W2267" t="str">
        <f t="shared" si="107"/>
        <v>#2f89d1</v>
      </c>
    </row>
    <row r="2268" spans="1:23" x14ac:dyDescent="0.5">
      <c r="A2268" s="54">
        <v>2267</v>
      </c>
      <c r="B2268" s="90" t="s">
        <v>650</v>
      </c>
      <c r="C2268" t="s">
        <v>293</v>
      </c>
      <c r="D2268" s="1" t="s">
        <v>1127</v>
      </c>
      <c r="E2268" s="112">
        <v>2002.07</v>
      </c>
      <c r="F2268" s="112">
        <v>2014.11</v>
      </c>
      <c r="G2268" s="107" t="s">
        <v>670</v>
      </c>
      <c r="H2268">
        <f>INDEX('GIS-Standards'!$A$2:$A$305,MATCH(B2268,'GIS-Standards'!$B$2:$B$305,0))</f>
        <v>99</v>
      </c>
      <c r="I2268">
        <f>INDEX('GIS-Standards'!$A$2:$A$305,MATCH(C2268,'GIS-Standards'!$B$2:$B$305,0))</f>
        <v>10</v>
      </c>
      <c r="J2268" t="str">
        <f>INDEX('GIS-Standards'!$O$2:$O$305,MATCH(B2268,'GIS-Standards'!$B$2:$B$305,0))</f>
        <v>ISO/TC 211</v>
      </c>
      <c r="K2268" t="str">
        <f>INDEX('GIS-Standards'!$O$2:$O$305,MATCH(C2268,'GIS-Standards'!$B$2:$B$305,0))</f>
        <v>ISO/TC 211</v>
      </c>
      <c r="M2268" t="s">
        <v>525</v>
      </c>
      <c r="N2268">
        <f>INDEX('GIS-Standards'!$I$2:$I$305,MATCH(B2268,'GIS-Standards'!$B$2:$B$305,0))</f>
        <v>0</v>
      </c>
      <c r="O2268">
        <f>INDEX('GIS-Standards'!$I$2:$I$305,MATCH(C2268,'GIS-Standards'!$B$2:$B$305,0))</f>
        <v>0</v>
      </c>
      <c r="P2268" t="b">
        <f>AND(TableRelationships12[[#This Row],[Source Type]]="BIM",TableRelationships12[[#This Row],[Target Type]]="BIM")</f>
        <v>0</v>
      </c>
      <c r="Q2268">
        <f t="shared" si="105"/>
        <v>1</v>
      </c>
      <c r="S2268">
        <f t="shared" si="106"/>
        <v>1</v>
      </c>
      <c r="T2268" s="102" t="str">
        <f>IF(TableRelationships12[[#This Row],[Rank Pedro]]="Low","linkCategory1",IF(TableRelationships12[[#This Row],[Rank Pedro]]="Medium","linkCategory2",IF(TableRelationships12[[#This Row],[Rank Pedro]]="High","linkCategory3","")))</f>
        <v/>
      </c>
      <c r="U2268" s="102" t="str">
        <f>IF(TableRelationships12[[#This Row],[Rank Pedro]]="Low","Pink",IF(TableRelationships12[[#This Row],[Rank Pedro]]="Medium","Purple",IF(TableRelationships12[[#This Row],[Rank Pedro]]="High","Brown","")))</f>
        <v/>
      </c>
      <c r="V2268" s="4" t="e">
        <f>MAX(INDEX(Standards!$F$2:$F$296,MATCH(B2268,Standards!$B$2:$B$296,0)),INDEX(Standards!$F$2:$F$296,MATCH(C2268,Standards!$B$2:$B$296,0)))</f>
        <v>#N/A</v>
      </c>
      <c r="W2268" t="str">
        <f t="shared" si="107"/>
        <v>#2f89d1</v>
      </c>
    </row>
    <row r="2269" spans="1:23" x14ac:dyDescent="0.5">
      <c r="A2269" s="54">
        <v>2268</v>
      </c>
      <c r="B2269" s="90" t="s">
        <v>650</v>
      </c>
      <c r="C2269" t="s">
        <v>631</v>
      </c>
      <c r="D2269" s="1" t="s">
        <v>1135</v>
      </c>
      <c r="E2269" s="112">
        <v>2008.06</v>
      </c>
      <c r="F2269" s="112">
        <v>2018.05</v>
      </c>
      <c r="G2269" s="107" t="s">
        <v>670</v>
      </c>
      <c r="H2269">
        <f>INDEX('GIS-Standards'!$A$2:$A$305,MATCH(B2269,'GIS-Standards'!$B$2:$B$305,0))</f>
        <v>99</v>
      </c>
      <c r="I2269">
        <f>INDEX('GIS-Standards'!$A$2:$A$305,MATCH(C2269,'GIS-Standards'!$B$2:$B$305,0))</f>
        <v>11</v>
      </c>
      <c r="J2269" t="str">
        <f>INDEX('GIS-Standards'!$O$2:$O$305,MATCH(B2269,'GIS-Standards'!$B$2:$B$305,0))</f>
        <v>ISO/TC 211</v>
      </c>
      <c r="K2269" t="str">
        <f>INDEX('GIS-Standards'!$O$2:$O$305,MATCH(C2269,'GIS-Standards'!$B$2:$B$305,0))</f>
        <v>ISO/TC 211</v>
      </c>
      <c r="M2269" t="s">
        <v>525</v>
      </c>
      <c r="N2269">
        <f>INDEX('GIS-Standards'!$I$2:$I$305,MATCH(B2269,'GIS-Standards'!$B$2:$B$305,0))</f>
        <v>0</v>
      </c>
      <c r="O2269">
        <f>INDEX('GIS-Standards'!$I$2:$I$305,MATCH(C2269,'GIS-Standards'!$B$2:$B$305,0))</f>
        <v>0</v>
      </c>
      <c r="P2269" t="b">
        <f>AND(TableRelationships12[[#This Row],[Source Type]]="BIM",TableRelationships12[[#This Row],[Target Type]]="BIM")</f>
        <v>0</v>
      </c>
      <c r="Q2269">
        <f t="shared" si="105"/>
        <v>1</v>
      </c>
      <c r="S2269">
        <f t="shared" si="106"/>
        <v>1</v>
      </c>
      <c r="T2269" s="102" t="str">
        <f>IF(TableRelationships12[[#This Row],[Rank Pedro]]="Low","linkCategory1",IF(TableRelationships12[[#This Row],[Rank Pedro]]="Medium","linkCategory2",IF(TableRelationships12[[#This Row],[Rank Pedro]]="High","linkCategory3","")))</f>
        <v/>
      </c>
      <c r="U2269" s="102" t="str">
        <f>IF(TableRelationships12[[#This Row],[Rank Pedro]]="Low","Pink",IF(TableRelationships12[[#This Row],[Rank Pedro]]="Medium","Purple",IF(TableRelationships12[[#This Row],[Rank Pedro]]="High","Brown","")))</f>
        <v/>
      </c>
      <c r="V2269" s="4" t="e">
        <f>MAX(INDEX(Standards!$F$2:$F$296,MATCH(B2269,Standards!$B$2:$B$296,0)),INDEX(Standards!$F$2:$F$296,MATCH(C2269,Standards!$B$2:$B$296,0)))</f>
        <v>#N/A</v>
      </c>
      <c r="W2269" t="str">
        <f t="shared" si="107"/>
        <v>#2f89d1</v>
      </c>
    </row>
    <row r="2270" spans="1:23" x14ac:dyDescent="0.5">
      <c r="A2270" s="54">
        <v>2269</v>
      </c>
      <c r="B2270" s="90" t="s">
        <v>650</v>
      </c>
      <c r="C2270" t="s">
        <v>296</v>
      </c>
      <c r="D2270" s="1"/>
      <c r="E2270" s="112">
        <v>2005.07</v>
      </c>
      <c r="F2270" s="112">
        <v>2024.09</v>
      </c>
      <c r="G2270" s="107" t="s">
        <v>670</v>
      </c>
      <c r="H2270">
        <f>INDEX('GIS-Standards'!$A$2:$A$305,MATCH(B2270,'GIS-Standards'!$B$2:$B$305,0))</f>
        <v>99</v>
      </c>
      <c r="I2270">
        <f>INDEX('GIS-Standards'!$A$2:$A$305,MATCH(C2270,'GIS-Standards'!$B$2:$B$305,0))</f>
        <v>12</v>
      </c>
      <c r="J2270" t="str">
        <f>INDEX('GIS-Standards'!$O$2:$O$305,MATCH(B2270,'GIS-Standards'!$B$2:$B$305,0))</f>
        <v>ISO/TC 211</v>
      </c>
      <c r="K2270" t="str">
        <f>INDEX('GIS-Standards'!$O$2:$O$305,MATCH(C2270,'GIS-Standards'!$B$2:$B$305,0))</f>
        <v>ISO/TC 211</v>
      </c>
      <c r="M2270" t="s">
        <v>525</v>
      </c>
      <c r="N2270">
        <f>INDEX('GIS-Standards'!$I$2:$I$305,MATCH(B2270,'GIS-Standards'!$B$2:$B$305,0))</f>
        <v>0</v>
      </c>
      <c r="O2270">
        <f>INDEX('GIS-Standards'!$I$2:$I$305,MATCH(C2270,'GIS-Standards'!$B$2:$B$305,0))</f>
        <v>0</v>
      </c>
      <c r="P2270" t="b">
        <f>AND(TableRelationships12[[#This Row],[Source Type]]="BIM",TableRelationships12[[#This Row],[Target Type]]="BIM")</f>
        <v>0</v>
      </c>
      <c r="Q2270">
        <f t="shared" si="105"/>
        <v>1</v>
      </c>
      <c r="S2270">
        <f t="shared" si="106"/>
        <v>1</v>
      </c>
      <c r="T2270" s="102" t="str">
        <f>IF(TableRelationships12[[#This Row],[Rank Pedro]]="Low","linkCategory1",IF(TableRelationships12[[#This Row],[Rank Pedro]]="Medium","linkCategory2",IF(TableRelationships12[[#This Row],[Rank Pedro]]="High","linkCategory3","")))</f>
        <v/>
      </c>
      <c r="U2270" s="102" t="str">
        <f>IF(TableRelationships12[[#This Row],[Rank Pedro]]="Low","Pink",IF(TableRelationships12[[#This Row],[Rank Pedro]]="Medium","Purple",IF(TableRelationships12[[#This Row],[Rank Pedro]]="High","Brown","")))</f>
        <v/>
      </c>
      <c r="V2270" s="4" t="e">
        <f>MAX(INDEX(Standards!$F$2:$F$296,MATCH(B2270,Standards!$B$2:$B$296,0)),INDEX(Standards!$F$2:$F$296,MATCH(C2270,Standards!$B$2:$B$296,0)))</f>
        <v>#N/A</v>
      </c>
      <c r="W2270" t="str">
        <f t="shared" si="107"/>
        <v>#2f89d1</v>
      </c>
    </row>
    <row r="2271" spans="1:23" x14ac:dyDescent="0.5">
      <c r="A2271" s="54">
        <v>2270</v>
      </c>
      <c r="B2271" s="90" t="s">
        <v>650</v>
      </c>
      <c r="C2271" t="s">
        <v>310</v>
      </c>
      <c r="D2271" s="1"/>
      <c r="E2271" s="112">
        <v>2003.02</v>
      </c>
      <c r="F2271" s="112">
        <v>2023.08</v>
      </c>
      <c r="G2271" s="107" t="s">
        <v>670</v>
      </c>
      <c r="H2271">
        <f>INDEX('GIS-Standards'!$A$2:$A$305,MATCH(B2271,'GIS-Standards'!$B$2:$B$305,0))</f>
        <v>99</v>
      </c>
      <c r="I2271">
        <f>INDEX('GIS-Standards'!$A$2:$A$305,MATCH(C2271,'GIS-Standards'!$B$2:$B$305,0))</f>
        <v>20</v>
      </c>
      <c r="J2271" t="str">
        <f>INDEX('GIS-Standards'!$O$2:$O$305,MATCH(B2271,'GIS-Standards'!$B$2:$B$305,0))</f>
        <v>ISO/TC 211</v>
      </c>
      <c r="K2271" t="str">
        <f>INDEX('GIS-Standards'!$O$2:$O$305,MATCH(C2271,'GIS-Standards'!$B$2:$B$305,0))</f>
        <v>ISO/TC 211</v>
      </c>
      <c r="M2271" t="s">
        <v>525</v>
      </c>
      <c r="N2271">
        <f>INDEX('GIS-Standards'!$I$2:$I$305,MATCH(B2271,'GIS-Standards'!$B$2:$B$305,0))</f>
        <v>0</v>
      </c>
      <c r="O2271" t="str">
        <f>INDEX('GIS-Standards'!$I$2:$I$305,MATCH(C2271,'GIS-Standards'!$B$2:$B$305,0))</f>
        <v>08.2023</v>
      </c>
      <c r="P2271" t="b">
        <f>AND(TableRelationships12[[#This Row],[Source Type]]="BIM",TableRelationships12[[#This Row],[Target Type]]="BIM")</f>
        <v>0</v>
      </c>
      <c r="Q2271">
        <f t="shared" si="105"/>
        <v>1</v>
      </c>
      <c r="S2271">
        <f t="shared" si="106"/>
        <v>1</v>
      </c>
      <c r="T2271" s="102" t="str">
        <f>IF(TableRelationships12[[#This Row],[Rank Pedro]]="Low","linkCategory1",IF(TableRelationships12[[#This Row],[Rank Pedro]]="Medium","linkCategory2",IF(TableRelationships12[[#This Row],[Rank Pedro]]="High","linkCategory3","")))</f>
        <v/>
      </c>
      <c r="U2271" s="102" t="str">
        <f>IF(TableRelationships12[[#This Row],[Rank Pedro]]="Low","Pink",IF(TableRelationships12[[#This Row],[Rank Pedro]]="Medium","Purple",IF(TableRelationships12[[#This Row],[Rank Pedro]]="High","Brown","")))</f>
        <v/>
      </c>
      <c r="V2271" s="4" t="e">
        <f>MAX(INDEX(Standards!$F$2:$F$296,MATCH(B2271,Standards!$B$2:$B$296,0)),INDEX(Standards!$F$2:$F$296,MATCH(C2271,Standards!$B$2:$B$296,0)))</f>
        <v>#N/A</v>
      </c>
      <c r="W2271" t="str">
        <f t="shared" si="107"/>
        <v>#2f89d1</v>
      </c>
    </row>
    <row r="2272" spans="1:23" x14ac:dyDescent="0.5">
      <c r="A2272" s="54">
        <v>2271</v>
      </c>
      <c r="B2272" s="90" t="s">
        <v>650</v>
      </c>
      <c r="C2272" t="s">
        <v>348</v>
      </c>
      <c r="D2272" s="1" t="s">
        <v>1151</v>
      </c>
      <c r="E2272" s="113">
        <v>2013.12</v>
      </c>
      <c r="F2272" s="113">
        <v>2023.04</v>
      </c>
      <c r="G2272" s="107" t="s">
        <v>670</v>
      </c>
      <c r="H2272">
        <f>INDEX('GIS-Standards'!$A$2:$A$305,MATCH(B2272,'GIS-Standards'!$B$2:$B$305,0))</f>
        <v>99</v>
      </c>
      <c r="I2272">
        <f>INDEX('GIS-Standards'!$A$2:$A$305,MATCH(C2272,'GIS-Standards'!$B$2:$B$305,0))</f>
        <v>66</v>
      </c>
      <c r="J2272" t="str">
        <f>INDEX('GIS-Standards'!$O$2:$O$305,MATCH(B2272,'GIS-Standards'!$B$2:$B$305,0))</f>
        <v>ISO/TC 211</v>
      </c>
      <c r="K2272" t="str">
        <f>INDEX('GIS-Standards'!$O$2:$O$305,MATCH(C2272,'GIS-Standards'!$B$2:$B$305,0))</f>
        <v>ISO/TC 211</v>
      </c>
      <c r="M2272" t="s">
        <v>525</v>
      </c>
      <c r="N2272">
        <f>INDEX('GIS-Standards'!$I$2:$I$305,MATCH(B2272,'GIS-Standards'!$B$2:$B$305,0))</f>
        <v>0</v>
      </c>
      <c r="O2272">
        <f>INDEX('GIS-Standards'!$I$2:$I$305,MATCH(C2272,'GIS-Standards'!$B$2:$B$305,0))</f>
        <v>0</v>
      </c>
      <c r="P2272" t="b">
        <f>AND(TableRelationships12[[#This Row],[Source Type]]="BIM",TableRelationships12[[#This Row],[Target Type]]="BIM")</f>
        <v>0</v>
      </c>
      <c r="Q2272">
        <f t="shared" si="105"/>
        <v>1</v>
      </c>
      <c r="S2272">
        <f t="shared" si="106"/>
        <v>1</v>
      </c>
      <c r="T2272" s="102" t="str">
        <f>IF(TableRelationships12[[#This Row],[Rank Pedro]]="Low","linkCategory1",IF(TableRelationships12[[#This Row],[Rank Pedro]]="Medium","linkCategory2",IF(TableRelationships12[[#This Row],[Rank Pedro]]="High","linkCategory3","")))</f>
        <v/>
      </c>
      <c r="U2272" s="102" t="str">
        <f>IF(TableRelationships12[[#This Row],[Rank Pedro]]="Low","Pink",IF(TableRelationships12[[#This Row],[Rank Pedro]]="Medium","Purple",IF(TableRelationships12[[#This Row],[Rank Pedro]]="High","Brown","")))</f>
        <v/>
      </c>
      <c r="V2272" s="4" t="e">
        <f>MAX(INDEX(Standards!$F$2:$F$296,MATCH(B2272,Standards!$B$2:$B$296,0)),INDEX(Standards!$F$2:$F$296,MATCH(C2272,Standards!$B$2:$B$296,0)))</f>
        <v>#N/A</v>
      </c>
      <c r="W2272" t="str">
        <f t="shared" si="107"/>
        <v>#2f89d1</v>
      </c>
    </row>
    <row r="2273" spans="1:23" x14ac:dyDescent="0.5">
      <c r="A2273" s="54">
        <v>2272</v>
      </c>
      <c r="B2273" s="90" t="s">
        <v>650</v>
      </c>
      <c r="C2273" t="s">
        <v>348</v>
      </c>
      <c r="D2273" s="1" t="s">
        <v>1098</v>
      </c>
      <c r="E2273" s="113">
        <v>2013.12</v>
      </c>
      <c r="F2273" s="113">
        <v>2023.04</v>
      </c>
      <c r="G2273" s="107" t="s">
        <v>670</v>
      </c>
      <c r="H2273">
        <f>INDEX('GIS-Standards'!$A$2:$A$305,MATCH(B2273,'GIS-Standards'!$B$2:$B$305,0))</f>
        <v>99</v>
      </c>
      <c r="I2273">
        <f>INDEX('GIS-Standards'!$A$2:$A$305,MATCH(C2273,'GIS-Standards'!$B$2:$B$305,0))</f>
        <v>66</v>
      </c>
      <c r="J2273" t="str">
        <f>INDEX('GIS-Standards'!$O$2:$O$305,MATCH(B2273,'GIS-Standards'!$B$2:$B$305,0))</f>
        <v>ISO/TC 211</v>
      </c>
      <c r="K2273" t="str">
        <f>INDEX('GIS-Standards'!$O$2:$O$305,MATCH(C2273,'GIS-Standards'!$B$2:$B$305,0))</f>
        <v>ISO/TC 211</v>
      </c>
      <c r="M2273" t="s">
        <v>525</v>
      </c>
      <c r="N2273">
        <f>INDEX('GIS-Standards'!$I$2:$I$305,MATCH(B2273,'GIS-Standards'!$B$2:$B$305,0))</f>
        <v>0</v>
      </c>
      <c r="O2273">
        <f>INDEX('GIS-Standards'!$I$2:$I$305,MATCH(C2273,'GIS-Standards'!$B$2:$B$305,0))</f>
        <v>0</v>
      </c>
      <c r="P2273" t="b">
        <f>AND(TableRelationships12[[#This Row],[Source Type]]="BIM",TableRelationships12[[#This Row],[Target Type]]="BIM")</f>
        <v>0</v>
      </c>
      <c r="Q2273">
        <f t="shared" si="105"/>
        <v>1</v>
      </c>
      <c r="S2273">
        <f t="shared" si="106"/>
        <v>1</v>
      </c>
      <c r="T2273" s="102" t="str">
        <f>IF(TableRelationships12[[#This Row],[Rank Pedro]]="Low","linkCategory1",IF(TableRelationships12[[#This Row],[Rank Pedro]]="Medium","linkCategory2",IF(TableRelationships12[[#This Row],[Rank Pedro]]="High","linkCategory3","")))</f>
        <v/>
      </c>
      <c r="U2273" s="102" t="str">
        <f>IF(TableRelationships12[[#This Row],[Rank Pedro]]="Low","Pink",IF(TableRelationships12[[#This Row],[Rank Pedro]]="Medium","Purple",IF(TableRelationships12[[#This Row],[Rank Pedro]]="High","Brown","")))</f>
        <v/>
      </c>
      <c r="V2273" s="4" t="e">
        <f>MAX(INDEX(Standards!$F$2:$F$296,MATCH(B2273,Standards!$B$2:$B$296,0)),INDEX(Standards!$F$2:$F$296,MATCH(C2273,Standards!$B$2:$B$296,0)))</f>
        <v>#N/A</v>
      </c>
      <c r="W2273" t="str">
        <f t="shared" si="107"/>
        <v>#2f89d1</v>
      </c>
    </row>
    <row r="2274" spans="1:23" x14ac:dyDescent="0.5">
      <c r="A2274" s="54">
        <v>2273</v>
      </c>
      <c r="B2274" s="90" t="s">
        <v>650</v>
      </c>
      <c r="C2274" t="s">
        <v>646</v>
      </c>
      <c r="D2274" s="1" t="s">
        <v>1676</v>
      </c>
      <c r="E2274" s="112">
        <v>2000.1</v>
      </c>
      <c r="F2274" s="112">
        <v>2000.1</v>
      </c>
      <c r="G2274" s="107" t="s">
        <v>670</v>
      </c>
      <c r="H2274">
        <f>INDEX('GIS-Standards'!$A$2:$A$305,MATCH(B2274,'GIS-Standards'!$B$2:$B$305,0))</f>
        <v>99</v>
      </c>
      <c r="I2274">
        <f>INDEX('GIS-Standards'!$A$2:$A$305,MATCH(C2274,'GIS-Standards'!$B$2:$B$305,0))</f>
        <v>89</v>
      </c>
      <c r="J2274" t="str">
        <f>INDEX('GIS-Standards'!$O$2:$O$305,MATCH(B2274,'GIS-Standards'!$B$2:$B$305,0))</f>
        <v>ISO/TC 211</v>
      </c>
      <c r="K2274" t="str">
        <f>INDEX('GIS-Standards'!$O$2:$O$305,MATCH(C2274,'GIS-Standards'!$B$2:$B$305,0))</f>
        <v>ISO/TC 211</v>
      </c>
      <c r="M2274" t="s">
        <v>525</v>
      </c>
      <c r="N2274">
        <f>INDEX('GIS-Standards'!$I$2:$I$305,MATCH(B2274,'GIS-Standards'!$B$2:$B$305,0))</f>
        <v>0</v>
      </c>
      <c r="O2274">
        <f>INDEX('GIS-Standards'!$I$2:$I$305,MATCH(C2274,'GIS-Standards'!$B$2:$B$305,0))</f>
        <v>0</v>
      </c>
      <c r="P2274" t="b">
        <f>AND(TableRelationships12[[#This Row],[Source Type]]="BIM",TableRelationships12[[#This Row],[Target Type]]="BIM")</f>
        <v>0</v>
      </c>
      <c r="Q2274">
        <f t="shared" si="105"/>
        <v>1</v>
      </c>
      <c r="S2274">
        <f t="shared" si="106"/>
        <v>1</v>
      </c>
      <c r="T2274" s="102" t="str">
        <f>IF(TableRelationships12[[#This Row],[Rank Pedro]]="Low","linkCategory1",IF(TableRelationships12[[#This Row],[Rank Pedro]]="Medium","linkCategory2",IF(TableRelationships12[[#This Row],[Rank Pedro]]="High","linkCategory3","")))</f>
        <v/>
      </c>
      <c r="U2274" s="102" t="str">
        <f>IF(TableRelationships12[[#This Row],[Rank Pedro]]="Low","Pink",IF(TableRelationships12[[#This Row],[Rank Pedro]]="Medium","Purple",IF(TableRelationships12[[#This Row],[Rank Pedro]]="High","Brown","")))</f>
        <v/>
      </c>
      <c r="V2274" s="4" t="e">
        <f>MAX(INDEX(Standards!$F$2:$F$296,MATCH(B2274,Standards!$B$2:$B$296,0)),INDEX(Standards!$F$2:$F$296,MATCH(C2274,Standards!$B$2:$B$296,0)))</f>
        <v>#N/A</v>
      </c>
      <c r="W2274" t="str">
        <f t="shared" si="107"/>
        <v>#2f89d1</v>
      </c>
    </row>
    <row r="2275" spans="1:23" x14ac:dyDescent="0.5">
      <c r="A2275" s="54">
        <v>2274</v>
      </c>
      <c r="B2275" s="90" t="s">
        <v>650</v>
      </c>
      <c r="C2275" t="s">
        <v>633</v>
      </c>
      <c r="D2275" s="1" t="s">
        <v>1136</v>
      </c>
      <c r="E2275" s="112">
        <v>2010.06</v>
      </c>
      <c r="F2275" s="112">
        <v>2018.09</v>
      </c>
      <c r="G2275" s="107" t="s">
        <v>670</v>
      </c>
      <c r="H2275">
        <f>INDEX('GIS-Standards'!$A$2:$A$305,MATCH(B2275,'GIS-Standards'!$B$2:$B$305,0))</f>
        <v>99</v>
      </c>
      <c r="I2275">
        <f>INDEX('GIS-Standards'!$A$2:$A$305,MATCH(C2275,'GIS-Standards'!$B$2:$B$305,0))</f>
        <v>36</v>
      </c>
      <c r="J2275" t="str">
        <f>INDEX('GIS-Standards'!$O$2:$O$305,MATCH(B2275,'GIS-Standards'!$B$2:$B$305,0))</f>
        <v>ISO/TC 211</v>
      </c>
      <c r="K2275" t="str">
        <f>INDEX('GIS-Standards'!$O$2:$O$305,MATCH(C2275,'GIS-Standards'!$B$2:$B$305,0))</f>
        <v>ISO/TC 211</v>
      </c>
      <c r="M2275" t="s">
        <v>525</v>
      </c>
      <c r="N2275">
        <f>INDEX('GIS-Standards'!$I$2:$I$305,MATCH(B2275,'GIS-Standards'!$B$2:$B$305,0))</f>
        <v>0</v>
      </c>
      <c r="O2275">
        <f>INDEX('GIS-Standards'!$I$2:$I$305,MATCH(C2275,'GIS-Standards'!$B$2:$B$305,0))</f>
        <v>0</v>
      </c>
      <c r="P2275" t="b">
        <f>AND(TableRelationships12[[#This Row],[Source Type]]="BIM",TableRelationships12[[#This Row],[Target Type]]="BIM")</f>
        <v>0</v>
      </c>
      <c r="Q2275">
        <f t="shared" si="105"/>
        <v>1</v>
      </c>
      <c r="S2275">
        <f t="shared" si="106"/>
        <v>1</v>
      </c>
      <c r="T2275" s="102" t="str">
        <f>IF(TableRelationships12[[#This Row],[Rank Pedro]]="Low","linkCategory1",IF(TableRelationships12[[#This Row],[Rank Pedro]]="Medium","linkCategory2",IF(TableRelationships12[[#This Row],[Rank Pedro]]="High","linkCategory3","")))</f>
        <v/>
      </c>
      <c r="U2275" s="102" t="str">
        <f>IF(TableRelationships12[[#This Row],[Rank Pedro]]="Low","Pink",IF(TableRelationships12[[#This Row],[Rank Pedro]]="Medium","Purple",IF(TableRelationships12[[#This Row],[Rank Pedro]]="High","Brown","")))</f>
        <v/>
      </c>
      <c r="V2275" s="4" t="e">
        <f>MAX(INDEX(Standards!$F$2:$F$296,MATCH(B2275,Standards!$B$2:$B$296,0)),INDEX(Standards!$F$2:$F$296,MATCH(C2275,Standards!$B$2:$B$296,0)))</f>
        <v>#N/A</v>
      </c>
      <c r="W2275" t="str">
        <f t="shared" si="107"/>
        <v>#2f89d1</v>
      </c>
    </row>
    <row r="2276" spans="1:23" x14ac:dyDescent="0.5">
      <c r="A2276" s="54">
        <v>2275</v>
      </c>
      <c r="B2276" s="90" t="s">
        <v>650</v>
      </c>
      <c r="C2276" t="s">
        <v>334</v>
      </c>
      <c r="D2276" s="1" t="s">
        <v>1036</v>
      </c>
      <c r="E2276" s="113">
        <v>2007.09</v>
      </c>
      <c r="F2276" s="113">
        <v>2020.01</v>
      </c>
      <c r="G2276" s="107" t="s">
        <v>670</v>
      </c>
      <c r="H2276">
        <f>INDEX('GIS-Standards'!$A$2:$A$305,MATCH(B2276,'GIS-Standards'!$B$2:$B$305,0))</f>
        <v>99</v>
      </c>
      <c r="I2276">
        <f>INDEX('GIS-Standards'!$A$2:$A$305,MATCH(C2276,'GIS-Standards'!$B$2:$B$305,0))</f>
        <v>42</v>
      </c>
      <c r="J2276" t="str">
        <f>INDEX('GIS-Standards'!$O$2:$O$305,MATCH(B2276,'GIS-Standards'!$B$2:$B$305,0))</f>
        <v>ISO/TC 211</v>
      </c>
      <c r="K2276" t="str">
        <f>INDEX('GIS-Standards'!$O$2:$O$305,MATCH(C2276,'GIS-Standards'!$B$2:$B$305,0))</f>
        <v>ISO/TC 211</v>
      </c>
      <c r="M2276" t="s">
        <v>525</v>
      </c>
      <c r="N2276">
        <f>INDEX('GIS-Standards'!$I$2:$I$305,MATCH(B2276,'GIS-Standards'!$B$2:$B$305,0))</f>
        <v>0</v>
      </c>
      <c r="O2276">
        <f>INDEX('GIS-Standards'!$I$2:$I$305,MATCH(C2276,'GIS-Standards'!$B$2:$B$305,0))</f>
        <v>0</v>
      </c>
      <c r="P2276" t="b">
        <f>AND(TableRelationships12[[#This Row],[Source Type]]="BIM",TableRelationships12[[#This Row],[Target Type]]="BIM")</f>
        <v>0</v>
      </c>
      <c r="Q2276">
        <f t="shared" si="105"/>
        <v>1</v>
      </c>
      <c r="S2276">
        <f t="shared" si="106"/>
        <v>1</v>
      </c>
      <c r="T2276" s="102" t="str">
        <f>IF(TableRelationships12[[#This Row],[Rank Pedro]]="Low","linkCategory1",IF(TableRelationships12[[#This Row],[Rank Pedro]]="Medium","linkCategory2",IF(TableRelationships12[[#This Row],[Rank Pedro]]="High","linkCategory3","")))</f>
        <v/>
      </c>
      <c r="U2276" s="102" t="str">
        <f>IF(TableRelationships12[[#This Row],[Rank Pedro]]="Low","Pink",IF(TableRelationships12[[#This Row],[Rank Pedro]]="Medium","Purple",IF(TableRelationships12[[#This Row],[Rank Pedro]]="High","Brown","")))</f>
        <v/>
      </c>
      <c r="V2276" s="4" t="e">
        <f>MAX(INDEX(Standards!$F$2:$F$296,MATCH(B2276,Standards!$B$2:$B$296,0)),INDEX(Standards!$F$2:$F$296,MATCH(C2276,Standards!$B$2:$B$296,0)))</f>
        <v>#N/A</v>
      </c>
      <c r="W2276" t="str">
        <f t="shared" si="107"/>
        <v>#2f89d1</v>
      </c>
    </row>
    <row r="2277" spans="1:23" x14ac:dyDescent="0.5">
      <c r="A2277" s="54">
        <v>2276</v>
      </c>
      <c r="B2277" s="90" t="s">
        <v>650</v>
      </c>
      <c r="C2277" t="s">
        <v>348</v>
      </c>
      <c r="D2277" s="1" t="s">
        <v>1675</v>
      </c>
      <c r="E2277" s="113">
        <v>2013.12</v>
      </c>
      <c r="F2277" s="113">
        <v>2023.04</v>
      </c>
      <c r="G2277" s="107" t="s">
        <v>670</v>
      </c>
      <c r="H2277">
        <f>INDEX('GIS-Standards'!$A$2:$A$305,MATCH(B2277,'GIS-Standards'!$B$2:$B$305,0))</f>
        <v>99</v>
      </c>
      <c r="I2277">
        <f>INDEX('GIS-Standards'!$A$2:$A$305,MATCH(C2277,'GIS-Standards'!$B$2:$B$305,0))</f>
        <v>66</v>
      </c>
      <c r="J2277" t="str">
        <f>INDEX('GIS-Standards'!$O$2:$O$305,MATCH(B2277,'GIS-Standards'!$B$2:$B$305,0))</f>
        <v>ISO/TC 211</v>
      </c>
      <c r="K2277" t="str">
        <f>INDEX('GIS-Standards'!$O$2:$O$305,MATCH(C2277,'GIS-Standards'!$B$2:$B$305,0))</f>
        <v>ISO/TC 211</v>
      </c>
      <c r="M2277" t="s">
        <v>525</v>
      </c>
      <c r="N2277">
        <f>INDEX('GIS-Standards'!$I$2:$I$305,MATCH(B2277,'GIS-Standards'!$B$2:$B$305,0))</f>
        <v>0</v>
      </c>
      <c r="O2277">
        <f>INDEX('GIS-Standards'!$I$2:$I$305,MATCH(C2277,'GIS-Standards'!$B$2:$B$305,0))</f>
        <v>0</v>
      </c>
      <c r="P2277" t="b">
        <f>AND(TableRelationships12[[#This Row],[Source Type]]="BIM",TableRelationships12[[#This Row],[Target Type]]="BIM")</f>
        <v>0</v>
      </c>
      <c r="Q2277">
        <f t="shared" si="105"/>
        <v>1</v>
      </c>
      <c r="S2277">
        <f t="shared" si="106"/>
        <v>1</v>
      </c>
      <c r="T2277" s="102" t="str">
        <f>IF(TableRelationships12[[#This Row],[Rank Pedro]]="Low","linkCategory1",IF(TableRelationships12[[#This Row],[Rank Pedro]]="Medium","linkCategory2",IF(TableRelationships12[[#This Row],[Rank Pedro]]="High","linkCategory3","")))</f>
        <v/>
      </c>
      <c r="U2277" s="102" t="str">
        <f>IF(TableRelationships12[[#This Row],[Rank Pedro]]="Low","Pink",IF(TableRelationships12[[#This Row],[Rank Pedro]]="Medium","Purple",IF(TableRelationships12[[#This Row],[Rank Pedro]]="High","Brown","")))</f>
        <v/>
      </c>
      <c r="V2277" s="4" t="e">
        <f>MAX(INDEX(Standards!$F$2:$F$296,MATCH(B2277,Standards!$B$2:$B$296,0)),INDEX(Standards!$F$2:$F$296,MATCH(C2277,Standards!$B$2:$B$296,0)))</f>
        <v>#N/A</v>
      </c>
      <c r="W2277" t="str">
        <f t="shared" si="107"/>
        <v>#2f89d1</v>
      </c>
    </row>
    <row r="2278" spans="1:23" x14ac:dyDescent="0.5">
      <c r="A2278" s="54">
        <v>2277</v>
      </c>
      <c r="B2278" s="90" t="s">
        <v>650</v>
      </c>
      <c r="C2278" t="s">
        <v>653</v>
      </c>
      <c r="D2278" s="1" t="s">
        <v>1115</v>
      </c>
      <c r="E2278" s="113">
        <v>2007.04</v>
      </c>
      <c r="F2278" s="113">
        <v>2019.03</v>
      </c>
      <c r="G2278" s="107" t="s">
        <v>670</v>
      </c>
      <c r="H2278">
        <f>INDEX('GIS-Standards'!$A$2:$A$305,MATCH(B2278,'GIS-Standards'!$B$2:$B$305,0))</f>
        <v>99</v>
      </c>
      <c r="I2278">
        <f>INDEX('GIS-Standards'!$A$2:$A$305,MATCH(C2278,'GIS-Standards'!$B$2:$B$305,0))</f>
        <v>102</v>
      </c>
      <c r="J2278" t="str">
        <f>INDEX('GIS-Standards'!$O$2:$O$305,MATCH(B2278,'GIS-Standards'!$B$2:$B$305,0))</f>
        <v>ISO/TC 211</v>
      </c>
      <c r="K2278" t="str">
        <f>INDEX('GIS-Standards'!$O$2:$O$305,MATCH(C2278,'GIS-Standards'!$B$2:$B$305,0))</f>
        <v>ISO/TC 211</v>
      </c>
      <c r="M2278" t="s">
        <v>525</v>
      </c>
      <c r="N2278">
        <f>INDEX('GIS-Standards'!$I$2:$I$305,MATCH(B2278,'GIS-Standards'!$B$2:$B$305,0))</f>
        <v>0</v>
      </c>
      <c r="O2278">
        <f>INDEX('GIS-Standards'!$I$2:$I$305,MATCH(C2278,'GIS-Standards'!$B$2:$B$305,0))</f>
        <v>0</v>
      </c>
      <c r="P2278" t="b">
        <f>AND(TableRelationships12[[#This Row],[Source Type]]="BIM",TableRelationships12[[#This Row],[Target Type]]="BIM")</f>
        <v>0</v>
      </c>
      <c r="Q2278">
        <f t="shared" si="105"/>
        <v>1</v>
      </c>
      <c r="S2278">
        <f t="shared" si="106"/>
        <v>1</v>
      </c>
      <c r="T2278" s="102" t="str">
        <f>IF(TableRelationships12[[#This Row],[Rank Pedro]]="Low","linkCategory1",IF(TableRelationships12[[#This Row],[Rank Pedro]]="Medium","linkCategory2",IF(TableRelationships12[[#This Row],[Rank Pedro]]="High","linkCategory3","")))</f>
        <v/>
      </c>
      <c r="U2278" s="102" t="str">
        <f>IF(TableRelationships12[[#This Row],[Rank Pedro]]="Low","Pink",IF(TableRelationships12[[#This Row],[Rank Pedro]]="Medium","Purple",IF(TableRelationships12[[#This Row],[Rank Pedro]]="High","Brown","")))</f>
        <v/>
      </c>
      <c r="V2278" s="4" t="e">
        <f>MAX(INDEX(Standards!$F$2:$F$296,MATCH(B2278,Standards!$B$2:$B$296,0)),INDEX(Standards!$F$2:$F$296,MATCH(C2278,Standards!$B$2:$B$296,0)))</f>
        <v>#N/A</v>
      </c>
      <c r="W2278" t="str">
        <f t="shared" si="107"/>
        <v>#2f89d1</v>
      </c>
    </row>
    <row r="2279" spans="1:23" x14ac:dyDescent="0.5">
      <c r="A2279" s="54">
        <v>2278</v>
      </c>
      <c r="B2279" s="90" t="s">
        <v>650</v>
      </c>
      <c r="C2279" t="s">
        <v>1358</v>
      </c>
      <c r="D2279" s="1"/>
      <c r="G2279" s="107"/>
      <c r="H2279">
        <f>INDEX('GIS-Standards'!$A$2:$A$305,MATCH(B2279,'GIS-Standards'!$B$2:$B$305,0))</f>
        <v>99</v>
      </c>
      <c r="I2279" t="e">
        <f>INDEX('GIS-Standards'!$A$2:$A$305,MATCH(C2279,'GIS-Standards'!$B$2:$B$305,0))</f>
        <v>#N/A</v>
      </c>
      <c r="J2279" t="str">
        <f>INDEX('GIS-Standards'!$O$2:$O$305,MATCH(B2279,'GIS-Standards'!$B$2:$B$305,0))</f>
        <v>ISO/TC 211</v>
      </c>
      <c r="K2279" t="e">
        <f>INDEX('GIS-Standards'!$O$2:$O$305,MATCH(C2279,'GIS-Standards'!$B$2:$B$305,0))</f>
        <v>#N/A</v>
      </c>
      <c r="M2279" t="s">
        <v>525</v>
      </c>
      <c r="N2279">
        <f>INDEX('GIS-Standards'!$I$2:$I$305,MATCH(B2279,'GIS-Standards'!$B$2:$B$305,0))</f>
        <v>0</v>
      </c>
      <c r="O2279" t="e">
        <f>INDEX('GIS-Standards'!$I$2:$I$305,MATCH(C2279,'GIS-Standards'!$B$2:$B$305,0))</f>
        <v>#N/A</v>
      </c>
      <c r="P2279" t="e">
        <f>AND(TableRelationships12[[#This Row],[Source Type]]="BIM",TableRelationships12[[#This Row],[Target Type]]="BIM")</f>
        <v>#N/A</v>
      </c>
      <c r="Q2279">
        <f t="shared" si="105"/>
        <v>1</v>
      </c>
      <c r="S2279">
        <f t="shared" si="106"/>
        <v>1</v>
      </c>
      <c r="T2279" s="102" t="str">
        <f>IF(TableRelationships12[[#This Row],[Rank Pedro]]="Low","linkCategory1",IF(TableRelationships12[[#This Row],[Rank Pedro]]="Medium","linkCategory2",IF(TableRelationships12[[#This Row],[Rank Pedro]]="High","linkCategory3","")))</f>
        <v/>
      </c>
      <c r="U2279" s="102" t="str">
        <f>IF(TableRelationships12[[#This Row],[Rank Pedro]]="Low","Pink",IF(TableRelationships12[[#This Row],[Rank Pedro]]="Medium","Purple",IF(TableRelationships12[[#This Row],[Rank Pedro]]="High","Brown","")))</f>
        <v/>
      </c>
      <c r="V2279" s="4" t="e">
        <f>MAX(INDEX(Standards!$F$2:$F$296,MATCH(B2279,Standards!$B$2:$B$296,0)),INDEX(Standards!$F$2:$F$296,MATCH(C2279,Standards!$B$2:$B$296,0)))</f>
        <v>#N/A</v>
      </c>
      <c r="W2279" t="str">
        <f t="shared" si="107"/>
        <v>#2f89d1</v>
      </c>
    </row>
    <row r="2280" spans="1:23" x14ac:dyDescent="0.5">
      <c r="A2280" s="54">
        <v>2279</v>
      </c>
      <c r="B2280" s="90" t="s">
        <v>650</v>
      </c>
      <c r="C2280" t="s">
        <v>1361</v>
      </c>
      <c r="D2280" s="1"/>
      <c r="G2280" s="107"/>
      <c r="H2280">
        <f>INDEX('GIS-Standards'!$A$2:$A$305,MATCH(B2280,'GIS-Standards'!$B$2:$B$305,0))</f>
        <v>99</v>
      </c>
      <c r="I2280" t="e">
        <f>INDEX('GIS-Standards'!$A$2:$A$305,MATCH(C2280,'GIS-Standards'!$B$2:$B$305,0))</f>
        <v>#N/A</v>
      </c>
      <c r="J2280" t="str">
        <f>INDEX('GIS-Standards'!$O$2:$O$305,MATCH(B2280,'GIS-Standards'!$B$2:$B$305,0))</f>
        <v>ISO/TC 211</v>
      </c>
      <c r="K2280" t="e">
        <f>INDEX('GIS-Standards'!$O$2:$O$305,MATCH(C2280,'GIS-Standards'!$B$2:$B$305,0))</f>
        <v>#N/A</v>
      </c>
      <c r="M2280" t="s">
        <v>525</v>
      </c>
      <c r="N2280">
        <f>INDEX('GIS-Standards'!$I$2:$I$305,MATCH(B2280,'GIS-Standards'!$B$2:$B$305,0))</f>
        <v>0</v>
      </c>
      <c r="O2280" t="e">
        <f>INDEX('GIS-Standards'!$I$2:$I$305,MATCH(C2280,'GIS-Standards'!$B$2:$B$305,0))</f>
        <v>#N/A</v>
      </c>
      <c r="P2280" t="e">
        <f>AND(TableRelationships12[[#This Row],[Source Type]]="BIM",TableRelationships12[[#This Row],[Target Type]]="BIM")</f>
        <v>#N/A</v>
      </c>
      <c r="Q2280">
        <f t="shared" si="105"/>
        <v>1</v>
      </c>
      <c r="S2280">
        <f t="shared" si="106"/>
        <v>1</v>
      </c>
      <c r="T2280" s="102" t="str">
        <f>IF(TableRelationships12[[#This Row],[Rank Pedro]]="Low","linkCategory1",IF(TableRelationships12[[#This Row],[Rank Pedro]]="Medium","linkCategory2",IF(TableRelationships12[[#This Row],[Rank Pedro]]="High","linkCategory3","")))</f>
        <v/>
      </c>
      <c r="U2280" s="102" t="str">
        <f>IF(TableRelationships12[[#This Row],[Rank Pedro]]="Low","Pink",IF(TableRelationships12[[#This Row],[Rank Pedro]]="Medium","Purple",IF(TableRelationships12[[#This Row],[Rank Pedro]]="High","Brown","")))</f>
        <v/>
      </c>
      <c r="V2280" s="4" t="e">
        <f>MAX(INDEX(Standards!$F$2:$F$296,MATCH(B2280,Standards!$B$2:$B$296,0)),INDEX(Standards!$F$2:$F$296,MATCH(C2280,Standards!$B$2:$B$296,0)))</f>
        <v>#N/A</v>
      </c>
      <c r="W2280" t="str">
        <f t="shared" si="107"/>
        <v>#2f89d1</v>
      </c>
    </row>
    <row r="2281" spans="1:23" x14ac:dyDescent="0.5">
      <c r="A2281" s="54">
        <v>2280</v>
      </c>
      <c r="B2281" s="90" t="s">
        <v>650</v>
      </c>
      <c r="C2281" t="s">
        <v>1360</v>
      </c>
      <c r="D2281" s="1"/>
      <c r="G2281" s="107"/>
      <c r="H2281">
        <f>INDEX('GIS-Standards'!$A$2:$A$305,MATCH(B2281,'GIS-Standards'!$B$2:$B$305,0))</f>
        <v>99</v>
      </c>
      <c r="I2281" t="e">
        <f>INDEX('GIS-Standards'!$A$2:$A$305,MATCH(C2281,'GIS-Standards'!$B$2:$B$305,0))</f>
        <v>#N/A</v>
      </c>
      <c r="J2281" t="str">
        <f>INDEX('GIS-Standards'!$O$2:$O$305,MATCH(B2281,'GIS-Standards'!$B$2:$B$305,0))</f>
        <v>ISO/TC 211</v>
      </c>
      <c r="K2281" t="e">
        <f>INDEX('GIS-Standards'!$O$2:$O$305,MATCH(C2281,'GIS-Standards'!$B$2:$B$305,0))</f>
        <v>#N/A</v>
      </c>
      <c r="M2281" t="s">
        <v>525</v>
      </c>
      <c r="N2281">
        <f>INDEX('GIS-Standards'!$I$2:$I$305,MATCH(B2281,'GIS-Standards'!$B$2:$B$305,0))</f>
        <v>0</v>
      </c>
      <c r="O2281" t="e">
        <f>INDEX('GIS-Standards'!$I$2:$I$305,MATCH(C2281,'GIS-Standards'!$B$2:$B$305,0))</f>
        <v>#N/A</v>
      </c>
      <c r="P2281" t="e">
        <f>AND(TableRelationships12[[#This Row],[Source Type]]="BIM",TableRelationships12[[#This Row],[Target Type]]="BIM")</f>
        <v>#N/A</v>
      </c>
      <c r="Q2281">
        <f t="shared" si="105"/>
        <v>1</v>
      </c>
      <c r="S2281">
        <f t="shared" si="106"/>
        <v>1</v>
      </c>
      <c r="T2281" s="102" t="str">
        <f>IF(TableRelationships12[[#This Row],[Rank Pedro]]="Low","linkCategory1",IF(TableRelationships12[[#This Row],[Rank Pedro]]="Medium","linkCategory2",IF(TableRelationships12[[#This Row],[Rank Pedro]]="High","linkCategory3","")))</f>
        <v/>
      </c>
      <c r="U2281" s="102" t="str">
        <f>IF(TableRelationships12[[#This Row],[Rank Pedro]]="Low","Pink",IF(TableRelationships12[[#This Row],[Rank Pedro]]="Medium","Purple",IF(TableRelationships12[[#This Row],[Rank Pedro]]="High","Brown","")))</f>
        <v/>
      </c>
      <c r="V2281" s="4" t="e">
        <f>MAX(INDEX(Standards!$F$2:$F$296,MATCH(B2281,Standards!$B$2:$B$296,0)),INDEX(Standards!$F$2:$F$296,MATCH(C2281,Standards!$B$2:$B$296,0)))</f>
        <v>#N/A</v>
      </c>
      <c r="W2281" t="str">
        <f t="shared" si="107"/>
        <v>#2f89d1</v>
      </c>
    </row>
    <row r="2282" spans="1:23" x14ac:dyDescent="0.5">
      <c r="A2282" s="54">
        <v>2281</v>
      </c>
      <c r="B2282" s="90" t="s">
        <v>650</v>
      </c>
      <c r="C2282" t="s">
        <v>1359</v>
      </c>
      <c r="D2282" s="1"/>
      <c r="G2282" s="107"/>
      <c r="H2282">
        <f>INDEX('GIS-Standards'!$A$2:$A$305,MATCH(B2282,'GIS-Standards'!$B$2:$B$305,0))</f>
        <v>99</v>
      </c>
      <c r="I2282" t="e">
        <f>INDEX('GIS-Standards'!$A$2:$A$305,MATCH(C2282,'GIS-Standards'!$B$2:$B$305,0))</f>
        <v>#N/A</v>
      </c>
      <c r="J2282" t="str">
        <f>INDEX('GIS-Standards'!$O$2:$O$305,MATCH(B2282,'GIS-Standards'!$B$2:$B$305,0))</f>
        <v>ISO/TC 211</v>
      </c>
      <c r="K2282" t="e">
        <f>INDEX('GIS-Standards'!$O$2:$O$305,MATCH(C2282,'GIS-Standards'!$B$2:$B$305,0))</f>
        <v>#N/A</v>
      </c>
      <c r="M2282" t="s">
        <v>525</v>
      </c>
      <c r="N2282">
        <f>INDEX('GIS-Standards'!$I$2:$I$305,MATCH(B2282,'GIS-Standards'!$B$2:$B$305,0))</f>
        <v>0</v>
      </c>
      <c r="O2282" t="e">
        <f>INDEX('GIS-Standards'!$I$2:$I$305,MATCH(C2282,'GIS-Standards'!$B$2:$B$305,0))</f>
        <v>#N/A</v>
      </c>
      <c r="P2282" t="e">
        <f>AND(TableRelationships12[[#This Row],[Source Type]]="BIM",TableRelationships12[[#This Row],[Target Type]]="BIM")</f>
        <v>#N/A</v>
      </c>
      <c r="Q2282">
        <f t="shared" si="105"/>
        <v>1</v>
      </c>
      <c r="S2282">
        <f t="shared" si="106"/>
        <v>1</v>
      </c>
      <c r="T2282" s="102" t="str">
        <f>IF(TableRelationships12[[#This Row],[Rank Pedro]]="Low","linkCategory1",IF(TableRelationships12[[#This Row],[Rank Pedro]]="Medium","linkCategory2",IF(TableRelationships12[[#This Row],[Rank Pedro]]="High","linkCategory3","")))</f>
        <v/>
      </c>
      <c r="U2282" s="102" t="str">
        <f>IF(TableRelationships12[[#This Row],[Rank Pedro]]="Low","Pink",IF(TableRelationships12[[#This Row],[Rank Pedro]]="Medium","Purple",IF(TableRelationships12[[#This Row],[Rank Pedro]]="High","Brown","")))</f>
        <v/>
      </c>
      <c r="V2282" s="4" t="e">
        <f>MAX(INDEX(Standards!$F$2:$F$296,MATCH(B2282,Standards!$B$2:$B$296,0)),INDEX(Standards!$F$2:$F$296,MATCH(C2282,Standards!$B$2:$B$296,0)))</f>
        <v>#N/A</v>
      </c>
      <c r="W2282" t="str">
        <f t="shared" si="107"/>
        <v>#2f89d1</v>
      </c>
    </row>
    <row r="2283" spans="1:23" x14ac:dyDescent="0.5">
      <c r="A2283" s="54">
        <v>2282</v>
      </c>
      <c r="B2283" s="90" t="s">
        <v>650</v>
      </c>
      <c r="C2283" t="s">
        <v>1534</v>
      </c>
      <c r="D2283" s="1"/>
      <c r="G2283" s="107"/>
      <c r="H2283">
        <f>INDEX('GIS-Standards'!$A$2:$A$305,MATCH(B2283,'GIS-Standards'!$B$2:$B$305,0))</f>
        <v>99</v>
      </c>
      <c r="I2283" t="e">
        <f>INDEX('GIS-Standards'!$A$2:$A$305,MATCH(C2283,'GIS-Standards'!$B$2:$B$305,0))</f>
        <v>#N/A</v>
      </c>
      <c r="J2283" t="str">
        <f>INDEX('GIS-Standards'!$O$2:$O$305,MATCH(B2283,'GIS-Standards'!$B$2:$B$305,0))</f>
        <v>ISO/TC 211</v>
      </c>
      <c r="K2283" t="e">
        <f>INDEX('GIS-Standards'!$O$2:$O$305,MATCH(C2283,'GIS-Standards'!$B$2:$B$305,0))</f>
        <v>#N/A</v>
      </c>
      <c r="M2283" t="s">
        <v>525</v>
      </c>
      <c r="N2283">
        <f>INDEX('GIS-Standards'!$I$2:$I$305,MATCH(B2283,'GIS-Standards'!$B$2:$B$305,0))</f>
        <v>0</v>
      </c>
      <c r="O2283" t="e">
        <f>INDEX('GIS-Standards'!$I$2:$I$305,MATCH(C2283,'GIS-Standards'!$B$2:$B$305,0))</f>
        <v>#N/A</v>
      </c>
      <c r="P2283" t="e">
        <f>AND(TableRelationships12[[#This Row],[Source Type]]="BIM",TableRelationships12[[#This Row],[Target Type]]="BIM")</f>
        <v>#N/A</v>
      </c>
      <c r="Q2283">
        <f t="shared" si="105"/>
        <v>1</v>
      </c>
      <c r="S2283">
        <f t="shared" si="106"/>
        <v>1</v>
      </c>
      <c r="T2283" s="102" t="str">
        <f>IF(TableRelationships12[[#This Row],[Rank Pedro]]="Low","linkCategory1",IF(TableRelationships12[[#This Row],[Rank Pedro]]="Medium","linkCategory2",IF(TableRelationships12[[#This Row],[Rank Pedro]]="High","linkCategory3","")))</f>
        <v/>
      </c>
      <c r="U2283" s="102" t="str">
        <f>IF(TableRelationships12[[#This Row],[Rank Pedro]]="Low","Pink",IF(TableRelationships12[[#This Row],[Rank Pedro]]="Medium","Purple",IF(TableRelationships12[[#This Row],[Rank Pedro]]="High","Brown","")))</f>
        <v/>
      </c>
      <c r="V2283" s="4" t="e">
        <f>MAX(INDEX(Standards!$F$2:$F$296,MATCH(B2283,Standards!$B$2:$B$296,0)),INDEX(Standards!$F$2:$F$296,MATCH(C2283,Standards!$B$2:$B$296,0)))</f>
        <v>#N/A</v>
      </c>
      <c r="W2283" t="str">
        <f t="shared" si="107"/>
        <v>#2f89d1</v>
      </c>
    </row>
    <row r="2284" spans="1:23" x14ac:dyDescent="0.5">
      <c r="A2284" s="54">
        <v>2283</v>
      </c>
      <c r="B2284" s="90" t="s">
        <v>650</v>
      </c>
      <c r="C2284" t="s">
        <v>1348</v>
      </c>
      <c r="D2284" s="1"/>
      <c r="G2284" s="107"/>
      <c r="H2284">
        <f>INDEX('GIS-Standards'!$A$2:$A$305,MATCH(B2284,'GIS-Standards'!$B$2:$B$305,0))</f>
        <v>99</v>
      </c>
      <c r="I2284" t="e">
        <f>INDEX('GIS-Standards'!$A$2:$A$305,MATCH(C2284,'GIS-Standards'!$B$2:$B$305,0))</f>
        <v>#N/A</v>
      </c>
      <c r="J2284" t="str">
        <f>INDEX('GIS-Standards'!$O$2:$O$305,MATCH(B2284,'GIS-Standards'!$B$2:$B$305,0))</f>
        <v>ISO/TC 211</v>
      </c>
      <c r="K2284" t="e">
        <f>INDEX('GIS-Standards'!$O$2:$O$305,MATCH(C2284,'GIS-Standards'!$B$2:$B$305,0))</f>
        <v>#N/A</v>
      </c>
      <c r="M2284" t="s">
        <v>525</v>
      </c>
      <c r="N2284">
        <f>INDEX('GIS-Standards'!$I$2:$I$305,MATCH(B2284,'GIS-Standards'!$B$2:$B$305,0))</f>
        <v>0</v>
      </c>
      <c r="O2284" t="e">
        <f>INDEX('GIS-Standards'!$I$2:$I$305,MATCH(C2284,'GIS-Standards'!$B$2:$B$305,0))</f>
        <v>#N/A</v>
      </c>
      <c r="P2284" t="e">
        <f>AND(TableRelationships12[[#This Row],[Source Type]]="BIM",TableRelationships12[[#This Row],[Target Type]]="BIM")</f>
        <v>#N/A</v>
      </c>
      <c r="Q2284">
        <f t="shared" si="105"/>
        <v>1</v>
      </c>
      <c r="S2284">
        <f t="shared" si="106"/>
        <v>1</v>
      </c>
      <c r="T2284" s="102" t="str">
        <f>IF(TableRelationships12[[#This Row],[Rank Pedro]]="Low","linkCategory1",IF(TableRelationships12[[#This Row],[Rank Pedro]]="Medium","linkCategory2",IF(TableRelationships12[[#This Row],[Rank Pedro]]="High","linkCategory3","")))</f>
        <v/>
      </c>
      <c r="U2284" s="102" t="str">
        <f>IF(TableRelationships12[[#This Row],[Rank Pedro]]="Low","Pink",IF(TableRelationships12[[#This Row],[Rank Pedro]]="Medium","Purple",IF(TableRelationships12[[#This Row],[Rank Pedro]]="High","Brown","")))</f>
        <v/>
      </c>
      <c r="V2284" s="4" t="e">
        <f>MAX(INDEX(Standards!$F$2:$F$296,MATCH(B2284,Standards!$B$2:$B$296,0)),INDEX(Standards!$F$2:$F$296,MATCH(C2284,Standards!$B$2:$B$296,0)))</f>
        <v>#N/A</v>
      </c>
      <c r="W2284" t="str">
        <f t="shared" si="107"/>
        <v>#2f89d1</v>
      </c>
    </row>
    <row r="2285" spans="1:23" x14ac:dyDescent="0.5">
      <c r="A2285" s="54">
        <v>2284</v>
      </c>
      <c r="B2285" s="90" t="s">
        <v>651</v>
      </c>
      <c r="C2285" t="s">
        <v>527</v>
      </c>
      <c r="D2285" s="1"/>
      <c r="E2285" s="112" t="s">
        <v>994</v>
      </c>
      <c r="F2285" s="112" t="s">
        <v>994</v>
      </c>
      <c r="G2285" s="121" t="s">
        <v>670</v>
      </c>
      <c r="H2285">
        <f>INDEX('GIS-Standards'!$A$2:$A$305,MATCH(B2285,'GIS-Standards'!$B$2:$B$305,0))</f>
        <v>100</v>
      </c>
      <c r="I2285" t="e">
        <f>INDEX('GIS-Standards'!$A$2:$A$305,MATCH(C2285,'GIS-Standards'!$B$2:$B$305,0))</f>
        <v>#N/A</v>
      </c>
      <c r="J2285" t="str">
        <f>INDEX('GIS-Standards'!$O$2:$O$305,MATCH(B2285,'GIS-Standards'!$B$2:$B$305,0))</f>
        <v>ISO/TC 211</v>
      </c>
      <c r="K2285" t="e">
        <f>INDEX('GIS-Standards'!$O$2:$O$305,MATCH(C2285,'GIS-Standards'!$B$2:$B$305,0))</f>
        <v>#N/A</v>
      </c>
      <c r="M2285" t="s">
        <v>237</v>
      </c>
      <c r="N2285">
        <f>INDEX('GIS-Standards'!$I$2:$I$305,MATCH(B2285,'GIS-Standards'!$B$2:$B$305,0))</f>
        <v>0</v>
      </c>
      <c r="O2285" t="e">
        <f>INDEX('GIS-Standards'!$I$2:$I$305,MATCH(C2285,'GIS-Standards'!$B$2:$B$305,0))</f>
        <v>#N/A</v>
      </c>
      <c r="P2285" t="e">
        <f>AND(TableRelationships12[[#This Row],[Source Type]]="BIM",TableRelationships12[[#This Row],[Target Type]]="BIM")</f>
        <v>#N/A</v>
      </c>
      <c r="Q2285">
        <f t="shared" si="105"/>
        <v>2</v>
      </c>
      <c r="S2285">
        <f t="shared" si="106"/>
        <v>1</v>
      </c>
      <c r="T2285" s="102" t="str">
        <f>IF(TableRelationships12[[#This Row],[Rank Pedro]]="Low","linkCategory1",IF(TableRelationships12[[#This Row],[Rank Pedro]]="Medium","linkCategory2",IF(TableRelationships12[[#This Row],[Rank Pedro]]="High","linkCategory3","")))</f>
        <v/>
      </c>
      <c r="U2285" s="102" t="str">
        <f>IF(TableRelationships12[[#This Row],[Rank Pedro]]="Low","Pink",IF(TableRelationships12[[#This Row],[Rank Pedro]]="Medium","Purple",IF(TableRelationships12[[#This Row],[Rank Pedro]]="High","Brown","")))</f>
        <v/>
      </c>
      <c r="V2285" s="4" t="e">
        <f>MAX(INDEX(Standards!$F$2:$F$296,MATCH(B2285,Standards!$B$2:$B$296,0)),INDEX(Standards!$F$2:$F$296,MATCH(C2285,Standards!$B$2:$B$296,0)))</f>
        <v>#N/A</v>
      </c>
      <c r="W2285">
        <f t="shared" si="107"/>
        <v>1</v>
      </c>
    </row>
    <row r="2286" spans="1:23" x14ac:dyDescent="0.5">
      <c r="A2286" s="54">
        <v>2285</v>
      </c>
      <c r="B2286" s="90" t="s">
        <v>651</v>
      </c>
      <c r="C2286" t="s">
        <v>296</v>
      </c>
      <c r="D2286" s="1"/>
      <c r="E2286" s="112">
        <v>2005.07</v>
      </c>
      <c r="F2286" s="112">
        <v>2024.09</v>
      </c>
      <c r="G2286" s="107" t="s">
        <v>670</v>
      </c>
      <c r="H2286">
        <f>INDEX('GIS-Standards'!$A$2:$A$305,MATCH(B2286,'GIS-Standards'!$B$2:$B$305,0))</f>
        <v>100</v>
      </c>
      <c r="I2286">
        <f>INDEX('GIS-Standards'!$A$2:$A$305,MATCH(C2286,'GIS-Standards'!$B$2:$B$305,0))</f>
        <v>12</v>
      </c>
      <c r="J2286" t="str">
        <f>INDEX('GIS-Standards'!$O$2:$O$305,MATCH(B2286,'GIS-Standards'!$B$2:$B$305,0))</f>
        <v>ISO/TC 211</v>
      </c>
      <c r="K2286" t="str">
        <f>INDEX('GIS-Standards'!$O$2:$O$305,MATCH(C2286,'GIS-Standards'!$B$2:$B$305,0))</f>
        <v>ISO/TC 211</v>
      </c>
      <c r="M2286" t="s">
        <v>524</v>
      </c>
      <c r="N2286">
        <f>INDEX('GIS-Standards'!$I$2:$I$305,MATCH(B2286,'GIS-Standards'!$B$2:$B$305,0))</f>
        <v>0</v>
      </c>
      <c r="O2286">
        <f>INDEX('GIS-Standards'!$I$2:$I$305,MATCH(C2286,'GIS-Standards'!$B$2:$B$305,0))</f>
        <v>0</v>
      </c>
      <c r="P2286" t="b">
        <f>AND(TableRelationships12[[#This Row],[Source Type]]="BIM",TableRelationships12[[#This Row],[Target Type]]="BIM")</f>
        <v>0</v>
      </c>
      <c r="Q2286">
        <f t="shared" si="105"/>
        <v>6</v>
      </c>
      <c r="S2286">
        <f t="shared" si="106"/>
        <v>1</v>
      </c>
      <c r="T2286" s="102" t="str">
        <f>IF(TableRelationships12[[#This Row],[Rank Pedro]]="Low","linkCategory1",IF(TableRelationships12[[#This Row],[Rank Pedro]]="Medium","linkCategory2",IF(TableRelationships12[[#This Row],[Rank Pedro]]="High","linkCategory3","")))</f>
        <v/>
      </c>
      <c r="U2286" s="102" t="str">
        <f>IF(TableRelationships12[[#This Row],[Rank Pedro]]="Low","Pink",IF(TableRelationships12[[#This Row],[Rank Pedro]]="Medium","Purple",IF(TableRelationships12[[#This Row],[Rank Pedro]]="High","Brown","")))</f>
        <v/>
      </c>
      <c r="V2286" s="4" t="e">
        <f>MAX(INDEX(Standards!$F$2:$F$296,MATCH(B2286,Standards!$B$2:$B$296,0)),INDEX(Standards!$F$2:$F$296,MATCH(C2286,Standards!$B$2:$B$296,0)))</f>
        <v>#N/A</v>
      </c>
      <c r="W2286" t="str">
        <f t="shared" si="107"/>
        <v>#d6bf2a</v>
      </c>
    </row>
    <row r="2287" spans="1:23" x14ac:dyDescent="0.5">
      <c r="A2287" s="54">
        <v>2286</v>
      </c>
      <c r="B2287" s="90" t="s">
        <v>651</v>
      </c>
      <c r="C2287" t="s">
        <v>302</v>
      </c>
      <c r="D2287" s="1"/>
      <c r="E2287" s="112">
        <v>2003.05</v>
      </c>
      <c r="F2287" s="112">
        <v>2019.12</v>
      </c>
      <c r="G2287" s="107" t="s">
        <v>670</v>
      </c>
      <c r="H2287">
        <f>INDEX('GIS-Standards'!$A$2:$A$305,MATCH(B2287,'GIS-Standards'!$B$2:$B$305,0))</f>
        <v>100</v>
      </c>
      <c r="I2287">
        <f>INDEX('GIS-Standards'!$A$2:$A$305,MATCH(C2287,'GIS-Standards'!$B$2:$B$305,0))</f>
        <v>16</v>
      </c>
      <c r="J2287" t="str">
        <f>INDEX('GIS-Standards'!$O$2:$O$305,MATCH(B2287,'GIS-Standards'!$B$2:$B$305,0))</f>
        <v>ISO/TC 211</v>
      </c>
      <c r="K2287" t="str">
        <f>INDEX('GIS-Standards'!$O$2:$O$305,MATCH(C2287,'GIS-Standards'!$B$2:$B$305,0))</f>
        <v>ISO/TC 211</v>
      </c>
      <c r="M2287" t="s">
        <v>524</v>
      </c>
      <c r="N2287">
        <f>INDEX('GIS-Standards'!$I$2:$I$305,MATCH(B2287,'GIS-Standards'!$B$2:$B$305,0))</f>
        <v>0</v>
      </c>
      <c r="O2287">
        <f>INDEX('GIS-Standards'!$I$2:$I$305,MATCH(C2287,'GIS-Standards'!$B$2:$B$305,0))</f>
        <v>0</v>
      </c>
      <c r="P2287" t="b">
        <f>AND(TableRelationships12[[#This Row],[Source Type]]="BIM",TableRelationships12[[#This Row],[Target Type]]="BIM")</f>
        <v>0</v>
      </c>
      <c r="Q2287">
        <f t="shared" si="105"/>
        <v>6</v>
      </c>
      <c r="S2287">
        <f t="shared" si="106"/>
        <v>1</v>
      </c>
      <c r="T2287" s="102" t="str">
        <f>IF(TableRelationships12[[#This Row],[Rank Pedro]]="Low","linkCategory1",IF(TableRelationships12[[#This Row],[Rank Pedro]]="Medium","linkCategory2",IF(TableRelationships12[[#This Row],[Rank Pedro]]="High","linkCategory3","")))</f>
        <v/>
      </c>
      <c r="U2287" s="102" t="str">
        <f>IF(TableRelationships12[[#This Row],[Rank Pedro]]="Low","Pink",IF(TableRelationships12[[#This Row],[Rank Pedro]]="Medium","Purple",IF(TableRelationships12[[#This Row],[Rank Pedro]]="High","Brown","")))</f>
        <v/>
      </c>
      <c r="V2287" s="4" t="e">
        <f>MAX(INDEX(Standards!$F$2:$F$296,MATCH(B2287,Standards!$B$2:$B$296,0)),INDEX(Standards!$F$2:$F$296,MATCH(C2287,Standards!$B$2:$B$296,0)))</f>
        <v>#N/A</v>
      </c>
      <c r="W2287" t="str">
        <f t="shared" si="107"/>
        <v>#d6bf2a</v>
      </c>
    </row>
    <row r="2288" spans="1:23" x14ac:dyDescent="0.5">
      <c r="A2288" s="54">
        <v>2287</v>
      </c>
      <c r="B2288" s="90" t="s">
        <v>651</v>
      </c>
      <c r="C2288" t="s">
        <v>304</v>
      </c>
      <c r="D2288" s="1"/>
      <c r="E2288" s="112">
        <v>2002.09</v>
      </c>
      <c r="F2288" s="112">
        <v>2006.1</v>
      </c>
      <c r="G2288" s="107" t="s">
        <v>670</v>
      </c>
      <c r="H2288">
        <f>INDEX('GIS-Standards'!$A$2:$A$305,MATCH(B2288,'GIS-Standards'!$B$2:$B$305,0))</f>
        <v>100</v>
      </c>
      <c r="I2288">
        <f>INDEX('GIS-Standards'!$A$2:$A$305,MATCH(C2288,'GIS-Standards'!$B$2:$B$305,0))</f>
        <v>17</v>
      </c>
      <c r="J2288" t="str">
        <f>INDEX('GIS-Standards'!$O$2:$O$305,MATCH(B2288,'GIS-Standards'!$B$2:$B$305,0))</f>
        <v>ISO/TC 211</v>
      </c>
      <c r="K2288" t="str">
        <f>INDEX('GIS-Standards'!$O$2:$O$305,MATCH(C2288,'GIS-Standards'!$B$2:$B$305,0))</f>
        <v>ISO/TC 211</v>
      </c>
      <c r="M2288" t="s">
        <v>524</v>
      </c>
      <c r="N2288">
        <f>INDEX('GIS-Standards'!$I$2:$I$305,MATCH(B2288,'GIS-Standards'!$B$2:$B$305,0))</f>
        <v>0</v>
      </c>
      <c r="O2288" t="str">
        <f>INDEX('GIS-Standards'!$I$2:$I$305,MATCH(C2288,'GIS-Standards'!$B$2:$B$305,0))</f>
        <v>06.2008</v>
      </c>
      <c r="P2288" t="b">
        <f>AND(TableRelationships12[[#This Row],[Source Type]]="BIM",TableRelationships12[[#This Row],[Target Type]]="BIM")</f>
        <v>0</v>
      </c>
      <c r="Q2288">
        <f t="shared" si="105"/>
        <v>6</v>
      </c>
      <c r="S2288">
        <f t="shared" si="106"/>
        <v>1</v>
      </c>
      <c r="T2288" s="102" t="str">
        <f>IF(TableRelationships12[[#This Row],[Rank Pedro]]="Low","linkCategory1",IF(TableRelationships12[[#This Row],[Rank Pedro]]="Medium","linkCategory2",IF(TableRelationships12[[#This Row],[Rank Pedro]]="High","linkCategory3","")))</f>
        <v/>
      </c>
      <c r="U2288" s="102" t="str">
        <f>IF(TableRelationships12[[#This Row],[Rank Pedro]]="Low","Pink",IF(TableRelationships12[[#This Row],[Rank Pedro]]="Medium","Purple",IF(TableRelationships12[[#This Row],[Rank Pedro]]="High","Brown","")))</f>
        <v/>
      </c>
      <c r="V2288" s="4" t="e">
        <f>MAX(INDEX(Standards!$F$2:$F$296,MATCH(B2288,Standards!$B$2:$B$296,0)),INDEX(Standards!$F$2:$F$296,MATCH(C2288,Standards!$B$2:$B$296,0)))</f>
        <v>#N/A</v>
      </c>
      <c r="W2288" t="str">
        <f t="shared" si="107"/>
        <v>#d6bf2a</v>
      </c>
    </row>
    <row r="2289" spans="1:23" x14ac:dyDescent="0.5">
      <c r="A2289" s="54">
        <v>2288</v>
      </c>
      <c r="B2289" s="90" t="s">
        <v>651</v>
      </c>
      <c r="C2289" t="s">
        <v>310</v>
      </c>
      <c r="D2289" s="1"/>
      <c r="E2289" s="112">
        <v>2003.02</v>
      </c>
      <c r="F2289" s="112">
        <v>2023.08</v>
      </c>
      <c r="G2289" s="107" t="s">
        <v>670</v>
      </c>
      <c r="H2289">
        <f>INDEX('GIS-Standards'!$A$2:$A$305,MATCH(B2289,'GIS-Standards'!$B$2:$B$305,0))</f>
        <v>100</v>
      </c>
      <c r="I2289">
        <f>INDEX('GIS-Standards'!$A$2:$A$305,MATCH(C2289,'GIS-Standards'!$B$2:$B$305,0))</f>
        <v>20</v>
      </c>
      <c r="J2289" t="str">
        <f>INDEX('GIS-Standards'!$O$2:$O$305,MATCH(B2289,'GIS-Standards'!$B$2:$B$305,0))</f>
        <v>ISO/TC 211</v>
      </c>
      <c r="K2289" t="str">
        <f>INDEX('GIS-Standards'!$O$2:$O$305,MATCH(C2289,'GIS-Standards'!$B$2:$B$305,0))</f>
        <v>ISO/TC 211</v>
      </c>
      <c r="M2289" t="s">
        <v>524</v>
      </c>
      <c r="N2289">
        <f>INDEX('GIS-Standards'!$I$2:$I$305,MATCH(B2289,'GIS-Standards'!$B$2:$B$305,0))</f>
        <v>0</v>
      </c>
      <c r="O2289" t="str">
        <f>INDEX('GIS-Standards'!$I$2:$I$305,MATCH(C2289,'GIS-Standards'!$B$2:$B$305,0))</f>
        <v>08.2023</v>
      </c>
      <c r="P2289" t="b">
        <f>AND(TableRelationships12[[#This Row],[Source Type]]="BIM",TableRelationships12[[#This Row],[Target Type]]="BIM")</f>
        <v>0</v>
      </c>
      <c r="Q2289">
        <f t="shared" si="105"/>
        <v>6</v>
      </c>
      <c r="S2289">
        <f t="shared" si="106"/>
        <v>1</v>
      </c>
      <c r="T2289" s="102" t="str">
        <f>IF(TableRelationships12[[#This Row],[Rank Pedro]]="Low","linkCategory1",IF(TableRelationships12[[#This Row],[Rank Pedro]]="Medium","linkCategory2",IF(TableRelationships12[[#This Row],[Rank Pedro]]="High","linkCategory3","")))</f>
        <v/>
      </c>
      <c r="U2289" s="102" t="str">
        <f>IF(TableRelationships12[[#This Row],[Rank Pedro]]="Low","Pink",IF(TableRelationships12[[#This Row],[Rank Pedro]]="Medium","Purple",IF(TableRelationships12[[#This Row],[Rank Pedro]]="High","Brown","")))</f>
        <v/>
      </c>
      <c r="V2289" s="4" t="e">
        <f>MAX(INDEX(Standards!$F$2:$F$296,MATCH(B2289,Standards!$B$2:$B$296,0)),INDEX(Standards!$F$2:$F$296,MATCH(C2289,Standards!$B$2:$B$296,0)))</f>
        <v>#N/A</v>
      </c>
      <c r="W2289" t="str">
        <f t="shared" si="107"/>
        <v>#d6bf2a</v>
      </c>
    </row>
    <row r="2290" spans="1:23" x14ac:dyDescent="0.5">
      <c r="A2290" s="54">
        <v>2289</v>
      </c>
      <c r="B2290" s="90" t="s">
        <v>651</v>
      </c>
      <c r="C2290" t="s">
        <v>314</v>
      </c>
      <c r="D2290" s="1"/>
      <c r="E2290" s="112">
        <v>2003.05</v>
      </c>
      <c r="F2290" s="112">
        <v>2020.11</v>
      </c>
      <c r="G2290" s="107" t="s">
        <v>670</v>
      </c>
      <c r="H2290">
        <f>INDEX('GIS-Standards'!$A$2:$A$305,MATCH(B2290,'GIS-Standards'!$B$2:$B$305,0))</f>
        <v>100</v>
      </c>
      <c r="I2290">
        <f>INDEX('GIS-Standards'!$A$2:$A$305,MATCH(C2290,'GIS-Standards'!$B$2:$B$305,0))</f>
        <v>22</v>
      </c>
      <c r="J2290" t="str">
        <f>INDEX('GIS-Standards'!$O$2:$O$305,MATCH(B2290,'GIS-Standards'!$B$2:$B$305,0))</f>
        <v>ISO/TC 211</v>
      </c>
      <c r="K2290" t="str">
        <f>INDEX('GIS-Standards'!$O$2:$O$305,MATCH(C2290,'GIS-Standards'!$B$2:$B$305,0))</f>
        <v>ISO/TC 211</v>
      </c>
      <c r="M2290" t="s">
        <v>524</v>
      </c>
      <c r="N2290">
        <f>INDEX('GIS-Standards'!$I$2:$I$305,MATCH(B2290,'GIS-Standards'!$B$2:$B$305,0))</f>
        <v>0</v>
      </c>
      <c r="O2290" t="str">
        <f>INDEX('GIS-Standards'!$I$2:$I$305,MATCH(C2290,'GIS-Standards'!$B$2:$B$305,0))</f>
        <v>12.2020</v>
      </c>
      <c r="P2290" t="b">
        <f>AND(TableRelationships12[[#This Row],[Source Type]]="BIM",TableRelationships12[[#This Row],[Target Type]]="BIM")</f>
        <v>0</v>
      </c>
      <c r="Q2290">
        <f t="shared" si="105"/>
        <v>6</v>
      </c>
      <c r="S2290">
        <f t="shared" si="106"/>
        <v>1</v>
      </c>
      <c r="T2290" s="102" t="str">
        <f>IF(TableRelationships12[[#This Row],[Rank Pedro]]="Low","linkCategory1",IF(TableRelationships12[[#This Row],[Rank Pedro]]="Medium","linkCategory2",IF(TableRelationships12[[#This Row],[Rank Pedro]]="High","linkCategory3","")))</f>
        <v/>
      </c>
      <c r="U2290" s="102" t="str">
        <f>IF(TableRelationships12[[#This Row],[Rank Pedro]]="Low","Pink",IF(TableRelationships12[[#This Row],[Rank Pedro]]="Medium","Purple",IF(TableRelationships12[[#This Row],[Rank Pedro]]="High","Brown","")))</f>
        <v/>
      </c>
      <c r="V2290" s="4" t="e">
        <f>MAX(INDEX(Standards!$F$2:$F$296,MATCH(B2290,Standards!$B$2:$B$296,0)),INDEX(Standards!$F$2:$F$296,MATCH(C2290,Standards!$B$2:$B$296,0)))</f>
        <v>#N/A</v>
      </c>
      <c r="W2290" t="str">
        <f t="shared" si="107"/>
        <v>#d6bf2a</v>
      </c>
    </row>
    <row r="2291" spans="1:23" x14ac:dyDescent="0.5">
      <c r="A2291" s="54">
        <v>2290</v>
      </c>
      <c r="B2291" s="90" t="s">
        <v>651</v>
      </c>
      <c r="C2291" t="s">
        <v>1041</v>
      </c>
      <c r="D2291" s="1"/>
      <c r="E2291" s="112">
        <v>2009.02</v>
      </c>
      <c r="F2291" s="112">
        <v>2022.03</v>
      </c>
      <c r="G2291" s="107" t="s">
        <v>670</v>
      </c>
      <c r="H2291">
        <f>INDEX('GIS-Standards'!$A$2:$A$305,MATCH(B2291,'GIS-Standards'!$B$2:$B$305,0))</f>
        <v>100</v>
      </c>
      <c r="I2291">
        <f>INDEX('GIS-Standards'!$A$2:$A$305,MATCH(C2291,'GIS-Standards'!$B$2:$B$305,0))</f>
        <v>23</v>
      </c>
      <c r="J2291" t="str">
        <f>INDEX('GIS-Standards'!$O$2:$O$305,MATCH(B2291,'GIS-Standards'!$B$2:$B$305,0))</f>
        <v>ISO/TC 211</v>
      </c>
      <c r="K2291" t="str">
        <f>INDEX('GIS-Standards'!$O$2:$O$305,MATCH(C2291,'GIS-Standards'!$B$2:$B$305,0))</f>
        <v>ISO/TC 211</v>
      </c>
      <c r="M2291" t="s">
        <v>524</v>
      </c>
      <c r="N2291">
        <f>INDEX('GIS-Standards'!$I$2:$I$305,MATCH(B2291,'GIS-Standards'!$B$2:$B$305,0))</f>
        <v>0</v>
      </c>
      <c r="O2291" t="str">
        <f>INDEX('GIS-Standards'!$I$2:$I$305,MATCH(C2291,'GIS-Standards'!$B$2:$B$305,0))</f>
        <v>03.2022</v>
      </c>
      <c r="P2291" t="b">
        <f>AND(TableRelationships12[[#This Row],[Source Type]]="BIM",TableRelationships12[[#This Row],[Target Type]]="BIM")</f>
        <v>0</v>
      </c>
      <c r="Q2291">
        <f t="shared" si="105"/>
        <v>6</v>
      </c>
      <c r="S2291">
        <f t="shared" si="106"/>
        <v>1</v>
      </c>
      <c r="T2291" s="102" t="str">
        <f>IF(TableRelationships12[[#This Row],[Rank Pedro]]="Low","linkCategory1",IF(TableRelationships12[[#This Row],[Rank Pedro]]="Medium","linkCategory2",IF(TableRelationships12[[#This Row],[Rank Pedro]]="High","linkCategory3","")))</f>
        <v/>
      </c>
      <c r="U2291" s="102" t="str">
        <f>IF(TableRelationships12[[#This Row],[Rank Pedro]]="Low","Pink",IF(TableRelationships12[[#This Row],[Rank Pedro]]="Medium","Purple",IF(TableRelationships12[[#This Row],[Rank Pedro]]="High","Brown","")))</f>
        <v/>
      </c>
      <c r="V2291" s="4" t="e">
        <f>MAX(INDEX(Standards!$F$2:$F$296,MATCH(B2291,Standards!$B$2:$B$296,0)),INDEX(Standards!$F$2:$F$296,MATCH(C2291,Standards!$B$2:$B$296,0)))</f>
        <v>#N/A</v>
      </c>
      <c r="W2291" t="str">
        <f t="shared" si="107"/>
        <v>#d6bf2a</v>
      </c>
    </row>
    <row r="2292" spans="1:23" x14ac:dyDescent="0.5">
      <c r="A2292" s="54">
        <v>2291</v>
      </c>
      <c r="B2292" s="90" t="s">
        <v>651</v>
      </c>
      <c r="C2292" t="s">
        <v>320</v>
      </c>
      <c r="D2292" s="1" t="s">
        <v>1100</v>
      </c>
      <c r="E2292" s="112">
        <v>2005.08</v>
      </c>
      <c r="F2292" s="112">
        <v>2023.06</v>
      </c>
      <c r="G2292" s="107" t="s">
        <v>670</v>
      </c>
      <c r="H2292">
        <f>INDEX('GIS-Standards'!$A$2:$A$305,MATCH(B2292,'GIS-Standards'!$B$2:$B$305,0))</f>
        <v>100</v>
      </c>
      <c r="I2292">
        <f>INDEX('GIS-Standards'!$A$2:$A$305,MATCH(C2292,'GIS-Standards'!$B$2:$B$305,0))</f>
        <v>29</v>
      </c>
      <c r="J2292" t="str">
        <f>INDEX('GIS-Standards'!$O$2:$O$305,MATCH(B2292,'GIS-Standards'!$B$2:$B$305,0))</f>
        <v>ISO/TC 211</v>
      </c>
      <c r="K2292" t="str">
        <f>INDEX('GIS-Standards'!$O$2:$O$305,MATCH(C2292,'GIS-Standards'!$B$2:$B$305,0))</f>
        <v>ISO/TC 211</v>
      </c>
      <c r="M2292" t="s">
        <v>524</v>
      </c>
      <c r="N2292">
        <f>INDEX('GIS-Standards'!$I$2:$I$305,MATCH(B2292,'GIS-Standards'!$B$2:$B$305,0))</f>
        <v>0</v>
      </c>
      <c r="O2292">
        <f>INDEX('GIS-Standards'!$I$2:$I$305,MATCH(C2292,'GIS-Standards'!$B$2:$B$305,0))</f>
        <v>0</v>
      </c>
      <c r="P2292" t="b">
        <f>AND(TableRelationships12[[#This Row],[Source Type]]="BIM",TableRelationships12[[#This Row],[Target Type]]="BIM")</f>
        <v>0</v>
      </c>
      <c r="Q2292">
        <f t="shared" si="105"/>
        <v>6</v>
      </c>
      <c r="S2292">
        <f t="shared" si="106"/>
        <v>1</v>
      </c>
      <c r="T2292" s="102" t="str">
        <f>IF(TableRelationships12[[#This Row],[Rank Pedro]]="Low","linkCategory1",IF(TableRelationships12[[#This Row],[Rank Pedro]]="Medium","linkCategory2",IF(TableRelationships12[[#This Row],[Rank Pedro]]="High","linkCategory3","")))</f>
        <v/>
      </c>
      <c r="U2292" s="102" t="str">
        <f>IF(TableRelationships12[[#This Row],[Rank Pedro]]="Low","Pink",IF(TableRelationships12[[#This Row],[Rank Pedro]]="Medium","Purple",IF(TableRelationships12[[#This Row],[Rank Pedro]]="High","Brown","")))</f>
        <v/>
      </c>
      <c r="V2292" s="4" t="e">
        <f>MAX(INDEX(Standards!$F$2:$F$296,MATCH(B2292,Standards!$B$2:$B$296,0)),INDEX(Standards!$F$2:$F$296,MATCH(C2292,Standards!$B$2:$B$296,0)))</f>
        <v>#N/A</v>
      </c>
      <c r="W2292" t="str">
        <f t="shared" si="107"/>
        <v>#d6bf2a</v>
      </c>
    </row>
    <row r="2293" spans="1:23" x14ac:dyDescent="0.5">
      <c r="A2293" s="54">
        <v>2292</v>
      </c>
      <c r="B2293" s="90" t="s">
        <v>651</v>
      </c>
      <c r="C2293" t="s">
        <v>348</v>
      </c>
      <c r="D2293" s="1" t="s">
        <v>640</v>
      </c>
      <c r="E2293" s="113">
        <v>2013.12</v>
      </c>
      <c r="F2293" s="113">
        <v>2023.04</v>
      </c>
      <c r="G2293" s="107" t="s">
        <v>670</v>
      </c>
      <c r="H2293">
        <f>INDEX('GIS-Standards'!$A$2:$A$305,MATCH(B2293,'GIS-Standards'!$B$2:$B$305,0))</f>
        <v>100</v>
      </c>
      <c r="I2293">
        <f>INDEX('GIS-Standards'!$A$2:$A$305,MATCH(C2293,'GIS-Standards'!$B$2:$B$305,0))</f>
        <v>66</v>
      </c>
      <c r="J2293" t="str">
        <f>INDEX('GIS-Standards'!$O$2:$O$305,MATCH(B2293,'GIS-Standards'!$B$2:$B$305,0))</f>
        <v>ISO/TC 211</v>
      </c>
      <c r="K2293" t="str">
        <f>INDEX('GIS-Standards'!$O$2:$O$305,MATCH(C2293,'GIS-Standards'!$B$2:$B$305,0))</f>
        <v>ISO/TC 211</v>
      </c>
      <c r="M2293" t="s">
        <v>524</v>
      </c>
      <c r="N2293">
        <f>INDEX('GIS-Standards'!$I$2:$I$305,MATCH(B2293,'GIS-Standards'!$B$2:$B$305,0))</f>
        <v>0</v>
      </c>
      <c r="O2293">
        <f>INDEX('GIS-Standards'!$I$2:$I$305,MATCH(C2293,'GIS-Standards'!$B$2:$B$305,0))</f>
        <v>0</v>
      </c>
      <c r="P2293" t="b">
        <f>AND(TableRelationships12[[#This Row],[Source Type]]="BIM",TableRelationships12[[#This Row],[Target Type]]="BIM")</f>
        <v>0</v>
      </c>
      <c r="Q2293">
        <f t="shared" si="105"/>
        <v>6</v>
      </c>
      <c r="S2293">
        <f t="shared" si="106"/>
        <v>1</v>
      </c>
      <c r="T2293" s="102" t="str">
        <f>IF(TableRelationships12[[#This Row],[Rank Pedro]]="Low","linkCategory1",IF(TableRelationships12[[#This Row],[Rank Pedro]]="Medium","linkCategory2",IF(TableRelationships12[[#This Row],[Rank Pedro]]="High","linkCategory3","")))</f>
        <v/>
      </c>
      <c r="U2293" s="102" t="str">
        <f>IF(TableRelationships12[[#This Row],[Rank Pedro]]="Low","Pink",IF(TableRelationships12[[#This Row],[Rank Pedro]]="Medium","Purple",IF(TableRelationships12[[#This Row],[Rank Pedro]]="High","Brown","")))</f>
        <v/>
      </c>
      <c r="V2293" s="4" t="e">
        <f>MAX(INDEX(Standards!$F$2:$F$296,MATCH(B2293,Standards!$B$2:$B$296,0)),INDEX(Standards!$F$2:$F$296,MATCH(C2293,Standards!$B$2:$B$296,0)))</f>
        <v>#N/A</v>
      </c>
      <c r="W2293" t="str">
        <f t="shared" si="107"/>
        <v>#d6bf2a</v>
      </c>
    </row>
    <row r="2294" spans="1:23" x14ac:dyDescent="0.5">
      <c r="A2294" s="54">
        <v>2293</v>
      </c>
      <c r="B2294" s="90" t="s">
        <v>651</v>
      </c>
      <c r="C2294" t="s">
        <v>633</v>
      </c>
      <c r="D2294" s="1" t="s">
        <v>1136</v>
      </c>
      <c r="E2294" s="112">
        <v>2010.06</v>
      </c>
      <c r="F2294" s="112">
        <v>2018.09</v>
      </c>
      <c r="G2294" s="107" t="s">
        <v>670</v>
      </c>
      <c r="H2294">
        <f>INDEX('GIS-Standards'!$A$2:$A$305,MATCH(B2294,'GIS-Standards'!$B$2:$B$305,0))</f>
        <v>100</v>
      </c>
      <c r="I2294">
        <f>INDEX('GIS-Standards'!$A$2:$A$305,MATCH(C2294,'GIS-Standards'!$B$2:$B$305,0))</f>
        <v>36</v>
      </c>
      <c r="J2294" t="str">
        <f>INDEX('GIS-Standards'!$O$2:$O$305,MATCH(B2294,'GIS-Standards'!$B$2:$B$305,0))</f>
        <v>ISO/TC 211</v>
      </c>
      <c r="K2294" t="str">
        <f>INDEX('GIS-Standards'!$O$2:$O$305,MATCH(C2294,'GIS-Standards'!$B$2:$B$305,0))</f>
        <v>ISO/TC 211</v>
      </c>
      <c r="M2294" t="s">
        <v>524</v>
      </c>
      <c r="N2294">
        <f>INDEX('GIS-Standards'!$I$2:$I$305,MATCH(B2294,'GIS-Standards'!$B$2:$B$305,0))</f>
        <v>0</v>
      </c>
      <c r="O2294">
        <f>INDEX('GIS-Standards'!$I$2:$I$305,MATCH(C2294,'GIS-Standards'!$B$2:$B$305,0))</f>
        <v>0</v>
      </c>
      <c r="P2294" t="b">
        <f>AND(TableRelationships12[[#This Row],[Source Type]]="BIM",TableRelationships12[[#This Row],[Target Type]]="BIM")</f>
        <v>0</v>
      </c>
      <c r="Q2294">
        <f t="shared" si="105"/>
        <v>6</v>
      </c>
      <c r="S2294">
        <f t="shared" si="106"/>
        <v>1</v>
      </c>
      <c r="T2294" s="102" t="str">
        <f>IF(TableRelationships12[[#This Row],[Rank Pedro]]="Low","linkCategory1",IF(TableRelationships12[[#This Row],[Rank Pedro]]="Medium","linkCategory2",IF(TableRelationships12[[#This Row],[Rank Pedro]]="High","linkCategory3","")))</f>
        <v/>
      </c>
      <c r="U2294" s="102" t="str">
        <f>IF(TableRelationships12[[#This Row],[Rank Pedro]]="Low","Pink",IF(TableRelationships12[[#This Row],[Rank Pedro]]="Medium","Purple",IF(TableRelationships12[[#This Row],[Rank Pedro]]="High","Brown","")))</f>
        <v/>
      </c>
      <c r="V2294" s="4" t="e">
        <f>MAX(INDEX(Standards!$F$2:$F$296,MATCH(B2294,Standards!$B$2:$B$296,0)),INDEX(Standards!$F$2:$F$296,MATCH(C2294,Standards!$B$2:$B$296,0)))</f>
        <v>#N/A</v>
      </c>
      <c r="W2294" t="str">
        <f t="shared" si="107"/>
        <v>#d6bf2a</v>
      </c>
    </row>
    <row r="2295" spans="1:23" x14ac:dyDescent="0.5">
      <c r="A2295" s="54">
        <v>2294</v>
      </c>
      <c r="B2295" s="90" t="s">
        <v>651</v>
      </c>
      <c r="C2295" t="s">
        <v>1362</v>
      </c>
      <c r="D2295" s="1"/>
      <c r="G2295" s="107"/>
      <c r="H2295">
        <f>INDEX('GIS-Standards'!$A$2:$A$305,MATCH(B2295,'GIS-Standards'!$B$2:$B$305,0))</f>
        <v>100</v>
      </c>
      <c r="I2295" t="e">
        <f>INDEX('GIS-Standards'!$A$2:$A$305,MATCH(C2295,'GIS-Standards'!$B$2:$B$305,0))</f>
        <v>#N/A</v>
      </c>
      <c r="J2295" t="str">
        <f>INDEX('GIS-Standards'!$O$2:$O$305,MATCH(B2295,'GIS-Standards'!$B$2:$B$305,0))</f>
        <v>ISO/TC 211</v>
      </c>
      <c r="K2295" t="e">
        <f>INDEX('GIS-Standards'!$O$2:$O$305,MATCH(C2295,'GIS-Standards'!$B$2:$B$305,0))</f>
        <v>#N/A</v>
      </c>
      <c r="M2295" t="s">
        <v>525</v>
      </c>
      <c r="N2295">
        <f>INDEX('GIS-Standards'!$I$2:$I$305,MATCH(B2295,'GIS-Standards'!$B$2:$B$305,0))</f>
        <v>0</v>
      </c>
      <c r="O2295" t="e">
        <f>INDEX('GIS-Standards'!$I$2:$I$305,MATCH(C2295,'GIS-Standards'!$B$2:$B$305,0))</f>
        <v>#N/A</v>
      </c>
      <c r="P2295" t="e">
        <f>AND(TableRelationships12[[#This Row],[Source Type]]="BIM",TableRelationships12[[#This Row],[Target Type]]="BIM")</f>
        <v>#N/A</v>
      </c>
      <c r="Q2295">
        <f t="shared" si="105"/>
        <v>1</v>
      </c>
      <c r="S2295">
        <f t="shared" si="106"/>
        <v>1</v>
      </c>
      <c r="T2295" s="102" t="str">
        <f>IF(TableRelationships12[[#This Row],[Rank Pedro]]="Low","linkCategory1",IF(TableRelationships12[[#This Row],[Rank Pedro]]="Medium","linkCategory2",IF(TableRelationships12[[#This Row],[Rank Pedro]]="High","linkCategory3","")))</f>
        <v/>
      </c>
      <c r="U2295" s="102" t="str">
        <f>IF(TableRelationships12[[#This Row],[Rank Pedro]]="Low","Pink",IF(TableRelationships12[[#This Row],[Rank Pedro]]="Medium","Purple",IF(TableRelationships12[[#This Row],[Rank Pedro]]="High","Brown","")))</f>
        <v/>
      </c>
      <c r="V2295" s="4" t="e">
        <f>MAX(INDEX(Standards!$F$2:$F$296,MATCH(B2295,Standards!$B$2:$B$296,0)),INDEX(Standards!$F$2:$F$296,MATCH(C2295,Standards!$B$2:$B$296,0)))</f>
        <v>#N/A</v>
      </c>
      <c r="W2295" t="str">
        <f t="shared" si="107"/>
        <v>#2f89d1</v>
      </c>
    </row>
    <row r="2296" spans="1:23" x14ac:dyDescent="0.5">
      <c r="A2296" s="54">
        <v>2295</v>
      </c>
      <c r="B2296" s="90" t="s">
        <v>651</v>
      </c>
      <c r="C2296" t="s">
        <v>1208</v>
      </c>
      <c r="D2296" s="1"/>
      <c r="G2296" s="107"/>
      <c r="H2296">
        <f>INDEX('GIS-Standards'!$A$2:$A$305,MATCH(B2296,'GIS-Standards'!$B$2:$B$305,0))</f>
        <v>100</v>
      </c>
      <c r="I2296" t="e">
        <f>INDEX('GIS-Standards'!$A$2:$A$305,MATCH(C2296,'GIS-Standards'!$B$2:$B$305,0))</f>
        <v>#N/A</v>
      </c>
      <c r="J2296" t="str">
        <f>INDEX('GIS-Standards'!$O$2:$O$305,MATCH(B2296,'GIS-Standards'!$B$2:$B$305,0))</f>
        <v>ISO/TC 211</v>
      </c>
      <c r="K2296" t="e">
        <f>INDEX('GIS-Standards'!$O$2:$O$305,MATCH(C2296,'GIS-Standards'!$B$2:$B$305,0))</f>
        <v>#N/A</v>
      </c>
      <c r="M2296" t="s">
        <v>525</v>
      </c>
      <c r="N2296">
        <f>INDEX('GIS-Standards'!$I$2:$I$305,MATCH(B2296,'GIS-Standards'!$B$2:$B$305,0))</f>
        <v>0</v>
      </c>
      <c r="O2296" t="e">
        <f>INDEX('GIS-Standards'!$I$2:$I$305,MATCH(C2296,'GIS-Standards'!$B$2:$B$305,0))</f>
        <v>#N/A</v>
      </c>
      <c r="P2296" t="e">
        <f>AND(TableRelationships12[[#This Row],[Source Type]]="BIM",TableRelationships12[[#This Row],[Target Type]]="BIM")</f>
        <v>#N/A</v>
      </c>
      <c r="Q2296">
        <f t="shared" si="105"/>
        <v>1</v>
      </c>
      <c r="S2296">
        <f t="shared" si="106"/>
        <v>1</v>
      </c>
      <c r="T2296" s="102" t="str">
        <f>IF(TableRelationships12[[#This Row],[Rank Pedro]]="Low","linkCategory1",IF(TableRelationships12[[#This Row],[Rank Pedro]]="Medium","linkCategory2",IF(TableRelationships12[[#This Row],[Rank Pedro]]="High","linkCategory3","")))</f>
        <v/>
      </c>
      <c r="U2296" s="102" t="str">
        <f>IF(TableRelationships12[[#This Row],[Rank Pedro]]="Low","Pink",IF(TableRelationships12[[#This Row],[Rank Pedro]]="Medium","Purple",IF(TableRelationships12[[#This Row],[Rank Pedro]]="High","Brown","")))</f>
        <v/>
      </c>
      <c r="V2296" s="4" t="e">
        <f>MAX(INDEX(Standards!$F$2:$F$296,MATCH(B2296,Standards!$B$2:$B$296,0)),INDEX(Standards!$F$2:$F$296,MATCH(C2296,Standards!$B$2:$B$296,0)))</f>
        <v>#N/A</v>
      </c>
      <c r="W2296" t="str">
        <f t="shared" si="107"/>
        <v>#2f89d1</v>
      </c>
    </row>
    <row r="2297" spans="1:23" x14ac:dyDescent="0.5">
      <c r="A2297" s="54">
        <v>2296</v>
      </c>
      <c r="B2297" s="90" t="s">
        <v>651</v>
      </c>
      <c r="C2297" t="s">
        <v>1300</v>
      </c>
      <c r="D2297" s="1"/>
      <c r="G2297" s="107"/>
      <c r="H2297">
        <f>INDEX('GIS-Standards'!$A$2:$A$305,MATCH(B2297,'GIS-Standards'!$B$2:$B$305,0))</f>
        <v>100</v>
      </c>
      <c r="I2297" t="e">
        <f>INDEX('GIS-Standards'!$A$2:$A$305,MATCH(C2297,'GIS-Standards'!$B$2:$B$305,0))</f>
        <v>#N/A</v>
      </c>
      <c r="J2297" t="str">
        <f>INDEX('GIS-Standards'!$O$2:$O$305,MATCH(B2297,'GIS-Standards'!$B$2:$B$305,0))</f>
        <v>ISO/TC 211</v>
      </c>
      <c r="K2297" t="e">
        <f>INDEX('GIS-Standards'!$O$2:$O$305,MATCH(C2297,'GIS-Standards'!$B$2:$B$305,0))</f>
        <v>#N/A</v>
      </c>
      <c r="M2297" t="s">
        <v>525</v>
      </c>
      <c r="N2297">
        <f>INDEX('GIS-Standards'!$I$2:$I$305,MATCH(B2297,'GIS-Standards'!$B$2:$B$305,0))</f>
        <v>0</v>
      </c>
      <c r="O2297" t="e">
        <f>INDEX('GIS-Standards'!$I$2:$I$305,MATCH(C2297,'GIS-Standards'!$B$2:$B$305,0))</f>
        <v>#N/A</v>
      </c>
      <c r="P2297" t="e">
        <f>AND(TableRelationships12[[#This Row],[Source Type]]="BIM",TableRelationships12[[#This Row],[Target Type]]="BIM")</f>
        <v>#N/A</v>
      </c>
      <c r="Q2297">
        <f t="shared" si="105"/>
        <v>1</v>
      </c>
      <c r="S2297">
        <f t="shared" si="106"/>
        <v>1</v>
      </c>
      <c r="T2297" s="102" t="str">
        <f>IF(TableRelationships12[[#This Row],[Rank Pedro]]="Low","linkCategory1",IF(TableRelationships12[[#This Row],[Rank Pedro]]="Medium","linkCategory2",IF(TableRelationships12[[#This Row],[Rank Pedro]]="High","linkCategory3","")))</f>
        <v/>
      </c>
      <c r="U2297" s="102" t="str">
        <f>IF(TableRelationships12[[#This Row],[Rank Pedro]]="Low","Pink",IF(TableRelationships12[[#This Row],[Rank Pedro]]="Medium","Purple",IF(TableRelationships12[[#This Row],[Rank Pedro]]="High","Brown","")))</f>
        <v/>
      </c>
      <c r="V2297" s="4" t="e">
        <f>MAX(INDEX(Standards!$F$2:$F$296,MATCH(B2297,Standards!$B$2:$B$296,0)),INDEX(Standards!$F$2:$F$296,MATCH(C2297,Standards!$B$2:$B$296,0)))</f>
        <v>#N/A</v>
      </c>
      <c r="W2297" t="str">
        <f t="shared" si="107"/>
        <v>#2f89d1</v>
      </c>
    </row>
    <row r="2298" spans="1:23" x14ac:dyDescent="0.5">
      <c r="A2298" s="54">
        <v>2297</v>
      </c>
      <c r="B2298" s="90" t="s">
        <v>651</v>
      </c>
      <c r="C2298" t="s">
        <v>1363</v>
      </c>
      <c r="D2298" s="1"/>
      <c r="G2298" s="107"/>
      <c r="H2298">
        <f>INDEX('GIS-Standards'!$A$2:$A$305,MATCH(B2298,'GIS-Standards'!$B$2:$B$305,0))</f>
        <v>100</v>
      </c>
      <c r="I2298" t="e">
        <f>INDEX('GIS-Standards'!$A$2:$A$305,MATCH(C2298,'GIS-Standards'!$B$2:$B$305,0))</f>
        <v>#N/A</v>
      </c>
      <c r="J2298" t="str">
        <f>INDEX('GIS-Standards'!$O$2:$O$305,MATCH(B2298,'GIS-Standards'!$B$2:$B$305,0))</f>
        <v>ISO/TC 211</v>
      </c>
      <c r="K2298" t="e">
        <f>INDEX('GIS-Standards'!$O$2:$O$305,MATCH(C2298,'GIS-Standards'!$B$2:$B$305,0))</f>
        <v>#N/A</v>
      </c>
      <c r="M2298" t="s">
        <v>525</v>
      </c>
      <c r="N2298">
        <f>INDEX('GIS-Standards'!$I$2:$I$305,MATCH(B2298,'GIS-Standards'!$B$2:$B$305,0))</f>
        <v>0</v>
      </c>
      <c r="O2298" t="e">
        <f>INDEX('GIS-Standards'!$I$2:$I$305,MATCH(C2298,'GIS-Standards'!$B$2:$B$305,0))</f>
        <v>#N/A</v>
      </c>
      <c r="P2298" t="e">
        <f>AND(TableRelationships12[[#This Row],[Source Type]]="BIM",TableRelationships12[[#This Row],[Target Type]]="BIM")</f>
        <v>#N/A</v>
      </c>
      <c r="Q2298">
        <f t="shared" si="105"/>
        <v>1</v>
      </c>
      <c r="S2298">
        <f t="shared" si="106"/>
        <v>1</v>
      </c>
      <c r="T2298" s="102" t="str">
        <f>IF(TableRelationships12[[#This Row],[Rank Pedro]]="Low","linkCategory1",IF(TableRelationships12[[#This Row],[Rank Pedro]]="Medium","linkCategory2",IF(TableRelationships12[[#This Row],[Rank Pedro]]="High","linkCategory3","")))</f>
        <v/>
      </c>
      <c r="U2298" s="102" t="str">
        <f>IF(TableRelationships12[[#This Row],[Rank Pedro]]="Low","Pink",IF(TableRelationships12[[#This Row],[Rank Pedro]]="Medium","Purple",IF(TableRelationships12[[#This Row],[Rank Pedro]]="High","Brown","")))</f>
        <v/>
      </c>
      <c r="V2298" s="4" t="e">
        <f>MAX(INDEX(Standards!$F$2:$F$296,MATCH(B2298,Standards!$B$2:$B$296,0)),INDEX(Standards!$F$2:$F$296,MATCH(C2298,Standards!$B$2:$B$296,0)))</f>
        <v>#N/A</v>
      </c>
      <c r="W2298" t="str">
        <f t="shared" si="107"/>
        <v>#2f89d1</v>
      </c>
    </row>
    <row r="2299" spans="1:23" x14ac:dyDescent="0.5">
      <c r="A2299" s="54">
        <v>2298</v>
      </c>
      <c r="B2299" s="90" t="s">
        <v>651</v>
      </c>
      <c r="C2299" t="s">
        <v>1364</v>
      </c>
      <c r="D2299" s="1"/>
      <c r="G2299" s="107"/>
      <c r="H2299">
        <f>INDEX('GIS-Standards'!$A$2:$A$305,MATCH(B2299,'GIS-Standards'!$B$2:$B$305,0))</f>
        <v>100</v>
      </c>
      <c r="I2299" t="e">
        <f>INDEX('GIS-Standards'!$A$2:$A$305,MATCH(C2299,'GIS-Standards'!$B$2:$B$305,0))</f>
        <v>#N/A</v>
      </c>
      <c r="J2299" t="str">
        <f>INDEX('GIS-Standards'!$O$2:$O$305,MATCH(B2299,'GIS-Standards'!$B$2:$B$305,0))</f>
        <v>ISO/TC 211</v>
      </c>
      <c r="K2299" t="e">
        <f>INDEX('GIS-Standards'!$O$2:$O$305,MATCH(C2299,'GIS-Standards'!$B$2:$B$305,0))</f>
        <v>#N/A</v>
      </c>
      <c r="M2299" t="s">
        <v>525</v>
      </c>
      <c r="N2299">
        <f>INDEX('GIS-Standards'!$I$2:$I$305,MATCH(B2299,'GIS-Standards'!$B$2:$B$305,0))</f>
        <v>0</v>
      </c>
      <c r="O2299" t="e">
        <f>INDEX('GIS-Standards'!$I$2:$I$305,MATCH(C2299,'GIS-Standards'!$B$2:$B$305,0))</f>
        <v>#N/A</v>
      </c>
      <c r="P2299" t="e">
        <f>AND(TableRelationships12[[#This Row],[Source Type]]="BIM",TableRelationships12[[#This Row],[Target Type]]="BIM")</f>
        <v>#N/A</v>
      </c>
      <c r="Q2299">
        <f t="shared" si="105"/>
        <v>1</v>
      </c>
      <c r="S2299">
        <f t="shared" si="106"/>
        <v>1</v>
      </c>
      <c r="T2299" s="102" t="str">
        <f>IF(TableRelationships12[[#This Row],[Rank Pedro]]="Low","linkCategory1",IF(TableRelationships12[[#This Row],[Rank Pedro]]="Medium","linkCategory2",IF(TableRelationships12[[#This Row],[Rank Pedro]]="High","linkCategory3","")))</f>
        <v/>
      </c>
      <c r="U2299" s="102" t="str">
        <f>IF(TableRelationships12[[#This Row],[Rank Pedro]]="Low","Pink",IF(TableRelationships12[[#This Row],[Rank Pedro]]="Medium","Purple",IF(TableRelationships12[[#This Row],[Rank Pedro]]="High","Brown","")))</f>
        <v/>
      </c>
      <c r="V2299" s="4" t="e">
        <f>MAX(INDEX(Standards!$F$2:$F$296,MATCH(B2299,Standards!$B$2:$B$296,0)),INDEX(Standards!$F$2:$F$296,MATCH(C2299,Standards!$B$2:$B$296,0)))</f>
        <v>#N/A</v>
      </c>
      <c r="W2299" t="str">
        <f t="shared" si="107"/>
        <v>#2f89d1</v>
      </c>
    </row>
    <row r="2300" spans="1:23" x14ac:dyDescent="0.5">
      <c r="A2300" s="54">
        <v>2299</v>
      </c>
      <c r="B2300" s="90" t="s">
        <v>652</v>
      </c>
      <c r="C2300" t="s">
        <v>527</v>
      </c>
      <c r="D2300" s="1"/>
      <c r="E2300" s="112" t="s">
        <v>995</v>
      </c>
      <c r="F2300" s="112" t="s">
        <v>995</v>
      </c>
      <c r="G2300" s="121" t="s">
        <v>670</v>
      </c>
      <c r="H2300">
        <f>INDEX('GIS-Standards'!$A$2:$A$305,MATCH(B2300,'GIS-Standards'!$B$2:$B$305,0))</f>
        <v>101</v>
      </c>
      <c r="I2300" t="e">
        <f>INDEX('GIS-Standards'!$A$2:$A$305,MATCH(C2300,'GIS-Standards'!$B$2:$B$305,0))</f>
        <v>#N/A</v>
      </c>
      <c r="J2300" t="str">
        <f>INDEX('GIS-Standards'!$O$2:$O$305,MATCH(B2300,'GIS-Standards'!$B$2:$B$305,0))</f>
        <v>ISO/TC 211</v>
      </c>
      <c r="K2300" t="e">
        <f>INDEX('GIS-Standards'!$O$2:$O$305,MATCH(C2300,'GIS-Standards'!$B$2:$B$305,0))</f>
        <v>#N/A</v>
      </c>
      <c r="M2300" t="s">
        <v>237</v>
      </c>
      <c r="N2300">
        <f>INDEX('GIS-Standards'!$I$2:$I$305,MATCH(B2300,'GIS-Standards'!$B$2:$B$305,0))</f>
        <v>0</v>
      </c>
      <c r="O2300" t="e">
        <f>INDEX('GIS-Standards'!$I$2:$I$305,MATCH(C2300,'GIS-Standards'!$B$2:$B$305,0))</f>
        <v>#N/A</v>
      </c>
      <c r="P2300" t="e">
        <f>AND(TableRelationships12[[#This Row],[Source Type]]="BIM",TableRelationships12[[#This Row],[Target Type]]="BIM")</f>
        <v>#N/A</v>
      </c>
      <c r="Q2300">
        <f t="shared" si="105"/>
        <v>2</v>
      </c>
      <c r="S2300">
        <f t="shared" si="106"/>
        <v>1</v>
      </c>
      <c r="T2300" s="102" t="str">
        <f>IF(TableRelationships12[[#This Row],[Rank Pedro]]="Low","linkCategory1",IF(TableRelationships12[[#This Row],[Rank Pedro]]="Medium","linkCategory2",IF(TableRelationships12[[#This Row],[Rank Pedro]]="High","linkCategory3","")))</f>
        <v/>
      </c>
      <c r="U2300" s="102" t="str">
        <f>IF(TableRelationships12[[#This Row],[Rank Pedro]]="Low","Pink",IF(TableRelationships12[[#This Row],[Rank Pedro]]="Medium","Purple",IF(TableRelationships12[[#This Row],[Rank Pedro]]="High","Brown","")))</f>
        <v/>
      </c>
      <c r="V2300" s="4" t="e">
        <f>MAX(INDEX(Standards!$F$2:$F$296,MATCH(B2300,Standards!$B$2:$B$296,0)),INDEX(Standards!$F$2:$F$296,MATCH(C2300,Standards!$B$2:$B$296,0)))</f>
        <v>#N/A</v>
      </c>
      <c r="W2300">
        <f t="shared" si="107"/>
        <v>1</v>
      </c>
    </row>
    <row r="2301" spans="1:23" x14ac:dyDescent="0.5">
      <c r="A2301" s="54">
        <v>2300</v>
      </c>
      <c r="B2301" s="90" t="s">
        <v>652</v>
      </c>
      <c r="C2301" t="s">
        <v>296</v>
      </c>
      <c r="D2301" s="1"/>
      <c r="E2301" s="112">
        <v>2005.07</v>
      </c>
      <c r="F2301" s="112">
        <v>2024.09</v>
      </c>
      <c r="G2301" s="107" t="s">
        <v>670</v>
      </c>
      <c r="H2301">
        <f>INDEX('GIS-Standards'!$A$2:$A$305,MATCH(B2301,'GIS-Standards'!$B$2:$B$305,0))</f>
        <v>101</v>
      </c>
      <c r="I2301">
        <f>INDEX('GIS-Standards'!$A$2:$A$305,MATCH(C2301,'GIS-Standards'!$B$2:$B$305,0))</f>
        <v>12</v>
      </c>
      <c r="J2301" t="str">
        <f>INDEX('GIS-Standards'!$O$2:$O$305,MATCH(B2301,'GIS-Standards'!$B$2:$B$305,0))</f>
        <v>ISO/TC 211</v>
      </c>
      <c r="K2301" t="str">
        <f>INDEX('GIS-Standards'!$O$2:$O$305,MATCH(C2301,'GIS-Standards'!$B$2:$B$305,0))</f>
        <v>ISO/TC 211</v>
      </c>
      <c r="M2301" t="s">
        <v>524</v>
      </c>
      <c r="N2301">
        <f>INDEX('GIS-Standards'!$I$2:$I$305,MATCH(B2301,'GIS-Standards'!$B$2:$B$305,0))</f>
        <v>0</v>
      </c>
      <c r="O2301">
        <f>INDEX('GIS-Standards'!$I$2:$I$305,MATCH(C2301,'GIS-Standards'!$B$2:$B$305,0))</f>
        <v>0</v>
      </c>
      <c r="P2301" t="b">
        <f>AND(TableRelationships12[[#This Row],[Source Type]]="BIM",TableRelationships12[[#This Row],[Target Type]]="BIM")</f>
        <v>0</v>
      </c>
      <c r="Q2301">
        <f t="shared" si="105"/>
        <v>6</v>
      </c>
      <c r="S2301">
        <f t="shared" si="106"/>
        <v>1</v>
      </c>
      <c r="T2301" s="102" t="str">
        <f>IF(TableRelationships12[[#This Row],[Rank Pedro]]="Low","linkCategory1",IF(TableRelationships12[[#This Row],[Rank Pedro]]="Medium","linkCategory2",IF(TableRelationships12[[#This Row],[Rank Pedro]]="High","linkCategory3","")))</f>
        <v/>
      </c>
      <c r="U2301" s="102" t="str">
        <f>IF(TableRelationships12[[#This Row],[Rank Pedro]]="Low","Pink",IF(TableRelationships12[[#This Row],[Rank Pedro]]="Medium","Purple",IF(TableRelationships12[[#This Row],[Rank Pedro]]="High","Brown","")))</f>
        <v/>
      </c>
      <c r="V2301" s="4" t="e">
        <f>MAX(INDEX(Standards!$F$2:$F$296,MATCH(B2301,Standards!$B$2:$B$296,0)),INDEX(Standards!$F$2:$F$296,MATCH(C2301,Standards!$B$2:$B$296,0)))</f>
        <v>#N/A</v>
      </c>
      <c r="W2301" t="str">
        <f t="shared" si="107"/>
        <v>#d6bf2a</v>
      </c>
    </row>
    <row r="2302" spans="1:23" x14ac:dyDescent="0.5">
      <c r="A2302" s="54">
        <v>2301</v>
      </c>
      <c r="B2302" s="90" t="s">
        <v>652</v>
      </c>
      <c r="C2302" t="s">
        <v>310</v>
      </c>
      <c r="D2302" s="1"/>
      <c r="E2302" s="112">
        <v>2003.02</v>
      </c>
      <c r="F2302" s="112">
        <v>2023.08</v>
      </c>
      <c r="G2302" s="107" t="s">
        <v>670</v>
      </c>
      <c r="H2302">
        <f>INDEX('GIS-Standards'!$A$2:$A$305,MATCH(B2302,'GIS-Standards'!$B$2:$B$305,0))</f>
        <v>101</v>
      </c>
      <c r="I2302">
        <f>INDEX('GIS-Standards'!$A$2:$A$305,MATCH(C2302,'GIS-Standards'!$B$2:$B$305,0))</f>
        <v>20</v>
      </c>
      <c r="J2302" t="str">
        <f>INDEX('GIS-Standards'!$O$2:$O$305,MATCH(B2302,'GIS-Standards'!$B$2:$B$305,0))</f>
        <v>ISO/TC 211</v>
      </c>
      <c r="K2302" t="str">
        <f>INDEX('GIS-Standards'!$O$2:$O$305,MATCH(C2302,'GIS-Standards'!$B$2:$B$305,0))</f>
        <v>ISO/TC 211</v>
      </c>
      <c r="M2302" t="s">
        <v>524</v>
      </c>
      <c r="N2302">
        <f>INDEX('GIS-Standards'!$I$2:$I$305,MATCH(B2302,'GIS-Standards'!$B$2:$B$305,0))</f>
        <v>0</v>
      </c>
      <c r="O2302" t="str">
        <f>INDEX('GIS-Standards'!$I$2:$I$305,MATCH(C2302,'GIS-Standards'!$B$2:$B$305,0))</f>
        <v>08.2023</v>
      </c>
      <c r="P2302" t="b">
        <f>AND(TableRelationships12[[#This Row],[Source Type]]="BIM",TableRelationships12[[#This Row],[Target Type]]="BIM")</f>
        <v>0</v>
      </c>
      <c r="Q2302">
        <f t="shared" si="105"/>
        <v>6</v>
      </c>
      <c r="S2302">
        <f t="shared" si="106"/>
        <v>1</v>
      </c>
      <c r="T2302" s="102" t="str">
        <f>IF(TableRelationships12[[#This Row],[Rank Pedro]]="Low","linkCategory1",IF(TableRelationships12[[#This Row],[Rank Pedro]]="Medium","linkCategory2",IF(TableRelationships12[[#This Row],[Rank Pedro]]="High","linkCategory3","")))</f>
        <v/>
      </c>
      <c r="U2302" s="102" t="str">
        <f>IF(TableRelationships12[[#This Row],[Rank Pedro]]="Low","Pink",IF(TableRelationships12[[#This Row],[Rank Pedro]]="Medium","Purple",IF(TableRelationships12[[#This Row],[Rank Pedro]]="High","Brown","")))</f>
        <v/>
      </c>
      <c r="V2302" s="4" t="e">
        <f>MAX(INDEX(Standards!$F$2:$F$296,MATCH(B2302,Standards!$B$2:$B$296,0)),INDEX(Standards!$F$2:$F$296,MATCH(C2302,Standards!$B$2:$B$296,0)))</f>
        <v>#N/A</v>
      </c>
      <c r="W2302" t="str">
        <f t="shared" si="107"/>
        <v>#d6bf2a</v>
      </c>
    </row>
    <row r="2303" spans="1:23" x14ac:dyDescent="0.5">
      <c r="A2303" s="54">
        <v>2302</v>
      </c>
      <c r="B2303" s="90" t="s">
        <v>652</v>
      </c>
      <c r="C2303" t="s">
        <v>314</v>
      </c>
      <c r="D2303" s="1"/>
      <c r="E2303" s="112">
        <v>2003.05</v>
      </c>
      <c r="F2303" s="112">
        <v>2020.11</v>
      </c>
      <c r="G2303" s="107" t="s">
        <v>670</v>
      </c>
      <c r="H2303">
        <f>INDEX('GIS-Standards'!$A$2:$A$305,MATCH(B2303,'GIS-Standards'!$B$2:$B$305,0))</f>
        <v>101</v>
      </c>
      <c r="I2303">
        <f>INDEX('GIS-Standards'!$A$2:$A$305,MATCH(C2303,'GIS-Standards'!$B$2:$B$305,0))</f>
        <v>22</v>
      </c>
      <c r="J2303" t="str">
        <f>INDEX('GIS-Standards'!$O$2:$O$305,MATCH(B2303,'GIS-Standards'!$B$2:$B$305,0))</f>
        <v>ISO/TC 211</v>
      </c>
      <c r="K2303" t="str">
        <f>INDEX('GIS-Standards'!$O$2:$O$305,MATCH(C2303,'GIS-Standards'!$B$2:$B$305,0))</f>
        <v>ISO/TC 211</v>
      </c>
      <c r="M2303" t="s">
        <v>524</v>
      </c>
      <c r="N2303">
        <f>INDEX('GIS-Standards'!$I$2:$I$305,MATCH(B2303,'GIS-Standards'!$B$2:$B$305,0))</f>
        <v>0</v>
      </c>
      <c r="O2303" t="str">
        <f>INDEX('GIS-Standards'!$I$2:$I$305,MATCH(C2303,'GIS-Standards'!$B$2:$B$305,0))</f>
        <v>12.2020</v>
      </c>
      <c r="P2303" t="b">
        <f>AND(TableRelationships12[[#This Row],[Source Type]]="BIM",TableRelationships12[[#This Row],[Target Type]]="BIM")</f>
        <v>0</v>
      </c>
      <c r="Q2303">
        <f t="shared" si="105"/>
        <v>6</v>
      </c>
      <c r="S2303">
        <f t="shared" si="106"/>
        <v>1</v>
      </c>
      <c r="T2303" s="102" t="str">
        <f>IF(TableRelationships12[[#This Row],[Rank Pedro]]="Low","linkCategory1",IF(TableRelationships12[[#This Row],[Rank Pedro]]="Medium","linkCategory2",IF(TableRelationships12[[#This Row],[Rank Pedro]]="High","linkCategory3","")))</f>
        <v/>
      </c>
      <c r="U2303" s="102" t="str">
        <f>IF(TableRelationships12[[#This Row],[Rank Pedro]]="Low","Pink",IF(TableRelationships12[[#This Row],[Rank Pedro]]="Medium","Purple",IF(TableRelationships12[[#This Row],[Rank Pedro]]="High","Brown","")))</f>
        <v/>
      </c>
      <c r="V2303" s="4" t="e">
        <f>MAX(INDEX(Standards!$F$2:$F$296,MATCH(B2303,Standards!$B$2:$B$296,0)),INDEX(Standards!$F$2:$F$296,MATCH(C2303,Standards!$B$2:$B$296,0)))</f>
        <v>#N/A</v>
      </c>
      <c r="W2303" t="str">
        <f t="shared" si="107"/>
        <v>#d6bf2a</v>
      </c>
    </row>
    <row r="2304" spans="1:23" x14ac:dyDescent="0.5">
      <c r="A2304" s="54">
        <v>2303</v>
      </c>
      <c r="B2304" s="90" t="s">
        <v>652</v>
      </c>
      <c r="C2304" t="s">
        <v>1041</v>
      </c>
      <c r="D2304" s="1"/>
      <c r="E2304" s="112">
        <v>2009.02</v>
      </c>
      <c r="F2304" s="112">
        <v>2022.03</v>
      </c>
      <c r="G2304" s="107" t="s">
        <v>670</v>
      </c>
      <c r="H2304">
        <f>INDEX('GIS-Standards'!$A$2:$A$305,MATCH(B2304,'GIS-Standards'!$B$2:$B$305,0))</f>
        <v>101</v>
      </c>
      <c r="I2304">
        <f>INDEX('GIS-Standards'!$A$2:$A$305,MATCH(C2304,'GIS-Standards'!$B$2:$B$305,0))</f>
        <v>23</v>
      </c>
      <c r="J2304" t="str">
        <f>INDEX('GIS-Standards'!$O$2:$O$305,MATCH(B2304,'GIS-Standards'!$B$2:$B$305,0))</f>
        <v>ISO/TC 211</v>
      </c>
      <c r="K2304" t="str">
        <f>INDEX('GIS-Standards'!$O$2:$O$305,MATCH(C2304,'GIS-Standards'!$B$2:$B$305,0))</f>
        <v>ISO/TC 211</v>
      </c>
      <c r="M2304" t="s">
        <v>524</v>
      </c>
      <c r="N2304">
        <f>INDEX('GIS-Standards'!$I$2:$I$305,MATCH(B2304,'GIS-Standards'!$B$2:$B$305,0))</f>
        <v>0</v>
      </c>
      <c r="O2304" t="str">
        <f>INDEX('GIS-Standards'!$I$2:$I$305,MATCH(C2304,'GIS-Standards'!$B$2:$B$305,0))</f>
        <v>03.2022</v>
      </c>
      <c r="P2304" t="b">
        <f>AND(TableRelationships12[[#This Row],[Source Type]]="BIM",TableRelationships12[[#This Row],[Target Type]]="BIM")</f>
        <v>0</v>
      </c>
      <c r="Q2304">
        <f t="shared" si="105"/>
        <v>6</v>
      </c>
      <c r="S2304">
        <f t="shared" si="106"/>
        <v>1</v>
      </c>
      <c r="T2304" s="102" t="str">
        <f>IF(TableRelationships12[[#This Row],[Rank Pedro]]="Low","linkCategory1",IF(TableRelationships12[[#This Row],[Rank Pedro]]="Medium","linkCategory2",IF(TableRelationships12[[#This Row],[Rank Pedro]]="High","linkCategory3","")))</f>
        <v/>
      </c>
      <c r="U2304" s="102" t="str">
        <f>IF(TableRelationships12[[#This Row],[Rank Pedro]]="Low","Pink",IF(TableRelationships12[[#This Row],[Rank Pedro]]="Medium","Purple",IF(TableRelationships12[[#This Row],[Rank Pedro]]="High","Brown","")))</f>
        <v/>
      </c>
      <c r="V2304" s="4" t="e">
        <f>MAX(INDEX(Standards!$F$2:$F$296,MATCH(B2304,Standards!$B$2:$B$296,0)),INDEX(Standards!$F$2:$F$296,MATCH(C2304,Standards!$B$2:$B$296,0)))</f>
        <v>#N/A</v>
      </c>
      <c r="W2304" t="str">
        <f t="shared" si="107"/>
        <v>#d6bf2a</v>
      </c>
    </row>
    <row r="2305" spans="1:23" x14ac:dyDescent="0.5">
      <c r="A2305" s="54">
        <v>2304</v>
      </c>
      <c r="B2305" s="90" t="s">
        <v>652</v>
      </c>
      <c r="C2305" t="s">
        <v>632</v>
      </c>
      <c r="D2305" s="1"/>
      <c r="E2305" s="112">
        <v>2018.1</v>
      </c>
      <c r="F2305" s="112">
        <v>2018.1</v>
      </c>
      <c r="G2305" s="107" t="s">
        <v>670</v>
      </c>
      <c r="H2305">
        <f>INDEX('GIS-Standards'!$A$2:$A$305,MATCH(B2305,'GIS-Standards'!$B$2:$B$305,0))</f>
        <v>101</v>
      </c>
      <c r="I2305">
        <f>INDEX('GIS-Standards'!$A$2:$A$305,MATCH(C2305,'GIS-Standards'!$B$2:$B$305,0))</f>
        <v>30</v>
      </c>
      <c r="J2305" t="str">
        <f>INDEX('GIS-Standards'!$O$2:$O$305,MATCH(B2305,'GIS-Standards'!$B$2:$B$305,0))</f>
        <v>ISO/TC 211</v>
      </c>
      <c r="K2305" t="str">
        <f>INDEX('GIS-Standards'!$O$2:$O$305,MATCH(C2305,'GIS-Standards'!$B$2:$B$305,0))</f>
        <v>ISO/TC 211</v>
      </c>
      <c r="M2305" t="s">
        <v>524</v>
      </c>
      <c r="N2305">
        <f>INDEX('GIS-Standards'!$I$2:$I$305,MATCH(B2305,'GIS-Standards'!$B$2:$B$305,0))</f>
        <v>0</v>
      </c>
      <c r="O2305">
        <f>INDEX('GIS-Standards'!$I$2:$I$305,MATCH(C2305,'GIS-Standards'!$B$2:$B$305,0))</f>
        <v>0</v>
      </c>
      <c r="P2305" t="b">
        <f>AND(TableRelationships12[[#This Row],[Source Type]]="BIM",TableRelationships12[[#This Row],[Target Type]]="BIM")</f>
        <v>0</v>
      </c>
      <c r="Q2305">
        <f t="shared" si="105"/>
        <v>6</v>
      </c>
      <c r="S2305">
        <f t="shared" si="106"/>
        <v>1</v>
      </c>
      <c r="T2305" s="102" t="str">
        <f>IF(TableRelationships12[[#This Row],[Rank Pedro]]="Low","linkCategory1",IF(TableRelationships12[[#This Row],[Rank Pedro]]="Medium","linkCategory2",IF(TableRelationships12[[#This Row],[Rank Pedro]]="High","linkCategory3","")))</f>
        <v/>
      </c>
      <c r="U2305" s="102" t="str">
        <f>IF(TableRelationships12[[#This Row],[Rank Pedro]]="Low","Pink",IF(TableRelationships12[[#This Row],[Rank Pedro]]="Medium","Purple",IF(TableRelationships12[[#This Row],[Rank Pedro]]="High","Brown","")))</f>
        <v/>
      </c>
      <c r="V2305" s="4" t="e">
        <f>MAX(INDEX(Standards!$F$2:$F$296,MATCH(B2305,Standards!$B$2:$B$296,0)),INDEX(Standards!$F$2:$F$296,MATCH(C2305,Standards!$B$2:$B$296,0)))</f>
        <v>#N/A</v>
      </c>
      <c r="W2305" t="str">
        <f t="shared" si="107"/>
        <v>#d6bf2a</v>
      </c>
    </row>
    <row r="2306" spans="1:23" x14ac:dyDescent="0.5">
      <c r="A2306" s="54">
        <v>2305</v>
      </c>
      <c r="B2306" s="90" t="s">
        <v>652</v>
      </c>
      <c r="C2306" t="s">
        <v>633</v>
      </c>
      <c r="D2306" s="1"/>
      <c r="E2306" s="112">
        <v>2010.06</v>
      </c>
      <c r="F2306" s="112">
        <v>2018.09</v>
      </c>
      <c r="G2306" s="107" t="s">
        <v>670</v>
      </c>
      <c r="H2306">
        <f>INDEX('GIS-Standards'!$A$2:$A$305,MATCH(B2306,'GIS-Standards'!$B$2:$B$305,0))</f>
        <v>101</v>
      </c>
      <c r="I2306">
        <f>INDEX('GIS-Standards'!$A$2:$A$305,MATCH(C2306,'GIS-Standards'!$B$2:$B$305,0))</f>
        <v>36</v>
      </c>
      <c r="J2306" t="str">
        <f>INDEX('GIS-Standards'!$O$2:$O$305,MATCH(B2306,'GIS-Standards'!$B$2:$B$305,0))</f>
        <v>ISO/TC 211</v>
      </c>
      <c r="K2306" t="str">
        <f>INDEX('GIS-Standards'!$O$2:$O$305,MATCH(C2306,'GIS-Standards'!$B$2:$B$305,0))</f>
        <v>ISO/TC 211</v>
      </c>
      <c r="M2306" t="s">
        <v>524</v>
      </c>
      <c r="N2306">
        <f>INDEX('GIS-Standards'!$I$2:$I$305,MATCH(B2306,'GIS-Standards'!$B$2:$B$305,0))</f>
        <v>0</v>
      </c>
      <c r="O2306">
        <f>INDEX('GIS-Standards'!$I$2:$I$305,MATCH(C2306,'GIS-Standards'!$B$2:$B$305,0))</f>
        <v>0</v>
      </c>
      <c r="P2306" t="b">
        <f>AND(TableRelationships12[[#This Row],[Source Type]]="BIM",TableRelationships12[[#This Row],[Target Type]]="BIM")</f>
        <v>0</v>
      </c>
      <c r="Q2306">
        <f t="shared" ref="Q2306:Q2369" si="108">IF(M2306="Normative",6,IF(M2306="Secondary",4,IF(M2306="Anchor",2,1)))</f>
        <v>6</v>
      </c>
      <c r="S2306">
        <f t="shared" ref="S2306:S2369" si="109">IF(R2306="High",10,IF(R2306="Medium",6,IF(R2306="Low",2,1)))</f>
        <v>1</v>
      </c>
      <c r="T2306" s="102" t="str">
        <f>IF(TableRelationships12[[#This Row],[Rank Pedro]]="Low","linkCategory1",IF(TableRelationships12[[#This Row],[Rank Pedro]]="Medium","linkCategory2",IF(TableRelationships12[[#This Row],[Rank Pedro]]="High","linkCategory3","")))</f>
        <v/>
      </c>
      <c r="U2306" s="102" t="str">
        <f>IF(TableRelationships12[[#This Row],[Rank Pedro]]="Low","Pink",IF(TableRelationships12[[#This Row],[Rank Pedro]]="Medium","Purple",IF(TableRelationships12[[#This Row],[Rank Pedro]]="High","Brown","")))</f>
        <v/>
      </c>
      <c r="V2306" s="4" t="e">
        <f>MAX(INDEX(Standards!$F$2:$F$296,MATCH(B2306,Standards!$B$2:$B$296,0)),INDEX(Standards!$F$2:$F$296,MATCH(C2306,Standards!$B$2:$B$296,0)))</f>
        <v>#N/A</v>
      </c>
      <c r="W2306" t="str">
        <f t="shared" ref="W2306:W2369" si="110">IF(M2306="Normative", "#d6bf2a", IF(M2306="Informative", "#2f89d1", 1))</f>
        <v>#d6bf2a</v>
      </c>
    </row>
    <row r="2307" spans="1:23" x14ac:dyDescent="0.5">
      <c r="A2307" s="54">
        <v>2306</v>
      </c>
      <c r="B2307" s="90" t="s">
        <v>652</v>
      </c>
      <c r="C2307" t="s">
        <v>651</v>
      </c>
      <c r="D2307" s="1" t="s">
        <v>1676</v>
      </c>
      <c r="E2307" s="112">
        <v>2014.01</v>
      </c>
      <c r="F2307" s="112">
        <v>2014.01</v>
      </c>
      <c r="G2307" s="107" t="s">
        <v>670</v>
      </c>
      <c r="H2307">
        <f>INDEX('GIS-Standards'!$A$2:$A$305,MATCH(B2307,'GIS-Standards'!$B$2:$B$305,0))</f>
        <v>101</v>
      </c>
      <c r="I2307">
        <f>INDEX('GIS-Standards'!$A$2:$A$305,MATCH(C2307,'GIS-Standards'!$B$2:$B$305,0))</f>
        <v>100</v>
      </c>
      <c r="J2307" t="str">
        <f>INDEX('GIS-Standards'!$O$2:$O$305,MATCH(B2307,'GIS-Standards'!$B$2:$B$305,0))</f>
        <v>ISO/TC 211</v>
      </c>
      <c r="K2307" t="str">
        <f>INDEX('GIS-Standards'!$O$2:$O$305,MATCH(C2307,'GIS-Standards'!$B$2:$B$305,0))</f>
        <v>ISO/TC 211</v>
      </c>
      <c r="M2307" t="s">
        <v>524</v>
      </c>
      <c r="N2307">
        <f>INDEX('GIS-Standards'!$I$2:$I$305,MATCH(B2307,'GIS-Standards'!$B$2:$B$305,0))</f>
        <v>0</v>
      </c>
      <c r="O2307">
        <f>INDEX('GIS-Standards'!$I$2:$I$305,MATCH(C2307,'GIS-Standards'!$B$2:$B$305,0))</f>
        <v>0</v>
      </c>
      <c r="P2307" t="b">
        <f>AND(TableRelationships12[[#This Row],[Source Type]]="BIM",TableRelationships12[[#This Row],[Target Type]]="BIM")</f>
        <v>0</v>
      </c>
      <c r="Q2307">
        <f t="shared" si="108"/>
        <v>6</v>
      </c>
      <c r="S2307">
        <f t="shared" si="109"/>
        <v>1</v>
      </c>
      <c r="T2307" s="102" t="str">
        <f>IF(TableRelationships12[[#This Row],[Rank Pedro]]="Low","linkCategory1",IF(TableRelationships12[[#This Row],[Rank Pedro]]="Medium","linkCategory2",IF(TableRelationships12[[#This Row],[Rank Pedro]]="High","linkCategory3","")))</f>
        <v/>
      </c>
      <c r="U2307" s="102" t="str">
        <f>IF(TableRelationships12[[#This Row],[Rank Pedro]]="Low","Pink",IF(TableRelationships12[[#This Row],[Rank Pedro]]="Medium","Purple",IF(TableRelationships12[[#This Row],[Rank Pedro]]="High","Brown","")))</f>
        <v/>
      </c>
      <c r="V2307" s="4" t="e">
        <f>MAX(INDEX(Standards!$F$2:$F$296,MATCH(B2307,Standards!$B$2:$B$296,0)),INDEX(Standards!$F$2:$F$296,MATCH(C2307,Standards!$B$2:$B$296,0)))</f>
        <v>#N/A</v>
      </c>
      <c r="W2307" t="str">
        <f t="shared" si="110"/>
        <v>#d6bf2a</v>
      </c>
    </row>
    <row r="2308" spans="1:23" x14ac:dyDescent="0.5">
      <c r="A2308" s="54">
        <v>2307</v>
      </c>
      <c r="B2308" s="90" t="s">
        <v>652</v>
      </c>
      <c r="C2308" t="s">
        <v>1333</v>
      </c>
      <c r="D2308" s="1"/>
      <c r="E2308" s="112">
        <v>2016.12</v>
      </c>
      <c r="F2308" s="112">
        <v>2016.12</v>
      </c>
      <c r="G2308" s="107" t="s">
        <v>670</v>
      </c>
      <c r="H2308">
        <f>INDEX('GIS-Standards'!$A$2:$A$305,MATCH(B2308,'GIS-Standards'!$B$2:$B$305,0))</f>
        <v>101</v>
      </c>
      <c r="I2308" t="e">
        <f>INDEX('GIS-Standards'!$A$2:$A$305,MATCH(C2308,'GIS-Standards'!$B$2:$B$305,0))</f>
        <v>#N/A</v>
      </c>
      <c r="J2308" t="str">
        <f>INDEX('GIS-Standards'!$O$2:$O$305,MATCH(B2308,'GIS-Standards'!$B$2:$B$305,0))</f>
        <v>ISO/TC 211</v>
      </c>
      <c r="K2308" t="e">
        <f>INDEX('GIS-Standards'!$O$2:$O$305,MATCH(C2308,'GIS-Standards'!$B$2:$B$305,0))</f>
        <v>#N/A</v>
      </c>
      <c r="M2308" t="s">
        <v>524</v>
      </c>
      <c r="N2308">
        <f>INDEX('GIS-Standards'!$I$2:$I$305,MATCH(B2308,'GIS-Standards'!$B$2:$B$305,0))</f>
        <v>0</v>
      </c>
      <c r="O2308" t="e">
        <f>INDEX('GIS-Standards'!$I$2:$I$305,MATCH(C2308,'GIS-Standards'!$B$2:$B$305,0))</f>
        <v>#N/A</v>
      </c>
      <c r="P2308" t="e">
        <f>AND(TableRelationships12[[#This Row],[Source Type]]="BIM",TableRelationships12[[#This Row],[Target Type]]="BIM")</f>
        <v>#N/A</v>
      </c>
      <c r="Q2308">
        <f t="shared" si="108"/>
        <v>6</v>
      </c>
      <c r="S2308">
        <f t="shared" si="109"/>
        <v>1</v>
      </c>
      <c r="T2308" s="102" t="str">
        <f>IF(TableRelationships12[[#This Row],[Rank Pedro]]="Low","linkCategory1",IF(TableRelationships12[[#This Row],[Rank Pedro]]="Medium","linkCategory2",IF(TableRelationships12[[#This Row],[Rank Pedro]]="High","linkCategory3","")))</f>
        <v/>
      </c>
      <c r="U2308" s="102" t="str">
        <f>IF(TableRelationships12[[#This Row],[Rank Pedro]]="Low","Pink",IF(TableRelationships12[[#This Row],[Rank Pedro]]="Medium","Purple",IF(TableRelationships12[[#This Row],[Rank Pedro]]="High","Brown","")))</f>
        <v/>
      </c>
      <c r="V2308" s="4" t="e">
        <f>MAX(INDEX(Standards!$F$2:$F$296,MATCH(B2308,Standards!$B$2:$B$296,0)),INDEX(Standards!$F$2:$F$296,MATCH(C2308,Standards!$B$2:$B$296,0)))</f>
        <v>#N/A</v>
      </c>
      <c r="W2308" t="str">
        <f t="shared" si="110"/>
        <v>#d6bf2a</v>
      </c>
    </row>
    <row r="2309" spans="1:23" x14ac:dyDescent="0.5">
      <c r="A2309" s="54">
        <v>2308</v>
      </c>
      <c r="B2309" s="90" t="s">
        <v>652</v>
      </c>
      <c r="C2309" t="s">
        <v>662</v>
      </c>
      <c r="D2309" s="1"/>
      <c r="E2309" s="112">
        <v>2016.01</v>
      </c>
      <c r="F2309" s="112">
        <v>2016.01</v>
      </c>
      <c r="G2309" s="107" t="s">
        <v>670</v>
      </c>
      <c r="H2309">
        <f>INDEX('GIS-Standards'!$A$2:$A$305,MATCH(B2309,'GIS-Standards'!$B$2:$B$305,0))</f>
        <v>101</v>
      </c>
      <c r="I2309">
        <f>INDEX('GIS-Standards'!$A$2:$A$305,MATCH(C2309,'GIS-Standards'!$B$2:$B$305,0))</f>
        <v>111</v>
      </c>
      <c r="J2309" t="str">
        <f>INDEX('GIS-Standards'!$O$2:$O$305,MATCH(B2309,'GIS-Standards'!$B$2:$B$305,0))</f>
        <v>ISO/TC 211</v>
      </c>
      <c r="K2309" t="str">
        <f>INDEX('GIS-Standards'!$O$2:$O$305,MATCH(C2309,'GIS-Standards'!$B$2:$B$305,0))</f>
        <v>ISO/TC 211</v>
      </c>
      <c r="M2309" t="s">
        <v>524</v>
      </c>
      <c r="N2309">
        <f>INDEX('GIS-Standards'!$I$2:$I$305,MATCH(B2309,'GIS-Standards'!$B$2:$B$305,0))</f>
        <v>0</v>
      </c>
      <c r="O2309">
        <f>INDEX('GIS-Standards'!$I$2:$I$305,MATCH(C2309,'GIS-Standards'!$B$2:$B$305,0))</f>
        <v>0</v>
      </c>
      <c r="P2309" t="b">
        <f>AND(TableRelationships12[[#This Row],[Source Type]]="BIM",TableRelationships12[[#This Row],[Target Type]]="BIM")</f>
        <v>0</v>
      </c>
      <c r="Q2309">
        <f t="shared" si="108"/>
        <v>6</v>
      </c>
      <c r="S2309">
        <f t="shared" si="109"/>
        <v>1</v>
      </c>
      <c r="T2309" s="102" t="str">
        <f>IF(TableRelationships12[[#This Row],[Rank Pedro]]="Low","linkCategory1",IF(TableRelationships12[[#This Row],[Rank Pedro]]="Medium","linkCategory2",IF(TableRelationships12[[#This Row],[Rank Pedro]]="High","linkCategory3","")))</f>
        <v/>
      </c>
      <c r="U2309" s="102" t="str">
        <f>IF(TableRelationships12[[#This Row],[Rank Pedro]]="Low","Pink",IF(TableRelationships12[[#This Row],[Rank Pedro]]="Medium","Purple",IF(TableRelationships12[[#This Row],[Rank Pedro]]="High","Brown","")))</f>
        <v/>
      </c>
      <c r="V2309" s="4" t="e">
        <f>MAX(INDEX(Standards!$F$2:$F$296,MATCH(B2309,Standards!$B$2:$B$296,0)),INDEX(Standards!$F$2:$F$296,MATCH(C2309,Standards!$B$2:$B$296,0)))</f>
        <v>#N/A</v>
      </c>
      <c r="W2309" t="str">
        <f t="shared" si="110"/>
        <v>#d6bf2a</v>
      </c>
    </row>
    <row r="2310" spans="1:23" x14ac:dyDescent="0.5">
      <c r="A2310" s="54">
        <v>2309</v>
      </c>
      <c r="B2310" s="90" t="s">
        <v>652</v>
      </c>
      <c r="C2310" t="s">
        <v>300</v>
      </c>
      <c r="D2310" s="1"/>
      <c r="E2310" s="112">
        <v>2000.12</v>
      </c>
      <c r="F2310" s="112">
        <v>2022.07</v>
      </c>
      <c r="G2310" s="107" t="s">
        <v>670</v>
      </c>
      <c r="H2310">
        <f>INDEX('GIS-Standards'!$A$2:$A$305,MATCH(B2310,'GIS-Standards'!$B$2:$B$305,0))</f>
        <v>101</v>
      </c>
      <c r="I2310">
        <f>INDEX('GIS-Standards'!$A$2:$A$305,MATCH(C2310,'GIS-Standards'!$B$2:$B$305,0))</f>
        <v>14</v>
      </c>
      <c r="J2310" t="str">
        <f>INDEX('GIS-Standards'!$O$2:$O$305,MATCH(B2310,'GIS-Standards'!$B$2:$B$305,0))</f>
        <v>ISO/TC 211</v>
      </c>
      <c r="K2310" t="str">
        <f>INDEX('GIS-Standards'!$O$2:$O$305,MATCH(C2310,'GIS-Standards'!$B$2:$B$305,0))</f>
        <v>ISO/TC 211</v>
      </c>
      <c r="M2310" t="s">
        <v>525</v>
      </c>
      <c r="N2310">
        <f>INDEX('GIS-Standards'!$I$2:$I$305,MATCH(B2310,'GIS-Standards'!$B$2:$B$305,0))</f>
        <v>0</v>
      </c>
      <c r="O2310">
        <f>INDEX('GIS-Standards'!$I$2:$I$305,MATCH(C2310,'GIS-Standards'!$B$2:$B$305,0))</f>
        <v>0</v>
      </c>
      <c r="P2310" t="b">
        <f>AND(TableRelationships12[[#This Row],[Source Type]]="BIM",TableRelationships12[[#This Row],[Target Type]]="BIM")</f>
        <v>0</v>
      </c>
      <c r="Q2310">
        <f t="shared" si="108"/>
        <v>1</v>
      </c>
      <c r="S2310">
        <f t="shared" si="109"/>
        <v>1</v>
      </c>
      <c r="T2310" s="102" t="str">
        <f>IF(TableRelationships12[[#This Row],[Rank Pedro]]="Low","linkCategory1",IF(TableRelationships12[[#This Row],[Rank Pedro]]="Medium","linkCategory2",IF(TableRelationships12[[#This Row],[Rank Pedro]]="High","linkCategory3","")))</f>
        <v/>
      </c>
      <c r="U2310" s="102" t="str">
        <f>IF(TableRelationships12[[#This Row],[Rank Pedro]]="Low","Pink",IF(TableRelationships12[[#This Row],[Rank Pedro]]="Medium","Purple",IF(TableRelationships12[[#This Row],[Rank Pedro]]="High","Brown","")))</f>
        <v/>
      </c>
      <c r="V2310" s="4" t="e">
        <f>MAX(INDEX(Standards!$F$2:$F$296,MATCH(B2310,Standards!$B$2:$B$296,0)),INDEX(Standards!$F$2:$F$296,MATCH(C2310,Standards!$B$2:$B$296,0)))</f>
        <v>#N/A</v>
      </c>
      <c r="W2310" t="str">
        <f t="shared" si="110"/>
        <v>#2f89d1</v>
      </c>
    </row>
    <row r="2311" spans="1:23" x14ac:dyDescent="0.5">
      <c r="A2311" s="54">
        <v>2310</v>
      </c>
      <c r="B2311" s="90" t="s">
        <v>652</v>
      </c>
      <c r="C2311" t="s">
        <v>304</v>
      </c>
      <c r="D2311" s="1"/>
      <c r="E2311" s="112">
        <v>2002.09</v>
      </c>
      <c r="F2311" s="112">
        <v>2006.1</v>
      </c>
      <c r="G2311" s="107" t="s">
        <v>670</v>
      </c>
      <c r="H2311">
        <f>INDEX('GIS-Standards'!$A$2:$A$305,MATCH(B2311,'GIS-Standards'!$B$2:$B$305,0))</f>
        <v>101</v>
      </c>
      <c r="I2311">
        <f>INDEX('GIS-Standards'!$A$2:$A$305,MATCH(C2311,'GIS-Standards'!$B$2:$B$305,0))</f>
        <v>17</v>
      </c>
      <c r="J2311" t="str">
        <f>INDEX('GIS-Standards'!$O$2:$O$305,MATCH(B2311,'GIS-Standards'!$B$2:$B$305,0))</f>
        <v>ISO/TC 211</v>
      </c>
      <c r="K2311" t="str">
        <f>INDEX('GIS-Standards'!$O$2:$O$305,MATCH(C2311,'GIS-Standards'!$B$2:$B$305,0))</f>
        <v>ISO/TC 211</v>
      </c>
      <c r="M2311" t="s">
        <v>525</v>
      </c>
      <c r="N2311">
        <f>INDEX('GIS-Standards'!$I$2:$I$305,MATCH(B2311,'GIS-Standards'!$B$2:$B$305,0))</f>
        <v>0</v>
      </c>
      <c r="O2311" t="str">
        <f>INDEX('GIS-Standards'!$I$2:$I$305,MATCH(C2311,'GIS-Standards'!$B$2:$B$305,0))</f>
        <v>06.2008</v>
      </c>
      <c r="P2311" t="b">
        <f>AND(TableRelationships12[[#This Row],[Source Type]]="BIM",TableRelationships12[[#This Row],[Target Type]]="BIM")</f>
        <v>0</v>
      </c>
      <c r="Q2311">
        <f t="shared" si="108"/>
        <v>1</v>
      </c>
      <c r="S2311">
        <f t="shared" si="109"/>
        <v>1</v>
      </c>
      <c r="T2311" s="102" t="str">
        <f>IF(TableRelationships12[[#This Row],[Rank Pedro]]="Low","linkCategory1",IF(TableRelationships12[[#This Row],[Rank Pedro]]="Medium","linkCategory2",IF(TableRelationships12[[#This Row],[Rank Pedro]]="High","linkCategory3","")))</f>
        <v/>
      </c>
      <c r="U2311" s="102" t="str">
        <f>IF(TableRelationships12[[#This Row],[Rank Pedro]]="Low","Pink",IF(TableRelationships12[[#This Row],[Rank Pedro]]="Medium","Purple",IF(TableRelationships12[[#This Row],[Rank Pedro]]="High","Brown","")))</f>
        <v/>
      </c>
      <c r="V2311" s="4" t="e">
        <f>MAX(INDEX(Standards!$F$2:$F$296,MATCH(B2311,Standards!$B$2:$B$296,0)),INDEX(Standards!$F$2:$F$296,MATCH(C2311,Standards!$B$2:$B$296,0)))</f>
        <v>#N/A</v>
      </c>
      <c r="W2311" t="str">
        <f t="shared" si="110"/>
        <v>#2f89d1</v>
      </c>
    </row>
    <row r="2312" spans="1:23" x14ac:dyDescent="0.5">
      <c r="A2312" s="54">
        <v>2311</v>
      </c>
      <c r="B2312" s="90" t="s">
        <v>652</v>
      </c>
      <c r="C2312" t="s">
        <v>1287</v>
      </c>
      <c r="D2312" s="1"/>
      <c r="G2312" s="107"/>
      <c r="H2312">
        <f>INDEX('GIS-Standards'!$A$2:$A$305,MATCH(B2312,'GIS-Standards'!$B$2:$B$305,0))</f>
        <v>101</v>
      </c>
      <c r="I2312" t="e">
        <f>INDEX('GIS-Standards'!$A$2:$A$305,MATCH(C2312,'GIS-Standards'!$B$2:$B$305,0))</f>
        <v>#N/A</v>
      </c>
      <c r="J2312" t="str">
        <f>INDEX('GIS-Standards'!$O$2:$O$305,MATCH(B2312,'GIS-Standards'!$B$2:$B$305,0))</f>
        <v>ISO/TC 211</v>
      </c>
      <c r="K2312" t="e">
        <f>INDEX('GIS-Standards'!$O$2:$O$305,MATCH(C2312,'GIS-Standards'!$B$2:$B$305,0))</f>
        <v>#N/A</v>
      </c>
      <c r="M2312" t="s">
        <v>525</v>
      </c>
      <c r="N2312">
        <f>INDEX('GIS-Standards'!$I$2:$I$305,MATCH(B2312,'GIS-Standards'!$B$2:$B$305,0))</f>
        <v>0</v>
      </c>
      <c r="O2312" t="e">
        <f>INDEX('GIS-Standards'!$I$2:$I$305,MATCH(C2312,'GIS-Standards'!$B$2:$B$305,0))</f>
        <v>#N/A</v>
      </c>
      <c r="P2312" t="e">
        <f>AND(TableRelationships12[[#This Row],[Source Type]]="BIM",TableRelationships12[[#This Row],[Target Type]]="BIM")</f>
        <v>#N/A</v>
      </c>
      <c r="Q2312">
        <f t="shared" si="108"/>
        <v>1</v>
      </c>
      <c r="S2312">
        <f t="shared" si="109"/>
        <v>1</v>
      </c>
      <c r="T2312" s="102" t="str">
        <f>IF(TableRelationships12[[#This Row],[Rank Pedro]]="Low","linkCategory1",IF(TableRelationships12[[#This Row],[Rank Pedro]]="Medium","linkCategory2",IF(TableRelationships12[[#This Row],[Rank Pedro]]="High","linkCategory3","")))</f>
        <v/>
      </c>
      <c r="U2312" s="102" t="str">
        <f>IF(TableRelationships12[[#This Row],[Rank Pedro]]="Low","Pink",IF(TableRelationships12[[#This Row],[Rank Pedro]]="Medium","Purple",IF(TableRelationships12[[#This Row],[Rank Pedro]]="High","Brown","")))</f>
        <v/>
      </c>
      <c r="V2312" s="4" t="e">
        <f>MAX(INDEX(Standards!$F$2:$F$296,MATCH(B2312,Standards!$B$2:$B$296,0)),INDEX(Standards!$F$2:$F$296,MATCH(C2312,Standards!$B$2:$B$296,0)))</f>
        <v>#N/A</v>
      </c>
      <c r="W2312" t="str">
        <f t="shared" si="110"/>
        <v>#2f89d1</v>
      </c>
    </row>
    <row r="2313" spans="1:23" x14ac:dyDescent="0.5">
      <c r="A2313" s="54">
        <v>2312</v>
      </c>
      <c r="B2313" s="90" t="s">
        <v>652</v>
      </c>
      <c r="C2313" t="s">
        <v>1280</v>
      </c>
      <c r="D2313" s="1"/>
      <c r="G2313" s="107"/>
      <c r="H2313">
        <f>INDEX('GIS-Standards'!$A$2:$A$305,MATCH(B2313,'GIS-Standards'!$B$2:$B$305,0))</f>
        <v>101</v>
      </c>
      <c r="I2313" t="e">
        <f>INDEX('GIS-Standards'!$A$2:$A$305,MATCH(C2313,'GIS-Standards'!$B$2:$B$305,0))</f>
        <v>#N/A</v>
      </c>
      <c r="J2313" t="str">
        <f>INDEX('GIS-Standards'!$O$2:$O$305,MATCH(B2313,'GIS-Standards'!$B$2:$B$305,0))</f>
        <v>ISO/TC 211</v>
      </c>
      <c r="K2313" t="e">
        <f>INDEX('GIS-Standards'!$O$2:$O$305,MATCH(C2313,'GIS-Standards'!$B$2:$B$305,0))</f>
        <v>#N/A</v>
      </c>
      <c r="M2313" t="s">
        <v>525</v>
      </c>
      <c r="N2313">
        <f>INDEX('GIS-Standards'!$I$2:$I$305,MATCH(B2313,'GIS-Standards'!$B$2:$B$305,0))</f>
        <v>0</v>
      </c>
      <c r="O2313" t="e">
        <f>INDEX('GIS-Standards'!$I$2:$I$305,MATCH(C2313,'GIS-Standards'!$B$2:$B$305,0))</f>
        <v>#N/A</v>
      </c>
      <c r="P2313" t="e">
        <f>AND(TableRelationships12[[#This Row],[Source Type]]="BIM",TableRelationships12[[#This Row],[Target Type]]="BIM")</f>
        <v>#N/A</v>
      </c>
      <c r="Q2313">
        <f t="shared" si="108"/>
        <v>1</v>
      </c>
      <c r="S2313">
        <f t="shared" si="109"/>
        <v>1</v>
      </c>
      <c r="T2313" s="102" t="str">
        <f>IF(TableRelationships12[[#This Row],[Rank Pedro]]="Low","linkCategory1",IF(TableRelationships12[[#This Row],[Rank Pedro]]="Medium","linkCategory2",IF(TableRelationships12[[#This Row],[Rank Pedro]]="High","linkCategory3","")))</f>
        <v/>
      </c>
      <c r="U2313" s="102" t="str">
        <f>IF(TableRelationships12[[#This Row],[Rank Pedro]]="Low","Pink",IF(TableRelationships12[[#This Row],[Rank Pedro]]="Medium","Purple",IF(TableRelationships12[[#This Row],[Rank Pedro]]="High","Brown","")))</f>
        <v/>
      </c>
      <c r="V2313" s="4" t="e">
        <f>MAX(INDEX(Standards!$F$2:$F$296,MATCH(B2313,Standards!$B$2:$B$296,0)),INDEX(Standards!$F$2:$F$296,MATCH(C2313,Standards!$B$2:$B$296,0)))</f>
        <v>#N/A</v>
      </c>
      <c r="W2313" t="str">
        <f t="shared" si="110"/>
        <v>#2f89d1</v>
      </c>
    </row>
    <row r="2314" spans="1:23" x14ac:dyDescent="0.5">
      <c r="A2314" s="54">
        <v>2313</v>
      </c>
      <c r="B2314" s="90" t="s">
        <v>652</v>
      </c>
      <c r="C2314" t="s">
        <v>1551</v>
      </c>
      <c r="D2314" s="1"/>
      <c r="G2314" s="107"/>
      <c r="H2314">
        <f>INDEX('GIS-Standards'!$A$2:$A$305,MATCH(B2314,'GIS-Standards'!$B$2:$B$305,0))</f>
        <v>101</v>
      </c>
      <c r="I2314" t="e">
        <f>INDEX('GIS-Standards'!$A$2:$A$305,MATCH(C2314,'GIS-Standards'!$B$2:$B$305,0))</f>
        <v>#N/A</v>
      </c>
      <c r="J2314" t="str">
        <f>INDEX('GIS-Standards'!$O$2:$O$305,MATCH(B2314,'GIS-Standards'!$B$2:$B$305,0))</f>
        <v>ISO/TC 211</v>
      </c>
      <c r="K2314" t="e">
        <f>INDEX('GIS-Standards'!$O$2:$O$305,MATCH(C2314,'GIS-Standards'!$B$2:$B$305,0))</f>
        <v>#N/A</v>
      </c>
      <c r="M2314" t="s">
        <v>525</v>
      </c>
      <c r="N2314">
        <f>INDEX('GIS-Standards'!$I$2:$I$305,MATCH(B2314,'GIS-Standards'!$B$2:$B$305,0))</f>
        <v>0</v>
      </c>
      <c r="O2314" t="e">
        <f>INDEX('GIS-Standards'!$I$2:$I$305,MATCH(C2314,'GIS-Standards'!$B$2:$B$305,0))</f>
        <v>#N/A</v>
      </c>
      <c r="P2314" t="e">
        <f>AND(TableRelationships12[[#This Row],[Source Type]]="BIM",TableRelationships12[[#This Row],[Target Type]]="BIM")</f>
        <v>#N/A</v>
      </c>
      <c r="Q2314">
        <f t="shared" si="108"/>
        <v>1</v>
      </c>
      <c r="S2314">
        <f t="shared" si="109"/>
        <v>1</v>
      </c>
      <c r="T2314" s="102" t="str">
        <f>IF(TableRelationships12[[#This Row],[Rank Pedro]]="Low","linkCategory1",IF(TableRelationships12[[#This Row],[Rank Pedro]]="Medium","linkCategory2",IF(TableRelationships12[[#This Row],[Rank Pedro]]="High","linkCategory3","")))</f>
        <v/>
      </c>
      <c r="U2314" s="102" t="str">
        <f>IF(TableRelationships12[[#This Row],[Rank Pedro]]="Low","Pink",IF(TableRelationships12[[#This Row],[Rank Pedro]]="Medium","Purple",IF(TableRelationships12[[#This Row],[Rank Pedro]]="High","Brown","")))</f>
        <v/>
      </c>
      <c r="V2314" s="4" t="e">
        <f>MAX(INDEX(Standards!$F$2:$F$296,MATCH(B2314,Standards!$B$2:$B$296,0)),INDEX(Standards!$F$2:$F$296,MATCH(C2314,Standards!$B$2:$B$296,0)))</f>
        <v>#N/A</v>
      </c>
      <c r="W2314" t="str">
        <f t="shared" si="110"/>
        <v>#2f89d1</v>
      </c>
    </row>
    <row r="2315" spans="1:23" x14ac:dyDescent="0.5">
      <c r="A2315" s="54">
        <v>2314</v>
      </c>
      <c r="B2315" s="90" t="s">
        <v>652</v>
      </c>
      <c r="C2315" t="s">
        <v>1141</v>
      </c>
      <c r="D2315" s="1"/>
      <c r="G2315" s="107"/>
      <c r="H2315">
        <f>INDEX('GIS-Standards'!$A$2:$A$305,MATCH(B2315,'GIS-Standards'!$B$2:$B$305,0))</f>
        <v>101</v>
      </c>
      <c r="I2315" t="e">
        <f>INDEX('GIS-Standards'!$A$2:$A$305,MATCH(C2315,'GIS-Standards'!$B$2:$B$305,0))</f>
        <v>#N/A</v>
      </c>
      <c r="J2315" t="str">
        <f>INDEX('GIS-Standards'!$O$2:$O$305,MATCH(B2315,'GIS-Standards'!$B$2:$B$305,0))</f>
        <v>ISO/TC 211</v>
      </c>
      <c r="K2315" t="e">
        <f>INDEX('GIS-Standards'!$O$2:$O$305,MATCH(C2315,'GIS-Standards'!$B$2:$B$305,0))</f>
        <v>#N/A</v>
      </c>
      <c r="M2315" t="s">
        <v>525</v>
      </c>
      <c r="N2315">
        <f>INDEX('GIS-Standards'!$I$2:$I$305,MATCH(B2315,'GIS-Standards'!$B$2:$B$305,0))</f>
        <v>0</v>
      </c>
      <c r="O2315" t="e">
        <f>INDEX('GIS-Standards'!$I$2:$I$305,MATCH(C2315,'GIS-Standards'!$B$2:$B$305,0))</f>
        <v>#N/A</v>
      </c>
      <c r="P2315" t="e">
        <f>AND(TableRelationships12[[#This Row],[Source Type]]="BIM",TableRelationships12[[#This Row],[Target Type]]="BIM")</f>
        <v>#N/A</v>
      </c>
      <c r="Q2315">
        <f t="shared" si="108"/>
        <v>1</v>
      </c>
      <c r="S2315">
        <f t="shared" si="109"/>
        <v>1</v>
      </c>
      <c r="T2315" s="102" t="str">
        <f>IF(TableRelationships12[[#This Row],[Rank Pedro]]="Low","linkCategory1",IF(TableRelationships12[[#This Row],[Rank Pedro]]="Medium","linkCategory2",IF(TableRelationships12[[#This Row],[Rank Pedro]]="High","linkCategory3","")))</f>
        <v/>
      </c>
      <c r="U2315" s="102" t="str">
        <f>IF(TableRelationships12[[#This Row],[Rank Pedro]]="Low","Pink",IF(TableRelationships12[[#This Row],[Rank Pedro]]="Medium","Purple",IF(TableRelationships12[[#This Row],[Rank Pedro]]="High","Brown","")))</f>
        <v/>
      </c>
      <c r="V2315" s="4" t="e">
        <f>MAX(INDEX(Standards!$F$2:$F$296,MATCH(B2315,Standards!$B$2:$B$296,0)),INDEX(Standards!$F$2:$F$296,MATCH(C2315,Standards!$B$2:$B$296,0)))</f>
        <v>#N/A</v>
      </c>
      <c r="W2315" t="str">
        <f t="shared" si="110"/>
        <v>#2f89d1</v>
      </c>
    </row>
    <row r="2316" spans="1:23" x14ac:dyDescent="0.5">
      <c r="A2316" s="54">
        <v>2315</v>
      </c>
      <c r="B2316" s="90" t="s">
        <v>652</v>
      </c>
      <c r="C2316" t="s">
        <v>1142</v>
      </c>
      <c r="D2316" s="1"/>
      <c r="G2316" s="107"/>
      <c r="H2316">
        <f>INDEX('GIS-Standards'!$A$2:$A$305,MATCH(B2316,'GIS-Standards'!$B$2:$B$305,0))</f>
        <v>101</v>
      </c>
      <c r="I2316" t="e">
        <f>INDEX('GIS-Standards'!$A$2:$A$305,MATCH(C2316,'GIS-Standards'!$B$2:$B$305,0))</f>
        <v>#N/A</v>
      </c>
      <c r="J2316" t="str">
        <f>INDEX('GIS-Standards'!$O$2:$O$305,MATCH(B2316,'GIS-Standards'!$B$2:$B$305,0))</f>
        <v>ISO/TC 211</v>
      </c>
      <c r="K2316" t="e">
        <f>INDEX('GIS-Standards'!$O$2:$O$305,MATCH(C2316,'GIS-Standards'!$B$2:$B$305,0))</f>
        <v>#N/A</v>
      </c>
      <c r="M2316" t="s">
        <v>525</v>
      </c>
      <c r="N2316">
        <f>INDEX('GIS-Standards'!$I$2:$I$305,MATCH(B2316,'GIS-Standards'!$B$2:$B$305,0))</f>
        <v>0</v>
      </c>
      <c r="O2316" t="e">
        <f>INDEX('GIS-Standards'!$I$2:$I$305,MATCH(C2316,'GIS-Standards'!$B$2:$B$305,0))</f>
        <v>#N/A</v>
      </c>
      <c r="P2316" t="e">
        <f>AND(TableRelationships12[[#This Row],[Source Type]]="BIM",TableRelationships12[[#This Row],[Target Type]]="BIM")</f>
        <v>#N/A</v>
      </c>
      <c r="Q2316">
        <f t="shared" si="108"/>
        <v>1</v>
      </c>
      <c r="S2316">
        <f t="shared" si="109"/>
        <v>1</v>
      </c>
      <c r="T2316" s="102" t="str">
        <f>IF(TableRelationships12[[#This Row],[Rank Pedro]]="Low","linkCategory1",IF(TableRelationships12[[#This Row],[Rank Pedro]]="Medium","linkCategory2",IF(TableRelationships12[[#This Row],[Rank Pedro]]="High","linkCategory3","")))</f>
        <v/>
      </c>
      <c r="U2316" s="102" t="str">
        <f>IF(TableRelationships12[[#This Row],[Rank Pedro]]="Low","Pink",IF(TableRelationships12[[#This Row],[Rank Pedro]]="Medium","Purple",IF(TableRelationships12[[#This Row],[Rank Pedro]]="High","Brown","")))</f>
        <v/>
      </c>
      <c r="V2316" s="4" t="e">
        <f>MAX(INDEX(Standards!$F$2:$F$296,MATCH(B2316,Standards!$B$2:$B$296,0)),INDEX(Standards!$F$2:$F$296,MATCH(C2316,Standards!$B$2:$B$296,0)))</f>
        <v>#N/A</v>
      </c>
      <c r="W2316" t="str">
        <f t="shared" si="110"/>
        <v>#2f89d1</v>
      </c>
    </row>
    <row r="2317" spans="1:23" x14ac:dyDescent="0.5">
      <c r="A2317" s="54">
        <v>2316</v>
      </c>
      <c r="B2317" s="90" t="s">
        <v>655</v>
      </c>
      <c r="C2317" t="s">
        <v>527</v>
      </c>
      <c r="D2317" s="1"/>
      <c r="E2317" s="112" t="s">
        <v>885</v>
      </c>
      <c r="F2317" s="112" t="s">
        <v>885</v>
      </c>
      <c r="G2317" s="121" t="s">
        <v>670</v>
      </c>
      <c r="H2317">
        <f>INDEX('GIS-Standards'!$A$2:$A$305,MATCH(B2317,'GIS-Standards'!$B$2:$B$305,0))</f>
        <v>104</v>
      </c>
      <c r="I2317" t="e">
        <f>INDEX('GIS-Standards'!$A$2:$A$305,MATCH(C2317,'GIS-Standards'!$B$2:$B$305,0))</f>
        <v>#N/A</v>
      </c>
      <c r="J2317" t="str">
        <f>INDEX('GIS-Standards'!$O$2:$O$305,MATCH(B2317,'GIS-Standards'!$B$2:$B$305,0))</f>
        <v>ISO/TC 211</v>
      </c>
      <c r="K2317" t="e">
        <f>INDEX('GIS-Standards'!$O$2:$O$305,MATCH(C2317,'GIS-Standards'!$B$2:$B$305,0))</f>
        <v>#N/A</v>
      </c>
      <c r="M2317" t="s">
        <v>237</v>
      </c>
      <c r="N2317">
        <f>INDEX('GIS-Standards'!$I$2:$I$305,MATCH(B2317,'GIS-Standards'!$B$2:$B$305,0))</f>
        <v>0</v>
      </c>
      <c r="O2317" t="e">
        <f>INDEX('GIS-Standards'!$I$2:$I$305,MATCH(C2317,'GIS-Standards'!$B$2:$B$305,0))</f>
        <v>#N/A</v>
      </c>
      <c r="P2317" t="e">
        <f>AND(TableRelationships12[[#This Row],[Source Type]]="BIM",TableRelationships12[[#This Row],[Target Type]]="BIM")</f>
        <v>#N/A</v>
      </c>
      <c r="Q2317">
        <f t="shared" si="108"/>
        <v>2</v>
      </c>
      <c r="S2317">
        <f t="shared" si="109"/>
        <v>1</v>
      </c>
      <c r="T2317" s="102" t="str">
        <f>IF(TableRelationships12[[#This Row],[Rank Pedro]]="Low","linkCategory1",IF(TableRelationships12[[#This Row],[Rank Pedro]]="Medium","linkCategory2",IF(TableRelationships12[[#This Row],[Rank Pedro]]="High","linkCategory3","")))</f>
        <v/>
      </c>
      <c r="U2317" s="102" t="str">
        <f>IF(TableRelationships12[[#This Row],[Rank Pedro]]="Low","Pink",IF(TableRelationships12[[#This Row],[Rank Pedro]]="Medium","Purple",IF(TableRelationships12[[#This Row],[Rank Pedro]]="High","Brown","")))</f>
        <v/>
      </c>
      <c r="V2317" s="4" t="e">
        <f>MAX(INDEX(Standards!$F$2:$F$296,MATCH(B2317,Standards!$B$2:$B$296,0)),INDEX(Standards!$F$2:$F$296,MATCH(C2317,Standards!$B$2:$B$296,0)))</f>
        <v>#N/A</v>
      </c>
      <c r="W2317">
        <f t="shared" si="110"/>
        <v>1</v>
      </c>
    </row>
    <row r="2318" spans="1:23" x14ac:dyDescent="0.5">
      <c r="A2318" s="54">
        <v>2317</v>
      </c>
      <c r="B2318" s="90" t="s">
        <v>655</v>
      </c>
      <c r="C2318" t="s">
        <v>296</v>
      </c>
      <c r="D2318" s="1"/>
      <c r="E2318" s="112">
        <v>2005.07</v>
      </c>
      <c r="F2318" s="112">
        <v>2024.09</v>
      </c>
      <c r="G2318" s="107" t="s">
        <v>670</v>
      </c>
      <c r="H2318">
        <f>INDEX('GIS-Standards'!$A$2:$A$305,MATCH(B2318,'GIS-Standards'!$B$2:$B$305,0))</f>
        <v>104</v>
      </c>
      <c r="I2318">
        <f>INDEX('GIS-Standards'!$A$2:$A$305,MATCH(C2318,'GIS-Standards'!$B$2:$B$305,0))</f>
        <v>12</v>
      </c>
      <c r="J2318" t="str">
        <f>INDEX('GIS-Standards'!$O$2:$O$305,MATCH(B2318,'GIS-Standards'!$B$2:$B$305,0))</f>
        <v>ISO/TC 211</v>
      </c>
      <c r="K2318" t="str">
        <f>INDEX('GIS-Standards'!$O$2:$O$305,MATCH(C2318,'GIS-Standards'!$B$2:$B$305,0))</f>
        <v>ISO/TC 211</v>
      </c>
      <c r="M2318" t="s">
        <v>524</v>
      </c>
      <c r="N2318">
        <f>INDEX('GIS-Standards'!$I$2:$I$305,MATCH(B2318,'GIS-Standards'!$B$2:$B$305,0))</f>
        <v>0</v>
      </c>
      <c r="O2318">
        <f>INDEX('GIS-Standards'!$I$2:$I$305,MATCH(C2318,'GIS-Standards'!$B$2:$B$305,0))</f>
        <v>0</v>
      </c>
      <c r="P2318" t="b">
        <f>AND(TableRelationships12[[#This Row],[Source Type]]="BIM",TableRelationships12[[#This Row],[Target Type]]="BIM")</f>
        <v>0</v>
      </c>
      <c r="Q2318">
        <f t="shared" si="108"/>
        <v>6</v>
      </c>
      <c r="S2318">
        <f t="shared" si="109"/>
        <v>1</v>
      </c>
      <c r="T2318" s="102" t="str">
        <f>IF(TableRelationships12[[#This Row],[Rank Pedro]]="Low","linkCategory1",IF(TableRelationships12[[#This Row],[Rank Pedro]]="Medium","linkCategory2",IF(TableRelationships12[[#This Row],[Rank Pedro]]="High","linkCategory3","")))</f>
        <v/>
      </c>
      <c r="U2318" s="102" t="str">
        <f>IF(TableRelationships12[[#This Row],[Rank Pedro]]="Low","Pink",IF(TableRelationships12[[#This Row],[Rank Pedro]]="Medium","Purple",IF(TableRelationships12[[#This Row],[Rank Pedro]]="High","Brown","")))</f>
        <v/>
      </c>
      <c r="V2318" s="4" t="e">
        <f>MAX(INDEX(Standards!$F$2:$F$296,MATCH(B2318,Standards!$B$2:$B$296,0)),INDEX(Standards!$F$2:$F$296,MATCH(C2318,Standards!$B$2:$B$296,0)))</f>
        <v>#N/A</v>
      </c>
      <c r="W2318" t="str">
        <f t="shared" si="110"/>
        <v>#d6bf2a</v>
      </c>
    </row>
    <row r="2319" spans="1:23" x14ac:dyDescent="0.5">
      <c r="A2319" s="54">
        <v>2318</v>
      </c>
      <c r="B2319" s="90" t="s">
        <v>655</v>
      </c>
      <c r="C2319" t="s">
        <v>306</v>
      </c>
      <c r="D2319" s="1"/>
      <c r="E2319" s="112">
        <v>2005.06</v>
      </c>
      <c r="F2319" s="112">
        <v>2025.07</v>
      </c>
      <c r="G2319" s="107" t="s">
        <v>670</v>
      </c>
      <c r="H2319">
        <f>INDEX('GIS-Standards'!$A$2:$A$305,MATCH(B2319,'GIS-Standards'!$B$2:$B$305,0))</f>
        <v>104</v>
      </c>
      <c r="I2319">
        <f>INDEX('GIS-Standards'!$A$2:$A$305,MATCH(C2319,'GIS-Standards'!$B$2:$B$305,0))</f>
        <v>18</v>
      </c>
      <c r="J2319" t="str">
        <f>INDEX('GIS-Standards'!$O$2:$O$305,MATCH(B2319,'GIS-Standards'!$B$2:$B$305,0))</f>
        <v>ISO/TC 211</v>
      </c>
      <c r="K2319" t="str">
        <f>INDEX('GIS-Standards'!$O$2:$O$305,MATCH(C2319,'GIS-Standards'!$B$2:$B$305,0))</f>
        <v>ISO/TC 211</v>
      </c>
      <c r="M2319" t="s">
        <v>524</v>
      </c>
      <c r="N2319">
        <f>INDEX('GIS-Standards'!$I$2:$I$305,MATCH(B2319,'GIS-Standards'!$B$2:$B$305,0))</f>
        <v>0</v>
      </c>
      <c r="O2319">
        <f>INDEX('GIS-Standards'!$I$2:$I$305,MATCH(C2319,'GIS-Standards'!$B$2:$B$305,0))</f>
        <v>0</v>
      </c>
      <c r="P2319" t="b">
        <f>AND(TableRelationships12[[#This Row],[Source Type]]="BIM",TableRelationships12[[#This Row],[Target Type]]="BIM")</f>
        <v>0</v>
      </c>
      <c r="Q2319">
        <f t="shared" si="108"/>
        <v>6</v>
      </c>
      <c r="S2319">
        <f t="shared" si="109"/>
        <v>1</v>
      </c>
      <c r="T2319" s="102" t="str">
        <f>IF(TableRelationships12[[#This Row],[Rank Pedro]]="Low","linkCategory1",IF(TableRelationships12[[#This Row],[Rank Pedro]]="Medium","linkCategory2",IF(TableRelationships12[[#This Row],[Rank Pedro]]="High","linkCategory3","")))</f>
        <v/>
      </c>
      <c r="U2319" s="102" t="str">
        <f>IF(TableRelationships12[[#This Row],[Rank Pedro]]="Low","Pink",IF(TableRelationships12[[#This Row],[Rank Pedro]]="Medium","Purple",IF(TableRelationships12[[#This Row],[Rank Pedro]]="High","Brown","")))</f>
        <v/>
      </c>
      <c r="V2319" s="4" t="e">
        <f>MAX(INDEX(Standards!$F$2:$F$296,MATCH(B2319,Standards!$B$2:$B$296,0)),INDEX(Standards!$F$2:$F$296,MATCH(C2319,Standards!$B$2:$B$296,0)))</f>
        <v>#N/A</v>
      </c>
      <c r="W2319" t="str">
        <f t="shared" si="110"/>
        <v>#d6bf2a</v>
      </c>
    </row>
    <row r="2320" spans="1:23" x14ac:dyDescent="0.5">
      <c r="A2320" s="54">
        <v>2319</v>
      </c>
      <c r="B2320" s="90" t="s">
        <v>655</v>
      </c>
      <c r="C2320" t="s">
        <v>318</v>
      </c>
      <c r="D2320" s="1"/>
      <c r="E2320" s="112">
        <v>2005.02</v>
      </c>
      <c r="F2320" s="112">
        <v>2016.01</v>
      </c>
      <c r="G2320" s="107" t="s">
        <v>670</v>
      </c>
      <c r="H2320">
        <f>INDEX('GIS-Standards'!$A$2:$A$305,MATCH(B2320,'GIS-Standards'!$B$2:$B$305,0))</f>
        <v>104</v>
      </c>
      <c r="I2320">
        <f>INDEX('GIS-Standards'!$A$2:$A$305,MATCH(C2320,'GIS-Standards'!$B$2:$B$305,0))</f>
        <v>28</v>
      </c>
      <c r="J2320" t="str">
        <f>INDEX('GIS-Standards'!$O$2:$O$305,MATCH(B2320,'GIS-Standards'!$B$2:$B$305,0))</f>
        <v>ISO/TC 211</v>
      </c>
      <c r="K2320" t="str">
        <f>INDEX('GIS-Standards'!$O$2:$O$305,MATCH(C2320,'GIS-Standards'!$B$2:$B$305,0))</f>
        <v>ISO/TC 211</v>
      </c>
      <c r="M2320" t="s">
        <v>524</v>
      </c>
      <c r="N2320">
        <f>INDEX('GIS-Standards'!$I$2:$I$305,MATCH(B2320,'GIS-Standards'!$B$2:$B$305,0))</f>
        <v>0</v>
      </c>
      <c r="O2320">
        <f>INDEX('GIS-Standards'!$I$2:$I$305,MATCH(C2320,'GIS-Standards'!$B$2:$B$305,0))</f>
        <v>0</v>
      </c>
      <c r="P2320" t="b">
        <f>AND(TableRelationships12[[#This Row],[Source Type]]="BIM",TableRelationships12[[#This Row],[Target Type]]="BIM")</f>
        <v>0</v>
      </c>
      <c r="Q2320">
        <f t="shared" si="108"/>
        <v>6</v>
      </c>
      <c r="S2320">
        <f t="shared" si="109"/>
        <v>1</v>
      </c>
      <c r="T2320" s="102" t="str">
        <f>IF(TableRelationships12[[#This Row],[Rank Pedro]]="Low","linkCategory1",IF(TableRelationships12[[#This Row],[Rank Pedro]]="Medium","linkCategory2",IF(TableRelationships12[[#This Row],[Rank Pedro]]="High","linkCategory3","")))</f>
        <v/>
      </c>
      <c r="U2320" s="102" t="str">
        <f>IF(TableRelationships12[[#This Row],[Rank Pedro]]="Low","Pink",IF(TableRelationships12[[#This Row],[Rank Pedro]]="Medium","Purple",IF(TableRelationships12[[#This Row],[Rank Pedro]]="High","Brown","")))</f>
        <v/>
      </c>
      <c r="V2320" s="4" t="e">
        <f>MAX(INDEX(Standards!$F$2:$F$296,MATCH(B2320,Standards!$B$2:$B$296,0)),INDEX(Standards!$F$2:$F$296,MATCH(C2320,Standards!$B$2:$B$296,0)))</f>
        <v>#N/A</v>
      </c>
      <c r="W2320" t="str">
        <f t="shared" si="110"/>
        <v>#d6bf2a</v>
      </c>
    </row>
    <row r="2321" spans="1:23" x14ac:dyDescent="0.5">
      <c r="A2321" s="54">
        <v>2320</v>
      </c>
      <c r="B2321" s="90" t="s">
        <v>655</v>
      </c>
      <c r="C2321" t="s">
        <v>1048</v>
      </c>
      <c r="D2321" s="1" t="s">
        <v>1152</v>
      </c>
      <c r="E2321" s="112">
        <v>2005.1</v>
      </c>
      <c r="F2321" s="112">
        <v>2021.02</v>
      </c>
      <c r="G2321" s="107" t="s">
        <v>670</v>
      </c>
      <c r="H2321">
        <f>INDEX('GIS-Standards'!$A$2:$A$305,MATCH(B2321,'GIS-Standards'!$B$2:$B$305,0))</f>
        <v>104</v>
      </c>
      <c r="I2321">
        <f>INDEX('GIS-Standards'!$A$2:$A$305,MATCH(C2321,'GIS-Standards'!$B$2:$B$305,0))</f>
        <v>41</v>
      </c>
      <c r="J2321" t="str">
        <f>INDEX('GIS-Standards'!$O$2:$O$305,MATCH(B2321,'GIS-Standards'!$B$2:$B$305,0))</f>
        <v>ISO/TC 211</v>
      </c>
      <c r="K2321" t="str">
        <f>INDEX('GIS-Standards'!$O$2:$O$305,MATCH(C2321,'GIS-Standards'!$B$2:$B$305,0))</f>
        <v>ISO/TC 211</v>
      </c>
      <c r="M2321" t="s">
        <v>524</v>
      </c>
      <c r="N2321">
        <f>INDEX('GIS-Standards'!$I$2:$I$305,MATCH(B2321,'GIS-Standards'!$B$2:$B$305,0))</f>
        <v>0</v>
      </c>
      <c r="O2321" t="str">
        <f>INDEX('GIS-Standards'!$I$2:$I$305,MATCH(C2321,'GIS-Standards'!$B$2:$B$305,0))</f>
        <v>03.2021</v>
      </c>
      <c r="P2321" t="b">
        <f>AND(TableRelationships12[[#This Row],[Source Type]]="BIM",TableRelationships12[[#This Row],[Target Type]]="BIM")</f>
        <v>0</v>
      </c>
      <c r="Q2321">
        <f t="shared" si="108"/>
        <v>6</v>
      </c>
      <c r="S2321">
        <f t="shared" si="109"/>
        <v>1</v>
      </c>
      <c r="T2321" s="102" t="str">
        <f>IF(TableRelationships12[[#This Row],[Rank Pedro]]="Low","linkCategory1",IF(TableRelationships12[[#This Row],[Rank Pedro]]="Medium","linkCategory2",IF(TableRelationships12[[#This Row],[Rank Pedro]]="High","linkCategory3","")))</f>
        <v/>
      </c>
      <c r="U2321" s="102" t="str">
        <f>IF(TableRelationships12[[#This Row],[Rank Pedro]]="Low","Pink",IF(TableRelationships12[[#This Row],[Rank Pedro]]="Medium","Purple",IF(TableRelationships12[[#This Row],[Rank Pedro]]="High","Brown","")))</f>
        <v/>
      </c>
      <c r="V2321" s="4" t="e">
        <f>MAX(INDEX(Standards!$F$2:$F$296,MATCH(B2321,Standards!$B$2:$B$296,0)),INDEX(Standards!$F$2:$F$296,MATCH(C2321,Standards!$B$2:$B$296,0)))</f>
        <v>#N/A</v>
      </c>
      <c r="W2321" t="str">
        <f t="shared" si="110"/>
        <v>#d6bf2a</v>
      </c>
    </row>
    <row r="2322" spans="1:23" x14ac:dyDescent="0.5">
      <c r="A2322" s="54">
        <v>2321</v>
      </c>
      <c r="B2322" s="90" t="s">
        <v>655</v>
      </c>
      <c r="C2322" t="s">
        <v>293</v>
      </c>
      <c r="D2322" s="1"/>
      <c r="E2322" s="112">
        <v>2002.07</v>
      </c>
      <c r="F2322" s="112">
        <v>2014.11</v>
      </c>
      <c r="G2322" s="107" t="s">
        <v>670</v>
      </c>
      <c r="H2322">
        <f>INDEX('GIS-Standards'!$A$2:$A$305,MATCH(B2322,'GIS-Standards'!$B$2:$B$305,0))</f>
        <v>104</v>
      </c>
      <c r="I2322">
        <f>INDEX('GIS-Standards'!$A$2:$A$305,MATCH(C2322,'GIS-Standards'!$B$2:$B$305,0))</f>
        <v>10</v>
      </c>
      <c r="J2322" t="str">
        <f>INDEX('GIS-Standards'!$O$2:$O$305,MATCH(B2322,'GIS-Standards'!$B$2:$B$305,0))</f>
        <v>ISO/TC 211</v>
      </c>
      <c r="K2322" t="str">
        <f>INDEX('GIS-Standards'!$O$2:$O$305,MATCH(C2322,'GIS-Standards'!$B$2:$B$305,0))</f>
        <v>ISO/TC 211</v>
      </c>
      <c r="M2322" t="s">
        <v>525</v>
      </c>
      <c r="N2322">
        <f>INDEX('GIS-Standards'!$I$2:$I$305,MATCH(B2322,'GIS-Standards'!$B$2:$B$305,0))</f>
        <v>0</v>
      </c>
      <c r="O2322">
        <f>INDEX('GIS-Standards'!$I$2:$I$305,MATCH(C2322,'GIS-Standards'!$B$2:$B$305,0))</f>
        <v>0</v>
      </c>
      <c r="P2322" t="b">
        <f>AND(TableRelationships12[[#This Row],[Source Type]]="BIM",TableRelationships12[[#This Row],[Target Type]]="BIM")</f>
        <v>0</v>
      </c>
      <c r="Q2322">
        <f t="shared" si="108"/>
        <v>1</v>
      </c>
      <c r="S2322">
        <f t="shared" si="109"/>
        <v>1</v>
      </c>
      <c r="T2322" s="102" t="str">
        <f>IF(TableRelationships12[[#This Row],[Rank Pedro]]="Low","linkCategory1",IF(TableRelationships12[[#This Row],[Rank Pedro]]="Medium","linkCategory2",IF(TableRelationships12[[#This Row],[Rank Pedro]]="High","linkCategory3","")))</f>
        <v/>
      </c>
      <c r="U2322" s="102" t="str">
        <f>IF(TableRelationships12[[#This Row],[Rank Pedro]]="Low","Pink",IF(TableRelationships12[[#This Row],[Rank Pedro]]="Medium","Purple",IF(TableRelationships12[[#This Row],[Rank Pedro]]="High","Brown","")))</f>
        <v/>
      </c>
      <c r="V2322" s="4" t="e">
        <f>MAX(INDEX(Standards!$F$2:$F$296,MATCH(B2322,Standards!$B$2:$B$296,0)),INDEX(Standards!$F$2:$F$296,MATCH(C2322,Standards!$B$2:$B$296,0)))</f>
        <v>#N/A</v>
      </c>
      <c r="W2322" t="str">
        <f t="shared" si="110"/>
        <v>#2f89d1</v>
      </c>
    </row>
    <row r="2323" spans="1:23" x14ac:dyDescent="0.5">
      <c r="A2323" s="54">
        <v>2322</v>
      </c>
      <c r="B2323" s="90" t="s">
        <v>655</v>
      </c>
      <c r="C2323" t="s">
        <v>304</v>
      </c>
      <c r="D2323" s="1"/>
      <c r="E2323" s="112">
        <v>2002.09</v>
      </c>
      <c r="F2323" s="112">
        <v>2006.1</v>
      </c>
      <c r="G2323" s="107" t="s">
        <v>670</v>
      </c>
      <c r="H2323">
        <f>INDEX('GIS-Standards'!$A$2:$A$305,MATCH(B2323,'GIS-Standards'!$B$2:$B$305,0))</f>
        <v>104</v>
      </c>
      <c r="I2323">
        <f>INDEX('GIS-Standards'!$A$2:$A$305,MATCH(C2323,'GIS-Standards'!$B$2:$B$305,0))</f>
        <v>17</v>
      </c>
      <c r="J2323" t="str">
        <f>INDEX('GIS-Standards'!$O$2:$O$305,MATCH(B2323,'GIS-Standards'!$B$2:$B$305,0))</f>
        <v>ISO/TC 211</v>
      </c>
      <c r="K2323" t="str">
        <f>INDEX('GIS-Standards'!$O$2:$O$305,MATCH(C2323,'GIS-Standards'!$B$2:$B$305,0))</f>
        <v>ISO/TC 211</v>
      </c>
      <c r="M2323" t="s">
        <v>525</v>
      </c>
      <c r="N2323">
        <f>INDEX('GIS-Standards'!$I$2:$I$305,MATCH(B2323,'GIS-Standards'!$B$2:$B$305,0))</f>
        <v>0</v>
      </c>
      <c r="O2323" t="str">
        <f>INDEX('GIS-Standards'!$I$2:$I$305,MATCH(C2323,'GIS-Standards'!$B$2:$B$305,0))</f>
        <v>06.2008</v>
      </c>
      <c r="P2323" t="b">
        <f>AND(TableRelationships12[[#This Row],[Source Type]]="BIM",TableRelationships12[[#This Row],[Target Type]]="BIM")</f>
        <v>0</v>
      </c>
      <c r="Q2323">
        <f t="shared" si="108"/>
        <v>1</v>
      </c>
      <c r="S2323">
        <f t="shared" si="109"/>
        <v>1</v>
      </c>
      <c r="T2323" s="102" t="str">
        <f>IF(TableRelationships12[[#This Row],[Rank Pedro]]="Low","linkCategory1",IF(TableRelationships12[[#This Row],[Rank Pedro]]="Medium","linkCategory2",IF(TableRelationships12[[#This Row],[Rank Pedro]]="High","linkCategory3","")))</f>
        <v/>
      </c>
      <c r="U2323" s="102" t="str">
        <f>IF(TableRelationships12[[#This Row],[Rank Pedro]]="Low","Pink",IF(TableRelationships12[[#This Row],[Rank Pedro]]="Medium","Purple",IF(TableRelationships12[[#This Row],[Rank Pedro]]="High","Brown","")))</f>
        <v/>
      </c>
      <c r="V2323" s="4" t="e">
        <f>MAX(INDEX(Standards!$F$2:$F$296,MATCH(B2323,Standards!$B$2:$B$296,0)),INDEX(Standards!$F$2:$F$296,MATCH(C2323,Standards!$B$2:$B$296,0)))</f>
        <v>#N/A</v>
      </c>
      <c r="W2323" t="str">
        <f t="shared" si="110"/>
        <v>#2f89d1</v>
      </c>
    </row>
    <row r="2324" spans="1:23" x14ac:dyDescent="0.5">
      <c r="A2324" s="54">
        <v>2323</v>
      </c>
      <c r="B2324" s="90" t="s">
        <v>655</v>
      </c>
      <c r="C2324" t="s">
        <v>302</v>
      </c>
      <c r="D2324" s="1"/>
      <c r="E2324" s="112">
        <v>2003.05</v>
      </c>
      <c r="F2324" s="112">
        <v>2019.12</v>
      </c>
      <c r="G2324" s="107" t="s">
        <v>670</v>
      </c>
      <c r="H2324">
        <f>INDEX('GIS-Standards'!$A$2:$A$305,MATCH(B2324,'GIS-Standards'!$B$2:$B$305,0))</f>
        <v>104</v>
      </c>
      <c r="I2324">
        <f>INDEX('GIS-Standards'!$A$2:$A$305,MATCH(C2324,'GIS-Standards'!$B$2:$B$305,0))</f>
        <v>16</v>
      </c>
      <c r="J2324" t="str">
        <f>INDEX('GIS-Standards'!$O$2:$O$305,MATCH(B2324,'GIS-Standards'!$B$2:$B$305,0))</f>
        <v>ISO/TC 211</v>
      </c>
      <c r="K2324" t="str">
        <f>INDEX('GIS-Standards'!$O$2:$O$305,MATCH(C2324,'GIS-Standards'!$B$2:$B$305,0))</f>
        <v>ISO/TC 211</v>
      </c>
      <c r="M2324" t="s">
        <v>525</v>
      </c>
      <c r="N2324">
        <f>INDEX('GIS-Standards'!$I$2:$I$305,MATCH(B2324,'GIS-Standards'!$B$2:$B$305,0))</f>
        <v>0</v>
      </c>
      <c r="O2324">
        <f>INDEX('GIS-Standards'!$I$2:$I$305,MATCH(C2324,'GIS-Standards'!$B$2:$B$305,0))</f>
        <v>0</v>
      </c>
      <c r="P2324" t="b">
        <f>AND(TableRelationships12[[#This Row],[Source Type]]="BIM",TableRelationships12[[#This Row],[Target Type]]="BIM")</f>
        <v>0</v>
      </c>
      <c r="Q2324">
        <f t="shared" si="108"/>
        <v>1</v>
      </c>
      <c r="S2324">
        <f t="shared" si="109"/>
        <v>1</v>
      </c>
      <c r="T2324" s="102" t="str">
        <f>IF(TableRelationships12[[#This Row],[Rank Pedro]]="Low","linkCategory1",IF(TableRelationships12[[#This Row],[Rank Pedro]]="Medium","linkCategory2",IF(TableRelationships12[[#This Row],[Rank Pedro]]="High","linkCategory3","")))</f>
        <v/>
      </c>
      <c r="U2324" s="102" t="str">
        <f>IF(TableRelationships12[[#This Row],[Rank Pedro]]="Low","Pink",IF(TableRelationships12[[#This Row],[Rank Pedro]]="Medium","Purple",IF(TableRelationships12[[#This Row],[Rank Pedro]]="High","Brown","")))</f>
        <v/>
      </c>
      <c r="V2324" s="4" t="e">
        <f>MAX(INDEX(Standards!$F$2:$F$296,MATCH(B2324,Standards!$B$2:$B$296,0)),INDEX(Standards!$F$2:$F$296,MATCH(C2324,Standards!$B$2:$B$296,0)))</f>
        <v>#N/A</v>
      </c>
      <c r="W2324" t="str">
        <f t="shared" si="110"/>
        <v>#2f89d1</v>
      </c>
    </row>
    <row r="2325" spans="1:23" x14ac:dyDescent="0.5">
      <c r="A2325" s="54">
        <v>2324</v>
      </c>
      <c r="B2325" s="90" t="s">
        <v>655</v>
      </c>
      <c r="C2325" t="s">
        <v>314</v>
      </c>
      <c r="D2325" s="1" t="s">
        <v>1099</v>
      </c>
      <c r="E2325" s="112">
        <v>2003.05</v>
      </c>
      <c r="F2325" s="112">
        <v>2020.11</v>
      </c>
      <c r="G2325" s="107" t="s">
        <v>670</v>
      </c>
      <c r="H2325">
        <f>INDEX('GIS-Standards'!$A$2:$A$305,MATCH(B2325,'GIS-Standards'!$B$2:$B$305,0))</f>
        <v>104</v>
      </c>
      <c r="I2325">
        <f>INDEX('GIS-Standards'!$A$2:$A$305,MATCH(C2325,'GIS-Standards'!$B$2:$B$305,0))</f>
        <v>22</v>
      </c>
      <c r="J2325" t="str">
        <f>INDEX('GIS-Standards'!$O$2:$O$305,MATCH(B2325,'GIS-Standards'!$B$2:$B$305,0))</f>
        <v>ISO/TC 211</v>
      </c>
      <c r="K2325" t="str">
        <f>INDEX('GIS-Standards'!$O$2:$O$305,MATCH(C2325,'GIS-Standards'!$B$2:$B$305,0))</f>
        <v>ISO/TC 211</v>
      </c>
      <c r="M2325" t="s">
        <v>525</v>
      </c>
      <c r="N2325">
        <f>INDEX('GIS-Standards'!$I$2:$I$305,MATCH(B2325,'GIS-Standards'!$B$2:$B$305,0))</f>
        <v>0</v>
      </c>
      <c r="O2325" t="str">
        <f>INDEX('GIS-Standards'!$I$2:$I$305,MATCH(C2325,'GIS-Standards'!$B$2:$B$305,0))</f>
        <v>12.2020</v>
      </c>
      <c r="P2325" t="b">
        <f>AND(TableRelationships12[[#This Row],[Source Type]]="BIM",TableRelationships12[[#This Row],[Target Type]]="BIM")</f>
        <v>0</v>
      </c>
      <c r="Q2325">
        <f t="shared" si="108"/>
        <v>1</v>
      </c>
      <c r="S2325">
        <f t="shared" si="109"/>
        <v>1</v>
      </c>
      <c r="T2325" s="102" t="str">
        <f>IF(TableRelationships12[[#This Row],[Rank Pedro]]="Low","linkCategory1",IF(TableRelationships12[[#This Row],[Rank Pedro]]="Medium","linkCategory2",IF(TableRelationships12[[#This Row],[Rank Pedro]]="High","linkCategory3","")))</f>
        <v/>
      </c>
      <c r="U2325" s="102" t="str">
        <f>IF(TableRelationships12[[#This Row],[Rank Pedro]]="Low","Pink",IF(TableRelationships12[[#This Row],[Rank Pedro]]="Medium","Purple",IF(TableRelationships12[[#This Row],[Rank Pedro]]="High","Brown","")))</f>
        <v/>
      </c>
      <c r="V2325" s="4" t="e">
        <f>MAX(INDEX(Standards!$F$2:$F$296,MATCH(B2325,Standards!$B$2:$B$296,0)),INDEX(Standards!$F$2:$F$296,MATCH(C2325,Standards!$B$2:$B$296,0)))</f>
        <v>#N/A</v>
      </c>
      <c r="W2325" t="str">
        <f t="shared" si="110"/>
        <v>#2f89d1</v>
      </c>
    </row>
    <row r="2326" spans="1:23" x14ac:dyDescent="0.5">
      <c r="A2326" s="54">
        <v>2325</v>
      </c>
      <c r="B2326" s="90" t="s">
        <v>655</v>
      </c>
      <c r="C2326" t="s">
        <v>1046</v>
      </c>
      <c r="D2326" s="1"/>
      <c r="E2326" s="112">
        <v>2004.08</v>
      </c>
      <c r="F2326" s="112">
        <v>2004.11</v>
      </c>
      <c r="G2326" s="107" t="s">
        <v>670</v>
      </c>
      <c r="H2326">
        <f>INDEX('GIS-Standards'!$A$2:$A$305,MATCH(B2326,'GIS-Standards'!$B$2:$B$305,0))</f>
        <v>104</v>
      </c>
      <c r="I2326">
        <f>INDEX('GIS-Standards'!$A$2:$A$305,MATCH(C2326,'GIS-Standards'!$B$2:$B$305,0))</f>
        <v>32</v>
      </c>
      <c r="J2326" t="str">
        <f>INDEX('GIS-Standards'!$O$2:$O$305,MATCH(B2326,'GIS-Standards'!$B$2:$B$305,0))</f>
        <v>ISO/TC 211</v>
      </c>
      <c r="K2326" t="str">
        <f>INDEX('GIS-Standards'!$O$2:$O$305,MATCH(C2326,'GIS-Standards'!$B$2:$B$305,0))</f>
        <v>ISO/TC 211</v>
      </c>
      <c r="M2326" t="s">
        <v>525</v>
      </c>
      <c r="N2326">
        <f>INDEX('GIS-Standards'!$I$2:$I$305,MATCH(B2326,'GIS-Standards'!$B$2:$B$305,0))</f>
        <v>0</v>
      </c>
      <c r="O2326">
        <f>INDEX('GIS-Standards'!$I$2:$I$305,MATCH(C2326,'GIS-Standards'!$B$2:$B$305,0))</f>
        <v>0</v>
      </c>
      <c r="P2326" t="b">
        <f>AND(TableRelationships12[[#This Row],[Source Type]]="BIM",TableRelationships12[[#This Row],[Target Type]]="BIM")</f>
        <v>0</v>
      </c>
      <c r="Q2326">
        <f t="shared" si="108"/>
        <v>1</v>
      </c>
      <c r="S2326">
        <f t="shared" si="109"/>
        <v>1</v>
      </c>
      <c r="T2326" s="102" t="str">
        <f>IF(TableRelationships12[[#This Row],[Rank Pedro]]="Low","linkCategory1",IF(TableRelationships12[[#This Row],[Rank Pedro]]="Medium","linkCategory2",IF(TableRelationships12[[#This Row],[Rank Pedro]]="High","linkCategory3","")))</f>
        <v/>
      </c>
      <c r="U2326" s="102" t="str">
        <f>IF(TableRelationships12[[#This Row],[Rank Pedro]]="Low","Pink",IF(TableRelationships12[[#This Row],[Rank Pedro]]="Medium","Purple",IF(TableRelationships12[[#This Row],[Rank Pedro]]="High","Brown","")))</f>
        <v/>
      </c>
      <c r="V2326" s="4" t="e">
        <f>MAX(INDEX(Standards!$F$2:$F$296,MATCH(B2326,Standards!$B$2:$B$296,0)),INDEX(Standards!$F$2:$F$296,MATCH(C2326,Standards!$B$2:$B$296,0)))</f>
        <v>#N/A</v>
      </c>
      <c r="W2326" t="str">
        <f t="shared" si="110"/>
        <v>#2f89d1</v>
      </c>
    </row>
    <row r="2327" spans="1:23" x14ac:dyDescent="0.5">
      <c r="A2327" s="54">
        <v>2326</v>
      </c>
      <c r="B2327" s="90" t="s">
        <v>655</v>
      </c>
      <c r="C2327" t="s">
        <v>308</v>
      </c>
      <c r="D2327" s="1"/>
      <c r="E2327" s="112">
        <v>2005.02</v>
      </c>
      <c r="F2327" s="112">
        <v>2016.12</v>
      </c>
      <c r="G2327" s="107" t="s">
        <v>670</v>
      </c>
      <c r="H2327">
        <f>INDEX('GIS-Standards'!$A$2:$A$305,MATCH(B2327,'GIS-Standards'!$B$2:$B$305,0))</f>
        <v>104</v>
      </c>
      <c r="I2327">
        <f>INDEX('GIS-Standards'!$A$2:$A$305,MATCH(C2327,'GIS-Standards'!$B$2:$B$305,0))</f>
        <v>19</v>
      </c>
      <c r="J2327" t="str">
        <f>INDEX('GIS-Standards'!$O$2:$O$305,MATCH(B2327,'GIS-Standards'!$B$2:$B$305,0))</f>
        <v>ISO/TC 211</v>
      </c>
      <c r="K2327" t="str">
        <f>INDEX('GIS-Standards'!$O$2:$O$305,MATCH(C2327,'GIS-Standards'!$B$2:$B$305,0))</f>
        <v>ISO/TC 211</v>
      </c>
      <c r="M2327" t="s">
        <v>525</v>
      </c>
      <c r="N2327">
        <f>INDEX('GIS-Standards'!$I$2:$I$305,MATCH(B2327,'GIS-Standards'!$B$2:$B$305,0))</f>
        <v>0</v>
      </c>
      <c r="O2327">
        <f>INDEX('GIS-Standards'!$I$2:$I$305,MATCH(C2327,'GIS-Standards'!$B$2:$B$305,0))</f>
        <v>0</v>
      </c>
      <c r="P2327" t="b">
        <f>AND(TableRelationships12[[#This Row],[Source Type]]="BIM",TableRelationships12[[#This Row],[Target Type]]="BIM")</f>
        <v>0</v>
      </c>
      <c r="Q2327">
        <f t="shared" si="108"/>
        <v>1</v>
      </c>
      <c r="S2327">
        <f t="shared" si="109"/>
        <v>1</v>
      </c>
      <c r="T2327" s="102" t="str">
        <f>IF(TableRelationships12[[#This Row],[Rank Pedro]]="Low","linkCategory1",IF(TableRelationships12[[#This Row],[Rank Pedro]]="Medium","linkCategory2",IF(TableRelationships12[[#This Row],[Rank Pedro]]="High","linkCategory3","")))</f>
        <v/>
      </c>
      <c r="U2327" s="102" t="str">
        <f>IF(TableRelationships12[[#This Row],[Rank Pedro]]="Low","Pink",IF(TableRelationships12[[#This Row],[Rank Pedro]]="Medium","Purple",IF(TableRelationships12[[#This Row],[Rank Pedro]]="High","Brown","")))</f>
        <v/>
      </c>
      <c r="V2327" s="4" t="e">
        <f>MAX(INDEX(Standards!$F$2:$F$296,MATCH(B2327,Standards!$B$2:$B$296,0)),INDEX(Standards!$F$2:$F$296,MATCH(C2327,Standards!$B$2:$B$296,0)))</f>
        <v>#N/A</v>
      </c>
      <c r="W2327" t="str">
        <f t="shared" si="110"/>
        <v>#2f89d1</v>
      </c>
    </row>
    <row r="2328" spans="1:23" x14ac:dyDescent="0.5">
      <c r="A2328" s="54">
        <v>2327</v>
      </c>
      <c r="B2328" s="90" t="s">
        <v>655</v>
      </c>
      <c r="C2328" t="s">
        <v>338</v>
      </c>
      <c r="D2328" s="1"/>
      <c r="E2328" s="112">
        <v>2008.06</v>
      </c>
      <c r="F2328" s="112">
        <v>2008.06</v>
      </c>
      <c r="G2328" s="107" t="s">
        <v>670</v>
      </c>
      <c r="H2328">
        <f>INDEX('GIS-Standards'!$A$2:$A$305,MATCH(B2328,'GIS-Standards'!$B$2:$B$305,0))</f>
        <v>104</v>
      </c>
      <c r="I2328">
        <f>INDEX('GIS-Standards'!$A$2:$A$305,MATCH(C2328,'GIS-Standards'!$B$2:$B$305,0))</f>
        <v>45</v>
      </c>
      <c r="J2328" t="str">
        <f>INDEX('GIS-Standards'!$O$2:$O$305,MATCH(B2328,'GIS-Standards'!$B$2:$B$305,0))</f>
        <v>ISO/TC 211</v>
      </c>
      <c r="K2328" t="str">
        <f>INDEX('GIS-Standards'!$O$2:$O$305,MATCH(C2328,'GIS-Standards'!$B$2:$B$305,0))</f>
        <v>ISO/TC 211</v>
      </c>
      <c r="M2328" t="s">
        <v>525</v>
      </c>
      <c r="N2328">
        <f>INDEX('GIS-Standards'!$I$2:$I$305,MATCH(B2328,'GIS-Standards'!$B$2:$B$305,0))</f>
        <v>0</v>
      </c>
      <c r="O2328">
        <f>INDEX('GIS-Standards'!$I$2:$I$305,MATCH(C2328,'GIS-Standards'!$B$2:$B$305,0))</f>
        <v>0</v>
      </c>
      <c r="P2328" t="b">
        <f>AND(TableRelationships12[[#This Row],[Source Type]]="BIM",TableRelationships12[[#This Row],[Target Type]]="BIM")</f>
        <v>0</v>
      </c>
      <c r="Q2328">
        <f t="shared" si="108"/>
        <v>1</v>
      </c>
      <c r="S2328">
        <f t="shared" si="109"/>
        <v>1</v>
      </c>
      <c r="T2328" s="102" t="str">
        <f>IF(TableRelationships12[[#This Row],[Rank Pedro]]="Low","linkCategory1",IF(TableRelationships12[[#This Row],[Rank Pedro]]="Medium","linkCategory2",IF(TableRelationships12[[#This Row],[Rank Pedro]]="High","linkCategory3","")))</f>
        <v/>
      </c>
      <c r="U2328" s="102" t="str">
        <f>IF(TableRelationships12[[#This Row],[Rank Pedro]]="Low","Pink",IF(TableRelationships12[[#This Row],[Rank Pedro]]="Medium","Purple",IF(TableRelationships12[[#This Row],[Rank Pedro]]="High","Brown","")))</f>
        <v/>
      </c>
      <c r="V2328" s="4" t="e">
        <f>MAX(INDEX(Standards!$F$2:$F$296,MATCH(B2328,Standards!$B$2:$B$296,0)),INDEX(Standards!$F$2:$F$296,MATCH(C2328,Standards!$B$2:$B$296,0)))</f>
        <v>#N/A</v>
      </c>
      <c r="W2328" t="str">
        <f t="shared" si="110"/>
        <v>#2f89d1</v>
      </c>
    </row>
    <row r="2329" spans="1:23" x14ac:dyDescent="0.5">
      <c r="A2329" s="54">
        <v>2328</v>
      </c>
      <c r="B2329" s="90" t="s">
        <v>655</v>
      </c>
      <c r="C2329" t="s">
        <v>1038</v>
      </c>
      <c r="D2329" s="1"/>
      <c r="E2329" s="112">
        <v>2012.07</v>
      </c>
      <c r="F2329" s="112">
        <v>2023.12</v>
      </c>
      <c r="G2329" s="107" t="s">
        <v>670</v>
      </c>
      <c r="H2329">
        <f>INDEX('GIS-Standards'!$A$2:$A$305,MATCH(B2329,'GIS-Standards'!$B$2:$B$305,0))</f>
        <v>104</v>
      </c>
      <c r="I2329">
        <f>INDEX('GIS-Standards'!$A$2:$A$305,MATCH(C2329,'GIS-Standards'!$B$2:$B$305,0))</f>
        <v>49</v>
      </c>
      <c r="J2329" t="str">
        <f>INDEX('GIS-Standards'!$O$2:$O$305,MATCH(B2329,'GIS-Standards'!$B$2:$B$305,0))</f>
        <v>ISO/TC 211</v>
      </c>
      <c r="K2329" t="str">
        <f>INDEX('GIS-Standards'!$O$2:$O$305,MATCH(C2329,'GIS-Standards'!$B$2:$B$305,0))</f>
        <v>ISO/TC 211</v>
      </c>
      <c r="M2329" t="s">
        <v>525</v>
      </c>
      <c r="N2329">
        <f>INDEX('GIS-Standards'!$I$2:$I$305,MATCH(B2329,'GIS-Standards'!$B$2:$B$305,0))</f>
        <v>0</v>
      </c>
      <c r="O2329">
        <f>INDEX('GIS-Standards'!$I$2:$I$305,MATCH(C2329,'GIS-Standards'!$B$2:$B$305,0))</f>
        <v>0</v>
      </c>
      <c r="P2329" t="b">
        <f>AND(TableRelationships12[[#This Row],[Source Type]]="BIM",TableRelationships12[[#This Row],[Target Type]]="BIM")</f>
        <v>0</v>
      </c>
      <c r="Q2329">
        <f t="shared" si="108"/>
        <v>1</v>
      </c>
      <c r="S2329">
        <f t="shared" si="109"/>
        <v>1</v>
      </c>
      <c r="T2329" s="102" t="str">
        <f>IF(TableRelationships12[[#This Row],[Rank Pedro]]="Low","linkCategory1",IF(TableRelationships12[[#This Row],[Rank Pedro]]="Medium","linkCategory2",IF(TableRelationships12[[#This Row],[Rank Pedro]]="High","linkCategory3","")))</f>
        <v/>
      </c>
      <c r="U2329" s="102" t="str">
        <f>IF(TableRelationships12[[#This Row],[Rank Pedro]]="Low","Pink",IF(TableRelationships12[[#This Row],[Rank Pedro]]="Medium","Purple",IF(TableRelationships12[[#This Row],[Rank Pedro]]="High","Brown","")))</f>
        <v/>
      </c>
      <c r="V2329" s="4" t="e">
        <f>MAX(INDEX(Standards!$F$2:$F$296,MATCH(B2329,Standards!$B$2:$B$296,0)),INDEX(Standards!$F$2:$F$296,MATCH(C2329,Standards!$B$2:$B$296,0)))</f>
        <v>#N/A</v>
      </c>
      <c r="W2329" t="str">
        <f t="shared" si="110"/>
        <v>#2f89d1</v>
      </c>
    </row>
    <row r="2330" spans="1:23" x14ac:dyDescent="0.5">
      <c r="A2330" s="54">
        <v>2329</v>
      </c>
      <c r="B2330" s="90" t="s">
        <v>655</v>
      </c>
      <c r="C2330" t="s">
        <v>1039</v>
      </c>
      <c r="D2330" s="1" t="s">
        <v>1331</v>
      </c>
      <c r="E2330" s="113">
        <v>2012.12</v>
      </c>
      <c r="F2330" s="113">
        <v>2024.01</v>
      </c>
      <c r="G2330" s="107" t="s">
        <v>670</v>
      </c>
      <c r="H2330">
        <f>INDEX('GIS-Standards'!$A$2:$A$305,MATCH(B2330,'GIS-Standards'!$B$2:$B$305,0))</f>
        <v>104</v>
      </c>
      <c r="I2330">
        <f>INDEX('GIS-Standards'!$A$2:$A$305,MATCH(C2330,'GIS-Standards'!$B$2:$B$305,0))</f>
        <v>57</v>
      </c>
      <c r="J2330" t="str">
        <f>INDEX('GIS-Standards'!$O$2:$O$305,MATCH(B2330,'GIS-Standards'!$B$2:$B$305,0))</f>
        <v>ISO/TC 211</v>
      </c>
      <c r="K2330" t="str">
        <f>INDEX('GIS-Standards'!$O$2:$O$305,MATCH(C2330,'GIS-Standards'!$B$2:$B$305,0))</f>
        <v>ISO/TC 211</v>
      </c>
      <c r="M2330" t="s">
        <v>525</v>
      </c>
      <c r="N2330">
        <f>INDEX('GIS-Standards'!$I$2:$I$305,MATCH(B2330,'GIS-Standards'!$B$2:$B$305,0))</f>
        <v>0</v>
      </c>
      <c r="O2330">
        <f>INDEX('GIS-Standards'!$I$2:$I$305,MATCH(C2330,'GIS-Standards'!$B$2:$B$305,0))</f>
        <v>0</v>
      </c>
      <c r="P2330" t="b">
        <f>AND(TableRelationships12[[#This Row],[Source Type]]="BIM",TableRelationships12[[#This Row],[Target Type]]="BIM")</f>
        <v>0</v>
      </c>
      <c r="Q2330">
        <f t="shared" si="108"/>
        <v>1</v>
      </c>
      <c r="S2330">
        <f t="shared" si="109"/>
        <v>1</v>
      </c>
      <c r="T2330" s="102" t="str">
        <f>IF(TableRelationships12[[#This Row],[Rank Pedro]]="Low","linkCategory1",IF(TableRelationships12[[#This Row],[Rank Pedro]]="Medium","linkCategory2",IF(TableRelationships12[[#This Row],[Rank Pedro]]="High","linkCategory3","")))</f>
        <v/>
      </c>
      <c r="U2330" s="102" t="str">
        <f>IF(TableRelationships12[[#This Row],[Rank Pedro]]="Low","Pink",IF(TableRelationships12[[#This Row],[Rank Pedro]]="Medium","Purple",IF(TableRelationships12[[#This Row],[Rank Pedro]]="High","Brown","")))</f>
        <v/>
      </c>
      <c r="V2330" s="4" t="e">
        <f>MAX(INDEX(Standards!$F$2:$F$296,MATCH(B2330,Standards!$B$2:$B$296,0)),INDEX(Standards!$F$2:$F$296,MATCH(C2330,Standards!$B$2:$B$296,0)))</f>
        <v>#N/A</v>
      </c>
      <c r="W2330" t="str">
        <f t="shared" si="110"/>
        <v>#2f89d1</v>
      </c>
    </row>
    <row r="2331" spans="1:23" x14ac:dyDescent="0.5">
      <c r="A2331" s="54">
        <v>2330</v>
      </c>
      <c r="B2331" s="90" t="s">
        <v>655</v>
      </c>
      <c r="C2331" t="s">
        <v>1206</v>
      </c>
      <c r="D2331" s="1" t="s">
        <v>1331</v>
      </c>
      <c r="E2331" s="113">
        <v>2012.12</v>
      </c>
      <c r="F2331" s="113">
        <v>2025.05</v>
      </c>
      <c r="G2331" s="107" t="s">
        <v>670</v>
      </c>
      <c r="H2331">
        <f>INDEX('GIS-Standards'!$A$2:$A$305,MATCH(B2331,'GIS-Standards'!$B$2:$B$305,0))</f>
        <v>104</v>
      </c>
      <c r="I2331">
        <f>INDEX('GIS-Standards'!$A$2:$A$305,MATCH(C2331,'GIS-Standards'!$B$2:$B$305,0))</f>
        <v>58</v>
      </c>
      <c r="J2331" t="str">
        <f>INDEX('GIS-Standards'!$O$2:$O$305,MATCH(B2331,'GIS-Standards'!$B$2:$B$305,0))</f>
        <v>ISO/TC 211</v>
      </c>
      <c r="K2331" t="str">
        <f>INDEX('GIS-Standards'!$O$2:$O$305,MATCH(C2331,'GIS-Standards'!$B$2:$B$305,0))</f>
        <v>ISO/TC 211</v>
      </c>
      <c r="M2331" t="s">
        <v>525</v>
      </c>
      <c r="N2331">
        <f>INDEX('GIS-Standards'!$I$2:$I$305,MATCH(B2331,'GIS-Standards'!$B$2:$B$305,0))</f>
        <v>0</v>
      </c>
      <c r="O2331">
        <f>INDEX('GIS-Standards'!$I$2:$I$305,MATCH(C2331,'GIS-Standards'!$B$2:$B$305,0))</f>
        <v>0</v>
      </c>
      <c r="P2331" t="b">
        <f>AND(TableRelationships12[[#This Row],[Source Type]]="BIM",TableRelationships12[[#This Row],[Target Type]]="BIM")</f>
        <v>0</v>
      </c>
      <c r="Q2331">
        <f t="shared" si="108"/>
        <v>1</v>
      </c>
      <c r="S2331">
        <f t="shared" si="109"/>
        <v>1</v>
      </c>
      <c r="T2331" s="102" t="str">
        <f>IF(TableRelationships12[[#This Row],[Rank Pedro]]="Low","linkCategory1",IF(TableRelationships12[[#This Row],[Rank Pedro]]="Medium","linkCategory2",IF(TableRelationships12[[#This Row],[Rank Pedro]]="High","linkCategory3","")))</f>
        <v/>
      </c>
      <c r="U2331" s="102" t="str">
        <f>IF(TableRelationships12[[#This Row],[Rank Pedro]]="Low","Pink",IF(TableRelationships12[[#This Row],[Rank Pedro]]="Medium","Purple",IF(TableRelationships12[[#This Row],[Rank Pedro]]="High","Brown","")))</f>
        <v/>
      </c>
      <c r="V2331" s="4" t="e">
        <f>MAX(INDEX(Standards!$F$2:$F$296,MATCH(B2331,Standards!$B$2:$B$296,0)),INDEX(Standards!$F$2:$F$296,MATCH(C2331,Standards!$B$2:$B$296,0)))</f>
        <v>#N/A</v>
      </c>
      <c r="W2331" t="str">
        <f t="shared" si="110"/>
        <v>#2f89d1</v>
      </c>
    </row>
    <row r="2332" spans="1:23" x14ac:dyDescent="0.5">
      <c r="A2332" s="54">
        <v>2331</v>
      </c>
      <c r="B2332" s="90" t="s">
        <v>655</v>
      </c>
      <c r="C2332" t="s">
        <v>1052</v>
      </c>
      <c r="D2332" s="1" t="s">
        <v>1331</v>
      </c>
      <c r="E2332" s="113">
        <v>2012.12</v>
      </c>
      <c r="F2332" s="113">
        <v>2024.07</v>
      </c>
      <c r="G2332" s="107" t="s">
        <v>670</v>
      </c>
      <c r="H2332">
        <f>INDEX('GIS-Standards'!$A$2:$A$305,MATCH(B2332,'GIS-Standards'!$B$2:$B$305,0))</f>
        <v>104</v>
      </c>
      <c r="I2332">
        <f>INDEX('GIS-Standards'!$A$2:$A$305,MATCH(C2332,'GIS-Standards'!$B$2:$B$305,0))</f>
        <v>59</v>
      </c>
      <c r="J2332" t="str">
        <f>INDEX('GIS-Standards'!$O$2:$O$305,MATCH(B2332,'GIS-Standards'!$B$2:$B$305,0))</f>
        <v>ISO/TC 211</v>
      </c>
      <c r="K2332" t="str">
        <f>INDEX('GIS-Standards'!$O$2:$O$305,MATCH(C2332,'GIS-Standards'!$B$2:$B$305,0))</f>
        <v>ISO/TC 211</v>
      </c>
      <c r="M2332" t="s">
        <v>525</v>
      </c>
      <c r="N2332">
        <f>INDEX('GIS-Standards'!$I$2:$I$305,MATCH(B2332,'GIS-Standards'!$B$2:$B$305,0))</f>
        <v>0</v>
      </c>
      <c r="O2332">
        <f>INDEX('GIS-Standards'!$I$2:$I$305,MATCH(C2332,'GIS-Standards'!$B$2:$B$305,0))</f>
        <v>0</v>
      </c>
      <c r="P2332" t="b">
        <f>AND(TableRelationships12[[#This Row],[Source Type]]="BIM",TableRelationships12[[#This Row],[Target Type]]="BIM")</f>
        <v>0</v>
      </c>
      <c r="Q2332">
        <f t="shared" si="108"/>
        <v>1</v>
      </c>
      <c r="S2332">
        <f t="shared" si="109"/>
        <v>1</v>
      </c>
      <c r="T2332" s="102" t="str">
        <f>IF(TableRelationships12[[#This Row],[Rank Pedro]]="Low","linkCategory1",IF(TableRelationships12[[#This Row],[Rank Pedro]]="Medium","linkCategory2",IF(TableRelationships12[[#This Row],[Rank Pedro]]="High","linkCategory3","")))</f>
        <v/>
      </c>
      <c r="U2332" s="102" t="str">
        <f>IF(TableRelationships12[[#This Row],[Rank Pedro]]="Low","Pink",IF(TableRelationships12[[#This Row],[Rank Pedro]]="Medium","Purple",IF(TableRelationships12[[#This Row],[Rank Pedro]]="High","Brown","")))</f>
        <v/>
      </c>
      <c r="V2332" s="4" t="e">
        <f>MAX(INDEX(Standards!$F$2:$F$296,MATCH(B2332,Standards!$B$2:$B$296,0)),INDEX(Standards!$F$2:$F$296,MATCH(C2332,Standards!$B$2:$B$296,0)))</f>
        <v>#N/A</v>
      </c>
      <c r="W2332" t="str">
        <f t="shared" si="110"/>
        <v>#2f89d1</v>
      </c>
    </row>
    <row r="2333" spans="1:23" x14ac:dyDescent="0.5">
      <c r="A2333" s="54">
        <v>2332</v>
      </c>
      <c r="B2333" s="90" t="s">
        <v>655</v>
      </c>
      <c r="C2333" t="s">
        <v>1469</v>
      </c>
      <c r="D2333" s="1" t="s">
        <v>1331</v>
      </c>
      <c r="E2333" s="113">
        <v>2012.12</v>
      </c>
      <c r="F2333" s="113">
        <v>2025.07</v>
      </c>
      <c r="G2333" s="107" t="s">
        <v>670</v>
      </c>
      <c r="H2333">
        <f>INDEX('GIS-Standards'!$A$2:$A$305,MATCH(B2333,'GIS-Standards'!$B$2:$B$305,0))</f>
        <v>104</v>
      </c>
      <c r="I2333">
        <f>INDEX('GIS-Standards'!$A$2:$A$305,MATCH(C2333,'GIS-Standards'!$B$2:$B$305,0))</f>
        <v>60</v>
      </c>
      <c r="J2333" t="str">
        <f>INDEX('GIS-Standards'!$O$2:$O$305,MATCH(B2333,'GIS-Standards'!$B$2:$B$305,0))</f>
        <v>ISO/TC 211</v>
      </c>
      <c r="K2333" t="str">
        <f>INDEX('GIS-Standards'!$O$2:$O$305,MATCH(C2333,'GIS-Standards'!$B$2:$B$305,0))</f>
        <v>ISO/TC 211</v>
      </c>
      <c r="M2333" t="s">
        <v>525</v>
      </c>
      <c r="N2333">
        <f>INDEX('GIS-Standards'!$I$2:$I$305,MATCH(B2333,'GIS-Standards'!$B$2:$B$305,0))</f>
        <v>0</v>
      </c>
      <c r="O2333">
        <f>INDEX('GIS-Standards'!$I$2:$I$305,MATCH(C2333,'GIS-Standards'!$B$2:$B$305,0))</f>
        <v>0</v>
      </c>
      <c r="P2333" t="b">
        <f>AND(TableRelationships12[[#This Row],[Source Type]]="BIM",TableRelationships12[[#This Row],[Target Type]]="BIM")</f>
        <v>0</v>
      </c>
      <c r="Q2333">
        <f t="shared" si="108"/>
        <v>1</v>
      </c>
      <c r="S2333">
        <f t="shared" si="109"/>
        <v>1</v>
      </c>
      <c r="T2333" s="102" t="str">
        <f>IF(TableRelationships12[[#This Row],[Rank Pedro]]="Low","linkCategory1",IF(TableRelationships12[[#This Row],[Rank Pedro]]="Medium","linkCategory2",IF(TableRelationships12[[#This Row],[Rank Pedro]]="High","linkCategory3","")))</f>
        <v/>
      </c>
      <c r="U2333" s="102" t="str">
        <f>IF(TableRelationships12[[#This Row],[Rank Pedro]]="Low","Pink",IF(TableRelationships12[[#This Row],[Rank Pedro]]="Medium","Purple",IF(TableRelationships12[[#This Row],[Rank Pedro]]="High","Brown","")))</f>
        <v/>
      </c>
      <c r="V2333" s="4" t="e">
        <f>MAX(INDEX(Standards!$F$2:$F$296,MATCH(B2333,Standards!$B$2:$B$296,0)),INDEX(Standards!$F$2:$F$296,MATCH(C2333,Standards!$B$2:$B$296,0)))</f>
        <v>#N/A</v>
      </c>
      <c r="W2333" t="str">
        <f t="shared" si="110"/>
        <v>#2f89d1</v>
      </c>
    </row>
    <row r="2334" spans="1:23" x14ac:dyDescent="0.5">
      <c r="A2334" s="54">
        <v>2333</v>
      </c>
      <c r="B2334" s="90" t="s">
        <v>655</v>
      </c>
      <c r="C2334" t="s">
        <v>1470</v>
      </c>
      <c r="D2334" s="1" t="s">
        <v>1331</v>
      </c>
      <c r="E2334" s="113">
        <v>2012.12</v>
      </c>
      <c r="F2334" s="113">
        <v>2025.08</v>
      </c>
      <c r="G2334" s="107" t="s">
        <v>670</v>
      </c>
      <c r="H2334">
        <f>INDEX('GIS-Standards'!$A$2:$A$305,MATCH(B2334,'GIS-Standards'!$B$2:$B$305,0))</f>
        <v>104</v>
      </c>
      <c r="I2334">
        <f>INDEX('GIS-Standards'!$A$2:$A$305,MATCH(C2334,'GIS-Standards'!$B$2:$B$305,0))</f>
        <v>61</v>
      </c>
      <c r="J2334" t="str">
        <f>INDEX('GIS-Standards'!$O$2:$O$305,MATCH(B2334,'GIS-Standards'!$B$2:$B$305,0))</f>
        <v>ISO/TC 211</v>
      </c>
      <c r="K2334" t="str">
        <f>INDEX('GIS-Standards'!$O$2:$O$305,MATCH(C2334,'GIS-Standards'!$B$2:$B$305,0))</f>
        <v>ISO/TC 211</v>
      </c>
      <c r="M2334" t="s">
        <v>525</v>
      </c>
      <c r="N2334">
        <f>INDEX('GIS-Standards'!$I$2:$I$305,MATCH(B2334,'GIS-Standards'!$B$2:$B$305,0))</f>
        <v>0</v>
      </c>
      <c r="O2334">
        <f>INDEX('GIS-Standards'!$I$2:$I$305,MATCH(C2334,'GIS-Standards'!$B$2:$B$305,0))</f>
        <v>0</v>
      </c>
      <c r="P2334" t="b">
        <f>AND(TableRelationships12[[#This Row],[Source Type]]="BIM",TableRelationships12[[#This Row],[Target Type]]="BIM")</f>
        <v>0</v>
      </c>
      <c r="Q2334">
        <f t="shared" si="108"/>
        <v>1</v>
      </c>
      <c r="S2334">
        <f t="shared" si="109"/>
        <v>1</v>
      </c>
      <c r="T2334" s="102" t="str">
        <f>IF(TableRelationships12[[#This Row],[Rank Pedro]]="Low","linkCategory1",IF(TableRelationships12[[#This Row],[Rank Pedro]]="Medium","linkCategory2",IF(TableRelationships12[[#This Row],[Rank Pedro]]="High","linkCategory3","")))</f>
        <v/>
      </c>
      <c r="U2334" s="102" t="str">
        <f>IF(TableRelationships12[[#This Row],[Rank Pedro]]="Low","Pink",IF(TableRelationships12[[#This Row],[Rank Pedro]]="Medium","Purple",IF(TableRelationships12[[#This Row],[Rank Pedro]]="High","Brown","")))</f>
        <v/>
      </c>
      <c r="V2334" s="4" t="e">
        <f>MAX(INDEX(Standards!$F$2:$F$296,MATCH(B2334,Standards!$B$2:$B$296,0)),INDEX(Standards!$F$2:$F$296,MATCH(C2334,Standards!$B$2:$B$296,0)))</f>
        <v>#N/A</v>
      </c>
      <c r="W2334" t="str">
        <f t="shared" si="110"/>
        <v>#2f89d1</v>
      </c>
    </row>
    <row r="2335" spans="1:23" x14ac:dyDescent="0.5">
      <c r="A2335" s="54">
        <v>2334</v>
      </c>
      <c r="B2335" s="90" t="s">
        <v>655</v>
      </c>
      <c r="C2335" t="s">
        <v>1365</v>
      </c>
      <c r="D2335" s="1"/>
      <c r="G2335" s="107"/>
      <c r="H2335">
        <f>INDEX('GIS-Standards'!$A$2:$A$305,MATCH(B2335,'GIS-Standards'!$B$2:$B$305,0))</f>
        <v>104</v>
      </c>
      <c r="I2335" t="e">
        <f>INDEX('GIS-Standards'!$A$2:$A$305,MATCH(C2335,'GIS-Standards'!$B$2:$B$305,0))</f>
        <v>#N/A</v>
      </c>
      <c r="J2335" t="str">
        <f>INDEX('GIS-Standards'!$O$2:$O$305,MATCH(B2335,'GIS-Standards'!$B$2:$B$305,0))</f>
        <v>ISO/TC 211</v>
      </c>
      <c r="K2335" t="e">
        <f>INDEX('GIS-Standards'!$O$2:$O$305,MATCH(C2335,'GIS-Standards'!$B$2:$B$305,0))</f>
        <v>#N/A</v>
      </c>
      <c r="M2335" t="s">
        <v>525</v>
      </c>
      <c r="N2335">
        <f>INDEX('GIS-Standards'!$I$2:$I$305,MATCH(B2335,'GIS-Standards'!$B$2:$B$305,0))</f>
        <v>0</v>
      </c>
      <c r="O2335" t="e">
        <f>INDEX('GIS-Standards'!$I$2:$I$305,MATCH(C2335,'GIS-Standards'!$B$2:$B$305,0))</f>
        <v>#N/A</v>
      </c>
      <c r="P2335" t="e">
        <f>AND(TableRelationships12[[#This Row],[Source Type]]="BIM",TableRelationships12[[#This Row],[Target Type]]="BIM")</f>
        <v>#N/A</v>
      </c>
      <c r="Q2335">
        <f t="shared" si="108"/>
        <v>1</v>
      </c>
      <c r="S2335">
        <f t="shared" si="109"/>
        <v>1</v>
      </c>
      <c r="T2335" s="102" t="str">
        <f>IF(TableRelationships12[[#This Row],[Rank Pedro]]="Low","linkCategory1",IF(TableRelationships12[[#This Row],[Rank Pedro]]="Medium","linkCategory2",IF(TableRelationships12[[#This Row],[Rank Pedro]]="High","linkCategory3","")))</f>
        <v/>
      </c>
      <c r="U2335" s="102" t="str">
        <f>IF(TableRelationships12[[#This Row],[Rank Pedro]]="Low","Pink",IF(TableRelationships12[[#This Row],[Rank Pedro]]="Medium","Purple",IF(TableRelationships12[[#This Row],[Rank Pedro]]="High","Brown","")))</f>
        <v/>
      </c>
      <c r="V2335" s="4" t="e">
        <f>MAX(INDEX(Standards!$F$2:$F$296,MATCH(B2335,Standards!$B$2:$B$296,0)),INDEX(Standards!$F$2:$F$296,MATCH(C2335,Standards!$B$2:$B$296,0)))</f>
        <v>#N/A</v>
      </c>
      <c r="W2335" t="str">
        <f t="shared" si="110"/>
        <v>#2f89d1</v>
      </c>
    </row>
    <row r="2336" spans="1:23" x14ac:dyDescent="0.5">
      <c r="A2336" s="54">
        <v>2335</v>
      </c>
      <c r="B2336" s="90" t="s">
        <v>655</v>
      </c>
      <c r="C2336" t="s">
        <v>1566</v>
      </c>
      <c r="D2336" s="1"/>
      <c r="G2336" s="107"/>
      <c r="H2336">
        <f>INDEX('GIS-Standards'!$A$2:$A$305,MATCH(B2336,'GIS-Standards'!$B$2:$B$305,0))</f>
        <v>104</v>
      </c>
      <c r="I2336" t="e">
        <f>INDEX('GIS-Standards'!$A$2:$A$305,MATCH(C2336,'GIS-Standards'!$B$2:$B$305,0))</f>
        <v>#N/A</v>
      </c>
      <c r="J2336" t="str">
        <f>INDEX('GIS-Standards'!$O$2:$O$305,MATCH(B2336,'GIS-Standards'!$B$2:$B$305,0))</f>
        <v>ISO/TC 211</v>
      </c>
      <c r="K2336" t="e">
        <f>INDEX('GIS-Standards'!$O$2:$O$305,MATCH(C2336,'GIS-Standards'!$B$2:$B$305,0))</f>
        <v>#N/A</v>
      </c>
      <c r="M2336" t="s">
        <v>525</v>
      </c>
      <c r="N2336">
        <f>INDEX('GIS-Standards'!$I$2:$I$305,MATCH(B2336,'GIS-Standards'!$B$2:$B$305,0))</f>
        <v>0</v>
      </c>
      <c r="O2336" t="e">
        <f>INDEX('GIS-Standards'!$I$2:$I$305,MATCH(C2336,'GIS-Standards'!$B$2:$B$305,0))</f>
        <v>#N/A</v>
      </c>
      <c r="P2336" t="e">
        <f>AND(TableRelationships12[[#This Row],[Source Type]]="BIM",TableRelationships12[[#This Row],[Target Type]]="BIM")</f>
        <v>#N/A</v>
      </c>
      <c r="Q2336">
        <f t="shared" si="108"/>
        <v>1</v>
      </c>
      <c r="S2336">
        <f t="shared" si="109"/>
        <v>1</v>
      </c>
      <c r="T2336" s="102" t="str">
        <f>IF(TableRelationships12[[#This Row],[Rank Pedro]]="Low","linkCategory1",IF(TableRelationships12[[#This Row],[Rank Pedro]]="Medium","linkCategory2",IF(TableRelationships12[[#This Row],[Rank Pedro]]="High","linkCategory3","")))</f>
        <v/>
      </c>
      <c r="U2336" s="102" t="str">
        <f>IF(TableRelationships12[[#This Row],[Rank Pedro]]="Low","Pink",IF(TableRelationships12[[#This Row],[Rank Pedro]]="Medium","Purple",IF(TableRelationships12[[#This Row],[Rank Pedro]]="High","Brown","")))</f>
        <v/>
      </c>
      <c r="V2336" s="4" t="e">
        <f>MAX(INDEX(Standards!$F$2:$F$296,MATCH(B2336,Standards!$B$2:$B$296,0)),INDEX(Standards!$F$2:$F$296,MATCH(C2336,Standards!$B$2:$B$296,0)))</f>
        <v>#N/A</v>
      </c>
      <c r="W2336" t="str">
        <f t="shared" si="110"/>
        <v>#2f89d1</v>
      </c>
    </row>
    <row r="2337" spans="1:23" x14ac:dyDescent="0.5">
      <c r="A2337" s="54">
        <v>2336</v>
      </c>
      <c r="B2337" s="90" t="s">
        <v>655</v>
      </c>
      <c r="C2337" t="s">
        <v>1562</v>
      </c>
      <c r="D2337" s="1"/>
      <c r="G2337" s="107"/>
      <c r="H2337">
        <f>INDEX('GIS-Standards'!$A$2:$A$305,MATCH(B2337,'GIS-Standards'!$B$2:$B$305,0))</f>
        <v>104</v>
      </c>
      <c r="I2337" t="e">
        <f>INDEX('GIS-Standards'!$A$2:$A$305,MATCH(C2337,'GIS-Standards'!$B$2:$B$305,0))</f>
        <v>#N/A</v>
      </c>
      <c r="J2337" t="str">
        <f>INDEX('GIS-Standards'!$O$2:$O$305,MATCH(B2337,'GIS-Standards'!$B$2:$B$305,0))</f>
        <v>ISO/TC 211</v>
      </c>
      <c r="K2337" t="e">
        <f>INDEX('GIS-Standards'!$O$2:$O$305,MATCH(C2337,'GIS-Standards'!$B$2:$B$305,0))</f>
        <v>#N/A</v>
      </c>
      <c r="M2337" t="s">
        <v>525</v>
      </c>
      <c r="N2337">
        <f>INDEX('GIS-Standards'!$I$2:$I$305,MATCH(B2337,'GIS-Standards'!$B$2:$B$305,0))</f>
        <v>0</v>
      </c>
      <c r="O2337" t="e">
        <f>INDEX('GIS-Standards'!$I$2:$I$305,MATCH(C2337,'GIS-Standards'!$B$2:$B$305,0))</f>
        <v>#N/A</v>
      </c>
      <c r="P2337" t="e">
        <f>AND(TableRelationships12[[#This Row],[Source Type]]="BIM",TableRelationships12[[#This Row],[Target Type]]="BIM")</f>
        <v>#N/A</v>
      </c>
      <c r="Q2337">
        <f t="shared" si="108"/>
        <v>1</v>
      </c>
      <c r="S2337">
        <f t="shared" si="109"/>
        <v>1</v>
      </c>
      <c r="T2337" s="102" t="str">
        <f>IF(TableRelationships12[[#This Row],[Rank Pedro]]="Low","linkCategory1",IF(TableRelationships12[[#This Row],[Rank Pedro]]="Medium","linkCategory2",IF(TableRelationships12[[#This Row],[Rank Pedro]]="High","linkCategory3","")))</f>
        <v/>
      </c>
      <c r="U2337" s="102" t="str">
        <f>IF(TableRelationships12[[#This Row],[Rank Pedro]]="Low","Pink",IF(TableRelationships12[[#This Row],[Rank Pedro]]="Medium","Purple",IF(TableRelationships12[[#This Row],[Rank Pedro]]="High","Brown","")))</f>
        <v/>
      </c>
      <c r="V2337" s="4" t="e">
        <f>MAX(INDEX(Standards!$F$2:$F$296,MATCH(B2337,Standards!$B$2:$B$296,0)),INDEX(Standards!$F$2:$F$296,MATCH(C2337,Standards!$B$2:$B$296,0)))</f>
        <v>#N/A</v>
      </c>
      <c r="W2337" t="str">
        <f t="shared" si="110"/>
        <v>#2f89d1</v>
      </c>
    </row>
    <row r="2338" spans="1:23" x14ac:dyDescent="0.5">
      <c r="A2338" s="54">
        <v>2337</v>
      </c>
      <c r="B2338" s="90" t="s">
        <v>655</v>
      </c>
      <c r="C2338" t="s">
        <v>1141</v>
      </c>
      <c r="D2338" s="1"/>
      <c r="G2338" s="107"/>
      <c r="H2338">
        <f>INDEX('GIS-Standards'!$A$2:$A$305,MATCH(B2338,'GIS-Standards'!$B$2:$B$305,0))</f>
        <v>104</v>
      </c>
      <c r="I2338" t="e">
        <f>INDEX('GIS-Standards'!$A$2:$A$305,MATCH(C2338,'GIS-Standards'!$B$2:$B$305,0))</f>
        <v>#N/A</v>
      </c>
      <c r="J2338" t="str">
        <f>INDEX('GIS-Standards'!$O$2:$O$305,MATCH(B2338,'GIS-Standards'!$B$2:$B$305,0))</f>
        <v>ISO/TC 211</v>
      </c>
      <c r="K2338" t="e">
        <f>INDEX('GIS-Standards'!$O$2:$O$305,MATCH(C2338,'GIS-Standards'!$B$2:$B$305,0))</f>
        <v>#N/A</v>
      </c>
      <c r="M2338" t="s">
        <v>525</v>
      </c>
      <c r="N2338">
        <f>INDEX('GIS-Standards'!$I$2:$I$305,MATCH(B2338,'GIS-Standards'!$B$2:$B$305,0))</f>
        <v>0</v>
      </c>
      <c r="O2338" t="e">
        <f>INDEX('GIS-Standards'!$I$2:$I$305,MATCH(C2338,'GIS-Standards'!$B$2:$B$305,0))</f>
        <v>#N/A</v>
      </c>
      <c r="P2338" t="e">
        <f>AND(TableRelationships12[[#This Row],[Source Type]]="BIM",TableRelationships12[[#This Row],[Target Type]]="BIM")</f>
        <v>#N/A</v>
      </c>
      <c r="Q2338">
        <f t="shared" si="108"/>
        <v>1</v>
      </c>
      <c r="S2338">
        <f t="shared" si="109"/>
        <v>1</v>
      </c>
      <c r="T2338" s="102" t="str">
        <f>IF(TableRelationships12[[#This Row],[Rank Pedro]]="Low","linkCategory1",IF(TableRelationships12[[#This Row],[Rank Pedro]]="Medium","linkCategory2",IF(TableRelationships12[[#This Row],[Rank Pedro]]="High","linkCategory3","")))</f>
        <v/>
      </c>
      <c r="U2338" s="102" t="str">
        <f>IF(TableRelationships12[[#This Row],[Rank Pedro]]="Low","Pink",IF(TableRelationships12[[#This Row],[Rank Pedro]]="Medium","Purple",IF(TableRelationships12[[#This Row],[Rank Pedro]]="High","Brown","")))</f>
        <v/>
      </c>
      <c r="V2338" s="4" t="e">
        <f>MAX(INDEX(Standards!$F$2:$F$296,MATCH(B2338,Standards!$B$2:$B$296,0)),INDEX(Standards!$F$2:$F$296,MATCH(C2338,Standards!$B$2:$B$296,0)))</f>
        <v>#N/A</v>
      </c>
      <c r="W2338" t="str">
        <f t="shared" si="110"/>
        <v>#2f89d1</v>
      </c>
    </row>
    <row r="2339" spans="1:23" x14ac:dyDescent="0.5">
      <c r="A2339" s="54">
        <v>2338</v>
      </c>
      <c r="B2339" s="90" t="s">
        <v>655</v>
      </c>
      <c r="C2339" t="s">
        <v>1573</v>
      </c>
      <c r="D2339" s="1"/>
      <c r="G2339" s="107"/>
      <c r="H2339">
        <f>INDEX('GIS-Standards'!$A$2:$A$305,MATCH(B2339,'GIS-Standards'!$B$2:$B$305,0))</f>
        <v>104</v>
      </c>
      <c r="I2339" t="e">
        <f>INDEX('GIS-Standards'!$A$2:$A$305,MATCH(C2339,'GIS-Standards'!$B$2:$B$305,0))</f>
        <v>#N/A</v>
      </c>
      <c r="J2339" t="str">
        <f>INDEX('GIS-Standards'!$O$2:$O$305,MATCH(B2339,'GIS-Standards'!$B$2:$B$305,0))</f>
        <v>ISO/TC 211</v>
      </c>
      <c r="K2339" t="e">
        <f>INDEX('GIS-Standards'!$O$2:$O$305,MATCH(C2339,'GIS-Standards'!$B$2:$B$305,0))</f>
        <v>#N/A</v>
      </c>
      <c r="M2339" t="s">
        <v>525</v>
      </c>
      <c r="N2339">
        <f>INDEX('GIS-Standards'!$I$2:$I$305,MATCH(B2339,'GIS-Standards'!$B$2:$B$305,0))</f>
        <v>0</v>
      </c>
      <c r="O2339" t="e">
        <f>INDEX('GIS-Standards'!$I$2:$I$305,MATCH(C2339,'GIS-Standards'!$B$2:$B$305,0))</f>
        <v>#N/A</v>
      </c>
      <c r="P2339" t="e">
        <f>AND(TableRelationships12[[#This Row],[Source Type]]="BIM",TableRelationships12[[#This Row],[Target Type]]="BIM")</f>
        <v>#N/A</v>
      </c>
      <c r="Q2339">
        <f t="shared" si="108"/>
        <v>1</v>
      </c>
      <c r="S2339">
        <f t="shared" si="109"/>
        <v>1</v>
      </c>
      <c r="T2339" s="102" t="str">
        <f>IF(TableRelationships12[[#This Row],[Rank Pedro]]="Low","linkCategory1",IF(TableRelationships12[[#This Row],[Rank Pedro]]="Medium","linkCategory2",IF(TableRelationships12[[#This Row],[Rank Pedro]]="High","linkCategory3","")))</f>
        <v/>
      </c>
      <c r="U2339" s="102" t="str">
        <f>IF(TableRelationships12[[#This Row],[Rank Pedro]]="Low","Pink",IF(TableRelationships12[[#This Row],[Rank Pedro]]="Medium","Purple",IF(TableRelationships12[[#This Row],[Rank Pedro]]="High","Brown","")))</f>
        <v/>
      </c>
      <c r="V2339" s="4" t="e">
        <f>MAX(INDEX(Standards!$F$2:$F$296,MATCH(B2339,Standards!$B$2:$B$296,0)),INDEX(Standards!$F$2:$F$296,MATCH(C2339,Standards!$B$2:$B$296,0)))</f>
        <v>#N/A</v>
      </c>
      <c r="W2339" t="str">
        <f t="shared" si="110"/>
        <v>#2f89d1</v>
      </c>
    </row>
    <row r="2340" spans="1:23" x14ac:dyDescent="0.5">
      <c r="A2340" s="54">
        <v>2339</v>
      </c>
      <c r="B2340" s="90" t="s">
        <v>655</v>
      </c>
      <c r="C2340" t="s">
        <v>1557</v>
      </c>
      <c r="D2340" s="1"/>
      <c r="G2340" s="107"/>
      <c r="H2340">
        <f>INDEX('GIS-Standards'!$A$2:$A$305,MATCH(B2340,'GIS-Standards'!$B$2:$B$305,0))</f>
        <v>104</v>
      </c>
      <c r="I2340" t="e">
        <f>INDEX('GIS-Standards'!$A$2:$A$305,MATCH(C2340,'GIS-Standards'!$B$2:$B$305,0))</f>
        <v>#N/A</v>
      </c>
      <c r="J2340" t="str">
        <f>INDEX('GIS-Standards'!$O$2:$O$305,MATCH(B2340,'GIS-Standards'!$B$2:$B$305,0))</f>
        <v>ISO/TC 211</v>
      </c>
      <c r="K2340" t="e">
        <f>INDEX('GIS-Standards'!$O$2:$O$305,MATCH(C2340,'GIS-Standards'!$B$2:$B$305,0))</f>
        <v>#N/A</v>
      </c>
      <c r="M2340" t="s">
        <v>525</v>
      </c>
      <c r="N2340">
        <f>INDEX('GIS-Standards'!$I$2:$I$305,MATCH(B2340,'GIS-Standards'!$B$2:$B$305,0))</f>
        <v>0</v>
      </c>
      <c r="O2340" t="e">
        <f>INDEX('GIS-Standards'!$I$2:$I$305,MATCH(C2340,'GIS-Standards'!$B$2:$B$305,0))</f>
        <v>#N/A</v>
      </c>
      <c r="P2340" t="e">
        <f>AND(TableRelationships12[[#This Row],[Source Type]]="BIM",TableRelationships12[[#This Row],[Target Type]]="BIM")</f>
        <v>#N/A</v>
      </c>
      <c r="Q2340">
        <f t="shared" si="108"/>
        <v>1</v>
      </c>
      <c r="S2340">
        <f t="shared" si="109"/>
        <v>1</v>
      </c>
      <c r="T2340" s="102" t="str">
        <f>IF(TableRelationships12[[#This Row],[Rank Pedro]]="Low","linkCategory1",IF(TableRelationships12[[#This Row],[Rank Pedro]]="Medium","linkCategory2",IF(TableRelationships12[[#This Row],[Rank Pedro]]="High","linkCategory3","")))</f>
        <v/>
      </c>
      <c r="U2340" s="102" t="str">
        <f>IF(TableRelationships12[[#This Row],[Rank Pedro]]="Low","Pink",IF(TableRelationships12[[#This Row],[Rank Pedro]]="Medium","Purple",IF(TableRelationships12[[#This Row],[Rank Pedro]]="High","Brown","")))</f>
        <v/>
      </c>
      <c r="V2340" s="4" t="e">
        <f>MAX(INDEX(Standards!$F$2:$F$296,MATCH(B2340,Standards!$B$2:$B$296,0)),INDEX(Standards!$F$2:$F$296,MATCH(C2340,Standards!$B$2:$B$296,0)))</f>
        <v>#N/A</v>
      </c>
      <c r="W2340" t="str">
        <f t="shared" si="110"/>
        <v>#2f89d1</v>
      </c>
    </row>
    <row r="2341" spans="1:23" x14ac:dyDescent="0.5">
      <c r="A2341" s="54">
        <v>2340</v>
      </c>
      <c r="B2341" s="90" t="s">
        <v>655</v>
      </c>
      <c r="C2341" t="s">
        <v>1560</v>
      </c>
      <c r="D2341" s="1"/>
      <c r="G2341" s="107"/>
      <c r="H2341">
        <f>INDEX('GIS-Standards'!$A$2:$A$305,MATCH(B2341,'GIS-Standards'!$B$2:$B$305,0))</f>
        <v>104</v>
      </c>
      <c r="I2341" t="e">
        <f>INDEX('GIS-Standards'!$A$2:$A$305,MATCH(C2341,'GIS-Standards'!$B$2:$B$305,0))</f>
        <v>#N/A</v>
      </c>
      <c r="J2341" t="str">
        <f>INDEX('GIS-Standards'!$O$2:$O$305,MATCH(B2341,'GIS-Standards'!$B$2:$B$305,0))</f>
        <v>ISO/TC 211</v>
      </c>
      <c r="K2341" t="e">
        <f>INDEX('GIS-Standards'!$O$2:$O$305,MATCH(C2341,'GIS-Standards'!$B$2:$B$305,0))</f>
        <v>#N/A</v>
      </c>
      <c r="M2341" t="s">
        <v>525</v>
      </c>
      <c r="N2341">
        <f>INDEX('GIS-Standards'!$I$2:$I$305,MATCH(B2341,'GIS-Standards'!$B$2:$B$305,0))</f>
        <v>0</v>
      </c>
      <c r="O2341" t="e">
        <f>INDEX('GIS-Standards'!$I$2:$I$305,MATCH(C2341,'GIS-Standards'!$B$2:$B$305,0))</f>
        <v>#N/A</v>
      </c>
      <c r="P2341" t="e">
        <f>AND(TableRelationships12[[#This Row],[Source Type]]="BIM",TableRelationships12[[#This Row],[Target Type]]="BIM")</f>
        <v>#N/A</v>
      </c>
      <c r="Q2341">
        <f t="shared" si="108"/>
        <v>1</v>
      </c>
      <c r="S2341">
        <f t="shared" si="109"/>
        <v>1</v>
      </c>
      <c r="T2341" s="102" t="str">
        <f>IF(TableRelationships12[[#This Row],[Rank Pedro]]="Low","linkCategory1",IF(TableRelationships12[[#This Row],[Rank Pedro]]="Medium","linkCategory2",IF(TableRelationships12[[#This Row],[Rank Pedro]]="High","linkCategory3","")))</f>
        <v/>
      </c>
      <c r="U2341" s="102" t="str">
        <f>IF(TableRelationships12[[#This Row],[Rank Pedro]]="Low","Pink",IF(TableRelationships12[[#This Row],[Rank Pedro]]="Medium","Purple",IF(TableRelationships12[[#This Row],[Rank Pedro]]="High","Brown","")))</f>
        <v/>
      </c>
      <c r="V2341" s="4" t="e">
        <f>MAX(INDEX(Standards!$F$2:$F$296,MATCH(B2341,Standards!$B$2:$B$296,0)),INDEX(Standards!$F$2:$F$296,MATCH(C2341,Standards!$B$2:$B$296,0)))</f>
        <v>#N/A</v>
      </c>
      <c r="W2341" t="str">
        <f t="shared" si="110"/>
        <v>#2f89d1</v>
      </c>
    </row>
    <row r="2342" spans="1:23" x14ac:dyDescent="0.5">
      <c r="A2342" s="54">
        <v>2341</v>
      </c>
      <c r="B2342" s="90" t="s">
        <v>656</v>
      </c>
      <c r="C2342" t="s">
        <v>527</v>
      </c>
      <c r="D2342" s="1"/>
      <c r="E2342" s="112" t="s">
        <v>889</v>
      </c>
      <c r="F2342" s="112" t="s">
        <v>889</v>
      </c>
      <c r="G2342" s="121" t="s">
        <v>670</v>
      </c>
      <c r="H2342">
        <f>INDEX('GIS-Standards'!$A$2:$A$305,MATCH(B2342,'GIS-Standards'!$B$2:$B$305,0))</f>
        <v>105</v>
      </c>
      <c r="I2342" t="e">
        <f>INDEX('GIS-Standards'!$A$2:$A$305,MATCH(C2342,'GIS-Standards'!$B$2:$B$305,0))</f>
        <v>#N/A</v>
      </c>
      <c r="J2342" t="str">
        <f>INDEX('GIS-Standards'!$O$2:$O$305,MATCH(B2342,'GIS-Standards'!$B$2:$B$305,0))</f>
        <v>ISO/TC 211</v>
      </c>
      <c r="K2342" t="e">
        <f>INDEX('GIS-Standards'!$O$2:$O$305,MATCH(C2342,'GIS-Standards'!$B$2:$B$305,0))</f>
        <v>#N/A</v>
      </c>
      <c r="M2342" t="s">
        <v>237</v>
      </c>
      <c r="N2342">
        <f>INDEX('GIS-Standards'!$I$2:$I$305,MATCH(B2342,'GIS-Standards'!$B$2:$B$305,0))</f>
        <v>0</v>
      </c>
      <c r="O2342" t="e">
        <f>INDEX('GIS-Standards'!$I$2:$I$305,MATCH(C2342,'GIS-Standards'!$B$2:$B$305,0))</f>
        <v>#N/A</v>
      </c>
      <c r="P2342" t="e">
        <f>AND(TableRelationships12[[#This Row],[Source Type]]="BIM",TableRelationships12[[#This Row],[Target Type]]="BIM")</f>
        <v>#N/A</v>
      </c>
      <c r="Q2342">
        <f t="shared" si="108"/>
        <v>2</v>
      </c>
      <c r="S2342">
        <f t="shared" si="109"/>
        <v>1</v>
      </c>
      <c r="T2342" s="102" t="str">
        <f>IF(TableRelationships12[[#This Row],[Rank Pedro]]="Low","linkCategory1",IF(TableRelationships12[[#This Row],[Rank Pedro]]="Medium","linkCategory2",IF(TableRelationships12[[#This Row],[Rank Pedro]]="High","linkCategory3","")))</f>
        <v/>
      </c>
      <c r="U2342" s="102" t="str">
        <f>IF(TableRelationships12[[#This Row],[Rank Pedro]]="Low","Pink",IF(TableRelationships12[[#This Row],[Rank Pedro]]="Medium","Purple",IF(TableRelationships12[[#This Row],[Rank Pedro]]="High","Brown","")))</f>
        <v/>
      </c>
      <c r="V2342" s="4" t="e">
        <f>MAX(INDEX(Standards!$F$2:$F$296,MATCH(B2342,Standards!$B$2:$B$296,0)),INDEX(Standards!$F$2:$F$296,MATCH(C2342,Standards!$B$2:$B$296,0)))</f>
        <v>#N/A</v>
      </c>
      <c r="W2342">
        <f t="shared" si="110"/>
        <v>1</v>
      </c>
    </row>
    <row r="2343" spans="1:23" x14ac:dyDescent="0.5">
      <c r="A2343" s="54">
        <v>2342</v>
      </c>
      <c r="B2343" s="90" t="s">
        <v>656</v>
      </c>
      <c r="C2343" t="s">
        <v>296</v>
      </c>
      <c r="D2343" s="1"/>
      <c r="E2343" s="112">
        <v>2005.07</v>
      </c>
      <c r="F2343" s="112">
        <v>2024.09</v>
      </c>
      <c r="G2343" s="107" t="s">
        <v>670</v>
      </c>
      <c r="H2343">
        <f>INDEX('GIS-Standards'!$A$2:$A$305,MATCH(B2343,'GIS-Standards'!$B$2:$B$305,0))</f>
        <v>105</v>
      </c>
      <c r="I2343">
        <f>INDEX('GIS-Standards'!$A$2:$A$305,MATCH(C2343,'GIS-Standards'!$B$2:$B$305,0))</f>
        <v>12</v>
      </c>
      <c r="J2343" t="str">
        <f>INDEX('GIS-Standards'!$O$2:$O$305,MATCH(B2343,'GIS-Standards'!$B$2:$B$305,0))</f>
        <v>ISO/TC 211</v>
      </c>
      <c r="K2343" t="str">
        <f>INDEX('GIS-Standards'!$O$2:$O$305,MATCH(C2343,'GIS-Standards'!$B$2:$B$305,0))</f>
        <v>ISO/TC 211</v>
      </c>
      <c r="M2343" t="s">
        <v>524</v>
      </c>
      <c r="N2343">
        <f>INDEX('GIS-Standards'!$I$2:$I$305,MATCH(B2343,'GIS-Standards'!$B$2:$B$305,0))</f>
        <v>0</v>
      </c>
      <c r="O2343">
        <f>INDEX('GIS-Standards'!$I$2:$I$305,MATCH(C2343,'GIS-Standards'!$B$2:$B$305,0))</f>
        <v>0</v>
      </c>
      <c r="P2343" t="b">
        <f>AND(TableRelationships12[[#This Row],[Source Type]]="BIM",TableRelationships12[[#This Row],[Target Type]]="BIM")</f>
        <v>0</v>
      </c>
      <c r="Q2343">
        <f t="shared" si="108"/>
        <v>6</v>
      </c>
      <c r="S2343">
        <f t="shared" si="109"/>
        <v>1</v>
      </c>
      <c r="T2343" s="102" t="str">
        <f>IF(TableRelationships12[[#This Row],[Rank Pedro]]="Low","linkCategory1",IF(TableRelationships12[[#This Row],[Rank Pedro]]="Medium","linkCategory2",IF(TableRelationships12[[#This Row],[Rank Pedro]]="High","linkCategory3","")))</f>
        <v/>
      </c>
      <c r="U2343" s="102" t="str">
        <f>IF(TableRelationships12[[#This Row],[Rank Pedro]]="Low","Pink",IF(TableRelationships12[[#This Row],[Rank Pedro]]="Medium","Purple",IF(TableRelationships12[[#This Row],[Rank Pedro]]="High","Brown","")))</f>
        <v/>
      </c>
      <c r="V2343" s="4" t="e">
        <f>MAX(INDEX(Standards!$F$2:$F$296,MATCH(B2343,Standards!$B$2:$B$296,0)),INDEX(Standards!$F$2:$F$296,MATCH(C2343,Standards!$B$2:$B$296,0)))</f>
        <v>#N/A</v>
      </c>
      <c r="W2343" t="str">
        <f t="shared" si="110"/>
        <v>#d6bf2a</v>
      </c>
    </row>
    <row r="2344" spans="1:23" x14ac:dyDescent="0.5">
      <c r="A2344" s="54">
        <v>2343</v>
      </c>
      <c r="B2344" s="90" t="s">
        <v>656</v>
      </c>
      <c r="C2344" t="s">
        <v>300</v>
      </c>
      <c r="D2344" s="1"/>
      <c r="E2344" s="112">
        <v>2000.12</v>
      </c>
      <c r="F2344" s="112">
        <v>2022.07</v>
      </c>
      <c r="G2344" s="107" t="s">
        <v>670</v>
      </c>
      <c r="H2344">
        <f>INDEX('GIS-Standards'!$A$2:$A$305,MATCH(B2344,'GIS-Standards'!$B$2:$B$305,0))</f>
        <v>105</v>
      </c>
      <c r="I2344">
        <f>INDEX('GIS-Standards'!$A$2:$A$305,MATCH(C2344,'GIS-Standards'!$B$2:$B$305,0))</f>
        <v>14</v>
      </c>
      <c r="J2344" t="str">
        <f>INDEX('GIS-Standards'!$O$2:$O$305,MATCH(B2344,'GIS-Standards'!$B$2:$B$305,0))</f>
        <v>ISO/TC 211</v>
      </c>
      <c r="K2344" t="str">
        <f>INDEX('GIS-Standards'!$O$2:$O$305,MATCH(C2344,'GIS-Standards'!$B$2:$B$305,0))</f>
        <v>ISO/TC 211</v>
      </c>
      <c r="M2344" t="s">
        <v>524</v>
      </c>
      <c r="N2344">
        <f>INDEX('GIS-Standards'!$I$2:$I$305,MATCH(B2344,'GIS-Standards'!$B$2:$B$305,0))</f>
        <v>0</v>
      </c>
      <c r="O2344">
        <f>INDEX('GIS-Standards'!$I$2:$I$305,MATCH(C2344,'GIS-Standards'!$B$2:$B$305,0))</f>
        <v>0</v>
      </c>
      <c r="P2344" t="b">
        <f>AND(TableRelationships12[[#This Row],[Source Type]]="BIM",TableRelationships12[[#This Row],[Target Type]]="BIM")</f>
        <v>0</v>
      </c>
      <c r="Q2344">
        <f t="shared" si="108"/>
        <v>6</v>
      </c>
      <c r="S2344">
        <f t="shared" si="109"/>
        <v>1</v>
      </c>
      <c r="T2344" s="102" t="str">
        <f>IF(TableRelationships12[[#This Row],[Rank Pedro]]="Low","linkCategory1",IF(TableRelationships12[[#This Row],[Rank Pedro]]="Medium","linkCategory2",IF(TableRelationships12[[#This Row],[Rank Pedro]]="High","linkCategory3","")))</f>
        <v/>
      </c>
      <c r="U2344" s="102" t="str">
        <f>IF(TableRelationships12[[#This Row],[Rank Pedro]]="Low","Pink",IF(TableRelationships12[[#This Row],[Rank Pedro]]="Medium","Purple",IF(TableRelationships12[[#This Row],[Rank Pedro]]="High","Brown","")))</f>
        <v/>
      </c>
      <c r="V2344" s="4" t="e">
        <f>MAX(INDEX(Standards!$F$2:$F$296,MATCH(B2344,Standards!$B$2:$B$296,0)),INDEX(Standards!$F$2:$F$296,MATCH(C2344,Standards!$B$2:$B$296,0)))</f>
        <v>#N/A</v>
      </c>
      <c r="W2344" t="str">
        <f t="shared" si="110"/>
        <v>#d6bf2a</v>
      </c>
    </row>
    <row r="2345" spans="1:23" x14ac:dyDescent="0.5">
      <c r="A2345" s="54">
        <v>2344</v>
      </c>
      <c r="B2345" s="90" t="s">
        <v>656</v>
      </c>
      <c r="C2345" t="s">
        <v>316</v>
      </c>
      <c r="D2345" s="1"/>
      <c r="E2345" s="112">
        <v>2005.07</v>
      </c>
      <c r="F2345" s="112">
        <v>2011.1</v>
      </c>
      <c r="G2345" s="107" t="s">
        <v>670</v>
      </c>
      <c r="H2345">
        <f>INDEX('GIS-Standards'!$A$2:$A$305,MATCH(B2345,'GIS-Standards'!$B$2:$B$305,0))</f>
        <v>105</v>
      </c>
      <c r="I2345">
        <f>INDEX('GIS-Standards'!$A$2:$A$305,MATCH(C2345,'GIS-Standards'!$B$2:$B$305,0))</f>
        <v>27</v>
      </c>
      <c r="J2345" t="str">
        <f>INDEX('GIS-Standards'!$O$2:$O$305,MATCH(B2345,'GIS-Standards'!$B$2:$B$305,0))</f>
        <v>ISO/TC 211</v>
      </c>
      <c r="K2345" t="str">
        <f>INDEX('GIS-Standards'!$O$2:$O$305,MATCH(C2345,'GIS-Standards'!$B$2:$B$305,0))</f>
        <v>ISO/TC 211</v>
      </c>
      <c r="M2345" t="s">
        <v>525</v>
      </c>
      <c r="N2345">
        <f>INDEX('GIS-Standards'!$I$2:$I$305,MATCH(B2345,'GIS-Standards'!$B$2:$B$305,0))</f>
        <v>0</v>
      </c>
      <c r="O2345">
        <f>INDEX('GIS-Standards'!$I$2:$I$305,MATCH(C2345,'GIS-Standards'!$B$2:$B$305,0))</f>
        <v>0</v>
      </c>
      <c r="P2345" t="b">
        <f>AND(TableRelationships12[[#This Row],[Source Type]]="BIM",TableRelationships12[[#This Row],[Target Type]]="BIM")</f>
        <v>0</v>
      </c>
      <c r="Q2345">
        <f t="shared" si="108"/>
        <v>1</v>
      </c>
      <c r="S2345">
        <f t="shared" si="109"/>
        <v>1</v>
      </c>
      <c r="T2345" s="102" t="str">
        <f>IF(TableRelationships12[[#This Row],[Rank Pedro]]="Low","linkCategory1",IF(TableRelationships12[[#This Row],[Rank Pedro]]="Medium","linkCategory2",IF(TableRelationships12[[#This Row],[Rank Pedro]]="High","linkCategory3","")))</f>
        <v/>
      </c>
      <c r="U2345" s="102" t="str">
        <f>IF(TableRelationships12[[#This Row],[Rank Pedro]]="Low","Pink",IF(TableRelationships12[[#This Row],[Rank Pedro]]="Medium","Purple",IF(TableRelationships12[[#This Row],[Rank Pedro]]="High","Brown","")))</f>
        <v/>
      </c>
      <c r="V2345" s="4" t="e">
        <f>MAX(INDEX(Standards!$F$2:$F$296,MATCH(B2345,Standards!$B$2:$B$296,0)),INDEX(Standards!$F$2:$F$296,MATCH(C2345,Standards!$B$2:$B$296,0)))</f>
        <v>#N/A</v>
      </c>
      <c r="W2345" t="str">
        <f t="shared" si="110"/>
        <v>#2f89d1</v>
      </c>
    </row>
    <row r="2346" spans="1:23" x14ac:dyDescent="0.5">
      <c r="A2346" s="54">
        <v>2345</v>
      </c>
      <c r="B2346" s="90" t="s">
        <v>656</v>
      </c>
      <c r="C2346" t="s">
        <v>1041</v>
      </c>
      <c r="D2346" s="1"/>
      <c r="E2346" s="112">
        <v>2009.02</v>
      </c>
      <c r="F2346" s="112">
        <v>2022.03</v>
      </c>
      <c r="G2346" s="107" t="s">
        <v>670</v>
      </c>
      <c r="H2346">
        <f>INDEX('GIS-Standards'!$A$2:$A$305,MATCH(B2346,'GIS-Standards'!$B$2:$B$305,0))</f>
        <v>105</v>
      </c>
      <c r="I2346">
        <f>INDEX('GIS-Standards'!$A$2:$A$305,MATCH(C2346,'GIS-Standards'!$B$2:$B$305,0))</f>
        <v>23</v>
      </c>
      <c r="J2346" t="str">
        <f>INDEX('GIS-Standards'!$O$2:$O$305,MATCH(B2346,'GIS-Standards'!$B$2:$B$305,0))</f>
        <v>ISO/TC 211</v>
      </c>
      <c r="K2346" t="str">
        <f>INDEX('GIS-Standards'!$O$2:$O$305,MATCH(C2346,'GIS-Standards'!$B$2:$B$305,0))</f>
        <v>ISO/TC 211</v>
      </c>
      <c r="M2346" t="s">
        <v>525</v>
      </c>
      <c r="N2346">
        <f>INDEX('GIS-Standards'!$I$2:$I$305,MATCH(B2346,'GIS-Standards'!$B$2:$B$305,0))</f>
        <v>0</v>
      </c>
      <c r="O2346" t="str">
        <f>INDEX('GIS-Standards'!$I$2:$I$305,MATCH(C2346,'GIS-Standards'!$B$2:$B$305,0))</f>
        <v>03.2022</v>
      </c>
      <c r="P2346" t="b">
        <f>AND(TableRelationships12[[#This Row],[Source Type]]="BIM",TableRelationships12[[#This Row],[Target Type]]="BIM")</f>
        <v>0</v>
      </c>
      <c r="Q2346">
        <f t="shared" si="108"/>
        <v>1</v>
      </c>
      <c r="S2346">
        <f t="shared" si="109"/>
        <v>1</v>
      </c>
      <c r="T2346" s="102" t="str">
        <f>IF(TableRelationships12[[#This Row],[Rank Pedro]]="Low","linkCategory1",IF(TableRelationships12[[#This Row],[Rank Pedro]]="Medium","linkCategory2",IF(TableRelationships12[[#This Row],[Rank Pedro]]="High","linkCategory3","")))</f>
        <v/>
      </c>
      <c r="U2346" s="102" t="str">
        <f>IF(TableRelationships12[[#This Row],[Rank Pedro]]="Low","Pink",IF(TableRelationships12[[#This Row],[Rank Pedro]]="Medium","Purple",IF(TableRelationships12[[#This Row],[Rank Pedro]]="High","Brown","")))</f>
        <v/>
      </c>
      <c r="V2346" s="4" t="e">
        <f>MAX(INDEX(Standards!$F$2:$F$296,MATCH(B2346,Standards!$B$2:$B$296,0)),INDEX(Standards!$F$2:$F$296,MATCH(C2346,Standards!$B$2:$B$296,0)))</f>
        <v>#N/A</v>
      </c>
      <c r="W2346" t="str">
        <f t="shared" si="110"/>
        <v>#2f89d1</v>
      </c>
    </row>
    <row r="2347" spans="1:23" x14ac:dyDescent="0.5">
      <c r="A2347" s="54">
        <v>2346</v>
      </c>
      <c r="B2347" s="90" t="s">
        <v>656</v>
      </c>
      <c r="C2347" t="s">
        <v>348</v>
      </c>
      <c r="D2347" s="1" t="s">
        <v>640</v>
      </c>
      <c r="E2347" s="113">
        <v>2013.12</v>
      </c>
      <c r="F2347" s="113">
        <v>2023.04</v>
      </c>
      <c r="G2347" s="107" t="s">
        <v>670</v>
      </c>
      <c r="H2347">
        <f>INDEX('GIS-Standards'!$A$2:$A$305,MATCH(B2347,'GIS-Standards'!$B$2:$B$305,0))</f>
        <v>105</v>
      </c>
      <c r="I2347">
        <f>INDEX('GIS-Standards'!$A$2:$A$305,MATCH(C2347,'GIS-Standards'!$B$2:$B$305,0))</f>
        <v>66</v>
      </c>
      <c r="J2347" t="str">
        <f>INDEX('GIS-Standards'!$O$2:$O$305,MATCH(B2347,'GIS-Standards'!$B$2:$B$305,0))</f>
        <v>ISO/TC 211</v>
      </c>
      <c r="K2347" t="str">
        <f>INDEX('GIS-Standards'!$O$2:$O$305,MATCH(C2347,'GIS-Standards'!$B$2:$B$305,0))</f>
        <v>ISO/TC 211</v>
      </c>
      <c r="M2347" t="s">
        <v>525</v>
      </c>
      <c r="N2347">
        <f>INDEX('GIS-Standards'!$I$2:$I$305,MATCH(B2347,'GIS-Standards'!$B$2:$B$305,0))</f>
        <v>0</v>
      </c>
      <c r="O2347">
        <f>INDEX('GIS-Standards'!$I$2:$I$305,MATCH(C2347,'GIS-Standards'!$B$2:$B$305,0))</f>
        <v>0</v>
      </c>
      <c r="P2347" t="b">
        <f>AND(TableRelationships12[[#This Row],[Source Type]]="BIM",TableRelationships12[[#This Row],[Target Type]]="BIM")</f>
        <v>0</v>
      </c>
      <c r="Q2347">
        <f t="shared" si="108"/>
        <v>1</v>
      </c>
      <c r="S2347">
        <f t="shared" si="109"/>
        <v>1</v>
      </c>
      <c r="T2347" s="102" t="str">
        <f>IF(TableRelationships12[[#This Row],[Rank Pedro]]="Low","linkCategory1",IF(TableRelationships12[[#This Row],[Rank Pedro]]="Medium","linkCategory2",IF(TableRelationships12[[#This Row],[Rank Pedro]]="High","linkCategory3","")))</f>
        <v/>
      </c>
      <c r="U2347" s="102" t="str">
        <f>IF(TableRelationships12[[#This Row],[Rank Pedro]]="Low","Pink",IF(TableRelationships12[[#This Row],[Rank Pedro]]="Medium","Purple",IF(TableRelationships12[[#This Row],[Rank Pedro]]="High","Brown","")))</f>
        <v/>
      </c>
      <c r="V2347" s="4" t="e">
        <f>MAX(INDEX(Standards!$F$2:$F$296,MATCH(B2347,Standards!$B$2:$B$296,0)),INDEX(Standards!$F$2:$F$296,MATCH(C2347,Standards!$B$2:$B$296,0)))</f>
        <v>#N/A</v>
      </c>
      <c r="W2347" t="str">
        <f t="shared" si="110"/>
        <v>#2f89d1</v>
      </c>
    </row>
    <row r="2348" spans="1:23" x14ac:dyDescent="0.5">
      <c r="A2348" s="54">
        <v>2347</v>
      </c>
      <c r="B2348" s="90" t="s">
        <v>656</v>
      </c>
      <c r="C2348" t="s">
        <v>334</v>
      </c>
      <c r="D2348" s="1" t="s">
        <v>1036</v>
      </c>
      <c r="E2348" s="113">
        <v>2007.09</v>
      </c>
      <c r="F2348" s="113">
        <v>2020.01</v>
      </c>
      <c r="G2348" s="107" t="s">
        <v>670</v>
      </c>
      <c r="H2348">
        <f>INDEX('GIS-Standards'!$A$2:$A$305,MATCH(B2348,'GIS-Standards'!$B$2:$B$305,0))</f>
        <v>105</v>
      </c>
      <c r="I2348">
        <f>INDEX('GIS-Standards'!$A$2:$A$305,MATCH(C2348,'GIS-Standards'!$B$2:$B$305,0))</f>
        <v>42</v>
      </c>
      <c r="J2348" t="str">
        <f>INDEX('GIS-Standards'!$O$2:$O$305,MATCH(B2348,'GIS-Standards'!$B$2:$B$305,0))</f>
        <v>ISO/TC 211</v>
      </c>
      <c r="K2348" t="str">
        <f>INDEX('GIS-Standards'!$O$2:$O$305,MATCH(C2348,'GIS-Standards'!$B$2:$B$305,0))</f>
        <v>ISO/TC 211</v>
      </c>
      <c r="M2348" t="s">
        <v>525</v>
      </c>
      <c r="N2348">
        <f>INDEX('GIS-Standards'!$I$2:$I$305,MATCH(B2348,'GIS-Standards'!$B$2:$B$305,0))</f>
        <v>0</v>
      </c>
      <c r="O2348">
        <f>INDEX('GIS-Standards'!$I$2:$I$305,MATCH(C2348,'GIS-Standards'!$B$2:$B$305,0))</f>
        <v>0</v>
      </c>
      <c r="P2348" t="b">
        <f>AND(TableRelationships12[[#This Row],[Source Type]]="BIM",TableRelationships12[[#This Row],[Target Type]]="BIM")</f>
        <v>0</v>
      </c>
      <c r="Q2348">
        <f t="shared" si="108"/>
        <v>1</v>
      </c>
      <c r="S2348">
        <f t="shared" si="109"/>
        <v>1</v>
      </c>
      <c r="T2348" s="102" t="str">
        <f>IF(TableRelationships12[[#This Row],[Rank Pedro]]="Low","linkCategory1",IF(TableRelationships12[[#This Row],[Rank Pedro]]="Medium","linkCategory2",IF(TableRelationships12[[#This Row],[Rank Pedro]]="High","linkCategory3","")))</f>
        <v/>
      </c>
      <c r="U2348" s="102" t="str">
        <f>IF(TableRelationships12[[#This Row],[Rank Pedro]]="Low","Pink",IF(TableRelationships12[[#This Row],[Rank Pedro]]="Medium","Purple",IF(TableRelationships12[[#This Row],[Rank Pedro]]="High","Brown","")))</f>
        <v/>
      </c>
      <c r="V2348" s="4" t="e">
        <f>MAX(INDEX(Standards!$F$2:$F$296,MATCH(B2348,Standards!$B$2:$B$296,0)),INDEX(Standards!$F$2:$F$296,MATCH(C2348,Standards!$B$2:$B$296,0)))</f>
        <v>#N/A</v>
      </c>
      <c r="W2348" t="str">
        <f t="shared" si="110"/>
        <v>#2f89d1</v>
      </c>
    </row>
    <row r="2349" spans="1:23" x14ac:dyDescent="0.5">
      <c r="A2349" s="54">
        <v>2348</v>
      </c>
      <c r="B2349" s="90" t="s">
        <v>656</v>
      </c>
      <c r="C2349" t="s">
        <v>1139</v>
      </c>
      <c r="D2349" s="1"/>
      <c r="E2349" s="112">
        <v>2006.06</v>
      </c>
      <c r="F2349" s="112">
        <v>2025.09</v>
      </c>
      <c r="G2349" s="107" t="s">
        <v>1458</v>
      </c>
      <c r="H2349">
        <f>INDEX('GIS-Standards'!$A$2:$A$305,MATCH(B2349,'GIS-Standards'!$B$2:$B$305,0))</f>
        <v>105</v>
      </c>
      <c r="I2349" t="e">
        <f>INDEX('GIS-Standards'!$A$2:$A$305,MATCH(C2349,'GIS-Standards'!$B$2:$B$305,0))</f>
        <v>#N/A</v>
      </c>
      <c r="J2349" t="str">
        <f>INDEX('GIS-Standards'!$O$2:$O$305,MATCH(B2349,'GIS-Standards'!$B$2:$B$305,0))</f>
        <v>ISO/TC 211</v>
      </c>
      <c r="K2349" t="e">
        <f>INDEX('GIS-Standards'!$O$2:$O$305,MATCH(C2349,'GIS-Standards'!$B$2:$B$305,0))</f>
        <v>#N/A</v>
      </c>
      <c r="M2349" t="s">
        <v>525</v>
      </c>
      <c r="N2349">
        <f>INDEX('GIS-Standards'!$I$2:$I$305,MATCH(B2349,'GIS-Standards'!$B$2:$B$305,0))</f>
        <v>0</v>
      </c>
      <c r="O2349" t="e">
        <f>INDEX('GIS-Standards'!$I$2:$I$305,MATCH(C2349,'GIS-Standards'!$B$2:$B$305,0))</f>
        <v>#N/A</v>
      </c>
      <c r="P2349" t="e">
        <f>AND(TableRelationships12[[#This Row],[Source Type]]="BIM",TableRelationships12[[#This Row],[Target Type]]="BIM")</f>
        <v>#N/A</v>
      </c>
      <c r="Q2349">
        <f t="shared" si="108"/>
        <v>1</v>
      </c>
      <c r="S2349">
        <f t="shared" si="109"/>
        <v>1</v>
      </c>
      <c r="T2349" s="102" t="str">
        <f>IF(TableRelationships12[[#This Row],[Rank Pedro]]="Low","linkCategory1",IF(TableRelationships12[[#This Row],[Rank Pedro]]="Medium","linkCategory2",IF(TableRelationships12[[#This Row],[Rank Pedro]]="High","linkCategory3","")))</f>
        <v/>
      </c>
      <c r="U2349" s="102" t="str">
        <f>IF(TableRelationships12[[#This Row],[Rank Pedro]]="Low","Pink",IF(TableRelationships12[[#This Row],[Rank Pedro]]="Medium","Purple",IF(TableRelationships12[[#This Row],[Rank Pedro]]="High","Brown","")))</f>
        <v/>
      </c>
      <c r="V2349" s="4" t="e">
        <f>MAX(INDEX(Standards!$F$2:$F$296,MATCH(B2349,Standards!$B$2:$B$296,0)),INDEX(Standards!$F$2:$F$296,MATCH(C2349,Standards!$B$2:$B$296,0)))</f>
        <v>#N/A</v>
      </c>
      <c r="W2349" t="str">
        <f t="shared" si="110"/>
        <v>#2f89d1</v>
      </c>
    </row>
    <row r="2350" spans="1:23" x14ac:dyDescent="0.5">
      <c r="A2350" s="54">
        <v>2349</v>
      </c>
      <c r="B2350" s="90" t="s">
        <v>656</v>
      </c>
      <c r="C2350" t="s">
        <v>1042</v>
      </c>
      <c r="D2350" s="1"/>
      <c r="E2350" s="112">
        <v>2016.08</v>
      </c>
      <c r="F2350" s="112">
        <v>2023.08</v>
      </c>
      <c r="G2350" s="107" t="s">
        <v>670</v>
      </c>
      <c r="H2350">
        <f>INDEX('GIS-Standards'!$A$2:$A$305,MATCH(B2350,'GIS-Standards'!$B$2:$B$305,0))</f>
        <v>105</v>
      </c>
      <c r="I2350">
        <f>INDEX('GIS-Standards'!$A$2:$A$305,MATCH(C2350,'GIS-Standards'!$B$2:$B$305,0))</f>
        <v>24</v>
      </c>
      <c r="J2350" t="str">
        <f>INDEX('GIS-Standards'!$O$2:$O$305,MATCH(B2350,'GIS-Standards'!$B$2:$B$305,0))</f>
        <v>ISO/TC 211</v>
      </c>
      <c r="K2350" t="str">
        <f>INDEX('GIS-Standards'!$O$2:$O$305,MATCH(C2350,'GIS-Standards'!$B$2:$B$305,0))</f>
        <v>ISO/TC 211</v>
      </c>
      <c r="M2350" t="s">
        <v>525</v>
      </c>
      <c r="N2350">
        <f>INDEX('GIS-Standards'!$I$2:$I$305,MATCH(B2350,'GIS-Standards'!$B$2:$B$305,0))</f>
        <v>0</v>
      </c>
      <c r="O2350">
        <f>INDEX('GIS-Standards'!$I$2:$I$305,MATCH(C2350,'GIS-Standards'!$B$2:$B$305,0))</f>
        <v>0</v>
      </c>
      <c r="P2350" t="b">
        <f>AND(TableRelationships12[[#This Row],[Source Type]]="BIM",TableRelationships12[[#This Row],[Target Type]]="BIM")</f>
        <v>0</v>
      </c>
      <c r="Q2350">
        <f t="shared" si="108"/>
        <v>1</v>
      </c>
      <c r="S2350">
        <f t="shared" si="109"/>
        <v>1</v>
      </c>
      <c r="T2350" s="102" t="str">
        <f>IF(TableRelationships12[[#This Row],[Rank Pedro]]="Low","linkCategory1",IF(TableRelationships12[[#This Row],[Rank Pedro]]="Medium","linkCategory2",IF(TableRelationships12[[#This Row],[Rank Pedro]]="High","linkCategory3","")))</f>
        <v/>
      </c>
      <c r="U2350" s="102" t="str">
        <f>IF(TableRelationships12[[#This Row],[Rank Pedro]]="Low","Pink",IF(TableRelationships12[[#This Row],[Rank Pedro]]="Medium","Purple",IF(TableRelationships12[[#This Row],[Rank Pedro]]="High","Brown","")))</f>
        <v/>
      </c>
      <c r="V2350" s="4" t="e">
        <f>MAX(INDEX(Standards!$F$2:$F$296,MATCH(B2350,Standards!$B$2:$B$296,0)),INDEX(Standards!$F$2:$F$296,MATCH(C2350,Standards!$B$2:$B$296,0)))</f>
        <v>#N/A</v>
      </c>
      <c r="W2350" t="str">
        <f t="shared" si="110"/>
        <v>#2f89d1</v>
      </c>
    </row>
    <row r="2351" spans="1:23" x14ac:dyDescent="0.5">
      <c r="A2351" s="54">
        <v>2350</v>
      </c>
      <c r="B2351" s="90" t="s">
        <v>656</v>
      </c>
      <c r="C2351" t="s">
        <v>653</v>
      </c>
      <c r="D2351" s="1" t="s">
        <v>1115</v>
      </c>
      <c r="E2351" s="113">
        <v>2007.04</v>
      </c>
      <c r="F2351" s="113">
        <v>2019.03</v>
      </c>
      <c r="G2351" s="107" t="s">
        <v>670</v>
      </c>
      <c r="H2351">
        <f>INDEX('GIS-Standards'!$A$2:$A$305,MATCH(B2351,'GIS-Standards'!$B$2:$B$305,0))</f>
        <v>105</v>
      </c>
      <c r="I2351">
        <f>INDEX('GIS-Standards'!$A$2:$A$305,MATCH(C2351,'GIS-Standards'!$B$2:$B$305,0))</f>
        <v>102</v>
      </c>
      <c r="J2351" t="str">
        <f>INDEX('GIS-Standards'!$O$2:$O$305,MATCH(B2351,'GIS-Standards'!$B$2:$B$305,0))</f>
        <v>ISO/TC 211</v>
      </c>
      <c r="K2351" t="str">
        <f>INDEX('GIS-Standards'!$O$2:$O$305,MATCH(C2351,'GIS-Standards'!$B$2:$B$305,0))</f>
        <v>ISO/TC 211</v>
      </c>
      <c r="M2351" t="s">
        <v>525</v>
      </c>
      <c r="N2351">
        <f>INDEX('GIS-Standards'!$I$2:$I$305,MATCH(B2351,'GIS-Standards'!$B$2:$B$305,0))</f>
        <v>0</v>
      </c>
      <c r="O2351">
        <f>INDEX('GIS-Standards'!$I$2:$I$305,MATCH(C2351,'GIS-Standards'!$B$2:$B$305,0))</f>
        <v>0</v>
      </c>
      <c r="P2351" t="b">
        <f>AND(TableRelationships12[[#This Row],[Source Type]]="BIM",TableRelationships12[[#This Row],[Target Type]]="BIM")</f>
        <v>0</v>
      </c>
      <c r="Q2351">
        <f t="shared" si="108"/>
        <v>1</v>
      </c>
      <c r="S2351">
        <f t="shared" si="109"/>
        <v>1</v>
      </c>
      <c r="T2351" s="102" t="str">
        <f>IF(TableRelationships12[[#This Row],[Rank Pedro]]="Low","linkCategory1",IF(TableRelationships12[[#This Row],[Rank Pedro]]="Medium","linkCategory2",IF(TableRelationships12[[#This Row],[Rank Pedro]]="High","linkCategory3","")))</f>
        <v/>
      </c>
      <c r="U2351" s="102" t="str">
        <f>IF(TableRelationships12[[#This Row],[Rank Pedro]]="Low","Pink",IF(TableRelationships12[[#This Row],[Rank Pedro]]="Medium","Purple",IF(TableRelationships12[[#This Row],[Rank Pedro]]="High","Brown","")))</f>
        <v/>
      </c>
      <c r="V2351" s="4" t="e">
        <f>MAX(INDEX(Standards!$F$2:$F$296,MATCH(B2351,Standards!$B$2:$B$296,0)),INDEX(Standards!$F$2:$F$296,MATCH(C2351,Standards!$B$2:$B$296,0)))</f>
        <v>#N/A</v>
      </c>
      <c r="W2351" t="str">
        <f t="shared" si="110"/>
        <v>#2f89d1</v>
      </c>
    </row>
    <row r="2352" spans="1:23" x14ac:dyDescent="0.5">
      <c r="A2352" s="54">
        <v>2351</v>
      </c>
      <c r="B2352" s="90" t="s">
        <v>656</v>
      </c>
      <c r="C2352" t="s">
        <v>1595</v>
      </c>
      <c r="D2352" s="1"/>
      <c r="G2352" s="107"/>
      <c r="H2352">
        <f>INDEX('GIS-Standards'!$A$2:$A$305,MATCH(B2352,'GIS-Standards'!$B$2:$B$305,0))</f>
        <v>105</v>
      </c>
      <c r="I2352" t="e">
        <f>INDEX('GIS-Standards'!$A$2:$A$305,MATCH(C2352,'GIS-Standards'!$B$2:$B$305,0))</f>
        <v>#N/A</v>
      </c>
      <c r="J2352" t="str">
        <f>INDEX('GIS-Standards'!$O$2:$O$305,MATCH(B2352,'GIS-Standards'!$B$2:$B$305,0))</f>
        <v>ISO/TC 211</v>
      </c>
      <c r="K2352" t="e">
        <f>INDEX('GIS-Standards'!$O$2:$O$305,MATCH(C2352,'GIS-Standards'!$B$2:$B$305,0))</f>
        <v>#N/A</v>
      </c>
      <c r="M2352" t="s">
        <v>525</v>
      </c>
      <c r="N2352">
        <f>INDEX('GIS-Standards'!$I$2:$I$305,MATCH(B2352,'GIS-Standards'!$B$2:$B$305,0))</f>
        <v>0</v>
      </c>
      <c r="O2352" t="e">
        <f>INDEX('GIS-Standards'!$I$2:$I$305,MATCH(C2352,'GIS-Standards'!$B$2:$B$305,0))</f>
        <v>#N/A</v>
      </c>
      <c r="P2352" t="e">
        <f>AND(TableRelationships12[[#This Row],[Source Type]]="BIM",TableRelationships12[[#This Row],[Target Type]]="BIM")</f>
        <v>#N/A</v>
      </c>
      <c r="Q2352">
        <f t="shared" si="108"/>
        <v>1</v>
      </c>
      <c r="S2352">
        <f t="shared" si="109"/>
        <v>1</v>
      </c>
      <c r="T2352" s="102" t="str">
        <f>IF(TableRelationships12[[#This Row],[Rank Pedro]]="Low","linkCategory1",IF(TableRelationships12[[#This Row],[Rank Pedro]]="Medium","linkCategory2",IF(TableRelationships12[[#This Row],[Rank Pedro]]="High","linkCategory3","")))</f>
        <v/>
      </c>
      <c r="U2352" s="102" t="str">
        <f>IF(TableRelationships12[[#This Row],[Rank Pedro]]="Low","Pink",IF(TableRelationships12[[#This Row],[Rank Pedro]]="Medium","Purple",IF(TableRelationships12[[#This Row],[Rank Pedro]]="High","Brown","")))</f>
        <v/>
      </c>
      <c r="V2352" s="4" t="e">
        <f>MAX(INDEX(Standards!$F$2:$F$296,MATCH(B2352,Standards!$B$2:$B$296,0)),INDEX(Standards!$F$2:$F$296,MATCH(C2352,Standards!$B$2:$B$296,0)))</f>
        <v>#N/A</v>
      </c>
      <c r="W2352" t="str">
        <f t="shared" si="110"/>
        <v>#2f89d1</v>
      </c>
    </row>
    <row r="2353" spans="1:23" x14ac:dyDescent="0.5">
      <c r="A2353" s="54">
        <v>2352</v>
      </c>
      <c r="B2353" s="90" t="s">
        <v>656</v>
      </c>
      <c r="C2353" t="s">
        <v>1141</v>
      </c>
      <c r="D2353" s="1"/>
      <c r="G2353" s="107"/>
      <c r="H2353">
        <f>INDEX('GIS-Standards'!$A$2:$A$305,MATCH(B2353,'GIS-Standards'!$B$2:$B$305,0))</f>
        <v>105</v>
      </c>
      <c r="I2353" t="e">
        <f>INDEX('GIS-Standards'!$A$2:$A$305,MATCH(C2353,'GIS-Standards'!$B$2:$B$305,0))</f>
        <v>#N/A</v>
      </c>
      <c r="J2353" t="str">
        <f>INDEX('GIS-Standards'!$O$2:$O$305,MATCH(B2353,'GIS-Standards'!$B$2:$B$305,0))</f>
        <v>ISO/TC 211</v>
      </c>
      <c r="K2353" t="e">
        <f>INDEX('GIS-Standards'!$O$2:$O$305,MATCH(C2353,'GIS-Standards'!$B$2:$B$305,0))</f>
        <v>#N/A</v>
      </c>
      <c r="M2353" t="s">
        <v>525</v>
      </c>
      <c r="N2353">
        <f>INDEX('GIS-Standards'!$I$2:$I$305,MATCH(B2353,'GIS-Standards'!$B$2:$B$305,0))</f>
        <v>0</v>
      </c>
      <c r="O2353" t="e">
        <f>INDEX('GIS-Standards'!$I$2:$I$305,MATCH(C2353,'GIS-Standards'!$B$2:$B$305,0))</f>
        <v>#N/A</v>
      </c>
      <c r="P2353" t="e">
        <f>AND(TableRelationships12[[#This Row],[Source Type]]="BIM",TableRelationships12[[#This Row],[Target Type]]="BIM")</f>
        <v>#N/A</v>
      </c>
      <c r="Q2353">
        <f t="shared" si="108"/>
        <v>1</v>
      </c>
      <c r="S2353">
        <f t="shared" si="109"/>
        <v>1</v>
      </c>
      <c r="T2353" s="102" t="str">
        <f>IF(TableRelationships12[[#This Row],[Rank Pedro]]="Low","linkCategory1",IF(TableRelationships12[[#This Row],[Rank Pedro]]="Medium","linkCategory2",IF(TableRelationships12[[#This Row],[Rank Pedro]]="High","linkCategory3","")))</f>
        <v/>
      </c>
      <c r="U2353" s="102" t="str">
        <f>IF(TableRelationships12[[#This Row],[Rank Pedro]]="Low","Pink",IF(TableRelationships12[[#This Row],[Rank Pedro]]="Medium","Purple",IF(TableRelationships12[[#This Row],[Rank Pedro]]="High","Brown","")))</f>
        <v/>
      </c>
      <c r="V2353" s="4" t="e">
        <f>MAX(INDEX(Standards!$F$2:$F$296,MATCH(B2353,Standards!$B$2:$B$296,0)),INDEX(Standards!$F$2:$F$296,MATCH(C2353,Standards!$B$2:$B$296,0)))</f>
        <v>#N/A</v>
      </c>
      <c r="W2353" t="str">
        <f t="shared" si="110"/>
        <v>#2f89d1</v>
      </c>
    </row>
    <row r="2354" spans="1:23" x14ac:dyDescent="0.5">
      <c r="A2354" s="54">
        <v>2353</v>
      </c>
      <c r="B2354" s="90" t="s">
        <v>656</v>
      </c>
      <c r="C2354" t="s">
        <v>1142</v>
      </c>
      <c r="D2354" s="1"/>
      <c r="G2354" s="107"/>
      <c r="H2354">
        <f>INDEX('GIS-Standards'!$A$2:$A$305,MATCH(B2354,'GIS-Standards'!$B$2:$B$305,0))</f>
        <v>105</v>
      </c>
      <c r="I2354" t="e">
        <f>INDEX('GIS-Standards'!$A$2:$A$305,MATCH(C2354,'GIS-Standards'!$B$2:$B$305,0))</f>
        <v>#N/A</v>
      </c>
      <c r="J2354" t="str">
        <f>INDEX('GIS-Standards'!$O$2:$O$305,MATCH(B2354,'GIS-Standards'!$B$2:$B$305,0))</f>
        <v>ISO/TC 211</v>
      </c>
      <c r="K2354" t="e">
        <f>INDEX('GIS-Standards'!$O$2:$O$305,MATCH(C2354,'GIS-Standards'!$B$2:$B$305,0))</f>
        <v>#N/A</v>
      </c>
      <c r="M2354" t="s">
        <v>525</v>
      </c>
      <c r="N2354">
        <f>INDEX('GIS-Standards'!$I$2:$I$305,MATCH(B2354,'GIS-Standards'!$B$2:$B$305,0))</f>
        <v>0</v>
      </c>
      <c r="O2354" t="e">
        <f>INDEX('GIS-Standards'!$I$2:$I$305,MATCH(C2354,'GIS-Standards'!$B$2:$B$305,0))</f>
        <v>#N/A</v>
      </c>
      <c r="P2354" t="e">
        <f>AND(TableRelationships12[[#This Row],[Source Type]]="BIM",TableRelationships12[[#This Row],[Target Type]]="BIM")</f>
        <v>#N/A</v>
      </c>
      <c r="Q2354">
        <f t="shared" si="108"/>
        <v>1</v>
      </c>
      <c r="S2354">
        <f t="shared" si="109"/>
        <v>1</v>
      </c>
      <c r="T2354" s="102" t="str">
        <f>IF(TableRelationships12[[#This Row],[Rank Pedro]]="Low","linkCategory1",IF(TableRelationships12[[#This Row],[Rank Pedro]]="Medium","linkCategory2",IF(TableRelationships12[[#This Row],[Rank Pedro]]="High","linkCategory3","")))</f>
        <v/>
      </c>
      <c r="U2354" s="102" t="str">
        <f>IF(TableRelationships12[[#This Row],[Rank Pedro]]="Low","Pink",IF(TableRelationships12[[#This Row],[Rank Pedro]]="Medium","Purple",IF(TableRelationships12[[#This Row],[Rank Pedro]]="High","Brown","")))</f>
        <v/>
      </c>
      <c r="V2354" s="4" t="e">
        <f>MAX(INDEX(Standards!$F$2:$F$296,MATCH(B2354,Standards!$B$2:$B$296,0)),INDEX(Standards!$F$2:$F$296,MATCH(C2354,Standards!$B$2:$B$296,0)))</f>
        <v>#N/A</v>
      </c>
      <c r="W2354" t="str">
        <f t="shared" si="110"/>
        <v>#2f89d1</v>
      </c>
    </row>
    <row r="2355" spans="1:23" x14ac:dyDescent="0.5">
      <c r="A2355" s="54">
        <v>2354</v>
      </c>
      <c r="B2355" s="90" t="s">
        <v>657</v>
      </c>
      <c r="C2355" t="s">
        <v>527</v>
      </c>
      <c r="D2355" s="1"/>
      <c r="E2355" s="112" t="s">
        <v>893</v>
      </c>
      <c r="F2355" s="112" t="s">
        <v>893</v>
      </c>
      <c r="G2355" s="121" t="s">
        <v>670</v>
      </c>
      <c r="H2355">
        <f>INDEX('GIS-Standards'!$A$2:$A$305,MATCH(B2355,'GIS-Standards'!$B$2:$B$305,0))</f>
        <v>106</v>
      </c>
      <c r="I2355" t="e">
        <f>INDEX('GIS-Standards'!$A$2:$A$305,MATCH(C2355,'GIS-Standards'!$B$2:$B$305,0))</f>
        <v>#N/A</v>
      </c>
      <c r="J2355" t="str">
        <f>INDEX('GIS-Standards'!$O$2:$O$305,MATCH(B2355,'GIS-Standards'!$B$2:$B$305,0))</f>
        <v>ISO/TC 211</v>
      </c>
      <c r="K2355" t="e">
        <f>INDEX('GIS-Standards'!$O$2:$O$305,MATCH(C2355,'GIS-Standards'!$B$2:$B$305,0))</f>
        <v>#N/A</v>
      </c>
      <c r="M2355" t="s">
        <v>237</v>
      </c>
      <c r="N2355">
        <f>INDEX('GIS-Standards'!$I$2:$I$305,MATCH(B2355,'GIS-Standards'!$B$2:$B$305,0))</f>
        <v>0</v>
      </c>
      <c r="O2355" t="e">
        <f>INDEX('GIS-Standards'!$I$2:$I$305,MATCH(C2355,'GIS-Standards'!$B$2:$B$305,0))</f>
        <v>#N/A</v>
      </c>
      <c r="P2355" t="e">
        <f>AND(TableRelationships12[[#This Row],[Source Type]]="BIM",TableRelationships12[[#This Row],[Target Type]]="BIM")</f>
        <v>#N/A</v>
      </c>
      <c r="Q2355">
        <f t="shared" si="108"/>
        <v>2</v>
      </c>
      <c r="S2355">
        <f t="shared" si="109"/>
        <v>1</v>
      </c>
      <c r="T2355" s="102" t="str">
        <f>IF(TableRelationships12[[#This Row],[Rank Pedro]]="Low","linkCategory1",IF(TableRelationships12[[#This Row],[Rank Pedro]]="Medium","linkCategory2",IF(TableRelationships12[[#This Row],[Rank Pedro]]="High","linkCategory3","")))</f>
        <v/>
      </c>
      <c r="U2355" s="102" t="str">
        <f>IF(TableRelationships12[[#This Row],[Rank Pedro]]="Low","Pink",IF(TableRelationships12[[#This Row],[Rank Pedro]]="Medium","Purple",IF(TableRelationships12[[#This Row],[Rank Pedro]]="High","Brown","")))</f>
        <v/>
      </c>
      <c r="V2355" s="4" t="e">
        <f>MAX(INDEX(Standards!$F$2:$F$296,MATCH(B2355,Standards!$B$2:$B$296,0)),INDEX(Standards!$F$2:$F$296,MATCH(C2355,Standards!$B$2:$B$296,0)))</f>
        <v>#N/A</v>
      </c>
      <c r="W2355">
        <f t="shared" si="110"/>
        <v>1</v>
      </c>
    </row>
    <row r="2356" spans="1:23" x14ac:dyDescent="0.5">
      <c r="A2356" s="54">
        <v>2355</v>
      </c>
      <c r="B2356" s="90" t="s">
        <v>657</v>
      </c>
      <c r="C2356" t="s">
        <v>348</v>
      </c>
      <c r="D2356" s="1" t="s">
        <v>640</v>
      </c>
      <c r="E2356" s="113">
        <v>2013.12</v>
      </c>
      <c r="F2356" s="113">
        <v>2023.04</v>
      </c>
      <c r="G2356" s="107" t="s">
        <v>670</v>
      </c>
      <c r="H2356">
        <f>INDEX('GIS-Standards'!$A$2:$A$305,MATCH(B2356,'GIS-Standards'!$B$2:$B$305,0))</f>
        <v>106</v>
      </c>
      <c r="I2356">
        <f>INDEX('GIS-Standards'!$A$2:$A$305,MATCH(C2356,'GIS-Standards'!$B$2:$B$305,0))</f>
        <v>66</v>
      </c>
      <c r="J2356" t="str">
        <f>INDEX('GIS-Standards'!$O$2:$O$305,MATCH(B2356,'GIS-Standards'!$B$2:$B$305,0))</f>
        <v>ISO/TC 211</v>
      </c>
      <c r="K2356" t="str">
        <f>INDEX('GIS-Standards'!$O$2:$O$305,MATCH(C2356,'GIS-Standards'!$B$2:$B$305,0))</f>
        <v>ISO/TC 211</v>
      </c>
      <c r="M2356" t="s">
        <v>524</v>
      </c>
      <c r="N2356">
        <f>INDEX('GIS-Standards'!$I$2:$I$305,MATCH(B2356,'GIS-Standards'!$B$2:$B$305,0))</f>
        <v>0</v>
      </c>
      <c r="O2356">
        <f>INDEX('GIS-Standards'!$I$2:$I$305,MATCH(C2356,'GIS-Standards'!$B$2:$B$305,0))</f>
        <v>0</v>
      </c>
      <c r="P2356" t="b">
        <f>AND(TableRelationships12[[#This Row],[Source Type]]="BIM",TableRelationships12[[#This Row],[Target Type]]="BIM")</f>
        <v>0</v>
      </c>
      <c r="Q2356">
        <f t="shared" si="108"/>
        <v>6</v>
      </c>
      <c r="S2356">
        <f t="shared" si="109"/>
        <v>1</v>
      </c>
      <c r="T2356" s="102" t="str">
        <f>IF(TableRelationships12[[#This Row],[Rank Pedro]]="Low","linkCategory1",IF(TableRelationships12[[#This Row],[Rank Pedro]]="Medium","linkCategory2",IF(TableRelationships12[[#This Row],[Rank Pedro]]="High","linkCategory3","")))</f>
        <v/>
      </c>
      <c r="U2356" s="102" t="str">
        <f>IF(TableRelationships12[[#This Row],[Rank Pedro]]="Low","Pink",IF(TableRelationships12[[#This Row],[Rank Pedro]]="Medium","Purple",IF(TableRelationships12[[#This Row],[Rank Pedro]]="High","Brown","")))</f>
        <v/>
      </c>
      <c r="V2356" s="4" t="e">
        <f>MAX(INDEX(Standards!$F$2:$F$296,MATCH(B2356,Standards!$B$2:$B$296,0)),INDEX(Standards!$F$2:$F$296,MATCH(C2356,Standards!$B$2:$B$296,0)))</f>
        <v>#N/A</v>
      </c>
      <c r="W2356" t="str">
        <f t="shared" si="110"/>
        <v>#d6bf2a</v>
      </c>
    </row>
    <row r="2357" spans="1:23" x14ac:dyDescent="0.5">
      <c r="A2357" s="54">
        <v>2356</v>
      </c>
      <c r="B2357" s="90" t="s">
        <v>657</v>
      </c>
      <c r="C2357" t="s">
        <v>1144</v>
      </c>
      <c r="D2357" s="1"/>
      <c r="E2357" s="112">
        <v>1967.12</v>
      </c>
      <c r="F2357" s="112">
        <v>2006.09</v>
      </c>
      <c r="G2357" s="107" t="s">
        <v>1483</v>
      </c>
      <c r="H2357">
        <f>INDEX('GIS-Standards'!$A$2:$A$305,MATCH(B2357,'GIS-Standards'!$B$2:$B$305,0))</f>
        <v>106</v>
      </c>
      <c r="I2357" t="e">
        <f>INDEX('GIS-Standards'!$A$2:$A$305,MATCH(C2357,'GIS-Standards'!$B$2:$B$305,0))</f>
        <v>#N/A</v>
      </c>
      <c r="J2357" t="str">
        <f>INDEX('GIS-Standards'!$O$2:$O$305,MATCH(B2357,'GIS-Standards'!$B$2:$B$305,0))</f>
        <v>ISO/TC 211</v>
      </c>
      <c r="K2357" t="e">
        <f>INDEX('GIS-Standards'!$O$2:$O$305,MATCH(C2357,'GIS-Standards'!$B$2:$B$305,0))</f>
        <v>#N/A</v>
      </c>
      <c r="M2357" t="s">
        <v>525</v>
      </c>
      <c r="N2357">
        <f>INDEX('GIS-Standards'!$I$2:$I$305,MATCH(B2357,'GIS-Standards'!$B$2:$B$305,0))</f>
        <v>0</v>
      </c>
      <c r="O2357" t="e">
        <f>INDEX('GIS-Standards'!$I$2:$I$305,MATCH(C2357,'GIS-Standards'!$B$2:$B$305,0))</f>
        <v>#N/A</v>
      </c>
      <c r="P2357" t="e">
        <f>AND(TableRelationships12[[#This Row],[Source Type]]="BIM",TableRelationships12[[#This Row],[Target Type]]="BIM")</f>
        <v>#N/A</v>
      </c>
      <c r="Q2357">
        <f t="shared" si="108"/>
        <v>1</v>
      </c>
      <c r="S2357">
        <f t="shared" si="109"/>
        <v>1</v>
      </c>
      <c r="T2357" s="102" t="str">
        <f>IF(TableRelationships12[[#This Row],[Rank Pedro]]="Low","linkCategory1",IF(TableRelationships12[[#This Row],[Rank Pedro]]="Medium","linkCategory2",IF(TableRelationships12[[#This Row],[Rank Pedro]]="High","linkCategory3","")))</f>
        <v/>
      </c>
      <c r="U2357" s="102" t="str">
        <f>IF(TableRelationships12[[#This Row],[Rank Pedro]]="Low","Pink",IF(TableRelationships12[[#This Row],[Rank Pedro]]="Medium","Purple",IF(TableRelationships12[[#This Row],[Rank Pedro]]="High","Brown","")))</f>
        <v/>
      </c>
      <c r="V2357" s="4" t="e">
        <f>MAX(INDEX(Standards!$F$2:$F$296,MATCH(B2357,Standards!$B$2:$B$296,0)),INDEX(Standards!$F$2:$F$296,MATCH(C2357,Standards!$B$2:$B$296,0)))</f>
        <v>#N/A</v>
      </c>
      <c r="W2357" t="str">
        <f t="shared" si="110"/>
        <v>#2f89d1</v>
      </c>
    </row>
    <row r="2358" spans="1:23" x14ac:dyDescent="0.5">
      <c r="A2358" s="54">
        <v>2357</v>
      </c>
      <c r="B2358" s="90" t="s">
        <v>657</v>
      </c>
      <c r="C2358" t="s">
        <v>1171</v>
      </c>
      <c r="D2358" s="1"/>
      <c r="E2358" s="112">
        <v>1986.06</v>
      </c>
      <c r="F2358" s="112">
        <v>2015.09</v>
      </c>
      <c r="G2358" s="107" t="s">
        <v>1491</v>
      </c>
      <c r="H2358">
        <f>INDEX('GIS-Standards'!$A$2:$A$305,MATCH(B2358,'GIS-Standards'!$B$2:$B$305,0))</f>
        <v>106</v>
      </c>
      <c r="I2358" t="e">
        <f>INDEX('GIS-Standards'!$A$2:$A$305,MATCH(C2358,'GIS-Standards'!$B$2:$B$305,0))</f>
        <v>#N/A</v>
      </c>
      <c r="J2358" t="str">
        <f>INDEX('GIS-Standards'!$O$2:$O$305,MATCH(B2358,'GIS-Standards'!$B$2:$B$305,0))</f>
        <v>ISO/TC 211</v>
      </c>
      <c r="K2358" t="e">
        <f>INDEX('GIS-Standards'!$O$2:$O$305,MATCH(C2358,'GIS-Standards'!$B$2:$B$305,0))</f>
        <v>#N/A</v>
      </c>
      <c r="M2358" t="s">
        <v>525</v>
      </c>
      <c r="N2358">
        <f>INDEX('GIS-Standards'!$I$2:$I$305,MATCH(B2358,'GIS-Standards'!$B$2:$B$305,0))</f>
        <v>0</v>
      </c>
      <c r="O2358" t="e">
        <f>INDEX('GIS-Standards'!$I$2:$I$305,MATCH(C2358,'GIS-Standards'!$B$2:$B$305,0))</f>
        <v>#N/A</v>
      </c>
      <c r="P2358" t="e">
        <f>AND(TableRelationships12[[#This Row],[Source Type]]="BIM",TableRelationships12[[#This Row],[Target Type]]="BIM")</f>
        <v>#N/A</v>
      </c>
      <c r="Q2358">
        <f t="shared" si="108"/>
        <v>1</v>
      </c>
      <c r="S2358">
        <f t="shared" si="109"/>
        <v>1</v>
      </c>
      <c r="T2358" s="102" t="str">
        <f>IF(TableRelationships12[[#This Row],[Rank Pedro]]="Low","linkCategory1",IF(TableRelationships12[[#This Row],[Rank Pedro]]="Medium","linkCategory2",IF(TableRelationships12[[#This Row],[Rank Pedro]]="High","linkCategory3","")))</f>
        <v/>
      </c>
      <c r="U2358" s="102" t="str">
        <f>IF(TableRelationships12[[#This Row],[Rank Pedro]]="Low","Pink",IF(TableRelationships12[[#This Row],[Rank Pedro]]="Medium","Purple",IF(TableRelationships12[[#This Row],[Rank Pedro]]="High","Brown","")))</f>
        <v/>
      </c>
      <c r="V2358" s="4" t="e">
        <f>MAX(INDEX(Standards!$F$2:$F$296,MATCH(B2358,Standards!$B$2:$B$296,0)),INDEX(Standards!$F$2:$F$296,MATCH(C2358,Standards!$B$2:$B$296,0)))</f>
        <v>#N/A</v>
      </c>
      <c r="W2358" t="str">
        <f t="shared" si="110"/>
        <v>#2f89d1</v>
      </c>
    </row>
    <row r="2359" spans="1:23" x14ac:dyDescent="0.5">
      <c r="A2359" s="54">
        <v>2358</v>
      </c>
      <c r="B2359" s="90" t="s">
        <v>657</v>
      </c>
      <c r="C2359" t="s">
        <v>85</v>
      </c>
      <c r="D2359" s="1" t="s">
        <v>1676</v>
      </c>
      <c r="E2359" s="112">
        <v>1987.03</v>
      </c>
      <c r="F2359" s="112">
        <v>2024.02</v>
      </c>
      <c r="G2359" s="107" t="s">
        <v>1492</v>
      </c>
      <c r="H2359">
        <f>INDEX('GIS-Standards'!$A$2:$A$305,MATCH(B2359,'GIS-Standards'!$B$2:$B$305,0))</f>
        <v>106</v>
      </c>
      <c r="I2359" t="e">
        <f>INDEX('GIS-Standards'!$A$2:$A$305,MATCH(C2359,'GIS-Standards'!$B$2:$B$305,0))</f>
        <v>#N/A</v>
      </c>
      <c r="J2359" t="str">
        <f>INDEX('GIS-Standards'!$O$2:$O$305,MATCH(B2359,'GIS-Standards'!$B$2:$B$305,0))</f>
        <v>ISO/TC 211</v>
      </c>
      <c r="K2359" t="e">
        <f>INDEX('GIS-Standards'!$O$2:$O$305,MATCH(C2359,'GIS-Standards'!$B$2:$B$305,0))</f>
        <v>#N/A</v>
      </c>
      <c r="M2359" t="s">
        <v>525</v>
      </c>
      <c r="N2359">
        <f>INDEX('GIS-Standards'!$I$2:$I$305,MATCH(B2359,'GIS-Standards'!$B$2:$B$305,0))</f>
        <v>0</v>
      </c>
      <c r="O2359" t="e">
        <f>INDEX('GIS-Standards'!$I$2:$I$305,MATCH(C2359,'GIS-Standards'!$B$2:$B$305,0))</f>
        <v>#N/A</v>
      </c>
      <c r="P2359" t="e">
        <f>AND(TableRelationships12[[#This Row],[Source Type]]="BIM",TableRelationships12[[#This Row],[Target Type]]="BIM")</f>
        <v>#N/A</v>
      </c>
      <c r="Q2359">
        <f t="shared" si="108"/>
        <v>1</v>
      </c>
      <c r="S2359">
        <f t="shared" si="109"/>
        <v>1</v>
      </c>
      <c r="T2359" s="102" t="str">
        <f>IF(TableRelationships12[[#This Row],[Rank Pedro]]="Low","linkCategory1",IF(TableRelationships12[[#This Row],[Rank Pedro]]="Medium","linkCategory2",IF(TableRelationships12[[#This Row],[Rank Pedro]]="High","linkCategory3","")))</f>
        <v/>
      </c>
      <c r="U2359" s="102" t="str">
        <f>IF(TableRelationships12[[#This Row],[Rank Pedro]]="Low","Pink",IF(TableRelationships12[[#This Row],[Rank Pedro]]="Medium","Purple",IF(TableRelationships12[[#This Row],[Rank Pedro]]="High","Brown","")))</f>
        <v/>
      </c>
      <c r="V2359" s="4" t="e">
        <f>MAX(INDEX(Standards!$F$2:$F$296,MATCH(B2359,Standards!$B$2:$B$296,0)),INDEX(Standards!$F$2:$F$296,MATCH(C2359,Standards!$B$2:$B$296,0)))</f>
        <v>#N/A</v>
      </c>
      <c r="W2359" t="str">
        <f t="shared" si="110"/>
        <v>#2f89d1</v>
      </c>
    </row>
    <row r="2360" spans="1:23" x14ac:dyDescent="0.5">
      <c r="A2360" s="54">
        <v>2359</v>
      </c>
      <c r="B2360" s="90" t="s">
        <v>657</v>
      </c>
      <c r="C2360" t="s">
        <v>104</v>
      </c>
      <c r="D2360" s="1"/>
      <c r="E2360" s="112">
        <v>2002.1</v>
      </c>
      <c r="F2360" s="112">
        <v>2018.07</v>
      </c>
      <c r="G2360" s="107" t="s">
        <v>1463</v>
      </c>
      <c r="H2360">
        <f>INDEX('GIS-Standards'!$A$2:$A$305,MATCH(B2360,'GIS-Standards'!$B$2:$B$305,0))</f>
        <v>106</v>
      </c>
      <c r="I2360" t="e">
        <f>INDEX('GIS-Standards'!$A$2:$A$305,MATCH(C2360,'GIS-Standards'!$B$2:$B$305,0))</f>
        <v>#N/A</v>
      </c>
      <c r="J2360" t="str">
        <f>INDEX('GIS-Standards'!$O$2:$O$305,MATCH(B2360,'GIS-Standards'!$B$2:$B$305,0))</f>
        <v>ISO/TC 211</v>
      </c>
      <c r="K2360" t="e">
        <f>INDEX('GIS-Standards'!$O$2:$O$305,MATCH(C2360,'GIS-Standards'!$B$2:$B$305,0))</f>
        <v>#N/A</v>
      </c>
      <c r="M2360" t="s">
        <v>525</v>
      </c>
      <c r="N2360">
        <f>INDEX('GIS-Standards'!$I$2:$I$305,MATCH(B2360,'GIS-Standards'!$B$2:$B$305,0))</f>
        <v>0</v>
      </c>
      <c r="O2360" t="e">
        <f>INDEX('GIS-Standards'!$I$2:$I$305,MATCH(C2360,'GIS-Standards'!$B$2:$B$305,0))</f>
        <v>#N/A</v>
      </c>
      <c r="P2360" t="e">
        <f>AND(TableRelationships12[[#This Row],[Source Type]]="BIM",TableRelationships12[[#This Row],[Target Type]]="BIM")</f>
        <v>#N/A</v>
      </c>
      <c r="Q2360">
        <f t="shared" si="108"/>
        <v>1</v>
      </c>
      <c r="S2360">
        <f t="shared" si="109"/>
        <v>1</v>
      </c>
      <c r="T2360" s="102" t="str">
        <f>IF(TableRelationships12[[#This Row],[Rank Pedro]]="Low","linkCategory1",IF(TableRelationships12[[#This Row],[Rank Pedro]]="Medium","linkCategory2",IF(TableRelationships12[[#This Row],[Rank Pedro]]="High","linkCategory3","")))</f>
        <v/>
      </c>
      <c r="U2360" s="102" t="str">
        <f>IF(TableRelationships12[[#This Row],[Rank Pedro]]="Low","Pink",IF(TableRelationships12[[#This Row],[Rank Pedro]]="Medium","Purple",IF(TableRelationships12[[#This Row],[Rank Pedro]]="High","Brown","")))</f>
        <v/>
      </c>
      <c r="V2360" s="4" t="e">
        <f>MAX(INDEX(Standards!$F$2:$F$296,MATCH(B2360,Standards!$B$2:$B$296,0)),INDEX(Standards!$F$2:$F$296,MATCH(C2360,Standards!$B$2:$B$296,0)))</f>
        <v>#N/A</v>
      </c>
      <c r="W2360" t="str">
        <f t="shared" si="110"/>
        <v>#2f89d1</v>
      </c>
    </row>
    <row r="2361" spans="1:23" x14ac:dyDescent="0.5">
      <c r="A2361" s="54">
        <v>2360</v>
      </c>
      <c r="B2361" s="90" t="s">
        <v>657</v>
      </c>
      <c r="C2361" t="s">
        <v>328</v>
      </c>
      <c r="D2361" s="1"/>
      <c r="E2361" s="112">
        <v>2007.04</v>
      </c>
      <c r="F2361" s="112">
        <v>2022.11</v>
      </c>
      <c r="G2361" s="107" t="s">
        <v>670</v>
      </c>
      <c r="H2361">
        <f>INDEX('GIS-Standards'!$A$2:$A$305,MATCH(B2361,'GIS-Standards'!$B$2:$B$305,0))</f>
        <v>106</v>
      </c>
      <c r="I2361">
        <f>INDEX('GIS-Standards'!$A$2:$A$305,MATCH(C2361,'GIS-Standards'!$B$2:$B$305,0))</f>
        <v>37</v>
      </c>
      <c r="J2361" t="str">
        <f>INDEX('GIS-Standards'!$O$2:$O$305,MATCH(B2361,'GIS-Standards'!$B$2:$B$305,0))</f>
        <v>ISO/TC 211</v>
      </c>
      <c r="K2361" t="str">
        <f>INDEX('GIS-Standards'!$O$2:$O$305,MATCH(C2361,'GIS-Standards'!$B$2:$B$305,0))</f>
        <v>ISO/TC 211</v>
      </c>
      <c r="M2361" t="s">
        <v>525</v>
      </c>
      <c r="N2361">
        <f>INDEX('GIS-Standards'!$I$2:$I$305,MATCH(B2361,'GIS-Standards'!$B$2:$B$305,0))</f>
        <v>0</v>
      </c>
      <c r="O2361">
        <f>INDEX('GIS-Standards'!$I$2:$I$305,MATCH(C2361,'GIS-Standards'!$B$2:$B$305,0))</f>
        <v>0</v>
      </c>
      <c r="P2361" t="b">
        <f>AND(TableRelationships12[[#This Row],[Source Type]]="BIM",TableRelationships12[[#This Row],[Target Type]]="BIM")</f>
        <v>0</v>
      </c>
      <c r="Q2361">
        <f t="shared" si="108"/>
        <v>1</v>
      </c>
      <c r="S2361">
        <f t="shared" si="109"/>
        <v>1</v>
      </c>
      <c r="T2361" s="102" t="str">
        <f>IF(TableRelationships12[[#This Row],[Rank Pedro]]="Low","linkCategory1",IF(TableRelationships12[[#This Row],[Rank Pedro]]="Medium","linkCategory2",IF(TableRelationships12[[#This Row],[Rank Pedro]]="High","linkCategory3","")))</f>
        <v/>
      </c>
      <c r="U2361" s="102" t="str">
        <f>IF(TableRelationships12[[#This Row],[Rank Pedro]]="Low","Pink",IF(TableRelationships12[[#This Row],[Rank Pedro]]="Medium","Purple",IF(TableRelationships12[[#This Row],[Rank Pedro]]="High","Brown","")))</f>
        <v/>
      </c>
      <c r="V2361" s="4" t="e">
        <f>MAX(INDEX(Standards!$F$2:$F$296,MATCH(B2361,Standards!$B$2:$B$296,0)),INDEX(Standards!$F$2:$F$296,MATCH(C2361,Standards!$B$2:$B$296,0)))</f>
        <v>#N/A</v>
      </c>
      <c r="W2361" t="str">
        <f t="shared" si="110"/>
        <v>#2f89d1</v>
      </c>
    </row>
    <row r="2362" spans="1:23" x14ac:dyDescent="0.5">
      <c r="A2362" s="54">
        <v>2361</v>
      </c>
      <c r="B2362" s="90" t="s">
        <v>658</v>
      </c>
      <c r="C2362" t="s">
        <v>527</v>
      </c>
      <c r="D2362" s="1"/>
      <c r="E2362" s="112" t="s">
        <v>897</v>
      </c>
      <c r="F2362" s="112" t="s">
        <v>897</v>
      </c>
      <c r="G2362" s="121" t="s">
        <v>670</v>
      </c>
      <c r="H2362">
        <f>INDEX('GIS-Standards'!$A$2:$A$305,MATCH(B2362,'GIS-Standards'!$B$2:$B$305,0))</f>
        <v>107</v>
      </c>
      <c r="I2362" t="e">
        <f>INDEX('GIS-Standards'!$A$2:$A$305,MATCH(C2362,'GIS-Standards'!$B$2:$B$305,0))</f>
        <v>#N/A</v>
      </c>
      <c r="J2362" t="str">
        <f>INDEX('GIS-Standards'!$O$2:$O$305,MATCH(B2362,'GIS-Standards'!$B$2:$B$305,0))</f>
        <v>ISO/TC 211</v>
      </c>
      <c r="K2362" t="e">
        <f>INDEX('GIS-Standards'!$O$2:$O$305,MATCH(C2362,'GIS-Standards'!$B$2:$B$305,0))</f>
        <v>#N/A</v>
      </c>
      <c r="M2362" t="s">
        <v>237</v>
      </c>
      <c r="N2362">
        <f>INDEX('GIS-Standards'!$I$2:$I$305,MATCH(B2362,'GIS-Standards'!$B$2:$B$305,0))</f>
        <v>0</v>
      </c>
      <c r="O2362" t="e">
        <f>INDEX('GIS-Standards'!$I$2:$I$305,MATCH(C2362,'GIS-Standards'!$B$2:$B$305,0))</f>
        <v>#N/A</v>
      </c>
      <c r="P2362" t="e">
        <f>AND(TableRelationships12[[#This Row],[Source Type]]="BIM",TableRelationships12[[#This Row],[Target Type]]="BIM")</f>
        <v>#N/A</v>
      </c>
      <c r="Q2362">
        <f t="shared" si="108"/>
        <v>2</v>
      </c>
      <c r="S2362">
        <f t="shared" si="109"/>
        <v>1</v>
      </c>
      <c r="T2362" s="102" t="str">
        <f>IF(TableRelationships12[[#This Row],[Rank Pedro]]="Low","linkCategory1",IF(TableRelationships12[[#This Row],[Rank Pedro]]="Medium","linkCategory2",IF(TableRelationships12[[#This Row],[Rank Pedro]]="High","linkCategory3","")))</f>
        <v/>
      </c>
      <c r="U2362" s="102" t="str">
        <f>IF(TableRelationships12[[#This Row],[Rank Pedro]]="Low","Pink",IF(TableRelationships12[[#This Row],[Rank Pedro]]="Medium","Purple",IF(TableRelationships12[[#This Row],[Rank Pedro]]="High","Brown","")))</f>
        <v/>
      </c>
      <c r="V2362" s="4" t="e">
        <f>MAX(INDEX(Standards!$F$2:$F$296,MATCH(B2362,Standards!$B$2:$B$296,0)),INDEX(Standards!$F$2:$F$296,MATCH(C2362,Standards!$B$2:$B$296,0)))</f>
        <v>#N/A</v>
      </c>
      <c r="W2362">
        <f t="shared" si="110"/>
        <v>1</v>
      </c>
    </row>
    <row r="2363" spans="1:23" x14ac:dyDescent="0.5">
      <c r="A2363" s="54">
        <v>2362</v>
      </c>
      <c r="B2363" s="90" t="s">
        <v>658</v>
      </c>
      <c r="C2363" t="s">
        <v>1041</v>
      </c>
      <c r="D2363" s="1"/>
      <c r="E2363" s="112">
        <v>2009.02</v>
      </c>
      <c r="F2363" s="112">
        <v>2022.03</v>
      </c>
      <c r="G2363" s="107" t="s">
        <v>670</v>
      </c>
      <c r="H2363">
        <f>INDEX('GIS-Standards'!$A$2:$A$305,MATCH(B2363,'GIS-Standards'!$B$2:$B$305,0))</f>
        <v>107</v>
      </c>
      <c r="I2363">
        <f>INDEX('GIS-Standards'!$A$2:$A$305,MATCH(C2363,'GIS-Standards'!$B$2:$B$305,0))</f>
        <v>23</v>
      </c>
      <c r="J2363" t="str">
        <f>INDEX('GIS-Standards'!$O$2:$O$305,MATCH(B2363,'GIS-Standards'!$B$2:$B$305,0))</f>
        <v>ISO/TC 211</v>
      </c>
      <c r="K2363" t="str">
        <f>INDEX('GIS-Standards'!$O$2:$O$305,MATCH(C2363,'GIS-Standards'!$B$2:$B$305,0))</f>
        <v>ISO/TC 211</v>
      </c>
      <c r="M2363" t="s">
        <v>524</v>
      </c>
      <c r="N2363">
        <f>INDEX('GIS-Standards'!$I$2:$I$305,MATCH(B2363,'GIS-Standards'!$B$2:$B$305,0))</f>
        <v>0</v>
      </c>
      <c r="O2363" t="str">
        <f>INDEX('GIS-Standards'!$I$2:$I$305,MATCH(C2363,'GIS-Standards'!$B$2:$B$305,0))</f>
        <v>03.2022</v>
      </c>
      <c r="P2363" t="b">
        <f>AND(TableRelationships12[[#This Row],[Source Type]]="BIM",TableRelationships12[[#This Row],[Target Type]]="BIM")</f>
        <v>0</v>
      </c>
      <c r="Q2363">
        <f t="shared" si="108"/>
        <v>6</v>
      </c>
      <c r="S2363">
        <f t="shared" si="109"/>
        <v>1</v>
      </c>
      <c r="T2363" s="102" t="str">
        <f>IF(TableRelationships12[[#This Row],[Rank Pedro]]="Low","linkCategory1",IF(TableRelationships12[[#This Row],[Rank Pedro]]="Medium","linkCategory2",IF(TableRelationships12[[#This Row],[Rank Pedro]]="High","linkCategory3","")))</f>
        <v/>
      </c>
      <c r="U2363" s="102" t="str">
        <f>IF(TableRelationships12[[#This Row],[Rank Pedro]]="Low","Pink",IF(TableRelationships12[[#This Row],[Rank Pedro]]="Medium","Purple",IF(TableRelationships12[[#This Row],[Rank Pedro]]="High","Brown","")))</f>
        <v/>
      </c>
      <c r="V2363" s="4" t="e">
        <f>MAX(INDEX(Standards!$F$2:$F$296,MATCH(B2363,Standards!$B$2:$B$296,0)),INDEX(Standards!$F$2:$F$296,MATCH(C2363,Standards!$B$2:$B$296,0)))</f>
        <v>#N/A</v>
      </c>
      <c r="W2363" t="str">
        <f t="shared" si="110"/>
        <v>#d6bf2a</v>
      </c>
    </row>
    <row r="2364" spans="1:23" x14ac:dyDescent="0.5">
      <c r="A2364" s="54">
        <v>2363</v>
      </c>
      <c r="B2364" s="90" t="s">
        <v>658</v>
      </c>
      <c r="C2364" t="s">
        <v>633</v>
      </c>
      <c r="D2364" s="1" t="s">
        <v>1136</v>
      </c>
      <c r="E2364" s="112">
        <v>2010.06</v>
      </c>
      <c r="F2364" s="112">
        <v>2018.09</v>
      </c>
      <c r="G2364" s="107" t="s">
        <v>670</v>
      </c>
      <c r="H2364">
        <f>INDEX('GIS-Standards'!$A$2:$A$305,MATCH(B2364,'GIS-Standards'!$B$2:$B$305,0))</f>
        <v>107</v>
      </c>
      <c r="I2364">
        <f>INDEX('GIS-Standards'!$A$2:$A$305,MATCH(C2364,'GIS-Standards'!$B$2:$B$305,0))</f>
        <v>36</v>
      </c>
      <c r="J2364" t="str">
        <f>INDEX('GIS-Standards'!$O$2:$O$305,MATCH(B2364,'GIS-Standards'!$B$2:$B$305,0))</f>
        <v>ISO/TC 211</v>
      </c>
      <c r="K2364" t="str">
        <f>INDEX('GIS-Standards'!$O$2:$O$305,MATCH(C2364,'GIS-Standards'!$B$2:$B$305,0))</f>
        <v>ISO/TC 211</v>
      </c>
      <c r="M2364" t="s">
        <v>524</v>
      </c>
      <c r="N2364">
        <f>INDEX('GIS-Standards'!$I$2:$I$305,MATCH(B2364,'GIS-Standards'!$B$2:$B$305,0))</f>
        <v>0</v>
      </c>
      <c r="O2364">
        <f>INDEX('GIS-Standards'!$I$2:$I$305,MATCH(C2364,'GIS-Standards'!$B$2:$B$305,0))</f>
        <v>0</v>
      </c>
      <c r="P2364" t="b">
        <f>AND(TableRelationships12[[#This Row],[Source Type]]="BIM",TableRelationships12[[#This Row],[Target Type]]="BIM")</f>
        <v>0</v>
      </c>
      <c r="Q2364">
        <f t="shared" si="108"/>
        <v>6</v>
      </c>
      <c r="S2364">
        <f t="shared" si="109"/>
        <v>1</v>
      </c>
      <c r="T2364" s="102" t="str">
        <f>IF(TableRelationships12[[#This Row],[Rank Pedro]]="Low","linkCategory1",IF(TableRelationships12[[#This Row],[Rank Pedro]]="Medium","linkCategory2",IF(TableRelationships12[[#This Row],[Rank Pedro]]="High","linkCategory3","")))</f>
        <v/>
      </c>
      <c r="U2364" s="102" t="str">
        <f>IF(TableRelationships12[[#This Row],[Rank Pedro]]="Low","Pink",IF(TableRelationships12[[#This Row],[Rank Pedro]]="Medium","Purple",IF(TableRelationships12[[#This Row],[Rank Pedro]]="High","Brown","")))</f>
        <v/>
      </c>
      <c r="V2364" s="4" t="e">
        <f>MAX(INDEX(Standards!$F$2:$F$296,MATCH(B2364,Standards!$B$2:$B$296,0)),INDEX(Standards!$F$2:$F$296,MATCH(C2364,Standards!$B$2:$B$296,0)))</f>
        <v>#N/A</v>
      </c>
      <c r="W2364" t="str">
        <f t="shared" si="110"/>
        <v>#d6bf2a</v>
      </c>
    </row>
    <row r="2365" spans="1:23" x14ac:dyDescent="0.5">
      <c r="A2365" s="54">
        <v>2364</v>
      </c>
      <c r="B2365" s="90" t="s">
        <v>658</v>
      </c>
      <c r="C2365" t="s">
        <v>1086</v>
      </c>
      <c r="D2365" s="1"/>
      <c r="E2365" s="113">
        <v>1991.1</v>
      </c>
      <c r="F2365" s="113">
        <v>2004.11</v>
      </c>
      <c r="G2365" s="107" t="s">
        <v>1517</v>
      </c>
      <c r="H2365">
        <f>INDEX('GIS-Standards'!$A$2:$A$305,MATCH(B2365,'GIS-Standards'!$B$2:$B$305,0))</f>
        <v>107</v>
      </c>
      <c r="I2365" t="e">
        <f>INDEX('GIS-Standards'!$A$2:$A$305,MATCH(C2365,'GIS-Standards'!$B$2:$B$305,0))</f>
        <v>#N/A</v>
      </c>
      <c r="J2365" t="str">
        <f>INDEX('GIS-Standards'!$O$2:$O$305,MATCH(B2365,'GIS-Standards'!$B$2:$B$305,0))</f>
        <v>ISO/TC 211</v>
      </c>
      <c r="K2365" t="e">
        <f>INDEX('GIS-Standards'!$O$2:$O$305,MATCH(C2365,'GIS-Standards'!$B$2:$B$305,0))</f>
        <v>#N/A</v>
      </c>
      <c r="M2365" t="s">
        <v>525</v>
      </c>
      <c r="N2365">
        <f>INDEX('GIS-Standards'!$I$2:$I$305,MATCH(B2365,'GIS-Standards'!$B$2:$B$305,0))</f>
        <v>0</v>
      </c>
      <c r="O2365" t="e">
        <f>INDEX('GIS-Standards'!$I$2:$I$305,MATCH(C2365,'GIS-Standards'!$B$2:$B$305,0))</f>
        <v>#N/A</v>
      </c>
      <c r="P2365" t="e">
        <f>AND(TableRelationships12[[#This Row],[Source Type]]="BIM",TableRelationships12[[#This Row],[Target Type]]="BIM")</f>
        <v>#N/A</v>
      </c>
      <c r="Q2365">
        <f t="shared" si="108"/>
        <v>1</v>
      </c>
      <c r="S2365">
        <f t="shared" si="109"/>
        <v>1</v>
      </c>
      <c r="T2365" s="102" t="str">
        <f>IF(TableRelationships12[[#This Row],[Rank Pedro]]="Low","linkCategory1",IF(TableRelationships12[[#This Row],[Rank Pedro]]="Medium","linkCategory2",IF(TableRelationships12[[#This Row],[Rank Pedro]]="High","linkCategory3","")))</f>
        <v/>
      </c>
      <c r="U2365" s="102" t="str">
        <f>IF(TableRelationships12[[#This Row],[Rank Pedro]]="Low","Pink",IF(TableRelationships12[[#This Row],[Rank Pedro]]="Medium","Purple",IF(TableRelationships12[[#This Row],[Rank Pedro]]="High","Brown","")))</f>
        <v/>
      </c>
      <c r="V2365" s="4" t="e">
        <f>MAX(INDEX(Standards!$F$2:$F$296,MATCH(B2365,Standards!$B$2:$B$296,0)),INDEX(Standards!$F$2:$F$296,MATCH(C2365,Standards!$B$2:$B$296,0)))</f>
        <v>#N/A</v>
      </c>
      <c r="W2365" t="str">
        <f t="shared" si="110"/>
        <v>#2f89d1</v>
      </c>
    </row>
    <row r="2366" spans="1:23" x14ac:dyDescent="0.5">
      <c r="A2366" s="54">
        <v>2365</v>
      </c>
      <c r="B2366" s="90" t="s">
        <v>658</v>
      </c>
      <c r="C2366" t="s">
        <v>1496</v>
      </c>
      <c r="D2366" s="1" t="s">
        <v>1436</v>
      </c>
      <c r="E2366" s="113">
        <v>1981.09</v>
      </c>
      <c r="F2366" s="113">
        <v>2024.01</v>
      </c>
      <c r="G2366" s="107" t="s">
        <v>1497</v>
      </c>
      <c r="H2366">
        <f>INDEX('GIS-Standards'!$A$2:$A$305,MATCH(B2366,'GIS-Standards'!$B$2:$B$305,0))</f>
        <v>107</v>
      </c>
      <c r="I2366" t="e">
        <f>INDEX('GIS-Standards'!$A$2:$A$305,MATCH(C2366,'GIS-Standards'!$B$2:$B$305,0))</f>
        <v>#N/A</v>
      </c>
      <c r="J2366" t="str">
        <f>INDEX('GIS-Standards'!$O$2:$O$305,MATCH(B2366,'GIS-Standards'!$B$2:$B$305,0))</f>
        <v>ISO/TC 211</v>
      </c>
      <c r="K2366" t="e">
        <f>INDEX('GIS-Standards'!$O$2:$O$305,MATCH(C2366,'GIS-Standards'!$B$2:$B$305,0))</f>
        <v>#N/A</v>
      </c>
      <c r="M2366" t="s">
        <v>525</v>
      </c>
      <c r="N2366">
        <f>INDEX('GIS-Standards'!$I$2:$I$305,MATCH(B2366,'GIS-Standards'!$B$2:$B$305,0))</f>
        <v>0</v>
      </c>
      <c r="O2366" t="e">
        <f>INDEX('GIS-Standards'!$I$2:$I$305,MATCH(C2366,'GIS-Standards'!$B$2:$B$305,0))</f>
        <v>#N/A</v>
      </c>
      <c r="P2366" t="e">
        <f>AND(TableRelationships12[[#This Row],[Source Type]]="BIM",TableRelationships12[[#This Row],[Target Type]]="BIM")</f>
        <v>#N/A</v>
      </c>
      <c r="Q2366">
        <f t="shared" si="108"/>
        <v>1</v>
      </c>
      <c r="S2366">
        <f t="shared" si="109"/>
        <v>1</v>
      </c>
      <c r="T2366" s="102" t="str">
        <f>IF(TableRelationships12[[#This Row],[Rank Pedro]]="Low","linkCategory1",IF(TableRelationships12[[#This Row],[Rank Pedro]]="Medium","linkCategory2",IF(TableRelationships12[[#This Row],[Rank Pedro]]="High","linkCategory3","")))</f>
        <v/>
      </c>
      <c r="U2366" s="102" t="str">
        <f>IF(TableRelationships12[[#This Row],[Rank Pedro]]="Low","Pink",IF(TableRelationships12[[#This Row],[Rank Pedro]]="Medium","Purple",IF(TableRelationships12[[#This Row],[Rank Pedro]]="High","Brown","")))</f>
        <v/>
      </c>
      <c r="V2366" s="4" t="e">
        <f>MAX(INDEX(Standards!$F$2:$F$296,MATCH(B2366,Standards!$B$2:$B$296,0)),INDEX(Standards!$F$2:$F$296,MATCH(C2366,Standards!$B$2:$B$296,0)))</f>
        <v>#N/A</v>
      </c>
      <c r="W2366" t="str">
        <f t="shared" si="110"/>
        <v>#2f89d1</v>
      </c>
    </row>
    <row r="2367" spans="1:23" x14ac:dyDescent="0.5">
      <c r="A2367" s="54">
        <v>2366</v>
      </c>
      <c r="B2367" s="90" t="s">
        <v>658</v>
      </c>
      <c r="C2367" t="s">
        <v>1143</v>
      </c>
      <c r="D2367" s="1"/>
      <c r="E2367" s="112">
        <v>1993.01</v>
      </c>
      <c r="F2367" s="112">
        <v>2011.11</v>
      </c>
      <c r="G2367" s="107" t="s">
        <v>1519</v>
      </c>
      <c r="H2367">
        <f>INDEX('GIS-Standards'!$A$2:$A$305,MATCH(B2367,'GIS-Standards'!$B$2:$B$305,0))</f>
        <v>107</v>
      </c>
      <c r="I2367" t="e">
        <f>INDEX('GIS-Standards'!$A$2:$A$305,MATCH(C2367,'GIS-Standards'!$B$2:$B$305,0))</f>
        <v>#N/A</v>
      </c>
      <c r="J2367" t="str">
        <f>INDEX('GIS-Standards'!$O$2:$O$305,MATCH(B2367,'GIS-Standards'!$B$2:$B$305,0))</f>
        <v>ISO/TC 211</v>
      </c>
      <c r="K2367" t="e">
        <f>INDEX('GIS-Standards'!$O$2:$O$305,MATCH(C2367,'GIS-Standards'!$B$2:$B$305,0))</f>
        <v>#N/A</v>
      </c>
      <c r="M2367" t="s">
        <v>525</v>
      </c>
      <c r="N2367">
        <f>INDEX('GIS-Standards'!$I$2:$I$305,MATCH(B2367,'GIS-Standards'!$B$2:$B$305,0))</f>
        <v>0</v>
      </c>
      <c r="O2367" t="e">
        <f>INDEX('GIS-Standards'!$I$2:$I$305,MATCH(C2367,'GIS-Standards'!$B$2:$B$305,0))</f>
        <v>#N/A</v>
      </c>
      <c r="P2367" t="e">
        <f>AND(TableRelationships12[[#This Row],[Source Type]]="BIM",TableRelationships12[[#This Row],[Target Type]]="BIM")</f>
        <v>#N/A</v>
      </c>
      <c r="Q2367">
        <f t="shared" si="108"/>
        <v>1</v>
      </c>
      <c r="S2367">
        <f t="shared" si="109"/>
        <v>1</v>
      </c>
      <c r="T2367" s="102" t="str">
        <f>IF(TableRelationships12[[#This Row],[Rank Pedro]]="Low","linkCategory1",IF(TableRelationships12[[#This Row],[Rank Pedro]]="Medium","linkCategory2",IF(TableRelationships12[[#This Row],[Rank Pedro]]="High","linkCategory3","")))</f>
        <v/>
      </c>
      <c r="U2367" s="102" t="str">
        <f>IF(TableRelationships12[[#This Row],[Rank Pedro]]="Low","Pink",IF(TableRelationships12[[#This Row],[Rank Pedro]]="Medium","Purple",IF(TableRelationships12[[#This Row],[Rank Pedro]]="High","Brown","")))</f>
        <v/>
      </c>
      <c r="V2367" s="4" t="e">
        <f>MAX(INDEX(Standards!$F$2:$F$296,MATCH(B2367,Standards!$B$2:$B$296,0)),INDEX(Standards!$F$2:$F$296,MATCH(C2367,Standards!$B$2:$B$296,0)))</f>
        <v>#N/A</v>
      </c>
      <c r="W2367" t="str">
        <f t="shared" si="110"/>
        <v>#2f89d1</v>
      </c>
    </row>
    <row r="2368" spans="1:23" x14ac:dyDescent="0.5">
      <c r="A2368" s="54">
        <v>2367</v>
      </c>
      <c r="B2368" s="90" t="s">
        <v>658</v>
      </c>
      <c r="C2368" t="s">
        <v>1137</v>
      </c>
      <c r="D2368" s="1" t="s">
        <v>1676</v>
      </c>
      <c r="E2368" s="112">
        <v>1993.01</v>
      </c>
      <c r="F2368" s="112">
        <v>2010.09</v>
      </c>
      <c r="G2368" s="107" t="s">
        <v>1520</v>
      </c>
      <c r="H2368">
        <f>INDEX('GIS-Standards'!$A$2:$A$305,MATCH(B2368,'GIS-Standards'!$B$2:$B$305,0))</f>
        <v>107</v>
      </c>
      <c r="I2368" t="e">
        <f>INDEX('GIS-Standards'!$A$2:$A$305,MATCH(C2368,'GIS-Standards'!$B$2:$B$305,0))</f>
        <v>#N/A</v>
      </c>
      <c r="J2368" t="str">
        <f>INDEX('GIS-Standards'!$O$2:$O$305,MATCH(B2368,'GIS-Standards'!$B$2:$B$305,0))</f>
        <v>ISO/TC 211</v>
      </c>
      <c r="K2368" t="e">
        <f>INDEX('GIS-Standards'!$O$2:$O$305,MATCH(C2368,'GIS-Standards'!$B$2:$B$305,0))</f>
        <v>#N/A</v>
      </c>
      <c r="M2368" t="s">
        <v>525</v>
      </c>
      <c r="N2368">
        <f>INDEX('GIS-Standards'!$I$2:$I$305,MATCH(B2368,'GIS-Standards'!$B$2:$B$305,0))</f>
        <v>0</v>
      </c>
      <c r="O2368" t="e">
        <f>INDEX('GIS-Standards'!$I$2:$I$305,MATCH(C2368,'GIS-Standards'!$B$2:$B$305,0))</f>
        <v>#N/A</v>
      </c>
      <c r="P2368" t="e">
        <f>AND(TableRelationships12[[#This Row],[Source Type]]="BIM",TableRelationships12[[#This Row],[Target Type]]="BIM")</f>
        <v>#N/A</v>
      </c>
      <c r="Q2368">
        <f t="shared" si="108"/>
        <v>1</v>
      </c>
      <c r="S2368">
        <f t="shared" si="109"/>
        <v>1</v>
      </c>
      <c r="T2368" s="102" t="str">
        <f>IF(TableRelationships12[[#This Row],[Rank Pedro]]="Low","linkCategory1",IF(TableRelationships12[[#This Row],[Rank Pedro]]="Medium","linkCategory2",IF(TableRelationships12[[#This Row],[Rank Pedro]]="High","linkCategory3","")))</f>
        <v/>
      </c>
      <c r="U2368" s="102" t="str">
        <f>IF(TableRelationships12[[#This Row],[Rank Pedro]]="Low","Pink",IF(TableRelationships12[[#This Row],[Rank Pedro]]="Medium","Purple",IF(TableRelationships12[[#This Row],[Rank Pedro]]="High","Brown","")))</f>
        <v/>
      </c>
      <c r="V2368" s="4" t="e">
        <f>MAX(INDEX(Standards!$F$2:$F$296,MATCH(B2368,Standards!$B$2:$B$296,0)),INDEX(Standards!$F$2:$F$296,MATCH(C2368,Standards!$B$2:$B$296,0)))</f>
        <v>#N/A</v>
      </c>
      <c r="W2368" t="str">
        <f t="shared" si="110"/>
        <v>#2f89d1</v>
      </c>
    </row>
    <row r="2369" spans="1:23" x14ac:dyDescent="0.5">
      <c r="A2369" s="54">
        <v>2368</v>
      </c>
      <c r="B2369" s="90" t="s">
        <v>658</v>
      </c>
      <c r="C2369" t="s">
        <v>1145</v>
      </c>
      <c r="D2369" s="1"/>
      <c r="E2369" s="112">
        <v>1981.04</v>
      </c>
      <c r="F2369" s="112">
        <v>2023.06</v>
      </c>
      <c r="G2369" s="107" t="s">
        <v>1486</v>
      </c>
      <c r="H2369">
        <f>INDEX('GIS-Standards'!$A$2:$A$305,MATCH(B2369,'GIS-Standards'!$B$2:$B$305,0))</f>
        <v>107</v>
      </c>
      <c r="I2369" t="e">
        <f>INDEX('GIS-Standards'!$A$2:$A$305,MATCH(C2369,'GIS-Standards'!$B$2:$B$305,0))</f>
        <v>#N/A</v>
      </c>
      <c r="J2369" t="str">
        <f>INDEX('GIS-Standards'!$O$2:$O$305,MATCH(B2369,'GIS-Standards'!$B$2:$B$305,0))</f>
        <v>ISO/TC 211</v>
      </c>
      <c r="K2369" t="e">
        <f>INDEX('GIS-Standards'!$O$2:$O$305,MATCH(C2369,'GIS-Standards'!$B$2:$B$305,0))</f>
        <v>#N/A</v>
      </c>
      <c r="M2369" t="s">
        <v>525</v>
      </c>
      <c r="N2369">
        <f>INDEX('GIS-Standards'!$I$2:$I$305,MATCH(B2369,'GIS-Standards'!$B$2:$B$305,0))</f>
        <v>0</v>
      </c>
      <c r="O2369" t="e">
        <f>INDEX('GIS-Standards'!$I$2:$I$305,MATCH(C2369,'GIS-Standards'!$B$2:$B$305,0))</f>
        <v>#N/A</v>
      </c>
      <c r="P2369" t="e">
        <f>AND(TableRelationships12[[#This Row],[Source Type]]="BIM",TableRelationships12[[#This Row],[Target Type]]="BIM")</f>
        <v>#N/A</v>
      </c>
      <c r="Q2369">
        <f t="shared" si="108"/>
        <v>1</v>
      </c>
      <c r="S2369">
        <f t="shared" si="109"/>
        <v>1</v>
      </c>
      <c r="T2369" s="102" t="str">
        <f>IF(TableRelationships12[[#This Row],[Rank Pedro]]="Low","linkCategory1",IF(TableRelationships12[[#This Row],[Rank Pedro]]="Medium","linkCategory2",IF(TableRelationships12[[#This Row],[Rank Pedro]]="High","linkCategory3","")))</f>
        <v/>
      </c>
      <c r="U2369" s="102" t="str">
        <f>IF(TableRelationships12[[#This Row],[Rank Pedro]]="Low","Pink",IF(TableRelationships12[[#This Row],[Rank Pedro]]="Medium","Purple",IF(TableRelationships12[[#This Row],[Rank Pedro]]="High","Brown","")))</f>
        <v/>
      </c>
      <c r="V2369" s="4" t="e">
        <f>MAX(INDEX(Standards!$F$2:$F$296,MATCH(B2369,Standards!$B$2:$B$296,0)),INDEX(Standards!$F$2:$F$296,MATCH(C2369,Standards!$B$2:$B$296,0)))</f>
        <v>#N/A</v>
      </c>
      <c r="W2369" t="str">
        <f t="shared" si="110"/>
        <v>#2f89d1</v>
      </c>
    </row>
    <row r="2370" spans="1:23" x14ac:dyDescent="0.5">
      <c r="A2370" s="54">
        <v>2369</v>
      </c>
      <c r="B2370" s="90" t="s">
        <v>658</v>
      </c>
      <c r="C2370" t="s">
        <v>1146</v>
      </c>
      <c r="D2370" s="1"/>
      <c r="E2370" s="112">
        <v>1983.05</v>
      </c>
      <c r="F2370" s="112">
        <v>2022.09</v>
      </c>
      <c r="G2370" s="107" t="s">
        <v>670</v>
      </c>
      <c r="H2370">
        <f>INDEX('GIS-Standards'!$A$2:$A$305,MATCH(B2370,'GIS-Standards'!$B$2:$B$305,0))</f>
        <v>107</v>
      </c>
      <c r="I2370" t="e">
        <f>INDEX('GIS-Standards'!$A$2:$A$305,MATCH(C2370,'GIS-Standards'!$B$2:$B$305,0))</f>
        <v>#N/A</v>
      </c>
      <c r="J2370" t="str">
        <f>INDEX('GIS-Standards'!$O$2:$O$305,MATCH(B2370,'GIS-Standards'!$B$2:$B$305,0))</f>
        <v>ISO/TC 211</v>
      </c>
      <c r="K2370" t="e">
        <f>INDEX('GIS-Standards'!$O$2:$O$305,MATCH(C2370,'GIS-Standards'!$B$2:$B$305,0))</f>
        <v>#N/A</v>
      </c>
      <c r="M2370" t="s">
        <v>525</v>
      </c>
      <c r="N2370">
        <f>INDEX('GIS-Standards'!$I$2:$I$305,MATCH(B2370,'GIS-Standards'!$B$2:$B$305,0))</f>
        <v>0</v>
      </c>
      <c r="O2370" t="e">
        <f>INDEX('GIS-Standards'!$I$2:$I$305,MATCH(C2370,'GIS-Standards'!$B$2:$B$305,0))</f>
        <v>#N/A</v>
      </c>
      <c r="P2370" t="e">
        <f>AND(TableRelationships12[[#This Row],[Source Type]]="BIM",TableRelationships12[[#This Row],[Target Type]]="BIM")</f>
        <v>#N/A</v>
      </c>
      <c r="Q2370">
        <f t="shared" ref="Q2370:Q2433" si="111">IF(M2370="Normative",6,IF(M2370="Secondary",4,IF(M2370="Anchor",2,1)))</f>
        <v>1</v>
      </c>
      <c r="S2370">
        <f t="shared" ref="S2370:S2433" si="112">IF(R2370="High",10,IF(R2370="Medium",6,IF(R2370="Low",2,1)))</f>
        <v>1</v>
      </c>
      <c r="T2370" s="102" t="str">
        <f>IF(TableRelationships12[[#This Row],[Rank Pedro]]="Low","linkCategory1",IF(TableRelationships12[[#This Row],[Rank Pedro]]="Medium","linkCategory2",IF(TableRelationships12[[#This Row],[Rank Pedro]]="High","linkCategory3","")))</f>
        <v/>
      </c>
      <c r="U2370" s="102" t="str">
        <f>IF(TableRelationships12[[#This Row],[Rank Pedro]]="Low","Pink",IF(TableRelationships12[[#This Row],[Rank Pedro]]="Medium","Purple",IF(TableRelationships12[[#This Row],[Rank Pedro]]="High","Brown","")))</f>
        <v/>
      </c>
      <c r="V2370" s="4" t="e">
        <f>MAX(INDEX(Standards!$F$2:$F$296,MATCH(B2370,Standards!$B$2:$B$296,0)),INDEX(Standards!$F$2:$F$296,MATCH(C2370,Standards!$B$2:$B$296,0)))</f>
        <v>#N/A</v>
      </c>
      <c r="W2370" t="str">
        <f t="shared" ref="W2370:W2433" si="113">IF(M2370="Normative", "#d6bf2a", IF(M2370="Informative", "#2f89d1", 1))</f>
        <v>#2f89d1</v>
      </c>
    </row>
    <row r="2371" spans="1:23" x14ac:dyDescent="0.5">
      <c r="A2371" s="54">
        <v>2370</v>
      </c>
      <c r="B2371" s="90" t="s">
        <v>658</v>
      </c>
      <c r="C2371" t="s">
        <v>1171</v>
      </c>
      <c r="D2371" s="1"/>
      <c r="E2371" s="112">
        <v>1986.06</v>
      </c>
      <c r="F2371" s="112">
        <v>2015.09</v>
      </c>
      <c r="G2371" s="107" t="s">
        <v>1491</v>
      </c>
      <c r="H2371">
        <f>INDEX('GIS-Standards'!$A$2:$A$305,MATCH(B2371,'GIS-Standards'!$B$2:$B$305,0))</f>
        <v>107</v>
      </c>
      <c r="I2371" t="e">
        <f>INDEX('GIS-Standards'!$A$2:$A$305,MATCH(C2371,'GIS-Standards'!$B$2:$B$305,0))</f>
        <v>#N/A</v>
      </c>
      <c r="J2371" t="str">
        <f>INDEX('GIS-Standards'!$O$2:$O$305,MATCH(B2371,'GIS-Standards'!$B$2:$B$305,0))</f>
        <v>ISO/TC 211</v>
      </c>
      <c r="K2371" t="e">
        <f>INDEX('GIS-Standards'!$O$2:$O$305,MATCH(C2371,'GIS-Standards'!$B$2:$B$305,0))</f>
        <v>#N/A</v>
      </c>
      <c r="M2371" t="s">
        <v>525</v>
      </c>
      <c r="N2371">
        <f>INDEX('GIS-Standards'!$I$2:$I$305,MATCH(B2371,'GIS-Standards'!$B$2:$B$305,0))</f>
        <v>0</v>
      </c>
      <c r="O2371" t="e">
        <f>INDEX('GIS-Standards'!$I$2:$I$305,MATCH(C2371,'GIS-Standards'!$B$2:$B$305,0))</f>
        <v>#N/A</v>
      </c>
      <c r="P2371" t="e">
        <f>AND(TableRelationships12[[#This Row],[Source Type]]="BIM",TableRelationships12[[#This Row],[Target Type]]="BIM")</f>
        <v>#N/A</v>
      </c>
      <c r="Q2371">
        <f t="shared" si="111"/>
        <v>1</v>
      </c>
      <c r="S2371">
        <f t="shared" si="112"/>
        <v>1</v>
      </c>
      <c r="T2371" s="102" t="str">
        <f>IF(TableRelationships12[[#This Row],[Rank Pedro]]="Low","linkCategory1",IF(TableRelationships12[[#This Row],[Rank Pedro]]="Medium","linkCategory2",IF(TableRelationships12[[#This Row],[Rank Pedro]]="High","linkCategory3","")))</f>
        <v/>
      </c>
      <c r="U2371" s="102" t="str">
        <f>IF(TableRelationships12[[#This Row],[Rank Pedro]]="Low","Pink",IF(TableRelationships12[[#This Row],[Rank Pedro]]="Medium","Purple",IF(TableRelationships12[[#This Row],[Rank Pedro]]="High","Brown","")))</f>
        <v/>
      </c>
      <c r="V2371" s="4" t="e">
        <f>MAX(INDEX(Standards!$F$2:$F$296,MATCH(B2371,Standards!$B$2:$B$296,0)),INDEX(Standards!$F$2:$F$296,MATCH(C2371,Standards!$B$2:$B$296,0)))</f>
        <v>#N/A</v>
      </c>
      <c r="W2371" t="str">
        <f t="shared" si="113"/>
        <v>#2f89d1</v>
      </c>
    </row>
    <row r="2372" spans="1:23" x14ac:dyDescent="0.5">
      <c r="A2372" s="54">
        <v>2371</v>
      </c>
      <c r="B2372" s="90" t="s">
        <v>658</v>
      </c>
      <c r="C2372" t="s">
        <v>1366</v>
      </c>
      <c r="D2372" s="1"/>
      <c r="E2372" s="112">
        <v>2017.01</v>
      </c>
      <c r="F2372" s="112">
        <v>2024.09</v>
      </c>
      <c r="G2372" s="107" t="s">
        <v>1451</v>
      </c>
      <c r="H2372">
        <f>INDEX('GIS-Standards'!$A$2:$A$305,MATCH(B2372,'GIS-Standards'!$B$2:$B$305,0))</f>
        <v>107</v>
      </c>
      <c r="I2372" t="e">
        <f>INDEX('GIS-Standards'!$A$2:$A$305,MATCH(C2372,'GIS-Standards'!$B$2:$B$305,0))</f>
        <v>#N/A</v>
      </c>
      <c r="J2372" t="str">
        <f>INDEX('GIS-Standards'!$O$2:$O$305,MATCH(B2372,'GIS-Standards'!$B$2:$B$305,0))</f>
        <v>ISO/TC 211</v>
      </c>
      <c r="K2372" t="e">
        <f>INDEX('GIS-Standards'!$O$2:$O$305,MATCH(C2372,'GIS-Standards'!$B$2:$B$305,0))</f>
        <v>#N/A</v>
      </c>
      <c r="M2372" t="s">
        <v>525</v>
      </c>
      <c r="N2372">
        <f>INDEX('GIS-Standards'!$I$2:$I$305,MATCH(B2372,'GIS-Standards'!$B$2:$B$305,0))</f>
        <v>0</v>
      </c>
      <c r="O2372" t="e">
        <f>INDEX('GIS-Standards'!$I$2:$I$305,MATCH(C2372,'GIS-Standards'!$B$2:$B$305,0))</f>
        <v>#N/A</v>
      </c>
      <c r="P2372" t="e">
        <f>AND(TableRelationships12[[#This Row],[Source Type]]="BIM",TableRelationships12[[#This Row],[Target Type]]="BIM")</f>
        <v>#N/A</v>
      </c>
      <c r="Q2372">
        <f t="shared" si="111"/>
        <v>1</v>
      </c>
      <c r="S2372">
        <f t="shared" si="112"/>
        <v>1</v>
      </c>
      <c r="T2372" s="102" t="str">
        <f>IF(TableRelationships12[[#This Row],[Rank Pedro]]="Low","linkCategory1",IF(TableRelationships12[[#This Row],[Rank Pedro]]="Medium","linkCategory2",IF(TableRelationships12[[#This Row],[Rank Pedro]]="High","linkCategory3","")))</f>
        <v/>
      </c>
      <c r="U2372" s="102" t="str">
        <f>IF(TableRelationships12[[#This Row],[Rank Pedro]]="Low","Pink",IF(TableRelationships12[[#This Row],[Rank Pedro]]="Medium","Purple",IF(TableRelationships12[[#This Row],[Rank Pedro]]="High","Brown","")))</f>
        <v/>
      </c>
      <c r="V2372" s="4" t="e">
        <f>MAX(INDEX(Standards!$F$2:$F$296,MATCH(B2372,Standards!$B$2:$B$296,0)),INDEX(Standards!$F$2:$F$296,MATCH(C2372,Standards!$B$2:$B$296,0)))</f>
        <v>#N/A</v>
      </c>
      <c r="W2372" t="str">
        <f t="shared" si="113"/>
        <v>#2f89d1</v>
      </c>
    </row>
    <row r="2373" spans="1:23" x14ac:dyDescent="0.5">
      <c r="A2373" s="54">
        <v>2372</v>
      </c>
      <c r="B2373" s="90" t="s">
        <v>658</v>
      </c>
      <c r="C2373" t="s">
        <v>1367</v>
      </c>
      <c r="D2373" s="1"/>
      <c r="E2373" s="112">
        <v>2008.08</v>
      </c>
      <c r="F2373" s="112">
        <v>2019.07</v>
      </c>
      <c r="G2373" s="107" t="s">
        <v>1454</v>
      </c>
      <c r="H2373">
        <f>INDEX('GIS-Standards'!$A$2:$A$305,MATCH(B2373,'GIS-Standards'!$B$2:$B$305,0))</f>
        <v>107</v>
      </c>
      <c r="I2373" t="e">
        <f>INDEX('GIS-Standards'!$A$2:$A$305,MATCH(C2373,'GIS-Standards'!$B$2:$B$305,0))</f>
        <v>#N/A</v>
      </c>
      <c r="J2373" t="str">
        <f>INDEX('GIS-Standards'!$O$2:$O$305,MATCH(B2373,'GIS-Standards'!$B$2:$B$305,0))</f>
        <v>ISO/TC 211</v>
      </c>
      <c r="K2373" t="e">
        <f>INDEX('GIS-Standards'!$O$2:$O$305,MATCH(C2373,'GIS-Standards'!$B$2:$B$305,0))</f>
        <v>#N/A</v>
      </c>
      <c r="M2373" t="s">
        <v>525</v>
      </c>
      <c r="N2373">
        <f>INDEX('GIS-Standards'!$I$2:$I$305,MATCH(B2373,'GIS-Standards'!$B$2:$B$305,0))</f>
        <v>0</v>
      </c>
      <c r="O2373" t="e">
        <f>INDEX('GIS-Standards'!$I$2:$I$305,MATCH(C2373,'GIS-Standards'!$B$2:$B$305,0))</f>
        <v>#N/A</v>
      </c>
      <c r="P2373" t="e">
        <f>AND(TableRelationships12[[#This Row],[Source Type]]="BIM",TableRelationships12[[#This Row],[Target Type]]="BIM")</f>
        <v>#N/A</v>
      </c>
      <c r="Q2373">
        <f t="shared" si="111"/>
        <v>1</v>
      </c>
      <c r="S2373">
        <f t="shared" si="112"/>
        <v>1</v>
      </c>
      <c r="T2373" s="102" t="str">
        <f>IF(TableRelationships12[[#This Row],[Rank Pedro]]="Low","linkCategory1",IF(TableRelationships12[[#This Row],[Rank Pedro]]="Medium","linkCategory2",IF(TableRelationships12[[#This Row],[Rank Pedro]]="High","linkCategory3","")))</f>
        <v/>
      </c>
      <c r="U2373" s="102" t="str">
        <f>IF(TableRelationships12[[#This Row],[Rank Pedro]]="Low","Pink",IF(TableRelationships12[[#This Row],[Rank Pedro]]="Medium","Purple",IF(TableRelationships12[[#This Row],[Rank Pedro]]="High","Brown","")))</f>
        <v/>
      </c>
      <c r="V2373" s="4" t="e">
        <f>MAX(INDEX(Standards!$F$2:$F$296,MATCH(B2373,Standards!$B$2:$B$296,0)),INDEX(Standards!$F$2:$F$296,MATCH(C2373,Standards!$B$2:$B$296,0)))</f>
        <v>#N/A</v>
      </c>
      <c r="W2373" t="str">
        <f t="shared" si="113"/>
        <v>#2f89d1</v>
      </c>
    </row>
    <row r="2374" spans="1:23" x14ac:dyDescent="0.5">
      <c r="A2374" s="54">
        <v>2373</v>
      </c>
      <c r="B2374" s="90" t="s">
        <v>658</v>
      </c>
      <c r="C2374" t="s">
        <v>631</v>
      </c>
      <c r="D2374" s="1" t="s">
        <v>1135</v>
      </c>
      <c r="E2374" s="112">
        <v>2008.06</v>
      </c>
      <c r="F2374" s="112">
        <v>2018.05</v>
      </c>
      <c r="G2374" s="107" t="s">
        <v>670</v>
      </c>
      <c r="H2374">
        <f>INDEX('GIS-Standards'!$A$2:$A$305,MATCH(B2374,'GIS-Standards'!$B$2:$B$305,0))</f>
        <v>107</v>
      </c>
      <c r="I2374">
        <f>INDEX('GIS-Standards'!$A$2:$A$305,MATCH(C2374,'GIS-Standards'!$B$2:$B$305,0))</f>
        <v>11</v>
      </c>
      <c r="J2374" t="str">
        <f>INDEX('GIS-Standards'!$O$2:$O$305,MATCH(B2374,'GIS-Standards'!$B$2:$B$305,0))</f>
        <v>ISO/TC 211</v>
      </c>
      <c r="K2374" t="str">
        <f>INDEX('GIS-Standards'!$O$2:$O$305,MATCH(C2374,'GIS-Standards'!$B$2:$B$305,0))</f>
        <v>ISO/TC 211</v>
      </c>
      <c r="M2374" t="s">
        <v>525</v>
      </c>
      <c r="N2374">
        <f>INDEX('GIS-Standards'!$I$2:$I$305,MATCH(B2374,'GIS-Standards'!$B$2:$B$305,0))</f>
        <v>0</v>
      </c>
      <c r="O2374">
        <f>INDEX('GIS-Standards'!$I$2:$I$305,MATCH(C2374,'GIS-Standards'!$B$2:$B$305,0))</f>
        <v>0</v>
      </c>
      <c r="P2374" t="b">
        <f>AND(TableRelationships12[[#This Row],[Source Type]]="BIM",TableRelationships12[[#This Row],[Target Type]]="BIM")</f>
        <v>0</v>
      </c>
      <c r="Q2374">
        <f t="shared" si="111"/>
        <v>1</v>
      </c>
      <c r="S2374">
        <f t="shared" si="112"/>
        <v>1</v>
      </c>
      <c r="T2374" s="102" t="str">
        <f>IF(TableRelationships12[[#This Row],[Rank Pedro]]="Low","linkCategory1",IF(TableRelationships12[[#This Row],[Rank Pedro]]="Medium","linkCategory2",IF(TableRelationships12[[#This Row],[Rank Pedro]]="High","linkCategory3","")))</f>
        <v/>
      </c>
      <c r="U2374" s="102" t="str">
        <f>IF(TableRelationships12[[#This Row],[Rank Pedro]]="Low","Pink",IF(TableRelationships12[[#This Row],[Rank Pedro]]="Medium","Purple",IF(TableRelationships12[[#This Row],[Rank Pedro]]="High","Brown","")))</f>
        <v/>
      </c>
      <c r="V2374" s="4" t="e">
        <f>MAX(INDEX(Standards!$F$2:$F$296,MATCH(B2374,Standards!$B$2:$B$296,0)),INDEX(Standards!$F$2:$F$296,MATCH(C2374,Standards!$B$2:$B$296,0)))</f>
        <v>#N/A</v>
      </c>
      <c r="W2374" t="str">
        <f t="shared" si="113"/>
        <v>#2f89d1</v>
      </c>
    </row>
    <row r="2375" spans="1:23" x14ac:dyDescent="0.5">
      <c r="A2375" s="54">
        <v>2374</v>
      </c>
      <c r="B2375" s="90" t="s">
        <v>658</v>
      </c>
      <c r="C2375" t="s">
        <v>314</v>
      </c>
      <c r="D2375" s="1"/>
      <c r="E2375" s="112">
        <v>2003.05</v>
      </c>
      <c r="F2375" s="112">
        <v>2020.11</v>
      </c>
      <c r="G2375" s="107" t="s">
        <v>670</v>
      </c>
      <c r="H2375">
        <f>INDEX('GIS-Standards'!$A$2:$A$305,MATCH(B2375,'GIS-Standards'!$B$2:$B$305,0))</f>
        <v>107</v>
      </c>
      <c r="I2375">
        <f>INDEX('GIS-Standards'!$A$2:$A$305,MATCH(C2375,'GIS-Standards'!$B$2:$B$305,0))</f>
        <v>22</v>
      </c>
      <c r="J2375" t="str">
        <f>INDEX('GIS-Standards'!$O$2:$O$305,MATCH(B2375,'GIS-Standards'!$B$2:$B$305,0))</f>
        <v>ISO/TC 211</v>
      </c>
      <c r="K2375" t="str">
        <f>INDEX('GIS-Standards'!$O$2:$O$305,MATCH(C2375,'GIS-Standards'!$B$2:$B$305,0))</f>
        <v>ISO/TC 211</v>
      </c>
      <c r="M2375" t="s">
        <v>525</v>
      </c>
      <c r="N2375">
        <f>INDEX('GIS-Standards'!$I$2:$I$305,MATCH(B2375,'GIS-Standards'!$B$2:$B$305,0))</f>
        <v>0</v>
      </c>
      <c r="O2375" t="str">
        <f>INDEX('GIS-Standards'!$I$2:$I$305,MATCH(C2375,'GIS-Standards'!$B$2:$B$305,0))</f>
        <v>12.2020</v>
      </c>
      <c r="P2375" t="b">
        <f>AND(TableRelationships12[[#This Row],[Source Type]]="BIM",TableRelationships12[[#This Row],[Target Type]]="BIM")</f>
        <v>0</v>
      </c>
      <c r="Q2375">
        <f t="shared" si="111"/>
        <v>1</v>
      </c>
      <c r="S2375">
        <f t="shared" si="112"/>
        <v>1</v>
      </c>
      <c r="T2375" s="102" t="str">
        <f>IF(TableRelationships12[[#This Row],[Rank Pedro]]="Low","linkCategory1",IF(TableRelationships12[[#This Row],[Rank Pedro]]="Medium","linkCategory2",IF(TableRelationships12[[#This Row],[Rank Pedro]]="High","linkCategory3","")))</f>
        <v/>
      </c>
      <c r="U2375" s="102" t="str">
        <f>IF(TableRelationships12[[#This Row],[Rank Pedro]]="Low","Pink",IF(TableRelationships12[[#This Row],[Rank Pedro]]="Medium","Purple",IF(TableRelationships12[[#This Row],[Rank Pedro]]="High","Brown","")))</f>
        <v/>
      </c>
      <c r="V2375" s="4" t="e">
        <f>MAX(INDEX(Standards!$F$2:$F$296,MATCH(B2375,Standards!$B$2:$B$296,0)),INDEX(Standards!$F$2:$F$296,MATCH(C2375,Standards!$B$2:$B$296,0)))</f>
        <v>#N/A</v>
      </c>
      <c r="W2375" t="str">
        <f t="shared" si="113"/>
        <v>#2f89d1</v>
      </c>
    </row>
    <row r="2376" spans="1:23" x14ac:dyDescent="0.5">
      <c r="A2376" s="54">
        <v>2375</v>
      </c>
      <c r="B2376" s="90" t="s">
        <v>658</v>
      </c>
      <c r="C2376" t="s">
        <v>1043</v>
      </c>
      <c r="D2376" s="1"/>
      <c r="E2376" s="112">
        <v>2004.07</v>
      </c>
      <c r="F2376" s="112">
        <v>2025.04</v>
      </c>
      <c r="G2376" s="107" t="s">
        <v>670</v>
      </c>
      <c r="H2376">
        <f>INDEX('GIS-Standards'!$A$2:$A$305,MATCH(B2376,'GIS-Standards'!$B$2:$B$305,0))</f>
        <v>107</v>
      </c>
      <c r="I2376">
        <f>INDEX('GIS-Standards'!$A$2:$A$305,MATCH(C2376,'GIS-Standards'!$B$2:$B$305,0))</f>
        <v>25</v>
      </c>
      <c r="J2376" t="str">
        <f>INDEX('GIS-Standards'!$O$2:$O$305,MATCH(B2376,'GIS-Standards'!$B$2:$B$305,0))</f>
        <v>ISO/TC 211</v>
      </c>
      <c r="K2376" t="str">
        <f>INDEX('GIS-Standards'!$O$2:$O$305,MATCH(C2376,'GIS-Standards'!$B$2:$B$305,0))</f>
        <v>ISO/TC 211</v>
      </c>
      <c r="M2376" t="s">
        <v>525</v>
      </c>
      <c r="N2376">
        <f>INDEX('GIS-Standards'!$I$2:$I$305,MATCH(B2376,'GIS-Standards'!$B$2:$B$305,0))</f>
        <v>0</v>
      </c>
      <c r="O2376">
        <f>INDEX('GIS-Standards'!$I$2:$I$305,MATCH(C2376,'GIS-Standards'!$B$2:$B$305,0))</f>
        <v>0</v>
      </c>
      <c r="P2376" t="b">
        <f>AND(TableRelationships12[[#This Row],[Source Type]]="BIM",TableRelationships12[[#This Row],[Target Type]]="BIM")</f>
        <v>0</v>
      </c>
      <c r="Q2376">
        <f t="shared" si="111"/>
        <v>1</v>
      </c>
      <c r="S2376">
        <f t="shared" si="112"/>
        <v>1</v>
      </c>
      <c r="T2376" s="102" t="str">
        <f>IF(TableRelationships12[[#This Row],[Rank Pedro]]="Low","linkCategory1",IF(TableRelationships12[[#This Row],[Rank Pedro]]="Medium","linkCategory2",IF(TableRelationships12[[#This Row],[Rank Pedro]]="High","linkCategory3","")))</f>
        <v/>
      </c>
      <c r="U2376" s="102" t="str">
        <f>IF(TableRelationships12[[#This Row],[Rank Pedro]]="Low","Pink",IF(TableRelationships12[[#This Row],[Rank Pedro]]="Medium","Purple",IF(TableRelationships12[[#This Row],[Rank Pedro]]="High","Brown","")))</f>
        <v/>
      </c>
      <c r="V2376" s="4" t="e">
        <f>MAX(INDEX(Standards!$F$2:$F$296,MATCH(B2376,Standards!$B$2:$B$296,0)),INDEX(Standards!$F$2:$F$296,MATCH(C2376,Standards!$B$2:$B$296,0)))</f>
        <v>#N/A</v>
      </c>
      <c r="W2376" t="str">
        <f t="shared" si="113"/>
        <v>#2f89d1</v>
      </c>
    </row>
    <row r="2377" spans="1:23" x14ac:dyDescent="0.5">
      <c r="A2377" s="54">
        <v>2376</v>
      </c>
      <c r="B2377" s="90" t="s">
        <v>658</v>
      </c>
      <c r="C2377" t="s">
        <v>651</v>
      </c>
      <c r="D2377" s="1" t="s">
        <v>1676</v>
      </c>
      <c r="E2377" s="112">
        <v>2014.01</v>
      </c>
      <c r="F2377" s="112">
        <v>2014.01</v>
      </c>
      <c r="G2377" s="107" t="s">
        <v>670</v>
      </c>
      <c r="H2377">
        <f>INDEX('GIS-Standards'!$A$2:$A$305,MATCH(B2377,'GIS-Standards'!$B$2:$B$305,0))</f>
        <v>107</v>
      </c>
      <c r="I2377">
        <f>INDEX('GIS-Standards'!$A$2:$A$305,MATCH(C2377,'GIS-Standards'!$B$2:$B$305,0))</f>
        <v>100</v>
      </c>
      <c r="J2377" t="str">
        <f>INDEX('GIS-Standards'!$O$2:$O$305,MATCH(B2377,'GIS-Standards'!$B$2:$B$305,0))</f>
        <v>ISO/TC 211</v>
      </c>
      <c r="K2377" t="str">
        <f>INDEX('GIS-Standards'!$O$2:$O$305,MATCH(C2377,'GIS-Standards'!$B$2:$B$305,0))</f>
        <v>ISO/TC 211</v>
      </c>
      <c r="M2377" t="s">
        <v>525</v>
      </c>
      <c r="N2377">
        <f>INDEX('GIS-Standards'!$I$2:$I$305,MATCH(B2377,'GIS-Standards'!$B$2:$B$305,0))</f>
        <v>0</v>
      </c>
      <c r="O2377">
        <f>INDEX('GIS-Standards'!$I$2:$I$305,MATCH(C2377,'GIS-Standards'!$B$2:$B$305,0))</f>
        <v>0</v>
      </c>
      <c r="P2377" t="b">
        <f>AND(TableRelationships12[[#This Row],[Source Type]]="BIM",TableRelationships12[[#This Row],[Target Type]]="BIM")</f>
        <v>0</v>
      </c>
      <c r="Q2377">
        <f t="shared" si="111"/>
        <v>1</v>
      </c>
      <c r="S2377">
        <f t="shared" si="112"/>
        <v>1</v>
      </c>
      <c r="T2377" s="102" t="str">
        <f>IF(TableRelationships12[[#This Row],[Rank Pedro]]="Low","linkCategory1",IF(TableRelationships12[[#This Row],[Rank Pedro]]="Medium","linkCategory2",IF(TableRelationships12[[#This Row],[Rank Pedro]]="High","linkCategory3","")))</f>
        <v/>
      </c>
      <c r="U2377" s="102" t="str">
        <f>IF(TableRelationships12[[#This Row],[Rank Pedro]]="Low","Pink",IF(TableRelationships12[[#This Row],[Rank Pedro]]="Medium","Purple",IF(TableRelationships12[[#This Row],[Rank Pedro]]="High","Brown","")))</f>
        <v/>
      </c>
      <c r="V2377" s="4" t="e">
        <f>MAX(INDEX(Standards!$F$2:$F$296,MATCH(B2377,Standards!$B$2:$B$296,0)),INDEX(Standards!$F$2:$F$296,MATCH(C2377,Standards!$B$2:$B$296,0)))</f>
        <v>#N/A</v>
      </c>
      <c r="W2377" t="str">
        <f t="shared" si="113"/>
        <v>#2f89d1</v>
      </c>
    </row>
    <row r="2378" spans="1:23" x14ac:dyDescent="0.5">
      <c r="A2378" s="54">
        <v>2377</v>
      </c>
      <c r="B2378" s="90" t="s">
        <v>658</v>
      </c>
      <c r="C2378" t="s">
        <v>348</v>
      </c>
      <c r="D2378" s="1" t="s">
        <v>640</v>
      </c>
      <c r="E2378" s="113">
        <v>2013.12</v>
      </c>
      <c r="F2378" s="113">
        <v>2023.04</v>
      </c>
      <c r="G2378" s="107" t="s">
        <v>670</v>
      </c>
      <c r="H2378">
        <f>INDEX('GIS-Standards'!$A$2:$A$305,MATCH(B2378,'GIS-Standards'!$B$2:$B$305,0))</f>
        <v>107</v>
      </c>
      <c r="I2378">
        <f>INDEX('GIS-Standards'!$A$2:$A$305,MATCH(C2378,'GIS-Standards'!$B$2:$B$305,0))</f>
        <v>66</v>
      </c>
      <c r="J2378" t="str">
        <f>INDEX('GIS-Standards'!$O$2:$O$305,MATCH(B2378,'GIS-Standards'!$B$2:$B$305,0))</f>
        <v>ISO/TC 211</v>
      </c>
      <c r="K2378" t="str">
        <f>INDEX('GIS-Standards'!$O$2:$O$305,MATCH(C2378,'GIS-Standards'!$B$2:$B$305,0))</f>
        <v>ISO/TC 211</v>
      </c>
      <c r="M2378" t="s">
        <v>525</v>
      </c>
      <c r="N2378">
        <f>INDEX('GIS-Standards'!$I$2:$I$305,MATCH(B2378,'GIS-Standards'!$B$2:$B$305,0))</f>
        <v>0</v>
      </c>
      <c r="O2378">
        <f>INDEX('GIS-Standards'!$I$2:$I$305,MATCH(C2378,'GIS-Standards'!$B$2:$B$305,0))</f>
        <v>0</v>
      </c>
      <c r="P2378" t="b">
        <f>AND(TableRelationships12[[#This Row],[Source Type]]="BIM",TableRelationships12[[#This Row],[Target Type]]="BIM")</f>
        <v>0</v>
      </c>
      <c r="Q2378">
        <f t="shared" si="111"/>
        <v>1</v>
      </c>
      <c r="S2378">
        <f t="shared" si="112"/>
        <v>1</v>
      </c>
      <c r="T2378" s="102" t="str">
        <f>IF(TableRelationships12[[#This Row],[Rank Pedro]]="Low","linkCategory1",IF(TableRelationships12[[#This Row],[Rank Pedro]]="Medium","linkCategory2",IF(TableRelationships12[[#This Row],[Rank Pedro]]="High","linkCategory3","")))</f>
        <v/>
      </c>
      <c r="U2378" s="102" t="str">
        <f>IF(TableRelationships12[[#This Row],[Rank Pedro]]="Low","Pink",IF(TableRelationships12[[#This Row],[Rank Pedro]]="Medium","Purple",IF(TableRelationships12[[#This Row],[Rank Pedro]]="High","Brown","")))</f>
        <v/>
      </c>
      <c r="V2378" s="4" t="e">
        <f>MAX(INDEX(Standards!$F$2:$F$296,MATCH(B2378,Standards!$B$2:$B$296,0)),INDEX(Standards!$F$2:$F$296,MATCH(C2378,Standards!$B$2:$B$296,0)))</f>
        <v>#N/A</v>
      </c>
      <c r="W2378" t="str">
        <f t="shared" si="113"/>
        <v>#2f89d1</v>
      </c>
    </row>
    <row r="2379" spans="1:23" x14ac:dyDescent="0.5">
      <c r="A2379" s="54">
        <v>2378</v>
      </c>
      <c r="B2379" s="90" t="s">
        <v>658</v>
      </c>
      <c r="C2379" t="s">
        <v>1368</v>
      </c>
      <c r="D2379" s="1"/>
      <c r="E2379" s="112">
        <v>2004.03</v>
      </c>
      <c r="F2379" s="112">
        <v>2004.03</v>
      </c>
      <c r="G2379" s="107" t="s">
        <v>1672</v>
      </c>
      <c r="H2379">
        <f>INDEX('GIS-Standards'!$A$2:$A$305,MATCH(B2379,'GIS-Standards'!$B$2:$B$305,0))</f>
        <v>107</v>
      </c>
      <c r="I2379" t="e">
        <f>INDEX('GIS-Standards'!$A$2:$A$305,MATCH(C2379,'GIS-Standards'!$B$2:$B$305,0))</f>
        <v>#N/A</v>
      </c>
      <c r="J2379" t="str">
        <f>INDEX('GIS-Standards'!$O$2:$O$305,MATCH(B2379,'GIS-Standards'!$B$2:$B$305,0))</f>
        <v>ISO/TC 211</v>
      </c>
      <c r="K2379" t="e">
        <f>INDEX('GIS-Standards'!$O$2:$O$305,MATCH(C2379,'GIS-Standards'!$B$2:$B$305,0))</f>
        <v>#N/A</v>
      </c>
      <c r="M2379" t="s">
        <v>525</v>
      </c>
      <c r="N2379">
        <f>INDEX('GIS-Standards'!$I$2:$I$305,MATCH(B2379,'GIS-Standards'!$B$2:$B$305,0))</f>
        <v>0</v>
      </c>
      <c r="O2379" t="e">
        <f>INDEX('GIS-Standards'!$I$2:$I$305,MATCH(C2379,'GIS-Standards'!$B$2:$B$305,0))</f>
        <v>#N/A</v>
      </c>
      <c r="P2379" t="e">
        <f>AND(TableRelationships12[[#This Row],[Source Type]]="BIM",TableRelationships12[[#This Row],[Target Type]]="BIM")</f>
        <v>#N/A</v>
      </c>
      <c r="Q2379">
        <f t="shared" si="111"/>
        <v>1</v>
      </c>
      <c r="S2379">
        <f t="shared" si="112"/>
        <v>1</v>
      </c>
      <c r="T2379" s="102" t="str">
        <f>IF(TableRelationships12[[#This Row],[Rank Pedro]]="Low","linkCategory1",IF(TableRelationships12[[#This Row],[Rank Pedro]]="Medium","linkCategory2",IF(TableRelationships12[[#This Row],[Rank Pedro]]="High","linkCategory3","")))</f>
        <v/>
      </c>
      <c r="U2379" s="102" t="str">
        <f>IF(TableRelationships12[[#This Row],[Rank Pedro]]="Low","Pink",IF(TableRelationships12[[#This Row],[Rank Pedro]]="Medium","Purple",IF(TableRelationships12[[#This Row],[Rank Pedro]]="High","Brown","")))</f>
        <v/>
      </c>
      <c r="V2379" s="4" t="e">
        <f>MAX(INDEX(Standards!$F$2:$F$296,MATCH(B2379,Standards!$B$2:$B$296,0)),INDEX(Standards!$F$2:$F$296,MATCH(C2379,Standards!$B$2:$B$296,0)))</f>
        <v>#N/A</v>
      </c>
      <c r="W2379" t="str">
        <f t="shared" si="113"/>
        <v>#2f89d1</v>
      </c>
    </row>
    <row r="2380" spans="1:23" x14ac:dyDescent="0.5">
      <c r="A2380" s="54">
        <v>2379</v>
      </c>
      <c r="B2380" s="90" t="s">
        <v>659</v>
      </c>
      <c r="C2380" t="s">
        <v>527</v>
      </c>
      <c r="D2380" s="1"/>
      <c r="E2380" s="112" t="s">
        <v>901</v>
      </c>
      <c r="F2380" s="112" t="s">
        <v>901</v>
      </c>
      <c r="G2380" s="121" t="s">
        <v>670</v>
      </c>
      <c r="H2380">
        <f>INDEX('GIS-Standards'!$A$2:$A$305,MATCH(B2380,'GIS-Standards'!$B$2:$B$305,0))</f>
        <v>108</v>
      </c>
      <c r="I2380" t="e">
        <f>INDEX('GIS-Standards'!$A$2:$A$305,MATCH(C2380,'GIS-Standards'!$B$2:$B$305,0))</f>
        <v>#N/A</v>
      </c>
      <c r="J2380" t="str">
        <f>INDEX('GIS-Standards'!$O$2:$O$305,MATCH(B2380,'GIS-Standards'!$B$2:$B$305,0))</f>
        <v>ISO/TC 211</v>
      </c>
      <c r="K2380" t="e">
        <f>INDEX('GIS-Standards'!$O$2:$O$305,MATCH(C2380,'GIS-Standards'!$B$2:$B$305,0))</f>
        <v>#N/A</v>
      </c>
      <c r="M2380" t="s">
        <v>237</v>
      </c>
      <c r="N2380">
        <f>INDEX('GIS-Standards'!$I$2:$I$305,MATCH(B2380,'GIS-Standards'!$B$2:$B$305,0))</f>
        <v>0</v>
      </c>
      <c r="O2380" t="e">
        <f>INDEX('GIS-Standards'!$I$2:$I$305,MATCH(C2380,'GIS-Standards'!$B$2:$B$305,0))</f>
        <v>#N/A</v>
      </c>
      <c r="P2380" t="e">
        <f>AND(TableRelationships12[[#This Row],[Source Type]]="BIM",TableRelationships12[[#This Row],[Target Type]]="BIM")</f>
        <v>#N/A</v>
      </c>
      <c r="Q2380">
        <f t="shared" si="111"/>
        <v>2</v>
      </c>
      <c r="S2380">
        <f t="shared" si="112"/>
        <v>1</v>
      </c>
      <c r="T2380" s="102" t="str">
        <f>IF(TableRelationships12[[#This Row],[Rank Pedro]]="Low","linkCategory1",IF(TableRelationships12[[#This Row],[Rank Pedro]]="Medium","linkCategory2",IF(TableRelationships12[[#This Row],[Rank Pedro]]="High","linkCategory3","")))</f>
        <v/>
      </c>
      <c r="U2380" s="102" t="str">
        <f>IF(TableRelationships12[[#This Row],[Rank Pedro]]="Low","Pink",IF(TableRelationships12[[#This Row],[Rank Pedro]]="Medium","Purple",IF(TableRelationships12[[#This Row],[Rank Pedro]]="High","Brown","")))</f>
        <v/>
      </c>
      <c r="V2380" s="4" t="e">
        <f>MAX(INDEX(Standards!$F$2:$F$296,MATCH(B2380,Standards!$B$2:$B$296,0)),INDEX(Standards!$F$2:$F$296,MATCH(C2380,Standards!$B$2:$B$296,0)))</f>
        <v>#N/A</v>
      </c>
      <c r="W2380">
        <f t="shared" si="113"/>
        <v>1</v>
      </c>
    </row>
    <row r="2381" spans="1:23" x14ac:dyDescent="0.5">
      <c r="A2381" s="54">
        <v>2380</v>
      </c>
      <c r="B2381" s="90" t="s">
        <v>659</v>
      </c>
      <c r="C2381" t="s">
        <v>633</v>
      </c>
      <c r="D2381" s="1" t="s">
        <v>1136</v>
      </c>
      <c r="E2381" s="112">
        <v>2010.06</v>
      </c>
      <c r="F2381" s="112">
        <v>2018.09</v>
      </c>
      <c r="G2381" s="107" t="s">
        <v>670</v>
      </c>
      <c r="H2381">
        <f>INDEX('GIS-Standards'!$A$2:$A$305,MATCH(B2381,'GIS-Standards'!$B$2:$B$305,0))</f>
        <v>108</v>
      </c>
      <c r="I2381">
        <f>INDEX('GIS-Standards'!$A$2:$A$305,MATCH(C2381,'GIS-Standards'!$B$2:$B$305,0))</f>
        <v>36</v>
      </c>
      <c r="J2381" t="str">
        <f>INDEX('GIS-Standards'!$O$2:$O$305,MATCH(B2381,'GIS-Standards'!$B$2:$B$305,0))</f>
        <v>ISO/TC 211</v>
      </c>
      <c r="K2381" t="str">
        <f>INDEX('GIS-Standards'!$O$2:$O$305,MATCH(C2381,'GIS-Standards'!$B$2:$B$305,0))</f>
        <v>ISO/TC 211</v>
      </c>
      <c r="M2381" t="s">
        <v>524</v>
      </c>
      <c r="N2381">
        <f>INDEX('GIS-Standards'!$I$2:$I$305,MATCH(B2381,'GIS-Standards'!$B$2:$B$305,0))</f>
        <v>0</v>
      </c>
      <c r="O2381">
        <f>INDEX('GIS-Standards'!$I$2:$I$305,MATCH(C2381,'GIS-Standards'!$B$2:$B$305,0))</f>
        <v>0</v>
      </c>
      <c r="P2381" t="b">
        <f>AND(TableRelationships12[[#This Row],[Source Type]]="BIM",TableRelationships12[[#This Row],[Target Type]]="BIM")</f>
        <v>0</v>
      </c>
      <c r="Q2381">
        <f t="shared" si="111"/>
        <v>6</v>
      </c>
      <c r="S2381">
        <f t="shared" si="112"/>
        <v>1</v>
      </c>
      <c r="T2381" s="102" t="str">
        <f>IF(TableRelationships12[[#This Row],[Rank Pedro]]="Low","linkCategory1",IF(TableRelationships12[[#This Row],[Rank Pedro]]="Medium","linkCategory2",IF(TableRelationships12[[#This Row],[Rank Pedro]]="High","linkCategory3","")))</f>
        <v/>
      </c>
      <c r="U2381" s="102" t="str">
        <f>IF(TableRelationships12[[#This Row],[Rank Pedro]]="Low","Pink",IF(TableRelationships12[[#This Row],[Rank Pedro]]="Medium","Purple",IF(TableRelationships12[[#This Row],[Rank Pedro]]="High","Brown","")))</f>
        <v/>
      </c>
      <c r="V2381" s="4" t="e">
        <f>MAX(INDEX(Standards!$F$2:$F$296,MATCH(B2381,Standards!$B$2:$B$296,0)),INDEX(Standards!$F$2:$F$296,MATCH(C2381,Standards!$B$2:$B$296,0)))</f>
        <v>#N/A</v>
      </c>
      <c r="W2381" t="str">
        <f t="shared" si="113"/>
        <v>#d6bf2a</v>
      </c>
    </row>
    <row r="2382" spans="1:23" x14ac:dyDescent="0.5">
      <c r="A2382" s="54">
        <v>2381</v>
      </c>
      <c r="B2382" s="90" t="s">
        <v>659</v>
      </c>
      <c r="C2382" t="s">
        <v>348</v>
      </c>
      <c r="D2382" s="1" t="s">
        <v>640</v>
      </c>
      <c r="E2382" s="113">
        <v>2013.12</v>
      </c>
      <c r="F2382" s="113">
        <v>2023.04</v>
      </c>
      <c r="G2382" s="107" t="s">
        <v>670</v>
      </c>
      <c r="H2382">
        <f>INDEX('GIS-Standards'!$A$2:$A$305,MATCH(B2382,'GIS-Standards'!$B$2:$B$305,0))</f>
        <v>108</v>
      </c>
      <c r="I2382">
        <f>INDEX('GIS-Standards'!$A$2:$A$305,MATCH(C2382,'GIS-Standards'!$B$2:$B$305,0))</f>
        <v>66</v>
      </c>
      <c r="J2382" t="str">
        <f>INDEX('GIS-Standards'!$O$2:$O$305,MATCH(B2382,'GIS-Standards'!$B$2:$B$305,0))</f>
        <v>ISO/TC 211</v>
      </c>
      <c r="K2382" t="str">
        <f>INDEX('GIS-Standards'!$O$2:$O$305,MATCH(C2382,'GIS-Standards'!$B$2:$B$305,0))</f>
        <v>ISO/TC 211</v>
      </c>
      <c r="M2382" t="s">
        <v>524</v>
      </c>
      <c r="N2382">
        <f>INDEX('GIS-Standards'!$I$2:$I$305,MATCH(B2382,'GIS-Standards'!$B$2:$B$305,0))</f>
        <v>0</v>
      </c>
      <c r="O2382">
        <f>INDEX('GIS-Standards'!$I$2:$I$305,MATCH(C2382,'GIS-Standards'!$B$2:$B$305,0))</f>
        <v>0</v>
      </c>
      <c r="P2382" t="b">
        <f>AND(TableRelationships12[[#This Row],[Source Type]]="BIM",TableRelationships12[[#This Row],[Target Type]]="BIM")</f>
        <v>0</v>
      </c>
      <c r="Q2382">
        <f t="shared" si="111"/>
        <v>6</v>
      </c>
      <c r="S2382">
        <f t="shared" si="112"/>
        <v>1</v>
      </c>
      <c r="T2382" s="102" t="str">
        <f>IF(TableRelationships12[[#This Row],[Rank Pedro]]="Low","linkCategory1",IF(TableRelationships12[[#This Row],[Rank Pedro]]="Medium","linkCategory2",IF(TableRelationships12[[#This Row],[Rank Pedro]]="High","linkCategory3","")))</f>
        <v/>
      </c>
      <c r="U2382" s="102" t="str">
        <f>IF(TableRelationships12[[#This Row],[Rank Pedro]]="Low","Pink",IF(TableRelationships12[[#This Row],[Rank Pedro]]="Medium","Purple",IF(TableRelationships12[[#This Row],[Rank Pedro]]="High","Brown","")))</f>
        <v/>
      </c>
      <c r="V2382" s="4" t="e">
        <f>MAX(INDEX(Standards!$F$2:$F$296,MATCH(B2382,Standards!$B$2:$B$296,0)),INDEX(Standards!$F$2:$F$296,MATCH(C2382,Standards!$B$2:$B$296,0)))</f>
        <v>#N/A</v>
      </c>
      <c r="W2382" t="str">
        <f t="shared" si="113"/>
        <v>#d6bf2a</v>
      </c>
    </row>
    <row r="2383" spans="1:23" x14ac:dyDescent="0.5">
      <c r="A2383" s="54">
        <v>2382</v>
      </c>
      <c r="B2383" s="90" t="s">
        <v>659</v>
      </c>
      <c r="C2383" t="s">
        <v>1041</v>
      </c>
      <c r="D2383" s="1"/>
      <c r="E2383" s="112">
        <v>2009.02</v>
      </c>
      <c r="F2383" s="112">
        <v>2022.03</v>
      </c>
      <c r="G2383" s="107" t="s">
        <v>670</v>
      </c>
      <c r="H2383">
        <f>INDEX('GIS-Standards'!$A$2:$A$305,MATCH(B2383,'GIS-Standards'!$B$2:$B$305,0))</f>
        <v>108</v>
      </c>
      <c r="I2383">
        <f>INDEX('GIS-Standards'!$A$2:$A$305,MATCH(C2383,'GIS-Standards'!$B$2:$B$305,0))</f>
        <v>23</v>
      </c>
      <c r="J2383" t="str">
        <f>INDEX('GIS-Standards'!$O$2:$O$305,MATCH(B2383,'GIS-Standards'!$B$2:$B$305,0))</f>
        <v>ISO/TC 211</v>
      </c>
      <c r="K2383" t="str">
        <f>INDEX('GIS-Standards'!$O$2:$O$305,MATCH(C2383,'GIS-Standards'!$B$2:$B$305,0))</f>
        <v>ISO/TC 211</v>
      </c>
      <c r="M2383" t="s">
        <v>525</v>
      </c>
      <c r="N2383">
        <f>INDEX('GIS-Standards'!$I$2:$I$305,MATCH(B2383,'GIS-Standards'!$B$2:$B$305,0))</f>
        <v>0</v>
      </c>
      <c r="O2383" t="str">
        <f>INDEX('GIS-Standards'!$I$2:$I$305,MATCH(C2383,'GIS-Standards'!$B$2:$B$305,0))</f>
        <v>03.2022</v>
      </c>
      <c r="P2383" t="b">
        <f>AND(TableRelationships12[[#This Row],[Source Type]]="BIM",TableRelationships12[[#This Row],[Target Type]]="BIM")</f>
        <v>0</v>
      </c>
      <c r="Q2383">
        <f t="shared" si="111"/>
        <v>1</v>
      </c>
      <c r="S2383">
        <f t="shared" si="112"/>
        <v>1</v>
      </c>
      <c r="T2383" s="102" t="str">
        <f>IF(TableRelationships12[[#This Row],[Rank Pedro]]="Low","linkCategory1",IF(TableRelationships12[[#This Row],[Rank Pedro]]="Medium","linkCategory2",IF(TableRelationships12[[#This Row],[Rank Pedro]]="High","linkCategory3","")))</f>
        <v/>
      </c>
      <c r="U2383" s="102" t="str">
        <f>IF(TableRelationships12[[#This Row],[Rank Pedro]]="Low","Pink",IF(TableRelationships12[[#This Row],[Rank Pedro]]="Medium","Purple",IF(TableRelationships12[[#This Row],[Rank Pedro]]="High","Brown","")))</f>
        <v/>
      </c>
      <c r="V2383" s="4" t="e">
        <f>MAX(INDEX(Standards!$F$2:$F$296,MATCH(B2383,Standards!$B$2:$B$296,0)),INDEX(Standards!$F$2:$F$296,MATCH(C2383,Standards!$B$2:$B$296,0)))</f>
        <v>#N/A</v>
      </c>
      <c r="W2383" t="str">
        <f t="shared" si="113"/>
        <v>#2f89d1</v>
      </c>
    </row>
    <row r="2384" spans="1:23" x14ac:dyDescent="0.5">
      <c r="A2384" s="54">
        <v>2383</v>
      </c>
      <c r="B2384" s="90" t="s">
        <v>659</v>
      </c>
      <c r="C2384" t="s">
        <v>631</v>
      </c>
      <c r="D2384" s="1" t="s">
        <v>1135</v>
      </c>
      <c r="E2384" s="112">
        <v>2008.06</v>
      </c>
      <c r="F2384" s="112">
        <v>2018.05</v>
      </c>
      <c r="G2384" s="107" t="s">
        <v>670</v>
      </c>
      <c r="H2384">
        <f>INDEX('GIS-Standards'!$A$2:$A$305,MATCH(B2384,'GIS-Standards'!$B$2:$B$305,0))</f>
        <v>108</v>
      </c>
      <c r="I2384">
        <f>INDEX('GIS-Standards'!$A$2:$A$305,MATCH(C2384,'GIS-Standards'!$B$2:$B$305,0))</f>
        <v>11</v>
      </c>
      <c r="J2384" t="str">
        <f>INDEX('GIS-Standards'!$O$2:$O$305,MATCH(B2384,'GIS-Standards'!$B$2:$B$305,0))</f>
        <v>ISO/TC 211</v>
      </c>
      <c r="K2384" t="str">
        <f>INDEX('GIS-Standards'!$O$2:$O$305,MATCH(C2384,'GIS-Standards'!$B$2:$B$305,0))</f>
        <v>ISO/TC 211</v>
      </c>
      <c r="M2384" t="s">
        <v>525</v>
      </c>
      <c r="N2384">
        <f>INDEX('GIS-Standards'!$I$2:$I$305,MATCH(B2384,'GIS-Standards'!$B$2:$B$305,0))</f>
        <v>0</v>
      </c>
      <c r="O2384">
        <f>INDEX('GIS-Standards'!$I$2:$I$305,MATCH(C2384,'GIS-Standards'!$B$2:$B$305,0))</f>
        <v>0</v>
      </c>
      <c r="P2384" t="b">
        <f>AND(TableRelationships12[[#This Row],[Source Type]]="BIM",TableRelationships12[[#This Row],[Target Type]]="BIM")</f>
        <v>0</v>
      </c>
      <c r="Q2384">
        <f t="shared" si="111"/>
        <v>1</v>
      </c>
      <c r="S2384">
        <f t="shared" si="112"/>
        <v>1</v>
      </c>
      <c r="T2384" s="102" t="str">
        <f>IF(TableRelationships12[[#This Row],[Rank Pedro]]="Low","linkCategory1",IF(TableRelationships12[[#This Row],[Rank Pedro]]="Medium","linkCategory2",IF(TableRelationships12[[#This Row],[Rank Pedro]]="High","linkCategory3","")))</f>
        <v/>
      </c>
      <c r="U2384" s="102" t="str">
        <f>IF(TableRelationships12[[#This Row],[Rank Pedro]]="Low","Pink",IF(TableRelationships12[[#This Row],[Rank Pedro]]="Medium","Purple",IF(TableRelationships12[[#This Row],[Rank Pedro]]="High","Brown","")))</f>
        <v/>
      </c>
      <c r="V2384" s="4" t="e">
        <f>MAX(INDEX(Standards!$F$2:$F$296,MATCH(B2384,Standards!$B$2:$B$296,0)),INDEX(Standards!$F$2:$F$296,MATCH(C2384,Standards!$B$2:$B$296,0)))</f>
        <v>#N/A</v>
      </c>
      <c r="W2384" t="str">
        <f t="shared" si="113"/>
        <v>#2f89d1</v>
      </c>
    </row>
    <row r="2385" spans="1:23" x14ac:dyDescent="0.5">
      <c r="A2385" s="54">
        <v>2384</v>
      </c>
      <c r="B2385" s="90" t="s">
        <v>659</v>
      </c>
      <c r="C2385" t="s">
        <v>651</v>
      </c>
      <c r="D2385" s="1" t="s">
        <v>1676</v>
      </c>
      <c r="E2385" s="112">
        <v>2014.01</v>
      </c>
      <c r="F2385" s="112">
        <v>2014.01</v>
      </c>
      <c r="G2385" s="107" t="s">
        <v>670</v>
      </c>
      <c r="H2385">
        <f>INDEX('GIS-Standards'!$A$2:$A$305,MATCH(B2385,'GIS-Standards'!$B$2:$B$305,0))</f>
        <v>108</v>
      </c>
      <c r="I2385">
        <f>INDEX('GIS-Standards'!$A$2:$A$305,MATCH(C2385,'GIS-Standards'!$B$2:$B$305,0))</f>
        <v>100</v>
      </c>
      <c r="J2385" t="str">
        <f>INDEX('GIS-Standards'!$O$2:$O$305,MATCH(B2385,'GIS-Standards'!$B$2:$B$305,0))</f>
        <v>ISO/TC 211</v>
      </c>
      <c r="K2385" t="str">
        <f>INDEX('GIS-Standards'!$O$2:$O$305,MATCH(C2385,'GIS-Standards'!$B$2:$B$305,0))</f>
        <v>ISO/TC 211</v>
      </c>
      <c r="M2385" t="s">
        <v>525</v>
      </c>
      <c r="N2385">
        <f>INDEX('GIS-Standards'!$I$2:$I$305,MATCH(B2385,'GIS-Standards'!$B$2:$B$305,0))</f>
        <v>0</v>
      </c>
      <c r="O2385">
        <f>INDEX('GIS-Standards'!$I$2:$I$305,MATCH(C2385,'GIS-Standards'!$B$2:$B$305,0))</f>
        <v>0</v>
      </c>
      <c r="P2385" t="b">
        <f>AND(TableRelationships12[[#This Row],[Source Type]]="BIM",TableRelationships12[[#This Row],[Target Type]]="BIM")</f>
        <v>0</v>
      </c>
      <c r="Q2385">
        <f t="shared" si="111"/>
        <v>1</v>
      </c>
      <c r="S2385">
        <f t="shared" si="112"/>
        <v>1</v>
      </c>
      <c r="T2385" s="102" t="str">
        <f>IF(TableRelationships12[[#This Row],[Rank Pedro]]="Low","linkCategory1",IF(TableRelationships12[[#This Row],[Rank Pedro]]="Medium","linkCategory2",IF(TableRelationships12[[#This Row],[Rank Pedro]]="High","linkCategory3","")))</f>
        <v/>
      </c>
      <c r="U2385" s="102" t="str">
        <f>IF(TableRelationships12[[#This Row],[Rank Pedro]]="Low","Pink",IF(TableRelationships12[[#This Row],[Rank Pedro]]="Medium","Purple",IF(TableRelationships12[[#This Row],[Rank Pedro]]="High","Brown","")))</f>
        <v/>
      </c>
      <c r="V2385" s="4" t="e">
        <f>MAX(INDEX(Standards!$F$2:$F$296,MATCH(B2385,Standards!$B$2:$B$296,0)),INDEX(Standards!$F$2:$F$296,MATCH(C2385,Standards!$B$2:$B$296,0)))</f>
        <v>#N/A</v>
      </c>
      <c r="W2385" t="str">
        <f t="shared" si="113"/>
        <v>#2f89d1</v>
      </c>
    </row>
    <row r="2386" spans="1:23" x14ac:dyDescent="0.5">
      <c r="A2386" s="54">
        <v>2385</v>
      </c>
      <c r="B2386" s="90" t="s">
        <v>659</v>
      </c>
      <c r="C2386" t="s">
        <v>1645</v>
      </c>
      <c r="D2386" s="1"/>
      <c r="G2386" s="107"/>
      <c r="H2386">
        <f>INDEX('GIS-Standards'!$A$2:$A$305,MATCH(B2386,'GIS-Standards'!$B$2:$B$305,0))</f>
        <v>108</v>
      </c>
      <c r="I2386" t="e">
        <f>INDEX('GIS-Standards'!$A$2:$A$305,MATCH(C2386,'GIS-Standards'!$B$2:$B$305,0))</f>
        <v>#N/A</v>
      </c>
      <c r="J2386" t="str">
        <f>INDEX('GIS-Standards'!$O$2:$O$305,MATCH(B2386,'GIS-Standards'!$B$2:$B$305,0))</f>
        <v>ISO/TC 211</v>
      </c>
      <c r="K2386" t="e">
        <f>INDEX('GIS-Standards'!$O$2:$O$305,MATCH(C2386,'GIS-Standards'!$B$2:$B$305,0))</f>
        <v>#N/A</v>
      </c>
      <c r="M2386" t="s">
        <v>525</v>
      </c>
      <c r="N2386">
        <f>INDEX('GIS-Standards'!$I$2:$I$305,MATCH(B2386,'GIS-Standards'!$B$2:$B$305,0))</f>
        <v>0</v>
      </c>
      <c r="O2386" t="e">
        <f>INDEX('GIS-Standards'!$I$2:$I$305,MATCH(C2386,'GIS-Standards'!$B$2:$B$305,0))</f>
        <v>#N/A</v>
      </c>
      <c r="P2386" t="e">
        <f>AND(TableRelationships12[[#This Row],[Source Type]]="BIM",TableRelationships12[[#This Row],[Target Type]]="BIM")</f>
        <v>#N/A</v>
      </c>
      <c r="Q2386">
        <f t="shared" si="111"/>
        <v>1</v>
      </c>
      <c r="S2386">
        <f t="shared" si="112"/>
        <v>1</v>
      </c>
      <c r="T2386" s="102" t="str">
        <f>IF(TableRelationships12[[#This Row],[Rank Pedro]]="Low","linkCategory1",IF(TableRelationships12[[#This Row],[Rank Pedro]]="Medium","linkCategory2",IF(TableRelationships12[[#This Row],[Rank Pedro]]="High","linkCategory3","")))</f>
        <v/>
      </c>
      <c r="U2386" s="102" t="str">
        <f>IF(TableRelationships12[[#This Row],[Rank Pedro]]="Low","Pink",IF(TableRelationships12[[#This Row],[Rank Pedro]]="Medium","Purple",IF(TableRelationships12[[#This Row],[Rank Pedro]]="High","Brown","")))</f>
        <v/>
      </c>
      <c r="V2386" s="4" t="e">
        <f>MAX(INDEX(Standards!$F$2:$F$296,MATCH(B2386,Standards!$B$2:$B$296,0)),INDEX(Standards!$F$2:$F$296,MATCH(C2386,Standards!$B$2:$B$296,0)))</f>
        <v>#N/A</v>
      </c>
      <c r="W2386" t="str">
        <f t="shared" si="113"/>
        <v>#2f89d1</v>
      </c>
    </row>
    <row r="2387" spans="1:23" x14ac:dyDescent="0.5">
      <c r="A2387" s="54">
        <v>2386</v>
      </c>
      <c r="B2387" s="90" t="s">
        <v>659</v>
      </c>
      <c r="C2387" t="s">
        <v>1369</v>
      </c>
      <c r="D2387" s="1"/>
      <c r="G2387" s="107"/>
      <c r="H2387">
        <f>INDEX('GIS-Standards'!$A$2:$A$305,MATCH(B2387,'GIS-Standards'!$B$2:$B$305,0))</f>
        <v>108</v>
      </c>
      <c r="I2387" t="e">
        <f>INDEX('GIS-Standards'!$A$2:$A$305,MATCH(C2387,'GIS-Standards'!$B$2:$B$305,0))</f>
        <v>#N/A</v>
      </c>
      <c r="J2387" t="str">
        <f>INDEX('GIS-Standards'!$O$2:$O$305,MATCH(B2387,'GIS-Standards'!$B$2:$B$305,0))</f>
        <v>ISO/TC 211</v>
      </c>
      <c r="K2387" t="e">
        <f>INDEX('GIS-Standards'!$O$2:$O$305,MATCH(C2387,'GIS-Standards'!$B$2:$B$305,0))</f>
        <v>#N/A</v>
      </c>
      <c r="M2387" t="s">
        <v>525</v>
      </c>
      <c r="N2387">
        <f>INDEX('GIS-Standards'!$I$2:$I$305,MATCH(B2387,'GIS-Standards'!$B$2:$B$305,0))</f>
        <v>0</v>
      </c>
      <c r="O2387" t="e">
        <f>INDEX('GIS-Standards'!$I$2:$I$305,MATCH(C2387,'GIS-Standards'!$B$2:$B$305,0))</f>
        <v>#N/A</v>
      </c>
      <c r="P2387" t="e">
        <f>AND(TableRelationships12[[#This Row],[Source Type]]="BIM",TableRelationships12[[#This Row],[Target Type]]="BIM")</f>
        <v>#N/A</v>
      </c>
      <c r="Q2387">
        <f t="shared" si="111"/>
        <v>1</v>
      </c>
      <c r="S2387">
        <f t="shared" si="112"/>
        <v>1</v>
      </c>
      <c r="T2387" s="102" t="str">
        <f>IF(TableRelationships12[[#This Row],[Rank Pedro]]="Low","linkCategory1",IF(TableRelationships12[[#This Row],[Rank Pedro]]="Medium","linkCategory2",IF(TableRelationships12[[#This Row],[Rank Pedro]]="High","linkCategory3","")))</f>
        <v/>
      </c>
      <c r="U2387" s="102" t="str">
        <f>IF(TableRelationships12[[#This Row],[Rank Pedro]]="Low","Pink",IF(TableRelationships12[[#This Row],[Rank Pedro]]="Medium","Purple",IF(TableRelationships12[[#This Row],[Rank Pedro]]="High","Brown","")))</f>
        <v/>
      </c>
      <c r="V2387" s="4" t="e">
        <f>MAX(INDEX(Standards!$F$2:$F$296,MATCH(B2387,Standards!$B$2:$B$296,0)),INDEX(Standards!$F$2:$F$296,MATCH(C2387,Standards!$B$2:$B$296,0)))</f>
        <v>#N/A</v>
      </c>
      <c r="W2387" t="str">
        <f t="shared" si="113"/>
        <v>#2f89d1</v>
      </c>
    </row>
    <row r="2388" spans="1:23" x14ac:dyDescent="0.5">
      <c r="A2388" s="54">
        <v>2387</v>
      </c>
      <c r="B2388" s="90" t="s">
        <v>659</v>
      </c>
      <c r="C2388" t="s">
        <v>1143</v>
      </c>
      <c r="D2388" s="1"/>
      <c r="E2388" s="112">
        <v>1993.01</v>
      </c>
      <c r="F2388" s="112">
        <v>2011.11</v>
      </c>
      <c r="G2388" s="107" t="s">
        <v>1519</v>
      </c>
      <c r="H2388">
        <f>INDEX('GIS-Standards'!$A$2:$A$305,MATCH(B2388,'GIS-Standards'!$B$2:$B$305,0))</f>
        <v>108</v>
      </c>
      <c r="I2388" t="e">
        <f>INDEX('GIS-Standards'!$A$2:$A$305,MATCH(C2388,'GIS-Standards'!$B$2:$B$305,0))</f>
        <v>#N/A</v>
      </c>
      <c r="J2388" t="str">
        <f>INDEX('GIS-Standards'!$O$2:$O$305,MATCH(B2388,'GIS-Standards'!$B$2:$B$305,0))</f>
        <v>ISO/TC 211</v>
      </c>
      <c r="K2388" t="e">
        <f>INDEX('GIS-Standards'!$O$2:$O$305,MATCH(C2388,'GIS-Standards'!$B$2:$B$305,0))</f>
        <v>#N/A</v>
      </c>
      <c r="M2388" t="s">
        <v>525</v>
      </c>
      <c r="N2388">
        <f>INDEX('GIS-Standards'!$I$2:$I$305,MATCH(B2388,'GIS-Standards'!$B$2:$B$305,0))</f>
        <v>0</v>
      </c>
      <c r="O2388" t="e">
        <f>INDEX('GIS-Standards'!$I$2:$I$305,MATCH(C2388,'GIS-Standards'!$B$2:$B$305,0))</f>
        <v>#N/A</v>
      </c>
      <c r="P2388" t="e">
        <f>AND(TableRelationships12[[#This Row],[Source Type]]="BIM",TableRelationships12[[#This Row],[Target Type]]="BIM")</f>
        <v>#N/A</v>
      </c>
      <c r="Q2388">
        <f t="shared" si="111"/>
        <v>1</v>
      </c>
      <c r="S2388">
        <f t="shared" si="112"/>
        <v>1</v>
      </c>
      <c r="T2388" s="102" t="str">
        <f>IF(TableRelationships12[[#This Row],[Rank Pedro]]="Low","linkCategory1",IF(TableRelationships12[[#This Row],[Rank Pedro]]="Medium","linkCategory2",IF(TableRelationships12[[#This Row],[Rank Pedro]]="High","linkCategory3","")))</f>
        <v/>
      </c>
      <c r="U2388" s="102" t="str">
        <f>IF(TableRelationships12[[#This Row],[Rank Pedro]]="Low","Pink",IF(TableRelationships12[[#This Row],[Rank Pedro]]="Medium","Purple",IF(TableRelationships12[[#This Row],[Rank Pedro]]="High","Brown","")))</f>
        <v/>
      </c>
      <c r="V2388" s="4" t="e">
        <f>MAX(INDEX(Standards!$F$2:$F$296,MATCH(B2388,Standards!$B$2:$B$296,0)),INDEX(Standards!$F$2:$F$296,MATCH(C2388,Standards!$B$2:$B$296,0)))</f>
        <v>#N/A</v>
      </c>
      <c r="W2388" t="str">
        <f t="shared" si="113"/>
        <v>#2f89d1</v>
      </c>
    </row>
    <row r="2389" spans="1:23" x14ac:dyDescent="0.5">
      <c r="A2389" s="54">
        <v>2388</v>
      </c>
      <c r="B2389" s="90" t="s">
        <v>659</v>
      </c>
      <c r="C2389" t="s">
        <v>1137</v>
      </c>
      <c r="D2389" s="1" t="s">
        <v>1676</v>
      </c>
      <c r="E2389" s="112">
        <v>1993.01</v>
      </c>
      <c r="F2389" s="112">
        <v>2010.09</v>
      </c>
      <c r="G2389" s="107" t="s">
        <v>1520</v>
      </c>
      <c r="H2389">
        <f>INDEX('GIS-Standards'!$A$2:$A$305,MATCH(B2389,'GIS-Standards'!$B$2:$B$305,0))</f>
        <v>108</v>
      </c>
      <c r="I2389" t="e">
        <f>INDEX('GIS-Standards'!$A$2:$A$305,MATCH(C2389,'GIS-Standards'!$B$2:$B$305,0))</f>
        <v>#N/A</v>
      </c>
      <c r="J2389" t="str">
        <f>INDEX('GIS-Standards'!$O$2:$O$305,MATCH(B2389,'GIS-Standards'!$B$2:$B$305,0))</f>
        <v>ISO/TC 211</v>
      </c>
      <c r="K2389" t="e">
        <f>INDEX('GIS-Standards'!$O$2:$O$305,MATCH(C2389,'GIS-Standards'!$B$2:$B$305,0))</f>
        <v>#N/A</v>
      </c>
      <c r="M2389" t="s">
        <v>525</v>
      </c>
      <c r="N2389">
        <f>INDEX('GIS-Standards'!$I$2:$I$305,MATCH(B2389,'GIS-Standards'!$B$2:$B$305,0))</f>
        <v>0</v>
      </c>
      <c r="O2389" t="e">
        <f>INDEX('GIS-Standards'!$I$2:$I$305,MATCH(C2389,'GIS-Standards'!$B$2:$B$305,0))</f>
        <v>#N/A</v>
      </c>
      <c r="P2389" t="e">
        <f>AND(TableRelationships12[[#This Row],[Source Type]]="BIM",TableRelationships12[[#This Row],[Target Type]]="BIM")</f>
        <v>#N/A</v>
      </c>
      <c r="Q2389">
        <f t="shared" si="111"/>
        <v>1</v>
      </c>
      <c r="S2389">
        <f t="shared" si="112"/>
        <v>1</v>
      </c>
      <c r="T2389" s="102" t="str">
        <f>IF(TableRelationships12[[#This Row],[Rank Pedro]]="Low","linkCategory1",IF(TableRelationships12[[#This Row],[Rank Pedro]]="Medium","linkCategory2",IF(TableRelationships12[[#This Row],[Rank Pedro]]="High","linkCategory3","")))</f>
        <v/>
      </c>
      <c r="U2389" s="102" t="str">
        <f>IF(TableRelationships12[[#This Row],[Rank Pedro]]="Low","Pink",IF(TableRelationships12[[#This Row],[Rank Pedro]]="Medium","Purple",IF(TableRelationships12[[#This Row],[Rank Pedro]]="High","Brown","")))</f>
        <v/>
      </c>
      <c r="V2389" s="4" t="e">
        <f>MAX(INDEX(Standards!$F$2:$F$296,MATCH(B2389,Standards!$B$2:$B$296,0)),INDEX(Standards!$F$2:$F$296,MATCH(C2389,Standards!$B$2:$B$296,0)))</f>
        <v>#N/A</v>
      </c>
      <c r="W2389" t="str">
        <f t="shared" si="113"/>
        <v>#2f89d1</v>
      </c>
    </row>
    <row r="2390" spans="1:23" x14ac:dyDescent="0.5">
      <c r="A2390" s="54">
        <v>2389</v>
      </c>
      <c r="B2390" s="90" t="s">
        <v>660</v>
      </c>
      <c r="C2390" t="s">
        <v>527</v>
      </c>
      <c r="D2390" s="1"/>
      <c r="E2390" s="112" t="s">
        <v>905</v>
      </c>
      <c r="F2390" s="112" t="s">
        <v>905</v>
      </c>
      <c r="G2390" s="121" t="s">
        <v>670</v>
      </c>
      <c r="H2390">
        <f>INDEX('GIS-Standards'!$A$2:$A$305,MATCH(B2390,'GIS-Standards'!$B$2:$B$305,0))</f>
        <v>109</v>
      </c>
      <c r="I2390" t="e">
        <f>INDEX('GIS-Standards'!$A$2:$A$305,MATCH(C2390,'GIS-Standards'!$B$2:$B$305,0))</f>
        <v>#N/A</v>
      </c>
      <c r="J2390" t="str">
        <f>INDEX('GIS-Standards'!$O$2:$O$305,MATCH(B2390,'GIS-Standards'!$B$2:$B$305,0))</f>
        <v>ISO/TC 211</v>
      </c>
      <c r="K2390" t="e">
        <f>INDEX('GIS-Standards'!$O$2:$O$305,MATCH(C2390,'GIS-Standards'!$B$2:$B$305,0))</f>
        <v>#N/A</v>
      </c>
      <c r="M2390" t="s">
        <v>237</v>
      </c>
      <c r="N2390">
        <f>INDEX('GIS-Standards'!$I$2:$I$305,MATCH(B2390,'GIS-Standards'!$B$2:$B$305,0))</f>
        <v>0</v>
      </c>
      <c r="O2390" t="e">
        <f>INDEX('GIS-Standards'!$I$2:$I$305,MATCH(C2390,'GIS-Standards'!$B$2:$B$305,0))</f>
        <v>#N/A</v>
      </c>
      <c r="P2390" t="e">
        <f>AND(TableRelationships12[[#This Row],[Source Type]]="BIM",TableRelationships12[[#This Row],[Target Type]]="BIM")</f>
        <v>#N/A</v>
      </c>
      <c r="Q2390">
        <f t="shared" si="111"/>
        <v>2</v>
      </c>
      <c r="S2390">
        <f t="shared" si="112"/>
        <v>1</v>
      </c>
      <c r="T2390" s="102" t="str">
        <f>IF(TableRelationships12[[#This Row],[Rank Pedro]]="Low","linkCategory1",IF(TableRelationships12[[#This Row],[Rank Pedro]]="Medium","linkCategory2",IF(TableRelationships12[[#This Row],[Rank Pedro]]="High","linkCategory3","")))</f>
        <v/>
      </c>
      <c r="U2390" s="102" t="str">
        <f>IF(TableRelationships12[[#This Row],[Rank Pedro]]="Low","Pink",IF(TableRelationships12[[#This Row],[Rank Pedro]]="Medium","Purple",IF(TableRelationships12[[#This Row],[Rank Pedro]]="High","Brown","")))</f>
        <v/>
      </c>
      <c r="V2390" s="4" t="e">
        <f>MAX(INDEX(Standards!$F$2:$F$296,MATCH(B2390,Standards!$B$2:$B$296,0)),INDEX(Standards!$F$2:$F$296,MATCH(C2390,Standards!$B$2:$B$296,0)))</f>
        <v>#N/A</v>
      </c>
      <c r="W2390">
        <f t="shared" si="113"/>
        <v>1</v>
      </c>
    </row>
    <row r="2391" spans="1:23" x14ac:dyDescent="0.5">
      <c r="A2391" s="54">
        <v>2390</v>
      </c>
      <c r="B2391" s="90" t="s">
        <v>660</v>
      </c>
      <c r="C2391" t="s">
        <v>296</v>
      </c>
      <c r="D2391" s="1"/>
      <c r="E2391" s="112">
        <v>2005.07</v>
      </c>
      <c r="F2391" s="112">
        <v>2024.09</v>
      </c>
      <c r="G2391" s="107" t="s">
        <v>670</v>
      </c>
      <c r="H2391">
        <f>INDEX('GIS-Standards'!$A$2:$A$305,MATCH(B2391,'GIS-Standards'!$B$2:$B$305,0))</f>
        <v>109</v>
      </c>
      <c r="I2391">
        <f>INDEX('GIS-Standards'!$A$2:$A$305,MATCH(C2391,'GIS-Standards'!$B$2:$B$305,0))</f>
        <v>12</v>
      </c>
      <c r="J2391" t="str">
        <f>INDEX('GIS-Standards'!$O$2:$O$305,MATCH(B2391,'GIS-Standards'!$B$2:$B$305,0))</f>
        <v>ISO/TC 211</v>
      </c>
      <c r="K2391" t="str">
        <f>INDEX('GIS-Standards'!$O$2:$O$305,MATCH(C2391,'GIS-Standards'!$B$2:$B$305,0))</f>
        <v>ISO/TC 211</v>
      </c>
      <c r="M2391" t="s">
        <v>524</v>
      </c>
      <c r="N2391">
        <f>INDEX('GIS-Standards'!$I$2:$I$305,MATCH(B2391,'GIS-Standards'!$B$2:$B$305,0))</f>
        <v>0</v>
      </c>
      <c r="O2391">
        <f>INDEX('GIS-Standards'!$I$2:$I$305,MATCH(C2391,'GIS-Standards'!$B$2:$B$305,0))</f>
        <v>0</v>
      </c>
      <c r="P2391" t="b">
        <f>AND(TableRelationships12[[#This Row],[Source Type]]="BIM",TableRelationships12[[#This Row],[Target Type]]="BIM")</f>
        <v>0</v>
      </c>
      <c r="Q2391">
        <f t="shared" si="111"/>
        <v>6</v>
      </c>
      <c r="S2391">
        <f t="shared" si="112"/>
        <v>1</v>
      </c>
      <c r="T2391" s="102" t="str">
        <f>IF(TableRelationships12[[#This Row],[Rank Pedro]]="Low","linkCategory1",IF(TableRelationships12[[#This Row],[Rank Pedro]]="Medium","linkCategory2",IF(TableRelationships12[[#This Row],[Rank Pedro]]="High","linkCategory3","")))</f>
        <v/>
      </c>
      <c r="U2391" s="102" t="str">
        <f>IF(TableRelationships12[[#This Row],[Rank Pedro]]="Low","Pink",IF(TableRelationships12[[#This Row],[Rank Pedro]]="Medium","Purple",IF(TableRelationships12[[#This Row],[Rank Pedro]]="High","Brown","")))</f>
        <v/>
      </c>
      <c r="V2391" s="4" t="e">
        <f>MAX(INDEX(Standards!$F$2:$F$296,MATCH(B2391,Standards!$B$2:$B$296,0)),INDEX(Standards!$F$2:$F$296,MATCH(C2391,Standards!$B$2:$B$296,0)))</f>
        <v>#N/A</v>
      </c>
      <c r="W2391" t="str">
        <f t="shared" si="113"/>
        <v>#d6bf2a</v>
      </c>
    </row>
    <row r="2392" spans="1:23" x14ac:dyDescent="0.5">
      <c r="A2392" s="54">
        <v>2391</v>
      </c>
      <c r="B2392" s="90" t="s">
        <v>660</v>
      </c>
      <c r="C2392" t="s">
        <v>633</v>
      </c>
      <c r="D2392" s="1" t="s">
        <v>1136</v>
      </c>
      <c r="E2392" s="112">
        <v>2010.06</v>
      </c>
      <c r="F2392" s="112">
        <v>2018.09</v>
      </c>
      <c r="G2392" s="107" t="s">
        <v>670</v>
      </c>
      <c r="H2392">
        <f>INDEX('GIS-Standards'!$A$2:$A$305,MATCH(B2392,'GIS-Standards'!$B$2:$B$305,0))</f>
        <v>109</v>
      </c>
      <c r="I2392">
        <f>INDEX('GIS-Standards'!$A$2:$A$305,MATCH(C2392,'GIS-Standards'!$B$2:$B$305,0))</f>
        <v>36</v>
      </c>
      <c r="J2392" t="str">
        <f>INDEX('GIS-Standards'!$O$2:$O$305,MATCH(B2392,'GIS-Standards'!$B$2:$B$305,0))</f>
        <v>ISO/TC 211</v>
      </c>
      <c r="K2392" t="str">
        <f>INDEX('GIS-Standards'!$O$2:$O$305,MATCH(C2392,'GIS-Standards'!$B$2:$B$305,0))</f>
        <v>ISO/TC 211</v>
      </c>
      <c r="M2392" t="s">
        <v>524</v>
      </c>
      <c r="N2392">
        <f>INDEX('GIS-Standards'!$I$2:$I$305,MATCH(B2392,'GIS-Standards'!$B$2:$B$305,0))</f>
        <v>0</v>
      </c>
      <c r="O2392">
        <f>INDEX('GIS-Standards'!$I$2:$I$305,MATCH(C2392,'GIS-Standards'!$B$2:$B$305,0))</f>
        <v>0</v>
      </c>
      <c r="P2392" t="b">
        <f>AND(TableRelationships12[[#This Row],[Source Type]]="BIM",TableRelationships12[[#This Row],[Target Type]]="BIM")</f>
        <v>0</v>
      </c>
      <c r="Q2392">
        <f t="shared" si="111"/>
        <v>6</v>
      </c>
      <c r="S2392">
        <f t="shared" si="112"/>
        <v>1</v>
      </c>
      <c r="T2392" s="102" t="str">
        <f>IF(TableRelationships12[[#This Row],[Rank Pedro]]="Low","linkCategory1",IF(TableRelationships12[[#This Row],[Rank Pedro]]="Medium","linkCategory2",IF(TableRelationships12[[#This Row],[Rank Pedro]]="High","linkCategory3","")))</f>
        <v/>
      </c>
      <c r="U2392" s="102" t="str">
        <f>IF(TableRelationships12[[#This Row],[Rank Pedro]]="Low","Pink",IF(TableRelationships12[[#This Row],[Rank Pedro]]="Medium","Purple",IF(TableRelationships12[[#This Row],[Rank Pedro]]="High","Brown","")))</f>
        <v/>
      </c>
      <c r="V2392" s="4" t="e">
        <f>MAX(INDEX(Standards!$F$2:$F$296,MATCH(B2392,Standards!$B$2:$B$296,0)),INDEX(Standards!$F$2:$F$296,MATCH(C2392,Standards!$B$2:$B$296,0)))</f>
        <v>#N/A</v>
      </c>
      <c r="W2392" t="str">
        <f t="shared" si="113"/>
        <v>#d6bf2a</v>
      </c>
    </row>
    <row r="2393" spans="1:23" x14ac:dyDescent="0.5">
      <c r="A2393" s="54">
        <v>2392</v>
      </c>
      <c r="B2393" s="90" t="s">
        <v>660</v>
      </c>
      <c r="C2393" t="s">
        <v>651</v>
      </c>
      <c r="D2393" s="1" t="s">
        <v>1676</v>
      </c>
      <c r="E2393" s="112">
        <v>2014.01</v>
      </c>
      <c r="F2393" s="112">
        <v>2014.01</v>
      </c>
      <c r="G2393" s="107" t="s">
        <v>670</v>
      </c>
      <c r="H2393">
        <f>INDEX('GIS-Standards'!$A$2:$A$305,MATCH(B2393,'GIS-Standards'!$B$2:$B$305,0))</f>
        <v>109</v>
      </c>
      <c r="I2393">
        <f>INDEX('GIS-Standards'!$A$2:$A$305,MATCH(C2393,'GIS-Standards'!$B$2:$B$305,0))</f>
        <v>100</v>
      </c>
      <c r="J2393" t="str">
        <f>INDEX('GIS-Standards'!$O$2:$O$305,MATCH(B2393,'GIS-Standards'!$B$2:$B$305,0))</f>
        <v>ISO/TC 211</v>
      </c>
      <c r="K2393" t="str">
        <f>INDEX('GIS-Standards'!$O$2:$O$305,MATCH(C2393,'GIS-Standards'!$B$2:$B$305,0))</f>
        <v>ISO/TC 211</v>
      </c>
      <c r="M2393" t="s">
        <v>524</v>
      </c>
      <c r="N2393">
        <f>INDEX('GIS-Standards'!$I$2:$I$305,MATCH(B2393,'GIS-Standards'!$B$2:$B$305,0))</f>
        <v>0</v>
      </c>
      <c r="O2393">
        <f>INDEX('GIS-Standards'!$I$2:$I$305,MATCH(C2393,'GIS-Standards'!$B$2:$B$305,0))</f>
        <v>0</v>
      </c>
      <c r="P2393" t="b">
        <f>AND(TableRelationships12[[#This Row],[Source Type]]="BIM",TableRelationships12[[#This Row],[Target Type]]="BIM")</f>
        <v>0</v>
      </c>
      <c r="Q2393">
        <f t="shared" si="111"/>
        <v>6</v>
      </c>
      <c r="S2393">
        <f t="shared" si="112"/>
        <v>1</v>
      </c>
      <c r="T2393" s="102" t="str">
        <f>IF(TableRelationships12[[#This Row],[Rank Pedro]]="Low","linkCategory1",IF(TableRelationships12[[#This Row],[Rank Pedro]]="Medium","linkCategory2",IF(TableRelationships12[[#This Row],[Rank Pedro]]="High","linkCategory3","")))</f>
        <v/>
      </c>
      <c r="U2393" s="102" t="str">
        <f>IF(TableRelationships12[[#This Row],[Rank Pedro]]="Low","Pink",IF(TableRelationships12[[#This Row],[Rank Pedro]]="Medium","Purple",IF(TableRelationships12[[#This Row],[Rank Pedro]]="High","Brown","")))</f>
        <v/>
      </c>
      <c r="V2393" s="4" t="e">
        <f>MAX(INDEX(Standards!$F$2:$F$296,MATCH(B2393,Standards!$B$2:$B$296,0)),INDEX(Standards!$F$2:$F$296,MATCH(C2393,Standards!$B$2:$B$296,0)))</f>
        <v>#N/A</v>
      </c>
      <c r="W2393" t="str">
        <f t="shared" si="113"/>
        <v>#d6bf2a</v>
      </c>
    </row>
    <row r="2394" spans="1:23" x14ac:dyDescent="0.5">
      <c r="A2394" s="54">
        <v>2393</v>
      </c>
      <c r="B2394" s="90" t="s">
        <v>660</v>
      </c>
      <c r="C2394" t="s">
        <v>348</v>
      </c>
      <c r="D2394" s="1" t="s">
        <v>640</v>
      </c>
      <c r="E2394" s="113">
        <v>2013.12</v>
      </c>
      <c r="F2394" s="113">
        <v>2023.04</v>
      </c>
      <c r="G2394" s="107" t="s">
        <v>670</v>
      </c>
      <c r="H2394">
        <f>INDEX('GIS-Standards'!$A$2:$A$305,MATCH(B2394,'GIS-Standards'!$B$2:$B$305,0))</f>
        <v>109</v>
      </c>
      <c r="I2394">
        <f>INDEX('GIS-Standards'!$A$2:$A$305,MATCH(C2394,'GIS-Standards'!$B$2:$B$305,0))</f>
        <v>66</v>
      </c>
      <c r="J2394" t="str">
        <f>INDEX('GIS-Standards'!$O$2:$O$305,MATCH(B2394,'GIS-Standards'!$B$2:$B$305,0))</f>
        <v>ISO/TC 211</v>
      </c>
      <c r="K2394" t="str">
        <f>INDEX('GIS-Standards'!$O$2:$O$305,MATCH(C2394,'GIS-Standards'!$B$2:$B$305,0))</f>
        <v>ISO/TC 211</v>
      </c>
      <c r="M2394" t="s">
        <v>524</v>
      </c>
      <c r="N2394">
        <f>INDEX('GIS-Standards'!$I$2:$I$305,MATCH(B2394,'GIS-Standards'!$B$2:$B$305,0))</f>
        <v>0</v>
      </c>
      <c r="O2394">
        <f>INDEX('GIS-Standards'!$I$2:$I$305,MATCH(C2394,'GIS-Standards'!$B$2:$B$305,0))</f>
        <v>0</v>
      </c>
      <c r="P2394" t="b">
        <f>AND(TableRelationships12[[#This Row],[Source Type]]="BIM",TableRelationships12[[#This Row],[Target Type]]="BIM")</f>
        <v>0</v>
      </c>
      <c r="Q2394">
        <f t="shared" si="111"/>
        <v>6</v>
      </c>
      <c r="S2394">
        <f t="shared" si="112"/>
        <v>1</v>
      </c>
      <c r="T2394" s="102" t="str">
        <f>IF(TableRelationships12[[#This Row],[Rank Pedro]]="Low","linkCategory1",IF(TableRelationships12[[#This Row],[Rank Pedro]]="Medium","linkCategory2",IF(TableRelationships12[[#This Row],[Rank Pedro]]="High","linkCategory3","")))</f>
        <v/>
      </c>
      <c r="U2394" s="102" t="str">
        <f>IF(TableRelationships12[[#This Row],[Rank Pedro]]="Low","Pink",IF(TableRelationships12[[#This Row],[Rank Pedro]]="Medium","Purple",IF(TableRelationships12[[#This Row],[Rank Pedro]]="High","Brown","")))</f>
        <v/>
      </c>
      <c r="V2394" s="4" t="e">
        <f>MAX(INDEX(Standards!$F$2:$F$296,MATCH(B2394,Standards!$B$2:$B$296,0)),INDEX(Standards!$F$2:$F$296,MATCH(C2394,Standards!$B$2:$B$296,0)))</f>
        <v>#N/A</v>
      </c>
      <c r="W2394" t="str">
        <f t="shared" si="113"/>
        <v>#d6bf2a</v>
      </c>
    </row>
    <row r="2395" spans="1:23" x14ac:dyDescent="0.5">
      <c r="A2395" s="54">
        <v>2394</v>
      </c>
      <c r="B2395" s="90" t="s">
        <v>660</v>
      </c>
      <c r="C2395" t="s">
        <v>658</v>
      </c>
      <c r="D2395" s="1"/>
      <c r="E2395" s="112">
        <v>2014.07</v>
      </c>
      <c r="F2395" s="112">
        <v>2014.07</v>
      </c>
      <c r="G2395" s="107" t="s">
        <v>670</v>
      </c>
      <c r="H2395">
        <f>INDEX('GIS-Standards'!$A$2:$A$305,MATCH(B2395,'GIS-Standards'!$B$2:$B$305,0))</f>
        <v>109</v>
      </c>
      <c r="I2395">
        <f>INDEX('GIS-Standards'!$A$2:$A$305,MATCH(C2395,'GIS-Standards'!$B$2:$B$305,0))</f>
        <v>107</v>
      </c>
      <c r="J2395" t="str">
        <f>INDEX('GIS-Standards'!$O$2:$O$305,MATCH(B2395,'GIS-Standards'!$B$2:$B$305,0))</f>
        <v>ISO/TC 211</v>
      </c>
      <c r="K2395" t="str">
        <f>INDEX('GIS-Standards'!$O$2:$O$305,MATCH(C2395,'GIS-Standards'!$B$2:$B$305,0))</f>
        <v>ISO/TC 211</v>
      </c>
      <c r="M2395" t="s">
        <v>524</v>
      </c>
      <c r="N2395">
        <f>INDEX('GIS-Standards'!$I$2:$I$305,MATCH(B2395,'GIS-Standards'!$B$2:$B$305,0))</f>
        <v>0</v>
      </c>
      <c r="O2395">
        <f>INDEX('GIS-Standards'!$I$2:$I$305,MATCH(C2395,'GIS-Standards'!$B$2:$B$305,0))</f>
        <v>0</v>
      </c>
      <c r="P2395" t="b">
        <f>AND(TableRelationships12[[#This Row],[Source Type]]="BIM",TableRelationships12[[#This Row],[Target Type]]="BIM")</f>
        <v>0</v>
      </c>
      <c r="Q2395">
        <f t="shared" si="111"/>
        <v>6</v>
      </c>
      <c r="S2395">
        <f t="shared" si="112"/>
        <v>1</v>
      </c>
      <c r="T2395" s="102" t="str">
        <f>IF(TableRelationships12[[#This Row],[Rank Pedro]]="Low","linkCategory1",IF(TableRelationships12[[#This Row],[Rank Pedro]]="Medium","linkCategory2",IF(TableRelationships12[[#This Row],[Rank Pedro]]="High","linkCategory3","")))</f>
        <v/>
      </c>
      <c r="U2395" s="102" t="str">
        <f>IF(TableRelationships12[[#This Row],[Rank Pedro]]="Low","Pink",IF(TableRelationships12[[#This Row],[Rank Pedro]]="Medium","Purple",IF(TableRelationships12[[#This Row],[Rank Pedro]]="High","Brown","")))</f>
        <v/>
      </c>
      <c r="V2395" s="4" t="e">
        <f>MAX(INDEX(Standards!$F$2:$F$296,MATCH(B2395,Standards!$B$2:$B$296,0)),INDEX(Standards!$F$2:$F$296,MATCH(C2395,Standards!$B$2:$B$296,0)))</f>
        <v>#N/A</v>
      </c>
      <c r="W2395" t="str">
        <f t="shared" si="113"/>
        <v>#d6bf2a</v>
      </c>
    </row>
    <row r="2396" spans="1:23" x14ac:dyDescent="0.5">
      <c r="A2396" s="54">
        <v>2395</v>
      </c>
      <c r="B2396" s="90" t="s">
        <v>660</v>
      </c>
      <c r="C2396" t="s">
        <v>659</v>
      </c>
      <c r="D2396" s="1"/>
      <c r="E2396" s="112">
        <v>2016.04</v>
      </c>
      <c r="F2396" s="112">
        <v>2016.04</v>
      </c>
      <c r="G2396" s="107" t="s">
        <v>670</v>
      </c>
      <c r="H2396">
        <f>INDEX('GIS-Standards'!$A$2:$A$305,MATCH(B2396,'GIS-Standards'!$B$2:$B$305,0))</f>
        <v>109</v>
      </c>
      <c r="I2396">
        <f>INDEX('GIS-Standards'!$A$2:$A$305,MATCH(C2396,'GIS-Standards'!$B$2:$B$305,0))</f>
        <v>108</v>
      </c>
      <c r="J2396" t="str">
        <f>INDEX('GIS-Standards'!$O$2:$O$305,MATCH(B2396,'GIS-Standards'!$B$2:$B$305,0))</f>
        <v>ISO/TC 211</v>
      </c>
      <c r="K2396" t="str">
        <f>INDEX('GIS-Standards'!$O$2:$O$305,MATCH(C2396,'GIS-Standards'!$B$2:$B$305,0))</f>
        <v>ISO/TC 211</v>
      </c>
      <c r="M2396" t="s">
        <v>524</v>
      </c>
      <c r="N2396">
        <f>INDEX('GIS-Standards'!$I$2:$I$305,MATCH(B2396,'GIS-Standards'!$B$2:$B$305,0))</f>
        <v>0</v>
      </c>
      <c r="O2396">
        <f>INDEX('GIS-Standards'!$I$2:$I$305,MATCH(C2396,'GIS-Standards'!$B$2:$B$305,0))</f>
        <v>0</v>
      </c>
      <c r="P2396" t="b">
        <f>AND(TableRelationships12[[#This Row],[Source Type]]="BIM",TableRelationships12[[#This Row],[Target Type]]="BIM")</f>
        <v>0</v>
      </c>
      <c r="Q2396">
        <f t="shared" si="111"/>
        <v>6</v>
      </c>
      <c r="S2396">
        <f t="shared" si="112"/>
        <v>1</v>
      </c>
      <c r="T2396" s="102" t="str">
        <f>IF(TableRelationships12[[#This Row],[Rank Pedro]]="Low","linkCategory1",IF(TableRelationships12[[#This Row],[Rank Pedro]]="Medium","linkCategory2",IF(TableRelationships12[[#This Row],[Rank Pedro]]="High","linkCategory3","")))</f>
        <v/>
      </c>
      <c r="U2396" s="102" t="str">
        <f>IF(TableRelationships12[[#This Row],[Rank Pedro]]="Low","Pink",IF(TableRelationships12[[#This Row],[Rank Pedro]]="Medium","Purple",IF(TableRelationships12[[#This Row],[Rank Pedro]]="High","Brown","")))</f>
        <v/>
      </c>
      <c r="V2396" s="4" t="e">
        <f>MAX(INDEX(Standards!$F$2:$F$296,MATCH(B2396,Standards!$B$2:$B$296,0)),INDEX(Standards!$F$2:$F$296,MATCH(C2396,Standards!$B$2:$B$296,0)))</f>
        <v>#N/A</v>
      </c>
      <c r="W2396" t="str">
        <f t="shared" si="113"/>
        <v>#d6bf2a</v>
      </c>
    </row>
    <row r="2397" spans="1:23" x14ac:dyDescent="0.5">
      <c r="A2397" s="54">
        <v>2396</v>
      </c>
      <c r="B2397" s="90" t="s">
        <v>660</v>
      </c>
      <c r="C2397" t="s">
        <v>1143</v>
      </c>
      <c r="D2397" s="1"/>
      <c r="E2397" s="112">
        <v>1993.01</v>
      </c>
      <c r="F2397" s="112">
        <v>2011.11</v>
      </c>
      <c r="G2397" s="107" t="s">
        <v>1519</v>
      </c>
      <c r="H2397">
        <f>INDEX('GIS-Standards'!$A$2:$A$305,MATCH(B2397,'GIS-Standards'!$B$2:$B$305,0))</f>
        <v>109</v>
      </c>
      <c r="I2397" t="e">
        <f>INDEX('GIS-Standards'!$A$2:$A$305,MATCH(C2397,'GIS-Standards'!$B$2:$B$305,0))</f>
        <v>#N/A</v>
      </c>
      <c r="J2397" t="str">
        <f>INDEX('GIS-Standards'!$O$2:$O$305,MATCH(B2397,'GIS-Standards'!$B$2:$B$305,0))</f>
        <v>ISO/TC 211</v>
      </c>
      <c r="K2397" t="e">
        <f>INDEX('GIS-Standards'!$O$2:$O$305,MATCH(C2397,'GIS-Standards'!$B$2:$B$305,0))</f>
        <v>#N/A</v>
      </c>
      <c r="M2397" t="s">
        <v>525</v>
      </c>
      <c r="N2397">
        <f>INDEX('GIS-Standards'!$I$2:$I$305,MATCH(B2397,'GIS-Standards'!$B$2:$B$305,0))</f>
        <v>0</v>
      </c>
      <c r="O2397" t="e">
        <f>INDEX('GIS-Standards'!$I$2:$I$305,MATCH(C2397,'GIS-Standards'!$B$2:$B$305,0))</f>
        <v>#N/A</v>
      </c>
      <c r="P2397" t="e">
        <f>AND(TableRelationships12[[#This Row],[Source Type]]="BIM",TableRelationships12[[#This Row],[Target Type]]="BIM")</f>
        <v>#N/A</v>
      </c>
      <c r="Q2397">
        <f t="shared" si="111"/>
        <v>1</v>
      </c>
      <c r="S2397">
        <f t="shared" si="112"/>
        <v>1</v>
      </c>
      <c r="T2397" s="102" t="str">
        <f>IF(TableRelationships12[[#This Row],[Rank Pedro]]="Low","linkCategory1",IF(TableRelationships12[[#This Row],[Rank Pedro]]="Medium","linkCategory2",IF(TableRelationships12[[#This Row],[Rank Pedro]]="High","linkCategory3","")))</f>
        <v/>
      </c>
      <c r="U2397" s="102" t="str">
        <f>IF(TableRelationships12[[#This Row],[Rank Pedro]]="Low","Pink",IF(TableRelationships12[[#This Row],[Rank Pedro]]="Medium","Purple",IF(TableRelationships12[[#This Row],[Rank Pedro]]="High","Brown","")))</f>
        <v/>
      </c>
      <c r="V2397" s="4" t="e">
        <f>MAX(INDEX(Standards!$F$2:$F$296,MATCH(B2397,Standards!$B$2:$B$296,0)),INDEX(Standards!$F$2:$F$296,MATCH(C2397,Standards!$B$2:$B$296,0)))</f>
        <v>#N/A</v>
      </c>
      <c r="W2397" t="str">
        <f t="shared" si="113"/>
        <v>#2f89d1</v>
      </c>
    </row>
    <row r="2398" spans="1:23" x14ac:dyDescent="0.5">
      <c r="A2398" s="54">
        <v>2397</v>
      </c>
      <c r="B2398" s="90" t="s">
        <v>660</v>
      </c>
      <c r="C2398" t="s">
        <v>1137</v>
      </c>
      <c r="D2398" s="1" t="s">
        <v>1676</v>
      </c>
      <c r="E2398" s="112">
        <v>1993.01</v>
      </c>
      <c r="F2398" s="112">
        <v>2010.09</v>
      </c>
      <c r="G2398" s="107" t="s">
        <v>1520</v>
      </c>
      <c r="H2398">
        <f>INDEX('GIS-Standards'!$A$2:$A$305,MATCH(B2398,'GIS-Standards'!$B$2:$B$305,0))</f>
        <v>109</v>
      </c>
      <c r="I2398" t="e">
        <f>INDEX('GIS-Standards'!$A$2:$A$305,MATCH(C2398,'GIS-Standards'!$B$2:$B$305,0))</f>
        <v>#N/A</v>
      </c>
      <c r="J2398" t="str">
        <f>INDEX('GIS-Standards'!$O$2:$O$305,MATCH(B2398,'GIS-Standards'!$B$2:$B$305,0))</f>
        <v>ISO/TC 211</v>
      </c>
      <c r="K2398" t="e">
        <f>INDEX('GIS-Standards'!$O$2:$O$305,MATCH(C2398,'GIS-Standards'!$B$2:$B$305,0))</f>
        <v>#N/A</v>
      </c>
      <c r="M2398" t="s">
        <v>525</v>
      </c>
      <c r="N2398">
        <f>INDEX('GIS-Standards'!$I$2:$I$305,MATCH(B2398,'GIS-Standards'!$B$2:$B$305,0))</f>
        <v>0</v>
      </c>
      <c r="O2398" t="e">
        <f>INDEX('GIS-Standards'!$I$2:$I$305,MATCH(C2398,'GIS-Standards'!$B$2:$B$305,0))</f>
        <v>#N/A</v>
      </c>
      <c r="P2398" t="e">
        <f>AND(TableRelationships12[[#This Row],[Source Type]]="BIM",TableRelationships12[[#This Row],[Target Type]]="BIM")</f>
        <v>#N/A</v>
      </c>
      <c r="Q2398">
        <f t="shared" si="111"/>
        <v>1</v>
      </c>
      <c r="S2398">
        <f t="shared" si="112"/>
        <v>1</v>
      </c>
      <c r="T2398" s="102" t="str">
        <f>IF(TableRelationships12[[#This Row],[Rank Pedro]]="Low","linkCategory1",IF(TableRelationships12[[#This Row],[Rank Pedro]]="Medium","linkCategory2",IF(TableRelationships12[[#This Row],[Rank Pedro]]="High","linkCategory3","")))</f>
        <v/>
      </c>
      <c r="U2398" s="102" t="str">
        <f>IF(TableRelationships12[[#This Row],[Rank Pedro]]="Low","Pink",IF(TableRelationships12[[#This Row],[Rank Pedro]]="Medium","Purple",IF(TableRelationships12[[#This Row],[Rank Pedro]]="High","Brown","")))</f>
        <v/>
      </c>
      <c r="V2398" s="4" t="e">
        <f>MAX(INDEX(Standards!$F$2:$F$296,MATCH(B2398,Standards!$B$2:$B$296,0)),INDEX(Standards!$F$2:$F$296,MATCH(C2398,Standards!$B$2:$B$296,0)))</f>
        <v>#N/A</v>
      </c>
      <c r="W2398" t="str">
        <f t="shared" si="113"/>
        <v>#2f89d1</v>
      </c>
    </row>
    <row r="2399" spans="1:23" x14ac:dyDescent="0.5">
      <c r="A2399" s="54">
        <v>2398</v>
      </c>
      <c r="B2399" s="90" t="s">
        <v>660</v>
      </c>
      <c r="C2399" t="s">
        <v>1144</v>
      </c>
      <c r="D2399" s="1"/>
      <c r="E2399" s="112">
        <v>1967.12</v>
      </c>
      <c r="F2399" s="112">
        <v>2006.09</v>
      </c>
      <c r="G2399" s="107" t="s">
        <v>1483</v>
      </c>
      <c r="H2399">
        <f>INDEX('GIS-Standards'!$A$2:$A$305,MATCH(B2399,'GIS-Standards'!$B$2:$B$305,0))</f>
        <v>109</v>
      </c>
      <c r="I2399" t="e">
        <f>INDEX('GIS-Standards'!$A$2:$A$305,MATCH(C2399,'GIS-Standards'!$B$2:$B$305,0))</f>
        <v>#N/A</v>
      </c>
      <c r="J2399" t="str">
        <f>INDEX('GIS-Standards'!$O$2:$O$305,MATCH(B2399,'GIS-Standards'!$B$2:$B$305,0))</f>
        <v>ISO/TC 211</v>
      </c>
      <c r="K2399" t="e">
        <f>INDEX('GIS-Standards'!$O$2:$O$305,MATCH(C2399,'GIS-Standards'!$B$2:$B$305,0))</f>
        <v>#N/A</v>
      </c>
      <c r="M2399" t="s">
        <v>525</v>
      </c>
      <c r="N2399">
        <f>INDEX('GIS-Standards'!$I$2:$I$305,MATCH(B2399,'GIS-Standards'!$B$2:$B$305,0))</f>
        <v>0</v>
      </c>
      <c r="O2399" t="e">
        <f>INDEX('GIS-Standards'!$I$2:$I$305,MATCH(C2399,'GIS-Standards'!$B$2:$B$305,0))</f>
        <v>#N/A</v>
      </c>
      <c r="P2399" t="e">
        <f>AND(TableRelationships12[[#This Row],[Source Type]]="BIM",TableRelationships12[[#This Row],[Target Type]]="BIM")</f>
        <v>#N/A</v>
      </c>
      <c r="Q2399">
        <f t="shared" si="111"/>
        <v>1</v>
      </c>
      <c r="S2399">
        <f t="shared" si="112"/>
        <v>1</v>
      </c>
      <c r="T2399" s="102" t="str">
        <f>IF(TableRelationships12[[#This Row],[Rank Pedro]]="Low","linkCategory1",IF(TableRelationships12[[#This Row],[Rank Pedro]]="Medium","linkCategory2",IF(TableRelationships12[[#This Row],[Rank Pedro]]="High","linkCategory3","")))</f>
        <v/>
      </c>
      <c r="U2399" s="102" t="str">
        <f>IF(TableRelationships12[[#This Row],[Rank Pedro]]="Low","Pink",IF(TableRelationships12[[#This Row],[Rank Pedro]]="Medium","Purple",IF(TableRelationships12[[#This Row],[Rank Pedro]]="High","Brown","")))</f>
        <v/>
      </c>
      <c r="V2399" s="4" t="e">
        <f>MAX(INDEX(Standards!$F$2:$F$296,MATCH(B2399,Standards!$B$2:$B$296,0)),INDEX(Standards!$F$2:$F$296,MATCH(C2399,Standards!$B$2:$B$296,0)))</f>
        <v>#N/A</v>
      </c>
      <c r="W2399" t="str">
        <f t="shared" si="113"/>
        <v>#2f89d1</v>
      </c>
    </row>
    <row r="2400" spans="1:23" x14ac:dyDescent="0.5">
      <c r="A2400" s="54">
        <v>2399</v>
      </c>
      <c r="B2400" s="90" t="s">
        <v>660</v>
      </c>
      <c r="C2400" t="s">
        <v>631</v>
      </c>
      <c r="D2400" s="1" t="s">
        <v>1135</v>
      </c>
      <c r="E2400" s="112">
        <v>2008.06</v>
      </c>
      <c r="F2400" s="112">
        <v>2018.05</v>
      </c>
      <c r="G2400" s="107" t="s">
        <v>670</v>
      </c>
      <c r="H2400">
        <f>INDEX('GIS-Standards'!$A$2:$A$305,MATCH(B2400,'GIS-Standards'!$B$2:$B$305,0))</f>
        <v>109</v>
      </c>
      <c r="I2400">
        <f>INDEX('GIS-Standards'!$A$2:$A$305,MATCH(C2400,'GIS-Standards'!$B$2:$B$305,0))</f>
        <v>11</v>
      </c>
      <c r="J2400" t="str">
        <f>INDEX('GIS-Standards'!$O$2:$O$305,MATCH(B2400,'GIS-Standards'!$B$2:$B$305,0))</f>
        <v>ISO/TC 211</v>
      </c>
      <c r="K2400" t="str">
        <f>INDEX('GIS-Standards'!$O$2:$O$305,MATCH(C2400,'GIS-Standards'!$B$2:$B$305,0))</f>
        <v>ISO/TC 211</v>
      </c>
      <c r="M2400" t="s">
        <v>525</v>
      </c>
      <c r="N2400">
        <f>INDEX('GIS-Standards'!$I$2:$I$305,MATCH(B2400,'GIS-Standards'!$B$2:$B$305,0))</f>
        <v>0</v>
      </c>
      <c r="O2400">
        <f>INDEX('GIS-Standards'!$I$2:$I$305,MATCH(C2400,'GIS-Standards'!$B$2:$B$305,0))</f>
        <v>0</v>
      </c>
      <c r="P2400" t="b">
        <f>AND(TableRelationships12[[#This Row],[Source Type]]="BIM",TableRelationships12[[#This Row],[Target Type]]="BIM")</f>
        <v>0</v>
      </c>
      <c r="Q2400">
        <f t="shared" si="111"/>
        <v>1</v>
      </c>
      <c r="S2400">
        <f t="shared" si="112"/>
        <v>1</v>
      </c>
      <c r="T2400" s="102" t="str">
        <f>IF(TableRelationships12[[#This Row],[Rank Pedro]]="Low","linkCategory1",IF(TableRelationships12[[#This Row],[Rank Pedro]]="Medium","linkCategory2",IF(TableRelationships12[[#This Row],[Rank Pedro]]="High","linkCategory3","")))</f>
        <v/>
      </c>
      <c r="U2400" s="102" t="str">
        <f>IF(TableRelationships12[[#This Row],[Rank Pedro]]="Low","Pink",IF(TableRelationships12[[#This Row],[Rank Pedro]]="Medium","Purple",IF(TableRelationships12[[#This Row],[Rank Pedro]]="High","Brown","")))</f>
        <v/>
      </c>
      <c r="V2400" s="4" t="e">
        <f>MAX(INDEX(Standards!$F$2:$F$296,MATCH(B2400,Standards!$B$2:$B$296,0)),INDEX(Standards!$F$2:$F$296,MATCH(C2400,Standards!$B$2:$B$296,0)))</f>
        <v>#N/A</v>
      </c>
      <c r="W2400" t="str">
        <f t="shared" si="113"/>
        <v>#2f89d1</v>
      </c>
    </row>
    <row r="2401" spans="1:23" x14ac:dyDescent="0.5">
      <c r="A2401" s="54">
        <v>2400</v>
      </c>
      <c r="B2401" s="90" t="s">
        <v>660</v>
      </c>
      <c r="C2401" t="s">
        <v>302</v>
      </c>
      <c r="D2401" s="1"/>
      <c r="E2401" s="112">
        <v>2003.05</v>
      </c>
      <c r="F2401" s="112">
        <v>2019.12</v>
      </c>
      <c r="G2401" s="107" t="s">
        <v>670</v>
      </c>
      <c r="H2401">
        <f>INDEX('GIS-Standards'!$A$2:$A$305,MATCH(B2401,'GIS-Standards'!$B$2:$B$305,0))</f>
        <v>109</v>
      </c>
      <c r="I2401">
        <f>INDEX('GIS-Standards'!$A$2:$A$305,MATCH(C2401,'GIS-Standards'!$B$2:$B$305,0))</f>
        <v>16</v>
      </c>
      <c r="J2401" t="str">
        <f>INDEX('GIS-Standards'!$O$2:$O$305,MATCH(B2401,'GIS-Standards'!$B$2:$B$305,0))</f>
        <v>ISO/TC 211</v>
      </c>
      <c r="K2401" t="str">
        <f>INDEX('GIS-Standards'!$O$2:$O$305,MATCH(C2401,'GIS-Standards'!$B$2:$B$305,0))</f>
        <v>ISO/TC 211</v>
      </c>
      <c r="M2401" t="s">
        <v>525</v>
      </c>
      <c r="N2401">
        <f>INDEX('GIS-Standards'!$I$2:$I$305,MATCH(B2401,'GIS-Standards'!$B$2:$B$305,0))</f>
        <v>0</v>
      </c>
      <c r="O2401">
        <f>INDEX('GIS-Standards'!$I$2:$I$305,MATCH(C2401,'GIS-Standards'!$B$2:$B$305,0))</f>
        <v>0</v>
      </c>
      <c r="P2401" t="b">
        <f>AND(TableRelationships12[[#This Row],[Source Type]]="BIM",TableRelationships12[[#This Row],[Target Type]]="BIM")</f>
        <v>0</v>
      </c>
      <c r="Q2401">
        <f t="shared" si="111"/>
        <v>1</v>
      </c>
      <c r="S2401">
        <f t="shared" si="112"/>
        <v>1</v>
      </c>
      <c r="T2401" s="102" t="str">
        <f>IF(TableRelationships12[[#This Row],[Rank Pedro]]="Low","linkCategory1",IF(TableRelationships12[[#This Row],[Rank Pedro]]="Medium","linkCategory2",IF(TableRelationships12[[#This Row],[Rank Pedro]]="High","linkCategory3","")))</f>
        <v/>
      </c>
      <c r="U2401" s="102" t="str">
        <f>IF(TableRelationships12[[#This Row],[Rank Pedro]]="Low","Pink",IF(TableRelationships12[[#This Row],[Rank Pedro]]="Medium","Purple",IF(TableRelationships12[[#This Row],[Rank Pedro]]="High","Brown","")))</f>
        <v/>
      </c>
      <c r="V2401" s="4" t="e">
        <f>MAX(INDEX(Standards!$F$2:$F$296,MATCH(B2401,Standards!$B$2:$B$296,0)),INDEX(Standards!$F$2:$F$296,MATCH(C2401,Standards!$B$2:$B$296,0)))</f>
        <v>#N/A</v>
      </c>
      <c r="W2401" t="str">
        <f t="shared" si="113"/>
        <v>#2f89d1</v>
      </c>
    </row>
    <row r="2402" spans="1:23" x14ac:dyDescent="0.5">
      <c r="A2402" s="54">
        <v>2401</v>
      </c>
      <c r="B2402" s="90" t="s">
        <v>660</v>
      </c>
      <c r="C2402" t="s">
        <v>314</v>
      </c>
      <c r="D2402" s="1"/>
      <c r="E2402" s="112">
        <v>2003.05</v>
      </c>
      <c r="F2402" s="112">
        <v>2020.11</v>
      </c>
      <c r="G2402" s="107" t="s">
        <v>670</v>
      </c>
      <c r="H2402">
        <f>INDEX('GIS-Standards'!$A$2:$A$305,MATCH(B2402,'GIS-Standards'!$B$2:$B$305,0))</f>
        <v>109</v>
      </c>
      <c r="I2402">
        <f>INDEX('GIS-Standards'!$A$2:$A$305,MATCH(C2402,'GIS-Standards'!$B$2:$B$305,0))</f>
        <v>22</v>
      </c>
      <c r="J2402" t="str">
        <f>INDEX('GIS-Standards'!$O$2:$O$305,MATCH(B2402,'GIS-Standards'!$B$2:$B$305,0))</f>
        <v>ISO/TC 211</v>
      </c>
      <c r="K2402" t="str">
        <f>INDEX('GIS-Standards'!$O$2:$O$305,MATCH(C2402,'GIS-Standards'!$B$2:$B$305,0))</f>
        <v>ISO/TC 211</v>
      </c>
      <c r="M2402" t="s">
        <v>525</v>
      </c>
      <c r="N2402">
        <f>INDEX('GIS-Standards'!$I$2:$I$305,MATCH(B2402,'GIS-Standards'!$B$2:$B$305,0))</f>
        <v>0</v>
      </c>
      <c r="O2402" t="str">
        <f>INDEX('GIS-Standards'!$I$2:$I$305,MATCH(C2402,'GIS-Standards'!$B$2:$B$305,0))</f>
        <v>12.2020</v>
      </c>
      <c r="P2402" t="b">
        <f>AND(TableRelationships12[[#This Row],[Source Type]]="BIM",TableRelationships12[[#This Row],[Target Type]]="BIM")</f>
        <v>0</v>
      </c>
      <c r="Q2402">
        <f t="shared" si="111"/>
        <v>1</v>
      </c>
      <c r="S2402">
        <f t="shared" si="112"/>
        <v>1</v>
      </c>
      <c r="T2402" s="102" t="str">
        <f>IF(TableRelationships12[[#This Row],[Rank Pedro]]="Low","linkCategory1",IF(TableRelationships12[[#This Row],[Rank Pedro]]="Medium","linkCategory2",IF(TableRelationships12[[#This Row],[Rank Pedro]]="High","linkCategory3","")))</f>
        <v/>
      </c>
      <c r="U2402" s="102" t="str">
        <f>IF(TableRelationships12[[#This Row],[Rank Pedro]]="Low","Pink",IF(TableRelationships12[[#This Row],[Rank Pedro]]="Medium","Purple",IF(TableRelationships12[[#This Row],[Rank Pedro]]="High","Brown","")))</f>
        <v/>
      </c>
      <c r="V2402" s="4" t="e">
        <f>MAX(INDEX(Standards!$F$2:$F$296,MATCH(B2402,Standards!$B$2:$B$296,0)),INDEX(Standards!$F$2:$F$296,MATCH(C2402,Standards!$B$2:$B$296,0)))</f>
        <v>#N/A</v>
      </c>
      <c r="W2402" t="str">
        <f t="shared" si="113"/>
        <v>#2f89d1</v>
      </c>
    </row>
    <row r="2403" spans="1:23" x14ac:dyDescent="0.5">
      <c r="A2403" s="54">
        <v>2402</v>
      </c>
      <c r="B2403" s="90" t="s">
        <v>661</v>
      </c>
      <c r="C2403" t="s">
        <v>527</v>
      </c>
      <c r="D2403" s="1"/>
      <c r="E2403" s="112" t="s">
        <v>908</v>
      </c>
      <c r="F2403" s="112" t="s">
        <v>908</v>
      </c>
      <c r="G2403" s="121" t="s">
        <v>670</v>
      </c>
      <c r="H2403">
        <f>INDEX('GIS-Standards'!$A$2:$A$305,MATCH(B2403,'GIS-Standards'!$B$2:$B$305,0))</f>
        <v>110</v>
      </c>
      <c r="I2403" t="e">
        <f>INDEX('GIS-Standards'!$A$2:$A$305,MATCH(C2403,'GIS-Standards'!$B$2:$B$305,0))</f>
        <v>#N/A</v>
      </c>
      <c r="J2403" t="str">
        <f>INDEX('GIS-Standards'!$O$2:$O$305,MATCH(B2403,'GIS-Standards'!$B$2:$B$305,0))</f>
        <v>ISO/TC 211</v>
      </c>
      <c r="K2403" t="e">
        <f>INDEX('GIS-Standards'!$O$2:$O$305,MATCH(C2403,'GIS-Standards'!$B$2:$B$305,0))</f>
        <v>#N/A</v>
      </c>
      <c r="M2403" t="s">
        <v>237</v>
      </c>
      <c r="N2403">
        <f>INDEX('GIS-Standards'!$I$2:$I$305,MATCH(B2403,'GIS-Standards'!$B$2:$B$305,0))</f>
        <v>0</v>
      </c>
      <c r="O2403" t="e">
        <f>INDEX('GIS-Standards'!$I$2:$I$305,MATCH(C2403,'GIS-Standards'!$B$2:$B$305,0))</f>
        <v>#N/A</v>
      </c>
      <c r="P2403" t="e">
        <f>AND(TableRelationships12[[#This Row],[Source Type]]="BIM",TableRelationships12[[#This Row],[Target Type]]="BIM")</f>
        <v>#N/A</v>
      </c>
      <c r="Q2403">
        <f t="shared" si="111"/>
        <v>2</v>
      </c>
      <c r="S2403">
        <f t="shared" si="112"/>
        <v>1</v>
      </c>
      <c r="T2403" s="102" t="str">
        <f>IF(TableRelationships12[[#This Row],[Rank Pedro]]="Low","linkCategory1",IF(TableRelationships12[[#This Row],[Rank Pedro]]="Medium","linkCategory2",IF(TableRelationships12[[#This Row],[Rank Pedro]]="High","linkCategory3","")))</f>
        <v/>
      </c>
      <c r="U2403" s="102" t="str">
        <f>IF(TableRelationships12[[#This Row],[Rank Pedro]]="Low","Pink",IF(TableRelationships12[[#This Row],[Rank Pedro]]="Medium","Purple",IF(TableRelationships12[[#This Row],[Rank Pedro]]="High","Brown","")))</f>
        <v/>
      </c>
      <c r="V2403" s="4" t="e">
        <f>MAX(INDEX(Standards!$F$2:$F$296,MATCH(B2403,Standards!$B$2:$B$296,0)),INDEX(Standards!$F$2:$F$296,MATCH(C2403,Standards!$B$2:$B$296,0)))</f>
        <v>#N/A</v>
      </c>
      <c r="W2403">
        <f t="shared" si="113"/>
        <v>1</v>
      </c>
    </row>
    <row r="2404" spans="1:23" x14ac:dyDescent="0.5">
      <c r="A2404" s="54">
        <v>2403</v>
      </c>
      <c r="B2404" s="90" t="s">
        <v>661</v>
      </c>
      <c r="C2404" t="s">
        <v>296</v>
      </c>
      <c r="D2404" s="1"/>
      <c r="E2404" s="112">
        <v>2005.07</v>
      </c>
      <c r="F2404" s="112">
        <v>2024.09</v>
      </c>
      <c r="G2404" s="107" t="s">
        <v>670</v>
      </c>
      <c r="H2404">
        <f>INDEX('GIS-Standards'!$A$2:$A$305,MATCH(B2404,'GIS-Standards'!$B$2:$B$305,0))</f>
        <v>110</v>
      </c>
      <c r="I2404">
        <f>INDEX('GIS-Standards'!$A$2:$A$305,MATCH(C2404,'GIS-Standards'!$B$2:$B$305,0))</f>
        <v>12</v>
      </c>
      <c r="J2404" t="str">
        <f>INDEX('GIS-Standards'!$O$2:$O$305,MATCH(B2404,'GIS-Standards'!$B$2:$B$305,0))</f>
        <v>ISO/TC 211</v>
      </c>
      <c r="K2404" t="str">
        <f>INDEX('GIS-Standards'!$O$2:$O$305,MATCH(C2404,'GIS-Standards'!$B$2:$B$305,0))</f>
        <v>ISO/TC 211</v>
      </c>
      <c r="M2404" t="s">
        <v>524</v>
      </c>
      <c r="N2404">
        <f>INDEX('GIS-Standards'!$I$2:$I$305,MATCH(B2404,'GIS-Standards'!$B$2:$B$305,0))</f>
        <v>0</v>
      </c>
      <c r="O2404">
        <f>INDEX('GIS-Standards'!$I$2:$I$305,MATCH(C2404,'GIS-Standards'!$B$2:$B$305,0))</f>
        <v>0</v>
      </c>
      <c r="P2404" t="b">
        <f>AND(TableRelationships12[[#This Row],[Source Type]]="BIM",TableRelationships12[[#This Row],[Target Type]]="BIM")</f>
        <v>0</v>
      </c>
      <c r="Q2404">
        <f t="shared" si="111"/>
        <v>6</v>
      </c>
      <c r="S2404">
        <f t="shared" si="112"/>
        <v>1</v>
      </c>
      <c r="T2404" s="102" t="str">
        <f>IF(TableRelationships12[[#This Row],[Rank Pedro]]="Low","linkCategory1",IF(TableRelationships12[[#This Row],[Rank Pedro]]="Medium","linkCategory2",IF(TableRelationships12[[#This Row],[Rank Pedro]]="High","linkCategory3","")))</f>
        <v/>
      </c>
      <c r="U2404" s="102" t="str">
        <f>IF(TableRelationships12[[#This Row],[Rank Pedro]]="Low","Pink",IF(TableRelationships12[[#This Row],[Rank Pedro]]="Medium","Purple",IF(TableRelationships12[[#This Row],[Rank Pedro]]="High","Brown","")))</f>
        <v/>
      </c>
      <c r="V2404" s="4" t="e">
        <f>MAX(INDEX(Standards!$F$2:$F$296,MATCH(B2404,Standards!$B$2:$B$296,0)),INDEX(Standards!$F$2:$F$296,MATCH(C2404,Standards!$B$2:$B$296,0)))</f>
        <v>#N/A</v>
      </c>
      <c r="W2404" t="str">
        <f t="shared" si="113"/>
        <v>#d6bf2a</v>
      </c>
    </row>
    <row r="2405" spans="1:23" x14ac:dyDescent="0.5">
      <c r="A2405" s="54">
        <v>2404</v>
      </c>
      <c r="B2405" s="90" t="s">
        <v>661</v>
      </c>
      <c r="C2405" t="s">
        <v>658</v>
      </c>
      <c r="D2405" s="1"/>
      <c r="E2405" s="112">
        <v>2014.07</v>
      </c>
      <c r="F2405" s="112">
        <v>2014.07</v>
      </c>
      <c r="G2405" s="107" t="s">
        <v>670</v>
      </c>
      <c r="H2405">
        <f>INDEX('GIS-Standards'!$A$2:$A$305,MATCH(B2405,'GIS-Standards'!$B$2:$B$305,0))</f>
        <v>110</v>
      </c>
      <c r="I2405">
        <f>INDEX('GIS-Standards'!$A$2:$A$305,MATCH(C2405,'GIS-Standards'!$B$2:$B$305,0))</f>
        <v>107</v>
      </c>
      <c r="J2405" t="str">
        <f>INDEX('GIS-Standards'!$O$2:$O$305,MATCH(B2405,'GIS-Standards'!$B$2:$B$305,0))</f>
        <v>ISO/TC 211</v>
      </c>
      <c r="K2405" t="str">
        <f>INDEX('GIS-Standards'!$O$2:$O$305,MATCH(C2405,'GIS-Standards'!$B$2:$B$305,0))</f>
        <v>ISO/TC 211</v>
      </c>
      <c r="M2405" t="s">
        <v>524</v>
      </c>
      <c r="N2405">
        <f>INDEX('GIS-Standards'!$I$2:$I$305,MATCH(B2405,'GIS-Standards'!$B$2:$B$305,0))</f>
        <v>0</v>
      </c>
      <c r="O2405">
        <f>INDEX('GIS-Standards'!$I$2:$I$305,MATCH(C2405,'GIS-Standards'!$B$2:$B$305,0))</f>
        <v>0</v>
      </c>
      <c r="P2405" t="b">
        <f>AND(TableRelationships12[[#This Row],[Source Type]]="BIM",TableRelationships12[[#This Row],[Target Type]]="BIM")</f>
        <v>0</v>
      </c>
      <c r="Q2405">
        <f t="shared" si="111"/>
        <v>6</v>
      </c>
      <c r="S2405">
        <f t="shared" si="112"/>
        <v>1</v>
      </c>
      <c r="T2405" s="102" t="str">
        <f>IF(TableRelationships12[[#This Row],[Rank Pedro]]="Low","linkCategory1",IF(TableRelationships12[[#This Row],[Rank Pedro]]="Medium","linkCategory2",IF(TableRelationships12[[#This Row],[Rank Pedro]]="High","linkCategory3","")))</f>
        <v/>
      </c>
      <c r="U2405" s="102" t="str">
        <f>IF(TableRelationships12[[#This Row],[Rank Pedro]]="Low","Pink",IF(TableRelationships12[[#This Row],[Rank Pedro]]="Medium","Purple",IF(TableRelationships12[[#This Row],[Rank Pedro]]="High","Brown","")))</f>
        <v/>
      </c>
      <c r="V2405" s="4" t="e">
        <f>MAX(INDEX(Standards!$F$2:$F$296,MATCH(B2405,Standards!$B$2:$B$296,0)),INDEX(Standards!$F$2:$F$296,MATCH(C2405,Standards!$B$2:$B$296,0)))</f>
        <v>#N/A</v>
      </c>
      <c r="W2405" t="str">
        <f t="shared" si="113"/>
        <v>#d6bf2a</v>
      </c>
    </row>
    <row r="2406" spans="1:23" x14ac:dyDescent="0.5">
      <c r="A2406" s="54">
        <v>2405</v>
      </c>
      <c r="B2406" s="90" t="s">
        <v>661</v>
      </c>
      <c r="C2406" t="s">
        <v>659</v>
      </c>
      <c r="D2406" s="1"/>
      <c r="E2406" s="112">
        <v>2016.04</v>
      </c>
      <c r="F2406" s="112">
        <v>2016.04</v>
      </c>
      <c r="G2406" s="107" t="s">
        <v>670</v>
      </c>
      <c r="H2406">
        <f>INDEX('GIS-Standards'!$A$2:$A$305,MATCH(B2406,'GIS-Standards'!$B$2:$B$305,0))</f>
        <v>110</v>
      </c>
      <c r="I2406">
        <f>INDEX('GIS-Standards'!$A$2:$A$305,MATCH(C2406,'GIS-Standards'!$B$2:$B$305,0))</f>
        <v>108</v>
      </c>
      <c r="J2406" t="str">
        <f>INDEX('GIS-Standards'!$O$2:$O$305,MATCH(B2406,'GIS-Standards'!$B$2:$B$305,0))</f>
        <v>ISO/TC 211</v>
      </c>
      <c r="K2406" t="str">
        <f>INDEX('GIS-Standards'!$O$2:$O$305,MATCH(C2406,'GIS-Standards'!$B$2:$B$305,0))</f>
        <v>ISO/TC 211</v>
      </c>
      <c r="M2406" t="s">
        <v>524</v>
      </c>
      <c r="N2406">
        <f>INDEX('GIS-Standards'!$I$2:$I$305,MATCH(B2406,'GIS-Standards'!$B$2:$B$305,0))</f>
        <v>0</v>
      </c>
      <c r="O2406">
        <f>INDEX('GIS-Standards'!$I$2:$I$305,MATCH(C2406,'GIS-Standards'!$B$2:$B$305,0))</f>
        <v>0</v>
      </c>
      <c r="P2406" t="b">
        <f>AND(TableRelationships12[[#This Row],[Source Type]]="BIM",TableRelationships12[[#This Row],[Target Type]]="BIM")</f>
        <v>0</v>
      </c>
      <c r="Q2406">
        <f t="shared" si="111"/>
        <v>6</v>
      </c>
      <c r="S2406">
        <f t="shared" si="112"/>
        <v>1</v>
      </c>
      <c r="T2406" s="102" t="str">
        <f>IF(TableRelationships12[[#This Row],[Rank Pedro]]="Low","linkCategory1",IF(TableRelationships12[[#This Row],[Rank Pedro]]="Medium","linkCategory2",IF(TableRelationships12[[#This Row],[Rank Pedro]]="High","linkCategory3","")))</f>
        <v/>
      </c>
      <c r="U2406" s="102" t="str">
        <f>IF(TableRelationships12[[#This Row],[Rank Pedro]]="Low","Pink",IF(TableRelationships12[[#This Row],[Rank Pedro]]="Medium","Purple",IF(TableRelationships12[[#This Row],[Rank Pedro]]="High","Brown","")))</f>
        <v/>
      </c>
      <c r="V2406" s="4" t="e">
        <f>MAX(INDEX(Standards!$F$2:$F$296,MATCH(B2406,Standards!$B$2:$B$296,0)),INDEX(Standards!$F$2:$F$296,MATCH(C2406,Standards!$B$2:$B$296,0)))</f>
        <v>#N/A</v>
      </c>
      <c r="W2406" t="str">
        <f t="shared" si="113"/>
        <v>#d6bf2a</v>
      </c>
    </row>
    <row r="2407" spans="1:23" x14ac:dyDescent="0.5">
      <c r="A2407" s="54">
        <v>2406</v>
      </c>
      <c r="B2407" s="90" t="s">
        <v>661</v>
      </c>
      <c r="C2407" t="s">
        <v>660</v>
      </c>
      <c r="D2407" s="1"/>
      <c r="E2407" s="112">
        <v>2018.05</v>
      </c>
      <c r="F2407" s="112">
        <v>2018.05</v>
      </c>
      <c r="G2407" s="107" t="s">
        <v>670</v>
      </c>
      <c r="H2407">
        <f>INDEX('GIS-Standards'!$A$2:$A$305,MATCH(B2407,'GIS-Standards'!$B$2:$B$305,0))</f>
        <v>110</v>
      </c>
      <c r="I2407">
        <f>INDEX('GIS-Standards'!$A$2:$A$305,MATCH(C2407,'GIS-Standards'!$B$2:$B$305,0))</f>
        <v>109</v>
      </c>
      <c r="J2407" t="str">
        <f>INDEX('GIS-Standards'!$O$2:$O$305,MATCH(B2407,'GIS-Standards'!$B$2:$B$305,0))</f>
        <v>ISO/TC 211</v>
      </c>
      <c r="K2407" t="str">
        <f>INDEX('GIS-Standards'!$O$2:$O$305,MATCH(C2407,'GIS-Standards'!$B$2:$B$305,0))</f>
        <v>ISO/TC 211</v>
      </c>
      <c r="M2407" t="s">
        <v>524</v>
      </c>
      <c r="N2407">
        <f>INDEX('GIS-Standards'!$I$2:$I$305,MATCH(B2407,'GIS-Standards'!$B$2:$B$305,0))</f>
        <v>0</v>
      </c>
      <c r="O2407">
        <f>INDEX('GIS-Standards'!$I$2:$I$305,MATCH(C2407,'GIS-Standards'!$B$2:$B$305,0))</f>
        <v>0</v>
      </c>
      <c r="P2407" t="b">
        <f>AND(TableRelationships12[[#This Row],[Source Type]]="BIM",TableRelationships12[[#This Row],[Target Type]]="BIM")</f>
        <v>0</v>
      </c>
      <c r="Q2407">
        <f t="shared" si="111"/>
        <v>6</v>
      </c>
      <c r="S2407">
        <f t="shared" si="112"/>
        <v>1</v>
      </c>
      <c r="T2407" s="102" t="str">
        <f>IF(TableRelationships12[[#This Row],[Rank Pedro]]="Low","linkCategory1",IF(TableRelationships12[[#This Row],[Rank Pedro]]="Medium","linkCategory2",IF(TableRelationships12[[#This Row],[Rank Pedro]]="High","linkCategory3","")))</f>
        <v/>
      </c>
      <c r="U2407" s="102" t="str">
        <f>IF(TableRelationships12[[#This Row],[Rank Pedro]]="Low","Pink",IF(TableRelationships12[[#This Row],[Rank Pedro]]="Medium","Purple",IF(TableRelationships12[[#This Row],[Rank Pedro]]="High","Brown","")))</f>
        <v/>
      </c>
      <c r="V2407" s="4" t="e">
        <f>MAX(INDEX(Standards!$F$2:$F$296,MATCH(B2407,Standards!$B$2:$B$296,0)),INDEX(Standards!$F$2:$F$296,MATCH(C2407,Standards!$B$2:$B$296,0)))</f>
        <v>#N/A</v>
      </c>
      <c r="W2407" t="str">
        <f t="shared" si="113"/>
        <v>#d6bf2a</v>
      </c>
    </row>
    <row r="2408" spans="1:23" x14ac:dyDescent="0.5">
      <c r="A2408" s="54">
        <v>2407</v>
      </c>
      <c r="B2408" s="90" t="s">
        <v>661</v>
      </c>
      <c r="C2408" t="s">
        <v>631</v>
      </c>
      <c r="D2408" s="1" t="s">
        <v>1135</v>
      </c>
      <c r="E2408" s="112">
        <v>2008.06</v>
      </c>
      <c r="F2408" s="112">
        <v>2018.05</v>
      </c>
      <c r="G2408" s="107" t="s">
        <v>670</v>
      </c>
      <c r="H2408">
        <f>INDEX('GIS-Standards'!$A$2:$A$305,MATCH(B2408,'GIS-Standards'!$B$2:$B$305,0))</f>
        <v>110</v>
      </c>
      <c r="I2408">
        <f>INDEX('GIS-Standards'!$A$2:$A$305,MATCH(C2408,'GIS-Standards'!$B$2:$B$305,0))</f>
        <v>11</v>
      </c>
      <c r="J2408" t="str">
        <f>INDEX('GIS-Standards'!$O$2:$O$305,MATCH(B2408,'GIS-Standards'!$B$2:$B$305,0))</f>
        <v>ISO/TC 211</v>
      </c>
      <c r="K2408" t="str">
        <f>INDEX('GIS-Standards'!$O$2:$O$305,MATCH(C2408,'GIS-Standards'!$B$2:$B$305,0))</f>
        <v>ISO/TC 211</v>
      </c>
      <c r="M2408" t="s">
        <v>525</v>
      </c>
      <c r="N2408">
        <f>INDEX('GIS-Standards'!$I$2:$I$305,MATCH(B2408,'GIS-Standards'!$B$2:$B$305,0))</f>
        <v>0</v>
      </c>
      <c r="O2408">
        <f>INDEX('GIS-Standards'!$I$2:$I$305,MATCH(C2408,'GIS-Standards'!$B$2:$B$305,0))</f>
        <v>0</v>
      </c>
      <c r="P2408" t="b">
        <f>AND(TableRelationships12[[#This Row],[Source Type]]="BIM",TableRelationships12[[#This Row],[Target Type]]="BIM")</f>
        <v>0</v>
      </c>
      <c r="Q2408">
        <f t="shared" si="111"/>
        <v>1</v>
      </c>
      <c r="S2408">
        <f t="shared" si="112"/>
        <v>1</v>
      </c>
      <c r="T2408" s="102" t="str">
        <f>IF(TableRelationships12[[#This Row],[Rank Pedro]]="Low","linkCategory1",IF(TableRelationships12[[#This Row],[Rank Pedro]]="Medium","linkCategory2",IF(TableRelationships12[[#This Row],[Rank Pedro]]="High","linkCategory3","")))</f>
        <v/>
      </c>
      <c r="U2408" s="102" t="str">
        <f>IF(TableRelationships12[[#This Row],[Rank Pedro]]="Low","Pink",IF(TableRelationships12[[#This Row],[Rank Pedro]]="Medium","Purple",IF(TableRelationships12[[#This Row],[Rank Pedro]]="High","Brown","")))</f>
        <v/>
      </c>
      <c r="V2408" s="4" t="e">
        <f>MAX(INDEX(Standards!$F$2:$F$296,MATCH(B2408,Standards!$B$2:$B$296,0)),INDEX(Standards!$F$2:$F$296,MATCH(C2408,Standards!$B$2:$B$296,0)))</f>
        <v>#N/A</v>
      </c>
      <c r="W2408" t="str">
        <f t="shared" si="113"/>
        <v>#2f89d1</v>
      </c>
    </row>
    <row r="2409" spans="1:23" x14ac:dyDescent="0.5">
      <c r="A2409" s="54">
        <v>2408</v>
      </c>
      <c r="B2409" s="90" t="s">
        <v>661</v>
      </c>
      <c r="C2409" t="s">
        <v>300</v>
      </c>
      <c r="D2409" s="1"/>
      <c r="E2409" s="112">
        <v>2000.12</v>
      </c>
      <c r="F2409" s="112">
        <v>2022.07</v>
      </c>
      <c r="G2409" s="107" t="s">
        <v>670</v>
      </c>
      <c r="H2409">
        <f>INDEX('GIS-Standards'!$A$2:$A$305,MATCH(B2409,'GIS-Standards'!$B$2:$B$305,0))</f>
        <v>110</v>
      </c>
      <c r="I2409">
        <f>INDEX('GIS-Standards'!$A$2:$A$305,MATCH(C2409,'GIS-Standards'!$B$2:$B$305,0))</f>
        <v>14</v>
      </c>
      <c r="J2409" t="str">
        <f>INDEX('GIS-Standards'!$O$2:$O$305,MATCH(B2409,'GIS-Standards'!$B$2:$B$305,0))</f>
        <v>ISO/TC 211</v>
      </c>
      <c r="K2409" t="str">
        <f>INDEX('GIS-Standards'!$O$2:$O$305,MATCH(C2409,'GIS-Standards'!$B$2:$B$305,0))</f>
        <v>ISO/TC 211</v>
      </c>
      <c r="M2409" t="s">
        <v>525</v>
      </c>
      <c r="N2409">
        <f>INDEX('GIS-Standards'!$I$2:$I$305,MATCH(B2409,'GIS-Standards'!$B$2:$B$305,0))</f>
        <v>0</v>
      </c>
      <c r="O2409">
        <f>INDEX('GIS-Standards'!$I$2:$I$305,MATCH(C2409,'GIS-Standards'!$B$2:$B$305,0))</f>
        <v>0</v>
      </c>
      <c r="P2409" t="b">
        <f>AND(TableRelationships12[[#This Row],[Source Type]]="BIM",TableRelationships12[[#This Row],[Target Type]]="BIM")</f>
        <v>0</v>
      </c>
      <c r="Q2409">
        <f t="shared" si="111"/>
        <v>1</v>
      </c>
      <c r="S2409">
        <f t="shared" si="112"/>
        <v>1</v>
      </c>
      <c r="T2409" s="102" t="str">
        <f>IF(TableRelationships12[[#This Row],[Rank Pedro]]="Low","linkCategory1",IF(TableRelationships12[[#This Row],[Rank Pedro]]="Medium","linkCategory2",IF(TableRelationships12[[#This Row],[Rank Pedro]]="High","linkCategory3","")))</f>
        <v/>
      </c>
      <c r="U2409" s="102" t="str">
        <f>IF(TableRelationships12[[#This Row],[Rank Pedro]]="Low","Pink",IF(TableRelationships12[[#This Row],[Rank Pedro]]="Medium","Purple",IF(TableRelationships12[[#This Row],[Rank Pedro]]="High","Brown","")))</f>
        <v/>
      </c>
      <c r="V2409" s="4" t="e">
        <f>MAX(INDEX(Standards!$F$2:$F$296,MATCH(B2409,Standards!$B$2:$B$296,0)),INDEX(Standards!$F$2:$F$296,MATCH(C2409,Standards!$B$2:$B$296,0)))</f>
        <v>#N/A</v>
      </c>
      <c r="W2409" t="str">
        <f t="shared" si="113"/>
        <v>#2f89d1</v>
      </c>
    </row>
    <row r="2410" spans="1:23" x14ac:dyDescent="0.5">
      <c r="A2410" s="54">
        <v>2409</v>
      </c>
      <c r="B2410" s="90" t="s">
        <v>661</v>
      </c>
      <c r="C2410" t="s">
        <v>302</v>
      </c>
      <c r="D2410" s="1"/>
      <c r="E2410" s="112">
        <v>2003.05</v>
      </c>
      <c r="F2410" s="112">
        <v>2019.12</v>
      </c>
      <c r="G2410" s="107" t="s">
        <v>670</v>
      </c>
      <c r="H2410">
        <f>INDEX('GIS-Standards'!$A$2:$A$305,MATCH(B2410,'GIS-Standards'!$B$2:$B$305,0))</f>
        <v>110</v>
      </c>
      <c r="I2410">
        <f>INDEX('GIS-Standards'!$A$2:$A$305,MATCH(C2410,'GIS-Standards'!$B$2:$B$305,0))</f>
        <v>16</v>
      </c>
      <c r="J2410" t="str">
        <f>INDEX('GIS-Standards'!$O$2:$O$305,MATCH(B2410,'GIS-Standards'!$B$2:$B$305,0))</f>
        <v>ISO/TC 211</v>
      </c>
      <c r="K2410" t="str">
        <f>INDEX('GIS-Standards'!$O$2:$O$305,MATCH(C2410,'GIS-Standards'!$B$2:$B$305,0))</f>
        <v>ISO/TC 211</v>
      </c>
      <c r="M2410" t="s">
        <v>525</v>
      </c>
      <c r="N2410">
        <f>INDEX('GIS-Standards'!$I$2:$I$305,MATCH(B2410,'GIS-Standards'!$B$2:$B$305,0))</f>
        <v>0</v>
      </c>
      <c r="O2410">
        <f>INDEX('GIS-Standards'!$I$2:$I$305,MATCH(C2410,'GIS-Standards'!$B$2:$B$305,0))</f>
        <v>0</v>
      </c>
      <c r="P2410" t="b">
        <f>AND(TableRelationships12[[#This Row],[Source Type]]="BIM",TableRelationships12[[#This Row],[Target Type]]="BIM")</f>
        <v>0</v>
      </c>
      <c r="Q2410">
        <f t="shared" si="111"/>
        <v>1</v>
      </c>
      <c r="S2410">
        <f t="shared" si="112"/>
        <v>1</v>
      </c>
      <c r="T2410" s="102" t="str">
        <f>IF(TableRelationships12[[#This Row],[Rank Pedro]]="Low","linkCategory1",IF(TableRelationships12[[#This Row],[Rank Pedro]]="Medium","linkCategory2",IF(TableRelationships12[[#This Row],[Rank Pedro]]="High","linkCategory3","")))</f>
        <v/>
      </c>
      <c r="U2410" s="102" t="str">
        <f>IF(TableRelationships12[[#This Row],[Rank Pedro]]="Low","Pink",IF(TableRelationships12[[#This Row],[Rank Pedro]]="Medium","Purple",IF(TableRelationships12[[#This Row],[Rank Pedro]]="High","Brown","")))</f>
        <v/>
      </c>
      <c r="V2410" s="4" t="e">
        <f>MAX(INDEX(Standards!$F$2:$F$296,MATCH(B2410,Standards!$B$2:$B$296,0)),INDEX(Standards!$F$2:$F$296,MATCH(C2410,Standards!$B$2:$B$296,0)))</f>
        <v>#N/A</v>
      </c>
      <c r="W2410" t="str">
        <f t="shared" si="113"/>
        <v>#2f89d1</v>
      </c>
    </row>
    <row r="2411" spans="1:23" x14ac:dyDescent="0.5">
      <c r="A2411" s="54">
        <v>2410</v>
      </c>
      <c r="B2411" s="90" t="s">
        <v>661</v>
      </c>
      <c r="C2411" t="s">
        <v>314</v>
      </c>
      <c r="D2411" s="1"/>
      <c r="E2411" s="112">
        <v>2003.05</v>
      </c>
      <c r="F2411" s="112">
        <v>2020.11</v>
      </c>
      <c r="G2411" s="107" t="s">
        <v>670</v>
      </c>
      <c r="H2411">
        <f>INDEX('GIS-Standards'!$A$2:$A$305,MATCH(B2411,'GIS-Standards'!$B$2:$B$305,0))</f>
        <v>110</v>
      </c>
      <c r="I2411">
        <f>INDEX('GIS-Standards'!$A$2:$A$305,MATCH(C2411,'GIS-Standards'!$B$2:$B$305,0))</f>
        <v>22</v>
      </c>
      <c r="J2411" t="str">
        <f>INDEX('GIS-Standards'!$O$2:$O$305,MATCH(B2411,'GIS-Standards'!$B$2:$B$305,0))</f>
        <v>ISO/TC 211</v>
      </c>
      <c r="K2411" t="str">
        <f>INDEX('GIS-Standards'!$O$2:$O$305,MATCH(C2411,'GIS-Standards'!$B$2:$B$305,0))</f>
        <v>ISO/TC 211</v>
      </c>
      <c r="M2411" t="s">
        <v>525</v>
      </c>
      <c r="N2411">
        <f>INDEX('GIS-Standards'!$I$2:$I$305,MATCH(B2411,'GIS-Standards'!$B$2:$B$305,0))</f>
        <v>0</v>
      </c>
      <c r="O2411" t="str">
        <f>INDEX('GIS-Standards'!$I$2:$I$305,MATCH(C2411,'GIS-Standards'!$B$2:$B$305,0))</f>
        <v>12.2020</v>
      </c>
      <c r="P2411" t="b">
        <f>AND(TableRelationships12[[#This Row],[Source Type]]="BIM",TableRelationships12[[#This Row],[Target Type]]="BIM")</f>
        <v>0</v>
      </c>
      <c r="Q2411">
        <f t="shared" si="111"/>
        <v>1</v>
      </c>
      <c r="S2411">
        <f t="shared" si="112"/>
        <v>1</v>
      </c>
      <c r="T2411" s="102" t="str">
        <f>IF(TableRelationships12[[#This Row],[Rank Pedro]]="Low","linkCategory1",IF(TableRelationships12[[#This Row],[Rank Pedro]]="Medium","linkCategory2",IF(TableRelationships12[[#This Row],[Rank Pedro]]="High","linkCategory3","")))</f>
        <v/>
      </c>
      <c r="U2411" s="102" t="str">
        <f>IF(TableRelationships12[[#This Row],[Rank Pedro]]="Low","Pink",IF(TableRelationships12[[#This Row],[Rank Pedro]]="Medium","Purple",IF(TableRelationships12[[#This Row],[Rank Pedro]]="High","Brown","")))</f>
        <v/>
      </c>
      <c r="V2411" s="4" t="e">
        <f>MAX(INDEX(Standards!$F$2:$F$296,MATCH(B2411,Standards!$B$2:$B$296,0)),INDEX(Standards!$F$2:$F$296,MATCH(C2411,Standards!$B$2:$B$296,0)))</f>
        <v>#N/A</v>
      </c>
      <c r="W2411" t="str">
        <f t="shared" si="113"/>
        <v>#2f89d1</v>
      </c>
    </row>
    <row r="2412" spans="1:23" x14ac:dyDescent="0.5">
      <c r="A2412" s="54">
        <v>2411</v>
      </c>
      <c r="B2412" s="90" t="s">
        <v>661</v>
      </c>
      <c r="C2412" t="s">
        <v>1041</v>
      </c>
      <c r="D2412" s="1"/>
      <c r="E2412" s="112">
        <v>2009.02</v>
      </c>
      <c r="F2412" s="112">
        <v>2022.03</v>
      </c>
      <c r="G2412" s="107" t="s">
        <v>670</v>
      </c>
      <c r="H2412">
        <f>INDEX('GIS-Standards'!$A$2:$A$305,MATCH(B2412,'GIS-Standards'!$B$2:$B$305,0))</f>
        <v>110</v>
      </c>
      <c r="I2412">
        <f>INDEX('GIS-Standards'!$A$2:$A$305,MATCH(C2412,'GIS-Standards'!$B$2:$B$305,0))</f>
        <v>23</v>
      </c>
      <c r="J2412" t="str">
        <f>INDEX('GIS-Standards'!$O$2:$O$305,MATCH(B2412,'GIS-Standards'!$B$2:$B$305,0))</f>
        <v>ISO/TC 211</v>
      </c>
      <c r="K2412" t="str">
        <f>INDEX('GIS-Standards'!$O$2:$O$305,MATCH(C2412,'GIS-Standards'!$B$2:$B$305,0))</f>
        <v>ISO/TC 211</v>
      </c>
      <c r="M2412" t="s">
        <v>525</v>
      </c>
      <c r="N2412">
        <f>INDEX('GIS-Standards'!$I$2:$I$305,MATCH(B2412,'GIS-Standards'!$B$2:$B$305,0))</f>
        <v>0</v>
      </c>
      <c r="O2412" t="str">
        <f>INDEX('GIS-Standards'!$I$2:$I$305,MATCH(C2412,'GIS-Standards'!$B$2:$B$305,0))</f>
        <v>03.2022</v>
      </c>
      <c r="P2412" t="b">
        <f>AND(TableRelationships12[[#This Row],[Source Type]]="BIM",TableRelationships12[[#This Row],[Target Type]]="BIM")</f>
        <v>0</v>
      </c>
      <c r="Q2412">
        <f t="shared" si="111"/>
        <v>1</v>
      </c>
      <c r="S2412">
        <f t="shared" si="112"/>
        <v>1</v>
      </c>
      <c r="T2412" s="102" t="str">
        <f>IF(TableRelationships12[[#This Row],[Rank Pedro]]="Low","linkCategory1",IF(TableRelationships12[[#This Row],[Rank Pedro]]="Medium","linkCategory2",IF(TableRelationships12[[#This Row],[Rank Pedro]]="High","linkCategory3","")))</f>
        <v/>
      </c>
      <c r="U2412" s="102" t="str">
        <f>IF(TableRelationships12[[#This Row],[Rank Pedro]]="Low","Pink",IF(TableRelationships12[[#This Row],[Rank Pedro]]="Medium","Purple",IF(TableRelationships12[[#This Row],[Rank Pedro]]="High","Brown","")))</f>
        <v/>
      </c>
      <c r="V2412" s="4" t="e">
        <f>MAX(INDEX(Standards!$F$2:$F$296,MATCH(B2412,Standards!$B$2:$B$296,0)),INDEX(Standards!$F$2:$F$296,MATCH(C2412,Standards!$B$2:$B$296,0)))</f>
        <v>#N/A</v>
      </c>
      <c r="W2412" t="str">
        <f t="shared" si="113"/>
        <v>#2f89d1</v>
      </c>
    </row>
    <row r="2413" spans="1:23" x14ac:dyDescent="0.5">
      <c r="A2413" s="54">
        <v>2412</v>
      </c>
      <c r="B2413" s="90" t="s">
        <v>661</v>
      </c>
      <c r="C2413" t="s">
        <v>1043</v>
      </c>
      <c r="D2413" s="1"/>
      <c r="E2413" s="112">
        <v>2004.07</v>
      </c>
      <c r="F2413" s="112">
        <v>2025.04</v>
      </c>
      <c r="G2413" s="107" t="s">
        <v>670</v>
      </c>
      <c r="H2413">
        <f>INDEX('GIS-Standards'!$A$2:$A$305,MATCH(B2413,'GIS-Standards'!$B$2:$B$305,0))</f>
        <v>110</v>
      </c>
      <c r="I2413">
        <f>INDEX('GIS-Standards'!$A$2:$A$305,MATCH(C2413,'GIS-Standards'!$B$2:$B$305,0))</f>
        <v>25</v>
      </c>
      <c r="J2413" t="str">
        <f>INDEX('GIS-Standards'!$O$2:$O$305,MATCH(B2413,'GIS-Standards'!$B$2:$B$305,0))</f>
        <v>ISO/TC 211</v>
      </c>
      <c r="K2413" t="str">
        <f>INDEX('GIS-Standards'!$O$2:$O$305,MATCH(C2413,'GIS-Standards'!$B$2:$B$305,0))</f>
        <v>ISO/TC 211</v>
      </c>
      <c r="M2413" t="s">
        <v>525</v>
      </c>
      <c r="N2413">
        <f>INDEX('GIS-Standards'!$I$2:$I$305,MATCH(B2413,'GIS-Standards'!$B$2:$B$305,0))</f>
        <v>0</v>
      </c>
      <c r="O2413">
        <f>INDEX('GIS-Standards'!$I$2:$I$305,MATCH(C2413,'GIS-Standards'!$B$2:$B$305,0))</f>
        <v>0</v>
      </c>
      <c r="P2413" t="b">
        <f>AND(TableRelationships12[[#This Row],[Source Type]]="BIM",TableRelationships12[[#This Row],[Target Type]]="BIM")</f>
        <v>0</v>
      </c>
      <c r="Q2413">
        <f t="shared" si="111"/>
        <v>1</v>
      </c>
      <c r="S2413">
        <f t="shared" si="112"/>
        <v>1</v>
      </c>
      <c r="T2413" s="102" t="str">
        <f>IF(TableRelationships12[[#This Row],[Rank Pedro]]="Low","linkCategory1",IF(TableRelationships12[[#This Row],[Rank Pedro]]="Medium","linkCategory2",IF(TableRelationships12[[#This Row],[Rank Pedro]]="High","linkCategory3","")))</f>
        <v/>
      </c>
      <c r="U2413" s="102" t="str">
        <f>IF(TableRelationships12[[#This Row],[Rank Pedro]]="Low","Pink",IF(TableRelationships12[[#This Row],[Rank Pedro]]="Medium","Purple",IF(TableRelationships12[[#This Row],[Rank Pedro]]="High","Brown","")))</f>
        <v/>
      </c>
      <c r="V2413" s="4" t="e">
        <f>MAX(INDEX(Standards!$F$2:$F$296,MATCH(B2413,Standards!$B$2:$B$296,0)),INDEX(Standards!$F$2:$F$296,MATCH(C2413,Standards!$B$2:$B$296,0)))</f>
        <v>#N/A</v>
      </c>
      <c r="W2413" t="str">
        <f t="shared" si="113"/>
        <v>#2f89d1</v>
      </c>
    </row>
    <row r="2414" spans="1:23" x14ac:dyDescent="0.5">
      <c r="A2414" s="54">
        <v>2413</v>
      </c>
      <c r="B2414" s="90" t="s">
        <v>661</v>
      </c>
      <c r="C2414" t="s">
        <v>633</v>
      </c>
      <c r="D2414" s="1"/>
      <c r="E2414" s="112">
        <v>2010.06</v>
      </c>
      <c r="F2414" s="112">
        <v>2018.09</v>
      </c>
      <c r="G2414" s="107" t="s">
        <v>670</v>
      </c>
      <c r="H2414">
        <f>INDEX('GIS-Standards'!$A$2:$A$305,MATCH(B2414,'GIS-Standards'!$B$2:$B$305,0))</f>
        <v>110</v>
      </c>
      <c r="I2414">
        <f>INDEX('GIS-Standards'!$A$2:$A$305,MATCH(C2414,'GIS-Standards'!$B$2:$B$305,0))</f>
        <v>36</v>
      </c>
      <c r="J2414" t="str">
        <f>INDEX('GIS-Standards'!$O$2:$O$305,MATCH(B2414,'GIS-Standards'!$B$2:$B$305,0))</f>
        <v>ISO/TC 211</v>
      </c>
      <c r="K2414" t="str">
        <f>INDEX('GIS-Standards'!$O$2:$O$305,MATCH(C2414,'GIS-Standards'!$B$2:$B$305,0))</f>
        <v>ISO/TC 211</v>
      </c>
      <c r="M2414" t="s">
        <v>525</v>
      </c>
      <c r="N2414">
        <f>INDEX('GIS-Standards'!$I$2:$I$305,MATCH(B2414,'GIS-Standards'!$B$2:$B$305,0))</f>
        <v>0</v>
      </c>
      <c r="O2414">
        <f>INDEX('GIS-Standards'!$I$2:$I$305,MATCH(C2414,'GIS-Standards'!$B$2:$B$305,0))</f>
        <v>0</v>
      </c>
      <c r="P2414" t="b">
        <f>AND(TableRelationships12[[#This Row],[Source Type]]="BIM",TableRelationships12[[#This Row],[Target Type]]="BIM")</f>
        <v>0</v>
      </c>
      <c r="Q2414">
        <f t="shared" si="111"/>
        <v>1</v>
      </c>
      <c r="S2414">
        <f t="shared" si="112"/>
        <v>1</v>
      </c>
      <c r="T2414" s="102" t="str">
        <f>IF(TableRelationships12[[#This Row],[Rank Pedro]]="Low","linkCategory1",IF(TableRelationships12[[#This Row],[Rank Pedro]]="Medium","linkCategory2",IF(TableRelationships12[[#This Row],[Rank Pedro]]="High","linkCategory3","")))</f>
        <v/>
      </c>
      <c r="U2414" s="102" t="str">
        <f>IF(TableRelationships12[[#This Row],[Rank Pedro]]="Low","Pink",IF(TableRelationships12[[#This Row],[Rank Pedro]]="Medium","Purple",IF(TableRelationships12[[#This Row],[Rank Pedro]]="High","Brown","")))</f>
        <v/>
      </c>
      <c r="V2414" s="4" t="e">
        <f>MAX(INDEX(Standards!$F$2:$F$296,MATCH(B2414,Standards!$B$2:$B$296,0)),INDEX(Standards!$F$2:$F$296,MATCH(C2414,Standards!$B$2:$B$296,0)))</f>
        <v>#N/A</v>
      </c>
      <c r="W2414" t="str">
        <f t="shared" si="113"/>
        <v>#2f89d1</v>
      </c>
    </row>
    <row r="2415" spans="1:23" x14ac:dyDescent="0.5">
      <c r="A2415" s="54">
        <v>2414</v>
      </c>
      <c r="B2415" s="90" t="s">
        <v>661</v>
      </c>
      <c r="C2415" t="s">
        <v>348</v>
      </c>
      <c r="D2415" s="1" t="s">
        <v>640</v>
      </c>
      <c r="E2415" s="113">
        <v>2013.12</v>
      </c>
      <c r="F2415" s="113">
        <v>2023.04</v>
      </c>
      <c r="G2415" s="107" t="s">
        <v>670</v>
      </c>
      <c r="H2415">
        <f>INDEX('GIS-Standards'!$A$2:$A$305,MATCH(B2415,'GIS-Standards'!$B$2:$B$305,0))</f>
        <v>110</v>
      </c>
      <c r="I2415">
        <f>INDEX('GIS-Standards'!$A$2:$A$305,MATCH(C2415,'GIS-Standards'!$B$2:$B$305,0))</f>
        <v>66</v>
      </c>
      <c r="J2415" t="str">
        <f>INDEX('GIS-Standards'!$O$2:$O$305,MATCH(B2415,'GIS-Standards'!$B$2:$B$305,0))</f>
        <v>ISO/TC 211</v>
      </c>
      <c r="K2415" t="str">
        <f>INDEX('GIS-Standards'!$O$2:$O$305,MATCH(C2415,'GIS-Standards'!$B$2:$B$305,0))</f>
        <v>ISO/TC 211</v>
      </c>
      <c r="M2415" t="s">
        <v>525</v>
      </c>
      <c r="N2415">
        <f>INDEX('GIS-Standards'!$I$2:$I$305,MATCH(B2415,'GIS-Standards'!$B$2:$B$305,0))</f>
        <v>0</v>
      </c>
      <c r="O2415">
        <f>INDEX('GIS-Standards'!$I$2:$I$305,MATCH(C2415,'GIS-Standards'!$B$2:$B$305,0))</f>
        <v>0</v>
      </c>
      <c r="P2415" t="b">
        <f>AND(TableRelationships12[[#This Row],[Source Type]]="BIM",TableRelationships12[[#This Row],[Target Type]]="BIM")</f>
        <v>0</v>
      </c>
      <c r="Q2415">
        <f t="shared" si="111"/>
        <v>1</v>
      </c>
      <c r="S2415">
        <f t="shared" si="112"/>
        <v>1</v>
      </c>
      <c r="T2415" s="102" t="str">
        <f>IF(TableRelationships12[[#This Row],[Rank Pedro]]="Low","linkCategory1",IF(TableRelationships12[[#This Row],[Rank Pedro]]="Medium","linkCategory2",IF(TableRelationships12[[#This Row],[Rank Pedro]]="High","linkCategory3","")))</f>
        <v/>
      </c>
      <c r="U2415" s="102" t="str">
        <f>IF(TableRelationships12[[#This Row],[Rank Pedro]]="Low","Pink",IF(TableRelationships12[[#This Row],[Rank Pedro]]="Medium","Purple",IF(TableRelationships12[[#This Row],[Rank Pedro]]="High","Brown","")))</f>
        <v/>
      </c>
      <c r="V2415" s="4" t="e">
        <f>MAX(INDEX(Standards!$F$2:$F$296,MATCH(B2415,Standards!$B$2:$B$296,0)),INDEX(Standards!$F$2:$F$296,MATCH(C2415,Standards!$B$2:$B$296,0)))</f>
        <v>#N/A</v>
      </c>
      <c r="W2415" t="str">
        <f t="shared" si="113"/>
        <v>#2f89d1</v>
      </c>
    </row>
    <row r="2416" spans="1:23" x14ac:dyDescent="0.5">
      <c r="A2416" s="54">
        <v>2415</v>
      </c>
      <c r="B2416" s="90" t="s">
        <v>661</v>
      </c>
      <c r="C2416" t="s">
        <v>1370</v>
      </c>
      <c r="D2416" s="1" t="s">
        <v>1676</v>
      </c>
      <c r="E2416" s="112">
        <v>2018.07</v>
      </c>
      <c r="F2416" s="112">
        <v>2018.07</v>
      </c>
      <c r="G2416" s="107" t="s">
        <v>1455</v>
      </c>
      <c r="H2416">
        <f>INDEX('GIS-Standards'!$A$2:$A$305,MATCH(B2416,'GIS-Standards'!$B$2:$B$305,0))</f>
        <v>110</v>
      </c>
      <c r="I2416" t="e">
        <f>INDEX('GIS-Standards'!$A$2:$A$305,MATCH(C2416,'GIS-Standards'!$B$2:$B$305,0))</f>
        <v>#N/A</v>
      </c>
      <c r="J2416" t="str">
        <f>INDEX('GIS-Standards'!$O$2:$O$305,MATCH(B2416,'GIS-Standards'!$B$2:$B$305,0))</f>
        <v>ISO/TC 211</v>
      </c>
      <c r="K2416" t="e">
        <f>INDEX('GIS-Standards'!$O$2:$O$305,MATCH(C2416,'GIS-Standards'!$B$2:$B$305,0))</f>
        <v>#N/A</v>
      </c>
      <c r="M2416" t="s">
        <v>525</v>
      </c>
      <c r="N2416">
        <f>INDEX('GIS-Standards'!$I$2:$I$305,MATCH(B2416,'GIS-Standards'!$B$2:$B$305,0))</f>
        <v>0</v>
      </c>
      <c r="O2416" t="e">
        <f>INDEX('GIS-Standards'!$I$2:$I$305,MATCH(C2416,'GIS-Standards'!$B$2:$B$305,0))</f>
        <v>#N/A</v>
      </c>
      <c r="P2416" t="e">
        <f>AND(TableRelationships12[[#This Row],[Source Type]]="BIM",TableRelationships12[[#This Row],[Target Type]]="BIM")</f>
        <v>#N/A</v>
      </c>
      <c r="Q2416">
        <f t="shared" si="111"/>
        <v>1</v>
      </c>
      <c r="S2416">
        <f t="shared" si="112"/>
        <v>1</v>
      </c>
      <c r="T2416" s="102" t="str">
        <f>IF(TableRelationships12[[#This Row],[Rank Pedro]]="Low","linkCategory1",IF(TableRelationships12[[#This Row],[Rank Pedro]]="Medium","linkCategory2",IF(TableRelationships12[[#This Row],[Rank Pedro]]="High","linkCategory3","")))</f>
        <v/>
      </c>
      <c r="U2416" s="102" t="str">
        <f>IF(TableRelationships12[[#This Row],[Rank Pedro]]="Low","Pink",IF(TableRelationships12[[#This Row],[Rank Pedro]]="Medium","Purple",IF(TableRelationships12[[#This Row],[Rank Pedro]]="High","Brown","")))</f>
        <v/>
      </c>
      <c r="V2416" s="4" t="e">
        <f>MAX(INDEX(Standards!$F$2:$F$296,MATCH(B2416,Standards!$B$2:$B$296,0)),INDEX(Standards!$F$2:$F$296,MATCH(C2416,Standards!$B$2:$B$296,0)))</f>
        <v>#N/A</v>
      </c>
      <c r="W2416" t="str">
        <f t="shared" si="113"/>
        <v>#2f89d1</v>
      </c>
    </row>
    <row r="2417" spans="1:23" x14ac:dyDescent="0.5">
      <c r="A2417" s="54">
        <v>2416</v>
      </c>
      <c r="B2417" s="90" t="s">
        <v>661</v>
      </c>
      <c r="C2417" t="s">
        <v>1144</v>
      </c>
      <c r="D2417" s="1"/>
      <c r="E2417" s="112">
        <v>1967.12</v>
      </c>
      <c r="F2417" s="112">
        <v>2006.09</v>
      </c>
      <c r="G2417" s="107" t="s">
        <v>1483</v>
      </c>
      <c r="H2417">
        <f>INDEX('GIS-Standards'!$A$2:$A$305,MATCH(B2417,'GIS-Standards'!$B$2:$B$305,0))</f>
        <v>110</v>
      </c>
      <c r="I2417" t="e">
        <f>INDEX('GIS-Standards'!$A$2:$A$305,MATCH(C2417,'GIS-Standards'!$B$2:$B$305,0))</f>
        <v>#N/A</v>
      </c>
      <c r="J2417" t="str">
        <f>INDEX('GIS-Standards'!$O$2:$O$305,MATCH(B2417,'GIS-Standards'!$B$2:$B$305,0))</f>
        <v>ISO/TC 211</v>
      </c>
      <c r="K2417" t="e">
        <f>INDEX('GIS-Standards'!$O$2:$O$305,MATCH(C2417,'GIS-Standards'!$B$2:$B$305,0))</f>
        <v>#N/A</v>
      </c>
      <c r="M2417" t="s">
        <v>525</v>
      </c>
      <c r="N2417">
        <f>INDEX('GIS-Standards'!$I$2:$I$305,MATCH(B2417,'GIS-Standards'!$B$2:$B$305,0))</f>
        <v>0</v>
      </c>
      <c r="O2417" t="e">
        <f>INDEX('GIS-Standards'!$I$2:$I$305,MATCH(C2417,'GIS-Standards'!$B$2:$B$305,0))</f>
        <v>#N/A</v>
      </c>
      <c r="P2417" t="e">
        <f>AND(TableRelationships12[[#This Row],[Source Type]]="BIM",TableRelationships12[[#This Row],[Target Type]]="BIM")</f>
        <v>#N/A</v>
      </c>
      <c r="Q2417">
        <f t="shared" si="111"/>
        <v>1</v>
      </c>
      <c r="S2417">
        <f t="shared" si="112"/>
        <v>1</v>
      </c>
      <c r="T2417" s="102" t="str">
        <f>IF(TableRelationships12[[#This Row],[Rank Pedro]]="Low","linkCategory1",IF(TableRelationships12[[#This Row],[Rank Pedro]]="Medium","linkCategory2",IF(TableRelationships12[[#This Row],[Rank Pedro]]="High","linkCategory3","")))</f>
        <v/>
      </c>
      <c r="U2417" s="102" t="str">
        <f>IF(TableRelationships12[[#This Row],[Rank Pedro]]="Low","Pink",IF(TableRelationships12[[#This Row],[Rank Pedro]]="Medium","Purple",IF(TableRelationships12[[#This Row],[Rank Pedro]]="High","Brown","")))</f>
        <v/>
      </c>
      <c r="V2417" s="4" t="e">
        <f>MAX(INDEX(Standards!$F$2:$F$296,MATCH(B2417,Standards!$B$2:$B$296,0)),INDEX(Standards!$F$2:$F$296,MATCH(C2417,Standards!$B$2:$B$296,0)))</f>
        <v>#N/A</v>
      </c>
      <c r="W2417" t="str">
        <f t="shared" si="113"/>
        <v>#2f89d1</v>
      </c>
    </row>
    <row r="2418" spans="1:23" x14ac:dyDescent="0.5">
      <c r="A2418" s="54">
        <v>2417</v>
      </c>
      <c r="B2418" s="90" t="s">
        <v>661</v>
      </c>
      <c r="C2418" t="s">
        <v>1137</v>
      </c>
      <c r="D2418" s="1" t="s">
        <v>1676</v>
      </c>
      <c r="E2418" s="112">
        <v>1993.01</v>
      </c>
      <c r="F2418" s="112">
        <v>2010.09</v>
      </c>
      <c r="G2418" s="107" t="s">
        <v>1520</v>
      </c>
      <c r="H2418">
        <f>INDEX('GIS-Standards'!$A$2:$A$305,MATCH(B2418,'GIS-Standards'!$B$2:$B$305,0))</f>
        <v>110</v>
      </c>
      <c r="I2418" t="e">
        <f>INDEX('GIS-Standards'!$A$2:$A$305,MATCH(C2418,'GIS-Standards'!$B$2:$B$305,0))</f>
        <v>#N/A</v>
      </c>
      <c r="J2418" t="str">
        <f>INDEX('GIS-Standards'!$O$2:$O$305,MATCH(B2418,'GIS-Standards'!$B$2:$B$305,0))</f>
        <v>ISO/TC 211</v>
      </c>
      <c r="K2418" t="e">
        <f>INDEX('GIS-Standards'!$O$2:$O$305,MATCH(C2418,'GIS-Standards'!$B$2:$B$305,0))</f>
        <v>#N/A</v>
      </c>
      <c r="M2418" t="s">
        <v>525</v>
      </c>
      <c r="N2418">
        <f>INDEX('GIS-Standards'!$I$2:$I$305,MATCH(B2418,'GIS-Standards'!$B$2:$B$305,0))</f>
        <v>0</v>
      </c>
      <c r="O2418" t="e">
        <f>INDEX('GIS-Standards'!$I$2:$I$305,MATCH(C2418,'GIS-Standards'!$B$2:$B$305,0))</f>
        <v>#N/A</v>
      </c>
      <c r="P2418" t="e">
        <f>AND(TableRelationships12[[#This Row],[Source Type]]="BIM",TableRelationships12[[#This Row],[Target Type]]="BIM")</f>
        <v>#N/A</v>
      </c>
      <c r="Q2418">
        <f t="shared" si="111"/>
        <v>1</v>
      </c>
      <c r="S2418">
        <f t="shared" si="112"/>
        <v>1</v>
      </c>
      <c r="T2418" s="102" t="str">
        <f>IF(TableRelationships12[[#This Row],[Rank Pedro]]="Low","linkCategory1",IF(TableRelationships12[[#This Row],[Rank Pedro]]="Medium","linkCategory2",IF(TableRelationships12[[#This Row],[Rank Pedro]]="High","linkCategory3","")))</f>
        <v/>
      </c>
      <c r="U2418" s="102" t="str">
        <f>IF(TableRelationships12[[#This Row],[Rank Pedro]]="Low","Pink",IF(TableRelationships12[[#This Row],[Rank Pedro]]="Medium","Purple",IF(TableRelationships12[[#This Row],[Rank Pedro]]="High","Brown","")))</f>
        <v/>
      </c>
      <c r="V2418" s="4" t="e">
        <f>MAX(INDEX(Standards!$F$2:$F$296,MATCH(B2418,Standards!$B$2:$B$296,0)),INDEX(Standards!$F$2:$F$296,MATCH(C2418,Standards!$B$2:$B$296,0)))</f>
        <v>#N/A</v>
      </c>
      <c r="W2418" t="str">
        <f t="shared" si="113"/>
        <v>#2f89d1</v>
      </c>
    </row>
    <row r="2419" spans="1:23" x14ac:dyDescent="0.5">
      <c r="A2419" s="54">
        <v>2418</v>
      </c>
      <c r="B2419" s="90" t="s">
        <v>661</v>
      </c>
      <c r="C2419" t="s">
        <v>1371</v>
      </c>
      <c r="D2419" s="1"/>
      <c r="E2419" s="112">
        <v>1999.07</v>
      </c>
      <c r="F2419" s="112">
        <v>2022.05</v>
      </c>
      <c r="G2419" s="107" t="s">
        <v>1450</v>
      </c>
      <c r="H2419">
        <f>INDEX('GIS-Standards'!$A$2:$A$305,MATCH(B2419,'GIS-Standards'!$B$2:$B$305,0))</f>
        <v>110</v>
      </c>
      <c r="I2419" t="e">
        <f>INDEX('GIS-Standards'!$A$2:$A$305,MATCH(C2419,'GIS-Standards'!$B$2:$B$305,0))</f>
        <v>#N/A</v>
      </c>
      <c r="J2419" t="str">
        <f>INDEX('GIS-Standards'!$O$2:$O$305,MATCH(B2419,'GIS-Standards'!$B$2:$B$305,0))</f>
        <v>ISO/TC 211</v>
      </c>
      <c r="K2419" t="e">
        <f>INDEX('GIS-Standards'!$O$2:$O$305,MATCH(C2419,'GIS-Standards'!$B$2:$B$305,0))</f>
        <v>#N/A</v>
      </c>
      <c r="M2419" t="s">
        <v>525</v>
      </c>
      <c r="N2419">
        <f>INDEX('GIS-Standards'!$I$2:$I$305,MATCH(B2419,'GIS-Standards'!$B$2:$B$305,0))</f>
        <v>0</v>
      </c>
      <c r="O2419" t="e">
        <f>INDEX('GIS-Standards'!$I$2:$I$305,MATCH(C2419,'GIS-Standards'!$B$2:$B$305,0))</f>
        <v>#N/A</v>
      </c>
      <c r="P2419" t="e">
        <f>AND(TableRelationships12[[#This Row],[Source Type]]="BIM",TableRelationships12[[#This Row],[Target Type]]="BIM")</f>
        <v>#N/A</v>
      </c>
      <c r="Q2419">
        <f t="shared" si="111"/>
        <v>1</v>
      </c>
      <c r="S2419">
        <f t="shared" si="112"/>
        <v>1</v>
      </c>
      <c r="T2419" s="102" t="str">
        <f>IF(TableRelationships12[[#This Row],[Rank Pedro]]="Low","linkCategory1",IF(TableRelationships12[[#This Row],[Rank Pedro]]="Medium","linkCategory2",IF(TableRelationships12[[#This Row],[Rank Pedro]]="High","linkCategory3","")))</f>
        <v/>
      </c>
      <c r="U2419" s="102" t="str">
        <f>IF(TableRelationships12[[#This Row],[Rank Pedro]]="Low","Pink",IF(TableRelationships12[[#This Row],[Rank Pedro]]="Medium","Purple",IF(TableRelationships12[[#This Row],[Rank Pedro]]="High","Brown","")))</f>
        <v/>
      </c>
      <c r="V2419" s="4" t="e">
        <f>MAX(INDEX(Standards!$F$2:$F$296,MATCH(B2419,Standards!$B$2:$B$296,0)),INDEX(Standards!$F$2:$F$296,MATCH(C2419,Standards!$B$2:$B$296,0)))</f>
        <v>#N/A</v>
      </c>
      <c r="W2419" t="str">
        <f t="shared" si="113"/>
        <v>#2f89d1</v>
      </c>
    </row>
    <row r="2420" spans="1:23" x14ac:dyDescent="0.5">
      <c r="A2420" s="54">
        <v>2419</v>
      </c>
      <c r="B2420" s="90" t="s">
        <v>661</v>
      </c>
      <c r="C2420" t="s">
        <v>1372</v>
      </c>
      <c r="D2420" s="1" t="s">
        <v>1436</v>
      </c>
      <c r="E2420" s="112">
        <v>1998.1</v>
      </c>
      <c r="F2420" s="112">
        <v>2024.08</v>
      </c>
      <c r="G2420" s="107" t="s">
        <v>1493</v>
      </c>
      <c r="H2420">
        <f>INDEX('GIS-Standards'!$A$2:$A$305,MATCH(B2420,'GIS-Standards'!$B$2:$B$305,0))</f>
        <v>110</v>
      </c>
      <c r="I2420" t="e">
        <f>INDEX('GIS-Standards'!$A$2:$A$305,MATCH(C2420,'GIS-Standards'!$B$2:$B$305,0))</f>
        <v>#N/A</v>
      </c>
      <c r="J2420" t="str">
        <f>INDEX('GIS-Standards'!$O$2:$O$305,MATCH(B2420,'GIS-Standards'!$B$2:$B$305,0))</f>
        <v>ISO/TC 211</v>
      </c>
      <c r="K2420" t="e">
        <f>INDEX('GIS-Standards'!$O$2:$O$305,MATCH(C2420,'GIS-Standards'!$B$2:$B$305,0))</f>
        <v>#N/A</v>
      </c>
      <c r="M2420" t="s">
        <v>525</v>
      </c>
      <c r="N2420">
        <f>INDEX('GIS-Standards'!$I$2:$I$305,MATCH(B2420,'GIS-Standards'!$B$2:$B$305,0))</f>
        <v>0</v>
      </c>
      <c r="O2420" t="e">
        <f>INDEX('GIS-Standards'!$I$2:$I$305,MATCH(C2420,'GIS-Standards'!$B$2:$B$305,0))</f>
        <v>#N/A</v>
      </c>
      <c r="P2420" t="e">
        <f>AND(TableRelationships12[[#This Row],[Source Type]]="BIM",TableRelationships12[[#This Row],[Target Type]]="BIM")</f>
        <v>#N/A</v>
      </c>
      <c r="Q2420">
        <f t="shared" si="111"/>
        <v>1</v>
      </c>
      <c r="S2420">
        <f t="shared" si="112"/>
        <v>1</v>
      </c>
      <c r="T2420" s="102" t="str">
        <f>IF(TableRelationships12[[#This Row],[Rank Pedro]]="Low","linkCategory1",IF(TableRelationships12[[#This Row],[Rank Pedro]]="Medium","linkCategory2",IF(TableRelationships12[[#This Row],[Rank Pedro]]="High","linkCategory3","")))</f>
        <v/>
      </c>
      <c r="U2420" s="102" t="str">
        <f>IF(TableRelationships12[[#This Row],[Rank Pedro]]="Low","Pink",IF(TableRelationships12[[#This Row],[Rank Pedro]]="Medium","Purple",IF(TableRelationships12[[#This Row],[Rank Pedro]]="High","Brown","")))</f>
        <v/>
      </c>
      <c r="V2420" s="4" t="e">
        <f>MAX(INDEX(Standards!$F$2:$F$296,MATCH(B2420,Standards!$B$2:$B$296,0)),INDEX(Standards!$F$2:$F$296,MATCH(C2420,Standards!$B$2:$B$296,0)))</f>
        <v>#N/A</v>
      </c>
      <c r="W2420" t="str">
        <f t="shared" si="113"/>
        <v>#2f89d1</v>
      </c>
    </row>
    <row r="2421" spans="1:23" x14ac:dyDescent="0.5">
      <c r="A2421" s="54">
        <v>2420</v>
      </c>
      <c r="B2421" s="90" t="s">
        <v>661</v>
      </c>
      <c r="C2421" t="s">
        <v>1374</v>
      </c>
      <c r="D2421" s="1"/>
      <c r="G2421" s="107"/>
      <c r="H2421">
        <f>INDEX('GIS-Standards'!$A$2:$A$305,MATCH(B2421,'GIS-Standards'!$B$2:$B$305,0))</f>
        <v>110</v>
      </c>
      <c r="I2421" t="e">
        <f>INDEX('GIS-Standards'!$A$2:$A$305,MATCH(C2421,'GIS-Standards'!$B$2:$B$305,0))</f>
        <v>#N/A</v>
      </c>
      <c r="J2421" t="str">
        <f>INDEX('GIS-Standards'!$O$2:$O$305,MATCH(B2421,'GIS-Standards'!$B$2:$B$305,0))</f>
        <v>ISO/TC 211</v>
      </c>
      <c r="K2421" t="e">
        <f>INDEX('GIS-Standards'!$O$2:$O$305,MATCH(C2421,'GIS-Standards'!$B$2:$B$305,0))</f>
        <v>#N/A</v>
      </c>
      <c r="M2421" t="s">
        <v>525</v>
      </c>
      <c r="N2421">
        <f>INDEX('GIS-Standards'!$I$2:$I$305,MATCH(B2421,'GIS-Standards'!$B$2:$B$305,0))</f>
        <v>0</v>
      </c>
      <c r="O2421" t="e">
        <f>INDEX('GIS-Standards'!$I$2:$I$305,MATCH(C2421,'GIS-Standards'!$B$2:$B$305,0))</f>
        <v>#N/A</v>
      </c>
      <c r="P2421" t="e">
        <f>AND(TableRelationships12[[#This Row],[Source Type]]="BIM",TableRelationships12[[#This Row],[Target Type]]="BIM")</f>
        <v>#N/A</v>
      </c>
      <c r="Q2421">
        <f t="shared" si="111"/>
        <v>1</v>
      </c>
      <c r="S2421">
        <f t="shared" si="112"/>
        <v>1</v>
      </c>
      <c r="T2421" s="102" t="str">
        <f>IF(TableRelationships12[[#This Row],[Rank Pedro]]="Low","linkCategory1",IF(TableRelationships12[[#This Row],[Rank Pedro]]="Medium","linkCategory2",IF(TableRelationships12[[#This Row],[Rank Pedro]]="High","linkCategory3","")))</f>
        <v/>
      </c>
      <c r="U2421" s="102" t="str">
        <f>IF(TableRelationships12[[#This Row],[Rank Pedro]]="Low","Pink",IF(TableRelationships12[[#This Row],[Rank Pedro]]="Medium","Purple",IF(TableRelationships12[[#This Row],[Rank Pedro]]="High","Brown","")))</f>
        <v/>
      </c>
      <c r="V2421" s="4" t="e">
        <f>MAX(INDEX(Standards!$F$2:$F$296,MATCH(B2421,Standards!$B$2:$B$296,0)),INDEX(Standards!$F$2:$F$296,MATCH(C2421,Standards!$B$2:$B$296,0)))</f>
        <v>#N/A</v>
      </c>
      <c r="W2421" t="str">
        <f t="shared" si="113"/>
        <v>#2f89d1</v>
      </c>
    </row>
    <row r="2422" spans="1:23" x14ac:dyDescent="0.5">
      <c r="A2422" s="54">
        <v>2421</v>
      </c>
      <c r="B2422" s="90" t="s">
        <v>661</v>
      </c>
      <c r="C2422" t="s">
        <v>1373</v>
      </c>
      <c r="D2422" s="1"/>
      <c r="E2422" s="112">
        <v>2009.09</v>
      </c>
      <c r="F2422" s="112">
        <v>2025.09</v>
      </c>
      <c r="G2422" s="107"/>
      <c r="H2422">
        <f>INDEX('GIS-Standards'!$A$2:$A$305,MATCH(B2422,'GIS-Standards'!$B$2:$B$305,0))</f>
        <v>110</v>
      </c>
      <c r="I2422" t="e">
        <f>INDEX('GIS-Standards'!$A$2:$A$305,MATCH(C2422,'GIS-Standards'!$B$2:$B$305,0))</f>
        <v>#N/A</v>
      </c>
      <c r="J2422" t="str">
        <f>INDEX('GIS-Standards'!$O$2:$O$305,MATCH(B2422,'GIS-Standards'!$B$2:$B$305,0))</f>
        <v>ISO/TC 211</v>
      </c>
      <c r="K2422" t="e">
        <f>INDEX('GIS-Standards'!$O$2:$O$305,MATCH(C2422,'GIS-Standards'!$B$2:$B$305,0))</f>
        <v>#N/A</v>
      </c>
      <c r="M2422" t="s">
        <v>525</v>
      </c>
      <c r="N2422">
        <f>INDEX('GIS-Standards'!$I$2:$I$305,MATCH(B2422,'GIS-Standards'!$B$2:$B$305,0))</f>
        <v>0</v>
      </c>
      <c r="O2422" t="e">
        <f>INDEX('GIS-Standards'!$I$2:$I$305,MATCH(C2422,'GIS-Standards'!$B$2:$B$305,0))</f>
        <v>#N/A</v>
      </c>
      <c r="P2422" t="e">
        <f>AND(TableRelationships12[[#This Row],[Source Type]]="BIM",TableRelationships12[[#This Row],[Target Type]]="BIM")</f>
        <v>#N/A</v>
      </c>
      <c r="Q2422">
        <f t="shared" si="111"/>
        <v>1</v>
      </c>
      <c r="S2422">
        <f t="shared" si="112"/>
        <v>1</v>
      </c>
      <c r="T2422" s="102" t="str">
        <f>IF(TableRelationships12[[#This Row],[Rank Pedro]]="Low","linkCategory1",IF(TableRelationships12[[#This Row],[Rank Pedro]]="Medium","linkCategory2",IF(TableRelationships12[[#This Row],[Rank Pedro]]="High","linkCategory3","")))</f>
        <v/>
      </c>
      <c r="U2422" s="102" t="str">
        <f>IF(TableRelationships12[[#This Row],[Rank Pedro]]="Low","Pink",IF(TableRelationships12[[#This Row],[Rank Pedro]]="Medium","Purple",IF(TableRelationships12[[#This Row],[Rank Pedro]]="High","Brown","")))</f>
        <v/>
      </c>
      <c r="V2422" s="4" t="e">
        <f>MAX(INDEX(Standards!$F$2:$F$296,MATCH(B2422,Standards!$B$2:$B$296,0)),INDEX(Standards!$F$2:$F$296,MATCH(C2422,Standards!$B$2:$B$296,0)))</f>
        <v>#N/A</v>
      </c>
      <c r="W2422" t="str">
        <f t="shared" si="113"/>
        <v>#2f89d1</v>
      </c>
    </row>
    <row r="2423" spans="1:23" x14ac:dyDescent="0.5">
      <c r="A2423" s="54">
        <v>2422</v>
      </c>
      <c r="B2423" s="90" t="s">
        <v>661</v>
      </c>
      <c r="C2423" t="s">
        <v>1646</v>
      </c>
      <c r="D2423" s="1"/>
      <c r="G2423" s="107"/>
      <c r="H2423">
        <f>INDEX('GIS-Standards'!$A$2:$A$305,MATCH(B2423,'GIS-Standards'!$B$2:$B$305,0))</f>
        <v>110</v>
      </c>
      <c r="I2423" t="e">
        <f>INDEX('GIS-Standards'!$A$2:$A$305,MATCH(C2423,'GIS-Standards'!$B$2:$B$305,0))</f>
        <v>#N/A</v>
      </c>
      <c r="J2423" t="str">
        <f>INDEX('GIS-Standards'!$O$2:$O$305,MATCH(B2423,'GIS-Standards'!$B$2:$B$305,0))</f>
        <v>ISO/TC 211</v>
      </c>
      <c r="K2423" t="e">
        <f>INDEX('GIS-Standards'!$O$2:$O$305,MATCH(C2423,'GIS-Standards'!$B$2:$B$305,0))</f>
        <v>#N/A</v>
      </c>
      <c r="M2423" t="s">
        <v>525</v>
      </c>
      <c r="N2423">
        <f>INDEX('GIS-Standards'!$I$2:$I$305,MATCH(B2423,'GIS-Standards'!$B$2:$B$305,0))</f>
        <v>0</v>
      </c>
      <c r="O2423" t="e">
        <f>INDEX('GIS-Standards'!$I$2:$I$305,MATCH(C2423,'GIS-Standards'!$B$2:$B$305,0))</f>
        <v>#N/A</v>
      </c>
      <c r="P2423" t="e">
        <f>AND(TableRelationships12[[#This Row],[Source Type]]="BIM",TableRelationships12[[#This Row],[Target Type]]="BIM")</f>
        <v>#N/A</v>
      </c>
      <c r="Q2423">
        <f t="shared" si="111"/>
        <v>1</v>
      </c>
      <c r="S2423">
        <f t="shared" si="112"/>
        <v>1</v>
      </c>
      <c r="T2423" s="102" t="str">
        <f>IF(TableRelationships12[[#This Row],[Rank Pedro]]="Low","linkCategory1",IF(TableRelationships12[[#This Row],[Rank Pedro]]="Medium","linkCategory2",IF(TableRelationships12[[#This Row],[Rank Pedro]]="High","linkCategory3","")))</f>
        <v/>
      </c>
      <c r="U2423" s="102" t="str">
        <f>IF(TableRelationships12[[#This Row],[Rank Pedro]]="Low","Pink",IF(TableRelationships12[[#This Row],[Rank Pedro]]="Medium","Purple",IF(TableRelationships12[[#This Row],[Rank Pedro]]="High","Brown","")))</f>
        <v/>
      </c>
      <c r="V2423" s="4" t="e">
        <f>MAX(INDEX(Standards!$F$2:$F$296,MATCH(B2423,Standards!$B$2:$B$296,0)),INDEX(Standards!$F$2:$F$296,MATCH(C2423,Standards!$B$2:$B$296,0)))</f>
        <v>#N/A</v>
      </c>
      <c r="W2423" t="str">
        <f t="shared" si="113"/>
        <v>#2f89d1</v>
      </c>
    </row>
    <row r="2424" spans="1:23" x14ac:dyDescent="0.5">
      <c r="A2424" s="54">
        <v>2423</v>
      </c>
      <c r="B2424" s="90" t="s">
        <v>662</v>
      </c>
      <c r="C2424" t="s">
        <v>527</v>
      </c>
      <c r="D2424" s="1"/>
      <c r="E2424" s="112" t="s">
        <v>912</v>
      </c>
      <c r="F2424" s="112" t="s">
        <v>912</v>
      </c>
      <c r="G2424" s="121" t="s">
        <v>670</v>
      </c>
      <c r="H2424">
        <f>INDEX('GIS-Standards'!$A$2:$A$305,MATCH(B2424,'GIS-Standards'!$B$2:$B$305,0))</f>
        <v>111</v>
      </c>
      <c r="I2424" t="e">
        <f>INDEX('GIS-Standards'!$A$2:$A$305,MATCH(C2424,'GIS-Standards'!$B$2:$B$305,0))</f>
        <v>#N/A</v>
      </c>
      <c r="J2424" t="str">
        <f>INDEX('GIS-Standards'!$O$2:$O$305,MATCH(B2424,'GIS-Standards'!$B$2:$B$305,0))</f>
        <v>ISO/TC 211</v>
      </c>
      <c r="K2424" t="e">
        <f>INDEX('GIS-Standards'!$O$2:$O$305,MATCH(C2424,'GIS-Standards'!$B$2:$B$305,0))</f>
        <v>#N/A</v>
      </c>
      <c r="M2424" t="s">
        <v>237</v>
      </c>
      <c r="N2424">
        <f>INDEX('GIS-Standards'!$I$2:$I$305,MATCH(B2424,'GIS-Standards'!$B$2:$B$305,0))</f>
        <v>0</v>
      </c>
      <c r="O2424" t="e">
        <f>INDEX('GIS-Standards'!$I$2:$I$305,MATCH(C2424,'GIS-Standards'!$B$2:$B$305,0))</f>
        <v>#N/A</v>
      </c>
      <c r="P2424" t="e">
        <f>AND(TableRelationships12[[#This Row],[Source Type]]="BIM",TableRelationships12[[#This Row],[Target Type]]="BIM")</f>
        <v>#N/A</v>
      </c>
      <c r="Q2424">
        <f t="shared" si="111"/>
        <v>2</v>
      </c>
      <c r="S2424">
        <f t="shared" si="112"/>
        <v>1</v>
      </c>
      <c r="T2424" s="102" t="str">
        <f>IF(TableRelationships12[[#This Row],[Rank Pedro]]="Low","linkCategory1",IF(TableRelationships12[[#This Row],[Rank Pedro]]="Medium","linkCategory2",IF(TableRelationships12[[#This Row],[Rank Pedro]]="High","linkCategory3","")))</f>
        <v/>
      </c>
      <c r="U2424" s="102" t="str">
        <f>IF(TableRelationships12[[#This Row],[Rank Pedro]]="Low","Pink",IF(TableRelationships12[[#This Row],[Rank Pedro]]="Medium","Purple",IF(TableRelationships12[[#This Row],[Rank Pedro]]="High","Brown","")))</f>
        <v/>
      </c>
      <c r="V2424" s="4" t="e">
        <f>MAX(INDEX(Standards!$F$2:$F$296,MATCH(B2424,Standards!$B$2:$B$296,0)),INDEX(Standards!$F$2:$F$296,MATCH(C2424,Standards!$B$2:$B$296,0)))</f>
        <v>#N/A</v>
      </c>
      <c r="W2424">
        <f t="shared" si="113"/>
        <v>1</v>
      </c>
    </row>
    <row r="2425" spans="1:23" x14ac:dyDescent="0.5">
      <c r="A2425" s="54">
        <v>2424</v>
      </c>
      <c r="B2425" s="90" t="s">
        <v>662</v>
      </c>
      <c r="C2425" t="s">
        <v>296</v>
      </c>
      <c r="D2425" s="1"/>
      <c r="E2425" s="112">
        <v>2005.07</v>
      </c>
      <c r="F2425" s="112">
        <v>2024.09</v>
      </c>
      <c r="G2425" s="107" t="s">
        <v>670</v>
      </c>
      <c r="H2425">
        <f>INDEX('GIS-Standards'!$A$2:$A$305,MATCH(B2425,'GIS-Standards'!$B$2:$B$305,0))</f>
        <v>111</v>
      </c>
      <c r="I2425">
        <f>INDEX('GIS-Standards'!$A$2:$A$305,MATCH(C2425,'GIS-Standards'!$B$2:$B$305,0))</f>
        <v>12</v>
      </c>
      <c r="J2425" t="str">
        <f>INDEX('GIS-Standards'!$O$2:$O$305,MATCH(B2425,'GIS-Standards'!$B$2:$B$305,0))</f>
        <v>ISO/TC 211</v>
      </c>
      <c r="K2425" t="str">
        <f>INDEX('GIS-Standards'!$O$2:$O$305,MATCH(C2425,'GIS-Standards'!$B$2:$B$305,0))</f>
        <v>ISO/TC 211</v>
      </c>
      <c r="M2425" t="s">
        <v>524</v>
      </c>
      <c r="N2425">
        <f>INDEX('GIS-Standards'!$I$2:$I$305,MATCH(B2425,'GIS-Standards'!$B$2:$B$305,0))</f>
        <v>0</v>
      </c>
      <c r="O2425">
        <f>INDEX('GIS-Standards'!$I$2:$I$305,MATCH(C2425,'GIS-Standards'!$B$2:$B$305,0))</f>
        <v>0</v>
      </c>
      <c r="P2425" t="b">
        <f>AND(TableRelationships12[[#This Row],[Source Type]]="BIM",TableRelationships12[[#This Row],[Target Type]]="BIM")</f>
        <v>0</v>
      </c>
      <c r="Q2425">
        <f t="shared" si="111"/>
        <v>6</v>
      </c>
      <c r="S2425">
        <f t="shared" si="112"/>
        <v>1</v>
      </c>
      <c r="T2425" s="102" t="str">
        <f>IF(TableRelationships12[[#This Row],[Rank Pedro]]="Low","linkCategory1",IF(TableRelationships12[[#This Row],[Rank Pedro]]="Medium","linkCategory2",IF(TableRelationships12[[#This Row],[Rank Pedro]]="High","linkCategory3","")))</f>
        <v/>
      </c>
      <c r="U2425" s="102" t="str">
        <f>IF(TableRelationships12[[#This Row],[Rank Pedro]]="Low","Pink",IF(TableRelationships12[[#This Row],[Rank Pedro]]="Medium","Purple",IF(TableRelationships12[[#This Row],[Rank Pedro]]="High","Brown","")))</f>
        <v/>
      </c>
      <c r="V2425" s="4" t="e">
        <f>MAX(INDEX(Standards!$F$2:$F$296,MATCH(B2425,Standards!$B$2:$B$296,0)),INDEX(Standards!$F$2:$F$296,MATCH(C2425,Standards!$B$2:$B$296,0)))</f>
        <v>#N/A</v>
      </c>
      <c r="W2425" t="str">
        <f t="shared" si="113"/>
        <v>#d6bf2a</v>
      </c>
    </row>
    <row r="2426" spans="1:23" x14ac:dyDescent="0.5">
      <c r="A2426" s="54">
        <v>2425</v>
      </c>
      <c r="B2426" s="90" t="s">
        <v>662</v>
      </c>
      <c r="C2426" t="s">
        <v>310</v>
      </c>
      <c r="D2426" s="1"/>
      <c r="E2426" s="112">
        <v>2003.02</v>
      </c>
      <c r="F2426" s="112">
        <v>2023.08</v>
      </c>
      <c r="G2426" s="107" t="s">
        <v>670</v>
      </c>
      <c r="H2426">
        <f>INDEX('GIS-Standards'!$A$2:$A$305,MATCH(B2426,'GIS-Standards'!$B$2:$B$305,0))</f>
        <v>111</v>
      </c>
      <c r="I2426">
        <f>INDEX('GIS-Standards'!$A$2:$A$305,MATCH(C2426,'GIS-Standards'!$B$2:$B$305,0))</f>
        <v>20</v>
      </c>
      <c r="J2426" t="str">
        <f>INDEX('GIS-Standards'!$O$2:$O$305,MATCH(B2426,'GIS-Standards'!$B$2:$B$305,0))</f>
        <v>ISO/TC 211</v>
      </c>
      <c r="K2426" t="str">
        <f>INDEX('GIS-Standards'!$O$2:$O$305,MATCH(C2426,'GIS-Standards'!$B$2:$B$305,0))</f>
        <v>ISO/TC 211</v>
      </c>
      <c r="M2426" t="s">
        <v>524</v>
      </c>
      <c r="N2426">
        <f>INDEX('GIS-Standards'!$I$2:$I$305,MATCH(B2426,'GIS-Standards'!$B$2:$B$305,0))</f>
        <v>0</v>
      </c>
      <c r="O2426" t="str">
        <f>INDEX('GIS-Standards'!$I$2:$I$305,MATCH(C2426,'GIS-Standards'!$B$2:$B$305,0))</f>
        <v>08.2023</v>
      </c>
      <c r="P2426" t="b">
        <f>AND(TableRelationships12[[#This Row],[Source Type]]="BIM",TableRelationships12[[#This Row],[Target Type]]="BIM")</f>
        <v>0</v>
      </c>
      <c r="Q2426">
        <f t="shared" si="111"/>
        <v>6</v>
      </c>
      <c r="S2426">
        <f t="shared" si="112"/>
        <v>1</v>
      </c>
      <c r="T2426" s="102" t="str">
        <f>IF(TableRelationships12[[#This Row],[Rank Pedro]]="Low","linkCategory1",IF(TableRelationships12[[#This Row],[Rank Pedro]]="Medium","linkCategory2",IF(TableRelationships12[[#This Row],[Rank Pedro]]="High","linkCategory3","")))</f>
        <v/>
      </c>
      <c r="U2426" s="102" t="str">
        <f>IF(TableRelationships12[[#This Row],[Rank Pedro]]="Low","Pink",IF(TableRelationships12[[#This Row],[Rank Pedro]]="Medium","Purple",IF(TableRelationships12[[#This Row],[Rank Pedro]]="High","Brown","")))</f>
        <v/>
      </c>
      <c r="V2426" s="4" t="e">
        <f>MAX(INDEX(Standards!$F$2:$F$296,MATCH(B2426,Standards!$B$2:$B$296,0)),INDEX(Standards!$F$2:$F$296,MATCH(C2426,Standards!$B$2:$B$296,0)))</f>
        <v>#N/A</v>
      </c>
      <c r="W2426" t="str">
        <f t="shared" si="113"/>
        <v>#d6bf2a</v>
      </c>
    </row>
    <row r="2427" spans="1:23" x14ac:dyDescent="0.5">
      <c r="A2427" s="54">
        <v>2426</v>
      </c>
      <c r="B2427" s="90" t="s">
        <v>662</v>
      </c>
      <c r="C2427" t="s">
        <v>314</v>
      </c>
      <c r="D2427" s="1"/>
      <c r="E2427" s="112">
        <v>2003.05</v>
      </c>
      <c r="F2427" s="112">
        <v>2020.11</v>
      </c>
      <c r="G2427" s="107" t="s">
        <v>670</v>
      </c>
      <c r="H2427">
        <f>INDEX('GIS-Standards'!$A$2:$A$305,MATCH(B2427,'GIS-Standards'!$B$2:$B$305,0))</f>
        <v>111</v>
      </c>
      <c r="I2427">
        <f>INDEX('GIS-Standards'!$A$2:$A$305,MATCH(C2427,'GIS-Standards'!$B$2:$B$305,0))</f>
        <v>22</v>
      </c>
      <c r="J2427" t="str">
        <f>INDEX('GIS-Standards'!$O$2:$O$305,MATCH(B2427,'GIS-Standards'!$B$2:$B$305,0))</f>
        <v>ISO/TC 211</v>
      </c>
      <c r="K2427" t="str">
        <f>INDEX('GIS-Standards'!$O$2:$O$305,MATCH(C2427,'GIS-Standards'!$B$2:$B$305,0))</f>
        <v>ISO/TC 211</v>
      </c>
      <c r="M2427" t="s">
        <v>524</v>
      </c>
      <c r="N2427">
        <f>INDEX('GIS-Standards'!$I$2:$I$305,MATCH(B2427,'GIS-Standards'!$B$2:$B$305,0))</f>
        <v>0</v>
      </c>
      <c r="O2427" t="str">
        <f>INDEX('GIS-Standards'!$I$2:$I$305,MATCH(C2427,'GIS-Standards'!$B$2:$B$305,0))</f>
        <v>12.2020</v>
      </c>
      <c r="P2427" t="b">
        <f>AND(TableRelationships12[[#This Row],[Source Type]]="BIM",TableRelationships12[[#This Row],[Target Type]]="BIM")</f>
        <v>0</v>
      </c>
      <c r="Q2427">
        <f t="shared" si="111"/>
        <v>6</v>
      </c>
      <c r="S2427">
        <f t="shared" si="112"/>
        <v>1</v>
      </c>
      <c r="T2427" s="102" t="str">
        <f>IF(TableRelationships12[[#This Row],[Rank Pedro]]="Low","linkCategory1",IF(TableRelationships12[[#This Row],[Rank Pedro]]="Medium","linkCategory2",IF(TableRelationships12[[#This Row],[Rank Pedro]]="High","linkCategory3","")))</f>
        <v/>
      </c>
      <c r="U2427" s="102" t="str">
        <f>IF(TableRelationships12[[#This Row],[Rank Pedro]]="Low","Pink",IF(TableRelationships12[[#This Row],[Rank Pedro]]="Medium","Purple",IF(TableRelationships12[[#This Row],[Rank Pedro]]="High","Brown","")))</f>
        <v/>
      </c>
      <c r="V2427" s="4" t="e">
        <f>MAX(INDEX(Standards!$F$2:$F$296,MATCH(B2427,Standards!$B$2:$B$296,0)),INDEX(Standards!$F$2:$F$296,MATCH(C2427,Standards!$B$2:$B$296,0)))</f>
        <v>#N/A</v>
      </c>
      <c r="W2427" t="str">
        <f t="shared" si="113"/>
        <v>#d6bf2a</v>
      </c>
    </row>
    <row r="2428" spans="1:23" x14ac:dyDescent="0.5">
      <c r="A2428" s="54">
        <v>2427</v>
      </c>
      <c r="B2428" s="90" t="s">
        <v>662</v>
      </c>
      <c r="C2428" t="s">
        <v>1041</v>
      </c>
      <c r="D2428" s="1"/>
      <c r="E2428" s="112">
        <v>2009.02</v>
      </c>
      <c r="F2428" s="112">
        <v>2022.03</v>
      </c>
      <c r="G2428" s="107" t="s">
        <v>670</v>
      </c>
      <c r="H2428">
        <f>INDEX('GIS-Standards'!$A$2:$A$305,MATCH(B2428,'GIS-Standards'!$B$2:$B$305,0))</f>
        <v>111</v>
      </c>
      <c r="I2428">
        <f>INDEX('GIS-Standards'!$A$2:$A$305,MATCH(C2428,'GIS-Standards'!$B$2:$B$305,0))</f>
        <v>23</v>
      </c>
      <c r="J2428" t="str">
        <f>INDEX('GIS-Standards'!$O$2:$O$305,MATCH(B2428,'GIS-Standards'!$B$2:$B$305,0))</f>
        <v>ISO/TC 211</v>
      </c>
      <c r="K2428" t="str">
        <f>INDEX('GIS-Standards'!$O$2:$O$305,MATCH(C2428,'GIS-Standards'!$B$2:$B$305,0))</f>
        <v>ISO/TC 211</v>
      </c>
      <c r="M2428" t="s">
        <v>524</v>
      </c>
      <c r="N2428">
        <f>INDEX('GIS-Standards'!$I$2:$I$305,MATCH(B2428,'GIS-Standards'!$B$2:$B$305,0))</f>
        <v>0</v>
      </c>
      <c r="O2428" t="str">
        <f>INDEX('GIS-Standards'!$I$2:$I$305,MATCH(C2428,'GIS-Standards'!$B$2:$B$305,0))</f>
        <v>03.2022</v>
      </c>
      <c r="P2428" t="b">
        <f>AND(TableRelationships12[[#This Row],[Source Type]]="BIM",TableRelationships12[[#This Row],[Target Type]]="BIM")</f>
        <v>0</v>
      </c>
      <c r="Q2428">
        <f t="shared" si="111"/>
        <v>6</v>
      </c>
      <c r="S2428">
        <f t="shared" si="112"/>
        <v>1</v>
      </c>
      <c r="T2428" s="102" t="str">
        <f>IF(TableRelationships12[[#This Row],[Rank Pedro]]="Low","linkCategory1",IF(TableRelationships12[[#This Row],[Rank Pedro]]="Medium","linkCategory2",IF(TableRelationships12[[#This Row],[Rank Pedro]]="High","linkCategory3","")))</f>
        <v/>
      </c>
      <c r="U2428" s="102" t="str">
        <f>IF(TableRelationships12[[#This Row],[Rank Pedro]]="Low","Pink",IF(TableRelationships12[[#This Row],[Rank Pedro]]="Medium","Purple",IF(TableRelationships12[[#This Row],[Rank Pedro]]="High","Brown","")))</f>
        <v/>
      </c>
      <c r="V2428" s="4" t="e">
        <f>MAX(INDEX(Standards!$F$2:$F$296,MATCH(B2428,Standards!$B$2:$B$296,0)),INDEX(Standards!$F$2:$F$296,MATCH(C2428,Standards!$B$2:$B$296,0)))</f>
        <v>#N/A</v>
      </c>
      <c r="W2428" t="str">
        <f t="shared" si="113"/>
        <v>#d6bf2a</v>
      </c>
    </row>
    <row r="2429" spans="1:23" x14ac:dyDescent="0.5">
      <c r="A2429" s="54">
        <v>2428</v>
      </c>
      <c r="B2429" s="90" t="s">
        <v>662</v>
      </c>
      <c r="C2429" t="s">
        <v>320</v>
      </c>
      <c r="D2429" s="1" t="s">
        <v>1100</v>
      </c>
      <c r="E2429" s="112">
        <v>2005.08</v>
      </c>
      <c r="F2429" s="112">
        <v>2023.06</v>
      </c>
      <c r="G2429" s="107" t="s">
        <v>670</v>
      </c>
      <c r="H2429">
        <f>INDEX('GIS-Standards'!$A$2:$A$305,MATCH(B2429,'GIS-Standards'!$B$2:$B$305,0))</f>
        <v>111</v>
      </c>
      <c r="I2429">
        <f>INDEX('GIS-Standards'!$A$2:$A$305,MATCH(C2429,'GIS-Standards'!$B$2:$B$305,0))</f>
        <v>29</v>
      </c>
      <c r="J2429" t="str">
        <f>INDEX('GIS-Standards'!$O$2:$O$305,MATCH(B2429,'GIS-Standards'!$B$2:$B$305,0))</f>
        <v>ISO/TC 211</v>
      </c>
      <c r="K2429" t="str">
        <f>INDEX('GIS-Standards'!$O$2:$O$305,MATCH(C2429,'GIS-Standards'!$B$2:$B$305,0))</f>
        <v>ISO/TC 211</v>
      </c>
      <c r="M2429" t="s">
        <v>524</v>
      </c>
      <c r="N2429">
        <f>INDEX('GIS-Standards'!$I$2:$I$305,MATCH(B2429,'GIS-Standards'!$B$2:$B$305,0))</f>
        <v>0</v>
      </c>
      <c r="O2429">
        <f>INDEX('GIS-Standards'!$I$2:$I$305,MATCH(C2429,'GIS-Standards'!$B$2:$B$305,0))</f>
        <v>0</v>
      </c>
      <c r="P2429" t="b">
        <f>AND(TableRelationships12[[#This Row],[Source Type]]="BIM",TableRelationships12[[#This Row],[Target Type]]="BIM")</f>
        <v>0</v>
      </c>
      <c r="Q2429">
        <f t="shared" si="111"/>
        <v>6</v>
      </c>
      <c r="S2429">
        <f t="shared" si="112"/>
        <v>1</v>
      </c>
      <c r="T2429" s="102" t="str">
        <f>IF(TableRelationships12[[#This Row],[Rank Pedro]]="Low","linkCategory1",IF(TableRelationships12[[#This Row],[Rank Pedro]]="Medium","linkCategory2",IF(TableRelationships12[[#This Row],[Rank Pedro]]="High","linkCategory3","")))</f>
        <v/>
      </c>
      <c r="U2429" s="102" t="str">
        <f>IF(TableRelationships12[[#This Row],[Rank Pedro]]="Low","Pink",IF(TableRelationships12[[#This Row],[Rank Pedro]]="Medium","Purple",IF(TableRelationships12[[#This Row],[Rank Pedro]]="High","Brown","")))</f>
        <v/>
      </c>
      <c r="V2429" s="4" t="e">
        <f>MAX(INDEX(Standards!$F$2:$F$296,MATCH(B2429,Standards!$B$2:$B$296,0)),INDEX(Standards!$F$2:$F$296,MATCH(C2429,Standards!$B$2:$B$296,0)))</f>
        <v>#N/A</v>
      </c>
      <c r="W2429" t="str">
        <f t="shared" si="113"/>
        <v>#d6bf2a</v>
      </c>
    </row>
    <row r="2430" spans="1:23" x14ac:dyDescent="0.5">
      <c r="A2430" s="54">
        <v>2429</v>
      </c>
      <c r="B2430" s="90" t="s">
        <v>662</v>
      </c>
      <c r="C2430" t="s">
        <v>631</v>
      </c>
      <c r="D2430" s="1" t="s">
        <v>1135</v>
      </c>
      <c r="E2430" s="112">
        <v>2008.06</v>
      </c>
      <c r="F2430" s="112">
        <v>2018.05</v>
      </c>
      <c r="G2430" s="107" t="s">
        <v>670</v>
      </c>
      <c r="H2430">
        <f>INDEX('GIS-Standards'!$A$2:$A$305,MATCH(B2430,'GIS-Standards'!$B$2:$B$305,0))</f>
        <v>111</v>
      </c>
      <c r="I2430">
        <f>INDEX('GIS-Standards'!$A$2:$A$305,MATCH(C2430,'GIS-Standards'!$B$2:$B$305,0))</f>
        <v>11</v>
      </c>
      <c r="J2430" t="str">
        <f>INDEX('GIS-Standards'!$O$2:$O$305,MATCH(B2430,'GIS-Standards'!$B$2:$B$305,0))</f>
        <v>ISO/TC 211</v>
      </c>
      <c r="K2430" t="str">
        <f>INDEX('GIS-Standards'!$O$2:$O$305,MATCH(C2430,'GIS-Standards'!$B$2:$B$305,0))</f>
        <v>ISO/TC 211</v>
      </c>
      <c r="M2430" t="s">
        <v>524</v>
      </c>
      <c r="N2430">
        <f>INDEX('GIS-Standards'!$I$2:$I$305,MATCH(B2430,'GIS-Standards'!$B$2:$B$305,0))</f>
        <v>0</v>
      </c>
      <c r="O2430">
        <f>INDEX('GIS-Standards'!$I$2:$I$305,MATCH(C2430,'GIS-Standards'!$B$2:$B$305,0))</f>
        <v>0</v>
      </c>
      <c r="P2430" t="b">
        <f>AND(TableRelationships12[[#This Row],[Source Type]]="BIM",TableRelationships12[[#This Row],[Target Type]]="BIM")</f>
        <v>0</v>
      </c>
      <c r="Q2430">
        <f t="shared" si="111"/>
        <v>6</v>
      </c>
      <c r="S2430">
        <f t="shared" si="112"/>
        <v>1</v>
      </c>
      <c r="T2430" s="102" t="str">
        <f>IF(TableRelationships12[[#This Row],[Rank Pedro]]="Low","linkCategory1",IF(TableRelationships12[[#This Row],[Rank Pedro]]="Medium","linkCategory2",IF(TableRelationships12[[#This Row],[Rank Pedro]]="High","linkCategory3","")))</f>
        <v/>
      </c>
      <c r="U2430" s="102" t="str">
        <f>IF(TableRelationships12[[#This Row],[Rank Pedro]]="Low","Pink",IF(TableRelationships12[[#This Row],[Rank Pedro]]="Medium","Purple",IF(TableRelationships12[[#This Row],[Rank Pedro]]="High","Brown","")))</f>
        <v/>
      </c>
      <c r="V2430" s="4" t="e">
        <f>MAX(INDEX(Standards!$F$2:$F$296,MATCH(B2430,Standards!$B$2:$B$296,0)),INDEX(Standards!$F$2:$F$296,MATCH(C2430,Standards!$B$2:$B$296,0)))</f>
        <v>#N/A</v>
      </c>
      <c r="W2430" t="str">
        <f t="shared" si="113"/>
        <v>#d6bf2a</v>
      </c>
    </row>
    <row r="2431" spans="1:23" x14ac:dyDescent="0.5">
      <c r="A2431" s="54">
        <v>2430</v>
      </c>
      <c r="B2431" s="90" t="s">
        <v>662</v>
      </c>
      <c r="C2431" t="s">
        <v>633</v>
      </c>
      <c r="D2431" s="1" t="s">
        <v>1136</v>
      </c>
      <c r="E2431" s="112">
        <v>2010.06</v>
      </c>
      <c r="F2431" s="112">
        <v>2018.09</v>
      </c>
      <c r="G2431" s="107" t="s">
        <v>670</v>
      </c>
      <c r="H2431">
        <f>INDEX('GIS-Standards'!$A$2:$A$305,MATCH(B2431,'GIS-Standards'!$B$2:$B$305,0))</f>
        <v>111</v>
      </c>
      <c r="I2431">
        <f>INDEX('GIS-Standards'!$A$2:$A$305,MATCH(C2431,'GIS-Standards'!$B$2:$B$305,0))</f>
        <v>36</v>
      </c>
      <c r="J2431" t="str">
        <f>INDEX('GIS-Standards'!$O$2:$O$305,MATCH(B2431,'GIS-Standards'!$B$2:$B$305,0))</f>
        <v>ISO/TC 211</v>
      </c>
      <c r="K2431" t="str">
        <f>INDEX('GIS-Standards'!$O$2:$O$305,MATCH(C2431,'GIS-Standards'!$B$2:$B$305,0))</f>
        <v>ISO/TC 211</v>
      </c>
      <c r="M2431" t="s">
        <v>524</v>
      </c>
      <c r="N2431">
        <f>INDEX('GIS-Standards'!$I$2:$I$305,MATCH(B2431,'GIS-Standards'!$B$2:$B$305,0))</f>
        <v>0</v>
      </c>
      <c r="O2431">
        <f>INDEX('GIS-Standards'!$I$2:$I$305,MATCH(C2431,'GIS-Standards'!$B$2:$B$305,0))</f>
        <v>0</v>
      </c>
      <c r="P2431" t="b">
        <f>AND(TableRelationships12[[#This Row],[Source Type]]="BIM",TableRelationships12[[#This Row],[Target Type]]="BIM")</f>
        <v>0</v>
      </c>
      <c r="Q2431">
        <f t="shared" si="111"/>
        <v>6</v>
      </c>
      <c r="S2431">
        <f t="shared" si="112"/>
        <v>1</v>
      </c>
      <c r="T2431" s="102" t="str">
        <f>IF(TableRelationships12[[#This Row],[Rank Pedro]]="Low","linkCategory1",IF(TableRelationships12[[#This Row],[Rank Pedro]]="Medium","linkCategory2",IF(TableRelationships12[[#This Row],[Rank Pedro]]="High","linkCategory3","")))</f>
        <v/>
      </c>
      <c r="U2431" s="102" t="str">
        <f>IF(TableRelationships12[[#This Row],[Rank Pedro]]="Low","Pink",IF(TableRelationships12[[#This Row],[Rank Pedro]]="Medium","Purple",IF(TableRelationships12[[#This Row],[Rank Pedro]]="High","Brown","")))</f>
        <v/>
      </c>
      <c r="V2431" s="4" t="e">
        <f>MAX(INDEX(Standards!$F$2:$F$296,MATCH(B2431,Standards!$B$2:$B$296,0)),INDEX(Standards!$F$2:$F$296,MATCH(C2431,Standards!$B$2:$B$296,0)))</f>
        <v>#N/A</v>
      </c>
      <c r="W2431" t="str">
        <f t="shared" si="113"/>
        <v>#d6bf2a</v>
      </c>
    </row>
    <row r="2432" spans="1:23" x14ac:dyDescent="0.5">
      <c r="A2432" s="54">
        <v>2431</v>
      </c>
      <c r="B2432" s="90" t="s">
        <v>662</v>
      </c>
      <c r="C2432" t="s">
        <v>658</v>
      </c>
      <c r="D2432" s="1"/>
      <c r="E2432" s="112">
        <v>2014.07</v>
      </c>
      <c r="F2432" s="112">
        <v>2014.07</v>
      </c>
      <c r="G2432" s="107" t="s">
        <v>670</v>
      </c>
      <c r="H2432">
        <f>INDEX('GIS-Standards'!$A$2:$A$305,MATCH(B2432,'GIS-Standards'!$B$2:$B$305,0))</f>
        <v>111</v>
      </c>
      <c r="I2432">
        <f>INDEX('GIS-Standards'!$A$2:$A$305,MATCH(C2432,'GIS-Standards'!$B$2:$B$305,0))</f>
        <v>107</v>
      </c>
      <c r="J2432" t="str">
        <f>INDEX('GIS-Standards'!$O$2:$O$305,MATCH(B2432,'GIS-Standards'!$B$2:$B$305,0))</f>
        <v>ISO/TC 211</v>
      </c>
      <c r="K2432" t="str">
        <f>INDEX('GIS-Standards'!$O$2:$O$305,MATCH(C2432,'GIS-Standards'!$B$2:$B$305,0))</f>
        <v>ISO/TC 211</v>
      </c>
      <c r="M2432" t="s">
        <v>524</v>
      </c>
      <c r="N2432">
        <f>INDEX('GIS-Standards'!$I$2:$I$305,MATCH(B2432,'GIS-Standards'!$B$2:$B$305,0))</f>
        <v>0</v>
      </c>
      <c r="O2432">
        <f>INDEX('GIS-Standards'!$I$2:$I$305,MATCH(C2432,'GIS-Standards'!$B$2:$B$305,0))</f>
        <v>0</v>
      </c>
      <c r="P2432" t="b">
        <f>AND(TableRelationships12[[#This Row],[Source Type]]="BIM",TableRelationships12[[#This Row],[Target Type]]="BIM")</f>
        <v>0</v>
      </c>
      <c r="Q2432">
        <f t="shared" si="111"/>
        <v>6</v>
      </c>
      <c r="S2432">
        <f t="shared" si="112"/>
        <v>1</v>
      </c>
      <c r="T2432" s="102" t="str">
        <f>IF(TableRelationships12[[#This Row],[Rank Pedro]]="Low","linkCategory1",IF(TableRelationships12[[#This Row],[Rank Pedro]]="Medium","linkCategory2",IF(TableRelationships12[[#This Row],[Rank Pedro]]="High","linkCategory3","")))</f>
        <v/>
      </c>
      <c r="U2432" s="102" t="str">
        <f>IF(TableRelationships12[[#This Row],[Rank Pedro]]="Low","Pink",IF(TableRelationships12[[#This Row],[Rank Pedro]]="Medium","Purple",IF(TableRelationships12[[#This Row],[Rank Pedro]]="High","Brown","")))</f>
        <v/>
      </c>
      <c r="V2432" s="4" t="e">
        <f>MAX(INDEX(Standards!$F$2:$F$296,MATCH(B2432,Standards!$B$2:$B$296,0)),INDEX(Standards!$F$2:$F$296,MATCH(C2432,Standards!$B$2:$B$296,0)))</f>
        <v>#N/A</v>
      </c>
      <c r="W2432" t="str">
        <f t="shared" si="113"/>
        <v>#d6bf2a</v>
      </c>
    </row>
    <row r="2433" spans="1:23" x14ac:dyDescent="0.5">
      <c r="A2433" s="54">
        <v>2432</v>
      </c>
      <c r="B2433" s="90" t="s">
        <v>662</v>
      </c>
      <c r="C2433" t="s">
        <v>259</v>
      </c>
      <c r="D2433" s="1"/>
      <c r="E2433" s="112">
        <v>2002.01</v>
      </c>
      <c r="F2433" s="112">
        <v>2016.03</v>
      </c>
      <c r="G2433" s="107" t="s">
        <v>1448</v>
      </c>
      <c r="H2433">
        <f>INDEX('GIS-Standards'!$A$2:$A$305,MATCH(B2433,'GIS-Standards'!$B$2:$B$305,0))</f>
        <v>111</v>
      </c>
      <c r="I2433" t="e">
        <f>INDEX('GIS-Standards'!$A$2:$A$305,MATCH(C2433,'GIS-Standards'!$B$2:$B$305,0))</f>
        <v>#N/A</v>
      </c>
      <c r="J2433" t="str">
        <f>INDEX('GIS-Standards'!$O$2:$O$305,MATCH(B2433,'GIS-Standards'!$B$2:$B$305,0))</f>
        <v>ISO/TC 211</v>
      </c>
      <c r="K2433" t="e">
        <f>INDEX('GIS-Standards'!$O$2:$O$305,MATCH(C2433,'GIS-Standards'!$B$2:$B$305,0))</f>
        <v>#N/A</v>
      </c>
      <c r="M2433" t="s">
        <v>525</v>
      </c>
      <c r="N2433">
        <f>INDEX('GIS-Standards'!$I$2:$I$305,MATCH(B2433,'GIS-Standards'!$B$2:$B$305,0))</f>
        <v>0</v>
      </c>
      <c r="O2433" t="e">
        <f>INDEX('GIS-Standards'!$I$2:$I$305,MATCH(C2433,'GIS-Standards'!$B$2:$B$305,0))</f>
        <v>#N/A</v>
      </c>
      <c r="P2433" t="e">
        <f>AND(TableRelationships12[[#This Row],[Source Type]]="BIM",TableRelationships12[[#This Row],[Target Type]]="BIM")</f>
        <v>#N/A</v>
      </c>
      <c r="Q2433">
        <f t="shared" si="111"/>
        <v>1</v>
      </c>
      <c r="S2433">
        <f t="shared" si="112"/>
        <v>1</v>
      </c>
      <c r="T2433" s="102" t="str">
        <f>IF(TableRelationships12[[#This Row],[Rank Pedro]]="Low","linkCategory1",IF(TableRelationships12[[#This Row],[Rank Pedro]]="Medium","linkCategory2",IF(TableRelationships12[[#This Row],[Rank Pedro]]="High","linkCategory3","")))</f>
        <v/>
      </c>
      <c r="U2433" s="102" t="str">
        <f>IF(TableRelationships12[[#This Row],[Rank Pedro]]="Low","Pink",IF(TableRelationships12[[#This Row],[Rank Pedro]]="Medium","Purple",IF(TableRelationships12[[#This Row],[Rank Pedro]]="High","Brown","")))</f>
        <v/>
      </c>
      <c r="V2433" s="4" t="e">
        <f>MAX(INDEX(Standards!$F$2:$F$296,MATCH(B2433,Standards!$B$2:$B$296,0)),INDEX(Standards!$F$2:$F$296,MATCH(C2433,Standards!$B$2:$B$296,0)))</f>
        <v>#N/A</v>
      </c>
      <c r="W2433" t="str">
        <f t="shared" si="113"/>
        <v>#2f89d1</v>
      </c>
    </row>
    <row r="2434" spans="1:23" x14ac:dyDescent="0.5">
      <c r="A2434" s="54">
        <v>2433</v>
      </c>
      <c r="B2434" s="90" t="s">
        <v>662</v>
      </c>
      <c r="C2434" t="s">
        <v>302</v>
      </c>
      <c r="D2434" s="1"/>
      <c r="E2434" s="112">
        <v>2003.05</v>
      </c>
      <c r="F2434" s="112">
        <v>2019.12</v>
      </c>
      <c r="G2434" s="107" t="s">
        <v>670</v>
      </c>
      <c r="H2434">
        <f>INDEX('GIS-Standards'!$A$2:$A$305,MATCH(B2434,'GIS-Standards'!$B$2:$B$305,0))</f>
        <v>111</v>
      </c>
      <c r="I2434">
        <f>INDEX('GIS-Standards'!$A$2:$A$305,MATCH(C2434,'GIS-Standards'!$B$2:$B$305,0))</f>
        <v>16</v>
      </c>
      <c r="J2434" t="str">
        <f>INDEX('GIS-Standards'!$O$2:$O$305,MATCH(B2434,'GIS-Standards'!$B$2:$B$305,0))</f>
        <v>ISO/TC 211</v>
      </c>
      <c r="K2434" t="str">
        <f>INDEX('GIS-Standards'!$O$2:$O$305,MATCH(C2434,'GIS-Standards'!$B$2:$B$305,0))</f>
        <v>ISO/TC 211</v>
      </c>
      <c r="M2434" t="s">
        <v>525</v>
      </c>
      <c r="N2434">
        <f>INDEX('GIS-Standards'!$I$2:$I$305,MATCH(B2434,'GIS-Standards'!$B$2:$B$305,0))</f>
        <v>0</v>
      </c>
      <c r="O2434">
        <f>INDEX('GIS-Standards'!$I$2:$I$305,MATCH(C2434,'GIS-Standards'!$B$2:$B$305,0))</f>
        <v>0</v>
      </c>
      <c r="P2434" t="b">
        <f>AND(TableRelationships12[[#This Row],[Source Type]]="BIM",TableRelationships12[[#This Row],[Target Type]]="BIM")</f>
        <v>0</v>
      </c>
      <c r="Q2434">
        <f t="shared" ref="Q2434:Q2497" si="114">IF(M2434="Normative",6,IF(M2434="Secondary",4,IF(M2434="Anchor",2,1)))</f>
        <v>1</v>
      </c>
      <c r="S2434">
        <f t="shared" ref="S2434:S2497" si="115">IF(R2434="High",10,IF(R2434="Medium",6,IF(R2434="Low",2,1)))</f>
        <v>1</v>
      </c>
      <c r="T2434" s="102" t="str">
        <f>IF(TableRelationships12[[#This Row],[Rank Pedro]]="Low","linkCategory1",IF(TableRelationships12[[#This Row],[Rank Pedro]]="Medium","linkCategory2",IF(TableRelationships12[[#This Row],[Rank Pedro]]="High","linkCategory3","")))</f>
        <v/>
      </c>
      <c r="U2434" s="102" t="str">
        <f>IF(TableRelationships12[[#This Row],[Rank Pedro]]="Low","Pink",IF(TableRelationships12[[#This Row],[Rank Pedro]]="Medium","Purple",IF(TableRelationships12[[#This Row],[Rank Pedro]]="High","Brown","")))</f>
        <v/>
      </c>
      <c r="V2434" s="4" t="e">
        <f>MAX(INDEX(Standards!$F$2:$F$296,MATCH(B2434,Standards!$B$2:$B$296,0)),INDEX(Standards!$F$2:$F$296,MATCH(C2434,Standards!$B$2:$B$296,0)))</f>
        <v>#N/A</v>
      </c>
      <c r="W2434" t="str">
        <f t="shared" ref="W2434:W2497" si="116">IF(M2434="Normative", "#d6bf2a", IF(M2434="Informative", "#2f89d1", 1))</f>
        <v>#2f89d1</v>
      </c>
    </row>
    <row r="2435" spans="1:23" x14ac:dyDescent="0.5">
      <c r="A2435" s="54">
        <v>2434</v>
      </c>
      <c r="B2435" s="90" t="s">
        <v>662</v>
      </c>
      <c r="C2435" t="s">
        <v>304</v>
      </c>
      <c r="D2435" s="1"/>
      <c r="E2435" s="112">
        <v>2002.09</v>
      </c>
      <c r="F2435" s="112">
        <v>2006.1</v>
      </c>
      <c r="G2435" s="107" t="s">
        <v>670</v>
      </c>
      <c r="H2435">
        <f>INDEX('GIS-Standards'!$A$2:$A$305,MATCH(B2435,'GIS-Standards'!$B$2:$B$305,0))</f>
        <v>111</v>
      </c>
      <c r="I2435">
        <f>INDEX('GIS-Standards'!$A$2:$A$305,MATCH(C2435,'GIS-Standards'!$B$2:$B$305,0))</f>
        <v>17</v>
      </c>
      <c r="J2435" t="str">
        <f>INDEX('GIS-Standards'!$O$2:$O$305,MATCH(B2435,'GIS-Standards'!$B$2:$B$305,0))</f>
        <v>ISO/TC 211</v>
      </c>
      <c r="K2435" t="str">
        <f>INDEX('GIS-Standards'!$O$2:$O$305,MATCH(C2435,'GIS-Standards'!$B$2:$B$305,0))</f>
        <v>ISO/TC 211</v>
      </c>
      <c r="M2435" t="s">
        <v>525</v>
      </c>
      <c r="N2435">
        <f>INDEX('GIS-Standards'!$I$2:$I$305,MATCH(B2435,'GIS-Standards'!$B$2:$B$305,0))</f>
        <v>0</v>
      </c>
      <c r="O2435" t="str">
        <f>INDEX('GIS-Standards'!$I$2:$I$305,MATCH(C2435,'GIS-Standards'!$B$2:$B$305,0))</f>
        <v>06.2008</v>
      </c>
      <c r="P2435" t="b">
        <f>AND(TableRelationships12[[#This Row],[Source Type]]="BIM",TableRelationships12[[#This Row],[Target Type]]="BIM")</f>
        <v>0</v>
      </c>
      <c r="Q2435">
        <f t="shared" si="114"/>
        <v>1</v>
      </c>
      <c r="S2435">
        <f t="shared" si="115"/>
        <v>1</v>
      </c>
      <c r="T2435" s="102" t="str">
        <f>IF(TableRelationships12[[#This Row],[Rank Pedro]]="Low","linkCategory1",IF(TableRelationships12[[#This Row],[Rank Pedro]]="Medium","linkCategory2",IF(TableRelationships12[[#This Row],[Rank Pedro]]="High","linkCategory3","")))</f>
        <v/>
      </c>
      <c r="U2435" s="102" t="str">
        <f>IF(TableRelationships12[[#This Row],[Rank Pedro]]="Low","Pink",IF(TableRelationships12[[#This Row],[Rank Pedro]]="Medium","Purple",IF(TableRelationships12[[#This Row],[Rank Pedro]]="High","Brown","")))</f>
        <v/>
      </c>
      <c r="V2435" s="4" t="e">
        <f>MAX(INDEX(Standards!$F$2:$F$296,MATCH(B2435,Standards!$B$2:$B$296,0)),INDEX(Standards!$F$2:$F$296,MATCH(C2435,Standards!$B$2:$B$296,0)))</f>
        <v>#N/A</v>
      </c>
      <c r="W2435" t="str">
        <f t="shared" si="116"/>
        <v>#2f89d1</v>
      </c>
    </row>
    <row r="2436" spans="1:23" x14ac:dyDescent="0.5">
      <c r="A2436" s="54">
        <v>2435</v>
      </c>
      <c r="B2436" s="90" t="s">
        <v>662</v>
      </c>
      <c r="C2436" t="s">
        <v>314</v>
      </c>
      <c r="D2436" s="1" t="s">
        <v>1099</v>
      </c>
      <c r="E2436" s="112">
        <v>2003.05</v>
      </c>
      <c r="F2436" s="112">
        <v>2020.11</v>
      </c>
      <c r="G2436" s="107" t="s">
        <v>670</v>
      </c>
      <c r="H2436">
        <f>INDEX('GIS-Standards'!$A$2:$A$305,MATCH(B2436,'GIS-Standards'!$B$2:$B$305,0))</f>
        <v>111</v>
      </c>
      <c r="I2436">
        <f>INDEX('GIS-Standards'!$A$2:$A$305,MATCH(C2436,'GIS-Standards'!$B$2:$B$305,0))</f>
        <v>22</v>
      </c>
      <c r="J2436" t="str">
        <f>INDEX('GIS-Standards'!$O$2:$O$305,MATCH(B2436,'GIS-Standards'!$B$2:$B$305,0))</f>
        <v>ISO/TC 211</v>
      </c>
      <c r="K2436" t="str">
        <f>INDEX('GIS-Standards'!$O$2:$O$305,MATCH(C2436,'GIS-Standards'!$B$2:$B$305,0))</f>
        <v>ISO/TC 211</v>
      </c>
      <c r="M2436" t="s">
        <v>525</v>
      </c>
      <c r="N2436">
        <f>INDEX('GIS-Standards'!$I$2:$I$305,MATCH(B2436,'GIS-Standards'!$B$2:$B$305,0))</f>
        <v>0</v>
      </c>
      <c r="O2436" t="str">
        <f>INDEX('GIS-Standards'!$I$2:$I$305,MATCH(C2436,'GIS-Standards'!$B$2:$B$305,0))</f>
        <v>12.2020</v>
      </c>
      <c r="P2436" t="b">
        <f>AND(TableRelationships12[[#This Row],[Source Type]]="BIM",TableRelationships12[[#This Row],[Target Type]]="BIM")</f>
        <v>0</v>
      </c>
      <c r="Q2436">
        <f t="shared" si="114"/>
        <v>1</v>
      </c>
      <c r="S2436">
        <f t="shared" si="115"/>
        <v>1</v>
      </c>
      <c r="T2436" s="102" t="str">
        <f>IF(TableRelationships12[[#This Row],[Rank Pedro]]="Low","linkCategory1",IF(TableRelationships12[[#This Row],[Rank Pedro]]="Medium","linkCategory2",IF(TableRelationships12[[#This Row],[Rank Pedro]]="High","linkCategory3","")))</f>
        <v/>
      </c>
      <c r="U2436" s="102" t="str">
        <f>IF(TableRelationships12[[#This Row],[Rank Pedro]]="Low","Pink",IF(TableRelationships12[[#This Row],[Rank Pedro]]="Medium","Purple",IF(TableRelationships12[[#This Row],[Rank Pedro]]="High","Brown","")))</f>
        <v/>
      </c>
      <c r="V2436" s="4" t="e">
        <f>MAX(INDEX(Standards!$F$2:$F$296,MATCH(B2436,Standards!$B$2:$B$296,0)),INDEX(Standards!$F$2:$F$296,MATCH(C2436,Standards!$B$2:$B$296,0)))</f>
        <v>#N/A</v>
      </c>
      <c r="W2436" t="str">
        <f t="shared" si="116"/>
        <v>#2f89d1</v>
      </c>
    </row>
    <row r="2437" spans="1:23" x14ac:dyDescent="0.5">
      <c r="A2437" s="54">
        <v>2436</v>
      </c>
      <c r="B2437" s="90" t="s">
        <v>662</v>
      </c>
      <c r="C2437" t="s">
        <v>316</v>
      </c>
      <c r="D2437" s="1"/>
      <c r="E2437" s="112">
        <v>2005.07</v>
      </c>
      <c r="F2437" s="112">
        <v>2011.1</v>
      </c>
      <c r="G2437" s="107" t="s">
        <v>670</v>
      </c>
      <c r="H2437">
        <f>INDEX('GIS-Standards'!$A$2:$A$305,MATCH(B2437,'GIS-Standards'!$B$2:$B$305,0))</f>
        <v>111</v>
      </c>
      <c r="I2437">
        <f>INDEX('GIS-Standards'!$A$2:$A$305,MATCH(C2437,'GIS-Standards'!$B$2:$B$305,0))</f>
        <v>27</v>
      </c>
      <c r="J2437" t="str">
        <f>INDEX('GIS-Standards'!$O$2:$O$305,MATCH(B2437,'GIS-Standards'!$B$2:$B$305,0))</f>
        <v>ISO/TC 211</v>
      </c>
      <c r="K2437" t="str">
        <f>INDEX('GIS-Standards'!$O$2:$O$305,MATCH(C2437,'GIS-Standards'!$B$2:$B$305,0))</f>
        <v>ISO/TC 211</v>
      </c>
      <c r="M2437" t="s">
        <v>525</v>
      </c>
      <c r="N2437">
        <f>INDEX('GIS-Standards'!$I$2:$I$305,MATCH(B2437,'GIS-Standards'!$B$2:$B$305,0))</f>
        <v>0</v>
      </c>
      <c r="O2437">
        <f>INDEX('GIS-Standards'!$I$2:$I$305,MATCH(C2437,'GIS-Standards'!$B$2:$B$305,0))</f>
        <v>0</v>
      </c>
      <c r="P2437" t="b">
        <f>AND(TableRelationships12[[#This Row],[Source Type]]="BIM",TableRelationships12[[#This Row],[Target Type]]="BIM")</f>
        <v>0</v>
      </c>
      <c r="Q2437">
        <f t="shared" si="114"/>
        <v>1</v>
      </c>
      <c r="S2437">
        <f t="shared" si="115"/>
        <v>1</v>
      </c>
      <c r="T2437" s="102" t="str">
        <f>IF(TableRelationships12[[#This Row],[Rank Pedro]]="Low","linkCategory1",IF(TableRelationships12[[#This Row],[Rank Pedro]]="Medium","linkCategory2",IF(TableRelationships12[[#This Row],[Rank Pedro]]="High","linkCategory3","")))</f>
        <v/>
      </c>
      <c r="U2437" s="102" t="str">
        <f>IF(TableRelationships12[[#This Row],[Rank Pedro]]="Low","Pink",IF(TableRelationships12[[#This Row],[Rank Pedro]]="Medium","Purple",IF(TableRelationships12[[#This Row],[Rank Pedro]]="High","Brown","")))</f>
        <v/>
      </c>
      <c r="V2437" s="4" t="e">
        <f>MAX(INDEX(Standards!$F$2:$F$296,MATCH(B2437,Standards!$B$2:$B$296,0)),INDEX(Standards!$F$2:$F$296,MATCH(C2437,Standards!$B$2:$B$296,0)))</f>
        <v>#N/A</v>
      </c>
      <c r="W2437" t="str">
        <f t="shared" si="116"/>
        <v>#2f89d1</v>
      </c>
    </row>
    <row r="2438" spans="1:23" x14ac:dyDescent="0.5">
      <c r="A2438" s="54">
        <v>2437</v>
      </c>
      <c r="B2438" s="90" t="s">
        <v>662</v>
      </c>
      <c r="C2438" t="s">
        <v>334</v>
      </c>
      <c r="D2438" s="1" t="s">
        <v>1036</v>
      </c>
      <c r="E2438" s="113">
        <v>2007.09</v>
      </c>
      <c r="F2438" s="113">
        <v>2020.01</v>
      </c>
      <c r="G2438" s="107" t="s">
        <v>670</v>
      </c>
      <c r="H2438">
        <f>INDEX('GIS-Standards'!$A$2:$A$305,MATCH(B2438,'GIS-Standards'!$B$2:$B$305,0))</f>
        <v>111</v>
      </c>
      <c r="I2438">
        <f>INDEX('GIS-Standards'!$A$2:$A$305,MATCH(C2438,'GIS-Standards'!$B$2:$B$305,0))</f>
        <v>42</v>
      </c>
      <c r="J2438" t="str">
        <f>INDEX('GIS-Standards'!$O$2:$O$305,MATCH(B2438,'GIS-Standards'!$B$2:$B$305,0))</f>
        <v>ISO/TC 211</v>
      </c>
      <c r="K2438" t="str">
        <f>INDEX('GIS-Standards'!$O$2:$O$305,MATCH(C2438,'GIS-Standards'!$B$2:$B$305,0))</f>
        <v>ISO/TC 211</v>
      </c>
      <c r="M2438" t="s">
        <v>525</v>
      </c>
      <c r="N2438">
        <f>INDEX('GIS-Standards'!$I$2:$I$305,MATCH(B2438,'GIS-Standards'!$B$2:$B$305,0))</f>
        <v>0</v>
      </c>
      <c r="O2438">
        <f>INDEX('GIS-Standards'!$I$2:$I$305,MATCH(C2438,'GIS-Standards'!$B$2:$B$305,0))</f>
        <v>0</v>
      </c>
      <c r="P2438" t="b">
        <f>AND(TableRelationships12[[#This Row],[Source Type]]="BIM",TableRelationships12[[#This Row],[Target Type]]="BIM")</f>
        <v>0</v>
      </c>
      <c r="Q2438">
        <f t="shared" si="114"/>
        <v>1</v>
      </c>
      <c r="S2438">
        <f t="shared" si="115"/>
        <v>1</v>
      </c>
      <c r="T2438" s="102" t="str">
        <f>IF(TableRelationships12[[#This Row],[Rank Pedro]]="Low","linkCategory1",IF(TableRelationships12[[#This Row],[Rank Pedro]]="Medium","linkCategory2",IF(TableRelationships12[[#This Row],[Rank Pedro]]="High","linkCategory3","")))</f>
        <v/>
      </c>
      <c r="U2438" s="102" t="str">
        <f>IF(TableRelationships12[[#This Row],[Rank Pedro]]="Low","Pink",IF(TableRelationships12[[#This Row],[Rank Pedro]]="Medium","Purple",IF(TableRelationships12[[#This Row],[Rank Pedro]]="High","Brown","")))</f>
        <v/>
      </c>
      <c r="V2438" s="4" t="e">
        <f>MAX(INDEX(Standards!$F$2:$F$296,MATCH(B2438,Standards!$B$2:$B$296,0)),INDEX(Standards!$F$2:$F$296,MATCH(C2438,Standards!$B$2:$B$296,0)))</f>
        <v>#N/A</v>
      </c>
      <c r="W2438" t="str">
        <f t="shared" si="116"/>
        <v>#2f89d1</v>
      </c>
    </row>
    <row r="2439" spans="1:23" x14ac:dyDescent="0.5">
      <c r="A2439" s="54">
        <v>2438</v>
      </c>
      <c r="B2439" s="90" t="s">
        <v>662</v>
      </c>
      <c r="C2439" t="s">
        <v>1037</v>
      </c>
      <c r="D2439" s="1"/>
      <c r="E2439" s="112">
        <v>2009.09</v>
      </c>
      <c r="F2439" s="112">
        <v>2012.08</v>
      </c>
      <c r="G2439" s="107" t="s">
        <v>670</v>
      </c>
      <c r="H2439">
        <f>INDEX('GIS-Standards'!$A$2:$A$305,MATCH(B2439,'GIS-Standards'!$B$2:$B$305,0))</f>
        <v>111</v>
      </c>
      <c r="I2439">
        <f>INDEX('GIS-Standards'!$A$2:$A$305,MATCH(C2439,'GIS-Standards'!$B$2:$B$305,0))</f>
        <v>48</v>
      </c>
      <c r="J2439" t="str">
        <f>INDEX('GIS-Standards'!$O$2:$O$305,MATCH(B2439,'GIS-Standards'!$B$2:$B$305,0))</f>
        <v>ISO/TC 211</v>
      </c>
      <c r="K2439" t="str">
        <f>INDEX('GIS-Standards'!$O$2:$O$305,MATCH(C2439,'GIS-Standards'!$B$2:$B$305,0))</f>
        <v>ISO/TC 211</v>
      </c>
      <c r="M2439" t="s">
        <v>525</v>
      </c>
      <c r="N2439">
        <f>INDEX('GIS-Standards'!$I$2:$I$305,MATCH(B2439,'GIS-Standards'!$B$2:$B$305,0))</f>
        <v>0</v>
      </c>
      <c r="O2439" t="str">
        <f>INDEX('GIS-Standards'!$I$2:$I$305,MATCH(C2439,'GIS-Standards'!$B$2:$B$305,0))</f>
        <v>08.2012</v>
      </c>
      <c r="P2439" t="b">
        <f>AND(TableRelationships12[[#This Row],[Source Type]]="BIM",TableRelationships12[[#This Row],[Target Type]]="BIM")</f>
        <v>0</v>
      </c>
      <c r="Q2439">
        <f t="shared" si="114"/>
        <v>1</v>
      </c>
      <c r="S2439">
        <f t="shared" si="115"/>
        <v>1</v>
      </c>
      <c r="T2439" s="102" t="str">
        <f>IF(TableRelationships12[[#This Row],[Rank Pedro]]="Low","linkCategory1",IF(TableRelationships12[[#This Row],[Rank Pedro]]="Medium","linkCategory2",IF(TableRelationships12[[#This Row],[Rank Pedro]]="High","linkCategory3","")))</f>
        <v/>
      </c>
      <c r="U2439" s="102" t="str">
        <f>IF(TableRelationships12[[#This Row],[Rank Pedro]]="Low","Pink",IF(TableRelationships12[[#This Row],[Rank Pedro]]="Medium","Purple",IF(TableRelationships12[[#This Row],[Rank Pedro]]="High","Brown","")))</f>
        <v/>
      </c>
      <c r="V2439" s="4" t="e">
        <f>MAX(INDEX(Standards!$F$2:$F$296,MATCH(B2439,Standards!$B$2:$B$296,0)),INDEX(Standards!$F$2:$F$296,MATCH(C2439,Standards!$B$2:$B$296,0)))</f>
        <v>#N/A</v>
      </c>
      <c r="W2439" t="str">
        <f t="shared" si="116"/>
        <v>#2f89d1</v>
      </c>
    </row>
    <row r="2440" spans="1:23" x14ac:dyDescent="0.5">
      <c r="A2440" s="54">
        <v>2439</v>
      </c>
      <c r="B2440" s="90" t="s">
        <v>662</v>
      </c>
      <c r="C2440" t="s">
        <v>474</v>
      </c>
      <c r="D2440" s="119"/>
      <c r="E2440" s="113">
        <v>1974.12</v>
      </c>
      <c r="F2440" s="113">
        <v>2022.1</v>
      </c>
      <c r="G2440" s="107" t="s">
        <v>1511</v>
      </c>
      <c r="H2440">
        <f>INDEX('GIS-Standards'!$A$2:$A$305,MATCH(B2440,'GIS-Standards'!$B$2:$B$305,0))</f>
        <v>111</v>
      </c>
      <c r="I2440" t="e">
        <f>INDEX('GIS-Standards'!$A$2:$A$305,MATCH(C2440,'GIS-Standards'!$B$2:$B$305,0))</f>
        <v>#N/A</v>
      </c>
      <c r="J2440" t="str">
        <f>INDEX('GIS-Standards'!$O$2:$O$305,MATCH(B2440,'GIS-Standards'!$B$2:$B$305,0))</f>
        <v>ISO/TC 211</v>
      </c>
      <c r="K2440" t="e">
        <f>INDEX('GIS-Standards'!$O$2:$O$305,MATCH(C2440,'GIS-Standards'!$B$2:$B$305,0))</f>
        <v>#N/A</v>
      </c>
      <c r="M2440" t="s">
        <v>525</v>
      </c>
      <c r="N2440">
        <f>INDEX('GIS-Standards'!$I$2:$I$305,MATCH(B2440,'GIS-Standards'!$B$2:$B$305,0))</f>
        <v>0</v>
      </c>
      <c r="O2440" t="e">
        <f>INDEX('GIS-Standards'!$I$2:$I$305,MATCH(C2440,'GIS-Standards'!$B$2:$B$305,0))</f>
        <v>#N/A</v>
      </c>
      <c r="P2440" t="e">
        <f>AND(TableRelationships12[[#This Row],[Source Type]]="BIM",TableRelationships12[[#This Row],[Target Type]]="BIM")</f>
        <v>#N/A</v>
      </c>
      <c r="Q2440">
        <f t="shared" si="114"/>
        <v>1</v>
      </c>
      <c r="S2440">
        <f t="shared" si="115"/>
        <v>1</v>
      </c>
      <c r="T2440" s="102" t="str">
        <f>IF(TableRelationships12[[#This Row],[Rank Pedro]]="Low","linkCategory1",IF(TableRelationships12[[#This Row],[Rank Pedro]]="Medium","linkCategory2",IF(TableRelationships12[[#This Row],[Rank Pedro]]="High","linkCategory3","")))</f>
        <v/>
      </c>
      <c r="U2440" s="102" t="str">
        <f>IF(TableRelationships12[[#This Row],[Rank Pedro]]="Low","Pink",IF(TableRelationships12[[#This Row],[Rank Pedro]]="Medium","Purple",IF(TableRelationships12[[#This Row],[Rank Pedro]]="High","Brown","")))</f>
        <v/>
      </c>
      <c r="V2440" s="4" t="e">
        <f>MAX(INDEX(Standards!$F$2:$F$296,MATCH(B2440,Standards!$B$2:$B$296,0)),INDEX(Standards!$F$2:$F$296,MATCH(C2440,Standards!$B$2:$B$296,0)))</f>
        <v>#N/A</v>
      </c>
      <c r="W2440" t="str">
        <f t="shared" si="116"/>
        <v>#2f89d1</v>
      </c>
    </row>
    <row r="2441" spans="1:23" x14ac:dyDescent="0.5">
      <c r="A2441" s="54">
        <v>2440</v>
      </c>
      <c r="B2441" s="90" t="s">
        <v>662</v>
      </c>
      <c r="C2441" t="s">
        <v>1149</v>
      </c>
      <c r="D2441" s="1"/>
      <c r="E2441" s="112">
        <v>1985.12</v>
      </c>
      <c r="F2441" s="112">
        <v>1994.1</v>
      </c>
      <c r="G2441" s="107" t="s">
        <v>1502</v>
      </c>
      <c r="H2441">
        <f>INDEX('GIS-Standards'!$A$2:$A$305,MATCH(B2441,'GIS-Standards'!$B$2:$B$305,0))</f>
        <v>111</v>
      </c>
      <c r="I2441" t="e">
        <f>INDEX('GIS-Standards'!$A$2:$A$305,MATCH(C2441,'GIS-Standards'!$B$2:$B$305,0))</f>
        <v>#N/A</v>
      </c>
      <c r="J2441" t="str">
        <f>INDEX('GIS-Standards'!$O$2:$O$305,MATCH(B2441,'GIS-Standards'!$B$2:$B$305,0))</f>
        <v>ISO/TC 211</v>
      </c>
      <c r="K2441" t="e">
        <f>INDEX('GIS-Standards'!$O$2:$O$305,MATCH(C2441,'GIS-Standards'!$B$2:$B$305,0))</f>
        <v>#N/A</v>
      </c>
      <c r="M2441" t="s">
        <v>525</v>
      </c>
      <c r="N2441">
        <f>INDEX('GIS-Standards'!$I$2:$I$305,MATCH(B2441,'GIS-Standards'!$B$2:$B$305,0))</f>
        <v>0</v>
      </c>
      <c r="O2441" t="e">
        <f>INDEX('GIS-Standards'!$I$2:$I$305,MATCH(C2441,'GIS-Standards'!$B$2:$B$305,0))</f>
        <v>#N/A</v>
      </c>
      <c r="P2441" t="e">
        <f>AND(TableRelationships12[[#This Row],[Source Type]]="BIM",TableRelationships12[[#This Row],[Target Type]]="BIM")</f>
        <v>#N/A</v>
      </c>
      <c r="Q2441">
        <f t="shared" si="114"/>
        <v>1</v>
      </c>
      <c r="S2441">
        <f t="shared" si="115"/>
        <v>1</v>
      </c>
      <c r="T2441" s="102" t="str">
        <f>IF(TableRelationships12[[#This Row],[Rank Pedro]]="Low","linkCategory1",IF(TableRelationships12[[#This Row],[Rank Pedro]]="Medium","linkCategory2",IF(TableRelationships12[[#This Row],[Rank Pedro]]="High","linkCategory3","")))</f>
        <v/>
      </c>
      <c r="U2441" s="102" t="str">
        <f>IF(TableRelationships12[[#This Row],[Rank Pedro]]="Low","Pink",IF(TableRelationships12[[#This Row],[Rank Pedro]]="Medium","Purple",IF(TableRelationships12[[#This Row],[Rank Pedro]]="High","Brown","")))</f>
        <v/>
      </c>
      <c r="V2441" s="4" t="e">
        <f>MAX(INDEX(Standards!$F$2:$F$296,MATCH(B2441,Standards!$B$2:$B$296,0)),INDEX(Standards!$F$2:$F$296,MATCH(C2441,Standards!$B$2:$B$296,0)))</f>
        <v>#N/A</v>
      </c>
      <c r="W2441" t="str">
        <f t="shared" si="116"/>
        <v>#2f89d1</v>
      </c>
    </row>
    <row r="2442" spans="1:23" x14ac:dyDescent="0.5">
      <c r="A2442" s="54">
        <v>2441</v>
      </c>
      <c r="B2442" s="90" t="s">
        <v>662</v>
      </c>
      <c r="C2442" t="s">
        <v>650</v>
      </c>
      <c r="D2442" s="1"/>
      <c r="E2442" s="112">
        <v>2009.04</v>
      </c>
      <c r="F2442" s="112">
        <v>2009.04</v>
      </c>
      <c r="G2442" s="107" t="s">
        <v>670</v>
      </c>
      <c r="H2442">
        <f>INDEX('GIS-Standards'!$A$2:$A$305,MATCH(B2442,'GIS-Standards'!$B$2:$B$305,0))</f>
        <v>111</v>
      </c>
      <c r="I2442">
        <f>INDEX('GIS-Standards'!$A$2:$A$305,MATCH(C2442,'GIS-Standards'!$B$2:$B$305,0))</f>
        <v>99</v>
      </c>
      <c r="J2442" t="str">
        <f>INDEX('GIS-Standards'!$O$2:$O$305,MATCH(B2442,'GIS-Standards'!$B$2:$B$305,0))</f>
        <v>ISO/TC 211</v>
      </c>
      <c r="K2442" t="str">
        <f>INDEX('GIS-Standards'!$O$2:$O$305,MATCH(C2442,'GIS-Standards'!$B$2:$B$305,0))</f>
        <v>ISO/TC 211</v>
      </c>
      <c r="M2442" t="s">
        <v>525</v>
      </c>
      <c r="N2442">
        <f>INDEX('GIS-Standards'!$I$2:$I$305,MATCH(B2442,'GIS-Standards'!$B$2:$B$305,0))</f>
        <v>0</v>
      </c>
      <c r="O2442">
        <f>INDEX('GIS-Standards'!$I$2:$I$305,MATCH(C2442,'GIS-Standards'!$B$2:$B$305,0))</f>
        <v>0</v>
      </c>
      <c r="P2442" t="b">
        <f>AND(TableRelationships12[[#This Row],[Source Type]]="BIM",TableRelationships12[[#This Row],[Target Type]]="BIM")</f>
        <v>0</v>
      </c>
      <c r="Q2442">
        <f t="shared" si="114"/>
        <v>1</v>
      </c>
      <c r="S2442">
        <f t="shared" si="115"/>
        <v>1</v>
      </c>
      <c r="T2442" s="102" t="str">
        <f>IF(TableRelationships12[[#This Row],[Rank Pedro]]="Low","linkCategory1",IF(TableRelationships12[[#This Row],[Rank Pedro]]="Medium","linkCategory2",IF(TableRelationships12[[#This Row],[Rank Pedro]]="High","linkCategory3","")))</f>
        <v/>
      </c>
      <c r="U2442" s="102" t="str">
        <f>IF(TableRelationships12[[#This Row],[Rank Pedro]]="Low","Pink",IF(TableRelationships12[[#This Row],[Rank Pedro]]="Medium","Purple",IF(TableRelationships12[[#This Row],[Rank Pedro]]="High","Brown","")))</f>
        <v/>
      </c>
      <c r="V2442" s="4" t="e">
        <f>MAX(INDEX(Standards!$F$2:$F$296,MATCH(B2442,Standards!$B$2:$B$296,0)),INDEX(Standards!$F$2:$F$296,MATCH(C2442,Standards!$B$2:$B$296,0)))</f>
        <v>#N/A</v>
      </c>
      <c r="W2442" t="str">
        <f t="shared" si="116"/>
        <v>#2f89d1</v>
      </c>
    </row>
    <row r="2443" spans="1:23" x14ac:dyDescent="0.5">
      <c r="A2443" s="54">
        <v>2442</v>
      </c>
      <c r="B2443" s="90" t="s">
        <v>662</v>
      </c>
      <c r="C2443" t="s">
        <v>646</v>
      </c>
      <c r="D2443" s="1" t="s">
        <v>1676</v>
      </c>
      <c r="E2443" s="112">
        <v>2000.1</v>
      </c>
      <c r="F2443" s="112">
        <v>2000.1</v>
      </c>
      <c r="G2443" s="107" t="s">
        <v>670</v>
      </c>
      <c r="H2443">
        <f>INDEX('GIS-Standards'!$A$2:$A$305,MATCH(B2443,'GIS-Standards'!$B$2:$B$305,0))</f>
        <v>111</v>
      </c>
      <c r="I2443">
        <f>INDEX('GIS-Standards'!$A$2:$A$305,MATCH(C2443,'GIS-Standards'!$B$2:$B$305,0))</f>
        <v>89</v>
      </c>
      <c r="J2443" t="str">
        <f>INDEX('GIS-Standards'!$O$2:$O$305,MATCH(B2443,'GIS-Standards'!$B$2:$B$305,0))</f>
        <v>ISO/TC 211</v>
      </c>
      <c r="K2443" t="str">
        <f>INDEX('GIS-Standards'!$O$2:$O$305,MATCH(C2443,'GIS-Standards'!$B$2:$B$305,0))</f>
        <v>ISO/TC 211</v>
      </c>
      <c r="M2443" t="s">
        <v>525</v>
      </c>
      <c r="N2443">
        <f>INDEX('GIS-Standards'!$I$2:$I$305,MATCH(B2443,'GIS-Standards'!$B$2:$B$305,0))</f>
        <v>0</v>
      </c>
      <c r="O2443">
        <f>INDEX('GIS-Standards'!$I$2:$I$305,MATCH(C2443,'GIS-Standards'!$B$2:$B$305,0))</f>
        <v>0</v>
      </c>
      <c r="P2443" t="b">
        <f>AND(TableRelationships12[[#This Row],[Source Type]]="BIM",TableRelationships12[[#This Row],[Target Type]]="BIM")</f>
        <v>0</v>
      </c>
      <c r="Q2443">
        <f t="shared" si="114"/>
        <v>1</v>
      </c>
      <c r="S2443">
        <f t="shared" si="115"/>
        <v>1</v>
      </c>
      <c r="T2443" s="102" t="str">
        <f>IF(TableRelationships12[[#This Row],[Rank Pedro]]="Low","linkCategory1",IF(TableRelationships12[[#This Row],[Rank Pedro]]="Medium","linkCategory2",IF(TableRelationships12[[#This Row],[Rank Pedro]]="High","linkCategory3","")))</f>
        <v/>
      </c>
      <c r="U2443" s="102" t="str">
        <f>IF(TableRelationships12[[#This Row],[Rank Pedro]]="Low","Pink",IF(TableRelationships12[[#This Row],[Rank Pedro]]="Medium","Purple",IF(TableRelationships12[[#This Row],[Rank Pedro]]="High","Brown","")))</f>
        <v/>
      </c>
      <c r="V2443" s="4" t="e">
        <f>MAX(INDEX(Standards!$F$2:$F$296,MATCH(B2443,Standards!$B$2:$B$296,0)),INDEX(Standards!$F$2:$F$296,MATCH(C2443,Standards!$B$2:$B$296,0)))</f>
        <v>#N/A</v>
      </c>
      <c r="W2443" t="str">
        <f t="shared" si="116"/>
        <v>#2f89d1</v>
      </c>
    </row>
    <row r="2444" spans="1:23" x14ac:dyDescent="0.5">
      <c r="A2444" s="54">
        <v>2443</v>
      </c>
      <c r="B2444" s="90" t="s">
        <v>662</v>
      </c>
      <c r="C2444" t="s">
        <v>1291</v>
      </c>
      <c r="D2444" s="1"/>
      <c r="G2444" s="107"/>
      <c r="H2444">
        <f>INDEX('GIS-Standards'!$A$2:$A$305,MATCH(B2444,'GIS-Standards'!$B$2:$B$305,0))</f>
        <v>111</v>
      </c>
      <c r="I2444" t="e">
        <f>INDEX('GIS-Standards'!$A$2:$A$305,MATCH(C2444,'GIS-Standards'!$B$2:$B$305,0))</f>
        <v>#N/A</v>
      </c>
      <c r="J2444" t="str">
        <f>INDEX('GIS-Standards'!$O$2:$O$305,MATCH(B2444,'GIS-Standards'!$B$2:$B$305,0))</f>
        <v>ISO/TC 211</v>
      </c>
      <c r="K2444" t="e">
        <f>INDEX('GIS-Standards'!$O$2:$O$305,MATCH(C2444,'GIS-Standards'!$B$2:$B$305,0))</f>
        <v>#N/A</v>
      </c>
      <c r="M2444" t="s">
        <v>525</v>
      </c>
      <c r="N2444">
        <f>INDEX('GIS-Standards'!$I$2:$I$305,MATCH(B2444,'GIS-Standards'!$B$2:$B$305,0))</f>
        <v>0</v>
      </c>
      <c r="O2444" t="e">
        <f>INDEX('GIS-Standards'!$I$2:$I$305,MATCH(C2444,'GIS-Standards'!$B$2:$B$305,0))</f>
        <v>#N/A</v>
      </c>
      <c r="P2444" t="e">
        <f>AND(TableRelationships12[[#This Row],[Source Type]]="BIM",TableRelationships12[[#This Row],[Target Type]]="BIM")</f>
        <v>#N/A</v>
      </c>
      <c r="Q2444">
        <f t="shared" si="114"/>
        <v>1</v>
      </c>
      <c r="S2444">
        <f t="shared" si="115"/>
        <v>1</v>
      </c>
      <c r="T2444" s="102" t="str">
        <f>IF(TableRelationships12[[#This Row],[Rank Pedro]]="Low","linkCategory1",IF(TableRelationships12[[#This Row],[Rank Pedro]]="Medium","linkCategory2",IF(TableRelationships12[[#This Row],[Rank Pedro]]="High","linkCategory3","")))</f>
        <v/>
      </c>
      <c r="U2444" s="102" t="str">
        <f>IF(TableRelationships12[[#This Row],[Rank Pedro]]="Low","Pink",IF(TableRelationships12[[#This Row],[Rank Pedro]]="Medium","Purple",IF(TableRelationships12[[#This Row],[Rank Pedro]]="High","Brown","")))</f>
        <v/>
      </c>
      <c r="V2444" s="4" t="e">
        <f>MAX(INDEX(Standards!$F$2:$F$296,MATCH(B2444,Standards!$B$2:$B$296,0)),INDEX(Standards!$F$2:$F$296,MATCH(C2444,Standards!$B$2:$B$296,0)))</f>
        <v>#N/A</v>
      </c>
      <c r="W2444" t="str">
        <f t="shared" si="116"/>
        <v>#2f89d1</v>
      </c>
    </row>
    <row r="2445" spans="1:23" x14ac:dyDescent="0.5">
      <c r="A2445" s="54">
        <v>2444</v>
      </c>
      <c r="B2445" s="90" t="s">
        <v>663</v>
      </c>
      <c r="C2445" t="s">
        <v>527</v>
      </c>
      <c r="D2445" s="1"/>
      <c r="E2445" s="112" t="s">
        <v>916</v>
      </c>
      <c r="F2445" s="112" t="s">
        <v>916</v>
      </c>
      <c r="G2445" s="121" t="s">
        <v>670</v>
      </c>
      <c r="H2445">
        <f>INDEX('GIS-Standards'!$A$2:$A$305,MATCH(B2445,'GIS-Standards'!$B$2:$B$305,0))</f>
        <v>112</v>
      </c>
      <c r="I2445" t="e">
        <f>INDEX('GIS-Standards'!$A$2:$A$305,MATCH(C2445,'GIS-Standards'!$B$2:$B$305,0))</f>
        <v>#N/A</v>
      </c>
      <c r="J2445" t="str">
        <f>INDEX('GIS-Standards'!$O$2:$O$305,MATCH(B2445,'GIS-Standards'!$B$2:$B$305,0))</f>
        <v>ISO/TC 211</v>
      </c>
      <c r="K2445" t="e">
        <f>INDEX('GIS-Standards'!$O$2:$O$305,MATCH(C2445,'GIS-Standards'!$B$2:$B$305,0))</f>
        <v>#N/A</v>
      </c>
      <c r="M2445" t="s">
        <v>237</v>
      </c>
      <c r="N2445">
        <f>INDEX('GIS-Standards'!$I$2:$I$305,MATCH(B2445,'GIS-Standards'!$B$2:$B$305,0))</f>
        <v>0</v>
      </c>
      <c r="O2445" t="e">
        <f>INDEX('GIS-Standards'!$I$2:$I$305,MATCH(C2445,'GIS-Standards'!$B$2:$B$305,0))</f>
        <v>#N/A</v>
      </c>
      <c r="P2445" t="e">
        <f>AND(TableRelationships12[[#This Row],[Source Type]]="BIM",TableRelationships12[[#This Row],[Target Type]]="BIM")</f>
        <v>#N/A</v>
      </c>
      <c r="Q2445">
        <f t="shared" si="114"/>
        <v>2</v>
      </c>
      <c r="S2445">
        <f t="shared" si="115"/>
        <v>1</v>
      </c>
      <c r="T2445" s="102" t="str">
        <f>IF(TableRelationships12[[#This Row],[Rank Pedro]]="Low","linkCategory1",IF(TableRelationships12[[#This Row],[Rank Pedro]]="Medium","linkCategory2",IF(TableRelationships12[[#This Row],[Rank Pedro]]="High","linkCategory3","")))</f>
        <v/>
      </c>
      <c r="U2445" s="102" t="str">
        <f>IF(TableRelationships12[[#This Row],[Rank Pedro]]="Low","Pink",IF(TableRelationships12[[#This Row],[Rank Pedro]]="Medium","Purple",IF(TableRelationships12[[#This Row],[Rank Pedro]]="High","Brown","")))</f>
        <v/>
      </c>
      <c r="V2445" s="4" t="e">
        <f>MAX(INDEX(Standards!$F$2:$F$296,MATCH(B2445,Standards!$B$2:$B$296,0)),INDEX(Standards!$F$2:$F$296,MATCH(C2445,Standards!$B$2:$B$296,0)))</f>
        <v>#N/A</v>
      </c>
      <c r="W2445">
        <f t="shared" si="116"/>
        <v>1</v>
      </c>
    </row>
    <row r="2446" spans="1:23" x14ac:dyDescent="0.5">
      <c r="A2446" s="54">
        <v>2445</v>
      </c>
      <c r="B2446" s="90" t="s">
        <v>663</v>
      </c>
      <c r="C2446" t="s">
        <v>662</v>
      </c>
      <c r="D2446" s="1"/>
      <c r="E2446" s="112">
        <v>2016.01</v>
      </c>
      <c r="F2446" s="112">
        <v>2016.01</v>
      </c>
      <c r="G2446" s="107" t="s">
        <v>670</v>
      </c>
      <c r="H2446">
        <f>INDEX('GIS-Standards'!$A$2:$A$305,MATCH(B2446,'GIS-Standards'!$B$2:$B$305,0))</f>
        <v>112</v>
      </c>
      <c r="I2446">
        <f>INDEX('GIS-Standards'!$A$2:$A$305,MATCH(C2446,'GIS-Standards'!$B$2:$B$305,0))</f>
        <v>111</v>
      </c>
      <c r="J2446" t="str">
        <f>INDEX('GIS-Standards'!$O$2:$O$305,MATCH(B2446,'GIS-Standards'!$B$2:$B$305,0))</f>
        <v>ISO/TC 211</v>
      </c>
      <c r="K2446" t="str">
        <f>INDEX('GIS-Standards'!$O$2:$O$305,MATCH(C2446,'GIS-Standards'!$B$2:$B$305,0))</f>
        <v>ISO/TC 211</v>
      </c>
      <c r="M2446" t="s">
        <v>524</v>
      </c>
      <c r="N2446">
        <f>INDEX('GIS-Standards'!$I$2:$I$305,MATCH(B2446,'GIS-Standards'!$B$2:$B$305,0))</f>
        <v>0</v>
      </c>
      <c r="O2446">
        <f>INDEX('GIS-Standards'!$I$2:$I$305,MATCH(C2446,'GIS-Standards'!$B$2:$B$305,0))</f>
        <v>0</v>
      </c>
      <c r="P2446" t="b">
        <f>AND(TableRelationships12[[#This Row],[Source Type]]="BIM",TableRelationships12[[#This Row],[Target Type]]="BIM")</f>
        <v>0</v>
      </c>
      <c r="Q2446">
        <f t="shared" si="114"/>
        <v>6</v>
      </c>
      <c r="S2446">
        <f t="shared" si="115"/>
        <v>1</v>
      </c>
      <c r="T2446" s="102" t="str">
        <f>IF(TableRelationships12[[#This Row],[Rank Pedro]]="Low","linkCategory1",IF(TableRelationships12[[#This Row],[Rank Pedro]]="Medium","linkCategory2",IF(TableRelationships12[[#This Row],[Rank Pedro]]="High","linkCategory3","")))</f>
        <v/>
      </c>
      <c r="U2446" s="102" t="str">
        <f>IF(TableRelationships12[[#This Row],[Rank Pedro]]="Low","Pink",IF(TableRelationships12[[#This Row],[Rank Pedro]]="Medium","Purple",IF(TableRelationships12[[#This Row],[Rank Pedro]]="High","Brown","")))</f>
        <v/>
      </c>
      <c r="V2446" s="4" t="e">
        <f>MAX(INDEX(Standards!$F$2:$F$296,MATCH(B2446,Standards!$B$2:$B$296,0)),INDEX(Standards!$F$2:$F$296,MATCH(C2446,Standards!$B$2:$B$296,0)))</f>
        <v>#N/A</v>
      </c>
      <c r="W2446" t="str">
        <f t="shared" si="116"/>
        <v>#d6bf2a</v>
      </c>
    </row>
    <row r="2447" spans="1:23" x14ac:dyDescent="0.5">
      <c r="A2447" s="54">
        <v>2446</v>
      </c>
      <c r="B2447" s="90" t="s">
        <v>663</v>
      </c>
      <c r="C2447" t="s">
        <v>631</v>
      </c>
      <c r="D2447" s="1"/>
      <c r="E2447" s="112">
        <v>2008.06</v>
      </c>
      <c r="F2447" s="112">
        <v>2018.05</v>
      </c>
      <c r="G2447" s="107" t="s">
        <v>670</v>
      </c>
      <c r="H2447">
        <f>INDEX('GIS-Standards'!$A$2:$A$305,MATCH(B2447,'GIS-Standards'!$B$2:$B$305,0))</f>
        <v>112</v>
      </c>
      <c r="I2447">
        <f>INDEX('GIS-Standards'!$A$2:$A$305,MATCH(C2447,'GIS-Standards'!$B$2:$B$305,0))</f>
        <v>11</v>
      </c>
      <c r="J2447" t="str">
        <f>INDEX('GIS-Standards'!$O$2:$O$305,MATCH(B2447,'GIS-Standards'!$B$2:$B$305,0))</f>
        <v>ISO/TC 211</v>
      </c>
      <c r="K2447" t="str">
        <f>INDEX('GIS-Standards'!$O$2:$O$305,MATCH(C2447,'GIS-Standards'!$B$2:$B$305,0))</f>
        <v>ISO/TC 211</v>
      </c>
      <c r="M2447" t="s">
        <v>525</v>
      </c>
      <c r="N2447">
        <f>INDEX('GIS-Standards'!$I$2:$I$305,MATCH(B2447,'GIS-Standards'!$B$2:$B$305,0))</f>
        <v>0</v>
      </c>
      <c r="O2447">
        <f>INDEX('GIS-Standards'!$I$2:$I$305,MATCH(C2447,'GIS-Standards'!$B$2:$B$305,0))</f>
        <v>0</v>
      </c>
      <c r="P2447" t="b">
        <f>AND(TableRelationships12[[#This Row],[Source Type]]="BIM",TableRelationships12[[#This Row],[Target Type]]="BIM")</f>
        <v>0</v>
      </c>
      <c r="Q2447">
        <f t="shared" si="114"/>
        <v>1</v>
      </c>
      <c r="S2447">
        <f t="shared" si="115"/>
        <v>1</v>
      </c>
      <c r="T2447" s="102" t="str">
        <f>IF(TableRelationships12[[#This Row],[Rank Pedro]]="Low","linkCategory1",IF(TableRelationships12[[#This Row],[Rank Pedro]]="Medium","linkCategory2",IF(TableRelationships12[[#This Row],[Rank Pedro]]="High","linkCategory3","")))</f>
        <v/>
      </c>
      <c r="U2447" s="102" t="str">
        <f>IF(TableRelationships12[[#This Row],[Rank Pedro]]="Low","Pink",IF(TableRelationships12[[#This Row],[Rank Pedro]]="Medium","Purple",IF(TableRelationships12[[#This Row],[Rank Pedro]]="High","Brown","")))</f>
        <v/>
      </c>
      <c r="V2447" s="4" t="e">
        <f>MAX(INDEX(Standards!$F$2:$F$296,MATCH(B2447,Standards!$B$2:$B$296,0)),INDEX(Standards!$F$2:$F$296,MATCH(C2447,Standards!$B$2:$B$296,0)))</f>
        <v>#N/A</v>
      </c>
      <c r="W2447" t="str">
        <f t="shared" si="116"/>
        <v>#2f89d1</v>
      </c>
    </row>
    <row r="2448" spans="1:23" x14ac:dyDescent="0.5">
      <c r="A2448" s="54">
        <v>2447</v>
      </c>
      <c r="B2448" s="90" t="s">
        <v>663</v>
      </c>
      <c r="C2448" t="s">
        <v>1041</v>
      </c>
      <c r="D2448" s="1"/>
      <c r="E2448" s="112">
        <v>2009.02</v>
      </c>
      <c r="F2448" s="112">
        <v>2022.03</v>
      </c>
      <c r="G2448" s="107" t="s">
        <v>670</v>
      </c>
      <c r="H2448">
        <f>INDEX('GIS-Standards'!$A$2:$A$305,MATCH(B2448,'GIS-Standards'!$B$2:$B$305,0))</f>
        <v>112</v>
      </c>
      <c r="I2448">
        <f>INDEX('GIS-Standards'!$A$2:$A$305,MATCH(C2448,'GIS-Standards'!$B$2:$B$305,0))</f>
        <v>23</v>
      </c>
      <c r="J2448" t="str">
        <f>INDEX('GIS-Standards'!$O$2:$O$305,MATCH(B2448,'GIS-Standards'!$B$2:$B$305,0))</f>
        <v>ISO/TC 211</v>
      </c>
      <c r="K2448" t="str">
        <f>INDEX('GIS-Standards'!$O$2:$O$305,MATCH(C2448,'GIS-Standards'!$B$2:$B$305,0))</f>
        <v>ISO/TC 211</v>
      </c>
      <c r="M2448" t="s">
        <v>525</v>
      </c>
      <c r="N2448">
        <f>INDEX('GIS-Standards'!$I$2:$I$305,MATCH(B2448,'GIS-Standards'!$B$2:$B$305,0))</f>
        <v>0</v>
      </c>
      <c r="O2448" t="str">
        <f>INDEX('GIS-Standards'!$I$2:$I$305,MATCH(C2448,'GIS-Standards'!$B$2:$B$305,0))</f>
        <v>03.2022</v>
      </c>
      <c r="P2448" t="b">
        <f>AND(TableRelationships12[[#This Row],[Source Type]]="BIM",TableRelationships12[[#This Row],[Target Type]]="BIM")</f>
        <v>0</v>
      </c>
      <c r="Q2448">
        <f t="shared" si="114"/>
        <v>1</v>
      </c>
      <c r="S2448">
        <f t="shared" si="115"/>
        <v>1</v>
      </c>
      <c r="T2448" s="102" t="str">
        <f>IF(TableRelationships12[[#This Row],[Rank Pedro]]="Low","linkCategory1",IF(TableRelationships12[[#This Row],[Rank Pedro]]="Medium","linkCategory2",IF(TableRelationships12[[#This Row],[Rank Pedro]]="High","linkCategory3","")))</f>
        <v/>
      </c>
      <c r="U2448" s="102" t="str">
        <f>IF(TableRelationships12[[#This Row],[Rank Pedro]]="Low","Pink",IF(TableRelationships12[[#This Row],[Rank Pedro]]="Medium","Purple",IF(TableRelationships12[[#This Row],[Rank Pedro]]="High","Brown","")))</f>
        <v/>
      </c>
      <c r="V2448" s="4" t="e">
        <f>MAX(INDEX(Standards!$F$2:$F$296,MATCH(B2448,Standards!$B$2:$B$296,0)),INDEX(Standards!$F$2:$F$296,MATCH(C2448,Standards!$B$2:$B$296,0)))</f>
        <v>#N/A</v>
      </c>
      <c r="W2448" t="str">
        <f t="shared" si="116"/>
        <v>#2f89d1</v>
      </c>
    </row>
    <row r="2449" spans="1:23" x14ac:dyDescent="0.5">
      <c r="A2449" s="54">
        <v>2448</v>
      </c>
      <c r="B2449" s="90" t="s">
        <v>663</v>
      </c>
      <c r="C2449" t="s">
        <v>316</v>
      </c>
      <c r="D2449" s="1"/>
      <c r="E2449" s="112">
        <v>2005.07</v>
      </c>
      <c r="F2449" s="112">
        <v>2011.1</v>
      </c>
      <c r="G2449" s="107" t="s">
        <v>670</v>
      </c>
      <c r="H2449">
        <f>INDEX('GIS-Standards'!$A$2:$A$305,MATCH(B2449,'GIS-Standards'!$B$2:$B$305,0))</f>
        <v>112</v>
      </c>
      <c r="I2449">
        <f>INDEX('GIS-Standards'!$A$2:$A$305,MATCH(C2449,'GIS-Standards'!$B$2:$B$305,0))</f>
        <v>27</v>
      </c>
      <c r="J2449" t="str">
        <f>INDEX('GIS-Standards'!$O$2:$O$305,MATCH(B2449,'GIS-Standards'!$B$2:$B$305,0))</f>
        <v>ISO/TC 211</v>
      </c>
      <c r="K2449" t="str">
        <f>INDEX('GIS-Standards'!$O$2:$O$305,MATCH(C2449,'GIS-Standards'!$B$2:$B$305,0))</f>
        <v>ISO/TC 211</v>
      </c>
      <c r="M2449" t="s">
        <v>525</v>
      </c>
      <c r="N2449">
        <f>INDEX('GIS-Standards'!$I$2:$I$305,MATCH(B2449,'GIS-Standards'!$B$2:$B$305,0))</f>
        <v>0</v>
      </c>
      <c r="O2449">
        <f>INDEX('GIS-Standards'!$I$2:$I$305,MATCH(C2449,'GIS-Standards'!$B$2:$B$305,0))</f>
        <v>0</v>
      </c>
      <c r="P2449" t="b">
        <f>AND(TableRelationships12[[#This Row],[Source Type]]="BIM",TableRelationships12[[#This Row],[Target Type]]="BIM")</f>
        <v>0</v>
      </c>
      <c r="Q2449">
        <f t="shared" si="114"/>
        <v>1</v>
      </c>
      <c r="S2449">
        <f t="shared" si="115"/>
        <v>1</v>
      </c>
      <c r="T2449" s="102" t="str">
        <f>IF(TableRelationships12[[#This Row],[Rank Pedro]]="Low","linkCategory1",IF(TableRelationships12[[#This Row],[Rank Pedro]]="Medium","linkCategory2",IF(TableRelationships12[[#This Row],[Rank Pedro]]="High","linkCategory3","")))</f>
        <v/>
      </c>
      <c r="U2449" s="102" t="str">
        <f>IF(TableRelationships12[[#This Row],[Rank Pedro]]="Low","Pink",IF(TableRelationships12[[#This Row],[Rank Pedro]]="Medium","Purple",IF(TableRelationships12[[#This Row],[Rank Pedro]]="High","Brown","")))</f>
        <v/>
      </c>
      <c r="V2449" s="4" t="e">
        <f>MAX(INDEX(Standards!$F$2:$F$296,MATCH(B2449,Standards!$B$2:$B$296,0)),INDEX(Standards!$F$2:$F$296,MATCH(C2449,Standards!$B$2:$B$296,0)))</f>
        <v>#N/A</v>
      </c>
      <c r="W2449" t="str">
        <f t="shared" si="116"/>
        <v>#2f89d1</v>
      </c>
    </row>
    <row r="2450" spans="1:23" x14ac:dyDescent="0.5">
      <c r="A2450" s="54">
        <v>2449</v>
      </c>
      <c r="B2450" s="90" t="s">
        <v>663</v>
      </c>
      <c r="C2450" t="s">
        <v>646</v>
      </c>
      <c r="D2450" s="1" t="s">
        <v>1676</v>
      </c>
      <c r="E2450" s="112">
        <v>2000.1</v>
      </c>
      <c r="F2450" s="112">
        <v>2000.1</v>
      </c>
      <c r="G2450" s="107" t="s">
        <v>670</v>
      </c>
      <c r="H2450">
        <f>INDEX('GIS-Standards'!$A$2:$A$305,MATCH(B2450,'GIS-Standards'!$B$2:$B$305,0))</f>
        <v>112</v>
      </c>
      <c r="I2450">
        <f>INDEX('GIS-Standards'!$A$2:$A$305,MATCH(C2450,'GIS-Standards'!$B$2:$B$305,0))</f>
        <v>89</v>
      </c>
      <c r="J2450" t="str">
        <f>INDEX('GIS-Standards'!$O$2:$O$305,MATCH(B2450,'GIS-Standards'!$B$2:$B$305,0))</f>
        <v>ISO/TC 211</v>
      </c>
      <c r="K2450" t="str">
        <f>INDEX('GIS-Standards'!$O$2:$O$305,MATCH(C2450,'GIS-Standards'!$B$2:$B$305,0))</f>
        <v>ISO/TC 211</v>
      </c>
      <c r="M2450" t="s">
        <v>525</v>
      </c>
      <c r="N2450">
        <f>INDEX('GIS-Standards'!$I$2:$I$305,MATCH(B2450,'GIS-Standards'!$B$2:$B$305,0))</f>
        <v>0</v>
      </c>
      <c r="O2450">
        <f>INDEX('GIS-Standards'!$I$2:$I$305,MATCH(C2450,'GIS-Standards'!$B$2:$B$305,0))</f>
        <v>0</v>
      </c>
      <c r="P2450" t="b">
        <f>AND(TableRelationships12[[#This Row],[Source Type]]="BIM",TableRelationships12[[#This Row],[Target Type]]="BIM")</f>
        <v>0</v>
      </c>
      <c r="Q2450">
        <f t="shared" si="114"/>
        <v>1</v>
      </c>
      <c r="S2450">
        <f t="shared" si="115"/>
        <v>1</v>
      </c>
      <c r="T2450" s="102" t="str">
        <f>IF(TableRelationships12[[#This Row],[Rank Pedro]]="Low","linkCategory1",IF(TableRelationships12[[#This Row],[Rank Pedro]]="Medium","linkCategory2",IF(TableRelationships12[[#This Row],[Rank Pedro]]="High","linkCategory3","")))</f>
        <v/>
      </c>
      <c r="U2450" s="102" t="str">
        <f>IF(TableRelationships12[[#This Row],[Rank Pedro]]="Low","Pink",IF(TableRelationships12[[#This Row],[Rank Pedro]]="Medium","Purple",IF(TableRelationships12[[#This Row],[Rank Pedro]]="High","Brown","")))</f>
        <v/>
      </c>
      <c r="V2450" s="4" t="e">
        <f>MAX(INDEX(Standards!$F$2:$F$296,MATCH(B2450,Standards!$B$2:$B$296,0)),INDEX(Standards!$F$2:$F$296,MATCH(C2450,Standards!$B$2:$B$296,0)))</f>
        <v>#N/A</v>
      </c>
      <c r="W2450" t="str">
        <f t="shared" si="116"/>
        <v>#2f89d1</v>
      </c>
    </row>
    <row r="2451" spans="1:23" x14ac:dyDescent="0.5">
      <c r="A2451" s="54">
        <v>2450</v>
      </c>
      <c r="B2451" s="90" t="s">
        <v>663</v>
      </c>
      <c r="C2451" t="s">
        <v>320</v>
      </c>
      <c r="D2451" s="1" t="s">
        <v>1100</v>
      </c>
      <c r="E2451" s="112">
        <v>2005.08</v>
      </c>
      <c r="F2451" s="112">
        <v>2023.06</v>
      </c>
      <c r="G2451" s="107" t="s">
        <v>670</v>
      </c>
      <c r="H2451">
        <f>INDEX('GIS-Standards'!$A$2:$A$305,MATCH(B2451,'GIS-Standards'!$B$2:$B$305,0))</f>
        <v>112</v>
      </c>
      <c r="I2451">
        <f>INDEX('GIS-Standards'!$A$2:$A$305,MATCH(C2451,'GIS-Standards'!$B$2:$B$305,0))</f>
        <v>29</v>
      </c>
      <c r="J2451" t="str">
        <f>INDEX('GIS-Standards'!$O$2:$O$305,MATCH(B2451,'GIS-Standards'!$B$2:$B$305,0))</f>
        <v>ISO/TC 211</v>
      </c>
      <c r="K2451" t="str">
        <f>INDEX('GIS-Standards'!$O$2:$O$305,MATCH(C2451,'GIS-Standards'!$B$2:$B$305,0))</f>
        <v>ISO/TC 211</v>
      </c>
      <c r="M2451" t="s">
        <v>525</v>
      </c>
      <c r="N2451">
        <f>INDEX('GIS-Standards'!$I$2:$I$305,MATCH(B2451,'GIS-Standards'!$B$2:$B$305,0))</f>
        <v>0</v>
      </c>
      <c r="O2451">
        <f>INDEX('GIS-Standards'!$I$2:$I$305,MATCH(C2451,'GIS-Standards'!$B$2:$B$305,0))</f>
        <v>0</v>
      </c>
      <c r="P2451" t="b">
        <f>AND(TableRelationships12[[#This Row],[Source Type]]="BIM",TableRelationships12[[#This Row],[Target Type]]="BIM")</f>
        <v>0</v>
      </c>
      <c r="Q2451">
        <f t="shared" si="114"/>
        <v>1</v>
      </c>
      <c r="S2451">
        <f t="shared" si="115"/>
        <v>1</v>
      </c>
      <c r="T2451" s="102" t="str">
        <f>IF(TableRelationships12[[#This Row],[Rank Pedro]]="Low","linkCategory1",IF(TableRelationships12[[#This Row],[Rank Pedro]]="Medium","linkCategory2",IF(TableRelationships12[[#This Row],[Rank Pedro]]="High","linkCategory3","")))</f>
        <v/>
      </c>
      <c r="U2451" s="102" t="str">
        <f>IF(TableRelationships12[[#This Row],[Rank Pedro]]="Low","Pink",IF(TableRelationships12[[#This Row],[Rank Pedro]]="Medium","Purple",IF(TableRelationships12[[#This Row],[Rank Pedro]]="High","Brown","")))</f>
        <v/>
      </c>
      <c r="V2451" s="4" t="e">
        <f>MAX(INDEX(Standards!$F$2:$F$296,MATCH(B2451,Standards!$B$2:$B$296,0)),INDEX(Standards!$F$2:$F$296,MATCH(C2451,Standards!$B$2:$B$296,0)))</f>
        <v>#N/A</v>
      </c>
      <c r="W2451" t="str">
        <f t="shared" si="116"/>
        <v>#2f89d1</v>
      </c>
    </row>
    <row r="2452" spans="1:23" x14ac:dyDescent="0.5">
      <c r="A2452" s="54">
        <v>2451</v>
      </c>
      <c r="B2452" s="90" t="s">
        <v>663</v>
      </c>
      <c r="C2452" t="s">
        <v>632</v>
      </c>
      <c r="D2452" s="1"/>
      <c r="E2452" s="112">
        <v>2018.1</v>
      </c>
      <c r="F2452" s="112">
        <v>2018.1</v>
      </c>
      <c r="G2452" s="107" t="s">
        <v>670</v>
      </c>
      <c r="H2452">
        <f>INDEX('GIS-Standards'!$A$2:$A$305,MATCH(B2452,'GIS-Standards'!$B$2:$B$305,0))</f>
        <v>112</v>
      </c>
      <c r="I2452">
        <f>INDEX('GIS-Standards'!$A$2:$A$305,MATCH(C2452,'GIS-Standards'!$B$2:$B$305,0))</f>
        <v>30</v>
      </c>
      <c r="J2452" t="str">
        <f>INDEX('GIS-Standards'!$O$2:$O$305,MATCH(B2452,'GIS-Standards'!$B$2:$B$305,0))</f>
        <v>ISO/TC 211</v>
      </c>
      <c r="K2452" t="str">
        <f>INDEX('GIS-Standards'!$O$2:$O$305,MATCH(C2452,'GIS-Standards'!$B$2:$B$305,0))</f>
        <v>ISO/TC 211</v>
      </c>
      <c r="M2452" t="s">
        <v>525</v>
      </c>
      <c r="N2452">
        <f>INDEX('GIS-Standards'!$I$2:$I$305,MATCH(B2452,'GIS-Standards'!$B$2:$B$305,0))</f>
        <v>0</v>
      </c>
      <c r="O2452">
        <f>INDEX('GIS-Standards'!$I$2:$I$305,MATCH(C2452,'GIS-Standards'!$B$2:$B$305,0))</f>
        <v>0</v>
      </c>
      <c r="P2452" t="b">
        <f>AND(TableRelationships12[[#This Row],[Source Type]]="BIM",TableRelationships12[[#This Row],[Target Type]]="BIM")</f>
        <v>0</v>
      </c>
      <c r="Q2452">
        <f t="shared" si="114"/>
        <v>1</v>
      </c>
      <c r="S2452">
        <f t="shared" si="115"/>
        <v>1</v>
      </c>
      <c r="T2452" s="102" t="str">
        <f>IF(TableRelationships12[[#This Row],[Rank Pedro]]="Low","linkCategory1",IF(TableRelationships12[[#This Row],[Rank Pedro]]="Medium","linkCategory2",IF(TableRelationships12[[#This Row],[Rank Pedro]]="High","linkCategory3","")))</f>
        <v/>
      </c>
      <c r="U2452" s="102" t="str">
        <f>IF(TableRelationships12[[#This Row],[Rank Pedro]]="Low","Pink",IF(TableRelationships12[[#This Row],[Rank Pedro]]="Medium","Purple",IF(TableRelationships12[[#This Row],[Rank Pedro]]="High","Brown","")))</f>
        <v/>
      </c>
      <c r="V2452" s="4" t="e">
        <f>MAX(INDEX(Standards!$F$2:$F$296,MATCH(B2452,Standards!$B$2:$B$296,0)),INDEX(Standards!$F$2:$F$296,MATCH(C2452,Standards!$B$2:$B$296,0)))</f>
        <v>#N/A</v>
      </c>
      <c r="W2452" t="str">
        <f t="shared" si="116"/>
        <v>#2f89d1</v>
      </c>
    </row>
    <row r="2453" spans="1:23" x14ac:dyDescent="0.5">
      <c r="A2453" s="54">
        <v>2452</v>
      </c>
      <c r="B2453" s="90" t="s">
        <v>663</v>
      </c>
      <c r="C2453" t="s">
        <v>650</v>
      </c>
      <c r="D2453" s="1"/>
      <c r="E2453" s="112">
        <v>2009.04</v>
      </c>
      <c r="F2453" s="112">
        <v>2009.04</v>
      </c>
      <c r="G2453" s="107" t="s">
        <v>670</v>
      </c>
      <c r="H2453">
        <f>INDEX('GIS-Standards'!$A$2:$A$305,MATCH(B2453,'GIS-Standards'!$B$2:$B$305,0))</f>
        <v>112</v>
      </c>
      <c r="I2453">
        <f>INDEX('GIS-Standards'!$A$2:$A$305,MATCH(C2453,'GIS-Standards'!$B$2:$B$305,0))</f>
        <v>99</v>
      </c>
      <c r="J2453" t="str">
        <f>INDEX('GIS-Standards'!$O$2:$O$305,MATCH(B2453,'GIS-Standards'!$B$2:$B$305,0))</f>
        <v>ISO/TC 211</v>
      </c>
      <c r="K2453" t="str">
        <f>INDEX('GIS-Standards'!$O$2:$O$305,MATCH(C2453,'GIS-Standards'!$B$2:$B$305,0))</f>
        <v>ISO/TC 211</v>
      </c>
      <c r="M2453" t="s">
        <v>525</v>
      </c>
      <c r="N2453">
        <f>INDEX('GIS-Standards'!$I$2:$I$305,MATCH(B2453,'GIS-Standards'!$B$2:$B$305,0))</f>
        <v>0</v>
      </c>
      <c r="O2453">
        <f>INDEX('GIS-Standards'!$I$2:$I$305,MATCH(C2453,'GIS-Standards'!$B$2:$B$305,0))</f>
        <v>0</v>
      </c>
      <c r="P2453" t="b">
        <f>AND(TableRelationships12[[#This Row],[Source Type]]="BIM",TableRelationships12[[#This Row],[Target Type]]="BIM")</f>
        <v>0</v>
      </c>
      <c r="Q2453">
        <f t="shared" si="114"/>
        <v>1</v>
      </c>
      <c r="S2453">
        <f t="shared" si="115"/>
        <v>1</v>
      </c>
      <c r="T2453" s="102" t="str">
        <f>IF(TableRelationships12[[#This Row],[Rank Pedro]]="Low","linkCategory1",IF(TableRelationships12[[#This Row],[Rank Pedro]]="Medium","linkCategory2",IF(TableRelationships12[[#This Row],[Rank Pedro]]="High","linkCategory3","")))</f>
        <v/>
      </c>
      <c r="U2453" s="102" t="str">
        <f>IF(TableRelationships12[[#This Row],[Rank Pedro]]="Low","Pink",IF(TableRelationships12[[#This Row],[Rank Pedro]]="Medium","Purple",IF(TableRelationships12[[#This Row],[Rank Pedro]]="High","Brown","")))</f>
        <v/>
      </c>
      <c r="V2453" s="4" t="e">
        <f>MAX(INDEX(Standards!$F$2:$F$296,MATCH(B2453,Standards!$B$2:$B$296,0)),INDEX(Standards!$F$2:$F$296,MATCH(C2453,Standards!$B$2:$B$296,0)))</f>
        <v>#N/A</v>
      </c>
      <c r="W2453" t="str">
        <f t="shared" si="116"/>
        <v>#2f89d1</v>
      </c>
    </row>
    <row r="2454" spans="1:23" x14ac:dyDescent="0.5">
      <c r="A2454" s="54">
        <v>2453</v>
      </c>
      <c r="B2454" s="90" t="s">
        <v>663</v>
      </c>
      <c r="C2454" s="1" t="s">
        <v>652</v>
      </c>
      <c r="D2454" s="1"/>
      <c r="E2454" s="112">
        <v>2022.03</v>
      </c>
      <c r="F2454" s="112">
        <v>2022.03</v>
      </c>
      <c r="G2454" s="107" t="s">
        <v>670</v>
      </c>
      <c r="H2454">
        <f>INDEX('GIS-Standards'!$A$2:$A$305,MATCH(B2454,'GIS-Standards'!$B$2:$B$305,0))</f>
        <v>112</v>
      </c>
      <c r="I2454">
        <f>INDEX('GIS-Standards'!$A$2:$A$305,MATCH(C2454,'GIS-Standards'!$B$2:$B$305,0))</f>
        <v>101</v>
      </c>
      <c r="J2454" t="str">
        <f>INDEX('GIS-Standards'!$O$2:$O$305,MATCH(B2454,'GIS-Standards'!$B$2:$B$305,0))</f>
        <v>ISO/TC 211</v>
      </c>
      <c r="K2454" t="str">
        <f>INDEX('GIS-Standards'!$O$2:$O$305,MATCH(C2454,'GIS-Standards'!$B$2:$B$305,0))</f>
        <v>ISO/TC 211</v>
      </c>
      <c r="M2454" t="s">
        <v>525</v>
      </c>
      <c r="N2454">
        <f>INDEX('GIS-Standards'!$I$2:$I$305,MATCH(B2454,'GIS-Standards'!$B$2:$B$305,0))</f>
        <v>0</v>
      </c>
      <c r="O2454">
        <f>INDEX('GIS-Standards'!$I$2:$I$305,MATCH(C2454,'GIS-Standards'!$B$2:$B$305,0))</f>
        <v>0</v>
      </c>
      <c r="P2454" t="b">
        <f>AND(TableRelationships12[[#This Row],[Source Type]]="BIM",TableRelationships12[[#This Row],[Target Type]]="BIM")</f>
        <v>0</v>
      </c>
      <c r="Q2454">
        <f t="shared" si="114"/>
        <v>1</v>
      </c>
      <c r="S2454">
        <f t="shared" si="115"/>
        <v>1</v>
      </c>
      <c r="T2454" s="102" t="str">
        <f>IF(TableRelationships12[[#This Row],[Rank Pedro]]="Low","linkCategory1",IF(TableRelationships12[[#This Row],[Rank Pedro]]="Medium","linkCategory2",IF(TableRelationships12[[#This Row],[Rank Pedro]]="High","linkCategory3","")))</f>
        <v/>
      </c>
      <c r="U2454" s="102" t="str">
        <f>IF(TableRelationships12[[#This Row],[Rank Pedro]]="Low","Pink",IF(TableRelationships12[[#This Row],[Rank Pedro]]="Medium","Purple",IF(TableRelationships12[[#This Row],[Rank Pedro]]="High","Brown","")))</f>
        <v/>
      </c>
      <c r="V2454" s="4" t="e">
        <f>MAX(INDEX(Standards!$F$2:$F$296,MATCH(B2454,Standards!$B$2:$B$296,0)),INDEX(Standards!$F$2:$F$296,MATCH(C2454,Standards!$B$2:$B$296,0)))</f>
        <v>#N/A</v>
      </c>
      <c r="W2454" t="str">
        <f t="shared" si="116"/>
        <v>#2f89d1</v>
      </c>
    </row>
    <row r="2455" spans="1:23" x14ac:dyDescent="0.5">
      <c r="A2455" s="54">
        <v>2454</v>
      </c>
      <c r="B2455" s="90" t="s">
        <v>663</v>
      </c>
      <c r="C2455" t="s">
        <v>334</v>
      </c>
      <c r="D2455" s="1"/>
      <c r="E2455" s="113">
        <v>2007.09</v>
      </c>
      <c r="F2455" s="113">
        <v>2020.01</v>
      </c>
      <c r="G2455" s="107" t="s">
        <v>670</v>
      </c>
      <c r="H2455">
        <f>INDEX('GIS-Standards'!$A$2:$A$305,MATCH(B2455,'GIS-Standards'!$B$2:$B$305,0))</f>
        <v>112</v>
      </c>
      <c r="I2455">
        <f>INDEX('GIS-Standards'!$A$2:$A$305,MATCH(C2455,'GIS-Standards'!$B$2:$B$305,0))</f>
        <v>42</v>
      </c>
      <c r="J2455" t="str">
        <f>INDEX('GIS-Standards'!$O$2:$O$305,MATCH(B2455,'GIS-Standards'!$B$2:$B$305,0))</f>
        <v>ISO/TC 211</v>
      </c>
      <c r="K2455" t="str">
        <f>INDEX('GIS-Standards'!$O$2:$O$305,MATCH(C2455,'GIS-Standards'!$B$2:$B$305,0))</f>
        <v>ISO/TC 211</v>
      </c>
      <c r="M2455" t="s">
        <v>525</v>
      </c>
      <c r="N2455">
        <f>INDEX('GIS-Standards'!$I$2:$I$305,MATCH(B2455,'GIS-Standards'!$B$2:$B$305,0))</f>
        <v>0</v>
      </c>
      <c r="O2455">
        <f>INDEX('GIS-Standards'!$I$2:$I$305,MATCH(C2455,'GIS-Standards'!$B$2:$B$305,0))</f>
        <v>0</v>
      </c>
      <c r="P2455" t="b">
        <f>AND(TableRelationships12[[#This Row],[Source Type]]="BIM",TableRelationships12[[#This Row],[Target Type]]="BIM")</f>
        <v>0</v>
      </c>
      <c r="Q2455">
        <f t="shared" si="114"/>
        <v>1</v>
      </c>
      <c r="S2455">
        <f t="shared" si="115"/>
        <v>1</v>
      </c>
      <c r="T2455" s="102" t="str">
        <f>IF(TableRelationships12[[#This Row],[Rank Pedro]]="Low","linkCategory1",IF(TableRelationships12[[#This Row],[Rank Pedro]]="Medium","linkCategory2",IF(TableRelationships12[[#This Row],[Rank Pedro]]="High","linkCategory3","")))</f>
        <v/>
      </c>
      <c r="U2455" s="102" t="str">
        <f>IF(TableRelationships12[[#This Row],[Rank Pedro]]="Low","Pink",IF(TableRelationships12[[#This Row],[Rank Pedro]]="Medium","Purple",IF(TableRelationships12[[#This Row],[Rank Pedro]]="High","Brown","")))</f>
        <v/>
      </c>
      <c r="V2455" s="4" t="e">
        <f>MAX(INDEX(Standards!$F$2:$F$296,MATCH(B2455,Standards!$B$2:$B$296,0)),INDEX(Standards!$F$2:$F$296,MATCH(C2455,Standards!$B$2:$B$296,0)))</f>
        <v>#N/A</v>
      </c>
      <c r="W2455" t="str">
        <f t="shared" si="116"/>
        <v>#2f89d1</v>
      </c>
    </row>
    <row r="2456" spans="1:23" x14ac:dyDescent="0.5">
      <c r="A2456" s="54">
        <v>2455</v>
      </c>
      <c r="B2456" s="90" t="s">
        <v>663</v>
      </c>
      <c r="C2456" t="s">
        <v>653</v>
      </c>
      <c r="D2456" s="1"/>
      <c r="E2456" s="113">
        <v>2007.04</v>
      </c>
      <c r="F2456" s="113">
        <v>2019.03</v>
      </c>
      <c r="G2456" s="107" t="s">
        <v>670</v>
      </c>
      <c r="H2456">
        <f>INDEX('GIS-Standards'!$A$2:$A$305,MATCH(B2456,'GIS-Standards'!$B$2:$B$305,0))</f>
        <v>112</v>
      </c>
      <c r="I2456">
        <f>INDEX('GIS-Standards'!$A$2:$A$305,MATCH(C2456,'GIS-Standards'!$B$2:$B$305,0))</f>
        <v>102</v>
      </c>
      <c r="J2456" t="str">
        <f>INDEX('GIS-Standards'!$O$2:$O$305,MATCH(B2456,'GIS-Standards'!$B$2:$B$305,0))</f>
        <v>ISO/TC 211</v>
      </c>
      <c r="K2456" t="str">
        <f>INDEX('GIS-Standards'!$O$2:$O$305,MATCH(C2456,'GIS-Standards'!$B$2:$B$305,0))</f>
        <v>ISO/TC 211</v>
      </c>
      <c r="M2456" t="s">
        <v>525</v>
      </c>
      <c r="N2456">
        <f>INDEX('GIS-Standards'!$I$2:$I$305,MATCH(B2456,'GIS-Standards'!$B$2:$B$305,0))</f>
        <v>0</v>
      </c>
      <c r="O2456">
        <f>INDEX('GIS-Standards'!$I$2:$I$305,MATCH(C2456,'GIS-Standards'!$B$2:$B$305,0))</f>
        <v>0</v>
      </c>
      <c r="P2456" t="b">
        <f>AND(TableRelationships12[[#This Row],[Source Type]]="BIM",TableRelationships12[[#This Row],[Target Type]]="BIM")</f>
        <v>0</v>
      </c>
      <c r="Q2456">
        <f t="shared" si="114"/>
        <v>1</v>
      </c>
      <c r="S2456">
        <f t="shared" si="115"/>
        <v>1</v>
      </c>
      <c r="T2456" s="102" t="str">
        <f>IF(TableRelationships12[[#This Row],[Rank Pedro]]="Low","linkCategory1",IF(TableRelationships12[[#This Row],[Rank Pedro]]="Medium","linkCategory2",IF(TableRelationships12[[#This Row],[Rank Pedro]]="High","linkCategory3","")))</f>
        <v/>
      </c>
      <c r="U2456" s="102" t="str">
        <f>IF(TableRelationships12[[#This Row],[Rank Pedro]]="Low","Pink",IF(TableRelationships12[[#This Row],[Rank Pedro]]="Medium","Purple",IF(TableRelationships12[[#This Row],[Rank Pedro]]="High","Brown","")))</f>
        <v/>
      </c>
      <c r="V2456" s="4" t="e">
        <f>MAX(INDEX(Standards!$F$2:$F$296,MATCH(B2456,Standards!$B$2:$B$296,0)),INDEX(Standards!$F$2:$F$296,MATCH(C2456,Standards!$B$2:$B$296,0)))</f>
        <v>#N/A</v>
      </c>
      <c r="W2456" t="str">
        <f t="shared" si="116"/>
        <v>#2f89d1</v>
      </c>
    </row>
    <row r="2457" spans="1:23" x14ac:dyDescent="0.5">
      <c r="A2457" s="54">
        <v>2456</v>
      </c>
      <c r="B2457" s="90" t="s">
        <v>663</v>
      </c>
      <c r="C2457" t="s">
        <v>1037</v>
      </c>
      <c r="D2457" s="1"/>
      <c r="E2457" s="112">
        <v>2009.09</v>
      </c>
      <c r="F2457" s="112">
        <v>2012.08</v>
      </c>
      <c r="G2457" s="107" t="s">
        <v>670</v>
      </c>
      <c r="H2457">
        <f>INDEX('GIS-Standards'!$A$2:$A$305,MATCH(B2457,'GIS-Standards'!$B$2:$B$305,0))</f>
        <v>112</v>
      </c>
      <c r="I2457">
        <f>INDEX('GIS-Standards'!$A$2:$A$305,MATCH(C2457,'GIS-Standards'!$B$2:$B$305,0))</f>
        <v>48</v>
      </c>
      <c r="J2457" t="str">
        <f>INDEX('GIS-Standards'!$O$2:$O$305,MATCH(B2457,'GIS-Standards'!$B$2:$B$305,0))</f>
        <v>ISO/TC 211</v>
      </c>
      <c r="K2457" t="str">
        <f>INDEX('GIS-Standards'!$O$2:$O$305,MATCH(C2457,'GIS-Standards'!$B$2:$B$305,0))</f>
        <v>ISO/TC 211</v>
      </c>
      <c r="M2457" t="s">
        <v>525</v>
      </c>
      <c r="N2457">
        <f>INDEX('GIS-Standards'!$I$2:$I$305,MATCH(B2457,'GIS-Standards'!$B$2:$B$305,0))</f>
        <v>0</v>
      </c>
      <c r="O2457" t="str">
        <f>INDEX('GIS-Standards'!$I$2:$I$305,MATCH(C2457,'GIS-Standards'!$B$2:$B$305,0))</f>
        <v>08.2012</v>
      </c>
      <c r="P2457" t="b">
        <f>AND(TableRelationships12[[#This Row],[Source Type]]="BIM",TableRelationships12[[#This Row],[Target Type]]="BIM")</f>
        <v>0</v>
      </c>
      <c r="Q2457">
        <f t="shared" si="114"/>
        <v>1</v>
      </c>
      <c r="S2457">
        <f t="shared" si="115"/>
        <v>1</v>
      </c>
      <c r="T2457" s="102" t="str">
        <f>IF(TableRelationships12[[#This Row],[Rank Pedro]]="Low","linkCategory1",IF(TableRelationships12[[#This Row],[Rank Pedro]]="Medium","linkCategory2",IF(TableRelationships12[[#This Row],[Rank Pedro]]="High","linkCategory3","")))</f>
        <v/>
      </c>
      <c r="U2457" s="102" t="str">
        <f>IF(TableRelationships12[[#This Row],[Rank Pedro]]="Low","Pink",IF(TableRelationships12[[#This Row],[Rank Pedro]]="Medium","Purple",IF(TableRelationships12[[#This Row],[Rank Pedro]]="High","Brown","")))</f>
        <v/>
      </c>
      <c r="V2457" s="4" t="e">
        <f>MAX(INDEX(Standards!$F$2:$F$296,MATCH(B2457,Standards!$B$2:$B$296,0)),INDEX(Standards!$F$2:$F$296,MATCH(C2457,Standards!$B$2:$B$296,0)))</f>
        <v>#N/A</v>
      </c>
      <c r="W2457" t="str">
        <f t="shared" si="116"/>
        <v>#2f89d1</v>
      </c>
    </row>
    <row r="2458" spans="1:23" x14ac:dyDescent="0.5">
      <c r="A2458" s="54">
        <v>2457</v>
      </c>
      <c r="B2458" s="90" t="s">
        <v>663</v>
      </c>
      <c r="C2458" t="s">
        <v>662</v>
      </c>
      <c r="D2458" s="1"/>
      <c r="E2458" s="112">
        <v>2016.01</v>
      </c>
      <c r="F2458" s="112">
        <v>2016.01</v>
      </c>
      <c r="G2458" s="107" t="s">
        <v>670</v>
      </c>
      <c r="H2458">
        <f>INDEX('GIS-Standards'!$A$2:$A$305,MATCH(B2458,'GIS-Standards'!$B$2:$B$305,0))</f>
        <v>112</v>
      </c>
      <c r="I2458">
        <f>INDEX('GIS-Standards'!$A$2:$A$305,MATCH(C2458,'GIS-Standards'!$B$2:$B$305,0))</f>
        <v>111</v>
      </c>
      <c r="J2458" t="str">
        <f>INDEX('GIS-Standards'!$O$2:$O$305,MATCH(B2458,'GIS-Standards'!$B$2:$B$305,0))</f>
        <v>ISO/TC 211</v>
      </c>
      <c r="K2458" t="str">
        <f>INDEX('GIS-Standards'!$O$2:$O$305,MATCH(C2458,'GIS-Standards'!$B$2:$B$305,0))</f>
        <v>ISO/TC 211</v>
      </c>
      <c r="M2458" t="s">
        <v>525</v>
      </c>
      <c r="N2458">
        <f>INDEX('GIS-Standards'!$I$2:$I$305,MATCH(B2458,'GIS-Standards'!$B$2:$B$305,0))</f>
        <v>0</v>
      </c>
      <c r="O2458">
        <f>INDEX('GIS-Standards'!$I$2:$I$305,MATCH(C2458,'GIS-Standards'!$B$2:$B$305,0))</f>
        <v>0</v>
      </c>
      <c r="P2458" t="b">
        <f>AND(TableRelationships12[[#This Row],[Source Type]]="BIM",TableRelationships12[[#This Row],[Target Type]]="BIM")</f>
        <v>0</v>
      </c>
      <c r="Q2458">
        <f t="shared" si="114"/>
        <v>1</v>
      </c>
      <c r="S2458">
        <f t="shared" si="115"/>
        <v>1</v>
      </c>
      <c r="T2458" s="102" t="str">
        <f>IF(TableRelationships12[[#This Row],[Rank Pedro]]="Low","linkCategory1",IF(TableRelationships12[[#This Row],[Rank Pedro]]="Medium","linkCategory2",IF(TableRelationships12[[#This Row],[Rank Pedro]]="High","linkCategory3","")))</f>
        <v/>
      </c>
      <c r="U2458" s="102" t="str">
        <f>IF(TableRelationships12[[#This Row],[Rank Pedro]]="Low","Pink",IF(TableRelationships12[[#This Row],[Rank Pedro]]="Medium","Purple",IF(TableRelationships12[[#This Row],[Rank Pedro]]="High","Brown","")))</f>
        <v/>
      </c>
      <c r="V2458" s="4" t="e">
        <f>MAX(INDEX(Standards!$F$2:$F$296,MATCH(B2458,Standards!$B$2:$B$296,0)),INDEX(Standards!$F$2:$F$296,MATCH(C2458,Standards!$B$2:$B$296,0)))</f>
        <v>#N/A</v>
      </c>
      <c r="W2458" t="str">
        <f t="shared" si="116"/>
        <v>#2f89d1</v>
      </c>
    </row>
    <row r="2459" spans="1:23" x14ac:dyDescent="0.5">
      <c r="A2459" s="54">
        <v>2458</v>
      </c>
      <c r="B2459" s="90" t="s">
        <v>663</v>
      </c>
      <c r="C2459" t="s">
        <v>1294</v>
      </c>
      <c r="D2459" s="1"/>
      <c r="G2459" s="107"/>
      <c r="H2459">
        <f>INDEX('GIS-Standards'!$A$2:$A$305,MATCH(B2459,'GIS-Standards'!$B$2:$B$305,0))</f>
        <v>112</v>
      </c>
      <c r="I2459" t="e">
        <f>INDEX('GIS-Standards'!$A$2:$A$305,MATCH(C2459,'GIS-Standards'!$B$2:$B$305,0))</f>
        <v>#N/A</v>
      </c>
      <c r="J2459" t="str">
        <f>INDEX('GIS-Standards'!$O$2:$O$305,MATCH(B2459,'GIS-Standards'!$B$2:$B$305,0))</f>
        <v>ISO/TC 211</v>
      </c>
      <c r="K2459" t="e">
        <f>INDEX('GIS-Standards'!$O$2:$O$305,MATCH(C2459,'GIS-Standards'!$B$2:$B$305,0))</f>
        <v>#N/A</v>
      </c>
      <c r="M2459" t="s">
        <v>525</v>
      </c>
      <c r="N2459">
        <f>INDEX('GIS-Standards'!$I$2:$I$305,MATCH(B2459,'GIS-Standards'!$B$2:$B$305,0))</f>
        <v>0</v>
      </c>
      <c r="O2459" t="e">
        <f>INDEX('GIS-Standards'!$I$2:$I$305,MATCH(C2459,'GIS-Standards'!$B$2:$B$305,0))</f>
        <v>#N/A</v>
      </c>
      <c r="P2459" t="e">
        <f>AND(TableRelationships12[[#This Row],[Source Type]]="BIM",TableRelationships12[[#This Row],[Target Type]]="BIM")</f>
        <v>#N/A</v>
      </c>
      <c r="Q2459">
        <f t="shared" si="114"/>
        <v>1</v>
      </c>
      <c r="S2459">
        <f t="shared" si="115"/>
        <v>1</v>
      </c>
      <c r="T2459" s="102" t="str">
        <f>IF(TableRelationships12[[#This Row],[Rank Pedro]]="Low","linkCategory1",IF(TableRelationships12[[#This Row],[Rank Pedro]]="Medium","linkCategory2",IF(TableRelationships12[[#This Row],[Rank Pedro]]="High","linkCategory3","")))</f>
        <v/>
      </c>
      <c r="U2459" s="102" t="str">
        <f>IF(TableRelationships12[[#This Row],[Rank Pedro]]="Low","Pink",IF(TableRelationships12[[#This Row],[Rank Pedro]]="Medium","Purple",IF(TableRelationships12[[#This Row],[Rank Pedro]]="High","Brown","")))</f>
        <v/>
      </c>
      <c r="V2459" s="4" t="e">
        <f>MAX(INDEX(Standards!$F$2:$F$296,MATCH(B2459,Standards!$B$2:$B$296,0)),INDEX(Standards!$F$2:$F$296,MATCH(C2459,Standards!$B$2:$B$296,0)))</f>
        <v>#N/A</v>
      </c>
      <c r="W2459" t="str">
        <f t="shared" si="116"/>
        <v>#2f89d1</v>
      </c>
    </row>
    <row r="2460" spans="1:23" x14ac:dyDescent="0.5">
      <c r="A2460" s="54">
        <v>2459</v>
      </c>
      <c r="B2460" s="90" t="s">
        <v>664</v>
      </c>
      <c r="C2460" t="s">
        <v>527</v>
      </c>
      <c r="D2460" s="1"/>
      <c r="E2460" s="112" t="s">
        <v>920</v>
      </c>
      <c r="F2460" s="112" t="s">
        <v>920</v>
      </c>
      <c r="G2460" s="121" t="s">
        <v>670</v>
      </c>
      <c r="H2460">
        <f>INDEX('GIS-Standards'!$A$2:$A$305,MATCH(B2460,'GIS-Standards'!$B$2:$B$305,0))</f>
        <v>113</v>
      </c>
      <c r="I2460" t="e">
        <f>INDEX('GIS-Standards'!$A$2:$A$305,MATCH(C2460,'GIS-Standards'!$B$2:$B$305,0))</f>
        <v>#N/A</v>
      </c>
      <c r="J2460" t="str">
        <f>INDEX('GIS-Standards'!$O$2:$O$305,MATCH(B2460,'GIS-Standards'!$B$2:$B$305,0))</f>
        <v>ISO/TC 211</v>
      </c>
      <c r="K2460" t="e">
        <f>INDEX('GIS-Standards'!$O$2:$O$305,MATCH(C2460,'GIS-Standards'!$B$2:$B$305,0))</f>
        <v>#N/A</v>
      </c>
      <c r="M2460" t="s">
        <v>237</v>
      </c>
      <c r="N2460">
        <f>INDEX('GIS-Standards'!$I$2:$I$305,MATCH(B2460,'GIS-Standards'!$B$2:$B$305,0))</f>
        <v>0</v>
      </c>
      <c r="O2460" t="e">
        <f>INDEX('GIS-Standards'!$I$2:$I$305,MATCH(C2460,'GIS-Standards'!$B$2:$B$305,0))</f>
        <v>#N/A</v>
      </c>
      <c r="P2460" t="e">
        <f>AND(TableRelationships12[[#This Row],[Source Type]]="BIM",TableRelationships12[[#This Row],[Target Type]]="BIM")</f>
        <v>#N/A</v>
      </c>
      <c r="Q2460">
        <f t="shared" si="114"/>
        <v>2</v>
      </c>
      <c r="S2460">
        <f t="shared" si="115"/>
        <v>1</v>
      </c>
      <c r="T2460" s="102" t="str">
        <f>IF(TableRelationships12[[#This Row],[Rank Pedro]]="Low","linkCategory1",IF(TableRelationships12[[#This Row],[Rank Pedro]]="Medium","linkCategory2",IF(TableRelationships12[[#This Row],[Rank Pedro]]="High","linkCategory3","")))</f>
        <v/>
      </c>
      <c r="U2460" s="102" t="str">
        <f>IF(TableRelationships12[[#This Row],[Rank Pedro]]="Low","Pink",IF(TableRelationships12[[#This Row],[Rank Pedro]]="Medium","Purple",IF(TableRelationships12[[#This Row],[Rank Pedro]]="High","Brown","")))</f>
        <v/>
      </c>
      <c r="V2460" s="4" t="e">
        <f>MAX(INDEX(Standards!$F$2:$F$296,MATCH(B2460,Standards!$B$2:$B$296,0)),INDEX(Standards!$F$2:$F$296,MATCH(C2460,Standards!$B$2:$B$296,0)))</f>
        <v>#N/A</v>
      </c>
      <c r="W2460">
        <f t="shared" si="116"/>
        <v>1</v>
      </c>
    </row>
    <row r="2461" spans="1:23" x14ac:dyDescent="0.5">
      <c r="A2461" s="54">
        <v>2460</v>
      </c>
      <c r="B2461" s="90" t="s">
        <v>664</v>
      </c>
      <c r="C2461" t="s">
        <v>296</v>
      </c>
      <c r="D2461" s="1"/>
      <c r="E2461" s="112">
        <v>2005.07</v>
      </c>
      <c r="F2461" s="112">
        <v>2024.09</v>
      </c>
      <c r="G2461" s="107" t="s">
        <v>670</v>
      </c>
      <c r="H2461">
        <f>INDEX('GIS-Standards'!$A$2:$A$305,MATCH(B2461,'GIS-Standards'!$B$2:$B$305,0))</f>
        <v>113</v>
      </c>
      <c r="I2461">
        <f>INDEX('GIS-Standards'!$A$2:$A$305,MATCH(C2461,'GIS-Standards'!$B$2:$B$305,0))</f>
        <v>12</v>
      </c>
      <c r="J2461" t="str">
        <f>INDEX('GIS-Standards'!$O$2:$O$305,MATCH(B2461,'GIS-Standards'!$B$2:$B$305,0))</f>
        <v>ISO/TC 211</v>
      </c>
      <c r="K2461" t="str">
        <f>INDEX('GIS-Standards'!$O$2:$O$305,MATCH(C2461,'GIS-Standards'!$B$2:$B$305,0))</f>
        <v>ISO/TC 211</v>
      </c>
      <c r="M2461" t="s">
        <v>524</v>
      </c>
      <c r="N2461">
        <f>INDEX('GIS-Standards'!$I$2:$I$305,MATCH(B2461,'GIS-Standards'!$B$2:$B$305,0))</f>
        <v>0</v>
      </c>
      <c r="O2461">
        <f>INDEX('GIS-Standards'!$I$2:$I$305,MATCH(C2461,'GIS-Standards'!$B$2:$B$305,0))</f>
        <v>0</v>
      </c>
      <c r="P2461" t="b">
        <f>AND(TableRelationships12[[#This Row],[Source Type]]="BIM",TableRelationships12[[#This Row],[Target Type]]="BIM")</f>
        <v>0</v>
      </c>
      <c r="Q2461">
        <f t="shared" si="114"/>
        <v>6</v>
      </c>
      <c r="S2461">
        <f t="shared" si="115"/>
        <v>1</v>
      </c>
      <c r="T2461" s="102" t="str">
        <f>IF(TableRelationships12[[#This Row],[Rank Pedro]]="Low","linkCategory1",IF(TableRelationships12[[#This Row],[Rank Pedro]]="Medium","linkCategory2",IF(TableRelationships12[[#This Row],[Rank Pedro]]="High","linkCategory3","")))</f>
        <v/>
      </c>
      <c r="U2461" s="102" t="str">
        <f>IF(TableRelationships12[[#This Row],[Rank Pedro]]="Low","Pink",IF(TableRelationships12[[#This Row],[Rank Pedro]]="Medium","Purple",IF(TableRelationships12[[#This Row],[Rank Pedro]]="High","Brown","")))</f>
        <v/>
      </c>
      <c r="V2461" s="4" t="e">
        <f>MAX(INDEX(Standards!$F$2:$F$296,MATCH(B2461,Standards!$B$2:$B$296,0)),INDEX(Standards!$F$2:$F$296,MATCH(C2461,Standards!$B$2:$B$296,0)))</f>
        <v>#N/A</v>
      </c>
      <c r="W2461" t="str">
        <f t="shared" si="116"/>
        <v>#d6bf2a</v>
      </c>
    </row>
    <row r="2462" spans="1:23" x14ac:dyDescent="0.5">
      <c r="A2462" s="54">
        <v>2461</v>
      </c>
      <c r="B2462" s="90" t="s">
        <v>664</v>
      </c>
      <c r="C2462" t="s">
        <v>302</v>
      </c>
      <c r="D2462" s="1"/>
      <c r="E2462" s="112">
        <v>2003.05</v>
      </c>
      <c r="F2462" s="112">
        <v>2019.12</v>
      </c>
      <c r="G2462" s="107" t="s">
        <v>670</v>
      </c>
      <c r="H2462">
        <f>INDEX('GIS-Standards'!$A$2:$A$305,MATCH(B2462,'GIS-Standards'!$B$2:$B$305,0))</f>
        <v>113</v>
      </c>
      <c r="I2462">
        <f>INDEX('GIS-Standards'!$A$2:$A$305,MATCH(C2462,'GIS-Standards'!$B$2:$B$305,0))</f>
        <v>16</v>
      </c>
      <c r="J2462" t="str">
        <f>INDEX('GIS-Standards'!$O$2:$O$305,MATCH(B2462,'GIS-Standards'!$B$2:$B$305,0))</f>
        <v>ISO/TC 211</v>
      </c>
      <c r="K2462" t="str">
        <f>INDEX('GIS-Standards'!$O$2:$O$305,MATCH(C2462,'GIS-Standards'!$B$2:$B$305,0))</f>
        <v>ISO/TC 211</v>
      </c>
      <c r="M2462" t="s">
        <v>524</v>
      </c>
      <c r="N2462">
        <f>INDEX('GIS-Standards'!$I$2:$I$305,MATCH(B2462,'GIS-Standards'!$B$2:$B$305,0))</f>
        <v>0</v>
      </c>
      <c r="O2462">
        <f>INDEX('GIS-Standards'!$I$2:$I$305,MATCH(C2462,'GIS-Standards'!$B$2:$B$305,0))</f>
        <v>0</v>
      </c>
      <c r="P2462" t="b">
        <f>AND(TableRelationships12[[#This Row],[Source Type]]="BIM",TableRelationships12[[#This Row],[Target Type]]="BIM")</f>
        <v>0</v>
      </c>
      <c r="Q2462">
        <f t="shared" si="114"/>
        <v>6</v>
      </c>
      <c r="S2462">
        <f t="shared" si="115"/>
        <v>1</v>
      </c>
      <c r="T2462" s="102" t="str">
        <f>IF(TableRelationships12[[#This Row],[Rank Pedro]]="Low","linkCategory1",IF(TableRelationships12[[#This Row],[Rank Pedro]]="Medium","linkCategory2",IF(TableRelationships12[[#This Row],[Rank Pedro]]="High","linkCategory3","")))</f>
        <v/>
      </c>
      <c r="U2462" s="102" t="str">
        <f>IF(TableRelationships12[[#This Row],[Rank Pedro]]="Low","Pink",IF(TableRelationships12[[#This Row],[Rank Pedro]]="Medium","Purple",IF(TableRelationships12[[#This Row],[Rank Pedro]]="High","Brown","")))</f>
        <v/>
      </c>
      <c r="V2462" s="4" t="e">
        <f>MAX(INDEX(Standards!$F$2:$F$296,MATCH(B2462,Standards!$B$2:$B$296,0)),INDEX(Standards!$F$2:$F$296,MATCH(C2462,Standards!$B$2:$B$296,0)))</f>
        <v>#N/A</v>
      </c>
      <c r="W2462" t="str">
        <f t="shared" si="116"/>
        <v>#d6bf2a</v>
      </c>
    </row>
    <row r="2463" spans="1:23" x14ac:dyDescent="0.5">
      <c r="A2463" s="54">
        <v>2462</v>
      </c>
      <c r="B2463" s="90" t="s">
        <v>664</v>
      </c>
      <c r="C2463" t="s">
        <v>306</v>
      </c>
      <c r="D2463" s="1"/>
      <c r="E2463" s="112">
        <v>2005.06</v>
      </c>
      <c r="F2463" s="112">
        <v>2025.07</v>
      </c>
      <c r="G2463" s="107" t="s">
        <v>670</v>
      </c>
      <c r="H2463">
        <f>INDEX('GIS-Standards'!$A$2:$A$305,MATCH(B2463,'GIS-Standards'!$B$2:$B$305,0))</f>
        <v>113</v>
      </c>
      <c r="I2463">
        <f>INDEX('GIS-Standards'!$A$2:$A$305,MATCH(C2463,'GIS-Standards'!$B$2:$B$305,0))</f>
        <v>18</v>
      </c>
      <c r="J2463" t="str">
        <f>INDEX('GIS-Standards'!$O$2:$O$305,MATCH(B2463,'GIS-Standards'!$B$2:$B$305,0))</f>
        <v>ISO/TC 211</v>
      </c>
      <c r="K2463" t="str">
        <f>INDEX('GIS-Standards'!$O$2:$O$305,MATCH(C2463,'GIS-Standards'!$B$2:$B$305,0))</f>
        <v>ISO/TC 211</v>
      </c>
      <c r="M2463" t="s">
        <v>524</v>
      </c>
      <c r="N2463">
        <f>INDEX('GIS-Standards'!$I$2:$I$305,MATCH(B2463,'GIS-Standards'!$B$2:$B$305,0))</f>
        <v>0</v>
      </c>
      <c r="O2463">
        <f>INDEX('GIS-Standards'!$I$2:$I$305,MATCH(C2463,'GIS-Standards'!$B$2:$B$305,0))</f>
        <v>0</v>
      </c>
      <c r="P2463" t="b">
        <f>AND(TableRelationships12[[#This Row],[Source Type]]="BIM",TableRelationships12[[#This Row],[Target Type]]="BIM")</f>
        <v>0</v>
      </c>
      <c r="Q2463">
        <f t="shared" si="114"/>
        <v>6</v>
      </c>
      <c r="S2463">
        <f t="shared" si="115"/>
        <v>1</v>
      </c>
      <c r="T2463" s="102" t="str">
        <f>IF(TableRelationships12[[#This Row],[Rank Pedro]]="Low","linkCategory1",IF(TableRelationships12[[#This Row],[Rank Pedro]]="Medium","linkCategory2",IF(TableRelationships12[[#This Row],[Rank Pedro]]="High","linkCategory3","")))</f>
        <v/>
      </c>
      <c r="U2463" s="102" t="str">
        <f>IF(TableRelationships12[[#This Row],[Rank Pedro]]="Low","Pink",IF(TableRelationships12[[#This Row],[Rank Pedro]]="Medium","Purple",IF(TableRelationships12[[#This Row],[Rank Pedro]]="High","Brown","")))</f>
        <v/>
      </c>
      <c r="V2463" s="4" t="e">
        <f>MAX(INDEX(Standards!$F$2:$F$296,MATCH(B2463,Standards!$B$2:$B$296,0)),INDEX(Standards!$F$2:$F$296,MATCH(C2463,Standards!$B$2:$B$296,0)))</f>
        <v>#N/A</v>
      </c>
      <c r="W2463" t="str">
        <f t="shared" si="116"/>
        <v>#d6bf2a</v>
      </c>
    </row>
    <row r="2464" spans="1:23" x14ac:dyDescent="0.5">
      <c r="A2464" s="54">
        <v>2463</v>
      </c>
      <c r="B2464" s="90" t="s">
        <v>664</v>
      </c>
      <c r="C2464" t="s">
        <v>1375</v>
      </c>
      <c r="D2464" s="1"/>
      <c r="E2464" s="112">
        <v>2010.1</v>
      </c>
      <c r="F2464" s="112">
        <v>2010.1</v>
      </c>
      <c r="G2464" s="107" t="s">
        <v>1455</v>
      </c>
      <c r="H2464">
        <f>INDEX('GIS-Standards'!$A$2:$A$305,MATCH(B2464,'GIS-Standards'!$B$2:$B$305,0))</f>
        <v>113</v>
      </c>
      <c r="I2464" t="e">
        <f>INDEX('GIS-Standards'!$A$2:$A$305,MATCH(C2464,'GIS-Standards'!$B$2:$B$305,0))</f>
        <v>#N/A</v>
      </c>
      <c r="J2464" t="str">
        <f>INDEX('GIS-Standards'!$O$2:$O$305,MATCH(B2464,'GIS-Standards'!$B$2:$B$305,0))</f>
        <v>ISO/TC 211</v>
      </c>
      <c r="K2464" t="e">
        <f>INDEX('GIS-Standards'!$O$2:$O$305,MATCH(C2464,'GIS-Standards'!$B$2:$B$305,0))</f>
        <v>#N/A</v>
      </c>
      <c r="M2464" t="s">
        <v>525</v>
      </c>
      <c r="N2464">
        <f>INDEX('GIS-Standards'!$I$2:$I$305,MATCH(B2464,'GIS-Standards'!$B$2:$B$305,0))</f>
        <v>0</v>
      </c>
      <c r="O2464" t="e">
        <f>INDEX('GIS-Standards'!$I$2:$I$305,MATCH(C2464,'GIS-Standards'!$B$2:$B$305,0))</f>
        <v>#N/A</v>
      </c>
      <c r="P2464" t="e">
        <f>AND(TableRelationships12[[#This Row],[Source Type]]="BIM",TableRelationships12[[#This Row],[Target Type]]="BIM")</f>
        <v>#N/A</v>
      </c>
      <c r="Q2464">
        <f t="shared" si="114"/>
        <v>1</v>
      </c>
      <c r="S2464">
        <f t="shared" si="115"/>
        <v>1</v>
      </c>
      <c r="T2464" s="102" t="str">
        <f>IF(TableRelationships12[[#This Row],[Rank Pedro]]="Low","linkCategory1",IF(TableRelationships12[[#This Row],[Rank Pedro]]="Medium","linkCategory2",IF(TableRelationships12[[#This Row],[Rank Pedro]]="High","linkCategory3","")))</f>
        <v/>
      </c>
      <c r="U2464" s="102" t="str">
        <f>IF(TableRelationships12[[#This Row],[Rank Pedro]]="Low","Pink",IF(TableRelationships12[[#This Row],[Rank Pedro]]="Medium","Purple",IF(TableRelationships12[[#This Row],[Rank Pedro]]="High","Brown","")))</f>
        <v/>
      </c>
      <c r="V2464" s="4" t="e">
        <f>MAX(INDEX(Standards!$F$2:$F$296,MATCH(B2464,Standards!$B$2:$B$296,0)),INDEX(Standards!$F$2:$F$296,MATCH(C2464,Standards!$B$2:$B$296,0)))</f>
        <v>#N/A</v>
      </c>
      <c r="W2464" t="str">
        <f t="shared" si="116"/>
        <v>#2f89d1</v>
      </c>
    </row>
    <row r="2465" spans="1:23" x14ac:dyDescent="0.5">
      <c r="A2465" s="54">
        <v>2464</v>
      </c>
      <c r="B2465" s="90" t="s">
        <v>664</v>
      </c>
      <c r="C2465" t="s">
        <v>144</v>
      </c>
      <c r="D2465" s="1"/>
      <c r="E2465" s="112">
        <v>2013.04</v>
      </c>
      <c r="F2465" s="112">
        <v>2024.03</v>
      </c>
      <c r="G2465" s="107" t="s">
        <v>1448</v>
      </c>
      <c r="H2465">
        <f>INDEX('GIS-Standards'!$A$2:$A$305,MATCH(B2465,'GIS-Standards'!$B$2:$B$305,0))</f>
        <v>113</v>
      </c>
      <c r="I2465" t="e">
        <f>INDEX('GIS-Standards'!$A$2:$A$305,MATCH(C2465,'GIS-Standards'!$B$2:$B$305,0))</f>
        <v>#N/A</v>
      </c>
      <c r="J2465" t="str">
        <f>INDEX('GIS-Standards'!$O$2:$O$305,MATCH(B2465,'GIS-Standards'!$B$2:$B$305,0))</f>
        <v>ISO/TC 211</v>
      </c>
      <c r="K2465" t="e">
        <f>INDEX('GIS-Standards'!$O$2:$O$305,MATCH(C2465,'GIS-Standards'!$B$2:$B$305,0))</f>
        <v>#N/A</v>
      </c>
      <c r="M2465" t="s">
        <v>525</v>
      </c>
      <c r="N2465">
        <f>INDEX('GIS-Standards'!$I$2:$I$305,MATCH(B2465,'GIS-Standards'!$B$2:$B$305,0))</f>
        <v>0</v>
      </c>
      <c r="O2465" t="e">
        <f>INDEX('GIS-Standards'!$I$2:$I$305,MATCH(C2465,'GIS-Standards'!$B$2:$B$305,0))</f>
        <v>#N/A</v>
      </c>
      <c r="P2465" t="e">
        <f>AND(TableRelationships12[[#This Row],[Source Type]]="BIM",TableRelationships12[[#This Row],[Target Type]]="BIM")</f>
        <v>#N/A</v>
      </c>
      <c r="Q2465">
        <f t="shared" si="114"/>
        <v>1</v>
      </c>
      <c r="S2465">
        <f t="shared" si="115"/>
        <v>1</v>
      </c>
      <c r="T2465" s="102" t="str">
        <f>IF(TableRelationships12[[#This Row],[Rank Pedro]]="Low","linkCategory1",IF(TableRelationships12[[#This Row],[Rank Pedro]]="Medium","linkCategory2",IF(TableRelationships12[[#This Row],[Rank Pedro]]="High","linkCategory3","")))</f>
        <v/>
      </c>
      <c r="U2465" s="102" t="str">
        <f>IF(TableRelationships12[[#This Row],[Rank Pedro]]="Low","Pink",IF(TableRelationships12[[#This Row],[Rank Pedro]]="Medium","Purple",IF(TableRelationships12[[#This Row],[Rank Pedro]]="High","Brown","")))</f>
        <v/>
      </c>
      <c r="V2465" s="4" t="e">
        <f>MAX(INDEX(Standards!$F$2:$F$296,MATCH(B2465,Standards!$B$2:$B$296,0)),INDEX(Standards!$F$2:$F$296,MATCH(C2465,Standards!$B$2:$B$296,0)))</f>
        <v>#N/A</v>
      </c>
      <c r="W2465" t="str">
        <f t="shared" si="116"/>
        <v>#2f89d1</v>
      </c>
    </row>
    <row r="2466" spans="1:23" x14ac:dyDescent="0.5">
      <c r="A2466" s="54">
        <v>2465</v>
      </c>
      <c r="B2466" s="90" t="s">
        <v>664</v>
      </c>
      <c r="C2466" t="s">
        <v>293</v>
      </c>
      <c r="D2466" s="1"/>
      <c r="E2466" s="112">
        <v>2002.07</v>
      </c>
      <c r="F2466" s="112">
        <v>2014.11</v>
      </c>
      <c r="G2466" s="107" t="s">
        <v>670</v>
      </c>
      <c r="H2466">
        <f>INDEX('GIS-Standards'!$A$2:$A$305,MATCH(B2466,'GIS-Standards'!$B$2:$B$305,0))</f>
        <v>113</v>
      </c>
      <c r="I2466">
        <f>INDEX('GIS-Standards'!$A$2:$A$305,MATCH(C2466,'GIS-Standards'!$B$2:$B$305,0))</f>
        <v>10</v>
      </c>
      <c r="J2466" t="str">
        <f>INDEX('GIS-Standards'!$O$2:$O$305,MATCH(B2466,'GIS-Standards'!$B$2:$B$305,0))</f>
        <v>ISO/TC 211</v>
      </c>
      <c r="K2466" t="str">
        <f>INDEX('GIS-Standards'!$O$2:$O$305,MATCH(C2466,'GIS-Standards'!$B$2:$B$305,0))</f>
        <v>ISO/TC 211</v>
      </c>
      <c r="M2466" t="s">
        <v>525</v>
      </c>
      <c r="N2466">
        <f>INDEX('GIS-Standards'!$I$2:$I$305,MATCH(B2466,'GIS-Standards'!$B$2:$B$305,0))</f>
        <v>0</v>
      </c>
      <c r="O2466">
        <f>INDEX('GIS-Standards'!$I$2:$I$305,MATCH(C2466,'GIS-Standards'!$B$2:$B$305,0))</f>
        <v>0</v>
      </c>
      <c r="P2466" t="b">
        <f>AND(TableRelationships12[[#This Row],[Source Type]]="BIM",TableRelationships12[[#This Row],[Target Type]]="BIM")</f>
        <v>0</v>
      </c>
      <c r="Q2466">
        <f t="shared" si="114"/>
        <v>1</v>
      </c>
      <c r="S2466">
        <f t="shared" si="115"/>
        <v>1</v>
      </c>
      <c r="T2466" s="102" t="str">
        <f>IF(TableRelationships12[[#This Row],[Rank Pedro]]="Low","linkCategory1",IF(TableRelationships12[[#This Row],[Rank Pedro]]="Medium","linkCategory2",IF(TableRelationships12[[#This Row],[Rank Pedro]]="High","linkCategory3","")))</f>
        <v/>
      </c>
      <c r="U2466" s="102" t="str">
        <f>IF(TableRelationships12[[#This Row],[Rank Pedro]]="Low","Pink",IF(TableRelationships12[[#This Row],[Rank Pedro]]="Medium","Purple",IF(TableRelationships12[[#This Row],[Rank Pedro]]="High","Brown","")))</f>
        <v/>
      </c>
      <c r="V2466" s="4" t="e">
        <f>MAX(INDEX(Standards!$F$2:$F$296,MATCH(B2466,Standards!$B$2:$B$296,0)),INDEX(Standards!$F$2:$F$296,MATCH(C2466,Standards!$B$2:$B$296,0)))</f>
        <v>#N/A</v>
      </c>
      <c r="W2466" t="str">
        <f t="shared" si="116"/>
        <v>#2f89d1</v>
      </c>
    </row>
    <row r="2467" spans="1:23" x14ac:dyDescent="0.5">
      <c r="A2467" s="54">
        <v>2466</v>
      </c>
      <c r="B2467" s="90" t="s">
        <v>664</v>
      </c>
      <c r="C2467" t="s">
        <v>298</v>
      </c>
      <c r="D2467" s="1"/>
      <c r="E2467" s="112">
        <v>2008.11</v>
      </c>
      <c r="F2467" s="112">
        <v>2016.1</v>
      </c>
      <c r="G2467" s="107" t="s">
        <v>1464</v>
      </c>
      <c r="H2467">
        <f>INDEX('GIS-Standards'!$A$2:$A$305,MATCH(B2467,'GIS-Standards'!$B$2:$B$305,0))</f>
        <v>113</v>
      </c>
      <c r="I2467">
        <f>INDEX('GIS-Standards'!$A$2:$A$305,MATCH(C2467,'GIS-Standards'!$B$2:$B$305,0))</f>
        <v>13</v>
      </c>
      <c r="J2467" t="str">
        <f>INDEX('GIS-Standards'!$O$2:$O$305,MATCH(B2467,'GIS-Standards'!$B$2:$B$305,0))</f>
        <v>ISO/TC 211</v>
      </c>
      <c r="K2467" t="str">
        <f>INDEX('GIS-Standards'!$O$2:$O$305,MATCH(C2467,'GIS-Standards'!$B$2:$B$305,0))</f>
        <v>ISO/TC 211</v>
      </c>
      <c r="M2467" t="s">
        <v>525</v>
      </c>
      <c r="N2467">
        <f>INDEX('GIS-Standards'!$I$2:$I$305,MATCH(B2467,'GIS-Standards'!$B$2:$B$305,0))</f>
        <v>0</v>
      </c>
      <c r="O2467">
        <f>INDEX('GIS-Standards'!$I$2:$I$305,MATCH(C2467,'GIS-Standards'!$B$2:$B$305,0))</f>
        <v>0</v>
      </c>
      <c r="P2467" t="b">
        <f>AND(TableRelationships12[[#This Row],[Source Type]]="BIM",TableRelationships12[[#This Row],[Target Type]]="BIM")</f>
        <v>0</v>
      </c>
      <c r="Q2467">
        <f t="shared" si="114"/>
        <v>1</v>
      </c>
      <c r="S2467">
        <f t="shared" si="115"/>
        <v>1</v>
      </c>
      <c r="T2467" s="102" t="str">
        <f>IF(TableRelationships12[[#This Row],[Rank Pedro]]="Low","linkCategory1",IF(TableRelationships12[[#This Row],[Rank Pedro]]="Medium","linkCategory2",IF(TableRelationships12[[#This Row],[Rank Pedro]]="High","linkCategory3","")))</f>
        <v/>
      </c>
      <c r="U2467" s="102" t="str">
        <f>IF(TableRelationships12[[#This Row],[Rank Pedro]]="Low","Pink",IF(TableRelationships12[[#This Row],[Rank Pedro]]="Medium","Purple",IF(TableRelationships12[[#This Row],[Rank Pedro]]="High","Brown","")))</f>
        <v/>
      </c>
      <c r="V2467" s="4" t="e">
        <f>MAX(INDEX(Standards!$F$2:$F$296,MATCH(B2467,Standards!$B$2:$B$296,0)),INDEX(Standards!$F$2:$F$296,MATCH(C2467,Standards!$B$2:$B$296,0)))</f>
        <v>#N/A</v>
      </c>
      <c r="W2467" t="str">
        <f t="shared" si="116"/>
        <v>#2f89d1</v>
      </c>
    </row>
    <row r="2468" spans="1:23" x14ac:dyDescent="0.5">
      <c r="A2468" s="54">
        <v>2467</v>
      </c>
      <c r="B2468" s="90" t="s">
        <v>664</v>
      </c>
      <c r="C2468" t="s">
        <v>334</v>
      </c>
      <c r="D2468" s="1"/>
      <c r="E2468" s="113">
        <v>2007.09</v>
      </c>
      <c r="F2468" s="113">
        <v>2020.01</v>
      </c>
      <c r="G2468" s="107" t="s">
        <v>670</v>
      </c>
      <c r="H2468">
        <f>INDEX('GIS-Standards'!$A$2:$A$305,MATCH(B2468,'GIS-Standards'!$B$2:$B$305,0))</f>
        <v>113</v>
      </c>
      <c r="I2468">
        <f>INDEX('GIS-Standards'!$A$2:$A$305,MATCH(C2468,'GIS-Standards'!$B$2:$B$305,0))</f>
        <v>42</v>
      </c>
      <c r="J2468" t="str">
        <f>INDEX('GIS-Standards'!$O$2:$O$305,MATCH(B2468,'GIS-Standards'!$B$2:$B$305,0))</f>
        <v>ISO/TC 211</v>
      </c>
      <c r="K2468" t="str">
        <f>INDEX('GIS-Standards'!$O$2:$O$305,MATCH(C2468,'GIS-Standards'!$B$2:$B$305,0))</f>
        <v>ISO/TC 211</v>
      </c>
      <c r="M2468" t="s">
        <v>525</v>
      </c>
      <c r="N2468">
        <f>INDEX('GIS-Standards'!$I$2:$I$305,MATCH(B2468,'GIS-Standards'!$B$2:$B$305,0))</f>
        <v>0</v>
      </c>
      <c r="O2468">
        <f>INDEX('GIS-Standards'!$I$2:$I$305,MATCH(C2468,'GIS-Standards'!$B$2:$B$305,0))</f>
        <v>0</v>
      </c>
      <c r="P2468" t="b">
        <f>AND(TableRelationships12[[#This Row],[Source Type]]="BIM",TableRelationships12[[#This Row],[Target Type]]="BIM")</f>
        <v>0</v>
      </c>
      <c r="Q2468">
        <f t="shared" si="114"/>
        <v>1</v>
      </c>
      <c r="S2468">
        <f t="shared" si="115"/>
        <v>1</v>
      </c>
      <c r="T2468" s="102" t="str">
        <f>IF(TableRelationships12[[#This Row],[Rank Pedro]]="Low","linkCategory1",IF(TableRelationships12[[#This Row],[Rank Pedro]]="Medium","linkCategory2",IF(TableRelationships12[[#This Row],[Rank Pedro]]="High","linkCategory3","")))</f>
        <v/>
      </c>
      <c r="U2468" s="102" t="str">
        <f>IF(TableRelationships12[[#This Row],[Rank Pedro]]="Low","Pink",IF(TableRelationships12[[#This Row],[Rank Pedro]]="Medium","Purple",IF(TableRelationships12[[#This Row],[Rank Pedro]]="High","Brown","")))</f>
        <v/>
      </c>
      <c r="V2468" s="4" t="e">
        <f>MAX(INDEX(Standards!$F$2:$F$296,MATCH(B2468,Standards!$B$2:$B$296,0)),INDEX(Standards!$F$2:$F$296,MATCH(C2468,Standards!$B$2:$B$296,0)))</f>
        <v>#N/A</v>
      </c>
      <c r="W2468" t="str">
        <f t="shared" si="116"/>
        <v>#2f89d1</v>
      </c>
    </row>
    <row r="2469" spans="1:23" x14ac:dyDescent="0.5">
      <c r="A2469" s="54">
        <v>2468</v>
      </c>
      <c r="B2469" s="90" t="s">
        <v>664</v>
      </c>
      <c r="C2469" t="s">
        <v>346</v>
      </c>
      <c r="D2469" s="1"/>
      <c r="E2469" s="113">
        <v>2015.07</v>
      </c>
      <c r="F2469" s="113">
        <v>2019.01</v>
      </c>
      <c r="G2469" s="107" t="s">
        <v>670</v>
      </c>
      <c r="H2469">
        <f>INDEX('GIS-Standards'!$A$2:$A$305,MATCH(B2469,'GIS-Standards'!$B$2:$B$305,0))</f>
        <v>113</v>
      </c>
      <c r="I2469">
        <f>INDEX('GIS-Standards'!$A$2:$A$305,MATCH(C2469,'GIS-Standards'!$B$2:$B$305,0))</f>
        <v>54</v>
      </c>
      <c r="J2469" t="str">
        <f>INDEX('GIS-Standards'!$O$2:$O$305,MATCH(B2469,'GIS-Standards'!$B$2:$B$305,0))</f>
        <v>ISO/TC 211</v>
      </c>
      <c r="K2469" t="str">
        <f>INDEX('GIS-Standards'!$O$2:$O$305,MATCH(C2469,'GIS-Standards'!$B$2:$B$305,0))</f>
        <v>ISO/TC 211</v>
      </c>
      <c r="M2469" t="s">
        <v>525</v>
      </c>
      <c r="N2469">
        <f>INDEX('GIS-Standards'!$I$2:$I$305,MATCH(B2469,'GIS-Standards'!$B$2:$B$305,0))</f>
        <v>0</v>
      </c>
      <c r="O2469" t="str">
        <f>INDEX('GIS-Standards'!$I$2:$I$305,MATCH(C2469,'GIS-Standards'!$B$2:$B$305,0))</f>
        <v>01.2019</v>
      </c>
      <c r="P2469" t="b">
        <f>AND(TableRelationships12[[#This Row],[Source Type]]="BIM",TableRelationships12[[#This Row],[Target Type]]="BIM")</f>
        <v>0</v>
      </c>
      <c r="Q2469">
        <f t="shared" si="114"/>
        <v>1</v>
      </c>
      <c r="S2469">
        <f t="shared" si="115"/>
        <v>1</v>
      </c>
      <c r="T2469" s="102" t="str">
        <f>IF(TableRelationships12[[#This Row],[Rank Pedro]]="Low","linkCategory1",IF(TableRelationships12[[#This Row],[Rank Pedro]]="Medium","linkCategory2",IF(TableRelationships12[[#This Row],[Rank Pedro]]="High","linkCategory3","")))</f>
        <v/>
      </c>
      <c r="U2469" s="102" t="str">
        <f>IF(TableRelationships12[[#This Row],[Rank Pedro]]="Low","Pink",IF(TableRelationships12[[#This Row],[Rank Pedro]]="Medium","Purple",IF(TableRelationships12[[#This Row],[Rank Pedro]]="High","Brown","")))</f>
        <v/>
      </c>
      <c r="V2469" s="4" t="e">
        <f>MAX(INDEX(Standards!$F$2:$F$296,MATCH(B2469,Standards!$B$2:$B$296,0)),INDEX(Standards!$F$2:$F$296,MATCH(C2469,Standards!$B$2:$B$296,0)))</f>
        <v>#N/A</v>
      </c>
      <c r="W2469" t="str">
        <f t="shared" si="116"/>
        <v>#2f89d1</v>
      </c>
    </row>
    <row r="2470" spans="1:23" x14ac:dyDescent="0.5">
      <c r="A2470" s="54">
        <v>2469</v>
      </c>
      <c r="B2470" s="90" t="s">
        <v>664</v>
      </c>
      <c r="C2470" t="s">
        <v>1376</v>
      </c>
      <c r="D2470" s="1" t="s">
        <v>1676</v>
      </c>
      <c r="E2470" s="112">
        <v>1978.02</v>
      </c>
      <c r="F2470" s="112">
        <v>2023.01</v>
      </c>
      <c r="G2470" s="107" t="s">
        <v>1504</v>
      </c>
      <c r="H2470">
        <f>INDEX('GIS-Standards'!$A$2:$A$305,MATCH(B2470,'GIS-Standards'!$B$2:$B$305,0))</f>
        <v>113</v>
      </c>
      <c r="I2470" t="e">
        <f>INDEX('GIS-Standards'!$A$2:$A$305,MATCH(C2470,'GIS-Standards'!$B$2:$B$305,0))</f>
        <v>#N/A</v>
      </c>
      <c r="J2470" t="str">
        <f>INDEX('GIS-Standards'!$O$2:$O$305,MATCH(B2470,'GIS-Standards'!$B$2:$B$305,0))</f>
        <v>ISO/TC 211</v>
      </c>
      <c r="K2470" t="e">
        <f>INDEX('GIS-Standards'!$O$2:$O$305,MATCH(C2470,'GIS-Standards'!$B$2:$B$305,0))</f>
        <v>#N/A</v>
      </c>
      <c r="M2470" t="s">
        <v>525</v>
      </c>
      <c r="N2470">
        <f>INDEX('GIS-Standards'!$I$2:$I$305,MATCH(B2470,'GIS-Standards'!$B$2:$B$305,0))</f>
        <v>0</v>
      </c>
      <c r="O2470" t="e">
        <f>INDEX('GIS-Standards'!$I$2:$I$305,MATCH(C2470,'GIS-Standards'!$B$2:$B$305,0))</f>
        <v>#N/A</v>
      </c>
      <c r="P2470" t="e">
        <f>AND(TableRelationships12[[#This Row],[Source Type]]="BIM",TableRelationships12[[#This Row],[Target Type]]="BIM")</f>
        <v>#N/A</v>
      </c>
      <c r="Q2470">
        <f t="shared" si="114"/>
        <v>1</v>
      </c>
      <c r="S2470">
        <f t="shared" si="115"/>
        <v>1</v>
      </c>
      <c r="T2470" s="102" t="str">
        <f>IF(TableRelationships12[[#This Row],[Rank Pedro]]="Low","linkCategory1",IF(TableRelationships12[[#This Row],[Rank Pedro]]="Medium","linkCategory2",IF(TableRelationships12[[#This Row],[Rank Pedro]]="High","linkCategory3","")))</f>
        <v/>
      </c>
      <c r="U2470" s="102" t="str">
        <f>IF(TableRelationships12[[#This Row],[Rank Pedro]]="Low","Pink",IF(TableRelationships12[[#This Row],[Rank Pedro]]="Medium","Purple",IF(TableRelationships12[[#This Row],[Rank Pedro]]="High","Brown","")))</f>
        <v/>
      </c>
      <c r="V2470" s="4" t="e">
        <f>MAX(INDEX(Standards!$F$2:$F$296,MATCH(B2470,Standards!$B$2:$B$296,0)),INDEX(Standards!$F$2:$F$296,MATCH(C2470,Standards!$B$2:$B$296,0)))</f>
        <v>#N/A</v>
      </c>
      <c r="W2470" t="str">
        <f t="shared" si="116"/>
        <v>#2f89d1</v>
      </c>
    </row>
    <row r="2471" spans="1:23" x14ac:dyDescent="0.5">
      <c r="A2471" s="54">
        <v>2470</v>
      </c>
      <c r="B2471" s="90" t="s">
        <v>664</v>
      </c>
      <c r="C2471" t="s">
        <v>1377</v>
      </c>
      <c r="D2471" s="1"/>
      <c r="E2471" s="112">
        <v>2006.05</v>
      </c>
      <c r="F2471" s="112">
        <v>2012.06</v>
      </c>
      <c r="G2471" s="107" t="s">
        <v>1500</v>
      </c>
      <c r="H2471">
        <f>INDEX('GIS-Standards'!$A$2:$A$305,MATCH(B2471,'GIS-Standards'!$B$2:$B$305,0))</f>
        <v>113</v>
      </c>
      <c r="I2471" t="e">
        <f>INDEX('GIS-Standards'!$A$2:$A$305,MATCH(C2471,'GIS-Standards'!$B$2:$B$305,0))</f>
        <v>#N/A</v>
      </c>
      <c r="J2471" t="str">
        <f>INDEX('GIS-Standards'!$O$2:$O$305,MATCH(B2471,'GIS-Standards'!$B$2:$B$305,0))</f>
        <v>ISO/TC 211</v>
      </c>
      <c r="K2471" t="e">
        <f>INDEX('GIS-Standards'!$O$2:$O$305,MATCH(C2471,'GIS-Standards'!$B$2:$B$305,0))</f>
        <v>#N/A</v>
      </c>
      <c r="M2471" t="s">
        <v>525</v>
      </c>
      <c r="N2471">
        <f>INDEX('GIS-Standards'!$I$2:$I$305,MATCH(B2471,'GIS-Standards'!$B$2:$B$305,0))</f>
        <v>0</v>
      </c>
      <c r="O2471" t="e">
        <f>INDEX('GIS-Standards'!$I$2:$I$305,MATCH(C2471,'GIS-Standards'!$B$2:$B$305,0))</f>
        <v>#N/A</v>
      </c>
      <c r="P2471" t="e">
        <f>AND(TableRelationships12[[#This Row],[Source Type]]="BIM",TableRelationships12[[#This Row],[Target Type]]="BIM")</f>
        <v>#N/A</v>
      </c>
      <c r="Q2471">
        <f t="shared" si="114"/>
        <v>1</v>
      </c>
      <c r="S2471">
        <f t="shared" si="115"/>
        <v>1</v>
      </c>
      <c r="T2471" s="102" t="str">
        <f>IF(TableRelationships12[[#This Row],[Rank Pedro]]="Low","linkCategory1",IF(TableRelationships12[[#This Row],[Rank Pedro]]="Medium","linkCategory2",IF(TableRelationships12[[#This Row],[Rank Pedro]]="High","linkCategory3","")))</f>
        <v/>
      </c>
      <c r="U2471" s="102" t="str">
        <f>IF(TableRelationships12[[#This Row],[Rank Pedro]]="Low","Pink",IF(TableRelationships12[[#This Row],[Rank Pedro]]="Medium","Purple",IF(TableRelationships12[[#This Row],[Rank Pedro]]="High","Brown","")))</f>
        <v/>
      </c>
      <c r="V2471" s="4" t="e">
        <f>MAX(INDEX(Standards!$F$2:$F$296,MATCH(B2471,Standards!$B$2:$B$296,0)),INDEX(Standards!$F$2:$F$296,MATCH(C2471,Standards!$B$2:$B$296,0)))</f>
        <v>#N/A</v>
      </c>
      <c r="W2471" t="str">
        <f t="shared" si="116"/>
        <v>#2f89d1</v>
      </c>
    </row>
    <row r="2472" spans="1:23" x14ac:dyDescent="0.5">
      <c r="A2472" s="54">
        <v>2471</v>
      </c>
      <c r="B2472" s="90" t="s">
        <v>664</v>
      </c>
      <c r="C2472" t="s">
        <v>1378</v>
      </c>
      <c r="D2472" s="1"/>
      <c r="E2472" s="112">
        <v>2017.06</v>
      </c>
      <c r="F2472" s="112">
        <v>2023.05</v>
      </c>
      <c r="G2472" s="107" t="s">
        <v>1512</v>
      </c>
      <c r="H2472">
        <f>INDEX('GIS-Standards'!$A$2:$A$305,MATCH(B2472,'GIS-Standards'!$B$2:$B$305,0))</f>
        <v>113</v>
      </c>
      <c r="I2472" t="e">
        <f>INDEX('GIS-Standards'!$A$2:$A$305,MATCH(C2472,'GIS-Standards'!$B$2:$B$305,0))</f>
        <v>#N/A</v>
      </c>
      <c r="J2472" t="str">
        <f>INDEX('GIS-Standards'!$O$2:$O$305,MATCH(B2472,'GIS-Standards'!$B$2:$B$305,0))</f>
        <v>ISO/TC 211</v>
      </c>
      <c r="K2472" t="e">
        <f>INDEX('GIS-Standards'!$O$2:$O$305,MATCH(C2472,'GIS-Standards'!$B$2:$B$305,0))</f>
        <v>#N/A</v>
      </c>
      <c r="M2472" t="s">
        <v>525</v>
      </c>
      <c r="N2472">
        <f>INDEX('GIS-Standards'!$I$2:$I$305,MATCH(B2472,'GIS-Standards'!$B$2:$B$305,0))</f>
        <v>0</v>
      </c>
      <c r="O2472" t="e">
        <f>INDEX('GIS-Standards'!$I$2:$I$305,MATCH(C2472,'GIS-Standards'!$B$2:$B$305,0))</f>
        <v>#N/A</v>
      </c>
      <c r="P2472" t="e">
        <f>AND(TableRelationships12[[#This Row],[Source Type]]="BIM",TableRelationships12[[#This Row],[Target Type]]="BIM")</f>
        <v>#N/A</v>
      </c>
      <c r="Q2472">
        <f t="shared" si="114"/>
        <v>1</v>
      </c>
      <c r="S2472">
        <f t="shared" si="115"/>
        <v>1</v>
      </c>
      <c r="T2472" s="102" t="str">
        <f>IF(TableRelationships12[[#This Row],[Rank Pedro]]="Low","linkCategory1",IF(TableRelationships12[[#This Row],[Rank Pedro]]="Medium","linkCategory2",IF(TableRelationships12[[#This Row],[Rank Pedro]]="High","linkCategory3","")))</f>
        <v/>
      </c>
      <c r="U2472" s="102" t="str">
        <f>IF(TableRelationships12[[#This Row],[Rank Pedro]]="Low","Pink",IF(TableRelationships12[[#This Row],[Rank Pedro]]="Medium","Purple",IF(TableRelationships12[[#This Row],[Rank Pedro]]="High","Brown","")))</f>
        <v/>
      </c>
      <c r="V2472" s="4" t="e">
        <f>MAX(INDEX(Standards!$F$2:$F$296,MATCH(B2472,Standards!$B$2:$B$296,0)),INDEX(Standards!$F$2:$F$296,MATCH(C2472,Standards!$B$2:$B$296,0)))</f>
        <v>#N/A</v>
      </c>
      <c r="W2472" t="str">
        <f t="shared" si="116"/>
        <v>#2f89d1</v>
      </c>
    </row>
    <row r="2473" spans="1:23" x14ac:dyDescent="0.5">
      <c r="A2473" s="54">
        <v>2472</v>
      </c>
      <c r="B2473" s="90" t="s">
        <v>664</v>
      </c>
      <c r="C2473" t="s">
        <v>1526</v>
      </c>
      <c r="D2473" s="1"/>
      <c r="G2473" s="107"/>
      <c r="H2473">
        <f>INDEX('GIS-Standards'!$A$2:$A$305,MATCH(B2473,'GIS-Standards'!$B$2:$B$305,0))</f>
        <v>113</v>
      </c>
      <c r="I2473" t="e">
        <f>INDEX('GIS-Standards'!$A$2:$A$305,MATCH(C2473,'GIS-Standards'!$B$2:$B$305,0))</f>
        <v>#N/A</v>
      </c>
      <c r="J2473" t="str">
        <f>INDEX('GIS-Standards'!$O$2:$O$305,MATCH(B2473,'GIS-Standards'!$B$2:$B$305,0))</f>
        <v>ISO/TC 211</v>
      </c>
      <c r="K2473" t="e">
        <f>INDEX('GIS-Standards'!$O$2:$O$305,MATCH(C2473,'GIS-Standards'!$B$2:$B$305,0))</f>
        <v>#N/A</v>
      </c>
      <c r="M2473" t="s">
        <v>525</v>
      </c>
      <c r="N2473">
        <f>INDEX('GIS-Standards'!$I$2:$I$305,MATCH(B2473,'GIS-Standards'!$B$2:$B$305,0))</f>
        <v>0</v>
      </c>
      <c r="O2473" t="e">
        <f>INDEX('GIS-Standards'!$I$2:$I$305,MATCH(C2473,'GIS-Standards'!$B$2:$B$305,0))</f>
        <v>#N/A</v>
      </c>
      <c r="P2473" t="e">
        <f>AND(TableRelationships12[[#This Row],[Source Type]]="BIM",TableRelationships12[[#This Row],[Target Type]]="BIM")</f>
        <v>#N/A</v>
      </c>
      <c r="Q2473">
        <f t="shared" si="114"/>
        <v>1</v>
      </c>
      <c r="S2473">
        <f t="shared" si="115"/>
        <v>1</v>
      </c>
      <c r="T2473" s="102" t="str">
        <f>IF(TableRelationships12[[#This Row],[Rank Pedro]]="Low","linkCategory1",IF(TableRelationships12[[#This Row],[Rank Pedro]]="Medium","linkCategory2",IF(TableRelationships12[[#This Row],[Rank Pedro]]="High","linkCategory3","")))</f>
        <v/>
      </c>
      <c r="U2473" s="102" t="str">
        <f>IF(TableRelationships12[[#This Row],[Rank Pedro]]="Low","Pink",IF(TableRelationships12[[#This Row],[Rank Pedro]]="Medium","Purple",IF(TableRelationships12[[#This Row],[Rank Pedro]]="High","Brown","")))</f>
        <v/>
      </c>
      <c r="V2473" s="4" t="e">
        <f>MAX(INDEX(Standards!$F$2:$F$296,MATCH(B2473,Standards!$B$2:$B$296,0)),INDEX(Standards!$F$2:$F$296,MATCH(C2473,Standards!$B$2:$B$296,0)))</f>
        <v>#N/A</v>
      </c>
      <c r="W2473" t="str">
        <f t="shared" si="116"/>
        <v>#2f89d1</v>
      </c>
    </row>
    <row r="2474" spans="1:23" x14ac:dyDescent="0.5">
      <c r="A2474" s="54">
        <v>2473</v>
      </c>
      <c r="B2474" s="90" t="s">
        <v>664</v>
      </c>
      <c r="C2474" t="s">
        <v>1318</v>
      </c>
      <c r="D2474" s="1"/>
      <c r="G2474" s="107"/>
      <c r="H2474">
        <f>INDEX('GIS-Standards'!$A$2:$A$305,MATCH(B2474,'GIS-Standards'!$B$2:$B$305,0))</f>
        <v>113</v>
      </c>
      <c r="I2474" t="e">
        <f>INDEX('GIS-Standards'!$A$2:$A$305,MATCH(C2474,'GIS-Standards'!$B$2:$B$305,0))</f>
        <v>#N/A</v>
      </c>
      <c r="J2474" t="str">
        <f>INDEX('GIS-Standards'!$O$2:$O$305,MATCH(B2474,'GIS-Standards'!$B$2:$B$305,0))</f>
        <v>ISO/TC 211</v>
      </c>
      <c r="K2474" t="e">
        <f>INDEX('GIS-Standards'!$O$2:$O$305,MATCH(C2474,'GIS-Standards'!$B$2:$B$305,0))</f>
        <v>#N/A</v>
      </c>
      <c r="M2474" t="s">
        <v>525</v>
      </c>
      <c r="N2474">
        <f>INDEX('GIS-Standards'!$I$2:$I$305,MATCH(B2474,'GIS-Standards'!$B$2:$B$305,0))</f>
        <v>0</v>
      </c>
      <c r="O2474" t="e">
        <f>INDEX('GIS-Standards'!$I$2:$I$305,MATCH(C2474,'GIS-Standards'!$B$2:$B$305,0))</f>
        <v>#N/A</v>
      </c>
      <c r="P2474" t="e">
        <f>AND(TableRelationships12[[#This Row],[Source Type]]="BIM",TableRelationships12[[#This Row],[Target Type]]="BIM")</f>
        <v>#N/A</v>
      </c>
      <c r="Q2474">
        <f t="shared" si="114"/>
        <v>1</v>
      </c>
      <c r="S2474">
        <f t="shared" si="115"/>
        <v>1</v>
      </c>
      <c r="T2474" s="102" t="str">
        <f>IF(TableRelationships12[[#This Row],[Rank Pedro]]="Low","linkCategory1",IF(TableRelationships12[[#This Row],[Rank Pedro]]="Medium","linkCategory2",IF(TableRelationships12[[#This Row],[Rank Pedro]]="High","linkCategory3","")))</f>
        <v/>
      </c>
      <c r="U2474" s="102" t="str">
        <f>IF(TableRelationships12[[#This Row],[Rank Pedro]]="Low","Pink",IF(TableRelationships12[[#This Row],[Rank Pedro]]="Medium","Purple",IF(TableRelationships12[[#This Row],[Rank Pedro]]="High","Brown","")))</f>
        <v/>
      </c>
      <c r="V2474" s="4" t="e">
        <f>MAX(INDEX(Standards!$F$2:$F$296,MATCH(B2474,Standards!$B$2:$B$296,0)),INDEX(Standards!$F$2:$F$296,MATCH(C2474,Standards!$B$2:$B$296,0)))</f>
        <v>#N/A</v>
      </c>
      <c r="W2474" t="str">
        <f t="shared" si="116"/>
        <v>#2f89d1</v>
      </c>
    </row>
    <row r="2475" spans="1:23" x14ac:dyDescent="0.5">
      <c r="A2475" s="54">
        <v>2474</v>
      </c>
      <c r="B2475" s="90" t="s">
        <v>664</v>
      </c>
      <c r="C2475" t="s">
        <v>1204</v>
      </c>
      <c r="D2475" s="1"/>
      <c r="G2475" s="107"/>
      <c r="H2475">
        <f>INDEX('GIS-Standards'!$A$2:$A$305,MATCH(B2475,'GIS-Standards'!$B$2:$B$305,0))</f>
        <v>113</v>
      </c>
      <c r="I2475" t="e">
        <f>INDEX('GIS-Standards'!$A$2:$A$305,MATCH(C2475,'GIS-Standards'!$B$2:$B$305,0))</f>
        <v>#N/A</v>
      </c>
      <c r="J2475" t="str">
        <f>INDEX('GIS-Standards'!$O$2:$O$305,MATCH(B2475,'GIS-Standards'!$B$2:$B$305,0))</f>
        <v>ISO/TC 211</v>
      </c>
      <c r="K2475" t="e">
        <f>INDEX('GIS-Standards'!$O$2:$O$305,MATCH(C2475,'GIS-Standards'!$B$2:$B$305,0))</f>
        <v>#N/A</v>
      </c>
      <c r="M2475" t="s">
        <v>525</v>
      </c>
      <c r="N2475">
        <f>INDEX('GIS-Standards'!$I$2:$I$305,MATCH(B2475,'GIS-Standards'!$B$2:$B$305,0))</f>
        <v>0</v>
      </c>
      <c r="O2475" t="e">
        <f>INDEX('GIS-Standards'!$I$2:$I$305,MATCH(C2475,'GIS-Standards'!$B$2:$B$305,0))</f>
        <v>#N/A</v>
      </c>
      <c r="P2475" t="e">
        <f>AND(TableRelationships12[[#This Row],[Source Type]]="BIM",TableRelationships12[[#This Row],[Target Type]]="BIM")</f>
        <v>#N/A</v>
      </c>
      <c r="Q2475">
        <f t="shared" si="114"/>
        <v>1</v>
      </c>
      <c r="S2475">
        <f t="shared" si="115"/>
        <v>1</v>
      </c>
      <c r="T2475" s="102" t="str">
        <f>IF(TableRelationships12[[#This Row],[Rank Pedro]]="Low","linkCategory1",IF(TableRelationships12[[#This Row],[Rank Pedro]]="Medium","linkCategory2",IF(TableRelationships12[[#This Row],[Rank Pedro]]="High","linkCategory3","")))</f>
        <v/>
      </c>
      <c r="U2475" s="102" t="str">
        <f>IF(TableRelationships12[[#This Row],[Rank Pedro]]="Low","Pink",IF(TableRelationships12[[#This Row],[Rank Pedro]]="Medium","Purple",IF(TableRelationships12[[#This Row],[Rank Pedro]]="High","Brown","")))</f>
        <v/>
      </c>
      <c r="V2475" s="4" t="e">
        <f>MAX(INDEX(Standards!$F$2:$F$296,MATCH(B2475,Standards!$B$2:$B$296,0)),INDEX(Standards!$F$2:$F$296,MATCH(C2475,Standards!$B$2:$B$296,0)))</f>
        <v>#N/A</v>
      </c>
      <c r="W2475" t="str">
        <f t="shared" si="116"/>
        <v>#2f89d1</v>
      </c>
    </row>
    <row r="2476" spans="1:23" x14ac:dyDescent="0.5">
      <c r="A2476" s="54">
        <v>2475</v>
      </c>
      <c r="B2476" s="90" t="s">
        <v>665</v>
      </c>
      <c r="C2476" t="s">
        <v>527</v>
      </c>
      <c r="D2476" s="1"/>
      <c r="E2476" s="112" t="s">
        <v>924</v>
      </c>
      <c r="F2476" s="112" t="s">
        <v>924</v>
      </c>
      <c r="G2476" s="121" t="s">
        <v>673</v>
      </c>
      <c r="H2476">
        <f>INDEX('GIS-Standards'!$A$2:$A$305,MATCH(B2476,'GIS-Standards'!$B$2:$B$305,0))</f>
        <v>114</v>
      </c>
      <c r="I2476" t="e">
        <f>INDEX('GIS-Standards'!$A$2:$A$305,MATCH(C2476,'GIS-Standards'!$B$2:$B$305,0))</f>
        <v>#N/A</v>
      </c>
      <c r="J2476" t="str">
        <f>INDEX('GIS-Standards'!$O$2:$O$305,MATCH(B2476,'GIS-Standards'!$B$2:$B$305,0))</f>
        <v>ISO/TC 268/SC 1</v>
      </c>
      <c r="K2476" t="e">
        <f>INDEX('GIS-Standards'!$O$2:$O$305,MATCH(C2476,'GIS-Standards'!$B$2:$B$305,0))</f>
        <v>#N/A</v>
      </c>
      <c r="M2476" t="s">
        <v>237</v>
      </c>
      <c r="N2476">
        <f>INDEX('GIS-Standards'!$I$2:$I$305,MATCH(B2476,'GIS-Standards'!$B$2:$B$305,0))</f>
        <v>0</v>
      </c>
      <c r="O2476" t="e">
        <f>INDEX('GIS-Standards'!$I$2:$I$305,MATCH(C2476,'GIS-Standards'!$B$2:$B$305,0))</f>
        <v>#N/A</v>
      </c>
      <c r="P2476" t="e">
        <f>AND(TableRelationships12[[#This Row],[Source Type]]="BIM",TableRelationships12[[#This Row],[Target Type]]="BIM")</f>
        <v>#N/A</v>
      </c>
      <c r="Q2476">
        <f t="shared" si="114"/>
        <v>2</v>
      </c>
      <c r="S2476">
        <f t="shared" si="115"/>
        <v>1</v>
      </c>
      <c r="T2476" s="102" t="str">
        <f>IF(TableRelationships12[[#This Row],[Rank Pedro]]="Low","linkCategory1",IF(TableRelationships12[[#This Row],[Rank Pedro]]="Medium","linkCategory2",IF(TableRelationships12[[#This Row],[Rank Pedro]]="High","linkCategory3","")))</f>
        <v/>
      </c>
      <c r="U2476" s="102" t="str">
        <f>IF(TableRelationships12[[#This Row],[Rank Pedro]]="Low","Pink",IF(TableRelationships12[[#This Row],[Rank Pedro]]="Medium","Purple",IF(TableRelationships12[[#This Row],[Rank Pedro]]="High","Brown","")))</f>
        <v/>
      </c>
      <c r="V2476" s="4" t="e">
        <f>MAX(INDEX(Standards!$F$2:$F$296,MATCH(B2476,Standards!$B$2:$B$296,0)),INDEX(Standards!$F$2:$F$296,MATCH(C2476,Standards!$B$2:$B$296,0)))</f>
        <v>#N/A</v>
      </c>
      <c r="W2476">
        <f t="shared" si="116"/>
        <v>1</v>
      </c>
    </row>
    <row r="2477" spans="1:23" x14ac:dyDescent="0.5">
      <c r="A2477" s="54">
        <v>2476</v>
      </c>
      <c r="B2477" s="90" t="s">
        <v>665</v>
      </c>
      <c r="C2477" t="s">
        <v>293</v>
      </c>
      <c r="D2477" s="1"/>
      <c r="E2477" s="112">
        <v>2002.07</v>
      </c>
      <c r="F2477" s="112">
        <v>2014.11</v>
      </c>
      <c r="G2477" s="107" t="s">
        <v>670</v>
      </c>
      <c r="H2477">
        <f>INDEX('GIS-Standards'!$A$2:$A$305,MATCH(B2477,'GIS-Standards'!$B$2:$B$305,0))</f>
        <v>114</v>
      </c>
      <c r="I2477">
        <f>INDEX('GIS-Standards'!$A$2:$A$305,MATCH(C2477,'GIS-Standards'!$B$2:$B$305,0))</f>
        <v>10</v>
      </c>
      <c r="J2477" t="str">
        <f>INDEX('GIS-Standards'!$O$2:$O$305,MATCH(B2477,'GIS-Standards'!$B$2:$B$305,0))</f>
        <v>ISO/TC 268/SC 1</v>
      </c>
      <c r="K2477" t="str">
        <f>INDEX('GIS-Standards'!$O$2:$O$305,MATCH(C2477,'GIS-Standards'!$B$2:$B$305,0))</f>
        <v>ISO/TC 211</v>
      </c>
      <c r="M2477" t="s">
        <v>525</v>
      </c>
      <c r="N2477">
        <f>INDEX('GIS-Standards'!$I$2:$I$305,MATCH(B2477,'GIS-Standards'!$B$2:$B$305,0))</f>
        <v>0</v>
      </c>
      <c r="O2477">
        <f>INDEX('GIS-Standards'!$I$2:$I$305,MATCH(C2477,'GIS-Standards'!$B$2:$B$305,0))</f>
        <v>0</v>
      </c>
      <c r="P2477" t="b">
        <f>AND(TableRelationships12[[#This Row],[Source Type]]="BIM",TableRelationships12[[#This Row],[Target Type]]="BIM")</f>
        <v>0</v>
      </c>
      <c r="Q2477">
        <f t="shared" si="114"/>
        <v>1</v>
      </c>
      <c r="S2477">
        <f t="shared" si="115"/>
        <v>1</v>
      </c>
      <c r="T2477" s="102" t="str">
        <f>IF(TableRelationships12[[#This Row],[Rank Pedro]]="Low","linkCategory1",IF(TableRelationships12[[#This Row],[Rank Pedro]]="Medium","linkCategory2",IF(TableRelationships12[[#This Row],[Rank Pedro]]="High","linkCategory3","")))</f>
        <v/>
      </c>
      <c r="U2477" s="102" t="str">
        <f>IF(TableRelationships12[[#This Row],[Rank Pedro]]="Low","Pink",IF(TableRelationships12[[#This Row],[Rank Pedro]]="Medium","Purple",IF(TableRelationships12[[#This Row],[Rank Pedro]]="High","Brown","")))</f>
        <v/>
      </c>
      <c r="V2477" s="4" t="e">
        <f>MAX(INDEX(Standards!$F$2:$F$296,MATCH(B2477,Standards!$B$2:$B$296,0)),INDEX(Standards!$F$2:$F$296,MATCH(C2477,Standards!$B$2:$B$296,0)))</f>
        <v>#N/A</v>
      </c>
      <c r="W2477" t="str">
        <f t="shared" si="116"/>
        <v>#2f89d1</v>
      </c>
    </row>
    <row r="2478" spans="1:23" x14ac:dyDescent="0.5">
      <c r="A2478" s="54">
        <v>2477</v>
      </c>
      <c r="B2478" s="90" t="s">
        <v>665</v>
      </c>
      <c r="C2478" t="s">
        <v>314</v>
      </c>
      <c r="D2478" s="1"/>
      <c r="E2478" s="112">
        <v>2003.05</v>
      </c>
      <c r="F2478" s="112">
        <v>2020.11</v>
      </c>
      <c r="G2478" s="107" t="s">
        <v>670</v>
      </c>
      <c r="H2478">
        <f>INDEX('GIS-Standards'!$A$2:$A$305,MATCH(B2478,'GIS-Standards'!$B$2:$B$305,0))</f>
        <v>114</v>
      </c>
      <c r="I2478">
        <f>INDEX('GIS-Standards'!$A$2:$A$305,MATCH(C2478,'GIS-Standards'!$B$2:$B$305,0))</f>
        <v>22</v>
      </c>
      <c r="J2478" t="str">
        <f>INDEX('GIS-Standards'!$O$2:$O$305,MATCH(B2478,'GIS-Standards'!$B$2:$B$305,0))</f>
        <v>ISO/TC 268/SC 1</v>
      </c>
      <c r="K2478" t="str">
        <f>INDEX('GIS-Standards'!$O$2:$O$305,MATCH(C2478,'GIS-Standards'!$B$2:$B$305,0))</f>
        <v>ISO/TC 211</v>
      </c>
      <c r="M2478" t="s">
        <v>525</v>
      </c>
      <c r="N2478">
        <f>INDEX('GIS-Standards'!$I$2:$I$305,MATCH(B2478,'GIS-Standards'!$B$2:$B$305,0))</f>
        <v>0</v>
      </c>
      <c r="O2478" t="str">
        <f>INDEX('GIS-Standards'!$I$2:$I$305,MATCH(C2478,'GIS-Standards'!$B$2:$B$305,0))</f>
        <v>12.2020</v>
      </c>
      <c r="P2478" t="b">
        <f>AND(TableRelationships12[[#This Row],[Source Type]]="BIM",TableRelationships12[[#This Row],[Target Type]]="BIM")</f>
        <v>0</v>
      </c>
      <c r="Q2478">
        <f t="shared" si="114"/>
        <v>1</v>
      </c>
      <c r="S2478">
        <f t="shared" si="115"/>
        <v>1</v>
      </c>
      <c r="T2478" s="102" t="str">
        <f>IF(TableRelationships12[[#This Row],[Rank Pedro]]="Low","linkCategory1",IF(TableRelationships12[[#This Row],[Rank Pedro]]="Medium","linkCategory2",IF(TableRelationships12[[#This Row],[Rank Pedro]]="High","linkCategory3","")))</f>
        <v/>
      </c>
      <c r="U2478" s="102" t="str">
        <f>IF(TableRelationships12[[#This Row],[Rank Pedro]]="Low","Pink",IF(TableRelationships12[[#This Row],[Rank Pedro]]="Medium","Purple",IF(TableRelationships12[[#This Row],[Rank Pedro]]="High","Brown","")))</f>
        <v/>
      </c>
      <c r="V2478" s="4" t="e">
        <f>MAX(INDEX(Standards!$F$2:$F$296,MATCH(B2478,Standards!$B$2:$B$296,0)),INDEX(Standards!$F$2:$F$296,MATCH(C2478,Standards!$B$2:$B$296,0)))</f>
        <v>#N/A</v>
      </c>
      <c r="W2478" t="str">
        <f t="shared" si="116"/>
        <v>#2f89d1</v>
      </c>
    </row>
    <row r="2479" spans="1:23" x14ac:dyDescent="0.5">
      <c r="A2479" s="54">
        <v>2478</v>
      </c>
      <c r="B2479" s="90" t="s">
        <v>665</v>
      </c>
      <c r="C2479" t="s">
        <v>326</v>
      </c>
      <c r="D2479" s="1"/>
      <c r="E2479" s="112">
        <v>2005.12</v>
      </c>
      <c r="F2479" s="112">
        <v>2005.12</v>
      </c>
      <c r="G2479" s="107" t="s">
        <v>670</v>
      </c>
      <c r="H2479">
        <f>INDEX('GIS-Standards'!$A$2:$A$305,MATCH(B2479,'GIS-Standards'!$B$2:$B$305,0))</f>
        <v>114</v>
      </c>
      <c r="I2479">
        <f>INDEX('GIS-Standards'!$A$2:$A$305,MATCH(C2479,'GIS-Standards'!$B$2:$B$305,0))</f>
        <v>35</v>
      </c>
      <c r="J2479" t="str">
        <f>INDEX('GIS-Standards'!$O$2:$O$305,MATCH(B2479,'GIS-Standards'!$B$2:$B$305,0))</f>
        <v>ISO/TC 268/SC 1</v>
      </c>
      <c r="K2479" t="str">
        <f>INDEX('GIS-Standards'!$O$2:$O$305,MATCH(C2479,'GIS-Standards'!$B$2:$B$305,0))</f>
        <v>ISO/TC 211</v>
      </c>
      <c r="M2479" t="s">
        <v>525</v>
      </c>
      <c r="N2479">
        <f>INDEX('GIS-Standards'!$I$2:$I$305,MATCH(B2479,'GIS-Standards'!$B$2:$B$305,0))</f>
        <v>0</v>
      </c>
      <c r="O2479">
        <f>INDEX('GIS-Standards'!$I$2:$I$305,MATCH(C2479,'GIS-Standards'!$B$2:$B$305,0))</f>
        <v>0</v>
      </c>
      <c r="P2479" t="b">
        <f>AND(TableRelationships12[[#This Row],[Source Type]]="BIM",TableRelationships12[[#This Row],[Target Type]]="BIM")</f>
        <v>0</v>
      </c>
      <c r="Q2479">
        <f t="shared" si="114"/>
        <v>1</v>
      </c>
      <c r="S2479">
        <f t="shared" si="115"/>
        <v>1</v>
      </c>
      <c r="T2479" s="102" t="str">
        <f>IF(TableRelationships12[[#This Row],[Rank Pedro]]="Low","linkCategory1",IF(TableRelationships12[[#This Row],[Rank Pedro]]="Medium","linkCategory2",IF(TableRelationships12[[#This Row],[Rank Pedro]]="High","linkCategory3","")))</f>
        <v/>
      </c>
      <c r="U2479" s="102" t="str">
        <f>IF(TableRelationships12[[#This Row],[Rank Pedro]]="Low","Pink",IF(TableRelationships12[[#This Row],[Rank Pedro]]="Medium","Purple",IF(TableRelationships12[[#This Row],[Rank Pedro]]="High","Brown","")))</f>
        <v/>
      </c>
      <c r="V2479" s="4" t="e">
        <f>MAX(INDEX(Standards!$F$2:$F$296,MATCH(B2479,Standards!$B$2:$B$296,0)),INDEX(Standards!$F$2:$F$296,MATCH(C2479,Standards!$B$2:$B$296,0)))</f>
        <v>#N/A</v>
      </c>
      <c r="W2479" t="str">
        <f t="shared" si="116"/>
        <v>#2f89d1</v>
      </c>
    </row>
    <row r="2480" spans="1:23" x14ac:dyDescent="0.5">
      <c r="A2480" s="54">
        <v>2479</v>
      </c>
      <c r="B2480" s="90" t="s">
        <v>665</v>
      </c>
      <c r="C2480" t="s">
        <v>340</v>
      </c>
      <c r="D2480" s="1"/>
      <c r="E2480" s="112">
        <v>2010.12</v>
      </c>
      <c r="F2480" s="112">
        <v>2010.12</v>
      </c>
      <c r="G2480" s="107" t="s">
        <v>670</v>
      </c>
      <c r="H2480">
        <f>INDEX('GIS-Standards'!$A$2:$A$305,MATCH(B2480,'GIS-Standards'!$B$2:$B$305,0))</f>
        <v>114</v>
      </c>
      <c r="I2480">
        <f>INDEX('GIS-Standards'!$A$2:$A$305,MATCH(C2480,'GIS-Standards'!$B$2:$B$305,0))</f>
        <v>46</v>
      </c>
      <c r="J2480" t="str">
        <f>INDEX('GIS-Standards'!$O$2:$O$305,MATCH(B2480,'GIS-Standards'!$B$2:$B$305,0))</f>
        <v>ISO/TC 268/SC 1</v>
      </c>
      <c r="K2480" t="str">
        <f>INDEX('GIS-Standards'!$O$2:$O$305,MATCH(C2480,'GIS-Standards'!$B$2:$B$305,0))</f>
        <v>ISO/TC 211</v>
      </c>
      <c r="M2480" t="s">
        <v>525</v>
      </c>
      <c r="N2480">
        <f>INDEX('GIS-Standards'!$I$2:$I$305,MATCH(B2480,'GIS-Standards'!$B$2:$B$305,0))</f>
        <v>0</v>
      </c>
      <c r="O2480">
        <f>INDEX('GIS-Standards'!$I$2:$I$305,MATCH(C2480,'GIS-Standards'!$B$2:$B$305,0))</f>
        <v>0</v>
      </c>
      <c r="P2480" t="b">
        <f>AND(TableRelationships12[[#This Row],[Source Type]]="BIM",TableRelationships12[[#This Row],[Target Type]]="BIM")</f>
        <v>0</v>
      </c>
      <c r="Q2480">
        <f t="shared" si="114"/>
        <v>1</v>
      </c>
      <c r="S2480">
        <f t="shared" si="115"/>
        <v>1</v>
      </c>
      <c r="T2480" s="102" t="str">
        <f>IF(TableRelationships12[[#This Row],[Rank Pedro]]="Low","linkCategory1",IF(TableRelationships12[[#This Row],[Rank Pedro]]="Medium","linkCategory2",IF(TableRelationships12[[#This Row],[Rank Pedro]]="High","linkCategory3","")))</f>
        <v/>
      </c>
      <c r="U2480" s="102" t="str">
        <f>IF(TableRelationships12[[#This Row],[Rank Pedro]]="Low","Pink",IF(TableRelationships12[[#This Row],[Rank Pedro]]="Medium","Purple",IF(TableRelationships12[[#This Row],[Rank Pedro]]="High","Brown","")))</f>
        <v/>
      </c>
      <c r="V2480" s="4" t="e">
        <f>MAX(INDEX(Standards!$F$2:$F$296,MATCH(B2480,Standards!$B$2:$B$296,0)),INDEX(Standards!$F$2:$F$296,MATCH(C2480,Standards!$B$2:$B$296,0)))</f>
        <v>#N/A</v>
      </c>
      <c r="W2480" t="str">
        <f t="shared" si="116"/>
        <v>#2f89d1</v>
      </c>
    </row>
    <row r="2481" spans="1:23" x14ac:dyDescent="0.5">
      <c r="A2481" s="54">
        <v>2480</v>
      </c>
      <c r="B2481" s="90" t="s">
        <v>665</v>
      </c>
      <c r="C2481" t="s">
        <v>348</v>
      </c>
      <c r="D2481" s="1" t="s">
        <v>640</v>
      </c>
      <c r="E2481" s="113">
        <v>2013.12</v>
      </c>
      <c r="F2481" s="113">
        <v>2023.04</v>
      </c>
      <c r="G2481" s="107" t="s">
        <v>670</v>
      </c>
      <c r="H2481">
        <f>INDEX('GIS-Standards'!$A$2:$A$305,MATCH(B2481,'GIS-Standards'!$B$2:$B$305,0))</f>
        <v>114</v>
      </c>
      <c r="I2481">
        <f>INDEX('GIS-Standards'!$A$2:$A$305,MATCH(C2481,'GIS-Standards'!$B$2:$B$305,0))</f>
        <v>66</v>
      </c>
      <c r="J2481" t="str">
        <f>INDEX('GIS-Standards'!$O$2:$O$305,MATCH(B2481,'GIS-Standards'!$B$2:$B$305,0))</f>
        <v>ISO/TC 268/SC 1</v>
      </c>
      <c r="K2481" t="str">
        <f>INDEX('GIS-Standards'!$O$2:$O$305,MATCH(C2481,'GIS-Standards'!$B$2:$B$305,0))</f>
        <v>ISO/TC 211</v>
      </c>
      <c r="M2481" t="s">
        <v>525</v>
      </c>
      <c r="N2481">
        <f>INDEX('GIS-Standards'!$I$2:$I$305,MATCH(B2481,'GIS-Standards'!$B$2:$B$305,0))</f>
        <v>0</v>
      </c>
      <c r="O2481">
        <f>INDEX('GIS-Standards'!$I$2:$I$305,MATCH(C2481,'GIS-Standards'!$B$2:$B$305,0))</f>
        <v>0</v>
      </c>
      <c r="P2481" t="b">
        <f>AND(TableRelationships12[[#This Row],[Source Type]]="BIM",TableRelationships12[[#This Row],[Target Type]]="BIM")</f>
        <v>0</v>
      </c>
      <c r="Q2481">
        <f t="shared" si="114"/>
        <v>1</v>
      </c>
      <c r="S2481">
        <f t="shared" si="115"/>
        <v>1</v>
      </c>
      <c r="T2481" s="102" t="str">
        <f>IF(TableRelationships12[[#This Row],[Rank Pedro]]="Low","linkCategory1",IF(TableRelationships12[[#This Row],[Rank Pedro]]="Medium","linkCategory2",IF(TableRelationships12[[#This Row],[Rank Pedro]]="High","linkCategory3","")))</f>
        <v/>
      </c>
      <c r="U2481" s="102" t="str">
        <f>IF(TableRelationships12[[#This Row],[Rank Pedro]]="Low","Pink",IF(TableRelationships12[[#This Row],[Rank Pedro]]="Medium","Purple",IF(TableRelationships12[[#This Row],[Rank Pedro]]="High","Brown","")))</f>
        <v/>
      </c>
      <c r="V2481" s="4" t="e">
        <f>MAX(INDEX(Standards!$F$2:$F$296,MATCH(B2481,Standards!$B$2:$B$296,0)),INDEX(Standards!$F$2:$F$296,MATCH(C2481,Standards!$B$2:$B$296,0)))</f>
        <v>#N/A</v>
      </c>
      <c r="W2481" t="str">
        <f t="shared" si="116"/>
        <v>#2f89d1</v>
      </c>
    </row>
    <row r="2482" spans="1:23" x14ac:dyDescent="0.5">
      <c r="A2482" s="54">
        <v>2481</v>
      </c>
      <c r="B2482" s="90" t="s">
        <v>665</v>
      </c>
      <c r="C2482" t="s">
        <v>350</v>
      </c>
      <c r="D2482" s="1"/>
      <c r="E2482" s="112">
        <v>2020.09</v>
      </c>
      <c r="F2482" s="112">
        <v>2025.01</v>
      </c>
      <c r="G2482" s="107" t="s">
        <v>670</v>
      </c>
      <c r="H2482">
        <f>INDEX('GIS-Standards'!$A$2:$A$305,MATCH(B2482,'GIS-Standards'!$B$2:$B$305,0))</f>
        <v>114</v>
      </c>
      <c r="I2482">
        <f>INDEX('GIS-Standards'!$A$2:$A$305,MATCH(C2482,'GIS-Standards'!$B$2:$B$305,0))</f>
        <v>72</v>
      </c>
      <c r="J2482" t="str">
        <f>INDEX('GIS-Standards'!$O$2:$O$305,MATCH(B2482,'GIS-Standards'!$B$2:$B$305,0))</f>
        <v>ISO/TC 268/SC 1</v>
      </c>
      <c r="K2482" t="str">
        <f>INDEX('GIS-Standards'!$O$2:$O$305,MATCH(C2482,'GIS-Standards'!$B$2:$B$305,0))</f>
        <v>ISO/TC 211</v>
      </c>
      <c r="M2482" t="s">
        <v>525</v>
      </c>
      <c r="N2482">
        <f>INDEX('GIS-Standards'!$I$2:$I$305,MATCH(B2482,'GIS-Standards'!$B$2:$B$305,0))</f>
        <v>0</v>
      </c>
      <c r="O2482">
        <f>INDEX('GIS-Standards'!$I$2:$I$305,MATCH(C2482,'GIS-Standards'!$B$2:$B$305,0))</f>
        <v>0</v>
      </c>
      <c r="P2482" t="b">
        <f>AND(TableRelationships12[[#This Row],[Source Type]]="BIM",TableRelationships12[[#This Row],[Target Type]]="BIM")</f>
        <v>0</v>
      </c>
      <c r="Q2482">
        <f t="shared" si="114"/>
        <v>1</v>
      </c>
      <c r="S2482">
        <f t="shared" si="115"/>
        <v>1</v>
      </c>
      <c r="T2482" s="102" t="str">
        <f>IF(TableRelationships12[[#This Row],[Rank Pedro]]="Low","linkCategory1",IF(TableRelationships12[[#This Row],[Rank Pedro]]="Medium","linkCategory2",IF(TableRelationships12[[#This Row],[Rank Pedro]]="High","linkCategory3","")))</f>
        <v/>
      </c>
      <c r="U2482" s="102" t="str">
        <f>IF(TableRelationships12[[#This Row],[Rank Pedro]]="Low","Pink",IF(TableRelationships12[[#This Row],[Rank Pedro]]="Medium","Purple",IF(TableRelationships12[[#This Row],[Rank Pedro]]="High","Brown","")))</f>
        <v/>
      </c>
      <c r="V2482" s="4" t="e">
        <f>MAX(INDEX(Standards!$F$2:$F$296,MATCH(B2482,Standards!$B$2:$B$296,0)),INDEX(Standards!$F$2:$F$296,MATCH(C2482,Standards!$B$2:$B$296,0)))</f>
        <v>#N/A</v>
      </c>
      <c r="W2482" t="str">
        <f t="shared" si="116"/>
        <v>#2f89d1</v>
      </c>
    </row>
    <row r="2483" spans="1:23" x14ac:dyDescent="0.5">
      <c r="A2483" s="54">
        <v>2482</v>
      </c>
      <c r="B2483" s="90" t="s">
        <v>665</v>
      </c>
      <c r="C2483" t="s">
        <v>1379</v>
      </c>
      <c r="D2483" s="1" t="s">
        <v>1676</v>
      </c>
      <c r="E2483" s="112">
        <v>2016.12</v>
      </c>
      <c r="F2483" s="112">
        <v>2016.12</v>
      </c>
      <c r="G2483" s="107" t="s">
        <v>673</v>
      </c>
      <c r="H2483">
        <f>INDEX('GIS-Standards'!$A$2:$A$305,MATCH(B2483,'GIS-Standards'!$B$2:$B$305,0))</f>
        <v>114</v>
      </c>
      <c r="I2483" t="e">
        <f>INDEX('GIS-Standards'!$A$2:$A$305,MATCH(C2483,'GIS-Standards'!$B$2:$B$305,0))</f>
        <v>#N/A</v>
      </c>
      <c r="J2483" t="str">
        <f>INDEX('GIS-Standards'!$O$2:$O$305,MATCH(B2483,'GIS-Standards'!$B$2:$B$305,0))</f>
        <v>ISO/TC 268/SC 1</v>
      </c>
      <c r="K2483" t="e">
        <f>INDEX('GIS-Standards'!$O$2:$O$305,MATCH(C2483,'GIS-Standards'!$B$2:$B$305,0))</f>
        <v>#N/A</v>
      </c>
      <c r="M2483" t="s">
        <v>525</v>
      </c>
      <c r="N2483">
        <f>INDEX('GIS-Standards'!$I$2:$I$305,MATCH(B2483,'GIS-Standards'!$B$2:$B$305,0))</f>
        <v>0</v>
      </c>
      <c r="O2483" t="e">
        <f>INDEX('GIS-Standards'!$I$2:$I$305,MATCH(C2483,'GIS-Standards'!$B$2:$B$305,0))</f>
        <v>#N/A</v>
      </c>
      <c r="P2483" t="e">
        <f>AND(TableRelationships12[[#This Row],[Source Type]]="BIM",TableRelationships12[[#This Row],[Target Type]]="BIM")</f>
        <v>#N/A</v>
      </c>
      <c r="Q2483">
        <f t="shared" si="114"/>
        <v>1</v>
      </c>
      <c r="S2483">
        <f t="shared" si="115"/>
        <v>1</v>
      </c>
      <c r="T2483" s="102" t="str">
        <f>IF(TableRelationships12[[#This Row],[Rank Pedro]]="Low","linkCategory1",IF(TableRelationships12[[#This Row],[Rank Pedro]]="Medium","linkCategory2",IF(TableRelationships12[[#This Row],[Rank Pedro]]="High","linkCategory3","")))</f>
        <v/>
      </c>
      <c r="U2483" s="102" t="str">
        <f>IF(TableRelationships12[[#This Row],[Rank Pedro]]="Low","Pink",IF(TableRelationships12[[#This Row],[Rank Pedro]]="Medium","Purple",IF(TableRelationships12[[#This Row],[Rank Pedro]]="High","Brown","")))</f>
        <v/>
      </c>
      <c r="V2483" s="4" t="e">
        <f>MAX(INDEX(Standards!$F$2:$F$296,MATCH(B2483,Standards!$B$2:$B$296,0)),INDEX(Standards!$F$2:$F$296,MATCH(C2483,Standards!$B$2:$B$296,0)))</f>
        <v>#N/A</v>
      </c>
      <c r="W2483" t="str">
        <f t="shared" si="116"/>
        <v>#2f89d1</v>
      </c>
    </row>
    <row r="2484" spans="1:23" x14ac:dyDescent="0.5">
      <c r="A2484" s="54">
        <v>2483</v>
      </c>
      <c r="B2484" s="90" t="s">
        <v>665</v>
      </c>
      <c r="C2484" t="s">
        <v>1380</v>
      </c>
      <c r="D2484" s="1"/>
      <c r="E2484" s="112">
        <v>2020.02</v>
      </c>
      <c r="F2484" s="112">
        <v>2020.02</v>
      </c>
      <c r="G2484" s="107" t="s">
        <v>673</v>
      </c>
      <c r="H2484">
        <f>INDEX('GIS-Standards'!$A$2:$A$305,MATCH(B2484,'GIS-Standards'!$B$2:$B$305,0))</f>
        <v>114</v>
      </c>
      <c r="I2484" t="e">
        <f>INDEX('GIS-Standards'!$A$2:$A$305,MATCH(C2484,'GIS-Standards'!$B$2:$B$305,0))</f>
        <v>#N/A</v>
      </c>
      <c r="J2484" t="str">
        <f>INDEX('GIS-Standards'!$O$2:$O$305,MATCH(B2484,'GIS-Standards'!$B$2:$B$305,0))</f>
        <v>ISO/TC 268/SC 1</v>
      </c>
      <c r="K2484" t="e">
        <f>INDEX('GIS-Standards'!$O$2:$O$305,MATCH(C2484,'GIS-Standards'!$B$2:$B$305,0))</f>
        <v>#N/A</v>
      </c>
      <c r="M2484" t="s">
        <v>525</v>
      </c>
      <c r="N2484">
        <f>INDEX('GIS-Standards'!$I$2:$I$305,MATCH(B2484,'GIS-Standards'!$B$2:$B$305,0))</f>
        <v>0</v>
      </c>
      <c r="O2484" t="e">
        <f>INDEX('GIS-Standards'!$I$2:$I$305,MATCH(C2484,'GIS-Standards'!$B$2:$B$305,0))</f>
        <v>#N/A</v>
      </c>
      <c r="P2484" t="e">
        <f>AND(TableRelationships12[[#This Row],[Source Type]]="BIM",TableRelationships12[[#This Row],[Target Type]]="BIM")</f>
        <v>#N/A</v>
      </c>
      <c r="Q2484">
        <f t="shared" si="114"/>
        <v>1</v>
      </c>
      <c r="S2484">
        <f t="shared" si="115"/>
        <v>1</v>
      </c>
      <c r="T2484" s="102" t="str">
        <f>IF(TableRelationships12[[#This Row],[Rank Pedro]]="Low","linkCategory1",IF(TableRelationships12[[#This Row],[Rank Pedro]]="Medium","linkCategory2",IF(TableRelationships12[[#This Row],[Rank Pedro]]="High","linkCategory3","")))</f>
        <v/>
      </c>
      <c r="U2484" s="102" t="str">
        <f>IF(TableRelationships12[[#This Row],[Rank Pedro]]="Low","Pink",IF(TableRelationships12[[#This Row],[Rank Pedro]]="Medium","Purple",IF(TableRelationships12[[#This Row],[Rank Pedro]]="High","Brown","")))</f>
        <v/>
      </c>
      <c r="V2484" s="4" t="e">
        <f>MAX(INDEX(Standards!$F$2:$F$296,MATCH(B2484,Standards!$B$2:$B$296,0)),INDEX(Standards!$F$2:$F$296,MATCH(C2484,Standards!$B$2:$B$296,0)))</f>
        <v>#N/A</v>
      </c>
      <c r="W2484" t="str">
        <f t="shared" si="116"/>
        <v>#2f89d1</v>
      </c>
    </row>
    <row r="2485" spans="1:23" x14ac:dyDescent="0.5">
      <c r="A2485" s="54">
        <v>2484</v>
      </c>
      <c r="B2485" s="90" t="s">
        <v>665</v>
      </c>
      <c r="C2485" t="s">
        <v>1381</v>
      </c>
      <c r="D2485" s="1"/>
      <c r="E2485" s="112">
        <v>2020.08</v>
      </c>
      <c r="F2485" s="112">
        <v>2020.08</v>
      </c>
      <c r="G2485" s="107" t="s">
        <v>673</v>
      </c>
      <c r="H2485">
        <f>INDEX('GIS-Standards'!$A$2:$A$305,MATCH(B2485,'GIS-Standards'!$B$2:$B$305,0))</f>
        <v>114</v>
      </c>
      <c r="I2485" t="e">
        <f>INDEX('GIS-Standards'!$A$2:$A$305,MATCH(C2485,'GIS-Standards'!$B$2:$B$305,0))</f>
        <v>#N/A</v>
      </c>
      <c r="J2485" t="str">
        <f>INDEX('GIS-Standards'!$O$2:$O$305,MATCH(B2485,'GIS-Standards'!$B$2:$B$305,0))</f>
        <v>ISO/TC 268/SC 1</v>
      </c>
      <c r="K2485" t="e">
        <f>INDEX('GIS-Standards'!$O$2:$O$305,MATCH(C2485,'GIS-Standards'!$B$2:$B$305,0))</f>
        <v>#N/A</v>
      </c>
      <c r="M2485" t="s">
        <v>525</v>
      </c>
      <c r="N2485">
        <f>INDEX('GIS-Standards'!$I$2:$I$305,MATCH(B2485,'GIS-Standards'!$B$2:$B$305,0))</f>
        <v>0</v>
      </c>
      <c r="O2485" t="e">
        <f>INDEX('GIS-Standards'!$I$2:$I$305,MATCH(C2485,'GIS-Standards'!$B$2:$B$305,0))</f>
        <v>#N/A</v>
      </c>
      <c r="P2485" t="e">
        <f>AND(TableRelationships12[[#This Row],[Source Type]]="BIM",TableRelationships12[[#This Row],[Target Type]]="BIM")</f>
        <v>#N/A</v>
      </c>
      <c r="Q2485">
        <f t="shared" si="114"/>
        <v>1</v>
      </c>
      <c r="S2485">
        <f t="shared" si="115"/>
        <v>1</v>
      </c>
      <c r="T2485" s="102" t="str">
        <f>IF(TableRelationships12[[#This Row],[Rank Pedro]]="Low","linkCategory1",IF(TableRelationships12[[#This Row],[Rank Pedro]]="Medium","linkCategory2",IF(TableRelationships12[[#This Row],[Rank Pedro]]="High","linkCategory3","")))</f>
        <v/>
      </c>
      <c r="U2485" s="102" t="str">
        <f>IF(TableRelationships12[[#This Row],[Rank Pedro]]="Low","Pink",IF(TableRelationships12[[#This Row],[Rank Pedro]]="Medium","Purple",IF(TableRelationships12[[#This Row],[Rank Pedro]]="High","Brown","")))</f>
        <v/>
      </c>
      <c r="V2485" s="4" t="e">
        <f>MAX(INDEX(Standards!$F$2:$F$296,MATCH(B2485,Standards!$B$2:$B$296,0)),INDEX(Standards!$F$2:$F$296,MATCH(C2485,Standards!$B$2:$B$296,0)))</f>
        <v>#N/A</v>
      </c>
      <c r="W2485" t="str">
        <f t="shared" si="116"/>
        <v>#2f89d1</v>
      </c>
    </row>
    <row r="2486" spans="1:23" x14ac:dyDescent="0.5">
      <c r="A2486" s="54">
        <v>2485</v>
      </c>
      <c r="B2486" s="90" t="s">
        <v>665</v>
      </c>
      <c r="C2486" t="s">
        <v>1647</v>
      </c>
      <c r="D2486" s="1"/>
      <c r="G2486" s="107"/>
      <c r="H2486">
        <f>INDEX('GIS-Standards'!$A$2:$A$305,MATCH(B2486,'GIS-Standards'!$B$2:$B$305,0))</f>
        <v>114</v>
      </c>
      <c r="I2486" t="e">
        <f>INDEX('GIS-Standards'!$A$2:$A$305,MATCH(C2486,'GIS-Standards'!$B$2:$B$305,0))</f>
        <v>#N/A</v>
      </c>
      <c r="J2486" t="str">
        <f>INDEX('GIS-Standards'!$O$2:$O$305,MATCH(B2486,'GIS-Standards'!$B$2:$B$305,0))</f>
        <v>ISO/TC 268/SC 1</v>
      </c>
      <c r="K2486" t="e">
        <f>INDEX('GIS-Standards'!$O$2:$O$305,MATCH(C2486,'GIS-Standards'!$B$2:$B$305,0))</f>
        <v>#N/A</v>
      </c>
      <c r="M2486" t="s">
        <v>525</v>
      </c>
      <c r="N2486">
        <f>INDEX('GIS-Standards'!$I$2:$I$305,MATCH(B2486,'GIS-Standards'!$B$2:$B$305,0))</f>
        <v>0</v>
      </c>
      <c r="O2486" t="e">
        <f>INDEX('GIS-Standards'!$I$2:$I$305,MATCH(C2486,'GIS-Standards'!$B$2:$B$305,0))</f>
        <v>#N/A</v>
      </c>
      <c r="P2486" t="e">
        <f>AND(TableRelationships12[[#This Row],[Source Type]]="BIM",TableRelationships12[[#This Row],[Target Type]]="BIM")</f>
        <v>#N/A</v>
      </c>
      <c r="Q2486">
        <f t="shared" si="114"/>
        <v>1</v>
      </c>
      <c r="S2486">
        <f t="shared" si="115"/>
        <v>1</v>
      </c>
      <c r="T2486" s="102" t="str">
        <f>IF(TableRelationships12[[#This Row],[Rank Pedro]]="Low","linkCategory1",IF(TableRelationships12[[#This Row],[Rank Pedro]]="Medium","linkCategory2",IF(TableRelationships12[[#This Row],[Rank Pedro]]="High","linkCategory3","")))</f>
        <v/>
      </c>
      <c r="U2486" s="102" t="str">
        <f>IF(TableRelationships12[[#This Row],[Rank Pedro]]="Low","Pink",IF(TableRelationships12[[#This Row],[Rank Pedro]]="Medium","Purple",IF(TableRelationships12[[#This Row],[Rank Pedro]]="High","Brown","")))</f>
        <v/>
      </c>
      <c r="V2486" s="4" t="e">
        <f>MAX(INDEX(Standards!$F$2:$F$296,MATCH(B2486,Standards!$B$2:$B$296,0)),INDEX(Standards!$F$2:$F$296,MATCH(C2486,Standards!$B$2:$B$296,0)))</f>
        <v>#N/A</v>
      </c>
      <c r="W2486" t="str">
        <f t="shared" si="116"/>
        <v>#2f89d1</v>
      </c>
    </row>
    <row r="2487" spans="1:23" x14ac:dyDescent="0.5">
      <c r="A2487" s="54">
        <v>2486</v>
      </c>
      <c r="B2487" t="s">
        <v>1698</v>
      </c>
      <c r="C2487" t="s">
        <v>527</v>
      </c>
      <c r="D2487" s="1"/>
      <c r="E2487" s="112">
        <v>2025.01</v>
      </c>
      <c r="F2487" s="112">
        <v>2025.01</v>
      </c>
      <c r="G2487" s="121" t="s">
        <v>1865</v>
      </c>
      <c r="H2487">
        <f>INDEX('GIS-Standards'!$A$2:$A$305,MATCH(B2487,'GIS-Standards'!$B$2:$B$305,0))</f>
        <v>115</v>
      </c>
      <c r="I2487" t="e">
        <f>INDEX('GIS-Standards'!$A$2:$A$305,MATCH(C2487,'GIS-Standards'!$B$2:$B$305,0))</f>
        <v>#N/A</v>
      </c>
      <c r="J2487" t="str">
        <f>INDEX('GIS-Standards'!$O$2:$O$305,MATCH(B2487,'GIS-Standards'!$B$2:$B$305,0))</f>
        <v>ISO/TC 10/SC 10</v>
      </c>
      <c r="K2487" t="e">
        <f>INDEX('GIS-Standards'!$O$2:$O$305,MATCH(C2487,'GIS-Standards'!$B$2:$B$305,0))</f>
        <v>#N/A</v>
      </c>
      <c r="M2487" t="s">
        <v>237</v>
      </c>
      <c r="N2487">
        <f>INDEX('GIS-Standards'!$I$2:$I$305,MATCH(B2487,'GIS-Standards'!$B$2:$B$305,0))</f>
        <v>0</v>
      </c>
      <c r="O2487" t="e">
        <f>INDEX('GIS-Standards'!$I$2:$I$305,MATCH(C2487,'GIS-Standards'!$B$2:$B$305,0))</f>
        <v>#N/A</v>
      </c>
      <c r="P2487" t="e">
        <f>AND(TableRelationships12[[#This Row],[Source Type]]="BIM",TableRelationships12[[#This Row],[Target Type]]="BIM")</f>
        <v>#N/A</v>
      </c>
      <c r="Q2487">
        <f t="shared" si="114"/>
        <v>2</v>
      </c>
      <c r="S2487">
        <f t="shared" si="115"/>
        <v>1</v>
      </c>
      <c r="T2487" s="102" t="str">
        <f>IF(TableRelationships12[[#This Row],[Rank Pedro]]="Low","linkCategory1",IF(TableRelationships12[[#This Row],[Rank Pedro]]="Medium","linkCategory2",IF(TableRelationships12[[#This Row],[Rank Pedro]]="High","linkCategory3","")))</f>
        <v/>
      </c>
      <c r="U2487" s="102" t="str">
        <f>IF(TableRelationships12[[#This Row],[Rank Pedro]]="Low","Pink",IF(TableRelationships12[[#This Row],[Rank Pedro]]="Medium","Purple",IF(TableRelationships12[[#This Row],[Rank Pedro]]="High","Brown","")))</f>
        <v/>
      </c>
      <c r="V2487" s="4" t="e">
        <f>MAX(INDEX(Standards!$F$2:$F$296,MATCH(B2487,Standards!$B$2:$B$296,0)),INDEX(Standards!$F$2:$F$296,MATCH(C2487,Standards!$B$2:$B$296,0)))</f>
        <v>#N/A</v>
      </c>
      <c r="W2487">
        <f t="shared" si="116"/>
        <v>1</v>
      </c>
    </row>
    <row r="2488" spans="1:23" x14ac:dyDescent="0.5">
      <c r="A2488" s="54">
        <v>2487</v>
      </c>
      <c r="B2488" t="s">
        <v>1698</v>
      </c>
      <c r="C2488" t="s">
        <v>1763</v>
      </c>
      <c r="D2488" s="1"/>
      <c r="E2488" s="112">
        <v>2009.1</v>
      </c>
      <c r="F2488" s="112">
        <v>2022.05</v>
      </c>
      <c r="G2488" s="107" t="s">
        <v>2031</v>
      </c>
      <c r="H2488">
        <f>INDEX('GIS-Standards'!$A$2:$A$305,MATCH(B2488,'GIS-Standards'!$B$2:$B$305,0))</f>
        <v>115</v>
      </c>
      <c r="I2488" t="e">
        <f>INDEX('GIS-Standards'!$A$2:$A$305,MATCH(C2488,'GIS-Standards'!$B$2:$B$305,0))</f>
        <v>#N/A</v>
      </c>
      <c r="J2488" t="str">
        <f>INDEX('GIS-Standards'!$O$2:$O$305,MATCH(B2488,'GIS-Standards'!$B$2:$B$305,0))</f>
        <v>ISO/TC 10/SC 10</v>
      </c>
      <c r="K2488" t="e">
        <f>INDEX('GIS-Standards'!$O$2:$O$305,MATCH(C2488,'GIS-Standards'!$B$2:$B$305,0))</f>
        <v>#N/A</v>
      </c>
      <c r="M2488" t="s">
        <v>524</v>
      </c>
      <c r="N2488">
        <f>INDEX('GIS-Standards'!$I$2:$I$305,MATCH(B2488,'GIS-Standards'!$B$2:$B$305,0))</f>
        <v>0</v>
      </c>
      <c r="O2488" t="e">
        <f>INDEX('GIS-Standards'!$I$2:$I$305,MATCH(C2488,'GIS-Standards'!$B$2:$B$305,0))</f>
        <v>#N/A</v>
      </c>
      <c r="P2488" t="e">
        <f>AND(TableRelationships12[[#This Row],[Source Type]]="BIM",TableRelationships12[[#This Row],[Target Type]]="BIM")</f>
        <v>#N/A</v>
      </c>
      <c r="Q2488">
        <f t="shared" si="114"/>
        <v>6</v>
      </c>
      <c r="S2488">
        <f t="shared" si="115"/>
        <v>1</v>
      </c>
      <c r="T2488" s="102" t="str">
        <f>IF(TableRelationships12[[#This Row],[Rank Pedro]]="Low","linkCategory1",IF(TableRelationships12[[#This Row],[Rank Pedro]]="Medium","linkCategory2",IF(TableRelationships12[[#This Row],[Rank Pedro]]="High","linkCategory3","")))</f>
        <v/>
      </c>
      <c r="U2488" s="102" t="str">
        <f>IF(TableRelationships12[[#This Row],[Rank Pedro]]="Low","Pink",IF(TableRelationships12[[#This Row],[Rank Pedro]]="Medium","Purple",IF(TableRelationships12[[#This Row],[Rank Pedro]]="High","Brown","")))</f>
        <v/>
      </c>
      <c r="V2488" s="4" t="e">
        <f>MAX(INDEX(Standards!$F$2:$F$296,MATCH(B2488,Standards!$B$2:$B$296,0)),INDEX(Standards!$F$2:$F$296,MATCH(C2488,Standards!$B$2:$B$296,0)))</f>
        <v>#N/A</v>
      </c>
      <c r="W2488" t="str">
        <f t="shared" si="116"/>
        <v>#d6bf2a</v>
      </c>
    </row>
    <row r="2489" spans="1:23" x14ac:dyDescent="0.5">
      <c r="A2489" s="54">
        <v>2488</v>
      </c>
      <c r="B2489" t="s">
        <v>1698</v>
      </c>
      <c r="C2489" t="s">
        <v>1771</v>
      </c>
      <c r="D2489" s="1" t="s">
        <v>1676</v>
      </c>
      <c r="E2489" s="112">
        <v>2009.1</v>
      </c>
      <c r="F2489" s="112">
        <v>2019.08</v>
      </c>
      <c r="G2489" s="107" t="s">
        <v>2031</v>
      </c>
      <c r="H2489">
        <f>INDEX('GIS-Standards'!$A$2:$A$305,MATCH(B2489,'GIS-Standards'!$B$2:$B$305,0))</f>
        <v>115</v>
      </c>
      <c r="I2489" t="e">
        <f>INDEX('GIS-Standards'!$A$2:$A$305,MATCH(C2489,'GIS-Standards'!$B$2:$B$305,0))</f>
        <v>#N/A</v>
      </c>
      <c r="J2489" t="str">
        <f>INDEX('GIS-Standards'!$O$2:$O$305,MATCH(B2489,'GIS-Standards'!$B$2:$B$305,0))</f>
        <v>ISO/TC 10/SC 10</v>
      </c>
      <c r="K2489" t="e">
        <f>INDEX('GIS-Standards'!$O$2:$O$305,MATCH(C2489,'GIS-Standards'!$B$2:$B$305,0))</f>
        <v>#N/A</v>
      </c>
      <c r="M2489" t="s">
        <v>524</v>
      </c>
      <c r="N2489">
        <f>INDEX('GIS-Standards'!$I$2:$I$305,MATCH(B2489,'GIS-Standards'!$B$2:$B$305,0))</f>
        <v>0</v>
      </c>
      <c r="O2489" t="e">
        <f>INDEX('GIS-Standards'!$I$2:$I$305,MATCH(C2489,'GIS-Standards'!$B$2:$B$305,0))</f>
        <v>#N/A</v>
      </c>
      <c r="P2489" t="e">
        <f>AND(TableRelationships12[[#This Row],[Source Type]]="BIM",TableRelationships12[[#This Row],[Target Type]]="BIM")</f>
        <v>#N/A</v>
      </c>
      <c r="Q2489">
        <f t="shared" si="114"/>
        <v>6</v>
      </c>
      <c r="S2489">
        <f t="shared" si="115"/>
        <v>1</v>
      </c>
      <c r="T2489" s="102" t="str">
        <f>IF(TableRelationships12[[#This Row],[Rank Pedro]]="Low","linkCategory1",IF(TableRelationships12[[#This Row],[Rank Pedro]]="Medium","linkCategory2",IF(TableRelationships12[[#This Row],[Rank Pedro]]="High","linkCategory3","")))</f>
        <v/>
      </c>
      <c r="U2489" s="102" t="str">
        <f>IF(TableRelationships12[[#This Row],[Rank Pedro]]="Low","Pink",IF(TableRelationships12[[#This Row],[Rank Pedro]]="Medium","Purple",IF(TableRelationships12[[#This Row],[Rank Pedro]]="High","Brown","")))</f>
        <v/>
      </c>
      <c r="V2489" s="4" t="e">
        <f>MAX(INDEX(Standards!$F$2:$F$296,MATCH(B2489,Standards!$B$2:$B$296,0)),INDEX(Standards!$F$2:$F$296,MATCH(C2489,Standards!$B$2:$B$296,0)))</f>
        <v>#N/A</v>
      </c>
      <c r="W2489" t="str">
        <f t="shared" si="116"/>
        <v>#d6bf2a</v>
      </c>
    </row>
    <row r="2490" spans="1:23" x14ac:dyDescent="0.5">
      <c r="A2490" s="54">
        <v>2489</v>
      </c>
      <c r="B2490" t="s">
        <v>1698</v>
      </c>
      <c r="C2490" t="s">
        <v>1867</v>
      </c>
      <c r="D2490" s="1"/>
      <c r="E2490" s="112">
        <v>1982.12</v>
      </c>
      <c r="F2490" s="112">
        <v>1998.12</v>
      </c>
      <c r="G2490" s="107" t="s">
        <v>2087</v>
      </c>
      <c r="H2490">
        <f>INDEX('GIS-Standards'!$A$2:$A$305,MATCH(B2490,'GIS-Standards'!$B$2:$B$305,0))</f>
        <v>115</v>
      </c>
      <c r="I2490" t="e">
        <f>INDEX('GIS-Standards'!$A$2:$A$305,MATCH(C2490,'GIS-Standards'!$B$2:$B$305,0))</f>
        <v>#N/A</v>
      </c>
      <c r="J2490" t="str">
        <f>INDEX('GIS-Standards'!$O$2:$O$305,MATCH(B2490,'GIS-Standards'!$B$2:$B$305,0))</f>
        <v>ISO/TC 10/SC 10</v>
      </c>
      <c r="K2490" t="e">
        <f>INDEX('GIS-Standards'!$O$2:$O$305,MATCH(C2490,'GIS-Standards'!$B$2:$B$305,0))</f>
        <v>#N/A</v>
      </c>
      <c r="M2490" t="s">
        <v>525</v>
      </c>
      <c r="N2490">
        <f>INDEX('GIS-Standards'!$I$2:$I$305,MATCH(B2490,'GIS-Standards'!$B$2:$B$305,0))</f>
        <v>0</v>
      </c>
      <c r="O2490" t="e">
        <f>INDEX('GIS-Standards'!$I$2:$I$305,MATCH(C2490,'GIS-Standards'!$B$2:$B$305,0))</f>
        <v>#N/A</v>
      </c>
      <c r="P2490" t="e">
        <f>AND(TableRelationships12[[#This Row],[Source Type]]="BIM",TableRelationships12[[#This Row],[Target Type]]="BIM")</f>
        <v>#N/A</v>
      </c>
      <c r="Q2490">
        <f t="shared" si="114"/>
        <v>1</v>
      </c>
      <c r="S2490">
        <f t="shared" si="115"/>
        <v>1</v>
      </c>
      <c r="T2490" s="102" t="str">
        <f>IF(TableRelationships12[[#This Row],[Rank Pedro]]="Low","linkCategory1",IF(TableRelationships12[[#This Row],[Rank Pedro]]="Medium","linkCategory2",IF(TableRelationships12[[#This Row],[Rank Pedro]]="High","linkCategory3","")))</f>
        <v/>
      </c>
      <c r="U2490" s="102" t="str">
        <f>IF(TableRelationships12[[#This Row],[Rank Pedro]]="Low","Pink",IF(TableRelationships12[[#This Row],[Rank Pedro]]="Medium","Purple",IF(TableRelationships12[[#This Row],[Rank Pedro]]="High","Brown","")))</f>
        <v/>
      </c>
      <c r="V2490" s="4" t="e">
        <f>MAX(INDEX(Standards!$F$2:$F$296,MATCH(B2490,Standards!$B$2:$B$296,0)),INDEX(Standards!$F$2:$F$296,MATCH(C2490,Standards!$B$2:$B$296,0)))</f>
        <v>#N/A</v>
      </c>
      <c r="W2490" t="str">
        <f t="shared" si="116"/>
        <v>#2f89d1</v>
      </c>
    </row>
    <row r="2491" spans="1:23" x14ac:dyDescent="0.5">
      <c r="A2491" s="54">
        <v>2490</v>
      </c>
      <c r="B2491" t="s">
        <v>1698</v>
      </c>
      <c r="C2491" t="s">
        <v>210</v>
      </c>
      <c r="D2491" s="1" t="s">
        <v>2060</v>
      </c>
      <c r="E2491" s="112">
        <v>2018.12</v>
      </c>
      <c r="F2491" s="112">
        <v>2018.12</v>
      </c>
      <c r="G2491" s="107" t="s">
        <v>2061</v>
      </c>
      <c r="H2491">
        <f>INDEX('GIS-Standards'!$A$2:$A$305,MATCH(B2491,'GIS-Standards'!$B$2:$B$305,0))</f>
        <v>115</v>
      </c>
      <c r="I2491" t="e">
        <f>INDEX('GIS-Standards'!$A$2:$A$305,MATCH(C2491,'GIS-Standards'!$B$2:$B$305,0))</f>
        <v>#N/A</v>
      </c>
      <c r="J2491" t="str">
        <f>INDEX('GIS-Standards'!$O$2:$O$305,MATCH(B2491,'GIS-Standards'!$B$2:$B$305,0))</f>
        <v>ISO/TC 10/SC 10</v>
      </c>
      <c r="K2491" t="e">
        <f>INDEX('GIS-Standards'!$O$2:$O$305,MATCH(C2491,'GIS-Standards'!$B$2:$B$305,0))</f>
        <v>#N/A</v>
      </c>
      <c r="M2491" t="s">
        <v>525</v>
      </c>
      <c r="N2491">
        <f>INDEX('GIS-Standards'!$I$2:$I$305,MATCH(B2491,'GIS-Standards'!$B$2:$B$305,0))</f>
        <v>0</v>
      </c>
      <c r="O2491" t="e">
        <f>INDEX('GIS-Standards'!$I$2:$I$305,MATCH(C2491,'GIS-Standards'!$B$2:$B$305,0))</f>
        <v>#N/A</v>
      </c>
      <c r="P2491" t="e">
        <f>AND(TableRelationships12[[#This Row],[Source Type]]="BIM",TableRelationships12[[#This Row],[Target Type]]="BIM")</f>
        <v>#N/A</v>
      </c>
      <c r="Q2491">
        <f t="shared" si="114"/>
        <v>1</v>
      </c>
      <c r="S2491">
        <f t="shared" si="115"/>
        <v>1</v>
      </c>
      <c r="T2491" s="102" t="str">
        <f>IF(TableRelationships12[[#This Row],[Rank Pedro]]="Low","linkCategory1",IF(TableRelationships12[[#This Row],[Rank Pedro]]="Medium","linkCategory2",IF(TableRelationships12[[#This Row],[Rank Pedro]]="High","linkCategory3","")))</f>
        <v/>
      </c>
      <c r="U2491" s="102" t="str">
        <f>IF(TableRelationships12[[#This Row],[Rank Pedro]]="Low","Pink",IF(TableRelationships12[[#This Row],[Rank Pedro]]="Medium","Purple",IF(TableRelationships12[[#This Row],[Rank Pedro]]="High","Brown","")))</f>
        <v/>
      </c>
      <c r="V2491" s="4" t="e">
        <f>MAX(INDEX(Standards!$F$2:$F$296,MATCH(B2491,Standards!$B$2:$B$296,0)),INDEX(Standards!$F$2:$F$296,MATCH(C2491,Standards!$B$2:$B$296,0)))</f>
        <v>#N/A</v>
      </c>
      <c r="W2491" t="str">
        <f t="shared" si="116"/>
        <v>#2f89d1</v>
      </c>
    </row>
    <row r="2492" spans="1:23" x14ac:dyDescent="0.5">
      <c r="A2492" s="54">
        <v>2491</v>
      </c>
      <c r="B2492" t="s">
        <v>1698</v>
      </c>
      <c r="C2492" t="s">
        <v>214</v>
      </c>
      <c r="D2492" s="1" t="s">
        <v>2060</v>
      </c>
      <c r="E2492" s="112">
        <v>2018.12</v>
      </c>
      <c r="F2492" s="112">
        <v>2018.12</v>
      </c>
      <c r="G2492" s="107" t="s">
        <v>2061</v>
      </c>
      <c r="H2492">
        <f>INDEX('GIS-Standards'!$A$2:$A$305,MATCH(B2492,'GIS-Standards'!$B$2:$B$305,0))</f>
        <v>115</v>
      </c>
      <c r="I2492" t="e">
        <f>INDEX('GIS-Standards'!$A$2:$A$305,MATCH(C2492,'GIS-Standards'!$B$2:$B$305,0))</f>
        <v>#N/A</v>
      </c>
      <c r="J2492" t="str">
        <f>INDEX('GIS-Standards'!$O$2:$O$305,MATCH(B2492,'GIS-Standards'!$B$2:$B$305,0))</f>
        <v>ISO/TC 10/SC 10</v>
      </c>
      <c r="K2492" t="e">
        <f>INDEX('GIS-Standards'!$O$2:$O$305,MATCH(C2492,'GIS-Standards'!$B$2:$B$305,0))</f>
        <v>#N/A</v>
      </c>
      <c r="M2492" t="s">
        <v>525</v>
      </c>
      <c r="N2492">
        <f>INDEX('GIS-Standards'!$I$2:$I$305,MATCH(B2492,'GIS-Standards'!$B$2:$B$305,0))</f>
        <v>0</v>
      </c>
      <c r="O2492" t="e">
        <f>INDEX('GIS-Standards'!$I$2:$I$305,MATCH(C2492,'GIS-Standards'!$B$2:$B$305,0))</f>
        <v>#N/A</v>
      </c>
      <c r="P2492" t="e">
        <f>AND(TableRelationships12[[#This Row],[Source Type]]="BIM",TableRelationships12[[#This Row],[Target Type]]="BIM")</f>
        <v>#N/A</v>
      </c>
      <c r="Q2492">
        <f t="shared" si="114"/>
        <v>1</v>
      </c>
      <c r="S2492">
        <f t="shared" si="115"/>
        <v>1</v>
      </c>
      <c r="T2492" s="102" t="str">
        <f>IF(TableRelationships12[[#This Row],[Rank Pedro]]="Low","linkCategory1",IF(TableRelationships12[[#This Row],[Rank Pedro]]="Medium","linkCategory2",IF(TableRelationships12[[#This Row],[Rank Pedro]]="High","linkCategory3","")))</f>
        <v/>
      </c>
      <c r="U2492" s="102" t="str">
        <f>IF(TableRelationships12[[#This Row],[Rank Pedro]]="Low","Pink",IF(TableRelationships12[[#This Row],[Rank Pedro]]="Medium","Purple",IF(TableRelationships12[[#This Row],[Rank Pedro]]="High","Brown","")))</f>
        <v/>
      </c>
      <c r="V2492" s="4" t="e">
        <f>MAX(INDEX(Standards!$F$2:$F$296,MATCH(B2492,Standards!$B$2:$B$296,0)),INDEX(Standards!$F$2:$F$296,MATCH(C2492,Standards!$B$2:$B$296,0)))</f>
        <v>#N/A</v>
      </c>
      <c r="W2492" t="str">
        <f t="shared" si="116"/>
        <v>#2f89d1</v>
      </c>
    </row>
    <row r="2493" spans="1:23" x14ac:dyDescent="0.5">
      <c r="A2493" s="54">
        <v>2492</v>
      </c>
      <c r="B2493" t="s">
        <v>1698</v>
      </c>
      <c r="C2493" t="s">
        <v>224</v>
      </c>
      <c r="D2493" s="1" t="s">
        <v>2060</v>
      </c>
      <c r="E2493" s="112">
        <v>2020.07</v>
      </c>
      <c r="F2493" s="112">
        <v>2020.07</v>
      </c>
      <c r="G2493" s="107" t="s">
        <v>2061</v>
      </c>
      <c r="H2493">
        <f>INDEX('GIS-Standards'!$A$2:$A$305,MATCH(B2493,'GIS-Standards'!$B$2:$B$305,0))</f>
        <v>115</v>
      </c>
      <c r="I2493" t="e">
        <f>INDEX('GIS-Standards'!$A$2:$A$305,MATCH(C2493,'GIS-Standards'!$B$2:$B$305,0))</f>
        <v>#N/A</v>
      </c>
      <c r="J2493" t="str">
        <f>INDEX('GIS-Standards'!$O$2:$O$305,MATCH(B2493,'GIS-Standards'!$B$2:$B$305,0))</f>
        <v>ISO/TC 10/SC 10</v>
      </c>
      <c r="K2493" t="e">
        <f>INDEX('GIS-Standards'!$O$2:$O$305,MATCH(C2493,'GIS-Standards'!$B$2:$B$305,0))</f>
        <v>#N/A</v>
      </c>
      <c r="M2493" t="s">
        <v>525</v>
      </c>
      <c r="N2493">
        <f>INDEX('GIS-Standards'!$I$2:$I$305,MATCH(B2493,'GIS-Standards'!$B$2:$B$305,0))</f>
        <v>0</v>
      </c>
      <c r="O2493" t="e">
        <f>INDEX('GIS-Standards'!$I$2:$I$305,MATCH(C2493,'GIS-Standards'!$B$2:$B$305,0))</f>
        <v>#N/A</v>
      </c>
      <c r="P2493" t="e">
        <f>AND(TableRelationships12[[#This Row],[Source Type]]="BIM",TableRelationships12[[#This Row],[Target Type]]="BIM")</f>
        <v>#N/A</v>
      </c>
      <c r="Q2493">
        <f t="shared" si="114"/>
        <v>1</v>
      </c>
      <c r="S2493">
        <f t="shared" si="115"/>
        <v>1</v>
      </c>
      <c r="T2493" s="102" t="str">
        <f>IF(TableRelationships12[[#This Row],[Rank Pedro]]="Low","linkCategory1",IF(TableRelationships12[[#This Row],[Rank Pedro]]="Medium","linkCategory2",IF(TableRelationships12[[#This Row],[Rank Pedro]]="High","linkCategory3","")))</f>
        <v/>
      </c>
      <c r="U2493" s="102" t="str">
        <f>IF(TableRelationships12[[#This Row],[Rank Pedro]]="Low","Pink",IF(TableRelationships12[[#This Row],[Rank Pedro]]="Medium","Purple",IF(TableRelationships12[[#This Row],[Rank Pedro]]="High","Brown","")))</f>
        <v/>
      </c>
      <c r="V2493" s="4" t="e">
        <f>MAX(INDEX(Standards!$F$2:$F$296,MATCH(B2493,Standards!$B$2:$B$296,0)),INDEX(Standards!$F$2:$F$296,MATCH(C2493,Standards!$B$2:$B$296,0)))</f>
        <v>#N/A</v>
      </c>
      <c r="W2493" t="str">
        <f t="shared" si="116"/>
        <v>#2f89d1</v>
      </c>
    </row>
    <row r="2494" spans="1:23" x14ac:dyDescent="0.5">
      <c r="A2494" s="54">
        <v>2493</v>
      </c>
      <c r="B2494" t="s">
        <v>1698</v>
      </c>
      <c r="C2494" t="s">
        <v>228</v>
      </c>
      <c r="D2494" s="1" t="s">
        <v>1774</v>
      </c>
      <c r="E2494" s="112">
        <v>2022.08</v>
      </c>
      <c r="F2494" s="112">
        <v>2022.08</v>
      </c>
      <c r="G2494" s="107" t="s">
        <v>2061</v>
      </c>
      <c r="H2494">
        <f>INDEX('GIS-Standards'!$A$2:$A$305,MATCH(B2494,'GIS-Standards'!$B$2:$B$305,0))</f>
        <v>115</v>
      </c>
      <c r="I2494" t="e">
        <f>INDEX('GIS-Standards'!$A$2:$A$305,MATCH(C2494,'GIS-Standards'!$B$2:$B$305,0))</f>
        <v>#N/A</v>
      </c>
      <c r="J2494" t="str">
        <f>INDEX('GIS-Standards'!$O$2:$O$305,MATCH(B2494,'GIS-Standards'!$B$2:$B$305,0))</f>
        <v>ISO/TC 10/SC 10</v>
      </c>
      <c r="K2494" t="e">
        <f>INDEX('GIS-Standards'!$O$2:$O$305,MATCH(C2494,'GIS-Standards'!$B$2:$B$305,0))</f>
        <v>#N/A</v>
      </c>
      <c r="M2494" t="s">
        <v>525</v>
      </c>
      <c r="N2494">
        <f>INDEX('GIS-Standards'!$I$2:$I$305,MATCH(B2494,'GIS-Standards'!$B$2:$B$305,0))</f>
        <v>0</v>
      </c>
      <c r="O2494" t="e">
        <f>INDEX('GIS-Standards'!$I$2:$I$305,MATCH(C2494,'GIS-Standards'!$B$2:$B$305,0))</f>
        <v>#N/A</v>
      </c>
      <c r="P2494" t="e">
        <f>AND(TableRelationships12[[#This Row],[Source Type]]="BIM",TableRelationships12[[#This Row],[Target Type]]="BIM")</f>
        <v>#N/A</v>
      </c>
      <c r="Q2494">
        <f t="shared" si="114"/>
        <v>1</v>
      </c>
      <c r="S2494">
        <f t="shared" si="115"/>
        <v>1</v>
      </c>
      <c r="T2494" s="102" t="str">
        <f>IF(TableRelationships12[[#This Row],[Rank Pedro]]="Low","linkCategory1",IF(TableRelationships12[[#This Row],[Rank Pedro]]="Medium","linkCategory2",IF(TableRelationships12[[#This Row],[Rank Pedro]]="High","linkCategory3","")))</f>
        <v/>
      </c>
      <c r="U2494" s="102" t="str">
        <f>IF(TableRelationships12[[#This Row],[Rank Pedro]]="Low","Pink",IF(TableRelationships12[[#This Row],[Rank Pedro]]="Medium","Purple",IF(TableRelationships12[[#This Row],[Rank Pedro]]="High","Brown","")))</f>
        <v/>
      </c>
      <c r="V2494" s="4" t="e">
        <f>MAX(INDEX(Standards!$F$2:$F$296,MATCH(B2494,Standards!$B$2:$B$296,0)),INDEX(Standards!$F$2:$F$296,MATCH(C2494,Standards!$B$2:$B$296,0)))</f>
        <v>#N/A</v>
      </c>
      <c r="W2494" t="str">
        <f t="shared" si="116"/>
        <v>#2f89d1</v>
      </c>
    </row>
    <row r="2495" spans="1:23" x14ac:dyDescent="0.5">
      <c r="A2495" s="54">
        <v>2494</v>
      </c>
      <c r="B2495" t="s">
        <v>1698</v>
      </c>
      <c r="C2495" t="s">
        <v>232</v>
      </c>
      <c r="D2495" s="1" t="s">
        <v>1774</v>
      </c>
      <c r="E2495" s="112">
        <v>2020.06</v>
      </c>
      <c r="F2495" s="112">
        <v>2020.06</v>
      </c>
      <c r="G2495" s="107" t="s">
        <v>2061</v>
      </c>
      <c r="H2495">
        <f>INDEX('GIS-Standards'!$A$2:$A$305,MATCH(B2495,'GIS-Standards'!$B$2:$B$305,0))</f>
        <v>115</v>
      </c>
      <c r="I2495" t="e">
        <f>INDEX('GIS-Standards'!$A$2:$A$305,MATCH(C2495,'GIS-Standards'!$B$2:$B$305,0))</f>
        <v>#N/A</v>
      </c>
      <c r="J2495" t="str">
        <f>INDEX('GIS-Standards'!$O$2:$O$305,MATCH(B2495,'GIS-Standards'!$B$2:$B$305,0))</f>
        <v>ISO/TC 10/SC 10</v>
      </c>
      <c r="K2495" t="e">
        <f>INDEX('GIS-Standards'!$O$2:$O$305,MATCH(C2495,'GIS-Standards'!$B$2:$B$305,0))</f>
        <v>#N/A</v>
      </c>
      <c r="M2495" t="s">
        <v>525</v>
      </c>
      <c r="N2495">
        <f>INDEX('GIS-Standards'!$I$2:$I$305,MATCH(B2495,'GIS-Standards'!$B$2:$B$305,0))</f>
        <v>0</v>
      </c>
      <c r="O2495" t="e">
        <f>INDEX('GIS-Standards'!$I$2:$I$305,MATCH(C2495,'GIS-Standards'!$B$2:$B$305,0))</f>
        <v>#N/A</v>
      </c>
      <c r="P2495" t="e">
        <f>AND(TableRelationships12[[#This Row],[Source Type]]="BIM",TableRelationships12[[#This Row],[Target Type]]="BIM")</f>
        <v>#N/A</v>
      </c>
      <c r="Q2495">
        <f t="shared" si="114"/>
        <v>1</v>
      </c>
      <c r="S2495">
        <f t="shared" si="115"/>
        <v>1</v>
      </c>
      <c r="T2495" s="102" t="str">
        <f>IF(TableRelationships12[[#This Row],[Rank Pedro]]="Low","linkCategory1",IF(TableRelationships12[[#This Row],[Rank Pedro]]="Medium","linkCategory2",IF(TableRelationships12[[#This Row],[Rank Pedro]]="High","linkCategory3","")))</f>
        <v/>
      </c>
      <c r="U2495" s="102" t="str">
        <f>IF(TableRelationships12[[#This Row],[Rank Pedro]]="Low","Pink",IF(TableRelationships12[[#This Row],[Rank Pedro]]="Medium","Purple",IF(TableRelationships12[[#This Row],[Rank Pedro]]="High","Brown","")))</f>
        <v/>
      </c>
      <c r="V2495" s="4" t="e">
        <f>MAX(INDEX(Standards!$F$2:$F$296,MATCH(B2495,Standards!$B$2:$B$296,0)),INDEX(Standards!$F$2:$F$296,MATCH(C2495,Standards!$B$2:$B$296,0)))</f>
        <v>#N/A</v>
      </c>
      <c r="W2495" t="str">
        <f t="shared" si="116"/>
        <v>#2f89d1</v>
      </c>
    </row>
    <row r="2496" spans="1:23" x14ac:dyDescent="0.5">
      <c r="A2496" s="54">
        <v>2495</v>
      </c>
      <c r="B2496" t="s">
        <v>1698</v>
      </c>
      <c r="C2496" t="s">
        <v>2059</v>
      </c>
      <c r="D2496" s="1" t="s">
        <v>1774</v>
      </c>
      <c r="E2496" s="112">
        <v>2025.01</v>
      </c>
      <c r="F2496" s="112">
        <v>2025.01</v>
      </c>
      <c r="G2496" s="107" t="s">
        <v>2061</v>
      </c>
      <c r="H2496">
        <f>INDEX('GIS-Standards'!$A$2:$A$305,MATCH(B2496,'GIS-Standards'!$B$2:$B$305,0))</f>
        <v>115</v>
      </c>
      <c r="I2496" t="e">
        <f>INDEX('GIS-Standards'!$A$2:$A$305,MATCH(C2496,'GIS-Standards'!$B$2:$B$305,0))</f>
        <v>#N/A</v>
      </c>
      <c r="J2496" t="str">
        <f>INDEX('GIS-Standards'!$O$2:$O$305,MATCH(B2496,'GIS-Standards'!$B$2:$B$305,0))</f>
        <v>ISO/TC 10/SC 10</v>
      </c>
      <c r="K2496" t="e">
        <f>INDEX('GIS-Standards'!$O$2:$O$305,MATCH(C2496,'GIS-Standards'!$B$2:$B$305,0))</f>
        <v>#N/A</v>
      </c>
      <c r="M2496" t="s">
        <v>525</v>
      </c>
      <c r="N2496">
        <f>INDEX('GIS-Standards'!$I$2:$I$305,MATCH(B2496,'GIS-Standards'!$B$2:$B$305,0))</f>
        <v>0</v>
      </c>
      <c r="O2496" t="e">
        <f>INDEX('GIS-Standards'!$I$2:$I$305,MATCH(C2496,'GIS-Standards'!$B$2:$B$305,0))</f>
        <v>#N/A</v>
      </c>
      <c r="P2496" t="e">
        <f>AND(TableRelationships12[[#This Row],[Source Type]]="BIM",TableRelationships12[[#This Row],[Target Type]]="BIM")</f>
        <v>#N/A</v>
      </c>
      <c r="Q2496">
        <f t="shared" si="114"/>
        <v>1</v>
      </c>
      <c r="S2496">
        <f t="shared" si="115"/>
        <v>1</v>
      </c>
      <c r="T2496" s="102" t="str">
        <f>IF(TableRelationships12[[#This Row],[Rank Pedro]]="Low","linkCategory1",IF(TableRelationships12[[#This Row],[Rank Pedro]]="Medium","linkCategory2",IF(TableRelationships12[[#This Row],[Rank Pedro]]="High","linkCategory3","")))</f>
        <v/>
      </c>
      <c r="U2496" s="102" t="str">
        <f>IF(TableRelationships12[[#This Row],[Rank Pedro]]="Low","Pink",IF(TableRelationships12[[#This Row],[Rank Pedro]]="Medium","Purple",IF(TableRelationships12[[#This Row],[Rank Pedro]]="High","Brown","")))</f>
        <v/>
      </c>
      <c r="V2496" s="4" t="e">
        <f>MAX(INDEX(Standards!$F$2:$F$296,MATCH(B2496,Standards!$B$2:$B$296,0)),INDEX(Standards!$F$2:$F$296,MATCH(C2496,Standards!$B$2:$B$296,0)))</f>
        <v>#N/A</v>
      </c>
      <c r="W2496" t="str">
        <f t="shared" si="116"/>
        <v>#2f89d1</v>
      </c>
    </row>
    <row r="2497" spans="1:23" x14ac:dyDescent="0.5">
      <c r="A2497" s="54">
        <v>2496</v>
      </c>
      <c r="B2497" t="s">
        <v>1698</v>
      </c>
      <c r="C2497" t="s">
        <v>1868</v>
      </c>
      <c r="D2497" s="1"/>
      <c r="E2497" s="112">
        <v>2012.05</v>
      </c>
      <c r="F2497" s="112">
        <v>2025.03</v>
      </c>
      <c r="G2497" s="107" t="s">
        <v>1457</v>
      </c>
      <c r="H2497">
        <f>INDEX('GIS-Standards'!$A$2:$A$305,MATCH(B2497,'GIS-Standards'!$B$2:$B$305,0))</f>
        <v>115</v>
      </c>
      <c r="I2497" t="e">
        <f>INDEX('GIS-Standards'!$A$2:$A$305,MATCH(C2497,'GIS-Standards'!$B$2:$B$305,0))</f>
        <v>#N/A</v>
      </c>
      <c r="J2497" t="str">
        <f>INDEX('GIS-Standards'!$O$2:$O$305,MATCH(B2497,'GIS-Standards'!$B$2:$B$305,0))</f>
        <v>ISO/TC 10/SC 10</v>
      </c>
      <c r="K2497" t="e">
        <f>INDEX('GIS-Standards'!$O$2:$O$305,MATCH(C2497,'GIS-Standards'!$B$2:$B$305,0))</f>
        <v>#N/A</v>
      </c>
      <c r="M2497" t="s">
        <v>525</v>
      </c>
      <c r="N2497">
        <f>INDEX('GIS-Standards'!$I$2:$I$305,MATCH(B2497,'GIS-Standards'!$B$2:$B$305,0))</f>
        <v>0</v>
      </c>
      <c r="O2497" t="e">
        <f>INDEX('GIS-Standards'!$I$2:$I$305,MATCH(C2497,'GIS-Standards'!$B$2:$B$305,0))</f>
        <v>#N/A</v>
      </c>
      <c r="P2497" t="e">
        <f>AND(TableRelationships12[[#This Row],[Source Type]]="BIM",TableRelationships12[[#This Row],[Target Type]]="BIM")</f>
        <v>#N/A</v>
      </c>
      <c r="Q2497">
        <f t="shared" si="114"/>
        <v>1</v>
      </c>
      <c r="S2497">
        <f t="shared" si="115"/>
        <v>1</v>
      </c>
      <c r="T2497" s="102" t="str">
        <f>IF(TableRelationships12[[#This Row],[Rank Pedro]]="Low","linkCategory1",IF(TableRelationships12[[#This Row],[Rank Pedro]]="Medium","linkCategory2",IF(TableRelationships12[[#This Row],[Rank Pedro]]="High","linkCategory3","")))</f>
        <v/>
      </c>
      <c r="U2497" s="102" t="str">
        <f>IF(TableRelationships12[[#This Row],[Rank Pedro]]="Low","Pink",IF(TableRelationships12[[#This Row],[Rank Pedro]]="Medium","Purple",IF(TableRelationships12[[#This Row],[Rank Pedro]]="High","Brown","")))</f>
        <v/>
      </c>
      <c r="V2497" s="4" t="e">
        <f>MAX(INDEX(Standards!$F$2:$F$296,MATCH(B2497,Standards!$B$2:$B$296,0)),INDEX(Standards!$F$2:$F$296,MATCH(C2497,Standards!$B$2:$B$296,0)))</f>
        <v>#N/A</v>
      </c>
      <c r="W2497" t="str">
        <f t="shared" si="116"/>
        <v>#2f89d1</v>
      </c>
    </row>
    <row r="2498" spans="1:23" x14ac:dyDescent="0.5">
      <c r="A2498" s="54">
        <v>2497</v>
      </c>
      <c r="B2498" t="s">
        <v>1698</v>
      </c>
      <c r="C2498" t="s">
        <v>1764</v>
      </c>
      <c r="D2498" s="1"/>
      <c r="E2498" s="112">
        <v>2015.02</v>
      </c>
      <c r="F2498" s="112">
        <v>2022.08</v>
      </c>
      <c r="G2498" s="107" t="s">
        <v>1865</v>
      </c>
      <c r="H2498">
        <f>INDEX('GIS-Standards'!$A$2:$A$305,MATCH(B2498,'GIS-Standards'!$B$2:$B$305,0))</f>
        <v>115</v>
      </c>
      <c r="I2498" t="e">
        <f>INDEX('GIS-Standards'!$A$2:$A$305,MATCH(C2498,'GIS-Standards'!$B$2:$B$305,0))</f>
        <v>#N/A</v>
      </c>
      <c r="J2498" t="str">
        <f>INDEX('GIS-Standards'!$O$2:$O$305,MATCH(B2498,'GIS-Standards'!$B$2:$B$305,0))</f>
        <v>ISO/TC 10/SC 10</v>
      </c>
      <c r="K2498" t="e">
        <f>INDEX('GIS-Standards'!$O$2:$O$305,MATCH(C2498,'GIS-Standards'!$B$2:$B$305,0))</f>
        <v>#N/A</v>
      </c>
      <c r="M2498" t="s">
        <v>525</v>
      </c>
      <c r="N2498">
        <f>INDEX('GIS-Standards'!$I$2:$I$305,MATCH(B2498,'GIS-Standards'!$B$2:$B$305,0))</f>
        <v>0</v>
      </c>
      <c r="O2498" t="e">
        <f>INDEX('GIS-Standards'!$I$2:$I$305,MATCH(C2498,'GIS-Standards'!$B$2:$B$305,0))</f>
        <v>#N/A</v>
      </c>
      <c r="P2498" t="e">
        <f>AND(TableRelationships12[[#This Row],[Source Type]]="BIM",TableRelationships12[[#This Row],[Target Type]]="BIM")</f>
        <v>#N/A</v>
      </c>
      <c r="Q2498">
        <f t="shared" ref="Q2498:Q2503" si="117">IF(M2498="Normative",6,IF(M2498="Secondary",4,IF(M2498="Anchor",2,1)))</f>
        <v>1</v>
      </c>
      <c r="S2498">
        <f t="shared" ref="S2498:S2503" si="118">IF(R2498="High",10,IF(R2498="Medium",6,IF(R2498="Low",2,1)))</f>
        <v>1</v>
      </c>
      <c r="T2498" s="102" t="str">
        <f>IF(TableRelationships12[[#This Row],[Rank Pedro]]="Low","linkCategory1",IF(TableRelationships12[[#This Row],[Rank Pedro]]="Medium","linkCategory2",IF(TableRelationships12[[#This Row],[Rank Pedro]]="High","linkCategory3","")))</f>
        <v/>
      </c>
      <c r="U2498" s="102" t="str">
        <f>IF(TableRelationships12[[#This Row],[Rank Pedro]]="Low","Pink",IF(TableRelationships12[[#This Row],[Rank Pedro]]="Medium","Purple",IF(TableRelationships12[[#This Row],[Rank Pedro]]="High","Brown","")))</f>
        <v/>
      </c>
      <c r="V2498" s="4" t="e">
        <f>MAX(INDEX(Standards!$F$2:$F$296,MATCH(B2498,Standards!$B$2:$B$296,0)),INDEX(Standards!$F$2:$F$296,MATCH(C2498,Standards!$B$2:$B$296,0)))</f>
        <v>#N/A</v>
      </c>
      <c r="W2498" t="str">
        <f t="shared" ref="W2498:W2503" si="119">IF(M2498="Normative", "#d6bf2a", IF(M2498="Informative", "#2f89d1", 1))</f>
        <v>#2f89d1</v>
      </c>
    </row>
    <row r="2499" spans="1:23" x14ac:dyDescent="0.5">
      <c r="A2499" s="54">
        <v>2498</v>
      </c>
      <c r="B2499" t="s">
        <v>1698</v>
      </c>
      <c r="C2499" t="s">
        <v>1869</v>
      </c>
      <c r="D2499" s="1"/>
      <c r="E2499" s="112">
        <v>2018.05</v>
      </c>
      <c r="F2499" s="112">
        <v>2018.05</v>
      </c>
      <c r="G2499" s="107" t="s">
        <v>1865</v>
      </c>
      <c r="H2499">
        <f>INDEX('GIS-Standards'!$A$2:$A$305,MATCH(B2499,'GIS-Standards'!$B$2:$B$305,0))</f>
        <v>115</v>
      </c>
      <c r="I2499" t="e">
        <f>INDEX('GIS-Standards'!$A$2:$A$305,MATCH(C2499,'GIS-Standards'!$B$2:$B$305,0))</f>
        <v>#N/A</v>
      </c>
      <c r="J2499" t="str">
        <f>INDEX('GIS-Standards'!$O$2:$O$305,MATCH(B2499,'GIS-Standards'!$B$2:$B$305,0))</f>
        <v>ISO/TC 10/SC 10</v>
      </c>
      <c r="K2499" t="e">
        <f>INDEX('GIS-Standards'!$O$2:$O$305,MATCH(C2499,'GIS-Standards'!$B$2:$B$305,0))</f>
        <v>#N/A</v>
      </c>
      <c r="M2499" t="s">
        <v>525</v>
      </c>
      <c r="N2499">
        <f>INDEX('GIS-Standards'!$I$2:$I$305,MATCH(B2499,'GIS-Standards'!$B$2:$B$305,0))</f>
        <v>0</v>
      </c>
      <c r="O2499" t="e">
        <f>INDEX('GIS-Standards'!$I$2:$I$305,MATCH(C2499,'GIS-Standards'!$B$2:$B$305,0))</f>
        <v>#N/A</v>
      </c>
      <c r="P2499" t="e">
        <f>AND(TableRelationships12[[#This Row],[Source Type]]="BIM",TableRelationships12[[#This Row],[Target Type]]="BIM")</f>
        <v>#N/A</v>
      </c>
      <c r="Q2499">
        <f t="shared" si="117"/>
        <v>1</v>
      </c>
      <c r="S2499">
        <f t="shared" si="118"/>
        <v>1</v>
      </c>
      <c r="T2499" s="102" t="str">
        <f>IF(TableRelationships12[[#This Row],[Rank Pedro]]="Low","linkCategory1",IF(TableRelationships12[[#This Row],[Rank Pedro]]="Medium","linkCategory2",IF(TableRelationships12[[#This Row],[Rank Pedro]]="High","linkCategory3","")))</f>
        <v/>
      </c>
      <c r="U2499" s="102" t="str">
        <f>IF(TableRelationships12[[#This Row],[Rank Pedro]]="Low","Pink",IF(TableRelationships12[[#This Row],[Rank Pedro]]="Medium","Purple",IF(TableRelationships12[[#This Row],[Rank Pedro]]="High","Brown","")))</f>
        <v/>
      </c>
      <c r="V2499" s="4" t="e">
        <f>MAX(INDEX(Standards!$F$2:$F$296,MATCH(B2499,Standards!$B$2:$B$296,0)),INDEX(Standards!$F$2:$F$296,MATCH(C2499,Standards!$B$2:$B$296,0)))</f>
        <v>#N/A</v>
      </c>
      <c r="W2499" t="str">
        <f t="shared" si="119"/>
        <v>#2f89d1</v>
      </c>
    </row>
    <row r="2500" spans="1:23" x14ac:dyDescent="0.5">
      <c r="A2500" s="54">
        <v>2499</v>
      </c>
      <c r="B2500" t="s">
        <v>1698</v>
      </c>
      <c r="C2500" t="s">
        <v>2028</v>
      </c>
      <c r="D2500" s="1" t="s">
        <v>2027</v>
      </c>
      <c r="E2500" s="112">
        <v>2011.1</v>
      </c>
      <c r="F2500" s="112">
        <v>2020.1</v>
      </c>
      <c r="G2500" s="107" t="s">
        <v>2026</v>
      </c>
      <c r="H2500">
        <f>INDEX('GIS-Standards'!$A$2:$A$305,MATCH(B2500,'GIS-Standards'!$B$2:$B$305,0))</f>
        <v>115</v>
      </c>
      <c r="I2500" t="e">
        <f>INDEX('GIS-Standards'!$A$2:$A$305,MATCH(C2500,'GIS-Standards'!$B$2:$B$305,0))</f>
        <v>#N/A</v>
      </c>
      <c r="J2500" t="str">
        <f>INDEX('GIS-Standards'!$O$2:$O$305,MATCH(B2500,'GIS-Standards'!$B$2:$B$305,0))</f>
        <v>ISO/TC 10/SC 10</v>
      </c>
      <c r="K2500" t="e">
        <f>INDEX('GIS-Standards'!$O$2:$O$305,MATCH(C2500,'GIS-Standards'!$B$2:$B$305,0))</f>
        <v>#N/A</v>
      </c>
      <c r="M2500" t="s">
        <v>525</v>
      </c>
      <c r="N2500">
        <f>INDEX('GIS-Standards'!$I$2:$I$305,MATCH(B2500,'GIS-Standards'!$B$2:$B$305,0))</f>
        <v>0</v>
      </c>
      <c r="O2500" t="e">
        <f>INDEX('GIS-Standards'!$I$2:$I$305,MATCH(C2500,'GIS-Standards'!$B$2:$B$305,0))</f>
        <v>#N/A</v>
      </c>
      <c r="P2500" t="e">
        <f>AND(TableRelationships12[[#This Row],[Source Type]]="BIM",TableRelationships12[[#This Row],[Target Type]]="BIM")</f>
        <v>#N/A</v>
      </c>
      <c r="Q2500">
        <f t="shared" si="117"/>
        <v>1</v>
      </c>
      <c r="S2500">
        <f t="shared" si="118"/>
        <v>1</v>
      </c>
      <c r="T2500" s="102" t="str">
        <f>IF(TableRelationships12[[#This Row],[Rank Pedro]]="Low","linkCategory1",IF(TableRelationships12[[#This Row],[Rank Pedro]]="Medium","linkCategory2",IF(TableRelationships12[[#This Row],[Rank Pedro]]="High","linkCategory3","")))</f>
        <v/>
      </c>
      <c r="U2500" s="102" t="str">
        <f>IF(TableRelationships12[[#This Row],[Rank Pedro]]="Low","Pink",IF(TableRelationships12[[#This Row],[Rank Pedro]]="Medium","Purple",IF(TableRelationships12[[#This Row],[Rank Pedro]]="High","Brown","")))</f>
        <v/>
      </c>
      <c r="V2500" s="4" t="e">
        <f>MAX(INDEX(Standards!$F$2:$F$296,MATCH(B2500,Standards!$B$2:$B$296,0)),INDEX(Standards!$F$2:$F$296,MATCH(C2500,Standards!$B$2:$B$296,0)))</f>
        <v>#N/A</v>
      </c>
      <c r="W2500" t="str">
        <f t="shared" si="119"/>
        <v>#2f89d1</v>
      </c>
    </row>
    <row r="2501" spans="1:23" x14ac:dyDescent="0.5">
      <c r="A2501" s="54">
        <v>2500</v>
      </c>
      <c r="B2501" t="s">
        <v>1698</v>
      </c>
      <c r="C2501" t="s">
        <v>2029</v>
      </c>
      <c r="D2501" s="1" t="s">
        <v>2027</v>
      </c>
      <c r="E2501" s="112">
        <v>2007.02</v>
      </c>
      <c r="F2501" s="112">
        <v>2024.11</v>
      </c>
      <c r="G2501" s="107" t="s">
        <v>2024</v>
      </c>
      <c r="H2501">
        <f>INDEX('GIS-Standards'!$A$2:$A$305,MATCH(B2501,'GIS-Standards'!$B$2:$B$305,0))</f>
        <v>115</v>
      </c>
      <c r="I2501" t="e">
        <f>INDEX('GIS-Standards'!$A$2:$A$305,MATCH(C2501,'GIS-Standards'!$B$2:$B$305,0))</f>
        <v>#N/A</v>
      </c>
      <c r="J2501" t="str">
        <f>INDEX('GIS-Standards'!$O$2:$O$305,MATCH(B2501,'GIS-Standards'!$B$2:$B$305,0))</f>
        <v>ISO/TC 10/SC 10</v>
      </c>
      <c r="K2501" t="e">
        <f>INDEX('GIS-Standards'!$O$2:$O$305,MATCH(C2501,'GIS-Standards'!$B$2:$B$305,0))</f>
        <v>#N/A</v>
      </c>
      <c r="M2501" t="s">
        <v>525</v>
      </c>
      <c r="N2501">
        <f>INDEX('GIS-Standards'!$I$2:$I$305,MATCH(B2501,'GIS-Standards'!$B$2:$B$305,0))</f>
        <v>0</v>
      </c>
      <c r="O2501" t="e">
        <f>INDEX('GIS-Standards'!$I$2:$I$305,MATCH(C2501,'GIS-Standards'!$B$2:$B$305,0))</f>
        <v>#N/A</v>
      </c>
      <c r="P2501" t="e">
        <f>AND(TableRelationships12[[#This Row],[Source Type]]="BIM",TableRelationships12[[#This Row],[Target Type]]="BIM")</f>
        <v>#N/A</v>
      </c>
      <c r="Q2501">
        <f t="shared" si="117"/>
        <v>1</v>
      </c>
      <c r="S2501">
        <f t="shared" si="118"/>
        <v>1</v>
      </c>
      <c r="T2501" s="102" t="str">
        <f>IF(TableRelationships12[[#This Row],[Rank Pedro]]="Low","linkCategory1",IF(TableRelationships12[[#This Row],[Rank Pedro]]="Medium","linkCategory2",IF(TableRelationships12[[#This Row],[Rank Pedro]]="High","linkCategory3","")))</f>
        <v/>
      </c>
      <c r="U2501" s="102" t="str">
        <f>IF(TableRelationships12[[#This Row],[Rank Pedro]]="Low","Pink",IF(TableRelationships12[[#This Row],[Rank Pedro]]="Medium","Purple",IF(TableRelationships12[[#This Row],[Rank Pedro]]="High","Brown","")))</f>
        <v/>
      </c>
      <c r="V2501" s="4" t="e">
        <f>MAX(INDEX(Standards!$F$2:$F$296,MATCH(B2501,Standards!$B$2:$B$296,0)),INDEX(Standards!$F$2:$F$296,MATCH(C2501,Standards!$B$2:$B$296,0)))</f>
        <v>#N/A</v>
      </c>
      <c r="W2501" t="str">
        <f t="shared" si="119"/>
        <v>#2f89d1</v>
      </c>
    </row>
    <row r="2502" spans="1:23" x14ac:dyDescent="0.5">
      <c r="A2502" s="54">
        <v>2501</v>
      </c>
      <c r="B2502" t="s">
        <v>1698</v>
      </c>
      <c r="C2502" t="s">
        <v>1870</v>
      </c>
      <c r="D2502" s="1" t="s">
        <v>1676</v>
      </c>
      <c r="E2502" s="112">
        <v>2015.11</v>
      </c>
      <c r="F2502" s="112">
        <v>2017.1</v>
      </c>
      <c r="G2502" s="107" t="s">
        <v>2030</v>
      </c>
      <c r="H2502">
        <f>INDEX('GIS-Standards'!$A$2:$A$305,MATCH(B2502,'GIS-Standards'!$B$2:$B$305,0))</f>
        <v>115</v>
      </c>
      <c r="I2502" t="e">
        <f>INDEX('GIS-Standards'!$A$2:$A$305,MATCH(C2502,'GIS-Standards'!$B$2:$B$305,0))</f>
        <v>#N/A</v>
      </c>
      <c r="J2502" t="str">
        <f>INDEX('GIS-Standards'!$O$2:$O$305,MATCH(B2502,'GIS-Standards'!$B$2:$B$305,0))</f>
        <v>ISO/TC 10/SC 10</v>
      </c>
      <c r="K2502" t="e">
        <f>INDEX('GIS-Standards'!$O$2:$O$305,MATCH(C2502,'GIS-Standards'!$B$2:$B$305,0))</f>
        <v>#N/A</v>
      </c>
      <c r="M2502" t="s">
        <v>525</v>
      </c>
      <c r="N2502">
        <f>INDEX('GIS-Standards'!$I$2:$I$305,MATCH(B2502,'GIS-Standards'!$B$2:$B$305,0))</f>
        <v>0</v>
      </c>
      <c r="O2502" t="e">
        <f>INDEX('GIS-Standards'!$I$2:$I$305,MATCH(C2502,'GIS-Standards'!$B$2:$B$305,0))</f>
        <v>#N/A</v>
      </c>
      <c r="P2502" t="e">
        <f>AND(TableRelationships12[[#This Row],[Source Type]]="BIM",TableRelationships12[[#This Row],[Target Type]]="BIM")</f>
        <v>#N/A</v>
      </c>
      <c r="Q2502">
        <f t="shared" si="117"/>
        <v>1</v>
      </c>
      <c r="S2502">
        <f t="shared" si="118"/>
        <v>1</v>
      </c>
      <c r="T2502" s="102" t="str">
        <f>IF(TableRelationships12[[#This Row],[Rank Pedro]]="Low","linkCategory1",IF(TableRelationships12[[#This Row],[Rank Pedro]]="Medium","linkCategory2",IF(TableRelationships12[[#This Row],[Rank Pedro]]="High","linkCategory3","")))</f>
        <v/>
      </c>
      <c r="U2502" s="102" t="str">
        <f>IF(TableRelationships12[[#This Row],[Rank Pedro]]="Low","Pink",IF(TableRelationships12[[#This Row],[Rank Pedro]]="Medium","Purple",IF(TableRelationships12[[#This Row],[Rank Pedro]]="High","Brown","")))</f>
        <v/>
      </c>
      <c r="V2502" s="4" t="e">
        <f>MAX(INDEX(Standards!$F$2:$F$296,MATCH(B2502,Standards!$B$2:$B$296,0)),INDEX(Standards!$F$2:$F$296,MATCH(C2502,Standards!$B$2:$B$296,0)))</f>
        <v>#N/A</v>
      </c>
      <c r="W2502" t="str">
        <f t="shared" si="119"/>
        <v>#2f89d1</v>
      </c>
    </row>
    <row r="2503" spans="1:23" x14ac:dyDescent="0.5">
      <c r="A2503" s="54">
        <v>2502</v>
      </c>
      <c r="B2503" t="s">
        <v>1698</v>
      </c>
      <c r="C2503" t="s">
        <v>1871</v>
      </c>
      <c r="D2503" s="1"/>
      <c r="E2503" s="112">
        <v>2019.09</v>
      </c>
      <c r="F2503" s="112">
        <v>2019.09</v>
      </c>
      <c r="G2503" s="107" t="s">
        <v>2033</v>
      </c>
      <c r="H2503">
        <f>INDEX('GIS-Standards'!$A$2:$A$305,MATCH(B2503,'GIS-Standards'!$B$2:$B$305,0))</f>
        <v>115</v>
      </c>
      <c r="I2503" t="e">
        <f>INDEX('GIS-Standards'!$A$2:$A$305,MATCH(C2503,'GIS-Standards'!$B$2:$B$305,0))</f>
        <v>#N/A</v>
      </c>
      <c r="J2503" t="str">
        <f>INDEX('GIS-Standards'!$O$2:$O$305,MATCH(B2503,'GIS-Standards'!$B$2:$B$305,0))</f>
        <v>ISO/TC 10/SC 10</v>
      </c>
      <c r="K2503" t="e">
        <f>INDEX('GIS-Standards'!$O$2:$O$305,MATCH(C2503,'GIS-Standards'!$B$2:$B$305,0))</f>
        <v>#N/A</v>
      </c>
      <c r="M2503" t="s">
        <v>525</v>
      </c>
      <c r="N2503">
        <f>INDEX('GIS-Standards'!$I$2:$I$305,MATCH(B2503,'GIS-Standards'!$B$2:$B$305,0))</f>
        <v>0</v>
      </c>
      <c r="O2503" t="e">
        <f>INDEX('GIS-Standards'!$I$2:$I$305,MATCH(C2503,'GIS-Standards'!$B$2:$B$305,0))</f>
        <v>#N/A</v>
      </c>
      <c r="P2503" t="e">
        <f>AND(TableRelationships12[[#This Row],[Source Type]]="BIM",TableRelationships12[[#This Row],[Target Type]]="BIM")</f>
        <v>#N/A</v>
      </c>
      <c r="Q2503">
        <f t="shared" si="117"/>
        <v>1</v>
      </c>
      <c r="S2503">
        <f t="shared" si="118"/>
        <v>1</v>
      </c>
      <c r="T2503" s="102" t="str">
        <f>IF(TableRelationships12[[#This Row],[Rank Pedro]]="Low","linkCategory1",IF(TableRelationships12[[#This Row],[Rank Pedro]]="Medium","linkCategory2",IF(TableRelationships12[[#This Row],[Rank Pedro]]="High","linkCategory3","")))</f>
        <v/>
      </c>
      <c r="U2503" s="102" t="str">
        <f>IF(TableRelationships12[[#This Row],[Rank Pedro]]="Low","Pink",IF(TableRelationships12[[#This Row],[Rank Pedro]]="Medium","Purple",IF(TableRelationships12[[#This Row],[Rank Pedro]]="High","Brown","")))</f>
        <v/>
      </c>
      <c r="V2503" s="4" t="e">
        <f>MAX(INDEX(Standards!$F$2:$F$296,MATCH(B2503,Standards!$B$2:$B$296,0)),INDEX(Standards!$F$2:$F$296,MATCH(C2503,Standards!$B$2:$B$296,0)))</f>
        <v>#N/A</v>
      </c>
      <c r="W2503" t="str">
        <f t="shared" si="119"/>
        <v>#2f89d1</v>
      </c>
    </row>
    <row r="1048476" spans="2:2" x14ac:dyDescent="0.5">
      <c r="B1048476" s="7"/>
    </row>
  </sheetData>
  <phoneticPr fontId="3" type="noConversion"/>
  <pageMargins left="0.7" right="0.7" top="0.75" bottom="0.75" header="0.3" footer="0.3"/>
  <pageSetup paperSize="9" orientation="portrait" horizontalDpi="300" verticalDpi="30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E61F-6A1A-4AE8-926B-4389C39D2E4A}">
  <sheetPr>
    <tabColor theme="4"/>
  </sheetPr>
  <dimension ref="O9"/>
  <sheetViews>
    <sheetView workbookViewId="0">
      <selection activeCell="J36" sqref="J36"/>
    </sheetView>
  </sheetViews>
  <sheetFormatPr defaultRowHeight="14.35" x14ac:dyDescent="0.5"/>
  <sheetData>
    <row r="9" spans="15:15" x14ac:dyDescent="0.5">
      <c r="O9" s="9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55727-8D63-42BE-8F36-F80D4A0F519E}">
  <dimension ref="A1:Y207"/>
  <sheetViews>
    <sheetView workbookViewId="0">
      <selection activeCell="B105" sqref="B105"/>
    </sheetView>
  </sheetViews>
  <sheetFormatPr defaultRowHeight="14.35" x14ac:dyDescent="0.5"/>
  <cols>
    <col min="2" max="2" width="19.1171875" customWidth="1"/>
    <col min="3" max="3" width="41.5859375" customWidth="1"/>
    <col min="4" max="4" width="34.5859375" customWidth="1"/>
    <col min="5" max="5" width="21" customWidth="1"/>
    <col min="6" max="6" width="16" customWidth="1"/>
    <col min="7" max="7" width="12.41015625" customWidth="1"/>
    <col min="8" max="8" width="12" customWidth="1"/>
    <col min="9" max="13" width="21.41015625" customWidth="1"/>
    <col min="14" max="14" width="23.5859375" customWidth="1"/>
    <col min="15" max="18" width="22.5859375" style="16" customWidth="1"/>
  </cols>
  <sheetData>
    <row r="1" spans="1:20" ht="30.6" customHeight="1" x14ac:dyDescent="0.5">
      <c r="A1" s="3" t="s">
        <v>0</v>
      </c>
      <c r="B1" s="3" t="s">
        <v>1</v>
      </c>
      <c r="C1" s="3" t="s">
        <v>2</v>
      </c>
      <c r="D1" s="9" t="s">
        <v>3</v>
      </c>
      <c r="E1" s="3" t="s">
        <v>4</v>
      </c>
      <c r="F1" s="3" t="s">
        <v>5</v>
      </c>
      <c r="G1" s="3" t="s">
        <v>6</v>
      </c>
      <c r="H1" s="3" t="s">
        <v>7</v>
      </c>
      <c r="I1" s="3" t="s">
        <v>8</v>
      </c>
      <c r="J1" s="3" t="s">
        <v>9</v>
      </c>
      <c r="K1" s="3" t="s">
        <v>10</v>
      </c>
      <c r="L1" s="3" t="s">
        <v>11</v>
      </c>
      <c r="M1" s="3" t="s">
        <v>12</v>
      </c>
      <c r="N1" s="3" t="s">
        <v>13</v>
      </c>
      <c r="O1" s="15" t="s">
        <v>14</v>
      </c>
      <c r="P1" s="15" t="s">
        <v>15</v>
      </c>
      <c r="Q1" s="15" t="s">
        <v>16</v>
      </c>
      <c r="R1" s="15" t="s">
        <v>17</v>
      </c>
    </row>
    <row r="2" spans="1:20" x14ac:dyDescent="0.5">
      <c r="A2">
        <v>0</v>
      </c>
      <c r="B2" t="s">
        <v>18</v>
      </c>
      <c r="F2" s="4">
        <v>39814</v>
      </c>
      <c r="G2" s="4">
        <v>40909</v>
      </c>
      <c r="H2" t="s">
        <v>19</v>
      </c>
      <c r="N2" t="str">
        <f>INDEX(Colours!$C$2:$C$14,MATCH(H2,Colours!$A$2:$A$14,0))</f>
        <v>#7030A0</v>
      </c>
      <c r="O2"/>
      <c r="P2"/>
      <c r="Q2"/>
      <c r="R2" s="20">
        <f>3+TableStandards[[#This Row],[Degree Centrality]]*17</f>
        <v>3</v>
      </c>
    </row>
    <row r="3" spans="1:20" x14ac:dyDescent="0.5">
      <c r="A3">
        <v>1</v>
      </c>
      <c r="B3" t="s">
        <v>20</v>
      </c>
      <c r="F3" s="4">
        <v>41640</v>
      </c>
      <c r="G3" s="4">
        <v>41640</v>
      </c>
      <c r="H3" t="s">
        <v>19</v>
      </c>
      <c r="N3" t="str">
        <f>INDEX(Colours!$C$2:$C$14,MATCH(H3,Colours!$A$2:$A$14,0))</f>
        <v>#7030A0</v>
      </c>
      <c r="O3"/>
      <c r="P3"/>
      <c r="Q3"/>
      <c r="R3" s="20">
        <f>3+TableStandards[[#This Row],[Degree Centrality]]*17</f>
        <v>3</v>
      </c>
    </row>
    <row r="4" spans="1:20" x14ac:dyDescent="0.5">
      <c r="A4">
        <v>2</v>
      </c>
      <c r="B4" t="s">
        <v>21</v>
      </c>
      <c r="F4" s="4">
        <v>37987</v>
      </c>
      <c r="G4" s="4">
        <v>41640</v>
      </c>
      <c r="H4" t="s">
        <v>19</v>
      </c>
      <c r="N4" t="str">
        <f>INDEX(Colours!$C$2:$C$14,MATCH(H4,Colours!$A$2:$A$14,0))</f>
        <v>#7030A0</v>
      </c>
      <c r="O4"/>
      <c r="P4"/>
      <c r="Q4"/>
      <c r="R4" s="20">
        <f>3+TableStandards[[#This Row],[Degree Centrality]]*17</f>
        <v>3</v>
      </c>
    </row>
    <row r="5" spans="1:20" x14ac:dyDescent="0.5">
      <c r="A5">
        <v>3</v>
      </c>
      <c r="B5" t="s">
        <v>245</v>
      </c>
      <c r="C5" s="1" t="s">
        <v>246</v>
      </c>
      <c r="D5" s="88" t="s">
        <v>247</v>
      </c>
      <c r="E5" s="10" t="s">
        <v>248</v>
      </c>
      <c r="F5" s="4">
        <v>43943</v>
      </c>
      <c r="G5" s="4">
        <v>43943</v>
      </c>
      <c r="H5" t="s">
        <v>26</v>
      </c>
      <c r="I5" t="s">
        <v>27</v>
      </c>
      <c r="J5" t="s">
        <v>28</v>
      </c>
      <c r="K5" t="s">
        <v>27</v>
      </c>
      <c r="L5" t="s">
        <v>67</v>
      </c>
      <c r="M5" t="s">
        <v>27</v>
      </c>
      <c r="N5" t="str">
        <f>INDEX(Colours!$C$2:$C$14,MATCH(H5,Colours!$A$2:$A$14,0))</f>
        <v>#70AD47</v>
      </c>
      <c r="O5">
        <f>TableStandards[[#This Row],[In-Degree Centrality]]+TableStandards[[#This Row],[Out-Degree Centrality]]</f>
        <v>8</v>
      </c>
      <c r="P5">
        <f>COUNTIFS(Relationships!$C$1:$C$529,TableStandards[[#This Row],[Standard Number]],Relationships!$L$1:$L$529,"=TRUE")</f>
        <v>4</v>
      </c>
      <c r="Q5">
        <f>COUNTIFS(Relationships!$B$1:$B$529,TableStandards[[#This Row],[Standard Number]],Relationships!$L$1:$L$529,"=TRUE")</f>
        <v>4</v>
      </c>
      <c r="R5" s="20"/>
      <c r="T5">
        <v>1</v>
      </c>
    </row>
    <row r="6" spans="1:20" x14ac:dyDescent="0.5">
      <c r="A6">
        <v>4</v>
      </c>
      <c r="B6" t="s">
        <v>250</v>
      </c>
      <c r="C6" s="1" t="s">
        <v>251</v>
      </c>
      <c r="D6" s="74" t="s">
        <v>252</v>
      </c>
      <c r="E6" s="25" t="s">
        <v>253</v>
      </c>
      <c r="F6" s="4">
        <v>44153</v>
      </c>
      <c r="G6" s="4">
        <v>44153</v>
      </c>
      <c r="H6" t="s">
        <v>26</v>
      </c>
      <c r="I6" t="s">
        <v>27</v>
      </c>
      <c r="J6" t="s">
        <v>28</v>
      </c>
      <c r="K6" t="s">
        <v>27</v>
      </c>
      <c r="L6" t="s">
        <v>67</v>
      </c>
      <c r="M6" t="s">
        <v>27</v>
      </c>
      <c r="N6" t="str">
        <f>INDEX(Colours!$C$2:$C$14,MATCH(H6,Colours!$A$2:$A$14,0))</f>
        <v>#70AD47</v>
      </c>
      <c r="O6">
        <f>TableStandards[[#This Row],[In-Degree Centrality]]+TableStandards[[#This Row],[Out-Degree Centrality]]</f>
        <v>3</v>
      </c>
      <c r="P6">
        <f>COUNTIFS(Relationships!$C$1:$C$529,TableStandards[[#This Row],[Standard Number]],Relationships!$L$1:$L$529,"=TRUE")</f>
        <v>2</v>
      </c>
      <c r="Q6">
        <f>COUNTIFS(Relationships!$B$1:$B$529,TableStandards[[#This Row],[Standard Number]],Relationships!$L$1:$L$529,"=TRUE")</f>
        <v>1</v>
      </c>
      <c r="R6" s="20"/>
      <c r="T6">
        <v>2</v>
      </c>
    </row>
    <row r="7" spans="1:20" x14ac:dyDescent="0.5">
      <c r="A7">
        <v>5</v>
      </c>
      <c r="B7" t="s">
        <v>33</v>
      </c>
      <c r="C7" t="s">
        <v>34</v>
      </c>
      <c r="F7" s="4">
        <v>36892</v>
      </c>
      <c r="G7" s="4">
        <v>36892</v>
      </c>
      <c r="H7" t="s">
        <v>19</v>
      </c>
      <c r="N7" t="str">
        <f>INDEX(Colours!$C$2:$C$14,MATCH(H7,Colours!$A$2:$A$14,0))</f>
        <v>#7030A0</v>
      </c>
      <c r="O7"/>
      <c r="P7"/>
      <c r="Q7"/>
      <c r="R7" s="20">
        <f>3+TableStandards[[#This Row],[Degree Centrality]]*17</f>
        <v>3</v>
      </c>
    </row>
    <row r="8" spans="1:20" x14ac:dyDescent="0.5">
      <c r="A8">
        <v>6</v>
      </c>
      <c r="B8" t="s">
        <v>63</v>
      </c>
      <c r="C8" s="1" t="s">
        <v>64</v>
      </c>
      <c r="D8" s="88" t="s">
        <v>65</v>
      </c>
      <c r="E8" s="10" t="s">
        <v>66</v>
      </c>
      <c r="F8" s="4">
        <v>37196</v>
      </c>
      <c r="G8" s="4">
        <v>42125</v>
      </c>
      <c r="H8" t="s">
        <v>26</v>
      </c>
      <c r="I8" t="s">
        <v>27</v>
      </c>
      <c r="J8" t="s">
        <v>28</v>
      </c>
      <c r="K8" t="s">
        <v>27</v>
      </c>
      <c r="L8" t="s">
        <v>67</v>
      </c>
      <c r="M8" t="s">
        <v>27</v>
      </c>
      <c r="N8" t="str">
        <f>INDEX(Colours!$C$2:$C$14,MATCH(H8,Colours!$A$2:$A$14,0))</f>
        <v>#70AD47</v>
      </c>
      <c r="O8">
        <f>TableStandards[[#This Row],[In-Degree Centrality]]+TableStandards[[#This Row],[Out-Degree Centrality]]</f>
        <v>13</v>
      </c>
      <c r="P8">
        <f>COUNTIFS(Relationships!$C$1:$C$529,TableStandards[[#This Row],[Standard Number]],Relationships!$L$1:$L$529,"=TRUE")</f>
        <v>11</v>
      </c>
      <c r="Q8">
        <f>COUNTIFS(Relationships!$B$1:$B$529,TableStandards[[#This Row],[Standard Number]],Relationships!$L$1:$L$529,"=TRUE")</f>
        <v>2</v>
      </c>
      <c r="R8" s="20"/>
      <c r="T8">
        <v>3</v>
      </c>
    </row>
    <row r="9" spans="1:20" x14ac:dyDescent="0.5">
      <c r="A9">
        <v>7</v>
      </c>
      <c r="B9" t="s">
        <v>68</v>
      </c>
      <c r="C9" s="1" t="s">
        <v>69</v>
      </c>
      <c r="D9" s="74" t="s">
        <v>70</v>
      </c>
      <c r="E9" s="25" t="s">
        <v>71</v>
      </c>
      <c r="F9" s="4">
        <v>37165</v>
      </c>
      <c r="G9" s="4">
        <v>44776</v>
      </c>
      <c r="H9" t="s">
        <v>26</v>
      </c>
      <c r="I9" t="s">
        <v>27</v>
      </c>
      <c r="J9" t="s">
        <v>28</v>
      </c>
      <c r="K9" t="s">
        <v>27</v>
      </c>
      <c r="L9" t="s">
        <v>67</v>
      </c>
      <c r="M9" t="s">
        <v>27</v>
      </c>
      <c r="N9" t="str">
        <f>INDEX(Colours!$C$2:$C$14,MATCH(H9,Colours!$A$2:$A$14,0))</f>
        <v>#70AD47</v>
      </c>
      <c r="O9">
        <f>TableStandards[[#This Row],[In-Degree Centrality]]+TableStandards[[#This Row],[Out-Degree Centrality]]</f>
        <v>16</v>
      </c>
      <c r="P9">
        <f>COUNTIFS(Relationships!$C$1:$C$529,TableStandards[[#This Row],[Standard Number]],Relationships!$L$1:$L$529,"=TRUE")</f>
        <v>12</v>
      </c>
      <c r="Q9">
        <f>COUNTIFS(Relationships!$B$1:$B$529,TableStandards[[#This Row],[Standard Number]],Relationships!$L$1:$L$529,"=TRUE")</f>
        <v>4</v>
      </c>
      <c r="R9" s="20"/>
      <c r="T9">
        <v>4</v>
      </c>
    </row>
    <row r="10" spans="1:20" x14ac:dyDescent="0.5">
      <c r="A10">
        <v>8</v>
      </c>
      <c r="B10" t="s">
        <v>144</v>
      </c>
      <c r="C10" s="1" t="s">
        <v>145</v>
      </c>
      <c r="D10" s="74" t="s">
        <v>146</v>
      </c>
      <c r="E10" s="25" t="s">
        <v>147</v>
      </c>
      <c r="F10" s="4">
        <v>38626</v>
      </c>
      <c r="G10" s="4">
        <v>45352</v>
      </c>
      <c r="H10" t="s">
        <v>26</v>
      </c>
      <c r="I10" t="s">
        <v>27</v>
      </c>
      <c r="J10" t="s">
        <v>28</v>
      </c>
      <c r="K10" t="s">
        <v>27</v>
      </c>
      <c r="L10" t="s">
        <v>67</v>
      </c>
      <c r="M10" t="s">
        <v>27</v>
      </c>
      <c r="N10" t="str">
        <f>INDEX(Colours!$C$2:$C$14,MATCH(H10,Colours!$A$2:$A$14,0))</f>
        <v>#70AD47</v>
      </c>
      <c r="O10">
        <f>TableStandards[[#This Row],[In-Degree Centrality]]+TableStandards[[#This Row],[Out-Degree Centrality]]</f>
        <v>14</v>
      </c>
      <c r="P10">
        <f>COUNTIFS(Relationships!$C$1:$C$529,TableStandards[[#This Row],[Standard Number]],Relationships!$L$1:$L$529,"=TRUE")</f>
        <v>14</v>
      </c>
      <c r="Q10">
        <f>COUNTIFS(Relationships!$B$1:$B$529,TableStandards[[#This Row],[Standard Number]],Relationships!$L$1:$L$529,"=TRUE")</f>
        <v>0</v>
      </c>
      <c r="R10" s="20"/>
      <c r="T10">
        <v>5</v>
      </c>
    </row>
    <row r="11" spans="1:20" x14ac:dyDescent="0.5">
      <c r="A11">
        <v>9</v>
      </c>
      <c r="B11" t="s">
        <v>210</v>
      </c>
      <c r="C11" s="1" t="s">
        <v>211</v>
      </c>
      <c r="D11" s="74" t="s">
        <v>212</v>
      </c>
      <c r="E11" s="25" t="s">
        <v>213</v>
      </c>
      <c r="F11" s="4">
        <v>43453</v>
      </c>
      <c r="G11" s="4">
        <v>43453</v>
      </c>
      <c r="H11" t="s">
        <v>26</v>
      </c>
      <c r="I11" t="s">
        <v>27</v>
      </c>
      <c r="J11" t="s">
        <v>28</v>
      </c>
      <c r="K11" t="s">
        <v>27</v>
      </c>
      <c r="L11" t="s">
        <v>67</v>
      </c>
      <c r="M11" t="s">
        <v>27</v>
      </c>
      <c r="N11" t="str">
        <f>INDEX(Colours!$C$2:$C$14,MATCH(H11,Colours!$A$2:$A$14,0))</f>
        <v>#70AD47</v>
      </c>
      <c r="O11">
        <f>TableStandards[[#This Row],[In-Degree Centrality]]+TableStandards[[#This Row],[Out-Degree Centrality]]</f>
        <v>23</v>
      </c>
      <c r="P11">
        <f>COUNTIFS(Relationships!$C$1:$C$529,TableStandards[[#This Row],[Standard Number]],Relationships!$L$1:$L$529,"=TRUE")</f>
        <v>14</v>
      </c>
      <c r="Q11">
        <f>COUNTIFS(Relationships!$B$1:$B$529,TableStandards[[#This Row],[Standard Number]],Relationships!$L$1:$L$529,"=TRUE")</f>
        <v>9</v>
      </c>
      <c r="R11" s="20"/>
      <c r="T11">
        <v>6</v>
      </c>
    </row>
    <row r="12" spans="1:20" x14ac:dyDescent="0.5">
      <c r="A12">
        <v>10</v>
      </c>
      <c r="B12" t="s">
        <v>214</v>
      </c>
      <c r="C12" s="1" t="s">
        <v>215</v>
      </c>
      <c r="D12" s="88" t="s">
        <v>216</v>
      </c>
      <c r="E12" s="10" t="s">
        <v>217</v>
      </c>
      <c r="F12" s="4">
        <v>43453</v>
      </c>
      <c r="G12" s="4">
        <v>43453</v>
      </c>
      <c r="H12" t="s">
        <v>26</v>
      </c>
      <c r="I12" t="s">
        <v>27</v>
      </c>
      <c r="J12" t="s">
        <v>28</v>
      </c>
      <c r="K12" t="s">
        <v>27</v>
      </c>
      <c r="L12" t="s">
        <v>67</v>
      </c>
      <c r="M12" t="s">
        <v>27</v>
      </c>
      <c r="N12" t="str">
        <f>INDEX(Colours!$C$2:$C$14,MATCH(H12,Colours!$A$2:$A$14,0))</f>
        <v>#70AD47</v>
      </c>
      <c r="O12">
        <f>TableStandards[[#This Row],[In-Degree Centrality]]+TableStandards[[#This Row],[Out-Degree Centrality]]</f>
        <v>18</v>
      </c>
      <c r="P12">
        <f>COUNTIFS(Relationships!$C$1:$C$529,TableStandards[[#This Row],[Standard Number]],Relationships!$L$1:$L$529,"=TRUE")</f>
        <v>12</v>
      </c>
      <c r="Q12">
        <f>COUNTIFS(Relationships!$B$1:$B$529,TableStandards[[#This Row],[Standard Number]],Relationships!$L$1:$L$529,"=TRUE")</f>
        <v>6</v>
      </c>
      <c r="R12" s="20"/>
      <c r="T12">
        <v>7</v>
      </c>
    </row>
    <row r="13" spans="1:20" x14ac:dyDescent="0.5">
      <c r="A13">
        <v>11</v>
      </c>
      <c r="B13" t="s">
        <v>224</v>
      </c>
      <c r="C13" s="1" t="s">
        <v>225</v>
      </c>
      <c r="D13" s="74" t="s">
        <v>226</v>
      </c>
      <c r="E13" s="25" t="s">
        <v>227</v>
      </c>
      <c r="F13" s="4">
        <v>43453</v>
      </c>
      <c r="G13" s="4">
        <v>44184</v>
      </c>
      <c r="H13" t="s">
        <v>26</v>
      </c>
      <c r="I13" t="s">
        <v>27</v>
      </c>
      <c r="J13" t="s">
        <v>28</v>
      </c>
      <c r="K13" t="s">
        <v>27</v>
      </c>
      <c r="L13" t="s">
        <v>67</v>
      </c>
      <c r="M13" t="s">
        <v>27</v>
      </c>
      <c r="N13" t="str">
        <f>INDEX(Colours!$C$2:$C$14,MATCH(H13,Colours!$A$2:$A$14,0))</f>
        <v>#70AD47</v>
      </c>
      <c r="O13">
        <f>TableStandards[[#This Row],[In-Degree Centrality]]+TableStandards[[#This Row],[Out-Degree Centrality]]</f>
        <v>13</v>
      </c>
      <c r="P13">
        <f>COUNTIFS(Relationships!$C$1:$C$529,TableStandards[[#This Row],[Standard Number]],Relationships!$L$1:$L$529,"=TRUE")</f>
        <v>8</v>
      </c>
      <c r="Q13">
        <f>COUNTIFS(Relationships!$B$1:$B$529,TableStandards[[#This Row],[Standard Number]],Relationships!$L$1:$L$529,"=TRUE")</f>
        <v>5</v>
      </c>
      <c r="R13" s="20"/>
      <c r="T13">
        <v>8</v>
      </c>
    </row>
    <row r="14" spans="1:20" x14ac:dyDescent="0.5">
      <c r="A14">
        <v>13</v>
      </c>
      <c r="B14" t="s">
        <v>232</v>
      </c>
      <c r="C14" s="1" t="s">
        <v>233</v>
      </c>
      <c r="D14" s="61" t="s">
        <v>234</v>
      </c>
      <c r="E14" s="46" t="s">
        <v>235</v>
      </c>
      <c r="F14" s="4">
        <v>44013</v>
      </c>
      <c r="G14" s="4">
        <v>44013</v>
      </c>
      <c r="H14" t="s">
        <v>26</v>
      </c>
      <c r="I14" t="s">
        <v>27</v>
      </c>
      <c r="J14" t="s">
        <v>28</v>
      </c>
      <c r="K14" t="s">
        <v>27</v>
      </c>
      <c r="L14" t="s">
        <v>67</v>
      </c>
      <c r="M14" t="s">
        <v>27</v>
      </c>
      <c r="N14" t="str">
        <f>INDEX(Colours!$C$2:$C$14,MATCH(H14,Colours!$A$2:$A$14,0))</f>
        <v>#70AD47</v>
      </c>
      <c r="O14">
        <f>TableStandards[[#This Row],[In-Degree Centrality]]+TableStandards[[#This Row],[Out-Degree Centrality]]</f>
        <v>8</v>
      </c>
      <c r="P14">
        <f>COUNTIFS(Relationships!$C$1:$C$529,TableStandards[[#This Row],[Standard Number]],Relationships!$L$1:$L$529,"=TRUE")</f>
        <v>5</v>
      </c>
      <c r="Q14">
        <f>COUNTIFS(Relationships!$B$1:$B$529,TableStandards[[#This Row],[Standard Number]],Relationships!$L$1:$L$529,"=TRUE")</f>
        <v>3</v>
      </c>
      <c r="R14" s="20"/>
    </row>
    <row r="15" spans="1:20" x14ac:dyDescent="0.5">
      <c r="A15">
        <v>14</v>
      </c>
      <c r="B15" t="s">
        <v>59</v>
      </c>
      <c r="C15" t="s">
        <v>60</v>
      </c>
      <c r="D15" s="13"/>
      <c r="E15" s="10" t="s">
        <v>61</v>
      </c>
      <c r="F15" s="4">
        <v>40909</v>
      </c>
      <c r="G15" s="4">
        <v>43831</v>
      </c>
      <c r="H15" t="s">
        <v>62</v>
      </c>
      <c r="N15" t="str">
        <f>INDEX(Colours!$C$2:$C$14,MATCH(H15,Colours!$A$2:$A$14,0))</f>
        <v>#FFC000</v>
      </c>
      <c r="O15"/>
      <c r="P15"/>
      <c r="Q15"/>
      <c r="R15" s="20">
        <f>3+TableStandards[[#This Row],[Degree Centrality]]*17</f>
        <v>3</v>
      </c>
      <c r="T15">
        <v>10</v>
      </c>
    </row>
    <row r="16" spans="1:20" ht="16.5" customHeight="1" x14ac:dyDescent="0.5">
      <c r="A16">
        <v>15</v>
      </c>
      <c r="B16" t="s">
        <v>376</v>
      </c>
      <c r="C16" s="1" t="s">
        <v>377</v>
      </c>
      <c r="D16" s="45" t="s">
        <v>378</v>
      </c>
      <c r="E16" s="25" t="s">
        <v>61</v>
      </c>
      <c r="F16" s="4">
        <v>39448</v>
      </c>
      <c r="G16" s="4">
        <v>39448</v>
      </c>
      <c r="H16" t="s">
        <v>26</v>
      </c>
      <c r="I16" t="s">
        <v>29</v>
      </c>
      <c r="K16" t="s">
        <v>27</v>
      </c>
      <c r="L16" t="s">
        <v>67</v>
      </c>
      <c r="M16" t="s">
        <v>27</v>
      </c>
      <c r="N16" t="str">
        <f>INDEX(Colours!$C$2:$C$14,MATCH(H16,Colours!$A$2:$A$14,0))</f>
        <v>#70AD47</v>
      </c>
      <c r="O16">
        <f>TableStandards[[#This Row],[In-Degree Centrality]]+TableStandards[[#This Row],[Out-Degree Centrality]]</f>
        <v>11</v>
      </c>
      <c r="P16">
        <f>COUNTIFS(Relationships!$C$1:$C$529,TableStandards[[#This Row],[Standard Number]],Relationships!$L$1:$L$529,"=TRUE")</f>
        <v>7</v>
      </c>
      <c r="Q16">
        <f>COUNTIFS(Relationships!$B$1:$B$529,TableStandards[[#This Row],[Standard Number]],Relationships!$L$1:$L$529,"=TRUE")</f>
        <v>4</v>
      </c>
      <c r="R16" s="20"/>
    </row>
    <row r="17" spans="1:25" x14ac:dyDescent="0.5">
      <c r="A17">
        <v>16</v>
      </c>
      <c r="B17" t="s">
        <v>408</v>
      </c>
      <c r="C17" s="1" t="s">
        <v>409</v>
      </c>
      <c r="D17" s="74" t="s">
        <v>410</v>
      </c>
      <c r="E17" s="14" t="s">
        <v>411</v>
      </c>
      <c r="F17" s="4">
        <v>40299</v>
      </c>
      <c r="G17" s="4">
        <v>42501</v>
      </c>
      <c r="H17" t="s">
        <v>26</v>
      </c>
      <c r="I17" t="s">
        <v>27</v>
      </c>
      <c r="J17" t="s">
        <v>28</v>
      </c>
      <c r="K17" t="s">
        <v>27</v>
      </c>
      <c r="L17" t="s">
        <v>67</v>
      </c>
      <c r="M17" t="s">
        <v>27</v>
      </c>
      <c r="N17" t="str">
        <f>INDEX(Colours!$C$2:$C$14,MATCH(H17,Colours!$A$2:$A$14,0))</f>
        <v>#70AD47</v>
      </c>
      <c r="O17">
        <f>TableStandards[[#This Row],[In-Degree Centrality]]+TableStandards[[#This Row],[Out-Degree Centrality]]</f>
        <v>11</v>
      </c>
      <c r="P17">
        <f>COUNTIFS(Relationships!$C$1:$C$529,TableStandards[[#This Row],[Standard Number]],Relationships!$L$1:$L$529,"=TRUE")</f>
        <v>8</v>
      </c>
      <c r="Q17">
        <f>COUNTIFS(Relationships!$B$1:$B$529,TableStandards[[#This Row],[Standard Number]],Relationships!$L$1:$L$529,"=TRUE")</f>
        <v>3</v>
      </c>
      <c r="R17" s="20"/>
      <c r="T17">
        <v>11</v>
      </c>
    </row>
    <row r="18" spans="1:25" x14ac:dyDescent="0.5">
      <c r="A18">
        <v>17</v>
      </c>
      <c r="B18" t="s">
        <v>72</v>
      </c>
      <c r="C18" t="s">
        <v>73</v>
      </c>
      <c r="D18" s="13"/>
      <c r="F18" s="4">
        <v>39814</v>
      </c>
      <c r="G18" s="4">
        <v>43101</v>
      </c>
      <c r="H18" t="s">
        <v>62</v>
      </c>
      <c r="N18" t="str">
        <f>INDEX(Colours!$C$2:$C$14,MATCH(H18,Colours!$A$2:$A$14,0))</f>
        <v>#FFC000</v>
      </c>
      <c r="O18"/>
      <c r="P18"/>
      <c r="Q18"/>
      <c r="R18" s="20">
        <f>3+TableStandards[[#This Row],[Degree Centrality]]*17</f>
        <v>3</v>
      </c>
      <c r="T18">
        <v>12</v>
      </c>
    </row>
    <row r="19" spans="1:25" x14ac:dyDescent="0.5">
      <c r="A19">
        <v>18</v>
      </c>
      <c r="B19" t="s">
        <v>74</v>
      </c>
      <c r="C19" s="23" t="s">
        <v>75</v>
      </c>
      <c r="F19" s="4">
        <v>41640</v>
      </c>
      <c r="G19" s="4">
        <v>41640</v>
      </c>
      <c r="H19" t="s">
        <v>76</v>
      </c>
      <c r="N19" t="str">
        <f>INDEX(Colours!$C$2:$C$14,MATCH(H19,Colours!$A$2:$A$14,0))</f>
        <v>#44546A</v>
      </c>
      <c r="O19"/>
      <c r="P19"/>
      <c r="Q19"/>
      <c r="R19" s="20">
        <f>3+TableStandards[[#This Row],[Degree Centrality]]*17</f>
        <v>3</v>
      </c>
    </row>
    <row r="20" spans="1:25" x14ac:dyDescent="0.5">
      <c r="A20">
        <v>19</v>
      </c>
      <c r="B20" t="s">
        <v>77</v>
      </c>
      <c r="C20" t="s">
        <v>78</v>
      </c>
      <c r="F20" s="4">
        <v>30773</v>
      </c>
      <c r="G20" s="4">
        <v>43831</v>
      </c>
      <c r="H20" t="s">
        <v>79</v>
      </c>
      <c r="N20" t="str">
        <f>INDEX(Colours!$C$2:$C$14,MATCH(H20,Colours!$A$2:$A$14,0))</f>
        <v>#ED7D31</v>
      </c>
      <c r="O20"/>
      <c r="P20"/>
      <c r="Q20"/>
      <c r="R20" s="20">
        <f>3+TableStandards[[#This Row],[Degree Centrality]]*17</f>
        <v>3</v>
      </c>
    </row>
    <row r="21" spans="1:25" x14ac:dyDescent="0.5">
      <c r="A21">
        <v>20</v>
      </c>
      <c r="B21" t="s">
        <v>80</v>
      </c>
      <c r="C21" s="23" t="s">
        <v>81</v>
      </c>
      <c r="F21" s="4">
        <v>34001</v>
      </c>
      <c r="G21" s="4">
        <v>42736</v>
      </c>
      <c r="H21" t="s">
        <v>79</v>
      </c>
      <c r="N21" t="str">
        <f>INDEX(Colours!$C$2:$C$14,MATCH(H21,Colours!$A$2:$A$14,0))</f>
        <v>#ED7D31</v>
      </c>
      <c r="O21"/>
      <c r="P21"/>
      <c r="Q21"/>
      <c r="R21" s="20">
        <f>3+TableStandards[[#This Row],[Degree Centrality]]*17</f>
        <v>3</v>
      </c>
    </row>
    <row r="22" spans="1:25" x14ac:dyDescent="0.5">
      <c r="A22">
        <v>21</v>
      </c>
      <c r="B22" t="s">
        <v>82</v>
      </c>
      <c r="C22" s="23" t="s">
        <v>83</v>
      </c>
      <c r="F22" s="4">
        <v>40544</v>
      </c>
      <c r="G22" s="4">
        <v>44197</v>
      </c>
      <c r="H22" t="s">
        <v>84</v>
      </c>
      <c r="N22" t="str">
        <f>INDEX(Colours!$C$2:$C$14,MATCH(H22,Colours!$A$2:$A$14,0))</f>
        <v>#4472C4</v>
      </c>
      <c r="O22"/>
      <c r="P22"/>
      <c r="Q22"/>
      <c r="R22" s="20">
        <f>3+TableStandards[[#This Row],[Degree Centrality]]*17</f>
        <v>3</v>
      </c>
    </row>
    <row r="23" spans="1:25" x14ac:dyDescent="0.5">
      <c r="A23">
        <v>22</v>
      </c>
      <c r="B23" t="s">
        <v>85</v>
      </c>
      <c r="C23" s="23" t="s">
        <v>86</v>
      </c>
      <c r="F23" s="4">
        <v>31837</v>
      </c>
      <c r="G23" s="4">
        <v>42248</v>
      </c>
      <c r="H23" t="s">
        <v>87</v>
      </c>
      <c r="N23" t="str">
        <f>INDEX(Colours!$C$2:$C$14,MATCH(H23,Colours!$A$2:$A$14,0))</f>
        <v>#C00000</v>
      </c>
      <c r="O23"/>
      <c r="P23"/>
      <c r="Q23"/>
      <c r="R23" s="20">
        <f>3+TableStandards[[#This Row],[Degree Centrality]]*17</f>
        <v>3</v>
      </c>
    </row>
    <row r="24" spans="1:25" x14ac:dyDescent="0.5">
      <c r="A24">
        <v>23</v>
      </c>
      <c r="B24" t="s">
        <v>88</v>
      </c>
      <c r="C24" t="s">
        <v>89</v>
      </c>
      <c r="F24" s="4">
        <v>41275</v>
      </c>
      <c r="G24" s="4">
        <v>41275</v>
      </c>
      <c r="H24" t="s">
        <v>19</v>
      </c>
      <c r="N24" t="str">
        <f>INDEX(Colours!$C$2:$C$14,MATCH(H24,Colours!$A$2:$A$14,0))</f>
        <v>#7030A0</v>
      </c>
      <c r="O24"/>
      <c r="P24"/>
      <c r="Q24"/>
      <c r="R24" s="20">
        <f>3+TableStandards[[#This Row],[Degree Centrality]]*17</f>
        <v>3</v>
      </c>
    </row>
    <row r="25" spans="1:25" x14ac:dyDescent="0.5">
      <c r="A25">
        <v>24</v>
      </c>
      <c r="B25" t="s">
        <v>90</v>
      </c>
      <c r="C25" t="s">
        <v>91</v>
      </c>
      <c r="F25" s="4">
        <v>42005</v>
      </c>
      <c r="G25" s="4">
        <v>42005</v>
      </c>
      <c r="H25" t="s">
        <v>19</v>
      </c>
      <c r="N25" t="str">
        <f>INDEX(Colours!$C$2:$C$14,MATCH(H25,Colours!$A$2:$A$14,0))</f>
        <v>#7030A0</v>
      </c>
      <c r="O25"/>
      <c r="P25"/>
      <c r="Q25"/>
      <c r="R25" s="20">
        <f>3+TableStandards[[#This Row],[Degree Centrality]]*17</f>
        <v>3</v>
      </c>
    </row>
    <row r="26" spans="1:25" x14ac:dyDescent="0.5">
      <c r="A26">
        <v>25</v>
      </c>
      <c r="B26" t="s">
        <v>92</v>
      </c>
      <c r="C26" t="s">
        <v>93</v>
      </c>
      <c r="F26" s="4">
        <v>39814</v>
      </c>
      <c r="G26" s="4">
        <v>43831</v>
      </c>
      <c r="H26" t="s">
        <v>19</v>
      </c>
      <c r="N26" t="str">
        <f>INDEX(Colours!$C$2:$C$14,MATCH(H26,Colours!$A$2:$A$14,0))</f>
        <v>#7030A0</v>
      </c>
      <c r="O26"/>
      <c r="P26"/>
      <c r="Q26"/>
      <c r="R26" s="20">
        <f>3+TableStandards[[#This Row],[Degree Centrality]]*17</f>
        <v>3</v>
      </c>
    </row>
    <row r="27" spans="1:25" x14ac:dyDescent="0.5">
      <c r="A27">
        <v>26</v>
      </c>
      <c r="B27" t="s">
        <v>94</v>
      </c>
      <c r="C27" t="s">
        <v>95</v>
      </c>
      <c r="F27" s="4">
        <v>40179</v>
      </c>
      <c r="G27" s="4">
        <v>42736</v>
      </c>
      <c r="H27" t="s">
        <v>19</v>
      </c>
      <c r="N27" t="str">
        <f>INDEX(Colours!$C$2:$C$14,MATCH(H27,Colours!$A$2:$A$14,0))</f>
        <v>#7030A0</v>
      </c>
      <c r="O27"/>
      <c r="P27"/>
      <c r="Q27"/>
      <c r="R27" s="20">
        <f>3+TableStandards[[#This Row],[Degree Centrality]]*17</f>
        <v>3</v>
      </c>
    </row>
    <row r="28" spans="1:25" x14ac:dyDescent="0.5">
      <c r="A28">
        <v>27</v>
      </c>
      <c r="B28" t="s">
        <v>96</v>
      </c>
      <c r="C28" s="12" t="s">
        <v>97</v>
      </c>
      <c r="D28" s="12"/>
      <c r="E28" s="46" t="s">
        <v>98</v>
      </c>
      <c r="F28" s="4">
        <v>40909</v>
      </c>
      <c r="G28" s="4">
        <v>44958</v>
      </c>
      <c r="H28" t="s">
        <v>26</v>
      </c>
      <c r="I28" t="s">
        <v>29</v>
      </c>
      <c r="K28" t="s">
        <v>27</v>
      </c>
      <c r="L28" t="s">
        <v>67</v>
      </c>
      <c r="M28" t="s">
        <v>27</v>
      </c>
      <c r="N28" t="str">
        <f>INDEX(Colours!$C$2:$C$14,MATCH(H28,Colours!$A$2:$A$14,0))</f>
        <v>#70AD47</v>
      </c>
      <c r="O28">
        <f>TableStandards[[#This Row],[In-Degree Centrality]]+TableStandards[[#This Row],[Out-Degree Centrality]]</f>
        <v>12</v>
      </c>
      <c r="P28">
        <f>COUNTIFS(Relationships!$C$1:$C$529,TableStandards[[#This Row],[Standard Number]],Relationships!$L$1:$L$529,"=TRUE")</f>
        <v>5</v>
      </c>
      <c r="Q28">
        <f>COUNTIFS(Relationships!$B$1:$B$529,TableStandards[[#This Row],[Standard Number]],Relationships!$L$1:$L$529,"=TRUE")</f>
        <v>7</v>
      </c>
      <c r="R28" s="20"/>
    </row>
    <row r="29" spans="1:25" s="11" customFormat="1" x14ac:dyDescent="0.5">
      <c r="A29">
        <v>28</v>
      </c>
      <c r="B29" t="s">
        <v>99</v>
      </c>
      <c r="C29" s="13" t="s">
        <v>100</v>
      </c>
      <c r="D29" s="13"/>
      <c r="E29" s="13"/>
      <c r="F29" s="4">
        <v>38353</v>
      </c>
      <c r="G29" s="4">
        <v>42736</v>
      </c>
      <c r="H29" t="s">
        <v>19</v>
      </c>
      <c r="I29"/>
      <c r="J29"/>
      <c r="K29"/>
      <c r="L29" t="s">
        <v>67</v>
      </c>
      <c r="M29"/>
      <c r="N29" t="str">
        <f>INDEX(Colours!$C$2:$C$14,MATCH(H29,Colours!$A$2:$A$14,0))</f>
        <v>#7030A0</v>
      </c>
      <c r="O29"/>
      <c r="P29"/>
      <c r="Q29"/>
      <c r="R29" s="20">
        <f>3+TableStandards[[#This Row],[Degree Centrality]]*17</f>
        <v>3</v>
      </c>
      <c r="S29"/>
      <c r="T29">
        <v>13</v>
      </c>
      <c r="U29"/>
      <c r="V29"/>
      <c r="W29"/>
      <c r="X29"/>
      <c r="Y29"/>
    </row>
    <row r="30" spans="1:25" x14ac:dyDescent="0.5">
      <c r="A30">
        <v>29</v>
      </c>
      <c r="B30" t="s">
        <v>101</v>
      </c>
      <c r="C30" t="s">
        <v>102</v>
      </c>
      <c r="F30" s="4">
        <v>41640</v>
      </c>
      <c r="G30" s="4">
        <v>44197</v>
      </c>
      <c r="H30" t="s">
        <v>103</v>
      </c>
      <c r="L30" t="s">
        <v>67</v>
      </c>
      <c r="N30" t="str">
        <f>INDEX(Colours!$C$2:$C$14,MATCH(H30,Colours!$A$2:$A$14,0))</f>
        <v>#595959</v>
      </c>
      <c r="O30"/>
      <c r="P30"/>
      <c r="Q30"/>
      <c r="R30" s="20">
        <f>3+TableStandards[[#This Row],[Degree Centrality]]*17</f>
        <v>3</v>
      </c>
    </row>
    <row r="31" spans="1:25" x14ac:dyDescent="0.5">
      <c r="A31">
        <v>30</v>
      </c>
      <c r="B31" t="s">
        <v>104</v>
      </c>
      <c r="C31" t="s">
        <v>105</v>
      </c>
      <c r="F31" s="4">
        <v>37257</v>
      </c>
      <c r="G31" s="4">
        <v>43282</v>
      </c>
      <c r="H31" t="s">
        <v>87</v>
      </c>
      <c r="L31" t="s">
        <v>67</v>
      </c>
      <c r="N31" t="str">
        <f>INDEX(Colours!$C$2:$C$14,MATCH(H31,Colours!$A$2:$A$14,0))</f>
        <v>#C00000</v>
      </c>
      <c r="O31"/>
      <c r="P31"/>
      <c r="Q31"/>
      <c r="R31" s="20">
        <f>3+TableStandards[[#This Row],[Degree Centrality]]*17</f>
        <v>3</v>
      </c>
    </row>
    <row r="32" spans="1:25" x14ac:dyDescent="0.5">
      <c r="A32">
        <v>31</v>
      </c>
      <c r="B32" t="s">
        <v>106</v>
      </c>
      <c r="C32" t="s">
        <v>107</v>
      </c>
      <c r="F32" s="4">
        <v>42736</v>
      </c>
      <c r="G32" s="4">
        <v>42736</v>
      </c>
      <c r="H32" t="s">
        <v>103</v>
      </c>
      <c r="N32" t="str">
        <f>INDEX(Colours!$C$2:$C$14,MATCH(H32,Colours!$A$2:$A$14,0))</f>
        <v>#595959</v>
      </c>
      <c r="O32"/>
      <c r="P32"/>
      <c r="Q32"/>
      <c r="R32" s="20">
        <f>3+TableStandards[[#This Row],[Degree Centrality]]*17</f>
        <v>3</v>
      </c>
    </row>
    <row r="33" spans="1:20" x14ac:dyDescent="0.5">
      <c r="A33">
        <v>32</v>
      </c>
      <c r="B33" t="s">
        <v>108</v>
      </c>
      <c r="C33" t="s">
        <v>109</v>
      </c>
      <c r="F33" s="4">
        <v>37987</v>
      </c>
      <c r="G33" s="4">
        <v>42736</v>
      </c>
      <c r="H33" t="s">
        <v>19</v>
      </c>
      <c r="N33" t="str">
        <f>INDEX(Colours!$C$2:$C$14,MATCH(H33,Colours!$A$2:$A$14,0))</f>
        <v>#7030A0</v>
      </c>
      <c r="O33"/>
      <c r="P33"/>
      <c r="Q33"/>
      <c r="R33" s="20">
        <f>3+TableStandards[[#This Row],[Degree Centrality]]*17</f>
        <v>3</v>
      </c>
    </row>
    <row r="34" spans="1:20" x14ac:dyDescent="0.5">
      <c r="A34">
        <v>33</v>
      </c>
      <c r="B34" t="s">
        <v>110</v>
      </c>
      <c r="C34" s="23" t="s">
        <v>111</v>
      </c>
      <c r="F34" s="4">
        <v>41640</v>
      </c>
      <c r="G34" s="4">
        <v>41640</v>
      </c>
      <c r="H34" t="s">
        <v>76</v>
      </c>
      <c r="N34" t="str">
        <f>INDEX(Colours!$C$2:$C$14,MATCH(H34,Colours!$A$2:$A$14,0))</f>
        <v>#44546A</v>
      </c>
      <c r="O34"/>
      <c r="P34"/>
      <c r="Q34"/>
      <c r="R34" s="20">
        <f>3+TableStandards[[#This Row],[Degree Centrality]]*17</f>
        <v>3</v>
      </c>
    </row>
    <row r="35" spans="1:20" x14ac:dyDescent="0.5">
      <c r="A35">
        <v>34</v>
      </c>
      <c r="B35" t="s">
        <v>112</v>
      </c>
      <c r="C35" s="23" t="s">
        <v>113</v>
      </c>
      <c r="F35" s="4">
        <v>41640</v>
      </c>
      <c r="G35" s="4">
        <v>43101</v>
      </c>
      <c r="H35" t="s">
        <v>76</v>
      </c>
      <c r="N35" t="str">
        <f>INDEX(Colours!$C$2:$C$14,MATCH(H35,Colours!$A$2:$A$14,0))</f>
        <v>#44546A</v>
      </c>
      <c r="O35"/>
      <c r="P35"/>
      <c r="Q35"/>
      <c r="R35" s="20">
        <f>3+TableStandards[[#This Row],[Degree Centrality]]*17</f>
        <v>3</v>
      </c>
    </row>
    <row r="36" spans="1:20" x14ac:dyDescent="0.5">
      <c r="A36">
        <v>35</v>
      </c>
      <c r="B36" t="s">
        <v>114</v>
      </c>
      <c r="C36" s="23" t="s">
        <v>115</v>
      </c>
      <c r="F36" s="4">
        <v>43101</v>
      </c>
      <c r="G36" s="4">
        <v>43101</v>
      </c>
      <c r="H36" t="s">
        <v>76</v>
      </c>
      <c r="N36" t="str">
        <f>INDEX(Colours!$C$2:$C$14,MATCH(H36,Colours!$A$2:$A$14,0))</f>
        <v>#44546A</v>
      </c>
      <c r="O36"/>
      <c r="P36"/>
      <c r="Q36"/>
      <c r="R36" s="20">
        <f>3+TableStandards[[#This Row],[Degree Centrality]]*17</f>
        <v>3</v>
      </c>
    </row>
    <row r="37" spans="1:20" x14ac:dyDescent="0.5">
      <c r="A37">
        <v>36</v>
      </c>
      <c r="B37" t="s">
        <v>116</v>
      </c>
      <c r="C37" t="s">
        <v>117</v>
      </c>
      <c r="F37" s="4">
        <v>41640</v>
      </c>
      <c r="G37" s="4">
        <v>41640</v>
      </c>
      <c r="H37" t="s">
        <v>103</v>
      </c>
      <c r="N37" t="str">
        <f>INDEX(Colours!$C$2:$C$14,MATCH(H37,Colours!$A$2:$A$14,0))</f>
        <v>#595959</v>
      </c>
      <c r="O37"/>
      <c r="P37"/>
      <c r="Q37"/>
      <c r="R37" s="20">
        <f>3+TableStandards[[#This Row],[Degree Centrality]]*17</f>
        <v>3</v>
      </c>
    </row>
    <row r="38" spans="1:20" x14ac:dyDescent="0.5">
      <c r="A38">
        <v>37</v>
      </c>
      <c r="B38" t="s">
        <v>118</v>
      </c>
      <c r="C38" t="s">
        <v>119</v>
      </c>
      <c r="F38" s="4">
        <v>41275</v>
      </c>
      <c r="G38" s="4">
        <v>41275</v>
      </c>
      <c r="H38" t="s">
        <v>19</v>
      </c>
      <c r="N38" t="str">
        <f>INDEX(Colours!$C$2:$C$14,MATCH(H38,Colours!$A$2:$A$14,0))</f>
        <v>#7030A0</v>
      </c>
      <c r="O38"/>
      <c r="P38"/>
      <c r="Q38"/>
      <c r="R38" s="20">
        <f>3+TableStandards[[#This Row],[Degree Centrality]]*17</f>
        <v>3</v>
      </c>
    </row>
    <row r="39" spans="1:20" x14ac:dyDescent="0.5">
      <c r="A39">
        <v>38</v>
      </c>
      <c r="B39" t="s">
        <v>120</v>
      </c>
      <c r="C39" t="s">
        <v>121</v>
      </c>
      <c r="F39" s="4">
        <v>37257</v>
      </c>
      <c r="G39" s="4">
        <v>42005</v>
      </c>
      <c r="H39" t="s">
        <v>19</v>
      </c>
      <c r="N39" t="str">
        <f>INDEX(Colours!$C$2:$C$14,MATCH(H39,Colours!$A$2:$A$14,0))</f>
        <v>#7030A0</v>
      </c>
      <c r="O39"/>
      <c r="P39"/>
      <c r="Q39"/>
      <c r="R39" s="20">
        <f>3+TableStandards[[#This Row],[Degree Centrality]]*17</f>
        <v>3</v>
      </c>
    </row>
    <row r="40" spans="1:20" x14ac:dyDescent="0.5">
      <c r="A40">
        <v>39</v>
      </c>
      <c r="B40" t="s">
        <v>122</v>
      </c>
      <c r="C40" t="s">
        <v>123</v>
      </c>
      <c r="F40" s="4">
        <v>39814</v>
      </c>
      <c r="G40" s="4">
        <v>39814</v>
      </c>
      <c r="H40" t="s">
        <v>19</v>
      </c>
      <c r="N40" t="str">
        <f>INDEX(Colours!$C$2:$C$14,MATCH(H40,Colours!$A$2:$A$14,0))</f>
        <v>#7030A0</v>
      </c>
      <c r="O40"/>
      <c r="P40"/>
      <c r="Q40"/>
      <c r="R40" s="20">
        <f>3+TableStandards[[#This Row],[Degree Centrality]]*17</f>
        <v>3</v>
      </c>
    </row>
    <row r="41" spans="1:20" x14ac:dyDescent="0.5">
      <c r="A41">
        <v>41</v>
      </c>
      <c r="B41" t="s">
        <v>124</v>
      </c>
      <c r="C41" t="s">
        <v>125</v>
      </c>
      <c r="F41" s="4">
        <v>36526</v>
      </c>
      <c r="G41" s="4">
        <v>39814</v>
      </c>
      <c r="H41" t="s">
        <v>103</v>
      </c>
      <c r="N41" t="str">
        <f>INDEX(Colours!$C$2:$C$14,MATCH(H41,Colours!$A$2:$A$14,0))</f>
        <v>#595959</v>
      </c>
      <c r="O41"/>
      <c r="P41"/>
      <c r="Q41"/>
      <c r="R41" s="20">
        <f>3+TableStandards[[#This Row],[Degree Centrality]]*17</f>
        <v>3</v>
      </c>
    </row>
    <row r="42" spans="1:20" x14ac:dyDescent="0.5">
      <c r="A42">
        <v>42</v>
      </c>
      <c r="B42" t="s">
        <v>126</v>
      </c>
      <c r="C42" t="s">
        <v>127</v>
      </c>
      <c r="F42" s="4">
        <v>36526</v>
      </c>
      <c r="G42" s="4">
        <v>43466</v>
      </c>
      <c r="H42" t="s">
        <v>103</v>
      </c>
      <c r="N42" t="str">
        <f>INDEX(Colours!$C$2:$C$14,MATCH(H42,Colours!$A$2:$A$14,0))</f>
        <v>#595959</v>
      </c>
      <c r="O42"/>
      <c r="P42"/>
      <c r="Q42"/>
      <c r="R42" s="20">
        <f>3+TableStandards[[#This Row],[Degree Centrality]]*17</f>
        <v>3</v>
      </c>
    </row>
    <row r="43" spans="1:20" x14ac:dyDescent="0.5">
      <c r="A43">
        <v>43</v>
      </c>
      <c r="B43" t="s">
        <v>128</v>
      </c>
      <c r="C43" t="s">
        <v>129</v>
      </c>
      <c r="F43" s="4">
        <v>34335</v>
      </c>
      <c r="G43" s="4">
        <v>37987</v>
      </c>
      <c r="H43" t="s">
        <v>19</v>
      </c>
      <c r="N43" t="str">
        <f>INDEX(Colours!$C$2:$C$14,MATCH(H43,Colours!$A$2:$A$14,0))</f>
        <v>#7030A0</v>
      </c>
      <c r="O43"/>
      <c r="P43"/>
      <c r="Q43"/>
      <c r="R43" s="20">
        <f>3+TableStandards[[#This Row],[Degree Centrality]]*17</f>
        <v>3</v>
      </c>
    </row>
    <row r="44" spans="1:20" x14ac:dyDescent="0.5">
      <c r="A44">
        <v>44</v>
      </c>
      <c r="B44" t="s">
        <v>130</v>
      </c>
      <c r="C44" t="s">
        <v>131</v>
      </c>
      <c r="F44" s="4">
        <v>37622</v>
      </c>
      <c r="G44" s="4">
        <v>42736</v>
      </c>
      <c r="H44" t="s">
        <v>19</v>
      </c>
      <c r="N44" t="str">
        <f>INDEX(Colours!$C$2:$C$14,MATCH(H44,Colours!$A$2:$A$14,0))</f>
        <v>#7030A0</v>
      </c>
      <c r="O44"/>
      <c r="P44"/>
      <c r="Q44"/>
      <c r="R44" s="20">
        <f>3+TableStandards[[#This Row],[Degree Centrality]]*17</f>
        <v>3</v>
      </c>
    </row>
    <row r="45" spans="1:20" x14ac:dyDescent="0.5">
      <c r="A45">
        <v>45</v>
      </c>
      <c r="B45" t="s">
        <v>132</v>
      </c>
      <c r="C45" t="s">
        <v>133</v>
      </c>
      <c r="F45" s="4">
        <v>29707</v>
      </c>
      <c r="G45" s="4">
        <v>44044</v>
      </c>
      <c r="H45" t="s">
        <v>103</v>
      </c>
      <c r="N45" t="str">
        <f>INDEX(Colours!$C$2:$C$14,MATCH(H45,Colours!$A$2:$A$14,0))</f>
        <v>#595959</v>
      </c>
      <c r="O45"/>
      <c r="P45"/>
      <c r="Q45"/>
      <c r="R45" s="20">
        <f>3+TableStandards[[#This Row],[Degree Centrality]]*17</f>
        <v>3</v>
      </c>
    </row>
    <row r="46" spans="1:20" x14ac:dyDescent="0.5">
      <c r="A46">
        <v>46</v>
      </c>
      <c r="B46" t="s">
        <v>134</v>
      </c>
      <c r="C46" t="s">
        <v>135</v>
      </c>
      <c r="F46" s="4">
        <v>34669</v>
      </c>
      <c r="G46" s="4">
        <v>43770</v>
      </c>
      <c r="H46" t="s">
        <v>19</v>
      </c>
      <c r="N46" t="str">
        <f>INDEX(Colours!$C$2:$C$14,MATCH(H46,Colours!$A$2:$A$14,0))</f>
        <v>#7030A0</v>
      </c>
      <c r="O46"/>
      <c r="P46"/>
      <c r="Q46"/>
      <c r="R46" s="20">
        <f>3+TableStandards[[#This Row],[Degree Centrality]]*17</f>
        <v>3</v>
      </c>
    </row>
    <row r="47" spans="1:20" x14ac:dyDescent="0.5">
      <c r="A47">
        <v>47</v>
      </c>
      <c r="B47" t="s">
        <v>136</v>
      </c>
      <c r="C47" t="s">
        <v>137</v>
      </c>
      <c r="D47" s="13"/>
      <c r="E47" s="13"/>
      <c r="F47" s="4">
        <v>39417</v>
      </c>
      <c r="G47" s="4">
        <v>39417</v>
      </c>
      <c r="H47" t="s">
        <v>19</v>
      </c>
      <c r="N47" t="str">
        <f>INDEX(Colours!$C$2:$C$14,MATCH(H47,Colours!$A$2:$A$14,0))</f>
        <v>#7030A0</v>
      </c>
      <c r="O47"/>
      <c r="P47"/>
      <c r="Q47"/>
      <c r="R47" s="20">
        <f>3+TableStandards[[#This Row],[Degree Centrality]]*17</f>
        <v>3</v>
      </c>
      <c r="T47">
        <v>14</v>
      </c>
    </row>
    <row r="48" spans="1:20" x14ac:dyDescent="0.5">
      <c r="A48">
        <v>48</v>
      </c>
      <c r="B48" t="s">
        <v>138</v>
      </c>
      <c r="C48" s="13" t="s">
        <v>139</v>
      </c>
      <c r="E48" s="13"/>
      <c r="F48" s="4">
        <v>37622</v>
      </c>
      <c r="G48" s="4">
        <v>37622</v>
      </c>
      <c r="H48" t="s">
        <v>19</v>
      </c>
      <c r="N48" t="str">
        <f>INDEX(Colours!$C$2:$C$14,MATCH(H48,Colours!$A$2:$A$14,0))</f>
        <v>#7030A0</v>
      </c>
      <c r="O48"/>
      <c r="P48"/>
      <c r="Q48"/>
      <c r="R48" s="20">
        <f>3+TableStandards[[#This Row],[Degree Centrality]]*17</f>
        <v>3</v>
      </c>
      <c r="T48">
        <v>15</v>
      </c>
    </row>
    <row r="49" spans="1:20" x14ac:dyDescent="0.5">
      <c r="A49">
        <v>49</v>
      </c>
      <c r="B49" t="s">
        <v>170</v>
      </c>
      <c r="C49" s="1" t="s">
        <v>171</v>
      </c>
      <c r="D49" s="61" t="s">
        <v>172</v>
      </c>
      <c r="E49" s="25" t="s">
        <v>173</v>
      </c>
      <c r="F49" s="4">
        <v>42036</v>
      </c>
      <c r="G49" s="4">
        <v>42153</v>
      </c>
      <c r="H49" t="s">
        <v>26</v>
      </c>
      <c r="I49" t="s">
        <v>27</v>
      </c>
      <c r="J49" t="s">
        <v>28</v>
      </c>
      <c r="K49" t="s">
        <v>27</v>
      </c>
      <c r="L49" t="s">
        <v>67</v>
      </c>
      <c r="M49" t="s">
        <v>27</v>
      </c>
      <c r="N49" t="str">
        <f>INDEX(Colours!$C$2:$C$14,MATCH(H49,Colours!$A$2:$A$14,0))</f>
        <v>#70AD47</v>
      </c>
      <c r="O49">
        <f>TableStandards[[#This Row],[In-Degree Centrality]]+TableStandards[[#This Row],[Out-Degree Centrality]]</f>
        <v>6</v>
      </c>
      <c r="P49">
        <f>COUNTIFS(Relationships!$C$1:$C$529,TableStandards[[#This Row],[Standard Number]],Relationships!$L$1:$L$529,"=TRUE")</f>
        <v>3</v>
      </c>
      <c r="Q49">
        <f>COUNTIFS(Relationships!$B$1:$B$529,TableStandards[[#This Row],[Standard Number]],Relationships!$L$1:$L$529,"=TRUE")</f>
        <v>3</v>
      </c>
      <c r="R49" s="20"/>
      <c r="T49">
        <v>16</v>
      </c>
    </row>
    <row r="50" spans="1:20" x14ac:dyDescent="0.5">
      <c r="A50">
        <v>50</v>
      </c>
      <c r="B50" t="s">
        <v>174</v>
      </c>
      <c r="C50" s="45" t="s">
        <v>175</v>
      </c>
      <c r="D50" t="s">
        <v>176</v>
      </c>
      <c r="E50" s="67" t="s">
        <v>177</v>
      </c>
      <c r="F50" s="4">
        <v>42675</v>
      </c>
      <c r="G50" s="4">
        <v>42519</v>
      </c>
      <c r="H50" t="s">
        <v>26</v>
      </c>
      <c r="I50" t="s">
        <v>27</v>
      </c>
      <c r="J50" t="s">
        <v>28</v>
      </c>
      <c r="K50" t="s">
        <v>27</v>
      </c>
      <c r="L50" t="s">
        <v>67</v>
      </c>
      <c r="M50" t="s">
        <v>27</v>
      </c>
      <c r="N50" t="str">
        <f>INDEX(Colours!$C$2:$C$14,MATCH(H50,Colours!$A$2:$A$14,0))</f>
        <v>#70AD47</v>
      </c>
      <c r="O50">
        <f>TableStandards[[#This Row],[In-Degree Centrality]]+TableStandards[[#This Row],[Out-Degree Centrality]]</f>
        <v>8</v>
      </c>
      <c r="P50">
        <f>COUNTIFS(Relationships!$C$1:$C$529,TableStandards[[#This Row],[Standard Number]],Relationships!$L$1:$L$529,"=TRUE")</f>
        <v>2</v>
      </c>
      <c r="Q50">
        <f>COUNTIFS(Relationships!$B$1:$B$529,TableStandards[[#This Row],[Standard Number]],Relationships!$L$1:$L$529,"=TRUE")</f>
        <v>6</v>
      </c>
      <c r="R50" s="20"/>
    </row>
    <row r="51" spans="1:20" x14ac:dyDescent="0.5">
      <c r="A51">
        <v>52</v>
      </c>
      <c r="B51" t="s">
        <v>148</v>
      </c>
      <c r="C51" t="s">
        <v>149</v>
      </c>
      <c r="F51" s="4">
        <v>37987</v>
      </c>
      <c r="G51" s="4">
        <v>37987</v>
      </c>
      <c r="H51" t="s">
        <v>84</v>
      </c>
      <c r="N51" t="str">
        <f>INDEX(Colours!$C$2:$C$14,MATCH(H51,Colours!$A$2:$A$14,0))</f>
        <v>#4472C4</v>
      </c>
      <c r="O51"/>
      <c r="P51"/>
      <c r="Q51"/>
      <c r="R51" s="20">
        <f>3+TableStandards[[#This Row],[Degree Centrality]]*17</f>
        <v>3</v>
      </c>
    </row>
    <row r="52" spans="1:20" x14ac:dyDescent="0.5">
      <c r="A52">
        <v>53</v>
      </c>
      <c r="B52" t="s">
        <v>150</v>
      </c>
      <c r="C52" t="s">
        <v>151</v>
      </c>
      <c r="F52" s="4">
        <v>35796</v>
      </c>
      <c r="G52" s="4">
        <v>40179</v>
      </c>
      <c r="H52" t="s">
        <v>84</v>
      </c>
      <c r="N52" t="str">
        <f>INDEX(Colours!$C$2:$C$14,MATCH(H52,Colours!$A$2:$A$14,0))</f>
        <v>#4472C4</v>
      </c>
      <c r="O52"/>
      <c r="P52"/>
      <c r="Q52"/>
      <c r="R52" s="20">
        <f>3+TableStandards[[#This Row],[Degree Centrality]]*17</f>
        <v>3</v>
      </c>
    </row>
    <row r="53" spans="1:20" x14ac:dyDescent="0.5">
      <c r="A53">
        <v>54</v>
      </c>
      <c r="B53" t="s">
        <v>152</v>
      </c>
      <c r="C53" t="s">
        <v>153</v>
      </c>
      <c r="F53" s="4">
        <v>40909</v>
      </c>
      <c r="G53" s="4">
        <v>40909</v>
      </c>
      <c r="H53" t="s">
        <v>19</v>
      </c>
      <c r="N53" t="str">
        <f>INDEX(Colours!$C$2:$C$14,MATCH(H53,Colours!$A$2:$A$14,0))</f>
        <v>#7030A0</v>
      </c>
      <c r="O53"/>
      <c r="P53"/>
      <c r="Q53"/>
      <c r="R53" s="20">
        <f>3+TableStandards[[#This Row],[Degree Centrality]]*17</f>
        <v>3</v>
      </c>
    </row>
    <row r="54" spans="1:20" x14ac:dyDescent="0.5">
      <c r="A54">
        <v>55</v>
      </c>
      <c r="B54" t="s">
        <v>154</v>
      </c>
      <c r="C54" t="s">
        <v>155</v>
      </c>
      <c r="F54" s="4">
        <v>39814</v>
      </c>
      <c r="G54" s="4">
        <v>39814</v>
      </c>
      <c r="H54" t="s">
        <v>84</v>
      </c>
      <c r="N54" t="str">
        <f>INDEX(Colours!$C$2:$C$14,MATCH(H54,Colours!$A$2:$A$14,0))</f>
        <v>#4472C4</v>
      </c>
      <c r="O54"/>
      <c r="P54"/>
      <c r="Q54"/>
      <c r="R54" s="20">
        <f>3+TableStandards[[#This Row],[Degree Centrality]]*17</f>
        <v>3</v>
      </c>
    </row>
    <row r="55" spans="1:20" x14ac:dyDescent="0.5">
      <c r="A55">
        <v>56</v>
      </c>
      <c r="B55" t="s">
        <v>156</v>
      </c>
      <c r="C55" s="23" t="s">
        <v>157</v>
      </c>
      <c r="F55" s="4">
        <v>37987</v>
      </c>
      <c r="G55" s="4">
        <v>37987</v>
      </c>
      <c r="H55" t="s">
        <v>76</v>
      </c>
      <c r="N55" t="str">
        <f>INDEX(Colours!$C$2:$C$14,MATCH(H55,Colours!$A$2:$A$14,0))</f>
        <v>#44546A</v>
      </c>
      <c r="O55"/>
      <c r="P55"/>
      <c r="Q55"/>
      <c r="R55" s="20">
        <f>3+TableStandards[[#This Row],[Degree Centrality]]*17</f>
        <v>3</v>
      </c>
    </row>
    <row r="56" spans="1:20" x14ac:dyDescent="0.5">
      <c r="A56">
        <v>57</v>
      </c>
      <c r="B56" t="s">
        <v>158</v>
      </c>
      <c r="C56" t="s">
        <v>159</v>
      </c>
      <c r="F56" s="4">
        <v>39083</v>
      </c>
      <c r="G56" s="4">
        <v>41640</v>
      </c>
      <c r="H56" t="s">
        <v>84</v>
      </c>
      <c r="N56" t="str">
        <f>INDEX(Colours!$C$2:$C$14,MATCH(H56,Colours!$A$2:$A$14,0))</f>
        <v>#4472C4</v>
      </c>
      <c r="O56"/>
      <c r="P56"/>
      <c r="Q56"/>
      <c r="R56" s="20">
        <f>3+TableStandards[[#This Row],[Degree Centrality]]*17</f>
        <v>3</v>
      </c>
    </row>
    <row r="57" spans="1:20" x14ac:dyDescent="0.5">
      <c r="A57">
        <v>58</v>
      </c>
      <c r="B57" t="s">
        <v>160</v>
      </c>
      <c r="C57" t="s">
        <v>161</v>
      </c>
      <c r="F57" s="4">
        <v>34669</v>
      </c>
      <c r="G57" s="4">
        <v>43770</v>
      </c>
      <c r="H57" t="s">
        <v>84</v>
      </c>
      <c r="N57" t="str">
        <f>INDEX(Colours!$C$2:$C$14,MATCH(H57,Colours!$A$2:$A$14,0))</f>
        <v>#4472C4</v>
      </c>
      <c r="O57"/>
      <c r="P57"/>
      <c r="Q57"/>
      <c r="R57" s="20">
        <f>3+TableStandards[[#This Row],[Degree Centrality]]*17</f>
        <v>3</v>
      </c>
    </row>
    <row r="58" spans="1:20" x14ac:dyDescent="0.5">
      <c r="A58">
        <v>59</v>
      </c>
      <c r="B58" t="s">
        <v>162</v>
      </c>
      <c r="C58" t="s">
        <v>163</v>
      </c>
      <c r="F58" s="4">
        <v>34700</v>
      </c>
      <c r="G58" s="4">
        <v>42736</v>
      </c>
      <c r="H58" t="s">
        <v>19</v>
      </c>
      <c r="N58" t="str">
        <f>INDEX(Colours!$C$2:$C$14,MATCH(H58,Colours!$A$2:$A$14,0))</f>
        <v>#7030A0</v>
      </c>
      <c r="O58"/>
      <c r="P58"/>
      <c r="Q58"/>
      <c r="R58" s="20">
        <f>3+TableStandards[[#This Row],[Degree Centrality]]*17</f>
        <v>3</v>
      </c>
    </row>
    <row r="59" spans="1:20" x14ac:dyDescent="0.5">
      <c r="A59">
        <v>60</v>
      </c>
      <c r="B59" t="s">
        <v>164</v>
      </c>
      <c r="C59" t="s">
        <v>165</v>
      </c>
      <c r="F59" s="4">
        <v>37622</v>
      </c>
      <c r="G59" s="4">
        <v>39356</v>
      </c>
      <c r="H59" t="s">
        <v>19</v>
      </c>
      <c r="N59" t="str">
        <f>INDEX(Colours!$C$2:$C$14,MATCH(H59,Colours!$A$2:$A$14,0))</f>
        <v>#7030A0</v>
      </c>
      <c r="O59"/>
      <c r="P59"/>
      <c r="Q59"/>
      <c r="R59" s="20">
        <f>3+TableStandards[[#This Row],[Degree Centrality]]*17</f>
        <v>3</v>
      </c>
    </row>
    <row r="60" spans="1:20" x14ac:dyDescent="0.5">
      <c r="A60">
        <v>61</v>
      </c>
      <c r="B60" t="s">
        <v>166</v>
      </c>
      <c r="C60" t="s">
        <v>167</v>
      </c>
      <c r="F60" s="4">
        <v>36495</v>
      </c>
      <c r="G60" s="4">
        <v>36495</v>
      </c>
      <c r="H60" t="s">
        <v>84</v>
      </c>
      <c r="N60" t="str">
        <f>INDEX(Colours!$C$2:$C$14,MATCH(H60,Colours!$A$2:$A$14,0))</f>
        <v>#4472C4</v>
      </c>
      <c r="O60"/>
      <c r="P60"/>
      <c r="Q60"/>
      <c r="R60" s="20">
        <f>3+TableStandards[[#This Row],[Degree Centrality]]*17</f>
        <v>3</v>
      </c>
    </row>
    <row r="61" spans="1:20" x14ac:dyDescent="0.5">
      <c r="A61">
        <v>62</v>
      </c>
      <c r="B61" t="s">
        <v>168</v>
      </c>
      <c r="C61" t="s">
        <v>169</v>
      </c>
      <c r="E61" s="13"/>
      <c r="F61" s="4">
        <v>34335</v>
      </c>
      <c r="G61" s="4">
        <v>44197</v>
      </c>
      <c r="H61" t="s">
        <v>19</v>
      </c>
      <c r="N61" t="str">
        <f>INDEX(Colours!$C$2:$C$14,MATCH(H61,Colours!$A$2:$A$14,0))</f>
        <v>#7030A0</v>
      </c>
      <c r="O61"/>
      <c r="P61"/>
      <c r="Q61"/>
      <c r="R61" s="20">
        <f>3+TableStandards[[#This Row],[Degree Centrality]]*17</f>
        <v>3</v>
      </c>
      <c r="T61">
        <v>17</v>
      </c>
    </row>
    <row r="62" spans="1:20" x14ac:dyDescent="0.5">
      <c r="A62">
        <v>63</v>
      </c>
      <c r="B62" t="s">
        <v>388</v>
      </c>
      <c r="C62" s="1" t="s">
        <v>389</v>
      </c>
      <c r="D62" s="1" t="s">
        <v>390</v>
      </c>
      <c r="E62" s="10" t="s">
        <v>391</v>
      </c>
      <c r="F62" s="4">
        <v>43915</v>
      </c>
      <c r="G62" s="4">
        <v>43855</v>
      </c>
      <c r="H62" t="s">
        <v>26</v>
      </c>
      <c r="I62" t="s">
        <v>27</v>
      </c>
      <c r="J62" t="s">
        <v>28</v>
      </c>
      <c r="K62" t="s">
        <v>27</v>
      </c>
      <c r="L62" t="s">
        <v>67</v>
      </c>
      <c r="M62" t="s">
        <v>27</v>
      </c>
      <c r="N62" t="str">
        <f>INDEX(Colours!$C$2:$C$14,MATCH(H62,Colours!$A$2:$A$14,0))</f>
        <v>#70AD47</v>
      </c>
      <c r="O62">
        <f>TableStandards[[#This Row],[In-Degree Centrality]]+TableStandards[[#This Row],[Out-Degree Centrality]]</f>
        <v>9</v>
      </c>
      <c r="P62">
        <f>COUNTIFS(Relationships!$C$1:$C$529,TableStandards[[#This Row],[Standard Number]],Relationships!$L$1:$L$529,"=TRUE")</f>
        <v>6</v>
      </c>
      <c r="Q62">
        <f>COUNTIFS(Relationships!$B$1:$B$529,TableStandards[[#This Row],[Standard Number]],Relationships!$L$1:$L$529,"=TRUE")</f>
        <v>3</v>
      </c>
      <c r="R62" s="20"/>
      <c r="T62">
        <v>18</v>
      </c>
    </row>
    <row r="63" spans="1:20" x14ac:dyDescent="0.5">
      <c r="A63">
        <v>64</v>
      </c>
      <c r="B63" t="s">
        <v>404</v>
      </c>
      <c r="C63" s="1" t="s">
        <v>405</v>
      </c>
      <c r="D63" s="1" t="s">
        <v>406</v>
      </c>
      <c r="E63" s="46" t="s">
        <v>407</v>
      </c>
      <c r="F63" s="4">
        <v>44034</v>
      </c>
      <c r="G63" s="4">
        <v>44034</v>
      </c>
      <c r="H63" t="s">
        <v>26</v>
      </c>
      <c r="I63" t="s">
        <v>27</v>
      </c>
      <c r="J63" t="s">
        <v>28</v>
      </c>
      <c r="K63" t="s">
        <v>27</v>
      </c>
      <c r="L63" t="s">
        <v>67</v>
      </c>
      <c r="M63" t="s">
        <v>27</v>
      </c>
      <c r="N63" t="str">
        <f>INDEX(Colours!$C$2:$C$14,MATCH(H63,Colours!$A$2:$A$14,0))</f>
        <v>#70AD47</v>
      </c>
      <c r="O63">
        <f>TableStandards[[#This Row],[In-Degree Centrality]]+TableStandards[[#This Row],[Out-Degree Centrality]]</f>
        <v>13</v>
      </c>
      <c r="P63">
        <f>COUNTIFS(Relationships!$C$1:$C$529,TableStandards[[#This Row],[Standard Number]],Relationships!$L$1:$L$529,"=TRUE")</f>
        <v>5</v>
      </c>
      <c r="Q63">
        <f>COUNTIFS(Relationships!$B$1:$B$529,TableStandards[[#This Row],[Standard Number]],Relationships!$L$1:$L$529,"=TRUE")</f>
        <v>8</v>
      </c>
      <c r="R63" s="20"/>
    </row>
    <row r="64" spans="1:20" x14ac:dyDescent="0.5">
      <c r="A64">
        <v>65</v>
      </c>
      <c r="B64" t="s">
        <v>178</v>
      </c>
      <c r="C64" t="s">
        <v>179</v>
      </c>
      <c r="F64" s="4">
        <v>28672</v>
      </c>
      <c r="G64" s="4">
        <v>44287</v>
      </c>
      <c r="H64" t="s">
        <v>103</v>
      </c>
      <c r="N64" t="str">
        <f>INDEX(Colours!$C$2:$C$14,MATCH(H64,Colours!$A$2:$A$14,0))</f>
        <v>#595959</v>
      </c>
      <c r="O64"/>
      <c r="P64"/>
      <c r="Q64"/>
      <c r="R64" s="20">
        <f>3+TableStandards[[#This Row],[Degree Centrality]]*17</f>
        <v>3</v>
      </c>
    </row>
    <row r="65" spans="1:20" x14ac:dyDescent="0.5">
      <c r="A65">
        <v>66</v>
      </c>
      <c r="B65" t="s">
        <v>180</v>
      </c>
      <c r="C65" s="1" t="s">
        <v>181</v>
      </c>
      <c r="F65" s="4">
        <v>35431</v>
      </c>
      <c r="G65" s="4">
        <v>43101</v>
      </c>
      <c r="H65" t="s">
        <v>79</v>
      </c>
      <c r="N65" t="str">
        <f>INDEX(Colours!$C$2:$C$14,MATCH(H65,Colours!$A$2:$A$14,0))</f>
        <v>#ED7D31</v>
      </c>
      <c r="O65"/>
      <c r="P65"/>
      <c r="Q65"/>
      <c r="R65" s="20">
        <f>3+TableStandards[[#This Row],[Degree Centrality]]*17</f>
        <v>3</v>
      </c>
    </row>
    <row r="66" spans="1:20" x14ac:dyDescent="0.5">
      <c r="A66">
        <v>67</v>
      </c>
      <c r="B66" t="s">
        <v>182</v>
      </c>
      <c r="C66" t="s">
        <v>183</v>
      </c>
      <c r="F66" s="4">
        <v>33786</v>
      </c>
      <c r="G66" s="4">
        <v>40118</v>
      </c>
      <c r="H66" t="s">
        <v>103</v>
      </c>
      <c r="N66" t="str">
        <f>INDEX(Colours!$C$2:$C$14,MATCH(H66,Colours!$A$2:$A$14,0))</f>
        <v>#595959</v>
      </c>
      <c r="O66"/>
      <c r="P66"/>
      <c r="Q66"/>
      <c r="R66" s="20">
        <f>3+TableStandards[[#This Row],[Degree Centrality]]*17</f>
        <v>3</v>
      </c>
    </row>
    <row r="67" spans="1:20" x14ac:dyDescent="0.5">
      <c r="A67">
        <v>68</v>
      </c>
      <c r="B67" t="s">
        <v>184</v>
      </c>
      <c r="C67" t="s">
        <v>185</v>
      </c>
      <c r="F67" s="4">
        <v>37622</v>
      </c>
      <c r="G67" s="4">
        <v>42005</v>
      </c>
      <c r="H67" t="s">
        <v>79</v>
      </c>
      <c r="N67" t="str">
        <f>INDEX(Colours!$C$2:$C$14,MATCH(H67,Colours!$A$2:$A$14,0))</f>
        <v>#ED7D31</v>
      </c>
      <c r="O67"/>
      <c r="P67"/>
      <c r="Q67"/>
      <c r="R67" s="20">
        <f>3+TableStandards[[#This Row],[Degree Centrality]]*17</f>
        <v>3</v>
      </c>
    </row>
    <row r="68" spans="1:20" x14ac:dyDescent="0.5">
      <c r="A68">
        <v>69</v>
      </c>
      <c r="B68" t="s">
        <v>186</v>
      </c>
      <c r="C68" t="s">
        <v>187</v>
      </c>
      <c r="F68" s="4">
        <v>32143</v>
      </c>
      <c r="G68" s="4">
        <v>37438</v>
      </c>
      <c r="H68" t="s">
        <v>19</v>
      </c>
      <c r="N68" t="str">
        <f>INDEX(Colours!$C$2:$C$14,MATCH(H68,Colours!$A$2:$A$14,0))</f>
        <v>#7030A0</v>
      </c>
      <c r="O68"/>
      <c r="P68"/>
      <c r="Q68"/>
      <c r="R68" s="20">
        <f>3+TableStandards[[#This Row],[Degree Centrality]]*17</f>
        <v>3</v>
      </c>
    </row>
    <row r="69" spans="1:20" x14ac:dyDescent="0.5">
      <c r="A69">
        <v>70</v>
      </c>
      <c r="B69" t="s">
        <v>188</v>
      </c>
      <c r="C69" t="s">
        <v>189</v>
      </c>
      <c r="F69" s="4">
        <v>35796</v>
      </c>
      <c r="G69" s="4">
        <v>43831</v>
      </c>
      <c r="H69" t="s">
        <v>19</v>
      </c>
      <c r="N69" t="str">
        <f>INDEX(Colours!$C$2:$C$14,MATCH(H69,Colours!$A$2:$A$14,0))</f>
        <v>#7030A0</v>
      </c>
      <c r="O69"/>
      <c r="P69"/>
      <c r="Q69"/>
      <c r="R69" s="20">
        <f>3+TableStandards[[#This Row],[Degree Centrality]]*17</f>
        <v>3</v>
      </c>
    </row>
    <row r="70" spans="1:20" x14ac:dyDescent="0.5">
      <c r="A70">
        <v>71</v>
      </c>
      <c r="B70" t="s">
        <v>190</v>
      </c>
      <c r="C70" t="s">
        <v>191</v>
      </c>
      <c r="F70" s="4">
        <v>31778</v>
      </c>
      <c r="G70" s="4">
        <v>42217</v>
      </c>
      <c r="H70" t="s">
        <v>19</v>
      </c>
      <c r="N70" t="str">
        <f>INDEX(Colours!$C$2:$C$14,MATCH(H70,Colours!$A$2:$A$14,0))</f>
        <v>#7030A0</v>
      </c>
      <c r="O70"/>
      <c r="P70"/>
      <c r="Q70"/>
      <c r="R70" s="20">
        <f>3+TableStandards[[#This Row],[Degree Centrality]]*17</f>
        <v>3</v>
      </c>
    </row>
    <row r="71" spans="1:20" x14ac:dyDescent="0.5">
      <c r="A71">
        <v>72</v>
      </c>
      <c r="B71" t="s">
        <v>192</v>
      </c>
      <c r="C71" t="s">
        <v>193</v>
      </c>
      <c r="F71" s="4">
        <v>43466</v>
      </c>
      <c r="G71" s="4">
        <v>43466</v>
      </c>
      <c r="H71" t="s">
        <v>19</v>
      </c>
      <c r="N71" t="str">
        <f>INDEX(Colours!$C$2:$C$14,MATCH(H71,Colours!$A$2:$A$14,0))</f>
        <v>#7030A0</v>
      </c>
      <c r="O71"/>
      <c r="P71"/>
      <c r="Q71"/>
      <c r="R71" s="20">
        <f>3+TableStandards[[#This Row],[Degree Centrality]]*17</f>
        <v>3</v>
      </c>
    </row>
    <row r="72" spans="1:20" x14ac:dyDescent="0.5">
      <c r="A72">
        <v>73</v>
      </c>
      <c r="B72" t="s">
        <v>194</v>
      </c>
      <c r="C72" t="s">
        <v>195</v>
      </c>
      <c r="F72" s="4">
        <v>35065</v>
      </c>
      <c r="G72" s="4">
        <v>39083</v>
      </c>
      <c r="H72" t="s">
        <v>19</v>
      </c>
      <c r="N72" t="str">
        <f>INDEX(Colours!$C$2:$C$14,MATCH(H72,Colours!$A$2:$A$14,0))</f>
        <v>#7030A0</v>
      </c>
      <c r="O72"/>
      <c r="P72"/>
      <c r="Q72"/>
      <c r="R72" s="20">
        <f>3+TableStandards[[#This Row],[Degree Centrality]]*17</f>
        <v>3</v>
      </c>
    </row>
    <row r="73" spans="1:20" x14ac:dyDescent="0.5">
      <c r="A73">
        <v>74</v>
      </c>
      <c r="B73" t="s">
        <v>196</v>
      </c>
      <c r="C73" t="s">
        <v>197</v>
      </c>
      <c r="F73" s="4">
        <v>36526</v>
      </c>
      <c r="G73" s="4">
        <v>42736</v>
      </c>
      <c r="H73" t="s">
        <v>79</v>
      </c>
      <c r="N73" t="str">
        <f>INDEX(Colours!$C$2:$C$14,MATCH(H73,Colours!$A$2:$A$14,0))</f>
        <v>#ED7D31</v>
      </c>
      <c r="O73"/>
      <c r="P73"/>
      <c r="Q73"/>
      <c r="R73" s="20">
        <f>3+TableStandards[[#This Row],[Degree Centrality]]*17</f>
        <v>3</v>
      </c>
    </row>
    <row r="74" spans="1:20" x14ac:dyDescent="0.5">
      <c r="A74">
        <v>75</v>
      </c>
      <c r="B74" t="s">
        <v>198</v>
      </c>
      <c r="C74" t="s">
        <v>199</v>
      </c>
      <c r="F74" s="4">
        <v>35065</v>
      </c>
      <c r="G74" s="4">
        <v>35065</v>
      </c>
      <c r="H74" t="s">
        <v>19</v>
      </c>
      <c r="N74" t="str">
        <f>INDEX(Colours!$C$2:$C$14,MATCH(H74,Colours!$A$2:$A$14,0))</f>
        <v>#7030A0</v>
      </c>
      <c r="O74"/>
      <c r="P74"/>
      <c r="Q74"/>
      <c r="R74" s="20">
        <f>3+TableStandards[[#This Row],[Degree Centrality]]*17</f>
        <v>3</v>
      </c>
    </row>
    <row r="75" spans="1:20" x14ac:dyDescent="0.5">
      <c r="A75">
        <v>76</v>
      </c>
      <c r="B75" t="s">
        <v>200</v>
      </c>
      <c r="C75" t="s">
        <v>201</v>
      </c>
      <c r="F75" s="4">
        <v>37622</v>
      </c>
      <c r="G75" s="4">
        <v>37622</v>
      </c>
      <c r="H75" t="s">
        <v>103</v>
      </c>
      <c r="N75" t="str">
        <f>INDEX(Colours!$C$2:$C$14,MATCH(H75,Colours!$A$2:$A$14,0))</f>
        <v>#595959</v>
      </c>
      <c r="O75"/>
      <c r="P75"/>
      <c r="Q75"/>
      <c r="R75" s="20">
        <f>3+TableStandards[[#This Row],[Degree Centrality]]*17</f>
        <v>3</v>
      </c>
    </row>
    <row r="76" spans="1:20" x14ac:dyDescent="0.5">
      <c r="A76">
        <v>77</v>
      </c>
      <c r="B76" t="s">
        <v>202</v>
      </c>
      <c r="C76" t="s">
        <v>203</v>
      </c>
      <c r="F76" s="4">
        <v>36161</v>
      </c>
      <c r="G76" s="4">
        <v>42370</v>
      </c>
      <c r="H76" t="s">
        <v>19</v>
      </c>
      <c r="N76" t="str">
        <f>INDEX(Colours!$C$2:$C$14,MATCH(H76,Colours!$A$2:$A$14,0))</f>
        <v>#7030A0</v>
      </c>
      <c r="O76"/>
      <c r="P76"/>
      <c r="Q76"/>
      <c r="R76" s="20">
        <f>3+TableStandards[[#This Row],[Degree Centrality]]*17</f>
        <v>3</v>
      </c>
    </row>
    <row r="77" spans="1:20" x14ac:dyDescent="0.5">
      <c r="A77">
        <v>78</v>
      </c>
      <c r="B77" t="s">
        <v>204</v>
      </c>
      <c r="C77" t="s">
        <v>205</v>
      </c>
      <c r="F77" s="4">
        <v>39083</v>
      </c>
      <c r="G77" s="4">
        <v>41640</v>
      </c>
      <c r="H77" t="s">
        <v>19</v>
      </c>
      <c r="N77" t="str">
        <f>INDEX(Colours!$C$2:$C$14,MATCH(H77,Colours!$A$2:$A$14,0))</f>
        <v>#7030A0</v>
      </c>
      <c r="O77"/>
      <c r="P77"/>
      <c r="Q77"/>
      <c r="R77" s="20">
        <f>3+TableStandards[[#This Row],[Degree Centrality]]*17</f>
        <v>3</v>
      </c>
    </row>
    <row r="78" spans="1:20" x14ac:dyDescent="0.5">
      <c r="A78">
        <v>79</v>
      </c>
      <c r="B78" t="s">
        <v>206</v>
      </c>
      <c r="C78" t="s">
        <v>207</v>
      </c>
      <c r="F78" s="4">
        <v>37622</v>
      </c>
      <c r="G78" s="4">
        <v>42856</v>
      </c>
      <c r="H78" t="s">
        <v>19</v>
      </c>
      <c r="N78" t="str">
        <f>INDEX(Colours!$C$2:$C$14,MATCH(H78,Colours!$A$2:$A$14,0))</f>
        <v>#7030A0</v>
      </c>
      <c r="O78"/>
      <c r="P78"/>
      <c r="Q78"/>
      <c r="R78" s="20">
        <f>3+TableStandards[[#This Row],[Degree Centrality]]*17</f>
        <v>3</v>
      </c>
    </row>
    <row r="79" spans="1:20" x14ac:dyDescent="0.5">
      <c r="A79">
        <v>80</v>
      </c>
      <c r="B79" t="s">
        <v>208</v>
      </c>
      <c r="C79" t="s">
        <v>209</v>
      </c>
      <c r="E79" s="13"/>
      <c r="F79" s="4">
        <v>36892</v>
      </c>
      <c r="G79" s="4">
        <v>42005</v>
      </c>
      <c r="H79" t="s">
        <v>79</v>
      </c>
      <c r="N79" t="str">
        <f>INDEX(Colours!$C$2:$C$14,MATCH(H79,Colours!$A$2:$A$14,0))</f>
        <v>#ED7D31</v>
      </c>
      <c r="O79"/>
      <c r="P79"/>
      <c r="Q79"/>
      <c r="R79" s="20">
        <f>3+TableStandards[[#This Row],[Degree Centrality]]*17</f>
        <v>3</v>
      </c>
      <c r="T79">
        <v>19</v>
      </c>
    </row>
    <row r="80" spans="1:20" x14ac:dyDescent="0.5">
      <c r="A80">
        <v>82</v>
      </c>
      <c r="B80" t="s">
        <v>426</v>
      </c>
      <c r="C80" s="1" t="s">
        <v>427</v>
      </c>
      <c r="D80" s="1" t="s">
        <v>428</v>
      </c>
      <c r="E80" s="46" t="s">
        <v>429</v>
      </c>
      <c r="F80" s="4">
        <v>41244</v>
      </c>
      <c r="G80" s="4">
        <v>41262</v>
      </c>
      <c r="H80" t="s">
        <v>26</v>
      </c>
      <c r="I80" t="s">
        <v>27</v>
      </c>
      <c r="J80" t="s">
        <v>28</v>
      </c>
      <c r="K80" t="s">
        <v>27</v>
      </c>
      <c r="L80" t="s">
        <v>67</v>
      </c>
      <c r="M80" t="s">
        <v>27</v>
      </c>
      <c r="N80" t="str">
        <f>INDEX(Colours!$C$2:$C$14,MATCH(H80,Colours!$A$2:$A$14,0))</f>
        <v>#70AD47</v>
      </c>
      <c r="O80">
        <f>TableStandards[[#This Row],[In-Degree Centrality]]+TableStandards[[#This Row],[Out-Degree Centrality]]</f>
        <v>5</v>
      </c>
      <c r="P80">
        <f>COUNTIFS(Relationships!$C$1:$C$529,TableStandards[[#This Row],[Standard Number]],Relationships!$L$1:$L$529,"=TRUE")</f>
        <v>3</v>
      </c>
      <c r="Q80">
        <f>COUNTIFS(Relationships!$B$1:$B$529,TableStandards[[#This Row],[Standard Number]],Relationships!$L$1:$L$529,"=TRUE")</f>
        <v>2</v>
      </c>
      <c r="R80" s="20"/>
    </row>
    <row r="81" spans="1:20" x14ac:dyDescent="0.5">
      <c r="A81">
        <v>84</v>
      </c>
      <c r="B81" t="s">
        <v>218</v>
      </c>
      <c r="C81" t="s">
        <v>219</v>
      </c>
      <c r="F81" s="4">
        <v>38353</v>
      </c>
      <c r="G81" s="4">
        <v>38353</v>
      </c>
      <c r="H81" t="s">
        <v>103</v>
      </c>
      <c r="N81" t="str">
        <f>INDEX(Colours!$C$2:$C$14,MATCH(H81,Colours!$A$2:$A$14,0))</f>
        <v>#595959</v>
      </c>
      <c r="O81"/>
      <c r="P81"/>
      <c r="Q81"/>
      <c r="R81" s="20">
        <f>3+TableStandards[[#This Row],[Degree Centrality]]*17</f>
        <v>3</v>
      </c>
    </row>
    <row r="82" spans="1:20" x14ac:dyDescent="0.5">
      <c r="A82">
        <v>85</v>
      </c>
      <c r="B82" t="s">
        <v>220</v>
      </c>
      <c r="C82" t="s">
        <v>221</v>
      </c>
      <c r="F82" s="4">
        <v>36161</v>
      </c>
      <c r="G82" s="4">
        <v>42370</v>
      </c>
      <c r="H82" t="s">
        <v>19</v>
      </c>
      <c r="N82" t="str">
        <f>INDEX(Colours!$C$2:$C$14,MATCH(H82,Colours!$A$2:$A$14,0))</f>
        <v>#7030A0</v>
      </c>
      <c r="O82"/>
      <c r="P82"/>
      <c r="Q82"/>
      <c r="R82" s="20">
        <f>3+TableStandards[[#This Row],[Degree Centrality]]*17</f>
        <v>3</v>
      </c>
    </row>
    <row r="83" spans="1:20" x14ac:dyDescent="0.5">
      <c r="A83">
        <v>86</v>
      </c>
      <c r="B83" t="s">
        <v>222</v>
      </c>
      <c r="C83" t="s">
        <v>223</v>
      </c>
      <c r="E83" s="13"/>
      <c r="F83" s="4">
        <v>43101</v>
      </c>
      <c r="G83" s="4">
        <v>43101</v>
      </c>
      <c r="H83" t="s">
        <v>62</v>
      </c>
      <c r="N83" t="str">
        <f>INDEX(Colours!$C$2:$C$14,MATCH(H83,Colours!$A$2:$A$14,0))</f>
        <v>#FFC000</v>
      </c>
      <c r="O83"/>
      <c r="P83"/>
      <c r="Q83"/>
      <c r="R83" s="20">
        <f>3+TableStandards[[#This Row],[Degree Centrality]]*17</f>
        <v>3</v>
      </c>
      <c r="T83">
        <v>21</v>
      </c>
    </row>
    <row r="84" spans="1:20" x14ac:dyDescent="0.5">
      <c r="A84">
        <v>88</v>
      </c>
      <c r="B84" t="s">
        <v>51</v>
      </c>
      <c r="C84" t="s">
        <v>52</v>
      </c>
      <c r="D84" t="s">
        <v>53</v>
      </c>
      <c r="E84" s="25" t="s">
        <v>54</v>
      </c>
      <c r="F84" s="4">
        <v>44902</v>
      </c>
      <c r="G84" s="4">
        <v>44902</v>
      </c>
      <c r="H84" t="s">
        <v>26</v>
      </c>
      <c r="I84" t="s">
        <v>27</v>
      </c>
      <c r="J84" t="s">
        <v>28</v>
      </c>
      <c r="K84" t="s">
        <v>29</v>
      </c>
      <c r="M84" t="s">
        <v>27</v>
      </c>
      <c r="N84" t="str">
        <f>INDEX(Colours!$C$2:$C$14,MATCH(H84,Colours!$A$2:$A$14,0))</f>
        <v>#70AD47</v>
      </c>
      <c r="O84">
        <f>TableStandards[[#This Row],[In-Degree Centrality]]+TableStandards[[#This Row],[Out-Degree Centrality]]</f>
        <v>1</v>
      </c>
      <c r="P84">
        <f>COUNTIFS(Relationships!$C$1:$C$537,TableStandards[[#This Row],[Standard Number]],Relationships!$L$1:$L$537,"=TRUE")</f>
        <v>1</v>
      </c>
      <c r="Q84">
        <f>COUNTIFS(Relationships!$B$1:$B$529,TableStandards[[#This Row],[Standard Number]],Relationships!$L$1:$L$529,"=TRUE")</f>
        <v>0</v>
      </c>
      <c r="R84" s="20"/>
      <c r="T84">
        <v>22</v>
      </c>
    </row>
    <row r="85" spans="1:20" x14ac:dyDescent="0.5">
      <c r="A85">
        <v>89</v>
      </c>
      <c r="B85" t="s">
        <v>447</v>
      </c>
      <c r="C85" s="1" t="s">
        <v>448</v>
      </c>
      <c r="D85" s="1" t="s">
        <v>449</v>
      </c>
      <c r="E85" s="25" t="s">
        <v>450</v>
      </c>
      <c r="F85" s="4">
        <v>44846</v>
      </c>
      <c r="G85" s="4">
        <v>44846</v>
      </c>
      <c r="H85" t="s">
        <v>26</v>
      </c>
      <c r="I85" t="s">
        <v>27</v>
      </c>
      <c r="J85" t="s">
        <v>28</v>
      </c>
      <c r="K85" t="s">
        <v>27</v>
      </c>
      <c r="L85" t="s">
        <v>67</v>
      </c>
      <c r="M85" t="s">
        <v>27</v>
      </c>
      <c r="N85" t="str">
        <f>INDEX(Colours!$C$2:$C$14,MATCH(H85,Colours!$A$2:$A$14,0))</f>
        <v>#70AD47</v>
      </c>
      <c r="O85">
        <f>TableStandards[[#This Row],[In-Degree Centrality]]+TableStandards[[#This Row],[Out-Degree Centrality]]</f>
        <v>11</v>
      </c>
      <c r="P85">
        <f>COUNTIFS(Relationships!$C$1:$C$537,TableStandards[[#This Row],[Standard Number]],Relationships!$L$1:$L$537,"=TRUE")</f>
        <v>0</v>
      </c>
      <c r="Q85">
        <f>COUNTIFS(Relationships!$B$1:$B$529,TableStandards[[#This Row],[Standard Number]],Relationships!$L$1:$L$529,"=TRUE")</f>
        <v>11</v>
      </c>
      <c r="R85" s="20"/>
      <c r="T85">
        <v>23</v>
      </c>
    </row>
    <row r="86" spans="1:20" x14ac:dyDescent="0.5">
      <c r="A86">
        <v>90</v>
      </c>
      <c r="B86" t="s">
        <v>488</v>
      </c>
      <c r="C86" s="12" t="s">
        <v>489</v>
      </c>
      <c r="D86" t="s">
        <v>490</v>
      </c>
      <c r="E86" s="25" t="s">
        <v>491</v>
      </c>
      <c r="F86" s="4">
        <v>44317</v>
      </c>
      <c r="G86" s="4">
        <v>44317</v>
      </c>
      <c r="H86" t="s">
        <v>26</v>
      </c>
      <c r="I86" t="s">
        <v>29</v>
      </c>
      <c r="K86" t="s">
        <v>27</v>
      </c>
      <c r="L86" t="s">
        <v>67</v>
      </c>
      <c r="M86" t="s">
        <v>27</v>
      </c>
      <c r="N86" t="str">
        <f>INDEX(Colours!$C$2:$C$14,MATCH(H86,Colours!$A$2:$A$14,0))</f>
        <v>#70AD47</v>
      </c>
      <c r="O86">
        <f>TableStandards[[#This Row],[In-Degree Centrality]]+TableStandards[[#This Row],[Out-Degree Centrality]]</f>
        <v>5</v>
      </c>
      <c r="P86">
        <f>COUNTIFS(Relationships!$C$1:$C$537,TableStandards[[#This Row],[Standard Number]],Relationships!$L$1:$L$537,"=TRUE")</f>
        <v>0</v>
      </c>
      <c r="Q86">
        <f>COUNTIFS(Relationships!$B$1:$B$529,TableStandards[[#This Row],[Standard Number]],Relationships!$L$1:$L$529,"=TRUE")</f>
        <v>5</v>
      </c>
      <c r="R86" s="20"/>
      <c r="T86">
        <v>24</v>
      </c>
    </row>
    <row r="87" spans="1:20" x14ac:dyDescent="0.5">
      <c r="A87">
        <v>91</v>
      </c>
      <c r="B87" t="s">
        <v>236</v>
      </c>
      <c r="E87" s="13"/>
      <c r="F87" s="6">
        <v>29221</v>
      </c>
      <c r="G87" s="6">
        <v>47484</v>
      </c>
      <c r="H87" t="s">
        <v>237</v>
      </c>
      <c r="N87" t="str">
        <f>INDEX(Colours!$C$2:$C$14,MATCH(H87,Colours!$A$2:$A$14,0))</f>
        <v>#F2F2F2</v>
      </c>
      <c r="O87"/>
      <c r="P87"/>
      <c r="Q87"/>
      <c r="R87" s="20">
        <f>3+TableStandards[[#This Row],[Degree Centrality]]*17</f>
        <v>3</v>
      </c>
    </row>
    <row r="88" spans="1:20" x14ac:dyDescent="0.5">
      <c r="A88">
        <v>92</v>
      </c>
      <c r="B88" t="s">
        <v>238</v>
      </c>
      <c r="E88" s="13"/>
      <c r="F88" s="6">
        <v>29221</v>
      </c>
      <c r="G88" s="6">
        <v>47484</v>
      </c>
      <c r="H88" t="s">
        <v>237</v>
      </c>
      <c r="N88" t="str">
        <f>INDEX(Colours!$C$2:$C$14,MATCH(H88,Colours!$A$2:$A$14,0))</f>
        <v>#F2F2F2</v>
      </c>
      <c r="O88"/>
      <c r="P88"/>
      <c r="Q88"/>
      <c r="R88" s="20">
        <f>3+TableStandards[[#This Row],[Degree Centrality]]*17</f>
        <v>3</v>
      </c>
    </row>
    <row r="89" spans="1:20" x14ac:dyDescent="0.5">
      <c r="A89">
        <v>93</v>
      </c>
      <c r="B89" t="s">
        <v>239</v>
      </c>
      <c r="E89" s="13"/>
      <c r="F89" s="6">
        <v>29221</v>
      </c>
      <c r="G89" s="6">
        <v>47484</v>
      </c>
      <c r="H89" t="s">
        <v>237</v>
      </c>
      <c r="N89" t="str">
        <f>INDEX(Colours!$C$2:$C$14,MATCH(H89,Colours!$A$2:$A$14,0))</f>
        <v>#F2F2F2</v>
      </c>
      <c r="O89"/>
      <c r="P89"/>
      <c r="Q89"/>
      <c r="R89" s="20">
        <f>3+TableStandards[[#This Row],[Degree Centrality]]*17</f>
        <v>3</v>
      </c>
    </row>
    <row r="90" spans="1:20" x14ac:dyDescent="0.5">
      <c r="A90">
        <v>94</v>
      </c>
      <c r="B90" t="s">
        <v>240</v>
      </c>
      <c r="E90" s="13"/>
      <c r="F90" s="6">
        <v>29221</v>
      </c>
      <c r="G90" s="6">
        <v>47484</v>
      </c>
      <c r="H90" t="s">
        <v>237</v>
      </c>
      <c r="N90" t="str">
        <f>INDEX(Colours!$C$2:$C$14,MATCH(H90,Colours!$A$2:$A$14,0))</f>
        <v>#F2F2F2</v>
      </c>
      <c r="O90"/>
      <c r="P90"/>
      <c r="Q90"/>
      <c r="R90" s="20">
        <f>3+TableStandards[[#This Row],[Degree Centrality]]*17</f>
        <v>3</v>
      </c>
    </row>
    <row r="91" spans="1:20" x14ac:dyDescent="0.5">
      <c r="A91">
        <v>95</v>
      </c>
      <c r="B91" t="s">
        <v>241</v>
      </c>
      <c r="E91" s="13"/>
      <c r="F91" s="6">
        <v>29221</v>
      </c>
      <c r="G91" s="6">
        <v>47484</v>
      </c>
      <c r="H91" t="s">
        <v>237</v>
      </c>
      <c r="N91" t="str">
        <f>INDEX(Colours!$C$2:$C$14,MATCH(H91,Colours!$A$2:$A$14,0))</f>
        <v>#F2F2F2</v>
      </c>
      <c r="O91"/>
      <c r="P91"/>
      <c r="Q91"/>
      <c r="R91" s="20">
        <f>3+TableStandards[[#This Row],[Degree Centrality]]*17</f>
        <v>3</v>
      </c>
    </row>
    <row r="92" spans="1:20" x14ac:dyDescent="0.5">
      <c r="A92">
        <v>96</v>
      </c>
      <c r="B92" t="s">
        <v>242</v>
      </c>
      <c r="E92" s="13"/>
      <c r="F92" s="6">
        <v>29221</v>
      </c>
      <c r="G92" s="6">
        <v>47484</v>
      </c>
      <c r="H92" t="s">
        <v>237</v>
      </c>
      <c r="N92" t="str">
        <f>INDEX(Colours!$C$2:$C$14,MATCH(H92,Colours!$A$2:$A$14,0))</f>
        <v>#F2F2F2</v>
      </c>
      <c r="O92"/>
      <c r="P92"/>
      <c r="Q92"/>
      <c r="R92" s="20">
        <f>3+TableStandards[[#This Row],[Degree Centrality]]*17</f>
        <v>3</v>
      </c>
    </row>
    <row r="93" spans="1:20" x14ac:dyDescent="0.5">
      <c r="A93">
        <v>97</v>
      </c>
      <c r="B93" t="s">
        <v>243</v>
      </c>
      <c r="E93" s="13"/>
      <c r="F93" s="6">
        <v>29221</v>
      </c>
      <c r="G93" s="6">
        <v>47484</v>
      </c>
      <c r="H93" t="s">
        <v>237</v>
      </c>
      <c r="N93" t="str">
        <f>INDEX(Colours!$C$2:$C$14,MATCH(H93,Colours!$A$2:$A$14,0))</f>
        <v>#F2F2F2</v>
      </c>
      <c r="O93"/>
      <c r="P93"/>
      <c r="Q93"/>
      <c r="R93" s="20">
        <f>3+TableStandards[[#This Row],[Degree Centrality]]*17</f>
        <v>3</v>
      </c>
    </row>
    <row r="94" spans="1:20" x14ac:dyDescent="0.5">
      <c r="A94">
        <v>98</v>
      </c>
      <c r="B94" t="s">
        <v>244</v>
      </c>
      <c r="E94" s="13"/>
      <c r="F94" s="6">
        <v>29221</v>
      </c>
      <c r="G94" s="6">
        <v>47484</v>
      </c>
      <c r="H94" t="s">
        <v>237</v>
      </c>
      <c r="N94" t="str">
        <f>INDEX(Colours!$C$2:$C$14,MATCH(H94,Colours!$A$2:$A$14,0))</f>
        <v>#F2F2F2</v>
      </c>
      <c r="O94"/>
      <c r="P94"/>
      <c r="Q94"/>
      <c r="R94" s="20">
        <f>3+TableStandards[[#This Row],[Degree Centrality]]*17</f>
        <v>3</v>
      </c>
    </row>
    <row r="95" spans="1:20" x14ac:dyDescent="0.5">
      <c r="A95">
        <v>99</v>
      </c>
      <c r="B95" s="1" t="s">
        <v>22</v>
      </c>
      <c r="C95" s="1" t="s">
        <v>23</v>
      </c>
      <c r="D95" t="s">
        <v>24</v>
      </c>
      <c r="E95" s="14" t="s">
        <v>25</v>
      </c>
      <c r="F95" s="4">
        <v>43992</v>
      </c>
      <c r="G95" s="4">
        <v>43992</v>
      </c>
      <c r="H95" t="s">
        <v>26</v>
      </c>
      <c r="I95" t="s">
        <v>27</v>
      </c>
      <c r="J95" t="s">
        <v>28</v>
      </c>
      <c r="K95" t="s">
        <v>29</v>
      </c>
      <c r="M95" t="s">
        <v>29</v>
      </c>
      <c r="N95" t="str">
        <f>INDEX(Colours!$C$2:$C$14,MATCH(H95,Colours!$A$2:$A$14,0))</f>
        <v>#70AD47</v>
      </c>
      <c r="O95">
        <f>TableStandards[[#This Row],[In-Degree Centrality]]+TableStandards[[#This Row],[Out-Degree Centrality]]</f>
        <v>11</v>
      </c>
      <c r="P95">
        <f>COUNTIFS(Relationships!$C$1:$C$529,TableStandards[[#This Row],[Standard Number]],Relationships!$L$1:$L$529,"=TRUE")</f>
        <v>4</v>
      </c>
      <c r="Q95">
        <f>COUNTIFS(Relationships!$B$1:$B$529,TableStandards[[#This Row],[Standard Number]],Relationships!$L$1:$L$529,"=TRUE")</f>
        <v>7</v>
      </c>
      <c r="R95" s="20"/>
      <c r="T95">
        <v>25</v>
      </c>
    </row>
    <row r="96" spans="1:20" x14ac:dyDescent="0.5">
      <c r="A96">
        <v>100</v>
      </c>
      <c r="B96" s="1" t="s">
        <v>249</v>
      </c>
      <c r="C96" s="1" t="s">
        <v>187</v>
      </c>
      <c r="D96" s="1"/>
      <c r="E96" s="21"/>
      <c r="F96" s="4">
        <v>37258</v>
      </c>
      <c r="G96" s="4">
        <v>37258</v>
      </c>
      <c r="H96" t="s">
        <v>103</v>
      </c>
      <c r="N96" t="str">
        <f>INDEX(Colours!$C$2:$C$14,MATCH(H96,Colours!$A$2:$A$14,0))</f>
        <v>#595959</v>
      </c>
      <c r="R96" s="20">
        <f>3+TableStandards[[#This Row],[Degree Centrality]]*17</f>
        <v>3</v>
      </c>
    </row>
    <row r="97" spans="1:20" x14ac:dyDescent="0.5">
      <c r="A97">
        <v>101</v>
      </c>
      <c r="B97" t="s">
        <v>47</v>
      </c>
      <c r="C97" s="12" t="s">
        <v>48</v>
      </c>
      <c r="D97" s="1" t="s">
        <v>49</v>
      </c>
      <c r="E97" s="25" t="s">
        <v>50</v>
      </c>
      <c r="F97" s="4">
        <v>45049</v>
      </c>
      <c r="G97" s="4">
        <v>45049</v>
      </c>
      <c r="H97" t="s">
        <v>26</v>
      </c>
      <c r="I97" t="s">
        <v>27</v>
      </c>
      <c r="J97" t="s">
        <v>28</v>
      </c>
      <c r="K97" t="s">
        <v>29</v>
      </c>
      <c r="M97" t="s">
        <v>27</v>
      </c>
      <c r="N97" t="str">
        <f>INDEX(Colours!$C$2:$C$14,MATCH(H97,Colours!$A$2:$A$14,0))</f>
        <v>#70AD47</v>
      </c>
      <c r="O97">
        <f>TableStandards[[#This Row],[In-Degree Centrality]]+TableStandards[[#This Row],[Out-Degree Centrality]]</f>
        <v>0</v>
      </c>
      <c r="P97">
        <f>COUNTIFS(Relationships!$C$1:$C$537,TableStandards[[#This Row],[Standard Number]],Relationships!$L$1:$L$537,"=TRUE")</f>
        <v>0</v>
      </c>
      <c r="Q97">
        <f>COUNTIFS(Relationships!$B$1:$B$537,TableStandards[[#This Row],[Standard Number]],Relationships!$L$1:$L$537,"=TRUE")</f>
        <v>0</v>
      </c>
      <c r="R97" s="20"/>
      <c r="T97">
        <v>26</v>
      </c>
    </row>
    <row r="98" spans="1:20" x14ac:dyDescent="0.5">
      <c r="A98">
        <v>102</v>
      </c>
      <c r="B98" t="s">
        <v>30</v>
      </c>
      <c r="C98" s="12" t="s">
        <v>31</v>
      </c>
      <c r="D98" s="1"/>
      <c r="E98" s="25" t="s">
        <v>32</v>
      </c>
      <c r="F98" s="4">
        <v>44391</v>
      </c>
      <c r="G98" s="4">
        <v>44391</v>
      </c>
      <c r="H98" t="s">
        <v>26</v>
      </c>
      <c r="I98" t="s">
        <v>27</v>
      </c>
      <c r="J98" t="s">
        <v>28</v>
      </c>
      <c r="K98" t="s">
        <v>29</v>
      </c>
      <c r="M98" t="s">
        <v>29</v>
      </c>
      <c r="N98" t="str">
        <f>INDEX(Colours!$C$2:$C$14,MATCH(H98,Colours!$A$2:$A$14,0))</f>
        <v>#70AD47</v>
      </c>
      <c r="O98">
        <f>TableStandards[[#This Row],[In-Degree Centrality]]+TableStandards[[#This Row],[Out-Degree Centrality]]</f>
        <v>1</v>
      </c>
      <c r="P98">
        <f>COUNTIFS(Relationships!$C$1:$C$537,TableStandards[[#This Row],[Standard Number]],Relationships!$L$1:$L$537,"=TRUE")</f>
        <v>1</v>
      </c>
      <c r="Q98">
        <f>COUNTIFS(Relationships!$B$1:$B$537,TableStandards[[#This Row],[Standard Number]],Relationships!$L$1:$L$537,"=TRUE")</f>
        <v>0</v>
      </c>
      <c r="R98" s="20"/>
    </row>
    <row r="99" spans="1:20" x14ac:dyDescent="0.5">
      <c r="A99">
        <v>103</v>
      </c>
      <c r="B99" t="s">
        <v>259</v>
      </c>
      <c r="C99" s="12" t="s">
        <v>260</v>
      </c>
      <c r="D99" s="1" t="s">
        <v>261</v>
      </c>
      <c r="E99" s="25" t="s">
        <v>262</v>
      </c>
      <c r="F99" s="4">
        <v>37257</v>
      </c>
      <c r="G99" s="4">
        <v>42430</v>
      </c>
      <c r="H99" t="s">
        <v>84</v>
      </c>
      <c r="N99" t="str">
        <f>INDEX(Colours!$C$2:$C$14,MATCH(H99,Colours!$A$2:$A$14,0))</f>
        <v>#4472C4</v>
      </c>
      <c r="R99" s="20">
        <f>3+TableStandards[[#This Row],[Degree Centrality]]*17</f>
        <v>3</v>
      </c>
    </row>
    <row r="100" spans="1:20" x14ac:dyDescent="0.5">
      <c r="A100">
        <v>104</v>
      </c>
      <c r="B100" t="s">
        <v>263</v>
      </c>
      <c r="C100" s="12" t="s">
        <v>264</v>
      </c>
      <c r="D100" s="1"/>
      <c r="E100" s="25" t="s">
        <v>265</v>
      </c>
      <c r="F100" s="4">
        <v>36130</v>
      </c>
      <c r="G100" s="4">
        <v>36130</v>
      </c>
      <c r="H100" t="s">
        <v>84</v>
      </c>
      <c r="N100" t="str">
        <f>INDEX(Colours!$C$2:$C$14,MATCH(H100,Colours!$A$2:$A$14,0))</f>
        <v>#4472C4</v>
      </c>
      <c r="R100" s="20">
        <f>3+TableStandards[[#This Row],[Degree Centrality]]*17</f>
        <v>3</v>
      </c>
    </row>
    <row r="101" spans="1:20" x14ac:dyDescent="0.5">
      <c r="A101">
        <v>105</v>
      </c>
      <c r="B101" t="s">
        <v>266</v>
      </c>
      <c r="C101" s="12" t="s">
        <v>267</v>
      </c>
      <c r="D101" s="1"/>
      <c r="E101" s="25" t="s">
        <v>268</v>
      </c>
      <c r="F101" s="4">
        <v>38596</v>
      </c>
      <c r="G101" s="4">
        <v>41214</v>
      </c>
      <c r="H101" t="s">
        <v>84</v>
      </c>
      <c r="N101" t="str">
        <f>INDEX(Colours!$C$2:$C$14,MATCH(H101,Colours!$A$2:$A$14,0))</f>
        <v>#4472C4</v>
      </c>
      <c r="R101" s="20">
        <f>3+TableStandards[[#This Row],[Degree Centrality]]*17</f>
        <v>3</v>
      </c>
    </row>
    <row r="102" spans="1:20" x14ac:dyDescent="0.5">
      <c r="A102">
        <v>106</v>
      </c>
      <c r="B102" t="s">
        <v>269</v>
      </c>
      <c r="C102" s="12" t="s">
        <v>270</v>
      </c>
      <c r="D102" s="1"/>
      <c r="E102" s="25" t="s">
        <v>271</v>
      </c>
      <c r="F102" s="4">
        <v>34366</v>
      </c>
      <c r="G102" s="4">
        <v>38384</v>
      </c>
      <c r="H102" t="s">
        <v>19</v>
      </c>
      <c r="N102" t="str">
        <f>INDEX(Colours!$C$2:$C$14,MATCH(H102,Colours!$A$2:$A$14,0))</f>
        <v>#7030A0</v>
      </c>
      <c r="R102" s="20">
        <f>3+TableStandards[[#This Row],[Degree Centrality]]*17</f>
        <v>3</v>
      </c>
    </row>
    <row r="103" spans="1:20" x14ac:dyDescent="0.5">
      <c r="A103">
        <v>107</v>
      </c>
      <c r="B103" t="s">
        <v>272</v>
      </c>
      <c r="C103" s="12" t="s">
        <v>273</v>
      </c>
      <c r="D103" s="1"/>
      <c r="E103" s="25" t="s">
        <v>274</v>
      </c>
      <c r="F103" s="4">
        <v>40787</v>
      </c>
      <c r="G103" s="4">
        <v>40787</v>
      </c>
      <c r="H103" t="s">
        <v>84</v>
      </c>
      <c r="N103" t="str">
        <f>INDEX(Colours!$C$2:$C$14,MATCH(H103,Colours!$A$2:$A$14,0))</f>
        <v>#4472C4</v>
      </c>
      <c r="R103" s="20">
        <f>3+TableStandards[[#This Row],[Degree Centrality]]*17</f>
        <v>3</v>
      </c>
    </row>
    <row r="104" spans="1:20" x14ac:dyDescent="0.5">
      <c r="A104">
        <v>108</v>
      </c>
      <c r="B104" t="s">
        <v>275</v>
      </c>
      <c r="C104" s="12" t="s">
        <v>276</v>
      </c>
      <c r="D104" s="1"/>
      <c r="E104" s="25" t="s">
        <v>277</v>
      </c>
      <c r="F104" s="4">
        <v>42248</v>
      </c>
      <c r="G104" s="4">
        <v>42248</v>
      </c>
      <c r="H104" t="s">
        <v>278</v>
      </c>
      <c r="N104" t="str">
        <f>INDEX(Colours!$C$2:$C$14,MATCH(H104,Colours!$A$2:$A$14,0))</f>
        <v>#8497B0</v>
      </c>
      <c r="R104" s="20">
        <f>3+TableStandards[[#This Row],[Degree Centrality]]*17</f>
        <v>3</v>
      </c>
    </row>
    <row r="105" spans="1:20" x14ac:dyDescent="0.5">
      <c r="A105">
        <v>110</v>
      </c>
      <c r="B105" t="s">
        <v>279</v>
      </c>
      <c r="C105" s="12" t="s">
        <v>280</v>
      </c>
      <c r="D105" s="1" t="s">
        <v>281</v>
      </c>
      <c r="E105" s="25" t="s">
        <v>282</v>
      </c>
      <c r="F105" s="4">
        <v>36770</v>
      </c>
      <c r="G105" s="4">
        <v>40664</v>
      </c>
      <c r="H105" t="s">
        <v>76</v>
      </c>
      <c r="N105" t="str">
        <f>INDEX(Colours!$C$2:$C$14,MATCH(H105,Colours!$A$2:$A$14,0))</f>
        <v>#44546A</v>
      </c>
      <c r="R105" s="20">
        <f>3+TableStandards[[#This Row],[Degree Centrality]]*17</f>
        <v>3</v>
      </c>
    </row>
    <row r="106" spans="1:20" x14ac:dyDescent="0.5">
      <c r="A106">
        <v>111</v>
      </c>
      <c r="B106" t="s">
        <v>283</v>
      </c>
      <c r="C106" s="12" t="s">
        <v>284</v>
      </c>
      <c r="D106" s="1"/>
      <c r="E106" s="18"/>
      <c r="F106" s="5"/>
      <c r="G106" s="5"/>
      <c r="H106" t="s">
        <v>84</v>
      </c>
      <c r="N106" t="str">
        <f>INDEX(Colours!$C$2:$C$14,MATCH(H106,Colours!$A$2:$A$14,0))</f>
        <v>#4472C4</v>
      </c>
      <c r="R106" s="20">
        <f>3+TableStandards[[#This Row],[Degree Centrality]]*17</f>
        <v>3</v>
      </c>
    </row>
    <row r="107" spans="1:20" x14ac:dyDescent="0.5">
      <c r="A107">
        <v>112</v>
      </c>
      <c r="B107" t="s">
        <v>285</v>
      </c>
      <c r="C107" s="12" t="s">
        <v>286</v>
      </c>
      <c r="D107" s="1"/>
      <c r="E107" s="18"/>
      <c r="F107" s="4">
        <v>38047</v>
      </c>
      <c r="G107" s="4">
        <v>38047</v>
      </c>
      <c r="H107" t="s">
        <v>19</v>
      </c>
      <c r="N107" t="str">
        <f>INDEX(Colours!$C$2:$C$14,MATCH(H107,Colours!$A$2:$A$14,0))</f>
        <v>#7030A0</v>
      </c>
      <c r="R107" s="20">
        <f>3+TableStandards[[#This Row],[Degree Centrality]]*17</f>
        <v>3</v>
      </c>
    </row>
    <row r="108" spans="1:20" x14ac:dyDescent="0.5">
      <c r="A108">
        <v>113</v>
      </c>
      <c r="B108" t="s">
        <v>287</v>
      </c>
      <c r="C108" s="12" t="s">
        <v>288</v>
      </c>
      <c r="D108" s="1"/>
      <c r="E108" s="18"/>
      <c r="F108" s="4">
        <v>41821</v>
      </c>
      <c r="G108" s="4">
        <v>44896</v>
      </c>
      <c r="H108" t="s">
        <v>19</v>
      </c>
      <c r="N108" t="str">
        <f>INDEX(Colours!$C$2:$C$14,MATCH(H108,Colours!$A$2:$A$14,0))</f>
        <v>#7030A0</v>
      </c>
      <c r="R108" s="20">
        <f>3+TableStandards[[#This Row],[Degree Centrality]]*17</f>
        <v>3</v>
      </c>
    </row>
    <row r="109" spans="1:20" x14ac:dyDescent="0.5">
      <c r="A109">
        <v>114</v>
      </c>
      <c r="B109" t="s">
        <v>289</v>
      </c>
      <c r="C109" s="12" t="s">
        <v>290</v>
      </c>
      <c r="D109" s="1"/>
      <c r="E109" s="18"/>
      <c r="F109" s="4">
        <v>38018</v>
      </c>
      <c r="G109" s="4">
        <v>40634</v>
      </c>
      <c r="H109" t="s">
        <v>278</v>
      </c>
      <c r="N109" t="str">
        <f>INDEX(Colours!$C$2:$C$14,MATCH(H109,Colours!$A$2:$A$14,0))</f>
        <v>#8497B0</v>
      </c>
      <c r="R109" s="20">
        <f>3+TableStandards[[#This Row],[Degree Centrality]]*17</f>
        <v>3</v>
      </c>
    </row>
    <row r="110" spans="1:20" x14ac:dyDescent="0.5">
      <c r="A110">
        <v>115</v>
      </c>
      <c r="B110" t="s">
        <v>291</v>
      </c>
      <c r="C110" s="12" t="s">
        <v>292</v>
      </c>
      <c r="D110" s="1"/>
      <c r="E110" s="18"/>
      <c r="F110" s="4">
        <v>42217</v>
      </c>
      <c r="G110" s="4">
        <v>42217</v>
      </c>
      <c r="H110" t="s">
        <v>84</v>
      </c>
      <c r="N110" t="str">
        <f>INDEX(Colours!$C$2:$C$14,MATCH(H110,Colours!$A$2:$A$14,0))</f>
        <v>#4472C4</v>
      </c>
      <c r="R110" s="20">
        <f>3+TableStandards[[#This Row],[Degree Centrality]]*17</f>
        <v>3</v>
      </c>
    </row>
    <row r="111" spans="1:20" x14ac:dyDescent="0.5">
      <c r="A111">
        <v>116</v>
      </c>
      <c r="B111" t="s">
        <v>293</v>
      </c>
      <c r="C111" s="12" t="s">
        <v>294</v>
      </c>
      <c r="D111" s="1"/>
      <c r="E111" s="18"/>
      <c r="F111" s="4">
        <v>37438</v>
      </c>
      <c r="G111" s="4">
        <v>41944</v>
      </c>
      <c r="H111" t="s">
        <v>295</v>
      </c>
      <c r="N111" t="str">
        <f>INDEX(Colours!$C$2:$C$14,MATCH(H111,Colours!$A$2:$A$14,0))</f>
        <v>#9BC2E6</v>
      </c>
      <c r="R111" s="20">
        <f>3+TableStandards[[#This Row],[Degree Centrality]]*17</f>
        <v>3</v>
      </c>
    </row>
    <row r="112" spans="1:20" x14ac:dyDescent="0.5">
      <c r="A112">
        <v>117</v>
      </c>
      <c r="B112" t="s">
        <v>296</v>
      </c>
      <c r="C112" t="s">
        <v>297</v>
      </c>
      <c r="D112" s="1"/>
      <c r="E112" s="18"/>
      <c r="F112" s="4">
        <v>38534</v>
      </c>
      <c r="G112" s="4">
        <v>42339</v>
      </c>
      <c r="H112" t="s">
        <v>295</v>
      </c>
      <c r="N112" t="str">
        <f>INDEX(Colours!$C$2:$C$14,MATCH(H112,Colours!$A$2:$A$14,0))</f>
        <v>#9BC2E6</v>
      </c>
      <c r="R112" s="20">
        <f>3+TableStandards[[#This Row],[Degree Centrality]]*17</f>
        <v>3</v>
      </c>
    </row>
    <row r="113" spans="1:18" x14ac:dyDescent="0.5">
      <c r="A113">
        <v>118</v>
      </c>
      <c r="B113" t="s">
        <v>298</v>
      </c>
      <c r="C113" t="s">
        <v>299</v>
      </c>
      <c r="D113" s="1"/>
      <c r="E113" s="18"/>
      <c r="F113" s="4">
        <v>39753</v>
      </c>
      <c r="G113" s="4">
        <v>42644</v>
      </c>
      <c r="H113" t="s">
        <v>295</v>
      </c>
      <c r="N113" t="str">
        <f>INDEX(Colours!$C$2:$C$14,MATCH(H113,Colours!$A$2:$A$14,0))</f>
        <v>#9BC2E6</v>
      </c>
      <c r="R113" s="20">
        <f>3+TableStandards[[#This Row],[Degree Centrality]]*17</f>
        <v>3</v>
      </c>
    </row>
    <row r="114" spans="1:18" x14ac:dyDescent="0.5">
      <c r="A114">
        <v>119</v>
      </c>
      <c r="B114" t="s">
        <v>300</v>
      </c>
      <c r="C114" t="s">
        <v>301</v>
      </c>
      <c r="D114" s="1"/>
      <c r="E114" s="18"/>
      <c r="F114" s="4">
        <v>36861</v>
      </c>
      <c r="G114" s="4">
        <v>44743</v>
      </c>
      <c r="H114" t="s">
        <v>295</v>
      </c>
      <c r="N114" t="str">
        <f>INDEX(Colours!$C$2:$C$14,MATCH(H114,Colours!$A$2:$A$14,0))</f>
        <v>#9BC2E6</v>
      </c>
      <c r="R114" s="20">
        <f>3+TableStandards[[#This Row],[Degree Centrality]]*17</f>
        <v>3</v>
      </c>
    </row>
    <row r="115" spans="1:18" x14ac:dyDescent="0.5">
      <c r="A115">
        <v>120</v>
      </c>
      <c r="B115" t="s">
        <v>302</v>
      </c>
      <c r="C115" s="12" t="s">
        <v>303</v>
      </c>
      <c r="D115" s="1"/>
      <c r="E115" s="18"/>
      <c r="F115" s="4">
        <v>37742</v>
      </c>
      <c r="G115" s="4">
        <v>43800</v>
      </c>
      <c r="H115" t="s">
        <v>295</v>
      </c>
      <c r="N115" t="str">
        <f>INDEX(Colours!$C$2:$C$14,MATCH(H115,Colours!$A$2:$A$14,0))</f>
        <v>#9BC2E6</v>
      </c>
      <c r="R115" s="20">
        <f>3+TableStandards[[#This Row],[Degree Centrality]]*17</f>
        <v>3</v>
      </c>
    </row>
    <row r="116" spans="1:18" x14ac:dyDescent="0.5">
      <c r="A116">
        <v>121</v>
      </c>
      <c r="B116" t="s">
        <v>304</v>
      </c>
      <c r="C116" s="12" t="s">
        <v>305</v>
      </c>
      <c r="D116" s="1"/>
      <c r="E116" s="18"/>
      <c r="F116" s="4">
        <v>37500</v>
      </c>
      <c r="G116" s="4">
        <v>38991</v>
      </c>
      <c r="H116" t="s">
        <v>295</v>
      </c>
      <c r="N116" t="str">
        <f>INDEX(Colours!$C$2:$C$14,MATCH(H116,Colours!$A$2:$A$14,0))</f>
        <v>#9BC2E6</v>
      </c>
      <c r="R116" s="20">
        <f>3+TableStandards[[#This Row],[Degree Centrality]]*17</f>
        <v>3</v>
      </c>
    </row>
    <row r="117" spans="1:18" x14ac:dyDescent="0.5">
      <c r="A117">
        <v>122</v>
      </c>
      <c r="B117" t="s">
        <v>306</v>
      </c>
      <c r="C117" s="12" t="s">
        <v>307</v>
      </c>
      <c r="D117" s="1"/>
      <c r="E117" s="18"/>
      <c r="F117" s="4">
        <v>38504</v>
      </c>
      <c r="G117" s="4">
        <v>42339</v>
      </c>
      <c r="H117" t="s">
        <v>295</v>
      </c>
      <c r="N117" t="str">
        <f>INDEX(Colours!$C$2:$C$14,MATCH(H117,Colours!$A$2:$A$14,0))</f>
        <v>#9BC2E6</v>
      </c>
      <c r="R117" s="20">
        <f>3+TableStandards[[#This Row],[Degree Centrality]]*17</f>
        <v>3</v>
      </c>
    </row>
    <row r="118" spans="1:18" x14ac:dyDescent="0.5">
      <c r="A118">
        <v>123</v>
      </c>
      <c r="B118" t="s">
        <v>308</v>
      </c>
      <c r="C118" s="12" t="s">
        <v>309</v>
      </c>
      <c r="D118" s="1"/>
      <c r="E118" s="18"/>
      <c r="F118" s="4">
        <v>38384</v>
      </c>
      <c r="G118" s="4">
        <v>42705</v>
      </c>
      <c r="H118" t="s">
        <v>295</v>
      </c>
      <c r="N118" t="str">
        <f>INDEX(Colours!$C$2:$C$14,MATCH(H118,Colours!$A$2:$A$14,0))</f>
        <v>#9BC2E6</v>
      </c>
      <c r="R118" s="20">
        <f>3+TableStandards[[#This Row],[Degree Centrality]]*17</f>
        <v>3</v>
      </c>
    </row>
    <row r="119" spans="1:18" x14ac:dyDescent="0.5">
      <c r="A119">
        <v>124</v>
      </c>
      <c r="B119" t="s">
        <v>310</v>
      </c>
      <c r="C119" s="12" t="s">
        <v>311</v>
      </c>
      <c r="D119" s="1"/>
      <c r="E119" s="18"/>
      <c r="F119" s="4">
        <v>37653</v>
      </c>
      <c r="G119" s="4">
        <v>45139</v>
      </c>
      <c r="H119" t="s">
        <v>295</v>
      </c>
      <c r="N119" t="str">
        <f>INDEX(Colours!$C$2:$C$14,MATCH(H119,Colours!$A$2:$A$14,0))</f>
        <v>#9BC2E6</v>
      </c>
      <c r="R119" s="20">
        <f>3+TableStandards[[#This Row],[Degree Centrality]]*17</f>
        <v>3</v>
      </c>
    </row>
    <row r="120" spans="1:18" x14ac:dyDescent="0.5">
      <c r="A120">
        <v>125</v>
      </c>
      <c r="B120" t="s">
        <v>312</v>
      </c>
      <c r="C120" s="12" t="s">
        <v>313</v>
      </c>
      <c r="D120" s="1"/>
      <c r="E120" s="18"/>
      <c r="F120" s="4">
        <v>37895</v>
      </c>
      <c r="G120" s="4">
        <v>43497</v>
      </c>
      <c r="H120" t="s">
        <v>295</v>
      </c>
      <c r="N120" t="str">
        <f>INDEX(Colours!$C$2:$C$14,MATCH(H120,Colours!$A$2:$A$14,0))</f>
        <v>#9BC2E6</v>
      </c>
      <c r="R120" s="20">
        <f>3+TableStandards[[#This Row],[Degree Centrality]]*17</f>
        <v>3</v>
      </c>
    </row>
    <row r="121" spans="1:18" x14ac:dyDescent="0.5">
      <c r="A121">
        <v>126</v>
      </c>
      <c r="B121" t="s">
        <v>314</v>
      </c>
      <c r="C121" s="12" t="s">
        <v>315</v>
      </c>
      <c r="D121" s="1"/>
      <c r="E121" s="18"/>
      <c r="F121" s="4">
        <v>37742</v>
      </c>
      <c r="G121" s="4">
        <v>44136</v>
      </c>
      <c r="H121" t="s">
        <v>295</v>
      </c>
      <c r="N121" t="str">
        <f>INDEX(Colours!$C$2:$C$14,MATCH(H121,Colours!$A$2:$A$14,0))</f>
        <v>#9BC2E6</v>
      </c>
      <c r="R121" s="20">
        <f>3+TableStandards[[#This Row],[Degree Centrality]]*17</f>
        <v>3</v>
      </c>
    </row>
    <row r="122" spans="1:18" x14ac:dyDescent="0.5">
      <c r="A122">
        <v>127</v>
      </c>
      <c r="B122" t="s">
        <v>316</v>
      </c>
      <c r="C122" s="12" t="s">
        <v>317</v>
      </c>
      <c r="D122" s="1"/>
      <c r="E122" s="18"/>
      <c r="F122" s="4">
        <v>38534</v>
      </c>
      <c r="G122" s="4">
        <v>40817</v>
      </c>
      <c r="H122" t="s">
        <v>295</v>
      </c>
      <c r="N122" t="str">
        <f>INDEX(Colours!$C$2:$C$14,MATCH(H122,Colours!$A$2:$A$14,0))</f>
        <v>#9BC2E6</v>
      </c>
      <c r="R122" s="20">
        <f>3+TableStandards[[#This Row],[Degree Centrality]]*17</f>
        <v>3</v>
      </c>
    </row>
    <row r="123" spans="1:18" x14ac:dyDescent="0.5">
      <c r="A123">
        <v>128</v>
      </c>
      <c r="B123" t="s">
        <v>318</v>
      </c>
      <c r="C123" s="12" t="s">
        <v>319</v>
      </c>
      <c r="D123" s="1"/>
      <c r="E123" s="18"/>
      <c r="F123" s="4">
        <v>38384</v>
      </c>
      <c r="G123" s="4">
        <v>42370</v>
      </c>
      <c r="H123" t="s">
        <v>295</v>
      </c>
      <c r="N123" t="str">
        <f>INDEX(Colours!$C$2:$C$14,MATCH(H123,Colours!$A$2:$A$14,0))</f>
        <v>#9BC2E6</v>
      </c>
      <c r="R123" s="20">
        <f>3+TableStandards[[#This Row],[Degree Centrality]]*17</f>
        <v>3</v>
      </c>
    </row>
    <row r="124" spans="1:18" x14ac:dyDescent="0.5">
      <c r="A124">
        <v>129</v>
      </c>
      <c r="B124" t="s">
        <v>320</v>
      </c>
      <c r="C124" s="12" t="s">
        <v>321</v>
      </c>
      <c r="D124" s="1"/>
      <c r="E124" s="18"/>
      <c r="F124" s="4">
        <v>38565</v>
      </c>
      <c r="G124" s="4">
        <v>45078</v>
      </c>
      <c r="H124" t="s">
        <v>295</v>
      </c>
      <c r="N124" t="str">
        <f>INDEX(Colours!$C$2:$C$14,MATCH(H124,Colours!$A$2:$A$14,0))</f>
        <v>#9BC2E6</v>
      </c>
      <c r="R124" s="20">
        <f>3+TableStandards[[#This Row],[Degree Centrality]]*17</f>
        <v>3</v>
      </c>
    </row>
    <row r="125" spans="1:18" x14ac:dyDescent="0.5">
      <c r="A125">
        <v>130</v>
      </c>
      <c r="B125" t="s">
        <v>322</v>
      </c>
      <c r="C125" s="12" t="s">
        <v>323</v>
      </c>
      <c r="D125" s="1"/>
      <c r="E125" s="18"/>
      <c r="F125" s="4">
        <v>40118</v>
      </c>
      <c r="G125" s="4">
        <v>44317</v>
      </c>
      <c r="H125" t="s">
        <v>295</v>
      </c>
      <c r="N125" t="str">
        <f>INDEX(Colours!$C$2:$C$14,MATCH(H125,Colours!$A$2:$A$14,0))</f>
        <v>#9BC2E6</v>
      </c>
      <c r="R125" s="20">
        <f>3+TableStandards[[#This Row],[Degree Centrality]]*17</f>
        <v>3</v>
      </c>
    </row>
    <row r="126" spans="1:18" x14ac:dyDescent="0.5">
      <c r="A126">
        <v>131</v>
      </c>
      <c r="B126" t="s">
        <v>324</v>
      </c>
      <c r="C126" s="12" t="s">
        <v>325</v>
      </c>
      <c r="D126" s="1"/>
      <c r="E126" s="18"/>
      <c r="F126" s="4">
        <v>38504</v>
      </c>
      <c r="G126" s="4">
        <v>43497</v>
      </c>
      <c r="H126" t="s">
        <v>295</v>
      </c>
      <c r="N126" t="str">
        <f>INDEX(Colours!$C$2:$C$14,MATCH(H126,Colours!$A$2:$A$14,0))</f>
        <v>#9BC2E6</v>
      </c>
      <c r="R126" s="20">
        <f>3+TableStandards[[#This Row],[Degree Centrality]]*17</f>
        <v>3</v>
      </c>
    </row>
    <row r="127" spans="1:18" x14ac:dyDescent="0.5">
      <c r="A127">
        <v>132</v>
      </c>
      <c r="B127" t="s">
        <v>326</v>
      </c>
      <c r="C127" s="12" t="s">
        <v>327</v>
      </c>
      <c r="D127" s="1"/>
      <c r="E127" s="18"/>
      <c r="F127" s="4">
        <v>38687</v>
      </c>
      <c r="G127" s="4">
        <v>38687</v>
      </c>
      <c r="H127" t="s">
        <v>295</v>
      </c>
      <c r="N127" t="str">
        <f>INDEX(Colours!$C$2:$C$14,MATCH(H127,Colours!$A$2:$A$14,0))</f>
        <v>#9BC2E6</v>
      </c>
      <c r="R127" s="20">
        <f>3+TableStandards[[#This Row],[Degree Centrality]]*17</f>
        <v>3</v>
      </c>
    </row>
    <row r="128" spans="1:18" x14ac:dyDescent="0.5">
      <c r="A128">
        <v>133</v>
      </c>
      <c r="B128" t="s">
        <v>328</v>
      </c>
      <c r="C128" s="12" t="s">
        <v>329</v>
      </c>
      <c r="D128" s="1"/>
      <c r="E128" s="18"/>
      <c r="F128" s="4">
        <v>39173</v>
      </c>
      <c r="G128" s="4">
        <v>44835</v>
      </c>
      <c r="H128" t="s">
        <v>295</v>
      </c>
      <c r="N128" t="str">
        <f>INDEX(Colours!$C$2:$C$14,MATCH(H128,Colours!$A$2:$A$14,0))</f>
        <v>#9BC2E6</v>
      </c>
      <c r="R128" s="20">
        <f>3+TableStandards[[#This Row],[Degree Centrality]]*17</f>
        <v>3</v>
      </c>
    </row>
    <row r="129" spans="1:18" x14ac:dyDescent="0.5">
      <c r="A129">
        <v>134</v>
      </c>
      <c r="B129" t="s">
        <v>330</v>
      </c>
      <c r="C129" s="12" t="s">
        <v>331</v>
      </c>
      <c r="D129" s="1"/>
      <c r="E129" s="18"/>
      <c r="F129" s="4">
        <v>39356</v>
      </c>
      <c r="G129" s="4">
        <v>39356</v>
      </c>
      <c r="H129" t="s">
        <v>295</v>
      </c>
      <c r="N129" t="str">
        <f>INDEX(Colours!$C$2:$C$14,MATCH(H129,Colours!$A$2:$A$14,0))</f>
        <v>#9BC2E6</v>
      </c>
      <c r="R129" s="20">
        <f>3+TableStandards[[#This Row],[Degree Centrality]]*17</f>
        <v>3</v>
      </c>
    </row>
    <row r="130" spans="1:18" x14ac:dyDescent="0.5">
      <c r="A130">
        <v>135</v>
      </c>
      <c r="B130" t="s">
        <v>332</v>
      </c>
      <c r="C130" s="12" t="s">
        <v>333</v>
      </c>
      <c r="D130" s="1"/>
      <c r="E130" s="18"/>
      <c r="F130" s="4">
        <v>38626</v>
      </c>
      <c r="G130" s="4">
        <v>38626</v>
      </c>
      <c r="H130" t="s">
        <v>295</v>
      </c>
      <c r="N130" t="str">
        <f>INDEX(Colours!$C$2:$C$14,MATCH(H130,Colours!$A$2:$A$14,0))</f>
        <v>#9BC2E6</v>
      </c>
      <c r="R130" s="20">
        <f>3+TableStandards[[#This Row],[Degree Centrality]]*17</f>
        <v>3</v>
      </c>
    </row>
    <row r="131" spans="1:18" x14ac:dyDescent="0.5">
      <c r="A131">
        <v>136</v>
      </c>
      <c r="B131" t="s">
        <v>334</v>
      </c>
      <c r="C131" s="12" t="s">
        <v>335</v>
      </c>
      <c r="D131" s="1"/>
      <c r="E131" s="18"/>
      <c r="F131" s="4">
        <v>39326</v>
      </c>
      <c r="G131" s="4">
        <v>43831</v>
      </c>
      <c r="H131" t="s">
        <v>295</v>
      </c>
      <c r="N131" t="str">
        <f>INDEX(Colours!$C$2:$C$14,MATCH(H131,Colours!$A$2:$A$14,0))</f>
        <v>#9BC2E6</v>
      </c>
      <c r="R131" s="20">
        <f>3+TableStandards[[#This Row],[Degree Centrality]]*17</f>
        <v>3</v>
      </c>
    </row>
    <row r="132" spans="1:18" x14ac:dyDescent="0.5">
      <c r="A132">
        <v>137</v>
      </c>
      <c r="B132" t="s">
        <v>336</v>
      </c>
      <c r="C132" s="12" t="s">
        <v>337</v>
      </c>
      <c r="D132" s="1"/>
      <c r="E132" s="18"/>
      <c r="F132" s="4">
        <v>39203</v>
      </c>
      <c r="G132" s="4">
        <v>39203</v>
      </c>
      <c r="H132" t="s">
        <v>295</v>
      </c>
      <c r="N132" t="str">
        <f>INDEX(Colours!$C$2:$C$14,MATCH(H132,Colours!$A$2:$A$14,0))</f>
        <v>#9BC2E6</v>
      </c>
      <c r="R132" s="20">
        <f>3+TableStandards[[#This Row],[Degree Centrality]]*17</f>
        <v>3</v>
      </c>
    </row>
    <row r="133" spans="1:18" x14ac:dyDescent="0.5">
      <c r="A133">
        <v>138</v>
      </c>
      <c r="B133" t="s">
        <v>338</v>
      </c>
      <c r="C133" s="12" t="s">
        <v>339</v>
      </c>
      <c r="D133" s="1"/>
      <c r="E133" s="18"/>
      <c r="F133" s="4">
        <v>39600</v>
      </c>
      <c r="G133" s="4">
        <v>39600</v>
      </c>
      <c r="H133" t="s">
        <v>295</v>
      </c>
      <c r="N133" t="str">
        <f>INDEX(Colours!$C$2:$C$14,MATCH(H133,Colours!$A$2:$A$14,0))</f>
        <v>#9BC2E6</v>
      </c>
      <c r="R133" s="20">
        <f>3+TableStandards[[#This Row],[Degree Centrality]]*17</f>
        <v>3</v>
      </c>
    </row>
    <row r="134" spans="1:18" x14ac:dyDescent="0.5">
      <c r="A134">
        <v>139</v>
      </c>
      <c r="B134" t="s">
        <v>340</v>
      </c>
      <c r="C134" s="12" t="s">
        <v>341</v>
      </c>
      <c r="D134" s="1"/>
      <c r="E134" s="18"/>
      <c r="F134" s="4">
        <v>40513</v>
      </c>
      <c r="G134" s="4">
        <v>40513</v>
      </c>
      <c r="H134" t="s">
        <v>295</v>
      </c>
      <c r="N134" t="str">
        <f>INDEX(Colours!$C$2:$C$14,MATCH(H134,Colours!$A$2:$A$14,0))</f>
        <v>#9BC2E6</v>
      </c>
      <c r="R134" s="20">
        <f>3+TableStandards[[#This Row],[Degree Centrality]]*17</f>
        <v>3</v>
      </c>
    </row>
    <row r="135" spans="1:18" x14ac:dyDescent="0.5">
      <c r="A135">
        <v>140</v>
      </c>
      <c r="B135" t="s">
        <v>342</v>
      </c>
      <c r="C135" s="12" t="s">
        <v>343</v>
      </c>
      <c r="D135" s="1"/>
      <c r="E135" s="18"/>
      <c r="F135" s="4">
        <v>40452</v>
      </c>
      <c r="G135" s="4">
        <v>40452</v>
      </c>
      <c r="H135" t="s">
        <v>295</v>
      </c>
      <c r="N135" t="str">
        <f>INDEX(Colours!$C$2:$C$14,MATCH(H135,Colours!$A$2:$A$14,0))</f>
        <v>#9BC2E6</v>
      </c>
      <c r="R135" s="20">
        <f>3+TableStandards[[#This Row],[Degree Centrality]]*17</f>
        <v>3</v>
      </c>
    </row>
    <row r="136" spans="1:18" x14ac:dyDescent="0.5">
      <c r="A136">
        <v>141</v>
      </c>
      <c r="B136" t="s">
        <v>344</v>
      </c>
      <c r="C136" s="12" t="s">
        <v>345</v>
      </c>
      <c r="D136" s="1"/>
      <c r="E136" s="18"/>
      <c r="F136" s="4">
        <v>40940</v>
      </c>
      <c r="G136" s="4">
        <v>44287</v>
      </c>
      <c r="H136" t="s">
        <v>295</v>
      </c>
      <c r="N136" t="str">
        <f>INDEX(Colours!$C$2:$C$14,MATCH(H136,Colours!$A$2:$A$14,0))</f>
        <v>#9BC2E6</v>
      </c>
      <c r="R136" s="20">
        <f>3+TableStandards[[#This Row],[Degree Centrality]]*17</f>
        <v>3</v>
      </c>
    </row>
    <row r="137" spans="1:18" x14ac:dyDescent="0.5">
      <c r="A137">
        <v>142</v>
      </c>
      <c r="B137" t="s">
        <v>346</v>
      </c>
      <c r="C137" s="12" t="s">
        <v>347</v>
      </c>
      <c r="D137" s="1"/>
      <c r="E137" s="18"/>
      <c r="F137" s="4">
        <v>42186</v>
      </c>
      <c r="G137" s="4">
        <v>42186</v>
      </c>
      <c r="H137" t="s">
        <v>295</v>
      </c>
      <c r="N137" t="str">
        <f>INDEX(Colours!$C$2:$C$14,MATCH(H137,Colours!$A$2:$A$14,0))</f>
        <v>#9BC2E6</v>
      </c>
      <c r="R137" s="20">
        <f>3+TableStandards[[#This Row],[Degree Centrality]]*17</f>
        <v>3</v>
      </c>
    </row>
    <row r="138" spans="1:18" x14ac:dyDescent="0.5">
      <c r="A138">
        <v>143</v>
      </c>
      <c r="B138" t="s">
        <v>348</v>
      </c>
      <c r="C138" s="12" t="s">
        <v>349</v>
      </c>
      <c r="D138" s="1"/>
      <c r="E138" s="18"/>
      <c r="F138" s="4">
        <v>37596</v>
      </c>
      <c r="G138" s="4">
        <v>45025</v>
      </c>
      <c r="H138" t="s">
        <v>295</v>
      </c>
      <c r="N138" t="str">
        <f>INDEX(Colours!$C$2:$C$14,MATCH(H138,Colours!$A$2:$A$14,0))</f>
        <v>#9BC2E6</v>
      </c>
      <c r="R138" s="20">
        <f>3+TableStandards[[#This Row],[Degree Centrality]]*17</f>
        <v>3</v>
      </c>
    </row>
    <row r="139" spans="1:18" x14ac:dyDescent="0.5">
      <c r="A139">
        <v>144</v>
      </c>
      <c r="B139" t="s">
        <v>350</v>
      </c>
      <c r="C139" s="12" t="s">
        <v>351</v>
      </c>
      <c r="D139" s="1"/>
      <c r="E139" s="18"/>
      <c r="F139" s="4">
        <v>44075</v>
      </c>
      <c r="G139" s="4">
        <v>44075</v>
      </c>
      <c r="H139" t="s">
        <v>295</v>
      </c>
      <c r="N139" t="str">
        <f>INDEX(Colours!$C$2:$C$14,MATCH(H139,Colours!$A$2:$A$14,0))</f>
        <v>#9BC2E6</v>
      </c>
      <c r="R139" s="20">
        <f>3+TableStandards[[#This Row],[Degree Centrality]]*17</f>
        <v>3</v>
      </c>
    </row>
    <row r="140" spans="1:18" x14ac:dyDescent="0.5">
      <c r="A140">
        <v>145</v>
      </c>
      <c r="B140" t="s">
        <v>352</v>
      </c>
      <c r="C140" s="12" t="s">
        <v>353</v>
      </c>
      <c r="D140" s="1"/>
      <c r="E140" s="18"/>
      <c r="F140" s="4">
        <v>31079</v>
      </c>
      <c r="G140" s="4">
        <v>41334</v>
      </c>
      <c r="H140" t="s">
        <v>19</v>
      </c>
      <c r="N140" t="str">
        <f>INDEX(Colours!$C$2:$C$14,MATCH(H140,Colours!$A$2:$A$14,0))</f>
        <v>#7030A0</v>
      </c>
      <c r="R140" s="20">
        <f>3+TableStandards[[#This Row],[Degree Centrality]]*17</f>
        <v>3</v>
      </c>
    </row>
    <row r="141" spans="1:18" x14ac:dyDescent="0.5">
      <c r="A141">
        <v>147</v>
      </c>
      <c r="B141" t="s">
        <v>354</v>
      </c>
      <c r="C141" s="12" t="s">
        <v>355</v>
      </c>
      <c r="D141" s="1"/>
      <c r="E141" s="18"/>
      <c r="F141" s="4">
        <v>39753</v>
      </c>
      <c r="G141" s="4">
        <v>42675</v>
      </c>
      <c r="H141" t="s">
        <v>19</v>
      </c>
      <c r="N141" t="str">
        <f>INDEX(Colours!$C$2:$C$14,MATCH(H141,Colours!$A$2:$A$14,0))</f>
        <v>#7030A0</v>
      </c>
      <c r="R141" s="20">
        <f>3+TableStandards[[#This Row],[Degree Centrality]]*17</f>
        <v>3</v>
      </c>
    </row>
    <row r="142" spans="1:18" x14ac:dyDescent="0.5">
      <c r="A142">
        <v>148</v>
      </c>
      <c r="B142" t="s">
        <v>356</v>
      </c>
      <c r="C142" s="12" t="s">
        <v>357</v>
      </c>
      <c r="D142" s="1"/>
      <c r="E142" s="19"/>
      <c r="F142" s="4">
        <v>39630</v>
      </c>
      <c r="G142" s="4">
        <v>39630</v>
      </c>
      <c r="H142" t="s">
        <v>19</v>
      </c>
      <c r="N142" t="str">
        <f>INDEX(Colours!$C$2:$C$14,MATCH(H142,Colours!$A$2:$A$14,0))</f>
        <v>#7030A0</v>
      </c>
      <c r="R142" s="20">
        <f>3+TableStandards[[#This Row],[Degree Centrality]]*17</f>
        <v>3</v>
      </c>
    </row>
    <row r="143" spans="1:18" x14ac:dyDescent="0.5">
      <c r="A143">
        <v>151</v>
      </c>
      <c r="B143" t="s">
        <v>358</v>
      </c>
      <c r="C143" s="12" t="s">
        <v>359</v>
      </c>
      <c r="D143" s="1"/>
      <c r="E143" s="19"/>
      <c r="F143" s="4">
        <v>31929</v>
      </c>
      <c r="G143" s="4">
        <v>45078</v>
      </c>
      <c r="H143" t="s">
        <v>19</v>
      </c>
      <c r="N143" t="str">
        <f>INDEX(Colours!$C$2:$C$14,MATCH(H143,Colours!$A$2:$A$14,0))</f>
        <v>#7030A0</v>
      </c>
      <c r="R143" s="20">
        <f>3+TableStandards[[#This Row],[Degree Centrality]]*17</f>
        <v>3</v>
      </c>
    </row>
    <row r="144" spans="1:18" x14ac:dyDescent="0.5">
      <c r="A144">
        <v>152</v>
      </c>
      <c r="B144" t="s">
        <v>360</v>
      </c>
      <c r="C144" s="12" t="s">
        <v>361</v>
      </c>
      <c r="D144" s="1"/>
      <c r="E144" s="19"/>
      <c r="F144" s="4">
        <v>41000</v>
      </c>
      <c r="G144" s="4">
        <v>41000</v>
      </c>
      <c r="H144" t="s">
        <v>19</v>
      </c>
      <c r="N144" t="str">
        <f>INDEX(Colours!$C$2:$C$14,MATCH(H144,Colours!$A$2:$A$14,0))</f>
        <v>#7030A0</v>
      </c>
      <c r="R144" s="20">
        <f>3+TableStandards[[#This Row],[Degree Centrality]]*17</f>
        <v>3</v>
      </c>
    </row>
    <row r="145" spans="1:18" x14ac:dyDescent="0.5">
      <c r="A145">
        <v>153</v>
      </c>
      <c r="B145" t="s">
        <v>362</v>
      </c>
      <c r="C145" s="12" t="s">
        <v>363</v>
      </c>
      <c r="D145" s="1"/>
      <c r="E145" s="19"/>
      <c r="F145" s="4">
        <v>42705</v>
      </c>
      <c r="G145" s="4">
        <v>42705</v>
      </c>
      <c r="H145" t="s">
        <v>19</v>
      </c>
      <c r="N145" t="str">
        <f>INDEX(Colours!$C$2:$C$14,MATCH(H145,Colours!$A$2:$A$14,0))</f>
        <v>#7030A0</v>
      </c>
      <c r="R145" s="20">
        <f>3+TableStandards[[#This Row],[Degree Centrality]]*17</f>
        <v>3</v>
      </c>
    </row>
    <row r="146" spans="1:18" x14ac:dyDescent="0.5">
      <c r="A146">
        <v>154</v>
      </c>
      <c r="B146" t="s">
        <v>364</v>
      </c>
      <c r="C146" s="12" t="s">
        <v>365</v>
      </c>
      <c r="D146" s="1"/>
      <c r="E146" s="19"/>
      <c r="F146" s="4">
        <v>42705</v>
      </c>
      <c r="G146" s="4">
        <v>42705</v>
      </c>
      <c r="H146" t="s">
        <v>19</v>
      </c>
      <c r="N146" t="str">
        <f>INDEX(Colours!$C$2:$C$14,MATCH(H146,Colours!$A$2:$A$14,0))</f>
        <v>#7030A0</v>
      </c>
      <c r="R146" s="20">
        <f>3+TableStandards[[#This Row],[Degree Centrality]]*17</f>
        <v>3</v>
      </c>
    </row>
    <row r="147" spans="1:18" x14ac:dyDescent="0.5">
      <c r="A147">
        <v>155</v>
      </c>
      <c r="B147" t="s">
        <v>366</v>
      </c>
      <c r="C147" s="12" t="s">
        <v>367</v>
      </c>
      <c r="D147" s="1"/>
      <c r="E147" s="19"/>
      <c r="F147" s="4">
        <v>38534</v>
      </c>
      <c r="G147" s="4">
        <v>41852</v>
      </c>
      <c r="H147" t="s">
        <v>19</v>
      </c>
      <c r="N147" t="str">
        <f>INDEX(Colours!$C$2:$C$14,MATCH(H147,Colours!$A$2:$A$14,0))</f>
        <v>#7030A0</v>
      </c>
      <c r="R147" s="20">
        <f>3+TableStandards[[#This Row],[Degree Centrality]]*17</f>
        <v>3</v>
      </c>
    </row>
    <row r="148" spans="1:18" x14ac:dyDescent="0.5">
      <c r="A148">
        <v>156</v>
      </c>
      <c r="B148" t="s">
        <v>368</v>
      </c>
      <c r="C148" s="12" t="s">
        <v>369</v>
      </c>
      <c r="D148" s="1"/>
      <c r="E148" s="19"/>
      <c r="F148" s="4">
        <v>43405</v>
      </c>
      <c r="G148" s="4">
        <v>43405</v>
      </c>
      <c r="H148" t="s">
        <v>19</v>
      </c>
      <c r="N148" t="str">
        <f>INDEX(Colours!$C$2:$C$14,MATCH(H148,Colours!$A$2:$A$14,0))</f>
        <v>#7030A0</v>
      </c>
      <c r="R148" s="20">
        <f>3+TableStandards[[#This Row],[Degree Centrality]]*17</f>
        <v>3</v>
      </c>
    </row>
    <row r="149" spans="1:18" x14ac:dyDescent="0.5">
      <c r="A149">
        <v>157</v>
      </c>
      <c r="B149" t="s">
        <v>370</v>
      </c>
      <c r="D149" s="1"/>
      <c r="E149" s="1"/>
      <c r="F149" s="2"/>
      <c r="G149" s="5"/>
      <c r="H149" t="s">
        <v>19</v>
      </c>
      <c r="N149" t="str">
        <f>INDEX(Colours!$C$2:$C$14,MATCH(H149,Colours!$A$2:$A$14,0))</f>
        <v>#7030A0</v>
      </c>
      <c r="R149" s="20">
        <f>3+TableStandards[[#This Row],[Degree Centrality]]*17</f>
        <v>3</v>
      </c>
    </row>
    <row r="150" spans="1:18" x14ac:dyDescent="0.5">
      <c r="A150">
        <v>158</v>
      </c>
      <c r="B150" t="s">
        <v>371</v>
      </c>
      <c r="D150" s="1"/>
      <c r="E150" s="1"/>
      <c r="F150" s="2"/>
      <c r="G150" s="2"/>
      <c r="H150" t="s">
        <v>19</v>
      </c>
      <c r="N150" t="str">
        <f>INDEX(Colours!$C$2:$C$14,MATCH(H150,Colours!$A$2:$A$14,0))</f>
        <v>#7030A0</v>
      </c>
      <c r="R150" s="20">
        <f>3+TableStandards[[#This Row],[Degree Centrality]]*17</f>
        <v>3</v>
      </c>
    </row>
    <row r="151" spans="1:18" x14ac:dyDescent="0.5">
      <c r="A151">
        <v>160</v>
      </c>
      <c r="B151" t="s">
        <v>372</v>
      </c>
      <c r="C151" t="s">
        <v>373</v>
      </c>
      <c r="D151" s="1"/>
      <c r="E151" s="1"/>
      <c r="F151" s="4">
        <v>44166</v>
      </c>
      <c r="G151" s="4">
        <v>44166</v>
      </c>
      <c r="H151" t="s">
        <v>62</v>
      </c>
      <c r="N151" t="str">
        <f>INDEX(Colours!$C$2:$C$14,MATCH(H151,Colours!$A$2:$A$14,0))</f>
        <v>#FFC000</v>
      </c>
      <c r="R151" s="20">
        <f>3+TableStandards[[#This Row],[Degree Centrality]]*17</f>
        <v>3</v>
      </c>
    </row>
    <row r="152" spans="1:18" x14ac:dyDescent="0.5">
      <c r="A152">
        <v>161</v>
      </c>
      <c r="B152" t="s">
        <v>374</v>
      </c>
      <c r="D152" s="1"/>
      <c r="E152" s="1"/>
      <c r="F152" s="6">
        <v>29221</v>
      </c>
      <c r="G152" s="6">
        <v>47484</v>
      </c>
      <c r="H152" t="s">
        <v>237</v>
      </c>
      <c r="N152" t="str">
        <f>INDEX(Colours!$C$2:$C$14,MATCH(H152,Colours!$A$2:$A$14,0))</f>
        <v>#F2F2F2</v>
      </c>
      <c r="R152" s="20">
        <f>3+TableStandards[[#This Row],[Degree Centrality]]*17</f>
        <v>3</v>
      </c>
    </row>
    <row r="153" spans="1:18" x14ac:dyDescent="0.5">
      <c r="A153">
        <v>162</v>
      </c>
      <c r="B153" t="s">
        <v>375</v>
      </c>
      <c r="D153" s="1"/>
      <c r="E153" s="1"/>
      <c r="F153" s="6">
        <v>29221</v>
      </c>
      <c r="G153" s="6">
        <v>47484</v>
      </c>
      <c r="H153" t="s">
        <v>237</v>
      </c>
      <c r="N153" t="str">
        <f>INDEX(Colours!$C$2:$C$14,MATCH(H153,Colours!$A$2:$A$14,0))</f>
        <v>#F2F2F2</v>
      </c>
      <c r="R153" s="20">
        <f>3+TableStandards[[#This Row],[Degree Centrality]]*17</f>
        <v>3</v>
      </c>
    </row>
    <row r="154" spans="1:18" x14ac:dyDescent="0.5">
      <c r="A154">
        <v>163</v>
      </c>
      <c r="B154" t="s">
        <v>35</v>
      </c>
      <c r="C154" t="s">
        <v>36</v>
      </c>
      <c r="D154" s="1"/>
      <c r="E154" s="87" t="s">
        <v>37</v>
      </c>
      <c r="F154" s="4">
        <v>44552</v>
      </c>
      <c r="G154" s="4">
        <v>44552</v>
      </c>
      <c r="H154" t="s">
        <v>26</v>
      </c>
      <c r="I154" t="s">
        <v>27</v>
      </c>
      <c r="J154" t="s">
        <v>28</v>
      </c>
      <c r="K154" t="s">
        <v>29</v>
      </c>
      <c r="M154" t="s">
        <v>29</v>
      </c>
      <c r="N154" t="str">
        <f>INDEX(Colours!$C$2:$C$14,MATCH(H154,Colours!$A$2:$A$14,0))</f>
        <v>#70AD47</v>
      </c>
      <c r="O154">
        <f>TableStandards[[#This Row],[In-Degree Centrality]]+TableStandards[[#This Row],[Out-Degree Centrality]]</f>
        <v>9</v>
      </c>
      <c r="P154">
        <f>COUNTIFS(Relationships!$C$1:$C$537,TableStandards[[#This Row],[Standard Number]],Relationships!$L$1:$L$537,"=TRUE")</f>
        <v>0</v>
      </c>
      <c r="Q154">
        <f>COUNTIFS(Relationships!$B$1:$B$529,TableStandards[[#This Row],[Standard Number]],Relationships!$L$1:$L$529,"=TRUE")</f>
        <v>9</v>
      </c>
      <c r="R154"/>
    </row>
    <row r="155" spans="1:18" x14ac:dyDescent="0.5">
      <c r="A155">
        <v>164</v>
      </c>
      <c r="B155" s="24" t="s">
        <v>379</v>
      </c>
      <c r="C155" t="s">
        <v>380</v>
      </c>
      <c r="D155" s="1"/>
      <c r="E155" s="1"/>
      <c r="F155" s="4">
        <v>41000</v>
      </c>
      <c r="G155" s="4">
        <v>41000</v>
      </c>
      <c r="H155" t="s">
        <v>76</v>
      </c>
      <c r="N155" t="str">
        <f>INDEX(Colours!$C$2:$C$14,MATCH(H155,Colours!$A$2:$A$14,0))</f>
        <v>#44546A</v>
      </c>
      <c r="R155" s="20">
        <f>3+TableStandards[[#This Row],[Degree Centrality]]*17</f>
        <v>3</v>
      </c>
    </row>
    <row r="156" spans="1:18" x14ac:dyDescent="0.5">
      <c r="A156">
        <v>165</v>
      </c>
      <c r="B156" s="24" t="s">
        <v>381</v>
      </c>
      <c r="C156" t="s">
        <v>382</v>
      </c>
      <c r="D156" s="1"/>
      <c r="E156" s="1"/>
      <c r="F156" s="4">
        <v>40299</v>
      </c>
      <c r="G156" s="4">
        <v>40299</v>
      </c>
      <c r="H156" t="s">
        <v>295</v>
      </c>
      <c r="N156" t="str">
        <f>INDEX(Colours!$C$2:$C$14,MATCH(H156,Colours!$A$2:$A$14,0))</f>
        <v>#9BC2E6</v>
      </c>
      <c r="R156" s="20">
        <f>3+TableStandards[[#This Row],[Degree Centrality]]*17</f>
        <v>3</v>
      </c>
    </row>
    <row r="157" spans="1:18" x14ac:dyDescent="0.5">
      <c r="A157">
        <v>166</v>
      </c>
      <c r="B157" s="24" t="s">
        <v>383</v>
      </c>
      <c r="C157" t="s">
        <v>384</v>
      </c>
      <c r="D157" s="1"/>
      <c r="E157" s="1"/>
      <c r="F157" s="4">
        <v>38139</v>
      </c>
      <c r="G157" s="66" t="s">
        <v>385</v>
      </c>
      <c r="H157" t="s">
        <v>278</v>
      </c>
      <c r="N157" t="str">
        <f>INDEX(Colours!$C$2:$C$14,MATCH(H157,Colours!$A$2:$A$14,0))</f>
        <v>#8497B0</v>
      </c>
      <c r="R157" s="20">
        <f>3+TableStandards[[#This Row],[Degree Centrality]]*17</f>
        <v>3</v>
      </c>
    </row>
    <row r="158" spans="1:18" x14ac:dyDescent="0.5">
      <c r="A158">
        <v>167</v>
      </c>
      <c r="B158" s="24" t="s">
        <v>386</v>
      </c>
      <c r="C158" t="s">
        <v>387</v>
      </c>
      <c r="D158" s="1"/>
      <c r="E158" s="1"/>
      <c r="F158" s="4">
        <v>43101</v>
      </c>
      <c r="G158" s="4">
        <v>43101</v>
      </c>
      <c r="H158" t="s">
        <v>19</v>
      </c>
      <c r="N158" t="str">
        <f>INDEX(Colours!$C$2:$C$14,MATCH(H158,Colours!$A$2:$A$14,0))</f>
        <v>#7030A0</v>
      </c>
      <c r="R158" s="20">
        <f>3+TableStandards[[#This Row],[Degree Centrality]]*17</f>
        <v>3</v>
      </c>
    </row>
    <row r="159" spans="1:18" x14ac:dyDescent="0.5">
      <c r="A159">
        <v>168</v>
      </c>
      <c r="B159" t="s">
        <v>228</v>
      </c>
      <c r="C159" t="s">
        <v>229</v>
      </c>
      <c r="D159" s="1" t="s">
        <v>230</v>
      </c>
      <c r="E159" s="62" t="s">
        <v>231</v>
      </c>
      <c r="F159" s="4">
        <v>44819</v>
      </c>
      <c r="G159" s="4">
        <v>44819</v>
      </c>
      <c r="H159" t="s">
        <v>26</v>
      </c>
      <c r="I159" t="s">
        <v>27</v>
      </c>
      <c r="J159" t="s">
        <v>28</v>
      </c>
      <c r="K159" t="s">
        <v>27</v>
      </c>
      <c r="L159" t="s">
        <v>67</v>
      </c>
      <c r="M159" t="s">
        <v>27</v>
      </c>
      <c r="N159" t="str">
        <f>INDEX(Colours!$C$2:$C$14,MATCH(H159,Colours!$A$2:$A$14,0))</f>
        <v>#70AD47</v>
      </c>
      <c r="O159">
        <f>TableStandards[[#This Row],[In-Degree Centrality]]+TableStandards[[#This Row],[Out-Degree Centrality]]</f>
        <v>13</v>
      </c>
      <c r="P159">
        <f>COUNTIFS(Relationships!$C$1:$C$537,TableStandards[[#This Row],[Standard Number]],Relationships!$L$1:$L$537,"=TRUE")</f>
        <v>2</v>
      </c>
      <c r="Q159">
        <f>COUNTIFS(Relationships!$B$1:$B$529,TableStandards[[#This Row],[Standard Number]],Relationships!$L$1:$L$529,"=TRUE")</f>
        <v>11</v>
      </c>
      <c r="R159"/>
    </row>
    <row r="160" spans="1:18" x14ac:dyDescent="0.5">
      <c r="A160">
        <v>171</v>
      </c>
      <c r="B160" t="s">
        <v>392</v>
      </c>
      <c r="C160" t="s">
        <v>393</v>
      </c>
      <c r="D160" s="1"/>
      <c r="E160" s="1"/>
      <c r="F160" s="4">
        <v>39753</v>
      </c>
      <c r="G160" s="4">
        <v>42675</v>
      </c>
      <c r="H160" t="s">
        <v>19</v>
      </c>
      <c r="N160" t="str">
        <f>INDEX(Colours!$C$2:$C$14,MATCH(H160,Colours!$A$2:$A$14,0))</f>
        <v>#7030A0</v>
      </c>
      <c r="O160"/>
      <c r="P160"/>
      <c r="Q160"/>
      <c r="R160" s="20"/>
    </row>
    <row r="161" spans="1:18" x14ac:dyDescent="0.5">
      <c r="A161">
        <v>172</v>
      </c>
      <c r="B161" t="s">
        <v>394</v>
      </c>
      <c r="C161" t="s">
        <v>395</v>
      </c>
      <c r="D161" s="1"/>
      <c r="E161" s="1"/>
      <c r="F161" s="4">
        <v>38626</v>
      </c>
      <c r="G161" s="4">
        <v>40878</v>
      </c>
      <c r="H161" t="s">
        <v>19</v>
      </c>
      <c r="N161" t="str">
        <f>INDEX(Colours!$C$2:$C$14,MATCH(H161,Colours!$A$2:$A$14,0))</f>
        <v>#7030A0</v>
      </c>
      <c r="O161"/>
      <c r="P161"/>
      <c r="Q161"/>
      <c r="R161" s="20"/>
    </row>
    <row r="162" spans="1:18" x14ac:dyDescent="0.5">
      <c r="A162">
        <v>173</v>
      </c>
      <c r="B162" t="s">
        <v>396</v>
      </c>
      <c r="C162" t="s">
        <v>397</v>
      </c>
      <c r="D162" s="1"/>
      <c r="E162" s="1"/>
      <c r="F162" s="4">
        <v>39052</v>
      </c>
      <c r="G162" s="4">
        <v>42186</v>
      </c>
      <c r="H162" t="s">
        <v>19</v>
      </c>
      <c r="N162" t="str">
        <f>INDEX(Colours!$C$2:$C$14,MATCH(H162,Colours!$A$2:$A$14,0))</f>
        <v>#7030A0</v>
      </c>
      <c r="O162"/>
      <c r="P162"/>
      <c r="Q162"/>
      <c r="R162" s="20"/>
    </row>
    <row r="163" spans="1:18" x14ac:dyDescent="0.5">
      <c r="A163">
        <v>174</v>
      </c>
      <c r="B163" t="s">
        <v>398</v>
      </c>
      <c r="C163" t="s">
        <v>399</v>
      </c>
      <c r="D163" s="1"/>
      <c r="E163" s="1"/>
      <c r="F163" s="4">
        <v>34366</v>
      </c>
      <c r="G163" s="4">
        <v>38384</v>
      </c>
      <c r="H163" t="s">
        <v>19</v>
      </c>
      <c r="N163" t="str">
        <f>INDEX(Colours!$C$2:$C$14,MATCH(H163,Colours!$A$2:$A$14,0))</f>
        <v>#7030A0</v>
      </c>
      <c r="O163"/>
      <c r="P163"/>
      <c r="Q163"/>
      <c r="R163" s="20"/>
    </row>
    <row r="164" spans="1:18" x14ac:dyDescent="0.5">
      <c r="A164">
        <v>175</v>
      </c>
      <c r="B164" t="s">
        <v>400</v>
      </c>
      <c r="C164" t="s">
        <v>401</v>
      </c>
      <c r="D164" s="1"/>
      <c r="E164" s="1"/>
      <c r="F164" s="4">
        <v>43922</v>
      </c>
      <c r="G164" s="4">
        <v>43922</v>
      </c>
      <c r="H164" t="s">
        <v>19</v>
      </c>
      <c r="N164" t="str">
        <f>INDEX(Colours!$C$2:$C$14,MATCH(H164,Colours!$A$2:$A$14,0))</f>
        <v>#7030A0</v>
      </c>
      <c r="O164"/>
      <c r="P164"/>
      <c r="Q164"/>
      <c r="R164" s="20"/>
    </row>
    <row r="165" spans="1:18" x14ac:dyDescent="0.5">
      <c r="A165">
        <v>176</v>
      </c>
      <c r="B165" t="s">
        <v>402</v>
      </c>
      <c r="C165" t="s">
        <v>403</v>
      </c>
      <c r="D165" s="1"/>
      <c r="E165" s="1"/>
      <c r="F165" s="4">
        <v>43405</v>
      </c>
      <c r="G165" s="4">
        <v>43405</v>
      </c>
      <c r="H165" t="s">
        <v>19</v>
      </c>
      <c r="N165" t="str">
        <f>INDEX(Colours!$C$2:$C$14,MATCH(H165,Colours!$A$2:$A$14,0))</f>
        <v>#7030A0</v>
      </c>
      <c r="O165"/>
      <c r="P165"/>
      <c r="Q165"/>
      <c r="R165" s="20"/>
    </row>
    <row r="166" spans="1:18" x14ac:dyDescent="0.5">
      <c r="A166">
        <v>177</v>
      </c>
      <c r="B166" t="s">
        <v>38</v>
      </c>
      <c r="C166" t="s">
        <v>39</v>
      </c>
      <c r="D166" s="1" t="s">
        <v>40</v>
      </c>
      <c r="E166" s="87" t="s">
        <v>41</v>
      </c>
      <c r="F166" s="4">
        <v>44965</v>
      </c>
      <c r="G166" s="4">
        <v>44965</v>
      </c>
      <c r="H166" t="s">
        <v>26</v>
      </c>
      <c r="I166" t="s">
        <v>27</v>
      </c>
      <c r="J166" t="s">
        <v>28</v>
      </c>
      <c r="K166" t="s">
        <v>29</v>
      </c>
      <c r="M166" t="s">
        <v>27</v>
      </c>
      <c r="N166" t="str">
        <f>INDEX(Colours!$C$2:$C$14,MATCH(H166,Colours!$A$2:$A$14,0))</f>
        <v>#70AD47</v>
      </c>
      <c r="O166">
        <f>TableStandards[[#This Row],[In-Degree Centrality]]+TableStandards[[#This Row],[Out-Degree Centrality]]</f>
        <v>1</v>
      </c>
      <c r="P166">
        <f>COUNTIFS(Relationships!$C$1:$C$537,TableStandards[[#This Row],[Standard Number]],Relationships!$L$1:$L$537,"=TRUE")</f>
        <v>0</v>
      </c>
      <c r="Q166">
        <f>COUNTIFS(Relationships!$B$1:$B$529,TableStandards[[#This Row],[Standard Number]],Relationships!$L$1:$L$529,"=TRUE")</f>
        <v>1</v>
      </c>
      <c r="R166" s="20">
        <f>3+TableStandards[[#This Row],[Degree Centrality]]*17</f>
        <v>20</v>
      </c>
    </row>
    <row r="167" spans="1:18" x14ac:dyDescent="0.5">
      <c r="A167">
        <v>178</v>
      </c>
      <c r="B167" t="s">
        <v>140</v>
      </c>
      <c r="C167" t="s">
        <v>141</v>
      </c>
      <c r="D167" s="1" t="s">
        <v>142</v>
      </c>
      <c r="E167" s="87" t="s">
        <v>143</v>
      </c>
      <c r="F167" s="4">
        <v>41334</v>
      </c>
      <c r="G167" s="4">
        <v>41334</v>
      </c>
      <c r="H167" t="s">
        <v>26</v>
      </c>
      <c r="I167" t="s">
        <v>29</v>
      </c>
      <c r="K167" t="s">
        <v>27</v>
      </c>
      <c r="L167" t="s">
        <v>67</v>
      </c>
      <c r="M167" t="s">
        <v>27</v>
      </c>
      <c r="N167" t="str">
        <f>INDEX(Colours!$C$2:$C$14,MATCH(H167,Colours!$A$2:$A$14,0))</f>
        <v>#70AD47</v>
      </c>
      <c r="O167">
        <f>TableStandards[[#This Row],[In-Degree Centrality]]+TableStandards[[#This Row],[Out-Degree Centrality]]</f>
        <v>2</v>
      </c>
      <c r="P167">
        <f>COUNTIFS(Relationships!$C$1:$C$537,TableStandards[[#This Row],[Standard Number]],Relationships!$L$1:$L$537,"=TRUE")</f>
        <v>0</v>
      </c>
      <c r="Q167">
        <f>COUNTIFS(Relationships!$B$1:$B$529,TableStandards[[#This Row],[Standard Number]],Relationships!$L$1:$L$529,"=TRUE")</f>
        <v>2</v>
      </c>
      <c r="R167" s="20">
        <f>3+TableStandards[[#This Row],[Degree Centrality]]*17</f>
        <v>37</v>
      </c>
    </row>
    <row r="168" spans="1:18" x14ac:dyDescent="0.5">
      <c r="A168">
        <v>179</v>
      </c>
      <c r="B168" t="s">
        <v>412</v>
      </c>
      <c r="C168" t="s">
        <v>413</v>
      </c>
      <c r="D168" s="1"/>
      <c r="E168" s="1"/>
      <c r="F168" s="4">
        <v>33239</v>
      </c>
      <c r="G168" s="4">
        <v>33239</v>
      </c>
      <c r="H168" t="s">
        <v>19</v>
      </c>
      <c r="N168" t="str">
        <f>INDEX(Colours!$C$2:$C$14,MATCH(H168,Colours!$A$2:$A$14,0))</f>
        <v>#7030A0</v>
      </c>
      <c r="R168" s="20">
        <f>3+TableStandards[[#This Row],[Degree Centrality]]*17</f>
        <v>3</v>
      </c>
    </row>
    <row r="169" spans="1:18" x14ac:dyDescent="0.5">
      <c r="A169">
        <v>181</v>
      </c>
      <c r="B169" t="s">
        <v>414</v>
      </c>
      <c r="C169" t="s">
        <v>415</v>
      </c>
      <c r="D169" s="1"/>
      <c r="E169" s="1"/>
      <c r="F169" s="4">
        <v>35796</v>
      </c>
      <c r="G169" s="4">
        <v>35796</v>
      </c>
      <c r="H169" t="s">
        <v>19</v>
      </c>
      <c r="N169" t="str">
        <f>INDEX(Colours!$C$2:$C$14,MATCH(H169,Colours!$A$2:$A$14,0))</f>
        <v>#7030A0</v>
      </c>
      <c r="R169" s="20">
        <f>3+TableStandards[[#This Row],[Degree Centrality]]*17</f>
        <v>3</v>
      </c>
    </row>
    <row r="170" spans="1:18" x14ac:dyDescent="0.5">
      <c r="A170">
        <v>182</v>
      </c>
      <c r="B170" t="s">
        <v>416</v>
      </c>
      <c r="C170" t="s">
        <v>417</v>
      </c>
      <c r="D170" s="1"/>
      <c r="E170" s="1"/>
      <c r="F170" s="4">
        <v>36495</v>
      </c>
      <c r="G170" s="4">
        <v>36495</v>
      </c>
      <c r="H170" t="s">
        <v>84</v>
      </c>
      <c r="N170" t="str">
        <f>INDEX(Colours!$C$2:$C$14,MATCH(H170,Colours!$A$2:$A$14,0))</f>
        <v>#4472C4</v>
      </c>
      <c r="R170" s="20">
        <f>3+TableStandards[[#This Row],[Degree Centrality]]*17</f>
        <v>3</v>
      </c>
    </row>
    <row r="171" spans="1:18" x14ac:dyDescent="0.5">
      <c r="A171">
        <v>183</v>
      </c>
      <c r="B171" t="s">
        <v>418</v>
      </c>
      <c r="C171" t="s">
        <v>419</v>
      </c>
      <c r="D171" s="1"/>
      <c r="E171" s="1"/>
      <c r="F171" s="4">
        <v>37987</v>
      </c>
      <c r="G171" s="4">
        <v>37987</v>
      </c>
      <c r="H171" t="s">
        <v>19</v>
      </c>
      <c r="N171" t="str">
        <f>INDEX(Colours!$C$2:$C$14,MATCH(H171,Colours!$A$2:$A$14,0))</f>
        <v>#7030A0</v>
      </c>
      <c r="R171" s="20">
        <f>3+TableStandards[[#This Row],[Degree Centrality]]*17</f>
        <v>3</v>
      </c>
    </row>
    <row r="172" spans="1:18" x14ac:dyDescent="0.5">
      <c r="A172">
        <v>184</v>
      </c>
      <c r="B172" t="s">
        <v>420</v>
      </c>
      <c r="C172" t="s">
        <v>421</v>
      </c>
      <c r="D172" s="1"/>
      <c r="E172" s="1"/>
      <c r="F172" s="4">
        <v>46388</v>
      </c>
      <c r="G172" s="4">
        <v>46388</v>
      </c>
      <c r="H172" t="s">
        <v>76</v>
      </c>
      <c r="N172" t="str">
        <f>INDEX(Colours!$C$2:$C$14,MATCH(H172,Colours!$A$2:$A$14,0))</f>
        <v>#44546A</v>
      </c>
      <c r="R172" s="20">
        <f>3+TableStandards[[#This Row],[Degree Centrality]]*17</f>
        <v>3</v>
      </c>
    </row>
    <row r="173" spans="1:18" x14ac:dyDescent="0.5">
      <c r="A173">
        <v>185</v>
      </c>
      <c r="B173" t="s">
        <v>422</v>
      </c>
      <c r="C173" t="s">
        <v>423</v>
      </c>
      <c r="D173" s="1"/>
      <c r="E173" s="1"/>
      <c r="F173" s="4">
        <v>30682</v>
      </c>
      <c r="G173" s="4">
        <v>38018</v>
      </c>
      <c r="H173" t="s">
        <v>19</v>
      </c>
      <c r="N173" t="str">
        <f>INDEX(Colours!$C$2:$C$14,MATCH(H173,Colours!$A$2:$A$14,0))</f>
        <v>#7030A0</v>
      </c>
      <c r="R173" s="20">
        <f>3+TableStandards[[#This Row],[Degree Centrality]]*17</f>
        <v>3</v>
      </c>
    </row>
    <row r="174" spans="1:18" x14ac:dyDescent="0.5">
      <c r="A174">
        <v>186</v>
      </c>
      <c r="B174" t="s">
        <v>424</v>
      </c>
      <c r="C174" t="s">
        <v>425</v>
      </c>
      <c r="D174" s="1"/>
      <c r="E174" s="1"/>
      <c r="F174" s="4">
        <v>44440</v>
      </c>
      <c r="G174" s="4">
        <v>44440</v>
      </c>
      <c r="H174" t="s">
        <v>19</v>
      </c>
      <c r="N174" t="str">
        <f>INDEX(Colours!$C$2:$C$14,MATCH(H174,Colours!$A$2:$A$14,0))</f>
        <v>#7030A0</v>
      </c>
      <c r="R174" s="20">
        <f>3+TableStandards[[#This Row],[Degree Centrality]]*17</f>
        <v>3</v>
      </c>
    </row>
    <row r="175" spans="1:18" x14ac:dyDescent="0.5">
      <c r="A175">
        <v>187</v>
      </c>
      <c r="B175" t="s">
        <v>254</v>
      </c>
      <c r="C175" t="s">
        <v>255</v>
      </c>
      <c r="D175" s="1" t="s">
        <v>256</v>
      </c>
      <c r="E175" s="87" t="s">
        <v>257</v>
      </c>
      <c r="F175" s="4">
        <v>45420</v>
      </c>
      <c r="G175" s="4">
        <v>45420</v>
      </c>
      <c r="H175" t="s">
        <v>26</v>
      </c>
      <c r="I175" t="s">
        <v>27</v>
      </c>
      <c r="J175" t="s">
        <v>28</v>
      </c>
      <c r="K175" t="s">
        <v>27</v>
      </c>
      <c r="L175" t="s">
        <v>258</v>
      </c>
      <c r="M175" t="s">
        <v>27</v>
      </c>
      <c r="N175" t="str">
        <f>INDEX(Colours!$C$2:$C$14,MATCH(H175,Colours!$A$2:$A$14,0))</f>
        <v>#70AD47</v>
      </c>
      <c r="O175">
        <f>TableStandards[[#This Row],[In-Degree Centrality]]+TableStandards[[#This Row],[Out-Degree Centrality]]</f>
        <v>12</v>
      </c>
      <c r="P175">
        <f>COUNTIFS(Relationships!$C$1:$C$537,TableStandards[[#This Row],[Standard Number]],Relationships!$L$1:$L$537,"=TRUE")</f>
        <v>0</v>
      </c>
      <c r="Q175">
        <f>COUNTIFS(Relationships!$B$1:$B$537,TableStandards[[#This Row],[Standard Number]],Relationships!$L$1:$L$537,"=TRUE")</f>
        <v>12</v>
      </c>
      <c r="R175" s="20">
        <f>3+TableStandards[[#This Row],[Degree Centrality]]*17</f>
        <v>207</v>
      </c>
    </row>
    <row r="176" spans="1:18" x14ac:dyDescent="0.5">
      <c r="A176">
        <v>188</v>
      </c>
      <c r="B176" t="s">
        <v>430</v>
      </c>
      <c r="C176" t="s">
        <v>431</v>
      </c>
      <c r="D176" s="1"/>
      <c r="E176" s="1"/>
      <c r="F176" s="4">
        <v>35827</v>
      </c>
      <c r="G176" s="4">
        <v>42979</v>
      </c>
      <c r="H176" t="s">
        <v>432</v>
      </c>
      <c r="N176" t="str">
        <f>INDEX(Colours!$C$2:$C$14,MATCH(H176,Colours!$A$2:$A$14,0))</f>
        <v>#F2E536</v>
      </c>
      <c r="R176" s="20">
        <f>3+TableStandards[[#This Row],[Degree Centrality]]*17</f>
        <v>3</v>
      </c>
    </row>
    <row r="177" spans="1:18" x14ac:dyDescent="0.5">
      <c r="A177">
        <v>189</v>
      </c>
      <c r="B177" t="s">
        <v>433</v>
      </c>
      <c r="C177" t="s">
        <v>434</v>
      </c>
      <c r="D177" s="1"/>
      <c r="E177" s="1"/>
      <c r="F177" s="4">
        <v>35855</v>
      </c>
      <c r="G177" s="4">
        <v>42979</v>
      </c>
      <c r="H177" t="s">
        <v>432</v>
      </c>
      <c r="N177" t="str">
        <f>INDEX(Colours!$C$2:$C$14,MATCH(H177,Colours!$A$2:$A$14,0))</f>
        <v>#F2E536</v>
      </c>
      <c r="R177" s="20">
        <f>3+TableStandards[[#This Row],[Degree Centrality]]*17</f>
        <v>3</v>
      </c>
    </row>
    <row r="178" spans="1:18" x14ac:dyDescent="0.5">
      <c r="A178">
        <v>190</v>
      </c>
      <c r="B178" t="s">
        <v>435</v>
      </c>
      <c r="C178" t="s">
        <v>436</v>
      </c>
      <c r="D178" s="1"/>
      <c r="E178" s="1"/>
      <c r="F178" s="4">
        <v>29952</v>
      </c>
      <c r="G178" s="4">
        <v>43831</v>
      </c>
      <c r="H178" t="s">
        <v>432</v>
      </c>
      <c r="N178" t="str">
        <f>INDEX(Colours!$C$2:$C$14,MATCH(H178,Colours!$A$2:$A$14,0))</f>
        <v>#F2E536</v>
      </c>
      <c r="R178" s="20">
        <f>3+TableStandards[[#This Row],[Degree Centrality]]*17</f>
        <v>3</v>
      </c>
    </row>
    <row r="179" spans="1:18" x14ac:dyDescent="0.5">
      <c r="A179">
        <v>191</v>
      </c>
      <c r="B179" t="s">
        <v>437</v>
      </c>
      <c r="C179" t="s">
        <v>438</v>
      </c>
      <c r="D179" s="1"/>
      <c r="E179" s="1"/>
      <c r="F179" s="4">
        <v>32203</v>
      </c>
      <c r="G179" s="4">
        <v>44927</v>
      </c>
      <c r="H179" t="s">
        <v>103</v>
      </c>
      <c r="N179" t="str">
        <f>INDEX(Colours!$C$2:$C$14,MATCH(H179,Colours!$A$2:$A$14,0))</f>
        <v>#595959</v>
      </c>
      <c r="R179" s="20">
        <f>3+TableStandards[[#This Row],[Degree Centrality]]*17</f>
        <v>3</v>
      </c>
    </row>
    <row r="180" spans="1:18" x14ac:dyDescent="0.5">
      <c r="A180">
        <v>192</v>
      </c>
      <c r="B180" t="s">
        <v>439</v>
      </c>
      <c r="C180" t="s">
        <v>440</v>
      </c>
      <c r="D180" s="1"/>
      <c r="E180" s="1"/>
      <c r="F180" s="4">
        <v>29221</v>
      </c>
      <c r="G180" s="4">
        <v>36130</v>
      </c>
      <c r="H180" t="s">
        <v>79</v>
      </c>
      <c r="N180" t="str">
        <f>INDEX(Colours!$C$2:$C$14,MATCH(H180,Colours!$A$2:$A$14,0))</f>
        <v>#ED7D31</v>
      </c>
      <c r="R180" s="20">
        <f>3+TableStandards[[#This Row],[Degree Centrality]]*17</f>
        <v>3</v>
      </c>
    </row>
    <row r="181" spans="1:18" x14ac:dyDescent="0.5">
      <c r="A181">
        <v>193</v>
      </c>
      <c r="B181" t="s">
        <v>441</v>
      </c>
      <c r="C181" t="s">
        <v>442</v>
      </c>
      <c r="D181" s="1"/>
      <c r="E181" s="1"/>
      <c r="F181" s="4">
        <v>35217</v>
      </c>
      <c r="G181" s="4">
        <v>35217</v>
      </c>
      <c r="H181" t="s">
        <v>432</v>
      </c>
      <c r="N181" t="str">
        <f>INDEX(Colours!$C$2:$C$14,MATCH(H181,Colours!$A$2:$A$14,0))</f>
        <v>#F2E536</v>
      </c>
      <c r="R181" s="20">
        <f>3+TableStandards[[#This Row],[Degree Centrality]]*17</f>
        <v>3</v>
      </c>
    </row>
    <row r="182" spans="1:18" x14ac:dyDescent="0.5">
      <c r="A182">
        <v>194</v>
      </c>
      <c r="B182" t="s">
        <v>443</v>
      </c>
      <c r="C182" t="s">
        <v>444</v>
      </c>
      <c r="D182" s="1"/>
      <c r="E182" s="1"/>
      <c r="F182" s="4">
        <v>30773</v>
      </c>
      <c r="G182" s="4">
        <v>44044</v>
      </c>
      <c r="H182" t="s">
        <v>79</v>
      </c>
      <c r="N182" t="str">
        <f>INDEX(Colours!$C$2:$C$14,MATCH(H182,Colours!$A$2:$A$14,0))</f>
        <v>#ED7D31</v>
      </c>
      <c r="R182" s="20">
        <f>3+TableStandards[[#This Row],[Degree Centrality]]*17</f>
        <v>3</v>
      </c>
    </row>
    <row r="183" spans="1:18" x14ac:dyDescent="0.5">
      <c r="A183">
        <v>195</v>
      </c>
      <c r="B183" t="s">
        <v>445</v>
      </c>
      <c r="C183" t="s">
        <v>446</v>
      </c>
      <c r="D183" s="1"/>
      <c r="E183" s="1"/>
      <c r="F183" s="4">
        <v>33543</v>
      </c>
      <c r="G183" s="4">
        <v>45352</v>
      </c>
      <c r="H183" t="s">
        <v>432</v>
      </c>
      <c r="N183" t="str">
        <f>INDEX(Colours!$C$2:$C$14,MATCH(H183,Colours!$A$2:$A$14,0))</f>
        <v>#F2E536</v>
      </c>
      <c r="R183" s="20">
        <f>3+TableStandards[[#This Row],[Degree Centrality]]*17</f>
        <v>3</v>
      </c>
    </row>
    <row r="184" spans="1:18" x14ac:dyDescent="0.5">
      <c r="A184">
        <v>196</v>
      </c>
      <c r="B184" t="s">
        <v>484</v>
      </c>
      <c r="C184" t="s">
        <v>485</v>
      </c>
      <c r="D184" s="1" t="s">
        <v>486</v>
      </c>
      <c r="E184" s="75" t="s">
        <v>487</v>
      </c>
      <c r="F184" s="4">
        <v>45444</v>
      </c>
      <c r="G184" s="4">
        <v>45444</v>
      </c>
      <c r="H184" t="s">
        <v>26</v>
      </c>
      <c r="I184" t="s">
        <v>27</v>
      </c>
      <c r="J184" t="s">
        <v>28</v>
      </c>
      <c r="K184" t="s">
        <v>27</v>
      </c>
      <c r="L184" t="s">
        <v>67</v>
      </c>
      <c r="M184" t="s">
        <v>27</v>
      </c>
      <c r="N184" t="str">
        <f>INDEX(Colours!$C$2:$C$14,MATCH(H184,Colours!$A$2:$A$14,0))</f>
        <v>#70AD47</v>
      </c>
      <c r="R184" s="20">
        <f>3+TableStandards[[#This Row],[Degree Centrality]]*17</f>
        <v>3</v>
      </c>
    </row>
    <row r="185" spans="1:18" x14ac:dyDescent="0.5">
      <c r="A185">
        <v>197</v>
      </c>
      <c r="B185" t="s">
        <v>451</v>
      </c>
      <c r="C185" s="70" t="s">
        <v>452</v>
      </c>
      <c r="D185" s="1"/>
      <c r="E185" s="1"/>
      <c r="F185" s="4">
        <v>44317</v>
      </c>
      <c r="G185" s="4">
        <v>44317</v>
      </c>
      <c r="H185" t="s">
        <v>84</v>
      </c>
      <c r="N185" t="str">
        <f>INDEX(Colours!$C$2:$C$14,MATCH(H185,Colours!$A$2:$A$14,0))</f>
        <v>#4472C4</v>
      </c>
      <c r="R185" s="20">
        <f>3+TableStandards[[#This Row],[Degree Centrality]]*17</f>
        <v>3</v>
      </c>
    </row>
    <row r="186" spans="1:18" x14ac:dyDescent="0.5">
      <c r="A186">
        <v>198</v>
      </c>
      <c r="B186" t="s">
        <v>453</v>
      </c>
      <c r="C186" t="s">
        <v>454</v>
      </c>
      <c r="D186" s="1"/>
      <c r="E186" s="1"/>
      <c r="F186" s="4">
        <v>35582</v>
      </c>
      <c r="G186" s="4">
        <v>41883</v>
      </c>
      <c r="H186" t="s">
        <v>432</v>
      </c>
      <c r="N186" t="str">
        <f>INDEX(Colours!$C$2:$C$14,MATCH(H186,Colours!$A$2:$A$14,0))</f>
        <v>#F2E536</v>
      </c>
      <c r="R186" s="20">
        <f>3+TableStandards[[#This Row],[Degree Centrality]]*17</f>
        <v>3</v>
      </c>
    </row>
    <row r="187" spans="1:18" x14ac:dyDescent="0.5">
      <c r="A187">
        <v>199</v>
      </c>
      <c r="B187" t="s">
        <v>455</v>
      </c>
      <c r="C187" t="s">
        <v>456</v>
      </c>
      <c r="D187" s="1"/>
      <c r="E187" s="1"/>
      <c r="F187" s="4">
        <v>42156</v>
      </c>
      <c r="G187" s="4">
        <v>42156</v>
      </c>
      <c r="H187" t="s">
        <v>432</v>
      </c>
      <c r="N187" t="str">
        <f>INDEX(Colours!$C$2:$C$14,MATCH(H187,Colours!$A$2:$A$14,0))</f>
        <v>#F2E536</v>
      </c>
      <c r="R187" s="20">
        <f>3+TableStandards[[#This Row],[Degree Centrality]]*17</f>
        <v>3</v>
      </c>
    </row>
    <row r="188" spans="1:18" x14ac:dyDescent="0.5">
      <c r="A188">
        <v>200</v>
      </c>
      <c r="B188" t="s">
        <v>457</v>
      </c>
      <c r="C188" t="s">
        <v>458</v>
      </c>
      <c r="D188" s="1"/>
      <c r="E188" s="1"/>
      <c r="F188" s="4">
        <v>42095</v>
      </c>
      <c r="G188" s="4">
        <v>42095</v>
      </c>
      <c r="H188" t="s">
        <v>432</v>
      </c>
      <c r="N188" t="str">
        <f>INDEX(Colours!$C$2:$C$14,MATCH(H188,Colours!$A$2:$A$14,0))</f>
        <v>#F2E536</v>
      </c>
      <c r="R188" s="20">
        <f>3+TableStandards[[#This Row],[Degree Centrality]]*17</f>
        <v>3</v>
      </c>
    </row>
    <row r="189" spans="1:18" x14ac:dyDescent="0.5">
      <c r="A189">
        <v>201</v>
      </c>
      <c r="B189" t="s">
        <v>459</v>
      </c>
      <c r="C189" t="s">
        <v>460</v>
      </c>
      <c r="D189" s="1"/>
      <c r="E189" s="1"/>
      <c r="F189" s="4">
        <v>40238</v>
      </c>
      <c r="G189" s="4">
        <v>40238</v>
      </c>
      <c r="H189" t="s">
        <v>432</v>
      </c>
      <c r="N189" t="str">
        <f>INDEX(Colours!$C$2:$C$14,MATCH(H189,Colours!$A$2:$A$14,0))</f>
        <v>#F2E536</v>
      </c>
      <c r="R189" s="20">
        <f>3+TableStandards[[#This Row],[Degree Centrality]]*17</f>
        <v>3</v>
      </c>
    </row>
    <row r="190" spans="1:18" x14ac:dyDescent="0.5">
      <c r="A190">
        <v>202</v>
      </c>
      <c r="B190" t="s">
        <v>461</v>
      </c>
      <c r="C190" t="s">
        <v>462</v>
      </c>
      <c r="D190" s="1"/>
      <c r="E190" s="1"/>
      <c r="F190" s="4">
        <v>42156</v>
      </c>
      <c r="G190" s="4">
        <v>42156</v>
      </c>
      <c r="H190" t="s">
        <v>432</v>
      </c>
      <c r="N190" t="str">
        <f>INDEX(Colours!$C$2:$C$14,MATCH(H190,Colours!$A$2:$A$14,0))</f>
        <v>#F2E536</v>
      </c>
      <c r="R190" s="20">
        <f>3+TableStandards[[#This Row],[Degree Centrality]]*17</f>
        <v>3</v>
      </c>
    </row>
    <row r="191" spans="1:18" x14ac:dyDescent="0.5">
      <c r="A191">
        <v>203</v>
      </c>
      <c r="B191" t="s">
        <v>463</v>
      </c>
      <c r="C191" t="s">
        <v>464</v>
      </c>
      <c r="D191" s="1"/>
      <c r="E191" s="1"/>
      <c r="F191" s="4">
        <v>39356</v>
      </c>
      <c r="G191" s="4">
        <v>43739</v>
      </c>
      <c r="H191" t="s">
        <v>84</v>
      </c>
      <c r="N191" t="str">
        <f>INDEX(Colours!$C$2:$C$14,MATCH(H191,Colours!$A$2:$A$14,0))</f>
        <v>#4472C4</v>
      </c>
      <c r="R191" s="20">
        <f>3+TableStandards[[#This Row],[Degree Centrality]]*17</f>
        <v>3</v>
      </c>
    </row>
    <row r="192" spans="1:18" x14ac:dyDescent="0.5">
      <c r="A192">
        <v>204</v>
      </c>
      <c r="B192" t="s">
        <v>465</v>
      </c>
      <c r="C192" t="s">
        <v>466</v>
      </c>
      <c r="D192" s="1"/>
      <c r="E192" s="1"/>
      <c r="F192" s="4">
        <v>44652</v>
      </c>
      <c r="G192" s="4">
        <v>44652</v>
      </c>
      <c r="H192" t="s">
        <v>467</v>
      </c>
      <c r="N192" t="str">
        <f>INDEX(Colours!$C$2:$C$14,MATCH(H192,Colours!$A$2:$A$14,0))</f>
        <v>#B1D751</v>
      </c>
      <c r="R192" s="20">
        <f>3+TableStandards[[#This Row],[Degree Centrality]]*17</f>
        <v>3</v>
      </c>
    </row>
    <row r="193" spans="1:18" x14ac:dyDescent="0.5">
      <c r="A193">
        <v>205</v>
      </c>
      <c r="B193" t="s">
        <v>468</v>
      </c>
      <c r="C193" t="s">
        <v>469</v>
      </c>
      <c r="D193" s="1"/>
      <c r="E193" s="1"/>
      <c r="F193" s="4">
        <v>39387</v>
      </c>
      <c r="G193" s="4">
        <v>39387</v>
      </c>
      <c r="H193" t="s">
        <v>432</v>
      </c>
      <c r="N193" t="str">
        <f>INDEX(Colours!$C$2:$C$14,MATCH(H193,Colours!$A$2:$A$14,0))</f>
        <v>#F2E536</v>
      </c>
      <c r="R193" s="20">
        <f>3+TableStandards[[#This Row],[Degree Centrality]]*17</f>
        <v>3</v>
      </c>
    </row>
    <row r="194" spans="1:18" x14ac:dyDescent="0.5">
      <c r="A194">
        <v>206</v>
      </c>
      <c r="B194" t="s">
        <v>470</v>
      </c>
      <c r="C194" t="s">
        <v>471</v>
      </c>
      <c r="D194" s="1"/>
      <c r="E194" s="1"/>
      <c r="F194" s="4">
        <v>39753</v>
      </c>
      <c r="G194" s="4">
        <v>41913</v>
      </c>
      <c r="H194" t="s">
        <v>432</v>
      </c>
      <c r="N194" t="str">
        <f>INDEX(Colours!$C$2:$C$14,MATCH(H194,Colours!$A$2:$A$14,0))</f>
        <v>#F2E536</v>
      </c>
      <c r="R194" s="20">
        <f>3+TableStandards[[#This Row],[Degree Centrality]]*17</f>
        <v>3</v>
      </c>
    </row>
    <row r="195" spans="1:18" x14ac:dyDescent="0.5">
      <c r="A195">
        <v>207</v>
      </c>
      <c r="B195" t="s">
        <v>472</v>
      </c>
      <c r="C195" t="s">
        <v>473</v>
      </c>
      <c r="D195" s="1"/>
      <c r="E195" s="1"/>
      <c r="F195" s="4">
        <v>36495</v>
      </c>
      <c r="G195" s="4">
        <v>40330</v>
      </c>
      <c r="H195" t="s">
        <v>432</v>
      </c>
      <c r="N195" t="str">
        <f>INDEX(Colours!$C$2:$C$14,MATCH(H195,Colours!$A$2:$A$14,0))</f>
        <v>#F2E536</v>
      </c>
      <c r="R195" s="20">
        <f>3+TableStandards[[#This Row],[Degree Centrality]]*17</f>
        <v>3</v>
      </c>
    </row>
    <row r="196" spans="1:18" x14ac:dyDescent="0.5">
      <c r="A196">
        <v>208</v>
      </c>
      <c r="B196" t="s">
        <v>474</v>
      </c>
      <c r="C196" t="s">
        <v>475</v>
      </c>
      <c r="D196" s="1"/>
      <c r="E196" s="1"/>
      <c r="F196" s="4">
        <v>39600</v>
      </c>
      <c r="G196" s="4">
        <v>43617</v>
      </c>
      <c r="H196" t="s">
        <v>19</v>
      </c>
      <c r="N196" t="str">
        <f>INDEX(Colours!$C$2:$C$14,MATCH(H196,Colours!$A$2:$A$14,0))</f>
        <v>#7030A0</v>
      </c>
      <c r="R196" s="20">
        <f>3+TableStandards[[#This Row],[Degree Centrality]]*17</f>
        <v>3</v>
      </c>
    </row>
    <row r="197" spans="1:18" x14ac:dyDescent="0.5">
      <c r="A197">
        <v>209</v>
      </c>
      <c r="B197" t="s">
        <v>476</v>
      </c>
      <c r="C197" t="s">
        <v>477</v>
      </c>
      <c r="D197" s="1"/>
      <c r="E197" s="1"/>
      <c r="F197" s="4">
        <v>39995</v>
      </c>
      <c r="G197" s="4">
        <v>44621</v>
      </c>
      <c r="H197" t="s">
        <v>84</v>
      </c>
      <c r="N197" t="str">
        <f>INDEX(Colours!$C$2:$C$14,MATCH(H197,Colours!$A$2:$A$14,0))</f>
        <v>#4472C4</v>
      </c>
      <c r="R197" s="20">
        <f>3+TableStandards[[#This Row],[Degree Centrality]]*17</f>
        <v>3</v>
      </c>
    </row>
    <row r="198" spans="1:18" x14ac:dyDescent="0.5">
      <c r="A198">
        <v>211</v>
      </c>
      <c r="B198" t="s">
        <v>478</v>
      </c>
      <c r="C198" t="s">
        <v>479</v>
      </c>
      <c r="D198" s="1"/>
      <c r="E198" s="1"/>
      <c r="F198" s="4">
        <v>40909</v>
      </c>
      <c r="G198" s="4">
        <v>40909</v>
      </c>
      <c r="H198" t="s">
        <v>467</v>
      </c>
      <c r="N198" t="str">
        <f>INDEX(Colours!$C$2:$C$14,MATCH(H198,Colours!$A$2:$A$14,0))</f>
        <v>#B1D751</v>
      </c>
      <c r="R198" s="20">
        <f>3+TableStandards[[#This Row],[Degree Centrality]]*17</f>
        <v>3</v>
      </c>
    </row>
    <row r="199" spans="1:18" x14ac:dyDescent="0.5">
      <c r="A199">
        <v>212</v>
      </c>
      <c r="B199" t="s">
        <v>480</v>
      </c>
      <c r="C199" t="s">
        <v>481</v>
      </c>
      <c r="D199" s="1"/>
      <c r="E199" s="1"/>
      <c r="F199" s="4">
        <v>40909</v>
      </c>
      <c r="G199" s="4">
        <v>40909</v>
      </c>
      <c r="H199" t="s">
        <v>467</v>
      </c>
      <c r="N199" t="str">
        <f>INDEX(Colours!$C$2:$C$14,MATCH(H199,Colours!$A$2:$A$14,0))</f>
        <v>#B1D751</v>
      </c>
      <c r="R199" s="20">
        <f>3+TableStandards[[#This Row],[Degree Centrality]]*17</f>
        <v>3</v>
      </c>
    </row>
    <row r="200" spans="1:18" x14ac:dyDescent="0.5">
      <c r="A200">
        <v>213</v>
      </c>
      <c r="B200" t="s">
        <v>482</v>
      </c>
      <c r="C200" t="s">
        <v>483</v>
      </c>
      <c r="D200" s="1"/>
      <c r="E200" s="1"/>
      <c r="F200" s="4">
        <v>40817</v>
      </c>
      <c r="G200" s="4">
        <v>40817</v>
      </c>
      <c r="H200" t="s">
        <v>103</v>
      </c>
      <c r="N200" t="str">
        <f>INDEX(Colours!$C$2:$C$14,MATCH(H200,Colours!$A$2:$A$14,0))</f>
        <v>#595959</v>
      </c>
      <c r="R200" s="20">
        <f>3+TableStandards[[#This Row],[Degree Centrality]]*17</f>
        <v>3</v>
      </c>
    </row>
    <row r="201" spans="1:18" x14ac:dyDescent="0.5">
      <c r="A201">
        <v>214</v>
      </c>
      <c r="B201" t="s">
        <v>55</v>
      </c>
      <c r="C201" t="s">
        <v>56</v>
      </c>
      <c r="D201" s="1" t="s">
        <v>57</v>
      </c>
      <c r="E201" s="87" t="s">
        <v>58</v>
      </c>
      <c r="F201" s="4">
        <v>44902</v>
      </c>
      <c r="G201" s="4">
        <v>44902</v>
      </c>
      <c r="H201" t="s">
        <v>26</v>
      </c>
      <c r="I201" t="s">
        <v>27</v>
      </c>
      <c r="J201" t="s">
        <v>28</v>
      </c>
      <c r="K201" t="s">
        <v>29</v>
      </c>
      <c r="M201" t="s">
        <v>27</v>
      </c>
      <c r="N201" t="str">
        <f>INDEX(Colours!$C$2:$C$14,MATCH(H201,Colours!$A$2:$A$14,0))</f>
        <v>#70AD47</v>
      </c>
      <c r="R201" s="20">
        <f>3+TableStandards[[#This Row],[Degree Centrality]]*17</f>
        <v>3</v>
      </c>
    </row>
    <row r="202" spans="1:18" x14ac:dyDescent="0.5">
      <c r="A202">
        <v>215</v>
      </c>
      <c r="B202" t="s">
        <v>42</v>
      </c>
      <c r="C202" t="s">
        <v>43</v>
      </c>
      <c r="D202" s="1" t="s">
        <v>44</v>
      </c>
      <c r="E202" s="87" t="s">
        <v>45</v>
      </c>
      <c r="F202" s="4">
        <v>45536</v>
      </c>
      <c r="G202" s="4">
        <v>45536</v>
      </c>
      <c r="H202" t="s">
        <v>26</v>
      </c>
      <c r="I202" t="s">
        <v>27</v>
      </c>
      <c r="J202" t="s">
        <v>28</v>
      </c>
      <c r="K202" t="s">
        <v>29</v>
      </c>
      <c r="M202" t="s">
        <v>27</v>
      </c>
      <c r="N202" t="str">
        <f>INDEX(Colours!$C$2:$C$14,MATCH(H202,Colours!$A$2:$A$14,0))</f>
        <v>#70AD47</v>
      </c>
      <c r="R202" s="20">
        <f>3+TableStandards[[#This Row],[Degree Centrality]]*17</f>
        <v>3</v>
      </c>
    </row>
    <row r="203" spans="1:18" x14ac:dyDescent="0.5">
      <c r="A203">
        <v>216</v>
      </c>
      <c r="B203" t="s">
        <v>492</v>
      </c>
      <c r="C203" t="s">
        <v>493</v>
      </c>
      <c r="D203" s="1"/>
      <c r="E203" s="1"/>
      <c r="F203" s="4">
        <v>44197</v>
      </c>
      <c r="G203" s="4">
        <v>44197</v>
      </c>
      <c r="H203" t="s">
        <v>84</v>
      </c>
      <c r="N203" t="str">
        <f>INDEX(Colours!$C$2:$C$14,MATCH(H203,Colours!$A$2:$A$14,0))</f>
        <v>#4472C4</v>
      </c>
      <c r="R203" s="20">
        <f>3+TableStandards[[#This Row],[Degree Centrality]]*17</f>
        <v>3</v>
      </c>
    </row>
    <row r="204" spans="1:18" x14ac:dyDescent="0.5">
      <c r="A204">
        <v>217</v>
      </c>
      <c r="B204" t="s">
        <v>494</v>
      </c>
      <c r="C204" t="s">
        <v>495</v>
      </c>
      <c r="D204" s="1"/>
      <c r="E204" s="1"/>
      <c r="F204" s="4">
        <v>44197</v>
      </c>
      <c r="G204" s="4">
        <v>44197</v>
      </c>
      <c r="H204" t="s">
        <v>84</v>
      </c>
      <c r="N204" t="str">
        <f>INDEX(Colours!$C$2:$C$14,MATCH(H204,Colours!$A$2:$A$14,0))</f>
        <v>#4472C4</v>
      </c>
      <c r="R204" s="20">
        <f>3+TableStandards[[#This Row],[Degree Centrality]]*17</f>
        <v>3</v>
      </c>
    </row>
    <row r="205" spans="1:18" x14ac:dyDescent="0.5">
      <c r="A205">
        <v>218</v>
      </c>
      <c r="B205" t="s">
        <v>496</v>
      </c>
      <c r="C205" t="s">
        <v>497</v>
      </c>
      <c r="D205" s="1"/>
      <c r="E205" s="1"/>
      <c r="F205" s="4">
        <v>44197</v>
      </c>
      <c r="G205" s="4">
        <v>44197</v>
      </c>
      <c r="H205" t="s">
        <v>84</v>
      </c>
      <c r="N205" t="str">
        <f>INDEX(Colours!$C$2:$C$14,MATCH(H205,Colours!$A$2:$A$14,0))</f>
        <v>#4472C4</v>
      </c>
      <c r="R205" s="20">
        <f>3+TableStandards[[#This Row],[Degree Centrality]]*17</f>
        <v>3</v>
      </c>
    </row>
    <row r="206" spans="1:18" x14ac:dyDescent="0.5">
      <c r="A206">
        <v>219</v>
      </c>
      <c r="B206" t="s">
        <v>498</v>
      </c>
      <c r="C206" t="s">
        <v>499</v>
      </c>
      <c r="D206" s="1"/>
      <c r="E206" s="1"/>
      <c r="F206" s="4">
        <v>44197</v>
      </c>
      <c r="G206" s="4">
        <v>44197</v>
      </c>
      <c r="H206" t="s">
        <v>84</v>
      </c>
      <c r="N206" t="str">
        <f>INDEX(Colours!$C$2:$C$14,MATCH(H206,Colours!$A$2:$A$14,0))</f>
        <v>#4472C4</v>
      </c>
      <c r="R206" s="20">
        <f>3+TableStandards[[#This Row],[Degree Centrality]]*17</f>
        <v>3</v>
      </c>
    </row>
    <row r="207" spans="1:18" x14ac:dyDescent="0.5">
      <c r="A207">
        <v>220</v>
      </c>
      <c r="B207" t="s">
        <v>500</v>
      </c>
      <c r="C207" t="s">
        <v>501</v>
      </c>
      <c r="D207" s="1"/>
      <c r="E207" s="1"/>
      <c r="F207" s="4">
        <v>43831</v>
      </c>
      <c r="G207" s="4">
        <v>43831</v>
      </c>
      <c r="H207" t="s">
        <v>84</v>
      </c>
      <c r="N207" t="str">
        <f>INDEX(Colours!$C$2:$C$14,MATCH(H207,Colours!$A$2:$A$14,0))</f>
        <v>#4472C4</v>
      </c>
      <c r="R207" s="20">
        <f>3+TableStandards[[#This Row],[Degree Centrality]]*17</f>
        <v>3</v>
      </c>
    </row>
  </sheetData>
  <phoneticPr fontId="3" type="noConversion"/>
  <hyperlinks>
    <hyperlink ref="E5" r:id="rId1" xr:uid="{A96F399F-D41B-41BF-B890-1F2FF65D86FA}"/>
    <hyperlink ref="E6" r:id="rId2" xr:uid="{D98D0042-A69E-4AE9-90C2-4B108D31E78F}"/>
    <hyperlink ref="E14" r:id="rId3" xr:uid="{39841BA4-393B-4F4A-9259-578ED6BEED9B}"/>
    <hyperlink ref="E85" r:id="rId4" xr:uid="{89FD5CC2-9F57-4F96-B443-EAC0E03CA2B9}"/>
    <hyperlink ref="E86" r:id="rId5" xr:uid="{E708D914-32A6-4426-9D1C-788FAE9750F4}"/>
    <hyperlink ref="E80" r:id="rId6" xr:uid="{9E907688-F17D-4F05-9484-8E529AFF17EE}"/>
    <hyperlink ref="E62" r:id="rId7" xr:uid="{258158B3-9500-42F8-A67E-4D7C8D72B142}"/>
    <hyperlink ref="E63" r:id="rId8" xr:uid="{D2A8919C-9829-42AE-A88B-1E44A12D8764}"/>
    <hyperlink ref="E17" r:id="rId9" xr:uid="{03EFDB90-DA73-45F9-901F-04036C6510D8}"/>
    <hyperlink ref="E95" r:id="rId10" xr:uid="{7AF05A04-8A4B-4FCD-AD38-F5C5FDA5E93D}"/>
    <hyperlink ref="E99" r:id="rId11" xr:uid="{406C466E-1D2C-4FE4-AB02-C4E51DFEE6C6}"/>
    <hyperlink ref="E100" r:id="rId12" xr:uid="{16757B52-E35F-441C-947D-C1625A0177FB}"/>
    <hyperlink ref="E101" r:id="rId13" xr:uid="{A76346EA-D94A-4392-BDC7-0283658E2DC8}"/>
    <hyperlink ref="E103" r:id="rId14" xr:uid="{A6C577BC-839F-4CA2-81FB-DADBE6A2885B}"/>
    <hyperlink ref="E104" r:id="rId15" xr:uid="{87988F48-3753-40EE-A3C1-6B34DD653AB6}"/>
    <hyperlink ref="E105" r:id="rId16" xr:uid="{91D6E331-D458-4FEF-9CF2-BE1C7DC898A1}"/>
    <hyperlink ref="E102" r:id="rId17" xr:uid="{9C6F792F-00AB-4F8F-A6B5-DB771B9600F3}"/>
    <hyperlink ref="E13" r:id="rId18" xr:uid="{55DC8C2E-F77A-46C6-8B88-6E59C3F82BF3}"/>
    <hyperlink ref="E12" r:id="rId19" xr:uid="{F343E8D1-4379-43EC-AF68-2F396FA13E8A}"/>
    <hyperlink ref="E28" r:id="rId20" xr:uid="{F4855E4F-3F7C-4B3F-B143-BF3D65901CE7}"/>
    <hyperlink ref="E11" r:id="rId21" xr:uid="{7F3BFFD3-8E78-4877-ABAB-D91D51A74BCD}"/>
    <hyperlink ref="E16" r:id="rId22" xr:uid="{7DA00137-FECA-4B77-9362-F0D10C3543E2}"/>
    <hyperlink ref="E15" r:id="rId23" xr:uid="{3CFFB56E-8F07-4FBE-A34F-61C3A374EB1F}"/>
    <hyperlink ref="E50" r:id="rId24" xr:uid="{1DC2B20B-E212-4B97-A5F4-BBC778C63C13}"/>
    <hyperlink ref="E49" r:id="rId25" xr:uid="{AD9FDB67-98C8-4ECE-ABA9-D14D985E2657}"/>
    <hyperlink ref="E10" r:id="rId26" xr:uid="{0D4EBB1F-E347-47A6-B36E-44564FF7BC08}"/>
    <hyperlink ref="E9" r:id="rId27" xr:uid="{51B3D120-4D72-46D8-952C-8EC1A07E423E}"/>
    <hyperlink ref="E8" r:id="rId28" xr:uid="{C44A524F-3FE2-47E0-893D-AB282CD806EE}"/>
    <hyperlink ref="E84" r:id="rId29" xr:uid="{088DF2B0-48DC-4F3E-A4DF-2467D1EC41FD}"/>
    <hyperlink ref="E154" r:id="rId30" display="https://www.en-standard.eu/une-cen-tr-17741-2021-guidance-for-understanding-and-utilize-en-iso-29481-1-building-information-models-information-delivery-manual-part-1-methodology-and-format-endorsed-by-asociacion-espa-ola-de-normalizacion-in-february-of-2022/" xr:uid="{D16A3402-0E92-4E83-BB3E-68C703120E36}"/>
    <hyperlink ref="E98" r:id="rId31" display="https://www.en-standard.eu/une-cen-tr-17654-2021-guideline-for-the-implementation-of-exchange-information-requirements-eir-and-bim-execution-plans-bep-on-european-level-based-on-en-iso-19650-1-and-2-endorsed-by-asociacion-espa-ola-de-normalizacion-in-february-of-2023/" xr:uid="{C1D42956-D196-4BA5-86CD-BD6B096FA35A}"/>
    <hyperlink ref="E159" r:id="rId32" xr:uid="{DC20D688-BF38-4A3B-AF2E-F8D8F73C9E73}"/>
    <hyperlink ref="E97" r:id="rId33" xr:uid="{20944DE1-6503-4122-B9DE-0CE0DBA9E3A5}"/>
    <hyperlink ref="E167" r:id="rId34" xr:uid="{77C387F9-0FA3-4B55-BB68-9AF371EC35F4}"/>
    <hyperlink ref="E166" r:id="rId35" xr:uid="{404A6B17-9684-4C0D-B2E4-E314DAA3752A}"/>
    <hyperlink ref="E175" r:id="rId36" xr:uid="{B1DFE499-38A3-4154-B837-9D0E5DCA384D}"/>
    <hyperlink ref="E201" r:id="rId37" xr:uid="{D4756901-8F58-499E-A650-0963934CC62E}"/>
    <hyperlink ref="E202" r:id="rId38" xr:uid="{DA87AC7D-8ECD-443F-B8C5-443A7AD72875}"/>
    <hyperlink ref="E184" r:id="rId39" xr:uid="{20D5263E-0AF0-44CE-A6EA-381CDEAD1D92}"/>
  </hyperlinks>
  <pageMargins left="0.7" right="0.7" top="0.75" bottom="0.75" header="0.3" footer="0.3"/>
  <legacyDrawing r:id="rId40"/>
  <tableParts count="1">
    <tablePart r:id="rId4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547B-7074-4485-957A-2948992485F0}">
  <dimension ref="A1:T1048440"/>
  <sheetViews>
    <sheetView topLeftCell="A16" workbookViewId="0">
      <selection activeCell="C25" sqref="C25"/>
    </sheetView>
  </sheetViews>
  <sheetFormatPr defaultRowHeight="14.35" x14ac:dyDescent="0.5"/>
  <cols>
    <col min="2" max="2" width="18.41015625" customWidth="1"/>
    <col min="3" max="3" width="27" customWidth="1"/>
    <col min="4" max="4" width="8.5859375" customWidth="1"/>
    <col min="5" max="5" width="13.41015625" customWidth="1"/>
    <col min="6" max="7" width="16.41015625" customWidth="1"/>
    <col min="8" max="12" width="12.41015625" customWidth="1"/>
    <col min="13" max="13" width="19" customWidth="1"/>
    <col min="14" max="17" width="13.87890625" customWidth="1"/>
    <col min="18" max="18" width="18.87890625" customWidth="1"/>
    <col min="19" max="19" width="18.41015625" customWidth="1"/>
  </cols>
  <sheetData>
    <row r="1" spans="1:20" x14ac:dyDescent="0.5">
      <c r="A1" t="s">
        <v>502</v>
      </c>
      <c r="B1" t="s">
        <v>503</v>
      </c>
      <c r="C1" t="s">
        <v>504</v>
      </c>
      <c r="D1" t="s">
        <v>505</v>
      </c>
      <c r="E1" t="s">
        <v>506</v>
      </c>
      <c r="F1" t="s">
        <v>507</v>
      </c>
      <c r="G1" t="s">
        <v>508</v>
      </c>
      <c r="H1" t="s">
        <v>7</v>
      </c>
      <c r="I1" t="s">
        <v>509</v>
      </c>
      <c r="J1" t="s">
        <v>510</v>
      </c>
      <c r="K1" t="s">
        <v>511</v>
      </c>
      <c r="L1" t="s">
        <v>512</v>
      </c>
      <c r="M1" t="s">
        <v>513</v>
      </c>
      <c r="N1" t="s">
        <v>514</v>
      </c>
      <c r="O1" t="s">
        <v>515</v>
      </c>
      <c r="P1" t="s">
        <v>516</v>
      </c>
      <c r="Q1" t="s">
        <v>517</v>
      </c>
      <c r="R1" t="s">
        <v>518</v>
      </c>
      <c r="S1" t="s">
        <v>519</v>
      </c>
      <c r="T1" t="s">
        <v>520</v>
      </c>
    </row>
    <row r="2" spans="1:20" x14ac:dyDescent="0.5">
      <c r="A2">
        <v>378</v>
      </c>
      <c r="B2" t="s">
        <v>22</v>
      </c>
      <c r="C2" t="s">
        <v>236</v>
      </c>
      <c r="D2">
        <f>INDEX(Standards!$A$2:$A$296,MATCH(B2,Standards!$B$2:$B$296,0))</f>
        <v>99</v>
      </c>
      <c r="E2">
        <f>INDEX(Standards!$A$2:$A$296,MATCH(C2,Standards!$B$2:$B$296,0))</f>
        <v>91</v>
      </c>
      <c r="F2" t="str">
        <f>INDEX(Standards!$N$2:$N$296,MATCH(B2,Standards!$B$2:$B$296,0))</f>
        <v>#70AD47</v>
      </c>
      <c r="G2" t="str">
        <f>INDEX(Standards!$N$2:$N$296,MATCH(C2,Standards!$B$2:$B$296,0))</f>
        <v>#F2F2F2</v>
      </c>
      <c r="H2" t="s">
        <v>521</v>
      </c>
      <c r="I2" t="s">
        <v>237</v>
      </c>
      <c r="J2" t="str">
        <f>INDEX(Standards!$H$2:$H$296,MATCH(B2,Standards!$B$2:$B$296,0))</f>
        <v>BIM</v>
      </c>
      <c r="K2" t="str">
        <f>INDEX(Standards!$H$2:$H$296,MATCH(C2,Standards!$B$2:$B$296,0))</f>
        <v>Anchor</v>
      </c>
      <c r="L2" t="b">
        <f>AND(TableRelationships[[#This Row],[Source Type]]="BIM",TableRelationships[[#This Row],[Target Type]]="BIM")</f>
        <v>0</v>
      </c>
      <c r="M2">
        <f t="shared" ref="M2:M65" si="0">IF(I2="Normative",6,IF(I2="Secondary",4,IF(I2="Anchor",2,1)))</f>
        <v>2</v>
      </c>
      <c r="O2">
        <f t="shared" ref="O2:O65" si="1">IF(N2="High",10,IF(N2="Medium",6,IF(N2="Low",2,1)))</f>
        <v>1</v>
      </c>
      <c r="P2" t="str">
        <f>IF(TableRelationships[[#This Row],[Rank Pedro]]="Low","linkCategory1",IF(TableRelationships[[#This Row],[Rank Pedro]]="Medium","linkCategory2",IF(TableRelationships[[#This Row],[Rank Pedro]]="High","linkCategory3","")))</f>
        <v/>
      </c>
      <c r="Q2" t="str">
        <f>IF(TableRelationships[[#This Row],[Rank Pedro]]="Low","Pink",IF(TableRelationships[[#This Row],[Rank Pedro]]="Medium","Purple",IF(TableRelationships[[#This Row],[Rank Pedro]]="High","Brown","")))</f>
        <v/>
      </c>
      <c r="R2" s="4">
        <f>MAX(INDEX(Standards!$F$2:$F$296,MATCH(B2,Standards!$B$2:$B$296,0)),INDEX(Standards!$F$2:$F$296,MATCH(C2,Standards!$B$2:$B$296,0)))</f>
        <v>43992</v>
      </c>
      <c r="S2">
        <f t="shared" ref="S2:S65" si="2">IF(I2="Normative", "#d6bf2a", IF(I2="Informative", "#2f89d1", 1))</f>
        <v>1</v>
      </c>
    </row>
    <row r="3" spans="1:20" x14ac:dyDescent="0.5">
      <c r="A3">
        <v>168</v>
      </c>
      <c r="B3" t="s">
        <v>22</v>
      </c>
      <c r="C3" t="s">
        <v>30</v>
      </c>
      <c r="D3">
        <f>INDEX(Standards!$A$2:$A$296,MATCH(B3,Standards!$B$2:$B$296,0))</f>
        <v>99</v>
      </c>
      <c r="E3">
        <f>INDEX(Standards!$A$2:$A$296,MATCH(C3,Standards!$B$2:$B$296,0))</f>
        <v>102</v>
      </c>
      <c r="F3" t="str">
        <f>INDEX(Standards!$N$2:$N$296,MATCH(B3,Standards!$B$2:$B$296,0))</f>
        <v>#70AD47</v>
      </c>
      <c r="G3" t="str">
        <f>INDEX(Standards!$N$2:$N$296,MATCH(C3,Standards!$B$2:$B$296,0))</f>
        <v>#70AD47</v>
      </c>
      <c r="H3" t="s">
        <v>521</v>
      </c>
      <c r="I3" s="82" t="s">
        <v>522</v>
      </c>
      <c r="J3" t="str">
        <f>INDEX(Standards!$H$2:$H$296,MATCH(B3,Standards!$B$2:$B$296,0))</f>
        <v>BIM</v>
      </c>
      <c r="K3" t="str">
        <f>INDEX(Standards!$H$2:$H$296,MATCH(C3,Standards!$B$2:$B$296,0))</f>
        <v>BIM</v>
      </c>
      <c r="L3" t="b">
        <f>AND(TableRelationships[[#This Row],[Source Type]]="BIM",TableRelationships[[#This Row],[Target Type]]="BIM")</f>
        <v>1</v>
      </c>
      <c r="M3">
        <f t="shared" si="0"/>
        <v>1</v>
      </c>
      <c r="N3" t="s">
        <v>523</v>
      </c>
      <c r="O3">
        <f t="shared" si="1"/>
        <v>10</v>
      </c>
      <c r="P3" t="str">
        <f>IF(TableRelationships[[#This Row],[Rank Pedro]]="Low","linkCategory1",IF(TableRelationships[[#This Row],[Rank Pedro]]="Medium","linkCategory2",IF(TableRelationships[[#This Row],[Rank Pedro]]="High","linkCategory3","")))</f>
        <v>linkCategory3</v>
      </c>
      <c r="Q3" t="str">
        <f>IF(TableRelationships[[#This Row],[Rank Pedro]]="Low","Pink",IF(TableRelationships[[#This Row],[Rank Pedro]]="Medium","Purple",IF(TableRelationships[[#This Row],[Rank Pedro]]="High","Brown","")))</f>
        <v>Brown</v>
      </c>
      <c r="R3" s="4">
        <f>MAX(INDEX(Standards!$F$2:$F$296,MATCH(B3,Standards!$B$2:$B$296,0)),INDEX(Standards!$F$2:$F$296,MATCH(C3,Standards!$B$2:$B$296,0)))</f>
        <v>44391</v>
      </c>
      <c r="S3">
        <f t="shared" si="2"/>
        <v>1</v>
      </c>
    </row>
    <row r="4" spans="1:20" x14ac:dyDescent="0.5">
      <c r="A4">
        <v>171</v>
      </c>
      <c r="B4" t="s">
        <v>22</v>
      </c>
      <c r="C4" t="s">
        <v>484</v>
      </c>
      <c r="D4">
        <f>INDEX(Standards!$A$2:$A$296,MATCH(B4,Standards!$B$2:$B$296,0))</f>
        <v>99</v>
      </c>
      <c r="E4">
        <f>INDEX(Standards!$A$2:$A$296,MATCH(C4,Standards!$B$2:$B$296,0))</f>
        <v>196</v>
      </c>
      <c r="F4" t="str">
        <f>INDEX(Standards!$N$2:$N$296,MATCH(B4,Standards!$B$2:$B$296,0))</f>
        <v>#70AD47</v>
      </c>
      <c r="G4" t="str">
        <f>INDEX(Standards!$N$2:$N$296,MATCH(C4,Standards!$B$2:$B$296,0))</f>
        <v>#70AD47</v>
      </c>
      <c r="H4" t="s">
        <v>521</v>
      </c>
      <c r="I4" s="82" t="s">
        <v>522</v>
      </c>
      <c r="J4" t="str">
        <f>INDEX(Standards!$H$2:$H$296,MATCH(B4,Standards!$B$2:$B$296,0))</f>
        <v>BIM</v>
      </c>
      <c r="K4" t="str">
        <f>INDEX(Standards!$H$2:$H$296,MATCH(C4,Standards!$B$2:$B$296,0))</f>
        <v>BIM</v>
      </c>
      <c r="L4" t="b">
        <f>AND(TableRelationships[[#This Row],[Source Type]]="BIM",TableRelationships[[#This Row],[Target Type]]="BIM")</f>
        <v>1</v>
      </c>
      <c r="M4">
        <f t="shared" si="0"/>
        <v>1</v>
      </c>
      <c r="N4" t="s">
        <v>528</v>
      </c>
      <c r="O4">
        <f t="shared" si="1"/>
        <v>6</v>
      </c>
      <c r="P4" t="str">
        <f>IF(TableRelationships[[#This Row],[Rank Pedro]]="Low","linkCategory1",IF(TableRelationships[[#This Row],[Rank Pedro]]="Medium","linkCategory2",IF(TableRelationships[[#This Row],[Rank Pedro]]="High","linkCategory3","")))</f>
        <v>linkCategory2</v>
      </c>
      <c r="Q4" t="str">
        <f>IF(TableRelationships[[#This Row],[Rank Pedro]]="Low","Pink",IF(TableRelationships[[#This Row],[Rank Pedro]]="Medium","Purple",IF(TableRelationships[[#This Row],[Rank Pedro]]="High","Brown","")))</f>
        <v>Purple</v>
      </c>
      <c r="R4" s="4">
        <f>MAX(INDEX(Standards!$F$2:$F$296,MATCH(B4,Standards!$B$2:$B$296,0)),INDEX(Standards!$F$2:$F$296,MATCH(C4,Standards!$B$2:$B$296,0)))</f>
        <v>45444</v>
      </c>
      <c r="S4">
        <f t="shared" si="2"/>
        <v>1</v>
      </c>
    </row>
    <row r="5" spans="1:20" x14ac:dyDescent="0.5">
      <c r="A5">
        <v>169</v>
      </c>
      <c r="B5" t="s">
        <v>22</v>
      </c>
      <c r="C5" t="s">
        <v>63</v>
      </c>
      <c r="D5">
        <f>INDEX(Standards!$A$2:$A$296,MATCH(B5,Standards!$B$2:$B$296,0))</f>
        <v>99</v>
      </c>
      <c r="E5">
        <f>INDEX(Standards!$A$2:$A$296,MATCH(C5,Standards!$B$2:$B$296,0))</f>
        <v>6</v>
      </c>
      <c r="F5" t="str">
        <f>INDEX(Standards!$N$2:$N$296,MATCH(B5,Standards!$B$2:$B$296,0))</f>
        <v>#70AD47</v>
      </c>
      <c r="G5" t="str">
        <f>INDEX(Standards!$N$2:$N$296,MATCH(C5,Standards!$B$2:$B$296,0))</f>
        <v>#70AD47</v>
      </c>
      <c r="H5" t="s">
        <v>521</v>
      </c>
      <c r="I5" t="s">
        <v>525</v>
      </c>
      <c r="J5" t="str">
        <f>INDEX(Standards!$H$2:$H$296,MATCH(B5,Standards!$B$2:$B$296,0))</f>
        <v>BIM</v>
      </c>
      <c r="K5" t="str">
        <f>INDEX(Standards!$H$2:$H$296,MATCH(C5,Standards!$B$2:$B$296,0))</f>
        <v>BIM</v>
      </c>
      <c r="L5" t="b">
        <f>AND(TableRelationships[[#This Row],[Source Type]]="BIM",TableRelationships[[#This Row],[Target Type]]="BIM")</f>
        <v>1</v>
      </c>
      <c r="M5">
        <f t="shared" si="0"/>
        <v>1</v>
      </c>
      <c r="N5" t="s">
        <v>526</v>
      </c>
      <c r="O5">
        <f t="shared" si="1"/>
        <v>2</v>
      </c>
      <c r="P5" t="str">
        <f>IF(TableRelationships[[#This Row],[Rank Pedro]]="Low","linkCategory1",IF(TableRelationships[[#This Row],[Rank Pedro]]="Medium","linkCategory2",IF(TableRelationships[[#This Row],[Rank Pedro]]="High","linkCategory3","")))</f>
        <v>linkCategory1</v>
      </c>
      <c r="Q5" t="str">
        <f>IF(TableRelationships[[#This Row],[Rank Pedro]]="Low","Pink",IF(TableRelationships[[#This Row],[Rank Pedro]]="Medium","Purple",IF(TableRelationships[[#This Row],[Rank Pedro]]="High","Brown","")))</f>
        <v>Pink</v>
      </c>
      <c r="R5" s="4">
        <f>MAX(INDEX(Standards!$F$2:$F$296,MATCH(B5,Standards!$B$2:$B$296,0)),INDEX(Standards!$F$2:$F$296,MATCH(C5,Standards!$B$2:$B$296,0)))</f>
        <v>43992</v>
      </c>
      <c r="S5" t="str">
        <f t="shared" si="2"/>
        <v>#2f89d1</v>
      </c>
    </row>
    <row r="6" spans="1:20" x14ac:dyDescent="0.5">
      <c r="A6">
        <v>170</v>
      </c>
      <c r="B6" t="s">
        <v>22</v>
      </c>
      <c r="C6" t="s">
        <v>68</v>
      </c>
      <c r="D6">
        <f>INDEX(Standards!$A$2:$A$296,MATCH(B6,Standards!$B$2:$B$296,0))</f>
        <v>99</v>
      </c>
      <c r="E6">
        <f>INDEX(Standards!$A$2:$A$296,MATCH(C6,Standards!$B$2:$B$296,0))</f>
        <v>7</v>
      </c>
      <c r="F6" t="str">
        <f>INDEX(Standards!$N$2:$N$296,MATCH(B6,Standards!$B$2:$B$296,0))</f>
        <v>#70AD47</v>
      </c>
      <c r="G6" t="str">
        <f>INDEX(Standards!$N$2:$N$296,MATCH(C6,Standards!$B$2:$B$296,0))</f>
        <v>#70AD47</v>
      </c>
      <c r="H6" t="s">
        <v>521</v>
      </c>
      <c r="I6" t="s">
        <v>525</v>
      </c>
      <c r="J6" t="str">
        <f>INDEX(Standards!$H$2:$H$296,MATCH(B6,Standards!$B$2:$B$296,0))</f>
        <v>BIM</v>
      </c>
      <c r="K6" t="str">
        <f>INDEX(Standards!$H$2:$H$296,MATCH(C6,Standards!$B$2:$B$296,0))</f>
        <v>BIM</v>
      </c>
      <c r="L6" t="b">
        <f>AND(TableRelationships[[#This Row],[Source Type]]="BIM",TableRelationships[[#This Row],[Target Type]]="BIM")</f>
        <v>1</v>
      </c>
      <c r="M6">
        <f t="shared" si="0"/>
        <v>1</v>
      </c>
      <c r="N6" t="s">
        <v>526</v>
      </c>
      <c r="O6">
        <f t="shared" si="1"/>
        <v>2</v>
      </c>
      <c r="P6" t="str">
        <f>IF(TableRelationships[[#This Row],[Rank Pedro]]="Low","linkCategory1",IF(TableRelationships[[#This Row],[Rank Pedro]]="Medium","linkCategory2",IF(TableRelationships[[#This Row],[Rank Pedro]]="High","linkCategory3","")))</f>
        <v>linkCategory1</v>
      </c>
      <c r="Q6" t="str">
        <f>IF(TableRelationships[[#This Row],[Rank Pedro]]="Low","Pink",IF(TableRelationships[[#This Row],[Rank Pedro]]="Medium","Purple",IF(TableRelationships[[#This Row],[Rank Pedro]]="High","Brown","")))</f>
        <v>Pink</v>
      </c>
      <c r="R6" s="4">
        <f>MAX(INDEX(Standards!$F$2:$F$296,MATCH(B6,Standards!$B$2:$B$296,0)),INDEX(Standards!$F$2:$F$296,MATCH(C6,Standards!$B$2:$B$296,0)))</f>
        <v>43992</v>
      </c>
      <c r="S6" t="str">
        <f t="shared" si="2"/>
        <v>#2f89d1</v>
      </c>
    </row>
    <row r="7" spans="1:20" x14ac:dyDescent="0.5">
      <c r="A7">
        <v>165</v>
      </c>
      <c r="B7" t="s">
        <v>22</v>
      </c>
      <c r="C7" t="s">
        <v>210</v>
      </c>
      <c r="D7">
        <f>INDEX(Standards!$A$2:$A$296,MATCH(B7,Standards!$B$2:$B$296,0))</f>
        <v>99</v>
      </c>
      <c r="E7">
        <f>INDEX(Standards!$A$2:$A$296,MATCH(C7,Standards!$B$2:$B$296,0))</f>
        <v>9</v>
      </c>
      <c r="F7" t="str">
        <f>INDEX(Standards!$N$2:$N$296,MATCH(B7,Standards!$B$2:$B$296,0))</f>
        <v>#70AD47</v>
      </c>
      <c r="G7" t="str">
        <f>INDEX(Standards!$N$2:$N$296,MATCH(C7,Standards!$B$2:$B$296,0))</f>
        <v>#70AD47</v>
      </c>
      <c r="H7" t="s">
        <v>521</v>
      </c>
      <c r="I7" t="s">
        <v>524</v>
      </c>
      <c r="J7" t="str">
        <f>INDEX(Standards!$H$2:$H$296,MATCH(B7,Standards!$B$2:$B$296,0))</f>
        <v>BIM</v>
      </c>
      <c r="K7" t="str">
        <f>INDEX(Standards!$H$2:$H$296,MATCH(C7,Standards!$B$2:$B$296,0))</f>
        <v>BIM</v>
      </c>
      <c r="L7" t="b">
        <f>AND(TableRelationships[[#This Row],[Source Type]]="BIM",TableRelationships[[#This Row],[Target Type]]="BIM")</f>
        <v>1</v>
      </c>
      <c r="M7">
        <f t="shared" si="0"/>
        <v>6</v>
      </c>
      <c r="N7" t="s">
        <v>528</v>
      </c>
      <c r="O7">
        <f t="shared" si="1"/>
        <v>6</v>
      </c>
      <c r="P7" t="str">
        <f>IF(TableRelationships[[#This Row],[Rank Pedro]]="Low","linkCategory1",IF(TableRelationships[[#This Row],[Rank Pedro]]="Medium","linkCategory2",IF(TableRelationships[[#This Row],[Rank Pedro]]="High","linkCategory3","")))</f>
        <v>linkCategory2</v>
      </c>
      <c r="Q7" t="str">
        <f>IF(TableRelationships[[#This Row],[Rank Pedro]]="Low","Pink",IF(TableRelationships[[#This Row],[Rank Pedro]]="Medium","Purple",IF(TableRelationships[[#This Row],[Rank Pedro]]="High","Brown","")))</f>
        <v>Purple</v>
      </c>
      <c r="R7" s="4">
        <f>MAX(INDEX(Standards!$F$2:$F$296,MATCH(B7,Standards!$B$2:$B$296,0)),INDEX(Standards!$F$2:$F$296,MATCH(C7,Standards!$B$2:$B$296,0)))</f>
        <v>43992</v>
      </c>
      <c r="S7" t="str">
        <f t="shared" si="2"/>
        <v>#d6bf2a</v>
      </c>
    </row>
    <row r="8" spans="1:20" x14ac:dyDescent="0.5">
      <c r="A8">
        <v>166</v>
      </c>
      <c r="B8" t="s">
        <v>22</v>
      </c>
      <c r="C8" t="s">
        <v>214</v>
      </c>
      <c r="D8">
        <f>INDEX(Standards!$A$2:$A$296,MATCH(B8,Standards!$B$2:$B$296,0))</f>
        <v>99</v>
      </c>
      <c r="E8">
        <f>INDEX(Standards!$A$2:$A$296,MATCH(C8,Standards!$B$2:$B$296,0))</f>
        <v>10</v>
      </c>
      <c r="F8" t="str">
        <f>INDEX(Standards!$N$2:$N$296,MATCH(B8,Standards!$B$2:$B$296,0))</f>
        <v>#70AD47</v>
      </c>
      <c r="G8" t="str">
        <f>INDEX(Standards!$N$2:$N$296,MATCH(C8,Standards!$B$2:$B$296,0))</f>
        <v>#70AD47</v>
      </c>
      <c r="H8" t="s">
        <v>521</v>
      </c>
      <c r="I8" t="s">
        <v>524</v>
      </c>
      <c r="J8" t="str">
        <f>INDEX(Standards!$H$2:$H$296,MATCH(B8,Standards!$B$2:$B$296,0))</f>
        <v>BIM</v>
      </c>
      <c r="K8" t="str">
        <f>INDEX(Standards!$H$2:$H$296,MATCH(C8,Standards!$B$2:$B$296,0))</f>
        <v>BIM</v>
      </c>
      <c r="L8" t="b">
        <f>AND(TableRelationships[[#This Row],[Source Type]]="BIM",TableRelationships[[#This Row],[Target Type]]="BIM")</f>
        <v>1</v>
      </c>
      <c r="M8">
        <f t="shared" si="0"/>
        <v>6</v>
      </c>
      <c r="N8" t="s">
        <v>528</v>
      </c>
      <c r="O8">
        <f t="shared" si="1"/>
        <v>6</v>
      </c>
      <c r="P8" t="str">
        <f>IF(TableRelationships[[#This Row],[Rank Pedro]]="Low","linkCategory1",IF(TableRelationships[[#This Row],[Rank Pedro]]="Medium","linkCategory2",IF(TableRelationships[[#This Row],[Rank Pedro]]="High","linkCategory3","")))</f>
        <v>linkCategory2</v>
      </c>
      <c r="Q8" t="str">
        <f>IF(TableRelationships[[#This Row],[Rank Pedro]]="Low","Pink",IF(TableRelationships[[#This Row],[Rank Pedro]]="Medium","Purple",IF(TableRelationships[[#This Row],[Rank Pedro]]="High","Brown","")))</f>
        <v>Purple</v>
      </c>
      <c r="R8" s="4">
        <f>MAX(INDEX(Standards!$F$2:$F$296,MATCH(B8,Standards!$B$2:$B$296,0)),INDEX(Standards!$F$2:$F$296,MATCH(C8,Standards!$B$2:$B$296,0)))</f>
        <v>43992</v>
      </c>
      <c r="S8" t="str">
        <f t="shared" si="2"/>
        <v>#d6bf2a</v>
      </c>
    </row>
    <row r="9" spans="1:20" x14ac:dyDescent="0.5">
      <c r="A9">
        <v>167</v>
      </c>
      <c r="B9" t="s">
        <v>22</v>
      </c>
      <c r="C9" t="s">
        <v>224</v>
      </c>
      <c r="D9">
        <f>INDEX(Standards!$A$2:$A$296,MATCH(B9,Standards!$B$2:$B$296,0))</f>
        <v>99</v>
      </c>
      <c r="E9">
        <f>INDEX(Standards!$A$2:$A$296,MATCH(C9,Standards!$B$2:$B$296,0))</f>
        <v>11</v>
      </c>
      <c r="F9" t="str">
        <f>INDEX(Standards!$N$2:$N$296,MATCH(B9,Standards!$B$2:$B$296,0))</f>
        <v>#70AD47</v>
      </c>
      <c r="G9" t="str">
        <f>INDEX(Standards!$N$2:$N$296,MATCH(C9,Standards!$B$2:$B$296,0))</f>
        <v>#70AD47</v>
      </c>
      <c r="H9" t="s">
        <v>521</v>
      </c>
      <c r="I9" s="82" t="s">
        <v>522</v>
      </c>
      <c r="J9" t="str">
        <f>INDEX(Standards!$H$2:$H$296,MATCH(B9,Standards!$B$2:$B$296,0))</f>
        <v>BIM</v>
      </c>
      <c r="K9" t="str">
        <f>INDEX(Standards!$H$2:$H$296,MATCH(C9,Standards!$B$2:$B$296,0))</f>
        <v>BIM</v>
      </c>
      <c r="L9" t="b">
        <f>AND(TableRelationships[[#This Row],[Source Type]]="BIM",TableRelationships[[#This Row],[Target Type]]="BIM")</f>
        <v>1</v>
      </c>
      <c r="M9">
        <f t="shared" si="0"/>
        <v>1</v>
      </c>
      <c r="N9" t="s">
        <v>528</v>
      </c>
      <c r="O9">
        <f t="shared" si="1"/>
        <v>6</v>
      </c>
      <c r="P9" t="str">
        <f>IF(TableRelationships[[#This Row],[Rank Pedro]]="Low","linkCategory1",IF(TableRelationships[[#This Row],[Rank Pedro]]="Medium","linkCategory2",IF(TableRelationships[[#This Row],[Rank Pedro]]="High","linkCategory3","")))</f>
        <v>linkCategory2</v>
      </c>
      <c r="Q9" t="str">
        <f>IF(TableRelationships[[#This Row],[Rank Pedro]]="Low","Pink",IF(TableRelationships[[#This Row],[Rank Pedro]]="Medium","Purple",IF(TableRelationships[[#This Row],[Rank Pedro]]="High","Brown","")))</f>
        <v>Purple</v>
      </c>
      <c r="R9" s="4">
        <f>MAX(INDEX(Standards!$F$2:$F$296,MATCH(B9,Standards!$B$2:$B$296,0)),INDEX(Standards!$F$2:$F$296,MATCH(C9,Standards!$B$2:$B$296,0)))</f>
        <v>43992</v>
      </c>
      <c r="S9">
        <f t="shared" si="2"/>
        <v>1</v>
      </c>
    </row>
    <row r="10" spans="1:20" x14ac:dyDescent="0.5">
      <c r="A10">
        <v>379</v>
      </c>
      <c r="B10" t="s">
        <v>30</v>
      </c>
      <c r="C10" t="s">
        <v>236</v>
      </c>
      <c r="D10">
        <f>INDEX(Standards!$A$2:$A$296,MATCH(B10,Standards!$B$2:$B$296,0))</f>
        <v>102</v>
      </c>
      <c r="E10">
        <f>INDEX(Standards!$A$2:$A$296,MATCH(C10,Standards!$B$2:$B$296,0))</f>
        <v>91</v>
      </c>
      <c r="F10" t="str">
        <f>INDEX(Standards!$N$2:$N$296,MATCH(B10,Standards!$B$2:$B$296,0))</f>
        <v>#70AD47</v>
      </c>
      <c r="G10" t="str">
        <f>INDEX(Standards!$N$2:$N$296,MATCH(C10,Standards!$B$2:$B$296,0))</f>
        <v>#F2F2F2</v>
      </c>
      <c r="H10" t="s">
        <v>521</v>
      </c>
      <c r="I10" t="s">
        <v>237</v>
      </c>
      <c r="J10" t="str">
        <f>INDEX(Standards!$H$2:$H$296,MATCH(B10,Standards!$B$2:$B$296,0))</f>
        <v>BIM</v>
      </c>
      <c r="K10" t="str">
        <f>INDEX(Standards!$H$2:$H$296,MATCH(C10,Standards!$B$2:$B$296,0))</f>
        <v>Anchor</v>
      </c>
      <c r="L10" t="b">
        <f>AND(TableRelationships[[#This Row],[Source Type]]="BIM",TableRelationships[[#This Row],[Target Type]]="BIM")</f>
        <v>0</v>
      </c>
      <c r="M10">
        <f t="shared" si="0"/>
        <v>2</v>
      </c>
      <c r="O10">
        <f t="shared" si="1"/>
        <v>1</v>
      </c>
      <c r="P10" t="str">
        <f>IF(TableRelationships[[#This Row],[Rank Pedro]]="Low","linkCategory1",IF(TableRelationships[[#This Row],[Rank Pedro]]="Medium","linkCategory2",IF(TableRelationships[[#This Row],[Rank Pedro]]="High","linkCategory3","")))</f>
        <v/>
      </c>
      <c r="Q10" t="str">
        <f>IF(TableRelationships[[#This Row],[Rank Pedro]]="Low","Pink",IF(TableRelationships[[#This Row],[Rank Pedro]]="Medium","Purple",IF(TableRelationships[[#This Row],[Rank Pedro]]="High","Brown","")))</f>
        <v/>
      </c>
      <c r="R10" s="4">
        <f>MAX(INDEX(Standards!$F$2:$F$296,MATCH(B10,Standards!$B$2:$B$296,0)),INDEX(Standards!$F$2:$F$296,MATCH(C10,Standards!$B$2:$B$296,0)))</f>
        <v>44391</v>
      </c>
      <c r="S10">
        <f t="shared" si="2"/>
        <v>1</v>
      </c>
    </row>
    <row r="11" spans="1:20" x14ac:dyDescent="0.5">
      <c r="A11">
        <v>410</v>
      </c>
      <c r="B11" t="s">
        <v>35</v>
      </c>
      <c r="C11" t="s">
        <v>236</v>
      </c>
      <c r="D11">
        <f>INDEX(Standards!$A$2:$A$296,MATCH(B11,Standards!$B$2:$B$296,0))</f>
        <v>163</v>
      </c>
      <c r="E11">
        <f>INDEX(Standards!$A$2:$A$296,MATCH(C11,Standards!$B$2:$B$296,0))</f>
        <v>91</v>
      </c>
      <c r="F11" t="str">
        <f>INDEX(Standards!$N$2:$N$296,MATCH(B11,Standards!$B$2:$B$296,0))</f>
        <v>#70AD47</v>
      </c>
      <c r="G11" t="str">
        <f>INDEX(Standards!$N$2:$N$296,MATCH(C11,Standards!$B$2:$B$296,0))</f>
        <v>#F2F2F2</v>
      </c>
      <c r="H11" t="s">
        <v>521</v>
      </c>
      <c r="I11" t="s">
        <v>237</v>
      </c>
      <c r="J11" t="str">
        <f>INDEX(Standards!$H$2:$H$296,MATCH(B11,Standards!$B$2:$B$296,0))</f>
        <v>BIM</v>
      </c>
      <c r="K11" t="str">
        <f>INDEX(Standards!$H$2:$H$296,MATCH(C11,Standards!$B$2:$B$296,0))</f>
        <v>Anchor</v>
      </c>
      <c r="L11" t="b">
        <f>AND(TableRelationships[[#This Row],[Source Type]]="BIM",TableRelationships[[#This Row],[Target Type]]="BIM")</f>
        <v>0</v>
      </c>
      <c r="M11">
        <f t="shared" si="0"/>
        <v>2</v>
      </c>
      <c r="O11">
        <f t="shared" si="1"/>
        <v>1</v>
      </c>
      <c r="P11" t="str">
        <f>IF(TableRelationships[[#This Row],[Rank Pedro]]="Low","linkCategory1",IF(TableRelationships[[#This Row],[Rank Pedro]]="Medium","linkCategory2",IF(TableRelationships[[#This Row],[Rank Pedro]]="High","linkCategory3","")))</f>
        <v/>
      </c>
      <c r="Q11" t="str">
        <f>IF(TableRelationships[[#This Row],[Rank Pedro]]="Low","Pink",IF(TableRelationships[[#This Row],[Rank Pedro]]="Medium","Purple",IF(TableRelationships[[#This Row],[Rank Pedro]]="High","Brown","")))</f>
        <v/>
      </c>
      <c r="R11" s="4">
        <f>MAX(INDEX(Standards!$F$2:$F$296,MATCH(B11,Standards!$B$2:$B$296,0)),INDEX(Standards!$F$2:$F$296,MATCH(C11,Standards!$B$2:$B$296,0)))</f>
        <v>44552</v>
      </c>
      <c r="S11">
        <f t="shared" si="2"/>
        <v>1</v>
      </c>
    </row>
    <row r="12" spans="1:20" x14ac:dyDescent="0.5">
      <c r="A12">
        <v>190</v>
      </c>
      <c r="B12" t="s">
        <v>35</v>
      </c>
      <c r="C12" t="s">
        <v>22</v>
      </c>
      <c r="D12">
        <f>INDEX(Standards!$A$2:$A$296,MATCH(B12,Standards!$B$2:$B$296,0))</f>
        <v>163</v>
      </c>
      <c r="E12">
        <f>INDEX(Standards!$A$2:$A$296,MATCH(C12,Standards!$B$2:$B$296,0))</f>
        <v>99</v>
      </c>
      <c r="F12" t="str">
        <f>INDEX(Standards!$N$2:$N$296,MATCH(B12,Standards!$B$2:$B$296,0))</f>
        <v>#70AD47</v>
      </c>
      <c r="G12" t="str">
        <f>INDEX(Standards!$N$2:$N$296,MATCH(C12,Standards!$B$2:$B$296,0))</f>
        <v>#70AD47</v>
      </c>
      <c r="H12" t="s">
        <v>521</v>
      </c>
      <c r="I12" t="s">
        <v>525</v>
      </c>
      <c r="J12" t="str">
        <f>INDEX(Standards!$H$2:$H$296,MATCH(B12,Standards!$B$2:$B$296,0))</f>
        <v>BIM</v>
      </c>
      <c r="K12" t="str">
        <f>INDEX(Standards!$H$2:$H$296,MATCH(C12,Standards!$B$2:$B$296,0))</f>
        <v>BIM</v>
      </c>
      <c r="L12" t="b">
        <f>AND(TableRelationships[[#This Row],[Source Type]]="BIM",TableRelationships[[#This Row],[Target Type]]="BIM")</f>
        <v>1</v>
      </c>
      <c r="M12">
        <f t="shared" si="0"/>
        <v>1</v>
      </c>
      <c r="N12" t="s">
        <v>528</v>
      </c>
      <c r="O12">
        <f t="shared" si="1"/>
        <v>6</v>
      </c>
      <c r="P12" t="str">
        <f>IF(TableRelationships[[#This Row],[Rank Pedro]]="Low","linkCategory1",IF(TableRelationships[[#This Row],[Rank Pedro]]="Medium","linkCategory2",IF(TableRelationships[[#This Row],[Rank Pedro]]="High","linkCategory3","")))</f>
        <v>linkCategory2</v>
      </c>
      <c r="Q12" t="str">
        <f>IF(TableRelationships[[#This Row],[Rank Pedro]]="Low","Pink",IF(TableRelationships[[#This Row],[Rank Pedro]]="Medium","Purple",IF(TableRelationships[[#This Row],[Rank Pedro]]="High","Brown","")))</f>
        <v>Purple</v>
      </c>
      <c r="R12" s="4">
        <f>MAX(INDEX(Standards!$F$2:$F$296,MATCH(B12,Standards!$B$2:$B$296,0)),INDEX(Standards!$F$2:$F$296,MATCH(C12,Standards!$B$2:$B$296,0)))</f>
        <v>44552</v>
      </c>
      <c r="S12" t="str">
        <f t="shared" si="2"/>
        <v>#2f89d1</v>
      </c>
    </row>
    <row r="13" spans="1:20" x14ac:dyDescent="0.5">
      <c r="A13">
        <v>176</v>
      </c>
      <c r="B13" t="s">
        <v>35</v>
      </c>
      <c r="C13" t="s">
        <v>379</v>
      </c>
      <c r="D13">
        <f>INDEX(Standards!$A$2:$A$296,MATCH(B13,Standards!$B$2:$B$296,0))</f>
        <v>163</v>
      </c>
      <c r="E13">
        <f>INDEX(Standards!$A$2:$A$296,MATCH(C13,Standards!$B$2:$B$296,0))</f>
        <v>164</v>
      </c>
      <c r="F13" t="str">
        <f>INDEX(Standards!$N$2:$N$296,MATCH(B13,Standards!$B$2:$B$296,0))</f>
        <v>#70AD47</v>
      </c>
      <c r="G13" t="str">
        <f>INDEX(Standards!$N$2:$N$296,MATCH(C13,Standards!$B$2:$B$296,0))</f>
        <v>#44546A</v>
      </c>
      <c r="H13" t="s">
        <v>521</v>
      </c>
      <c r="I13" t="s">
        <v>525</v>
      </c>
      <c r="J13" t="str">
        <f>INDEX(Standards!$H$2:$H$296,MATCH(B13,Standards!$B$2:$B$296,0))</f>
        <v>BIM</v>
      </c>
      <c r="K13" t="str">
        <f>INDEX(Standards!$H$2:$H$296,MATCH(C13,Standards!$B$2:$B$296,0))</f>
        <v>FM</v>
      </c>
      <c r="L13" t="b">
        <f>AND(TableRelationships[[#This Row],[Source Type]]="BIM",TableRelationships[[#This Row],[Target Type]]="BIM")</f>
        <v>0</v>
      </c>
      <c r="M13">
        <f t="shared" si="0"/>
        <v>1</v>
      </c>
      <c r="N13" t="s">
        <v>526</v>
      </c>
      <c r="O13">
        <f t="shared" si="1"/>
        <v>2</v>
      </c>
      <c r="P13" t="str">
        <f>IF(TableRelationships[[#This Row],[Rank Pedro]]="Low","linkCategory1",IF(TableRelationships[[#This Row],[Rank Pedro]]="Medium","linkCategory2",IF(TableRelationships[[#This Row],[Rank Pedro]]="High","linkCategory3","")))</f>
        <v>linkCategory1</v>
      </c>
      <c r="Q13" t="str">
        <f>IF(TableRelationships[[#This Row],[Rank Pedro]]="Low","Pink",IF(TableRelationships[[#This Row],[Rank Pedro]]="Medium","Purple",IF(TableRelationships[[#This Row],[Rank Pedro]]="High","Brown","")))</f>
        <v>Pink</v>
      </c>
      <c r="R13" s="4">
        <f>MAX(INDEX(Standards!$F$2:$F$296,MATCH(B13,Standards!$B$2:$B$296,0)),INDEX(Standards!$F$2:$F$296,MATCH(C13,Standards!$B$2:$B$296,0)))</f>
        <v>44552</v>
      </c>
      <c r="S13" t="str">
        <f t="shared" si="2"/>
        <v>#2f89d1</v>
      </c>
    </row>
    <row r="14" spans="1:20" x14ac:dyDescent="0.5">
      <c r="A14">
        <v>178</v>
      </c>
      <c r="B14" t="s">
        <v>35</v>
      </c>
      <c r="C14" t="s">
        <v>484</v>
      </c>
      <c r="D14">
        <f>INDEX(Standards!$A$2:$A$296,MATCH(B14,Standards!$B$2:$B$296,0))</f>
        <v>163</v>
      </c>
      <c r="E14">
        <f>INDEX(Standards!$A$2:$A$296,MATCH(C14,Standards!$B$2:$B$296,0))</f>
        <v>196</v>
      </c>
      <c r="F14" t="str">
        <f>INDEX(Standards!$N$2:$N$296,MATCH(B14,Standards!$B$2:$B$296,0))</f>
        <v>#70AD47</v>
      </c>
      <c r="G14" t="str">
        <f>INDEX(Standards!$N$2:$N$296,MATCH(C14,Standards!$B$2:$B$296,0))</f>
        <v>#70AD47</v>
      </c>
      <c r="H14" t="s">
        <v>521</v>
      </c>
      <c r="I14" t="s">
        <v>525</v>
      </c>
      <c r="J14" t="str">
        <f>INDEX(Standards!$H$2:$H$296,MATCH(B14,Standards!$B$2:$B$296,0))</f>
        <v>BIM</v>
      </c>
      <c r="K14" t="str">
        <f>INDEX(Standards!$H$2:$H$296,MATCH(C14,Standards!$B$2:$B$296,0))</f>
        <v>BIM</v>
      </c>
      <c r="L14" t="b">
        <f>AND(TableRelationships[[#This Row],[Source Type]]="BIM",TableRelationships[[#This Row],[Target Type]]="BIM")</f>
        <v>1</v>
      </c>
      <c r="M14">
        <f t="shared" si="0"/>
        <v>1</v>
      </c>
      <c r="N14" t="s">
        <v>523</v>
      </c>
      <c r="O14">
        <f t="shared" si="1"/>
        <v>10</v>
      </c>
      <c r="P14" t="str">
        <f>IF(TableRelationships[[#This Row],[Rank Pedro]]="Low","linkCategory1",IF(TableRelationships[[#This Row],[Rank Pedro]]="Medium","linkCategory2",IF(TableRelationships[[#This Row],[Rank Pedro]]="High","linkCategory3","")))</f>
        <v>linkCategory3</v>
      </c>
      <c r="Q14" t="str">
        <f>IF(TableRelationships[[#This Row],[Rank Pedro]]="Low","Pink",IF(TableRelationships[[#This Row],[Rank Pedro]]="Medium","Purple",IF(TableRelationships[[#This Row],[Rank Pedro]]="High","Brown","")))</f>
        <v>Brown</v>
      </c>
      <c r="R14" s="4">
        <f>MAX(INDEX(Standards!$F$2:$F$296,MATCH(B14,Standards!$B$2:$B$296,0)),INDEX(Standards!$F$2:$F$296,MATCH(C14,Standards!$B$2:$B$296,0)))</f>
        <v>45444</v>
      </c>
      <c r="S14" t="str">
        <f t="shared" si="2"/>
        <v>#2f89d1</v>
      </c>
    </row>
    <row r="15" spans="1:20" x14ac:dyDescent="0.5">
      <c r="A15">
        <v>194</v>
      </c>
      <c r="B15" t="s">
        <v>35</v>
      </c>
      <c r="C15" t="s">
        <v>96</v>
      </c>
      <c r="D15">
        <f>INDEX(Standards!$A$2:$A$296,MATCH(B15,Standards!$B$2:$B$296,0))</f>
        <v>163</v>
      </c>
      <c r="E15">
        <f>INDEX(Standards!$A$2:$A$296,MATCH(C15,Standards!$B$2:$B$296,0))</f>
        <v>27</v>
      </c>
      <c r="F15" t="str">
        <f>INDEX(Standards!$N$2:$N$296,MATCH(B15,Standards!$B$2:$B$296,0))</f>
        <v>#70AD47</v>
      </c>
      <c r="G15" t="str">
        <f>INDEX(Standards!$N$2:$N$296,MATCH(C15,Standards!$B$2:$B$296,0))</f>
        <v>#70AD47</v>
      </c>
      <c r="H15" t="s">
        <v>521</v>
      </c>
      <c r="I15" t="s">
        <v>525</v>
      </c>
      <c r="J15" t="str">
        <f>INDEX(Standards!$H$2:$H$296,MATCH(B15,Standards!$B$2:$B$296,0))</f>
        <v>BIM</v>
      </c>
      <c r="K15" t="str">
        <f>INDEX(Standards!$H$2:$H$296,MATCH(C15,Standards!$B$2:$B$296,0))</f>
        <v>BIM</v>
      </c>
      <c r="L15" t="b">
        <f>AND(TableRelationships[[#This Row],[Source Type]]="BIM",TableRelationships[[#This Row],[Target Type]]="BIM")</f>
        <v>1</v>
      </c>
      <c r="M15">
        <f t="shared" si="0"/>
        <v>1</v>
      </c>
      <c r="N15" t="s">
        <v>528</v>
      </c>
      <c r="O15">
        <f t="shared" si="1"/>
        <v>6</v>
      </c>
      <c r="P15" t="str">
        <f>IF(TableRelationships[[#This Row],[Rank Pedro]]="Low","linkCategory1",IF(TableRelationships[[#This Row],[Rank Pedro]]="Medium","linkCategory2",IF(TableRelationships[[#This Row],[Rank Pedro]]="High","linkCategory3","")))</f>
        <v>linkCategory2</v>
      </c>
      <c r="Q15" t="str">
        <f>IF(TableRelationships[[#This Row],[Rank Pedro]]="Low","Pink",IF(TableRelationships[[#This Row],[Rank Pedro]]="Medium","Purple",IF(TableRelationships[[#This Row],[Rank Pedro]]="High","Brown","")))</f>
        <v>Purple</v>
      </c>
      <c r="R15" s="4">
        <f>MAX(INDEX(Standards!$F$2:$F$296,MATCH(B15,Standards!$B$2:$B$296,0)),INDEX(Standards!$F$2:$F$296,MATCH(C15,Standards!$B$2:$B$296,0)))</f>
        <v>44552</v>
      </c>
      <c r="S15" t="str">
        <f t="shared" si="2"/>
        <v>#2f89d1</v>
      </c>
    </row>
    <row r="16" spans="1:20" x14ac:dyDescent="0.5">
      <c r="A16">
        <v>182</v>
      </c>
      <c r="B16" t="s">
        <v>35</v>
      </c>
      <c r="C16" t="s">
        <v>210</v>
      </c>
      <c r="D16">
        <f>INDEX(Standards!$A$2:$A$296,MATCH(B16,Standards!$B$2:$B$296,0))</f>
        <v>163</v>
      </c>
      <c r="E16">
        <f>INDEX(Standards!$A$2:$A$296,MATCH(C16,Standards!$B$2:$B$296,0))</f>
        <v>9</v>
      </c>
      <c r="F16" t="str">
        <f>INDEX(Standards!$N$2:$N$296,MATCH(B16,Standards!$B$2:$B$296,0))</f>
        <v>#70AD47</v>
      </c>
      <c r="G16" t="str">
        <f>INDEX(Standards!$N$2:$N$296,MATCH(C16,Standards!$B$2:$B$296,0))</f>
        <v>#70AD47</v>
      </c>
      <c r="H16" t="s">
        <v>521</v>
      </c>
      <c r="I16" t="s">
        <v>525</v>
      </c>
      <c r="J16" t="str">
        <f>INDEX(Standards!$H$2:$H$296,MATCH(B16,Standards!$B$2:$B$296,0))</f>
        <v>BIM</v>
      </c>
      <c r="K16" t="str">
        <f>INDEX(Standards!$H$2:$H$296,MATCH(C16,Standards!$B$2:$B$296,0))</f>
        <v>BIM</v>
      </c>
      <c r="L16" t="b">
        <f>AND(TableRelationships[[#This Row],[Source Type]]="BIM",TableRelationships[[#This Row],[Target Type]]="BIM")</f>
        <v>1</v>
      </c>
      <c r="M16">
        <f t="shared" si="0"/>
        <v>1</v>
      </c>
      <c r="N16" t="s">
        <v>523</v>
      </c>
      <c r="O16">
        <f t="shared" si="1"/>
        <v>10</v>
      </c>
      <c r="P16" t="str">
        <f>IF(TableRelationships[[#This Row],[Rank Pedro]]="Low","linkCategory1",IF(TableRelationships[[#This Row],[Rank Pedro]]="Medium","linkCategory2",IF(TableRelationships[[#This Row],[Rank Pedro]]="High","linkCategory3","")))</f>
        <v>linkCategory3</v>
      </c>
      <c r="Q16" t="str">
        <f>IF(TableRelationships[[#This Row],[Rank Pedro]]="Low","Pink",IF(TableRelationships[[#This Row],[Rank Pedro]]="Medium","Purple",IF(TableRelationships[[#This Row],[Rank Pedro]]="High","Brown","")))</f>
        <v>Brown</v>
      </c>
      <c r="R16" s="4">
        <f>MAX(INDEX(Standards!$F$2:$F$296,MATCH(B16,Standards!$B$2:$B$296,0)),INDEX(Standards!$F$2:$F$296,MATCH(C16,Standards!$B$2:$B$296,0)))</f>
        <v>44552</v>
      </c>
      <c r="S16" t="str">
        <f t="shared" si="2"/>
        <v>#2f89d1</v>
      </c>
    </row>
    <row r="17" spans="1:19" x14ac:dyDescent="0.5">
      <c r="A17">
        <v>184</v>
      </c>
      <c r="B17" t="s">
        <v>35</v>
      </c>
      <c r="C17" t="s">
        <v>214</v>
      </c>
      <c r="D17">
        <f>INDEX(Standards!$A$2:$A$296,MATCH(B17,Standards!$B$2:$B$296,0))</f>
        <v>163</v>
      </c>
      <c r="E17">
        <f>INDEX(Standards!$A$2:$A$296,MATCH(C17,Standards!$B$2:$B$296,0))</f>
        <v>10</v>
      </c>
      <c r="F17" t="str">
        <f>INDEX(Standards!$N$2:$N$296,MATCH(B17,Standards!$B$2:$B$296,0))</f>
        <v>#70AD47</v>
      </c>
      <c r="G17" t="str">
        <f>INDEX(Standards!$N$2:$N$296,MATCH(C17,Standards!$B$2:$B$296,0))</f>
        <v>#70AD47</v>
      </c>
      <c r="H17" t="s">
        <v>521</v>
      </c>
      <c r="I17" t="s">
        <v>525</v>
      </c>
      <c r="J17" t="str">
        <f>INDEX(Standards!$H$2:$H$296,MATCH(B17,Standards!$B$2:$B$296,0))</f>
        <v>BIM</v>
      </c>
      <c r="K17" t="str">
        <f>INDEX(Standards!$H$2:$H$296,MATCH(C17,Standards!$B$2:$B$296,0))</f>
        <v>BIM</v>
      </c>
      <c r="L17" t="b">
        <f>AND(TableRelationships[[#This Row],[Source Type]]="BIM",TableRelationships[[#This Row],[Target Type]]="BIM")</f>
        <v>1</v>
      </c>
      <c r="M17">
        <f t="shared" si="0"/>
        <v>1</v>
      </c>
      <c r="N17" t="s">
        <v>523</v>
      </c>
      <c r="O17">
        <f t="shared" si="1"/>
        <v>10</v>
      </c>
      <c r="P17" t="str">
        <f>IF(TableRelationships[[#This Row],[Rank Pedro]]="Low","linkCategory1",IF(TableRelationships[[#This Row],[Rank Pedro]]="Medium","linkCategory2",IF(TableRelationships[[#This Row],[Rank Pedro]]="High","linkCategory3","")))</f>
        <v>linkCategory3</v>
      </c>
      <c r="Q17" t="str">
        <f>IF(TableRelationships[[#This Row],[Rank Pedro]]="Low","Pink",IF(TableRelationships[[#This Row],[Rank Pedro]]="Medium","Purple",IF(TableRelationships[[#This Row],[Rank Pedro]]="High","Brown","")))</f>
        <v>Brown</v>
      </c>
      <c r="R17" s="4">
        <f>MAX(INDEX(Standards!$F$2:$F$296,MATCH(B17,Standards!$B$2:$B$296,0)),INDEX(Standards!$F$2:$F$296,MATCH(C17,Standards!$B$2:$B$296,0)))</f>
        <v>44552</v>
      </c>
      <c r="S17" t="str">
        <f t="shared" si="2"/>
        <v>#2f89d1</v>
      </c>
    </row>
    <row r="18" spans="1:19" x14ac:dyDescent="0.5">
      <c r="A18">
        <v>186</v>
      </c>
      <c r="B18" t="s">
        <v>35</v>
      </c>
      <c r="C18" t="s">
        <v>224</v>
      </c>
      <c r="D18">
        <f>INDEX(Standards!$A$2:$A$296,MATCH(B18,Standards!$B$2:$B$296,0))</f>
        <v>163</v>
      </c>
      <c r="E18">
        <f>INDEX(Standards!$A$2:$A$296,MATCH(C18,Standards!$B$2:$B$296,0))</f>
        <v>11</v>
      </c>
      <c r="F18" t="str">
        <f>INDEX(Standards!$N$2:$N$296,MATCH(B18,Standards!$B$2:$B$296,0))</f>
        <v>#70AD47</v>
      </c>
      <c r="G18" t="str">
        <f>INDEX(Standards!$N$2:$N$296,MATCH(C18,Standards!$B$2:$B$296,0))</f>
        <v>#70AD47</v>
      </c>
      <c r="H18" t="s">
        <v>521</v>
      </c>
      <c r="I18" t="s">
        <v>525</v>
      </c>
      <c r="J18" t="str">
        <f>INDEX(Standards!$H$2:$H$296,MATCH(B18,Standards!$B$2:$B$296,0))</f>
        <v>BIM</v>
      </c>
      <c r="K18" t="str">
        <f>INDEX(Standards!$H$2:$H$296,MATCH(C18,Standards!$B$2:$B$296,0))</f>
        <v>BIM</v>
      </c>
      <c r="L18" t="b">
        <f>AND(TableRelationships[[#This Row],[Source Type]]="BIM",TableRelationships[[#This Row],[Target Type]]="BIM")</f>
        <v>1</v>
      </c>
      <c r="M18">
        <f t="shared" si="0"/>
        <v>1</v>
      </c>
      <c r="N18" t="s">
        <v>523</v>
      </c>
      <c r="O18">
        <f t="shared" si="1"/>
        <v>10</v>
      </c>
      <c r="P18" t="str">
        <f>IF(TableRelationships[[#This Row],[Rank Pedro]]="Low","linkCategory1",IF(TableRelationships[[#This Row],[Rank Pedro]]="Medium","linkCategory2",IF(TableRelationships[[#This Row],[Rank Pedro]]="High","linkCategory3","")))</f>
        <v>linkCategory3</v>
      </c>
      <c r="Q18" t="str">
        <f>IF(TableRelationships[[#This Row],[Rank Pedro]]="Low","Pink",IF(TableRelationships[[#This Row],[Rank Pedro]]="Medium","Purple",IF(TableRelationships[[#This Row],[Rank Pedro]]="High","Brown","")))</f>
        <v>Brown</v>
      </c>
      <c r="R18" s="4">
        <f>MAX(INDEX(Standards!$F$2:$F$296,MATCH(B18,Standards!$B$2:$B$296,0)),INDEX(Standards!$F$2:$F$296,MATCH(C18,Standards!$B$2:$B$296,0)))</f>
        <v>44552</v>
      </c>
      <c r="S18" t="str">
        <f t="shared" si="2"/>
        <v>#2f89d1</v>
      </c>
    </row>
    <row r="19" spans="1:19" x14ac:dyDescent="0.5">
      <c r="A19">
        <v>188</v>
      </c>
      <c r="B19" t="s">
        <v>35</v>
      </c>
      <c r="C19" t="s">
        <v>232</v>
      </c>
      <c r="D19">
        <f>INDEX(Standards!$A$2:$A$296,MATCH(B19,Standards!$B$2:$B$296,0))</f>
        <v>163</v>
      </c>
      <c r="E19">
        <f>INDEX(Standards!$A$2:$A$296,MATCH(C19,Standards!$B$2:$B$296,0))</f>
        <v>13</v>
      </c>
      <c r="F19" t="str">
        <f>INDEX(Standards!$N$2:$N$296,MATCH(B19,Standards!$B$2:$B$296,0))</f>
        <v>#70AD47</v>
      </c>
      <c r="G19" t="str">
        <f>INDEX(Standards!$N$2:$N$296,MATCH(C19,Standards!$B$2:$B$296,0))</f>
        <v>#70AD47</v>
      </c>
      <c r="H19" t="s">
        <v>521</v>
      </c>
      <c r="I19" t="s">
        <v>525</v>
      </c>
      <c r="J19" t="str">
        <f>INDEX(Standards!$H$2:$H$296,MATCH(B19,Standards!$B$2:$B$296,0))</f>
        <v>BIM</v>
      </c>
      <c r="K19" t="str">
        <f>INDEX(Standards!$H$2:$H$296,MATCH(C19,Standards!$B$2:$B$296,0))</f>
        <v>BIM</v>
      </c>
      <c r="L19" t="b">
        <f>AND(TableRelationships[[#This Row],[Source Type]]="BIM",TableRelationships[[#This Row],[Target Type]]="BIM")</f>
        <v>1</v>
      </c>
      <c r="M19">
        <f t="shared" si="0"/>
        <v>1</v>
      </c>
      <c r="N19" t="s">
        <v>523</v>
      </c>
      <c r="O19">
        <f t="shared" si="1"/>
        <v>10</v>
      </c>
      <c r="P19" t="str">
        <f>IF(TableRelationships[[#This Row],[Rank Pedro]]="Low","linkCategory1",IF(TableRelationships[[#This Row],[Rank Pedro]]="Medium","linkCategory2",IF(TableRelationships[[#This Row],[Rank Pedro]]="High","linkCategory3","")))</f>
        <v>linkCategory3</v>
      </c>
      <c r="Q19" t="str">
        <f>IF(TableRelationships[[#This Row],[Rank Pedro]]="Low","Pink",IF(TableRelationships[[#This Row],[Rank Pedro]]="Medium","Purple",IF(TableRelationships[[#This Row],[Rank Pedro]]="High","Brown","")))</f>
        <v>Brown</v>
      </c>
      <c r="R19" s="4">
        <f>MAX(INDEX(Standards!$F$2:$F$296,MATCH(B19,Standards!$B$2:$B$296,0)),INDEX(Standards!$F$2:$F$296,MATCH(C19,Standards!$B$2:$B$296,0)))</f>
        <v>44552</v>
      </c>
      <c r="S19" t="str">
        <f t="shared" si="2"/>
        <v>#2f89d1</v>
      </c>
    </row>
    <row r="20" spans="1:19" x14ac:dyDescent="0.5">
      <c r="A20">
        <v>172</v>
      </c>
      <c r="B20" t="s">
        <v>35</v>
      </c>
      <c r="C20" t="s">
        <v>408</v>
      </c>
      <c r="D20">
        <f>INDEX(Standards!$A$2:$A$296,MATCH(B20,Standards!$B$2:$B$296,0))</f>
        <v>163</v>
      </c>
      <c r="E20">
        <f>INDEX(Standards!$A$2:$A$296,MATCH(C20,Standards!$B$2:$B$296,0))</f>
        <v>16</v>
      </c>
      <c r="F20" t="str">
        <f>INDEX(Standards!$N$2:$N$296,MATCH(B20,Standards!$B$2:$B$296,0))</f>
        <v>#70AD47</v>
      </c>
      <c r="G20" t="str">
        <f>INDEX(Standards!$N$2:$N$296,MATCH(C20,Standards!$B$2:$B$296,0))</f>
        <v>#70AD47</v>
      </c>
      <c r="H20" t="s">
        <v>521</v>
      </c>
      <c r="I20" s="22" t="s">
        <v>524</v>
      </c>
      <c r="J20" t="str">
        <f>INDEX(Standards!$H$2:$H$296,MATCH(B20,Standards!$B$2:$B$296,0))</f>
        <v>BIM</v>
      </c>
      <c r="K20" t="str">
        <f>INDEX(Standards!$H$2:$H$296,MATCH(C20,Standards!$B$2:$B$296,0))</f>
        <v>BIM</v>
      </c>
      <c r="L20" t="b">
        <f>AND(TableRelationships[[#This Row],[Source Type]]="BIM",TableRelationships[[#This Row],[Target Type]]="BIM")</f>
        <v>1</v>
      </c>
      <c r="M20">
        <f t="shared" si="0"/>
        <v>6</v>
      </c>
      <c r="N20" t="s">
        <v>523</v>
      </c>
      <c r="O20">
        <f t="shared" si="1"/>
        <v>10</v>
      </c>
      <c r="P20" t="str">
        <f>IF(TableRelationships[[#This Row],[Rank Pedro]]="Low","linkCategory1",IF(TableRelationships[[#This Row],[Rank Pedro]]="Medium","linkCategory2",IF(TableRelationships[[#This Row],[Rank Pedro]]="High","linkCategory3","")))</f>
        <v>linkCategory3</v>
      </c>
      <c r="Q20" t="str">
        <f>IF(TableRelationships[[#This Row],[Rank Pedro]]="Low","Pink",IF(TableRelationships[[#This Row],[Rank Pedro]]="Medium","Purple",IF(TableRelationships[[#This Row],[Rank Pedro]]="High","Brown","")))</f>
        <v>Brown</v>
      </c>
      <c r="R20" s="4">
        <f>MAX(INDEX(Standards!$F$2:$F$296,MATCH(B20,Standards!$B$2:$B$296,0)),INDEX(Standards!$F$2:$F$296,MATCH(C20,Standards!$B$2:$B$296,0)))</f>
        <v>44552</v>
      </c>
      <c r="S20" t="str">
        <f t="shared" si="2"/>
        <v>#d6bf2a</v>
      </c>
    </row>
    <row r="21" spans="1:19" x14ac:dyDescent="0.5">
      <c r="A21">
        <v>174</v>
      </c>
      <c r="B21" t="s">
        <v>35</v>
      </c>
      <c r="C21" t="s">
        <v>426</v>
      </c>
      <c r="D21">
        <f>INDEX(Standards!$A$2:$A$296,MATCH(B21,Standards!$B$2:$B$296,0))</f>
        <v>163</v>
      </c>
      <c r="E21">
        <f>INDEX(Standards!$A$2:$A$296,MATCH(C21,Standards!$B$2:$B$296,0))</f>
        <v>82</v>
      </c>
      <c r="F21" t="str">
        <f>INDEX(Standards!$N$2:$N$296,MATCH(B21,Standards!$B$2:$B$296,0))</f>
        <v>#70AD47</v>
      </c>
      <c r="G21" t="str">
        <f>INDEX(Standards!$N$2:$N$296,MATCH(C21,Standards!$B$2:$B$296,0))</f>
        <v>#70AD47</v>
      </c>
      <c r="H21" t="s">
        <v>521</v>
      </c>
      <c r="I21" t="s">
        <v>524</v>
      </c>
      <c r="J21" t="str">
        <f>INDEX(Standards!$H$2:$H$296,MATCH(B21,Standards!$B$2:$B$296,0))</f>
        <v>BIM</v>
      </c>
      <c r="K21" t="str">
        <f>INDEX(Standards!$H$2:$H$296,MATCH(C21,Standards!$B$2:$B$296,0))</f>
        <v>BIM</v>
      </c>
      <c r="L21" t="b">
        <f>AND(TableRelationships[[#This Row],[Source Type]]="BIM",TableRelationships[[#This Row],[Target Type]]="BIM")</f>
        <v>1</v>
      </c>
      <c r="M21">
        <f t="shared" si="0"/>
        <v>6</v>
      </c>
      <c r="N21" t="s">
        <v>523</v>
      </c>
      <c r="O21">
        <f t="shared" si="1"/>
        <v>10</v>
      </c>
      <c r="P21" t="str">
        <f>IF(TableRelationships[[#This Row],[Rank Pedro]]="Low","linkCategory1",IF(TableRelationships[[#This Row],[Rank Pedro]]="Medium","linkCategory2",IF(TableRelationships[[#This Row],[Rank Pedro]]="High","linkCategory3","")))</f>
        <v>linkCategory3</v>
      </c>
      <c r="Q21" t="str">
        <f>IF(TableRelationships[[#This Row],[Rank Pedro]]="Low","Pink",IF(TableRelationships[[#This Row],[Rank Pedro]]="Medium","Purple",IF(TableRelationships[[#This Row],[Rank Pedro]]="High","Brown","")))</f>
        <v>Brown</v>
      </c>
      <c r="R21" s="4">
        <f>MAX(INDEX(Standards!$F$2:$F$296,MATCH(B21,Standards!$B$2:$B$296,0)),INDEX(Standards!$F$2:$F$296,MATCH(C21,Standards!$B$2:$B$296,0)))</f>
        <v>44552</v>
      </c>
      <c r="S21" t="str">
        <f t="shared" si="2"/>
        <v>#d6bf2a</v>
      </c>
    </row>
    <row r="22" spans="1:19" x14ac:dyDescent="0.5">
      <c r="A22">
        <v>192</v>
      </c>
      <c r="B22" t="s">
        <v>35</v>
      </c>
      <c r="C22" t="s">
        <v>74</v>
      </c>
      <c r="D22">
        <f>INDEX(Standards!$A$2:$A$296,MATCH(B22,Standards!$B$2:$B$296,0))</f>
        <v>163</v>
      </c>
      <c r="E22">
        <f>INDEX(Standards!$A$2:$A$296,MATCH(C22,Standards!$B$2:$B$296,0))</f>
        <v>18</v>
      </c>
      <c r="F22" t="str">
        <f>INDEX(Standards!$N$2:$N$296,MATCH(B22,Standards!$B$2:$B$296,0))</f>
        <v>#70AD47</v>
      </c>
      <c r="G22" t="str">
        <f>INDEX(Standards!$N$2:$N$296,MATCH(C22,Standards!$B$2:$B$296,0))</f>
        <v>#44546A</v>
      </c>
      <c r="H22" t="s">
        <v>521</v>
      </c>
      <c r="I22" t="s">
        <v>525</v>
      </c>
      <c r="J22" t="str">
        <f>INDEX(Standards!$H$2:$H$296,MATCH(B22,Standards!$B$2:$B$296,0))</f>
        <v>BIM</v>
      </c>
      <c r="K22" t="str">
        <f>INDEX(Standards!$H$2:$H$296,MATCH(C22,Standards!$B$2:$B$296,0))</f>
        <v>FM</v>
      </c>
      <c r="L22" t="b">
        <f>AND(TableRelationships[[#This Row],[Source Type]]="BIM",TableRelationships[[#This Row],[Target Type]]="BIM")</f>
        <v>0</v>
      </c>
      <c r="M22">
        <f t="shared" si="0"/>
        <v>1</v>
      </c>
      <c r="N22" t="s">
        <v>526</v>
      </c>
      <c r="O22">
        <f t="shared" si="1"/>
        <v>2</v>
      </c>
      <c r="P22" t="str">
        <f>IF(TableRelationships[[#This Row],[Rank Pedro]]="Low","linkCategory1",IF(TableRelationships[[#This Row],[Rank Pedro]]="Medium","linkCategory2",IF(TableRelationships[[#This Row],[Rank Pedro]]="High","linkCategory3","")))</f>
        <v>linkCategory1</v>
      </c>
      <c r="Q22" t="str">
        <f>IF(TableRelationships[[#This Row],[Rank Pedro]]="Low","Pink",IF(TableRelationships[[#This Row],[Rank Pedro]]="Medium","Purple",IF(TableRelationships[[#This Row],[Rank Pedro]]="High","Brown","")))</f>
        <v>Pink</v>
      </c>
      <c r="R22" s="4">
        <f>MAX(INDEX(Standards!$F$2:$F$296,MATCH(B22,Standards!$B$2:$B$296,0)),INDEX(Standards!$F$2:$F$296,MATCH(C22,Standards!$B$2:$B$296,0)))</f>
        <v>44552</v>
      </c>
      <c r="S22" t="str">
        <f t="shared" si="2"/>
        <v>#2f89d1</v>
      </c>
    </row>
    <row r="23" spans="1:19" x14ac:dyDescent="0.5">
      <c r="A23">
        <v>180</v>
      </c>
      <c r="B23" t="s">
        <v>35</v>
      </c>
      <c r="C23" t="s">
        <v>85</v>
      </c>
      <c r="D23">
        <f>INDEX(Standards!$A$2:$A$296,MATCH(B23,Standards!$B$2:$B$296,0))</f>
        <v>163</v>
      </c>
      <c r="E23">
        <f>INDEX(Standards!$A$2:$A$296,MATCH(C23,Standards!$B$2:$B$296,0))</f>
        <v>22</v>
      </c>
      <c r="F23" t="str">
        <f>INDEX(Standards!$N$2:$N$296,MATCH(B23,Standards!$B$2:$B$296,0))</f>
        <v>#70AD47</v>
      </c>
      <c r="G23" t="str">
        <f>INDEX(Standards!$N$2:$N$296,MATCH(C23,Standards!$B$2:$B$296,0))</f>
        <v>#C00000</v>
      </c>
      <c r="H23" t="s">
        <v>521</v>
      </c>
      <c r="I23" t="s">
        <v>525</v>
      </c>
      <c r="J23" t="str">
        <f>INDEX(Standards!$H$2:$H$296,MATCH(B23,Standards!$B$2:$B$296,0))</f>
        <v>BIM</v>
      </c>
      <c r="K23" t="str">
        <f>INDEX(Standards!$H$2:$H$296,MATCH(C23,Standards!$B$2:$B$296,0))</f>
        <v>Quality Management</v>
      </c>
      <c r="L23" t="b">
        <f>AND(TableRelationships[[#This Row],[Source Type]]="BIM",TableRelationships[[#This Row],[Target Type]]="BIM")</f>
        <v>0</v>
      </c>
      <c r="M23">
        <f t="shared" si="0"/>
        <v>1</v>
      </c>
      <c r="N23" t="s">
        <v>526</v>
      </c>
      <c r="O23">
        <f t="shared" si="1"/>
        <v>2</v>
      </c>
      <c r="P23" t="str">
        <f>IF(TableRelationships[[#This Row],[Rank Pedro]]="Low","linkCategory1",IF(TableRelationships[[#This Row],[Rank Pedro]]="Medium","linkCategory2",IF(TableRelationships[[#This Row],[Rank Pedro]]="High","linkCategory3","")))</f>
        <v>linkCategory1</v>
      </c>
      <c r="Q23" t="str">
        <f>IF(TableRelationships[[#This Row],[Rank Pedro]]="Low","Pink",IF(TableRelationships[[#This Row],[Rank Pedro]]="Medium","Purple",IF(TableRelationships[[#This Row],[Rank Pedro]]="High","Brown","")))</f>
        <v>Pink</v>
      </c>
      <c r="R23" s="4">
        <f>MAX(INDEX(Standards!$F$2:$F$296,MATCH(B23,Standards!$B$2:$B$296,0)),INDEX(Standards!$F$2:$F$296,MATCH(C23,Standards!$B$2:$B$296,0)))</f>
        <v>44552</v>
      </c>
      <c r="S23" t="str">
        <f t="shared" si="2"/>
        <v>#2f89d1</v>
      </c>
    </row>
    <row r="24" spans="1:19" x14ac:dyDescent="0.5">
      <c r="A24">
        <v>201</v>
      </c>
      <c r="B24" t="s">
        <v>35</v>
      </c>
      <c r="C24" t="s">
        <v>88</v>
      </c>
      <c r="D24">
        <f>INDEX(Standards!$A$2:$A$296,MATCH(B24,Standards!$B$2:$B$296,0))</f>
        <v>163</v>
      </c>
      <c r="E24">
        <f>INDEX(Standards!$A$2:$A$296,MATCH(C24,Standards!$B$2:$B$296,0))</f>
        <v>23</v>
      </c>
      <c r="F24" t="str">
        <f>INDEX(Standards!$N$2:$N$296,MATCH(B24,Standards!$B$2:$B$296,0))</f>
        <v>#70AD47</v>
      </c>
      <c r="G24" t="str">
        <f>INDEX(Standards!$N$2:$N$296,MATCH(C24,Standards!$B$2:$B$296,0))</f>
        <v>#7030A0</v>
      </c>
      <c r="H24" t="s">
        <v>521</v>
      </c>
      <c r="I24" t="s">
        <v>525</v>
      </c>
      <c r="J24" t="str">
        <f>INDEX(Standards!$H$2:$H$296,MATCH(B24,Standards!$B$2:$B$296,0))</f>
        <v>BIM</v>
      </c>
      <c r="K24" t="str">
        <f>INDEX(Standards!$H$2:$H$296,MATCH(C24,Standards!$B$2:$B$296,0))</f>
        <v>ICT</v>
      </c>
      <c r="L24" t="b">
        <f>AND(TableRelationships[[#This Row],[Source Type]]="BIM",TableRelationships[[#This Row],[Target Type]]="BIM")</f>
        <v>0</v>
      </c>
      <c r="M24">
        <f t="shared" si="0"/>
        <v>1</v>
      </c>
      <c r="N24" t="s">
        <v>528</v>
      </c>
      <c r="O24">
        <f t="shared" si="1"/>
        <v>6</v>
      </c>
      <c r="P24" t="str">
        <f>IF(TableRelationships[[#This Row],[Rank Pedro]]="Low","linkCategory1",IF(TableRelationships[[#This Row],[Rank Pedro]]="Medium","linkCategory2",IF(TableRelationships[[#This Row],[Rank Pedro]]="High","linkCategory3","")))</f>
        <v>linkCategory2</v>
      </c>
      <c r="Q24" t="str">
        <f>IF(TableRelationships[[#This Row],[Rank Pedro]]="Low","Pink",IF(TableRelationships[[#This Row],[Rank Pedro]]="Medium","Purple",IF(TableRelationships[[#This Row],[Rank Pedro]]="High","Brown","")))</f>
        <v>Purple</v>
      </c>
      <c r="R24" s="4">
        <f>MAX(INDEX(Standards!$F$2:$F$296,MATCH(B24,Standards!$B$2:$B$296,0)),INDEX(Standards!$F$2:$F$296,MATCH(C24,Standards!$B$2:$B$296,0)))</f>
        <v>44552</v>
      </c>
      <c r="S24" t="str">
        <f t="shared" si="2"/>
        <v>#2f89d1</v>
      </c>
    </row>
    <row r="25" spans="1:19" x14ac:dyDescent="0.5">
      <c r="A25">
        <v>203</v>
      </c>
      <c r="B25" t="s">
        <v>35</v>
      </c>
      <c r="C25" t="s">
        <v>92</v>
      </c>
      <c r="D25">
        <f>INDEX(Standards!$A$2:$A$296,MATCH(B25,Standards!$B$2:$B$296,0))</f>
        <v>163</v>
      </c>
      <c r="E25">
        <f>INDEX(Standards!$A$2:$A$296,MATCH(C25,Standards!$B$2:$B$296,0))</f>
        <v>25</v>
      </c>
      <c r="F25" t="str">
        <f>INDEX(Standards!$N$2:$N$296,MATCH(B25,Standards!$B$2:$B$296,0))</f>
        <v>#70AD47</v>
      </c>
      <c r="G25" t="str">
        <f>INDEX(Standards!$N$2:$N$296,MATCH(C25,Standards!$B$2:$B$296,0))</f>
        <v>#7030A0</v>
      </c>
      <c r="H25" t="s">
        <v>521</v>
      </c>
      <c r="I25" t="s">
        <v>525</v>
      </c>
      <c r="J25" t="str">
        <f>INDEX(Standards!$H$2:$H$296,MATCH(B25,Standards!$B$2:$B$296,0))</f>
        <v>BIM</v>
      </c>
      <c r="K25" t="str">
        <f>INDEX(Standards!$H$2:$H$296,MATCH(C25,Standards!$B$2:$B$296,0))</f>
        <v>ICT</v>
      </c>
      <c r="L25" t="b">
        <f>AND(TableRelationships[[#This Row],[Source Type]]="BIM",TableRelationships[[#This Row],[Target Type]]="BIM")</f>
        <v>0</v>
      </c>
      <c r="M25">
        <f t="shared" si="0"/>
        <v>1</v>
      </c>
      <c r="N25" t="s">
        <v>526</v>
      </c>
      <c r="O25">
        <f t="shared" si="1"/>
        <v>2</v>
      </c>
      <c r="P25" t="str">
        <f>IF(TableRelationships[[#This Row],[Rank Pedro]]="Low","linkCategory1",IF(TableRelationships[[#This Row],[Rank Pedro]]="Medium","linkCategory2",IF(TableRelationships[[#This Row],[Rank Pedro]]="High","linkCategory3","")))</f>
        <v>linkCategory1</v>
      </c>
      <c r="Q25" t="str">
        <f>IF(TableRelationships[[#This Row],[Rank Pedro]]="Low","Pink",IF(TableRelationships[[#This Row],[Rank Pedro]]="Medium","Purple",IF(TableRelationships[[#This Row],[Rank Pedro]]="High","Brown","")))</f>
        <v>Pink</v>
      </c>
      <c r="R25" s="4">
        <f>MAX(INDEX(Standards!$F$2:$F$296,MATCH(B25,Standards!$B$2:$B$296,0)),INDEX(Standards!$F$2:$F$296,MATCH(C25,Standards!$B$2:$B$296,0)))</f>
        <v>44552</v>
      </c>
      <c r="S25" t="str">
        <f t="shared" si="2"/>
        <v>#2f89d1</v>
      </c>
    </row>
    <row r="26" spans="1:19" x14ac:dyDescent="0.5">
      <c r="A26">
        <v>205</v>
      </c>
      <c r="B26" t="s">
        <v>35</v>
      </c>
      <c r="C26" t="s">
        <v>94</v>
      </c>
      <c r="D26">
        <f>INDEX(Standards!$A$2:$A$296,MATCH(B26,Standards!$B$2:$B$296,0))</f>
        <v>163</v>
      </c>
      <c r="E26">
        <f>INDEX(Standards!$A$2:$A$296,MATCH(C26,Standards!$B$2:$B$296,0))</f>
        <v>26</v>
      </c>
      <c r="F26" t="str">
        <f>INDEX(Standards!$N$2:$N$296,MATCH(B26,Standards!$B$2:$B$296,0))</f>
        <v>#70AD47</v>
      </c>
      <c r="G26" t="str">
        <f>INDEX(Standards!$N$2:$N$296,MATCH(C26,Standards!$B$2:$B$296,0))</f>
        <v>#7030A0</v>
      </c>
      <c r="H26" t="s">
        <v>521</v>
      </c>
      <c r="I26" t="s">
        <v>525</v>
      </c>
      <c r="J26" t="str">
        <f>INDEX(Standards!$H$2:$H$296,MATCH(B26,Standards!$B$2:$B$296,0))</f>
        <v>BIM</v>
      </c>
      <c r="K26" t="str">
        <f>INDEX(Standards!$H$2:$H$296,MATCH(C26,Standards!$B$2:$B$296,0))</f>
        <v>ICT</v>
      </c>
      <c r="L26" t="b">
        <f>AND(TableRelationships[[#This Row],[Source Type]]="BIM",TableRelationships[[#This Row],[Target Type]]="BIM")</f>
        <v>0</v>
      </c>
      <c r="M26">
        <f t="shared" si="0"/>
        <v>1</v>
      </c>
      <c r="N26" t="s">
        <v>528</v>
      </c>
      <c r="O26">
        <f t="shared" si="1"/>
        <v>6</v>
      </c>
      <c r="P26" t="str">
        <f>IF(TableRelationships[[#This Row],[Rank Pedro]]="Low","linkCategory1",IF(TableRelationships[[#This Row],[Rank Pedro]]="Medium","linkCategory2",IF(TableRelationships[[#This Row],[Rank Pedro]]="High","linkCategory3","")))</f>
        <v>linkCategory2</v>
      </c>
      <c r="Q26" t="str">
        <f>IF(TableRelationships[[#This Row],[Rank Pedro]]="Low","Pink",IF(TableRelationships[[#This Row],[Rank Pedro]]="Medium","Purple",IF(TableRelationships[[#This Row],[Rank Pedro]]="High","Brown","")))</f>
        <v>Purple</v>
      </c>
      <c r="R26" s="4">
        <f>MAX(INDEX(Standards!$F$2:$F$296,MATCH(B26,Standards!$B$2:$B$296,0)),INDEX(Standards!$F$2:$F$296,MATCH(C26,Standards!$B$2:$B$296,0)))</f>
        <v>44552</v>
      </c>
      <c r="S26" t="str">
        <f t="shared" si="2"/>
        <v>#2f89d1</v>
      </c>
    </row>
    <row r="27" spans="1:19" x14ac:dyDescent="0.5">
      <c r="A27">
        <v>199</v>
      </c>
      <c r="B27" t="s">
        <v>35</v>
      </c>
      <c r="C27" t="s">
        <v>386</v>
      </c>
      <c r="D27">
        <f>INDEX(Standards!$A$2:$A$296,MATCH(B27,Standards!$B$2:$B$296,0))</f>
        <v>163</v>
      </c>
      <c r="E27">
        <f>INDEX(Standards!$A$2:$A$296,MATCH(C27,Standards!$B$2:$B$296,0))</f>
        <v>167</v>
      </c>
      <c r="F27" t="str">
        <f>INDEX(Standards!$N$2:$N$296,MATCH(B27,Standards!$B$2:$B$296,0))</f>
        <v>#70AD47</v>
      </c>
      <c r="G27" t="str">
        <f>INDEX(Standards!$N$2:$N$296,MATCH(C27,Standards!$B$2:$B$296,0))</f>
        <v>#7030A0</v>
      </c>
      <c r="H27" t="s">
        <v>521</v>
      </c>
      <c r="I27" t="s">
        <v>525</v>
      </c>
      <c r="J27" t="str">
        <f>INDEX(Standards!$H$2:$H$296,MATCH(B27,Standards!$B$2:$B$296,0))</f>
        <v>BIM</v>
      </c>
      <c r="K27" t="str">
        <f>INDEX(Standards!$H$2:$H$296,MATCH(C27,Standards!$B$2:$B$296,0))</f>
        <v>ICT</v>
      </c>
      <c r="L27" t="b">
        <f>AND(TableRelationships[[#This Row],[Source Type]]="BIM",TableRelationships[[#This Row],[Target Type]]="BIM")</f>
        <v>0</v>
      </c>
      <c r="M27">
        <f t="shared" si="0"/>
        <v>1</v>
      </c>
      <c r="N27" t="s">
        <v>526</v>
      </c>
      <c r="O27">
        <f t="shared" si="1"/>
        <v>2</v>
      </c>
      <c r="P27" t="str">
        <f>IF(TableRelationships[[#This Row],[Rank Pedro]]="Low","linkCategory1",IF(TableRelationships[[#This Row],[Rank Pedro]]="Medium","linkCategory2",IF(TableRelationships[[#This Row],[Rank Pedro]]="High","linkCategory3","")))</f>
        <v>linkCategory1</v>
      </c>
      <c r="Q27" t="str">
        <f>IF(TableRelationships[[#This Row],[Rank Pedro]]="Low","Pink",IF(TableRelationships[[#This Row],[Rank Pedro]]="Medium","Purple",IF(TableRelationships[[#This Row],[Rank Pedro]]="High","Brown","")))</f>
        <v>Pink</v>
      </c>
      <c r="R27" s="4">
        <f>MAX(INDEX(Standards!$F$2:$F$296,MATCH(B27,Standards!$B$2:$B$296,0)),INDEX(Standards!$F$2:$F$296,MATCH(C27,Standards!$B$2:$B$296,0)))</f>
        <v>44552</v>
      </c>
      <c r="S27" t="str">
        <f t="shared" si="2"/>
        <v>#2f89d1</v>
      </c>
    </row>
    <row r="28" spans="1:19" x14ac:dyDescent="0.5">
      <c r="A28">
        <v>195</v>
      </c>
      <c r="B28" t="s">
        <v>35</v>
      </c>
      <c r="C28" t="s">
        <v>381</v>
      </c>
      <c r="D28">
        <f>INDEX(Standards!$A$2:$A$296,MATCH(B28,Standards!$B$2:$B$296,0))</f>
        <v>163</v>
      </c>
      <c r="E28">
        <f>INDEX(Standards!$A$2:$A$296,MATCH(C28,Standards!$B$2:$B$296,0))</f>
        <v>165</v>
      </c>
      <c r="F28" t="str">
        <f>INDEX(Standards!$N$2:$N$296,MATCH(B28,Standards!$B$2:$B$296,0))</f>
        <v>#70AD47</v>
      </c>
      <c r="G28" t="str">
        <f>INDEX(Standards!$N$2:$N$296,MATCH(C28,Standards!$B$2:$B$296,0))</f>
        <v>#9BC2E6</v>
      </c>
      <c r="H28" t="s">
        <v>521</v>
      </c>
      <c r="I28" t="s">
        <v>525</v>
      </c>
      <c r="J28" t="str">
        <f>INDEX(Standards!$H$2:$H$296,MATCH(B28,Standards!$B$2:$B$296,0))</f>
        <v>BIM</v>
      </c>
      <c r="K28" t="str">
        <f>INDEX(Standards!$H$2:$H$296,MATCH(C28,Standards!$B$2:$B$296,0))</f>
        <v>GIS</v>
      </c>
      <c r="L28" t="b">
        <f>AND(TableRelationships[[#This Row],[Source Type]]="BIM",TableRelationships[[#This Row],[Target Type]]="BIM")</f>
        <v>0</v>
      </c>
      <c r="M28">
        <f t="shared" si="0"/>
        <v>1</v>
      </c>
      <c r="N28" t="s">
        <v>526</v>
      </c>
      <c r="O28">
        <f t="shared" si="1"/>
        <v>2</v>
      </c>
      <c r="P28" t="str">
        <f>IF(TableRelationships[[#This Row],[Rank Pedro]]="Low","linkCategory1",IF(TableRelationships[[#This Row],[Rank Pedro]]="Medium","linkCategory2",IF(TableRelationships[[#This Row],[Rank Pedro]]="High","linkCategory3","")))</f>
        <v>linkCategory1</v>
      </c>
      <c r="Q28" t="str">
        <f>IF(TableRelationships[[#This Row],[Rank Pedro]]="Low","Pink",IF(TableRelationships[[#This Row],[Rank Pedro]]="Medium","Purple",IF(TableRelationships[[#This Row],[Rank Pedro]]="High","Brown","")))</f>
        <v>Pink</v>
      </c>
      <c r="R28" s="4">
        <f>MAX(INDEX(Standards!$F$2:$F$296,MATCH(B28,Standards!$B$2:$B$296,0)),INDEX(Standards!$F$2:$F$296,MATCH(C28,Standards!$B$2:$B$296,0)))</f>
        <v>44552</v>
      </c>
      <c r="S28" t="str">
        <f t="shared" si="2"/>
        <v>#2f89d1</v>
      </c>
    </row>
    <row r="29" spans="1:19" x14ac:dyDescent="0.5">
      <c r="A29">
        <v>197</v>
      </c>
      <c r="B29" t="s">
        <v>35</v>
      </c>
      <c r="C29" t="s">
        <v>383</v>
      </c>
      <c r="D29">
        <f>INDEX(Standards!$A$2:$A$296,MATCH(B29,Standards!$B$2:$B$296,0))</f>
        <v>163</v>
      </c>
      <c r="E29">
        <f>INDEX(Standards!$A$2:$A$296,MATCH(C29,Standards!$B$2:$B$296,0))</f>
        <v>166</v>
      </c>
      <c r="F29" t="str">
        <f>INDEX(Standards!$N$2:$N$296,MATCH(B29,Standards!$B$2:$B$296,0))</f>
        <v>#70AD47</v>
      </c>
      <c r="G29" t="str">
        <f>INDEX(Standards!$N$2:$N$296,MATCH(C29,Standards!$B$2:$B$296,0))</f>
        <v>#8497B0</v>
      </c>
      <c r="H29" t="s">
        <v>521</v>
      </c>
      <c r="I29" t="s">
        <v>525</v>
      </c>
      <c r="J29" t="str">
        <f>INDEX(Standards!$H$2:$H$296,MATCH(B29,Standards!$B$2:$B$296,0))</f>
        <v>BIM</v>
      </c>
      <c r="K29" t="str">
        <f>INDEX(Standards!$H$2:$H$296,MATCH(C29,Standards!$B$2:$B$296,0))</f>
        <v>HIS</v>
      </c>
      <c r="L29" t="b">
        <f>AND(TableRelationships[[#This Row],[Source Type]]="BIM",TableRelationships[[#This Row],[Target Type]]="BIM")</f>
        <v>0</v>
      </c>
      <c r="M29">
        <f t="shared" si="0"/>
        <v>1</v>
      </c>
      <c r="N29" t="s">
        <v>526</v>
      </c>
      <c r="O29">
        <f t="shared" si="1"/>
        <v>2</v>
      </c>
      <c r="P29" t="str">
        <f>IF(TableRelationships[[#This Row],[Rank Pedro]]="Low","linkCategory1",IF(TableRelationships[[#This Row],[Rank Pedro]]="Medium","linkCategory2",IF(TableRelationships[[#This Row],[Rank Pedro]]="High","linkCategory3","")))</f>
        <v>linkCategory1</v>
      </c>
      <c r="Q29" t="str">
        <f>IF(TableRelationships[[#This Row],[Rank Pedro]]="Low","Pink",IF(TableRelationships[[#This Row],[Rank Pedro]]="Medium","Purple",IF(TableRelationships[[#This Row],[Rank Pedro]]="High","Brown","")))</f>
        <v>Pink</v>
      </c>
      <c r="R29" s="4">
        <f>MAX(INDEX(Standards!$F$2:$F$296,MATCH(B29,Standards!$B$2:$B$296,0)),INDEX(Standards!$F$2:$F$296,MATCH(C29,Standards!$B$2:$B$296,0)))</f>
        <v>44552</v>
      </c>
      <c r="S29" t="str">
        <f t="shared" si="2"/>
        <v>#2f89d1</v>
      </c>
    </row>
    <row r="30" spans="1:19" x14ac:dyDescent="0.5">
      <c r="A30">
        <v>409</v>
      </c>
      <c r="B30" t="s">
        <v>38</v>
      </c>
      <c r="C30" t="s">
        <v>236</v>
      </c>
      <c r="D30">
        <f>INDEX(Standards!$A$2:$A$296,MATCH(B30,Standards!$B$2:$B$296,0))</f>
        <v>177</v>
      </c>
      <c r="E30">
        <f>INDEX(Standards!$A$2:$A$296,MATCH(C30,Standards!$B$2:$B$296,0))</f>
        <v>91</v>
      </c>
      <c r="F30" t="str">
        <f>INDEX(Standards!$N$2:$N$296,MATCH(B30,Standards!$B$2:$B$296,0))</f>
        <v>#70AD47</v>
      </c>
      <c r="G30" t="str">
        <f>INDEX(Standards!$N$2:$N$296,MATCH(C30,Standards!$B$2:$B$296,0))</f>
        <v>#F2F2F2</v>
      </c>
      <c r="H30" t="s">
        <v>521</v>
      </c>
      <c r="I30" t="s">
        <v>237</v>
      </c>
      <c r="J30" t="str">
        <f>INDEX(Standards!$H$2:$H$296,MATCH(B30,Standards!$B$2:$B$296,0))</f>
        <v>BIM</v>
      </c>
      <c r="K30" t="str">
        <f>INDEX(Standards!$H$2:$H$296,MATCH(C30,Standards!$B$2:$B$296,0))</f>
        <v>Anchor</v>
      </c>
      <c r="L30" t="b">
        <f>AND(TableRelationships[[#This Row],[Source Type]]="BIM",TableRelationships[[#This Row],[Target Type]]="BIM")</f>
        <v>0</v>
      </c>
      <c r="M30">
        <f t="shared" si="0"/>
        <v>2</v>
      </c>
      <c r="O30">
        <f t="shared" si="1"/>
        <v>1</v>
      </c>
      <c r="P30" t="str">
        <f>IF(TableRelationships[[#This Row],[Rank Pedro]]="Low","linkCategory1",IF(TableRelationships[[#This Row],[Rank Pedro]]="Medium","linkCategory2",IF(TableRelationships[[#This Row],[Rank Pedro]]="High","linkCategory3","")))</f>
        <v/>
      </c>
      <c r="Q30" t="str">
        <f>IF(TableRelationships[[#This Row],[Rank Pedro]]="Low","Pink",IF(TableRelationships[[#This Row],[Rank Pedro]]="Medium","Purple",IF(TableRelationships[[#This Row],[Rank Pedro]]="High","Brown","")))</f>
        <v/>
      </c>
      <c r="R30" s="4">
        <f>MAX(INDEX(Standards!$F$2:$F$296,MATCH(B30,Standards!$B$2:$B$296,0)),INDEX(Standards!$F$2:$F$296,MATCH(C30,Standards!$B$2:$B$296,0)))</f>
        <v>44965</v>
      </c>
      <c r="S30">
        <f t="shared" si="2"/>
        <v>1</v>
      </c>
    </row>
    <row r="31" spans="1:19" x14ac:dyDescent="0.5">
      <c r="A31">
        <v>468</v>
      </c>
      <c r="B31" t="s">
        <v>38</v>
      </c>
      <c r="C31" t="s">
        <v>210</v>
      </c>
      <c r="D31">
        <f>INDEX(Standards!$A$2:$A$296,MATCH(B31,Standards!$B$2:$B$296,0))</f>
        <v>177</v>
      </c>
      <c r="E31">
        <f>INDEX(Standards!$A$2:$A$296,MATCH(C31,Standards!$B$2:$B$296,0))</f>
        <v>9</v>
      </c>
      <c r="F31" t="str">
        <f>INDEX(Standards!$N$2:$N$296,MATCH(B31,Standards!$B$2:$B$296,0))</f>
        <v>#70AD47</v>
      </c>
      <c r="G31" t="str">
        <f>INDEX(Standards!$N$2:$N$296,MATCH(C31,Standards!$B$2:$B$296,0))</f>
        <v>#70AD47</v>
      </c>
      <c r="H31" t="s">
        <v>521</v>
      </c>
      <c r="I31" t="s">
        <v>524</v>
      </c>
      <c r="J31" t="str">
        <f>INDEX(Standards!$H$2:$H$296,MATCH(B31,Standards!$B$2:$B$296,0))</f>
        <v>BIM</v>
      </c>
      <c r="K31" t="str">
        <f>INDEX(Standards!$H$2:$H$296,MATCH(C31,Standards!$B$2:$B$296,0))</f>
        <v>BIM</v>
      </c>
      <c r="L31" t="b">
        <f>AND(TableRelationships[[#This Row],[Source Type]]="BIM",TableRelationships[[#This Row],[Target Type]]="BIM")</f>
        <v>1</v>
      </c>
      <c r="M31">
        <f t="shared" si="0"/>
        <v>6</v>
      </c>
      <c r="N31" t="s">
        <v>523</v>
      </c>
      <c r="O31">
        <f t="shared" si="1"/>
        <v>10</v>
      </c>
      <c r="P31" t="str">
        <f>IF(TableRelationships[[#This Row],[Rank Pedro]]="Low","linkCategory1",IF(TableRelationships[[#This Row],[Rank Pedro]]="Medium","linkCategory2",IF(TableRelationships[[#This Row],[Rank Pedro]]="High","linkCategory3","")))</f>
        <v>linkCategory3</v>
      </c>
      <c r="Q31" t="str">
        <f>IF(TableRelationships[[#This Row],[Rank Pedro]]="Low","Pink",IF(TableRelationships[[#This Row],[Rank Pedro]]="Medium","Purple",IF(TableRelationships[[#This Row],[Rank Pedro]]="High","Brown","")))</f>
        <v>Brown</v>
      </c>
      <c r="R31" s="4">
        <f>MAX(INDEX(Standards!$F$2:$F$296,MATCH(B31,Standards!$B$2:$B$296,0)),INDEX(Standards!$F$2:$F$296,MATCH(C31,Standards!$B$2:$B$296,0)))</f>
        <v>44965</v>
      </c>
      <c r="S31" t="str">
        <f t="shared" si="2"/>
        <v>#d6bf2a</v>
      </c>
    </row>
    <row r="32" spans="1:19" x14ac:dyDescent="0.5">
      <c r="A32">
        <v>469</v>
      </c>
      <c r="B32" t="s">
        <v>38</v>
      </c>
      <c r="C32" t="s">
        <v>77</v>
      </c>
      <c r="D32">
        <f>INDEX(Standards!$A$2:$A$296,MATCH(B32,Standards!$B$2:$B$296,0))</f>
        <v>177</v>
      </c>
      <c r="E32">
        <f>INDEX(Standards!$A$2:$A$296,MATCH(C32,Standards!$B$2:$B$296,0))</f>
        <v>19</v>
      </c>
      <c r="F32" t="str">
        <f>INDEX(Standards!$N$2:$N$296,MATCH(B32,Standards!$B$2:$B$296,0))</f>
        <v>#70AD47</v>
      </c>
      <c r="G32" t="str">
        <f>INDEX(Standards!$N$2:$N$296,MATCH(C32,Standards!$B$2:$B$296,0))</f>
        <v>#ED7D31</v>
      </c>
      <c r="H32" t="s">
        <v>521</v>
      </c>
      <c r="I32" t="s">
        <v>524</v>
      </c>
      <c r="J32" t="str">
        <f>INDEX(Standards!$H$2:$H$296,MATCH(B32,Standards!$B$2:$B$296,0))</f>
        <v>BIM</v>
      </c>
      <c r="K32" t="str">
        <f>INDEX(Standards!$H$2:$H$296,MATCH(C32,Standards!$B$2:$B$296,0))</f>
        <v>Construction</v>
      </c>
      <c r="L32" t="b">
        <f>AND(TableRelationships[[#This Row],[Source Type]]="BIM",TableRelationships[[#This Row],[Target Type]]="BIM")</f>
        <v>0</v>
      </c>
      <c r="M32">
        <f t="shared" si="0"/>
        <v>6</v>
      </c>
      <c r="N32" t="s">
        <v>523</v>
      </c>
      <c r="O32">
        <f t="shared" si="1"/>
        <v>10</v>
      </c>
      <c r="P32" t="str">
        <f>IF(TableRelationships[[#This Row],[Rank Pedro]]="Low","linkCategory1",IF(TableRelationships[[#This Row],[Rank Pedro]]="Medium","linkCategory2",IF(TableRelationships[[#This Row],[Rank Pedro]]="High","linkCategory3","")))</f>
        <v>linkCategory3</v>
      </c>
      <c r="Q32" t="str">
        <f>IF(TableRelationships[[#This Row],[Rank Pedro]]="Low","Pink",IF(TableRelationships[[#This Row],[Rank Pedro]]="Medium","Purple",IF(TableRelationships[[#This Row],[Rank Pedro]]="High","Brown","")))</f>
        <v>Brown</v>
      </c>
      <c r="R32" s="4">
        <f>MAX(INDEX(Standards!$F$2:$F$296,MATCH(B32,Standards!$B$2:$B$296,0)),INDEX(Standards!$F$2:$F$296,MATCH(C32,Standards!$B$2:$B$296,0)))</f>
        <v>44965</v>
      </c>
      <c r="S32" t="str">
        <f t="shared" si="2"/>
        <v>#d6bf2a</v>
      </c>
    </row>
    <row r="33" spans="1:19" x14ac:dyDescent="0.5">
      <c r="A33">
        <v>503</v>
      </c>
      <c r="B33" t="s">
        <v>42</v>
      </c>
      <c r="C33" t="s">
        <v>492</v>
      </c>
      <c r="D33">
        <f>INDEX(Standards!$A$2:$A$296,MATCH(B33,Standards!$B$2:$B$296,0))</f>
        <v>215</v>
      </c>
      <c r="E33">
        <f>INDEX(Standards!$A$2:$A$296,MATCH(C33,Standards!$B$2:$B$296,0))</f>
        <v>216</v>
      </c>
      <c r="F33" t="str">
        <f>INDEX(Standards!$N$2:$N$296,MATCH(B33,Standards!$B$2:$B$296,0))</f>
        <v>#70AD47</v>
      </c>
      <c r="G33" t="str">
        <f>INDEX(Standards!$N$2:$N$296,MATCH(C33,Standards!$B$2:$B$296,0))</f>
        <v>#4472C4</v>
      </c>
      <c r="H33" t="s">
        <v>521</v>
      </c>
      <c r="I33" t="s">
        <v>525</v>
      </c>
      <c r="J33" t="str">
        <f>INDEX(Standards!$H$2:$H$296,MATCH(B33,Standards!$B$2:$B$296,0))</f>
        <v>BIM</v>
      </c>
      <c r="K33" t="str">
        <f>INDEX(Standards!$H$2:$H$296,MATCH(C33,Standards!$B$2:$B$296,0))</f>
        <v>Industrial Automation</v>
      </c>
      <c r="L33" t="b">
        <f>AND(TableRelationships[[#This Row],[Source Type]]="BIM",TableRelationships[[#This Row],[Target Type]]="BIM")</f>
        <v>0</v>
      </c>
      <c r="M33">
        <f t="shared" si="0"/>
        <v>1</v>
      </c>
      <c r="N33" s="81" t="s">
        <v>526</v>
      </c>
      <c r="O33">
        <f t="shared" si="1"/>
        <v>2</v>
      </c>
      <c r="P33" t="str">
        <f>IF(TableRelationships[[#This Row],[Rank Pedro]]="Low","linkCategory1",IF(TableRelationships[[#This Row],[Rank Pedro]]="Medium","linkCategory2",IF(TableRelationships[[#This Row],[Rank Pedro]]="High","linkCategory3","")))</f>
        <v>linkCategory1</v>
      </c>
      <c r="Q33" t="str">
        <f>IF(TableRelationships[[#This Row],[Rank Pedro]]="Low","Pink",IF(TableRelationships[[#This Row],[Rank Pedro]]="Medium","Purple",IF(TableRelationships[[#This Row],[Rank Pedro]]="High","Brown","")))</f>
        <v>Pink</v>
      </c>
      <c r="R33" s="4">
        <f>MAX(INDEX(Standards!$F$2:$F$296,MATCH(B33,Standards!$B$2:$B$296,0)),INDEX(Standards!$F$2:$F$296,MATCH(C33,Standards!$B$2:$B$296,0)))</f>
        <v>45536</v>
      </c>
      <c r="S33" t="str">
        <f t="shared" si="2"/>
        <v>#2f89d1</v>
      </c>
    </row>
    <row r="34" spans="1:19" x14ac:dyDescent="0.5">
      <c r="A34">
        <v>504</v>
      </c>
      <c r="B34" t="s">
        <v>42</v>
      </c>
      <c r="C34" t="s">
        <v>494</v>
      </c>
      <c r="D34">
        <f>INDEX(Standards!$A$2:$A$296,MATCH(B34,Standards!$B$2:$B$296,0))</f>
        <v>215</v>
      </c>
      <c r="E34">
        <f>INDEX(Standards!$A$2:$A$296,MATCH(C34,Standards!$B$2:$B$296,0))</f>
        <v>217</v>
      </c>
      <c r="F34" t="str">
        <f>INDEX(Standards!$N$2:$N$296,MATCH(B34,Standards!$B$2:$B$296,0))</f>
        <v>#70AD47</v>
      </c>
      <c r="G34" t="str">
        <f>INDEX(Standards!$N$2:$N$296,MATCH(C34,Standards!$B$2:$B$296,0))</f>
        <v>#4472C4</v>
      </c>
      <c r="H34" t="s">
        <v>521</v>
      </c>
      <c r="I34" t="s">
        <v>525</v>
      </c>
      <c r="J34" t="str">
        <f>INDEX(Standards!$H$2:$H$296,MATCH(B34,Standards!$B$2:$B$296,0))</f>
        <v>BIM</v>
      </c>
      <c r="K34" t="str">
        <f>INDEX(Standards!$H$2:$H$296,MATCH(C34,Standards!$B$2:$B$296,0))</f>
        <v>Industrial Automation</v>
      </c>
      <c r="L34" t="b">
        <f>AND(TableRelationships[[#This Row],[Source Type]]="BIM",TableRelationships[[#This Row],[Target Type]]="BIM")</f>
        <v>0</v>
      </c>
      <c r="M34">
        <f t="shared" si="0"/>
        <v>1</v>
      </c>
      <c r="N34" s="81" t="s">
        <v>526</v>
      </c>
      <c r="O34">
        <f t="shared" si="1"/>
        <v>2</v>
      </c>
      <c r="P34" t="str">
        <f>IF(TableRelationships[[#This Row],[Rank Pedro]]="Low","linkCategory1",IF(TableRelationships[[#This Row],[Rank Pedro]]="Medium","linkCategory2",IF(TableRelationships[[#This Row],[Rank Pedro]]="High","linkCategory3","")))</f>
        <v>linkCategory1</v>
      </c>
      <c r="Q34" t="str">
        <f>IF(TableRelationships[[#This Row],[Rank Pedro]]="Low","Pink",IF(TableRelationships[[#This Row],[Rank Pedro]]="Medium","Purple",IF(TableRelationships[[#This Row],[Rank Pedro]]="High","Brown","")))</f>
        <v>Pink</v>
      </c>
      <c r="R34" s="4">
        <f>MAX(INDEX(Standards!$F$2:$F$296,MATCH(B34,Standards!$B$2:$B$296,0)),INDEX(Standards!$F$2:$F$296,MATCH(C34,Standards!$B$2:$B$296,0)))</f>
        <v>45536</v>
      </c>
      <c r="S34" t="str">
        <f t="shared" si="2"/>
        <v>#2f89d1</v>
      </c>
    </row>
    <row r="35" spans="1:19" x14ac:dyDescent="0.5">
      <c r="A35">
        <v>505</v>
      </c>
      <c r="B35" t="s">
        <v>42</v>
      </c>
      <c r="C35" t="s">
        <v>496</v>
      </c>
      <c r="D35">
        <f>INDEX(Standards!$A$2:$A$296,MATCH(B35,Standards!$B$2:$B$296,0))</f>
        <v>215</v>
      </c>
      <c r="E35">
        <f>INDEX(Standards!$A$2:$A$296,MATCH(C35,Standards!$B$2:$B$296,0))</f>
        <v>218</v>
      </c>
      <c r="F35" t="str">
        <f>INDEX(Standards!$N$2:$N$296,MATCH(B35,Standards!$B$2:$B$296,0))</f>
        <v>#70AD47</v>
      </c>
      <c r="G35" t="str">
        <f>INDEX(Standards!$N$2:$N$296,MATCH(C35,Standards!$B$2:$B$296,0))</f>
        <v>#4472C4</v>
      </c>
      <c r="H35" t="s">
        <v>521</v>
      </c>
      <c r="I35" t="s">
        <v>525</v>
      </c>
      <c r="J35" t="str">
        <f>INDEX(Standards!$H$2:$H$296,MATCH(B35,Standards!$B$2:$B$296,0))</f>
        <v>BIM</v>
      </c>
      <c r="K35" t="str">
        <f>INDEX(Standards!$H$2:$H$296,MATCH(C35,Standards!$B$2:$B$296,0))</f>
        <v>Industrial Automation</v>
      </c>
      <c r="L35" t="b">
        <f>AND(TableRelationships[[#This Row],[Source Type]]="BIM",TableRelationships[[#This Row],[Target Type]]="BIM")</f>
        <v>0</v>
      </c>
      <c r="M35">
        <f t="shared" si="0"/>
        <v>1</v>
      </c>
      <c r="N35" s="81" t="s">
        <v>526</v>
      </c>
      <c r="O35">
        <f t="shared" si="1"/>
        <v>2</v>
      </c>
      <c r="P35" t="str">
        <f>IF(TableRelationships[[#This Row],[Rank Pedro]]="Low","linkCategory1",IF(TableRelationships[[#This Row],[Rank Pedro]]="Medium","linkCategory2",IF(TableRelationships[[#This Row],[Rank Pedro]]="High","linkCategory3","")))</f>
        <v>linkCategory1</v>
      </c>
      <c r="Q35" t="str">
        <f>IF(TableRelationships[[#This Row],[Rank Pedro]]="Low","Pink",IF(TableRelationships[[#This Row],[Rank Pedro]]="Medium","Purple",IF(TableRelationships[[#This Row],[Rank Pedro]]="High","Brown","")))</f>
        <v>Pink</v>
      </c>
      <c r="R35" s="4">
        <f>MAX(INDEX(Standards!$F$2:$F$296,MATCH(B35,Standards!$B$2:$B$296,0)),INDEX(Standards!$F$2:$F$296,MATCH(C35,Standards!$B$2:$B$296,0)))</f>
        <v>45536</v>
      </c>
      <c r="S35" t="str">
        <f t="shared" si="2"/>
        <v>#2f89d1</v>
      </c>
    </row>
    <row r="36" spans="1:19" x14ac:dyDescent="0.5">
      <c r="A36">
        <v>506</v>
      </c>
      <c r="B36" t="s">
        <v>42</v>
      </c>
      <c r="C36" t="s">
        <v>498</v>
      </c>
      <c r="D36">
        <f>INDEX(Standards!$A$2:$A$296,MATCH(B36,Standards!$B$2:$B$296,0))</f>
        <v>215</v>
      </c>
      <c r="E36">
        <f>INDEX(Standards!$A$2:$A$296,MATCH(C36,Standards!$B$2:$B$296,0))</f>
        <v>219</v>
      </c>
      <c r="F36" t="str">
        <f>INDEX(Standards!$N$2:$N$296,MATCH(B36,Standards!$B$2:$B$296,0))</f>
        <v>#70AD47</v>
      </c>
      <c r="G36" t="str">
        <f>INDEX(Standards!$N$2:$N$296,MATCH(C36,Standards!$B$2:$B$296,0))</f>
        <v>#4472C4</v>
      </c>
      <c r="H36" t="s">
        <v>521</v>
      </c>
      <c r="I36" t="s">
        <v>525</v>
      </c>
      <c r="J36" t="str">
        <f>INDEX(Standards!$H$2:$H$296,MATCH(B36,Standards!$B$2:$B$296,0))</f>
        <v>BIM</v>
      </c>
      <c r="K36" t="str">
        <f>INDEX(Standards!$H$2:$H$296,MATCH(C36,Standards!$B$2:$B$296,0))</f>
        <v>Industrial Automation</v>
      </c>
      <c r="L36" t="b">
        <f>AND(TableRelationships[[#This Row],[Source Type]]="BIM",TableRelationships[[#This Row],[Target Type]]="BIM")</f>
        <v>0</v>
      </c>
      <c r="M36">
        <f t="shared" si="0"/>
        <v>1</v>
      </c>
      <c r="N36" s="81" t="s">
        <v>526</v>
      </c>
      <c r="O36">
        <f t="shared" si="1"/>
        <v>2</v>
      </c>
      <c r="P36" t="str">
        <f>IF(TableRelationships[[#This Row],[Rank Pedro]]="Low","linkCategory1",IF(TableRelationships[[#This Row],[Rank Pedro]]="Medium","linkCategory2",IF(TableRelationships[[#This Row],[Rank Pedro]]="High","linkCategory3","")))</f>
        <v>linkCategory1</v>
      </c>
      <c r="Q36" t="str">
        <f>IF(TableRelationships[[#This Row],[Rank Pedro]]="Low","Pink",IF(TableRelationships[[#This Row],[Rank Pedro]]="Medium","Purple",IF(TableRelationships[[#This Row],[Rank Pedro]]="High","Brown","")))</f>
        <v>Pink</v>
      </c>
      <c r="R36" s="4">
        <f>MAX(INDEX(Standards!$F$2:$F$296,MATCH(B36,Standards!$B$2:$B$296,0)),INDEX(Standards!$F$2:$F$296,MATCH(C36,Standards!$B$2:$B$296,0)))</f>
        <v>45536</v>
      </c>
      <c r="S36" t="str">
        <f t="shared" si="2"/>
        <v>#2f89d1</v>
      </c>
    </row>
    <row r="37" spans="1:19" x14ac:dyDescent="0.5">
      <c r="A37">
        <v>507</v>
      </c>
      <c r="B37" t="s">
        <v>42</v>
      </c>
      <c r="C37" t="s">
        <v>500</v>
      </c>
      <c r="D37">
        <f>INDEX(Standards!$A$2:$A$296,MATCH(B37,Standards!$B$2:$B$296,0))</f>
        <v>215</v>
      </c>
      <c r="E37">
        <f>INDEX(Standards!$A$2:$A$296,MATCH(C37,Standards!$B$2:$B$296,0))</f>
        <v>220</v>
      </c>
      <c r="F37" t="str">
        <f>INDEX(Standards!$N$2:$N$296,MATCH(B37,Standards!$B$2:$B$296,0))</f>
        <v>#70AD47</v>
      </c>
      <c r="G37" t="str">
        <f>INDEX(Standards!$N$2:$N$296,MATCH(C37,Standards!$B$2:$B$296,0))</f>
        <v>#4472C4</v>
      </c>
      <c r="H37" t="s">
        <v>521</v>
      </c>
      <c r="I37" t="s">
        <v>525</v>
      </c>
      <c r="J37" t="str">
        <f>INDEX(Standards!$H$2:$H$296,MATCH(B37,Standards!$B$2:$B$296,0))</f>
        <v>BIM</v>
      </c>
      <c r="K37" t="str">
        <f>INDEX(Standards!$H$2:$H$296,MATCH(C37,Standards!$B$2:$B$296,0))</f>
        <v>Industrial Automation</v>
      </c>
      <c r="L37" t="b">
        <f>AND(TableRelationships[[#This Row],[Source Type]]="BIM",TableRelationships[[#This Row],[Target Type]]="BIM")</f>
        <v>0</v>
      </c>
      <c r="M37">
        <f t="shared" si="0"/>
        <v>1</v>
      </c>
      <c r="N37" s="81" t="s">
        <v>526</v>
      </c>
      <c r="O37">
        <f t="shared" si="1"/>
        <v>2</v>
      </c>
      <c r="P37" t="str">
        <f>IF(TableRelationships[[#This Row],[Rank Pedro]]="Low","linkCategory1",IF(TableRelationships[[#This Row],[Rank Pedro]]="Medium","linkCategory2",IF(TableRelationships[[#This Row],[Rank Pedro]]="High","linkCategory3","")))</f>
        <v>linkCategory1</v>
      </c>
      <c r="Q37" t="str">
        <f>IF(TableRelationships[[#This Row],[Rank Pedro]]="Low","Pink",IF(TableRelationships[[#This Row],[Rank Pedro]]="Medium","Purple",IF(TableRelationships[[#This Row],[Rank Pedro]]="High","Brown","")))</f>
        <v>Pink</v>
      </c>
      <c r="R37" s="4">
        <f>MAX(INDEX(Standards!$F$2:$F$296,MATCH(B37,Standards!$B$2:$B$296,0)),INDEX(Standards!$F$2:$F$296,MATCH(C37,Standards!$B$2:$B$296,0)))</f>
        <v>45536</v>
      </c>
      <c r="S37" t="str">
        <f t="shared" si="2"/>
        <v>#2f89d1</v>
      </c>
    </row>
    <row r="38" spans="1:19" x14ac:dyDescent="0.5">
      <c r="A38">
        <v>380</v>
      </c>
      <c r="B38" t="s">
        <v>47</v>
      </c>
      <c r="C38" t="s">
        <v>236</v>
      </c>
      <c r="D38">
        <f>INDEX(Standards!$A$2:$A$296,MATCH(B38,Standards!$B$2:$B$296,0))</f>
        <v>101</v>
      </c>
      <c r="E38">
        <f>INDEX(Standards!$A$2:$A$296,MATCH(C38,Standards!$B$2:$B$296,0))</f>
        <v>91</v>
      </c>
      <c r="F38" t="str">
        <f>INDEX(Standards!$N$2:$N$296,MATCH(B38,Standards!$B$2:$B$296,0))</f>
        <v>#70AD47</v>
      </c>
      <c r="G38" t="str">
        <f>INDEX(Standards!$N$2:$N$296,MATCH(C38,Standards!$B$2:$B$296,0))</f>
        <v>#F2F2F2</v>
      </c>
      <c r="H38" t="s">
        <v>521</v>
      </c>
      <c r="I38" t="s">
        <v>237</v>
      </c>
      <c r="J38" t="str">
        <f>INDEX(Standards!$H$2:$H$296,MATCH(B38,Standards!$B$2:$B$296,0))</f>
        <v>BIM</v>
      </c>
      <c r="K38" t="str">
        <f>INDEX(Standards!$H$2:$H$296,MATCH(C38,Standards!$B$2:$B$296,0))</f>
        <v>Anchor</v>
      </c>
      <c r="L38" t="b">
        <f>AND(TableRelationships[[#This Row],[Source Type]]="BIM",TableRelationships[[#This Row],[Target Type]]="BIM")</f>
        <v>0</v>
      </c>
      <c r="M38">
        <f t="shared" si="0"/>
        <v>2</v>
      </c>
      <c r="O38">
        <f t="shared" si="1"/>
        <v>1</v>
      </c>
      <c r="P38" t="str">
        <f>IF(TableRelationships[[#This Row],[Rank Pedro]]="Low","linkCategory1",IF(TableRelationships[[#This Row],[Rank Pedro]]="Medium","linkCategory2",IF(TableRelationships[[#This Row],[Rank Pedro]]="High","linkCategory3","")))</f>
        <v/>
      </c>
      <c r="Q38" t="str">
        <f>IF(TableRelationships[[#This Row],[Rank Pedro]]="Low","Pink",IF(TableRelationships[[#This Row],[Rank Pedro]]="Medium","Purple",IF(TableRelationships[[#This Row],[Rank Pedro]]="High","Brown","")))</f>
        <v/>
      </c>
      <c r="R38" s="4">
        <f>MAX(INDEX(Standards!$F$2:$F$296,MATCH(B38,Standards!$B$2:$B$296,0)),INDEX(Standards!$F$2:$F$296,MATCH(C38,Standards!$B$2:$B$296,0)))</f>
        <v>45049</v>
      </c>
      <c r="S38">
        <f t="shared" si="2"/>
        <v>1</v>
      </c>
    </row>
    <row r="39" spans="1:19" x14ac:dyDescent="0.5">
      <c r="A39">
        <v>470</v>
      </c>
      <c r="B39" t="s">
        <v>51</v>
      </c>
      <c r="C39" t="s">
        <v>236</v>
      </c>
      <c r="D39">
        <f>INDEX(Standards!$A$2:$A$296,MATCH(B39,Standards!$B$2:$B$296,0))</f>
        <v>88</v>
      </c>
      <c r="E39">
        <f>INDEX(Standards!$A$2:$A$296,MATCH(C39,Standards!$B$2:$B$296,0))</f>
        <v>91</v>
      </c>
      <c r="F39" t="str">
        <f>INDEX(Standards!$N$2:$N$296,MATCH(B39,Standards!$B$2:$B$296,0))</f>
        <v>#70AD47</v>
      </c>
      <c r="G39" t="str">
        <f>INDEX(Standards!$N$2:$N$296,MATCH(C39,Standards!$B$2:$B$296,0))</f>
        <v>#F2F2F2</v>
      </c>
      <c r="H39" t="s">
        <v>521</v>
      </c>
      <c r="I39" t="s">
        <v>237</v>
      </c>
      <c r="J39" t="str">
        <f>INDEX(Standards!$H$2:$H$296,MATCH(B39,Standards!$B$2:$B$296,0))</f>
        <v>BIM</v>
      </c>
      <c r="K39" t="str">
        <f>INDEX(Standards!$H$2:$H$296,MATCH(C39,Standards!$B$2:$B$296,0))</f>
        <v>Anchor</v>
      </c>
      <c r="L39" t="b">
        <f>AND(TableRelationships[[#This Row],[Source Type]]="BIM",TableRelationships[[#This Row],[Target Type]]="BIM")</f>
        <v>0</v>
      </c>
      <c r="M39">
        <f t="shared" si="0"/>
        <v>2</v>
      </c>
      <c r="O39">
        <f t="shared" si="1"/>
        <v>1</v>
      </c>
      <c r="P39" t="str">
        <f>IF(TableRelationships[[#This Row],[Rank Pedro]]="Low","linkCategory1",IF(TableRelationships[[#This Row],[Rank Pedro]]="Medium","linkCategory2",IF(TableRelationships[[#This Row],[Rank Pedro]]="High","linkCategory3","")))</f>
        <v/>
      </c>
      <c r="Q39" t="str">
        <f>IF(TableRelationships[[#This Row],[Rank Pedro]]="Low","Pink",IF(TableRelationships[[#This Row],[Rank Pedro]]="Medium","Purple",IF(TableRelationships[[#This Row],[Rank Pedro]]="High","Brown","")))</f>
        <v/>
      </c>
      <c r="R39" s="4">
        <f>MAX(INDEX(Standards!$F$2:$F$296,MATCH(B39,Standards!$B$2:$B$296,0)),INDEX(Standards!$F$2:$F$296,MATCH(C39,Standards!$B$2:$B$296,0)))</f>
        <v>44902</v>
      </c>
      <c r="S39">
        <f t="shared" si="2"/>
        <v>1</v>
      </c>
    </row>
    <row r="40" spans="1:19" x14ac:dyDescent="0.5">
      <c r="A40">
        <v>500</v>
      </c>
      <c r="B40" t="s">
        <v>55</v>
      </c>
      <c r="C40" t="s">
        <v>51</v>
      </c>
      <c r="D40">
        <f>INDEX(Standards!$A$2:$A$296,MATCH(B40,Standards!$B$2:$B$296,0))</f>
        <v>214</v>
      </c>
      <c r="E40">
        <f>INDEX(Standards!$A$2:$A$296,MATCH(C40,Standards!$B$2:$B$296,0))</f>
        <v>88</v>
      </c>
      <c r="F40" t="str">
        <f>INDEX(Standards!$N$2:$N$296,MATCH(B40,Standards!$B$2:$B$296,0))</f>
        <v>#70AD47</v>
      </c>
      <c r="G40" t="str">
        <f>INDEX(Standards!$N$2:$N$296,MATCH(C40,Standards!$B$2:$B$296,0))</f>
        <v>#70AD47</v>
      </c>
      <c r="H40" t="s">
        <v>521</v>
      </c>
      <c r="I40" t="s">
        <v>524</v>
      </c>
      <c r="J40" t="str">
        <f>INDEX(Standards!$H$2:$H$296,MATCH(B40,Standards!$B$2:$B$296,0))</f>
        <v>BIM</v>
      </c>
      <c r="K40" t="str">
        <f>INDEX(Standards!$H$2:$H$296,MATCH(C40,Standards!$B$2:$B$296,0))</f>
        <v>BIM</v>
      </c>
      <c r="L40" t="b">
        <f>AND(TableRelationships[[#This Row],[Source Type]]="BIM",TableRelationships[[#This Row],[Target Type]]="BIM")</f>
        <v>1</v>
      </c>
      <c r="M40">
        <f t="shared" si="0"/>
        <v>6</v>
      </c>
      <c r="N40" s="81" t="s">
        <v>523</v>
      </c>
      <c r="O40">
        <f t="shared" si="1"/>
        <v>10</v>
      </c>
      <c r="P40" t="str">
        <f>IF(TableRelationships[[#This Row],[Rank Pedro]]="Low","linkCategory1",IF(TableRelationships[[#This Row],[Rank Pedro]]="Medium","linkCategory2",IF(TableRelationships[[#This Row],[Rank Pedro]]="High","linkCategory3","")))</f>
        <v>linkCategory3</v>
      </c>
      <c r="Q40" t="str">
        <f>IF(TableRelationships[[#This Row],[Rank Pedro]]="Low","Pink",IF(TableRelationships[[#This Row],[Rank Pedro]]="Medium","Purple",IF(TableRelationships[[#This Row],[Rank Pedro]]="High","Brown","")))</f>
        <v>Brown</v>
      </c>
      <c r="R40" s="4">
        <f>MAX(INDEX(Standards!$F$2:$F$296,MATCH(B40,Standards!$B$2:$B$296,0)),INDEX(Standards!$F$2:$F$296,MATCH(C40,Standards!$B$2:$B$296,0)))</f>
        <v>44902</v>
      </c>
      <c r="S40" t="str">
        <f t="shared" si="2"/>
        <v>#d6bf2a</v>
      </c>
    </row>
    <row r="41" spans="1:19" x14ac:dyDescent="0.5">
      <c r="A41">
        <v>502</v>
      </c>
      <c r="B41" t="s">
        <v>55</v>
      </c>
      <c r="C41" t="s">
        <v>144</v>
      </c>
      <c r="D41">
        <f>INDEX(Standards!$A$2:$A$296,MATCH(B41,Standards!$B$2:$B$296,0))</f>
        <v>214</v>
      </c>
      <c r="E41">
        <f>INDEX(Standards!$A$2:$A$296,MATCH(C41,Standards!$B$2:$B$296,0))</f>
        <v>8</v>
      </c>
      <c r="F41" t="str">
        <f>INDEX(Standards!$N$2:$N$296,MATCH(B41,Standards!$B$2:$B$296,0))</f>
        <v>#70AD47</v>
      </c>
      <c r="G41" t="str">
        <f>INDEX(Standards!$N$2:$N$296,MATCH(C41,Standards!$B$2:$B$296,0))</f>
        <v>#70AD47</v>
      </c>
      <c r="H41" t="s">
        <v>521</v>
      </c>
      <c r="I41" t="s">
        <v>525</v>
      </c>
      <c r="J41" t="str">
        <f>INDEX(Standards!$H$2:$H$296,MATCH(B41,Standards!$B$2:$B$296,0))</f>
        <v>BIM</v>
      </c>
      <c r="K41" t="str">
        <f>INDEX(Standards!$H$2:$H$296,MATCH(C41,Standards!$B$2:$B$296,0))</f>
        <v>BIM</v>
      </c>
      <c r="L41" t="b">
        <f>AND(TableRelationships[[#This Row],[Source Type]]="BIM",TableRelationships[[#This Row],[Target Type]]="BIM")</f>
        <v>1</v>
      </c>
      <c r="M41">
        <f t="shared" si="0"/>
        <v>1</v>
      </c>
      <c r="N41" s="81" t="s">
        <v>528</v>
      </c>
      <c r="O41">
        <f t="shared" si="1"/>
        <v>6</v>
      </c>
      <c r="P41" t="str">
        <f>IF(TableRelationships[[#This Row],[Rank Pedro]]="Low","linkCategory1",IF(TableRelationships[[#This Row],[Rank Pedro]]="Medium","linkCategory2",IF(TableRelationships[[#This Row],[Rank Pedro]]="High","linkCategory3","")))</f>
        <v>linkCategory2</v>
      </c>
      <c r="Q41" t="str">
        <f>IF(TableRelationships[[#This Row],[Rank Pedro]]="Low","Pink",IF(TableRelationships[[#This Row],[Rank Pedro]]="Medium","Purple",IF(TableRelationships[[#This Row],[Rank Pedro]]="High","Brown","")))</f>
        <v>Purple</v>
      </c>
      <c r="R41" s="4">
        <f>MAX(INDEX(Standards!$F$2:$F$296,MATCH(B41,Standards!$B$2:$B$296,0)),INDEX(Standards!$F$2:$F$296,MATCH(C41,Standards!$B$2:$B$296,0)))</f>
        <v>44902</v>
      </c>
      <c r="S41" t="str">
        <f t="shared" si="2"/>
        <v>#2f89d1</v>
      </c>
    </row>
    <row r="42" spans="1:19" x14ac:dyDescent="0.5">
      <c r="A42">
        <v>501</v>
      </c>
      <c r="B42" t="s">
        <v>55</v>
      </c>
      <c r="C42" t="s">
        <v>77</v>
      </c>
      <c r="D42">
        <f>INDEX(Standards!$A$2:$A$296,MATCH(B42,Standards!$B$2:$B$296,0))</f>
        <v>214</v>
      </c>
      <c r="E42">
        <f>INDEX(Standards!$A$2:$A$296,MATCH(C42,Standards!$B$2:$B$296,0))</f>
        <v>19</v>
      </c>
      <c r="F42" t="str">
        <f>INDEX(Standards!$N$2:$N$296,MATCH(B42,Standards!$B$2:$B$296,0))</f>
        <v>#70AD47</v>
      </c>
      <c r="G42" t="str">
        <f>INDEX(Standards!$N$2:$N$296,MATCH(C42,Standards!$B$2:$B$296,0))</f>
        <v>#ED7D31</v>
      </c>
      <c r="H42" t="s">
        <v>521</v>
      </c>
      <c r="I42" t="s">
        <v>524</v>
      </c>
      <c r="J42" t="str">
        <f>INDEX(Standards!$H$2:$H$296,MATCH(B42,Standards!$B$2:$B$296,0))</f>
        <v>BIM</v>
      </c>
      <c r="K42" t="str">
        <f>INDEX(Standards!$H$2:$H$296,MATCH(C42,Standards!$B$2:$B$296,0))</f>
        <v>Construction</v>
      </c>
      <c r="L42" t="b">
        <f>AND(TableRelationships[[#This Row],[Source Type]]="BIM",TableRelationships[[#This Row],[Target Type]]="BIM")</f>
        <v>0</v>
      </c>
      <c r="M42">
        <f t="shared" si="0"/>
        <v>6</v>
      </c>
      <c r="N42" s="81" t="s">
        <v>526</v>
      </c>
      <c r="O42">
        <f t="shared" si="1"/>
        <v>2</v>
      </c>
      <c r="P42" t="str">
        <f>IF(TableRelationships[[#This Row],[Rank Pedro]]="Low","linkCategory1",IF(TableRelationships[[#This Row],[Rank Pedro]]="Medium","linkCategory2",IF(TableRelationships[[#This Row],[Rank Pedro]]="High","linkCategory3","")))</f>
        <v>linkCategory1</v>
      </c>
      <c r="Q42" t="str">
        <f>IF(TableRelationships[[#This Row],[Rank Pedro]]="Low","Pink",IF(TableRelationships[[#This Row],[Rank Pedro]]="Medium","Purple",IF(TableRelationships[[#This Row],[Rank Pedro]]="High","Brown","")))</f>
        <v>Pink</v>
      </c>
      <c r="R42" s="4">
        <f>MAX(INDEX(Standards!$F$2:$F$296,MATCH(B42,Standards!$B$2:$B$296,0)),INDEX(Standards!$F$2:$F$296,MATCH(C42,Standards!$B$2:$B$296,0)))</f>
        <v>44902</v>
      </c>
      <c r="S42" t="str">
        <f t="shared" si="2"/>
        <v>#d6bf2a</v>
      </c>
    </row>
    <row r="43" spans="1:19" x14ac:dyDescent="0.5">
      <c r="A43">
        <v>304</v>
      </c>
      <c r="B43" t="s">
        <v>63</v>
      </c>
      <c r="C43" t="s">
        <v>236</v>
      </c>
      <c r="D43">
        <f>INDEX(Standards!$A$2:$A$296,MATCH(B43,Standards!$B$2:$B$296,0))</f>
        <v>6</v>
      </c>
      <c r="E43">
        <f>INDEX(Standards!$A$2:$A$296,MATCH(C43,Standards!$B$2:$B$296,0))</f>
        <v>91</v>
      </c>
      <c r="F43" t="str">
        <f>INDEX(Standards!$N$2:$N$296,MATCH(B43,Standards!$B$2:$B$296,0))</f>
        <v>#70AD47</v>
      </c>
      <c r="G43" t="str">
        <f>INDEX(Standards!$N$2:$N$296,MATCH(C43,Standards!$B$2:$B$296,0))</f>
        <v>#F2F2F2</v>
      </c>
      <c r="H43" s="22" t="s">
        <v>521</v>
      </c>
      <c r="I43" t="s">
        <v>237</v>
      </c>
      <c r="J43" t="str">
        <f>INDEX(Standards!$H$2:$H$296,MATCH(B43,Standards!$B$2:$B$296,0))</f>
        <v>BIM</v>
      </c>
      <c r="K43" t="str">
        <f>INDEX(Standards!$H$2:$H$296,MATCH(C43,Standards!$B$2:$B$296,0))</f>
        <v>Anchor</v>
      </c>
      <c r="L43" t="b">
        <f>AND(TableRelationships[[#This Row],[Source Type]]="BIM",TableRelationships[[#This Row],[Target Type]]="BIM")</f>
        <v>0</v>
      </c>
      <c r="M43">
        <f t="shared" si="0"/>
        <v>2</v>
      </c>
      <c r="O43">
        <f t="shared" si="1"/>
        <v>1</v>
      </c>
      <c r="R43" s="4">
        <f>MAX(INDEX(Standards!$F$2:$F$296,MATCH(B43,Standards!$B$2:$B$296,0)),INDEX(Standards!$F$2:$F$296,MATCH(C43,Standards!$B$2:$B$296,0)))</f>
        <v>37196</v>
      </c>
      <c r="S43">
        <f t="shared" si="2"/>
        <v>1</v>
      </c>
    </row>
    <row r="44" spans="1:19" x14ac:dyDescent="0.5">
      <c r="A44">
        <v>74</v>
      </c>
      <c r="B44" t="s">
        <v>63</v>
      </c>
      <c r="C44" t="s">
        <v>33</v>
      </c>
      <c r="D44">
        <f>INDEX(Standards!$A$2:$A$296,MATCH(B44,Standards!$B$2:$B$296,0))</f>
        <v>6</v>
      </c>
      <c r="E44">
        <f>INDEX(Standards!$A$2:$A$296,MATCH(C44,Standards!$B$2:$B$296,0))</f>
        <v>5</v>
      </c>
      <c r="F44" t="str">
        <f>INDEX(Standards!$N$2:$N$296,MATCH(B44,Standards!$B$2:$B$296,0))</f>
        <v>#70AD47</v>
      </c>
      <c r="G44" t="str">
        <f>INDEX(Standards!$N$2:$N$296,MATCH(C44,Standards!$B$2:$B$296,0))</f>
        <v>#7030A0</v>
      </c>
      <c r="H44" t="s">
        <v>521</v>
      </c>
      <c r="I44" t="s">
        <v>525</v>
      </c>
      <c r="J44" t="str">
        <f>INDEX(Standards!$H$2:$H$296,MATCH(B44,Standards!$B$2:$B$296,0))</f>
        <v>BIM</v>
      </c>
      <c r="K44" t="str">
        <f>INDEX(Standards!$H$2:$H$296,MATCH(C44,Standards!$B$2:$B$296,0))</f>
        <v>ICT</v>
      </c>
      <c r="L44" t="b">
        <f>AND(TableRelationships[[#This Row],[Source Type]]="BIM",TableRelationships[[#This Row],[Target Type]]="BIM")</f>
        <v>0</v>
      </c>
      <c r="M44">
        <f t="shared" si="0"/>
        <v>1</v>
      </c>
      <c r="N44" t="s">
        <v>526</v>
      </c>
      <c r="O44">
        <f t="shared" si="1"/>
        <v>2</v>
      </c>
      <c r="P44" t="str">
        <f>IF(TableRelationships[[#This Row],[Rank Pedro]]="Low","linkCategory1",IF(TableRelationships[[#This Row],[Rank Pedro]]="Medium","linkCategory2",IF(TableRelationships[[#This Row],[Rank Pedro]]="High","linkCategory3","")))</f>
        <v>linkCategory1</v>
      </c>
      <c r="Q44" t="str">
        <f>IF(TableRelationships[[#This Row],[Rank Pedro]]="Low","Pink",IF(TableRelationships[[#This Row],[Rank Pedro]]="Medium","Purple",IF(TableRelationships[[#This Row],[Rank Pedro]]="High","Brown","")))</f>
        <v>Pink</v>
      </c>
      <c r="R44" s="4">
        <f>MAX(INDEX(Standards!$F$2:$F$296,MATCH(B44,Standards!$B$2:$B$296,0)),INDEX(Standards!$F$2:$F$296,MATCH(C44,Standards!$B$2:$B$296,0)))</f>
        <v>37196</v>
      </c>
      <c r="S44" t="str">
        <f t="shared" si="2"/>
        <v>#2f89d1</v>
      </c>
    </row>
    <row r="45" spans="1:19" x14ac:dyDescent="0.5">
      <c r="A45">
        <v>76</v>
      </c>
      <c r="B45" t="s">
        <v>63</v>
      </c>
      <c r="C45" t="s">
        <v>126</v>
      </c>
      <c r="D45">
        <f>INDEX(Standards!$A$2:$A$296,MATCH(B45,Standards!$B$2:$B$296,0))</f>
        <v>6</v>
      </c>
      <c r="E45">
        <f>INDEX(Standards!$A$2:$A$296,MATCH(C45,Standards!$B$2:$B$296,0))</f>
        <v>42</v>
      </c>
      <c r="F45" t="str">
        <f>INDEX(Standards!$N$2:$N$296,MATCH(B45,Standards!$B$2:$B$296,0))</f>
        <v>#70AD47</v>
      </c>
      <c r="G45" t="str">
        <f>INDEX(Standards!$N$2:$N$296,MATCH(C45,Standards!$B$2:$B$296,0))</f>
        <v>#595959</v>
      </c>
      <c r="H45" t="s">
        <v>521</v>
      </c>
      <c r="I45" t="s">
        <v>525</v>
      </c>
      <c r="J45" t="str">
        <f>INDEX(Standards!$H$2:$H$296,MATCH(B45,Standards!$B$2:$B$296,0))</f>
        <v>BIM</v>
      </c>
      <c r="K45" t="str">
        <f>INDEX(Standards!$H$2:$H$296,MATCH(C45,Standards!$B$2:$B$296,0))</f>
        <v>Other</v>
      </c>
      <c r="L45" t="b">
        <f>AND(TableRelationships[[#This Row],[Source Type]]="BIM",TableRelationships[[#This Row],[Target Type]]="BIM")</f>
        <v>0</v>
      </c>
      <c r="M45">
        <f t="shared" si="0"/>
        <v>1</v>
      </c>
      <c r="N45" t="s">
        <v>528</v>
      </c>
      <c r="O45">
        <f t="shared" si="1"/>
        <v>6</v>
      </c>
      <c r="P45" t="str">
        <f>IF(TableRelationships[[#This Row],[Rank Pedro]]="Low","linkCategory1",IF(TableRelationships[[#This Row],[Rank Pedro]]="Medium","linkCategory2",IF(TableRelationships[[#This Row],[Rank Pedro]]="High","linkCategory3","")))</f>
        <v>linkCategory2</v>
      </c>
      <c r="Q45" t="str">
        <f>IF(TableRelationships[[#This Row],[Rank Pedro]]="Low","Pink",IF(TableRelationships[[#This Row],[Rank Pedro]]="Medium","Purple",IF(TableRelationships[[#This Row],[Rank Pedro]]="High","Brown","")))</f>
        <v>Purple</v>
      </c>
      <c r="R45" s="4">
        <f>MAX(INDEX(Standards!$F$2:$F$296,MATCH(B45,Standards!$B$2:$B$296,0)),INDEX(Standards!$F$2:$F$296,MATCH(C45,Standards!$B$2:$B$296,0)))</f>
        <v>37196</v>
      </c>
      <c r="S45" t="str">
        <f t="shared" si="2"/>
        <v>#2f89d1</v>
      </c>
    </row>
    <row r="46" spans="1:19" x14ac:dyDescent="0.5">
      <c r="A46">
        <v>70</v>
      </c>
      <c r="B46" t="s">
        <v>63</v>
      </c>
      <c r="C46" t="s">
        <v>68</v>
      </c>
      <c r="D46">
        <f>INDEX(Standards!$A$2:$A$296,MATCH(B46,Standards!$B$2:$B$296,0))</f>
        <v>6</v>
      </c>
      <c r="E46">
        <f>INDEX(Standards!$A$2:$A$296,MATCH(C46,Standards!$B$2:$B$296,0))</f>
        <v>7</v>
      </c>
      <c r="F46" t="str">
        <f>INDEX(Standards!$N$2:$N$296,MATCH(B46,Standards!$B$2:$B$296,0))</f>
        <v>#70AD47</v>
      </c>
      <c r="G46" t="str">
        <f>INDEX(Standards!$N$2:$N$296,MATCH(C46,Standards!$B$2:$B$296,0))</f>
        <v>#70AD47</v>
      </c>
      <c r="H46" t="s">
        <v>521</v>
      </c>
      <c r="I46" t="s">
        <v>525</v>
      </c>
      <c r="J46" t="str">
        <f>INDEX(Standards!$H$2:$H$296,MATCH(B46,Standards!$B$2:$B$296,0))</f>
        <v>BIM</v>
      </c>
      <c r="K46" t="str">
        <f>INDEX(Standards!$H$2:$H$296,MATCH(C46,Standards!$B$2:$B$296,0))</f>
        <v>BIM</v>
      </c>
      <c r="L46" t="b">
        <f>AND(TableRelationships[[#This Row],[Source Type]]="BIM",TableRelationships[[#This Row],[Target Type]]="BIM")</f>
        <v>1</v>
      </c>
      <c r="M46">
        <f t="shared" si="0"/>
        <v>1</v>
      </c>
      <c r="N46" t="s">
        <v>526</v>
      </c>
      <c r="O46">
        <f t="shared" si="1"/>
        <v>2</v>
      </c>
      <c r="P46" t="str">
        <f>IF(TableRelationships[[#This Row],[Rank Pedro]]="Low","linkCategory1",IF(TableRelationships[[#This Row],[Rank Pedro]]="Medium","linkCategory2",IF(TableRelationships[[#This Row],[Rank Pedro]]="High","linkCategory3","")))</f>
        <v>linkCategory1</v>
      </c>
      <c r="Q46" t="str">
        <f>IF(TableRelationships[[#This Row],[Rank Pedro]]="Low","Pink",IF(TableRelationships[[#This Row],[Rank Pedro]]="Medium","Purple",IF(TableRelationships[[#This Row],[Rank Pedro]]="High","Brown","")))</f>
        <v>Pink</v>
      </c>
      <c r="R46" s="4">
        <f>MAX(INDEX(Standards!$F$2:$F$296,MATCH(B46,Standards!$B$2:$B$296,0)),INDEX(Standards!$F$2:$F$296,MATCH(C46,Standards!$B$2:$B$296,0)))</f>
        <v>37196</v>
      </c>
      <c r="S46" t="str">
        <f t="shared" si="2"/>
        <v>#2f89d1</v>
      </c>
    </row>
    <row r="47" spans="1:19" x14ac:dyDescent="0.5">
      <c r="A47">
        <v>71</v>
      </c>
      <c r="B47" t="s">
        <v>63</v>
      </c>
      <c r="C47" t="s">
        <v>376</v>
      </c>
      <c r="D47">
        <f>INDEX(Standards!$A$2:$A$296,MATCH(B47,Standards!$B$2:$B$296,0))</f>
        <v>6</v>
      </c>
      <c r="E47">
        <f>INDEX(Standards!$A$2:$A$296,MATCH(C47,Standards!$B$2:$B$296,0))</f>
        <v>15</v>
      </c>
      <c r="F47" t="str">
        <f>INDEX(Standards!$N$2:$N$296,MATCH(B47,Standards!$B$2:$B$296,0))</f>
        <v>#70AD47</v>
      </c>
      <c r="G47" t="str">
        <f>INDEX(Standards!$N$2:$N$296,MATCH(C47,Standards!$B$2:$B$296,0))</f>
        <v>#70AD47</v>
      </c>
      <c r="H47" t="s">
        <v>521</v>
      </c>
      <c r="I47" t="s">
        <v>525</v>
      </c>
      <c r="J47" t="str">
        <f>INDEX(Standards!$H$2:$H$296,MATCH(B47,Standards!$B$2:$B$296,0))</f>
        <v>BIM</v>
      </c>
      <c r="K47" t="str">
        <f>INDEX(Standards!$H$2:$H$296,MATCH(C47,Standards!$B$2:$B$296,0))</f>
        <v>BIM</v>
      </c>
      <c r="L47" t="b">
        <f>AND(TableRelationships[[#This Row],[Source Type]]="BIM",TableRelationships[[#This Row],[Target Type]]="BIM")</f>
        <v>1</v>
      </c>
      <c r="M47">
        <f t="shared" si="0"/>
        <v>1</v>
      </c>
      <c r="N47" t="s">
        <v>528</v>
      </c>
      <c r="O47">
        <f t="shared" si="1"/>
        <v>6</v>
      </c>
      <c r="P47" t="str">
        <f>IF(TableRelationships[[#This Row],[Rank Pedro]]="Low","linkCategory1",IF(TableRelationships[[#This Row],[Rank Pedro]]="Medium","linkCategory2",IF(TableRelationships[[#This Row],[Rank Pedro]]="High","linkCategory3","")))</f>
        <v>linkCategory2</v>
      </c>
      <c r="Q47" t="str">
        <f>IF(TableRelationships[[#This Row],[Rank Pedro]]="Low","Pink",IF(TableRelationships[[#This Row],[Rank Pedro]]="Medium","Purple",IF(TableRelationships[[#This Row],[Rank Pedro]]="High","Brown","")))</f>
        <v>Purple</v>
      </c>
      <c r="R47" s="4">
        <f>MAX(INDEX(Standards!$F$2:$F$296,MATCH(B47,Standards!$B$2:$B$296,0)),INDEX(Standards!$F$2:$F$296,MATCH(C47,Standards!$B$2:$B$296,0)))</f>
        <v>39448</v>
      </c>
      <c r="S47" t="str">
        <f t="shared" si="2"/>
        <v>#2f89d1</v>
      </c>
    </row>
    <row r="48" spans="1:19" x14ac:dyDescent="0.5">
      <c r="A48">
        <v>69</v>
      </c>
      <c r="B48" t="s">
        <v>63</v>
      </c>
      <c r="C48" t="s">
        <v>118</v>
      </c>
      <c r="D48">
        <f>INDEX(Standards!$A$2:$A$296,MATCH(B48,Standards!$B$2:$B$296,0))</f>
        <v>6</v>
      </c>
      <c r="E48">
        <f>INDEX(Standards!$A$2:$A$296,MATCH(C48,Standards!$B$2:$B$296,0))</f>
        <v>37</v>
      </c>
      <c r="F48" t="str">
        <f>INDEX(Standards!$N$2:$N$296,MATCH(B48,Standards!$B$2:$B$296,0))</f>
        <v>#70AD47</v>
      </c>
      <c r="G48" t="str">
        <f>INDEX(Standards!$N$2:$N$296,MATCH(C48,Standards!$B$2:$B$296,0))</f>
        <v>#7030A0</v>
      </c>
      <c r="H48" t="s">
        <v>521</v>
      </c>
      <c r="I48" t="s">
        <v>524</v>
      </c>
      <c r="J48" t="str">
        <f>INDEX(Standards!$H$2:$H$296,MATCH(B48,Standards!$B$2:$B$296,0))</f>
        <v>BIM</v>
      </c>
      <c r="K48" t="str">
        <f>INDEX(Standards!$H$2:$H$296,MATCH(C48,Standards!$B$2:$B$296,0))</f>
        <v>ICT</v>
      </c>
      <c r="L48" t="b">
        <f>AND(TableRelationships[[#This Row],[Source Type]]="BIM",TableRelationships[[#This Row],[Target Type]]="BIM")</f>
        <v>0</v>
      </c>
      <c r="M48">
        <f t="shared" si="0"/>
        <v>6</v>
      </c>
      <c r="N48" t="s">
        <v>523</v>
      </c>
      <c r="O48">
        <f t="shared" si="1"/>
        <v>10</v>
      </c>
      <c r="P48" t="str">
        <f>IF(TableRelationships[[#This Row],[Rank Pedro]]="Low","linkCategory1",IF(TableRelationships[[#This Row],[Rank Pedro]]="Medium","linkCategory2",IF(TableRelationships[[#This Row],[Rank Pedro]]="High","linkCategory3","")))</f>
        <v>linkCategory3</v>
      </c>
      <c r="Q48" t="str">
        <f>IF(TableRelationships[[#This Row],[Rank Pedro]]="Low","Pink",IF(TableRelationships[[#This Row],[Rank Pedro]]="Medium","Purple",IF(TableRelationships[[#This Row],[Rank Pedro]]="High","Brown","")))</f>
        <v>Brown</v>
      </c>
      <c r="R48" s="4">
        <f>MAX(INDEX(Standards!$F$2:$F$296,MATCH(B48,Standards!$B$2:$B$296,0)),INDEX(Standards!$F$2:$F$296,MATCH(C48,Standards!$B$2:$B$296,0)))</f>
        <v>41275</v>
      </c>
      <c r="S48" t="str">
        <f t="shared" si="2"/>
        <v>#d6bf2a</v>
      </c>
    </row>
    <row r="49" spans="1:19" x14ac:dyDescent="0.5">
      <c r="A49">
        <v>75</v>
      </c>
      <c r="B49" t="s">
        <v>63</v>
      </c>
      <c r="C49" t="s">
        <v>124</v>
      </c>
      <c r="D49">
        <f>INDEX(Standards!$A$2:$A$296,MATCH(B49,Standards!$B$2:$B$296,0))</f>
        <v>6</v>
      </c>
      <c r="E49">
        <f>INDEX(Standards!$A$2:$A$296,MATCH(C49,Standards!$B$2:$B$296,0))</f>
        <v>41</v>
      </c>
      <c r="F49" t="str">
        <f>INDEX(Standards!$N$2:$N$296,MATCH(B49,Standards!$B$2:$B$296,0))</f>
        <v>#70AD47</v>
      </c>
      <c r="G49" t="str">
        <f>INDEX(Standards!$N$2:$N$296,MATCH(C49,Standards!$B$2:$B$296,0))</f>
        <v>#595959</v>
      </c>
      <c r="H49" t="s">
        <v>521</v>
      </c>
      <c r="I49" t="s">
        <v>525</v>
      </c>
      <c r="J49" t="str">
        <f>INDEX(Standards!$H$2:$H$296,MATCH(B49,Standards!$B$2:$B$296,0))</f>
        <v>BIM</v>
      </c>
      <c r="K49" t="str">
        <f>INDEX(Standards!$H$2:$H$296,MATCH(C49,Standards!$B$2:$B$296,0))</f>
        <v>Other</v>
      </c>
      <c r="L49" t="b">
        <f>AND(TableRelationships[[#This Row],[Source Type]]="BIM",TableRelationships[[#This Row],[Target Type]]="BIM")</f>
        <v>0</v>
      </c>
      <c r="M49">
        <f t="shared" si="0"/>
        <v>1</v>
      </c>
      <c r="N49" t="s">
        <v>526</v>
      </c>
      <c r="O49">
        <f t="shared" si="1"/>
        <v>2</v>
      </c>
      <c r="P49" t="str">
        <f>IF(TableRelationships[[#This Row],[Rank Pedro]]="Low","linkCategory1",IF(TableRelationships[[#This Row],[Rank Pedro]]="Medium","linkCategory2",IF(TableRelationships[[#This Row],[Rank Pedro]]="High","linkCategory3","")))</f>
        <v>linkCategory1</v>
      </c>
      <c r="Q49" t="str">
        <f>IF(TableRelationships[[#This Row],[Rank Pedro]]="Low","Pink",IF(TableRelationships[[#This Row],[Rank Pedro]]="Medium","Purple",IF(TableRelationships[[#This Row],[Rank Pedro]]="High","Brown","")))</f>
        <v>Pink</v>
      </c>
      <c r="R49" s="4">
        <f>MAX(INDEX(Standards!$F$2:$F$296,MATCH(B49,Standards!$B$2:$B$296,0)),INDEX(Standards!$F$2:$F$296,MATCH(C49,Standards!$B$2:$B$296,0)))</f>
        <v>37196</v>
      </c>
      <c r="S49" t="str">
        <f t="shared" si="2"/>
        <v>#2f89d1</v>
      </c>
    </row>
    <row r="50" spans="1:19" x14ac:dyDescent="0.5">
      <c r="A50">
        <v>72</v>
      </c>
      <c r="B50" t="s">
        <v>63</v>
      </c>
      <c r="C50" t="s">
        <v>120</v>
      </c>
      <c r="D50">
        <f>INDEX(Standards!$A$2:$A$296,MATCH(B50,Standards!$B$2:$B$296,0))</f>
        <v>6</v>
      </c>
      <c r="E50">
        <f>INDEX(Standards!$A$2:$A$296,MATCH(C50,Standards!$B$2:$B$296,0))</f>
        <v>38</v>
      </c>
      <c r="F50" t="str">
        <f>INDEX(Standards!$N$2:$N$296,MATCH(B50,Standards!$B$2:$B$296,0))</f>
        <v>#70AD47</v>
      </c>
      <c r="G50" t="str">
        <f>INDEX(Standards!$N$2:$N$296,MATCH(C50,Standards!$B$2:$B$296,0))</f>
        <v>#7030A0</v>
      </c>
      <c r="H50" t="s">
        <v>521</v>
      </c>
      <c r="I50" t="s">
        <v>525</v>
      </c>
      <c r="J50" t="str">
        <f>INDEX(Standards!$H$2:$H$296,MATCH(B50,Standards!$B$2:$B$296,0))</f>
        <v>BIM</v>
      </c>
      <c r="K50" t="str">
        <f>INDEX(Standards!$H$2:$H$296,MATCH(C50,Standards!$B$2:$B$296,0))</f>
        <v>ICT</v>
      </c>
      <c r="L50" t="b">
        <f>AND(TableRelationships[[#This Row],[Source Type]]="BIM",TableRelationships[[#This Row],[Target Type]]="BIM")</f>
        <v>0</v>
      </c>
      <c r="M50">
        <f t="shared" si="0"/>
        <v>1</v>
      </c>
      <c r="N50" t="s">
        <v>523</v>
      </c>
      <c r="O50">
        <f t="shared" si="1"/>
        <v>10</v>
      </c>
      <c r="P50" t="str">
        <f>IF(TableRelationships[[#This Row],[Rank Pedro]]="Low","linkCategory1",IF(TableRelationships[[#This Row],[Rank Pedro]]="Medium","linkCategory2",IF(TableRelationships[[#This Row],[Rank Pedro]]="High","linkCategory3","")))</f>
        <v>linkCategory3</v>
      </c>
      <c r="Q50" t="str">
        <f>IF(TableRelationships[[#This Row],[Rank Pedro]]="Low","Pink",IF(TableRelationships[[#This Row],[Rank Pedro]]="Medium","Purple",IF(TableRelationships[[#This Row],[Rank Pedro]]="High","Brown","")))</f>
        <v>Brown</v>
      </c>
      <c r="R50" s="4">
        <f>MAX(INDEX(Standards!$F$2:$F$296,MATCH(B50,Standards!$B$2:$B$296,0)),INDEX(Standards!$F$2:$F$296,MATCH(C50,Standards!$B$2:$B$296,0)))</f>
        <v>37257</v>
      </c>
      <c r="S50" t="str">
        <f t="shared" si="2"/>
        <v>#2f89d1</v>
      </c>
    </row>
    <row r="51" spans="1:19" x14ac:dyDescent="0.5">
      <c r="A51">
        <v>73</v>
      </c>
      <c r="B51" t="s">
        <v>63</v>
      </c>
      <c r="C51" t="s">
        <v>122</v>
      </c>
      <c r="D51">
        <f>INDEX(Standards!$A$2:$A$296,MATCH(B51,Standards!$B$2:$B$296,0))</f>
        <v>6</v>
      </c>
      <c r="E51">
        <f>INDEX(Standards!$A$2:$A$296,MATCH(C51,Standards!$B$2:$B$296,0))</f>
        <v>39</v>
      </c>
      <c r="F51" t="str">
        <f>INDEX(Standards!$N$2:$N$296,MATCH(B51,Standards!$B$2:$B$296,0))</f>
        <v>#70AD47</v>
      </c>
      <c r="G51" t="str">
        <f>INDEX(Standards!$N$2:$N$296,MATCH(C51,Standards!$B$2:$B$296,0))</f>
        <v>#7030A0</v>
      </c>
      <c r="H51" t="s">
        <v>521</v>
      </c>
      <c r="I51" t="s">
        <v>525</v>
      </c>
      <c r="J51" t="str">
        <f>INDEX(Standards!$H$2:$H$296,MATCH(B51,Standards!$B$2:$B$296,0))</f>
        <v>BIM</v>
      </c>
      <c r="K51" t="str">
        <f>INDEX(Standards!$H$2:$H$296,MATCH(C51,Standards!$B$2:$B$296,0))</f>
        <v>ICT</v>
      </c>
      <c r="L51" t="b">
        <f>AND(TableRelationships[[#This Row],[Source Type]]="BIM",TableRelationships[[#This Row],[Target Type]]="BIM")</f>
        <v>0</v>
      </c>
      <c r="M51">
        <f t="shared" si="0"/>
        <v>1</v>
      </c>
      <c r="N51" t="s">
        <v>523</v>
      </c>
      <c r="O51">
        <f t="shared" si="1"/>
        <v>10</v>
      </c>
      <c r="P51" t="str">
        <f>IF(TableRelationships[[#This Row],[Rank Pedro]]="Low","linkCategory1",IF(TableRelationships[[#This Row],[Rank Pedro]]="Medium","linkCategory2",IF(TableRelationships[[#This Row],[Rank Pedro]]="High","linkCategory3","")))</f>
        <v>linkCategory3</v>
      </c>
      <c r="Q51" t="str">
        <f>IF(TableRelationships[[#This Row],[Rank Pedro]]="Low","Pink",IF(TableRelationships[[#This Row],[Rank Pedro]]="Medium","Purple",IF(TableRelationships[[#This Row],[Rank Pedro]]="High","Brown","")))</f>
        <v>Brown</v>
      </c>
      <c r="R51" s="4">
        <f>MAX(INDEX(Standards!$F$2:$F$296,MATCH(B51,Standards!$B$2:$B$296,0)),INDEX(Standards!$F$2:$F$296,MATCH(C51,Standards!$B$2:$B$296,0)))</f>
        <v>39814</v>
      </c>
      <c r="S51" t="str">
        <f t="shared" si="2"/>
        <v>#2f89d1</v>
      </c>
    </row>
    <row r="52" spans="1:19" x14ac:dyDescent="0.5">
      <c r="A52">
        <v>305</v>
      </c>
      <c r="B52" t="s">
        <v>68</v>
      </c>
      <c r="C52" t="s">
        <v>236</v>
      </c>
      <c r="D52">
        <f>INDEX(Standards!$A$2:$A$296,MATCH(B52,Standards!$B$2:$B$296,0))</f>
        <v>7</v>
      </c>
      <c r="E52">
        <f>INDEX(Standards!$A$2:$A$296,MATCH(C52,Standards!$B$2:$B$296,0))</f>
        <v>91</v>
      </c>
      <c r="F52" t="str">
        <f>INDEX(Standards!$N$2:$N$296,MATCH(B52,Standards!$B$2:$B$296,0))</f>
        <v>#70AD47</v>
      </c>
      <c r="G52" t="str">
        <f>INDEX(Standards!$N$2:$N$296,MATCH(C52,Standards!$B$2:$B$296,0))</f>
        <v>#F2F2F2</v>
      </c>
      <c r="H52" s="22" t="s">
        <v>521</v>
      </c>
      <c r="I52" t="s">
        <v>237</v>
      </c>
      <c r="J52" t="str">
        <f>INDEX(Standards!$H$2:$H$296,MATCH(B52,Standards!$B$2:$B$296,0))</f>
        <v>BIM</v>
      </c>
      <c r="K52" t="str">
        <f>INDEX(Standards!$H$2:$H$296,MATCH(C52,Standards!$B$2:$B$296,0))</f>
        <v>Anchor</v>
      </c>
      <c r="L52" t="b">
        <f>AND(TableRelationships[[#This Row],[Source Type]]="BIM",TableRelationships[[#This Row],[Target Type]]="BIM")</f>
        <v>0</v>
      </c>
      <c r="M52">
        <f t="shared" si="0"/>
        <v>2</v>
      </c>
      <c r="O52">
        <f t="shared" si="1"/>
        <v>1</v>
      </c>
      <c r="R52" s="4">
        <f>MAX(INDEX(Standards!$F$2:$F$296,MATCH(B52,Standards!$B$2:$B$296,0)),INDEX(Standards!$F$2:$F$296,MATCH(C52,Standards!$B$2:$B$296,0)))</f>
        <v>37165</v>
      </c>
      <c r="S52">
        <f t="shared" si="2"/>
        <v>1</v>
      </c>
    </row>
    <row r="53" spans="1:19" x14ac:dyDescent="0.5">
      <c r="A53">
        <v>77</v>
      </c>
      <c r="B53" t="s">
        <v>68</v>
      </c>
      <c r="C53" t="s">
        <v>128</v>
      </c>
      <c r="D53">
        <f>INDEX(Standards!$A$2:$A$296,MATCH(B53,Standards!$B$2:$B$296,0))</f>
        <v>7</v>
      </c>
      <c r="E53">
        <f>INDEX(Standards!$A$2:$A$296,MATCH(C53,Standards!$B$2:$B$296,0))</f>
        <v>43</v>
      </c>
      <c r="F53" t="str">
        <f>INDEX(Standards!$N$2:$N$296,MATCH(B53,Standards!$B$2:$B$296,0))</f>
        <v>#70AD47</v>
      </c>
      <c r="G53" t="str">
        <f>INDEX(Standards!$N$2:$N$296,MATCH(C53,Standards!$B$2:$B$296,0))</f>
        <v>#7030A0</v>
      </c>
      <c r="H53" t="s">
        <v>521</v>
      </c>
      <c r="I53" t="s">
        <v>524</v>
      </c>
      <c r="J53" t="str">
        <f>INDEX(Standards!$H$2:$H$296,MATCH(B53,Standards!$B$2:$B$296,0))</f>
        <v>BIM</v>
      </c>
      <c r="K53" t="str">
        <f>INDEX(Standards!$H$2:$H$296,MATCH(C53,Standards!$B$2:$B$296,0))</f>
        <v>ICT</v>
      </c>
      <c r="L53" t="b">
        <f>AND(TableRelationships[[#This Row],[Source Type]]="BIM",TableRelationships[[#This Row],[Target Type]]="BIM")</f>
        <v>0</v>
      </c>
      <c r="M53">
        <f t="shared" si="0"/>
        <v>6</v>
      </c>
      <c r="N53" t="s">
        <v>526</v>
      </c>
      <c r="O53">
        <f t="shared" si="1"/>
        <v>2</v>
      </c>
      <c r="P53" t="str">
        <f>IF(TableRelationships[[#This Row],[Rank Pedro]]="Low","linkCategory1",IF(TableRelationships[[#This Row],[Rank Pedro]]="Medium","linkCategory2",IF(TableRelationships[[#This Row],[Rank Pedro]]="High","linkCategory3","")))</f>
        <v>linkCategory1</v>
      </c>
      <c r="Q53" t="str">
        <f>IF(TableRelationships[[#This Row],[Rank Pedro]]="Low","Pink",IF(TableRelationships[[#This Row],[Rank Pedro]]="Medium","Purple",IF(TableRelationships[[#This Row],[Rank Pedro]]="High","Brown","")))</f>
        <v>Pink</v>
      </c>
      <c r="R53" s="4">
        <f>MAX(INDEX(Standards!$F$2:$F$296,MATCH(B53,Standards!$B$2:$B$296,0)),INDEX(Standards!$F$2:$F$296,MATCH(C53,Standards!$B$2:$B$296,0)))</f>
        <v>37165</v>
      </c>
      <c r="S53" t="str">
        <f t="shared" si="2"/>
        <v>#d6bf2a</v>
      </c>
    </row>
    <row r="54" spans="1:19" x14ac:dyDescent="0.5">
      <c r="A54">
        <v>88</v>
      </c>
      <c r="B54" t="s">
        <v>68</v>
      </c>
      <c r="C54" t="s">
        <v>136</v>
      </c>
      <c r="D54">
        <f>INDEX(Standards!$A$2:$A$296,MATCH(B54,Standards!$B$2:$B$296,0))</f>
        <v>7</v>
      </c>
      <c r="E54">
        <f>INDEX(Standards!$A$2:$A$296,MATCH(C54,Standards!$B$2:$B$296,0))</f>
        <v>47</v>
      </c>
      <c r="F54" t="str">
        <f>INDEX(Standards!$N$2:$N$296,MATCH(B54,Standards!$B$2:$B$296,0))</f>
        <v>#70AD47</v>
      </c>
      <c r="G54" t="str">
        <f>INDEX(Standards!$N$2:$N$296,MATCH(C54,Standards!$B$2:$B$296,0))</f>
        <v>#7030A0</v>
      </c>
      <c r="H54" t="s">
        <v>521</v>
      </c>
      <c r="I54" t="s">
        <v>525</v>
      </c>
      <c r="J54" t="str">
        <f>INDEX(Standards!$H$2:$H$296,MATCH(B54,Standards!$B$2:$B$296,0))</f>
        <v>BIM</v>
      </c>
      <c r="K54" t="str">
        <f>INDEX(Standards!$H$2:$H$296,MATCH(C54,Standards!$B$2:$B$296,0))</f>
        <v>ICT</v>
      </c>
      <c r="L54" t="b">
        <f>AND(TableRelationships[[#This Row],[Source Type]]="BIM",TableRelationships[[#This Row],[Target Type]]="BIM")</f>
        <v>0</v>
      </c>
      <c r="M54">
        <f t="shared" si="0"/>
        <v>1</v>
      </c>
      <c r="N54" t="s">
        <v>526</v>
      </c>
      <c r="O54">
        <f t="shared" si="1"/>
        <v>2</v>
      </c>
      <c r="P54" t="str">
        <f>IF(TableRelationships[[#This Row],[Rank Pedro]]="Low","linkCategory1",IF(TableRelationships[[#This Row],[Rank Pedro]]="Medium","linkCategory2",IF(TableRelationships[[#This Row],[Rank Pedro]]="High","linkCategory3","")))</f>
        <v>linkCategory1</v>
      </c>
      <c r="Q54" t="str">
        <f>IF(TableRelationships[[#This Row],[Rank Pedro]]="Low","Pink",IF(TableRelationships[[#This Row],[Rank Pedro]]="Medium","Purple",IF(TableRelationships[[#This Row],[Rank Pedro]]="High","Brown","")))</f>
        <v>Pink</v>
      </c>
      <c r="R54" s="4">
        <f>MAX(INDEX(Standards!$F$2:$F$296,MATCH(B54,Standards!$B$2:$B$296,0)),INDEX(Standards!$F$2:$F$296,MATCH(C54,Standards!$B$2:$B$296,0)))</f>
        <v>39417</v>
      </c>
      <c r="S54" t="str">
        <f t="shared" si="2"/>
        <v>#2f89d1</v>
      </c>
    </row>
    <row r="55" spans="1:19" x14ac:dyDescent="0.5">
      <c r="A55">
        <v>87</v>
      </c>
      <c r="B55" t="s">
        <v>68</v>
      </c>
      <c r="C55" t="s">
        <v>134</v>
      </c>
      <c r="D55">
        <f>INDEX(Standards!$A$2:$A$296,MATCH(B55,Standards!$B$2:$B$296,0))</f>
        <v>7</v>
      </c>
      <c r="E55">
        <f>INDEX(Standards!$A$2:$A$296,MATCH(C55,Standards!$B$2:$B$296,0))</f>
        <v>46</v>
      </c>
      <c r="F55" t="str">
        <f>INDEX(Standards!$N$2:$N$296,MATCH(B55,Standards!$B$2:$B$296,0))</f>
        <v>#70AD47</v>
      </c>
      <c r="G55" t="str">
        <f>INDEX(Standards!$N$2:$N$296,MATCH(C55,Standards!$B$2:$B$296,0))</f>
        <v>#7030A0</v>
      </c>
      <c r="H55" t="s">
        <v>521</v>
      </c>
      <c r="I55" t="s">
        <v>525</v>
      </c>
      <c r="J55" t="str">
        <f>INDEX(Standards!$H$2:$H$296,MATCH(B55,Standards!$B$2:$B$296,0))</f>
        <v>BIM</v>
      </c>
      <c r="K55" t="str">
        <f>INDEX(Standards!$H$2:$H$296,MATCH(C55,Standards!$B$2:$B$296,0))</f>
        <v>ICT</v>
      </c>
      <c r="L55" t="b">
        <f>AND(TableRelationships[[#This Row],[Source Type]]="BIM",TableRelationships[[#This Row],[Target Type]]="BIM")</f>
        <v>0</v>
      </c>
      <c r="M55">
        <f t="shared" si="0"/>
        <v>1</v>
      </c>
      <c r="N55" t="s">
        <v>526</v>
      </c>
      <c r="O55">
        <f t="shared" si="1"/>
        <v>2</v>
      </c>
      <c r="P55" t="str">
        <f>IF(TableRelationships[[#This Row],[Rank Pedro]]="Low","linkCategory1",IF(TableRelationships[[#This Row],[Rank Pedro]]="Medium","linkCategory2",IF(TableRelationships[[#This Row],[Rank Pedro]]="High","linkCategory3","")))</f>
        <v>linkCategory1</v>
      </c>
      <c r="Q55" t="str">
        <f>IF(TableRelationships[[#This Row],[Rank Pedro]]="Low","Pink",IF(TableRelationships[[#This Row],[Rank Pedro]]="Medium","Purple",IF(TableRelationships[[#This Row],[Rank Pedro]]="High","Brown","")))</f>
        <v>Pink</v>
      </c>
      <c r="R55" s="4">
        <f>MAX(INDEX(Standards!$F$2:$F$296,MATCH(B55,Standards!$B$2:$B$296,0)),INDEX(Standards!$F$2:$F$296,MATCH(C55,Standards!$B$2:$B$296,0)))</f>
        <v>37165</v>
      </c>
      <c r="S55" t="str">
        <f t="shared" si="2"/>
        <v>#2f89d1</v>
      </c>
    </row>
    <row r="56" spans="1:19" x14ac:dyDescent="0.5">
      <c r="A56">
        <v>89</v>
      </c>
      <c r="B56" t="s">
        <v>68</v>
      </c>
      <c r="C56" t="s">
        <v>63</v>
      </c>
      <c r="D56">
        <f>INDEX(Standards!$A$2:$A$296,MATCH(B56,Standards!$B$2:$B$296,0))</f>
        <v>7</v>
      </c>
      <c r="E56">
        <f>INDEX(Standards!$A$2:$A$296,MATCH(C56,Standards!$B$2:$B$296,0))</f>
        <v>6</v>
      </c>
      <c r="F56" t="str">
        <f>INDEX(Standards!$N$2:$N$296,MATCH(B56,Standards!$B$2:$B$296,0))</f>
        <v>#70AD47</v>
      </c>
      <c r="G56" t="str">
        <f>INDEX(Standards!$N$2:$N$296,MATCH(C56,Standards!$B$2:$B$296,0))</f>
        <v>#70AD47</v>
      </c>
      <c r="H56" t="s">
        <v>521</v>
      </c>
      <c r="I56" t="s">
        <v>525</v>
      </c>
      <c r="J56" t="str">
        <f>INDEX(Standards!$H$2:$H$296,MATCH(B56,Standards!$B$2:$B$296,0))</f>
        <v>BIM</v>
      </c>
      <c r="K56" t="str">
        <f>INDEX(Standards!$H$2:$H$296,MATCH(C56,Standards!$B$2:$B$296,0))</f>
        <v>BIM</v>
      </c>
      <c r="L56" t="b">
        <f>AND(TableRelationships[[#This Row],[Source Type]]="BIM",TableRelationships[[#This Row],[Target Type]]="BIM")</f>
        <v>1</v>
      </c>
      <c r="M56">
        <f t="shared" si="0"/>
        <v>1</v>
      </c>
      <c r="N56" t="s">
        <v>526</v>
      </c>
      <c r="O56">
        <f t="shared" si="1"/>
        <v>2</v>
      </c>
      <c r="P56" t="str">
        <f>IF(TableRelationships[[#This Row],[Rank Pedro]]="Low","linkCategory1",IF(TableRelationships[[#This Row],[Rank Pedro]]="Medium","linkCategory2",IF(TableRelationships[[#This Row],[Rank Pedro]]="High","linkCategory3","")))</f>
        <v>linkCategory1</v>
      </c>
      <c r="Q56" t="str">
        <f>IF(TableRelationships[[#This Row],[Rank Pedro]]="Low","Pink",IF(TableRelationships[[#This Row],[Rank Pedro]]="Medium","Purple",IF(TableRelationships[[#This Row],[Rank Pedro]]="High","Brown","")))</f>
        <v>Pink</v>
      </c>
      <c r="R56" s="4">
        <f>MAX(INDEX(Standards!$F$2:$F$296,MATCH(B56,Standards!$B$2:$B$296,0)),INDEX(Standards!$F$2:$F$296,MATCH(C56,Standards!$B$2:$B$296,0)))</f>
        <v>37196</v>
      </c>
      <c r="S56" t="str">
        <f t="shared" si="2"/>
        <v>#2f89d1</v>
      </c>
    </row>
    <row r="57" spans="1:19" x14ac:dyDescent="0.5">
      <c r="A57">
        <v>90</v>
      </c>
      <c r="B57" t="s">
        <v>68</v>
      </c>
      <c r="C57" t="s">
        <v>138</v>
      </c>
      <c r="D57">
        <f>INDEX(Standards!$A$2:$A$296,MATCH(B57,Standards!$B$2:$B$296,0))</f>
        <v>7</v>
      </c>
      <c r="E57">
        <f>INDEX(Standards!$A$2:$A$296,MATCH(C57,Standards!$B$2:$B$296,0))</f>
        <v>48</v>
      </c>
      <c r="F57" t="str">
        <f>INDEX(Standards!$N$2:$N$296,MATCH(B57,Standards!$B$2:$B$296,0))</f>
        <v>#70AD47</v>
      </c>
      <c r="G57" t="str">
        <f>INDEX(Standards!$N$2:$N$296,MATCH(C57,Standards!$B$2:$B$296,0))</f>
        <v>#7030A0</v>
      </c>
      <c r="H57" t="s">
        <v>521</v>
      </c>
      <c r="I57" t="s">
        <v>525</v>
      </c>
      <c r="J57" t="str">
        <f>INDEX(Standards!$H$2:$H$296,MATCH(B57,Standards!$B$2:$B$296,0))</f>
        <v>BIM</v>
      </c>
      <c r="K57" t="str">
        <f>INDEX(Standards!$H$2:$H$296,MATCH(C57,Standards!$B$2:$B$296,0))</f>
        <v>ICT</v>
      </c>
      <c r="L57" t="b">
        <f>AND(TableRelationships[[#This Row],[Source Type]]="BIM",TableRelationships[[#This Row],[Target Type]]="BIM")</f>
        <v>0</v>
      </c>
      <c r="M57">
        <f t="shared" si="0"/>
        <v>1</v>
      </c>
      <c r="N57" t="s">
        <v>528</v>
      </c>
      <c r="O57">
        <f t="shared" si="1"/>
        <v>6</v>
      </c>
      <c r="P57" t="str">
        <f>IF(TableRelationships[[#This Row],[Rank Pedro]]="Low","linkCategory1",IF(TableRelationships[[#This Row],[Rank Pedro]]="Medium","linkCategory2",IF(TableRelationships[[#This Row],[Rank Pedro]]="High","linkCategory3","")))</f>
        <v>linkCategory2</v>
      </c>
      <c r="Q57" t="str">
        <f>IF(TableRelationships[[#This Row],[Rank Pedro]]="Low","Pink",IF(TableRelationships[[#This Row],[Rank Pedro]]="Medium","Purple",IF(TableRelationships[[#This Row],[Rank Pedro]]="High","Brown","")))</f>
        <v>Purple</v>
      </c>
      <c r="R57" s="4">
        <f>MAX(INDEX(Standards!$F$2:$F$296,MATCH(B57,Standards!$B$2:$B$296,0)),INDEX(Standards!$F$2:$F$296,MATCH(C57,Standards!$B$2:$B$296,0)))</f>
        <v>37622</v>
      </c>
      <c r="S57" t="str">
        <f t="shared" si="2"/>
        <v>#2f89d1</v>
      </c>
    </row>
    <row r="58" spans="1:19" x14ac:dyDescent="0.5">
      <c r="A58">
        <v>83</v>
      </c>
      <c r="B58" t="s">
        <v>68</v>
      </c>
      <c r="C58" t="s">
        <v>144</v>
      </c>
      <c r="D58">
        <f>INDEX(Standards!$A$2:$A$296,MATCH(B58,Standards!$B$2:$B$296,0))</f>
        <v>7</v>
      </c>
      <c r="E58">
        <f>INDEX(Standards!$A$2:$A$296,MATCH(C58,Standards!$B$2:$B$296,0))</f>
        <v>8</v>
      </c>
      <c r="F58" t="str">
        <f>INDEX(Standards!$N$2:$N$296,MATCH(B58,Standards!$B$2:$B$296,0))</f>
        <v>#70AD47</v>
      </c>
      <c r="G58" t="str">
        <f>INDEX(Standards!$N$2:$N$296,MATCH(C58,Standards!$B$2:$B$296,0))</f>
        <v>#70AD47</v>
      </c>
      <c r="H58" t="s">
        <v>521</v>
      </c>
      <c r="I58" t="s">
        <v>525</v>
      </c>
      <c r="J58" t="str">
        <f>INDEX(Standards!$H$2:$H$296,MATCH(B58,Standards!$B$2:$B$296,0))</f>
        <v>BIM</v>
      </c>
      <c r="K58" t="str">
        <f>INDEX(Standards!$H$2:$H$296,MATCH(C58,Standards!$B$2:$B$296,0))</f>
        <v>BIM</v>
      </c>
      <c r="L58" t="b">
        <f>AND(TableRelationships[[#This Row],[Source Type]]="BIM",TableRelationships[[#This Row],[Target Type]]="BIM")</f>
        <v>1</v>
      </c>
      <c r="M58">
        <f t="shared" si="0"/>
        <v>1</v>
      </c>
      <c r="N58" t="s">
        <v>526</v>
      </c>
      <c r="O58">
        <f t="shared" si="1"/>
        <v>2</v>
      </c>
      <c r="P58" t="str">
        <f>IF(TableRelationships[[#This Row],[Rank Pedro]]="Low","linkCategory1",IF(TableRelationships[[#This Row],[Rank Pedro]]="Medium","linkCategory2",IF(TableRelationships[[#This Row],[Rank Pedro]]="High","linkCategory3","")))</f>
        <v>linkCategory1</v>
      </c>
      <c r="Q58" t="str">
        <f>IF(TableRelationships[[#This Row],[Rank Pedro]]="Low","Pink",IF(TableRelationships[[#This Row],[Rank Pedro]]="Medium","Purple",IF(TableRelationships[[#This Row],[Rank Pedro]]="High","Brown","")))</f>
        <v>Pink</v>
      </c>
      <c r="R58" s="4">
        <f>MAX(INDEX(Standards!$F$2:$F$296,MATCH(B58,Standards!$B$2:$B$296,0)),INDEX(Standards!$F$2:$F$296,MATCH(C58,Standards!$B$2:$B$296,0)))</f>
        <v>38626</v>
      </c>
      <c r="S58" t="str">
        <f t="shared" si="2"/>
        <v>#2f89d1</v>
      </c>
    </row>
    <row r="59" spans="1:19" x14ac:dyDescent="0.5">
      <c r="A59">
        <v>85</v>
      </c>
      <c r="B59" t="s">
        <v>68</v>
      </c>
      <c r="C59" t="s">
        <v>388</v>
      </c>
      <c r="D59">
        <f>INDEX(Standards!$A$2:$A$296,MATCH(B59,Standards!$B$2:$B$296,0))</f>
        <v>7</v>
      </c>
      <c r="E59">
        <f>INDEX(Standards!$A$2:$A$296,MATCH(C59,Standards!$B$2:$B$296,0))</f>
        <v>63</v>
      </c>
      <c r="F59" t="str">
        <f>INDEX(Standards!$N$2:$N$296,MATCH(B59,Standards!$B$2:$B$296,0))</f>
        <v>#70AD47</v>
      </c>
      <c r="G59" t="str">
        <f>INDEX(Standards!$N$2:$N$296,MATCH(C59,Standards!$B$2:$B$296,0))</f>
        <v>#70AD47</v>
      </c>
      <c r="H59" t="s">
        <v>521</v>
      </c>
      <c r="I59" t="s">
        <v>525</v>
      </c>
      <c r="J59" t="str">
        <f>INDEX(Standards!$H$2:$H$296,MATCH(B59,Standards!$B$2:$B$296,0))</f>
        <v>BIM</v>
      </c>
      <c r="K59" t="str">
        <f>INDEX(Standards!$H$2:$H$296,MATCH(C59,Standards!$B$2:$B$296,0))</f>
        <v>BIM</v>
      </c>
      <c r="L59" t="b">
        <f>AND(TableRelationships[[#This Row],[Source Type]]="BIM",TableRelationships[[#This Row],[Target Type]]="BIM")</f>
        <v>1</v>
      </c>
      <c r="M59">
        <f t="shared" si="0"/>
        <v>1</v>
      </c>
      <c r="N59" t="s">
        <v>528</v>
      </c>
      <c r="O59">
        <f t="shared" si="1"/>
        <v>6</v>
      </c>
      <c r="P59" t="str">
        <f>IF(TableRelationships[[#This Row],[Rank Pedro]]="Low","linkCategory1",IF(TableRelationships[[#This Row],[Rank Pedro]]="Medium","linkCategory2",IF(TableRelationships[[#This Row],[Rank Pedro]]="High","linkCategory3","")))</f>
        <v>linkCategory2</v>
      </c>
      <c r="Q59" t="str">
        <f>IF(TableRelationships[[#This Row],[Rank Pedro]]="Low","Pink",IF(TableRelationships[[#This Row],[Rank Pedro]]="Medium","Purple",IF(TableRelationships[[#This Row],[Rank Pedro]]="High","Brown","")))</f>
        <v>Purple</v>
      </c>
      <c r="R59" s="4">
        <f>MAX(INDEX(Standards!$F$2:$F$296,MATCH(B59,Standards!$B$2:$B$296,0)),INDEX(Standards!$F$2:$F$296,MATCH(C59,Standards!$B$2:$B$296,0)))</f>
        <v>43915</v>
      </c>
      <c r="S59" t="str">
        <f t="shared" si="2"/>
        <v>#2f89d1</v>
      </c>
    </row>
    <row r="60" spans="1:19" x14ac:dyDescent="0.5">
      <c r="A60">
        <v>84</v>
      </c>
      <c r="B60" t="s">
        <v>68</v>
      </c>
      <c r="C60" t="s">
        <v>404</v>
      </c>
      <c r="D60">
        <f>INDEX(Standards!$A$2:$A$296,MATCH(B60,Standards!$B$2:$B$296,0))</f>
        <v>7</v>
      </c>
      <c r="E60">
        <f>INDEX(Standards!$A$2:$A$296,MATCH(C60,Standards!$B$2:$B$296,0))</f>
        <v>64</v>
      </c>
      <c r="F60" t="str">
        <f>INDEX(Standards!$N$2:$N$296,MATCH(B60,Standards!$B$2:$B$296,0))</f>
        <v>#70AD47</v>
      </c>
      <c r="G60" t="str">
        <f>INDEX(Standards!$N$2:$N$296,MATCH(C60,Standards!$B$2:$B$296,0))</f>
        <v>#70AD47</v>
      </c>
      <c r="H60" t="s">
        <v>521</v>
      </c>
      <c r="I60" t="s">
        <v>525</v>
      </c>
      <c r="J60" t="str">
        <f>INDEX(Standards!$H$2:$H$296,MATCH(B60,Standards!$B$2:$B$296,0))</f>
        <v>BIM</v>
      </c>
      <c r="K60" t="str">
        <f>INDEX(Standards!$H$2:$H$296,MATCH(C60,Standards!$B$2:$B$296,0))</f>
        <v>BIM</v>
      </c>
      <c r="L60" t="b">
        <f>AND(TableRelationships[[#This Row],[Source Type]]="BIM",TableRelationships[[#This Row],[Target Type]]="BIM")</f>
        <v>1</v>
      </c>
      <c r="M60">
        <f t="shared" si="0"/>
        <v>1</v>
      </c>
      <c r="N60" t="s">
        <v>528</v>
      </c>
      <c r="O60">
        <f t="shared" si="1"/>
        <v>6</v>
      </c>
      <c r="P60" t="str">
        <f>IF(TableRelationships[[#This Row],[Rank Pedro]]="Low","linkCategory1",IF(TableRelationships[[#This Row],[Rank Pedro]]="Medium","linkCategory2",IF(TableRelationships[[#This Row],[Rank Pedro]]="High","linkCategory3","")))</f>
        <v>linkCategory2</v>
      </c>
      <c r="Q60" t="str">
        <f>IF(TableRelationships[[#This Row],[Rank Pedro]]="Low","Pink",IF(TableRelationships[[#This Row],[Rank Pedro]]="Medium","Purple",IF(TableRelationships[[#This Row],[Rank Pedro]]="High","Brown","")))</f>
        <v>Purple</v>
      </c>
      <c r="R60" s="4">
        <f>MAX(INDEX(Standards!$F$2:$F$296,MATCH(B60,Standards!$B$2:$B$296,0)),INDEX(Standards!$F$2:$F$296,MATCH(C60,Standards!$B$2:$B$296,0)))</f>
        <v>44034</v>
      </c>
      <c r="S60" t="str">
        <f t="shared" si="2"/>
        <v>#2f89d1</v>
      </c>
    </row>
    <row r="61" spans="1:19" x14ac:dyDescent="0.5">
      <c r="A61">
        <v>86</v>
      </c>
      <c r="B61" t="s">
        <v>68</v>
      </c>
      <c r="C61" t="s">
        <v>132</v>
      </c>
      <c r="D61">
        <f>INDEX(Standards!$A$2:$A$296,MATCH(B61,Standards!$B$2:$B$296,0))</f>
        <v>7</v>
      </c>
      <c r="E61">
        <f>INDEX(Standards!$A$2:$A$296,MATCH(C61,Standards!$B$2:$B$296,0))</f>
        <v>45</v>
      </c>
      <c r="F61" t="str">
        <f>INDEX(Standards!$N$2:$N$296,MATCH(B61,Standards!$B$2:$B$296,0))</f>
        <v>#70AD47</v>
      </c>
      <c r="G61" t="str">
        <f>INDEX(Standards!$N$2:$N$296,MATCH(C61,Standards!$B$2:$B$296,0))</f>
        <v>#595959</v>
      </c>
      <c r="H61" t="s">
        <v>521</v>
      </c>
      <c r="I61" t="s">
        <v>525</v>
      </c>
      <c r="J61" t="str">
        <f>INDEX(Standards!$H$2:$H$296,MATCH(B61,Standards!$B$2:$B$296,0))</f>
        <v>BIM</v>
      </c>
      <c r="K61" t="str">
        <f>INDEX(Standards!$H$2:$H$296,MATCH(C61,Standards!$B$2:$B$296,0))</f>
        <v>Other</v>
      </c>
      <c r="L61" t="b">
        <f>AND(TableRelationships[[#This Row],[Source Type]]="BIM",TableRelationships[[#This Row],[Target Type]]="BIM")</f>
        <v>0</v>
      </c>
      <c r="M61">
        <f t="shared" si="0"/>
        <v>1</v>
      </c>
      <c r="N61" t="s">
        <v>526</v>
      </c>
      <c r="O61">
        <f t="shared" si="1"/>
        <v>2</v>
      </c>
      <c r="P61" t="str">
        <f>IF(TableRelationships[[#This Row],[Rank Pedro]]="Low","linkCategory1",IF(TableRelationships[[#This Row],[Rank Pedro]]="Medium","linkCategory2",IF(TableRelationships[[#This Row],[Rank Pedro]]="High","linkCategory3","")))</f>
        <v>linkCategory1</v>
      </c>
      <c r="Q61" t="str">
        <f>IF(TableRelationships[[#This Row],[Rank Pedro]]="Low","Pink",IF(TableRelationships[[#This Row],[Rank Pedro]]="Medium","Purple",IF(TableRelationships[[#This Row],[Rank Pedro]]="High","Brown","")))</f>
        <v>Pink</v>
      </c>
      <c r="R61" s="4">
        <f>MAX(INDEX(Standards!$F$2:$F$296,MATCH(B61,Standards!$B$2:$B$296,0)),INDEX(Standards!$F$2:$F$296,MATCH(C61,Standards!$B$2:$B$296,0)))</f>
        <v>37165</v>
      </c>
      <c r="S61" t="str">
        <f t="shared" si="2"/>
        <v>#2f89d1</v>
      </c>
    </row>
    <row r="62" spans="1:19" x14ac:dyDescent="0.5">
      <c r="A62">
        <v>80</v>
      </c>
      <c r="B62" t="s">
        <v>68</v>
      </c>
      <c r="C62" t="s">
        <v>182</v>
      </c>
      <c r="D62">
        <f>INDEX(Standards!$A$2:$A$296,MATCH(B62,Standards!$B$2:$B$296,0))</f>
        <v>7</v>
      </c>
      <c r="E62">
        <f>INDEX(Standards!$A$2:$A$296,MATCH(C62,Standards!$B$2:$B$296,0))</f>
        <v>67</v>
      </c>
      <c r="F62" t="str">
        <f>INDEX(Standards!$N$2:$N$296,MATCH(B62,Standards!$B$2:$B$296,0))</f>
        <v>#70AD47</v>
      </c>
      <c r="G62" t="str">
        <f>INDEX(Standards!$N$2:$N$296,MATCH(C62,Standards!$B$2:$B$296,0))</f>
        <v>#595959</v>
      </c>
      <c r="H62" t="s">
        <v>521</v>
      </c>
      <c r="I62" t="s">
        <v>524</v>
      </c>
      <c r="J62" t="str">
        <f>INDEX(Standards!$H$2:$H$296,MATCH(B62,Standards!$B$2:$B$296,0))</f>
        <v>BIM</v>
      </c>
      <c r="K62" t="str">
        <f>INDEX(Standards!$H$2:$H$296,MATCH(C62,Standards!$B$2:$B$296,0))</f>
        <v>Other</v>
      </c>
      <c r="L62" t="b">
        <f>AND(TableRelationships[[#This Row],[Source Type]]="BIM",TableRelationships[[#This Row],[Target Type]]="BIM")</f>
        <v>0</v>
      </c>
      <c r="M62">
        <f t="shared" si="0"/>
        <v>6</v>
      </c>
      <c r="N62" t="s">
        <v>526</v>
      </c>
      <c r="O62">
        <f t="shared" si="1"/>
        <v>2</v>
      </c>
      <c r="P62" t="str">
        <f>IF(TableRelationships[[#This Row],[Rank Pedro]]="Low","linkCategory1",IF(TableRelationships[[#This Row],[Rank Pedro]]="Medium","linkCategory2",IF(TableRelationships[[#This Row],[Rank Pedro]]="High","linkCategory3","")))</f>
        <v>linkCategory1</v>
      </c>
      <c r="Q62" t="str">
        <f>IF(TableRelationships[[#This Row],[Rank Pedro]]="Low","Pink",IF(TableRelationships[[#This Row],[Rank Pedro]]="Medium","Purple",IF(TableRelationships[[#This Row],[Rank Pedro]]="High","Brown","")))</f>
        <v>Pink</v>
      </c>
      <c r="R62" s="4">
        <f>MAX(INDEX(Standards!$F$2:$F$296,MATCH(B62,Standards!$B$2:$B$296,0)),INDEX(Standards!$F$2:$F$296,MATCH(C62,Standards!$B$2:$B$296,0)))</f>
        <v>37165</v>
      </c>
      <c r="S62" t="str">
        <f t="shared" si="2"/>
        <v>#d6bf2a</v>
      </c>
    </row>
    <row r="63" spans="1:19" x14ac:dyDescent="0.5">
      <c r="A63">
        <v>78</v>
      </c>
      <c r="B63" t="s">
        <v>68</v>
      </c>
      <c r="C63" t="s">
        <v>130</v>
      </c>
      <c r="D63">
        <f>INDEX(Standards!$A$2:$A$296,MATCH(B63,Standards!$B$2:$B$296,0))</f>
        <v>7</v>
      </c>
      <c r="E63">
        <f>INDEX(Standards!$A$2:$A$296,MATCH(C63,Standards!$B$2:$B$296,0))</f>
        <v>44</v>
      </c>
      <c r="F63" t="str">
        <f>INDEX(Standards!$N$2:$N$296,MATCH(B63,Standards!$B$2:$B$296,0))</f>
        <v>#70AD47</v>
      </c>
      <c r="G63" t="str">
        <f>INDEX(Standards!$N$2:$N$296,MATCH(C63,Standards!$B$2:$B$296,0))</f>
        <v>#7030A0</v>
      </c>
      <c r="H63" t="s">
        <v>521</v>
      </c>
      <c r="I63" t="s">
        <v>524</v>
      </c>
      <c r="J63" t="str">
        <f>INDEX(Standards!$H$2:$H$296,MATCH(B63,Standards!$B$2:$B$296,0))</f>
        <v>BIM</v>
      </c>
      <c r="K63" t="str">
        <f>INDEX(Standards!$H$2:$H$296,MATCH(C63,Standards!$B$2:$B$296,0))</f>
        <v>ICT</v>
      </c>
      <c r="L63" t="b">
        <f>AND(TableRelationships[[#This Row],[Source Type]]="BIM",TableRelationships[[#This Row],[Target Type]]="BIM")</f>
        <v>0</v>
      </c>
      <c r="M63">
        <f t="shared" si="0"/>
        <v>6</v>
      </c>
      <c r="N63" t="s">
        <v>526</v>
      </c>
      <c r="O63">
        <f t="shared" si="1"/>
        <v>2</v>
      </c>
      <c r="P63" t="str">
        <f>IF(TableRelationships[[#This Row],[Rank Pedro]]="Low","linkCategory1",IF(TableRelationships[[#This Row],[Rank Pedro]]="Medium","linkCategory2",IF(TableRelationships[[#This Row],[Rank Pedro]]="High","linkCategory3","")))</f>
        <v>linkCategory1</v>
      </c>
      <c r="Q63" t="str">
        <f>IF(TableRelationships[[#This Row],[Rank Pedro]]="Low","Pink",IF(TableRelationships[[#This Row],[Rank Pedro]]="Medium","Purple",IF(TableRelationships[[#This Row],[Rank Pedro]]="High","Brown","")))</f>
        <v>Pink</v>
      </c>
      <c r="R63" s="4">
        <f>MAX(INDEX(Standards!$F$2:$F$296,MATCH(B63,Standards!$B$2:$B$296,0)),INDEX(Standards!$F$2:$F$296,MATCH(C63,Standards!$B$2:$B$296,0)))</f>
        <v>37622</v>
      </c>
      <c r="S63" t="str">
        <f t="shared" si="2"/>
        <v>#d6bf2a</v>
      </c>
    </row>
    <row r="64" spans="1:19" x14ac:dyDescent="0.5">
      <c r="A64">
        <v>81</v>
      </c>
      <c r="B64" t="s">
        <v>68</v>
      </c>
      <c r="C64" t="s">
        <v>362</v>
      </c>
      <c r="D64">
        <f>INDEX(Standards!$A$2:$A$296,MATCH(B64,Standards!$B$2:$B$296,0))</f>
        <v>7</v>
      </c>
      <c r="E64">
        <f>INDEX(Standards!$A$2:$A$296,MATCH(C64,Standards!$B$2:$B$296,0))</f>
        <v>153</v>
      </c>
      <c r="F64" t="str">
        <f>INDEX(Standards!$N$2:$N$296,MATCH(B64,Standards!$B$2:$B$296,0))</f>
        <v>#70AD47</v>
      </c>
      <c r="G64" t="str">
        <f>INDEX(Standards!$N$2:$N$296,MATCH(C64,Standards!$B$2:$B$296,0))</f>
        <v>#7030A0</v>
      </c>
      <c r="H64" t="s">
        <v>521</v>
      </c>
      <c r="I64" t="s">
        <v>524</v>
      </c>
      <c r="J64" t="str">
        <f>INDEX(Standards!$H$2:$H$296,MATCH(B64,Standards!$B$2:$B$296,0))</f>
        <v>BIM</v>
      </c>
      <c r="K64" t="str">
        <f>INDEX(Standards!$H$2:$H$296,MATCH(C64,Standards!$B$2:$B$296,0))</f>
        <v>ICT</v>
      </c>
      <c r="L64" t="b">
        <f>AND(TableRelationships[[#This Row],[Source Type]]="BIM",TableRelationships[[#This Row],[Target Type]]="BIM")</f>
        <v>0</v>
      </c>
      <c r="M64">
        <f t="shared" si="0"/>
        <v>6</v>
      </c>
      <c r="N64" t="s">
        <v>528</v>
      </c>
      <c r="O64">
        <f t="shared" si="1"/>
        <v>6</v>
      </c>
      <c r="P64" t="str">
        <f>IF(TableRelationships[[#This Row],[Rank Pedro]]="Low","linkCategory1",IF(TableRelationships[[#This Row],[Rank Pedro]]="Medium","linkCategory2",IF(TableRelationships[[#This Row],[Rank Pedro]]="High","linkCategory3","")))</f>
        <v>linkCategory2</v>
      </c>
      <c r="Q64" t="str">
        <f>IF(TableRelationships[[#This Row],[Rank Pedro]]="Low","Pink",IF(TableRelationships[[#This Row],[Rank Pedro]]="Medium","Purple",IF(TableRelationships[[#This Row],[Rank Pedro]]="High","Brown","")))</f>
        <v>Purple</v>
      </c>
      <c r="R64" s="4">
        <f>MAX(INDEX(Standards!$F$2:$F$296,MATCH(B64,Standards!$B$2:$B$296,0)),INDEX(Standards!$F$2:$F$296,MATCH(C64,Standards!$B$2:$B$296,0)))</f>
        <v>42705</v>
      </c>
      <c r="S64" t="str">
        <f t="shared" si="2"/>
        <v>#d6bf2a</v>
      </c>
    </row>
    <row r="65" spans="1:19" x14ac:dyDescent="0.5">
      <c r="A65">
        <v>82</v>
      </c>
      <c r="B65" t="s">
        <v>68</v>
      </c>
      <c r="C65" t="s">
        <v>364</v>
      </c>
      <c r="D65">
        <f>INDEX(Standards!$A$2:$A$296,MATCH(B65,Standards!$B$2:$B$296,0))</f>
        <v>7</v>
      </c>
      <c r="E65">
        <f>INDEX(Standards!$A$2:$A$296,MATCH(C65,Standards!$B$2:$B$296,0))</f>
        <v>154</v>
      </c>
      <c r="F65" t="str">
        <f>INDEX(Standards!$N$2:$N$296,MATCH(B65,Standards!$B$2:$B$296,0))</f>
        <v>#70AD47</v>
      </c>
      <c r="G65" t="str">
        <f>INDEX(Standards!$N$2:$N$296,MATCH(C65,Standards!$B$2:$B$296,0))</f>
        <v>#7030A0</v>
      </c>
      <c r="H65" t="s">
        <v>521</v>
      </c>
      <c r="I65" t="s">
        <v>524</v>
      </c>
      <c r="J65" t="str">
        <f>INDEX(Standards!$H$2:$H$296,MATCH(B65,Standards!$B$2:$B$296,0))</f>
        <v>BIM</v>
      </c>
      <c r="K65" t="str">
        <f>INDEX(Standards!$H$2:$H$296,MATCH(C65,Standards!$B$2:$B$296,0))</f>
        <v>ICT</v>
      </c>
      <c r="L65" t="b">
        <f>AND(TableRelationships[[#This Row],[Source Type]]="BIM",TableRelationships[[#This Row],[Target Type]]="BIM")</f>
        <v>0</v>
      </c>
      <c r="M65">
        <f t="shared" si="0"/>
        <v>6</v>
      </c>
      <c r="N65" t="s">
        <v>528</v>
      </c>
      <c r="O65">
        <f t="shared" si="1"/>
        <v>6</v>
      </c>
      <c r="P65" t="str">
        <f>IF(TableRelationships[[#This Row],[Rank Pedro]]="Low","linkCategory1",IF(TableRelationships[[#This Row],[Rank Pedro]]="Medium","linkCategory2",IF(TableRelationships[[#This Row],[Rank Pedro]]="High","linkCategory3","")))</f>
        <v>linkCategory2</v>
      </c>
      <c r="Q65" t="str">
        <f>IF(TableRelationships[[#This Row],[Rank Pedro]]="Low","Pink",IF(TableRelationships[[#This Row],[Rank Pedro]]="Medium","Purple",IF(TableRelationships[[#This Row],[Rank Pedro]]="High","Brown","")))</f>
        <v>Purple</v>
      </c>
      <c r="R65" s="4">
        <f>MAX(INDEX(Standards!$F$2:$F$296,MATCH(B65,Standards!$B$2:$B$296,0)),INDEX(Standards!$F$2:$F$296,MATCH(C65,Standards!$B$2:$B$296,0)))</f>
        <v>42705</v>
      </c>
      <c r="S65" t="str">
        <f t="shared" si="2"/>
        <v>#d6bf2a</v>
      </c>
    </row>
    <row r="66" spans="1:19" x14ac:dyDescent="0.5">
      <c r="A66">
        <v>79</v>
      </c>
      <c r="B66" t="s">
        <v>68</v>
      </c>
      <c r="C66" t="s">
        <v>366</v>
      </c>
      <c r="D66">
        <f>INDEX(Standards!$A$2:$A$296,MATCH(B66,Standards!$B$2:$B$296,0))</f>
        <v>7</v>
      </c>
      <c r="E66">
        <f>INDEX(Standards!$A$2:$A$296,MATCH(C66,Standards!$B$2:$B$296,0))</f>
        <v>155</v>
      </c>
      <c r="F66" t="str">
        <f>INDEX(Standards!$N$2:$N$296,MATCH(B66,Standards!$B$2:$B$296,0))</f>
        <v>#70AD47</v>
      </c>
      <c r="G66" t="str">
        <f>INDEX(Standards!$N$2:$N$296,MATCH(C66,Standards!$B$2:$B$296,0))</f>
        <v>#7030A0</v>
      </c>
      <c r="H66" t="s">
        <v>521</v>
      </c>
      <c r="I66" t="s">
        <v>524</v>
      </c>
      <c r="J66" t="str">
        <f>INDEX(Standards!$H$2:$H$296,MATCH(B66,Standards!$B$2:$B$296,0))</f>
        <v>BIM</v>
      </c>
      <c r="K66" t="str">
        <f>INDEX(Standards!$H$2:$H$296,MATCH(C66,Standards!$B$2:$B$296,0))</f>
        <v>ICT</v>
      </c>
      <c r="L66" t="b">
        <f>AND(TableRelationships[[#This Row],[Source Type]]="BIM",TableRelationships[[#This Row],[Target Type]]="BIM")</f>
        <v>0</v>
      </c>
      <c r="M66">
        <f t="shared" ref="M66:M129" si="3">IF(I66="Normative",6,IF(I66="Secondary",4,IF(I66="Anchor",2,1)))</f>
        <v>6</v>
      </c>
      <c r="N66" t="s">
        <v>526</v>
      </c>
      <c r="O66">
        <f t="shared" ref="O66:O129" si="4">IF(N66="High",10,IF(N66="Medium",6,IF(N66="Low",2,1)))</f>
        <v>2</v>
      </c>
      <c r="P66" t="str">
        <f>IF(TableRelationships[[#This Row],[Rank Pedro]]="Low","linkCategory1",IF(TableRelationships[[#This Row],[Rank Pedro]]="Medium","linkCategory2",IF(TableRelationships[[#This Row],[Rank Pedro]]="High","linkCategory3","")))</f>
        <v>linkCategory1</v>
      </c>
      <c r="Q66" t="str">
        <f>IF(TableRelationships[[#This Row],[Rank Pedro]]="Low","Pink",IF(TableRelationships[[#This Row],[Rank Pedro]]="Medium","Purple",IF(TableRelationships[[#This Row],[Rank Pedro]]="High","Brown","")))</f>
        <v>Pink</v>
      </c>
      <c r="R66" s="4">
        <f>MAX(INDEX(Standards!$F$2:$F$296,MATCH(B66,Standards!$B$2:$B$296,0)),INDEX(Standards!$F$2:$F$296,MATCH(C66,Standards!$B$2:$B$296,0)))</f>
        <v>38534</v>
      </c>
      <c r="S66" t="str">
        <f t="shared" ref="S66:S129" si="5">IF(I66="Normative", "#d6bf2a", IF(I66="Informative", "#2f89d1", 1))</f>
        <v>#d6bf2a</v>
      </c>
    </row>
    <row r="67" spans="1:19" x14ac:dyDescent="0.5">
      <c r="A67">
        <v>189</v>
      </c>
      <c r="B67" t="s">
        <v>96</v>
      </c>
      <c r="C67" t="s">
        <v>236</v>
      </c>
      <c r="D67">
        <f>INDEX(Standards!$A$2:$A$296,MATCH(B67,Standards!$B$2:$B$296,0))</f>
        <v>27</v>
      </c>
      <c r="E67">
        <f>INDEX(Standards!$A$2:$A$296,MATCH(C67,Standards!$B$2:$B$296,0))</f>
        <v>91</v>
      </c>
      <c r="F67" t="str">
        <f>INDEX(Standards!$N$2:$N$296,MATCH(B67,Standards!$B$2:$B$296,0))</f>
        <v>#70AD47</v>
      </c>
      <c r="G67" t="str">
        <f>INDEX(Standards!$N$2:$N$296,MATCH(C67,Standards!$B$2:$B$296,0))</f>
        <v>#F2F2F2</v>
      </c>
      <c r="H67" t="s">
        <v>521</v>
      </c>
      <c r="I67" t="s">
        <v>237</v>
      </c>
      <c r="J67" t="str">
        <f>INDEX(Standards!$H$2:$H$296,MATCH(B67,Standards!$B$2:$B$296,0))</f>
        <v>BIM</v>
      </c>
      <c r="K67" t="str">
        <f>INDEX(Standards!$H$2:$H$296,MATCH(C67,Standards!$B$2:$B$296,0))</f>
        <v>Anchor</v>
      </c>
      <c r="L67" t="b">
        <f>AND(TableRelationships[[#This Row],[Source Type]]="BIM",TableRelationships[[#This Row],[Target Type]]="BIM")</f>
        <v>0</v>
      </c>
      <c r="M67">
        <f t="shared" si="3"/>
        <v>2</v>
      </c>
      <c r="O67">
        <f t="shared" si="4"/>
        <v>1</v>
      </c>
      <c r="P67" t="str">
        <f>IF(TableRelationships[[#This Row],[Rank Pedro]]="Low","linkCategory1",IF(TableRelationships[[#This Row],[Rank Pedro]]="Medium","linkCategory2",IF(TableRelationships[[#This Row],[Rank Pedro]]="High","linkCategory3","")))</f>
        <v/>
      </c>
      <c r="Q67" t="str">
        <f>IF(TableRelationships[[#This Row],[Rank Pedro]]="Low","Pink",IF(TableRelationships[[#This Row],[Rank Pedro]]="Medium","Purple",IF(TableRelationships[[#This Row],[Rank Pedro]]="High","Brown","")))</f>
        <v/>
      </c>
      <c r="R67" s="4">
        <f>MAX(INDEX(Standards!$F$2:$F$296,MATCH(B67,Standards!$B$2:$B$296,0)),INDEX(Standards!$F$2:$F$296,MATCH(C67,Standards!$B$2:$B$296,0)))</f>
        <v>40909</v>
      </c>
      <c r="S67">
        <f t="shared" si="5"/>
        <v>1</v>
      </c>
    </row>
    <row r="68" spans="1:19" x14ac:dyDescent="0.5">
      <c r="A68">
        <v>298</v>
      </c>
      <c r="B68" t="s">
        <v>96</v>
      </c>
      <c r="C68" t="s">
        <v>63</v>
      </c>
      <c r="D68">
        <f>INDEX(Standards!$A$2:$A$296,MATCH(B68,Standards!$B$2:$B$296,0))</f>
        <v>27</v>
      </c>
      <c r="E68">
        <f>INDEX(Standards!$A$2:$A$296,MATCH(C68,Standards!$B$2:$B$296,0))</f>
        <v>6</v>
      </c>
      <c r="F68" t="str">
        <f>INDEX(Standards!$N$2:$N$296,MATCH(B68,Standards!$B$2:$B$296,0))</f>
        <v>#70AD47</v>
      </c>
      <c r="G68" t="str">
        <f>INDEX(Standards!$N$2:$N$296,MATCH(C68,Standards!$B$2:$B$296,0))</f>
        <v>#70AD47</v>
      </c>
      <c r="H68" t="s">
        <v>521</v>
      </c>
      <c r="I68" t="s">
        <v>525</v>
      </c>
      <c r="J68" t="str">
        <f>INDEX(Standards!$H$2:$H$296,MATCH(B68,Standards!$B$2:$B$296,0))</f>
        <v>BIM</v>
      </c>
      <c r="K68" t="str">
        <f>INDEX(Standards!$H$2:$H$296,MATCH(C68,Standards!$B$2:$B$296,0))</f>
        <v>BIM</v>
      </c>
      <c r="L68" t="b">
        <f>AND(TableRelationships[[#This Row],[Source Type]]="BIM",TableRelationships[[#This Row],[Target Type]]="BIM")</f>
        <v>1</v>
      </c>
      <c r="M68">
        <f t="shared" si="3"/>
        <v>1</v>
      </c>
      <c r="N68" t="s">
        <v>528</v>
      </c>
      <c r="O68">
        <f t="shared" si="4"/>
        <v>6</v>
      </c>
      <c r="P68" t="str">
        <f>IF(TableRelationships[[#This Row],[Rank Pedro]]="Low","linkCategory1",IF(TableRelationships[[#This Row],[Rank Pedro]]="Medium","linkCategory2",IF(TableRelationships[[#This Row],[Rank Pedro]]="High","linkCategory3","")))</f>
        <v>linkCategory2</v>
      </c>
      <c r="Q68" t="str">
        <f>IF(TableRelationships[[#This Row],[Rank Pedro]]="Low","Pink",IF(TableRelationships[[#This Row],[Rank Pedro]]="Medium","Purple",IF(TableRelationships[[#This Row],[Rank Pedro]]="High","Brown","")))</f>
        <v>Purple</v>
      </c>
      <c r="R68" s="4">
        <f>MAX(INDEX(Standards!$F$2:$F$296,MATCH(B68,Standards!$B$2:$B$296,0)),INDEX(Standards!$F$2:$F$296,MATCH(C68,Standards!$B$2:$B$296,0)))</f>
        <v>40909</v>
      </c>
      <c r="S68" t="str">
        <f t="shared" si="5"/>
        <v>#2f89d1</v>
      </c>
    </row>
    <row r="69" spans="1:19" x14ac:dyDescent="0.5">
      <c r="A69">
        <v>299</v>
      </c>
      <c r="B69" t="s">
        <v>96</v>
      </c>
      <c r="C69" t="s">
        <v>68</v>
      </c>
      <c r="D69">
        <f>INDEX(Standards!$A$2:$A$296,MATCH(B69,Standards!$B$2:$B$296,0))</f>
        <v>27</v>
      </c>
      <c r="E69">
        <f>INDEX(Standards!$A$2:$A$296,MATCH(C69,Standards!$B$2:$B$296,0))</f>
        <v>7</v>
      </c>
      <c r="F69" t="str">
        <f>INDEX(Standards!$N$2:$N$296,MATCH(B69,Standards!$B$2:$B$296,0))</f>
        <v>#70AD47</v>
      </c>
      <c r="G69" t="str">
        <f>INDEX(Standards!$N$2:$N$296,MATCH(C69,Standards!$B$2:$B$296,0))</f>
        <v>#70AD47</v>
      </c>
      <c r="H69" t="s">
        <v>521</v>
      </c>
      <c r="I69" t="s">
        <v>525</v>
      </c>
      <c r="J69" t="str">
        <f>INDEX(Standards!$H$2:$H$296,MATCH(B69,Standards!$B$2:$B$296,0))</f>
        <v>BIM</v>
      </c>
      <c r="K69" t="str">
        <f>INDEX(Standards!$H$2:$H$296,MATCH(C69,Standards!$B$2:$B$296,0))</f>
        <v>BIM</v>
      </c>
      <c r="L69" t="b">
        <f>AND(TableRelationships[[#This Row],[Source Type]]="BIM",TableRelationships[[#This Row],[Target Type]]="BIM")</f>
        <v>1</v>
      </c>
      <c r="M69">
        <f t="shared" si="3"/>
        <v>1</v>
      </c>
      <c r="N69" t="s">
        <v>526</v>
      </c>
      <c r="O69">
        <f t="shared" si="4"/>
        <v>2</v>
      </c>
      <c r="P69" t="str">
        <f>IF(TableRelationships[[#This Row],[Rank Pedro]]="Low","linkCategory1",IF(TableRelationships[[#This Row],[Rank Pedro]]="Medium","linkCategory2",IF(TableRelationships[[#This Row],[Rank Pedro]]="High","linkCategory3","")))</f>
        <v>linkCategory1</v>
      </c>
      <c r="Q69" t="str">
        <f>IF(TableRelationships[[#This Row],[Rank Pedro]]="Low","Pink",IF(TableRelationships[[#This Row],[Rank Pedro]]="Medium","Purple",IF(TableRelationships[[#This Row],[Rank Pedro]]="High","Brown","")))</f>
        <v>Pink</v>
      </c>
      <c r="R69" s="4">
        <f>MAX(INDEX(Standards!$F$2:$F$296,MATCH(B69,Standards!$B$2:$B$296,0)),INDEX(Standards!$F$2:$F$296,MATCH(C69,Standards!$B$2:$B$296,0)))</f>
        <v>40909</v>
      </c>
      <c r="S69" t="str">
        <f t="shared" si="5"/>
        <v>#2f89d1</v>
      </c>
    </row>
    <row r="70" spans="1:19" x14ac:dyDescent="0.5">
      <c r="A70">
        <v>295</v>
      </c>
      <c r="B70" t="s">
        <v>96</v>
      </c>
      <c r="C70" t="s">
        <v>279</v>
      </c>
      <c r="D70">
        <f>INDEX(Standards!$A$2:$A$296,MATCH(B70,Standards!$B$2:$B$296,0))</f>
        <v>27</v>
      </c>
      <c r="E70">
        <f>INDEX(Standards!$A$2:$A$296,MATCH(C70,Standards!$B$2:$B$296,0))</f>
        <v>110</v>
      </c>
      <c r="F70" t="str">
        <f>INDEX(Standards!$N$2:$N$296,MATCH(B70,Standards!$B$2:$B$296,0))</f>
        <v>#70AD47</v>
      </c>
      <c r="G70" t="str">
        <f>INDEX(Standards!$N$2:$N$296,MATCH(C70,Standards!$B$2:$B$296,0))</f>
        <v>#44546A</v>
      </c>
      <c r="H70" t="s">
        <v>521</v>
      </c>
      <c r="I70" t="s">
        <v>525</v>
      </c>
      <c r="J70" t="str">
        <f>INDEX(Standards!$H$2:$H$296,MATCH(B70,Standards!$B$2:$B$296,0))</f>
        <v>BIM</v>
      </c>
      <c r="K70" t="str">
        <f>INDEX(Standards!$H$2:$H$296,MATCH(C70,Standards!$B$2:$B$296,0))</f>
        <v>FM</v>
      </c>
      <c r="L70" t="b">
        <f>AND(TableRelationships[[#This Row],[Source Type]]="BIM",TableRelationships[[#This Row],[Target Type]]="BIM")</f>
        <v>0</v>
      </c>
      <c r="M70">
        <f t="shared" si="3"/>
        <v>1</v>
      </c>
      <c r="N70" t="s">
        <v>523</v>
      </c>
      <c r="O70">
        <f t="shared" si="4"/>
        <v>10</v>
      </c>
      <c r="P70" t="str">
        <f>IF(TableRelationships[[#This Row],[Rank Pedro]]="Low","linkCategory1",IF(TableRelationships[[#This Row],[Rank Pedro]]="Medium","linkCategory2",IF(TableRelationships[[#This Row],[Rank Pedro]]="High","linkCategory3","")))</f>
        <v>linkCategory3</v>
      </c>
      <c r="Q70" t="str">
        <f>IF(TableRelationships[[#This Row],[Rank Pedro]]="Low","Pink",IF(TableRelationships[[#This Row],[Rank Pedro]]="Medium","Purple",IF(TableRelationships[[#This Row],[Rank Pedro]]="High","Brown","")))</f>
        <v>Brown</v>
      </c>
      <c r="R70" s="4">
        <f>MAX(INDEX(Standards!$F$2:$F$296,MATCH(B70,Standards!$B$2:$B$296,0)),INDEX(Standards!$F$2:$F$296,MATCH(C70,Standards!$B$2:$B$296,0)))</f>
        <v>40909</v>
      </c>
      <c r="S70" t="str">
        <f t="shared" si="5"/>
        <v>#2f89d1</v>
      </c>
    </row>
    <row r="71" spans="1:19" x14ac:dyDescent="0.5">
      <c r="A71">
        <v>297</v>
      </c>
      <c r="B71" t="s">
        <v>96</v>
      </c>
      <c r="C71" t="s">
        <v>283</v>
      </c>
      <c r="D71">
        <f>INDEX(Standards!$A$2:$A$296,MATCH(B71,Standards!$B$2:$B$296,0))</f>
        <v>27</v>
      </c>
      <c r="E71">
        <f>INDEX(Standards!$A$2:$A$296,MATCH(C71,Standards!$B$2:$B$296,0))</f>
        <v>111</v>
      </c>
      <c r="F71" t="str">
        <f>INDEX(Standards!$N$2:$N$296,MATCH(B71,Standards!$B$2:$B$296,0))</f>
        <v>#70AD47</v>
      </c>
      <c r="G71" t="str">
        <f>INDEX(Standards!$N$2:$N$296,MATCH(C71,Standards!$B$2:$B$296,0))</f>
        <v>#4472C4</v>
      </c>
      <c r="H71" t="s">
        <v>521</v>
      </c>
      <c r="I71" t="s">
        <v>525</v>
      </c>
      <c r="J71" t="str">
        <f>INDEX(Standards!$H$2:$H$296,MATCH(B71,Standards!$B$2:$B$296,0))</f>
        <v>BIM</v>
      </c>
      <c r="K71" t="str">
        <f>INDEX(Standards!$H$2:$H$296,MATCH(C71,Standards!$B$2:$B$296,0))</f>
        <v>Industrial Automation</v>
      </c>
      <c r="L71" t="b">
        <f>AND(TableRelationships[[#This Row],[Source Type]]="BIM",TableRelationships[[#This Row],[Target Type]]="BIM")</f>
        <v>0</v>
      </c>
      <c r="M71">
        <f t="shared" si="3"/>
        <v>1</v>
      </c>
      <c r="N71" t="s">
        <v>528</v>
      </c>
      <c r="O71">
        <f t="shared" si="4"/>
        <v>6</v>
      </c>
      <c r="P71" t="str">
        <f>IF(TableRelationships[[#This Row],[Rank Pedro]]="Low","linkCategory1",IF(TableRelationships[[#This Row],[Rank Pedro]]="Medium","linkCategory2",IF(TableRelationships[[#This Row],[Rank Pedro]]="High","linkCategory3","")))</f>
        <v>linkCategory2</v>
      </c>
      <c r="Q71" t="str">
        <f>IF(TableRelationships[[#This Row],[Rank Pedro]]="Low","Pink",IF(TableRelationships[[#This Row],[Rank Pedro]]="Medium","Purple",IF(TableRelationships[[#This Row],[Rank Pedro]]="High","Brown","")))</f>
        <v>Purple</v>
      </c>
      <c r="R71" s="4">
        <f>MAX(INDEX(Standards!$F$2:$F$296,MATCH(B71,Standards!$B$2:$B$296,0)),INDEX(Standards!$F$2:$F$296,MATCH(C71,Standards!$B$2:$B$296,0)))</f>
        <v>40909</v>
      </c>
      <c r="S71" t="str">
        <f t="shared" si="5"/>
        <v>#2f89d1</v>
      </c>
    </row>
    <row r="72" spans="1:19" x14ac:dyDescent="0.5">
      <c r="A72">
        <v>300</v>
      </c>
      <c r="B72" t="s">
        <v>96</v>
      </c>
      <c r="C72" t="s">
        <v>144</v>
      </c>
      <c r="D72">
        <f>INDEX(Standards!$A$2:$A$296,MATCH(B72,Standards!$B$2:$B$296,0))</f>
        <v>27</v>
      </c>
      <c r="E72">
        <f>INDEX(Standards!$A$2:$A$296,MATCH(C72,Standards!$B$2:$B$296,0))</f>
        <v>8</v>
      </c>
      <c r="F72" t="str">
        <f>INDEX(Standards!$N$2:$N$296,MATCH(B72,Standards!$B$2:$B$296,0))</f>
        <v>#70AD47</v>
      </c>
      <c r="G72" t="str">
        <f>INDEX(Standards!$N$2:$N$296,MATCH(C72,Standards!$B$2:$B$296,0))</f>
        <v>#70AD47</v>
      </c>
      <c r="H72" t="s">
        <v>521</v>
      </c>
      <c r="I72" t="s">
        <v>525</v>
      </c>
      <c r="J72" t="str">
        <f>INDEX(Standards!$H$2:$H$296,MATCH(B72,Standards!$B$2:$B$296,0))</f>
        <v>BIM</v>
      </c>
      <c r="K72" t="str">
        <f>INDEX(Standards!$H$2:$H$296,MATCH(C72,Standards!$B$2:$B$296,0))</f>
        <v>BIM</v>
      </c>
      <c r="L72" t="b">
        <f>AND(TableRelationships[[#This Row],[Source Type]]="BIM",TableRelationships[[#This Row],[Target Type]]="BIM")</f>
        <v>1</v>
      </c>
      <c r="M72">
        <f t="shared" si="3"/>
        <v>1</v>
      </c>
      <c r="N72" t="s">
        <v>526</v>
      </c>
      <c r="O72">
        <f t="shared" si="4"/>
        <v>2</v>
      </c>
      <c r="P72" t="str">
        <f>IF(TableRelationships[[#This Row],[Rank Pedro]]="Low","linkCategory1",IF(TableRelationships[[#This Row],[Rank Pedro]]="Medium","linkCategory2",IF(TableRelationships[[#This Row],[Rank Pedro]]="High","linkCategory3","")))</f>
        <v>linkCategory1</v>
      </c>
      <c r="Q72" t="str">
        <f>IF(TableRelationships[[#This Row],[Rank Pedro]]="Low","Pink",IF(TableRelationships[[#This Row],[Rank Pedro]]="Medium","Purple",IF(TableRelationships[[#This Row],[Rank Pedro]]="High","Brown","")))</f>
        <v>Pink</v>
      </c>
      <c r="R72" s="4">
        <f>MAX(INDEX(Standards!$F$2:$F$296,MATCH(B72,Standards!$B$2:$B$296,0)),INDEX(Standards!$F$2:$F$296,MATCH(C72,Standards!$B$2:$B$296,0)))</f>
        <v>40909</v>
      </c>
      <c r="S72" t="str">
        <f t="shared" si="5"/>
        <v>#2f89d1</v>
      </c>
    </row>
    <row r="73" spans="1:19" x14ac:dyDescent="0.5">
      <c r="A73">
        <v>301</v>
      </c>
      <c r="B73" t="s">
        <v>96</v>
      </c>
      <c r="C73" t="s">
        <v>210</v>
      </c>
      <c r="D73">
        <f>INDEX(Standards!$A$2:$A$296,MATCH(B73,Standards!$B$2:$B$296,0))</f>
        <v>27</v>
      </c>
      <c r="E73">
        <f>INDEX(Standards!$A$2:$A$296,MATCH(C73,Standards!$B$2:$B$296,0))</f>
        <v>9</v>
      </c>
      <c r="F73" t="str">
        <f>INDEX(Standards!$N$2:$N$296,MATCH(B73,Standards!$B$2:$B$296,0))</f>
        <v>#70AD47</v>
      </c>
      <c r="G73" t="str">
        <f>INDEX(Standards!$N$2:$N$296,MATCH(C73,Standards!$B$2:$B$296,0))</f>
        <v>#70AD47</v>
      </c>
      <c r="H73" t="s">
        <v>521</v>
      </c>
      <c r="I73" t="s">
        <v>525</v>
      </c>
      <c r="J73" t="str">
        <f>INDEX(Standards!$H$2:$H$296,MATCH(B73,Standards!$B$2:$B$296,0))</f>
        <v>BIM</v>
      </c>
      <c r="K73" t="str">
        <f>INDEX(Standards!$H$2:$H$296,MATCH(C73,Standards!$B$2:$B$296,0))</f>
        <v>BIM</v>
      </c>
      <c r="L73" t="b">
        <f>AND(TableRelationships[[#This Row],[Source Type]]="BIM",TableRelationships[[#This Row],[Target Type]]="BIM")</f>
        <v>1</v>
      </c>
      <c r="M73">
        <f t="shared" si="3"/>
        <v>1</v>
      </c>
      <c r="N73" t="s">
        <v>523</v>
      </c>
      <c r="O73">
        <f t="shared" si="4"/>
        <v>10</v>
      </c>
      <c r="P73" t="str">
        <f>IF(TableRelationships[[#This Row],[Rank Pedro]]="Low","linkCategory1",IF(TableRelationships[[#This Row],[Rank Pedro]]="Medium","linkCategory2",IF(TableRelationships[[#This Row],[Rank Pedro]]="High","linkCategory3","")))</f>
        <v>linkCategory3</v>
      </c>
      <c r="Q73" t="str">
        <f>IF(TableRelationships[[#This Row],[Rank Pedro]]="Low","Pink",IF(TableRelationships[[#This Row],[Rank Pedro]]="Medium","Purple",IF(TableRelationships[[#This Row],[Rank Pedro]]="High","Brown","")))</f>
        <v>Brown</v>
      </c>
      <c r="R73" s="4">
        <f>MAX(INDEX(Standards!$F$2:$F$296,MATCH(B73,Standards!$B$2:$B$296,0)),INDEX(Standards!$F$2:$F$296,MATCH(C73,Standards!$B$2:$B$296,0)))</f>
        <v>43453</v>
      </c>
      <c r="S73" t="str">
        <f t="shared" si="5"/>
        <v>#2f89d1</v>
      </c>
    </row>
    <row r="74" spans="1:19" x14ac:dyDescent="0.5">
      <c r="A74">
        <v>302</v>
      </c>
      <c r="B74" t="s">
        <v>96</v>
      </c>
      <c r="C74" t="s">
        <v>228</v>
      </c>
      <c r="D74">
        <f>INDEX(Standards!$A$2:$A$296,MATCH(B74,Standards!$B$2:$B$296,0))</f>
        <v>27</v>
      </c>
      <c r="E74">
        <f>INDEX(Standards!$A$2:$A$296,MATCH(C74,Standards!$B$2:$B$296,0))</f>
        <v>168</v>
      </c>
      <c r="F74" t="str">
        <f>INDEX(Standards!$N$2:$N$296,MATCH(B74,Standards!$B$2:$B$296,0))</f>
        <v>#70AD47</v>
      </c>
      <c r="G74" t="str">
        <f>INDEX(Standards!$N$2:$N$296,MATCH(C74,Standards!$B$2:$B$296,0))</f>
        <v>#70AD47</v>
      </c>
      <c r="H74" t="s">
        <v>521</v>
      </c>
      <c r="I74" t="s">
        <v>525</v>
      </c>
      <c r="J74" t="str">
        <f>INDEX(Standards!$H$2:$H$296,MATCH(B74,Standards!$B$2:$B$296,0))</f>
        <v>BIM</v>
      </c>
      <c r="K74" t="str">
        <f>INDEX(Standards!$H$2:$H$296,MATCH(C74,Standards!$B$2:$B$296,0))</f>
        <v>BIM</v>
      </c>
      <c r="L74" t="b">
        <f>AND(TableRelationships[[#This Row],[Source Type]]="BIM",TableRelationships[[#This Row],[Target Type]]="BIM")</f>
        <v>1</v>
      </c>
      <c r="M74">
        <f t="shared" si="3"/>
        <v>1</v>
      </c>
      <c r="N74" t="s">
        <v>523</v>
      </c>
      <c r="O74">
        <f t="shared" si="4"/>
        <v>10</v>
      </c>
      <c r="P74" t="str">
        <f>IF(TableRelationships[[#This Row],[Rank Pedro]]="Low","linkCategory1",IF(TableRelationships[[#This Row],[Rank Pedro]]="Medium","linkCategory2",IF(TableRelationships[[#This Row],[Rank Pedro]]="High","linkCategory3","")))</f>
        <v>linkCategory3</v>
      </c>
      <c r="Q74" t="str">
        <f>IF(TableRelationships[[#This Row],[Rank Pedro]]="Low","Pink",IF(TableRelationships[[#This Row],[Rank Pedro]]="Medium","Purple",IF(TableRelationships[[#This Row],[Rank Pedro]]="High","Brown","")))</f>
        <v>Brown</v>
      </c>
      <c r="R74" s="4">
        <f>MAX(INDEX(Standards!$F$2:$F$296,MATCH(B74,Standards!$B$2:$B$296,0)),INDEX(Standards!$F$2:$F$296,MATCH(C74,Standards!$B$2:$B$296,0)))</f>
        <v>44819</v>
      </c>
      <c r="S74" t="str">
        <f t="shared" si="5"/>
        <v>#2f89d1</v>
      </c>
    </row>
    <row r="75" spans="1:19" x14ac:dyDescent="0.5">
      <c r="A75">
        <v>296</v>
      </c>
      <c r="B75" t="s">
        <v>96</v>
      </c>
      <c r="C75" t="s">
        <v>376</v>
      </c>
      <c r="D75">
        <f>INDEX(Standards!$A$2:$A$296,MATCH(B75,Standards!$B$2:$B$296,0))</f>
        <v>27</v>
      </c>
      <c r="E75">
        <f>INDEX(Standards!$A$2:$A$296,MATCH(C75,Standards!$B$2:$B$296,0))</f>
        <v>15</v>
      </c>
      <c r="F75" t="str">
        <f>INDEX(Standards!$N$2:$N$296,MATCH(B75,Standards!$B$2:$B$296,0))</f>
        <v>#70AD47</v>
      </c>
      <c r="G75" t="str">
        <f>INDEX(Standards!$N$2:$N$296,MATCH(C75,Standards!$B$2:$B$296,0))</f>
        <v>#70AD47</v>
      </c>
      <c r="H75" t="s">
        <v>521</v>
      </c>
      <c r="I75" t="s">
        <v>525</v>
      </c>
      <c r="J75" t="str">
        <f>INDEX(Standards!$H$2:$H$296,MATCH(B75,Standards!$B$2:$B$296,0))</f>
        <v>BIM</v>
      </c>
      <c r="K75" t="str">
        <f>INDEX(Standards!$H$2:$H$296,MATCH(C75,Standards!$B$2:$B$296,0))</f>
        <v>BIM</v>
      </c>
      <c r="L75" t="b">
        <f>AND(TableRelationships[[#This Row],[Source Type]]="BIM",TableRelationships[[#This Row],[Target Type]]="BIM")</f>
        <v>1</v>
      </c>
      <c r="M75">
        <f t="shared" si="3"/>
        <v>1</v>
      </c>
      <c r="N75" t="s">
        <v>523</v>
      </c>
      <c r="O75">
        <f t="shared" si="4"/>
        <v>10</v>
      </c>
      <c r="P75" t="str">
        <f>IF(TableRelationships[[#This Row],[Rank Pedro]]="Low","linkCategory1",IF(TableRelationships[[#This Row],[Rank Pedro]]="Medium","linkCategory2",IF(TableRelationships[[#This Row],[Rank Pedro]]="High","linkCategory3","")))</f>
        <v>linkCategory3</v>
      </c>
      <c r="Q75" t="str">
        <f>IF(TableRelationships[[#This Row],[Rank Pedro]]="Low","Pink",IF(TableRelationships[[#This Row],[Rank Pedro]]="Medium","Purple",IF(TableRelationships[[#This Row],[Rank Pedro]]="High","Brown","")))</f>
        <v>Brown</v>
      </c>
      <c r="R75" s="4">
        <f>MAX(INDEX(Standards!$F$2:$F$296,MATCH(B75,Standards!$B$2:$B$296,0)),INDEX(Standards!$F$2:$F$296,MATCH(C75,Standards!$B$2:$B$296,0)))</f>
        <v>40909</v>
      </c>
      <c r="S75" t="str">
        <f t="shared" si="5"/>
        <v>#2f89d1</v>
      </c>
    </row>
    <row r="76" spans="1:19" x14ac:dyDescent="0.5">
      <c r="A76">
        <v>294</v>
      </c>
      <c r="B76" t="s">
        <v>96</v>
      </c>
      <c r="C76" t="s">
        <v>408</v>
      </c>
      <c r="D76">
        <f>INDEX(Standards!$A$2:$A$296,MATCH(B76,Standards!$B$2:$B$296,0))</f>
        <v>27</v>
      </c>
      <c r="E76">
        <f>INDEX(Standards!$A$2:$A$296,MATCH(C76,Standards!$B$2:$B$296,0))</f>
        <v>16</v>
      </c>
      <c r="F76" t="str">
        <f>INDEX(Standards!$N$2:$N$296,MATCH(B76,Standards!$B$2:$B$296,0))</f>
        <v>#70AD47</v>
      </c>
      <c r="G76" t="str">
        <f>INDEX(Standards!$N$2:$N$296,MATCH(C76,Standards!$B$2:$B$296,0))</f>
        <v>#70AD47</v>
      </c>
      <c r="H76" t="s">
        <v>521</v>
      </c>
      <c r="I76" t="s">
        <v>524</v>
      </c>
      <c r="J76" t="str">
        <f>INDEX(Standards!$H$2:$H$296,MATCH(B76,Standards!$B$2:$B$296,0))</f>
        <v>BIM</v>
      </c>
      <c r="K76" t="str">
        <f>INDEX(Standards!$H$2:$H$296,MATCH(C76,Standards!$B$2:$B$296,0))</f>
        <v>BIM</v>
      </c>
      <c r="L76" t="b">
        <f>AND(TableRelationships[[#This Row],[Source Type]]="BIM",TableRelationships[[#This Row],[Target Type]]="BIM")</f>
        <v>1</v>
      </c>
      <c r="M76">
        <f t="shared" si="3"/>
        <v>6</v>
      </c>
      <c r="N76" t="s">
        <v>523</v>
      </c>
      <c r="O76">
        <f t="shared" si="4"/>
        <v>10</v>
      </c>
      <c r="P76" t="str">
        <f>IF(TableRelationships[[#This Row],[Rank Pedro]]="Low","linkCategory1",IF(TableRelationships[[#This Row],[Rank Pedro]]="Medium","linkCategory2",IF(TableRelationships[[#This Row],[Rank Pedro]]="High","linkCategory3","")))</f>
        <v>linkCategory3</v>
      </c>
      <c r="Q76" t="str">
        <f>IF(TableRelationships[[#This Row],[Rank Pedro]]="Low","Pink",IF(TableRelationships[[#This Row],[Rank Pedro]]="Medium","Purple",IF(TableRelationships[[#This Row],[Rank Pedro]]="High","Brown","")))</f>
        <v>Brown</v>
      </c>
      <c r="R76" s="4">
        <f>MAX(INDEX(Standards!$F$2:$F$296,MATCH(B76,Standards!$B$2:$B$296,0)),INDEX(Standards!$F$2:$F$296,MATCH(C76,Standards!$B$2:$B$296,0)))</f>
        <v>40909</v>
      </c>
      <c r="S76" t="str">
        <f t="shared" si="5"/>
        <v>#d6bf2a</v>
      </c>
    </row>
    <row r="77" spans="1:19" x14ac:dyDescent="0.5">
      <c r="A77">
        <v>293</v>
      </c>
      <c r="B77" t="s">
        <v>96</v>
      </c>
      <c r="C77" t="s">
        <v>77</v>
      </c>
      <c r="D77">
        <f>INDEX(Standards!$A$2:$A$296,MATCH(B77,Standards!$B$2:$B$296,0))</f>
        <v>27</v>
      </c>
      <c r="E77">
        <f>INDEX(Standards!$A$2:$A$296,MATCH(C77,Standards!$B$2:$B$296,0))</f>
        <v>19</v>
      </c>
      <c r="F77" t="str">
        <f>INDEX(Standards!$N$2:$N$296,MATCH(B77,Standards!$B$2:$B$296,0))</f>
        <v>#70AD47</v>
      </c>
      <c r="G77" t="str">
        <f>INDEX(Standards!$N$2:$N$296,MATCH(C77,Standards!$B$2:$B$296,0))</f>
        <v>#ED7D31</v>
      </c>
      <c r="H77" t="s">
        <v>521</v>
      </c>
      <c r="I77" t="s">
        <v>524</v>
      </c>
      <c r="J77" t="str">
        <f>INDEX(Standards!$H$2:$H$296,MATCH(B77,Standards!$B$2:$B$296,0))</f>
        <v>BIM</v>
      </c>
      <c r="K77" t="str">
        <f>INDEX(Standards!$H$2:$H$296,MATCH(C77,Standards!$B$2:$B$296,0))</f>
        <v>Construction</v>
      </c>
      <c r="L77" t="b">
        <f>AND(TableRelationships[[#This Row],[Source Type]]="BIM",TableRelationships[[#This Row],[Target Type]]="BIM")</f>
        <v>0</v>
      </c>
      <c r="M77">
        <f t="shared" si="3"/>
        <v>6</v>
      </c>
      <c r="N77" t="s">
        <v>526</v>
      </c>
      <c r="O77">
        <f t="shared" si="4"/>
        <v>2</v>
      </c>
      <c r="P77" t="str">
        <f>IF(TableRelationships[[#This Row],[Rank Pedro]]="Low","linkCategory1",IF(TableRelationships[[#This Row],[Rank Pedro]]="Medium","linkCategory2",IF(TableRelationships[[#This Row],[Rank Pedro]]="High","linkCategory3","")))</f>
        <v>linkCategory1</v>
      </c>
      <c r="Q77" t="str">
        <f>IF(TableRelationships[[#This Row],[Rank Pedro]]="Low","Pink",IF(TableRelationships[[#This Row],[Rank Pedro]]="Medium","Purple",IF(TableRelationships[[#This Row],[Rank Pedro]]="High","Brown","")))</f>
        <v>Pink</v>
      </c>
      <c r="R77" s="4">
        <f>MAX(INDEX(Standards!$F$2:$F$296,MATCH(B77,Standards!$B$2:$B$296,0)),INDEX(Standards!$F$2:$F$296,MATCH(C77,Standards!$B$2:$B$296,0)))</f>
        <v>40909</v>
      </c>
      <c r="S77" t="str">
        <f t="shared" si="5"/>
        <v>#d6bf2a</v>
      </c>
    </row>
    <row r="78" spans="1:19" x14ac:dyDescent="0.5">
      <c r="A78">
        <v>471</v>
      </c>
      <c r="B78" t="s">
        <v>140</v>
      </c>
      <c r="C78" t="s">
        <v>236</v>
      </c>
      <c r="D78">
        <f>INDEX(Standards!$A$2:$A$296,MATCH(B78,Standards!$B$2:$B$296,0))</f>
        <v>178</v>
      </c>
      <c r="E78">
        <f>INDEX(Standards!$A$2:$A$296,MATCH(C78,Standards!$B$2:$B$296,0))</f>
        <v>91</v>
      </c>
      <c r="F78" t="str">
        <f>INDEX(Standards!$N$2:$N$296,MATCH(B78,Standards!$B$2:$B$296,0))</f>
        <v>#70AD47</v>
      </c>
      <c r="G78" t="str">
        <f>INDEX(Standards!$N$2:$N$296,MATCH(C78,Standards!$B$2:$B$296,0))</f>
        <v>#F2F2F2</v>
      </c>
      <c r="H78" t="s">
        <v>521</v>
      </c>
      <c r="I78" t="s">
        <v>237</v>
      </c>
      <c r="J78" t="str">
        <f>INDEX(Standards!$H$2:$H$296,MATCH(B78,Standards!$B$2:$B$296,0))</f>
        <v>BIM</v>
      </c>
      <c r="K78" t="str">
        <f>INDEX(Standards!$H$2:$H$296,MATCH(C78,Standards!$B$2:$B$296,0))</f>
        <v>Anchor</v>
      </c>
      <c r="L78" t="b">
        <f>AND(TableRelationships[[#This Row],[Source Type]]="BIM",TableRelationships[[#This Row],[Target Type]]="BIM")</f>
        <v>0</v>
      </c>
      <c r="M78">
        <f t="shared" si="3"/>
        <v>2</v>
      </c>
      <c r="O78">
        <f t="shared" si="4"/>
        <v>1</v>
      </c>
      <c r="P78" t="str">
        <f>IF(TableRelationships[[#This Row],[Rank Pedro]]="Low","linkCategory1",IF(TableRelationships[[#This Row],[Rank Pedro]]="Medium","linkCategory2",IF(TableRelationships[[#This Row],[Rank Pedro]]="High","linkCategory3","")))</f>
        <v/>
      </c>
      <c r="Q78" t="str">
        <f>IF(TableRelationships[[#This Row],[Rank Pedro]]="Low","Pink",IF(TableRelationships[[#This Row],[Rank Pedro]]="Medium","Purple",IF(TableRelationships[[#This Row],[Rank Pedro]]="High","Brown","")))</f>
        <v/>
      </c>
      <c r="R78" s="4">
        <f>MAX(INDEX(Standards!$F$2:$F$296,MATCH(B78,Standards!$B$2:$B$296,0)),INDEX(Standards!$F$2:$F$296,MATCH(C78,Standards!$B$2:$B$296,0)))</f>
        <v>41334</v>
      </c>
      <c r="S78">
        <f t="shared" si="5"/>
        <v>1</v>
      </c>
    </row>
    <row r="79" spans="1:19" x14ac:dyDescent="0.5">
      <c r="A79">
        <v>91</v>
      </c>
      <c r="B79" t="s">
        <v>110</v>
      </c>
      <c r="C79" t="s">
        <v>74</v>
      </c>
      <c r="D79">
        <f>INDEX(Standards!$A$2:$A$296,MATCH(B79,Standards!$B$2:$B$296,0))</f>
        <v>33</v>
      </c>
      <c r="E79">
        <f>INDEX(Standards!$A$2:$A$296,MATCH(C79,Standards!$B$2:$B$296,0))</f>
        <v>18</v>
      </c>
      <c r="F79" t="str">
        <f>INDEX(Standards!$N$2:$N$296,MATCH(B79,Standards!$B$2:$B$296,0))</f>
        <v>#44546A</v>
      </c>
      <c r="G79" t="str">
        <f>INDEX(Standards!$N$2:$N$296,MATCH(C79,Standards!$B$2:$B$296,0))</f>
        <v>#44546A</v>
      </c>
      <c r="H79" t="s">
        <v>521</v>
      </c>
      <c r="I79" t="s">
        <v>524</v>
      </c>
      <c r="J79" t="str">
        <f>INDEX(Standards!$H$2:$H$296,MATCH(B79,Standards!$B$2:$B$296,0))</f>
        <v>FM</v>
      </c>
      <c r="K79" t="str">
        <f>INDEX(Standards!$H$2:$H$296,MATCH(C79,Standards!$B$2:$B$296,0))</f>
        <v>FM</v>
      </c>
      <c r="L79" t="b">
        <f>AND(TableRelationships[[#This Row],[Source Type]]="BIM",TableRelationships[[#This Row],[Target Type]]="BIM")</f>
        <v>0</v>
      </c>
      <c r="M79">
        <f t="shared" si="3"/>
        <v>6</v>
      </c>
      <c r="O79">
        <f t="shared" si="4"/>
        <v>1</v>
      </c>
      <c r="P79" t="str">
        <f>IF(TableRelationships[[#This Row],[Rank Pedro]]="Low","linkCategory1",IF(TableRelationships[[#This Row],[Rank Pedro]]="Medium","linkCategory2",IF(TableRelationships[[#This Row],[Rank Pedro]]="High","linkCategory3","")))</f>
        <v/>
      </c>
      <c r="Q79" t="str">
        <f>IF(TableRelationships[[#This Row],[Rank Pedro]]="Low","Pink",IF(TableRelationships[[#This Row],[Rank Pedro]]="Medium","Purple",IF(TableRelationships[[#This Row],[Rank Pedro]]="High","Brown","")))</f>
        <v/>
      </c>
      <c r="R79" s="4">
        <f>MAX(INDEX(Standards!$F$2:$F$296,MATCH(B79,Standards!$B$2:$B$296,0)),INDEX(Standards!$F$2:$F$296,MATCH(C79,Standards!$B$2:$B$296,0)))</f>
        <v>41640</v>
      </c>
      <c r="S79" t="str">
        <f t="shared" si="5"/>
        <v>#d6bf2a</v>
      </c>
    </row>
    <row r="80" spans="1:19" x14ac:dyDescent="0.5">
      <c r="A80">
        <v>92</v>
      </c>
      <c r="B80" t="s">
        <v>112</v>
      </c>
      <c r="C80" t="s">
        <v>74</v>
      </c>
      <c r="D80">
        <f>INDEX(Standards!$A$2:$A$296,MATCH(B80,Standards!$B$2:$B$296,0))</f>
        <v>34</v>
      </c>
      <c r="E80">
        <f>INDEX(Standards!$A$2:$A$296,MATCH(C80,Standards!$B$2:$B$296,0))</f>
        <v>18</v>
      </c>
      <c r="F80" t="str">
        <f>INDEX(Standards!$N$2:$N$296,MATCH(B80,Standards!$B$2:$B$296,0))</f>
        <v>#44546A</v>
      </c>
      <c r="G80" t="str">
        <f>INDEX(Standards!$N$2:$N$296,MATCH(C80,Standards!$B$2:$B$296,0))</f>
        <v>#44546A</v>
      </c>
      <c r="H80" t="s">
        <v>521</v>
      </c>
      <c r="I80" t="s">
        <v>524</v>
      </c>
      <c r="J80" t="str">
        <f>INDEX(Standards!$H$2:$H$296,MATCH(B80,Standards!$B$2:$B$296,0))</f>
        <v>FM</v>
      </c>
      <c r="K80" t="str">
        <f>INDEX(Standards!$H$2:$H$296,MATCH(C80,Standards!$B$2:$B$296,0))</f>
        <v>FM</v>
      </c>
      <c r="L80" t="b">
        <f>AND(TableRelationships[[#This Row],[Source Type]]="BIM",TableRelationships[[#This Row],[Target Type]]="BIM")</f>
        <v>0</v>
      </c>
      <c r="M80">
        <f t="shared" si="3"/>
        <v>6</v>
      </c>
      <c r="O80">
        <f t="shared" si="4"/>
        <v>1</v>
      </c>
      <c r="P80" t="str">
        <f>IF(TableRelationships[[#This Row],[Rank Pedro]]="Low","linkCategory1",IF(TableRelationships[[#This Row],[Rank Pedro]]="Medium","linkCategory2",IF(TableRelationships[[#This Row],[Rank Pedro]]="High","linkCategory3","")))</f>
        <v/>
      </c>
      <c r="Q80" t="str">
        <f>IF(TableRelationships[[#This Row],[Rank Pedro]]="Low","Pink",IF(TableRelationships[[#This Row],[Rank Pedro]]="Medium","Purple",IF(TableRelationships[[#This Row],[Rank Pedro]]="High","Brown","")))</f>
        <v/>
      </c>
      <c r="R80" s="4">
        <f>MAX(INDEX(Standards!$F$2:$F$296,MATCH(B80,Standards!$B$2:$B$296,0)),INDEX(Standards!$F$2:$F$296,MATCH(C80,Standards!$B$2:$B$296,0)))</f>
        <v>41640</v>
      </c>
      <c r="S80" t="str">
        <f t="shared" si="5"/>
        <v>#d6bf2a</v>
      </c>
    </row>
    <row r="81" spans="1:19" x14ac:dyDescent="0.5">
      <c r="A81">
        <v>481</v>
      </c>
      <c r="B81" t="s">
        <v>140</v>
      </c>
      <c r="C81" t="s">
        <v>418</v>
      </c>
      <c r="D81">
        <f>INDEX(Standards!$A$2:$A$296,MATCH(B81,Standards!$B$2:$B$296,0))</f>
        <v>178</v>
      </c>
      <c r="E81">
        <f>INDEX(Standards!$A$2:$A$296,MATCH(C81,Standards!$B$2:$B$296,0))</f>
        <v>183</v>
      </c>
      <c r="F81" t="str">
        <f>INDEX(Standards!$N$2:$N$296,MATCH(B81,Standards!$B$2:$B$296,0))</f>
        <v>#70AD47</v>
      </c>
      <c r="G81" t="str">
        <f>INDEX(Standards!$N$2:$N$296,MATCH(C81,Standards!$B$2:$B$296,0))</f>
        <v>#7030A0</v>
      </c>
      <c r="H81" t="s">
        <v>521</v>
      </c>
      <c r="I81" t="s">
        <v>525</v>
      </c>
      <c r="J81" t="str">
        <f>INDEX(Standards!$H$2:$H$296,MATCH(B81,Standards!$B$2:$B$296,0))</f>
        <v>BIM</v>
      </c>
      <c r="K81" t="str">
        <f>INDEX(Standards!$H$2:$H$296,MATCH(C81,Standards!$B$2:$B$296,0))</f>
        <v>ICT</v>
      </c>
      <c r="L81" t="b">
        <f>AND(TableRelationships[[#This Row],[Source Type]]="BIM",TableRelationships[[#This Row],[Target Type]]="BIM")</f>
        <v>0</v>
      </c>
      <c r="M81">
        <f t="shared" si="3"/>
        <v>1</v>
      </c>
      <c r="N81" t="s">
        <v>528</v>
      </c>
      <c r="O81">
        <f t="shared" si="4"/>
        <v>6</v>
      </c>
      <c r="P81" t="str">
        <f>IF(TableRelationships[[#This Row],[Rank Pedro]]="Low","linkCategory1",IF(TableRelationships[[#This Row],[Rank Pedro]]="Medium","linkCategory2",IF(TableRelationships[[#This Row],[Rank Pedro]]="High","linkCategory3","")))</f>
        <v>linkCategory2</v>
      </c>
      <c r="Q81" t="str">
        <f>IF(TableRelationships[[#This Row],[Rank Pedro]]="Low","Pink",IF(TableRelationships[[#This Row],[Rank Pedro]]="Medium","Purple",IF(TableRelationships[[#This Row],[Rank Pedro]]="High","Brown","")))</f>
        <v>Purple</v>
      </c>
      <c r="R81" s="4">
        <f>MAX(INDEX(Standards!$F$2:$F$296,MATCH(B81,Standards!$B$2:$B$296,0)),INDEX(Standards!$F$2:$F$296,MATCH(C81,Standards!$B$2:$B$296,0)))</f>
        <v>41334</v>
      </c>
      <c r="S81" t="str">
        <f t="shared" si="5"/>
        <v>#2f89d1</v>
      </c>
    </row>
    <row r="82" spans="1:19" x14ac:dyDescent="0.5">
      <c r="A82">
        <v>482</v>
      </c>
      <c r="B82" t="s">
        <v>140</v>
      </c>
      <c r="C82" t="s">
        <v>162</v>
      </c>
      <c r="D82">
        <f>INDEX(Standards!$A$2:$A$296,MATCH(B82,Standards!$B$2:$B$296,0))</f>
        <v>178</v>
      </c>
      <c r="E82">
        <f>INDEX(Standards!$A$2:$A$296,MATCH(C82,Standards!$B$2:$B$296,0))</f>
        <v>59</v>
      </c>
      <c r="F82" t="str">
        <f>INDEX(Standards!$N$2:$N$296,MATCH(B82,Standards!$B$2:$B$296,0))</f>
        <v>#70AD47</v>
      </c>
      <c r="G82" t="str">
        <f>INDEX(Standards!$N$2:$N$296,MATCH(C82,Standards!$B$2:$B$296,0))</f>
        <v>#7030A0</v>
      </c>
      <c r="H82" t="s">
        <v>521</v>
      </c>
      <c r="I82" t="s">
        <v>525</v>
      </c>
      <c r="J82" t="str">
        <f>INDEX(Standards!$H$2:$H$296,MATCH(B82,Standards!$B$2:$B$296,0))</f>
        <v>BIM</v>
      </c>
      <c r="K82" t="str">
        <f>INDEX(Standards!$H$2:$H$296,MATCH(C82,Standards!$B$2:$B$296,0))</f>
        <v>ICT</v>
      </c>
      <c r="L82" t="b">
        <f>AND(TableRelationships[[#This Row],[Source Type]]="BIM",TableRelationships[[#This Row],[Target Type]]="BIM")</f>
        <v>0</v>
      </c>
      <c r="M82">
        <f t="shared" si="3"/>
        <v>1</v>
      </c>
      <c r="N82" t="s">
        <v>523</v>
      </c>
      <c r="O82">
        <f t="shared" si="4"/>
        <v>10</v>
      </c>
      <c r="P82" t="str">
        <f>IF(TableRelationships[[#This Row],[Rank Pedro]]="Low","linkCategory1",IF(TableRelationships[[#This Row],[Rank Pedro]]="Medium","linkCategory2",IF(TableRelationships[[#This Row],[Rank Pedro]]="High","linkCategory3","")))</f>
        <v>linkCategory3</v>
      </c>
      <c r="Q82" t="str">
        <f>IF(TableRelationships[[#This Row],[Rank Pedro]]="Low","Pink",IF(TableRelationships[[#This Row],[Rank Pedro]]="Medium","Purple",IF(TableRelationships[[#This Row],[Rank Pedro]]="High","Brown","")))</f>
        <v>Brown</v>
      </c>
      <c r="R82" s="4">
        <f>MAX(INDEX(Standards!$F$2:$F$296,MATCH(B82,Standards!$B$2:$B$296,0)),INDEX(Standards!$F$2:$F$296,MATCH(C82,Standards!$B$2:$B$296,0)))</f>
        <v>41334</v>
      </c>
      <c r="S82" t="str">
        <f t="shared" si="5"/>
        <v>#2f89d1</v>
      </c>
    </row>
    <row r="83" spans="1:19" x14ac:dyDescent="0.5">
      <c r="A83">
        <v>476</v>
      </c>
      <c r="B83" t="s">
        <v>140</v>
      </c>
      <c r="C83" t="s">
        <v>168</v>
      </c>
      <c r="D83">
        <f>INDEX(Standards!$A$2:$A$296,MATCH(B83,Standards!$B$2:$B$296,0))</f>
        <v>178</v>
      </c>
      <c r="E83">
        <f>INDEX(Standards!$A$2:$A$296,MATCH(C83,Standards!$B$2:$B$296,0))</f>
        <v>62</v>
      </c>
      <c r="F83" t="str">
        <f>INDEX(Standards!$N$2:$N$296,MATCH(B83,Standards!$B$2:$B$296,0))</f>
        <v>#70AD47</v>
      </c>
      <c r="G83" t="str">
        <f>INDEX(Standards!$N$2:$N$296,MATCH(C83,Standards!$B$2:$B$296,0))</f>
        <v>#7030A0</v>
      </c>
      <c r="H83" t="s">
        <v>521</v>
      </c>
      <c r="I83" t="s">
        <v>525</v>
      </c>
      <c r="J83" t="str">
        <f>INDEX(Standards!$H$2:$H$296,MATCH(B83,Standards!$B$2:$B$296,0))</f>
        <v>BIM</v>
      </c>
      <c r="K83" t="str">
        <f>INDEX(Standards!$H$2:$H$296,MATCH(C83,Standards!$B$2:$B$296,0))</f>
        <v>ICT</v>
      </c>
      <c r="L83" t="b">
        <f>AND(TableRelationships[[#This Row],[Source Type]]="BIM",TableRelationships[[#This Row],[Target Type]]="BIM")</f>
        <v>0</v>
      </c>
      <c r="M83">
        <f t="shared" si="3"/>
        <v>1</v>
      </c>
      <c r="N83" t="s">
        <v>528</v>
      </c>
      <c r="O83">
        <f t="shared" si="4"/>
        <v>6</v>
      </c>
      <c r="P83" t="str">
        <f>IF(TableRelationships[[#This Row],[Rank Pedro]]="Low","linkCategory1",IF(TableRelationships[[#This Row],[Rank Pedro]]="Medium","linkCategory2",IF(TableRelationships[[#This Row],[Rank Pedro]]="High","linkCategory3","")))</f>
        <v>linkCategory2</v>
      </c>
      <c r="Q83" t="str">
        <f>IF(TableRelationships[[#This Row],[Rank Pedro]]="Low","Pink",IF(TableRelationships[[#This Row],[Rank Pedro]]="Medium","Purple",IF(TableRelationships[[#This Row],[Rank Pedro]]="High","Brown","")))</f>
        <v>Purple</v>
      </c>
      <c r="R83" s="4">
        <f>MAX(INDEX(Standards!$F$2:$F$296,MATCH(B83,Standards!$B$2:$B$296,0)),INDEX(Standards!$F$2:$F$296,MATCH(C83,Standards!$B$2:$B$296,0)))</f>
        <v>41334</v>
      </c>
      <c r="S83" t="str">
        <f t="shared" si="5"/>
        <v>#2f89d1</v>
      </c>
    </row>
    <row r="84" spans="1:19" x14ac:dyDescent="0.5">
      <c r="A84">
        <v>474</v>
      </c>
      <c r="B84" t="s">
        <v>140</v>
      </c>
      <c r="C84" t="s">
        <v>126</v>
      </c>
      <c r="D84">
        <f>INDEX(Standards!$A$2:$A$296,MATCH(B84,Standards!$B$2:$B$296,0))</f>
        <v>178</v>
      </c>
      <c r="E84">
        <f>INDEX(Standards!$A$2:$A$296,MATCH(C84,Standards!$B$2:$B$296,0))</f>
        <v>42</v>
      </c>
      <c r="F84" t="str">
        <f>INDEX(Standards!$N$2:$N$296,MATCH(B84,Standards!$B$2:$B$296,0))</f>
        <v>#70AD47</v>
      </c>
      <c r="G84" t="str">
        <f>INDEX(Standards!$N$2:$N$296,MATCH(C84,Standards!$B$2:$B$296,0))</f>
        <v>#595959</v>
      </c>
      <c r="H84" t="s">
        <v>521</v>
      </c>
      <c r="I84" t="s">
        <v>525</v>
      </c>
      <c r="J84" t="str">
        <f>INDEX(Standards!$H$2:$H$296,MATCH(B84,Standards!$B$2:$B$296,0))</f>
        <v>BIM</v>
      </c>
      <c r="K84" t="str">
        <f>INDEX(Standards!$H$2:$H$296,MATCH(C84,Standards!$B$2:$B$296,0))</f>
        <v>Other</v>
      </c>
      <c r="L84" t="b">
        <f>AND(TableRelationships[[#This Row],[Source Type]]="BIM",TableRelationships[[#This Row],[Target Type]]="BIM")</f>
        <v>0</v>
      </c>
      <c r="M84">
        <f t="shared" si="3"/>
        <v>1</v>
      </c>
      <c r="N84" t="s">
        <v>526</v>
      </c>
      <c r="O84">
        <f t="shared" si="4"/>
        <v>2</v>
      </c>
      <c r="P84" t="str">
        <f>IF(TableRelationships[[#This Row],[Rank Pedro]]="Low","linkCategory1",IF(TableRelationships[[#This Row],[Rank Pedro]]="Medium","linkCategory2",IF(TableRelationships[[#This Row],[Rank Pedro]]="High","linkCategory3","")))</f>
        <v>linkCategory1</v>
      </c>
      <c r="Q84" t="str">
        <f>IF(TableRelationships[[#This Row],[Rank Pedro]]="Low","Pink",IF(TableRelationships[[#This Row],[Rank Pedro]]="Medium","Purple",IF(TableRelationships[[#This Row],[Rank Pedro]]="High","Brown","")))</f>
        <v>Pink</v>
      </c>
      <c r="R84" s="4">
        <f>MAX(INDEX(Standards!$F$2:$F$296,MATCH(B84,Standards!$B$2:$B$296,0)),INDEX(Standards!$F$2:$F$296,MATCH(C84,Standards!$B$2:$B$296,0)))</f>
        <v>41334</v>
      </c>
      <c r="S84" t="str">
        <f t="shared" si="5"/>
        <v>#2f89d1</v>
      </c>
    </row>
    <row r="85" spans="1:19" x14ac:dyDescent="0.5">
      <c r="A85">
        <v>477</v>
      </c>
      <c r="B85" t="s">
        <v>140</v>
      </c>
      <c r="C85" t="s">
        <v>68</v>
      </c>
      <c r="D85">
        <f>INDEX(Standards!$A$2:$A$296,MATCH(B85,Standards!$B$2:$B$296,0))</f>
        <v>178</v>
      </c>
      <c r="E85">
        <f>INDEX(Standards!$A$2:$A$296,MATCH(C85,Standards!$B$2:$B$296,0))</f>
        <v>7</v>
      </c>
      <c r="F85" t="str">
        <f>INDEX(Standards!$N$2:$N$296,MATCH(B85,Standards!$B$2:$B$296,0))</f>
        <v>#70AD47</v>
      </c>
      <c r="G85" t="str">
        <f>INDEX(Standards!$N$2:$N$296,MATCH(C85,Standards!$B$2:$B$296,0))</f>
        <v>#70AD47</v>
      </c>
      <c r="H85" t="s">
        <v>521</v>
      </c>
      <c r="I85" t="s">
        <v>525</v>
      </c>
      <c r="J85" t="str">
        <f>INDEX(Standards!$H$2:$H$296,MATCH(B85,Standards!$B$2:$B$296,0))</f>
        <v>BIM</v>
      </c>
      <c r="K85" t="str">
        <f>INDEX(Standards!$H$2:$H$296,MATCH(C85,Standards!$B$2:$B$296,0))</f>
        <v>BIM</v>
      </c>
      <c r="L85" t="b">
        <f>AND(TableRelationships[[#This Row],[Source Type]]="BIM",TableRelationships[[#This Row],[Target Type]]="BIM")</f>
        <v>1</v>
      </c>
      <c r="M85">
        <f t="shared" si="3"/>
        <v>1</v>
      </c>
      <c r="N85" t="s">
        <v>523</v>
      </c>
      <c r="O85">
        <f t="shared" si="4"/>
        <v>10</v>
      </c>
      <c r="P85" t="str">
        <f>IF(TableRelationships[[#This Row],[Rank Pedro]]="Low","linkCategory1",IF(TableRelationships[[#This Row],[Rank Pedro]]="Medium","linkCategory2",IF(TableRelationships[[#This Row],[Rank Pedro]]="High","linkCategory3","")))</f>
        <v>linkCategory3</v>
      </c>
      <c r="Q85" t="str">
        <f>IF(TableRelationships[[#This Row],[Rank Pedro]]="Low","Pink",IF(TableRelationships[[#This Row],[Rank Pedro]]="Medium","Purple",IF(TableRelationships[[#This Row],[Rank Pedro]]="High","Brown","")))</f>
        <v>Brown</v>
      </c>
      <c r="R85" s="4">
        <f>MAX(INDEX(Standards!$F$2:$F$296,MATCH(B85,Standards!$B$2:$B$296,0)),INDEX(Standards!$F$2:$F$296,MATCH(C85,Standards!$B$2:$B$296,0)))</f>
        <v>41334</v>
      </c>
      <c r="S85" t="str">
        <f t="shared" si="5"/>
        <v>#2f89d1</v>
      </c>
    </row>
    <row r="86" spans="1:19" x14ac:dyDescent="0.5">
      <c r="A86">
        <v>478</v>
      </c>
      <c r="B86" t="s">
        <v>140</v>
      </c>
      <c r="C86" t="s">
        <v>416</v>
      </c>
      <c r="D86">
        <f>INDEX(Standards!$A$2:$A$296,MATCH(B86,Standards!$B$2:$B$296,0))</f>
        <v>178</v>
      </c>
      <c r="E86">
        <f>INDEX(Standards!$A$2:$A$296,MATCH(C86,Standards!$B$2:$B$296,0))</f>
        <v>182</v>
      </c>
      <c r="F86" t="str">
        <f>INDEX(Standards!$N$2:$N$296,MATCH(B86,Standards!$B$2:$B$296,0))</f>
        <v>#70AD47</v>
      </c>
      <c r="G86" t="str">
        <f>INDEX(Standards!$N$2:$N$296,MATCH(C86,Standards!$B$2:$B$296,0))</f>
        <v>#4472C4</v>
      </c>
      <c r="H86" t="s">
        <v>521</v>
      </c>
      <c r="I86" t="s">
        <v>525</v>
      </c>
      <c r="J86" t="str">
        <f>INDEX(Standards!$H$2:$H$296,MATCH(B86,Standards!$B$2:$B$296,0))</f>
        <v>BIM</v>
      </c>
      <c r="K86" t="str">
        <f>INDEX(Standards!$H$2:$H$296,MATCH(C86,Standards!$B$2:$B$296,0))</f>
        <v>Industrial Automation</v>
      </c>
      <c r="L86" t="b">
        <f>AND(TableRelationships[[#This Row],[Source Type]]="BIM",TableRelationships[[#This Row],[Target Type]]="BIM")</f>
        <v>0</v>
      </c>
      <c r="M86">
        <f t="shared" si="3"/>
        <v>1</v>
      </c>
      <c r="N86" t="s">
        <v>523</v>
      </c>
      <c r="O86">
        <f t="shared" si="4"/>
        <v>10</v>
      </c>
      <c r="P86" t="str">
        <f>IF(TableRelationships[[#This Row],[Rank Pedro]]="Low","linkCategory1",IF(TableRelationships[[#This Row],[Rank Pedro]]="Medium","linkCategory2",IF(TableRelationships[[#This Row],[Rank Pedro]]="High","linkCategory3","")))</f>
        <v>linkCategory3</v>
      </c>
      <c r="Q86" t="str">
        <f>IF(TableRelationships[[#This Row],[Rank Pedro]]="Low","Pink",IF(TableRelationships[[#This Row],[Rank Pedro]]="Medium","Purple",IF(TableRelationships[[#This Row],[Rank Pedro]]="High","Brown","")))</f>
        <v>Brown</v>
      </c>
      <c r="R86" s="4">
        <f>MAX(INDEX(Standards!$F$2:$F$296,MATCH(B86,Standards!$B$2:$B$296,0)),INDEX(Standards!$F$2:$F$296,MATCH(C86,Standards!$B$2:$B$296,0)))</f>
        <v>41334</v>
      </c>
      <c r="S86" t="str">
        <f t="shared" si="5"/>
        <v>#2f89d1</v>
      </c>
    </row>
    <row r="87" spans="1:19" x14ac:dyDescent="0.5">
      <c r="A87">
        <v>479</v>
      </c>
      <c r="B87" t="s">
        <v>140</v>
      </c>
      <c r="C87" t="s">
        <v>283</v>
      </c>
      <c r="D87">
        <f>INDEX(Standards!$A$2:$A$296,MATCH(B87,Standards!$B$2:$B$296,0))</f>
        <v>178</v>
      </c>
      <c r="E87">
        <f>INDEX(Standards!$A$2:$A$296,MATCH(C87,Standards!$B$2:$B$296,0))</f>
        <v>111</v>
      </c>
      <c r="F87" t="str">
        <f>INDEX(Standards!$N$2:$N$296,MATCH(B87,Standards!$B$2:$B$296,0))</f>
        <v>#70AD47</v>
      </c>
      <c r="G87" t="str">
        <f>INDEX(Standards!$N$2:$N$296,MATCH(C87,Standards!$B$2:$B$296,0))</f>
        <v>#4472C4</v>
      </c>
      <c r="H87" t="s">
        <v>521</v>
      </c>
      <c r="I87" t="s">
        <v>525</v>
      </c>
      <c r="J87" t="str">
        <f>INDEX(Standards!$H$2:$H$296,MATCH(B87,Standards!$B$2:$B$296,0))</f>
        <v>BIM</v>
      </c>
      <c r="K87" t="str">
        <f>INDEX(Standards!$H$2:$H$296,MATCH(C87,Standards!$B$2:$B$296,0))</f>
        <v>Industrial Automation</v>
      </c>
      <c r="L87" t="b">
        <f>AND(TableRelationships[[#This Row],[Source Type]]="BIM",TableRelationships[[#This Row],[Target Type]]="BIM")</f>
        <v>0</v>
      </c>
      <c r="M87">
        <f t="shared" si="3"/>
        <v>1</v>
      </c>
      <c r="N87" t="s">
        <v>523</v>
      </c>
      <c r="O87">
        <f t="shared" si="4"/>
        <v>10</v>
      </c>
      <c r="P87" t="str">
        <f>IF(TableRelationships[[#This Row],[Rank Pedro]]="Low","linkCategory1",IF(TableRelationships[[#This Row],[Rank Pedro]]="Medium","linkCategory2",IF(TableRelationships[[#This Row],[Rank Pedro]]="High","linkCategory3","")))</f>
        <v>linkCategory3</v>
      </c>
      <c r="Q87" t="str">
        <f>IF(TableRelationships[[#This Row],[Rank Pedro]]="Low","Pink",IF(TableRelationships[[#This Row],[Rank Pedro]]="Medium","Purple",IF(TableRelationships[[#This Row],[Rank Pedro]]="High","Brown","")))</f>
        <v>Brown</v>
      </c>
      <c r="R87" s="4">
        <f>MAX(INDEX(Standards!$F$2:$F$296,MATCH(B87,Standards!$B$2:$B$296,0)),INDEX(Standards!$F$2:$F$296,MATCH(C87,Standards!$B$2:$B$296,0)))</f>
        <v>41334</v>
      </c>
      <c r="S87" t="str">
        <f t="shared" si="5"/>
        <v>#2f89d1</v>
      </c>
    </row>
    <row r="88" spans="1:19" x14ac:dyDescent="0.5">
      <c r="A88">
        <v>480</v>
      </c>
      <c r="B88" t="s">
        <v>140</v>
      </c>
      <c r="C88" t="s">
        <v>144</v>
      </c>
      <c r="D88">
        <f>INDEX(Standards!$A$2:$A$296,MATCH(B88,Standards!$B$2:$B$296,0))</f>
        <v>178</v>
      </c>
      <c r="E88">
        <f>INDEX(Standards!$A$2:$A$296,MATCH(C88,Standards!$B$2:$B$296,0))</f>
        <v>8</v>
      </c>
      <c r="F88" t="str">
        <f>INDEX(Standards!$N$2:$N$296,MATCH(B88,Standards!$B$2:$B$296,0))</f>
        <v>#70AD47</v>
      </c>
      <c r="G88" t="str">
        <f>INDEX(Standards!$N$2:$N$296,MATCH(C88,Standards!$B$2:$B$296,0))</f>
        <v>#70AD47</v>
      </c>
      <c r="H88" t="s">
        <v>521</v>
      </c>
      <c r="I88" t="s">
        <v>525</v>
      </c>
      <c r="J88" t="str">
        <f>INDEX(Standards!$H$2:$H$296,MATCH(B88,Standards!$B$2:$B$296,0))</f>
        <v>BIM</v>
      </c>
      <c r="K88" t="str">
        <f>INDEX(Standards!$H$2:$H$296,MATCH(C88,Standards!$B$2:$B$296,0))</f>
        <v>BIM</v>
      </c>
      <c r="L88" t="b">
        <f>AND(TableRelationships[[#This Row],[Source Type]]="BIM",TableRelationships[[#This Row],[Target Type]]="BIM")</f>
        <v>1</v>
      </c>
      <c r="M88">
        <f t="shared" si="3"/>
        <v>1</v>
      </c>
      <c r="N88" t="s">
        <v>528</v>
      </c>
      <c r="O88">
        <f t="shared" si="4"/>
        <v>6</v>
      </c>
      <c r="P88" t="str">
        <f>IF(TableRelationships[[#This Row],[Rank Pedro]]="Low","linkCategory1",IF(TableRelationships[[#This Row],[Rank Pedro]]="Medium","linkCategory2",IF(TableRelationships[[#This Row],[Rank Pedro]]="High","linkCategory3","")))</f>
        <v>linkCategory2</v>
      </c>
      <c r="Q88" t="str">
        <f>IF(TableRelationships[[#This Row],[Rank Pedro]]="Low","Pink",IF(TableRelationships[[#This Row],[Rank Pedro]]="Medium","Purple",IF(TableRelationships[[#This Row],[Rank Pedro]]="High","Brown","")))</f>
        <v>Purple</v>
      </c>
      <c r="R88" s="4">
        <f>MAX(INDEX(Standards!$F$2:$F$296,MATCH(B88,Standards!$B$2:$B$296,0)),INDEX(Standards!$F$2:$F$296,MATCH(C88,Standards!$B$2:$B$296,0)))</f>
        <v>41334</v>
      </c>
      <c r="S88" t="str">
        <f t="shared" si="5"/>
        <v>#2f89d1</v>
      </c>
    </row>
    <row r="89" spans="1:19" x14ac:dyDescent="0.5">
      <c r="A89">
        <v>473</v>
      </c>
      <c r="B89" t="s">
        <v>140</v>
      </c>
      <c r="C89" t="s">
        <v>412</v>
      </c>
      <c r="D89">
        <f>INDEX(Standards!$A$2:$A$296,MATCH(B89,Standards!$B$2:$B$296,0))</f>
        <v>178</v>
      </c>
      <c r="E89">
        <f>INDEX(Standards!$A$2:$A$296,MATCH(C89,Standards!$B$2:$B$296,0))</f>
        <v>179</v>
      </c>
      <c r="F89" t="str">
        <f>INDEX(Standards!$N$2:$N$296,MATCH(B89,Standards!$B$2:$B$296,0))</f>
        <v>#70AD47</v>
      </c>
      <c r="G89" t="str">
        <f>INDEX(Standards!$N$2:$N$296,MATCH(C89,Standards!$B$2:$B$296,0))</f>
        <v>#7030A0</v>
      </c>
      <c r="H89" t="s">
        <v>521</v>
      </c>
      <c r="I89" t="s">
        <v>525</v>
      </c>
      <c r="J89" t="str">
        <f>INDEX(Standards!$H$2:$H$296,MATCH(B89,Standards!$B$2:$B$296,0))</f>
        <v>BIM</v>
      </c>
      <c r="K89" t="str">
        <f>INDEX(Standards!$H$2:$H$296,MATCH(C89,Standards!$B$2:$B$296,0))</f>
        <v>ICT</v>
      </c>
      <c r="L89" t="b">
        <f>AND(TableRelationships[[#This Row],[Source Type]]="BIM",TableRelationships[[#This Row],[Target Type]]="BIM")</f>
        <v>0</v>
      </c>
      <c r="M89">
        <f t="shared" si="3"/>
        <v>1</v>
      </c>
      <c r="N89" t="s">
        <v>526</v>
      </c>
      <c r="O89">
        <f t="shared" si="4"/>
        <v>2</v>
      </c>
      <c r="P89" t="str">
        <f>IF(TableRelationships[[#This Row],[Rank Pedro]]="Low","linkCategory1",IF(TableRelationships[[#This Row],[Rank Pedro]]="Medium","linkCategory2",IF(TableRelationships[[#This Row],[Rank Pedro]]="High","linkCategory3","")))</f>
        <v>linkCategory1</v>
      </c>
      <c r="Q89" t="str">
        <f>IF(TableRelationships[[#This Row],[Rank Pedro]]="Low","Pink",IF(TableRelationships[[#This Row],[Rank Pedro]]="Medium","Purple",IF(TableRelationships[[#This Row],[Rank Pedro]]="High","Brown","")))</f>
        <v>Pink</v>
      </c>
      <c r="R89" s="4">
        <f>MAX(INDEX(Standards!$F$2:$F$296,MATCH(B89,Standards!$B$2:$B$296,0)),INDEX(Standards!$F$2:$F$296,MATCH(C89,Standards!$B$2:$B$296,0)))</f>
        <v>41334</v>
      </c>
      <c r="S89" t="str">
        <f t="shared" si="5"/>
        <v>#2f89d1</v>
      </c>
    </row>
    <row r="90" spans="1:19" x14ac:dyDescent="0.5">
      <c r="A90">
        <v>475</v>
      </c>
      <c r="B90" t="s">
        <v>140</v>
      </c>
      <c r="C90" t="s">
        <v>414</v>
      </c>
      <c r="D90">
        <f>INDEX(Standards!$A$2:$A$296,MATCH(B90,Standards!$B$2:$B$296,0))</f>
        <v>178</v>
      </c>
      <c r="E90">
        <f>INDEX(Standards!$A$2:$A$296,MATCH(C90,Standards!$B$2:$B$296,0))</f>
        <v>181</v>
      </c>
      <c r="F90" t="str">
        <f>INDEX(Standards!$N$2:$N$296,MATCH(B90,Standards!$B$2:$B$296,0))</f>
        <v>#70AD47</v>
      </c>
      <c r="G90" t="str">
        <f>INDEX(Standards!$N$2:$N$296,MATCH(C90,Standards!$B$2:$B$296,0))</f>
        <v>#7030A0</v>
      </c>
      <c r="H90" t="s">
        <v>521</v>
      </c>
      <c r="I90" t="s">
        <v>525</v>
      </c>
      <c r="J90" t="str">
        <f>INDEX(Standards!$H$2:$H$296,MATCH(B90,Standards!$B$2:$B$296,0))</f>
        <v>BIM</v>
      </c>
      <c r="K90" t="str">
        <f>INDEX(Standards!$H$2:$H$296,MATCH(C90,Standards!$B$2:$B$296,0))</f>
        <v>ICT</v>
      </c>
      <c r="L90" t="b">
        <f>AND(TableRelationships[[#This Row],[Source Type]]="BIM",TableRelationships[[#This Row],[Target Type]]="BIM")</f>
        <v>0</v>
      </c>
      <c r="M90">
        <f t="shared" si="3"/>
        <v>1</v>
      </c>
      <c r="N90" t="s">
        <v>526</v>
      </c>
      <c r="O90">
        <f t="shared" si="4"/>
        <v>2</v>
      </c>
      <c r="P90" t="str">
        <f>IF(TableRelationships[[#This Row],[Rank Pedro]]="Low","linkCategory1",IF(TableRelationships[[#This Row],[Rank Pedro]]="Medium","linkCategory2",IF(TableRelationships[[#This Row],[Rank Pedro]]="High","linkCategory3","")))</f>
        <v>linkCategory1</v>
      </c>
      <c r="Q90" t="str">
        <f>IF(TableRelationships[[#This Row],[Rank Pedro]]="Low","Pink",IF(TableRelationships[[#This Row],[Rank Pedro]]="Medium","Purple",IF(TableRelationships[[#This Row],[Rank Pedro]]="High","Brown","")))</f>
        <v>Pink</v>
      </c>
      <c r="R90" s="4">
        <f>MAX(INDEX(Standards!$F$2:$F$296,MATCH(B90,Standards!$B$2:$B$296,0)),INDEX(Standards!$F$2:$F$296,MATCH(C90,Standards!$B$2:$B$296,0)))</f>
        <v>41334</v>
      </c>
      <c r="S90" t="str">
        <f t="shared" si="5"/>
        <v>#2f89d1</v>
      </c>
    </row>
    <row r="91" spans="1:19" x14ac:dyDescent="0.5">
      <c r="A91">
        <v>173</v>
      </c>
      <c r="B91" t="s">
        <v>144</v>
      </c>
      <c r="C91" t="s">
        <v>236</v>
      </c>
      <c r="D91">
        <f>INDEX(Standards!$A$2:$A$296,MATCH(B91,Standards!$B$2:$B$296,0))</f>
        <v>8</v>
      </c>
      <c r="E91">
        <f>INDEX(Standards!$A$2:$A$296,MATCH(C91,Standards!$B$2:$B$296,0))</f>
        <v>91</v>
      </c>
      <c r="F91" t="str">
        <f>INDEX(Standards!$N$2:$N$296,MATCH(B91,Standards!$B$2:$B$296,0))</f>
        <v>#70AD47</v>
      </c>
      <c r="G91" t="str">
        <f>INDEX(Standards!$N$2:$N$296,MATCH(C91,Standards!$B$2:$B$296,0))</f>
        <v>#F2F2F2</v>
      </c>
      <c r="H91" t="s">
        <v>521</v>
      </c>
      <c r="I91" t="s">
        <v>237</v>
      </c>
      <c r="J91" t="str">
        <f>INDEX(Standards!$H$2:$H$296,MATCH(B91,Standards!$B$2:$B$296,0))</f>
        <v>BIM</v>
      </c>
      <c r="K91" t="str">
        <f>INDEX(Standards!$H$2:$H$296,MATCH(C91,Standards!$B$2:$B$296,0))</f>
        <v>Anchor</v>
      </c>
      <c r="L91" t="b">
        <f>AND(TableRelationships[[#This Row],[Source Type]]="BIM",TableRelationships[[#This Row],[Target Type]]="BIM")</f>
        <v>0</v>
      </c>
      <c r="M91">
        <f t="shared" si="3"/>
        <v>2</v>
      </c>
      <c r="O91">
        <f t="shared" si="4"/>
        <v>1</v>
      </c>
      <c r="P91" t="str">
        <f>IF(TableRelationships[[#This Row],[Rank Pedro]]="Low","linkCategory1",IF(TableRelationships[[#This Row],[Rank Pedro]]="Medium","linkCategory2",IF(TableRelationships[[#This Row],[Rank Pedro]]="High","linkCategory3","")))</f>
        <v/>
      </c>
      <c r="Q91" t="str">
        <f>IF(TableRelationships[[#This Row],[Rank Pedro]]="Low","Pink",IF(TableRelationships[[#This Row],[Rank Pedro]]="Medium","Purple",IF(TableRelationships[[#This Row],[Rank Pedro]]="High","Brown","")))</f>
        <v/>
      </c>
      <c r="R91" s="4">
        <f>MAX(INDEX(Standards!$F$2:$F$296,MATCH(B91,Standards!$B$2:$B$296,0)),INDEX(Standards!$F$2:$F$296,MATCH(C91,Standards!$B$2:$B$296,0)))</f>
        <v>38626</v>
      </c>
      <c r="S91">
        <f t="shared" si="5"/>
        <v>1</v>
      </c>
    </row>
    <row r="92" spans="1:19" x14ac:dyDescent="0.5">
      <c r="A92">
        <v>323</v>
      </c>
      <c r="B92" t="s">
        <v>144</v>
      </c>
      <c r="C92" t="s">
        <v>128</v>
      </c>
      <c r="D92">
        <f>INDEX(Standards!$A$2:$A$296,MATCH(B92,Standards!$B$2:$B$296,0))</f>
        <v>8</v>
      </c>
      <c r="E92">
        <f>INDEX(Standards!$A$2:$A$296,MATCH(C92,Standards!$B$2:$B$296,0))</f>
        <v>43</v>
      </c>
      <c r="F92" t="str">
        <f>INDEX(Standards!$N$2:$N$296,MATCH(B92,Standards!$B$2:$B$296,0))</f>
        <v>#70AD47</v>
      </c>
      <c r="G92" t="str">
        <f>INDEX(Standards!$N$2:$N$296,MATCH(C92,Standards!$B$2:$B$296,0))</f>
        <v>#7030A0</v>
      </c>
      <c r="H92" t="s">
        <v>521</v>
      </c>
      <c r="I92" t="s">
        <v>524</v>
      </c>
      <c r="J92" t="str">
        <f>INDEX(Standards!$H$2:$H$296,MATCH(B92,Standards!$B$2:$B$296,0))</f>
        <v>BIM</v>
      </c>
      <c r="K92" t="str">
        <f>INDEX(Standards!$H$2:$H$296,MATCH(C92,Standards!$B$2:$B$296,0))</f>
        <v>ICT</v>
      </c>
      <c r="L92" t="b">
        <f>AND(TableRelationships[[#This Row],[Source Type]]="BIM",TableRelationships[[#This Row],[Target Type]]="BIM")</f>
        <v>0</v>
      </c>
      <c r="M92">
        <f t="shared" si="3"/>
        <v>6</v>
      </c>
      <c r="N92" t="s">
        <v>523</v>
      </c>
      <c r="O92">
        <f t="shared" si="4"/>
        <v>10</v>
      </c>
      <c r="P92" t="str">
        <f>IF(TableRelationships[[#This Row],[Rank Pedro]]="Low","linkCategory1",IF(TableRelationships[[#This Row],[Rank Pedro]]="Medium","linkCategory2",IF(TableRelationships[[#This Row],[Rank Pedro]]="High","linkCategory3","")))</f>
        <v>linkCategory3</v>
      </c>
      <c r="Q92" t="str">
        <f>IF(TableRelationships[[#This Row],[Rank Pedro]]="Low","Pink",IF(TableRelationships[[#This Row],[Rank Pedro]]="Medium","Purple",IF(TableRelationships[[#This Row],[Rank Pedro]]="High","Brown","")))</f>
        <v>Brown</v>
      </c>
      <c r="R92" s="4">
        <f>MAX(INDEX(Standards!$F$2:$F$296,MATCH(B92,Standards!$B$2:$B$296,0)),INDEX(Standards!$F$2:$F$296,MATCH(C92,Standards!$B$2:$B$296,0)))</f>
        <v>38626</v>
      </c>
      <c r="S92" t="str">
        <f t="shared" si="5"/>
        <v>#d6bf2a</v>
      </c>
    </row>
    <row r="93" spans="1:19" x14ac:dyDescent="0.5">
      <c r="A93">
        <v>324</v>
      </c>
      <c r="B93" t="s">
        <v>144</v>
      </c>
      <c r="C93" t="s">
        <v>259</v>
      </c>
      <c r="D93">
        <f>INDEX(Standards!$A$2:$A$296,MATCH(B93,Standards!$B$2:$B$296,0))</f>
        <v>8</v>
      </c>
      <c r="E93">
        <f>INDEX(Standards!$A$2:$A$296,MATCH(C93,Standards!$B$2:$B$296,0))</f>
        <v>103</v>
      </c>
      <c r="F93" t="str">
        <f>INDEX(Standards!$N$2:$N$296,MATCH(B93,Standards!$B$2:$B$296,0))</f>
        <v>#70AD47</v>
      </c>
      <c r="G93" t="str">
        <f>INDEX(Standards!$N$2:$N$296,MATCH(C93,Standards!$B$2:$B$296,0))</f>
        <v>#4472C4</v>
      </c>
      <c r="H93" t="s">
        <v>521</v>
      </c>
      <c r="I93" t="s">
        <v>524</v>
      </c>
      <c r="J93" t="str">
        <f>INDEX(Standards!$H$2:$H$296,MATCH(B93,Standards!$B$2:$B$296,0))</f>
        <v>BIM</v>
      </c>
      <c r="K93" t="str">
        <f>INDEX(Standards!$H$2:$H$296,MATCH(C93,Standards!$B$2:$B$296,0))</f>
        <v>Industrial Automation</v>
      </c>
      <c r="L93" t="b">
        <f>AND(TableRelationships[[#This Row],[Source Type]]="BIM",TableRelationships[[#This Row],[Target Type]]="BIM")</f>
        <v>0</v>
      </c>
      <c r="M93">
        <f t="shared" si="3"/>
        <v>6</v>
      </c>
      <c r="N93" t="s">
        <v>523</v>
      </c>
      <c r="O93">
        <f t="shared" si="4"/>
        <v>10</v>
      </c>
      <c r="P93" t="str">
        <f>IF(TableRelationships[[#This Row],[Rank Pedro]]="Low","linkCategory1",IF(TableRelationships[[#This Row],[Rank Pedro]]="Medium","linkCategory2",IF(TableRelationships[[#This Row],[Rank Pedro]]="High","linkCategory3","")))</f>
        <v>linkCategory3</v>
      </c>
      <c r="Q93" t="str">
        <f>IF(TableRelationships[[#This Row],[Rank Pedro]]="Low","Pink",IF(TableRelationships[[#This Row],[Rank Pedro]]="Medium","Purple",IF(TableRelationships[[#This Row],[Rank Pedro]]="High","Brown","")))</f>
        <v>Brown</v>
      </c>
      <c r="R93" s="4">
        <f>MAX(INDEX(Standards!$F$2:$F$296,MATCH(B93,Standards!$B$2:$B$296,0)),INDEX(Standards!$F$2:$F$296,MATCH(C93,Standards!$B$2:$B$296,0)))</f>
        <v>38626</v>
      </c>
      <c r="S93" t="str">
        <f t="shared" si="5"/>
        <v>#d6bf2a</v>
      </c>
    </row>
    <row r="94" spans="1:19" x14ac:dyDescent="0.5">
      <c r="A94">
        <v>325</v>
      </c>
      <c r="B94" t="s">
        <v>144</v>
      </c>
      <c r="C94" t="s">
        <v>164</v>
      </c>
      <c r="D94">
        <f>INDEX(Standards!$A$2:$A$296,MATCH(B94,Standards!$B$2:$B$296,0))</f>
        <v>8</v>
      </c>
      <c r="E94">
        <f>INDEX(Standards!$A$2:$A$296,MATCH(C94,Standards!$B$2:$B$296,0))</f>
        <v>60</v>
      </c>
      <c r="F94" t="str">
        <f>INDEX(Standards!$N$2:$N$296,MATCH(B94,Standards!$B$2:$B$296,0))</f>
        <v>#70AD47</v>
      </c>
      <c r="G94" t="str">
        <f>INDEX(Standards!$N$2:$N$296,MATCH(C94,Standards!$B$2:$B$296,0))</f>
        <v>#7030A0</v>
      </c>
      <c r="H94" t="s">
        <v>521</v>
      </c>
      <c r="I94" t="s">
        <v>524</v>
      </c>
      <c r="J94" t="str">
        <f>INDEX(Standards!$H$2:$H$296,MATCH(B94,Standards!$B$2:$B$296,0))</f>
        <v>BIM</v>
      </c>
      <c r="K94" t="str">
        <f>INDEX(Standards!$H$2:$H$296,MATCH(C94,Standards!$B$2:$B$296,0))</f>
        <v>ICT</v>
      </c>
      <c r="L94" t="b">
        <f>AND(TableRelationships[[#This Row],[Source Type]]="BIM",TableRelationships[[#This Row],[Target Type]]="BIM")</f>
        <v>0</v>
      </c>
      <c r="M94">
        <f t="shared" si="3"/>
        <v>6</v>
      </c>
      <c r="N94" t="s">
        <v>523</v>
      </c>
      <c r="O94">
        <f t="shared" si="4"/>
        <v>10</v>
      </c>
      <c r="P94" t="str">
        <f>IF(TableRelationships[[#This Row],[Rank Pedro]]="Low","linkCategory1",IF(TableRelationships[[#This Row],[Rank Pedro]]="Medium","linkCategory2",IF(TableRelationships[[#This Row],[Rank Pedro]]="High","linkCategory3","")))</f>
        <v>linkCategory3</v>
      </c>
      <c r="Q94" t="str">
        <f>IF(TableRelationships[[#This Row],[Rank Pedro]]="Low","Pink",IF(TableRelationships[[#This Row],[Rank Pedro]]="Medium","Purple",IF(TableRelationships[[#This Row],[Rank Pedro]]="High","Brown","")))</f>
        <v>Brown</v>
      </c>
      <c r="R94" s="4">
        <f>MAX(INDEX(Standards!$F$2:$F$296,MATCH(B94,Standards!$B$2:$B$296,0)),INDEX(Standards!$F$2:$F$296,MATCH(C94,Standards!$B$2:$B$296,0)))</f>
        <v>38626</v>
      </c>
      <c r="S94" t="str">
        <f t="shared" si="5"/>
        <v>#d6bf2a</v>
      </c>
    </row>
    <row r="95" spans="1:19" x14ac:dyDescent="0.5">
      <c r="A95">
        <v>191</v>
      </c>
      <c r="B95" t="s">
        <v>170</v>
      </c>
      <c r="C95" t="s">
        <v>236</v>
      </c>
      <c r="D95">
        <f>INDEX(Standards!$A$2:$A$296,MATCH(B95,Standards!$B$2:$B$296,0))</f>
        <v>49</v>
      </c>
      <c r="E95">
        <f>INDEX(Standards!$A$2:$A$296,MATCH(C95,Standards!$B$2:$B$296,0))</f>
        <v>91</v>
      </c>
      <c r="F95" t="str">
        <f>INDEX(Standards!$N$2:$N$296,MATCH(B95,Standards!$B$2:$B$296,0))</f>
        <v>#70AD47</v>
      </c>
      <c r="G95" t="str">
        <f>INDEX(Standards!$N$2:$N$296,MATCH(C95,Standards!$B$2:$B$296,0))</f>
        <v>#F2F2F2</v>
      </c>
      <c r="H95" t="s">
        <v>521</v>
      </c>
      <c r="I95" t="s">
        <v>237</v>
      </c>
      <c r="J95" t="str">
        <f>INDEX(Standards!$H$2:$H$296,MATCH(B95,Standards!$B$2:$B$296,0))</f>
        <v>BIM</v>
      </c>
      <c r="K95" t="str">
        <f>INDEX(Standards!$H$2:$H$296,MATCH(C95,Standards!$B$2:$B$296,0))</f>
        <v>Anchor</v>
      </c>
      <c r="L95" t="b">
        <f>AND(TableRelationships[[#This Row],[Source Type]]="BIM",TableRelationships[[#This Row],[Target Type]]="BIM")</f>
        <v>0</v>
      </c>
      <c r="M95">
        <f t="shared" si="3"/>
        <v>2</v>
      </c>
      <c r="O95">
        <f t="shared" si="4"/>
        <v>1</v>
      </c>
      <c r="P95" t="str">
        <f>IF(TableRelationships[[#This Row],[Rank Pedro]]="Low","linkCategory1",IF(TableRelationships[[#This Row],[Rank Pedro]]="Medium","linkCategory2",IF(TableRelationships[[#This Row],[Rank Pedro]]="High","linkCategory3","")))</f>
        <v/>
      </c>
      <c r="Q95" t="str">
        <f>IF(TableRelationships[[#This Row],[Rank Pedro]]="Low","Pink",IF(TableRelationships[[#This Row],[Rank Pedro]]="Medium","Purple",IF(TableRelationships[[#This Row],[Rank Pedro]]="High","Brown","")))</f>
        <v/>
      </c>
      <c r="R95" s="4">
        <f>MAX(INDEX(Standards!$F$2:$F$296,MATCH(B95,Standards!$B$2:$B$296,0)),INDEX(Standards!$F$2:$F$296,MATCH(C95,Standards!$B$2:$B$296,0)))</f>
        <v>42036</v>
      </c>
      <c r="S95">
        <f t="shared" si="5"/>
        <v>1</v>
      </c>
    </row>
    <row r="96" spans="1:19" x14ac:dyDescent="0.5">
      <c r="A96">
        <v>102</v>
      </c>
      <c r="B96" t="s">
        <v>170</v>
      </c>
      <c r="C96" t="s">
        <v>162</v>
      </c>
      <c r="D96">
        <f>INDEX(Standards!$A$2:$A$296,MATCH(B96,Standards!$B$2:$B$296,0))</f>
        <v>49</v>
      </c>
      <c r="E96">
        <f>INDEX(Standards!$A$2:$A$296,MATCH(C96,Standards!$B$2:$B$296,0))</f>
        <v>59</v>
      </c>
      <c r="F96" t="str">
        <f>INDEX(Standards!$N$2:$N$296,MATCH(B96,Standards!$B$2:$B$296,0))</f>
        <v>#70AD47</v>
      </c>
      <c r="G96" t="str">
        <f>INDEX(Standards!$N$2:$N$296,MATCH(C96,Standards!$B$2:$B$296,0))</f>
        <v>#7030A0</v>
      </c>
      <c r="H96" t="s">
        <v>521</v>
      </c>
      <c r="I96" t="s">
        <v>525</v>
      </c>
      <c r="J96" t="str">
        <f>INDEX(Standards!$H$2:$H$296,MATCH(B96,Standards!$B$2:$B$296,0))</f>
        <v>BIM</v>
      </c>
      <c r="K96" t="str">
        <f>INDEX(Standards!$H$2:$H$296,MATCH(C96,Standards!$B$2:$B$296,0))</f>
        <v>ICT</v>
      </c>
      <c r="L96" t="b">
        <f>AND(TableRelationships[[#This Row],[Source Type]]="BIM",TableRelationships[[#This Row],[Target Type]]="BIM")</f>
        <v>0</v>
      </c>
      <c r="M96">
        <f t="shared" si="3"/>
        <v>1</v>
      </c>
      <c r="N96" t="s">
        <v>526</v>
      </c>
      <c r="O96">
        <f t="shared" si="4"/>
        <v>2</v>
      </c>
      <c r="P96" t="str">
        <f>IF(TableRelationships[[#This Row],[Rank Pedro]]="Low","linkCategory1",IF(TableRelationships[[#This Row],[Rank Pedro]]="Medium","linkCategory2",IF(TableRelationships[[#This Row],[Rank Pedro]]="High","linkCategory3","")))</f>
        <v>linkCategory1</v>
      </c>
      <c r="Q96" t="str">
        <f>IF(TableRelationships[[#This Row],[Rank Pedro]]="Low","Pink",IF(TableRelationships[[#This Row],[Rank Pedro]]="Medium","Purple",IF(TableRelationships[[#This Row],[Rank Pedro]]="High","Brown","")))</f>
        <v>Pink</v>
      </c>
      <c r="R96" s="4">
        <f>MAX(INDEX(Standards!$F$2:$F$296,MATCH(B96,Standards!$B$2:$B$296,0)),INDEX(Standards!$F$2:$F$296,MATCH(C96,Standards!$B$2:$B$296,0)))</f>
        <v>42036</v>
      </c>
      <c r="S96" t="str">
        <f t="shared" si="5"/>
        <v>#2f89d1</v>
      </c>
    </row>
    <row r="97" spans="1:19" x14ac:dyDescent="0.5">
      <c r="A97">
        <v>101</v>
      </c>
      <c r="B97" t="s">
        <v>170</v>
      </c>
      <c r="C97" t="s">
        <v>160</v>
      </c>
      <c r="D97">
        <f>INDEX(Standards!$A$2:$A$296,MATCH(B97,Standards!$B$2:$B$296,0))</f>
        <v>49</v>
      </c>
      <c r="E97">
        <f>INDEX(Standards!$A$2:$A$296,MATCH(C97,Standards!$B$2:$B$296,0))</f>
        <v>58</v>
      </c>
      <c r="F97" t="str">
        <f>INDEX(Standards!$N$2:$N$296,MATCH(B97,Standards!$B$2:$B$296,0))</f>
        <v>#70AD47</v>
      </c>
      <c r="G97" t="str">
        <f>INDEX(Standards!$N$2:$N$296,MATCH(C97,Standards!$B$2:$B$296,0))</f>
        <v>#4472C4</v>
      </c>
      <c r="H97" t="s">
        <v>521</v>
      </c>
      <c r="I97" t="s">
        <v>525</v>
      </c>
      <c r="J97" t="str">
        <f>INDEX(Standards!$H$2:$H$296,MATCH(B97,Standards!$B$2:$B$296,0))</f>
        <v>BIM</v>
      </c>
      <c r="K97" t="str">
        <f>INDEX(Standards!$H$2:$H$296,MATCH(C97,Standards!$B$2:$B$296,0))</f>
        <v>Industrial Automation</v>
      </c>
      <c r="L97" t="b">
        <f>AND(TableRelationships[[#This Row],[Source Type]]="BIM",TableRelationships[[#This Row],[Target Type]]="BIM")</f>
        <v>0</v>
      </c>
      <c r="M97">
        <f t="shared" si="3"/>
        <v>1</v>
      </c>
      <c r="N97" t="s">
        <v>526</v>
      </c>
      <c r="O97">
        <f t="shared" si="4"/>
        <v>2</v>
      </c>
      <c r="P97" t="str">
        <f>IF(TableRelationships[[#This Row],[Rank Pedro]]="Low","linkCategory1",IF(TableRelationships[[#This Row],[Rank Pedro]]="Medium","linkCategory2",IF(TableRelationships[[#This Row],[Rank Pedro]]="High","linkCategory3","")))</f>
        <v>linkCategory1</v>
      </c>
      <c r="Q97" t="str">
        <f>IF(TableRelationships[[#This Row],[Rank Pedro]]="Low","Pink",IF(TableRelationships[[#This Row],[Rank Pedro]]="Medium","Purple",IF(TableRelationships[[#This Row],[Rank Pedro]]="High","Brown","")))</f>
        <v>Pink</v>
      </c>
      <c r="R97" s="4">
        <f>MAX(INDEX(Standards!$F$2:$F$296,MATCH(B97,Standards!$B$2:$B$296,0)),INDEX(Standards!$F$2:$F$296,MATCH(C97,Standards!$B$2:$B$296,0)))</f>
        <v>42036</v>
      </c>
      <c r="S97" t="str">
        <f t="shared" si="5"/>
        <v>#2f89d1</v>
      </c>
    </row>
    <row r="98" spans="1:19" x14ac:dyDescent="0.5">
      <c r="A98">
        <v>93</v>
      </c>
      <c r="B98" t="s">
        <v>170</v>
      </c>
      <c r="C98" t="s">
        <v>68</v>
      </c>
      <c r="D98">
        <f>INDEX(Standards!$A$2:$A$296,MATCH(B98,Standards!$B$2:$B$296,0))</f>
        <v>49</v>
      </c>
      <c r="E98">
        <f>INDEX(Standards!$A$2:$A$296,MATCH(C98,Standards!$B$2:$B$296,0))</f>
        <v>7</v>
      </c>
      <c r="F98" t="str">
        <f>INDEX(Standards!$N$2:$N$296,MATCH(B98,Standards!$B$2:$B$296,0))</f>
        <v>#70AD47</v>
      </c>
      <c r="G98" t="str">
        <f>INDEX(Standards!$N$2:$N$296,MATCH(C98,Standards!$B$2:$B$296,0))</f>
        <v>#70AD47</v>
      </c>
      <c r="H98" t="s">
        <v>521</v>
      </c>
      <c r="I98" t="s">
        <v>524</v>
      </c>
      <c r="J98" t="str">
        <f>INDEX(Standards!$H$2:$H$296,MATCH(B98,Standards!$B$2:$B$296,0))</f>
        <v>BIM</v>
      </c>
      <c r="K98" t="str">
        <f>INDEX(Standards!$H$2:$H$296,MATCH(C98,Standards!$B$2:$B$296,0))</f>
        <v>BIM</v>
      </c>
      <c r="L98" t="b">
        <f>AND(TableRelationships[[#This Row],[Source Type]]="BIM",TableRelationships[[#This Row],[Target Type]]="BIM")</f>
        <v>1</v>
      </c>
      <c r="M98">
        <f t="shared" si="3"/>
        <v>6</v>
      </c>
      <c r="N98" t="s">
        <v>526</v>
      </c>
      <c r="O98">
        <f t="shared" si="4"/>
        <v>2</v>
      </c>
      <c r="P98" t="str">
        <f>IF(TableRelationships[[#This Row],[Rank Pedro]]="Low","linkCategory1",IF(TableRelationships[[#This Row],[Rank Pedro]]="Medium","linkCategory2",IF(TableRelationships[[#This Row],[Rank Pedro]]="High","linkCategory3","")))</f>
        <v>linkCategory1</v>
      </c>
      <c r="Q98" t="str">
        <f>IF(TableRelationships[[#This Row],[Rank Pedro]]="Low","Pink",IF(TableRelationships[[#This Row],[Rank Pedro]]="Medium","Purple",IF(TableRelationships[[#This Row],[Rank Pedro]]="High","Brown","")))</f>
        <v>Pink</v>
      </c>
      <c r="R98" s="4">
        <f>MAX(INDEX(Standards!$F$2:$F$296,MATCH(B98,Standards!$B$2:$B$296,0)),INDEX(Standards!$F$2:$F$296,MATCH(C98,Standards!$B$2:$B$296,0)))</f>
        <v>42036</v>
      </c>
      <c r="S98" t="str">
        <f t="shared" si="5"/>
        <v>#d6bf2a</v>
      </c>
    </row>
    <row r="99" spans="1:19" x14ac:dyDescent="0.5">
      <c r="A99">
        <v>94</v>
      </c>
      <c r="B99" t="s">
        <v>170</v>
      </c>
      <c r="C99" t="s">
        <v>148</v>
      </c>
      <c r="D99">
        <f>INDEX(Standards!$A$2:$A$296,MATCH(B99,Standards!$B$2:$B$296,0))</f>
        <v>49</v>
      </c>
      <c r="E99">
        <f>INDEX(Standards!$A$2:$A$296,MATCH(C99,Standards!$B$2:$B$296,0))</f>
        <v>52</v>
      </c>
      <c r="F99" t="str">
        <f>INDEX(Standards!$N$2:$N$296,MATCH(B99,Standards!$B$2:$B$296,0))</f>
        <v>#70AD47</v>
      </c>
      <c r="G99" t="str">
        <f>INDEX(Standards!$N$2:$N$296,MATCH(C99,Standards!$B$2:$B$296,0))</f>
        <v>#4472C4</v>
      </c>
      <c r="H99" t="s">
        <v>521</v>
      </c>
      <c r="I99" t="s">
        <v>524</v>
      </c>
      <c r="J99" t="str">
        <f>INDEX(Standards!$H$2:$H$296,MATCH(B99,Standards!$B$2:$B$296,0))</f>
        <v>BIM</v>
      </c>
      <c r="K99" t="str">
        <f>INDEX(Standards!$H$2:$H$296,MATCH(C99,Standards!$B$2:$B$296,0))</f>
        <v>Industrial Automation</v>
      </c>
      <c r="L99" t="b">
        <f>AND(TableRelationships[[#This Row],[Source Type]]="BIM",TableRelationships[[#This Row],[Target Type]]="BIM")</f>
        <v>0</v>
      </c>
      <c r="M99">
        <f t="shared" si="3"/>
        <v>6</v>
      </c>
      <c r="N99" t="s">
        <v>528</v>
      </c>
      <c r="O99">
        <f t="shared" si="4"/>
        <v>6</v>
      </c>
      <c r="P99" t="str">
        <f>IF(TableRelationships[[#This Row],[Rank Pedro]]="Low","linkCategory1",IF(TableRelationships[[#This Row],[Rank Pedro]]="Medium","linkCategory2",IF(TableRelationships[[#This Row],[Rank Pedro]]="High","linkCategory3","")))</f>
        <v>linkCategory2</v>
      </c>
      <c r="Q99" t="str">
        <f>IF(TableRelationships[[#This Row],[Rank Pedro]]="Low","Pink",IF(TableRelationships[[#This Row],[Rank Pedro]]="Medium","Purple",IF(TableRelationships[[#This Row],[Rank Pedro]]="High","Brown","")))</f>
        <v>Purple</v>
      </c>
      <c r="R99" s="4">
        <f>MAX(INDEX(Standards!$F$2:$F$296,MATCH(B99,Standards!$B$2:$B$296,0)),INDEX(Standards!$F$2:$F$296,MATCH(C99,Standards!$B$2:$B$296,0)))</f>
        <v>42036</v>
      </c>
      <c r="S99" t="str">
        <f t="shared" si="5"/>
        <v>#d6bf2a</v>
      </c>
    </row>
    <row r="100" spans="1:19" x14ac:dyDescent="0.5">
      <c r="A100">
        <v>95</v>
      </c>
      <c r="B100" t="s">
        <v>170</v>
      </c>
      <c r="C100" t="s">
        <v>150</v>
      </c>
      <c r="D100">
        <f>INDEX(Standards!$A$2:$A$296,MATCH(B100,Standards!$B$2:$B$296,0))</f>
        <v>49</v>
      </c>
      <c r="E100">
        <f>INDEX(Standards!$A$2:$A$296,MATCH(C100,Standards!$B$2:$B$296,0))</f>
        <v>53</v>
      </c>
      <c r="F100" t="str">
        <f>INDEX(Standards!$N$2:$N$296,MATCH(B100,Standards!$B$2:$B$296,0))</f>
        <v>#70AD47</v>
      </c>
      <c r="G100" t="str">
        <f>INDEX(Standards!$N$2:$N$296,MATCH(C100,Standards!$B$2:$B$296,0))</f>
        <v>#4472C4</v>
      </c>
      <c r="H100" t="s">
        <v>521</v>
      </c>
      <c r="I100" t="s">
        <v>524</v>
      </c>
      <c r="J100" t="str">
        <f>INDEX(Standards!$H$2:$H$296,MATCH(B100,Standards!$B$2:$B$296,0))</f>
        <v>BIM</v>
      </c>
      <c r="K100" t="str">
        <f>INDEX(Standards!$H$2:$H$296,MATCH(C100,Standards!$B$2:$B$296,0))</f>
        <v>Industrial Automation</v>
      </c>
      <c r="L100" t="b">
        <f>AND(TableRelationships[[#This Row],[Source Type]]="BIM",TableRelationships[[#This Row],[Target Type]]="BIM")</f>
        <v>0</v>
      </c>
      <c r="M100">
        <f t="shared" si="3"/>
        <v>6</v>
      </c>
      <c r="N100" t="s">
        <v>528</v>
      </c>
      <c r="O100">
        <f t="shared" si="4"/>
        <v>6</v>
      </c>
      <c r="P100" t="str">
        <f>IF(TableRelationships[[#This Row],[Rank Pedro]]="Low","linkCategory1",IF(TableRelationships[[#This Row],[Rank Pedro]]="Medium","linkCategory2",IF(TableRelationships[[#This Row],[Rank Pedro]]="High","linkCategory3","")))</f>
        <v>linkCategory2</v>
      </c>
      <c r="Q100" t="str">
        <f>IF(TableRelationships[[#This Row],[Rank Pedro]]="Low","Pink",IF(TableRelationships[[#This Row],[Rank Pedro]]="Medium","Purple",IF(TableRelationships[[#This Row],[Rank Pedro]]="High","Brown","")))</f>
        <v>Purple</v>
      </c>
      <c r="R100" s="4">
        <f>MAX(INDEX(Standards!$F$2:$F$296,MATCH(B100,Standards!$B$2:$B$296,0)),INDEX(Standards!$F$2:$F$296,MATCH(C100,Standards!$B$2:$B$296,0)))</f>
        <v>42036</v>
      </c>
      <c r="S100" t="str">
        <f t="shared" si="5"/>
        <v>#d6bf2a</v>
      </c>
    </row>
    <row r="101" spans="1:19" x14ac:dyDescent="0.5">
      <c r="A101">
        <v>99</v>
      </c>
      <c r="B101" t="s">
        <v>170</v>
      </c>
      <c r="C101" t="s">
        <v>156</v>
      </c>
      <c r="D101">
        <f>INDEX(Standards!$A$2:$A$296,MATCH(B101,Standards!$B$2:$B$296,0))</f>
        <v>49</v>
      </c>
      <c r="E101">
        <f>INDEX(Standards!$A$2:$A$296,MATCH(C101,Standards!$B$2:$B$296,0))</f>
        <v>56</v>
      </c>
      <c r="F101" t="str">
        <f>INDEX(Standards!$N$2:$N$296,MATCH(B101,Standards!$B$2:$B$296,0))</f>
        <v>#70AD47</v>
      </c>
      <c r="G101" t="str">
        <f>INDEX(Standards!$N$2:$N$296,MATCH(C101,Standards!$B$2:$B$296,0))</f>
        <v>#44546A</v>
      </c>
      <c r="H101" t="s">
        <v>521</v>
      </c>
      <c r="I101" t="s">
        <v>525</v>
      </c>
      <c r="J101" t="str">
        <f>INDEX(Standards!$H$2:$H$296,MATCH(B101,Standards!$B$2:$B$296,0))</f>
        <v>BIM</v>
      </c>
      <c r="K101" t="str">
        <f>INDEX(Standards!$H$2:$H$296,MATCH(C101,Standards!$B$2:$B$296,0))</f>
        <v>FM</v>
      </c>
      <c r="L101" t="b">
        <f>AND(TableRelationships[[#This Row],[Source Type]]="BIM",TableRelationships[[#This Row],[Target Type]]="BIM")</f>
        <v>0</v>
      </c>
      <c r="M101">
        <f t="shared" si="3"/>
        <v>1</v>
      </c>
      <c r="N101" t="s">
        <v>526</v>
      </c>
      <c r="O101">
        <f t="shared" si="4"/>
        <v>2</v>
      </c>
      <c r="P101" t="str">
        <f>IF(TableRelationships[[#This Row],[Rank Pedro]]="Low","linkCategory1",IF(TableRelationships[[#This Row],[Rank Pedro]]="Medium","linkCategory2",IF(TableRelationships[[#This Row],[Rank Pedro]]="High","linkCategory3","")))</f>
        <v>linkCategory1</v>
      </c>
      <c r="Q101" t="str">
        <f>IF(TableRelationships[[#This Row],[Rank Pedro]]="Low","Pink",IF(TableRelationships[[#This Row],[Rank Pedro]]="Medium","Purple",IF(TableRelationships[[#This Row],[Rank Pedro]]="High","Brown","")))</f>
        <v>Pink</v>
      </c>
      <c r="R101" s="4">
        <f>MAX(INDEX(Standards!$F$2:$F$296,MATCH(B101,Standards!$B$2:$B$296,0)),INDEX(Standards!$F$2:$F$296,MATCH(C101,Standards!$B$2:$B$296,0)))</f>
        <v>42036</v>
      </c>
      <c r="S101" t="str">
        <f t="shared" si="5"/>
        <v>#2f89d1</v>
      </c>
    </row>
    <row r="102" spans="1:19" x14ac:dyDescent="0.5">
      <c r="A102">
        <v>96</v>
      </c>
      <c r="B102" t="s">
        <v>170</v>
      </c>
      <c r="C102" t="s">
        <v>144</v>
      </c>
      <c r="D102">
        <f>INDEX(Standards!$A$2:$A$296,MATCH(B102,Standards!$B$2:$B$296,0))</f>
        <v>49</v>
      </c>
      <c r="E102">
        <f>INDEX(Standards!$A$2:$A$296,MATCH(C102,Standards!$B$2:$B$296,0))</f>
        <v>8</v>
      </c>
      <c r="F102" t="str">
        <f>INDEX(Standards!$N$2:$N$296,MATCH(B102,Standards!$B$2:$B$296,0))</f>
        <v>#70AD47</v>
      </c>
      <c r="G102" t="str">
        <f>INDEX(Standards!$N$2:$N$296,MATCH(C102,Standards!$B$2:$B$296,0))</f>
        <v>#70AD47</v>
      </c>
      <c r="H102" t="s">
        <v>521</v>
      </c>
      <c r="I102" t="s">
        <v>525</v>
      </c>
      <c r="J102" t="str">
        <f>INDEX(Standards!$H$2:$H$296,MATCH(B102,Standards!$B$2:$B$296,0))</f>
        <v>BIM</v>
      </c>
      <c r="K102" t="str">
        <f>INDEX(Standards!$H$2:$H$296,MATCH(C102,Standards!$B$2:$B$296,0))</f>
        <v>BIM</v>
      </c>
      <c r="L102" t="b">
        <f>AND(TableRelationships[[#This Row],[Source Type]]="BIM",TableRelationships[[#This Row],[Target Type]]="BIM")</f>
        <v>1</v>
      </c>
      <c r="M102">
        <f t="shared" si="3"/>
        <v>1</v>
      </c>
      <c r="N102" t="s">
        <v>528</v>
      </c>
      <c r="O102">
        <f t="shared" si="4"/>
        <v>6</v>
      </c>
      <c r="P102" t="str">
        <f>IF(TableRelationships[[#This Row],[Rank Pedro]]="Low","linkCategory1",IF(TableRelationships[[#This Row],[Rank Pedro]]="Medium","linkCategory2",IF(TableRelationships[[#This Row],[Rank Pedro]]="High","linkCategory3","")))</f>
        <v>linkCategory2</v>
      </c>
      <c r="Q102" t="str">
        <f>IF(TableRelationships[[#This Row],[Rank Pedro]]="Low","Pink",IF(TableRelationships[[#This Row],[Rank Pedro]]="Medium","Purple",IF(TableRelationships[[#This Row],[Rank Pedro]]="High","Brown","")))</f>
        <v>Purple</v>
      </c>
      <c r="R102" s="4">
        <f>MAX(INDEX(Standards!$F$2:$F$296,MATCH(B102,Standards!$B$2:$B$296,0)),INDEX(Standards!$F$2:$F$296,MATCH(C102,Standards!$B$2:$B$296,0)))</f>
        <v>42036</v>
      </c>
      <c r="S102" t="str">
        <f t="shared" si="5"/>
        <v>#2f89d1</v>
      </c>
    </row>
    <row r="103" spans="1:19" x14ac:dyDescent="0.5">
      <c r="A103">
        <v>279</v>
      </c>
      <c r="B103" t="s">
        <v>170</v>
      </c>
      <c r="C103" t="s">
        <v>174</v>
      </c>
      <c r="D103">
        <f>INDEX(Standards!$A$2:$A$296,MATCH(B103,Standards!$B$2:$B$296,0))</f>
        <v>49</v>
      </c>
      <c r="E103">
        <f>INDEX(Standards!$A$2:$A$296,MATCH(C103,Standards!$B$2:$B$296,0))</f>
        <v>50</v>
      </c>
      <c r="F103" t="str">
        <f>INDEX(Standards!$N$2:$N$296,MATCH(B103,Standards!$B$2:$B$296,0))</f>
        <v>#70AD47</v>
      </c>
      <c r="G103" t="str">
        <f>INDEX(Standards!$N$2:$N$296,MATCH(C103,Standards!$B$2:$B$296,0))</f>
        <v>#70AD47</v>
      </c>
      <c r="H103" t="s">
        <v>521</v>
      </c>
      <c r="I103" t="s">
        <v>525</v>
      </c>
      <c r="J103" t="str">
        <f>INDEX(Standards!$H$2:$H$296,MATCH(B103,Standards!$B$2:$B$296,0))</f>
        <v>BIM</v>
      </c>
      <c r="K103" t="str">
        <f>INDEX(Standards!$H$2:$H$296,MATCH(C103,Standards!$B$2:$B$296,0))</f>
        <v>BIM</v>
      </c>
      <c r="L103" t="b">
        <f>AND(TableRelationships[[#This Row],[Source Type]]="BIM",TableRelationships[[#This Row],[Target Type]]="BIM")</f>
        <v>1</v>
      </c>
      <c r="M103">
        <f t="shared" si="3"/>
        <v>1</v>
      </c>
      <c r="N103" t="s">
        <v>523</v>
      </c>
      <c r="O103">
        <f t="shared" si="4"/>
        <v>10</v>
      </c>
      <c r="P103" t="str">
        <f>IF(TableRelationships[[#This Row],[Rank Pedro]]="Low","linkCategory1",IF(TableRelationships[[#This Row],[Rank Pedro]]="Medium","linkCategory2",IF(TableRelationships[[#This Row],[Rank Pedro]]="High","linkCategory3","")))</f>
        <v>linkCategory3</v>
      </c>
      <c r="Q103" t="str">
        <f>IF(TableRelationships[[#This Row],[Rank Pedro]]="Low","Pink",IF(TableRelationships[[#This Row],[Rank Pedro]]="Medium","Purple",IF(TableRelationships[[#This Row],[Rank Pedro]]="High","Brown","")))</f>
        <v>Brown</v>
      </c>
      <c r="R103" s="4">
        <f>MAX(INDEX(Standards!$F$2:$F$296,MATCH(B103,Standards!$B$2:$B$296,0)),INDEX(Standards!$F$2:$F$296,MATCH(C103,Standards!$B$2:$B$296,0)))</f>
        <v>42675</v>
      </c>
      <c r="S103" t="str">
        <f t="shared" si="5"/>
        <v>#2f89d1</v>
      </c>
    </row>
    <row r="104" spans="1:19" x14ac:dyDescent="0.5">
      <c r="A104">
        <v>97</v>
      </c>
      <c r="B104" t="s">
        <v>170</v>
      </c>
      <c r="C104" t="s">
        <v>152</v>
      </c>
      <c r="D104">
        <f>INDEX(Standards!$A$2:$A$296,MATCH(B104,Standards!$B$2:$B$296,0))</f>
        <v>49</v>
      </c>
      <c r="E104">
        <f>INDEX(Standards!$A$2:$A$296,MATCH(C104,Standards!$B$2:$B$296,0))</f>
        <v>54</v>
      </c>
      <c r="F104" t="str">
        <f>INDEX(Standards!$N$2:$N$296,MATCH(B104,Standards!$B$2:$B$296,0))</f>
        <v>#70AD47</v>
      </c>
      <c r="G104" t="str">
        <f>INDEX(Standards!$N$2:$N$296,MATCH(C104,Standards!$B$2:$B$296,0))</f>
        <v>#7030A0</v>
      </c>
      <c r="H104" t="s">
        <v>521</v>
      </c>
      <c r="I104" t="s">
        <v>525</v>
      </c>
      <c r="J104" t="str">
        <f>INDEX(Standards!$H$2:$H$296,MATCH(B104,Standards!$B$2:$B$296,0))</f>
        <v>BIM</v>
      </c>
      <c r="K104" t="str">
        <f>INDEX(Standards!$H$2:$H$296,MATCH(C104,Standards!$B$2:$B$296,0))</f>
        <v>ICT</v>
      </c>
      <c r="L104" t="b">
        <f>AND(TableRelationships[[#This Row],[Source Type]]="BIM",TableRelationships[[#This Row],[Target Type]]="BIM")</f>
        <v>0</v>
      </c>
      <c r="M104">
        <f t="shared" si="3"/>
        <v>1</v>
      </c>
      <c r="N104" t="s">
        <v>526</v>
      </c>
      <c r="O104">
        <f t="shared" si="4"/>
        <v>2</v>
      </c>
      <c r="P104" t="str">
        <f>IF(TableRelationships[[#This Row],[Rank Pedro]]="Low","linkCategory1",IF(TableRelationships[[#This Row],[Rank Pedro]]="Medium","linkCategory2",IF(TableRelationships[[#This Row],[Rank Pedro]]="High","linkCategory3","")))</f>
        <v>linkCategory1</v>
      </c>
      <c r="Q104" t="str">
        <f>IF(TableRelationships[[#This Row],[Rank Pedro]]="Low","Pink",IF(TableRelationships[[#This Row],[Rank Pedro]]="Medium","Purple",IF(TableRelationships[[#This Row],[Rank Pedro]]="High","Brown","")))</f>
        <v>Pink</v>
      </c>
      <c r="R104" s="4">
        <f>MAX(INDEX(Standards!$F$2:$F$296,MATCH(B104,Standards!$B$2:$B$296,0)),INDEX(Standards!$F$2:$F$296,MATCH(C104,Standards!$B$2:$B$296,0)))</f>
        <v>42036</v>
      </c>
      <c r="S104" t="str">
        <f t="shared" si="5"/>
        <v>#2f89d1</v>
      </c>
    </row>
    <row r="105" spans="1:19" x14ac:dyDescent="0.5">
      <c r="A105">
        <v>100</v>
      </c>
      <c r="B105" t="s">
        <v>170</v>
      </c>
      <c r="C105" t="s">
        <v>158</v>
      </c>
      <c r="D105">
        <f>INDEX(Standards!$A$2:$A$296,MATCH(B105,Standards!$B$2:$B$296,0))</f>
        <v>49</v>
      </c>
      <c r="E105">
        <f>INDEX(Standards!$A$2:$A$296,MATCH(C105,Standards!$B$2:$B$296,0))</f>
        <v>57</v>
      </c>
      <c r="F105" t="str">
        <f>INDEX(Standards!$N$2:$N$296,MATCH(B105,Standards!$B$2:$B$296,0))</f>
        <v>#70AD47</v>
      </c>
      <c r="G105" t="str">
        <f>INDEX(Standards!$N$2:$N$296,MATCH(C105,Standards!$B$2:$B$296,0))</f>
        <v>#4472C4</v>
      </c>
      <c r="H105" t="s">
        <v>521</v>
      </c>
      <c r="I105" t="s">
        <v>525</v>
      </c>
      <c r="J105" t="str">
        <f>INDEX(Standards!$H$2:$H$296,MATCH(B105,Standards!$B$2:$B$296,0))</f>
        <v>BIM</v>
      </c>
      <c r="K105" t="str">
        <f>INDEX(Standards!$H$2:$H$296,MATCH(C105,Standards!$B$2:$B$296,0))</f>
        <v>Industrial Automation</v>
      </c>
      <c r="L105" t="b">
        <f>AND(TableRelationships[[#This Row],[Source Type]]="BIM",TableRelationships[[#This Row],[Target Type]]="BIM")</f>
        <v>0</v>
      </c>
      <c r="M105">
        <f t="shared" si="3"/>
        <v>1</v>
      </c>
      <c r="N105" t="s">
        <v>526</v>
      </c>
      <c r="O105">
        <f t="shared" si="4"/>
        <v>2</v>
      </c>
      <c r="P105" t="str">
        <f>IF(TableRelationships[[#This Row],[Rank Pedro]]="Low","linkCategory1",IF(TableRelationships[[#This Row],[Rank Pedro]]="Medium","linkCategory2",IF(TableRelationships[[#This Row],[Rank Pedro]]="High","linkCategory3","")))</f>
        <v>linkCategory1</v>
      </c>
      <c r="Q105" t="str">
        <f>IF(TableRelationships[[#This Row],[Rank Pedro]]="Low","Pink",IF(TableRelationships[[#This Row],[Rank Pedro]]="Medium","Purple",IF(TableRelationships[[#This Row],[Rank Pedro]]="High","Brown","")))</f>
        <v>Pink</v>
      </c>
      <c r="R105" s="4">
        <f>MAX(INDEX(Standards!$F$2:$F$296,MATCH(B105,Standards!$B$2:$B$296,0)),INDEX(Standards!$F$2:$F$296,MATCH(C105,Standards!$B$2:$B$296,0)))</f>
        <v>42036</v>
      </c>
      <c r="S105" t="str">
        <f t="shared" si="5"/>
        <v>#2f89d1</v>
      </c>
    </row>
    <row r="106" spans="1:19" x14ac:dyDescent="0.5">
      <c r="A106">
        <v>98</v>
      </c>
      <c r="B106" t="s">
        <v>170</v>
      </c>
      <c r="C106" t="s">
        <v>154</v>
      </c>
      <c r="D106">
        <f>INDEX(Standards!$A$2:$A$296,MATCH(B106,Standards!$B$2:$B$296,0))</f>
        <v>49</v>
      </c>
      <c r="E106">
        <f>INDEX(Standards!$A$2:$A$296,MATCH(C106,Standards!$B$2:$B$296,0))</f>
        <v>55</v>
      </c>
      <c r="F106" t="str">
        <f>INDEX(Standards!$N$2:$N$296,MATCH(B106,Standards!$B$2:$B$296,0))</f>
        <v>#70AD47</v>
      </c>
      <c r="G106" t="str">
        <f>INDEX(Standards!$N$2:$N$296,MATCH(C106,Standards!$B$2:$B$296,0))</f>
        <v>#4472C4</v>
      </c>
      <c r="H106" t="s">
        <v>521</v>
      </c>
      <c r="I106" t="s">
        <v>525</v>
      </c>
      <c r="J106" t="str">
        <f>INDEX(Standards!$H$2:$H$296,MATCH(B106,Standards!$B$2:$B$296,0))</f>
        <v>BIM</v>
      </c>
      <c r="K106" t="str">
        <f>INDEX(Standards!$H$2:$H$296,MATCH(C106,Standards!$B$2:$B$296,0))</f>
        <v>Industrial Automation</v>
      </c>
      <c r="L106" t="b">
        <f>AND(TableRelationships[[#This Row],[Source Type]]="BIM",TableRelationships[[#This Row],[Target Type]]="BIM")</f>
        <v>0</v>
      </c>
      <c r="M106">
        <f t="shared" si="3"/>
        <v>1</v>
      </c>
      <c r="N106" t="s">
        <v>526</v>
      </c>
      <c r="O106">
        <f t="shared" si="4"/>
        <v>2</v>
      </c>
      <c r="P106" t="str">
        <f>IF(TableRelationships[[#This Row],[Rank Pedro]]="Low","linkCategory1",IF(TableRelationships[[#This Row],[Rank Pedro]]="Medium","linkCategory2",IF(TableRelationships[[#This Row],[Rank Pedro]]="High","linkCategory3","")))</f>
        <v>linkCategory1</v>
      </c>
      <c r="Q106" t="str">
        <f>IF(TableRelationships[[#This Row],[Rank Pedro]]="Low","Pink",IF(TableRelationships[[#This Row],[Rank Pedro]]="Medium","Purple",IF(TableRelationships[[#This Row],[Rank Pedro]]="High","Brown","")))</f>
        <v>Pink</v>
      </c>
      <c r="R106" s="4">
        <f>MAX(INDEX(Standards!$F$2:$F$296,MATCH(B106,Standards!$B$2:$B$296,0)),INDEX(Standards!$F$2:$F$296,MATCH(C106,Standards!$B$2:$B$296,0)))</f>
        <v>42036</v>
      </c>
      <c r="S106" t="str">
        <f t="shared" si="5"/>
        <v>#2f89d1</v>
      </c>
    </row>
    <row r="107" spans="1:19" x14ac:dyDescent="0.5">
      <c r="A107">
        <v>193</v>
      </c>
      <c r="B107" t="s">
        <v>174</v>
      </c>
      <c r="C107" t="s">
        <v>236</v>
      </c>
      <c r="D107">
        <f>INDEX(Standards!$A$2:$A$296,MATCH(B107,Standards!$B$2:$B$296,0))</f>
        <v>50</v>
      </c>
      <c r="E107">
        <f>INDEX(Standards!$A$2:$A$296,MATCH(C107,Standards!$B$2:$B$296,0))</f>
        <v>91</v>
      </c>
      <c r="F107" t="str">
        <f>INDEX(Standards!$N$2:$N$296,MATCH(B107,Standards!$B$2:$B$296,0))</f>
        <v>#70AD47</v>
      </c>
      <c r="G107" t="str">
        <f>INDEX(Standards!$N$2:$N$296,MATCH(C107,Standards!$B$2:$B$296,0))</f>
        <v>#F2F2F2</v>
      </c>
      <c r="H107" t="s">
        <v>521</v>
      </c>
      <c r="I107" t="s">
        <v>237</v>
      </c>
      <c r="J107" t="str">
        <f>INDEX(Standards!$H$2:$H$296,MATCH(B107,Standards!$B$2:$B$296,0))</f>
        <v>BIM</v>
      </c>
      <c r="K107" t="str">
        <f>INDEX(Standards!$H$2:$H$296,MATCH(C107,Standards!$B$2:$B$296,0))</f>
        <v>Anchor</v>
      </c>
      <c r="L107" t="b">
        <f>AND(TableRelationships[[#This Row],[Source Type]]="BIM",TableRelationships[[#This Row],[Target Type]]="BIM")</f>
        <v>0</v>
      </c>
      <c r="M107">
        <f t="shared" si="3"/>
        <v>2</v>
      </c>
      <c r="O107">
        <f t="shared" si="4"/>
        <v>1</v>
      </c>
      <c r="P107" t="str">
        <f>IF(TableRelationships[[#This Row],[Rank Pedro]]="Low","linkCategory1",IF(TableRelationships[[#This Row],[Rank Pedro]]="Medium","linkCategory2",IF(TableRelationships[[#This Row],[Rank Pedro]]="High","linkCategory3","")))</f>
        <v/>
      </c>
      <c r="Q107" t="str">
        <f>IF(TableRelationships[[#This Row],[Rank Pedro]]="Low","Pink",IF(TableRelationships[[#This Row],[Rank Pedro]]="Medium","Purple",IF(TableRelationships[[#This Row],[Rank Pedro]]="High","Brown","")))</f>
        <v/>
      </c>
      <c r="R107" s="4">
        <f>MAX(INDEX(Standards!$F$2:$F$296,MATCH(B107,Standards!$B$2:$B$296,0)),INDEX(Standards!$F$2:$F$296,MATCH(C107,Standards!$B$2:$B$296,0)))</f>
        <v>42675</v>
      </c>
      <c r="S107">
        <f t="shared" si="5"/>
        <v>1</v>
      </c>
    </row>
    <row r="108" spans="1:19" x14ac:dyDescent="0.5">
      <c r="A108">
        <v>280</v>
      </c>
      <c r="B108" t="s">
        <v>174</v>
      </c>
      <c r="C108" t="s">
        <v>22</v>
      </c>
      <c r="D108">
        <f>INDEX(Standards!$A$2:$A$296,MATCH(B108,Standards!$B$2:$B$296,0))</f>
        <v>50</v>
      </c>
      <c r="E108">
        <f>INDEX(Standards!$A$2:$A$296,MATCH(C108,Standards!$B$2:$B$296,0))</f>
        <v>99</v>
      </c>
      <c r="F108" t="str">
        <f>INDEX(Standards!$N$2:$N$296,MATCH(B108,Standards!$B$2:$B$296,0))</f>
        <v>#70AD47</v>
      </c>
      <c r="G108" t="str">
        <f>INDEX(Standards!$N$2:$N$296,MATCH(C108,Standards!$B$2:$B$296,0))</f>
        <v>#70AD47</v>
      </c>
      <c r="H108" t="s">
        <v>521</v>
      </c>
      <c r="I108" t="s">
        <v>525</v>
      </c>
      <c r="J108" t="str">
        <f>INDEX(Standards!$H$2:$H$296,MATCH(B108,Standards!$B$2:$B$296,0))</f>
        <v>BIM</v>
      </c>
      <c r="K108" t="str">
        <f>INDEX(Standards!$H$2:$H$296,MATCH(C108,Standards!$B$2:$B$296,0))</f>
        <v>BIM</v>
      </c>
      <c r="L108" t="b">
        <f>AND(TableRelationships[[#This Row],[Source Type]]="BIM",TableRelationships[[#This Row],[Target Type]]="BIM")</f>
        <v>1</v>
      </c>
      <c r="M108">
        <f t="shared" si="3"/>
        <v>1</v>
      </c>
      <c r="N108" t="s">
        <v>526</v>
      </c>
      <c r="O108">
        <f t="shared" si="4"/>
        <v>2</v>
      </c>
      <c r="P108" t="str">
        <f>IF(TableRelationships[[#This Row],[Rank Pedro]]="Low","linkCategory1",IF(TableRelationships[[#This Row],[Rank Pedro]]="Medium","linkCategory2",IF(TableRelationships[[#This Row],[Rank Pedro]]="High","linkCategory3","")))</f>
        <v>linkCategory1</v>
      </c>
      <c r="Q108" t="str">
        <f>IF(TableRelationships[[#This Row],[Rank Pedro]]="Low","Pink",IF(TableRelationships[[#This Row],[Rank Pedro]]="Medium","Purple",IF(TableRelationships[[#This Row],[Rank Pedro]]="High","Brown","")))</f>
        <v>Pink</v>
      </c>
      <c r="R108" s="4">
        <f>MAX(INDEX(Standards!$F$2:$F$296,MATCH(B108,Standards!$B$2:$B$296,0)),INDEX(Standards!$F$2:$F$296,MATCH(C108,Standards!$B$2:$B$296,0)))</f>
        <v>43992</v>
      </c>
      <c r="S108" t="str">
        <f t="shared" si="5"/>
        <v>#2f89d1</v>
      </c>
    </row>
    <row r="109" spans="1:19" x14ac:dyDescent="0.5">
      <c r="A109">
        <v>105</v>
      </c>
      <c r="B109" t="s">
        <v>174</v>
      </c>
      <c r="C109" t="s">
        <v>168</v>
      </c>
      <c r="D109">
        <f>INDEX(Standards!$A$2:$A$296,MATCH(B109,Standards!$B$2:$B$296,0))</f>
        <v>50</v>
      </c>
      <c r="E109">
        <f>INDEX(Standards!$A$2:$A$296,MATCH(C109,Standards!$B$2:$B$296,0))</f>
        <v>62</v>
      </c>
      <c r="F109" t="str">
        <f>INDEX(Standards!$N$2:$N$296,MATCH(B109,Standards!$B$2:$B$296,0))</f>
        <v>#70AD47</v>
      </c>
      <c r="G109" t="str">
        <f>INDEX(Standards!$N$2:$N$296,MATCH(C109,Standards!$B$2:$B$296,0))</f>
        <v>#7030A0</v>
      </c>
      <c r="H109" t="s">
        <v>521</v>
      </c>
      <c r="I109" t="s">
        <v>525</v>
      </c>
      <c r="J109" t="str">
        <f>INDEX(Standards!$H$2:$H$296,MATCH(B109,Standards!$B$2:$B$296,0))</f>
        <v>BIM</v>
      </c>
      <c r="K109" t="str">
        <f>INDEX(Standards!$H$2:$H$296,MATCH(C109,Standards!$B$2:$B$296,0))</f>
        <v>ICT</v>
      </c>
      <c r="L109" t="b">
        <f>AND(TableRelationships[[#This Row],[Source Type]]="BIM",TableRelationships[[#This Row],[Target Type]]="BIM")</f>
        <v>0</v>
      </c>
      <c r="M109">
        <f t="shared" si="3"/>
        <v>1</v>
      </c>
      <c r="N109" t="s">
        <v>526</v>
      </c>
      <c r="O109">
        <f t="shared" si="4"/>
        <v>2</v>
      </c>
      <c r="P109" t="str">
        <f>IF(TableRelationships[[#This Row],[Rank Pedro]]="Low","linkCategory1",IF(TableRelationships[[#This Row],[Rank Pedro]]="Medium","linkCategory2",IF(TableRelationships[[#This Row],[Rank Pedro]]="High","linkCategory3","")))</f>
        <v>linkCategory1</v>
      </c>
      <c r="Q109" t="str">
        <f>IF(TableRelationships[[#This Row],[Rank Pedro]]="Low","Pink",IF(TableRelationships[[#This Row],[Rank Pedro]]="Medium","Purple",IF(TableRelationships[[#This Row],[Rank Pedro]]="High","Brown","")))</f>
        <v>Pink</v>
      </c>
      <c r="R109" s="4">
        <f>MAX(INDEX(Standards!$F$2:$F$296,MATCH(B109,Standards!$B$2:$B$296,0)),INDEX(Standards!$F$2:$F$296,MATCH(C109,Standards!$B$2:$B$296,0)))</f>
        <v>42675</v>
      </c>
      <c r="S109" t="str">
        <f t="shared" si="5"/>
        <v>#2f89d1</v>
      </c>
    </row>
    <row r="110" spans="1:19" x14ac:dyDescent="0.5">
      <c r="A110">
        <v>106</v>
      </c>
      <c r="B110" t="s">
        <v>174</v>
      </c>
      <c r="C110" t="s">
        <v>128</v>
      </c>
      <c r="D110">
        <f>INDEX(Standards!$A$2:$A$296,MATCH(B110,Standards!$B$2:$B$296,0))</f>
        <v>50</v>
      </c>
      <c r="E110">
        <f>INDEX(Standards!$A$2:$A$296,MATCH(C110,Standards!$B$2:$B$296,0))</f>
        <v>43</v>
      </c>
      <c r="F110" t="str">
        <f>INDEX(Standards!$N$2:$N$296,MATCH(B110,Standards!$B$2:$B$296,0))</f>
        <v>#70AD47</v>
      </c>
      <c r="G110" t="str">
        <f>INDEX(Standards!$N$2:$N$296,MATCH(C110,Standards!$B$2:$B$296,0))</f>
        <v>#7030A0</v>
      </c>
      <c r="H110" t="s">
        <v>521</v>
      </c>
      <c r="I110" t="s">
        <v>525</v>
      </c>
      <c r="J110" t="str">
        <f>INDEX(Standards!$H$2:$H$296,MATCH(B110,Standards!$B$2:$B$296,0))</f>
        <v>BIM</v>
      </c>
      <c r="K110" t="str">
        <f>INDEX(Standards!$H$2:$H$296,MATCH(C110,Standards!$B$2:$B$296,0))</f>
        <v>ICT</v>
      </c>
      <c r="L110" t="b">
        <f>AND(TableRelationships[[#This Row],[Source Type]]="BIM",TableRelationships[[#This Row],[Target Type]]="BIM")</f>
        <v>0</v>
      </c>
      <c r="M110">
        <f t="shared" si="3"/>
        <v>1</v>
      </c>
      <c r="N110" t="s">
        <v>526</v>
      </c>
      <c r="O110">
        <f t="shared" si="4"/>
        <v>2</v>
      </c>
      <c r="P110" t="str">
        <f>IF(TableRelationships[[#This Row],[Rank Pedro]]="Low","linkCategory1",IF(TableRelationships[[#This Row],[Rank Pedro]]="Medium","linkCategory2",IF(TableRelationships[[#This Row],[Rank Pedro]]="High","linkCategory3","")))</f>
        <v>linkCategory1</v>
      </c>
      <c r="Q110" t="str">
        <f>IF(TableRelationships[[#This Row],[Rank Pedro]]="Low","Pink",IF(TableRelationships[[#This Row],[Rank Pedro]]="Medium","Purple",IF(TableRelationships[[#This Row],[Rank Pedro]]="High","Brown","")))</f>
        <v>Pink</v>
      </c>
      <c r="R110" s="4">
        <f>MAX(INDEX(Standards!$F$2:$F$296,MATCH(B110,Standards!$B$2:$B$296,0)),INDEX(Standards!$F$2:$F$296,MATCH(C110,Standards!$B$2:$B$296,0)))</f>
        <v>42675</v>
      </c>
      <c r="S110" t="str">
        <f t="shared" si="5"/>
        <v>#2f89d1</v>
      </c>
    </row>
    <row r="111" spans="1:19" x14ac:dyDescent="0.5">
      <c r="A111">
        <v>107</v>
      </c>
      <c r="B111" t="s">
        <v>174</v>
      </c>
      <c r="C111" t="s">
        <v>164</v>
      </c>
      <c r="D111">
        <f>INDEX(Standards!$A$2:$A$296,MATCH(B111,Standards!$B$2:$B$296,0))</f>
        <v>50</v>
      </c>
      <c r="E111">
        <f>INDEX(Standards!$A$2:$A$296,MATCH(C111,Standards!$B$2:$B$296,0))</f>
        <v>60</v>
      </c>
      <c r="F111" t="str">
        <f>INDEX(Standards!$N$2:$N$296,MATCH(B111,Standards!$B$2:$B$296,0))</f>
        <v>#70AD47</v>
      </c>
      <c r="G111" t="str">
        <f>INDEX(Standards!$N$2:$N$296,MATCH(C111,Standards!$B$2:$B$296,0))</f>
        <v>#7030A0</v>
      </c>
      <c r="H111" t="s">
        <v>521</v>
      </c>
      <c r="I111" t="s">
        <v>525</v>
      </c>
      <c r="J111" t="str">
        <f>INDEX(Standards!$H$2:$H$296,MATCH(B111,Standards!$B$2:$B$296,0))</f>
        <v>BIM</v>
      </c>
      <c r="K111" t="str">
        <f>INDEX(Standards!$H$2:$H$296,MATCH(C111,Standards!$B$2:$B$296,0))</f>
        <v>ICT</v>
      </c>
      <c r="L111" t="b">
        <f>AND(TableRelationships[[#This Row],[Source Type]]="BIM",TableRelationships[[#This Row],[Target Type]]="BIM")</f>
        <v>0</v>
      </c>
      <c r="M111">
        <f t="shared" si="3"/>
        <v>1</v>
      </c>
      <c r="N111" t="s">
        <v>526</v>
      </c>
      <c r="O111">
        <f t="shared" si="4"/>
        <v>2</v>
      </c>
      <c r="P111" t="str">
        <f>IF(TableRelationships[[#This Row],[Rank Pedro]]="Low","linkCategory1",IF(TableRelationships[[#This Row],[Rank Pedro]]="Medium","linkCategory2",IF(TableRelationships[[#This Row],[Rank Pedro]]="High","linkCategory3","")))</f>
        <v>linkCategory1</v>
      </c>
      <c r="Q111" t="str">
        <f>IF(TableRelationships[[#This Row],[Rank Pedro]]="Low","Pink",IF(TableRelationships[[#This Row],[Rank Pedro]]="Medium","Purple",IF(TableRelationships[[#This Row],[Rank Pedro]]="High","Brown","")))</f>
        <v>Pink</v>
      </c>
      <c r="R111" s="4">
        <f>MAX(INDEX(Standards!$F$2:$F$296,MATCH(B111,Standards!$B$2:$B$296,0)),INDEX(Standards!$F$2:$F$296,MATCH(C111,Standards!$B$2:$B$296,0)))</f>
        <v>42675</v>
      </c>
      <c r="S111" t="str">
        <f t="shared" si="5"/>
        <v>#2f89d1</v>
      </c>
    </row>
    <row r="112" spans="1:19" x14ac:dyDescent="0.5">
      <c r="A112">
        <v>108</v>
      </c>
      <c r="B112" t="s">
        <v>174</v>
      </c>
      <c r="C112" t="s">
        <v>134</v>
      </c>
      <c r="D112">
        <f>INDEX(Standards!$A$2:$A$296,MATCH(B112,Standards!$B$2:$B$296,0))</f>
        <v>50</v>
      </c>
      <c r="E112">
        <f>INDEX(Standards!$A$2:$A$296,MATCH(C112,Standards!$B$2:$B$296,0))</f>
        <v>46</v>
      </c>
      <c r="F112" t="str">
        <f>INDEX(Standards!$N$2:$N$296,MATCH(B112,Standards!$B$2:$B$296,0))</f>
        <v>#70AD47</v>
      </c>
      <c r="G112" t="str">
        <f>INDEX(Standards!$N$2:$N$296,MATCH(C112,Standards!$B$2:$B$296,0))</f>
        <v>#7030A0</v>
      </c>
      <c r="H112" t="s">
        <v>521</v>
      </c>
      <c r="I112" t="s">
        <v>525</v>
      </c>
      <c r="J112" t="str">
        <f>INDEX(Standards!$H$2:$H$296,MATCH(B112,Standards!$B$2:$B$296,0))</f>
        <v>BIM</v>
      </c>
      <c r="K112" t="str">
        <f>INDEX(Standards!$H$2:$H$296,MATCH(C112,Standards!$B$2:$B$296,0))</f>
        <v>ICT</v>
      </c>
      <c r="L112" t="b">
        <f>AND(TableRelationships[[#This Row],[Source Type]]="BIM",TableRelationships[[#This Row],[Target Type]]="BIM")</f>
        <v>0</v>
      </c>
      <c r="M112">
        <f t="shared" si="3"/>
        <v>1</v>
      </c>
      <c r="N112" t="s">
        <v>526</v>
      </c>
      <c r="O112">
        <f t="shared" si="4"/>
        <v>2</v>
      </c>
      <c r="P112" t="str">
        <f>IF(TableRelationships[[#This Row],[Rank Pedro]]="Low","linkCategory1",IF(TableRelationships[[#This Row],[Rank Pedro]]="Medium","linkCategory2",IF(TableRelationships[[#This Row],[Rank Pedro]]="High","linkCategory3","")))</f>
        <v>linkCategory1</v>
      </c>
      <c r="Q112" t="str">
        <f>IF(TableRelationships[[#This Row],[Rank Pedro]]="Low","Pink",IF(TableRelationships[[#This Row],[Rank Pedro]]="Medium","Purple",IF(TableRelationships[[#This Row],[Rank Pedro]]="High","Brown","")))</f>
        <v>Pink</v>
      </c>
      <c r="R112" s="4">
        <f>MAX(INDEX(Standards!$F$2:$F$296,MATCH(B112,Standards!$B$2:$B$296,0)),INDEX(Standards!$F$2:$F$296,MATCH(C112,Standards!$B$2:$B$296,0)))</f>
        <v>42675</v>
      </c>
      <c r="S112" t="str">
        <f t="shared" si="5"/>
        <v>#2f89d1</v>
      </c>
    </row>
    <row r="113" spans="1:19" x14ac:dyDescent="0.5">
      <c r="A113">
        <v>109</v>
      </c>
      <c r="B113" t="s">
        <v>174</v>
      </c>
      <c r="C113" t="s">
        <v>160</v>
      </c>
      <c r="D113">
        <f>INDEX(Standards!$A$2:$A$296,MATCH(B113,Standards!$B$2:$B$296,0))</f>
        <v>50</v>
      </c>
      <c r="E113">
        <f>INDEX(Standards!$A$2:$A$296,MATCH(C113,Standards!$B$2:$B$296,0))</f>
        <v>58</v>
      </c>
      <c r="F113" t="str">
        <f>INDEX(Standards!$N$2:$N$296,MATCH(B113,Standards!$B$2:$B$296,0))</f>
        <v>#70AD47</v>
      </c>
      <c r="G113" t="str">
        <f>INDEX(Standards!$N$2:$N$296,MATCH(C113,Standards!$B$2:$B$296,0))</f>
        <v>#4472C4</v>
      </c>
      <c r="H113" t="s">
        <v>521</v>
      </c>
      <c r="I113" t="s">
        <v>525</v>
      </c>
      <c r="J113" t="str">
        <f>INDEX(Standards!$H$2:$H$296,MATCH(B113,Standards!$B$2:$B$296,0))</f>
        <v>BIM</v>
      </c>
      <c r="K113" t="str">
        <f>INDEX(Standards!$H$2:$H$296,MATCH(C113,Standards!$B$2:$B$296,0))</f>
        <v>Industrial Automation</v>
      </c>
      <c r="L113" t="b">
        <f>AND(TableRelationships[[#This Row],[Source Type]]="BIM",TableRelationships[[#This Row],[Target Type]]="BIM")</f>
        <v>0</v>
      </c>
      <c r="M113">
        <f t="shared" si="3"/>
        <v>1</v>
      </c>
      <c r="N113" t="s">
        <v>526</v>
      </c>
      <c r="O113">
        <f t="shared" si="4"/>
        <v>2</v>
      </c>
      <c r="P113" t="str">
        <f>IF(TableRelationships[[#This Row],[Rank Pedro]]="Low","linkCategory1",IF(TableRelationships[[#This Row],[Rank Pedro]]="Medium","linkCategory2",IF(TableRelationships[[#This Row],[Rank Pedro]]="High","linkCategory3","")))</f>
        <v>linkCategory1</v>
      </c>
      <c r="Q113" t="str">
        <f>IF(TableRelationships[[#This Row],[Rank Pedro]]="Low","Pink",IF(TableRelationships[[#This Row],[Rank Pedro]]="Medium","Purple",IF(TableRelationships[[#This Row],[Rank Pedro]]="High","Brown","")))</f>
        <v>Pink</v>
      </c>
      <c r="R113" s="4">
        <f>MAX(INDEX(Standards!$F$2:$F$296,MATCH(B113,Standards!$B$2:$B$296,0)),INDEX(Standards!$F$2:$F$296,MATCH(C113,Standards!$B$2:$B$296,0)))</f>
        <v>42675</v>
      </c>
      <c r="S113" t="str">
        <f t="shared" si="5"/>
        <v>#2f89d1</v>
      </c>
    </row>
    <row r="114" spans="1:19" x14ac:dyDescent="0.5">
      <c r="A114">
        <v>110</v>
      </c>
      <c r="B114" t="s">
        <v>174</v>
      </c>
      <c r="C114" t="s">
        <v>68</v>
      </c>
      <c r="D114">
        <f>INDEX(Standards!$A$2:$A$296,MATCH(B114,Standards!$B$2:$B$296,0))</f>
        <v>50</v>
      </c>
      <c r="E114">
        <f>INDEX(Standards!$A$2:$A$296,MATCH(C114,Standards!$B$2:$B$296,0))</f>
        <v>7</v>
      </c>
      <c r="F114" t="str">
        <f>INDEX(Standards!$N$2:$N$296,MATCH(B114,Standards!$B$2:$B$296,0))</f>
        <v>#70AD47</v>
      </c>
      <c r="G114" t="str">
        <f>INDEX(Standards!$N$2:$N$296,MATCH(C114,Standards!$B$2:$B$296,0))</f>
        <v>#70AD47</v>
      </c>
      <c r="H114" t="s">
        <v>521</v>
      </c>
      <c r="I114" t="s">
        <v>525</v>
      </c>
      <c r="J114" t="str">
        <f>INDEX(Standards!$H$2:$H$296,MATCH(B114,Standards!$B$2:$B$296,0))</f>
        <v>BIM</v>
      </c>
      <c r="K114" t="str">
        <f>INDEX(Standards!$H$2:$H$296,MATCH(C114,Standards!$B$2:$B$296,0))</f>
        <v>BIM</v>
      </c>
      <c r="L114" t="b">
        <f>AND(TableRelationships[[#This Row],[Source Type]]="BIM",TableRelationships[[#This Row],[Target Type]]="BIM")</f>
        <v>1</v>
      </c>
      <c r="M114">
        <f t="shared" si="3"/>
        <v>1</v>
      </c>
      <c r="N114" t="s">
        <v>526</v>
      </c>
      <c r="O114">
        <f t="shared" si="4"/>
        <v>2</v>
      </c>
      <c r="P114" t="str">
        <f>IF(TableRelationships[[#This Row],[Rank Pedro]]="Low","linkCategory1",IF(TableRelationships[[#This Row],[Rank Pedro]]="Medium","linkCategory2",IF(TableRelationships[[#This Row],[Rank Pedro]]="High","linkCategory3","")))</f>
        <v>linkCategory1</v>
      </c>
      <c r="Q114" t="str">
        <f>IF(TableRelationships[[#This Row],[Rank Pedro]]="Low","Pink",IF(TableRelationships[[#This Row],[Rank Pedro]]="Medium","Purple",IF(TableRelationships[[#This Row],[Rank Pedro]]="High","Brown","")))</f>
        <v>Pink</v>
      </c>
      <c r="R114" s="4">
        <f>MAX(INDEX(Standards!$F$2:$F$296,MATCH(B114,Standards!$B$2:$B$296,0)),INDEX(Standards!$F$2:$F$296,MATCH(C114,Standards!$B$2:$B$296,0)))</f>
        <v>42675</v>
      </c>
      <c r="S114" t="str">
        <f t="shared" si="5"/>
        <v>#2f89d1</v>
      </c>
    </row>
    <row r="115" spans="1:19" x14ac:dyDescent="0.5">
      <c r="A115">
        <v>112</v>
      </c>
      <c r="B115" t="s">
        <v>174</v>
      </c>
      <c r="C115" t="s">
        <v>166</v>
      </c>
      <c r="D115">
        <f>INDEX(Standards!$A$2:$A$296,MATCH(B115,Standards!$B$2:$B$296,0))</f>
        <v>50</v>
      </c>
      <c r="E115">
        <f>INDEX(Standards!$A$2:$A$296,MATCH(C115,Standards!$B$2:$B$296,0))</f>
        <v>61</v>
      </c>
      <c r="F115" t="str">
        <f>INDEX(Standards!$N$2:$N$296,MATCH(B115,Standards!$B$2:$B$296,0))</f>
        <v>#70AD47</v>
      </c>
      <c r="G115" t="str">
        <f>INDEX(Standards!$N$2:$N$296,MATCH(C115,Standards!$B$2:$B$296,0))</f>
        <v>#4472C4</v>
      </c>
      <c r="H115" t="s">
        <v>521</v>
      </c>
      <c r="I115" t="s">
        <v>525</v>
      </c>
      <c r="J115" t="str">
        <f>INDEX(Standards!$H$2:$H$296,MATCH(B115,Standards!$B$2:$B$296,0))</f>
        <v>BIM</v>
      </c>
      <c r="K115" t="str">
        <f>INDEX(Standards!$H$2:$H$296,MATCH(C115,Standards!$B$2:$B$296,0))</f>
        <v>Industrial Automation</v>
      </c>
      <c r="L115" t="b">
        <f>AND(TableRelationships[[#This Row],[Source Type]]="BIM",TableRelationships[[#This Row],[Target Type]]="BIM")</f>
        <v>0</v>
      </c>
      <c r="M115">
        <f t="shared" si="3"/>
        <v>1</v>
      </c>
      <c r="N115" t="s">
        <v>526</v>
      </c>
      <c r="O115">
        <f t="shared" si="4"/>
        <v>2</v>
      </c>
      <c r="P115" t="str">
        <f>IF(TableRelationships[[#This Row],[Rank Pedro]]="Low","linkCategory1",IF(TableRelationships[[#This Row],[Rank Pedro]]="Medium","linkCategory2",IF(TableRelationships[[#This Row],[Rank Pedro]]="High","linkCategory3","")))</f>
        <v>linkCategory1</v>
      </c>
      <c r="Q115" t="str">
        <f>IF(TableRelationships[[#This Row],[Rank Pedro]]="Low","Pink",IF(TableRelationships[[#This Row],[Rank Pedro]]="Medium","Purple",IF(TableRelationships[[#This Row],[Rank Pedro]]="High","Brown","")))</f>
        <v>Pink</v>
      </c>
      <c r="R115" s="4">
        <f>MAX(INDEX(Standards!$F$2:$F$296,MATCH(B115,Standards!$B$2:$B$296,0)),INDEX(Standards!$F$2:$F$296,MATCH(C115,Standards!$B$2:$B$296,0)))</f>
        <v>42675</v>
      </c>
      <c r="S115" t="str">
        <f t="shared" si="5"/>
        <v>#2f89d1</v>
      </c>
    </row>
    <row r="116" spans="1:19" x14ac:dyDescent="0.5">
      <c r="A116">
        <v>111</v>
      </c>
      <c r="B116" t="s">
        <v>174</v>
      </c>
      <c r="C116" t="s">
        <v>144</v>
      </c>
      <c r="D116">
        <f>INDEX(Standards!$A$2:$A$296,MATCH(B116,Standards!$B$2:$B$296,0))</f>
        <v>50</v>
      </c>
      <c r="E116">
        <f>INDEX(Standards!$A$2:$A$296,MATCH(C116,Standards!$B$2:$B$296,0))</f>
        <v>8</v>
      </c>
      <c r="F116" t="str">
        <f>INDEX(Standards!$N$2:$N$296,MATCH(B116,Standards!$B$2:$B$296,0))</f>
        <v>#70AD47</v>
      </c>
      <c r="G116" t="str">
        <f>INDEX(Standards!$N$2:$N$296,MATCH(C116,Standards!$B$2:$B$296,0))</f>
        <v>#70AD47</v>
      </c>
      <c r="H116" t="s">
        <v>521</v>
      </c>
      <c r="I116" t="s">
        <v>525</v>
      </c>
      <c r="J116" t="str">
        <f>INDEX(Standards!$H$2:$H$296,MATCH(B116,Standards!$B$2:$B$296,0))</f>
        <v>BIM</v>
      </c>
      <c r="K116" t="str">
        <f>INDEX(Standards!$H$2:$H$296,MATCH(C116,Standards!$B$2:$B$296,0))</f>
        <v>BIM</v>
      </c>
      <c r="L116" t="b">
        <f>AND(TableRelationships[[#This Row],[Source Type]]="BIM",TableRelationships[[#This Row],[Target Type]]="BIM")</f>
        <v>1</v>
      </c>
      <c r="M116">
        <f t="shared" si="3"/>
        <v>1</v>
      </c>
      <c r="N116" t="s">
        <v>526</v>
      </c>
      <c r="O116">
        <f t="shared" si="4"/>
        <v>2</v>
      </c>
      <c r="P116" t="str">
        <f>IF(TableRelationships[[#This Row],[Rank Pedro]]="Low","linkCategory1",IF(TableRelationships[[#This Row],[Rank Pedro]]="Medium","linkCategory2",IF(TableRelationships[[#This Row],[Rank Pedro]]="High","linkCategory3","")))</f>
        <v>linkCategory1</v>
      </c>
      <c r="Q116" t="str">
        <f>IF(TableRelationships[[#This Row],[Rank Pedro]]="Low","Pink",IF(TableRelationships[[#This Row],[Rank Pedro]]="Medium","Purple",IF(TableRelationships[[#This Row],[Rank Pedro]]="High","Brown","")))</f>
        <v>Pink</v>
      </c>
      <c r="R116" s="4">
        <f>MAX(INDEX(Standards!$F$2:$F$296,MATCH(B116,Standards!$B$2:$B$296,0)),INDEX(Standards!$F$2:$F$296,MATCH(C116,Standards!$B$2:$B$296,0)))</f>
        <v>42675</v>
      </c>
      <c r="S116" t="str">
        <f t="shared" si="5"/>
        <v>#2f89d1</v>
      </c>
    </row>
    <row r="117" spans="1:19" x14ac:dyDescent="0.5">
      <c r="A117">
        <v>103</v>
      </c>
      <c r="B117" t="s">
        <v>174</v>
      </c>
      <c r="C117" t="s">
        <v>170</v>
      </c>
      <c r="D117">
        <f>INDEX(Standards!$A$2:$A$296,MATCH(B117,Standards!$B$2:$B$296,0))</f>
        <v>50</v>
      </c>
      <c r="E117">
        <f>INDEX(Standards!$A$2:$A$296,MATCH(C117,Standards!$B$2:$B$296,0))</f>
        <v>49</v>
      </c>
      <c r="F117" t="str">
        <f>INDEX(Standards!$N$2:$N$296,MATCH(B117,Standards!$B$2:$B$296,0))</f>
        <v>#70AD47</v>
      </c>
      <c r="G117" t="str">
        <f>INDEX(Standards!$N$2:$N$296,MATCH(C117,Standards!$B$2:$B$296,0))</f>
        <v>#70AD47</v>
      </c>
      <c r="H117" t="s">
        <v>521</v>
      </c>
      <c r="I117" t="s">
        <v>524</v>
      </c>
      <c r="J117" t="str">
        <f>INDEX(Standards!$H$2:$H$296,MATCH(B117,Standards!$B$2:$B$296,0))</f>
        <v>BIM</v>
      </c>
      <c r="K117" t="str">
        <f>INDEX(Standards!$H$2:$H$296,MATCH(C117,Standards!$B$2:$B$296,0))</f>
        <v>BIM</v>
      </c>
      <c r="L117" t="b">
        <f>AND(TableRelationships[[#This Row],[Source Type]]="BIM",TableRelationships[[#This Row],[Target Type]]="BIM")</f>
        <v>1</v>
      </c>
      <c r="M117">
        <f t="shared" si="3"/>
        <v>6</v>
      </c>
      <c r="N117" t="s">
        <v>523</v>
      </c>
      <c r="O117">
        <f t="shared" si="4"/>
        <v>10</v>
      </c>
      <c r="P117" t="str">
        <f>IF(TableRelationships[[#This Row],[Rank Pedro]]="Low","linkCategory1",IF(TableRelationships[[#This Row],[Rank Pedro]]="Medium","linkCategory2",IF(TableRelationships[[#This Row],[Rank Pedro]]="High","linkCategory3","")))</f>
        <v>linkCategory3</v>
      </c>
      <c r="Q117" t="str">
        <f>IF(TableRelationships[[#This Row],[Rank Pedro]]="Low","Pink",IF(TableRelationships[[#This Row],[Rank Pedro]]="Medium","Purple",IF(TableRelationships[[#This Row],[Rank Pedro]]="High","Brown","")))</f>
        <v>Brown</v>
      </c>
      <c r="R117" s="4">
        <f>MAX(INDEX(Standards!$F$2:$F$296,MATCH(B117,Standards!$B$2:$B$296,0)),INDEX(Standards!$F$2:$F$296,MATCH(C117,Standards!$B$2:$B$296,0)))</f>
        <v>42675</v>
      </c>
      <c r="S117" t="str">
        <f t="shared" si="5"/>
        <v>#d6bf2a</v>
      </c>
    </row>
    <row r="118" spans="1:19" x14ac:dyDescent="0.5">
      <c r="A118">
        <v>281</v>
      </c>
      <c r="B118" t="s">
        <v>174</v>
      </c>
      <c r="C118" t="s">
        <v>388</v>
      </c>
      <c r="D118">
        <f>INDEX(Standards!$A$2:$A$296,MATCH(B118,Standards!$B$2:$B$296,0))</f>
        <v>50</v>
      </c>
      <c r="E118">
        <f>INDEX(Standards!$A$2:$A$296,MATCH(C118,Standards!$B$2:$B$296,0))</f>
        <v>63</v>
      </c>
      <c r="F118" t="str">
        <f>INDEX(Standards!$N$2:$N$296,MATCH(B118,Standards!$B$2:$B$296,0))</f>
        <v>#70AD47</v>
      </c>
      <c r="G118" t="str">
        <f>INDEX(Standards!$N$2:$N$296,MATCH(C118,Standards!$B$2:$B$296,0))</f>
        <v>#70AD47</v>
      </c>
      <c r="H118" t="s">
        <v>521</v>
      </c>
      <c r="I118" t="s">
        <v>525</v>
      </c>
      <c r="J118" t="str">
        <f>INDEX(Standards!$H$2:$H$296,MATCH(B118,Standards!$B$2:$B$296,0))</f>
        <v>BIM</v>
      </c>
      <c r="K118" t="str">
        <f>INDEX(Standards!$H$2:$H$296,MATCH(C118,Standards!$B$2:$B$296,0))</f>
        <v>BIM</v>
      </c>
      <c r="L118" t="b">
        <f>AND(TableRelationships[[#This Row],[Source Type]]="BIM",TableRelationships[[#This Row],[Target Type]]="BIM")</f>
        <v>1</v>
      </c>
      <c r="M118">
        <f t="shared" si="3"/>
        <v>1</v>
      </c>
      <c r="N118" t="s">
        <v>526</v>
      </c>
      <c r="O118">
        <f t="shared" si="4"/>
        <v>2</v>
      </c>
      <c r="P118" t="str">
        <f>IF(TableRelationships[[#This Row],[Rank Pedro]]="Low","linkCategory1",IF(TableRelationships[[#This Row],[Rank Pedro]]="Medium","linkCategory2",IF(TableRelationships[[#This Row],[Rank Pedro]]="High","linkCategory3","")))</f>
        <v>linkCategory1</v>
      </c>
      <c r="Q118" t="str">
        <f>IF(TableRelationships[[#This Row],[Rank Pedro]]="Low","Pink",IF(TableRelationships[[#This Row],[Rank Pedro]]="Medium","Purple",IF(TableRelationships[[#This Row],[Rank Pedro]]="High","Brown","")))</f>
        <v>Pink</v>
      </c>
      <c r="R118" s="4">
        <f>MAX(INDEX(Standards!$F$2:$F$296,MATCH(B118,Standards!$B$2:$B$296,0)),INDEX(Standards!$F$2:$F$296,MATCH(C118,Standards!$B$2:$B$296,0)))</f>
        <v>43915</v>
      </c>
      <c r="S118" t="str">
        <f t="shared" si="5"/>
        <v>#2f89d1</v>
      </c>
    </row>
    <row r="119" spans="1:19" x14ac:dyDescent="0.5">
      <c r="A119">
        <v>282</v>
      </c>
      <c r="B119" t="s">
        <v>174</v>
      </c>
      <c r="C119" t="s">
        <v>404</v>
      </c>
      <c r="D119">
        <f>INDEX(Standards!$A$2:$A$296,MATCH(B119,Standards!$B$2:$B$296,0))</f>
        <v>50</v>
      </c>
      <c r="E119">
        <f>INDEX(Standards!$A$2:$A$296,MATCH(C119,Standards!$B$2:$B$296,0))</f>
        <v>64</v>
      </c>
      <c r="F119" t="str">
        <f>INDEX(Standards!$N$2:$N$296,MATCH(B119,Standards!$B$2:$B$296,0))</f>
        <v>#70AD47</v>
      </c>
      <c r="G119" t="str">
        <f>INDEX(Standards!$N$2:$N$296,MATCH(C119,Standards!$B$2:$B$296,0))</f>
        <v>#70AD47</v>
      </c>
      <c r="H119" t="s">
        <v>521</v>
      </c>
      <c r="I119" t="s">
        <v>525</v>
      </c>
      <c r="J119" t="str">
        <f>INDEX(Standards!$H$2:$H$296,MATCH(B119,Standards!$B$2:$B$296,0))</f>
        <v>BIM</v>
      </c>
      <c r="K119" t="str">
        <f>INDEX(Standards!$H$2:$H$296,MATCH(C119,Standards!$B$2:$B$296,0))</f>
        <v>BIM</v>
      </c>
      <c r="L119" t="b">
        <f>AND(TableRelationships[[#This Row],[Source Type]]="BIM",TableRelationships[[#This Row],[Target Type]]="BIM")</f>
        <v>1</v>
      </c>
      <c r="M119">
        <f t="shared" si="3"/>
        <v>1</v>
      </c>
      <c r="N119" t="s">
        <v>526</v>
      </c>
      <c r="O119">
        <f t="shared" si="4"/>
        <v>2</v>
      </c>
      <c r="P119" t="str">
        <f>IF(TableRelationships[[#This Row],[Rank Pedro]]="Low","linkCategory1",IF(TableRelationships[[#This Row],[Rank Pedro]]="Medium","linkCategory2",IF(TableRelationships[[#This Row],[Rank Pedro]]="High","linkCategory3","")))</f>
        <v>linkCategory1</v>
      </c>
      <c r="Q119" t="str">
        <f>IF(TableRelationships[[#This Row],[Rank Pedro]]="Low","Pink",IF(TableRelationships[[#This Row],[Rank Pedro]]="Medium","Purple",IF(TableRelationships[[#This Row],[Rank Pedro]]="High","Brown","")))</f>
        <v>Pink</v>
      </c>
      <c r="R119" s="4">
        <f>MAX(INDEX(Standards!$F$2:$F$296,MATCH(B119,Standards!$B$2:$B$296,0)),INDEX(Standards!$F$2:$F$296,MATCH(C119,Standards!$B$2:$B$296,0)))</f>
        <v>44034</v>
      </c>
      <c r="S119" t="str">
        <f t="shared" si="5"/>
        <v>#2f89d1</v>
      </c>
    </row>
    <row r="120" spans="1:19" x14ac:dyDescent="0.5">
      <c r="A120">
        <v>104</v>
      </c>
      <c r="B120" t="s">
        <v>174</v>
      </c>
      <c r="C120" t="s">
        <v>77</v>
      </c>
      <c r="D120">
        <f>INDEX(Standards!$A$2:$A$296,MATCH(B120,Standards!$B$2:$B$296,0))</f>
        <v>50</v>
      </c>
      <c r="E120">
        <f>INDEX(Standards!$A$2:$A$296,MATCH(C120,Standards!$B$2:$B$296,0))</f>
        <v>19</v>
      </c>
      <c r="F120" t="str">
        <f>INDEX(Standards!$N$2:$N$296,MATCH(B120,Standards!$B$2:$B$296,0))</f>
        <v>#70AD47</v>
      </c>
      <c r="G120" t="str">
        <f>INDEX(Standards!$N$2:$N$296,MATCH(C120,Standards!$B$2:$B$296,0))</f>
        <v>#ED7D31</v>
      </c>
      <c r="H120" t="s">
        <v>521</v>
      </c>
      <c r="I120" t="s">
        <v>524</v>
      </c>
      <c r="J120" t="str">
        <f>INDEX(Standards!$H$2:$H$296,MATCH(B120,Standards!$B$2:$B$296,0))</f>
        <v>BIM</v>
      </c>
      <c r="K120" t="str">
        <f>INDEX(Standards!$H$2:$H$296,MATCH(C120,Standards!$B$2:$B$296,0))</f>
        <v>Construction</v>
      </c>
      <c r="L120" t="b">
        <f>AND(TableRelationships[[#This Row],[Source Type]]="BIM",TableRelationships[[#This Row],[Target Type]]="BIM")</f>
        <v>0</v>
      </c>
      <c r="M120">
        <f t="shared" si="3"/>
        <v>6</v>
      </c>
      <c r="N120" t="s">
        <v>526</v>
      </c>
      <c r="O120">
        <f t="shared" si="4"/>
        <v>2</v>
      </c>
      <c r="P120" t="str">
        <f>IF(TableRelationships[[#This Row],[Rank Pedro]]="Low","linkCategory1",IF(TableRelationships[[#This Row],[Rank Pedro]]="Medium","linkCategory2",IF(TableRelationships[[#This Row],[Rank Pedro]]="High","linkCategory3","")))</f>
        <v>linkCategory1</v>
      </c>
      <c r="Q120" t="str">
        <f>IF(TableRelationships[[#This Row],[Rank Pedro]]="Low","Pink",IF(TableRelationships[[#This Row],[Rank Pedro]]="Medium","Purple",IF(TableRelationships[[#This Row],[Rank Pedro]]="High","Brown","")))</f>
        <v>Pink</v>
      </c>
      <c r="R120" s="4">
        <f>MAX(INDEX(Standards!$F$2:$F$296,MATCH(B120,Standards!$B$2:$B$296,0)),INDEX(Standards!$F$2:$F$296,MATCH(C120,Standards!$B$2:$B$296,0)))</f>
        <v>42675</v>
      </c>
      <c r="S120" t="str">
        <f t="shared" si="5"/>
        <v>#d6bf2a</v>
      </c>
    </row>
    <row r="121" spans="1:19" x14ac:dyDescent="0.5">
      <c r="A121">
        <v>175</v>
      </c>
      <c r="B121" t="s">
        <v>210</v>
      </c>
      <c r="C121" t="s">
        <v>236</v>
      </c>
      <c r="D121">
        <f>INDEX(Standards!$A$2:$A$296,MATCH(B121,Standards!$B$2:$B$296,0))</f>
        <v>9</v>
      </c>
      <c r="E121">
        <f>INDEX(Standards!$A$2:$A$296,MATCH(C121,Standards!$B$2:$B$296,0))</f>
        <v>91</v>
      </c>
      <c r="F121" t="str">
        <f>INDEX(Standards!$N$2:$N$296,MATCH(B121,Standards!$B$2:$B$296,0))</f>
        <v>#70AD47</v>
      </c>
      <c r="G121" t="str">
        <f>INDEX(Standards!$N$2:$N$296,MATCH(C121,Standards!$B$2:$B$296,0))</f>
        <v>#F2F2F2</v>
      </c>
      <c r="H121" t="s">
        <v>521</v>
      </c>
      <c r="I121" t="s">
        <v>237</v>
      </c>
      <c r="J121" t="str">
        <f>INDEX(Standards!$H$2:$H$296,MATCH(B121,Standards!$B$2:$B$296,0))</f>
        <v>BIM</v>
      </c>
      <c r="K121" t="str">
        <f>INDEX(Standards!$H$2:$H$296,MATCH(C121,Standards!$B$2:$B$296,0))</f>
        <v>Anchor</v>
      </c>
      <c r="L121" t="b">
        <f>AND(TableRelationships[[#This Row],[Source Type]]="BIM",TableRelationships[[#This Row],[Target Type]]="BIM")</f>
        <v>0</v>
      </c>
      <c r="M121">
        <f t="shared" si="3"/>
        <v>2</v>
      </c>
      <c r="O121">
        <f t="shared" si="4"/>
        <v>1</v>
      </c>
      <c r="P121" t="str">
        <f>IF(TableRelationships[[#This Row],[Rank Pedro]]="Low","linkCategory1",IF(TableRelationships[[#This Row],[Rank Pedro]]="Medium","linkCategory2",IF(TableRelationships[[#This Row],[Rank Pedro]]="High","linkCategory3","")))</f>
        <v/>
      </c>
      <c r="Q121" t="str">
        <f>IF(TableRelationships[[#This Row],[Rank Pedro]]="Low","Pink",IF(TableRelationships[[#This Row],[Rank Pedro]]="Medium","Purple",IF(TableRelationships[[#This Row],[Rank Pedro]]="High","Brown","")))</f>
        <v/>
      </c>
      <c r="R121" s="4">
        <f>MAX(INDEX(Standards!$F$2:$F$296,MATCH(B121,Standards!$B$2:$B$296,0)),INDEX(Standards!$F$2:$F$296,MATCH(C121,Standards!$B$2:$B$296,0)))</f>
        <v>43453</v>
      </c>
      <c r="S121">
        <f t="shared" si="5"/>
        <v>1</v>
      </c>
    </row>
    <row r="122" spans="1:19" x14ac:dyDescent="0.5">
      <c r="A122">
        <v>36</v>
      </c>
      <c r="B122" t="s">
        <v>210</v>
      </c>
      <c r="C122" t="s">
        <v>22</v>
      </c>
      <c r="D122">
        <f>INDEX(Standards!$A$2:$A$296,MATCH(B122,Standards!$B$2:$B$296,0))</f>
        <v>9</v>
      </c>
      <c r="E122">
        <f>INDEX(Standards!$A$2:$A$296,MATCH(C122,Standards!$B$2:$B$296,0))</f>
        <v>99</v>
      </c>
      <c r="F122" t="str">
        <f>INDEX(Standards!$N$2:$N$296,MATCH(B122,Standards!$B$2:$B$296,0))</f>
        <v>#70AD47</v>
      </c>
      <c r="G122" t="str">
        <f>INDEX(Standards!$N$2:$N$296,MATCH(C122,Standards!$B$2:$B$296,0))</f>
        <v>#70AD47</v>
      </c>
      <c r="H122" t="s">
        <v>521</v>
      </c>
      <c r="I122" s="82" t="s">
        <v>522</v>
      </c>
      <c r="J122" t="str">
        <f>INDEX(Standards!$H$2:$H$296,MATCH(B122,Standards!$B$2:$B$296,0))</f>
        <v>BIM</v>
      </c>
      <c r="K122" t="str">
        <f>INDEX(Standards!$H$2:$H$296,MATCH(C122,Standards!$B$2:$B$296,0))</f>
        <v>BIM</v>
      </c>
      <c r="L122" t="b">
        <f>AND(TableRelationships[[#This Row],[Source Type]]="BIM",TableRelationships[[#This Row],[Target Type]]="BIM")</f>
        <v>1</v>
      </c>
      <c r="M122">
        <f t="shared" si="3"/>
        <v>1</v>
      </c>
      <c r="N122" t="s">
        <v>523</v>
      </c>
      <c r="O122">
        <f t="shared" si="4"/>
        <v>10</v>
      </c>
      <c r="P122" t="str">
        <f>IF(TableRelationships[[#This Row],[Rank Pedro]]="Low","linkCategory1",IF(TableRelationships[[#This Row],[Rank Pedro]]="Medium","linkCategory2",IF(TableRelationships[[#This Row],[Rank Pedro]]="High","linkCategory3","")))</f>
        <v>linkCategory3</v>
      </c>
      <c r="Q122" t="str">
        <f>IF(TableRelationships[[#This Row],[Rank Pedro]]="Low","Pink",IF(TableRelationships[[#This Row],[Rank Pedro]]="Medium","Purple",IF(TableRelationships[[#This Row],[Rank Pedro]]="High","Brown","")))</f>
        <v>Brown</v>
      </c>
      <c r="R122" s="4">
        <f>MAX(INDEX(Standards!$F$2:$F$296,MATCH(B122,Standards!$B$2:$B$296,0)),INDEX(Standards!$F$2:$F$296,MATCH(C122,Standards!$B$2:$B$296,0)))</f>
        <v>43992</v>
      </c>
      <c r="S122">
        <f t="shared" si="5"/>
        <v>1</v>
      </c>
    </row>
    <row r="123" spans="1:19" x14ac:dyDescent="0.5">
      <c r="A123">
        <v>35</v>
      </c>
      <c r="B123" t="s">
        <v>210</v>
      </c>
      <c r="C123" t="s">
        <v>484</v>
      </c>
      <c r="D123">
        <f>INDEX(Standards!$A$2:$A$296,MATCH(B123,Standards!$B$2:$B$296,0))</f>
        <v>9</v>
      </c>
      <c r="E123">
        <f>INDEX(Standards!$A$2:$A$296,MATCH(C123,Standards!$B$2:$B$296,0))</f>
        <v>196</v>
      </c>
      <c r="F123" t="str">
        <f>INDEX(Standards!$N$2:$N$296,MATCH(B123,Standards!$B$2:$B$296,0))</f>
        <v>#70AD47</v>
      </c>
      <c r="G123" t="str">
        <f>INDEX(Standards!$N$2:$N$296,MATCH(C123,Standards!$B$2:$B$296,0))</f>
        <v>#70AD47</v>
      </c>
      <c r="H123" t="s">
        <v>521</v>
      </c>
      <c r="I123" s="82" t="s">
        <v>522</v>
      </c>
      <c r="J123" t="str">
        <f>INDEX(Standards!$H$2:$H$296,MATCH(B123,Standards!$B$2:$B$296,0))</f>
        <v>BIM</v>
      </c>
      <c r="K123" t="str">
        <f>INDEX(Standards!$H$2:$H$296,MATCH(C123,Standards!$B$2:$B$296,0))</f>
        <v>BIM</v>
      </c>
      <c r="L123" t="b">
        <f>AND(TableRelationships[[#This Row],[Source Type]]="BIM",TableRelationships[[#This Row],[Target Type]]="BIM")</f>
        <v>1</v>
      </c>
      <c r="M123">
        <f t="shared" si="3"/>
        <v>1</v>
      </c>
      <c r="N123" t="s">
        <v>528</v>
      </c>
      <c r="O123">
        <f t="shared" si="4"/>
        <v>6</v>
      </c>
      <c r="P123" t="str">
        <f>IF(TableRelationships[[#This Row],[Rank Pedro]]="Low","linkCategory1",IF(TableRelationships[[#This Row],[Rank Pedro]]="Medium","linkCategory2",IF(TableRelationships[[#This Row],[Rank Pedro]]="High","linkCategory3","")))</f>
        <v>linkCategory2</v>
      </c>
      <c r="Q123" t="str">
        <f>IF(TableRelationships[[#This Row],[Rank Pedro]]="Low","Pink",IF(TableRelationships[[#This Row],[Rank Pedro]]="Medium","Purple",IF(TableRelationships[[#This Row],[Rank Pedro]]="High","Brown","")))</f>
        <v>Purple</v>
      </c>
      <c r="R123" s="4">
        <f>MAX(INDEX(Standards!$F$2:$F$296,MATCH(B123,Standards!$B$2:$B$296,0)),INDEX(Standards!$F$2:$F$296,MATCH(C123,Standards!$B$2:$B$296,0)))</f>
        <v>45444</v>
      </c>
      <c r="S123">
        <f t="shared" si="5"/>
        <v>1</v>
      </c>
    </row>
    <row r="124" spans="1:19" x14ac:dyDescent="0.5">
      <c r="A124">
        <v>17</v>
      </c>
      <c r="B124" t="s">
        <v>210</v>
      </c>
      <c r="C124" t="s">
        <v>33</v>
      </c>
      <c r="D124">
        <f>INDEX(Standards!$A$2:$A$296,MATCH(B124,Standards!$B$2:$B$296,0))</f>
        <v>9</v>
      </c>
      <c r="E124">
        <f>INDEX(Standards!$A$2:$A$296,MATCH(C124,Standards!$B$2:$B$296,0))</f>
        <v>5</v>
      </c>
      <c r="F124" t="str">
        <f>INDEX(Standards!$N$2:$N$296,MATCH(B124,Standards!$B$2:$B$296,0))</f>
        <v>#70AD47</v>
      </c>
      <c r="G124" t="str">
        <f>INDEX(Standards!$N$2:$N$296,MATCH(C124,Standards!$B$2:$B$296,0))</f>
        <v>#7030A0</v>
      </c>
      <c r="H124" t="s">
        <v>521</v>
      </c>
      <c r="I124" t="s">
        <v>525</v>
      </c>
      <c r="J124" t="str">
        <f>INDEX(Standards!$H$2:$H$296,MATCH(B124,Standards!$B$2:$B$296,0))</f>
        <v>BIM</v>
      </c>
      <c r="K124" t="str">
        <f>INDEX(Standards!$H$2:$H$296,MATCH(C124,Standards!$B$2:$B$296,0))</f>
        <v>ICT</v>
      </c>
      <c r="L124" t="b">
        <f>AND(TableRelationships[[#This Row],[Source Type]]="BIM",TableRelationships[[#This Row],[Target Type]]="BIM")</f>
        <v>0</v>
      </c>
      <c r="M124">
        <f t="shared" si="3"/>
        <v>1</v>
      </c>
      <c r="N124" t="s">
        <v>526</v>
      </c>
      <c r="O124">
        <f t="shared" si="4"/>
        <v>2</v>
      </c>
      <c r="P124" t="str">
        <f>IF(TableRelationships[[#This Row],[Rank Pedro]]="Low","linkCategory1",IF(TableRelationships[[#This Row],[Rank Pedro]]="Medium","linkCategory2",IF(TableRelationships[[#This Row],[Rank Pedro]]="High","linkCategory3","")))</f>
        <v>linkCategory1</v>
      </c>
      <c r="Q124" t="str">
        <f>IF(TableRelationships[[#This Row],[Rank Pedro]]="Low","Pink",IF(TableRelationships[[#This Row],[Rank Pedro]]="Medium","Purple",IF(TableRelationships[[#This Row],[Rank Pedro]]="High","Brown","")))</f>
        <v>Pink</v>
      </c>
      <c r="R124" s="4">
        <f>MAX(INDEX(Standards!$F$2:$F$296,MATCH(B124,Standards!$B$2:$B$296,0)),INDEX(Standards!$F$2:$F$296,MATCH(C124,Standards!$B$2:$B$296,0)))</f>
        <v>43453</v>
      </c>
      <c r="S124" t="str">
        <f t="shared" si="5"/>
        <v>#2f89d1</v>
      </c>
    </row>
    <row r="125" spans="1:19" x14ac:dyDescent="0.5">
      <c r="A125">
        <v>18</v>
      </c>
      <c r="B125" t="s">
        <v>210</v>
      </c>
      <c r="C125" t="s">
        <v>63</v>
      </c>
      <c r="D125">
        <f>INDEX(Standards!$A$2:$A$296,MATCH(B125,Standards!$B$2:$B$296,0))</f>
        <v>9</v>
      </c>
      <c r="E125">
        <f>INDEX(Standards!$A$2:$A$296,MATCH(C125,Standards!$B$2:$B$296,0))</f>
        <v>6</v>
      </c>
      <c r="F125" t="str">
        <f>INDEX(Standards!$N$2:$N$296,MATCH(B125,Standards!$B$2:$B$296,0))</f>
        <v>#70AD47</v>
      </c>
      <c r="G125" t="str">
        <f>INDEX(Standards!$N$2:$N$296,MATCH(C125,Standards!$B$2:$B$296,0))</f>
        <v>#70AD47</v>
      </c>
      <c r="H125" t="s">
        <v>521</v>
      </c>
      <c r="I125" t="s">
        <v>525</v>
      </c>
      <c r="J125" t="str">
        <f>INDEX(Standards!$H$2:$H$296,MATCH(B125,Standards!$B$2:$B$296,0))</f>
        <v>BIM</v>
      </c>
      <c r="K125" t="str">
        <f>INDEX(Standards!$H$2:$H$296,MATCH(C125,Standards!$B$2:$B$296,0))</f>
        <v>BIM</v>
      </c>
      <c r="L125" t="b">
        <f>AND(TableRelationships[[#This Row],[Source Type]]="BIM",TableRelationships[[#This Row],[Target Type]]="BIM")</f>
        <v>1</v>
      </c>
      <c r="M125">
        <f t="shared" si="3"/>
        <v>1</v>
      </c>
      <c r="N125" t="s">
        <v>528</v>
      </c>
      <c r="O125">
        <f t="shared" si="4"/>
        <v>6</v>
      </c>
      <c r="P125" t="str">
        <f>IF(TableRelationships[[#This Row],[Rank Pedro]]="Low","linkCategory1",IF(TableRelationships[[#This Row],[Rank Pedro]]="Medium","linkCategory2",IF(TableRelationships[[#This Row],[Rank Pedro]]="High","linkCategory3","")))</f>
        <v>linkCategory2</v>
      </c>
      <c r="Q125" t="str">
        <f>IF(TableRelationships[[#This Row],[Rank Pedro]]="Low","Pink",IF(TableRelationships[[#This Row],[Rank Pedro]]="Medium","Purple",IF(TableRelationships[[#This Row],[Rank Pedro]]="High","Brown","")))</f>
        <v>Purple</v>
      </c>
      <c r="R125" s="4">
        <f>MAX(INDEX(Standards!$F$2:$F$296,MATCH(B125,Standards!$B$2:$B$296,0)),INDEX(Standards!$F$2:$F$296,MATCH(C125,Standards!$B$2:$B$296,0)))</f>
        <v>43453</v>
      </c>
      <c r="S125" t="str">
        <f t="shared" si="5"/>
        <v>#2f89d1</v>
      </c>
    </row>
    <row r="126" spans="1:19" x14ac:dyDescent="0.5">
      <c r="A126">
        <v>19</v>
      </c>
      <c r="B126" t="s">
        <v>210</v>
      </c>
      <c r="C126" t="s">
        <v>68</v>
      </c>
      <c r="D126">
        <f>INDEX(Standards!$A$2:$A$296,MATCH(B126,Standards!$B$2:$B$296,0))</f>
        <v>9</v>
      </c>
      <c r="E126">
        <f>INDEX(Standards!$A$2:$A$296,MATCH(C126,Standards!$B$2:$B$296,0))</f>
        <v>7</v>
      </c>
      <c r="F126" t="str">
        <f>INDEX(Standards!$N$2:$N$296,MATCH(B126,Standards!$B$2:$B$296,0))</f>
        <v>#70AD47</v>
      </c>
      <c r="G126" t="str">
        <f>INDEX(Standards!$N$2:$N$296,MATCH(C126,Standards!$B$2:$B$296,0))</f>
        <v>#70AD47</v>
      </c>
      <c r="H126" t="s">
        <v>521</v>
      </c>
      <c r="I126" t="s">
        <v>525</v>
      </c>
      <c r="J126" t="str">
        <f>INDEX(Standards!$H$2:$H$296,MATCH(B126,Standards!$B$2:$B$296,0))</f>
        <v>BIM</v>
      </c>
      <c r="K126" t="str">
        <f>INDEX(Standards!$H$2:$H$296,MATCH(C126,Standards!$B$2:$B$296,0))</f>
        <v>BIM</v>
      </c>
      <c r="L126" t="b">
        <f>AND(TableRelationships[[#This Row],[Source Type]]="BIM",TableRelationships[[#This Row],[Target Type]]="BIM")</f>
        <v>1</v>
      </c>
      <c r="M126">
        <f t="shared" si="3"/>
        <v>1</v>
      </c>
      <c r="N126" t="s">
        <v>526</v>
      </c>
      <c r="O126">
        <f t="shared" si="4"/>
        <v>2</v>
      </c>
      <c r="P126" t="str">
        <f>IF(TableRelationships[[#This Row],[Rank Pedro]]="Low","linkCategory1",IF(TableRelationships[[#This Row],[Rank Pedro]]="Medium","linkCategory2",IF(TableRelationships[[#This Row],[Rank Pedro]]="High","linkCategory3","")))</f>
        <v>linkCategory1</v>
      </c>
      <c r="Q126" t="str">
        <f>IF(TableRelationships[[#This Row],[Rank Pedro]]="Low","Pink",IF(TableRelationships[[#This Row],[Rank Pedro]]="Medium","Purple",IF(TableRelationships[[#This Row],[Rank Pedro]]="High","Brown","")))</f>
        <v>Pink</v>
      </c>
      <c r="R126" s="4">
        <f>MAX(INDEX(Standards!$F$2:$F$296,MATCH(B126,Standards!$B$2:$B$296,0)),INDEX(Standards!$F$2:$F$296,MATCH(C126,Standards!$B$2:$B$296,0)))</f>
        <v>43453</v>
      </c>
      <c r="S126" t="str">
        <f t="shared" si="5"/>
        <v>#2f89d1</v>
      </c>
    </row>
    <row r="127" spans="1:19" x14ac:dyDescent="0.5">
      <c r="A127">
        <v>33</v>
      </c>
      <c r="B127" t="s">
        <v>210</v>
      </c>
      <c r="C127" t="s">
        <v>96</v>
      </c>
      <c r="D127">
        <f>INDEX(Standards!$A$2:$A$296,MATCH(B127,Standards!$B$2:$B$296,0))</f>
        <v>9</v>
      </c>
      <c r="E127">
        <f>INDEX(Standards!$A$2:$A$296,MATCH(C127,Standards!$B$2:$B$296,0))</f>
        <v>27</v>
      </c>
      <c r="F127" t="str">
        <f>INDEX(Standards!$N$2:$N$296,MATCH(B127,Standards!$B$2:$B$296,0))</f>
        <v>#70AD47</v>
      </c>
      <c r="G127" t="str">
        <f>INDEX(Standards!$N$2:$N$296,MATCH(C127,Standards!$B$2:$B$296,0))</f>
        <v>#70AD47</v>
      </c>
      <c r="H127" t="s">
        <v>521</v>
      </c>
      <c r="I127" t="s">
        <v>525</v>
      </c>
      <c r="J127" t="str">
        <f>INDEX(Standards!$H$2:$H$296,MATCH(B127,Standards!$B$2:$B$296,0))</f>
        <v>BIM</v>
      </c>
      <c r="K127" t="str">
        <f>INDEX(Standards!$H$2:$H$296,MATCH(C127,Standards!$B$2:$B$296,0))</f>
        <v>BIM</v>
      </c>
      <c r="L127" t="b">
        <f>AND(TableRelationships[[#This Row],[Source Type]]="BIM",TableRelationships[[#This Row],[Target Type]]="BIM")</f>
        <v>1</v>
      </c>
      <c r="M127">
        <f t="shared" si="3"/>
        <v>1</v>
      </c>
      <c r="N127" t="s">
        <v>523</v>
      </c>
      <c r="O127">
        <f t="shared" si="4"/>
        <v>10</v>
      </c>
      <c r="P127" t="str">
        <f>IF(TableRelationships[[#This Row],[Rank Pedro]]="Low","linkCategory1",IF(TableRelationships[[#This Row],[Rank Pedro]]="Medium","linkCategory2",IF(TableRelationships[[#This Row],[Rank Pedro]]="High","linkCategory3","")))</f>
        <v>linkCategory3</v>
      </c>
      <c r="Q127" t="str">
        <f>IF(TableRelationships[[#This Row],[Rank Pedro]]="Low","Pink",IF(TableRelationships[[#This Row],[Rank Pedro]]="Medium","Purple",IF(TableRelationships[[#This Row],[Rank Pedro]]="High","Brown","")))</f>
        <v>Brown</v>
      </c>
      <c r="R127" s="4">
        <f>MAX(INDEX(Standards!$F$2:$F$296,MATCH(B127,Standards!$B$2:$B$296,0)),INDEX(Standards!$F$2:$F$296,MATCH(C127,Standards!$B$2:$B$296,0)))</f>
        <v>43453</v>
      </c>
      <c r="S127" t="str">
        <f t="shared" si="5"/>
        <v>#2f89d1</v>
      </c>
    </row>
    <row r="128" spans="1:19" x14ac:dyDescent="0.5">
      <c r="A128">
        <v>20</v>
      </c>
      <c r="B128" t="s">
        <v>210</v>
      </c>
      <c r="C128" t="s">
        <v>144</v>
      </c>
      <c r="D128">
        <f>INDEX(Standards!$A$2:$A$296,MATCH(B128,Standards!$B$2:$B$296,0))</f>
        <v>9</v>
      </c>
      <c r="E128">
        <f>INDEX(Standards!$A$2:$A$296,MATCH(C128,Standards!$B$2:$B$296,0))</f>
        <v>8</v>
      </c>
      <c r="F128" t="str">
        <f>INDEX(Standards!$N$2:$N$296,MATCH(B128,Standards!$B$2:$B$296,0))</f>
        <v>#70AD47</v>
      </c>
      <c r="G128" t="str">
        <f>INDEX(Standards!$N$2:$N$296,MATCH(C128,Standards!$B$2:$B$296,0))</f>
        <v>#70AD47</v>
      </c>
      <c r="H128" t="s">
        <v>521</v>
      </c>
      <c r="I128" t="s">
        <v>525</v>
      </c>
      <c r="J128" t="str">
        <f>INDEX(Standards!$H$2:$H$296,MATCH(B128,Standards!$B$2:$B$296,0))</f>
        <v>BIM</v>
      </c>
      <c r="K128" t="str">
        <f>INDEX(Standards!$H$2:$H$296,MATCH(C128,Standards!$B$2:$B$296,0))</f>
        <v>BIM</v>
      </c>
      <c r="L128" t="b">
        <f>AND(TableRelationships[[#This Row],[Source Type]]="BIM",TableRelationships[[#This Row],[Target Type]]="BIM")</f>
        <v>1</v>
      </c>
      <c r="M128">
        <f t="shared" si="3"/>
        <v>1</v>
      </c>
      <c r="N128" t="s">
        <v>526</v>
      </c>
      <c r="O128">
        <f t="shared" si="4"/>
        <v>2</v>
      </c>
      <c r="P128" t="str">
        <f>IF(TableRelationships[[#This Row],[Rank Pedro]]="Low","linkCategory1",IF(TableRelationships[[#This Row],[Rank Pedro]]="Medium","linkCategory2",IF(TableRelationships[[#This Row],[Rank Pedro]]="High","linkCategory3","")))</f>
        <v>linkCategory1</v>
      </c>
      <c r="Q128" t="str">
        <f>IF(TableRelationships[[#This Row],[Rank Pedro]]="Low","Pink",IF(TableRelationships[[#This Row],[Rank Pedro]]="Medium","Purple",IF(TableRelationships[[#This Row],[Rank Pedro]]="High","Brown","")))</f>
        <v>Pink</v>
      </c>
      <c r="R128" s="4">
        <f>MAX(INDEX(Standards!$F$2:$F$296,MATCH(B128,Standards!$B$2:$B$296,0)),INDEX(Standards!$F$2:$F$296,MATCH(C128,Standards!$B$2:$B$296,0)))</f>
        <v>43453</v>
      </c>
      <c r="S128" t="str">
        <f t="shared" si="5"/>
        <v>#2f89d1</v>
      </c>
    </row>
    <row r="129" spans="1:19" x14ac:dyDescent="0.5">
      <c r="A129">
        <v>21</v>
      </c>
      <c r="B129" t="s">
        <v>210</v>
      </c>
      <c r="C129" t="s">
        <v>214</v>
      </c>
      <c r="D129">
        <f>INDEX(Standards!$A$2:$A$296,MATCH(B129,Standards!$B$2:$B$296,0))</f>
        <v>9</v>
      </c>
      <c r="E129">
        <f>INDEX(Standards!$A$2:$A$296,MATCH(C129,Standards!$B$2:$B$296,0))</f>
        <v>10</v>
      </c>
      <c r="F129" t="str">
        <f>INDEX(Standards!$N$2:$N$296,MATCH(B129,Standards!$B$2:$B$296,0))</f>
        <v>#70AD47</v>
      </c>
      <c r="G129" t="str">
        <f>INDEX(Standards!$N$2:$N$296,MATCH(C129,Standards!$B$2:$B$296,0))</f>
        <v>#70AD47</v>
      </c>
      <c r="H129" t="s">
        <v>521</v>
      </c>
      <c r="I129" t="s">
        <v>525</v>
      </c>
      <c r="J129" t="str">
        <f>INDEX(Standards!$H$2:$H$296,MATCH(B129,Standards!$B$2:$B$296,0))</f>
        <v>BIM</v>
      </c>
      <c r="K129" t="str">
        <f>INDEX(Standards!$H$2:$H$296,MATCH(C129,Standards!$B$2:$B$296,0))</f>
        <v>BIM</v>
      </c>
      <c r="L129" t="b">
        <f>AND(TableRelationships[[#This Row],[Source Type]]="BIM",TableRelationships[[#This Row],[Target Type]]="BIM")</f>
        <v>1</v>
      </c>
      <c r="M129">
        <f t="shared" si="3"/>
        <v>1</v>
      </c>
      <c r="N129" t="s">
        <v>526</v>
      </c>
      <c r="O129">
        <f t="shared" si="4"/>
        <v>2</v>
      </c>
      <c r="P129" t="str">
        <f>IF(TableRelationships[[#This Row],[Rank Pedro]]="Low","linkCategory1",IF(TableRelationships[[#This Row],[Rank Pedro]]="Medium","linkCategory2",IF(TableRelationships[[#This Row],[Rank Pedro]]="High","linkCategory3","")))</f>
        <v>linkCategory1</v>
      </c>
      <c r="Q129" t="str">
        <f>IF(TableRelationships[[#This Row],[Rank Pedro]]="Low","Pink",IF(TableRelationships[[#This Row],[Rank Pedro]]="Medium","Purple",IF(TableRelationships[[#This Row],[Rank Pedro]]="High","Brown","")))</f>
        <v>Pink</v>
      </c>
      <c r="R129" s="4">
        <f>MAX(INDEX(Standards!$F$2:$F$296,MATCH(B129,Standards!$B$2:$B$296,0)),INDEX(Standards!$F$2:$F$296,MATCH(C129,Standards!$B$2:$B$296,0)))</f>
        <v>43453</v>
      </c>
      <c r="S129" t="str">
        <f t="shared" si="5"/>
        <v>#2f89d1</v>
      </c>
    </row>
    <row r="130" spans="1:19" x14ac:dyDescent="0.5">
      <c r="A130">
        <v>22</v>
      </c>
      <c r="B130" t="s">
        <v>210</v>
      </c>
      <c r="C130" t="s">
        <v>59</v>
      </c>
      <c r="D130">
        <f>INDEX(Standards!$A$2:$A$296,MATCH(B130,Standards!$B$2:$B$296,0))</f>
        <v>9</v>
      </c>
      <c r="E130">
        <f>INDEX(Standards!$A$2:$A$296,MATCH(C130,Standards!$B$2:$B$296,0))</f>
        <v>14</v>
      </c>
      <c r="F130" t="str">
        <f>INDEX(Standards!$N$2:$N$296,MATCH(B130,Standards!$B$2:$B$296,0))</f>
        <v>#70AD47</v>
      </c>
      <c r="G130" t="str">
        <f>INDEX(Standards!$N$2:$N$296,MATCH(C130,Standards!$B$2:$B$296,0))</f>
        <v>#FFC000</v>
      </c>
      <c r="H130" t="s">
        <v>521</v>
      </c>
      <c r="I130" t="s">
        <v>525</v>
      </c>
      <c r="J130" t="str">
        <f>INDEX(Standards!$H$2:$H$296,MATCH(B130,Standards!$B$2:$B$296,0))</f>
        <v>BIM</v>
      </c>
      <c r="K130" t="str">
        <f>INDEX(Standards!$H$2:$H$296,MATCH(C130,Standards!$B$2:$B$296,0))</f>
        <v>PM</v>
      </c>
      <c r="L130" t="b">
        <f>AND(TableRelationships[[#This Row],[Source Type]]="BIM",TableRelationships[[#This Row],[Target Type]]="BIM")</f>
        <v>0</v>
      </c>
      <c r="M130">
        <f t="shared" ref="M130:M193" si="6">IF(I130="Normative",6,IF(I130="Secondary",4,IF(I130="Anchor",2,1)))</f>
        <v>1</v>
      </c>
      <c r="N130" t="s">
        <v>526</v>
      </c>
      <c r="O130">
        <f t="shared" ref="O130:O193" si="7">IF(N130="High",10,IF(N130="Medium",6,IF(N130="Low",2,1)))</f>
        <v>2</v>
      </c>
      <c r="P130" t="str">
        <f>IF(TableRelationships[[#This Row],[Rank Pedro]]="Low","linkCategory1",IF(TableRelationships[[#This Row],[Rank Pedro]]="Medium","linkCategory2",IF(TableRelationships[[#This Row],[Rank Pedro]]="High","linkCategory3","")))</f>
        <v>linkCategory1</v>
      </c>
      <c r="Q130" t="str">
        <f>IF(TableRelationships[[#This Row],[Rank Pedro]]="Low","Pink",IF(TableRelationships[[#This Row],[Rank Pedro]]="Medium","Purple",IF(TableRelationships[[#This Row],[Rank Pedro]]="High","Brown","")))</f>
        <v>Pink</v>
      </c>
      <c r="R130" s="4">
        <f>MAX(INDEX(Standards!$F$2:$F$296,MATCH(B130,Standards!$B$2:$B$296,0)),INDEX(Standards!$F$2:$F$296,MATCH(C130,Standards!$B$2:$B$296,0)))</f>
        <v>43453</v>
      </c>
      <c r="S130" t="str">
        <f t="shared" ref="S130:S193" si="8">IF(I130="Normative", "#d6bf2a", IF(I130="Informative", "#2f89d1", 1))</f>
        <v>#2f89d1</v>
      </c>
    </row>
    <row r="131" spans="1:19" x14ac:dyDescent="0.5">
      <c r="A131">
        <v>23</v>
      </c>
      <c r="B131" t="s">
        <v>210</v>
      </c>
      <c r="C131" t="s">
        <v>376</v>
      </c>
      <c r="D131">
        <f>INDEX(Standards!$A$2:$A$296,MATCH(B131,Standards!$B$2:$B$296,0))</f>
        <v>9</v>
      </c>
      <c r="E131">
        <f>INDEX(Standards!$A$2:$A$296,MATCH(C131,Standards!$B$2:$B$296,0))</f>
        <v>15</v>
      </c>
      <c r="F131" t="str">
        <f>INDEX(Standards!$N$2:$N$296,MATCH(B131,Standards!$B$2:$B$296,0))</f>
        <v>#70AD47</v>
      </c>
      <c r="G131" t="str">
        <f>INDEX(Standards!$N$2:$N$296,MATCH(C131,Standards!$B$2:$B$296,0))</f>
        <v>#70AD47</v>
      </c>
      <c r="H131" t="s">
        <v>521</v>
      </c>
      <c r="I131" t="s">
        <v>525</v>
      </c>
      <c r="J131" t="str">
        <f>INDEX(Standards!$H$2:$H$296,MATCH(B131,Standards!$B$2:$B$296,0))</f>
        <v>BIM</v>
      </c>
      <c r="K131" t="str">
        <f>INDEX(Standards!$H$2:$H$296,MATCH(C131,Standards!$B$2:$B$296,0))</f>
        <v>BIM</v>
      </c>
      <c r="L131" t="b">
        <f>AND(TableRelationships[[#This Row],[Source Type]]="BIM",TableRelationships[[#This Row],[Target Type]]="BIM")</f>
        <v>1</v>
      </c>
      <c r="M131">
        <f t="shared" si="6"/>
        <v>1</v>
      </c>
      <c r="N131" t="s">
        <v>528</v>
      </c>
      <c r="O131">
        <f t="shared" si="7"/>
        <v>6</v>
      </c>
      <c r="P131" t="str">
        <f>IF(TableRelationships[[#This Row],[Rank Pedro]]="Low","linkCategory1",IF(TableRelationships[[#This Row],[Rank Pedro]]="Medium","linkCategory2",IF(TableRelationships[[#This Row],[Rank Pedro]]="High","linkCategory3","")))</f>
        <v>linkCategory2</v>
      </c>
      <c r="Q131" t="str">
        <f>IF(TableRelationships[[#This Row],[Rank Pedro]]="Low","Pink",IF(TableRelationships[[#This Row],[Rank Pedro]]="Medium","Purple",IF(TableRelationships[[#This Row],[Rank Pedro]]="High","Brown","")))</f>
        <v>Purple</v>
      </c>
      <c r="R131" s="4">
        <f>MAX(INDEX(Standards!$F$2:$F$296,MATCH(B131,Standards!$B$2:$B$296,0)),INDEX(Standards!$F$2:$F$296,MATCH(C131,Standards!$B$2:$B$296,0)))</f>
        <v>43453</v>
      </c>
      <c r="S131" t="str">
        <f t="shared" si="8"/>
        <v>#2f89d1</v>
      </c>
    </row>
    <row r="132" spans="1:19" x14ac:dyDescent="0.5">
      <c r="A132">
        <v>24</v>
      </c>
      <c r="B132" t="s">
        <v>210</v>
      </c>
      <c r="C132" t="s">
        <v>408</v>
      </c>
      <c r="D132">
        <f>INDEX(Standards!$A$2:$A$296,MATCH(B132,Standards!$B$2:$B$296,0))</f>
        <v>9</v>
      </c>
      <c r="E132">
        <f>INDEX(Standards!$A$2:$A$296,MATCH(C132,Standards!$B$2:$B$296,0))</f>
        <v>16</v>
      </c>
      <c r="F132" t="str">
        <f>INDEX(Standards!$N$2:$N$296,MATCH(B132,Standards!$B$2:$B$296,0))</f>
        <v>#70AD47</v>
      </c>
      <c r="G132" t="str">
        <f>INDEX(Standards!$N$2:$N$296,MATCH(C132,Standards!$B$2:$B$296,0))</f>
        <v>#70AD47</v>
      </c>
      <c r="H132" t="s">
        <v>521</v>
      </c>
      <c r="I132" t="s">
        <v>525</v>
      </c>
      <c r="J132" t="str">
        <f>INDEX(Standards!$H$2:$H$296,MATCH(B132,Standards!$B$2:$B$296,0))</f>
        <v>BIM</v>
      </c>
      <c r="K132" t="str">
        <f>INDEX(Standards!$H$2:$H$296,MATCH(C132,Standards!$B$2:$B$296,0))</f>
        <v>BIM</v>
      </c>
      <c r="L132" t="b">
        <f>AND(TableRelationships[[#This Row],[Source Type]]="BIM",TableRelationships[[#This Row],[Target Type]]="BIM")</f>
        <v>1</v>
      </c>
      <c r="M132">
        <f t="shared" si="6"/>
        <v>1</v>
      </c>
      <c r="N132" t="s">
        <v>528</v>
      </c>
      <c r="O132">
        <f t="shared" si="7"/>
        <v>6</v>
      </c>
      <c r="P132" t="str">
        <f>IF(TableRelationships[[#This Row],[Rank Pedro]]="Low","linkCategory1",IF(TableRelationships[[#This Row],[Rank Pedro]]="Medium","linkCategory2",IF(TableRelationships[[#This Row],[Rank Pedro]]="High","linkCategory3","")))</f>
        <v>linkCategory2</v>
      </c>
      <c r="Q132" t="str">
        <f>IF(TableRelationships[[#This Row],[Rank Pedro]]="Low","Pink",IF(TableRelationships[[#This Row],[Rank Pedro]]="Medium","Purple",IF(TableRelationships[[#This Row],[Rank Pedro]]="High","Brown","")))</f>
        <v>Purple</v>
      </c>
      <c r="R132" s="4">
        <f>MAX(INDEX(Standards!$F$2:$F$296,MATCH(B132,Standards!$B$2:$B$296,0)),INDEX(Standards!$F$2:$F$296,MATCH(C132,Standards!$B$2:$B$296,0)))</f>
        <v>43453</v>
      </c>
      <c r="S132" t="str">
        <f t="shared" si="8"/>
        <v>#2f89d1</v>
      </c>
    </row>
    <row r="133" spans="1:19" x14ac:dyDescent="0.5">
      <c r="A133">
        <v>25</v>
      </c>
      <c r="B133" t="s">
        <v>210</v>
      </c>
      <c r="C133" t="s">
        <v>72</v>
      </c>
      <c r="D133">
        <f>INDEX(Standards!$A$2:$A$296,MATCH(B133,Standards!$B$2:$B$296,0))</f>
        <v>9</v>
      </c>
      <c r="E133">
        <f>INDEX(Standards!$A$2:$A$296,MATCH(C133,Standards!$B$2:$B$296,0))</f>
        <v>17</v>
      </c>
      <c r="F133" t="str">
        <f>INDEX(Standards!$N$2:$N$296,MATCH(B133,Standards!$B$2:$B$296,0))</f>
        <v>#70AD47</v>
      </c>
      <c r="G133" t="str">
        <f>INDEX(Standards!$N$2:$N$296,MATCH(C133,Standards!$B$2:$B$296,0))</f>
        <v>#FFC000</v>
      </c>
      <c r="H133" t="s">
        <v>521</v>
      </c>
      <c r="I133" t="s">
        <v>525</v>
      </c>
      <c r="J133" t="str">
        <f>INDEX(Standards!$H$2:$H$296,MATCH(B133,Standards!$B$2:$B$296,0))</f>
        <v>BIM</v>
      </c>
      <c r="K133" t="str">
        <f>INDEX(Standards!$H$2:$H$296,MATCH(C133,Standards!$B$2:$B$296,0))</f>
        <v>PM</v>
      </c>
      <c r="L133" t="b">
        <f>AND(TableRelationships[[#This Row],[Source Type]]="BIM",TableRelationships[[#This Row],[Target Type]]="BIM")</f>
        <v>0</v>
      </c>
      <c r="M133">
        <f t="shared" si="6"/>
        <v>1</v>
      </c>
      <c r="N133" t="s">
        <v>526</v>
      </c>
      <c r="O133">
        <f t="shared" si="7"/>
        <v>2</v>
      </c>
      <c r="P133" t="str">
        <f>IF(TableRelationships[[#This Row],[Rank Pedro]]="Low","linkCategory1",IF(TableRelationships[[#This Row],[Rank Pedro]]="Medium","linkCategory2",IF(TableRelationships[[#This Row],[Rank Pedro]]="High","linkCategory3","")))</f>
        <v>linkCategory1</v>
      </c>
      <c r="Q133" t="str">
        <f>IF(TableRelationships[[#This Row],[Rank Pedro]]="Low","Pink",IF(TableRelationships[[#This Row],[Rank Pedro]]="Medium","Purple",IF(TableRelationships[[#This Row],[Rank Pedro]]="High","Brown","")))</f>
        <v>Pink</v>
      </c>
      <c r="R133" s="4">
        <f>MAX(INDEX(Standards!$F$2:$F$296,MATCH(B133,Standards!$B$2:$B$296,0)),INDEX(Standards!$F$2:$F$296,MATCH(C133,Standards!$B$2:$B$296,0)))</f>
        <v>43453</v>
      </c>
      <c r="S133" t="str">
        <f t="shared" si="8"/>
        <v>#2f89d1</v>
      </c>
    </row>
    <row r="134" spans="1:19" x14ac:dyDescent="0.5">
      <c r="A134">
        <v>34</v>
      </c>
      <c r="B134" t="s">
        <v>210</v>
      </c>
      <c r="C134" t="s">
        <v>116</v>
      </c>
      <c r="D134">
        <f>INDEX(Standards!$A$2:$A$296,MATCH(B134,Standards!$B$2:$B$296,0))</f>
        <v>9</v>
      </c>
      <c r="E134">
        <f>INDEX(Standards!$A$2:$A$296,MATCH(C134,Standards!$B$2:$B$296,0))</f>
        <v>36</v>
      </c>
      <c r="F134" t="str">
        <f>INDEX(Standards!$N$2:$N$296,MATCH(B134,Standards!$B$2:$B$296,0))</f>
        <v>#70AD47</v>
      </c>
      <c r="G134" t="str">
        <f>INDEX(Standards!$N$2:$N$296,MATCH(C134,Standards!$B$2:$B$296,0))</f>
        <v>#595959</v>
      </c>
      <c r="H134" t="s">
        <v>521</v>
      </c>
      <c r="I134" t="s">
        <v>525</v>
      </c>
      <c r="J134" t="str">
        <f>INDEX(Standards!$H$2:$H$296,MATCH(B134,Standards!$B$2:$B$296,0))</f>
        <v>BIM</v>
      </c>
      <c r="K134" t="str">
        <f>INDEX(Standards!$H$2:$H$296,MATCH(C134,Standards!$B$2:$B$296,0))</f>
        <v>Other</v>
      </c>
      <c r="L134" t="b">
        <f>AND(TableRelationships[[#This Row],[Source Type]]="BIM",TableRelationships[[#This Row],[Target Type]]="BIM")</f>
        <v>0</v>
      </c>
      <c r="M134">
        <f t="shared" si="6"/>
        <v>1</v>
      </c>
      <c r="N134" t="s">
        <v>526</v>
      </c>
      <c r="O134">
        <f t="shared" si="7"/>
        <v>2</v>
      </c>
      <c r="P134" t="str">
        <f>IF(TableRelationships[[#This Row],[Rank Pedro]]="Low","linkCategory1",IF(TableRelationships[[#This Row],[Rank Pedro]]="Medium","linkCategory2",IF(TableRelationships[[#This Row],[Rank Pedro]]="High","linkCategory3","")))</f>
        <v>linkCategory1</v>
      </c>
      <c r="Q134" t="str">
        <f>IF(TableRelationships[[#This Row],[Rank Pedro]]="Low","Pink",IF(TableRelationships[[#This Row],[Rank Pedro]]="Medium","Purple",IF(TableRelationships[[#This Row],[Rank Pedro]]="High","Brown","")))</f>
        <v>Pink</v>
      </c>
      <c r="R134" s="4">
        <f>MAX(INDEX(Standards!$F$2:$F$296,MATCH(B134,Standards!$B$2:$B$296,0)),INDEX(Standards!$F$2:$F$296,MATCH(C134,Standards!$B$2:$B$296,0)))</f>
        <v>43453</v>
      </c>
      <c r="S134" t="str">
        <f t="shared" si="8"/>
        <v>#2f89d1</v>
      </c>
    </row>
    <row r="135" spans="1:19" x14ac:dyDescent="0.5">
      <c r="A135">
        <v>26</v>
      </c>
      <c r="B135" t="s">
        <v>210</v>
      </c>
      <c r="C135" t="s">
        <v>74</v>
      </c>
      <c r="D135">
        <f>INDEX(Standards!$A$2:$A$296,MATCH(B135,Standards!$B$2:$B$296,0))</f>
        <v>9</v>
      </c>
      <c r="E135">
        <f>INDEX(Standards!$A$2:$A$296,MATCH(C135,Standards!$B$2:$B$296,0))</f>
        <v>18</v>
      </c>
      <c r="F135" t="str">
        <f>INDEX(Standards!$N$2:$N$296,MATCH(B135,Standards!$B$2:$B$296,0))</f>
        <v>#70AD47</v>
      </c>
      <c r="G135" t="str">
        <f>INDEX(Standards!$N$2:$N$296,MATCH(C135,Standards!$B$2:$B$296,0))</f>
        <v>#44546A</v>
      </c>
      <c r="H135" t="s">
        <v>521</v>
      </c>
      <c r="I135" t="s">
        <v>525</v>
      </c>
      <c r="J135" t="str">
        <f>INDEX(Standards!$H$2:$H$296,MATCH(B135,Standards!$B$2:$B$296,0))</f>
        <v>BIM</v>
      </c>
      <c r="K135" t="str">
        <f>INDEX(Standards!$H$2:$H$296,MATCH(C135,Standards!$B$2:$B$296,0))</f>
        <v>FM</v>
      </c>
      <c r="L135" t="b">
        <f>AND(TableRelationships[[#This Row],[Source Type]]="BIM",TableRelationships[[#This Row],[Target Type]]="BIM")</f>
        <v>0</v>
      </c>
      <c r="M135">
        <f t="shared" si="6"/>
        <v>1</v>
      </c>
      <c r="N135" t="s">
        <v>526</v>
      </c>
      <c r="O135">
        <f t="shared" si="7"/>
        <v>2</v>
      </c>
      <c r="P135" t="str">
        <f>IF(TableRelationships[[#This Row],[Rank Pedro]]="Low","linkCategory1",IF(TableRelationships[[#This Row],[Rank Pedro]]="Medium","linkCategory2",IF(TableRelationships[[#This Row],[Rank Pedro]]="High","linkCategory3","")))</f>
        <v>linkCategory1</v>
      </c>
      <c r="Q135" t="str">
        <f>IF(TableRelationships[[#This Row],[Rank Pedro]]="Low","Pink",IF(TableRelationships[[#This Row],[Rank Pedro]]="Medium","Purple",IF(TableRelationships[[#This Row],[Rank Pedro]]="High","Brown","")))</f>
        <v>Pink</v>
      </c>
      <c r="R135" s="4">
        <f>MAX(INDEX(Standards!$F$2:$F$296,MATCH(B135,Standards!$B$2:$B$296,0)),INDEX(Standards!$F$2:$F$296,MATCH(C135,Standards!$B$2:$B$296,0)))</f>
        <v>43453</v>
      </c>
      <c r="S135" t="str">
        <f t="shared" si="8"/>
        <v>#2f89d1</v>
      </c>
    </row>
    <row r="136" spans="1:19" x14ac:dyDescent="0.5">
      <c r="A136">
        <v>27</v>
      </c>
      <c r="B136" t="s">
        <v>210</v>
      </c>
      <c r="C136" t="s">
        <v>77</v>
      </c>
      <c r="D136">
        <f>INDEX(Standards!$A$2:$A$296,MATCH(B136,Standards!$B$2:$B$296,0))</f>
        <v>9</v>
      </c>
      <c r="E136">
        <f>INDEX(Standards!$A$2:$A$296,MATCH(C136,Standards!$B$2:$B$296,0))</f>
        <v>19</v>
      </c>
      <c r="F136" t="str">
        <f>INDEX(Standards!$N$2:$N$296,MATCH(B136,Standards!$B$2:$B$296,0))</f>
        <v>#70AD47</v>
      </c>
      <c r="G136" t="str">
        <f>INDEX(Standards!$N$2:$N$296,MATCH(C136,Standards!$B$2:$B$296,0))</f>
        <v>#ED7D31</v>
      </c>
      <c r="H136" t="s">
        <v>521</v>
      </c>
      <c r="I136" t="s">
        <v>525</v>
      </c>
      <c r="J136" t="str">
        <f>INDEX(Standards!$H$2:$H$296,MATCH(B136,Standards!$B$2:$B$296,0))</f>
        <v>BIM</v>
      </c>
      <c r="K136" t="str">
        <f>INDEX(Standards!$H$2:$H$296,MATCH(C136,Standards!$B$2:$B$296,0))</f>
        <v>Construction</v>
      </c>
      <c r="L136" t="b">
        <f>AND(TableRelationships[[#This Row],[Source Type]]="BIM",TableRelationships[[#This Row],[Target Type]]="BIM")</f>
        <v>0</v>
      </c>
      <c r="M136">
        <f t="shared" si="6"/>
        <v>1</v>
      </c>
      <c r="N136" t="s">
        <v>526</v>
      </c>
      <c r="O136">
        <f t="shared" si="7"/>
        <v>2</v>
      </c>
      <c r="P136" t="str">
        <f>IF(TableRelationships[[#This Row],[Rank Pedro]]="Low","linkCategory1",IF(TableRelationships[[#This Row],[Rank Pedro]]="Medium","linkCategory2",IF(TableRelationships[[#This Row],[Rank Pedro]]="High","linkCategory3","")))</f>
        <v>linkCategory1</v>
      </c>
      <c r="Q136" t="str">
        <f>IF(TableRelationships[[#This Row],[Rank Pedro]]="Low","Pink",IF(TableRelationships[[#This Row],[Rank Pedro]]="Medium","Purple",IF(TableRelationships[[#This Row],[Rank Pedro]]="High","Brown","")))</f>
        <v>Pink</v>
      </c>
      <c r="R136" s="4">
        <f>MAX(INDEX(Standards!$F$2:$F$296,MATCH(B136,Standards!$B$2:$B$296,0)),INDEX(Standards!$F$2:$F$296,MATCH(C136,Standards!$B$2:$B$296,0)))</f>
        <v>43453</v>
      </c>
      <c r="S136" t="str">
        <f t="shared" si="8"/>
        <v>#2f89d1</v>
      </c>
    </row>
    <row r="137" spans="1:19" x14ac:dyDescent="0.5">
      <c r="A137">
        <v>28</v>
      </c>
      <c r="B137" t="s">
        <v>210</v>
      </c>
      <c r="C137" t="s">
        <v>80</v>
      </c>
      <c r="D137">
        <f>INDEX(Standards!$A$2:$A$296,MATCH(B137,Standards!$B$2:$B$296,0))</f>
        <v>9</v>
      </c>
      <c r="E137">
        <f>INDEX(Standards!$A$2:$A$296,MATCH(C137,Standards!$B$2:$B$296,0))</f>
        <v>20</v>
      </c>
      <c r="F137" t="str">
        <f>INDEX(Standards!$N$2:$N$296,MATCH(B137,Standards!$B$2:$B$296,0))</f>
        <v>#70AD47</v>
      </c>
      <c r="G137" t="str">
        <f>INDEX(Standards!$N$2:$N$296,MATCH(C137,Standards!$B$2:$B$296,0))</f>
        <v>#ED7D31</v>
      </c>
      <c r="H137" t="s">
        <v>521</v>
      </c>
      <c r="I137" t="s">
        <v>525</v>
      </c>
      <c r="J137" t="str">
        <f>INDEX(Standards!$H$2:$H$296,MATCH(B137,Standards!$B$2:$B$296,0))</f>
        <v>BIM</v>
      </c>
      <c r="K137" t="str">
        <f>INDEX(Standards!$H$2:$H$296,MATCH(C137,Standards!$B$2:$B$296,0))</f>
        <v>Construction</v>
      </c>
      <c r="L137" t="b">
        <f>AND(TableRelationships[[#This Row],[Source Type]]="BIM",TableRelationships[[#This Row],[Target Type]]="BIM")</f>
        <v>0</v>
      </c>
      <c r="M137">
        <f t="shared" si="6"/>
        <v>1</v>
      </c>
      <c r="N137" t="s">
        <v>526</v>
      </c>
      <c r="O137">
        <f t="shared" si="7"/>
        <v>2</v>
      </c>
      <c r="P137" t="str">
        <f>IF(TableRelationships[[#This Row],[Rank Pedro]]="Low","linkCategory1",IF(TableRelationships[[#This Row],[Rank Pedro]]="Medium","linkCategory2",IF(TableRelationships[[#This Row],[Rank Pedro]]="High","linkCategory3","")))</f>
        <v>linkCategory1</v>
      </c>
      <c r="Q137" t="str">
        <f>IF(TableRelationships[[#This Row],[Rank Pedro]]="Low","Pink",IF(TableRelationships[[#This Row],[Rank Pedro]]="Medium","Purple",IF(TableRelationships[[#This Row],[Rank Pedro]]="High","Brown","")))</f>
        <v>Pink</v>
      </c>
      <c r="R137" s="4">
        <f>MAX(INDEX(Standards!$F$2:$F$296,MATCH(B137,Standards!$B$2:$B$296,0)),INDEX(Standards!$F$2:$F$296,MATCH(C137,Standards!$B$2:$B$296,0)))</f>
        <v>43453</v>
      </c>
      <c r="S137" t="str">
        <f t="shared" si="8"/>
        <v>#2f89d1</v>
      </c>
    </row>
    <row r="138" spans="1:19" x14ac:dyDescent="0.5">
      <c r="A138">
        <v>30</v>
      </c>
      <c r="B138" t="s">
        <v>210</v>
      </c>
      <c r="C138" t="s">
        <v>85</v>
      </c>
      <c r="D138">
        <f>INDEX(Standards!$A$2:$A$296,MATCH(B138,Standards!$B$2:$B$296,0))</f>
        <v>9</v>
      </c>
      <c r="E138">
        <f>INDEX(Standards!$A$2:$A$296,MATCH(C138,Standards!$B$2:$B$296,0))</f>
        <v>22</v>
      </c>
      <c r="F138" t="str">
        <f>INDEX(Standards!$N$2:$N$296,MATCH(B138,Standards!$B$2:$B$296,0))</f>
        <v>#70AD47</v>
      </c>
      <c r="G138" t="str">
        <f>INDEX(Standards!$N$2:$N$296,MATCH(C138,Standards!$B$2:$B$296,0))</f>
        <v>#C00000</v>
      </c>
      <c r="H138" t="s">
        <v>521</v>
      </c>
      <c r="I138" t="s">
        <v>525</v>
      </c>
      <c r="J138" t="str">
        <f>INDEX(Standards!$H$2:$H$296,MATCH(B138,Standards!$B$2:$B$296,0))</f>
        <v>BIM</v>
      </c>
      <c r="K138" t="str">
        <f>INDEX(Standards!$H$2:$H$296,MATCH(C138,Standards!$B$2:$B$296,0))</f>
        <v>Quality Management</v>
      </c>
      <c r="L138" t="b">
        <f>AND(TableRelationships[[#This Row],[Source Type]]="BIM",TableRelationships[[#This Row],[Target Type]]="BIM")</f>
        <v>0</v>
      </c>
      <c r="M138">
        <f t="shared" si="6"/>
        <v>1</v>
      </c>
      <c r="N138" t="s">
        <v>526</v>
      </c>
      <c r="O138">
        <f t="shared" si="7"/>
        <v>2</v>
      </c>
      <c r="P138" t="str">
        <f>IF(TableRelationships[[#This Row],[Rank Pedro]]="Low","linkCategory1",IF(TableRelationships[[#This Row],[Rank Pedro]]="Medium","linkCategory2",IF(TableRelationships[[#This Row],[Rank Pedro]]="High","linkCategory3","")))</f>
        <v>linkCategory1</v>
      </c>
      <c r="Q138" t="str">
        <f>IF(TableRelationships[[#This Row],[Rank Pedro]]="Low","Pink",IF(TableRelationships[[#This Row],[Rank Pedro]]="Medium","Purple",IF(TableRelationships[[#This Row],[Rank Pedro]]="High","Brown","")))</f>
        <v>Pink</v>
      </c>
      <c r="R138" s="4">
        <f>MAX(INDEX(Standards!$F$2:$F$296,MATCH(B138,Standards!$B$2:$B$296,0)),INDEX(Standards!$F$2:$F$296,MATCH(C138,Standards!$B$2:$B$296,0)))</f>
        <v>43453</v>
      </c>
      <c r="S138" t="str">
        <f t="shared" si="8"/>
        <v>#2f89d1</v>
      </c>
    </row>
    <row r="139" spans="1:19" x14ac:dyDescent="0.5">
      <c r="A139">
        <v>31</v>
      </c>
      <c r="B139" t="s">
        <v>210</v>
      </c>
      <c r="C139" t="s">
        <v>92</v>
      </c>
      <c r="D139">
        <f>INDEX(Standards!$A$2:$A$296,MATCH(B139,Standards!$B$2:$B$296,0))</f>
        <v>9</v>
      </c>
      <c r="E139">
        <f>INDEX(Standards!$A$2:$A$296,MATCH(C139,Standards!$B$2:$B$296,0))</f>
        <v>25</v>
      </c>
      <c r="F139" t="str">
        <f>INDEX(Standards!$N$2:$N$296,MATCH(B139,Standards!$B$2:$B$296,0))</f>
        <v>#70AD47</v>
      </c>
      <c r="G139" t="str">
        <f>INDEX(Standards!$N$2:$N$296,MATCH(C139,Standards!$B$2:$B$296,0))</f>
        <v>#7030A0</v>
      </c>
      <c r="H139" t="s">
        <v>521</v>
      </c>
      <c r="I139" t="s">
        <v>525</v>
      </c>
      <c r="J139" t="str">
        <f>INDEX(Standards!$H$2:$H$296,MATCH(B139,Standards!$B$2:$B$296,0))</f>
        <v>BIM</v>
      </c>
      <c r="K139" t="str">
        <f>INDEX(Standards!$H$2:$H$296,MATCH(C139,Standards!$B$2:$B$296,0))</f>
        <v>ICT</v>
      </c>
      <c r="L139" t="b">
        <f>AND(TableRelationships[[#This Row],[Source Type]]="BIM",TableRelationships[[#This Row],[Target Type]]="BIM")</f>
        <v>0</v>
      </c>
      <c r="M139">
        <f t="shared" si="6"/>
        <v>1</v>
      </c>
      <c r="N139" t="s">
        <v>526</v>
      </c>
      <c r="O139">
        <f t="shared" si="7"/>
        <v>2</v>
      </c>
      <c r="P139" t="str">
        <f>IF(TableRelationships[[#This Row],[Rank Pedro]]="Low","linkCategory1",IF(TableRelationships[[#This Row],[Rank Pedro]]="Medium","linkCategory2",IF(TableRelationships[[#This Row],[Rank Pedro]]="High","linkCategory3","")))</f>
        <v>linkCategory1</v>
      </c>
      <c r="Q139" t="str">
        <f>IF(TableRelationships[[#This Row],[Rank Pedro]]="Low","Pink",IF(TableRelationships[[#This Row],[Rank Pedro]]="Medium","Purple",IF(TableRelationships[[#This Row],[Rank Pedro]]="High","Brown","")))</f>
        <v>Pink</v>
      </c>
      <c r="R139" s="4">
        <f>MAX(INDEX(Standards!$F$2:$F$296,MATCH(B139,Standards!$B$2:$B$296,0)),INDEX(Standards!$F$2:$F$296,MATCH(C139,Standards!$B$2:$B$296,0)))</f>
        <v>43453</v>
      </c>
      <c r="S139" t="str">
        <f t="shared" si="8"/>
        <v>#2f89d1</v>
      </c>
    </row>
    <row r="140" spans="1:19" x14ac:dyDescent="0.5">
      <c r="A140">
        <v>32</v>
      </c>
      <c r="B140" t="s">
        <v>210</v>
      </c>
      <c r="C140" t="s">
        <v>94</v>
      </c>
      <c r="D140">
        <f>INDEX(Standards!$A$2:$A$296,MATCH(B140,Standards!$B$2:$B$296,0))</f>
        <v>9</v>
      </c>
      <c r="E140">
        <f>INDEX(Standards!$A$2:$A$296,MATCH(C140,Standards!$B$2:$B$296,0))</f>
        <v>26</v>
      </c>
      <c r="F140" t="str">
        <f>INDEX(Standards!$N$2:$N$296,MATCH(B140,Standards!$B$2:$B$296,0))</f>
        <v>#70AD47</v>
      </c>
      <c r="G140" t="str">
        <f>INDEX(Standards!$N$2:$N$296,MATCH(C140,Standards!$B$2:$B$296,0))</f>
        <v>#7030A0</v>
      </c>
      <c r="H140" t="s">
        <v>521</v>
      </c>
      <c r="I140" t="s">
        <v>525</v>
      </c>
      <c r="J140" t="str">
        <f>INDEX(Standards!$H$2:$H$296,MATCH(B140,Standards!$B$2:$B$296,0))</f>
        <v>BIM</v>
      </c>
      <c r="K140" t="str">
        <f>INDEX(Standards!$H$2:$H$296,MATCH(C140,Standards!$B$2:$B$296,0))</f>
        <v>ICT</v>
      </c>
      <c r="L140" t="b">
        <f>AND(TableRelationships[[#This Row],[Source Type]]="BIM",TableRelationships[[#This Row],[Target Type]]="BIM")</f>
        <v>0</v>
      </c>
      <c r="M140">
        <f t="shared" si="6"/>
        <v>1</v>
      </c>
      <c r="N140" t="s">
        <v>526</v>
      </c>
      <c r="O140">
        <f t="shared" si="7"/>
        <v>2</v>
      </c>
      <c r="P140" t="str">
        <f>IF(TableRelationships[[#This Row],[Rank Pedro]]="Low","linkCategory1",IF(TableRelationships[[#This Row],[Rank Pedro]]="Medium","linkCategory2",IF(TableRelationships[[#This Row],[Rank Pedro]]="High","linkCategory3","")))</f>
        <v>linkCategory1</v>
      </c>
      <c r="Q140" t="str">
        <f>IF(TableRelationships[[#This Row],[Rank Pedro]]="Low","Pink",IF(TableRelationships[[#This Row],[Rank Pedro]]="Medium","Purple",IF(TableRelationships[[#This Row],[Rank Pedro]]="High","Brown","")))</f>
        <v>Pink</v>
      </c>
      <c r="R140" s="4">
        <f>MAX(INDEX(Standards!$F$2:$F$296,MATCH(B140,Standards!$B$2:$B$296,0)),INDEX(Standards!$F$2:$F$296,MATCH(C140,Standards!$B$2:$B$296,0)))</f>
        <v>43453</v>
      </c>
      <c r="S140" t="str">
        <f t="shared" si="8"/>
        <v>#2f89d1</v>
      </c>
    </row>
    <row r="141" spans="1:19" x14ac:dyDescent="0.5">
      <c r="A141">
        <v>29</v>
      </c>
      <c r="B141" t="s">
        <v>210</v>
      </c>
      <c r="C141" t="s">
        <v>82</v>
      </c>
      <c r="D141">
        <f>INDEX(Standards!$A$2:$A$296,MATCH(B141,Standards!$B$2:$B$296,0))</f>
        <v>9</v>
      </c>
      <c r="E141">
        <f>INDEX(Standards!$A$2:$A$296,MATCH(C141,Standards!$B$2:$B$296,0))</f>
        <v>21</v>
      </c>
      <c r="F141" t="str">
        <f>INDEX(Standards!$N$2:$N$296,MATCH(B141,Standards!$B$2:$B$296,0))</f>
        <v>#70AD47</v>
      </c>
      <c r="G141" t="str">
        <f>INDEX(Standards!$N$2:$N$296,MATCH(C141,Standards!$B$2:$B$296,0))</f>
        <v>#4472C4</v>
      </c>
      <c r="H141" t="s">
        <v>521</v>
      </c>
      <c r="I141" t="s">
        <v>525</v>
      </c>
      <c r="J141" t="str">
        <f>INDEX(Standards!$H$2:$H$296,MATCH(B141,Standards!$B$2:$B$296,0))</f>
        <v>BIM</v>
      </c>
      <c r="K141" t="str">
        <f>INDEX(Standards!$H$2:$H$296,MATCH(C141,Standards!$B$2:$B$296,0))</f>
        <v>Industrial Automation</v>
      </c>
      <c r="L141" t="b">
        <f>AND(TableRelationships[[#This Row],[Source Type]]="BIM",TableRelationships[[#This Row],[Target Type]]="BIM")</f>
        <v>0</v>
      </c>
      <c r="M141">
        <f t="shared" si="6"/>
        <v>1</v>
      </c>
      <c r="N141" t="s">
        <v>526</v>
      </c>
      <c r="O141">
        <f t="shared" si="7"/>
        <v>2</v>
      </c>
      <c r="P141" t="str">
        <f>IF(TableRelationships[[#This Row],[Rank Pedro]]="Low","linkCategory1",IF(TableRelationships[[#This Row],[Rank Pedro]]="Medium","linkCategory2",IF(TableRelationships[[#This Row],[Rank Pedro]]="High","linkCategory3","")))</f>
        <v>linkCategory1</v>
      </c>
      <c r="Q141" t="str">
        <f>IF(TableRelationships[[#This Row],[Rank Pedro]]="Low","Pink",IF(TableRelationships[[#This Row],[Rank Pedro]]="Medium","Purple",IF(TableRelationships[[#This Row],[Rank Pedro]]="High","Brown","")))</f>
        <v>Pink</v>
      </c>
      <c r="R141" s="4">
        <f>MAX(INDEX(Standards!$F$2:$F$296,MATCH(B141,Standards!$B$2:$B$296,0)),INDEX(Standards!$F$2:$F$296,MATCH(C141,Standards!$B$2:$B$296,0)))</f>
        <v>43453</v>
      </c>
      <c r="S141" t="str">
        <f t="shared" si="8"/>
        <v>#2f89d1</v>
      </c>
    </row>
    <row r="142" spans="1:19" x14ac:dyDescent="0.5">
      <c r="A142">
        <v>177</v>
      </c>
      <c r="B142" t="s">
        <v>214</v>
      </c>
      <c r="C142" t="s">
        <v>236</v>
      </c>
      <c r="D142">
        <f>INDEX(Standards!$A$2:$A$296,MATCH(B142,Standards!$B$2:$B$296,0))</f>
        <v>10</v>
      </c>
      <c r="E142">
        <f>INDEX(Standards!$A$2:$A$296,MATCH(C142,Standards!$B$2:$B$296,0))</f>
        <v>91</v>
      </c>
      <c r="F142" t="str">
        <f>INDEX(Standards!$N$2:$N$296,MATCH(B142,Standards!$B$2:$B$296,0))</f>
        <v>#70AD47</v>
      </c>
      <c r="G142" t="str">
        <f>INDEX(Standards!$N$2:$N$296,MATCH(C142,Standards!$B$2:$B$296,0))</f>
        <v>#F2F2F2</v>
      </c>
      <c r="H142" t="s">
        <v>521</v>
      </c>
      <c r="I142" t="s">
        <v>237</v>
      </c>
      <c r="J142" t="str">
        <f>INDEX(Standards!$H$2:$H$296,MATCH(B142,Standards!$B$2:$B$296,0))</f>
        <v>BIM</v>
      </c>
      <c r="K142" t="str">
        <f>INDEX(Standards!$H$2:$H$296,MATCH(C142,Standards!$B$2:$B$296,0))</f>
        <v>Anchor</v>
      </c>
      <c r="L142" t="b">
        <f>AND(TableRelationships[[#This Row],[Source Type]]="BIM",TableRelationships[[#This Row],[Target Type]]="BIM")</f>
        <v>0</v>
      </c>
      <c r="M142">
        <f t="shared" si="6"/>
        <v>2</v>
      </c>
      <c r="O142">
        <f t="shared" si="7"/>
        <v>1</v>
      </c>
      <c r="P142" t="str">
        <f>IF(TableRelationships[[#This Row],[Rank Pedro]]="Low","linkCategory1",IF(TableRelationships[[#This Row],[Rank Pedro]]="Medium","linkCategory2",IF(TableRelationships[[#This Row],[Rank Pedro]]="High","linkCategory3","")))</f>
        <v/>
      </c>
      <c r="Q142" t="str">
        <f>IF(TableRelationships[[#This Row],[Rank Pedro]]="Low","Pink",IF(TableRelationships[[#This Row],[Rank Pedro]]="Medium","Purple",IF(TableRelationships[[#This Row],[Rank Pedro]]="High","Brown","")))</f>
        <v/>
      </c>
      <c r="R142" s="4">
        <f>MAX(INDEX(Standards!$F$2:$F$296,MATCH(B142,Standards!$B$2:$B$296,0)),INDEX(Standards!$F$2:$F$296,MATCH(C142,Standards!$B$2:$B$296,0)))</f>
        <v>43453</v>
      </c>
      <c r="S142">
        <f t="shared" si="8"/>
        <v>1</v>
      </c>
    </row>
    <row r="143" spans="1:19" x14ac:dyDescent="0.5">
      <c r="A143">
        <v>46</v>
      </c>
      <c r="B143" t="s">
        <v>214</v>
      </c>
      <c r="C143" t="s">
        <v>484</v>
      </c>
      <c r="D143">
        <f>INDEX(Standards!$A$2:$A$296,MATCH(B143,Standards!$B$2:$B$296,0))</f>
        <v>10</v>
      </c>
      <c r="E143">
        <f>INDEX(Standards!$A$2:$A$296,MATCH(C143,Standards!$B$2:$B$296,0))</f>
        <v>196</v>
      </c>
      <c r="F143" t="str">
        <f>INDEX(Standards!$N$2:$N$296,MATCH(B143,Standards!$B$2:$B$296,0))</f>
        <v>#70AD47</v>
      </c>
      <c r="G143" t="str">
        <f>INDEX(Standards!$N$2:$N$296,MATCH(C143,Standards!$B$2:$B$296,0))</f>
        <v>#70AD47</v>
      </c>
      <c r="H143" t="s">
        <v>521</v>
      </c>
      <c r="I143" s="82" t="s">
        <v>522</v>
      </c>
      <c r="J143" t="str">
        <f>INDEX(Standards!$H$2:$H$296,MATCH(B143,Standards!$B$2:$B$296,0))</f>
        <v>BIM</v>
      </c>
      <c r="K143" t="str">
        <f>INDEX(Standards!$H$2:$H$296,MATCH(C143,Standards!$B$2:$B$296,0))</f>
        <v>BIM</v>
      </c>
      <c r="L143" t="b">
        <f>AND(TableRelationships[[#This Row],[Source Type]]="BIM",TableRelationships[[#This Row],[Target Type]]="BIM")</f>
        <v>1</v>
      </c>
      <c r="M143">
        <f t="shared" si="6"/>
        <v>1</v>
      </c>
      <c r="N143" t="s">
        <v>528</v>
      </c>
      <c r="O143">
        <f t="shared" si="7"/>
        <v>6</v>
      </c>
      <c r="P143" t="str">
        <f>IF(TableRelationships[[#This Row],[Rank Pedro]]="Low","linkCategory1",IF(TableRelationships[[#This Row],[Rank Pedro]]="Medium","linkCategory2",IF(TableRelationships[[#This Row],[Rank Pedro]]="High","linkCategory3","")))</f>
        <v>linkCategory2</v>
      </c>
      <c r="Q143" t="str">
        <f>IF(TableRelationships[[#This Row],[Rank Pedro]]="Low","Pink",IF(TableRelationships[[#This Row],[Rank Pedro]]="Medium","Purple",IF(TableRelationships[[#This Row],[Rank Pedro]]="High","Brown","")))</f>
        <v>Purple</v>
      </c>
      <c r="R143" s="4">
        <f>MAX(INDEX(Standards!$F$2:$F$296,MATCH(B143,Standards!$B$2:$B$296,0)),INDEX(Standards!$F$2:$F$296,MATCH(C143,Standards!$B$2:$B$296,0)))</f>
        <v>45444</v>
      </c>
      <c r="S143">
        <f t="shared" si="8"/>
        <v>1</v>
      </c>
    </row>
    <row r="144" spans="1:19" x14ac:dyDescent="0.5">
      <c r="A144">
        <v>38</v>
      </c>
      <c r="B144" t="s">
        <v>214</v>
      </c>
      <c r="C144" t="s">
        <v>63</v>
      </c>
      <c r="D144">
        <f>INDEX(Standards!$A$2:$A$296,MATCH(B144,Standards!$B$2:$B$296,0))</f>
        <v>10</v>
      </c>
      <c r="E144">
        <f>INDEX(Standards!$A$2:$A$296,MATCH(C144,Standards!$B$2:$B$296,0))</f>
        <v>6</v>
      </c>
      <c r="F144" t="str">
        <f>INDEX(Standards!$N$2:$N$296,MATCH(B144,Standards!$B$2:$B$296,0))</f>
        <v>#70AD47</v>
      </c>
      <c r="G144" t="str">
        <f>INDEX(Standards!$N$2:$N$296,MATCH(C144,Standards!$B$2:$B$296,0))</f>
        <v>#70AD47</v>
      </c>
      <c r="H144" t="s">
        <v>521</v>
      </c>
      <c r="I144" t="s">
        <v>524</v>
      </c>
      <c r="J144" t="str">
        <f>INDEX(Standards!$H$2:$H$296,MATCH(B144,Standards!$B$2:$B$296,0))</f>
        <v>BIM</v>
      </c>
      <c r="K144" t="str">
        <f>INDEX(Standards!$H$2:$H$296,MATCH(C144,Standards!$B$2:$B$296,0))</f>
        <v>BIM</v>
      </c>
      <c r="L144" t="b">
        <f>AND(TableRelationships[[#This Row],[Source Type]]="BIM",TableRelationships[[#This Row],[Target Type]]="BIM")</f>
        <v>1</v>
      </c>
      <c r="M144">
        <f t="shared" si="6"/>
        <v>6</v>
      </c>
      <c r="N144" t="s">
        <v>523</v>
      </c>
      <c r="O144">
        <f t="shared" si="7"/>
        <v>10</v>
      </c>
      <c r="P144" t="str">
        <f>IF(TableRelationships[[#This Row],[Rank Pedro]]="Low","linkCategory1",IF(TableRelationships[[#This Row],[Rank Pedro]]="Medium","linkCategory2",IF(TableRelationships[[#This Row],[Rank Pedro]]="High","linkCategory3","")))</f>
        <v>linkCategory3</v>
      </c>
      <c r="Q144" t="str">
        <f>IF(TableRelationships[[#This Row],[Rank Pedro]]="Low","Pink",IF(TableRelationships[[#This Row],[Rank Pedro]]="Medium","Purple",IF(TableRelationships[[#This Row],[Rank Pedro]]="High","Brown","")))</f>
        <v>Brown</v>
      </c>
      <c r="R144" s="4">
        <f>MAX(INDEX(Standards!$F$2:$F$296,MATCH(B144,Standards!$B$2:$B$296,0)),INDEX(Standards!$F$2:$F$296,MATCH(C144,Standards!$B$2:$B$296,0)))</f>
        <v>43453</v>
      </c>
      <c r="S144" t="str">
        <f t="shared" si="8"/>
        <v>#d6bf2a</v>
      </c>
    </row>
    <row r="145" spans="1:19" x14ac:dyDescent="0.5">
      <c r="A145">
        <v>37</v>
      </c>
      <c r="B145" t="s">
        <v>214</v>
      </c>
      <c r="C145" t="s">
        <v>210</v>
      </c>
      <c r="D145">
        <f>INDEX(Standards!$A$2:$A$296,MATCH(B145,Standards!$B$2:$B$296,0))</f>
        <v>10</v>
      </c>
      <c r="E145">
        <f>INDEX(Standards!$A$2:$A$296,MATCH(C145,Standards!$B$2:$B$296,0))</f>
        <v>9</v>
      </c>
      <c r="F145" t="str">
        <f>INDEX(Standards!$N$2:$N$296,MATCH(B145,Standards!$B$2:$B$296,0))</f>
        <v>#70AD47</v>
      </c>
      <c r="G145" t="str">
        <f>INDEX(Standards!$N$2:$N$296,MATCH(C145,Standards!$B$2:$B$296,0))</f>
        <v>#70AD47</v>
      </c>
      <c r="H145" t="s">
        <v>521</v>
      </c>
      <c r="I145" t="s">
        <v>524</v>
      </c>
      <c r="J145" t="str">
        <f>INDEX(Standards!$H$2:$H$296,MATCH(B145,Standards!$B$2:$B$296,0))</f>
        <v>BIM</v>
      </c>
      <c r="K145" t="str">
        <f>INDEX(Standards!$H$2:$H$296,MATCH(C145,Standards!$B$2:$B$296,0))</f>
        <v>BIM</v>
      </c>
      <c r="L145" t="b">
        <f>AND(TableRelationships[[#This Row],[Source Type]]="BIM",TableRelationships[[#This Row],[Target Type]]="BIM")</f>
        <v>1</v>
      </c>
      <c r="M145">
        <f t="shared" si="6"/>
        <v>6</v>
      </c>
      <c r="N145" t="s">
        <v>523</v>
      </c>
      <c r="O145">
        <f t="shared" si="7"/>
        <v>10</v>
      </c>
      <c r="P145" t="str">
        <f>IF(TableRelationships[[#This Row],[Rank Pedro]]="Low","linkCategory1",IF(TableRelationships[[#This Row],[Rank Pedro]]="Medium","linkCategory2",IF(TableRelationships[[#This Row],[Rank Pedro]]="High","linkCategory3","")))</f>
        <v>linkCategory3</v>
      </c>
      <c r="Q145" t="str">
        <f>IF(TableRelationships[[#This Row],[Rank Pedro]]="Low","Pink",IF(TableRelationships[[#This Row],[Rank Pedro]]="Medium","Purple",IF(TableRelationships[[#This Row],[Rank Pedro]]="High","Brown","")))</f>
        <v>Brown</v>
      </c>
      <c r="R145" s="4">
        <f>MAX(INDEX(Standards!$F$2:$F$296,MATCH(B145,Standards!$B$2:$B$296,0)),INDEX(Standards!$F$2:$F$296,MATCH(C145,Standards!$B$2:$B$296,0)))</f>
        <v>43453</v>
      </c>
      <c r="S145" t="str">
        <f t="shared" si="8"/>
        <v>#d6bf2a</v>
      </c>
    </row>
    <row r="146" spans="1:19" x14ac:dyDescent="0.5">
      <c r="A146">
        <v>44</v>
      </c>
      <c r="B146" t="s">
        <v>214</v>
      </c>
      <c r="C146" t="s">
        <v>224</v>
      </c>
      <c r="D146">
        <f>INDEX(Standards!$A$2:$A$296,MATCH(B146,Standards!$B$2:$B$296,0))</f>
        <v>10</v>
      </c>
      <c r="E146">
        <f>INDEX(Standards!$A$2:$A$296,MATCH(C146,Standards!$B$2:$B$296,0))</f>
        <v>11</v>
      </c>
      <c r="F146" t="str">
        <f>INDEX(Standards!$N$2:$N$296,MATCH(B146,Standards!$B$2:$B$296,0))</f>
        <v>#70AD47</v>
      </c>
      <c r="G146" t="str">
        <f>INDEX(Standards!$N$2:$N$296,MATCH(C146,Standards!$B$2:$B$296,0))</f>
        <v>#70AD47</v>
      </c>
      <c r="H146" t="s">
        <v>521</v>
      </c>
      <c r="I146" s="82" t="s">
        <v>522</v>
      </c>
      <c r="J146" t="str">
        <f>INDEX(Standards!$H$2:$H$296,MATCH(B146,Standards!$B$2:$B$296,0))</f>
        <v>BIM</v>
      </c>
      <c r="K146" t="str">
        <f>INDEX(Standards!$H$2:$H$296,MATCH(C146,Standards!$B$2:$B$296,0))</f>
        <v>BIM</v>
      </c>
      <c r="L146" t="b">
        <f>AND(TableRelationships[[#This Row],[Source Type]]="BIM",TableRelationships[[#This Row],[Target Type]]="BIM")</f>
        <v>1</v>
      </c>
      <c r="M146">
        <f t="shared" si="6"/>
        <v>1</v>
      </c>
      <c r="N146" t="s">
        <v>523</v>
      </c>
      <c r="O146">
        <f t="shared" si="7"/>
        <v>10</v>
      </c>
      <c r="P146" t="str">
        <f>IF(TableRelationships[[#This Row],[Rank Pedro]]="Low","linkCategory1",IF(TableRelationships[[#This Row],[Rank Pedro]]="Medium","linkCategory2",IF(TableRelationships[[#This Row],[Rank Pedro]]="High","linkCategory3","")))</f>
        <v>linkCategory3</v>
      </c>
      <c r="Q146" t="str">
        <f>IF(TableRelationships[[#This Row],[Rank Pedro]]="Low","Pink",IF(TableRelationships[[#This Row],[Rank Pedro]]="Medium","Purple",IF(TableRelationships[[#This Row],[Rank Pedro]]="High","Brown","")))</f>
        <v>Brown</v>
      </c>
      <c r="R146" s="4">
        <f>MAX(INDEX(Standards!$F$2:$F$296,MATCH(B146,Standards!$B$2:$B$296,0)),INDEX(Standards!$F$2:$F$296,MATCH(C146,Standards!$B$2:$B$296,0)))</f>
        <v>43453</v>
      </c>
      <c r="S146">
        <f t="shared" si="8"/>
        <v>1</v>
      </c>
    </row>
    <row r="147" spans="1:19" x14ac:dyDescent="0.5">
      <c r="A147">
        <v>45</v>
      </c>
      <c r="B147" t="s">
        <v>214</v>
      </c>
      <c r="C147" t="s">
        <v>232</v>
      </c>
      <c r="D147">
        <f>INDEX(Standards!$A$2:$A$296,MATCH(B147,Standards!$B$2:$B$296,0))</f>
        <v>10</v>
      </c>
      <c r="E147">
        <f>INDEX(Standards!$A$2:$A$296,MATCH(C147,Standards!$B$2:$B$296,0))</f>
        <v>13</v>
      </c>
      <c r="F147" t="str">
        <f>INDEX(Standards!$N$2:$N$296,MATCH(B147,Standards!$B$2:$B$296,0))</f>
        <v>#70AD47</v>
      </c>
      <c r="G147" t="str">
        <f>INDEX(Standards!$N$2:$N$296,MATCH(C147,Standards!$B$2:$B$296,0))</f>
        <v>#70AD47</v>
      </c>
      <c r="H147" t="s">
        <v>521</v>
      </c>
      <c r="I147" s="82" t="s">
        <v>522</v>
      </c>
      <c r="J147" t="str">
        <f>INDEX(Standards!$H$2:$H$296,MATCH(B147,Standards!$B$2:$B$296,0))</f>
        <v>BIM</v>
      </c>
      <c r="K147" t="str">
        <f>INDEX(Standards!$H$2:$H$296,MATCH(C147,Standards!$B$2:$B$296,0))</f>
        <v>BIM</v>
      </c>
      <c r="L147" t="b">
        <f>AND(TableRelationships[[#This Row],[Source Type]]="BIM",TableRelationships[[#This Row],[Target Type]]="BIM")</f>
        <v>1</v>
      </c>
      <c r="M147">
        <f t="shared" si="6"/>
        <v>1</v>
      </c>
      <c r="N147" t="s">
        <v>523</v>
      </c>
      <c r="O147">
        <f t="shared" si="7"/>
        <v>10</v>
      </c>
      <c r="P147" t="str">
        <f>IF(TableRelationships[[#This Row],[Rank Pedro]]="Low","linkCategory1",IF(TableRelationships[[#This Row],[Rank Pedro]]="Medium","linkCategory2",IF(TableRelationships[[#This Row],[Rank Pedro]]="High","linkCategory3","")))</f>
        <v>linkCategory3</v>
      </c>
      <c r="Q147" t="str">
        <f>IF(TableRelationships[[#This Row],[Rank Pedro]]="Low","Pink",IF(TableRelationships[[#This Row],[Rank Pedro]]="Medium","Purple",IF(TableRelationships[[#This Row],[Rank Pedro]]="High","Brown","")))</f>
        <v>Brown</v>
      </c>
      <c r="R147" s="4">
        <f>MAX(INDEX(Standards!$F$2:$F$296,MATCH(B147,Standards!$B$2:$B$296,0)),INDEX(Standards!$F$2:$F$296,MATCH(C147,Standards!$B$2:$B$296,0)))</f>
        <v>44013</v>
      </c>
      <c r="S147">
        <f t="shared" si="8"/>
        <v>1</v>
      </c>
    </row>
    <row r="148" spans="1:19" x14ac:dyDescent="0.5">
      <c r="A148">
        <v>41</v>
      </c>
      <c r="B148" t="s">
        <v>214</v>
      </c>
      <c r="C148" t="s">
        <v>59</v>
      </c>
      <c r="D148">
        <f>INDEX(Standards!$A$2:$A$296,MATCH(B148,Standards!$B$2:$B$296,0))</f>
        <v>10</v>
      </c>
      <c r="E148">
        <f>INDEX(Standards!$A$2:$A$296,MATCH(C148,Standards!$B$2:$B$296,0))</f>
        <v>14</v>
      </c>
      <c r="F148" t="str">
        <f>INDEX(Standards!$N$2:$N$296,MATCH(B148,Standards!$B$2:$B$296,0))</f>
        <v>#70AD47</v>
      </c>
      <c r="G148" t="str">
        <f>INDEX(Standards!$N$2:$N$296,MATCH(C148,Standards!$B$2:$B$296,0))</f>
        <v>#FFC000</v>
      </c>
      <c r="H148" t="s">
        <v>521</v>
      </c>
      <c r="I148" t="s">
        <v>525</v>
      </c>
      <c r="J148" t="str">
        <f>INDEX(Standards!$H$2:$H$296,MATCH(B148,Standards!$B$2:$B$296,0))</f>
        <v>BIM</v>
      </c>
      <c r="K148" t="str">
        <f>INDEX(Standards!$H$2:$H$296,MATCH(C148,Standards!$B$2:$B$296,0))</f>
        <v>PM</v>
      </c>
      <c r="L148" t="b">
        <f>AND(TableRelationships[[#This Row],[Source Type]]="BIM",TableRelationships[[#This Row],[Target Type]]="BIM")</f>
        <v>0</v>
      </c>
      <c r="M148">
        <f t="shared" si="6"/>
        <v>1</v>
      </c>
      <c r="N148" t="s">
        <v>526</v>
      </c>
      <c r="O148">
        <f t="shared" si="7"/>
        <v>2</v>
      </c>
      <c r="P148" t="str">
        <f>IF(TableRelationships[[#This Row],[Rank Pedro]]="Low","linkCategory1",IF(TableRelationships[[#This Row],[Rank Pedro]]="Medium","linkCategory2",IF(TableRelationships[[#This Row],[Rank Pedro]]="High","linkCategory3","")))</f>
        <v>linkCategory1</v>
      </c>
      <c r="Q148" t="str">
        <f>IF(TableRelationships[[#This Row],[Rank Pedro]]="Low","Pink",IF(TableRelationships[[#This Row],[Rank Pedro]]="Medium","Purple",IF(TableRelationships[[#This Row],[Rank Pedro]]="High","Brown","")))</f>
        <v>Pink</v>
      </c>
      <c r="R148" s="4">
        <f>MAX(INDEX(Standards!$F$2:$F$296,MATCH(B148,Standards!$B$2:$B$296,0)),INDEX(Standards!$F$2:$F$296,MATCH(C148,Standards!$B$2:$B$296,0)))</f>
        <v>43453</v>
      </c>
      <c r="S148" t="str">
        <f t="shared" si="8"/>
        <v>#2f89d1</v>
      </c>
    </row>
    <row r="149" spans="1:19" x14ac:dyDescent="0.5">
      <c r="A149">
        <v>42</v>
      </c>
      <c r="B149" t="s">
        <v>214</v>
      </c>
      <c r="C149" t="s">
        <v>376</v>
      </c>
      <c r="D149">
        <f>INDEX(Standards!$A$2:$A$296,MATCH(B149,Standards!$B$2:$B$296,0))</f>
        <v>10</v>
      </c>
      <c r="E149">
        <f>INDEX(Standards!$A$2:$A$296,MATCH(C149,Standards!$B$2:$B$296,0))</f>
        <v>15</v>
      </c>
      <c r="F149" t="str">
        <f>INDEX(Standards!$N$2:$N$296,MATCH(B149,Standards!$B$2:$B$296,0))</f>
        <v>#70AD47</v>
      </c>
      <c r="G149" t="str">
        <f>INDEX(Standards!$N$2:$N$296,MATCH(C149,Standards!$B$2:$B$296,0))</f>
        <v>#70AD47</v>
      </c>
      <c r="H149" t="s">
        <v>521</v>
      </c>
      <c r="I149" t="s">
        <v>525</v>
      </c>
      <c r="J149" t="str">
        <f>INDEX(Standards!$H$2:$H$296,MATCH(B149,Standards!$B$2:$B$296,0))</f>
        <v>BIM</v>
      </c>
      <c r="K149" t="str">
        <f>INDEX(Standards!$H$2:$H$296,MATCH(C149,Standards!$B$2:$B$296,0))</f>
        <v>BIM</v>
      </c>
      <c r="L149" t="b">
        <f>AND(TableRelationships[[#This Row],[Source Type]]="BIM",TableRelationships[[#This Row],[Target Type]]="BIM")</f>
        <v>1</v>
      </c>
      <c r="M149">
        <f t="shared" si="6"/>
        <v>1</v>
      </c>
      <c r="N149" t="s">
        <v>528</v>
      </c>
      <c r="O149">
        <f t="shared" si="7"/>
        <v>6</v>
      </c>
      <c r="P149" t="str">
        <f>IF(TableRelationships[[#This Row],[Rank Pedro]]="Low","linkCategory1",IF(TableRelationships[[#This Row],[Rank Pedro]]="Medium","linkCategory2",IF(TableRelationships[[#This Row],[Rank Pedro]]="High","linkCategory3","")))</f>
        <v>linkCategory2</v>
      </c>
      <c r="Q149" t="str">
        <f>IF(TableRelationships[[#This Row],[Rank Pedro]]="Low","Pink",IF(TableRelationships[[#This Row],[Rank Pedro]]="Medium","Purple",IF(TableRelationships[[#This Row],[Rank Pedro]]="High","Brown","")))</f>
        <v>Purple</v>
      </c>
      <c r="R149" s="4">
        <f>MAX(INDEX(Standards!$F$2:$F$296,MATCH(B149,Standards!$B$2:$B$296,0)),INDEX(Standards!$F$2:$F$296,MATCH(C149,Standards!$B$2:$B$296,0)))</f>
        <v>43453</v>
      </c>
      <c r="S149" t="str">
        <f t="shared" si="8"/>
        <v>#2f89d1</v>
      </c>
    </row>
    <row r="150" spans="1:19" x14ac:dyDescent="0.5">
      <c r="A150">
        <v>43</v>
      </c>
      <c r="B150" t="s">
        <v>214</v>
      </c>
      <c r="C150" t="s">
        <v>74</v>
      </c>
      <c r="D150">
        <f>INDEX(Standards!$A$2:$A$296,MATCH(B150,Standards!$B$2:$B$296,0))</f>
        <v>10</v>
      </c>
      <c r="E150">
        <f>INDEX(Standards!$A$2:$A$296,MATCH(C150,Standards!$B$2:$B$296,0))</f>
        <v>18</v>
      </c>
      <c r="F150" t="str">
        <f>INDEX(Standards!$N$2:$N$296,MATCH(B150,Standards!$B$2:$B$296,0))</f>
        <v>#70AD47</v>
      </c>
      <c r="G150" t="str">
        <f>INDEX(Standards!$N$2:$N$296,MATCH(C150,Standards!$B$2:$B$296,0))</f>
        <v>#44546A</v>
      </c>
      <c r="H150" t="s">
        <v>521</v>
      </c>
      <c r="I150" t="s">
        <v>525</v>
      </c>
      <c r="J150" t="str">
        <f>INDEX(Standards!$H$2:$H$296,MATCH(B150,Standards!$B$2:$B$296,0))</f>
        <v>BIM</v>
      </c>
      <c r="K150" t="str">
        <f>INDEX(Standards!$H$2:$H$296,MATCH(C150,Standards!$B$2:$B$296,0))</f>
        <v>FM</v>
      </c>
      <c r="L150" t="b">
        <f>AND(TableRelationships[[#This Row],[Source Type]]="BIM",TableRelationships[[#This Row],[Target Type]]="BIM")</f>
        <v>0</v>
      </c>
      <c r="M150">
        <f t="shared" si="6"/>
        <v>1</v>
      </c>
      <c r="N150" t="s">
        <v>528</v>
      </c>
      <c r="O150">
        <f t="shared" si="7"/>
        <v>6</v>
      </c>
      <c r="P150" t="str">
        <f>IF(TableRelationships[[#This Row],[Rank Pedro]]="Low","linkCategory1",IF(TableRelationships[[#This Row],[Rank Pedro]]="Medium","linkCategory2",IF(TableRelationships[[#This Row],[Rank Pedro]]="High","linkCategory3","")))</f>
        <v>linkCategory2</v>
      </c>
      <c r="Q150" t="str">
        <f>IF(TableRelationships[[#This Row],[Rank Pedro]]="Low","Pink",IF(TableRelationships[[#This Row],[Rank Pedro]]="Medium","Purple",IF(TableRelationships[[#This Row],[Rank Pedro]]="High","Brown","")))</f>
        <v>Purple</v>
      </c>
      <c r="R150" s="4">
        <f>MAX(INDEX(Standards!$F$2:$F$296,MATCH(B150,Standards!$B$2:$B$296,0)),INDEX(Standards!$F$2:$F$296,MATCH(C150,Standards!$B$2:$B$296,0)))</f>
        <v>43453</v>
      </c>
      <c r="S150" t="str">
        <f t="shared" si="8"/>
        <v>#2f89d1</v>
      </c>
    </row>
    <row r="151" spans="1:19" x14ac:dyDescent="0.5">
      <c r="A151">
        <v>39</v>
      </c>
      <c r="B151" t="s">
        <v>214</v>
      </c>
      <c r="C151" t="s">
        <v>80</v>
      </c>
      <c r="D151">
        <f>INDEX(Standards!$A$2:$A$296,MATCH(B151,Standards!$B$2:$B$296,0))</f>
        <v>10</v>
      </c>
      <c r="E151">
        <f>INDEX(Standards!$A$2:$A$296,MATCH(C151,Standards!$B$2:$B$296,0))</f>
        <v>20</v>
      </c>
      <c r="F151" t="str">
        <f>INDEX(Standards!$N$2:$N$296,MATCH(B151,Standards!$B$2:$B$296,0))</f>
        <v>#70AD47</v>
      </c>
      <c r="G151" t="str">
        <f>INDEX(Standards!$N$2:$N$296,MATCH(C151,Standards!$B$2:$B$296,0))</f>
        <v>#ED7D31</v>
      </c>
      <c r="H151" t="s">
        <v>521</v>
      </c>
      <c r="I151" t="s">
        <v>525</v>
      </c>
      <c r="J151" t="str">
        <f>INDEX(Standards!$H$2:$H$296,MATCH(B151,Standards!$B$2:$B$296,0))</f>
        <v>BIM</v>
      </c>
      <c r="K151" t="str">
        <f>INDEX(Standards!$H$2:$H$296,MATCH(C151,Standards!$B$2:$B$296,0))</f>
        <v>Construction</v>
      </c>
      <c r="L151" t="b">
        <f>AND(TableRelationships[[#This Row],[Source Type]]="BIM",TableRelationships[[#This Row],[Target Type]]="BIM")</f>
        <v>0</v>
      </c>
      <c r="M151">
        <f t="shared" si="6"/>
        <v>1</v>
      </c>
      <c r="N151" t="s">
        <v>526</v>
      </c>
      <c r="O151">
        <f t="shared" si="7"/>
        <v>2</v>
      </c>
      <c r="P151" t="str">
        <f>IF(TableRelationships[[#This Row],[Rank Pedro]]="Low","linkCategory1",IF(TableRelationships[[#This Row],[Rank Pedro]]="Medium","linkCategory2",IF(TableRelationships[[#This Row],[Rank Pedro]]="High","linkCategory3","")))</f>
        <v>linkCategory1</v>
      </c>
      <c r="Q151" t="str">
        <f>IF(TableRelationships[[#This Row],[Rank Pedro]]="Low","Pink",IF(TableRelationships[[#This Row],[Rank Pedro]]="Medium","Purple",IF(TableRelationships[[#This Row],[Rank Pedro]]="High","Brown","")))</f>
        <v>Pink</v>
      </c>
      <c r="R151" s="4">
        <f>MAX(INDEX(Standards!$F$2:$F$296,MATCH(B151,Standards!$B$2:$B$296,0)),INDEX(Standards!$F$2:$F$296,MATCH(C151,Standards!$B$2:$B$296,0)))</f>
        <v>43453</v>
      </c>
      <c r="S151" t="str">
        <f t="shared" si="8"/>
        <v>#2f89d1</v>
      </c>
    </row>
    <row r="152" spans="1:19" x14ac:dyDescent="0.5">
      <c r="A152">
        <v>40</v>
      </c>
      <c r="B152" t="s">
        <v>214</v>
      </c>
      <c r="C152" t="s">
        <v>88</v>
      </c>
      <c r="D152">
        <f>INDEX(Standards!$A$2:$A$296,MATCH(B152,Standards!$B$2:$B$296,0))</f>
        <v>10</v>
      </c>
      <c r="E152">
        <f>INDEX(Standards!$A$2:$A$296,MATCH(C152,Standards!$B$2:$B$296,0))</f>
        <v>23</v>
      </c>
      <c r="F152" t="str">
        <f>INDEX(Standards!$N$2:$N$296,MATCH(B152,Standards!$B$2:$B$296,0))</f>
        <v>#70AD47</v>
      </c>
      <c r="G152" t="str">
        <f>INDEX(Standards!$N$2:$N$296,MATCH(C152,Standards!$B$2:$B$296,0))</f>
        <v>#7030A0</v>
      </c>
      <c r="H152" t="s">
        <v>521</v>
      </c>
      <c r="I152" t="s">
        <v>525</v>
      </c>
      <c r="J152" t="str">
        <f>INDEX(Standards!$H$2:$H$296,MATCH(B152,Standards!$B$2:$B$296,0))</f>
        <v>BIM</v>
      </c>
      <c r="K152" t="str">
        <f>INDEX(Standards!$H$2:$H$296,MATCH(C152,Standards!$B$2:$B$296,0))</f>
        <v>ICT</v>
      </c>
      <c r="L152" t="b">
        <f>AND(TableRelationships[[#This Row],[Source Type]]="BIM",TableRelationships[[#This Row],[Target Type]]="BIM")</f>
        <v>0</v>
      </c>
      <c r="M152">
        <f t="shared" si="6"/>
        <v>1</v>
      </c>
      <c r="N152" t="s">
        <v>526</v>
      </c>
      <c r="O152">
        <f t="shared" si="7"/>
        <v>2</v>
      </c>
      <c r="P152" t="str">
        <f>IF(TableRelationships[[#This Row],[Rank Pedro]]="Low","linkCategory1",IF(TableRelationships[[#This Row],[Rank Pedro]]="Medium","linkCategory2",IF(TableRelationships[[#This Row],[Rank Pedro]]="High","linkCategory3","")))</f>
        <v>linkCategory1</v>
      </c>
      <c r="Q152" t="str">
        <f>IF(TableRelationships[[#This Row],[Rank Pedro]]="Low","Pink",IF(TableRelationships[[#This Row],[Rank Pedro]]="Medium","Purple",IF(TableRelationships[[#This Row],[Rank Pedro]]="High","Brown","")))</f>
        <v>Pink</v>
      </c>
      <c r="R152" s="4">
        <f>MAX(INDEX(Standards!$F$2:$F$296,MATCH(B152,Standards!$B$2:$B$296,0)),INDEX(Standards!$F$2:$F$296,MATCH(C152,Standards!$B$2:$B$296,0)))</f>
        <v>43453</v>
      </c>
      <c r="S152" t="str">
        <f t="shared" si="8"/>
        <v>#2f89d1</v>
      </c>
    </row>
    <row r="153" spans="1:19" x14ac:dyDescent="0.5">
      <c r="A153">
        <v>179</v>
      </c>
      <c r="B153" t="s">
        <v>224</v>
      </c>
      <c r="C153" t="s">
        <v>236</v>
      </c>
      <c r="D153">
        <f>INDEX(Standards!$A$2:$A$296,MATCH(B153,Standards!$B$2:$B$296,0))</f>
        <v>11</v>
      </c>
      <c r="E153">
        <f>INDEX(Standards!$A$2:$A$296,MATCH(C153,Standards!$B$2:$B$296,0))</f>
        <v>91</v>
      </c>
      <c r="F153" t="str">
        <f>INDEX(Standards!$N$2:$N$296,MATCH(B153,Standards!$B$2:$B$296,0))</f>
        <v>#70AD47</v>
      </c>
      <c r="G153" t="str">
        <f>INDEX(Standards!$N$2:$N$296,MATCH(C153,Standards!$B$2:$B$296,0))</f>
        <v>#F2F2F2</v>
      </c>
      <c r="H153" t="s">
        <v>521</v>
      </c>
      <c r="I153" t="s">
        <v>237</v>
      </c>
      <c r="J153" t="str">
        <f>INDEX(Standards!$H$2:$H$296,MATCH(B153,Standards!$B$2:$B$296,0))</f>
        <v>BIM</v>
      </c>
      <c r="K153" t="str">
        <f>INDEX(Standards!$H$2:$H$296,MATCH(C153,Standards!$B$2:$B$296,0))</f>
        <v>Anchor</v>
      </c>
      <c r="L153" t="b">
        <f>AND(TableRelationships[[#This Row],[Source Type]]="BIM",TableRelationships[[#This Row],[Target Type]]="BIM")</f>
        <v>0</v>
      </c>
      <c r="M153">
        <f t="shared" si="6"/>
        <v>2</v>
      </c>
      <c r="O153">
        <f t="shared" si="7"/>
        <v>1</v>
      </c>
      <c r="P153" t="str">
        <f>IF(TableRelationships[[#This Row],[Rank Pedro]]="Low","linkCategory1",IF(TableRelationships[[#This Row],[Rank Pedro]]="Medium","linkCategory2",IF(TableRelationships[[#This Row],[Rank Pedro]]="High","linkCategory3","")))</f>
        <v/>
      </c>
      <c r="Q153" t="str">
        <f>IF(TableRelationships[[#This Row],[Rank Pedro]]="Low","Pink",IF(TableRelationships[[#This Row],[Rank Pedro]]="Medium","Purple",IF(TableRelationships[[#This Row],[Rank Pedro]]="High","Brown","")))</f>
        <v/>
      </c>
      <c r="R153" s="4">
        <f>MAX(INDEX(Standards!$F$2:$F$296,MATCH(B153,Standards!$B$2:$B$296,0)),INDEX(Standards!$F$2:$F$296,MATCH(C153,Standards!$B$2:$B$296,0)))</f>
        <v>43453</v>
      </c>
      <c r="S153">
        <f t="shared" si="8"/>
        <v>1</v>
      </c>
    </row>
    <row r="154" spans="1:19" x14ac:dyDescent="0.5">
      <c r="A154">
        <v>47</v>
      </c>
      <c r="B154" t="s">
        <v>224</v>
      </c>
      <c r="C154" t="s">
        <v>63</v>
      </c>
      <c r="D154">
        <f>INDEX(Standards!$A$2:$A$296,MATCH(B154,Standards!$B$2:$B$296,0))</f>
        <v>11</v>
      </c>
      <c r="E154">
        <f>INDEX(Standards!$A$2:$A$296,MATCH(C154,Standards!$B$2:$B$296,0))</f>
        <v>6</v>
      </c>
      <c r="F154" t="str">
        <f>INDEX(Standards!$N$2:$N$296,MATCH(B154,Standards!$B$2:$B$296,0))</f>
        <v>#70AD47</v>
      </c>
      <c r="G154" t="str">
        <f>INDEX(Standards!$N$2:$N$296,MATCH(C154,Standards!$B$2:$B$296,0))</f>
        <v>#70AD47</v>
      </c>
      <c r="H154" t="s">
        <v>521</v>
      </c>
      <c r="I154" t="s">
        <v>524</v>
      </c>
      <c r="J154" t="str">
        <f>INDEX(Standards!$H$2:$H$296,MATCH(B154,Standards!$B$2:$B$296,0))</f>
        <v>BIM</v>
      </c>
      <c r="K154" t="str">
        <f>INDEX(Standards!$H$2:$H$296,MATCH(C154,Standards!$B$2:$B$296,0))</f>
        <v>BIM</v>
      </c>
      <c r="L154" t="b">
        <f>AND(TableRelationships[[#This Row],[Source Type]]="BIM",TableRelationships[[#This Row],[Target Type]]="BIM")</f>
        <v>1</v>
      </c>
      <c r="M154">
        <f t="shared" si="6"/>
        <v>6</v>
      </c>
      <c r="N154" t="s">
        <v>528</v>
      </c>
      <c r="O154">
        <f t="shared" si="7"/>
        <v>6</v>
      </c>
      <c r="P154" t="str">
        <f>IF(TableRelationships[[#This Row],[Rank Pedro]]="Low","linkCategory1",IF(TableRelationships[[#This Row],[Rank Pedro]]="Medium","linkCategory2",IF(TableRelationships[[#This Row],[Rank Pedro]]="High","linkCategory3","")))</f>
        <v>linkCategory2</v>
      </c>
      <c r="Q154" t="str">
        <f>IF(TableRelationships[[#This Row],[Rank Pedro]]="Low","Pink",IF(TableRelationships[[#This Row],[Rank Pedro]]="Medium","Purple",IF(TableRelationships[[#This Row],[Rank Pedro]]="High","Brown","")))</f>
        <v>Purple</v>
      </c>
      <c r="R154" s="4">
        <f>MAX(INDEX(Standards!$F$2:$F$296,MATCH(B154,Standards!$B$2:$B$296,0)),INDEX(Standards!$F$2:$F$296,MATCH(C154,Standards!$B$2:$B$296,0)))</f>
        <v>43453</v>
      </c>
      <c r="S154" t="str">
        <f t="shared" si="8"/>
        <v>#d6bf2a</v>
      </c>
    </row>
    <row r="155" spans="1:19" x14ac:dyDescent="0.5">
      <c r="A155">
        <v>48</v>
      </c>
      <c r="B155" t="s">
        <v>224</v>
      </c>
      <c r="C155" t="s">
        <v>210</v>
      </c>
      <c r="D155">
        <f>INDEX(Standards!$A$2:$A$296,MATCH(B155,Standards!$B$2:$B$296,0))</f>
        <v>11</v>
      </c>
      <c r="E155">
        <f>INDEX(Standards!$A$2:$A$296,MATCH(C155,Standards!$B$2:$B$296,0))</f>
        <v>9</v>
      </c>
      <c r="F155" t="str">
        <f>INDEX(Standards!$N$2:$N$296,MATCH(B155,Standards!$B$2:$B$296,0))</f>
        <v>#70AD47</v>
      </c>
      <c r="G155" t="str">
        <f>INDEX(Standards!$N$2:$N$296,MATCH(C155,Standards!$B$2:$B$296,0))</f>
        <v>#70AD47</v>
      </c>
      <c r="H155" t="s">
        <v>521</v>
      </c>
      <c r="I155" t="s">
        <v>524</v>
      </c>
      <c r="J155" t="str">
        <f>INDEX(Standards!$H$2:$H$296,MATCH(B155,Standards!$B$2:$B$296,0))</f>
        <v>BIM</v>
      </c>
      <c r="K155" t="str">
        <f>INDEX(Standards!$H$2:$H$296,MATCH(C155,Standards!$B$2:$B$296,0))</f>
        <v>BIM</v>
      </c>
      <c r="L155" t="b">
        <f>AND(TableRelationships[[#This Row],[Source Type]]="BIM",TableRelationships[[#This Row],[Target Type]]="BIM")</f>
        <v>1</v>
      </c>
      <c r="M155">
        <f t="shared" si="6"/>
        <v>6</v>
      </c>
      <c r="N155" t="s">
        <v>523</v>
      </c>
      <c r="O155">
        <f t="shared" si="7"/>
        <v>10</v>
      </c>
      <c r="P155" t="str">
        <f>IF(TableRelationships[[#This Row],[Rank Pedro]]="Low","linkCategory1",IF(TableRelationships[[#This Row],[Rank Pedro]]="Medium","linkCategory2",IF(TableRelationships[[#This Row],[Rank Pedro]]="High","linkCategory3","")))</f>
        <v>linkCategory3</v>
      </c>
      <c r="Q155" t="str">
        <f>IF(TableRelationships[[#This Row],[Rank Pedro]]="Low","Pink",IF(TableRelationships[[#This Row],[Rank Pedro]]="Medium","Purple",IF(TableRelationships[[#This Row],[Rank Pedro]]="High","Brown","")))</f>
        <v>Brown</v>
      </c>
      <c r="R155" s="4">
        <f>MAX(INDEX(Standards!$F$2:$F$296,MATCH(B155,Standards!$B$2:$B$296,0)),INDEX(Standards!$F$2:$F$296,MATCH(C155,Standards!$B$2:$B$296,0)))</f>
        <v>43453</v>
      </c>
      <c r="S155" t="str">
        <f t="shared" si="8"/>
        <v>#d6bf2a</v>
      </c>
    </row>
    <row r="156" spans="1:19" x14ac:dyDescent="0.5">
      <c r="A156">
        <v>49</v>
      </c>
      <c r="B156" t="s">
        <v>224</v>
      </c>
      <c r="C156" t="s">
        <v>214</v>
      </c>
      <c r="D156">
        <f>INDEX(Standards!$A$2:$A$296,MATCH(B156,Standards!$B$2:$B$296,0))</f>
        <v>11</v>
      </c>
      <c r="E156">
        <f>INDEX(Standards!$A$2:$A$296,MATCH(C156,Standards!$B$2:$B$296,0))</f>
        <v>10</v>
      </c>
      <c r="F156" t="str">
        <f>INDEX(Standards!$N$2:$N$296,MATCH(B156,Standards!$B$2:$B$296,0))</f>
        <v>#70AD47</v>
      </c>
      <c r="G156" t="str">
        <f>INDEX(Standards!$N$2:$N$296,MATCH(C156,Standards!$B$2:$B$296,0))</f>
        <v>#70AD47</v>
      </c>
      <c r="H156" t="s">
        <v>521</v>
      </c>
      <c r="I156" t="s">
        <v>524</v>
      </c>
      <c r="J156" t="str">
        <f>INDEX(Standards!$H$2:$H$296,MATCH(B156,Standards!$B$2:$B$296,0))</f>
        <v>BIM</v>
      </c>
      <c r="K156" t="str">
        <f>INDEX(Standards!$H$2:$H$296,MATCH(C156,Standards!$B$2:$B$296,0))</f>
        <v>BIM</v>
      </c>
      <c r="L156" t="b">
        <f>AND(TableRelationships[[#This Row],[Source Type]]="BIM",TableRelationships[[#This Row],[Target Type]]="BIM")</f>
        <v>1</v>
      </c>
      <c r="M156">
        <f t="shared" si="6"/>
        <v>6</v>
      </c>
      <c r="N156" t="s">
        <v>528</v>
      </c>
      <c r="O156">
        <f t="shared" si="7"/>
        <v>6</v>
      </c>
      <c r="P156" t="str">
        <f>IF(TableRelationships[[#This Row],[Rank Pedro]]="Low","linkCategory1",IF(TableRelationships[[#This Row],[Rank Pedro]]="Medium","linkCategory2",IF(TableRelationships[[#This Row],[Rank Pedro]]="High","linkCategory3","")))</f>
        <v>linkCategory2</v>
      </c>
      <c r="Q156" t="str">
        <f>IF(TableRelationships[[#This Row],[Rank Pedro]]="Low","Pink",IF(TableRelationships[[#This Row],[Rank Pedro]]="Medium","Purple",IF(TableRelationships[[#This Row],[Rank Pedro]]="High","Brown","")))</f>
        <v>Purple</v>
      </c>
      <c r="R156" s="4">
        <f>MAX(INDEX(Standards!$F$2:$F$296,MATCH(B156,Standards!$B$2:$B$296,0)),INDEX(Standards!$F$2:$F$296,MATCH(C156,Standards!$B$2:$B$296,0)))</f>
        <v>43453</v>
      </c>
      <c r="S156" t="str">
        <f t="shared" si="8"/>
        <v>#d6bf2a</v>
      </c>
    </row>
    <row r="157" spans="1:19" x14ac:dyDescent="0.5">
      <c r="A157">
        <v>50</v>
      </c>
      <c r="B157" t="s">
        <v>224</v>
      </c>
      <c r="C157" t="s">
        <v>232</v>
      </c>
      <c r="D157">
        <f>INDEX(Standards!$A$2:$A$296,MATCH(B157,Standards!$B$2:$B$296,0))</f>
        <v>11</v>
      </c>
      <c r="E157">
        <f>INDEX(Standards!$A$2:$A$296,MATCH(C157,Standards!$B$2:$B$296,0))</f>
        <v>13</v>
      </c>
      <c r="F157" t="str">
        <f>INDEX(Standards!$N$2:$N$296,MATCH(B157,Standards!$B$2:$B$296,0))</f>
        <v>#70AD47</v>
      </c>
      <c r="G157" t="str">
        <f>INDEX(Standards!$N$2:$N$296,MATCH(C157,Standards!$B$2:$B$296,0))</f>
        <v>#70AD47</v>
      </c>
      <c r="H157" t="s">
        <v>521</v>
      </c>
      <c r="I157" t="s">
        <v>524</v>
      </c>
      <c r="J157" t="str">
        <f>INDEX(Standards!$H$2:$H$296,MATCH(B157,Standards!$B$2:$B$296,0))</f>
        <v>BIM</v>
      </c>
      <c r="K157" t="str">
        <f>INDEX(Standards!$H$2:$H$296,MATCH(C157,Standards!$B$2:$B$296,0))</f>
        <v>BIM</v>
      </c>
      <c r="L157" t="b">
        <f>AND(TableRelationships[[#This Row],[Source Type]]="BIM",TableRelationships[[#This Row],[Target Type]]="BIM")</f>
        <v>1</v>
      </c>
      <c r="M157">
        <f t="shared" si="6"/>
        <v>6</v>
      </c>
      <c r="N157" t="s">
        <v>523</v>
      </c>
      <c r="O157">
        <f t="shared" si="7"/>
        <v>10</v>
      </c>
      <c r="P157" t="str">
        <f>IF(TableRelationships[[#This Row],[Rank Pedro]]="Low","linkCategory1",IF(TableRelationships[[#This Row],[Rank Pedro]]="Medium","linkCategory2",IF(TableRelationships[[#This Row],[Rank Pedro]]="High","linkCategory3","")))</f>
        <v>linkCategory3</v>
      </c>
      <c r="Q157" t="str">
        <f>IF(TableRelationships[[#This Row],[Rank Pedro]]="Low","Pink",IF(TableRelationships[[#This Row],[Rank Pedro]]="Medium","Purple",IF(TableRelationships[[#This Row],[Rank Pedro]]="High","Brown","")))</f>
        <v>Brown</v>
      </c>
      <c r="R157" s="4">
        <f>MAX(INDEX(Standards!$F$2:$F$296,MATCH(B157,Standards!$B$2:$B$296,0)),INDEX(Standards!$F$2:$F$296,MATCH(C157,Standards!$B$2:$B$296,0)))</f>
        <v>44013</v>
      </c>
      <c r="S157" t="str">
        <f t="shared" si="8"/>
        <v>#d6bf2a</v>
      </c>
    </row>
    <row r="158" spans="1:19" x14ac:dyDescent="0.5">
      <c r="A158">
        <v>54</v>
      </c>
      <c r="B158" t="s">
        <v>224</v>
      </c>
      <c r="C158" t="s">
        <v>59</v>
      </c>
      <c r="D158">
        <f>INDEX(Standards!$A$2:$A$296,MATCH(B158,Standards!$B$2:$B$296,0))</f>
        <v>11</v>
      </c>
      <c r="E158">
        <f>INDEX(Standards!$A$2:$A$296,MATCH(C158,Standards!$B$2:$B$296,0))</f>
        <v>14</v>
      </c>
      <c r="F158" t="str">
        <f>INDEX(Standards!$N$2:$N$296,MATCH(B158,Standards!$B$2:$B$296,0))</f>
        <v>#70AD47</v>
      </c>
      <c r="G158" t="str">
        <f>INDEX(Standards!$N$2:$N$296,MATCH(C158,Standards!$B$2:$B$296,0))</f>
        <v>#FFC000</v>
      </c>
      <c r="H158" t="s">
        <v>521</v>
      </c>
      <c r="I158" t="s">
        <v>525</v>
      </c>
      <c r="J158" t="str">
        <f>INDEX(Standards!$H$2:$H$296,MATCH(B158,Standards!$B$2:$B$296,0))</f>
        <v>BIM</v>
      </c>
      <c r="K158" t="str">
        <f>INDEX(Standards!$H$2:$H$296,MATCH(C158,Standards!$B$2:$B$296,0))</f>
        <v>PM</v>
      </c>
      <c r="L158" t="b">
        <f>AND(TableRelationships[[#This Row],[Source Type]]="BIM",TableRelationships[[#This Row],[Target Type]]="BIM")</f>
        <v>0</v>
      </c>
      <c r="M158">
        <f t="shared" si="6"/>
        <v>1</v>
      </c>
      <c r="N158" t="s">
        <v>526</v>
      </c>
      <c r="O158">
        <f t="shared" si="7"/>
        <v>2</v>
      </c>
      <c r="P158" t="str">
        <f>IF(TableRelationships[[#This Row],[Rank Pedro]]="Low","linkCategory1",IF(TableRelationships[[#This Row],[Rank Pedro]]="Medium","linkCategory2",IF(TableRelationships[[#This Row],[Rank Pedro]]="High","linkCategory3","")))</f>
        <v>linkCategory1</v>
      </c>
      <c r="Q158" t="str">
        <f>IF(TableRelationships[[#This Row],[Rank Pedro]]="Low","Pink",IF(TableRelationships[[#This Row],[Rank Pedro]]="Medium","Purple",IF(TableRelationships[[#This Row],[Rank Pedro]]="High","Brown","")))</f>
        <v>Pink</v>
      </c>
      <c r="R158" s="4">
        <f>MAX(INDEX(Standards!$F$2:$F$296,MATCH(B158,Standards!$B$2:$B$296,0)),INDEX(Standards!$F$2:$F$296,MATCH(C158,Standards!$B$2:$B$296,0)))</f>
        <v>43453</v>
      </c>
      <c r="S158" t="str">
        <f t="shared" si="8"/>
        <v>#2f89d1</v>
      </c>
    </row>
    <row r="159" spans="1:19" x14ac:dyDescent="0.5">
      <c r="A159">
        <v>495</v>
      </c>
      <c r="B159" t="s">
        <v>224</v>
      </c>
      <c r="C159" t="s">
        <v>245</v>
      </c>
      <c r="D159">
        <f>INDEX(Standards!$A$2:$A$296,MATCH(B159,Standards!$B$2:$B$296,0))</f>
        <v>11</v>
      </c>
      <c r="E159">
        <f>INDEX(Standards!$A$2:$A$296,MATCH(C159,Standards!$B$2:$B$296,0))</f>
        <v>3</v>
      </c>
      <c r="F159" t="str">
        <f>INDEX(Standards!$N$2:$N$296,MATCH(B159,Standards!$B$2:$B$296,0))</f>
        <v>#70AD47</v>
      </c>
      <c r="G159" t="str">
        <f>INDEX(Standards!$N$2:$N$296,MATCH(C159,Standards!$B$2:$B$296,0))</f>
        <v>#70AD47</v>
      </c>
      <c r="H159" t="s">
        <v>521</v>
      </c>
      <c r="I159" s="82" t="s">
        <v>522</v>
      </c>
      <c r="J159" t="str">
        <f>INDEX(Standards!$H$2:$H$296,MATCH(B159,Standards!$B$2:$B$296,0))</f>
        <v>BIM</v>
      </c>
      <c r="K159" t="str">
        <f>INDEX(Standards!$H$2:$H$296,MATCH(C159,Standards!$B$2:$B$296,0))</f>
        <v>BIM</v>
      </c>
      <c r="L159" t="b">
        <f>AND(TableRelationships[[#This Row],[Source Type]]="BIM",TableRelationships[[#This Row],[Target Type]]="BIM")</f>
        <v>1</v>
      </c>
      <c r="M159">
        <f t="shared" si="6"/>
        <v>1</v>
      </c>
      <c r="N159" t="s">
        <v>526</v>
      </c>
      <c r="O159">
        <f t="shared" si="7"/>
        <v>2</v>
      </c>
      <c r="P159" t="str">
        <f>IF(TableRelationships[[#This Row],[Rank Pedro]]="Low","linkCategory1",IF(TableRelationships[[#This Row],[Rank Pedro]]="Medium","linkCategory2",IF(TableRelationships[[#This Row],[Rank Pedro]]="High","linkCategory3","")))</f>
        <v>linkCategory1</v>
      </c>
      <c r="Q159" t="str">
        <f>IF(TableRelationships[[#This Row],[Rank Pedro]]="Low","Pink",IF(TableRelationships[[#This Row],[Rank Pedro]]="Medium","Purple",IF(TableRelationships[[#This Row],[Rank Pedro]]="High","Brown","")))</f>
        <v>Pink</v>
      </c>
      <c r="R159" s="4">
        <f>MAX(INDEX(Standards!$F$2:$F$296,MATCH(B159,Standards!$B$2:$B$296,0)),INDEX(Standards!$F$2:$F$296,MATCH(C159,Standards!$B$2:$B$296,0)))</f>
        <v>43943</v>
      </c>
      <c r="S159">
        <f t="shared" si="8"/>
        <v>1</v>
      </c>
    </row>
    <row r="160" spans="1:19" x14ac:dyDescent="0.5">
      <c r="A160">
        <v>55</v>
      </c>
      <c r="B160" t="s">
        <v>224</v>
      </c>
      <c r="C160" t="s">
        <v>114</v>
      </c>
      <c r="D160">
        <f>INDEX(Standards!$A$2:$A$296,MATCH(B160,Standards!$B$2:$B$296,0))</f>
        <v>11</v>
      </c>
      <c r="E160">
        <f>INDEX(Standards!$A$2:$A$296,MATCH(C160,Standards!$B$2:$B$296,0))</f>
        <v>35</v>
      </c>
      <c r="F160" t="str">
        <f>INDEX(Standards!$N$2:$N$296,MATCH(B160,Standards!$B$2:$B$296,0))</f>
        <v>#70AD47</v>
      </c>
      <c r="G160" t="str">
        <f>INDEX(Standards!$N$2:$N$296,MATCH(C160,Standards!$B$2:$B$296,0))</f>
        <v>#44546A</v>
      </c>
      <c r="H160" t="s">
        <v>521</v>
      </c>
      <c r="I160" t="s">
        <v>525</v>
      </c>
      <c r="J160" t="str">
        <f>INDEX(Standards!$H$2:$H$296,MATCH(B160,Standards!$B$2:$B$296,0))</f>
        <v>BIM</v>
      </c>
      <c r="K160" t="str">
        <f>INDEX(Standards!$H$2:$H$296,MATCH(C160,Standards!$B$2:$B$296,0))</f>
        <v>FM</v>
      </c>
      <c r="L160" t="b">
        <f>AND(TableRelationships[[#This Row],[Source Type]]="BIM",TableRelationships[[#This Row],[Target Type]]="BIM")</f>
        <v>0</v>
      </c>
      <c r="M160">
        <f t="shared" si="6"/>
        <v>1</v>
      </c>
      <c r="N160" t="s">
        <v>526</v>
      </c>
      <c r="O160">
        <f t="shared" si="7"/>
        <v>2</v>
      </c>
      <c r="P160" t="str">
        <f>IF(TableRelationships[[#This Row],[Rank Pedro]]="Low","linkCategory1",IF(TableRelationships[[#This Row],[Rank Pedro]]="Medium","linkCategory2",IF(TableRelationships[[#This Row],[Rank Pedro]]="High","linkCategory3","")))</f>
        <v>linkCategory1</v>
      </c>
      <c r="Q160" t="str">
        <f>IF(TableRelationships[[#This Row],[Rank Pedro]]="Low","Pink",IF(TableRelationships[[#This Row],[Rank Pedro]]="Medium","Purple",IF(TableRelationships[[#This Row],[Rank Pedro]]="High","Brown","")))</f>
        <v>Pink</v>
      </c>
      <c r="R160" s="4">
        <f>MAX(INDEX(Standards!$F$2:$F$296,MATCH(B160,Standards!$B$2:$B$296,0)),INDEX(Standards!$F$2:$F$296,MATCH(C160,Standards!$B$2:$B$296,0)))</f>
        <v>43453</v>
      </c>
      <c r="S160" t="str">
        <f t="shared" si="8"/>
        <v>#2f89d1</v>
      </c>
    </row>
    <row r="161" spans="1:19" x14ac:dyDescent="0.5">
      <c r="A161">
        <v>483</v>
      </c>
      <c r="B161" t="s">
        <v>224</v>
      </c>
      <c r="C161" t="s">
        <v>420</v>
      </c>
      <c r="D161">
        <f>INDEX(Standards!$A$2:$A$296,MATCH(B161,Standards!$B$2:$B$296,0))</f>
        <v>11</v>
      </c>
      <c r="E161">
        <f>INDEX(Standards!$A$2:$A$296,MATCH(C161,Standards!$B$2:$B$296,0))</f>
        <v>184</v>
      </c>
      <c r="F161" t="str">
        <f>INDEX(Standards!$N$2:$N$296,MATCH(B161,Standards!$B$2:$B$296,0))</f>
        <v>#70AD47</v>
      </c>
      <c r="G161" t="str">
        <f>INDEX(Standards!$N$2:$N$296,MATCH(C161,Standards!$B$2:$B$296,0))</f>
        <v>#44546A</v>
      </c>
      <c r="H161" t="s">
        <v>521</v>
      </c>
      <c r="I161" t="s">
        <v>525</v>
      </c>
      <c r="J161" t="str">
        <f>INDEX(Standards!$H$2:$H$296,MATCH(B161,Standards!$B$2:$B$296,0))</f>
        <v>BIM</v>
      </c>
      <c r="K161" t="str">
        <f>INDEX(Standards!$H$2:$H$296,MATCH(C161,Standards!$B$2:$B$296,0))</f>
        <v>FM</v>
      </c>
      <c r="L161" t="b">
        <f>AND(TableRelationships[[#This Row],[Source Type]]="BIM",TableRelationships[[#This Row],[Target Type]]="BIM")</f>
        <v>0</v>
      </c>
      <c r="M161">
        <f t="shared" si="6"/>
        <v>1</v>
      </c>
      <c r="N161" t="s">
        <v>528</v>
      </c>
      <c r="O161">
        <f t="shared" si="7"/>
        <v>6</v>
      </c>
      <c r="P161" t="str">
        <f>IF(TableRelationships[[#This Row],[Rank Pedro]]="Low","linkCategory1",IF(TableRelationships[[#This Row],[Rank Pedro]]="Medium","linkCategory2",IF(TableRelationships[[#This Row],[Rank Pedro]]="High","linkCategory3","")))</f>
        <v>linkCategory2</v>
      </c>
      <c r="Q161" t="str">
        <f>IF(TableRelationships[[#This Row],[Rank Pedro]]="Low","Pink",IF(TableRelationships[[#This Row],[Rank Pedro]]="Medium","Purple",IF(TableRelationships[[#This Row],[Rank Pedro]]="High","Brown","")))</f>
        <v>Purple</v>
      </c>
      <c r="R161" s="4">
        <f>MAX(INDEX(Standards!$F$2:$F$296,MATCH(B161,Standards!$B$2:$B$296,0)),INDEX(Standards!$F$2:$F$296,MATCH(C161,Standards!$B$2:$B$296,0)))</f>
        <v>46388</v>
      </c>
      <c r="S161" t="str">
        <f t="shared" si="8"/>
        <v>#2f89d1</v>
      </c>
    </row>
    <row r="162" spans="1:19" x14ac:dyDescent="0.5">
      <c r="A162">
        <v>56</v>
      </c>
      <c r="B162" t="s">
        <v>224</v>
      </c>
      <c r="C162" t="s">
        <v>74</v>
      </c>
      <c r="D162">
        <f>INDEX(Standards!$A$2:$A$296,MATCH(B162,Standards!$B$2:$B$296,0))</f>
        <v>11</v>
      </c>
      <c r="E162">
        <f>INDEX(Standards!$A$2:$A$296,MATCH(C162,Standards!$B$2:$B$296,0))</f>
        <v>18</v>
      </c>
      <c r="F162" t="str">
        <f>INDEX(Standards!$N$2:$N$296,MATCH(B162,Standards!$B$2:$B$296,0))</f>
        <v>#70AD47</v>
      </c>
      <c r="G162" t="str">
        <f>INDEX(Standards!$N$2:$N$296,MATCH(C162,Standards!$B$2:$B$296,0))</f>
        <v>#44546A</v>
      </c>
      <c r="H162" t="s">
        <v>521</v>
      </c>
      <c r="I162" t="s">
        <v>525</v>
      </c>
      <c r="J162" t="str">
        <f>INDEX(Standards!$H$2:$H$296,MATCH(B162,Standards!$B$2:$B$296,0))</f>
        <v>BIM</v>
      </c>
      <c r="K162" t="str">
        <f>INDEX(Standards!$H$2:$H$296,MATCH(C162,Standards!$B$2:$B$296,0))</f>
        <v>FM</v>
      </c>
      <c r="L162" t="b">
        <f>AND(TableRelationships[[#This Row],[Source Type]]="BIM",TableRelationships[[#This Row],[Target Type]]="BIM")</f>
        <v>0</v>
      </c>
      <c r="M162">
        <f t="shared" si="6"/>
        <v>1</v>
      </c>
      <c r="N162" t="s">
        <v>528</v>
      </c>
      <c r="O162">
        <f t="shared" si="7"/>
        <v>6</v>
      </c>
      <c r="P162" t="str">
        <f>IF(TableRelationships[[#This Row],[Rank Pedro]]="Low","linkCategory1",IF(TableRelationships[[#This Row],[Rank Pedro]]="Medium","linkCategory2",IF(TableRelationships[[#This Row],[Rank Pedro]]="High","linkCategory3","")))</f>
        <v>linkCategory2</v>
      </c>
      <c r="Q162" t="str">
        <f>IF(TableRelationships[[#This Row],[Rank Pedro]]="Low","Pink",IF(TableRelationships[[#This Row],[Rank Pedro]]="Medium","Purple",IF(TableRelationships[[#This Row],[Rank Pedro]]="High","Brown","")))</f>
        <v>Purple</v>
      </c>
      <c r="R162" s="4">
        <f>MAX(INDEX(Standards!$F$2:$F$296,MATCH(B162,Standards!$B$2:$B$296,0)),INDEX(Standards!$F$2:$F$296,MATCH(C162,Standards!$B$2:$B$296,0)))</f>
        <v>43453</v>
      </c>
      <c r="S162" t="str">
        <f t="shared" si="8"/>
        <v>#2f89d1</v>
      </c>
    </row>
    <row r="163" spans="1:19" x14ac:dyDescent="0.5">
      <c r="A163">
        <v>57</v>
      </c>
      <c r="B163" t="s">
        <v>224</v>
      </c>
      <c r="C163" t="s">
        <v>110</v>
      </c>
      <c r="D163">
        <f>INDEX(Standards!$A$2:$A$296,MATCH(B163,Standards!$B$2:$B$296,0))</f>
        <v>11</v>
      </c>
      <c r="E163">
        <f>INDEX(Standards!$A$2:$A$296,MATCH(C163,Standards!$B$2:$B$296,0))</f>
        <v>33</v>
      </c>
      <c r="F163" t="str">
        <f>INDEX(Standards!$N$2:$N$296,MATCH(B163,Standards!$B$2:$B$296,0))</f>
        <v>#70AD47</v>
      </c>
      <c r="G163" t="str">
        <f>INDEX(Standards!$N$2:$N$296,MATCH(C163,Standards!$B$2:$B$296,0))</f>
        <v>#44546A</v>
      </c>
      <c r="H163" t="s">
        <v>521</v>
      </c>
      <c r="I163" t="s">
        <v>525</v>
      </c>
      <c r="J163" t="str">
        <f>INDEX(Standards!$H$2:$H$296,MATCH(B163,Standards!$B$2:$B$296,0))</f>
        <v>BIM</v>
      </c>
      <c r="K163" t="str">
        <f>INDEX(Standards!$H$2:$H$296,MATCH(C163,Standards!$B$2:$B$296,0))</f>
        <v>FM</v>
      </c>
      <c r="L163" t="b">
        <f>AND(TableRelationships[[#This Row],[Source Type]]="BIM",TableRelationships[[#This Row],[Target Type]]="BIM")</f>
        <v>0</v>
      </c>
      <c r="M163">
        <f t="shared" si="6"/>
        <v>1</v>
      </c>
      <c r="N163" t="s">
        <v>526</v>
      </c>
      <c r="O163">
        <f t="shared" si="7"/>
        <v>2</v>
      </c>
      <c r="P163" t="str">
        <f>IF(TableRelationships[[#This Row],[Rank Pedro]]="Low","linkCategory1",IF(TableRelationships[[#This Row],[Rank Pedro]]="Medium","linkCategory2",IF(TableRelationships[[#This Row],[Rank Pedro]]="High","linkCategory3","")))</f>
        <v>linkCategory1</v>
      </c>
      <c r="Q163" t="str">
        <f>IF(TableRelationships[[#This Row],[Rank Pedro]]="Low","Pink",IF(TableRelationships[[#This Row],[Rank Pedro]]="Medium","Purple",IF(TableRelationships[[#This Row],[Rank Pedro]]="High","Brown","")))</f>
        <v>Pink</v>
      </c>
      <c r="R163" s="4">
        <f>MAX(INDEX(Standards!$F$2:$F$296,MATCH(B163,Standards!$B$2:$B$296,0)),INDEX(Standards!$F$2:$F$296,MATCH(C163,Standards!$B$2:$B$296,0)))</f>
        <v>43453</v>
      </c>
      <c r="S163" t="str">
        <f t="shared" si="8"/>
        <v>#2f89d1</v>
      </c>
    </row>
    <row r="164" spans="1:19" x14ac:dyDescent="0.5">
      <c r="A164">
        <v>58</v>
      </c>
      <c r="B164" t="s">
        <v>224</v>
      </c>
      <c r="C164" t="s">
        <v>112</v>
      </c>
      <c r="D164">
        <f>INDEX(Standards!$A$2:$A$296,MATCH(B164,Standards!$B$2:$B$296,0))</f>
        <v>11</v>
      </c>
      <c r="E164">
        <f>INDEX(Standards!$A$2:$A$296,MATCH(C164,Standards!$B$2:$B$296,0))</f>
        <v>34</v>
      </c>
      <c r="F164" t="str">
        <f>INDEX(Standards!$N$2:$N$296,MATCH(B164,Standards!$B$2:$B$296,0))</f>
        <v>#70AD47</v>
      </c>
      <c r="G164" t="str">
        <f>INDEX(Standards!$N$2:$N$296,MATCH(C164,Standards!$B$2:$B$296,0))</f>
        <v>#44546A</v>
      </c>
      <c r="H164" t="s">
        <v>521</v>
      </c>
      <c r="I164" t="s">
        <v>525</v>
      </c>
      <c r="J164" t="str">
        <f>INDEX(Standards!$H$2:$H$296,MATCH(B164,Standards!$B$2:$B$296,0))</f>
        <v>BIM</v>
      </c>
      <c r="K164" t="str">
        <f>INDEX(Standards!$H$2:$H$296,MATCH(C164,Standards!$B$2:$B$296,0))</f>
        <v>FM</v>
      </c>
      <c r="L164" t="b">
        <f>AND(TableRelationships[[#This Row],[Source Type]]="BIM",TableRelationships[[#This Row],[Target Type]]="BIM")</f>
        <v>0</v>
      </c>
      <c r="M164">
        <f t="shared" si="6"/>
        <v>1</v>
      </c>
      <c r="N164" t="s">
        <v>526</v>
      </c>
      <c r="O164">
        <f t="shared" si="7"/>
        <v>2</v>
      </c>
      <c r="P164" t="str">
        <f>IF(TableRelationships[[#This Row],[Rank Pedro]]="Low","linkCategory1",IF(TableRelationships[[#This Row],[Rank Pedro]]="Medium","linkCategory2",IF(TableRelationships[[#This Row],[Rank Pedro]]="High","linkCategory3","")))</f>
        <v>linkCategory1</v>
      </c>
      <c r="Q164" t="str">
        <f>IF(TableRelationships[[#This Row],[Rank Pedro]]="Low","Pink",IF(TableRelationships[[#This Row],[Rank Pedro]]="Medium","Purple",IF(TableRelationships[[#This Row],[Rank Pedro]]="High","Brown","")))</f>
        <v>Pink</v>
      </c>
      <c r="R164" s="4">
        <f>MAX(INDEX(Standards!$F$2:$F$296,MATCH(B164,Standards!$B$2:$B$296,0)),INDEX(Standards!$F$2:$F$296,MATCH(C164,Standards!$B$2:$B$296,0)))</f>
        <v>43453</v>
      </c>
      <c r="S164" t="str">
        <f t="shared" si="8"/>
        <v>#2f89d1</v>
      </c>
    </row>
    <row r="165" spans="1:19" x14ac:dyDescent="0.5">
      <c r="A165">
        <v>51</v>
      </c>
      <c r="B165" t="s">
        <v>224</v>
      </c>
      <c r="C165" t="s">
        <v>77</v>
      </c>
      <c r="D165">
        <f>INDEX(Standards!$A$2:$A$296,MATCH(B165,Standards!$B$2:$B$296,0))</f>
        <v>11</v>
      </c>
      <c r="E165">
        <f>INDEX(Standards!$A$2:$A$296,MATCH(C165,Standards!$B$2:$B$296,0))</f>
        <v>19</v>
      </c>
      <c r="F165" t="str">
        <f>INDEX(Standards!$N$2:$N$296,MATCH(B165,Standards!$B$2:$B$296,0))</f>
        <v>#70AD47</v>
      </c>
      <c r="G165" t="str">
        <f>INDEX(Standards!$N$2:$N$296,MATCH(C165,Standards!$B$2:$B$296,0))</f>
        <v>#ED7D31</v>
      </c>
      <c r="H165" t="s">
        <v>521</v>
      </c>
      <c r="I165" t="s">
        <v>525</v>
      </c>
      <c r="J165" t="str">
        <f>INDEX(Standards!$H$2:$H$296,MATCH(B165,Standards!$B$2:$B$296,0))</f>
        <v>BIM</v>
      </c>
      <c r="K165" t="str">
        <f>INDEX(Standards!$H$2:$H$296,MATCH(C165,Standards!$B$2:$B$296,0))</f>
        <v>Construction</v>
      </c>
      <c r="L165" t="b">
        <f>AND(TableRelationships[[#This Row],[Source Type]]="BIM",TableRelationships[[#This Row],[Target Type]]="BIM")</f>
        <v>0</v>
      </c>
      <c r="M165">
        <f t="shared" si="6"/>
        <v>1</v>
      </c>
      <c r="N165" t="s">
        <v>526</v>
      </c>
      <c r="O165">
        <f t="shared" si="7"/>
        <v>2</v>
      </c>
      <c r="P165" t="str">
        <f>IF(TableRelationships[[#This Row],[Rank Pedro]]="Low","linkCategory1",IF(TableRelationships[[#This Row],[Rank Pedro]]="Medium","linkCategory2",IF(TableRelationships[[#This Row],[Rank Pedro]]="High","linkCategory3","")))</f>
        <v>linkCategory1</v>
      </c>
      <c r="Q165" t="str">
        <f>IF(TableRelationships[[#This Row],[Rank Pedro]]="Low","Pink",IF(TableRelationships[[#This Row],[Rank Pedro]]="Medium","Purple",IF(TableRelationships[[#This Row],[Rank Pedro]]="High","Brown","")))</f>
        <v>Pink</v>
      </c>
      <c r="R165" s="4">
        <f>MAX(INDEX(Standards!$F$2:$F$296,MATCH(B165,Standards!$B$2:$B$296,0)),INDEX(Standards!$F$2:$F$296,MATCH(C165,Standards!$B$2:$B$296,0)))</f>
        <v>43453</v>
      </c>
      <c r="S165" t="str">
        <f t="shared" si="8"/>
        <v>#2f89d1</v>
      </c>
    </row>
    <row r="166" spans="1:19" x14ac:dyDescent="0.5">
      <c r="A166">
        <v>489</v>
      </c>
      <c r="B166" t="s">
        <v>224</v>
      </c>
      <c r="C166" t="s">
        <v>422</v>
      </c>
      <c r="D166">
        <f>INDEX(Standards!$A$2:$A$296,MATCH(B166,Standards!$B$2:$B$296,0))</f>
        <v>11</v>
      </c>
      <c r="E166">
        <f>INDEX(Standards!$A$2:$A$296,MATCH(C166,Standards!$B$2:$B$296,0))</f>
        <v>185</v>
      </c>
      <c r="F166" t="str">
        <f>INDEX(Standards!$N$2:$N$296,MATCH(B166,Standards!$B$2:$B$296,0))</f>
        <v>#70AD47</v>
      </c>
      <c r="G166" t="str">
        <f>INDEX(Standards!$N$2:$N$296,MATCH(C166,Standards!$B$2:$B$296,0))</f>
        <v>#7030A0</v>
      </c>
      <c r="H166" t="s">
        <v>521</v>
      </c>
      <c r="I166" s="82" t="s">
        <v>522</v>
      </c>
      <c r="J166" t="str">
        <f>INDEX(Standards!$H$2:$H$296,MATCH(B166,Standards!$B$2:$B$296,0))</f>
        <v>BIM</v>
      </c>
      <c r="K166" t="str">
        <f>INDEX(Standards!$H$2:$H$296,MATCH(C166,Standards!$B$2:$B$296,0))</f>
        <v>ICT</v>
      </c>
      <c r="L166" t="b">
        <f>AND(TableRelationships[[#This Row],[Source Type]]="BIM",TableRelationships[[#This Row],[Target Type]]="BIM")</f>
        <v>0</v>
      </c>
      <c r="M166">
        <f t="shared" si="6"/>
        <v>1</v>
      </c>
      <c r="N166" t="s">
        <v>528</v>
      </c>
      <c r="O166">
        <f t="shared" si="7"/>
        <v>6</v>
      </c>
      <c r="P166" t="str">
        <f>IF(TableRelationships[[#This Row],[Rank Pedro]]="Low","linkCategory1",IF(TableRelationships[[#This Row],[Rank Pedro]]="Medium","linkCategory2",IF(TableRelationships[[#This Row],[Rank Pedro]]="High","linkCategory3","")))</f>
        <v>linkCategory2</v>
      </c>
      <c r="Q166" t="str">
        <f>IF(TableRelationships[[#This Row],[Rank Pedro]]="Low","Pink",IF(TableRelationships[[#This Row],[Rank Pedro]]="Medium","Purple",IF(TableRelationships[[#This Row],[Rank Pedro]]="High","Brown","")))</f>
        <v>Purple</v>
      </c>
      <c r="R166" s="4">
        <f>MAX(INDEX(Standards!$F$2:$F$296,MATCH(B166,Standards!$B$2:$B$296,0)),INDEX(Standards!$F$2:$F$296,MATCH(C166,Standards!$B$2:$B$296,0)))</f>
        <v>43453</v>
      </c>
      <c r="S166">
        <f t="shared" si="8"/>
        <v>1</v>
      </c>
    </row>
    <row r="167" spans="1:19" x14ac:dyDescent="0.5">
      <c r="A167">
        <v>52</v>
      </c>
      <c r="B167" t="s">
        <v>224</v>
      </c>
      <c r="C167" t="s">
        <v>85</v>
      </c>
      <c r="D167">
        <f>INDEX(Standards!$A$2:$A$296,MATCH(B167,Standards!$B$2:$B$296,0))</f>
        <v>11</v>
      </c>
      <c r="E167">
        <f>INDEX(Standards!$A$2:$A$296,MATCH(C167,Standards!$B$2:$B$296,0))</f>
        <v>22</v>
      </c>
      <c r="F167" t="str">
        <f>INDEX(Standards!$N$2:$N$296,MATCH(B167,Standards!$B$2:$B$296,0))</f>
        <v>#70AD47</v>
      </c>
      <c r="G167" t="str">
        <f>INDEX(Standards!$N$2:$N$296,MATCH(C167,Standards!$B$2:$B$296,0))</f>
        <v>#C00000</v>
      </c>
      <c r="H167" t="s">
        <v>521</v>
      </c>
      <c r="I167" t="s">
        <v>525</v>
      </c>
      <c r="J167" t="str">
        <f>INDEX(Standards!$H$2:$H$296,MATCH(B167,Standards!$B$2:$B$296,0))</f>
        <v>BIM</v>
      </c>
      <c r="K167" t="str">
        <f>INDEX(Standards!$H$2:$H$296,MATCH(C167,Standards!$B$2:$B$296,0))</f>
        <v>Quality Management</v>
      </c>
      <c r="L167" t="b">
        <f>AND(TableRelationships[[#This Row],[Source Type]]="BIM",TableRelationships[[#This Row],[Target Type]]="BIM")</f>
        <v>0</v>
      </c>
      <c r="M167">
        <f t="shared" si="6"/>
        <v>1</v>
      </c>
      <c r="N167" t="s">
        <v>526</v>
      </c>
      <c r="O167">
        <f t="shared" si="7"/>
        <v>2</v>
      </c>
      <c r="P167" t="str">
        <f>IF(TableRelationships[[#This Row],[Rank Pedro]]="Low","linkCategory1",IF(TableRelationships[[#This Row],[Rank Pedro]]="Medium","linkCategory2",IF(TableRelationships[[#This Row],[Rank Pedro]]="High","linkCategory3","")))</f>
        <v>linkCategory1</v>
      </c>
      <c r="Q167" t="str">
        <f>IF(TableRelationships[[#This Row],[Rank Pedro]]="Low","Pink",IF(TableRelationships[[#This Row],[Rank Pedro]]="Medium","Purple",IF(TableRelationships[[#This Row],[Rank Pedro]]="High","Brown","")))</f>
        <v>Pink</v>
      </c>
      <c r="R167" s="4">
        <f>MAX(INDEX(Standards!$F$2:$F$296,MATCH(B167,Standards!$B$2:$B$296,0)),INDEX(Standards!$F$2:$F$296,MATCH(C167,Standards!$B$2:$B$296,0)))</f>
        <v>43453</v>
      </c>
      <c r="S167" t="str">
        <f t="shared" si="8"/>
        <v>#2f89d1</v>
      </c>
    </row>
    <row r="168" spans="1:19" x14ac:dyDescent="0.5">
      <c r="A168">
        <v>53</v>
      </c>
      <c r="B168" t="s">
        <v>224</v>
      </c>
      <c r="C168" t="s">
        <v>88</v>
      </c>
      <c r="D168">
        <f>INDEX(Standards!$A$2:$A$296,MATCH(B168,Standards!$B$2:$B$296,0))</f>
        <v>11</v>
      </c>
      <c r="E168">
        <f>INDEX(Standards!$A$2:$A$296,MATCH(C168,Standards!$B$2:$B$296,0))</f>
        <v>23</v>
      </c>
      <c r="F168" t="str">
        <f>INDEX(Standards!$N$2:$N$296,MATCH(B168,Standards!$B$2:$B$296,0))</f>
        <v>#70AD47</v>
      </c>
      <c r="G168" t="str">
        <f>INDEX(Standards!$N$2:$N$296,MATCH(C168,Standards!$B$2:$B$296,0))</f>
        <v>#7030A0</v>
      </c>
      <c r="H168" t="s">
        <v>521</v>
      </c>
      <c r="I168" t="s">
        <v>525</v>
      </c>
      <c r="J168" t="str">
        <f>INDEX(Standards!$H$2:$H$296,MATCH(B168,Standards!$B$2:$B$296,0))</f>
        <v>BIM</v>
      </c>
      <c r="K168" t="str">
        <f>INDEX(Standards!$H$2:$H$296,MATCH(C168,Standards!$B$2:$B$296,0))</f>
        <v>ICT</v>
      </c>
      <c r="L168" t="b">
        <f>AND(TableRelationships[[#This Row],[Source Type]]="BIM",TableRelationships[[#This Row],[Target Type]]="BIM")</f>
        <v>0</v>
      </c>
      <c r="M168">
        <f t="shared" si="6"/>
        <v>1</v>
      </c>
      <c r="N168" t="s">
        <v>526</v>
      </c>
      <c r="O168">
        <f t="shared" si="7"/>
        <v>2</v>
      </c>
      <c r="P168" t="str">
        <f>IF(TableRelationships[[#This Row],[Rank Pedro]]="Low","linkCategory1",IF(TableRelationships[[#This Row],[Rank Pedro]]="Medium","linkCategory2",IF(TableRelationships[[#This Row],[Rank Pedro]]="High","linkCategory3","")))</f>
        <v>linkCategory1</v>
      </c>
      <c r="Q168" t="str">
        <f>IF(TableRelationships[[#This Row],[Rank Pedro]]="Low","Pink",IF(TableRelationships[[#This Row],[Rank Pedro]]="Medium","Purple",IF(TableRelationships[[#This Row],[Rank Pedro]]="High","Brown","")))</f>
        <v>Pink</v>
      </c>
      <c r="R168" s="4">
        <f>MAX(INDEX(Standards!$F$2:$F$296,MATCH(B168,Standards!$B$2:$B$296,0)),INDEX(Standards!$F$2:$F$296,MATCH(C168,Standards!$B$2:$B$296,0)))</f>
        <v>43453</v>
      </c>
      <c r="S168" t="str">
        <f t="shared" si="8"/>
        <v>#2f89d1</v>
      </c>
    </row>
    <row r="169" spans="1:19" x14ac:dyDescent="0.5">
      <c r="A169">
        <v>181</v>
      </c>
      <c r="B169" t="s">
        <v>228</v>
      </c>
      <c r="C169" t="s">
        <v>236</v>
      </c>
      <c r="D169">
        <f>INDEX(Standards!$A$2:$A$296,MATCH(B169,Standards!$B$2:$B$296,0))</f>
        <v>168</v>
      </c>
      <c r="E169">
        <f>INDEX(Standards!$A$2:$A$296,MATCH(C169,Standards!$B$2:$B$296,0))</f>
        <v>91</v>
      </c>
      <c r="F169" t="str">
        <f>INDEX(Standards!$N$2:$N$296,MATCH(B169,Standards!$B$2:$B$296,0))</f>
        <v>#70AD47</v>
      </c>
      <c r="G169" t="str">
        <f>INDEX(Standards!$N$2:$N$296,MATCH(C169,Standards!$B$2:$B$296,0))</f>
        <v>#F2F2F2</v>
      </c>
      <c r="H169" t="s">
        <v>521</v>
      </c>
      <c r="I169" t="s">
        <v>237</v>
      </c>
      <c r="J169" t="str">
        <f>INDEX(Standards!$H$2:$H$296,MATCH(B169,Standards!$B$2:$B$296,0))</f>
        <v>BIM</v>
      </c>
      <c r="K169" t="str">
        <f>INDEX(Standards!$H$2:$H$296,MATCH(C169,Standards!$B$2:$B$296,0))</f>
        <v>Anchor</v>
      </c>
      <c r="L169" t="b">
        <f>AND(TableRelationships[[#This Row],[Source Type]]="BIM",TableRelationships[[#This Row],[Target Type]]="BIM")</f>
        <v>0</v>
      </c>
      <c r="M169">
        <f t="shared" si="6"/>
        <v>2</v>
      </c>
      <c r="O169">
        <f t="shared" si="7"/>
        <v>1</v>
      </c>
      <c r="P169" t="str">
        <f>IF(TableRelationships[[#This Row],[Rank Pedro]]="Low","linkCategory1",IF(TableRelationships[[#This Row],[Rank Pedro]]="Medium","linkCategory2",IF(TableRelationships[[#This Row],[Rank Pedro]]="High","linkCategory3","")))</f>
        <v/>
      </c>
      <c r="Q169" t="str">
        <f>IF(TableRelationships[[#This Row],[Rank Pedro]]="Low","Pink",IF(TableRelationships[[#This Row],[Rank Pedro]]="Medium","Purple",IF(TableRelationships[[#This Row],[Rank Pedro]]="High","Brown","")))</f>
        <v/>
      </c>
      <c r="R169" s="4">
        <f>MAX(INDEX(Standards!$F$2:$F$296,MATCH(B169,Standards!$B$2:$B$296,0)),INDEX(Standards!$F$2:$F$296,MATCH(C169,Standards!$B$2:$B$296,0)))</f>
        <v>44819</v>
      </c>
      <c r="S169">
        <f t="shared" si="8"/>
        <v>1</v>
      </c>
    </row>
    <row r="170" spans="1:19" x14ac:dyDescent="0.5">
      <c r="A170">
        <v>454</v>
      </c>
      <c r="B170" t="s">
        <v>228</v>
      </c>
      <c r="C170" t="s">
        <v>22</v>
      </c>
      <c r="D170">
        <f>INDEX(Standards!$A$2:$A$296,MATCH(B170,Standards!$B$2:$B$296,0))</f>
        <v>168</v>
      </c>
      <c r="E170">
        <f>INDEX(Standards!$A$2:$A$296,MATCH(C170,Standards!$B$2:$B$296,0))</f>
        <v>99</v>
      </c>
      <c r="F170" t="str">
        <f>INDEX(Standards!$N$2:$N$296,MATCH(B170,Standards!$B$2:$B$296,0))</f>
        <v>#70AD47</v>
      </c>
      <c r="G170" t="str">
        <f>INDEX(Standards!$N$2:$N$296,MATCH(C170,Standards!$B$2:$B$296,0))</f>
        <v>#70AD47</v>
      </c>
      <c r="H170" t="s">
        <v>521</v>
      </c>
      <c r="I170" t="s">
        <v>525</v>
      </c>
      <c r="J170" t="str">
        <f>INDEX(Standards!$H$2:$H$296,MATCH(B170,Standards!$B$2:$B$296,0))</f>
        <v>BIM</v>
      </c>
      <c r="K170" t="str">
        <f>INDEX(Standards!$H$2:$H$296,MATCH(C170,Standards!$B$2:$B$296,0))</f>
        <v>BIM</v>
      </c>
      <c r="L170" t="b">
        <f>AND(TableRelationships[[#This Row],[Source Type]]="BIM",TableRelationships[[#This Row],[Target Type]]="BIM")</f>
        <v>1</v>
      </c>
      <c r="M170">
        <f t="shared" si="6"/>
        <v>1</v>
      </c>
      <c r="N170" t="s">
        <v>528</v>
      </c>
      <c r="O170">
        <f t="shared" si="7"/>
        <v>6</v>
      </c>
      <c r="P170" t="str">
        <f>IF(TableRelationships[[#This Row],[Rank Pedro]]="Low","linkCategory1",IF(TableRelationships[[#This Row],[Rank Pedro]]="Medium","linkCategory2",IF(TableRelationships[[#This Row],[Rank Pedro]]="High","linkCategory3","")))</f>
        <v>linkCategory2</v>
      </c>
      <c r="Q170" t="str">
        <f>IF(TableRelationships[[#This Row],[Rank Pedro]]="Low","Pink",IF(TableRelationships[[#This Row],[Rank Pedro]]="Medium","Purple",IF(TableRelationships[[#This Row],[Rank Pedro]]="High","Brown","")))</f>
        <v>Purple</v>
      </c>
      <c r="R170" s="4">
        <f>MAX(INDEX(Standards!$F$2:$F$296,MATCH(B170,Standards!$B$2:$B$296,0)),INDEX(Standards!$F$2:$F$296,MATCH(C170,Standards!$B$2:$B$296,0)))</f>
        <v>44819</v>
      </c>
      <c r="S170" t="str">
        <f t="shared" si="8"/>
        <v>#2f89d1</v>
      </c>
    </row>
    <row r="171" spans="1:19" x14ac:dyDescent="0.5">
      <c r="A171">
        <v>449</v>
      </c>
      <c r="B171" t="s">
        <v>228</v>
      </c>
      <c r="C171" t="s">
        <v>484</v>
      </c>
      <c r="D171">
        <f>INDEX(Standards!$A$2:$A$296,MATCH(B171,Standards!$B$2:$B$296,0))</f>
        <v>168</v>
      </c>
      <c r="E171">
        <f>INDEX(Standards!$A$2:$A$296,MATCH(C171,Standards!$B$2:$B$296,0))</f>
        <v>196</v>
      </c>
      <c r="F171" t="str">
        <f>INDEX(Standards!$N$2:$N$296,MATCH(B171,Standards!$B$2:$B$296,0))</f>
        <v>#70AD47</v>
      </c>
      <c r="G171" t="str">
        <f>INDEX(Standards!$N$2:$N$296,MATCH(C171,Standards!$B$2:$B$296,0))</f>
        <v>#70AD47</v>
      </c>
      <c r="H171" t="s">
        <v>521</v>
      </c>
      <c r="I171" t="s">
        <v>525</v>
      </c>
      <c r="J171" t="str">
        <f>INDEX(Standards!$H$2:$H$296,MATCH(B171,Standards!$B$2:$B$296,0))</f>
        <v>BIM</v>
      </c>
      <c r="K171" t="str">
        <f>INDEX(Standards!$H$2:$H$296,MATCH(C171,Standards!$B$2:$B$296,0))</f>
        <v>BIM</v>
      </c>
      <c r="L171" t="b">
        <f>AND(TableRelationships[[#This Row],[Source Type]]="BIM",TableRelationships[[#This Row],[Target Type]]="BIM")</f>
        <v>1</v>
      </c>
      <c r="M171">
        <f t="shared" si="6"/>
        <v>1</v>
      </c>
      <c r="N171" t="s">
        <v>523</v>
      </c>
      <c r="O171">
        <f t="shared" si="7"/>
        <v>10</v>
      </c>
      <c r="P171" t="str">
        <f>IF(TableRelationships[[#This Row],[Rank Pedro]]="Low","linkCategory1",IF(TableRelationships[[#This Row],[Rank Pedro]]="Medium","linkCategory2",IF(TableRelationships[[#This Row],[Rank Pedro]]="High","linkCategory3","")))</f>
        <v>linkCategory3</v>
      </c>
      <c r="Q171" t="str">
        <f>IF(TableRelationships[[#This Row],[Rank Pedro]]="Low","Pink",IF(TableRelationships[[#This Row],[Rank Pedro]]="Medium","Purple",IF(TableRelationships[[#This Row],[Rank Pedro]]="High","Brown","")))</f>
        <v>Brown</v>
      </c>
      <c r="R171" s="4">
        <f>MAX(INDEX(Standards!$F$2:$F$296,MATCH(B171,Standards!$B$2:$B$296,0)),INDEX(Standards!$F$2:$F$296,MATCH(C171,Standards!$B$2:$B$296,0)))</f>
        <v>45444</v>
      </c>
      <c r="S171" t="str">
        <f t="shared" si="8"/>
        <v>#2f89d1</v>
      </c>
    </row>
    <row r="172" spans="1:19" x14ac:dyDescent="0.5">
      <c r="A172">
        <v>453</v>
      </c>
      <c r="B172" t="s">
        <v>228</v>
      </c>
      <c r="C172" t="s">
        <v>259</v>
      </c>
      <c r="D172">
        <f>INDEX(Standards!$A$2:$A$296,MATCH(B172,Standards!$B$2:$B$296,0))</f>
        <v>168</v>
      </c>
      <c r="E172">
        <f>INDEX(Standards!$A$2:$A$296,MATCH(C172,Standards!$B$2:$B$296,0))</f>
        <v>103</v>
      </c>
      <c r="F172" t="str">
        <f>INDEX(Standards!$N$2:$N$296,MATCH(B172,Standards!$B$2:$B$296,0))</f>
        <v>#70AD47</v>
      </c>
      <c r="G172" t="str">
        <f>INDEX(Standards!$N$2:$N$296,MATCH(C172,Standards!$B$2:$B$296,0))</f>
        <v>#4472C4</v>
      </c>
      <c r="H172" t="s">
        <v>521</v>
      </c>
      <c r="I172" t="s">
        <v>525</v>
      </c>
      <c r="J172" t="str">
        <f>INDEX(Standards!$H$2:$H$296,MATCH(B172,Standards!$B$2:$B$296,0))</f>
        <v>BIM</v>
      </c>
      <c r="K172" t="str">
        <f>INDEX(Standards!$H$2:$H$296,MATCH(C172,Standards!$B$2:$B$296,0))</f>
        <v>Industrial Automation</v>
      </c>
      <c r="L172" t="b">
        <f>AND(TableRelationships[[#This Row],[Source Type]]="BIM",TableRelationships[[#This Row],[Target Type]]="BIM")</f>
        <v>0</v>
      </c>
      <c r="M172">
        <f t="shared" si="6"/>
        <v>1</v>
      </c>
      <c r="N172" t="s">
        <v>526</v>
      </c>
      <c r="O172">
        <f t="shared" si="7"/>
        <v>2</v>
      </c>
      <c r="P172" t="str">
        <f>IF(TableRelationships[[#This Row],[Rank Pedro]]="Low","linkCategory1",IF(TableRelationships[[#This Row],[Rank Pedro]]="Medium","linkCategory2",IF(TableRelationships[[#This Row],[Rank Pedro]]="High","linkCategory3","")))</f>
        <v>linkCategory1</v>
      </c>
      <c r="Q172" t="str">
        <f>IF(TableRelationships[[#This Row],[Rank Pedro]]="Low","Pink",IF(TableRelationships[[#This Row],[Rank Pedro]]="Medium","Purple",IF(TableRelationships[[#This Row],[Rank Pedro]]="High","Brown","")))</f>
        <v>Pink</v>
      </c>
      <c r="R172" s="4">
        <f>MAX(INDEX(Standards!$F$2:$F$296,MATCH(B172,Standards!$B$2:$B$296,0)),INDEX(Standards!$F$2:$F$296,MATCH(C172,Standards!$B$2:$B$296,0)))</f>
        <v>44819</v>
      </c>
      <c r="S172" t="str">
        <f t="shared" si="8"/>
        <v>#2f89d1</v>
      </c>
    </row>
    <row r="173" spans="1:19" x14ac:dyDescent="0.5">
      <c r="A173">
        <v>450</v>
      </c>
      <c r="B173" t="s">
        <v>228</v>
      </c>
      <c r="C173" t="s">
        <v>96</v>
      </c>
      <c r="D173">
        <f>INDEX(Standards!$A$2:$A$296,MATCH(B173,Standards!$B$2:$B$296,0))</f>
        <v>168</v>
      </c>
      <c r="E173">
        <f>INDEX(Standards!$A$2:$A$296,MATCH(C173,Standards!$B$2:$B$296,0))</f>
        <v>27</v>
      </c>
      <c r="F173" t="str">
        <f>INDEX(Standards!$N$2:$N$296,MATCH(B173,Standards!$B$2:$B$296,0))</f>
        <v>#70AD47</v>
      </c>
      <c r="G173" t="str">
        <f>INDEX(Standards!$N$2:$N$296,MATCH(C173,Standards!$B$2:$B$296,0))</f>
        <v>#70AD47</v>
      </c>
      <c r="H173" t="s">
        <v>521</v>
      </c>
      <c r="I173" t="s">
        <v>525</v>
      </c>
      <c r="J173" t="str">
        <f>INDEX(Standards!$H$2:$H$296,MATCH(B173,Standards!$B$2:$B$296,0))</f>
        <v>BIM</v>
      </c>
      <c r="K173" t="str">
        <f>INDEX(Standards!$H$2:$H$296,MATCH(C173,Standards!$B$2:$B$296,0))</f>
        <v>BIM</v>
      </c>
      <c r="L173" t="b">
        <f>AND(TableRelationships[[#This Row],[Source Type]]="BIM",TableRelationships[[#This Row],[Target Type]]="BIM")</f>
        <v>1</v>
      </c>
      <c r="M173">
        <f t="shared" si="6"/>
        <v>1</v>
      </c>
      <c r="N173" t="s">
        <v>523</v>
      </c>
      <c r="O173">
        <f t="shared" si="7"/>
        <v>10</v>
      </c>
      <c r="P173" t="str">
        <f>IF(TableRelationships[[#This Row],[Rank Pedro]]="Low","linkCategory1",IF(TableRelationships[[#This Row],[Rank Pedro]]="Medium","linkCategory2",IF(TableRelationships[[#This Row],[Rank Pedro]]="High","linkCategory3","")))</f>
        <v>linkCategory3</v>
      </c>
      <c r="Q173" t="str">
        <f>IF(TableRelationships[[#This Row],[Rank Pedro]]="Low","Pink",IF(TableRelationships[[#This Row],[Rank Pedro]]="Medium","Purple",IF(TableRelationships[[#This Row],[Rank Pedro]]="High","Brown","")))</f>
        <v>Brown</v>
      </c>
      <c r="R173" s="4">
        <f>MAX(INDEX(Standards!$F$2:$F$296,MATCH(B173,Standards!$B$2:$B$296,0)),INDEX(Standards!$F$2:$F$296,MATCH(C173,Standards!$B$2:$B$296,0)))</f>
        <v>44819</v>
      </c>
      <c r="S173" t="str">
        <f t="shared" si="8"/>
        <v>#2f89d1</v>
      </c>
    </row>
    <row r="174" spans="1:19" x14ac:dyDescent="0.5">
      <c r="A174">
        <v>456</v>
      </c>
      <c r="B174" t="s">
        <v>228</v>
      </c>
      <c r="C174" t="s">
        <v>283</v>
      </c>
      <c r="D174">
        <f>INDEX(Standards!$A$2:$A$296,MATCH(B174,Standards!$B$2:$B$296,0))</f>
        <v>168</v>
      </c>
      <c r="E174">
        <f>INDEX(Standards!$A$2:$A$296,MATCH(C174,Standards!$B$2:$B$296,0))</f>
        <v>111</v>
      </c>
      <c r="F174" t="str">
        <f>INDEX(Standards!$N$2:$N$296,MATCH(B174,Standards!$B$2:$B$296,0))</f>
        <v>#70AD47</v>
      </c>
      <c r="G174" t="str">
        <f>INDEX(Standards!$N$2:$N$296,MATCH(C174,Standards!$B$2:$B$296,0))</f>
        <v>#4472C4</v>
      </c>
      <c r="H174" t="s">
        <v>521</v>
      </c>
      <c r="I174" t="s">
        <v>525</v>
      </c>
      <c r="J174" t="str">
        <f>INDEX(Standards!$H$2:$H$296,MATCH(B174,Standards!$B$2:$B$296,0))</f>
        <v>BIM</v>
      </c>
      <c r="K174" t="str">
        <f>INDEX(Standards!$H$2:$H$296,MATCH(C174,Standards!$B$2:$B$296,0))</f>
        <v>Industrial Automation</v>
      </c>
      <c r="L174" t="b">
        <f>AND(TableRelationships[[#This Row],[Source Type]]="BIM",TableRelationships[[#This Row],[Target Type]]="BIM")</f>
        <v>0</v>
      </c>
      <c r="M174">
        <f t="shared" si="6"/>
        <v>1</v>
      </c>
      <c r="N174" t="s">
        <v>526</v>
      </c>
      <c r="O174">
        <f t="shared" si="7"/>
        <v>2</v>
      </c>
      <c r="P174" t="str">
        <f>IF(TableRelationships[[#This Row],[Rank Pedro]]="Low","linkCategory1",IF(TableRelationships[[#This Row],[Rank Pedro]]="Medium","linkCategory2",IF(TableRelationships[[#This Row],[Rank Pedro]]="High","linkCategory3","")))</f>
        <v>linkCategory1</v>
      </c>
      <c r="Q174" t="str">
        <f>IF(TableRelationships[[#This Row],[Rank Pedro]]="Low","Pink",IF(TableRelationships[[#This Row],[Rank Pedro]]="Medium","Purple",IF(TableRelationships[[#This Row],[Rank Pedro]]="High","Brown","")))</f>
        <v>Pink</v>
      </c>
      <c r="R174" s="4">
        <f>MAX(INDEX(Standards!$F$2:$F$296,MATCH(B174,Standards!$B$2:$B$296,0)),INDEX(Standards!$F$2:$F$296,MATCH(C174,Standards!$B$2:$B$296,0)))</f>
        <v>44819</v>
      </c>
      <c r="S174" t="str">
        <f t="shared" si="8"/>
        <v>#2f89d1</v>
      </c>
    </row>
    <row r="175" spans="1:19" x14ac:dyDescent="0.5">
      <c r="A175">
        <v>452</v>
      </c>
      <c r="B175" t="s">
        <v>228</v>
      </c>
      <c r="C175" t="s">
        <v>144</v>
      </c>
      <c r="D175">
        <f>INDEX(Standards!$A$2:$A$296,MATCH(B175,Standards!$B$2:$B$296,0))</f>
        <v>168</v>
      </c>
      <c r="E175">
        <f>INDEX(Standards!$A$2:$A$296,MATCH(C175,Standards!$B$2:$B$296,0))</f>
        <v>8</v>
      </c>
      <c r="F175" t="str">
        <f>INDEX(Standards!$N$2:$N$296,MATCH(B175,Standards!$B$2:$B$296,0))</f>
        <v>#70AD47</v>
      </c>
      <c r="G175" t="str">
        <f>INDEX(Standards!$N$2:$N$296,MATCH(C175,Standards!$B$2:$B$296,0))</f>
        <v>#70AD47</v>
      </c>
      <c r="H175" t="s">
        <v>521</v>
      </c>
      <c r="I175" t="s">
        <v>525</v>
      </c>
      <c r="J175" t="str">
        <f>INDEX(Standards!$H$2:$H$296,MATCH(B175,Standards!$B$2:$B$296,0))</f>
        <v>BIM</v>
      </c>
      <c r="K175" t="str">
        <f>INDEX(Standards!$H$2:$H$296,MATCH(C175,Standards!$B$2:$B$296,0))</f>
        <v>BIM</v>
      </c>
      <c r="L175" t="b">
        <f>AND(TableRelationships[[#This Row],[Source Type]]="BIM",TableRelationships[[#This Row],[Target Type]]="BIM")</f>
        <v>1</v>
      </c>
      <c r="M175">
        <f t="shared" si="6"/>
        <v>1</v>
      </c>
      <c r="N175" t="s">
        <v>526</v>
      </c>
      <c r="O175">
        <f t="shared" si="7"/>
        <v>2</v>
      </c>
      <c r="P175" t="str">
        <f>IF(TableRelationships[[#This Row],[Rank Pedro]]="Low","linkCategory1",IF(TableRelationships[[#This Row],[Rank Pedro]]="Medium","linkCategory2",IF(TableRelationships[[#This Row],[Rank Pedro]]="High","linkCategory3","")))</f>
        <v>linkCategory1</v>
      </c>
      <c r="Q175" t="str">
        <f>IF(TableRelationships[[#This Row],[Rank Pedro]]="Low","Pink",IF(TableRelationships[[#This Row],[Rank Pedro]]="Medium","Purple",IF(TableRelationships[[#This Row],[Rank Pedro]]="High","Brown","")))</f>
        <v>Pink</v>
      </c>
      <c r="R175" s="4">
        <f>MAX(INDEX(Standards!$F$2:$F$296,MATCH(B175,Standards!$B$2:$B$296,0)),INDEX(Standards!$F$2:$F$296,MATCH(C175,Standards!$B$2:$B$296,0)))</f>
        <v>44819</v>
      </c>
      <c r="S175" t="str">
        <f t="shared" si="8"/>
        <v>#2f89d1</v>
      </c>
    </row>
    <row r="176" spans="1:19" x14ac:dyDescent="0.5">
      <c r="A176">
        <v>458</v>
      </c>
      <c r="B176" t="s">
        <v>228</v>
      </c>
      <c r="C176" t="s">
        <v>394</v>
      </c>
      <c r="D176">
        <f>INDEX(Standards!$A$2:$A$296,MATCH(B176,Standards!$B$2:$B$296,0))</f>
        <v>168</v>
      </c>
      <c r="E176">
        <f>INDEX(Standards!$A$2:$A$296,MATCH(C176,Standards!$B$2:$B$296,0))</f>
        <v>172</v>
      </c>
      <c r="F176" t="str">
        <f>INDEX(Standards!$N$2:$N$296,MATCH(B176,Standards!$B$2:$B$296,0))</f>
        <v>#70AD47</v>
      </c>
      <c r="G176" t="str">
        <f>INDEX(Standards!$N$2:$N$296,MATCH(C176,Standards!$B$2:$B$296,0))</f>
        <v>#7030A0</v>
      </c>
      <c r="H176" t="s">
        <v>521</v>
      </c>
      <c r="I176" t="s">
        <v>525</v>
      </c>
      <c r="J176" t="str">
        <f>INDEX(Standards!$H$2:$H$296,MATCH(B176,Standards!$B$2:$B$296,0))</f>
        <v>BIM</v>
      </c>
      <c r="K176" t="str">
        <f>INDEX(Standards!$H$2:$H$296,MATCH(C176,Standards!$B$2:$B$296,0))</f>
        <v>ICT</v>
      </c>
      <c r="L176" t="b">
        <f>AND(TableRelationships[[#This Row],[Source Type]]="BIM",TableRelationships[[#This Row],[Target Type]]="BIM")</f>
        <v>0</v>
      </c>
      <c r="M176">
        <f t="shared" si="6"/>
        <v>1</v>
      </c>
      <c r="N176" t="s">
        <v>526</v>
      </c>
      <c r="O176">
        <f t="shared" si="7"/>
        <v>2</v>
      </c>
      <c r="P176" t="str">
        <f>IF(TableRelationships[[#This Row],[Rank Pedro]]="Low","linkCategory1",IF(TableRelationships[[#This Row],[Rank Pedro]]="Medium","linkCategory2",IF(TableRelationships[[#This Row],[Rank Pedro]]="High","linkCategory3","")))</f>
        <v>linkCategory1</v>
      </c>
      <c r="Q176" t="str">
        <f>IF(TableRelationships[[#This Row],[Rank Pedro]]="Low","Pink",IF(TableRelationships[[#This Row],[Rank Pedro]]="Medium","Purple",IF(TableRelationships[[#This Row],[Rank Pedro]]="High","Brown","")))</f>
        <v>Pink</v>
      </c>
      <c r="R176" s="4">
        <f>MAX(INDEX(Standards!$F$2:$F$296,MATCH(B176,Standards!$B$2:$B$296,0)),INDEX(Standards!$F$2:$F$296,MATCH(C176,Standards!$B$2:$B$296,0)))</f>
        <v>44819</v>
      </c>
      <c r="S176" t="str">
        <f t="shared" si="8"/>
        <v>#2f89d1</v>
      </c>
    </row>
    <row r="177" spans="1:19" x14ac:dyDescent="0.5">
      <c r="A177">
        <v>455</v>
      </c>
      <c r="B177" t="s">
        <v>228</v>
      </c>
      <c r="C177" t="s">
        <v>334</v>
      </c>
      <c r="D177">
        <f>INDEX(Standards!$A$2:$A$296,MATCH(B177,Standards!$B$2:$B$296,0))</f>
        <v>168</v>
      </c>
      <c r="E177">
        <f>INDEX(Standards!$A$2:$A$296,MATCH(C177,Standards!$B$2:$B$296,0))</f>
        <v>136</v>
      </c>
      <c r="F177" t="str">
        <f>INDEX(Standards!$N$2:$N$296,MATCH(B177,Standards!$B$2:$B$296,0))</f>
        <v>#70AD47</v>
      </c>
      <c r="G177" t="str">
        <f>INDEX(Standards!$N$2:$N$296,MATCH(C177,Standards!$B$2:$B$296,0))</f>
        <v>#9BC2E6</v>
      </c>
      <c r="H177" t="s">
        <v>521</v>
      </c>
      <c r="I177" t="s">
        <v>525</v>
      </c>
      <c r="J177" t="str">
        <f>INDEX(Standards!$H$2:$H$296,MATCH(B177,Standards!$B$2:$B$296,0))</f>
        <v>BIM</v>
      </c>
      <c r="K177" t="str">
        <f>INDEX(Standards!$H$2:$H$296,MATCH(C177,Standards!$B$2:$B$296,0))</f>
        <v>GIS</v>
      </c>
      <c r="L177" t="b">
        <f>AND(TableRelationships[[#This Row],[Source Type]]="BIM",TableRelationships[[#This Row],[Target Type]]="BIM")</f>
        <v>0</v>
      </c>
      <c r="M177">
        <f t="shared" si="6"/>
        <v>1</v>
      </c>
      <c r="N177" t="s">
        <v>526</v>
      </c>
      <c r="O177">
        <f t="shared" si="7"/>
        <v>2</v>
      </c>
      <c r="P177" t="str">
        <f>IF(TableRelationships[[#This Row],[Rank Pedro]]="Low","linkCategory1",IF(TableRelationships[[#This Row],[Rank Pedro]]="Medium","linkCategory2",IF(TableRelationships[[#This Row],[Rank Pedro]]="High","linkCategory3","")))</f>
        <v>linkCategory1</v>
      </c>
      <c r="Q177" t="str">
        <f>IF(TableRelationships[[#This Row],[Rank Pedro]]="Low","Pink",IF(TableRelationships[[#This Row],[Rank Pedro]]="Medium","Purple",IF(TableRelationships[[#This Row],[Rank Pedro]]="High","Brown","")))</f>
        <v>Pink</v>
      </c>
      <c r="R177" s="4">
        <f>MAX(INDEX(Standards!$F$2:$F$296,MATCH(B177,Standards!$B$2:$B$296,0)),INDEX(Standards!$F$2:$F$296,MATCH(C177,Standards!$B$2:$B$296,0)))</f>
        <v>44819</v>
      </c>
      <c r="S177" t="str">
        <f t="shared" si="8"/>
        <v>#2f89d1</v>
      </c>
    </row>
    <row r="178" spans="1:19" x14ac:dyDescent="0.5">
      <c r="A178">
        <v>445</v>
      </c>
      <c r="B178" t="s">
        <v>228</v>
      </c>
      <c r="C178" t="s">
        <v>210</v>
      </c>
      <c r="D178">
        <f>INDEX(Standards!$A$2:$A$296,MATCH(B178,Standards!$B$2:$B$296,0))</f>
        <v>168</v>
      </c>
      <c r="E178">
        <f>INDEX(Standards!$A$2:$A$296,MATCH(C178,Standards!$B$2:$B$296,0))</f>
        <v>9</v>
      </c>
      <c r="F178" t="str">
        <f>INDEX(Standards!$N$2:$N$296,MATCH(B178,Standards!$B$2:$B$296,0))</f>
        <v>#70AD47</v>
      </c>
      <c r="G178" t="str">
        <f>INDEX(Standards!$N$2:$N$296,MATCH(C178,Standards!$B$2:$B$296,0))</f>
        <v>#70AD47</v>
      </c>
      <c r="H178" t="s">
        <v>521</v>
      </c>
      <c r="I178" t="s">
        <v>524</v>
      </c>
      <c r="J178" t="str">
        <f>INDEX(Standards!$H$2:$H$296,MATCH(B178,Standards!$B$2:$B$296,0))</f>
        <v>BIM</v>
      </c>
      <c r="K178" t="str">
        <f>INDEX(Standards!$H$2:$H$296,MATCH(C178,Standards!$B$2:$B$296,0))</f>
        <v>BIM</v>
      </c>
      <c r="L178" t="b">
        <f>AND(TableRelationships[[#This Row],[Source Type]]="BIM",TableRelationships[[#This Row],[Target Type]]="BIM")</f>
        <v>1</v>
      </c>
      <c r="M178">
        <f t="shared" si="6"/>
        <v>6</v>
      </c>
      <c r="N178" t="s">
        <v>523</v>
      </c>
      <c r="O178">
        <f t="shared" si="7"/>
        <v>10</v>
      </c>
      <c r="P178" t="str">
        <f>IF(TableRelationships[[#This Row],[Rank Pedro]]="Low","linkCategory1",IF(TableRelationships[[#This Row],[Rank Pedro]]="Medium","linkCategory2",IF(TableRelationships[[#This Row],[Rank Pedro]]="High","linkCategory3","")))</f>
        <v>linkCategory3</v>
      </c>
      <c r="Q178" t="str">
        <f>IF(TableRelationships[[#This Row],[Rank Pedro]]="Low","Pink",IF(TableRelationships[[#This Row],[Rank Pedro]]="Medium","Purple",IF(TableRelationships[[#This Row],[Rank Pedro]]="High","Brown","")))</f>
        <v>Brown</v>
      </c>
      <c r="R178" s="4">
        <f>MAX(INDEX(Standards!$F$2:$F$296,MATCH(B178,Standards!$B$2:$B$296,0)),INDEX(Standards!$F$2:$F$296,MATCH(C178,Standards!$B$2:$B$296,0)))</f>
        <v>44819</v>
      </c>
      <c r="S178" t="str">
        <f t="shared" si="8"/>
        <v>#d6bf2a</v>
      </c>
    </row>
    <row r="179" spans="1:19" x14ac:dyDescent="0.5">
      <c r="A179">
        <v>446</v>
      </c>
      <c r="B179" t="s">
        <v>228</v>
      </c>
      <c r="C179" t="s">
        <v>214</v>
      </c>
      <c r="D179">
        <f>INDEX(Standards!$A$2:$A$296,MATCH(B179,Standards!$B$2:$B$296,0))</f>
        <v>168</v>
      </c>
      <c r="E179">
        <f>INDEX(Standards!$A$2:$A$296,MATCH(C179,Standards!$B$2:$B$296,0))</f>
        <v>10</v>
      </c>
      <c r="F179" t="str">
        <f>INDEX(Standards!$N$2:$N$296,MATCH(B179,Standards!$B$2:$B$296,0))</f>
        <v>#70AD47</v>
      </c>
      <c r="G179" t="str">
        <f>INDEX(Standards!$N$2:$N$296,MATCH(C179,Standards!$B$2:$B$296,0))</f>
        <v>#70AD47</v>
      </c>
      <c r="H179" t="s">
        <v>521</v>
      </c>
      <c r="I179" t="s">
        <v>524</v>
      </c>
      <c r="J179" t="str">
        <f>INDEX(Standards!$H$2:$H$296,MATCH(B179,Standards!$B$2:$B$296,0))</f>
        <v>BIM</v>
      </c>
      <c r="K179" t="str">
        <f>INDEX(Standards!$H$2:$H$296,MATCH(C179,Standards!$B$2:$B$296,0))</f>
        <v>BIM</v>
      </c>
      <c r="L179" t="b">
        <f>AND(TableRelationships[[#This Row],[Source Type]]="BIM",TableRelationships[[#This Row],[Target Type]]="BIM")</f>
        <v>1</v>
      </c>
      <c r="M179">
        <f t="shared" si="6"/>
        <v>6</v>
      </c>
      <c r="N179" t="s">
        <v>523</v>
      </c>
      <c r="O179">
        <f t="shared" si="7"/>
        <v>10</v>
      </c>
      <c r="P179" t="str">
        <f>IF(TableRelationships[[#This Row],[Rank Pedro]]="Low","linkCategory1",IF(TableRelationships[[#This Row],[Rank Pedro]]="Medium","linkCategory2",IF(TableRelationships[[#This Row],[Rank Pedro]]="High","linkCategory3","")))</f>
        <v>linkCategory3</v>
      </c>
      <c r="Q179" t="str">
        <f>IF(TableRelationships[[#This Row],[Rank Pedro]]="Low","Pink",IF(TableRelationships[[#This Row],[Rank Pedro]]="Medium","Purple",IF(TableRelationships[[#This Row],[Rank Pedro]]="High","Brown","")))</f>
        <v>Brown</v>
      </c>
      <c r="R179" s="4">
        <f>MAX(INDEX(Standards!$F$2:$F$296,MATCH(B179,Standards!$B$2:$B$296,0)),INDEX(Standards!$F$2:$F$296,MATCH(C179,Standards!$B$2:$B$296,0)))</f>
        <v>44819</v>
      </c>
      <c r="S179" t="str">
        <f t="shared" si="8"/>
        <v>#d6bf2a</v>
      </c>
    </row>
    <row r="180" spans="1:19" x14ac:dyDescent="0.5">
      <c r="A180">
        <v>447</v>
      </c>
      <c r="B180" t="s">
        <v>228</v>
      </c>
      <c r="C180" t="s">
        <v>224</v>
      </c>
      <c r="D180">
        <f>INDEX(Standards!$A$2:$A$296,MATCH(B180,Standards!$B$2:$B$296,0))</f>
        <v>168</v>
      </c>
      <c r="E180">
        <f>INDEX(Standards!$A$2:$A$296,MATCH(C180,Standards!$B$2:$B$296,0))</f>
        <v>11</v>
      </c>
      <c r="F180" t="str">
        <f>INDEX(Standards!$N$2:$N$296,MATCH(B180,Standards!$B$2:$B$296,0))</f>
        <v>#70AD47</v>
      </c>
      <c r="G180" t="str">
        <f>INDEX(Standards!$N$2:$N$296,MATCH(C180,Standards!$B$2:$B$296,0))</f>
        <v>#70AD47</v>
      </c>
      <c r="H180" t="s">
        <v>521</v>
      </c>
      <c r="I180" t="s">
        <v>524</v>
      </c>
      <c r="J180" t="str">
        <f>INDEX(Standards!$H$2:$H$296,MATCH(B180,Standards!$B$2:$B$296,0))</f>
        <v>BIM</v>
      </c>
      <c r="K180" t="str">
        <f>INDEX(Standards!$H$2:$H$296,MATCH(C180,Standards!$B$2:$B$296,0))</f>
        <v>BIM</v>
      </c>
      <c r="L180" t="b">
        <f>AND(TableRelationships[[#This Row],[Source Type]]="BIM",TableRelationships[[#This Row],[Target Type]]="BIM")</f>
        <v>1</v>
      </c>
      <c r="M180">
        <f t="shared" si="6"/>
        <v>6</v>
      </c>
      <c r="N180" t="s">
        <v>523</v>
      </c>
      <c r="O180">
        <f t="shared" si="7"/>
        <v>10</v>
      </c>
      <c r="P180" t="str">
        <f>IF(TableRelationships[[#This Row],[Rank Pedro]]="Low","linkCategory1",IF(TableRelationships[[#This Row],[Rank Pedro]]="Medium","linkCategory2",IF(TableRelationships[[#This Row],[Rank Pedro]]="High","linkCategory3","")))</f>
        <v>linkCategory3</v>
      </c>
      <c r="Q180" t="str">
        <f>IF(TableRelationships[[#This Row],[Rank Pedro]]="Low","Pink",IF(TableRelationships[[#This Row],[Rank Pedro]]="Medium","Purple",IF(TableRelationships[[#This Row],[Rank Pedro]]="High","Brown","")))</f>
        <v>Brown</v>
      </c>
      <c r="R180" s="4">
        <f>MAX(INDEX(Standards!$F$2:$F$296,MATCH(B180,Standards!$B$2:$B$296,0)),INDEX(Standards!$F$2:$F$296,MATCH(C180,Standards!$B$2:$B$296,0)))</f>
        <v>44819</v>
      </c>
      <c r="S180" t="str">
        <f t="shared" si="8"/>
        <v>#d6bf2a</v>
      </c>
    </row>
    <row r="181" spans="1:19" x14ac:dyDescent="0.5">
      <c r="A181">
        <v>448</v>
      </c>
      <c r="B181" t="s">
        <v>228</v>
      </c>
      <c r="C181" t="s">
        <v>232</v>
      </c>
      <c r="D181">
        <f>INDEX(Standards!$A$2:$A$296,MATCH(B181,Standards!$B$2:$B$296,0))</f>
        <v>168</v>
      </c>
      <c r="E181">
        <f>INDEX(Standards!$A$2:$A$296,MATCH(C181,Standards!$B$2:$B$296,0))</f>
        <v>13</v>
      </c>
      <c r="F181" t="str">
        <f>INDEX(Standards!$N$2:$N$296,MATCH(B181,Standards!$B$2:$B$296,0))</f>
        <v>#70AD47</v>
      </c>
      <c r="G181" t="str">
        <f>INDEX(Standards!$N$2:$N$296,MATCH(C181,Standards!$B$2:$B$296,0))</f>
        <v>#70AD47</v>
      </c>
      <c r="H181" t="s">
        <v>521</v>
      </c>
      <c r="I181" t="s">
        <v>524</v>
      </c>
      <c r="J181" t="str">
        <f>INDEX(Standards!$H$2:$H$296,MATCH(B181,Standards!$B$2:$B$296,0))</f>
        <v>BIM</v>
      </c>
      <c r="K181" t="str">
        <f>INDEX(Standards!$H$2:$H$296,MATCH(C181,Standards!$B$2:$B$296,0))</f>
        <v>BIM</v>
      </c>
      <c r="L181" t="b">
        <f>AND(TableRelationships[[#This Row],[Source Type]]="BIM",TableRelationships[[#This Row],[Target Type]]="BIM")</f>
        <v>1</v>
      </c>
      <c r="M181">
        <f t="shared" si="6"/>
        <v>6</v>
      </c>
      <c r="N181" t="s">
        <v>523</v>
      </c>
      <c r="O181">
        <f t="shared" si="7"/>
        <v>10</v>
      </c>
      <c r="P181" t="str">
        <f>IF(TableRelationships[[#This Row],[Rank Pedro]]="Low","linkCategory1",IF(TableRelationships[[#This Row],[Rank Pedro]]="Medium","linkCategory2",IF(TableRelationships[[#This Row],[Rank Pedro]]="High","linkCategory3","")))</f>
        <v>linkCategory3</v>
      </c>
      <c r="Q181" t="str">
        <f>IF(TableRelationships[[#This Row],[Rank Pedro]]="Low","Pink",IF(TableRelationships[[#This Row],[Rank Pedro]]="Medium","Purple",IF(TableRelationships[[#This Row],[Rank Pedro]]="High","Brown","")))</f>
        <v>Brown</v>
      </c>
      <c r="R181" s="4">
        <f>MAX(INDEX(Standards!$F$2:$F$296,MATCH(B181,Standards!$B$2:$B$296,0)),INDEX(Standards!$F$2:$F$296,MATCH(C181,Standards!$B$2:$B$296,0)))</f>
        <v>44819</v>
      </c>
      <c r="S181" t="str">
        <f t="shared" si="8"/>
        <v>#d6bf2a</v>
      </c>
    </row>
    <row r="182" spans="1:19" x14ac:dyDescent="0.5">
      <c r="A182">
        <v>463</v>
      </c>
      <c r="B182" t="s">
        <v>228</v>
      </c>
      <c r="C182" t="s">
        <v>245</v>
      </c>
      <c r="D182">
        <f>INDEX(Standards!$A$2:$A$296,MATCH(B182,Standards!$B$2:$B$296,0))</f>
        <v>168</v>
      </c>
      <c r="E182">
        <f>INDEX(Standards!$A$2:$A$296,MATCH(C182,Standards!$B$2:$B$296,0))</f>
        <v>3</v>
      </c>
      <c r="F182" t="str">
        <f>INDEX(Standards!$N$2:$N$296,MATCH(B182,Standards!$B$2:$B$296,0))</f>
        <v>#70AD47</v>
      </c>
      <c r="G182" t="str">
        <f>INDEX(Standards!$N$2:$N$296,MATCH(C182,Standards!$B$2:$B$296,0))</f>
        <v>#70AD47</v>
      </c>
      <c r="H182" t="s">
        <v>521</v>
      </c>
      <c r="I182" t="s">
        <v>525</v>
      </c>
      <c r="J182" t="str">
        <f>INDEX(Standards!$H$2:$H$296,MATCH(B182,Standards!$B$2:$B$296,0))</f>
        <v>BIM</v>
      </c>
      <c r="K182" t="str">
        <f>INDEX(Standards!$H$2:$H$296,MATCH(C182,Standards!$B$2:$B$296,0))</f>
        <v>BIM</v>
      </c>
      <c r="L182" t="b">
        <f>AND(TableRelationships[[#This Row],[Source Type]]="BIM",TableRelationships[[#This Row],[Target Type]]="BIM")</f>
        <v>1</v>
      </c>
      <c r="M182">
        <f t="shared" si="6"/>
        <v>1</v>
      </c>
      <c r="N182" t="s">
        <v>526</v>
      </c>
      <c r="O182">
        <f t="shared" si="7"/>
        <v>2</v>
      </c>
      <c r="P182" t="str">
        <f>IF(TableRelationships[[#This Row],[Rank Pedro]]="Low","linkCategory1",IF(TableRelationships[[#This Row],[Rank Pedro]]="Medium","linkCategory2",IF(TableRelationships[[#This Row],[Rank Pedro]]="High","linkCategory3","")))</f>
        <v>linkCategory1</v>
      </c>
      <c r="Q182" t="str">
        <f>IF(TableRelationships[[#This Row],[Rank Pedro]]="Low","Pink",IF(TableRelationships[[#This Row],[Rank Pedro]]="Medium","Purple",IF(TableRelationships[[#This Row],[Rank Pedro]]="High","Brown","")))</f>
        <v>Pink</v>
      </c>
      <c r="R182" s="4">
        <f>MAX(INDEX(Standards!$F$2:$F$296,MATCH(B182,Standards!$B$2:$B$296,0)),INDEX(Standards!$F$2:$F$296,MATCH(C182,Standards!$B$2:$B$296,0)))</f>
        <v>44819</v>
      </c>
      <c r="S182" t="str">
        <f t="shared" si="8"/>
        <v>#2f89d1</v>
      </c>
    </row>
    <row r="183" spans="1:19" x14ac:dyDescent="0.5">
      <c r="A183">
        <v>464</v>
      </c>
      <c r="B183" t="s">
        <v>228</v>
      </c>
      <c r="C183" t="s">
        <v>250</v>
      </c>
      <c r="D183">
        <f>INDEX(Standards!$A$2:$A$296,MATCH(B183,Standards!$B$2:$B$296,0))</f>
        <v>168</v>
      </c>
      <c r="E183">
        <f>INDEX(Standards!$A$2:$A$296,MATCH(C183,Standards!$B$2:$B$296,0))</f>
        <v>4</v>
      </c>
      <c r="F183" t="str">
        <f>INDEX(Standards!$N$2:$N$296,MATCH(B183,Standards!$B$2:$B$296,0))</f>
        <v>#70AD47</v>
      </c>
      <c r="G183" t="str">
        <f>INDEX(Standards!$N$2:$N$296,MATCH(C183,Standards!$B$2:$B$296,0))</f>
        <v>#70AD47</v>
      </c>
      <c r="H183" t="s">
        <v>521</v>
      </c>
      <c r="I183" t="s">
        <v>525</v>
      </c>
      <c r="J183" t="str">
        <f>INDEX(Standards!$H$2:$H$296,MATCH(B183,Standards!$B$2:$B$296,0))</f>
        <v>BIM</v>
      </c>
      <c r="K183" t="str">
        <f>INDEX(Standards!$H$2:$H$296,MATCH(C183,Standards!$B$2:$B$296,0))</f>
        <v>BIM</v>
      </c>
      <c r="L183" t="b">
        <f>AND(TableRelationships[[#This Row],[Source Type]]="BIM",TableRelationships[[#This Row],[Target Type]]="BIM")</f>
        <v>1</v>
      </c>
      <c r="M183">
        <f t="shared" si="6"/>
        <v>1</v>
      </c>
      <c r="N183" t="s">
        <v>528</v>
      </c>
      <c r="O183">
        <f t="shared" si="7"/>
        <v>6</v>
      </c>
      <c r="P183" t="str">
        <f>IF(TableRelationships[[#This Row],[Rank Pedro]]="Low","linkCategory1",IF(TableRelationships[[#This Row],[Rank Pedro]]="Medium","linkCategory2",IF(TableRelationships[[#This Row],[Rank Pedro]]="High","linkCategory3","")))</f>
        <v>linkCategory2</v>
      </c>
      <c r="Q183" t="str">
        <f>IF(TableRelationships[[#This Row],[Rank Pedro]]="Low","Pink",IF(TableRelationships[[#This Row],[Rank Pedro]]="Medium","Purple",IF(TableRelationships[[#This Row],[Rank Pedro]]="High","Brown","")))</f>
        <v>Purple</v>
      </c>
      <c r="R183" s="4">
        <f>MAX(INDEX(Standards!$F$2:$F$296,MATCH(B183,Standards!$B$2:$B$296,0)),INDEX(Standards!$F$2:$F$296,MATCH(C183,Standards!$B$2:$B$296,0)))</f>
        <v>44819</v>
      </c>
      <c r="S183" t="str">
        <f t="shared" si="8"/>
        <v>#2f89d1</v>
      </c>
    </row>
    <row r="184" spans="1:19" x14ac:dyDescent="0.5">
      <c r="A184">
        <v>451</v>
      </c>
      <c r="B184" t="s">
        <v>228</v>
      </c>
      <c r="C184" t="s">
        <v>408</v>
      </c>
      <c r="D184">
        <f>INDEX(Standards!$A$2:$A$296,MATCH(B184,Standards!$B$2:$B$296,0))</f>
        <v>168</v>
      </c>
      <c r="E184">
        <f>INDEX(Standards!$A$2:$A$296,MATCH(C184,Standards!$B$2:$B$296,0))</f>
        <v>16</v>
      </c>
      <c r="F184" t="str">
        <f>INDEX(Standards!$N$2:$N$296,MATCH(B184,Standards!$B$2:$B$296,0))</f>
        <v>#70AD47</v>
      </c>
      <c r="G184" t="str">
        <f>INDEX(Standards!$N$2:$N$296,MATCH(C184,Standards!$B$2:$B$296,0))</f>
        <v>#70AD47</v>
      </c>
      <c r="H184" t="s">
        <v>521</v>
      </c>
      <c r="I184" t="s">
        <v>525</v>
      </c>
      <c r="J184" t="str">
        <f>INDEX(Standards!$H$2:$H$296,MATCH(B184,Standards!$B$2:$B$296,0))</f>
        <v>BIM</v>
      </c>
      <c r="K184" t="str">
        <f>INDEX(Standards!$H$2:$H$296,MATCH(C184,Standards!$B$2:$B$296,0))</f>
        <v>BIM</v>
      </c>
      <c r="L184" t="b">
        <f>AND(TableRelationships[[#This Row],[Source Type]]="BIM",TableRelationships[[#This Row],[Target Type]]="BIM")</f>
        <v>1</v>
      </c>
      <c r="M184">
        <f t="shared" si="6"/>
        <v>1</v>
      </c>
      <c r="N184" t="s">
        <v>523</v>
      </c>
      <c r="O184">
        <f t="shared" si="7"/>
        <v>10</v>
      </c>
      <c r="P184" t="str">
        <f>IF(TableRelationships[[#This Row],[Rank Pedro]]="Low","linkCategory1",IF(TableRelationships[[#This Row],[Rank Pedro]]="Medium","linkCategory2",IF(TableRelationships[[#This Row],[Rank Pedro]]="High","linkCategory3","")))</f>
        <v>linkCategory3</v>
      </c>
      <c r="Q184" t="str">
        <f>IF(TableRelationships[[#This Row],[Rank Pedro]]="Low","Pink",IF(TableRelationships[[#This Row],[Rank Pedro]]="Medium","Purple",IF(TableRelationships[[#This Row],[Rank Pedro]]="High","Brown","")))</f>
        <v>Brown</v>
      </c>
      <c r="R184" s="4">
        <f>MAX(INDEX(Standards!$F$2:$F$296,MATCH(B184,Standards!$B$2:$B$296,0)),INDEX(Standards!$F$2:$F$296,MATCH(C184,Standards!$B$2:$B$296,0)))</f>
        <v>44819</v>
      </c>
      <c r="S184" t="str">
        <f t="shared" si="8"/>
        <v>#2f89d1</v>
      </c>
    </row>
    <row r="185" spans="1:19" x14ac:dyDescent="0.5">
      <c r="A185">
        <v>466</v>
      </c>
      <c r="B185" t="s">
        <v>228</v>
      </c>
      <c r="C185" t="s">
        <v>77</v>
      </c>
      <c r="D185">
        <f>INDEX(Standards!$A$2:$A$296,MATCH(B185,Standards!$B$2:$B$296,0))</f>
        <v>168</v>
      </c>
      <c r="E185">
        <f>INDEX(Standards!$A$2:$A$296,MATCH(C185,Standards!$B$2:$B$296,0))</f>
        <v>19</v>
      </c>
      <c r="F185" t="str">
        <f>INDEX(Standards!$N$2:$N$296,MATCH(B185,Standards!$B$2:$B$296,0))</f>
        <v>#70AD47</v>
      </c>
      <c r="G185" t="str">
        <f>INDEX(Standards!$N$2:$N$296,MATCH(C185,Standards!$B$2:$B$296,0))</f>
        <v>#ED7D31</v>
      </c>
      <c r="H185" t="s">
        <v>521</v>
      </c>
      <c r="I185" t="s">
        <v>524</v>
      </c>
      <c r="J185" t="str">
        <f>INDEX(Standards!$H$2:$H$296,MATCH(B185,Standards!$B$2:$B$296,0))</f>
        <v>BIM</v>
      </c>
      <c r="K185" t="str">
        <f>INDEX(Standards!$H$2:$H$296,MATCH(C185,Standards!$B$2:$B$296,0))</f>
        <v>Construction</v>
      </c>
      <c r="L185" t="b">
        <f>AND(TableRelationships[[#This Row],[Source Type]]="BIM",TableRelationships[[#This Row],[Target Type]]="BIM")</f>
        <v>0</v>
      </c>
      <c r="M185">
        <f t="shared" si="6"/>
        <v>6</v>
      </c>
      <c r="N185" t="s">
        <v>526</v>
      </c>
      <c r="O185">
        <f t="shared" si="7"/>
        <v>2</v>
      </c>
      <c r="P185" t="str">
        <f>IF(TableRelationships[[#This Row],[Rank Pedro]]="Low","linkCategory1",IF(TableRelationships[[#This Row],[Rank Pedro]]="Medium","linkCategory2",IF(TableRelationships[[#This Row],[Rank Pedro]]="High","linkCategory3","")))</f>
        <v>linkCategory1</v>
      </c>
      <c r="Q185" t="str">
        <f>IF(TableRelationships[[#This Row],[Rank Pedro]]="Low","Pink",IF(TableRelationships[[#This Row],[Rank Pedro]]="Medium","Purple",IF(TableRelationships[[#This Row],[Rank Pedro]]="High","Brown","")))</f>
        <v>Pink</v>
      </c>
      <c r="R185" s="4">
        <f>MAX(INDEX(Standards!$F$2:$F$296,MATCH(B185,Standards!$B$2:$B$296,0)),INDEX(Standards!$F$2:$F$296,MATCH(C185,Standards!$B$2:$B$296,0)))</f>
        <v>44819</v>
      </c>
      <c r="S185" t="str">
        <f t="shared" si="8"/>
        <v>#d6bf2a</v>
      </c>
    </row>
    <row r="186" spans="1:19" x14ac:dyDescent="0.5">
      <c r="A186">
        <v>467</v>
      </c>
      <c r="B186" t="s">
        <v>228</v>
      </c>
      <c r="C186" t="s">
        <v>80</v>
      </c>
      <c r="D186">
        <f>INDEX(Standards!$A$2:$A$296,MATCH(B186,Standards!$B$2:$B$296,0))</f>
        <v>168</v>
      </c>
      <c r="E186">
        <f>INDEX(Standards!$A$2:$A$296,MATCH(C186,Standards!$B$2:$B$296,0))</f>
        <v>20</v>
      </c>
      <c r="F186" t="str">
        <f>INDEX(Standards!$N$2:$N$296,MATCH(B186,Standards!$B$2:$B$296,0))</f>
        <v>#70AD47</v>
      </c>
      <c r="G186" t="str">
        <f>INDEX(Standards!$N$2:$N$296,MATCH(C186,Standards!$B$2:$B$296,0))</f>
        <v>#ED7D31</v>
      </c>
      <c r="H186" t="s">
        <v>521</v>
      </c>
      <c r="I186" t="s">
        <v>524</v>
      </c>
      <c r="J186" t="str">
        <f>INDEX(Standards!$H$2:$H$296,MATCH(B186,Standards!$B$2:$B$296,0))</f>
        <v>BIM</v>
      </c>
      <c r="K186" t="str">
        <f>INDEX(Standards!$H$2:$H$296,MATCH(C186,Standards!$B$2:$B$296,0))</f>
        <v>Construction</v>
      </c>
      <c r="L186" t="b">
        <f>AND(TableRelationships[[#This Row],[Source Type]]="BIM",TableRelationships[[#This Row],[Target Type]]="BIM")</f>
        <v>0</v>
      </c>
      <c r="M186">
        <f t="shared" si="6"/>
        <v>6</v>
      </c>
      <c r="N186" t="s">
        <v>526</v>
      </c>
      <c r="O186">
        <f t="shared" si="7"/>
        <v>2</v>
      </c>
      <c r="P186" t="str">
        <f>IF(TableRelationships[[#This Row],[Rank Pedro]]="Low","linkCategory1",IF(TableRelationships[[#This Row],[Rank Pedro]]="Medium","linkCategory2",IF(TableRelationships[[#This Row],[Rank Pedro]]="High","linkCategory3","")))</f>
        <v>linkCategory1</v>
      </c>
      <c r="Q186" t="str">
        <f>IF(TableRelationships[[#This Row],[Rank Pedro]]="Low","Pink",IF(TableRelationships[[#This Row],[Rank Pedro]]="Medium","Purple",IF(TableRelationships[[#This Row],[Rank Pedro]]="High","Brown","")))</f>
        <v>Pink</v>
      </c>
      <c r="R186" s="4">
        <f>MAX(INDEX(Standards!$F$2:$F$296,MATCH(B186,Standards!$B$2:$B$296,0)),INDEX(Standards!$F$2:$F$296,MATCH(C186,Standards!$B$2:$B$296,0)))</f>
        <v>44819</v>
      </c>
      <c r="S186" t="str">
        <f t="shared" si="8"/>
        <v>#d6bf2a</v>
      </c>
    </row>
    <row r="187" spans="1:19" x14ac:dyDescent="0.5">
      <c r="A187">
        <v>461</v>
      </c>
      <c r="B187" t="s">
        <v>228</v>
      </c>
      <c r="C187" t="s">
        <v>398</v>
      </c>
      <c r="D187">
        <f>INDEX(Standards!$A$2:$A$296,MATCH(B187,Standards!$B$2:$B$296,0))</f>
        <v>168</v>
      </c>
      <c r="E187">
        <f>INDEX(Standards!$A$2:$A$296,MATCH(C187,Standards!$B$2:$B$296,0))</f>
        <v>174</v>
      </c>
      <c r="F187" t="str">
        <f>INDEX(Standards!$N$2:$N$296,MATCH(B187,Standards!$B$2:$B$296,0))</f>
        <v>#70AD47</v>
      </c>
      <c r="G187" t="str">
        <f>INDEX(Standards!$N$2:$N$296,MATCH(C187,Standards!$B$2:$B$296,0))</f>
        <v>#7030A0</v>
      </c>
      <c r="H187" t="s">
        <v>521</v>
      </c>
      <c r="I187" t="s">
        <v>525</v>
      </c>
      <c r="J187" t="str">
        <f>INDEX(Standards!$H$2:$H$296,MATCH(B187,Standards!$B$2:$B$296,0))</f>
        <v>BIM</v>
      </c>
      <c r="K187" t="str">
        <f>INDEX(Standards!$H$2:$H$296,MATCH(C187,Standards!$B$2:$B$296,0))</f>
        <v>ICT</v>
      </c>
      <c r="L187" t="b">
        <f>AND(TableRelationships[[#This Row],[Source Type]]="BIM",TableRelationships[[#This Row],[Target Type]]="BIM")</f>
        <v>0</v>
      </c>
      <c r="M187">
        <f t="shared" si="6"/>
        <v>1</v>
      </c>
      <c r="N187" t="s">
        <v>526</v>
      </c>
      <c r="O187">
        <f t="shared" si="7"/>
        <v>2</v>
      </c>
      <c r="P187" t="str">
        <f>IF(TableRelationships[[#This Row],[Rank Pedro]]="Low","linkCategory1",IF(TableRelationships[[#This Row],[Rank Pedro]]="Medium","linkCategory2",IF(TableRelationships[[#This Row],[Rank Pedro]]="High","linkCategory3","")))</f>
        <v>linkCategory1</v>
      </c>
      <c r="Q187" t="str">
        <f>IF(TableRelationships[[#This Row],[Rank Pedro]]="Low","Pink",IF(TableRelationships[[#This Row],[Rank Pedro]]="Medium","Purple",IF(TableRelationships[[#This Row],[Rank Pedro]]="High","Brown","")))</f>
        <v>Pink</v>
      </c>
      <c r="R187" s="4">
        <f>MAX(INDEX(Standards!$F$2:$F$296,MATCH(B187,Standards!$B$2:$B$296,0)),INDEX(Standards!$F$2:$F$296,MATCH(C187,Standards!$B$2:$B$296,0)))</f>
        <v>44819</v>
      </c>
      <c r="S187" t="str">
        <f t="shared" si="8"/>
        <v>#2f89d1</v>
      </c>
    </row>
    <row r="188" spans="1:19" x14ac:dyDescent="0.5">
      <c r="A188">
        <v>462</v>
      </c>
      <c r="B188" t="s">
        <v>228</v>
      </c>
      <c r="C188" t="s">
        <v>285</v>
      </c>
      <c r="D188">
        <f>INDEX(Standards!$A$2:$A$296,MATCH(B188,Standards!$B$2:$B$296,0))</f>
        <v>168</v>
      </c>
      <c r="E188">
        <f>INDEX(Standards!$A$2:$A$296,MATCH(C188,Standards!$B$2:$B$296,0))</f>
        <v>112</v>
      </c>
      <c r="F188" t="str">
        <f>INDEX(Standards!$N$2:$N$296,MATCH(B188,Standards!$B$2:$B$296,0))</f>
        <v>#70AD47</v>
      </c>
      <c r="G188" t="str">
        <f>INDEX(Standards!$N$2:$N$296,MATCH(C188,Standards!$B$2:$B$296,0))</f>
        <v>#7030A0</v>
      </c>
      <c r="H188" t="s">
        <v>521</v>
      </c>
      <c r="I188" t="s">
        <v>525</v>
      </c>
      <c r="J188" t="str">
        <f>INDEX(Standards!$H$2:$H$296,MATCH(B188,Standards!$B$2:$B$296,0))</f>
        <v>BIM</v>
      </c>
      <c r="K188" t="str">
        <f>INDEX(Standards!$H$2:$H$296,MATCH(C188,Standards!$B$2:$B$296,0))</f>
        <v>ICT</v>
      </c>
      <c r="L188" t="b">
        <f>AND(TableRelationships[[#This Row],[Source Type]]="BIM",TableRelationships[[#This Row],[Target Type]]="BIM")</f>
        <v>0</v>
      </c>
      <c r="M188">
        <f t="shared" si="6"/>
        <v>1</v>
      </c>
      <c r="N188" t="s">
        <v>526</v>
      </c>
      <c r="O188">
        <f t="shared" si="7"/>
        <v>2</v>
      </c>
      <c r="P188" t="str">
        <f>IF(TableRelationships[[#This Row],[Rank Pedro]]="Low","linkCategory1",IF(TableRelationships[[#This Row],[Rank Pedro]]="Medium","linkCategory2",IF(TableRelationships[[#This Row],[Rank Pedro]]="High","linkCategory3","")))</f>
        <v>linkCategory1</v>
      </c>
      <c r="Q188" t="str">
        <f>IF(TableRelationships[[#This Row],[Rank Pedro]]="Low","Pink",IF(TableRelationships[[#This Row],[Rank Pedro]]="Medium","Purple",IF(TableRelationships[[#This Row],[Rank Pedro]]="High","Brown","")))</f>
        <v>Pink</v>
      </c>
      <c r="R188" s="4">
        <f>MAX(INDEX(Standards!$F$2:$F$296,MATCH(B188,Standards!$B$2:$B$296,0)),INDEX(Standards!$F$2:$F$296,MATCH(C188,Standards!$B$2:$B$296,0)))</f>
        <v>44819</v>
      </c>
      <c r="S188" t="str">
        <f t="shared" si="8"/>
        <v>#2f89d1</v>
      </c>
    </row>
    <row r="189" spans="1:19" x14ac:dyDescent="0.5">
      <c r="A189">
        <v>459</v>
      </c>
      <c r="B189" t="s">
        <v>228</v>
      </c>
      <c r="C189" t="s">
        <v>396</v>
      </c>
      <c r="D189">
        <f>INDEX(Standards!$A$2:$A$296,MATCH(B189,Standards!$B$2:$B$296,0))</f>
        <v>168</v>
      </c>
      <c r="E189">
        <f>INDEX(Standards!$A$2:$A$296,MATCH(C189,Standards!$B$2:$B$296,0))</f>
        <v>173</v>
      </c>
      <c r="F189" t="str">
        <f>INDEX(Standards!$N$2:$N$296,MATCH(B189,Standards!$B$2:$B$296,0))</f>
        <v>#70AD47</v>
      </c>
      <c r="G189" t="str">
        <f>INDEX(Standards!$N$2:$N$296,MATCH(C189,Standards!$B$2:$B$296,0))</f>
        <v>#7030A0</v>
      </c>
      <c r="H189" t="s">
        <v>521</v>
      </c>
      <c r="I189" t="s">
        <v>525</v>
      </c>
      <c r="J189" t="str">
        <f>INDEX(Standards!$H$2:$H$296,MATCH(B189,Standards!$B$2:$B$296,0))</f>
        <v>BIM</v>
      </c>
      <c r="K189" t="str">
        <f>INDEX(Standards!$H$2:$H$296,MATCH(C189,Standards!$B$2:$B$296,0))</f>
        <v>ICT</v>
      </c>
      <c r="L189" t="b">
        <f>AND(TableRelationships[[#This Row],[Source Type]]="BIM",TableRelationships[[#This Row],[Target Type]]="BIM")</f>
        <v>0</v>
      </c>
      <c r="M189">
        <f t="shared" si="6"/>
        <v>1</v>
      </c>
      <c r="N189" t="s">
        <v>526</v>
      </c>
      <c r="O189">
        <f t="shared" si="7"/>
        <v>2</v>
      </c>
      <c r="P189" t="str">
        <f>IF(TableRelationships[[#This Row],[Rank Pedro]]="Low","linkCategory1",IF(TableRelationships[[#This Row],[Rank Pedro]]="Medium","linkCategory2",IF(TableRelationships[[#This Row],[Rank Pedro]]="High","linkCategory3","")))</f>
        <v>linkCategory1</v>
      </c>
      <c r="Q189" t="str">
        <f>IF(TableRelationships[[#This Row],[Rank Pedro]]="Low","Pink",IF(TableRelationships[[#This Row],[Rank Pedro]]="Medium","Purple",IF(TableRelationships[[#This Row],[Rank Pedro]]="High","Brown","")))</f>
        <v>Pink</v>
      </c>
      <c r="R189" s="4">
        <f>MAX(INDEX(Standards!$F$2:$F$296,MATCH(B189,Standards!$B$2:$B$296,0)),INDEX(Standards!$F$2:$F$296,MATCH(C189,Standards!$B$2:$B$296,0)))</f>
        <v>44819</v>
      </c>
      <c r="S189" t="str">
        <f t="shared" si="8"/>
        <v>#2f89d1</v>
      </c>
    </row>
    <row r="190" spans="1:19" x14ac:dyDescent="0.5">
      <c r="A190">
        <v>457</v>
      </c>
      <c r="B190" t="s">
        <v>228</v>
      </c>
      <c r="C190" t="s">
        <v>392</v>
      </c>
      <c r="D190">
        <f>INDEX(Standards!$A$2:$A$296,MATCH(B190,Standards!$B$2:$B$296,0))</f>
        <v>168</v>
      </c>
      <c r="E190">
        <f>INDEX(Standards!$A$2:$A$296,MATCH(C190,Standards!$B$2:$B$296,0))</f>
        <v>171</v>
      </c>
      <c r="F190" t="str">
        <f>INDEX(Standards!$N$2:$N$296,MATCH(B190,Standards!$B$2:$B$296,0))</f>
        <v>#70AD47</v>
      </c>
      <c r="G190" t="str">
        <f>INDEX(Standards!$N$2:$N$296,MATCH(C190,Standards!$B$2:$B$296,0))</f>
        <v>#7030A0</v>
      </c>
      <c r="H190" t="s">
        <v>521</v>
      </c>
      <c r="I190" t="s">
        <v>525</v>
      </c>
      <c r="J190" t="str">
        <f>INDEX(Standards!$H$2:$H$296,MATCH(B190,Standards!$B$2:$B$296,0))</f>
        <v>BIM</v>
      </c>
      <c r="K190" t="str">
        <f>INDEX(Standards!$H$2:$H$296,MATCH(C190,Standards!$B$2:$B$296,0))</f>
        <v>ICT</v>
      </c>
      <c r="L190" t="b">
        <f>AND(TableRelationships[[#This Row],[Source Type]]="BIM",TableRelationships[[#This Row],[Target Type]]="BIM")</f>
        <v>0</v>
      </c>
      <c r="M190">
        <f t="shared" si="6"/>
        <v>1</v>
      </c>
      <c r="N190" t="s">
        <v>526</v>
      </c>
      <c r="O190">
        <f t="shared" si="7"/>
        <v>2</v>
      </c>
      <c r="P190" t="str">
        <f>IF(TableRelationships[[#This Row],[Rank Pedro]]="Low","linkCategory1",IF(TableRelationships[[#This Row],[Rank Pedro]]="Medium","linkCategory2",IF(TableRelationships[[#This Row],[Rank Pedro]]="High","linkCategory3","")))</f>
        <v>linkCategory1</v>
      </c>
      <c r="Q190" t="str">
        <f>IF(TableRelationships[[#This Row],[Rank Pedro]]="Low","Pink",IF(TableRelationships[[#This Row],[Rank Pedro]]="Medium","Purple",IF(TableRelationships[[#This Row],[Rank Pedro]]="High","Brown","")))</f>
        <v>Pink</v>
      </c>
      <c r="R190" s="4">
        <f>MAX(INDEX(Standards!$F$2:$F$296,MATCH(B190,Standards!$B$2:$B$296,0)),INDEX(Standards!$F$2:$F$296,MATCH(C190,Standards!$B$2:$B$296,0)))</f>
        <v>44819</v>
      </c>
      <c r="S190" t="str">
        <f t="shared" si="8"/>
        <v>#2f89d1</v>
      </c>
    </row>
    <row r="191" spans="1:19" x14ac:dyDescent="0.5">
      <c r="A191">
        <v>460</v>
      </c>
      <c r="B191" t="s">
        <v>228</v>
      </c>
      <c r="C191" t="s">
        <v>358</v>
      </c>
      <c r="D191">
        <f>INDEX(Standards!$A$2:$A$296,MATCH(B191,Standards!$B$2:$B$296,0))</f>
        <v>168</v>
      </c>
      <c r="E191">
        <f>INDEX(Standards!$A$2:$A$296,MATCH(C191,Standards!$B$2:$B$296,0))</f>
        <v>151</v>
      </c>
      <c r="F191" t="str">
        <f>INDEX(Standards!$N$2:$N$296,MATCH(B191,Standards!$B$2:$B$296,0))</f>
        <v>#70AD47</v>
      </c>
      <c r="G191" t="str">
        <f>INDEX(Standards!$N$2:$N$296,MATCH(C191,Standards!$B$2:$B$296,0))</f>
        <v>#7030A0</v>
      </c>
      <c r="H191" t="s">
        <v>521</v>
      </c>
      <c r="I191" t="s">
        <v>525</v>
      </c>
      <c r="J191" t="str">
        <f>INDEX(Standards!$H$2:$H$296,MATCH(B191,Standards!$B$2:$B$296,0))</f>
        <v>BIM</v>
      </c>
      <c r="K191" t="str">
        <f>INDEX(Standards!$H$2:$H$296,MATCH(C191,Standards!$B$2:$B$296,0))</f>
        <v>ICT</v>
      </c>
      <c r="L191" t="b">
        <f>AND(TableRelationships[[#This Row],[Source Type]]="BIM",TableRelationships[[#This Row],[Target Type]]="BIM")</f>
        <v>0</v>
      </c>
      <c r="M191">
        <f t="shared" si="6"/>
        <v>1</v>
      </c>
      <c r="N191" t="s">
        <v>526</v>
      </c>
      <c r="O191">
        <f t="shared" si="7"/>
        <v>2</v>
      </c>
      <c r="P191" t="str">
        <f>IF(TableRelationships[[#This Row],[Rank Pedro]]="Low","linkCategory1",IF(TableRelationships[[#This Row],[Rank Pedro]]="Medium","linkCategory2",IF(TableRelationships[[#This Row],[Rank Pedro]]="High","linkCategory3","")))</f>
        <v>linkCategory1</v>
      </c>
      <c r="Q191" t="str">
        <f>IF(TableRelationships[[#This Row],[Rank Pedro]]="Low","Pink",IF(TableRelationships[[#This Row],[Rank Pedro]]="Medium","Purple",IF(TableRelationships[[#This Row],[Rank Pedro]]="High","Brown","")))</f>
        <v>Pink</v>
      </c>
      <c r="R191" s="4">
        <f>MAX(INDEX(Standards!$F$2:$F$296,MATCH(B191,Standards!$B$2:$B$296,0)),INDEX(Standards!$F$2:$F$296,MATCH(C191,Standards!$B$2:$B$296,0)))</f>
        <v>44819</v>
      </c>
      <c r="S191" t="str">
        <f t="shared" si="8"/>
        <v>#2f89d1</v>
      </c>
    </row>
    <row r="192" spans="1:19" x14ac:dyDescent="0.5">
      <c r="A192">
        <v>465</v>
      </c>
      <c r="B192" t="s">
        <v>228</v>
      </c>
      <c r="C192" t="s">
        <v>402</v>
      </c>
      <c r="D192">
        <f>INDEX(Standards!$A$2:$A$296,MATCH(B192,Standards!$B$2:$B$296,0))</f>
        <v>168</v>
      </c>
      <c r="E192">
        <f>INDEX(Standards!$A$2:$A$296,MATCH(C192,Standards!$B$2:$B$296,0))</f>
        <v>176</v>
      </c>
      <c r="F192" t="str">
        <f>INDEX(Standards!$N$2:$N$296,MATCH(B192,Standards!$B$2:$B$296,0))</f>
        <v>#70AD47</v>
      </c>
      <c r="G192" t="str">
        <f>INDEX(Standards!$N$2:$N$296,MATCH(C192,Standards!$B$2:$B$296,0))</f>
        <v>#7030A0</v>
      </c>
      <c r="H192" t="s">
        <v>521</v>
      </c>
      <c r="I192" t="s">
        <v>525</v>
      </c>
      <c r="J192" t="str">
        <f>INDEX(Standards!$H$2:$H$296,MATCH(B192,Standards!$B$2:$B$296,0))</f>
        <v>BIM</v>
      </c>
      <c r="K192" t="str">
        <f>INDEX(Standards!$H$2:$H$296,MATCH(C192,Standards!$B$2:$B$296,0))</f>
        <v>ICT</v>
      </c>
      <c r="L192" t="b">
        <f>AND(TableRelationships[[#This Row],[Source Type]]="BIM",TableRelationships[[#This Row],[Target Type]]="BIM")</f>
        <v>0</v>
      </c>
      <c r="M192">
        <f t="shared" si="6"/>
        <v>1</v>
      </c>
      <c r="N192" t="s">
        <v>526</v>
      </c>
      <c r="O192">
        <f t="shared" si="7"/>
        <v>2</v>
      </c>
      <c r="P192" t="str">
        <f>IF(TableRelationships[[#This Row],[Rank Pedro]]="Low","linkCategory1",IF(TableRelationships[[#This Row],[Rank Pedro]]="Medium","linkCategory2",IF(TableRelationships[[#This Row],[Rank Pedro]]="High","linkCategory3","")))</f>
        <v>linkCategory1</v>
      </c>
      <c r="Q192" t="str">
        <f>IF(TableRelationships[[#This Row],[Rank Pedro]]="Low","Pink",IF(TableRelationships[[#This Row],[Rank Pedro]]="Medium","Purple",IF(TableRelationships[[#This Row],[Rank Pedro]]="High","Brown","")))</f>
        <v>Pink</v>
      </c>
      <c r="R192" s="4">
        <f>MAX(INDEX(Standards!$F$2:$F$296,MATCH(B192,Standards!$B$2:$B$296,0)),INDEX(Standards!$F$2:$F$296,MATCH(C192,Standards!$B$2:$B$296,0)))</f>
        <v>44819</v>
      </c>
      <c r="S192" t="str">
        <f t="shared" si="8"/>
        <v>#2f89d1</v>
      </c>
    </row>
    <row r="193" spans="1:19" x14ac:dyDescent="0.5">
      <c r="A193">
        <v>183</v>
      </c>
      <c r="B193" t="s">
        <v>232</v>
      </c>
      <c r="C193" t="s">
        <v>236</v>
      </c>
      <c r="D193">
        <f>INDEX(Standards!$A$2:$A$296,MATCH(B193,Standards!$B$2:$B$296,0))</f>
        <v>13</v>
      </c>
      <c r="E193">
        <f>INDEX(Standards!$A$2:$A$296,MATCH(C193,Standards!$B$2:$B$296,0))</f>
        <v>91</v>
      </c>
      <c r="F193" t="str">
        <f>INDEX(Standards!$N$2:$N$296,MATCH(B193,Standards!$B$2:$B$296,0))</f>
        <v>#70AD47</v>
      </c>
      <c r="G193" t="str">
        <f>INDEX(Standards!$N$2:$N$296,MATCH(C193,Standards!$B$2:$B$296,0))</f>
        <v>#F2F2F2</v>
      </c>
      <c r="H193" t="s">
        <v>521</v>
      </c>
      <c r="I193" t="s">
        <v>237</v>
      </c>
      <c r="J193" t="str">
        <f>INDEX(Standards!$H$2:$H$296,MATCH(B193,Standards!$B$2:$B$296,0))</f>
        <v>BIM</v>
      </c>
      <c r="K193" t="str">
        <f>INDEX(Standards!$H$2:$H$296,MATCH(C193,Standards!$B$2:$B$296,0))</f>
        <v>Anchor</v>
      </c>
      <c r="L193" t="b">
        <f>AND(TableRelationships[[#This Row],[Source Type]]="BIM",TableRelationships[[#This Row],[Target Type]]="BIM")</f>
        <v>0</v>
      </c>
      <c r="M193">
        <f t="shared" si="6"/>
        <v>2</v>
      </c>
      <c r="O193">
        <f t="shared" si="7"/>
        <v>1</v>
      </c>
      <c r="P193" t="str">
        <f>IF(TableRelationships[[#This Row],[Rank Pedro]]="Low","linkCategory1",IF(TableRelationships[[#This Row],[Rank Pedro]]="Medium","linkCategory2",IF(TableRelationships[[#This Row],[Rank Pedro]]="High","linkCategory3","")))</f>
        <v/>
      </c>
      <c r="Q193" t="str">
        <f>IF(TableRelationships[[#This Row],[Rank Pedro]]="Low","Pink",IF(TableRelationships[[#This Row],[Rank Pedro]]="Medium","Purple",IF(TableRelationships[[#This Row],[Rank Pedro]]="High","Brown","")))</f>
        <v/>
      </c>
      <c r="R193" s="4">
        <f>MAX(INDEX(Standards!$F$2:$F$296,MATCH(B193,Standards!$B$2:$B$296,0)),INDEX(Standards!$F$2:$F$296,MATCH(C193,Standards!$B$2:$B$296,0)))</f>
        <v>44013</v>
      </c>
      <c r="S193">
        <f t="shared" si="8"/>
        <v>1</v>
      </c>
    </row>
    <row r="194" spans="1:19" x14ac:dyDescent="0.5">
      <c r="A194">
        <v>208</v>
      </c>
      <c r="B194" t="s">
        <v>18</v>
      </c>
      <c r="C194" t="s">
        <v>238</v>
      </c>
      <c r="D194">
        <f>INDEX(Standards!$A$2:$A$296,MATCH(B194,Standards!$B$2:$B$296,0))</f>
        <v>0</v>
      </c>
      <c r="E194">
        <f>INDEX(Standards!$A$2:$A$296,MATCH(C194,Standards!$B$2:$B$296,0))</f>
        <v>92</v>
      </c>
      <c r="F194" t="str">
        <f>INDEX(Standards!$N$2:$N$296,MATCH(B194,Standards!$B$2:$B$296,0))</f>
        <v>#7030A0</v>
      </c>
      <c r="G194" t="str">
        <f>INDEX(Standards!$N$2:$N$296,MATCH(C194,Standards!$B$2:$B$296,0))</f>
        <v>#F2F2F2</v>
      </c>
      <c r="H194" t="s">
        <v>521</v>
      </c>
      <c r="I194" t="s">
        <v>237</v>
      </c>
      <c r="J194" t="str">
        <f>INDEX(Standards!$H$2:$H$296,MATCH(B194,Standards!$B$2:$B$296,0))</f>
        <v>ICT</v>
      </c>
      <c r="K194" t="str">
        <f>INDEX(Standards!$H$2:$H$296,MATCH(C194,Standards!$B$2:$B$296,0))</f>
        <v>Anchor</v>
      </c>
      <c r="L194" t="b">
        <f>AND(TableRelationships[[#This Row],[Source Type]]="BIM",TableRelationships[[#This Row],[Target Type]]="BIM")</f>
        <v>0</v>
      </c>
      <c r="M194">
        <f t="shared" ref="M194:M257" si="9">IF(I194="Normative",6,IF(I194="Secondary",4,IF(I194="Anchor",2,1)))</f>
        <v>2</v>
      </c>
      <c r="O194">
        <f t="shared" ref="O194:O257" si="10">IF(N194="High",10,IF(N194="Medium",6,IF(N194="Low",2,1)))</f>
        <v>1</v>
      </c>
      <c r="P194" t="str">
        <f>IF(TableRelationships[[#This Row],[Rank Pedro]]="Low","linkCategory1",IF(TableRelationships[[#This Row],[Rank Pedro]]="Medium","linkCategory2",IF(TableRelationships[[#This Row],[Rank Pedro]]="High","linkCategory3","")))</f>
        <v/>
      </c>
      <c r="Q194" t="str">
        <f>IF(TableRelationships[[#This Row],[Rank Pedro]]="Low","Pink",IF(TableRelationships[[#This Row],[Rank Pedro]]="Medium","Purple",IF(TableRelationships[[#This Row],[Rank Pedro]]="High","Brown","")))</f>
        <v/>
      </c>
      <c r="R194" s="4">
        <f>MAX(INDEX(Standards!$F$2:$F$296,MATCH(B194,Standards!$B$2:$B$296,0)),INDEX(Standards!$F$2:$F$296,MATCH(C194,Standards!$B$2:$B$296,0)))</f>
        <v>39814</v>
      </c>
      <c r="S194">
        <f t="shared" ref="S194:S257" si="11">IF(I194="Normative", "#d6bf2a", IF(I194="Informative", "#2f89d1", 1))</f>
        <v>1</v>
      </c>
    </row>
    <row r="195" spans="1:19" x14ac:dyDescent="0.5">
      <c r="A195">
        <v>209</v>
      </c>
      <c r="B195" t="s">
        <v>20</v>
      </c>
      <c r="C195" t="s">
        <v>238</v>
      </c>
      <c r="D195">
        <f>INDEX(Standards!$A$2:$A$296,MATCH(B195,Standards!$B$2:$B$296,0))</f>
        <v>1</v>
      </c>
      <c r="E195">
        <f>INDEX(Standards!$A$2:$A$296,MATCH(C195,Standards!$B$2:$B$296,0))</f>
        <v>92</v>
      </c>
      <c r="F195" t="str">
        <f>INDEX(Standards!$N$2:$N$296,MATCH(B195,Standards!$B$2:$B$296,0))</f>
        <v>#7030A0</v>
      </c>
      <c r="G195" t="str">
        <f>INDEX(Standards!$N$2:$N$296,MATCH(C195,Standards!$B$2:$B$296,0))</f>
        <v>#F2F2F2</v>
      </c>
      <c r="H195" t="s">
        <v>521</v>
      </c>
      <c r="I195" t="s">
        <v>237</v>
      </c>
      <c r="J195" t="str">
        <f>INDEX(Standards!$H$2:$H$296,MATCH(B195,Standards!$B$2:$B$296,0))</f>
        <v>ICT</v>
      </c>
      <c r="K195" t="str">
        <f>INDEX(Standards!$H$2:$H$296,MATCH(C195,Standards!$B$2:$B$296,0))</f>
        <v>Anchor</v>
      </c>
      <c r="L195" t="b">
        <f>AND(TableRelationships[[#This Row],[Source Type]]="BIM",TableRelationships[[#This Row],[Target Type]]="BIM")</f>
        <v>0</v>
      </c>
      <c r="M195">
        <f t="shared" si="9"/>
        <v>2</v>
      </c>
      <c r="O195">
        <f t="shared" si="10"/>
        <v>1</v>
      </c>
      <c r="P195" t="str">
        <f>IF(TableRelationships[[#This Row],[Rank Pedro]]="Low","linkCategory1",IF(TableRelationships[[#This Row],[Rank Pedro]]="Medium","linkCategory2",IF(TableRelationships[[#This Row],[Rank Pedro]]="High","linkCategory3","")))</f>
        <v/>
      </c>
      <c r="Q195" t="str">
        <f>IF(TableRelationships[[#This Row],[Rank Pedro]]="Low","Pink",IF(TableRelationships[[#This Row],[Rank Pedro]]="Medium","Purple",IF(TableRelationships[[#This Row],[Rank Pedro]]="High","Brown","")))</f>
        <v/>
      </c>
      <c r="R195" s="4">
        <f>MAX(INDEX(Standards!$F$2:$F$296,MATCH(B195,Standards!$B$2:$B$296,0)),INDEX(Standards!$F$2:$F$296,MATCH(C195,Standards!$B$2:$B$296,0)))</f>
        <v>41640</v>
      </c>
      <c r="S195">
        <f t="shared" si="11"/>
        <v>1</v>
      </c>
    </row>
    <row r="196" spans="1:19" x14ac:dyDescent="0.5">
      <c r="A196">
        <v>210</v>
      </c>
      <c r="B196" t="s">
        <v>21</v>
      </c>
      <c r="C196" t="s">
        <v>238</v>
      </c>
      <c r="D196">
        <f>INDEX(Standards!$A$2:$A$296,MATCH(B196,Standards!$B$2:$B$296,0))</f>
        <v>2</v>
      </c>
      <c r="E196">
        <f>INDEX(Standards!$A$2:$A$296,MATCH(C196,Standards!$B$2:$B$296,0))</f>
        <v>92</v>
      </c>
      <c r="F196" t="str">
        <f>INDEX(Standards!$N$2:$N$296,MATCH(B196,Standards!$B$2:$B$296,0))</f>
        <v>#7030A0</v>
      </c>
      <c r="G196" t="str">
        <f>INDEX(Standards!$N$2:$N$296,MATCH(C196,Standards!$B$2:$B$296,0))</f>
        <v>#F2F2F2</v>
      </c>
      <c r="H196" t="s">
        <v>521</v>
      </c>
      <c r="I196" t="s">
        <v>237</v>
      </c>
      <c r="J196" t="str">
        <f>INDEX(Standards!$H$2:$H$296,MATCH(B196,Standards!$B$2:$B$296,0))</f>
        <v>ICT</v>
      </c>
      <c r="K196" t="str">
        <f>INDEX(Standards!$H$2:$H$296,MATCH(C196,Standards!$B$2:$B$296,0))</f>
        <v>Anchor</v>
      </c>
      <c r="L196" t="b">
        <f>AND(TableRelationships[[#This Row],[Source Type]]="BIM",TableRelationships[[#This Row],[Target Type]]="BIM")</f>
        <v>0</v>
      </c>
      <c r="M196">
        <f t="shared" si="9"/>
        <v>2</v>
      </c>
      <c r="O196">
        <f t="shared" si="10"/>
        <v>1</v>
      </c>
      <c r="P196" t="str">
        <f>IF(TableRelationships[[#This Row],[Rank Pedro]]="Low","linkCategory1",IF(TableRelationships[[#This Row],[Rank Pedro]]="Medium","linkCategory2",IF(TableRelationships[[#This Row],[Rank Pedro]]="High","linkCategory3","")))</f>
        <v/>
      </c>
      <c r="Q196" t="str">
        <f>IF(TableRelationships[[#This Row],[Rank Pedro]]="Low","Pink",IF(TableRelationships[[#This Row],[Rank Pedro]]="Medium","Purple",IF(TableRelationships[[#This Row],[Rank Pedro]]="High","Brown","")))</f>
        <v/>
      </c>
      <c r="R196" s="4">
        <f>MAX(INDEX(Standards!$F$2:$F$296,MATCH(B196,Standards!$B$2:$B$296,0)),INDEX(Standards!$F$2:$F$296,MATCH(C196,Standards!$B$2:$B$296,0)))</f>
        <v>37987</v>
      </c>
      <c r="S196">
        <f t="shared" si="11"/>
        <v>1</v>
      </c>
    </row>
    <row r="197" spans="1:19" x14ac:dyDescent="0.5">
      <c r="A197">
        <v>61</v>
      </c>
      <c r="B197" t="s">
        <v>232</v>
      </c>
      <c r="C197" t="s">
        <v>108</v>
      </c>
      <c r="D197">
        <f>INDEX(Standards!$A$2:$A$296,MATCH(B197,Standards!$B$2:$B$296,0))</f>
        <v>13</v>
      </c>
      <c r="E197">
        <f>INDEX(Standards!$A$2:$A$296,MATCH(C197,Standards!$B$2:$B$296,0))</f>
        <v>32</v>
      </c>
      <c r="F197" t="str">
        <f>INDEX(Standards!$N$2:$N$296,MATCH(B197,Standards!$B$2:$B$296,0))</f>
        <v>#70AD47</v>
      </c>
      <c r="G197" t="str">
        <f>INDEX(Standards!$N$2:$N$296,MATCH(C197,Standards!$B$2:$B$296,0))</f>
        <v>#7030A0</v>
      </c>
      <c r="H197" t="s">
        <v>521</v>
      </c>
      <c r="I197" t="s">
        <v>525</v>
      </c>
      <c r="J197" t="str">
        <f>INDEX(Standards!$H$2:$H$296,MATCH(B197,Standards!$B$2:$B$296,0))</f>
        <v>BIM</v>
      </c>
      <c r="K197" t="str">
        <f>INDEX(Standards!$H$2:$H$296,MATCH(C197,Standards!$B$2:$B$296,0))</f>
        <v>ICT</v>
      </c>
      <c r="L197" t="b">
        <f>AND(TableRelationships[[#This Row],[Source Type]]="BIM",TableRelationships[[#This Row],[Target Type]]="BIM")</f>
        <v>0</v>
      </c>
      <c r="M197">
        <f t="shared" si="9"/>
        <v>1</v>
      </c>
      <c r="N197" t="s">
        <v>526</v>
      </c>
      <c r="O197">
        <f t="shared" si="10"/>
        <v>2</v>
      </c>
      <c r="P197" t="str">
        <f>IF(TableRelationships[[#This Row],[Rank Pedro]]="Low","linkCategory1",IF(TableRelationships[[#This Row],[Rank Pedro]]="Medium","linkCategory2",IF(TableRelationships[[#This Row],[Rank Pedro]]="High","linkCategory3","")))</f>
        <v>linkCategory1</v>
      </c>
      <c r="Q197" t="str">
        <f>IF(TableRelationships[[#This Row],[Rank Pedro]]="Low","Pink",IF(TableRelationships[[#This Row],[Rank Pedro]]="Medium","Purple",IF(TableRelationships[[#This Row],[Rank Pedro]]="High","Brown","")))</f>
        <v>Pink</v>
      </c>
      <c r="R197" s="4">
        <f>MAX(INDEX(Standards!$F$2:$F$296,MATCH(B197,Standards!$B$2:$B$296,0)),INDEX(Standards!$F$2:$F$296,MATCH(C197,Standards!$B$2:$B$296,0)))</f>
        <v>44013</v>
      </c>
      <c r="S197" t="str">
        <f t="shared" si="11"/>
        <v>#2f89d1</v>
      </c>
    </row>
    <row r="198" spans="1:19" x14ac:dyDescent="0.5">
      <c r="A198">
        <v>62</v>
      </c>
      <c r="B198" t="s">
        <v>232</v>
      </c>
      <c r="C198" t="s">
        <v>106</v>
      </c>
      <c r="D198">
        <f>INDEX(Standards!$A$2:$A$296,MATCH(B198,Standards!$B$2:$B$296,0))</f>
        <v>13</v>
      </c>
      <c r="E198">
        <f>INDEX(Standards!$A$2:$A$296,MATCH(C198,Standards!$B$2:$B$296,0))</f>
        <v>31</v>
      </c>
      <c r="F198" t="str">
        <f>INDEX(Standards!$N$2:$N$296,MATCH(B198,Standards!$B$2:$B$296,0))</f>
        <v>#70AD47</v>
      </c>
      <c r="G198" t="str">
        <f>INDEX(Standards!$N$2:$N$296,MATCH(C198,Standards!$B$2:$B$296,0))</f>
        <v>#595959</v>
      </c>
      <c r="H198" t="s">
        <v>521</v>
      </c>
      <c r="I198" t="s">
        <v>525</v>
      </c>
      <c r="J198" t="str">
        <f>INDEX(Standards!$H$2:$H$296,MATCH(B198,Standards!$B$2:$B$296,0))</f>
        <v>BIM</v>
      </c>
      <c r="K198" t="str">
        <f>INDEX(Standards!$H$2:$H$296,MATCH(C198,Standards!$B$2:$B$296,0))</f>
        <v>Other</v>
      </c>
      <c r="L198" t="b">
        <f>AND(TableRelationships[[#This Row],[Source Type]]="BIM",TableRelationships[[#This Row],[Target Type]]="BIM")</f>
        <v>0</v>
      </c>
      <c r="M198">
        <f t="shared" si="9"/>
        <v>1</v>
      </c>
      <c r="N198" t="s">
        <v>526</v>
      </c>
      <c r="O198">
        <f t="shared" si="10"/>
        <v>2</v>
      </c>
      <c r="P198" t="str">
        <f>IF(TableRelationships[[#This Row],[Rank Pedro]]="Low","linkCategory1",IF(TableRelationships[[#This Row],[Rank Pedro]]="Medium","linkCategory2",IF(TableRelationships[[#This Row],[Rank Pedro]]="High","linkCategory3","")))</f>
        <v>linkCategory1</v>
      </c>
      <c r="Q198" t="str">
        <f>IF(TableRelationships[[#This Row],[Rank Pedro]]="Low","Pink",IF(TableRelationships[[#This Row],[Rank Pedro]]="Medium","Purple",IF(TableRelationships[[#This Row],[Rank Pedro]]="High","Brown","")))</f>
        <v>Pink</v>
      </c>
      <c r="R198" s="4">
        <f>MAX(INDEX(Standards!$F$2:$F$296,MATCH(B198,Standards!$B$2:$B$296,0)),INDEX(Standards!$F$2:$F$296,MATCH(C198,Standards!$B$2:$B$296,0)))</f>
        <v>44013</v>
      </c>
      <c r="S198" t="str">
        <f t="shared" si="11"/>
        <v>#2f89d1</v>
      </c>
    </row>
    <row r="199" spans="1:19" x14ac:dyDescent="0.5">
      <c r="A199">
        <v>213</v>
      </c>
      <c r="B199" t="s">
        <v>33</v>
      </c>
      <c r="C199" t="s">
        <v>238</v>
      </c>
      <c r="D199">
        <f>INDEX(Standards!$A$2:$A$296,MATCH(B199,Standards!$B$2:$B$296,0))</f>
        <v>5</v>
      </c>
      <c r="E199">
        <f>INDEX(Standards!$A$2:$A$296,MATCH(C199,Standards!$B$2:$B$296,0))</f>
        <v>92</v>
      </c>
      <c r="F199" t="str">
        <f>INDEX(Standards!$N$2:$N$296,MATCH(B199,Standards!$B$2:$B$296,0))</f>
        <v>#7030A0</v>
      </c>
      <c r="G199" t="str">
        <f>INDEX(Standards!$N$2:$N$296,MATCH(C199,Standards!$B$2:$B$296,0))</f>
        <v>#F2F2F2</v>
      </c>
      <c r="H199" t="s">
        <v>521</v>
      </c>
      <c r="I199" t="s">
        <v>237</v>
      </c>
      <c r="J199" t="str">
        <f>INDEX(Standards!$H$2:$H$296,MATCH(B199,Standards!$B$2:$B$296,0))</f>
        <v>ICT</v>
      </c>
      <c r="K199" t="str">
        <f>INDEX(Standards!$H$2:$H$296,MATCH(C199,Standards!$B$2:$B$296,0))</f>
        <v>Anchor</v>
      </c>
      <c r="L199" t="b">
        <f>AND(TableRelationships[[#This Row],[Source Type]]="BIM",TableRelationships[[#This Row],[Target Type]]="BIM")</f>
        <v>0</v>
      </c>
      <c r="M199">
        <f t="shared" si="9"/>
        <v>2</v>
      </c>
      <c r="O199">
        <f t="shared" si="10"/>
        <v>1</v>
      </c>
      <c r="P199" t="str">
        <f>IF(TableRelationships[[#This Row],[Rank Pedro]]="Low","linkCategory1",IF(TableRelationships[[#This Row],[Rank Pedro]]="Medium","linkCategory2",IF(TableRelationships[[#This Row],[Rank Pedro]]="High","linkCategory3","")))</f>
        <v/>
      </c>
      <c r="Q199" t="str">
        <f>IF(TableRelationships[[#This Row],[Rank Pedro]]="Low","Pink",IF(TableRelationships[[#This Row],[Rank Pedro]]="Medium","Purple",IF(TableRelationships[[#This Row],[Rank Pedro]]="High","Brown","")))</f>
        <v/>
      </c>
      <c r="R199" s="4">
        <f>MAX(INDEX(Standards!$F$2:$F$296,MATCH(B199,Standards!$B$2:$B$296,0)),INDEX(Standards!$F$2:$F$296,MATCH(C199,Standards!$B$2:$B$296,0)))</f>
        <v>36892</v>
      </c>
      <c r="S199">
        <f t="shared" si="11"/>
        <v>1</v>
      </c>
    </row>
    <row r="200" spans="1:19" x14ac:dyDescent="0.5">
      <c r="A200">
        <v>214</v>
      </c>
      <c r="B200" t="s">
        <v>88</v>
      </c>
      <c r="C200" t="s">
        <v>238</v>
      </c>
      <c r="D200">
        <f>INDEX(Standards!$A$2:$A$296,MATCH(B200,Standards!$B$2:$B$296,0))</f>
        <v>23</v>
      </c>
      <c r="E200">
        <f>INDEX(Standards!$A$2:$A$296,MATCH(C200,Standards!$B$2:$B$296,0))</f>
        <v>92</v>
      </c>
      <c r="F200" t="str">
        <f>INDEX(Standards!$N$2:$N$296,MATCH(B200,Standards!$B$2:$B$296,0))</f>
        <v>#7030A0</v>
      </c>
      <c r="G200" t="str">
        <f>INDEX(Standards!$N$2:$N$296,MATCH(C200,Standards!$B$2:$B$296,0))</f>
        <v>#F2F2F2</v>
      </c>
      <c r="H200" t="s">
        <v>521</v>
      </c>
      <c r="I200" t="s">
        <v>237</v>
      </c>
      <c r="J200" t="str">
        <f>INDEX(Standards!$H$2:$H$296,MATCH(B200,Standards!$B$2:$B$296,0))</f>
        <v>ICT</v>
      </c>
      <c r="K200" t="str">
        <f>INDEX(Standards!$H$2:$H$296,MATCH(C200,Standards!$B$2:$B$296,0))</f>
        <v>Anchor</v>
      </c>
      <c r="L200" t="b">
        <f>AND(TableRelationships[[#This Row],[Source Type]]="BIM",TableRelationships[[#This Row],[Target Type]]="BIM")</f>
        <v>0</v>
      </c>
      <c r="M200">
        <f t="shared" si="9"/>
        <v>2</v>
      </c>
      <c r="O200">
        <f t="shared" si="10"/>
        <v>1</v>
      </c>
      <c r="P200" t="str">
        <f>IF(TableRelationships[[#This Row],[Rank Pedro]]="Low","linkCategory1",IF(TableRelationships[[#This Row],[Rank Pedro]]="Medium","linkCategory2",IF(TableRelationships[[#This Row],[Rank Pedro]]="High","linkCategory3","")))</f>
        <v/>
      </c>
      <c r="Q200" t="str">
        <f>IF(TableRelationships[[#This Row],[Rank Pedro]]="Low","Pink",IF(TableRelationships[[#This Row],[Rank Pedro]]="Medium","Purple",IF(TableRelationships[[#This Row],[Rank Pedro]]="High","Brown","")))</f>
        <v/>
      </c>
      <c r="R200" s="4">
        <f>MAX(INDEX(Standards!$F$2:$F$296,MATCH(B200,Standards!$B$2:$B$296,0)),INDEX(Standards!$F$2:$F$296,MATCH(C200,Standards!$B$2:$B$296,0)))</f>
        <v>41275</v>
      </c>
      <c r="S200">
        <f t="shared" si="11"/>
        <v>1</v>
      </c>
    </row>
    <row r="201" spans="1:19" x14ac:dyDescent="0.5">
      <c r="A201">
        <v>215</v>
      </c>
      <c r="B201" t="s">
        <v>90</v>
      </c>
      <c r="C201" t="s">
        <v>238</v>
      </c>
      <c r="D201">
        <f>INDEX(Standards!$A$2:$A$296,MATCH(B201,Standards!$B$2:$B$296,0))</f>
        <v>24</v>
      </c>
      <c r="E201">
        <f>INDEX(Standards!$A$2:$A$296,MATCH(C201,Standards!$B$2:$B$296,0))</f>
        <v>92</v>
      </c>
      <c r="F201" t="str">
        <f>INDEX(Standards!$N$2:$N$296,MATCH(B201,Standards!$B$2:$B$296,0))</f>
        <v>#7030A0</v>
      </c>
      <c r="G201" t="str">
        <f>INDEX(Standards!$N$2:$N$296,MATCH(C201,Standards!$B$2:$B$296,0))</f>
        <v>#F2F2F2</v>
      </c>
      <c r="H201" t="s">
        <v>521</v>
      </c>
      <c r="I201" t="s">
        <v>237</v>
      </c>
      <c r="J201" t="str">
        <f>INDEX(Standards!$H$2:$H$296,MATCH(B201,Standards!$B$2:$B$296,0))</f>
        <v>ICT</v>
      </c>
      <c r="K201" t="str">
        <f>INDEX(Standards!$H$2:$H$296,MATCH(C201,Standards!$B$2:$B$296,0))</f>
        <v>Anchor</v>
      </c>
      <c r="L201" t="b">
        <f>AND(TableRelationships[[#This Row],[Source Type]]="BIM",TableRelationships[[#This Row],[Target Type]]="BIM")</f>
        <v>0</v>
      </c>
      <c r="M201">
        <f t="shared" si="9"/>
        <v>2</v>
      </c>
      <c r="O201">
        <f t="shared" si="10"/>
        <v>1</v>
      </c>
      <c r="P201" t="str">
        <f>IF(TableRelationships[[#This Row],[Rank Pedro]]="Low","linkCategory1",IF(TableRelationships[[#This Row],[Rank Pedro]]="Medium","linkCategory2",IF(TableRelationships[[#This Row],[Rank Pedro]]="High","linkCategory3","")))</f>
        <v/>
      </c>
      <c r="Q201" t="str">
        <f>IF(TableRelationships[[#This Row],[Rank Pedro]]="Low","Pink",IF(TableRelationships[[#This Row],[Rank Pedro]]="Medium","Purple",IF(TableRelationships[[#This Row],[Rank Pedro]]="High","Brown","")))</f>
        <v/>
      </c>
      <c r="R201" s="4">
        <f>MAX(INDEX(Standards!$F$2:$F$296,MATCH(B201,Standards!$B$2:$B$296,0)),INDEX(Standards!$F$2:$F$296,MATCH(C201,Standards!$B$2:$B$296,0)))</f>
        <v>42005</v>
      </c>
      <c r="S201">
        <f t="shared" si="11"/>
        <v>1</v>
      </c>
    </row>
    <row r="202" spans="1:19" x14ac:dyDescent="0.5">
      <c r="A202">
        <v>216</v>
      </c>
      <c r="B202" t="s">
        <v>92</v>
      </c>
      <c r="C202" t="s">
        <v>238</v>
      </c>
      <c r="D202">
        <f>INDEX(Standards!$A$2:$A$296,MATCH(B202,Standards!$B$2:$B$296,0))</f>
        <v>25</v>
      </c>
      <c r="E202">
        <f>INDEX(Standards!$A$2:$A$296,MATCH(C202,Standards!$B$2:$B$296,0))</f>
        <v>92</v>
      </c>
      <c r="F202" t="str">
        <f>INDEX(Standards!$N$2:$N$296,MATCH(B202,Standards!$B$2:$B$296,0))</f>
        <v>#7030A0</v>
      </c>
      <c r="G202" t="str">
        <f>INDEX(Standards!$N$2:$N$296,MATCH(C202,Standards!$B$2:$B$296,0))</f>
        <v>#F2F2F2</v>
      </c>
      <c r="H202" t="s">
        <v>521</v>
      </c>
      <c r="I202" t="s">
        <v>237</v>
      </c>
      <c r="J202" t="str">
        <f>INDEX(Standards!$H$2:$H$296,MATCH(B202,Standards!$B$2:$B$296,0))</f>
        <v>ICT</v>
      </c>
      <c r="K202" t="str">
        <f>INDEX(Standards!$H$2:$H$296,MATCH(C202,Standards!$B$2:$B$296,0))</f>
        <v>Anchor</v>
      </c>
      <c r="L202" t="b">
        <f>AND(TableRelationships[[#This Row],[Source Type]]="BIM",TableRelationships[[#This Row],[Target Type]]="BIM")</f>
        <v>0</v>
      </c>
      <c r="M202">
        <f t="shared" si="9"/>
        <v>2</v>
      </c>
      <c r="O202">
        <f t="shared" si="10"/>
        <v>1</v>
      </c>
      <c r="P202" t="str">
        <f>IF(TableRelationships[[#This Row],[Rank Pedro]]="Low","linkCategory1",IF(TableRelationships[[#This Row],[Rank Pedro]]="Medium","linkCategory2",IF(TableRelationships[[#This Row],[Rank Pedro]]="High","linkCategory3","")))</f>
        <v/>
      </c>
      <c r="Q202" t="str">
        <f>IF(TableRelationships[[#This Row],[Rank Pedro]]="Low","Pink",IF(TableRelationships[[#This Row],[Rank Pedro]]="Medium","Purple",IF(TableRelationships[[#This Row],[Rank Pedro]]="High","Brown","")))</f>
        <v/>
      </c>
      <c r="R202" s="4">
        <f>MAX(INDEX(Standards!$F$2:$F$296,MATCH(B202,Standards!$B$2:$B$296,0)),INDEX(Standards!$F$2:$F$296,MATCH(C202,Standards!$B$2:$B$296,0)))</f>
        <v>39814</v>
      </c>
      <c r="S202">
        <f t="shared" si="11"/>
        <v>1</v>
      </c>
    </row>
    <row r="203" spans="1:19" x14ac:dyDescent="0.5">
      <c r="A203">
        <v>217</v>
      </c>
      <c r="B203" t="s">
        <v>94</v>
      </c>
      <c r="C203" t="s">
        <v>238</v>
      </c>
      <c r="D203">
        <f>INDEX(Standards!$A$2:$A$296,MATCH(B203,Standards!$B$2:$B$296,0))</f>
        <v>26</v>
      </c>
      <c r="E203">
        <f>INDEX(Standards!$A$2:$A$296,MATCH(C203,Standards!$B$2:$B$296,0))</f>
        <v>92</v>
      </c>
      <c r="F203" t="str">
        <f>INDEX(Standards!$N$2:$N$296,MATCH(B203,Standards!$B$2:$B$296,0))</f>
        <v>#7030A0</v>
      </c>
      <c r="G203" t="str">
        <f>INDEX(Standards!$N$2:$N$296,MATCH(C203,Standards!$B$2:$B$296,0))</f>
        <v>#F2F2F2</v>
      </c>
      <c r="H203" t="s">
        <v>521</v>
      </c>
      <c r="I203" t="s">
        <v>237</v>
      </c>
      <c r="J203" t="str">
        <f>INDEX(Standards!$H$2:$H$296,MATCH(B203,Standards!$B$2:$B$296,0))</f>
        <v>ICT</v>
      </c>
      <c r="K203" t="str">
        <f>INDEX(Standards!$H$2:$H$296,MATCH(C203,Standards!$B$2:$B$296,0))</f>
        <v>Anchor</v>
      </c>
      <c r="L203" t="b">
        <f>AND(TableRelationships[[#This Row],[Source Type]]="BIM",TableRelationships[[#This Row],[Target Type]]="BIM")</f>
        <v>0</v>
      </c>
      <c r="M203">
        <f t="shared" si="9"/>
        <v>2</v>
      </c>
      <c r="O203">
        <f t="shared" si="10"/>
        <v>1</v>
      </c>
      <c r="P203" t="str">
        <f>IF(TableRelationships[[#This Row],[Rank Pedro]]="Low","linkCategory1",IF(TableRelationships[[#This Row],[Rank Pedro]]="Medium","linkCategory2",IF(TableRelationships[[#This Row],[Rank Pedro]]="High","linkCategory3","")))</f>
        <v/>
      </c>
      <c r="Q203" t="str">
        <f>IF(TableRelationships[[#This Row],[Rank Pedro]]="Low","Pink",IF(TableRelationships[[#This Row],[Rank Pedro]]="Medium","Purple",IF(TableRelationships[[#This Row],[Rank Pedro]]="High","Brown","")))</f>
        <v/>
      </c>
      <c r="R203" s="4">
        <f>MAX(INDEX(Standards!$F$2:$F$296,MATCH(B203,Standards!$B$2:$B$296,0)),INDEX(Standards!$F$2:$F$296,MATCH(C203,Standards!$B$2:$B$296,0)))</f>
        <v>40179</v>
      </c>
      <c r="S203">
        <f t="shared" si="11"/>
        <v>1</v>
      </c>
    </row>
    <row r="204" spans="1:19" x14ac:dyDescent="0.5">
      <c r="A204">
        <v>218</v>
      </c>
      <c r="B204" t="s">
        <v>99</v>
      </c>
      <c r="C204" t="s">
        <v>238</v>
      </c>
      <c r="D204">
        <f>INDEX(Standards!$A$2:$A$296,MATCH(B204,Standards!$B$2:$B$296,0))</f>
        <v>28</v>
      </c>
      <c r="E204">
        <f>INDEX(Standards!$A$2:$A$296,MATCH(C204,Standards!$B$2:$B$296,0))</f>
        <v>92</v>
      </c>
      <c r="F204" t="str">
        <f>INDEX(Standards!$N$2:$N$296,MATCH(B204,Standards!$B$2:$B$296,0))</f>
        <v>#7030A0</v>
      </c>
      <c r="G204" t="str">
        <f>INDEX(Standards!$N$2:$N$296,MATCH(C204,Standards!$B$2:$B$296,0))</f>
        <v>#F2F2F2</v>
      </c>
      <c r="H204" t="s">
        <v>521</v>
      </c>
      <c r="I204" t="s">
        <v>237</v>
      </c>
      <c r="J204" t="str">
        <f>INDEX(Standards!$H$2:$H$296,MATCH(B204,Standards!$B$2:$B$296,0))</f>
        <v>ICT</v>
      </c>
      <c r="K204" t="str">
        <f>INDEX(Standards!$H$2:$H$296,MATCH(C204,Standards!$B$2:$B$296,0))</f>
        <v>Anchor</v>
      </c>
      <c r="L204" t="b">
        <f>AND(TableRelationships[[#This Row],[Source Type]]="BIM",TableRelationships[[#This Row],[Target Type]]="BIM")</f>
        <v>0</v>
      </c>
      <c r="M204">
        <f t="shared" si="9"/>
        <v>2</v>
      </c>
      <c r="O204">
        <f t="shared" si="10"/>
        <v>1</v>
      </c>
      <c r="P204" t="str">
        <f>IF(TableRelationships[[#This Row],[Rank Pedro]]="Low","linkCategory1",IF(TableRelationships[[#This Row],[Rank Pedro]]="Medium","linkCategory2",IF(TableRelationships[[#This Row],[Rank Pedro]]="High","linkCategory3","")))</f>
        <v/>
      </c>
      <c r="Q204" t="str">
        <f>IF(TableRelationships[[#This Row],[Rank Pedro]]="Low","Pink",IF(TableRelationships[[#This Row],[Rank Pedro]]="Medium","Purple",IF(TableRelationships[[#This Row],[Rank Pedro]]="High","Brown","")))</f>
        <v/>
      </c>
      <c r="R204" s="4">
        <f>MAX(INDEX(Standards!$F$2:$F$296,MATCH(B204,Standards!$B$2:$B$296,0)),INDEX(Standards!$F$2:$F$296,MATCH(C204,Standards!$B$2:$B$296,0)))</f>
        <v>38353</v>
      </c>
      <c r="S204">
        <f t="shared" si="11"/>
        <v>1</v>
      </c>
    </row>
    <row r="205" spans="1:19" x14ac:dyDescent="0.5">
      <c r="A205">
        <v>219</v>
      </c>
      <c r="B205" t="s">
        <v>118</v>
      </c>
      <c r="C205" t="s">
        <v>238</v>
      </c>
      <c r="D205">
        <f>INDEX(Standards!$A$2:$A$296,MATCH(B205,Standards!$B$2:$B$296,0))</f>
        <v>37</v>
      </c>
      <c r="E205">
        <f>INDEX(Standards!$A$2:$A$296,MATCH(C205,Standards!$B$2:$B$296,0))</f>
        <v>92</v>
      </c>
      <c r="F205" t="str">
        <f>INDEX(Standards!$N$2:$N$296,MATCH(B205,Standards!$B$2:$B$296,0))</f>
        <v>#7030A0</v>
      </c>
      <c r="G205" t="str">
        <f>INDEX(Standards!$N$2:$N$296,MATCH(C205,Standards!$B$2:$B$296,0))</f>
        <v>#F2F2F2</v>
      </c>
      <c r="H205" t="s">
        <v>521</v>
      </c>
      <c r="I205" t="s">
        <v>237</v>
      </c>
      <c r="J205" t="str">
        <f>INDEX(Standards!$H$2:$H$296,MATCH(B205,Standards!$B$2:$B$296,0))</f>
        <v>ICT</v>
      </c>
      <c r="K205" t="str">
        <f>INDEX(Standards!$H$2:$H$296,MATCH(C205,Standards!$B$2:$B$296,0))</f>
        <v>Anchor</v>
      </c>
      <c r="L205" t="b">
        <f>AND(TableRelationships[[#This Row],[Source Type]]="BIM",TableRelationships[[#This Row],[Target Type]]="BIM")</f>
        <v>0</v>
      </c>
      <c r="M205">
        <f t="shared" si="9"/>
        <v>2</v>
      </c>
      <c r="O205">
        <f t="shared" si="10"/>
        <v>1</v>
      </c>
      <c r="P205" t="str">
        <f>IF(TableRelationships[[#This Row],[Rank Pedro]]="Low","linkCategory1",IF(TableRelationships[[#This Row],[Rank Pedro]]="Medium","linkCategory2",IF(TableRelationships[[#This Row],[Rank Pedro]]="High","linkCategory3","")))</f>
        <v/>
      </c>
      <c r="Q205" t="str">
        <f>IF(TableRelationships[[#This Row],[Rank Pedro]]="Low","Pink",IF(TableRelationships[[#This Row],[Rank Pedro]]="Medium","Purple",IF(TableRelationships[[#This Row],[Rank Pedro]]="High","Brown","")))</f>
        <v/>
      </c>
      <c r="R205" s="4">
        <f>MAX(INDEX(Standards!$F$2:$F$296,MATCH(B205,Standards!$B$2:$B$296,0)),INDEX(Standards!$F$2:$F$296,MATCH(C205,Standards!$B$2:$B$296,0)))</f>
        <v>41275</v>
      </c>
      <c r="S205">
        <f t="shared" si="11"/>
        <v>1</v>
      </c>
    </row>
    <row r="206" spans="1:19" x14ac:dyDescent="0.5">
      <c r="A206">
        <v>220</v>
      </c>
      <c r="B206" t="s">
        <v>120</v>
      </c>
      <c r="C206" t="s">
        <v>238</v>
      </c>
      <c r="D206">
        <f>INDEX(Standards!$A$2:$A$296,MATCH(B206,Standards!$B$2:$B$296,0))</f>
        <v>38</v>
      </c>
      <c r="E206">
        <f>INDEX(Standards!$A$2:$A$296,MATCH(C206,Standards!$B$2:$B$296,0))</f>
        <v>92</v>
      </c>
      <c r="F206" t="str">
        <f>INDEX(Standards!$N$2:$N$296,MATCH(B206,Standards!$B$2:$B$296,0))</f>
        <v>#7030A0</v>
      </c>
      <c r="G206" t="str">
        <f>INDEX(Standards!$N$2:$N$296,MATCH(C206,Standards!$B$2:$B$296,0))</f>
        <v>#F2F2F2</v>
      </c>
      <c r="H206" t="s">
        <v>521</v>
      </c>
      <c r="I206" t="s">
        <v>237</v>
      </c>
      <c r="J206" t="str">
        <f>INDEX(Standards!$H$2:$H$296,MATCH(B206,Standards!$B$2:$B$296,0))</f>
        <v>ICT</v>
      </c>
      <c r="K206" t="str">
        <f>INDEX(Standards!$H$2:$H$296,MATCH(C206,Standards!$B$2:$B$296,0))</f>
        <v>Anchor</v>
      </c>
      <c r="L206" t="b">
        <f>AND(TableRelationships[[#This Row],[Source Type]]="BIM",TableRelationships[[#This Row],[Target Type]]="BIM")</f>
        <v>0</v>
      </c>
      <c r="M206">
        <f t="shared" si="9"/>
        <v>2</v>
      </c>
      <c r="O206">
        <f t="shared" si="10"/>
        <v>1</v>
      </c>
      <c r="P206" t="str">
        <f>IF(TableRelationships[[#This Row],[Rank Pedro]]="Low","linkCategory1",IF(TableRelationships[[#This Row],[Rank Pedro]]="Medium","linkCategory2",IF(TableRelationships[[#This Row],[Rank Pedro]]="High","linkCategory3","")))</f>
        <v/>
      </c>
      <c r="Q206" t="str">
        <f>IF(TableRelationships[[#This Row],[Rank Pedro]]="Low","Pink",IF(TableRelationships[[#This Row],[Rank Pedro]]="Medium","Purple",IF(TableRelationships[[#This Row],[Rank Pedro]]="High","Brown","")))</f>
        <v/>
      </c>
      <c r="R206" s="4">
        <f>MAX(INDEX(Standards!$F$2:$F$296,MATCH(B206,Standards!$B$2:$B$296,0)),INDEX(Standards!$F$2:$F$296,MATCH(C206,Standards!$B$2:$B$296,0)))</f>
        <v>37257</v>
      </c>
      <c r="S206">
        <f t="shared" si="11"/>
        <v>1</v>
      </c>
    </row>
    <row r="207" spans="1:19" x14ac:dyDescent="0.5">
      <c r="A207">
        <v>221</v>
      </c>
      <c r="B207" t="s">
        <v>122</v>
      </c>
      <c r="C207" t="s">
        <v>238</v>
      </c>
      <c r="D207">
        <f>INDEX(Standards!$A$2:$A$296,MATCH(B207,Standards!$B$2:$B$296,0))</f>
        <v>39</v>
      </c>
      <c r="E207">
        <f>INDEX(Standards!$A$2:$A$296,MATCH(C207,Standards!$B$2:$B$296,0))</f>
        <v>92</v>
      </c>
      <c r="F207" t="str">
        <f>INDEX(Standards!$N$2:$N$296,MATCH(B207,Standards!$B$2:$B$296,0))</f>
        <v>#7030A0</v>
      </c>
      <c r="G207" t="str">
        <f>INDEX(Standards!$N$2:$N$296,MATCH(C207,Standards!$B$2:$B$296,0))</f>
        <v>#F2F2F2</v>
      </c>
      <c r="H207" t="s">
        <v>521</v>
      </c>
      <c r="I207" t="s">
        <v>237</v>
      </c>
      <c r="J207" t="str">
        <f>INDEX(Standards!$H$2:$H$296,MATCH(B207,Standards!$B$2:$B$296,0))</f>
        <v>ICT</v>
      </c>
      <c r="K207" t="str">
        <f>INDEX(Standards!$H$2:$H$296,MATCH(C207,Standards!$B$2:$B$296,0))</f>
        <v>Anchor</v>
      </c>
      <c r="L207" t="b">
        <f>AND(TableRelationships[[#This Row],[Source Type]]="BIM",TableRelationships[[#This Row],[Target Type]]="BIM")</f>
        <v>0</v>
      </c>
      <c r="M207">
        <f t="shared" si="9"/>
        <v>2</v>
      </c>
      <c r="O207">
        <f t="shared" si="10"/>
        <v>1</v>
      </c>
      <c r="P207" t="str">
        <f>IF(TableRelationships[[#This Row],[Rank Pedro]]="Low","linkCategory1",IF(TableRelationships[[#This Row],[Rank Pedro]]="Medium","linkCategory2",IF(TableRelationships[[#This Row],[Rank Pedro]]="High","linkCategory3","")))</f>
        <v/>
      </c>
      <c r="Q207" t="str">
        <f>IF(TableRelationships[[#This Row],[Rank Pedro]]="Low","Pink",IF(TableRelationships[[#This Row],[Rank Pedro]]="Medium","Purple",IF(TableRelationships[[#This Row],[Rank Pedro]]="High","Brown","")))</f>
        <v/>
      </c>
      <c r="R207" s="4">
        <f>MAX(INDEX(Standards!$F$2:$F$296,MATCH(B207,Standards!$B$2:$B$296,0)),INDEX(Standards!$F$2:$F$296,MATCH(C207,Standards!$B$2:$B$296,0)))</f>
        <v>39814</v>
      </c>
      <c r="S207">
        <f t="shared" si="11"/>
        <v>1</v>
      </c>
    </row>
    <row r="208" spans="1:19" x14ac:dyDescent="0.5">
      <c r="A208">
        <v>223</v>
      </c>
      <c r="B208" t="s">
        <v>128</v>
      </c>
      <c r="C208" t="s">
        <v>238</v>
      </c>
      <c r="D208">
        <f>INDEX(Standards!$A$2:$A$296,MATCH(B208,Standards!$B$2:$B$296,0))</f>
        <v>43</v>
      </c>
      <c r="E208">
        <f>INDEX(Standards!$A$2:$A$296,MATCH(C208,Standards!$B$2:$B$296,0))</f>
        <v>92</v>
      </c>
      <c r="F208" t="str">
        <f>INDEX(Standards!$N$2:$N$296,MATCH(B208,Standards!$B$2:$B$296,0))</f>
        <v>#7030A0</v>
      </c>
      <c r="G208" t="str">
        <f>INDEX(Standards!$N$2:$N$296,MATCH(C208,Standards!$B$2:$B$296,0))</f>
        <v>#F2F2F2</v>
      </c>
      <c r="H208" t="s">
        <v>521</v>
      </c>
      <c r="I208" t="s">
        <v>237</v>
      </c>
      <c r="J208" t="str">
        <f>INDEX(Standards!$H$2:$H$296,MATCH(B208,Standards!$B$2:$B$296,0))</f>
        <v>ICT</v>
      </c>
      <c r="K208" t="str">
        <f>INDEX(Standards!$H$2:$H$296,MATCH(C208,Standards!$B$2:$B$296,0))</f>
        <v>Anchor</v>
      </c>
      <c r="L208" t="b">
        <f>AND(TableRelationships[[#This Row],[Source Type]]="BIM",TableRelationships[[#This Row],[Target Type]]="BIM")</f>
        <v>0</v>
      </c>
      <c r="M208">
        <f t="shared" si="9"/>
        <v>2</v>
      </c>
      <c r="O208">
        <f t="shared" si="10"/>
        <v>1</v>
      </c>
      <c r="P208" t="str">
        <f>IF(TableRelationships[[#This Row],[Rank Pedro]]="Low","linkCategory1",IF(TableRelationships[[#This Row],[Rank Pedro]]="Medium","linkCategory2",IF(TableRelationships[[#This Row],[Rank Pedro]]="High","linkCategory3","")))</f>
        <v/>
      </c>
      <c r="Q208" t="str">
        <f>IF(TableRelationships[[#This Row],[Rank Pedro]]="Low","Pink",IF(TableRelationships[[#This Row],[Rank Pedro]]="Medium","Purple",IF(TableRelationships[[#This Row],[Rank Pedro]]="High","Brown","")))</f>
        <v/>
      </c>
      <c r="R208" s="4">
        <f>MAX(INDEX(Standards!$F$2:$F$296,MATCH(B208,Standards!$B$2:$B$296,0)),INDEX(Standards!$F$2:$F$296,MATCH(C208,Standards!$B$2:$B$296,0)))</f>
        <v>34335</v>
      </c>
      <c r="S208">
        <f t="shared" si="11"/>
        <v>1</v>
      </c>
    </row>
    <row r="209" spans="1:19" x14ac:dyDescent="0.5">
      <c r="A209">
        <v>224</v>
      </c>
      <c r="B209" t="s">
        <v>130</v>
      </c>
      <c r="C209" t="s">
        <v>238</v>
      </c>
      <c r="D209">
        <f>INDEX(Standards!$A$2:$A$296,MATCH(B209,Standards!$B$2:$B$296,0))</f>
        <v>44</v>
      </c>
      <c r="E209">
        <f>INDEX(Standards!$A$2:$A$296,MATCH(C209,Standards!$B$2:$B$296,0))</f>
        <v>92</v>
      </c>
      <c r="F209" t="str">
        <f>INDEX(Standards!$N$2:$N$296,MATCH(B209,Standards!$B$2:$B$296,0))</f>
        <v>#7030A0</v>
      </c>
      <c r="G209" t="str">
        <f>INDEX(Standards!$N$2:$N$296,MATCH(C209,Standards!$B$2:$B$296,0))</f>
        <v>#F2F2F2</v>
      </c>
      <c r="H209" t="s">
        <v>521</v>
      </c>
      <c r="I209" t="s">
        <v>237</v>
      </c>
      <c r="J209" t="str">
        <f>INDEX(Standards!$H$2:$H$296,MATCH(B209,Standards!$B$2:$B$296,0))</f>
        <v>ICT</v>
      </c>
      <c r="K209" t="str">
        <f>INDEX(Standards!$H$2:$H$296,MATCH(C209,Standards!$B$2:$B$296,0))</f>
        <v>Anchor</v>
      </c>
      <c r="L209" t="b">
        <f>AND(TableRelationships[[#This Row],[Source Type]]="BIM",TableRelationships[[#This Row],[Target Type]]="BIM")</f>
        <v>0</v>
      </c>
      <c r="M209">
        <f t="shared" si="9"/>
        <v>2</v>
      </c>
      <c r="O209">
        <f t="shared" si="10"/>
        <v>1</v>
      </c>
      <c r="P209" t="str">
        <f>IF(TableRelationships[[#This Row],[Rank Pedro]]="Low","linkCategory1",IF(TableRelationships[[#This Row],[Rank Pedro]]="Medium","linkCategory2",IF(TableRelationships[[#This Row],[Rank Pedro]]="High","linkCategory3","")))</f>
        <v/>
      </c>
      <c r="Q209" t="str">
        <f>IF(TableRelationships[[#This Row],[Rank Pedro]]="Low","Pink",IF(TableRelationships[[#This Row],[Rank Pedro]]="Medium","Purple",IF(TableRelationships[[#This Row],[Rank Pedro]]="High","Brown","")))</f>
        <v/>
      </c>
      <c r="R209" s="4">
        <f>MAX(INDEX(Standards!$F$2:$F$296,MATCH(B209,Standards!$B$2:$B$296,0)),INDEX(Standards!$F$2:$F$296,MATCH(C209,Standards!$B$2:$B$296,0)))</f>
        <v>37622</v>
      </c>
      <c r="S209">
        <f t="shared" si="11"/>
        <v>1</v>
      </c>
    </row>
    <row r="210" spans="1:19" x14ac:dyDescent="0.5">
      <c r="A210">
        <v>225</v>
      </c>
      <c r="B210" t="s">
        <v>134</v>
      </c>
      <c r="C210" t="s">
        <v>238</v>
      </c>
      <c r="D210">
        <f>INDEX(Standards!$A$2:$A$296,MATCH(B210,Standards!$B$2:$B$296,0))</f>
        <v>46</v>
      </c>
      <c r="E210">
        <f>INDEX(Standards!$A$2:$A$296,MATCH(C210,Standards!$B$2:$B$296,0))</f>
        <v>92</v>
      </c>
      <c r="F210" t="str">
        <f>INDEX(Standards!$N$2:$N$296,MATCH(B210,Standards!$B$2:$B$296,0))</f>
        <v>#7030A0</v>
      </c>
      <c r="G210" t="str">
        <f>INDEX(Standards!$N$2:$N$296,MATCH(C210,Standards!$B$2:$B$296,0))</f>
        <v>#F2F2F2</v>
      </c>
      <c r="H210" t="s">
        <v>521</v>
      </c>
      <c r="I210" t="s">
        <v>237</v>
      </c>
      <c r="J210" t="str">
        <f>INDEX(Standards!$H$2:$H$296,MATCH(B210,Standards!$B$2:$B$296,0))</f>
        <v>ICT</v>
      </c>
      <c r="K210" t="str">
        <f>INDEX(Standards!$H$2:$H$296,MATCH(C210,Standards!$B$2:$B$296,0))</f>
        <v>Anchor</v>
      </c>
      <c r="L210" t="b">
        <f>AND(TableRelationships[[#This Row],[Source Type]]="BIM",TableRelationships[[#This Row],[Target Type]]="BIM")</f>
        <v>0</v>
      </c>
      <c r="M210">
        <f t="shared" si="9"/>
        <v>2</v>
      </c>
      <c r="O210">
        <f t="shared" si="10"/>
        <v>1</v>
      </c>
      <c r="P210" t="str">
        <f>IF(TableRelationships[[#This Row],[Rank Pedro]]="Low","linkCategory1",IF(TableRelationships[[#This Row],[Rank Pedro]]="Medium","linkCategory2",IF(TableRelationships[[#This Row],[Rank Pedro]]="High","linkCategory3","")))</f>
        <v/>
      </c>
      <c r="Q210" t="str">
        <f>IF(TableRelationships[[#This Row],[Rank Pedro]]="Low","Pink",IF(TableRelationships[[#This Row],[Rank Pedro]]="Medium","Purple",IF(TableRelationships[[#This Row],[Rank Pedro]]="High","Brown","")))</f>
        <v/>
      </c>
      <c r="R210" s="4">
        <f>MAX(INDEX(Standards!$F$2:$F$296,MATCH(B210,Standards!$B$2:$B$296,0)),INDEX(Standards!$F$2:$F$296,MATCH(C210,Standards!$B$2:$B$296,0)))</f>
        <v>34669</v>
      </c>
      <c r="S210">
        <f t="shared" si="11"/>
        <v>1</v>
      </c>
    </row>
    <row r="211" spans="1:19" x14ac:dyDescent="0.5">
      <c r="A211">
        <v>226</v>
      </c>
      <c r="B211" t="s">
        <v>136</v>
      </c>
      <c r="C211" t="s">
        <v>238</v>
      </c>
      <c r="D211">
        <f>INDEX(Standards!$A$2:$A$296,MATCH(B211,Standards!$B$2:$B$296,0))</f>
        <v>47</v>
      </c>
      <c r="E211">
        <f>INDEX(Standards!$A$2:$A$296,MATCH(C211,Standards!$B$2:$B$296,0))</f>
        <v>92</v>
      </c>
      <c r="F211" t="str">
        <f>INDEX(Standards!$N$2:$N$296,MATCH(B211,Standards!$B$2:$B$296,0))</f>
        <v>#7030A0</v>
      </c>
      <c r="G211" t="str">
        <f>INDEX(Standards!$N$2:$N$296,MATCH(C211,Standards!$B$2:$B$296,0))</f>
        <v>#F2F2F2</v>
      </c>
      <c r="H211" t="s">
        <v>521</v>
      </c>
      <c r="I211" t="s">
        <v>237</v>
      </c>
      <c r="J211" t="str">
        <f>INDEX(Standards!$H$2:$H$296,MATCH(B211,Standards!$B$2:$B$296,0))</f>
        <v>ICT</v>
      </c>
      <c r="K211" t="str">
        <f>INDEX(Standards!$H$2:$H$296,MATCH(C211,Standards!$B$2:$B$296,0))</f>
        <v>Anchor</v>
      </c>
      <c r="L211" t="b">
        <f>AND(TableRelationships[[#This Row],[Source Type]]="BIM",TableRelationships[[#This Row],[Target Type]]="BIM")</f>
        <v>0</v>
      </c>
      <c r="M211">
        <f t="shared" si="9"/>
        <v>2</v>
      </c>
      <c r="O211">
        <f t="shared" si="10"/>
        <v>1</v>
      </c>
      <c r="P211" t="str">
        <f>IF(TableRelationships[[#This Row],[Rank Pedro]]="Low","linkCategory1",IF(TableRelationships[[#This Row],[Rank Pedro]]="Medium","linkCategory2",IF(TableRelationships[[#This Row],[Rank Pedro]]="High","linkCategory3","")))</f>
        <v/>
      </c>
      <c r="Q211" t="str">
        <f>IF(TableRelationships[[#This Row],[Rank Pedro]]="Low","Pink",IF(TableRelationships[[#This Row],[Rank Pedro]]="Medium","Purple",IF(TableRelationships[[#This Row],[Rank Pedro]]="High","Brown","")))</f>
        <v/>
      </c>
      <c r="R211" s="4">
        <f>MAX(INDEX(Standards!$F$2:$F$296,MATCH(B211,Standards!$B$2:$B$296,0)),INDEX(Standards!$F$2:$F$296,MATCH(C211,Standards!$B$2:$B$296,0)))</f>
        <v>39417</v>
      </c>
      <c r="S211">
        <f t="shared" si="11"/>
        <v>1</v>
      </c>
    </row>
    <row r="212" spans="1:19" x14ac:dyDescent="0.5">
      <c r="A212">
        <v>227</v>
      </c>
      <c r="B212" t="s">
        <v>138</v>
      </c>
      <c r="C212" t="s">
        <v>238</v>
      </c>
      <c r="D212">
        <f>INDEX(Standards!$A$2:$A$296,MATCH(B212,Standards!$B$2:$B$296,0))</f>
        <v>48</v>
      </c>
      <c r="E212">
        <f>INDEX(Standards!$A$2:$A$296,MATCH(C212,Standards!$B$2:$B$296,0))</f>
        <v>92</v>
      </c>
      <c r="F212" t="str">
        <f>INDEX(Standards!$N$2:$N$296,MATCH(B212,Standards!$B$2:$B$296,0))</f>
        <v>#7030A0</v>
      </c>
      <c r="G212" t="str">
        <f>INDEX(Standards!$N$2:$N$296,MATCH(C212,Standards!$B$2:$B$296,0))</f>
        <v>#F2F2F2</v>
      </c>
      <c r="H212" t="s">
        <v>521</v>
      </c>
      <c r="I212" t="s">
        <v>237</v>
      </c>
      <c r="J212" t="str">
        <f>INDEX(Standards!$H$2:$H$296,MATCH(B212,Standards!$B$2:$B$296,0))</f>
        <v>ICT</v>
      </c>
      <c r="K212" t="str">
        <f>INDEX(Standards!$H$2:$H$296,MATCH(C212,Standards!$B$2:$B$296,0))</f>
        <v>Anchor</v>
      </c>
      <c r="L212" t="b">
        <f>AND(TableRelationships[[#This Row],[Source Type]]="BIM",TableRelationships[[#This Row],[Target Type]]="BIM")</f>
        <v>0</v>
      </c>
      <c r="M212">
        <f t="shared" si="9"/>
        <v>2</v>
      </c>
      <c r="O212">
        <f t="shared" si="10"/>
        <v>1</v>
      </c>
      <c r="P212" t="str">
        <f>IF(TableRelationships[[#This Row],[Rank Pedro]]="Low","linkCategory1",IF(TableRelationships[[#This Row],[Rank Pedro]]="Medium","linkCategory2",IF(TableRelationships[[#This Row],[Rank Pedro]]="High","linkCategory3","")))</f>
        <v/>
      </c>
      <c r="Q212" t="str">
        <f>IF(TableRelationships[[#This Row],[Rank Pedro]]="Low","Pink",IF(TableRelationships[[#This Row],[Rank Pedro]]="Medium","Purple",IF(TableRelationships[[#This Row],[Rank Pedro]]="High","Brown","")))</f>
        <v/>
      </c>
      <c r="R212" s="4">
        <f>MAX(INDEX(Standards!$F$2:$F$296,MATCH(B212,Standards!$B$2:$B$296,0)),INDEX(Standards!$F$2:$F$296,MATCH(C212,Standards!$B$2:$B$296,0)))</f>
        <v>37622</v>
      </c>
      <c r="S212">
        <f t="shared" si="11"/>
        <v>1</v>
      </c>
    </row>
    <row r="213" spans="1:19" x14ac:dyDescent="0.5">
      <c r="A213">
        <v>228</v>
      </c>
      <c r="B213" t="s">
        <v>152</v>
      </c>
      <c r="C213" t="s">
        <v>238</v>
      </c>
      <c r="D213">
        <f>INDEX(Standards!$A$2:$A$296,MATCH(B213,Standards!$B$2:$B$296,0))</f>
        <v>54</v>
      </c>
      <c r="E213">
        <f>INDEX(Standards!$A$2:$A$296,MATCH(C213,Standards!$B$2:$B$296,0))</f>
        <v>92</v>
      </c>
      <c r="F213" t="str">
        <f>INDEX(Standards!$N$2:$N$296,MATCH(B213,Standards!$B$2:$B$296,0))</f>
        <v>#7030A0</v>
      </c>
      <c r="G213" t="str">
        <f>INDEX(Standards!$N$2:$N$296,MATCH(C213,Standards!$B$2:$B$296,0))</f>
        <v>#F2F2F2</v>
      </c>
      <c r="H213" t="s">
        <v>521</v>
      </c>
      <c r="I213" t="s">
        <v>237</v>
      </c>
      <c r="J213" t="str">
        <f>INDEX(Standards!$H$2:$H$296,MATCH(B213,Standards!$B$2:$B$296,0))</f>
        <v>ICT</v>
      </c>
      <c r="K213" t="str">
        <f>INDEX(Standards!$H$2:$H$296,MATCH(C213,Standards!$B$2:$B$296,0))</f>
        <v>Anchor</v>
      </c>
      <c r="L213" t="b">
        <f>AND(TableRelationships[[#This Row],[Source Type]]="BIM",TableRelationships[[#This Row],[Target Type]]="BIM")</f>
        <v>0</v>
      </c>
      <c r="M213">
        <f t="shared" si="9"/>
        <v>2</v>
      </c>
      <c r="O213">
        <f t="shared" si="10"/>
        <v>1</v>
      </c>
      <c r="P213" t="str">
        <f>IF(TableRelationships[[#This Row],[Rank Pedro]]="Low","linkCategory1",IF(TableRelationships[[#This Row],[Rank Pedro]]="Medium","linkCategory2",IF(TableRelationships[[#This Row],[Rank Pedro]]="High","linkCategory3","")))</f>
        <v/>
      </c>
      <c r="Q213" t="str">
        <f>IF(TableRelationships[[#This Row],[Rank Pedro]]="Low","Pink",IF(TableRelationships[[#This Row],[Rank Pedro]]="Medium","Purple",IF(TableRelationships[[#This Row],[Rank Pedro]]="High","Brown","")))</f>
        <v/>
      </c>
      <c r="R213" s="4">
        <f>MAX(INDEX(Standards!$F$2:$F$296,MATCH(B213,Standards!$B$2:$B$296,0)),INDEX(Standards!$F$2:$F$296,MATCH(C213,Standards!$B$2:$B$296,0)))</f>
        <v>40909</v>
      </c>
      <c r="S213">
        <f t="shared" si="11"/>
        <v>1</v>
      </c>
    </row>
    <row r="214" spans="1:19" x14ac:dyDescent="0.5">
      <c r="A214">
        <v>229</v>
      </c>
      <c r="B214" t="s">
        <v>162</v>
      </c>
      <c r="C214" t="s">
        <v>238</v>
      </c>
      <c r="D214">
        <f>INDEX(Standards!$A$2:$A$296,MATCH(B214,Standards!$B$2:$B$296,0))</f>
        <v>59</v>
      </c>
      <c r="E214">
        <f>INDEX(Standards!$A$2:$A$296,MATCH(C214,Standards!$B$2:$B$296,0))</f>
        <v>92</v>
      </c>
      <c r="F214" t="str">
        <f>INDEX(Standards!$N$2:$N$296,MATCH(B214,Standards!$B$2:$B$296,0))</f>
        <v>#7030A0</v>
      </c>
      <c r="G214" t="str">
        <f>INDEX(Standards!$N$2:$N$296,MATCH(C214,Standards!$B$2:$B$296,0))</f>
        <v>#F2F2F2</v>
      </c>
      <c r="H214" t="s">
        <v>521</v>
      </c>
      <c r="I214" t="s">
        <v>237</v>
      </c>
      <c r="J214" t="str">
        <f>INDEX(Standards!$H$2:$H$296,MATCH(B214,Standards!$B$2:$B$296,0))</f>
        <v>ICT</v>
      </c>
      <c r="K214" t="str">
        <f>INDEX(Standards!$H$2:$H$296,MATCH(C214,Standards!$B$2:$B$296,0))</f>
        <v>Anchor</v>
      </c>
      <c r="L214" t="b">
        <f>AND(TableRelationships[[#This Row],[Source Type]]="BIM",TableRelationships[[#This Row],[Target Type]]="BIM")</f>
        <v>0</v>
      </c>
      <c r="M214">
        <f t="shared" si="9"/>
        <v>2</v>
      </c>
      <c r="O214">
        <f t="shared" si="10"/>
        <v>1</v>
      </c>
      <c r="P214" t="str">
        <f>IF(TableRelationships[[#This Row],[Rank Pedro]]="Low","linkCategory1",IF(TableRelationships[[#This Row],[Rank Pedro]]="Medium","linkCategory2",IF(TableRelationships[[#This Row],[Rank Pedro]]="High","linkCategory3","")))</f>
        <v/>
      </c>
      <c r="Q214" t="str">
        <f>IF(TableRelationships[[#This Row],[Rank Pedro]]="Low","Pink",IF(TableRelationships[[#This Row],[Rank Pedro]]="Medium","Purple",IF(TableRelationships[[#This Row],[Rank Pedro]]="High","Brown","")))</f>
        <v/>
      </c>
      <c r="R214" s="4">
        <f>MAX(INDEX(Standards!$F$2:$F$296,MATCH(B214,Standards!$B$2:$B$296,0)),INDEX(Standards!$F$2:$F$296,MATCH(C214,Standards!$B$2:$B$296,0)))</f>
        <v>34700</v>
      </c>
      <c r="S214">
        <f t="shared" si="11"/>
        <v>1</v>
      </c>
    </row>
    <row r="215" spans="1:19" x14ac:dyDescent="0.5">
      <c r="A215">
        <v>230</v>
      </c>
      <c r="B215" t="s">
        <v>164</v>
      </c>
      <c r="C215" t="s">
        <v>238</v>
      </c>
      <c r="D215">
        <f>INDEX(Standards!$A$2:$A$296,MATCH(B215,Standards!$B$2:$B$296,0))</f>
        <v>60</v>
      </c>
      <c r="E215">
        <f>INDEX(Standards!$A$2:$A$296,MATCH(C215,Standards!$B$2:$B$296,0))</f>
        <v>92</v>
      </c>
      <c r="F215" t="str">
        <f>INDEX(Standards!$N$2:$N$296,MATCH(B215,Standards!$B$2:$B$296,0))</f>
        <v>#7030A0</v>
      </c>
      <c r="G215" t="str">
        <f>INDEX(Standards!$N$2:$N$296,MATCH(C215,Standards!$B$2:$B$296,0))</f>
        <v>#F2F2F2</v>
      </c>
      <c r="H215" t="s">
        <v>521</v>
      </c>
      <c r="I215" t="s">
        <v>237</v>
      </c>
      <c r="J215" t="str">
        <f>INDEX(Standards!$H$2:$H$296,MATCH(B215,Standards!$B$2:$B$296,0))</f>
        <v>ICT</v>
      </c>
      <c r="K215" t="str">
        <f>INDEX(Standards!$H$2:$H$296,MATCH(C215,Standards!$B$2:$B$296,0))</f>
        <v>Anchor</v>
      </c>
      <c r="L215" t="b">
        <f>AND(TableRelationships[[#This Row],[Source Type]]="BIM",TableRelationships[[#This Row],[Target Type]]="BIM")</f>
        <v>0</v>
      </c>
      <c r="M215">
        <f t="shared" si="9"/>
        <v>2</v>
      </c>
      <c r="O215">
        <f t="shared" si="10"/>
        <v>1</v>
      </c>
      <c r="P215" t="str">
        <f>IF(TableRelationships[[#This Row],[Rank Pedro]]="Low","linkCategory1",IF(TableRelationships[[#This Row],[Rank Pedro]]="Medium","linkCategory2",IF(TableRelationships[[#This Row],[Rank Pedro]]="High","linkCategory3","")))</f>
        <v/>
      </c>
      <c r="Q215" t="str">
        <f>IF(TableRelationships[[#This Row],[Rank Pedro]]="Low","Pink",IF(TableRelationships[[#This Row],[Rank Pedro]]="Medium","Purple",IF(TableRelationships[[#This Row],[Rank Pedro]]="High","Brown","")))</f>
        <v/>
      </c>
      <c r="R215" s="4">
        <f>MAX(INDEX(Standards!$F$2:$F$296,MATCH(B215,Standards!$B$2:$B$296,0)),INDEX(Standards!$F$2:$F$296,MATCH(C215,Standards!$B$2:$B$296,0)))</f>
        <v>37622</v>
      </c>
      <c r="S215">
        <f t="shared" si="11"/>
        <v>1</v>
      </c>
    </row>
    <row r="216" spans="1:19" x14ac:dyDescent="0.5">
      <c r="A216">
        <v>231</v>
      </c>
      <c r="B216" t="s">
        <v>168</v>
      </c>
      <c r="C216" t="s">
        <v>238</v>
      </c>
      <c r="D216">
        <f>INDEX(Standards!$A$2:$A$296,MATCH(B216,Standards!$B$2:$B$296,0))</f>
        <v>62</v>
      </c>
      <c r="E216">
        <f>INDEX(Standards!$A$2:$A$296,MATCH(C216,Standards!$B$2:$B$296,0))</f>
        <v>92</v>
      </c>
      <c r="F216" t="str">
        <f>INDEX(Standards!$N$2:$N$296,MATCH(B216,Standards!$B$2:$B$296,0))</f>
        <v>#7030A0</v>
      </c>
      <c r="G216" t="str">
        <f>INDEX(Standards!$N$2:$N$296,MATCH(C216,Standards!$B$2:$B$296,0))</f>
        <v>#F2F2F2</v>
      </c>
      <c r="H216" t="s">
        <v>521</v>
      </c>
      <c r="I216" t="s">
        <v>237</v>
      </c>
      <c r="J216" t="str">
        <f>INDEX(Standards!$H$2:$H$296,MATCH(B216,Standards!$B$2:$B$296,0))</f>
        <v>ICT</v>
      </c>
      <c r="K216" t="str">
        <f>INDEX(Standards!$H$2:$H$296,MATCH(C216,Standards!$B$2:$B$296,0))</f>
        <v>Anchor</v>
      </c>
      <c r="L216" t="b">
        <f>AND(TableRelationships[[#This Row],[Source Type]]="BIM",TableRelationships[[#This Row],[Target Type]]="BIM")</f>
        <v>0</v>
      </c>
      <c r="M216">
        <f t="shared" si="9"/>
        <v>2</v>
      </c>
      <c r="O216">
        <f t="shared" si="10"/>
        <v>1</v>
      </c>
      <c r="P216" t="str">
        <f>IF(TableRelationships[[#This Row],[Rank Pedro]]="Low","linkCategory1",IF(TableRelationships[[#This Row],[Rank Pedro]]="Medium","linkCategory2",IF(TableRelationships[[#This Row],[Rank Pedro]]="High","linkCategory3","")))</f>
        <v/>
      </c>
      <c r="Q216" t="str">
        <f>IF(TableRelationships[[#This Row],[Rank Pedro]]="Low","Pink",IF(TableRelationships[[#This Row],[Rank Pedro]]="Medium","Purple",IF(TableRelationships[[#This Row],[Rank Pedro]]="High","Brown","")))</f>
        <v/>
      </c>
      <c r="R216" s="4">
        <f>MAX(INDEX(Standards!$F$2:$F$296,MATCH(B216,Standards!$B$2:$B$296,0)),INDEX(Standards!$F$2:$F$296,MATCH(C216,Standards!$B$2:$B$296,0)))</f>
        <v>34335</v>
      </c>
      <c r="S216">
        <f t="shared" si="11"/>
        <v>1</v>
      </c>
    </row>
    <row r="217" spans="1:19" x14ac:dyDescent="0.5">
      <c r="A217">
        <v>232</v>
      </c>
      <c r="B217" t="s">
        <v>186</v>
      </c>
      <c r="C217" t="s">
        <v>238</v>
      </c>
      <c r="D217">
        <f>INDEX(Standards!$A$2:$A$296,MATCH(B217,Standards!$B$2:$B$296,0))</f>
        <v>69</v>
      </c>
      <c r="E217">
        <f>INDEX(Standards!$A$2:$A$296,MATCH(C217,Standards!$B$2:$B$296,0))</f>
        <v>92</v>
      </c>
      <c r="F217" t="str">
        <f>INDEX(Standards!$N$2:$N$296,MATCH(B217,Standards!$B$2:$B$296,0))</f>
        <v>#7030A0</v>
      </c>
      <c r="G217" t="str">
        <f>INDEX(Standards!$N$2:$N$296,MATCH(C217,Standards!$B$2:$B$296,0))</f>
        <v>#F2F2F2</v>
      </c>
      <c r="H217" t="s">
        <v>521</v>
      </c>
      <c r="I217" t="s">
        <v>237</v>
      </c>
      <c r="J217" t="str">
        <f>INDEX(Standards!$H$2:$H$296,MATCH(B217,Standards!$B$2:$B$296,0))</f>
        <v>ICT</v>
      </c>
      <c r="K217" t="str">
        <f>INDEX(Standards!$H$2:$H$296,MATCH(C217,Standards!$B$2:$B$296,0))</f>
        <v>Anchor</v>
      </c>
      <c r="L217" t="b">
        <f>AND(TableRelationships[[#This Row],[Source Type]]="BIM",TableRelationships[[#This Row],[Target Type]]="BIM")</f>
        <v>0</v>
      </c>
      <c r="M217">
        <f t="shared" si="9"/>
        <v>2</v>
      </c>
      <c r="O217">
        <f t="shared" si="10"/>
        <v>1</v>
      </c>
      <c r="P217" t="str">
        <f>IF(TableRelationships[[#This Row],[Rank Pedro]]="Low","linkCategory1",IF(TableRelationships[[#This Row],[Rank Pedro]]="Medium","linkCategory2",IF(TableRelationships[[#This Row],[Rank Pedro]]="High","linkCategory3","")))</f>
        <v/>
      </c>
      <c r="Q217" t="str">
        <f>IF(TableRelationships[[#This Row],[Rank Pedro]]="Low","Pink",IF(TableRelationships[[#This Row],[Rank Pedro]]="Medium","Purple",IF(TableRelationships[[#This Row],[Rank Pedro]]="High","Brown","")))</f>
        <v/>
      </c>
      <c r="R217" s="4">
        <f>MAX(INDEX(Standards!$F$2:$F$296,MATCH(B217,Standards!$B$2:$B$296,0)),INDEX(Standards!$F$2:$F$296,MATCH(C217,Standards!$B$2:$B$296,0)))</f>
        <v>32143</v>
      </c>
      <c r="S217">
        <f t="shared" si="11"/>
        <v>1</v>
      </c>
    </row>
    <row r="218" spans="1:19" x14ac:dyDescent="0.5">
      <c r="A218">
        <v>233</v>
      </c>
      <c r="B218" t="s">
        <v>188</v>
      </c>
      <c r="C218" t="s">
        <v>238</v>
      </c>
      <c r="D218">
        <f>INDEX(Standards!$A$2:$A$296,MATCH(B218,Standards!$B$2:$B$296,0))</f>
        <v>70</v>
      </c>
      <c r="E218">
        <f>INDEX(Standards!$A$2:$A$296,MATCH(C218,Standards!$B$2:$B$296,0))</f>
        <v>92</v>
      </c>
      <c r="F218" t="str">
        <f>INDEX(Standards!$N$2:$N$296,MATCH(B218,Standards!$B$2:$B$296,0))</f>
        <v>#7030A0</v>
      </c>
      <c r="G218" t="str">
        <f>INDEX(Standards!$N$2:$N$296,MATCH(C218,Standards!$B$2:$B$296,0))</f>
        <v>#F2F2F2</v>
      </c>
      <c r="H218" t="s">
        <v>521</v>
      </c>
      <c r="I218" t="s">
        <v>237</v>
      </c>
      <c r="J218" t="str">
        <f>INDEX(Standards!$H$2:$H$296,MATCH(B218,Standards!$B$2:$B$296,0))</f>
        <v>ICT</v>
      </c>
      <c r="K218" t="str">
        <f>INDEX(Standards!$H$2:$H$296,MATCH(C218,Standards!$B$2:$B$296,0))</f>
        <v>Anchor</v>
      </c>
      <c r="L218" t="b">
        <f>AND(TableRelationships[[#This Row],[Source Type]]="BIM",TableRelationships[[#This Row],[Target Type]]="BIM")</f>
        <v>0</v>
      </c>
      <c r="M218">
        <f t="shared" si="9"/>
        <v>2</v>
      </c>
      <c r="O218">
        <f t="shared" si="10"/>
        <v>1</v>
      </c>
      <c r="P218" t="str">
        <f>IF(TableRelationships[[#This Row],[Rank Pedro]]="Low","linkCategory1",IF(TableRelationships[[#This Row],[Rank Pedro]]="Medium","linkCategory2",IF(TableRelationships[[#This Row],[Rank Pedro]]="High","linkCategory3","")))</f>
        <v/>
      </c>
      <c r="Q218" t="str">
        <f>IF(TableRelationships[[#This Row],[Rank Pedro]]="Low","Pink",IF(TableRelationships[[#This Row],[Rank Pedro]]="Medium","Purple",IF(TableRelationships[[#This Row],[Rank Pedro]]="High","Brown","")))</f>
        <v/>
      </c>
      <c r="R218" s="4">
        <f>MAX(INDEX(Standards!$F$2:$F$296,MATCH(B218,Standards!$B$2:$B$296,0)),INDEX(Standards!$F$2:$F$296,MATCH(C218,Standards!$B$2:$B$296,0)))</f>
        <v>35796</v>
      </c>
      <c r="S218">
        <f t="shared" si="11"/>
        <v>1</v>
      </c>
    </row>
    <row r="219" spans="1:19" x14ac:dyDescent="0.5">
      <c r="A219">
        <v>234</v>
      </c>
      <c r="B219" t="s">
        <v>190</v>
      </c>
      <c r="C219" t="s">
        <v>238</v>
      </c>
      <c r="D219">
        <f>INDEX(Standards!$A$2:$A$296,MATCH(B219,Standards!$B$2:$B$296,0))</f>
        <v>71</v>
      </c>
      <c r="E219">
        <f>INDEX(Standards!$A$2:$A$296,MATCH(C219,Standards!$B$2:$B$296,0))</f>
        <v>92</v>
      </c>
      <c r="F219" t="str">
        <f>INDEX(Standards!$N$2:$N$296,MATCH(B219,Standards!$B$2:$B$296,0))</f>
        <v>#7030A0</v>
      </c>
      <c r="G219" t="str">
        <f>INDEX(Standards!$N$2:$N$296,MATCH(C219,Standards!$B$2:$B$296,0))</f>
        <v>#F2F2F2</v>
      </c>
      <c r="H219" t="s">
        <v>521</v>
      </c>
      <c r="I219" t="s">
        <v>237</v>
      </c>
      <c r="J219" t="str">
        <f>INDEX(Standards!$H$2:$H$296,MATCH(B219,Standards!$B$2:$B$296,0))</f>
        <v>ICT</v>
      </c>
      <c r="K219" t="str">
        <f>INDEX(Standards!$H$2:$H$296,MATCH(C219,Standards!$B$2:$B$296,0))</f>
        <v>Anchor</v>
      </c>
      <c r="L219" t="b">
        <f>AND(TableRelationships[[#This Row],[Source Type]]="BIM",TableRelationships[[#This Row],[Target Type]]="BIM")</f>
        <v>0</v>
      </c>
      <c r="M219">
        <f t="shared" si="9"/>
        <v>2</v>
      </c>
      <c r="O219">
        <f t="shared" si="10"/>
        <v>1</v>
      </c>
      <c r="P219" t="str">
        <f>IF(TableRelationships[[#This Row],[Rank Pedro]]="Low","linkCategory1",IF(TableRelationships[[#This Row],[Rank Pedro]]="Medium","linkCategory2",IF(TableRelationships[[#This Row],[Rank Pedro]]="High","linkCategory3","")))</f>
        <v/>
      </c>
      <c r="Q219" t="str">
        <f>IF(TableRelationships[[#This Row],[Rank Pedro]]="Low","Pink",IF(TableRelationships[[#This Row],[Rank Pedro]]="Medium","Purple",IF(TableRelationships[[#This Row],[Rank Pedro]]="High","Brown","")))</f>
        <v/>
      </c>
      <c r="R219" s="4">
        <f>MAX(INDEX(Standards!$F$2:$F$296,MATCH(B219,Standards!$B$2:$B$296,0)),INDEX(Standards!$F$2:$F$296,MATCH(C219,Standards!$B$2:$B$296,0)))</f>
        <v>31778</v>
      </c>
      <c r="S219">
        <f t="shared" si="11"/>
        <v>1</v>
      </c>
    </row>
    <row r="220" spans="1:19" x14ac:dyDescent="0.5">
      <c r="A220">
        <v>235</v>
      </c>
      <c r="B220" t="s">
        <v>192</v>
      </c>
      <c r="C220" t="s">
        <v>238</v>
      </c>
      <c r="D220">
        <f>INDEX(Standards!$A$2:$A$296,MATCH(B220,Standards!$B$2:$B$296,0))</f>
        <v>72</v>
      </c>
      <c r="E220">
        <f>INDEX(Standards!$A$2:$A$296,MATCH(C220,Standards!$B$2:$B$296,0))</f>
        <v>92</v>
      </c>
      <c r="F220" t="str">
        <f>INDEX(Standards!$N$2:$N$296,MATCH(B220,Standards!$B$2:$B$296,0))</f>
        <v>#7030A0</v>
      </c>
      <c r="G220" t="str">
        <f>INDEX(Standards!$N$2:$N$296,MATCH(C220,Standards!$B$2:$B$296,0))</f>
        <v>#F2F2F2</v>
      </c>
      <c r="H220" t="s">
        <v>521</v>
      </c>
      <c r="I220" t="s">
        <v>237</v>
      </c>
      <c r="J220" t="str">
        <f>INDEX(Standards!$H$2:$H$296,MATCH(B220,Standards!$B$2:$B$296,0))</f>
        <v>ICT</v>
      </c>
      <c r="K220" t="str">
        <f>INDEX(Standards!$H$2:$H$296,MATCH(C220,Standards!$B$2:$B$296,0))</f>
        <v>Anchor</v>
      </c>
      <c r="L220" t="b">
        <f>AND(TableRelationships[[#This Row],[Source Type]]="BIM",TableRelationships[[#This Row],[Target Type]]="BIM")</f>
        <v>0</v>
      </c>
      <c r="M220">
        <f t="shared" si="9"/>
        <v>2</v>
      </c>
      <c r="O220">
        <f t="shared" si="10"/>
        <v>1</v>
      </c>
      <c r="P220" t="str">
        <f>IF(TableRelationships[[#This Row],[Rank Pedro]]="Low","linkCategory1",IF(TableRelationships[[#This Row],[Rank Pedro]]="Medium","linkCategory2",IF(TableRelationships[[#This Row],[Rank Pedro]]="High","linkCategory3","")))</f>
        <v/>
      </c>
      <c r="Q220" t="str">
        <f>IF(TableRelationships[[#This Row],[Rank Pedro]]="Low","Pink",IF(TableRelationships[[#This Row],[Rank Pedro]]="Medium","Purple",IF(TableRelationships[[#This Row],[Rank Pedro]]="High","Brown","")))</f>
        <v/>
      </c>
      <c r="R220" s="4">
        <f>MAX(INDEX(Standards!$F$2:$F$296,MATCH(B220,Standards!$B$2:$B$296,0)),INDEX(Standards!$F$2:$F$296,MATCH(C220,Standards!$B$2:$B$296,0)))</f>
        <v>43466</v>
      </c>
      <c r="S220">
        <f t="shared" si="11"/>
        <v>1</v>
      </c>
    </row>
    <row r="221" spans="1:19" x14ac:dyDescent="0.5">
      <c r="A221">
        <v>236</v>
      </c>
      <c r="B221" t="s">
        <v>194</v>
      </c>
      <c r="C221" t="s">
        <v>238</v>
      </c>
      <c r="D221">
        <f>INDEX(Standards!$A$2:$A$296,MATCH(B221,Standards!$B$2:$B$296,0))</f>
        <v>73</v>
      </c>
      <c r="E221">
        <f>INDEX(Standards!$A$2:$A$296,MATCH(C221,Standards!$B$2:$B$296,0))</f>
        <v>92</v>
      </c>
      <c r="F221" t="str">
        <f>INDEX(Standards!$N$2:$N$296,MATCH(B221,Standards!$B$2:$B$296,0))</f>
        <v>#7030A0</v>
      </c>
      <c r="G221" t="str">
        <f>INDEX(Standards!$N$2:$N$296,MATCH(C221,Standards!$B$2:$B$296,0))</f>
        <v>#F2F2F2</v>
      </c>
      <c r="H221" t="s">
        <v>521</v>
      </c>
      <c r="I221" t="s">
        <v>237</v>
      </c>
      <c r="J221" t="str">
        <f>INDEX(Standards!$H$2:$H$296,MATCH(B221,Standards!$B$2:$B$296,0))</f>
        <v>ICT</v>
      </c>
      <c r="K221" t="str">
        <f>INDEX(Standards!$H$2:$H$296,MATCH(C221,Standards!$B$2:$B$296,0))</f>
        <v>Anchor</v>
      </c>
      <c r="L221" t="b">
        <f>AND(TableRelationships[[#This Row],[Source Type]]="BIM",TableRelationships[[#This Row],[Target Type]]="BIM")</f>
        <v>0</v>
      </c>
      <c r="M221">
        <f t="shared" si="9"/>
        <v>2</v>
      </c>
      <c r="O221">
        <f t="shared" si="10"/>
        <v>1</v>
      </c>
      <c r="P221" t="str">
        <f>IF(TableRelationships[[#This Row],[Rank Pedro]]="Low","linkCategory1",IF(TableRelationships[[#This Row],[Rank Pedro]]="Medium","linkCategory2",IF(TableRelationships[[#This Row],[Rank Pedro]]="High","linkCategory3","")))</f>
        <v/>
      </c>
      <c r="Q221" t="str">
        <f>IF(TableRelationships[[#This Row],[Rank Pedro]]="Low","Pink",IF(TableRelationships[[#This Row],[Rank Pedro]]="Medium","Purple",IF(TableRelationships[[#This Row],[Rank Pedro]]="High","Brown","")))</f>
        <v/>
      </c>
      <c r="R221" s="4">
        <f>MAX(INDEX(Standards!$F$2:$F$296,MATCH(B221,Standards!$B$2:$B$296,0)),INDEX(Standards!$F$2:$F$296,MATCH(C221,Standards!$B$2:$B$296,0)))</f>
        <v>35065</v>
      </c>
      <c r="S221">
        <f t="shared" si="11"/>
        <v>1</v>
      </c>
    </row>
    <row r="222" spans="1:19" x14ac:dyDescent="0.5">
      <c r="A222">
        <v>237</v>
      </c>
      <c r="B222" t="s">
        <v>198</v>
      </c>
      <c r="C222" t="s">
        <v>238</v>
      </c>
      <c r="D222">
        <f>INDEX(Standards!$A$2:$A$296,MATCH(B222,Standards!$B$2:$B$296,0))</f>
        <v>75</v>
      </c>
      <c r="E222">
        <f>INDEX(Standards!$A$2:$A$296,MATCH(C222,Standards!$B$2:$B$296,0))</f>
        <v>92</v>
      </c>
      <c r="F222" t="str">
        <f>INDEX(Standards!$N$2:$N$296,MATCH(B222,Standards!$B$2:$B$296,0))</f>
        <v>#7030A0</v>
      </c>
      <c r="G222" t="str">
        <f>INDEX(Standards!$N$2:$N$296,MATCH(C222,Standards!$B$2:$B$296,0))</f>
        <v>#F2F2F2</v>
      </c>
      <c r="H222" t="s">
        <v>521</v>
      </c>
      <c r="I222" t="s">
        <v>237</v>
      </c>
      <c r="J222" t="str">
        <f>INDEX(Standards!$H$2:$H$296,MATCH(B222,Standards!$B$2:$B$296,0))</f>
        <v>ICT</v>
      </c>
      <c r="K222" t="str">
        <f>INDEX(Standards!$H$2:$H$296,MATCH(C222,Standards!$B$2:$B$296,0))</f>
        <v>Anchor</v>
      </c>
      <c r="L222" t="b">
        <f>AND(TableRelationships[[#This Row],[Source Type]]="BIM",TableRelationships[[#This Row],[Target Type]]="BIM")</f>
        <v>0</v>
      </c>
      <c r="M222">
        <f t="shared" si="9"/>
        <v>2</v>
      </c>
      <c r="O222">
        <f t="shared" si="10"/>
        <v>1</v>
      </c>
      <c r="P222" t="str">
        <f>IF(TableRelationships[[#This Row],[Rank Pedro]]="Low","linkCategory1",IF(TableRelationships[[#This Row],[Rank Pedro]]="Medium","linkCategory2",IF(TableRelationships[[#This Row],[Rank Pedro]]="High","linkCategory3","")))</f>
        <v/>
      </c>
      <c r="Q222" t="str">
        <f>IF(TableRelationships[[#This Row],[Rank Pedro]]="Low","Pink",IF(TableRelationships[[#This Row],[Rank Pedro]]="Medium","Purple",IF(TableRelationships[[#This Row],[Rank Pedro]]="High","Brown","")))</f>
        <v/>
      </c>
      <c r="R222" s="4">
        <f>MAX(INDEX(Standards!$F$2:$F$296,MATCH(B222,Standards!$B$2:$B$296,0)),INDEX(Standards!$F$2:$F$296,MATCH(C222,Standards!$B$2:$B$296,0)))</f>
        <v>35065</v>
      </c>
      <c r="S222">
        <f t="shared" si="11"/>
        <v>1</v>
      </c>
    </row>
    <row r="223" spans="1:19" x14ac:dyDescent="0.5">
      <c r="A223">
        <v>238</v>
      </c>
      <c r="B223" t="s">
        <v>202</v>
      </c>
      <c r="C223" t="s">
        <v>238</v>
      </c>
      <c r="D223">
        <f>INDEX(Standards!$A$2:$A$296,MATCH(B223,Standards!$B$2:$B$296,0))</f>
        <v>77</v>
      </c>
      <c r="E223">
        <f>INDEX(Standards!$A$2:$A$296,MATCH(C223,Standards!$B$2:$B$296,0))</f>
        <v>92</v>
      </c>
      <c r="F223" t="str">
        <f>INDEX(Standards!$N$2:$N$296,MATCH(B223,Standards!$B$2:$B$296,0))</f>
        <v>#7030A0</v>
      </c>
      <c r="G223" t="str">
        <f>INDEX(Standards!$N$2:$N$296,MATCH(C223,Standards!$B$2:$B$296,0))</f>
        <v>#F2F2F2</v>
      </c>
      <c r="H223" t="s">
        <v>521</v>
      </c>
      <c r="I223" t="s">
        <v>237</v>
      </c>
      <c r="J223" t="str">
        <f>INDEX(Standards!$H$2:$H$296,MATCH(B223,Standards!$B$2:$B$296,0))</f>
        <v>ICT</v>
      </c>
      <c r="K223" t="str">
        <f>INDEX(Standards!$H$2:$H$296,MATCH(C223,Standards!$B$2:$B$296,0))</f>
        <v>Anchor</v>
      </c>
      <c r="L223" t="b">
        <f>AND(TableRelationships[[#This Row],[Source Type]]="BIM",TableRelationships[[#This Row],[Target Type]]="BIM")</f>
        <v>0</v>
      </c>
      <c r="M223">
        <f t="shared" si="9"/>
        <v>2</v>
      </c>
      <c r="O223">
        <f t="shared" si="10"/>
        <v>1</v>
      </c>
      <c r="P223" t="str">
        <f>IF(TableRelationships[[#This Row],[Rank Pedro]]="Low","linkCategory1",IF(TableRelationships[[#This Row],[Rank Pedro]]="Medium","linkCategory2",IF(TableRelationships[[#This Row],[Rank Pedro]]="High","linkCategory3","")))</f>
        <v/>
      </c>
      <c r="Q223" t="str">
        <f>IF(TableRelationships[[#This Row],[Rank Pedro]]="Low","Pink",IF(TableRelationships[[#This Row],[Rank Pedro]]="Medium","Purple",IF(TableRelationships[[#This Row],[Rank Pedro]]="High","Brown","")))</f>
        <v/>
      </c>
      <c r="R223" s="4">
        <f>MAX(INDEX(Standards!$F$2:$F$296,MATCH(B223,Standards!$B$2:$B$296,0)),INDEX(Standards!$F$2:$F$296,MATCH(C223,Standards!$B$2:$B$296,0)))</f>
        <v>36161</v>
      </c>
      <c r="S223">
        <f t="shared" si="11"/>
        <v>1</v>
      </c>
    </row>
    <row r="224" spans="1:19" x14ac:dyDescent="0.5">
      <c r="A224">
        <v>239</v>
      </c>
      <c r="B224" t="s">
        <v>204</v>
      </c>
      <c r="C224" t="s">
        <v>238</v>
      </c>
      <c r="D224">
        <f>INDEX(Standards!$A$2:$A$296,MATCH(B224,Standards!$B$2:$B$296,0))</f>
        <v>78</v>
      </c>
      <c r="E224">
        <f>INDEX(Standards!$A$2:$A$296,MATCH(C224,Standards!$B$2:$B$296,0))</f>
        <v>92</v>
      </c>
      <c r="F224" t="str">
        <f>INDEX(Standards!$N$2:$N$296,MATCH(B224,Standards!$B$2:$B$296,0))</f>
        <v>#7030A0</v>
      </c>
      <c r="G224" t="str">
        <f>INDEX(Standards!$N$2:$N$296,MATCH(C224,Standards!$B$2:$B$296,0))</f>
        <v>#F2F2F2</v>
      </c>
      <c r="H224" t="s">
        <v>521</v>
      </c>
      <c r="I224" t="s">
        <v>237</v>
      </c>
      <c r="J224" t="str">
        <f>INDEX(Standards!$H$2:$H$296,MATCH(B224,Standards!$B$2:$B$296,0))</f>
        <v>ICT</v>
      </c>
      <c r="K224" t="str">
        <f>INDEX(Standards!$H$2:$H$296,MATCH(C224,Standards!$B$2:$B$296,0))</f>
        <v>Anchor</v>
      </c>
      <c r="L224" t="b">
        <f>AND(TableRelationships[[#This Row],[Source Type]]="BIM",TableRelationships[[#This Row],[Target Type]]="BIM")</f>
        <v>0</v>
      </c>
      <c r="M224">
        <f t="shared" si="9"/>
        <v>2</v>
      </c>
      <c r="O224">
        <f t="shared" si="10"/>
        <v>1</v>
      </c>
      <c r="P224" t="str">
        <f>IF(TableRelationships[[#This Row],[Rank Pedro]]="Low","linkCategory1",IF(TableRelationships[[#This Row],[Rank Pedro]]="Medium","linkCategory2",IF(TableRelationships[[#This Row],[Rank Pedro]]="High","linkCategory3","")))</f>
        <v/>
      </c>
      <c r="Q224" t="str">
        <f>IF(TableRelationships[[#This Row],[Rank Pedro]]="Low","Pink",IF(TableRelationships[[#This Row],[Rank Pedro]]="Medium","Purple",IF(TableRelationships[[#This Row],[Rank Pedro]]="High","Brown","")))</f>
        <v/>
      </c>
      <c r="R224" s="4">
        <f>MAX(INDEX(Standards!$F$2:$F$296,MATCH(B224,Standards!$B$2:$B$296,0)),INDEX(Standards!$F$2:$F$296,MATCH(C224,Standards!$B$2:$B$296,0)))</f>
        <v>39083</v>
      </c>
      <c r="S224">
        <f t="shared" si="11"/>
        <v>1</v>
      </c>
    </row>
    <row r="225" spans="1:19" x14ac:dyDescent="0.5">
      <c r="A225">
        <v>240</v>
      </c>
      <c r="B225" t="s">
        <v>206</v>
      </c>
      <c r="C225" t="s">
        <v>238</v>
      </c>
      <c r="D225">
        <f>INDEX(Standards!$A$2:$A$296,MATCH(B225,Standards!$B$2:$B$296,0))</f>
        <v>79</v>
      </c>
      <c r="E225">
        <f>INDEX(Standards!$A$2:$A$296,MATCH(C225,Standards!$B$2:$B$296,0))</f>
        <v>92</v>
      </c>
      <c r="F225" t="str">
        <f>INDEX(Standards!$N$2:$N$296,MATCH(B225,Standards!$B$2:$B$296,0))</f>
        <v>#7030A0</v>
      </c>
      <c r="G225" t="str">
        <f>INDEX(Standards!$N$2:$N$296,MATCH(C225,Standards!$B$2:$B$296,0))</f>
        <v>#F2F2F2</v>
      </c>
      <c r="H225" t="s">
        <v>521</v>
      </c>
      <c r="I225" t="s">
        <v>237</v>
      </c>
      <c r="J225" t="str">
        <f>INDEX(Standards!$H$2:$H$296,MATCH(B225,Standards!$B$2:$B$296,0))</f>
        <v>ICT</v>
      </c>
      <c r="K225" t="str">
        <f>INDEX(Standards!$H$2:$H$296,MATCH(C225,Standards!$B$2:$B$296,0))</f>
        <v>Anchor</v>
      </c>
      <c r="L225" t="b">
        <f>AND(TableRelationships[[#This Row],[Source Type]]="BIM",TableRelationships[[#This Row],[Target Type]]="BIM")</f>
        <v>0</v>
      </c>
      <c r="M225">
        <f t="shared" si="9"/>
        <v>2</v>
      </c>
      <c r="O225">
        <f t="shared" si="10"/>
        <v>1</v>
      </c>
      <c r="P225" t="str">
        <f>IF(TableRelationships[[#This Row],[Rank Pedro]]="Low","linkCategory1",IF(TableRelationships[[#This Row],[Rank Pedro]]="Medium","linkCategory2",IF(TableRelationships[[#This Row],[Rank Pedro]]="High","linkCategory3","")))</f>
        <v/>
      </c>
      <c r="Q225" t="str">
        <f>IF(TableRelationships[[#This Row],[Rank Pedro]]="Low","Pink",IF(TableRelationships[[#This Row],[Rank Pedro]]="Medium","Purple",IF(TableRelationships[[#This Row],[Rank Pedro]]="High","Brown","")))</f>
        <v/>
      </c>
      <c r="R225" s="4">
        <f>MAX(INDEX(Standards!$F$2:$F$296,MATCH(B225,Standards!$B$2:$B$296,0)),INDEX(Standards!$F$2:$F$296,MATCH(C225,Standards!$B$2:$B$296,0)))</f>
        <v>37622</v>
      </c>
      <c r="S225">
        <f t="shared" si="11"/>
        <v>1</v>
      </c>
    </row>
    <row r="226" spans="1:19" x14ac:dyDescent="0.5">
      <c r="A226">
        <v>241</v>
      </c>
      <c r="B226" t="s">
        <v>220</v>
      </c>
      <c r="C226" t="s">
        <v>238</v>
      </c>
      <c r="D226">
        <f>INDEX(Standards!$A$2:$A$296,MATCH(B226,Standards!$B$2:$B$296,0))</f>
        <v>85</v>
      </c>
      <c r="E226">
        <f>INDEX(Standards!$A$2:$A$296,MATCH(C226,Standards!$B$2:$B$296,0))</f>
        <v>92</v>
      </c>
      <c r="F226" t="str">
        <f>INDEX(Standards!$N$2:$N$296,MATCH(B226,Standards!$B$2:$B$296,0))</f>
        <v>#7030A0</v>
      </c>
      <c r="G226" t="str">
        <f>INDEX(Standards!$N$2:$N$296,MATCH(C226,Standards!$B$2:$B$296,0))</f>
        <v>#F2F2F2</v>
      </c>
      <c r="H226" t="s">
        <v>521</v>
      </c>
      <c r="I226" t="s">
        <v>237</v>
      </c>
      <c r="J226" t="str">
        <f>INDEX(Standards!$H$2:$H$296,MATCH(B226,Standards!$B$2:$B$296,0))</f>
        <v>ICT</v>
      </c>
      <c r="K226" t="str">
        <f>INDEX(Standards!$H$2:$H$296,MATCH(C226,Standards!$B$2:$B$296,0))</f>
        <v>Anchor</v>
      </c>
      <c r="L226" t="b">
        <f>AND(TableRelationships[[#This Row],[Source Type]]="BIM",TableRelationships[[#This Row],[Target Type]]="BIM")</f>
        <v>0</v>
      </c>
      <c r="M226">
        <f t="shared" si="9"/>
        <v>2</v>
      </c>
      <c r="O226">
        <f t="shared" si="10"/>
        <v>1</v>
      </c>
      <c r="P226" t="str">
        <f>IF(TableRelationships[[#This Row],[Rank Pedro]]="Low","linkCategory1",IF(TableRelationships[[#This Row],[Rank Pedro]]="Medium","linkCategory2",IF(TableRelationships[[#This Row],[Rank Pedro]]="High","linkCategory3","")))</f>
        <v/>
      </c>
      <c r="Q226" t="str">
        <f>IF(TableRelationships[[#This Row],[Rank Pedro]]="Low","Pink",IF(TableRelationships[[#This Row],[Rank Pedro]]="Medium","Purple",IF(TableRelationships[[#This Row],[Rank Pedro]]="High","Brown","")))</f>
        <v/>
      </c>
      <c r="R226" s="4">
        <f>MAX(INDEX(Standards!$F$2:$F$296,MATCH(B226,Standards!$B$2:$B$296,0)),INDEX(Standards!$F$2:$F$296,MATCH(C226,Standards!$B$2:$B$296,0)))</f>
        <v>36161</v>
      </c>
      <c r="S226">
        <f t="shared" si="11"/>
        <v>1</v>
      </c>
    </row>
    <row r="227" spans="1:19" x14ac:dyDescent="0.5">
      <c r="A227">
        <v>242</v>
      </c>
      <c r="B227" t="s">
        <v>77</v>
      </c>
      <c r="C227" t="s">
        <v>239</v>
      </c>
      <c r="D227">
        <f>INDEX(Standards!$A$2:$A$296,MATCH(B227,Standards!$B$2:$B$296,0))</f>
        <v>19</v>
      </c>
      <c r="E227">
        <f>INDEX(Standards!$A$2:$A$296,MATCH(C227,Standards!$B$2:$B$296,0))</f>
        <v>93</v>
      </c>
      <c r="F227" t="str">
        <f>INDEX(Standards!$N$2:$N$296,MATCH(B227,Standards!$B$2:$B$296,0))</f>
        <v>#ED7D31</v>
      </c>
      <c r="G227" t="str">
        <f>INDEX(Standards!$N$2:$N$296,MATCH(C227,Standards!$B$2:$B$296,0))</f>
        <v>#F2F2F2</v>
      </c>
      <c r="H227" t="s">
        <v>521</v>
      </c>
      <c r="I227" t="s">
        <v>237</v>
      </c>
      <c r="J227" t="str">
        <f>INDEX(Standards!$H$2:$H$296,MATCH(B227,Standards!$B$2:$B$296,0))</f>
        <v>Construction</v>
      </c>
      <c r="K227" t="str">
        <f>INDEX(Standards!$H$2:$H$296,MATCH(C227,Standards!$B$2:$B$296,0))</f>
        <v>Anchor</v>
      </c>
      <c r="L227" t="b">
        <f>AND(TableRelationships[[#This Row],[Source Type]]="BIM",TableRelationships[[#This Row],[Target Type]]="BIM")</f>
        <v>0</v>
      </c>
      <c r="M227">
        <f t="shared" si="9"/>
        <v>2</v>
      </c>
      <c r="O227">
        <f t="shared" si="10"/>
        <v>1</v>
      </c>
      <c r="P227" t="str">
        <f>IF(TableRelationships[[#This Row],[Rank Pedro]]="Low","linkCategory1",IF(TableRelationships[[#This Row],[Rank Pedro]]="Medium","linkCategory2",IF(TableRelationships[[#This Row],[Rank Pedro]]="High","linkCategory3","")))</f>
        <v/>
      </c>
      <c r="Q227" t="str">
        <f>IF(TableRelationships[[#This Row],[Rank Pedro]]="Low","Pink",IF(TableRelationships[[#This Row],[Rank Pedro]]="Medium","Purple",IF(TableRelationships[[#This Row],[Rank Pedro]]="High","Brown","")))</f>
        <v/>
      </c>
      <c r="R227" s="4">
        <f>MAX(INDEX(Standards!$F$2:$F$296,MATCH(B227,Standards!$B$2:$B$296,0)),INDEX(Standards!$F$2:$F$296,MATCH(C227,Standards!$B$2:$B$296,0)))</f>
        <v>30773</v>
      </c>
      <c r="S227">
        <f t="shared" si="11"/>
        <v>1</v>
      </c>
    </row>
    <row r="228" spans="1:19" x14ac:dyDescent="0.5">
      <c r="A228">
        <v>243</v>
      </c>
      <c r="B228" t="s">
        <v>80</v>
      </c>
      <c r="C228" t="s">
        <v>239</v>
      </c>
      <c r="D228">
        <f>INDEX(Standards!$A$2:$A$296,MATCH(B228,Standards!$B$2:$B$296,0))</f>
        <v>20</v>
      </c>
      <c r="E228">
        <f>INDEX(Standards!$A$2:$A$296,MATCH(C228,Standards!$B$2:$B$296,0))</f>
        <v>93</v>
      </c>
      <c r="F228" t="str">
        <f>INDEX(Standards!$N$2:$N$296,MATCH(B228,Standards!$B$2:$B$296,0))</f>
        <v>#ED7D31</v>
      </c>
      <c r="G228" t="str">
        <f>INDEX(Standards!$N$2:$N$296,MATCH(C228,Standards!$B$2:$B$296,0))</f>
        <v>#F2F2F2</v>
      </c>
      <c r="H228" t="s">
        <v>521</v>
      </c>
      <c r="I228" t="s">
        <v>237</v>
      </c>
      <c r="J228" t="str">
        <f>INDEX(Standards!$H$2:$H$296,MATCH(B228,Standards!$B$2:$B$296,0))</f>
        <v>Construction</v>
      </c>
      <c r="K228" t="str">
        <f>INDEX(Standards!$H$2:$H$296,MATCH(C228,Standards!$B$2:$B$296,0))</f>
        <v>Anchor</v>
      </c>
      <c r="L228" t="b">
        <f>AND(TableRelationships[[#This Row],[Source Type]]="BIM",TableRelationships[[#This Row],[Target Type]]="BIM")</f>
        <v>0</v>
      </c>
      <c r="M228">
        <f t="shared" si="9"/>
        <v>2</v>
      </c>
      <c r="O228">
        <f t="shared" si="10"/>
        <v>1</v>
      </c>
      <c r="P228" t="str">
        <f>IF(TableRelationships[[#This Row],[Rank Pedro]]="Low","linkCategory1",IF(TableRelationships[[#This Row],[Rank Pedro]]="Medium","linkCategory2",IF(TableRelationships[[#This Row],[Rank Pedro]]="High","linkCategory3","")))</f>
        <v/>
      </c>
      <c r="Q228" t="str">
        <f>IF(TableRelationships[[#This Row],[Rank Pedro]]="Low","Pink",IF(TableRelationships[[#This Row],[Rank Pedro]]="Medium","Purple",IF(TableRelationships[[#This Row],[Rank Pedro]]="High","Brown","")))</f>
        <v/>
      </c>
      <c r="R228" s="4">
        <f>MAX(INDEX(Standards!$F$2:$F$296,MATCH(B228,Standards!$B$2:$B$296,0)),INDEX(Standards!$F$2:$F$296,MATCH(C228,Standards!$B$2:$B$296,0)))</f>
        <v>34001</v>
      </c>
      <c r="S228">
        <f t="shared" si="11"/>
        <v>1</v>
      </c>
    </row>
    <row r="229" spans="1:19" x14ac:dyDescent="0.5">
      <c r="A229">
        <v>244</v>
      </c>
      <c r="B229" t="s">
        <v>180</v>
      </c>
      <c r="C229" t="s">
        <v>239</v>
      </c>
      <c r="D229">
        <f>INDEX(Standards!$A$2:$A$296,MATCH(B229,Standards!$B$2:$B$296,0))</f>
        <v>66</v>
      </c>
      <c r="E229">
        <f>INDEX(Standards!$A$2:$A$296,MATCH(C229,Standards!$B$2:$B$296,0))</f>
        <v>93</v>
      </c>
      <c r="F229" t="str">
        <f>INDEX(Standards!$N$2:$N$296,MATCH(B229,Standards!$B$2:$B$296,0))</f>
        <v>#ED7D31</v>
      </c>
      <c r="G229" t="str">
        <f>INDEX(Standards!$N$2:$N$296,MATCH(C229,Standards!$B$2:$B$296,0))</f>
        <v>#F2F2F2</v>
      </c>
      <c r="H229" t="s">
        <v>521</v>
      </c>
      <c r="I229" t="s">
        <v>237</v>
      </c>
      <c r="J229" t="str">
        <f>INDEX(Standards!$H$2:$H$296,MATCH(B229,Standards!$B$2:$B$296,0))</f>
        <v>Construction</v>
      </c>
      <c r="K229" t="str">
        <f>INDEX(Standards!$H$2:$H$296,MATCH(C229,Standards!$B$2:$B$296,0))</f>
        <v>Anchor</v>
      </c>
      <c r="L229" t="b">
        <f>AND(TableRelationships[[#This Row],[Source Type]]="BIM",TableRelationships[[#This Row],[Target Type]]="BIM")</f>
        <v>0</v>
      </c>
      <c r="M229">
        <f t="shared" si="9"/>
        <v>2</v>
      </c>
      <c r="O229">
        <f t="shared" si="10"/>
        <v>1</v>
      </c>
      <c r="P229" t="str">
        <f>IF(TableRelationships[[#This Row],[Rank Pedro]]="Low","linkCategory1",IF(TableRelationships[[#This Row],[Rank Pedro]]="Medium","linkCategory2",IF(TableRelationships[[#This Row],[Rank Pedro]]="High","linkCategory3","")))</f>
        <v/>
      </c>
      <c r="Q229" t="str">
        <f>IF(TableRelationships[[#This Row],[Rank Pedro]]="Low","Pink",IF(TableRelationships[[#This Row],[Rank Pedro]]="Medium","Purple",IF(TableRelationships[[#This Row],[Rank Pedro]]="High","Brown","")))</f>
        <v/>
      </c>
      <c r="R229" s="4">
        <f>MAX(INDEX(Standards!$F$2:$F$296,MATCH(B229,Standards!$B$2:$B$296,0)),INDEX(Standards!$F$2:$F$296,MATCH(C229,Standards!$B$2:$B$296,0)))</f>
        <v>35431</v>
      </c>
      <c r="S229">
        <f t="shared" si="11"/>
        <v>1</v>
      </c>
    </row>
    <row r="230" spans="1:19" x14ac:dyDescent="0.5">
      <c r="A230">
        <v>245</v>
      </c>
      <c r="B230" t="s">
        <v>184</v>
      </c>
      <c r="C230" t="s">
        <v>239</v>
      </c>
      <c r="D230">
        <f>INDEX(Standards!$A$2:$A$296,MATCH(B230,Standards!$B$2:$B$296,0))</f>
        <v>68</v>
      </c>
      <c r="E230">
        <f>INDEX(Standards!$A$2:$A$296,MATCH(C230,Standards!$B$2:$B$296,0))</f>
        <v>93</v>
      </c>
      <c r="F230" t="str">
        <f>INDEX(Standards!$N$2:$N$296,MATCH(B230,Standards!$B$2:$B$296,0))</f>
        <v>#ED7D31</v>
      </c>
      <c r="G230" t="str">
        <f>INDEX(Standards!$N$2:$N$296,MATCH(C230,Standards!$B$2:$B$296,0))</f>
        <v>#F2F2F2</v>
      </c>
      <c r="H230" t="s">
        <v>521</v>
      </c>
      <c r="I230" t="s">
        <v>237</v>
      </c>
      <c r="J230" t="str">
        <f>INDEX(Standards!$H$2:$H$296,MATCH(B230,Standards!$B$2:$B$296,0))</f>
        <v>Construction</v>
      </c>
      <c r="K230" t="str">
        <f>INDEX(Standards!$H$2:$H$296,MATCH(C230,Standards!$B$2:$B$296,0))</f>
        <v>Anchor</v>
      </c>
      <c r="L230" t="b">
        <f>AND(TableRelationships[[#This Row],[Source Type]]="BIM",TableRelationships[[#This Row],[Target Type]]="BIM")</f>
        <v>0</v>
      </c>
      <c r="M230">
        <f t="shared" si="9"/>
        <v>2</v>
      </c>
      <c r="O230">
        <f t="shared" si="10"/>
        <v>1</v>
      </c>
      <c r="P230" t="str">
        <f>IF(TableRelationships[[#This Row],[Rank Pedro]]="Low","linkCategory1",IF(TableRelationships[[#This Row],[Rank Pedro]]="Medium","linkCategory2",IF(TableRelationships[[#This Row],[Rank Pedro]]="High","linkCategory3","")))</f>
        <v/>
      </c>
      <c r="Q230" t="str">
        <f>IF(TableRelationships[[#This Row],[Rank Pedro]]="Low","Pink",IF(TableRelationships[[#This Row],[Rank Pedro]]="Medium","Purple",IF(TableRelationships[[#This Row],[Rank Pedro]]="High","Brown","")))</f>
        <v/>
      </c>
      <c r="R230" s="4">
        <f>MAX(INDEX(Standards!$F$2:$F$296,MATCH(B230,Standards!$B$2:$B$296,0)),INDEX(Standards!$F$2:$F$296,MATCH(C230,Standards!$B$2:$B$296,0)))</f>
        <v>37622</v>
      </c>
      <c r="S230">
        <f t="shared" si="11"/>
        <v>1</v>
      </c>
    </row>
    <row r="231" spans="1:19" x14ac:dyDescent="0.5">
      <c r="A231">
        <v>246</v>
      </c>
      <c r="B231" t="s">
        <v>196</v>
      </c>
      <c r="C231" t="s">
        <v>239</v>
      </c>
      <c r="D231">
        <f>INDEX(Standards!$A$2:$A$296,MATCH(B231,Standards!$B$2:$B$296,0))</f>
        <v>74</v>
      </c>
      <c r="E231">
        <f>INDEX(Standards!$A$2:$A$296,MATCH(C231,Standards!$B$2:$B$296,0))</f>
        <v>93</v>
      </c>
      <c r="F231" t="str">
        <f>INDEX(Standards!$N$2:$N$296,MATCH(B231,Standards!$B$2:$B$296,0))</f>
        <v>#ED7D31</v>
      </c>
      <c r="G231" t="str">
        <f>INDEX(Standards!$N$2:$N$296,MATCH(C231,Standards!$B$2:$B$296,0))</f>
        <v>#F2F2F2</v>
      </c>
      <c r="H231" t="s">
        <v>521</v>
      </c>
      <c r="I231" t="s">
        <v>237</v>
      </c>
      <c r="J231" t="str">
        <f>INDEX(Standards!$H$2:$H$296,MATCH(B231,Standards!$B$2:$B$296,0))</f>
        <v>Construction</v>
      </c>
      <c r="K231" t="str">
        <f>INDEX(Standards!$H$2:$H$296,MATCH(C231,Standards!$B$2:$B$296,0))</f>
        <v>Anchor</v>
      </c>
      <c r="L231" t="b">
        <f>AND(TableRelationships[[#This Row],[Source Type]]="BIM",TableRelationships[[#This Row],[Target Type]]="BIM")</f>
        <v>0</v>
      </c>
      <c r="M231">
        <f t="shared" si="9"/>
        <v>2</v>
      </c>
      <c r="O231">
        <f t="shared" si="10"/>
        <v>1</v>
      </c>
      <c r="P231" t="str">
        <f>IF(TableRelationships[[#This Row],[Rank Pedro]]="Low","linkCategory1",IF(TableRelationships[[#This Row],[Rank Pedro]]="Medium","linkCategory2",IF(TableRelationships[[#This Row],[Rank Pedro]]="High","linkCategory3","")))</f>
        <v/>
      </c>
      <c r="Q231" t="str">
        <f>IF(TableRelationships[[#This Row],[Rank Pedro]]="Low","Pink",IF(TableRelationships[[#This Row],[Rank Pedro]]="Medium","Purple",IF(TableRelationships[[#This Row],[Rank Pedro]]="High","Brown","")))</f>
        <v/>
      </c>
      <c r="R231" s="4">
        <f>MAX(INDEX(Standards!$F$2:$F$296,MATCH(B231,Standards!$B$2:$B$296,0)),INDEX(Standards!$F$2:$F$296,MATCH(C231,Standards!$B$2:$B$296,0)))</f>
        <v>36526</v>
      </c>
      <c r="S231">
        <f t="shared" si="11"/>
        <v>1</v>
      </c>
    </row>
    <row r="232" spans="1:19" x14ac:dyDescent="0.5">
      <c r="A232">
        <v>247</v>
      </c>
      <c r="B232" t="s">
        <v>208</v>
      </c>
      <c r="C232" t="s">
        <v>239</v>
      </c>
      <c r="D232">
        <f>INDEX(Standards!$A$2:$A$296,MATCH(B232,Standards!$B$2:$B$296,0))</f>
        <v>80</v>
      </c>
      <c r="E232">
        <f>INDEX(Standards!$A$2:$A$296,MATCH(C232,Standards!$B$2:$B$296,0))</f>
        <v>93</v>
      </c>
      <c r="F232" t="str">
        <f>INDEX(Standards!$N$2:$N$296,MATCH(B232,Standards!$B$2:$B$296,0))</f>
        <v>#ED7D31</v>
      </c>
      <c r="G232" t="str">
        <f>INDEX(Standards!$N$2:$N$296,MATCH(C232,Standards!$B$2:$B$296,0))</f>
        <v>#F2F2F2</v>
      </c>
      <c r="H232" t="s">
        <v>521</v>
      </c>
      <c r="I232" t="s">
        <v>237</v>
      </c>
      <c r="J232" t="str">
        <f>INDEX(Standards!$H$2:$H$296,MATCH(B232,Standards!$B$2:$B$296,0))</f>
        <v>Construction</v>
      </c>
      <c r="K232" t="str">
        <f>INDEX(Standards!$H$2:$H$296,MATCH(C232,Standards!$B$2:$B$296,0))</f>
        <v>Anchor</v>
      </c>
      <c r="L232" t="b">
        <f>AND(TableRelationships[[#This Row],[Source Type]]="BIM",TableRelationships[[#This Row],[Target Type]]="BIM")</f>
        <v>0</v>
      </c>
      <c r="M232">
        <f t="shared" si="9"/>
        <v>2</v>
      </c>
      <c r="O232">
        <f t="shared" si="10"/>
        <v>1</v>
      </c>
      <c r="P232" t="str">
        <f>IF(TableRelationships[[#This Row],[Rank Pedro]]="Low","linkCategory1",IF(TableRelationships[[#This Row],[Rank Pedro]]="Medium","linkCategory2",IF(TableRelationships[[#This Row],[Rank Pedro]]="High","linkCategory3","")))</f>
        <v/>
      </c>
      <c r="Q232" t="str">
        <f>IF(TableRelationships[[#This Row],[Rank Pedro]]="Low","Pink",IF(TableRelationships[[#This Row],[Rank Pedro]]="Medium","Purple",IF(TableRelationships[[#This Row],[Rank Pedro]]="High","Brown","")))</f>
        <v/>
      </c>
      <c r="R232" s="4">
        <f>MAX(INDEX(Standards!$F$2:$F$296,MATCH(B232,Standards!$B$2:$B$296,0)),INDEX(Standards!$F$2:$F$296,MATCH(C232,Standards!$B$2:$B$296,0)))</f>
        <v>36892</v>
      </c>
      <c r="S232">
        <f t="shared" si="11"/>
        <v>1</v>
      </c>
    </row>
    <row r="233" spans="1:19" x14ac:dyDescent="0.5">
      <c r="A233">
        <v>248</v>
      </c>
      <c r="B233" t="s">
        <v>101</v>
      </c>
      <c r="C233" t="s">
        <v>240</v>
      </c>
      <c r="D233">
        <f>INDEX(Standards!$A$2:$A$296,MATCH(B233,Standards!$B$2:$B$296,0))</f>
        <v>29</v>
      </c>
      <c r="E233">
        <f>INDEX(Standards!$A$2:$A$296,MATCH(C233,Standards!$B$2:$B$296,0))</f>
        <v>94</v>
      </c>
      <c r="F233" t="str">
        <f>INDEX(Standards!$N$2:$N$296,MATCH(B233,Standards!$B$2:$B$296,0))</f>
        <v>#595959</v>
      </c>
      <c r="G233" t="str">
        <f>INDEX(Standards!$N$2:$N$296,MATCH(C233,Standards!$B$2:$B$296,0))</f>
        <v>#F2F2F2</v>
      </c>
      <c r="H233" t="s">
        <v>521</v>
      </c>
      <c r="I233" t="s">
        <v>237</v>
      </c>
      <c r="J233" t="str">
        <f>INDEX(Standards!$H$2:$H$296,MATCH(B233,Standards!$B$2:$B$296,0))</f>
        <v>Other</v>
      </c>
      <c r="K233" t="str">
        <f>INDEX(Standards!$H$2:$H$296,MATCH(C233,Standards!$B$2:$B$296,0))</f>
        <v>Anchor</v>
      </c>
      <c r="L233" t="b">
        <f>AND(TableRelationships[[#This Row],[Source Type]]="BIM",TableRelationships[[#This Row],[Target Type]]="BIM")</f>
        <v>0</v>
      </c>
      <c r="M233">
        <f t="shared" si="9"/>
        <v>2</v>
      </c>
      <c r="O233">
        <f t="shared" si="10"/>
        <v>1</v>
      </c>
      <c r="P233" t="str">
        <f>IF(TableRelationships[[#This Row],[Rank Pedro]]="Low","linkCategory1",IF(TableRelationships[[#This Row],[Rank Pedro]]="Medium","linkCategory2",IF(TableRelationships[[#This Row],[Rank Pedro]]="High","linkCategory3","")))</f>
        <v/>
      </c>
      <c r="Q233" t="str">
        <f>IF(TableRelationships[[#This Row],[Rank Pedro]]="Low","Pink",IF(TableRelationships[[#This Row],[Rank Pedro]]="Medium","Purple",IF(TableRelationships[[#This Row],[Rank Pedro]]="High","Brown","")))</f>
        <v/>
      </c>
      <c r="R233" s="4">
        <f>MAX(INDEX(Standards!$F$2:$F$296,MATCH(B233,Standards!$B$2:$B$296,0)),INDEX(Standards!$F$2:$F$296,MATCH(C233,Standards!$B$2:$B$296,0)))</f>
        <v>41640</v>
      </c>
      <c r="S233">
        <f t="shared" si="11"/>
        <v>1</v>
      </c>
    </row>
    <row r="234" spans="1:19" x14ac:dyDescent="0.5">
      <c r="A234">
        <v>249</v>
      </c>
      <c r="B234" t="s">
        <v>104</v>
      </c>
      <c r="C234" t="s">
        <v>240</v>
      </c>
      <c r="D234">
        <f>INDEX(Standards!$A$2:$A$296,MATCH(B234,Standards!$B$2:$B$296,0))</f>
        <v>30</v>
      </c>
      <c r="E234">
        <f>INDEX(Standards!$A$2:$A$296,MATCH(C234,Standards!$B$2:$B$296,0))</f>
        <v>94</v>
      </c>
      <c r="F234" t="str">
        <f>INDEX(Standards!$N$2:$N$296,MATCH(B234,Standards!$B$2:$B$296,0))</f>
        <v>#C00000</v>
      </c>
      <c r="G234" t="str">
        <f>INDEX(Standards!$N$2:$N$296,MATCH(C234,Standards!$B$2:$B$296,0))</f>
        <v>#F2F2F2</v>
      </c>
      <c r="H234" t="s">
        <v>521</v>
      </c>
      <c r="I234" t="s">
        <v>237</v>
      </c>
      <c r="J234" t="str">
        <f>INDEX(Standards!$H$2:$H$296,MATCH(B234,Standards!$B$2:$B$296,0))</f>
        <v>Quality Management</v>
      </c>
      <c r="K234" t="str">
        <f>INDEX(Standards!$H$2:$H$296,MATCH(C234,Standards!$B$2:$B$296,0))</f>
        <v>Anchor</v>
      </c>
      <c r="L234" t="b">
        <f>AND(TableRelationships[[#This Row],[Source Type]]="BIM",TableRelationships[[#This Row],[Target Type]]="BIM")</f>
        <v>0</v>
      </c>
      <c r="M234">
        <f t="shared" si="9"/>
        <v>2</v>
      </c>
      <c r="O234">
        <f t="shared" si="10"/>
        <v>1</v>
      </c>
      <c r="P234" t="str">
        <f>IF(TableRelationships[[#This Row],[Rank Pedro]]="Low","linkCategory1",IF(TableRelationships[[#This Row],[Rank Pedro]]="Medium","linkCategory2",IF(TableRelationships[[#This Row],[Rank Pedro]]="High","linkCategory3","")))</f>
        <v/>
      </c>
      <c r="Q234" t="str">
        <f>IF(TableRelationships[[#This Row],[Rank Pedro]]="Low","Pink",IF(TableRelationships[[#This Row],[Rank Pedro]]="Medium","Purple",IF(TableRelationships[[#This Row],[Rank Pedro]]="High","Brown","")))</f>
        <v/>
      </c>
      <c r="R234" s="4">
        <f>MAX(INDEX(Standards!$F$2:$F$296,MATCH(B234,Standards!$B$2:$B$296,0)),INDEX(Standards!$F$2:$F$296,MATCH(C234,Standards!$B$2:$B$296,0)))</f>
        <v>37257</v>
      </c>
      <c r="S234">
        <f t="shared" si="11"/>
        <v>1</v>
      </c>
    </row>
    <row r="235" spans="1:19" x14ac:dyDescent="0.5">
      <c r="A235">
        <v>250</v>
      </c>
      <c r="B235" t="s">
        <v>106</v>
      </c>
      <c r="C235" t="s">
        <v>240</v>
      </c>
      <c r="D235">
        <f>INDEX(Standards!$A$2:$A$296,MATCH(B235,Standards!$B$2:$B$296,0))</f>
        <v>31</v>
      </c>
      <c r="E235">
        <f>INDEX(Standards!$A$2:$A$296,MATCH(C235,Standards!$B$2:$B$296,0))</f>
        <v>94</v>
      </c>
      <c r="F235" t="str">
        <f>INDEX(Standards!$N$2:$N$296,MATCH(B235,Standards!$B$2:$B$296,0))</f>
        <v>#595959</v>
      </c>
      <c r="G235" t="str">
        <f>INDEX(Standards!$N$2:$N$296,MATCH(C235,Standards!$B$2:$B$296,0))</f>
        <v>#F2F2F2</v>
      </c>
      <c r="H235" t="s">
        <v>521</v>
      </c>
      <c r="I235" t="s">
        <v>237</v>
      </c>
      <c r="J235" t="str">
        <f>INDEX(Standards!$H$2:$H$296,MATCH(B235,Standards!$B$2:$B$296,0))</f>
        <v>Other</v>
      </c>
      <c r="K235" t="str">
        <f>INDEX(Standards!$H$2:$H$296,MATCH(C235,Standards!$B$2:$B$296,0))</f>
        <v>Anchor</v>
      </c>
      <c r="L235" t="b">
        <f>AND(TableRelationships[[#This Row],[Source Type]]="BIM",TableRelationships[[#This Row],[Target Type]]="BIM")</f>
        <v>0</v>
      </c>
      <c r="M235">
        <f t="shared" si="9"/>
        <v>2</v>
      </c>
      <c r="O235">
        <f t="shared" si="10"/>
        <v>1</v>
      </c>
      <c r="P235" t="str">
        <f>IF(TableRelationships[[#This Row],[Rank Pedro]]="Low","linkCategory1",IF(TableRelationships[[#This Row],[Rank Pedro]]="Medium","linkCategory2",IF(TableRelationships[[#This Row],[Rank Pedro]]="High","linkCategory3","")))</f>
        <v/>
      </c>
      <c r="Q235" t="str">
        <f>IF(TableRelationships[[#This Row],[Rank Pedro]]="Low","Pink",IF(TableRelationships[[#This Row],[Rank Pedro]]="Medium","Purple",IF(TableRelationships[[#This Row],[Rank Pedro]]="High","Brown","")))</f>
        <v/>
      </c>
      <c r="R235" s="4">
        <f>MAX(INDEX(Standards!$F$2:$F$296,MATCH(B235,Standards!$B$2:$B$296,0)),INDEX(Standards!$F$2:$F$296,MATCH(C235,Standards!$B$2:$B$296,0)))</f>
        <v>42736</v>
      </c>
      <c r="S235">
        <f t="shared" si="11"/>
        <v>1</v>
      </c>
    </row>
    <row r="236" spans="1:19" x14ac:dyDescent="0.5">
      <c r="A236">
        <v>251</v>
      </c>
      <c r="B236" t="s">
        <v>108</v>
      </c>
      <c r="C236" t="s">
        <v>240</v>
      </c>
      <c r="D236">
        <f>INDEX(Standards!$A$2:$A$296,MATCH(B236,Standards!$B$2:$B$296,0))</f>
        <v>32</v>
      </c>
      <c r="E236">
        <f>INDEX(Standards!$A$2:$A$296,MATCH(C236,Standards!$B$2:$B$296,0))</f>
        <v>94</v>
      </c>
      <c r="F236" t="str">
        <f>INDEX(Standards!$N$2:$N$296,MATCH(B236,Standards!$B$2:$B$296,0))</f>
        <v>#7030A0</v>
      </c>
      <c r="G236" t="str">
        <f>INDEX(Standards!$N$2:$N$296,MATCH(C236,Standards!$B$2:$B$296,0))</f>
        <v>#F2F2F2</v>
      </c>
      <c r="H236" t="s">
        <v>521</v>
      </c>
      <c r="I236" t="s">
        <v>237</v>
      </c>
      <c r="J236" t="str">
        <f>INDEX(Standards!$H$2:$H$296,MATCH(B236,Standards!$B$2:$B$296,0))</f>
        <v>ICT</v>
      </c>
      <c r="K236" t="str">
        <f>INDEX(Standards!$H$2:$H$296,MATCH(C236,Standards!$B$2:$B$296,0))</f>
        <v>Anchor</v>
      </c>
      <c r="L236" t="b">
        <f>AND(TableRelationships[[#This Row],[Source Type]]="BIM",TableRelationships[[#This Row],[Target Type]]="BIM")</f>
        <v>0</v>
      </c>
      <c r="M236">
        <f t="shared" si="9"/>
        <v>2</v>
      </c>
      <c r="O236">
        <f t="shared" si="10"/>
        <v>1</v>
      </c>
      <c r="P236" t="str">
        <f>IF(TableRelationships[[#This Row],[Rank Pedro]]="Low","linkCategory1",IF(TableRelationships[[#This Row],[Rank Pedro]]="Medium","linkCategory2",IF(TableRelationships[[#This Row],[Rank Pedro]]="High","linkCategory3","")))</f>
        <v/>
      </c>
      <c r="Q236" t="str">
        <f>IF(TableRelationships[[#This Row],[Rank Pedro]]="Low","Pink",IF(TableRelationships[[#This Row],[Rank Pedro]]="Medium","Purple",IF(TableRelationships[[#This Row],[Rank Pedro]]="High","Brown","")))</f>
        <v/>
      </c>
      <c r="R236" s="4">
        <f>MAX(INDEX(Standards!$F$2:$F$296,MATCH(B236,Standards!$B$2:$B$296,0)),INDEX(Standards!$F$2:$F$296,MATCH(C236,Standards!$B$2:$B$296,0)))</f>
        <v>37987</v>
      </c>
      <c r="S236">
        <f t="shared" si="11"/>
        <v>1</v>
      </c>
    </row>
    <row r="237" spans="1:19" x14ac:dyDescent="0.5">
      <c r="A237">
        <v>252</v>
      </c>
      <c r="B237" t="s">
        <v>116</v>
      </c>
      <c r="C237" t="s">
        <v>240</v>
      </c>
      <c r="D237">
        <f>INDEX(Standards!$A$2:$A$296,MATCH(B237,Standards!$B$2:$B$296,0))</f>
        <v>36</v>
      </c>
      <c r="E237">
        <f>INDEX(Standards!$A$2:$A$296,MATCH(C237,Standards!$B$2:$B$296,0))</f>
        <v>94</v>
      </c>
      <c r="F237" t="str">
        <f>INDEX(Standards!$N$2:$N$296,MATCH(B237,Standards!$B$2:$B$296,0))</f>
        <v>#595959</v>
      </c>
      <c r="G237" t="str">
        <f>INDEX(Standards!$N$2:$N$296,MATCH(C237,Standards!$B$2:$B$296,0))</f>
        <v>#F2F2F2</v>
      </c>
      <c r="H237" t="s">
        <v>521</v>
      </c>
      <c r="I237" t="s">
        <v>237</v>
      </c>
      <c r="J237" t="str">
        <f>INDEX(Standards!$H$2:$H$296,MATCH(B237,Standards!$B$2:$B$296,0))</f>
        <v>Other</v>
      </c>
      <c r="K237" t="str">
        <f>INDEX(Standards!$H$2:$H$296,MATCH(C237,Standards!$B$2:$B$296,0))</f>
        <v>Anchor</v>
      </c>
      <c r="L237" t="b">
        <f>AND(TableRelationships[[#This Row],[Source Type]]="BIM",TableRelationships[[#This Row],[Target Type]]="BIM")</f>
        <v>0</v>
      </c>
      <c r="M237">
        <f t="shared" si="9"/>
        <v>2</v>
      </c>
      <c r="O237">
        <f t="shared" si="10"/>
        <v>1</v>
      </c>
      <c r="P237" t="str">
        <f>IF(TableRelationships[[#This Row],[Rank Pedro]]="Low","linkCategory1",IF(TableRelationships[[#This Row],[Rank Pedro]]="Medium","linkCategory2",IF(TableRelationships[[#This Row],[Rank Pedro]]="High","linkCategory3","")))</f>
        <v/>
      </c>
      <c r="Q237" t="str">
        <f>IF(TableRelationships[[#This Row],[Rank Pedro]]="Low","Pink",IF(TableRelationships[[#This Row],[Rank Pedro]]="Medium","Purple",IF(TableRelationships[[#This Row],[Rank Pedro]]="High","Brown","")))</f>
        <v/>
      </c>
      <c r="R237" s="4">
        <f>MAX(INDEX(Standards!$F$2:$F$296,MATCH(B237,Standards!$B$2:$B$296,0)),INDEX(Standards!$F$2:$F$296,MATCH(C237,Standards!$B$2:$B$296,0)))</f>
        <v>41640</v>
      </c>
      <c r="S237">
        <f t="shared" si="11"/>
        <v>1</v>
      </c>
    </row>
    <row r="238" spans="1:19" x14ac:dyDescent="0.5">
      <c r="A238">
        <v>253</v>
      </c>
      <c r="B238" t="s">
        <v>124</v>
      </c>
      <c r="C238" t="s">
        <v>240</v>
      </c>
      <c r="D238">
        <f>INDEX(Standards!$A$2:$A$296,MATCH(B238,Standards!$B$2:$B$296,0))</f>
        <v>41</v>
      </c>
      <c r="E238">
        <f>INDEX(Standards!$A$2:$A$296,MATCH(C238,Standards!$B$2:$B$296,0))</f>
        <v>94</v>
      </c>
      <c r="F238" t="str">
        <f>INDEX(Standards!$N$2:$N$296,MATCH(B238,Standards!$B$2:$B$296,0))</f>
        <v>#595959</v>
      </c>
      <c r="G238" t="str">
        <f>INDEX(Standards!$N$2:$N$296,MATCH(C238,Standards!$B$2:$B$296,0))</f>
        <v>#F2F2F2</v>
      </c>
      <c r="H238" t="s">
        <v>521</v>
      </c>
      <c r="I238" t="s">
        <v>237</v>
      </c>
      <c r="J238" t="str">
        <f>INDEX(Standards!$H$2:$H$296,MATCH(B238,Standards!$B$2:$B$296,0))</f>
        <v>Other</v>
      </c>
      <c r="K238" t="str">
        <f>INDEX(Standards!$H$2:$H$296,MATCH(C238,Standards!$B$2:$B$296,0))</f>
        <v>Anchor</v>
      </c>
      <c r="L238" t="b">
        <f>AND(TableRelationships[[#This Row],[Source Type]]="BIM",TableRelationships[[#This Row],[Target Type]]="BIM")</f>
        <v>0</v>
      </c>
      <c r="M238">
        <f t="shared" si="9"/>
        <v>2</v>
      </c>
      <c r="O238">
        <f t="shared" si="10"/>
        <v>1</v>
      </c>
      <c r="P238" t="str">
        <f>IF(TableRelationships[[#This Row],[Rank Pedro]]="Low","linkCategory1",IF(TableRelationships[[#This Row],[Rank Pedro]]="Medium","linkCategory2",IF(TableRelationships[[#This Row],[Rank Pedro]]="High","linkCategory3","")))</f>
        <v/>
      </c>
      <c r="Q238" t="str">
        <f>IF(TableRelationships[[#This Row],[Rank Pedro]]="Low","Pink",IF(TableRelationships[[#This Row],[Rank Pedro]]="Medium","Purple",IF(TableRelationships[[#This Row],[Rank Pedro]]="High","Brown","")))</f>
        <v/>
      </c>
      <c r="R238" s="4">
        <f>MAX(INDEX(Standards!$F$2:$F$296,MATCH(B238,Standards!$B$2:$B$296,0)),INDEX(Standards!$F$2:$F$296,MATCH(C238,Standards!$B$2:$B$296,0)))</f>
        <v>36526</v>
      </c>
      <c r="S238">
        <f t="shared" si="11"/>
        <v>1</v>
      </c>
    </row>
    <row r="239" spans="1:19" x14ac:dyDescent="0.5">
      <c r="A239">
        <v>254</v>
      </c>
      <c r="B239" t="s">
        <v>126</v>
      </c>
      <c r="C239" t="s">
        <v>240</v>
      </c>
      <c r="D239">
        <f>INDEX(Standards!$A$2:$A$296,MATCH(B239,Standards!$B$2:$B$296,0))</f>
        <v>42</v>
      </c>
      <c r="E239">
        <f>INDEX(Standards!$A$2:$A$296,MATCH(C239,Standards!$B$2:$B$296,0))</f>
        <v>94</v>
      </c>
      <c r="F239" t="str">
        <f>INDEX(Standards!$N$2:$N$296,MATCH(B239,Standards!$B$2:$B$296,0))</f>
        <v>#595959</v>
      </c>
      <c r="G239" t="str">
        <f>INDEX(Standards!$N$2:$N$296,MATCH(C239,Standards!$B$2:$B$296,0))</f>
        <v>#F2F2F2</v>
      </c>
      <c r="H239" t="s">
        <v>521</v>
      </c>
      <c r="I239" t="s">
        <v>237</v>
      </c>
      <c r="J239" t="str">
        <f>INDEX(Standards!$H$2:$H$296,MATCH(B239,Standards!$B$2:$B$296,0))</f>
        <v>Other</v>
      </c>
      <c r="K239" t="str">
        <f>INDEX(Standards!$H$2:$H$296,MATCH(C239,Standards!$B$2:$B$296,0))</f>
        <v>Anchor</v>
      </c>
      <c r="L239" t="b">
        <f>AND(TableRelationships[[#This Row],[Source Type]]="BIM",TableRelationships[[#This Row],[Target Type]]="BIM")</f>
        <v>0</v>
      </c>
      <c r="M239">
        <f t="shared" si="9"/>
        <v>2</v>
      </c>
      <c r="O239">
        <f t="shared" si="10"/>
        <v>1</v>
      </c>
      <c r="P239" t="str">
        <f>IF(TableRelationships[[#This Row],[Rank Pedro]]="Low","linkCategory1",IF(TableRelationships[[#This Row],[Rank Pedro]]="Medium","linkCategory2",IF(TableRelationships[[#This Row],[Rank Pedro]]="High","linkCategory3","")))</f>
        <v/>
      </c>
      <c r="Q239" t="str">
        <f>IF(TableRelationships[[#This Row],[Rank Pedro]]="Low","Pink",IF(TableRelationships[[#This Row],[Rank Pedro]]="Medium","Purple",IF(TableRelationships[[#This Row],[Rank Pedro]]="High","Brown","")))</f>
        <v/>
      </c>
      <c r="R239" s="4">
        <f>MAX(INDEX(Standards!$F$2:$F$296,MATCH(B239,Standards!$B$2:$B$296,0)),INDEX(Standards!$F$2:$F$296,MATCH(C239,Standards!$B$2:$B$296,0)))</f>
        <v>36526</v>
      </c>
      <c r="S239">
        <f t="shared" si="11"/>
        <v>1</v>
      </c>
    </row>
    <row r="240" spans="1:19" x14ac:dyDescent="0.5">
      <c r="A240">
        <v>255</v>
      </c>
      <c r="B240" t="s">
        <v>132</v>
      </c>
      <c r="C240" t="s">
        <v>240</v>
      </c>
      <c r="D240">
        <f>INDEX(Standards!$A$2:$A$296,MATCH(B240,Standards!$B$2:$B$296,0))</f>
        <v>45</v>
      </c>
      <c r="E240">
        <f>INDEX(Standards!$A$2:$A$296,MATCH(C240,Standards!$B$2:$B$296,0))</f>
        <v>94</v>
      </c>
      <c r="F240" t="str">
        <f>INDEX(Standards!$N$2:$N$296,MATCH(B240,Standards!$B$2:$B$296,0))</f>
        <v>#595959</v>
      </c>
      <c r="G240" t="str">
        <f>INDEX(Standards!$N$2:$N$296,MATCH(C240,Standards!$B$2:$B$296,0))</f>
        <v>#F2F2F2</v>
      </c>
      <c r="H240" t="s">
        <v>521</v>
      </c>
      <c r="I240" t="s">
        <v>237</v>
      </c>
      <c r="J240" t="str">
        <f>INDEX(Standards!$H$2:$H$296,MATCH(B240,Standards!$B$2:$B$296,0))</f>
        <v>Other</v>
      </c>
      <c r="K240" t="str">
        <f>INDEX(Standards!$H$2:$H$296,MATCH(C240,Standards!$B$2:$B$296,0))</f>
        <v>Anchor</v>
      </c>
      <c r="L240" t="b">
        <f>AND(TableRelationships[[#This Row],[Source Type]]="BIM",TableRelationships[[#This Row],[Target Type]]="BIM")</f>
        <v>0</v>
      </c>
      <c r="M240">
        <f t="shared" si="9"/>
        <v>2</v>
      </c>
      <c r="O240">
        <f t="shared" si="10"/>
        <v>1</v>
      </c>
      <c r="P240" t="str">
        <f>IF(TableRelationships[[#This Row],[Rank Pedro]]="Low","linkCategory1",IF(TableRelationships[[#This Row],[Rank Pedro]]="Medium","linkCategory2",IF(TableRelationships[[#This Row],[Rank Pedro]]="High","linkCategory3","")))</f>
        <v/>
      </c>
      <c r="Q240" t="str">
        <f>IF(TableRelationships[[#This Row],[Rank Pedro]]="Low","Pink",IF(TableRelationships[[#This Row],[Rank Pedro]]="Medium","Purple",IF(TableRelationships[[#This Row],[Rank Pedro]]="High","Brown","")))</f>
        <v/>
      </c>
      <c r="R240" s="4">
        <f>MAX(INDEX(Standards!$F$2:$F$296,MATCH(B240,Standards!$B$2:$B$296,0)),INDEX(Standards!$F$2:$F$296,MATCH(C240,Standards!$B$2:$B$296,0)))</f>
        <v>29707</v>
      </c>
      <c r="S240">
        <f t="shared" si="11"/>
        <v>1</v>
      </c>
    </row>
    <row r="241" spans="1:19" x14ac:dyDescent="0.5">
      <c r="A241">
        <v>256</v>
      </c>
      <c r="B241" t="s">
        <v>178</v>
      </c>
      <c r="C241" t="s">
        <v>240</v>
      </c>
      <c r="D241">
        <f>INDEX(Standards!$A$2:$A$296,MATCH(B241,Standards!$B$2:$B$296,0))</f>
        <v>65</v>
      </c>
      <c r="E241">
        <f>INDEX(Standards!$A$2:$A$296,MATCH(C241,Standards!$B$2:$B$296,0))</f>
        <v>94</v>
      </c>
      <c r="F241" t="str">
        <f>INDEX(Standards!$N$2:$N$296,MATCH(B241,Standards!$B$2:$B$296,0))</f>
        <v>#595959</v>
      </c>
      <c r="G241" t="str">
        <f>INDEX(Standards!$N$2:$N$296,MATCH(C241,Standards!$B$2:$B$296,0))</f>
        <v>#F2F2F2</v>
      </c>
      <c r="H241" t="s">
        <v>521</v>
      </c>
      <c r="I241" t="s">
        <v>237</v>
      </c>
      <c r="J241" t="str">
        <f>INDEX(Standards!$H$2:$H$296,MATCH(B241,Standards!$B$2:$B$296,0))</f>
        <v>Other</v>
      </c>
      <c r="K241" t="str">
        <f>INDEX(Standards!$H$2:$H$296,MATCH(C241,Standards!$B$2:$B$296,0))</f>
        <v>Anchor</v>
      </c>
      <c r="L241" t="b">
        <f>AND(TableRelationships[[#This Row],[Source Type]]="BIM",TableRelationships[[#This Row],[Target Type]]="BIM")</f>
        <v>0</v>
      </c>
      <c r="M241">
        <f t="shared" si="9"/>
        <v>2</v>
      </c>
      <c r="O241">
        <f t="shared" si="10"/>
        <v>1</v>
      </c>
      <c r="P241" t="str">
        <f>IF(TableRelationships[[#This Row],[Rank Pedro]]="Low","linkCategory1",IF(TableRelationships[[#This Row],[Rank Pedro]]="Medium","linkCategory2",IF(TableRelationships[[#This Row],[Rank Pedro]]="High","linkCategory3","")))</f>
        <v/>
      </c>
      <c r="Q241" t="str">
        <f>IF(TableRelationships[[#This Row],[Rank Pedro]]="Low","Pink",IF(TableRelationships[[#This Row],[Rank Pedro]]="Medium","Purple",IF(TableRelationships[[#This Row],[Rank Pedro]]="High","Brown","")))</f>
        <v/>
      </c>
      <c r="R241" s="4">
        <f>MAX(INDEX(Standards!$F$2:$F$296,MATCH(B241,Standards!$B$2:$B$296,0)),INDEX(Standards!$F$2:$F$296,MATCH(C241,Standards!$B$2:$B$296,0)))</f>
        <v>29221</v>
      </c>
      <c r="S241">
        <f t="shared" si="11"/>
        <v>1</v>
      </c>
    </row>
    <row r="242" spans="1:19" x14ac:dyDescent="0.5">
      <c r="A242">
        <v>257</v>
      </c>
      <c r="B242" t="s">
        <v>182</v>
      </c>
      <c r="C242" t="s">
        <v>240</v>
      </c>
      <c r="D242">
        <f>INDEX(Standards!$A$2:$A$296,MATCH(B242,Standards!$B$2:$B$296,0))</f>
        <v>67</v>
      </c>
      <c r="E242">
        <f>INDEX(Standards!$A$2:$A$296,MATCH(C242,Standards!$B$2:$B$296,0))</f>
        <v>94</v>
      </c>
      <c r="F242" t="str">
        <f>INDEX(Standards!$N$2:$N$296,MATCH(B242,Standards!$B$2:$B$296,0))</f>
        <v>#595959</v>
      </c>
      <c r="G242" t="str">
        <f>INDEX(Standards!$N$2:$N$296,MATCH(C242,Standards!$B$2:$B$296,0))</f>
        <v>#F2F2F2</v>
      </c>
      <c r="H242" t="s">
        <v>521</v>
      </c>
      <c r="I242" t="s">
        <v>237</v>
      </c>
      <c r="J242" t="str">
        <f>INDEX(Standards!$H$2:$H$296,MATCH(B242,Standards!$B$2:$B$296,0))</f>
        <v>Other</v>
      </c>
      <c r="K242" t="str">
        <f>INDEX(Standards!$H$2:$H$296,MATCH(C242,Standards!$B$2:$B$296,0))</f>
        <v>Anchor</v>
      </c>
      <c r="L242" t="b">
        <f>AND(TableRelationships[[#This Row],[Source Type]]="BIM",TableRelationships[[#This Row],[Target Type]]="BIM")</f>
        <v>0</v>
      </c>
      <c r="M242">
        <f t="shared" si="9"/>
        <v>2</v>
      </c>
      <c r="O242">
        <f t="shared" si="10"/>
        <v>1</v>
      </c>
      <c r="P242" t="str">
        <f>IF(TableRelationships[[#This Row],[Rank Pedro]]="Low","linkCategory1",IF(TableRelationships[[#This Row],[Rank Pedro]]="Medium","linkCategory2",IF(TableRelationships[[#This Row],[Rank Pedro]]="High","linkCategory3","")))</f>
        <v/>
      </c>
      <c r="Q242" t="str">
        <f>IF(TableRelationships[[#This Row],[Rank Pedro]]="Low","Pink",IF(TableRelationships[[#This Row],[Rank Pedro]]="Medium","Purple",IF(TableRelationships[[#This Row],[Rank Pedro]]="High","Brown","")))</f>
        <v/>
      </c>
      <c r="R242" s="4">
        <f>MAX(INDEX(Standards!$F$2:$F$296,MATCH(B242,Standards!$B$2:$B$296,0)),INDEX(Standards!$F$2:$F$296,MATCH(C242,Standards!$B$2:$B$296,0)))</f>
        <v>33786</v>
      </c>
      <c r="S242">
        <f t="shared" si="11"/>
        <v>1</v>
      </c>
    </row>
    <row r="243" spans="1:19" x14ac:dyDescent="0.5">
      <c r="A243">
        <v>258</v>
      </c>
      <c r="B243" t="s">
        <v>200</v>
      </c>
      <c r="C243" t="s">
        <v>240</v>
      </c>
      <c r="D243">
        <f>INDEX(Standards!$A$2:$A$296,MATCH(B243,Standards!$B$2:$B$296,0))</f>
        <v>76</v>
      </c>
      <c r="E243">
        <f>INDEX(Standards!$A$2:$A$296,MATCH(C243,Standards!$B$2:$B$296,0))</f>
        <v>94</v>
      </c>
      <c r="F243" t="str">
        <f>INDEX(Standards!$N$2:$N$296,MATCH(B243,Standards!$B$2:$B$296,0))</f>
        <v>#595959</v>
      </c>
      <c r="G243" t="str">
        <f>INDEX(Standards!$N$2:$N$296,MATCH(C243,Standards!$B$2:$B$296,0))</f>
        <v>#F2F2F2</v>
      </c>
      <c r="H243" t="s">
        <v>521</v>
      </c>
      <c r="I243" t="s">
        <v>237</v>
      </c>
      <c r="J243" t="str">
        <f>INDEX(Standards!$H$2:$H$296,MATCH(B243,Standards!$B$2:$B$296,0))</f>
        <v>Other</v>
      </c>
      <c r="K243" t="str">
        <f>INDEX(Standards!$H$2:$H$296,MATCH(C243,Standards!$B$2:$B$296,0))</f>
        <v>Anchor</v>
      </c>
      <c r="L243" t="b">
        <f>AND(TableRelationships[[#This Row],[Source Type]]="BIM",TableRelationships[[#This Row],[Target Type]]="BIM")</f>
        <v>0</v>
      </c>
      <c r="M243">
        <f t="shared" si="9"/>
        <v>2</v>
      </c>
      <c r="O243">
        <f t="shared" si="10"/>
        <v>1</v>
      </c>
      <c r="P243" t="str">
        <f>IF(TableRelationships[[#This Row],[Rank Pedro]]="Low","linkCategory1",IF(TableRelationships[[#This Row],[Rank Pedro]]="Medium","linkCategory2",IF(TableRelationships[[#This Row],[Rank Pedro]]="High","linkCategory3","")))</f>
        <v/>
      </c>
      <c r="Q243" t="str">
        <f>IF(TableRelationships[[#This Row],[Rank Pedro]]="Low","Pink",IF(TableRelationships[[#This Row],[Rank Pedro]]="Medium","Purple",IF(TableRelationships[[#This Row],[Rank Pedro]]="High","Brown","")))</f>
        <v/>
      </c>
      <c r="R243" s="4">
        <f>MAX(INDEX(Standards!$F$2:$F$296,MATCH(B243,Standards!$B$2:$B$296,0)),INDEX(Standards!$F$2:$F$296,MATCH(C243,Standards!$B$2:$B$296,0)))</f>
        <v>37622</v>
      </c>
      <c r="S243">
        <f t="shared" si="11"/>
        <v>1</v>
      </c>
    </row>
    <row r="244" spans="1:19" x14ac:dyDescent="0.5">
      <c r="A244">
        <v>259</v>
      </c>
      <c r="B244" t="s">
        <v>482</v>
      </c>
      <c r="C244" t="s">
        <v>240</v>
      </c>
      <c r="D244">
        <f>INDEX(Standards!$A$2:$A$296,MATCH(B244,Standards!$B$2:$B$296,0))</f>
        <v>213</v>
      </c>
      <c r="E244">
        <f>INDEX(Standards!$A$2:$A$296,MATCH(C244,Standards!$B$2:$B$296,0))</f>
        <v>94</v>
      </c>
      <c r="F244" t="str">
        <f>INDEX(Standards!$N$2:$N$296,MATCH(B244,Standards!$B$2:$B$296,0))</f>
        <v>#595959</v>
      </c>
      <c r="G244" t="str">
        <f>INDEX(Standards!$N$2:$N$296,MATCH(C244,Standards!$B$2:$B$296,0))</f>
        <v>#F2F2F2</v>
      </c>
      <c r="H244" t="s">
        <v>521</v>
      </c>
      <c r="I244" t="s">
        <v>237</v>
      </c>
      <c r="J244" t="str">
        <f>INDEX(Standards!$H$2:$H$296,MATCH(B244,Standards!$B$2:$B$296,0))</f>
        <v>Other</v>
      </c>
      <c r="K244" t="str">
        <f>INDEX(Standards!$H$2:$H$296,MATCH(C244,Standards!$B$2:$B$296,0))</f>
        <v>Anchor</v>
      </c>
      <c r="L244" t="b">
        <f>AND(TableRelationships[[#This Row],[Source Type]]="BIM",TableRelationships[[#This Row],[Target Type]]="BIM")</f>
        <v>0</v>
      </c>
      <c r="M244">
        <f t="shared" si="9"/>
        <v>2</v>
      </c>
      <c r="O244">
        <f t="shared" si="10"/>
        <v>1</v>
      </c>
      <c r="P244" t="str">
        <f>IF(TableRelationships[[#This Row],[Rank Pedro]]="Low","linkCategory1",IF(TableRelationships[[#This Row],[Rank Pedro]]="Medium","linkCategory2",IF(TableRelationships[[#This Row],[Rank Pedro]]="High","linkCategory3","")))</f>
        <v/>
      </c>
      <c r="Q244" t="str">
        <f>IF(TableRelationships[[#This Row],[Rank Pedro]]="Low","Pink",IF(TableRelationships[[#This Row],[Rank Pedro]]="Medium","Purple",IF(TableRelationships[[#This Row],[Rank Pedro]]="High","Brown","")))</f>
        <v/>
      </c>
      <c r="R244" s="4">
        <f>MAX(INDEX(Standards!$F$2:$F$296,MATCH(B244,Standards!$B$2:$B$296,0)),INDEX(Standards!$F$2:$F$296,MATCH(C244,Standards!$B$2:$B$296,0)))</f>
        <v>40817</v>
      </c>
      <c r="S244">
        <f t="shared" si="11"/>
        <v>1</v>
      </c>
    </row>
    <row r="245" spans="1:19" x14ac:dyDescent="0.5">
      <c r="A245">
        <v>260</v>
      </c>
      <c r="B245" t="s">
        <v>218</v>
      </c>
      <c r="C245" t="s">
        <v>240</v>
      </c>
      <c r="D245">
        <f>INDEX(Standards!$A$2:$A$296,MATCH(B245,Standards!$B$2:$B$296,0))</f>
        <v>84</v>
      </c>
      <c r="E245">
        <f>INDEX(Standards!$A$2:$A$296,MATCH(C245,Standards!$B$2:$B$296,0))</f>
        <v>94</v>
      </c>
      <c r="F245" t="str">
        <f>INDEX(Standards!$N$2:$N$296,MATCH(B245,Standards!$B$2:$B$296,0))</f>
        <v>#595959</v>
      </c>
      <c r="G245" t="str">
        <f>INDEX(Standards!$N$2:$N$296,MATCH(C245,Standards!$B$2:$B$296,0))</f>
        <v>#F2F2F2</v>
      </c>
      <c r="H245" t="s">
        <v>521</v>
      </c>
      <c r="I245" t="s">
        <v>237</v>
      </c>
      <c r="J245" t="str">
        <f>INDEX(Standards!$H$2:$H$296,MATCH(B245,Standards!$B$2:$B$296,0))</f>
        <v>Other</v>
      </c>
      <c r="K245" t="str">
        <f>INDEX(Standards!$H$2:$H$296,MATCH(C245,Standards!$B$2:$B$296,0))</f>
        <v>Anchor</v>
      </c>
      <c r="L245" t="b">
        <f>AND(TableRelationships[[#This Row],[Source Type]]="BIM",TableRelationships[[#This Row],[Target Type]]="BIM")</f>
        <v>0</v>
      </c>
      <c r="M245">
        <f t="shared" si="9"/>
        <v>2</v>
      </c>
      <c r="O245">
        <f t="shared" si="10"/>
        <v>1</v>
      </c>
      <c r="P245" t="str">
        <f>IF(TableRelationships[[#This Row],[Rank Pedro]]="Low","linkCategory1",IF(TableRelationships[[#This Row],[Rank Pedro]]="Medium","linkCategory2",IF(TableRelationships[[#This Row],[Rank Pedro]]="High","linkCategory3","")))</f>
        <v/>
      </c>
      <c r="Q245" t="str">
        <f>IF(TableRelationships[[#This Row],[Rank Pedro]]="Low","Pink",IF(TableRelationships[[#This Row],[Rank Pedro]]="Medium","Purple",IF(TableRelationships[[#This Row],[Rank Pedro]]="High","Brown","")))</f>
        <v/>
      </c>
      <c r="R245" s="4">
        <f>MAX(INDEX(Standards!$F$2:$F$296,MATCH(B245,Standards!$B$2:$B$296,0)),INDEX(Standards!$F$2:$F$296,MATCH(C245,Standards!$B$2:$B$296,0)))</f>
        <v>38353</v>
      </c>
      <c r="S245">
        <f t="shared" si="11"/>
        <v>1</v>
      </c>
    </row>
    <row r="246" spans="1:19" x14ac:dyDescent="0.5">
      <c r="A246">
        <v>261</v>
      </c>
      <c r="B246" t="s">
        <v>148</v>
      </c>
      <c r="C246" t="s">
        <v>241</v>
      </c>
      <c r="D246">
        <f>INDEX(Standards!$A$2:$A$296,MATCH(B246,Standards!$B$2:$B$296,0))</f>
        <v>52</v>
      </c>
      <c r="E246">
        <f>INDEX(Standards!$A$2:$A$296,MATCH(C246,Standards!$B$2:$B$296,0))</f>
        <v>95</v>
      </c>
      <c r="F246" t="str">
        <f>INDEX(Standards!$N$2:$N$296,MATCH(B246,Standards!$B$2:$B$296,0))</f>
        <v>#4472C4</v>
      </c>
      <c r="G246" t="str">
        <f>INDEX(Standards!$N$2:$N$296,MATCH(C246,Standards!$B$2:$B$296,0))</f>
        <v>#F2F2F2</v>
      </c>
      <c r="H246" t="s">
        <v>521</v>
      </c>
      <c r="I246" t="s">
        <v>237</v>
      </c>
      <c r="J246" t="str">
        <f>INDEX(Standards!$H$2:$H$296,MATCH(B246,Standards!$B$2:$B$296,0))</f>
        <v>Industrial Automation</v>
      </c>
      <c r="K246" t="str">
        <f>INDEX(Standards!$H$2:$H$296,MATCH(C246,Standards!$B$2:$B$296,0))</f>
        <v>Anchor</v>
      </c>
      <c r="L246" t="b">
        <f>AND(TableRelationships[[#This Row],[Source Type]]="BIM",TableRelationships[[#This Row],[Target Type]]="BIM")</f>
        <v>0</v>
      </c>
      <c r="M246">
        <f t="shared" si="9"/>
        <v>2</v>
      </c>
      <c r="O246">
        <f t="shared" si="10"/>
        <v>1</v>
      </c>
      <c r="P246" t="str">
        <f>IF(TableRelationships[[#This Row],[Rank Pedro]]="Low","linkCategory1",IF(TableRelationships[[#This Row],[Rank Pedro]]="Medium","linkCategory2",IF(TableRelationships[[#This Row],[Rank Pedro]]="High","linkCategory3","")))</f>
        <v/>
      </c>
      <c r="Q246" t="str">
        <f>IF(TableRelationships[[#This Row],[Rank Pedro]]="Low","Pink",IF(TableRelationships[[#This Row],[Rank Pedro]]="Medium","Purple",IF(TableRelationships[[#This Row],[Rank Pedro]]="High","Brown","")))</f>
        <v/>
      </c>
      <c r="R246" s="4">
        <f>MAX(INDEX(Standards!$F$2:$F$296,MATCH(B246,Standards!$B$2:$B$296,0)),INDEX(Standards!$F$2:$F$296,MATCH(C246,Standards!$B$2:$B$296,0)))</f>
        <v>37987</v>
      </c>
      <c r="S246">
        <f t="shared" si="11"/>
        <v>1</v>
      </c>
    </row>
    <row r="247" spans="1:19" x14ac:dyDescent="0.5">
      <c r="A247">
        <v>262</v>
      </c>
      <c r="B247" t="s">
        <v>150</v>
      </c>
      <c r="C247" t="s">
        <v>241</v>
      </c>
      <c r="D247">
        <f>INDEX(Standards!$A$2:$A$296,MATCH(B247,Standards!$B$2:$B$296,0))</f>
        <v>53</v>
      </c>
      <c r="E247">
        <f>INDEX(Standards!$A$2:$A$296,MATCH(C247,Standards!$B$2:$B$296,0))</f>
        <v>95</v>
      </c>
      <c r="F247" t="str">
        <f>INDEX(Standards!$N$2:$N$296,MATCH(B247,Standards!$B$2:$B$296,0))</f>
        <v>#4472C4</v>
      </c>
      <c r="G247" t="str">
        <f>INDEX(Standards!$N$2:$N$296,MATCH(C247,Standards!$B$2:$B$296,0))</f>
        <v>#F2F2F2</v>
      </c>
      <c r="H247" t="s">
        <v>521</v>
      </c>
      <c r="I247" t="s">
        <v>237</v>
      </c>
      <c r="J247" t="str">
        <f>INDEX(Standards!$H$2:$H$296,MATCH(B247,Standards!$B$2:$B$296,0))</f>
        <v>Industrial Automation</v>
      </c>
      <c r="K247" t="str">
        <f>INDEX(Standards!$H$2:$H$296,MATCH(C247,Standards!$B$2:$B$296,0))</f>
        <v>Anchor</v>
      </c>
      <c r="L247" t="b">
        <f>AND(TableRelationships[[#This Row],[Source Type]]="BIM",TableRelationships[[#This Row],[Target Type]]="BIM")</f>
        <v>0</v>
      </c>
      <c r="M247">
        <f t="shared" si="9"/>
        <v>2</v>
      </c>
      <c r="O247">
        <f t="shared" si="10"/>
        <v>1</v>
      </c>
      <c r="P247" t="str">
        <f>IF(TableRelationships[[#This Row],[Rank Pedro]]="Low","linkCategory1",IF(TableRelationships[[#This Row],[Rank Pedro]]="Medium","linkCategory2",IF(TableRelationships[[#This Row],[Rank Pedro]]="High","linkCategory3","")))</f>
        <v/>
      </c>
      <c r="Q247" t="str">
        <f>IF(TableRelationships[[#This Row],[Rank Pedro]]="Low","Pink",IF(TableRelationships[[#This Row],[Rank Pedro]]="Medium","Purple",IF(TableRelationships[[#This Row],[Rank Pedro]]="High","Brown","")))</f>
        <v/>
      </c>
      <c r="R247" s="4">
        <f>MAX(INDEX(Standards!$F$2:$F$296,MATCH(B247,Standards!$B$2:$B$296,0)),INDEX(Standards!$F$2:$F$296,MATCH(C247,Standards!$B$2:$B$296,0)))</f>
        <v>35796</v>
      </c>
      <c r="S247">
        <f t="shared" si="11"/>
        <v>1</v>
      </c>
    </row>
    <row r="248" spans="1:19" x14ac:dyDescent="0.5">
      <c r="A248">
        <v>263</v>
      </c>
      <c r="B248" t="s">
        <v>154</v>
      </c>
      <c r="C248" t="s">
        <v>241</v>
      </c>
      <c r="D248">
        <f>INDEX(Standards!$A$2:$A$296,MATCH(B248,Standards!$B$2:$B$296,0))</f>
        <v>55</v>
      </c>
      <c r="E248">
        <f>INDEX(Standards!$A$2:$A$296,MATCH(C248,Standards!$B$2:$B$296,0))</f>
        <v>95</v>
      </c>
      <c r="F248" t="str">
        <f>INDEX(Standards!$N$2:$N$296,MATCH(B248,Standards!$B$2:$B$296,0))</f>
        <v>#4472C4</v>
      </c>
      <c r="G248" t="str">
        <f>INDEX(Standards!$N$2:$N$296,MATCH(C248,Standards!$B$2:$B$296,0))</f>
        <v>#F2F2F2</v>
      </c>
      <c r="H248" t="s">
        <v>521</v>
      </c>
      <c r="I248" t="s">
        <v>237</v>
      </c>
      <c r="J248" t="str">
        <f>INDEX(Standards!$H$2:$H$296,MATCH(B248,Standards!$B$2:$B$296,0))</f>
        <v>Industrial Automation</v>
      </c>
      <c r="K248" t="str">
        <f>INDEX(Standards!$H$2:$H$296,MATCH(C248,Standards!$B$2:$B$296,0))</f>
        <v>Anchor</v>
      </c>
      <c r="L248" t="b">
        <f>AND(TableRelationships[[#This Row],[Source Type]]="BIM",TableRelationships[[#This Row],[Target Type]]="BIM")</f>
        <v>0</v>
      </c>
      <c r="M248">
        <f t="shared" si="9"/>
        <v>2</v>
      </c>
      <c r="O248">
        <f t="shared" si="10"/>
        <v>1</v>
      </c>
      <c r="P248" t="str">
        <f>IF(TableRelationships[[#This Row],[Rank Pedro]]="Low","linkCategory1",IF(TableRelationships[[#This Row],[Rank Pedro]]="Medium","linkCategory2",IF(TableRelationships[[#This Row],[Rank Pedro]]="High","linkCategory3","")))</f>
        <v/>
      </c>
      <c r="Q248" t="str">
        <f>IF(TableRelationships[[#This Row],[Rank Pedro]]="Low","Pink",IF(TableRelationships[[#This Row],[Rank Pedro]]="Medium","Purple",IF(TableRelationships[[#This Row],[Rank Pedro]]="High","Brown","")))</f>
        <v/>
      </c>
      <c r="R248" s="4">
        <f>MAX(INDEX(Standards!$F$2:$F$296,MATCH(B248,Standards!$B$2:$B$296,0)),INDEX(Standards!$F$2:$F$296,MATCH(C248,Standards!$B$2:$B$296,0)))</f>
        <v>39814</v>
      </c>
      <c r="S248">
        <f t="shared" si="11"/>
        <v>1</v>
      </c>
    </row>
    <row r="249" spans="1:19" x14ac:dyDescent="0.5">
      <c r="A249">
        <v>264</v>
      </c>
      <c r="B249" t="s">
        <v>158</v>
      </c>
      <c r="C249" t="s">
        <v>241</v>
      </c>
      <c r="D249">
        <f>INDEX(Standards!$A$2:$A$296,MATCH(B249,Standards!$B$2:$B$296,0))</f>
        <v>57</v>
      </c>
      <c r="E249">
        <f>INDEX(Standards!$A$2:$A$296,MATCH(C249,Standards!$B$2:$B$296,0))</f>
        <v>95</v>
      </c>
      <c r="F249" t="str">
        <f>INDEX(Standards!$N$2:$N$296,MATCH(B249,Standards!$B$2:$B$296,0))</f>
        <v>#4472C4</v>
      </c>
      <c r="G249" t="str">
        <f>INDEX(Standards!$N$2:$N$296,MATCH(C249,Standards!$B$2:$B$296,0))</f>
        <v>#F2F2F2</v>
      </c>
      <c r="H249" t="s">
        <v>521</v>
      </c>
      <c r="I249" t="s">
        <v>237</v>
      </c>
      <c r="J249" t="str">
        <f>INDEX(Standards!$H$2:$H$296,MATCH(B249,Standards!$B$2:$B$296,0))</f>
        <v>Industrial Automation</v>
      </c>
      <c r="K249" t="str">
        <f>INDEX(Standards!$H$2:$H$296,MATCH(C249,Standards!$B$2:$B$296,0))</f>
        <v>Anchor</v>
      </c>
      <c r="L249" t="b">
        <f>AND(TableRelationships[[#This Row],[Source Type]]="BIM",TableRelationships[[#This Row],[Target Type]]="BIM")</f>
        <v>0</v>
      </c>
      <c r="M249">
        <f t="shared" si="9"/>
        <v>2</v>
      </c>
      <c r="O249">
        <f t="shared" si="10"/>
        <v>1</v>
      </c>
      <c r="P249" t="str">
        <f>IF(TableRelationships[[#This Row],[Rank Pedro]]="Low","linkCategory1",IF(TableRelationships[[#This Row],[Rank Pedro]]="Medium","linkCategory2",IF(TableRelationships[[#This Row],[Rank Pedro]]="High","linkCategory3","")))</f>
        <v/>
      </c>
      <c r="Q249" t="str">
        <f>IF(TableRelationships[[#This Row],[Rank Pedro]]="Low","Pink",IF(TableRelationships[[#This Row],[Rank Pedro]]="Medium","Purple",IF(TableRelationships[[#This Row],[Rank Pedro]]="High","Brown","")))</f>
        <v/>
      </c>
      <c r="R249" s="4">
        <f>MAX(INDEX(Standards!$F$2:$F$296,MATCH(B249,Standards!$B$2:$B$296,0)),INDEX(Standards!$F$2:$F$296,MATCH(C249,Standards!$B$2:$B$296,0)))</f>
        <v>39083</v>
      </c>
      <c r="S249">
        <f t="shared" si="11"/>
        <v>1</v>
      </c>
    </row>
    <row r="250" spans="1:19" x14ac:dyDescent="0.5">
      <c r="A250">
        <v>265</v>
      </c>
      <c r="B250" t="s">
        <v>160</v>
      </c>
      <c r="C250" t="s">
        <v>241</v>
      </c>
      <c r="D250">
        <f>INDEX(Standards!$A$2:$A$296,MATCH(B250,Standards!$B$2:$B$296,0))</f>
        <v>58</v>
      </c>
      <c r="E250">
        <f>INDEX(Standards!$A$2:$A$296,MATCH(C250,Standards!$B$2:$B$296,0))</f>
        <v>95</v>
      </c>
      <c r="F250" t="str">
        <f>INDEX(Standards!$N$2:$N$296,MATCH(B250,Standards!$B$2:$B$296,0))</f>
        <v>#4472C4</v>
      </c>
      <c r="G250" t="str">
        <f>INDEX(Standards!$N$2:$N$296,MATCH(C250,Standards!$B$2:$B$296,0))</f>
        <v>#F2F2F2</v>
      </c>
      <c r="H250" t="s">
        <v>521</v>
      </c>
      <c r="I250" t="s">
        <v>237</v>
      </c>
      <c r="J250" t="str">
        <f>INDEX(Standards!$H$2:$H$296,MATCH(B250,Standards!$B$2:$B$296,0))</f>
        <v>Industrial Automation</v>
      </c>
      <c r="K250" t="str">
        <f>INDEX(Standards!$H$2:$H$296,MATCH(C250,Standards!$B$2:$B$296,0))</f>
        <v>Anchor</v>
      </c>
      <c r="L250" t="b">
        <f>AND(TableRelationships[[#This Row],[Source Type]]="BIM",TableRelationships[[#This Row],[Target Type]]="BIM")</f>
        <v>0</v>
      </c>
      <c r="M250">
        <f t="shared" si="9"/>
        <v>2</v>
      </c>
      <c r="O250">
        <f t="shared" si="10"/>
        <v>1</v>
      </c>
      <c r="P250" t="str">
        <f>IF(TableRelationships[[#This Row],[Rank Pedro]]="Low","linkCategory1",IF(TableRelationships[[#This Row],[Rank Pedro]]="Medium","linkCategory2",IF(TableRelationships[[#This Row],[Rank Pedro]]="High","linkCategory3","")))</f>
        <v/>
      </c>
      <c r="Q250" t="str">
        <f>IF(TableRelationships[[#This Row],[Rank Pedro]]="Low","Pink",IF(TableRelationships[[#This Row],[Rank Pedro]]="Medium","Purple",IF(TableRelationships[[#This Row],[Rank Pedro]]="High","Brown","")))</f>
        <v/>
      </c>
      <c r="R250" s="4">
        <f>MAX(INDEX(Standards!$F$2:$F$296,MATCH(B250,Standards!$B$2:$B$296,0)),INDEX(Standards!$F$2:$F$296,MATCH(C250,Standards!$B$2:$B$296,0)))</f>
        <v>34669</v>
      </c>
      <c r="S250">
        <f t="shared" si="11"/>
        <v>1</v>
      </c>
    </row>
    <row r="251" spans="1:19" x14ac:dyDescent="0.5">
      <c r="A251">
        <v>266</v>
      </c>
      <c r="B251" t="s">
        <v>166</v>
      </c>
      <c r="C251" t="s">
        <v>241</v>
      </c>
      <c r="D251">
        <f>INDEX(Standards!$A$2:$A$296,MATCH(B251,Standards!$B$2:$B$296,0))</f>
        <v>61</v>
      </c>
      <c r="E251">
        <f>INDEX(Standards!$A$2:$A$296,MATCH(C251,Standards!$B$2:$B$296,0))</f>
        <v>95</v>
      </c>
      <c r="F251" t="str">
        <f>INDEX(Standards!$N$2:$N$296,MATCH(B251,Standards!$B$2:$B$296,0))</f>
        <v>#4472C4</v>
      </c>
      <c r="G251" t="str">
        <f>INDEX(Standards!$N$2:$N$296,MATCH(C251,Standards!$B$2:$B$296,0))</f>
        <v>#F2F2F2</v>
      </c>
      <c r="H251" t="s">
        <v>521</v>
      </c>
      <c r="I251" t="s">
        <v>237</v>
      </c>
      <c r="J251" t="str">
        <f>INDEX(Standards!$H$2:$H$296,MATCH(B251,Standards!$B$2:$B$296,0))</f>
        <v>Industrial Automation</v>
      </c>
      <c r="K251" t="str">
        <f>INDEX(Standards!$H$2:$H$296,MATCH(C251,Standards!$B$2:$B$296,0))</f>
        <v>Anchor</v>
      </c>
      <c r="L251" t="b">
        <f>AND(TableRelationships[[#This Row],[Source Type]]="BIM",TableRelationships[[#This Row],[Target Type]]="BIM")</f>
        <v>0</v>
      </c>
      <c r="M251">
        <f t="shared" si="9"/>
        <v>2</v>
      </c>
      <c r="O251">
        <f t="shared" si="10"/>
        <v>1</v>
      </c>
      <c r="P251" t="str">
        <f>IF(TableRelationships[[#This Row],[Rank Pedro]]="Low","linkCategory1",IF(TableRelationships[[#This Row],[Rank Pedro]]="Medium","linkCategory2",IF(TableRelationships[[#This Row],[Rank Pedro]]="High","linkCategory3","")))</f>
        <v/>
      </c>
      <c r="Q251" t="str">
        <f>IF(TableRelationships[[#This Row],[Rank Pedro]]="Low","Pink",IF(TableRelationships[[#This Row],[Rank Pedro]]="Medium","Purple",IF(TableRelationships[[#This Row],[Rank Pedro]]="High","Brown","")))</f>
        <v/>
      </c>
      <c r="R251" s="4">
        <f>MAX(INDEX(Standards!$F$2:$F$296,MATCH(B251,Standards!$B$2:$B$296,0)),INDEX(Standards!$F$2:$F$296,MATCH(C251,Standards!$B$2:$B$296,0)))</f>
        <v>36495</v>
      </c>
      <c r="S251">
        <f t="shared" si="11"/>
        <v>1</v>
      </c>
    </row>
    <row r="252" spans="1:19" x14ac:dyDescent="0.5">
      <c r="A252">
        <v>267</v>
      </c>
      <c r="B252" t="s">
        <v>74</v>
      </c>
      <c r="C252" t="s">
        <v>242</v>
      </c>
      <c r="D252">
        <f>INDEX(Standards!$A$2:$A$296,MATCH(B252,Standards!$B$2:$B$296,0))</f>
        <v>18</v>
      </c>
      <c r="E252">
        <f>INDEX(Standards!$A$2:$A$296,MATCH(C252,Standards!$B$2:$B$296,0))</f>
        <v>96</v>
      </c>
      <c r="F252" t="str">
        <f>INDEX(Standards!$N$2:$N$296,MATCH(B252,Standards!$B$2:$B$296,0))</f>
        <v>#44546A</v>
      </c>
      <c r="G252" t="str">
        <f>INDEX(Standards!$N$2:$N$296,MATCH(C252,Standards!$B$2:$B$296,0))</f>
        <v>#F2F2F2</v>
      </c>
      <c r="H252" t="s">
        <v>521</v>
      </c>
      <c r="I252" t="s">
        <v>237</v>
      </c>
      <c r="J252" t="str">
        <f>INDEX(Standards!$H$2:$H$296,MATCH(B252,Standards!$B$2:$B$296,0))</f>
        <v>FM</v>
      </c>
      <c r="K252" t="str">
        <f>INDEX(Standards!$H$2:$H$296,MATCH(C252,Standards!$B$2:$B$296,0))</f>
        <v>Anchor</v>
      </c>
      <c r="L252" t="b">
        <f>AND(TableRelationships[[#This Row],[Source Type]]="BIM",TableRelationships[[#This Row],[Target Type]]="BIM")</f>
        <v>0</v>
      </c>
      <c r="M252">
        <f t="shared" si="9"/>
        <v>2</v>
      </c>
      <c r="O252">
        <f t="shared" si="10"/>
        <v>1</v>
      </c>
      <c r="P252" t="str">
        <f>IF(TableRelationships[[#This Row],[Rank Pedro]]="Low","linkCategory1",IF(TableRelationships[[#This Row],[Rank Pedro]]="Medium","linkCategory2",IF(TableRelationships[[#This Row],[Rank Pedro]]="High","linkCategory3","")))</f>
        <v/>
      </c>
      <c r="Q252" t="str">
        <f>IF(TableRelationships[[#This Row],[Rank Pedro]]="Low","Pink",IF(TableRelationships[[#This Row],[Rank Pedro]]="Medium","Purple",IF(TableRelationships[[#This Row],[Rank Pedro]]="High","Brown","")))</f>
        <v/>
      </c>
      <c r="R252" s="4">
        <f>MAX(INDEX(Standards!$F$2:$F$296,MATCH(B252,Standards!$B$2:$B$296,0)),INDEX(Standards!$F$2:$F$296,MATCH(C252,Standards!$B$2:$B$296,0)))</f>
        <v>41640</v>
      </c>
      <c r="S252">
        <f t="shared" si="11"/>
        <v>1</v>
      </c>
    </row>
    <row r="253" spans="1:19" x14ac:dyDescent="0.5">
      <c r="A253">
        <v>268</v>
      </c>
      <c r="B253" t="s">
        <v>110</v>
      </c>
      <c r="C253" t="s">
        <v>242</v>
      </c>
      <c r="D253">
        <f>INDEX(Standards!$A$2:$A$296,MATCH(B253,Standards!$B$2:$B$296,0))</f>
        <v>33</v>
      </c>
      <c r="E253">
        <f>INDEX(Standards!$A$2:$A$296,MATCH(C253,Standards!$B$2:$B$296,0))</f>
        <v>96</v>
      </c>
      <c r="F253" t="str">
        <f>INDEX(Standards!$N$2:$N$296,MATCH(B253,Standards!$B$2:$B$296,0))</f>
        <v>#44546A</v>
      </c>
      <c r="G253" t="str">
        <f>INDEX(Standards!$N$2:$N$296,MATCH(C253,Standards!$B$2:$B$296,0))</f>
        <v>#F2F2F2</v>
      </c>
      <c r="H253" t="s">
        <v>521</v>
      </c>
      <c r="I253" t="s">
        <v>237</v>
      </c>
      <c r="J253" t="str">
        <f>INDEX(Standards!$H$2:$H$296,MATCH(B253,Standards!$B$2:$B$296,0))</f>
        <v>FM</v>
      </c>
      <c r="K253" t="str">
        <f>INDEX(Standards!$H$2:$H$296,MATCH(C253,Standards!$B$2:$B$296,0))</f>
        <v>Anchor</v>
      </c>
      <c r="L253" t="b">
        <f>AND(TableRelationships[[#This Row],[Source Type]]="BIM",TableRelationships[[#This Row],[Target Type]]="BIM")</f>
        <v>0</v>
      </c>
      <c r="M253">
        <f t="shared" si="9"/>
        <v>2</v>
      </c>
      <c r="O253">
        <f t="shared" si="10"/>
        <v>1</v>
      </c>
      <c r="P253" t="str">
        <f>IF(TableRelationships[[#This Row],[Rank Pedro]]="Low","linkCategory1",IF(TableRelationships[[#This Row],[Rank Pedro]]="Medium","linkCategory2",IF(TableRelationships[[#This Row],[Rank Pedro]]="High","linkCategory3","")))</f>
        <v/>
      </c>
      <c r="Q253" t="str">
        <f>IF(TableRelationships[[#This Row],[Rank Pedro]]="Low","Pink",IF(TableRelationships[[#This Row],[Rank Pedro]]="Medium","Purple",IF(TableRelationships[[#This Row],[Rank Pedro]]="High","Brown","")))</f>
        <v/>
      </c>
      <c r="R253" s="4">
        <f>MAX(INDEX(Standards!$F$2:$F$296,MATCH(B253,Standards!$B$2:$B$296,0)),INDEX(Standards!$F$2:$F$296,MATCH(C253,Standards!$B$2:$B$296,0)))</f>
        <v>41640</v>
      </c>
      <c r="S253">
        <f t="shared" si="11"/>
        <v>1</v>
      </c>
    </row>
    <row r="254" spans="1:19" x14ac:dyDescent="0.5">
      <c r="A254">
        <v>269</v>
      </c>
      <c r="B254" t="s">
        <v>112</v>
      </c>
      <c r="C254" t="s">
        <v>242</v>
      </c>
      <c r="D254">
        <f>INDEX(Standards!$A$2:$A$296,MATCH(B254,Standards!$B$2:$B$296,0))</f>
        <v>34</v>
      </c>
      <c r="E254">
        <f>INDEX(Standards!$A$2:$A$296,MATCH(C254,Standards!$B$2:$B$296,0))</f>
        <v>96</v>
      </c>
      <c r="F254" t="str">
        <f>INDEX(Standards!$N$2:$N$296,MATCH(B254,Standards!$B$2:$B$296,0))</f>
        <v>#44546A</v>
      </c>
      <c r="G254" t="str">
        <f>INDEX(Standards!$N$2:$N$296,MATCH(C254,Standards!$B$2:$B$296,0))</f>
        <v>#F2F2F2</v>
      </c>
      <c r="H254" t="s">
        <v>521</v>
      </c>
      <c r="I254" t="s">
        <v>237</v>
      </c>
      <c r="J254" t="str">
        <f>INDEX(Standards!$H$2:$H$296,MATCH(B254,Standards!$B$2:$B$296,0))</f>
        <v>FM</v>
      </c>
      <c r="K254" t="str">
        <f>INDEX(Standards!$H$2:$H$296,MATCH(C254,Standards!$B$2:$B$296,0))</f>
        <v>Anchor</v>
      </c>
      <c r="L254" t="b">
        <f>AND(TableRelationships[[#This Row],[Source Type]]="BIM",TableRelationships[[#This Row],[Target Type]]="BIM")</f>
        <v>0</v>
      </c>
      <c r="M254">
        <f t="shared" si="9"/>
        <v>2</v>
      </c>
      <c r="O254">
        <f t="shared" si="10"/>
        <v>1</v>
      </c>
      <c r="P254" t="str">
        <f>IF(TableRelationships[[#This Row],[Rank Pedro]]="Low","linkCategory1",IF(TableRelationships[[#This Row],[Rank Pedro]]="Medium","linkCategory2",IF(TableRelationships[[#This Row],[Rank Pedro]]="High","linkCategory3","")))</f>
        <v/>
      </c>
      <c r="Q254" t="str">
        <f>IF(TableRelationships[[#This Row],[Rank Pedro]]="Low","Pink",IF(TableRelationships[[#This Row],[Rank Pedro]]="Medium","Purple",IF(TableRelationships[[#This Row],[Rank Pedro]]="High","Brown","")))</f>
        <v/>
      </c>
      <c r="R254" s="4">
        <f>MAX(INDEX(Standards!$F$2:$F$296,MATCH(B254,Standards!$B$2:$B$296,0)),INDEX(Standards!$F$2:$F$296,MATCH(C254,Standards!$B$2:$B$296,0)))</f>
        <v>41640</v>
      </c>
      <c r="S254">
        <f t="shared" si="11"/>
        <v>1</v>
      </c>
    </row>
    <row r="255" spans="1:19" x14ac:dyDescent="0.5">
      <c r="A255">
        <v>270</v>
      </c>
      <c r="B255" t="s">
        <v>114</v>
      </c>
      <c r="C255" t="s">
        <v>242</v>
      </c>
      <c r="D255">
        <f>INDEX(Standards!$A$2:$A$296,MATCH(B255,Standards!$B$2:$B$296,0))</f>
        <v>35</v>
      </c>
      <c r="E255">
        <f>INDEX(Standards!$A$2:$A$296,MATCH(C255,Standards!$B$2:$B$296,0))</f>
        <v>96</v>
      </c>
      <c r="F255" t="str">
        <f>INDEX(Standards!$N$2:$N$296,MATCH(B255,Standards!$B$2:$B$296,0))</f>
        <v>#44546A</v>
      </c>
      <c r="G255" t="str">
        <f>INDEX(Standards!$N$2:$N$296,MATCH(C255,Standards!$B$2:$B$296,0))</f>
        <v>#F2F2F2</v>
      </c>
      <c r="H255" t="s">
        <v>521</v>
      </c>
      <c r="I255" t="s">
        <v>237</v>
      </c>
      <c r="J255" t="str">
        <f>INDEX(Standards!$H$2:$H$296,MATCH(B255,Standards!$B$2:$B$296,0))</f>
        <v>FM</v>
      </c>
      <c r="K255" t="str">
        <f>INDEX(Standards!$H$2:$H$296,MATCH(C255,Standards!$B$2:$B$296,0))</f>
        <v>Anchor</v>
      </c>
      <c r="L255" t="b">
        <f>AND(TableRelationships[[#This Row],[Source Type]]="BIM",TableRelationships[[#This Row],[Target Type]]="BIM")</f>
        <v>0</v>
      </c>
      <c r="M255">
        <f t="shared" si="9"/>
        <v>2</v>
      </c>
      <c r="O255">
        <f t="shared" si="10"/>
        <v>1</v>
      </c>
      <c r="P255" t="str">
        <f>IF(TableRelationships[[#This Row],[Rank Pedro]]="Low","linkCategory1",IF(TableRelationships[[#This Row],[Rank Pedro]]="Medium","linkCategory2",IF(TableRelationships[[#This Row],[Rank Pedro]]="High","linkCategory3","")))</f>
        <v/>
      </c>
      <c r="Q255" t="str">
        <f>IF(TableRelationships[[#This Row],[Rank Pedro]]="Low","Pink",IF(TableRelationships[[#This Row],[Rank Pedro]]="Medium","Purple",IF(TableRelationships[[#This Row],[Rank Pedro]]="High","Brown","")))</f>
        <v/>
      </c>
      <c r="R255" s="4">
        <f>MAX(INDEX(Standards!$F$2:$F$296,MATCH(B255,Standards!$B$2:$B$296,0)),INDEX(Standards!$F$2:$F$296,MATCH(C255,Standards!$B$2:$B$296,0)))</f>
        <v>43101</v>
      </c>
      <c r="S255">
        <f t="shared" si="11"/>
        <v>1</v>
      </c>
    </row>
    <row r="256" spans="1:19" x14ac:dyDescent="0.5">
      <c r="A256">
        <v>271</v>
      </c>
      <c r="B256" t="s">
        <v>156</v>
      </c>
      <c r="C256" t="s">
        <v>242</v>
      </c>
      <c r="D256">
        <f>INDEX(Standards!$A$2:$A$296,MATCH(B256,Standards!$B$2:$B$296,0))</f>
        <v>56</v>
      </c>
      <c r="E256">
        <f>INDEX(Standards!$A$2:$A$296,MATCH(C256,Standards!$B$2:$B$296,0))</f>
        <v>96</v>
      </c>
      <c r="F256" t="str">
        <f>INDEX(Standards!$N$2:$N$296,MATCH(B256,Standards!$B$2:$B$296,0))</f>
        <v>#44546A</v>
      </c>
      <c r="G256" t="str">
        <f>INDEX(Standards!$N$2:$N$296,MATCH(C256,Standards!$B$2:$B$296,0))</f>
        <v>#F2F2F2</v>
      </c>
      <c r="H256" t="s">
        <v>521</v>
      </c>
      <c r="I256" t="s">
        <v>237</v>
      </c>
      <c r="J256" t="str">
        <f>INDEX(Standards!$H$2:$H$296,MATCH(B256,Standards!$B$2:$B$296,0))</f>
        <v>FM</v>
      </c>
      <c r="K256" t="str">
        <f>INDEX(Standards!$H$2:$H$296,MATCH(C256,Standards!$B$2:$B$296,0))</f>
        <v>Anchor</v>
      </c>
      <c r="L256" t="b">
        <f>AND(TableRelationships[[#This Row],[Source Type]]="BIM",TableRelationships[[#This Row],[Target Type]]="BIM")</f>
        <v>0</v>
      </c>
      <c r="M256">
        <f t="shared" si="9"/>
        <v>2</v>
      </c>
      <c r="O256">
        <f t="shared" si="10"/>
        <v>1</v>
      </c>
      <c r="P256" t="str">
        <f>IF(TableRelationships[[#This Row],[Rank Pedro]]="Low","linkCategory1",IF(TableRelationships[[#This Row],[Rank Pedro]]="Medium","linkCategory2",IF(TableRelationships[[#This Row],[Rank Pedro]]="High","linkCategory3","")))</f>
        <v/>
      </c>
      <c r="Q256" t="str">
        <f>IF(TableRelationships[[#This Row],[Rank Pedro]]="Low","Pink",IF(TableRelationships[[#This Row],[Rank Pedro]]="Medium","Purple",IF(TableRelationships[[#This Row],[Rank Pedro]]="High","Brown","")))</f>
        <v/>
      </c>
      <c r="R256" s="4">
        <f>MAX(INDEX(Standards!$F$2:$F$296,MATCH(B256,Standards!$B$2:$B$296,0)),INDEX(Standards!$F$2:$F$296,MATCH(C256,Standards!$B$2:$B$296,0)))</f>
        <v>37987</v>
      </c>
      <c r="S256">
        <f t="shared" si="11"/>
        <v>1</v>
      </c>
    </row>
    <row r="257" spans="1:19" x14ac:dyDescent="0.5">
      <c r="A257">
        <v>272</v>
      </c>
      <c r="B257" t="s">
        <v>372</v>
      </c>
      <c r="C257" t="s">
        <v>243</v>
      </c>
      <c r="D257">
        <f>INDEX(Standards!$A$2:$A$296,MATCH(B257,Standards!$B$2:$B$296,0))</f>
        <v>160</v>
      </c>
      <c r="E257">
        <f>INDEX(Standards!$A$2:$A$296,MATCH(C257,Standards!$B$2:$B$296,0))</f>
        <v>97</v>
      </c>
      <c r="F257" t="str">
        <f>INDEX(Standards!$N$2:$N$296,MATCH(B257,Standards!$B$2:$B$296,0))</f>
        <v>#FFC000</v>
      </c>
      <c r="G257" t="str">
        <f>INDEX(Standards!$N$2:$N$296,MATCH(C257,Standards!$B$2:$B$296,0))</f>
        <v>#F2F2F2</v>
      </c>
      <c r="H257" t="s">
        <v>521</v>
      </c>
      <c r="I257" t="s">
        <v>237</v>
      </c>
      <c r="J257" t="str">
        <f>INDEX(Standards!$H$2:$H$296,MATCH(B257,Standards!$B$2:$B$296,0))</f>
        <v>PM</v>
      </c>
      <c r="K257" t="str">
        <f>INDEX(Standards!$H$2:$H$296,MATCH(C257,Standards!$B$2:$B$296,0))</f>
        <v>Anchor</v>
      </c>
      <c r="L257" t="b">
        <f>AND(TableRelationships[[#This Row],[Source Type]]="BIM",TableRelationships[[#This Row],[Target Type]]="BIM")</f>
        <v>0</v>
      </c>
      <c r="M257">
        <f t="shared" si="9"/>
        <v>2</v>
      </c>
      <c r="O257">
        <f t="shared" si="10"/>
        <v>1</v>
      </c>
      <c r="P257" t="str">
        <f>IF(TableRelationships[[#This Row],[Rank Pedro]]="Low","linkCategory1",IF(TableRelationships[[#This Row],[Rank Pedro]]="Medium","linkCategory2",IF(TableRelationships[[#This Row],[Rank Pedro]]="High","linkCategory3","")))</f>
        <v/>
      </c>
      <c r="Q257" t="str">
        <f>IF(TableRelationships[[#This Row],[Rank Pedro]]="Low","Pink",IF(TableRelationships[[#This Row],[Rank Pedro]]="Medium","Purple",IF(TableRelationships[[#This Row],[Rank Pedro]]="High","Brown","")))</f>
        <v/>
      </c>
      <c r="R257" s="4">
        <f>MAX(INDEX(Standards!$F$2:$F$296,MATCH(B257,Standards!$B$2:$B$296,0)),INDEX(Standards!$F$2:$F$296,MATCH(C257,Standards!$B$2:$B$296,0)))</f>
        <v>44166</v>
      </c>
      <c r="S257">
        <f t="shared" si="11"/>
        <v>1</v>
      </c>
    </row>
    <row r="258" spans="1:19" x14ac:dyDescent="0.5">
      <c r="A258">
        <v>273</v>
      </c>
      <c r="B258" t="s">
        <v>72</v>
      </c>
      <c r="C258" t="s">
        <v>243</v>
      </c>
      <c r="D258">
        <f>INDEX(Standards!$A$2:$A$296,MATCH(B258,Standards!$B$2:$B$296,0))</f>
        <v>17</v>
      </c>
      <c r="E258">
        <f>INDEX(Standards!$A$2:$A$296,MATCH(C258,Standards!$B$2:$B$296,0))</f>
        <v>97</v>
      </c>
      <c r="F258" t="str">
        <f>INDEX(Standards!$N$2:$N$296,MATCH(B258,Standards!$B$2:$B$296,0))</f>
        <v>#FFC000</v>
      </c>
      <c r="G258" t="str">
        <f>INDEX(Standards!$N$2:$N$296,MATCH(C258,Standards!$B$2:$B$296,0))</f>
        <v>#F2F2F2</v>
      </c>
      <c r="H258" t="s">
        <v>521</v>
      </c>
      <c r="I258" t="s">
        <v>237</v>
      </c>
      <c r="J258" t="str">
        <f>INDEX(Standards!$H$2:$H$296,MATCH(B258,Standards!$B$2:$B$296,0))</f>
        <v>PM</v>
      </c>
      <c r="K258" t="str">
        <f>INDEX(Standards!$H$2:$H$296,MATCH(C258,Standards!$B$2:$B$296,0))</f>
        <v>Anchor</v>
      </c>
      <c r="L258" t="b">
        <f>AND(TableRelationships[[#This Row],[Source Type]]="BIM",TableRelationships[[#This Row],[Target Type]]="BIM")</f>
        <v>0</v>
      </c>
      <c r="M258">
        <f t="shared" ref="M258:M321" si="12">IF(I258="Normative",6,IF(I258="Secondary",4,IF(I258="Anchor",2,1)))</f>
        <v>2</v>
      </c>
      <c r="O258">
        <f t="shared" ref="O258:O321" si="13">IF(N258="High",10,IF(N258="Medium",6,IF(N258="Low",2,1)))</f>
        <v>1</v>
      </c>
      <c r="P258" t="str">
        <f>IF(TableRelationships[[#This Row],[Rank Pedro]]="Low","linkCategory1",IF(TableRelationships[[#This Row],[Rank Pedro]]="Medium","linkCategory2",IF(TableRelationships[[#This Row],[Rank Pedro]]="High","linkCategory3","")))</f>
        <v/>
      </c>
      <c r="Q258" t="str">
        <f>IF(TableRelationships[[#This Row],[Rank Pedro]]="Low","Pink",IF(TableRelationships[[#This Row],[Rank Pedro]]="Medium","Purple",IF(TableRelationships[[#This Row],[Rank Pedro]]="High","Brown","")))</f>
        <v/>
      </c>
      <c r="R258" s="4">
        <f>MAX(INDEX(Standards!$F$2:$F$296,MATCH(B258,Standards!$B$2:$B$296,0)),INDEX(Standards!$F$2:$F$296,MATCH(C258,Standards!$B$2:$B$296,0)))</f>
        <v>39814</v>
      </c>
      <c r="S258">
        <f t="shared" ref="S258:S321" si="14">IF(I258="Normative", "#d6bf2a", IF(I258="Informative", "#2f89d1", 1))</f>
        <v>1</v>
      </c>
    </row>
    <row r="259" spans="1:19" x14ac:dyDescent="0.5">
      <c r="A259">
        <v>274</v>
      </c>
      <c r="B259" t="s">
        <v>222</v>
      </c>
      <c r="C259" t="s">
        <v>243</v>
      </c>
      <c r="D259">
        <f>INDEX(Standards!$A$2:$A$296,MATCH(B259,Standards!$B$2:$B$296,0))</f>
        <v>86</v>
      </c>
      <c r="E259">
        <f>INDEX(Standards!$A$2:$A$296,MATCH(C259,Standards!$B$2:$B$296,0))</f>
        <v>97</v>
      </c>
      <c r="F259" t="str">
        <f>INDEX(Standards!$N$2:$N$296,MATCH(B259,Standards!$B$2:$B$296,0))</f>
        <v>#FFC000</v>
      </c>
      <c r="G259" t="str">
        <f>INDEX(Standards!$N$2:$N$296,MATCH(C259,Standards!$B$2:$B$296,0))</f>
        <v>#F2F2F2</v>
      </c>
      <c r="H259" t="s">
        <v>521</v>
      </c>
      <c r="I259" t="s">
        <v>237</v>
      </c>
      <c r="J259" t="str">
        <f>INDEX(Standards!$H$2:$H$296,MATCH(B259,Standards!$B$2:$B$296,0))</f>
        <v>PM</v>
      </c>
      <c r="K259" t="str">
        <f>INDEX(Standards!$H$2:$H$296,MATCH(C259,Standards!$B$2:$B$296,0))</f>
        <v>Anchor</v>
      </c>
      <c r="L259" t="b">
        <f>AND(TableRelationships[[#This Row],[Source Type]]="BIM",TableRelationships[[#This Row],[Target Type]]="BIM")</f>
        <v>0</v>
      </c>
      <c r="M259">
        <f t="shared" si="12"/>
        <v>2</v>
      </c>
      <c r="O259">
        <f t="shared" si="13"/>
        <v>1</v>
      </c>
      <c r="P259" t="str">
        <f>IF(TableRelationships[[#This Row],[Rank Pedro]]="Low","linkCategory1",IF(TableRelationships[[#This Row],[Rank Pedro]]="Medium","linkCategory2",IF(TableRelationships[[#This Row],[Rank Pedro]]="High","linkCategory3","")))</f>
        <v/>
      </c>
      <c r="Q259" t="str">
        <f>IF(TableRelationships[[#This Row],[Rank Pedro]]="Low","Pink",IF(TableRelationships[[#This Row],[Rank Pedro]]="Medium","Purple",IF(TableRelationships[[#This Row],[Rank Pedro]]="High","Brown","")))</f>
        <v/>
      </c>
      <c r="R259" s="4">
        <f>MAX(INDEX(Standards!$F$2:$F$296,MATCH(B259,Standards!$B$2:$B$296,0)),INDEX(Standards!$F$2:$F$296,MATCH(C259,Standards!$B$2:$B$296,0)))</f>
        <v>43101</v>
      </c>
      <c r="S259">
        <f t="shared" si="14"/>
        <v>1</v>
      </c>
    </row>
    <row r="260" spans="1:19" x14ac:dyDescent="0.5">
      <c r="A260">
        <v>275</v>
      </c>
      <c r="B260" t="s">
        <v>82</v>
      </c>
      <c r="C260" t="s">
        <v>241</v>
      </c>
      <c r="D260">
        <f>INDEX(Standards!$A$2:$A$296,MATCH(B260,Standards!$B$2:$B$296,0))</f>
        <v>21</v>
      </c>
      <c r="E260">
        <f>INDEX(Standards!$A$2:$A$296,MATCH(C260,Standards!$B$2:$B$296,0))</f>
        <v>95</v>
      </c>
      <c r="F260" t="str">
        <f>INDEX(Standards!$N$2:$N$296,MATCH(B260,Standards!$B$2:$B$296,0))</f>
        <v>#4472C4</v>
      </c>
      <c r="G260" t="str">
        <f>INDEX(Standards!$N$2:$N$296,MATCH(C260,Standards!$B$2:$B$296,0))</f>
        <v>#F2F2F2</v>
      </c>
      <c r="H260" t="s">
        <v>521</v>
      </c>
      <c r="I260" t="s">
        <v>237</v>
      </c>
      <c r="J260" t="str">
        <f>INDEX(Standards!$H$2:$H$296,MATCH(B260,Standards!$B$2:$B$296,0))</f>
        <v>Industrial Automation</v>
      </c>
      <c r="K260" t="str">
        <f>INDEX(Standards!$H$2:$H$296,MATCH(C260,Standards!$B$2:$B$296,0))</f>
        <v>Anchor</v>
      </c>
      <c r="L260" t="b">
        <f>AND(TableRelationships[[#This Row],[Source Type]]="BIM",TableRelationships[[#This Row],[Target Type]]="BIM")</f>
        <v>0</v>
      </c>
      <c r="M260">
        <f t="shared" si="12"/>
        <v>2</v>
      </c>
      <c r="O260">
        <f t="shared" si="13"/>
        <v>1</v>
      </c>
      <c r="P260" t="str">
        <f>IF(TableRelationships[[#This Row],[Rank Pedro]]="Low","linkCategory1",IF(TableRelationships[[#This Row],[Rank Pedro]]="Medium","linkCategory2",IF(TableRelationships[[#This Row],[Rank Pedro]]="High","linkCategory3","")))</f>
        <v/>
      </c>
      <c r="Q260" t="str">
        <f>IF(TableRelationships[[#This Row],[Rank Pedro]]="Low","Pink",IF(TableRelationships[[#This Row],[Rank Pedro]]="Medium","Purple",IF(TableRelationships[[#This Row],[Rank Pedro]]="High","Brown","")))</f>
        <v/>
      </c>
      <c r="R260" s="4">
        <f>MAX(INDEX(Standards!$F$2:$F$296,MATCH(B260,Standards!$B$2:$B$296,0)),INDEX(Standards!$F$2:$F$296,MATCH(C260,Standards!$B$2:$B$296,0)))</f>
        <v>40544</v>
      </c>
      <c r="S260">
        <f t="shared" si="14"/>
        <v>1</v>
      </c>
    </row>
    <row r="261" spans="1:19" x14ac:dyDescent="0.5">
      <c r="A261">
        <v>276</v>
      </c>
      <c r="B261" t="s">
        <v>85</v>
      </c>
      <c r="C261" t="s">
        <v>244</v>
      </c>
      <c r="D261">
        <f>INDEX(Standards!$A$2:$A$296,MATCH(B261,Standards!$B$2:$B$296,0))</f>
        <v>22</v>
      </c>
      <c r="E261">
        <f>INDEX(Standards!$A$2:$A$296,MATCH(C261,Standards!$B$2:$B$296,0))</f>
        <v>98</v>
      </c>
      <c r="F261" t="str">
        <f>INDEX(Standards!$N$2:$N$296,MATCH(B261,Standards!$B$2:$B$296,0))</f>
        <v>#C00000</v>
      </c>
      <c r="G261" t="str">
        <f>INDEX(Standards!$N$2:$N$296,MATCH(C261,Standards!$B$2:$B$296,0))</f>
        <v>#F2F2F2</v>
      </c>
      <c r="H261" t="s">
        <v>521</v>
      </c>
      <c r="I261" t="s">
        <v>237</v>
      </c>
      <c r="J261" t="str">
        <f>INDEX(Standards!$H$2:$H$296,MATCH(B261,Standards!$B$2:$B$296,0))</f>
        <v>Quality Management</v>
      </c>
      <c r="K261" t="str">
        <f>INDEX(Standards!$H$2:$H$296,MATCH(C261,Standards!$B$2:$B$296,0))</f>
        <v>Anchor</v>
      </c>
      <c r="L261" t="b">
        <f>AND(TableRelationships[[#This Row],[Source Type]]="BIM",TableRelationships[[#This Row],[Target Type]]="BIM")</f>
        <v>0</v>
      </c>
      <c r="M261">
        <f t="shared" si="12"/>
        <v>2</v>
      </c>
      <c r="O261">
        <f t="shared" si="13"/>
        <v>1</v>
      </c>
      <c r="P261" t="str">
        <f>IF(TableRelationships[[#This Row],[Rank Pedro]]="Low","linkCategory1",IF(TableRelationships[[#This Row],[Rank Pedro]]="Medium","linkCategory2",IF(TableRelationships[[#This Row],[Rank Pedro]]="High","linkCategory3","")))</f>
        <v/>
      </c>
      <c r="Q261" t="str">
        <f>IF(TableRelationships[[#This Row],[Rank Pedro]]="Low","Pink",IF(TableRelationships[[#This Row],[Rank Pedro]]="Medium","Purple",IF(TableRelationships[[#This Row],[Rank Pedro]]="High","Brown","")))</f>
        <v/>
      </c>
      <c r="R261" s="4">
        <f>MAX(INDEX(Standards!$F$2:$F$296,MATCH(B261,Standards!$B$2:$B$296,0)),INDEX(Standards!$F$2:$F$296,MATCH(C261,Standards!$B$2:$B$296,0)))</f>
        <v>31837</v>
      </c>
      <c r="S261">
        <f t="shared" si="14"/>
        <v>1</v>
      </c>
    </row>
    <row r="262" spans="1:19" x14ac:dyDescent="0.5">
      <c r="A262">
        <v>63</v>
      </c>
      <c r="B262" t="s">
        <v>232</v>
      </c>
      <c r="C262" t="s">
        <v>104</v>
      </c>
      <c r="D262">
        <f>INDEX(Standards!$A$2:$A$296,MATCH(B262,Standards!$B$2:$B$296,0))</f>
        <v>13</v>
      </c>
      <c r="E262">
        <f>INDEX(Standards!$A$2:$A$296,MATCH(C262,Standards!$B$2:$B$296,0))</f>
        <v>30</v>
      </c>
      <c r="F262" t="str">
        <f>INDEX(Standards!$N$2:$N$296,MATCH(B262,Standards!$B$2:$B$296,0))</f>
        <v>#70AD47</v>
      </c>
      <c r="G262" t="str">
        <f>INDEX(Standards!$N$2:$N$296,MATCH(C262,Standards!$B$2:$B$296,0))</f>
        <v>#C00000</v>
      </c>
      <c r="H262" t="s">
        <v>521</v>
      </c>
      <c r="I262" t="s">
        <v>525</v>
      </c>
      <c r="J262" t="str">
        <f>INDEX(Standards!$H$2:$H$296,MATCH(B262,Standards!$B$2:$B$296,0))</f>
        <v>BIM</v>
      </c>
      <c r="K262" t="str">
        <f>INDEX(Standards!$H$2:$H$296,MATCH(C262,Standards!$B$2:$B$296,0))</f>
        <v>Quality Management</v>
      </c>
      <c r="L262" t="b">
        <f>AND(TableRelationships[[#This Row],[Source Type]]="BIM",TableRelationships[[#This Row],[Target Type]]="BIM")</f>
        <v>0</v>
      </c>
      <c r="M262">
        <f t="shared" si="12"/>
        <v>1</v>
      </c>
      <c r="N262" t="s">
        <v>523</v>
      </c>
      <c r="O262">
        <f t="shared" si="13"/>
        <v>10</v>
      </c>
      <c r="P262" t="str">
        <f>IF(TableRelationships[[#This Row],[Rank Pedro]]="Low","linkCategory1",IF(TableRelationships[[#This Row],[Rank Pedro]]="Medium","linkCategory2",IF(TableRelationships[[#This Row],[Rank Pedro]]="High","linkCategory3","")))</f>
        <v>linkCategory3</v>
      </c>
      <c r="Q262" t="str">
        <f>IF(TableRelationships[[#This Row],[Rank Pedro]]="Low","Pink",IF(TableRelationships[[#This Row],[Rank Pedro]]="Medium","Purple",IF(TableRelationships[[#This Row],[Rank Pedro]]="High","Brown","")))</f>
        <v>Brown</v>
      </c>
      <c r="R262" s="4">
        <f>MAX(INDEX(Standards!$F$2:$F$296,MATCH(B262,Standards!$B$2:$B$296,0)),INDEX(Standards!$F$2:$F$296,MATCH(C262,Standards!$B$2:$B$296,0)))</f>
        <v>44013</v>
      </c>
      <c r="S262" t="str">
        <f t="shared" si="14"/>
        <v>#2f89d1</v>
      </c>
    </row>
    <row r="263" spans="1:19" x14ac:dyDescent="0.5">
      <c r="A263">
        <v>64</v>
      </c>
      <c r="B263" t="s">
        <v>232</v>
      </c>
      <c r="C263" t="s">
        <v>210</v>
      </c>
      <c r="D263">
        <f>INDEX(Standards!$A$2:$A$296,MATCH(B263,Standards!$B$2:$B$296,0))</f>
        <v>13</v>
      </c>
      <c r="E263">
        <f>INDEX(Standards!$A$2:$A$296,MATCH(C263,Standards!$B$2:$B$296,0))</f>
        <v>9</v>
      </c>
      <c r="F263" t="str">
        <f>INDEX(Standards!$N$2:$N$296,MATCH(B263,Standards!$B$2:$B$296,0))</f>
        <v>#70AD47</v>
      </c>
      <c r="G263" t="str">
        <f>INDEX(Standards!$N$2:$N$296,MATCH(C263,Standards!$B$2:$B$296,0))</f>
        <v>#70AD47</v>
      </c>
      <c r="H263" t="s">
        <v>521</v>
      </c>
      <c r="I263" t="s">
        <v>525</v>
      </c>
      <c r="J263" t="str">
        <f>INDEX(Standards!$H$2:$H$296,MATCH(B263,Standards!$B$2:$B$296,0))</f>
        <v>BIM</v>
      </c>
      <c r="K263" t="str">
        <f>INDEX(Standards!$H$2:$H$296,MATCH(C263,Standards!$B$2:$B$296,0))</f>
        <v>BIM</v>
      </c>
      <c r="L263" t="b">
        <f>AND(TableRelationships[[#This Row],[Source Type]]="BIM",TableRelationships[[#This Row],[Target Type]]="BIM")</f>
        <v>1</v>
      </c>
      <c r="M263">
        <f t="shared" si="12"/>
        <v>1</v>
      </c>
      <c r="N263" t="s">
        <v>528</v>
      </c>
      <c r="O263">
        <f t="shared" si="13"/>
        <v>6</v>
      </c>
      <c r="P263" t="str">
        <f>IF(TableRelationships[[#This Row],[Rank Pedro]]="Low","linkCategory1",IF(TableRelationships[[#This Row],[Rank Pedro]]="Medium","linkCategory2",IF(TableRelationships[[#This Row],[Rank Pedro]]="High","linkCategory3","")))</f>
        <v>linkCategory2</v>
      </c>
      <c r="Q263" t="str">
        <f>IF(TableRelationships[[#This Row],[Rank Pedro]]="Low","Pink",IF(TableRelationships[[#This Row],[Rank Pedro]]="Medium","Purple",IF(TableRelationships[[#This Row],[Rank Pedro]]="High","Brown","")))</f>
        <v>Purple</v>
      </c>
      <c r="R263" s="4">
        <f>MAX(INDEX(Standards!$F$2:$F$296,MATCH(B263,Standards!$B$2:$B$296,0)),INDEX(Standards!$F$2:$F$296,MATCH(C263,Standards!$B$2:$B$296,0)))</f>
        <v>44013</v>
      </c>
      <c r="S263" t="str">
        <f t="shared" si="14"/>
        <v>#2f89d1</v>
      </c>
    </row>
    <row r="264" spans="1:19" x14ac:dyDescent="0.5">
      <c r="A264">
        <v>60</v>
      </c>
      <c r="B264" t="s">
        <v>232</v>
      </c>
      <c r="C264" t="s">
        <v>214</v>
      </c>
      <c r="D264">
        <f>INDEX(Standards!$A$2:$A$296,MATCH(B264,Standards!$B$2:$B$296,0))</f>
        <v>13</v>
      </c>
      <c r="E264">
        <f>INDEX(Standards!$A$2:$A$296,MATCH(C264,Standards!$B$2:$B$296,0))</f>
        <v>10</v>
      </c>
      <c r="F264" t="str">
        <f>INDEX(Standards!$N$2:$N$296,MATCH(B264,Standards!$B$2:$B$296,0))</f>
        <v>#70AD47</v>
      </c>
      <c r="G264" t="str">
        <f>INDEX(Standards!$N$2:$N$296,MATCH(C264,Standards!$B$2:$B$296,0))</f>
        <v>#70AD47</v>
      </c>
      <c r="H264" t="s">
        <v>521</v>
      </c>
      <c r="I264" t="s">
        <v>524</v>
      </c>
      <c r="J264" t="str">
        <f>INDEX(Standards!$H$2:$H$296,MATCH(B264,Standards!$B$2:$B$296,0))</f>
        <v>BIM</v>
      </c>
      <c r="K264" t="str">
        <f>INDEX(Standards!$H$2:$H$296,MATCH(C264,Standards!$B$2:$B$296,0))</f>
        <v>BIM</v>
      </c>
      <c r="L264" t="b">
        <f>AND(TableRelationships[[#This Row],[Source Type]]="BIM",TableRelationships[[#This Row],[Target Type]]="BIM")</f>
        <v>1</v>
      </c>
      <c r="M264">
        <f t="shared" si="12"/>
        <v>6</v>
      </c>
      <c r="N264" t="s">
        <v>523</v>
      </c>
      <c r="O264">
        <f t="shared" si="13"/>
        <v>10</v>
      </c>
      <c r="P264" t="str">
        <f>IF(TableRelationships[[#This Row],[Rank Pedro]]="Low","linkCategory1",IF(TableRelationships[[#This Row],[Rank Pedro]]="Medium","linkCategory2",IF(TableRelationships[[#This Row],[Rank Pedro]]="High","linkCategory3","")))</f>
        <v>linkCategory3</v>
      </c>
      <c r="Q264" t="str">
        <f>IF(TableRelationships[[#This Row],[Rank Pedro]]="Low","Pink",IF(TableRelationships[[#This Row],[Rank Pedro]]="Medium","Purple",IF(TableRelationships[[#This Row],[Rank Pedro]]="High","Brown","")))</f>
        <v>Brown</v>
      </c>
      <c r="R264" s="4">
        <f>MAX(INDEX(Standards!$F$2:$F$296,MATCH(B264,Standards!$B$2:$B$296,0)),INDEX(Standards!$F$2:$F$296,MATCH(C264,Standards!$B$2:$B$296,0)))</f>
        <v>44013</v>
      </c>
      <c r="S264" t="str">
        <f t="shared" si="14"/>
        <v>#d6bf2a</v>
      </c>
    </row>
    <row r="265" spans="1:19" x14ac:dyDescent="0.5">
      <c r="A265">
        <v>59</v>
      </c>
      <c r="B265" t="s">
        <v>232</v>
      </c>
      <c r="C265" t="s">
        <v>224</v>
      </c>
      <c r="D265">
        <f>INDEX(Standards!$A$2:$A$296,MATCH(B265,Standards!$B$2:$B$296,0))</f>
        <v>13</v>
      </c>
      <c r="E265">
        <f>INDEX(Standards!$A$2:$A$296,MATCH(C265,Standards!$B$2:$B$296,0))</f>
        <v>11</v>
      </c>
      <c r="F265" t="str">
        <f>INDEX(Standards!$N$2:$N$296,MATCH(B265,Standards!$B$2:$B$296,0))</f>
        <v>#70AD47</v>
      </c>
      <c r="G265" t="str">
        <f>INDEX(Standards!$N$2:$N$296,MATCH(C265,Standards!$B$2:$B$296,0))</f>
        <v>#70AD47</v>
      </c>
      <c r="H265" t="s">
        <v>521</v>
      </c>
      <c r="I265" t="s">
        <v>524</v>
      </c>
      <c r="J265" t="str">
        <f>INDEX(Standards!$H$2:$H$296,MATCH(B265,Standards!$B$2:$B$296,0))</f>
        <v>BIM</v>
      </c>
      <c r="K265" t="str">
        <f>INDEX(Standards!$H$2:$H$296,MATCH(C265,Standards!$B$2:$B$296,0))</f>
        <v>BIM</v>
      </c>
      <c r="L265" t="b">
        <f>AND(TableRelationships[[#This Row],[Source Type]]="BIM",TableRelationships[[#This Row],[Target Type]]="BIM")</f>
        <v>1</v>
      </c>
      <c r="M265">
        <f t="shared" si="12"/>
        <v>6</v>
      </c>
      <c r="N265" t="s">
        <v>523</v>
      </c>
      <c r="O265">
        <f t="shared" si="13"/>
        <v>10</v>
      </c>
      <c r="P265" t="str">
        <f>IF(TableRelationships[[#This Row],[Rank Pedro]]="Low","linkCategory1",IF(TableRelationships[[#This Row],[Rank Pedro]]="Medium","linkCategory2",IF(TableRelationships[[#This Row],[Rank Pedro]]="High","linkCategory3","")))</f>
        <v>linkCategory3</v>
      </c>
      <c r="Q265" t="str">
        <f>IF(TableRelationships[[#This Row],[Rank Pedro]]="Low","Pink",IF(TableRelationships[[#This Row],[Rank Pedro]]="Medium","Purple",IF(TableRelationships[[#This Row],[Rank Pedro]]="High","Brown","")))</f>
        <v>Brown</v>
      </c>
      <c r="R265" s="4">
        <f>MAX(INDEX(Standards!$F$2:$F$296,MATCH(B265,Standards!$B$2:$B$296,0)),INDEX(Standards!$F$2:$F$296,MATCH(C265,Standards!$B$2:$B$296,0)))</f>
        <v>44013</v>
      </c>
      <c r="S265" t="str">
        <f t="shared" si="14"/>
        <v>#d6bf2a</v>
      </c>
    </row>
    <row r="266" spans="1:19" x14ac:dyDescent="0.5">
      <c r="A266">
        <v>65</v>
      </c>
      <c r="B266" t="s">
        <v>232</v>
      </c>
      <c r="C266" t="s">
        <v>101</v>
      </c>
      <c r="D266">
        <f>INDEX(Standards!$A$2:$A$296,MATCH(B266,Standards!$B$2:$B$296,0))</f>
        <v>13</v>
      </c>
      <c r="E266">
        <f>INDEX(Standards!$A$2:$A$296,MATCH(C266,Standards!$B$2:$B$296,0))</f>
        <v>29</v>
      </c>
      <c r="F266" t="str">
        <f>INDEX(Standards!$N$2:$N$296,MATCH(B266,Standards!$B$2:$B$296,0))</f>
        <v>#70AD47</v>
      </c>
      <c r="G266" t="str">
        <f>INDEX(Standards!$N$2:$N$296,MATCH(C266,Standards!$B$2:$B$296,0))</f>
        <v>#595959</v>
      </c>
      <c r="H266" t="s">
        <v>521</v>
      </c>
      <c r="I266" t="s">
        <v>525</v>
      </c>
      <c r="J266" t="str">
        <f>INDEX(Standards!$H$2:$H$296,MATCH(B266,Standards!$B$2:$B$296,0))</f>
        <v>BIM</v>
      </c>
      <c r="K266" t="str">
        <f>INDEX(Standards!$H$2:$H$296,MATCH(C266,Standards!$B$2:$B$296,0))</f>
        <v>Other</v>
      </c>
      <c r="L266" t="b">
        <f>AND(TableRelationships[[#This Row],[Source Type]]="BIM",TableRelationships[[#This Row],[Target Type]]="BIM")</f>
        <v>0</v>
      </c>
      <c r="M266">
        <f t="shared" si="12"/>
        <v>1</v>
      </c>
      <c r="N266" t="s">
        <v>526</v>
      </c>
      <c r="O266">
        <f t="shared" si="13"/>
        <v>2</v>
      </c>
      <c r="P266" t="str">
        <f>IF(TableRelationships[[#This Row],[Rank Pedro]]="Low","linkCategory1",IF(TableRelationships[[#This Row],[Rank Pedro]]="Medium","linkCategory2",IF(TableRelationships[[#This Row],[Rank Pedro]]="High","linkCategory3","")))</f>
        <v>linkCategory1</v>
      </c>
      <c r="Q266" t="str">
        <f>IF(TableRelationships[[#This Row],[Rank Pedro]]="Low","Pink",IF(TableRelationships[[#This Row],[Rank Pedro]]="Medium","Purple",IF(TableRelationships[[#This Row],[Rank Pedro]]="High","Brown","")))</f>
        <v>Pink</v>
      </c>
      <c r="R266" s="4">
        <f>MAX(INDEX(Standards!$F$2:$F$296,MATCH(B266,Standards!$B$2:$B$296,0)),INDEX(Standards!$F$2:$F$296,MATCH(C266,Standards!$B$2:$B$296,0)))</f>
        <v>44013</v>
      </c>
      <c r="S266" t="str">
        <f t="shared" si="14"/>
        <v>#2f89d1</v>
      </c>
    </row>
    <row r="267" spans="1:19" x14ac:dyDescent="0.5">
      <c r="A267">
        <v>67</v>
      </c>
      <c r="B267" t="s">
        <v>232</v>
      </c>
      <c r="C267" t="s">
        <v>72</v>
      </c>
      <c r="D267">
        <f>INDEX(Standards!$A$2:$A$296,MATCH(B267,Standards!$B$2:$B$296,0))</f>
        <v>13</v>
      </c>
      <c r="E267">
        <f>INDEX(Standards!$A$2:$A$296,MATCH(C267,Standards!$B$2:$B$296,0))</f>
        <v>17</v>
      </c>
      <c r="F267" t="str">
        <f>INDEX(Standards!$N$2:$N$296,MATCH(B267,Standards!$B$2:$B$296,0))</f>
        <v>#70AD47</v>
      </c>
      <c r="G267" t="str">
        <f>INDEX(Standards!$N$2:$N$296,MATCH(C267,Standards!$B$2:$B$296,0))</f>
        <v>#FFC000</v>
      </c>
      <c r="H267" t="s">
        <v>521</v>
      </c>
      <c r="I267" t="s">
        <v>525</v>
      </c>
      <c r="J267" t="str">
        <f>INDEX(Standards!$H$2:$H$296,MATCH(B267,Standards!$B$2:$B$296,0))</f>
        <v>BIM</v>
      </c>
      <c r="K267" t="str">
        <f>INDEX(Standards!$H$2:$H$296,MATCH(C267,Standards!$B$2:$B$296,0))</f>
        <v>PM</v>
      </c>
      <c r="L267" t="b">
        <f>AND(TableRelationships[[#This Row],[Source Type]]="BIM",TableRelationships[[#This Row],[Target Type]]="BIM")</f>
        <v>0</v>
      </c>
      <c r="M267">
        <f t="shared" si="12"/>
        <v>1</v>
      </c>
      <c r="N267" t="s">
        <v>526</v>
      </c>
      <c r="O267">
        <f t="shared" si="13"/>
        <v>2</v>
      </c>
      <c r="P267" t="str">
        <f>IF(TableRelationships[[#This Row],[Rank Pedro]]="Low","linkCategory1",IF(TableRelationships[[#This Row],[Rank Pedro]]="Medium","linkCategory2",IF(TableRelationships[[#This Row],[Rank Pedro]]="High","linkCategory3","")))</f>
        <v>linkCategory1</v>
      </c>
      <c r="Q267" t="str">
        <f>IF(TableRelationships[[#This Row],[Rank Pedro]]="Low","Pink",IF(TableRelationships[[#This Row],[Rank Pedro]]="Medium","Purple",IF(TableRelationships[[#This Row],[Rank Pedro]]="High","Brown","")))</f>
        <v>Pink</v>
      </c>
      <c r="R267" s="4">
        <f>MAX(INDEX(Standards!$F$2:$F$296,MATCH(B267,Standards!$B$2:$B$296,0)),INDEX(Standards!$F$2:$F$296,MATCH(C267,Standards!$B$2:$B$296,0)))</f>
        <v>44013</v>
      </c>
      <c r="S267" t="str">
        <f t="shared" si="14"/>
        <v>#2f89d1</v>
      </c>
    </row>
    <row r="268" spans="1:19" x14ac:dyDescent="0.5">
      <c r="A268">
        <v>68</v>
      </c>
      <c r="B268" t="s">
        <v>232</v>
      </c>
      <c r="C268" t="s">
        <v>74</v>
      </c>
      <c r="D268">
        <f>INDEX(Standards!$A$2:$A$296,MATCH(B268,Standards!$B$2:$B$296,0))</f>
        <v>13</v>
      </c>
      <c r="E268">
        <f>INDEX(Standards!$A$2:$A$296,MATCH(C268,Standards!$B$2:$B$296,0))</f>
        <v>18</v>
      </c>
      <c r="F268" t="str">
        <f>INDEX(Standards!$N$2:$N$296,MATCH(B268,Standards!$B$2:$B$296,0))</f>
        <v>#70AD47</v>
      </c>
      <c r="G268" t="str">
        <f>INDEX(Standards!$N$2:$N$296,MATCH(C268,Standards!$B$2:$B$296,0))</f>
        <v>#44546A</v>
      </c>
      <c r="H268" t="s">
        <v>521</v>
      </c>
      <c r="I268" t="s">
        <v>525</v>
      </c>
      <c r="J268" t="str">
        <f>INDEX(Standards!$H$2:$H$296,MATCH(B268,Standards!$B$2:$B$296,0))</f>
        <v>BIM</v>
      </c>
      <c r="K268" t="str">
        <f>INDEX(Standards!$H$2:$H$296,MATCH(C268,Standards!$B$2:$B$296,0))</f>
        <v>FM</v>
      </c>
      <c r="L268" t="b">
        <f>AND(TableRelationships[[#This Row],[Source Type]]="BIM",TableRelationships[[#This Row],[Target Type]]="BIM")</f>
        <v>0</v>
      </c>
      <c r="M268">
        <f t="shared" si="12"/>
        <v>1</v>
      </c>
      <c r="N268" t="s">
        <v>523</v>
      </c>
      <c r="O268">
        <f t="shared" si="13"/>
        <v>10</v>
      </c>
      <c r="P268" t="str">
        <f>IF(TableRelationships[[#This Row],[Rank Pedro]]="Low","linkCategory1",IF(TableRelationships[[#This Row],[Rank Pedro]]="Medium","linkCategory2",IF(TableRelationships[[#This Row],[Rank Pedro]]="High","linkCategory3","")))</f>
        <v>linkCategory3</v>
      </c>
      <c r="Q268" t="str">
        <f>IF(TableRelationships[[#This Row],[Rank Pedro]]="Low","Pink",IF(TableRelationships[[#This Row],[Rank Pedro]]="Medium","Purple",IF(TableRelationships[[#This Row],[Rank Pedro]]="High","Brown","")))</f>
        <v>Brown</v>
      </c>
      <c r="R268" s="4">
        <f>MAX(INDEX(Standards!$F$2:$F$296,MATCH(B268,Standards!$B$2:$B$296,0)),INDEX(Standards!$F$2:$F$296,MATCH(C268,Standards!$B$2:$B$296,0)))</f>
        <v>44013</v>
      </c>
      <c r="S268" t="str">
        <f t="shared" si="14"/>
        <v>#2f89d1</v>
      </c>
    </row>
    <row r="269" spans="1:19" x14ac:dyDescent="0.5">
      <c r="A269">
        <v>66</v>
      </c>
      <c r="B269" t="s">
        <v>232</v>
      </c>
      <c r="C269" t="s">
        <v>99</v>
      </c>
      <c r="D269">
        <f>INDEX(Standards!$A$2:$A$296,MATCH(B269,Standards!$B$2:$B$296,0))</f>
        <v>13</v>
      </c>
      <c r="E269">
        <f>INDEX(Standards!$A$2:$A$296,MATCH(C269,Standards!$B$2:$B$296,0))</f>
        <v>28</v>
      </c>
      <c r="F269" t="str">
        <f>INDEX(Standards!$N$2:$N$296,MATCH(B269,Standards!$B$2:$B$296,0))</f>
        <v>#70AD47</v>
      </c>
      <c r="G269" t="str">
        <f>INDEX(Standards!$N$2:$N$296,MATCH(C269,Standards!$B$2:$B$296,0))</f>
        <v>#7030A0</v>
      </c>
      <c r="H269" t="s">
        <v>521</v>
      </c>
      <c r="I269" t="s">
        <v>525</v>
      </c>
      <c r="J269" t="str">
        <f>INDEX(Standards!$H$2:$H$296,MATCH(B269,Standards!$B$2:$B$296,0))</f>
        <v>BIM</v>
      </c>
      <c r="K269" t="str">
        <f>INDEX(Standards!$H$2:$H$296,MATCH(C269,Standards!$B$2:$B$296,0))</f>
        <v>ICT</v>
      </c>
      <c r="L269" t="b">
        <f>AND(TableRelationships[[#This Row],[Source Type]]="BIM",TableRelationships[[#This Row],[Target Type]]="BIM")</f>
        <v>0</v>
      </c>
      <c r="M269">
        <f t="shared" si="12"/>
        <v>1</v>
      </c>
      <c r="N269" t="s">
        <v>528</v>
      </c>
      <c r="O269">
        <f t="shared" si="13"/>
        <v>6</v>
      </c>
      <c r="P269" t="str">
        <f>IF(TableRelationships[[#This Row],[Rank Pedro]]="Low","linkCategory1",IF(TableRelationships[[#This Row],[Rank Pedro]]="Medium","linkCategory2",IF(TableRelationships[[#This Row],[Rank Pedro]]="High","linkCategory3","")))</f>
        <v>linkCategory2</v>
      </c>
      <c r="Q269" t="str">
        <f>IF(TableRelationships[[#This Row],[Rank Pedro]]="Low","Pink",IF(TableRelationships[[#This Row],[Rank Pedro]]="Medium","Purple",IF(TableRelationships[[#This Row],[Rank Pedro]]="High","Brown","")))</f>
        <v>Purple</v>
      </c>
      <c r="R269" s="4">
        <f>MAX(INDEX(Standards!$F$2:$F$296,MATCH(B269,Standards!$B$2:$B$296,0)),INDEX(Standards!$F$2:$F$296,MATCH(C269,Standards!$B$2:$B$296,0)))</f>
        <v>44013</v>
      </c>
      <c r="S269" t="str">
        <f t="shared" si="14"/>
        <v>#2f89d1</v>
      </c>
    </row>
    <row r="270" spans="1:19" x14ac:dyDescent="0.5">
      <c r="A270">
        <v>211</v>
      </c>
      <c r="B270" t="s">
        <v>245</v>
      </c>
      <c r="C270" t="s">
        <v>236</v>
      </c>
      <c r="D270">
        <f>INDEX(Standards!$A$2:$A$296,MATCH(B270,Standards!$B$2:$B$296,0))</f>
        <v>3</v>
      </c>
      <c r="E270">
        <f>INDEX(Standards!$A$2:$A$296,MATCH(C270,Standards!$B$2:$B$296,0))</f>
        <v>91</v>
      </c>
      <c r="F270" t="str">
        <f>INDEX(Standards!$N$2:$N$296,MATCH(B270,Standards!$B$2:$B$296,0))</f>
        <v>#70AD47</v>
      </c>
      <c r="G270" t="str">
        <f>INDEX(Standards!$N$2:$N$296,MATCH(C270,Standards!$B$2:$B$296,0))</f>
        <v>#F2F2F2</v>
      </c>
      <c r="H270" t="s">
        <v>521</v>
      </c>
      <c r="I270" t="s">
        <v>237</v>
      </c>
      <c r="J270" t="str">
        <f>INDEX(Standards!$H$2:$H$296,MATCH(B270,Standards!$B$2:$B$296,0))</f>
        <v>BIM</v>
      </c>
      <c r="K270" t="str">
        <f>INDEX(Standards!$H$2:$H$296,MATCH(C270,Standards!$B$2:$B$296,0))</f>
        <v>Anchor</v>
      </c>
      <c r="L270" t="b">
        <f>AND(TableRelationships[[#This Row],[Source Type]]="BIM",TableRelationships[[#This Row],[Target Type]]="BIM")</f>
        <v>0</v>
      </c>
      <c r="M270">
        <f t="shared" si="12"/>
        <v>2</v>
      </c>
      <c r="O270">
        <f t="shared" si="13"/>
        <v>1</v>
      </c>
      <c r="P270" t="str">
        <f>IF(TableRelationships[[#This Row],[Rank Pedro]]="Low","linkCategory1",IF(TableRelationships[[#This Row],[Rank Pedro]]="Medium","linkCategory2",IF(TableRelationships[[#This Row],[Rank Pedro]]="High","linkCategory3","")))</f>
        <v/>
      </c>
      <c r="Q270" t="str">
        <f>IF(TableRelationships[[#This Row],[Rank Pedro]]="Low","Pink",IF(TableRelationships[[#This Row],[Rank Pedro]]="Medium","Purple",IF(TableRelationships[[#This Row],[Rank Pedro]]="High","Brown","")))</f>
        <v/>
      </c>
      <c r="R270" s="4">
        <f>MAX(INDEX(Standards!$F$2:$F$296,MATCH(B270,Standards!$B$2:$B$296,0)),INDEX(Standards!$F$2:$F$296,MATCH(C270,Standards!$B$2:$B$296,0)))</f>
        <v>43943</v>
      </c>
      <c r="S270">
        <f t="shared" si="14"/>
        <v>1</v>
      </c>
    </row>
    <row r="271" spans="1:19" x14ac:dyDescent="0.5">
      <c r="A271">
        <v>10</v>
      </c>
      <c r="B271" t="s">
        <v>245</v>
      </c>
      <c r="C271" t="s">
        <v>484</v>
      </c>
      <c r="D271">
        <f>INDEX(Standards!$A$2:$A$296,MATCH(B271,Standards!$B$2:$B$296,0))</f>
        <v>3</v>
      </c>
      <c r="E271">
        <f>INDEX(Standards!$A$2:$A$296,MATCH(C271,Standards!$B$2:$B$296,0))</f>
        <v>196</v>
      </c>
      <c r="F271" t="str">
        <f>INDEX(Standards!$N$2:$N$296,MATCH(B271,Standards!$B$2:$B$296,0))</f>
        <v>#70AD47</v>
      </c>
      <c r="G271" t="str">
        <f>INDEX(Standards!$N$2:$N$296,MATCH(C271,Standards!$B$2:$B$296,0))</f>
        <v>#70AD47</v>
      </c>
      <c r="H271" t="s">
        <v>521</v>
      </c>
      <c r="I271" s="82" t="s">
        <v>522</v>
      </c>
      <c r="J271" t="str">
        <f>INDEX(Standards!$H$2:$H$296,MATCH(B271,Standards!$B$2:$B$296,0))</f>
        <v>BIM</v>
      </c>
      <c r="K271" t="str">
        <f>INDEX(Standards!$H$2:$H$296,MATCH(C271,Standards!$B$2:$B$296,0))</f>
        <v>BIM</v>
      </c>
      <c r="L271" t="b">
        <f>AND(TableRelationships[[#This Row],[Source Type]]="BIM",TableRelationships[[#This Row],[Target Type]]="BIM")</f>
        <v>1</v>
      </c>
      <c r="M271">
        <f t="shared" si="12"/>
        <v>1</v>
      </c>
      <c r="N271" t="s">
        <v>526</v>
      </c>
      <c r="O271">
        <f t="shared" si="13"/>
        <v>2</v>
      </c>
      <c r="P271" t="str">
        <f>IF(TableRelationships[[#This Row],[Rank Pedro]]="Low","linkCategory1",IF(TableRelationships[[#This Row],[Rank Pedro]]="Medium","linkCategory2",IF(TableRelationships[[#This Row],[Rank Pedro]]="High","linkCategory3","")))</f>
        <v>linkCategory1</v>
      </c>
      <c r="Q271" t="str">
        <f>IF(TableRelationships[[#This Row],[Rank Pedro]]="Low","Pink",IF(TableRelationships[[#This Row],[Rank Pedro]]="Medium","Purple",IF(TableRelationships[[#This Row],[Rank Pedro]]="High","Brown","")))</f>
        <v>Pink</v>
      </c>
      <c r="R271" s="4">
        <f>MAX(INDEX(Standards!$F$2:$F$296,MATCH(B271,Standards!$B$2:$B$296,0)),INDEX(Standards!$F$2:$F$296,MATCH(C271,Standards!$B$2:$B$296,0)))</f>
        <v>45444</v>
      </c>
      <c r="S271">
        <f t="shared" si="14"/>
        <v>1</v>
      </c>
    </row>
    <row r="272" spans="1:19" x14ac:dyDescent="0.5">
      <c r="A272">
        <v>8</v>
      </c>
      <c r="B272" t="s">
        <v>245</v>
      </c>
      <c r="C272" t="s">
        <v>210</v>
      </c>
      <c r="D272">
        <f>INDEX(Standards!$A$2:$A$296,MATCH(B272,Standards!$B$2:$B$296,0))</f>
        <v>3</v>
      </c>
      <c r="E272">
        <f>INDEX(Standards!$A$2:$A$296,MATCH(C272,Standards!$B$2:$B$296,0))</f>
        <v>9</v>
      </c>
      <c r="F272" t="str">
        <f>INDEX(Standards!$N$2:$N$296,MATCH(B272,Standards!$B$2:$B$296,0))</f>
        <v>#70AD47</v>
      </c>
      <c r="G272" t="str">
        <f>INDEX(Standards!$N$2:$N$296,MATCH(C272,Standards!$B$2:$B$296,0))</f>
        <v>#70AD47</v>
      </c>
      <c r="H272" t="s">
        <v>521</v>
      </c>
      <c r="I272" s="82" t="s">
        <v>522</v>
      </c>
      <c r="J272" t="str">
        <f>INDEX(Standards!$H$2:$H$296,MATCH(B272,Standards!$B$2:$B$296,0))</f>
        <v>BIM</v>
      </c>
      <c r="K272" t="str">
        <f>INDEX(Standards!$H$2:$H$296,MATCH(C272,Standards!$B$2:$B$296,0))</f>
        <v>BIM</v>
      </c>
      <c r="L272" t="b">
        <f>AND(TableRelationships[[#This Row],[Source Type]]="BIM",TableRelationships[[#This Row],[Target Type]]="BIM")</f>
        <v>1</v>
      </c>
      <c r="M272">
        <f t="shared" si="12"/>
        <v>1</v>
      </c>
      <c r="N272" t="s">
        <v>526</v>
      </c>
      <c r="O272">
        <f t="shared" si="13"/>
        <v>2</v>
      </c>
      <c r="P272" t="str">
        <f>IF(TableRelationships[[#This Row],[Rank Pedro]]="Low","linkCategory1",IF(TableRelationships[[#This Row],[Rank Pedro]]="Medium","linkCategory2",IF(TableRelationships[[#This Row],[Rank Pedro]]="High","linkCategory3","")))</f>
        <v>linkCategory1</v>
      </c>
      <c r="Q272" t="str">
        <f>IF(TableRelationships[[#This Row],[Rank Pedro]]="Low","Pink",IF(TableRelationships[[#This Row],[Rank Pedro]]="Medium","Purple",IF(TableRelationships[[#This Row],[Rank Pedro]]="High","Brown","")))</f>
        <v>Pink</v>
      </c>
      <c r="R272" s="4">
        <f>MAX(INDEX(Standards!$F$2:$F$296,MATCH(B272,Standards!$B$2:$B$296,0)),INDEX(Standards!$F$2:$F$296,MATCH(C272,Standards!$B$2:$B$296,0)))</f>
        <v>43943</v>
      </c>
      <c r="S272">
        <f t="shared" si="14"/>
        <v>1</v>
      </c>
    </row>
    <row r="273" spans="1:19" x14ac:dyDescent="0.5">
      <c r="A273">
        <v>9</v>
      </c>
      <c r="B273" t="s">
        <v>245</v>
      </c>
      <c r="C273" t="s">
        <v>214</v>
      </c>
      <c r="D273">
        <f>INDEX(Standards!$A$2:$A$296,MATCH(B273,Standards!$B$2:$B$296,0))</f>
        <v>3</v>
      </c>
      <c r="E273">
        <f>INDEX(Standards!$A$2:$A$296,MATCH(C273,Standards!$B$2:$B$296,0))</f>
        <v>10</v>
      </c>
      <c r="F273" t="str">
        <f>INDEX(Standards!$N$2:$N$296,MATCH(B273,Standards!$B$2:$B$296,0))</f>
        <v>#70AD47</v>
      </c>
      <c r="G273" t="str">
        <f>INDEX(Standards!$N$2:$N$296,MATCH(C273,Standards!$B$2:$B$296,0))</f>
        <v>#70AD47</v>
      </c>
      <c r="H273" s="7" t="s">
        <v>521</v>
      </c>
      <c r="I273" s="82" t="s">
        <v>522</v>
      </c>
      <c r="J273" t="str">
        <f>INDEX(Standards!$H$2:$H$296,MATCH(B273,Standards!$B$2:$B$296,0))</f>
        <v>BIM</v>
      </c>
      <c r="K273" t="str">
        <f>INDEX(Standards!$H$2:$H$296,MATCH(C273,Standards!$B$2:$B$296,0))</f>
        <v>BIM</v>
      </c>
      <c r="L273" t="b">
        <f>AND(TableRelationships[[#This Row],[Source Type]]="BIM",TableRelationships[[#This Row],[Target Type]]="BIM")</f>
        <v>1</v>
      </c>
      <c r="M273">
        <f t="shared" si="12"/>
        <v>1</v>
      </c>
      <c r="N273" t="s">
        <v>526</v>
      </c>
      <c r="O273">
        <f t="shared" si="13"/>
        <v>2</v>
      </c>
      <c r="P273" t="str">
        <f>IF(TableRelationships[[#This Row],[Rank Pedro]]="Low","linkCategory1",IF(TableRelationships[[#This Row],[Rank Pedro]]="Medium","linkCategory2",IF(TableRelationships[[#This Row],[Rank Pedro]]="High","linkCategory3","")))</f>
        <v>linkCategory1</v>
      </c>
      <c r="Q273" t="str">
        <f>IF(TableRelationships[[#This Row],[Rank Pedro]]="Low","Pink",IF(TableRelationships[[#This Row],[Rank Pedro]]="Medium","Purple",IF(TableRelationships[[#This Row],[Rank Pedro]]="High","Brown","")))</f>
        <v>Pink</v>
      </c>
      <c r="R273" s="4">
        <f>MAX(INDEX(Standards!$F$2:$F$296,MATCH(B273,Standards!$B$2:$B$296,0)),INDEX(Standards!$F$2:$F$296,MATCH(C273,Standards!$B$2:$B$296,0)))</f>
        <v>43943</v>
      </c>
      <c r="S273">
        <f t="shared" si="14"/>
        <v>1</v>
      </c>
    </row>
    <row r="274" spans="1:19" x14ac:dyDescent="0.5">
      <c r="A274">
        <v>6</v>
      </c>
      <c r="B274" t="s">
        <v>245</v>
      </c>
      <c r="C274" t="s">
        <v>250</v>
      </c>
      <c r="D274">
        <f>INDEX(Standards!$A$2:$A$296,MATCH(B274,Standards!$B$2:$B$296,0))</f>
        <v>3</v>
      </c>
      <c r="E274">
        <f>INDEX(Standards!$A$2:$A$296,MATCH(C274,Standards!$B$2:$B$296,0))</f>
        <v>4</v>
      </c>
      <c r="F274" t="str">
        <f>INDEX(Standards!$N$2:$N$296,MATCH(B274,Standards!$B$2:$B$296,0))</f>
        <v>#70AD47</v>
      </c>
      <c r="G274" t="str">
        <f>INDEX(Standards!$N$2:$N$296,MATCH(C274,Standards!$B$2:$B$296,0))</f>
        <v>#70AD47</v>
      </c>
      <c r="H274" s="7" t="s">
        <v>521</v>
      </c>
      <c r="I274" s="82" t="s">
        <v>522</v>
      </c>
      <c r="J274" t="str">
        <f>INDEX(Standards!$H$2:$H$296,MATCH(B274,Standards!$B$2:$B$296,0))</f>
        <v>BIM</v>
      </c>
      <c r="K274" t="str">
        <f>INDEX(Standards!$H$2:$H$296,MATCH(C274,Standards!$B$2:$B$296,0))</f>
        <v>BIM</v>
      </c>
      <c r="L274" t="b">
        <f>AND(TableRelationships[[#This Row],[Source Type]]="BIM",TableRelationships[[#This Row],[Target Type]]="BIM")</f>
        <v>1</v>
      </c>
      <c r="M274">
        <f t="shared" si="12"/>
        <v>1</v>
      </c>
      <c r="N274" t="s">
        <v>523</v>
      </c>
      <c r="O274">
        <f t="shared" si="13"/>
        <v>10</v>
      </c>
      <c r="P274" t="str">
        <f>IF(TableRelationships[[#This Row],[Rank Pedro]]="Low","linkCategory1",IF(TableRelationships[[#This Row],[Rank Pedro]]="Medium","linkCategory2",IF(TableRelationships[[#This Row],[Rank Pedro]]="High","linkCategory3","")))</f>
        <v>linkCategory3</v>
      </c>
      <c r="Q274" t="str">
        <f>IF(TableRelationships[[#This Row],[Rank Pedro]]="Low","Pink",IF(TableRelationships[[#This Row],[Rank Pedro]]="Medium","Purple",IF(TableRelationships[[#This Row],[Rank Pedro]]="High","Brown","")))</f>
        <v>Brown</v>
      </c>
      <c r="R274" s="4">
        <f>MAX(INDEX(Standards!$F$2:$F$296,MATCH(B274,Standards!$B$2:$B$296,0)),INDEX(Standards!$F$2:$F$296,MATCH(C274,Standards!$B$2:$B$296,0)))</f>
        <v>44153</v>
      </c>
      <c r="S274">
        <f t="shared" si="14"/>
        <v>1</v>
      </c>
    </row>
    <row r="275" spans="1:19" x14ac:dyDescent="0.5">
      <c r="A275">
        <v>7</v>
      </c>
      <c r="B275" t="s">
        <v>245</v>
      </c>
      <c r="C275" t="s">
        <v>130</v>
      </c>
      <c r="D275">
        <f>INDEX(Standards!$A$2:$A$296,MATCH(B275,Standards!$B$2:$B$296,0))</f>
        <v>3</v>
      </c>
      <c r="E275">
        <f>INDEX(Standards!$A$2:$A$296,MATCH(C275,Standards!$B$2:$B$296,0))</f>
        <v>44</v>
      </c>
      <c r="F275" t="str">
        <f>INDEX(Standards!$N$2:$N$296,MATCH(B275,Standards!$B$2:$B$296,0))</f>
        <v>#70AD47</v>
      </c>
      <c r="G275" t="str">
        <f>INDEX(Standards!$N$2:$N$296,MATCH(C275,Standards!$B$2:$B$296,0))</f>
        <v>#7030A0</v>
      </c>
      <c r="H275" s="7" t="s">
        <v>521</v>
      </c>
      <c r="I275" t="s">
        <v>525</v>
      </c>
      <c r="J275" t="str">
        <f>INDEX(Standards!$H$2:$H$296,MATCH(B275,Standards!$B$2:$B$296,0))</f>
        <v>BIM</v>
      </c>
      <c r="K275" t="str">
        <f>INDEX(Standards!$H$2:$H$296,MATCH(C275,Standards!$B$2:$B$296,0))</f>
        <v>ICT</v>
      </c>
      <c r="L275" t="b">
        <f>AND(TableRelationships[[#This Row],[Source Type]]="BIM",TableRelationships[[#This Row],[Target Type]]="BIM")</f>
        <v>0</v>
      </c>
      <c r="M275">
        <f t="shared" si="12"/>
        <v>1</v>
      </c>
      <c r="N275" t="s">
        <v>526</v>
      </c>
      <c r="O275">
        <f t="shared" si="13"/>
        <v>2</v>
      </c>
      <c r="P275" t="str">
        <f>IF(TableRelationships[[#This Row],[Rank Pedro]]="Low","linkCategory1",IF(TableRelationships[[#This Row],[Rank Pedro]]="Medium","linkCategory2",IF(TableRelationships[[#This Row],[Rank Pedro]]="High","linkCategory3","")))</f>
        <v>linkCategory1</v>
      </c>
      <c r="Q275" t="str">
        <f>IF(TableRelationships[[#This Row],[Rank Pedro]]="Low","Pink",IF(TableRelationships[[#This Row],[Rank Pedro]]="Medium","Purple",IF(TableRelationships[[#This Row],[Rank Pedro]]="High","Brown","")))</f>
        <v>Pink</v>
      </c>
      <c r="R275" s="4">
        <f>MAX(INDEX(Standards!$F$2:$F$296,MATCH(B275,Standards!$B$2:$B$296,0)),INDEX(Standards!$F$2:$F$296,MATCH(C275,Standards!$B$2:$B$296,0)))</f>
        <v>43943</v>
      </c>
      <c r="S275" t="str">
        <f t="shared" si="14"/>
        <v>#2f89d1</v>
      </c>
    </row>
    <row r="276" spans="1:19" x14ac:dyDescent="0.5">
      <c r="A276">
        <v>0</v>
      </c>
      <c r="B276" t="s">
        <v>245</v>
      </c>
      <c r="C276" t="s">
        <v>90</v>
      </c>
      <c r="D276">
        <f>INDEX(Standards!$A$2:$A$296,MATCH(B276,Standards!$B$2:$B$296,0))</f>
        <v>3</v>
      </c>
      <c r="E276">
        <f>INDEX(Standards!$A$2:$A$296,MATCH(C276,Standards!$B$2:$B$296,0))</f>
        <v>24</v>
      </c>
      <c r="F276" t="str">
        <f>INDEX(Standards!$N$2:$N$296,MATCH(B276,Standards!$B$2:$B$296,0))</f>
        <v>#70AD47</v>
      </c>
      <c r="G276" t="str">
        <f>INDEX(Standards!$N$2:$N$296,MATCH(C276,Standards!$B$2:$B$296,0))</f>
        <v>#7030A0</v>
      </c>
      <c r="H276" s="7" t="s">
        <v>521</v>
      </c>
      <c r="I276" t="s">
        <v>524</v>
      </c>
      <c r="J276" t="str">
        <f>INDEX(Standards!$H$2:$H$296,MATCH(B276,Standards!$B$2:$B$296,0))</f>
        <v>BIM</v>
      </c>
      <c r="K276" t="str">
        <f>INDEX(Standards!$H$2:$H$296,MATCH(C276,Standards!$B$2:$B$296,0))</f>
        <v>ICT</v>
      </c>
      <c r="L276" t="b">
        <f>AND(TableRelationships[[#This Row],[Source Type]]="BIM",TableRelationships[[#This Row],[Target Type]]="BIM")</f>
        <v>0</v>
      </c>
      <c r="M276">
        <f t="shared" si="12"/>
        <v>6</v>
      </c>
      <c r="N276" t="s">
        <v>526</v>
      </c>
      <c r="O276">
        <f t="shared" si="13"/>
        <v>2</v>
      </c>
      <c r="P276" t="str">
        <f>IF(TableRelationships[[#This Row],[Rank Pedro]]="Low","linkCategory1",IF(TableRelationships[[#This Row],[Rank Pedro]]="Medium","linkCategory2",IF(TableRelationships[[#This Row],[Rank Pedro]]="High","linkCategory3","")))</f>
        <v>linkCategory1</v>
      </c>
      <c r="Q276" t="str">
        <f>IF(TableRelationships[[#This Row],[Rank Pedro]]="Low","Pink",IF(TableRelationships[[#This Row],[Rank Pedro]]="Medium","Purple",IF(TableRelationships[[#This Row],[Rank Pedro]]="High","Brown","")))</f>
        <v>Pink</v>
      </c>
      <c r="R276" s="4">
        <f>MAX(INDEX(Standards!$F$2:$F$296,MATCH(B276,Standards!$B$2:$B$296,0)),INDEX(Standards!$F$2:$F$296,MATCH(C276,Standards!$B$2:$B$296,0)))</f>
        <v>43943</v>
      </c>
      <c r="S276" t="str">
        <f t="shared" si="14"/>
        <v>#d6bf2a</v>
      </c>
    </row>
    <row r="277" spans="1:19" x14ac:dyDescent="0.5">
      <c r="A277">
        <v>1</v>
      </c>
      <c r="B277" t="s">
        <v>245</v>
      </c>
      <c r="C277" t="s">
        <v>18</v>
      </c>
      <c r="D277">
        <f>INDEX(Standards!$A$2:$A$296,MATCH(B277,Standards!$B$2:$B$296,0))</f>
        <v>3</v>
      </c>
      <c r="E277">
        <f>INDEX(Standards!$A$2:$A$296,MATCH(C277,Standards!$B$2:$B$296,0))</f>
        <v>0</v>
      </c>
      <c r="F277" t="str">
        <f>INDEX(Standards!$N$2:$N$296,MATCH(B277,Standards!$B$2:$B$296,0))</f>
        <v>#70AD47</v>
      </c>
      <c r="G277" t="str">
        <f>INDEX(Standards!$N$2:$N$296,MATCH(C277,Standards!$B$2:$B$296,0))</f>
        <v>#7030A0</v>
      </c>
      <c r="H277" s="7" t="s">
        <v>521</v>
      </c>
      <c r="I277" t="s">
        <v>524</v>
      </c>
      <c r="J277" t="str">
        <f>INDEX(Standards!$H$2:$H$296,MATCH(B277,Standards!$B$2:$B$296,0))</f>
        <v>BIM</v>
      </c>
      <c r="K277" t="str">
        <f>INDEX(Standards!$H$2:$H$296,MATCH(C277,Standards!$B$2:$B$296,0))</f>
        <v>ICT</v>
      </c>
      <c r="L277" t="b">
        <f>AND(TableRelationships[[#This Row],[Source Type]]="BIM",TableRelationships[[#This Row],[Target Type]]="BIM")</f>
        <v>0</v>
      </c>
      <c r="M277">
        <f t="shared" si="12"/>
        <v>6</v>
      </c>
      <c r="N277" t="s">
        <v>526</v>
      </c>
      <c r="O277">
        <f t="shared" si="13"/>
        <v>2</v>
      </c>
      <c r="P277" t="str">
        <f>IF(TableRelationships[[#This Row],[Rank Pedro]]="Low","linkCategory1",IF(TableRelationships[[#This Row],[Rank Pedro]]="Medium","linkCategory2",IF(TableRelationships[[#This Row],[Rank Pedro]]="High","linkCategory3","")))</f>
        <v>linkCategory1</v>
      </c>
      <c r="Q277" t="str">
        <f>IF(TableRelationships[[#This Row],[Rank Pedro]]="Low","Pink",IF(TableRelationships[[#This Row],[Rank Pedro]]="Medium","Purple",IF(TableRelationships[[#This Row],[Rank Pedro]]="High","Brown","")))</f>
        <v>Pink</v>
      </c>
      <c r="R277" s="4">
        <f>MAX(INDEX(Standards!$F$2:$F$296,MATCH(B277,Standards!$B$2:$B$296,0)),INDEX(Standards!$F$2:$F$296,MATCH(C277,Standards!$B$2:$B$296,0)))</f>
        <v>43943</v>
      </c>
      <c r="S277" t="str">
        <f t="shared" si="14"/>
        <v>#d6bf2a</v>
      </c>
    </row>
    <row r="278" spans="1:19" x14ac:dyDescent="0.5">
      <c r="A278">
        <v>2</v>
      </c>
      <c r="B278" t="s">
        <v>245</v>
      </c>
      <c r="C278" t="s">
        <v>20</v>
      </c>
      <c r="D278">
        <f>INDEX(Standards!$A$2:$A$296,MATCH(B278,Standards!$B$2:$B$296,0))</f>
        <v>3</v>
      </c>
      <c r="E278">
        <f>INDEX(Standards!$A$2:$A$296,MATCH(C278,Standards!$B$2:$B$296,0))</f>
        <v>1</v>
      </c>
      <c r="F278" t="str">
        <f>INDEX(Standards!$N$2:$N$296,MATCH(B278,Standards!$B$2:$B$296,0))</f>
        <v>#70AD47</v>
      </c>
      <c r="G278" t="str">
        <f>INDEX(Standards!$N$2:$N$296,MATCH(C278,Standards!$B$2:$B$296,0))</f>
        <v>#7030A0</v>
      </c>
      <c r="H278" s="7" t="s">
        <v>521</v>
      </c>
      <c r="I278" t="s">
        <v>524</v>
      </c>
      <c r="J278" t="str">
        <f>INDEX(Standards!$H$2:$H$296,MATCH(B278,Standards!$B$2:$B$296,0))</f>
        <v>BIM</v>
      </c>
      <c r="K278" t="str">
        <f>INDEX(Standards!$H$2:$H$296,MATCH(C278,Standards!$B$2:$B$296,0))</f>
        <v>ICT</v>
      </c>
      <c r="L278" t="b">
        <f>AND(TableRelationships[[#This Row],[Source Type]]="BIM",TableRelationships[[#This Row],[Target Type]]="BIM")</f>
        <v>0</v>
      </c>
      <c r="M278">
        <f t="shared" si="12"/>
        <v>6</v>
      </c>
      <c r="N278" t="s">
        <v>526</v>
      </c>
      <c r="O278">
        <f t="shared" si="13"/>
        <v>2</v>
      </c>
      <c r="P278" t="str">
        <f>IF(TableRelationships[[#This Row],[Rank Pedro]]="Low","linkCategory1",IF(TableRelationships[[#This Row],[Rank Pedro]]="Medium","linkCategory2",IF(TableRelationships[[#This Row],[Rank Pedro]]="High","linkCategory3","")))</f>
        <v>linkCategory1</v>
      </c>
      <c r="Q278" t="str">
        <f>IF(TableRelationships[[#This Row],[Rank Pedro]]="Low","Pink",IF(TableRelationships[[#This Row],[Rank Pedro]]="Medium","Purple",IF(TableRelationships[[#This Row],[Rank Pedro]]="High","Brown","")))</f>
        <v>Pink</v>
      </c>
      <c r="R278" s="4">
        <f>MAX(INDEX(Standards!$F$2:$F$296,MATCH(B278,Standards!$B$2:$B$296,0)),INDEX(Standards!$F$2:$F$296,MATCH(C278,Standards!$B$2:$B$296,0)))</f>
        <v>43943</v>
      </c>
      <c r="S278" t="str">
        <f t="shared" si="14"/>
        <v>#d6bf2a</v>
      </c>
    </row>
    <row r="279" spans="1:19" x14ac:dyDescent="0.5">
      <c r="A279">
        <v>3</v>
      </c>
      <c r="B279" t="s">
        <v>245</v>
      </c>
      <c r="C279" t="s">
        <v>370</v>
      </c>
      <c r="D279">
        <f>INDEX(Standards!$A$2:$A$296,MATCH(B279,Standards!$B$2:$B$296,0))</f>
        <v>3</v>
      </c>
      <c r="E279">
        <f>INDEX(Standards!$A$2:$A$296,MATCH(C279,Standards!$B$2:$B$296,0))</f>
        <v>157</v>
      </c>
      <c r="F279" t="str">
        <f>INDEX(Standards!$N$2:$N$296,MATCH(B279,Standards!$B$2:$B$296,0))</f>
        <v>#70AD47</v>
      </c>
      <c r="G279" t="str">
        <f>INDEX(Standards!$N$2:$N$296,MATCH(C279,Standards!$B$2:$B$296,0))</f>
        <v>#7030A0</v>
      </c>
      <c r="H279" s="7" t="s">
        <v>521</v>
      </c>
      <c r="I279" t="s">
        <v>524</v>
      </c>
      <c r="J279" t="str">
        <f>INDEX(Standards!$H$2:$H$296,MATCH(B279,Standards!$B$2:$B$296,0))</f>
        <v>BIM</v>
      </c>
      <c r="K279" t="str">
        <f>INDEX(Standards!$H$2:$H$296,MATCH(C279,Standards!$B$2:$B$296,0))</f>
        <v>ICT</v>
      </c>
      <c r="L279" t="b">
        <f>AND(TableRelationships[[#This Row],[Source Type]]="BIM",TableRelationships[[#This Row],[Target Type]]="BIM")</f>
        <v>0</v>
      </c>
      <c r="M279">
        <f t="shared" si="12"/>
        <v>6</v>
      </c>
      <c r="N279" t="s">
        <v>526</v>
      </c>
      <c r="O279">
        <f t="shared" si="13"/>
        <v>2</v>
      </c>
      <c r="P279" t="str">
        <f>IF(TableRelationships[[#This Row],[Rank Pedro]]="Low","linkCategory1",IF(TableRelationships[[#This Row],[Rank Pedro]]="Medium","linkCategory2",IF(TableRelationships[[#This Row],[Rank Pedro]]="High","linkCategory3","")))</f>
        <v>linkCategory1</v>
      </c>
      <c r="Q279" t="str">
        <f>IF(TableRelationships[[#This Row],[Rank Pedro]]="Low","Pink",IF(TableRelationships[[#This Row],[Rank Pedro]]="Medium","Purple",IF(TableRelationships[[#This Row],[Rank Pedro]]="High","Brown","")))</f>
        <v>Pink</v>
      </c>
      <c r="R279" s="4">
        <f>MAX(INDEX(Standards!$F$2:$F$296,MATCH(B279,Standards!$B$2:$B$296,0)),INDEX(Standards!$F$2:$F$296,MATCH(C279,Standards!$B$2:$B$296,0)))</f>
        <v>43943</v>
      </c>
      <c r="S279" t="str">
        <f t="shared" si="14"/>
        <v>#d6bf2a</v>
      </c>
    </row>
    <row r="280" spans="1:19" x14ac:dyDescent="0.5">
      <c r="A280">
        <v>4</v>
      </c>
      <c r="B280" t="s">
        <v>245</v>
      </c>
      <c r="C280" t="s">
        <v>371</v>
      </c>
      <c r="D280">
        <f>INDEX(Standards!$A$2:$A$296,MATCH(B280,Standards!$B$2:$B$296,0))</f>
        <v>3</v>
      </c>
      <c r="E280">
        <f>INDEX(Standards!$A$2:$A$296,MATCH(C280,Standards!$B$2:$B$296,0))</f>
        <v>158</v>
      </c>
      <c r="F280" t="str">
        <f>INDEX(Standards!$N$2:$N$296,MATCH(B280,Standards!$B$2:$B$296,0))</f>
        <v>#70AD47</v>
      </c>
      <c r="G280" t="str">
        <f>INDEX(Standards!$N$2:$N$296,MATCH(C280,Standards!$B$2:$B$296,0))</f>
        <v>#7030A0</v>
      </c>
      <c r="H280" s="7" t="s">
        <v>521</v>
      </c>
      <c r="I280" t="s">
        <v>524</v>
      </c>
      <c r="J280" t="str">
        <f>INDEX(Standards!$H$2:$H$296,MATCH(B280,Standards!$B$2:$B$296,0))</f>
        <v>BIM</v>
      </c>
      <c r="K280" t="str">
        <f>INDEX(Standards!$H$2:$H$296,MATCH(C280,Standards!$B$2:$B$296,0))</f>
        <v>ICT</v>
      </c>
      <c r="L280" t="b">
        <f>AND(TableRelationships[[#This Row],[Source Type]]="BIM",TableRelationships[[#This Row],[Target Type]]="BIM")</f>
        <v>0</v>
      </c>
      <c r="M280">
        <f t="shared" si="12"/>
        <v>6</v>
      </c>
      <c r="N280" t="s">
        <v>526</v>
      </c>
      <c r="O280">
        <f t="shared" si="13"/>
        <v>2</v>
      </c>
      <c r="P280" t="str">
        <f>IF(TableRelationships[[#This Row],[Rank Pedro]]="Low","linkCategory1",IF(TableRelationships[[#This Row],[Rank Pedro]]="Medium","linkCategory2",IF(TableRelationships[[#This Row],[Rank Pedro]]="High","linkCategory3","")))</f>
        <v>linkCategory1</v>
      </c>
      <c r="Q280" t="str">
        <f>IF(TableRelationships[[#This Row],[Rank Pedro]]="Low","Pink",IF(TableRelationships[[#This Row],[Rank Pedro]]="Medium","Purple",IF(TableRelationships[[#This Row],[Rank Pedro]]="High","Brown","")))</f>
        <v>Pink</v>
      </c>
      <c r="R280" s="4">
        <f>MAX(INDEX(Standards!$F$2:$F$296,MATCH(B280,Standards!$B$2:$B$296,0)),INDEX(Standards!$F$2:$F$296,MATCH(C280,Standards!$B$2:$B$296,0)))</f>
        <v>43943</v>
      </c>
      <c r="S280" t="str">
        <f t="shared" si="14"/>
        <v>#d6bf2a</v>
      </c>
    </row>
    <row r="281" spans="1:19" x14ac:dyDescent="0.5">
      <c r="A281">
        <v>5</v>
      </c>
      <c r="B281" t="s">
        <v>245</v>
      </c>
      <c r="C281" t="s">
        <v>21</v>
      </c>
      <c r="D281">
        <f>INDEX(Standards!$A$2:$A$296,MATCH(B281,Standards!$B$2:$B$296,0))</f>
        <v>3</v>
      </c>
      <c r="E281">
        <f>INDEX(Standards!$A$2:$A$296,MATCH(C281,Standards!$B$2:$B$296,0))</f>
        <v>2</v>
      </c>
      <c r="F281" t="str">
        <f>INDEX(Standards!$N$2:$N$296,MATCH(B281,Standards!$B$2:$B$296,0))</f>
        <v>#70AD47</v>
      </c>
      <c r="G281" t="str">
        <f>INDEX(Standards!$N$2:$N$296,MATCH(C281,Standards!$B$2:$B$296,0))</f>
        <v>#7030A0</v>
      </c>
      <c r="H281" s="7" t="s">
        <v>521</v>
      </c>
      <c r="I281" t="s">
        <v>524</v>
      </c>
      <c r="J281" t="str">
        <f>INDEX(Standards!$H$2:$H$296,MATCH(B281,Standards!$B$2:$B$296,0))</f>
        <v>BIM</v>
      </c>
      <c r="K281" t="str">
        <f>INDEX(Standards!$H$2:$H$296,MATCH(C281,Standards!$B$2:$B$296,0))</f>
        <v>ICT</v>
      </c>
      <c r="L281" t="b">
        <f>AND(TableRelationships[[#This Row],[Source Type]]="BIM",TableRelationships[[#This Row],[Target Type]]="BIM")</f>
        <v>0</v>
      </c>
      <c r="M281">
        <f t="shared" si="12"/>
        <v>6</v>
      </c>
      <c r="N281" t="s">
        <v>526</v>
      </c>
      <c r="O281">
        <f t="shared" si="13"/>
        <v>2</v>
      </c>
      <c r="P281" t="str">
        <f>IF(TableRelationships[[#This Row],[Rank Pedro]]="Low","linkCategory1",IF(TableRelationships[[#This Row],[Rank Pedro]]="Medium","linkCategory2",IF(TableRelationships[[#This Row],[Rank Pedro]]="High","linkCategory3","")))</f>
        <v>linkCategory1</v>
      </c>
      <c r="Q281" t="str">
        <f>IF(TableRelationships[[#This Row],[Rank Pedro]]="Low","Pink",IF(TableRelationships[[#This Row],[Rank Pedro]]="Medium","Purple",IF(TableRelationships[[#This Row],[Rank Pedro]]="High","Brown","")))</f>
        <v>Pink</v>
      </c>
      <c r="R281" s="4">
        <f>MAX(INDEX(Standards!$F$2:$F$296,MATCH(B281,Standards!$B$2:$B$296,0)),INDEX(Standards!$F$2:$F$296,MATCH(C281,Standards!$B$2:$B$296,0)))</f>
        <v>43943</v>
      </c>
      <c r="S281" t="str">
        <f t="shared" si="14"/>
        <v>#d6bf2a</v>
      </c>
    </row>
    <row r="282" spans="1:19" x14ac:dyDescent="0.5">
      <c r="A282">
        <v>212</v>
      </c>
      <c r="B282" t="s">
        <v>250</v>
      </c>
      <c r="C282" t="s">
        <v>236</v>
      </c>
      <c r="D282">
        <f>INDEX(Standards!$A$2:$A$296,MATCH(B282,Standards!$B$2:$B$296,0))</f>
        <v>4</v>
      </c>
      <c r="E282">
        <f>INDEX(Standards!$A$2:$A$296,MATCH(C282,Standards!$B$2:$B$296,0))</f>
        <v>91</v>
      </c>
      <c r="F282" t="str">
        <f>INDEX(Standards!$N$2:$N$296,MATCH(B282,Standards!$B$2:$B$296,0))</f>
        <v>#70AD47</v>
      </c>
      <c r="G282" t="str">
        <f>INDEX(Standards!$N$2:$N$296,MATCH(C282,Standards!$B$2:$B$296,0))</f>
        <v>#F2F2F2</v>
      </c>
      <c r="H282" s="7" t="s">
        <v>521</v>
      </c>
      <c r="I282" t="s">
        <v>237</v>
      </c>
      <c r="J282" t="str">
        <f>INDEX(Standards!$H$2:$H$296,MATCH(B282,Standards!$B$2:$B$296,0))</f>
        <v>BIM</v>
      </c>
      <c r="K282" t="str">
        <f>INDEX(Standards!$H$2:$H$296,MATCH(C282,Standards!$B$2:$B$296,0))</f>
        <v>Anchor</v>
      </c>
      <c r="L282" t="b">
        <f>AND(TableRelationships[[#This Row],[Source Type]]="BIM",TableRelationships[[#This Row],[Target Type]]="BIM")</f>
        <v>0</v>
      </c>
      <c r="M282">
        <f t="shared" si="12"/>
        <v>2</v>
      </c>
      <c r="O282">
        <f t="shared" si="13"/>
        <v>1</v>
      </c>
      <c r="P282" t="str">
        <f>IF(TableRelationships[[#This Row],[Rank Pedro]]="Low","linkCategory1",IF(TableRelationships[[#This Row],[Rank Pedro]]="Medium","linkCategory2",IF(TableRelationships[[#This Row],[Rank Pedro]]="High","linkCategory3","")))</f>
        <v/>
      </c>
      <c r="Q282" t="str">
        <f>IF(TableRelationships[[#This Row],[Rank Pedro]]="Low","Pink",IF(TableRelationships[[#This Row],[Rank Pedro]]="Medium","Purple",IF(TableRelationships[[#This Row],[Rank Pedro]]="High","Brown","")))</f>
        <v/>
      </c>
      <c r="R282" s="4">
        <f>MAX(INDEX(Standards!$F$2:$F$296,MATCH(B282,Standards!$B$2:$B$296,0)),INDEX(Standards!$F$2:$F$296,MATCH(C282,Standards!$B$2:$B$296,0)))</f>
        <v>44153</v>
      </c>
      <c r="S282">
        <f t="shared" si="14"/>
        <v>1</v>
      </c>
    </row>
    <row r="283" spans="1:19" x14ac:dyDescent="0.5">
      <c r="A283">
        <v>11</v>
      </c>
      <c r="B283" t="s">
        <v>250</v>
      </c>
      <c r="C283" t="s">
        <v>245</v>
      </c>
      <c r="D283">
        <f>INDEX(Standards!$A$2:$A$296,MATCH(B283,Standards!$B$2:$B$296,0))</f>
        <v>4</v>
      </c>
      <c r="E283">
        <f>INDEX(Standards!$A$2:$A$296,MATCH(C283,Standards!$B$2:$B$296,0))</f>
        <v>3</v>
      </c>
      <c r="F283" t="str">
        <f>INDEX(Standards!$N$2:$N$296,MATCH(B283,Standards!$B$2:$B$296,0))</f>
        <v>#70AD47</v>
      </c>
      <c r="G283" t="str">
        <f>INDEX(Standards!$N$2:$N$296,MATCH(C283,Standards!$B$2:$B$296,0))</f>
        <v>#70AD47</v>
      </c>
      <c r="H283" s="7" t="s">
        <v>521</v>
      </c>
      <c r="I283" t="s">
        <v>524</v>
      </c>
      <c r="J283" t="str">
        <f>INDEX(Standards!$H$2:$H$296,MATCH(B283,Standards!$B$2:$B$296,0))</f>
        <v>BIM</v>
      </c>
      <c r="K283" t="str">
        <f>INDEX(Standards!$H$2:$H$296,MATCH(C283,Standards!$B$2:$B$296,0))</f>
        <v>BIM</v>
      </c>
      <c r="L283" t="b">
        <f>AND(TableRelationships[[#This Row],[Source Type]]="BIM",TableRelationships[[#This Row],[Target Type]]="BIM")</f>
        <v>1</v>
      </c>
      <c r="M283">
        <f t="shared" si="12"/>
        <v>6</v>
      </c>
      <c r="N283" t="s">
        <v>523</v>
      </c>
      <c r="O283">
        <f t="shared" si="13"/>
        <v>10</v>
      </c>
      <c r="P283" t="str">
        <f>IF(TableRelationships[[#This Row],[Rank Pedro]]="Low","linkCategory1",IF(TableRelationships[[#This Row],[Rank Pedro]]="Medium","linkCategory2",IF(TableRelationships[[#This Row],[Rank Pedro]]="High","linkCategory3","")))</f>
        <v>linkCategory3</v>
      </c>
      <c r="Q283" t="str">
        <f>IF(TableRelationships[[#This Row],[Rank Pedro]]="Low","Pink",IF(TableRelationships[[#This Row],[Rank Pedro]]="Medium","Purple",IF(TableRelationships[[#This Row],[Rank Pedro]]="High","Brown","")))</f>
        <v>Brown</v>
      </c>
      <c r="R283" s="4">
        <f>MAX(INDEX(Standards!$F$2:$F$296,MATCH(B283,Standards!$B$2:$B$296,0)),INDEX(Standards!$F$2:$F$296,MATCH(C283,Standards!$B$2:$B$296,0)))</f>
        <v>44153</v>
      </c>
      <c r="S283" t="str">
        <f t="shared" si="14"/>
        <v>#d6bf2a</v>
      </c>
    </row>
    <row r="284" spans="1:19" x14ac:dyDescent="0.5">
      <c r="A284">
        <v>12</v>
      </c>
      <c r="B284" t="s">
        <v>250</v>
      </c>
      <c r="C284" t="s">
        <v>18</v>
      </c>
      <c r="D284">
        <f>INDEX(Standards!$A$2:$A$296,MATCH(B284,Standards!$B$2:$B$296,0))</f>
        <v>4</v>
      </c>
      <c r="E284">
        <f>INDEX(Standards!$A$2:$A$296,MATCH(C284,Standards!$B$2:$B$296,0))</f>
        <v>0</v>
      </c>
      <c r="F284" t="str">
        <f>INDEX(Standards!$N$2:$N$296,MATCH(B284,Standards!$B$2:$B$296,0))</f>
        <v>#70AD47</v>
      </c>
      <c r="G284" t="str">
        <f>INDEX(Standards!$N$2:$N$296,MATCH(C284,Standards!$B$2:$B$296,0))</f>
        <v>#7030A0</v>
      </c>
      <c r="H284" t="s">
        <v>521</v>
      </c>
      <c r="I284" t="s">
        <v>524</v>
      </c>
      <c r="J284" t="str">
        <f>INDEX(Standards!$H$2:$H$296,MATCH(B284,Standards!$B$2:$B$296,0))</f>
        <v>BIM</v>
      </c>
      <c r="K284" t="str">
        <f>INDEX(Standards!$H$2:$H$296,MATCH(C284,Standards!$B$2:$B$296,0))</f>
        <v>ICT</v>
      </c>
      <c r="L284" t="b">
        <f>AND(TableRelationships[[#This Row],[Source Type]]="BIM",TableRelationships[[#This Row],[Target Type]]="BIM")</f>
        <v>0</v>
      </c>
      <c r="M284">
        <f t="shared" si="12"/>
        <v>6</v>
      </c>
      <c r="N284" t="s">
        <v>526</v>
      </c>
      <c r="O284">
        <f t="shared" si="13"/>
        <v>2</v>
      </c>
      <c r="P284" t="str">
        <f>IF(TableRelationships[[#This Row],[Rank Pedro]]="Low","linkCategory1",IF(TableRelationships[[#This Row],[Rank Pedro]]="Medium","linkCategory2",IF(TableRelationships[[#This Row],[Rank Pedro]]="High","linkCategory3","")))</f>
        <v>linkCategory1</v>
      </c>
      <c r="Q284" t="str">
        <f>IF(TableRelationships[[#This Row],[Rank Pedro]]="Low","Pink",IF(TableRelationships[[#This Row],[Rank Pedro]]="Medium","Purple",IF(TableRelationships[[#This Row],[Rank Pedro]]="High","Brown","")))</f>
        <v>Pink</v>
      </c>
      <c r="R284" s="4">
        <f>MAX(INDEX(Standards!$F$2:$F$296,MATCH(B284,Standards!$B$2:$B$296,0)),INDEX(Standards!$F$2:$F$296,MATCH(C284,Standards!$B$2:$B$296,0)))</f>
        <v>44153</v>
      </c>
      <c r="S284" t="str">
        <f t="shared" si="14"/>
        <v>#d6bf2a</v>
      </c>
    </row>
    <row r="285" spans="1:19" x14ac:dyDescent="0.5">
      <c r="A285">
        <v>13</v>
      </c>
      <c r="B285" t="s">
        <v>250</v>
      </c>
      <c r="C285" t="s">
        <v>20</v>
      </c>
      <c r="D285">
        <f>INDEX(Standards!$A$2:$A$296,MATCH(B285,Standards!$B$2:$B$296,0))</f>
        <v>4</v>
      </c>
      <c r="E285">
        <f>INDEX(Standards!$A$2:$A$296,MATCH(C285,Standards!$B$2:$B$296,0))</f>
        <v>1</v>
      </c>
      <c r="F285" t="str">
        <f>INDEX(Standards!$N$2:$N$296,MATCH(B285,Standards!$B$2:$B$296,0))</f>
        <v>#70AD47</v>
      </c>
      <c r="G285" t="str">
        <f>INDEX(Standards!$N$2:$N$296,MATCH(C285,Standards!$B$2:$B$296,0))</f>
        <v>#7030A0</v>
      </c>
      <c r="H285" t="s">
        <v>521</v>
      </c>
      <c r="I285" t="s">
        <v>524</v>
      </c>
      <c r="J285" t="str">
        <f>INDEX(Standards!$H$2:$H$296,MATCH(B285,Standards!$B$2:$B$296,0))</f>
        <v>BIM</v>
      </c>
      <c r="K285" t="str">
        <f>INDEX(Standards!$H$2:$H$296,MATCH(C285,Standards!$B$2:$B$296,0))</f>
        <v>ICT</v>
      </c>
      <c r="L285" t="b">
        <f>AND(TableRelationships[[#This Row],[Source Type]]="BIM",TableRelationships[[#This Row],[Target Type]]="BIM")</f>
        <v>0</v>
      </c>
      <c r="M285">
        <f t="shared" si="12"/>
        <v>6</v>
      </c>
      <c r="N285" t="s">
        <v>526</v>
      </c>
      <c r="O285">
        <f t="shared" si="13"/>
        <v>2</v>
      </c>
      <c r="P285" t="str">
        <f>IF(TableRelationships[[#This Row],[Rank Pedro]]="Low","linkCategory1",IF(TableRelationships[[#This Row],[Rank Pedro]]="Medium","linkCategory2",IF(TableRelationships[[#This Row],[Rank Pedro]]="High","linkCategory3","")))</f>
        <v>linkCategory1</v>
      </c>
      <c r="Q285" t="str">
        <f>IF(TableRelationships[[#This Row],[Rank Pedro]]="Low","Pink",IF(TableRelationships[[#This Row],[Rank Pedro]]="Medium","Purple",IF(TableRelationships[[#This Row],[Rank Pedro]]="High","Brown","")))</f>
        <v>Pink</v>
      </c>
      <c r="R285" s="4">
        <f>MAX(INDEX(Standards!$F$2:$F$296,MATCH(B285,Standards!$B$2:$B$296,0)),INDEX(Standards!$F$2:$F$296,MATCH(C285,Standards!$B$2:$B$296,0)))</f>
        <v>44153</v>
      </c>
      <c r="S285" t="str">
        <f t="shared" si="14"/>
        <v>#d6bf2a</v>
      </c>
    </row>
    <row r="286" spans="1:19" x14ac:dyDescent="0.5">
      <c r="A286">
        <v>14</v>
      </c>
      <c r="B286" t="s">
        <v>250</v>
      </c>
      <c r="C286" t="s">
        <v>370</v>
      </c>
      <c r="D286">
        <f>INDEX(Standards!$A$2:$A$296,MATCH(B286,Standards!$B$2:$B$296,0))</f>
        <v>4</v>
      </c>
      <c r="E286">
        <f>INDEX(Standards!$A$2:$A$296,MATCH(C286,Standards!$B$2:$B$296,0))</f>
        <v>157</v>
      </c>
      <c r="F286" t="str">
        <f>INDEX(Standards!$N$2:$N$296,MATCH(B286,Standards!$B$2:$B$296,0))</f>
        <v>#70AD47</v>
      </c>
      <c r="G286" t="str">
        <f>INDEX(Standards!$N$2:$N$296,MATCH(C286,Standards!$B$2:$B$296,0))</f>
        <v>#7030A0</v>
      </c>
      <c r="H286" t="s">
        <v>521</v>
      </c>
      <c r="I286" t="s">
        <v>524</v>
      </c>
      <c r="J286" t="str">
        <f>INDEX(Standards!$H$2:$H$296,MATCH(B286,Standards!$B$2:$B$296,0))</f>
        <v>BIM</v>
      </c>
      <c r="K286" t="str">
        <f>INDEX(Standards!$H$2:$H$296,MATCH(C286,Standards!$B$2:$B$296,0))</f>
        <v>ICT</v>
      </c>
      <c r="L286" t="b">
        <f>AND(TableRelationships[[#This Row],[Source Type]]="BIM",TableRelationships[[#This Row],[Target Type]]="BIM")</f>
        <v>0</v>
      </c>
      <c r="M286">
        <f t="shared" si="12"/>
        <v>6</v>
      </c>
      <c r="N286" t="s">
        <v>526</v>
      </c>
      <c r="O286">
        <f t="shared" si="13"/>
        <v>2</v>
      </c>
      <c r="P286" t="str">
        <f>IF(TableRelationships[[#This Row],[Rank Pedro]]="Low","linkCategory1",IF(TableRelationships[[#This Row],[Rank Pedro]]="Medium","linkCategory2",IF(TableRelationships[[#This Row],[Rank Pedro]]="High","linkCategory3","")))</f>
        <v>linkCategory1</v>
      </c>
      <c r="Q286" t="str">
        <f>IF(TableRelationships[[#This Row],[Rank Pedro]]="Low","Pink",IF(TableRelationships[[#This Row],[Rank Pedro]]="Medium","Purple",IF(TableRelationships[[#This Row],[Rank Pedro]]="High","Brown","")))</f>
        <v>Pink</v>
      </c>
      <c r="R286" s="4">
        <f>MAX(INDEX(Standards!$F$2:$F$296,MATCH(B286,Standards!$B$2:$B$296,0)),INDEX(Standards!$F$2:$F$296,MATCH(C286,Standards!$B$2:$B$296,0)))</f>
        <v>44153</v>
      </c>
      <c r="S286" t="str">
        <f t="shared" si="14"/>
        <v>#d6bf2a</v>
      </c>
    </row>
    <row r="287" spans="1:19" x14ac:dyDescent="0.5">
      <c r="A287">
        <v>15</v>
      </c>
      <c r="B287" t="s">
        <v>250</v>
      </c>
      <c r="C287" t="s">
        <v>371</v>
      </c>
      <c r="D287">
        <f>INDEX(Standards!$A$2:$A$296,MATCH(B287,Standards!$B$2:$B$296,0))</f>
        <v>4</v>
      </c>
      <c r="E287">
        <f>INDEX(Standards!$A$2:$A$296,MATCH(C287,Standards!$B$2:$B$296,0))</f>
        <v>158</v>
      </c>
      <c r="F287" t="str">
        <f>INDEX(Standards!$N$2:$N$296,MATCH(B287,Standards!$B$2:$B$296,0))</f>
        <v>#70AD47</v>
      </c>
      <c r="G287" t="str">
        <f>INDEX(Standards!$N$2:$N$296,MATCH(C287,Standards!$B$2:$B$296,0))</f>
        <v>#7030A0</v>
      </c>
      <c r="H287" t="s">
        <v>521</v>
      </c>
      <c r="I287" t="s">
        <v>524</v>
      </c>
      <c r="J287" t="str">
        <f>INDEX(Standards!$H$2:$H$296,MATCH(B287,Standards!$B$2:$B$296,0))</f>
        <v>BIM</v>
      </c>
      <c r="K287" t="str">
        <f>INDEX(Standards!$H$2:$H$296,MATCH(C287,Standards!$B$2:$B$296,0))</f>
        <v>ICT</v>
      </c>
      <c r="L287" t="b">
        <f>AND(TableRelationships[[#This Row],[Source Type]]="BIM",TableRelationships[[#This Row],[Target Type]]="BIM")</f>
        <v>0</v>
      </c>
      <c r="M287">
        <f t="shared" si="12"/>
        <v>6</v>
      </c>
      <c r="N287" t="s">
        <v>526</v>
      </c>
      <c r="O287">
        <f t="shared" si="13"/>
        <v>2</v>
      </c>
      <c r="P287" t="str">
        <f>IF(TableRelationships[[#This Row],[Rank Pedro]]="Low","linkCategory1",IF(TableRelationships[[#This Row],[Rank Pedro]]="Medium","linkCategory2",IF(TableRelationships[[#This Row],[Rank Pedro]]="High","linkCategory3","")))</f>
        <v>linkCategory1</v>
      </c>
      <c r="Q287" t="str">
        <f>IF(TableRelationships[[#This Row],[Rank Pedro]]="Low","Pink",IF(TableRelationships[[#This Row],[Rank Pedro]]="Medium","Purple",IF(TableRelationships[[#This Row],[Rank Pedro]]="High","Brown","")))</f>
        <v>Pink</v>
      </c>
      <c r="R287" s="4">
        <f>MAX(INDEX(Standards!$F$2:$F$296,MATCH(B287,Standards!$B$2:$B$296,0)),INDEX(Standards!$F$2:$F$296,MATCH(C287,Standards!$B$2:$B$296,0)))</f>
        <v>44153</v>
      </c>
      <c r="S287" t="str">
        <f t="shared" si="14"/>
        <v>#d6bf2a</v>
      </c>
    </row>
    <row r="288" spans="1:19" x14ac:dyDescent="0.5">
      <c r="A288">
        <v>16</v>
      </c>
      <c r="B288" t="s">
        <v>250</v>
      </c>
      <c r="C288" t="s">
        <v>21</v>
      </c>
      <c r="D288">
        <f>INDEX(Standards!$A$2:$A$296,MATCH(B288,Standards!$B$2:$B$296,0))</f>
        <v>4</v>
      </c>
      <c r="E288">
        <f>INDEX(Standards!$A$2:$A$296,MATCH(C288,Standards!$B$2:$B$296,0))</f>
        <v>2</v>
      </c>
      <c r="F288" t="str">
        <f>INDEX(Standards!$N$2:$N$296,MATCH(B288,Standards!$B$2:$B$296,0))</f>
        <v>#70AD47</v>
      </c>
      <c r="G288" t="str">
        <f>INDEX(Standards!$N$2:$N$296,MATCH(C288,Standards!$B$2:$B$296,0))</f>
        <v>#7030A0</v>
      </c>
      <c r="H288" t="s">
        <v>521</v>
      </c>
      <c r="I288" t="s">
        <v>524</v>
      </c>
      <c r="J288" t="str">
        <f>INDEX(Standards!$H$2:$H$296,MATCH(B288,Standards!$B$2:$B$296,0))</f>
        <v>BIM</v>
      </c>
      <c r="K288" t="str">
        <f>INDEX(Standards!$H$2:$H$296,MATCH(C288,Standards!$B$2:$B$296,0))</f>
        <v>ICT</v>
      </c>
      <c r="L288" t="b">
        <f>AND(TableRelationships[[#This Row],[Source Type]]="BIM",TableRelationships[[#This Row],[Target Type]]="BIM")</f>
        <v>0</v>
      </c>
      <c r="M288">
        <f t="shared" si="12"/>
        <v>6</v>
      </c>
      <c r="N288" t="s">
        <v>526</v>
      </c>
      <c r="O288">
        <f t="shared" si="13"/>
        <v>2</v>
      </c>
      <c r="P288" t="str">
        <f>IF(TableRelationships[[#This Row],[Rank Pedro]]="Low","linkCategory1",IF(TableRelationships[[#This Row],[Rank Pedro]]="Medium","linkCategory2",IF(TableRelationships[[#This Row],[Rank Pedro]]="High","linkCategory3","")))</f>
        <v>linkCategory1</v>
      </c>
      <c r="Q288" t="str">
        <f>IF(TableRelationships[[#This Row],[Rank Pedro]]="Low","Pink",IF(TableRelationships[[#This Row],[Rank Pedro]]="Medium","Purple",IF(TableRelationships[[#This Row],[Rank Pedro]]="High","Brown","")))</f>
        <v>Pink</v>
      </c>
      <c r="R288" s="4">
        <f>MAX(INDEX(Standards!$F$2:$F$296,MATCH(B288,Standards!$B$2:$B$296,0)),INDEX(Standards!$F$2:$F$296,MATCH(C288,Standards!$B$2:$B$296,0)))</f>
        <v>44153</v>
      </c>
      <c r="S288" t="str">
        <f t="shared" si="14"/>
        <v>#d6bf2a</v>
      </c>
    </row>
    <row r="289" spans="1:19" x14ac:dyDescent="0.5">
      <c r="A289">
        <v>419</v>
      </c>
      <c r="B289" t="s">
        <v>254</v>
      </c>
      <c r="C289" t="s">
        <v>236</v>
      </c>
      <c r="D289">
        <f>INDEX(Standards!$A$2:$A$296,MATCH(B289,Standards!$B$2:$B$296,0))</f>
        <v>187</v>
      </c>
      <c r="E289">
        <f>INDEX(Standards!$A$2:$A$296,MATCH(C289,Standards!$B$2:$B$296,0))</f>
        <v>91</v>
      </c>
      <c r="F289" t="str">
        <f>INDEX(Standards!$N$2:$N$296,MATCH(B289,Standards!$B$2:$B$296,0))</f>
        <v>#70AD47</v>
      </c>
      <c r="G289" t="str">
        <f>INDEX(Standards!$N$2:$N$296,MATCH(C289,Standards!$B$2:$B$296,0))</f>
        <v>#F2F2F2</v>
      </c>
      <c r="H289" t="s">
        <v>521</v>
      </c>
      <c r="I289" t="s">
        <v>237</v>
      </c>
      <c r="J289" t="str">
        <f>INDEX(Standards!$H$2:$H$296,MATCH(B289,Standards!$B$2:$B$296,0))</f>
        <v>BIM</v>
      </c>
      <c r="K289" t="str">
        <f>INDEX(Standards!$H$2:$H$296,MATCH(C289,Standards!$B$2:$B$296,0))</f>
        <v>Anchor</v>
      </c>
      <c r="L289" t="b">
        <f>AND(TableRelationships[[#This Row],[Source Type]]="BIM",TableRelationships[[#This Row],[Target Type]]="BIM")</f>
        <v>0</v>
      </c>
      <c r="M289">
        <f t="shared" si="12"/>
        <v>2</v>
      </c>
      <c r="O289">
        <f t="shared" si="13"/>
        <v>1</v>
      </c>
      <c r="P289" t="str">
        <f>IF(TableRelationships[[#This Row],[Rank Pedro]]="Low","linkCategory1",IF(TableRelationships[[#This Row],[Rank Pedro]]="Medium","linkCategory2",IF(TableRelationships[[#This Row],[Rank Pedro]]="High","linkCategory3","")))</f>
        <v/>
      </c>
      <c r="Q289" t="str">
        <f>IF(TableRelationships[[#This Row],[Rank Pedro]]="Low","Pink",IF(TableRelationships[[#This Row],[Rank Pedro]]="Medium","Purple",IF(TableRelationships[[#This Row],[Rank Pedro]]="High","Brown","")))</f>
        <v/>
      </c>
      <c r="R289" s="4">
        <f>MAX(INDEX(Standards!$F$2:$F$296,MATCH(B289,Standards!$B$2:$B$296,0)),INDEX(Standards!$F$2:$F$296,MATCH(C289,Standards!$B$2:$B$296,0)))</f>
        <v>45420</v>
      </c>
      <c r="S289">
        <f t="shared" si="14"/>
        <v>1</v>
      </c>
    </row>
    <row r="290" spans="1:19" x14ac:dyDescent="0.5">
      <c r="A290">
        <v>307</v>
      </c>
      <c r="B290" t="s">
        <v>293</v>
      </c>
      <c r="C290" t="s">
        <v>527</v>
      </c>
      <c r="D290">
        <f>INDEX(Standards!$A$2:$A$296,MATCH(B290,Standards!$B$2:$B$296,0))</f>
        <v>116</v>
      </c>
      <c r="E290">
        <f>INDEX(Standards!$A$2:$A$296,MATCH(C290,Standards!$B$2:$B$296,0))</f>
        <v>161</v>
      </c>
      <c r="F290" t="str">
        <f>INDEX(Standards!$N$2:$N$296,MATCH(B290,Standards!$B$2:$B$296,0))</f>
        <v>#9BC2E6</v>
      </c>
      <c r="G290" t="str">
        <f>INDEX(Standards!$N$2:$N$296,MATCH(C290,Standards!$B$2:$B$296,0))</f>
        <v>#F2F2F2</v>
      </c>
      <c r="H290" t="s">
        <v>521</v>
      </c>
      <c r="I290" t="s">
        <v>237</v>
      </c>
      <c r="J290" t="str">
        <f>INDEX(Standards!$H$2:$H$296,MATCH(B290,Standards!$B$2:$B$296,0))</f>
        <v>GIS</v>
      </c>
      <c r="K290" t="str">
        <f>INDEX(Standards!$H$2:$H$296,MATCH(C290,Standards!$B$2:$B$296,0))</f>
        <v>Anchor</v>
      </c>
      <c r="L290" t="b">
        <f>AND(TableRelationships[[#This Row],[Source Type]]="BIM",TableRelationships[[#This Row],[Target Type]]="BIM")</f>
        <v>0</v>
      </c>
      <c r="M290">
        <f t="shared" si="12"/>
        <v>2</v>
      </c>
      <c r="O290">
        <f t="shared" si="13"/>
        <v>1</v>
      </c>
      <c r="P290" t="str">
        <f>IF(TableRelationships[[#This Row],[Rank Pedro]]="Low","linkCategory1",IF(TableRelationships[[#This Row],[Rank Pedro]]="Medium","linkCategory2",IF(TableRelationships[[#This Row],[Rank Pedro]]="High","linkCategory3","")))</f>
        <v/>
      </c>
      <c r="Q290" t="str">
        <f>IF(TableRelationships[[#This Row],[Rank Pedro]]="Low","Pink",IF(TableRelationships[[#This Row],[Rank Pedro]]="Medium","Purple",IF(TableRelationships[[#This Row],[Rank Pedro]]="High","Brown","")))</f>
        <v/>
      </c>
      <c r="R290" s="4">
        <f>MAX(INDEX(Standards!$F$2:$F$296,MATCH(B290,Standards!$B$2:$B$296,0)),INDEX(Standards!$F$2:$F$296,MATCH(C290,Standards!$B$2:$B$296,0)))</f>
        <v>37438</v>
      </c>
      <c r="S290">
        <f t="shared" si="14"/>
        <v>1</v>
      </c>
    </row>
    <row r="291" spans="1:19" x14ac:dyDescent="0.5">
      <c r="A291">
        <v>308</v>
      </c>
      <c r="B291" t="s">
        <v>296</v>
      </c>
      <c r="C291" t="s">
        <v>527</v>
      </c>
      <c r="D291">
        <f>INDEX(Standards!$A$2:$A$296,MATCH(B291,Standards!$B$2:$B$296,0))</f>
        <v>117</v>
      </c>
      <c r="E291">
        <f>INDEX(Standards!$A$2:$A$296,MATCH(C291,Standards!$B$2:$B$296,0))</f>
        <v>161</v>
      </c>
      <c r="F291" t="str">
        <f>INDEX(Standards!$N$2:$N$296,MATCH(B291,Standards!$B$2:$B$296,0))</f>
        <v>#9BC2E6</v>
      </c>
      <c r="G291" t="str">
        <f>INDEX(Standards!$N$2:$N$296,MATCH(C291,Standards!$B$2:$B$296,0))</f>
        <v>#F2F2F2</v>
      </c>
      <c r="H291" t="s">
        <v>521</v>
      </c>
      <c r="I291" t="s">
        <v>237</v>
      </c>
      <c r="J291" t="str">
        <f>INDEX(Standards!$H$2:$H$296,MATCH(B291,Standards!$B$2:$B$296,0))</f>
        <v>GIS</v>
      </c>
      <c r="K291" t="str">
        <f>INDEX(Standards!$H$2:$H$296,MATCH(C291,Standards!$B$2:$B$296,0))</f>
        <v>Anchor</v>
      </c>
      <c r="L291" t="b">
        <f>AND(TableRelationships[[#This Row],[Source Type]]="BIM",TableRelationships[[#This Row],[Target Type]]="BIM")</f>
        <v>0</v>
      </c>
      <c r="M291">
        <f t="shared" si="12"/>
        <v>2</v>
      </c>
      <c r="O291">
        <f t="shared" si="13"/>
        <v>1</v>
      </c>
      <c r="P291" t="str">
        <f>IF(TableRelationships[[#This Row],[Rank Pedro]]="Low","linkCategory1",IF(TableRelationships[[#This Row],[Rank Pedro]]="Medium","linkCategory2",IF(TableRelationships[[#This Row],[Rank Pedro]]="High","linkCategory3","")))</f>
        <v/>
      </c>
      <c r="Q291" t="str">
        <f>IF(TableRelationships[[#This Row],[Rank Pedro]]="Low","Pink",IF(TableRelationships[[#This Row],[Rank Pedro]]="Medium","Purple",IF(TableRelationships[[#This Row],[Rank Pedro]]="High","Brown","")))</f>
        <v/>
      </c>
      <c r="R291" s="4">
        <f>MAX(INDEX(Standards!$F$2:$F$296,MATCH(B291,Standards!$B$2:$B$296,0)),INDEX(Standards!$F$2:$F$296,MATCH(C291,Standards!$B$2:$B$296,0)))</f>
        <v>38534</v>
      </c>
      <c r="S291">
        <f t="shared" si="14"/>
        <v>1</v>
      </c>
    </row>
    <row r="292" spans="1:19" x14ac:dyDescent="0.5">
      <c r="A292">
        <v>309</v>
      </c>
      <c r="B292" t="s">
        <v>298</v>
      </c>
      <c r="C292" t="s">
        <v>527</v>
      </c>
      <c r="D292">
        <f>INDEX(Standards!$A$2:$A$296,MATCH(B292,Standards!$B$2:$B$296,0))</f>
        <v>118</v>
      </c>
      <c r="E292">
        <f>INDEX(Standards!$A$2:$A$296,MATCH(C292,Standards!$B$2:$B$296,0))</f>
        <v>161</v>
      </c>
      <c r="F292" t="str">
        <f>INDEX(Standards!$N$2:$N$296,MATCH(B292,Standards!$B$2:$B$296,0))</f>
        <v>#9BC2E6</v>
      </c>
      <c r="G292" t="str">
        <f>INDEX(Standards!$N$2:$N$296,MATCH(C292,Standards!$B$2:$B$296,0))</f>
        <v>#F2F2F2</v>
      </c>
      <c r="H292" t="s">
        <v>521</v>
      </c>
      <c r="I292" t="s">
        <v>237</v>
      </c>
      <c r="J292" t="str">
        <f>INDEX(Standards!$H$2:$H$296,MATCH(B292,Standards!$B$2:$B$296,0))</f>
        <v>GIS</v>
      </c>
      <c r="K292" t="str">
        <f>INDEX(Standards!$H$2:$H$296,MATCH(C292,Standards!$B$2:$B$296,0))</f>
        <v>Anchor</v>
      </c>
      <c r="L292" t="b">
        <f>AND(TableRelationships[[#This Row],[Source Type]]="BIM",TableRelationships[[#This Row],[Target Type]]="BIM")</f>
        <v>0</v>
      </c>
      <c r="M292">
        <f t="shared" si="12"/>
        <v>2</v>
      </c>
      <c r="O292">
        <f t="shared" si="13"/>
        <v>1</v>
      </c>
      <c r="P292" t="str">
        <f>IF(TableRelationships[[#This Row],[Rank Pedro]]="Low","linkCategory1",IF(TableRelationships[[#This Row],[Rank Pedro]]="Medium","linkCategory2",IF(TableRelationships[[#This Row],[Rank Pedro]]="High","linkCategory3","")))</f>
        <v/>
      </c>
      <c r="Q292" t="str">
        <f>IF(TableRelationships[[#This Row],[Rank Pedro]]="Low","Pink",IF(TableRelationships[[#This Row],[Rank Pedro]]="Medium","Purple",IF(TableRelationships[[#This Row],[Rank Pedro]]="High","Brown","")))</f>
        <v/>
      </c>
      <c r="R292" s="4">
        <f>MAX(INDEX(Standards!$F$2:$F$296,MATCH(B292,Standards!$B$2:$B$296,0)),INDEX(Standards!$F$2:$F$296,MATCH(C292,Standards!$B$2:$B$296,0)))</f>
        <v>39753</v>
      </c>
      <c r="S292">
        <f t="shared" si="14"/>
        <v>1</v>
      </c>
    </row>
    <row r="293" spans="1:19" x14ac:dyDescent="0.5">
      <c r="A293">
        <v>310</v>
      </c>
      <c r="B293" t="s">
        <v>300</v>
      </c>
      <c r="C293" t="s">
        <v>527</v>
      </c>
      <c r="D293">
        <f>INDEX(Standards!$A$2:$A$296,MATCH(B293,Standards!$B$2:$B$296,0))</f>
        <v>119</v>
      </c>
      <c r="E293">
        <f>INDEX(Standards!$A$2:$A$296,MATCH(C293,Standards!$B$2:$B$296,0))</f>
        <v>161</v>
      </c>
      <c r="F293" t="str">
        <f>INDEX(Standards!$N$2:$N$296,MATCH(B293,Standards!$B$2:$B$296,0))</f>
        <v>#9BC2E6</v>
      </c>
      <c r="G293" t="str">
        <f>INDEX(Standards!$N$2:$N$296,MATCH(C293,Standards!$B$2:$B$296,0))</f>
        <v>#F2F2F2</v>
      </c>
      <c r="H293" t="s">
        <v>521</v>
      </c>
      <c r="I293" t="s">
        <v>237</v>
      </c>
      <c r="J293" t="str">
        <f>INDEX(Standards!$H$2:$H$296,MATCH(B293,Standards!$B$2:$B$296,0))</f>
        <v>GIS</v>
      </c>
      <c r="K293" t="str">
        <f>INDEX(Standards!$H$2:$H$296,MATCH(C293,Standards!$B$2:$B$296,0))</f>
        <v>Anchor</v>
      </c>
      <c r="L293" t="b">
        <f>AND(TableRelationships[[#This Row],[Source Type]]="BIM",TableRelationships[[#This Row],[Target Type]]="BIM")</f>
        <v>0</v>
      </c>
      <c r="M293">
        <f t="shared" si="12"/>
        <v>2</v>
      </c>
      <c r="O293">
        <f t="shared" si="13"/>
        <v>1</v>
      </c>
      <c r="P293" t="str">
        <f>IF(TableRelationships[[#This Row],[Rank Pedro]]="Low","linkCategory1",IF(TableRelationships[[#This Row],[Rank Pedro]]="Medium","linkCategory2",IF(TableRelationships[[#This Row],[Rank Pedro]]="High","linkCategory3","")))</f>
        <v/>
      </c>
      <c r="Q293" t="str">
        <f>IF(TableRelationships[[#This Row],[Rank Pedro]]="Low","Pink",IF(TableRelationships[[#This Row],[Rank Pedro]]="Medium","Purple",IF(TableRelationships[[#This Row],[Rank Pedro]]="High","Brown","")))</f>
        <v/>
      </c>
      <c r="R293" s="4">
        <f>MAX(INDEX(Standards!$F$2:$F$296,MATCH(B293,Standards!$B$2:$B$296,0)),INDEX(Standards!$F$2:$F$296,MATCH(C293,Standards!$B$2:$B$296,0)))</f>
        <v>36861</v>
      </c>
      <c r="S293">
        <f t="shared" si="14"/>
        <v>1</v>
      </c>
    </row>
    <row r="294" spans="1:19" x14ac:dyDescent="0.5">
      <c r="A294">
        <v>311</v>
      </c>
      <c r="B294" t="s">
        <v>302</v>
      </c>
      <c r="C294" t="s">
        <v>527</v>
      </c>
      <c r="D294">
        <f>INDEX(Standards!$A$2:$A$296,MATCH(B294,Standards!$B$2:$B$296,0))</f>
        <v>120</v>
      </c>
      <c r="E294">
        <f>INDEX(Standards!$A$2:$A$296,MATCH(C294,Standards!$B$2:$B$296,0))</f>
        <v>161</v>
      </c>
      <c r="F294" t="str">
        <f>INDEX(Standards!$N$2:$N$296,MATCH(B294,Standards!$B$2:$B$296,0))</f>
        <v>#9BC2E6</v>
      </c>
      <c r="G294" t="str">
        <f>INDEX(Standards!$N$2:$N$296,MATCH(C294,Standards!$B$2:$B$296,0))</f>
        <v>#F2F2F2</v>
      </c>
      <c r="H294" t="s">
        <v>521</v>
      </c>
      <c r="I294" t="s">
        <v>237</v>
      </c>
      <c r="J294" t="str">
        <f>INDEX(Standards!$H$2:$H$296,MATCH(B294,Standards!$B$2:$B$296,0))</f>
        <v>GIS</v>
      </c>
      <c r="K294" t="str">
        <f>INDEX(Standards!$H$2:$H$296,MATCH(C294,Standards!$B$2:$B$296,0))</f>
        <v>Anchor</v>
      </c>
      <c r="L294" t="b">
        <f>AND(TableRelationships[[#This Row],[Source Type]]="BIM",TableRelationships[[#This Row],[Target Type]]="BIM")</f>
        <v>0</v>
      </c>
      <c r="M294">
        <f t="shared" si="12"/>
        <v>2</v>
      </c>
      <c r="O294">
        <f t="shared" si="13"/>
        <v>1</v>
      </c>
      <c r="P294" t="str">
        <f>IF(TableRelationships[[#This Row],[Rank Pedro]]="Low","linkCategory1",IF(TableRelationships[[#This Row],[Rank Pedro]]="Medium","linkCategory2",IF(TableRelationships[[#This Row],[Rank Pedro]]="High","linkCategory3","")))</f>
        <v/>
      </c>
      <c r="Q294" t="str">
        <f>IF(TableRelationships[[#This Row],[Rank Pedro]]="Low","Pink",IF(TableRelationships[[#This Row],[Rank Pedro]]="Medium","Purple",IF(TableRelationships[[#This Row],[Rank Pedro]]="High","Brown","")))</f>
        <v/>
      </c>
      <c r="R294" s="4">
        <f>MAX(INDEX(Standards!$F$2:$F$296,MATCH(B294,Standards!$B$2:$B$296,0)),INDEX(Standards!$F$2:$F$296,MATCH(C294,Standards!$B$2:$B$296,0)))</f>
        <v>37742</v>
      </c>
      <c r="S294">
        <f t="shared" si="14"/>
        <v>1</v>
      </c>
    </row>
    <row r="295" spans="1:19" x14ac:dyDescent="0.5">
      <c r="A295">
        <v>312</v>
      </c>
      <c r="B295" t="s">
        <v>304</v>
      </c>
      <c r="C295" t="s">
        <v>527</v>
      </c>
      <c r="D295">
        <f>INDEX(Standards!$A$2:$A$296,MATCH(B295,Standards!$B$2:$B$296,0))</f>
        <v>121</v>
      </c>
      <c r="E295">
        <f>INDEX(Standards!$A$2:$A$296,MATCH(C295,Standards!$B$2:$B$296,0))</f>
        <v>161</v>
      </c>
      <c r="F295" t="str">
        <f>INDEX(Standards!$N$2:$N$296,MATCH(B295,Standards!$B$2:$B$296,0))</f>
        <v>#9BC2E6</v>
      </c>
      <c r="G295" t="str">
        <f>INDEX(Standards!$N$2:$N$296,MATCH(C295,Standards!$B$2:$B$296,0))</f>
        <v>#F2F2F2</v>
      </c>
      <c r="H295" t="s">
        <v>521</v>
      </c>
      <c r="I295" t="s">
        <v>237</v>
      </c>
      <c r="J295" t="str">
        <f>INDEX(Standards!$H$2:$H$296,MATCH(B295,Standards!$B$2:$B$296,0))</f>
        <v>GIS</v>
      </c>
      <c r="K295" t="str">
        <f>INDEX(Standards!$H$2:$H$296,MATCH(C295,Standards!$B$2:$B$296,0))</f>
        <v>Anchor</v>
      </c>
      <c r="L295" t="b">
        <f>AND(TableRelationships[[#This Row],[Source Type]]="BIM",TableRelationships[[#This Row],[Target Type]]="BIM")</f>
        <v>0</v>
      </c>
      <c r="M295">
        <f t="shared" si="12"/>
        <v>2</v>
      </c>
      <c r="O295">
        <f t="shared" si="13"/>
        <v>1</v>
      </c>
      <c r="P295" t="str">
        <f>IF(TableRelationships[[#This Row],[Rank Pedro]]="Low","linkCategory1",IF(TableRelationships[[#This Row],[Rank Pedro]]="Medium","linkCategory2",IF(TableRelationships[[#This Row],[Rank Pedro]]="High","linkCategory3","")))</f>
        <v/>
      </c>
      <c r="Q295" t="str">
        <f>IF(TableRelationships[[#This Row],[Rank Pedro]]="Low","Pink",IF(TableRelationships[[#This Row],[Rank Pedro]]="Medium","Purple",IF(TableRelationships[[#This Row],[Rank Pedro]]="High","Brown","")))</f>
        <v/>
      </c>
      <c r="R295" s="4">
        <f>MAX(INDEX(Standards!$F$2:$F$296,MATCH(B295,Standards!$B$2:$B$296,0)),INDEX(Standards!$F$2:$F$296,MATCH(C295,Standards!$B$2:$B$296,0)))</f>
        <v>37500</v>
      </c>
      <c r="S295">
        <f t="shared" si="14"/>
        <v>1</v>
      </c>
    </row>
    <row r="296" spans="1:19" x14ac:dyDescent="0.5">
      <c r="A296">
        <v>313</v>
      </c>
      <c r="B296" t="s">
        <v>306</v>
      </c>
      <c r="C296" t="s">
        <v>527</v>
      </c>
      <c r="D296">
        <f>INDEX(Standards!$A$2:$A$296,MATCH(B296,Standards!$B$2:$B$296,0))</f>
        <v>122</v>
      </c>
      <c r="E296">
        <f>INDEX(Standards!$A$2:$A$296,MATCH(C296,Standards!$B$2:$B$296,0))</f>
        <v>161</v>
      </c>
      <c r="F296" t="str">
        <f>INDEX(Standards!$N$2:$N$296,MATCH(B296,Standards!$B$2:$B$296,0))</f>
        <v>#9BC2E6</v>
      </c>
      <c r="G296" t="str">
        <f>INDEX(Standards!$N$2:$N$296,MATCH(C296,Standards!$B$2:$B$296,0))</f>
        <v>#F2F2F2</v>
      </c>
      <c r="H296" t="s">
        <v>521</v>
      </c>
      <c r="I296" t="s">
        <v>237</v>
      </c>
      <c r="J296" t="str">
        <f>INDEX(Standards!$H$2:$H$296,MATCH(B296,Standards!$B$2:$B$296,0))</f>
        <v>GIS</v>
      </c>
      <c r="K296" t="str">
        <f>INDEX(Standards!$H$2:$H$296,MATCH(C296,Standards!$B$2:$B$296,0))</f>
        <v>Anchor</v>
      </c>
      <c r="L296" t="b">
        <f>AND(TableRelationships[[#This Row],[Source Type]]="BIM",TableRelationships[[#This Row],[Target Type]]="BIM")</f>
        <v>0</v>
      </c>
      <c r="M296">
        <f t="shared" si="12"/>
        <v>2</v>
      </c>
      <c r="O296">
        <f t="shared" si="13"/>
        <v>1</v>
      </c>
      <c r="P296" t="str">
        <f>IF(TableRelationships[[#This Row],[Rank Pedro]]="Low","linkCategory1",IF(TableRelationships[[#This Row],[Rank Pedro]]="Medium","linkCategory2",IF(TableRelationships[[#This Row],[Rank Pedro]]="High","linkCategory3","")))</f>
        <v/>
      </c>
      <c r="Q296" t="str">
        <f>IF(TableRelationships[[#This Row],[Rank Pedro]]="Low","Pink",IF(TableRelationships[[#This Row],[Rank Pedro]]="Medium","Purple",IF(TableRelationships[[#This Row],[Rank Pedro]]="High","Brown","")))</f>
        <v/>
      </c>
      <c r="R296" s="4">
        <f>MAX(INDEX(Standards!$F$2:$F$296,MATCH(B296,Standards!$B$2:$B$296,0)),INDEX(Standards!$F$2:$F$296,MATCH(C296,Standards!$B$2:$B$296,0)))</f>
        <v>38504</v>
      </c>
      <c r="S296">
        <f t="shared" si="14"/>
        <v>1</v>
      </c>
    </row>
    <row r="297" spans="1:19" x14ac:dyDescent="0.5">
      <c r="A297">
        <v>314</v>
      </c>
      <c r="B297" t="s">
        <v>308</v>
      </c>
      <c r="C297" t="s">
        <v>527</v>
      </c>
      <c r="D297">
        <f>INDEX(Standards!$A$2:$A$296,MATCH(B297,Standards!$B$2:$B$296,0))</f>
        <v>123</v>
      </c>
      <c r="E297">
        <f>INDEX(Standards!$A$2:$A$296,MATCH(C297,Standards!$B$2:$B$296,0))</f>
        <v>161</v>
      </c>
      <c r="F297" t="str">
        <f>INDEX(Standards!$N$2:$N$296,MATCH(B297,Standards!$B$2:$B$296,0))</f>
        <v>#9BC2E6</v>
      </c>
      <c r="G297" t="str">
        <f>INDEX(Standards!$N$2:$N$296,MATCH(C297,Standards!$B$2:$B$296,0))</f>
        <v>#F2F2F2</v>
      </c>
      <c r="H297" t="s">
        <v>521</v>
      </c>
      <c r="I297" t="s">
        <v>237</v>
      </c>
      <c r="J297" t="str">
        <f>INDEX(Standards!$H$2:$H$296,MATCH(B297,Standards!$B$2:$B$296,0))</f>
        <v>GIS</v>
      </c>
      <c r="K297" t="str">
        <f>INDEX(Standards!$H$2:$H$296,MATCH(C297,Standards!$B$2:$B$296,0))</f>
        <v>Anchor</v>
      </c>
      <c r="L297" t="b">
        <f>AND(TableRelationships[[#This Row],[Source Type]]="BIM",TableRelationships[[#This Row],[Target Type]]="BIM")</f>
        <v>0</v>
      </c>
      <c r="M297">
        <f t="shared" si="12"/>
        <v>2</v>
      </c>
      <c r="O297">
        <f t="shared" si="13"/>
        <v>1</v>
      </c>
      <c r="P297" t="str">
        <f>IF(TableRelationships[[#This Row],[Rank Pedro]]="Low","linkCategory1",IF(TableRelationships[[#This Row],[Rank Pedro]]="Medium","linkCategory2",IF(TableRelationships[[#This Row],[Rank Pedro]]="High","linkCategory3","")))</f>
        <v/>
      </c>
      <c r="Q297" t="str">
        <f>IF(TableRelationships[[#This Row],[Rank Pedro]]="Low","Pink",IF(TableRelationships[[#This Row],[Rank Pedro]]="Medium","Purple",IF(TableRelationships[[#This Row],[Rank Pedro]]="High","Brown","")))</f>
        <v/>
      </c>
      <c r="R297" s="4">
        <f>MAX(INDEX(Standards!$F$2:$F$296,MATCH(B297,Standards!$B$2:$B$296,0)),INDEX(Standards!$F$2:$F$296,MATCH(C297,Standards!$B$2:$B$296,0)))</f>
        <v>38384</v>
      </c>
      <c r="S297">
        <f t="shared" si="14"/>
        <v>1</v>
      </c>
    </row>
    <row r="298" spans="1:19" x14ac:dyDescent="0.5">
      <c r="A298">
        <v>315</v>
      </c>
      <c r="B298" t="s">
        <v>310</v>
      </c>
      <c r="C298" t="s">
        <v>527</v>
      </c>
      <c r="D298">
        <f>INDEX(Standards!$A$2:$A$296,MATCH(B298,Standards!$B$2:$B$296,0))</f>
        <v>124</v>
      </c>
      <c r="E298">
        <f>INDEX(Standards!$A$2:$A$296,MATCH(C298,Standards!$B$2:$B$296,0))</f>
        <v>161</v>
      </c>
      <c r="F298" t="str">
        <f>INDEX(Standards!$N$2:$N$296,MATCH(B298,Standards!$B$2:$B$296,0))</f>
        <v>#9BC2E6</v>
      </c>
      <c r="G298" t="str">
        <f>INDEX(Standards!$N$2:$N$296,MATCH(C298,Standards!$B$2:$B$296,0))</f>
        <v>#F2F2F2</v>
      </c>
      <c r="H298" t="s">
        <v>521</v>
      </c>
      <c r="I298" t="s">
        <v>237</v>
      </c>
      <c r="J298" t="str">
        <f>INDEX(Standards!$H$2:$H$296,MATCH(B298,Standards!$B$2:$B$296,0))</f>
        <v>GIS</v>
      </c>
      <c r="K298" t="str">
        <f>INDEX(Standards!$H$2:$H$296,MATCH(C298,Standards!$B$2:$B$296,0))</f>
        <v>Anchor</v>
      </c>
      <c r="L298" t="b">
        <f>AND(TableRelationships[[#This Row],[Source Type]]="BIM",TableRelationships[[#This Row],[Target Type]]="BIM")</f>
        <v>0</v>
      </c>
      <c r="M298">
        <f t="shared" si="12"/>
        <v>2</v>
      </c>
      <c r="O298">
        <f t="shared" si="13"/>
        <v>1</v>
      </c>
      <c r="P298" t="str">
        <f>IF(TableRelationships[[#This Row],[Rank Pedro]]="Low","linkCategory1",IF(TableRelationships[[#This Row],[Rank Pedro]]="Medium","linkCategory2",IF(TableRelationships[[#This Row],[Rank Pedro]]="High","linkCategory3","")))</f>
        <v/>
      </c>
      <c r="Q298" t="str">
        <f>IF(TableRelationships[[#This Row],[Rank Pedro]]="Low","Pink",IF(TableRelationships[[#This Row],[Rank Pedro]]="Medium","Purple",IF(TableRelationships[[#This Row],[Rank Pedro]]="High","Brown","")))</f>
        <v/>
      </c>
      <c r="R298" s="4">
        <f>MAX(INDEX(Standards!$F$2:$F$296,MATCH(B298,Standards!$B$2:$B$296,0)),INDEX(Standards!$F$2:$F$296,MATCH(C298,Standards!$B$2:$B$296,0)))</f>
        <v>37653</v>
      </c>
      <c r="S298">
        <f t="shared" si="14"/>
        <v>1</v>
      </c>
    </row>
    <row r="299" spans="1:19" x14ac:dyDescent="0.5">
      <c r="A299">
        <v>316</v>
      </c>
      <c r="B299" t="s">
        <v>312</v>
      </c>
      <c r="C299" t="s">
        <v>527</v>
      </c>
      <c r="D299">
        <f>INDEX(Standards!$A$2:$A$296,MATCH(B299,Standards!$B$2:$B$296,0))</f>
        <v>125</v>
      </c>
      <c r="E299">
        <f>INDEX(Standards!$A$2:$A$296,MATCH(C299,Standards!$B$2:$B$296,0))</f>
        <v>161</v>
      </c>
      <c r="F299" t="str">
        <f>INDEX(Standards!$N$2:$N$296,MATCH(B299,Standards!$B$2:$B$296,0))</f>
        <v>#9BC2E6</v>
      </c>
      <c r="G299" t="str">
        <f>INDEX(Standards!$N$2:$N$296,MATCH(C299,Standards!$B$2:$B$296,0))</f>
        <v>#F2F2F2</v>
      </c>
      <c r="H299" t="s">
        <v>521</v>
      </c>
      <c r="I299" t="s">
        <v>237</v>
      </c>
      <c r="J299" t="str">
        <f>INDEX(Standards!$H$2:$H$296,MATCH(B299,Standards!$B$2:$B$296,0))</f>
        <v>GIS</v>
      </c>
      <c r="K299" t="str">
        <f>INDEX(Standards!$H$2:$H$296,MATCH(C299,Standards!$B$2:$B$296,0))</f>
        <v>Anchor</v>
      </c>
      <c r="L299" t="b">
        <f>AND(TableRelationships[[#This Row],[Source Type]]="BIM",TableRelationships[[#This Row],[Target Type]]="BIM")</f>
        <v>0</v>
      </c>
      <c r="M299">
        <f t="shared" si="12"/>
        <v>2</v>
      </c>
      <c r="O299">
        <f t="shared" si="13"/>
        <v>1</v>
      </c>
      <c r="P299" t="str">
        <f>IF(TableRelationships[[#This Row],[Rank Pedro]]="Low","linkCategory1",IF(TableRelationships[[#This Row],[Rank Pedro]]="Medium","linkCategory2",IF(TableRelationships[[#This Row],[Rank Pedro]]="High","linkCategory3","")))</f>
        <v/>
      </c>
      <c r="Q299" t="str">
        <f>IF(TableRelationships[[#This Row],[Rank Pedro]]="Low","Pink",IF(TableRelationships[[#This Row],[Rank Pedro]]="Medium","Purple",IF(TableRelationships[[#This Row],[Rank Pedro]]="High","Brown","")))</f>
        <v/>
      </c>
      <c r="R299" s="4">
        <f>MAX(INDEX(Standards!$F$2:$F$296,MATCH(B299,Standards!$B$2:$B$296,0)),INDEX(Standards!$F$2:$F$296,MATCH(C299,Standards!$B$2:$B$296,0)))</f>
        <v>37895</v>
      </c>
      <c r="S299">
        <f t="shared" si="14"/>
        <v>1</v>
      </c>
    </row>
    <row r="300" spans="1:19" x14ac:dyDescent="0.5">
      <c r="A300">
        <v>416</v>
      </c>
      <c r="B300" t="s">
        <v>254</v>
      </c>
      <c r="C300" t="s">
        <v>478</v>
      </c>
      <c r="D300">
        <f>INDEX(Standards!$A$2:$A$296,MATCH(B300,Standards!$B$2:$B$296,0))</f>
        <v>187</v>
      </c>
      <c r="E300">
        <f>INDEX(Standards!$A$2:$A$296,MATCH(C300,Standards!$B$2:$B$296,0))</f>
        <v>211</v>
      </c>
      <c r="F300" t="str">
        <f>INDEX(Standards!$N$2:$N$296,MATCH(B300,Standards!$B$2:$B$296,0))</f>
        <v>#70AD47</v>
      </c>
      <c r="G300" t="str">
        <f>INDEX(Standards!$N$2:$N$296,MATCH(C300,Standards!$B$2:$B$296,0))</f>
        <v>#B1D751</v>
      </c>
      <c r="H300" t="s">
        <v>521</v>
      </c>
      <c r="I300" t="s">
        <v>525</v>
      </c>
      <c r="J300" t="str">
        <f>INDEX(Standards!$H$2:$H$296,MATCH(B300,Standards!$B$2:$B$296,0))</f>
        <v>BIM</v>
      </c>
      <c r="K300" t="str">
        <f>INDEX(Standards!$H$2:$H$296,MATCH(C300,Standards!$B$2:$B$296,0))</f>
        <v>Sustainability</v>
      </c>
      <c r="L300" t="b">
        <f>AND(TableRelationships[[#This Row],[Source Type]]="BIM",TableRelationships[[#This Row],[Target Type]]="BIM")</f>
        <v>0</v>
      </c>
      <c r="M300">
        <f t="shared" si="12"/>
        <v>1</v>
      </c>
      <c r="N300" s="81" t="s">
        <v>528</v>
      </c>
      <c r="O300">
        <f t="shared" si="13"/>
        <v>6</v>
      </c>
      <c r="P300" t="str">
        <f>IF(TableRelationships[[#This Row],[Rank Pedro]]="Low","linkCategory1",IF(TableRelationships[[#This Row],[Rank Pedro]]="Medium","linkCategory2",IF(TableRelationships[[#This Row],[Rank Pedro]]="High","linkCategory3","")))</f>
        <v>linkCategory2</v>
      </c>
      <c r="Q300" t="str">
        <f>IF(TableRelationships[[#This Row],[Rank Pedro]]="Low","Pink",IF(TableRelationships[[#This Row],[Rank Pedro]]="Medium","Purple",IF(TableRelationships[[#This Row],[Rank Pedro]]="High","Brown","")))</f>
        <v>Purple</v>
      </c>
      <c r="R300" s="4">
        <f>MAX(INDEX(Standards!$F$2:$F$296,MATCH(B300,Standards!$B$2:$B$296,0)),INDEX(Standards!$F$2:$F$296,MATCH(C300,Standards!$B$2:$B$296,0)))</f>
        <v>45420</v>
      </c>
      <c r="S300" t="str">
        <f t="shared" si="14"/>
        <v>#2f89d1</v>
      </c>
    </row>
    <row r="301" spans="1:19" x14ac:dyDescent="0.5">
      <c r="A301">
        <v>417</v>
      </c>
      <c r="B301" t="s">
        <v>254</v>
      </c>
      <c r="C301" t="s">
        <v>480</v>
      </c>
      <c r="D301">
        <f>INDEX(Standards!$A$2:$A$296,MATCH(B301,Standards!$B$2:$B$296,0))</f>
        <v>187</v>
      </c>
      <c r="E301">
        <f>INDEX(Standards!$A$2:$A$296,MATCH(C301,Standards!$B$2:$B$296,0))</f>
        <v>212</v>
      </c>
      <c r="F301" t="str">
        <f>INDEX(Standards!$N$2:$N$296,MATCH(B301,Standards!$B$2:$B$296,0))</f>
        <v>#70AD47</v>
      </c>
      <c r="G301" t="str">
        <f>INDEX(Standards!$N$2:$N$296,MATCH(C301,Standards!$B$2:$B$296,0))</f>
        <v>#B1D751</v>
      </c>
      <c r="H301" t="s">
        <v>521</v>
      </c>
      <c r="I301" t="s">
        <v>525</v>
      </c>
      <c r="J301" t="str">
        <f>INDEX(Standards!$H$2:$H$296,MATCH(B301,Standards!$B$2:$B$296,0))</f>
        <v>BIM</v>
      </c>
      <c r="K301" t="str">
        <f>INDEX(Standards!$H$2:$H$296,MATCH(C301,Standards!$B$2:$B$296,0))</f>
        <v>Sustainability</v>
      </c>
      <c r="L301" t="b">
        <f>AND(TableRelationships[[#This Row],[Source Type]]="BIM",TableRelationships[[#This Row],[Target Type]]="BIM")</f>
        <v>0</v>
      </c>
      <c r="M301">
        <f t="shared" si="12"/>
        <v>1</v>
      </c>
      <c r="N301" s="81" t="s">
        <v>528</v>
      </c>
      <c r="O301">
        <f t="shared" si="13"/>
        <v>6</v>
      </c>
      <c r="P301" t="str">
        <f>IF(TableRelationships[[#This Row],[Rank Pedro]]="Low","linkCategory1",IF(TableRelationships[[#This Row],[Rank Pedro]]="Medium","linkCategory2",IF(TableRelationships[[#This Row],[Rank Pedro]]="High","linkCategory3","")))</f>
        <v>linkCategory2</v>
      </c>
      <c r="Q301" t="str">
        <f>IF(TableRelationships[[#This Row],[Rank Pedro]]="Low","Pink",IF(TableRelationships[[#This Row],[Rank Pedro]]="Medium","Purple",IF(TableRelationships[[#This Row],[Rank Pedro]]="High","Brown","")))</f>
        <v>Purple</v>
      </c>
      <c r="R301" s="4">
        <f>MAX(INDEX(Standards!$F$2:$F$296,MATCH(B301,Standards!$B$2:$B$296,0)),INDEX(Standards!$F$2:$F$296,MATCH(C301,Standards!$B$2:$B$296,0)))</f>
        <v>45420</v>
      </c>
      <c r="S301" t="str">
        <f t="shared" si="14"/>
        <v>#2f89d1</v>
      </c>
    </row>
    <row r="302" spans="1:19" x14ac:dyDescent="0.5">
      <c r="A302">
        <v>418</v>
      </c>
      <c r="B302" t="s">
        <v>254</v>
      </c>
      <c r="C302" t="s">
        <v>484</v>
      </c>
      <c r="D302">
        <f>INDEX(Standards!$A$2:$A$296,MATCH(B302,Standards!$B$2:$B$296,0))</f>
        <v>187</v>
      </c>
      <c r="E302">
        <f>INDEX(Standards!$A$2:$A$296,MATCH(C302,Standards!$B$2:$B$296,0))</f>
        <v>196</v>
      </c>
      <c r="F302" t="str">
        <f>INDEX(Standards!$N$2:$N$296,MATCH(B302,Standards!$B$2:$B$296,0))</f>
        <v>#70AD47</v>
      </c>
      <c r="G302" t="str">
        <f>INDEX(Standards!$N$2:$N$296,MATCH(C302,Standards!$B$2:$B$296,0))</f>
        <v>#70AD47</v>
      </c>
      <c r="H302" t="s">
        <v>521</v>
      </c>
      <c r="I302" t="s">
        <v>525</v>
      </c>
      <c r="J302" t="str">
        <f>INDEX(Standards!$H$2:$H$296,MATCH(B302,Standards!$B$2:$B$296,0))</f>
        <v>BIM</v>
      </c>
      <c r="K302" t="str">
        <f>INDEX(Standards!$H$2:$H$296,MATCH(C302,Standards!$B$2:$B$296,0))</f>
        <v>BIM</v>
      </c>
      <c r="L302" t="b">
        <f>AND(TableRelationships[[#This Row],[Source Type]]="BIM",TableRelationships[[#This Row],[Target Type]]="BIM")</f>
        <v>1</v>
      </c>
      <c r="M302">
        <f t="shared" si="12"/>
        <v>1</v>
      </c>
      <c r="N302" s="81" t="s">
        <v>528</v>
      </c>
      <c r="O302">
        <f t="shared" si="13"/>
        <v>6</v>
      </c>
      <c r="P302" t="str">
        <f>IF(TableRelationships[[#This Row],[Rank Pedro]]="Low","linkCategory1",IF(TableRelationships[[#This Row],[Rank Pedro]]="Medium","linkCategory2",IF(TableRelationships[[#This Row],[Rank Pedro]]="High","linkCategory3","")))</f>
        <v>linkCategory2</v>
      </c>
      <c r="Q302" t="str">
        <f>IF(TableRelationships[[#This Row],[Rank Pedro]]="Low","Pink",IF(TableRelationships[[#This Row],[Rank Pedro]]="Medium","Purple",IF(TableRelationships[[#This Row],[Rank Pedro]]="High","Brown","")))</f>
        <v>Purple</v>
      </c>
      <c r="R302" s="4">
        <f>MAX(INDEX(Standards!$F$2:$F$296,MATCH(B302,Standards!$B$2:$B$296,0)),INDEX(Standards!$F$2:$F$296,MATCH(C302,Standards!$B$2:$B$296,0)))</f>
        <v>45444</v>
      </c>
      <c r="S302" t="str">
        <f t="shared" si="14"/>
        <v>#2f89d1</v>
      </c>
    </row>
    <row r="303" spans="1:19" x14ac:dyDescent="0.5">
      <c r="A303">
        <v>414</v>
      </c>
      <c r="B303" t="s">
        <v>254</v>
      </c>
      <c r="C303" t="s">
        <v>476</v>
      </c>
      <c r="D303">
        <f>INDEX(Standards!$A$2:$A$296,MATCH(B303,Standards!$B$2:$B$296,0))</f>
        <v>187</v>
      </c>
      <c r="E303">
        <f>INDEX(Standards!$A$2:$A$296,MATCH(C303,Standards!$B$2:$B$296,0))</f>
        <v>209</v>
      </c>
      <c r="F303" t="str">
        <f>INDEX(Standards!$N$2:$N$296,MATCH(B303,Standards!$B$2:$B$296,0))</f>
        <v>#70AD47</v>
      </c>
      <c r="G303" t="str">
        <f>INDEX(Standards!$N$2:$N$296,MATCH(C303,Standards!$B$2:$B$296,0))</f>
        <v>#4472C4</v>
      </c>
      <c r="H303" t="s">
        <v>521</v>
      </c>
      <c r="I303" t="s">
        <v>525</v>
      </c>
      <c r="J303" t="str">
        <f>INDEX(Standards!$H$2:$H$296,MATCH(B303,Standards!$B$2:$B$296,0))</f>
        <v>BIM</v>
      </c>
      <c r="K303" t="str">
        <f>INDEX(Standards!$H$2:$H$296,MATCH(C303,Standards!$B$2:$B$296,0))</f>
        <v>Industrial Automation</v>
      </c>
      <c r="L303" t="b">
        <f>AND(TableRelationships[[#This Row],[Source Type]]="BIM",TableRelationships[[#This Row],[Target Type]]="BIM")</f>
        <v>0</v>
      </c>
      <c r="M303">
        <f t="shared" si="12"/>
        <v>1</v>
      </c>
      <c r="N303" s="81" t="s">
        <v>528</v>
      </c>
      <c r="O303">
        <f t="shared" si="13"/>
        <v>6</v>
      </c>
      <c r="P303" t="str">
        <f>IF(TableRelationships[[#This Row],[Rank Pedro]]="Low","linkCategory1",IF(TableRelationships[[#This Row],[Rank Pedro]]="Medium","linkCategory2",IF(TableRelationships[[#This Row],[Rank Pedro]]="High","linkCategory3","")))</f>
        <v>linkCategory2</v>
      </c>
      <c r="Q303" t="str">
        <f>IF(TableRelationships[[#This Row],[Rank Pedro]]="Low","Pink",IF(TableRelationships[[#This Row],[Rank Pedro]]="Medium","Purple",IF(TableRelationships[[#This Row],[Rank Pedro]]="High","Brown","")))</f>
        <v>Purple</v>
      </c>
      <c r="R303" s="4">
        <f>MAX(INDEX(Standards!$F$2:$F$296,MATCH(B303,Standards!$B$2:$B$296,0)),INDEX(Standards!$F$2:$F$296,MATCH(C303,Standards!$B$2:$B$296,0)))</f>
        <v>45420</v>
      </c>
      <c r="S303" t="str">
        <f t="shared" si="14"/>
        <v>#2f89d1</v>
      </c>
    </row>
    <row r="304" spans="1:19" x14ac:dyDescent="0.5">
      <c r="A304">
        <v>415</v>
      </c>
      <c r="B304" t="s">
        <v>254</v>
      </c>
      <c r="C304" t="s">
        <v>218</v>
      </c>
      <c r="D304">
        <f>INDEX(Standards!$A$2:$A$296,MATCH(B304,Standards!$B$2:$B$296,0))</f>
        <v>187</v>
      </c>
      <c r="E304">
        <f>INDEX(Standards!$A$2:$A$296,MATCH(C304,Standards!$B$2:$B$296,0))</f>
        <v>84</v>
      </c>
      <c r="F304" t="str">
        <f>INDEX(Standards!$N$2:$N$296,MATCH(B304,Standards!$B$2:$B$296,0))</f>
        <v>#70AD47</v>
      </c>
      <c r="G304" t="str">
        <f>INDEX(Standards!$N$2:$N$296,MATCH(C304,Standards!$B$2:$B$296,0))</f>
        <v>#595959</v>
      </c>
      <c r="H304" t="s">
        <v>521</v>
      </c>
      <c r="I304" t="s">
        <v>525</v>
      </c>
      <c r="J304" t="str">
        <f>INDEX(Standards!$H$2:$H$296,MATCH(B304,Standards!$B$2:$B$296,0))</f>
        <v>BIM</v>
      </c>
      <c r="K304" t="str">
        <f>INDEX(Standards!$H$2:$H$296,MATCH(C304,Standards!$B$2:$B$296,0))</f>
        <v>Other</v>
      </c>
      <c r="L304" t="b">
        <f>AND(TableRelationships[[#This Row],[Source Type]]="BIM",TableRelationships[[#This Row],[Target Type]]="BIM")</f>
        <v>0</v>
      </c>
      <c r="M304">
        <f t="shared" si="12"/>
        <v>1</v>
      </c>
      <c r="N304" s="81" t="s">
        <v>528</v>
      </c>
      <c r="O304">
        <f t="shared" si="13"/>
        <v>6</v>
      </c>
      <c r="P304" t="str">
        <f>IF(TableRelationships[[#This Row],[Rank Pedro]]="Low","linkCategory1",IF(TableRelationships[[#This Row],[Rank Pedro]]="Medium","linkCategory2",IF(TableRelationships[[#This Row],[Rank Pedro]]="High","linkCategory3","")))</f>
        <v>linkCategory2</v>
      </c>
      <c r="Q304" t="str">
        <f>IF(TableRelationships[[#This Row],[Rank Pedro]]="Low","Pink",IF(TableRelationships[[#This Row],[Rank Pedro]]="Medium","Purple",IF(TableRelationships[[#This Row],[Rank Pedro]]="High","Brown","")))</f>
        <v>Purple</v>
      </c>
      <c r="R304" s="4">
        <f>MAX(INDEX(Standards!$F$2:$F$296,MATCH(B304,Standards!$B$2:$B$296,0)),INDEX(Standards!$F$2:$F$296,MATCH(C304,Standards!$B$2:$B$296,0)))</f>
        <v>45420</v>
      </c>
      <c r="S304" t="str">
        <f t="shared" si="14"/>
        <v>#2f89d1</v>
      </c>
    </row>
    <row r="305" spans="1:19" x14ac:dyDescent="0.5">
      <c r="A305">
        <v>392</v>
      </c>
      <c r="B305" t="s">
        <v>254</v>
      </c>
      <c r="C305" t="s">
        <v>259</v>
      </c>
      <c r="D305">
        <f>INDEX(Standards!$A$2:$A$296,MATCH(B305,Standards!$B$2:$B$296,0))</f>
        <v>187</v>
      </c>
      <c r="E305">
        <f>INDEX(Standards!$A$2:$A$296,MATCH(C305,Standards!$B$2:$B$296,0))</f>
        <v>103</v>
      </c>
      <c r="F305" t="str">
        <f>INDEX(Standards!$N$2:$N$296,MATCH(B305,Standards!$B$2:$B$296,0))</f>
        <v>#70AD47</v>
      </c>
      <c r="G305" t="str">
        <f>INDEX(Standards!$N$2:$N$296,MATCH(C305,Standards!$B$2:$B$296,0))</f>
        <v>#4472C4</v>
      </c>
      <c r="H305" t="s">
        <v>521</v>
      </c>
      <c r="I305" t="s">
        <v>525</v>
      </c>
      <c r="J305" t="str">
        <f>INDEX(Standards!$H$2:$H$296,MATCH(B305,Standards!$B$2:$B$296,0))</f>
        <v>BIM</v>
      </c>
      <c r="K305" t="str">
        <f>INDEX(Standards!$H$2:$H$296,MATCH(C305,Standards!$B$2:$B$296,0))</f>
        <v>Industrial Automation</v>
      </c>
      <c r="L305" t="b">
        <f>AND(TableRelationships[[#This Row],[Source Type]]="BIM",TableRelationships[[#This Row],[Target Type]]="BIM")</f>
        <v>0</v>
      </c>
      <c r="M305">
        <f t="shared" si="12"/>
        <v>1</v>
      </c>
      <c r="N305" s="81" t="s">
        <v>526</v>
      </c>
      <c r="O305">
        <f t="shared" si="13"/>
        <v>2</v>
      </c>
      <c r="P305" t="str">
        <f>IF(TableRelationships[[#This Row],[Rank Pedro]]="Low","linkCategory1",IF(TableRelationships[[#This Row],[Rank Pedro]]="Medium","linkCategory2",IF(TableRelationships[[#This Row],[Rank Pedro]]="High","linkCategory3","")))</f>
        <v>linkCategory1</v>
      </c>
      <c r="Q305" t="str">
        <f>IF(TableRelationships[[#This Row],[Rank Pedro]]="Low","Pink",IF(TableRelationships[[#This Row],[Rank Pedro]]="Medium","Purple",IF(TableRelationships[[#This Row],[Rank Pedro]]="High","Brown","")))</f>
        <v>Pink</v>
      </c>
      <c r="R305" s="4">
        <f>MAX(INDEX(Standards!$F$2:$F$296,MATCH(B305,Standards!$B$2:$B$296,0)),INDEX(Standards!$F$2:$F$296,MATCH(C305,Standards!$B$2:$B$296,0)))</f>
        <v>45420</v>
      </c>
      <c r="S305" t="str">
        <f t="shared" si="14"/>
        <v>#2f89d1</v>
      </c>
    </row>
    <row r="306" spans="1:19" x14ac:dyDescent="0.5">
      <c r="A306">
        <v>393</v>
      </c>
      <c r="B306" t="s">
        <v>254</v>
      </c>
      <c r="C306" t="s">
        <v>164</v>
      </c>
      <c r="D306">
        <f>INDEX(Standards!$A$2:$A$296,MATCH(B306,Standards!$B$2:$B$296,0))</f>
        <v>187</v>
      </c>
      <c r="E306">
        <f>INDEX(Standards!$A$2:$A$296,MATCH(C306,Standards!$B$2:$B$296,0))</f>
        <v>60</v>
      </c>
      <c r="F306" t="str">
        <f>INDEX(Standards!$N$2:$N$296,MATCH(B306,Standards!$B$2:$B$296,0))</f>
        <v>#70AD47</v>
      </c>
      <c r="G306" t="str">
        <f>INDEX(Standards!$N$2:$N$296,MATCH(C306,Standards!$B$2:$B$296,0))</f>
        <v>#7030A0</v>
      </c>
      <c r="H306" t="s">
        <v>521</v>
      </c>
      <c r="I306" t="s">
        <v>525</v>
      </c>
      <c r="J306" t="str">
        <f>INDEX(Standards!$H$2:$H$296,MATCH(B306,Standards!$B$2:$B$296,0))</f>
        <v>BIM</v>
      </c>
      <c r="K306" t="str">
        <f>INDEX(Standards!$H$2:$H$296,MATCH(C306,Standards!$B$2:$B$296,0))</f>
        <v>ICT</v>
      </c>
      <c r="L306" t="b">
        <f>AND(TableRelationships[[#This Row],[Source Type]]="BIM",TableRelationships[[#This Row],[Target Type]]="BIM")</f>
        <v>0</v>
      </c>
      <c r="M306">
        <f t="shared" si="12"/>
        <v>1</v>
      </c>
      <c r="N306" s="81" t="s">
        <v>526</v>
      </c>
      <c r="O306">
        <f t="shared" si="13"/>
        <v>2</v>
      </c>
      <c r="P306" t="str">
        <f>IF(TableRelationships[[#This Row],[Rank Pedro]]="Low","linkCategory1",IF(TableRelationships[[#This Row],[Rank Pedro]]="Medium","linkCategory2",IF(TableRelationships[[#This Row],[Rank Pedro]]="High","linkCategory3","")))</f>
        <v>linkCategory1</v>
      </c>
      <c r="Q306" t="str">
        <f>IF(TableRelationships[[#This Row],[Rank Pedro]]="Low","Pink",IF(TableRelationships[[#This Row],[Rank Pedro]]="Medium","Purple",IF(TableRelationships[[#This Row],[Rank Pedro]]="High","Brown","")))</f>
        <v>Pink</v>
      </c>
      <c r="R306" s="4">
        <f>MAX(INDEX(Standards!$F$2:$F$296,MATCH(B306,Standards!$B$2:$B$296,0)),INDEX(Standards!$F$2:$F$296,MATCH(C306,Standards!$B$2:$B$296,0)))</f>
        <v>45420</v>
      </c>
      <c r="S306" t="str">
        <f t="shared" si="14"/>
        <v>#2f89d1</v>
      </c>
    </row>
    <row r="307" spans="1:19" x14ac:dyDescent="0.5">
      <c r="A307">
        <v>394</v>
      </c>
      <c r="B307" t="s">
        <v>254</v>
      </c>
      <c r="C307" t="s">
        <v>453</v>
      </c>
      <c r="D307">
        <f>INDEX(Standards!$A$2:$A$296,MATCH(B307,Standards!$B$2:$B$296,0))</f>
        <v>187</v>
      </c>
      <c r="E307">
        <f>INDEX(Standards!$A$2:$A$296,MATCH(C307,Standards!$B$2:$B$296,0))</f>
        <v>198</v>
      </c>
      <c r="F307" t="str">
        <f>INDEX(Standards!$N$2:$N$296,MATCH(B307,Standards!$B$2:$B$296,0))</f>
        <v>#70AD47</v>
      </c>
      <c r="G307" t="str">
        <f>INDEX(Standards!$N$2:$N$296,MATCH(C307,Standards!$B$2:$B$296,0))</f>
        <v>#F2E536</v>
      </c>
      <c r="H307" t="s">
        <v>521</v>
      </c>
      <c r="I307" t="s">
        <v>525</v>
      </c>
      <c r="J307" t="str">
        <f>INDEX(Standards!$H$2:$H$296,MATCH(B307,Standards!$B$2:$B$296,0))</f>
        <v>BIM</v>
      </c>
      <c r="K307" t="str">
        <f>INDEX(Standards!$H$2:$H$296,MATCH(C307,Standards!$B$2:$B$296,0))</f>
        <v>Technical Product Description</v>
      </c>
      <c r="L307" t="b">
        <f>AND(TableRelationships[[#This Row],[Source Type]]="BIM",TableRelationships[[#This Row],[Target Type]]="BIM")</f>
        <v>0</v>
      </c>
      <c r="M307">
        <f t="shared" si="12"/>
        <v>1</v>
      </c>
      <c r="N307" s="81" t="s">
        <v>526</v>
      </c>
      <c r="O307">
        <f t="shared" si="13"/>
        <v>2</v>
      </c>
      <c r="P307" t="str">
        <f>IF(TableRelationships[[#This Row],[Rank Pedro]]="Low","linkCategory1",IF(TableRelationships[[#This Row],[Rank Pedro]]="Medium","linkCategory2",IF(TableRelationships[[#This Row],[Rank Pedro]]="High","linkCategory3","")))</f>
        <v>linkCategory1</v>
      </c>
      <c r="Q307" t="str">
        <f>IF(TableRelationships[[#This Row],[Rank Pedro]]="Low","Pink",IF(TableRelationships[[#This Row],[Rank Pedro]]="Medium","Purple",IF(TableRelationships[[#This Row],[Rank Pedro]]="High","Brown","")))</f>
        <v>Pink</v>
      </c>
      <c r="R307" s="4">
        <f>MAX(INDEX(Standards!$F$2:$F$296,MATCH(B307,Standards!$B$2:$B$296,0)),INDEX(Standards!$F$2:$F$296,MATCH(C307,Standards!$B$2:$B$296,0)))</f>
        <v>45420</v>
      </c>
      <c r="S307" t="str">
        <f t="shared" si="14"/>
        <v>#2f89d1</v>
      </c>
    </row>
    <row r="308" spans="1:19" x14ac:dyDescent="0.5">
      <c r="A308">
        <v>395</v>
      </c>
      <c r="B308" t="s">
        <v>254</v>
      </c>
      <c r="C308" t="s">
        <v>63</v>
      </c>
      <c r="D308">
        <f>INDEX(Standards!$A$2:$A$296,MATCH(B308,Standards!$B$2:$B$296,0))</f>
        <v>187</v>
      </c>
      <c r="E308">
        <f>INDEX(Standards!$A$2:$A$296,MATCH(C308,Standards!$B$2:$B$296,0))</f>
        <v>6</v>
      </c>
      <c r="F308" t="str">
        <f>INDEX(Standards!$N$2:$N$296,MATCH(B308,Standards!$B$2:$B$296,0))</f>
        <v>#70AD47</v>
      </c>
      <c r="G308" t="str">
        <f>INDEX(Standards!$N$2:$N$296,MATCH(C308,Standards!$B$2:$B$296,0))</f>
        <v>#70AD47</v>
      </c>
      <c r="H308" t="s">
        <v>521</v>
      </c>
      <c r="I308" t="s">
        <v>525</v>
      </c>
      <c r="J308" t="str">
        <f>INDEX(Standards!$H$2:$H$296,MATCH(B308,Standards!$B$2:$B$296,0))</f>
        <v>BIM</v>
      </c>
      <c r="K308" t="str">
        <f>INDEX(Standards!$H$2:$H$296,MATCH(C308,Standards!$B$2:$B$296,0))</f>
        <v>BIM</v>
      </c>
      <c r="L308" t="b">
        <f>AND(TableRelationships[[#This Row],[Source Type]]="BIM",TableRelationships[[#This Row],[Target Type]]="BIM")</f>
        <v>1</v>
      </c>
      <c r="M308">
        <f t="shared" si="12"/>
        <v>1</v>
      </c>
      <c r="N308" s="81" t="s">
        <v>528</v>
      </c>
      <c r="O308">
        <f t="shared" si="13"/>
        <v>6</v>
      </c>
      <c r="P308" t="str">
        <f>IF(TableRelationships[[#This Row],[Rank Pedro]]="Low","linkCategory1",IF(TableRelationships[[#This Row],[Rank Pedro]]="Medium","linkCategory2",IF(TableRelationships[[#This Row],[Rank Pedro]]="High","linkCategory3","")))</f>
        <v>linkCategory2</v>
      </c>
      <c r="Q308" t="str">
        <f>IF(TableRelationships[[#This Row],[Rank Pedro]]="Low","Pink",IF(TableRelationships[[#This Row],[Rank Pedro]]="Medium","Purple",IF(TableRelationships[[#This Row],[Rank Pedro]]="High","Brown","")))</f>
        <v>Purple</v>
      </c>
      <c r="R308" s="4">
        <f>MAX(INDEX(Standards!$F$2:$F$296,MATCH(B308,Standards!$B$2:$B$296,0)),INDEX(Standards!$F$2:$F$296,MATCH(C308,Standards!$B$2:$B$296,0)))</f>
        <v>45420</v>
      </c>
      <c r="S308" t="str">
        <f t="shared" si="14"/>
        <v>#2f89d1</v>
      </c>
    </row>
    <row r="309" spans="1:19" x14ac:dyDescent="0.5">
      <c r="A309">
        <v>396</v>
      </c>
      <c r="B309" t="s">
        <v>254</v>
      </c>
      <c r="C309" t="s">
        <v>68</v>
      </c>
      <c r="D309">
        <f>INDEX(Standards!$A$2:$A$296,MATCH(B309,Standards!$B$2:$B$296,0))</f>
        <v>187</v>
      </c>
      <c r="E309">
        <f>INDEX(Standards!$A$2:$A$296,MATCH(C309,Standards!$B$2:$B$296,0))</f>
        <v>7</v>
      </c>
      <c r="F309" t="str">
        <f>INDEX(Standards!$N$2:$N$296,MATCH(B309,Standards!$B$2:$B$296,0))</f>
        <v>#70AD47</v>
      </c>
      <c r="G309" t="str">
        <f>INDEX(Standards!$N$2:$N$296,MATCH(C309,Standards!$B$2:$B$296,0))</f>
        <v>#70AD47</v>
      </c>
      <c r="H309" t="s">
        <v>521</v>
      </c>
      <c r="I309" t="s">
        <v>525</v>
      </c>
      <c r="J309" t="str">
        <f>INDEX(Standards!$H$2:$H$296,MATCH(B309,Standards!$B$2:$B$296,0))</f>
        <v>BIM</v>
      </c>
      <c r="K309" t="str">
        <f>INDEX(Standards!$H$2:$H$296,MATCH(C309,Standards!$B$2:$B$296,0))</f>
        <v>BIM</v>
      </c>
      <c r="L309" t="b">
        <f>AND(TableRelationships[[#This Row],[Source Type]]="BIM",TableRelationships[[#This Row],[Target Type]]="BIM")</f>
        <v>1</v>
      </c>
      <c r="M309">
        <f t="shared" si="12"/>
        <v>1</v>
      </c>
      <c r="N309" s="81" t="s">
        <v>528</v>
      </c>
      <c r="O309">
        <f t="shared" si="13"/>
        <v>6</v>
      </c>
      <c r="P309" t="str">
        <f>IF(TableRelationships[[#This Row],[Rank Pedro]]="Low","linkCategory1",IF(TableRelationships[[#This Row],[Rank Pedro]]="Medium","linkCategory2",IF(TableRelationships[[#This Row],[Rank Pedro]]="High","linkCategory3","")))</f>
        <v>linkCategory2</v>
      </c>
      <c r="Q309" t="str">
        <f>IF(TableRelationships[[#This Row],[Rank Pedro]]="Low","Pink",IF(TableRelationships[[#This Row],[Rank Pedro]]="Medium","Purple",IF(TableRelationships[[#This Row],[Rank Pedro]]="High","Brown","")))</f>
        <v>Purple</v>
      </c>
      <c r="R309" s="4">
        <f>MAX(INDEX(Standards!$F$2:$F$296,MATCH(B309,Standards!$B$2:$B$296,0)),INDEX(Standards!$F$2:$F$296,MATCH(C309,Standards!$B$2:$B$296,0)))</f>
        <v>45420</v>
      </c>
      <c r="S309" t="str">
        <f t="shared" si="14"/>
        <v>#2f89d1</v>
      </c>
    </row>
    <row r="310" spans="1:19" x14ac:dyDescent="0.5">
      <c r="A310">
        <v>384</v>
      </c>
      <c r="B310" t="s">
        <v>254</v>
      </c>
      <c r="C310" t="s">
        <v>435</v>
      </c>
      <c r="D310">
        <f>INDEX(Standards!$A$2:$A$296,MATCH(B310,Standards!$B$2:$B$296,0))</f>
        <v>187</v>
      </c>
      <c r="E310">
        <f>INDEX(Standards!$A$2:$A$296,MATCH(C310,Standards!$B$2:$B$296,0))</f>
        <v>190</v>
      </c>
      <c r="F310" t="str">
        <f>INDEX(Standards!$N$2:$N$296,MATCH(B310,Standards!$B$2:$B$296,0))</f>
        <v>#70AD47</v>
      </c>
      <c r="G310" t="str">
        <f>INDEX(Standards!$N$2:$N$296,MATCH(C310,Standards!$B$2:$B$296,0))</f>
        <v>#F2E536</v>
      </c>
      <c r="H310" t="s">
        <v>521</v>
      </c>
      <c r="I310" t="s">
        <v>525</v>
      </c>
      <c r="J310" t="str">
        <f>INDEX(Standards!$H$2:$H$296,MATCH(B310,Standards!$B$2:$B$296,0))</f>
        <v>BIM</v>
      </c>
      <c r="K310" t="str">
        <f>INDEX(Standards!$H$2:$H$296,MATCH(C310,Standards!$B$2:$B$296,0))</f>
        <v>Technical Product Description</v>
      </c>
      <c r="L310" t="b">
        <f>AND(TableRelationships[[#This Row],[Source Type]]="BIM",TableRelationships[[#This Row],[Target Type]]="BIM")</f>
        <v>0</v>
      </c>
      <c r="M310">
        <f t="shared" si="12"/>
        <v>1</v>
      </c>
      <c r="N310" s="81" t="s">
        <v>528</v>
      </c>
      <c r="O310">
        <f t="shared" si="13"/>
        <v>6</v>
      </c>
      <c r="P310" t="str">
        <f>IF(TableRelationships[[#This Row],[Rank Pedro]]="Low","linkCategory1",IF(TableRelationships[[#This Row],[Rank Pedro]]="Medium","linkCategory2",IF(TableRelationships[[#This Row],[Rank Pedro]]="High","linkCategory3","")))</f>
        <v>linkCategory2</v>
      </c>
      <c r="Q310" t="str">
        <f>IF(TableRelationships[[#This Row],[Rank Pedro]]="Low","Pink",IF(TableRelationships[[#This Row],[Rank Pedro]]="Medium","Purple",IF(TableRelationships[[#This Row],[Rank Pedro]]="High","Brown","")))</f>
        <v>Purple</v>
      </c>
      <c r="R310" s="4">
        <f>MAX(INDEX(Standards!$F$2:$F$296,MATCH(B310,Standards!$B$2:$B$296,0)),INDEX(Standards!$F$2:$F$296,MATCH(C310,Standards!$B$2:$B$296,0)))</f>
        <v>45420</v>
      </c>
      <c r="S310" t="str">
        <f t="shared" si="14"/>
        <v>#2f89d1</v>
      </c>
    </row>
    <row r="311" spans="1:19" x14ac:dyDescent="0.5">
      <c r="A311">
        <v>397</v>
      </c>
      <c r="B311" t="s">
        <v>254</v>
      </c>
      <c r="C311" t="s">
        <v>96</v>
      </c>
      <c r="D311">
        <f>INDEX(Standards!$A$2:$A$296,MATCH(B311,Standards!$B$2:$B$296,0))</f>
        <v>187</v>
      </c>
      <c r="E311">
        <f>INDEX(Standards!$A$2:$A$296,MATCH(C311,Standards!$B$2:$B$296,0))</f>
        <v>27</v>
      </c>
      <c r="F311" t="str">
        <f>INDEX(Standards!$N$2:$N$296,MATCH(B311,Standards!$B$2:$B$296,0))</f>
        <v>#70AD47</v>
      </c>
      <c r="G311" t="str">
        <f>INDEX(Standards!$N$2:$N$296,MATCH(C311,Standards!$B$2:$B$296,0))</f>
        <v>#70AD47</v>
      </c>
      <c r="H311" t="s">
        <v>521</v>
      </c>
      <c r="I311" t="s">
        <v>525</v>
      </c>
      <c r="J311" t="str">
        <f>INDEX(Standards!$H$2:$H$296,MATCH(B311,Standards!$B$2:$B$296,0))</f>
        <v>BIM</v>
      </c>
      <c r="K311" t="str">
        <f>INDEX(Standards!$H$2:$H$296,MATCH(C311,Standards!$B$2:$B$296,0))</f>
        <v>BIM</v>
      </c>
      <c r="L311" t="b">
        <f>AND(TableRelationships[[#This Row],[Source Type]]="BIM",TableRelationships[[#This Row],[Target Type]]="BIM")</f>
        <v>1</v>
      </c>
      <c r="M311">
        <f t="shared" si="12"/>
        <v>1</v>
      </c>
      <c r="N311" s="81" t="s">
        <v>526</v>
      </c>
      <c r="O311">
        <f t="shared" si="13"/>
        <v>2</v>
      </c>
      <c r="P311" t="str">
        <f>IF(TableRelationships[[#This Row],[Rank Pedro]]="Low","linkCategory1",IF(TableRelationships[[#This Row],[Rank Pedro]]="Medium","linkCategory2",IF(TableRelationships[[#This Row],[Rank Pedro]]="High","linkCategory3","")))</f>
        <v>linkCategory1</v>
      </c>
      <c r="Q311" t="str">
        <f>IF(TableRelationships[[#This Row],[Rank Pedro]]="Low","Pink",IF(TableRelationships[[#This Row],[Rank Pedro]]="Medium","Purple",IF(TableRelationships[[#This Row],[Rank Pedro]]="High","Brown","")))</f>
        <v>Pink</v>
      </c>
      <c r="R311" s="4">
        <f>MAX(INDEX(Standards!$F$2:$F$296,MATCH(B311,Standards!$B$2:$B$296,0)),INDEX(Standards!$F$2:$F$296,MATCH(C311,Standards!$B$2:$B$296,0)))</f>
        <v>45420</v>
      </c>
      <c r="S311" t="str">
        <f t="shared" si="14"/>
        <v>#2f89d1</v>
      </c>
    </row>
    <row r="312" spans="1:19" x14ac:dyDescent="0.5">
      <c r="A312">
        <v>378</v>
      </c>
      <c r="B312" t="s">
        <v>254</v>
      </c>
      <c r="C312" t="s">
        <v>430</v>
      </c>
      <c r="D312">
        <f>INDEX(Standards!$A$2:$A$296,MATCH(B312,Standards!$B$2:$B$296,0))</f>
        <v>187</v>
      </c>
      <c r="E312">
        <f>INDEX(Standards!$A$2:$A$296,MATCH(C312,Standards!$B$2:$B$296,0))</f>
        <v>188</v>
      </c>
      <c r="F312" t="str">
        <f>INDEX(Standards!$N$2:$N$296,MATCH(B312,Standards!$B$2:$B$296,0))</f>
        <v>#70AD47</v>
      </c>
      <c r="G312" t="str">
        <f>INDEX(Standards!$N$2:$N$296,MATCH(C312,Standards!$B$2:$B$296,0))</f>
        <v>#F2E536</v>
      </c>
      <c r="H312" t="s">
        <v>521</v>
      </c>
      <c r="I312" s="82" t="s">
        <v>524</v>
      </c>
      <c r="J312" t="str">
        <f>INDEX(Standards!$H$2:$H$296,MATCH(B312,Standards!$B$2:$B$296,0))</f>
        <v>BIM</v>
      </c>
      <c r="K312" t="str">
        <f>INDEX(Standards!$H$2:$H$296,MATCH(C312,Standards!$B$2:$B$296,0))</f>
        <v>Technical Product Description</v>
      </c>
      <c r="L312" t="b">
        <f>AND(TableRelationships[[#This Row],[Source Type]]="BIM",TableRelationships[[#This Row],[Target Type]]="BIM")</f>
        <v>0</v>
      </c>
      <c r="M312">
        <f t="shared" si="12"/>
        <v>6</v>
      </c>
      <c r="N312" s="81" t="s">
        <v>528</v>
      </c>
      <c r="O312">
        <f t="shared" si="13"/>
        <v>6</v>
      </c>
      <c r="P312" t="str">
        <f>IF(TableRelationships[[#This Row],[Rank Pedro]]="Low","linkCategory1",IF(TableRelationships[[#This Row],[Rank Pedro]]="Medium","linkCategory2",IF(TableRelationships[[#This Row],[Rank Pedro]]="High","linkCategory3","")))</f>
        <v>linkCategory2</v>
      </c>
      <c r="Q312" t="str">
        <f>IF(TableRelationships[[#This Row],[Rank Pedro]]="Low","Pink",IF(TableRelationships[[#This Row],[Rank Pedro]]="Medium","Purple",IF(TableRelationships[[#This Row],[Rank Pedro]]="High","Brown","")))</f>
        <v>Purple</v>
      </c>
      <c r="R312" s="4">
        <f>MAX(INDEX(Standards!$F$2:$F$296,MATCH(B312,Standards!$B$2:$B$296,0)),INDEX(Standards!$F$2:$F$296,MATCH(C312,Standards!$B$2:$B$296,0)))</f>
        <v>45420</v>
      </c>
      <c r="S312" t="str">
        <f t="shared" si="14"/>
        <v>#d6bf2a</v>
      </c>
    </row>
    <row r="313" spans="1:19" x14ac:dyDescent="0.5">
      <c r="A313">
        <v>379</v>
      </c>
      <c r="B313" t="s">
        <v>254</v>
      </c>
      <c r="C313" t="s">
        <v>433</v>
      </c>
      <c r="D313">
        <f>INDEX(Standards!$A$2:$A$296,MATCH(B313,Standards!$B$2:$B$296,0))</f>
        <v>187</v>
      </c>
      <c r="E313">
        <f>INDEX(Standards!$A$2:$A$296,MATCH(C313,Standards!$B$2:$B$296,0))</f>
        <v>189</v>
      </c>
      <c r="F313" t="str">
        <f>INDEX(Standards!$N$2:$N$296,MATCH(B313,Standards!$B$2:$B$296,0))</f>
        <v>#70AD47</v>
      </c>
      <c r="G313" t="str">
        <f>INDEX(Standards!$N$2:$N$296,MATCH(C313,Standards!$B$2:$B$296,0))</f>
        <v>#F2E536</v>
      </c>
      <c r="H313" t="s">
        <v>521</v>
      </c>
      <c r="I313" s="82" t="s">
        <v>524</v>
      </c>
      <c r="J313" t="str">
        <f>INDEX(Standards!$H$2:$H$296,MATCH(B313,Standards!$B$2:$B$296,0))</f>
        <v>BIM</v>
      </c>
      <c r="K313" t="str">
        <f>INDEX(Standards!$H$2:$H$296,MATCH(C313,Standards!$B$2:$B$296,0))</f>
        <v>Technical Product Description</v>
      </c>
      <c r="L313" t="b">
        <f>AND(TableRelationships[[#This Row],[Source Type]]="BIM",TableRelationships[[#This Row],[Target Type]]="BIM")</f>
        <v>0</v>
      </c>
      <c r="M313">
        <f t="shared" si="12"/>
        <v>6</v>
      </c>
      <c r="N313" s="81" t="s">
        <v>528</v>
      </c>
      <c r="O313">
        <f t="shared" si="13"/>
        <v>6</v>
      </c>
      <c r="P313" t="str">
        <f>IF(TableRelationships[[#This Row],[Rank Pedro]]="Low","linkCategory1",IF(TableRelationships[[#This Row],[Rank Pedro]]="Medium","linkCategory2",IF(TableRelationships[[#This Row],[Rank Pedro]]="High","linkCategory3","")))</f>
        <v>linkCategory2</v>
      </c>
      <c r="Q313" t="str">
        <f>IF(TableRelationships[[#This Row],[Rank Pedro]]="Low","Pink",IF(TableRelationships[[#This Row],[Rank Pedro]]="Medium","Purple",IF(TableRelationships[[#This Row],[Rank Pedro]]="High","Brown","")))</f>
        <v>Purple</v>
      </c>
      <c r="R313" s="4">
        <f>MAX(INDEX(Standards!$F$2:$F$296,MATCH(B313,Standards!$B$2:$B$296,0)),INDEX(Standards!$F$2:$F$296,MATCH(C313,Standards!$B$2:$B$296,0)))</f>
        <v>45420</v>
      </c>
      <c r="S313" t="str">
        <f t="shared" si="14"/>
        <v>#d6bf2a</v>
      </c>
    </row>
    <row r="314" spans="1:19" x14ac:dyDescent="0.5">
      <c r="A314">
        <v>398</v>
      </c>
      <c r="B314" t="s">
        <v>254</v>
      </c>
      <c r="C314" t="s">
        <v>455</v>
      </c>
      <c r="D314">
        <f>INDEX(Standards!$A$2:$A$296,MATCH(B314,Standards!$B$2:$B$296,0))</f>
        <v>187</v>
      </c>
      <c r="E314">
        <f>INDEX(Standards!$A$2:$A$296,MATCH(C314,Standards!$B$2:$B$296,0))</f>
        <v>199</v>
      </c>
      <c r="F314" t="str">
        <f>INDEX(Standards!$N$2:$N$296,MATCH(B314,Standards!$B$2:$B$296,0))</f>
        <v>#70AD47</v>
      </c>
      <c r="G314" t="str">
        <f>INDEX(Standards!$N$2:$N$296,MATCH(C314,Standards!$B$2:$B$296,0))</f>
        <v>#F2E536</v>
      </c>
      <c r="H314" t="s">
        <v>521</v>
      </c>
      <c r="I314" t="s">
        <v>525</v>
      </c>
      <c r="J314" t="str">
        <f>INDEX(Standards!$H$2:$H$296,MATCH(B314,Standards!$B$2:$B$296,0))</f>
        <v>BIM</v>
      </c>
      <c r="K314" t="str">
        <f>INDEX(Standards!$H$2:$H$296,MATCH(C314,Standards!$B$2:$B$296,0))</f>
        <v>Technical Product Description</v>
      </c>
      <c r="L314" t="b">
        <f>AND(TableRelationships[[#This Row],[Source Type]]="BIM",TableRelationships[[#This Row],[Target Type]]="BIM")</f>
        <v>0</v>
      </c>
      <c r="M314">
        <f t="shared" si="12"/>
        <v>1</v>
      </c>
      <c r="N314" s="81" t="s">
        <v>526</v>
      </c>
      <c r="O314">
        <f t="shared" si="13"/>
        <v>2</v>
      </c>
      <c r="P314" t="str">
        <f>IF(TableRelationships[[#This Row],[Rank Pedro]]="Low","linkCategory1",IF(TableRelationships[[#This Row],[Rank Pedro]]="Medium","linkCategory2",IF(TableRelationships[[#This Row],[Rank Pedro]]="High","linkCategory3","")))</f>
        <v>linkCategory1</v>
      </c>
      <c r="Q314" t="str">
        <f>IF(TableRelationships[[#This Row],[Rank Pedro]]="Low","Pink",IF(TableRelationships[[#This Row],[Rank Pedro]]="Medium","Purple",IF(TableRelationships[[#This Row],[Rank Pedro]]="High","Brown","")))</f>
        <v>Pink</v>
      </c>
      <c r="R314" s="4">
        <f>MAX(INDEX(Standards!$F$2:$F$296,MATCH(B314,Standards!$B$2:$B$296,0)),INDEX(Standards!$F$2:$F$296,MATCH(C314,Standards!$B$2:$B$296,0)))</f>
        <v>45420</v>
      </c>
      <c r="S314" t="str">
        <f t="shared" si="14"/>
        <v>#2f89d1</v>
      </c>
    </row>
    <row r="315" spans="1:19" x14ac:dyDescent="0.5">
      <c r="A315">
        <v>399</v>
      </c>
      <c r="B315" t="s">
        <v>254</v>
      </c>
      <c r="C315" t="s">
        <v>457</v>
      </c>
      <c r="D315">
        <f>INDEX(Standards!$A$2:$A$296,MATCH(B315,Standards!$B$2:$B$296,0))</f>
        <v>187</v>
      </c>
      <c r="E315">
        <f>INDEX(Standards!$A$2:$A$296,MATCH(C315,Standards!$B$2:$B$296,0))</f>
        <v>200</v>
      </c>
      <c r="F315" t="str">
        <f>INDEX(Standards!$N$2:$N$296,MATCH(B315,Standards!$B$2:$B$296,0))</f>
        <v>#70AD47</v>
      </c>
      <c r="G315" t="str">
        <f>INDEX(Standards!$N$2:$N$296,MATCH(C315,Standards!$B$2:$B$296,0))</f>
        <v>#F2E536</v>
      </c>
      <c r="H315" t="s">
        <v>521</v>
      </c>
      <c r="I315" t="s">
        <v>525</v>
      </c>
      <c r="J315" t="str">
        <f>INDEX(Standards!$H$2:$H$296,MATCH(B315,Standards!$B$2:$B$296,0))</f>
        <v>BIM</v>
      </c>
      <c r="K315" t="str">
        <f>INDEX(Standards!$H$2:$H$296,MATCH(C315,Standards!$B$2:$B$296,0))</f>
        <v>Technical Product Description</v>
      </c>
      <c r="L315" t="b">
        <f>AND(TableRelationships[[#This Row],[Source Type]]="BIM",TableRelationships[[#This Row],[Target Type]]="BIM")</f>
        <v>0</v>
      </c>
      <c r="M315">
        <f t="shared" si="12"/>
        <v>1</v>
      </c>
      <c r="N315" s="81" t="s">
        <v>526</v>
      </c>
      <c r="O315">
        <f t="shared" si="13"/>
        <v>2</v>
      </c>
      <c r="P315" t="str">
        <f>IF(TableRelationships[[#This Row],[Rank Pedro]]="Low","linkCategory1",IF(TableRelationships[[#This Row],[Rank Pedro]]="Medium","linkCategory2",IF(TableRelationships[[#This Row],[Rank Pedro]]="High","linkCategory3","")))</f>
        <v>linkCategory1</v>
      </c>
      <c r="Q315" t="str">
        <f>IF(TableRelationships[[#This Row],[Rank Pedro]]="Low","Pink",IF(TableRelationships[[#This Row],[Rank Pedro]]="Medium","Purple",IF(TableRelationships[[#This Row],[Rank Pedro]]="High","Brown","")))</f>
        <v>Pink</v>
      </c>
      <c r="R315" s="4">
        <f>MAX(INDEX(Standards!$F$2:$F$296,MATCH(B315,Standards!$B$2:$B$296,0)),INDEX(Standards!$F$2:$F$296,MATCH(C315,Standards!$B$2:$B$296,0)))</f>
        <v>45420</v>
      </c>
      <c r="S315" t="str">
        <f t="shared" si="14"/>
        <v>#2f89d1</v>
      </c>
    </row>
    <row r="316" spans="1:19" x14ac:dyDescent="0.5">
      <c r="A316">
        <v>400</v>
      </c>
      <c r="B316" t="s">
        <v>254</v>
      </c>
      <c r="C316" t="s">
        <v>459</v>
      </c>
      <c r="D316">
        <f>INDEX(Standards!$A$2:$A$296,MATCH(B316,Standards!$B$2:$B$296,0))</f>
        <v>187</v>
      </c>
      <c r="E316">
        <f>INDEX(Standards!$A$2:$A$296,MATCH(C316,Standards!$B$2:$B$296,0))</f>
        <v>201</v>
      </c>
      <c r="F316" t="str">
        <f>INDEX(Standards!$N$2:$N$296,MATCH(B316,Standards!$B$2:$B$296,0))</f>
        <v>#70AD47</v>
      </c>
      <c r="G316" t="str">
        <f>INDEX(Standards!$N$2:$N$296,MATCH(C316,Standards!$B$2:$B$296,0))</f>
        <v>#F2E536</v>
      </c>
      <c r="H316" t="s">
        <v>521</v>
      </c>
      <c r="I316" t="s">
        <v>525</v>
      </c>
      <c r="J316" t="str">
        <f>INDEX(Standards!$H$2:$H$296,MATCH(B316,Standards!$B$2:$B$296,0))</f>
        <v>BIM</v>
      </c>
      <c r="K316" t="str">
        <f>INDEX(Standards!$H$2:$H$296,MATCH(C316,Standards!$B$2:$B$296,0))</f>
        <v>Technical Product Description</v>
      </c>
      <c r="L316" t="b">
        <f>AND(TableRelationships[[#This Row],[Source Type]]="BIM",TableRelationships[[#This Row],[Target Type]]="BIM")</f>
        <v>0</v>
      </c>
      <c r="M316">
        <f t="shared" si="12"/>
        <v>1</v>
      </c>
      <c r="N316" s="81" t="s">
        <v>526</v>
      </c>
      <c r="O316">
        <f t="shared" si="13"/>
        <v>2</v>
      </c>
      <c r="P316" t="str">
        <f>IF(TableRelationships[[#This Row],[Rank Pedro]]="Low","linkCategory1",IF(TableRelationships[[#This Row],[Rank Pedro]]="Medium","linkCategory2",IF(TableRelationships[[#This Row],[Rank Pedro]]="High","linkCategory3","")))</f>
        <v>linkCategory1</v>
      </c>
      <c r="Q316" t="str">
        <f>IF(TableRelationships[[#This Row],[Rank Pedro]]="Low","Pink",IF(TableRelationships[[#This Row],[Rank Pedro]]="Medium","Purple",IF(TableRelationships[[#This Row],[Rank Pedro]]="High","Brown","")))</f>
        <v>Pink</v>
      </c>
      <c r="R316" s="4">
        <f>MAX(INDEX(Standards!$F$2:$F$296,MATCH(B316,Standards!$B$2:$B$296,0)),INDEX(Standards!$F$2:$F$296,MATCH(C316,Standards!$B$2:$B$296,0)))</f>
        <v>45420</v>
      </c>
      <c r="S316" t="str">
        <f t="shared" si="14"/>
        <v>#2f89d1</v>
      </c>
    </row>
    <row r="317" spans="1:19" x14ac:dyDescent="0.5">
      <c r="A317">
        <v>401</v>
      </c>
      <c r="B317" t="s">
        <v>254</v>
      </c>
      <c r="C317" t="s">
        <v>461</v>
      </c>
      <c r="D317">
        <f>INDEX(Standards!$A$2:$A$296,MATCH(B317,Standards!$B$2:$B$296,0))</f>
        <v>187</v>
      </c>
      <c r="E317">
        <f>INDEX(Standards!$A$2:$A$296,MATCH(C317,Standards!$B$2:$B$296,0))</f>
        <v>202</v>
      </c>
      <c r="F317" t="str">
        <f>INDEX(Standards!$N$2:$N$296,MATCH(B317,Standards!$B$2:$B$296,0))</f>
        <v>#70AD47</v>
      </c>
      <c r="G317" t="str">
        <f>INDEX(Standards!$N$2:$N$296,MATCH(C317,Standards!$B$2:$B$296,0))</f>
        <v>#F2E536</v>
      </c>
      <c r="H317" t="s">
        <v>521</v>
      </c>
      <c r="I317" t="s">
        <v>525</v>
      </c>
      <c r="J317" t="str">
        <f>INDEX(Standards!$H$2:$H$296,MATCH(B317,Standards!$B$2:$B$296,0))</f>
        <v>BIM</v>
      </c>
      <c r="K317" t="str">
        <f>INDEX(Standards!$H$2:$H$296,MATCH(C317,Standards!$B$2:$B$296,0))</f>
        <v>Technical Product Description</v>
      </c>
      <c r="L317" t="b">
        <f>AND(TableRelationships[[#This Row],[Source Type]]="BIM",TableRelationships[[#This Row],[Target Type]]="BIM")</f>
        <v>0</v>
      </c>
      <c r="M317">
        <f t="shared" si="12"/>
        <v>1</v>
      </c>
      <c r="N317" s="81" t="s">
        <v>526</v>
      </c>
      <c r="O317">
        <f t="shared" si="13"/>
        <v>2</v>
      </c>
      <c r="P317" t="str">
        <f>IF(TableRelationships[[#This Row],[Rank Pedro]]="Low","linkCategory1",IF(TableRelationships[[#This Row],[Rank Pedro]]="Medium","linkCategory2",IF(TableRelationships[[#This Row],[Rank Pedro]]="High","linkCategory3","")))</f>
        <v>linkCategory1</v>
      </c>
      <c r="Q317" t="str">
        <f>IF(TableRelationships[[#This Row],[Rank Pedro]]="Low","Pink",IF(TableRelationships[[#This Row],[Rank Pedro]]="Medium","Purple",IF(TableRelationships[[#This Row],[Rank Pedro]]="High","Brown","")))</f>
        <v>Pink</v>
      </c>
      <c r="R317" s="4">
        <f>MAX(INDEX(Standards!$F$2:$F$296,MATCH(B317,Standards!$B$2:$B$296,0)),INDEX(Standards!$F$2:$F$296,MATCH(C317,Standards!$B$2:$B$296,0)))</f>
        <v>45420</v>
      </c>
      <c r="S317" t="str">
        <f t="shared" si="14"/>
        <v>#2f89d1</v>
      </c>
    </row>
    <row r="318" spans="1:19" x14ac:dyDescent="0.5">
      <c r="A318">
        <v>402</v>
      </c>
      <c r="B318" t="s">
        <v>254</v>
      </c>
      <c r="C318" t="s">
        <v>279</v>
      </c>
      <c r="D318">
        <f>INDEX(Standards!$A$2:$A$296,MATCH(B318,Standards!$B$2:$B$296,0))</f>
        <v>187</v>
      </c>
      <c r="E318">
        <f>INDEX(Standards!$A$2:$A$296,MATCH(C318,Standards!$B$2:$B$296,0))</f>
        <v>110</v>
      </c>
      <c r="F318" t="str">
        <f>INDEX(Standards!$N$2:$N$296,MATCH(B318,Standards!$B$2:$B$296,0))</f>
        <v>#70AD47</v>
      </c>
      <c r="G318" t="str">
        <f>INDEX(Standards!$N$2:$N$296,MATCH(C318,Standards!$B$2:$B$296,0))</f>
        <v>#44546A</v>
      </c>
      <c r="H318" t="s">
        <v>521</v>
      </c>
      <c r="I318" t="s">
        <v>525</v>
      </c>
      <c r="J318" t="str">
        <f>INDEX(Standards!$H$2:$H$296,MATCH(B318,Standards!$B$2:$B$296,0))</f>
        <v>BIM</v>
      </c>
      <c r="K318" t="str">
        <f>INDEX(Standards!$H$2:$H$296,MATCH(C318,Standards!$B$2:$B$296,0))</f>
        <v>FM</v>
      </c>
      <c r="L318" t="b">
        <f>AND(TableRelationships[[#This Row],[Source Type]]="BIM",TableRelationships[[#This Row],[Target Type]]="BIM")</f>
        <v>0</v>
      </c>
      <c r="M318">
        <f t="shared" si="12"/>
        <v>1</v>
      </c>
      <c r="N318" s="81" t="s">
        <v>528</v>
      </c>
      <c r="O318">
        <f t="shared" si="13"/>
        <v>6</v>
      </c>
      <c r="P318" t="str">
        <f>IF(TableRelationships[[#This Row],[Rank Pedro]]="Low","linkCategory1",IF(TableRelationships[[#This Row],[Rank Pedro]]="Medium","linkCategory2",IF(TableRelationships[[#This Row],[Rank Pedro]]="High","linkCategory3","")))</f>
        <v>linkCategory2</v>
      </c>
      <c r="Q318" t="str">
        <f>IF(TableRelationships[[#This Row],[Rank Pedro]]="Low","Pink",IF(TableRelationships[[#This Row],[Rank Pedro]]="Medium","Purple",IF(TableRelationships[[#This Row],[Rank Pedro]]="High","Brown","")))</f>
        <v>Purple</v>
      </c>
      <c r="R318" s="4">
        <f>MAX(INDEX(Standards!$F$2:$F$296,MATCH(B318,Standards!$B$2:$B$296,0)),INDEX(Standards!$F$2:$F$296,MATCH(C318,Standards!$B$2:$B$296,0)))</f>
        <v>45420</v>
      </c>
      <c r="S318" t="str">
        <f t="shared" si="14"/>
        <v>#2f89d1</v>
      </c>
    </row>
    <row r="319" spans="1:19" x14ac:dyDescent="0.5">
      <c r="A319">
        <v>380</v>
      </c>
      <c r="B319" t="s">
        <v>254</v>
      </c>
      <c r="C319" t="s">
        <v>144</v>
      </c>
      <c r="D319">
        <f>INDEX(Standards!$A$2:$A$296,MATCH(B319,Standards!$B$2:$B$296,0))</f>
        <v>187</v>
      </c>
      <c r="E319">
        <f>INDEX(Standards!$A$2:$A$296,MATCH(C319,Standards!$B$2:$B$296,0))</f>
        <v>8</v>
      </c>
      <c r="F319" t="str">
        <f>INDEX(Standards!$N$2:$N$296,MATCH(B319,Standards!$B$2:$B$296,0))</f>
        <v>#70AD47</v>
      </c>
      <c r="G319" t="str">
        <f>INDEX(Standards!$N$2:$N$296,MATCH(C319,Standards!$B$2:$B$296,0))</f>
        <v>#70AD47</v>
      </c>
      <c r="H319" t="s">
        <v>521</v>
      </c>
      <c r="I319" s="82" t="s">
        <v>524</v>
      </c>
      <c r="J319" t="str">
        <f>INDEX(Standards!$H$2:$H$296,MATCH(B319,Standards!$B$2:$B$296,0))</f>
        <v>BIM</v>
      </c>
      <c r="K319" t="str">
        <f>INDEX(Standards!$H$2:$H$296,MATCH(C319,Standards!$B$2:$B$296,0))</f>
        <v>BIM</v>
      </c>
      <c r="L319" t="b">
        <f>AND(TableRelationships[[#This Row],[Source Type]]="BIM",TableRelationships[[#This Row],[Target Type]]="BIM")</f>
        <v>1</v>
      </c>
      <c r="M319">
        <f t="shared" si="12"/>
        <v>6</v>
      </c>
      <c r="N319" s="81" t="s">
        <v>523</v>
      </c>
      <c r="O319">
        <f t="shared" si="13"/>
        <v>10</v>
      </c>
      <c r="P319" t="str">
        <f>IF(TableRelationships[[#This Row],[Rank Pedro]]="Low","linkCategory1",IF(TableRelationships[[#This Row],[Rank Pedro]]="Medium","linkCategory2",IF(TableRelationships[[#This Row],[Rank Pedro]]="High","linkCategory3","")))</f>
        <v>linkCategory3</v>
      </c>
      <c r="Q319" t="str">
        <f>IF(TableRelationships[[#This Row],[Rank Pedro]]="Low","Pink",IF(TableRelationships[[#This Row],[Rank Pedro]]="Medium","Purple",IF(TableRelationships[[#This Row],[Rank Pedro]]="High","Brown","")))</f>
        <v>Brown</v>
      </c>
      <c r="R319" s="4">
        <f>MAX(INDEX(Standards!$F$2:$F$296,MATCH(B319,Standards!$B$2:$B$296,0)),INDEX(Standards!$F$2:$F$296,MATCH(C319,Standards!$B$2:$B$296,0)))</f>
        <v>45420</v>
      </c>
      <c r="S319" t="str">
        <f t="shared" si="14"/>
        <v>#d6bf2a</v>
      </c>
    </row>
    <row r="320" spans="1:19" x14ac:dyDescent="0.5">
      <c r="A320">
        <v>404</v>
      </c>
      <c r="B320" t="s">
        <v>254</v>
      </c>
      <c r="C320" t="s">
        <v>170</v>
      </c>
      <c r="D320">
        <f>INDEX(Standards!$A$2:$A$296,MATCH(B320,Standards!$B$2:$B$296,0))</f>
        <v>187</v>
      </c>
      <c r="E320">
        <f>INDEX(Standards!$A$2:$A$296,MATCH(C320,Standards!$B$2:$B$296,0))</f>
        <v>49</v>
      </c>
      <c r="F320" t="str">
        <f>INDEX(Standards!$N$2:$N$296,MATCH(B320,Standards!$B$2:$B$296,0))</f>
        <v>#70AD47</v>
      </c>
      <c r="G320" t="str">
        <f>INDEX(Standards!$N$2:$N$296,MATCH(C320,Standards!$B$2:$B$296,0))</f>
        <v>#70AD47</v>
      </c>
      <c r="H320" t="s">
        <v>521</v>
      </c>
      <c r="I320" t="s">
        <v>525</v>
      </c>
      <c r="J320" t="str">
        <f>INDEX(Standards!$H$2:$H$296,MATCH(B320,Standards!$B$2:$B$296,0))</f>
        <v>BIM</v>
      </c>
      <c r="K320" t="str">
        <f>INDEX(Standards!$H$2:$H$296,MATCH(C320,Standards!$B$2:$B$296,0))</f>
        <v>BIM</v>
      </c>
      <c r="L320" t="b">
        <f>AND(TableRelationships[[#This Row],[Source Type]]="BIM",TableRelationships[[#This Row],[Target Type]]="BIM")</f>
        <v>1</v>
      </c>
      <c r="M320">
        <f t="shared" si="12"/>
        <v>1</v>
      </c>
      <c r="N320" s="81" t="s">
        <v>528</v>
      </c>
      <c r="O320">
        <f t="shared" si="13"/>
        <v>6</v>
      </c>
      <c r="P320" t="str">
        <f>IF(TableRelationships[[#This Row],[Rank Pedro]]="Low","linkCategory1",IF(TableRelationships[[#This Row],[Rank Pedro]]="Medium","linkCategory2",IF(TableRelationships[[#This Row],[Rank Pedro]]="High","linkCategory3","")))</f>
        <v>linkCategory2</v>
      </c>
      <c r="Q320" t="str">
        <f>IF(TableRelationships[[#This Row],[Rank Pedro]]="Low","Pink",IF(TableRelationships[[#This Row],[Rank Pedro]]="Medium","Purple",IF(TableRelationships[[#This Row],[Rank Pedro]]="High","Brown","")))</f>
        <v>Purple</v>
      </c>
      <c r="R320" s="4">
        <f>MAX(INDEX(Standards!$F$2:$F$296,MATCH(B320,Standards!$B$2:$B$296,0)),INDEX(Standards!$F$2:$F$296,MATCH(C320,Standards!$B$2:$B$296,0)))</f>
        <v>45420</v>
      </c>
      <c r="S320" t="str">
        <f t="shared" si="14"/>
        <v>#2f89d1</v>
      </c>
    </row>
    <row r="321" spans="1:19" x14ac:dyDescent="0.5">
      <c r="A321">
        <v>405</v>
      </c>
      <c r="B321" t="s">
        <v>254</v>
      </c>
      <c r="C321" t="s">
        <v>214</v>
      </c>
      <c r="D321">
        <f>INDEX(Standards!$A$2:$A$296,MATCH(B321,Standards!$B$2:$B$296,0))</f>
        <v>187</v>
      </c>
      <c r="E321">
        <f>INDEX(Standards!$A$2:$A$296,MATCH(C321,Standards!$B$2:$B$296,0))</f>
        <v>10</v>
      </c>
      <c r="F321" t="str">
        <f>INDEX(Standards!$N$2:$N$296,MATCH(B321,Standards!$B$2:$B$296,0))</f>
        <v>#70AD47</v>
      </c>
      <c r="G321" t="str">
        <f>INDEX(Standards!$N$2:$N$296,MATCH(C321,Standards!$B$2:$B$296,0))</f>
        <v>#70AD47</v>
      </c>
      <c r="H321" t="s">
        <v>521</v>
      </c>
      <c r="I321" s="82" t="s">
        <v>525</v>
      </c>
      <c r="J321" t="str">
        <f>INDEX(Standards!$H$2:$H$296,MATCH(B321,Standards!$B$2:$B$296,0))</f>
        <v>BIM</v>
      </c>
      <c r="K321" t="str">
        <f>INDEX(Standards!$H$2:$H$296,MATCH(C321,Standards!$B$2:$B$296,0))</f>
        <v>BIM</v>
      </c>
      <c r="L321" t="b">
        <f>AND(TableRelationships[[#This Row],[Source Type]]="BIM",TableRelationships[[#This Row],[Target Type]]="BIM")</f>
        <v>1</v>
      </c>
      <c r="M321">
        <f t="shared" si="12"/>
        <v>1</v>
      </c>
      <c r="N321" s="81" t="s">
        <v>523</v>
      </c>
      <c r="O321">
        <f t="shared" si="13"/>
        <v>10</v>
      </c>
      <c r="P321" t="str">
        <f>IF(TableRelationships[[#This Row],[Rank Pedro]]="Low","linkCategory1",IF(TableRelationships[[#This Row],[Rank Pedro]]="Medium","linkCategory2",IF(TableRelationships[[#This Row],[Rank Pedro]]="High","linkCategory3","")))</f>
        <v>linkCategory3</v>
      </c>
      <c r="Q321" t="str">
        <f>IF(TableRelationships[[#This Row],[Rank Pedro]]="Low","Pink",IF(TableRelationships[[#This Row],[Rank Pedro]]="Medium","Purple",IF(TableRelationships[[#This Row],[Rank Pedro]]="High","Brown","")))</f>
        <v>Brown</v>
      </c>
      <c r="R321" s="4">
        <f>MAX(INDEX(Standards!$F$2:$F$296,MATCH(B321,Standards!$B$2:$B$296,0)),INDEX(Standards!$F$2:$F$296,MATCH(C321,Standards!$B$2:$B$296,0)))</f>
        <v>45420</v>
      </c>
      <c r="S321" t="str">
        <f t="shared" si="14"/>
        <v>#2f89d1</v>
      </c>
    </row>
    <row r="322" spans="1:19" x14ac:dyDescent="0.5">
      <c r="A322">
        <v>406</v>
      </c>
      <c r="B322" t="s">
        <v>254</v>
      </c>
      <c r="C322" t="s">
        <v>224</v>
      </c>
      <c r="D322">
        <f>INDEX(Standards!$A$2:$A$296,MATCH(B322,Standards!$B$2:$B$296,0))</f>
        <v>187</v>
      </c>
      <c r="E322">
        <f>INDEX(Standards!$A$2:$A$296,MATCH(C322,Standards!$B$2:$B$296,0))</f>
        <v>11</v>
      </c>
      <c r="F322" t="str">
        <f>INDEX(Standards!$N$2:$N$296,MATCH(B322,Standards!$B$2:$B$296,0))</f>
        <v>#70AD47</v>
      </c>
      <c r="G322" t="str">
        <f>INDEX(Standards!$N$2:$N$296,MATCH(C322,Standards!$B$2:$B$296,0))</f>
        <v>#70AD47</v>
      </c>
      <c r="H322" t="s">
        <v>521</v>
      </c>
      <c r="I322" s="82" t="s">
        <v>525</v>
      </c>
      <c r="J322" t="str">
        <f>INDEX(Standards!$H$2:$H$296,MATCH(B322,Standards!$B$2:$B$296,0))</f>
        <v>BIM</v>
      </c>
      <c r="K322" t="str">
        <f>INDEX(Standards!$H$2:$H$296,MATCH(C322,Standards!$B$2:$B$296,0))</f>
        <v>BIM</v>
      </c>
      <c r="L322" t="b">
        <f>AND(TableRelationships[[#This Row],[Source Type]]="BIM",TableRelationships[[#This Row],[Target Type]]="BIM")</f>
        <v>1</v>
      </c>
      <c r="M322">
        <f t="shared" ref="M322:M385" si="15">IF(I322="Normative",6,IF(I322="Secondary",4,IF(I322="Anchor",2,1)))</f>
        <v>1</v>
      </c>
      <c r="N322" s="81" t="s">
        <v>523</v>
      </c>
      <c r="O322">
        <f t="shared" ref="O322:O385" si="16">IF(N322="High",10,IF(N322="Medium",6,IF(N322="Low",2,1)))</f>
        <v>10</v>
      </c>
      <c r="P322" t="str">
        <f>IF(TableRelationships[[#This Row],[Rank Pedro]]="Low","linkCategory1",IF(TableRelationships[[#This Row],[Rank Pedro]]="Medium","linkCategory2",IF(TableRelationships[[#This Row],[Rank Pedro]]="High","linkCategory3","")))</f>
        <v>linkCategory3</v>
      </c>
      <c r="Q322" t="str">
        <f>IF(TableRelationships[[#This Row],[Rank Pedro]]="Low","Pink",IF(TableRelationships[[#This Row],[Rank Pedro]]="Medium","Purple",IF(TableRelationships[[#This Row],[Rank Pedro]]="High","Brown","")))</f>
        <v>Brown</v>
      </c>
      <c r="R322" s="4">
        <f>MAX(INDEX(Standards!$F$2:$F$296,MATCH(B322,Standards!$B$2:$B$296,0)),INDEX(Standards!$F$2:$F$296,MATCH(C322,Standards!$B$2:$B$296,0)))</f>
        <v>45420</v>
      </c>
      <c r="S322" t="str">
        <f t="shared" ref="S322:S385" si="17">IF(I322="Normative", "#d6bf2a", IF(I322="Informative", "#2f89d1", 1))</f>
        <v>#2f89d1</v>
      </c>
    </row>
    <row r="323" spans="1:19" x14ac:dyDescent="0.5">
      <c r="A323">
        <v>407</v>
      </c>
      <c r="B323" t="s">
        <v>254</v>
      </c>
      <c r="C323" t="s">
        <v>465</v>
      </c>
      <c r="D323">
        <f>INDEX(Standards!$A$2:$A$296,MATCH(B323,Standards!$B$2:$B$296,0))</f>
        <v>187</v>
      </c>
      <c r="E323">
        <f>INDEX(Standards!$A$2:$A$296,MATCH(C323,Standards!$B$2:$B$296,0))</f>
        <v>204</v>
      </c>
      <c r="F323" t="str">
        <f>INDEX(Standards!$N$2:$N$296,MATCH(B323,Standards!$B$2:$B$296,0))</f>
        <v>#70AD47</v>
      </c>
      <c r="G323" t="str">
        <f>INDEX(Standards!$N$2:$N$296,MATCH(C323,Standards!$B$2:$B$296,0))</f>
        <v>#B1D751</v>
      </c>
      <c r="H323" t="s">
        <v>521</v>
      </c>
      <c r="I323" t="s">
        <v>525</v>
      </c>
      <c r="J323" t="str">
        <f>INDEX(Standards!$H$2:$H$296,MATCH(B323,Standards!$B$2:$B$296,0))</f>
        <v>BIM</v>
      </c>
      <c r="K323" t="str">
        <f>INDEX(Standards!$H$2:$H$296,MATCH(C323,Standards!$B$2:$B$296,0))</f>
        <v>Sustainability</v>
      </c>
      <c r="L323" t="b">
        <f>AND(TableRelationships[[#This Row],[Source Type]]="BIM",TableRelationships[[#This Row],[Target Type]]="BIM")</f>
        <v>0</v>
      </c>
      <c r="M323">
        <f t="shared" si="15"/>
        <v>1</v>
      </c>
      <c r="N323" s="81" t="s">
        <v>528</v>
      </c>
      <c r="O323">
        <f t="shared" si="16"/>
        <v>6</v>
      </c>
      <c r="P323" t="str">
        <f>IF(TableRelationships[[#This Row],[Rank Pedro]]="Low","linkCategory1",IF(TableRelationships[[#This Row],[Rank Pedro]]="Medium","linkCategory2",IF(TableRelationships[[#This Row],[Rank Pedro]]="High","linkCategory3","")))</f>
        <v>linkCategory2</v>
      </c>
      <c r="Q323" t="str">
        <f>IF(TableRelationships[[#This Row],[Rank Pedro]]="Low","Pink",IF(TableRelationships[[#This Row],[Rank Pedro]]="Medium","Purple",IF(TableRelationships[[#This Row],[Rank Pedro]]="High","Brown","")))</f>
        <v>Purple</v>
      </c>
      <c r="R323" s="4">
        <f>MAX(INDEX(Standards!$F$2:$F$296,MATCH(B323,Standards!$B$2:$B$296,0)),INDEX(Standards!$F$2:$F$296,MATCH(C323,Standards!$B$2:$B$296,0)))</f>
        <v>45420</v>
      </c>
      <c r="S323" t="str">
        <f t="shared" si="17"/>
        <v>#2f89d1</v>
      </c>
    </row>
    <row r="324" spans="1:19" x14ac:dyDescent="0.5">
      <c r="A324">
        <v>408</v>
      </c>
      <c r="B324" t="s">
        <v>254</v>
      </c>
      <c r="C324" t="s">
        <v>118</v>
      </c>
      <c r="D324">
        <f>INDEX(Standards!$A$2:$A$296,MATCH(B324,Standards!$B$2:$B$296,0))</f>
        <v>187</v>
      </c>
      <c r="E324">
        <f>INDEX(Standards!$A$2:$A$296,MATCH(C324,Standards!$B$2:$B$296,0))</f>
        <v>37</v>
      </c>
      <c r="F324" t="str">
        <f>INDEX(Standards!$N$2:$N$296,MATCH(B324,Standards!$B$2:$B$296,0))</f>
        <v>#70AD47</v>
      </c>
      <c r="G324" t="str">
        <f>INDEX(Standards!$N$2:$N$296,MATCH(C324,Standards!$B$2:$B$296,0))</f>
        <v>#7030A0</v>
      </c>
      <c r="H324" t="s">
        <v>521</v>
      </c>
      <c r="I324" t="s">
        <v>525</v>
      </c>
      <c r="J324" t="str">
        <f>INDEX(Standards!$H$2:$H$296,MATCH(B324,Standards!$B$2:$B$296,0))</f>
        <v>BIM</v>
      </c>
      <c r="K324" t="str">
        <f>INDEX(Standards!$H$2:$H$296,MATCH(C324,Standards!$B$2:$B$296,0))</f>
        <v>ICT</v>
      </c>
      <c r="L324" t="b">
        <f>AND(TableRelationships[[#This Row],[Source Type]]="BIM",TableRelationships[[#This Row],[Target Type]]="BIM")</f>
        <v>0</v>
      </c>
      <c r="M324">
        <f t="shared" si="15"/>
        <v>1</v>
      </c>
      <c r="N324" s="81" t="s">
        <v>526</v>
      </c>
      <c r="O324">
        <f t="shared" si="16"/>
        <v>2</v>
      </c>
      <c r="P324" t="str">
        <f>IF(TableRelationships[[#This Row],[Rank Pedro]]="Low","linkCategory1",IF(TableRelationships[[#This Row],[Rank Pedro]]="Medium","linkCategory2",IF(TableRelationships[[#This Row],[Rank Pedro]]="High","linkCategory3","")))</f>
        <v>linkCategory1</v>
      </c>
      <c r="Q324" t="str">
        <f>IF(TableRelationships[[#This Row],[Rank Pedro]]="Low","Pink",IF(TableRelationships[[#This Row],[Rank Pedro]]="Medium","Purple",IF(TableRelationships[[#This Row],[Rank Pedro]]="High","Brown","")))</f>
        <v>Pink</v>
      </c>
      <c r="R324" s="4">
        <f>MAX(INDEX(Standards!$F$2:$F$296,MATCH(B324,Standards!$B$2:$B$296,0)),INDEX(Standards!$F$2:$F$296,MATCH(C324,Standards!$B$2:$B$296,0)))</f>
        <v>45420</v>
      </c>
      <c r="S324" t="str">
        <f t="shared" si="17"/>
        <v>#2f89d1</v>
      </c>
    </row>
    <row r="325" spans="1:19" x14ac:dyDescent="0.5">
      <c r="A325">
        <v>409</v>
      </c>
      <c r="B325" t="s">
        <v>254</v>
      </c>
      <c r="C325" t="s">
        <v>468</v>
      </c>
      <c r="D325">
        <f>INDEX(Standards!$A$2:$A$296,MATCH(B325,Standards!$B$2:$B$296,0))</f>
        <v>187</v>
      </c>
      <c r="E325">
        <f>INDEX(Standards!$A$2:$A$296,MATCH(C325,Standards!$B$2:$B$296,0))</f>
        <v>205</v>
      </c>
      <c r="F325" t="str">
        <f>INDEX(Standards!$N$2:$N$296,MATCH(B325,Standards!$B$2:$B$296,0))</f>
        <v>#70AD47</v>
      </c>
      <c r="G325" t="str">
        <f>INDEX(Standards!$N$2:$N$296,MATCH(C325,Standards!$B$2:$B$296,0))</f>
        <v>#F2E536</v>
      </c>
      <c r="H325" t="s">
        <v>521</v>
      </c>
      <c r="I325" t="s">
        <v>525</v>
      </c>
      <c r="J325" t="str">
        <f>INDEX(Standards!$H$2:$H$296,MATCH(B325,Standards!$B$2:$B$296,0))</f>
        <v>BIM</v>
      </c>
      <c r="K325" t="str">
        <f>INDEX(Standards!$H$2:$H$296,MATCH(C325,Standards!$B$2:$B$296,0))</f>
        <v>Technical Product Description</v>
      </c>
      <c r="L325" t="b">
        <f>AND(TableRelationships[[#This Row],[Source Type]]="BIM",TableRelationships[[#This Row],[Target Type]]="BIM")</f>
        <v>0</v>
      </c>
      <c r="M325">
        <f t="shared" si="15"/>
        <v>1</v>
      </c>
      <c r="N325" s="81" t="s">
        <v>526</v>
      </c>
      <c r="O325">
        <f t="shared" si="16"/>
        <v>2</v>
      </c>
      <c r="P325" t="str">
        <f>IF(TableRelationships[[#This Row],[Rank Pedro]]="Low","linkCategory1",IF(TableRelationships[[#This Row],[Rank Pedro]]="Medium","linkCategory2",IF(TableRelationships[[#This Row],[Rank Pedro]]="High","linkCategory3","")))</f>
        <v>linkCategory1</v>
      </c>
      <c r="Q325" t="str">
        <f>IF(TableRelationships[[#This Row],[Rank Pedro]]="Low","Pink",IF(TableRelationships[[#This Row],[Rank Pedro]]="Medium","Purple",IF(TableRelationships[[#This Row],[Rank Pedro]]="High","Brown","")))</f>
        <v>Pink</v>
      </c>
      <c r="R325" s="4">
        <f>MAX(INDEX(Standards!$F$2:$F$296,MATCH(B325,Standards!$B$2:$B$296,0)),INDEX(Standards!$F$2:$F$296,MATCH(C325,Standards!$B$2:$B$296,0)))</f>
        <v>45420</v>
      </c>
      <c r="S325" t="str">
        <f t="shared" si="17"/>
        <v>#2f89d1</v>
      </c>
    </row>
    <row r="326" spans="1:19" x14ac:dyDescent="0.5">
      <c r="A326">
        <v>381</v>
      </c>
      <c r="B326" t="s">
        <v>254</v>
      </c>
      <c r="C326" t="s">
        <v>388</v>
      </c>
      <c r="D326">
        <f>INDEX(Standards!$A$2:$A$296,MATCH(B326,Standards!$B$2:$B$296,0))</f>
        <v>187</v>
      </c>
      <c r="E326">
        <f>INDEX(Standards!$A$2:$A$296,MATCH(C326,Standards!$B$2:$B$296,0))</f>
        <v>63</v>
      </c>
      <c r="F326" t="str">
        <f>INDEX(Standards!$N$2:$N$296,MATCH(B326,Standards!$B$2:$B$296,0))</f>
        <v>#70AD47</v>
      </c>
      <c r="G326" t="str">
        <f>INDEX(Standards!$N$2:$N$296,MATCH(C326,Standards!$B$2:$B$296,0))</f>
        <v>#70AD47</v>
      </c>
      <c r="H326" t="s">
        <v>521</v>
      </c>
      <c r="I326" s="82" t="s">
        <v>524</v>
      </c>
      <c r="J326" t="str">
        <f>INDEX(Standards!$H$2:$H$296,MATCH(B326,Standards!$B$2:$B$296,0))</f>
        <v>BIM</v>
      </c>
      <c r="K326" t="str">
        <f>INDEX(Standards!$H$2:$H$296,MATCH(C326,Standards!$B$2:$B$296,0))</f>
        <v>BIM</v>
      </c>
      <c r="L326" t="b">
        <f>AND(TableRelationships[[#This Row],[Source Type]]="BIM",TableRelationships[[#This Row],[Target Type]]="BIM")</f>
        <v>1</v>
      </c>
      <c r="M326">
        <f t="shared" si="15"/>
        <v>6</v>
      </c>
      <c r="N326" s="81" t="s">
        <v>523</v>
      </c>
      <c r="O326">
        <f t="shared" si="16"/>
        <v>10</v>
      </c>
      <c r="P326" t="str">
        <f>IF(TableRelationships[[#This Row],[Rank Pedro]]="Low","linkCategory1",IF(TableRelationships[[#This Row],[Rank Pedro]]="Medium","linkCategory2",IF(TableRelationships[[#This Row],[Rank Pedro]]="High","linkCategory3","")))</f>
        <v>linkCategory3</v>
      </c>
      <c r="Q326" t="str">
        <f>IF(TableRelationships[[#This Row],[Rank Pedro]]="Low","Pink",IF(TableRelationships[[#This Row],[Rank Pedro]]="Medium","Purple",IF(TableRelationships[[#This Row],[Rank Pedro]]="High","Brown","")))</f>
        <v>Brown</v>
      </c>
      <c r="R326" s="4">
        <f>MAX(INDEX(Standards!$F$2:$F$296,MATCH(B326,Standards!$B$2:$B$296,0)),INDEX(Standards!$F$2:$F$296,MATCH(C326,Standards!$B$2:$B$296,0)))</f>
        <v>45420</v>
      </c>
      <c r="S326" t="str">
        <f t="shared" si="17"/>
        <v>#d6bf2a</v>
      </c>
    </row>
    <row r="327" spans="1:19" x14ac:dyDescent="0.5">
      <c r="A327">
        <v>382</v>
      </c>
      <c r="B327" t="s">
        <v>254</v>
      </c>
      <c r="C327" t="s">
        <v>404</v>
      </c>
      <c r="D327">
        <f>INDEX(Standards!$A$2:$A$296,MATCH(B327,Standards!$B$2:$B$296,0))</f>
        <v>187</v>
      </c>
      <c r="E327">
        <f>INDEX(Standards!$A$2:$A$296,MATCH(C327,Standards!$B$2:$B$296,0))</f>
        <v>64</v>
      </c>
      <c r="F327" t="str">
        <f>INDEX(Standards!$N$2:$N$296,MATCH(B327,Standards!$B$2:$B$296,0))</f>
        <v>#70AD47</v>
      </c>
      <c r="G327" t="str">
        <f>INDEX(Standards!$N$2:$N$296,MATCH(C327,Standards!$B$2:$B$296,0))</f>
        <v>#70AD47</v>
      </c>
      <c r="H327" t="s">
        <v>521</v>
      </c>
      <c r="I327" s="82" t="s">
        <v>524</v>
      </c>
      <c r="J327" t="str">
        <f>INDEX(Standards!$H$2:$H$296,MATCH(B327,Standards!$B$2:$B$296,0))</f>
        <v>BIM</v>
      </c>
      <c r="K327" t="str">
        <f>INDEX(Standards!$H$2:$H$296,MATCH(C327,Standards!$B$2:$B$296,0))</f>
        <v>BIM</v>
      </c>
      <c r="L327" t="b">
        <f>AND(TableRelationships[[#This Row],[Source Type]]="BIM",TableRelationships[[#This Row],[Target Type]]="BIM")</f>
        <v>1</v>
      </c>
      <c r="M327">
        <f t="shared" si="15"/>
        <v>6</v>
      </c>
      <c r="N327" s="81" t="s">
        <v>523</v>
      </c>
      <c r="O327">
        <f t="shared" si="16"/>
        <v>10</v>
      </c>
      <c r="P327" t="str">
        <f>IF(TableRelationships[[#This Row],[Rank Pedro]]="Low","linkCategory1",IF(TableRelationships[[#This Row],[Rank Pedro]]="Medium","linkCategory2",IF(TableRelationships[[#This Row],[Rank Pedro]]="High","linkCategory3","")))</f>
        <v>linkCategory3</v>
      </c>
      <c r="Q327" t="str">
        <f>IF(TableRelationships[[#This Row],[Rank Pedro]]="Low","Pink",IF(TableRelationships[[#This Row],[Rank Pedro]]="Medium","Purple",IF(TableRelationships[[#This Row],[Rank Pedro]]="High","Brown","")))</f>
        <v>Brown</v>
      </c>
      <c r="R327" s="4">
        <f>MAX(INDEX(Standards!$F$2:$F$296,MATCH(B327,Standards!$B$2:$B$296,0)),INDEX(Standards!$F$2:$F$296,MATCH(C327,Standards!$B$2:$B$296,0)))</f>
        <v>45420</v>
      </c>
      <c r="S327" t="str">
        <f t="shared" si="17"/>
        <v>#d6bf2a</v>
      </c>
    </row>
    <row r="328" spans="1:19" x14ac:dyDescent="0.5">
      <c r="A328">
        <v>410</v>
      </c>
      <c r="B328" t="s">
        <v>254</v>
      </c>
      <c r="C328" t="s">
        <v>470</v>
      </c>
      <c r="D328">
        <f>INDEX(Standards!$A$2:$A$296,MATCH(B328,Standards!$B$2:$B$296,0))</f>
        <v>187</v>
      </c>
      <c r="E328">
        <f>INDEX(Standards!$A$2:$A$296,MATCH(C328,Standards!$B$2:$B$296,0))</f>
        <v>206</v>
      </c>
      <c r="F328" t="str">
        <f>INDEX(Standards!$N$2:$N$296,MATCH(B328,Standards!$B$2:$B$296,0))</f>
        <v>#70AD47</v>
      </c>
      <c r="G328" t="str">
        <f>INDEX(Standards!$N$2:$N$296,MATCH(C328,Standards!$B$2:$B$296,0))</f>
        <v>#F2E536</v>
      </c>
      <c r="H328" t="s">
        <v>521</v>
      </c>
      <c r="I328" t="s">
        <v>525</v>
      </c>
      <c r="J328" t="str">
        <f>INDEX(Standards!$H$2:$H$296,MATCH(B328,Standards!$B$2:$B$296,0))</f>
        <v>BIM</v>
      </c>
      <c r="K328" t="str">
        <f>INDEX(Standards!$H$2:$H$296,MATCH(C328,Standards!$B$2:$B$296,0))</f>
        <v>Technical Product Description</v>
      </c>
      <c r="L328" t="b">
        <f>AND(TableRelationships[[#This Row],[Source Type]]="BIM",TableRelationships[[#This Row],[Target Type]]="BIM")</f>
        <v>0</v>
      </c>
      <c r="M328">
        <f t="shared" si="15"/>
        <v>1</v>
      </c>
      <c r="N328" s="81" t="s">
        <v>526</v>
      </c>
      <c r="O328">
        <f t="shared" si="16"/>
        <v>2</v>
      </c>
      <c r="P328" t="str">
        <f>IF(TableRelationships[[#This Row],[Rank Pedro]]="Low","linkCategory1",IF(TableRelationships[[#This Row],[Rank Pedro]]="Medium","linkCategory2",IF(TableRelationships[[#This Row],[Rank Pedro]]="High","linkCategory3","")))</f>
        <v>linkCategory1</v>
      </c>
      <c r="Q328" t="str">
        <f>IF(TableRelationships[[#This Row],[Rank Pedro]]="Low","Pink",IF(TableRelationships[[#This Row],[Rank Pedro]]="Medium","Purple",IF(TableRelationships[[#This Row],[Rank Pedro]]="High","Brown","")))</f>
        <v>Pink</v>
      </c>
      <c r="R328" s="4">
        <f>MAX(INDEX(Standards!$F$2:$F$296,MATCH(B328,Standards!$B$2:$B$296,0)),INDEX(Standards!$F$2:$F$296,MATCH(C328,Standards!$B$2:$B$296,0)))</f>
        <v>45420</v>
      </c>
      <c r="S328" t="str">
        <f t="shared" si="17"/>
        <v>#2f89d1</v>
      </c>
    </row>
    <row r="329" spans="1:19" x14ac:dyDescent="0.5">
      <c r="A329">
        <v>411</v>
      </c>
      <c r="B329" t="s">
        <v>254</v>
      </c>
      <c r="C329" t="s">
        <v>408</v>
      </c>
      <c r="D329">
        <f>INDEX(Standards!$A$2:$A$296,MATCH(B329,Standards!$B$2:$B$296,0))</f>
        <v>187</v>
      </c>
      <c r="E329">
        <f>INDEX(Standards!$A$2:$A$296,MATCH(C329,Standards!$B$2:$B$296,0))</f>
        <v>16</v>
      </c>
      <c r="F329" t="str">
        <f>INDEX(Standards!$N$2:$N$296,MATCH(B329,Standards!$B$2:$B$296,0))</f>
        <v>#70AD47</v>
      </c>
      <c r="G329" t="str">
        <f>INDEX(Standards!$N$2:$N$296,MATCH(C329,Standards!$B$2:$B$296,0))</f>
        <v>#70AD47</v>
      </c>
      <c r="H329" t="s">
        <v>521</v>
      </c>
      <c r="I329" t="s">
        <v>525</v>
      </c>
      <c r="J329" t="str">
        <f>INDEX(Standards!$H$2:$H$296,MATCH(B329,Standards!$B$2:$B$296,0))</f>
        <v>BIM</v>
      </c>
      <c r="K329" t="str">
        <f>INDEX(Standards!$H$2:$H$296,MATCH(C329,Standards!$B$2:$B$296,0))</f>
        <v>BIM</v>
      </c>
      <c r="L329" t="b">
        <f>AND(TableRelationships[[#This Row],[Source Type]]="BIM",TableRelationships[[#This Row],[Target Type]]="BIM")</f>
        <v>1</v>
      </c>
      <c r="M329">
        <f t="shared" si="15"/>
        <v>1</v>
      </c>
      <c r="N329" s="81" t="s">
        <v>528</v>
      </c>
      <c r="O329">
        <f t="shared" si="16"/>
        <v>6</v>
      </c>
      <c r="P329" t="str">
        <f>IF(TableRelationships[[#This Row],[Rank Pedro]]="Low","linkCategory1",IF(TableRelationships[[#This Row],[Rank Pedro]]="Medium","linkCategory2",IF(TableRelationships[[#This Row],[Rank Pedro]]="High","linkCategory3","")))</f>
        <v>linkCategory2</v>
      </c>
      <c r="Q329" t="str">
        <f>IF(TableRelationships[[#This Row],[Rank Pedro]]="Low","Pink",IF(TableRelationships[[#This Row],[Rank Pedro]]="Medium","Purple",IF(TableRelationships[[#This Row],[Rank Pedro]]="High","Brown","")))</f>
        <v>Purple</v>
      </c>
      <c r="R329" s="4">
        <f>MAX(INDEX(Standards!$F$2:$F$296,MATCH(B329,Standards!$B$2:$B$296,0)),INDEX(Standards!$F$2:$F$296,MATCH(C329,Standards!$B$2:$B$296,0)))</f>
        <v>45420</v>
      </c>
      <c r="S329" t="str">
        <f t="shared" si="17"/>
        <v>#2f89d1</v>
      </c>
    </row>
    <row r="330" spans="1:19" x14ac:dyDescent="0.5">
      <c r="A330">
        <v>386</v>
      </c>
      <c r="B330" t="s">
        <v>254</v>
      </c>
      <c r="C330" t="s">
        <v>439</v>
      </c>
      <c r="D330">
        <f>INDEX(Standards!$A$2:$A$296,MATCH(B330,Standards!$B$2:$B$296,0))</f>
        <v>187</v>
      </c>
      <c r="E330">
        <f>INDEX(Standards!$A$2:$A$296,MATCH(C330,Standards!$B$2:$B$296,0))</f>
        <v>192</v>
      </c>
      <c r="F330" t="str">
        <f>INDEX(Standards!$N$2:$N$296,MATCH(B330,Standards!$B$2:$B$296,0))</f>
        <v>#70AD47</v>
      </c>
      <c r="G330" t="str">
        <f>INDEX(Standards!$N$2:$N$296,MATCH(C330,Standards!$B$2:$B$296,0))</f>
        <v>#ED7D31</v>
      </c>
      <c r="H330" t="s">
        <v>521</v>
      </c>
      <c r="I330" t="s">
        <v>525</v>
      </c>
      <c r="J330" t="str">
        <f>INDEX(Standards!$H$2:$H$296,MATCH(B330,Standards!$B$2:$B$296,0))</f>
        <v>BIM</v>
      </c>
      <c r="K330" t="str">
        <f>INDEX(Standards!$H$2:$H$296,MATCH(C330,Standards!$B$2:$B$296,0))</f>
        <v>Construction</v>
      </c>
      <c r="L330" t="b">
        <f>AND(TableRelationships[[#This Row],[Source Type]]="BIM",TableRelationships[[#This Row],[Target Type]]="BIM")</f>
        <v>0</v>
      </c>
      <c r="M330">
        <f t="shared" si="15"/>
        <v>1</v>
      </c>
      <c r="N330" s="81" t="s">
        <v>528</v>
      </c>
      <c r="O330">
        <f t="shared" si="16"/>
        <v>6</v>
      </c>
      <c r="P330" t="str">
        <f>IF(TableRelationships[[#This Row],[Rank Pedro]]="Low","linkCategory1",IF(TableRelationships[[#This Row],[Rank Pedro]]="Medium","linkCategory2",IF(TableRelationships[[#This Row],[Rank Pedro]]="High","linkCategory3","")))</f>
        <v>linkCategory2</v>
      </c>
      <c r="Q330" t="str">
        <f>IF(TableRelationships[[#This Row],[Rank Pedro]]="Low","Pink",IF(TableRelationships[[#This Row],[Rank Pedro]]="Medium","Purple",IF(TableRelationships[[#This Row],[Rank Pedro]]="High","Brown","")))</f>
        <v>Purple</v>
      </c>
      <c r="R330" s="4">
        <f>MAX(INDEX(Standards!$F$2:$F$296,MATCH(B330,Standards!$B$2:$B$296,0)),INDEX(Standards!$F$2:$F$296,MATCH(C330,Standards!$B$2:$B$296,0)))</f>
        <v>45420</v>
      </c>
      <c r="S330" t="str">
        <f t="shared" si="17"/>
        <v>#2f89d1</v>
      </c>
    </row>
    <row r="331" spans="1:19" x14ac:dyDescent="0.5">
      <c r="A331">
        <v>387</v>
      </c>
      <c r="B331" t="s">
        <v>254</v>
      </c>
      <c r="C331" t="s">
        <v>441</v>
      </c>
      <c r="D331">
        <f>INDEX(Standards!$A$2:$A$296,MATCH(B331,Standards!$B$2:$B$296,0))</f>
        <v>187</v>
      </c>
      <c r="E331">
        <f>INDEX(Standards!$A$2:$A$296,MATCH(C331,Standards!$B$2:$B$296,0))</f>
        <v>193</v>
      </c>
      <c r="F331" t="str">
        <f>INDEX(Standards!$N$2:$N$296,MATCH(B331,Standards!$B$2:$B$296,0))</f>
        <v>#70AD47</v>
      </c>
      <c r="G331" t="str">
        <f>INDEX(Standards!$N$2:$N$296,MATCH(C331,Standards!$B$2:$B$296,0))</f>
        <v>#F2E536</v>
      </c>
      <c r="H331" s="7" t="s">
        <v>521</v>
      </c>
      <c r="I331" t="s">
        <v>525</v>
      </c>
      <c r="J331" t="str">
        <f>INDEX(Standards!$H$2:$H$296,MATCH(B331,Standards!$B$2:$B$296,0))</f>
        <v>BIM</v>
      </c>
      <c r="K331" t="str">
        <f>INDEX(Standards!$H$2:$H$296,MATCH(C331,Standards!$B$2:$B$296,0))</f>
        <v>Technical Product Description</v>
      </c>
      <c r="L331" t="b">
        <f>AND(TableRelationships[[#This Row],[Source Type]]="BIM",TableRelationships[[#This Row],[Target Type]]="BIM")</f>
        <v>0</v>
      </c>
      <c r="M331">
        <f t="shared" si="15"/>
        <v>1</v>
      </c>
      <c r="N331" s="81" t="s">
        <v>526</v>
      </c>
      <c r="O331">
        <f t="shared" si="16"/>
        <v>2</v>
      </c>
      <c r="P331" t="str">
        <f>IF(TableRelationships[[#This Row],[Rank Pedro]]="Low","linkCategory1",IF(TableRelationships[[#This Row],[Rank Pedro]]="Medium","linkCategory2",IF(TableRelationships[[#This Row],[Rank Pedro]]="High","linkCategory3","")))</f>
        <v>linkCategory1</v>
      </c>
      <c r="Q331" t="str">
        <f>IF(TableRelationships[[#This Row],[Rank Pedro]]="Low","Pink",IF(TableRelationships[[#This Row],[Rank Pedro]]="Medium","Purple",IF(TableRelationships[[#This Row],[Rank Pedro]]="High","Brown","")))</f>
        <v>Pink</v>
      </c>
      <c r="R331" s="4">
        <f>MAX(INDEX(Standards!$F$2:$F$296,MATCH(B331,Standards!$B$2:$B$296,0)),INDEX(Standards!$F$2:$F$296,MATCH(C331,Standards!$B$2:$B$296,0)))</f>
        <v>45420</v>
      </c>
      <c r="S331" t="str">
        <f t="shared" si="17"/>
        <v>#2f89d1</v>
      </c>
    </row>
    <row r="332" spans="1:19" x14ac:dyDescent="0.5">
      <c r="A332">
        <v>385</v>
      </c>
      <c r="B332" t="s">
        <v>254</v>
      </c>
      <c r="C332" t="s">
        <v>437</v>
      </c>
      <c r="D332">
        <f>INDEX(Standards!$A$2:$A$296,MATCH(B332,Standards!$B$2:$B$296,0))</f>
        <v>187</v>
      </c>
      <c r="E332">
        <f>INDEX(Standards!$A$2:$A$296,MATCH(C332,Standards!$B$2:$B$296,0))</f>
        <v>191</v>
      </c>
      <c r="F332" t="str">
        <f>INDEX(Standards!$N$2:$N$296,MATCH(B332,Standards!$B$2:$B$296,0))</f>
        <v>#70AD47</v>
      </c>
      <c r="G332" t="str">
        <f>INDEX(Standards!$N$2:$N$296,MATCH(C332,Standards!$B$2:$B$296,0))</f>
        <v>#595959</v>
      </c>
      <c r="H332" s="7" t="s">
        <v>521</v>
      </c>
      <c r="I332" t="s">
        <v>525</v>
      </c>
      <c r="J332" t="str">
        <f>INDEX(Standards!$H$2:$H$296,MATCH(B332,Standards!$B$2:$B$296,0))</f>
        <v>BIM</v>
      </c>
      <c r="K332" t="str">
        <f>INDEX(Standards!$H$2:$H$296,MATCH(C332,Standards!$B$2:$B$296,0))</f>
        <v>Other</v>
      </c>
      <c r="L332" t="b">
        <f>AND(TableRelationships[[#This Row],[Source Type]]="BIM",TableRelationships[[#This Row],[Target Type]]="BIM")</f>
        <v>0</v>
      </c>
      <c r="M332">
        <f t="shared" si="15"/>
        <v>1</v>
      </c>
      <c r="N332" s="81" t="s">
        <v>526</v>
      </c>
      <c r="O332">
        <f t="shared" si="16"/>
        <v>2</v>
      </c>
      <c r="P332" t="str">
        <f>IF(TableRelationships[[#This Row],[Rank Pedro]]="Low","linkCategory1",IF(TableRelationships[[#This Row],[Rank Pedro]]="Medium","linkCategory2",IF(TableRelationships[[#This Row],[Rank Pedro]]="High","linkCategory3","")))</f>
        <v>linkCategory1</v>
      </c>
      <c r="Q332" t="str">
        <f>IF(TableRelationships[[#This Row],[Rank Pedro]]="Low","Pink",IF(TableRelationships[[#This Row],[Rank Pedro]]="Medium","Purple",IF(TableRelationships[[#This Row],[Rank Pedro]]="High","Brown","")))</f>
        <v>Pink</v>
      </c>
      <c r="R332" s="4">
        <f>MAX(INDEX(Standards!$F$2:$F$296,MATCH(B332,Standards!$B$2:$B$296,0)),INDEX(Standards!$F$2:$F$296,MATCH(C332,Standards!$B$2:$B$296,0)))</f>
        <v>45420</v>
      </c>
      <c r="S332" t="str">
        <f t="shared" si="17"/>
        <v>#2f89d1</v>
      </c>
    </row>
    <row r="333" spans="1:19" x14ac:dyDescent="0.5">
      <c r="A333">
        <v>388</v>
      </c>
      <c r="B333" t="s">
        <v>254</v>
      </c>
      <c r="C333" t="s">
        <v>77</v>
      </c>
      <c r="D333">
        <f>INDEX(Standards!$A$2:$A$296,MATCH(B333,Standards!$B$2:$B$296,0))</f>
        <v>187</v>
      </c>
      <c r="E333">
        <f>INDEX(Standards!$A$2:$A$296,MATCH(C333,Standards!$B$2:$B$296,0))</f>
        <v>19</v>
      </c>
      <c r="F333" t="str">
        <f>INDEX(Standards!$N$2:$N$296,MATCH(B333,Standards!$B$2:$B$296,0))</f>
        <v>#70AD47</v>
      </c>
      <c r="G333" t="str">
        <f>INDEX(Standards!$N$2:$N$296,MATCH(C333,Standards!$B$2:$B$296,0))</f>
        <v>#ED7D31</v>
      </c>
      <c r="H333" t="s">
        <v>521</v>
      </c>
      <c r="I333" t="s">
        <v>525</v>
      </c>
      <c r="J333" t="str">
        <f>INDEX(Standards!$H$2:$H$296,MATCH(B333,Standards!$B$2:$B$296,0))</f>
        <v>BIM</v>
      </c>
      <c r="K333" t="str">
        <f>INDEX(Standards!$H$2:$H$296,MATCH(C333,Standards!$B$2:$B$296,0))</f>
        <v>Construction</v>
      </c>
      <c r="L333" t="b">
        <f>AND(TableRelationships[[#This Row],[Source Type]]="BIM",TableRelationships[[#This Row],[Target Type]]="BIM")</f>
        <v>0</v>
      </c>
      <c r="M333">
        <f t="shared" si="15"/>
        <v>1</v>
      </c>
      <c r="N333" s="81" t="s">
        <v>526</v>
      </c>
      <c r="O333">
        <f t="shared" si="16"/>
        <v>2</v>
      </c>
      <c r="P333" t="str">
        <f>IF(TableRelationships[[#This Row],[Rank Pedro]]="Low","linkCategory1",IF(TableRelationships[[#This Row],[Rank Pedro]]="Medium","linkCategory2",IF(TableRelationships[[#This Row],[Rank Pedro]]="High","linkCategory3","")))</f>
        <v>linkCategory1</v>
      </c>
      <c r="Q333" t="str">
        <f>IF(TableRelationships[[#This Row],[Rank Pedro]]="Low","Pink",IF(TableRelationships[[#This Row],[Rank Pedro]]="Medium","Purple",IF(TableRelationships[[#This Row],[Rank Pedro]]="High","Brown","")))</f>
        <v>Pink</v>
      </c>
      <c r="R333" s="4">
        <f>MAX(INDEX(Standards!$F$2:$F$296,MATCH(B333,Standards!$B$2:$B$296,0)),INDEX(Standards!$F$2:$F$296,MATCH(C333,Standards!$B$2:$B$296,0)))</f>
        <v>45420</v>
      </c>
      <c r="S333" t="str">
        <f t="shared" si="17"/>
        <v>#2f89d1</v>
      </c>
    </row>
    <row r="334" spans="1:19" x14ac:dyDescent="0.5">
      <c r="A334">
        <v>389</v>
      </c>
      <c r="B334" t="s">
        <v>254</v>
      </c>
      <c r="C334" t="s">
        <v>443</v>
      </c>
      <c r="D334">
        <f>INDEX(Standards!$A$2:$A$296,MATCH(B334,Standards!$B$2:$B$296,0))</f>
        <v>187</v>
      </c>
      <c r="E334">
        <f>INDEX(Standards!$A$2:$A$296,MATCH(C334,Standards!$B$2:$B$296,0))</f>
        <v>194</v>
      </c>
      <c r="F334" t="str">
        <f>INDEX(Standards!$N$2:$N$296,MATCH(B334,Standards!$B$2:$B$296,0))</f>
        <v>#70AD47</v>
      </c>
      <c r="G334" t="str">
        <f>INDEX(Standards!$N$2:$N$296,MATCH(C334,Standards!$B$2:$B$296,0))</f>
        <v>#ED7D31</v>
      </c>
      <c r="H334" t="s">
        <v>521</v>
      </c>
      <c r="I334" t="s">
        <v>525</v>
      </c>
      <c r="J334" t="str">
        <f>INDEX(Standards!$H$2:$H$296,MATCH(B334,Standards!$B$2:$B$296,0))</f>
        <v>BIM</v>
      </c>
      <c r="K334" t="str">
        <f>INDEX(Standards!$H$2:$H$296,MATCH(C334,Standards!$B$2:$B$296,0))</f>
        <v>Construction</v>
      </c>
      <c r="L334" t="b">
        <f>AND(TableRelationships[[#This Row],[Source Type]]="BIM",TableRelationships[[#This Row],[Target Type]]="BIM")</f>
        <v>0</v>
      </c>
      <c r="M334">
        <f t="shared" si="15"/>
        <v>1</v>
      </c>
      <c r="N334" s="81" t="s">
        <v>526</v>
      </c>
      <c r="O334">
        <f t="shared" si="16"/>
        <v>2</v>
      </c>
      <c r="P334" t="str">
        <f>IF(TableRelationships[[#This Row],[Rank Pedro]]="Low","linkCategory1",IF(TableRelationships[[#This Row],[Rank Pedro]]="Medium","linkCategory2",IF(TableRelationships[[#This Row],[Rank Pedro]]="High","linkCategory3","")))</f>
        <v>linkCategory1</v>
      </c>
      <c r="Q334" t="str">
        <f>IF(TableRelationships[[#This Row],[Rank Pedro]]="Low","Pink",IF(TableRelationships[[#This Row],[Rank Pedro]]="Medium","Purple",IF(TableRelationships[[#This Row],[Rank Pedro]]="High","Brown","")))</f>
        <v>Pink</v>
      </c>
      <c r="R334" s="4">
        <f>MAX(INDEX(Standards!$F$2:$F$296,MATCH(B334,Standards!$B$2:$B$296,0)),INDEX(Standards!$F$2:$F$296,MATCH(C334,Standards!$B$2:$B$296,0)))</f>
        <v>45420</v>
      </c>
      <c r="S334" t="str">
        <f t="shared" si="17"/>
        <v>#2f89d1</v>
      </c>
    </row>
    <row r="335" spans="1:19" x14ac:dyDescent="0.5">
      <c r="A335">
        <v>390</v>
      </c>
      <c r="B335" t="s">
        <v>254</v>
      </c>
      <c r="C335" t="s">
        <v>445</v>
      </c>
      <c r="D335">
        <f>INDEX(Standards!$A$2:$A$296,MATCH(B335,Standards!$B$2:$B$296,0))</f>
        <v>187</v>
      </c>
      <c r="E335">
        <f>INDEX(Standards!$A$2:$A$296,MATCH(C335,Standards!$B$2:$B$296,0))</f>
        <v>195</v>
      </c>
      <c r="F335" t="str">
        <f>INDEX(Standards!$N$2:$N$296,MATCH(B335,Standards!$B$2:$B$296,0))</f>
        <v>#70AD47</v>
      </c>
      <c r="G335" t="str">
        <f>INDEX(Standards!$N$2:$N$296,MATCH(C335,Standards!$B$2:$B$296,0))</f>
        <v>#F2E536</v>
      </c>
      <c r="H335" t="s">
        <v>521</v>
      </c>
      <c r="I335" t="s">
        <v>525</v>
      </c>
      <c r="J335" t="str">
        <f>INDEX(Standards!$H$2:$H$296,MATCH(B335,Standards!$B$2:$B$296,0))</f>
        <v>BIM</v>
      </c>
      <c r="K335" t="str">
        <f>INDEX(Standards!$H$2:$H$296,MATCH(C335,Standards!$B$2:$B$296,0))</f>
        <v>Technical Product Description</v>
      </c>
      <c r="L335" t="b">
        <f>AND(TableRelationships[[#This Row],[Source Type]]="BIM",TableRelationships[[#This Row],[Target Type]]="BIM")</f>
        <v>0</v>
      </c>
      <c r="M335">
        <f t="shared" si="15"/>
        <v>1</v>
      </c>
      <c r="N335" s="81" t="s">
        <v>523</v>
      </c>
      <c r="O335">
        <f t="shared" si="16"/>
        <v>10</v>
      </c>
      <c r="P335" t="str">
        <f>IF(TableRelationships[[#This Row],[Rank Pedro]]="Low","linkCategory1",IF(TableRelationships[[#This Row],[Rank Pedro]]="Medium","linkCategory2",IF(TableRelationships[[#This Row],[Rank Pedro]]="High","linkCategory3","")))</f>
        <v>linkCategory3</v>
      </c>
      <c r="Q335" t="str">
        <f>IF(TableRelationships[[#This Row],[Rank Pedro]]="Low","Pink",IF(TableRelationships[[#This Row],[Rank Pedro]]="Medium","Purple",IF(TableRelationships[[#This Row],[Rank Pedro]]="High","Brown","")))</f>
        <v>Brown</v>
      </c>
      <c r="R335" s="4">
        <f>MAX(INDEX(Standards!$F$2:$F$296,MATCH(B335,Standards!$B$2:$B$296,0)),INDEX(Standards!$F$2:$F$296,MATCH(C335,Standards!$B$2:$B$296,0)))</f>
        <v>45420</v>
      </c>
      <c r="S335" t="str">
        <f t="shared" si="17"/>
        <v>#2f89d1</v>
      </c>
    </row>
    <row r="336" spans="1:19" x14ac:dyDescent="0.5">
      <c r="A336">
        <v>391</v>
      </c>
      <c r="B336" t="s">
        <v>254</v>
      </c>
      <c r="C336" t="s">
        <v>484</v>
      </c>
      <c r="D336">
        <f>INDEX(Standards!$A$2:$A$296,MATCH(B336,Standards!$B$2:$B$296,0))</f>
        <v>187</v>
      </c>
      <c r="E336">
        <f>INDEX(Standards!$A$2:$A$296,MATCH(C336,Standards!$B$2:$B$296,0))</f>
        <v>196</v>
      </c>
      <c r="F336" t="str">
        <f>INDEX(Standards!$N$2:$N$296,MATCH(B336,Standards!$B$2:$B$296,0))</f>
        <v>#70AD47</v>
      </c>
      <c r="G336" t="str">
        <f>INDEX(Standards!$N$2:$N$296,MATCH(C336,Standards!$B$2:$B$296,0))</f>
        <v>#70AD47</v>
      </c>
      <c r="H336" t="s">
        <v>521</v>
      </c>
      <c r="I336" t="s">
        <v>525</v>
      </c>
      <c r="J336" t="str">
        <f>INDEX(Standards!$H$2:$H$296,MATCH(B336,Standards!$B$2:$B$296,0))</f>
        <v>BIM</v>
      </c>
      <c r="K336" t="str">
        <f>INDEX(Standards!$H$2:$H$296,MATCH(C336,Standards!$B$2:$B$296,0))</f>
        <v>BIM</v>
      </c>
      <c r="L336" t="b">
        <f>AND(TableRelationships[[#This Row],[Source Type]]="BIM",TableRelationships[[#This Row],[Target Type]]="BIM")</f>
        <v>1</v>
      </c>
      <c r="M336">
        <f t="shared" si="15"/>
        <v>1</v>
      </c>
      <c r="N336" s="81" t="s">
        <v>523</v>
      </c>
      <c r="O336">
        <f t="shared" si="16"/>
        <v>10</v>
      </c>
      <c r="P336" t="str">
        <f>IF(TableRelationships[[#This Row],[Rank Pedro]]="Low","linkCategory1",IF(TableRelationships[[#This Row],[Rank Pedro]]="Medium","linkCategory2",IF(TableRelationships[[#This Row],[Rank Pedro]]="High","linkCategory3","")))</f>
        <v>linkCategory3</v>
      </c>
      <c r="Q336" t="str">
        <f>IF(TableRelationships[[#This Row],[Rank Pedro]]="Low","Pink",IF(TableRelationships[[#This Row],[Rank Pedro]]="Medium","Purple",IF(TableRelationships[[#This Row],[Rank Pedro]]="High","Brown","")))</f>
        <v>Brown</v>
      </c>
      <c r="R336" s="4">
        <f>MAX(INDEX(Standards!$F$2:$F$296,MATCH(B336,Standards!$B$2:$B$296,0)),INDEX(Standards!$F$2:$F$296,MATCH(C336,Standards!$B$2:$B$296,0)))</f>
        <v>45444</v>
      </c>
      <c r="S336" t="str">
        <f t="shared" si="17"/>
        <v>#2f89d1</v>
      </c>
    </row>
    <row r="337" spans="1:19" x14ac:dyDescent="0.5">
      <c r="A337">
        <v>383</v>
      </c>
      <c r="B337" t="s">
        <v>254</v>
      </c>
      <c r="C337" t="s">
        <v>182</v>
      </c>
      <c r="D337">
        <f>INDEX(Standards!$A$2:$A$296,MATCH(B337,Standards!$B$2:$B$296,0))</f>
        <v>187</v>
      </c>
      <c r="E337">
        <f>INDEX(Standards!$A$2:$A$296,MATCH(C337,Standards!$B$2:$B$296,0))</f>
        <v>67</v>
      </c>
      <c r="F337" t="str">
        <f>INDEX(Standards!$N$2:$N$296,MATCH(B337,Standards!$B$2:$B$296,0))</f>
        <v>#70AD47</v>
      </c>
      <c r="G337" t="str">
        <f>INDEX(Standards!$N$2:$N$296,MATCH(C337,Standards!$B$2:$B$296,0))</f>
        <v>#595959</v>
      </c>
      <c r="H337" t="s">
        <v>521</v>
      </c>
      <c r="I337" s="82" t="s">
        <v>524</v>
      </c>
      <c r="J337" t="str">
        <f>INDEX(Standards!$H$2:$H$296,MATCH(B337,Standards!$B$2:$B$296,0))</f>
        <v>BIM</v>
      </c>
      <c r="K337" t="str">
        <f>INDEX(Standards!$H$2:$H$296,MATCH(C337,Standards!$B$2:$B$296,0))</f>
        <v>Other</v>
      </c>
      <c r="L337" t="b">
        <f>AND(TableRelationships[[#This Row],[Source Type]]="BIM",TableRelationships[[#This Row],[Target Type]]="BIM")</f>
        <v>0</v>
      </c>
      <c r="M337">
        <f t="shared" si="15"/>
        <v>6</v>
      </c>
      <c r="N337" s="81" t="s">
        <v>528</v>
      </c>
      <c r="O337">
        <f t="shared" si="16"/>
        <v>6</v>
      </c>
      <c r="P337" t="str">
        <f>IF(TableRelationships[[#This Row],[Rank Pedro]]="Low","linkCategory1",IF(TableRelationships[[#This Row],[Rank Pedro]]="Medium","linkCategory2",IF(TableRelationships[[#This Row],[Rank Pedro]]="High","linkCategory3","")))</f>
        <v>linkCategory2</v>
      </c>
      <c r="Q337" t="str">
        <f>IF(TableRelationships[[#This Row],[Rank Pedro]]="Low","Pink",IF(TableRelationships[[#This Row],[Rank Pedro]]="Medium","Purple",IF(TableRelationships[[#This Row],[Rank Pedro]]="High","Brown","")))</f>
        <v>Purple</v>
      </c>
      <c r="R337" s="4">
        <f>MAX(INDEX(Standards!$F$2:$F$296,MATCH(B337,Standards!$B$2:$B$296,0)),INDEX(Standards!$F$2:$F$296,MATCH(C337,Standards!$B$2:$B$296,0)))</f>
        <v>45420</v>
      </c>
      <c r="S337" t="str">
        <f t="shared" si="17"/>
        <v>#d6bf2a</v>
      </c>
    </row>
    <row r="338" spans="1:19" x14ac:dyDescent="0.5">
      <c r="A338">
        <v>412</v>
      </c>
      <c r="B338" t="s">
        <v>254</v>
      </c>
      <c r="C338" t="s">
        <v>472</v>
      </c>
      <c r="D338">
        <f>INDEX(Standards!$A$2:$A$296,MATCH(B338,Standards!$B$2:$B$296,0))</f>
        <v>187</v>
      </c>
      <c r="E338">
        <f>INDEX(Standards!$A$2:$A$296,MATCH(C338,Standards!$B$2:$B$296,0))</f>
        <v>207</v>
      </c>
      <c r="F338" t="str">
        <f>INDEX(Standards!$N$2:$N$296,MATCH(B338,Standards!$B$2:$B$296,0))</f>
        <v>#70AD47</v>
      </c>
      <c r="G338" t="str">
        <f>INDEX(Standards!$N$2:$N$296,MATCH(C338,Standards!$B$2:$B$296,0))</f>
        <v>#F2E536</v>
      </c>
      <c r="H338" t="s">
        <v>521</v>
      </c>
      <c r="I338" t="s">
        <v>525</v>
      </c>
      <c r="J338" t="str">
        <f>INDEX(Standards!$H$2:$H$296,MATCH(B338,Standards!$B$2:$B$296,0))</f>
        <v>BIM</v>
      </c>
      <c r="K338" t="str">
        <f>INDEX(Standards!$H$2:$H$296,MATCH(C338,Standards!$B$2:$B$296,0))</f>
        <v>Technical Product Description</v>
      </c>
      <c r="L338" t="b">
        <f>AND(TableRelationships[[#This Row],[Source Type]]="BIM",TableRelationships[[#This Row],[Target Type]]="BIM")</f>
        <v>0</v>
      </c>
      <c r="M338">
        <f t="shared" si="15"/>
        <v>1</v>
      </c>
      <c r="N338" s="81" t="s">
        <v>526</v>
      </c>
      <c r="O338">
        <f t="shared" si="16"/>
        <v>2</v>
      </c>
      <c r="P338" t="str">
        <f>IF(TableRelationships[[#This Row],[Rank Pedro]]="Low","linkCategory1",IF(TableRelationships[[#This Row],[Rank Pedro]]="Medium","linkCategory2",IF(TableRelationships[[#This Row],[Rank Pedro]]="High","linkCategory3","")))</f>
        <v>linkCategory1</v>
      </c>
      <c r="Q338" t="str">
        <f>IF(TableRelationships[[#This Row],[Rank Pedro]]="Low","Pink",IF(TableRelationships[[#This Row],[Rank Pedro]]="Medium","Purple",IF(TableRelationships[[#This Row],[Rank Pedro]]="High","Brown","")))</f>
        <v>Pink</v>
      </c>
      <c r="R338" s="4">
        <f>MAX(INDEX(Standards!$F$2:$F$296,MATCH(B338,Standards!$B$2:$B$296,0)),INDEX(Standards!$F$2:$F$296,MATCH(C338,Standards!$B$2:$B$296,0)))</f>
        <v>45420</v>
      </c>
      <c r="S338" t="str">
        <f t="shared" si="17"/>
        <v>#2f89d1</v>
      </c>
    </row>
    <row r="339" spans="1:19" x14ac:dyDescent="0.5">
      <c r="A339">
        <v>413</v>
      </c>
      <c r="B339" t="s">
        <v>254</v>
      </c>
      <c r="C339" t="s">
        <v>474</v>
      </c>
      <c r="D339">
        <f>INDEX(Standards!$A$2:$A$296,MATCH(B339,Standards!$B$2:$B$296,0))</f>
        <v>187</v>
      </c>
      <c r="E339">
        <f>INDEX(Standards!$A$2:$A$296,MATCH(C339,Standards!$B$2:$B$296,0))</f>
        <v>208</v>
      </c>
      <c r="F339" t="str">
        <f>INDEX(Standards!$N$2:$N$296,MATCH(B339,Standards!$B$2:$B$296,0))</f>
        <v>#70AD47</v>
      </c>
      <c r="G339" t="str">
        <f>INDEX(Standards!$N$2:$N$296,MATCH(C339,Standards!$B$2:$B$296,0))</f>
        <v>#7030A0</v>
      </c>
      <c r="H339" t="s">
        <v>521</v>
      </c>
      <c r="I339" t="s">
        <v>525</v>
      </c>
      <c r="J339" t="str">
        <f>INDEX(Standards!$H$2:$H$296,MATCH(B339,Standards!$B$2:$B$296,0))</f>
        <v>BIM</v>
      </c>
      <c r="K339" t="str">
        <f>INDEX(Standards!$H$2:$H$296,MATCH(C339,Standards!$B$2:$B$296,0))</f>
        <v>ICT</v>
      </c>
      <c r="L339" t="b">
        <f>AND(TableRelationships[[#This Row],[Source Type]]="BIM",TableRelationships[[#This Row],[Target Type]]="BIM")</f>
        <v>0</v>
      </c>
      <c r="M339">
        <f t="shared" si="15"/>
        <v>1</v>
      </c>
      <c r="N339" s="81" t="s">
        <v>526</v>
      </c>
      <c r="O339">
        <f t="shared" si="16"/>
        <v>2</v>
      </c>
      <c r="P339" t="str">
        <f>IF(TableRelationships[[#This Row],[Rank Pedro]]="Low","linkCategory1",IF(TableRelationships[[#This Row],[Rank Pedro]]="Medium","linkCategory2",IF(TableRelationships[[#This Row],[Rank Pedro]]="High","linkCategory3","")))</f>
        <v>linkCategory1</v>
      </c>
      <c r="Q339" t="str">
        <f>IF(TableRelationships[[#This Row],[Rank Pedro]]="Low","Pink",IF(TableRelationships[[#This Row],[Rank Pedro]]="Medium","Purple",IF(TableRelationships[[#This Row],[Rank Pedro]]="High","Brown","")))</f>
        <v>Pink</v>
      </c>
      <c r="R339" s="4">
        <f>MAX(INDEX(Standards!$F$2:$F$296,MATCH(B339,Standards!$B$2:$B$296,0)),INDEX(Standards!$F$2:$F$296,MATCH(C339,Standards!$B$2:$B$296,0)))</f>
        <v>45420</v>
      </c>
      <c r="S339" t="str">
        <f t="shared" si="17"/>
        <v>#2f89d1</v>
      </c>
    </row>
    <row r="340" spans="1:19" x14ac:dyDescent="0.5">
      <c r="A340">
        <v>403</v>
      </c>
      <c r="B340" t="s">
        <v>254</v>
      </c>
      <c r="C340" t="s">
        <v>463</v>
      </c>
      <c r="D340">
        <f>INDEX(Standards!$A$2:$A$296,MATCH(B340,Standards!$B$2:$B$296,0))</f>
        <v>187</v>
      </c>
      <c r="E340">
        <f>INDEX(Standards!$A$2:$A$296,MATCH(C340,Standards!$B$2:$B$296,0))</f>
        <v>203</v>
      </c>
      <c r="F340" t="str">
        <f>INDEX(Standards!$N$2:$N$296,MATCH(B340,Standards!$B$2:$B$296,0))</f>
        <v>#70AD47</v>
      </c>
      <c r="G340" t="str">
        <f>INDEX(Standards!$N$2:$N$296,MATCH(C340,Standards!$B$2:$B$296,0))</f>
        <v>#4472C4</v>
      </c>
      <c r="H340" t="s">
        <v>521</v>
      </c>
      <c r="I340" t="s">
        <v>525</v>
      </c>
      <c r="J340" t="str">
        <f>INDEX(Standards!$H$2:$H$296,MATCH(B340,Standards!$B$2:$B$296,0))</f>
        <v>BIM</v>
      </c>
      <c r="K340" t="str">
        <f>INDEX(Standards!$H$2:$H$296,MATCH(C340,Standards!$B$2:$B$296,0))</f>
        <v>Industrial Automation</v>
      </c>
      <c r="L340" t="b">
        <f>AND(TableRelationships[[#This Row],[Source Type]]="BIM",TableRelationships[[#This Row],[Target Type]]="BIM")</f>
        <v>0</v>
      </c>
      <c r="M340">
        <f t="shared" si="15"/>
        <v>1</v>
      </c>
      <c r="N340" s="81" t="s">
        <v>528</v>
      </c>
      <c r="O340">
        <f t="shared" si="16"/>
        <v>6</v>
      </c>
      <c r="P340" t="str">
        <f>IF(TableRelationships[[#This Row],[Rank Pedro]]="Low","linkCategory1",IF(TableRelationships[[#This Row],[Rank Pedro]]="Medium","linkCategory2",IF(TableRelationships[[#This Row],[Rank Pedro]]="High","linkCategory3","")))</f>
        <v>linkCategory2</v>
      </c>
      <c r="Q340" t="str">
        <f>IF(TableRelationships[[#This Row],[Rank Pedro]]="Low","Pink",IF(TableRelationships[[#This Row],[Rank Pedro]]="Medium","Purple",IF(TableRelationships[[#This Row],[Rank Pedro]]="High","Brown","")))</f>
        <v>Purple</v>
      </c>
      <c r="R340" s="4">
        <f>MAX(INDEX(Standards!$F$2:$F$296,MATCH(B340,Standards!$B$2:$B$296,0)),INDEX(Standards!$F$2:$F$296,MATCH(C340,Standards!$B$2:$B$296,0)))</f>
        <v>45420</v>
      </c>
      <c r="S340" t="str">
        <f t="shared" si="17"/>
        <v>#2f89d1</v>
      </c>
    </row>
    <row r="341" spans="1:19" x14ac:dyDescent="0.5">
      <c r="A341">
        <v>185</v>
      </c>
      <c r="B341" t="s">
        <v>376</v>
      </c>
      <c r="C341" t="s">
        <v>236</v>
      </c>
      <c r="D341">
        <f>INDEX(Standards!$A$2:$A$296,MATCH(B341,Standards!$B$2:$B$296,0))</f>
        <v>15</v>
      </c>
      <c r="E341">
        <f>INDEX(Standards!$A$2:$A$296,MATCH(C341,Standards!$B$2:$B$296,0))</f>
        <v>91</v>
      </c>
      <c r="F341" t="str">
        <f>INDEX(Standards!$N$2:$N$296,MATCH(B341,Standards!$B$2:$B$296,0))</f>
        <v>#70AD47</v>
      </c>
      <c r="G341" t="str">
        <f>INDEX(Standards!$N$2:$N$296,MATCH(C341,Standards!$B$2:$B$296,0))</f>
        <v>#F2F2F2</v>
      </c>
      <c r="H341" t="s">
        <v>521</v>
      </c>
      <c r="I341" t="s">
        <v>237</v>
      </c>
      <c r="J341" t="str">
        <f>INDEX(Standards!$H$2:$H$296,MATCH(B341,Standards!$B$2:$B$296,0))</f>
        <v>BIM</v>
      </c>
      <c r="K341" t="str">
        <f>INDEX(Standards!$H$2:$H$296,MATCH(C341,Standards!$B$2:$B$296,0))</f>
        <v>Anchor</v>
      </c>
      <c r="L341" t="b">
        <f>AND(TableRelationships[[#This Row],[Source Type]]="BIM",TableRelationships[[#This Row],[Target Type]]="BIM")</f>
        <v>0</v>
      </c>
      <c r="M341">
        <f t="shared" si="15"/>
        <v>2</v>
      </c>
      <c r="O341">
        <f t="shared" si="16"/>
        <v>1</v>
      </c>
      <c r="P341" t="str">
        <f>IF(TableRelationships[[#This Row],[Rank Pedro]]="Low","linkCategory1",IF(TableRelationships[[#This Row],[Rank Pedro]]="Medium","linkCategory2",IF(TableRelationships[[#This Row],[Rank Pedro]]="High","linkCategory3","")))</f>
        <v/>
      </c>
      <c r="Q341" t="str">
        <f>IF(TableRelationships[[#This Row],[Rank Pedro]]="Low","Pink",IF(TableRelationships[[#This Row],[Rank Pedro]]="Medium","Purple",IF(TableRelationships[[#This Row],[Rank Pedro]]="High","Brown","")))</f>
        <v/>
      </c>
      <c r="R341" s="4">
        <f>MAX(INDEX(Standards!$F$2:$F$296,MATCH(B341,Standards!$B$2:$B$296,0)),INDEX(Standards!$F$2:$F$296,MATCH(C341,Standards!$B$2:$B$296,0)))</f>
        <v>39448</v>
      </c>
      <c r="S341">
        <f t="shared" si="17"/>
        <v>1</v>
      </c>
    </row>
    <row r="342" spans="1:19" x14ac:dyDescent="0.5">
      <c r="A342">
        <v>288</v>
      </c>
      <c r="B342" t="s">
        <v>376</v>
      </c>
      <c r="C342" t="s">
        <v>63</v>
      </c>
      <c r="D342">
        <f>INDEX(Standards!$A$2:$A$296,MATCH(B342,Standards!$B$2:$B$296,0))</f>
        <v>15</v>
      </c>
      <c r="E342">
        <f>INDEX(Standards!$A$2:$A$296,MATCH(C342,Standards!$B$2:$B$296,0))</f>
        <v>6</v>
      </c>
      <c r="F342" t="str">
        <f>INDEX(Standards!$N$2:$N$296,MATCH(B342,Standards!$B$2:$B$296,0))</f>
        <v>#70AD47</v>
      </c>
      <c r="G342" t="str">
        <f>INDEX(Standards!$N$2:$N$296,MATCH(C342,Standards!$B$2:$B$296,0))</f>
        <v>#70AD47</v>
      </c>
      <c r="H342" t="s">
        <v>521</v>
      </c>
      <c r="I342" t="s">
        <v>524</v>
      </c>
      <c r="J342" t="str">
        <f>INDEX(Standards!$H$2:$H$296,MATCH(B342,Standards!$B$2:$B$296,0))</f>
        <v>BIM</v>
      </c>
      <c r="K342" t="str">
        <f>INDEX(Standards!$H$2:$H$296,MATCH(C342,Standards!$B$2:$B$296,0))</f>
        <v>BIM</v>
      </c>
      <c r="L342" t="b">
        <f>AND(TableRelationships[[#This Row],[Source Type]]="BIM",TableRelationships[[#This Row],[Target Type]]="BIM")</f>
        <v>1</v>
      </c>
      <c r="M342">
        <f t="shared" si="15"/>
        <v>6</v>
      </c>
      <c r="N342" t="s">
        <v>528</v>
      </c>
      <c r="O342">
        <f t="shared" si="16"/>
        <v>6</v>
      </c>
      <c r="P342" t="str">
        <f>IF(TableRelationships[[#This Row],[Rank Pedro]]="Low","linkCategory1",IF(TableRelationships[[#This Row],[Rank Pedro]]="Medium","linkCategory2",IF(TableRelationships[[#This Row],[Rank Pedro]]="High","linkCategory3","")))</f>
        <v>linkCategory2</v>
      </c>
      <c r="Q342" t="str">
        <f>IF(TableRelationships[[#This Row],[Rank Pedro]]="Low","Pink",IF(TableRelationships[[#This Row],[Rank Pedro]]="Medium","Purple",IF(TableRelationships[[#This Row],[Rank Pedro]]="High","Brown","")))</f>
        <v>Purple</v>
      </c>
      <c r="R342" s="4">
        <f>MAX(INDEX(Standards!$F$2:$F$296,MATCH(B342,Standards!$B$2:$B$296,0)),INDEX(Standards!$F$2:$F$296,MATCH(C342,Standards!$B$2:$B$296,0)))</f>
        <v>39448</v>
      </c>
      <c r="S342" t="str">
        <f t="shared" si="17"/>
        <v>#d6bf2a</v>
      </c>
    </row>
    <row r="343" spans="1:19" x14ac:dyDescent="0.5">
      <c r="A343">
        <v>292</v>
      </c>
      <c r="B343" t="s">
        <v>376</v>
      </c>
      <c r="C343" t="s">
        <v>96</v>
      </c>
      <c r="D343">
        <f>INDEX(Standards!$A$2:$A$296,MATCH(B343,Standards!$B$2:$B$296,0))</f>
        <v>15</v>
      </c>
      <c r="E343">
        <f>INDEX(Standards!$A$2:$A$296,MATCH(C343,Standards!$B$2:$B$296,0))</f>
        <v>27</v>
      </c>
      <c r="F343" t="str">
        <f>INDEX(Standards!$N$2:$N$296,MATCH(B343,Standards!$B$2:$B$296,0))</f>
        <v>#70AD47</v>
      </c>
      <c r="G343" t="str">
        <f>INDEX(Standards!$N$2:$N$296,MATCH(C343,Standards!$B$2:$B$296,0))</f>
        <v>#70AD47</v>
      </c>
      <c r="H343" t="s">
        <v>521</v>
      </c>
      <c r="I343" t="s">
        <v>525</v>
      </c>
      <c r="J343" t="str">
        <f>INDEX(Standards!$H$2:$H$296,MATCH(B343,Standards!$B$2:$B$296,0))</f>
        <v>BIM</v>
      </c>
      <c r="K343" t="str">
        <f>INDEX(Standards!$H$2:$H$296,MATCH(C343,Standards!$B$2:$B$296,0))</f>
        <v>BIM</v>
      </c>
      <c r="L343" t="b">
        <f>AND(TableRelationships[[#This Row],[Source Type]]="BIM",TableRelationships[[#This Row],[Target Type]]="BIM")</f>
        <v>1</v>
      </c>
      <c r="M343">
        <f t="shared" si="15"/>
        <v>1</v>
      </c>
      <c r="N343" t="s">
        <v>528</v>
      </c>
      <c r="O343">
        <f t="shared" si="16"/>
        <v>6</v>
      </c>
      <c r="P343" t="str">
        <f>IF(TableRelationships[[#This Row],[Rank Pedro]]="Low","linkCategory1",IF(TableRelationships[[#This Row],[Rank Pedro]]="Medium","linkCategory2",IF(TableRelationships[[#This Row],[Rank Pedro]]="High","linkCategory3","")))</f>
        <v>linkCategory2</v>
      </c>
      <c r="Q343" t="str">
        <f>IF(TableRelationships[[#This Row],[Rank Pedro]]="Low","Pink",IF(TableRelationships[[#This Row],[Rank Pedro]]="Medium","Purple",IF(TableRelationships[[#This Row],[Rank Pedro]]="High","Brown","")))</f>
        <v>Purple</v>
      </c>
      <c r="R343" s="4">
        <f>MAX(INDEX(Standards!$F$2:$F$296,MATCH(B343,Standards!$B$2:$B$296,0)),INDEX(Standards!$F$2:$F$296,MATCH(C343,Standards!$B$2:$B$296,0)))</f>
        <v>40909</v>
      </c>
      <c r="S343" t="str">
        <f t="shared" si="17"/>
        <v>#2f89d1</v>
      </c>
    </row>
    <row r="344" spans="1:19" x14ac:dyDescent="0.5">
      <c r="A344">
        <v>290</v>
      </c>
      <c r="B344" t="s">
        <v>376</v>
      </c>
      <c r="C344" t="s">
        <v>210</v>
      </c>
      <c r="D344">
        <f>INDEX(Standards!$A$2:$A$296,MATCH(B344,Standards!$B$2:$B$296,0))</f>
        <v>15</v>
      </c>
      <c r="E344">
        <f>INDEX(Standards!$A$2:$A$296,MATCH(C344,Standards!$B$2:$B$296,0))</f>
        <v>9</v>
      </c>
      <c r="F344" t="str">
        <f>INDEX(Standards!$N$2:$N$296,MATCH(B344,Standards!$B$2:$B$296,0))</f>
        <v>#70AD47</v>
      </c>
      <c r="G344" t="str">
        <f>INDEX(Standards!$N$2:$N$296,MATCH(C344,Standards!$B$2:$B$296,0))</f>
        <v>#70AD47</v>
      </c>
      <c r="H344" t="s">
        <v>521</v>
      </c>
      <c r="I344" t="s">
        <v>525</v>
      </c>
      <c r="J344" t="str">
        <f>INDEX(Standards!$H$2:$H$296,MATCH(B344,Standards!$B$2:$B$296,0))</f>
        <v>BIM</v>
      </c>
      <c r="K344" t="str">
        <f>INDEX(Standards!$H$2:$H$296,MATCH(C344,Standards!$B$2:$B$296,0))</f>
        <v>BIM</v>
      </c>
      <c r="L344" t="b">
        <f>AND(TableRelationships[[#This Row],[Source Type]]="BIM",TableRelationships[[#This Row],[Target Type]]="BIM")</f>
        <v>1</v>
      </c>
      <c r="M344">
        <f t="shared" si="15"/>
        <v>1</v>
      </c>
      <c r="N344" t="s">
        <v>528</v>
      </c>
      <c r="O344">
        <f t="shared" si="16"/>
        <v>6</v>
      </c>
      <c r="P344" t="str">
        <f>IF(TableRelationships[[#This Row],[Rank Pedro]]="Low","linkCategory1",IF(TableRelationships[[#This Row],[Rank Pedro]]="Medium","linkCategory2",IF(TableRelationships[[#This Row],[Rank Pedro]]="High","linkCategory3","")))</f>
        <v>linkCategory2</v>
      </c>
      <c r="Q344" t="str">
        <f>IF(TableRelationships[[#This Row],[Rank Pedro]]="Low","Pink",IF(TableRelationships[[#This Row],[Rank Pedro]]="Medium","Purple",IF(TableRelationships[[#This Row],[Rank Pedro]]="High","Brown","")))</f>
        <v>Purple</v>
      </c>
      <c r="R344" s="4">
        <f>MAX(INDEX(Standards!$F$2:$F$296,MATCH(B344,Standards!$B$2:$B$296,0)),INDEX(Standards!$F$2:$F$296,MATCH(C344,Standards!$B$2:$B$296,0)))</f>
        <v>43453</v>
      </c>
      <c r="S344" t="str">
        <f t="shared" si="17"/>
        <v>#2f89d1</v>
      </c>
    </row>
    <row r="345" spans="1:19" x14ac:dyDescent="0.5">
      <c r="A345">
        <v>291</v>
      </c>
      <c r="B345" t="s">
        <v>376</v>
      </c>
      <c r="C345" t="s">
        <v>214</v>
      </c>
      <c r="D345">
        <f>INDEX(Standards!$A$2:$A$296,MATCH(B345,Standards!$B$2:$B$296,0))</f>
        <v>15</v>
      </c>
      <c r="E345">
        <f>INDEX(Standards!$A$2:$A$296,MATCH(C345,Standards!$B$2:$B$296,0))</f>
        <v>10</v>
      </c>
      <c r="F345" t="str">
        <f>INDEX(Standards!$N$2:$N$296,MATCH(B345,Standards!$B$2:$B$296,0))</f>
        <v>#70AD47</v>
      </c>
      <c r="G345" t="str">
        <f>INDEX(Standards!$N$2:$N$296,MATCH(C345,Standards!$B$2:$B$296,0))</f>
        <v>#70AD47</v>
      </c>
      <c r="H345" t="s">
        <v>521</v>
      </c>
      <c r="I345" t="s">
        <v>525</v>
      </c>
      <c r="J345" t="str">
        <f>INDEX(Standards!$H$2:$H$296,MATCH(B345,Standards!$B$2:$B$296,0))</f>
        <v>BIM</v>
      </c>
      <c r="K345" t="str">
        <f>INDEX(Standards!$H$2:$H$296,MATCH(C345,Standards!$B$2:$B$296,0))</f>
        <v>BIM</v>
      </c>
      <c r="L345" t="b">
        <f>AND(TableRelationships[[#This Row],[Source Type]]="BIM",TableRelationships[[#This Row],[Target Type]]="BIM")</f>
        <v>1</v>
      </c>
      <c r="M345">
        <f t="shared" si="15"/>
        <v>1</v>
      </c>
      <c r="N345" t="s">
        <v>528</v>
      </c>
      <c r="O345">
        <f t="shared" si="16"/>
        <v>6</v>
      </c>
      <c r="P345" t="str">
        <f>IF(TableRelationships[[#This Row],[Rank Pedro]]="Low","linkCategory1",IF(TableRelationships[[#This Row],[Rank Pedro]]="Medium","linkCategory2",IF(TableRelationships[[#This Row],[Rank Pedro]]="High","linkCategory3","")))</f>
        <v>linkCategory2</v>
      </c>
      <c r="Q345" t="str">
        <f>IF(TableRelationships[[#This Row],[Rank Pedro]]="Low","Pink",IF(TableRelationships[[#This Row],[Rank Pedro]]="Medium","Purple",IF(TableRelationships[[#This Row],[Rank Pedro]]="High","Brown","")))</f>
        <v>Purple</v>
      </c>
      <c r="R345" s="4">
        <f>MAX(INDEX(Standards!$F$2:$F$296,MATCH(B345,Standards!$B$2:$B$296,0)),INDEX(Standards!$F$2:$F$296,MATCH(C345,Standards!$B$2:$B$296,0)))</f>
        <v>43453</v>
      </c>
      <c r="S345" t="str">
        <f t="shared" si="17"/>
        <v>#2f89d1</v>
      </c>
    </row>
    <row r="346" spans="1:19" x14ac:dyDescent="0.5">
      <c r="A346">
        <v>289</v>
      </c>
      <c r="B346" t="s">
        <v>376</v>
      </c>
      <c r="C346" t="s">
        <v>85</v>
      </c>
      <c r="D346">
        <f>INDEX(Standards!$A$2:$A$296,MATCH(B346,Standards!$B$2:$B$296,0))</f>
        <v>15</v>
      </c>
      <c r="E346">
        <f>INDEX(Standards!$A$2:$A$296,MATCH(C346,Standards!$B$2:$B$296,0))</f>
        <v>22</v>
      </c>
      <c r="F346" t="str">
        <f>INDEX(Standards!$N$2:$N$296,MATCH(B346,Standards!$B$2:$B$296,0))</f>
        <v>#70AD47</v>
      </c>
      <c r="G346" t="str">
        <f>INDEX(Standards!$N$2:$N$296,MATCH(C346,Standards!$B$2:$B$296,0))</f>
        <v>#C00000</v>
      </c>
      <c r="H346" t="s">
        <v>521</v>
      </c>
      <c r="I346" t="s">
        <v>524</v>
      </c>
      <c r="J346" t="str">
        <f>INDEX(Standards!$H$2:$H$296,MATCH(B346,Standards!$B$2:$B$296,0))</f>
        <v>BIM</v>
      </c>
      <c r="K346" t="str">
        <f>INDEX(Standards!$H$2:$H$296,MATCH(C346,Standards!$B$2:$B$296,0))</f>
        <v>Quality Management</v>
      </c>
      <c r="L346" t="b">
        <f>AND(TableRelationships[[#This Row],[Source Type]]="BIM",TableRelationships[[#This Row],[Target Type]]="BIM")</f>
        <v>0</v>
      </c>
      <c r="M346">
        <f t="shared" si="15"/>
        <v>6</v>
      </c>
      <c r="N346" t="s">
        <v>526</v>
      </c>
      <c r="O346">
        <f t="shared" si="16"/>
        <v>2</v>
      </c>
      <c r="P346" t="str">
        <f>IF(TableRelationships[[#This Row],[Rank Pedro]]="Low","linkCategory1",IF(TableRelationships[[#This Row],[Rank Pedro]]="Medium","linkCategory2",IF(TableRelationships[[#This Row],[Rank Pedro]]="High","linkCategory3","")))</f>
        <v>linkCategory1</v>
      </c>
      <c r="Q346" t="str">
        <f>IF(TableRelationships[[#This Row],[Rank Pedro]]="Low","Pink",IF(TableRelationships[[#This Row],[Rank Pedro]]="Medium","Purple",IF(TableRelationships[[#This Row],[Rank Pedro]]="High","Brown","")))</f>
        <v>Pink</v>
      </c>
      <c r="R346" s="4">
        <f>MAX(INDEX(Standards!$F$2:$F$296,MATCH(B346,Standards!$B$2:$B$296,0)),INDEX(Standards!$F$2:$F$296,MATCH(C346,Standards!$B$2:$B$296,0)))</f>
        <v>39448</v>
      </c>
      <c r="S346" t="str">
        <f t="shared" si="17"/>
        <v>#d6bf2a</v>
      </c>
    </row>
    <row r="347" spans="1:19" x14ac:dyDescent="0.5">
      <c r="A347">
        <v>196</v>
      </c>
      <c r="B347" t="s">
        <v>388</v>
      </c>
      <c r="C347" t="s">
        <v>236</v>
      </c>
      <c r="D347">
        <f>INDEX(Standards!$A$2:$A$296,MATCH(B347,Standards!$B$2:$B$296,0))</f>
        <v>63</v>
      </c>
      <c r="E347">
        <f>INDEX(Standards!$A$2:$A$296,MATCH(C347,Standards!$B$2:$B$296,0))</f>
        <v>91</v>
      </c>
      <c r="F347" t="str">
        <f>INDEX(Standards!$N$2:$N$296,MATCH(B347,Standards!$B$2:$B$296,0))</f>
        <v>#70AD47</v>
      </c>
      <c r="G347" t="str">
        <f>INDEX(Standards!$N$2:$N$296,MATCH(C347,Standards!$B$2:$B$296,0))</f>
        <v>#F2F2F2</v>
      </c>
      <c r="H347" t="s">
        <v>521</v>
      </c>
      <c r="I347" t="s">
        <v>237</v>
      </c>
      <c r="J347" t="str">
        <f>INDEX(Standards!$H$2:$H$296,MATCH(B347,Standards!$B$2:$B$296,0))</f>
        <v>BIM</v>
      </c>
      <c r="K347" t="str">
        <f>INDEX(Standards!$H$2:$H$296,MATCH(C347,Standards!$B$2:$B$296,0))</f>
        <v>Anchor</v>
      </c>
      <c r="L347" t="b">
        <f>AND(TableRelationships[[#This Row],[Source Type]]="BIM",TableRelationships[[#This Row],[Target Type]]="BIM")</f>
        <v>0</v>
      </c>
      <c r="M347">
        <f t="shared" si="15"/>
        <v>2</v>
      </c>
      <c r="O347">
        <f t="shared" si="16"/>
        <v>1</v>
      </c>
      <c r="P347" t="str">
        <f>IF(TableRelationships[[#This Row],[Rank Pedro]]="Low","linkCategory1",IF(TableRelationships[[#This Row],[Rank Pedro]]="Medium","linkCategory2",IF(TableRelationships[[#This Row],[Rank Pedro]]="High","linkCategory3","")))</f>
        <v/>
      </c>
      <c r="Q347" t="str">
        <f>IF(TableRelationships[[#This Row],[Rank Pedro]]="Low","Pink",IF(TableRelationships[[#This Row],[Rank Pedro]]="Medium","Purple",IF(TableRelationships[[#This Row],[Rank Pedro]]="High","Brown","")))</f>
        <v/>
      </c>
      <c r="R347" s="4">
        <f>MAX(INDEX(Standards!$F$2:$F$296,MATCH(B347,Standards!$B$2:$B$296,0)),INDEX(Standards!$F$2:$F$296,MATCH(C347,Standards!$B$2:$B$296,0)))</f>
        <v>43915</v>
      </c>
      <c r="S347">
        <f t="shared" si="17"/>
        <v>1</v>
      </c>
    </row>
    <row r="348" spans="1:19" x14ac:dyDescent="0.5">
      <c r="A348">
        <v>150</v>
      </c>
      <c r="B348" t="s">
        <v>388</v>
      </c>
      <c r="C348" t="s">
        <v>208</v>
      </c>
      <c r="D348">
        <f>INDEX(Standards!$A$2:$A$296,MATCH(B348,Standards!$B$2:$B$296,0))</f>
        <v>63</v>
      </c>
      <c r="E348">
        <f>INDEX(Standards!$A$2:$A$296,MATCH(C348,Standards!$B$2:$B$296,0))</f>
        <v>80</v>
      </c>
      <c r="F348" t="str">
        <f>INDEX(Standards!$N$2:$N$296,MATCH(B348,Standards!$B$2:$B$296,0))</f>
        <v>#70AD47</v>
      </c>
      <c r="G348" t="str">
        <f>INDEX(Standards!$N$2:$N$296,MATCH(C348,Standards!$B$2:$B$296,0))</f>
        <v>#ED7D31</v>
      </c>
      <c r="H348" t="s">
        <v>521</v>
      </c>
      <c r="I348" t="s">
        <v>525</v>
      </c>
      <c r="J348" t="str">
        <f>INDEX(Standards!$H$2:$H$296,MATCH(B348,Standards!$B$2:$B$296,0))</f>
        <v>BIM</v>
      </c>
      <c r="K348" t="str">
        <f>INDEX(Standards!$H$2:$H$296,MATCH(C348,Standards!$B$2:$B$296,0))</f>
        <v>Construction</v>
      </c>
      <c r="L348" t="b">
        <f>AND(TableRelationships[[#This Row],[Source Type]]="BIM",TableRelationships[[#This Row],[Target Type]]="BIM")</f>
        <v>0</v>
      </c>
      <c r="M348">
        <f t="shared" si="15"/>
        <v>1</v>
      </c>
      <c r="N348" t="s">
        <v>526</v>
      </c>
      <c r="O348">
        <f t="shared" si="16"/>
        <v>2</v>
      </c>
      <c r="P348" t="str">
        <f>IF(TableRelationships[[#This Row],[Rank Pedro]]="Low","linkCategory1",IF(TableRelationships[[#This Row],[Rank Pedro]]="Medium","linkCategory2",IF(TableRelationships[[#This Row],[Rank Pedro]]="High","linkCategory3","")))</f>
        <v>linkCategory1</v>
      </c>
      <c r="Q348" t="str">
        <f>IF(TableRelationships[[#This Row],[Rank Pedro]]="Low","Pink",IF(TableRelationships[[#This Row],[Rank Pedro]]="Medium","Purple",IF(TableRelationships[[#This Row],[Rank Pedro]]="High","Brown","")))</f>
        <v>Pink</v>
      </c>
      <c r="R348" s="4">
        <f>MAX(INDEX(Standards!$F$2:$F$296,MATCH(B348,Standards!$B$2:$B$296,0)),INDEX(Standards!$F$2:$F$296,MATCH(C348,Standards!$B$2:$B$296,0)))</f>
        <v>43915</v>
      </c>
      <c r="S348" t="str">
        <f t="shared" si="17"/>
        <v>#2f89d1</v>
      </c>
    </row>
    <row r="349" spans="1:19" x14ac:dyDescent="0.5">
      <c r="A349">
        <v>139</v>
      </c>
      <c r="B349" t="s">
        <v>388</v>
      </c>
      <c r="C349" t="s">
        <v>196</v>
      </c>
      <c r="D349">
        <f>INDEX(Standards!$A$2:$A$296,MATCH(B349,Standards!$B$2:$B$296,0))</f>
        <v>63</v>
      </c>
      <c r="E349">
        <f>INDEX(Standards!$A$2:$A$296,MATCH(C349,Standards!$B$2:$B$296,0))</f>
        <v>74</v>
      </c>
      <c r="F349" t="str">
        <f>INDEX(Standards!$N$2:$N$296,MATCH(B349,Standards!$B$2:$B$296,0))</f>
        <v>#70AD47</v>
      </c>
      <c r="G349" t="str">
        <f>INDEX(Standards!$N$2:$N$296,MATCH(C349,Standards!$B$2:$B$296,0))</f>
        <v>#ED7D31</v>
      </c>
      <c r="H349" t="s">
        <v>521</v>
      </c>
      <c r="I349" t="s">
        <v>525</v>
      </c>
      <c r="J349" t="str">
        <f>INDEX(Standards!$H$2:$H$296,MATCH(B349,Standards!$B$2:$B$296,0))</f>
        <v>BIM</v>
      </c>
      <c r="K349" t="str">
        <f>INDEX(Standards!$H$2:$H$296,MATCH(C349,Standards!$B$2:$B$296,0))</f>
        <v>Construction</v>
      </c>
      <c r="L349" t="b">
        <f>AND(TableRelationships[[#This Row],[Source Type]]="BIM",TableRelationships[[#This Row],[Target Type]]="BIM")</f>
        <v>0</v>
      </c>
      <c r="M349">
        <f t="shared" si="15"/>
        <v>1</v>
      </c>
      <c r="N349" t="s">
        <v>526</v>
      </c>
      <c r="O349">
        <f t="shared" si="16"/>
        <v>2</v>
      </c>
      <c r="P349" t="str">
        <f>IF(TableRelationships[[#This Row],[Rank Pedro]]="Low","linkCategory1",IF(TableRelationships[[#This Row],[Rank Pedro]]="Medium","linkCategory2",IF(TableRelationships[[#This Row],[Rank Pedro]]="High","linkCategory3","")))</f>
        <v>linkCategory1</v>
      </c>
      <c r="Q349" t="str">
        <f>IF(TableRelationships[[#This Row],[Rank Pedro]]="Low","Pink",IF(TableRelationships[[#This Row],[Rank Pedro]]="Medium","Purple",IF(TableRelationships[[#This Row],[Rank Pedro]]="High","Brown","")))</f>
        <v>Pink</v>
      </c>
      <c r="R349" s="4">
        <f>MAX(INDEX(Standards!$F$2:$F$296,MATCH(B349,Standards!$B$2:$B$296,0)),INDEX(Standards!$F$2:$F$296,MATCH(C349,Standards!$B$2:$B$296,0)))</f>
        <v>43915</v>
      </c>
      <c r="S349" t="str">
        <f t="shared" si="17"/>
        <v>#2f89d1</v>
      </c>
    </row>
    <row r="350" spans="1:19" x14ac:dyDescent="0.5">
      <c r="A350">
        <v>136</v>
      </c>
      <c r="B350" t="s">
        <v>388</v>
      </c>
      <c r="C350" t="s">
        <v>68</v>
      </c>
      <c r="D350">
        <f>INDEX(Standards!$A$2:$A$296,MATCH(B350,Standards!$B$2:$B$296,0))</f>
        <v>63</v>
      </c>
      <c r="E350">
        <f>INDEX(Standards!$A$2:$A$296,MATCH(C350,Standards!$B$2:$B$296,0))</f>
        <v>7</v>
      </c>
      <c r="F350" t="str">
        <f>INDEX(Standards!$N$2:$N$296,MATCH(B350,Standards!$B$2:$B$296,0))</f>
        <v>#70AD47</v>
      </c>
      <c r="G350" t="str">
        <f>INDEX(Standards!$N$2:$N$296,MATCH(C350,Standards!$B$2:$B$296,0))</f>
        <v>#70AD47</v>
      </c>
      <c r="H350" t="s">
        <v>521</v>
      </c>
      <c r="I350" t="s">
        <v>524</v>
      </c>
      <c r="J350" t="str">
        <f>INDEX(Standards!$H$2:$H$296,MATCH(B350,Standards!$B$2:$B$296,0))</f>
        <v>BIM</v>
      </c>
      <c r="K350" t="str">
        <f>INDEX(Standards!$H$2:$H$296,MATCH(C350,Standards!$B$2:$B$296,0))</f>
        <v>BIM</v>
      </c>
      <c r="L350" t="b">
        <f>AND(TableRelationships[[#This Row],[Source Type]]="BIM",TableRelationships[[#This Row],[Target Type]]="BIM")</f>
        <v>1</v>
      </c>
      <c r="M350">
        <f t="shared" si="15"/>
        <v>6</v>
      </c>
      <c r="N350" t="s">
        <v>523</v>
      </c>
      <c r="O350">
        <f t="shared" si="16"/>
        <v>10</v>
      </c>
      <c r="P350" t="str">
        <f>IF(TableRelationships[[#This Row],[Rank Pedro]]="Low","linkCategory1",IF(TableRelationships[[#This Row],[Rank Pedro]]="Medium","linkCategory2",IF(TableRelationships[[#This Row],[Rank Pedro]]="High","linkCategory3","")))</f>
        <v>linkCategory3</v>
      </c>
      <c r="Q350" t="str">
        <f>IF(TableRelationships[[#This Row],[Rank Pedro]]="Low","Pink",IF(TableRelationships[[#This Row],[Rank Pedro]]="Medium","Purple",IF(TableRelationships[[#This Row],[Rank Pedro]]="High","Brown","")))</f>
        <v>Brown</v>
      </c>
      <c r="R350" s="4">
        <f>MAX(INDEX(Standards!$F$2:$F$296,MATCH(B350,Standards!$B$2:$B$296,0)),INDEX(Standards!$F$2:$F$296,MATCH(C350,Standards!$B$2:$B$296,0)))</f>
        <v>43915</v>
      </c>
      <c r="S350" t="str">
        <f t="shared" si="17"/>
        <v>#d6bf2a</v>
      </c>
    </row>
    <row r="351" spans="1:19" x14ac:dyDescent="0.5">
      <c r="A351">
        <v>141</v>
      </c>
      <c r="B351" t="s">
        <v>388</v>
      </c>
      <c r="C351" t="s">
        <v>200</v>
      </c>
      <c r="D351">
        <f>INDEX(Standards!$A$2:$A$296,MATCH(B351,Standards!$B$2:$B$296,0))</f>
        <v>63</v>
      </c>
      <c r="E351">
        <f>INDEX(Standards!$A$2:$A$296,MATCH(C351,Standards!$B$2:$B$296,0))</f>
        <v>76</v>
      </c>
      <c r="F351" t="str">
        <f>INDEX(Standards!$N$2:$N$296,MATCH(B351,Standards!$B$2:$B$296,0))</f>
        <v>#70AD47</v>
      </c>
      <c r="G351" t="str">
        <f>INDEX(Standards!$N$2:$N$296,MATCH(C351,Standards!$B$2:$B$296,0))</f>
        <v>#595959</v>
      </c>
      <c r="H351" t="s">
        <v>521</v>
      </c>
      <c r="I351" t="s">
        <v>525</v>
      </c>
      <c r="J351" t="str">
        <f>INDEX(Standards!$H$2:$H$296,MATCH(B351,Standards!$B$2:$B$296,0))</f>
        <v>BIM</v>
      </c>
      <c r="K351" t="str">
        <f>INDEX(Standards!$H$2:$H$296,MATCH(C351,Standards!$B$2:$B$296,0))</f>
        <v>Other</v>
      </c>
      <c r="L351" t="b">
        <f>AND(TableRelationships[[#This Row],[Source Type]]="BIM",TableRelationships[[#This Row],[Target Type]]="BIM")</f>
        <v>0</v>
      </c>
      <c r="M351">
        <f t="shared" si="15"/>
        <v>1</v>
      </c>
      <c r="N351" t="s">
        <v>526</v>
      </c>
      <c r="O351">
        <f t="shared" si="16"/>
        <v>2</v>
      </c>
      <c r="P351" t="str">
        <f>IF(TableRelationships[[#This Row],[Rank Pedro]]="Low","linkCategory1",IF(TableRelationships[[#This Row],[Rank Pedro]]="Medium","linkCategory2",IF(TableRelationships[[#This Row],[Rank Pedro]]="High","linkCategory3","")))</f>
        <v>linkCategory1</v>
      </c>
      <c r="Q351" t="str">
        <f>IF(TableRelationships[[#This Row],[Rank Pedro]]="Low","Pink",IF(TableRelationships[[#This Row],[Rank Pedro]]="Medium","Purple",IF(TableRelationships[[#This Row],[Rank Pedro]]="High","Brown","")))</f>
        <v>Pink</v>
      </c>
      <c r="R351" s="4">
        <f>MAX(INDEX(Standards!$F$2:$F$296,MATCH(B351,Standards!$B$2:$B$296,0)),INDEX(Standards!$F$2:$F$296,MATCH(C351,Standards!$B$2:$B$296,0)))</f>
        <v>43915</v>
      </c>
      <c r="S351" t="str">
        <f t="shared" si="17"/>
        <v>#2f89d1</v>
      </c>
    </row>
    <row r="352" spans="1:19" x14ac:dyDescent="0.5">
      <c r="A352">
        <v>142</v>
      </c>
      <c r="B352" t="s">
        <v>388</v>
      </c>
      <c r="C352" t="s">
        <v>150</v>
      </c>
      <c r="D352">
        <f>INDEX(Standards!$A$2:$A$296,MATCH(B352,Standards!$B$2:$B$296,0))</f>
        <v>63</v>
      </c>
      <c r="E352">
        <f>INDEX(Standards!$A$2:$A$296,MATCH(C352,Standards!$B$2:$B$296,0))</f>
        <v>53</v>
      </c>
      <c r="F352" t="str">
        <f>INDEX(Standards!$N$2:$N$296,MATCH(B352,Standards!$B$2:$B$296,0))</f>
        <v>#70AD47</v>
      </c>
      <c r="G352" t="str">
        <f>INDEX(Standards!$N$2:$N$296,MATCH(C352,Standards!$B$2:$B$296,0))</f>
        <v>#4472C4</v>
      </c>
      <c r="H352" t="s">
        <v>521</v>
      </c>
      <c r="I352" t="s">
        <v>525</v>
      </c>
      <c r="J352" t="str">
        <f>INDEX(Standards!$H$2:$H$296,MATCH(B352,Standards!$B$2:$B$296,0))</f>
        <v>BIM</v>
      </c>
      <c r="K352" t="str">
        <f>INDEX(Standards!$H$2:$H$296,MATCH(C352,Standards!$B$2:$B$296,0))</f>
        <v>Industrial Automation</v>
      </c>
      <c r="L352" t="b">
        <f>AND(TableRelationships[[#This Row],[Source Type]]="BIM",TableRelationships[[#This Row],[Target Type]]="BIM")</f>
        <v>0</v>
      </c>
      <c r="M352">
        <f t="shared" si="15"/>
        <v>1</v>
      </c>
      <c r="N352" t="s">
        <v>528</v>
      </c>
      <c r="O352">
        <f t="shared" si="16"/>
        <v>6</v>
      </c>
      <c r="P352" t="str">
        <f>IF(TableRelationships[[#This Row],[Rank Pedro]]="Low","linkCategory1",IF(TableRelationships[[#This Row],[Rank Pedro]]="Medium","linkCategory2",IF(TableRelationships[[#This Row],[Rank Pedro]]="High","linkCategory3","")))</f>
        <v>linkCategory2</v>
      </c>
      <c r="Q352" t="str">
        <f>IF(TableRelationships[[#This Row],[Rank Pedro]]="Low","Pink",IF(TableRelationships[[#This Row],[Rank Pedro]]="Medium","Purple",IF(TableRelationships[[#This Row],[Rank Pedro]]="High","Brown","")))</f>
        <v>Purple</v>
      </c>
      <c r="R352" s="4">
        <f>MAX(INDEX(Standards!$F$2:$F$296,MATCH(B352,Standards!$B$2:$B$296,0)),INDEX(Standards!$F$2:$F$296,MATCH(C352,Standards!$B$2:$B$296,0)))</f>
        <v>43915</v>
      </c>
      <c r="S352" t="str">
        <f t="shared" si="17"/>
        <v>#2f89d1</v>
      </c>
    </row>
    <row r="353" spans="1:19" x14ac:dyDescent="0.5">
      <c r="A353">
        <v>145</v>
      </c>
      <c r="B353" t="s">
        <v>388</v>
      </c>
      <c r="C353" t="s">
        <v>206</v>
      </c>
      <c r="D353">
        <f>INDEX(Standards!$A$2:$A$296,MATCH(B353,Standards!$B$2:$B$296,0))</f>
        <v>63</v>
      </c>
      <c r="E353">
        <f>INDEX(Standards!$A$2:$A$296,MATCH(C353,Standards!$B$2:$B$296,0))</f>
        <v>79</v>
      </c>
      <c r="F353" t="str">
        <f>INDEX(Standards!$N$2:$N$296,MATCH(B353,Standards!$B$2:$B$296,0))</f>
        <v>#70AD47</v>
      </c>
      <c r="G353" t="str">
        <f>INDEX(Standards!$N$2:$N$296,MATCH(C353,Standards!$B$2:$B$296,0))</f>
        <v>#7030A0</v>
      </c>
      <c r="H353" t="s">
        <v>521</v>
      </c>
      <c r="I353" t="s">
        <v>525</v>
      </c>
      <c r="J353" t="str">
        <f>INDEX(Standards!$H$2:$H$296,MATCH(B353,Standards!$B$2:$B$296,0))</f>
        <v>BIM</v>
      </c>
      <c r="K353" t="str">
        <f>INDEX(Standards!$H$2:$H$296,MATCH(C353,Standards!$B$2:$B$296,0))</f>
        <v>ICT</v>
      </c>
      <c r="L353" t="b">
        <f>AND(TableRelationships[[#This Row],[Source Type]]="BIM",TableRelationships[[#This Row],[Target Type]]="BIM")</f>
        <v>0</v>
      </c>
      <c r="M353">
        <f t="shared" si="15"/>
        <v>1</v>
      </c>
      <c r="N353" t="s">
        <v>526</v>
      </c>
      <c r="O353">
        <f t="shared" si="16"/>
        <v>2</v>
      </c>
      <c r="P353" t="str">
        <f>IF(TableRelationships[[#This Row],[Rank Pedro]]="Low","linkCategory1",IF(TableRelationships[[#This Row],[Rank Pedro]]="Medium","linkCategory2",IF(TableRelationships[[#This Row],[Rank Pedro]]="High","linkCategory3","")))</f>
        <v>linkCategory1</v>
      </c>
      <c r="Q353" t="str">
        <f>IF(TableRelationships[[#This Row],[Rank Pedro]]="Low","Pink",IF(TableRelationships[[#This Row],[Rank Pedro]]="Medium","Purple",IF(TableRelationships[[#This Row],[Rank Pedro]]="High","Brown","")))</f>
        <v>Pink</v>
      </c>
      <c r="R353" s="4">
        <f>MAX(INDEX(Standards!$F$2:$F$296,MATCH(B353,Standards!$B$2:$B$296,0)),INDEX(Standards!$F$2:$F$296,MATCH(C353,Standards!$B$2:$B$296,0)))</f>
        <v>43915</v>
      </c>
      <c r="S353" t="str">
        <f t="shared" si="17"/>
        <v>#2f89d1</v>
      </c>
    </row>
    <row r="354" spans="1:19" x14ac:dyDescent="0.5">
      <c r="A354">
        <v>146</v>
      </c>
      <c r="B354" t="s">
        <v>388</v>
      </c>
      <c r="C354" t="s">
        <v>144</v>
      </c>
      <c r="D354">
        <f>INDEX(Standards!$A$2:$A$296,MATCH(B354,Standards!$B$2:$B$296,0))</f>
        <v>63</v>
      </c>
      <c r="E354">
        <f>INDEX(Standards!$A$2:$A$296,MATCH(C354,Standards!$B$2:$B$296,0))</f>
        <v>8</v>
      </c>
      <c r="F354" t="str">
        <f>INDEX(Standards!$N$2:$N$296,MATCH(B354,Standards!$B$2:$B$296,0))</f>
        <v>#70AD47</v>
      </c>
      <c r="G354" t="str">
        <f>INDEX(Standards!$N$2:$N$296,MATCH(C354,Standards!$B$2:$B$296,0))</f>
        <v>#70AD47</v>
      </c>
      <c r="H354" t="s">
        <v>521</v>
      </c>
      <c r="I354" t="s">
        <v>525</v>
      </c>
      <c r="J354" t="str">
        <f>INDEX(Standards!$H$2:$H$296,MATCH(B354,Standards!$B$2:$B$296,0))</f>
        <v>BIM</v>
      </c>
      <c r="K354" t="str">
        <f>INDEX(Standards!$H$2:$H$296,MATCH(C354,Standards!$B$2:$B$296,0))</f>
        <v>BIM</v>
      </c>
      <c r="L354" t="b">
        <f>AND(TableRelationships[[#This Row],[Source Type]]="BIM",TableRelationships[[#This Row],[Target Type]]="BIM")</f>
        <v>1</v>
      </c>
      <c r="M354">
        <f t="shared" si="15"/>
        <v>1</v>
      </c>
      <c r="N354" t="s">
        <v>523</v>
      </c>
      <c r="O354">
        <f t="shared" si="16"/>
        <v>10</v>
      </c>
      <c r="P354" t="str">
        <f>IF(TableRelationships[[#This Row],[Rank Pedro]]="Low","linkCategory1",IF(TableRelationships[[#This Row],[Rank Pedro]]="Medium","linkCategory2",IF(TableRelationships[[#This Row],[Rank Pedro]]="High","linkCategory3","")))</f>
        <v>linkCategory3</v>
      </c>
      <c r="Q354" t="str">
        <f>IF(TableRelationships[[#This Row],[Rank Pedro]]="Low","Pink",IF(TableRelationships[[#This Row],[Rank Pedro]]="Medium","Purple",IF(TableRelationships[[#This Row],[Rank Pedro]]="High","Brown","")))</f>
        <v>Brown</v>
      </c>
      <c r="R354" s="4">
        <f>MAX(INDEX(Standards!$F$2:$F$296,MATCH(B354,Standards!$B$2:$B$296,0)),INDEX(Standards!$F$2:$F$296,MATCH(C354,Standards!$B$2:$B$296,0)))</f>
        <v>43915</v>
      </c>
      <c r="S354" t="str">
        <f t="shared" si="17"/>
        <v>#2f89d1</v>
      </c>
    </row>
    <row r="355" spans="1:19" x14ac:dyDescent="0.5">
      <c r="A355">
        <v>148</v>
      </c>
      <c r="B355" t="s">
        <v>388</v>
      </c>
      <c r="C355" t="s">
        <v>210</v>
      </c>
      <c r="D355">
        <f>INDEX(Standards!$A$2:$A$296,MATCH(B355,Standards!$B$2:$B$296,0))</f>
        <v>63</v>
      </c>
      <c r="E355">
        <f>INDEX(Standards!$A$2:$A$296,MATCH(C355,Standards!$B$2:$B$296,0))</f>
        <v>9</v>
      </c>
      <c r="F355" t="str">
        <f>INDEX(Standards!$N$2:$N$296,MATCH(B355,Standards!$B$2:$B$296,0))</f>
        <v>#70AD47</v>
      </c>
      <c r="G355" t="str">
        <f>INDEX(Standards!$N$2:$N$296,MATCH(C355,Standards!$B$2:$B$296,0))</f>
        <v>#70AD47</v>
      </c>
      <c r="H355" t="s">
        <v>521</v>
      </c>
      <c r="I355" t="s">
        <v>525</v>
      </c>
      <c r="J355" t="str">
        <f>INDEX(Standards!$H$2:$H$296,MATCH(B355,Standards!$B$2:$B$296,0))</f>
        <v>BIM</v>
      </c>
      <c r="K355" t="str">
        <f>INDEX(Standards!$H$2:$H$296,MATCH(C355,Standards!$B$2:$B$296,0))</f>
        <v>BIM</v>
      </c>
      <c r="L355" t="b">
        <f>AND(TableRelationships[[#This Row],[Source Type]]="BIM",TableRelationships[[#This Row],[Target Type]]="BIM")</f>
        <v>1</v>
      </c>
      <c r="M355">
        <f t="shared" si="15"/>
        <v>1</v>
      </c>
      <c r="N355" t="s">
        <v>528</v>
      </c>
      <c r="O355">
        <f t="shared" si="16"/>
        <v>6</v>
      </c>
      <c r="P355" t="str">
        <f>IF(TableRelationships[[#This Row],[Rank Pedro]]="Low","linkCategory1",IF(TableRelationships[[#This Row],[Rank Pedro]]="Medium","linkCategory2",IF(TableRelationships[[#This Row],[Rank Pedro]]="High","linkCategory3","")))</f>
        <v>linkCategory2</v>
      </c>
      <c r="Q355" t="str">
        <f>IF(TableRelationships[[#This Row],[Rank Pedro]]="Low","Pink",IF(TableRelationships[[#This Row],[Rank Pedro]]="Medium","Purple",IF(TableRelationships[[#This Row],[Rank Pedro]]="High","Brown","")))</f>
        <v>Purple</v>
      </c>
      <c r="R355" s="4">
        <f>MAX(INDEX(Standards!$F$2:$F$296,MATCH(B355,Standards!$B$2:$B$296,0)),INDEX(Standards!$F$2:$F$296,MATCH(C355,Standards!$B$2:$B$296,0)))</f>
        <v>43915</v>
      </c>
      <c r="S355" t="str">
        <f t="shared" si="17"/>
        <v>#2f89d1</v>
      </c>
    </row>
    <row r="356" spans="1:19" x14ac:dyDescent="0.5">
      <c r="A356">
        <v>149</v>
      </c>
      <c r="B356" t="s">
        <v>388</v>
      </c>
      <c r="C356" t="s">
        <v>118</v>
      </c>
      <c r="D356">
        <f>INDEX(Standards!$A$2:$A$296,MATCH(B356,Standards!$B$2:$B$296,0))</f>
        <v>63</v>
      </c>
      <c r="E356">
        <f>INDEX(Standards!$A$2:$A$296,MATCH(C356,Standards!$B$2:$B$296,0))</f>
        <v>37</v>
      </c>
      <c r="F356" t="str">
        <f>INDEX(Standards!$N$2:$N$296,MATCH(B356,Standards!$B$2:$B$296,0))</f>
        <v>#70AD47</v>
      </c>
      <c r="G356" t="str">
        <f>INDEX(Standards!$N$2:$N$296,MATCH(C356,Standards!$B$2:$B$296,0))</f>
        <v>#7030A0</v>
      </c>
      <c r="H356" t="s">
        <v>521</v>
      </c>
      <c r="I356" t="s">
        <v>525</v>
      </c>
      <c r="J356" t="str">
        <f>INDEX(Standards!$H$2:$H$296,MATCH(B356,Standards!$B$2:$B$296,0))</f>
        <v>BIM</v>
      </c>
      <c r="K356" t="str">
        <f>INDEX(Standards!$H$2:$H$296,MATCH(C356,Standards!$B$2:$B$296,0))</f>
        <v>ICT</v>
      </c>
      <c r="L356" t="b">
        <f>AND(TableRelationships[[#This Row],[Source Type]]="BIM",TableRelationships[[#This Row],[Target Type]]="BIM")</f>
        <v>0</v>
      </c>
      <c r="M356">
        <f t="shared" si="15"/>
        <v>1</v>
      </c>
      <c r="N356" t="s">
        <v>526</v>
      </c>
      <c r="O356">
        <f t="shared" si="16"/>
        <v>2</v>
      </c>
      <c r="P356" t="str">
        <f>IF(TableRelationships[[#This Row],[Rank Pedro]]="Low","linkCategory1",IF(TableRelationships[[#This Row],[Rank Pedro]]="Medium","linkCategory2",IF(TableRelationships[[#This Row],[Rank Pedro]]="High","linkCategory3","")))</f>
        <v>linkCategory1</v>
      </c>
      <c r="Q356" t="str">
        <f>IF(TableRelationships[[#This Row],[Rank Pedro]]="Low","Pink",IF(TableRelationships[[#This Row],[Rank Pedro]]="Medium","Purple",IF(TableRelationships[[#This Row],[Rank Pedro]]="High","Brown","")))</f>
        <v>Pink</v>
      </c>
      <c r="R356" s="4">
        <f>MAX(INDEX(Standards!$F$2:$F$296,MATCH(B356,Standards!$B$2:$B$296,0)),INDEX(Standards!$F$2:$F$296,MATCH(C356,Standards!$B$2:$B$296,0)))</f>
        <v>43915</v>
      </c>
      <c r="S356" t="str">
        <f t="shared" si="17"/>
        <v>#2f89d1</v>
      </c>
    </row>
    <row r="357" spans="1:19" x14ac:dyDescent="0.5">
      <c r="A357">
        <v>131</v>
      </c>
      <c r="B357" t="s">
        <v>388</v>
      </c>
      <c r="C357" t="s">
        <v>132</v>
      </c>
      <c r="D357">
        <f>INDEX(Standards!$A$2:$A$296,MATCH(B357,Standards!$B$2:$B$296,0))</f>
        <v>63</v>
      </c>
      <c r="E357">
        <f>INDEX(Standards!$A$2:$A$296,MATCH(C357,Standards!$B$2:$B$296,0))</f>
        <v>45</v>
      </c>
      <c r="F357" t="str">
        <f>INDEX(Standards!$N$2:$N$296,MATCH(B357,Standards!$B$2:$B$296,0))</f>
        <v>#70AD47</v>
      </c>
      <c r="G357" t="str">
        <f>INDEX(Standards!$N$2:$N$296,MATCH(C357,Standards!$B$2:$B$296,0))</f>
        <v>#595959</v>
      </c>
      <c r="H357" t="s">
        <v>521</v>
      </c>
      <c r="I357" t="s">
        <v>524</v>
      </c>
      <c r="J357" t="str">
        <f>INDEX(Standards!$H$2:$H$296,MATCH(B357,Standards!$B$2:$B$296,0))</f>
        <v>BIM</v>
      </c>
      <c r="K357" t="str">
        <f>INDEX(Standards!$H$2:$H$296,MATCH(C357,Standards!$B$2:$B$296,0))</f>
        <v>Other</v>
      </c>
      <c r="L357" t="b">
        <f>AND(TableRelationships[[#This Row],[Source Type]]="BIM",TableRelationships[[#This Row],[Target Type]]="BIM")</f>
        <v>0</v>
      </c>
      <c r="M357">
        <f t="shared" si="15"/>
        <v>6</v>
      </c>
      <c r="N357" t="s">
        <v>526</v>
      </c>
      <c r="O357">
        <f t="shared" si="16"/>
        <v>2</v>
      </c>
      <c r="P357" t="str">
        <f>IF(TableRelationships[[#This Row],[Rank Pedro]]="Low","linkCategory1",IF(TableRelationships[[#This Row],[Rank Pedro]]="Medium","linkCategory2",IF(TableRelationships[[#This Row],[Rank Pedro]]="High","linkCategory3","")))</f>
        <v>linkCategory1</v>
      </c>
      <c r="Q357" t="str">
        <f>IF(TableRelationships[[#This Row],[Rank Pedro]]="Low","Pink",IF(TableRelationships[[#This Row],[Rank Pedro]]="Medium","Purple",IF(TableRelationships[[#This Row],[Rank Pedro]]="High","Brown","")))</f>
        <v>Pink</v>
      </c>
      <c r="R357" s="4">
        <f>MAX(INDEX(Standards!$F$2:$F$296,MATCH(B357,Standards!$B$2:$B$296,0)),INDEX(Standards!$F$2:$F$296,MATCH(C357,Standards!$B$2:$B$296,0)))</f>
        <v>43915</v>
      </c>
      <c r="S357" t="str">
        <f t="shared" si="17"/>
        <v>#d6bf2a</v>
      </c>
    </row>
    <row r="358" spans="1:19" x14ac:dyDescent="0.5">
      <c r="A358">
        <v>132</v>
      </c>
      <c r="B358" t="s">
        <v>388</v>
      </c>
      <c r="C358" t="s">
        <v>188</v>
      </c>
      <c r="D358">
        <f>INDEX(Standards!$A$2:$A$296,MATCH(B358,Standards!$B$2:$B$296,0))</f>
        <v>63</v>
      </c>
      <c r="E358">
        <f>INDEX(Standards!$A$2:$A$296,MATCH(C358,Standards!$B$2:$B$296,0))</f>
        <v>70</v>
      </c>
      <c r="F358" t="str">
        <f>INDEX(Standards!$N$2:$N$296,MATCH(B358,Standards!$B$2:$B$296,0))</f>
        <v>#70AD47</v>
      </c>
      <c r="G358" t="str">
        <f>INDEX(Standards!$N$2:$N$296,MATCH(C358,Standards!$B$2:$B$296,0))</f>
        <v>#7030A0</v>
      </c>
      <c r="H358" t="s">
        <v>521</v>
      </c>
      <c r="I358" t="s">
        <v>524</v>
      </c>
      <c r="J358" t="str">
        <f>INDEX(Standards!$H$2:$H$296,MATCH(B358,Standards!$B$2:$B$296,0))</f>
        <v>BIM</v>
      </c>
      <c r="K358" t="str">
        <f>INDEX(Standards!$H$2:$H$296,MATCH(C358,Standards!$B$2:$B$296,0))</f>
        <v>ICT</v>
      </c>
      <c r="L358" t="b">
        <f>AND(TableRelationships[[#This Row],[Source Type]]="BIM",TableRelationships[[#This Row],[Target Type]]="BIM")</f>
        <v>0</v>
      </c>
      <c r="M358">
        <f t="shared" si="15"/>
        <v>6</v>
      </c>
      <c r="N358" t="s">
        <v>526</v>
      </c>
      <c r="O358">
        <f t="shared" si="16"/>
        <v>2</v>
      </c>
      <c r="P358" t="str">
        <f>IF(TableRelationships[[#This Row],[Rank Pedro]]="Low","linkCategory1",IF(TableRelationships[[#This Row],[Rank Pedro]]="Medium","linkCategory2",IF(TableRelationships[[#This Row],[Rank Pedro]]="High","linkCategory3","")))</f>
        <v>linkCategory1</v>
      </c>
      <c r="Q358" t="str">
        <f>IF(TableRelationships[[#This Row],[Rank Pedro]]="Low","Pink",IF(TableRelationships[[#This Row],[Rank Pedro]]="Medium","Purple",IF(TableRelationships[[#This Row],[Rank Pedro]]="High","Brown","")))</f>
        <v>Pink</v>
      </c>
      <c r="R358" s="4">
        <f>MAX(INDEX(Standards!$F$2:$F$296,MATCH(B358,Standards!$B$2:$B$296,0)),INDEX(Standards!$F$2:$F$296,MATCH(C358,Standards!$B$2:$B$296,0)))</f>
        <v>43915</v>
      </c>
      <c r="S358" t="str">
        <f t="shared" si="17"/>
        <v>#d6bf2a</v>
      </c>
    </row>
    <row r="359" spans="1:19" x14ac:dyDescent="0.5">
      <c r="A359">
        <v>133</v>
      </c>
      <c r="B359" t="s">
        <v>388</v>
      </c>
      <c r="C359" t="s">
        <v>190</v>
      </c>
      <c r="D359">
        <f>INDEX(Standards!$A$2:$A$296,MATCH(B359,Standards!$B$2:$B$296,0))</f>
        <v>63</v>
      </c>
      <c r="E359">
        <f>INDEX(Standards!$A$2:$A$296,MATCH(C359,Standards!$B$2:$B$296,0))</f>
        <v>71</v>
      </c>
      <c r="F359" t="str">
        <f>INDEX(Standards!$N$2:$N$296,MATCH(B359,Standards!$B$2:$B$296,0))</f>
        <v>#70AD47</v>
      </c>
      <c r="G359" t="str">
        <f>INDEX(Standards!$N$2:$N$296,MATCH(C359,Standards!$B$2:$B$296,0))</f>
        <v>#7030A0</v>
      </c>
      <c r="H359" t="s">
        <v>521</v>
      </c>
      <c r="I359" t="s">
        <v>524</v>
      </c>
      <c r="J359" t="str">
        <f>INDEX(Standards!$H$2:$H$296,MATCH(B359,Standards!$B$2:$B$296,0))</f>
        <v>BIM</v>
      </c>
      <c r="K359" t="str">
        <f>INDEX(Standards!$H$2:$H$296,MATCH(C359,Standards!$B$2:$B$296,0))</f>
        <v>ICT</v>
      </c>
      <c r="L359" t="b">
        <f>AND(TableRelationships[[#This Row],[Source Type]]="BIM",TableRelationships[[#This Row],[Target Type]]="BIM")</f>
        <v>0</v>
      </c>
      <c r="M359">
        <f t="shared" si="15"/>
        <v>6</v>
      </c>
      <c r="N359" t="s">
        <v>526</v>
      </c>
      <c r="O359">
        <f t="shared" si="16"/>
        <v>2</v>
      </c>
      <c r="P359" t="str">
        <f>IF(TableRelationships[[#This Row],[Rank Pedro]]="Low","linkCategory1",IF(TableRelationships[[#This Row],[Rank Pedro]]="Medium","linkCategory2",IF(TableRelationships[[#This Row],[Rank Pedro]]="High","linkCategory3","")))</f>
        <v>linkCategory1</v>
      </c>
      <c r="Q359" t="str">
        <f>IF(TableRelationships[[#This Row],[Rank Pedro]]="Low","Pink",IF(TableRelationships[[#This Row],[Rank Pedro]]="Medium","Purple",IF(TableRelationships[[#This Row],[Rank Pedro]]="High","Brown","")))</f>
        <v>Pink</v>
      </c>
      <c r="R359" s="4">
        <f>MAX(INDEX(Standards!$F$2:$F$296,MATCH(B359,Standards!$B$2:$B$296,0)),INDEX(Standards!$F$2:$F$296,MATCH(C359,Standards!$B$2:$B$296,0)))</f>
        <v>43915</v>
      </c>
      <c r="S359" t="str">
        <f t="shared" si="17"/>
        <v>#d6bf2a</v>
      </c>
    </row>
    <row r="360" spans="1:19" x14ac:dyDescent="0.5">
      <c r="A360">
        <v>130</v>
      </c>
      <c r="B360" t="s">
        <v>388</v>
      </c>
      <c r="C360" t="s">
        <v>186</v>
      </c>
      <c r="D360">
        <f>INDEX(Standards!$A$2:$A$296,MATCH(B360,Standards!$B$2:$B$296,0))</f>
        <v>63</v>
      </c>
      <c r="E360">
        <f>INDEX(Standards!$A$2:$A$296,MATCH(C360,Standards!$B$2:$B$296,0))</f>
        <v>69</v>
      </c>
      <c r="F360" t="str">
        <f>INDEX(Standards!$N$2:$N$296,MATCH(B360,Standards!$B$2:$B$296,0))</f>
        <v>#70AD47</v>
      </c>
      <c r="G360" t="str">
        <f>INDEX(Standards!$N$2:$N$296,MATCH(C360,Standards!$B$2:$B$296,0))</f>
        <v>#7030A0</v>
      </c>
      <c r="H360" t="s">
        <v>521</v>
      </c>
      <c r="I360" t="s">
        <v>524</v>
      </c>
      <c r="J360" t="str">
        <f>INDEX(Standards!$H$2:$H$296,MATCH(B360,Standards!$B$2:$B$296,0))</f>
        <v>BIM</v>
      </c>
      <c r="K360" t="str">
        <f>INDEX(Standards!$H$2:$H$296,MATCH(C360,Standards!$B$2:$B$296,0))</f>
        <v>ICT</v>
      </c>
      <c r="L360" t="b">
        <f>AND(TableRelationships[[#This Row],[Source Type]]="BIM",TableRelationships[[#This Row],[Target Type]]="BIM")</f>
        <v>0</v>
      </c>
      <c r="M360">
        <f t="shared" si="15"/>
        <v>6</v>
      </c>
      <c r="N360" t="s">
        <v>526</v>
      </c>
      <c r="O360">
        <f t="shared" si="16"/>
        <v>2</v>
      </c>
      <c r="P360" t="str">
        <f>IF(TableRelationships[[#This Row],[Rank Pedro]]="Low","linkCategory1",IF(TableRelationships[[#This Row],[Rank Pedro]]="Medium","linkCategory2",IF(TableRelationships[[#This Row],[Rank Pedro]]="High","linkCategory3","")))</f>
        <v>linkCategory1</v>
      </c>
      <c r="Q360" t="str">
        <f>IF(TableRelationships[[#This Row],[Rank Pedro]]="Low","Pink",IF(TableRelationships[[#This Row],[Rank Pedro]]="Medium","Purple",IF(TableRelationships[[#This Row],[Rank Pedro]]="High","Brown","")))</f>
        <v>Pink</v>
      </c>
      <c r="R360" s="4">
        <f>MAX(INDEX(Standards!$F$2:$F$296,MATCH(B360,Standards!$B$2:$B$296,0)),INDEX(Standards!$F$2:$F$296,MATCH(C360,Standards!$B$2:$B$296,0)))</f>
        <v>43915</v>
      </c>
      <c r="S360" t="str">
        <f t="shared" si="17"/>
        <v>#d6bf2a</v>
      </c>
    </row>
    <row r="361" spans="1:19" x14ac:dyDescent="0.5">
      <c r="A361">
        <v>138</v>
      </c>
      <c r="B361" t="s">
        <v>388</v>
      </c>
      <c r="C361" t="s">
        <v>77</v>
      </c>
      <c r="D361">
        <f>INDEX(Standards!$A$2:$A$296,MATCH(B361,Standards!$B$2:$B$296,0))</f>
        <v>63</v>
      </c>
      <c r="E361">
        <f>INDEX(Standards!$A$2:$A$296,MATCH(C361,Standards!$B$2:$B$296,0))</f>
        <v>19</v>
      </c>
      <c r="F361" t="str">
        <f>INDEX(Standards!$N$2:$N$296,MATCH(B361,Standards!$B$2:$B$296,0))</f>
        <v>#70AD47</v>
      </c>
      <c r="G361" t="str">
        <f>INDEX(Standards!$N$2:$N$296,MATCH(C361,Standards!$B$2:$B$296,0))</f>
        <v>#ED7D31</v>
      </c>
      <c r="H361" t="s">
        <v>521</v>
      </c>
      <c r="I361" t="s">
        <v>525</v>
      </c>
      <c r="J361" t="str">
        <f>INDEX(Standards!$H$2:$H$296,MATCH(B361,Standards!$B$2:$B$296,0))</f>
        <v>BIM</v>
      </c>
      <c r="K361" t="str">
        <f>INDEX(Standards!$H$2:$H$296,MATCH(C361,Standards!$B$2:$B$296,0))</f>
        <v>Construction</v>
      </c>
      <c r="L361" t="b">
        <f>AND(TableRelationships[[#This Row],[Source Type]]="BIM",TableRelationships[[#This Row],[Target Type]]="BIM")</f>
        <v>0</v>
      </c>
      <c r="M361">
        <f t="shared" si="15"/>
        <v>1</v>
      </c>
      <c r="N361" t="s">
        <v>526</v>
      </c>
      <c r="O361">
        <f t="shared" si="16"/>
        <v>2</v>
      </c>
      <c r="P361" t="str">
        <f>IF(TableRelationships[[#This Row],[Rank Pedro]]="Low","linkCategory1",IF(TableRelationships[[#This Row],[Rank Pedro]]="Medium","linkCategory2",IF(TableRelationships[[#This Row],[Rank Pedro]]="High","linkCategory3","")))</f>
        <v>linkCategory1</v>
      </c>
      <c r="Q361" t="str">
        <f>IF(TableRelationships[[#This Row],[Rank Pedro]]="Low","Pink",IF(TableRelationships[[#This Row],[Rank Pedro]]="Medium","Purple",IF(TableRelationships[[#This Row],[Rank Pedro]]="High","Brown","")))</f>
        <v>Pink</v>
      </c>
      <c r="R361" s="4">
        <f>MAX(INDEX(Standards!$F$2:$F$296,MATCH(B361,Standards!$B$2:$B$296,0)),INDEX(Standards!$F$2:$F$296,MATCH(C361,Standards!$B$2:$B$296,0)))</f>
        <v>43915</v>
      </c>
      <c r="S361" t="str">
        <f t="shared" si="17"/>
        <v>#2f89d1</v>
      </c>
    </row>
    <row r="362" spans="1:19" x14ac:dyDescent="0.5">
      <c r="A362">
        <v>137</v>
      </c>
      <c r="B362" t="s">
        <v>388</v>
      </c>
      <c r="C362" t="s">
        <v>182</v>
      </c>
      <c r="D362">
        <f>INDEX(Standards!$A$2:$A$296,MATCH(B362,Standards!$B$2:$B$296,0))</f>
        <v>63</v>
      </c>
      <c r="E362">
        <f>INDEX(Standards!$A$2:$A$296,MATCH(C362,Standards!$B$2:$B$296,0))</f>
        <v>67</v>
      </c>
      <c r="F362" t="str">
        <f>INDEX(Standards!$N$2:$N$296,MATCH(B362,Standards!$B$2:$B$296,0))</f>
        <v>#70AD47</v>
      </c>
      <c r="G362" t="str">
        <f>INDEX(Standards!$N$2:$N$296,MATCH(C362,Standards!$B$2:$B$296,0))</f>
        <v>#595959</v>
      </c>
      <c r="H362" t="s">
        <v>521</v>
      </c>
      <c r="I362" t="s">
        <v>524</v>
      </c>
      <c r="J362" t="str">
        <f>INDEX(Standards!$H$2:$H$296,MATCH(B362,Standards!$B$2:$B$296,0))</f>
        <v>BIM</v>
      </c>
      <c r="K362" t="str">
        <f>INDEX(Standards!$H$2:$H$296,MATCH(C362,Standards!$B$2:$B$296,0))</f>
        <v>Other</v>
      </c>
      <c r="L362" t="b">
        <f>AND(TableRelationships[[#This Row],[Source Type]]="BIM",TableRelationships[[#This Row],[Target Type]]="BIM")</f>
        <v>0</v>
      </c>
      <c r="M362">
        <f t="shared" si="15"/>
        <v>6</v>
      </c>
      <c r="N362" t="s">
        <v>526</v>
      </c>
      <c r="O362">
        <f t="shared" si="16"/>
        <v>2</v>
      </c>
      <c r="P362" t="str">
        <f>IF(TableRelationships[[#This Row],[Rank Pedro]]="Low","linkCategory1",IF(TableRelationships[[#This Row],[Rank Pedro]]="Medium","linkCategory2",IF(TableRelationships[[#This Row],[Rank Pedro]]="High","linkCategory3","")))</f>
        <v>linkCategory1</v>
      </c>
      <c r="Q362" t="str">
        <f>IF(TableRelationships[[#This Row],[Rank Pedro]]="Low","Pink",IF(TableRelationships[[#This Row],[Rank Pedro]]="Medium","Purple",IF(TableRelationships[[#This Row],[Rank Pedro]]="High","Brown","")))</f>
        <v>Pink</v>
      </c>
      <c r="R362" s="4">
        <f>MAX(INDEX(Standards!$F$2:$F$296,MATCH(B362,Standards!$B$2:$B$296,0)),INDEX(Standards!$F$2:$F$296,MATCH(C362,Standards!$B$2:$B$296,0)))</f>
        <v>43915</v>
      </c>
      <c r="S362" t="str">
        <f t="shared" si="17"/>
        <v>#d6bf2a</v>
      </c>
    </row>
    <row r="363" spans="1:19" x14ac:dyDescent="0.5">
      <c r="A363">
        <v>134</v>
      </c>
      <c r="B363" t="s">
        <v>388</v>
      </c>
      <c r="C363" t="s">
        <v>192</v>
      </c>
      <c r="D363">
        <f>INDEX(Standards!$A$2:$A$296,MATCH(B363,Standards!$B$2:$B$296,0))</f>
        <v>63</v>
      </c>
      <c r="E363">
        <f>INDEX(Standards!$A$2:$A$296,MATCH(C363,Standards!$B$2:$B$296,0))</f>
        <v>72</v>
      </c>
      <c r="F363" t="str">
        <f>INDEX(Standards!$N$2:$N$296,MATCH(B363,Standards!$B$2:$B$296,0))</f>
        <v>#70AD47</v>
      </c>
      <c r="G363" t="str">
        <f>INDEX(Standards!$N$2:$N$296,MATCH(C363,Standards!$B$2:$B$296,0))</f>
        <v>#7030A0</v>
      </c>
      <c r="H363" t="s">
        <v>521</v>
      </c>
      <c r="I363" t="s">
        <v>524</v>
      </c>
      <c r="J363" t="str">
        <f>INDEX(Standards!$H$2:$H$296,MATCH(B363,Standards!$B$2:$B$296,0))</f>
        <v>BIM</v>
      </c>
      <c r="K363" t="str">
        <f>INDEX(Standards!$H$2:$H$296,MATCH(C363,Standards!$B$2:$B$296,0))</f>
        <v>ICT</v>
      </c>
      <c r="L363" t="b">
        <f>AND(TableRelationships[[#This Row],[Source Type]]="BIM",TableRelationships[[#This Row],[Target Type]]="BIM")</f>
        <v>0</v>
      </c>
      <c r="M363">
        <f t="shared" si="15"/>
        <v>6</v>
      </c>
      <c r="N363" t="s">
        <v>526</v>
      </c>
      <c r="O363">
        <f t="shared" si="16"/>
        <v>2</v>
      </c>
      <c r="P363" t="str">
        <f>IF(TableRelationships[[#This Row],[Rank Pedro]]="Low","linkCategory1",IF(TableRelationships[[#This Row],[Rank Pedro]]="Medium","linkCategory2",IF(TableRelationships[[#This Row],[Rank Pedro]]="High","linkCategory3","")))</f>
        <v>linkCategory1</v>
      </c>
      <c r="Q363" t="str">
        <f>IF(TableRelationships[[#This Row],[Rank Pedro]]="Low","Pink",IF(TableRelationships[[#This Row],[Rank Pedro]]="Medium","Purple",IF(TableRelationships[[#This Row],[Rank Pedro]]="High","Brown","")))</f>
        <v>Pink</v>
      </c>
      <c r="R363" s="4">
        <f>MAX(INDEX(Standards!$F$2:$F$296,MATCH(B363,Standards!$B$2:$B$296,0)),INDEX(Standards!$F$2:$F$296,MATCH(C363,Standards!$B$2:$B$296,0)))</f>
        <v>43915</v>
      </c>
      <c r="S363" t="str">
        <f t="shared" si="17"/>
        <v>#d6bf2a</v>
      </c>
    </row>
    <row r="364" spans="1:19" x14ac:dyDescent="0.5">
      <c r="A364">
        <v>384</v>
      </c>
      <c r="B364" t="s">
        <v>279</v>
      </c>
      <c r="C364" t="s">
        <v>242</v>
      </c>
      <c r="D364">
        <f>INDEX(Standards!$A$2:$A$296,MATCH(B364,Standards!$B$2:$B$296,0))</f>
        <v>110</v>
      </c>
      <c r="E364">
        <f>INDEX(Standards!$A$2:$A$296,MATCH(C364,Standards!$B$2:$B$296,0))</f>
        <v>96</v>
      </c>
      <c r="F364" t="str">
        <f>INDEX(Standards!$N$2:$N$296,MATCH(B364,Standards!$B$2:$B$296,0))</f>
        <v>#44546A</v>
      </c>
      <c r="G364" t="str">
        <f>INDEX(Standards!$N$2:$N$296,MATCH(C364,Standards!$B$2:$B$296,0))</f>
        <v>#F2F2F2</v>
      </c>
      <c r="H364" t="s">
        <v>521</v>
      </c>
      <c r="I364" t="s">
        <v>237</v>
      </c>
      <c r="J364" t="str">
        <f>INDEX(Standards!$H$2:$H$296,MATCH(B364,Standards!$B$2:$B$296,0))</f>
        <v>FM</v>
      </c>
      <c r="K364" t="str">
        <f>INDEX(Standards!$H$2:$H$296,MATCH(C364,Standards!$B$2:$B$296,0))</f>
        <v>Anchor</v>
      </c>
      <c r="L364" t="b">
        <f>AND(TableRelationships[[#This Row],[Source Type]]="BIM",TableRelationships[[#This Row],[Target Type]]="BIM")</f>
        <v>0</v>
      </c>
      <c r="M364">
        <f t="shared" si="15"/>
        <v>2</v>
      </c>
      <c r="O364">
        <f t="shared" si="16"/>
        <v>1</v>
      </c>
      <c r="P364" t="str">
        <f>IF(TableRelationships[[#This Row],[Rank Pedro]]="Low","linkCategory1",IF(TableRelationships[[#This Row],[Rank Pedro]]="Medium","linkCategory2",IF(TableRelationships[[#This Row],[Rank Pedro]]="High","linkCategory3","")))</f>
        <v/>
      </c>
      <c r="Q364" t="str">
        <f>IF(TableRelationships[[#This Row],[Rank Pedro]]="Low","Pink",IF(TableRelationships[[#This Row],[Rank Pedro]]="Medium","Purple",IF(TableRelationships[[#This Row],[Rank Pedro]]="High","Brown","")))</f>
        <v/>
      </c>
      <c r="R364" s="4">
        <f>MAX(INDEX(Standards!$F$2:$F$296,MATCH(B364,Standards!$B$2:$B$296,0)),INDEX(Standards!$F$2:$F$296,MATCH(C364,Standards!$B$2:$B$296,0)))</f>
        <v>36770</v>
      </c>
      <c r="S364">
        <f t="shared" si="17"/>
        <v>1</v>
      </c>
    </row>
    <row r="365" spans="1:19" x14ac:dyDescent="0.5">
      <c r="A365">
        <v>135</v>
      </c>
      <c r="B365" t="s">
        <v>388</v>
      </c>
      <c r="C365" t="s">
        <v>194</v>
      </c>
      <c r="D365">
        <f>INDEX(Standards!$A$2:$A$296,MATCH(B365,Standards!$B$2:$B$296,0))</f>
        <v>63</v>
      </c>
      <c r="E365">
        <f>INDEX(Standards!$A$2:$A$296,MATCH(C365,Standards!$B$2:$B$296,0))</f>
        <v>73</v>
      </c>
      <c r="F365" t="str">
        <f>INDEX(Standards!$N$2:$N$296,MATCH(B365,Standards!$B$2:$B$296,0))</f>
        <v>#70AD47</v>
      </c>
      <c r="G365" t="str">
        <f>INDEX(Standards!$N$2:$N$296,MATCH(C365,Standards!$B$2:$B$296,0))</f>
        <v>#7030A0</v>
      </c>
      <c r="H365" t="s">
        <v>521</v>
      </c>
      <c r="I365" t="s">
        <v>524</v>
      </c>
      <c r="J365" t="str">
        <f>INDEX(Standards!$H$2:$H$296,MATCH(B365,Standards!$B$2:$B$296,0))</f>
        <v>BIM</v>
      </c>
      <c r="K365" t="str">
        <f>INDEX(Standards!$H$2:$H$296,MATCH(C365,Standards!$B$2:$B$296,0))</f>
        <v>ICT</v>
      </c>
      <c r="L365" t="b">
        <f>AND(TableRelationships[[#This Row],[Source Type]]="BIM",TableRelationships[[#This Row],[Target Type]]="BIM")</f>
        <v>0</v>
      </c>
      <c r="M365">
        <f t="shared" si="15"/>
        <v>6</v>
      </c>
      <c r="N365" t="s">
        <v>528</v>
      </c>
      <c r="O365">
        <f t="shared" si="16"/>
        <v>6</v>
      </c>
      <c r="P365" t="str">
        <f>IF(TableRelationships[[#This Row],[Rank Pedro]]="Low","linkCategory1",IF(TableRelationships[[#This Row],[Rank Pedro]]="Medium","linkCategory2",IF(TableRelationships[[#This Row],[Rank Pedro]]="High","linkCategory3","")))</f>
        <v>linkCategory2</v>
      </c>
      <c r="Q365" t="str">
        <f>IF(TableRelationships[[#This Row],[Rank Pedro]]="Low","Pink",IF(TableRelationships[[#This Row],[Rank Pedro]]="Medium","Purple",IF(TableRelationships[[#This Row],[Rank Pedro]]="High","Brown","")))</f>
        <v>Purple</v>
      </c>
      <c r="R365" s="4">
        <f>MAX(INDEX(Standards!$F$2:$F$296,MATCH(B365,Standards!$B$2:$B$296,0)),INDEX(Standards!$F$2:$F$296,MATCH(C365,Standards!$B$2:$B$296,0)))</f>
        <v>43915</v>
      </c>
      <c r="S365" t="str">
        <f t="shared" si="17"/>
        <v>#d6bf2a</v>
      </c>
    </row>
    <row r="366" spans="1:19" x14ac:dyDescent="0.5">
      <c r="A366">
        <v>385</v>
      </c>
      <c r="B366" t="s">
        <v>314</v>
      </c>
      <c r="C366" t="s">
        <v>527</v>
      </c>
      <c r="D366">
        <f>INDEX(Standards!$A$2:$A$296,MATCH(B366,Standards!$B$2:$B$296,0))</f>
        <v>126</v>
      </c>
      <c r="E366">
        <f>INDEX(Standards!$A$2:$A$296,MATCH(C366,Standards!$B$2:$B$296,0))</f>
        <v>161</v>
      </c>
      <c r="F366" t="str">
        <f>INDEX(Standards!$N$2:$N$296,MATCH(B366,Standards!$B$2:$B$296,0))</f>
        <v>#9BC2E6</v>
      </c>
      <c r="G366" t="str">
        <f>INDEX(Standards!$N$2:$N$296,MATCH(C366,Standards!$B$2:$B$296,0))</f>
        <v>#F2F2F2</v>
      </c>
      <c r="H366" t="s">
        <v>521</v>
      </c>
      <c r="I366" t="s">
        <v>237</v>
      </c>
      <c r="J366" t="str">
        <f>INDEX(Standards!$H$2:$H$296,MATCH(B366,Standards!$B$2:$B$296,0))</f>
        <v>GIS</v>
      </c>
      <c r="K366" t="str">
        <f>INDEX(Standards!$H$2:$H$296,MATCH(C366,Standards!$B$2:$B$296,0))</f>
        <v>Anchor</v>
      </c>
      <c r="L366" t="b">
        <f>AND(TableRelationships[[#This Row],[Source Type]]="BIM",TableRelationships[[#This Row],[Target Type]]="BIM")</f>
        <v>0</v>
      </c>
      <c r="M366">
        <f t="shared" si="15"/>
        <v>2</v>
      </c>
      <c r="O366">
        <f t="shared" si="16"/>
        <v>1</v>
      </c>
      <c r="P366" t="str">
        <f>IF(TableRelationships[[#This Row],[Rank Pedro]]="Low","linkCategory1",IF(TableRelationships[[#This Row],[Rank Pedro]]="Medium","linkCategory2",IF(TableRelationships[[#This Row],[Rank Pedro]]="High","linkCategory3","")))</f>
        <v/>
      </c>
      <c r="Q366" t="str">
        <f>IF(TableRelationships[[#This Row],[Rank Pedro]]="Low","Pink",IF(TableRelationships[[#This Row],[Rank Pedro]]="Medium","Purple",IF(TableRelationships[[#This Row],[Rank Pedro]]="High","Brown","")))</f>
        <v/>
      </c>
      <c r="R366" s="4">
        <f>MAX(INDEX(Standards!$F$2:$F$296,MATCH(B366,Standards!$B$2:$B$296,0)),INDEX(Standards!$F$2:$F$296,MATCH(C366,Standards!$B$2:$B$296,0)))</f>
        <v>37742</v>
      </c>
      <c r="S366">
        <f t="shared" si="17"/>
        <v>1</v>
      </c>
    </row>
    <row r="367" spans="1:19" x14ac:dyDescent="0.5">
      <c r="A367">
        <v>140</v>
      </c>
      <c r="B367" t="s">
        <v>388</v>
      </c>
      <c r="C367" t="s">
        <v>198</v>
      </c>
      <c r="D367">
        <f>INDEX(Standards!$A$2:$A$296,MATCH(B367,Standards!$B$2:$B$296,0))</f>
        <v>63</v>
      </c>
      <c r="E367">
        <f>INDEX(Standards!$A$2:$A$296,MATCH(C367,Standards!$B$2:$B$296,0))</f>
        <v>75</v>
      </c>
      <c r="F367" t="str">
        <f>INDEX(Standards!$N$2:$N$296,MATCH(B367,Standards!$B$2:$B$296,0))</f>
        <v>#70AD47</v>
      </c>
      <c r="G367" t="str">
        <f>INDEX(Standards!$N$2:$N$296,MATCH(C367,Standards!$B$2:$B$296,0))</f>
        <v>#7030A0</v>
      </c>
      <c r="H367" t="s">
        <v>521</v>
      </c>
      <c r="I367" t="s">
        <v>525</v>
      </c>
      <c r="J367" t="str">
        <f>INDEX(Standards!$H$2:$H$296,MATCH(B367,Standards!$B$2:$B$296,0))</f>
        <v>BIM</v>
      </c>
      <c r="K367" t="str">
        <f>INDEX(Standards!$H$2:$H$296,MATCH(C367,Standards!$B$2:$B$296,0))</f>
        <v>ICT</v>
      </c>
      <c r="L367" t="b">
        <f>AND(TableRelationships[[#This Row],[Source Type]]="BIM",TableRelationships[[#This Row],[Target Type]]="BIM")</f>
        <v>0</v>
      </c>
      <c r="M367">
        <f t="shared" si="15"/>
        <v>1</v>
      </c>
      <c r="N367" t="s">
        <v>528</v>
      </c>
      <c r="O367">
        <f t="shared" si="16"/>
        <v>6</v>
      </c>
      <c r="P367" t="str">
        <f>IF(TableRelationships[[#This Row],[Rank Pedro]]="Low","linkCategory1",IF(TableRelationships[[#This Row],[Rank Pedro]]="Medium","linkCategory2",IF(TableRelationships[[#This Row],[Rank Pedro]]="High","linkCategory3","")))</f>
        <v>linkCategory2</v>
      </c>
      <c r="Q367" t="str">
        <f>IF(TableRelationships[[#This Row],[Rank Pedro]]="Low","Pink",IF(TableRelationships[[#This Row],[Rank Pedro]]="Medium","Purple",IF(TableRelationships[[#This Row],[Rank Pedro]]="High","Brown","")))</f>
        <v>Purple</v>
      </c>
      <c r="R367" s="4">
        <f>MAX(INDEX(Standards!$F$2:$F$296,MATCH(B367,Standards!$B$2:$B$296,0)),INDEX(Standards!$F$2:$F$296,MATCH(C367,Standards!$B$2:$B$296,0)))</f>
        <v>43915</v>
      </c>
      <c r="S367" t="str">
        <f t="shared" si="17"/>
        <v>#2f89d1</v>
      </c>
    </row>
    <row r="368" spans="1:19" x14ac:dyDescent="0.5">
      <c r="A368">
        <v>386</v>
      </c>
      <c r="B368" t="s">
        <v>316</v>
      </c>
      <c r="C368" t="s">
        <v>527</v>
      </c>
      <c r="D368">
        <f>INDEX(Standards!$A$2:$A$296,MATCH(B368,Standards!$B$2:$B$296,0))</f>
        <v>127</v>
      </c>
      <c r="E368">
        <f>INDEX(Standards!$A$2:$A$296,MATCH(C368,Standards!$B$2:$B$296,0))</f>
        <v>161</v>
      </c>
      <c r="F368" t="str">
        <f>INDEX(Standards!$N$2:$N$296,MATCH(B368,Standards!$B$2:$B$296,0))</f>
        <v>#9BC2E6</v>
      </c>
      <c r="G368" t="str">
        <f>INDEX(Standards!$N$2:$N$296,MATCH(C368,Standards!$B$2:$B$296,0))</f>
        <v>#F2F2F2</v>
      </c>
      <c r="H368" t="s">
        <v>521</v>
      </c>
      <c r="I368" t="s">
        <v>237</v>
      </c>
      <c r="J368" t="str">
        <f>INDEX(Standards!$H$2:$H$296,MATCH(B368,Standards!$B$2:$B$296,0))</f>
        <v>GIS</v>
      </c>
      <c r="K368" t="str">
        <f>INDEX(Standards!$H$2:$H$296,MATCH(C368,Standards!$B$2:$B$296,0))</f>
        <v>Anchor</v>
      </c>
      <c r="L368" t="b">
        <f>AND(TableRelationships[[#This Row],[Source Type]]="BIM",TableRelationships[[#This Row],[Target Type]]="BIM")</f>
        <v>0</v>
      </c>
      <c r="M368">
        <f t="shared" si="15"/>
        <v>2</v>
      </c>
      <c r="O368">
        <f t="shared" si="16"/>
        <v>1</v>
      </c>
      <c r="P368" t="str">
        <f>IF(TableRelationships[[#This Row],[Rank Pedro]]="Low","linkCategory1",IF(TableRelationships[[#This Row],[Rank Pedro]]="Medium","linkCategory2",IF(TableRelationships[[#This Row],[Rank Pedro]]="High","linkCategory3","")))</f>
        <v/>
      </c>
      <c r="Q368" t="str">
        <f>IF(TableRelationships[[#This Row],[Rank Pedro]]="Low","Pink",IF(TableRelationships[[#This Row],[Rank Pedro]]="Medium","Purple",IF(TableRelationships[[#This Row],[Rank Pedro]]="High","Brown","")))</f>
        <v/>
      </c>
      <c r="R368" s="4">
        <f>MAX(INDEX(Standards!$F$2:$F$296,MATCH(B368,Standards!$B$2:$B$296,0)),INDEX(Standards!$F$2:$F$296,MATCH(C368,Standards!$B$2:$B$296,0)))</f>
        <v>38534</v>
      </c>
      <c r="S368">
        <f t="shared" si="17"/>
        <v>1</v>
      </c>
    </row>
    <row r="369" spans="1:19" x14ac:dyDescent="0.5">
      <c r="A369">
        <v>143</v>
      </c>
      <c r="B369" t="s">
        <v>388</v>
      </c>
      <c r="C369" t="s">
        <v>202</v>
      </c>
      <c r="D369">
        <f>INDEX(Standards!$A$2:$A$296,MATCH(B369,Standards!$B$2:$B$296,0))</f>
        <v>63</v>
      </c>
      <c r="E369">
        <f>INDEX(Standards!$A$2:$A$296,MATCH(C369,Standards!$B$2:$B$296,0))</f>
        <v>77</v>
      </c>
      <c r="F369" t="str">
        <f>INDEX(Standards!$N$2:$N$296,MATCH(B369,Standards!$B$2:$B$296,0))</f>
        <v>#70AD47</v>
      </c>
      <c r="G369" t="str">
        <f>INDEX(Standards!$N$2:$N$296,MATCH(C369,Standards!$B$2:$B$296,0))</f>
        <v>#7030A0</v>
      </c>
      <c r="H369" t="s">
        <v>521</v>
      </c>
      <c r="I369" t="s">
        <v>525</v>
      </c>
      <c r="J369" t="str">
        <f>INDEX(Standards!$H$2:$H$296,MATCH(B369,Standards!$B$2:$B$296,0))</f>
        <v>BIM</v>
      </c>
      <c r="K369" t="str">
        <f>INDEX(Standards!$H$2:$H$296,MATCH(C369,Standards!$B$2:$B$296,0))</f>
        <v>ICT</v>
      </c>
      <c r="L369" t="b">
        <f>AND(TableRelationships[[#This Row],[Source Type]]="BIM",TableRelationships[[#This Row],[Target Type]]="BIM")</f>
        <v>0</v>
      </c>
      <c r="M369">
        <f t="shared" si="15"/>
        <v>1</v>
      </c>
      <c r="N369" t="s">
        <v>528</v>
      </c>
      <c r="O369">
        <f t="shared" si="16"/>
        <v>6</v>
      </c>
      <c r="P369" t="str">
        <f>IF(TableRelationships[[#This Row],[Rank Pedro]]="Low","linkCategory1",IF(TableRelationships[[#This Row],[Rank Pedro]]="Medium","linkCategory2",IF(TableRelationships[[#This Row],[Rank Pedro]]="High","linkCategory3","")))</f>
        <v>linkCategory2</v>
      </c>
      <c r="Q369" t="str">
        <f>IF(TableRelationships[[#This Row],[Rank Pedro]]="Low","Pink",IF(TableRelationships[[#This Row],[Rank Pedro]]="Medium","Purple",IF(TableRelationships[[#This Row],[Rank Pedro]]="High","Brown","")))</f>
        <v>Purple</v>
      </c>
      <c r="R369" s="4">
        <f>MAX(INDEX(Standards!$F$2:$F$296,MATCH(B369,Standards!$B$2:$B$296,0)),INDEX(Standards!$F$2:$F$296,MATCH(C369,Standards!$B$2:$B$296,0)))</f>
        <v>43915</v>
      </c>
      <c r="S369" t="str">
        <f t="shared" si="17"/>
        <v>#2f89d1</v>
      </c>
    </row>
    <row r="370" spans="1:19" x14ac:dyDescent="0.5">
      <c r="A370">
        <v>387</v>
      </c>
      <c r="B370" t="s">
        <v>318</v>
      </c>
      <c r="C370" t="s">
        <v>527</v>
      </c>
      <c r="D370">
        <f>INDEX(Standards!$A$2:$A$296,MATCH(B370,Standards!$B$2:$B$296,0))</f>
        <v>128</v>
      </c>
      <c r="E370">
        <f>INDEX(Standards!$A$2:$A$296,MATCH(C370,Standards!$B$2:$B$296,0))</f>
        <v>161</v>
      </c>
      <c r="F370" t="str">
        <f>INDEX(Standards!$N$2:$N$296,MATCH(B370,Standards!$B$2:$B$296,0))</f>
        <v>#9BC2E6</v>
      </c>
      <c r="G370" t="str">
        <f>INDEX(Standards!$N$2:$N$296,MATCH(C370,Standards!$B$2:$B$296,0))</f>
        <v>#F2F2F2</v>
      </c>
      <c r="H370" t="s">
        <v>521</v>
      </c>
      <c r="I370" t="s">
        <v>237</v>
      </c>
      <c r="J370" t="str">
        <f>INDEX(Standards!$H$2:$H$296,MATCH(B370,Standards!$B$2:$B$296,0))</f>
        <v>GIS</v>
      </c>
      <c r="K370" t="str">
        <f>INDEX(Standards!$H$2:$H$296,MATCH(C370,Standards!$B$2:$B$296,0))</f>
        <v>Anchor</v>
      </c>
      <c r="L370" t="b">
        <f>AND(TableRelationships[[#This Row],[Source Type]]="BIM",TableRelationships[[#This Row],[Target Type]]="BIM")</f>
        <v>0</v>
      </c>
      <c r="M370">
        <f t="shared" si="15"/>
        <v>2</v>
      </c>
      <c r="O370">
        <f t="shared" si="16"/>
        <v>1</v>
      </c>
      <c r="P370" t="str">
        <f>IF(TableRelationships[[#This Row],[Rank Pedro]]="Low","linkCategory1",IF(TableRelationships[[#This Row],[Rank Pedro]]="Medium","linkCategory2",IF(TableRelationships[[#This Row],[Rank Pedro]]="High","linkCategory3","")))</f>
        <v/>
      </c>
      <c r="Q370" t="str">
        <f>IF(TableRelationships[[#This Row],[Rank Pedro]]="Low","Pink",IF(TableRelationships[[#This Row],[Rank Pedro]]="Medium","Purple",IF(TableRelationships[[#This Row],[Rank Pedro]]="High","Brown","")))</f>
        <v/>
      </c>
      <c r="R370" s="4">
        <f>MAX(INDEX(Standards!$F$2:$F$296,MATCH(B370,Standards!$B$2:$B$296,0)),INDEX(Standards!$F$2:$F$296,MATCH(C370,Standards!$B$2:$B$296,0)))</f>
        <v>38384</v>
      </c>
      <c r="S370">
        <f t="shared" si="17"/>
        <v>1</v>
      </c>
    </row>
    <row r="371" spans="1:19" x14ac:dyDescent="0.5">
      <c r="A371">
        <v>144</v>
      </c>
      <c r="B371" t="s">
        <v>388</v>
      </c>
      <c r="C371" t="s">
        <v>204</v>
      </c>
      <c r="D371">
        <f>INDEX(Standards!$A$2:$A$296,MATCH(B371,Standards!$B$2:$B$296,0))</f>
        <v>63</v>
      </c>
      <c r="E371">
        <f>INDEX(Standards!$A$2:$A$296,MATCH(C371,Standards!$B$2:$B$296,0))</f>
        <v>78</v>
      </c>
      <c r="F371" t="str">
        <f>INDEX(Standards!$N$2:$N$296,MATCH(B371,Standards!$B$2:$B$296,0))</f>
        <v>#70AD47</v>
      </c>
      <c r="G371" t="str">
        <f>INDEX(Standards!$N$2:$N$296,MATCH(C371,Standards!$B$2:$B$296,0))</f>
        <v>#7030A0</v>
      </c>
      <c r="H371" t="s">
        <v>521</v>
      </c>
      <c r="I371" t="s">
        <v>525</v>
      </c>
      <c r="J371" t="str">
        <f>INDEX(Standards!$H$2:$H$296,MATCH(B371,Standards!$B$2:$B$296,0))</f>
        <v>BIM</v>
      </c>
      <c r="K371" t="str">
        <f>INDEX(Standards!$H$2:$H$296,MATCH(C371,Standards!$B$2:$B$296,0))</f>
        <v>ICT</v>
      </c>
      <c r="L371" t="b">
        <f>AND(TableRelationships[[#This Row],[Source Type]]="BIM",TableRelationships[[#This Row],[Target Type]]="BIM")</f>
        <v>0</v>
      </c>
      <c r="M371">
        <f t="shared" si="15"/>
        <v>1</v>
      </c>
      <c r="N371" t="s">
        <v>528</v>
      </c>
      <c r="O371">
        <f t="shared" si="16"/>
        <v>6</v>
      </c>
      <c r="P371" t="str">
        <f>IF(TableRelationships[[#This Row],[Rank Pedro]]="Low","linkCategory1",IF(TableRelationships[[#This Row],[Rank Pedro]]="Medium","linkCategory2",IF(TableRelationships[[#This Row],[Rank Pedro]]="High","linkCategory3","")))</f>
        <v>linkCategory2</v>
      </c>
      <c r="Q371" t="str">
        <f>IF(TableRelationships[[#This Row],[Rank Pedro]]="Low","Pink",IF(TableRelationships[[#This Row],[Rank Pedro]]="Medium","Purple",IF(TableRelationships[[#This Row],[Rank Pedro]]="High","Brown","")))</f>
        <v>Purple</v>
      </c>
      <c r="R371" s="4">
        <f>MAX(INDEX(Standards!$F$2:$F$296,MATCH(B371,Standards!$B$2:$B$296,0)),INDEX(Standards!$F$2:$F$296,MATCH(C371,Standards!$B$2:$B$296,0)))</f>
        <v>43915</v>
      </c>
      <c r="S371" t="str">
        <f t="shared" si="17"/>
        <v>#2f89d1</v>
      </c>
    </row>
    <row r="372" spans="1:19" x14ac:dyDescent="0.5">
      <c r="A372">
        <v>388</v>
      </c>
      <c r="B372" t="s">
        <v>320</v>
      </c>
      <c r="C372" t="s">
        <v>527</v>
      </c>
      <c r="D372">
        <f>INDEX(Standards!$A$2:$A$296,MATCH(B372,Standards!$B$2:$B$296,0))</f>
        <v>129</v>
      </c>
      <c r="E372">
        <f>INDEX(Standards!$A$2:$A$296,MATCH(C372,Standards!$B$2:$B$296,0))</f>
        <v>161</v>
      </c>
      <c r="F372" t="str">
        <f>INDEX(Standards!$N$2:$N$296,MATCH(B372,Standards!$B$2:$B$296,0))</f>
        <v>#9BC2E6</v>
      </c>
      <c r="G372" t="str">
        <f>INDEX(Standards!$N$2:$N$296,MATCH(C372,Standards!$B$2:$B$296,0))</f>
        <v>#F2F2F2</v>
      </c>
      <c r="H372" t="s">
        <v>521</v>
      </c>
      <c r="I372" t="s">
        <v>237</v>
      </c>
      <c r="J372" t="str">
        <f>INDEX(Standards!$H$2:$H$296,MATCH(B372,Standards!$B$2:$B$296,0))</f>
        <v>GIS</v>
      </c>
      <c r="K372" t="str">
        <f>INDEX(Standards!$H$2:$H$296,MATCH(C372,Standards!$B$2:$B$296,0))</f>
        <v>Anchor</v>
      </c>
      <c r="L372" t="b">
        <f>AND(TableRelationships[[#This Row],[Source Type]]="BIM",TableRelationships[[#This Row],[Target Type]]="BIM")</f>
        <v>0</v>
      </c>
      <c r="M372">
        <f t="shared" si="15"/>
        <v>2</v>
      </c>
      <c r="O372">
        <f t="shared" si="16"/>
        <v>1</v>
      </c>
      <c r="P372" t="str">
        <f>IF(TableRelationships[[#This Row],[Rank Pedro]]="Low","linkCategory1",IF(TableRelationships[[#This Row],[Rank Pedro]]="Medium","linkCategory2",IF(TableRelationships[[#This Row],[Rank Pedro]]="High","linkCategory3","")))</f>
        <v/>
      </c>
      <c r="Q372" t="str">
        <f>IF(TableRelationships[[#This Row],[Rank Pedro]]="Low","Pink",IF(TableRelationships[[#This Row],[Rank Pedro]]="Medium","Purple",IF(TableRelationships[[#This Row],[Rank Pedro]]="High","Brown","")))</f>
        <v/>
      </c>
      <c r="R372" s="4">
        <f>MAX(INDEX(Standards!$F$2:$F$296,MATCH(B372,Standards!$B$2:$B$296,0)),INDEX(Standards!$F$2:$F$296,MATCH(C372,Standards!$B$2:$B$296,0)))</f>
        <v>38565</v>
      </c>
      <c r="S372">
        <f t="shared" si="17"/>
        <v>1</v>
      </c>
    </row>
    <row r="373" spans="1:19" x14ac:dyDescent="0.5">
      <c r="A373">
        <v>147</v>
      </c>
      <c r="B373" t="s">
        <v>388</v>
      </c>
      <c r="C373" t="s">
        <v>88</v>
      </c>
      <c r="D373">
        <f>INDEX(Standards!$A$2:$A$296,MATCH(B373,Standards!$B$2:$B$296,0))</f>
        <v>63</v>
      </c>
      <c r="E373">
        <f>INDEX(Standards!$A$2:$A$296,MATCH(C373,Standards!$B$2:$B$296,0))</f>
        <v>23</v>
      </c>
      <c r="F373" t="str">
        <f>INDEX(Standards!$N$2:$N$296,MATCH(B373,Standards!$B$2:$B$296,0))</f>
        <v>#70AD47</v>
      </c>
      <c r="G373" t="str">
        <f>INDEX(Standards!$N$2:$N$296,MATCH(C373,Standards!$B$2:$B$296,0))</f>
        <v>#7030A0</v>
      </c>
      <c r="H373" t="s">
        <v>521</v>
      </c>
      <c r="I373" t="s">
        <v>525</v>
      </c>
      <c r="J373" t="str">
        <f>INDEX(Standards!$H$2:$H$296,MATCH(B373,Standards!$B$2:$B$296,0))</f>
        <v>BIM</v>
      </c>
      <c r="K373" t="str">
        <f>INDEX(Standards!$H$2:$H$296,MATCH(C373,Standards!$B$2:$B$296,0))</f>
        <v>ICT</v>
      </c>
      <c r="L373" t="b">
        <f>AND(TableRelationships[[#This Row],[Source Type]]="BIM",TableRelationships[[#This Row],[Target Type]]="BIM")</f>
        <v>0</v>
      </c>
      <c r="M373">
        <f t="shared" si="15"/>
        <v>1</v>
      </c>
      <c r="N373" t="s">
        <v>526</v>
      </c>
      <c r="O373">
        <f t="shared" si="16"/>
        <v>2</v>
      </c>
      <c r="P373" t="str">
        <f>IF(TableRelationships[[#This Row],[Rank Pedro]]="Low","linkCategory1",IF(TableRelationships[[#This Row],[Rank Pedro]]="Medium","linkCategory2",IF(TableRelationships[[#This Row],[Rank Pedro]]="High","linkCategory3","")))</f>
        <v>linkCategory1</v>
      </c>
      <c r="Q373" t="str">
        <f>IF(TableRelationships[[#This Row],[Rank Pedro]]="Low","Pink",IF(TableRelationships[[#This Row],[Rank Pedro]]="Medium","Purple",IF(TableRelationships[[#This Row],[Rank Pedro]]="High","Brown","")))</f>
        <v>Pink</v>
      </c>
      <c r="R373" s="4">
        <f>MAX(INDEX(Standards!$F$2:$F$296,MATCH(B373,Standards!$B$2:$B$296,0)),INDEX(Standards!$F$2:$F$296,MATCH(C373,Standards!$B$2:$B$296,0)))</f>
        <v>43915</v>
      </c>
      <c r="S373" t="str">
        <f t="shared" si="17"/>
        <v>#2f89d1</v>
      </c>
    </row>
    <row r="374" spans="1:19" x14ac:dyDescent="0.5">
      <c r="A374">
        <v>389</v>
      </c>
      <c r="B374" t="s">
        <v>322</v>
      </c>
      <c r="C374" t="s">
        <v>527</v>
      </c>
      <c r="D374">
        <f>INDEX(Standards!$A$2:$A$296,MATCH(B374,Standards!$B$2:$B$296,0))</f>
        <v>130</v>
      </c>
      <c r="E374">
        <f>INDEX(Standards!$A$2:$A$296,MATCH(C374,Standards!$B$2:$B$296,0))</f>
        <v>161</v>
      </c>
      <c r="F374" t="str">
        <f>INDEX(Standards!$N$2:$N$296,MATCH(B374,Standards!$B$2:$B$296,0))</f>
        <v>#9BC2E6</v>
      </c>
      <c r="G374" t="str">
        <f>INDEX(Standards!$N$2:$N$296,MATCH(C374,Standards!$B$2:$B$296,0))</f>
        <v>#F2F2F2</v>
      </c>
      <c r="H374" t="s">
        <v>521</v>
      </c>
      <c r="I374" t="s">
        <v>237</v>
      </c>
      <c r="J374" t="str">
        <f>INDEX(Standards!$H$2:$H$296,MATCH(B374,Standards!$B$2:$B$296,0))</f>
        <v>GIS</v>
      </c>
      <c r="K374" t="str">
        <f>INDEX(Standards!$H$2:$H$296,MATCH(C374,Standards!$B$2:$B$296,0))</f>
        <v>Anchor</v>
      </c>
      <c r="L374" t="b">
        <f>AND(TableRelationships[[#This Row],[Source Type]]="BIM",TableRelationships[[#This Row],[Target Type]]="BIM")</f>
        <v>0</v>
      </c>
      <c r="M374">
        <f t="shared" si="15"/>
        <v>2</v>
      </c>
      <c r="O374">
        <f t="shared" si="16"/>
        <v>1</v>
      </c>
      <c r="P374" t="str">
        <f>IF(TableRelationships[[#This Row],[Rank Pedro]]="Low","linkCategory1",IF(TableRelationships[[#This Row],[Rank Pedro]]="Medium","linkCategory2",IF(TableRelationships[[#This Row],[Rank Pedro]]="High","linkCategory3","")))</f>
        <v/>
      </c>
      <c r="Q374" t="str">
        <f>IF(TableRelationships[[#This Row],[Rank Pedro]]="Low","Pink",IF(TableRelationships[[#This Row],[Rank Pedro]]="Medium","Purple",IF(TableRelationships[[#This Row],[Rank Pedro]]="High","Brown","")))</f>
        <v/>
      </c>
      <c r="R374" s="4">
        <f>MAX(INDEX(Standards!$F$2:$F$296,MATCH(B374,Standards!$B$2:$B$296,0)),INDEX(Standards!$F$2:$F$296,MATCH(C374,Standards!$B$2:$B$296,0)))</f>
        <v>40118</v>
      </c>
      <c r="S374">
        <f t="shared" si="17"/>
        <v>1</v>
      </c>
    </row>
    <row r="375" spans="1:19" x14ac:dyDescent="0.5">
      <c r="A375">
        <v>198</v>
      </c>
      <c r="B375" t="s">
        <v>404</v>
      </c>
      <c r="C375" t="s">
        <v>236</v>
      </c>
      <c r="D375">
        <f>INDEX(Standards!$A$2:$A$296,MATCH(B375,Standards!$B$2:$B$296,0))</f>
        <v>64</v>
      </c>
      <c r="E375">
        <f>INDEX(Standards!$A$2:$A$296,MATCH(C375,Standards!$B$2:$B$296,0))</f>
        <v>91</v>
      </c>
      <c r="F375" t="str">
        <f>INDEX(Standards!$N$2:$N$296,MATCH(B375,Standards!$B$2:$B$296,0))</f>
        <v>#70AD47</v>
      </c>
      <c r="G375" t="str">
        <f>INDEX(Standards!$N$2:$N$296,MATCH(C375,Standards!$B$2:$B$296,0))</f>
        <v>#F2F2F2</v>
      </c>
      <c r="H375" t="s">
        <v>521</v>
      </c>
      <c r="I375" t="s">
        <v>237</v>
      </c>
      <c r="J375" t="str">
        <f>INDEX(Standards!$H$2:$H$296,MATCH(B375,Standards!$B$2:$B$296,0))</f>
        <v>BIM</v>
      </c>
      <c r="K375" t="str">
        <f>INDEX(Standards!$H$2:$H$296,MATCH(C375,Standards!$B$2:$B$296,0))</f>
        <v>Anchor</v>
      </c>
      <c r="L375" t="b">
        <f>AND(TableRelationships[[#This Row],[Source Type]]="BIM",TableRelationships[[#This Row],[Target Type]]="BIM")</f>
        <v>0</v>
      </c>
      <c r="M375">
        <f t="shared" si="15"/>
        <v>2</v>
      </c>
      <c r="O375">
        <f t="shared" si="16"/>
        <v>1</v>
      </c>
      <c r="P375" t="str">
        <f>IF(TableRelationships[[#This Row],[Rank Pedro]]="Low","linkCategory1",IF(TableRelationships[[#This Row],[Rank Pedro]]="Medium","linkCategory2",IF(TableRelationships[[#This Row],[Rank Pedro]]="High","linkCategory3","")))</f>
        <v/>
      </c>
      <c r="Q375" t="str">
        <f>IF(TableRelationships[[#This Row],[Rank Pedro]]="Low","Pink",IF(TableRelationships[[#This Row],[Rank Pedro]]="Medium","Purple",IF(TableRelationships[[#This Row],[Rank Pedro]]="High","Brown","")))</f>
        <v/>
      </c>
      <c r="R375" s="4">
        <f>MAX(INDEX(Standards!$F$2:$F$296,MATCH(B375,Standards!$B$2:$B$296,0)),INDEX(Standards!$F$2:$F$296,MATCH(C375,Standards!$B$2:$B$296,0)))</f>
        <v>44034</v>
      </c>
      <c r="S375">
        <f t="shared" si="17"/>
        <v>1</v>
      </c>
    </row>
    <row r="376" spans="1:19" x14ac:dyDescent="0.5">
      <c r="A376">
        <v>390</v>
      </c>
      <c r="B376" t="s">
        <v>324</v>
      </c>
      <c r="C376" t="s">
        <v>527</v>
      </c>
      <c r="D376">
        <f>INDEX(Standards!$A$2:$A$296,MATCH(B376,Standards!$B$2:$B$296,0))</f>
        <v>131</v>
      </c>
      <c r="E376">
        <f>INDEX(Standards!$A$2:$A$296,MATCH(C376,Standards!$B$2:$B$296,0))</f>
        <v>161</v>
      </c>
      <c r="F376" t="str">
        <f>INDEX(Standards!$N$2:$N$296,MATCH(B376,Standards!$B$2:$B$296,0))</f>
        <v>#9BC2E6</v>
      </c>
      <c r="G376" t="str">
        <f>INDEX(Standards!$N$2:$N$296,MATCH(C376,Standards!$B$2:$B$296,0))</f>
        <v>#F2F2F2</v>
      </c>
      <c r="H376" t="s">
        <v>521</v>
      </c>
      <c r="I376" t="s">
        <v>237</v>
      </c>
      <c r="J376" t="str">
        <f>INDEX(Standards!$H$2:$H$296,MATCH(B376,Standards!$B$2:$B$296,0))</f>
        <v>GIS</v>
      </c>
      <c r="K376" t="str">
        <f>INDEX(Standards!$H$2:$H$296,MATCH(C376,Standards!$B$2:$B$296,0))</f>
        <v>Anchor</v>
      </c>
      <c r="L376" t="b">
        <f>AND(TableRelationships[[#This Row],[Source Type]]="BIM",TableRelationships[[#This Row],[Target Type]]="BIM")</f>
        <v>0</v>
      </c>
      <c r="M376">
        <f t="shared" si="15"/>
        <v>2</v>
      </c>
      <c r="O376">
        <f t="shared" si="16"/>
        <v>1</v>
      </c>
      <c r="P376" t="str">
        <f>IF(TableRelationships[[#This Row],[Rank Pedro]]="Low","linkCategory1",IF(TableRelationships[[#This Row],[Rank Pedro]]="Medium","linkCategory2",IF(TableRelationships[[#This Row],[Rank Pedro]]="High","linkCategory3","")))</f>
        <v/>
      </c>
      <c r="Q376" t="str">
        <f>IF(TableRelationships[[#This Row],[Rank Pedro]]="Low","Pink",IF(TableRelationships[[#This Row],[Rank Pedro]]="Medium","Purple",IF(TableRelationships[[#This Row],[Rank Pedro]]="High","Brown","")))</f>
        <v/>
      </c>
      <c r="R376" s="4">
        <f>MAX(INDEX(Standards!$F$2:$F$296,MATCH(B376,Standards!$B$2:$B$296,0)),INDEX(Standards!$F$2:$F$296,MATCH(C376,Standards!$B$2:$B$296,0)))</f>
        <v>38504</v>
      </c>
      <c r="S376">
        <f t="shared" si="17"/>
        <v>1</v>
      </c>
    </row>
    <row r="377" spans="1:19" x14ac:dyDescent="0.5">
      <c r="A377">
        <v>119</v>
      </c>
      <c r="B377" t="s">
        <v>404</v>
      </c>
      <c r="C377" t="s">
        <v>180</v>
      </c>
      <c r="D377">
        <f>INDEX(Standards!$A$2:$A$296,MATCH(B377,Standards!$B$2:$B$296,0))</f>
        <v>64</v>
      </c>
      <c r="E377">
        <f>INDEX(Standards!$A$2:$A$296,MATCH(C377,Standards!$B$2:$B$296,0))</f>
        <v>66</v>
      </c>
      <c r="F377" t="str">
        <f>INDEX(Standards!$N$2:$N$296,MATCH(B377,Standards!$B$2:$B$296,0))</f>
        <v>#70AD47</v>
      </c>
      <c r="G377" t="str">
        <f>INDEX(Standards!$N$2:$N$296,MATCH(C377,Standards!$B$2:$B$296,0))</f>
        <v>#ED7D31</v>
      </c>
      <c r="H377" t="s">
        <v>521</v>
      </c>
      <c r="I377" t="s">
        <v>525</v>
      </c>
      <c r="J377" t="str">
        <f>INDEX(Standards!$H$2:$H$296,MATCH(B377,Standards!$B$2:$B$296,0))</f>
        <v>BIM</v>
      </c>
      <c r="K377" t="str">
        <f>INDEX(Standards!$H$2:$H$296,MATCH(C377,Standards!$B$2:$B$296,0))</f>
        <v>Construction</v>
      </c>
      <c r="L377" t="b">
        <f>AND(TableRelationships[[#This Row],[Source Type]]="BIM",TableRelationships[[#This Row],[Target Type]]="BIM")</f>
        <v>0</v>
      </c>
      <c r="M377">
        <f t="shared" si="15"/>
        <v>1</v>
      </c>
      <c r="N377" t="s">
        <v>526</v>
      </c>
      <c r="O377">
        <f t="shared" si="16"/>
        <v>2</v>
      </c>
      <c r="P377" t="str">
        <f>IF(TableRelationships[[#This Row],[Rank Pedro]]="Low","linkCategory1",IF(TableRelationships[[#This Row],[Rank Pedro]]="Medium","linkCategory2",IF(TableRelationships[[#This Row],[Rank Pedro]]="High","linkCategory3","")))</f>
        <v>linkCategory1</v>
      </c>
      <c r="Q377" t="str">
        <f>IF(TableRelationships[[#This Row],[Rank Pedro]]="Low","Pink",IF(TableRelationships[[#This Row],[Rank Pedro]]="Medium","Purple",IF(TableRelationships[[#This Row],[Rank Pedro]]="High","Brown","")))</f>
        <v>Pink</v>
      </c>
      <c r="R377" s="4">
        <f>MAX(INDEX(Standards!$F$2:$F$296,MATCH(B377,Standards!$B$2:$B$296,0)),INDEX(Standards!$F$2:$F$296,MATCH(C377,Standards!$B$2:$B$296,0)))</f>
        <v>44034</v>
      </c>
      <c r="S377" t="str">
        <f t="shared" si="17"/>
        <v>#2f89d1</v>
      </c>
    </row>
    <row r="378" spans="1:19" x14ac:dyDescent="0.5">
      <c r="A378">
        <v>391</v>
      </c>
      <c r="B378" t="s">
        <v>326</v>
      </c>
      <c r="C378" t="s">
        <v>527</v>
      </c>
      <c r="D378">
        <f>INDEX(Standards!$A$2:$A$296,MATCH(B378,Standards!$B$2:$B$296,0))</f>
        <v>132</v>
      </c>
      <c r="E378">
        <f>INDEX(Standards!$A$2:$A$296,MATCH(C378,Standards!$B$2:$B$296,0))</f>
        <v>161</v>
      </c>
      <c r="F378" t="str">
        <f>INDEX(Standards!$N$2:$N$296,MATCH(B378,Standards!$B$2:$B$296,0))</f>
        <v>#9BC2E6</v>
      </c>
      <c r="G378" t="str">
        <f>INDEX(Standards!$N$2:$N$296,MATCH(C378,Standards!$B$2:$B$296,0))</f>
        <v>#F2F2F2</v>
      </c>
      <c r="H378" t="s">
        <v>521</v>
      </c>
      <c r="I378" t="s">
        <v>237</v>
      </c>
      <c r="J378" t="str">
        <f>INDEX(Standards!$H$2:$H$296,MATCH(B378,Standards!$B$2:$B$296,0))</f>
        <v>GIS</v>
      </c>
      <c r="K378" t="str">
        <f>INDEX(Standards!$H$2:$H$296,MATCH(C378,Standards!$B$2:$B$296,0))</f>
        <v>Anchor</v>
      </c>
      <c r="L378" t="b">
        <f>AND(TableRelationships[[#This Row],[Source Type]]="BIM",TableRelationships[[#This Row],[Target Type]]="BIM")</f>
        <v>0</v>
      </c>
      <c r="M378">
        <f t="shared" si="15"/>
        <v>2</v>
      </c>
      <c r="O378">
        <f t="shared" si="16"/>
        <v>1</v>
      </c>
      <c r="P378" t="str">
        <f>IF(TableRelationships[[#This Row],[Rank Pedro]]="Low","linkCategory1",IF(TableRelationships[[#This Row],[Rank Pedro]]="Medium","linkCategory2",IF(TableRelationships[[#This Row],[Rank Pedro]]="High","linkCategory3","")))</f>
        <v/>
      </c>
      <c r="Q378" t="str">
        <f>IF(TableRelationships[[#This Row],[Rank Pedro]]="Low","Pink",IF(TableRelationships[[#This Row],[Rank Pedro]]="Medium","Purple",IF(TableRelationships[[#This Row],[Rank Pedro]]="High","Brown","")))</f>
        <v/>
      </c>
      <c r="R378" s="4">
        <f>MAX(INDEX(Standards!$F$2:$F$296,MATCH(B378,Standards!$B$2:$B$296,0)),INDEX(Standards!$F$2:$F$296,MATCH(C378,Standards!$B$2:$B$296,0)))</f>
        <v>38687</v>
      </c>
      <c r="S378">
        <f t="shared" si="17"/>
        <v>1</v>
      </c>
    </row>
    <row r="379" spans="1:19" x14ac:dyDescent="0.5">
      <c r="A379">
        <v>129</v>
      </c>
      <c r="B379" t="s">
        <v>404</v>
      </c>
      <c r="C379" t="s">
        <v>184</v>
      </c>
      <c r="D379">
        <f>INDEX(Standards!$A$2:$A$296,MATCH(B379,Standards!$B$2:$B$296,0))</f>
        <v>64</v>
      </c>
      <c r="E379">
        <f>INDEX(Standards!$A$2:$A$296,MATCH(C379,Standards!$B$2:$B$296,0))</f>
        <v>68</v>
      </c>
      <c r="F379" t="str">
        <f>INDEX(Standards!$N$2:$N$296,MATCH(B379,Standards!$B$2:$B$296,0))</f>
        <v>#70AD47</v>
      </c>
      <c r="G379" t="str">
        <f>INDEX(Standards!$N$2:$N$296,MATCH(C379,Standards!$B$2:$B$296,0))</f>
        <v>#ED7D31</v>
      </c>
      <c r="H379" t="s">
        <v>521</v>
      </c>
      <c r="I379" t="s">
        <v>525</v>
      </c>
      <c r="J379" t="str">
        <f>INDEX(Standards!$H$2:$H$296,MATCH(B379,Standards!$B$2:$B$296,0))</f>
        <v>BIM</v>
      </c>
      <c r="K379" t="str">
        <f>INDEX(Standards!$H$2:$H$296,MATCH(C379,Standards!$B$2:$B$296,0))</f>
        <v>Construction</v>
      </c>
      <c r="L379" t="b">
        <f>AND(TableRelationships[[#This Row],[Source Type]]="BIM",TableRelationships[[#This Row],[Target Type]]="BIM")</f>
        <v>0</v>
      </c>
      <c r="M379">
        <f t="shared" si="15"/>
        <v>1</v>
      </c>
      <c r="N379" t="s">
        <v>526</v>
      </c>
      <c r="O379">
        <f t="shared" si="16"/>
        <v>2</v>
      </c>
      <c r="P379" t="str">
        <f>IF(TableRelationships[[#This Row],[Rank Pedro]]="Low","linkCategory1",IF(TableRelationships[[#This Row],[Rank Pedro]]="Medium","linkCategory2",IF(TableRelationships[[#This Row],[Rank Pedro]]="High","linkCategory3","")))</f>
        <v>linkCategory1</v>
      </c>
      <c r="Q379" t="str">
        <f>IF(TableRelationships[[#This Row],[Rank Pedro]]="Low","Pink",IF(TableRelationships[[#This Row],[Rank Pedro]]="Medium","Purple",IF(TableRelationships[[#This Row],[Rank Pedro]]="High","Brown","")))</f>
        <v>Pink</v>
      </c>
      <c r="R379" s="4">
        <f>MAX(INDEX(Standards!$F$2:$F$296,MATCH(B379,Standards!$B$2:$B$296,0)),INDEX(Standards!$F$2:$F$296,MATCH(C379,Standards!$B$2:$B$296,0)))</f>
        <v>44034</v>
      </c>
      <c r="S379" t="str">
        <f t="shared" si="17"/>
        <v>#2f89d1</v>
      </c>
    </row>
    <row r="380" spans="1:19" x14ac:dyDescent="0.5">
      <c r="A380">
        <v>392</v>
      </c>
      <c r="B380" t="s">
        <v>328</v>
      </c>
      <c r="C380" t="s">
        <v>527</v>
      </c>
      <c r="D380">
        <f>INDEX(Standards!$A$2:$A$296,MATCH(B380,Standards!$B$2:$B$296,0))</f>
        <v>133</v>
      </c>
      <c r="E380">
        <f>INDEX(Standards!$A$2:$A$296,MATCH(C380,Standards!$B$2:$B$296,0))</f>
        <v>161</v>
      </c>
      <c r="F380" t="str">
        <f>INDEX(Standards!$N$2:$N$296,MATCH(B380,Standards!$B$2:$B$296,0))</f>
        <v>#9BC2E6</v>
      </c>
      <c r="G380" t="str">
        <f>INDEX(Standards!$N$2:$N$296,MATCH(C380,Standards!$B$2:$B$296,0))</f>
        <v>#F2F2F2</v>
      </c>
      <c r="H380" t="s">
        <v>521</v>
      </c>
      <c r="I380" t="s">
        <v>237</v>
      </c>
      <c r="J380" t="str">
        <f>INDEX(Standards!$H$2:$H$296,MATCH(B380,Standards!$B$2:$B$296,0))</f>
        <v>GIS</v>
      </c>
      <c r="K380" t="str">
        <f>INDEX(Standards!$H$2:$H$296,MATCH(C380,Standards!$B$2:$B$296,0))</f>
        <v>Anchor</v>
      </c>
      <c r="L380" t="b">
        <f>AND(TableRelationships[[#This Row],[Source Type]]="BIM",TableRelationships[[#This Row],[Target Type]]="BIM")</f>
        <v>0</v>
      </c>
      <c r="M380">
        <f t="shared" si="15"/>
        <v>2</v>
      </c>
      <c r="O380">
        <f t="shared" si="16"/>
        <v>1</v>
      </c>
      <c r="P380" t="str">
        <f>IF(TableRelationships[[#This Row],[Rank Pedro]]="Low","linkCategory1",IF(TableRelationships[[#This Row],[Rank Pedro]]="Medium","linkCategory2",IF(TableRelationships[[#This Row],[Rank Pedro]]="High","linkCategory3","")))</f>
        <v/>
      </c>
      <c r="Q380" t="str">
        <f>IF(TableRelationships[[#This Row],[Rank Pedro]]="Low","Pink",IF(TableRelationships[[#This Row],[Rank Pedro]]="Medium","Purple",IF(TableRelationships[[#This Row],[Rank Pedro]]="High","Brown","")))</f>
        <v/>
      </c>
      <c r="R380" s="4">
        <f>MAX(INDEX(Standards!$F$2:$F$296,MATCH(B380,Standards!$B$2:$B$296,0)),INDEX(Standards!$F$2:$F$296,MATCH(C380,Standards!$B$2:$B$296,0)))</f>
        <v>39173</v>
      </c>
      <c r="S380">
        <f t="shared" si="17"/>
        <v>1</v>
      </c>
    </row>
    <row r="381" spans="1:19" x14ac:dyDescent="0.5">
      <c r="A381">
        <v>117</v>
      </c>
      <c r="B381" t="s">
        <v>404</v>
      </c>
      <c r="C381" t="s">
        <v>178</v>
      </c>
      <c r="D381">
        <f>INDEX(Standards!$A$2:$A$296,MATCH(B381,Standards!$B$2:$B$296,0))</f>
        <v>64</v>
      </c>
      <c r="E381">
        <f>INDEX(Standards!$A$2:$A$296,MATCH(C381,Standards!$B$2:$B$296,0))</f>
        <v>65</v>
      </c>
      <c r="F381" t="str">
        <f>INDEX(Standards!$N$2:$N$296,MATCH(B381,Standards!$B$2:$B$296,0))</f>
        <v>#70AD47</v>
      </c>
      <c r="G381" t="str">
        <f>INDEX(Standards!$N$2:$N$296,MATCH(C381,Standards!$B$2:$B$296,0))</f>
        <v>#595959</v>
      </c>
      <c r="H381" t="s">
        <v>521</v>
      </c>
      <c r="I381" t="s">
        <v>525</v>
      </c>
      <c r="J381" t="str">
        <f>INDEX(Standards!$H$2:$H$296,MATCH(B381,Standards!$B$2:$B$296,0))</f>
        <v>BIM</v>
      </c>
      <c r="K381" t="str">
        <f>INDEX(Standards!$H$2:$H$296,MATCH(C381,Standards!$B$2:$B$296,0))</f>
        <v>Other</v>
      </c>
      <c r="L381" t="b">
        <f>AND(TableRelationships[[#This Row],[Source Type]]="BIM",TableRelationships[[#This Row],[Target Type]]="BIM")</f>
        <v>0</v>
      </c>
      <c r="M381">
        <f t="shared" si="15"/>
        <v>1</v>
      </c>
      <c r="N381" t="s">
        <v>526</v>
      </c>
      <c r="O381">
        <f t="shared" si="16"/>
        <v>2</v>
      </c>
      <c r="P381" t="str">
        <f>IF(TableRelationships[[#This Row],[Rank Pedro]]="Low","linkCategory1",IF(TableRelationships[[#This Row],[Rank Pedro]]="Medium","linkCategory2",IF(TableRelationships[[#This Row],[Rank Pedro]]="High","linkCategory3","")))</f>
        <v>linkCategory1</v>
      </c>
      <c r="Q381" t="str">
        <f>IF(TableRelationships[[#This Row],[Rank Pedro]]="Low","Pink",IF(TableRelationships[[#This Row],[Rank Pedro]]="Medium","Purple",IF(TableRelationships[[#This Row],[Rank Pedro]]="High","Brown","")))</f>
        <v>Pink</v>
      </c>
      <c r="R381" s="4">
        <f>MAX(INDEX(Standards!$F$2:$F$296,MATCH(B381,Standards!$B$2:$B$296,0)),INDEX(Standards!$F$2:$F$296,MATCH(C381,Standards!$B$2:$B$296,0)))</f>
        <v>44034</v>
      </c>
      <c r="S381" t="str">
        <f t="shared" si="17"/>
        <v>#2f89d1</v>
      </c>
    </row>
    <row r="382" spans="1:19" x14ac:dyDescent="0.5">
      <c r="A382">
        <v>393</v>
      </c>
      <c r="B382" t="s">
        <v>330</v>
      </c>
      <c r="C382" t="s">
        <v>527</v>
      </c>
      <c r="D382">
        <f>INDEX(Standards!$A$2:$A$296,MATCH(B382,Standards!$B$2:$B$296,0))</f>
        <v>134</v>
      </c>
      <c r="E382">
        <f>INDEX(Standards!$A$2:$A$296,MATCH(C382,Standards!$B$2:$B$296,0))</f>
        <v>161</v>
      </c>
      <c r="F382" t="str">
        <f>INDEX(Standards!$N$2:$N$296,MATCH(B382,Standards!$B$2:$B$296,0))</f>
        <v>#9BC2E6</v>
      </c>
      <c r="G382" t="str">
        <f>INDEX(Standards!$N$2:$N$296,MATCH(C382,Standards!$B$2:$B$296,0))</f>
        <v>#F2F2F2</v>
      </c>
      <c r="H382" t="s">
        <v>521</v>
      </c>
      <c r="I382" t="s">
        <v>237</v>
      </c>
      <c r="J382" t="str">
        <f>INDEX(Standards!$H$2:$H$296,MATCH(B382,Standards!$B$2:$B$296,0))</f>
        <v>GIS</v>
      </c>
      <c r="K382" t="str">
        <f>INDEX(Standards!$H$2:$H$296,MATCH(C382,Standards!$B$2:$B$296,0))</f>
        <v>Anchor</v>
      </c>
      <c r="L382" t="b">
        <f>AND(TableRelationships[[#This Row],[Source Type]]="BIM",TableRelationships[[#This Row],[Target Type]]="BIM")</f>
        <v>0</v>
      </c>
      <c r="M382">
        <f t="shared" si="15"/>
        <v>2</v>
      </c>
      <c r="O382">
        <f t="shared" si="16"/>
        <v>1</v>
      </c>
      <c r="P382" t="str">
        <f>IF(TableRelationships[[#This Row],[Rank Pedro]]="Low","linkCategory1",IF(TableRelationships[[#This Row],[Rank Pedro]]="Medium","linkCategory2",IF(TableRelationships[[#This Row],[Rank Pedro]]="High","linkCategory3","")))</f>
        <v/>
      </c>
      <c r="Q382" t="str">
        <f>IF(TableRelationships[[#This Row],[Rank Pedro]]="Low","Pink",IF(TableRelationships[[#This Row],[Rank Pedro]]="Medium","Purple",IF(TableRelationships[[#This Row],[Rank Pedro]]="High","Brown","")))</f>
        <v/>
      </c>
      <c r="R382" s="4">
        <f>MAX(INDEX(Standards!$F$2:$F$296,MATCH(B382,Standards!$B$2:$B$296,0)),INDEX(Standards!$F$2:$F$296,MATCH(C382,Standards!$B$2:$B$296,0)))</f>
        <v>39356</v>
      </c>
      <c r="S382">
        <f t="shared" si="17"/>
        <v>1</v>
      </c>
    </row>
    <row r="383" spans="1:19" x14ac:dyDescent="0.5">
      <c r="A383">
        <v>113</v>
      </c>
      <c r="B383" t="s">
        <v>404</v>
      </c>
      <c r="C383" t="s">
        <v>128</v>
      </c>
      <c r="D383">
        <f>INDEX(Standards!$A$2:$A$296,MATCH(B383,Standards!$B$2:$B$296,0))</f>
        <v>64</v>
      </c>
      <c r="E383">
        <f>INDEX(Standards!$A$2:$A$296,MATCH(C383,Standards!$B$2:$B$296,0))</f>
        <v>43</v>
      </c>
      <c r="F383" t="str">
        <f>INDEX(Standards!$N$2:$N$296,MATCH(B383,Standards!$B$2:$B$296,0))</f>
        <v>#70AD47</v>
      </c>
      <c r="G383" t="str">
        <f>INDEX(Standards!$N$2:$N$296,MATCH(C383,Standards!$B$2:$B$296,0))</f>
        <v>#7030A0</v>
      </c>
      <c r="H383" t="s">
        <v>521</v>
      </c>
      <c r="I383" t="s">
        <v>524</v>
      </c>
      <c r="J383" t="str">
        <f>INDEX(Standards!$H$2:$H$296,MATCH(B383,Standards!$B$2:$B$296,0))</f>
        <v>BIM</v>
      </c>
      <c r="K383" t="str">
        <f>INDEX(Standards!$H$2:$H$296,MATCH(C383,Standards!$B$2:$B$296,0))</f>
        <v>ICT</v>
      </c>
      <c r="L383" t="b">
        <f>AND(TableRelationships[[#This Row],[Source Type]]="BIM",TableRelationships[[#This Row],[Target Type]]="BIM")</f>
        <v>0</v>
      </c>
      <c r="M383">
        <f t="shared" si="15"/>
        <v>6</v>
      </c>
      <c r="N383" t="s">
        <v>526</v>
      </c>
      <c r="O383">
        <f t="shared" si="16"/>
        <v>2</v>
      </c>
      <c r="P383" t="str">
        <f>IF(TableRelationships[[#This Row],[Rank Pedro]]="Low","linkCategory1",IF(TableRelationships[[#This Row],[Rank Pedro]]="Medium","linkCategory2",IF(TableRelationships[[#This Row],[Rank Pedro]]="High","linkCategory3","")))</f>
        <v>linkCategory1</v>
      </c>
      <c r="Q383" t="str">
        <f>IF(TableRelationships[[#This Row],[Rank Pedro]]="Low","Pink",IF(TableRelationships[[#This Row],[Rank Pedro]]="Medium","Purple",IF(TableRelationships[[#This Row],[Rank Pedro]]="High","Brown","")))</f>
        <v>Pink</v>
      </c>
      <c r="R383" s="4">
        <f>MAX(INDEX(Standards!$F$2:$F$296,MATCH(B383,Standards!$B$2:$B$296,0)),INDEX(Standards!$F$2:$F$296,MATCH(C383,Standards!$B$2:$B$296,0)))</f>
        <v>44034</v>
      </c>
      <c r="S383" t="str">
        <f t="shared" si="17"/>
        <v>#d6bf2a</v>
      </c>
    </row>
    <row r="384" spans="1:19" x14ac:dyDescent="0.5">
      <c r="A384">
        <v>394</v>
      </c>
      <c r="B384" t="s">
        <v>332</v>
      </c>
      <c r="C384" t="s">
        <v>527</v>
      </c>
      <c r="D384">
        <f>INDEX(Standards!$A$2:$A$296,MATCH(B384,Standards!$B$2:$B$296,0))</f>
        <v>135</v>
      </c>
      <c r="E384">
        <f>INDEX(Standards!$A$2:$A$296,MATCH(C384,Standards!$B$2:$B$296,0))</f>
        <v>161</v>
      </c>
      <c r="F384" t="str">
        <f>INDEX(Standards!$N$2:$N$296,MATCH(B384,Standards!$B$2:$B$296,0))</f>
        <v>#9BC2E6</v>
      </c>
      <c r="G384" t="str">
        <f>INDEX(Standards!$N$2:$N$296,MATCH(C384,Standards!$B$2:$B$296,0))</f>
        <v>#F2F2F2</v>
      </c>
      <c r="H384" t="s">
        <v>521</v>
      </c>
      <c r="I384" t="s">
        <v>237</v>
      </c>
      <c r="J384" t="str">
        <f>INDEX(Standards!$H$2:$H$296,MATCH(B384,Standards!$B$2:$B$296,0))</f>
        <v>GIS</v>
      </c>
      <c r="K384" t="str">
        <f>INDEX(Standards!$H$2:$H$296,MATCH(C384,Standards!$B$2:$B$296,0))</f>
        <v>Anchor</v>
      </c>
      <c r="L384" t="b">
        <f>AND(TableRelationships[[#This Row],[Source Type]]="BIM",TableRelationships[[#This Row],[Target Type]]="BIM")</f>
        <v>0</v>
      </c>
      <c r="M384">
        <f t="shared" si="15"/>
        <v>2</v>
      </c>
      <c r="O384">
        <f t="shared" si="16"/>
        <v>1</v>
      </c>
      <c r="P384" t="str">
        <f>IF(TableRelationships[[#This Row],[Rank Pedro]]="Low","linkCategory1",IF(TableRelationships[[#This Row],[Rank Pedro]]="Medium","linkCategory2",IF(TableRelationships[[#This Row],[Rank Pedro]]="High","linkCategory3","")))</f>
        <v/>
      </c>
      <c r="Q384" t="str">
        <f>IF(TableRelationships[[#This Row],[Rank Pedro]]="Low","Pink",IF(TableRelationships[[#This Row],[Rank Pedro]]="Medium","Purple",IF(TableRelationships[[#This Row],[Rank Pedro]]="High","Brown","")))</f>
        <v/>
      </c>
      <c r="R384" s="4">
        <f>MAX(INDEX(Standards!$F$2:$F$296,MATCH(B384,Standards!$B$2:$B$296,0)),INDEX(Standards!$F$2:$F$296,MATCH(C384,Standards!$B$2:$B$296,0)))</f>
        <v>38626</v>
      </c>
      <c r="S384">
        <f t="shared" si="17"/>
        <v>1</v>
      </c>
    </row>
    <row r="385" spans="1:19" x14ac:dyDescent="0.5">
      <c r="A385">
        <v>115</v>
      </c>
      <c r="B385" t="s">
        <v>404</v>
      </c>
      <c r="C385" t="s">
        <v>126</v>
      </c>
      <c r="D385">
        <f>INDEX(Standards!$A$2:$A$296,MATCH(B385,Standards!$B$2:$B$296,0))</f>
        <v>64</v>
      </c>
      <c r="E385">
        <f>INDEX(Standards!$A$2:$A$296,MATCH(C385,Standards!$B$2:$B$296,0))</f>
        <v>42</v>
      </c>
      <c r="F385" t="str">
        <f>INDEX(Standards!$N$2:$N$296,MATCH(B385,Standards!$B$2:$B$296,0))</f>
        <v>#70AD47</v>
      </c>
      <c r="G385" t="str">
        <f>INDEX(Standards!$N$2:$N$296,MATCH(C385,Standards!$B$2:$B$296,0))</f>
        <v>#595959</v>
      </c>
      <c r="H385" t="s">
        <v>521</v>
      </c>
      <c r="I385" t="s">
        <v>525</v>
      </c>
      <c r="J385" t="str">
        <f>INDEX(Standards!$H$2:$H$296,MATCH(B385,Standards!$B$2:$B$296,0))</f>
        <v>BIM</v>
      </c>
      <c r="K385" t="str">
        <f>INDEX(Standards!$H$2:$H$296,MATCH(C385,Standards!$B$2:$B$296,0))</f>
        <v>Other</v>
      </c>
      <c r="L385" t="b">
        <f>AND(TableRelationships[[#This Row],[Source Type]]="BIM",TableRelationships[[#This Row],[Target Type]]="BIM")</f>
        <v>0</v>
      </c>
      <c r="M385">
        <f t="shared" si="15"/>
        <v>1</v>
      </c>
      <c r="N385" t="s">
        <v>526</v>
      </c>
      <c r="O385">
        <f t="shared" si="16"/>
        <v>2</v>
      </c>
      <c r="P385" t="str">
        <f>IF(TableRelationships[[#This Row],[Rank Pedro]]="Low","linkCategory1",IF(TableRelationships[[#This Row],[Rank Pedro]]="Medium","linkCategory2",IF(TableRelationships[[#This Row],[Rank Pedro]]="High","linkCategory3","")))</f>
        <v>linkCategory1</v>
      </c>
      <c r="Q385" t="str">
        <f>IF(TableRelationships[[#This Row],[Rank Pedro]]="Low","Pink",IF(TableRelationships[[#This Row],[Rank Pedro]]="Medium","Purple",IF(TableRelationships[[#This Row],[Rank Pedro]]="High","Brown","")))</f>
        <v>Pink</v>
      </c>
      <c r="R385" s="4">
        <f>MAX(INDEX(Standards!$F$2:$F$296,MATCH(B385,Standards!$B$2:$B$296,0)),INDEX(Standards!$F$2:$F$296,MATCH(C385,Standards!$B$2:$B$296,0)))</f>
        <v>44034</v>
      </c>
      <c r="S385" t="str">
        <f t="shared" si="17"/>
        <v>#2f89d1</v>
      </c>
    </row>
    <row r="386" spans="1:19" x14ac:dyDescent="0.5">
      <c r="A386">
        <v>395</v>
      </c>
      <c r="B386" t="s">
        <v>334</v>
      </c>
      <c r="C386" t="s">
        <v>527</v>
      </c>
      <c r="D386">
        <f>INDEX(Standards!$A$2:$A$296,MATCH(B386,Standards!$B$2:$B$296,0))</f>
        <v>136</v>
      </c>
      <c r="E386">
        <f>INDEX(Standards!$A$2:$A$296,MATCH(C386,Standards!$B$2:$B$296,0))</f>
        <v>161</v>
      </c>
      <c r="F386" t="str">
        <f>INDEX(Standards!$N$2:$N$296,MATCH(B386,Standards!$B$2:$B$296,0))</f>
        <v>#9BC2E6</v>
      </c>
      <c r="G386" t="str">
        <f>INDEX(Standards!$N$2:$N$296,MATCH(C386,Standards!$B$2:$B$296,0))</f>
        <v>#F2F2F2</v>
      </c>
      <c r="H386" t="s">
        <v>521</v>
      </c>
      <c r="I386" t="s">
        <v>237</v>
      </c>
      <c r="J386" t="str">
        <f>INDEX(Standards!$H$2:$H$296,MATCH(B386,Standards!$B$2:$B$296,0))</f>
        <v>GIS</v>
      </c>
      <c r="K386" t="str">
        <f>INDEX(Standards!$H$2:$H$296,MATCH(C386,Standards!$B$2:$B$296,0))</f>
        <v>Anchor</v>
      </c>
      <c r="L386" t="b">
        <f>AND(TableRelationships[[#This Row],[Source Type]]="BIM",TableRelationships[[#This Row],[Target Type]]="BIM")</f>
        <v>0</v>
      </c>
      <c r="M386">
        <f t="shared" ref="M386:M449" si="18">IF(I386="Normative",6,IF(I386="Secondary",4,IF(I386="Anchor",2,1)))</f>
        <v>2</v>
      </c>
      <c r="O386">
        <f t="shared" ref="O386:O449" si="19">IF(N386="High",10,IF(N386="Medium",6,IF(N386="Low",2,1)))</f>
        <v>1</v>
      </c>
      <c r="P386" t="str">
        <f>IF(TableRelationships[[#This Row],[Rank Pedro]]="Low","linkCategory1",IF(TableRelationships[[#This Row],[Rank Pedro]]="Medium","linkCategory2",IF(TableRelationships[[#This Row],[Rank Pedro]]="High","linkCategory3","")))</f>
        <v/>
      </c>
      <c r="Q386" t="str">
        <f>IF(TableRelationships[[#This Row],[Rank Pedro]]="Low","Pink",IF(TableRelationships[[#This Row],[Rank Pedro]]="Medium","Purple",IF(TableRelationships[[#This Row],[Rank Pedro]]="High","Brown","")))</f>
        <v/>
      </c>
      <c r="R386" s="4">
        <f>MAX(INDEX(Standards!$F$2:$F$296,MATCH(B386,Standards!$B$2:$B$296,0)),INDEX(Standards!$F$2:$F$296,MATCH(C386,Standards!$B$2:$B$296,0)))</f>
        <v>39326</v>
      </c>
      <c r="S386">
        <f t="shared" ref="S386:S449" si="20">IF(I386="Normative", "#d6bf2a", IF(I386="Informative", "#2f89d1", 1))</f>
        <v>1</v>
      </c>
    </row>
    <row r="387" spans="1:19" x14ac:dyDescent="0.5">
      <c r="A387">
        <v>118</v>
      </c>
      <c r="B387" t="s">
        <v>404</v>
      </c>
      <c r="C387" t="s">
        <v>63</v>
      </c>
      <c r="D387">
        <f>INDEX(Standards!$A$2:$A$296,MATCH(B387,Standards!$B$2:$B$296,0))</f>
        <v>64</v>
      </c>
      <c r="E387">
        <f>INDEX(Standards!$A$2:$A$296,MATCH(C387,Standards!$B$2:$B$296,0))</f>
        <v>6</v>
      </c>
      <c r="F387" t="str">
        <f>INDEX(Standards!$N$2:$N$296,MATCH(B387,Standards!$B$2:$B$296,0))</f>
        <v>#70AD47</v>
      </c>
      <c r="G387" t="str">
        <f>INDEX(Standards!$N$2:$N$296,MATCH(C387,Standards!$B$2:$B$296,0))</f>
        <v>#70AD47</v>
      </c>
      <c r="H387" t="s">
        <v>521</v>
      </c>
      <c r="I387" t="s">
        <v>525</v>
      </c>
      <c r="J387" t="str">
        <f>INDEX(Standards!$H$2:$H$296,MATCH(B387,Standards!$B$2:$B$296,0))</f>
        <v>BIM</v>
      </c>
      <c r="K387" t="str">
        <f>INDEX(Standards!$H$2:$H$296,MATCH(C387,Standards!$B$2:$B$296,0))</f>
        <v>BIM</v>
      </c>
      <c r="L387" t="b">
        <f>AND(TableRelationships[[#This Row],[Source Type]]="BIM",TableRelationships[[#This Row],[Target Type]]="BIM")</f>
        <v>1</v>
      </c>
      <c r="M387">
        <f t="shared" si="18"/>
        <v>1</v>
      </c>
      <c r="N387" t="s">
        <v>526</v>
      </c>
      <c r="O387">
        <f t="shared" si="19"/>
        <v>2</v>
      </c>
      <c r="P387" t="str">
        <f>IF(TableRelationships[[#This Row],[Rank Pedro]]="Low","linkCategory1",IF(TableRelationships[[#This Row],[Rank Pedro]]="Medium","linkCategory2",IF(TableRelationships[[#This Row],[Rank Pedro]]="High","linkCategory3","")))</f>
        <v>linkCategory1</v>
      </c>
      <c r="Q387" t="str">
        <f>IF(TableRelationships[[#This Row],[Rank Pedro]]="Low","Pink",IF(TableRelationships[[#This Row],[Rank Pedro]]="Medium","Purple",IF(TableRelationships[[#This Row],[Rank Pedro]]="High","Brown","")))</f>
        <v>Pink</v>
      </c>
      <c r="R387" s="4">
        <f>MAX(INDEX(Standards!$F$2:$F$296,MATCH(B387,Standards!$B$2:$B$296,0)),INDEX(Standards!$F$2:$F$296,MATCH(C387,Standards!$B$2:$B$296,0)))</f>
        <v>44034</v>
      </c>
      <c r="S387" t="str">
        <f t="shared" si="20"/>
        <v>#2f89d1</v>
      </c>
    </row>
    <row r="388" spans="1:19" x14ac:dyDescent="0.5">
      <c r="A388">
        <v>396</v>
      </c>
      <c r="B388" t="s">
        <v>336</v>
      </c>
      <c r="C388" t="s">
        <v>527</v>
      </c>
      <c r="D388">
        <f>INDEX(Standards!$A$2:$A$296,MATCH(B388,Standards!$B$2:$B$296,0))</f>
        <v>137</v>
      </c>
      <c r="E388">
        <f>INDEX(Standards!$A$2:$A$296,MATCH(C388,Standards!$B$2:$B$296,0))</f>
        <v>161</v>
      </c>
      <c r="F388" t="str">
        <f>INDEX(Standards!$N$2:$N$296,MATCH(B388,Standards!$B$2:$B$296,0))</f>
        <v>#9BC2E6</v>
      </c>
      <c r="G388" t="str">
        <f>INDEX(Standards!$N$2:$N$296,MATCH(C388,Standards!$B$2:$B$296,0))</f>
        <v>#F2F2F2</v>
      </c>
      <c r="H388" t="s">
        <v>521</v>
      </c>
      <c r="I388" t="s">
        <v>237</v>
      </c>
      <c r="J388" t="str">
        <f>INDEX(Standards!$H$2:$H$296,MATCH(B388,Standards!$B$2:$B$296,0))</f>
        <v>GIS</v>
      </c>
      <c r="K388" t="str">
        <f>INDEX(Standards!$H$2:$H$296,MATCH(C388,Standards!$B$2:$B$296,0))</f>
        <v>Anchor</v>
      </c>
      <c r="L388" t="b">
        <f>AND(TableRelationships[[#This Row],[Source Type]]="BIM",TableRelationships[[#This Row],[Target Type]]="BIM")</f>
        <v>0</v>
      </c>
      <c r="M388">
        <f t="shared" si="18"/>
        <v>2</v>
      </c>
      <c r="O388">
        <f t="shared" si="19"/>
        <v>1</v>
      </c>
      <c r="P388" t="str">
        <f>IF(TableRelationships[[#This Row],[Rank Pedro]]="Low","linkCategory1",IF(TableRelationships[[#This Row],[Rank Pedro]]="Medium","linkCategory2",IF(TableRelationships[[#This Row],[Rank Pedro]]="High","linkCategory3","")))</f>
        <v/>
      </c>
      <c r="Q388" t="str">
        <f>IF(TableRelationships[[#This Row],[Rank Pedro]]="Low","Pink",IF(TableRelationships[[#This Row],[Rank Pedro]]="Medium","Purple",IF(TableRelationships[[#This Row],[Rank Pedro]]="High","Brown","")))</f>
        <v/>
      </c>
      <c r="R388" s="4">
        <f>MAX(INDEX(Standards!$F$2:$F$296,MATCH(B388,Standards!$B$2:$B$296,0)),INDEX(Standards!$F$2:$F$296,MATCH(C388,Standards!$B$2:$B$296,0)))</f>
        <v>39203</v>
      </c>
      <c r="S388">
        <f t="shared" si="20"/>
        <v>1</v>
      </c>
    </row>
    <row r="389" spans="1:19" x14ac:dyDescent="0.5">
      <c r="A389">
        <v>114</v>
      </c>
      <c r="B389" t="s">
        <v>404</v>
      </c>
      <c r="C389" t="s">
        <v>68</v>
      </c>
      <c r="D389">
        <f>INDEX(Standards!$A$2:$A$296,MATCH(B389,Standards!$B$2:$B$296,0))</f>
        <v>64</v>
      </c>
      <c r="E389">
        <f>INDEX(Standards!$A$2:$A$296,MATCH(C389,Standards!$B$2:$B$296,0))</f>
        <v>7</v>
      </c>
      <c r="F389" t="str">
        <f>INDEX(Standards!$N$2:$N$296,MATCH(B389,Standards!$B$2:$B$296,0))</f>
        <v>#70AD47</v>
      </c>
      <c r="G389" t="str">
        <f>INDEX(Standards!$N$2:$N$296,MATCH(C389,Standards!$B$2:$B$296,0))</f>
        <v>#70AD47</v>
      </c>
      <c r="H389" t="s">
        <v>521</v>
      </c>
      <c r="I389" t="s">
        <v>524</v>
      </c>
      <c r="J389" t="str">
        <f>INDEX(Standards!$H$2:$H$296,MATCH(B389,Standards!$B$2:$B$296,0))</f>
        <v>BIM</v>
      </c>
      <c r="K389" t="str">
        <f>INDEX(Standards!$H$2:$H$296,MATCH(C389,Standards!$B$2:$B$296,0))</f>
        <v>BIM</v>
      </c>
      <c r="L389" t="b">
        <f>AND(TableRelationships[[#This Row],[Source Type]]="BIM",TableRelationships[[#This Row],[Target Type]]="BIM")</f>
        <v>1</v>
      </c>
      <c r="M389">
        <f t="shared" si="18"/>
        <v>6</v>
      </c>
      <c r="N389" t="s">
        <v>523</v>
      </c>
      <c r="O389">
        <f t="shared" si="19"/>
        <v>10</v>
      </c>
      <c r="P389" t="str">
        <f>IF(TableRelationships[[#This Row],[Rank Pedro]]="Low","linkCategory1",IF(TableRelationships[[#This Row],[Rank Pedro]]="Medium","linkCategory2",IF(TableRelationships[[#This Row],[Rank Pedro]]="High","linkCategory3","")))</f>
        <v>linkCategory3</v>
      </c>
      <c r="Q389" t="str">
        <f>IF(TableRelationships[[#This Row],[Rank Pedro]]="Low","Pink",IF(TableRelationships[[#This Row],[Rank Pedro]]="Medium","Purple",IF(TableRelationships[[#This Row],[Rank Pedro]]="High","Brown","")))</f>
        <v>Brown</v>
      </c>
      <c r="R389" s="4">
        <f>MAX(INDEX(Standards!$F$2:$F$296,MATCH(B389,Standards!$B$2:$B$296,0)),INDEX(Standards!$F$2:$F$296,MATCH(C389,Standards!$B$2:$B$296,0)))</f>
        <v>44034</v>
      </c>
      <c r="S389" t="str">
        <f t="shared" si="20"/>
        <v>#d6bf2a</v>
      </c>
    </row>
    <row r="390" spans="1:19" x14ac:dyDescent="0.5">
      <c r="A390">
        <v>397</v>
      </c>
      <c r="B390" t="s">
        <v>338</v>
      </c>
      <c r="C390" t="s">
        <v>527</v>
      </c>
      <c r="D390">
        <f>INDEX(Standards!$A$2:$A$296,MATCH(B390,Standards!$B$2:$B$296,0))</f>
        <v>138</v>
      </c>
      <c r="E390">
        <f>INDEX(Standards!$A$2:$A$296,MATCH(C390,Standards!$B$2:$B$296,0))</f>
        <v>161</v>
      </c>
      <c r="F390" t="str">
        <f>INDEX(Standards!$N$2:$N$296,MATCH(B390,Standards!$B$2:$B$296,0))</f>
        <v>#9BC2E6</v>
      </c>
      <c r="G390" t="str">
        <f>INDEX(Standards!$N$2:$N$296,MATCH(C390,Standards!$B$2:$B$296,0))</f>
        <v>#F2F2F2</v>
      </c>
      <c r="H390" t="s">
        <v>521</v>
      </c>
      <c r="I390" t="s">
        <v>237</v>
      </c>
      <c r="J390" t="str">
        <f>INDEX(Standards!$H$2:$H$296,MATCH(B390,Standards!$B$2:$B$296,0))</f>
        <v>GIS</v>
      </c>
      <c r="K390" t="str">
        <f>INDEX(Standards!$H$2:$H$296,MATCH(C390,Standards!$B$2:$B$296,0))</f>
        <v>Anchor</v>
      </c>
      <c r="L390" t="b">
        <f>AND(TableRelationships[[#This Row],[Source Type]]="BIM",TableRelationships[[#This Row],[Target Type]]="BIM")</f>
        <v>0</v>
      </c>
      <c r="M390">
        <f t="shared" si="18"/>
        <v>2</v>
      </c>
      <c r="O390">
        <f t="shared" si="19"/>
        <v>1</v>
      </c>
      <c r="P390" t="str">
        <f>IF(TableRelationships[[#This Row],[Rank Pedro]]="Low","linkCategory1",IF(TableRelationships[[#This Row],[Rank Pedro]]="Medium","linkCategory2",IF(TableRelationships[[#This Row],[Rank Pedro]]="High","linkCategory3","")))</f>
        <v/>
      </c>
      <c r="Q390" t="str">
        <f>IF(TableRelationships[[#This Row],[Rank Pedro]]="Low","Pink",IF(TableRelationships[[#This Row],[Rank Pedro]]="Medium","Purple",IF(TableRelationships[[#This Row],[Rank Pedro]]="High","Brown","")))</f>
        <v/>
      </c>
      <c r="R390" s="4">
        <f>MAX(INDEX(Standards!$F$2:$F$296,MATCH(B390,Standards!$B$2:$B$296,0)),INDEX(Standards!$F$2:$F$296,MATCH(C390,Standards!$B$2:$B$296,0)))</f>
        <v>39600</v>
      </c>
      <c r="S390">
        <f t="shared" si="20"/>
        <v>1</v>
      </c>
    </row>
    <row r="391" spans="1:19" x14ac:dyDescent="0.5">
      <c r="A391">
        <v>121</v>
      </c>
      <c r="B391" t="s">
        <v>404</v>
      </c>
      <c r="C391" t="s">
        <v>144</v>
      </c>
      <c r="D391">
        <f>INDEX(Standards!$A$2:$A$296,MATCH(B391,Standards!$B$2:$B$296,0))</f>
        <v>64</v>
      </c>
      <c r="E391">
        <f>INDEX(Standards!$A$2:$A$296,MATCH(C391,Standards!$B$2:$B$296,0))</f>
        <v>8</v>
      </c>
      <c r="F391" t="str">
        <f>INDEX(Standards!$N$2:$N$296,MATCH(B391,Standards!$B$2:$B$296,0))</f>
        <v>#70AD47</v>
      </c>
      <c r="G391" t="str">
        <f>INDEX(Standards!$N$2:$N$296,MATCH(C391,Standards!$B$2:$B$296,0))</f>
        <v>#70AD47</v>
      </c>
      <c r="H391" t="s">
        <v>521</v>
      </c>
      <c r="I391" t="s">
        <v>525</v>
      </c>
      <c r="J391" t="str">
        <f>INDEX(Standards!$H$2:$H$296,MATCH(B391,Standards!$B$2:$B$296,0))</f>
        <v>BIM</v>
      </c>
      <c r="K391" t="str">
        <f>INDEX(Standards!$H$2:$H$296,MATCH(C391,Standards!$B$2:$B$296,0))</f>
        <v>BIM</v>
      </c>
      <c r="L391" t="b">
        <f>AND(TableRelationships[[#This Row],[Source Type]]="BIM",TableRelationships[[#This Row],[Target Type]]="BIM")</f>
        <v>1</v>
      </c>
      <c r="M391">
        <f t="shared" si="18"/>
        <v>1</v>
      </c>
      <c r="N391" t="s">
        <v>528</v>
      </c>
      <c r="O391">
        <f t="shared" si="19"/>
        <v>6</v>
      </c>
      <c r="P391" t="str">
        <f>IF(TableRelationships[[#This Row],[Rank Pedro]]="Low","linkCategory1",IF(TableRelationships[[#This Row],[Rank Pedro]]="Medium","linkCategory2",IF(TableRelationships[[#This Row],[Rank Pedro]]="High","linkCategory3","")))</f>
        <v>linkCategory2</v>
      </c>
      <c r="Q391" t="str">
        <f>IF(TableRelationships[[#This Row],[Rank Pedro]]="Low","Pink",IF(TableRelationships[[#This Row],[Rank Pedro]]="Medium","Purple",IF(TableRelationships[[#This Row],[Rank Pedro]]="High","Brown","")))</f>
        <v>Purple</v>
      </c>
      <c r="R391" s="4">
        <f>MAX(INDEX(Standards!$F$2:$F$296,MATCH(B391,Standards!$B$2:$B$296,0)),INDEX(Standards!$F$2:$F$296,MATCH(C391,Standards!$B$2:$B$296,0)))</f>
        <v>44034</v>
      </c>
      <c r="S391" t="str">
        <f t="shared" si="20"/>
        <v>#2f89d1</v>
      </c>
    </row>
    <row r="392" spans="1:19" x14ac:dyDescent="0.5">
      <c r="A392">
        <v>398</v>
      </c>
      <c r="B392" t="s">
        <v>340</v>
      </c>
      <c r="C392" t="s">
        <v>527</v>
      </c>
      <c r="D392">
        <f>INDEX(Standards!$A$2:$A$296,MATCH(B392,Standards!$B$2:$B$296,0))</f>
        <v>139</v>
      </c>
      <c r="E392">
        <f>INDEX(Standards!$A$2:$A$296,MATCH(C392,Standards!$B$2:$B$296,0))</f>
        <v>161</v>
      </c>
      <c r="F392" t="str">
        <f>INDEX(Standards!$N$2:$N$296,MATCH(B392,Standards!$B$2:$B$296,0))</f>
        <v>#9BC2E6</v>
      </c>
      <c r="G392" t="str">
        <f>INDEX(Standards!$N$2:$N$296,MATCH(C392,Standards!$B$2:$B$296,0))</f>
        <v>#F2F2F2</v>
      </c>
      <c r="H392" t="s">
        <v>521</v>
      </c>
      <c r="I392" t="s">
        <v>237</v>
      </c>
      <c r="J392" t="str">
        <f>INDEX(Standards!$H$2:$H$296,MATCH(B392,Standards!$B$2:$B$296,0))</f>
        <v>GIS</v>
      </c>
      <c r="K392" t="str">
        <f>INDEX(Standards!$H$2:$H$296,MATCH(C392,Standards!$B$2:$B$296,0))</f>
        <v>Anchor</v>
      </c>
      <c r="L392" t="b">
        <f>AND(TableRelationships[[#This Row],[Source Type]]="BIM",TableRelationships[[#This Row],[Target Type]]="BIM")</f>
        <v>0</v>
      </c>
      <c r="M392">
        <f t="shared" si="18"/>
        <v>2</v>
      </c>
      <c r="O392">
        <f t="shared" si="19"/>
        <v>1</v>
      </c>
      <c r="P392" t="str">
        <f>IF(TableRelationships[[#This Row],[Rank Pedro]]="Low","linkCategory1",IF(TableRelationships[[#This Row],[Rank Pedro]]="Medium","linkCategory2",IF(TableRelationships[[#This Row],[Rank Pedro]]="High","linkCategory3","")))</f>
        <v/>
      </c>
      <c r="Q392" t="str">
        <f>IF(TableRelationships[[#This Row],[Rank Pedro]]="Low","Pink",IF(TableRelationships[[#This Row],[Rank Pedro]]="Medium","Purple",IF(TableRelationships[[#This Row],[Rank Pedro]]="High","Brown","")))</f>
        <v/>
      </c>
      <c r="R392" s="4">
        <f>MAX(INDEX(Standards!$F$2:$F$296,MATCH(B392,Standards!$B$2:$B$296,0)),INDEX(Standards!$F$2:$F$296,MATCH(C392,Standards!$B$2:$B$296,0)))</f>
        <v>40513</v>
      </c>
      <c r="S392">
        <f t="shared" si="20"/>
        <v>1</v>
      </c>
    </row>
    <row r="393" spans="1:19" x14ac:dyDescent="0.5">
      <c r="A393">
        <v>123</v>
      </c>
      <c r="B393" t="s">
        <v>404</v>
      </c>
      <c r="C393" t="s">
        <v>210</v>
      </c>
      <c r="D393">
        <f>INDEX(Standards!$A$2:$A$296,MATCH(B393,Standards!$B$2:$B$296,0))</f>
        <v>64</v>
      </c>
      <c r="E393">
        <f>INDEX(Standards!$A$2:$A$296,MATCH(C393,Standards!$B$2:$B$296,0))</f>
        <v>9</v>
      </c>
      <c r="F393" t="str">
        <f>INDEX(Standards!$N$2:$N$296,MATCH(B393,Standards!$B$2:$B$296,0))</f>
        <v>#70AD47</v>
      </c>
      <c r="G393" t="str">
        <f>INDEX(Standards!$N$2:$N$296,MATCH(C393,Standards!$B$2:$B$296,0))</f>
        <v>#70AD47</v>
      </c>
      <c r="H393" t="s">
        <v>521</v>
      </c>
      <c r="I393" t="s">
        <v>525</v>
      </c>
      <c r="J393" t="str">
        <f>INDEX(Standards!$H$2:$H$296,MATCH(B393,Standards!$B$2:$B$296,0))</f>
        <v>BIM</v>
      </c>
      <c r="K393" t="str">
        <f>INDEX(Standards!$H$2:$H$296,MATCH(C393,Standards!$B$2:$B$296,0))</f>
        <v>BIM</v>
      </c>
      <c r="L393" t="b">
        <f>AND(TableRelationships[[#This Row],[Source Type]]="BIM",TableRelationships[[#This Row],[Target Type]]="BIM")</f>
        <v>1</v>
      </c>
      <c r="M393">
        <f t="shared" si="18"/>
        <v>1</v>
      </c>
      <c r="N393" t="s">
        <v>528</v>
      </c>
      <c r="O393">
        <f t="shared" si="19"/>
        <v>6</v>
      </c>
      <c r="P393" t="str">
        <f>IF(TableRelationships[[#This Row],[Rank Pedro]]="Low","linkCategory1",IF(TableRelationships[[#This Row],[Rank Pedro]]="Medium","linkCategory2",IF(TableRelationships[[#This Row],[Rank Pedro]]="High","linkCategory3","")))</f>
        <v>linkCategory2</v>
      </c>
      <c r="Q393" t="str">
        <f>IF(TableRelationships[[#This Row],[Rank Pedro]]="Low","Pink",IF(TableRelationships[[#This Row],[Rank Pedro]]="Medium","Purple",IF(TableRelationships[[#This Row],[Rank Pedro]]="High","Brown","")))</f>
        <v>Purple</v>
      </c>
      <c r="R393" s="4">
        <f>MAX(INDEX(Standards!$F$2:$F$296,MATCH(B393,Standards!$B$2:$B$296,0)),INDEX(Standards!$F$2:$F$296,MATCH(C393,Standards!$B$2:$B$296,0)))</f>
        <v>44034</v>
      </c>
      <c r="S393" t="str">
        <f t="shared" si="20"/>
        <v>#2f89d1</v>
      </c>
    </row>
    <row r="394" spans="1:19" x14ac:dyDescent="0.5">
      <c r="A394">
        <v>399</v>
      </c>
      <c r="B394" t="s">
        <v>342</v>
      </c>
      <c r="C394" t="s">
        <v>527</v>
      </c>
      <c r="D394">
        <f>INDEX(Standards!$A$2:$A$296,MATCH(B394,Standards!$B$2:$B$296,0))</f>
        <v>140</v>
      </c>
      <c r="E394">
        <f>INDEX(Standards!$A$2:$A$296,MATCH(C394,Standards!$B$2:$B$296,0))</f>
        <v>161</v>
      </c>
      <c r="F394" t="str">
        <f>INDEX(Standards!$N$2:$N$296,MATCH(B394,Standards!$B$2:$B$296,0))</f>
        <v>#9BC2E6</v>
      </c>
      <c r="G394" t="str">
        <f>INDEX(Standards!$N$2:$N$296,MATCH(C394,Standards!$B$2:$B$296,0))</f>
        <v>#F2F2F2</v>
      </c>
      <c r="H394" t="s">
        <v>521</v>
      </c>
      <c r="I394" t="s">
        <v>237</v>
      </c>
      <c r="J394" t="str">
        <f>INDEX(Standards!$H$2:$H$296,MATCH(B394,Standards!$B$2:$B$296,0))</f>
        <v>GIS</v>
      </c>
      <c r="K394" t="str">
        <f>INDEX(Standards!$H$2:$H$296,MATCH(C394,Standards!$B$2:$B$296,0))</f>
        <v>Anchor</v>
      </c>
      <c r="L394" t="b">
        <f>AND(TableRelationships[[#This Row],[Source Type]]="BIM",TableRelationships[[#This Row],[Target Type]]="BIM")</f>
        <v>0</v>
      </c>
      <c r="M394">
        <f t="shared" si="18"/>
        <v>2</v>
      </c>
      <c r="O394">
        <f t="shared" si="19"/>
        <v>1</v>
      </c>
      <c r="P394" t="str">
        <f>IF(TableRelationships[[#This Row],[Rank Pedro]]="Low","linkCategory1",IF(TableRelationships[[#This Row],[Rank Pedro]]="Medium","linkCategory2",IF(TableRelationships[[#This Row],[Rank Pedro]]="High","linkCategory3","")))</f>
        <v/>
      </c>
      <c r="Q394" t="str">
        <f>IF(TableRelationships[[#This Row],[Rank Pedro]]="Low","Pink",IF(TableRelationships[[#This Row],[Rank Pedro]]="Medium","Purple",IF(TableRelationships[[#This Row],[Rank Pedro]]="High","Brown","")))</f>
        <v/>
      </c>
      <c r="R394" s="4">
        <f>MAX(INDEX(Standards!$F$2:$F$296,MATCH(B394,Standards!$B$2:$B$296,0)),INDEX(Standards!$F$2:$F$296,MATCH(C394,Standards!$B$2:$B$296,0)))</f>
        <v>40452</v>
      </c>
      <c r="S394">
        <f t="shared" si="20"/>
        <v>1</v>
      </c>
    </row>
    <row r="395" spans="1:19" x14ac:dyDescent="0.5">
      <c r="A395">
        <v>124</v>
      </c>
      <c r="B395" t="s">
        <v>404</v>
      </c>
      <c r="C395" t="s">
        <v>214</v>
      </c>
      <c r="D395">
        <f>INDEX(Standards!$A$2:$A$296,MATCH(B395,Standards!$B$2:$B$296,0))</f>
        <v>64</v>
      </c>
      <c r="E395">
        <f>INDEX(Standards!$A$2:$A$296,MATCH(C395,Standards!$B$2:$B$296,0))</f>
        <v>10</v>
      </c>
      <c r="F395" t="str">
        <f>INDEX(Standards!$N$2:$N$296,MATCH(B395,Standards!$B$2:$B$296,0))</f>
        <v>#70AD47</v>
      </c>
      <c r="G395" t="str">
        <f>INDEX(Standards!$N$2:$N$296,MATCH(C395,Standards!$B$2:$B$296,0))</f>
        <v>#70AD47</v>
      </c>
      <c r="H395" t="s">
        <v>521</v>
      </c>
      <c r="I395" t="s">
        <v>525</v>
      </c>
      <c r="J395" t="str">
        <f>INDEX(Standards!$H$2:$H$296,MATCH(B395,Standards!$B$2:$B$296,0))</f>
        <v>BIM</v>
      </c>
      <c r="K395" t="str">
        <f>INDEX(Standards!$H$2:$H$296,MATCH(C395,Standards!$B$2:$B$296,0))</f>
        <v>BIM</v>
      </c>
      <c r="L395" t="b">
        <f>AND(TableRelationships[[#This Row],[Source Type]]="BIM",TableRelationships[[#This Row],[Target Type]]="BIM")</f>
        <v>1</v>
      </c>
      <c r="M395">
        <f t="shared" si="18"/>
        <v>1</v>
      </c>
      <c r="N395" t="s">
        <v>528</v>
      </c>
      <c r="O395">
        <f t="shared" si="19"/>
        <v>6</v>
      </c>
      <c r="P395" t="str">
        <f>IF(TableRelationships[[#This Row],[Rank Pedro]]="Low","linkCategory1",IF(TableRelationships[[#This Row],[Rank Pedro]]="Medium","linkCategory2",IF(TableRelationships[[#This Row],[Rank Pedro]]="High","linkCategory3","")))</f>
        <v>linkCategory2</v>
      </c>
      <c r="Q395" t="str">
        <f>IF(TableRelationships[[#This Row],[Rank Pedro]]="Low","Pink",IF(TableRelationships[[#This Row],[Rank Pedro]]="Medium","Purple",IF(TableRelationships[[#This Row],[Rank Pedro]]="High","Brown","")))</f>
        <v>Purple</v>
      </c>
      <c r="R395" s="4">
        <f>MAX(INDEX(Standards!$F$2:$F$296,MATCH(B395,Standards!$B$2:$B$296,0)),INDEX(Standards!$F$2:$F$296,MATCH(C395,Standards!$B$2:$B$296,0)))</f>
        <v>44034</v>
      </c>
      <c r="S395" t="str">
        <f t="shared" si="20"/>
        <v>#2f89d1</v>
      </c>
    </row>
    <row r="396" spans="1:19" x14ac:dyDescent="0.5">
      <c r="A396">
        <v>400</v>
      </c>
      <c r="B396" t="s">
        <v>344</v>
      </c>
      <c r="C396" t="s">
        <v>527</v>
      </c>
      <c r="D396">
        <f>INDEX(Standards!$A$2:$A$296,MATCH(B396,Standards!$B$2:$B$296,0))</f>
        <v>141</v>
      </c>
      <c r="E396">
        <f>INDEX(Standards!$A$2:$A$296,MATCH(C396,Standards!$B$2:$B$296,0))</f>
        <v>161</v>
      </c>
      <c r="F396" t="str">
        <f>INDEX(Standards!$N$2:$N$296,MATCH(B396,Standards!$B$2:$B$296,0))</f>
        <v>#9BC2E6</v>
      </c>
      <c r="G396" t="str">
        <f>INDEX(Standards!$N$2:$N$296,MATCH(C396,Standards!$B$2:$B$296,0))</f>
        <v>#F2F2F2</v>
      </c>
      <c r="H396" t="s">
        <v>521</v>
      </c>
      <c r="I396" t="s">
        <v>237</v>
      </c>
      <c r="J396" t="str">
        <f>INDEX(Standards!$H$2:$H$296,MATCH(B396,Standards!$B$2:$B$296,0))</f>
        <v>GIS</v>
      </c>
      <c r="K396" t="str">
        <f>INDEX(Standards!$H$2:$H$296,MATCH(C396,Standards!$B$2:$B$296,0))</f>
        <v>Anchor</v>
      </c>
      <c r="L396" t="b">
        <f>AND(TableRelationships[[#This Row],[Source Type]]="BIM",TableRelationships[[#This Row],[Target Type]]="BIM")</f>
        <v>0</v>
      </c>
      <c r="M396">
        <f t="shared" si="18"/>
        <v>2</v>
      </c>
      <c r="O396">
        <f t="shared" si="19"/>
        <v>1</v>
      </c>
      <c r="P396" t="str">
        <f>IF(TableRelationships[[#This Row],[Rank Pedro]]="Low","linkCategory1",IF(TableRelationships[[#This Row],[Rank Pedro]]="Medium","linkCategory2",IF(TableRelationships[[#This Row],[Rank Pedro]]="High","linkCategory3","")))</f>
        <v/>
      </c>
      <c r="Q396" t="str">
        <f>IF(TableRelationships[[#This Row],[Rank Pedro]]="Low","Pink",IF(TableRelationships[[#This Row],[Rank Pedro]]="Medium","Purple",IF(TableRelationships[[#This Row],[Rank Pedro]]="High","Brown","")))</f>
        <v/>
      </c>
      <c r="R396" s="4">
        <f>MAX(INDEX(Standards!$F$2:$F$296,MATCH(B396,Standards!$B$2:$B$296,0)),INDEX(Standards!$F$2:$F$296,MATCH(C396,Standards!$B$2:$B$296,0)))</f>
        <v>40940</v>
      </c>
      <c r="S396">
        <f t="shared" si="20"/>
        <v>1</v>
      </c>
    </row>
    <row r="397" spans="1:19" x14ac:dyDescent="0.5">
      <c r="A397">
        <v>125</v>
      </c>
      <c r="B397" t="s">
        <v>404</v>
      </c>
      <c r="C397" t="s">
        <v>224</v>
      </c>
      <c r="D397">
        <f>INDEX(Standards!$A$2:$A$296,MATCH(B397,Standards!$B$2:$B$296,0))</f>
        <v>64</v>
      </c>
      <c r="E397">
        <f>INDEX(Standards!$A$2:$A$296,MATCH(C397,Standards!$B$2:$B$296,0))</f>
        <v>11</v>
      </c>
      <c r="F397" t="str">
        <f>INDEX(Standards!$N$2:$N$296,MATCH(B397,Standards!$B$2:$B$296,0))</f>
        <v>#70AD47</v>
      </c>
      <c r="G397" t="str">
        <f>INDEX(Standards!$N$2:$N$296,MATCH(C397,Standards!$B$2:$B$296,0))</f>
        <v>#70AD47</v>
      </c>
      <c r="H397" t="s">
        <v>521</v>
      </c>
      <c r="I397" t="s">
        <v>525</v>
      </c>
      <c r="J397" t="str">
        <f>INDEX(Standards!$H$2:$H$296,MATCH(B397,Standards!$B$2:$B$296,0))</f>
        <v>BIM</v>
      </c>
      <c r="K397" t="str">
        <f>INDEX(Standards!$H$2:$H$296,MATCH(C397,Standards!$B$2:$B$296,0))</f>
        <v>BIM</v>
      </c>
      <c r="L397" t="b">
        <f>AND(TableRelationships[[#This Row],[Source Type]]="BIM",TableRelationships[[#This Row],[Target Type]]="BIM")</f>
        <v>1</v>
      </c>
      <c r="M397">
        <f t="shared" si="18"/>
        <v>1</v>
      </c>
      <c r="N397" t="s">
        <v>528</v>
      </c>
      <c r="O397">
        <f t="shared" si="19"/>
        <v>6</v>
      </c>
      <c r="P397" t="str">
        <f>IF(TableRelationships[[#This Row],[Rank Pedro]]="Low","linkCategory1",IF(TableRelationships[[#This Row],[Rank Pedro]]="Medium","linkCategory2",IF(TableRelationships[[#This Row],[Rank Pedro]]="High","linkCategory3","")))</f>
        <v>linkCategory2</v>
      </c>
      <c r="Q397" t="str">
        <f>IF(TableRelationships[[#This Row],[Rank Pedro]]="Low","Pink",IF(TableRelationships[[#This Row],[Rank Pedro]]="Medium","Purple",IF(TableRelationships[[#This Row],[Rank Pedro]]="High","Brown","")))</f>
        <v>Purple</v>
      </c>
      <c r="R397" s="4">
        <f>MAX(INDEX(Standards!$F$2:$F$296,MATCH(B397,Standards!$B$2:$B$296,0)),INDEX(Standards!$F$2:$F$296,MATCH(C397,Standards!$B$2:$B$296,0)))</f>
        <v>44034</v>
      </c>
      <c r="S397" t="str">
        <f t="shared" si="20"/>
        <v>#2f89d1</v>
      </c>
    </row>
    <row r="398" spans="1:19" x14ac:dyDescent="0.5">
      <c r="A398">
        <v>401</v>
      </c>
      <c r="B398" t="s">
        <v>346</v>
      </c>
      <c r="C398" t="s">
        <v>527</v>
      </c>
      <c r="D398">
        <f>INDEX(Standards!$A$2:$A$296,MATCH(B398,Standards!$B$2:$B$296,0))</f>
        <v>142</v>
      </c>
      <c r="E398">
        <f>INDEX(Standards!$A$2:$A$296,MATCH(C398,Standards!$B$2:$B$296,0))</f>
        <v>161</v>
      </c>
      <c r="F398" t="str">
        <f>INDEX(Standards!$N$2:$N$296,MATCH(B398,Standards!$B$2:$B$296,0))</f>
        <v>#9BC2E6</v>
      </c>
      <c r="G398" t="str">
        <f>INDEX(Standards!$N$2:$N$296,MATCH(C398,Standards!$B$2:$B$296,0))</f>
        <v>#F2F2F2</v>
      </c>
      <c r="H398" t="s">
        <v>521</v>
      </c>
      <c r="I398" t="s">
        <v>237</v>
      </c>
      <c r="J398" t="str">
        <f>INDEX(Standards!$H$2:$H$296,MATCH(B398,Standards!$B$2:$B$296,0))</f>
        <v>GIS</v>
      </c>
      <c r="K398" t="str">
        <f>INDEX(Standards!$H$2:$H$296,MATCH(C398,Standards!$B$2:$B$296,0))</f>
        <v>Anchor</v>
      </c>
      <c r="L398" t="b">
        <f>AND(TableRelationships[[#This Row],[Source Type]]="BIM",TableRelationships[[#This Row],[Target Type]]="BIM")</f>
        <v>0</v>
      </c>
      <c r="M398">
        <f t="shared" si="18"/>
        <v>2</v>
      </c>
      <c r="O398">
        <f t="shared" si="19"/>
        <v>1</v>
      </c>
      <c r="P398" t="str">
        <f>IF(TableRelationships[[#This Row],[Rank Pedro]]="Low","linkCategory1",IF(TableRelationships[[#This Row],[Rank Pedro]]="Medium","linkCategory2",IF(TableRelationships[[#This Row],[Rank Pedro]]="High","linkCategory3","")))</f>
        <v/>
      </c>
      <c r="Q398" t="str">
        <f>IF(TableRelationships[[#This Row],[Rank Pedro]]="Low","Pink",IF(TableRelationships[[#This Row],[Rank Pedro]]="Medium","Purple",IF(TableRelationships[[#This Row],[Rank Pedro]]="High","Brown","")))</f>
        <v/>
      </c>
      <c r="R398" s="4">
        <f>MAX(INDEX(Standards!$F$2:$F$296,MATCH(B398,Standards!$B$2:$B$296,0)),INDEX(Standards!$F$2:$F$296,MATCH(C398,Standards!$B$2:$B$296,0)))</f>
        <v>42186</v>
      </c>
      <c r="S398">
        <f t="shared" si="20"/>
        <v>1</v>
      </c>
    </row>
    <row r="399" spans="1:19" x14ac:dyDescent="0.5">
      <c r="A399">
        <v>126</v>
      </c>
      <c r="B399" t="s">
        <v>404</v>
      </c>
      <c r="C399" t="s">
        <v>232</v>
      </c>
      <c r="D399">
        <f>INDEX(Standards!$A$2:$A$296,MATCH(B399,Standards!$B$2:$B$296,0))</f>
        <v>64</v>
      </c>
      <c r="E399">
        <f>INDEX(Standards!$A$2:$A$296,MATCH(C399,Standards!$B$2:$B$296,0))</f>
        <v>13</v>
      </c>
      <c r="F399" t="str">
        <f>INDEX(Standards!$N$2:$N$296,MATCH(B399,Standards!$B$2:$B$296,0))</f>
        <v>#70AD47</v>
      </c>
      <c r="G399" t="str">
        <f>INDEX(Standards!$N$2:$N$296,MATCH(C399,Standards!$B$2:$B$296,0))</f>
        <v>#70AD47</v>
      </c>
      <c r="H399" t="s">
        <v>521</v>
      </c>
      <c r="I399" t="s">
        <v>525</v>
      </c>
      <c r="J399" t="str">
        <f>INDEX(Standards!$H$2:$H$296,MATCH(B399,Standards!$B$2:$B$296,0))</f>
        <v>BIM</v>
      </c>
      <c r="K399" t="str">
        <f>INDEX(Standards!$H$2:$H$296,MATCH(C399,Standards!$B$2:$B$296,0))</f>
        <v>BIM</v>
      </c>
      <c r="L399" t="b">
        <f>AND(TableRelationships[[#This Row],[Source Type]]="BIM",TableRelationships[[#This Row],[Target Type]]="BIM")</f>
        <v>1</v>
      </c>
      <c r="M399">
        <f t="shared" si="18"/>
        <v>1</v>
      </c>
      <c r="N399" t="s">
        <v>528</v>
      </c>
      <c r="O399">
        <f t="shared" si="19"/>
        <v>6</v>
      </c>
      <c r="P399" t="str">
        <f>IF(TableRelationships[[#This Row],[Rank Pedro]]="Low","linkCategory1",IF(TableRelationships[[#This Row],[Rank Pedro]]="Medium","linkCategory2",IF(TableRelationships[[#This Row],[Rank Pedro]]="High","linkCategory3","")))</f>
        <v>linkCategory2</v>
      </c>
      <c r="Q399" t="str">
        <f>IF(TableRelationships[[#This Row],[Rank Pedro]]="Low","Pink",IF(TableRelationships[[#This Row],[Rank Pedro]]="Medium","Purple",IF(TableRelationships[[#This Row],[Rank Pedro]]="High","Brown","")))</f>
        <v>Purple</v>
      </c>
      <c r="R399" s="4">
        <f>MAX(INDEX(Standards!$F$2:$F$296,MATCH(B399,Standards!$B$2:$B$296,0)),INDEX(Standards!$F$2:$F$296,MATCH(C399,Standards!$B$2:$B$296,0)))</f>
        <v>44034</v>
      </c>
      <c r="S399" t="str">
        <f t="shared" si="20"/>
        <v>#2f89d1</v>
      </c>
    </row>
    <row r="400" spans="1:19" x14ac:dyDescent="0.5">
      <c r="A400">
        <v>402</v>
      </c>
      <c r="B400" t="s">
        <v>348</v>
      </c>
      <c r="C400" t="s">
        <v>527</v>
      </c>
      <c r="D400">
        <f>INDEX(Standards!$A$2:$A$296,MATCH(B400,Standards!$B$2:$B$296,0))</f>
        <v>143</v>
      </c>
      <c r="E400">
        <f>INDEX(Standards!$A$2:$A$296,MATCH(C400,Standards!$B$2:$B$296,0))</f>
        <v>161</v>
      </c>
      <c r="F400" t="str">
        <f>INDEX(Standards!$N$2:$N$296,MATCH(B400,Standards!$B$2:$B$296,0))</f>
        <v>#9BC2E6</v>
      </c>
      <c r="G400" t="str">
        <f>INDEX(Standards!$N$2:$N$296,MATCH(C400,Standards!$B$2:$B$296,0))</f>
        <v>#F2F2F2</v>
      </c>
      <c r="H400" t="s">
        <v>521</v>
      </c>
      <c r="I400" t="s">
        <v>237</v>
      </c>
      <c r="J400" t="str">
        <f>INDEX(Standards!$H$2:$H$296,MATCH(B400,Standards!$B$2:$B$296,0))</f>
        <v>GIS</v>
      </c>
      <c r="K400" t="str">
        <f>INDEX(Standards!$H$2:$H$296,MATCH(C400,Standards!$B$2:$B$296,0))</f>
        <v>Anchor</v>
      </c>
      <c r="L400" t="b">
        <f>AND(TableRelationships[[#This Row],[Source Type]]="BIM",TableRelationships[[#This Row],[Target Type]]="BIM")</f>
        <v>0</v>
      </c>
      <c r="M400">
        <f t="shared" si="18"/>
        <v>2</v>
      </c>
      <c r="O400">
        <f t="shared" si="19"/>
        <v>1</v>
      </c>
      <c r="P400" t="str">
        <f>IF(TableRelationships[[#This Row],[Rank Pedro]]="Low","linkCategory1",IF(TableRelationships[[#This Row],[Rank Pedro]]="Medium","linkCategory2",IF(TableRelationships[[#This Row],[Rank Pedro]]="High","linkCategory3","")))</f>
        <v/>
      </c>
      <c r="Q400" t="str">
        <f>IF(TableRelationships[[#This Row],[Rank Pedro]]="Low","Pink",IF(TableRelationships[[#This Row],[Rank Pedro]]="Medium","Purple",IF(TableRelationships[[#This Row],[Rank Pedro]]="High","Brown","")))</f>
        <v/>
      </c>
      <c r="R400" s="4">
        <f>MAX(INDEX(Standards!$F$2:$F$296,MATCH(B400,Standards!$B$2:$B$296,0)),INDEX(Standards!$F$2:$F$296,MATCH(C400,Standards!$B$2:$B$296,0)))</f>
        <v>37596</v>
      </c>
      <c r="S400">
        <f t="shared" si="20"/>
        <v>1</v>
      </c>
    </row>
    <row r="401" spans="1:19" x14ac:dyDescent="0.5">
      <c r="A401">
        <v>127</v>
      </c>
      <c r="B401" t="s">
        <v>404</v>
      </c>
      <c r="C401" t="s">
        <v>388</v>
      </c>
      <c r="D401">
        <f>INDEX(Standards!$A$2:$A$296,MATCH(B401,Standards!$B$2:$B$296,0))</f>
        <v>64</v>
      </c>
      <c r="E401">
        <f>INDEX(Standards!$A$2:$A$296,MATCH(C401,Standards!$B$2:$B$296,0))</f>
        <v>63</v>
      </c>
      <c r="F401" t="str">
        <f>INDEX(Standards!$N$2:$N$296,MATCH(B401,Standards!$B$2:$B$296,0))</f>
        <v>#70AD47</v>
      </c>
      <c r="G401" t="str">
        <f>INDEX(Standards!$N$2:$N$296,MATCH(C401,Standards!$B$2:$B$296,0))</f>
        <v>#70AD47</v>
      </c>
      <c r="H401" t="s">
        <v>521</v>
      </c>
      <c r="I401" t="s">
        <v>525</v>
      </c>
      <c r="J401" t="str">
        <f>INDEX(Standards!$H$2:$H$296,MATCH(B401,Standards!$B$2:$B$296,0))</f>
        <v>BIM</v>
      </c>
      <c r="K401" t="str">
        <f>INDEX(Standards!$H$2:$H$296,MATCH(C401,Standards!$B$2:$B$296,0))</f>
        <v>BIM</v>
      </c>
      <c r="L401" t="b">
        <f>AND(TableRelationships[[#This Row],[Source Type]]="BIM",TableRelationships[[#This Row],[Target Type]]="BIM")</f>
        <v>1</v>
      </c>
      <c r="M401">
        <f t="shared" si="18"/>
        <v>1</v>
      </c>
      <c r="N401" t="s">
        <v>523</v>
      </c>
      <c r="O401">
        <f t="shared" si="19"/>
        <v>10</v>
      </c>
      <c r="P401" t="str">
        <f>IF(TableRelationships[[#This Row],[Rank Pedro]]="Low","linkCategory1",IF(TableRelationships[[#This Row],[Rank Pedro]]="Medium","linkCategory2",IF(TableRelationships[[#This Row],[Rank Pedro]]="High","linkCategory3","")))</f>
        <v>linkCategory3</v>
      </c>
      <c r="Q401" t="str">
        <f>IF(TableRelationships[[#This Row],[Rank Pedro]]="Low","Pink",IF(TableRelationships[[#This Row],[Rank Pedro]]="Medium","Purple",IF(TableRelationships[[#This Row],[Rank Pedro]]="High","Brown","")))</f>
        <v>Brown</v>
      </c>
      <c r="R401" s="4">
        <f>MAX(INDEX(Standards!$F$2:$F$296,MATCH(B401,Standards!$B$2:$B$296,0)),INDEX(Standards!$F$2:$F$296,MATCH(C401,Standards!$B$2:$B$296,0)))</f>
        <v>44034</v>
      </c>
      <c r="S401" t="str">
        <f t="shared" si="20"/>
        <v>#2f89d1</v>
      </c>
    </row>
    <row r="402" spans="1:19" x14ac:dyDescent="0.5">
      <c r="A402">
        <v>403</v>
      </c>
      <c r="B402" t="s">
        <v>350</v>
      </c>
      <c r="C402" t="s">
        <v>527</v>
      </c>
      <c r="D402">
        <f>INDEX(Standards!$A$2:$A$296,MATCH(B402,Standards!$B$2:$B$296,0))</f>
        <v>144</v>
      </c>
      <c r="E402">
        <f>INDEX(Standards!$A$2:$A$296,MATCH(C402,Standards!$B$2:$B$296,0))</f>
        <v>161</v>
      </c>
      <c r="F402" t="str">
        <f>INDEX(Standards!$N$2:$N$296,MATCH(B402,Standards!$B$2:$B$296,0))</f>
        <v>#9BC2E6</v>
      </c>
      <c r="G402" t="str">
        <f>INDEX(Standards!$N$2:$N$296,MATCH(C402,Standards!$B$2:$B$296,0))</f>
        <v>#F2F2F2</v>
      </c>
      <c r="H402" t="s">
        <v>521</v>
      </c>
      <c r="I402" t="s">
        <v>237</v>
      </c>
      <c r="J402" t="str">
        <f>INDEX(Standards!$H$2:$H$296,MATCH(B402,Standards!$B$2:$B$296,0))</f>
        <v>GIS</v>
      </c>
      <c r="K402" t="str">
        <f>INDEX(Standards!$H$2:$H$296,MATCH(C402,Standards!$B$2:$B$296,0))</f>
        <v>Anchor</v>
      </c>
      <c r="L402" t="b">
        <f>AND(TableRelationships[[#This Row],[Source Type]]="BIM",TableRelationships[[#This Row],[Target Type]]="BIM")</f>
        <v>0</v>
      </c>
      <c r="M402">
        <f t="shared" si="18"/>
        <v>2</v>
      </c>
      <c r="O402">
        <f t="shared" si="19"/>
        <v>1</v>
      </c>
      <c r="P402" t="str">
        <f>IF(TableRelationships[[#This Row],[Rank Pedro]]="Low","linkCategory1",IF(TableRelationships[[#This Row],[Rank Pedro]]="Medium","linkCategory2",IF(TableRelationships[[#This Row],[Rank Pedro]]="High","linkCategory3","")))</f>
        <v/>
      </c>
      <c r="Q402" t="str">
        <f>IF(TableRelationships[[#This Row],[Rank Pedro]]="Low","Pink",IF(TableRelationships[[#This Row],[Rank Pedro]]="Medium","Purple",IF(TableRelationships[[#This Row],[Rank Pedro]]="High","Brown","")))</f>
        <v/>
      </c>
      <c r="R402" s="4">
        <f>MAX(INDEX(Standards!$F$2:$F$296,MATCH(B402,Standards!$B$2:$B$296,0)),INDEX(Standards!$F$2:$F$296,MATCH(C402,Standards!$B$2:$B$296,0)))</f>
        <v>44075</v>
      </c>
      <c r="S402">
        <f t="shared" si="20"/>
        <v>1</v>
      </c>
    </row>
    <row r="403" spans="1:19" x14ac:dyDescent="0.5">
      <c r="A403">
        <v>116</v>
      </c>
      <c r="B403" t="s">
        <v>404</v>
      </c>
      <c r="C403" t="s">
        <v>77</v>
      </c>
      <c r="D403">
        <f>INDEX(Standards!$A$2:$A$296,MATCH(B403,Standards!$B$2:$B$296,0))</f>
        <v>64</v>
      </c>
      <c r="E403">
        <f>INDEX(Standards!$A$2:$A$296,MATCH(C403,Standards!$B$2:$B$296,0))</f>
        <v>19</v>
      </c>
      <c r="F403" t="str">
        <f>INDEX(Standards!$N$2:$N$296,MATCH(B403,Standards!$B$2:$B$296,0))</f>
        <v>#70AD47</v>
      </c>
      <c r="G403" t="str">
        <f>INDEX(Standards!$N$2:$N$296,MATCH(C403,Standards!$B$2:$B$296,0))</f>
        <v>#ED7D31</v>
      </c>
      <c r="H403" t="s">
        <v>521</v>
      </c>
      <c r="I403" t="s">
        <v>525</v>
      </c>
      <c r="J403" t="str">
        <f>INDEX(Standards!$H$2:$H$296,MATCH(B403,Standards!$B$2:$B$296,0))</f>
        <v>BIM</v>
      </c>
      <c r="K403" t="str">
        <f>INDEX(Standards!$H$2:$H$296,MATCH(C403,Standards!$B$2:$B$296,0))</f>
        <v>Construction</v>
      </c>
      <c r="L403" t="b">
        <f>AND(TableRelationships[[#This Row],[Source Type]]="BIM",TableRelationships[[#This Row],[Target Type]]="BIM")</f>
        <v>0</v>
      </c>
      <c r="M403">
        <f t="shared" si="18"/>
        <v>1</v>
      </c>
      <c r="N403" t="s">
        <v>526</v>
      </c>
      <c r="O403">
        <f t="shared" si="19"/>
        <v>2</v>
      </c>
      <c r="P403" t="str">
        <f>IF(TableRelationships[[#This Row],[Rank Pedro]]="Low","linkCategory1",IF(TableRelationships[[#This Row],[Rank Pedro]]="Medium","linkCategory2",IF(TableRelationships[[#This Row],[Rank Pedro]]="High","linkCategory3","")))</f>
        <v>linkCategory1</v>
      </c>
      <c r="Q403" t="str">
        <f>IF(TableRelationships[[#This Row],[Rank Pedro]]="Low","Pink",IF(TableRelationships[[#This Row],[Rank Pedro]]="Medium","Purple",IF(TableRelationships[[#This Row],[Rank Pedro]]="High","Brown","")))</f>
        <v>Pink</v>
      </c>
      <c r="R403" s="4">
        <f>MAX(INDEX(Standards!$F$2:$F$296,MATCH(B403,Standards!$B$2:$B$296,0)),INDEX(Standards!$F$2:$F$296,MATCH(C403,Standards!$B$2:$B$296,0)))</f>
        <v>44034</v>
      </c>
      <c r="S403" t="str">
        <f t="shared" si="20"/>
        <v>#2f89d1</v>
      </c>
    </row>
    <row r="404" spans="1:19" x14ac:dyDescent="0.5">
      <c r="A404">
        <v>128</v>
      </c>
      <c r="B404" t="s">
        <v>404</v>
      </c>
      <c r="C404" t="s">
        <v>182</v>
      </c>
      <c r="D404">
        <f>INDEX(Standards!$A$2:$A$296,MATCH(B404,Standards!$B$2:$B$296,0))</f>
        <v>64</v>
      </c>
      <c r="E404">
        <f>INDEX(Standards!$A$2:$A$296,MATCH(C404,Standards!$B$2:$B$296,0))</f>
        <v>67</v>
      </c>
      <c r="F404" t="str">
        <f>INDEX(Standards!$N$2:$N$296,MATCH(B404,Standards!$B$2:$B$296,0))</f>
        <v>#70AD47</v>
      </c>
      <c r="G404" t="str">
        <f>INDEX(Standards!$N$2:$N$296,MATCH(C404,Standards!$B$2:$B$296,0))</f>
        <v>#595959</v>
      </c>
      <c r="H404" t="s">
        <v>521</v>
      </c>
      <c r="I404" t="s">
        <v>525</v>
      </c>
      <c r="J404" t="str">
        <f>INDEX(Standards!$H$2:$H$296,MATCH(B404,Standards!$B$2:$B$296,0))</f>
        <v>BIM</v>
      </c>
      <c r="K404" t="str">
        <f>INDEX(Standards!$H$2:$H$296,MATCH(C404,Standards!$B$2:$B$296,0))</f>
        <v>Other</v>
      </c>
      <c r="L404" t="b">
        <f>AND(TableRelationships[[#This Row],[Source Type]]="BIM",TableRelationships[[#This Row],[Target Type]]="BIM")</f>
        <v>0</v>
      </c>
      <c r="M404">
        <f t="shared" si="18"/>
        <v>1</v>
      </c>
      <c r="N404" t="s">
        <v>526</v>
      </c>
      <c r="O404">
        <f t="shared" si="19"/>
        <v>2</v>
      </c>
      <c r="P404" t="str">
        <f>IF(TableRelationships[[#This Row],[Rank Pedro]]="Low","linkCategory1",IF(TableRelationships[[#This Row],[Rank Pedro]]="Medium","linkCategory2",IF(TableRelationships[[#This Row],[Rank Pedro]]="High","linkCategory3","")))</f>
        <v>linkCategory1</v>
      </c>
      <c r="Q404" t="str">
        <f>IF(TableRelationships[[#This Row],[Rank Pedro]]="Low","Pink",IF(TableRelationships[[#This Row],[Rank Pedro]]="Medium","Purple",IF(TableRelationships[[#This Row],[Rank Pedro]]="High","Brown","")))</f>
        <v>Pink</v>
      </c>
      <c r="R404" s="4">
        <f>MAX(INDEX(Standards!$F$2:$F$296,MATCH(B404,Standards!$B$2:$B$296,0)),INDEX(Standards!$F$2:$F$296,MATCH(C404,Standards!$B$2:$B$296,0)))</f>
        <v>44034</v>
      </c>
      <c r="S404" t="str">
        <f t="shared" si="20"/>
        <v>#2f89d1</v>
      </c>
    </row>
    <row r="405" spans="1:19" x14ac:dyDescent="0.5">
      <c r="A405">
        <v>120</v>
      </c>
      <c r="B405" t="s">
        <v>404</v>
      </c>
      <c r="C405" t="s">
        <v>120</v>
      </c>
      <c r="D405">
        <f>INDEX(Standards!$A$2:$A$296,MATCH(B405,Standards!$B$2:$B$296,0))</f>
        <v>64</v>
      </c>
      <c r="E405">
        <f>INDEX(Standards!$A$2:$A$296,MATCH(C405,Standards!$B$2:$B$296,0))</f>
        <v>38</v>
      </c>
      <c r="F405" t="str">
        <f>INDEX(Standards!$N$2:$N$296,MATCH(B405,Standards!$B$2:$B$296,0))</f>
        <v>#70AD47</v>
      </c>
      <c r="G405" t="str">
        <f>INDEX(Standards!$N$2:$N$296,MATCH(C405,Standards!$B$2:$B$296,0))</f>
        <v>#7030A0</v>
      </c>
      <c r="H405" t="s">
        <v>521</v>
      </c>
      <c r="I405" t="s">
        <v>525</v>
      </c>
      <c r="J405" t="str">
        <f>INDEX(Standards!$H$2:$H$296,MATCH(B405,Standards!$B$2:$B$296,0))</f>
        <v>BIM</v>
      </c>
      <c r="K405" t="str">
        <f>INDEX(Standards!$H$2:$H$296,MATCH(C405,Standards!$B$2:$B$296,0))</f>
        <v>ICT</v>
      </c>
      <c r="L405" t="b">
        <f>AND(TableRelationships[[#This Row],[Source Type]]="BIM",TableRelationships[[#This Row],[Target Type]]="BIM")</f>
        <v>0</v>
      </c>
      <c r="M405">
        <f t="shared" si="18"/>
        <v>1</v>
      </c>
      <c r="N405" t="s">
        <v>526</v>
      </c>
      <c r="O405">
        <f t="shared" si="19"/>
        <v>2</v>
      </c>
      <c r="P405" t="str">
        <f>IF(TableRelationships[[#This Row],[Rank Pedro]]="Low","linkCategory1",IF(TableRelationships[[#This Row],[Rank Pedro]]="Medium","linkCategory2",IF(TableRelationships[[#This Row],[Rank Pedro]]="High","linkCategory3","")))</f>
        <v>linkCategory1</v>
      </c>
      <c r="Q405" t="str">
        <f>IF(TableRelationships[[#This Row],[Rank Pedro]]="Low","Pink",IF(TableRelationships[[#This Row],[Rank Pedro]]="Medium","Purple",IF(TableRelationships[[#This Row],[Rank Pedro]]="High","Brown","")))</f>
        <v>Pink</v>
      </c>
      <c r="R405" s="4">
        <f>MAX(INDEX(Standards!$F$2:$F$296,MATCH(B405,Standards!$B$2:$B$296,0)),INDEX(Standards!$F$2:$F$296,MATCH(C405,Standards!$B$2:$B$296,0)))</f>
        <v>44034</v>
      </c>
      <c r="S405" t="str">
        <f t="shared" si="20"/>
        <v>#2f89d1</v>
      </c>
    </row>
    <row r="406" spans="1:19" x14ac:dyDescent="0.5">
      <c r="A406">
        <v>122</v>
      </c>
      <c r="B406" t="s">
        <v>404</v>
      </c>
      <c r="C406" t="s">
        <v>152</v>
      </c>
      <c r="D406">
        <f>INDEX(Standards!$A$2:$A$296,MATCH(B406,Standards!$B$2:$B$296,0))</f>
        <v>64</v>
      </c>
      <c r="E406">
        <f>INDEX(Standards!$A$2:$A$296,MATCH(C406,Standards!$B$2:$B$296,0))</f>
        <v>54</v>
      </c>
      <c r="F406" t="str">
        <f>INDEX(Standards!$N$2:$N$296,MATCH(B406,Standards!$B$2:$B$296,0))</f>
        <v>#70AD47</v>
      </c>
      <c r="G406" t="str">
        <f>INDEX(Standards!$N$2:$N$296,MATCH(C406,Standards!$B$2:$B$296,0))</f>
        <v>#7030A0</v>
      </c>
      <c r="H406" t="s">
        <v>521</v>
      </c>
      <c r="I406" t="s">
        <v>525</v>
      </c>
      <c r="J406" t="str">
        <f>INDEX(Standards!$H$2:$H$296,MATCH(B406,Standards!$B$2:$B$296,0))</f>
        <v>BIM</v>
      </c>
      <c r="K406" t="str">
        <f>INDEX(Standards!$H$2:$H$296,MATCH(C406,Standards!$B$2:$B$296,0))</f>
        <v>ICT</v>
      </c>
      <c r="L406" t="b">
        <f>AND(TableRelationships[[#This Row],[Source Type]]="BIM",TableRelationships[[#This Row],[Target Type]]="BIM")</f>
        <v>0</v>
      </c>
      <c r="M406">
        <f t="shared" si="18"/>
        <v>1</v>
      </c>
      <c r="N406" t="s">
        <v>528</v>
      </c>
      <c r="O406">
        <f t="shared" si="19"/>
        <v>6</v>
      </c>
      <c r="P406" t="str">
        <f>IF(TableRelationships[[#This Row],[Rank Pedro]]="Low","linkCategory1",IF(TableRelationships[[#This Row],[Rank Pedro]]="Medium","linkCategory2",IF(TableRelationships[[#This Row],[Rank Pedro]]="High","linkCategory3","")))</f>
        <v>linkCategory2</v>
      </c>
      <c r="Q406" t="str">
        <f>IF(TableRelationships[[#This Row],[Rank Pedro]]="Low","Pink",IF(TableRelationships[[#This Row],[Rank Pedro]]="Medium","Purple",IF(TableRelationships[[#This Row],[Rank Pedro]]="High","Brown","")))</f>
        <v>Purple</v>
      </c>
      <c r="R406" s="4">
        <f>MAX(INDEX(Standards!$F$2:$F$296,MATCH(B406,Standards!$B$2:$B$296,0)),INDEX(Standards!$F$2:$F$296,MATCH(C406,Standards!$B$2:$B$296,0)))</f>
        <v>44034</v>
      </c>
      <c r="S406" t="str">
        <f t="shared" si="20"/>
        <v>#2f89d1</v>
      </c>
    </row>
    <row r="407" spans="1:19" x14ac:dyDescent="0.5">
      <c r="A407">
        <v>187</v>
      </c>
      <c r="B407" t="s">
        <v>408</v>
      </c>
      <c r="C407" t="s">
        <v>236</v>
      </c>
      <c r="D407">
        <f>INDEX(Standards!$A$2:$A$296,MATCH(B407,Standards!$B$2:$B$296,0))</f>
        <v>16</v>
      </c>
      <c r="E407">
        <f>INDEX(Standards!$A$2:$A$296,MATCH(C407,Standards!$B$2:$B$296,0))</f>
        <v>91</v>
      </c>
      <c r="F407" t="str">
        <f>INDEX(Standards!$N$2:$N$296,MATCH(B407,Standards!$B$2:$B$296,0))</f>
        <v>#70AD47</v>
      </c>
      <c r="G407" t="str">
        <f>INDEX(Standards!$N$2:$N$296,MATCH(C407,Standards!$B$2:$B$296,0))</f>
        <v>#F2F2F2</v>
      </c>
      <c r="H407" t="s">
        <v>521</v>
      </c>
      <c r="I407" t="s">
        <v>237</v>
      </c>
      <c r="J407" t="str">
        <f>INDEX(Standards!$H$2:$H$296,MATCH(B407,Standards!$B$2:$B$296,0))</f>
        <v>BIM</v>
      </c>
      <c r="K407" t="str">
        <f>INDEX(Standards!$H$2:$H$296,MATCH(C407,Standards!$B$2:$B$296,0))</f>
        <v>Anchor</v>
      </c>
      <c r="L407" t="b">
        <f>AND(TableRelationships[[#This Row],[Source Type]]="BIM",TableRelationships[[#This Row],[Target Type]]="BIM")</f>
        <v>0</v>
      </c>
      <c r="M407">
        <f t="shared" si="18"/>
        <v>2</v>
      </c>
      <c r="O407">
        <f t="shared" si="19"/>
        <v>1</v>
      </c>
      <c r="P407" t="str">
        <f>IF(TableRelationships[[#This Row],[Rank Pedro]]="Low","linkCategory1",IF(TableRelationships[[#This Row],[Rank Pedro]]="Medium","linkCategory2",IF(TableRelationships[[#This Row],[Rank Pedro]]="High","linkCategory3","")))</f>
        <v/>
      </c>
      <c r="Q407" t="str">
        <f>IF(TableRelationships[[#This Row],[Rank Pedro]]="Low","Pink",IF(TableRelationships[[#This Row],[Rank Pedro]]="Medium","Purple",IF(TableRelationships[[#This Row],[Rank Pedro]]="High","Brown","")))</f>
        <v/>
      </c>
      <c r="R407" s="4">
        <f>MAX(INDEX(Standards!$F$2:$F$296,MATCH(B407,Standards!$B$2:$B$296,0)),INDEX(Standards!$F$2:$F$296,MATCH(C407,Standards!$B$2:$B$296,0)))</f>
        <v>40299</v>
      </c>
      <c r="S407">
        <f t="shared" si="20"/>
        <v>1</v>
      </c>
    </row>
    <row r="408" spans="1:19" x14ac:dyDescent="0.5">
      <c r="A408">
        <v>285</v>
      </c>
      <c r="B408" t="s">
        <v>408</v>
      </c>
      <c r="C408" t="s">
        <v>484</v>
      </c>
      <c r="D408">
        <f>INDEX(Standards!$A$2:$A$296,MATCH(B408,Standards!$B$2:$B$296,0))</f>
        <v>16</v>
      </c>
      <c r="E408">
        <f>INDEX(Standards!$A$2:$A$296,MATCH(C408,Standards!$B$2:$B$296,0))</f>
        <v>196</v>
      </c>
      <c r="F408" t="str">
        <f>INDEX(Standards!$N$2:$N$296,MATCH(B408,Standards!$B$2:$B$296,0))</f>
        <v>#70AD47</v>
      </c>
      <c r="G408" t="str">
        <f>INDEX(Standards!$N$2:$N$296,MATCH(C408,Standards!$B$2:$B$296,0))</f>
        <v>#70AD47</v>
      </c>
      <c r="H408" t="s">
        <v>521</v>
      </c>
      <c r="I408" s="81" t="s">
        <v>522</v>
      </c>
      <c r="J408" t="str">
        <f>INDEX(Standards!$H$2:$H$296,MATCH(B408,Standards!$B$2:$B$296,0))</f>
        <v>BIM</v>
      </c>
      <c r="K408" t="str">
        <f>INDEX(Standards!$H$2:$H$296,MATCH(C408,Standards!$B$2:$B$296,0))</f>
        <v>BIM</v>
      </c>
      <c r="L408" t="b">
        <f>AND(TableRelationships[[#This Row],[Source Type]]="BIM",TableRelationships[[#This Row],[Target Type]]="BIM")</f>
        <v>1</v>
      </c>
      <c r="M408">
        <f t="shared" si="18"/>
        <v>1</v>
      </c>
      <c r="N408" t="s">
        <v>528</v>
      </c>
      <c r="O408">
        <f t="shared" si="19"/>
        <v>6</v>
      </c>
      <c r="P408" t="str">
        <f>IF(TableRelationships[[#This Row],[Rank Pedro]]="Low","linkCategory1",IF(TableRelationships[[#This Row],[Rank Pedro]]="Medium","linkCategory2",IF(TableRelationships[[#This Row],[Rank Pedro]]="High","linkCategory3","")))</f>
        <v>linkCategory2</v>
      </c>
      <c r="Q408" t="str">
        <f>IF(TableRelationships[[#This Row],[Rank Pedro]]="Low","Pink",IF(TableRelationships[[#This Row],[Rank Pedro]]="Medium","Purple",IF(TableRelationships[[#This Row],[Rank Pedro]]="High","Brown","")))</f>
        <v>Purple</v>
      </c>
      <c r="R408" s="4">
        <f>MAX(INDEX(Standards!$F$2:$F$296,MATCH(B408,Standards!$B$2:$B$296,0)),INDEX(Standards!$F$2:$F$296,MATCH(C408,Standards!$B$2:$B$296,0)))</f>
        <v>45444</v>
      </c>
      <c r="S408">
        <f t="shared" si="20"/>
        <v>1</v>
      </c>
    </row>
    <row r="409" spans="1:19" x14ac:dyDescent="0.5">
      <c r="A409">
        <v>284</v>
      </c>
      <c r="B409" t="s">
        <v>408</v>
      </c>
      <c r="C409" t="s">
        <v>168</v>
      </c>
      <c r="D409">
        <f>INDEX(Standards!$A$2:$A$296,MATCH(B409,Standards!$B$2:$B$296,0))</f>
        <v>16</v>
      </c>
      <c r="E409">
        <f>INDEX(Standards!$A$2:$A$296,MATCH(C409,Standards!$B$2:$B$296,0))</f>
        <v>62</v>
      </c>
      <c r="F409" t="str">
        <f>INDEX(Standards!$N$2:$N$296,MATCH(B409,Standards!$B$2:$B$296,0))</f>
        <v>#70AD47</v>
      </c>
      <c r="G409" t="str">
        <f>INDEX(Standards!$N$2:$N$296,MATCH(C409,Standards!$B$2:$B$296,0))</f>
        <v>#7030A0</v>
      </c>
      <c r="H409" t="s">
        <v>521</v>
      </c>
      <c r="I409" s="81" t="s">
        <v>522</v>
      </c>
      <c r="J409" t="str">
        <f>INDEX(Standards!$H$2:$H$296,MATCH(B409,Standards!$B$2:$B$296,0))</f>
        <v>BIM</v>
      </c>
      <c r="K409" t="str">
        <f>INDEX(Standards!$H$2:$H$296,MATCH(C409,Standards!$B$2:$B$296,0))</f>
        <v>ICT</v>
      </c>
      <c r="L409" t="b">
        <f>AND(TableRelationships[[#This Row],[Source Type]]="BIM",TableRelationships[[#This Row],[Target Type]]="BIM")</f>
        <v>0</v>
      </c>
      <c r="M409">
        <f t="shared" si="18"/>
        <v>1</v>
      </c>
      <c r="N409" t="s">
        <v>526</v>
      </c>
      <c r="O409">
        <f t="shared" si="19"/>
        <v>2</v>
      </c>
      <c r="P409" t="str">
        <f>IF(TableRelationships[[#This Row],[Rank Pedro]]="Low","linkCategory1",IF(TableRelationships[[#This Row],[Rank Pedro]]="Medium","linkCategory2",IF(TableRelationships[[#This Row],[Rank Pedro]]="High","linkCategory3","")))</f>
        <v>linkCategory1</v>
      </c>
      <c r="Q409" t="str">
        <f>IF(TableRelationships[[#This Row],[Rank Pedro]]="Low","Pink",IF(TableRelationships[[#This Row],[Rank Pedro]]="Medium","Purple",IF(TableRelationships[[#This Row],[Rank Pedro]]="High","Brown","")))</f>
        <v>Pink</v>
      </c>
      <c r="R409" s="4">
        <f>MAX(INDEX(Standards!$F$2:$F$296,MATCH(B409,Standards!$B$2:$B$296,0)),INDEX(Standards!$F$2:$F$296,MATCH(C409,Standards!$B$2:$B$296,0)))</f>
        <v>40299</v>
      </c>
      <c r="S409">
        <f t="shared" si="20"/>
        <v>1</v>
      </c>
    </row>
    <row r="410" spans="1:19" x14ac:dyDescent="0.5">
      <c r="A410">
        <v>283</v>
      </c>
      <c r="B410" t="s">
        <v>408</v>
      </c>
      <c r="C410" t="s">
        <v>376</v>
      </c>
      <c r="D410">
        <f>INDEX(Standards!$A$2:$A$296,MATCH(B410,Standards!$B$2:$B$296,0))</f>
        <v>16</v>
      </c>
      <c r="E410">
        <f>INDEX(Standards!$A$2:$A$296,MATCH(C410,Standards!$B$2:$B$296,0))</f>
        <v>15</v>
      </c>
      <c r="F410" t="str">
        <f>INDEX(Standards!$N$2:$N$296,MATCH(B410,Standards!$B$2:$B$296,0))</f>
        <v>#70AD47</v>
      </c>
      <c r="G410" t="str">
        <f>INDEX(Standards!$N$2:$N$296,MATCH(C410,Standards!$B$2:$B$296,0))</f>
        <v>#70AD47</v>
      </c>
      <c r="H410" t="s">
        <v>521</v>
      </c>
      <c r="I410" s="81" t="s">
        <v>522</v>
      </c>
      <c r="J410" t="str">
        <f>INDEX(Standards!$H$2:$H$296,MATCH(B410,Standards!$B$2:$B$296,0))</f>
        <v>BIM</v>
      </c>
      <c r="K410" t="str">
        <f>INDEX(Standards!$H$2:$H$296,MATCH(C410,Standards!$B$2:$B$296,0))</f>
        <v>BIM</v>
      </c>
      <c r="L410" t="b">
        <f>AND(TableRelationships[[#This Row],[Source Type]]="BIM",TableRelationships[[#This Row],[Target Type]]="BIM")</f>
        <v>1</v>
      </c>
      <c r="M410">
        <f t="shared" si="18"/>
        <v>1</v>
      </c>
      <c r="N410" t="s">
        <v>526</v>
      </c>
      <c r="O410">
        <f t="shared" si="19"/>
        <v>2</v>
      </c>
      <c r="P410" t="str">
        <f>IF(TableRelationships[[#This Row],[Rank Pedro]]="Low","linkCategory1",IF(TableRelationships[[#This Row],[Rank Pedro]]="Medium","linkCategory2",IF(TableRelationships[[#This Row],[Rank Pedro]]="High","linkCategory3","")))</f>
        <v>linkCategory1</v>
      </c>
      <c r="Q410" t="str">
        <f>IF(TableRelationships[[#This Row],[Rank Pedro]]="Low","Pink",IF(TableRelationships[[#This Row],[Rank Pedro]]="Medium","Purple",IF(TableRelationships[[#This Row],[Rank Pedro]]="High","Brown","")))</f>
        <v>Pink</v>
      </c>
      <c r="R410" s="4">
        <f>MAX(INDEX(Standards!$F$2:$F$296,MATCH(B410,Standards!$B$2:$B$296,0)),INDEX(Standards!$F$2:$F$296,MATCH(C410,Standards!$B$2:$B$296,0)))</f>
        <v>40299</v>
      </c>
      <c r="S410">
        <f t="shared" si="20"/>
        <v>1</v>
      </c>
    </row>
    <row r="411" spans="1:19" x14ac:dyDescent="0.5">
      <c r="A411">
        <v>278</v>
      </c>
      <c r="B411" t="s">
        <v>408</v>
      </c>
      <c r="C411" t="s">
        <v>426</v>
      </c>
      <c r="D411">
        <f>INDEX(Standards!$A$2:$A$296,MATCH(B411,Standards!$B$2:$B$296,0))</f>
        <v>16</v>
      </c>
      <c r="E411">
        <f>INDEX(Standards!$A$2:$A$296,MATCH(C411,Standards!$B$2:$B$296,0))</f>
        <v>82</v>
      </c>
      <c r="F411" t="str">
        <f>INDEX(Standards!$N$2:$N$296,MATCH(B411,Standards!$B$2:$B$296,0))</f>
        <v>#70AD47</v>
      </c>
      <c r="G411" t="str">
        <f>INDEX(Standards!$N$2:$N$296,MATCH(C411,Standards!$B$2:$B$296,0))</f>
        <v>#70AD47</v>
      </c>
      <c r="H411" t="s">
        <v>521</v>
      </c>
      <c r="I411" t="s">
        <v>525</v>
      </c>
      <c r="J411" t="str">
        <f>INDEX(Standards!$H$2:$H$296,MATCH(B411,Standards!$B$2:$B$296,0))</f>
        <v>BIM</v>
      </c>
      <c r="K411" t="str">
        <f>INDEX(Standards!$H$2:$H$296,MATCH(C411,Standards!$B$2:$B$296,0))</f>
        <v>BIM</v>
      </c>
      <c r="L411" t="b">
        <f>AND(TableRelationships[[#This Row],[Source Type]]="BIM",TableRelationships[[#This Row],[Target Type]]="BIM")</f>
        <v>1</v>
      </c>
      <c r="M411">
        <f t="shared" si="18"/>
        <v>1</v>
      </c>
      <c r="N411" t="s">
        <v>523</v>
      </c>
      <c r="O411">
        <f t="shared" si="19"/>
        <v>10</v>
      </c>
      <c r="P411" t="str">
        <f>IF(TableRelationships[[#This Row],[Rank Pedro]]="Low","linkCategory1",IF(TableRelationships[[#This Row],[Rank Pedro]]="Medium","linkCategory2",IF(TableRelationships[[#This Row],[Rank Pedro]]="High","linkCategory3","")))</f>
        <v>linkCategory3</v>
      </c>
      <c r="Q411" t="str">
        <f>IF(TableRelationships[[#This Row],[Rank Pedro]]="Low","Pink",IF(TableRelationships[[#This Row],[Rank Pedro]]="Medium","Purple",IF(TableRelationships[[#This Row],[Rank Pedro]]="High","Brown","")))</f>
        <v>Brown</v>
      </c>
      <c r="R411" s="4">
        <f>MAX(INDEX(Standards!$F$2:$F$296,MATCH(B411,Standards!$B$2:$B$296,0)),INDEX(Standards!$F$2:$F$296,MATCH(C411,Standards!$B$2:$B$296,0)))</f>
        <v>41244</v>
      </c>
      <c r="S411" t="str">
        <f t="shared" si="20"/>
        <v>#2f89d1</v>
      </c>
    </row>
    <row r="412" spans="1:19" x14ac:dyDescent="0.5">
      <c r="A412">
        <v>277</v>
      </c>
      <c r="B412" t="s">
        <v>408</v>
      </c>
      <c r="C412" t="s">
        <v>77</v>
      </c>
      <c r="D412">
        <f>INDEX(Standards!$A$2:$A$296,MATCH(B412,Standards!$B$2:$B$296,0))</f>
        <v>16</v>
      </c>
      <c r="E412">
        <f>INDEX(Standards!$A$2:$A$296,MATCH(C412,Standards!$B$2:$B$296,0))</f>
        <v>19</v>
      </c>
      <c r="F412" t="str">
        <f>INDEX(Standards!$N$2:$N$296,MATCH(B412,Standards!$B$2:$B$296,0))</f>
        <v>#70AD47</v>
      </c>
      <c r="G412" t="str">
        <f>INDEX(Standards!$N$2:$N$296,MATCH(C412,Standards!$B$2:$B$296,0))</f>
        <v>#ED7D31</v>
      </c>
      <c r="H412" t="s">
        <v>521</v>
      </c>
      <c r="I412" t="s">
        <v>524</v>
      </c>
      <c r="J412" t="str">
        <f>INDEX(Standards!$H$2:$H$296,MATCH(B412,Standards!$B$2:$B$296,0))</f>
        <v>BIM</v>
      </c>
      <c r="K412" t="str">
        <f>INDEX(Standards!$H$2:$H$296,MATCH(C412,Standards!$B$2:$B$296,0))</f>
        <v>Construction</v>
      </c>
      <c r="L412" t="b">
        <f>AND(TableRelationships[[#This Row],[Source Type]]="BIM",TableRelationships[[#This Row],[Target Type]]="BIM")</f>
        <v>0</v>
      </c>
      <c r="M412">
        <f t="shared" si="18"/>
        <v>6</v>
      </c>
      <c r="N412" t="s">
        <v>526</v>
      </c>
      <c r="O412">
        <f t="shared" si="19"/>
        <v>2</v>
      </c>
      <c r="P412" t="str">
        <f>IF(TableRelationships[[#This Row],[Rank Pedro]]="Low","linkCategory1",IF(TableRelationships[[#This Row],[Rank Pedro]]="Medium","linkCategory2",IF(TableRelationships[[#This Row],[Rank Pedro]]="High","linkCategory3","")))</f>
        <v>linkCategory1</v>
      </c>
      <c r="Q412" t="str">
        <f>IF(TableRelationships[[#This Row],[Rank Pedro]]="Low","Pink",IF(TableRelationships[[#This Row],[Rank Pedro]]="Medium","Purple",IF(TableRelationships[[#This Row],[Rank Pedro]]="High","Brown","")))</f>
        <v>Pink</v>
      </c>
      <c r="R412" s="4">
        <f>MAX(INDEX(Standards!$F$2:$F$296,MATCH(B412,Standards!$B$2:$B$296,0)),INDEX(Standards!$F$2:$F$296,MATCH(C412,Standards!$B$2:$B$296,0)))</f>
        <v>40299</v>
      </c>
      <c r="S412" t="str">
        <f t="shared" si="20"/>
        <v>#d6bf2a</v>
      </c>
    </row>
    <row r="413" spans="1:19" x14ac:dyDescent="0.5">
      <c r="A413">
        <v>411</v>
      </c>
      <c r="B413" t="s">
        <v>186</v>
      </c>
      <c r="C413" t="s">
        <v>238</v>
      </c>
      <c r="D413">
        <f>INDEX(Standards!$A$2:$A$296,MATCH(B413,Standards!$B$2:$B$296,0))</f>
        <v>69</v>
      </c>
      <c r="E413">
        <f>INDEX(Standards!$A$2:$A$296,MATCH(C413,Standards!$B$2:$B$296,0))</f>
        <v>92</v>
      </c>
      <c r="F413" t="str">
        <f>INDEX(Standards!$N$2:$N$296,MATCH(B413,Standards!$B$2:$B$296,0))</f>
        <v>#7030A0</v>
      </c>
      <c r="G413" t="str">
        <f>INDEX(Standards!$N$2:$N$296,MATCH(C413,Standards!$B$2:$B$296,0))</f>
        <v>#F2F2F2</v>
      </c>
      <c r="H413" s="22" t="s">
        <v>521</v>
      </c>
      <c r="I413" t="s">
        <v>237</v>
      </c>
      <c r="J413" t="str">
        <f>INDEX(Standards!$H$2:$H$296,MATCH(B413,Standards!$B$2:$B$296,0))</f>
        <v>ICT</v>
      </c>
      <c r="K413" t="str">
        <f>INDEX(Standards!$H$2:$H$296,MATCH(C413,Standards!$B$2:$B$296,0))</f>
        <v>Anchor</v>
      </c>
      <c r="L413" t="b">
        <f>AND(TableRelationships[[#This Row],[Source Type]]="BIM",TableRelationships[[#This Row],[Target Type]]="BIM")</f>
        <v>0</v>
      </c>
      <c r="M413">
        <f t="shared" si="18"/>
        <v>2</v>
      </c>
      <c r="O413">
        <f t="shared" si="19"/>
        <v>1</v>
      </c>
      <c r="R413" s="4">
        <f>MAX(INDEX(Standards!$F$2:$F$296,MATCH(B413,Standards!$B$2:$B$296,0)),INDEX(Standards!$F$2:$F$296,MATCH(C413,Standards!$B$2:$B$296,0)))</f>
        <v>32143</v>
      </c>
      <c r="S413">
        <f t="shared" si="20"/>
        <v>1</v>
      </c>
    </row>
    <row r="414" spans="1:19" x14ac:dyDescent="0.5">
      <c r="A414">
        <v>202</v>
      </c>
      <c r="B414" t="s">
        <v>426</v>
      </c>
      <c r="C414" t="s">
        <v>236</v>
      </c>
      <c r="D414">
        <f>INDEX(Standards!$A$2:$A$296,MATCH(B414,Standards!$B$2:$B$296,0))</f>
        <v>82</v>
      </c>
      <c r="E414">
        <f>INDEX(Standards!$A$2:$A$296,MATCH(C414,Standards!$B$2:$B$296,0))</f>
        <v>91</v>
      </c>
      <c r="F414" t="str">
        <f>INDEX(Standards!$N$2:$N$296,MATCH(B414,Standards!$B$2:$B$296,0))</f>
        <v>#70AD47</v>
      </c>
      <c r="G414" t="str">
        <f>INDEX(Standards!$N$2:$N$296,MATCH(C414,Standards!$B$2:$B$296,0))</f>
        <v>#F2F2F2</v>
      </c>
      <c r="H414" t="s">
        <v>521</v>
      </c>
      <c r="I414" t="s">
        <v>237</v>
      </c>
      <c r="J414" t="str">
        <f>INDEX(Standards!$H$2:$H$296,MATCH(B414,Standards!$B$2:$B$296,0))</f>
        <v>BIM</v>
      </c>
      <c r="K414" t="str">
        <f>INDEX(Standards!$H$2:$H$296,MATCH(C414,Standards!$B$2:$B$296,0))</f>
        <v>Anchor</v>
      </c>
      <c r="L414" t="b">
        <f>AND(TableRelationships[[#This Row],[Source Type]]="BIM",TableRelationships[[#This Row],[Target Type]]="BIM")</f>
        <v>0</v>
      </c>
      <c r="M414">
        <f t="shared" si="18"/>
        <v>2</v>
      </c>
      <c r="O414">
        <f t="shared" si="19"/>
        <v>1</v>
      </c>
      <c r="P414" t="str">
        <f>IF(TableRelationships[[#This Row],[Rank Pedro]]="Low","linkCategory1",IF(TableRelationships[[#This Row],[Rank Pedro]]="Medium","linkCategory2",IF(TableRelationships[[#This Row],[Rank Pedro]]="High","linkCategory3","")))</f>
        <v/>
      </c>
      <c r="Q414" t="str">
        <f>IF(TableRelationships[[#This Row],[Rank Pedro]]="Low","Pink",IF(TableRelationships[[#This Row],[Rank Pedro]]="Medium","Purple",IF(TableRelationships[[#This Row],[Rank Pedro]]="High","Brown","")))</f>
        <v/>
      </c>
      <c r="R414" s="4">
        <f>MAX(INDEX(Standards!$F$2:$F$296,MATCH(B414,Standards!$B$2:$B$296,0)),INDEX(Standards!$F$2:$F$296,MATCH(C414,Standards!$B$2:$B$296,0)))</f>
        <v>41244</v>
      </c>
      <c r="S414">
        <f t="shared" si="20"/>
        <v>1</v>
      </c>
    </row>
    <row r="415" spans="1:19" x14ac:dyDescent="0.5">
      <c r="A415">
        <v>412</v>
      </c>
      <c r="B415" t="s">
        <v>192</v>
      </c>
      <c r="C415" t="s">
        <v>238</v>
      </c>
      <c r="D415">
        <f>INDEX(Standards!$A$2:$A$296,MATCH(B415,Standards!$B$2:$B$296,0))</f>
        <v>72</v>
      </c>
      <c r="E415">
        <f>INDEX(Standards!$A$2:$A$296,MATCH(C415,Standards!$B$2:$B$296,0))</f>
        <v>92</v>
      </c>
      <c r="F415" t="str">
        <f>INDEX(Standards!$N$2:$N$296,MATCH(B415,Standards!$B$2:$B$296,0))</f>
        <v>#7030A0</v>
      </c>
      <c r="G415" t="str">
        <f>INDEX(Standards!$N$2:$N$296,MATCH(C415,Standards!$B$2:$B$296,0))</f>
        <v>#F2F2F2</v>
      </c>
      <c r="H415" s="22" t="s">
        <v>521</v>
      </c>
      <c r="I415" t="s">
        <v>237</v>
      </c>
      <c r="J415" t="str">
        <f>INDEX(Standards!$H$2:$H$296,MATCH(B415,Standards!$B$2:$B$296,0))</f>
        <v>ICT</v>
      </c>
      <c r="K415" t="str">
        <f>INDEX(Standards!$H$2:$H$296,MATCH(C415,Standards!$B$2:$B$296,0))</f>
        <v>Anchor</v>
      </c>
      <c r="L415" t="b">
        <f>AND(TableRelationships[[#This Row],[Source Type]]="BIM",TableRelationships[[#This Row],[Target Type]]="BIM")</f>
        <v>0</v>
      </c>
      <c r="M415">
        <f t="shared" si="18"/>
        <v>2</v>
      </c>
      <c r="O415">
        <f t="shared" si="19"/>
        <v>1</v>
      </c>
      <c r="R415" s="4">
        <f>MAX(INDEX(Standards!$F$2:$F$296,MATCH(B415,Standards!$B$2:$B$296,0)),INDEX(Standards!$F$2:$F$296,MATCH(C415,Standards!$B$2:$B$296,0)))</f>
        <v>43466</v>
      </c>
      <c r="S415">
        <f t="shared" si="20"/>
        <v>1</v>
      </c>
    </row>
    <row r="416" spans="1:19" x14ac:dyDescent="0.5">
      <c r="A416">
        <v>286</v>
      </c>
      <c r="B416" t="s">
        <v>426</v>
      </c>
      <c r="C416" t="s">
        <v>266</v>
      </c>
      <c r="D416">
        <f>INDEX(Standards!$A$2:$A$296,MATCH(B416,Standards!$B$2:$B$296,0))</f>
        <v>82</v>
      </c>
      <c r="E416">
        <f>INDEX(Standards!$A$2:$A$296,MATCH(C416,Standards!$B$2:$B$296,0))</f>
        <v>105</v>
      </c>
      <c r="F416" t="str">
        <f>INDEX(Standards!$N$2:$N$296,MATCH(B416,Standards!$B$2:$B$296,0))</f>
        <v>#70AD47</v>
      </c>
      <c r="G416" t="str">
        <f>INDEX(Standards!$N$2:$N$296,MATCH(C416,Standards!$B$2:$B$296,0))</f>
        <v>#4472C4</v>
      </c>
      <c r="H416" t="s">
        <v>521</v>
      </c>
      <c r="I416" t="s">
        <v>525</v>
      </c>
      <c r="J416" t="str">
        <f>INDEX(Standards!$H$2:$H$296,MATCH(B416,Standards!$B$2:$B$296,0))</f>
        <v>BIM</v>
      </c>
      <c r="K416" t="str">
        <f>INDEX(Standards!$H$2:$H$296,MATCH(C416,Standards!$B$2:$B$296,0))</f>
        <v>Industrial Automation</v>
      </c>
      <c r="L416" t="b">
        <f>AND(TableRelationships[[#This Row],[Source Type]]="BIM",TableRelationships[[#This Row],[Target Type]]="BIM")</f>
        <v>0</v>
      </c>
      <c r="M416">
        <f t="shared" si="18"/>
        <v>1</v>
      </c>
      <c r="N416" t="s">
        <v>526</v>
      </c>
      <c r="O416">
        <f t="shared" si="19"/>
        <v>2</v>
      </c>
      <c r="P416" t="str">
        <f>IF(TableRelationships[[#This Row],[Rank Pedro]]="Low","linkCategory1",IF(TableRelationships[[#This Row],[Rank Pedro]]="Medium","linkCategory2",IF(TableRelationships[[#This Row],[Rank Pedro]]="High","linkCategory3","")))</f>
        <v>linkCategory1</v>
      </c>
      <c r="Q416" t="str">
        <f>IF(TableRelationships[[#This Row],[Rank Pedro]]="Low","Pink",IF(TableRelationships[[#This Row],[Rank Pedro]]="Medium","Purple",IF(TableRelationships[[#This Row],[Rank Pedro]]="High","Brown","")))</f>
        <v>Pink</v>
      </c>
      <c r="R416" s="4">
        <f>MAX(INDEX(Standards!$F$2:$F$296,MATCH(B416,Standards!$B$2:$B$296,0)),INDEX(Standards!$F$2:$F$296,MATCH(C416,Standards!$B$2:$B$296,0)))</f>
        <v>41244</v>
      </c>
      <c r="S416" t="str">
        <f t="shared" si="20"/>
        <v>#2f89d1</v>
      </c>
    </row>
    <row r="417" spans="1:19" x14ac:dyDescent="0.5">
      <c r="A417">
        <v>413</v>
      </c>
      <c r="B417" t="s">
        <v>366</v>
      </c>
      <c r="C417" t="s">
        <v>238</v>
      </c>
      <c r="D417">
        <f>INDEX(Standards!$A$2:$A$296,MATCH(B417,Standards!$B$2:$B$296,0))</f>
        <v>155</v>
      </c>
      <c r="E417">
        <f>INDEX(Standards!$A$2:$A$296,MATCH(C417,Standards!$B$2:$B$296,0))</f>
        <v>92</v>
      </c>
      <c r="F417" t="str">
        <f>INDEX(Standards!$N$2:$N$296,MATCH(B417,Standards!$B$2:$B$296,0))</f>
        <v>#7030A0</v>
      </c>
      <c r="G417" t="str">
        <f>INDEX(Standards!$N$2:$N$296,MATCH(C417,Standards!$B$2:$B$296,0))</f>
        <v>#F2F2F2</v>
      </c>
      <c r="H417" s="22" t="s">
        <v>521</v>
      </c>
      <c r="I417" t="s">
        <v>237</v>
      </c>
      <c r="J417" t="str">
        <f>INDEX(Standards!$H$2:$H$296,MATCH(B417,Standards!$B$2:$B$296,0))</f>
        <v>ICT</v>
      </c>
      <c r="K417" t="str">
        <f>INDEX(Standards!$H$2:$H$296,MATCH(C417,Standards!$B$2:$B$296,0))</f>
        <v>Anchor</v>
      </c>
      <c r="L417" t="b">
        <f>AND(TableRelationships[[#This Row],[Source Type]]="BIM",TableRelationships[[#This Row],[Target Type]]="BIM")</f>
        <v>0</v>
      </c>
      <c r="M417">
        <f t="shared" si="18"/>
        <v>2</v>
      </c>
      <c r="O417">
        <f t="shared" si="19"/>
        <v>1</v>
      </c>
      <c r="R417" s="4">
        <f>MAX(INDEX(Standards!$F$2:$F$296,MATCH(B417,Standards!$B$2:$B$296,0)),INDEX(Standards!$F$2:$F$296,MATCH(C417,Standards!$B$2:$B$296,0)))</f>
        <v>38534</v>
      </c>
      <c r="S417">
        <f t="shared" si="20"/>
        <v>1</v>
      </c>
    </row>
    <row r="418" spans="1:19" x14ac:dyDescent="0.5">
      <c r="A418">
        <v>287</v>
      </c>
      <c r="B418" t="s">
        <v>426</v>
      </c>
      <c r="C418" t="s">
        <v>144</v>
      </c>
      <c r="D418">
        <f>INDEX(Standards!$A$2:$A$296,MATCH(B418,Standards!$B$2:$B$296,0))</f>
        <v>82</v>
      </c>
      <c r="E418">
        <f>INDEX(Standards!$A$2:$A$296,MATCH(C418,Standards!$B$2:$B$296,0))</f>
        <v>8</v>
      </c>
      <c r="F418" t="str">
        <f>INDEX(Standards!$N$2:$N$296,MATCH(B418,Standards!$B$2:$B$296,0))</f>
        <v>#70AD47</v>
      </c>
      <c r="G418" t="str">
        <f>INDEX(Standards!$N$2:$N$296,MATCH(C418,Standards!$B$2:$B$296,0))</f>
        <v>#70AD47</v>
      </c>
      <c r="H418" t="s">
        <v>521</v>
      </c>
      <c r="I418" t="s">
        <v>525</v>
      </c>
      <c r="J418" t="str">
        <f>INDEX(Standards!$H$2:$H$296,MATCH(B418,Standards!$B$2:$B$296,0))</f>
        <v>BIM</v>
      </c>
      <c r="K418" t="str">
        <f>INDEX(Standards!$H$2:$H$296,MATCH(C418,Standards!$B$2:$B$296,0))</f>
        <v>BIM</v>
      </c>
      <c r="L418" t="b">
        <f>AND(TableRelationships[[#This Row],[Source Type]]="BIM",TableRelationships[[#This Row],[Target Type]]="BIM")</f>
        <v>1</v>
      </c>
      <c r="M418">
        <f t="shared" si="18"/>
        <v>1</v>
      </c>
      <c r="N418" t="s">
        <v>526</v>
      </c>
      <c r="O418">
        <f t="shared" si="19"/>
        <v>2</v>
      </c>
      <c r="P418" t="str">
        <f>IF(TableRelationships[[#This Row],[Rank Pedro]]="Low","linkCategory1",IF(TableRelationships[[#This Row],[Rank Pedro]]="Medium","linkCategory2",IF(TableRelationships[[#This Row],[Rank Pedro]]="High","linkCategory3","")))</f>
        <v>linkCategory1</v>
      </c>
      <c r="Q418" t="str">
        <f>IF(TableRelationships[[#This Row],[Rank Pedro]]="Low","Pink",IF(TableRelationships[[#This Row],[Rank Pedro]]="Medium","Purple",IF(TableRelationships[[#This Row],[Rank Pedro]]="High","Brown","")))</f>
        <v>Pink</v>
      </c>
      <c r="R418" s="4">
        <f>MAX(INDEX(Standards!$F$2:$F$296,MATCH(B418,Standards!$B$2:$B$296,0)),INDEX(Standards!$F$2:$F$296,MATCH(C418,Standards!$B$2:$B$296,0)))</f>
        <v>41244</v>
      </c>
      <c r="S418" t="str">
        <f t="shared" si="20"/>
        <v>#2f89d1</v>
      </c>
    </row>
    <row r="419" spans="1:19" x14ac:dyDescent="0.5">
      <c r="A419">
        <v>414</v>
      </c>
      <c r="B419" t="s">
        <v>275</v>
      </c>
      <c r="C419" t="s">
        <v>529</v>
      </c>
      <c r="D419">
        <f>INDEX(Standards!$A$2:$A$296,MATCH(B419,Standards!$B$2:$B$296,0))</f>
        <v>108</v>
      </c>
      <c r="E419">
        <f>INDEX(Standards!$A$2:$A$296,MATCH(C419,Standards!$B$2:$B$296,0))</f>
        <v>162</v>
      </c>
      <c r="F419" t="str">
        <f>INDEX(Standards!$N$2:$N$296,MATCH(B419,Standards!$B$2:$B$296,0))</f>
        <v>#8497B0</v>
      </c>
      <c r="G419" t="str">
        <f>INDEX(Standards!$N$2:$N$296,MATCH(C419,Standards!$B$2:$B$296,0))</f>
        <v>#F2F2F2</v>
      </c>
      <c r="H419" t="s">
        <v>521</v>
      </c>
      <c r="I419" t="s">
        <v>237</v>
      </c>
      <c r="J419" t="str">
        <f>INDEX(Standards!$H$2:$H$296,MATCH(B419,Standards!$B$2:$B$296,0))</f>
        <v>HIS</v>
      </c>
      <c r="K419" t="str">
        <f>INDEX(Standards!$H$2:$H$296,MATCH(C419,Standards!$B$2:$B$296,0))</f>
        <v>Anchor</v>
      </c>
      <c r="L419" t="b">
        <f>AND(TableRelationships[[#This Row],[Source Type]]="BIM",TableRelationships[[#This Row],[Target Type]]="BIM")</f>
        <v>0</v>
      </c>
      <c r="M419">
        <f t="shared" si="18"/>
        <v>2</v>
      </c>
      <c r="O419">
        <f t="shared" si="19"/>
        <v>1</v>
      </c>
      <c r="P419" t="str">
        <f>IF(TableRelationships[[#This Row],[Rank Pedro]]="Low","linkCategory1",IF(TableRelationships[[#This Row],[Rank Pedro]]="Medium","linkCategory2",IF(TableRelationships[[#This Row],[Rank Pedro]]="High","linkCategory3","")))</f>
        <v/>
      </c>
      <c r="Q419" t="str">
        <f>IF(TableRelationships[[#This Row],[Rank Pedro]]="Low","Pink",IF(TableRelationships[[#This Row],[Rank Pedro]]="Medium","Purple",IF(TableRelationships[[#This Row],[Rank Pedro]]="High","Brown","")))</f>
        <v/>
      </c>
      <c r="R419" s="4">
        <f>MAX(INDEX(Standards!$F$2:$F$296,MATCH(B419,Standards!$B$2:$B$296,0)),INDEX(Standards!$F$2:$F$296,MATCH(C419,Standards!$B$2:$B$296,0)))</f>
        <v>42248</v>
      </c>
      <c r="S419">
        <f t="shared" si="20"/>
        <v>1</v>
      </c>
    </row>
    <row r="420" spans="1:19" x14ac:dyDescent="0.5">
      <c r="A420">
        <v>151</v>
      </c>
      <c r="B420" t="s">
        <v>426</v>
      </c>
      <c r="C420" t="s">
        <v>408</v>
      </c>
      <c r="D420">
        <f>INDEX(Standards!$A$2:$A$296,MATCH(B420,Standards!$B$2:$B$296,0))</f>
        <v>82</v>
      </c>
      <c r="E420">
        <f>INDEX(Standards!$A$2:$A$296,MATCH(C420,Standards!$B$2:$B$296,0))</f>
        <v>16</v>
      </c>
      <c r="F420" t="str">
        <f>INDEX(Standards!$N$2:$N$296,MATCH(B420,Standards!$B$2:$B$296,0))</f>
        <v>#70AD47</v>
      </c>
      <c r="G420" t="str">
        <f>INDEX(Standards!$N$2:$N$296,MATCH(C420,Standards!$B$2:$B$296,0))</f>
        <v>#70AD47</v>
      </c>
      <c r="H420" t="s">
        <v>521</v>
      </c>
      <c r="I420" t="s">
        <v>524</v>
      </c>
      <c r="J420" t="str">
        <f>INDEX(Standards!$H$2:$H$296,MATCH(B420,Standards!$B$2:$B$296,0))</f>
        <v>BIM</v>
      </c>
      <c r="K420" t="str">
        <f>INDEX(Standards!$H$2:$H$296,MATCH(C420,Standards!$B$2:$B$296,0))</f>
        <v>BIM</v>
      </c>
      <c r="L420" t="b">
        <f>AND(TableRelationships[[#This Row],[Source Type]]="BIM",TableRelationships[[#This Row],[Target Type]]="BIM")</f>
        <v>1</v>
      </c>
      <c r="M420">
        <f t="shared" si="18"/>
        <v>6</v>
      </c>
      <c r="N420" t="s">
        <v>523</v>
      </c>
      <c r="O420">
        <f t="shared" si="19"/>
        <v>10</v>
      </c>
      <c r="P420" t="str">
        <f>IF(TableRelationships[[#This Row],[Rank Pedro]]="Low","linkCategory1",IF(TableRelationships[[#This Row],[Rank Pedro]]="Medium","linkCategory2",IF(TableRelationships[[#This Row],[Rank Pedro]]="High","linkCategory3","")))</f>
        <v>linkCategory3</v>
      </c>
      <c r="Q420" t="str">
        <f>IF(TableRelationships[[#This Row],[Rank Pedro]]="Low","Pink",IF(TableRelationships[[#This Row],[Rank Pedro]]="Medium","Purple",IF(TableRelationships[[#This Row],[Rank Pedro]]="High","Brown","")))</f>
        <v>Brown</v>
      </c>
      <c r="R420" s="4">
        <f>MAX(INDEX(Standards!$F$2:$F$296,MATCH(B420,Standards!$B$2:$B$296,0)),INDEX(Standards!$F$2:$F$296,MATCH(C420,Standards!$B$2:$B$296,0)))</f>
        <v>41244</v>
      </c>
      <c r="S420" t="str">
        <f t="shared" si="20"/>
        <v>#d6bf2a</v>
      </c>
    </row>
    <row r="421" spans="1:19" x14ac:dyDescent="0.5">
      <c r="A421">
        <v>415</v>
      </c>
      <c r="B421" t="s">
        <v>289</v>
      </c>
      <c r="C421" t="s">
        <v>529</v>
      </c>
      <c r="D421">
        <f>INDEX(Standards!$A$2:$A$296,MATCH(B421,Standards!$B$2:$B$296,0))</f>
        <v>114</v>
      </c>
      <c r="E421">
        <f>INDEX(Standards!$A$2:$A$296,MATCH(C421,Standards!$B$2:$B$296,0))</f>
        <v>162</v>
      </c>
      <c r="F421" t="str">
        <f>INDEX(Standards!$N$2:$N$296,MATCH(B421,Standards!$B$2:$B$296,0))</f>
        <v>#8497B0</v>
      </c>
      <c r="G421" t="str">
        <f>INDEX(Standards!$N$2:$N$296,MATCH(C421,Standards!$B$2:$B$296,0))</f>
        <v>#F2F2F2</v>
      </c>
      <c r="H421" t="s">
        <v>521</v>
      </c>
      <c r="I421" t="s">
        <v>237</v>
      </c>
      <c r="J421" t="str">
        <f>INDEX(Standards!$H$2:$H$296,MATCH(B421,Standards!$B$2:$B$296,0))</f>
        <v>HIS</v>
      </c>
      <c r="K421" t="str">
        <f>INDEX(Standards!$H$2:$H$296,MATCH(C421,Standards!$B$2:$B$296,0))</f>
        <v>Anchor</v>
      </c>
      <c r="L421" t="b">
        <f>AND(TableRelationships[[#This Row],[Source Type]]="BIM",TableRelationships[[#This Row],[Target Type]]="BIM")</f>
        <v>0</v>
      </c>
      <c r="M421">
        <f t="shared" si="18"/>
        <v>2</v>
      </c>
      <c r="O421">
        <f t="shared" si="19"/>
        <v>1</v>
      </c>
      <c r="P421" t="str">
        <f>IF(TableRelationships[[#This Row],[Rank Pedro]]="Low","linkCategory1",IF(TableRelationships[[#This Row],[Rank Pedro]]="Medium","linkCategory2",IF(TableRelationships[[#This Row],[Rank Pedro]]="High","linkCategory3","")))</f>
        <v/>
      </c>
      <c r="Q421" t="str">
        <f>IF(TableRelationships[[#This Row],[Rank Pedro]]="Low","Pink",IF(TableRelationships[[#This Row],[Rank Pedro]]="Medium","Purple",IF(TableRelationships[[#This Row],[Rank Pedro]]="High","Brown","")))</f>
        <v/>
      </c>
      <c r="R421" s="4">
        <f>MAX(INDEX(Standards!$F$2:$F$296,MATCH(B421,Standards!$B$2:$B$296,0)),INDEX(Standards!$F$2:$F$296,MATCH(C421,Standards!$B$2:$B$296,0)))</f>
        <v>38018</v>
      </c>
      <c r="S421">
        <f t="shared" si="20"/>
        <v>1</v>
      </c>
    </row>
    <row r="422" spans="1:19" x14ac:dyDescent="0.5">
      <c r="A422">
        <v>472</v>
      </c>
      <c r="B422" t="s">
        <v>447</v>
      </c>
      <c r="C422" t="s">
        <v>236</v>
      </c>
      <c r="D422">
        <f>INDEX(Standards!$A$2:$A$296,MATCH(B422,Standards!$B$2:$B$296,0))</f>
        <v>89</v>
      </c>
      <c r="E422">
        <f>INDEX(Standards!$A$2:$A$296,MATCH(C422,Standards!$B$2:$B$296,0))</f>
        <v>91</v>
      </c>
      <c r="F422" t="str">
        <f>INDEX(Standards!$N$2:$N$296,MATCH(B422,Standards!$B$2:$B$296,0))</f>
        <v>#70AD47</v>
      </c>
      <c r="G422" t="str">
        <f>INDEX(Standards!$N$2:$N$296,MATCH(C422,Standards!$B$2:$B$296,0))</f>
        <v>#F2F2F2</v>
      </c>
      <c r="H422" t="s">
        <v>521</v>
      </c>
      <c r="I422" t="s">
        <v>237</v>
      </c>
      <c r="J422" t="str">
        <f>INDEX(Standards!$H$2:$H$296,MATCH(B422,Standards!$B$2:$B$296,0))</f>
        <v>BIM</v>
      </c>
      <c r="K422" t="str">
        <f>INDEX(Standards!$H$2:$H$296,MATCH(C422,Standards!$B$2:$B$296,0))</f>
        <v>Anchor</v>
      </c>
      <c r="L422" t="b">
        <f>AND(TableRelationships[[#This Row],[Source Type]]="BIM",TableRelationships[[#This Row],[Target Type]]="BIM")</f>
        <v>0</v>
      </c>
      <c r="M422">
        <f t="shared" si="18"/>
        <v>2</v>
      </c>
      <c r="O422">
        <f t="shared" si="19"/>
        <v>1</v>
      </c>
      <c r="P422" t="str">
        <f>IF(TableRelationships[[#This Row],[Rank Pedro]]="Low","linkCategory1",IF(TableRelationships[[#This Row],[Rank Pedro]]="Medium","linkCategory2",IF(TableRelationships[[#This Row],[Rank Pedro]]="High","linkCategory3","")))</f>
        <v/>
      </c>
      <c r="Q422" t="str">
        <f>IF(TableRelationships[[#This Row],[Rank Pedro]]="Low","Pink",IF(TableRelationships[[#This Row],[Rank Pedro]]="Medium","Purple",IF(TableRelationships[[#This Row],[Rank Pedro]]="High","Brown","")))</f>
        <v/>
      </c>
      <c r="R422" s="4">
        <f>MAX(INDEX(Standards!$F$2:$F$296,MATCH(B422,Standards!$B$2:$B$296,0)),INDEX(Standards!$F$2:$F$296,MATCH(C422,Standards!$B$2:$B$296,0)))</f>
        <v>44846</v>
      </c>
      <c r="S422">
        <f t="shared" si="20"/>
        <v>1</v>
      </c>
    </row>
    <row r="423" spans="1:19" x14ac:dyDescent="0.5">
      <c r="A423">
        <v>416</v>
      </c>
      <c r="B423" t="s">
        <v>398</v>
      </c>
      <c r="C423" t="s">
        <v>238</v>
      </c>
      <c r="D423">
        <f>INDEX(Standards!$A$2:$A$296,MATCH(B423,Standards!$B$2:$B$296,0))</f>
        <v>174</v>
      </c>
      <c r="E423">
        <f>INDEX(Standards!$A$2:$A$296,MATCH(C423,Standards!$B$2:$B$296,0))</f>
        <v>92</v>
      </c>
      <c r="F423" t="str">
        <f>INDEX(Standards!$N$2:$N$296,MATCH(B423,Standards!$B$2:$B$296,0))</f>
        <v>#7030A0</v>
      </c>
      <c r="G423" t="str">
        <f>INDEX(Standards!$N$2:$N$296,MATCH(C423,Standards!$B$2:$B$296,0))</f>
        <v>#F2F2F2</v>
      </c>
      <c r="H423" t="s">
        <v>521</v>
      </c>
      <c r="I423" t="s">
        <v>237</v>
      </c>
      <c r="J423" t="str">
        <f>INDEX(Standards!$H$2:$H$296,MATCH(B423,Standards!$B$2:$B$296,0))</f>
        <v>ICT</v>
      </c>
      <c r="K423" t="str">
        <f>INDEX(Standards!$H$2:$H$296,MATCH(C423,Standards!$B$2:$B$296,0))</f>
        <v>Anchor</v>
      </c>
      <c r="L423" t="b">
        <f>AND(TableRelationships[[#This Row],[Source Type]]="BIM",TableRelationships[[#This Row],[Target Type]]="BIM")</f>
        <v>0</v>
      </c>
      <c r="M423">
        <f t="shared" si="18"/>
        <v>2</v>
      </c>
      <c r="O423">
        <f t="shared" si="19"/>
        <v>1</v>
      </c>
      <c r="P423" t="str">
        <f>IF(TableRelationships[[#This Row],[Rank Pedro]]="Low","linkCategory1",IF(TableRelationships[[#This Row],[Rank Pedro]]="Medium","linkCategory2",IF(TableRelationships[[#This Row],[Rank Pedro]]="High","linkCategory3","")))</f>
        <v/>
      </c>
      <c r="Q423" t="str">
        <f>IF(TableRelationships[[#This Row],[Rank Pedro]]="Low","Pink",IF(TableRelationships[[#This Row],[Rank Pedro]]="Medium","Purple",IF(TableRelationships[[#This Row],[Rank Pedro]]="High","Brown","")))</f>
        <v/>
      </c>
      <c r="R423" s="4">
        <f>MAX(INDEX(Standards!$F$2:$F$296,MATCH(B423,Standards!$B$2:$B$296,0)),INDEX(Standards!$F$2:$F$296,MATCH(C423,Standards!$B$2:$B$296,0)))</f>
        <v>34366</v>
      </c>
      <c r="S423">
        <f t="shared" si="20"/>
        <v>1</v>
      </c>
    </row>
    <row r="424" spans="1:19" x14ac:dyDescent="0.5">
      <c r="A424">
        <v>501</v>
      </c>
      <c r="B424" t="s">
        <v>447</v>
      </c>
      <c r="C424" t="s">
        <v>484</v>
      </c>
      <c r="D424">
        <f>INDEX(Standards!$A$2:$A$296,MATCH(B424,Standards!$B$2:$B$296,0))</f>
        <v>89</v>
      </c>
      <c r="E424">
        <f>INDEX(Standards!$A$2:$A$296,MATCH(C424,Standards!$B$2:$B$296,0))</f>
        <v>196</v>
      </c>
      <c r="F424" t="str">
        <f>INDEX(Standards!$N$2:$N$296,MATCH(B424,Standards!$B$2:$B$296,0))</f>
        <v>#70AD47</v>
      </c>
      <c r="G424" t="str">
        <f>INDEX(Standards!$N$2:$N$296,MATCH(C424,Standards!$B$2:$B$296,0))</f>
        <v>#70AD47</v>
      </c>
      <c r="H424" t="s">
        <v>521</v>
      </c>
      <c r="I424" t="s">
        <v>525</v>
      </c>
      <c r="J424" t="str">
        <f>INDEX(Standards!$H$2:$H$296,MATCH(B424,Standards!$B$2:$B$296,0))</f>
        <v>BIM</v>
      </c>
      <c r="K424" t="str">
        <f>INDEX(Standards!$H$2:$H$296,MATCH(C424,Standards!$B$2:$B$296,0))</f>
        <v>BIM</v>
      </c>
      <c r="L424" t="b">
        <f>AND(TableRelationships[[#This Row],[Source Type]]="BIM",TableRelationships[[#This Row],[Target Type]]="BIM")</f>
        <v>1</v>
      </c>
      <c r="M424">
        <f t="shared" si="18"/>
        <v>1</v>
      </c>
      <c r="N424" t="s">
        <v>523</v>
      </c>
      <c r="O424">
        <f t="shared" si="19"/>
        <v>10</v>
      </c>
      <c r="P424" t="str">
        <f>IF(TableRelationships[[#This Row],[Rank Pedro]]="Low","linkCategory1",IF(TableRelationships[[#This Row],[Rank Pedro]]="Medium","linkCategory2",IF(TableRelationships[[#This Row],[Rank Pedro]]="High","linkCategory3","")))</f>
        <v>linkCategory3</v>
      </c>
      <c r="Q424" t="str">
        <f>IF(TableRelationships[[#This Row],[Rank Pedro]]="Low","Pink",IF(TableRelationships[[#This Row],[Rank Pedro]]="Medium","Purple",IF(TableRelationships[[#This Row],[Rank Pedro]]="High","Brown","")))</f>
        <v>Brown</v>
      </c>
      <c r="R424" s="4">
        <f>MAX(INDEX(Standards!$F$2:$F$296,MATCH(B424,Standards!$B$2:$B$296,0)),INDEX(Standards!$F$2:$F$296,MATCH(C424,Standards!$B$2:$B$296,0)))</f>
        <v>45444</v>
      </c>
      <c r="S424" t="str">
        <f t="shared" si="20"/>
        <v>#2f89d1</v>
      </c>
    </row>
    <row r="425" spans="1:19" x14ac:dyDescent="0.5">
      <c r="A425">
        <v>417</v>
      </c>
      <c r="B425" t="s">
        <v>285</v>
      </c>
      <c r="C425" t="s">
        <v>238</v>
      </c>
      <c r="D425">
        <f>INDEX(Standards!$A$2:$A$296,MATCH(B425,Standards!$B$2:$B$296,0))</f>
        <v>112</v>
      </c>
      <c r="E425">
        <f>INDEX(Standards!$A$2:$A$296,MATCH(C425,Standards!$B$2:$B$296,0))</f>
        <v>92</v>
      </c>
      <c r="F425" t="str">
        <f>INDEX(Standards!$N$2:$N$296,MATCH(B425,Standards!$B$2:$B$296,0))</f>
        <v>#7030A0</v>
      </c>
      <c r="G425" t="str">
        <f>INDEX(Standards!$N$2:$N$296,MATCH(C425,Standards!$B$2:$B$296,0))</f>
        <v>#F2F2F2</v>
      </c>
      <c r="H425" t="s">
        <v>521</v>
      </c>
      <c r="I425" t="s">
        <v>237</v>
      </c>
      <c r="J425" t="str">
        <f>INDEX(Standards!$H$2:$H$296,MATCH(B425,Standards!$B$2:$B$296,0))</f>
        <v>ICT</v>
      </c>
      <c r="K425" t="str">
        <f>INDEX(Standards!$H$2:$H$296,MATCH(C425,Standards!$B$2:$B$296,0))</f>
        <v>Anchor</v>
      </c>
      <c r="L425" t="b">
        <f>AND(TableRelationships[[#This Row],[Source Type]]="BIM",TableRelationships[[#This Row],[Target Type]]="BIM")</f>
        <v>0</v>
      </c>
      <c r="M425">
        <f t="shared" si="18"/>
        <v>2</v>
      </c>
      <c r="O425">
        <f t="shared" si="19"/>
        <v>1</v>
      </c>
      <c r="P425" t="str">
        <f>IF(TableRelationships[[#This Row],[Rank Pedro]]="Low","linkCategory1",IF(TableRelationships[[#This Row],[Rank Pedro]]="Medium","linkCategory2",IF(TableRelationships[[#This Row],[Rank Pedro]]="High","linkCategory3","")))</f>
        <v/>
      </c>
      <c r="Q425" t="str">
        <f>IF(TableRelationships[[#This Row],[Rank Pedro]]="Low","Pink",IF(TableRelationships[[#This Row],[Rank Pedro]]="Medium","Purple",IF(TableRelationships[[#This Row],[Rank Pedro]]="High","Brown","")))</f>
        <v/>
      </c>
      <c r="R425" s="4">
        <f>MAX(INDEX(Standards!$F$2:$F$296,MATCH(B425,Standards!$B$2:$B$296,0)),INDEX(Standards!$F$2:$F$296,MATCH(C425,Standards!$B$2:$B$296,0)))</f>
        <v>38047</v>
      </c>
      <c r="S425">
        <f t="shared" si="20"/>
        <v>1</v>
      </c>
    </row>
    <row r="426" spans="1:19" x14ac:dyDescent="0.5">
      <c r="A426">
        <v>500</v>
      </c>
      <c r="B426" t="s">
        <v>447</v>
      </c>
      <c r="C426" t="s">
        <v>218</v>
      </c>
      <c r="D426">
        <f>INDEX(Standards!$A$2:$A$296,MATCH(B426,Standards!$B$2:$B$296,0))</f>
        <v>89</v>
      </c>
      <c r="E426">
        <f>INDEX(Standards!$A$2:$A$296,MATCH(C426,Standards!$B$2:$B$296,0))</f>
        <v>84</v>
      </c>
      <c r="F426" t="str">
        <f>INDEX(Standards!$N$2:$N$296,MATCH(B426,Standards!$B$2:$B$296,0))</f>
        <v>#70AD47</v>
      </c>
      <c r="G426" t="str">
        <f>INDEX(Standards!$N$2:$N$296,MATCH(C426,Standards!$B$2:$B$296,0))</f>
        <v>#595959</v>
      </c>
      <c r="H426" t="s">
        <v>521</v>
      </c>
      <c r="I426" t="s">
        <v>525</v>
      </c>
      <c r="J426" t="str">
        <f>INDEX(Standards!$H$2:$H$296,MATCH(B426,Standards!$B$2:$B$296,0))</f>
        <v>BIM</v>
      </c>
      <c r="K426" t="str">
        <f>INDEX(Standards!$H$2:$H$296,MATCH(C426,Standards!$B$2:$B$296,0))</f>
        <v>Other</v>
      </c>
      <c r="L426" t="b">
        <f>AND(TableRelationships[[#This Row],[Source Type]]="BIM",TableRelationships[[#This Row],[Target Type]]="BIM")</f>
        <v>0</v>
      </c>
      <c r="M426">
        <f t="shared" si="18"/>
        <v>1</v>
      </c>
      <c r="N426" t="s">
        <v>528</v>
      </c>
      <c r="O426">
        <f t="shared" si="19"/>
        <v>6</v>
      </c>
      <c r="P426" t="str">
        <f>IF(TableRelationships[[#This Row],[Rank Pedro]]="Low","linkCategory1",IF(TableRelationships[[#This Row],[Rank Pedro]]="Medium","linkCategory2",IF(TableRelationships[[#This Row],[Rank Pedro]]="High","linkCategory3","")))</f>
        <v>linkCategory2</v>
      </c>
      <c r="Q426" t="str">
        <f>IF(TableRelationships[[#This Row],[Rank Pedro]]="Low","Pink",IF(TableRelationships[[#This Row],[Rank Pedro]]="Medium","Purple",IF(TableRelationships[[#This Row],[Rank Pedro]]="High","Brown","")))</f>
        <v>Purple</v>
      </c>
      <c r="R426" s="4">
        <f>MAX(INDEX(Standards!$F$2:$F$296,MATCH(B426,Standards!$B$2:$B$296,0)),INDEX(Standards!$F$2:$F$296,MATCH(C426,Standards!$B$2:$B$296,0)))</f>
        <v>44846</v>
      </c>
      <c r="S426" t="str">
        <f t="shared" si="20"/>
        <v>#2f89d1</v>
      </c>
    </row>
    <row r="427" spans="1:19" x14ac:dyDescent="0.5">
      <c r="A427">
        <v>418</v>
      </c>
      <c r="B427" t="s">
        <v>287</v>
      </c>
      <c r="C427" t="s">
        <v>238</v>
      </c>
      <c r="D427">
        <f>INDEX(Standards!$A$2:$A$296,MATCH(B427,Standards!$B$2:$B$296,0))</f>
        <v>113</v>
      </c>
      <c r="E427">
        <f>INDEX(Standards!$A$2:$A$296,MATCH(C427,Standards!$B$2:$B$296,0))</f>
        <v>92</v>
      </c>
      <c r="F427" t="str">
        <f>INDEX(Standards!$N$2:$N$296,MATCH(B427,Standards!$B$2:$B$296,0))</f>
        <v>#7030A0</v>
      </c>
      <c r="G427" t="str">
        <f>INDEX(Standards!$N$2:$N$296,MATCH(C427,Standards!$B$2:$B$296,0))</f>
        <v>#F2F2F2</v>
      </c>
      <c r="H427" t="s">
        <v>521</v>
      </c>
      <c r="I427" t="s">
        <v>237</v>
      </c>
      <c r="J427" t="str">
        <f>INDEX(Standards!$H$2:$H$296,MATCH(B427,Standards!$B$2:$B$296,0))</f>
        <v>ICT</v>
      </c>
      <c r="K427" t="str">
        <f>INDEX(Standards!$H$2:$H$296,MATCH(C427,Standards!$B$2:$B$296,0))</f>
        <v>Anchor</v>
      </c>
      <c r="L427" t="b">
        <f>AND(TableRelationships[[#This Row],[Source Type]]="BIM",TableRelationships[[#This Row],[Target Type]]="BIM")</f>
        <v>0</v>
      </c>
      <c r="M427">
        <f t="shared" si="18"/>
        <v>2</v>
      </c>
      <c r="O427">
        <f t="shared" si="19"/>
        <v>1</v>
      </c>
      <c r="P427" t="str">
        <f>IF(TableRelationships[[#This Row],[Rank Pedro]]="Low","linkCategory1",IF(TableRelationships[[#This Row],[Rank Pedro]]="Medium","linkCategory2",IF(TableRelationships[[#This Row],[Rank Pedro]]="High","linkCategory3","")))</f>
        <v/>
      </c>
      <c r="Q427" t="str">
        <f>IF(TableRelationships[[#This Row],[Rank Pedro]]="Low","Pink",IF(TableRelationships[[#This Row],[Rank Pedro]]="Medium","Purple",IF(TableRelationships[[#This Row],[Rank Pedro]]="High","Brown","")))</f>
        <v/>
      </c>
      <c r="R427" s="4">
        <f>MAX(INDEX(Standards!$F$2:$F$296,MATCH(B427,Standards!$B$2:$B$296,0)),INDEX(Standards!$F$2:$F$296,MATCH(C427,Standards!$B$2:$B$296,0)))</f>
        <v>41821</v>
      </c>
      <c r="S427">
        <f t="shared" si="20"/>
        <v>1</v>
      </c>
    </row>
    <row r="428" spans="1:19" x14ac:dyDescent="0.5">
      <c r="A428">
        <v>490</v>
      </c>
      <c r="B428" t="s">
        <v>447</v>
      </c>
      <c r="C428" t="s">
        <v>68</v>
      </c>
      <c r="D428">
        <f>INDEX(Standards!$A$2:$A$296,MATCH(B428,Standards!$B$2:$B$296,0))</f>
        <v>89</v>
      </c>
      <c r="E428">
        <f>INDEX(Standards!$A$2:$A$296,MATCH(C428,Standards!$B$2:$B$296,0))</f>
        <v>7</v>
      </c>
      <c r="F428" t="str">
        <f>INDEX(Standards!$N$2:$N$296,MATCH(B428,Standards!$B$2:$B$296,0))</f>
        <v>#70AD47</v>
      </c>
      <c r="G428" t="str">
        <f>INDEX(Standards!$N$2:$N$296,MATCH(C428,Standards!$B$2:$B$296,0))</f>
        <v>#70AD47</v>
      </c>
      <c r="H428" t="s">
        <v>521</v>
      </c>
      <c r="I428" t="s">
        <v>525</v>
      </c>
      <c r="J428" t="str">
        <f>INDEX(Standards!$H$2:$H$296,MATCH(B428,Standards!$B$2:$B$296,0))</f>
        <v>BIM</v>
      </c>
      <c r="K428" t="str">
        <f>INDEX(Standards!$H$2:$H$296,MATCH(C428,Standards!$B$2:$B$296,0))</f>
        <v>BIM</v>
      </c>
      <c r="L428" t="b">
        <f>AND(TableRelationships[[#This Row],[Source Type]]="BIM",TableRelationships[[#This Row],[Target Type]]="BIM")</f>
        <v>1</v>
      </c>
      <c r="M428">
        <f t="shared" si="18"/>
        <v>1</v>
      </c>
      <c r="N428" t="s">
        <v>523</v>
      </c>
      <c r="O428">
        <f t="shared" si="19"/>
        <v>10</v>
      </c>
      <c r="P428" t="str">
        <f>IF(TableRelationships[[#This Row],[Rank Pedro]]="Low","linkCategory1",IF(TableRelationships[[#This Row],[Rank Pedro]]="Medium","linkCategory2",IF(TableRelationships[[#This Row],[Rank Pedro]]="High","linkCategory3","")))</f>
        <v>linkCategory3</v>
      </c>
      <c r="Q428" t="str">
        <f>IF(TableRelationships[[#This Row],[Rank Pedro]]="Low","Pink",IF(TableRelationships[[#This Row],[Rank Pedro]]="Medium","Purple",IF(TableRelationships[[#This Row],[Rank Pedro]]="High","Brown","")))</f>
        <v>Brown</v>
      </c>
      <c r="R428" s="4">
        <f>MAX(INDEX(Standards!$F$2:$F$296,MATCH(B428,Standards!$B$2:$B$296,0)),INDEX(Standards!$F$2:$F$296,MATCH(C428,Standards!$B$2:$B$296,0)))</f>
        <v>44846</v>
      </c>
      <c r="S428" t="str">
        <f t="shared" si="20"/>
        <v>#2f89d1</v>
      </c>
    </row>
    <row r="429" spans="1:19" x14ac:dyDescent="0.5">
      <c r="A429">
        <v>419</v>
      </c>
      <c r="B429" t="s">
        <v>352</v>
      </c>
      <c r="C429" t="s">
        <v>238</v>
      </c>
      <c r="D429">
        <f>INDEX(Standards!$A$2:$A$296,MATCH(B429,Standards!$B$2:$B$296,0))</f>
        <v>145</v>
      </c>
      <c r="E429">
        <f>INDEX(Standards!$A$2:$A$296,MATCH(C429,Standards!$B$2:$B$296,0))</f>
        <v>92</v>
      </c>
      <c r="F429" t="str">
        <f>INDEX(Standards!$N$2:$N$296,MATCH(B429,Standards!$B$2:$B$296,0))</f>
        <v>#7030A0</v>
      </c>
      <c r="G429" t="str">
        <f>INDEX(Standards!$N$2:$N$296,MATCH(C429,Standards!$B$2:$B$296,0))</f>
        <v>#F2F2F2</v>
      </c>
      <c r="H429" t="s">
        <v>521</v>
      </c>
      <c r="I429" t="s">
        <v>237</v>
      </c>
      <c r="J429" t="str">
        <f>INDEX(Standards!$H$2:$H$296,MATCH(B429,Standards!$B$2:$B$296,0))</f>
        <v>ICT</v>
      </c>
      <c r="K429" t="str">
        <f>INDEX(Standards!$H$2:$H$296,MATCH(C429,Standards!$B$2:$B$296,0))</f>
        <v>Anchor</v>
      </c>
      <c r="L429" t="b">
        <f>AND(TableRelationships[[#This Row],[Source Type]]="BIM",TableRelationships[[#This Row],[Target Type]]="BIM")</f>
        <v>0</v>
      </c>
      <c r="M429">
        <f t="shared" si="18"/>
        <v>2</v>
      </c>
      <c r="O429">
        <f t="shared" si="19"/>
        <v>1</v>
      </c>
      <c r="P429" t="str">
        <f>IF(TableRelationships[[#This Row],[Rank Pedro]]="Low","linkCategory1",IF(TableRelationships[[#This Row],[Rank Pedro]]="Medium","linkCategory2",IF(TableRelationships[[#This Row],[Rank Pedro]]="High","linkCategory3","")))</f>
        <v/>
      </c>
      <c r="Q429" t="str">
        <f>IF(TableRelationships[[#This Row],[Rank Pedro]]="Low","Pink",IF(TableRelationships[[#This Row],[Rank Pedro]]="Medium","Purple",IF(TableRelationships[[#This Row],[Rank Pedro]]="High","Brown","")))</f>
        <v/>
      </c>
      <c r="R429" s="4">
        <f>MAX(INDEX(Standards!$F$2:$F$296,MATCH(B429,Standards!$B$2:$B$296,0)),INDEX(Standards!$F$2:$F$296,MATCH(C429,Standards!$B$2:$B$296,0)))</f>
        <v>31079</v>
      </c>
      <c r="S429">
        <f t="shared" si="20"/>
        <v>1</v>
      </c>
    </row>
    <row r="430" spans="1:19" x14ac:dyDescent="0.5">
      <c r="A430">
        <v>491</v>
      </c>
      <c r="B430" t="s">
        <v>447</v>
      </c>
      <c r="C430" t="s">
        <v>144</v>
      </c>
      <c r="D430">
        <f>INDEX(Standards!$A$2:$A$296,MATCH(B430,Standards!$B$2:$B$296,0))</f>
        <v>89</v>
      </c>
      <c r="E430">
        <f>INDEX(Standards!$A$2:$A$296,MATCH(C430,Standards!$B$2:$B$296,0))</f>
        <v>8</v>
      </c>
      <c r="F430" t="str">
        <f>INDEX(Standards!$N$2:$N$296,MATCH(B430,Standards!$B$2:$B$296,0))</f>
        <v>#70AD47</v>
      </c>
      <c r="G430" t="str">
        <f>INDEX(Standards!$N$2:$N$296,MATCH(C430,Standards!$B$2:$B$296,0))</f>
        <v>#70AD47</v>
      </c>
      <c r="H430" t="s">
        <v>521</v>
      </c>
      <c r="I430" t="s">
        <v>525</v>
      </c>
      <c r="J430" t="str">
        <f>INDEX(Standards!$H$2:$H$296,MATCH(B430,Standards!$B$2:$B$296,0))</f>
        <v>BIM</v>
      </c>
      <c r="K430" t="str">
        <f>INDEX(Standards!$H$2:$H$296,MATCH(C430,Standards!$B$2:$B$296,0))</f>
        <v>BIM</v>
      </c>
      <c r="L430" t="b">
        <f>AND(TableRelationships[[#This Row],[Source Type]]="BIM",TableRelationships[[#This Row],[Target Type]]="BIM")</f>
        <v>1</v>
      </c>
      <c r="M430">
        <f t="shared" si="18"/>
        <v>1</v>
      </c>
      <c r="N430" t="s">
        <v>523</v>
      </c>
      <c r="O430">
        <f t="shared" si="19"/>
        <v>10</v>
      </c>
      <c r="P430" t="str">
        <f>IF(TableRelationships[[#This Row],[Rank Pedro]]="Low","linkCategory1",IF(TableRelationships[[#This Row],[Rank Pedro]]="Medium","linkCategory2",IF(TableRelationships[[#This Row],[Rank Pedro]]="High","linkCategory3","")))</f>
        <v>linkCategory3</v>
      </c>
      <c r="Q430" t="str">
        <f>IF(TableRelationships[[#This Row],[Rank Pedro]]="Low","Pink",IF(TableRelationships[[#This Row],[Rank Pedro]]="Medium","Purple",IF(TableRelationships[[#This Row],[Rank Pedro]]="High","Brown","")))</f>
        <v>Brown</v>
      </c>
      <c r="R430" s="4">
        <f>MAX(INDEX(Standards!$F$2:$F$296,MATCH(B430,Standards!$B$2:$B$296,0)),INDEX(Standards!$F$2:$F$296,MATCH(C430,Standards!$B$2:$B$296,0)))</f>
        <v>44846</v>
      </c>
      <c r="S430" t="str">
        <f t="shared" si="20"/>
        <v>#2f89d1</v>
      </c>
    </row>
    <row r="431" spans="1:19" x14ac:dyDescent="0.5">
      <c r="A431">
        <v>420</v>
      </c>
      <c r="B431" t="s">
        <v>396</v>
      </c>
      <c r="C431" t="s">
        <v>238</v>
      </c>
      <c r="D431">
        <f>INDEX(Standards!$A$2:$A$296,MATCH(B431,Standards!$B$2:$B$296,0))</f>
        <v>173</v>
      </c>
      <c r="E431">
        <f>INDEX(Standards!$A$2:$A$296,MATCH(C431,Standards!$B$2:$B$296,0))</f>
        <v>92</v>
      </c>
      <c r="F431" t="str">
        <f>INDEX(Standards!$N$2:$N$296,MATCH(B431,Standards!$B$2:$B$296,0))</f>
        <v>#7030A0</v>
      </c>
      <c r="G431" t="str">
        <f>INDEX(Standards!$N$2:$N$296,MATCH(C431,Standards!$B$2:$B$296,0))</f>
        <v>#F2F2F2</v>
      </c>
      <c r="H431" t="s">
        <v>521</v>
      </c>
      <c r="I431" t="s">
        <v>237</v>
      </c>
      <c r="J431" t="str">
        <f>INDEX(Standards!$H$2:$H$296,MATCH(B431,Standards!$B$2:$B$296,0))</f>
        <v>ICT</v>
      </c>
      <c r="K431" t="str">
        <f>INDEX(Standards!$H$2:$H$296,MATCH(C431,Standards!$B$2:$B$296,0))</f>
        <v>Anchor</v>
      </c>
      <c r="L431" t="b">
        <f>AND(TableRelationships[[#This Row],[Source Type]]="BIM",TableRelationships[[#This Row],[Target Type]]="BIM")</f>
        <v>0</v>
      </c>
      <c r="M431">
        <f t="shared" si="18"/>
        <v>2</v>
      </c>
      <c r="O431">
        <f t="shared" si="19"/>
        <v>1</v>
      </c>
      <c r="P431" t="str">
        <f>IF(TableRelationships[[#This Row],[Rank Pedro]]="Low","linkCategory1",IF(TableRelationships[[#This Row],[Rank Pedro]]="Medium","linkCategory2",IF(TableRelationships[[#This Row],[Rank Pedro]]="High","linkCategory3","")))</f>
        <v/>
      </c>
      <c r="Q431" t="str">
        <f>IF(TableRelationships[[#This Row],[Rank Pedro]]="Low","Pink",IF(TableRelationships[[#This Row],[Rank Pedro]]="Medium","Purple",IF(TableRelationships[[#This Row],[Rank Pedro]]="High","Brown","")))</f>
        <v/>
      </c>
      <c r="R431" s="4">
        <f>MAX(INDEX(Standards!$F$2:$F$296,MATCH(B431,Standards!$B$2:$B$296,0)),INDEX(Standards!$F$2:$F$296,MATCH(C431,Standards!$B$2:$B$296,0)))</f>
        <v>39052</v>
      </c>
      <c r="S431">
        <f t="shared" si="20"/>
        <v>1</v>
      </c>
    </row>
    <row r="432" spans="1:19" x14ac:dyDescent="0.5">
      <c r="A432">
        <v>492</v>
      </c>
      <c r="B432" t="s">
        <v>447</v>
      </c>
      <c r="C432" t="s">
        <v>210</v>
      </c>
      <c r="D432">
        <f>INDEX(Standards!$A$2:$A$296,MATCH(B432,Standards!$B$2:$B$296,0))</f>
        <v>89</v>
      </c>
      <c r="E432">
        <f>INDEX(Standards!$A$2:$A$296,MATCH(C432,Standards!$B$2:$B$296,0))</f>
        <v>9</v>
      </c>
      <c r="F432" t="str">
        <f>INDEX(Standards!$N$2:$N$296,MATCH(B432,Standards!$B$2:$B$296,0))</f>
        <v>#70AD47</v>
      </c>
      <c r="G432" t="str">
        <f>INDEX(Standards!$N$2:$N$296,MATCH(C432,Standards!$B$2:$B$296,0))</f>
        <v>#70AD47</v>
      </c>
      <c r="H432" t="s">
        <v>521</v>
      </c>
      <c r="I432" t="s">
        <v>525</v>
      </c>
      <c r="J432" t="str">
        <f>INDEX(Standards!$H$2:$H$296,MATCH(B432,Standards!$B$2:$B$296,0))</f>
        <v>BIM</v>
      </c>
      <c r="K432" t="str">
        <f>INDEX(Standards!$H$2:$H$296,MATCH(C432,Standards!$B$2:$B$296,0))</f>
        <v>BIM</v>
      </c>
      <c r="L432" t="b">
        <f>AND(TableRelationships[[#This Row],[Source Type]]="BIM",TableRelationships[[#This Row],[Target Type]]="BIM")</f>
        <v>1</v>
      </c>
      <c r="M432">
        <f t="shared" si="18"/>
        <v>1</v>
      </c>
      <c r="N432" t="s">
        <v>523</v>
      </c>
      <c r="O432">
        <f t="shared" si="19"/>
        <v>10</v>
      </c>
      <c r="P432" t="str">
        <f>IF(TableRelationships[[#This Row],[Rank Pedro]]="Low","linkCategory1",IF(TableRelationships[[#This Row],[Rank Pedro]]="Medium","linkCategory2",IF(TableRelationships[[#This Row],[Rank Pedro]]="High","linkCategory3","")))</f>
        <v>linkCategory3</v>
      </c>
      <c r="Q432" t="str">
        <f>IF(TableRelationships[[#This Row],[Rank Pedro]]="Low","Pink",IF(TableRelationships[[#This Row],[Rank Pedro]]="Medium","Purple",IF(TableRelationships[[#This Row],[Rank Pedro]]="High","Brown","")))</f>
        <v>Brown</v>
      </c>
      <c r="R432" s="4">
        <f>MAX(INDEX(Standards!$F$2:$F$296,MATCH(B432,Standards!$B$2:$B$296,0)),INDEX(Standards!$F$2:$F$296,MATCH(C432,Standards!$B$2:$B$296,0)))</f>
        <v>44846</v>
      </c>
      <c r="S432" t="str">
        <f t="shared" si="20"/>
        <v>#2f89d1</v>
      </c>
    </row>
    <row r="433" spans="1:19" x14ac:dyDescent="0.5">
      <c r="A433">
        <v>421</v>
      </c>
      <c r="B433" t="s">
        <v>354</v>
      </c>
      <c r="C433" t="s">
        <v>238</v>
      </c>
      <c r="D433">
        <f>INDEX(Standards!$A$2:$A$296,MATCH(B433,Standards!$B$2:$B$296,0))</f>
        <v>147</v>
      </c>
      <c r="E433">
        <f>INDEX(Standards!$A$2:$A$296,MATCH(C433,Standards!$B$2:$B$296,0))</f>
        <v>92</v>
      </c>
      <c r="F433" t="str">
        <f>INDEX(Standards!$N$2:$N$296,MATCH(B433,Standards!$B$2:$B$296,0))</f>
        <v>#7030A0</v>
      </c>
      <c r="G433" t="str">
        <f>INDEX(Standards!$N$2:$N$296,MATCH(C433,Standards!$B$2:$B$296,0))</f>
        <v>#F2F2F2</v>
      </c>
      <c r="H433" t="s">
        <v>521</v>
      </c>
      <c r="I433" t="s">
        <v>237</v>
      </c>
      <c r="J433" t="str">
        <f>INDEX(Standards!$H$2:$H$296,MATCH(B433,Standards!$B$2:$B$296,0))</f>
        <v>ICT</v>
      </c>
      <c r="K433" t="str">
        <f>INDEX(Standards!$H$2:$H$296,MATCH(C433,Standards!$B$2:$B$296,0))</f>
        <v>Anchor</v>
      </c>
      <c r="L433" t="b">
        <f>AND(TableRelationships[[#This Row],[Source Type]]="BIM",TableRelationships[[#This Row],[Target Type]]="BIM")</f>
        <v>0</v>
      </c>
      <c r="M433">
        <f t="shared" si="18"/>
        <v>2</v>
      </c>
      <c r="O433">
        <f t="shared" si="19"/>
        <v>1</v>
      </c>
      <c r="P433" t="str">
        <f>IF(TableRelationships[[#This Row],[Rank Pedro]]="Low","linkCategory1",IF(TableRelationships[[#This Row],[Rank Pedro]]="Medium","linkCategory2",IF(TableRelationships[[#This Row],[Rank Pedro]]="High","linkCategory3","")))</f>
        <v/>
      </c>
      <c r="Q433" t="str">
        <f>IF(TableRelationships[[#This Row],[Rank Pedro]]="Low","Pink",IF(TableRelationships[[#This Row],[Rank Pedro]]="Medium","Purple",IF(TableRelationships[[#This Row],[Rank Pedro]]="High","Brown","")))</f>
        <v/>
      </c>
      <c r="R433" s="4">
        <f>MAX(INDEX(Standards!$F$2:$F$296,MATCH(B433,Standards!$B$2:$B$296,0)),INDEX(Standards!$F$2:$F$296,MATCH(C433,Standards!$B$2:$B$296,0)))</f>
        <v>39753</v>
      </c>
      <c r="S433">
        <f t="shared" si="20"/>
        <v>1</v>
      </c>
    </row>
    <row r="434" spans="1:19" x14ac:dyDescent="0.5">
      <c r="A434">
        <v>493</v>
      </c>
      <c r="B434" t="s">
        <v>447</v>
      </c>
      <c r="C434" t="s">
        <v>214</v>
      </c>
      <c r="D434">
        <f>INDEX(Standards!$A$2:$A$296,MATCH(B434,Standards!$B$2:$B$296,0))</f>
        <v>89</v>
      </c>
      <c r="E434">
        <f>INDEX(Standards!$A$2:$A$296,MATCH(C434,Standards!$B$2:$B$296,0))</f>
        <v>10</v>
      </c>
      <c r="F434" t="str">
        <f>INDEX(Standards!$N$2:$N$296,MATCH(B434,Standards!$B$2:$B$296,0))</f>
        <v>#70AD47</v>
      </c>
      <c r="G434" t="str">
        <f>INDEX(Standards!$N$2:$N$296,MATCH(C434,Standards!$B$2:$B$296,0))</f>
        <v>#70AD47</v>
      </c>
      <c r="H434" t="s">
        <v>521</v>
      </c>
      <c r="I434" t="s">
        <v>525</v>
      </c>
      <c r="J434" t="str">
        <f>INDEX(Standards!$H$2:$H$296,MATCH(B434,Standards!$B$2:$B$296,0))</f>
        <v>BIM</v>
      </c>
      <c r="K434" t="str">
        <f>INDEX(Standards!$H$2:$H$296,MATCH(C434,Standards!$B$2:$B$296,0))</f>
        <v>BIM</v>
      </c>
      <c r="L434" t="b">
        <f>AND(TableRelationships[[#This Row],[Source Type]]="BIM",TableRelationships[[#This Row],[Target Type]]="BIM")</f>
        <v>1</v>
      </c>
      <c r="M434">
        <f t="shared" si="18"/>
        <v>1</v>
      </c>
      <c r="N434" t="s">
        <v>526</v>
      </c>
      <c r="O434">
        <f t="shared" si="19"/>
        <v>2</v>
      </c>
      <c r="P434" t="str">
        <f>IF(TableRelationships[[#This Row],[Rank Pedro]]="Low","linkCategory1",IF(TableRelationships[[#This Row],[Rank Pedro]]="Medium","linkCategory2",IF(TableRelationships[[#This Row],[Rank Pedro]]="High","linkCategory3","")))</f>
        <v>linkCategory1</v>
      </c>
      <c r="Q434" t="str">
        <f>IF(TableRelationships[[#This Row],[Rank Pedro]]="Low","Pink",IF(TableRelationships[[#This Row],[Rank Pedro]]="Medium","Purple",IF(TableRelationships[[#This Row],[Rank Pedro]]="High","Brown","")))</f>
        <v>Pink</v>
      </c>
      <c r="R434" s="4">
        <f>MAX(INDEX(Standards!$F$2:$F$296,MATCH(B434,Standards!$B$2:$B$296,0)),INDEX(Standards!$F$2:$F$296,MATCH(C434,Standards!$B$2:$B$296,0)))</f>
        <v>44846</v>
      </c>
      <c r="S434" t="str">
        <f t="shared" si="20"/>
        <v>#2f89d1</v>
      </c>
    </row>
    <row r="435" spans="1:19" x14ac:dyDescent="0.5">
      <c r="A435">
        <v>422</v>
      </c>
      <c r="B435" t="s">
        <v>356</v>
      </c>
      <c r="C435" t="s">
        <v>238</v>
      </c>
      <c r="D435">
        <f>INDEX(Standards!$A$2:$A$296,MATCH(B435,Standards!$B$2:$B$296,0))</f>
        <v>148</v>
      </c>
      <c r="E435">
        <f>INDEX(Standards!$A$2:$A$296,MATCH(C435,Standards!$B$2:$B$296,0))</f>
        <v>92</v>
      </c>
      <c r="F435" t="str">
        <f>INDEX(Standards!$N$2:$N$296,MATCH(B435,Standards!$B$2:$B$296,0))</f>
        <v>#7030A0</v>
      </c>
      <c r="G435" t="str">
        <f>INDEX(Standards!$N$2:$N$296,MATCH(C435,Standards!$B$2:$B$296,0))</f>
        <v>#F2F2F2</v>
      </c>
      <c r="H435" t="s">
        <v>521</v>
      </c>
      <c r="I435" t="s">
        <v>237</v>
      </c>
      <c r="J435" t="str">
        <f>INDEX(Standards!$H$2:$H$296,MATCH(B435,Standards!$B$2:$B$296,0))</f>
        <v>ICT</v>
      </c>
      <c r="K435" t="str">
        <f>INDEX(Standards!$H$2:$H$296,MATCH(C435,Standards!$B$2:$B$296,0))</f>
        <v>Anchor</v>
      </c>
      <c r="L435" t="b">
        <f>AND(TableRelationships[[#This Row],[Source Type]]="BIM",TableRelationships[[#This Row],[Target Type]]="BIM")</f>
        <v>0</v>
      </c>
      <c r="M435">
        <f t="shared" si="18"/>
        <v>2</v>
      </c>
      <c r="O435">
        <f t="shared" si="19"/>
        <v>1</v>
      </c>
      <c r="P435" t="str">
        <f>IF(TableRelationships[[#This Row],[Rank Pedro]]="Low","linkCategory1",IF(TableRelationships[[#This Row],[Rank Pedro]]="Medium","linkCategory2",IF(TableRelationships[[#This Row],[Rank Pedro]]="High","linkCategory3","")))</f>
        <v/>
      </c>
      <c r="Q435" t="str">
        <f>IF(TableRelationships[[#This Row],[Rank Pedro]]="Low","Pink",IF(TableRelationships[[#This Row],[Rank Pedro]]="Medium","Purple",IF(TableRelationships[[#This Row],[Rank Pedro]]="High","Brown","")))</f>
        <v/>
      </c>
      <c r="R435" s="4">
        <f>MAX(INDEX(Standards!$F$2:$F$296,MATCH(B435,Standards!$B$2:$B$296,0)),INDEX(Standards!$F$2:$F$296,MATCH(C435,Standards!$B$2:$B$296,0)))</f>
        <v>39630</v>
      </c>
      <c r="S435">
        <f t="shared" si="20"/>
        <v>1</v>
      </c>
    </row>
    <row r="436" spans="1:19" x14ac:dyDescent="0.5">
      <c r="A436">
        <v>494</v>
      </c>
      <c r="B436" t="s">
        <v>447</v>
      </c>
      <c r="C436" t="s">
        <v>424</v>
      </c>
      <c r="D436">
        <f>INDEX(Standards!$A$2:$A$296,MATCH(B436,Standards!$B$2:$B$296,0))</f>
        <v>89</v>
      </c>
      <c r="E436">
        <f>INDEX(Standards!$A$2:$A$296,MATCH(C436,Standards!$B$2:$B$296,0))</f>
        <v>186</v>
      </c>
      <c r="F436" t="str">
        <f>INDEX(Standards!$N$2:$N$296,MATCH(B436,Standards!$B$2:$B$296,0))</f>
        <v>#70AD47</v>
      </c>
      <c r="G436" t="str">
        <f>INDEX(Standards!$N$2:$N$296,MATCH(C436,Standards!$B$2:$B$296,0))</f>
        <v>#7030A0</v>
      </c>
      <c r="H436" t="s">
        <v>521</v>
      </c>
      <c r="I436" t="s">
        <v>525</v>
      </c>
      <c r="J436" t="str">
        <f>INDEX(Standards!$H$2:$H$296,MATCH(B436,Standards!$B$2:$B$296,0))</f>
        <v>BIM</v>
      </c>
      <c r="K436" t="str">
        <f>INDEX(Standards!$H$2:$H$296,MATCH(C436,Standards!$B$2:$B$296,0))</f>
        <v>ICT</v>
      </c>
      <c r="L436" t="b">
        <f>AND(TableRelationships[[#This Row],[Source Type]]="BIM",TableRelationships[[#This Row],[Target Type]]="BIM")</f>
        <v>0</v>
      </c>
      <c r="M436">
        <f t="shared" si="18"/>
        <v>1</v>
      </c>
      <c r="N436" t="s">
        <v>526</v>
      </c>
      <c r="O436">
        <f t="shared" si="19"/>
        <v>2</v>
      </c>
      <c r="P436" t="str">
        <f>IF(TableRelationships[[#This Row],[Rank Pedro]]="Low","linkCategory1",IF(TableRelationships[[#This Row],[Rank Pedro]]="Medium","linkCategory2",IF(TableRelationships[[#This Row],[Rank Pedro]]="High","linkCategory3","")))</f>
        <v>linkCategory1</v>
      </c>
      <c r="Q436" t="str">
        <f>IF(TableRelationships[[#This Row],[Rank Pedro]]="Low","Pink",IF(TableRelationships[[#This Row],[Rank Pedro]]="Medium","Purple",IF(TableRelationships[[#This Row],[Rank Pedro]]="High","Brown","")))</f>
        <v>Pink</v>
      </c>
      <c r="R436" s="4">
        <f>MAX(INDEX(Standards!$F$2:$F$296,MATCH(B436,Standards!$B$2:$B$296,0)),INDEX(Standards!$F$2:$F$296,MATCH(C436,Standards!$B$2:$B$296,0)))</f>
        <v>44846</v>
      </c>
      <c r="S436" t="str">
        <f t="shared" si="20"/>
        <v>#2f89d1</v>
      </c>
    </row>
    <row r="437" spans="1:19" x14ac:dyDescent="0.5">
      <c r="A437">
        <v>423</v>
      </c>
      <c r="B437" t="s">
        <v>358</v>
      </c>
      <c r="C437" t="s">
        <v>238</v>
      </c>
      <c r="D437">
        <f>INDEX(Standards!$A$2:$A$296,MATCH(B437,Standards!$B$2:$B$296,0))</f>
        <v>151</v>
      </c>
      <c r="E437">
        <f>INDEX(Standards!$A$2:$A$296,MATCH(C437,Standards!$B$2:$B$296,0))</f>
        <v>92</v>
      </c>
      <c r="F437" t="str">
        <f>INDEX(Standards!$N$2:$N$296,MATCH(B437,Standards!$B$2:$B$296,0))</f>
        <v>#7030A0</v>
      </c>
      <c r="G437" t="str">
        <f>INDEX(Standards!$N$2:$N$296,MATCH(C437,Standards!$B$2:$B$296,0))</f>
        <v>#F2F2F2</v>
      </c>
      <c r="H437" t="s">
        <v>521</v>
      </c>
      <c r="I437" t="s">
        <v>237</v>
      </c>
      <c r="J437" t="str">
        <f>INDEX(Standards!$H$2:$H$296,MATCH(B437,Standards!$B$2:$B$296,0))</f>
        <v>ICT</v>
      </c>
      <c r="K437" t="str">
        <f>INDEX(Standards!$H$2:$H$296,MATCH(C437,Standards!$B$2:$B$296,0))</f>
        <v>Anchor</v>
      </c>
      <c r="L437" t="b">
        <f>AND(TableRelationships[[#This Row],[Source Type]]="BIM",TableRelationships[[#This Row],[Target Type]]="BIM")</f>
        <v>0</v>
      </c>
      <c r="M437">
        <f t="shared" si="18"/>
        <v>2</v>
      </c>
      <c r="O437">
        <f t="shared" si="19"/>
        <v>1</v>
      </c>
      <c r="P437" t="str">
        <f>IF(TableRelationships[[#This Row],[Rank Pedro]]="Low","linkCategory1",IF(TableRelationships[[#This Row],[Rank Pedro]]="Medium","linkCategory2",IF(TableRelationships[[#This Row],[Rank Pedro]]="High","linkCategory3","")))</f>
        <v/>
      </c>
      <c r="Q437" t="str">
        <f>IF(TableRelationships[[#This Row],[Rank Pedro]]="Low","Pink",IF(TableRelationships[[#This Row],[Rank Pedro]]="Medium","Purple",IF(TableRelationships[[#This Row],[Rank Pedro]]="High","Brown","")))</f>
        <v/>
      </c>
      <c r="R437" s="4">
        <f>MAX(INDEX(Standards!$F$2:$F$296,MATCH(B437,Standards!$B$2:$B$296,0)),INDEX(Standards!$F$2:$F$296,MATCH(C437,Standards!$B$2:$B$296,0)))</f>
        <v>31929</v>
      </c>
      <c r="S437">
        <f t="shared" si="20"/>
        <v>1</v>
      </c>
    </row>
    <row r="438" spans="1:19" x14ac:dyDescent="0.5">
      <c r="A438">
        <v>504</v>
      </c>
      <c r="B438" t="s">
        <v>447</v>
      </c>
      <c r="C438" t="s">
        <v>245</v>
      </c>
      <c r="D438">
        <f>INDEX(Standards!$A$2:$A$296,MATCH(B438,Standards!$B$2:$B$296,0))</f>
        <v>89</v>
      </c>
      <c r="E438">
        <f>INDEX(Standards!$A$2:$A$296,MATCH(C438,Standards!$B$2:$B$296,0))</f>
        <v>3</v>
      </c>
      <c r="F438" t="str">
        <f>INDEX(Standards!$N$2:$N$296,MATCH(B438,Standards!$B$2:$B$296,0))</f>
        <v>#70AD47</v>
      </c>
      <c r="G438" t="str">
        <f>INDEX(Standards!$N$2:$N$296,MATCH(C438,Standards!$B$2:$B$296,0))</f>
        <v>#70AD47</v>
      </c>
      <c r="H438" t="s">
        <v>521</v>
      </c>
      <c r="I438" t="s">
        <v>525</v>
      </c>
      <c r="J438" t="str">
        <f>INDEX(Standards!$H$2:$H$296,MATCH(B438,Standards!$B$2:$B$296,0))</f>
        <v>BIM</v>
      </c>
      <c r="K438" t="str">
        <f>INDEX(Standards!$H$2:$H$296,MATCH(C438,Standards!$B$2:$B$296,0))</f>
        <v>BIM</v>
      </c>
      <c r="L438" t="b">
        <f>AND(TableRelationships[[#This Row],[Source Type]]="BIM",TableRelationships[[#This Row],[Target Type]]="BIM")</f>
        <v>1</v>
      </c>
      <c r="M438">
        <f t="shared" si="18"/>
        <v>1</v>
      </c>
      <c r="N438" t="s">
        <v>523</v>
      </c>
      <c r="O438">
        <f t="shared" si="19"/>
        <v>10</v>
      </c>
      <c r="P438" t="str">
        <f>IF(TableRelationships[[#This Row],[Rank Pedro]]="Low","linkCategory1",IF(TableRelationships[[#This Row],[Rank Pedro]]="Medium","linkCategory2",IF(TableRelationships[[#This Row],[Rank Pedro]]="High","linkCategory3","")))</f>
        <v>linkCategory3</v>
      </c>
      <c r="Q438" t="str">
        <f>IF(TableRelationships[[#This Row],[Rank Pedro]]="Low","Pink",IF(TableRelationships[[#This Row],[Rank Pedro]]="Medium","Purple",IF(TableRelationships[[#This Row],[Rank Pedro]]="High","Brown","")))</f>
        <v>Brown</v>
      </c>
      <c r="R438" s="4">
        <f>MAX(INDEX(Standards!$F$2:$F$296,MATCH(B438,Standards!$B$2:$B$296,0)),INDEX(Standards!$F$2:$F$296,MATCH(C438,Standards!$B$2:$B$296,0)))</f>
        <v>44846</v>
      </c>
      <c r="S438" t="str">
        <f t="shared" si="20"/>
        <v>#2f89d1</v>
      </c>
    </row>
    <row r="439" spans="1:19" x14ac:dyDescent="0.5">
      <c r="A439">
        <v>425</v>
      </c>
      <c r="B439" t="s">
        <v>360</v>
      </c>
      <c r="C439" t="s">
        <v>238</v>
      </c>
      <c r="D439">
        <f>INDEX(Standards!$A$2:$A$296,MATCH(B439,Standards!$B$2:$B$296,0))</f>
        <v>152</v>
      </c>
      <c r="E439">
        <f>INDEX(Standards!$A$2:$A$296,MATCH(C439,Standards!$B$2:$B$296,0))</f>
        <v>92</v>
      </c>
      <c r="F439" t="str">
        <f>INDEX(Standards!$N$2:$N$296,MATCH(B439,Standards!$B$2:$B$296,0))</f>
        <v>#7030A0</v>
      </c>
      <c r="G439" t="str">
        <f>INDEX(Standards!$N$2:$N$296,MATCH(C439,Standards!$B$2:$B$296,0))</f>
        <v>#F2F2F2</v>
      </c>
      <c r="H439" t="s">
        <v>521</v>
      </c>
      <c r="I439" t="s">
        <v>237</v>
      </c>
      <c r="J439" t="str">
        <f>INDEX(Standards!$H$2:$H$296,MATCH(B439,Standards!$B$2:$B$296,0))</f>
        <v>ICT</v>
      </c>
      <c r="K439" t="str">
        <f>INDEX(Standards!$H$2:$H$296,MATCH(C439,Standards!$B$2:$B$296,0))</f>
        <v>Anchor</v>
      </c>
      <c r="L439" t="b">
        <f>AND(TableRelationships[[#This Row],[Source Type]]="BIM",TableRelationships[[#This Row],[Target Type]]="BIM")</f>
        <v>0</v>
      </c>
      <c r="M439">
        <f t="shared" si="18"/>
        <v>2</v>
      </c>
      <c r="O439">
        <f t="shared" si="19"/>
        <v>1</v>
      </c>
      <c r="P439" t="str">
        <f>IF(TableRelationships[[#This Row],[Rank Pedro]]="Low","linkCategory1",IF(TableRelationships[[#This Row],[Rank Pedro]]="Medium","linkCategory2",IF(TableRelationships[[#This Row],[Rank Pedro]]="High","linkCategory3","")))</f>
        <v/>
      </c>
      <c r="Q439" t="str">
        <f>IF(TableRelationships[[#This Row],[Rank Pedro]]="Low","Pink",IF(TableRelationships[[#This Row],[Rank Pedro]]="Medium","Purple",IF(TableRelationships[[#This Row],[Rank Pedro]]="High","Brown","")))</f>
        <v/>
      </c>
      <c r="R439" s="4">
        <f>MAX(INDEX(Standards!$F$2:$F$296,MATCH(B439,Standards!$B$2:$B$296,0)),INDEX(Standards!$F$2:$F$296,MATCH(C439,Standards!$B$2:$B$296,0)))</f>
        <v>41000</v>
      </c>
      <c r="S439">
        <f t="shared" si="20"/>
        <v>1</v>
      </c>
    </row>
    <row r="440" spans="1:19" x14ac:dyDescent="0.5">
      <c r="A440">
        <v>487</v>
      </c>
      <c r="B440" t="s">
        <v>447</v>
      </c>
      <c r="C440" t="s">
        <v>376</v>
      </c>
      <c r="D440">
        <f>INDEX(Standards!$A$2:$A$296,MATCH(B440,Standards!$B$2:$B$296,0))</f>
        <v>89</v>
      </c>
      <c r="E440">
        <f>INDEX(Standards!$A$2:$A$296,MATCH(C440,Standards!$B$2:$B$296,0))</f>
        <v>15</v>
      </c>
      <c r="F440" t="str">
        <f>INDEX(Standards!$N$2:$N$296,MATCH(B440,Standards!$B$2:$B$296,0))</f>
        <v>#70AD47</v>
      </c>
      <c r="G440" t="str">
        <f>INDEX(Standards!$N$2:$N$296,MATCH(C440,Standards!$B$2:$B$296,0))</f>
        <v>#70AD47</v>
      </c>
      <c r="H440" t="s">
        <v>521</v>
      </c>
      <c r="I440" t="s">
        <v>524</v>
      </c>
      <c r="J440" t="str">
        <f>INDEX(Standards!$H$2:$H$296,MATCH(B440,Standards!$B$2:$B$296,0))</f>
        <v>BIM</v>
      </c>
      <c r="K440" t="str">
        <f>INDEX(Standards!$H$2:$H$296,MATCH(C440,Standards!$B$2:$B$296,0))</f>
        <v>BIM</v>
      </c>
      <c r="L440" t="b">
        <f>AND(TableRelationships[[#This Row],[Source Type]]="BIM",TableRelationships[[#This Row],[Target Type]]="BIM")</f>
        <v>1</v>
      </c>
      <c r="M440">
        <f t="shared" si="18"/>
        <v>6</v>
      </c>
      <c r="N440" t="s">
        <v>523</v>
      </c>
      <c r="O440">
        <f t="shared" si="19"/>
        <v>10</v>
      </c>
      <c r="P440" t="str">
        <f>IF(TableRelationships[[#This Row],[Rank Pedro]]="Low","linkCategory1",IF(TableRelationships[[#This Row],[Rank Pedro]]="Medium","linkCategory2",IF(TableRelationships[[#This Row],[Rank Pedro]]="High","linkCategory3","")))</f>
        <v>linkCategory3</v>
      </c>
      <c r="Q440" t="str">
        <f>IF(TableRelationships[[#This Row],[Rank Pedro]]="Low","Pink",IF(TableRelationships[[#This Row],[Rank Pedro]]="Medium","Purple",IF(TableRelationships[[#This Row],[Rank Pedro]]="High","Brown","")))</f>
        <v>Brown</v>
      </c>
      <c r="R440" s="4">
        <f>MAX(INDEX(Standards!$F$2:$F$296,MATCH(B440,Standards!$B$2:$B$296,0)),INDEX(Standards!$F$2:$F$296,MATCH(C440,Standards!$B$2:$B$296,0)))</f>
        <v>44846</v>
      </c>
      <c r="S440" t="str">
        <f t="shared" si="20"/>
        <v>#d6bf2a</v>
      </c>
    </row>
    <row r="441" spans="1:19" x14ac:dyDescent="0.5">
      <c r="A441">
        <v>426</v>
      </c>
      <c r="B441" t="s">
        <v>362</v>
      </c>
      <c r="C441" t="s">
        <v>238</v>
      </c>
      <c r="D441">
        <f>INDEX(Standards!$A$2:$A$296,MATCH(B441,Standards!$B$2:$B$296,0))</f>
        <v>153</v>
      </c>
      <c r="E441">
        <f>INDEX(Standards!$A$2:$A$296,MATCH(C441,Standards!$B$2:$B$296,0))</f>
        <v>92</v>
      </c>
      <c r="F441" t="str">
        <f>INDEX(Standards!$N$2:$N$296,MATCH(B441,Standards!$B$2:$B$296,0))</f>
        <v>#7030A0</v>
      </c>
      <c r="G441" t="str">
        <f>INDEX(Standards!$N$2:$N$296,MATCH(C441,Standards!$B$2:$B$296,0))</f>
        <v>#F2F2F2</v>
      </c>
      <c r="H441" t="s">
        <v>521</v>
      </c>
      <c r="I441" t="s">
        <v>237</v>
      </c>
      <c r="J441" t="str">
        <f>INDEX(Standards!$H$2:$H$296,MATCH(B441,Standards!$B$2:$B$296,0))</f>
        <v>ICT</v>
      </c>
      <c r="K441" t="str">
        <f>INDEX(Standards!$H$2:$H$296,MATCH(C441,Standards!$B$2:$B$296,0))</f>
        <v>Anchor</v>
      </c>
      <c r="L441" t="b">
        <f>AND(TableRelationships[[#This Row],[Source Type]]="BIM",TableRelationships[[#This Row],[Target Type]]="BIM")</f>
        <v>0</v>
      </c>
      <c r="M441">
        <f t="shared" si="18"/>
        <v>2</v>
      </c>
      <c r="O441">
        <f t="shared" si="19"/>
        <v>1</v>
      </c>
      <c r="P441" t="str">
        <f>IF(TableRelationships[[#This Row],[Rank Pedro]]="Low","linkCategory1",IF(TableRelationships[[#This Row],[Rank Pedro]]="Medium","linkCategory2",IF(TableRelationships[[#This Row],[Rank Pedro]]="High","linkCategory3","")))</f>
        <v/>
      </c>
      <c r="Q441" t="str">
        <f>IF(TableRelationships[[#This Row],[Rank Pedro]]="Low","Pink",IF(TableRelationships[[#This Row],[Rank Pedro]]="Medium","Purple",IF(TableRelationships[[#This Row],[Rank Pedro]]="High","Brown","")))</f>
        <v/>
      </c>
      <c r="R441" s="4">
        <f>MAX(INDEX(Standards!$F$2:$F$296,MATCH(B441,Standards!$B$2:$B$296,0)),INDEX(Standards!$F$2:$F$296,MATCH(C441,Standards!$B$2:$B$296,0)))</f>
        <v>42705</v>
      </c>
      <c r="S441">
        <f t="shared" si="20"/>
        <v>1</v>
      </c>
    </row>
    <row r="442" spans="1:19" x14ac:dyDescent="0.5">
      <c r="A442">
        <v>496</v>
      </c>
      <c r="B442" t="s">
        <v>447</v>
      </c>
      <c r="C442" t="s">
        <v>388</v>
      </c>
      <c r="D442">
        <f>INDEX(Standards!$A$2:$A$296,MATCH(B442,Standards!$B$2:$B$296,0))</f>
        <v>89</v>
      </c>
      <c r="E442">
        <f>INDEX(Standards!$A$2:$A$296,MATCH(C442,Standards!$B$2:$B$296,0))</f>
        <v>63</v>
      </c>
      <c r="F442" t="str">
        <f>INDEX(Standards!$N$2:$N$296,MATCH(B442,Standards!$B$2:$B$296,0))</f>
        <v>#70AD47</v>
      </c>
      <c r="G442" t="str">
        <f>INDEX(Standards!$N$2:$N$296,MATCH(C442,Standards!$B$2:$B$296,0))</f>
        <v>#70AD47</v>
      </c>
      <c r="H442" t="s">
        <v>521</v>
      </c>
      <c r="I442" t="s">
        <v>525</v>
      </c>
      <c r="J442" t="str">
        <f>INDEX(Standards!$H$2:$H$296,MATCH(B442,Standards!$B$2:$B$296,0))</f>
        <v>BIM</v>
      </c>
      <c r="K442" t="str">
        <f>INDEX(Standards!$H$2:$H$296,MATCH(C442,Standards!$B$2:$B$296,0))</f>
        <v>BIM</v>
      </c>
      <c r="L442" t="b">
        <f>AND(TableRelationships[[#This Row],[Source Type]]="BIM",TableRelationships[[#This Row],[Target Type]]="BIM")</f>
        <v>1</v>
      </c>
      <c r="M442">
        <f t="shared" si="18"/>
        <v>1</v>
      </c>
      <c r="N442" t="s">
        <v>523</v>
      </c>
      <c r="O442">
        <f t="shared" si="19"/>
        <v>10</v>
      </c>
      <c r="P442" t="str">
        <f>IF(TableRelationships[[#This Row],[Rank Pedro]]="Low","linkCategory1",IF(TableRelationships[[#This Row],[Rank Pedro]]="Medium","linkCategory2",IF(TableRelationships[[#This Row],[Rank Pedro]]="High","linkCategory3","")))</f>
        <v>linkCategory3</v>
      </c>
      <c r="Q442" t="str">
        <f>IF(TableRelationships[[#This Row],[Rank Pedro]]="Low","Pink",IF(TableRelationships[[#This Row],[Rank Pedro]]="Medium","Purple",IF(TableRelationships[[#This Row],[Rank Pedro]]="High","Brown","")))</f>
        <v>Brown</v>
      </c>
      <c r="R442" s="4">
        <f>MAX(INDEX(Standards!$F$2:$F$296,MATCH(B442,Standards!$B$2:$B$296,0)),INDEX(Standards!$F$2:$F$296,MATCH(C442,Standards!$B$2:$B$296,0)))</f>
        <v>44846</v>
      </c>
      <c r="S442" t="str">
        <f t="shared" si="20"/>
        <v>#2f89d1</v>
      </c>
    </row>
    <row r="443" spans="1:19" x14ac:dyDescent="0.5">
      <c r="A443">
        <v>427</v>
      </c>
      <c r="B443" t="s">
        <v>364</v>
      </c>
      <c r="C443" t="s">
        <v>238</v>
      </c>
      <c r="D443">
        <f>INDEX(Standards!$A$2:$A$296,MATCH(B443,Standards!$B$2:$B$296,0))</f>
        <v>154</v>
      </c>
      <c r="E443">
        <f>INDEX(Standards!$A$2:$A$296,MATCH(C443,Standards!$B$2:$B$296,0))</f>
        <v>92</v>
      </c>
      <c r="F443" t="str">
        <f>INDEX(Standards!$N$2:$N$296,MATCH(B443,Standards!$B$2:$B$296,0))</f>
        <v>#7030A0</v>
      </c>
      <c r="G443" t="str">
        <f>INDEX(Standards!$N$2:$N$296,MATCH(C443,Standards!$B$2:$B$296,0))</f>
        <v>#F2F2F2</v>
      </c>
      <c r="H443" t="s">
        <v>521</v>
      </c>
      <c r="I443" t="s">
        <v>237</v>
      </c>
      <c r="J443" t="str">
        <f>INDEX(Standards!$H$2:$H$296,MATCH(B443,Standards!$B$2:$B$296,0))</f>
        <v>ICT</v>
      </c>
      <c r="K443" t="str">
        <f>INDEX(Standards!$H$2:$H$296,MATCH(C443,Standards!$B$2:$B$296,0))</f>
        <v>Anchor</v>
      </c>
      <c r="L443" t="b">
        <f>AND(TableRelationships[[#This Row],[Source Type]]="BIM",TableRelationships[[#This Row],[Target Type]]="BIM")</f>
        <v>0</v>
      </c>
      <c r="M443">
        <f t="shared" si="18"/>
        <v>2</v>
      </c>
      <c r="O443">
        <f t="shared" si="19"/>
        <v>1</v>
      </c>
      <c r="P443" t="str">
        <f>IF(TableRelationships[[#This Row],[Rank Pedro]]="Low","linkCategory1",IF(TableRelationships[[#This Row],[Rank Pedro]]="Medium","linkCategory2",IF(TableRelationships[[#This Row],[Rank Pedro]]="High","linkCategory3","")))</f>
        <v/>
      </c>
      <c r="Q443" t="str">
        <f>IF(TableRelationships[[#This Row],[Rank Pedro]]="Low","Pink",IF(TableRelationships[[#This Row],[Rank Pedro]]="Medium","Purple",IF(TableRelationships[[#This Row],[Rank Pedro]]="High","Brown","")))</f>
        <v/>
      </c>
      <c r="R443" s="4">
        <f>MAX(INDEX(Standards!$F$2:$F$296,MATCH(B443,Standards!$B$2:$B$296,0)),INDEX(Standards!$F$2:$F$296,MATCH(C443,Standards!$B$2:$B$296,0)))</f>
        <v>42705</v>
      </c>
      <c r="S443">
        <f t="shared" si="20"/>
        <v>1</v>
      </c>
    </row>
    <row r="444" spans="1:19" x14ac:dyDescent="0.5">
      <c r="A444">
        <v>497</v>
      </c>
      <c r="B444" t="s">
        <v>447</v>
      </c>
      <c r="C444" t="s">
        <v>404</v>
      </c>
      <c r="D444">
        <f>INDEX(Standards!$A$2:$A$296,MATCH(B444,Standards!$B$2:$B$296,0))</f>
        <v>89</v>
      </c>
      <c r="E444">
        <f>INDEX(Standards!$A$2:$A$296,MATCH(C444,Standards!$B$2:$B$296,0))</f>
        <v>64</v>
      </c>
      <c r="F444" t="str">
        <f>INDEX(Standards!$N$2:$N$296,MATCH(B444,Standards!$B$2:$B$296,0))</f>
        <v>#70AD47</v>
      </c>
      <c r="G444" t="str">
        <f>INDEX(Standards!$N$2:$N$296,MATCH(C444,Standards!$B$2:$B$296,0))</f>
        <v>#70AD47</v>
      </c>
      <c r="H444" t="s">
        <v>521</v>
      </c>
      <c r="I444" t="s">
        <v>525</v>
      </c>
      <c r="J444" t="str">
        <f>INDEX(Standards!$H$2:$H$296,MATCH(B444,Standards!$B$2:$B$296,0))</f>
        <v>BIM</v>
      </c>
      <c r="K444" t="str">
        <f>INDEX(Standards!$H$2:$H$296,MATCH(C444,Standards!$B$2:$B$296,0))</f>
        <v>BIM</v>
      </c>
      <c r="L444" t="b">
        <f>AND(TableRelationships[[#This Row],[Source Type]]="BIM",TableRelationships[[#This Row],[Target Type]]="BIM")</f>
        <v>1</v>
      </c>
      <c r="M444">
        <f t="shared" si="18"/>
        <v>1</v>
      </c>
      <c r="N444" t="s">
        <v>523</v>
      </c>
      <c r="O444">
        <f t="shared" si="19"/>
        <v>10</v>
      </c>
      <c r="P444" t="str">
        <f>IF(TableRelationships[[#This Row],[Rank Pedro]]="Low","linkCategory1",IF(TableRelationships[[#This Row],[Rank Pedro]]="Medium","linkCategory2",IF(TableRelationships[[#This Row],[Rank Pedro]]="High","linkCategory3","")))</f>
        <v>linkCategory3</v>
      </c>
      <c r="Q444" t="str">
        <f>IF(TableRelationships[[#This Row],[Rank Pedro]]="Low","Pink",IF(TableRelationships[[#This Row],[Rank Pedro]]="Medium","Purple",IF(TableRelationships[[#This Row],[Rank Pedro]]="High","Brown","")))</f>
        <v>Brown</v>
      </c>
      <c r="R444" s="4">
        <f>MAX(INDEX(Standards!$F$2:$F$296,MATCH(B444,Standards!$B$2:$B$296,0)),INDEX(Standards!$F$2:$F$296,MATCH(C444,Standards!$B$2:$B$296,0)))</f>
        <v>44846</v>
      </c>
      <c r="S444" t="str">
        <f t="shared" si="20"/>
        <v>#2f89d1</v>
      </c>
    </row>
    <row r="445" spans="1:19" x14ac:dyDescent="0.5">
      <c r="A445">
        <v>428</v>
      </c>
      <c r="B445" t="s">
        <v>366</v>
      </c>
      <c r="C445" t="s">
        <v>238</v>
      </c>
      <c r="D445">
        <f>INDEX(Standards!$A$2:$A$296,MATCH(B445,Standards!$B$2:$B$296,0))</f>
        <v>155</v>
      </c>
      <c r="E445">
        <f>INDEX(Standards!$A$2:$A$296,MATCH(C445,Standards!$B$2:$B$296,0))</f>
        <v>92</v>
      </c>
      <c r="F445" t="str">
        <f>INDEX(Standards!$N$2:$N$296,MATCH(B445,Standards!$B$2:$B$296,0))</f>
        <v>#7030A0</v>
      </c>
      <c r="G445" t="str">
        <f>INDEX(Standards!$N$2:$N$296,MATCH(C445,Standards!$B$2:$B$296,0))</f>
        <v>#F2F2F2</v>
      </c>
      <c r="H445" t="s">
        <v>521</v>
      </c>
      <c r="I445" t="s">
        <v>237</v>
      </c>
      <c r="J445" t="str">
        <f>INDEX(Standards!$H$2:$H$296,MATCH(B445,Standards!$B$2:$B$296,0))</f>
        <v>ICT</v>
      </c>
      <c r="K445" t="str">
        <f>INDEX(Standards!$H$2:$H$296,MATCH(C445,Standards!$B$2:$B$296,0))</f>
        <v>Anchor</v>
      </c>
      <c r="L445" t="b">
        <f>AND(TableRelationships[[#This Row],[Source Type]]="BIM",TableRelationships[[#This Row],[Target Type]]="BIM")</f>
        <v>0</v>
      </c>
      <c r="M445">
        <f t="shared" si="18"/>
        <v>2</v>
      </c>
      <c r="O445">
        <f t="shared" si="19"/>
        <v>1</v>
      </c>
      <c r="P445" t="str">
        <f>IF(TableRelationships[[#This Row],[Rank Pedro]]="Low","linkCategory1",IF(TableRelationships[[#This Row],[Rank Pedro]]="Medium","linkCategory2",IF(TableRelationships[[#This Row],[Rank Pedro]]="High","linkCategory3","")))</f>
        <v/>
      </c>
      <c r="Q445" t="str">
        <f>IF(TableRelationships[[#This Row],[Rank Pedro]]="Low","Pink",IF(TableRelationships[[#This Row],[Rank Pedro]]="Medium","Purple",IF(TableRelationships[[#This Row],[Rank Pedro]]="High","Brown","")))</f>
        <v/>
      </c>
      <c r="R445" s="4">
        <f>MAX(INDEX(Standards!$F$2:$F$296,MATCH(B445,Standards!$B$2:$B$296,0)),INDEX(Standards!$F$2:$F$296,MATCH(C445,Standards!$B$2:$B$296,0)))</f>
        <v>38534</v>
      </c>
      <c r="S445">
        <f t="shared" si="20"/>
        <v>1</v>
      </c>
    </row>
    <row r="446" spans="1:19" x14ac:dyDescent="0.5">
      <c r="A446">
        <v>488</v>
      </c>
      <c r="B446" t="s">
        <v>447</v>
      </c>
      <c r="C446" t="s">
        <v>408</v>
      </c>
      <c r="D446">
        <f>INDEX(Standards!$A$2:$A$296,MATCH(B446,Standards!$B$2:$B$296,0))</f>
        <v>89</v>
      </c>
      <c r="E446">
        <f>INDEX(Standards!$A$2:$A$296,MATCH(C446,Standards!$B$2:$B$296,0))</f>
        <v>16</v>
      </c>
      <c r="F446" t="str">
        <f>INDEX(Standards!$N$2:$N$296,MATCH(B446,Standards!$B$2:$B$296,0))</f>
        <v>#70AD47</v>
      </c>
      <c r="G446" t="str">
        <f>INDEX(Standards!$N$2:$N$296,MATCH(C446,Standards!$B$2:$B$296,0))</f>
        <v>#70AD47</v>
      </c>
      <c r="H446" t="s">
        <v>521</v>
      </c>
      <c r="I446" t="s">
        <v>524</v>
      </c>
      <c r="J446" t="str">
        <f>INDEX(Standards!$H$2:$H$296,MATCH(B446,Standards!$B$2:$B$296,0))</f>
        <v>BIM</v>
      </c>
      <c r="K446" t="str">
        <f>INDEX(Standards!$H$2:$H$296,MATCH(C446,Standards!$B$2:$B$296,0))</f>
        <v>BIM</v>
      </c>
      <c r="L446" t="b">
        <f>AND(TableRelationships[[#This Row],[Source Type]]="BIM",TableRelationships[[#This Row],[Target Type]]="BIM")</f>
        <v>1</v>
      </c>
      <c r="M446">
        <f t="shared" si="18"/>
        <v>6</v>
      </c>
      <c r="N446" t="s">
        <v>523</v>
      </c>
      <c r="O446">
        <f t="shared" si="19"/>
        <v>10</v>
      </c>
      <c r="P446" t="str">
        <f>IF(TableRelationships[[#This Row],[Rank Pedro]]="Low","linkCategory1",IF(TableRelationships[[#This Row],[Rank Pedro]]="Medium","linkCategory2",IF(TableRelationships[[#This Row],[Rank Pedro]]="High","linkCategory3","")))</f>
        <v>linkCategory3</v>
      </c>
      <c r="Q446" t="str">
        <f>IF(TableRelationships[[#This Row],[Rank Pedro]]="Low","Pink",IF(TableRelationships[[#This Row],[Rank Pedro]]="Medium","Purple",IF(TableRelationships[[#This Row],[Rank Pedro]]="High","Brown","")))</f>
        <v>Brown</v>
      </c>
      <c r="R446" s="4">
        <f>MAX(INDEX(Standards!$F$2:$F$296,MATCH(B446,Standards!$B$2:$B$296,0)),INDEX(Standards!$F$2:$F$296,MATCH(C446,Standards!$B$2:$B$296,0)))</f>
        <v>44846</v>
      </c>
      <c r="S446" t="str">
        <f t="shared" si="20"/>
        <v>#d6bf2a</v>
      </c>
    </row>
    <row r="447" spans="1:19" x14ac:dyDescent="0.5">
      <c r="A447">
        <v>429</v>
      </c>
      <c r="B447" t="s">
        <v>368</v>
      </c>
      <c r="C447" t="s">
        <v>238</v>
      </c>
      <c r="D447">
        <f>INDEX(Standards!$A$2:$A$296,MATCH(B447,Standards!$B$2:$B$296,0))</f>
        <v>156</v>
      </c>
      <c r="E447">
        <f>INDEX(Standards!$A$2:$A$296,MATCH(C447,Standards!$B$2:$B$296,0))</f>
        <v>92</v>
      </c>
      <c r="F447" t="str">
        <f>INDEX(Standards!$N$2:$N$296,MATCH(B447,Standards!$B$2:$B$296,0))</f>
        <v>#7030A0</v>
      </c>
      <c r="G447" t="str">
        <f>INDEX(Standards!$N$2:$N$296,MATCH(C447,Standards!$B$2:$B$296,0))</f>
        <v>#F2F2F2</v>
      </c>
      <c r="H447" t="s">
        <v>521</v>
      </c>
      <c r="I447" t="s">
        <v>237</v>
      </c>
      <c r="J447" t="str">
        <f>INDEX(Standards!$H$2:$H$296,MATCH(B447,Standards!$B$2:$B$296,0))</f>
        <v>ICT</v>
      </c>
      <c r="K447" t="str">
        <f>INDEX(Standards!$H$2:$H$296,MATCH(C447,Standards!$B$2:$B$296,0))</f>
        <v>Anchor</v>
      </c>
      <c r="L447" t="b">
        <f>AND(TableRelationships[[#This Row],[Source Type]]="BIM",TableRelationships[[#This Row],[Target Type]]="BIM")</f>
        <v>0</v>
      </c>
      <c r="M447">
        <f t="shared" si="18"/>
        <v>2</v>
      </c>
      <c r="O447">
        <f t="shared" si="19"/>
        <v>1</v>
      </c>
      <c r="P447" t="str">
        <f>IF(TableRelationships[[#This Row],[Rank Pedro]]="Low","linkCategory1",IF(TableRelationships[[#This Row],[Rank Pedro]]="Medium","linkCategory2",IF(TableRelationships[[#This Row],[Rank Pedro]]="High","linkCategory3","")))</f>
        <v/>
      </c>
      <c r="Q447" t="str">
        <f>IF(TableRelationships[[#This Row],[Rank Pedro]]="Low","Pink",IF(TableRelationships[[#This Row],[Rank Pedro]]="Medium","Purple",IF(TableRelationships[[#This Row],[Rank Pedro]]="High","Brown","")))</f>
        <v/>
      </c>
      <c r="R447" s="4">
        <f>MAX(INDEX(Standards!$F$2:$F$296,MATCH(B447,Standards!$B$2:$B$296,0)),INDEX(Standards!$F$2:$F$296,MATCH(C447,Standards!$B$2:$B$296,0)))</f>
        <v>43405</v>
      </c>
      <c r="S447">
        <f t="shared" si="20"/>
        <v>1</v>
      </c>
    </row>
    <row r="448" spans="1:19" x14ac:dyDescent="0.5">
      <c r="A448">
        <v>498</v>
      </c>
      <c r="B448" t="s">
        <v>447</v>
      </c>
      <c r="C448" t="s">
        <v>426</v>
      </c>
      <c r="D448">
        <f>INDEX(Standards!$A$2:$A$296,MATCH(B448,Standards!$B$2:$B$296,0))</f>
        <v>89</v>
      </c>
      <c r="E448">
        <f>INDEX(Standards!$A$2:$A$296,MATCH(C448,Standards!$B$2:$B$296,0))</f>
        <v>82</v>
      </c>
      <c r="F448" t="str">
        <f>INDEX(Standards!$N$2:$N$296,MATCH(B448,Standards!$B$2:$B$296,0))</f>
        <v>#70AD47</v>
      </c>
      <c r="G448" t="str">
        <f>INDEX(Standards!$N$2:$N$296,MATCH(C448,Standards!$B$2:$B$296,0))</f>
        <v>#70AD47</v>
      </c>
      <c r="H448" t="s">
        <v>521</v>
      </c>
      <c r="I448" t="s">
        <v>525</v>
      </c>
      <c r="J448" t="str">
        <f>INDEX(Standards!$H$2:$H$296,MATCH(B448,Standards!$B$2:$B$296,0))</f>
        <v>BIM</v>
      </c>
      <c r="K448" t="str">
        <f>INDEX(Standards!$H$2:$H$296,MATCH(C448,Standards!$B$2:$B$296,0))</f>
        <v>BIM</v>
      </c>
      <c r="L448" t="b">
        <f>AND(TableRelationships[[#This Row],[Source Type]]="BIM",TableRelationships[[#This Row],[Target Type]]="BIM")</f>
        <v>1</v>
      </c>
      <c r="M448">
        <f t="shared" si="18"/>
        <v>1</v>
      </c>
      <c r="N448" t="s">
        <v>528</v>
      </c>
      <c r="O448">
        <f t="shared" si="19"/>
        <v>6</v>
      </c>
      <c r="P448" t="str">
        <f>IF(TableRelationships[[#This Row],[Rank Pedro]]="Low","linkCategory1",IF(TableRelationships[[#This Row],[Rank Pedro]]="Medium","linkCategory2",IF(TableRelationships[[#This Row],[Rank Pedro]]="High","linkCategory3","")))</f>
        <v>linkCategory2</v>
      </c>
      <c r="Q448" t="str">
        <f>IF(TableRelationships[[#This Row],[Rank Pedro]]="Low","Pink",IF(TableRelationships[[#This Row],[Rank Pedro]]="Medium","Purple",IF(TableRelationships[[#This Row],[Rank Pedro]]="High","Brown","")))</f>
        <v>Purple</v>
      </c>
      <c r="R448" s="4">
        <f>MAX(INDEX(Standards!$F$2:$F$296,MATCH(B448,Standards!$B$2:$B$296,0)),INDEX(Standards!$F$2:$F$296,MATCH(C448,Standards!$B$2:$B$296,0)))</f>
        <v>44846</v>
      </c>
      <c r="S448" t="str">
        <f t="shared" si="20"/>
        <v>#2f89d1</v>
      </c>
    </row>
    <row r="449" spans="1:19" x14ac:dyDescent="0.5">
      <c r="A449">
        <v>430</v>
      </c>
      <c r="B449" t="s">
        <v>370</v>
      </c>
      <c r="C449" t="s">
        <v>238</v>
      </c>
      <c r="D449">
        <f>INDEX(Standards!$A$2:$A$296,MATCH(B449,Standards!$B$2:$B$296,0))</f>
        <v>157</v>
      </c>
      <c r="E449">
        <f>INDEX(Standards!$A$2:$A$296,MATCH(C449,Standards!$B$2:$B$296,0))</f>
        <v>92</v>
      </c>
      <c r="F449" t="str">
        <f>INDEX(Standards!$N$2:$N$296,MATCH(B449,Standards!$B$2:$B$296,0))</f>
        <v>#7030A0</v>
      </c>
      <c r="G449" t="str">
        <f>INDEX(Standards!$N$2:$N$296,MATCH(C449,Standards!$B$2:$B$296,0))</f>
        <v>#F2F2F2</v>
      </c>
      <c r="H449" t="s">
        <v>521</v>
      </c>
      <c r="I449" t="s">
        <v>237</v>
      </c>
      <c r="J449" t="str">
        <f>INDEX(Standards!$H$2:$H$296,MATCH(B449,Standards!$B$2:$B$296,0))</f>
        <v>ICT</v>
      </c>
      <c r="K449" t="str">
        <f>INDEX(Standards!$H$2:$H$296,MATCH(C449,Standards!$B$2:$B$296,0))</f>
        <v>Anchor</v>
      </c>
      <c r="L449" t="b">
        <f>AND(TableRelationships[[#This Row],[Source Type]]="BIM",TableRelationships[[#This Row],[Target Type]]="BIM")</f>
        <v>0</v>
      </c>
      <c r="M449">
        <f t="shared" si="18"/>
        <v>2</v>
      </c>
      <c r="O449">
        <f t="shared" si="19"/>
        <v>1</v>
      </c>
      <c r="P449" t="str">
        <f>IF(TableRelationships[[#This Row],[Rank Pedro]]="Low","linkCategory1",IF(TableRelationships[[#This Row],[Rank Pedro]]="Medium","linkCategory2",IF(TableRelationships[[#This Row],[Rank Pedro]]="High","linkCategory3","")))</f>
        <v/>
      </c>
      <c r="Q449" t="str">
        <f>IF(TableRelationships[[#This Row],[Rank Pedro]]="Low","Pink",IF(TableRelationships[[#This Row],[Rank Pedro]]="Medium","Purple",IF(TableRelationships[[#This Row],[Rank Pedro]]="High","Brown","")))</f>
        <v/>
      </c>
      <c r="R449" s="4">
        <f>MAX(INDEX(Standards!$F$2:$F$296,MATCH(B449,Standards!$B$2:$B$296,0)),INDEX(Standards!$F$2:$F$296,MATCH(C449,Standards!$B$2:$B$296,0)))</f>
        <v>29221</v>
      </c>
      <c r="S449">
        <f t="shared" si="20"/>
        <v>1</v>
      </c>
    </row>
    <row r="450" spans="1:19" x14ac:dyDescent="0.5">
      <c r="A450">
        <v>485</v>
      </c>
      <c r="B450" t="s">
        <v>447</v>
      </c>
      <c r="C450" t="s">
        <v>132</v>
      </c>
      <c r="D450">
        <f>INDEX(Standards!$A$2:$A$296,MATCH(B450,Standards!$B$2:$B$296,0))</f>
        <v>89</v>
      </c>
      <c r="E450">
        <f>INDEX(Standards!$A$2:$A$296,MATCH(C450,Standards!$B$2:$B$296,0))</f>
        <v>45</v>
      </c>
      <c r="F450" t="str">
        <f>INDEX(Standards!$N$2:$N$296,MATCH(B450,Standards!$B$2:$B$296,0))</f>
        <v>#70AD47</v>
      </c>
      <c r="G450" t="str">
        <f>INDEX(Standards!$N$2:$N$296,MATCH(C450,Standards!$B$2:$B$296,0))</f>
        <v>#595959</v>
      </c>
      <c r="H450" t="s">
        <v>521</v>
      </c>
      <c r="I450" t="s">
        <v>524</v>
      </c>
      <c r="J450" t="str">
        <f>INDEX(Standards!$H$2:$H$296,MATCH(B450,Standards!$B$2:$B$296,0))</f>
        <v>BIM</v>
      </c>
      <c r="K450" t="str">
        <f>INDEX(Standards!$H$2:$H$296,MATCH(C450,Standards!$B$2:$B$296,0))</f>
        <v>Other</v>
      </c>
      <c r="L450" t="b">
        <f>AND(TableRelationships[[#This Row],[Source Type]]="BIM",TableRelationships[[#This Row],[Target Type]]="BIM")</f>
        <v>0</v>
      </c>
      <c r="M450">
        <f t="shared" ref="M450:M513" si="21">IF(I450="Normative",6,IF(I450="Secondary",4,IF(I450="Anchor",2,1)))</f>
        <v>6</v>
      </c>
      <c r="N450" t="s">
        <v>528</v>
      </c>
      <c r="O450">
        <f t="shared" ref="O450:O513" si="22">IF(N450="High",10,IF(N450="Medium",6,IF(N450="Low",2,1)))</f>
        <v>6</v>
      </c>
      <c r="P450" t="str">
        <f>IF(TableRelationships[[#This Row],[Rank Pedro]]="Low","linkCategory1",IF(TableRelationships[[#This Row],[Rank Pedro]]="Medium","linkCategory2",IF(TableRelationships[[#This Row],[Rank Pedro]]="High","linkCategory3","")))</f>
        <v>linkCategory2</v>
      </c>
      <c r="Q450" t="str">
        <f>IF(TableRelationships[[#This Row],[Rank Pedro]]="Low","Pink",IF(TableRelationships[[#This Row],[Rank Pedro]]="Medium","Purple",IF(TableRelationships[[#This Row],[Rank Pedro]]="High","Brown","")))</f>
        <v>Purple</v>
      </c>
      <c r="R450" s="4">
        <f>MAX(INDEX(Standards!$F$2:$F$296,MATCH(B450,Standards!$B$2:$B$296,0)),INDEX(Standards!$F$2:$F$296,MATCH(C450,Standards!$B$2:$B$296,0)))</f>
        <v>44846</v>
      </c>
      <c r="S450" t="str">
        <f t="shared" ref="S450:S513" si="23">IF(I450="Normative", "#d6bf2a", IF(I450="Informative", "#2f89d1", 1))</f>
        <v>#d6bf2a</v>
      </c>
    </row>
    <row r="451" spans="1:19" x14ac:dyDescent="0.5">
      <c r="A451">
        <v>431</v>
      </c>
      <c r="B451" t="s">
        <v>371</v>
      </c>
      <c r="C451" t="s">
        <v>238</v>
      </c>
      <c r="D451">
        <f>INDEX(Standards!$A$2:$A$296,MATCH(B451,Standards!$B$2:$B$296,0))</f>
        <v>158</v>
      </c>
      <c r="E451">
        <f>INDEX(Standards!$A$2:$A$296,MATCH(C451,Standards!$B$2:$B$296,0))</f>
        <v>92</v>
      </c>
      <c r="F451" t="str">
        <f>INDEX(Standards!$N$2:$N$296,MATCH(B451,Standards!$B$2:$B$296,0))</f>
        <v>#7030A0</v>
      </c>
      <c r="G451" t="str">
        <f>INDEX(Standards!$N$2:$N$296,MATCH(C451,Standards!$B$2:$B$296,0))</f>
        <v>#F2F2F2</v>
      </c>
      <c r="H451" t="s">
        <v>521</v>
      </c>
      <c r="I451" t="s">
        <v>237</v>
      </c>
      <c r="J451" t="str">
        <f>INDEX(Standards!$H$2:$H$296,MATCH(B451,Standards!$B$2:$B$296,0))</f>
        <v>ICT</v>
      </c>
      <c r="K451" t="str">
        <f>INDEX(Standards!$H$2:$H$296,MATCH(C451,Standards!$B$2:$B$296,0))</f>
        <v>Anchor</v>
      </c>
      <c r="L451" t="b">
        <f>AND(TableRelationships[[#This Row],[Source Type]]="BIM",TableRelationships[[#This Row],[Target Type]]="BIM")</f>
        <v>0</v>
      </c>
      <c r="M451">
        <f t="shared" si="21"/>
        <v>2</v>
      </c>
      <c r="O451">
        <f t="shared" si="22"/>
        <v>1</v>
      </c>
      <c r="P451" t="str">
        <f>IF(TableRelationships[[#This Row],[Rank Pedro]]="Low","linkCategory1",IF(TableRelationships[[#This Row],[Rank Pedro]]="Medium","linkCategory2",IF(TableRelationships[[#This Row],[Rank Pedro]]="High","linkCategory3","")))</f>
        <v/>
      </c>
      <c r="Q451" t="str">
        <f>IF(TableRelationships[[#This Row],[Rank Pedro]]="Low","Pink",IF(TableRelationships[[#This Row],[Rank Pedro]]="Medium","Purple",IF(TableRelationships[[#This Row],[Rank Pedro]]="High","Brown","")))</f>
        <v/>
      </c>
      <c r="R451" s="4">
        <f>MAX(INDEX(Standards!$F$2:$F$296,MATCH(B451,Standards!$B$2:$B$296,0)),INDEX(Standards!$F$2:$F$296,MATCH(C451,Standards!$B$2:$B$296,0)))</f>
        <v>29221</v>
      </c>
      <c r="S451">
        <f t="shared" si="23"/>
        <v>1</v>
      </c>
    </row>
    <row r="452" spans="1:19" x14ac:dyDescent="0.5">
      <c r="A452">
        <v>484</v>
      </c>
      <c r="B452" t="s">
        <v>447</v>
      </c>
      <c r="C452" t="s">
        <v>249</v>
      </c>
      <c r="D452">
        <f>INDEX(Standards!$A$2:$A$296,MATCH(B452,Standards!$B$2:$B$296,0))</f>
        <v>89</v>
      </c>
      <c r="E452">
        <f>INDEX(Standards!$A$2:$A$296,MATCH(C452,Standards!$B$2:$B$296,0))</f>
        <v>100</v>
      </c>
      <c r="F452" t="str">
        <f>INDEX(Standards!$N$2:$N$296,MATCH(B452,Standards!$B$2:$B$296,0))</f>
        <v>#70AD47</v>
      </c>
      <c r="G452" t="str">
        <f>INDEX(Standards!$N$2:$N$296,MATCH(C452,Standards!$B$2:$B$296,0))</f>
        <v>#595959</v>
      </c>
      <c r="H452" t="s">
        <v>521</v>
      </c>
      <c r="I452" t="s">
        <v>524</v>
      </c>
      <c r="J452" t="str">
        <f>INDEX(Standards!$H$2:$H$296,MATCH(B452,Standards!$B$2:$B$296,0))</f>
        <v>BIM</v>
      </c>
      <c r="K452" t="str">
        <f>INDEX(Standards!$H$2:$H$296,MATCH(C452,Standards!$B$2:$B$296,0))</f>
        <v>Other</v>
      </c>
      <c r="L452" t="b">
        <f>AND(TableRelationships[[#This Row],[Source Type]]="BIM",TableRelationships[[#This Row],[Target Type]]="BIM")</f>
        <v>0</v>
      </c>
      <c r="M452">
        <f t="shared" si="21"/>
        <v>6</v>
      </c>
      <c r="N452" t="s">
        <v>528</v>
      </c>
      <c r="O452">
        <f t="shared" si="22"/>
        <v>6</v>
      </c>
      <c r="P452" t="str">
        <f>IF(TableRelationships[[#This Row],[Rank Pedro]]="Low","linkCategory1",IF(TableRelationships[[#This Row],[Rank Pedro]]="Medium","linkCategory2",IF(TableRelationships[[#This Row],[Rank Pedro]]="High","linkCategory3","")))</f>
        <v>linkCategory2</v>
      </c>
      <c r="Q452" t="str">
        <f>IF(TableRelationships[[#This Row],[Rank Pedro]]="Low","Pink",IF(TableRelationships[[#This Row],[Rank Pedro]]="Medium","Purple",IF(TableRelationships[[#This Row],[Rank Pedro]]="High","Brown","")))</f>
        <v>Purple</v>
      </c>
      <c r="R452" s="4">
        <f>MAX(INDEX(Standards!$F$2:$F$296,MATCH(B452,Standards!$B$2:$B$296,0)),INDEX(Standards!$F$2:$F$296,MATCH(C452,Standards!$B$2:$B$296,0)))</f>
        <v>44846</v>
      </c>
      <c r="S452" t="str">
        <f t="shared" si="23"/>
        <v>#d6bf2a</v>
      </c>
    </row>
    <row r="453" spans="1:19" x14ac:dyDescent="0.5">
      <c r="A453">
        <v>432</v>
      </c>
      <c r="B453" t="s">
        <v>259</v>
      </c>
      <c r="C453" t="s">
        <v>241</v>
      </c>
      <c r="D453">
        <f>INDEX(Standards!$A$2:$A$296,MATCH(B453,Standards!$B$2:$B$296,0))</f>
        <v>103</v>
      </c>
      <c r="E453">
        <f>INDEX(Standards!$A$2:$A$296,MATCH(C453,Standards!$B$2:$B$296,0))</f>
        <v>95</v>
      </c>
      <c r="F453" t="str">
        <f>INDEX(Standards!$N$2:$N$296,MATCH(B453,Standards!$B$2:$B$296,0))</f>
        <v>#4472C4</v>
      </c>
      <c r="G453" t="str">
        <f>INDEX(Standards!$N$2:$N$296,MATCH(C453,Standards!$B$2:$B$296,0))</f>
        <v>#F2F2F2</v>
      </c>
      <c r="H453" t="s">
        <v>521</v>
      </c>
      <c r="I453" t="s">
        <v>237</v>
      </c>
      <c r="J453" t="str">
        <f>INDEX(Standards!$H$2:$H$296,MATCH(B453,Standards!$B$2:$B$296,0))</f>
        <v>Industrial Automation</v>
      </c>
      <c r="K453" t="str">
        <f>INDEX(Standards!$H$2:$H$296,MATCH(C453,Standards!$B$2:$B$296,0))</f>
        <v>Anchor</v>
      </c>
      <c r="L453" t="b">
        <f>AND(TableRelationships[[#This Row],[Source Type]]="BIM",TableRelationships[[#This Row],[Target Type]]="BIM")</f>
        <v>0</v>
      </c>
      <c r="M453">
        <f t="shared" si="21"/>
        <v>2</v>
      </c>
      <c r="O453">
        <f t="shared" si="22"/>
        <v>1</v>
      </c>
      <c r="P453" t="str">
        <f>IF(TableRelationships[[#This Row],[Rank Pedro]]="Low","linkCategory1",IF(TableRelationships[[#This Row],[Rank Pedro]]="Medium","linkCategory2",IF(TableRelationships[[#This Row],[Rank Pedro]]="High","linkCategory3","")))</f>
        <v/>
      </c>
      <c r="Q453" t="str">
        <f>IF(TableRelationships[[#This Row],[Rank Pedro]]="Low","Pink",IF(TableRelationships[[#This Row],[Rank Pedro]]="Medium","Purple",IF(TableRelationships[[#This Row],[Rank Pedro]]="High","Brown","")))</f>
        <v/>
      </c>
      <c r="R453" s="4">
        <f>MAX(INDEX(Standards!$F$2:$F$296,MATCH(B453,Standards!$B$2:$B$296,0)),INDEX(Standards!$F$2:$F$296,MATCH(C453,Standards!$B$2:$B$296,0)))</f>
        <v>37257</v>
      </c>
      <c r="S453">
        <f t="shared" si="23"/>
        <v>1</v>
      </c>
    </row>
    <row r="454" spans="1:19" x14ac:dyDescent="0.5">
      <c r="A454">
        <v>503</v>
      </c>
      <c r="B454" t="s">
        <v>447</v>
      </c>
      <c r="C454" t="s">
        <v>422</v>
      </c>
      <c r="D454">
        <f>INDEX(Standards!$A$2:$A$296,MATCH(B454,Standards!$B$2:$B$296,0))</f>
        <v>89</v>
      </c>
      <c r="E454">
        <f>INDEX(Standards!$A$2:$A$296,MATCH(C454,Standards!$B$2:$B$296,0))</f>
        <v>185</v>
      </c>
      <c r="F454" t="str">
        <f>INDEX(Standards!$N$2:$N$296,MATCH(B454,Standards!$B$2:$B$296,0))</f>
        <v>#70AD47</v>
      </c>
      <c r="G454" t="str">
        <f>INDEX(Standards!$N$2:$N$296,MATCH(C454,Standards!$B$2:$B$296,0))</f>
        <v>#7030A0</v>
      </c>
      <c r="H454" t="s">
        <v>521</v>
      </c>
      <c r="I454" t="s">
        <v>525</v>
      </c>
      <c r="J454" t="str">
        <f>INDEX(Standards!$H$2:$H$296,MATCH(B454,Standards!$B$2:$B$296,0))</f>
        <v>BIM</v>
      </c>
      <c r="K454" t="str">
        <f>INDEX(Standards!$H$2:$H$296,MATCH(C454,Standards!$B$2:$B$296,0))</f>
        <v>ICT</v>
      </c>
      <c r="L454" t="b">
        <f>AND(TableRelationships[[#This Row],[Source Type]]="BIM",TableRelationships[[#This Row],[Target Type]]="BIM")</f>
        <v>0</v>
      </c>
      <c r="M454">
        <f t="shared" si="21"/>
        <v>1</v>
      </c>
      <c r="N454" t="s">
        <v>528</v>
      </c>
      <c r="O454">
        <f t="shared" si="22"/>
        <v>6</v>
      </c>
      <c r="P454" t="str">
        <f>IF(TableRelationships[[#This Row],[Rank Pedro]]="Low","linkCategory1",IF(TableRelationships[[#This Row],[Rank Pedro]]="Medium","linkCategory2",IF(TableRelationships[[#This Row],[Rank Pedro]]="High","linkCategory3","")))</f>
        <v>linkCategory2</v>
      </c>
      <c r="Q454" t="str">
        <f>IF(TableRelationships[[#This Row],[Rank Pedro]]="Low","Pink",IF(TableRelationships[[#This Row],[Rank Pedro]]="Medium","Purple",IF(TableRelationships[[#This Row],[Rank Pedro]]="High","Brown","")))</f>
        <v>Purple</v>
      </c>
      <c r="R454" s="4">
        <f>MAX(INDEX(Standards!$F$2:$F$296,MATCH(B454,Standards!$B$2:$B$296,0)),INDEX(Standards!$F$2:$F$296,MATCH(C454,Standards!$B$2:$B$296,0)))</f>
        <v>44846</v>
      </c>
      <c r="S454" t="str">
        <f t="shared" si="23"/>
        <v>#2f89d1</v>
      </c>
    </row>
    <row r="455" spans="1:19" x14ac:dyDescent="0.5">
      <c r="A455">
        <v>433</v>
      </c>
      <c r="B455" t="s">
        <v>263</v>
      </c>
      <c r="C455" t="s">
        <v>241</v>
      </c>
      <c r="D455">
        <f>INDEX(Standards!$A$2:$A$296,MATCH(B455,Standards!$B$2:$B$296,0))</f>
        <v>104</v>
      </c>
      <c r="E455">
        <f>INDEX(Standards!$A$2:$A$296,MATCH(C455,Standards!$B$2:$B$296,0))</f>
        <v>95</v>
      </c>
      <c r="F455" t="str">
        <f>INDEX(Standards!$N$2:$N$296,MATCH(B455,Standards!$B$2:$B$296,0))</f>
        <v>#4472C4</v>
      </c>
      <c r="G455" t="str">
        <f>INDEX(Standards!$N$2:$N$296,MATCH(C455,Standards!$B$2:$B$296,0))</f>
        <v>#F2F2F2</v>
      </c>
      <c r="H455" t="s">
        <v>521</v>
      </c>
      <c r="I455" t="s">
        <v>237</v>
      </c>
      <c r="J455" t="str">
        <f>INDEX(Standards!$H$2:$H$296,MATCH(B455,Standards!$B$2:$B$296,0))</f>
        <v>Industrial Automation</v>
      </c>
      <c r="K455" t="str">
        <f>INDEX(Standards!$H$2:$H$296,MATCH(C455,Standards!$B$2:$B$296,0))</f>
        <v>Anchor</v>
      </c>
      <c r="L455" t="b">
        <f>AND(TableRelationships[[#This Row],[Source Type]]="BIM",TableRelationships[[#This Row],[Target Type]]="BIM")</f>
        <v>0</v>
      </c>
      <c r="M455">
        <f t="shared" si="21"/>
        <v>2</v>
      </c>
      <c r="O455">
        <f t="shared" si="22"/>
        <v>1</v>
      </c>
      <c r="P455" t="str">
        <f>IF(TableRelationships[[#This Row],[Rank Pedro]]="Low","linkCategory1",IF(TableRelationships[[#This Row],[Rank Pedro]]="Medium","linkCategory2",IF(TableRelationships[[#This Row],[Rank Pedro]]="High","linkCategory3","")))</f>
        <v/>
      </c>
      <c r="Q455" t="str">
        <f>IF(TableRelationships[[#This Row],[Rank Pedro]]="Low","Pink",IF(TableRelationships[[#This Row],[Rank Pedro]]="Medium","Purple",IF(TableRelationships[[#This Row],[Rank Pedro]]="High","Brown","")))</f>
        <v/>
      </c>
      <c r="R455" s="4">
        <f>MAX(INDEX(Standards!$F$2:$F$296,MATCH(B455,Standards!$B$2:$B$296,0)),INDEX(Standards!$F$2:$F$296,MATCH(C455,Standards!$B$2:$B$296,0)))</f>
        <v>36130</v>
      </c>
      <c r="S455">
        <f t="shared" si="23"/>
        <v>1</v>
      </c>
    </row>
    <row r="456" spans="1:19" x14ac:dyDescent="0.5">
      <c r="A456">
        <v>486</v>
      </c>
      <c r="B456" t="s">
        <v>447</v>
      </c>
      <c r="C456" t="s">
        <v>192</v>
      </c>
      <c r="D456">
        <f>INDEX(Standards!$A$2:$A$296,MATCH(B456,Standards!$B$2:$B$296,0))</f>
        <v>89</v>
      </c>
      <c r="E456">
        <f>INDEX(Standards!$A$2:$A$296,MATCH(C456,Standards!$B$2:$B$296,0))</f>
        <v>72</v>
      </c>
      <c r="F456" t="str">
        <f>INDEX(Standards!$N$2:$N$296,MATCH(B456,Standards!$B$2:$B$296,0))</f>
        <v>#70AD47</v>
      </c>
      <c r="G456" t="str">
        <f>INDEX(Standards!$N$2:$N$296,MATCH(C456,Standards!$B$2:$B$296,0))</f>
        <v>#7030A0</v>
      </c>
      <c r="H456" t="s">
        <v>521</v>
      </c>
      <c r="I456" t="s">
        <v>524</v>
      </c>
      <c r="J456" t="str">
        <f>INDEX(Standards!$H$2:$H$296,MATCH(B456,Standards!$B$2:$B$296,0))</f>
        <v>BIM</v>
      </c>
      <c r="K456" t="str">
        <f>INDEX(Standards!$H$2:$H$296,MATCH(C456,Standards!$B$2:$B$296,0))</f>
        <v>ICT</v>
      </c>
      <c r="L456" t="b">
        <f>AND(TableRelationships[[#This Row],[Source Type]]="BIM",TableRelationships[[#This Row],[Target Type]]="BIM")</f>
        <v>0</v>
      </c>
      <c r="M456">
        <f t="shared" si="21"/>
        <v>6</v>
      </c>
      <c r="N456" t="s">
        <v>528</v>
      </c>
      <c r="O456">
        <f t="shared" si="22"/>
        <v>6</v>
      </c>
      <c r="P456" t="str">
        <f>IF(TableRelationships[[#This Row],[Rank Pedro]]="Low","linkCategory1",IF(TableRelationships[[#This Row],[Rank Pedro]]="Medium","linkCategory2",IF(TableRelationships[[#This Row],[Rank Pedro]]="High","linkCategory3","")))</f>
        <v>linkCategory2</v>
      </c>
      <c r="Q456" t="str">
        <f>IF(TableRelationships[[#This Row],[Rank Pedro]]="Low","Pink",IF(TableRelationships[[#This Row],[Rank Pedro]]="Medium","Purple",IF(TableRelationships[[#This Row],[Rank Pedro]]="High","Brown","")))</f>
        <v>Purple</v>
      </c>
      <c r="R456" s="4">
        <f>MAX(INDEX(Standards!$F$2:$F$296,MATCH(B456,Standards!$B$2:$B$296,0)),INDEX(Standards!$F$2:$F$296,MATCH(C456,Standards!$B$2:$B$296,0)))</f>
        <v>44846</v>
      </c>
      <c r="S456" t="str">
        <f t="shared" si="23"/>
        <v>#d6bf2a</v>
      </c>
    </row>
    <row r="457" spans="1:19" x14ac:dyDescent="0.5">
      <c r="A457">
        <v>434</v>
      </c>
      <c r="B457" t="s">
        <v>266</v>
      </c>
      <c r="C457" t="s">
        <v>241</v>
      </c>
      <c r="D457">
        <f>INDEX(Standards!$A$2:$A$296,MATCH(B457,Standards!$B$2:$B$296,0))</f>
        <v>105</v>
      </c>
      <c r="E457">
        <f>INDEX(Standards!$A$2:$A$296,MATCH(C457,Standards!$B$2:$B$296,0))</f>
        <v>95</v>
      </c>
      <c r="F457" t="str">
        <f>INDEX(Standards!$N$2:$N$296,MATCH(B457,Standards!$B$2:$B$296,0))</f>
        <v>#4472C4</v>
      </c>
      <c r="G457" t="str">
        <f>INDEX(Standards!$N$2:$N$296,MATCH(C457,Standards!$B$2:$B$296,0))</f>
        <v>#F2F2F2</v>
      </c>
      <c r="H457" t="s">
        <v>521</v>
      </c>
      <c r="I457" t="s">
        <v>237</v>
      </c>
      <c r="J457" t="str">
        <f>INDEX(Standards!$H$2:$H$296,MATCH(B457,Standards!$B$2:$B$296,0))</f>
        <v>Industrial Automation</v>
      </c>
      <c r="K457" t="str">
        <f>INDEX(Standards!$H$2:$H$296,MATCH(C457,Standards!$B$2:$B$296,0))</f>
        <v>Anchor</v>
      </c>
      <c r="L457" t="b">
        <f>AND(TableRelationships[[#This Row],[Source Type]]="BIM",TableRelationships[[#This Row],[Target Type]]="BIM")</f>
        <v>0</v>
      </c>
      <c r="M457">
        <f t="shared" si="21"/>
        <v>2</v>
      </c>
      <c r="O457">
        <f t="shared" si="22"/>
        <v>1</v>
      </c>
      <c r="P457" t="str">
        <f>IF(TableRelationships[[#This Row],[Rank Pedro]]="Low","linkCategory1",IF(TableRelationships[[#This Row],[Rank Pedro]]="Medium","linkCategory2",IF(TableRelationships[[#This Row],[Rank Pedro]]="High","linkCategory3","")))</f>
        <v/>
      </c>
      <c r="Q457" t="str">
        <f>IF(TableRelationships[[#This Row],[Rank Pedro]]="Low","Pink",IF(TableRelationships[[#This Row],[Rank Pedro]]="Medium","Purple",IF(TableRelationships[[#This Row],[Rank Pedro]]="High","Brown","")))</f>
        <v/>
      </c>
      <c r="R457" s="4">
        <f>MAX(INDEX(Standards!$F$2:$F$296,MATCH(B457,Standards!$B$2:$B$296,0)),INDEX(Standards!$F$2:$F$296,MATCH(C457,Standards!$B$2:$B$296,0)))</f>
        <v>38596</v>
      </c>
      <c r="S457">
        <f t="shared" si="23"/>
        <v>1</v>
      </c>
    </row>
    <row r="458" spans="1:19" x14ac:dyDescent="0.5">
      <c r="A458">
        <v>499</v>
      </c>
      <c r="B458" t="s">
        <v>447</v>
      </c>
      <c r="C458" t="s">
        <v>88</v>
      </c>
      <c r="D458">
        <f>INDEX(Standards!$A$2:$A$296,MATCH(B458,Standards!$B$2:$B$296,0))</f>
        <v>89</v>
      </c>
      <c r="E458">
        <f>INDEX(Standards!$A$2:$A$296,MATCH(C458,Standards!$B$2:$B$296,0))</f>
        <v>23</v>
      </c>
      <c r="F458" t="str">
        <f>INDEX(Standards!$N$2:$N$296,MATCH(B458,Standards!$B$2:$B$296,0))</f>
        <v>#70AD47</v>
      </c>
      <c r="G458" t="str">
        <f>INDEX(Standards!$N$2:$N$296,MATCH(C458,Standards!$B$2:$B$296,0))</f>
        <v>#7030A0</v>
      </c>
      <c r="H458" t="s">
        <v>521</v>
      </c>
      <c r="I458" t="s">
        <v>525</v>
      </c>
      <c r="J458" t="str">
        <f>INDEX(Standards!$H$2:$H$296,MATCH(B458,Standards!$B$2:$B$296,0))</f>
        <v>BIM</v>
      </c>
      <c r="K458" t="str">
        <f>INDEX(Standards!$H$2:$H$296,MATCH(C458,Standards!$B$2:$B$296,0))</f>
        <v>ICT</v>
      </c>
      <c r="L458" t="b">
        <f>AND(TableRelationships[[#This Row],[Source Type]]="BIM",TableRelationships[[#This Row],[Target Type]]="BIM")</f>
        <v>0</v>
      </c>
      <c r="M458">
        <f t="shared" si="21"/>
        <v>1</v>
      </c>
      <c r="N458" t="s">
        <v>528</v>
      </c>
      <c r="O458">
        <f t="shared" si="22"/>
        <v>6</v>
      </c>
      <c r="P458" t="str">
        <f>IF(TableRelationships[[#This Row],[Rank Pedro]]="Low","linkCategory1",IF(TableRelationships[[#This Row],[Rank Pedro]]="Medium","linkCategory2",IF(TableRelationships[[#This Row],[Rank Pedro]]="High","linkCategory3","")))</f>
        <v>linkCategory2</v>
      </c>
      <c r="Q458" t="str">
        <f>IF(TableRelationships[[#This Row],[Rank Pedro]]="Low","Pink",IF(TableRelationships[[#This Row],[Rank Pedro]]="Medium","Purple",IF(TableRelationships[[#This Row],[Rank Pedro]]="High","Brown","")))</f>
        <v>Purple</v>
      </c>
      <c r="R458" s="4">
        <f>MAX(INDEX(Standards!$F$2:$F$296,MATCH(B458,Standards!$B$2:$B$296,0)),INDEX(Standards!$F$2:$F$296,MATCH(C458,Standards!$B$2:$B$296,0)))</f>
        <v>44846</v>
      </c>
      <c r="S458" t="str">
        <f t="shared" si="23"/>
        <v>#2f89d1</v>
      </c>
    </row>
    <row r="459" spans="1:19" x14ac:dyDescent="0.5">
      <c r="A459">
        <v>435</v>
      </c>
      <c r="B459" t="s">
        <v>272</v>
      </c>
      <c r="C459" t="s">
        <v>241</v>
      </c>
      <c r="D459">
        <f>INDEX(Standards!$A$2:$A$296,MATCH(B459,Standards!$B$2:$B$296,0))</f>
        <v>107</v>
      </c>
      <c r="E459">
        <f>INDEX(Standards!$A$2:$A$296,MATCH(C459,Standards!$B$2:$B$296,0))</f>
        <v>95</v>
      </c>
      <c r="F459" t="str">
        <f>INDEX(Standards!$N$2:$N$296,MATCH(B459,Standards!$B$2:$B$296,0))</f>
        <v>#4472C4</v>
      </c>
      <c r="G459" t="str">
        <f>INDEX(Standards!$N$2:$N$296,MATCH(C459,Standards!$B$2:$B$296,0))</f>
        <v>#F2F2F2</v>
      </c>
      <c r="H459" t="s">
        <v>521</v>
      </c>
      <c r="I459" t="s">
        <v>237</v>
      </c>
      <c r="J459" t="str">
        <f>INDEX(Standards!$H$2:$H$296,MATCH(B459,Standards!$B$2:$B$296,0))</f>
        <v>Industrial Automation</v>
      </c>
      <c r="K459" t="str">
        <f>INDEX(Standards!$H$2:$H$296,MATCH(C459,Standards!$B$2:$B$296,0))</f>
        <v>Anchor</v>
      </c>
      <c r="L459" t="b">
        <f>AND(TableRelationships[[#This Row],[Source Type]]="BIM",TableRelationships[[#This Row],[Target Type]]="BIM")</f>
        <v>0</v>
      </c>
      <c r="M459">
        <f t="shared" si="21"/>
        <v>2</v>
      </c>
      <c r="O459">
        <f t="shared" si="22"/>
        <v>1</v>
      </c>
      <c r="P459" t="str">
        <f>IF(TableRelationships[[#This Row],[Rank Pedro]]="Low","linkCategory1",IF(TableRelationships[[#This Row],[Rank Pedro]]="Medium","linkCategory2",IF(TableRelationships[[#This Row],[Rank Pedro]]="High","linkCategory3","")))</f>
        <v/>
      </c>
      <c r="Q459" t="str">
        <f>IF(TableRelationships[[#This Row],[Rank Pedro]]="Low","Pink",IF(TableRelationships[[#This Row],[Rank Pedro]]="Medium","Purple",IF(TableRelationships[[#This Row],[Rank Pedro]]="High","Brown","")))</f>
        <v/>
      </c>
      <c r="R459" s="4">
        <f>MAX(INDEX(Standards!$F$2:$F$296,MATCH(B459,Standards!$B$2:$B$296,0)),INDEX(Standards!$F$2:$F$296,MATCH(C459,Standards!$B$2:$B$296,0)))</f>
        <v>40787</v>
      </c>
      <c r="S459">
        <f t="shared" si="23"/>
        <v>1</v>
      </c>
    </row>
    <row r="460" spans="1:19" x14ac:dyDescent="0.5">
      <c r="A460">
        <v>420</v>
      </c>
      <c r="B460" t="s">
        <v>484</v>
      </c>
      <c r="C460" t="s">
        <v>236</v>
      </c>
      <c r="D460">
        <f>INDEX(Standards!$A$2:$A$296,MATCH(B460,Standards!$B$2:$B$296,0))</f>
        <v>196</v>
      </c>
      <c r="E460">
        <f>INDEX(Standards!$A$2:$A$296,MATCH(C460,Standards!$B$2:$B$296,0))</f>
        <v>91</v>
      </c>
      <c r="F460" t="str">
        <f>INDEX(Standards!$N$2:$N$296,MATCH(B460,Standards!$B$2:$B$296,0))</f>
        <v>#70AD47</v>
      </c>
      <c r="G460" t="str">
        <f>INDEX(Standards!$N$2:$N$296,MATCH(C460,Standards!$B$2:$B$296,0))</f>
        <v>#F2F2F2</v>
      </c>
      <c r="H460" t="s">
        <v>521</v>
      </c>
      <c r="I460" t="s">
        <v>237</v>
      </c>
      <c r="J460" t="str">
        <f>INDEX(Standards!$H$2:$H$296,MATCH(B460,Standards!$B$2:$B$296,0))</f>
        <v>BIM</v>
      </c>
      <c r="K460" t="str">
        <f>INDEX(Standards!$H$2:$H$296,MATCH(C460,Standards!$B$2:$B$296,0))</f>
        <v>Anchor</v>
      </c>
      <c r="L460" t="b">
        <f>AND(TableRelationships[[#This Row],[Source Type]]="BIM",TableRelationships[[#This Row],[Target Type]]="BIM")</f>
        <v>0</v>
      </c>
      <c r="M460">
        <f t="shared" si="21"/>
        <v>2</v>
      </c>
      <c r="O460">
        <f t="shared" si="22"/>
        <v>1</v>
      </c>
      <c r="P460" t="str">
        <f>IF(TableRelationships[[#This Row],[Rank Pedro]]="Low","linkCategory1",IF(TableRelationships[[#This Row],[Rank Pedro]]="Medium","linkCategory2",IF(TableRelationships[[#This Row],[Rank Pedro]]="High","linkCategory3","")))</f>
        <v/>
      </c>
      <c r="Q460" t="str">
        <f>IF(TableRelationships[[#This Row],[Rank Pedro]]="Low","Pink",IF(TableRelationships[[#This Row],[Rank Pedro]]="Medium","Purple",IF(TableRelationships[[#This Row],[Rank Pedro]]="High","Brown","")))</f>
        <v/>
      </c>
      <c r="R460" s="4">
        <f>MAX(INDEX(Standards!$F$2:$F$296,MATCH(B460,Standards!$B$2:$B$296,0)),INDEX(Standards!$F$2:$F$296,MATCH(C460,Standards!$B$2:$B$296,0)))</f>
        <v>45444</v>
      </c>
      <c r="S460">
        <f t="shared" si="23"/>
        <v>1</v>
      </c>
    </row>
    <row r="461" spans="1:19" x14ac:dyDescent="0.5">
      <c r="A461">
        <v>436</v>
      </c>
      <c r="B461" t="s">
        <v>283</v>
      </c>
      <c r="C461" t="s">
        <v>241</v>
      </c>
      <c r="D461">
        <f>INDEX(Standards!$A$2:$A$296,MATCH(B461,Standards!$B$2:$B$296,0))</f>
        <v>111</v>
      </c>
      <c r="E461">
        <f>INDEX(Standards!$A$2:$A$296,MATCH(C461,Standards!$B$2:$B$296,0))</f>
        <v>95</v>
      </c>
      <c r="F461" t="str">
        <f>INDEX(Standards!$N$2:$N$296,MATCH(B461,Standards!$B$2:$B$296,0))</f>
        <v>#4472C4</v>
      </c>
      <c r="G461" t="str">
        <f>INDEX(Standards!$N$2:$N$296,MATCH(C461,Standards!$B$2:$B$296,0))</f>
        <v>#F2F2F2</v>
      </c>
      <c r="H461" t="s">
        <v>521</v>
      </c>
      <c r="I461" t="s">
        <v>237</v>
      </c>
      <c r="J461" t="str">
        <f>INDEX(Standards!$H$2:$H$296,MATCH(B461,Standards!$B$2:$B$296,0))</f>
        <v>Industrial Automation</v>
      </c>
      <c r="K461" t="str">
        <f>INDEX(Standards!$H$2:$H$296,MATCH(C461,Standards!$B$2:$B$296,0))</f>
        <v>Anchor</v>
      </c>
      <c r="L461" t="b">
        <f>AND(TableRelationships[[#This Row],[Source Type]]="BIM",TableRelationships[[#This Row],[Target Type]]="BIM")</f>
        <v>0</v>
      </c>
      <c r="M461">
        <f t="shared" si="21"/>
        <v>2</v>
      </c>
      <c r="O461">
        <f t="shared" si="22"/>
        <v>1</v>
      </c>
      <c r="P461" t="str">
        <f>IF(TableRelationships[[#This Row],[Rank Pedro]]="Low","linkCategory1",IF(TableRelationships[[#This Row],[Rank Pedro]]="Medium","linkCategory2",IF(TableRelationships[[#This Row],[Rank Pedro]]="High","linkCategory3","")))</f>
        <v/>
      </c>
      <c r="Q461" t="str">
        <f>IF(TableRelationships[[#This Row],[Rank Pedro]]="Low","Pink",IF(TableRelationships[[#This Row],[Rank Pedro]]="Medium","Purple",IF(TableRelationships[[#This Row],[Rank Pedro]]="High","Brown","")))</f>
        <v/>
      </c>
      <c r="R461" s="4">
        <f>MAX(INDEX(Standards!$F$2:$F$296,MATCH(B461,Standards!$B$2:$B$296,0)),INDEX(Standards!$F$2:$F$296,MATCH(C461,Standards!$B$2:$B$296,0)))</f>
        <v>29221</v>
      </c>
      <c r="S461">
        <f t="shared" si="23"/>
        <v>1</v>
      </c>
    </row>
    <row r="462" spans="1:19" x14ac:dyDescent="0.5">
      <c r="A462" s="82">
        <v>423</v>
      </c>
      <c r="B462" t="s">
        <v>484</v>
      </c>
      <c r="C462" t="s">
        <v>482</v>
      </c>
      <c r="D462">
        <f>INDEX(Standards!$A$2:$A$296,MATCH(B462,Standards!$B$2:$B$296,0))</f>
        <v>196</v>
      </c>
      <c r="E462">
        <f>INDEX(Standards!$A$2:$A$296,MATCH(C462,Standards!$B$2:$B$296,0))</f>
        <v>213</v>
      </c>
      <c r="F462" t="str">
        <f>INDEX(Standards!$N$2:$N$296,MATCH(B462,Standards!$B$2:$B$296,0))</f>
        <v>#70AD47</v>
      </c>
      <c r="G462" t="str">
        <f>INDEX(Standards!$N$2:$N$296,MATCH(C462,Standards!$B$2:$B$296,0))</f>
        <v>#595959</v>
      </c>
      <c r="H462" t="s">
        <v>521</v>
      </c>
      <c r="I462" t="s">
        <v>525</v>
      </c>
      <c r="J462" t="str">
        <f>INDEX(Standards!$H$2:$H$296,MATCH(B462,Standards!$B$2:$B$296,0))</f>
        <v>BIM</v>
      </c>
      <c r="K462" t="str">
        <f>INDEX(Standards!$H$2:$H$296,MATCH(C462,Standards!$B$2:$B$296,0))</f>
        <v>Other</v>
      </c>
      <c r="L462" t="b">
        <f>AND(TableRelationships[[#This Row],[Source Type]]="BIM",TableRelationships[[#This Row],[Target Type]]="BIM")</f>
        <v>0</v>
      </c>
      <c r="M462">
        <f t="shared" si="21"/>
        <v>1</v>
      </c>
      <c r="N462" s="82" t="s">
        <v>526</v>
      </c>
      <c r="O462">
        <f t="shared" si="22"/>
        <v>2</v>
      </c>
      <c r="P462" t="str">
        <f>IF(TableRelationships[[#This Row],[Rank Pedro]]="Low","linkCategory1",IF(TableRelationships[[#This Row],[Rank Pedro]]="Medium","linkCategory2",IF(TableRelationships[[#This Row],[Rank Pedro]]="High","linkCategory3","")))</f>
        <v>linkCategory1</v>
      </c>
      <c r="Q462" t="str">
        <f>IF(TableRelationships[[#This Row],[Rank Pedro]]="Low","Pink",IF(TableRelationships[[#This Row],[Rank Pedro]]="Medium","Purple",IF(TableRelationships[[#This Row],[Rank Pedro]]="High","Brown","")))</f>
        <v>Pink</v>
      </c>
      <c r="R462" s="4">
        <f>MAX(INDEX(Standards!$F$2:$F$296,MATCH(B462,Standards!$B$2:$B$296,0)),INDEX(Standards!$F$2:$F$296,MATCH(C462,Standards!$B$2:$B$296,0)))</f>
        <v>45444</v>
      </c>
      <c r="S462" t="str">
        <f t="shared" si="23"/>
        <v>#2f89d1</v>
      </c>
    </row>
    <row r="463" spans="1:19" x14ac:dyDescent="0.5">
      <c r="A463">
        <v>437</v>
      </c>
      <c r="B463" t="s">
        <v>291</v>
      </c>
      <c r="C463" t="s">
        <v>241</v>
      </c>
      <c r="D463">
        <f>INDEX(Standards!$A$2:$A$296,MATCH(B463,Standards!$B$2:$B$296,0))</f>
        <v>115</v>
      </c>
      <c r="E463">
        <f>INDEX(Standards!$A$2:$A$296,MATCH(C463,Standards!$B$2:$B$296,0))</f>
        <v>95</v>
      </c>
      <c r="F463" t="str">
        <f>INDEX(Standards!$N$2:$N$296,MATCH(B463,Standards!$B$2:$B$296,0))</f>
        <v>#4472C4</v>
      </c>
      <c r="G463" t="str">
        <f>INDEX(Standards!$N$2:$N$296,MATCH(C463,Standards!$B$2:$B$296,0))</f>
        <v>#F2F2F2</v>
      </c>
      <c r="H463" t="s">
        <v>521</v>
      </c>
      <c r="I463" t="s">
        <v>237</v>
      </c>
      <c r="J463" t="str">
        <f>INDEX(Standards!$H$2:$H$296,MATCH(B463,Standards!$B$2:$B$296,0))</f>
        <v>Industrial Automation</v>
      </c>
      <c r="K463" t="str">
        <f>INDEX(Standards!$H$2:$H$296,MATCH(C463,Standards!$B$2:$B$296,0))</f>
        <v>Anchor</v>
      </c>
      <c r="L463" t="b">
        <f>AND(TableRelationships[[#This Row],[Source Type]]="BIM",TableRelationships[[#This Row],[Target Type]]="BIM")</f>
        <v>0</v>
      </c>
      <c r="M463">
        <f t="shared" si="21"/>
        <v>2</v>
      </c>
      <c r="O463">
        <f t="shared" si="22"/>
        <v>1</v>
      </c>
      <c r="P463" t="str">
        <f>IF(TableRelationships[[#This Row],[Rank Pedro]]="Low","linkCategory1",IF(TableRelationships[[#This Row],[Rank Pedro]]="Medium","linkCategory2",IF(TableRelationships[[#This Row],[Rank Pedro]]="High","linkCategory3","")))</f>
        <v/>
      </c>
      <c r="Q463" t="str">
        <f>IF(TableRelationships[[#This Row],[Rank Pedro]]="Low","Pink",IF(TableRelationships[[#This Row],[Rank Pedro]]="Medium","Purple",IF(TableRelationships[[#This Row],[Rank Pedro]]="High","Brown","")))</f>
        <v/>
      </c>
      <c r="R463" s="4">
        <f>MAX(INDEX(Standards!$F$2:$F$296,MATCH(B463,Standards!$B$2:$B$296,0)),INDEX(Standards!$F$2:$F$296,MATCH(C463,Standards!$B$2:$B$296,0)))</f>
        <v>42217</v>
      </c>
      <c r="S463">
        <f t="shared" si="23"/>
        <v>1</v>
      </c>
    </row>
    <row r="464" spans="1:19" x14ac:dyDescent="0.5">
      <c r="A464">
        <v>438</v>
      </c>
      <c r="B464" t="s">
        <v>249</v>
      </c>
      <c r="C464" t="s">
        <v>240</v>
      </c>
      <c r="D464">
        <f>INDEX(Standards!$A$2:$A$296,MATCH(B464,Standards!$B$2:$B$296,0))</f>
        <v>100</v>
      </c>
      <c r="E464">
        <f>INDEX(Standards!$A$2:$A$296,MATCH(C464,Standards!$B$2:$B$296,0))</f>
        <v>94</v>
      </c>
      <c r="F464" t="str">
        <f>INDEX(Standards!$N$2:$N$296,MATCH(B464,Standards!$B$2:$B$296,0))</f>
        <v>#595959</v>
      </c>
      <c r="G464" t="str">
        <f>INDEX(Standards!$N$2:$N$296,MATCH(C464,Standards!$B$2:$B$296,0))</f>
        <v>#F2F2F2</v>
      </c>
      <c r="H464" t="s">
        <v>521</v>
      </c>
      <c r="I464" t="s">
        <v>237</v>
      </c>
      <c r="J464" t="str">
        <f>INDEX(Standards!$H$2:$H$296,MATCH(B464,Standards!$B$2:$B$296,0))</f>
        <v>Other</v>
      </c>
      <c r="K464" t="str">
        <f>INDEX(Standards!$H$2:$H$296,MATCH(C464,Standards!$B$2:$B$296,0))</f>
        <v>Anchor</v>
      </c>
      <c r="L464" t="b">
        <f>AND(TableRelationships[[#This Row],[Source Type]]="BIM",TableRelationships[[#This Row],[Target Type]]="BIM")</f>
        <v>0</v>
      </c>
      <c r="M464">
        <f t="shared" si="21"/>
        <v>2</v>
      </c>
      <c r="O464">
        <f t="shared" si="22"/>
        <v>1</v>
      </c>
      <c r="P464" t="str">
        <f>IF(TableRelationships[[#This Row],[Rank Pedro]]="Low","linkCategory1",IF(TableRelationships[[#This Row],[Rank Pedro]]="Medium","linkCategory2",IF(TableRelationships[[#This Row],[Rank Pedro]]="High","linkCategory3","")))</f>
        <v/>
      </c>
      <c r="Q464" t="str">
        <f>IF(TableRelationships[[#This Row],[Rank Pedro]]="Low","Pink",IF(TableRelationships[[#This Row],[Rank Pedro]]="Medium","Purple",IF(TableRelationships[[#This Row],[Rank Pedro]]="High","Brown","")))</f>
        <v/>
      </c>
      <c r="R464" s="4">
        <f>MAX(INDEX(Standards!$F$2:$F$296,MATCH(B464,Standards!$B$2:$B$296,0)),INDEX(Standards!$F$2:$F$296,MATCH(C464,Standards!$B$2:$B$296,0)))</f>
        <v>37258</v>
      </c>
      <c r="S464">
        <f t="shared" si="23"/>
        <v>1</v>
      </c>
    </row>
    <row r="465" spans="1:19" x14ac:dyDescent="0.5">
      <c r="A465">
        <v>439</v>
      </c>
      <c r="B465" t="s">
        <v>182</v>
      </c>
      <c r="C465" t="s">
        <v>240</v>
      </c>
      <c r="D465">
        <f>INDEX(Standards!$A$2:$A$296,MATCH(B465,Standards!$B$2:$B$296,0))</f>
        <v>67</v>
      </c>
      <c r="E465">
        <f>INDEX(Standards!$A$2:$A$296,MATCH(C465,Standards!$B$2:$B$296,0))</f>
        <v>94</v>
      </c>
      <c r="F465" t="str">
        <f>INDEX(Standards!$N$2:$N$296,MATCH(B465,Standards!$B$2:$B$296,0))</f>
        <v>#595959</v>
      </c>
      <c r="G465" t="str">
        <f>INDEX(Standards!$N$2:$N$296,MATCH(C465,Standards!$B$2:$B$296,0))</f>
        <v>#F2F2F2</v>
      </c>
      <c r="H465" t="s">
        <v>521</v>
      </c>
      <c r="I465" t="s">
        <v>237</v>
      </c>
      <c r="J465" t="str">
        <f>INDEX(Standards!$H$2:$H$296,MATCH(B465,Standards!$B$2:$B$296,0))</f>
        <v>Other</v>
      </c>
      <c r="K465" t="str">
        <f>INDEX(Standards!$H$2:$H$296,MATCH(C465,Standards!$B$2:$B$296,0))</f>
        <v>Anchor</v>
      </c>
      <c r="L465" t="b">
        <f>AND(TableRelationships[[#This Row],[Source Type]]="BIM",TableRelationships[[#This Row],[Target Type]]="BIM")</f>
        <v>0</v>
      </c>
      <c r="M465">
        <f t="shared" si="21"/>
        <v>2</v>
      </c>
      <c r="O465">
        <f t="shared" si="22"/>
        <v>1</v>
      </c>
      <c r="P465" t="str">
        <f>IF(TableRelationships[[#This Row],[Rank Pedro]]="Low","linkCategory1",IF(TableRelationships[[#This Row],[Rank Pedro]]="Medium","linkCategory2",IF(TableRelationships[[#This Row],[Rank Pedro]]="High","linkCategory3","")))</f>
        <v/>
      </c>
      <c r="Q465" t="str">
        <f>IF(TableRelationships[[#This Row],[Rank Pedro]]="Low","Pink",IF(TableRelationships[[#This Row],[Rank Pedro]]="Medium","Purple",IF(TableRelationships[[#This Row],[Rank Pedro]]="High","Brown","")))</f>
        <v/>
      </c>
      <c r="R465" s="4">
        <f>MAX(INDEX(Standards!$F$2:$F$296,MATCH(B465,Standards!$B$2:$B$296,0)),INDEX(Standards!$F$2:$F$296,MATCH(C465,Standards!$B$2:$B$296,0)))</f>
        <v>33786</v>
      </c>
      <c r="S465">
        <f t="shared" si="23"/>
        <v>1</v>
      </c>
    </row>
    <row r="466" spans="1:19" x14ac:dyDescent="0.5">
      <c r="A466">
        <v>440</v>
      </c>
      <c r="B466" t="s">
        <v>59</v>
      </c>
      <c r="C466" t="s">
        <v>243</v>
      </c>
      <c r="D466">
        <f>INDEX(Standards!$A$2:$A$296,MATCH(B466,Standards!$B$2:$B$296,0))</f>
        <v>14</v>
      </c>
      <c r="E466">
        <f>INDEX(Standards!$A$2:$A$296,MATCH(C466,Standards!$B$2:$B$296,0))</f>
        <v>97</v>
      </c>
      <c r="F466" t="str">
        <f>INDEX(Standards!$N$2:$N$296,MATCH(B466,Standards!$B$2:$B$296,0))</f>
        <v>#FFC000</v>
      </c>
      <c r="G466" t="str">
        <f>INDEX(Standards!$N$2:$N$296,MATCH(C466,Standards!$B$2:$B$296,0))</f>
        <v>#F2F2F2</v>
      </c>
      <c r="H466" t="s">
        <v>521</v>
      </c>
      <c r="I466" t="s">
        <v>237</v>
      </c>
      <c r="J466" t="str">
        <f>INDEX(Standards!$H$2:$H$296,MATCH(B466,Standards!$B$2:$B$296,0))</f>
        <v>PM</v>
      </c>
      <c r="K466" t="str">
        <f>INDEX(Standards!$H$2:$H$296,MATCH(C466,Standards!$B$2:$B$296,0))</f>
        <v>Anchor</v>
      </c>
      <c r="L466" t="b">
        <f>AND(TableRelationships[[#This Row],[Source Type]]="BIM",TableRelationships[[#This Row],[Target Type]]="BIM")</f>
        <v>0</v>
      </c>
      <c r="M466">
        <f t="shared" si="21"/>
        <v>2</v>
      </c>
      <c r="O466">
        <f t="shared" si="22"/>
        <v>1</v>
      </c>
      <c r="P466" t="str">
        <f>IF(TableRelationships[[#This Row],[Rank Pedro]]="Low","linkCategory1",IF(TableRelationships[[#This Row],[Rank Pedro]]="Medium","linkCategory2",IF(TableRelationships[[#This Row],[Rank Pedro]]="High","linkCategory3","")))</f>
        <v/>
      </c>
      <c r="Q466" t="str">
        <f>IF(TableRelationships[[#This Row],[Rank Pedro]]="Low","Pink",IF(TableRelationships[[#This Row],[Rank Pedro]]="Medium","Purple",IF(TableRelationships[[#This Row],[Rank Pedro]]="High","Brown","")))</f>
        <v/>
      </c>
      <c r="R466" s="4">
        <f>MAX(INDEX(Standards!$F$2:$F$296,MATCH(B466,Standards!$B$2:$B$296,0)),INDEX(Standards!$F$2:$F$296,MATCH(C466,Standards!$B$2:$B$296,0)))</f>
        <v>40909</v>
      </c>
      <c r="S466">
        <f t="shared" si="23"/>
        <v>1</v>
      </c>
    </row>
    <row r="467" spans="1:19" x14ac:dyDescent="0.5">
      <c r="A467">
        <v>441</v>
      </c>
      <c r="B467" t="s">
        <v>386</v>
      </c>
      <c r="C467" t="s">
        <v>238</v>
      </c>
      <c r="D467">
        <f>INDEX(Standards!$A$2:$A$296,MATCH(B467,Standards!$B$2:$B$296,0))</f>
        <v>167</v>
      </c>
      <c r="E467">
        <f>INDEX(Standards!$A$2:$A$296,MATCH(C467,Standards!$B$2:$B$296,0))</f>
        <v>92</v>
      </c>
      <c r="F467" t="str">
        <f>INDEX(Standards!$N$2:$N$296,MATCH(B467,Standards!$B$2:$B$296,0))</f>
        <v>#7030A0</v>
      </c>
      <c r="G467" t="str">
        <f>INDEX(Standards!$N$2:$N$296,MATCH(C467,Standards!$B$2:$B$296,0))</f>
        <v>#F2F2F2</v>
      </c>
      <c r="H467" t="s">
        <v>521</v>
      </c>
      <c r="I467" t="s">
        <v>237</v>
      </c>
      <c r="J467" t="str">
        <f>INDEX(Standards!$H$2:$H$296,MATCH(B467,Standards!$B$2:$B$296,0))</f>
        <v>ICT</v>
      </c>
      <c r="K467" t="str">
        <f>INDEX(Standards!$H$2:$H$296,MATCH(C467,Standards!$B$2:$B$296,0))</f>
        <v>Anchor</v>
      </c>
      <c r="L467" t="b">
        <f>AND(TableRelationships[[#This Row],[Source Type]]="BIM",TableRelationships[[#This Row],[Target Type]]="BIM")</f>
        <v>0</v>
      </c>
      <c r="M467">
        <f t="shared" si="21"/>
        <v>2</v>
      </c>
      <c r="O467">
        <f t="shared" si="22"/>
        <v>1</v>
      </c>
      <c r="P467" t="str">
        <f>IF(TableRelationships[[#This Row],[Rank Pedro]]="Low","linkCategory1",IF(TableRelationships[[#This Row],[Rank Pedro]]="Medium","linkCategory2",IF(TableRelationships[[#This Row],[Rank Pedro]]="High","linkCategory3","")))</f>
        <v/>
      </c>
      <c r="Q467" t="str">
        <f>IF(TableRelationships[[#This Row],[Rank Pedro]]="Low","Pink",IF(TableRelationships[[#This Row],[Rank Pedro]]="Medium","Purple",IF(TableRelationships[[#This Row],[Rank Pedro]]="High","Brown","")))</f>
        <v/>
      </c>
      <c r="R467" s="4">
        <f>MAX(INDEX(Standards!$F$2:$F$296,MATCH(B467,Standards!$B$2:$B$296,0)),INDEX(Standards!$F$2:$F$296,MATCH(C467,Standards!$B$2:$B$296,0)))</f>
        <v>43101</v>
      </c>
      <c r="S467">
        <f t="shared" si="23"/>
        <v>1</v>
      </c>
    </row>
    <row r="468" spans="1:19" x14ac:dyDescent="0.5">
      <c r="A468">
        <v>442</v>
      </c>
      <c r="B468" t="s">
        <v>381</v>
      </c>
      <c r="C468" t="s">
        <v>527</v>
      </c>
      <c r="D468">
        <f>INDEX(Standards!$A$2:$A$296,MATCH(B468,Standards!$B$2:$B$296,0))</f>
        <v>165</v>
      </c>
      <c r="E468">
        <f>INDEX(Standards!$A$2:$A$296,MATCH(C468,Standards!$B$2:$B$296,0))</f>
        <v>161</v>
      </c>
      <c r="F468" t="str">
        <f>INDEX(Standards!$N$2:$N$296,MATCH(B468,Standards!$B$2:$B$296,0))</f>
        <v>#9BC2E6</v>
      </c>
      <c r="G468" t="str">
        <f>INDEX(Standards!$N$2:$N$296,MATCH(C468,Standards!$B$2:$B$296,0))</f>
        <v>#F2F2F2</v>
      </c>
      <c r="H468" t="s">
        <v>521</v>
      </c>
      <c r="I468" t="s">
        <v>237</v>
      </c>
      <c r="J468" t="str">
        <f>INDEX(Standards!$H$2:$H$296,MATCH(B468,Standards!$B$2:$B$296,0))</f>
        <v>GIS</v>
      </c>
      <c r="K468" t="str">
        <f>INDEX(Standards!$H$2:$H$296,MATCH(C468,Standards!$B$2:$B$296,0))</f>
        <v>Anchor</v>
      </c>
      <c r="L468" t="b">
        <f>AND(TableRelationships[[#This Row],[Source Type]]="BIM",TableRelationships[[#This Row],[Target Type]]="BIM")</f>
        <v>0</v>
      </c>
      <c r="M468">
        <f t="shared" si="21"/>
        <v>2</v>
      </c>
      <c r="O468">
        <f t="shared" si="22"/>
        <v>1</v>
      </c>
      <c r="P468" t="str">
        <f>IF(TableRelationships[[#This Row],[Rank Pedro]]="Low","linkCategory1",IF(TableRelationships[[#This Row],[Rank Pedro]]="Medium","linkCategory2",IF(TableRelationships[[#This Row],[Rank Pedro]]="High","linkCategory3","")))</f>
        <v/>
      </c>
      <c r="Q468" t="str">
        <f>IF(TableRelationships[[#This Row],[Rank Pedro]]="Low","Pink",IF(TableRelationships[[#This Row],[Rank Pedro]]="Medium","Purple",IF(TableRelationships[[#This Row],[Rank Pedro]]="High","Brown","")))</f>
        <v/>
      </c>
      <c r="R468" s="4">
        <f>MAX(INDEX(Standards!$F$2:$F$296,MATCH(B468,Standards!$B$2:$B$296,0)),INDEX(Standards!$F$2:$F$296,MATCH(C468,Standards!$B$2:$B$296,0)))</f>
        <v>40299</v>
      </c>
      <c r="S468">
        <f t="shared" si="23"/>
        <v>1</v>
      </c>
    </row>
    <row r="469" spans="1:19" x14ac:dyDescent="0.5">
      <c r="A469">
        <v>443</v>
      </c>
      <c r="B469" t="s">
        <v>379</v>
      </c>
      <c r="C469" t="s">
        <v>242</v>
      </c>
      <c r="D469">
        <f>INDEX(Standards!$A$2:$A$296,MATCH(B469,Standards!$B$2:$B$296,0))</f>
        <v>164</v>
      </c>
      <c r="E469">
        <f>INDEX(Standards!$A$2:$A$296,MATCH(C469,Standards!$B$2:$B$296,0))</f>
        <v>96</v>
      </c>
      <c r="F469" t="str">
        <f>INDEX(Standards!$N$2:$N$296,MATCH(B469,Standards!$B$2:$B$296,0))</f>
        <v>#44546A</v>
      </c>
      <c r="G469" t="str">
        <f>INDEX(Standards!$N$2:$N$296,MATCH(C469,Standards!$B$2:$B$296,0))</f>
        <v>#F2F2F2</v>
      </c>
      <c r="H469" t="s">
        <v>521</v>
      </c>
      <c r="I469" t="s">
        <v>237</v>
      </c>
      <c r="J469" t="str">
        <f>INDEX(Standards!$H$2:$H$296,MATCH(B469,Standards!$B$2:$B$296,0))</f>
        <v>FM</v>
      </c>
      <c r="K469" t="str">
        <f>INDEX(Standards!$H$2:$H$296,MATCH(C469,Standards!$B$2:$B$296,0))</f>
        <v>Anchor</v>
      </c>
      <c r="L469" t="b">
        <f>AND(TableRelationships[[#This Row],[Source Type]]="BIM",TableRelationships[[#This Row],[Target Type]]="BIM")</f>
        <v>0</v>
      </c>
      <c r="M469">
        <f t="shared" si="21"/>
        <v>2</v>
      </c>
      <c r="O469">
        <f t="shared" si="22"/>
        <v>1</v>
      </c>
      <c r="P469" t="str">
        <f>IF(TableRelationships[[#This Row],[Rank Pedro]]="Low","linkCategory1",IF(TableRelationships[[#This Row],[Rank Pedro]]="Medium","linkCategory2",IF(TableRelationships[[#This Row],[Rank Pedro]]="High","linkCategory3","")))</f>
        <v/>
      </c>
      <c r="Q469" t="str">
        <f>IF(TableRelationships[[#This Row],[Rank Pedro]]="Low","Pink",IF(TableRelationships[[#This Row],[Rank Pedro]]="Medium","Purple",IF(TableRelationships[[#This Row],[Rank Pedro]]="High","Brown","")))</f>
        <v/>
      </c>
      <c r="R469" s="4">
        <f>MAX(INDEX(Standards!$F$2:$F$296,MATCH(B469,Standards!$B$2:$B$296,0)),INDEX(Standards!$F$2:$F$296,MATCH(C469,Standards!$B$2:$B$296,0)))</f>
        <v>41000</v>
      </c>
      <c r="S469">
        <f t="shared" si="23"/>
        <v>1</v>
      </c>
    </row>
    <row r="470" spans="1:19" x14ac:dyDescent="0.5">
      <c r="A470">
        <v>444</v>
      </c>
      <c r="B470" t="s">
        <v>383</v>
      </c>
      <c r="C470" t="s">
        <v>529</v>
      </c>
      <c r="D470">
        <f>INDEX(Standards!$A$2:$A$296,MATCH(B470,Standards!$B$2:$B$296,0))</f>
        <v>166</v>
      </c>
      <c r="E470">
        <f>INDEX(Standards!$A$2:$A$296,MATCH(C470,Standards!$B$2:$B$296,0))</f>
        <v>162</v>
      </c>
      <c r="F470" t="str">
        <f>INDEX(Standards!$N$2:$N$296,MATCH(B470,Standards!$B$2:$B$296,0))</f>
        <v>#8497B0</v>
      </c>
      <c r="G470" t="str">
        <f>INDEX(Standards!$N$2:$N$296,MATCH(C470,Standards!$B$2:$B$296,0))</f>
        <v>#F2F2F2</v>
      </c>
      <c r="H470" t="s">
        <v>521</v>
      </c>
      <c r="I470" t="s">
        <v>237</v>
      </c>
      <c r="J470" t="str">
        <f>INDEX(Standards!$H$2:$H$296,MATCH(B470,Standards!$B$2:$B$296,0))</f>
        <v>HIS</v>
      </c>
      <c r="K470" t="str">
        <f>INDEX(Standards!$H$2:$H$296,MATCH(C470,Standards!$B$2:$B$296,0))</f>
        <v>Anchor</v>
      </c>
      <c r="L470" t="b">
        <f>AND(TableRelationships[[#This Row],[Source Type]]="BIM",TableRelationships[[#This Row],[Target Type]]="BIM")</f>
        <v>0</v>
      </c>
      <c r="M470">
        <f t="shared" si="21"/>
        <v>2</v>
      </c>
      <c r="O470">
        <f t="shared" si="22"/>
        <v>1</v>
      </c>
      <c r="P470" t="str">
        <f>IF(TableRelationships[[#This Row],[Rank Pedro]]="Low","linkCategory1",IF(TableRelationships[[#This Row],[Rank Pedro]]="Medium","linkCategory2",IF(TableRelationships[[#This Row],[Rank Pedro]]="High","linkCategory3","")))</f>
        <v/>
      </c>
      <c r="Q470" t="str">
        <f>IF(TableRelationships[[#This Row],[Rank Pedro]]="Low","Pink",IF(TableRelationships[[#This Row],[Rank Pedro]]="Medium","Purple",IF(TableRelationships[[#This Row],[Rank Pedro]]="High","Brown","")))</f>
        <v/>
      </c>
      <c r="R470" s="4">
        <f>MAX(INDEX(Standards!$F$2:$F$296,MATCH(B470,Standards!$B$2:$B$296,0)),INDEX(Standards!$F$2:$F$296,MATCH(C470,Standards!$B$2:$B$296,0)))</f>
        <v>38139</v>
      </c>
      <c r="S470">
        <f t="shared" si="23"/>
        <v>1</v>
      </c>
    </row>
    <row r="471" spans="1:19" x14ac:dyDescent="0.5">
      <c r="A471" s="82">
        <v>425</v>
      </c>
      <c r="B471" t="s">
        <v>484</v>
      </c>
      <c r="C471" t="s">
        <v>218</v>
      </c>
      <c r="D471">
        <f>INDEX(Standards!$A$2:$A$296,MATCH(B471,Standards!$B$2:$B$296,0))</f>
        <v>196</v>
      </c>
      <c r="E471">
        <f>INDEX(Standards!$A$2:$A$296,MATCH(C471,Standards!$B$2:$B$296,0))</f>
        <v>84</v>
      </c>
      <c r="F471" t="str">
        <f>INDEX(Standards!$N$2:$N$296,MATCH(B471,Standards!$B$2:$B$296,0))</f>
        <v>#70AD47</v>
      </c>
      <c r="G471" t="str">
        <f>INDEX(Standards!$N$2:$N$296,MATCH(C471,Standards!$B$2:$B$296,0))</f>
        <v>#595959</v>
      </c>
      <c r="H471" t="s">
        <v>521</v>
      </c>
      <c r="I471" t="s">
        <v>525</v>
      </c>
      <c r="J471" t="str">
        <f>INDEX(Standards!$H$2:$H$296,MATCH(B471,Standards!$B$2:$B$296,0))</f>
        <v>BIM</v>
      </c>
      <c r="K471" t="str">
        <f>INDEX(Standards!$H$2:$H$296,MATCH(C471,Standards!$B$2:$B$296,0))</f>
        <v>Other</v>
      </c>
      <c r="L471" t="b">
        <f>AND(TableRelationships[[#This Row],[Source Type]]="BIM",TableRelationships[[#This Row],[Target Type]]="BIM")</f>
        <v>0</v>
      </c>
      <c r="M471">
        <f t="shared" si="21"/>
        <v>1</v>
      </c>
      <c r="N471" s="82" t="s">
        <v>526</v>
      </c>
      <c r="O471">
        <f t="shared" si="22"/>
        <v>2</v>
      </c>
      <c r="P471" t="str">
        <f>IF(TableRelationships[[#This Row],[Rank Pedro]]="Low","linkCategory1",IF(TableRelationships[[#This Row],[Rank Pedro]]="Medium","linkCategory2",IF(TableRelationships[[#This Row],[Rank Pedro]]="High","linkCategory3","")))</f>
        <v>linkCategory1</v>
      </c>
      <c r="Q471" t="str">
        <f>IF(TableRelationships[[#This Row],[Rank Pedro]]="Low","Pink",IF(TableRelationships[[#This Row],[Rank Pedro]]="Medium","Purple",IF(TableRelationships[[#This Row],[Rank Pedro]]="High","Brown","")))</f>
        <v>Pink</v>
      </c>
      <c r="R471" s="4">
        <f>MAX(INDEX(Standards!$F$2:$F$296,MATCH(B471,Standards!$B$2:$B$296,0)),INDEX(Standards!$F$2:$F$296,MATCH(C471,Standards!$B$2:$B$296,0)))</f>
        <v>45444</v>
      </c>
      <c r="S471" t="str">
        <f t="shared" si="23"/>
        <v>#2f89d1</v>
      </c>
    </row>
    <row r="472" spans="1:19" x14ac:dyDescent="0.5">
      <c r="A472" s="82">
        <v>433</v>
      </c>
      <c r="B472" t="s">
        <v>484</v>
      </c>
      <c r="C472" t="s">
        <v>63</v>
      </c>
      <c r="D472">
        <f>INDEX(Standards!$A$2:$A$296,MATCH(B472,Standards!$B$2:$B$296,0))</f>
        <v>196</v>
      </c>
      <c r="E472">
        <f>INDEX(Standards!$A$2:$A$296,MATCH(C472,Standards!$B$2:$B$296,0))</f>
        <v>6</v>
      </c>
      <c r="F472" t="str">
        <f>INDEX(Standards!$N$2:$N$296,MATCH(B472,Standards!$B$2:$B$296,0))</f>
        <v>#70AD47</v>
      </c>
      <c r="G472" t="str">
        <f>INDEX(Standards!$N$2:$N$296,MATCH(C472,Standards!$B$2:$B$296,0))</f>
        <v>#70AD47</v>
      </c>
      <c r="H472" t="s">
        <v>521</v>
      </c>
      <c r="I472" t="s">
        <v>525</v>
      </c>
      <c r="J472" t="str">
        <f>INDEX(Standards!$H$2:$H$296,MATCH(B472,Standards!$B$2:$B$296,0))</f>
        <v>BIM</v>
      </c>
      <c r="K472" t="str">
        <f>INDEX(Standards!$H$2:$H$296,MATCH(C472,Standards!$B$2:$B$296,0))</f>
        <v>BIM</v>
      </c>
      <c r="L472" t="b">
        <f>AND(TableRelationships[[#This Row],[Source Type]]="BIM",TableRelationships[[#This Row],[Target Type]]="BIM")</f>
        <v>1</v>
      </c>
      <c r="M472">
        <f t="shared" si="21"/>
        <v>1</v>
      </c>
      <c r="N472" s="82" t="s">
        <v>526</v>
      </c>
      <c r="O472">
        <f t="shared" si="22"/>
        <v>2</v>
      </c>
      <c r="P472" t="str">
        <f>IF(TableRelationships[[#This Row],[Rank Pedro]]="Low","linkCategory1",IF(TableRelationships[[#This Row],[Rank Pedro]]="Medium","linkCategory2",IF(TableRelationships[[#This Row],[Rank Pedro]]="High","linkCategory3","")))</f>
        <v>linkCategory1</v>
      </c>
      <c r="Q472" t="str">
        <f>IF(TableRelationships[[#This Row],[Rank Pedro]]="Low","Pink",IF(TableRelationships[[#This Row],[Rank Pedro]]="Medium","Purple",IF(TableRelationships[[#This Row],[Rank Pedro]]="High","Brown","")))</f>
        <v>Pink</v>
      </c>
      <c r="R472" s="4">
        <f>MAX(INDEX(Standards!$F$2:$F$296,MATCH(B472,Standards!$B$2:$B$296,0)),INDEX(Standards!$F$2:$F$296,MATCH(C472,Standards!$B$2:$B$296,0)))</f>
        <v>45444</v>
      </c>
      <c r="S472" t="str">
        <f t="shared" si="23"/>
        <v>#2f89d1</v>
      </c>
    </row>
    <row r="473" spans="1:19" x14ac:dyDescent="0.5">
      <c r="A473" s="82">
        <v>426</v>
      </c>
      <c r="B473" t="s">
        <v>484</v>
      </c>
      <c r="C473" t="s">
        <v>210</v>
      </c>
      <c r="D473">
        <f>INDEX(Standards!$A$2:$A$296,MATCH(B473,Standards!$B$2:$B$296,0))</f>
        <v>196</v>
      </c>
      <c r="E473">
        <f>INDEX(Standards!$A$2:$A$296,MATCH(C473,Standards!$B$2:$B$296,0))</f>
        <v>9</v>
      </c>
      <c r="F473" t="str">
        <f>INDEX(Standards!$N$2:$N$296,MATCH(B473,Standards!$B$2:$B$296,0))</f>
        <v>#70AD47</v>
      </c>
      <c r="G473" t="str">
        <f>INDEX(Standards!$N$2:$N$296,MATCH(C473,Standards!$B$2:$B$296,0))</f>
        <v>#70AD47</v>
      </c>
      <c r="H473" t="s">
        <v>521</v>
      </c>
      <c r="I473" t="s">
        <v>525</v>
      </c>
      <c r="J473" t="str">
        <f>INDEX(Standards!$H$2:$H$296,MATCH(B473,Standards!$B$2:$B$296,0))</f>
        <v>BIM</v>
      </c>
      <c r="K473" t="str">
        <f>INDEX(Standards!$H$2:$H$296,MATCH(C473,Standards!$B$2:$B$296,0))</f>
        <v>BIM</v>
      </c>
      <c r="L473" t="b">
        <f>AND(TableRelationships[[#This Row],[Source Type]]="BIM",TableRelationships[[#This Row],[Target Type]]="BIM")</f>
        <v>1</v>
      </c>
      <c r="M473">
        <f t="shared" si="21"/>
        <v>1</v>
      </c>
      <c r="N473" s="81" t="s">
        <v>523</v>
      </c>
      <c r="O473">
        <f t="shared" si="22"/>
        <v>10</v>
      </c>
      <c r="P473" t="str">
        <f>IF(TableRelationships[[#This Row],[Rank Pedro]]="Low","linkCategory1",IF(TableRelationships[[#This Row],[Rank Pedro]]="Medium","linkCategory2",IF(TableRelationships[[#This Row],[Rank Pedro]]="High","linkCategory3","")))</f>
        <v>linkCategory3</v>
      </c>
      <c r="Q473" t="str">
        <f>IF(TableRelationships[[#This Row],[Rank Pedro]]="Low","Pink",IF(TableRelationships[[#This Row],[Rank Pedro]]="Medium","Purple",IF(TableRelationships[[#This Row],[Rank Pedro]]="High","Brown","")))</f>
        <v>Brown</v>
      </c>
      <c r="R473" s="4">
        <f>MAX(INDEX(Standards!$F$2:$F$296,MATCH(B473,Standards!$B$2:$B$296,0)),INDEX(Standards!$F$2:$F$296,MATCH(C473,Standards!$B$2:$B$296,0)))</f>
        <v>45444</v>
      </c>
      <c r="S473" t="str">
        <f t="shared" si="23"/>
        <v>#2f89d1</v>
      </c>
    </row>
    <row r="474" spans="1:19" x14ac:dyDescent="0.5">
      <c r="A474" s="82">
        <v>427</v>
      </c>
      <c r="B474" t="s">
        <v>484</v>
      </c>
      <c r="C474" t="s">
        <v>214</v>
      </c>
      <c r="D474">
        <f>INDEX(Standards!$A$2:$A$296,MATCH(B474,Standards!$B$2:$B$296,0))</f>
        <v>196</v>
      </c>
      <c r="E474">
        <f>INDEX(Standards!$A$2:$A$296,MATCH(C474,Standards!$B$2:$B$296,0))</f>
        <v>10</v>
      </c>
      <c r="F474" t="str">
        <f>INDEX(Standards!$N$2:$N$296,MATCH(B474,Standards!$B$2:$B$296,0))</f>
        <v>#70AD47</v>
      </c>
      <c r="G474" t="str">
        <f>INDEX(Standards!$N$2:$N$296,MATCH(C474,Standards!$B$2:$B$296,0))</f>
        <v>#70AD47</v>
      </c>
      <c r="H474" t="s">
        <v>521</v>
      </c>
      <c r="I474" t="s">
        <v>525</v>
      </c>
      <c r="J474" t="str">
        <f>INDEX(Standards!$H$2:$H$296,MATCH(B474,Standards!$B$2:$B$296,0))</f>
        <v>BIM</v>
      </c>
      <c r="K474" t="str">
        <f>INDEX(Standards!$H$2:$H$296,MATCH(C474,Standards!$B$2:$B$296,0))</f>
        <v>BIM</v>
      </c>
      <c r="L474" t="b">
        <f>AND(TableRelationships[[#This Row],[Source Type]]="BIM",TableRelationships[[#This Row],[Target Type]]="BIM")</f>
        <v>1</v>
      </c>
      <c r="M474">
        <f t="shared" si="21"/>
        <v>1</v>
      </c>
      <c r="N474" s="81" t="s">
        <v>528</v>
      </c>
      <c r="O474">
        <f t="shared" si="22"/>
        <v>6</v>
      </c>
      <c r="P474" t="str">
        <f>IF(TableRelationships[[#This Row],[Rank Pedro]]="Low","linkCategory1",IF(TableRelationships[[#This Row],[Rank Pedro]]="Medium","linkCategory2",IF(TableRelationships[[#This Row],[Rank Pedro]]="High","linkCategory3","")))</f>
        <v>linkCategory2</v>
      </c>
      <c r="Q474" t="str">
        <f>IF(TableRelationships[[#This Row],[Rank Pedro]]="Low","Pink",IF(TableRelationships[[#This Row],[Rank Pedro]]="Medium","Purple",IF(TableRelationships[[#This Row],[Rank Pedro]]="High","Brown","")))</f>
        <v>Purple</v>
      </c>
      <c r="R474" s="4">
        <f>MAX(INDEX(Standards!$F$2:$F$296,MATCH(B474,Standards!$B$2:$B$296,0)),INDEX(Standards!$F$2:$F$296,MATCH(C474,Standards!$B$2:$B$296,0)))</f>
        <v>45444</v>
      </c>
      <c r="S474" t="str">
        <f t="shared" si="23"/>
        <v>#2f89d1</v>
      </c>
    </row>
    <row r="475" spans="1:19" x14ac:dyDescent="0.5">
      <c r="A475" s="82">
        <v>428</v>
      </c>
      <c r="B475" t="s">
        <v>484</v>
      </c>
      <c r="C475" t="s">
        <v>224</v>
      </c>
      <c r="D475">
        <f>INDEX(Standards!$A$2:$A$296,MATCH(B475,Standards!$B$2:$B$296,0))</f>
        <v>196</v>
      </c>
      <c r="E475">
        <f>INDEX(Standards!$A$2:$A$296,MATCH(C475,Standards!$B$2:$B$296,0))</f>
        <v>11</v>
      </c>
      <c r="F475" t="str">
        <f>INDEX(Standards!$N$2:$N$296,MATCH(B475,Standards!$B$2:$B$296,0))</f>
        <v>#70AD47</v>
      </c>
      <c r="G475" t="str">
        <f>INDEX(Standards!$N$2:$N$296,MATCH(C475,Standards!$B$2:$B$296,0))</f>
        <v>#70AD47</v>
      </c>
      <c r="H475" t="s">
        <v>521</v>
      </c>
      <c r="I475" t="s">
        <v>525</v>
      </c>
      <c r="J475" t="str">
        <f>INDEX(Standards!$H$2:$H$296,MATCH(B475,Standards!$B$2:$B$296,0))</f>
        <v>BIM</v>
      </c>
      <c r="K475" t="str">
        <f>INDEX(Standards!$H$2:$H$296,MATCH(C475,Standards!$B$2:$B$296,0))</f>
        <v>BIM</v>
      </c>
      <c r="L475" t="b">
        <f>AND(TableRelationships[[#This Row],[Source Type]]="BIM",TableRelationships[[#This Row],[Target Type]]="BIM")</f>
        <v>1</v>
      </c>
      <c r="M475">
        <f t="shared" si="21"/>
        <v>1</v>
      </c>
      <c r="N475" s="81" t="s">
        <v>528</v>
      </c>
      <c r="O475">
        <f t="shared" si="22"/>
        <v>6</v>
      </c>
      <c r="P475" t="str">
        <f>IF(TableRelationships[[#This Row],[Rank Pedro]]="Low","linkCategory1",IF(TableRelationships[[#This Row],[Rank Pedro]]="Medium","linkCategory2",IF(TableRelationships[[#This Row],[Rank Pedro]]="High","linkCategory3","")))</f>
        <v>linkCategory2</v>
      </c>
      <c r="Q475" t="str">
        <f>IF(TableRelationships[[#This Row],[Rank Pedro]]="Low","Pink",IF(TableRelationships[[#This Row],[Rank Pedro]]="Medium","Purple",IF(TableRelationships[[#This Row],[Rank Pedro]]="High","Brown","")))</f>
        <v>Purple</v>
      </c>
      <c r="R475" s="4">
        <f>MAX(INDEX(Standards!$F$2:$F$296,MATCH(B475,Standards!$B$2:$B$296,0)),INDEX(Standards!$F$2:$F$296,MATCH(C475,Standards!$B$2:$B$296,0)))</f>
        <v>45444</v>
      </c>
      <c r="S475" t="str">
        <f t="shared" si="23"/>
        <v>#2f89d1</v>
      </c>
    </row>
    <row r="476" spans="1:19" x14ac:dyDescent="0.5">
      <c r="A476" s="82">
        <v>429</v>
      </c>
      <c r="B476" t="s">
        <v>484</v>
      </c>
      <c r="C476" t="s">
        <v>228</v>
      </c>
      <c r="D476">
        <f>INDEX(Standards!$A$2:$A$296,MATCH(B476,Standards!$B$2:$B$296,0))</f>
        <v>196</v>
      </c>
      <c r="E476">
        <f>INDEX(Standards!$A$2:$A$296,MATCH(C476,Standards!$B$2:$B$296,0))</f>
        <v>168</v>
      </c>
      <c r="F476" t="str">
        <f>INDEX(Standards!$N$2:$N$296,MATCH(B476,Standards!$B$2:$B$296,0))</f>
        <v>#70AD47</v>
      </c>
      <c r="G476" t="str">
        <f>INDEX(Standards!$N$2:$N$296,MATCH(C476,Standards!$B$2:$B$296,0))</f>
        <v>#70AD47</v>
      </c>
      <c r="H476" t="s">
        <v>521</v>
      </c>
      <c r="I476" t="s">
        <v>525</v>
      </c>
      <c r="J476" t="str">
        <f>INDEX(Standards!$H$2:$H$296,MATCH(B476,Standards!$B$2:$B$296,0))</f>
        <v>BIM</v>
      </c>
      <c r="K476" t="str">
        <f>INDEX(Standards!$H$2:$H$296,MATCH(C476,Standards!$B$2:$B$296,0))</f>
        <v>BIM</v>
      </c>
      <c r="L476" t="b">
        <f>AND(TableRelationships[[#This Row],[Source Type]]="BIM",TableRelationships[[#This Row],[Target Type]]="BIM")</f>
        <v>1</v>
      </c>
      <c r="M476">
        <f t="shared" si="21"/>
        <v>1</v>
      </c>
      <c r="N476" s="81" t="s">
        <v>528</v>
      </c>
      <c r="O476">
        <f t="shared" si="22"/>
        <v>6</v>
      </c>
      <c r="P476" t="str">
        <f>IF(TableRelationships[[#This Row],[Rank Pedro]]="Low","linkCategory1",IF(TableRelationships[[#This Row],[Rank Pedro]]="Medium","linkCategory2",IF(TableRelationships[[#This Row],[Rank Pedro]]="High","linkCategory3","")))</f>
        <v>linkCategory2</v>
      </c>
      <c r="Q476" t="str">
        <f>IF(TableRelationships[[#This Row],[Rank Pedro]]="Low","Pink",IF(TableRelationships[[#This Row],[Rank Pedro]]="Medium","Purple",IF(TableRelationships[[#This Row],[Rank Pedro]]="High","Brown","")))</f>
        <v>Purple</v>
      </c>
      <c r="R476" s="4">
        <f>MAX(INDEX(Standards!$F$2:$F$296,MATCH(B476,Standards!$B$2:$B$296,0)),INDEX(Standards!$F$2:$F$296,MATCH(C476,Standards!$B$2:$B$296,0)))</f>
        <v>45444</v>
      </c>
      <c r="S476" t="str">
        <f t="shared" si="23"/>
        <v>#2f89d1</v>
      </c>
    </row>
    <row r="477" spans="1:19" x14ac:dyDescent="0.5">
      <c r="A477" s="82">
        <v>435</v>
      </c>
      <c r="B477" t="s">
        <v>484</v>
      </c>
      <c r="C477" t="s">
        <v>222</v>
      </c>
      <c r="D477">
        <f>INDEX(Standards!$A$2:$A$296,MATCH(B477,Standards!$B$2:$B$296,0))</f>
        <v>196</v>
      </c>
      <c r="E477">
        <f>INDEX(Standards!$A$2:$A$296,MATCH(C477,Standards!$B$2:$B$296,0))</f>
        <v>86</v>
      </c>
      <c r="F477" t="str">
        <f>INDEX(Standards!$N$2:$N$296,MATCH(B477,Standards!$B$2:$B$296,0))</f>
        <v>#70AD47</v>
      </c>
      <c r="G477" t="str">
        <f>INDEX(Standards!$N$2:$N$296,MATCH(C477,Standards!$B$2:$B$296,0))</f>
        <v>#FFC000</v>
      </c>
      <c r="H477" t="s">
        <v>521</v>
      </c>
      <c r="I477" t="s">
        <v>525</v>
      </c>
      <c r="J477" t="str">
        <f>INDEX(Standards!$H$2:$H$296,MATCH(B477,Standards!$B$2:$B$296,0))</f>
        <v>BIM</v>
      </c>
      <c r="K477" t="str">
        <f>INDEX(Standards!$H$2:$H$296,MATCH(C477,Standards!$B$2:$B$296,0))</f>
        <v>PM</v>
      </c>
      <c r="L477" t="b">
        <f>AND(TableRelationships[[#This Row],[Source Type]]="BIM",TableRelationships[[#This Row],[Target Type]]="BIM")</f>
        <v>0</v>
      </c>
      <c r="M477">
        <f t="shared" si="21"/>
        <v>1</v>
      </c>
      <c r="N477" s="82" t="s">
        <v>526</v>
      </c>
      <c r="O477">
        <f t="shared" si="22"/>
        <v>2</v>
      </c>
      <c r="P477" t="str">
        <f>IF(TableRelationships[[#This Row],[Rank Pedro]]="Low","linkCategory1",IF(TableRelationships[[#This Row],[Rank Pedro]]="Medium","linkCategory2",IF(TableRelationships[[#This Row],[Rank Pedro]]="High","linkCategory3","")))</f>
        <v>linkCategory1</v>
      </c>
      <c r="Q477" t="str">
        <f>IF(TableRelationships[[#This Row],[Rank Pedro]]="Low","Pink",IF(TableRelationships[[#This Row],[Rank Pedro]]="Medium","Purple",IF(TableRelationships[[#This Row],[Rank Pedro]]="High","Brown","")))</f>
        <v>Pink</v>
      </c>
      <c r="R477" s="4">
        <f>MAX(INDEX(Standards!$F$2:$F$296,MATCH(B477,Standards!$B$2:$B$296,0)),INDEX(Standards!$F$2:$F$296,MATCH(C477,Standards!$B$2:$B$296,0)))</f>
        <v>45444</v>
      </c>
      <c r="S477" t="str">
        <f t="shared" si="23"/>
        <v>#2f89d1</v>
      </c>
    </row>
    <row r="478" spans="1:19" x14ac:dyDescent="0.5">
      <c r="A478" s="82">
        <v>436</v>
      </c>
      <c r="B478" t="s">
        <v>484</v>
      </c>
      <c r="C478" t="s">
        <v>376</v>
      </c>
      <c r="D478">
        <f>INDEX(Standards!$A$2:$A$296,MATCH(B478,Standards!$B$2:$B$296,0))</f>
        <v>196</v>
      </c>
      <c r="E478">
        <f>INDEX(Standards!$A$2:$A$296,MATCH(C478,Standards!$B$2:$B$296,0))</f>
        <v>15</v>
      </c>
      <c r="F478" t="str">
        <f>INDEX(Standards!$N$2:$N$296,MATCH(B478,Standards!$B$2:$B$296,0))</f>
        <v>#70AD47</v>
      </c>
      <c r="G478" t="str">
        <f>INDEX(Standards!$N$2:$N$296,MATCH(C478,Standards!$B$2:$B$296,0))</f>
        <v>#70AD47</v>
      </c>
      <c r="H478" t="s">
        <v>521</v>
      </c>
      <c r="I478" t="s">
        <v>525</v>
      </c>
      <c r="J478" t="str">
        <f>INDEX(Standards!$H$2:$H$296,MATCH(B478,Standards!$B$2:$B$296,0))</f>
        <v>BIM</v>
      </c>
      <c r="K478" t="str">
        <f>INDEX(Standards!$H$2:$H$296,MATCH(C478,Standards!$B$2:$B$296,0))</f>
        <v>BIM</v>
      </c>
      <c r="L478" t="b">
        <f>AND(TableRelationships[[#This Row],[Source Type]]="BIM",TableRelationships[[#This Row],[Target Type]]="BIM")</f>
        <v>1</v>
      </c>
      <c r="M478">
        <f t="shared" si="21"/>
        <v>1</v>
      </c>
      <c r="N478" s="82" t="s">
        <v>526</v>
      </c>
      <c r="O478">
        <f t="shared" si="22"/>
        <v>2</v>
      </c>
      <c r="P478" t="str">
        <f>IF(TableRelationships[[#This Row],[Rank Pedro]]="Low","linkCategory1",IF(TableRelationships[[#This Row],[Rank Pedro]]="Medium","linkCategory2",IF(TableRelationships[[#This Row],[Rank Pedro]]="High","linkCategory3","")))</f>
        <v>linkCategory1</v>
      </c>
      <c r="Q478" t="str">
        <f>IF(TableRelationships[[#This Row],[Rank Pedro]]="Low","Pink",IF(TableRelationships[[#This Row],[Rank Pedro]]="Medium","Purple",IF(TableRelationships[[#This Row],[Rank Pedro]]="High","Brown","")))</f>
        <v>Pink</v>
      </c>
      <c r="R478" s="4">
        <f>MAX(INDEX(Standards!$F$2:$F$296,MATCH(B478,Standards!$B$2:$B$296,0)),INDEX(Standards!$F$2:$F$296,MATCH(C478,Standards!$B$2:$B$296,0)))</f>
        <v>45444</v>
      </c>
      <c r="S478" t="str">
        <f t="shared" si="23"/>
        <v>#2f89d1</v>
      </c>
    </row>
    <row r="479" spans="1:19" x14ac:dyDescent="0.5">
      <c r="A479" s="82">
        <v>430</v>
      </c>
      <c r="B479" t="s">
        <v>484</v>
      </c>
      <c r="C479" t="s">
        <v>388</v>
      </c>
      <c r="D479">
        <f>INDEX(Standards!$A$2:$A$296,MATCH(B479,Standards!$B$2:$B$296,0))</f>
        <v>196</v>
      </c>
      <c r="E479">
        <f>INDEX(Standards!$A$2:$A$296,MATCH(C479,Standards!$B$2:$B$296,0))</f>
        <v>63</v>
      </c>
      <c r="F479" t="str">
        <f>INDEX(Standards!$N$2:$N$296,MATCH(B479,Standards!$B$2:$B$296,0))</f>
        <v>#70AD47</v>
      </c>
      <c r="G479" t="str">
        <f>INDEX(Standards!$N$2:$N$296,MATCH(C479,Standards!$B$2:$B$296,0))</f>
        <v>#70AD47</v>
      </c>
      <c r="H479" t="s">
        <v>521</v>
      </c>
      <c r="I479" t="s">
        <v>525</v>
      </c>
      <c r="J479" t="str">
        <f>INDEX(Standards!$H$2:$H$296,MATCH(B479,Standards!$B$2:$B$296,0))</f>
        <v>BIM</v>
      </c>
      <c r="K479" t="str">
        <f>INDEX(Standards!$H$2:$H$296,MATCH(C479,Standards!$B$2:$B$296,0))</f>
        <v>BIM</v>
      </c>
      <c r="L479" t="b">
        <f>AND(TableRelationships[[#This Row],[Source Type]]="BIM",TableRelationships[[#This Row],[Target Type]]="BIM")</f>
        <v>1</v>
      </c>
      <c r="M479">
        <f t="shared" si="21"/>
        <v>1</v>
      </c>
      <c r="N479" s="82" t="s">
        <v>528</v>
      </c>
      <c r="O479">
        <f t="shared" si="22"/>
        <v>6</v>
      </c>
      <c r="P479" t="str">
        <f>IF(TableRelationships[[#This Row],[Rank Pedro]]="Low","linkCategory1",IF(TableRelationships[[#This Row],[Rank Pedro]]="Medium","linkCategory2",IF(TableRelationships[[#This Row],[Rank Pedro]]="High","linkCategory3","")))</f>
        <v>linkCategory2</v>
      </c>
      <c r="Q479" t="str">
        <f>IF(TableRelationships[[#This Row],[Rank Pedro]]="Low","Pink",IF(TableRelationships[[#This Row],[Rank Pedro]]="Medium","Purple",IF(TableRelationships[[#This Row],[Rank Pedro]]="High","Brown","")))</f>
        <v>Purple</v>
      </c>
      <c r="R479" s="4">
        <f>MAX(INDEX(Standards!$F$2:$F$296,MATCH(B479,Standards!$B$2:$B$296,0)),INDEX(Standards!$F$2:$F$296,MATCH(C479,Standards!$B$2:$B$296,0)))</f>
        <v>45444</v>
      </c>
      <c r="S479" t="str">
        <f t="shared" si="23"/>
        <v>#2f89d1</v>
      </c>
    </row>
    <row r="480" spans="1:19" x14ac:dyDescent="0.5">
      <c r="A480" s="82">
        <v>431</v>
      </c>
      <c r="B480" t="s">
        <v>484</v>
      </c>
      <c r="C480" t="s">
        <v>404</v>
      </c>
      <c r="D480">
        <f>INDEX(Standards!$A$2:$A$296,MATCH(B480,Standards!$B$2:$B$296,0))</f>
        <v>196</v>
      </c>
      <c r="E480">
        <f>INDEX(Standards!$A$2:$A$296,MATCH(C480,Standards!$B$2:$B$296,0))</f>
        <v>64</v>
      </c>
      <c r="F480" t="str">
        <f>INDEX(Standards!$N$2:$N$296,MATCH(B480,Standards!$B$2:$B$296,0))</f>
        <v>#70AD47</v>
      </c>
      <c r="G480" t="str">
        <f>INDEX(Standards!$N$2:$N$296,MATCH(C480,Standards!$B$2:$B$296,0))</f>
        <v>#70AD47</v>
      </c>
      <c r="H480" t="s">
        <v>521</v>
      </c>
      <c r="I480" t="s">
        <v>525</v>
      </c>
      <c r="J480" t="str">
        <f>INDEX(Standards!$H$2:$H$296,MATCH(B480,Standards!$B$2:$B$296,0))</f>
        <v>BIM</v>
      </c>
      <c r="K480" t="str">
        <f>INDEX(Standards!$H$2:$H$296,MATCH(C480,Standards!$B$2:$B$296,0))</f>
        <v>BIM</v>
      </c>
      <c r="L480" t="b">
        <f>AND(TableRelationships[[#This Row],[Source Type]]="BIM",TableRelationships[[#This Row],[Target Type]]="BIM")</f>
        <v>1</v>
      </c>
      <c r="M480">
        <f t="shared" si="21"/>
        <v>1</v>
      </c>
      <c r="N480" s="82" t="s">
        <v>528</v>
      </c>
      <c r="O480">
        <f t="shared" si="22"/>
        <v>6</v>
      </c>
      <c r="P480" t="str">
        <f>IF(TableRelationships[[#This Row],[Rank Pedro]]="Low","linkCategory1",IF(TableRelationships[[#This Row],[Rank Pedro]]="Medium","linkCategory2",IF(TableRelationships[[#This Row],[Rank Pedro]]="High","linkCategory3","")))</f>
        <v>linkCategory2</v>
      </c>
      <c r="Q480" t="str">
        <f>IF(TableRelationships[[#This Row],[Rank Pedro]]="Low","Pink",IF(TableRelationships[[#This Row],[Rank Pedro]]="Medium","Purple",IF(TableRelationships[[#This Row],[Rank Pedro]]="High","Brown","")))</f>
        <v>Purple</v>
      </c>
      <c r="R480" s="4">
        <f>MAX(INDEX(Standards!$F$2:$F$296,MATCH(B480,Standards!$B$2:$B$296,0)),INDEX(Standards!$F$2:$F$296,MATCH(C480,Standards!$B$2:$B$296,0)))</f>
        <v>45444</v>
      </c>
      <c r="S480" t="str">
        <f t="shared" si="23"/>
        <v>#2f89d1</v>
      </c>
    </row>
    <row r="481" spans="1:19" x14ac:dyDescent="0.5">
      <c r="A481" s="82">
        <v>421</v>
      </c>
      <c r="B481" t="s">
        <v>484</v>
      </c>
      <c r="C481" t="s">
        <v>408</v>
      </c>
      <c r="D481">
        <f>INDEX(Standards!$A$2:$A$296,MATCH(B481,Standards!$B$2:$B$296,0))</f>
        <v>196</v>
      </c>
      <c r="E481">
        <f>INDEX(Standards!$A$2:$A$296,MATCH(C481,Standards!$B$2:$B$296,0))</f>
        <v>16</v>
      </c>
      <c r="F481" t="str">
        <f>INDEX(Standards!$N$2:$N$296,MATCH(B481,Standards!$B$2:$B$296,0))</f>
        <v>#70AD47</v>
      </c>
      <c r="G481" t="str">
        <f>INDEX(Standards!$N$2:$N$296,MATCH(C481,Standards!$B$2:$B$296,0))</f>
        <v>#70AD47</v>
      </c>
      <c r="H481" t="s">
        <v>521</v>
      </c>
      <c r="I481" t="s">
        <v>524</v>
      </c>
      <c r="J481" t="str">
        <f>INDEX(Standards!$H$2:$H$296,MATCH(B481,Standards!$B$2:$B$296,0))</f>
        <v>BIM</v>
      </c>
      <c r="K481" t="str">
        <f>INDEX(Standards!$H$2:$H$296,MATCH(C481,Standards!$B$2:$B$296,0))</f>
        <v>BIM</v>
      </c>
      <c r="L481" t="b">
        <f>AND(TableRelationships[[#This Row],[Source Type]]="BIM",TableRelationships[[#This Row],[Target Type]]="BIM")</f>
        <v>1</v>
      </c>
      <c r="M481">
        <f t="shared" si="21"/>
        <v>6</v>
      </c>
      <c r="N481" s="81" t="s">
        <v>523</v>
      </c>
      <c r="O481">
        <f t="shared" si="22"/>
        <v>10</v>
      </c>
      <c r="P481" t="str">
        <f>IF(TableRelationships[[#This Row],[Rank Pedro]]="Low","linkCategory1",IF(TableRelationships[[#This Row],[Rank Pedro]]="Medium","linkCategory2",IF(TableRelationships[[#This Row],[Rank Pedro]]="High","linkCategory3","")))</f>
        <v>linkCategory3</v>
      </c>
      <c r="Q481" t="str">
        <f>IF(TableRelationships[[#This Row],[Rank Pedro]]="Low","Pink",IF(TableRelationships[[#This Row],[Rank Pedro]]="Medium","Purple",IF(TableRelationships[[#This Row],[Rank Pedro]]="High","Brown","")))</f>
        <v>Brown</v>
      </c>
      <c r="R481" s="4">
        <f>MAX(INDEX(Standards!$F$2:$F$296,MATCH(B481,Standards!$B$2:$B$296,0)),INDEX(Standards!$F$2:$F$296,MATCH(C481,Standards!$B$2:$B$296,0)))</f>
        <v>45444</v>
      </c>
      <c r="S481" t="str">
        <f t="shared" si="23"/>
        <v>#d6bf2a</v>
      </c>
    </row>
    <row r="482" spans="1:19" x14ac:dyDescent="0.5">
      <c r="A482" s="82">
        <v>422</v>
      </c>
      <c r="B482" t="s">
        <v>484</v>
      </c>
      <c r="C482" t="s">
        <v>77</v>
      </c>
      <c r="D482">
        <f>INDEX(Standards!$A$2:$A$296,MATCH(B482,Standards!$B$2:$B$296,0))</f>
        <v>196</v>
      </c>
      <c r="E482">
        <f>INDEX(Standards!$A$2:$A$296,MATCH(C482,Standards!$B$2:$B$296,0))</f>
        <v>19</v>
      </c>
      <c r="F482" t="str">
        <f>INDEX(Standards!$N$2:$N$296,MATCH(B482,Standards!$B$2:$B$296,0))</f>
        <v>#70AD47</v>
      </c>
      <c r="G482" t="str">
        <f>INDEX(Standards!$N$2:$N$296,MATCH(C482,Standards!$B$2:$B$296,0))</f>
        <v>#ED7D31</v>
      </c>
      <c r="H482" t="s">
        <v>521</v>
      </c>
      <c r="I482" t="s">
        <v>524</v>
      </c>
      <c r="J482" t="str">
        <f>INDEX(Standards!$H$2:$H$296,MATCH(B482,Standards!$B$2:$B$296,0))</f>
        <v>BIM</v>
      </c>
      <c r="K482" t="str">
        <f>INDEX(Standards!$H$2:$H$296,MATCH(C482,Standards!$B$2:$B$296,0))</f>
        <v>Construction</v>
      </c>
      <c r="L482" t="b">
        <f>AND(TableRelationships[[#This Row],[Source Type]]="BIM",TableRelationships[[#This Row],[Target Type]]="BIM")</f>
        <v>0</v>
      </c>
      <c r="M482">
        <f t="shared" si="21"/>
        <v>6</v>
      </c>
      <c r="N482" s="82" t="s">
        <v>526</v>
      </c>
      <c r="O482">
        <f t="shared" si="22"/>
        <v>2</v>
      </c>
      <c r="P482" t="str">
        <f>IF(TableRelationships[[#This Row],[Rank Pedro]]="Low","linkCategory1",IF(TableRelationships[[#This Row],[Rank Pedro]]="Medium","linkCategory2",IF(TableRelationships[[#This Row],[Rank Pedro]]="High","linkCategory3","")))</f>
        <v>linkCategory1</v>
      </c>
      <c r="Q482" t="str">
        <f>IF(TableRelationships[[#This Row],[Rank Pedro]]="Low","Pink",IF(TableRelationships[[#This Row],[Rank Pedro]]="Medium","Purple",IF(TableRelationships[[#This Row],[Rank Pedro]]="High","Brown","")))</f>
        <v>Pink</v>
      </c>
      <c r="R482" s="4">
        <f>MAX(INDEX(Standards!$F$2:$F$296,MATCH(B482,Standards!$B$2:$B$296,0)),INDEX(Standards!$F$2:$F$296,MATCH(C482,Standards!$B$2:$B$296,0)))</f>
        <v>45444</v>
      </c>
      <c r="S482" t="str">
        <f t="shared" si="23"/>
        <v>#d6bf2a</v>
      </c>
    </row>
    <row r="483" spans="1:19" x14ac:dyDescent="0.5">
      <c r="A483" s="82">
        <v>432</v>
      </c>
      <c r="B483" t="s">
        <v>484</v>
      </c>
      <c r="C483" t="s">
        <v>85</v>
      </c>
      <c r="D483">
        <f>INDEX(Standards!$A$2:$A$296,MATCH(B483,Standards!$B$2:$B$296,0))</f>
        <v>196</v>
      </c>
      <c r="E483">
        <f>INDEX(Standards!$A$2:$A$296,MATCH(C483,Standards!$B$2:$B$296,0))</f>
        <v>22</v>
      </c>
      <c r="F483" t="str">
        <f>INDEX(Standards!$N$2:$N$296,MATCH(B483,Standards!$B$2:$B$296,0))</f>
        <v>#70AD47</v>
      </c>
      <c r="G483" t="str">
        <f>INDEX(Standards!$N$2:$N$296,MATCH(C483,Standards!$B$2:$B$296,0))</f>
        <v>#C00000</v>
      </c>
      <c r="H483" t="s">
        <v>521</v>
      </c>
      <c r="I483" t="s">
        <v>525</v>
      </c>
      <c r="J483" t="str">
        <f>INDEX(Standards!$H$2:$H$296,MATCH(B483,Standards!$B$2:$B$296,0))</f>
        <v>BIM</v>
      </c>
      <c r="K483" t="str">
        <f>INDEX(Standards!$H$2:$H$296,MATCH(C483,Standards!$B$2:$B$296,0))</f>
        <v>Quality Management</v>
      </c>
      <c r="L483" t="b">
        <f>AND(TableRelationships[[#This Row],[Source Type]]="BIM",TableRelationships[[#This Row],[Target Type]]="BIM")</f>
        <v>0</v>
      </c>
      <c r="M483">
        <f t="shared" si="21"/>
        <v>1</v>
      </c>
      <c r="N483" s="82" t="s">
        <v>526</v>
      </c>
      <c r="O483">
        <f t="shared" si="22"/>
        <v>2</v>
      </c>
      <c r="P483" t="str">
        <f>IF(TableRelationships[[#This Row],[Rank Pedro]]="Low","linkCategory1",IF(TableRelationships[[#This Row],[Rank Pedro]]="Medium","linkCategory2",IF(TableRelationships[[#This Row],[Rank Pedro]]="High","linkCategory3","")))</f>
        <v>linkCategory1</v>
      </c>
      <c r="Q483" t="str">
        <f>IF(TableRelationships[[#This Row],[Rank Pedro]]="Low","Pink",IF(TableRelationships[[#This Row],[Rank Pedro]]="Medium","Purple",IF(TableRelationships[[#This Row],[Rank Pedro]]="High","Brown","")))</f>
        <v>Pink</v>
      </c>
      <c r="R483" s="4">
        <f>MAX(INDEX(Standards!$F$2:$F$296,MATCH(B483,Standards!$B$2:$B$296,0)),INDEX(Standards!$F$2:$F$296,MATCH(C483,Standards!$B$2:$B$296,0)))</f>
        <v>45444</v>
      </c>
      <c r="S483" t="str">
        <f t="shared" si="23"/>
        <v>#2f89d1</v>
      </c>
    </row>
    <row r="484" spans="1:19" x14ac:dyDescent="0.5">
      <c r="A484" s="82">
        <v>434</v>
      </c>
      <c r="B484" t="s">
        <v>484</v>
      </c>
      <c r="C484" t="s">
        <v>220</v>
      </c>
      <c r="D484">
        <f>INDEX(Standards!$A$2:$A$296,MATCH(B484,Standards!$B$2:$B$296,0))</f>
        <v>196</v>
      </c>
      <c r="E484">
        <f>INDEX(Standards!$A$2:$A$296,MATCH(C484,Standards!$B$2:$B$296,0))</f>
        <v>85</v>
      </c>
      <c r="F484" t="str">
        <f>INDEX(Standards!$N$2:$N$296,MATCH(B484,Standards!$B$2:$B$296,0))</f>
        <v>#70AD47</v>
      </c>
      <c r="G484" t="str">
        <f>INDEX(Standards!$N$2:$N$296,MATCH(C484,Standards!$B$2:$B$296,0))</f>
        <v>#7030A0</v>
      </c>
      <c r="H484" t="s">
        <v>521</v>
      </c>
      <c r="I484" t="s">
        <v>525</v>
      </c>
      <c r="J484" t="str">
        <f>INDEX(Standards!$H$2:$H$296,MATCH(B484,Standards!$B$2:$B$296,0))</f>
        <v>BIM</v>
      </c>
      <c r="K484" t="str">
        <f>INDEX(Standards!$H$2:$H$296,MATCH(C484,Standards!$B$2:$B$296,0))</f>
        <v>ICT</v>
      </c>
      <c r="L484" t="b">
        <f>AND(TableRelationships[[#This Row],[Source Type]]="BIM",TableRelationships[[#This Row],[Target Type]]="BIM")</f>
        <v>0</v>
      </c>
      <c r="M484">
        <f t="shared" si="21"/>
        <v>1</v>
      </c>
      <c r="N484" s="82" t="s">
        <v>526</v>
      </c>
      <c r="O484">
        <f t="shared" si="22"/>
        <v>2</v>
      </c>
      <c r="P484" t="str">
        <f>IF(TableRelationships[[#This Row],[Rank Pedro]]="Low","linkCategory1",IF(TableRelationships[[#This Row],[Rank Pedro]]="Medium","linkCategory2",IF(TableRelationships[[#This Row],[Rank Pedro]]="High","linkCategory3","")))</f>
        <v>linkCategory1</v>
      </c>
      <c r="Q484" t="str">
        <f>IF(TableRelationships[[#This Row],[Rank Pedro]]="Low","Pink",IF(TableRelationships[[#This Row],[Rank Pedro]]="Medium","Purple",IF(TableRelationships[[#This Row],[Rank Pedro]]="High","Brown","")))</f>
        <v>Pink</v>
      </c>
      <c r="R484" s="4">
        <f>MAX(INDEX(Standards!$F$2:$F$296,MATCH(B484,Standards!$B$2:$B$296,0)),INDEX(Standards!$F$2:$F$296,MATCH(C484,Standards!$B$2:$B$296,0)))</f>
        <v>45444</v>
      </c>
      <c r="S484" t="str">
        <f t="shared" si="23"/>
        <v>#2f89d1</v>
      </c>
    </row>
    <row r="485" spans="1:19" x14ac:dyDescent="0.5">
      <c r="A485">
        <v>207</v>
      </c>
      <c r="B485" t="s">
        <v>488</v>
      </c>
      <c r="C485" t="s">
        <v>236</v>
      </c>
      <c r="D485">
        <f>INDEX(Standards!$A$2:$A$296,MATCH(B485,Standards!$B$2:$B$296,0))</f>
        <v>90</v>
      </c>
      <c r="E485">
        <f>INDEX(Standards!$A$2:$A$296,MATCH(C485,Standards!$B$2:$B$296,0))</f>
        <v>91</v>
      </c>
      <c r="F485" t="str">
        <f>INDEX(Standards!$N$2:$N$296,MATCH(B485,Standards!$B$2:$B$296,0))</f>
        <v>#70AD47</v>
      </c>
      <c r="G485" t="str">
        <f>INDEX(Standards!$N$2:$N$296,MATCH(C485,Standards!$B$2:$B$296,0))</f>
        <v>#F2F2F2</v>
      </c>
      <c r="H485" t="s">
        <v>521</v>
      </c>
      <c r="I485" t="s">
        <v>237</v>
      </c>
      <c r="J485" t="str">
        <f>INDEX(Standards!$H$2:$H$296,MATCH(B485,Standards!$B$2:$B$296,0))</f>
        <v>BIM</v>
      </c>
      <c r="K485" t="str">
        <f>INDEX(Standards!$H$2:$H$296,MATCH(C485,Standards!$B$2:$B$296,0))</f>
        <v>Anchor</v>
      </c>
      <c r="L485" t="b">
        <f>AND(TableRelationships[[#This Row],[Source Type]]="BIM",TableRelationships[[#This Row],[Target Type]]="BIM")</f>
        <v>0</v>
      </c>
      <c r="M485">
        <f t="shared" si="21"/>
        <v>2</v>
      </c>
      <c r="O485">
        <f t="shared" si="22"/>
        <v>1</v>
      </c>
      <c r="P485" t="str">
        <f>IF(TableRelationships[[#This Row],[Rank Pedro]]="Low","linkCategory1",IF(TableRelationships[[#This Row],[Rank Pedro]]="Medium","linkCategory2",IF(TableRelationships[[#This Row],[Rank Pedro]]="High","linkCategory3","")))</f>
        <v/>
      </c>
      <c r="Q485" t="str">
        <f>IF(TableRelationships[[#This Row],[Rank Pedro]]="Low","Pink",IF(TableRelationships[[#This Row],[Rank Pedro]]="Medium","Purple",IF(TableRelationships[[#This Row],[Rank Pedro]]="High","Brown","")))</f>
        <v/>
      </c>
      <c r="R485" s="4">
        <f>MAX(INDEX(Standards!$F$2:$F$296,MATCH(B485,Standards!$B$2:$B$296,0)),INDEX(Standards!$F$2:$F$296,MATCH(C485,Standards!$B$2:$B$296,0)))</f>
        <v>44317</v>
      </c>
      <c r="S485">
        <f t="shared" si="23"/>
        <v>1</v>
      </c>
    </row>
    <row r="486" spans="1:19" x14ac:dyDescent="0.5">
      <c r="A486">
        <v>359</v>
      </c>
      <c r="B486" t="s">
        <v>488</v>
      </c>
      <c r="C486" t="s">
        <v>168</v>
      </c>
      <c r="D486">
        <f>INDEX(Standards!$A$2:$A$296,MATCH(B486,Standards!$B$2:$B$296,0))</f>
        <v>90</v>
      </c>
      <c r="E486">
        <f>INDEX(Standards!$A$2:$A$296,MATCH(C486,Standards!$B$2:$B$296,0))</f>
        <v>62</v>
      </c>
      <c r="F486" t="str">
        <f>INDEX(Standards!$N$2:$N$296,MATCH(B486,Standards!$B$2:$B$296,0))</f>
        <v>#70AD47</v>
      </c>
      <c r="G486" t="str">
        <f>INDEX(Standards!$N$2:$N$296,MATCH(C486,Standards!$B$2:$B$296,0))</f>
        <v>#7030A0</v>
      </c>
      <c r="H486" t="s">
        <v>521</v>
      </c>
      <c r="I486" t="s">
        <v>525</v>
      </c>
      <c r="J486" t="str">
        <f>INDEX(Standards!$H$2:$H$296,MATCH(B486,Standards!$B$2:$B$296,0))</f>
        <v>BIM</v>
      </c>
      <c r="K486" t="str">
        <f>INDEX(Standards!$H$2:$H$296,MATCH(C486,Standards!$B$2:$B$296,0))</f>
        <v>ICT</v>
      </c>
      <c r="L486" t="b">
        <f>AND(TableRelationships[[#This Row],[Source Type]]="BIM",TableRelationships[[#This Row],[Target Type]]="BIM")</f>
        <v>0</v>
      </c>
      <c r="M486">
        <f t="shared" si="21"/>
        <v>1</v>
      </c>
      <c r="N486" t="s">
        <v>528</v>
      </c>
      <c r="O486">
        <f t="shared" si="22"/>
        <v>6</v>
      </c>
      <c r="P486" t="str">
        <f>IF(TableRelationships[[#This Row],[Rank Pedro]]="Low","linkCategory1",IF(TableRelationships[[#This Row],[Rank Pedro]]="Medium","linkCategory2",IF(TableRelationships[[#This Row],[Rank Pedro]]="High","linkCategory3","")))</f>
        <v>linkCategory2</v>
      </c>
      <c r="Q486" t="str">
        <f>IF(TableRelationships[[#This Row],[Rank Pedro]]="Low","Pink",IF(TableRelationships[[#This Row],[Rank Pedro]]="Medium","Purple",IF(TableRelationships[[#This Row],[Rank Pedro]]="High","Brown","")))</f>
        <v>Purple</v>
      </c>
      <c r="R486" s="4">
        <f>MAX(INDEX(Standards!$F$2:$F$296,MATCH(B486,Standards!$B$2:$B$296,0)),INDEX(Standards!$F$2:$F$296,MATCH(C486,Standards!$B$2:$B$296,0)))</f>
        <v>44317</v>
      </c>
      <c r="S486" t="str">
        <f t="shared" si="23"/>
        <v>#2f89d1</v>
      </c>
    </row>
    <row r="487" spans="1:19" x14ac:dyDescent="0.5">
      <c r="A487">
        <v>326</v>
      </c>
      <c r="B487" t="s">
        <v>488</v>
      </c>
      <c r="C487" t="s">
        <v>128</v>
      </c>
      <c r="D487">
        <f>INDEX(Standards!$A$2:$A$296,MATCH(B487,Standards!$B$2:$B$296,0))</f>
        <v>90</v>
      </c>
      <c r="E487">
        <f>INDEX(Standards!$A$2:$A$296,MATCH(C487,Standards!$B$2:$B$296,0))</f>
        <v>43</v>
      </c>
      <c r="F487" t="str">
        <f>INDEX(Standards!$N$2:$N$296,MATCH(B487,Standards!$B$2:$B$296,0))</f>
        <v>#70AD47</v>
      </c>
      <c r="G487" t="str">
        <f>INDEX(Standards!$N$2:$N$296,MATCH(C487,Standards!$B$2:$B$296,0))</f>
        <v>#7030A0</v>
      </c>
      <c r="H487" t="s">
        <v>521</v>
      </c>
      <c r="I487" t="s">
        <v>525</v>
      </c>
      <c r="J487" t="str">
        <f>INDEX(Standards!$H$2:$H$296,MATCH(B487,Standards!$B$2:$B$296,0))</f>
        <v>BIM</v>
      </c>
      <c r="K487" t="str">
        <f>INDEX(Standards!$H$2:$H$296,MATCH(C487,Standards!$B$2:$B$296,0))</f>
        <v>ICT</v>
      </c>
      <c r="L487" t="b">
        <f>AND(TableRelationships[[#This Row],[Source Type]]="BIM",TableRelationships[[#This Row],[Target Type]]="BIM")</f>
        <v>0</v>
      </c>
      <c r="M487">
        <f t="shared" si="21"/>
        <v>1</v>
      </c>
      <c r="N487" t="s">
        <v>528</v>
      </c>
      <c r="O487">
        <f t="shared" si="22"/>
        <v>6</v>
      </c>
      <c r="P487" t="str">
        <f>IF(TableRelationships[[#This Row],[Rank Pedro]]="Low","linkCategory1",IF(TableRelationships[[#This Row],[Rank Pedro]]="Medium","linkCategory2",IF(TableRelationships[[#This Row],[Rank Pedro]]="High","linkCategory3","")))</f>
        <v>linkCategory2</v>
      </c>
      <c r="Q487" t="str">
        <f>IF(TableRelationships[[#This Row],[Rank Pedro]]="Low","Pink",IF(TableRelationships[[#This Row],[Rank Pedro]]="Medium","Purple",IF(TableRelationships[[#This Row],[Rank Pedro]]="High","Brown","")))</f>
        <v>Purple</v>
      </c>
      <c r="R487" s="4">
        <f>MAX(INDEX(Standards!$F$2:$F$296,MATCH(B487,Standards!$B$2:$B$296,0)),INDEX(Standards!$F$2:$F$296,MATCH(C487,Standards!$B$2:$B$296,0)))</f>
        <v>44317</v>
      </c>
      <c r="S487" t="str">
        <f t="shared" si="23"/>
        <v>#2f89d1</v>
      </c>
    </row>
    <row r="488" spans="1:19" x14ac:dyDescent="0.5">
      <c r="A488">
        <v>360</v>
      </c>
      <c r="B488" t="s">
        <v>488</v>
      </c>
      <c r="C488" t="s">
        <v>259</v>
      </c>
      <c r="D488">
        <f>INDEX(Standards!$A$2:$A$296,MATCH(B488,Standards!$B$2:$B$296,0))</f>
        <v>90</v>
      </c>
      <c r="E488">
        <f>INDEX(Standards!$A$2:$A$296,MATCH(C488,Standards!$B$2:$B$296,0))</f>
        <v>103</v>
      </c>
      <c r="F488" t="str">
        <f>INDEX(Standards!$N$2:$N$296,MATCH(B488,Standards!$B$2:$B$296,0))</f>
        <v>#70AD47</v>
      </c>
      <c r="G488" t="str">
        <f>INDEX(Standards!$N$2:$N$296,MATCH(C488,Standards!$B$2:$B$296,0))</f>
        <v>#4472C4</v>
      </c>
      <c r="H488" t="s">
        <v>521</v>
      </c>
      <c r="I488" t="s">
        <v>525</v>
      </c>
      <c r="J488" t="str">
        <f>INDEX(Standards!$H$2:$H$296,MATCH(B488,Standards!$B$2:$B$296,0))</f>
        <v>BIM</v>
      </c>
      <c r="K488" t="str">
        <f>INDEX(Standards!$H$2:$H$296,MATCH(C488,Standards!$B$2:$B$296,0))</f>
        <v>Industrial Automation</v>
      </c>
      <c r="L488" t="b">
        <f>AND(TableRelationships[[#This Row],[Source Type]]="BIM",TableRelationships[[#This Row],[Target Type]]="BIM")</f>
        <v>0</v>
      </c>
      <c r="M488">
        <f t="shared" si="21"/>
        <v>1</v>
      </c>
      <c r="N488" t="s">
        <v>526</v>
      </c>
      <c r="O488">
        <f t="shared" si="22"/>
        <v>2</v>
      </c>
      <c r="P488" t="str">
        <f>IF(TableRelationships[[#This Row],[Rank Pedro]]="Low","linkCategory1",IF(TableRelationships[[#This Row],[Rank Pedro]]="Medium","linkCategory2",IF(TableRelationships[[#This Row],[Rank Pedro]]="High","linkCategory3","")))</f>
        <v>linkCategory1</v>
      </c>
      <c r="Q488" t="str">
        <f>IF(TableRelationships[[#This Row],[Rank Pedro]]="Low","Pink",IF(TableRelationships[[#This Row],[Rank Pedro]]="Medium","Purple",IF(TableRelationships[[#This Row],[Rank Pedro]]="High","Brown","")))</f>
        <v>Pink</v>
      </c>
      <c r="R488" s="4">
        <f>MAX(INDEX(Standards!$F$2:$F$296,MATCH(B488,Standards!$B$2:$B$296,0)),INDEX(Standards!$F$2:$F$296,MATCH(C488,Standards!$B$2:$B$296,0)))</f>
        <v>44317</v>
      </c>
      <c r="S488" t="str">
        <f t="shared" si="23"/>
        <v>#2f89d1</v>
      </c>
    </row>
    <row r="489" spans="1:19" x14ac:dyDescent="0.5">
      <c r="A489">
        <v>361</v>
      </c>
      <c r="B489" t="s">
        <v>488</v>
      </c>
      <c r="C489" t="s">
        <v>263</v>
      </c>
      <c r="D489">
        <f>INDEX(Standards!$A$2:$A$296,MATCH(B489,Standards!$B$2:$B$296,0))</f>
        <v>90</v>
      </c>
      <c r="E489">
        <f>INDEX(Standards!$A$2:$A$296,MATCH(C489,Standards!$B$2:$B$296,0))</f>
        <v>104</v>
      </c>
      <c r="F489" t="str">
        <f>INDEX(Standards!$N$2:$N$296,MATCH(B489,Standards!$B$2:$B$296,0))</f>
        <v>#70AD47</v>
      </c>
      <c r="G489" t="str">
        <f>INDEX(Standards!$N$2:$N$296,MATCH(C489,Standards!$B$2:$B$296,0))</f>
        <v>#4472C4</v>
      </c>
      <c r="H489" t="s">
        <v>521</v>
      </c>
      <c r="I489" t="s">
        <v>525</v>
      </c>
      <c r="J489" t="str">
        <f>INDEX(Standards!$H$2:$H$296,MATCH(B489,Standards!$B$2:$B$296,0))</f>
        <v>BIM</v>
      </c>
      <c r="K489" t="str">
        <f>INDEX(Standards!$H$2:$H$296,MATCH(C489,Standards!$B$2:$B$296,0))</f>
        <v>Industrial Automation</v>
      </c>
      <c r="L489" t="b">
        <f>AND(TableRelationships[[#This Row],[Source Type]]="BIM",TableRelationships[[#This Row],[Target Type]]="BIM")</f>
        <v>0</v>
      </c>
      <c r="M489">
        <f t="shared" si="21"/>
        <v>1</v>
      </c>
      <c r="N489" t="s">
        <v>526</v>
      </c>
      <c r="O489">
        <f t="shared" si="22"/>
        <v>2</v>
      </c>
      <c r="P489" t="str">
        <f>IF(TableRelationships[[#This Row],[Rank Pedro]]="Low","linkCategory1",IF(TableRelationships[[#This Row],[Rank Pedro]]="Medium","linkCategory2",IF(TableRelationships[[#This Row],[Rank Pedro]]="High","linkCategory3","")))</f>
        <v>linkCategory1</v>
      </c>
      <c r="Q489" t="str">
        <f>IF(TableRelationships[[#This Row],[Rank Pedro]]="Low","Pink",IF(TableRelationships[[#This Row],[Rank Pedro]]="Medium","Purple",IF(TableRelationships[[#This Row],[Rank Pedro]]="High","Brown","")))</f>
        <v>Pink</v>
      </c>
      <c r="R489" s="4">
        <f>MAX(INDEX(Standards!$F$2:$F$296,MATCH(B489,Standards!$B$2:$B$296,0)),INDEX(Standards!$F$2:$F$296,MATCH(C489,Standards!$B$2:$B$296,0)))</f>
        <v>44317</v>
      </c>
      <c r="S489" t="str">
        <f t="shared" si="23"/>
        <v>#2f89d1</v>
      </c>
    </row>
    <row r="490" spans="1:19" x14ac:dyDescent="0.5">
      <c r="A490">
        <v>362</v>
      </c>
      <c r="B490" t="s">
        <v>488</v>
      </c>
      <c r="C490" t="s">
        <v>160</v>
      </c>
      <c r="D490">
        <f>INDEX(Standards!$A$2:$A$296,MATCH(B490,Standards!$B$2:$B$296,0))</f>
        <v>90</v>
      </c>
      <c r="E490">
        <f>INDEX(Standards!$A$2:$A$296,MATCH(C490,Standards!$B$2:$B$296,0))</f>
        <v>58</v>
      </c>
      <c r="F490" t="str">
        <f>INDEX(Standards!$N$2:$N$296,MATCH(B490,Standards!$B$2:$B$296,0))</f>
        <v>#70AD47</v>
      </c>
      <c r="G490" t="str">
        <f>INDEX(Standards!$N$2:$N$296,MATCH(C490,Standards!$B$2:$B$296,0))</f>
        <v>#4472C4</v>
      </c>
      <c r="H490" t="s">
        <v>521</v>
      </c>
      <c r="I490" t="s">
        <v>525</v>
      </c>
      <c r="J490" t="str">
        <f>INDEX(Standards!$H$2:$H$296,MATCH(B490,Standards!$B$2:$B$296,0))</f>
        <v>BIM</v>
      </c>
      <c r="K490" t="str">
        <f>INDEX(Standards!$H$2:$H$296,MATCH(C490,Standards!$B$2:$B$296,0))</f>
        <v>Industrial Automation</v>
      </c>
      <c r="L490" t="b">
        <f>AND(TableRelationships[[#This Row],[Source Type]]="BIM",TableRelationships[[#This Row],[Target Type]]="BIM")</f>
        <v>0</v>
      </c>
      <c r="M490">
        <f t="shared" si="21"/>
        <v>1</v>
      </c>
      <c r="N490" t="s">
        <v>526</v>
      </c>
      <c r="O490">
        <f t="shared" si="22"/>
        <v>2</v>
      </c>
      <c r="P490" t="str">
        <f>IF(TableRelationships[[#This Row],[Rank Pedro]]="Low","linkCategory1",IF(TableRelationships[[#This Row],[Rank Pedro]]="Medium","linkCategory2",IF(TableRelationships[[#This Row],[Rank Pedro]]="High","linkCategory3","")))</f>
        <v>linkCategory1</v>
      </c>
      <c r="Q490" t="str">
        <f>IF(TableRelationships[[#This Row],[Rank Pedro]]="Low","Pink",IF(TableRelationships[[#This Row],[Rank Pedro]]="Medium","Purple",IF(TableRelationships[[#This Row],[Rank Pedro]]="High","Brown","")))</f>
        <v>Pink</v>
      </c>
      <c r="R490" s="4">
        <f>MAX(INDEX(Standards!$F$2:$F$296,MATCH(B490,Standards!$B$2:$B$296,0)),INDEX(Standards!$F$2:$F$296,MATCH(C490,Standards!$B$2:$B$296,0)))</f>
        <v>44317</v>
      </c>
      <c r="S490" t="str">
        <f t="shared" si="23"/>
        <v>#2f89d1</v>
      </c>
    </row>
    <row r="491" spans="1:19" x14ac:dyDescent="0.5">
      <c r="A491">
        <v>363</v>
      </c>
      <c r="B491" t="s">
        <v>488</v>
      </c>
      <c r="C491" t="s">
        <v>272</v>
      </c>
      <c r="D491">
        <f>INDEX(Standards!$A$2:$A$296,MATCH(B491,Standards!$B$2:$B$296,0))</f>
        <v>90</v>
      </c>
      <c r="E491">
        <f>INDEX(Standards!$A$2:$A$296,MATCH(C491,Standards!$B$2:$B$296,0))</f>
        <v>107</v>
      </c>
      <c r="F491" t="str">
        <f>INDEX(Standards!$N$2:$N$296,MATCH(B491,Standards!$B$2:$B$296,0))</f>
        <v>#70AD47</v>
      </c>
      <c r="G491" t="str">
        <f>INDEX(Standards!$N$2:$N$296,MATCH(C491,Standards!$B$2:$B$296,0))</f>
        <v>#4472C4</v>
      </c>
      <c r="H491" t="s">
        <v>521</v>
      </c>
      <c r="I491" t="s">
        <v>525</v>
      </c>
      <c r="J491" t="str">
        <f>INDEX(Standards!$H$2:$H$296,MATCH(B491,Standards!$B$2:$B$296,0))</f>
        <v>BIM</v>
      </c>
      <c r="K491" t="str">
        <f>INDEX(Standards!$H$2:$H$296,MATCH(C491,Standards!$B$2:$B$296,0))</f>
        <v>Industrial Automation</v>
      </c>
      <c r="L491" t="b">
        <f>AND(TableRelationships[[#This Row],[Source Type]]="BIM",TableRelationships[[#This Row],[Target Type]]="BIM")</f>
        <v>0</v>
      </c>
      <c r="M491">
        <f t="shared" si="21"/>
        <v>1</v>
      </c>
      <c r="N491" t="s">
        <v>528</v>
      </c>
      <c r="O491">
        <f t="shared" si="22"/>
        <v>6</v>
      </c>
      <c r="P491" t="str">
        <f>IF(TableRelationships[[#This Row],[Rank Pedro]]="Low","linkCategory1",IF(TableRelationships[[#This Row],[Rank Pedro]]="Medium","linkCategory2",IF(TableRelationships[[#This Row],[Rank Pedro]]="High","linkCategory3","")))</f>
        <v>linkCategory2</v>
      </c>
      <c r="Q491" t="str">
        <f>IF(TableRelationships[[#This Row],[Rank Pedro]]="Low","Pink",IF(TableRelationships[[#This Row],[Rank Pedro]]="Medium","Purple",IF(TableRelationships[[#This Row],[Rank Pedro]]="High","Brown","")))</f>
        <v>Purple</v>
      </c>
      <c r="R491" s="4">
        <f>MAX(INDEX(Standards!$F$2:$F$296,MATCH(B491,Standards!$B$2:$B$296,0)),INDEX(Standards!$F$2:$F$296,MATCH(C491,Standards!$B$2:$B$296,0)))</f>
        <v>44317</v>
      </c>
      <c r="S491" t="str">
        <f t="shared" si="23"/>
        <v>#2f89d1</v>
      </c>
    </row>
    <row r="492" spans="1:19" x14ac:dyDescent="0.5">
      <c r="A492">
        <v>375</v>
      </c>
      <c r="B492" t="s">
        <v>488</v>
      </c>
      <c r="C492" t="s">
        <v>63</v>
      </c>
      <c r="D492">
        <f>INDEX(Standards!$A$2:$A$296,MATCH(B492,Standards!$B$2:$B$296,0))</f>
        <v>90</v>
      </c>
      <c r="E492">
        <f>INDEX(Standards!$A$2:$A$296,MATCH(C492,Standards!$B$2:$B$296,0))</f>
        <v>6</v>
      </c>
      <c r="F492" t="str">
        <f>INDEX(Standards!$N$2:$N$296,MATCH(B492,Standards!$B$2:$B$296,0))</f>
        <v>#70AD47</v>
      </c>
      <c r="G492" t="str">
        <f>INDEX(Standards!$N$2:$N$296,MATCH(C492,Standards!$B$2:$B$296,0))</f>
        <v>#70AD47</v>
      </c>
      <c r="H492" t="s">
        <v>521</v>
      </c>
      <c r="I492" t="s">
        <v>525</v>
      </c>
      <c r="J492" t="str">
        <f>INDEX(Standards!$H$2:$H$296,MATCH(B492,Standards!$B$2:$B$296,0))</f>
        <v>BIM</v>
      </c>
      <c r="K492" t="str">
        <f>INDEX(Standards!$H$2:$H$296,MATCH(C492,Standards!$B$2:$B$296,0))</f>
        <v>BIM</v>
      </c>
      <c r="L492" t="b">
        <f>AND(TableRelationships[[#This Row],[Source Type]]="BIM",TableRelationships[[#This Row],[Target Type]]="BIM")</f>
        <v>1</v>
      </c>
      <c r="M492">
        <f t="shared" si="21"/>
        <v>1</v>
      </c>
      <c r="N492" t="s">
        <v>526</v>
      </c>
      <c r="O492">
        <f t="shared" si="22"/>
        <v>2</v>
      </c>
      <c r="P492" t="str">
        <f>IF(TableRelationships[[#This Row],[Rank Pedro]]="Low","linkCategory1",IF(TableRelationships[[#This Row],[Rank Pedro]]="Medium","linkCategory2",IF(TableRelationships[[#This Row],[Rank Pedro]]="High","linkCategory3","")))</f>
        <v>linkCategory1</v>
      </c>
      <c r="Q492" t="str">
        <f>IF(TableRelationships[[#This Row],[Rank Pedro]]="Low","Pink",IF(TableRelationships[[#This Row],[Rank Pedro]]="Medium","Purple",IF(TableRelationships[[#This Row],[Rank Pedro]]="High","Brown","")))</f>
        <v>Pink</v>
      </c>
      <c r="R492" s="4">
        <f>MAX(INDEX(Standards!$F$2:$F$296,MATCH(B492,Standards!$B$2:$B$296,0)),INDEX(Standards!$F$2:$F$296,MATCH(C492,Standards!$B$2:$B$296,0)))</f>
        <v>44317</v>
      </c>
      <c r="S492" t="str">
        <f t="shared" si="23"/>
        <v>#2f89d1</v>
      </c>
    </row>
    <row r="493" spans="1:19" x14ac:dyDescent="0.5">
      <c r="A493">
        <v>376</v>
      </c>
      <c r="B493" t="s">
        <v>488</v>
      </c>
      <c r="C493" t="s">
        <v>68</v>
      </c>
      <c r="D493">
        <f>INDEX(Standards!$A$2:$A$296,MATCH(B493,Standards!$B$2:$B$296,0))</f>
        <v>90</v>
      </c>
      <c r="E493">
        <f>INDEX(Standards!$A$2:$A$296,MATCH(C493,Standards!$B$2:$B$296,0))</f>
        <v>7</v>
      </c>
      <c r="F493" t="str">
        <f>INDEX(Standards!$N$2:$N$296,MATCH(B493,Standards!$B$2:$B$296,0))</f>
        <v>#70AD47</v>
      </c>
      <c r="G493" t="str">
        <f>INDEX(Standards!$N$2:$N$296,MATCH(C493,Standards!$B$2:$B$296,0))</f>
        <v>#70AD47</v>
      </c>
      <c r="H493" t="s">
        <v>521</v>
      </c>
      <c r="I493" t="s">
        <v>525</v>
      </c>
      <c r="J493" t="str">
        <f>INDEX(Standards!$H$2:$H$296,MATCH(B493,Standards!$B$2:$B$296,0))</f>
        <v>BIM</v>
      </c>
      <c r="K493" t="str">
        <f>INDEX(Standards!$H$2:$H$296,MATCH(C493,Standards!$B$2:$B$296,0))</f>
        <v>BIM</v>
      </c>
      <c r="L493" t="b">
        <f>AND(TableRelationships[[#This Row],[Source Type]]="BIM",TableRelationships[[#This Row],[Target Type]]="BIM")</f>
        <v>1</v>
      </c>
      <c r="M493">
        <f t="shared" si="21"/>
        <v>1</v>
      </c>
      <c r="N493" t="s">
        <v>528</v>
      </c>
      <c r="O493">
        <f t="shared" si="22"/>
        <v>6</v>
      </c>
      <c r="P493" t="str">
        <f>IF(TableRelationships[[#This Row],[Rank Pedro]]="Low","linkCategory1",IF(TableRelationships[[#This Row],[Rank Pedro]]="Medium","linkCategory2",IF(TableRelationships[[#This Row],[Rank Pedro]]="High","linkCategory3","")))</f>
        <v>linkCategory2</v>
      </c>
      <c r="Q493" t="str">
        <f>IF(TableRelationships[[#This Row],[Rank Pedro]]="Low","Pink",IF(TableRelationships[[#This Row],[Rank Pedro]]="Medium","Purple",IF(TableRelationships[[#This Row],[Rank Pedro]]="High","Brown","")))</f>
        <v>Purple</v>
      </c>
      <c r="R493" s="4">
        <f>MAX(INDEX(Standards!$F$2:$F$296,MATCH(B493,Standards!$B$2:$B$296,0)),INDEX(Standards!$F$2:$F$296,MATCH(C493,Standards!$B$2:$B$296,0)))</f>
        <v>44317</v>
      </c>
      <c r="S493" t="str">
        <f t="shared" si="23"/>
        <v>#2f89d1</v>
      </c>
    </row>
    <row r="494" spans="1:19" x14ac:dyDescent="0.5">
      <c r="A494">
        <v>327</v>
      </c>
      <c r="B494" t="s">
        <v>488</v>
      </c>
      <c r="C494" t="s">
        <v>275</v>
      </c>
      <c r="D494">
        <f>INDEX(Standards!$A$2:$A$296,MATCH(B494,Standards!$B$2:$B$296,0))</f>
        <v>90</v>
      </c>
      <c r="E494">
        <f>INDEX(Standards!$A$2:$A$296,MATCH(C494,Standards!$B$2:$B$296,0))</f>
        <v>108</v>
      </c>
      <c r="F494" t="str">
        <f>INDEX(Standards!$N$2:$N$296,MATCH(B494,Standards!$B$2:$B$296,0))</f>
        <v>#70AD47</v>
      </c>
      <c r="G494" t="str">
        <f>INDEX(Standards!$N$2:$N$296,MATCH(C494,Standards!$B$2:$B$296,0))</f>
        <v>#8497B0</v>
      </c>
      <c r="H494" t="s">
        <v>521</v>
      </c>
      <c r="I494" t="s">
        <v>525</v>
      </c>
      <c r="J494" t="str">
        <f>INDEX(Standards!$H$2:$H$296,MATCH(B494,Standards!$B$2:$B$296,0))</f>
        <v>BIM</v>
      </c>
      <c r="K494" t="str">
        <f>INDEX(Standards!$H$2:$H$296,MATCH(C494,Standards!$B$2:$B$296,0))</f>
        <v>HIS</v>
      </c>
      <c r="L494" t="b">
        <f>AND(TableRelationships[[#This Row],[Source Type]]="BIM",TableRelationships[[#This Row],[Target Type]]="BIM")</f>
        <v>0</v>
      </c>
      <c r="M494">
        <f t="shared" si="21"/>
        <v>1</v>
      </c>
      <c r="N494" t="s">
        <v>526</v>
      </c>
      <c r="O494">
        <f t="shared" si="22"/>
        <v>2</v>
      </c>
      <c r="P494" t="str">
        <f>IF(TableRelationships[[#This Row],[Rank Pedro]]="Low","linkCategory1",IF(TableRelationships[[#This Row],[Rank Pedro]]="Medium","linkCategory2",IF(TableRelationships[[#This Row],[Rank Pedro]]="High","linkCategory3","")))</f>
        <v>linkCategory1</v>
      </c>
      <c r="Q494" t="str">
        <f>IF(TableRelationships[[#This Row],[Rank Pedro]]="Low","Pink",IF(TableRelationships[[#This Row],[Rank Pedro]]="Medium","Purple",IF(TableRelationships[[#This Row],[Rank Pedro]]="High","Brown","")))</f>
        <v>Pink</v>
      </c>
      <c r="R494" s="4">
        <f>MAX(INDEX(Standards!$F$2:$F$296,MATCH(B494,Standards!$B$2:$B$296,0)),INDEX(Standards!$F$2:$F$296,MATCH(C494,Standards!$B$2:$B$296,0)))</f>
        <v>44317</v>
      </c>
      <c r="S494" t="str">
        <f t="shared" si="23"/>
        <v>#2f89d1</v>
      </c>
    </row>
    <row r="495" spans="1:19" x14ac:dyDescent="0.5">
      <c r="A495">
        <v>364</v>
      </c>
      <c r="B495" t="s">
        <v>488</v>
      </c>
      <c r="C495" t="s">
        <v>279</v>
      </c>
      <c r="D495">
        <f>INDEX(Standards!$A$2:$A$296,MATCH(B495,Standards!$B$2:$B$296,0))</f>
        <v>90</v>
      </c>
      <c r="E495">
        <f>INDEX(Standards!$A$2:$A$296,MATCH(C495,Standards!$B$2:$B$296,0))</f>
        <v>110</v>
      </c>
      <c r="F495" t="str">
        <f>INDEX(Standards!$N$2:$N$296,MATCH(B495,Standards!$B$2:$B$296,0))</f>
        <v>#70AD47</v>
      </c>
      <c r="G495" t="str">
        <f>INDEX(Standards!$N$2:$N$296,MATCH(C495,Standards!$B$2:$B$296,0))</f>
        <v>#44546A</v>
      </c>
      <c r="H495" t="s">
        <v>521</v>
      </c>
      <c r="I495" t="s">
        <v>525</v>
      </c>
      <c r="J495" t="str">
        <f>INDEX(Standards!$H$2:$H$296,MATCH(B495,Standards!$B$2:$B$296,0))</f>
        <v>BIM</v>
      </c>
      <c r="K495" t="str">
        <f>INDEX(Standards!$H$2:$H$296,MATCH(C495,Standards!$B$2:$B$296,0))</f>
        <v>FM</v>
      </c>
      <c r="L495" t="b">
        <f>AND(TableRelationships[[#This Row],[Source Type]]="BIM",TableRelationships[[#This Row],[Target Type]]="BIM")</f>
        <v>0</v>
      </c>
      <c r="M495">
        <f t="shared" si="21"/>
        <v>1</v>
      </c>
      <c r="N495" t="s">
        <v>526</v>
      </c>
      <c r="O495">
        <f t="shared" si="22"/>
        <v>2</v>
      </c>
      <c r="P495" t="str">
        <f>IF(TableRelationships[[#This Row],[Rank Pedro]]="Low","linkCategory1",IF(TableRelationships[[#This Row],[Rank Pedro]]="Medium","linkCategory2",IF(TableRelationships[[#This Row],[Rank Pedro]]="High","linkCategory3","")))</f>
        <v>linkCategory1</v>
      </c>
      <c r="Q495" t="str">
        <f>IF(TableRelationships[[#This Row],[Rank Pedro]]="Low","Pink",IF(TableRelationships[[#This Row],[Rank Pedro]]="Medium","Purple",IF(TableRelationships[[#This Row],[Rank Pedro]]="High","Brown","")))</f>
        <v>Pink</v>
      </c>
      <c r="R495" s="4">
        <f>MAX(INDEX(Standards!$F$2:$F$296,MATCH(B495,Standards!$B$2:$B$296,0)),INDEX(Standards!$F$2:$F$296,MATCH(C495,Standards!$B$2:$B$296,0)))</f>
        <v>44317</v>
      </c>
      <c r="S495" t="str">
        <f t="shared" si="23"/>
        <v>#2f89d1</v>
      </c>
    </row>
    <row r="496" spans="1:19" x14ac:dyDescent="0.5">
      <c r="A496">
        <v>328</v>
      </c>
      <c r="B496" t="s">
        <v>488</v>
      </c>
      <c r="C496" t="s">
        <v>283</v>
      </c>
      <c r="D496">
        <f>INDEX(Standards!$A$2:$A$296,MATCH(B496,Standards!$B$2:$B$296,0))</f>
        <v>90</v>
      </c>
      <c r="E496">
        <f>INDEX(Standards!$A$2:$A$296,MATCH(C496,Standards!$B$2:$B$296,0))</f>
        <v>111</v>
      </c>
      <c r="F496" t="str">
        <f>INDEX(Standards!$N$2:$N$296,MATCH(B496,Standards!$B$2:$B$296,0))</f>
        <v>#70AD47</v>
      </c>
      <c r="G496" t="str">
        <f>INDEX(Standards!$N$2:$N$296,MATCH(C496,Standards!$B$2:$B$296,0))</f>
        <v>#4472C4</v>
      </c>
      <c r="H496" t="s">
        <v>521</v>
      </c>
      <c r="I496" t="s">
        <v>525</v>
      </c>
      <c r="J496" t="str">
        <f>INDEX(Standards!$H$2:$H$296,MATCH(B496,Standards!$B$2:$B$296,0))</f>
        <v>BIM</v>
      </c>
      <c r="K496" t="str">
        <f>INDEX(Standards!$H$2:$H$296,MATCH(C496,Standards!$B$2:$B$296,0))</f>
        <v>Industrial Automation</v>
      </c>
      <c r="L496" t="b">
        <f>AND(TableRelationships[[#This Row],[Source Type]]="BIM",TableRelationships[[#This Row],[Target Type]]="BIM")</f>
        <v>0</v>
      </c>
      <c r="M496">
        <f t="shared" si="21"/>
        <v>1</v>
      </c>
      <c r="N496" t="s">
        <v>526</v>
      </c>
      <c r="O496">
        <f t="shared" si="22"/>
        <v>2</v>
      </c>
      <c r="P496" t="str">
        <f>IF(TableRelationships[[#This Row],[Rank Pedro]]="Low","linkCategory1",IF(TableRelationships[[#This Row],[Rank Pedro]]="Medium","linkCategory2",IF(TableRelationships[[#This Row],[Rank Pedro]]="High","linkCategory3","")))</f>
        <v>linkCategory1</v>
      </c>
      <c r="Q496" t="str">
        <f>IF(TableRelationships[[#This Row],[Rank Pedro]]="Low","Pink",IF(TableRelationships[[#This Row],[Rank Pedro]]="Medium","Purple",IF(TableRelationships[[#This Row],[Rank Pedro]]="High","Brown","")))</f>
        <v>Pink</v>
      </c>
      <c r="R496" s="4">
        <f>MAX(INDEX(Standards!$F$2:$F$296,MATCH(B496,Standards!$B$2:$B$296,0)),INDEX(Standards!$F$2:$F$296,MATCH(C496,Standards!$B$2:$B$296,0)))</f>
        <v>44317</v>
      </c>
      <c r="S496" t="str">
        <f t="shared" si="23"/>
        <v>#2f89d1</v>
      </c>
    </row>
    <row r="497" spans="1:19" x14ac:dyDescent="0.5">
      <c r="A497">
        <v>369</v>
      </c>
      <c r="B497" t="s">
        <v>488</v>
      </c>
      <c r="C497" t="s">
        <v>144</v>
      </c>
      <c r="D497">
        <f>INDEX(Standards!$A$2:$A$296,MATCH(B497,Standards!$B$2:$B$296,0))</f>
        <v>90</v>
      </c>
      <c r="E497">
        <f>INDEX(Standards!$A$2:$A$296,MATCH(C497,Standards!$B$2:$B$296,0))</f>
        <v>8</v>
      </c>
      <c r="F497" t="str">
        <f>INDEX(Standards!$N$2:$N$296,MATCH(B497,Standards!$B$2:$B$296,0))</f>
        <v>#70AD47</v>
      </c>
      <c r="G497" t="str">
        <f>INDEX(Standards!$N$2:$N$296,MATCH(C497,Standards!$B$2:$B$296,0))</f>
        <v>#70AD47</v>
      </c>
      <c r="H497" t="s">
        <v>521</v>
      </c>
      <c r="I497" t="s">
        <v>525</v>
      </c>
      <c r="J497" t="str">
        <f>INDEX(Standards!$H$2:$H$296,MATCH(B497,Standards!$B$2:$B$296,0))</f>
        <v>BIM</v>
      </c>
      <c r="K497" t="str">
        <f>INDEX(Standards!$H$2:$H$296,MATCH(C497,Standards!$B$2:$B$296,0))</f>
        <v>BIM</v>
      </c>
      <c r="L497" t="b">
        <f>AND(TableRelationships[[#This Row],[Source Type]]="BIM",TableRelationships[[#This Row],[Target Type]]="BIM")</f>
        <v>1</v>
      </c>
      <c r="M497">
        <f t="shared" si="21"/>
        <v>1</v>
      </c>
      <c r="N497" t="s">
        <v>528</v>
      </c>
      <c r="O497">
        <f t="shared" si="22"/>
        <v>6</v>
      </c>
      <c r="P497" t="str">
        <f>IF(TableRelationships[[#This Row],[Rank Pedro]]="Low","linkCategory1",IF(TableRelationships[[#This Row],[Rank Pedro]]="Medium","linkCategory2",IF(TableRelationships[[#This Row],[Rank Pedro]]="High","linkCategory3","")))</f>
        <v>linkCategory2</v>
      </c>
      <c r="Q497" t="str">
        <f>IF(TableRelationships[[#This Row],[Rank Pedro]]="Low","Pink",IF(TableRelationships[[#This Row],[Rank Pedro]]="Medium","Purple",IF(TableRelationships[[#This Row],[Rank Pedro]]="High","Brown","")))</f>
        <v>Purple</v>
      </c>
      <c r="R497" s="4">
        <f>MAX(INDEX(Standards!$F$2:$F$296,MATCH(B497,Standards!$B$2:$B$296,0)),INDEX(Standards!$F$2:$F$296,MATCH(C497,Standards!$B$2:$B$296,0)))</f>
        <v>44317</v>
      </c>
      <c r="S497" t="str">
        <f t="shared" si="23"/>
        <v>#2f89d1</v>
      </c>
    </row>
    <row r="498" spans="1:19" x14ac:dyDescent="0.5">
      <c r="A498">
        <v>370</v>
      </c>
      <c r="B498" t="s">
        <v>488</v>
      </c>
      <c r="C498" t="s">
        <v>170</v>
      </c>
      <c r="D498">
        <f>INDEX(Standards!$A$2:$A$296,MATCH(B498,Standards!$B$2:$B$296,0))</f>
        <v>90</v>
      </c>
      <c r="E498">
        <f>INDEX(Standards!$A$2:$A$296,MATCH(C498,Standards!$B$2:$B$296,0))</f>
        <v>49</v>
      </c>
      <c r="F498" t="str">
        <f>INDEX(Standards!$N$2:$N$296,MATCH(B498,Standards!$B$2:$B$296,0))</f>
        <v>#70AD47</v>
      </c>
      <c r="G498" t="str">
        <f>INDEX(Standards!$N$2:$N$296,MATCH(C498,Standards!$B$2:$B$296,0))</f>
        <v>#70AD47</v>
      </c>
      <c r="H498" t="s">
        <v>521</v>
      </c>
      <c r="I498" t="s">
        <v>525</v>
      </c>
      <c r="J498" t="str">
        <f>INDEX(Standards!$H$2:$H$296,MATCH(B498,Standards!$B$2:$B$296,0))</f>
        <v>BIM</v>
      </c>
      <c r="K498" t="str">
        <f>INDEX(Standards!$H$2:$H$296,MATCH(C498,Standards!$B$2:$B$296,0))</f>
        <v>BIM</v>
      </c>
      <c r="L498" t="b">
        <f>AND(TableRelationships[[#This Row],[Source Type]]="BIM",TableRelationships[[#This Row],[Target Type]]="BIM")</f>
        <v>1</v>
      </c>
      <c r="M498">
        <f t="shared" si="21"/>
        <v>1</v>
      </c>
      <c r="N498" t="s">
        <v>528</v>
      </c>
      <c r="O498">
        <f t="shared" si="22"/>
        <v>6</v>
      </c>
      <c r="P498" t="str">
        <f>IF(TableRelationships[[#This Row],[Rank Pedro]]="Low","linkCategory1",IF(TableRelationships[[#This Row],[Rank Pedro]]="Medium","linkCategory2",IF(TableRelationships[[#This Row],[Rank Pedro]]="High","linkCategory3","")))</f>
        <v>linkCategory2</v>
      </c>
      <c r="Q498" t="str">
        <f>IF(TableRelationships[[#This Row],[Rank Pedro]]="Low","Pink",IF(TableRelationships[[#This Row],[Rank Pedro]]="Medium","Purple",IF(TableRelationships[[#This Row],[Rank Pedro]]="High","Brown","")))</f>
        <v>Purple</v>
      </c>
      <c r="R498" s="4">
        <f>MAX(INDEX(Standards!$F$2:$F$296,MATCH(B498,Standards!$B$2:$B$296,0)),INDEX(Standards!$F$2:$F$296,MATCH(C498,Standards!$B$2:$B$296,0)))</f>
        <v>44317</v>
      </c>
      <c r="S498" t="str">
        <f t="shared" si="23"/>
        <v>#2f89d1</v>
      </c>
    </row>
    <row r="499" spans="1:19" x14ac:dyDescent="0.5">
      <c r="A499">
        <v>371</v>
      </c>
      <c r="B499" t="s">
        <v>488</v>
      </c>
      <c r="C499" t="s">
        <v>174</v>
      </c>
      <c r="D499">
        <f>INDEX(Standards!$A$2:$A$296,MATCH(B499,Standards!$B$2:$B$296,0))</f>
        <v>90</v>
      </c>
      <c r="E499">
        <f>INDEX(Standards!$A$2:$A$296,MATCH(C499,Standards!$B$2:$B$296,0))</f>
        <v>50</v>
      </c>
      <c r="F499" t="str">
        <f>INDEX(Standards!$N$2:$N$296,MATCH(B499,Standards!$B$2:$B$296,0))</f>
        <v>#70AD47</v>
      </c>
      <c r="G499" t="str">
        <f>INDEX(Standards!$N$2:$N$296,MATCH(C499,Standards!$B$2:$B$296,0))</f>
        <v>#70AD47</v>
      </c>
      <c r="H499" t="s">
        <v>521</v>
      </c>
      <c r="I499" t="s">
        <v>525</v>
      </c>
      <c r="J499" t="str">
        <f>INDEX(Standards!$H$2:$H$296,MATCH(B499,Standards!$B$2:$B$296,0))</f>
        <v>BIM</v>
      </c>
      <c r="K499" t="str">
        <f>INDEX(Standards!$H$2:$H$296,MATCH(C499,Standards!$B$2:$B$296,0))</f>
        <v>BIM</v>
      </c>
      <c r="L499" t="b">
        <f>AND(TableRelationships[[#This Row],[Source Type]]="BIM",TableRelationships[[#This Row],[Target Type]]="BIM")</f>
        <v>1</v>
      </c>
      <c r="M499">
        <f t="shared" si="21"/>
        <v>1</v>
      </c>
      <c r="N499" t="s">
        <v>528</v>
      </c>
      <c r="O499">
        <f t="shared" si="22"/>
        <v>6</v>
      </c>
      <c r="P499" t="str">
        <f>IF(TableRelationships[[#This Row],[Rank Pedro]]="Low","linkCategory1",IF(TableRelationships[[#This Row],[Rank Pedro]]="Medium","linkCategory2",IF(TableRelationships[[#This Row],[Rank Pedro]]="High","linkCategory3","")))</f>
        <v>linkCategory2</v>
      </c>
      <c r="Q499" t="str">
        <f>IF(TableRelationships[[#This Row],[Rank Pedro]]="Low","Pink",IF(TableRelationships[[#This Row],[Rank Pedro]]="Medium","Purple",IF(TableRelationships[[#This Row],[Rank Pedro]]="High","Brown","")))</f>
        <v>Purple</v>
      </c>
      <c r="R499" s="4">
        <f>MAX(INDEX(Standards!$F$2:$F$296,MATCH(B499,Standards!$B$2:$B$296,0)),INDEX(Standards!$F$2:$F$296,MATCH(C499,Standards!$B$2:$B$296,0)))</f>
        <v>44317</v>
      </c>
      <c r="S499" t="str">
        <f t="shared" si="23"/>
        <v>#2f89d1</v>
      </c>
    </row>
    <row r="500" spans="1:19" x14ac:dyDescent="0.5">
      <c r="A500">
        <v>330</v>
      </c>
      <c r="B500" t="s">
        <v>488</v>
      </c>
      <c r="C500" t="s">
        <v>289</v>
      </c>
      <c r="D500">
        <f>INDEX(Standards!$A$2:$A$296,MATCH(B500,Standards!$B$2:$B$296,0))</f>
        <v>90</v>
      </c>
      <c r="E500">
        <f>INDEX(Standards!$A$2:$A$296,MATCH(C500,Standards!$B$2:$B$296,0))</f>
        <v>114</v>
      </c>
      <c r="F500" t="str">
        <f>INDEX(Standards!$N$2:$N$296,MATCH(B500,Standards!$B$2:$B$296,0))</f>
        <v>#70AD47</v>
      </c>
      <c r="G500" t="str">
        <f>INDEX(Standards!$N$2:$N$296,MATCH(C500,Standards!$B$2:$B$296,0))</f>
        <v>#8497B0</v>
      </c>
      <c r="H500" t="s">
        <v>521</v>
      </c>
      <c r="I500" t="s">
        <v>525</v>
      </c>
      <c r="J500" t="str">
        <f>INDEX(Standards!$H$2:$H$296,MATCH(B500,Standards!$B$2:$B$296,0))</f>
        <v>BIM</v>
      </c>
      <c r="K500" t="str">
        <f>INDEX(Standards!$H$2:$H$296,MATCH(C500,Standards!$B$2:$B$296,0))</f>
        <v>HIS</v>
      </c>
      <c r="L500" t="b">
        <f>AND(TableRelationships[[#This Row],[Source Type]]="BIM",TableRelationships[[#This Row],[Target Type]]="BIM")</f>
        <v>0</v>
      </c>
      <c r="M500">
        <f t="shared" si="21"/>
        <v>1</v>
      </c>
      <c r="N500" t="s">
        <v>526</v>
      </c>
      <c r="O500">
        <f t="shared" si="22"/>
        <v>2</v>
      </c>
      <c r="P500" t="str">
        <f>IF(TableRelationships[[#This Row],[Rank Pedro]]="Low","linkCategory1",IF(TableRelationships[[#This Row],[Rank Pedro]]="Medium","linkCategory2",IF(TableRelationships[[#This Row],[Rank Pedro]]="High","linkCategory3","")))</f>
        <v>linkCategory1</v>
      </c>
      <c r="Q500" t="str">
        <f>IF(TableRelationships[[#This Row],[Rank Pedro]]="Low","Pink",IF(TableRelationships[[#This Row],[Rank Pedro]]="Medium","Purple",IF(TableRelationships[[#This Row],[Rank Pedro]]="High","Brown","")))</f>
        <v>Pink</v>
      </c>
      <c r="R500" s="4">
        <f>MAX(INDEX(Standards!$F$2:$F$296,MATCH(B500,Standards!$B$2:$B$296,0)),INDEX(Standards!$F$2:$F$296,MATCH(C500,Standards!$B$2:$B$296,0)))</f>
        <v>44317</v>
      </c>
      <c r="S500" t="str">
        <f t="shared" si="23"/>
        <v>#2f89d1</v>
      </c>
    </row>
    <row r="501" spans="1:19" x14ac:dyDescent="0.5">
      <c r="A501">
        <v>365</v>
      </c>
      <c r="B501" t="s">
        <v>488</v>
      </c>
      <c r="C501" t="s">
        <v>291</v>
      </c>
      <c r="D501">
        <f>INDEX(Standards!$A$2:$A$296,MATCH(B501,Standards!$B$2:$B$296,0))</f>
        <v>90</v>
      </c>
      <c r="E501">
        <f>INDEX(Standards!$A$2:$A$296,MATCH(C501,Standards!$B$2:$B$296,0))</f>
        <v>115</v>
      </c>
      <c r="F501" t="str">
        <f>INDEX(Standards!$N$2:$N$296,MATCH(B501,Standards!$B$2:$B$296,0))</f>
        <v>#70AD47</v>
      </c>
      <c r="G501" t="str">
        <f>INDEX(Standards!$N$2:$N$296,MATCH(C501,Standards!$B$2:$B$296,0))</f>
        <v>#4472C4</v>
      </c>
      <c r="H501" t="s">
        <v>521</v>
      </c>
      <c r="I501" t="s">
        <v>525</v>
      </c>
      <c r="J501" t="str">
        <f>INDEX(Standards!$H$2:$H$296,MATCH(B501,Standards!$B$2:$B$296,0))</f>
        <v>BIM</v>
      </c>
      <c r="K501" t="str">
        <f>INDEX(Standards!$H$2:$H$296,MATCH(C501,Standards!$B$2:$B$296,0))</f>
        <v>Industrial Automation</v>
      </c>
      <c r="L501" t="b">
        <f>AND(TableRelationships[[#This Row],[Source Type]]="BIM",TableRelationships[[#This Row],[Target Type]]="BIM")</f>
        <v>0</v>
      </c>
      <c r="M501">
        <f t="shared" si="21"/>
        <v>1</v>
      </c>
      <c r="N501" t="s">
        <v>526</v>
      </c>
      <c r="O501">
        <f t="shared" si="22"/>
        <v>2</v>
      </c>
      <c r="P501" t="str">
        <f>IF(TableRelationships[[#This Row],[Rank Pedro]]="Low","linkCategory1",IF(TableRelationships[[#This Row],[Rank Pedro]]="Medium","linkCategory2",IF(TableRelationships[[#This Row],[Rank Pedro]]="High","linkCategory3","")))</f>
        <v>linkCategory1</v>
      </c>
      <c r="Q501" t="str">
        <f>IF(TableRelationships[[#This Row],[Rank Pedro]]="Low","Pink",IF(TableRelationships[[#This Row],[Rank Pedro]]="Medium","Purple",IF(TableRelationships[[#This Row],[Rank Pedro]]="High","Brown","")))</f>
        <v>Pink</v>
      </c>
      <c r="R501" s="4">
        <f>MAX(INDEX(Standards!$F$2:$F$296,MATCH(B501,Standards!$B$2:$B$296,0)),INDEX(Standards!$F$2:$F$296,MATCH(C501,Standards!$B$2:$B$296,0)))</f>
        <v>44317</v>
      </c>
      <c r="S501" t="str">
        <f t="shared" si="23"/>
        <v>#2f89d1</v>
      </c>
    </row>
    <row r="502" spans="1:19" x14ac:dyDescent="0.5">
      <c r="A502">
        <v>331</v>
      </c>
      <c r="B502" t="s">
        <v>488</v>
      </c>
      <c r="C502" t="s">
        <v>293</v>
      </c>
      <c r="D502">
        <f>INDEX(Standards!$A$2:$A$296,MATCH(B502,Standards!$B$2:$B$296,0))</f>
        <v>90</v>
      </c>
      <c r="E502">
        <f>INDEX(Standards!$A$2:$A$296,MATCH(C502,Standards!$B$2:$B$296,0))</f>
        <v>116</v>
      </c>
      <c r="F502" t="str">
        <f>INDEX(Standards!$N$2:$N$296,MATCH(B502,Standards!$B$2:$B$296,0))</f>
        <v>#70AD47</v>
      </c>
      <c r="G502" t="str">
        <f>INDEX(Standards!$N$2:$N$296,MATCH(C502,Standards!$B$2:$B$296,0))</f>
        <v>#9BC2E6</v>
      </c>
      <c r="H502" t="s">
        <v>521</v>
      </c>
      <c r="I502" t="s">
        <v>525</v>
      </c>
      <c r="J502" t="str">
        <f>INDEX(Standards!$H$2:$H$296,MATCH(B502,Standards!$B$2:$B$296,0))</f>
        <v>BIM</v>
      </c>
      <c r="K502" t="str">
        <f>INDEX(Standards!$H$2:$H$296,MATCH(C502,Standards!$B$2:$B$296,0))</f>
        <v>GIS</v>
      </c>
      <c r="L502" t="b">
        <f>AND(TableRelationships[[#This Row],[Source Type]]="BIM",TableRelationships[[#This Row],[Target Type]]="BIM")</f>
        <v>0</v>
      </c>
      <c r="M502">
        <f t="shared" si="21"/>
        <v>1</v>
      </c>
      <c r="N502" t="s">
        <v>526</v>
      </c>
      <c r="O502">
        <f t="shared" si="22"/>
        <v>2</v>
      </c>
      <c r="P502" t="str">
        <f>IF(TableRelationships[[#This Row],[Rank Pedro]]="Low","linkCategory1",IF(TableRelationships[[#This Row],[Rank Pedro]]="Medium","linkCategory2",IF(TableRelationships[[#This Row],[Rank Pedro]]="High","linkCategory3","")))</f>
        <v>linkCategory1</v>
      </c>
      <c r="Q502" t="str">
        <f>IF(TableRelationships[[#This Row],[Rank Pedro]]="Low","Pink",IF(TableRelationships[[#This Row],[Rank Pedro]]="Medium","Purple",IF(TableRelationships[[#This Row],[Rank Pedro]]="High","Brown","")))</f>
        <v>Pink</v>
      </c>
      <c r="R502" s="4">
        <f>MAX(INDEX(Standards!$F$2:$F$296,MATCH(B502,Standards!$B$2:$B$296,0)),INDEX(Standards!$F$2:$F$296,MATCH(C502,Standards!$B$2:$B$296,0)))</f>
        <v>44317</v>
      </c>
      <c r="S502" t="str">
        <f t="shared" si="23"/>
        <v>#2f89d1</v>
      </c>
    </row>
    <row r="503" spans="1:19" x14ac:dyDescent="0.5">
      <c r="A503">
        <v>332</v>
      </c>
      <c r="B503" t="s">
        <v>488</v>
      </c>
      <c r="C503" t="s">
        <v>296</v>
      </c>
      <c r="D503">
        <f>INDEX(Standards!$A$2:$A$296,MATCH(B503,Standards!$B$2:$B$296,0))</f>
        <v>90</v>
      </c>
      <c r="E503">
        <f>INDEX(Standards!$A$2:$A$296,MATCH(C503,Standards!$B$2:$B$296,0))</f>
        <v>117</v>
      </c>
      <c r="F503" t="str">
        <f>INDEX(Standards!$N$2:$N$296,MATCH(B503,Standards!$B$2:$B$296,0))</f>
        <v>#70AD47</v>
      </c>
      <c r="G503" t="str">
        <f>INDEX(Standards!$N$2:$N$296,MATCH(C503,Standards!$B$2:$B$296,0))</f>
        <v>#9BC2E6</v>
      </c>
      <c r="H503" t="s">
        <v>521</v>
      </c>
      <c r="I503" t="s">
        <v>525</v>
      </c>
      <c r="J503" t="str">
        <f>INDEX(Standards!$H$2:$H$296,MATCH(B503,Standards!$B$2:$B$296,0))</f>
        <v>BIM</v>
      </c>
      <c r="K503" t="str">
        <f>INDEX(Standards!$H$2:$H$296,MATCH(C503,Standards!$B$2:$B$296,0))</f>
        <v>GIS</v>
      </c>
      <c r="L503" t="b">
        <f>AND(TableRelationships[[#This Row],[Source Type]]="BIM",TableRelationships[[#This Row],[Target Type]]="BIM")</f>
        <v>0</v>
      </c>
      <c r="M503">
        <f t="shared" si="21"/>
        <v>1</v>
      </c>
      <c r="N503" t="s">
        <v>526</v>
      </c>
      <c r="O503">
        <f t="shared" si="22"/>
        <v>2</v>
      </c>
      <c r="P503" t="str">
        <f>IF(TableRelationships[[#This Row],[Rank Pedro]]="Low","linkCategory1",IF(TableRelationships[[#This Row],[Rank Pedro]]="Medium","linkCategory2",IF(TableRelationships[[#This Row],[Rank Pedro]]="High","linkCategory3","")))</f>
        <v>linkCategory1</v>
      </c>
      <c r="Q503" t="str">
        <f>IF(TableRelationships[[#This Row],[Rank Pedro]]="Low","Pink",IF(TableRelationships[[#This Row],[Rank Pedro]]="Medium","Purple",IF(TableRelationships[[#This Row],[Rank Pedro]]="High","Brown","")))</f>
        <v>Pink</v>
      </c>
      <c r="R503" s="4">
        <f>MAX(INDEX(Standards!$F$2:$F$296,MATCH(B503,Standards!$B$2:$B$296,0)),INDEX(Standards!$F$2:$F$296,MATCH(C503,Standards!$B$2:$B$296,0)))</f>
        <v>44317</v>
      </c>
      <c r="S503" t="str">
        <f t="shared" si="23"/>
        <v>#2f89d1</v>
      </c>
    </row>
    <row r="504" spans="1:19" x14ac:dyDescent="0.5">
      <c r="A504">
        <v>333</v>
      </c>
      <c r="B504" t="s">
        <v>488</v>
      </c>
      <c r="C504" t="s">
        <v>298</v>
      </c>
      <c r="D504">
        <f>INDEX(Standards!$A$2:$A$296,MATCH(B504,Standards!$B$2:$B$296,0))</f>
        <v>90</v>
      </c>
      <c r="E504">
        <f>INDEX(Standards!$A$2:$A$296,MATCH(C504,Standards!$B$2:$B$296,0))</f>
        <v>118</v>
      </c>
      <c r="F504" t="str">
        <f>INDEX(Standards!$N$2:$N$296,MATCH(B504,Standards!$B$2:$B$296,0))</f>
        <v>#70AD47</v>
      </c>
      <c r="G504" t="str">
        <f>INDEX(Standards!$N$2:$N$296,MATCH(C504,Standards!$B$2:$B$296,0))</f>
        <v>#9BC2E6</v>
      </c>
      <c r="H504" t="s">
        <v>521</v>
      </c>
      <c r="I504" t="s">
        <v>525</v>
      </c>
      <c r="J504" t="str">
        <f>INDEX(Standards!$H$2:$H$296,MATCH(B504,Standards!$B$2:$B$296,0))</f>
        <v>BIM</v>
      </c>
      <c r="K504" t="str">
        <f>INDEX(Standards!$H$2:$H$296,MATCH(C504,Standards!$B$2:$B$296,0))</f>
        <v>GIS</v>
      </c>
      <c r="L504" t="b">
        <f>AND(TableRelationships[[#This Row],[Source Type]]="BIM",TableRelationships[[#This Row],[Target Type]]="BIM")</f>
        <v>0</v>
      </c>
      <c r="M504">
        <f t="shared" si="21"/>
        <v>1</v>
      </c>
      <c r="N504" t="s">
        <v>526</v>
      </c>
      <c r="O504">
        <f t="shared" si="22"/>
        <v>2</v>
      </c>
      <c r="P504" t="str">
        <f>IF(TableRelationships[[#This Row],[Rank Pedro]]="Low","linkCategory1",IF(TableRelationships[[#This Row],[Rank Pedro]]="Medium","linkCategory2",IF(TableRelationships[[#This Row],[Rank Pedro]]="High","linkCategory3","")))</f>
        <v>linkCategory1</v>
      </c>
      <c r="Q504" t="str">
        <f>IF(TableRelationships[[#This Row],[Rank Pedro]]="Low","Pink",IF(TableRelationships[[#This Row],[Rank Pedro]]="Medium","Purple",IF(TableRelationships[[#This Row],[Rank Pedro]]="High","Brown","")))</f>
        <v>Pink</v>
      </c>
      <c r="R504" s="4">
        <f>MAX(INDEX(Standards!$F$2:$F$296,MATCH(B504,Standards!$B$2:$B$296,0)),INDEX(Standards!$F$2:$F$296,MATCH(C504,Standards!$B$2:$B$296,0)))</f>
        <v>44317</v>
      </c>
      <c r="S504" t="str">
        <f t="shared" si="23"/>
        <v>#2f89d1</v>
      </c>
    </row>
    <row r="505" spans="1:19" x14ac:dyDescent="0.5">
      <c r="A505">
        <v>334</v>
      </c>
      <c r="B505" t="s">
        <v>488</v>
      </c>
      <c r="C505" t="s">
        <v>300</v>
      </c>
      <c r="D505">
        <f>INDEX(Standards!$A$2:$A$296,MATCH(B505,Standards!$B$2:$B$296,0))</f>
        <v>90</v>
      </c>
      <c r="E505">
        <f>INDEX(Standards!$A$2:$A$296,MATCH(C505,Standards!$B$2:$B$296,0))</f>
        <v>119</v>
      </c>
      <c r="F505" t="str">
        <f>INDEX(Standards!$N$2:$N$296,MATCH(B505,Standards!$B$2:$B$296,0))</f>
        <v>#70AD47</v>
      </c>
      <c r="G505" t="str">
        <f>INDEX(Standards!$N$2:$N$296,MATCH(C505,Standards!$B$2:$B$296,0))</f>
        <v>#9BC2E6</v>
      </c>
      <c r="H505" t="s">
        <v>521</v>
      </c>
      <c r="I505" t="s">
        <v>525</v>
      </c>
      <c r="J505" t="str">
        <f>INDEX(Standards!$H$2:$H$296,MATCH(B505,Standards!$B$2:$B$296,0))</f>
        <v>BIM</v>
      </c>
      <c r="K505" t="str">
        <f>INDEX(Standards!$H$2:$H$296,MATCH(C505,Standards!$B$2:$B$296,0))</f>
        <v>GIS</v>
      </c>
      <c r="L505" t="b">
        <f>AND(TableRelationships[[#This Row],[Source Type]]="BIM",TableRelationships[[#This Row],[Target Type]]="BIM")</f>
        <v>0</v>
      </c>
      <c r="M505">
        <f t="shared" si="21"/>
        <v>1</v>
      </c>
      <c r="N505" t="s">
        <v>526</v>
      </c>
      <c r="O505">
        <f t="shared" si="22"/>
        <v>2</v>
      </c>
      <c r="P505" t="str">
        <f>IF(TableRelationships[[#This Row],[Rank Pedro]]="Low","linkCategory1",IF(TableRelationships[[#This Row],[Rank Pedro]]="Medium","linkCategory2",IF(TableRelationships[[#This Row],[Rank Pedro]]="High","linkCategory3","")))</f>
        <v>linkCategory1</v>
      </c>
      <c r="Q505" t="str">
        <f>IF(TableRelationships[[#This Row],[Rank Pedro]]="Low","Pink",IF(TableRelationships[[#This Row],[Rank Pedro]]="Medium","Purple",IF(TableRelationships[[#This Row],[Rank Pedro]]="High","Brown","")))</f>
        <v>Pink</v>
      </c>
      <c r="R505" s="4">
        <f>MAX(INDEX(Standards!$F$2:$F$296,MATCH(B505,Standards!$B$2:$B$296,0)),INDEX(Standards!$F$2:$F$296,MATCH(C505,Standards!$B$2:$B$296,0)))</f>
        <v>44317</v>
      </c>
      <c r="S505" t="str">
        <f t="shared" si="23"/>
        <v>#2f89d1</v>
      </c>
    </row>
    <row r="506" spans="1:19" x14ac:dyDescent="0.5">
      <c r="A506">
        <v>335</v>
      </c>
      <c r="B506" t="s">
        <v>488</v>
      </c>
      <c r="C506" t="s">
        <v>302</v>
      </c>
      <c r="D506">
        <f>INDEX(Standards!$A$2:$A$296,MATCH(B506,Standards!$B$2:$B$296,0))</f>
        <v>90</v>
      </c>
      <c r="E506">
        <f>INDEX(Standards!$A$2:$A$296,MATCH(C506,Standards!$B$2:$B$296,0))</f>
        <v>120</v>
      </c>
      <c r="F506" t="str">
        <f>INDEX(Standards!$N$2:$N$296,MATCH(B506,Standards!$B$2:$B$296,0))</f>
        <v>#70AD47</v>
      </c>
      <c r="G506" t="str">
        <f>INDEX(Standards!$N$2:$N$296,MATCH(C506,Standards!$B$2:$B$296,0))</f>
        <v>#9BC2E6</v>
      </c>
      <c r="H506" t="s">
        <v>521</v>
      </c>
      <c r="I506" t="s">
        <v>525</v>
      </c>
      <c r="J506" t="str">
        <f>INDEX(Standards!$H$2:$H$296,MATCH(B506,Standards!$B$2:$B$296,0))</f>
        <v>BIM</v>
      </c>
      <c r="K506" t="str">
        <f>INDEX(Standards!$H$2:$H$296,MATCH(C506,Standards!$B$2:$B$296,0))</f>
        <v>GIS</v>
      </c>
      <c r="L506" t="b">
        <f>AND(TableRelationships[[#This Row],[Source Type]]="BIM",TableRelationships[[#This Row],[Target Type]]="BIM")</f>
        <v>0</v>
      </c>
      <c r="M506">
        <f t="shared" si="21"/>
        <v>1</v>
      </c>
      <c r="N506" t="s">
        <v>526</v>
      </c>
      <c r="O506">
        <f t="shared" si="22"/>
        <v>2</v>
      </c>
      <c r="P506" t="str">
        <f>IF(TableRelationships[[#This Row],[Rank Pedro]]="Low","linkCategory1",IF(TableRelationships[[#This Row],[Rank Pedro]]="Medium","linkCategory2",IF(TableRelationships[[#This Row],[Rank Pedro]]="High","linkCategory3","")))</f>
        <v>linkCategory1</v>
      </c>
      <c r="Q506" t="str">
        <f>IF(TableRelationships[[#This Row],[Rank Pedro]]="Low","Pink",IF(TableRelationships[[#This Row],[Rank Pedro]]="Medium","Purple",IF(TableRelationships[[#This Row],[Rank Pedro]]="High","Brown","")))</f>
        <v>Pink</v>
      </c>
      <c r="R506" s="4">
        <f>MAX(INDEX(Standards!$F$2:$F$296,MATCH(B506,Standards!$B$2:$B$296,0)),INDEX(Standards!$F$2:$F$296,MATCH(C506,Standards!$B$2:$B$296,0)))</f>
        <v>44317</v>
      </c>
      <c r="S506" t="str">
        <f t="shared" si="23"/>
        <v>#2f89d1</v>
      </c>
    </row>
    <row r="507" spans="1:19" x14ac:dyDescent="0.5">
      <c r="A507">
        <v>336</v>
      </c>
      <c r="B507" t="s">
        <v>488</v>
      </c>
      <c r="C507" t="s">
        <v>304</v>
      </c>
      <c r="D507">
        <f>INDEX(Standards!$A$2:$A$296,MATCH(B507,Standards!$B$2:$B$296,0))</f>
        <v>90</v>
      </c>
      <c r="E507">
        <f>INDEX(Standards!$A$2:$A$296,MATCH(C507,Standards!$B$2:$B$296,0))</f>
        <v>121</v>
      </c>
      <c r="F507" t="str">
        <f>INDEX(Standards!$N$2:$N$296,MATCH(B507,Standards!$B$2:$B$296,0))</f>
        <v>#70AD47</v>
      </c>
      <c r="G507" t="str">
        <f>INDEX(Standards!$N$2:$N$296,MATCH(C507,Standards!$B$2:$B$296,0))</f>
        <v>#9BC2E6</v>
      </c>
      <c r="H507" t="s">
        <v>521</v>
      </c>
      <c r="I507" t="s">
        <v>525</v>
      </c>
      <c r="J507" t="str">
        <f>INDEX(Standards!$H$2:$H$296,MATCH(B507,Standards!$B$2:$B$296,0))</f>
        <v>BIM</v>
      </c>
      <c r="K507" t="str">
        <f>INDEX(Standards!$H$2:$H$296,MATCH(C507,Standards!$B$2:$B$296,0))</f>
        <v>GIS</v>
      </c>
      <c r="L507" t="b">
        <f>AND(TableRelationships[[#This Row],[Source Type]]="BIM",TableRelationships[[#This Row],[Target Type]]="BIM")</f>
        <v>0</v>
      </c>
      <c r="M507">
        <f t="shared" si="21"/>
        <v>1</v>
      </c>
      <c r="N507" t="s">
        <v>526</v>
      </c>
      <c r="O507">
        <f t="shared" si="22"/>
        <v>2</v>
      </c>
      <c r="P507" t="str">
        <f>IF(TableRelationships[[#This Row],[Rank Pedro]]="Low","linkCategory1",IF(TableRelationships[[#This Row],[Rank Pedro]]="Medium","linkCategory2",IF(TableRelationships[[#This Row],[Rank Pedro]]="High","linkCategory3","")))</f>
        <v>linkCategory1</v>
      </c>
      <c r="Q507" t="str">
        <f>IF(TableRelationships[[#This Row],[Rank Pedro]]="Low","Pink",IF(TableRelationships[[#This Row],[Rank Pedro]]="Medium","Purple",IF(TableRelationships[[#This Row],[Rank Pedro]]="High","Brown","")))</f>
        <v>Pink</v>
      </c>
      <c r="R507" s="4">
        <f>MAX(INDEX(Standards!$F$2:$F$296,MATCH(B507,Standards!$B$2:$B$296,0)),INDEX(Standards!$F$2:$F$296,MATCH(C507,Standards!$B$2:$B$296,0)))</f>
        <v>44317</v>
      </c>
      <c r="S507" t="str">
        <f t="shared" si="23"/>
        <v>#2f89d1</v>
      </c>
    </row>
    <row r="508" spans="1:19" x14ac:dyDescent="0.5">
      <c r="A508">
        <v>337</v>
      </c>
      <c r="B508" t="s">
        <v>488</v>
      </c>
      <c r="C508" t="s">
        <v>306</v>
      </c>
      <c r="D508">
        <f>INDEX(Standards!$A$2:$A$296,MATCH(B508,Standards!$B$2:$B$296,0))</f>
        <v>90</v>
      </c>
      <c r="E508">
        <f>INDEX(Standards!$A$2:$A$296,MATCH(C508,Standards!$B$2:$B$296,0))</f>
        <v>122</v>
      </c>
      <c r="F508" t="str">
        <f>INDEX(Standards!$N$2:$N$296,MATCH(B508,Standards!$B$2:$B$296,0))</f>
        <v>#70AD47</v>
      </c>
      <c r="G508" t="str">
        <f>INDEX(Standards!$N$2:$N$296,MATCH(C508,Standards!$B$2:$B$296,0))</f>
        <v>#9BC2E6</v>
      </c>
      <c r="H508" t="s">
        <v>521</v>
      </c>
      <c r="I508" t="s">
        <v>525</v>
      </c>
      <c r="J508" t="str">
        <f>INDEX(Standards!$H$2:$H$296,MATCH(B508,Standards!$B$2:$B$296,0))</f>
        <v>BIM</v>
      </c>
      <c r="K508" t="str">
        <f>INDEX(Standards!$H$2:$H$296,MATCH(C508,Standards!$B$2:$B$296,0))</f>
        <v>GIS</v>
      </c>
      <c r="L508" t="b">
        <f>AND(TableRelationships[[#This Row],[Source Type]]="BIM",TableRelationships[[#This Row],[Target Type]]="BIM")</f>
        <v>0</v>
      </c>
      <c r="M508">
        <f t="shared" si="21"/>
        <v>1</v>
      </c>
      <c r="N508" t="s">
        <v>526</v>
      </c>
      <c r="O508">
        <f t="shared" si="22"/>
        <v>2</v>
      </c>
      <c r="P508" t="str">
        <f>IF(TableRelationships[[#This Row],[Rank Pedro]]="Low","linkCategory1",IF(TableRelationships[[#This Row],[Rank Pedro]]="Medium","linkCategory2",IF(TableRelationships[[#This Row],[Rank Pedro]]="High","linkCategory3","")))</f>
        <v>linkCategory1</v>
      </c>
      <c r="Q508" t="str">
        <f>IF(TableRelationships[[#This Row],[Rank Pedro]]="Low","Pink",IF(TableRelationships[[#This Row],[Rank Pedro]]="Medium","Purple",IF(TableRelationships[[#This Row],[Rank Pedro]]="High","Brown","")))</f>
        <v>Pink</v>
      </c>
      <c r="R508" s="4">
        <f>MAX(INDEX(Standards!$F$2:$F$296,MATCH(B508,Standards!$B$2:$B$296,0)),INDEX(Standards!$F$2:$F$296,MATCH(C508,Standards!$B$2:$B$296,0)))</f>
        <v>44317</v>
      </c>
      <c r="S508" t="str">
        <f t="shared" si="23"/>
        <v>#2f89d1</v>
      </c>
    </row>
    <row r="509" spans="1:19" x14ac:dyDescent="0.5">
      <c r="A509">
        <v>338</v>
      </c>
      <c r="B509" t="s">
        <v>488</v>
      </c>
      <c r="C509" t="s">
        <v>308</v>
      </c>
      <c r="D509">
        <f>INDEX(Standards!$A$2:$A$296,MATCH(B509,Standards!$B$2:$B$296,0))</f>
        <v>90</v>
      </c>
      <c r="E509">
        <f>INDEX(Standards!$A$2:$A$296,MATCH(C509,Standards!$B$2:$B$296,0))</f>
        <v>123</v>
      </c>
      <c r="F509" t="str">
        <f>INDEX(Standards!$N$2:$N$296,MATCH(B509,Standards!$B$2:$B$296,0))</f>
        <v>#70AD47</v>
      </c>
      <c r="G509" t="str">
        <f>INDEX(Standards!$N$2:$N$296,MATCH(C509,Standards!$B$2:$B$296,0))</f>
        <v>#9BC2E6</v>
      </c>
      <c r="H509" t="s">
        <v>521</v>
      </c>
      <c r="I509" t="s">
        <v>525</v>
      </c>
      <c r="J509" t="str">
        <f>INDEX(Standards!$H$2:$H$296,MATCH(B509,Standards!$B$2:$B$296,0))</f>
        <v>BIM</v>
      </c>
      <c r="K509" t="str">
        <f>INDEX(Standards!$H$2:$H$296,MATCH(C509,Standards!$B$2:$B$296,0))</f>
        <v>GIS</v>
      </c>
      <c r="L509" t="b">
        <f>AND(TableRelationships[[#This Row],[Source Type]]="BIM",TableRelationships[[#This Row],[Target Type]]="BIM")</f>
        <v>0</v>
      </c>
      <c r="M509">
        <f t="shared" si="21"/>
        <v>1</v>
      </c>
      <c r="N509" t="s">
        <v>526</v>
      </c>
      <c r="O509">
        <f t="shared" si="22"/>
        <v>2</v>
      </c>
      <c r="P509" t="str">
        <f>IF(TableRelationships[[#This Row],[Rank Pedro]]="Low","linkCategory1",IF(TableRelationships[[#This Row],[Rank Pedro]]="Medium","linkCategory2",IF(TableRelationships[[#This Row],[Rank Pedro]]="High","linkCategory3","")))</f>
        <v>linkCategory1</v>
      </c>
      <c r="Q509" t="str">
        <f>IF(TableRelationships[[#This Row],[Rank Pedro]]="Low","Pink",IF(TableRelationships[[#This Row],[Rank Pedro]]="Medium","Purple",IF(TableRelationships[[#This Row],[Rank Pedro]]="High","Brown","")))</f>
        <v>Pink</v>
      </c>
      <c r="R509" s="4">
        <f>MAX(INDEX(Standards!$F$2:$F$296,MATCH(B509,Standards!$B$2:$B$296,0)),INDEX(Standards!$F$2:$F$296,MATCH(C509,Standards!$B$2:$B$296,0)))</f>
        <v>44317</v>
      </c>
      <c r="S509" t="str">
        <f t="shared" si="23"/>
        <v>#2f89d1</v>
      </c>
    </row>
    <row r="510" spans="1:19" x14ac:dyDescent="0.5">
      <c r="A510">
        <v>339</v>
      </c>
      <c r="B510" t="s">
        <v>488</v>
      </c>
      <c r="C510" t="s">
        <v>310</v>
      </c>
      <c r="D510">
        <f>INDEX(Standards!$A$2:$A$296,MATCH(B510,Standards!$B$2:$B$296,0))</f>
        <v>90</v>
      </c>
      <c r="E510">
        <f>INDEX(Standards!$A$2:$A$296,MATCH(C510,Standards!$B$2:$B$296,0))</f>
        <v>124</v>
      </c>
      <c r="F510" t="str">
        <f>INDEX(Standards!$N$2:$N$296,MATCH(B510,Standards!$B$2:$B$296,0))</f>
        <v>#70AD47</v>
      </c>
      <c r="G510" t="str">
        <f>INDEX(Standards!$N$2:$N$296,MATCH(C510,Standards!$B$2:$B$296,0))</f>
        <v>#9BC2E6</v>
      </c>
      <c r="H510" t="s">
        <v>521</v>
      </c>
      <c r="I510" t="s">
        <v>525</v>
      </c>
      <c r="J510" t="str">
        <f>INDEX(Standards!$H$2:$H$296,MATCH(B510,Standards!$B$2:$B$296,0))</f>
        <v>BIM</v>
      </c>
      <c r="K510" t="str">
        <f>INDEX(Standards!$H$2:$H$296,MATCH(C510,Standards!$B$2:$B$296,0))</f>
        <v>GIS</v>
      </c>
      <c r="L510" t="b">
        <f>AND(TableRelationships[[#This Row],[Source Type]]="BIM",TableRelationships[[#This Row],[Target Type]]="BIM")</f>
        <v>0</v>
      </c>
      <c r="M510">
        <f t="shared" si="21"/>
        <v>1</v>
      </c>
      <c r="N510" t="s">
        <v>526</v>
      </c>
      <c r="O510">
        <f t="shared" si="22"/>
        <v>2</v>
      </c>
      <c r="P510" t="str">
        <f>IF(TableRelationships[[#This Row],[Rank Pedro]]="Low","linkCategory1",IF(TableRelationships[[#This Row],[Rank Pedro]]="Medium","linkCategory2",IF(TableRelationships[[#This Row],[Rank Pedro]]="High","linkCategory3","")))</f>
        <v>linkCategory1</v>
      </c>
      <c r="Q510" t="str">
        <f>IF(TableRelationships[[#This Row],[Rank Pedro]]="Low","Pink",IF(TableRelationships[[#This Row],[Rank Pedro]]="Medium","Purple",IF(TableRelationships[[#This Row],[Rank Pedro]]="High","Brown","")))</f>
        <v>Pink</v>
      </c>
      <c r="R510" s="4">
        <f>MAX(INDEX(Standards!$F$2:$F$296,MATCH(B510,Standards!$B$2:$B$296,0)),INDEX(Standards!$F$2:$F$296,MATCH(C510,Standards!$B$2:$B$296,0)))</f>
        <v>44317</v>
      </c>
      <c r="S510" t="str">
        <f t="shared" si="23"/>
        <v>#2f89d1</v>
      </c>
    </row>
    <row r="511" spans="1:19" x14ac:dyDescent="0.5">
      <c r="A511">
        <v>340</v>
      </c>
      <c r="B511" t="s">
        <v>488</v>
      </c>
      <c r="C511" t="s">
        <v>312</v>
      </c>
      <c r="D511">
        <f>INDEX(Standards!$A$2:$A$296,MATCH(B511,Standards!$B$2:$B$296,0))</f>
        <v>90</v>
      </c>
      <c r="E511">
        <f>INDEX(Standards!$A$2:$A$296,MATCH(C511,Standards!$B$2:$B$296,0))</f>
        <v>125</v>
      </c>
      <c r="F511" t="str">
        <f>INDEX(Standards!$N$2:$N$296,MATCH(B511,Standards!$B$2:$B$296,0))</f>
        <v>#70AD47</v>
      </c>
      <c r="G511" t="str">
        <f>INDEX(Standards!$N$2:$N$296,MATCH(C511,Standards!$B$2:$B$296,0))</f>
        <v>#9BC2E6</v>
      </c>
      <c r="H511" t="s">
        <v>521</v>
      </c>
      <c r="I511" t="s">
        <v>525</v>
      </c>
      <c r="J511" t="str">
        <f>INDEX(Standards!$H$2:$H$296,MATCH(B511,Standards!$B$2:$B$296,0))</f>
        <v>BIM</v>
      </c>
      <c r="K511" t="str">
        <f>INDEX(Standards!$H$2:$H$296,MATCH(C511,Standards!$B$2:$B$296,0))</f>
        <v>GIS</v>
      </c>
      <c r="L511" t="b">
        <f>AND(TableRelationships[[#This Row],[Source Type]]="BIM",TableRelationships[[#This Row],[Target Type]]="BIM")</f>
        <v>0</v>
      </c>
      <c r="M511">
        <f t="shared" si="21"/>
        <v>1</v>
      </c>
      <c r="N511" t="s">
        <v>526</v>
      </c>
      <c r="O511">
        <f t="shared" si="22"/>
        <v>2</v>
      </c>
      <c r="P511" t="str">
        <f>IF(TableRelationships[[#This Row],[Rank Pedro]]="Low","linkCategory1",IF(TableRelationships[[#This Row],[Rank Pedro]]="Medium","linkCategory2",IF(TableRelationships[[#This Row],[Rank Pedro]]="High","linkCategory3","")))</f>
        <v>linkCategory1</v>
      </c>
      <c r="Q511" t="str">
        <f>IF(TableRelationships[[#This Row],[Rank Pedro]]="Low","Pink",IF(TableRelationships[[#This Row],[Rank Pedro]]="Medium","Purple",IF(TableRelationships[[#This Row],[Rank Pedro]]="High","Brown","")))</f>
        <v>Pink</v>
      </c>
      <c r="R511" s="4">
        <f>MAX(INDEX(Standards!$F$2:$F$296,MATCH(B511,Standards!$B$2:$B$296,0)),INDEX(Standards!$F$2:$F$296,MATCH(C511,Standards!$B$2:$B$296,0)))</f>
        <v>44317</v>
      </c>
      <c r="S511" t="str">
        <f t="shared" si="23"/>
        <v>#2f89d1</v>
      </c>
    </row>
    <row r="512" spans="1:19" x14ac:dyDescent="0.5">
      <c r="A512">
        <v>341</v>
      </c>
      <c r="B512" t="s">
        <v>488</v>
      </c>
      <c r="C512" t="s">
        <v>314</v>
      </c>
      <c r="D512">
        <f>INDEX(Standards!$A$2:$A$296,MATCH(B512,Standards!$B$2:$B$296,0))</f>
        <v>90</v>
      </c>
      <c r="E512">
        <f>INDEX(Standards!$A$2:$A$296,MATCH(C512,Standards!$B$2:$B$296,0))</f>
        <v>126</v>
      </c>
      <c r="F512" t="str">
        <f>INDEX(Standards!$N$2:$N$296,MATCH(B512,Standards!$B$2:$B$296,0))</f>
        <v>#70AD47</v>
      </c>
      <c r="G512" t="str">
        <f>INDEX(Standards!$N$2:$N$296,MATCH(C512,Standards!$B$2:$B$296,0))</f>
        <v>#9BC2E6</v>
      </c>
      <c r="H512" t="s">
        <v>521</v>
      </c>
      <c r="I512" t="s">
        <v>525</v>
      </c>
      <c r="J512" t="str">
        <f>INDEX(Standards!$H$2:$H$296,MATCH(B512,Standards!$B$2:$B$296,0))</f>
        <v>BIM</v>
      </c>
      <c r="K512" t="str">
        <f>INDEX(Standards!$H$2:$H$296,MATCH(C512,Standards!$B$2:$B$296,0))</f>
        <v>GIS</v>
      </c>
      <c r="L512" t="b">
        <f>AND(TableRelationships[[#This Row],[Source Type]]="BIM",TableRelationships[[#This Row],[Target Type]]="BIM")</f>
        <v>0</v>
      </c>
      <c r="M512">
        <f t="shared" si="21"/>
        <v>1</v>
      </c>
      <c r="N512" t="s">
        <v>526</v>
      </c>
      <c r="O512">
        <f t="shared" si="22"/>
        <v>2</v>
      </c>
      <c r="P512" t="str">
        <f>IF(TableRelationships[[#This Row],[Rank Pedro]]="Low","linkCategory1",IF(TableRelationships[[#This Row],[Rank Pedro]]="Medium","linkCategory2",IF(TableRelationships[[#This Row],[Rank Pedro]]="High","linkCategory3","")))</f>
        <v>linkCategory1</v>
      </c>
      <c r="Q512" t="str">
        <f>IF(TableRelationships[[#This Row],[Rank Pedro]]="Low","Pink",IF(TableRelationships[[#This Row],[Rank Pedro]]="Medium","Purple",IF(TableRelationships[[#This Row],[Rank Pedro]]="High","Brown","")))</f>
        <v>Pink</v>
      </c>
      <c r="R512" s="4">
        <f>MAX(INDEX(Standards!$F$2:$F$296,MATCH(B512,Standards!$B$2:$B$296,0)),INDEX(Standards!$F$2:$F$296,MATCH(C512,Standards!$B$2:$B$296,0)))</f>
        <v>44317</v>
      </c>
      <c r="S512" t="str">
        <f t="shared" si="23"/>
        <v>#2f89d1</v>
      </c>
    </row>
    <row r="513" spans="1:19" x14ac:dyDescent="0.5">
      <c r="A513">
        <v>342</v>
      </c>
      <c r="B513" t="s">
        <v>488</v>
      </c>
      <c r="C513" t="s">
        <v>316</v>
      </c>
      <c r="D513">
        <f>INDEX(Standards!$A$2:$A$296,MATCH(B513,Standards!$B$2:$B$296,0))</f>
        <v>90</v>
      </c>
      <c r="E513">
        <f>INDEX(Standards!$A$2:$A$296,MATCH(C513,Standards!$B$2:$B$296,0))</f>
        <v>127</v>
      </c>
      <c r="F513" t="str">
        <f>INDEX(Standards!$N$2:$N$296,MATCH(B513,Standards!$B$2:$B$296,0))</f>
        <v>#70AD47</v>
      </c>
      <c r="G513" t="str">
        <f>INDEX(Standards!$N$2:$N$296,MATCH(C513,Standards!$B$2:$B$296,0))</f>
        <v>#9BC2E6</v>
      </c>
      <c r="H513" t="s">
        <v>521</v>
      </c>
      <c r="I513" t="s">
        <v>525</v>
      </c>
      <c r="J513" t="str">
        <f>INDEX(Standards!$H$2:$H$296,MATCH(B513,Standards!$B$2:$B$296,0))</f>
        <v>BIM</v>
      </c>
      <c r="K513" t="str">
        <f>INDEX(Standards!$H$2:$H$296,MATCH(C513,Standards!$B$2:$B$296,0))</f>
        <v>GIS</v>
      </c>
      <c r="L513" t="b">
        <f>AND(TableRelationships[[#This Row],[Source Type]]="BIM",TableRelationships[[#This Row],[Target Type]]="BIM")</f>
        <v>0</v>
      </c>
      <c r="M513">
        <f t="shared" si="21"/>
        <v>1</v>
      </c>
      <c r="N513" t="s">
        <v>526</v>
      </c>
      <c r="O513">
        <f t="shared" si="22"/>
        <v>2</v>
      </c>
      <c r="P513" t="str">
        <f>IF(TableRelationships[[#This Row],[Rank Pedro]]="Low","linkCategory1",IF(TableRelationships[[#This Row],[Rank Pedro]]="Medium","linkCategory2",IF(TableRelationships[[#This Row],[Rank Pedro]]="High","linkCategory3","")))</f>
        <v>linkCategory1</v>
      </c>
      <c r="Q513" t="str">
        <f>IF(TableRelationships[[#This Row],[Rank Pedro]]="Low","Pink",IF(TableRelationships[[#This Row],[Rank Pedro]]="Medium","Purple",IF(TableRelationships[[#This Row],[Rank Pedro]]="High","Brown","")))</f>
        <v>Pink</v>
      </c>
      <c r="R513" s="4">
        <f>MAX(INDEX(Standards!$F$2:$F$296,MATCH(B513,Standards!$B$2:$B$296,0)),INDEX(Standards!$F$2:$F$296,MATCH(C513,Standards!$B$2:$B$296,0)))</f>
        <v>44317</v>
      </c>
      <c r="S513" t="str">
        <f t="shared" si="23"/>
        <v>#2f89d1</v>
      </c>
    </row>
    <row r="514" spans="1:19" x14ac:dyDescent="0.5">
      <c r="A514">
        <v>343</v>
      </c>
      <c r="B514" t="s">
        <v>488</v>
      </c>
      <c r="C514" t="s">
        <v>318</v>
      </c>
      <c r="D514">
        <f>INDEX(Standards!$A$2:$A$296,MATCH(B514,Standards!$B$2:$B$296,0))</f>
        <v>90</v>
      </c>
      <c r="E514">
        <f>INDEX(Standards!$A$2:$A$296,MATCH(C514,Standards!$B$2:$B$296,0))</f>
        <v>128</v>
      </c>
      <c r="F514" t="str">
        <f>INDEX(Standards!$N$2:$N$296,MATCH(B514,Standards!$B$2:$B$296,0))</f>
        <v>#70AD47</v>
      </c>
      <c r="G514" t="str">
        <f>INDEX(Standards!$N$2:$N$296,MATCH(C514,Standards!$B$2:$B$296,0))</f>
        <v>#9BC2E6</v>
      </c>
      <c r="H514" t="s">
        <v>521</v>
      </c>
      <c r="I514" t="s">
        <v>525</v>
      </c>
      <c r="J514" t="str">
        <f>INDEX(Standards!$H$2:$H$296,MATCH(B514,Standards!$B$2:$B$296,0))</f>
        <v>BIM</v>
      </c>
      <c r="K514" t="str">
        <f>INDEX(Standards!$H$2:$H$296,MATCH(C514,Standards!$B$2:$B$296,0))</f>
        <v>GIS</v>
      </c>
      <c r="L514" t="b">
        <f>AND(TableRelationships[[#This Row],[Source Type]]="BIM",TableRelationships[[#This Row],[Target Type]]="BIM")</f>
        <v>0</v>
      </c>
      <c r="M514">
        <f t="shared" ref="M514:M537" si="24">IF(I514="Normative",6,IF(I514="Secondary",4,IF(I514="Anchor",2,1)))</f>
        <v>1</v>
      </c>
      <c r="N514" t="s">
        <v>526</v>
      </c>
      <c r="O514">
        <f t="shared" ref="O514:O537" si="25">IF(N514="High",10,IF(N514="Medium",6,IF(N514="Low",2,1)))</f>
        <v>2</v>
      </c>
      <c r="P514" t="str">
        <f>IF(TableRelationships[[#This Row],[Rank Pedro]]="Low","linkCategory1",IF(TableRelationships[[#This Row],[Rank Pedro]]="Medium","linkCategory2",IF(TableRelationships[[#This Row],[Rank Pedro]]="High","linkCategory3","")))</f>
        <v>linkCategory1</v>
      </c>
      <c r="Q514" t="str">
        <f>IF(TableRelationships[[#This Row],[Rank Pedro]]="Low","Pink",IF(TableRelationships[[#This Row],[Rank Pedro]]="Medium","Purple",IF(TableRelationships[[#This Row],[Rank Pedro]]="High","Brown","")))</f>
        <v>Pink</v>
      </c>
      <c r="R514" s="4">
        <f>MAX(INDEX(Standards!$F$2:$F$296,MATCH(B514,Standards!$B$2:$B$296,0)),INDEX(Standards!$F$2:$F$296,MATCH(C514,Standards!$B$2:$B$296,0)))</f>
        <v>44317</v>
      </c>
      <c r="S514" t="str">
        <f t="shared" ref="S514:S537" si="26">IF(I514="Normative", "#d6bf2a", IF(I514="Informative", "#2f89d1", 1))</f>
        <v>#2f89d1</v>
      </c>
    </row>
    <row r="515" spans="1:19" x14ac:dyDescent="0.5">
      <c r="A515">
        <v>344</v>
      </c>
      <c r="B515" t="s">
        <v>488</v>
      </c>
      <c r="C515" t="s">
        <v>320</v>
      </c>
      <c r="D515">
        <f>INDEX(Standards!$A$2:$A$296,MATCH(B515,Standards!$B$2:$B$296,0))</f>
        <v>90</v>
      </c>
      <c r="E515">
        <f>INDEX(Standards!$A$2:$A$296,MATCH(C515,Standards!$B$2:$B$296,0))</f>
        <v>129</v>
      </c>
      <c r="F515" t="str">
        <f>INDEX(Standards!$N$2:$N$296,MATCH(B515,Standards!$B$2:$B$296,0))</f>
        <v>#70AD47</v>
      </c>
      <c r="G515" t="str">
        <f>INDEX(Standards!$N$2:$N$296,MATCH(C515,Standards!$B$2:$B$296,0))</f>
        <v>#9BC2E6</v>
      </c>
      <c r="H515" t="s">
        <v>521</v>
      </c>
      <c r="I515" t="s">
        <v>525</v>
      </c>
      <c r="J515" t="str">
        <f>INDEX(Standards!$H$2:$H$296,MATCH(B515,Standards!$B$2:$B$296,0))</f>
        <v>BIM</v>
      </c>
      <c r="K515" t="str">
        <f>INDEX(Standards!$H$2:$H$296,MATCH(C515,Standards!$B$2:$B$296,0))</f>
        <v>GIS</v>
      </c>
      <c r="L515" t="b">
        <f>AND(TableRelationships[[#This Row],[Source Type]]="BIM",TableRelationships[[#This Row],[Target Type]]="BIM")</f>
        <v>0</v>
      </c>
      <c r="M515">
        <f t="shared" si="24"/>
        <v>1</v>
      </c>
      <c r="N515" t="s">
        <v>526</v>
      </c>
      <c r="O515">
        <f t="shared" si="25"/>
        <v>2</v>
      </c>
      <c r="P515" t="str">
        <f>IF(TableRelationships[[#This Row],[Rank Pedro]]="Low","linkCategory1",IF(TableRelationships[[#This Row],[Rank Pedro]]="Medium","linkCategory2",IF(TableRelationships[[#This Row],[Rank Pedro]]="High","linkCategory3","")))</f>
        <v>linkCategory1</v>
      </c>
      <c r="Q515" t="str">
        <f>IF(TableRelationships[[#This Row],[Rank Pedro]]="Low","Pink",IF(TableRelationships[[#This Row],[Rank Pedro]]="Medium","Purple",IF(TableRelationships[[#This Row],[Rank Pedro]]="High","Brown","")))</f>
        <v>Pink</v>
      </c>
      <c r="R515" s="4">
        <f>MAX(INDEX(Standards!$F$2:$F$296,MATCH(B515,Standards!$B$2:$B$296,0)),INDEX(Standards!$F$2:$F$296,MATCH(C515,Standards!$B$2:$B$296,0)))</f>
        <v>44317</v>
      </c>
      <c r="S515" t="str">
        <f t="shared" si="26"/>
        <v>#2f89d1</v>
      </c>
    </row>
    <row r="516" spans="1:19" x14ac:dyDescent="0.5">
      <c r="A516">
        <v>345</v>
      </c>
      <c r="B516" t="s">
        <v>488</v>
      </c>
      <c r="C516" t="s">
        <v>322</v>
      </c>
      <c r="D516">
        <f>INDEX(Standards!$A$2:$A$296,MATCH(B516,Standards!$B$2:$B$296,0))</f>
        <v>90</v>
      </c>
      <c r="E516">
        <f>INDEX(Standards!$A$2:$A$296,MATCH(C516,Standards!$B$2:$B$296,0))</f>
        <v>130</v>
      </c>
      <c r="F516" t="str">
        <f>INDEX(Standards!$N$2:$N$296,MATCH(B516,Standards!$B$2:$B$296,0))</f>
        <v>#70AD47</v>
      </c>
      <c r="G516" t="str">
        <f>INDEX(Standards!$N$2:$N$296,MATCH(C516,Standards!$B$2:$B$296,0))</f>
        <v>#9BC2E6</v>
      </c>
      <c r="H516" t="s">
        <v>521</v>
      </c>
      <c r="I516" t="s">
        <v>525</v>
      </c>
      <c r="J516" t="str">
        <f>INDEX(Standards!$H$2:$H$296,MATCH(B516,Standards!$B$2:$B$296,0))</f>
        <v>BIM</v>
      </c>
      <c r="K516" t="str">
        <f>INDEX(Standards!$H$2:$H$296,MATCH(C516,Standards!$B$2:$B$296,0))</f>
        <v>GIS</v>
      </c>
      <c r="L516" t="b">
        <f>AND(TableRelationships[[#This Row],[Source Type]]="BIM",TableRelationships[[#This Row],[Target Type]]="BIM")</f>
        <v>0</v>
      </c>
      <c r="M516">
        <f t="shared" si="24"/>
        <v>1</v>
      </c>
      <c r="N516" t="s">
        <v>526</v>
      </c>
      <c r="O516">
        <f t="shared" si="25"/>
        <v>2</v>
      </c>
      <c r="P516" t="str">
        <f>IF(TableRelationships[[#This Row],[Rank Pedro]]="Low","linkCategory1",IF(TableRelationships[[#This Row],[Rank Pedro]]="Medium","linkCategory2",IF(TableRelationships[[#This Row],[Rank Pedro]]="High","linkCategory3","")))</f>
        <v>linkCategory1</v>
      </c>
      <c r="Q516" t="str">
        <f>IF(TableRelationships[[#This Row],[Rank Pedro]]="Low","Pink",IF(TableRelationships[[#This Row],[Rank Pedro]]="Medium","Purple",IF(TableRelationships[[#This Row],[Rank Pedro]]="High","Brown","")))</f>
        <v>Pink</v>
      </c>
      <c r="R516" s="4">
        <f>MAX(INDEX(Standards!$F$2:$F$296,MATCH(B516,Standards!$B$2:$B$296,0)),INDEX(Standards!$F$2:$F$296,MATCH(C516,Standards!$B$2:$B$296,0)))</f>
        <v>44317</v>
      </c>
      <c r="S516" t="str">
        <f t="shared" si="26"/>
        <v>#2f89d1</v>
      </c>
    </row>
    <row r="517" spans="1:19" x14ac:dyDescent="0.5">
      <c r="A517">
        <v>346</v>
      </c>
      <c r="B517" t="s">
        <v>488</v>
      </c>
      <c r="C517" t="s">
        <v>324</v>
      </c>
      <c r="D517">
        <f>INDEX(Standards!$A$2:$A$296,MATCH(B517,Standards!$B$2:$B$296,0))</f>
        <v>90</v>
      </c>
      <c r="E517">
        <f>INDEX(Standards!$A$2:$A$296,MATCH(C517,Standards!$B$2:$B$296,0))</f>
        <v>131</v>
      </c>
      <c r="F517" t="str">
        <f>INDEX(Standards!$N$2:$N$296,MATCH(B517,Standards!$B$2:$B$296,0))</f>
        <v>#70AD47</v>
      </c>
      <c r="G517" t="str">
        <f>INDEX(Standards!$N$2:$N$296,MATCH(C517,Standards!$B$2:$B$296,0))</f>
        <v>#9BC2E6</v>
      </c>
      <c r="H517" t="s">
        <v>521</v>
      </c>
      <c r="I517" t="s">
        <v>525</v>
      </c>
      <c r="J517" t="str">
        <f>INDEX(Standards!$H$2:$H$296,MATCH(B517,Standards!$B$2:$B$296,0))</f>
        <v>BIM</v>
      </c>
      <c r="K517" t="str">
        <f>INDEX(Standards!$H$2:$H$296,MATCH(C517,Standards!$B$2:$B$296,0))</f>
        <v>GIS</v>
      </c>
      <c r="L517" t="b">
        <f>AND(TableRelationships[[#This Row],[Source Type]]="BIM",TableRelationships[[#This Row],[Target Type]]="BIM")</f>
        <v>0</v>
      </c>
      <c r="M517">
        <f t="shared" si="24"/>
        <v>1</v>
      </c>
      <c r="N517" t="s">
        <v>526</v>
      </c>
      <c r="O517">
        <f t="shared" si="25"/>
        <v>2</v>
      </c>
      <c r="P517" t="str">
        <f>IF(TableRelationships[[#This Row],[Rank Pedro]]="Low","linkCategory1",IF(TableRelationships[[#This Row],[Rank Pedro]]="Medium","linkCategory2",IF(TableRelationships[[#This Row],[Rank Pedro]]="High","linkCategory3","")))</f>
        <v>linkCategory1</v>
      </c>
      <c r="Q517" t="str">
        <f>IF(TableRelationships[[#This Row],[Rank Pedro]]="Low","Pink",IF(TableRelationships[[#This Row],[Rank Pedro]]="Medium","Purple",IF(TableRelationships[[#This Row],[Rank Pedro]]="High","Brown","")))</f>
        <v>Pink</v>
      </c>
      <c r="R517" s="4">
        <f>MAX(INDEX(Standards!$F$2:$F$296,MATCH(B517,Standards!$B$2:$B$296,0)),INDEX(Standards!$F$2:$F$296,MATCH(C517,Standards!$B$2:$B$296,0)))</f>
        <v>44317</v>
      </c>
      <c r="S517" t="str">
        <f t="shared" si="26"/>
        <v>#2f89d1</v>
      </c>
    </row>
    <row r="518" spans="1:19" x14ac:dyDescent="0.5">
      <c r="A518">
        <v>347</v>
      </c>
      <c r="B518" t="s">
        <v>488</v>
      </c>
      <c r="C518" t="s">
        <v>326</v>
      </c>
      <c r="D518">
        <f>INDEX(Standards!$A$2:$A$296,MATCH(B518,Standards!$B$2:$B$296,0))</f>
        <v>90</v>
      </c>
      <c r="E518">
        <f>INDEX(Standards!$A$2:$A$296,MATCH(C518,Standards!$B$2:$B$296,0))</f>
        <v>132</v>
      </c>
      <c r="F518" t="str">
        <f>INDEX(Standards!$N$2:$N$296,MATCH(B518,Standards!$B$2:$B$296,0))</f>
        <v>#70AD47</v>
      </c>
      <c r="G518" t="str">
        <f>INDEX(Standards!$N$2:$N$296,MATCH(C518,Standards!$B$2:$B$296,0))</f>
        <v>#9BC2E6</v>
      </c>
      <c r="H518" t="s">
        <v>521</v>
      </c>
      <c r="I518" t="s">
        <v>525</v>
      </c>
      <c r="J518" t="str">
        <f>INDEX(Standards!$H$2:$H$296,MATCH(B518,Standards!$B$2:$B$296,0))</f>
        <v>BIM</v>
      </c>
      <c r="K518" t="str">
        <f>INDEX(Standards!$H$2:$H$296,MATCH(C518,Standards!$B$2:$B$296,0))</f>
        <v>GIS</v>
      </c>
      <c r="L518" t="b">
        <f>AND(TableRelationships[[#This Row],[Source Type]]="BIM",TableRelationships[[#This Row],[Target Type]]="BIM")</f>
        <v>0</v>
      </c>
      <c r="M518">
        <f t="shared" si="24"/>
        <v>1</v>
      </c>
      <c r="N518" t="s">
        <v>526</v>
      </c>
      <c r="O518">
        <f t="shared" si="25"/>
        <v>2</v>
      </c>
      <c r="P518" t="str">
        <f>IF(TableRelationships[[#This Row],[Rank Pedro]]="Low","linkCategory1",IF(TableRelationships[[#This Row],[Rank Pedro]]="Medium","linkCategory2",IF(TableRelationships[[#This Row],[Rank Pedro]]="High","linkCategory3","")))</f>
        <v>linkCategory1</v>
      </c>
      <c r="Q518" t="str">
        <f>IF(TableRelationships[[#This Row],[Rank Pedro]]="Low","Pink",IF(TableRelationships[[#This Row],[Rank Pedro]]="Medium","Purple",IF(TableRelationships[[#This Row],[Rank Pedro]]="High","Brown","")))</f>
        <v>Pink</v>
      </c>
      <c r="R518" s="4">
        <f>MAX(INDEX(Standards!$F$2:$F$296,MATCH(B518,Standards!$B$2:$B$296,0)),INDEX(Standards!$F$2:$F$296,MATCH(C518,Standards!$B$2:$B$296,0)))</f>
        <v>44317</v>
      </c>
      <c r="S518" t="str">
        <f t="shared" si="26"/>
        <v>#2f89d1</v>
      </c>
    </row>
    <row r="519" spans="1:19" x14ac:dyDescent="0.5">
      <c r="A519">
        <v>348</v>
      </c>
      <c r="B519" t="s">
        <v>488</v>
      </c>
      <c r="C519" t="s">
        <v>328</v>
      </c>
      <c r="D519">
        <f>INDEX(Standards!$A$2:$A$296,MATCH(B519,Standards!$B$2:$B$296,0))</f>
        <v>90</v>
      </c>
      <c r="E519">
        <f>INDEX(Standards!$A$2:$A$296,MATCH(C519,Standards!$B$2:$B$296,0))</f>
        <v>133</v>
      </c>
      <c r="F519" t="str">
        <f>INDEX(Standards!$N$2:$N$296,MATCH(B519,Standards!$B$2:$B$296,0))</f>
        <v>#70AD47</v>
      </c>
      <c r="G519" t="str">
        <f>INDEX(Standards!$N$2:$N$296,MATCH(C519,Standards!$B$2:$B$296,0))</f>
        <v>#9BC2E6</v>
      </c>
      <c r="H519" t="s">
        <v>521</v>
      </c>
      <c r="I519" t="s">
        <v>525</v>
      </c>
      <c r="J519" t="str">
        <f>INDEX(Standards!$H$2:$H$296,MATCH(B519,Standards!$B$2:$B$296,0))</f>
        <v>BIM</v>
      </c>
      <c r="K519" t="str">
        <f>INDEX(Standards!$H$2:$H$296,MATCH(C519,Standards!$B$2:$B$296,0))</f>
        <v>GIS</v>
      </c>
      <c r="L519" t="b">
        <f>AND(TableRelationships[[#This Row],[Source Type]]="BIM",TableRelationships[[#This Row],[Target Type]]="BIM")</f>
        <v>0</v>
      </c>
      <c r="M519">
        <f t="shared" si="24"/>
        <v>1</v>
      </c>
      <c r="N519" t="s">
        <v>526</v>
      </c>
      <c r="O519">
        <f t="shared" si="25"/>
        <v>2</v>
      </c>
      <c r="P519" t="str">
        <f>IF(TableRelationships[[#This Row],[Rank Pedro]]="Low","linkCategory1",IF(TableRelationships[[#This Row],[Rank Pedro]]="Medium","linkCategory2",IF(TableRelationships[[#This Row],[Rank Pedro]]="High","linkCategory3","")))</f>
        <v>linkCategory1</v>
      </c>
      <c r="Q519" t="str">
        <f>IF(TableRelationships[[#This Row],[Rank Pedro]]="Low","Pink",IF(TableRelationships[[#This Row],[Rank Pedro]]="Medium","Purple",IF(TableRelationships[[#This Row],[Rank Pedro]]="High","Brown","")))</f>
        <v>Pink</v>
      </c>
      <c r="R519" s="4">
        <f>MAX(INDEX(Standards!$F$2:$F$296,MATCH(B519,Standards!$B$2:$B$296,0)),INDEX(Standards!$F$2:$F$296,MATCH(C519,Standards!$B$2:$B$296,0)))</f>
        <v>44317</v>
      </c>
      <c r="S519" t="str">
        <f t="shared" si="26"/>
        <v>#2f89d1</v>
      </c>
    </row>
    <row r="520" spans="1:19" x14ac:dyDescent="0.5">
      <c r="A520">
        <v>349</v>
      </c>
      <c r="B520" t="s">
        <v>488</v>
      </c>
      <c r="C520" t="s">
        <v>330</v>
      </c>
      <c r="D520">
        <f>INDEX(Standards!$A$2:$A$296,MATCH(B520,Standards!$B$2:$B$296,0))</f>
        <v>90</v>
      </c>
      <c r="E520">
        <f>INDEX(Standards!$A$2:$A$296,MATCH(C520,Standards!$B$2:$B$296,0))</f>
        <v>134</v>
      </c>
      <c r="F520" t="str">
        <f>INDEX(Standards!$N$2:$N$296,MATCH(B520,Standards!$B$2:$B$296,0))</f>
        <v>#70AD47</v>
      </c>
      <c r="G520" t="str">
        <f>INDEX(Standards!$N$2:$N$296,MATCH(C520,Standards!$B$2:$B$296,0))</f>
        <v>#9BC2E6</v>
      </c>
      <c r="H520" t="s">
        <v>521</v>
      </c>
      <c r="I520" t="s">
        <v>525</v>
      </c>
      <c r="J520" t="str">
        <f>INDEX(Standards!$H$2:$H$296,MATCH(B520,Standards!$B$2:$B$296,0))</f>
        <v>BIM</v>
      </c>
      <c r="K520" t="str">
        <f>INDEX(Standards!$H$2:$H$296,MATCH(C520,Standards!$B$2:$B$296,0))</f>
        <v>GIS</v>
      </c>
      <c r="L520" t="b">
        <f>AND(TableRelationships[[#This Row],[Source Type]]="BIM",TableRelationships[[#This Row],[Target Type]]="BIM")</f>
        <v>0</v>
      </c>
      <c r="M520">
        <f t="shared" si="24"/>
        <v>1</v>
      </c>
      <c r="N520" t="s">
        <v>526</v>
      </c>
      <c r="O520">
        <f t="shared" si="25"/>
        <v>2</v>
      </c>
      <c r="P520" t="str">
        <f>IF(TableRelationships[[#This Row],[Rank Pedro]]="Low","linkCategory1",IF(TableRelationships[[#This Row],[Rank Pedro]]="Medium","linkCategory2",IF(TableRelationships[[#This Row],[Rank Pedro]]="High","linkCategory3","")))</f>
        <v>linkCategory1</v>
      </c>
      <c r="Q520" t="str">
        <f>IF(TableRelationships[[#This Row],[Rank Pedro]]="Low","Pink",IF(TableRelationships[[#This Row],[Rank Pedro]]="Medium","Purple",IF(TableRelationships[[#This Row],[Rank Pedro]]="High","Brown","")))</f>
        <v>Pink</v>
      </c>
      <c r="R520" s="4">
        <f>MAX(INDEX(Standards!$F$2:$F$296,MATCH(B520,Standards!$B$2:$B$296,0)),INDEX(Standards!$F$2:$F$296,MATCH(C520,Standards!$B$2:$B$296,0)))</f>
        <v>44317</v>
      </c>
      <c r="S520" t="str">
        <f t="shared" si="26"/>
        <v>#2f89d1</v>
      </c>
    </row>
    <row r="521" spans="1:19" x14ac:dyDescent="0.5">
      <c r="A521">
        <v>350</v>
      </c>
      <c r="B521" t="s">
        <v>488</v>
      </c>
      <c r="C521" t="s">
        <v>332</v>
      </c>
      <c r="D521">
        <f>INDEX(Standards!$A$2:$A$296,MATCH(B521,Standards!$B$2:$B$296,0))</f>
        <v>90</v>
      </c>
      <c r="E521">
        <f>INDEX(Standards!$A$2:$A$296,MATCH(C521,Standards!$B$2:$B$296,0))</f>
        <v>135</v>
      </c>
      <c r="F521" t="str">
        <f>INDEX(Standards!$N$2:$N$296,MATCH(B521,Standards!$B$2:$B$296,0))</f>
        <v>#70AD47</v>
      </c>
      <c r="G521" t="str">
        <f>INDEX(Standards!$N$2:$N$296,MATCH(C521,Standards!$B$2:$B$296,0))</f>
        <v>#9BC2E6</v>
      </c>
      <c r="H521" t="s">
        <v>521</v>
      </c>
      <c r="I521" t="s">
        <v>525</v>
      </c>
      <c r="J521" t="str">
        <f>INDEX(Standards!$H$2:$H$296,MATCH(B521,Standards!$B$2:$B$296,0))</f>
        <v>BIM</v>
      </c>
      <c r="K521" t="str">
        <f>INDEX(Standards!$H$2:$H$296,MATCH(C521,Standards!$B$2:$B$296,0))</f>
        <v>GIS</v>
      </c>
      <c r="L521" t="b">
        <f>AND(TableRelationships[[#This Row],[Source Type]]="BIM",TableRelationships[[#This Row],[Target Type]]="BIM")</f>
        <v>0</v>
      </c>
      <c r="M521">
        <f t="shared" si="24"/>
        <v>1</v>
      </c>
      <c r="N521" t="s">
        <v>526</v>
      </c>
      <c r="O521">
        <f t="shared" si="25"/>
        <v>2</v>
      </c>
      <c r="P521" t="str">
        <f>IF(TableRelationships[[#This Row],[Rank Pedro]]="Low","linkCategory1",IF(TableRelationships[[#This Row],[Rank Pedro]]="Medium","linkCategory2",IF(TableRelationships[[#This Row],[Rank Pedro]]="High","linkCategory3","")))</f>
        <v>linkCategory1</v>
      </c>
      <c r="Q521" t="str">
        <f>IF(TableRelationships[[#This Row],[Rank Pedro]]="Low","Pink",IF(TableRelationships[[#This Row],[Rank Pedro]]="Medium","Purple",IF(TableRelationships[[#This Row],[Rank Pedro]]="High","Brown","")))</f>
        <v>Pink</v>
      </c>
      <c r="R521" s="4">
        <f>MAX(INDEX(Standards!$F$2:$F$296,MATCH(B521,Standards!$B$2:$B$296,0)),INDEX(Standards!$F$2:$F$296,MATCH(C521,Standards!$B$2:$B$296,0)))</f>
        <v>44317</v>
      </c>
      <c r="S521" t="str">
        <f t="shared" si="26"/>
        <v>#2f89d1</v>
      </c>
    </row>
    <row r="522" spans="1:19" x14ac:dyDescent="0.5">
      <c r="A522">
        <v>351</v>
      </c>
      <c r="B522" t="s">
        <v>488</v>
      </c>
      <c r="C522" t="s">
        <v>334</v>
      </c>
      <c r="D522">
        <f>INDEX(Standards!$A$2:$A$296,MATCH(B522,Standards!$B$2:$B$296,0))</f>
        <v>90</v>
      </c>
      <c r="E522">
        <f>INDEX(Standards!$A$2:$A$296,MATCH(C522,Standards!$B$2:$B$296,0))</f>
        <v>136</v>
      </c>
      <c r="F522" t="str">
        <f>INDEX(Standards!$N$2:$N$296,MATCH(B522,Standards!$B$2:$B$296,0))</f>
        <v>#70AD47</v>
      </c>
      <c r="G522" t="str">
        <f>INDEX(Standards!$N$2:$N$296,MATCH(C522,Standards!$B$2:$B$296,0))</f>
        <v>#9BC2E6</v>
      </c>
      <c r="H522" t="s">
        <v>521</v>
      </c>
      <c r="I522" t="s">
        <v>525</v>
      </c>
      <c r="J522" t="str">
        <f>INDEX(Standards!$H$2:$H$296,MATCH(B522,Standards!$B$2:$B$296,0))</f>
        <v>BIM</v>
      </c>
      <c r="K522" t="str">
        <f>INDEX(Standards!$H$2:$H$296,MATCH(C522,Standards!$B$2:$B$296,0))</f>
        <v>GIS</v>
      </c>
      <c r="L522" t="b">
        <f>AND(TableRelationships[[#This Row],[Source Type]]="BIM",TableRelationships[[#This Row],[Target Type]]="BIM")</f>
        <v>0</v>
      </c>
      <c r="M522">
        <f t="shared" si="24"/>
        <v>1</v>
      </c>
      <c r="N522" t="s">
        <v>526</v>
      </c>
      <c r="O522">
        <f t="shared" si="25"/>
        <v>2</v>
      </c>
      <c r="P522" t="str">
        <f>IF(TableRelationships[[#This Row],[Rank Pedro]]="Low","linkCategory1",IF(TableRelationships[[#This Row],[Rank Pedro]]="Medium","linkCategory2",IF(TableRelationships[[#This Row],[Rank Pedro]]="High","linkCategory3","")))</f>
        <v>linkCategory1</v>
      </c>
      <c r="Q522" t="str">
        <f>IF(TableRelationships[[#This Row],[Rank Pedro]]="Low","Pink",IF(TableRelationships[[#This Row],[Rank Pedro]]="Medium","Purple",IF(TableRelationships[[#This Row],[Rank Pedro]]="High","Brown","")))</f>
        <v>Pink</v>
      </c>
      <c r="R522" s="4">
        <f>MAX(INDEX(Standards!$F$2:$F$296,MATCH(B522,Standards!$B$2:$B$296,0)),INDEX(Standards!$F$2:$F$296,MATCH(C522,Standards!$B$2:$B$296,0)))</f>
        <v>44317</v>
      </c>
      <c r="S522" t="str">
        <f t="shared" si="26"/>
        <v>#2f89d1</v>
      </c>
    </row>
    <row r="523" spans="1:19" x14ac:dyDescent="0.5">
      <c r="A523">
        <v>352</v>
      </c>
      <c r="B523" t="s">
        <v>488</v>
      </c>
      <c r="C523" t="s">
        <v>336</v>
      </c>
      <c r="D523">
        <f>INDEX(Standards!$A$2:$A$296,MATCH(B523,Standards!$B$2:$B$296,0))</f>
        <v>90</v>
      </c>
      <c r="E523">
        <f>INDEX(Standards!$A$2:$A$296,MATCH(C523,Standards!$B$2:$B$296,0))</f>
        <v>137</v>
      </c>
      <c r="F523" t="str">
        <f>INDEX(Standards!$N$2:$N$296,MATCH(B523,Standards!$B$2:$B$296,0))</f>
        <v>#70AD47</v>
      </c>
      <c r="G523" t="str">
        <f>INDEX(Standards!$N$2:$N$296,MATCH(C523,Standards!$B$2:$B$296,0))</f>
        <v>#9BC2E6</v>
      </c>
      <c r="H523" t="s">
        <v>521</v>
      </c>
      <c r="I523" t="s">
        <v>525</v>
      </c>
      <c r="J523" t="str">
        <f>INDEX(Standards!$H$2:$H$296,MATCH(B523,Standards!$B$2:$B$296,0))</f>
        <v>BIM</v>
      </c>
      <c r="K523" t="str">
        <f>INDEX(Standards!$H$2:$H$296,MATCH(C523,Standards!$B$2:$B$296,0))</f>
        <v>GIS</v>
      </c>
      <c r="L523" t="b">
        <f>AND(TableRelationships[[#This Row],[Source Type]]="BIM",TableRelationships[[#This Row],[Target Type]]="BIM")</f>
        <v>0</v>
      </c>
      <c r="M523">
        <f t="shared" si="24"/>
        <v>1</v>
      </c>
      <c r="N523" t="s">
        <v>526</v>
      </c>
      <c r="O523">
        <f t="shared" si="25"/>
        <v>2</v>
      </c>
      <c r="P523" t="str">
        <f>IF(TableRelationships[[#This Row],[Rank Pedro]]="Low","linkCategory1",IF(TableRelationships[[#This Row],[Rank Pedro]]="Medium","linkCategory2",IF(TableRelationships[[#This Row],[Rank Pedro]]="High","linkCategory3","")))</f>
        <v>linkCategory1</v>
      </c>
      <c r="Q523" t="str">
        <f>IF(TableRelationships[[#This Row],[Rank Pedro]]="Low","Pink",IF(TableRelationships[[#This Row],[Rank Pedro]]="Medium","Purple",IF(TableRelationships[[#This Row],[Rank Pedro]]="High","Brown","")))</f>
        <v>Pink</v>
      </c>
      <c r="R523" s="4">
        <f>MAX(INDEX(Standards!$F$2:$F$296,MATCH(B523,Standards!$B$2:$B$296,0)),INDEX(Standards!$F$2:$F$296,MATCH(C523,Standards!$B$2:$B$296,0)))</f>
        <v>44317</v>
      </c>
      <c r="S523" t="str">
        <f t="shared" si="26"/>
        <v>#2f89d1</v>
      </c>
    </row>
    <row r="524" spans="1:19" x14ac:dyDescent="0.5">
      <c r="A524">
        <v>353</v>
      </c>
      <c r="B524" t="s">
        <v>488</v>
      </c>
      <c r="C524" t="s">
        <v>338</v>
      </c>
      <c r="D524">
        <f>INDEX(Standards!$A$2:$A$296,MATCH(B524,Standards!$B$2:$B$296,0))</f>
        <v>90</v>
      </c>
      <c r="E524">
        <f>INDEX(Standards!$A$2:$A$296,MATCH(C524,Standards!$B$2:$B$296,0))</f>
        <v>138</v>
      </c>
      <c r="F524" t="str">
        <f>INDEX(Standards!$N$2:$N$296,MATCH(B524,Standards!$B$2:$B$296,0))</f>
        <v>#70AD47</v>
      </c>
      <c r="G524" t="str">
        <f>INDEX(Standards!$N$2:$N$296,MATCH(C524,Standards!$B$2:$B$296,0))</f>
        <v>#9BC2E6</v>
      </c>
      <c r="H524" t="s">
        <v>521</v>
      </c>
      <c r="I524" t="s">
        <v>525</v>
      </c>
      <c r="J524" t="str">
        <f>INDEX(Standards!$H$2:$H$296,MATCH(B524,Standards!$B$2:$B$296,0))</f>
        <v>BIM</v>
      </c>
      <c r="K524" t="str">
        <f>INDEX(Standards!$H$2:$H$296,MATCH(C524,Standards!$B$2:$B$296,0))</f>
        <v>GIS</v>
      </c>
      <c r="L524" t="b">
        <f>AND(TableRelationships[[#This Row],[Source Type]]="BIM",TableRelationships[[#This Row],[Target Type]]="BIM")</f>
        <v>0</v>
      </c>
      <c r="M524">
        <f t="shared" si="24"/>
        <v>1</v>
      </c>
      <c r="N524" t="s">
        <v>526</v>
      </c>
      <c r="O524">
        <f t="shared" si="25"/>
        <v>2</v>
      </c>
      <c r="P524" t="str">
        <f>IF(TableRelationships[[#This Row],[Rank Pedro]]="Low","linkCategory1",IF(TableRelationships[[#This Row],[Rank Pedro]]="Medium","linkCategory2",IF(TableRelationships[[#This Row],[Rank Pedro]]="High","linkCategory3","")))</f>
        <v>linkCategory1</v>
      </c>
      <c r="Q524" t="str">
        <f>IF(TableRelationships[[#This Row],[Rank Pedro]]="Low","Pink",IF(TableRelationships[[#This Row],[Rank Pedro]]="Medium","Purple",IF(TableRelationships[[#This Row],[Rank Pedro]]="High","Brown","")))</f>
        <v>Pink</v>
      </c>
      <c r="R524" s="4">
        <f>MAX(INDEX(Standards!$F$2:$F$296,MATCH(B524,Standards!$B$2:$B$296,0)),INDEX(Standards!$F$2:$F$296,MATCH(C524,Standards!$B$2:$B$296,0)))</f>
        <v>44317</v>
      </c>
      <c r="S524" t="str">
        <f t="shared" si="26"/>
        <v>#2f89d1</v>
      </c>
    </row>
    <row r="525" spans="1:19" x14ac:dyDescent="0.5">
      <c r="A525">
        <v>354</v>
      </c>
      <c r="B525" t="s">
        <v>488</v>
      </c>
      <c r="C525" t="s">
        <v>340</v>
      </c>
      <c r="D525">
        <f>INDEX(Standards!$A$2:$A$296,MATCH(B525,Standards!$B$2:$B$296,0))</f>
        <v>90</v>
      </c>
      <c r="E525">
        <f>INDEX(Standards!$A$2:$A$296,MATCH(C525,Standards!$B$2:$B$296,0))</f>
        <v>139</v>
      </c>
      <c r="F525" t="str">
        <f>INDEX(Standards!$N$2:$N$296,MATCH(B525,Standards!$B$2:$B$296,0))</f>
        <v>#70AD47</v>
      </c>
      <c r="G525" t="str">
        <f>INDEX(Standards!$N$2:$N$296,MATCH(C525,Standards!$B$2:$B$296,0))</f>
        <v>#9BC2E6</v>
      </c>
      <c r="H525" t="s">
        <v>521</v>
      </c>
      <c r="I525" t="s">
        <v>525</v>
      </c>
      <c r="J525" t="str">
        <f>INDEX(Standards!$H$2:$H$296,MATCH(B525,Standards!$B$2:$B$296,0))</f>
        <v>BIM</v>
      </c>
      <c r="K525" t="str">
        <f>INDEX(Standards!$H$2:$H$296,MATCH(C525,Standards!$B$2:$B$296,0))</f>
        <v>GIS</v>
      </c>
      <c r="L525" t="b">
        <f>AND(TableRelationships[[#This Row],[Source Type]]="BIM",TableRelationships[[#This Row],[Target Type]]="BIM")</f>
        <v>0</v>
      </c>
      <c r="M525">
        <f t="shared" si="24"/>
        <v>1</v>
      </c>
      <c r="N525" t="s">
        <v>526</v>
      </c>
      <c r="O525">
        <f t="shared" si="25"/>
        <v>2</v>
      </c>
      <c r="P525" t="str">
        <f>IF(TableRelationships[[#This Row],[Rank Pedro]]="Low","linkCategory1",IF(TableRelationships[[#This Row],[Rank Pedro]]="Medium","linkCategory2",IF(TableRelationships[[#This Row],[Rank Pedro]]="High","linkCategory3","")))</f>
        <v>linkCategory1</v>
      </c>
      <c r="Q525" t="str">
        <f>IF(TableRelationships[[#This Row],[Rank Pedro]]="Low","Pink",IF(TableRelationships[[#This Row],[Rank Pedro]]="Medium","Purple",IF(TableRelationships[[#This Row],[Rank Pedro]]="High","Brown","")))</f>
        <v>Pink</v>
      </c>
      <c r="R525" s="4">
        <f>MAX(INDEX(Standards!$F$2:$F$296,MATCH(B525,Standards!$B$2:$B$296,0)),INDEX(Standards!$F$2:$F$296,MATCH(C525,Standards!$B$2:$B$296,0)))</f>
        <v>44317</v>
      </c>
      <c r="S525" t="str">
        <f t="shared" si="26"/>
        <v>#2f89d1</v>
      </c>
    </row>
    <row r="526" spans="1:19" x14ac:dyDescent="0.5">
      <c r="A526">
        <v>355</v>
      </c>
      <c r="B526" t="s">
        <v>488</v>
      </c>
      <c r="C526" t="s">
        <v>342</v>
      </c>
      <c r="D526">
        <f>INDEX(Standards!$A$2:$A$296,MATCH(B526,Standards!$B$2:$B$296,0))</f>
        <v>90</v>
      </c>
      <c r="E526">
        <f>INDEX(Standards!$A$2:$A$296,MATCH(C526,Standards!$B$2:$B$296,0))</f>
        <v>140</v>
      </c>
      <c r="F526" t="str">
        <f>INDEX(Standards!$N$2:$N$296,MATCH(B526,Standards!$B$2:$B$296,0))</f>
        <v>#70AD47</v>
      </c>
      <c r="G526" t="str">
        <f>INDEX(Standards!$N$2:$N$296,MATCH(C526,Standards!$B$2:$B$296,0))</f>
        <v>#9BC2E6</v>
      </c>
      <c r="H526" t="s">
        <v>521</v>
      </c>
      <c r="I526" t="s">
        <v>525</v>
      </c>
      <c r="J526" t="str">
        <f>INDEX(Standards!$H$2:$H$296,MATCH(B526,Standards!$B$2:$B$296,0))</f>
        <v>BIM</v>
      </c>
      <c r="K526" t="str">
        <f>INDEX(Standards!$H$2:$H$296,MATCH(C526,Standards!$B$2:$B$296,0))</f>
        <v>GIS</v>
      </c>
      <c r="L526" t="b">
        <f>AND(TableRelationships[[#This Row],[Source Type]]="BIM",TableRelationships[[#This Row],[Target Type]]="BIM")</f>
        <v>0</v>
      </c>
      <c r="M526">
        <f t="shared" si="24"/>
        <v>1</v>
      </c>
      <c r="N526" t="s">
        <v>526</v>
      </c>
      <c r="O526">
        <f t="shared" si="25"/>
        <v>2</v>
      </c>
      <c r="P526" t="str">
        <f>IF(TableRelationships[[#This Row],[Rank Pedro]]="Low","linkCategory1",IF(TableRelationships[[#This Row],[Rank Pedro]]="Medium","linkCategory2",IF(TableRelationships[[#This Row],[Rank Pedro]]="High","linkCategory3","")))</f>
        <v>linkCategory1</v>
      </c>
      <c r="Q526" t="str">
        <f>IF(TableRelationships[[#This Row],[Rank Pedro]]="Low","Pink",IF(TableRelationships[[#This Row],[Rank Pedro]]="Medium","Purple",IF(TableRelationships[[#This Row],[Rank Pedro]]="High","Brown","")))</f>
        <v>Pink</v>
      </c>
      <c r="R526" s="4">
        <f>MAX(INDEX(Standards!$F$2:$F$296,MATCH(B526,Standards!$B$2:$B$296,0)),INDEX(Standards!$F$2:$F$296,MATCH(C526,Standards!$B$2:$B$296,0)))</f>
        <v>44317</v>
      </c>
      <c r="S526" t="str">
        <f t="shared" si="26"/>
        <v>#2f89d1</v>
      </c>
    </row>
    <row r="527" spans="1:19" x14ac:dyDescent="0.5">
      <c r="A527">
        <v>356</v>
      </c>
      <c r="B527" t="s">
        <v>488</v>
      </c>
      <c r="C527" t="s">
        <v>344</v>
      </c>
      <c r="D527">
        <f>INDEX(Standards!$A$2:$A$296,MATCH(B527,Standards!$B$2:$B$296,0))</f>
        <v>90</v>
      </c>
      <c r="E527">
        <f>INDEX(Standards!$A$2:$A$296,MATCH(C527,Standards!$B$2:$B$296,0))</f>
        <v>141</v>
      </c>
      <c r="F527" t="str">
        <f>INDEX(Standards!$N$2:$N$296,MATCH(B527,Standards!$B$2:$B$296,0))</f>
        <v>#70AD47</v>
      </c>
      <c r="G527" t="str">
        <f>INDEX(Standards!$N$2:$N$296,MATCH(C527,Standards!$B$2:$B$296,0))</f>
        <v>#9BC2E6</v>
      </c>
      <c r="H527" t="s">
        <v>521</v>
      </c>
      <c r="I527" t="s">
        <v>525</v>
      </c>
      <c r="J527" t="str">
        <f>INDEX(Standards!$H$2:$H$296,MATCH(B527,Standards!$B$2:$B$296,0))</f>
        <v>BIM</v>
      </c>
      <c r="K527" t="str">
        <f>INDEX(Standards!$H$2:$H$296,MATCH(C527,Standards!$B$2:$B$296,0))</f>
        <v>GIS</v>
      </c>
      <c r="L527" t="b">
        <f>AND(TableRelationships[[#This Row],[Source Type]]="BIM",TableRelationships[[#This Row],[Target Type]]="BIM")</f>
        <v>0</v>
      </c>
      <c r="M527">
        <f t="shared" si="24"/>
        <v>1</v>
      </c>
      <c r="N527" t="s">
        <v>526</v>
      </c>
      <c r="O527">
        <f t="shared" si="25"/>
        <v>2</v>
      </c>
      <c r="P527" t="str">
        <f>IF(TableRelationships[[#This Row],[Rank Pedro]]="Low","linkCategory1",IF(TableRelationships[[#This Row],[Rank Pedro]]="Medium","linkCategory2",IF(TableRelationships[[#This Row],[Rank Pedro]]="High","linkCategory3","")))</f>
        <v>linkCategory1</v>
      </c>
      <c r="Q527" t="str">
        <f>IF(TableRelationships[[#This Row],[Rank Pedro]]="Low","Pink",IF(TableRelationships[[#This Row],[Rank Pedro]]="Medium","Purple",IF(TableRelationships[[#This Row],[Rank Pedro]]="High","Brown","")))</f>
        <v>Pink</v>
      </c>
      <c r="R527" s="4">
        <f>MAX(INDEX(Standards!$F$2:$F$296,MATCH(B527,Standards!$B$2:$B$296,0)),INDEX(Standards!$F$2:$F$296,MATCH(C527,Standards!$B$2:$B$296,0)))</f>
        <v>44317</v>
      </c>
      <c r="S527" t="str">
        <f t="shared" si="26"/>
        <v>#2f89d1</v>
      </c>
    </row>
    <row r="528" spans="1:19" x14ac:dyDescent="0.5">
      <c r="A528">
        <v>366</v>
      </c>
      <c r="B528" t="s">
        <v>488</v>
      </c>
      <c r="C528" t="s">
        <v>346</v>
      </c>
      <c r="D528">
        <f>INDEX(Standards!$A$2:$A$296,MATCH(B528,Standards!$B$2:$B$296,0))</f>
        <v>90</v>
      </c>
      <c r="E528">
        <f>INDEX(Standards!$A$2:$A$296,MATCH(C528,Standards!$B$2:$B$296,0))</f>
        <v>142</v>
      </c>
      <c r="F528" t="str">
        <f>INDEX(Standards!$N$2:$N$296,MATCH(B528,Standards!$B$2:$B$296,0))</f>
        <v>#70AD47</v>
      </c>
      <c r="G528" t="str">
        <f>INDEX(Standards!$N$2:$N$296,MATCH(C528,Standards!$B$2:$B$296,0))</f>
        <v>#9BC2E6</v>
      </c>
      <c r="H528" t="s">
        <v>521</v>
      </c>
      <c r="I528" t="s">
        <v>525</v>
      </c>
      <c r="J528" t="str">
        <f>INDEX(Standards!$H$2:$H$296,MATCH(B528,Standards!$B$2:$B$296,0))</f>
        <v>BIM</v>
      </c>
      <c r="K528" t="str">
        <f>INDEX(Standards!$H$2:$H$296,MATCH(C528,Standards!$B$2:$B$296,0))</f>
        <v>GIS</v>
      </c>
      <c r="L528" t="b">
        <f>AND(TableRelationships[[#This Row],[Source Type]]="BIM",TableRelationships[[#This Row],[Target Type]]="BIM")</f>
        <v>0</v>
      </c>
      <c r="M528">
        <f t="shared" si="24"/>
        <v>1</v>
      </c>
      <c r="N528" t="s">
        <v>526</v>
      </c>
      <c r="O528">
        <f t="shared" si="25"/>
        <v>2</v>
      </c>
      <c r="P528" t="str">
        <f>IF(TableRelationships[[#This Row],[Rank Pedro]]="Low","linkCategory1",IF(TableRelationships[[#This Row],[Rank Pedro]]="Medium","linkCategory2",IF(TableRelationships[[#This Row],[Rank Pedro]]="High","linkCategory3","")))</f>
        <v>linkCategory1</v>
      </c>
      <c r="Q528" t="str">
        <f>IF(TableRelationships[[#This Row],[Rank Pedro]]="Low","Pink",IF(TableRelationships[[#This Row],[Rank Pedro]]="Medium","Purple",IF(TableRelationships[[#This Row],[Rank Pedro]]="High","Brown","")))</f>
        <v>Pink</v>
      </c>
      <c r="R528" s="4">
        <f>MAX(INDEX(Standards!$F$2:$F$296,MATCH(B528,Standards!$B$2:$B$296,0)),INDEX(Standards!$F$2:$F$296,MATCH(C528,Standards!$B$2:$B$296,0)))</f>
        <v>44317</v>
      </c>
      <c r="S528" t="str">
        <f t="shared" si="26"/>
        <v>#2f89d1</v>
      </c>
    </row>
    <row r="529" spans="1:19" x14ac:dyDescent="0.5">
      <c r="A529">
        <v>357</v>
      </c>
      <c r="B529" t="s">
        <v>488</v>
      </c>
      <c r="C529" t="s">
        <v>348</v>
      </c>
      <c r="D529">
        <f>INDEX(Standards!$A$2:$A$296,MATCH(B529,Standards!$B$2:$B$296,0))</f>
        <v>90</v>
      </c>
      <c r="E529">
        <f>INDEX(Standards!$A$2:$A$296,MATCH(C529,Standards!$B$2:$B$296,0))</f>
        <v>143</v>
      </c>
      <c r="F529" t="str">
        <f>INDEX(Standards!$N$2:$N$296,MATCH(B529,Standards!$B$2:$B$296,0))</f>
        <v>#70AD47</v>
      </c>
      <c r="G529" t="str">
        <f>INDEX(Standards!$N$2:$N$296,MATCH(C529,Standards!$B$2:$B$296,0))</f>
        <v>#9BC2E6</v>
      </c>
      <c r="H529" t="s">
        <v>521</v>
      </c>
      <c r="I529" t="s">
        <v>525</v>
      </c>
      <c r="J529" t="str">
        <f>INDEX(Standards!$H$2:$H$296,MATCH(B529,Standards!$B$2:$B$296,0))</f>
        <v>BIM</v>
      </c>
      <c r="K529" t="str">
        <f>INDEX(Standards!$H$2:$H$296,MATCH(C529,Standards!$B$2:$B$296,0))</f>
        <v>GIS</v>
      </c>
      <c r="L529" t="b">
        <f>AND(TableRelationships[[#This Row],[Source Type]]="BIM",TableRelationships[[#This Row],[Target Type]]="BIM")</f>
        <v>0</v>
      </c>
      <c r="M529">
        <f t="shared" si="24"/>
        <v>1</v>
      </c>
      <c r="N529" t="s">
        <v>526</v>
      </c>
      <c r="O529">
        <f t="shared" si="25"/>
        <v>2</v>
      </c>
      <c r="P529" t="str">
        <f>IF(TableRelationships[[#This Row],[Rank Pedro]]="Low","linkCategory1",IF(TableRelationships[[#This Row],[Rank Pedro]]="Medium","linkCategory2",IF(TableRelationships[[#This Row],[Rank Pedro]]="High","linkCategory3","")))</f>
        <v>linkCategory1</v>
      </c>
      <c r="Q529" t="str">
        <f>IF(TableRelationships[[#This Row],[Rank Pedro]]="Low","Pink",IF(TableRelationships[[#This Row],[Rank Pedro]]="Medium","Purple",IF(TableRelationships[[#This Row],[Rank Pedro]]="High","Brown","")))</f>
        <v>Pink</v>
      </c>
      <c r="R529" s="4">
        <f>MAX(INDEX(Standards!$F$2:$F$296,MATCH(B529,Standards!$B$2:$B$296,0)),INDEX(Standards!$F$2:$F$296,MATCH(C529,Standards!$B$2:$B$296,0)))</f>
        <v>44317</v>
      </c>
      <c r="S529" t="str">
        <f t="shared" si="26"/>
        <v>#2f89d1</v>
      </c>
    </row>
    <row r="530" spans="1:19" x14ac:dyDescent="0.5">
      <c r="A530">
        <v>367</v>
      </c>
      <c r="B530" t="s">
        <v>488</v>
      </c>
      <c r="C530" t="s">
        <v>350</v>
      </c>
      <c r="D530">
        <f>INDEX(Standards!$A$2:$A$296,MATCH(B530,Standards!$B$2:$B$296,0))</f>
        <v>90</v>
      </c>
      <c r="E530">
        <f>INDEX(Standards!$A$2:$A$296,MATCH(C530,Standards!$B$2:$B$296,0))</f>
        <v>144</v>
      </c>
      <c r="F530" t="str">
        <f>INDEX(Standards!$N$2:$N$296,MATCH(B530,Standards!$B$2:$B$296,0))</f>
        <v>#70AD47</v>
      </c>
      <c r="G530" t="str">
        <f>INDEX(Standards!$N$2:$N$296,MATCH(C530,Standards!$B$2:$B$296,0))</f>
        <v>#9BC2E6</v>
      </c>
      <c r="H530" t="s">
        <v>521</v>
      </c>
      <c r="I530" t="s">
        <v>525</v>
      </c>
      <c r="J530" t="str">
        <f>INDEX(Standards!$H$2:$H$296,MATCH(B530,Standards!$B$2:$B$296,0))</f>
        <v>BIM</v>
      </c>
      <c r="K530" t="str">
        <f>INDEX(Standards!$H$2:$H$296,MATCH(C530,Standards!$B$2:$B$296,0))</f>
        <v>GIS</v>
      </c>
      <c r="L530" t="b">
        <f>AND(TableRelationships[[#This Row],[Source Type]]="BIM",TableRelationships[[#This Row],[Target Type]]="BIM")</f>
        <v>0</v>
      </c>
      <c r="M530">
        <f t="shared" si="24"/>
        <v>1</v>
      </c>
      <c r="N530" t="s">
        <v>526</v>
      </c>
      <c r="O530">
        <f t="shared" si="25"/>
        <v>2</v>
      </c>
      <c r="P530" t="str">
        <f>IF(TableRelationships[[#This Row],[Rank Pedro]]="Low","linkCategory1",IF(TableRelationships[[#This Row],[Rank Pedro]]="Medium","linkCategory2",IF(TableRelationships[[#This Row],[Rank Pedro]]="High","linkCategory3","")))</f>
        <v>linkCategory1</v>
      </c>
      <c r="Q530" t="str">
        <f>IF(TableRelationships[[#This Row],[Rank Pedro]]="Low","Pink",IF(TableRelationships[[#This Row],[Rank Pedro]]="Medium","Purple",IF(TableRelationships[[#This Row],[Rank Pedro]]="High","Brown","")))</f>
        <v>Pink</v>
      </c>
      <c r="R530" s="4">
        <f>MAX(INDEX(Standards!$F$2:$F$296,MATCH(B530,Standards!$B$2:$B$296,0)),INDEX(Standards!$F$2:$F$296,MATCH(C530,Standards!$B$2:$B$296,0)))</f>
        <v>44317</v>
      </c>
      <c r="S530" t="str">
        <f t="shared" si="26"/>
        <v>#2f89d1</v>
      </c>
    </row>
    <row r="531" spans="1:19" x14ac:dyDescent="0.5">
      <c r="A531">
        <v>377</v>
      </c>
      <c r="B531" t="s">
        <v>488</v>
      </c>
      <c r="C531" t="s">
        <v>210</v>
      </c>
      <c r="D531">
        <f>INDEX(Standards!$A$2:$A$296,MATCH(B531,Standards!$B$2:$B$296,0))</f>
        <v>90</v>
      </c>
      <c r="E531">
        <f>INDEX(Standards!$A$2:$A$296,MATCH(C531,Standards!$B$2:$B$296,0))</f>
        <v>9</v>
      </c>
      <c r="F531" t="str">
        <f>INDEX(Standards!$N$2:$N$296,MATCH(B531,Standards!$B$2:$B$296,0))</f>
        <v>#70AD47</v>
      </c>
      <c r="G531" t="str">
        <f>INDEX(Standards!$N$2:$N$296,MATCH(C531,Standards!$B$2:$B$296,0))</f>
        <v>#70AD47</v>
      </c>
      <c r="H531" t="s">
        <v>521</v>
      </c>
      <c r="I531" t="s">
        <v>525</v>
      </c>
      <c r="J531" t="str">
        <f>INDEX(Standards!$H$2:$H$296,MATCH(B531,Standards!$B$2:$B$296,0))</f>
        <v>BIM</v>
      </c>
      <c r="K531" t="str">
        <f>INDEX(Standards!$H$2:$H$296,MATCH(C531,Standards!$B$2:$B$296,0))</f>
        <v>BIM</v>
      </c>
      <c r="L531" t="b">
        <f>AND(TableRelationships[[#This Row],[Source Type]]="BIM",TableRelationships[[#This Row],[Target Type]]="BIM")</f>
        <v>1</v>
      </c>
      <c r="M531">
        <f t="shared" si="24"/>
        <v>1</v>
      </c>
      <c r="N531" t="s">
        <v>526</v>
      </c>
      <c r="O531">
        <f t="shared" si="25"/>
        <v>2</v>
      </c>
      <c r="P531" t="str">
        <f>IF(TableRelationships[[#This Row],[Rank Pedro]]="Low","linkCategory1",IF(TableRelationships[[#This Row],[Rank Pedro]]="Medium","linkCategory2",IF(TableRelationships[[#This Row],[Rank Pedro]]="High","linkCategory3","")))</f>
        <v>linkCategory1</v>
      </c>
      <c r="Q531" t="str">
        <f>IF(TableRelationships[[#This Row],[Rank Pedro]]="Low","Pink",IF(TableRelationships[[#This Row],[Rank Pedro]]="Medium","Purple",IF(TableRelationships[[#This Row],[Rank Pedro]]="High","Brown","")))</f>
        <v>Pink</v>
      </c>
      <c r="R531" s="4">
        <f>MAX(INDEX(Standards!$F$2:$F$296,MATCH(B531,Standards!$B$2:$B$296,0)),INDEX(Standards!$F$2:$F$296,MATCH(C531,Standards!$B$2:$B$296,0)))</f>
        <v>44317</v>
      </c>
      <c r="S531" t="str">
        <f t="shared" si="26"/>
        <v>#2f89d1</v>
      </c>
    </row>
    <row r="532" spans="1:19" x14ac:dyDescent="0.5">
      <c r="A532">
        <v>329</v>
      </c>
      <c r="B532" t="s">
        <v>488</v>
      </c>
      <c r="C532" t="s">
        <v>287</v>
      </c>
      <c r="D532">
        <f>INDEX(Standards!$A$2:$A$296,MATCH(B532,Standards!$B$2:$B$296,0))</f>
        <v>90</v>
      </c>
      <c r="E532">
        <f>INDEX(Standards!$A$2:$A$296,MATCH(C532,Standards!$B$2:$B$296,0))</f>
        <v>113</v>
      </c>
      <c r="F532" t="str">
        <f>INDEX(Standards!$N$2:$N$296,MATCH(B532,Standards!$B$2:$B$296,0))</f>
        <v>#70AD47</v>
      </c>
      <c r="G532" t="str">
        <f>INDEX(Standards!$N$2:$N$296,MATCH(C532,Standards!$B$2:$B$296,0))</f>
        <v>#7030A0</v>
      </c>
      <c r="H532" t="s">
        <v>521</v>
      </c>
      <c r="I532" t="s">
        <v>525</v>
      </c>
      <c r="J532" t="str">
        <f>INDEX(Standards!$H$2:$H$296,MATCH(B532,Standards!$B$2:$B$296,0))</f>
        <v>BIM</v>
      </c>
      <c r="K532" t="str">
        <f>INDEX(Standards!$H$2:$H$296,MATCH(C532,Standards!$B$2:$B$296,0))</f>
        <v>ICT</v>
      </c>
      <c r="L532" t="b">
        <f>AND(TableRelationships[[#This Row],[Source Type]]="BIM",TableRelationships[[#This Row],[Target Type]]="BIM")</f>
        <v>0</v>
      </c>
      <c r="M532">
        <f t="shared" si="24"/>
        <v>1</v>
      </c>
      <c r="N532" t="s">
        <v>526</v>
      </c>
      <c r="O532">
        <f t="shared" si="25"/>
        <v>2</v>
      </c>
      <c r="P532" t="str">
        <f>IF(TableRelationships[[#This Row],[Rank Pedro]]="Low","linkCategory1",IF(TableRelationships[[#This Row],[Rank Pedro]]="Medium","linkCategory2",IF(TableRelationships[[#This Row],[Rank Pedro]]="High","linkCategory3","")))</f>
        <v>linkCategory1</v>
      </c>
      <c r="Q532" t="str">
        <f>IF(TableRelationships[[#This Row],[Rank Pedro]]="Low","Pink",IF(TableRelationships[[#This Row],[Rank Pedro]]="Medium","Purple",IF(TableRelationships[[#This Row],[Rank Pedro]]="High","Brown","")))</f>
        <v>Pink</v>
      </c>
      <c r="R532" s="4">
        <f>MAX(INDEX(Standards!$F$2:$F$296,MATCH(B532,Standards!$B$2:$B$296,0)),INDEX(Standards!$F$2:$F$296,MATCH(C532,Standards!$B$2:$B$296,0)))</f>
        <v>44317</v>
      </c>
      <c r="S532" t="str">
        <f t="shared" si="26"/>
        <v>#2f89d1</v>
      </c>
    </row>
    <row r="533" spans="1:19" x14ac:dyDescent="0.5">
      <c r="A533">
        <v>372</v>
      </c>
      <c r="B533" t="s">
        <v>488</v>
      </c>
      <c r="C533" t="s">
        <v>388</v>
      </c>
      <c r="D533">
        <f>INDEX(Standards!$A$2:$A$296,MATCH(B533,Standards!$B$2:$B$296,0))</f>
        <v>90</v>
      </c>
      <c r="E533">
        <f>INDEX(Standards!$A$2:$A$296,MATCH(C533,Standards!$B$2:$B$296,0))</f>
        <v>63</v>
      </c>
      <c r="F533" t="str">
        <f>INDEX(Standards!$N$2:$N$296,MATCH(B533,Standards!$B$2:$B$296,0))</f>
        <v>#70AD47</v>
      </c>
      <c r="G533" t="str">
        <f>INDEX(Standards!$N$2:$N$296,MATCH(C533,Standards!$B$2:$B$296,0))</f>
        <v>#70AD47</v>
      </c>
      <c r="H533" t="s">
        <v>521</v>
      </c>
      <c r="I533" t="s">
        <v>525</v>
      </c>
      <c r="J533" t="str">
        <f>INDEX(Standards!$H$2:$H$296,MATCH(B533,Standards!$B$2:$B$296,0))</f>
        <v>BIM</v>
      </c>
      <c r="K533" t="str">
        <f>INDEX(Standards!$H$2:$H$296,MATCH(C533,Standards!$B$2:$B$296,0))</f>
        <v>BIM</v>
      </c>
      <c r="L533" t="b">
        <f>AND(TableRelationships[[#This Row],[Source Type]]="BIM",TableRelationships[[#This Row],[Target Type]]="BIM")</f>
        <v>1</v>
      </c>
      <c r="M533">
        <f t="shared" si="24"/>
        <v>1</v>
      </c>
      <c r="N533" t="s">
        <v>528</v>
      </c>
      <c r="O533">
        <f t="shared" si="25"/>
        <v>6</v>
      </c>
      <c r="P533" t="str">
        <f>IF(TableRelationships[[#This Row],[Rank Pedro]]="Low","linkCategory1",IF(TableRelationships[[#This Row],[Rank Pedro]]="Medium","linkCategory2",IF(TableRelationships[[#This Row],[Rank Pedro]]="High","linkCategory3","")))</f>
        <v>linkCategory2</v>
      </c>
      <c r="Q533" t="str">
        <f>IF(TableRelationships[[#This Row],[Rank Pedro]]="Low","Pink",IF(TableRelationships[[#This Row],[Rank Pedro]]="Medium","Purple",IF(TableRelationships[[#This Row],[Rank Pedro]]="High","Brown","")))</f>
        <v>Purple</v>
      </c>
      <c r="R533" s="4">
        <f>MAX(INDEX(Standards!$F$2:$F$296,MATCH(B533,Standards!$B$2:$B$296,0)),INDEX(Standards!$F$2:$F$296,MATCH(C533,Standards!$B$2:$B$296,0)))</f>
        <v>44317</v>
      </c>
      <c r="S533" t="str">
        <f t="shared" si="26"/>
        <v>#2f89d1</v>
      </c>
    </row>
    <row r="534" spans="1:19" x14ac:dyDescent="0.5">
      <c r="A534">
        <v>373</v>
      </c>
      <c r="B534" t="s">
        <v>488</v>
      </c>
      <c r="C534" t="s">
        <v>404</v>
      </c>
      <c r="D534">
        <f>INDEX(Standards!$A$2:$A$296,MATCH(B534,Standards!$B$2:$B$296,0))</f>
        <v>90</v>
      </c>
      <c r="E534">
        <f>INDEX(Standards!$A$2:$A$296,MATCH(C534,Standards!$B$2:$B$296,0))</f>
        <v>64</v>
      </c>
      <c r="F534" t="str">
        <f>INDEX(Standards!$N$2:$N$296,MATCH(B534,Standards!$B$2:$B$296,0))</f>
        <v>#70AD47</v>
      </c>
      <c r="G534" t="str">
        <f>INDEX(Standards!$N$2:$N$296,MATCH(C534,Standards!$B$2:$B$296,0))</f>
        <v>#70AD47</v>
      </c>
      <c r="H534" t="s">
        <v>521</v>
      </c>
      <c r="I534" t="s">
        <v>525</v>
      </c>
      <c r="J534" t="str">
        <f>INDEX(Standards!$H$2:$H$296,MATCH(B534,Standards!$B$2:$B$296,0))</f>
        <v>BIM</v>
      </c>
      <c r="K534" t="str">
        <f>INDEX(Standards!$H$2:$H$296,MATCH(C534,Standards!$B$2:$B$296,0))</f>
        <v>BIM</v>
      </c>
      <c r="L534" t="b">
        <f>AND(TableRelationships[[#This Row],[Source Type]]="BIM",TableRelationships[[#This Row],[Target Type]]="BIM")</f>
        <v>1</v>
      </c>
      <c r="M534">
        <f t="shared" si="24"/>
        <v>1</v>
      </c>
      <c r="N534" t="s">
        <v>528</v>
      </c>
      <c r="O534">
        <f t="shared" si="25"/>
        <v>6</v>
      </c>
      <c r="P534" t="str">
        <f>IF(TableRelationships[[#This Row],[Rank Pedro]]="Low","linkCategory1",IF(TableRelationships[[#This Row],[Rank Pedro]]="Medium","linkCategory2",IF(TableRelationships[[#This Row],[Rank Pedro]]="High","linkCategory3","")))</f>
        <v>linkCategory2</v>
      </c>
      <c r="Q534" t="str">
        <f>IF(TableRelationships[[#This Row],[Rank Pedro]]="Low","Pink",IF(TableRelationships[[#This Row],[Rank Pedro]]="Medium","Purple",IF(TableRelationships[[#This Row],[Rank Pedro]]="High","Brown","")))</f>
        <v>Purple</v>
      </c>
      <c r="R534" s="4">
        <f>MAX(INDEX(Standards!$F$2:$F$296,MATCH(B534,Standards!$B$2:$B$296,0)),INDEX(Standards!$F$2:$F$296,MATCH(C534,Standards!$B$2:$B$296,0)))</f>
        <v>44317</v>
      </c>
      <c r="S534" t="str">
        <f t="shared" si="26"/>
        <v>#2f89d1</v>
      </c>
    </row>
    <row r="535" spans="1:19" x14ac:dyDescent="0.5">
      <c r="A535">
        <v>368</v>
      </c>
      <c r="B535" t="s">
        <v>488</v>
      </c>
      <c r="C535" t="s">
        <v>352</v>
      </c>
      <c r="D535">
        <f>INDEX(Standards!$A$2:$A$296,MATCH(B535,Standards!$B$2:$B$296,0))</f>
        <v>90</v>
      </c>
      <c r="E535">
        <f>INDEX(Standards!$A$2:$A$296,MATCH(C535,Standards!$B$2:$B$296,0))</f>
        <v>145</v>
      </c>
      <c r="F535" t="str">
        <f>INDEX(Standards!$N$2:$N$296,MATCH(B535,Standards!$B$2:$B$296,0))</f>
        <v>#70AD47</v>
      </c>
      <c r="G535" t="str">
        <f>INDEX(Standards!$N$2:$N$296,MATCH(C535,Standards!$B$2:$B$296,0))</f>
        <v>#7030A0</v>
      </c>
      <c r="H535" t="s">
        <v>521</v>
      </c>
      <c r="I535" t="s">
        <v>525</v>
      </c>
      <c r="J535" t="str">
        <f>INDEX(Standards!$H$2:$H$296,MATCH(B535,Standards!$B$2:$B$296,0))</f>
        <v>BIM</v>
      </c>
      <c r="K535" t="str">
        <f>INDEX(Standards!$H$2:$H$296,MATCH(C535,Standards!$B$2:$B$296,0))</f>
        <v>ICT</v>
      </c>
      <c r="L535" t="b">
        <f>AND(TableRelationships[[#This Row],[Source Type]]="BIM",TableRelationships[[#This Row],[Target Type]]="BIM")</f>
        <v>0</v>
      </c>
      <c r="M535">
        <f t="shared" si="24"/>
        <v>1</v>
      </c>
      <c r="N535" t="s">
        <v>528</v>
      </c>
      <c r="O535">
        <f t="shared" si="25"/>
        <v>6</v>
      </c>
      <c r="P535" t="str">
        <f>IF(TableRelationships[[#This Row],[Rank Pedro]]="Low","linkCategory1",IF(TableRelationships[[#This Row],[Rank Pedro]]="Medium","linkCategory2",IF(TableRelationships[[#This Row],[Rank Pedro]]="High","linkCategory3","")))</f>
        <v>linkCategory2</v>
      </c>
      <c r="Q535" t="str">
        <f>IF(TableRelationships[[#This Row],[Rank Pedro]]="Low","Pink",IF(TableRelationships[[#This Row],[Rank Pedro]]="Medium","Purple",IF(TableRelationships[[#This Row],[Rank Pedro]]="High","Brown","")))</f>
        <v>Purple</v>
      </c>
      <c r="R535" s="4">
        <f>MAX(INDEX(Standards!$F$2:$F$296,MATCH(B535,Standards!$B$2:$B$296,0)),INDEX(Standards!$F$2:$F$296,MATCH(C535,Standards!$B$2:$B$296,0)))</f>
        <v>44317</v>
      </c>
      <c r="S535" t="str">
        <f t="shared" si="26"/>
        <v>#2f89d1</v>
      </c>
    </row>
    <row r="536" spans="1:19" x14ac:dyDescent="0.5">
      <c r="A536">
        <v>374</v>
      </c>
      <c r="B536" t="s">
        <v>488</v>
      </c>
      <c r="C536" t="s">
        <v>426</v>
      </c>
      <c r="D536">
        <f>INDEX(Standards!$A$2:$A$296,MATCH(B536,Standards!$B$2:$B$296,0))</f>
        <v>90</v>
      </c>
      <c r="E536">
        <f>INDEX(Standards!$A$2:$A$296,MATCH(C536,Standards!$B$2:$B$296,0))</f>
        <v>82</v>
      </c>
      <c r="F536" t="str">
        <f>INDEX(Standards!$N$2:$N$296,MATCH(B536,Standards!$B$2:$B$296,0))</f>
        <v>#70AD47</v>
      </c>
      <c r="G536" t="str">
        <f>INDEX(Standards!$N$2:$N$296,MATCH(C536,Standards!$B$2:$B$296,0))</f>
        <v>#70AD47</v>
      </c>
      <c r="H536" t="s">
        <v>521</v>
      </c>
      <c r="I536" t="s">
        <v>525</v>
      </c>
      <c r="J536" t="str">
        <f>INDEX(Standards!$H$2:$H$296,MATCH(B536,Standards!$B$2:$B$296,0))</f>
        <v>BIM</v>
      </c>
      <c r="K536" t="str">
        <f>INDEX(Standards!$H$2:$H$296,MATCH(C536,Standards!$B$2:$B$296,0))</f>
        <v>BIM</v>
      </c>
      <c r="L536" t="b">
        <f>AND(TableRelationships[[#This Row],[Source Type]]="BIM",TableRelationships[[#This Row],[Target Type]]="BIM")</f>
        <v>1</v>
      </c>
      <c r="M536">
        <f t="shared" si="24"/>
        <v>1</v>
      </c>
      <c r="N536" t="s">
        <v>528</v>
      </c>
      <c r="O536">
        <f t="shared" si="25"/>
        <v>6</v>
      </c>
      <c r="P536" t="str">
        <f>IF(TableRelationships[[#This Row],[Rank Pedro]]="Low","linkCategory1",IF(TableRelationships[[#This Row],[Rank Pedro]]="Medium","linkCategory2",IF(TableRelationships[[#This Row],[Rank Pedro]]="High","linkCategory3","")))</f>
        <v>linkCategory2</v>
      </c>
      <c r="Q536" t="str">
        <f>IF(TableRelationships[[#This Row],[Rank Pedro]]="Low","Pink",IF(TableRelationships[[#This Row],[Rank Pedro]]="Medium","Purple",IF(TableRelationships[[#This Row],[Rank Pedro]]="High","Brown","")))</f>
        <v>Purple</v>
      </c>
      <c r="R536" s="4">
        <f>MAX(INDEX(Standards!$F$2:$F$296,MATCH(B536,Standards!$B$2:$B$296,0)),INDEX(Standards!$F$2:$F$296,MATCH(C536,Standards!$B$2:$B$296,0)))</f>
        <v>44317</v>
      </c>
      <c r="S536" t="str">
        <f t="shared" si="26"/>
        <v>#2f89d1</v>
      </c>
    </row>
    <row r="537" spans="1:19" x14ac:dyDescent="0.5">
      <c r="A537">
        <v>358</v>
      </c>
      <c r="B537" t="s">
        <v>488</v>
      </c>
      <c r="C537" t="s">
        <v>360</v>
      </c>
      <c r="D537">
        <f>INDEX(Standards!$A$2:$A$296,MATCH(B537,Standards!$B$2:$B$296,0))</f>
        <v>90</v>
      </c>
      <c r="E537">
        <f>INDEX(Standards!$A$2:$A$296,MATCH(C537,Standards!$B$2:$B$296,0))</f>
        <v>152</v>
      </c>
      <c r="F537" t="str">
        <f>INDEX(Standards!$N$2:$N$296,MATCH(B537,Standards!$B$2:$B$296,0))</f>
        <v>#70AD47</v>
      </c>
      <c r="G537" t="str">
        <f>INDEX(Standards!$N$2:$N$296,MATCH(C537,Standards!$B$2:$B$296,0))</f>
        <v>#7030A0</v>
      </c>
      <c r="H537" t="s">
        <v>521</v>
      </c>
      <c r="I537" t="s">
        <v>525</v>
      </c>
      <c r="J537" t="str">
        <f>INDEX(Standards!$H$2:$H$296,MATCH(B537,Standards!$B$2:$B$296,0))</f>
        <v>BIM</v>
      </c>
      <c r="K537" t="str">
        <f>INDEX(Standards!$H$2:$H$296,MATCH(C537,Standards!$B$2:$B$296,0))</f>
        <v>ICT</v>
      </c>
      <c r="L537" t="b">
        <f>AND(TableRelationships[[#This Row],[Source Type]]="BIM",TableRelationships[[#This Row],[Target Type]]="BIM")</f>
        <v>0</v>
      </c>
      <c r="M537">
        <f t="shared" si="24"/>
        <v>1</v>
      </c>
      <c r="N537" t="s">
        <v>528</v>
      </c>
      <c r="O537">
        <f t="shared" si="25"/>
        <v>6</v>
      </c>
      <c r="P537" t="str">
        <f>IF(TableRelationships[[#This Row],[Rank Pedro]]="Low","linkCategory1",IF(TableRelationships[[#This Row],[Rank Pedro]]="Medium","linkCategory2",IF(TableRelationships[[#This Row],[Rank Pedro]]="High","linkCategory3","")))</f>
        <v>linkCategory2</v>
      </c>
      <c r="Q537" t="str">
        <f>IF(TableRelationships[[#This Row],[Rank Pedro]]="Low","Pink",IF(TableRelationships[[#This Row],[Rank Pedro]]="Medium","Purple",IF(TableRelationships[[#This Row],[Rank Pedro]]="High","Brown","")))</f>
        <v>Purple</v>
      </c>
      <c r="R537" s="4">
        <f>MAX(INDEX(Standards!$F$2:$F$296,MATCH(B537,Standards!$B$2:$B$296,0)),INDEX(Standards!$F$2:$F$296,MATCH(C537,Standards!$B$2:$B$296,0)))</f>
        <v>44317</v>
      </c>
      <c r="S537" t="str">
        <f t="shared" si="26"/>
        <v>#2f89d1</v>
      </c>
    </row>
    <row r="1048440" spans="2:2" x14ac:dyDescent="0.5">
      <c r="B1048440" s="7"/>
    </row>
  </sheetData>
  <phoneticPr fontId="3" type="noConversion"/>
  <pageMargins left="0.7" right="0.7" top="0.75" bottom="0.75" header="0.3" footer="0.3"/>
  <pageSetup paperSize="9"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6835-78DE-46EF-B3D8-97F4320EB6A4}">
  <dimension ref="A1:F248"/>
  <sheetViews>
    <sheetView workbookViewId="0">
      <selection activeCell="B7" sqref="B7"/>
    </sheetView>
  </sheetViews>
  <sheetFormatPr defaultRowHeight="14.35" x14ac:dyDescent="0.5"/>
  <cols>
    <col min="1" max="1" width="16.41015625" customWidth="1"/>
    <col min="2" max="2" width="19" bestFit="1" customWidth="1"/>
    <col min="3" max="3" width="13.5859375" customWidth="1"/>
  </cols>
  <sheetData>
    <row r="1" spans="1:6" ht="27" customHeight="1" x14ac:dyDescent="0.5">
      <c r="A1" s="8" t="s">
        <v>1</v>
      </c>
      <c r="B1" s="8" t="s">
        <v>530</v>
      </c>
      <c r="C1" s="8" t="s">
        <v>531</v>
      </c>
    </row>
    <row r="2" spans="1:6" x14ac:dyDescent="0.5">
      <c r="A2" t="s">
        <v>22</v>
      </c>
      <c r="B2" t="s">
        <v>532</v>
      </c>
      <c r="C2" t="s">
        <v>523</v>
      </c>
      <c r="F2" s="26"/>
    </row>
    <row r="3" spans="1:6" x14ac:dyDescent="0.5">
      <c r="A3" t="s">
        <v>22</v>
      </c>
      <c r="B3" t="s">
        <v>533</v>
      </c>
      <c r="C3" t="s">
        <v>528</v>
      </c>
      <c r="F3" s="7"/>
    </row>
    <row r="4" spans="1:6" x14ac:dyDescent="0.5">
      <c r="A4" t="s">
        <v>22</v>
      </c>
      <c r="B4" t="s">
        <v>534</v>
      </c>
      <c r="C4" t="s">
        <v>528</v>
      </c>
      <c r="F4" s="7"/>
    </row>
    <row r="5" spans="1:6" x14ac:dyDescent="0.5">
      <c r="A5" t="s">
        <v>22</v>
      </c>
      <c r="B5" t="s">
        <v>536</v>
      </c>
      <c r="C5" t="s">
        <v>535</v>
      </c>
      <c r="F5" s="7"/>
    </row>
    <row r="6" spans="1:6" x14ac:dyDescent="0.5">
      <c r="A6" t="s">
        <v>22</v>
      </c>
      <c r="B6" t="s">
        <v>537</v>
      </c>
      <c r="C6" t="s">
        <v>526</v>
      </c>
      <c r="F6" s="7"/>
    </row>
    <row r="7" spans="1:6" x14ac:dyDescent="0.5">
      <c r="A7" t="s">
        <v>22</v>
      </c>
      <c r="B7" t="s">
        <v>538</v>
      </c>
      <c r="C7" t="s">
        <v>528</v>
      </c>
      <c r="F7" s="7"/>
    </row>
    <row r="8" spans="1:6" x14ac:dyDescent="0.5">
      <c r="A8" t="s">
        <v>22</v>
      </c>
      <c r="B8" t="s">
        <v>539</v>
      </c>
      <c r="C8" t="s">
        <v>523</v>
      </c>
      <c r="F8" s="7"/>
    </row>
    <row r="9" spans="1:6" x14ac:dyDescent="0.5">
      <c r="A9" t="s">
        <v>22</v>
      </c>
      <c r="B9" t="s">
        <v>540</v>
      </c>
      <c r="C9" t="s">
        <v>535</v>
      </c>
      <c r="F9" s="7"/>
    </row>
    <row r="10" spans="1:6" x14ac:dyDescent="0.5">
      <c r="A10" t="s">
        <v>30</v>
      </c>
      <c r="B10" t="s">
        <v>532</v>
      </c>
      <c r="C10" t="s">
        <v>523</v>
      </c>
      <c r="F10" s="7"/>
    </row>
    <row r="11" spans="1:6" x14ac:dyDescent="0.5">
      <c r="A11" t="s">
        <v>30</v>
      </c>
      <c r="B11" t="s">
        <v>533</v>
      </c>
      <c r="C11" t="s">
        <v>523</v>
      </c>
      <c r="F11" s="7"/>
    </row>
    <row r="12" spans="1:6" x14ac:dyDescent="0.5">
      <c r="A12" t="s">
        <v>30</v>
      </c>
      <c r="B12" t="s">
        <v>534</v>
      </c>
      <c r="C12" t="s">
        <v>523</v>
      </c>
      <c r="F12" s="7"/>
    </row>
    <row r="13" spans="1:6" x14ac:dyDescent="0.5">
      <c r="A13" t="s">
        <v>30</v>
      </c>
      <c r="B13" t="s">
        <v>536</v>
      </c>
      <c r="C13" t="s">
        <v>528</v>
      </c>
      <c r="F13" s="7"/>
    </row>
    <row r="14" spans="1:6" x14ac:dyDescent="0.5">
      <c r="A14" t="s">
        <v>30</v>
      </c>
      <c r="B14" t="s">
        <v>537</v>
      </c>
      <c r="C14" t="s">
        <v>528</v>
      </c>
      <c r="F14" s="7"/>
    </row>
    <row r="15" spans="1:6" x14ac:dyDescent="0.5">
      <c r="A15" t="s">
        <v>30</v>
      </c>
      <c r="B15" t="s">
        <v>538</v>
      </c>
      <c r="C15" t="s">
        <v>528</v>
      </c>
      <c r="F15" s="7"/>
    </row>
    <row r="16" spans="1:6" x14ac:dyDescent="0.5">
      <c r="A16" t="s">
        <v>30</v>
      </c>
      <c r="B16" t="s">
        <v>539</v>
      </c>
      <c r="C16" t="s">
        <v>523</v>
      </c>
      <c r="F16" s="7"/>
    </row>
    <row r="17" spans="1:6" x14ac:dyDescent="0.5">
      <c r="A17" t="s">
        <v>30</v>
      </c>
      <c r="B17" t="s">
        <v>540</v>
      </c>
      <c r="C17" t="s">
        <v>526</v>
      </c>
      <c r="F17" s="7"/>
    </row>
    <row r="18" spans="1:6" x14ac:dyDescent="0.5">
      <c r="A18" t="s">
        <v>35</v>
      </c>
      <c r="B18" t="s">
        <v>532</v>
      </c>
      <c r="C18" t="s">
        <v>528</v>
      </c>
      <c r="F18" s="7"/>
    </row>
    <row r="19" spans="1:6" x14ac:dyDescent="0.5">
      <c r="A19" t="s">
        <v>35</v>
      </c>
      <c r="B19" t="s">
        <v>533</v>
      </c>
      <c r="C19" t="s">
        <v>528</v>
      </c>
      <c r="F19" s="7"/>
    </row>
    <row r="20" spans="1:6" x14ac:dyDescent="0.5">
      <c r="A20" t="s">
        <v>35</v>
      </c>
      <c r="B20" t="s">
        <v>534</v>
      </c>
      <c r="C20" t="s">
        <v>528</v>
      </c>
      <c r="F20" s="7"/>
    </row>
    <row r="21" spans="1:6" x14ac:dyDescent="0.5">
      <c r="A21" t="s">
        <v>35</v>
      </c>
      <c r="B21" t="s">
        <v>536</v>
      </c>
      <c r="C21" t="s">
        <v>528</v>
      </c>
      <c r="F21" s="7"/>
    </row>
    <row r="22" spans="1:6" x14ac:dyDescent="0.5">
      <c r="A22" t="s">
        <v>35</v>
      </c>
      <c r="B22" t="s">
        <v>537</v>
      </c>
      <c r="C22" t="s">
        <v>528</v>
      </c>
      <c r="F22" s="7"/>
    </row>
    <row r="23" spans="1:6" x14ac:dyDescent="0.5">
      <c r="A23" t="s">
        <v>35</v>
      </c>
      <c r="B23" t="s">
        <v>538</v>
      </c>
      <c r="C23" t="s">
        <v>526</v>
      </c>
      <c r="F23" s="7"/>
    </row>
    <row r="24" spans="1:6" x14ac:dyDescent="0.5">
      <c r="A24" t="s">
        <v>35</v>
      </c>
      <c r="B24" t="s">
        <v>539</v>
      </c>
      <c r="C24" t="s">
        <v>528</v>
      </c>
      <c r="F24" s="7"/>
    </row>
    <row r="25" spans="1:6" x14ac:dyDescent="0.5">
      <c r="A25" t="s">
        <v>35</v>
      </c>
      <c r="B25" t="s">
        <v>540</v>
      </c>
      <c r="C25" t="s">
        <v>523</v>
      </c>
      <c r="F25" s="7"/>
    </row>
    <row r="26" spans="1:6" x14ac:dyDescent="0.5">
      <c r="A26" t="s">
        <v>38</v>
      </c>
      <c r="B26" t="s">
        <v>532</v>
      </c>
      <c r="C26" s="81" t="s">
        <v>523</v>
      </c>
      <c r="F26" s="7"/>
    </row>
    <row r="27" spans="1:6" x14ac:dyDescent="0.5">
      <c r="A27" t="s">
        <v>38</v>
      </c>
      <c r="B27" t="s">
        <v>533</v>
      </c>
      <c r="C27" s="81" t="s">
        <v>523</v>
      </c>
      <c r="F27" s="7"/>
    </row>
    <row r="28" spans="1:6" x14ac:dyDescent="0.5">
      <c r="A28" t="s">
        <v>38</v>
      </c>
      <c r="B28" t="s">
        <v>534</v>
      </c>
      <c r="C28" s="81" t="s">
        <v>523</v>
      </c>
      <c r="F28" s="7"/>
    </row>
    <row r="29" spans="1:6" x14ac:dyDescent="0.5">
      <c r="A29" t="s">
        <v>38</v>
      </c>
      <c r="B29" t="s">
        <v>536</v>
      </c>
      <c r="C29" s="81" t="s">
        <v>528</v>
      </c>
    </row>
    <row r="30" spans="1:6" x14ac:dyDescent="0.5">
      <c r="A30" t="s">
        <v>38</v>
      </c>
      <c r="B30" t="s">
        <v>537</v>
      </c>
      <c r="C30" s="82" t="s">
        <v>535</v>
      </c>
    </row>
    <row r="31" spans="1:6" x14ac:dyDescent="0.5">
      <c r="A31" t="s">
        <v>38</v>
      </c>
      <c r="B31" t="s">
        <v>538</v>
      </c>
      <c r="C31" s="82" t="s">
        <v>535</v>
      </c>
    </row>
    <row r="32" spans="1:6" x14ac:dyDescent="0.5">
      <c r="A32" t="s">
        <v>38</v>
      </c>
      <c r="B32" t="s">
        <v>539</v>
      </c>
      <c r="C32" s="81" t="s">
        <v>523</v>
      </c>
      <c r="E32" s="64"/>
    </row>
    <row r="33" spans="1:5" x14ac:dyDescent="0.5">
      <c r="A33" t="s">
        <v>38</v>
      </c>
      <c r="B33" t="s">
        <v>540</v>
      </c>
      <c r="C33" s="82" t="s">
        <v>526</v>
      </c>
      <c r="E33" s="7"/>
    </row>
    <row r="34" spans="1:5" x14ac:dyDescent="0.5">
      <c r="A34" t="s">
        <v>42</v>
      </c>
      <c r="B34" t="s">
        <v>532</v>
      </c>
      <c r="C34" s="82" t="s">
        <v>523</v>
      </c>
      <c r="E34" s="64"/>
    </row>
    <row r="35" spans="1:5" x14ac:dyDescent="0.5">
      <c r="A35" t="s">
        <v>42</v>
      </c>
      <c r="B35" t="s">
        <v>534</v>
      </c>
      <c r="C35" s="82" t="s">
        <v>528</v>
      </c>
      <c r="E35" s="7"/>
    </row>
    <row r="36" spans="1:5" x14ac:dyDescent="0.5">
      <c r="A36" t="s">
        <v>42</v>
      </c>
      <c r="B36" t="s">
        <v>533</v>
      </c>
      <c r="C36" s="82" t="s">
        <v>523</v>
      </c>
      <c r="E36" s="64"/>
    </row>
    <row r="37" spans="1:5" x14ac:dyDescent="0.5">
      <c r="A37" t="s">
        <v>42</v>
      </c>
      <c r="B37" t="s">
        <v>536</v>
      </c>
      <c r="C37" s="82" t="s">
        <v>523</v>
      </c>
      <c r="E37" s="7"/>
    </row>
    <row r="38" spans="1:5" x14ac:dyDescent="0.5">
      <c r="A38" t="s">
        <v>42</v>
      </c>
      <c r="B38" t="s">
        <v>537</v>
      </c>
      <c r="C38" s="81" t="s">
        <v>526</v>
      </c>
      <c r="E38" s="64"/>
    </row>
    <row r="39" spans="1:5" x14ac:dyDescent="0.5">
      <c r="A39" t="s">
        <v>42</v>
      </c>
      <c r="B39" t="s">
        <v>538</v>
      </c>
      <c r="C39" s="82" t="s">
        <v>526</v>
      </c>
      <c r="E39" s="7"/>
    </row>
    <row r="40" spans="1:5" x14ac:dyDescent="0.5">
      <c r="A40" t="s">
        <v>42</v>
      </c>
      <c r="B40" t="s">
        <v>539</v>
      </c>
      <c r="C40" s="81" t="s">
        <v>523</v>
      </c>
      <c r="E40" s="64"/>
    </row>
    <row r="41" spans="1:5" x14ac:dyDescent="0.5">
      <c r="A41" t="s">
        <v>42</v>
      </c>
      <c r="B41" t="s">
        <v>540</v>
      </c>
      <c r="C41" s="82" t="s">
        <v>528</v>
      </c>
      <c r="E41" s="7"/>
    </row>
    <row r="42" spans="1:5" x14ac:dyDescent="0.5">
      <c r="A42" t="s">
        <v>47</v>
      </c>
      <c r="B42" t="s">
        <v>532</v>
      </c>
      <c r="C42" t="s">
        <v>523</v>
      </c>
    </row>
    <row r="43" spans="1:5" x14ac:dyDescent="0.5">
      <c r="A43" t="s">
        <v>47</v>
      </c>
      <c r="B43" t="s">
        <v>533</v>
      </c>
      <c r="C43" t="s">
        <v>523</v>
      </c>
    </row>
    <row r="44" spans="1:5" x14ac:dyDescent="0.5">
      <c r="A44" t="s">
        <v>47</v>
      </c>
      <c r="B44" t="s">
        <v>534</v>
      </c>
      <c r="C44" t="s">
        <v>523</v>
      </c>
    </row>
    <row r="45" spans="1:5" x14ac:dyDescent="0.5">
      <c r="A45" t="s">
        <v>47</v>
      </c>
      <c r="B45" t="s">
        <v>536</v>
      </c>
      <c r="C45" t="s">
        <v>523</v>
      </c>
    </row>
    <row r="46" spans="1:5" x14ac:dyDescent="0.5">
      <c r="A46" t="s">
        <v>47</v>
      </c>
      <c r="B46" t="s">
        <v>537</v>
      </c>
      <c r="C46" t="s">
        <v>523</v>
      </c>
    </row>
    <row r="47" spans="1:5" x14ac:dyDescent="0.5">
      <c r="A47" t="s">
        <v>47</v>
      </c>
      <c r="B47" t="s">
        <v>538</v>
      </c>
      <c r="C47" t="s">
        <v>528</v>
      </c>
    </row>
    <row r="48" spans="1:5" x14ac:dyDescent="0.5">
      <c r="A48" t="s">
        <v>47</v>
      </c>
      <c r="B48" t="s">
        <v>539</v>
      </c>
      <c r="C48" t="s">
        <v>528</v>
      </c>
    </row>
    <row r="49" spans="1:3" x14ac:dyDescent="0.5">
      <c r="A49" t="s">
        <v>47</v>
      </c>
      <c r="B49" t="s">
        <v>540</v>
      </c>
      <c r="C49" t="s">
        <v>523</v>
      </c>
    </row>
    <row r="50" spans="1:3" x14ac:dyDescent="0.5">
      <c r="A50" t="s">
        <v>51</v>
      </c>
      <c r="B50" t="s">
        <v>533</v>
      </c>
      <c r="C50" s="82" t="s">
        <v>535</v>
      </c>
    </row>
    <row r="51" spans="1:3" x14ac:dyDescent="0.5">
      <c r="A51" t="s">
        <v>51</v>
      </c>
      <c r="B51" t="s">
        <v>532</v>
      </c>
      <c r="C51" s="82" t="s">
        <v>535</v>
      </c>
    </row>
    <row r="52" spans="1:3" x14ac:dyDescent="0.5">
      <c r="A52" t="s">
        <v>51</v>
      </c>
      <c r="B52" t="s">
        <v>534</v>
      </c>
      <c r="C52" s="82" t="s">
        <v>535</v>
      </c>
    </row>
    <row r="53" spans="1:3" x14ac:dyDescent="0.5">
      <c r="A53" t="s">
        <v>51</v>
      </c>
      <c r="B53" t="s">
        <v>536</v>
      </c>
      <c r="C53" s="82" t="s">
        <v>535</v>
      </c>
    </row>
    <row r="54" spans="1:3" x14ac:dyDescent="0.5">
      <c r="A54" t="s">
        <v>51</v>
      </c>
      <c r="B54" t="s">
        <v>537</v>
      </c>
      <c r="C54" s="82" t="s">
        <v>523</v>
      </c>
    </row>
    <row r="55" spans="1:3" x14ac:dyDescent="0.5">
      <c r="A55" t="s">
        <v>51</v>
      </c>
      <c r="B55" t="s">
        <v>538</v>
      </c>
      <c r="C55" s="82" t="s">
        <v>535</v>
      </c>
    </row>
    <row r="56" spans="1:3" x14ac:dyDescent="0.5">
      <c r="A56" t="s">
        <v>51</v>
      </c>
      <c r="B56" t="s">
        <v>539</v>
      </c>
      <c r="C56" s="82" t="s">
        <v>535</v>
      </c>
    </row>
    <row r="57" spans="1:3" x14ac:dyDescent="0.5">
      <c r="A57" t="s">
        <v>51</v>
      </c>
      <c r="B57" t="s">
        <v>540</v>
      </c>
      <c r="C57" s="82" t="s">
        <v>523</v>
      </c>
    </row>
    <row r="58" spans="1:3" x14ac:dyDescent="0.5">
      <c r="A58" t="s">
        <v>55</v>
      </c>
      <c r="B58" t="s">
        <v>533</v>
      </c>
      <c r="C58" s="82" t="s">
        <v>526</v>
      </c>
    </row>
    <row r="59" spans="1:3" x14ac:dyDescent="0.5">
      <c r="A59" t="s">
        <v>55</v>
      </c>
      <c r="B59" t="s">
        <v>532</v>
      </c>
      <c r="C59" s="82" t="s">
        <v>526</v>
      </c>
    </row>
    <row r="60" spans="1:3" x14ac:dyDescent="0.5">
      <c r="A60" t="s">
        <v>55</v>
      </c>
      <c r="B60" t="s">
        <v>534</v>
      </c>
      <c r="C60" s="82" t="s">
        <v>526</v>
      </c>
    </row>
    <row r="61" spans="1:3" x14ac:dyDescent="0.5">
      <c r="A61" t="s">
        <v>55</v>
      </c>
      <c r="B61" t="s">
        <v>536</v>
      </c>
      <c r="C61" s="82" t="s">
        <v>526</v>
      </c>
    </row>
    <row r="62" spans="1:3" x14ac:dyDescent="0.5">
      <c r="A62" t="s">
        <v>55</v>
      </c>
      <c r="B62" t="s">
        <v>537</v>
      </c>
      <c r="C62" s="82" t="s">
        <v>526</v>
      </c>
    </row>
    <row r="63" spans="1:3" x14ac:dyDescent="0.5">
      <c r="A63" t="s">
        <v>55</v>
      </c>
      <c r="B63" t="s">
        <v>538</v>
      </c>
      <c r="C63" s="82" t="s">
        <v>526</v>
      </c>
    </row>
    <row r="64" spans="1:3" x14ac:dyDescent="0.5">
      <c r="A64" t="s">
        <v>55</v>
      </c>
      <c r="B64" t="s">
        <v>539</v>
      </c>
      <c r="C64" s="82" t="s">
        <v>526</v>
      </c>
    </row>
    <row r="65" spans="1:3" x14ac:dyDescent="0.5">
      <c r="A65" t="s">
        <v>55</v>
      </c>
      <c r="B65" t="s">
        <v>540</v>
      </c>
      <c r="C65" s="82" t="s">
        <v>523</v>
      </c>
    </row>
    <row r="66" spans="1:3" x14ac:dyDescent="0.5">
      <c r="A66" t="s">
        <v>63</v>
      </c>
      <c r="B66" t="s">
        <v>532</v>
      </c>
      <c r="C66" t="s">
        <v>523</v>
      </c>
    </row>
    <row r="67" spans="1:3" x14ac:dyDescent="0.5">
      <c r="A67" t="s">
        <v>63</v>
      </c>
      <c r="B67" t="s">
        <v>533</v>
      </c>
      <c r="C67" t="s">
        <v>528</v>
      </c>
    </row>
    <row r="68" spans="1:3" x14ac:dyDescent="0.5">
      <c r="A68" t="s">
        <v>63</v>
      </c>
      <c r="B68" t="s">
        <v>534</v>
      </c>
      <c r="C68" t="s">
        <v>528</v>
      </c>
    </row>
    <row r="69" spans="1:3" x14ac:dyDescent="0.5">
      <c r="A69" t="s">
        <v>63</v>
      </c>
      <c r="B69" t="s">
        <v>536</v>
      </c>
      <c r="C69" t="s">
        <v>528</v>
      </c>
    </row>
    <row r="70" spans="1:3" x14ac:dyDescent="0.5">
      <c r="A70" t="s">
        <v>63</v>
      </c>
      <c r="B70" t="s">
        <v>537</v>
      </c>
      <c r="C70" t="s">
        <v>528</v>
      </c>
    </row>
    <row r="71" spans="1:3" x14ac:dyDescent="0.5">
      <c r="A71" t="s">
        <v>63</v>
      </c>
      <c r="B71" t="s">
        <v>538</v>
      </c>
      <c r="C71" t="s">
        <v>523</v>
      </c>
    </row>
    <row r="72" spans="1:3" x14ac:dyDescent="0.5">
      <c r="A72" t="s">
        <v>63</v>
      </c>
      <c r="B72" t="s">
        <v>539</v>
      </c>
      <c r="C72" t="s">
        <v>523</v>
      </c>
    </row>
    <row r="73" spans="1:3" x14ac:dyDescent="0.5">
      <c r="A73" t="s">
        <v>63</v>
      </c>
      <c r="B73" t="s">
        <v>540</v>
      </c>
      <c r="C73" t="s">
        <v>526</v>
      </c>
    </row>
    <row r="74" spans="1:3" x14ac:dyDescent="0.5">
      <c r="A74" t="s">
        <v>68</v>
      </c>
      <c r="B74" t="s">
        <v>532</v>
      </c>
      <c r="C74" t="s">
        <v>526</v>
      </c>
    </row>
    <row r="75" spans="1:3" x14ac:dyDescent="0.5">
      <c r="A75" t="s">
        <v>68</v>
      </c>
      <c r="B75" t="s">
        <v>533</v>
      </c>
      <c r="C75" t="s">
        <v>526</v>
      </c>
    </row>
    <row r="76" spans="1:3" x14ac:dyDescent="0.5">
      <c r="A76" t="str">
        <f>Standards!B17</f>
        <v>ISO 29481-1</v>
      </c>
      <c r="B76" t="s">
        <v>534</v>
      </c>
      <c r="C76" t="s">
        <v>526</v>
      </c>
    </row>
    <row r="77" spans="1:3" x14ac:dyDescent="0.5">
      <c r="A77" t="str">
        <f>Standards!B17</f>
        <v>ISO 29481-1</v>
      </c>
      <c r="B77" t="s">
        <v>536</v>
      </c>
      <c r="C77" t="s">
        <v>526</v>
      </c>
    </row>
    <row r="78" spans="1:3" x14ac:dyDescent="0.5">
      <c r="A78" t="str">
        <f>Standards!B17</f>
        <v>ISO 29481-1</v>
      </c>
      <c r="B78" t="s">
        <v>537</v>
      </c>
      <c r="C78" t="s">
        <v>526</v>
      </c>
    </row>
    <row r="79" spans="1:3" x14ac:dyDescent="0.5">
      <c r="A79" t="str">
        <f>Standards!B17</f>
        <v>ISO 29481-1</v>
      </c>
      <c r="B79" t="s">
        <v>538</v>
      </c>
      <c r="C79" t="s">
        <v>526</v>
      </c>
    </row>
    <row r="80" spans="1:3" x14ac:dyDescent="0.5">
      <c r="A80" t="str">
        <f>Standards!B17</f>
        <v>ISO 29481-1</v>
      </c>
      <c r="B80" t="s">
        <v>539</v>
      </c>
      <c r="C80" t="s">
        <v>526</v>
      </c>
    </row>
    <row r="81" spans="1:3" x14ac:dyDescent="0.5">
      <c r="A81" t="str">
        <f>Standards!B17</f>
        <v>ISO 29481-1</v>
      </c>
      <c r="B81" t="s">
        <v>540</v>
      </c>
      <c r="C81" t="s">
        <v>523</v>
      </c>
    </row>
    <row r="82" spans="1:3" x14ac:dyDescent="0.5">
      <c r="A82" t="s">
        <v>96</v>
      </c>
      <c r="B82" t="s">
        <v>532</v>
      </c>
      <c r="C82" t="s">
        <v>528</v>
      </c>
    </row>
    <row r="83" spans="1:3" x14ac:dyDescent="0.5">
      <c r="A83" t="s">
        <v>96</v>
      </c>
      <c r="B83" t="s">
        <v>533</v>
      </c>
      <c r="C83" t="s">
        <v>528</v>
      </c>
    </row>
    <row r="84" spans="1:3" x14ac:dyDescent="0.5">
      <c r="A84" t="s">
        <v>96</v>
      </c>
      <c r="B84" t="s">
        <v>534</v>
      </c>
      <c r="C84" t="s">
        <v>528</v>
      </c>
    </row>
    <row r="85" spans="1:3" x14ac:dyDescent="0.5">
      <c r="A85" t="s">
        <v>96</v>
      </c>
      <c r="B85" t="s">
        <v>536</v>
      </c>
      <c r="C85" t="s">
        <v>523</v>
      </c>
    </row>
    <row r="86" spans="1:3" x14ac:dyDescent="0.5">
      <c r="A86" t="s">
        <v>96</v>
      </c>
      <c r="B86" t="s">
        <v>537</v>
      </c>
      <c r="C86" t="s">
        <v>526</v>
      </c>
    </row>
    <row r="87" spans="1:3" x14ac:dyDescent="0.5">
      <c r="A87" t="s">
        <v>96</v>
      </c>
      <c r="B87" t="s">
        <v>538</v>
      </c>
      <c r="C87" t="s">
        <v>526</v>
      </c>
    </row>
    <row r="88" spans="1:3" x14ac:dyDescent="0.5">
      <c r="A88" t="s">
        <v>96</v>
      </c>
      <c r="B88" t="s">
        <v>539</v>
      </c>
      <c r="C88" t="s">
        <v>528</v>
      </c>
    </row>
    <row r="89" spans="1:3" x14ac:dyDescent="0.5">
      <c r="A89" t="s">
        <v>96</v>
      </c>
      <c r="B89" t="s">
        <v>540</v>
      </c>
      <c r="C89" t="s">
        <v>526</v>
      </c>
    </row>
    <row r="90" spans="1:3" x14ac:dyDescent="0.5">
      <c r="A90" t="s">
        <v>140</v>
      </c>
      <c r="B90" t="s">
        <v>533</v>
      </c>
      <c r="C90" s="82" t="s">
        <v>535</v>
      </c>
    </row>
    <row r="91" spans="1:3" x14ac:dyDescent="0.5">
      <c r="A91" t="s">
        <v>140</v>
      </c>
      <c r="B91" t="s">
        <v>532</v>
      </c>
      <c r="C91" s="81" t="s">
        <v>526</v>
      </c>
    </row>
    <row r="92" spans="1:3" x14ac:dyDescent="0.5">
      <c r="A92" t="s">
        <v>140</v>
      </c>
      <c r="B92" t="s">
        <v>534</v>
      </c>
      <c r="C92" s="82" t="s">
        <v>535</v>
      </c>
    </row>
    <row r="93" spans="1:3" x14ac:dyDescent="0.5">
      <c r="A93" t="s">
        <v>140</v>
      </c>
      <c r="B93" t="s">
        <v>536</v>
      </c>
      <c r="C93" s="82" t="s">
        <v>535</v>
      </c>
    </row>
    <row r="94" spans="1:3" x14ac:dyDescent="0.5">
      <c r="A94" t="s">
        <v>140</v>
      </c>
      <c r="B94" t="s">
        <v>537</v>
      </c>
      <c r="C94" s="81" t="s">
        <v>528</v>
      </c>
    </row>
    <row r="95" spans="1:3" x14ac:dyDescent="0.5">
      <c r="A95" t="s">
        <v>140</v>
      </c>
      <c r="B95" t="s">
        <v>538</v>
      </c>
      <c r="C95" s="82" t="s">
        <v>535</v>
      </c>
    </row>
    <row r="96" spans="1:3" x14ac:dyDescent="0.5">
      <c r="A96" t="s">
        <v>140</v>
      </c>
      <c r="B96" t="s">
        <v>539</v>
      </c>
      <c r="C96" s="82" t="s">
        <v>535</v>
      </c>
    </row>
    <row r="97" spans="1:3" x14ac:dyDescent="0.5">
      <c r="A97" t="s">
        <v>140</v>
      </c>
      <c r="B97" t="s">
        <v>540</v>
      </c>
      <c r="C97" s="82" t="s">
        <v>523</v>
      </c>
    </row>
    <row r="98" spans="1:3" x14ac:dyDescent="0.5">
      <c r="A98" t="s">
        <v>144</v>
      </c>
      <c r="B98" t="s">
        <v>532</v>
      </c>
      <c r="C98" t="s">
        <v>526</v>
      </c>
    </row>
    <row r="99" spans="1:3" x14ac:dyDescent="0.5">
      <c r="A99" t="s">
        <v>144</v>
      </c>
      <c r="B99" t="s">
        <v>533</v>
      </c>
      <c r="C99" t="s">
        <v>526</v>
      </c>
    </row>
    <row r="100" spans="1:3" x14ac:dyDescent="0.5">
      <c r="A100" t="s">
        <v>144</v>
      </c>
      <c r="B100" t="s">
        <v>534</v>
      </c>
      <c r="C100" t="s">
        <v>526</v>
      </c>
    </row>
    <row r="101" spans="1:3" x14ac:dyDescent="0.5">
      <c r="A101" t="s">
        <v>144</v>
      </c>
      <c r="B101" t="s">
        <v>536</v>
      </c>
      <c r="C101" t="s">
        <v>526</v>
      </c>
    </row>
    <row r="102" spans="1:3" x14ac:dyDescent="0.5">
      <c r="A102" t="s">
        <v>144</v>
      </c>
      <c r="B102" t="s">
        <v>537</v>
      </c>
      <c r="C102" t="s">
        <v>526</v>
      </c>
    </row>
    <row r="103" spans="1:3" x14ac:dyDescent="0.5">
      <c r="A103" t="s">
        <v>144</v>
      </c>
      <c r="B103" t="s">
        <v>538</v>
      </c>
      <c r="C103" t="s">
        <v>526</v>
      </c>
    </row>
    <row r="104" spans="1:3" x14ac:dyDescent="0.5">
      <c r="A104" t="s">
        <v>144</v>
      </c>
      <c r="B104" t="s">
        <v>539</v>
      </c>
      <c r="C104" t="s">
        <v>526</v>
      </c>
    </row>
    <row r="105" spans="1:3" x14ac:dyDescent="0.5">
      <c r="A105" t="s">
        <v>144</v>
      </c>
      <c r="B105" t="s">
        <v>540</v>
      </c>
      <c r="C105" t="s">
        <v>523</v>
      </c>
    </row>
    <row r="106" spans="1:3" x14ac:dyDescent="0.5">
      <c r="A106" t="s">
        <v>170</v>
      </c>
      <c r="B106" t="s">
        <v>532</v>
      </c>
      <c r="C106" t="s">
        <v>526</v>
      </c>
    </row>
    <row r="107" spans="1:3" x14ac:dyDescent="0.5">
      <c r="A107" t="s">
        <v>170</v>
      </c>
      <c r="B107" t="s">
        <v>533</v>
      </c>
      <c r="C107" t="s">
        <v>528</v>
      </c>
    </row>
    <row r="108" spans="1:3" x14ac:dyDescent="0.5">
      <c r="A108" t="s">
        <v>170</v>
      </c>
      <c r="B108" t="s">
        <v>534</v>
      </c>
      <c r="C108" t="s">
        <v>528</v>
      </c>
    </row>
    <row r="109" spans="1:3" x14ac:dyDescent="0.5">
      <c r="A109" t="s">
        <v>170</v>
      </c>
      <c r="B109" t="s">
        <v>536</v>
      </c>
      <c r="C109" t="s">
        <v>528</v>
      </c>
    </row>
    <row r="110" spans="1:3" x14ac:dyDescent="0.5">
      <c r="A110" t="s">
        <v>170</v>
      </c>
      <c r="B110" t="s">
        <v>537</v>
      </c>
      <c r="C110" t="s">
        <v>523</v>
      </c>
    </row>
    <row r="111" spans="1:3" x14ac:dyDescent="0.5">
      <c r="A111" t="s">
        <v>170</v>
      </c>
      <c r="B111" t="s">
        <v>538</v>
      </c>
      <c r="C111" t="s">
        <v>535</v>
      </c>
    </row>
    <row r="112" spans="1:3" x14ac:dyDescent="0.5">
      <c r="A112" t="s">
        <v>170</v>
      </c>
      <c r="B112" t="s">
        <v>539</v>
      </c>
      <c r="C112" t="s">
        <v>526</v>
      </c>
    </row>
    <row r="113" spans="1:3" x14ac:dyDescent="0.5">
      <c r="A113" t="s">
        <v>170</v>
      </c>
      <c r="B113" t="s">
        <v>540</v>
      </c>
      <c r="C113" t="s">
        <v>523</v>
      </c>
    </row>
    <row r="114" spans="1:3" x14ac:dyDescent="0.5">
      <c r="A114" t="s">
        <v>174</v>
      </c>
      <c r="B114" t="s">
        <v>532</v>
      </c>
      <c r="C114" t="s">
        <v>535</v>
      </c>
    </row>
    <row r="115" spans="1:3" x14ac:dyDescent="0.5">
      <c r="A115" t="s">
        <v>174</v>
      </c>
      <c r="B115" t="s">
        <v>533</v>
      </c>
      <c r="C115" t="s">
        <v>528</v>
      </c>
    </row>
    <row r="116" spans="1:3" x14ac:dyDescent="0.5">
      <c r="A116" t="s">
        <v>174</v>
      </c>
      <c r="B116" t="s">
        <v>534</v>
      </c>
      <c r="C116" t="s">
        <v>528</v>
      </c>
    </row>
    <row r="117" spans="1:3" x14ac:dyDescent="0.5">
      <c r="A117" t="s">
        <v>174</v>
      </c>
      <c r="B117" t="s">
        <v>536</v>
      </c>
      <c r="C117" t="s">
        <v>528</v>
      </c>
    </row>
    <row r="118" spans="1:3" x14ac:dyDescent="0.5">
      <c r="A118" t="s">
        <v>174</v>
      </c>
      <c r="B118" t="s">
        <v>537</v>
      </c>
      <c r="C118" t="s">
        <v>523</v>
      </c>
    </row>
    <row r="119" spans="1:3" x14ac:dyDescent="0.5">
      <c r="A119" t="s">
        <v>174</v>
      </c>
      <c r="B119" t="s">
        <v>538</v>
      </c>
      <c r="C119" t="s">
        <v>535</v>
      </c>
    </row>
    <row r="120" spans="1:3" x14ac:dyDescent="0.5">
      <c r="A120" t="s">
        <v>174</v>
      </c>
      <c r="B120" t="s">
        <v>539</v>
      </c>
      <c r="C120" t="s">
        <v>526</v>
      </c>
    </row>
    <row r="121" spans="1:3" x14ac:dyDescent="0.5">
      <c r="A121" t="s">
        <v>174</v>
      </c>
      <c r="B121" t="s">
        <v>540</v>
      </c>
      <c r="C121" t="s">
        <v>523</v>
      </c>
    </row>
    <row r="122" spans="1:3" x14ac:dyDescent="0.5">
      <c r="A122" t="s">
        <v>210</v>
      </c>
      <c r="B122" t="s">
        <v>532</v>
      </c>
      <c r="C122" t="s">
        <v>523</v>
      </c>
    </row>
    <row r="123" spans="1:3" x14ac:dyDescent="0.5">
      <c r="A123" t="s">
        <v>210</v>
      </c>
      <c r="B123" t="s">
        <v>533</v>
      </c>
      <c r="C123" t="s">
        <v>523</v>
      </c>
    </row>
    <row r="124" spans="1:3" x14ac:dyDescent="0.5">
      <c r="A124" t="s">
        <v>210</v>
      </c>
      <c r="B124" t="s">
        <v>534</v>
      </c>
      <c r="C124" t="s">
        <v>523</v>
      </c>
    </row>
    <row r="125" spans="1:3" x14ac:dyDescent="0.5">
      <c r="A125" t="s">
        <v>210</v>
      </c>
      <c r="B125" t="s">
        <v>536</v>
      </c>
      <c r="C125" t="s">
        <v>523</v>
      </c>
    </row>
    <row r="126" spans="1:3" x14ac:dyDescent="0.5">
      <c r="A126" t="s">
        <v>210</v>
      </c>
      <c r="B126" t="s">
        <v>537</v>
      </c>
      <c r="C126" t="s">
        <v>526</v>
      </c>
    </row>
    <row r="127" spans="1:3" x14ac:dyDescent="0.5">
      <c r="A127" t="s">
        <v>210</v>
      </c>
      <c r="B127" t="s">
        <v>538</v>
      </c>
      <c r="C127" t="s">
        <v>526</v>
      </c>
    </row>
    <row r="128" spans="1:3" x14ac:dyDescent="0.5">
      <c r="A128" t="s">
        <v>210</v>
      </c>
      <c r="B128" t="s">
        <v>539</v>
      </c>
      <c r="C128" t="s">
        <v>523</v>
      </c>
    </row>
    <row r="129" spans="1:3" x14ac:dyDescent="0.5">
      <c r="A129" t="s">
        <v>210</v>
      </c>
      <c r="B129" t="s">
        <v>540</v>
      </c>
      <c r="C129" t="s">
        <v>526</v>
      </c>
    </row>
    <row r="130" spans="1:3" x14ac:dyDescent="0.5">
      <c r="A130" t="s">
        <v>214</v>
      </c>
      <c r="B130" t="s">
        <v>532</v>
      </c>
      <c r="C130" t="s">
        <v>523</v>
      </c>
    </row>
    <row r="131" spans="1:3" x14ac:dyDescent="0.5">
      <c r="A131" t="s">
        <v>214</v>
      </c>
      <c r="B131" t="s">
        <v>533</v>
      </c>
      <c r="C131" t="s">
        <v>523</v>
      </c>
    </row>
    <row r="132" spans="1:3" x14ac:dyDescent="0.5">
      <c r="A132" t="s">
        <v>214</v>
      </c>
      <c r="B132" t="s">
        <v>534</v>
      </c>
      <c r="C132" t="s">
        <v>523</v>
      </c>
    </row>
    <row r="133" spans="1:3" x14ac:dyDescent="0.5">
      <c r="A133" t="s">
        <v>214</v>
      </c>
      <c r="B133" t="s">
        <v>536</v>
      </c>
      <c r="C133" t="s">
        <v>528</v>
      </c>
    </row>
    <row r="134" spans="1:3" x14ac:dyDescent="0.5">
      <c r="A134" t="s">
        <v>214</v>
      </c>
      <c r="B134" t="s">
        <v>538</v>
      </c>
      <c r="C134" t="s">
        <v>528</v>
      </c>
    </row>
    <row r="135" spans="1:3" x14ac:dyDescent="0.5">
      <c r="A135" t="s">
        <v>214</v>
      </c>
      <c r="B135" t="s">
        <v>537</v>
      </c>
      <c r="C135" t="s">
        <v>523</v>
      </c>
    </row>
    <row r="136" spans="1:3" x14ac:dyDescent="0.5">
      <c r="A136" t="s">
        <v>214</v>
      </c>
      <c r="B136" t="s">
        <v>539</v>
      </c>
      <c r="C136" t="s">
        <v>523</v>
      </c>
    </row>
    <row r="137" spans="1:3" x14ac:dyDescent="0.5">
      <c r="A137" t="s">
        <v>214</v>
      </c>
      <c r="B137" t="s">
        <v>540</v>
      </c>
      <c r="C137" t="s">
        <v>526</v>
      </c>
    </row>
    <row r="138" spans="1:3" x14ac:dyDescent="0.5">
      <c r="A138" t="s">
        <v>224</v>
      </c>
      <c r="B138" t="s">
        <v>532</v>
      </c>
      <c r="C138" t="s">
        <v>523</v>
      </c>
    </row>
    <row r="139" spans="1:3" x14ac:dyDescent="0.5">
      <c r="A139" t="s">
        <v>224</v>
      </c>
      <c r="B139" t="s">
        <v>533</v>
      </c>
      <c r="C139" t="s">
        <v>535</v>
      </c>
    </row>
    <row r="140" spans="1:3" x14ac:dyDescent="0.5">
      <c r="A140" t="s">
        <v>224</v>
      </c>
      <c r="B140" t="s">
        <v>534</v>
      </c>
      <c r="C140" t="s">
        <v>535</v>
      </c>
    </row>
    <row r="141" spans="1:3" x14ac:dyDescent="0.5">
      <c r="A141" t="s">
        <v>224</v>
      </c>
      <c r="B141" t="s">
        <v>536</v>
      </c>
      <c r="C141" t="s">
        <v>523</v>
      </c>
    </row>
    <row r="142" spans="1:3" x14ac:dyDescent="0.5">
      <c r="A142" t="s">
        <v>224</v>
      </c>
      <c r="B142" t="s">
        <v>537</v>
      </c>
      <c r="C142" t="s">
        <v>528</v>
      </c>
    </row>
    <row r="143" spans="1:3" x14ac:dyDescent="0.5">
      <c r="A143" t="s">
        <v>224</v>
      </c>
      <c r="B143" t="s">
        <v>538</v>
      </c>
      <c r="C143" t="s">
        <v>535</v>
      </c>
    </row>
    <row r="144" spans="1:3" x14ac:dyDescent="0.5">
      <c r="A144" t="s">
        <v>224</v>
      </c>
      <c r="B144" t="s">
        <v>539</v>
      </c>
      <c r="C144" t="s">
        <v>523</v>
      </c>
    </row>
    <row r="145" spans="1:3" x14ac:dyDescent="0.5">
      <c r="A145" t="s">
        <v>224</v>
      </c>
      <c r="B145" t="s">
        <v>540</v>
      </c>
      <c r="C145" t="s">
        <v>526</v>
      </c>
    </row>
    <row r="146" spans="1:3" x14ac:dyDescent="0.5">
      <c r="A146" t="s">
        <v>228</v>
      </c>
      <c r="B146" t="s">
        <v>532</v>
      </c>
      <c r="C146" t="s">
        <v>523</v>
      </c>
    </row>
    <row r="147" spans="1:3" x14ac:dyDescent="0.5">
      <c r="A147" t="s">
        <v>228</v>
      </c>
      <c r="B147" t="s">
        <v>533</v>
      </c>
      <c r="C147" t="s">
        <v>523</v>
      </c>
    </row>
    <row r="148" spans="1:3" x14ac:dyDescent="0.5">
      <c r="A148" t="s">
        <v>228</v>
      </c>
      <c r="B148" t="s">
        <v>534</v>
      </c>
      <c r="C148" t="s">
        <v>523</v>
      </c>
    </row>
    <row r="149" spans="1:3" x14ac:dyDescent="0.5">
      <c r="A149" t="s">
        <v>228</v>
      </c>
      <c r="B149" t="s">
        <v>536</v>
      </c>
      <c r="C149" t="s">
        <v>523</v>
      </c>
    </row>
    <row r="150" spans="1:3" x14ac:dyDescent="0.5">
      <c r="A150" t="s">
        <v>228</v>
      </c>
      <c r="B150" t="s">
        <v>538</v>
      </c>
      <c r="C150" t="s">
        <v>523</v>
      </c>
    </row>
    <row r="151" spans="1:3" x14ac:dyDescent="0.5">
      <c r="A151" t="s">
        <v>228</v>
      </c>
      <c r="B151" t="s">
        <v>539</v>
      </c>
      <c r="C151" t="s">
        <v>523</v>
      </c>
    </row>
    <row r="152" spans="1:3" x14ac:dyDescent="0.5">
      <c r="A152" t="s">
        <v>228</v>
      </c>
      <c r="B152" t="s">
        <v>540</v>
      </c>
      <c r="C152" t="s">
        <v>526</v>
      </c>
    </row>
    <row r="153" spans="1:3" x14ac:dyDescent="0.5">
      <c r="A153" t="s">
        <v>232</v>
      </c>
      <c r="B153" t="s">
        <v>532</v>
      </c>
      <c r="C153" t="s">
        <v>523</v>
      </c>
    </row>
    <row r="154" spans="1:3" x14ac:dyDescent="0.5">
      <c r="A154" t="s">
        <v>232</v>
      </c>
      <c r="B154" t="s">
        <v>533</v>
      </c>
      <c r="C154" t="s">
        <v>523</v>
      </c>
    </row>
    <row r="155" spans="1:3" x14ac:dyDescent="0.5">
      <c r="A155" t="s">
        <v>232</v>
      </c>
      <c r="B155" t="s">
        <v>534</v>
      </c>
      <c r="C155" t="s">
        <v>523</v>
      </c>
    </row>
    <row r="156" spans="1:3" x14ac:dyDescent="0.5">
      <c r="A156" t="s">
        <v>232</v>
      </c>
      <c r="B156" t="s">
        <v>536</v>
      </c>
      <c r="C156" t="s">
        <v>523</v>
      </c>
    </row>
    <row r="157" spans="1:3" x14ac:dyDescent="0.5">
      <c r="A157" t="s">
        <v>232</v>
      </c>
      <c r="B157" t="s">
        <v>537</v>
      </c>
      <c r="C157" t="s">
        <v>523</v>
      </c>
    </row>
    <row r="158" spans="1:3" x14ac:dyDescent="0.5">
      <c r="A158" t="s">
        <v>232</v>
      </c>
      <c r="B158" t="s">
        <v>538</v>
      </c>
      <c r="C158" t="s">
        <v>523</v>
      </c>
    </row>
    <row r="159" spans="1:3" x14ac:dyDescent="0.5">
      <c r="A159" t="s">
        <v>232</v>
      </c>
      <c r="B159" t="s">
        <v>539</v>
      </c>
      <c r="C159" t="s">
        <v>523</v>
      </c>
    </row>
    <row r="160" spans="1:3" x14ac:dyDescent="0.5">
      <c r="A160" t="s">
        <v>232</v>
      </c>
      <c r="B160" t="s">
        <v>540</v>
      </c>
      <c r="C160" t="s">
        <v>526</v>
      </c>
    </row>
    <row r="161" spans="1:3" x14ac:dyDescent="0.5">
      <c r="A161" t="s">
        <v>245</v>
      </c>
      <c r="B161" t="s">
        <v>532</v>
      </c>
      <c r="C161" t="s">
        <v>528</v>
      </c>
    </row>
    <row r="162" spans="1:3" x14ac:dyDescent="0.5">
      <c r="A162" t="s">
        <v>245</v>
      </c>
      <c r="B162" t="s">
        <v>533</v>
      </c>
      <c r="C162" t="s">
        <v>528</v>
      </c>
    </row>
    <row r="163" spans="1:3" x14ac:dyDescent="0.5">
      <c r="A163" t="s">
        <v>245</v>
      </c>
      <c r="B163" t="s">
        <v>534</v>
      </c>
      <c r="C163" t="s">
        <v>528</v>
      </c>
    </row>
    <row r="164" spans="1:3" x14ac:dyDescent="0.5">
      <c r="A164" t="s">
        <v>245</v>
      </c>
      <c r="B164" t="s">
        <v>536</v>
      </c>
      <c r="C164" t="s">
        <v>528</v>
      </c>
    </row>
    <row r="165" spans="1:3" x14ac:dyDescent="0.5">
      <c r="A165" t="s">
        <v>245</v>
      </c>
      <c r="B165" t="s">
        <v>537</v>
      </c>
      <c r="C165" t="s">
        <v>528</v>
      </c>
    </row>
    <row r="166" spans="1:3" x14ac:dyDescent="0.5">
      <c r="A166" t="s">
        <v>245</v>
      </c>
      <c r="B166" t="s">
        <v>538</v>
      </c>
      <c r="C166" t="s">
        <v>528</v>
      </c>
    </row>
    <row r="167" spans="1:3" x14ac:dyDescent="0.5">
      <c r="A167" t="s">
        <v>245</v>
      </c>
      <c r="B167" t="s">
        <v>539</v>
      </c>
      <c r="C167" t="s">
        <v>528</v>
      </c>
    </row>
    <row r="168" spans="1:3" x14ac:dyDescent="0.5">
      <c r="A168" t="s">
        <v>245</v>
      </c>
      <c r="B168" t="s">
        <v>540</v>
      </c>
      <c r="C168" t="s">
        <v>523</v>
      </c>
    </row>
    <row r="169" spans="1:3" x14ac:dyDescent="0.5">
      <c r="A169" t="s">
        <v>250</v>
      </c>
      <c r="B169" t="s">
        <v>532</v>
      </c>
      <c r="C169" t="s">
        <v>528</v>
      </c>
    </row>
    <row r="170" spans="1:3" x14ac:dyDescent="0.5">
      <c r="A170" t="s">
        <v>250</v>
      </c>
      <c r="B170" t="s">
        <v>533</v>
      </c>
      <c r="C170" t="s">
        <v>528</v>
      </c>
    </row>
    <row r="171" spans="1:3" x14ac:dyDescent="0.5">
      <c r="A171" t="s">
        <v>250</v>
      </c>
      <c r="B171" t="s">
        <v>534</v>
      </c>
      <c r="C171" t="s">
        <v>528</v>
      </c>
    </row>
    <row r="172" spans="1:3" x14ac:dyDescent="0.5">
      <c r="A172" t="s">
        <v>250</v>
      </c>
      <c r="B172" t="s">
        <v>536</v>
      </c>
      <c r="C172" t="s">
        <v>528</v>
      </c>
    </row>
    <row r="173" spans="1:3" x14ac:dyDescent="0.5">
      <c r="A173" t="s">
        <v>250</v>
      </c>
      <c r="B173" t="s">
        <v>537</v>
      </c>
      <c r="C173" t="s">
        <v>528</v>
      </c>
    </row>
    <row r="174" spans="1:3" x14ac:dyDescent="0.5">
      <c r="A174" t="s">
        <v>250</v>
      </c>
      <c r="B174" t="s">
        <v>538</v>
      </c>
      <c r="C174" t="s">
        <v>528</v>
      </c>
    </row>
    <row r="175" spans="1:3" x14ac:dyDescent="0.5">
      <c r="A175" t="s">
        <v>250</v>
      </c>
      <c r="B175" t="s">
        <v>539</v>
      </c>
      <c r="C175" t="s">
        <v>528</v>
      </c>
    </row>
    <row r="176" spans="1:3" x14ac:dyDescent="0.5">
      <c r="A176" t="s">
        <v>250</v>
      </c>
      <c r="B176" t="s">
        <v>540</v>
      </c>
      <c r="C176" t="s">
        <v>523</v>
      </c>
    </row>
    <row r="177" spans="1:3" x14ac:dyDescent="0.5">
      <c r="A177" t="s">
        <v>254</v>
      </c>
      <c r="B177" t="s">
        <v>533</v>
      </c>
      <c r="C177" s="82" t="s">
        <v>526</v>
      </c>
    </row>
    <row r="178" spans="1:3" x14ac:dyDescent="0.5">
      <c r="A178" t="s">
        <v>254</v>
      </c>
      <c r="B178" t="s">
        <v>532</v>
      </c>
      <c r="C178" s="81" t="s">
        <v>526</v>
      </c>
    </row>
    <row r="179" spans="1:3" x14ac:dyDescent="0.5">
      <c r="A179" t="s">
        <v>254</v>
      </c>
      <c r="B179" t="s">
        <v>534</v>
      </c>
      <c r="C179" s="82" t="s">
        <v>528</v>
      </c>
    </row>
    <row r="180" spans="1:3" x14ac:dyDescent="0.5">
      <c r="A180" t="s">
        <v>254</v>
      </c>
      <c r="B180" t="s">
        <v>536</v>
      </c>
      <c r="C180" s="82" t="s">
        <v>526</v>
      </c>
    </row>
    <row r="181" spans="1:3" x14ac:dyDescent="0.5">
      <c r="A181" t="s">
        <v>254</v>
      </c>
      <c r="B181" t="s">
        <v>537</v>
      </c>
      <c r="C181" s="81" t="s">
        <v>523</v>
      </c>
    </row>
    <row r="182" spans="1:3" x14ac:dyDescent="0.5">
      <c r="A182" t="s">
        <v>254</v>
      </c>
      <c r="B182" t="s">
        <v>538</v>
      </c>
      <c r="C182" s="82" t="s">
        <v>535</v>
      </c>
    </row>
    <row r="183" spans="1:3" x14ac:dyDescent="0.5">
      <c r="A183" t="s">
        <v>254</v>
      </c>
      <c r="B183" t="s">
        <v>539</v>
      </c>
      <c r="C183" s="82" t="s">
        <v>535</v>
      </c>
    </row>
    <row r="184" spans="1:3" x14ac:dyDescent="0.5">
      <c r="A184" t="s">
        <v>254</v>
      </c>
      <c r="B184" t="s">
        <v>540</v>
      </c>
      <c r="C184" s="82" t="s">
        <v>523</v>
      </c>
    </row>
    <row r="185" spans="1:3" x14ac:dyDescent="0.5">
      <c r="A185" t="s">
        <v>376</v>
      </c>
      <c r="B185" t="s">
        <v>532</v>
      </c>
      <c r="C185" t="s">
        <v>523</v>
      </c>
    </row>
    <row r="186" spans="1:3" x14ac:dyDescent="0.5">
      <c r="A186" t="s">
        <v>376</v>
      </c>
      <c r="B186" t="s">
        <v>533</v>
      </c>
      <c r="C186" t="s">
        <v>528</v>
      </c>
    </row>
    <row r="187" spans="1:3" x14ac:dyDescent="0.5">
      <c r="A187" t="s">
        <v>376</v>
      </c>
      <c r="B187" t="s">
        <v>534</v>
      </c>
      <c r="C187" t="s">
        <v>528</v>
      </c>
    </row>
    <row r="188" spans="1:3" x14ac:dyDescent="0.5">
      <c r="A188" t="s">
        <v>376</v>
      </c>
      <c r="B188" t="s">
        <v>536</v>
      </c>
      <c r="C188" t="s">
        <v>528</v>
      </c>
    </row>
    <row r="189" spans="1:3" x14ac:dyDescent="0.5">
      <c r="A189" t="s">
        <v>376</v>
      </c>
      <c r="B189" t="s">
        <v>537</v>
      </c>
      <c r="C189" t="s">
        <v>528</v>
      </c>
    </row>
    <row r="190" spans="1:3" x14ac:dyDescent="0.5">
      <c r="A190" t="s">
        <v>376</v>
      </c>
      <c r="B190" t="s">
        <v>538</v>
      </c>
      <c r="C190" t="s">
        <v>528</v>
      </c>
    </row>
    <row r="191" spans="1:3" x14ac:dyDescent="0.5">
      <c r="A191" t="s">
        <v>376</v>
      </c>
      <c r="B191" t="s">
        <v>539</v>
      </c>
      <c r="C191" t="s">
        <v>523</v>
      </c>
    </row>
    <row r="192" spans="1:3" x14ac:dyDescent="0.5">
      <c r="A192" t="s">
        <v>376</v>
      </c>
      <c r="B192" t="s">
        <v>540</v>
      </c>
      <c r="C192" t="s">
        <v>526</v>
      </c>
    </row>
    <row r="193" spans="1:3" x14ac:dyDescent="0.5">
      <c r="A193" t="s">
        <v>388</v>
      </c>
      <c r="B193" t="s">
        <v>532</v>
      </c>
      <c r="C193" t="s">
        <v>523</v>
      </c>
    </row>
    <row r="194" spans="1:3" x14ac:dyDescent="0.5">
      <c r="A194" t="s">
        <v>388</v>
      </c>
      <c r="B194" t="s">
        <v>533</v>
      </c>
      <c r="C194" t="s">
        <v>523</v>
      </c>
    </row>
    <row r="195" spans="1:3" x14ac:dyDescent="0.5">
      <c r="A195" t="s">
        <v>388</v>
      </c>
      <c r="B195" t="s">
        <v>534</v>
      </c>
      <c r="C195" t="s">
        <v>523</v>
      </c>
    </row>
    <row r="196" spans="1:3" x14ac:dyDescent="0.5">
      <c r="A196" t="s">
        <v>388</v>
      </c>
      <c r="B196" t="s">
        <v>536</v>
      </c>
      <c r="C196" t="s">
        <v>523</v>
      </c>
    </row>
    <row r="197" spans="1:3" x14ac:dyDescent="0.5">
      <c r="A197" t="s">
        <v>388</v>
      </c>
      <c r="B197" t="s">
        <v>537</v>
      </c>
      <c r="C197" t="s">
        <v>523</v>
      </c>
    </row>
    <row r="198" spans="1:3" x14ac:dyDescent="0.5">
      <c r="A198" t="s">
        <v>388</v>
      </c>
      <c r="B198" t="s">
        <v>538</v>
      </c>
      <c r="C198" t="s">
        <v>523</v>
      </c>
    </row>
    <row r="199" spans="1:3" x14ac:dyDescent="0.5">
      <c r="A199" t="s">
        <v>388</v>
      </c>
      <c r="B199" t="s">
        <v>539</v>
      </c>
      <c r="C199" t="s">
        <v>526</v>
      </c>
    </row>
    <row r="200" spans="1:3" x14ac:dyDescent="0.5">
      <c r="A200" t="s">
        <v>388</v>
      </c>
      <c r="B200" t="s">
        <v>540</v>
      </c>
      <c r="C200" t="s">
        <v>526</v>
      </c>
    </row>
    <row r="201" spans="1:3" x14ac:dyDescent="0.5">
      <c r="A201" t="s">
        <v>404</v>
      </c>
      <c r="B201" t="s">
        <v>532</v>
      </c>
      <c r="C201" t="s">
        <v>523</v>
      </c>
    </row>
    <row r="202" spans="1:3" x14ac:dyDescent="0.5">
      <c r="A202" t="s">
        <v>404</v>
      </c>
      <c r="B202" t="s">
        <v>533</v>
      </c>
      <c r="C202" t="s">
        <v>523</v>
      </c>
    </row>
    <row r="203" spans="1:3" x14ac:dyDescent="0.5">
      <c r="A203" t="s">
        <v>404</v>
      </c>
      <c r="B203" t="s">
        <v>534</v>
      </c>
      <c r="C203" t="s">
        <v>523</v>
      </c>
    </row>
    <row r="204" spans="1:3" x14ac:dyDescent="0.5">
      <c r="A204" t="s">
        <v>404</v>
      </c>
      <c r="B204" t="s">
        <v>536</v>
      </c>
      <c r="C204" t="s">
        <v>523</v>
      </c>
    </row>
    <row r="205" spans="1:3" x14ac:dyDescent="0.5">
      <c r="A205" t="s">
        <v>404</v>
      </c>
      <c r="B205" t="s">
        <v>538</v>
      </c>
      <c r="C205" t="s">
        <v>528</v>
      </c>
    </row>
    <row r="206" spans="1:3" x14ac:dyDescent="0.5">
      <c r="A206" t="s">
        <v>404</v>
      </c>
      <c r="B206" t="s">
        <v>537</v>
      </c>
      <c r="C206" t="s">
        <v>523</v>
      </c>
    </row>
    <row r="207" spans="1:3" x14ac:dyDescent="0.5">
      <c r="A207" t="s">
        <v>404</v>
      </c>
      <c r="B207" t="s">
        <v>539</v>
      </c>
      <c r="C207" t="s">
        <v>528</v>
      </c>
    </row>
    <row r="208" spans="1:3" x14ac:dyDescent="0.5">
      <c r="A208" t="s">
        <v>404</v>
      </c>
      <c r="B208" t="s">
        <v>540</v>
      </c>
      <c r="C208" t="s">
        <v>526</v>
      </c>
    </row>
    <row r="209" spans="1:3" x14ac:dyDescent="0.5">
      <c r="A209" t="s">
        <v>408</v>
      </c>
      <c r="B209" t="s">
        <v>534</v>
      </c>
      <c r="C209" s="82" t="s">
        <v>526</v>
      </c>
    </row>
    <row r="210" spans="1:3" x14ac:dyDescent="0.5">
      <c r="A210" t="s">
        <v>408</v>
      </c>
      <c r="B210" t="s">
        <v>536</v>
      </c>
      <c r="C210" s="82" t="s">
        <v>526</v>
      </c>
    </row>
    <row r="211" spans="1:3" x14ac:dyDescent="0.5">
      <c r="A211" t="s">
        <v>408</v>
      </c>
      <c r="B211" t="s">
        <v>537</v>
      </c>
      <c r="C211" s="82" t="s">
        <v>526</v>
      </c>
    </row>
    <row r="212" spans="1:3" x14ac:dyDescent="0.5">
      <c r="A212" t="s">
        <v>408</v>
      </c>
      <c r="B212" t="s">
        <v>538</v>
      </c>
      <c r="C212" s="82" t="s">
        <v>526</v>
      </c>
    </row>
    <row r="213" spans="1:3" x14ac:dyDescent="0.5">
      <c r="A213" t="s">
        <v>408</v>
      </c>
      <c r="B213" t="s">
        <v>539</v>
      </c>
      <c r="C213" s="82" t="s">
        <v>526</v>
      </c>
    </row>
    <row r="214" spans="1:3" x14ac:dyDescent="0.5">
      <c r="A214" t="s">
        <v>408</v>
      </c>
      <c r="B214" t="s">
        <v>540</v>
      </c>
      <c r="C214" s="82" t="s">
        <v>523</v>
      </c>
    </row>
    <row r="215" spans="1:3" x14ac:dyDescent="0.5">
      <c r="A215" t="s">
        <v>408</v>
      </c>
      <c r="B215" t="s">
        <v>532</v>
      </c>
      <c r="C215" s="82" t="s">
        <v>528</v>
      </c>
    </row>
    <row r="216" spans="1:3" x14ac:dyDescent="0.5">
      <c r="A216" t="s">
        <v>408</v>
      </c>
      <c r="B216" t="s">
        <v>533</v>
      </c>
      <c r="C216" s="82" t="s">
        <v>526</v>
      </c>
    </row>
    <row r="217" spans="1:3" x14ac:dyDescent="0.5">
      <c r="A217" t="s">
        <v>426</v>
      </c>
      <c r="B217" t="s">
        <v>534</v>
      </c>
      <c r="C217" t="s">
        <v>526</v>
      </c>
    </row>
    <row r="218" spans="1:3" x14ac:dyDescent="0.5">
      <c r="A218" t="s">
        <v>426</v>
      </c>
      <c r="B218" t="s">
        <v>536</v>
      </c>
      <c r="C218" t="s">
        <v>526</v>
      </c>
    </row>
    <row r="219" spans="1:3" x14ac:dyDescent="0.5">
      <c r="A219" t="s">
        <v>426</v>
      </c>
      <c r="B219" t="s">
        <v>537</v>
      </c>
      <c r="C219" t="s">
        <v>526</v>
      </c>
    </row>
    <row r="220" spans="1:3" x14ac:dyDescent="0.5">
      <c r="A220" t="s">
        <v>426</v>
      </c>
      <c r="B220" t="s">
        <v>538</v>
      </c>
      <c r="C220" t="s">
        <v>526</v>
      </c>
    </row>
    <row r="221" spans="1:3" x14ac:dyDescent="0.5">
      <c r="A221" t="s">
        <v>426</v>
      </c>
      <c r="B221" t="s">
        <v>539</v>
      </c>
      <c r="C221" t="s">
        <v>526</v>
      </c>
    </row>
    <row r="222" spans="1:3" x14ac:dyDescent="0.5">
      <c r="A222" t="s">
        <v>426</v>
      </c>
      <c r="B222" t="s">
        <v>532</v>
      </c>
      <c r="C222" t="s">
        <v>526</v>
      </c>
    </row>
    <row r="223" spans="1:3" x14ac:dyDescent="0.5">
      <c r="A223" t="s">
        <v>426</v>
      </c>
      <c r="B223" t="s">
        <v>533</v>
      </c>
      <c r="C223" t="s">
        <v>526</v>
      </c>
    </row>
    <row r="224" spans="1:3" x14ac:dyDescent="0.5">
      <c r="A224" t="s">
        <v>426</v>
      </c>
      <c r="B224" t="s">
        <v>540</v>
      </c>
      <c r="C224" t="s">
        <v>523</v>
      </c>
    </row>
    <row r="225" spans="1:3" x14ac:dyDescent="0.5">
      <c r="A225" t="s">
        <v>447</v>
      </c>
      <c r="B225" t="s">
        <v>534</v>
      </c>
      <c r="C225" s="82" t="s">
        <v>526</v>
      </c>
    </row>
    <row r="226" spans="1:3" x14ac:dyDescent="0.5">
      <c r="A226" t="s">
        <v>447</v>
      </c>
      <c r="B226" t="s">
        <v>536</v>
      </c>
      <c r="C226" s="82" t="s">
        <v>526</v>
      </c>
    </row>
    <row r="227" spans="1:3" x14ac:dyDescent="0.5">
      <c r="A227" t="s">
        <v>447</v>
      </c>
      <c r="B227" t="s">
        <v>537</v>
      </c>
      <c r="C227" s="82" t="s">
        <v>526</v>
      </c>
    </row>
    <row r="228" spans="1:3" x14ac:dyDescent="0.5">
      <c r="A228" t="s">
        <v>447</v>
      </c>
      <c r="B228" t="s">
        <v>538</v>
      </c>
      <c r="C228" s="82" t="s">
        <v>535</v>
      </c>
    </row>
    <row r="229" spans="1:3" x14ac:dyDescent="0.5">
      <c r="A229" t="s">
        <v>447</v>
      </c>
      <c r="B229" t="s">
        <v>539</v>
      </c>
      <c r="C229" s="82" t="s">
        <v>526</v>
      </c>
    </row>
    <row r="230" spans="1:3" x14ac:dyDescent="0.5">
      <c r="A230" t="s">
        <v>447</v>
      </c>
      <c r="B230" t="s">
        <v>532</v>
      </c>
      <c r="C230" s="82" t="s">
        <v>526</v>
      </c>
    </row>
    <row r="231" spans="1:3" x14ac:dyDescent="0.5">
      <c r="A231" t="s">
        <v>447</v>
      </c>
      <c r="B231" t="s">
        <v>533</v>
      </c>
      <c r="C231" s="82" t="s">
        <v>526</v>
      </c>
    </row>
    <row r="232" spans="1:3" x14ac:dyDescent="0.5">
      <c r="A232" t="s">
        <v>447</v>
      </c>
      <c r="B232" t="s">
        <v>540</v>
      </c>
      <c r="C232" s="82" t="s">
        <v>523</v>
      </c>
    </row>
    <row r="233" spans="1:3" x14ac:dyDescent="0.5">
      <c r="A233" t="s">
        <v>484</v>
      </c>
      <c r="B233" t="s">
        <v>532</v>
      </c>
      <c r="C233" s="82" t="s">
        <v>523</v>
      </c>
    </row>
    <row r="234" spans="1:3" x14ac:dyDescent="0.5">
      <c r="A234" t="s">
        <v>484</v>
      </c>
      <c r="B234" t="s">
        <v>533</v>
      </c>
      <c r="C234" s="82" t="s">
        <v>523</v>
      </c>
    </row>
    <row r="235" spans="1:3" x14ac:dyDescent="0.5">
      <c r="A235" t="s">
        <v>484</v>
      </c>
      <c r="B235" t="s">
        <v>534</v>
      </c>
      <c r="C235" s="82" t="s">
        <v>523</v>
      </c>
    </row>
    <row r="236" spans="1:3" x14ac:dyDescent="0.5">
      <c r="A236" t="s">
        <v>484</v>
      </c>
      <c r="B236" t="s">
        <v>536</v>
      </c>
      <c r="C236" s="82" t="s">
        <v>523</v>
      </c>
    </row>
    <row r="237" spans="1:3" x14ac:dyDescent="0.5">
      <c r="A237" t="s">
        <v>484</v>
      </c>
      <c r="B237" t="s">
        <v>538</v>
      </c>
      <c r="C237" s="82" t="s">
        <v>523</v>
      </c>
    </row>
    <row r="238" spans="1:3" x14ac:dyDescent="0.5">
      <c r="A238" t="s">
        <v>484</v>
      </c>
      <c r="B238" t="s">
        <v>539</v>
      </c>
      <c r="C238" s="82" t="s">
        <v>523</v>
      </c>
    </row>
    <row r="239" spans="1:3" x14ac:dyDescent="0.5">
      <c r="A239" t="s">
        <v>484</v>
      </c>
      <c r="B239" t="s">
        <v>537</v>
      </c>
      <c r="C239" s="81" t="s">
        <v>523</v>
      </c>
    </row>
    <row r="240" spans="1:3" x14ac:dyDescent="0.5">
      <c r="A240" t="s">
        <v>484</v>
      </c>
      <c r="B240" t="s">
        <v>540</v>
      </c>
      <c r="C240" s="82" t="s">
        <v>523</v>
      </c>
    </row>
    <row r="241" spans="1:3" x14ac:dyDescent="0.5">
      <c r="A241" t="s">
        <v>488</v>
      </c>
      <c r="B241" t="s">
        <v>534</v>
      </c>
      <c r="C241" t="s">
        <v>528</v>
      </c>
    </row>
    <row r="242" spans="1:3" x14ac:dyDescent="0.5">
      <c r="A242" t="s">
        <v>488</v>
      </c>
      <c r="B242" t="s">
        <v>536</v>
      </c>
      <c r="C242" t="s">
        <v>526</v>
      </c>
    </row>
    <row r="243" spans="1:3" x14ac:dyDescent="0.5">
      <c r="A243" t="s">
        <v>488</v>
      </c>
      <c r="B243" t="s">
        <v>537</v>
      </c>
      <c r="C243" t="s">
        <v>535</v>
      </c>
    </row>
    <row r="244" spans="1:3" x14ac:dyDescent="0.5">
      <c r="A244" t="s">
        <v>488</v>
      </c>
      <c r="B244" t="s">
        <v>538</v>
      </c>
      <c r="C244" t="s">
        <v>523</v>
      </c>
    </row>
    <row r="245" spans="1:3" x14ac:dyDescent="0.5">
      <c r="A245" t="s">
        <v>488</v>
      </c>
      <c r="B245" t="s">
        <v>539</v>
      </c>
      <c r="C245" t="s">
        <v>528</v>
      </c>
    </row>
    <row r="246" spans="1:3" x14ac:dyDescent="0.5">
      <c r="A246" t="s">
        <v>488</v>
      </c>
      <c r="B246" t="s">
        <v>532</v>
      </c>
      <c r="C246" t="s">
        <v>526</v>
      </c>
    </row>
    <row r="247" spans="1:3" x14ac:dyDescent="0.5">
      <c r="A247" t="s">
        <v>488</v>
      </c>
      <c r="B247" t="s">
        <v>533</v>
      </c>
      <c r="C247" t="s">
        <v>528</v>
      </c>
    </row>
    <row r="248" spans="1:3" x14ac:dyDescent="0.5">
      <c r="A248" t="s">
        <v>488</v>
      </c>
      <c r="B248" t="s">
        <v>540</v>
      </c>
      <c r="C248" t="s">
        <v>523</v>
      </c>
    </row>
  </sheetData>
  <phoneticPr fontId="3" type="noConversion"/>
  <conditionalFormatting sqref="C2:C248">
    <cfRule type="containsBlanks" dxfId="10" priority="1">
      <formula>LEN(TRIM(C2))=0</formula>
    </cfRule>
  </conditionalFormatting>
  <dataValidations count="1">
    <dataValidation type="list" allowBlank="1" showInputMessage="1" showErrorMessage="1" sqref="C2:C248" xr:uid="{B95D29BC-F2B0-4F0C-B785-769BCFAE7DE2}">
      <formula1>"High, Medium, Low, Not Relevant"</formula1>
    </dataValidation>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253A-D521-4FA1-B013-39FBC82F7876}">
  <dimension ref="A1:G249"/>
  <sheetViews>
    <sheetView workbookViewId="0">
      <selection activeCell="A50" sqref="A50"/>
    </sheetView>
  </sheetViews>
  <sheetFormatPr defaultRowHeight="14.35" x14ac:dyDescent="0.5"/>
  <cols>
    <col min="1" max="1" width="16.87890625" customWidth="1"/>
    <col min="2" max="2" width="29.5859375" customWidth="1"/>
    <col min="3" max="3" width="14.5859375" style="79" customWidth="1"/>
  </cols>
  <sheetData>
    <row r="1" spans="1:7" s="8" customFormat="1" ht="29.45" customHeight="1" x14ac:dyDescent="0.5">
      <c r="A1" s="8" t="s">
        <v>1</v>
      </c>
      <c r="B1" s="8" t="s">
        <v>541</v>
      </c>
      <c r="C1" s="80" t="s">
        <v>531</v>
      </c>
      <c r="G1" s="49" t="s">
        <v>531</v>
      </c>
    </row>
    <row r="2" spans="1:7" x14ac:dyDescent="0.5">
      <c r="A2" t="s">
        <v>22</v>
      </c>
      <c r="B2" t="s">
        <v>542</v>
      </c>
      <c r="C2" s="79" t="s">
        <v>543</v>
      </c>
      <c r="E2" s="26"/>
      <c r="G2" s="77" t="s">
        <v>543</v>
      </c>
    </row>
    <row r="3" spans="1:7" x14ac:dyDescent="0.5">
      <c r="A3" t="s">
        <v>22</v>
      </c>
      <c r="B3" t="s">
        <v>545</v>
      </c>
      <c r="C3" s="79" t="s">
        <v>544</v>
      </c>
      <c r="E3" s="7"/>
      <c r="G3" s="78" t="s">
        <v>544</v>
      </c>
    </row>
    <row r="4" spans="1:7" x14ac:dyDescent="0.5">
      <c r="A4" t="s">
        <v>22</v>
      </c>
      <c r="B4" t="s">
        <v>546</v>
      </c>
      <c r="C4" s="79" t="s">
        <v>544</v>
      </c>
      <c r="E4" s="7"/>
      <c r="G4" s="47"/>
    </row>
    <row r="5" spans="1:7" x14ac:dyDescent="0.5">
      <c r="A5" t="s">
        <v>22</v>
      </c>
      <c r="B5" t="s">
        <v>548</v>
      </c>
      <c r="C5" s="79" t="s">
        <v>543</v>
      </c>
      <c r="E5" s="7"/>
      <c r="G5" s="48"/>
    </row>
    <row r="6" spans="1:7" x14ac:dyDescent="0.5">
      <c r="A6" t="s">
        <v>22</v>
      </c>
      <c r="B6" t="s">
        <v>549</v>
      </c>
      <c r="C6" s="79" t="s">
        <v>543</v>
      </c>
      <c r="E6" s="7"/>
    </row>
    <row r="7" spans="1:7" x14ac:dyDescent="0.5">
      <c r="A7" t="s">
        <v>22</v>
      </c>
      <c r="B7" t="s">
        <v>547</v>
      </c>
      <c r="C7" s="79" t="s">
        <v>543</v>
      </c>
      <c r="E7" s="7"/>
    </row>
    <row r="8" spans="1:7" x14ac:dyDescent="0.5">
      <c r="A8" t="s">
        <v>22</v>
      </c>
      <c r="B8" t="s">
        <v>551</v>
      </c>
      <c r="C8" s="79" t="s">
        <v>543</v>
      </c>
      <c r="E8" s="7"/>
    </row>
    <row r="9" spans="1:7" x14ac:dyDescent="0.5">
      <c r="A9" t="s">
        <v>22</v>
      </c>
      <c r="B9" t="s">
        <v>550</v>
      </c>
      <c r="C9" s="79" t="s">
        <v>543</v>
      </c>
      <c r="E9" s="7"/>
    </row>
    <row r="10" spans="1:7" x14ac:dyDescent="0.5">
      <c r="A10" t="s">
        <v>30</v>
      </c>
      <c r="B10" t="s">
        <v>542</v>
      </c>
      <c r="C10" s="79" t="s">
        <v>543</v>
      </c>
      <c r="E10" s="7"/>
    </row>
    <row r="11" spans="1:7" x14ac:dyDescent="0.5">
      <c r="A11" t="s">
        <v>30</v>
      </c>
      <c r="B11" t="s">
        <v>545</v>
      </c>
      <c r="C11" s="79" t="s">
        <v>544</v>
      </c>
      <c r="E11" s="7"/>
    </row>
    <row r="12" spans="1:7" x14ac:dyDescent="0.5">
      <c r="A12" t="s">
        <v>30</v>
      </c>
      <c r="B12" t="s">
        <v>546</v>
      </c>
      <c r="C12" s="79" t="s">
        <v>544</v>
      </c>
      <c r="E12" s="7"/>
    </row>
    <row r="13" spans="1:7" x14ac:dyDescent="0.5">
      <c r="A13" t="s">
        <v>30</v>
      </c>
      <c r="B13" t="s">
        <v>548</v>
      </c>
      <c r="C13" s="79" t="s">
        <v>543</v>
      </c>
      <c r="E13" s="7"/>
    </row>
    <row r="14" spans="1:7" x14ac:dyDescent="0.5">
      <c r="A14" t="s">
        <v>30</v>
      </c>
      <c r="B14" t="s">
        <v>549</v>
      </c>
      <c r="C14" s="79" t="s">
        <v>543</v>
      </c>
      <c r="E14" s="7"/>
    </row>
    <row r="15" spans="1:7" x14ac:dyDescent="0.5">
      <c r="A15" t="s">
        <v>30</v>
      </c>
      <c r="B15" t="s">
        <v>547</v>
      </c>
      <c r="C15" s="79" t="s">
        <v>543</v>
      </c>
      <c r="E15" s="7"/>
    </row>
    <row r="16" spans="1:7" x14ac:dyDescent="0.5">
      <c r="A16" t="s">
        <v>30</v>
      </c>
      <c r="B16" t="s">
        <v>551</v>
      </c>
      <c r="C16" s="79" t="s">
        <v>543</v>
      </c>
      <c r="E16" s="7"/>
    </row>
    <row r="17" spans="1:5" x14ac:dyDescent="0.5">
      <c r="A17" t="s">
        <v>30</v>
      </c>
      <c r="B17" t="s">
        <v>550</v>
      </c>
      <c r="C17" s="79" t="s">
        <v>543</v>
      </c>
      <c r="E17" s="7"/>
    </row>
    <row r="18" spans="1:5" x14ac:dyDescent="0.5">
      <c r="A18" t="s">
        <v>35</v>
      </c>
      <c r="B18" t="s">
        <v>542</v>
      </c>
      <c r="C18" s="79" t="s">
        <v>543</v>
      </c>
      <c r="E18" s="7"/>
    </row>
    <row r="19" spans="1:5" x14ac:dyDescent="0.5">
      <c r="A19" t="s">
        <v>35</v>
      </c>
      <c r="B19" t="s">
        <v>546</v>
      </c>
      <c r="C19" s="79" t="s">
        <v>543</v>
      </c>
      <c r="E19" s="7"/>
    </row>
    <row r="20" spans="1:5" x14ac:dyDescent="0.5">
      <c r="A20" t="s">
        <v>35</v>
      </c>
      <c r="B20" t="s">
        <v>548</v>
      </c>
      <c r="C20" s="79" t="s">
        <v>543</v>
      </c>
      <c r="E20" s="7"/>
    </row>
    <row r="21" spans="1:5" x14ac:dyDescent="0.5">
      <c r="A21" t="s">
        <v>35</v>
      </c>
      <c r="B21" t="s">
        <v>549</v>
      </c>
      <c r="C21" s="79" t="s">
        <v>543</v>
      </c>
    </row>
    <row r="22" spans="1:5" x14ac:dyDescent="0.5">
      <c r="A22" t="s">
        <v>35</v>
      </c>
      <c r="B22" t="s">
        <v>547</v>
      </c>
      <c r="C22" s="79" t="s">
        <v>543</v>
      </c>
    </row>
    <row r="23" spans="1:5" x14ac:dyDescent="0.5">
      <c r="A23" t="s">
        <v>35</v>
      </c>
      <c r="B23" t="s">
        <v>545</v>
      </c>
      <c r="C23" s="79" t="s">
        <v>543</v>
      </c>
    </row>
    <row r="24" spans="1:5" x14ac:dyDescent="0.5">
      <c r="A24" t="s">
        <v>35</v>
      </c>
      <c r="B24" t="s">
        <v>551</v>
      </c>
      <c r="C24" s="79" t="s">
        <v>543</v>
      </c>
    </row>
    <row r="25" spans="1:5" x14ac:dyDescent="0.5">
      <c r="A25" t="s">
        <v>35</v>
      </c>
      <c r="B25" t="s">
        <v>550</v>
      </c>
      <c r="C25" s="79" t="s">
        <v>543</v>
      </c>
    </row>
    <row r="26" spans="1:5" x14ac:dyDescent="0.5">
      <c r="A26" t="s">
        <v>38</v>
      </c>
      <c r="B26" t="s">
        <v>542</v>
      </c>
      <c r="C26" s="84" t="s">
        <v>543</v>
      </c>
    </row>
    <row r="27" spans="1:5" x14ac:dyDescent="0.5">
      <c r="A27" t="s">
        <v>38</v>
      </c>
      <c r="B27" t="s">
        <v>547</v>
      </c>
      <c r="C27" s="83" t="s">
        <v>543</v>
      </c>
    </row>
    <row r="28" spans="1:5" x14ac:dyDescent="0.5">
      <c r="A28" t="s">
        <v>38</v>
      </c>
      <c r="B28" t="s">
        <v>546</v>
      </c>
      <c r="C28" s="84" t="s">
        <v>543</v>
      </c>
    </row>
    <row r="29" spans="1:5" x14ac:dyDescent="0.5">
      <c r="A29" t="s">
        <v>38</v>
      </c>
      <c r="B29" t="s">
        <v>548</v>
      </c>
      <c r="C29" s="84" t="s">
        <v>543</v>
      </c>
    </row>
    <row r="30" spans="1:5" x14ac:dyDescent="0.5">
      <c r="A30" t="s">
        <v>38</v>
      </c>
      <c r="B30" t="s">
        <v>549</v>
      </c>
      <c r="C30" s="84" t="s">
        <v>543</v>
      </c>
    </row>
    <row r="31" spans="1:5" x14ac:dyDescent="0.5">
      <c r="A31" t="s">
        <v>38</v>
      </c>
      <c r="B31" t="s">
        <v>545</v>
      </c>
      <c r="C31" s="84" t="s">
        <v>543</v>
      </c>
    </row>
    <row r="32" spans="1:5" x14ac:dyDescent="0.5">
      <c r="A32" t="s">
        <v>38</v>
      </c>
      <c r="B32" t="s">
        <v>551</v>
      </c>
      <c r="C32" s="84" t="s">
        <v>543</v>
      </c>
    </row>
    <row r="33" spans="1:3" x14ac:dyDescent="0.5">
      <c r="A33" t="s">
        <v>38</v>
      </c>
      <c r="B33" t="s">
        <v>550</v>
      </c>
      <c r="C33" s="84" t="s">
        <v>543</v>
      </c>
    </row>
    <row r="34" spans="1:3" x14ac:dyDescent="0.5">
      <c r="A34" s="1" t="s">
        <v>42</v>
      </c>
      <c r="B34" t="s">
        <v>542</v>
      </c>
      <c r="C34" s="84" t="s">
        <v>543</v>
      </c>
    </row>
    <row r="35" spans="1:3" x14ac:dyDescent="0.5">
      <c r="A35" s="1" t="s">
        <v>42</v>
      </c>
      <c r="B35" t="s">
        <v>546</v>
      </c>
      <c r="C35" s="84" t="s">
        <v>543</v>
      </c>
    </row>
    <row r="36" spans="1:3" x14ac:dyDescent="0.5">
      <c r="A36" s="1" t="s">
        <v>42</v>
      </c>
      <c r="B36" t="s">
        <v>548</v>
      </c>
      <c r="C36" s="84" t="s">
        <v>543</v>
      </c>
    </row>
    <row r="37" spans="1:3" x14ac:dyDescent="0.5">
      <c r="A37" s="1" t="s">
        <v>42</v>
      </c>
      <c r="B37" t="s">
        <v>549</v>
      </c>
      <c r="C37" s="84" t="s">
        <v>543</v>
      </c>
    </row>
    <row r="38" spans="1:3" x14ac:dyDescent="0.5">
      <c r="A38" s="1" t="s">
        <v>42</v>
      </c>
      <c r="B38" t="s">
        <v>547</v>
      </c>
      <c r="C38" s="84" t="s">
        <v>543</v>
      </c>
    </row>
    <row r="39" spans="1:3" x14ac:dyDescent="0.5">
      <c r="A39" s="1" t="s">
        <v>42</v>
      </c>
      <c r="B39" t="s">
        <v>545</v>
      </c>
      <c r="C39" s="84" t="s">
        <v>543</v>
      </c>
    </row>
    <row r="40" spans="1:3" x14ac:dyDescent="0.5">
      <c r="A40" s="1" t="s">
        <v>42</v>
      </c>
      <c r="B40" t="s">
        <v>551</v>
      </c>
      <c r="C40" s="84" t="s">
        <v>543</v>
      </c>
    </row>
    <row r="41" spans="1:3" x14ac:dyDescent="0.5">
      <c r="A41" s="1" t="s">
        <v>42</v>
      </c>
      <c r="B41" t="s">
        <v>550</v>
      </c>
      <c r="C41" s="84" t="s">
        <v>543</v>
      </c>
    </row>
    <row r="42" spans="1:3" x14ac:dyDescent="0.5">
      <c r="A42" t="s">
        <v>46</v>
      </c>
      <c r="B42" t="s">
        <v>550</v>
      </c>
      <c r="C42" s="79" t="s">
        <v>543</v>
      </c>
    </row>
    <row r="43" spans="1:3" x14ac:dyDescent="0.5">
      <c r="A43" t="s">
        <v>47</v>
      </c>
      <c r="B43" t="s">
        <v>542</v>
      </c>
      <c r="C43" s="79" t="s">
        <v>543</v>
      </c>
    </row>
    <row r="44" spans="1:3" x14ac:dyDescent="0.5">
      <c r="A44" t="s">
        <v>47</v>
      </c>
      <c r="B44" t="s">
        <v>546</v>
      </c>
      <c r="C44" s="79" t="s">
        <v>543</v>
      </c>
    </row>
    <row r="45" spans="1:3" x14ac:dyDescent="0.5">
      <c r="A45" t="s">
        <v>47</v>
      </c>
      <c r="B45" t="s">
        <v>548</v>
      </c>
      <c r="C45" s="79" t="s">
        <v>543</v>
      </c>
    </row>
    <row r="46" spans="1:3" x14ac:dyDescent="0.5">
      <c r="A46" t="s">
        <v>47</v>
      </c>
      <c r="B46" t="s">
        <v>549</v>
      </c>
      <c r="C46" s="79" t="s">
        <v>543</v>
      </c>
    </row>
    <row r="47" spans="1:3" x14ac:dyDescent="0.5">
      <c r="A47" t="s">
        <v>47</v>
      </c>
      <c r="B47" t="s">
        <v>547</v>
      </c>
      <c r="C47" s="79" t="s">
        <v>543</v>
      </c>
    </row>
    <row r="48" spans="1:3" x14ac:dyDescent="0.5">
      <c r="A48" t="s">
        <v>47</v>
      </c>
      <c r="B48" t="s">
        <v>545</v>
      </c>
      <c r="C48" s="79" t="s">
        <v>543</v>
      </c>
    </row>
    <row r="49" spans="1:3" x14ac:dyDescent="0.5">
      <c r="A49" t="s">
        <v>47</v>
      </c>
      <c r="B49" t="s">
        <v>551</v>
      </c>
      <c r="C49" s="79" t="s">
        <v>543</v>
      </c>
    </row>
    <row r="50" spans="1:3" x14ac:dyDescent="0.5">
      <c r="A50" t="s">
        <v>47</v>
      </c>
      <c r="B50" t="s">
        <v>550</v>
      </c>
      <c r="C50" s="79" t="s">
        <v>543</v>
      </c>
    </row>
    <row r="51" spans="1:3" x14ac:dyDescent="0.5">
      <c r="A51" t="s">
        <v>51</v>
      </c>
      <c r="B51" t="s">
        <v>546</v>
      </c>
      <c r="C51" s="84" t="s">
        <v>543</v>
      </c>
    </row>
    <row r="52" spans="1:3" x14ac:dyDescent="0.5">
      <c r="A52" t="s">
        <v>51</v>
      </c>
      <c r="B52" t="s">
        <v>549</v>
      </c>
      <c r="C52" s="83" t="s">
        <v>543</v>
      </c>
    </row>
    <row r="53" spans="1:3" x14ac:dyDescent="0.5">
      <c r="A53" t="s">
        <v>51</v>
      </c>
      <c r="B53" t="s">
        <v>550</v>
      </c>
      <c r="C53" s="84" t="s">
        <v>544</v>
      </c>
    </row>
    <row r="54" spans="1:3" x14ac:dyDescent="0.5">
      <c r="A54" t="s">
        <v>51</v>
      </c>
      <c r="B54" t="s">
        <v>542</v>
      </c>
      <c r="C54" s="84" t="s">
        <v>544</v>
      </c>
    </row>
    <row r="55" spans="1:3" x14ac:dyDescent="0.5">
      <c r="A55" t="s">
        <v>51</v>
      </c>
      <c r="B55" t="s">
        <v>548</v>
      </c>
      <c r="C55" s="84" t="s">
        <v>543</v>
      </c>
    </row>
    <row r="56" spans="1:3" x14ac:dyDescent="0.5">
      <c r="A56" t="s">
        <v>51</v>
      </c>
      <c r="B56" t="s">
        <v>547</v>
      </c>
      <c r="C56" s="84" t="s">
        <v>543</v>
      </c>
    </row>
    <row r="57" spans="1:3" x14ac:dyDescent="0.5">
      <c r="A57" t="s">
        <v>51</v>
      </c>
      <c r="B57" t="s">
        <v>545</v>
      </c>
      <c r="C57" s="84" t="s">
        <v>543</v>
      </c>
    </row>
    <row r="58" spans="1:3" x14ac:dyDescent="0.5">
      <c r="A58" t="s">
        <v>51</v>
      </c>
      <c r="B58" t="s">
        <v>551</v>
      </c>
      <c r="C58" s="84" t="s">
        <v>543</v>
      </c>
    </row>
    <row r="59" spans="1:3" x14ac:dyDescent="0.5">
      <c r="A59" s="1" t="s">
        <v>55</v>
      </c>
      <c r="B59" t="s">
        <v>542</v>
      </c>
      <c r="C59" s="84" t="s">
        <v>543</v>
      </c>
    </row>
    <row r="60" spans="1:3" x14ac:dyDescent="0.5">
      <c r="A60" s="1" t="s">
        <v>55</v>
      </c>
      <c r="B60" t="s">
        <v>546</v>
      </c>
      <c r="C60" s="84" t="s">
        <v>543</v>
      </c>
    </row>
    <row r="61" spans="1:3" x14ac:dyDescent="0.5">
      <c r="A61" s="1" t="s">
        <v>55</v>
      </c>
      <c r="B61" t="s">
        <v>548</v>
      </c>
      <c r="C61" s="84" t="s">
        <v>543</v>
      </c>
    </row>
    <row r="62" spans="1:3" x14ac:dyDescent="0.5">
      <c r="A62" s="1" t="s">
        <v>55</v>
      </c>
      <c r="B62" t="s">
        <v>549</v>
      </c>
      <c r="C62" s="84" t="s">
        <v>543</v>
      </c>
    </row>
    <row r="63" spans="1:3" x14ac:dyDescent="0.5">
      <c r="A63" s="1" t="s">
        <v>55</v>
      </c>
      <c r="B63" t="s">
        <v>547</v>
      </c>
      <c r="C63" s="84" t="s">
        <v>543</v>
      </c>
    </row>
    <row r="64" spans="1:3" x14ac:dyDescent="0.5">
      <c r="A64" s="1" t="s">
        <v>55</v>
      </c>
      <c r="B64" t="s">
        <v>545</v>
      </c>
      <c r="C64" s="84" t="s">
        <v>543</v>
      </c>
    </row>
    <row r="65" spans="1:3" x14ac:dyDescent="0.5">
      <c r="A65" s="1" t="s">
        <v>55</v>
      </c>
      <c r="B65" t="s">
        <v>551</v>
      </c>
      <c r="C65" s="84" t="s">
        <v>543</v>
      </c>
    </row>
    <row r="66" spans="1:3" x14ac:dyDescent="0.5">
      <c r="A66" s="1" t="s">
        <v>55</v>
      </c>
      <c r="B66" t="s">
        <v>550</v>
      </c>
      <c r="C66" s="84" t="s">
        <v>543</v>
      </c>
    </row>
    <row r="67" spans="1:3" x14ac:dyDescent="0.5">
      <c r="A67" t="s">
        <v>63</v>
      </c>
      <c r="B67" t="s">
        <v>542</v>
      </c>
      <c r="C67" s="79" t="s">
        <v>543</v>
      </c>
    </row>
    <row r="68" spans="1:3" x14ac:dyDescent="0.5">
      <c r="A68" t="s">
        <v>63</v>
      </c>
      <c r="B68" t="s">
        <v>546</v>
      </c>
      <c r="C68" s="79" t="s">
        <v>543</v>
      </c>
    </row>
    <row r="69" spans="1:3" x14ac:dyDescent="0.5">
      <c r="A69" t="s">
        <v>63</v>
      </c>
      <c r="B69" t="s">
        <v>548</v>
      </c>
      <c r="C69" s="79" t="s">
        <v>543</v>
      </c>
    </row>
    <row r="70" spans="1:3" x14ac:dyDescent="0.5">
      <c r="A70" t="s">
        <v>63</v>
      </c>
      <c r="B70" t="s">
        <v>549</v>
      </c>
      <c r="C70" s="79" t="s">
        <v>543</v>
      </c>
    </row>
    <row r="71" spans="1:3" x14ac:dyDescent="0.5">
      <c r="A71" t="s">
        <v>63</v>
      </c>
      <c r="B71" t="s">
        <v>547</v>
      </c>
      <c r="C71" s="79" t="s">
        <v>543</v>
      </c>
    </row>
    <row r="72" spans="1:3" x14ac:dyDescent="0.5">
      <c r="A72" t="s">
        <v>63</v>
      </c>
      <c r="B72" t="s">
        <v>545</v>
      </c>
      <c r="C72" s="79" t="s">
        <v>543</v>
      </c>
    </row>
    <row r="73" spans="1:3" x14ac:dyDescent="0.5">
      <c r="A73" t="s">
        <v>63</v>
      </c>
      <c r="B73" t="s">
        <v>551</v>
      </c>
      <c r="C73" s="79" t="s">
        <v>543</v>
      </c>
    </row>
    <row r="74" spans="1:3" x14ac:dyDescent="0.5">
      <c r="A74" t="s">
        <v>63</v>
      </c>
      <c r="B74" t="s">
        <v>550</v>
      </c>
      <c r="C74" s="79" t="s">
        <v>543</v>
      </c>
    </row>
    <row r="75" spans="1:3" x14ac:dyDescent="0.5">
      <c r="A75" t="s">
        <v>68</v>
      </c>
      <c r="B75" t="s">
        <v>542</v>
      </c>
      <c r="C75" s="79" t="s">
        <v>543</v>
      </c>
    </row>
    <row r="76" spans="1:3" x14ac:dyDescent="0.5">
      <c r="A76" t="str">
        <f>Standards!B17</f>
        <v>ISO 29481-1</v>
      </c>
      <c r="B76" t="s">
        <v>546</v>
      </c>
      <c r="C76" s="79" t="s">
        <v>543</v>
      </c>
    </row>
    <row r="77" spans="1:3" x14ac:dyDescent="0.5">
      <c r="A77" t="s">
        <v>68</v>
      </c>
      <c r="B77" t="s">
        <v>548</v>
      </c>
      <c r="C77" s="79" t="s">
        <v>543</v>
      </c>
    </row>
    <row r="78" spans="1:3" x14ac:dyDescent="0.5">
      <c r="A78" t="s">
        <v>68</v>
      </c>
      <c r="B78" t="s">
        <v>549</v>
      </c>
      <c r="C78" s="79" t="s">
        <v>543</v>
      </c>
    </row>
    <row r="79" spans="1:3" x14ac:dyDescent="0.5">
      <c r="A79" t="s">
        <v>68</v>
      </c>
      <c r="B79" t="s">
        <v>547</v>
      </c>
      <c r="C79" s="79" t="s">
        <v>543</v>
      </c>
    </row>
    <row r="80" spans="1:3" x14ac:dyDescent="0.5">
      <c r="A80" t="s">
        <v>68</v>
      </c>
      <c r="B80" t="s">
        <v>545</v>
      </c>
      <c r="C80" s="79" t="s">
        <v>543</v>
      </c>
    </row>
    <row r="81" spans="1:3" x14ac:dyDescent="0.5">
      <c r="A81" t="s">
        <v>68</v>
      </c>
      <c r="B81" t="s">
        <v>551</v>
      </c>
      <c r="C81" s="79" t="s">
        <v>543</v>
      </c>
    </row>
    <row r="82" spans="1:3" x14ac:dyDescent="0.5">
      <c r="A82" t="s">
        <v>68</v>
      </c>
      <c r="B82" t="s">
        <v>550</v>
      </c>
      <c r="C82" s="79" t="s">
        <v>543</v>
      </c>
    </row>
    <row r="83" spans="1:3" x14ac:dyDescent="0.5">
      <c r="A83" t="s">
        <v>96</v>
      </c>
      <c r="B83" t="s">
        <v>542</v>
      </c>
      <c r="C83" s="79" t="s">
        <v>543</v>
      </c>
    </row>
    <row r="84" spans="1:3" x14ac:dyDescent="0.5">
      <c r="A84" t="s">
        <v>96</v>
      </c>
      <c r="B84" t="s">
        <v>546</v>
      </c>
      <c r="C84" s="79" t="s">
        <v>543</v>
      </c>
    </row>
    <row r="85" spans="1:3" x14ac:dyDescent="0.5">
      <c r="A85" t="s">
        <v>96</v>
      </c>
      <c r="B85" t="s">
        <v>548</v>
      </c>
      <c r="C85" s="79" t="s">
        <v>543</v>
      </c>
    </row>
    <row r="86" spans="1:3" x14ac:dyDescent="0.5">
      <c r="A86" t="s">
        <v>96</v>
      </c>
      <c r="B86" t="s">
        <v>549</v>
      </c>
      <c r="C86" s="79" t="s">
        <v>543</v>
      </c>
    </row>
    <row r="87" spans="1:3" x14ac:dyDescent="0.5">
      <c r="A87" t="s">
        <v>96</v>
      </c>
      <c r="B87" t="s">
        <v>547</v>
      </c>
      <c r="C87" s="79" t="s">
        <v>543</v>
      </c>
    </row>
    <row r="88" spans="1:3" x14ac:dyDescent="0.5">
      <c r="A88" t="s">
        <v>96</v>
      </c>
      <c r="B88" t="s">
        <v>545</v>
      </c>
      <c r="C88" s="79" t="s">
        <v>543</v>
      </c>
    </row>
    <row r="89" spans="1:3" x14ac:dyDescent="0.5">
      <c r="A89" t="s">
        <v>96</v>
      </c>
      <c r="B89" t="s">
        <v>551</v>
      </c>
      <c r="C89" s="79" t="s">
        <v>543</v>
      </c>
    </row>
    <row r="90" spans="1:3" x14ac:dyDescent="0.5">
      <c r="A90" t="s">
        <v>96</v>
      </c>
      <c r="B90" t="s">
        <v>550</v>
      </c>
      <c r="C90" s="79" t="s">
        <v>543</v>
      </c>
    </row>
    <row r="91" spans="1:3" x14ac:dyDescent="0.5">
      <c r="A91" t="s">
        <v>140</v>
      </c>
      <c r="B91" t="s">
        <v>546</v>
      </c>
      <c r="C91" s="84" t="s">
        <v>543</v>
      </c>
    </row>
    <row r="92" spans="1:3" x14ac:dyDescent="0.5">
      <c r="A92" t="s">
        <v>140</v>
      </c>
      <c r="B92" t="s">
        <v>548</v>
      </c>
      <c r="C92" s="84" t="s">
        <v>543</v>
      </c>
    </row>
    <row r="93" spans="1:3" x14ac:dyDescent="0.5">
      <c r="A93" t="s">
        <v>140</v>
      </c>
      <c r="B93" t="s">
        <v>542</v>
      </c>
      <c r="C93" s="84" t="s">
        <v>544</v>
      </c>
    </row>
    <row r="94" spans="1:3" x14ac:dyDescent="0.5">
      <c r="A94" t="s">
        <v>140</v>
      </c>
      <c r="B94" t="s">
        <v>549</v>
      </c>
      <c r="C94" s="83" t="s">
        <v>543</v>
      </c>
    </row>
    <row r="95" spans="1:3" x14ac:dyDescent="0.5">
      <c r="A95" t="s">
        <v>140</v>
      </c>
      <c r="B95" t="s">
        <v>550</v>
      </c>
      <c r="C95" s="84" t="s">
        <v>544</v>
      </c>
    </row>
    <row r="96" spans="1:3" x14ac:dyDescent="0.5">
      <c r="A96" t="s">
        <v>140</v>
      </c>
      <c r="B96" t="s">
        <v>547</v>
      </c>
      <c r="C96" s="84" t="s">
        <v>543</v>
      </c>
    </row>
    <row r="97" spans="1:3" x14ac:dyDescent="0.5">
      <c r="A97" t="s">
        <v>140</v>
      </c>
      <c r="B97" t="s">
        <v>545</v>
      </c>
      <c r="C97" s="84" t="s">
        <v>543</v>
      </c>
    </row>
    <row r="98" spans="1:3" x14ac:dyDescent="0.5">
      <c r="A98" t="s">
        <v>140</v>
      </c>
      <c r="B98" t="s">
        <v>551</v>
      </c>
      <c r="C98" s="84" t="s">
        <v>543</v>
      </c>
    </row>
    <row r="99" spans="1:3" x14ac:dyDescent="0.5">
      <c r="A99" t="s">
        <v>144</v>
      </c>
      <c r="B99" t="s">
        <v>542</v>
      </c>
      <c r="C99" s="79" t="s">
        <v>543</v>
      </c>
    </row>
    <row r="100" spans="1:3" x14ac:dyDescent="0.5">
      <c r="A100" t="s">
        <v>144</v>
      </c>
      <c r="B100" t="s">
        <v>546</v>
      </c>
      <c r="C100" s="79" t="s">
        <v>543</v>
      </c>
    </row>
    <row r="101" spans="1:3" x14ac:dyDescent="0.5">
      <c r="A101" t="s">
        <v>144</v>
      </c>
      <c r="B101" t="s">
        <v>548</v>
      </c>
      <c r="C101" s="79" t="s">
        <v>543</v>
      </c>
    </row>
    <row r="102" spans="1:3" x14ac:dyDescent="0.5">
      <c r="A102" t="s">
        <v>144</v>
      </c>
      <c r="B102" t="s">
        <v>549</v>
      </c>
      <c r="C102" s="79" t="s">
        <v>543</v>
      </c>
    </row>
    <row r="103" spans="1:3" x14ac:dyDescent="0.5">
      <c r="A103" t="s">
        <v>144</v>
      </c>
      <c r="B103" t="s">
        <v>547</v>
      </c>
      <c r="C103" s="79" t="s">
        <v>543</v>
      </c>
    </row>
    <row r="104" spans="1:3" x14ac:dyDescent="0.5">
      <c r="A104" t="s">
        <v>144</v>
      </c>
      <c r="B104" t="s">
        <v>545</v>
      </c>
      <c r="C104" s="79" t="s">
        <v>543</v>
      </c>
    </row>
    <row r="105" spans="1:3" x14ac:dyDescent="0.5">
      <c r="A105" t="s">
        <v>144</v>
      </c>
      <c r="B105" t="s">
        <v>551</v>
      </c>
      <c r="C105" s="79" t="s">
        <v>543</v>
      </c>
    </row>
    <row r="106" spans="1:3" x14ac:dyDescent="0.5">
      <c r="A106" t="s">
        <v>144</v>
      </c>
      <c r="B106" t="s">
        <v>550</v>
      </c>
      <c r="C106" s="79" t="s">
        <v>543</v>
      </c>
    </row>
    <row r="107" spans="1:3" x14ac:dyDescent="0.5">
      <c r="A107" t="s">
        <v>170</v>
      </c>
      <c r="B107" t="s">
        <v>542</v>
      </c>
      <c r="C107" s="79" t="s">
        <v>543</v>
      </c>
    </row>
    <row r="108" spans="1:3" x14ac:dyDescent="0.5">
      <c r="A108" t="s">
        <v>170</v>
      </c>
      <c r="B108" t="s">
        <v>546</v>
      </c>
      <c r="C108" s="79" t="s">
        <v>543</v>
      </c>
    </row>
    <row r="109" spans="1:3" x14ac:dyDescent="0.5">
      <c r="A109" t="s">
        <v>170</v>
      </c>
      <c r="B109" t="s">
        <v>548</v>
      </c>
      <c r="C109" s="79" t="s">
        <v>543</v>
      </c>
    </row>
    <row r="110" spans="1:3" x14ac:dyDescent="0.5">
      <c r="A110" t="s">
        <v>170</v>
      </c>
      <c r="B110" t="s">
        <v>549</v>
      </c>
      <c r="C110" s="79" t="s">
        <v>543</v>
      </c>
    </row>
    <row r="111" spans="1:3" x14ac:dyDescent="0.5">
      <c r="A111" t="s">
        <v>170</v>
      </c>
      <c r="B111" t="s">
        <v>550</v>
      </c>
      <c r="C111" s="79" t="s">
        <v>544</v>
      </c>
    </row>
    <row r="112" spans="1:3" x14ac:dyDescent="0.5">
      <c r="A112" t="s">
        <v>170</v>
      </c>
      <c r="B112" t="s">
        <v>547</v>
      </c>
      <c r="C112" s="79" t="s">
        <v>543</v>
      </c>
    </row>
    <row r="113" spans="1:3" x14ac:dyDescent="0.5">
      <c r="A113" t="s">
        <v>170</v>
      </c>
      <c r="B113" t="s">
        <v>545</v>
      </c>
      <c r="C113" s="79" t="s">
        <v>543</v>
      </c>
    </row>
    <row r="114" spans="1:3" x14ac:dyDescent="0.5">
      <c r="A114" t="s">
        <v>170</v>
      </c>
      <c r="B114" t="s">
        <v>551</v>
      </c>
      <c r="C114" s="79" t="s">
        <v>543</v>
      </c>
    </row>
    <row r="115" spans="1:3" x14ac:dyDescent="0.5">
      <c r="A115" t="s">
        <v>174</v>
      </c>
      <c r="B115" t="s">
        <v>546</v>
      </c>
      <c r="C115" s="79" t="s">
        <v>543</v>
      </c>
    </row>
    <row r="116" spans="1:3" x14ac:dyDescent="0.5">
      <c r="A116" t="s">
        <v>174</v>
      </c>
      <c r="B116" t="s">
        <v>548</v>
      </c>
      <c r="C116" s="79" t="s">
        <v>543</v>
      </c>
    </row>
    <row r="117" spans="1:3" x14ac:dyDescent="0.5">
      <c r="A117" t="s">
        <v>174</v>
      </c>
      <c r="B117" t="s">
        <v>549</v>
      </c>
      <c r="C117" s="79" t="s">
        <v>544</v>
      </c>
    </row>
    <row r="118" spans="1:3" x14ac:dyDescent="0.5">
      <c r="A118" t="s">
        <v>174</v>
      </c>
      <c r="B118" t="s">
        <v>551</v>
      </c>
      <c r="C118" s="79" t="s">
        <v>544</v>
      </c>
    </row>
    <row r="119" spans="1:3" x14ac:dyDescent="0.5">
      <c r="A119" t="s">
        <v>174</v>
      </c>
      <c r="B119" t="s">
        <v>550</v>
      </c>
      <c r="C119" s="79" t="s">
        <v>544</v>
      </c>
    </row>
    <row r="120" spans="1:3" x14ac:dyDescent="0.5">
      <c r="A120" t="s">
        <v>174</v>
      </c>
      <c r="B120" t="s">
        <v>542</v>
      </c>
      <c r="C120" s="79" t="s">
        <v>544</v>
      </c>
    </row>
    <row r="121" spans="1:3" x14ac:dyDescent="0.5">
      <c r="A121" t="s">
        <v>174</v>
      </c>
      <c r="B121" t="s">
        <v>547</v>
      </c>
      <c r="C121" s="79" t="s">
        <v>543</v>
      </c>
    </row>
    <row r="122" spans="1:3" x14ac:dyDescent="0.5">
      <c r="A122" t="s">
        <v>174</v>
      </c>
      <c r="B122" t="s">
        <v>545</v>
      </c>
      <c r="C122" s="79" t="s">
        <v>543</v>
      </c>
    </row>
    <row r="123" spans="1:3" x14ac:dyDescent="0.5">
      <c r="A123" t="s">
        <v>210</v>
      </c>
      <c r="B123" t="s">
        <v>542</v>
      </c>
      <c r="C123" s="79" t="s">
        <v>543</v>
      </c>
    </row>
    <row r="124" spans="1:3" x14ac:dyDescent="0.5">
      <c r="A124" t="s">
        <v>210</v>
      </c>
      <c r="B124" t="s">
        <v>546</v>
      </c>
      <c r="C124" s="79" t="s">
        <v>543</v>
      </c>
    </row>
    <row r="125" spans="1:3" x14ac:dyDescent="0.5">
      <c r="A125" t="s">
        <v>210</v>
      </c>
      <c r="B125" t="s">
        <v>548</v>
      </c>
      <c r="C125" s="79" t="s">
        <v>543</v>
      </c>
    </row>
    <row r="126" spans="1:3" x14ac:dyDescent="0.5">
      <c r="A126" t="s">
        <v>210</v>
      </c>
      <c r="B126" t="s">
        <v>549</v>
      </c>
      <c r="C126" s="79" t="s">
        <v>543</v>
      </c>
    </row>
    <row r="127" spans="1:3" x14ac:dyDescent="0.5">
      <c r="A127" t="s">
        <v>210</v>
      </c>
      <c r="B127" t="s">
        <v>547</v>
      </c>
      <c r="C127" s="79" t="s">
        <v>543</v>
      </c>
    </row>
    <row r="128" spans="1:3" x14ac:dyDescent="0.5">
      <c r="A128" t="s">
        <v>210</v>
      </c>
      <c r="B128" t="s">
        <v>545</v>
      </c>
      <c r="C128" s="79" t="s">
        <v>543</v>
      </c>
    </row>
    <row r="129" spans="1:3" x14ac:dyDescent="0.5">
      <c r="A129" t="s">
        <v>210</v>
      </c>
      <c r="B129" t="s">
        <v>551</v>
      </c>
      <c r="C129" s="79" t="s">
        <v>543</v>
      </c>
    </row>
    <row r="130" spans="1:3" x14ac:dyDescent="0.5">
      <c r="A130" t="s">
        <v>210</v>
      </c>
      <c r="B130" t="s">
        <v>550</v>
      </c>
      <c r="C130" s="79" t="s">
        <v>543</v>
      </c>
    </row>
    <row r="131" spans="1:3" x14ac:dyDescent="0.5">
      <c r="A131" t="s">
        <v>214</v>
      </c>
      <c r="B131" t="s">
        <v>542</v>
      </c>
      <c r="C131" s="79" t="s">
        <v>543</v>
      </c>
    </row>
    <row r="132" spans="1:3" x14ac:dyDescent="0.5">
      <c r="A132" t="s">
        <v>214</v>
      </c>
      <c r="B132" t="s">
        <v>548</v>
      </c>
      <c r="C132" s="79" t="s">
        <v>543</v>
      </c>
    </row>
    <row r="133" spans="1:3" x14ac:dyDescent="0.5">
      <c r="A133" t="s">
        <v>214</v>
      </c>
      <c r="B133" t="s">
        <v>549</v>
      </c>
      <c r="C133" s="79" t="s">
        <v>543</v>
      </c>
    </row>
    <row r="134" spans="1:3" x14ac:dyDescent="0.5">
      <c r="A134" t="s">
        <v>214</v>
      </c>
      <c r="B134" t="s">
        <v>545</v>
      </c>
      <c r="C134" s="79" t="s">
        <v>544</v>
      </c>
    </row>
    <row r="135" spans="1:3" x14ac:dyDescent="0.5">
      <c r="A135" t="s">
        <v>214</v>
      </c>
      <c r="B135" t="s">
        <v>546</v>
      </c>
      <c r="C135" s="79" t="s">
        <v>544</v>
      </c>
    </row>
    <row r="136" spans="1:3" x14ac:dyDescent="0.5">
      <c r="A136" t="s">
        <v>214</v>
      </c>
      <c r="B136" t="s">
        <v>547</v>
      </c>
      <c r="C136" s="79" t="s">
        <v>543</v>
      </c>
    </row>
    <row r="137" spans="1:3" x14ac:dyDescent="0.5">
      <c r="A137" t="s">
        <v>214</v>
      </c>
      <c r="B137" t="s">
        <v>551</v>
      </c>
      <c r="C137" s="79" t="s">
        <v>543</v>
      </c>
    </row>
    <row r="138" spans="1:3" x14ac:dyDescent="0.5">
      <c r="A138" t="s">
        <v>214</v>
      </c>
      <c r="B138" t="s">
        <v>550</v>
      </c>
      <c r="C138" s="79" t="s">
        <v>543</v>
      </c>
    </row>
    <row r="139" spans="1:3" x14ac:dyDescent="0.5">
      <c r="A139" t="s">
        <v>224</v>
      </c>
      <c r="B139" t="s">
        <v>548</v>
      </c>
      <c r="C139" s="79" t="s">
        <v>544</v>
      </c>
    </row>
    <row r="140" spans="1:3" x14ac:dyDescent="0.5">
      <c r="A140" t="s">
        <v>224</v>
      </c>
      <c r="B140" t="s">
        <v>549</v>
      </c>
      <c r="C140" s="79" t="s">
        <v>544</v>
      </c>
    </row>
    <row r="141" spans="1:3" x14ac:dyDescent="0.5">
      <c r="A141" t="s">
        <v>224</v>
      </c>
      <c r="B141" t="s">
        <v>547</v>
      </c>
      <c r="C141" s="79" t="s">
        <v>544</v>
      </c>
    </row>
    <row r="142" spans="1:3" x14ac:dyDescent="0.5">
      <c r="A142" t="s">
        <v>224</v>
      </c>
      <c r="B142" t="s">
        <v>551</v>
      </c>
      <c r="C142" s="79" t="s">
        <v>544</v>
      </c>
    </row>
    <row r="143" spans="1:3" x14ac:dyDescent="0.5">
      <c r="A143" t="s">
        <v>224</v>
      </c>
      <c r="B143" t="s">
        <v>550</v>
      </c>
      <c r="C143" s="79" t="s">
        <v>544</v>
      </c>
    </row>
    <row r="144" spans="1:3" x14ac:dyDescent="0.5">
      <c r="A144" t="s">
        <v>224</v>
      </c>
      <c r="B144" t="s">
        <v>546</v>
      </c>
      <c r="C144" s="79" t="s">
        <v>544</v>
      </c>
    </row>
    <row r="145" spans="1:3" x14ac:dyDescent="0.5">
      <c r="A145" t="s">
        <v>224</v>
      </c>
      <c r="B145" t="s">
        <v>542</v>
      </c>
      <c r="C145" s="79" t="s">
        <v>544</v>
      </c>
    </row>
    <row r="146" spans="1:3" x14ac:dyDescent="0.5">
      <c r="A146" t="s">
        <v>224</v>
      </c>
      <c r="B146" t="s">
        <v>545</v>
      </c>
      <c r="C146" s="79" t="s">
        <v>543</v>
      </c>
    </row>
    <row r="147" spans="1:3" x14ac:dyDescent="0.5">
      <c r="A147" t="s">
        <v>228</v>
      </c>
      <c r="B147" t="s">
        <v>542</v>
      </c>
      <c r="C147" s="79" t="s">
        <v>543</v>
      </c>
    </row>
    <row r="148" spans="1:3" x14ac:dyDescent="0.5">
      <c r="A148" t="s">
        <v>228</v>
      </c>
      <c r="B148" t="s">
        <v>548</v>
      </c>
      <c r="C148" s="79" t="s">
        <v>543</v>
      </c>
    </row>
    <row r="149" spans="1:3" x14ac:dyDescent="0.5">
      <c r="A149" t="s">
        <v>228</v>
      </c>
      <c r="B149" t="s">
        <v>549</v>
      </c>
      <c r="C149" s="79" t="s">
        <v>543</v>
      </c>
    </row>
    <row r="150" spans="1:3" x14ac:dyDescent="0.5">
      <c r="A150" t="s">
        <v>228</v>
      </c>
      <c r="B150" t="s">
        <v>547</v>
      </c>
      <c r="C150" s="79" t="s">
        <v>543</v>
      </c>
    </row>
    <row r="151" spans="1:3" x14ac:dyDescent="0.5">
      <c r="A151" t="s">
        <v>228</v>
      </c>
      <c r="B151" t="s">
        <v>545</v>
      </c>
      <c r="C151" s="79" t="s">
        <v>543</v>
      </c>
    </row>
    <row r="152" spans="1:3" x14ac:dyDescent="0.5">
      <c r="A152" t="s">
        <v>228</v>
      </c>
      <c r="B152" t="s">
        <v>551</v>
      </c>
      <c r="C152" s="79" t="s">
        <v>543</v>
      </c>
    </row>
    <row r="153" spans="1:3" x14ac:dyDescent="0.5">
      <c r="A153" t="s">
        <v>228</v>
      </c>
      <c r="B153" t="s">
        <v>550</v>
      </c>
      <c r="C153" s="79" t="s">
        <v>543</v>
      </c>
    </row>
    <row r="154" spans="1:3" x14ac:dyDescent="0.5">
      <c r="A154" t="s">
        <v>232</v>
      </c>
      <c r="B154" t="s">
        <v>542</v>
      </c>
      <c r="C154" s="79" t="s">
        <v>543</v>
      </c>
    </row>
    <row r="155" spans="1:3" x14ac:dyDescent="0.5">
      <c r="A155" t="s">
        <v>232</v>
      </c>
      <c r="B155" t="s">
        <v>546</v>
      </c>
      <c r="C155" s="79" t="s">
        <v>543</v>
      </c>
    </row>
    <row r="156" spans="1:3" x14ac:dyDescent="0.5">
      <c r="A156" t="s">
        <v>232</v>
      </c>
      <c r="B156" t="s">
        <v>548</v>
      </c>
      <c r="C156" s="79" t="s">
        <v>543</v>
      </c>
    </row>
    <row r="157" spans="1:3" x14ac:dyDescent="0.5">
      <c r="A157" t="s">
        <v>232</v>
      </c>
      <c r="B157" t="s">
        <v>549</v>
      </c>
      <c r="C157" s="79" t="s">
        <v>543</v>
      </c>
    </row>
    <row r="158" spans="1:3" x14ac:dyDescent="0.5">
      <c r="A158" t="s">
        <v>232</v>
      </c>
      <c r="B158" t="s">
        <v>547</v>
      </c>
      <c r="C158" s="79" t="s">
        <v>543</v>
      </c>
    </row>
    <row r="159" spans="1:3" x14ac:dyDescent="0.5">
      <c r="A159" t="s">
        <v>232</v>
      </c>
      <c r="B159" t="s">
        <v>545</v>
      </c>
      <c r="C159" s="79" t="s">
        <v>543</v>
      </c>
    </row>
    <row r="160" spans="1:3" x14ac:dyDescent="0.5">
      <c r="A160" t="s">
        <v>232</v>
      </c>
      <c r="B160" t="s">
        <v>551</v>
      </c>
      <c r="C160" s="79" t="s">
        <v>543</v>
      </c>
    </row>
    <row r="161" spans="1:3" x14ac:dyDescent="0.5">
      <c r="A161" t="s">
        <v>232</v>
      </c>
      <c r="B161" t="s">
        <v>550</v>
      </c>
      <c r="C161" s="79" t="s">
        <v>543</v>
      </c>
    </row>
    <row r="162" spans="1:3" x14ac:dyDescent="0.5">
      <c r="A162" t="s">
        <v>245</v>
      </c>
      <c r="B162" t="s">
        <v>542</v>
      </c>
      <c r="C162" s="79" t="s">
        <v>543</v>
      </c>
    </row>
    <row r="163" spans="1:3" x14ac:dyDescent="0.5">
      <c r="A163" t="s">
        <v>245</v>
      </c>
      <c r="B163" t="s">
        <v>546</v>
      </c>
      <c r="C163" s="79" t="s">
        <v>543</v>
      </c>
    </row>
    <row r="164" spans="1:3" x14ac:dyDescent="0.5">
      <c r="A164" t="s">
        <v>245</v>
      </c>
      <c r="B164" t="s">
        <v>548</v>
      </c>
      <c r="C164" s="79" t="s">
        <v>543</v>
      </c>
    </row>
    <row r="165" spans="1:3" x14ac:dyDescent="0.5">
      <c r="A165" t="s">
        <v>245</v>
      </c>
      <c r="B165" t="s">
        <v>549</v>
      </c>
      <c r="C165" s="79" t="s">
        <v>543</v>
      </c>
    </row>
    <row r="166" spans="1:3" x14ac:dyDescent="0.5">
      <c r="A166" t="s">
        <v>245</v>
      </c>
      <c r="B166" t="s">
        <v>547</v>
      </c>
      <c r="C166" s="79" t="s">
        <v>543</v>
      </c>
    </row>
    <row r="167" spans="1:3" x14ac:dyDescent="0.5">
      <c r="A167" t="s">
        <v>245</v>
      </c>
      <c r="B167" t="s">
        <v>545</v>
      </c>
      <c r="C167" s="79" t="s">
        <v>543</v>
      </c>
    </row>
    <row r="168" spans="1:3" x14ac:dyDescent="0.5">
      <c r="A168" t="s">
        <v>245</v>
      </c>
      <c r="B168" t="s">
        <v>551</v>
      </c>
      <c r="C168" s="79" t="s">
        <v>543</v>
      </c>
    </row>
    <row r="169" spans="1:3" x14ac:dyDescent="0.5">
      <c r="A169" t="s">
        <v>245</v>
      </c>
      <c r="B169" t="s">
        <v>550</v>
      </c>
      <c r="C169" s="79" t="s">
        <v>543</v>
      </c>
    </row>
    <row r="170" spans="1:3" x14ac:dyDescent="0.5">
      <c r="A170" t="s">
        <v>250</v>
      </c>
      <c r="B170" t="s">
        <v>542</v>
      </c>
      <c r="C170" s="79" t="s">
        <v>543</v>
      </c>
    </row>
    <row r="171" spans="1:3" x14ac:dyDescent="0.5">
      <c r="A171" t="s">
        <v>250</v>
      </c>
      <c r="B171" t="s">
        <v>546</v>
      </c>
      <c r="C171" s="79" t="s">
        <v>543</v>
      </c>
    </row>
    <row r="172" spans="1:3" x14ac:dyDescent="0.5">
      <c r="A172" t="s">
        <v>250</v>
      </c>
      <c r="B172" t="s">
        <v>548</v>
      </c>
      <c r="C172" s="79" t="s">
        <v>543</v>
      </c>
    </row>
    <row r="173" spans="1:3" x14ac:dyDescent="0.5">
      <c r="A173" t="s">
        <v>250</v>
      </c>
      <c r="B173" t="s">
        <v>549</v>
      </c>
      <c r="C173" s="79" t="s">
        <v>543</v>
      </c>
    </row>
    <row r="174" spans="1:3" x14ac:dyDescent="0.5">
      <c r="A174" t="s">
        <v>250</v>
      </c>
      <c r="B174" t="s">
        <v>547</v>
      </c>
      <c r="C174" s="79" t="s">
        <v>543</v>
      </c>
    </row>
    <row r="175" spans="1:3" x14ac:dyDescent="0.5">
      <c r="A175" t="s">
        <v>250</v>
      </c>
      <c r="B175" t="s">
        <v>545</v>
      </c>
      <c r="C175" s="79" t="s">
        <v>543</v>
      </c>
    </row>
    <row r="176" spans="1:3" x14ac:dyDescent="0.5">
      <c r="A176" t="s">
        <v>250</v>
      </c>
      <c r="B176" t="s">
        <v>551</v>
      </c>
      <c r="C176" s="79" t="s">
        <v>543</v>
      </c>
    </row>
    <row r="177" spans="1:3" x14ac:dyDescent="0.5">
      <c r="A177" t="s">
        <v>250</v>
      </c>
      <c r="B177" t="s">
        <v>550</v>
      </c>
      <c r="C177" s="79" t="s">
        <v>543</v>
      </c>
    </row>
    <row r="178" spans="1:3" x14ac:dyDescent="0.5">
      <c r="A178" s="1" t="s">
        <v>254</v>
      </c>
      <c r="B178" t="s">
        <v>548</v>
      </c>
      <c r="C178" s="84" t="s">
        <v>543</v>
      </c>
    </row>
    <row r="179" spans="1:3" x14ac:dyDescent="0.5">
      <c r="A179" s="1" t="s">
        <v>254</v>
      </c>
      <c r="B179" t="s">
        <v>549</v>
      </c>
      <c r="C179" s="84" t="s">
        <v>543</v>
      </c>
    </row>
    <row r="180" spans="1:3" x14ac:dyDescent="0.5">
      <c r="A180" s="1" t="s">
        <v>254</v>
      </c>
      <c r="B180" t="s">
        <v>547</v>
      </c>
      <c r="C180" s="84" t="s">
        <v>543</v>
      </c>
    </row>
    <row r="181" spans="1:3" x14ac:dyDescent="0.5">
      <c r="A181" s="1" t="s">
        <v>254</v>
      </c>
      <c r="B181" t="s">
        <v>542</v>
      </c>
      <c r="C181" s="84" t="s">
        <v>544</v>
      </c>
    </row>
    <row r="182" spans="1:3" x14ac:dyDescent="0.5">
      <c r="A182" s="1" t="s">
        <v>254</v>
      </c>
      <c r="B182" t="s">
        <v>545</v>
      </c>
      <c r="C182" s="84" t="s">
        <v>543</v>
      </c>
    </row>
    <row r="183" spans="1:3" x14ac:dyDescent="0.5">
      <c r="A183" s="1" t="s">
        <v>254</v>
      </c>
      <c r="B183" t="s">
        <v>550</v>
      </c>
      <c r="C183" s="84" t="s">
        <v>544</v>
      </c>
    </row>
    <row r="184" spans="1:3" x14ac:dyDescent="0.5">
      <c r="A184" s="1" t="s">
        <v>254</v>
      </c>
      <c r="B184" t="s">
        <v>546</v>
      </c>
      <c r="C184" s="84" t="s">
        <v>544</v>
      </c>
    </row>
    <row r="185" spans="1:3" x14ac:dyDescent="0.5">
      <c r="A185" s="1" t="s">
        <v>254</v>
      </c>
      <c r="B185" t="s">
        <v>551</v>
      </c>
      <c r="C185" s="84" t="s">
        <v>543</v>
      </c>
    </row>
    <row r="186" spans="1:3" x14ac:dyDescent="0.5">
      <c r="A186" t="s">
        <v>376</v>
      </c>
      <c r="B186" t="s">
        <v>542</v>
      </c>
      <c r="C186" s="79" t="s">
        <v>543</v>
      </c>
    </row>
    <row r="187" spans="1:3" x14ac:dyDescent="0.5">
      <c r="A187" t="s">
        <v>376</v>
      </c>
      <c r="B187" t="s">
        <v>546</v>
      </c>
      <c r="C187" s="79" t="s">
        <v>543</v>
      </c>
    </row>
    <row r="188" spans="1:3" x14ac:dyDescent="0.5">
      <c r="A188" t="s">
        <v>376</v>
      </c>
      <c r="B188" t="s">
        <v>548</v>
      </c>
      <c r="C188" s="79" t="s">
        <v>543</v>
      </c>
    </row>
    <row r="189" spans="1:3" x14ac:dyDescent="0.5">
      <c r="A189" t="s">
        <v>376</v>
      </c>
      <c r="B189" t="s">
        <v>549</v>
      </c>
      <c r="C189" s="79" t="s">
        <v>543</v>
      </c>
    </row>
    <row r="190" spans="1:3" x14ac:dyDescent="0.5">
      <c r="A190" t="s">
        <v>376</v>
      </c>
      <c r="B190" t="s">
        <v>547</v>
      </c>
      <c r="C190" s="79" t="s">
        <v>543</v>
      </c>
    </row>
    <row r="191" spans="1:3" x14ac:dyDescent="0.5">
      <c r="A191" t="s">
        <v>376</v>
      </c>
      <c r="B191" t="s">
        <v>545</v>
      </c>
      <c r="C191" s="79" t="s">
        <v>543</v>
      </c>
    </row>
    <row r="192" spans="1:3" x14ac:dyDescent="0.5">
      <c r="A192" t="s">
        <v>376</v>
      </c>
      <c r="B192" t="s">
        <v>551</v>
      </c>
      <c r="C192" s="79" t="s">
        <v>543</v>
      </c>
    </row>
    <row r="193" spans="1:3" x14ac:dyDescent="0.5">
      <c r="A193" t="s">
        <v>376</v>
      </c>
      <c r="B193" t="s">
        <v>550</v>
      </c>
      <c r="C193" s="79" t="s">
        <v>543</v>
      </c>
    </row>
    <row r="194" spans="1:3" x14ac:dyDescent="0.5">
      <c r="A194" t="s">
        <v>388</v>
      </c>
      <c r="B194" t="s">
        <v>542</v>
      </c>
      <c r="C194" s="79" t="s">
        <v>543</v>
      </c>
    </row>
    <row r="195" spans="1:3" x14ac:dyDescent="0.5">
      <c r="A195" t="s">
        <v>388</v>
      </c>
      <c r="B195" t="s">
        <v>546</v>
      </c>
      <c r="C195" s="79" t="s">
        <v>543</v>
      </c>
    </row>
    <row r="196" spans="1:3" x14ac:dyDescent="0.5">
      <c r="A196" t="s">
        <v>388</v>
      </c>
      <c r="B196" t="s">
        <v>548</v>
      </c>
      <c r="C196" s="79" t="s">
        <v>543</v>
      </c>
    </row>
    <row r="197" spans="1:3" x14ac:dyDescent="0.5">
      <c r="A197" t="s">
        <v>388</v>
      </c>
      <c r="B197" t="s">
        <v>549</v>
      </c>
      <c r="C197" s="79" t="s">
        <v>543</v>
      </c>
    </row>
    <row r="198" spans="1:3" x14ac:dyDescent="0.5">
      <c r="A198" t="s">
        <v>388</v>
      </c>
      <c r="B198" t="s">
        <v>547</v>
      </c>
      <c r="C198" s="79" t="s">
        <v>543</v>
      </c>
    </row>
    <row r="199" spans="1:3" x14ac:dyDescent="0.5">
      <c r="A199" t="s">
        <v>388</v>
      </c>
      <c r="B199" t="s">
        <v>545</v>
      </c>
      <c r="C199" s="79" t="s">
        <v>543</v>
      </c>
    </row>
    <row r="200" spans="1:3" x14ac:dyDescent="0.5">
      <c r="A200" t="s">
        <v>388</v>
      </c>
      <c r="B200" t="s">
        <v>551</v>
      </c>
      <c r="C200" s="79" t="s">
        <v>543</v>
      </c>
    </row>
    <row r="201" spans="1:3" x14ac:dyDescent="0.5">
      <c r="A201" t="s">
        <v>388</v>
      </c>
      <c r="B201" t="s">
        <v>550</v>
      </c>
      <c r="C201" s="79" t="s">
        <v>543</v>
      </c>
    </row>
    <row r="202" spans="1:3" x14ac:dyDescent="0.5">
      <c r="A202" t="s">
        <v>404</v>
      </c>
      <c r="B202" t="s">
        <v>546</v>
      </c>
      <c r="C202" s="79" t="s">
        <v>543</v>
      </c>
    </row>
    <row r="203" spans="1:3" x14ac:dyDescent="0.5">
      <c r="A203" t="s">
        <v>404</v>
      </c>
      <c r="B203" t="s">
        <v>548</v>
      </c>
      <c r="C203" s="79" t="s">
        <v>543</v>
      </c>
    </row>
    <row r="204" spans="1:3" x14ac:dyDescent="0.5">
      <c r="A204" t="s">
        <v>404</v>
      </c>
      <c r="B204" t="s">
        <v>549</v>
      </c>
      <c r="C204" s="79" t="s">
        <v>543</v>
      </c>
    </row>
    <row r="205" spans="1:3" x14ac:dyDescent="0.5">
      <c r="A205" t="s">
        <v>404</v>
      </c>
      <c r="B205" t="s">
        <v>547</v>
      </c>
      <c r="C205" s="79" t="s">
        <v>543</v>
      </c>
    </row>
    <row r="206" spans="1:3" x14ac:dyDescent="0.5">
      <c r="A206" t="s">
        <v>404</v>
      </c>
      <c r="B206" t="s">
        <v>545</v>
      </c>
      <c r="C206" s="79" t="s">
        <v>543</v>
      </c>
    </row>
    <row r="207" spans="1:3" x14ac:dyDescent="0.5">
      <c r="A207" t="s">
        <v>404</v>
      </c>
      <c r="B207" t="s">
        <v>550</v>
      </c>
      <c r="C207" s="79" t="s">
        <v>544</v>
      </c>
    </row>
    <row r="208" spans="1:3" x14ac:dyDescent="0.5">
      <c r="A208" t="s">
        <v>404</v>
      </c>
      <c r="B208" t="s">
        <v>542</v>
      </c>
      <c r="C208" s="79" t="s">
        <v>544</v>
      </c>
    </row>
    <row r="209" spans="1:3" x14ac:dyDescent="0.5">
      <c r="A209" t="s">
        <v>404</v>
      </c>
      <c r="B209" t="s">
        <v>551</v>
      </c>
      <c r="C209" s="79" t="s">
        <v>543</v>
      </c>
    </row>
    <row r="210" spans="1:3" x14ac:dyDescent="0.5">
      <c r="A210" s="7" t="s">
        <v>408</v>
      </c>
      <c r="B210" t="s">
        <v>542</v>
      </c>
      <c r="C210" s="79" t="s">
        <v>543</v>
      </c>
    </row>
    <row r="211" spans="1:3" x14ac:dyDescent="0.5">
      <c r="A211" s="7" t="s">
        <v>408</v>
      </c>
      <c r="B211" t="s">
        <v>546</v>
      </c>
      <c r="C211" s="79" t="s">
        <v>543</v>
      </c>
    </row>
    <row r="212" spans="1:3" x14ac:dyDescent="0.5">
      <c r="A212" s="7" t="s">
        <v>408</v>
      </c>
      <c r="B212" t="s">
        <v>548</v>
      </c>
      <c r="C212" s="79" t="s">
        <v>543</v>
      </c>
    </row>
    <row r="213" spans="1:3" x14ac:dyDescent="0.5">
      <c r="A213" s="7" t="s">
        <v>408</v>
      </c>
      <c r="B213" t="s">
        <v>549</v>
      </c>
      <c r="C213" s="79" t="s">
        <v>543</v>
      </c>
    </row>
    <row r="214" spans="1:3" x14ac:dyDescent="0.5">
      <c r="A214" s="7" t="s">
        <v>408</v>
      </c>
      <c r="B214" t="s">
        <v>547</v>
      </c>
      <c r="C214" s="79" t="s">
        <v>543</v>
      </c>
    </row>
    <row r="215" spans="1:3" x14ac:dyDescent="0.5">
      <c r="A215" s="7" t="s">
        <v>408</v>
      </c>
      <c r="B215" t="s">
        <v>545</v>
      </c>
      <c r="C215" s="79" t="s">
        <v>543</v>
      </c>
    </row>
    <row r="216" spans="1:3" x14ac:dyDescent="0.5">
      <c r="A216" s="7" t="s">
        <v>408</v>
      </c>
      <c r="B216" t="s">
        <v>551</v>
      </c>
      <c r="C216" s="79" t="s">
        <v>543</v>
      </c>
    </row>
    <row r="217" spans="1:3" x14ac:dyDescent="0.5">
      <c r="A217" s="7" t="s">
        <v>408</v>
      </c>
      <c r="B217" t="s">
        <v>550</v>
      </c>
      <c r="C217" s="79" t="s">
        <v>543</v>
      </c>
    </row>
    <row r="218" spans="1:3" x14ac:dyDescent="0.5">
      <c r="A218" s="7" t="s">
        <v>426</v>
      </c>
      <c r="B218" t="s">
        <v>542</v>
      </c>
      <c r="C218" s="79" t="s">
        <v>543</v>
      </c>
    </row>
    <row r="219" spans="1:3" x14ac:dyDescent="0.5">
      <c r="A219" s="7" t="s">
        <v>426</v>
      </c>
      <c r="B219" t="s">
        <v>546</v>
      </c>
      <c r="C219" s="79" t="s">
        <v>543</v>
      </c>
    </row>
    <row r="220" spans="1:3" x14ac:dyDescent="0.5">
      <c r="A220" s="7" t="s">
        <v>426</v>
      </c>
      <c r="B220" t="s">
        <v>548</v>
      </c>
      <c r="C220" s="79" t="s">
        <v>543</v>
      </c>
    </row>
    <row r="221" spans="1:3" x14ac:dyDescent="0.5">
      <c r="A221" s="7" t="s">
        <v>426</v>
      </c>
      <c r="B221" t="s">
        <v>549</v>
      </c>
      <c r="C221" s="79" t="s">
        <v>543</v>
      </c>
    </row>
    <row r="222" spans="1:3" x14ac:dyDescent="0.5">
      <c r="A222" s="7" t="s">
        <v>426</v>
      </c>
      <c r="B222" t="s">
        <v>547</v>
      </c>
      <c r="C222" s="79" t="s">
        <v>543</v>
      </c>
    </row>
    <row r="223" spans="1:3" x14ac:dyDescent="0.5">
      <c r="A223" s="7" t="s">
        <v>426</v>
      </c>
      <c r="B223" t="s">
        <v>545</v>
      </c>
      <c r="C223" s="79" t="s">
        <v>543</v>
      </c>
    </row>
    <row r="224" spans="1:3" x14ac:dyDescent="0.5">
      <c r="A224" s="7" t="s">
        <v>426</v>
      </c>
      <c r="B224" t="s">
        <v>551</v>
      </c>
      <c r="C224" s="79" t="s">
        <v>543</v>
      </c>
    </row>
    <row r="225" spans="1:3" x14ac:dyDescent="0.5">
      <c r="A225" s="7" t="s">
        <v>426</v>
      </c>
      <c r="B225" t="s">
        <v>550</v>
      </c>
      <c r="C225" s="79" t="s">
        <v>543</v>
      </c>
    </row>
    <row r="226" spans="1:3" x14ac:dyDescent="0.5">
      <c r="A226" s="7" t="s">
        <v>447</v>
      </c>
      <c r="B226" t="s">
        <v>542</v>
      </c>
      <c r="C226" s="84" t="s">
        <v>543</v>
      </c>
    </row>
    <row r="227" spans="1:3" x14ac:dyDescent="0.5">
      <c r="A227" s="7" t="s">
        <v>447</v>
      </c>
      <c r="B227" t="s">
        <v>546</v>
      </c>
      <c r="C227" s="84" t="s">
        <v>543</v>
      </c>
    </row>
    <row r="228" spans="1:3" x14ac:dyDescent="0.5">
      <c r="A228" s="7" t="s">
        <v>447</v>
      </c>
      <c r="B228" t="s">
        <v>548</v>
      </c>
      <c r="C228" s="84" t="s">
        <v>543</v>
      </c>
    </row>
    <row r="229" spans="1:3" x14ac:dyDescent="0.5">
      <c r="A229" s="7" t="s">
        <v>447</v>
      </c>
      <c r="B229" t="s">
        <v>549</v>
      </c>
      <c r="C229" s="84" t="s">
        <v>543</v>
      </c>
    </row>
    <row r="230" spans="1:3" x14ac:dyDescent="0.5">
      <c r="A230" s="7" t="s">
        <v>447</v>
      </c>
      <c r="B230" t="s">
        <v>547</v>
      </c>
      <c r="C230" s="84" t="s">
        <v>543</v>
      </c>
    </row>
    <row r="231" spans="1:3" x14ac:dyDescent="0.5">
      <c r="A231" s="7" t="s">
        <v>447</v>
      </c>
      <c r="B231" t="s">
        <v>545</v>
      </c>
      <c r="C231" s="84" t="s">
        <v>543</v>
      </c>
    </row>
    <row r="232" spans="1:3" x14ac:dyDescent="0.5">
      <c r="A232" s="7" t="s">
        <v>447</v>
      </c>
      <c r="B232" t="s">
        <v>551</v>
      </c>
      <c r="C232" s="84" t="s">
        <v>543</v>
      </c>
    </row>
    <row r="233" spans="1:3" x14ac:dyDescent="0.5">
      <c r="A233" s="7" t="s">
        <v>447</v>
      </c>
      <c r="B233" t="s">
        <v>550</v>
      </c>
      <c r="C233" s="84" t="s">
        <v>543</v>
      </c>
    </row>
    <row r="234" spans="1:3" x14ac:dyDescent="0.5">
      <c r="A234" t="s">
        <v>484</v>
      </c>
      <c r="B234" t="s">
        <v>546</v>
      </c>
      <c r="C234" s="84" t="s">
        <v>543</v>
      </c>
    </row>
    <row r="235" spans="1:3" x14ac:dyDescent="0.5">
      <c r="A235" t="s">
        <v>484</v>
      </c>
      <c r="B235" t="s">
        <v>548</v>
      </c>
      <c r="C235" s="84" t="s">
        <v>543</v>
      </c>
    </row>
    <row r="236" spans="1:3" x14ac:dyDescent="0.5">
      <c r="A236" t="s">
        <v>484</v>
      </c>
      <c r="B236" t="s">
        <v>549</v>
      </c>
      <c r="C236" s="84" t="s">
        <v>543</v>
      </c>
    </row>
    <row r="237" spans="1:3" x14ac:dyDescent="0.5">
      <c r="A237" t="s">
        <v>484</v>
      </c>
      <c r="B237" t="s">
        <v>547</v>
      </c>
      <c r="C237" s="84" t="s">
        <v>543</v>
      </c>
    </row>
    <row r="238" spans="1:3" x14ac:dyDescent="0.5">
      <c r="A238" t="s">
        <v>484</v>
      </c>
      <c r="B238" t="s">
        <v>545</v>
      </c>
      <c r="C238" s="84" t="s">
        <v>543</v>
      </c>
    </row>
    <row r="239" spans="1:3" x14ac:dyDescent="0.5">
      <c r="A239" t="s">
        <v>484</v>
      </c>
      <c r="B239" t="s">
        <v>551</v>
      </c>
      <c r="C239" s="84" t="s">
        <v>543</v>
      </c>
    </row>
    <row r="240" spans="1:3" x14ac:dyDescent="0.5">
      <c r="A240" t="s">
        <v>484</v>
      </c>
      <c r="B240" t="s">
        <v>542</v>
      </c>
      <c r="C240" s="83" t="s">
        <v>543</v>
      </c>
    </row>
    <row r="241" spans="1:3" x14ac:dyDescent="0.5">
      <c r="A241" t="s">
        <v>484</v>
      </c>
      <c r="B241" t="s">
        <v>550</v>
      </c>
      <c r="C241" s="83" t="s">
        <v>543</v>
      </c>
    </row>
    <row r="242" spans="1:3" x14ac:dyDescent="0.5">
      <c r="A242" t="s">
        <v>488</v>
      </c>
      <c r="B242" t="s">
        <v>542</v>
      </c>
      <c r="C242" s="79" t="s">
        <v>543</v>
      </c>
    </row>
    <row r="243" spans="1:3" x14ac:dyDescent="0.5">
      <c r="A243" t="s">
        <v>488</v>
      </c>
      <c r="B243" t="s">
        <v>548</v>
      </c>
      <c r="C243" s="79" t="s">
        <v>543</v>
      </c>
    </row>
    <row r="244" spans="1:3" x14ac:dyDescent="0.5">
      <c r="A244" t="s">
        <v>488</v>
      </c>
      <c r="B244" t="s">
        <v>549</v>
      </c>
      <c r="C244" s="79" t="s">
        <v>543</v>
      </c>
    </row>
    <row r="245" spans="1:3" x14ac:dyDescent="0.5">
      <c r="A245" t="s">
        <v>488</v>
      </c>
      <c r="B245" t="s">
        <v>547</v>
      </c>
      <c r="C245" s="79" t="s">
        <v>543</v>
      </c>
    </row>
    <row r="246" spans="1:3" x14ac:dyDescent="0.5">
      <c r="A246" t="s">
        <v>488</v>
      </c>
      <c r="B246" t="s">
        <v>545</v>
      </c>
      <c r="C246" s="79" t="s">
        <v>543</v>
      </c>
    </row>
    <row r="247" spans="1:3" x14ac:dyDescent="0.5">
      <c r="A247" t="s">
        <v>488</v>
      </c>
      <c r="B247" t="s">
        <v>551</v>
      </c>
      <c r="C247" s="79" t="s">
        <v>543</v>
      </c>
    </row>
    <row r="248" spans="1:3" x14ac:dyDescent="0.5">
      <c r="A248" t="s">
        <v>488</v>
      </c>
      <c r="B248" t="s">
        <v>546</v>
      </c>
      <c r="C248" s="79" t="s">
        <v>544</v>
      </c>
    </row>
    <row r="249" spans="1:3" x14ac:dyDescent="0.5">
      <c r="A249" t="s">
        <v>488</v>
      </c>
      <c r="B249" t="s">
        <v>550</v>
      </c>
      <c r="C249" s="79" t="s">
        <v>543</v>
      </c>
    </row>
  </sheetData>
  <phoneticPr fontId="3" type="noConversion"/>
  <conditionalFormatting sqref="C2:C249">
    <cfRule type="containsBlanks" dxfId="9" priority="1">
      <formula>LEN(TRIM(C2))=0</formula>
    </cfRule>
  </conditionalFormatting>
  <dataValidations count="1">
    <dataValidation type="list" allowBlank="1" showInputMessage="1" showErrorMessage="1" sqref="C2:C249" xr:uid="{B0E0B8E1-3E29-4697-92E2-CCC0EC1962C3}">
      <formula1>$G$2:$G$3</formula1>
    </dataValidation>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2EBB-D99B-4E88-AC79-3EAA30A60E07}">
  <dimension ref="A1:I590"/>
  <sheetViews>
    <sheetView topLeftCell="A91" workbookViewId="0">
      <selection activeCell="B103" sqref="B103"/>
    </sheetView>
  </sheetViews>
  <sheetFormatPr defaultRowHeight="14.35" x14ac:dyDescent="0.5"/>
  <cols>
    <col min="1" max="1" width="16.87890625" customWidth="1"/>
    <col min="2" max="2" width="62.1171875" customWidth="1"/>
    <col min="3" max="3" width="17.5859375" customWidth="1"/>
    <col min="7" max="7" width="12.5859375" customWidth="1"/>
  </cols>
  <sheetData>
    <row r="1" spans="1:9" s="8" customFormat="1" ht="29.45" customHeight="1" x14ac:dyDescent="0.5">
      <c r="A1" s="8" t="s">
        <v>1</v>
      </c>
      <c r="B1" s="8" t="s">
        <v>552</v>
      </c>
      <c r="C1" s="8" t="s">
        <v>531</v>
      </c>
      <c r="G1" s="49" t="s">
        <v>531</v>
      </c>
    </row>
    <row r="2" spans="1:9" x14ac:dyDescent="0.5">
      <c r="A2" s="26" t="s">
        <v>22</v>
      </c>
      <c r="B2" t="s">
        <v>553</v>
      </c>
      <c r="C2" t="s">
        <v>554</v>
      </c>
      <c r="G2" s="50" t="s">
        <v>554</v>
      </c>
      <c r="I2" s="65"/>
    </row>
    <row r="3" spans="1:9" x14ac:dyDescent="0.5">
      <c r="A3" s="26" t="s">
        <v>22</v>
      </c>
      <c r="B3" t="s">
        <v>556</v>
      </c>
      <c r="C3" t="s">
        <v>522</v>
      </c>
      <c r="G3" s="47" t="s">
        <v>522</v>
      </c>
      <c r="I3" s="7"/>
    </row>
    <row r="4" spans="1:9" x14ac:dyDescent="0.5">
      <c r="A4" s="26" t="s">
        <v>22</v>
      </c>
      <c r="B4" t="s">
        <v>558</v>
      </c>
      <c r="C4" t="s">
        <v>554</v>
      </c>
      <c r="G4" s="47" t="s">
        <v>557</v>
      </c>
      <c r="I4" s="64"/>
    </row>
    <row r="5" spans="1:9" x14ac:dyDescent="0.5">
      <c r="A5" s="26" t="s">
        <v>22</v>
      </c>
      <c r="B5" t="s">
        <v>559</v>
      </c>
      <c r="C5" t="s">
        <v>29</v>
      </c>
      <c r="G5" s="48" t="s">
        <v>29</v>
      </c>
      <c r="I5" s="7"/>
    </row>
    <row r="6" spans="1:9" x14ac:dyDescent="0.5">
      <c r="A6" s="26" t="s">
        <v>22</v>
      </c>
      <c r="B6" t="s">
        <v>560</v>
      </c>
      <c r="C6" t="s">
        <v>29</v>
      </c>
      <c r="G6" s="60"/>
      <c r="I6" s="7"/>
    </row>
    <row r="7" spans="1:9" x14ac:dyDescent="0.5">
      <c r="A7" s="26" t="s">
        <v>22</v>
      </c>
      <c r="B7" t="s">
        <v>561</v>
      </c>
      <c r="C7" t="s">
        <v>29</v>
      </c>
      <c r="I7" s="7"/>
    </row>
    <row r="8" spans="1:9" x14ac:dyDescent="0.5">
      <c r="A8" s="26" t="s">
        <v>22</v>
      </c>
      <c r="B8" t="s">
        <v>562</v>
      </c>
      <c r="C8" t="s">
        <v>557</v>
      </c>
      <c r="I8" s="64"/>
    </row>
    <row r="9" spans="1:9" x14ac:dyDescent="0.5">
      <c r="A9" s="26" t="s">
        <v>22</v>
      </c>
      <c r="B9" t="s">
        <v>563</v>
      </c>
      <c r="C9" t="s">
        <v>554</v>
      </c>
      <c r="I9" s="7"/>
    </row>
    <row r="10" spans="1:9" x14ac:dyDescent="0.5">
      <c r="A10" s="26" t="s">
        <v>22</v>
      </c>
      <c r="B10" t="s">
        <v>564</v>
      </c>
      <c r="C10" t="s">
        <v>522</v>
      </c>
      <c r="I10" s="7"/>
    </row>
    <row r="11" spans="1:9" x14ac:dyDescent="0.5">
      <c r="A11" s="26" t="s">
        <v>22</v>
      </c>
      <c r="B11" t="s">
        <v>565</v>
      </c>
      <c r="C11" t="s">
        <v>554</v>
      </c>
      <c r="I11" s="7"/>
    </row>
    <row r="12" spans="1:9" x14ac:dyDescent="0.5">
      <c r="A12" s="26" t="s">
        <v>22</v>
      </c>
      <c r="B12" t="s">
        <v>566</v>
      </c>
      <c r="C12" t="s">
        <v>522</v>
      </c>
    </row>
    <row r="13" spans="1:9" x14ac:dyDescent="0.5">
      <c r="A13" s="26" t="s">
        <v>22</v>
      </c>
      <c r="B13" t="s">
        <v>567</v>
      </c>
      <c r="C13" t="s">
        <v>554</v>
      </c>
      <c r="I13" s="7"/>
    </row>
    <row r="14" spans="1:9" x14ac:dyDescent="0.5">
      <c r="A14" s="26" t="s">
        <v>22</v>
      </c>
      <c r="B14" t="s">
        <v>568</v>
      </c>
      <c r="C14" t="s">
        <v>554</v>
      </c>
      <c r="I14" s="7"/>
    </row>
    <row r="15" spans="1:9" x14ac:dyDescent="0.5">
      <c r="A15" s="26" t="s">
        <v>22</v>
      </c>
      <c r="B15" t="s">
        <v>569</v>
      </c>
      <c r="C15" t="s">
        <v>554</v>
      </c>
      <c r="I15" s="7"/>
    </row>
    <row r="16" spans="1:9" x14ac:dyDescent="0.5">
      <c r="A16" s="26" t="s">
        <v>22</v>
      </c>
      <c r="B16" t="s">
        <v>570</v>
      </c>
      <c r="C16" t="s">
        <v>554</v>
      </c>
      <c r="I16" s="7"/>
    </row>
    <row r="17" spans="1:9" x14ac:dyDescent="0.5">
      <c r="A17" s="26" t="s">
        <v>22</v>
      </c>
      <c r="B17" t="s">
        <v>571</v>
      </c>
      <c r="C17" t="s">
        <v>29</v>
      </c>
      <c r="I17" s="7"/>
    </row>
    <row r="18" spans="1:9" x14ac:dyDescent="0.5">
      <c r="A18" s="26" t="s">
        <v>22</v>
      </c>
      <c r="B18" t="s">
        <v>572</v>
      </c>
      <c r="C18" t="s">
        <v>522</v>
      </c>
      <c r="I18" s="7"/>
    </row>
    <row r="19" spans="1:9" x14ac:dyDescent="0.5">
      <c r="A19" s="26" t="s">
        <v>22</v>
      </c>
      <c r="B19" t="s">
        <v>573</v>
      </c>
      <c r="C19" t="s">
        <v>557</v>
      </c>
      <c r="I19" s="7"/>
    </row>
    <row r="20" spans="1:9" x14ac:dyDescent="0.5">
      <c r="A20" s="26" t="s">
        <v>22</v>
      </c>
      <c r="B20" t="s">
        <v>555</v>
      </c>
      <c r="C20" t="s">
        <v>557</v>
      </c>
      <c r="I20" s="7"/>
    </row>
    <row r="21" spans="1:9" x14ac:dyDescent="0.5">
      <c r="A21" s="7" t="s">
        <v>30</v>
      </c>
      <c r="B21" t="s">
        <v>553</v>
      </c>
      <c r="C21" t="s">
        <v>554</v>
      </c>
      <c r="I21" s="7"/>
    </row>
    <row r="22" spans="1:9" x14ac:dyDescent="0.5">
      <c r="A22" s="7" t="s">
        <v>30</v>
      </c>
      <c r="B22" t="s">
        <v>559</v>
      </c>
      <c r="C22" t="s">
        <v>29</v>
      </c>
      <c r="I22" s="7"/>
    </row>
    <row r="23" spans="1:9" x14ac:dyDescent="0.5">
      <c r="A23" s="7" t="s">
        <v>30</v>
      </c>
      <c r="B23" t="s">
        <v>560</v>
      </c>
      <c r="C23" t="s">
        <v>522</v>
      </c>
      <c r="I23" s="7"/>
    </row>
    <row r="24" spans="1:9" x14ac:dyDescent="0.5">
      <c r="A24" s="7" t="s">
        <v>30</v>
      </c>
      <c r="B24" t="s">
        <v>561</v>
      </c>
      <c r="C24" t="s">
        <v>557</v>
      </c>
      <c r="I24" s="7"/>
    </row>
    <row r="25" spans="1:9" x14ac:dyDescent="0.5">
      <c r="A25" s="7" t="s">
        <v>30</v>
      </c>
      <c r="B25" t="s">
        <v>562</v>
      </c>
      <c r="C25" t="s">
        <v>554</v>
      </c>
      <c r="I25" s="7"/>
    </row>
    <row r="26" spans="1:9" x14ac:dyDescent="0.5">
      <c r="A26" s="7" t="s">
        <v>30</v>
      </c>
      <c r="B26" t="s">
        <v>563</v>
      </c>
      <c r="C26" t="s">
        <v>554</v>
      </c>
      <c r="I26" s="7"/>
    </row>
    <row r="27" spans="1:9" x14ac:dyDescent="0.5">
      <c r="A27" s="7" t="s">
        <v>30</v>
      </c>
      <c r="B27" t="s">
        <v>564</v>
      </c>
      <c r="C27" t="s">
        <v>557</v>
      </c>
      <c r="I27" s="7"/>
    </row>
    <row r="28" spans="1:9" x14ac:dyDescent="0.5">
      <c r="A28" s="7" t="s">
        <v>30</v>
      </c>
      <c r="B28" t="s">
        <v>565</v>
      </c>
      <c r="C28" t="s">
        <v>554</v>
      </c>
      <c r="I28" s="7"/>
    </row>
    <row r="29" spans="1:9" x14ac:dyDescent="0.5">
      <c r="A29" s="7" t="s">
        <v>30</v>
      </c>
      <c r="B29" t="s">
        <v>566</v>
      </c>
      <c r="C29" t="s">
        <v>554</v>
      </c>
      <c r="I29" s="7"/>
    </row>
    <row r="30" spans="1:9" x14ac:dyDescent="0.5">
      <c r="A30" s="7" t="s">
        <v>30</v>
      </c>
      <c r="B30" t="s">
        <v>567</v>
      </c>
      <c r="C30" t="s">
        <v>554</v>
      </c>
    </row>
    <row r="31" spans="1:9" x14ac:dyDescent="0.5">
      <c r="A31" s="7" t="s">
        <v>30</v>
      </c>
      <c r="B31" t="s">
        <v>568</v>
      </c>
      <c r="C31" t="s">
        <v>554</v>
      </c>
    </row>
    <row r="32" spans="1:9" x14ac:dyDescent="0.5">
      <c r="A32" s="7" t="s">
        <v>30</v>
      </c>
      <c r="B32" t="s">
        <v>569</v>
      </c>
      <c r="C32" t="s">
        <v>554</v>
      </c>
    </row>
    <row r="33" spans="1:3" x14ac:dyDescent="0.5">
      <c r="A33" s="7" t="s">
        <v>30</v>
      </c>
      <c r="B33" t="s">
        <v>570</v>
      </c>
      <c r="C33" t="s">
        <v>554</v>
      </c>
    </row>
    <row r="34" spans="1:3" x14ac:dyDescent="0.5">
      <c r="A34" s="7" t="s">
        <v>30</v>
      </c>
      <c r="B34" t="s">
        <v>571</v>
      </c>
      <c r="C34" t="s">
        <v>557</v>
      </c>
    </row>
    <row r="35" spans="1:3" x14ac:dyDescent="0.5">
      <c r="A35" s="7" t="s">
        <v>30</v>
      </c>
      <c r="B35" t="s">
        <v>572</v>
      </c>
      <c r="C35" t="s">
        <v>557</v>
      </c>
    </row>
    <row r="36" spans="1:3" x14ac:dyDescent="0.5">
      <c r="A36" s="7" t="s">
        <v>30</v>
      </c>
      <c r="B36" t="s">
        <v>573</v>
      </c>
      <c r="C36" t="s">
        <v>522</v>
      </c>
    </row>
    <row r="37" spans="1:3" x14ac:dyDescent="0.5">
      <c r="A37" s="7" t="s">
        <v>30</v>
      </c>
      <c r="B37" t="s">
        <v>556</v>
      </c>
      <c r="C37" t="s">
        <v>29</v>
      </c>
    </row>
    <row r="38" spans="1:3" x14ac:dyDescent="0.5">
      <c r="A38" s="7" t="s">
        <v>30</v>
      </c>
      <c r="B38" t="s">
        <v>555</v>
      </c>
      <c r="C38" t="s">
        <v>557</v>
      </c>
    </row>
    <row r="39" spans="1:3" x14ac:dyDescent="0.5">
      <c r="A39" s="7" t="s">
        <v>30</v>
      </c>
      <c r="B39" t="s">
        <v>558</v>
      </c>
      <c r="C39" t="s">
        <v>557</v>
      </c>
    </row>
    <row r="40" spans="1:3" x14ac:dyDescent="0.5">
      <c r="A40" s="7" t="s">
        <v>35</v>
      </c>
      <c r="B40" t="s">
        <v>556</v>
      </c>
      <c r="C40" t="s">
        <v>522</v>
      </c>
    </row>
    <row r="41" spans="1:3" x14ac:dyDescent="0.5">
      <c r="A41" s="7" t="s">
        <v>35</v>
      </c>
      <c r="B41" t="s">
        <v>553</v>
      </c>
      <c r="C41" t="s">
        <v>557</v>
      </c>
    </row>
    <row r="42" spans="1:3" x14ac:dyDescent="0.5">
      <c r="A42" s="7" t="s">
        <v>35</v>
      </c>
      <c r="B42" t="s">
        <v>559</v>
      </c>
      <c r="C42" t="s">
        <v>29</v>
      </c>
    </row>
    <row r="43" spans="1:3" x14ac:dyDescent="0.5">
      <c r="A43" s="7" t="s">
        <v>35</v>
      </c>
      <c r="B43" t="s">
        <v>560</v>
      </c>
      <c r="C43" t="s">
        <v>29</v>
      </c>
    </row>
    <row r="44" spans="1:3" x14ac:dyDescent="0.5">
      <c r="A44" s="7" t="s">
        <v>35</v>
      </c>
      <c r="B44" t="s">
        <v>561</v>
      </c>
      <c r="C44" t="s">
        <v>29</v>
      </c>
    </row>
    <row r="45" spans="1:3" x14ac:dyDescent="0.5">
      <c r="A45" s="7" t="s">
        <v>35</v>
      </c>
      <c r="B45" t="s">
        <v>562</v>
      </c>
      <c r="C45" t="s">
        <v>557</v>
      </c>
    </row>
    <row r="46" spans="1:3" x14ac:dyDescent="0.5">
      <c r="A46" s="7" t="s">
        <v>35</v>
      </c>
      <c r="B46" t="s">
        <v>563</v>
      </c>
      <c r="C46" t="s">
        <v>29</v>
      </c>
    </row>
    <row r="47" spans="1:3" x14ac:dyDescent="0.5">
      <c r="A47" s="7" t="s">
        <v>35</v>
      </c>
      <c r="B47" t="s">
        <v>564</v>
      </c>
      <c r="C47" t="s">
        <v>554</v>
      </c>
    </row>
    <row r="48" spans="1:3" x14ac:dyDescent="0.5">
      <c r="A48" s="7" t="s">
        <v>35</v>
      </c>
      <c r="B48" t="s">
        <v>565</v>
      </c>
      <c r="C48" t="s">
        <v>29</v>
      </c>
    </row>
    <row r="49" spans="1:3" x14ac:dyDescent="0.5">
      <c r="A49" s="7" t="s">
        <v>35</v>
      </c>
      <c r="B49" t="s">
        <v>566</v>
      </c>
      <c r="C49" t="s">
        <v>554</v>
      </c>
    </row>
    <row r="50" spans="1:3" x14ac:dyDescent="0.5">
      <c r="A50" s="7" t="s">
        <v>35</v>
      </c>
      <c r="B50" t="s">
        <v>567</v>
      </c>
      <c r="C50" t="s">
        <v>557</v>
      </c>
    </row>
    <row r="51" spans="1:3" x14ac:dyDescent="0.5">
      <c r="A51" s="7" t="s">
        <v>35</v>
      </c>
      <c r="B51" t="s">
        <v>568</v>
      </c>
      <c r="C51" t="s">
        <v>557</v>
      </c>
    </row>
    <row r="52" spans="1:3" x14ac:dyDescent="0.5">
      <c r="A52" s="7" t="s">
        <v>35</v>
      </c>
      <c r="B52" t="s">
        <v>569</v>
      </c>
      <c r="C52" t="s">
        <v>554</v>
      </c>
    </row>
    <row r="53" spans="1:3" x14ac:dyDescent="0.5">
      <c r="A53" s="7" t="s">
        <v>35</v>
      </c>
      <c r="B53" t="s">
        <v>570</v>
      </c>
      <c r="C53" t="s">
        <v>557</v>
      </c>
    </row>
    <row r="54" spans="1:3" x14ac:dyDescent="0.5">
      <c r="A54" s="7" t="s">
        <v>35</v>
      </c>
      <c r="B54" t="s">
        <v>571</v>
      </c>
      <c r="C54" t="s">
        <v>29</v>
      </c>
    </row>
    <row r="55" spans="1:3" x14ac:dyDescent="0.5">
      <c r="A55" s="7" t="s">
        <v>35</v>
      </c>
      <c r="B55" t="s">
        <v>572</v>
      </c>
      <c r="C55" t="s">
        <v>554</v>
      </c>
    </row>
    <row r="56" spans="1:3" x14ac:dyDescent="0.5">
      <c r="A56" s="7" t="s">
        <v>35</v>
      </c>
      <c r="B56" t="s">
        <v>573</v>
      </c>
      <c r="C56" t="s">
        <v>557</v>
      </c>
    </row>
    <row r="57" spans="1:3" x14ac:dyDescent="0.5">
      <c r="A57" s="7" t="s">
        <v>35</v>
      </c>
      <c r="B57" t="s">
        <v>558</v>
      </c>
      <c r="C57" t="s">
        <v>29</v>
      </c>
    </row>
    <row r="58" spans="1:3" x14ac:dyDescent="0.5">
      <c r="A58" s="7" t="s">
        <v>35</v>
      </c>
      <c r="B58" t="s">
        <v>555</v>
      </c>
      <c r="C58" t="s">
        <v>29</v>
      </c>
    </row>
    <row r="59" spans="1:3" x14ac:dyDescent="0.5">
      <c r="A59" s="7" t="s">
        <v>38</v>
      </c>
      <c r="B59" t="s">
        <v>555</v>
      </c>
      <c r="C59" t="s">
        <v>554</v>
      </c>
    </row>
    <row r="60" spans="1:3" x14ac:dyDescent="0.5">
      <c r="A60" t="s">
        <v>38</v>
      </c>
      <c r="B60" t="s">
        <v>558</v>
      </c>
      <c r="C60" t="s">
        <v>554</v>
      </c>
    </row>
    <row r="61" spans="1:3" x14ac:dyDescent="0.5">
      <c r="A61" s="7" t="s">
        <v>38</v>
      </c>
      <c r="B61" t="s">
        <v>556</v>
      </c>
      <c r="C61" t="s">
        <v>522</v>
      </c>
    </row>
    <row r="62" spans="1:3" x14ac:dyDescent="0.5">
      <c r="A62" s="7" t="s">
        <v>38</v>
      </c>
      <c r="B62" t="s">
        <v>553</v>
      </c>
      <c r="C62" t="s">
        <v>557</v>
      </c>
    </row>
    <row r="63" spans="1:3" x14ac:dyDescent="0.5">
      <c r="A63" s="7" t="s">
        <v>38</v>
      </c>
      <c r="B63" t="s">
        <v>559</v>
      </c>
      <c r="C63" t="s">
        <v>557</v>
      </c>
    </row>
    <row r="64" spans="1:3" x14ac:dyDescent="0.5">
      <c r="A64" s="7" t="s">
        <v>38</v>
      </c>
      <c r="B64" t="s">
        <v>560</v>
      </c>
      <c r="C64" t="s">
        <v>29</v>
      </c>
    </row>
    <row r="65" spans="1:3" x14ac:dyDescent="0.5">
      <c r="A65" s="7" t="s">
        <v>38</v>
      </c>
      <c r="B65" t="s">
        <v>561</v>
      </c>
      <c r="C65" t="s">
        <v>554</v>
      </c>
    </row>
    <row r="66" spans="1:3" x14ac:dyDescent="0.5">
      <c r="A66" s="7" t="s">
        <v>38</v>
      </c>
      <c r="B66" t="s">
        <v>562</v>
      </c>
      <c r="C66" t="s">
        <v>554</v>
      </c>
    </row>
    <row r="67" spans="1:3" x14ac:dyDescent="0.5">
      <c r="A67" s="7" t="s">
        <v>38</v>
      </c>
      <c r="B67" t="s">
        <v>563</v>
      </c>
      <c r="C67" t="s">
        <v>554</v>
      </c>
    </row>
    <row r="68" spans="1:3" x14ac:dyDescent="0.5">
      <c r="A68" s="7" t="s">
        <v>38</v>
      </c>
      <c r="B68" t="s">
        <v>564</v>
      </c>
      <c r="C68" t="s">
        <v>557</v>
      </c>
    </row>
    <row r="69" spans="1:3" x14ac:dyDescent="0.5">
      <c r="A69" s="7" t="s">
        <v>38</v>
      </c>
      <c r="B69" t="s">
        <v>565</v>
      </c>
      <c r="C69" t="s">
        <v>522</v>
      </c>
    </row>
    <row r="70" spans="1:3" x14ac:dyDescent="0.5">
      <c r="A70" s="7" t="s">
        <v>38</v>
      </c>
      <c r="B70" t="s">
        <v>566</v>
      </c>
      <c r="C70" t="s">
        <v>557</v>
      </c>
    </row>
    <row r="71" spans="1:3" x14ac:dyDescent="0.5">
      <c r="A71" s="7" t="s">
        <v>38</v>
      </c>
      <c r="B71" t="s">
        <v>567</v>
      </c>
      <c r="C71" t="s">
        <v>554</v>
      </c>
    </row>
    <row r="72" spans="1:3" x14ac:dyDescent="0.5">
      <c r="A72" s="7" t="s">
        <v>38</v>
      </c>
      <c r="B72" t="s">
        <v>568</v>
      </c>
      <c r="C72" t="s">
        <v>554</v>
      </c>
    </row>
    <row r="73" spans="1:3" x14ac:dyDescent="0.5">
      <c r="A73" s="7" t="s">
        <v>38</v>
      </c>
      <c r="B73" t="s">
        <v>569</v>
      </c>
      <c r="C73" t="s">
        <v>554</v>
      </c>
    </row>
    <row r="74" spans="1:3" x14ac:dyDescent="0.5">
      <c r="A74" s="7" t="s">
        <v>38</v>
      </c>
      <c r="B74" t="s">
        <v>570</v>
      </c>
      <c r="C74" t="s">
        <v>554</v>
      </c>
    </row>
    <row r="75" spans="1:3" x14ac:dyDescent="0.5">
      <c r="A75" s="7" t="s">
        <v>38</v>
      </c>
      <c r="B75" t="s">
        <v>571</v>
      </c>
      <c r="C75" t="s">
        <v>522</v>
      </c>
    </row>
    <row r="76" spans="1:3" x14ac:dyDescent="0.5">
      <c r="A76" s="7" t="s">
        <v>38</v>
      </c>
      <c r="B76" t="s">
        <v>572</v>
      </c>
      <c r="C76" t="s">
        <v>557</v>
      </c>
    </row>
    <row r="77" spans="1:3" x14ac:dyDescent="0.5">
      <c r="A77" s="7" t="s">
        <v>38</v>
      </c>
      <c r="B77" t="s">
        <v>573</v>
      </c>
      <c r="C77" t="s">
        <v>557</v>
      </c>
    </row>
    <row r="78" spans="1:3" x14ac:dyDescent="0.5">
      <c r="A78" s="26" t="s">
        <v>42</v>
      </c>
      <c r="B78" t="s">
        <v>553</v>
      </c>
      <c r="C78" s="81" t="s">
        <v>522</v>
      </c>
    </row>
    <row r="79" spans="1:3" x14ac:dyDescent="0.5">
      <c r="A79" s="26" t="s">
        <v>42</v>
      </c>
      <c r="B79" t="s">
        <v>559</v>
      </c>
      <c r="C79" s="82" t="s">
        <v>29</v>
      </c>
    </row>
    <row r="80" spans="1:3" x14ac:dyDescent="0.5">
      <c r="A80" s="26" t="s">
        <v>42</v>
      </c>
      <c r="B80" t="s">
        <v>560</v>
      </c>
      <c r="C80" s="82" t="s">
        <v>29</v>
      </c>
    </row>
    <row r="81" spans="1:3" x14ac:dyDescent="0.5">
      <c r="A81" s="26" t="s">
        <v>42</v>
      </c>
      <c r="B81" t="s">
        <v>561</v>
      </c>
      <c r="C81" s="82" t="s">
        <v>557</v>
      </c>
    </row>
    <row r="82" spans="1:3" x14ac:dyDescent="0.5">
      <c r="A82" s="26" t="s">
        <v>42</v>
      </c>
      <c r="B82" t="s">
        <v>562</v>
      </c>
      <c r="C82" s="82" t="s">
        <v>557</v>
      </c>
    </row>
    <row r="83" spans="1:3" x14ac:dyDescent="0.5">
      <c r="A83" s="26" t="s">
        <v>42</v>
      </c>
      <c r="B83" t="s">
        <v>563</v>
      </c>
      <c r="C83" s="81" t="s">
        <v>557</v>
      </c>
    </row>
    <row r="84" spans="1:3" x14ac:dyDescent="0.5">
      <c r="A84" s="26" t="s">
        <v>42</v>
      </c>
      <c r="B84" t="s">
        <v>564</v>
      </c>
      <c r="C84" s="81" t="s">
        <v>522</v>
      </c>
    </row>
    <row r="85" spans="1:3" x14ac:dyDescent="0.5">
      <c r="A85" s="26" t="s">
        <v>42</v>
      </c>
      <c r="B85" t="s">
        <v>565</v>
      </c>
      <c r="C85" s="82" t="s">
        <v>29</v>
      </c>
    </row>
    <row r="86" spans="1:3" x14ac:dyDescent="0.5">
      <c r="A86" s="26" t="s">
        <v>42</v>
      </c>
      <c r="B86" t="s">
        <v>566</v>
      </c>
      <c r="C86" s="81" t="s">
        <v>522</v>
      </c>
    </row>
    <row r="87" spans="1:3" x14ac:dyDescent="0.5">
      <c r="A87" s="26" t="s">
        <v>42</v>
      </c>
      <c r="B87" t="s">
        <v>567</v>
      </c>
      <c r="C87" s="81" t="s">
        <v>522</v>
      </c>
    </row>
    <row r="88" spans="1:3" x14ac:dyDescent="0.5">
      <c r="A88" s="26" t="s">
        <v>42</v>
      </c>
      <c r="B88" t="s">
        <v>568</v>
      </c>
      <c r="C88" s="81" t="s">
        <v>554</v>
      </c>
    </row>
    <row r="89" spans="1:3" x14ac:dyDescent="0.5">
      <c r="A89" s="26" t="s">
        <v>42</v>
      </c>
      <c r="B89" t="s">
        <v>569</v>
      </c>
      <c r="C89" s="82" t="s">
        <v>522</v>
      </c>
    </row>
    <row r="90" spans="1:3" x14ac:dyDescent="0.5">
      <c r="A90" s="26" t="s">
        <v>42</v>
      </c>
      <c r="B90" t="s">
        <v>570</v>
      </c>
      <c r="C90" s="81" t="s">
        <v>522</v>
      </c>
    </row>
    <row r="91" spans="1:3" x14ac:dyDescent="0.5">
      <c r="A91" s="26" t="s">
        <v>42</v>
      </c>
      <c r="B91" t="s">
        <v>571</v>
      </c>
      <c r="C91" s="82" t="s">
        <v>554</v>
      </c>
    </row>
    <row r="92" spans="1:3" x14ac:dyDescent="0.5">
      <c r="A92" s="26" t="s">
        <v>42</v>
      </c>
      <c r="B92" t="s">
        <v>572</v>
      </c>
      <c r="C92" s="81" t="s">
        <v>522</v>
      </c>
    </row>
    <row r="93" spans="1:3" x14ac:dyDescent="0.5">
      <c r="A93" s="26" t="s">
        <v>42</v>
      </c>
      <c r="B93" t="s">
        <v>573</v>
      </c>
      <c r="C93" s="82" t="s">
        <v>557</v>
      </c>
    </row>
    <row r="94" spans="1:3" x14ac:dyDescent="0.5">
      <c r="A94" s="26" t="s">
        <v>42</v>
      </c>
      <c r="B94" t="s">
        <v>558</v>
      </c>
      <c r="C94" s="81" t="s">
        <v>557</v>
      </c>
    </row>
    <row r="95" spans="1:3" x14ac:dyDescent="0.5">
      <c r="A95" s="26" t="s">
        <v>42</v>
      </c>
      <c r="B95" t="s">
        <v>556</v>
      </c>
      <c r="C95" s="81" t="s">
        <v>522</v>
      </c>
    </row>
    <row r="96" spans="1:3" x14ac:dyDescent="0.5">
      <c r="A96" s="26" t="s">
        <v>42</v>
      </c>
      <c r="B96" t="s">
        <v>555</v>
      </c>
      <c r="C96" s="82" t="s">
        <v>557</v>
      </c>
    </row>
    <row r="97" spans="1:3" x14ac:dyDescent="0.5">
      <c r="A97" s="7" t="s">
        <v>47</v>
      </c>
      <c r="B97" t="s">
        <v>555</v>
      </c>
      <c r="C97" t="s">
        <v>554</v>
      </c>
    </row>
    <row r="98" spans="1:3" x14ac:dyDescent="0.5">
      <c r="A98" s="7" t="s">
        <v>47</v>
      </c>
      <c r="B98" t="s">
        <v>553</v>
      </c>
      <c r="C98" t="s">
        <v>29</v>
      </c>
    </row>
    <row r="99" spans="1:3" x14ac:dyDescent="0.5">
      <c r="A99" s="7" t="s">
        <v>47</v>
      </c>
      <c r="B99" t="s">
        <v>559</v>
      </c>
      <c r="C99" t="s">
        <v>554</v>
      </c>
    </row>
    <row r="100" spans="1:3" x14ac:dyDescent="0.5">
      <c r="A100" s="7" t="s">
        <v>47</v>
      </c>
      <c r="B100" t="s">
        <v>560</v>
      </c>
      <c r="C100" t="s">
        <v>554</v>
      </c>
    </row>
    <row r="101" spans="1:3" x14ac:dyDescent="0.5">
      <c r="A101" s="7" t="s">
        <v>47</v>
      </c>
      <c r="B101" t="s">
        <v>561</v>
      </c>
      <c r="C101" t="s">
        <v>29</v>
      </c>
    </row>
    <row r="102" spans="1:3" x14ac:dyDescent="0.5">
      <c r="A102" s="7" t="s">
        <v>47</v>
      </c>
      <c r="B102" t="s">
        <v>562</v>
      </c>
      <c r="C102" t="s">
        <v>554</v>
      </c>
    </row>
    <row r="103" spans="1:3" x14ac:dyDescent="0.5">
      <c r="A103" s="7" t="s">
        <v>47</v>
      </c>
      <c r="B103" t="s">
        <v>563</v>
      </c>
      <c r="C103" t="s">
        <v>29</v>
      </c>
    </row>
    <row r="104" spans="1:3" x14ac:dyDescent="0.5">
      <c r="A104" s="7" t="s">
        <v>47</v>
      </c>
      <c r="B104" t="s">
        <v>564</v>
      </c>
      <c r="C104" t="s">
        <v>557</v>
      </c>
    </row>
    <row r="105" spans="1:3" x14ac:dyDescent="0.5">
      <c r="A105" s="7" t="s">
        <v>47</v>
      </c>
      <c r="B105" t="s">
        <v>565</v>
      </c>
      <c r="C105" t="s">
        <v>29</v>
      </c>
    </row>
    <row r="106" spans="1:3" x14ac:dyDescent="0.5">
      <c r="A106" s="7" t="s">
        <v>47</v>
      </c>
      <c r="B106" t="s">
        <v>566</v>
      </c>
      <c r="C106" t="s">
        <v>522</v>
      </c>
    </row>
    <row r="107" spans="1:3" x14ac:dyDescent="0.5">
      <c r="A107" s="7" t="s">
        <v>47</v>
      </c>
      <c r="B107" t="s">
        <v>567</v>
      </c>
      <c r="C107" t="s">
        <v>557</v>
      </c>
    </row>
    <row r="108" spans="1:3" x14ac:dyDescent="0.5">
      <c r="A108" s="7" t="s">
        <v>47</v>
      </c>
      <c r="B108" t="s">
        <v>568</v>
      </c>
      <c r="C108" t="s">
        <v>554</v>
      </c>
    </row>
    <row r="109" spans="1:3" x14ac:dyDescent="0.5">
      <c r="A109" s="7" t="s">
        <v>47</v>
      </c>
      <c r="B109" t="s">
        <v>569</v>
      </c>
      <c r="C109" t="s">
        <v>522</v>
      </c>
    </row>
    <row r="110" spans="1:3" x14ac:dyDescent="0.5">
      <c r="A110" s="7" t="s">
        <v>47</v>
      </c>
      <c r="B110" t="s">
        <v>570</v>
      </c>
      <c r="C110" t="s">
        <v>522</v>
      </c>
    </row>
    <row r="111" spans="1:3" x14ac:dyDescent="0.5">
      <c r="A111" s="7" t="s">
        <v>47</v>
      </c>
      <c r="B111" t="s">
        <v>571</v>
      </c>
      <c r="C111" t="s">
        <v>557</v>
      </c>
    </row>
    <row r="112" spans="1:3" x14ac:dyDescent="0.5">
      <c r="A112" s="7" t="s">
        <v>47</v>
      </c>
      <c r="B112" t="s">
        <v>572</v>
      </c>
      <c r="C112" t="s">
        <v>554</v>
      </c>
    </row>
    <row r="113" spans="1:3" x14ac:dyDescent="0.5">
      <c r="A113" s="7" t="s">
        <v>47</v>
      </c>
      <c r="B113" t="s">
        <v>573</v>
      </c>
      <c r="C113" t="s">
        <v>554</v>
      </c>
    </row>
    <row r="114" spans="1:3" x14ac:dyDescent="0.5">
      <c r="A114" s="7" t="s">
        <v>47</v>
      </c>
      <c r="B114" t="s">
        <v>558</v>
      </c>
      <c r="C114" t="s">
        <v>29</v>
      </c>
    </row>
    <row r="115" spans="1:3" x14ac:dyDescent="0.5">
      <c r="A115" s="7" t="s">
        <v>47</v>
      </c>
      <c r="B115" t="s">
        <v>556</v>
      </c>
      <c r="C115" t="s">
        <v>29</v>
      </c>
    </row>
    <row r="116" spans="1:3" x14ac:dyDescent="0.5">
      <c r="A116" s="7" t="s">
        <v>51</v>
      </c>
      <c r="B116" t="s">
        <v>553</v>
      </c>
      <c r="C116" t="s">
        <v>29</v>
      </c>
    </row>
    <row r="117" spans="1:3" x14ac:dyDescent="0.5">
      <c r="A117" s="7" t="s">
        <v>51</v>
      </c>
      <c r="B117" t="s">
        <v>559</v>
      </c>
      <c r="C117" t="s">
        <v>557</v>
      </c>
    </row>
    <row r="118" spans="1:3" x14ac:dyDescent="0.5">
      <c r="A118" s="7" t="s">
        <v>51</v>
      </c>
      <c r="B118" t="s">
        <v>560</v>
      </c>
      <c r="C118" t="s">
        <v>557</v>
      </c>
    </row>
    <row r="119" spans="1:3" x14ac:dyDescent="0.5">
      <c r="A119" s="7" t="s">
        <v>51</v>
      </c>
      <c r="B119" t="s">
        <v>561</v>
      </c>
      <c r="C119" t="s">
        <v>557</v>
      </c>
    </row>
    <row r="120" spans="1:3" x14ac:dyDescent="0.5">
      <c r="A120" s="7" t="s">
        <v>51</v>
      </c>
      <c r="B120" t="s">
        <v>562</v>
      </c>
      <c r="C120" t="s">
        <v>557</v>
      </c>
    </row>
    <row r="121" spans="1:3" x14ac:dyDescent="0.5">
      <c r="A121" s="7" t="s">
        <v>51</v>
      </c>
      <c r="B121" t="s">
        <v>563</v>
      </c>
      <c r="C121" t="s">
        <v>554</v>
      </c>
    </row>
    <row r="122" spans="1:3" x14ac:dyDescent="0.5">
      <c r="A122" s="7" t="s">
        <v>51</v>
      </c>
      <c r="B122" t="s">
        <v>564</v>
      </c>
      <c r="C122" t="s">
        <v>557</v>
      </c>
    </row>
    <row r="123" spans="1:3" x14ac:dyDescent="0.5">
      <c r="A123" s="7" t="s">
        <v>51</v>
      </c>
      <c r="B123" t="s">
        <v>565</v>
      </c>
      <c r="C123" t="s">
        <v>29</v>
      </c>
    </row>
    <row r="124" spans="1:3" x14ac:dyDescent="0.5">
      <c r="A124" s="7" t="s">
        <v>51</v>
      </c>
      <c r="B124" t="s">
        <v>566</v>
      </c>
      <c r="C124" t="s">
        <v>29</v>
      </c>
    </row>
    <row r="125" spans="1:3" x14ac:dyDescent="0.5">
      <c r="A125" s="7" t="s">
        <v>51</v>
      </c>
      <c r="B125" t="s">
        <v>567</v>
      </c>
      <c r="C125" t="s">
        <v>557</v>
      </c>
    </row>
    <row r="126" spans="1:3" x14ac:dyDescent="0.5">
      <c r="A126" s="7" t="s">
        <v>51</v>
      </c>
      <c r="B126" t="s">
        <v>568</v>
      </c>
      <c r="C126" t="s">
        <v>554</v>
      </c>
    </row>
    <row r="127" spans="1:3" x14ac:dyDescent="0.5">
      <c r="A127" s="7" t="s">
        <v>51</v>
      </c>
      <c r="B127" t="s">
        <v>569</v>
      </c>
      <c r="C127" t="s">
        <v>557</v>
      </c>
    </row>
    <row r="128" spans="1:3" x14ac:dyDescent="0.5">
      <c r="A128" s="7" t="s">
        <v>51</v>
      </c>
      <c r="B128" t="s">
        <v>570</v>
      </c>
      <c r="C128" t="s">
        <v>522</v>
      </c>
    </row>
    <row r="129" spans="1:3" x14ac:dyDescent="0.5">
      <c r="A129" s="7" t="s">
        <v>51</v>
      </c>
      <c r="B129" t="s">
        <v>571</v>
      </c>
      <c r="C129" t="s">
        <v>554</v>
      </c>
    </row>
    <row r="130" spans="1:3" x14ac:dyDescent="0.5">
      <c r="A130" s="7" t="s">
        <v>51</v>
      </c>
      <c r="B130" t="s">
        <v>572</v>
      </c>
      <c r="C130" t="s">
        <v>29</v>
      </c>
    </row>
    <row r="131" spans="1:3" x14ac:dyDescent="0.5">
      <c r="A131" s="7" t="s">
        <v>51</v>
      </c>
      <c r="B131" t="s">
        <v>573</v>
      </c>
      <c r="C131" t="s">
        <v>554</v>
      </c>
    </row>
    <row r="132" spans="1:3" x14ac:dyDescent="0.5">
      <c r="A132" s="7" t="s">
        <v>51</v>
      </c>
      <c r="B132" t="s">
        <v>558</v>
      </c>
      <c r="C132" t="s">
        <v>29</v>
      </c>
    </row>
    <row r="133" spans="1:3" x14ac:dyDescent="0.5">
      <c r="A133" s="7" t="s">
        <v>51</v>
      </c>
      <c r="B133" t="s">
        <v>556</v>
      </c>
      <c r="C133" t="s">
        <v>29</v>
      </c>
    </row>
    <row r="134" spans="1:3" x14ac:dyDescent="0.5">
      <c r="A134" s="7" t="s">
        <v>51</v>
      </c>
      <c r="B134" t="s">
        <v>555</v>
      </c>
      <c r="C134" t="s">
        <v>557</v>
      </c>
    </row>
    <row r="135" spans="1:3" x14ac:dyDescent="0.5">
      <c r="A135" s="26" t="s">
        <v>55</v>
      </c>
      <c r="B135" t="s">
        <v>553</v>
      </c>
      <c r="C135" s="81" t="s">
        <v>522</v>
      </c>
    </row>
    <row r="136" spans="1:3" x14ac:dyDescent="0.5">
      <c r="A136" s="26" t="s">
        <v>55</v>
      </c>
      <c r="B136" t="s">
        <v>559</v>
      </c>
      <c r="C136" s="82" t="s">
        <v>522</v>
      </c>
    </row>
    <row r="137" spans="1:3" x14ac:dyDescent="0.5">
      <c r="A137" s="26" t="s">
        <v>55</v>
      </c>
      <c r="B137" t="s">
        <v>560</v>
      </c>
      <c r="C137" s="82" t="s">
        <v>522</v>
      </c>
    </row>
    <row r="138" spans="1:3" x14ac:dyDescent="0.5">
      <c r="A138" s="26" t="s">
        <v>55</v>
      </c>
      <c r="B138" t="s">
        <v>561</v>
      </c>
      <c r="C138" s="82" t="s">
        <v>557</v>
      </c>
    </row>
    <row r="139" spans="1:3" x14ac:dyDescent="0.5">
      <c r="A139" s="26" t="s">
        <v>55</v>
      </c>
      <c r="B139" t="s">
        <v>562</v>
      </c>
      <c r="C139" s="82" t="s">
        <v>557</v>
      </c>
    </row>
    <row r="140" spans="1:3" x14ac:dyDescent="0.5">
      <c r="A140" s="26" t="s">
        <v>55</v>
      </c>
      <c r="B140" t="s">
        <v>563</v>
      </c>
      <c r="C140" s="82" t="s">
        <v>554</v>
      </c>
    </row>
    <row r="141" spans="1:3" x14ac:dyDescent="0.5">
      <c r="A141" s="26" t="s">
        <v>55</v>
      </c>
      <c r="B141" t="s">
        <v>564</v>
      </c>
      <c r="C141" s="81" t="s">
        <v>522</v>
      </c>
    </row>
    <row r="142" spans="1:3" x14ac:dyDescent="0.5">
      <c r="A142" s="26" t="s">
        <v>55</v>
      </c>
      <c r="B142" t="s">
        <v>565</v>
      </c>
      <c r="C142" s="82" t="s">
        <v>29</v>
      </c>
    </row>
    <row r="143" spans="1:3" x14ac:dyDescent="0.5">
      <c r="A143" s="26" t="s">
        <v>55</v>
      </c>
      <c r="B143" t="s">
        <v>566</v>
      </c>
      <c r="C143" s="81" t="s">
        <v>522</v>
      </c>
    </row>
    <row r="144" spans="1:3" x14ac:dyDescent="0.5">
      <c r="A144" s="26" t="s">
        <v>55</v>
      </c>
      <c r="B144" t="s">
        <v>567</v>
      </c>
      <c r="C144" s="81" t="s">
        <v>522</v>
      </c>
    </row>
    <row r="145" spans="1:3" x14ac:dyDescent="0.5">
      <c r="A145" s="26" t="s">
        <v>55</v>
      </c>
      <c r="B145" t="s">
        <v>568</v>
      </c>
      <c r="C145" s="82" t="s">
        <v>554</v>
      </c>
    </row>
    <row r="146" spans="1:3" x14ac:dyDescent="0.5">
      <c r="A146" s="26" t="s">
        <v>55</v>
      </c>
      <c r="B146" t="s">
        <v>569</v>
      </c>
      <c r="C146" s="81" t="s">
        <v>557</v>
      </c>
    </row>
    <row r="147" spans="1:3" x14ac:dyDescent="0.5">
      <c r="A147" s="26" t="s">
        <v>55</v>
      </c>
      <c r="B147" t="s">
        <v>570</v>
      </c>
      <c r="C147" s="82" t="s">
        <v>522</v>
      </c>
    </row>
    <row r="148" spans="1:3" x14ac:dyDescent="0.5">
      <c r="A148" s="26" t="s">
        <v>55</v>
      </c>
      <c r="B148" t="s">
        <v>571</v>
      </c>
      <c r="C148" s="82" t="s">
        <v>554</v>
      </c>
    </row>
    <row r="149" spans="1:3" x14ac:dyDescent="0.5">
      <c r="A149" s="26" t="s">
        <v>55</v>
      </c>
      <c r="B149" t="s">
        <v>572</v>
      </c>
      <c r="C149" s="81" t="s">
        <v>522</v>
      </c>
    </row>
    <row r="150" spans="1:3" x14ac:dyDescent="0.5">
      <c r="A150" s="26" t="s">
        <v>55</v>
      </c>
      <c r="B150" t="s">
        <v>573</v>
      </c>
      <c r="C150" s="82" t="s">
        <v>554</v>
      </c>
    </row>
    <row r="151" spans="1:3" x14ac:dyDescent="0.5">
      <c r="A151" s="26" t="s">
        <v>55</v>
      </c>
      <c r="B151" t="s">
        <v>558</v>
      </c>
      <c r="C151" s="81" t="s">
        <v>522</v>
      </c>
    </row>
    <row r="152" spans="1:3" x14ac:dyDescent="0.5">
      <c r="A152" s="26" t="s">
        <v>55</v>
      </c>
      <c r="B152" t="s">
        <v>556</v>
      </c>
      <c r="C152" s="82" t="s">
        <v>29</v>
      </c>
    </row>
    <row r="153" spans="1:3" x14ac:dyDescent="0.5">
      <c r="A153" s="26" t="s">
        <v>55</v>
      </c>
      <c r="B153" t="s">
        <v>555</v>
      </c>
      <c r="C153" s="82" t="s">
        <v>557</v>
      </c>
    </row>
    <row r="154" spans="1:3" x14ac:dyDescent="0.5">
      <c r="A154" s="7" t="s">
        <v>63</v>
      </c>
      <c r="B154" t="s">
        <v>555</v>
      </c>
      <c r="C154" t="s">
        <v>554</v>
      </c>
    </row>
    <row r="155" spans="1:3" x14ac:dyDescent="0.5">
      <c r="A155" s="7" t="s">
        <v>63</v>
      </c>
      <c r="B155" t="s">
        <v>558</v>
      </c>
      <c r="C155" t="s">
        <v>522</v>
      </c>
    </row>
    <row r="156" spans="1:3" x14ac:dyDescent="0.5">
      <c r="A156" s="7" t="s">
        <v>63</v>
      </c>
      <c r="B156" t="s">
        <v>553</v>
      </c>
      <c r="C156" t="s">
        <v>522</v>
      </c>
    </row>
    <row r="157" spans="1:3" x14ac:dyDescent="0.5">
      <c r="A157" s="7" t="s">
        <v>63</v>
      </c>
      <c r="B157" t="s">
        <v>559</v>
      </c>
      <c r="C157" t="s">
        <v>29</v>
      </c>
    </row>
    <row r="158" spans="1:3" x14ac:dyDescent="0.5">
      <c r="A158" s="7" t="s">
        <v>63</v>
      </c>
      <c r="B158" t="s">
        <v>560</v>
      </c>
      <c r="C158" t="s">
        <v>29</v>
      </c>
    </row>
    <row r="159" spans="1:3" x14ac:dyDescent="0.5">
      <c r="A159" s="7" t="s">
        <v>63</v>
      </c>
      <c r="B159" t="s">
        <v>561</v>
      </c>
      <c r="C159" t="s">
        <v>29</v>
      </c>
    </row>
    <row r="160" spans="1:3" x14ac:dyDescent="0.5">
      <c r="A160" s="7" t="s">
        <v>63</v>
      </c>
      <c r="B160" t="s">
        <v>562</v>
      </c>
      <c r="C160" t="s">
        <v>29</v>
      </c>
    </row>
    <row r="161" spans="1:3" x14ac:dyDescent="0.5">
      <c r="A161" s="7" t="s">
        <v>63</v>
      </c>
      <c r="B161" t="s">
        <v>563</v>
      </c>
      <c r="C161" t="s">
        <v>29</v>
      </c>
    </row>
    <row r="162" spans="1:3" x14ac:dyDescent="0.5">
      <c r="A162" s="7" t="s">
        <v>63</v>
      </c>
      <c r="B162" t="s">
        <v>564</v>
      </c>
      <c r="C162" t="s">
        <v>29</v>
      </c>
    </row>
    <row r="163" spans="1:3" x14ac:dyDescent="0.5">
      <c r="A163" s="7" t="s">
        <v>63</v>
      </c>
      <c r="B163" t="s">
        <v>565</v>
      </c>
      <c r="C163" t="s">
        <v>29</v>
      </c>
    </row>
    <row r="164" spans="1:3" x14ac:dyDescent="0.5">
      <c r="A164" s="7" t="s">
        <v>63</v>
      </c>
      <c r="B164" t="s">
        <v>566</v>
      </c>
      <c r="C164" t="s">
        <v>29</v>
      </c>
    </row>
    <row r="165" spans="1:3" x14ac:dyDescent="0.5">
      <c r="A165" s="7" t="s">
        <v>63</v>
      </c>
      <c r="B165" t="s">
        <v>567</v>
      </c>
      <c r="C165" t="s">
        <v>554</v>
      </c>
    </row>
    <row r="166" spans="1:3" x14ac:dyDescent="0.5">
      <c r="A166" s="7" t="s">
        <v>63</v>
      </c>
      <c r="B166" t="s">
        <v>568</v>
      </c>
      <c r="C166" t="s">
        <v>522</v>
      </c>
    </row>
    <row r="167" spans="1:3" x14ac:dyDescent="0.5">
      <c r="A167" s="7" t="s">
        <v>63</v>
      </c>
      <c r="B167" t="s">
        <v>569</v>
      </c>
      <c r="C167" t="s">
        <v>557</v>
      </c>
    </row>
    <row r="168" spans="1:3" x14ac:dyDescent="0.5">
      <c r="A168" s="7" t="s">
        <v>63</v>
      </c>
      <c r="B168" t="s">
        <v>570</v>
      </c>
      <c r="C168" t="s">
        <v>522</v>
      </c>
    </row>
    <row r="169" spans="1:3" x14ac:dyDescent="0.5">
      <c r="A169" s="7" t="s">
        <v>63</v>
      </c>
      <c r="B169" t="s">
        <v>571</v>
      </c>
      <c r="C169" t="s">
        <v>522</v>
      </c>
    </row>
    <row r="170" spans="1:3" x14ac:dyDescent="0.5">
      <c r="A170" s="7" t="s">
        <v>63</v>
      </c>
      <c r="B170" t="s">
        <v>572</v>
      </c>
      <c r="C170" t="s">
        <v>29</v>
      </c>
    </row>
    <row r="171" spans="1:3" x14ac:dyDescent="0.5">
      <c r="A171" s="7" t="s">
        <v>63</v>
      </c>
      <c r="B171" t="s">
        <v>573</v>
      </c>
      <c r="C171" t="s">
        <v>522</v>
      </c>
    </row>
    <row r="172" spans="1:3" x14ac:dyDescent="0.5">
      <c r="A172" s="7" t="s">
        <v>63</v>
      </c>
      <c r="B172" t="s">
        <v>556</v>
      </c>
      <c r="C172" t="s">
        <v>29</v>
      </c>
    </row>
    <row r="173" spans="1:3" x14ac:dyDescent="0.5">
      <c r="A173" s="7" t="s">
        <v>68</v>
      </c>
      <c r="B173" t="s">
        <v>553</v>
      </c>
      <c r="C173" t="s">
        <v>29</v>
      </c>
    </row>
    <row r="174" spans="1:3" x14ac:dyDescent="0.5">
      <c r="A174" s="7" t="s">
        <v>68</v>
      </c>
      <c r="B174" t="s">
        <v>559</v>
      </c>
      <c r="C174" t="s">
        <v>554</v>
      </c>
    </row>
    <row r="175" spans="1:3" x14ac:dyDescent="0.5">
      <c r="A175" s="7" t="s">
        <v>68</v>
      </c>
      <c r="B175" t="s">
        <v>560</v>
      </c>
      <c r="C175" t="s">
        <v>557</v>
      </c>
    </row>
    <row r="176" spans="1:3" x14ac:dyDescent="0.5">
      <c r="A176" s="7" t="s">
        <v>68</v>
      </c>
      <c r="B176" t="s">
        <v>561</v>
      </c>
      <c r="C176" t="s">
        <v>29</v>
      </c>
    </row>
    <row r="177" spans="1:3" x14ac:dyDescent="0.5">
      <c r="A177" s="7" t="s">
        <v>68</v>
      </c>
      <c r="B177" t="s">
        <v>562</v>
      </c>
      <c r="C177" t="s">
        <v>554</v>
      </c>
    </row>
    <row r="178" spans="1:3" x14ac:dyDescent="0.5">
      <c r="A178" s="7" t="s">
        <v>68</v>
      </c>
      <c r="B178" t="s">
        <v>563</v>
      </c>
      <c r="C178" t="s">
        <v>29</v>
      </c>
    </row>
    <row r="179" spans="1:3" x14ac:dyDescent="0.5">
      <c r="A179" s="7" t="s">
        <v>68</v>
      </c>
      <c r="B179" t="s">
        <v>564</v>
      </c>
      <c r="C179" t="s">
        <v>29</v>
      </c>
    </row>
    <row r="180" spans="1:3" x14ac:dyDescent="0.5">
      <c r="A180" s="7" t="s">
        <v>68</v>
      </c>
      <c r="B180" t="s">
        <v>565</v>
      </c>
      <c r="C180" t="s">
        <v>29</v>
      </c>
    </row>
    <row r="181" spans="1:3" x14ac:dyDescent="0.5">
      <c r="A181" s="7" t="s">
        <v>68</v>
      </c>
      <c r="B181" t="s">
        <v>566</v>
      </c>
      <c r="C181" t="s">
        <v>29</v>
      </c>
    </row>
    <row r="182" spans="1:3" x14ac:dyDescent="0.5">
      <c r="A182" s="7" t="s">
        <v>68</v>
      </c>
      <c r="B182" t="s">
        <v>567</v>
      </c>
      <c r="C182" t="s">
        <v>522</v>
      </c>
    </row>
    <row r="183" spans="1:3" x14ac:dyDescent="0.5">
      <c r="A183" s="7" t="s">
        <v>68</v>
      </c>
      <c r="B183" t="s">
        <v>568</v>
      </c>
      <c r="C183" t="s">
        <v>554</v>
      </c>
    </row>
    <row r="184" spans="1:3" x14ac:dyDescent="0.5">
      <c r="A184" s="7" t="s">
        <v>68</v>
      </c>
      <c r="B184" t="s">
        <v>569</v>
      </c>
      <c r="C184" t="s">
        <v>29</v>
      </c>
    </row>
    <row r="185" spans="1:3" x14ac:dyDescent="0.5">
      <c r="A185" s="7" t="s">
        <v>68</v>
      </c>
      <c r="B185" t="s">
        <v>570</v>
      </c>
      <c r="C185" t="s">
        <v>29</v>
      </c>
    </row>
    <row r="186" spans="1:3" x14ac:dyDescent="0.5">
      <c r="A186" s="7" t="s">
        <v>68</v>
      </c>
      <c r="B186" t="s">
        <v>571</v>
      </c>
      <c r="C186" t="s">
        <v>522</v>
      </c>
    </row>
    <row r="187" spans="1:3" x14ac:dyDescent="0.5">
      <c r="A187" s="7" t="s">
        <v>68</v>
      </c>
      <c r="B187" t="s">
        <v>572</v>
      </c>
      <c r="C187" t="s">
        <v>29</v>
      </c>
    </row>
    <row r="188" spans="1:3" x14ac:dyDescent="0.5">
      <c r="A188" s="7" t="s">
        <v>68</v>
      </c>
      <c r="B188" t="s">
        <v>573</v>
      </c>
      <c r="C188" t="s">
        <v>554</v>
      </c>
    </row>
    <row r="189" spans="1:3" x14ac:dyDescent="0.5">
      <c r="A189" s="7" t="s">
        <v>68</v>
      </c>
      <c r="B189" t="s">
        <v>558</v>
      </c>
      <c r="C189" t="s">
        <v>29</v>
      </c>
    </row>
    <row r="190" spans="1:3" x14ac:dyDescent="0.5">
      <c r="A190" s="7" t="s">
        <v>68</v>
      </c>
      <c r="B190" t="s">
        <v>556</v>
      </c>
      <c r="C190" t="s">
        <v>29</v>
      </c>
    </row>
    <row r="191" spans="1:3" x14ac:dyDescent="0.5">
      <c r="A191" s="7" t="s">
        <v>68</v>
      </c>
      <c r="B191" t="s">
        <v>555</v>
      </c>
      <c r="C191" t="s">
        <v>557</v>
      </c>
    </row>
    <row r="192" spans="1:3" x14ac:dyDescent="0.5">
      <c r="A192" s="7" t="s">
        <v>96</v>
      </c>
      <c r="B192" t="s">
        <v>555</v>
      </c>
      <c r="C192" t="s">
        <v>554</v>
      </c>
    </row>
    <row r="193" spans="1:3" x14ac:dyDescent="0.5">
      <c r="A193" s="7" t="s">
        <v>96</v>
      </c>
      <c r="B193" t="s">
        <v>553</v>
      </c>
      <c r="C193" t="s">
        <v>557</v>
      </c>
    </row>
    <row r="194" spans="1:3" x14ac:dyDescent="0.5">
      <c r="A194" s="7" t="s">
        <v>96</v>
      </c>
      <c r="B194" t="s">
        <v>559</v>
      </c>
      <c r="C194" t="s">
        <v>29</v>
      </c>
    </row>
    <row r="195" spans="1:3" x14ac:dyDescent="0.5">
      <c r="A195" s="7" t="s">
        <v>96</v>
      </c>
      <c r="B195" t="s">
        <v>560</v>
      </c>
      <c r="C195" t="s">
        <v>29</v>
      </c>
    </row>
    <row r="196" spans="1:3" x14ac:dyDescent="0.5">
      <c r="A196" s="7" t="s">
        <v>96</v>
      </c>
      <c r="B196" t="s">
        <v>561</v>
      </c>
      <c r="C196" t="s">
        <v>29</v>
      </c>
    </row>
    <row r="197" spans="1:3" x14ac:dyDescent="0.5">
      <c r="A197" s="7" t="s">
        <v>96</v>
      </c>
      <c r="B197" t="s">
        <v>562</v>
      </c>
      <c r="C197" t="s">
        <v>557</v>
      </c>
    </row>
    <row r="198" spans="1:3" x14ac:dyDescent="0.5">
      <c r="A198" s="7" t="s">
        <v>96</v>
      </c>
      <c r="B198" t="s">
        <v>563</v>
      </c>
      <c r="C198" t="s">
        <v>554</v>
      </c>
    </row>
    <row r="199" spans="1:3" x14ac:dyDescent="0.5">
      <c r="A199" s="7" t="s">
        <v>96</v>
      </c>
      <c r="B199" t="s">
        <v>564</v>
      </c>
      <c r="C199" t="s">
        <v>554</v>
      </c>
    </row>
    <row r="200" spans="1:3" x14ac:dyDescent="0.5">
      <c r="A200" s="7" t="s">
        <v>96</v>
      </c>
      <c r="B200" t="s">
        <v>565</v>
      </c>
      <c r="C200" t="s">
        <v>29</v>
      </c>
    </row>
    <row r="201" spans="1:3" x14ac:dyDescent="0.5">
      <c r="A201" s="7" t="s">
        <v>96</v>
      </c>
      <c r="B201" t="s">
        <v>566</v>
      </c>
      <c r="C201" t="s">
        <v>557</v>
      </c>
    </row>
    <row r="202" spans="1:3" x14ac:dyDescent="0.5">
      <c r="A202" s="7" t="s">
        <v>96</v>
      </c>
      <c r="B202" t="s">
        <v>567</v>
      </c>
      <c r="C202" t="s">
        <v>554</v>
      </c>
    </row>
    <row r="203" spans="1:3" x14ac:dyDescent="0.5">
      <c r="A203" s="7" t="s">
        <v>96</v>
      </c>
      <c r="B203" t="s">
        <v>568</v>
      </c>
      <c r="C203" t="s">
        <v>557</v>
      </c>
    </row>
    <row r="204" spans="1:3" x14ac:dyDescent="0.5">
      <c r="A204" s="7" t="s">
        <v>96</v>
      </c>
      <c r="B204" t="s">
        <v>569</v>
      </c>
      <c r="C204" t="s">
        <v>554</v>
      </c>
    </row>
    <row r="205" spans="1:3" x14ac:dyDescent="0.5">
      <c r="A205" s="7" t="s">
        <v>96</v>
      </c>
      <c r="B205" t="s">
        <v>570</v>
      </c>
      <c r="C205" t="s">
        <v>557</v>
      </c>
    </row>
    <row r="206" spans="1:3" x14ac:dyDescent="0.5">
      <c r="A206" s="7" t="s">
        <v>96</v>
      </c>
      <c r="B206" t="s">
        <v>571</v>
      </c>
      <c r="C206" t="s">
        <v>29</v>
      </c>
    </row>
    <row r="207" spans="1:3" x14ac:dyDescent="0.5">
      <c r="A207" s="7" t="s">
        <v>96</v>
      </c>
      <c r="B207" t="s">
        <v>572</v>
      </c>
      <c r="C207" t="s">
        <v>557</v>
      </c>
    </row>
    <row r="208" spans="1:3" x14ac:dyDescent="0.5">
      <c r="A208" s="7" t="s">
        <v>96</v>
      </c>
      <c r="B208" t="s">
        <v>573</v>
      </c>
      <c r="C208" t="s">
        <v>557</v>
      </c>
    </row>
    <row r="209" spans="1:3" x14ac:dyDescent="0.5">
      <c r="A209" s="7" t="s">
        <v>96</v>
      </c>
      <c r="B209" t="s">
        <v>558</v>
      </c>
      <c r="C209" t="s">
        <v>29</v>
      </c>
    </row>
    <row r="210" spans="1:3" x14ac:dyDescent="0.5">
      <c r="A210" s="7" t="s">
        <v>96</v>
      </c>
      <c r="B210" t="s">
        <v>556</v>
      </c>
      <c r="C210" t="s">
        <v>29</v>
      </c>
    </row>
    <row r="211" spans="1:3" x14ac:dyDescent="0.5">
      <c r="A211" s="7" t="s">
        <v>140</v>
      </c>
      <c r="B211" t="s">
        <v>555</v>
      </c>
      <c r="C211" t="s">
        <v>554</v>
      </c>
    </row>
    <row r="212" spans="1:3" x14ac:dyDescent="0.5">
      <c r="A212" s="7" t="s">
        <v>140</v>
      </c>
      <c r="B212" t="s">
        <v>558</v>
      </c>
      <c r="C212" t="s">
        <v>522</v>
      </c>
    </row>
    <row r="213" spans="1:3" x14ac:dyDescent="0.5">
      <c r="A213" s="7" t="s">
        <v>140</v>
      </c>
      <c r="B213" t="s">
        <v>553</v>
      </c>
      <c r="C213" t="s">
        <v>29</v>
      </c>
    </row>
    <row r="214" spans="1:3" x14ac:dyDescent="0.5">
      <c r="A214" s="7" t="s">
        <v>140</v>
      </c>
      <c r="B214" t="s">
        <v>559</v>
      </c>
      <c r="C214" t="s">
        <v>554</v>
      </c>
    </row>
    <row r="215" spans="1:3" x14ac:dyDescent="0.5">
      <c r="A215" s="7" t="s">
        <v>140</v>
      </c>
      <c r="B215" t="s">
        <v>560</v>
      </c>
      <c r="C215" t="s">
        <v>554</v>
      </c>
    </row>
    <row r="216" spans="1:3" x14ac:dyDescent="0.5">
      <c r="A216" s="7" t="s">
        <v>140</v>
      </c>
      <c r="B216" t="s">
        <v>561</v>
      </c>
      <c r="C216" t="s">
        <v>29</v>
      </c>
    </row>
    <row r="217" spans="1:3" x14ac:dyDescent="0.5">
      <c r="A217" s="7" t="s">
        <v>140</v>
      </c>
      <c r="B217" t="s">
        <v>562</v>
      </c>
      <c r="C217" t="s">
        <v>554</v>
      </c>
    </row>
    <row r="218" spans="1:3" x14ac:dyDescent="0.5">
      <c r="A218" s="7" t="s">
        <v>140</v>
      </c>
      <c r="B218" t="s">
        <v>563</v>
      </c>
      <c r="C218" t="s">
        <v>522</v>
      </c>
    </row>
    <row r="219" spans="1:3" x14ac:dyDescent="0.5">
      <c r="A219" s="7" t="s">
        <v>140</v>
      </c>
      <c r="B219" t="s">
        <v>564</v>
      </c>
      <c r="C219" t="s">
        <v>29</v>
      </c>
    </row>
    <row r="220" spans="1:3" x14ac:dyDescent="0.5">
      <c r="A220" s="7" t="s">
        <v>140</v>
      </c>
      <c r="B220" t="s">
        <v>565</v>
      </c>
      <c r="C220" t="s">
        <v>29</v>
      </c>
    </row>
    <row r="221" spans="1:3" x14ac:dyDescent="0.5">
      <c r="A221" s="7" t="s">
        <v>140</v>
      </c>
      <c r="B221" t="s">
        <v>566</v>
      </c>
      <c r="C221" t="s">
        <v>522</v>
      </c>
    </row>
    <row r="222" spans="1:3" x14ac:dyDescent="0.5">
      <c r="A222" s="7" t="s">
        <v>140</v>
      </c>
      <c r="B222" t="s">
        <v>567</v>
      </c>
      <c r="C222" t="s">
        <v>522</v>
      </c>
    </row>
    <row r="223" spans="1:3" x14ac:dyDescent="0.5">
      <c r="A223" s="7" t="s">
        <v>140</v>
      </c>
      <c r="B223" t="s">
        <v>568</v>
      </c>
      <c r="C223" t="s">
        <v>554</v>
      </c>
    </row>
    <row r="224" spans="1:3" x14ac:dyDescent="0.5">
      <c r="A224" s="7" t="s">
        <v>140</v>
      </c>
      <c r="B224" t="s">
        <v>569</v>
      </c>
      <c r="C224" t="s">
        <v>554</v>
      </c>
    </row>
    <row r="225" spans="1:3" x14ac:dyDescent="0.5">
      <c r="A225" s="7" t="s">
        <v>140</v>
      </c>
      <c r="B225" t="s">
        <v>570</v>
      </c>
      <c r="C225" t="s">
        <v>522</v>
      </c>
    </row>
    <row r="226" spans="1:3" x14ac:dyDescent="0.5">
      <c r="A226" s="7" t="s">
        <v>140</v>
      </c>
      <c r="B226" t="s">
        <v>571</v>
      </c>
      <c r="C226" t="s">
        <v>522</v>
      </c>
    </row>
    <row r="227" spans="1:3" x14ac:dyDescent="0.5">
      <c r="A227" s="7" t="s">
        <v>140</v>
      </c>
      <c r="B227" t="s">
        <v>572</v>
      </c>
      <c r="C227" t="s">
        <v>574</v>
      </c>
    </row>
    <row r="228" spans="1:3" x14ac:dyDescent="0.5">
      <c r="A228" s="7" t="s">
        <v>140</v>
      </c>
      <c r="B228" t="s">
        <v>573</v>
      </c>
      <c r="C228" t="s">
        <v>554</v>
      </c>
    </row>
    <row r="229" spans="1:3" x14ac:dyDescent="0.5">
      <c r="A229" s="7" t="s">
        <v>140</v>
      </c>
      <c r="B229" t="s">
        <v>556</v>
      </c>
      <c r="C229" t="s">
        <v>29</v>
      </c>
    </row>
    <row r="230" spans="1:3" x14ac:dyDescent="0.5">
      <c r="A230" s="7" t="s">
        <v>144</v>
      </c>
      <c r="B230" t="s">
        <v>555</v>
      </c>
      <c r="C230" t="s">
        <v>554</v>
      </c>
    </row>
    <row r="231" spans="1:3" x14ac:dyDescent="0.5">
      <c r="A231" s="7" t="s">
        <v>144</v>
      </c>
      <c r="B231" t="s">
        <v>553</v>
      </c>
      <c r="C231" t="s">
        <v>522</v>
      </c>
    </row>
    <row r="232" spans="1:3" x14ac:dyDescent="0.5">
      <c r="A232" s="7" t="s">
        <v>144</v>
      </c>
      <c r="B232" t="s">
        <v>559</v>
      </c>
      <c r="C232" t="s">
        <v>554</v>
      </c>
    </row>
    <row r="233" spans="1:3" x14ac:dyDescent="0.5">
      <c r="A233" s="7" t="s">
        <v>144</v>
      </c>
      <c r="B233" t="s">
        <v>560</v>
      </c>
      <c r="C233" t="s">
        <v>522</v>
      </c>
    </row>
    <row r="234" spans="1:3" x14ac:dyDescent="0.5">
      <c r="A234" s="7" t="s">
        <v>144</v>
      </c>
      <c r="B234" t="s">
        <v>561</v>
      </c>
      <c r="C234" t="s">
        <v>557</v>
      </c>
    </row>
    <row r="235" spans="1:3" x14ac:dyDescent="0.5">
      <c r="A235" s="7" t="s">
        <v>144</v>
      </c>
      <c r="B235" t="s">
        <v>562</v>
      </c>
      <c r="C235" t="s">
        <v>554</v>
      </c>
    </row>
    <row r="236" spans="1:3" x14ac:dyDescent="0.5">
      <c r="A236" s="7" t="s">
        <v>144</v>
      </c>
      <c r="B236" t="s">
        <v>563</v>
      </c>
      <c r="C236" t="s">
        <v>557</v>
      </c>
    </row>
    <row r="237" spans="1:3" x14ac:dyDescent="0.5">
      <c r="A237" s="7" t="s">
        <v>144</v>
      </c>
      <c r="B237" t="s">
        <v>564</v>
      </c>
      <c r="C237" t="s">
        <v>557</v>
      </c>
    </row>
    <row r="238" spans="1:3" x14ac:dyDescent="0.5">
      <c r="A238" s="7" t="s">
        <v>144</v>
      </c>
      <c r="B238" t="s">
        <v>565</v>
      </c>
      <c r="C238" t="s">
        <v>29</v>
      </c>
    </row>
    <row r="239" spans="1:3" x14ac:dyDescent="0.5">
      <c r="A239" s="7" t="s">
        <v>144</v>
      </c>
      <c r="B239" t="s">
        <v>566</v>
      </c>
      <c r="C239" t="s">
        <v>557</v>
      </c>
    </row>
    <row r="240" spans="1:3" x14ac:dyDescent="0.5">
      <c r="A240" s="7" t="s">
        <v>144</v>
      </c>
      <c r="B240" t="s">
        <v>567</v>
      </c>
      <c r="C240" t="s">
        <v>554</v>
      </c>
    </row>
    <row r="241" spans="1:3" x14ac:dyDescent="0.5">
      <c r="A241" s="7" t="s">
        <v>144</v>
      </c>
      <c r="B241" t="s">
        <v>568</v>
      </c>
      <c r="C241" t="s">
        <v>554</v>
      </c>
    </row>
    <row r="242" spans="1:3" x14ac:dyDescent="0.5">
      <c r="A242" s="7" t="s">
        <v>144</v>
      </c>
      <c r="B242" t="s">
        <v>569</v>
      </c>
      <c r="C242" t="s">
        <v>554</v>
      </c>
    </row>
    <row r="243" spans="1:3" x14ac:dyDescent="0.5">
      <c r="A243" s="7" t="s">
        <v>144</v>
      </c>
      <c r="B243" t="s">
        <v>570</v>
      </c>
      <c r="C243" t="s">
        <v>557</v>
      </c>
    </row>
    <row r="244" spans="1:3" x14ac:dyDescent="0.5">
      <c r="A244" s="7" t="s">
        <v>144</v>
      </c>
      <c r="B244" t="s">
        <v>571</v>
      </c>
      <c r="C244" t="s">
        <v>554</v>
      </c>
    </row>
    <row r="245" spans="1:3" x14ac:dyDescent="0.5">
      <c r="A245" s="7" t="s">
        <v>144</v>
      </c>
      <c r="B245" t="s">
        <v>572</v>
      </c>
      <c r="C245" t="s">
        <v>557</v>
      </c>
    </row>
    <row r="246" spans="1:3" x14ac:dyDescent="0.5">
      <c r="A246" s="7" t="s">
        <v>144</v>
      </c>
      <c r="B246" t="s">
        <v>573</v>
      </c>
      <c r="C246" t="s">
        <v>554</v>
      </c>
    </row>
    <row r="247" spans="1:3" x14ac:dyDescent="0.5">
      <c r="A247" s="7" t="s">
        <v>144</v>
      </c>
      <c r="B247" t="s">
        <v>558</v>
      </c>
      <c r="C247" t="s">
        <v>29</v>
      </c>
    </row>
    <row r="248" spans="1:3" x14ac:dyDescent="0.5">
      <c r="A248" s="7" t="s">
        <v>144</v>
      </c>
      <c r="B248" t="s">
        <v>556</v>
      </c>
      <c r="C248" t="s">
        <v>29</v>
      </c>
    </row>
    <row r="249" spans="1:3" x14ac:dyDescent="0.5">
      <c r="A249" s="7" t="s">
        <v>170</v>
      </c>
      <c r="B249" t="s">
        <v>553</v>
      </c>
      <c r="C249" t="s">
        <v>29</v>
      </c>
    </row>
    <row r="250" spans="1:3" x14ac:dyDescent="0.5">
      <c r="A250" s="7" t="s">
        <v>170</v>
      </c>
      <c r="B250" t="s">
        <v>559</v>
      </c>
      <c r="C250" t="s">
        <v>557</v>
      </c>
    </row>
    <row r="251" spans="1:3" x14ac:dyDescent="0.5">
      <c r="A251" s="7" t="s">
        <v>170</v>
      </c>
      <c r="B251" t="s">
        <v>560</v>
      </c>
      <c r="C251" t="s">
        <v>522</v>
      </c>
    </row>
    <row r="252" spans="1:3" x14ac:dyDescent="0.5">
      <c r="A252" s="7" t="s">
        <v>170</v>
      </c>
      <c r="B252" t="s">
        <v>561</v>
      </c>
      <c r="C252" t="s">
        <v>29</v>
      </c>
    </row>
    <row r="253" spans="1:3" x14ac:dyDescent="0.5">
      <c r="A253" s="7" t="s">
        <v>170</v>
      </c>
      <c r="B253" t="s">
        <v>562</v>
      </c>
      <c r="C253" t="s">
        <v>557</v>
      </c>
    </row>
    <row r="254" spans="1:3" x14ac:dyDescent="0.5">
      <c r="A254" s="7" t="s">
        <v>170</v>
      </c>
      <c r="B254" t="s">
        <v>563</v>
      </c>
      <c r="C254" t="s">
        <v>522</v>
      </c>
    </row>
    <row r="255" spans="1:3" x14ac:dyDescent="0.5">
      <c r="A255" s="7" t="s">
        <v>170</v>
      </c>
      <c r="B255" t="s">
        <v>564</v>
      </c>
      <c r="C255" t="s">
        <v>29</v>
      </c>
    </row>
    <row r="256" spans="1:3" x14ac:dyDescent="0.5">
      <c r="A256" s="7" t="s">
        <v>170</v>
      </c>
      <c r="B256" t="s">
        <v>565</v>
      </c>
      <c r="C256" t="s">
        <v>29</v>
      </c>
    </row>
    <row r="257" spans="1:3" x14ac:dyDescent="0.5">
      <c r="A257" s="7" t="s">
        <v>170</v>
      </c>
      <c r="B257" t="s">
        <v>566</v>
      </c>
      <c r="C257" t="s">
        <v>29</v>
      </c>
    </row>
    <row r="258" spans="1:3" x14ac:dyDescent="0.5">
      <c r="A258" s="7" t="s">
        <v>170</v>
      </c>
      <c r="B258" t="s">
        <v>567</v>
      </c>
      <c r="C258" t="s">
        <v>522</v>
      </c>
    </row>
    <row r="259" spans="1:3" x14ac:dyDescent="0.5">
      <c r="A259" s="7" t="s">
        <v>170</v>
      </c>
      <c r="B259" t="s">
        <v>568</v>
      </c>
      <c r="C259" t="s">
        <v>554</v>
      </c>
    </row>
    <row r="260" spans="1:3" x14ac:dyDescent="0.5">
      <c r="A260" s="7" t="s">
        <v>170</v>
      </c>
      <c r="B260" t="s">
        <v>569</v>
      </c>
      <c r="C260" t="s">
        <v>522</v>
      </c>
    </row>
    <row r="261" spans="1:3" x14ac:dyDescent="0.5">
      <c r="A261" s="7" t="s">
        <v>170</v>
      </c>
      <c r="B261" t="s">
        <v>570</v>
      </c>
      <c r="C261" t="s">
        <v>522</v>
      </c>
    </row>
    <row r="262" spans="1:3" x14ac:dyDescent="0.5">
      <c r="A262" s="7" t="s">
        <v>170</v>
      </c>
      <c r="B262" t="s">
        <v>571</v>
      </c>
      <c r="C262" t="s">
        <v>557</v>
      </c>
    </row>
    <row r="263" spans="1:3" x14ac:dyDescent="0.5">
      <c r="A263" s="7" t="s">
        <v>170</v>
      </c>
      <c r="B263" t="s">
        <v>572</v>
      </c>
      <c r="C263" t="s">
        <v>29</v>
      </c>
    </row>
    <row r="264" spans="1:3" x14ac:dyDescent="0.5">
      <c r="A264" s="7" t="s">
        <v>170</v>
      </c>
      <c r="B264" t="s">
        <v>573</v>
      </c>
      <c r="C264" t="s">
        <v>554</v>
      </c>
    </row>
    <row r="265" spans="1:3" x14ac:dyDescent="0.5">
      <c r="A265" s="7" t="s">
        <v>170</v>
      </c>
      <c r="B265" t="s">
        <v>558</v>
      </c>
      <c r="C265" t="s">
        <v>29</v>
      </c>
    </row>
    <row r="266" spans="1:3" x14ac:dyDescent="0.5">
      <c r="A266" s="7" t="s">
        <v>170</v>
      </c>
      <c r="B266" t="s">
        <v>556</v>
      </c>
      <c r="C266" t="s">
        <v>29</v>
      </c>
    </row>
    <row r="267" spans="1:3" x14ac:dyDescent="0.5">
      <c r="A267" s="7" t="s">
        <v>170</v>
      </c>
      <c r="B267" t="s">
        <v>555</v>
      </c>
      <c r="C267" t="s">
        <v>557</v>
      </c>
    </row>
    <row r="268" spans="1:3" x14ac:dyDescent="0.5">
      <c r="A268" s="7" t="s">
        <v>174</v>
      </c>
      <c r="B268" t="s">
        <v>555</v>
      </c>
      <c r="C268" t="s">
        <v>29</v>
      </c>
    </row>
    <row r="269" spans="1:3" x14ac:dyDescent="0.5">
      <c r="A269" s="7" t="s">
        <v>174</v>
      </c>
      <c r="B269" t="s">
        <v>553</v>
      </c>
      <c r="C269" t="s">
        <v>29</v>
      </c>
    </row>
    <row r="270" spans="1:3" x14ac:dyDescent="0.5">
      <c r="A270" s="7" t="s">
        <v>174</v>
      </c>
      <c r="B270" t="s">
        <v>559</v>
      </c>
      <c r="C270" t="s">
        <v>29</v>
      </c>
    </row>
    <row r="271" spans="1:3" x14ac:dyDescent="0.5">
      <c r="A271" s="7" t="s">
        <v>174</v>
      </c>
      <c r="B271" t="s">
        <v>560</v>
      </c>
      <c r="C271" t="s">
        <v>29</v>
      </c>
    </row>
    <row r="272" spans="1:3" x14ac:dyDescent="0.5">
      <c r="A272" s="7" t="s">
        <v>174</v>
      </c>
      <c r="B272" t="s">
        <v>561</v>
      </c>
      <c r="C272" t="s">
        <v>29</v>
      </c>
    </row>
    <row r="273" spans="1:3" x14ac:dyDescent="0.5">
      <c r="A273" s="7" t="s">
        <v>174</v>
      </c>
      <c r="B273" t="s">
        <v>562</v>
      </c>
      <c r="C273" t="s">
        <v>554</v>
      </c>
    </row>
    <row r="274" spans="1:3" x14ac:dyDescent="0.5">
      <c r="A274" s="7" t="s">
        <v>174</v>
      </c>
      <c r="B274" t="s">
        <v>563</v>
      </c>
      <c r="C274" t="s">
        <v>29</v>
      </c>
    </row>
    <row r="275" spans="1:3" x14ac:dyDescent="0.5">
      <c r="A275" s="7" t="s">
        <v>174</v>
      </c>
      <c r="B275" t="s">
        <v>564</v>
      </c>
      <c r="C275" t="s">
        <v>522</v>
      </c>
    </row>
    <row r="276" spans="1:3" x14ac:dyDescent="0.5">
      <c r="A276" s="7" t="s">
        <v>174</v>
      </c>
      <c r="B276" t="s">
        <v>565</v>
      </c>
      <c r="C276" t="s">
        <v>29</v>
      </c>
    </row>
    <row r="277" spans="1:3" x14ac:dyDescent="0.5">
      <c r="A277" s="7" t="s">
        <v>174</v>
      </c>
      <c r="B277" t="s">
        <v>566</v>
      </c>
      <c r="C277" t="s">
        <v>29</v>
      </c>
    </row>
    <row r="278" spans="1:3" x14ac:dyDescent="0.5">
      <c r="A278" s="7" t="s">
        <v>174</v>
      </c>
      <c r="B278" t="s">
        <v>567</v>
      </c>
      <c r="C278" t="s">
        <v>522</v>
      </c>
    </row>
    <row r="279" spans="1:3" x14ac:dyDescent="0.5">
      <c r="A279" s="7" t="s">
        <v>174</v>
      </c>
      <c r="B279" t="s">
        <v>568</v>
      </c>
      <c r="C279" t="s">
        <v>522</v>
      </c>
    </row>
    <row r="280" spans="1:3" x14ac:dyDescent="0.5">
      <c r="A280" s="7" t="s">
        <v>174</v>
      </c>
      <c r="B280" t="s">
        <v>569</v>
      </c>
      <c r="C280" t="s">
        <v>522</v>
      </c>
    </row>
    <row r="281" spans="1:3" x14ac:dyDescent="0.5">
      <c r="A281" s="7" t="s">
        <v>174</v>
      </c>
      <c r="B281" t="s">
        <v>570</v>
      </c>
      <c r="C281" t="s">
        <v>554</v>
      </c>
    </row>
    <row r="282" spans="1:3" x14ac:dyDescent="0.5">
      <c r="A282" s="7" t="s">
        <v>174</v>
      </c>
      <c r="B282" t="s">
        <v>571</v>
      </c>
      <c r="C282" t="s">
        <v>522</v>
      </c>
    </row>
    <row r="283" spans="1:3" x14ac:dyDescent="0.5">
      <c r="A283" s="7" t="s">
        <v>174</v>
      </c>
      <c r="B283" t="s">
        <v>572</v>
      </c>
      <c r="C283" t="s">
        <v>29</v>
      </c>
    </row>
    <row r="284" spans="1:3" x14ac:dyDescent="0.5">
      <c r="A284" s="7" t="s">
        <v>174</v>
      </c>
      <c r="B284" t="s">
        <v>573</v>
      </c>
      <c r="C284" t="s">
        <v>554</v>
      </c>
    </row>
    <row r="285" spans="1:3" x14ac:dyDescent="0.5">
      <c r="A285" s="7" t="s">
        <v>174</v>
      </c>
      <c r="B285" t="s">
        <v>558</v>
      </c>
      <c r="C285" t="s">
        <v>29</v>
      </c>
    </row>
    <row r="286" spans="1:3" x14ac:dyDescent="0.5">
      <c r="A286" s="7" t="s">
        <v>174</v>
      </c>
      <c r="B286" t="s">
        <v>556</v>
      </c>
      <c r="C286" t="s">
        <v>29</v>
      </c>
    </row>
    <row r="287" spans="1:3" x14ac:dyDescent="0.5">
      <c r="A287" s="7" t="s">
        <v>210</v>
      </c>
      <c r="B287" t="s">
        <v>558</v>
      </c>
      <c r="C287" t="s">
        <v>554</v>
      </c>
    </row>
    <row r="288" spans="1:3" x14ac:dyDescent="0.5">
      <c r="A288" s="7" t="s">
        <v>210</v>
      </c>
      <c r="B288" t="s">
        <v>555</v>
      </c>
      <c r="C288" t="s">
        <v>522</v>
      </c>
    </row>
    <row r="289" spans="1:3" x14ac:dyDescent="0.5">
      <c r="A289" s="7" t="s">
        <v>210</v>
      </c>
      <c r="B289" t="s">
        <v>553</v>
      </c>
      <c r="C289" t="s">
        <v>554</v>
      </c>
    </row>
    <row r="290" spans="1:3" x14ac:dyDescent="0.5">
      <c r="A290" s="7" t="s">
        <v>210</v>
      </c>
      <c r="B290" t="s">
        <v>559</v>
      </c>
      <c r="C290" t="s">
        <v>522</v>
      </c>
    </row>
    <row r="291" spans="1:3" x14ac:dyDescent="0.5">
      <c r="A291" s="7" t="s">
        <v>210</v>
      </c>
      <c r="B291" t="s">
        <v>560</v>
      </c>
      <c r="C291" t="s">
        <v>29</v>
      </c>
    </row>
    <row r="292" spans="1:3" x14ac:dyDescent="0.5">
      <c r="A292" s="7" t="s">
        <v>210</v>
      </c>
      <c r="B292" t="s">
        <v>561</v>
      </c>
      <c r="C292" t="s">
        <v>29</v>
      </c>
    </row>
    <row r="293" spans="1:3" x14ac:dyDescent="0.5">
      <c r="A293" s="7" t="s">
        <v>210</v>
      </c>
      <c r="B293" t="s">
        <v>562</v>
      </c>
      <c r="C293" t="s">
        <v>29</v>
      </c>
    </row>
    <row r="294" spans="1:3" x14ac:dyDescent="0.5">
      <c r="A294" s="7" t="s">
        <v>210</v>
      </c>
      <c r="B294" t="s">
        <v>563</v>
      </c>
      <c r="C294" t="s">
        <v>554</v>
      </c>
    </row>
    <row r="295" spans="1:3" x14ac:dyDescent="0.5">
      <c r="A295" s="7" t="s">
        <v>210</v>
      </c>
      <c r="B295" t="s">
        <v>564</v>
      </c>
      <c r="C295" t="s">
        <v>557</v>
      </c>
    </row>
    <row r="296" spans="1:3" x14ac:dyDescent="0.5">
      <c r="A296" s="7" t="s">
        <v>210</v>
      </c>
      <c r="B296" t="s">
        <v>565</v>
      </c>
      <c r="C296" t="s">
        <v>29</v>
      </c>
    </row>
    <row r="297" spans="1:3" x14ac:dyDescent="0.5">
      <c r="A297" s="7" t="s">
        <v>210</v>
      </c>
      <c r="B297" t="s">
        <v>566</v>
      </c>
      <c r="C297" t="s">
        <v>522</v>
      </c>
    </row>
    <row r="298" spans="1:3" x14ac:dyDescent="0.5">
      <c r="A298" s="7" t="s">
        <v>210</v>
      </c>
      <c r="B298" t="s">
        <v>567</v>
      </c>
      <c r="C298" t="s">
        <v>554</v>
      </c>
    </row>
    <row r="299" spans="1:3" x14ac:dyDescent="0.5">
      <c r="A299" s="7" t="s">
        <v>210</v>
      </c>
      <c r="B299" t="s">
        <v>568</v>
      </c>
      <c r="C299" t="s">
        <v>554</v>
      </c>
    </row>
    <row r="300" spans="1:3" x14ac:dyDescent="0.5">
      <c r="A300" s="7" t="s">
        <v>210</v>
      </c>
      <c r="B300" t="s">
        <v>569</v>
      </c>
      <c r="C300" t="s">
        <v>554</v>
      </c>
    </row>
    <row r="301" spans="1:3" x14ac:dyDescent="0.5">
      <c r="A301" s="7" t="s">
        <v>210</v>
      </c>
      <c r="B301" t="s">
        <v>570</v>
      </c>
      <c r="C301" t="s">
        <v>554</v>
      </c>
    </row>
    <row r="302" spans="1:3" x14ac:dyDescent="0.5">
      <c r="A302" s="7" t="s">
        <v>210</v>
      </c>
      <c r="B302" t="s">
        <v>571</v>
      </c>
      <c r="C302" t="s">
        <v>29</v>
      </c>
    </row>
    <row r="303" spans="1:3" x14ac:dyDescent="0.5">
      <c r="A303" s="7" t="s">
        <v>210</v>
      </c>
      <c r="B303" t="s">
        <v>572</v>
      </c>
      <c r="C303" t="s">
        <v>574</v>
      </c>
    </row>
    <row r="304" spans="1:3" x14ac:dyDescent="0.5">
      <c r="A304" s="7" t="s">
        <v>210</v>
      </c>
      <c r="B304" t="s">
        <v>573</v>
      </c>
      <c r="C304" t="s">
        <v>522</v>
      </c>
    </row>
    <row r="305" spans="1:3" x14ac:dyDescent="0.5">
      <c r="A305" s="7" t="s">
        <v>210</v>
      </c>
      <c r="B305" t="s">
        <v>556</v>
      </c>
      <c r="C305" t="s">
        <v>29</v>
      </c>
    </row>
    <row r="306" spans="1:3" x14ac:dyDescent="0.5">
      <c r="A306" s="7" t="s">
        <v>214</v>
      </c>
      <c r="B306" t="s">
        <v>558</v>
      </c>
      <c r="C306" t="s">
        <v>554</v>
      </c>
    </row>
    <row r="307" spans="1:3" x14ac:dyDescent="0.5">
      <c r="A307" s="7" t="s">
        <v>214</v>
      </c>
      <c r="B307" t="s">
        <v>556</v>
      </c>
      <c r="C307" t="s">
        <v>522</v>
      </c>
    </row>
    <row r="308" spans="1:3" x14ac:dyDescent="0.5">
      <c r="A308" s="7" t="s">
        <v>214</v>
      </c>
      <c r="B308" t="s">
        <v>553</v>
      </c>
      <c r="C308" t="s">
        <v>554</v>
      </c>
    </row>
    <row r="309" spans="1:3" x14ac:dyDescent="0.5">
      <c r="A309" s="7" t="s">
        <v>214</v>
      </c>
      <c r="B309" t="s">
        <v>559</v>
      </c>
      <c r="C309" t="s">
        <v>29</v>
      </c>
    </row>
    <row r="310" spans="1:3" x14ac:dyDescent="0.5">
      <c r="A310" s="7" t="s">
        <v>214</v>
      </c>
      <c r="B310" t="s">
        <v>560</v>
      </c>
      <c r="C310" t="s">
        <v>29</v>
      </c>
    </row>
    <row r="311" spans="1:3" x14ac:dyDescent="0.5">
      <c r="A311" s="7" t="s">
        <v>214</v>
      </c>
      <c r="B311" t="s">
        <v>561</v>
      </c>
      <c r="C311" t="s">
        <v>29</v>
      </c>
    </row>
    <row r="312" spans="1:3" x14ac:dyDescent="0.5">
      <c r="A312" s="7" t="s">
        <v>214</v>
      </c>
      <c r="B312" t="s">
        <v>562</v>
      </c>
      <c r="C312" t="s">
        <v>522</v>
      </c>
    </row>
    <row r="313" spans="1:3" x14ac:dyDescent="0.5">
      <c r="A313" s="7" t="s">
        <v>214</v>
      </c>
      <c r="B313" t="s">
        <v>563</v>
      </c>
      <c r="C313" t="s">
        <v>554</v>
      </c>
    </row>
    <row r="314" spans="1:3" x14ac:dyDescent="0.5">
      <c r="A314" s="7" t="s">
        <v>214</v>
      </c>
      <c r="B314" t="s">
        <v>564</v>
      </c>
      <c r="C314" t="s">
        <v>557</v>
      </c>
    </row>
    <row r="315" spans="1:3" x14ac:dyDescent="0.5">
      <c r="A315" s="7" t="s">
        <v>214</v>
      </c>
      <c r="B315" t="s">
        <v>565</v>
      </c>
      <c r="C315" t="s">
        <v>554</v>
      </c>
    </row>
    <row r="316" spans="1:3" x14ac:dyDescent="0.5">
      <c r="A316" s="7" t="s">
        <v>214</v>
      </c>
      <c r="B316" t="s">
        <v>566</v>
      </c>
      <c r="C316" t="s">
        <v>557</v>
      </c>
    </row>
    <row r="317" spans="1:3" x14ac:dyDescent="0.5">
      <c r="A317" s="7" t="s">
        <v>214</v>
      </c>
      <c r="B317" t="s">
        <v>567</v>
      </c>
      <c r="C317" t="s">
        <v>554</v>
      </c>
    </row>
    <row r="318" spans="1:3" x14ac:dyDescent="0.5">
      <c r="A318" s="7" t="s">
        <v>214</v>
      </c>
      <c r="B318" t="s">
        <v>568</v>
      </c>
      <c r="C318" t="s">
        <v>554</v>
      </c>
    </row>
    <row r="319" spans="1:3" x14ac:dyDescent="0.5">
      <c r="A319" s="7" t="s">
        <v>214</v>
      </c>
      <c r="B319" t="s">
        <v>569</v>
      </c>
      <c r="C319" t="s">
        <v>554</v>
      </c>
    </row>
    <row r="320" spans="1:3" x14ac:dyDescent="0.5">
      <c r="A320" s="7" t="s">
        <v>214</v>
      </c>
      <c r="B320" t="s">
        <v>570</v>
      </c>
      <c r="C320" t="s">
        <v>554</v>
      </c>
    </row>
    <row r="321" spans="1:3" x14ac:dyDescent="0.5">
      <c r="A321" s="7" t="s">
        <v>214</v>
      </c>
      <c r="B321" t="s">
        <v>571</v>
      </c>
      <c r="C321" t="s">
        <v>29</v>
      </c>
    </row>
    <row r="322" spans="1:3" x14ac:dyDescent="0.5">
      <c r="A322" s="7" t="s">
        <v>214</v>
      </c>
      <c r="B322" t="s">
        <v>572</v>
      </c>
      <c r="C322" t="s">
        <v>29</v>
      </c>
    </row>
    <row r="323" spans="1:3" x14ac:dyDescent="0.5">
      <c r="A323" s="7" t="s">
        <v>214</v>
      </c>
      <c r="B323" t="s">
        <v>573</v>
      </c>
      <c r="C323" t="s">
        <v>522</v>
      </c>
    </row>
    <row r="324" spans="1:3" x14ac:dyDescent="0.5">
      <c r="A324" s="7" t="s">
        <v>214</v>
      </c>
      <c r="B324" t="s">
        <v>555</v>
      </c>
      <c r="C324" t="s">
        <v>557</v>
      </c>
    </row>
    <row r="325" spans="1:3" x14ac:dyDescent="0.5">
      <c r="A325" s="7" t="s">
        <v>224</v>
      </c>
      <c r="B325" t="s">
        <v>553</v>
      </c>
      <c r="C325" t="s">
        <v>554</v>
      </c>
    </row>
    <row r="326" spans="1:3" x14ac:dyDescent="0.5">
      <c r="A326" s="7" t="s">
        <v>224</v>
      </c>
      <c r="B326" t="s">
        <v>559</v>
      </c>
      <c r="C326" t="s">
        <v>29</v>
      </c>
    </row>
    <row r="327" spans="1:3" x14ac:dyDescent="0.5">
      <c r="A327" s="7" t="s">
        <v>224</v>
      </c>
      <c r="B327" t="s">
        <v>560</v>
      </c>
      <c r="C327" t="s">
        <v>522</v>
      </c>
    </row>
    <row r="328" spans="1:3" x14ac:dyDescent="0.5">
      <c r="A328" s="7" t="s">
        <v>224</v>
      </c>
      <c r="B328" t="s">
        <v>561</v>
      </c>
      <c r="C328" t="s">
        <v>29</v>
      </c>
    </row>
    <row r="329" spans="1:3" x14ac:dyDescent="0.5">
      <c r="A329" s="7" t="s">
        <v>224</v>
      </c>
      <c r="B329" t="s">
        <v>562</v>
      </c>
      <c r="C329" t="s">
        <v>29</v>
      </c>
    </row>
    <row r="330" spans="1:3" x14ac:dyDescent="0.5">
      <c r="A330" s="7" t="s">
        <v>224</v>
      </c>
      <c r="B330" t="s">
        <v>563</v>
      </c>
      <c r="C330" t="s">
        <v>554</v>
      </c>
    </row>
    <row r="331" spans="1:3" x14ac:dyDescent="0.5">
      <c r="A331" s="7" t="s">
        <v>224</v>
      </c>
      <c r="B331" t="s">
        <v>564</v>
      </c>
      <c r="C331" t="s">
        <v>522</v>
      </c>
    </row>
    <row r="332" spans="1:3" x14ac:dyDescent="0.5">
      <c r="A332" s="7" t="s">
        <v>224</v>
      </c>
      <c r="B332" t="s">
        <v>565</v>
      </c>
      <c r="C332" t="s">
        <v>557</v>
      </c>
    </row>
    <row r="333" spans="1:3" x14ac:dyDescent="0.5">
      <c r="A333" s="7" t="s">
        <v>224</v>
      </c>
      <c r="B333" t="s">
        <v>566</v>
      </c>
      <c r="C333" t="s">
        <v>522</v>
      </c>
    </row>
    <row r="334" spans="1:3" x14ac:dyDescent="0.5">
      <c r="A334" s="7" t="s">
        <v>224</v>
      </c>
      <c r="B334" t="s">
        <v>567</v>
      </c>
      <c r="C334" t="s">
        <v>554</v>
      </c>
    </row>
    <row r="335" spans="1:3" x14ac:dyDescent="0.5">
      <c r="A335" s="7" t="s">
        <v>224</v>
      </c>
      <c r="B335" t="s">
        <v>568</v>
      </c>
      <c r="C335" t="s">
        <v>554</v>
      </c>
    </row>
    <row r="336" spans="1:3" x14ac:dyDescent="0.5">
      <c r="A336" s="7" t="s">
        <v>224</v>
      </c>
      <c r="B336" t="s">
        <v>569</v>
      </c>
      <c r="C336" t="s">
        <v>554</v>
      </c>
    </row>
    <row r="337" spans="1:3" x14ac:dyDescent="0.5">
      <c r="A337" s="7" t="s">
        <v>224</v>
      </c>
      <c r="B337" t="s">
        <v>570</v>
      </c>
      <c r="C337" t="s">
        <v>557</v>
      </c>
    </row>
    <row r="338" spans="1:3" x14ac:dyDescent="0.5">
      <c r="A338" s="7" t="s">
        <v>224</v>
      </c>
      <c r="B338" t="s">
        <v>571</v>
      </c>
      <c r="C338" t="s">
        <v>522</v>
      </c>
    </row>
    <row r="339" spans="1:3" x14ac:dyDescent="0.5">
      <c r="A339" s="7" t="s">
        <v>224</v>
      </c>
      <c r="B339" t="s">
        <v>572</v>
      </c>
      <c r="C339" t="s">
        <v>29</v>
      </c>
    </row>
    <row r="340" spans="1:3" x14ac:dyDescent="0.5">
      <c r="A340" s="7" t="s">
        <v>224</v>
      </c>
      <c r="B340" t="s">
        <v>573</v>
      </c>
      <c r="C340" t="s">
        <v>522</v>
      </c>
    </row>
    <row r="341" spans="1:3" x14ac:dyDescent="0.5">
      <c r="A341" s="7" t="s">
        <v>224</v>
      </c>
      <c r="B341" t="s">
        <v>556</v>
      </c>
      <c r="C341" t="s">
        <v>29</v>
      </c>
    </row>
    <row r="342" spans="1:3" x14ac:dyDescent="0.5">
      <c r="A342" s="7" t="s">
        <v>224</v>
      </c>
      <c r="B342" t="s">
        <v>555</v>
      </c>
      <c r="C342" t="s">
        <v>557</v>
      </c>
    </row>
    <row r="343" spans="1:3" x14ac:dyDescent="0.5">
      <c r="A343" s="7" t="s">
        <v>224</v>
      </c>
      <c r="B343" t="s">
        <v>558</v>
      </c>
      <c r="C343" t="s">
        <v>557</v>
      </c>
    </row>
    <row r="344" spans="1:3" x14ac:dyDescent="0.5">
      <c r="A344" s="7" t="s">
        <v>228</v>
      </c>
      <c r="B344" t="s">
        <v>555</v>
      </c>
      <c r="C344" t="s">
        <v>522</v>
      </c>
    </row>
    <row r="345" spans="1:3" x14ac:dyDescent="0.5">
      <c r="A345" s="7" t="s">
        <v>228</v>
      </c>
      <c r="B345" t="s">
        <v>553</v>
      </c>
      <c r="C345" t="s">
        <v>522</v>
      </c>
    </row>
    <row r="346" spans="1:3" x14ac:dyDescent="0.5">
      <c r="A346" s="7" t="s">
        <v>228</v>
      </c>
      <c r="B346" t="s">
        <v>559</v>
      </c>
      <c r="C346" t="s">
        <v>29</v>
      </c>
    </row>
    <row r="347" spans="1:3" x14ac:dyDescent="0.5">
      <c r="A347" s="7" t="s">
        <v>228</v>
      </c>
      <c r="B347" t="s">
        <v>560</v>
      </c>
      <c r="C347" t="s">
        <v>29</v>
      </c>
    </row>
    <row r="348" spans="1:3" x14ac:dyDescent="0.5">
      <c r="A348" s="7" t="s">
        <v>228</v>
      </c>
      <c r="B348" t="s">
        <v>561</v>
      </c>
      <c r="C348" t="s">
        <v>29</v>
      </c>
    </row>
    <row r="349" spans="1:3" x14ac:dyDescent="0.5">
      <c r="A349" s="7" t="s">
        <v>228</v>
      </c>
      <c r="B349" t="s">
        <v>562</v>
      </c>
      <c r="C349" t="s">
        <v>557</v>
      </c>
    </row>
    <row r="350" spans="1:3" x14ac:dyDescent="0.5">
      <c r="A350" s="7" t="s">
        <v>228</v>
      </c>
      <c r="B350" t="s">
        <v>563</v>
      </c>
      <c r="C350" t="s">
        <v>554</v>
      </c>
    </row>
    <row r="351" spans="1:3" x14ac:dyDescent="0.5">
      <c r="A351" s="7" t="s">
        <v>228</v>
      </c>
      <c r="B351" t="s">
        <v>564</v>
      </c>
      <c r="C351" t="s">
        <v>557</v>
      </c>
    </row>
    <row r="352" spans="1:3" x14ac:dyDescent="0.5">
      <c r="A352" s="7" t="s">
        <v>228</v>
      </c>
      <c r="B352" t="s">
        <v>565</v>
      </c>
      <c r="C352" t="s">
        <v>29</v>
      </c>
    </row>
    <row r="353" spans="1:3" x14ac:dyDescent="0.5">
      <c r="A353" s="7" t="s">
        <v>228</v>
      </c>
      <c r="B353" t="s">
        <v>566</v>
      </c>
      <c r="C353" t="s">
        <v>557</v>
      </c>
    </row>
    <row r="354" spans="1:3" x14ac:dyDescent="0.5">
      <c r="A354" s="7" t="s">
        <v>228</v>
      </c>
      <c r="B354" t="s">
        <v>567</v>
      </c>
      <c r="C354" t="s">
        <v>554</v>
      </c>
    </row>
    <row r="355" spans="1:3" x14ac:dyDescent="0.5">
      <c r="A355" s="7" t="s">
        <v>228</v>
      </c>
      <c r="B355" t="s">
        <v>568</v>
      </c>
      <c r="C355" t="s">
        <v>554</v>
      </c>
    </row>
    <row r="356" spans="1:3" x14ac:dyDescent="0.5">
      <c r="A356" s="7" t="s">
        <v>228</v>
      </c>
      <c r="B356" t="s">
        <v>569</v>
      </c>
      <c r="C356" t="s">
        <v>557</v>
      </c>
    </row>
    <row r="357" spans="1:3" x14ac:dyDescent="0.5">
      <c r="A357" s="7" t="s">
        <v>228</v>
      </c>
      <c r="B357" t="s">
        <v>570</v>
      </c>
      <c r="C357" t="s">
        <v>557</v>
      </c>
    </row>
    <row r="358" spans="1:3" x14ac:dyDescent="0.5">
      <c r="A358" s="7" t="s">
        <v>228</v>
      </c>
      <c r="B358" t="s">
        <v>571</v>
      </c>
      <c r="C358" t="s">
        <v>29</v>
      </c>
    </row>
    <row r="359" spans="1:3" x14ac:dyDescent="0.5">
      <c r="A359" s="7" t="s">
        <v>228</v>
      </c>
      <c r="B359" t="s">
        <v>572</v>
      </c>
      <c r="C359" t="s">
        <v>557</v>
      </c>
    </row>
    <row r="360" spans="1:3" x14ac:dyDescent="0.5">
      <c r="A360" s="7" t="s">
        <v>228</v>
      </c>
      <c r="B360" t="s">
        <v>573</v>
      </c>
      <c r="C360" t="s">
        <v>557</v>
      </c>
    </row>
    <row r="361" spans="1:3" x14ac:dyDescent="0.5">
      <c r="A361" s="7" t="s">
        <v>228</v>
      </c>
      <c r="B361" t="s">
        <v>558</v>
      </c>
      <c r="C361" t="s">
        <v>557</v>
      </c>
    </row>
    <row r="362" spans="1:3" x14ac:dyDescent="0.5">
      <c r="A362" s="7" t="s">
        <v>228</v>
      </c>
      <c r="B362" t="s">
        <v>556</v>
      </c>
      <c r="C362" t="s">
        <v>557</v>
      </c>
    </row>
    <row r="363" spans="1:3" x14ac:dyDescent="0.5">
      <c r="A363" s="7" t="s">
        <v>232</v>
      </c>
      <c r="B363" t="s">
        <v>555</v>
      </c>
      <c r="C363" t="s">
        <v>29</v>
      </c>
    </row>
    <row r="364" spans="1:3" x14ac:dyDescent="0.5">
      <c r="A364" s="7" t="s">
        <v>232</v>
      </c>
      <c r="B364" t="s">
        <v>558</v>
      </c>
      <c r="C364" t="s">
        <v>29</v>
      </c>
    </row>
    <row r="365" spans="1:3" x14ac:dyDescent="0.5">
      <c r="A365" s="7" t="s">
        <v>232</v>
      </c>
      <c r="B365" t="s">
        <v>553</v>
      </c>
      <c r="C365" t="s">
        <v>29</v>
      </c>
    </row>
    <row r="366" spans="1:3" x14ac:dyDescent="0.5">
      <c r="A366" s="7" t="s">
        <v>232</v>
      </c>
      <c r="B366" t="s">
        <v>559</v>
      </c>
      <c r="C366" t="s">
        <v>29</v>
      </c>
    </row>
    <row r="367" spans="1:3" x14ac:dyDescent="0.5">
      <c r="A367" s="7" t="s">
        <v>232</v>
      </c>
      <c r="B367" t="s">
        <v>560</v>
      </c>
      <c r="C367" t="s">
        <v>29</v>
      </c>
    </row>
    <row r="368" spans="1:3" x14ac:dyDescent="0.5">
      <c r="A368" s="7" t="s">
        <v>232</v>
      </c>
      <c r="B368" t="s">
        <v>561</v>
      </c>
      <c r="C368" t="s">
        <v>29</v>
      </c>
    </row>
    <row r="369" spans="1:3" x14ac:dyDescent="0.5">
      <c r="A369" s="7" t="s">
        <v>232</v>
      </c>
      <c r="B369" t="s">
        <v>562</v>
      </c>
      <c r="C369" t="s">
        <v>29</v>
      </c>
    </row>
    <row r="370" spans="1:3" x14ac:dyDescent="0.5">
      <c r="A370" s="7" t="s">
        <v>232</v>
      </c>
      <c r="B370" t="s">
        <v>563</v>
      </c>
      <c r="C370" t="s">
        <v>29</v>
      </c>
    </row>
    <row r="371" spans="1:3" x14ac:dyDescent="0.5">
      <c r="A371" s="7" t="s">
        <v>232</v>
      </c>
      <c r="B371" t="s">
        <v>564</v>
      </c>
      <c r="C371" t="s">
        <v>29</v>
      </c>
    </row>
    <row r="372" spans="1:3" x14ac:dyDescent="0.5">
      <c r="A372" s="7" t="s">
        <v>232</v>
      </c>
      <c r="B372" t="s">
        <v>565</v>
      </c>
      <c r="C372" t="s">
        <v>29</v>
      </c>
    </row>
    <row r="373" spans="1:3" x14ac:dyDescent="0.5">
      <c r="A373" s="7" t="s">
        <v>232</v>
      </c>
      <c r="B373" t="s">
        <v>566</v>
      </c>
      <c r="C373" t="s">
        <v>29</v>
      </c>
    </row>
    <row r="374" spans="1:3" x14ac:dyDescent="0.5">
      <c r="A374" s="7" t="s">
        <v>232</v>
      </c>
      <c r="B374" t="s">
        <v>567</v>
      </c>
      <c r="C374" t="s">
        <v>554</v>
      </c>
    </row>
    <row r="375" spans="1:3" x14ac:dyDescent="0.5">
      <c r="A375" s="7" t="s">
        <v>232</v>
      </c>
      <c r="B375" t="s">
        <v>568</v>
      </c>
      <c r="C375" t="s">
        <v>557</v>
      </c>
    </row>
    <row r="376" spans="1:3" x14ac:dyDescent="0.5">
      <c r="A376" s="7" t="s">
        <v>232</v>
      </c>
      <c r="B376" t="s">
        <v>569</v>
      </c>
      <c r="C376" t="s">
        <v>522</v>
      </c>
    </row>
    <row r="377" spans="1:3" x14ac:dyDescent="0.5">
      <c r="A377" s="7" t="s">
        <v>232</v>
      </c>
      <c r="B377" t="s">
        <v>570</v>
      </c>
      <c r="C377" t="s">
        <v>29</v>
      </c>
    </row>
    <row r="378" spans="1:3" x14ac:dyDescent="0.5">
      <c r="A378" s="7" t="s">
        <v>232</v>
      </c>
      <c r="B378" t="s">
        <v>571</v>
      </c>
      <c r="C378" t="s">
        <v>29</v>
      </c>
    </row>
    <row r="379" spans="1:3" x14ac:dyDescent="0.5">
      <c r="A379" s="7" t="s">
        <v>232</v>
      </c>
      <c r="B379" t="s">
        <v>572</v>
      </c>
      <c r="C379" t="s">
        <v>29</v>
      </c>
    </row>
    <row r="380" spans="1:3" x14ac:dyDescent="0.5">
      <c r="A380" s="7" t="s">
        <v>232</v>
      </c>
      <c r="B380" t="s">
        <v>573</v>
      </c>
      <c r="C380" t="s">
        <v>554</v>
      </c>
    </row>
    <row r="381" spans="1:3" x14ac:dyDescent="0.5">
      <c r="A381" s="7" t="s">
        <v>232</v>
      </c>
      <c r="B381" t="s">
        <v>556</v>
      </c>
      <c r="C381" t="s">
        <v>29</v>
      </c>
    </row>
    <row r="382" spans="1:3" x14ac:dyDescent="0.5">
      <c r="A382" s="7" t="s">
        <v>245</v>
      </c>
      <c r="B382" t="s">
        <v>556</v>
      </c>
      <c r="C382" t="s">
        <v>522</v>
      </c>
    </row>
    <row r="383" spans="1:3" x14ac:dyDescent="0.5">
      <c r="A383" s="7" t="s">
        <v>245</v>
      </c>
      <c r="B383" t="s">
        <v>558</v>
      </c>
      <c r="C383" t="s">
        <v>522</v>
      </c>
    </row>
    <row r="384" spans="1:3" x14ac:dyDescent="0.5">
      <c r="A384" s="7" t="s">
        <v>245</v>
      </c>
      <c r="B384" t="s">
        <v>555</v>
      </c>
      <c r="C384" t="s">
        <v>522</v>
      </c>
    </row>
    <row r="385" spans="1:3" x14ac:dyDescent="0.5">
      <c r="A385" s="7" t="s">
        <v>245</v>
      </c>
      <c r="B385" t="s">
        <v>553</v>
      </c>
      <c r="C385" t="s">
        <v>29</v>
      </c>
    </row>
    <row r="386" spans="1:3" x14ac:dyDescent="0.5">
      <c r="A386" s="7" t="s">
        <v>245</v>
      </c>
      <c r="B386" t="s">
        <v>559</v>
      </c>
      <c r="C386" t="s">
        <v>522</v>
      </c>
    </row>
    <row r="387" spans="1:3" x14ac:dyDescent="0.5">
      <c r="A387" s="7" t="s">
        <v>245</v>
      </c>
      <c r="B387" t="s">
        <v>560</v>
      </c>
      <c r="C387" t="s">
        <v>29</v>
      </c>
    </row>
    <row r="388" spans="1:3" x14ac:dyDescent="0.5">
      <c r="A388" s="7" t="s">
        <v>245</v>
      </c>
      <c r="B388" t="s">
        <v>561</v>
      </c>
      <c r="C388" t="s">
        <v>557</v>
      </c>
    </row>
    <row r="389" spans="1:3" x14ac:dyDescent="0.5">
      <c r="A389" s="7" t="s">
        <v>245</v>
      </c>
      <c r="B389" t="s">
        <v>562</v>
      </c>
      <c r="C389" t="s">
        <v>557</v>
      </c>
    </row>
    <row r="390" spans="1:3" x14ac:dyDescent="0.5">
      <c r="A390" s="7" t="s">
        <v>245</v>
      </c>
      <c r="B390" t="s">
        <v>563</v>
      </c>
      <c r="C390" t="s">
        <v>554</v>
      </c>
    </row>
    <row r="391" spans="1:3" x14ac:dyDescent="0.5">
      <c r="A391" s="7" t="s">
        <v>245</v>
      </c>
      <c r="B391" t="s">
        <v>564</v>
      </c>
      <c r="C391" t="s">
        <v>554</v>
      </c>
    </row>
    <row r="392" spans="1:3" x14ac:dyDescent="0.5">
      <c r="A392" s="7" t="s">
        <v>245</v>
      </c>
      <c r="B392" t="s">
        <v>565</v>
      </c>
      <c r="C392" t="s">
        <v>29</v>
      </c>
    </row>
    <row r="393" spans="1:3" x14ac:dyDescent="0.5">
      <c r="A393" s="7" t="s">
        <v>245</v>
      </c>
      <c r="B393" t="s">
        <v>566</v>
      </c>
      <c r="C393" t="s">
        <v>554</v>
      </c>
    </row>
    <row r="394" spans="1:3" x14ac:dyDescent="0.5">
      <c r="A394" s="7" t="s">
        <v>245</v>
      </c>
      <c r="B394" t="s">
        <v>567</v>
      </c>
      <c r="C394" t="s">
        <v>522</v>
      </c>
    </row>
    <row r="395" spans="1:3" x14ac:dyDescent="0.5">
      <c r="A395" s="7" t="s">
        <v>245</v>
      </c>
      <c r="B395" t="s">
        <v>568</v>
      </c>
      <c r="C395" t="s">
        <v>557</v>
      </c>
    </row>
    <row r="396" spans="1:3" x14ac:dyDescent="0.5">
      <c r="A396" s="7" t="s">
        <v>245</v>
      </c>
      <c r="B396" t="s">
        <v>569</v>
      </c>
      <c r="C396" t="s">
        <v>557</v>
      </c>
    </row>
    <row r="397" spans="1:3" x14ac:dyDescent="0.5">
      <c r="A397" s="7" t="s">
        <v>245</v>
      </c>
      <c r="B397" t="s">
        <v>570</v>
      </c>
      <c r="C397" t="s">
        <v>29</v>
      </c>
    </row>
    <row r="398" spans="1:3" x14ac:dyDescent="0.5">
      <c r="A398" s="7" t="s">
        <v>245</v>
      </c>
      <c r="B398" t="s">
        <v>571</v>
      </c>
      <c r="C398" t="s">
        <v>557</v>
      </c>
    </row>
    <row r="399" spans="1:3" x14ac:dyDescent="0.5">
      <c r="A399" s="7" t="s">
        <v>245</v>
      </c>
      <c r="B399" t="s">
        <v>572</v>
      </c>
      <c r="C399" t="s">
        <v>29</v>
      </c>
    </row>
    <row r="400" spans="1:3" x14ac:dyDescent="0.5">
      <c r="A400" s="7" t="s">
        <v>245</v>
      </c>
      <c r="B400" t="s">
        <v>573</v>
      </c>
      <c r="C400" t="s">
        <v>554</v>
      </c>
    </row>
    <row r="401" spans="1:3" x14ac:dyDescent="0.5">
      <c r="A401" s="7" t="s">
        <v>250</v>
      </c>
      <c r="B401" t="s">
        <v>555</v>
      </c>
      <c r="C401" t="s">
        <v>522</v>
      </c>
    </row>
    <row r="402" spans="1:3" x14ac:dyDescent="0.5">
      <c r="A402" s="7" t="s">
        <v>250</v>
      </c>
      <c r="B402" t="s">
        <v>558</v>
      </c>
      <c r="C402" t="s">
        <v>29</v>
      </c>
    </row>
    <row r="403" spans="1:3" x14ac:dyDescent="0.5">
      <c r="A403" s="7" t="s">
        <v>250</v>
      </c>
      <c r="B403" t="s">
        <v>553</v>
      </c>
      <c r="C403" t="s">
        <v>29</v>
      </c>
    </row>
    <row r="404" spans="1:3" x14ac:dyDescent="0.5">
      <c r="A404" s="7" t="s">
        <v>250</v>
      </c>
      <c r="B404" t="s">
        <v>559</v>
      </c>
      <c r="C404" t="s">
        <v>522</v>
      </c>
    </row>
    <row r="405" spans="1:3" x14ac:dyDescent="0.5">
      <c r="A405" s="7" t="s">
        <v>250</v>
      </c>
      <c r="B405" t="s">
        <v>560</v>
      </c>
      <c r="C405" t="s">
        <v>29</v>
      </c>
    </row>
    <row r="406" spans="1:3" x14ac:dyDescent="0.5">
      <c r="A406" s="7" t="s">
        <v>250</v>
      </c>
      <c r="B406" t="s">
        <v>561</v>
      </c>
      <c r="C406" t="s">
        <v>29</v>
      </c>
    </row>
    <row r="407" spans="1:3" x14ac:dyDescent="0.5">
      <c r="A407" s="7" t="s">
        <v>250</v>
      </c>
      <c r="B407" t="s">
        <v>562</v>
      </c>
      <c r="C407" t="s">
        <v>557</v>
      </c>
    </row>
    <row r="408" spans="1:3" x14ac:dyDescent="0.5">
      <c r="A408" s="7" t="s">
        <v>250</v>
      </c>
      <c r="B408" t="s">
        <v>563</v>
      </c>
      <c r="C408" t="s">
        <v>554</v>
      </c>
    </row>
    <row r="409" spans="1:3" x14ac:dyDescent="0.5">
      <c r="A409" s="7" t="s">
        <v>250</v>
      </c>
      <c r="B409" t="s">
        <v>564</v>
      </c>
      <c r="C409" t="s">
        <v>522</v>
      </c>
    </row>
    <row r="410" spans="1:3" x14ac:dyDescent="0.5">
      <c r="A410" s="7" t="s">
        <v>250</v>
      </c>
      <c r="B410" t="s">
        <v>565</v>
      </c>
      <c r="C410" t="s">
        <v>29</v>
      </c>
    </row>
    <row r="411" spans="1:3" x14ac:dyDescent="0.5">
      <c r="A411" s="7" t="s">
        <v>250</v>
      </c>
      <c r="B411" t="s">
        <v>566</v>
      </c>
      <c r="C411" t="s">
        <v>29</v>
      </c>
    </row>
    <row r="412" spans="1:3" x14ac:dyDescent="0.5">
      <c r="A412" s="7" t="s">
        <v>250</v>
      </c>
      <c r="B412" t="s">
        <v>567</v>
      </c>
      <c r="C412" t="s">
        <v>522</v>
      </c>
    </row>
    <row r="413" spans="1:3" x14ac:dyDescent="0.5">
      <c r="A413" s="7" t="s">
        <v>250</v>
      </c>
      <c r="B413" t="s">
        <v>568</v>
      </c>
      <c r="C413" t="s">
        <v>29</v>
      </c>
    </row>
    <row r="414" spans="1:3" x14ac:dyDescent="0.5">
      <c r="A414" s="7" t="s">
        <v>250</v>
      </c>
      <c r="B414" t="s">
        <v>569</v>
      </c>
      <c r="C414" t="s">
        <v>522</v>
      </c>
    </row>
    <row r="415" spans="1:3" x14ac:dyDescent="0.5">
      <c r="A415" s="7" t="s">
        <v>250</v>
      </c>
      <c r="B415" t="s">
        <v>570</v>
      </c>
      <c r="C415" t="s">
        <v>29</v>
      </c>
    </row>
    <row r="416" spans="1:3" x14ac:dyDescent="0.5">
      <c r="A416" s="7" t="s">
        <v>250</v>
      </c>
      <c r="B416" t="s">
        <v>571</v>
      </c>
      <c r="C416" t="s">
        <v>554</v>
      </c>
    </row>
    <row r="417" spans="1:3" x14ac:dyDescent="0.5">
      <c r="A417" s="7" t="s">
        <v>250</v>
      </c>
      <c r="B417" t="s">
        <v>572</v>
      </c>
      <c r="C417" t="s">
        <v>29</v>
      </c>
    </row>
    <row r="418" spans="1:3" x14ac:dyDescent="0.5">
      <c r="A418" s="7" t="s">
        <v>250</v>
      </c>
      <c r="B418" t="s">
        <v>573</v>
      </c>
      <c r="C418" t="s">
        <v>554</v>
      </c>
    </row>
    <row r="419" spans="1:3" x14ac:dyDescent="0.5">
      <c r="A419" s="7" t="s">
        <v>250</v>
      </c>
      <c r="B419" t="s">
        <v>556</v>
      </c>
      <c r="C419" t="s">
        <v>29</v>
      </c>
    </row>
    <row r="420" spans="1:3" x14ac:dyDescent="0.5">
      <c r="A420" s="26" t="s">
        <v>254</v>
      </c>
      <c r="B420" t="s">
        <v>556</v>
      </c>
      <c r="C420" s="81" t="s">
        <v>29</v>
      </c>
    </row>
    <row r="421" spans="1:3" x14ac:dyDescent="0.5">
      <c r="A421" s="26" t="s">
        <v>254</v>
      </c>
      <c r="B421" t="s">
        <v>558</v>
      </c>
      <c r="C421" s="81" t="s">
        <v>29</v>
      </c>
    </row>
    <row r="422" spans="1:3" x14ac:dyDescent="0.5">
      <c r="A422" s="26" t="s">
        <v>254</v>
      </c>
      <c r="B422" t="s">
        <v>553</v>
      </c>
      <c r="C422" s="81" t="s">
        <v>522</v>
      </c>
    </row>
    <row r="423" spans="1:3" x14ac:dyDescent="0.5">
      <c r="A423" s="26" t="s">
        <v>254</v>
      </c>
      <c r="B423" t="s">
        <v>559</v>
      </c>
      <c r="C423" s="82" t="s">
        <v>554</v>
      </c>
    </row>
    <row r="424" spans="1:3" x14ac:dyDescent="0.5">
      <c r="A424" s="26" t="s">
        <v>254</v>
      </c>
      <c r="B424" t="s">
        <v>560</v>
      </c>
      <c r="C424" s="82" t="s">
        <v>554</v>
      </c>
    </row>
    <row r="425" spans="1:3" x14ac:dyDescent="0.5">
      <c r="A425" s="26" t="s">
        <v>254</v>
      </c>
      <c r="B425" t="s">
        <v>561</v>
      </c>
      <c r="C425" s="81" t="s">
        <v>29</v>
      </c>
    </row>
    <row r="426" spans="1:3" x14ac:dyDescent="0.5">
      <c r="A426" s="26" t="s">
        <v>254</v>
      </c>
      <c r="B426" t="s">
        <v>562</v>
      </c>
      <c r="C426" s="82" t="s">
        <v>557</v>
      </c>
    </row>
    <row r="427" spans="1:3" x14ac:dyDescent="0.5">
      <c r="A427" s="26" t="s">
        <v>254</v>
      </c>
      <c r="B427" t="s">
        <v>563</v>
      </c>
      <c r="C427" s="82" t="s">
        <v>522</v>
      </c>
    </row>
    <row r="428" spans="1:3" x14ac:dyDescent="0.5">
      <c r="A428" s="26" t="s">
        <v>254</v>
      </c>
      <c r="B428" t="s">
        <v>564</v>
      </c>
      <c r="C428" s="81" t="s">
        <v>557</v>
      </c>
    </row>
    <row r="429" spans="1:3" x14ac:dyDescent="0.5">
      <c r="A429" s="26" t="s">
        <v>254</v>
      </c>
      <c r="B429" t="s">
        <v>565</v>
      </c>
      <c r="C429" s="82" t="s">
        <v>29</v>
      </c>
    </row>
    <row r="430" spans="1:3" x14ac:dyDescent="0.5">
      <c r="A430" s="26" t="s">
        <v>254</v>
      </c>
      <c r="B430" t="s">
        <v>566</v>
      </c>
      <c r="C430" s="81" t="s">
        <v>557</v>
      </c>
    </row>
    <row r="431" spans="1:3" x14ac:dyDescent="0.5">
      <c r="A431" s="26" t="s">
        <v>254</v>
      </c>
      <c r="B431" t="s">
        <v>567</v>
      </c>
      <c r="C431" s="81" t="s">
        <v>554</v>
      </c>
    </row>
    <row r="432" spans="1:3" x14ac:dyDescent="0.5">
      <c r="A432" s="26" t="s">
        <v>254</v>
      </c>
      <c r="B432" t="s">
        <v>568</v>
      </c>
      <c r="C432" s="82" t="s">
        <v>557</v>
      </c>
    </row>
    <row r="433" spans="1:3" x14ac:dyDescent="0.5">
      <c r="A433" s="26" t="s">
        <v>254</v>
      </c>
      <c r="B433" t="s">
        <v>569</v>
      </c>
      <c r="C433" s="81" t="s">
        <v>557</v>
      </c>
    </row>
    <row r="434" spans="1:3" x14ac:dyDescent="0.5">
      <c r="A434" s="26" t="s">
        <v>254</v>
      </c>
      <c r="B434" t="s">
        <v>570</v>
      </c>
      <c r="C434" s="81" t="s">
        <v>557</v>
      </c>
    </row>
    <row r="435" spans="1:3" x14ac:dyDescent="0.5">
      <c r="A435" s="26" t="s">
        <v>254</v>
      </c>
      <c r="B435" t="s">
        <v>571</v>
      </c>
      <c r="C435" s="82" t="s">
        <v>522</v>
      </c>
    </row>
    <row r="436" spans="1:3" x14ac:dyDescent="0.5">
      <c r="A436" s="26" t="s">
        <v>254</v>
      </c>
      <c r="B436" t="s">
        <v>572</v>
      </c>
      <c r="C436" s="82" t="s">
        <v>522</v>
      </c>
    </row>
    <row r="437" spans="1:3" x14ac:dyDescent="0.5">
      <c r="A437" s="26" t="s">
        <v>254</v>
      </c>
      <c r="B437" t="s">
        <v>573</v>
      </c>
      <c r="C437" s="82" t="s">
        <v>554</v>
      </c>
    </row>
    <row r="438" spans="1:3" x14ac:dyDescent="0.5">
      <c r="A438" s="7" t="s">
        <v>254</v>
      </c>
      <c r="B438" t="s">
        <v>555</v>
      </c>
      <c r="C438" s="82" t="s">
        <v>557</v>
      </c>
    </row>
    <row r="439" spans="1:3" x14ac:dyDescent="0.5">
      <c r="A439" s="7" t="s">
        <v>376</v>
      </c>
      <c r="B439" t="s">
        <v>556</v>
      </c>
      <c r="C439" t="s">
        <v>522</v>
      </c>
    </row>
    <row r="440" spans="1:3" x14ac:dyDescent="0.5">
      <c r="A440" s="7" t="s">
        <v>376</v>
      </c>
      <c r="B440" t="s">
        <v>558</v>
      </c>
      <c r="C440" t="s">
        <v>29</v>
      </c>
    </row>
    <row r="441" spans="1:3" x14ac:dyDescent="0.5">
      <c r="A441" s="7" t="s">
        <v>376</v>
      </c>
      <c r="B441" t="s">
        <v>553</v>
      </c>
      <c r="C441" t="s">
        <v>522</v>
      </c>
    </row>
    <row r="442" spans="1:3" x14ac:dyDescent="0.5">
      <c r="A442" s="7" t="s">
        <v>376</v>
      </c>
      <c r="B442" t="s">
        <v>559</v>
      </c>
      <c r="C442" t="s">
        <v>522</v>
      </c>
    </row>
    <row r="443" spans="1:3" x14ac:dyDescent="0.5">
      <c r="A443" s="7" t="s">
        <v>376</v>
      </c>
      <c r="B443" t="s">
        <v>560</v>
      </c>
      <c r="C443" t="s">
        <v>522</v>
      </c>
    </row>
    <row r="444" spans="1:3" x14ac:dyDescent="0.5">
      <c r="A444" s="7" t="s">
        <v>376</v>
      </c>
      <c r="B444" t="s">
        <v>561</v>
      </c>
      <c r="C444" t="s">
        <v>29</v>
      </c>
    </row>
    <row r="445" spans="1:3" x14ac:dyDescent="0.5">
      <c r="A445" s="7" t="s">
        <v>376</v>
      </c>
      <c r="B445" t="s">
        <v>562</v>
      </c>
      <c r="C445" t="s">
        <v>29</v>
      </c>
    </row>
    <row r="446" spans="1:3" x14ac:dyDescent="0.5">
      <c r="A446" s="7" t="s">
        <v>376</v>
      </c>
      <c r="B446" t="s">
        <v>563</v>
      </c>
      <c r="C446" t="s">
        <v>522</v>
      </c>
    </row>
    <row r="447" spans="1:3" x14ac:dyDescent="0.5">
      <c r="A447" s="7" t="s">
        <v>376</v>
      </c>
      <c r="B447" t="s">
        <v>564</v>
      </c>
      <c r="C447" t="s">
        <v>29</v>
      </c>
    </row>
    <row r="448" spans="1:3" x14ac:dyDescent="0.5">
      <c r="A448" s="7" t="s">
        <v>376</v>
      </c>
      <c r="B448" t="s">
        <v>565</v>
      </c>
      <c r="C448" t="s">
        <v>522</v>
      </c>
    </row>
    <row r="449" spans="1:3" x14ac:dyDescent="0.5">
      <c r="A449" s="7" t="s">
        <v>376</v>
      </c>
      <c r="B449" t="s">
        <v>566</v>
      </c>
      <c r="C449" t="s">
        <v>557</v>
      </c>
    </row>
    <row r="450" spans="1:3" x14ac:dyDescent="0.5">
      <c r="A450" s="7" t="s">
        <v>376</v>
      </c>
      <c r="B450" t="s">
        <v>567</v>
      </c>
      <c r="C450" t="s">
        <v>522</v>
      </c>
    </row>
    <row r="451" spans="1:3" x14ac:dyDescent="0.5">
      <c r="A451" s="7" t="s">
        <v>376</v>
      </c>
      <c r="B451" t="s">
        <v>568</v>
      </c>
      <c r="C451" t="s">
        <v>29</v>
      </c>
    </row>
    <row r="452" spans="1:3" x14ac:dyDescent="0.5">
      <c r="A452" s="7" t="s">
        <v>376</v>
      </c>
      <c r="B452" t="s">
        <v>569</v>
      </c>
      <c r="C452" t="s">
        <v>554</v>
      </c>
    </row>
    <row r="453" spans="1:3" x14ac:dyDescent="0.5">
      <c r="A453" s="7" t="s">
        <v>376</v>
      </c>
      <c r="B453" t="s">
        <v>570</v>
      </c>
      <c r="C453" t="s">
        <v>522</v>
      </c>
    </row>
    <row r="454" spans="1:3" x14ac:dyDescent="0.5">
      <c r="A454" s="7" t="s">
        <v>376</v>
      </c>
      <c r="B454" t="s">
        <v>571</v>
      </c>
      <c r="C454" t="s">
        <v>522</v>
      </c>
    </row>
    <row r="455" spans="1:3" x14ac:dyDescent="0.5">
      <c r="A455" s="7" t="s">
        <v>376</v>
      </c>
      <c r="B455" t="s">
        <v>572</v>
      </c>
      <c r="C455" t="s">
        <v>29</v>
      </c>
    </row>
    <row r="456" spans="1:3" x14ac:dyDescent="0.5">
      <c r="A456" s="7" t="s">
        <v>376</v>
      </c>
      <c r="B456" t="s">
        <v>573</v>
      </c>
      <c r="C456" t="s">
        <v>522</v>
      </c>
    </row>
    <row r="457" spans="1:3" x14ac:dyDescent="0.5">
      <c r="A457" s="7" t="s">
        <v>376</v>
      </c>
      <c r="B457" t="s">
        <v>555</v>
      </c>
      <c r="C457" t="s">
        <v>557</v>
      </c>
    </row>
    <row r="458" spans="1:3" x14ac:dyDescent="0.5">
      <c r="A458" s="7" t="s">
        <v>388</v>
      </c>
      <c r="B458" t="s">
        <v>558</v>
      </c>
      <c r="C458" t="s">
        <v>29</v>
      </c>
    </row>
    <row r="459" spans="1:3" x14ac:dyDescent="0.5">
      <c r="A459" s="7" t="s">
        <v>388</v>
      </c>
      <c r="B459" t="s">
        <v>553</v>
      </c>
      <c r="C459" t="s">
        <v>29</v>
      </c>
    </row>
    <row r="460" spans="1:3" x14ac:dyDescent="0.5">
      <c r="A460" s="7" t="s">
        <v>388</v>
      </c>
      <c r="B460" t="s">
        <v>559</v>
      </c>
      <c r="C460" t="s">
        <v>554</v>
      </c>
    </row>
    <row r="461" spans="1:3" x14ac:dyDescent="0.5">
      <c r="A461" s="7" t="s">
        <v>388</v>
      </c>
      <c r="B461" t="s">
        <v>560</v>
      </c>
      <c r="C461" t="s">
        <v>522</v>
      </c>
    </row>
    <row r="462" spans="1:3" x14ac:dyDescent="0.5">
      <c r="A462" s="7" t="s">
        <v>388</v>
      </c>
      <c r="B462" t="s">
        <v>561</v>
      </c>
      <c r="C462" t="s">
        <v>29</v>
      </c>
    </row>
    <row r="463" spans="1:3" x14ac:dyDescent="0.5">
      <c r="A463" s="7" t="s">
        <v>388</v>
      </c>
      <c r="B463" t="s">
        <v>562</v>
      </c>
      <c r="C463" t="s">
        <v>554</v>
      </c>
    </row>
    <row r="464" spans="1:3" x14ac:dyDescent="0.5">
      <c r="A464" s="7" t="s">
        <v>388</v>
      </c>
      <c r="B464" t="s">
        <v>563</v>
      </c>
      <c r="C464" t="s">
        <v>29</v>
      </c>
    </row>
    <row r="465" spans="1:3" x14ac:dyDescent="0.5">
      <c r="A465" s="7" t="s">
        <v>388</v>
      </c>
      <c r="B465" t="s">
        <v>564</v>
      </c>
      <c r="C465" t="s">
        <v>29</v>
      </c>
    </row>
    <row r="466" spans="1:3" x14ac:dyDescent="0.5">
      <c r="A466" s="7" t="s">
        <v>388</v>
      </c>
      <c r="B466" t="s">
        <v>565</v>
      </c>
      <c r="C466" t="s">
        <v>522</v>
      </c>
    </row>
    <row r="467" spans="1:3" x14ac:dyDescent="0.5">
      <c r="A467" s="7" t="s">
        <v>388</v>
      </c>
      <c r="B467" t="s">
        <v>566</v>
      </c>
      <c r="C467" t="s">
        <v>522</v>
      </c>
    </row>
    <row r="468" spans="1:3" x14ac:dyDescent="0.5">
      <c r="A468" s="7" t="s">
        <v>388</v>
      </c>
      <c r="B468" t="s">
        <v>567</v>
      </c>
      <c r="C468" t="s">
        <v>557</v>
      </c>
    </row>
    <row r="469" spans="1:3" x14ac:dyDescent="0.5">
      <c r="A469" s="7" t="s">
        <v>388</v>
      </c>
      <c r="B469" t="s">
        <v>568</v>
      </c>
      <c r="C469" t="s">
        <v>522</v>
      </c>
    </row>
    <row r="470" spans="1:3" x14ac:dyDescent="0.5">
      <c r="A470" s="7" t="s">
        <v>388</v>
      </c>
      <c r="B470" t="s">
        <v>569</v>
      </c>
      <c r="C470" t="s">
        <v>557</v>
      </c>
    </row>
    <row r="471" spans="1:3" x14ac:dyDescent="0.5">
      <c r="A471" s="7" t="s">
        <v>388</v>
      </c>
      <c r="B471" t="s">
        <v>570</v>
      </c>
      <c r="C471" t="s">
        <v>522</v>
      </c>
    </row>
    <row r="472" spans="1:3" x14ac:dyDescent="0.5">
      <c r="A472" s="7" t="s">
        <v>388</v>
      </c>
      <c r="B472" t="s">
        <v>571</v>
      </c>
      <c r="C472" t="s">
        <v>557</v>
      </c>
    </row>
    <row r="473" spans="1:3" x14ac:dyDescent="0.5">
      <c r="A473" s="7" t="s">
        <v>388</v>
      </c>
      <c r="B473" t="s">
        <v>572</v>
      </c>
      <c r="C473" t="s">
        <v>522</v>
      </c>
    </row>
    <row r="474" spans="1:3" x14ac:dyDescent="0.5">
      <c r="A474" s="7" t="s">
        <v>388</v>
      </c>
      <c r="B474" t="s">
        <v>573</v>
      </c>
      <c r="C474" t="s">
        <v>557</v>
      </c>
    </row>
    <row r="475" spans="1:3" x14ac:dyDescent="0.5">
      <c r="A475" s="7" t="s">
        <v>388</v>
      </c>
      <c r="B475" t="s">
        <v>556</v>
      </c>
      <c r="C475" t="s">
        <v>29</v>
      </c>
    </row>
    <row r="476" spans="1:3" x14ac:dyDescent="0.5">
      <c r="A476" s="7" t="s">
        <v>388</v>
      </c>
      <c r="B476" t="s">
        <v>555</v>
      </c>
      <c r="C476" t="s">
        <v>557</v>
      </c>
    </row>
    <row r="477" spans="1:3" x14ac:dyDescent="0.5">
      <c r="A477" s="7" t="s">
        <v>404</v>
      </c>
      <c r="B477" t="s">
        <v>555</v>
      </c>
      <c r="C477" t="s">
        <v>554</v>
      </c>
    </row>
    <row r="478" spans="1:3" x14ac:dyDescent="0.5">
      <c r="A478" s="7" t="s">
        <v>404</v>
      </c>
      <c r="B478" t="s">
        <v>556</v>
      </c>
      <c r="C478" t="s">
        <v>522</v>
      </c>
    </row>
    <row r="479" spans="1:3" x14ac:dyDescent="0.5">
      <c r="A479" s="7" t="s">
        <v>404</v>
      </c>
      <c r="B479" t="s">
        <v>558</v>
      </c>
      <c r="C479" t="s">
        <v>29</v>
      </c>
    </row>
    <row r="480" spans="1:3" x14ac:dyDescent="0.5">
      <c r="A480" s="7" t="s">
        <v>404</v>
      </c>
      <c r="B480" t="s">
        <v>553</v>
      </c>
      <c r="C480" t="s">
        <v>29</v>
      </c>
    </row>
    <row r="481" spans="1:3" x14ac:dyDescent="0.5">
      <c r="A481" s="7" t="s">
        <v>404</v>
      </c>
      <c r="B481" t="s">
        <v>559</v>
      </c>
      <c r="C481" t="s">
        <v>554</v>
      </c>
    </row>
    <row r="482" spans="1:3" x14ac:dyDescent="0.5">
      <c r="A482" s="7" t="s">
        <v>404</v>
      </c>
      <c r="B482" t="s">
        <v>560</v>
      </c>
      <c r="C482" t="s">
        <v>554</v>
      </c>
    </row>
    <row r="483" spans="1:3" x14ac:dyDescent="0.5">
      <c r="A483" s="7" t="s">
        <v>404</v>
      </c>
      <c r="B483" t="s">
        <v>561</v>
      </c>
      <c r="C483" t="s">
        <v>29</v>
      </c>
    </row>
    <row r="484" spans="1:3" x14ac:dyDescent="0.5">
      <c r="A484" s="7" t="s">
        <v>404</v>
      </c>
      <c r="B484" t="s">
        <v>562</v>
      </c>
      <c r="C484" t="s">
        <v>554</v>
      </c>
    </row>
    <row r="485" spans="1:3" x14ac:dyDescent="0.5">
      <c r="A485" s="7" t="s">
        <v>404</v>
      </c>
      <c r="B485" t="s">
        <v>563</v>
      </c>
      <c r="C485" t="s">
        <v>522</v>
      </c>
    </row>
    <row r="486" spans="1:3" x14ac:dyDescent="0.5">
      <c r="A486" s="7" t="s">
        <v>404</v>
      </c>
      <c r="B486" t="s">
        <v>564</v>
      </c>
      <c r="C486" t="s">
        <v>29</v>
      </c>
    </row>
    <row r="487" spans="1:3" x14ac:dyDescent="0.5">
      <c r="A487" s="7" t="s">
        <v>404</v>
      </c>
      <c r="B487" t="s">
        <v>565</v>
      </c>
      <c r="C487" t="s">
        <v>522</v>
      </c>
    </row>
    <row r="488" spans="1:3" x14ac:dyDescent="0.5">
      <c r="A488" s="7" t="s">
        <v>404</v>
      </c>
      <c r="B488" t="s">
        <v>566</v>
      </c>
      <c r="C488" t="s">
        <v>522</v>
      </c>
    </row>
    <row r="489" spans="1:3" x14ac:dyDescent="0.5">
      <c r="A489" s="7" t="s">
        <v>404</v>
      </c>
      <c r="B489" t="s">
        <v>567</v>
      </c>
      <c r="C489" t="s">
        <v>29</v>
      </c>
    </row>
    <row r="490" spans="1:3" x14ac:dyDescent="0.5">
      <c r="A490" s="7" t="s">
        <v>404</v>
      </c>
      <c r="B490" t="s">
        <v>568</v>
      </c>
      <c r="C490" t="s">
        <v>522</v>
      </c>
    </row>
    <row r="491" spans="1:3" x14ac:dyDescent="0.5">
      <c r="A491" s="7" t="s">
        <v>404</v>
      </c>
      <c r="B491" t="s">
        <v>569</v>
      </c>
      <c r="C491" t="s">
        <v>522</v>
      </c>
    </row>
    <row r="492" spans="1:3" x14ac:dyDescent="0.5">
      <c r="A492" s="7" t="s">
        <v>404</v>
      </c>
      <c r="B492" t="s">
        <v>570</v>
      </c>
      <c r="C492" t="s">
        <v>557</v>
      </c>
    </row>
    <row r="493" spans="1:3" x14ac:dyDescent="0.5">
      <c r="A493" s="7" t="s">
        <v>404</v>
      </c>
      <c r="B493" t="s">
        <v>571</v>
      </c>
      <c r="C493" t="s">
        <v>554</v>
      </c>
    </row>
    <row r="494" spans="1:3" x14ac:dyDescent="0.5">
      <c r="A494" s="7" t="s">
        <v>404</v>
      </c>
      <c r="B494" t="s">
        <v>572</v>
      </c>
      <c r="C494" t="s">
        <v>522</v>
      </c>
    </row>
    <row r="495" spans="1:3" x14ac:dyDescent="0.5">
      <c r="A495" s="7" t="s">
        <v>404</v>
      </c>
      <c r="B495" t="s">
        <v>573</v>
      </c>
      <c r="C495" t="s">
        <v>554</v>
      </c>
    </row>
    <row r="496" spans="1:3" x14ac:dyDescent="0.5">
      <c r="A496" s="7" t="s">
        <v>408</v>
      </c>
      <c r="B496" t="s">
        <v>558</v>
      </c>
      <c r="C496" t="s">
        <v>29</v>
      </c>
    </row>
    <row r="497" spans="1:3" x14ac:dyDescent="0.5">
      <c r="A497" t="s">
        <v>408</v>
      </c>
      <c r="B497" t="s">
        <v>553</v>
      </c>
      <c r="C497" t="s">
        <v>522</v>
      </c>
    </row>
    <row r="498" spans="1:3" x14ac:dyDescent="0.5">
      <c r="A498" s="7" t="s">
        <v>408</v>
      </c>
      <c r="B498" t="s">
        <v>559</v>
      </c>
      <c r="C498" t="s">
        <v>29</v>
      </c>
    </row>
    <row r="499" spans="1:3" x14ac:dyDescent="0.5">
      <c r="A499" s="7" t="s">
        <v>408</v>
      </c>
      <c r="B499" t="s">
        <v>560</v>
      </c>
      <c r="C499" t="s">
        <v>29</v>
      </c>
    </row>
    <row r="500" spans="1:3" x14ac:dyDescent="0.5">
      <c r="A500" s="7" t="s">
        <v>408</v>
      </c>
      <c r="B500" t="s">
        <v>561</v>
      </c>
      <c r="C500" t="s">
        <v>29</v>
      </c>
    </row>
    <row r="501" spans="1:3" x14ac:dyDescent="0.5">
      <c r="A501" s="7" t="s">
        <v>408</v>
      </c>
      <c r="B501" t="s">
        <v>562</v>
      </c>
      <c r="C501" t="s">
        <v>29</v>
      </c>
    </row>
    <row r="502" spans="1:3" x14ac:dyDescent="0.5">
      <c r="A502" s="7" t="s">
        <v>408</v>
      </c>
      <c r="B502" t="s">
        <v>563</v>
      </c>
      <c r="C502" t="s">
        <v>29</v>
      </c>
    </row>
    <row r="503" spans="1:3" x14ac:dyDescent="0.5">
      <c r="A503" s="7" t="s">
        <v>408</v>
      </c>
      <c r="B503" t="s">
        <v>564</v>
      </c>
      <c r="C503" t="s">
        <v>554</v>
      </c>
    </row>
    <row r="504" spans="1:3" x14ac:dyDescent="0.5">
      <c r="A504" s="7" t="s">
        <v>408</v>
      </c>
      <c r="B504" t="s">
        <v>565</v>
      </c>
      <c r="C504" t="s">
        <v>29</v>
      </c>
    </row>
    <row r="505" spans="1:3" x14ac:dyDescent="0.5">
      <c r="A505" s="7" t="s">
        <v>408</v>
      </c>
      <c r="B505" t="s">
        <v>566</v>
      </c>
      <c r="C505" t="s">
        <v>557</v>
      </c>
    </row>
    <row r="506" spans="1:3" x14ac:dyDescent="0.5">
      <c r="A506" s="7" t="s">
        <v>408</v>
      </c>
      <c r="B506" t="s">
        <v>567</v>
      </c>
      <c r="C506" t="s">
        <v>522</v>
      </c>
    </row>
    <row r="507" spans="1:3" x14ac:dyDescent="0.5">
      <c r="A507" s="7" t="s">
        <v>408</v>
      </c>
      <c r="B507" t="s">
        <v>568</v>
      </c>
      <c r="C507" t="s">
        <v>557</v>
      </c>
    </row>
    <row r="508" spans="1:3" x14ac:dyDescent="0.5">
      <c r="A508" s="7" t="s">
        <v>408</v>
      </c>
      <c r="B508" t="s">
        <v>569</v>
      </c>
      <c r="C508" t="s">
        <v>554</v>
      </c>
    </row>
    <row r="509" spans="1:3" x14ac:dyDescent="0.5">
      <c r="A509" s="7" t="s">
        <v>408</v>
      </c>
      <c r="B509" t="s">
        <v>570</v>
      </c>
      <c r="C509" t="s">
        <v>522</v>
      </c>
    </row>
    <row r="510" spans="1:3" x14ac:dyDescent="0.5">
      <c r="A510" s="7" t="s">
        <v>408</v>
      </c>
      <c r="B510" t="s">
        <v>571</v>
      </c>
      <c r="C510" t="s">
        <v>29</v>
      </c>
    </row>
    <row r="511" spans="1:3" x14ac:dyDescent="0.5">
      <c r="A511" s="7" t="s">
        <v>408</v>
      </c>
      <c r="B511" t="s">
        <v>572</v>
      </c>
      <c r="C511" t="s">
        <v>554</v>
      </c>
    </row>
    <row r="512" spans="1:3" x14ac:dyDescent="0.5">
      <c r="A512" s="7" t="s">
        <v>408</v>
      </c>
      <c r="B512" t="s">
        <v>573</v>
      </c>
      <c r="C512" t="s">
        <v>557</v>
      </c>
    </row>
    <row r="513" spans="1:3" x14ac:dyDescent="0.5">
      <c r="A513" s="7" t="s">
        <v>408</v>
      </c>
      <c r="B513" t="s">
        <v>556</v>
      </c>
      <c r="C513" t="s">
        <v>29</v>
      </c>
    </row>
    <row r="514" spans="1:3" x14ac:dyDescent="0.5">
      <c r="A514" s="7" t="s">
        <v>408</v>
      </c>
      <c r="B514" t="s">
        <v>555</v>
      </c>
      <c r="C514" t="s">
        <v>557</v>
      </c>
    </row>
    <row r="515" spans="1:3" x14ac:dyDescent="0.5">
      <c r="A515" s="76" t="s">
        <v>426</v>
      </c>
      <c r="B515" t="s">
        <v>558</v>
      </c>
      <c r="C515" t="s">
        <v>522</v>
      </c>
    </row>
    <row r="516" spans="1:3" x14ac:dyDescent="0.5">
      <c r="A516" s="76" t="s">
        <v>426</v>
      </c>
      <c r="B516" t="s">
        <v>555</v>
      </c>
      <c r="C516" t="s">
        <v>29</v>
      </c>
    </row>
    <row r="517" spans="1:3" x14ac:dyDescent="0.5">
      <c r="A517" s="76" t="s">
        <v>426</v>
      </c>
      <c r="B517" t="s">
        <v>553</v>
      </c>
      <c r="C517" t="s">
        <v>29</v>
      </c>
    </row>
    <row r="518" spans="1:3" x14ac:dyDescent="0.5">
      <c r="A518" s="76" t="s">
        <v>426</v>
      </c>
      <c r="B518" t="s">
        <v>559</v>
      </c>
      <c r="C518" t="s">
        <v>29</v>
      </c>
    </row>
    <row r="519" spans="1:3" x14ac:dyDescent="0.5">
      <c r="A519" s="76" t="s">
        <v>426</v>
      </c>
      <c r="B519" t="s">
        <v>560</v>
      </c>
      <c r="C519" t="s">
        <v>29</v>
      </c>
    </row>
    <row r="520" spans="1:3" x14ac:dyDescent="0.5">
      <c r="A520" s="76" t="s">
        <v>426</v>
      </c>
      <c r="B520" t="s">
        <v>561</v>
      </c>
      <c r="C520" t="s">
        <v>29</v>
      </c>
    </row>
    <row r="521" spans="1:3" x14ac:dyDescent="0.5">
      <c r="A521" s="76" t="s">
        <v>426</v>
      </c>
      <c r="B521" t="s">
        <v>562</v>
      </c>
      <c r="C521" t="s">
        <v>29</v>
      </c>
    </row>
    <row r="522" spans="1:3" x14ac:dyDescent="0.5">
      <c r="A522" s="76" t="s">
        <v>426</v>
      </c>
      <c r="B522" t="s">
        <v>563</v>
      </c>
      <c r="C522" t="s">
        <v>29</v>
      </c>
    </row>
    <row r="523" spans="1:3" x14ac:dyDescent="0.5">
      <c r="A523" s="76" t="s">
        <v>426</v>
      </c>
      <c r="B523" t="s">
        <v>564</v>
      </c>
      <c r="C523" t="s">
        <v>554</v>
      </c>
    </row>
    <row r="524" spans="1:3" x14ac:dyDescent="0.5">
      <c r="A524" s="76" t="s">
        <v>426</v>
      </c>
      <c r="B524" t="s">
        <v>565</v>
      </c>
      <c r="C524" t="s">
        <v>29</v>
      </c>
    </row>
    <row r="525" spans="1:3" x14ac:dyDescent="0.5">
      <c r="A525" s="76" t="s">
        <v>426</v>
      </c>
      <c r="B525" t="s">
        <v>566</v>
      </c>
      <c r="C525" t="s">
        <v>522</v>
      </c>
    </row>
    <row r="526" spans="1:3" x14ac:dyDescent="0.5">
      <c r="A526" s="7" t="s">
        <v>426</v>
      </c>
      <c r="B526" t="s">
        <v>567</v>
      </c>
      <c r="C526" t="s">
        <v>522</v>
      </c>
    </row>
    <row r="527" spans="1:3" x14ac:dyDescent="0.5">
      <c r="A527" s="76" t="s">
        <v>426</v>
      </c>
      <c r="B527" t="s">
        <v>568</v>
      </c>
      <c r="C527" t="s">
        <v>554</v>
      </c>
    </row>
    <row r="528" spans="1:3" x14ac:dyDescent="0.5">
      <c r="A528" s="76" t="s">
        <v>426</v>
      </c>
      <c r="B528" t="s">
        <v>569</v>
      </c>
      <c r="C528" t="s">
        <v>29</v>
      </c>
    </row>
    <row r="529" spans="1:3" x14ac:dyDescent="0.5">
      <c r="A529" s="76" t="s">
        <v>426</v>
      </c>
      <c r="B529" t="s">
        <v>570</v>
      </c>
      <c r="C529" t="s">
        <v>29</v>
      </c>
    </row>
    <row r="530" spans="1:3" x14ac:dyDescent="0.5">
      <c r="A530" s="76" t="s">
        <v>426</v>
      </c>
      <c r="B530" t="s">
        <v>571</v>
      </c>
      <c r="C530" t="s">
        <v>522</v>
      </c>
    </row>
    <row r="531" spans="1:3" x14ac:dyDescent="0.5">
      <c r="A531" s="76" t="s">
        <v>426</v>
      </c>
      <c r="B531" t="s">
        <v>572</v>
      </c>
      <c r="C531" t="s">
        <v>557</v>
      </c>
    </row>
    <row r="532" spans="1:3" x14ac:dyDescent="0.5">
      <c r="A532" s="76" t="s">
        <v>426</v>
      </c>
      <c r="B532" t="s">
        <v>573</v>
      </c>
      <c r="C532" t="s">
        <v>554</v>
      </c>
    </row>
    <row r="533" spans="1:3" x14ac:dyDescent="0.5">
      <c r="A533" s="76" t="s">
        <v>426</v>
      </c>
      <c r="B533" t="s">
        <v>556</v>
      </c>
      <c r="C533" t="s">
        <v>29</v>
      </c>
    </row>
    <row r="534" spans="1:3" x14ac:dyDescent="0.5">
      <c r="A534" s="76" t="s">
        <v>447</v>
      </c>
      <c r="B534" t="s">
        <v>555</v>
      </c>
      <c r="C534" t="s">
        <v>554</v>
      </c>
    </row>
    <row r="535" spans="1:3" x14ac:dyDescent="0.5">
      <c r="A535" s="76" t="s">
        <v>447</v>
      </c>
      <c r="B535" t="s">
        <v>556</v>
      </c>
      <c r="C535" t="s">
        <v>522</v>
      </c>
    </row>
    <row r="536" spans="1:3" x14ac:dyDescent="0.5">
      <c r="A536" s="76" t="s">
        <v>447</v>
      </c>
      <c r="B536" t="s">
        <v>558</v>
      </c>
      <c r="C536" t="s">
        <v>29</v>
      </c>
    </row>
    <row r="537" spans="1:3" x14ac:dyDescent="0.5">
      <c r="A537" s="76" t="s">
        <v>447</v>
      </c>
      <c r="B537" t="s">
        <v>553</v>
      </c>
      <c r="C537" t="s">
        <v>522</v>
      </c>
    </row>
    <row r="538" spans="1:3" x14ac:dyDescent="0.5">
      <c r="A538" s="76" t="s">
        <v>447</v>
      </c>
      <c r="B538" t="s">
        <v>559</v>
      </c>
      <c r="C538" t="s">
        <v>557</v>
      </c>
    </row>
    <row r="539" spans="1:3" x14ac:dyDescent="0.5">
      <c r="A539" s="76" t="s">
        <v>447</v>
      </c>
      <c r="B539" t="s">
        <v>560</v>
      </c>
      <c r="C539" t="s">
        <v>557</v>
      </c>
    </row>
    <row r="540" spans="1:3" x14ac:dyDescent="0.5">
      <c r="A540" s="76" t="s">
        <v>447</v>
      </c>
      <c r="B540" t="s">
        <v>561</v>
      </c>
      <c r="C540" t="s">
        <v>29</v>
      </c>
    </row>
    <row r="541" spans="1:3" x14ac:dyDescent="0.5">
      <c r="A541" s="76" t="s">
        <v>447</v>
      </c>
      <c r="B541" t="s">
        <v>562</v>
      </c>
      <c r="C541" t="s">
        <v>557</v>
      </c>
    </row>
    <row r="542" spans="1:3" x14ac:dyDescent="0.5">
      <c r="A542" s="76" t="s">
        <v>447</v>
      </c>
      <c r="B542" t="s">
        <v>563</v>
      </c>
      <c r="C542" t="s">
        <v>557</v>
      </c>
    </row>
    <row r="543" spans="1:3" x14ac:dyDescent="0.5">
      <c r="A543" s="76" t="s">
        <v>447</v>
      </c>
      <c r="B543" t="s">
        <v>564</v>
      </c>
      <c r="C543" t="s">
        <v>554</v>
      </c>
    </row>
    <row r="544" spans="1:3" x14ac:dyDescent="0.5">
      <c r="A544" s="76" t="s">
        <v>447</v>
      </c>
      <c r="B544" t="s">
        <v>565</v>
      </c>
      <c r="C544" t="s">
        <v>29</v>
      </c>
    </row>
    <row r="545" spans="1:3" x14ac:dyDescent="0.5">
      <c r="A545" s="76" t="s">
        <v>447</v>
      </c>
      <c r="B545" t="s">
        <v>566</v>
      </c>
      <c r="C545" t="s">
        <v>554</v>
      </c>
    </row>
    <row r="546" spans="1:3" x14ac:dyDescent="0.5">
      <c r="A546" s="76" t="s">
        <v>447</v>
      </c>
      <c r="B546" t="s">
        <v>567</v>
      </c>
      <c r="C546" t="s">
        <v>522</v>
      </c>
    </row>
    <row r="547" spans="1:3" x14ac:dyDescent="0.5">
      <c r="A547" s="76" t="s">
        <v>447</v>
      </c>
      <c r="B547" t="s">
        <v>568</v>
      </c>
      <c r="C547" t="s">
        <v>557</v>
      </c>
    </row>
    <row r="548" spans="1:3" x14ac:dyDescent="0.5">
      <c r="A548" s="76" t="s">
        <v>447</v>
      </c>
      <c r="B548" t="s">
        <v>569</v>
      </c>
      <c r="C548" t="s">
        <v>554</v>
      </c>
    </row>
    <row r="549" spans="1:3" x14ac:dyDescent="0.5">
      <c r="A549" s="76" t="s">
        <v>447</v>
      </c>
      <c r="B549" t="s">
        <v>570</v>
      </c>
      <c r="C549" t="s">
        <v>557</v>
      </c>
    </row>
    <row r="550" spans="1:3" x14ac:dyDescent="0.5">
      <c r="A550" s="76" t="s">
        <v>447</v>
      </c>
      <c r="B550" t="s">
        <v>571</v>
      </c>
      <c r="C550" t="s">
        <v>557</v>
      </c>
    </row>
    <row r="551" spans="1:3" x14ac:dyDescent="0.5">
      <c r="A551" s="76" t="s">
        <v>447</v>
      </c>
      <c r="B551" t="s">
        <v>572</v>
      </c>
      <c r="C551" t="s">
        <v>554</v>
      </c>
    </row>
    <row r="552" spans="1:3" x14ac:dyDescent="0.5">
      <c r="A552" s="76" t="s">
        <v>447</v>
      </c>
      <c r="B552" t="s">
        <v>573</v>
      </c>
      <c r="C552" t="s">
        <v>554</v>
      </c>
    </row>
    <row r="553" spans="1:3" x14ac:dyDescent="0.5">
      <c r="A553" s="26" t="s">
        <v>484</v>
      </c>
      <c r="B553" t="s">
        <v>555</v>
      </c>
      <c r="C553" s="82" t="s">
        <v>554</v>
      </c>
    </row>
    <row r="554" spans="1:3" x14ac:dyDescent="0.5">
      <c r="A554" s="26" t="s">
        <v>484</v>
      </c>
      <c r="B554" t="s">
        <v>556</v>
      </c>
      <c r="C554" s="82" t="s">
        <v>522</v>
      </c>
    </row>
    <row r="555" spans="1:3" x14ac:dyDescent="0.5">
      <c r="A555" s="26" t="s">
        <v>484</v>
      </c>
      <c r="B555" t="s">
        <v>558</v>
      </c>
      <c r="C555" s="81" t="s">
        <v>522</v>
      </c>
    </row>
    <row r="556" spans="1:3" x14ac:dyDescent="0.5">
      <c r="A556" s="26" t="s">
        <v>484</v>
      </c>
      <c r="B556" t="s">
        <v>553</v>
      </c>
      <c r="C556" s="82" t="s">
        <v>522</v>
      </c>
    </row>
    <row r="557" spans="1:3" x14ac:dyDescent="0.5">
      <c r="A557" s="26" t="s">
        <v>484</v>
      </c>
      <c r="B557" t="s">
        <v>559</v>
      </c>
      <c r="C557" s="82" t="s">
        <v>522</v>
      </c>
    </row>
    <row r="558" spans="1:3" x14ac:dyDescent="0.5">
      <c r="A558" s="26" t="s">
        <v>484</v>
      </c>
      <c r="B558" t="s">
        <v>560</v>
      </c>
      <c r="C558" s="82" t="s">
        <v>557</v>
      </c>
    </row>
    <row r="559" spans="1:3" x14ac:dyDescent="0.5">
      <c r="A559" s="26" t="s">
        <v>484</v>
      </c>
      <c r="B559" t="s">
        <v>561</v>
      </c>
      <c r="C559" s="82" t="s">
        <v>29</v>
      </c>
    </row>
    <row r="560" spans="1:3" x14ac:dyDescent="0.5">
      <c r="A560" s="26" t="s">
        <v>484</v>
      </c>
      <c r="B560" t="s">
        <v>562</v>
      </c>
      <c r="C560" s="82" t="s">
        <v>29</v>
      </c>
    </row>
    <row r="561" spans="1:3" x14ac:dyDescent="0.5">
      <c r="A561" s="26" t="s">
        <v>484</v>
      </c>
      <c r="B561" t="s">
        <v>563</v>
      </c>
      <c r="C561" s="82" t="s">
        <v>554</v>
      </c>
    </row>
    <row r="562" spans="1:3" x14ac:dyDescent="0.5">
      <c r="A562" s="26" t="s">
        <v>484</v>
      </c>
      <c r="B562" t="s">
        <v>564</v>
      </c>
      <c r="C562" s="82" t="s">
        <v>557</v>
      </c>
    </row>
    <row r="563" spans="1:3" x14ac:dyDescent="0.5">
      <c r="A563" s="26" t="s">
        <v>484</v>
      </c>
      <c r="B563" t="s">
        <v>565</v>
      </c>
      <c r="C563" s="82" t="s">
        <v>557</v>
      </c>
    </row>
    <row r="564" spans="1:3" x14ac:dyDescent="0.5">
      <c r="A564" s="26" t="s">
        <v>484</v>
      </c>
      <c r="B564" t="s">
        <v>566</v>
      </c>
      <c r="C564" s="82" t="s">
        <v>522</v>
      </c>
    </row>
    <row r="565" spans="1:3" x14ac:dyDescent="0.5">
      <c r="A565" s="26" t="s">
        <v>484</v>
      </c>
      <c r="B565" t="s">
        <v>567</v>
      </c>
      <c r="C565" s="81" t="s">
        <v>557</v>
      </c>
    </row>
    <row r="566" spans="1:3" x14ac:dyDescent="0.5">
      <c r="A566" s="26" t="s">
        <v>484</v>
      </c>
      <c r="B566" t="s">
        <v>568</v>
      </c>
      <c r="C566" s="81" t="s">
        <v>557</v>
      </c>
    </row>
    <row r="567" spans="1:3" x14ac:dyDescent="0.5">
      <c r="A567" s="26" t="s">
        <v>484</v>
      </c>
      <c r="B567" t="s">
        <v>569</v>
      </c>
      <c r="C567" s="81" t="s">
        <v>554</v>
      </c>
    </row>
    <row r="568" spans="1:3" x14ac:dyDescent="0.5">
      <c r="A568" s="26" t="s">
        <v>484</v>
      </c>
      <c r="B568" t="s">
        <v>570</v>
      </c>
      <c r="C568" s="82" t="s">
        <v>554</v>
      </c>
    </row>
    <row r="569" spans="1:3" x14ac:dyDescent="0.5">
      <c r="A569" s="26" t="s">
        <v>484</v>
      </c>
      <c r="B569" t="s">
        <v>571</v>
      </c>
      <c r="C569" s="82" t="s">
        <v>29</v>
      </c>
    </row>
    <row r="570" spans="1:3" x14ac:dyDescent="0.5">
      <c r="A570" s="26" t="s">
        <v>484</v>
      </c>
      <c r="B570" t="s">
        <v>572</v>
      </c>
      <c r="C570" s="81" t="s">
        <v>557</v>
      </c>
    </row>
    <row r="571" spans="1:3" x14ac:dyDescent="0.5">
      <c r="A571" s="26" t="s">
        <v>484</v>
      </c>
      <c r="B571" t="s">
        <v>573</v>
      </c>
      <c r="C571" s="81" t="s">
        <v>522</v>
      </c>
    </row>
    <row r="572" spans="1:3" x14ac:dyDescent="0.5">
      <c r="A572" s="7" t="s">
        <v>488</v>
      </c>
      <c r="B572" t="s">
        <v>556</v>
      </c>
      <c r="C572" t="s">
        <v>29</v>
      </c>
    </row>
    <row r="573" spans="1:3" x14ac:dyDescent="0.5">
      <c r="A573" s="7" t="s">
        <v>488</v>
      </c>
      <c r="B573" t="s">
        <v>553</v>
      </c>
      <c r="C573" t="s">
        <v>557</v>
      </c>
    </row>
    <row r="574" spans="1:3" x14ac:dyDescent="0.5">
      <c r="A574" s="7" t="s">
        <v>488</v>
      </c>
      <c r="B574" t="s">
        <v>555</v>
      </c>
      <c r="C574" t="s">
        <v>557</v>
      </c>
    </row>
    <row r="575" spans="1:3" x14ac:dyDescent="0.5">
      <c r="A575" s="7" t="s">
        <v>488</v>
      </c>
      <c r="B575" t="s">
        <v>558</v>
      </c>
      <c r="C575" t="s">
        <v>557</v>
      </c>
    </row>
    <row r="576" spans="1:3" x14ac:dyDescent="0.5">
      <c r="A576" s="7" t="s">
        <v>488</v>
      </c>
      <c r="B576" t="s">
        <v>559</v>
      </c>
      <c r="C576" t="s">
        <v>554</v>
      </c>
    </row>
    <row r="577" spans="1:3" x14ac:dyDescent="0.5">
      <c r="A577" s="7" t="s">
        <v>488</v>
      </c>
      <c r="B577" t="s">
        <v>560</v>
      </c>
      <c r="C577" t="s">
        <v>554</v>
      </c>
    </row>
    <row r="578" spans="1:3" x14ac:dyDescent="0.5">
      <c r="A578" s="7" t="s">
        <v>488</v>
      </c>
      <c r="B578" t="s">
        <v>561</v>
      </c>
      <c r="C578" t="s">
        <v>554</v>
      </c>
    </row>
    <row r="579" spans="1:3" x14ac:dyDescent="0.5">
      <c r="A579" s="7" t="s">
        <v>488</v>
      </c>
      <c r="B579" t="s">
        <v>562</v>
      </c>
      <c r="C579" t="s">
        <v>554</v>
      </c>
    </row>
    <row r="580" spans="1:3" x14ac:dyDescent="0.5">
      <c r="A580" s="7" t="s">
        <v>488</v>
      </c>
      <c r="B580" t="s">
        <v>563</v>
      </c>
      <c r="C580" t="s">
        <v>557</v>
      </c>
    </row>
    <row r="581" spans="1:3" x14ac:dyDescent="0.5">
      <c r="A581" s="7" t="s">
        <v>488</v>
      </c>
      <c r="B581" t="s">
        <v>564</v>
      </c>
      <c r="C581" t="s">
        <v>554</v>
      </c>
    </row>
    <row r="582" spans="1:3" x14ac:dyDescent="0.5">
      <c r="A582" s="7" t="s">
        <v>488</v>
      </c>
      <c r="B582" t="s">
        <v>565</v>
      </c>
      <c r="C582" t="s">
        <v>29</v>
      </c>
    </row>
    <row r="583" spans="1:3" x14ac:dyDescent="0.5">
      <c r="A583" s="7" t="s">
        <v>488</v>
      </c>
      <c r="B583" t="s">
        <v>566</v>
      </c>
      <c r="C583" t="s">
        <v>522</v>
      </c>
    </row>
    <row r="584" spans="1:3" x14ac:dyDescent="0.5">
      <c r="A584" s="7" t="s">
        <v>488</v>
      </c>
      <c r="B584" t="s">
        <v>567</v>
      </c>
      <c r="C584" t="s">
        <v>557</v>
      </c>
    </row>
    <row r="585" spans="1:3" x14ac:dyDescent="0.5">
      <c r="A585" s="7" t="s">
        <v>488</v>
      </c>
      <c r="B585" t="s">
        <v>568</v>
      </c>
      <c r="C585" t="s">
        <v>554</v>
      </c>
    </row>
    <row r="586" spans="1:3" x14ac:dyDescent="0.5">
      <c r="A586" s="7" t="s">
        <v>488</v>
      </c>
      <c r="B586" t="s">
        <v>569</v>
      </c>
      <c r="C586" t="s">
        <v>554</v>
      </c>
    </row>
    <row r="587" spans="1:3" x14ac:dyDescent="0.5">
      <c r="A587" s="7" t="s">
        <v>488</v>
      </c>
      <c r="B587" t="s">
        <v>570</v>
      </c>
      <c r="C587" t="s">
        <v>522</v>
      </c>
    </row>
    <row r="588" spans="1:3" x14ac:dyDescent="0.5">
      <c r="A588" s="7" t="s">
        <v>488</v>
      </c>
      <c r="B588" t="s">
        <v>571</v>
      </c>
      <c r="C588" t="s">
        <v>557</v>
      </c>
    </row>
    <row r="589" spans="1:3" x14ac:dyDescent="0.5">
      <c r="A589" s="7" t="s">
        <v>488</v>
      </c>
      <c r="B589" t="s">
        <v>572</v>
      </c>
      <c r="C589" t="s">
        <v>522</v>
      </c>
    </row>
    <row r="590" spans="1:3" x14ac:dyDescent="0.5">
      <c r="A590" s="7" t="s">
        <v>488</v>
      </c>
      <c r="B590" t="s">
        <v>573</v>
      </c>
      <c r="C590" t="s">
        <v>554</v>
      </c>
    </row>
  </sheetData>
  <phoneticPr fontId="3" type="noConversion"/>
  <conditionalFormatting sqref="C2:C590">
    <cfRule type="containsText" dxfId="8" priority="17" operator="containsText" text="Y">
      <formula>NOT(ISERROR(SEARCH("Y",C2)))</formula>
    </cfRule>
    <cfRule type="containsText" dxfId="7" priority="18" operator="containsText" text="Not Available">
      <formula>NOT(ISERROR(SEARCH("Not Available",C2)))</formula>
    </cfRule>
    <cfRule type="containsBlanks" dxfId="6" priority="19">
      <formula>LEN(TRIM(C2))=0</formula>
    </cfRule>
  </conditionalFormatting>
  <conditionalFormatting sqref="C515:C552">
    <cfRule type="containsText" dxfId="5" priority="10" operator="containsText" text="Y">
      <formula>NOT(ISERROR(SEARCH("Y",C515)))</formula>
    </cfRule>
    <cfRule type="containsText" dxfId="4" priority="11" operator="containsText" text="Not Available">
      <formula>NOT(ISERROR(SEARCH("Not Available",C515)))</formula>
    </cfRule>
    <cfRule type="containsBlanks" dxfId="3" priority="12">
      <formula>LEN(TRIM(C515))=0</formula>
    </cfRule>
  </conditionalFormatting>
  <conditionalFormatting sqref="C534:C590">
    <cfRule type="containsText" dxfId="2" priority="1" operator="containsText" text="Y">
      <formula>NOT(ISERROR(SEARCH("Y",C534)))</formula>
    </cfRule>
    <cfRule type="containsText" dxfId="1" priority="2" operator="containsText" text="Not Available">
      <formula>NOT(ISERROR(SEARCH("Not Available",C534)))</formula>
    </cfRule>
    <cfRule type="containsBlanks" dxfId="0" priority="3">
      <formula>LEN(TRIM(C534))=0</formula>
    </cfRule>
  </conditionalFormatting>
  <dataValidations count="1">
    <dataValidation type="list" allowBlank="1" showInputMessage="1" showErrorMessage="1" sqref="C2:C590" xr:uid="{F445F690-82E0-470F-927D-ADCEA3FC3AD0}">
      <formula1>$G$2:$G$5</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4F60-23C3-419C-9BEE-2454D6A3797D}">
  <dimension ref="A1:V35"/>
  <sheetViews>
    <sheetView workbookViewId="0">
      <selection activeCell="A7" sqref="A7:XFD7"/>
    </sheetView>
  </sheetViews>
  <sheetFormatPr defaultRowHeight="14.35" x14ac:dyDescent="0.5"/>
  <cols>
    <col min="1" max="1" width="18.703125" customWidth="1"/>
    <col min="2" max="2" width="16" customWidth="1"/>
    <col min="3" max="3" width="17.234375" customWidth="1"/>
    <col min="9" max="9" width="14.87890625" customWidth="1"/>
    <col min="11" max="11" width="14.87890625" customWidth="1"/>
    <col min="13" max="13" width="13.41015625" customWidth="1"/>
    <col min="15" max="15" width="16.5859375" customWidth="1"/>
    <col min="17" max="17" width="12.234375" customWidth="1"/>
    <col min="18" max="18" width="16" customWidth="1"/>
    <col min="20" max="20" width="12.87890625" customWidth="1"/>
    <col min="21" max="21" width="13.703125" customWidth="1"/>
    <col min="22" max="22" width="10.234375" customWidth="1"/>
  </cols>
  <sheetData>
    <row r="1" spans="1:22" ht="28.7" x14ac:dyDescent="0.5">
      <c r="A1" s="51" t="s">
        <v>1</v>
      </c>
      <c r="B1" s="52" t="s">
        <v>573</v>
      </c>
      <c r="C1" s="52" t="s">
        <v>567</v>
      </c>
      <c r="D1" s="52" t="s">
        <v>575</v>
      </c>
      <c r="E1" s="52" t="s">
        <v>576</v>
      </c>
      <c r="F1" s="52" t="s">
        <v>577</v>
      </c>
      <c r="G1" s="52" t="s">
        <v>578</v>
      </c>
      <c r="H1" s="52" t="s">
        <v>579</v>
      </c>
      <c r="I1" s="52" t="s">
        <v>563</v>
      </c>
      <c r="J1" s="52" t="s">
        <v>580</v>
      </c>
      <c r="K1" s="52" t="s">
        <v>555</v>
      </c>
      <c r="L1" s="52" t="s">
        <v>562</v>
      </c>
      <c r="M1" s="52" t="s">
        <v>571</v>
      </c>
      <c r="N1" s="52" t="s">
        <v>581</v>
      </c>
      <c r="O1" s="52" t="s">
        <v>559</v>
      </c>
      <c r="P1" s="52" t="s">
        <v>556</v>
      </c>
      <c r="Q1" s="69" t="s">
        <v>582</v>
      </c>
      <c r="R1" s="52" t="s">
        <v>560</v>
      </c>
      <c r="S1" s="52" t="s">
        <v>295</v>
      </c>
      <c r="T1" s="53" t="s">
        <v>583</v>
      </c>
      <c r="U1" s="53" t="s">
        <v>584</v>
      </c>
      <c r="V1" s="68" t="s">
        <v>585</v>
      </c>
    </row>
    <row r="2" spans="1:22" x14ac:dyDescent="0.5">
      <c r="A2" s="26" t="s">
        <v>586</v>
      </c>
      <c r="B2" s="54" t="s">
        <v>557</v>
      </c>
      <c r="C2" s="56" t="s">
        <v>554</v>
      </c>
      <c r="D2" s="54" t="s">
        <v>522</v>
      </c>
      <c r="E2" s="56" t="s">
        <v>522</v>
      </c>
      <c r="F2" s="54" t="s">
        <v>522</v>
      </c>
      <c r="G2" s="54" t="s">
        <v>554</v>
      </c>
      <c r="H2" s="54" t="s">
        <v>554</v>
      </c>
      <c r="I2" s="54" t="s">
        <v>554</v>
      </c>
      <c r="J2" s="54" t="s">
        <v>554</v>
      </c>
      <c r="K2" s="54" t="s">
        <v>557</v>
      </c>
      <c r="L2" s="54" t="s">
        <v>557</v>
      </c>
      <c r="M2" s="54" t="s">
        <v>29</v>
      </c>
      <c r="N2" s="54" t="s">
        <v>29</v>
      </c>
      <c r="O2" s="54" t="s">
        <v>29</v>
      </c>
      <c r="P2" s="54" t="s">
        <v>522</v>
      </c>
      <c r="Q2" s="54" t="s">
        <v>554</v>
      </c>
      <c r="R2" s="54" t="s">
        <v>29</v>
      </c>
      <c r="S2" s="54" t="s">
        <v>29</v>
      </c>
      <c r="T2" s="54" t="s">
        <v>554</v>
      </c>
      <c r="U2" s="56" t="s">
        <v>554</v>
      </c>
      <c r="V2" s="54" t="s">
        <v>554</v>
      </c>
    </row>
    <row r="3" spans="1:22" x14ac:dyDescent="0.5">
      <c r="A3" s="7" t="s">
        <v>30</v>
      </c>
      <c r="B3" s="54" t="s">
        <v>522</v>
      </c>
      <c r="C3" s="54" t="s">
        <v>554</v>
      </c>
      <c r="D3" s="56" t="s">
        <v>557</v>
      </c>
      <c r="E3" s="54" t="s">
        <v>554</v>
      </c>
      <c r="F3" s="56" t="s">
        <v>557</v>
      </c>
      <c r="G3" s="54" t="s">
        <v>554</v>
      </c>
      <c r="H3" s="56" t="s">
        <v>557</v>
      </c>
      <c r="I3" s="54" t="s">
        <v>554</v>
      </c>
      <c r="J3" s="54" t="s">
        <v>554</v>
      </c>
      <c r="K3" s="56" t="s">
        <v>557</v>
      </c>
      <c r="L3" s="54" t="s">
        <v>554</v>
      </c>
      <c r="M3" s="56" t="s">
        <v>557</v>
      </c>
      <c r="N3" s="54" t="s">
        <v>29</v>
      </c>
      <c r="O3" s="56" t="s">
        <v>29</v>
      </c>
      <c r="P3" s="54" t="s">
        <v>29</v>
      </c>
      <c r="Q3" s="54" t="s">
        <v>554</v>
      </c>
      <c r="R3" s="54" t="s">
        <v>522</v>
      </c>
      <c r="S3" s="54" t="s">
        <v>557</v>
      </c>
      <c r="T3" s="54" t="s">
        <v>554</v>
      </c>
      <c r="U3" s="54" t="s">
        <v>554</v>
      </c>
      <c r="V3" s="54" t="s">
        <v>554</v>
      </c>
    </row>
    <row r="4" spans="1:22" x14ac:dyDescent="0.5">
      <c r="A4" s="7" t="s">
        <v>35</v>
      </c>
      <c r="B4" s="54" t="s">
        <v>557</v>
      </c>
      <c r="C4" s="54" t="s">
        <v>557</v>
      </c>
      <c r="D4" s="54" t="s">
        <v>554</v>
      </c>
      <c r="E4" s="54" t="s">
        <v>554</v>
      </c>
      <c r="F4" s="54" t="s">
        <v>554</v>
      </c>
      <c r="G4" s="54" t="s">
        <v>557</v>
      </c>
      <c r="H4" s="54" t="s">
        <v>29</v>
      </c>
      <c r="I4" s="54" t="s">
        <v>29</v>
      </c>
      <c r="J4" s="54" t="s">
        <v>557</v>
      </c>
      <c r="K4" s="54" t="s">
        <v>29</v>
      </c>
      <c r="L4" s="54" t="s">
        <v>557</v>
      </c>
      <c r="M4" s="54" t="s">
        <v>29</v>
      </c>
      <c r="N4" s="54" t="s">
        <v>29</v>
      </c>
      <c r="O4" s="54" t="s">
        <v>29</v>
      </c>
      <c r="P4" s="54" t="s">
        <v>522</v>
      </c>
      <c r="Q4" s="54" t="s">
        <v>557</v>
      </c>
      <c r="R4" s="54" t="s">
        <v>29</v>
      </c>
      <c r="S4" s="54" t="s">
        <v>29</v>
      </c>
      <c r="T4" s="54" t="s">
        <v>29</v>
      </c>
      <c r="U4" s="54" t="s">
        <v>554</v>
      </c>
      <c r="V4" s="54" t="s">
        <v>554</v>
      </c>
    </row>
    <row r="5" spans="1:22" x14ac:dyDescent="0.5">
      <c r="A5" s="7" t="s">
        <v>38</v>
      </c>
      <c r="B5" s="54" t="s">
        <v>557</v>
      </c>
      <c r="C5" s="54" t="s">
        <v>554</v>
      </c>
      <c r="D5" s="54" t="s">
        <v>557</v>
      </c>
      <c r="E5" s="54" t="s">
        <v>557</v>
      </c>
      <c r="F5" s="54" t="s">
        <v>557</v>
      </c>
      <c r="G5" s="54" t="s">
        <v>554</v>
      </c>
      <c r="H5" s="54" t="s">
        <v>554</v>
      </c>
      <c r="I5" s="54" t="s">
        <v>554</v>
      </c>
      <c r="J5" s="54" t="s">
        <v>557</v>
      </c>
      <c r="K5" s="54" t="s">
        <v>554</v>
      </c>
      <c r="L5" s="54" t="s">
        <v>554</v>
      </c>
      <c r="M5" s="54" t="s">
        <v>522</v>
      </c>
      <c r="N5" s="54" t="s">
        <v>522</v>
      </c>
      <c r="O5" s="54" t="s">
        <v>557</v>
      </c>
      <c r="P5" s="54" t="s">
        <v>522</v>
      </c>
      <c r="Q5" s="54" t="s">
        <v>554</v>
      </c>
      <c r="R5" s="54" t="s">
        <v>29</v>
      </c>
      <c r="S5" s="54" t="s">
        <v>554</v>
      </c>
      <c r="T5" s="54" t="s">
        <v>522</v>
      </c>
      <c r="U5" s="54" t="s">
        <v>554</v>
      </c>
      <c r="V5" s="54" t="s">
        <v>554</v>
      </c>
    </row>
    <row r="6" spans="1:22" x14ac:dyDescent="0.5">
      <c r="A6" s="7" t="s">
        <v>42</v>
      </c>
      <c r="B6" s="85" t="s">
        <v>557</v>
      </c>
      <c r="C6" s="86" t="s">
        <v>522</v>
      </c>
      <c r="D6" s="85" t="s">
        <v>522</v>
      </c>
      <c r="E6" s="86" t="s">
        <v>522</v>
      </c>
      <c r="F6" s="85" t="s">
        <v>522</v>
      </c>
      <c r="G6" s="85" t="s">
        <v>522</v>
      </c>
      <c r="H6" s="85" t="s">
        <v>557</v>
      </c>
      <c r="I6" s="85" t="s">
        <v>557</v>
      </c>
      <c r="J6" s="85" t="s">
        <v>522</v>
      </c>
      <c r="K6" s="85" t="s">
        <v>557</v>
      </c>
      <c r="L6" s="85" t="s">
        <v>557</v>
      </c>
      <c r="M6" s="85" t="s">
        <v>554</v>
      </c>
      <c r="N6" s="85" t="s">
        <v>29</v>
      </c>
      <c r="O6" s="85" t="s">
        <v>29</v>
      </c>
      <c r="P6" s="85" t="s">
        <v>522</v>
      </c>
      <c r="Q6" s="85" t="s">
        <v>557</v>
      </c>
      <c r="R6" s="85" t="s">
        <v>29</v>
      </c>
      <c r="S6" s="85" t="s">
        <v>557</v>
      </c>
      <c r="T6" s="85" t="s">
        <v>29</v>
      </c>
      <c r="U6" s="86" t="s">
        <v>522</v>
      </c>
      <c r="V6" s="85" t="s">
        <v>554</v>
      </c>
    </row>
    <row r="7" spans="1:22" x14ac:dyDescent="0.5">
      <c r="A7" s="7" t="s">
        <v>47</v>
      </c>
      <c r="B7" s="54" t="s">
        <v>554</v>
      </c>
      <c r="C7" s="54" t="s">
        <v>557</v>
      </c>
      <c r="D7" s="54" t="s">
        <v>557</v>
      </c>
      <c r="E7" s="54" t="s">
        <v>522</v>
      </c>
      <c r="F7" s="54" t="s">
        <v>554</v>
      </c>
      <c r="G7" s="54" t="s">
        <v>522</v>
      </c>
      <c r="H7" s="54" t="s">
        <v>29</v>
      </c>
      <c r="I7" s="54" t="s">
        <v>29</v>
      </c>
      <c r="J7" s="54" t="s">
        <v>29</v>
      </c>
      <c r="K7" s="54" t="s">
        <v>554</v>
      </c>
      <c r="L7" s="54" t="s">
        <v>554</v>
      </c>
      <c r="M7" s="54" t="s">
        <v>557</v>
      </c>
      <c r="N7" s="54" t="s">
        <v>557</v>
      </c>
      <c r="O7" s="54" t="s">
        <v>554</v>
      </c>
      <c r="P7" s="54" t="s">
        <v>29</v>
      </c>
      <c r="Q7" s="54" t="s">
        <v>554</v>
      </c>
      <c r="R7" s="54" t="s">
        <v>554</v>
      </c>
      <c r="S7" s="54" t="s">
        <v>29</v>
      </c>
      <c r="T7" s="54" t="s">
        <v>29</v>
      </c>
      <c r="U7" s="54" t="s">
        <v>522</v>
      </c>
      <c r="V7" s="54" t="s">
        <v>557</v>
      </c>
    </row>
    <row r="8" spans="1:22" x14ac:dyDescent="0.5">
      <c r="A8" s="7" t="s">
        <v>51</v>
      </c>
      <c r="B8" s="54" t="s">
        <v>554</v>
      </c>
      <c r="C8" s="56" t="s">
        <v>557</v>
      </c>
      <c r="D8" s="54" t="s">
        <v>557</v>
      </c>
      <c r="E8" s="56" t="s">
        <v>29</v>
      </c>
      <c r="F8" s="54" t="s">
        <v>29</v>
      </c>
      <c r="G8" s="54" t="s">
        <v>522</v>
      </c>
      <c r="H8" s="85" t="s">
        <v>522</v>
      </c>
      <c r="I8" s="54" t="s">
        <v>554</v>
      </c>
      <c r="J8" s="54" t="s">
        <v>29</v>
      </c>
      <c r="K8" s="54" t="s">
        <v>557</v>
      </c>
      <c r="L8" s="54" t="s">
        <v>557</v>
      </c>
      <c r="M8" s="54" t="s">
        <v>554</v>
      </c>
      <c r="N8" s="54" t="s">
        <v>522</v>
      </c>
      <c r="O8" s="54" t="s">
        <v>557</v>
      </c>
      <c r="P8" s="54" t="s">
        <v>29</v>
      </c>
      <c r="Q8" s="56" t="s">
        <v>554</v>
      </c>
      <c r="R8" s="54" t="s">
        <v>557</v>
      </c>
      <c r="S8" s="54" t="s">
        <v>557</v>
      </c>
      <c r="T8" s="56" t="s">
        <v>29</v>
      </c>
      <c r="U8" s="56" t="s">
        <v>557</v>
      </c>
      <c r="V8" s="56" t="s">
        <v>554</v>
      </c>
    </row>
    <row r="9" spans="1:22" x14ac:dyDescent="0.5">
      <c r="A9" s="7" t="s">
        <v>55</v>
      </c>
      <c r="B9" s="85" t="s">
        <v>554</v>
      </c>
      <c r="C9" s="86" t="s">
        <v>522</v>
      </c>
      <c r="D9" s="85" t="s">
        <v>522</v>
      </c>
      <c r="E9" s="86" t="s">
        <v>522</v>
      </c>
      <c r="F9" s="85" t="s">
        <v>522</v>
      </c>
      <c r="G9" s="85" t="s">
        <v>522</v>
      </c>
      <c r="H9" s="85" t="s">
        <v>522</v>
      </c>
      <c r="I9" s="85" t="s">
        <v>554</v>
      </c>
      <c r="J9" s="85" t="s">
        <v>29</v>
      </c>
      <c r="K9" s="85" t="s">
        <v>557</v>
      </c>
      <c r="L9" s="85" t="s">
        <v>557</v>
      </c>
      <c r="M9" s="85" t="s">
        <v>554</v>
      </c>
      <c r="N9" s="85" t="s">
        <v>522</v>
      </c>
      <c r="O9" s="85" t="s">
        <v>522</v>
      </c>
      <c r="P9" s="85" t="s">
        <v>29</v>
      </c>
      <c r="Q9" s="85" t="s">
        <v>554</v>
      </c>
      <c r="R9" s="85" t="s">
        <v>522</v>
      </c>
      <c r="S9" s="85" t="s">
        <v>557</v>
      </c>
      <c r="T9" s="85" t="s">
        <v>29</v>
      </c>
      <c r="U9" s="86" t="s">
        <v>557</v>
      </c>
      <c r="V9" s="85" t="s">
        <v>554</v>
      </c>
    </row>
    <row r="10" spans="1:22" x14ac:dyDescent="0.5">
      <c r="A10" s="7" t="s">
        <v>63</v>
      </c>
      <c r="B10" s="54" t="s">
        <v>522</v>
      </c>
      <c r="C10" s="54" t="s">
        <v>554</v>
      </c>
      <c r="D10" s="54" t="s">
        <v>29</v>
      </c>
      <c r="E10" s="54" t="s">
        <v>29</v>
      </c>
      <c r="F10" s="54" t="s">
        <v>29</v>
      </c>
      <c r="G10" s="54" t="s">
        <v>522</v>
      </c>
      <c r="H10" s="54" t="s">
        <v>522</v>
      </c>
      <c r="I10" s="54" t="s">
        <v>29</v>
      </c>
      <c r="J10" s="54" t="s">
        <v>522</v>
      </c>
      <c r="K10" s="54" t="s">
        <v>554</v>
      </c>
      <c r="L10" s="54" t="s">
        <v>29</v>
      </c>
      <c r="M10" s="54" t="s">
        <v>522</v>
      </c>
      <c r="N10" s="54" t="s">
        <v>29</v>
      </c>
      <c r="O10" s="54" t="s">
        <v>29</v>
      </c>
      <c r="P10" s="54" t="s">
        <v>29</v>
      </c>
      <c r="Q10" s="54" t="s">
        <v>522</v>
      </c>
      <c r="R10" s="54" t="s">
        <v>29</v>
      </c>
      <c r="S10" s="54" t="s">
        <v>29</v>
      </c>
      <c r="T10" s="54" t="s">
        <v>29</v>
      </c>
      <c r="U10" s="54" t="s">
        <v>557</v>
      </c>
      <c r="V10" s="54" t="s">
        <v>522</v>
      </c>
    </row>
    <row r="11" spans="1:22" x14ac:dyDescent="0.5">
      <c r="A11" s="7" t="s">
        <v>68</v>
      </c>
      <c r="B11" s="54" t="s">
        <v>554</v>
      </c>
      <c r="C11" s="54" t="s">
        <v>522</v>
      </c>
      <c r="D11" s="54" t="s">
        <v>29</v>
      </c>
      <c r="E11" s="54" t="s">
        <v>29</v>
      </c>
      <c r="F11" s="54" t="s">
        <v>29</v>
      </c>
      <c r="G11" s="54" t="s">
        <v>29</v>
      </c>
      <c r="H11" s="54" t="s">
        <v>29</v>
      </c>
      <c r="I11" s="54" t="s">
        <v>29</v>
      </c>
      <c r="J11" s="54" t="s">
        <v>29</v>
      </c>
      <c r="K11" s="54" t="s">
        <v>557</v>
      </c>
      <c r="L11" s="54" t="s">
        <v>554</v>
      </c>
      <c r="M11" s="54" t="s">
        <v>522</v>
      </c>
      <c r="N11" s="54" t="s">
        <v>557</v>
      </c>
      <c r="O11" s="54" t="s">
        <v>554</v>
      </c>
      <c r="P11" s="54" t="s">
        <v>29</v>
      </c>
      <c r="Q11" s="54" t="s">
        <v>554</v>
      </c>
      <c r="R11" s="54" t="s">
        <v>557</v>
      </c>
      <c r="S11" s="54" t="s">
        <v>29</v>
      </c>
      <c r="T11" s="54" t="s">
        <v>29</v>
      </c>
      <c r="U11" s="54" t="s">
        <v>29</v>
      </c>
      <c r="V11" s="54" t="s">
        <v>29</v>
      </c>
    </row>
    <row r="12" spans="1:22" x14ac:dyDescent="0.5">
      <c r="A12" s="7" t="s">
        <v>96</v>
      </c>
      <c r="B12" s="54" t="s">
        <v>557</v>
      </c>
      <c r="C12" s="56" t="s">
        <v>554</v>
      </c>
      <c r="D12" s="57" t="s">
        <v>554</v>
      </c>
      <c r="E12" s="56" t="s">
        <v>557</v>
      </c>
      <c r="F12" s="56" t="s">
        <v>557</v>
      </c>
      <c r="G12" s="54" t="s">
        <v>557</v>
      </c>
      <c r="H12" s="85" t="s">
        <v>522</v>
      </c>
      <c r="I12" s="54" t="s">
        <v>554</v>
      </c>
      <c r="J12" s="54" t="s">
        <v>557</v>
      </c>
      <c r="K12" s="58" t="s">
        <v>554</v>
      </c>
      <c r="L12" s="57" t="s">
        <v>557</v>
      </c>
      <c r="M12" s="57" t="s">
        <v>29</v>
      </c>
      <c r="N12" s="56" t="s">
        <v>29</v>
      </c>
      <c r="O12" s="56" t="s">
        <v>29</v>
      </c>
      <c r="P12" s="54" t="s">
        <v>29</v>
      </c>
      <c r="Q12" s="56" t="s">
        <v>557</v>
      </c>
      <c r="R12" s="56" t="s">
        <v>29</v>
      </c>
      <c r="S12" s="56" t="s">
        <v>29</v>
      </c>
      <c r="T12" s="56" t="s">
        <v>29</v>
      </c>
      <c r="U12" s="56" t="s">
        <v>554</v>
      </c>
      <c r="V12" s="56" t="s">
        <v>557</v>
      </c>
    </row>
    <row r="13" spans="1:22" x14ac:dyDescent="0.5">
      <c r="A13" s="7" t="s">
        <v>140</v>
      </c>
      <c r="B13" s="54" t="s">
        <v>554</v>
      </c>
      <c r="C13" s="56" t="s">
        <v>522</v>
      </c>
      <c r="D13" s="57" t="s">
        <v>29</v>
      </c>
      <c r="E13" s="56" t="s">
        <v>522</v>
      </c>
      <c r="F13" s="56" t="s">
        <v>574</v>
      </c>
      <c r="G13" s="54" t="s">
        <v>522</v>
      </c>
      <c r="H13" s="54" t="s">
        <v>522</v>
      </c>
      <c r="I13" s="54" t="s">
        <v>522</v>
      </c>
      <c r="J13" s="54" t="s">
        <v>29</v>
      </c>
      <c r="K13" s="58" t="s">
        <v>554</v>
      </c>
      <c r="L13" s="57" t="s">
        <v>554</v>
      </c>
      <c r="M13" s="57" t="s">
        <v>522</v>
      </c>
      <c r="N13" s="56" t="s">
        <v>554</v>
      </c>
      <c r="O13" s="56" t="s">
        <v>554</v>
      </c>
      <c r="P13" s="54" t="s">
        <v>29</v>
      </c>
      <c r="Q13" s="56" t="s">
        <v>554</v>
      </c>
      <c r="R13" s="56" t="s">
        <v>554</v>
      </c>
      <c r="S13" s="56" t="s">
        <v>29</v>
      </c>
      <c r="T13" s="56" t="s">
        <v>29</v>
      </c>
      <c r="U13" s="56" t="s">
        <v>554</v>
      </c>
      <c r="V13" s="56" t="s">
        <v>554</v>
      </c>
    </row>
    <row r="14" spans="1:22" x14ac:dyDescent="0.5">
      <c r="A14" s="7" t="s">
        <v>144</v>
      </c>
      <c r="B14" s="54" t="s">
        <v>554</v>
      </c>
      <c r="C14" s="54" t="s">
        <v>554</v>
      </c>
      <c r="D14" s="54" t="s">
        <v>557</v>
      </c>
      <c r="E14" s="54" t="s">
        <v>557</v>
      </c>
      <c r="F14" s="54" t="s">
        <v>557</v>
      </c>
      <c r="G14" s="54" t="s">
        <v>557</v>
      </c>
      <c r="H14" s="54" t="s">
        <v>29</v>
      </c>
      <c r="I14" s="54" t="s">
        <v>557</v>
      </c>
      <c r="J14" s="54" t="s">
        <v>522</v>
      </c>
      <c r="K14" s="54" t="s">
        <v>554</v>
      </c>
      <c r="L14" s="54" t="s">
        <v>554</v>
      </c>
      <c r="M14" s="54" t="s">
        <v>554</v>
      </c>
      <c r="N14" s="54" t="s">
        <v>554</v>
      </c>
      <c r="O14" s="54" t="s">
        <v>554</v>
      </c>
      <c r="P14" s="54" t="s">
        <v>29</v>
      </c>
      <c r="Q14" s="54" t="s">
        <v>554</v>
      </c>
      <c r="R14" s="54" t="s">
        <v>522</v>
      </c>
      <c r="S14" s="54" t="s">
        <v>557</v>
      </c>
      <c r="T14" s="54" t="s">
        <v>29</v>
      </c>
      <c r="U14" s="54" t="s">
        <v>554</v>
      </c>
      <c r="V14" s="54" t="s">
        <v>554</v>
      </c>
    </row>
    <row r="15" spans="1:22" x14ac:dyDescent="0.5">
      <c r="A15" s="7" t="s">
        <v>170</v>
      </c>
      <c r="B15" s="54" t="s">
        <v>554</v>
      </c>
      <c r="C15" s="56" t="s">
        <v>522</v>
      </c>
      <c r="D15" s="57" t="s">
        <v>29</v>
      </c>
      <c r="E15" s="56" t="s">
        <v>29</v>
      </c>
      <c r="F15" s="56" t="s">
        <v>29</v>
      </c>
      <c r="G15" s="54" t="s">
        <v>522</v>
      </c>
      <c r="H15" s="54" t="s">
        <v>29</v>
      </c>
      <c r="I15" s="54" t="s">
        <v>522</v>
      </c>
      <c r="J15" s="54" t="s">
        <v>29</v>
      </c>
      <c r="K15" s="58" t="s">
        <v>557</v>
      </c>
      <c r="L15" s="57" t="s">
        <v>557</v>
      </c>
      <c r="M15" s="57" t="s">
        <v>557</v>
      </c>
      <c r="N15" s="56" t="s">
        <v>557</v>
      </c>
      <c r="O15" s="56" t="s">
        <v>557</v>
      </c>
      <c r="P15" s="54" t="s">
        <v>29</v>
      </c>
      <c r="Q15" s="56" t="s">
        <v>554</v>
      </c>
      <c r="R15" s="56" t="s">
        <v>522</v>
      </c>
      <c r="S15" s="56" t="s">
        <v>29</v>
      </c>
      <c r="T15" s="56" t="s">
        <v>29</v>
      </c>
      <c r="U15" s="56" t="s">
        <v>522</v>
      </c>
      <c r="V15" s="56" t="s">
        <v>522</v>
      </c>
    </row>
    <row r="16" spans="1:22" x14ac:dyDescent="0.5">
      <c r="A16" s="7" t="s">
        <v>174</v>
      </c>
      <c r="B16" s="54" t="s">
        <v>554</v>
      </c>
      <c r="C16" s="56" t="s">
        <v>522</v>
      </c>
      <c r="D16" s="57" t="s">
        <v>522</v>
      </c>
      <c r="E16" s="56" t="s">
        <v>29</v>
      </c>
      <c r="F16" s="56" t="s">
        <v>29</v>
      </c>
      <c r="G16" s="54" t="s">
        <v>554</v>
      </c>
      <c r="H16" s="54" t="s">
        <v>29</v>
      </c>
      <c r="I16" s="54" t="s">
        <v>29</v>
      </c>
      <c r="J16" s="54" t="s">
        <v>29</v>
      </c>
      <c r="K16" s="58" t="s">
        <v>29</v>
      </c>
      <c r="L16" s="57" t="s">
        <v>554</v>
      </c>
      <c r="M16" s="59" t="s">
        <v>522</v>
      </c>
      <c r="N16" s="56" t="s">
        <v>29</v>
      </c>
      <c r="O16" s="56" t="s">
        <v>29</v>
      </c>
      <c r="P16" s="54" t="s">
        <v>29</v>
      </c>
      <c r="Q16" s="56" t="s">
        <v>522</v>
      </c>
      <c r="R16" s="56" t="s">
        <v>29</v>
      </c>
      <c r="S16" s="56" t="s">
        <v>29</v>
      </c>
      <c r="T16" s="56" t="s">
        <v>29</v>
      </c>
      <c r="U16" s="56" t="s">
        <v>522</v>
      </c>
      <c r="V16" s="56" t="s">
        <v>522</v>
      </c>
    </row>
    <row r="17" spans="1:22" x14ac:dyDescent="0.5">
      <c r="A17" s="7" t="s">
        <v>210</v>
      </c>
      <c r="B17" s="54" t="s">
        <v>522</v>
      </c>
      <c r="C17" s="54" t="s">
        <v>554</v>
      </c>
      <c r="D17" s="54" t="s">
        <v>557</v>
      </c>
      <c r="E17" s="54" t="s">
        <v>522</v>
      </c>
      <c r="F17" s="54" t="s">
        <v>574</v>
      </c>
      <c r="G17" s="54" t="s">
        <v>554</v>
      </c>
      <c r="H17" s="54" t="s">
        <v>554</v>
      </c>
      <c r="I17" s="54" t="s">
        <v>554</v>
      </c>
      <c r="J17" s="54" t="s">
        <v>554</v>
      </c>
      <c r="K17" s="54" t="s">
        <v>522</v>
      </c>
      <c r="L17" s="54" t="s">
        <v>29</v>
      </c>
      <c r="M17" s="54" t="s">
        <v>29</v>
      </c>
      <c r="N17" s="54" t="s">
        <v>522</v>
      </c>
      <c r="O17" s="54" t="s">
        <v>522</v>
      </c>
      <c r="P17" s="54" t="s">
        <v>29</v>
      </c>
      <c r="Q17" s="54" t="s">
        <v>554</v>
      </c>
      <c r="R17" s="54" t="s">
        <v>29</v>
      </c>
      <c r="S17" s="54" t="s">
        <v>29</v>
      </c>
      <c r="T17" s="54" t="s">
        <v>29</v>
      </c>
      <c r="U17" s="54" t="s">
        <v>554</v>
      </c>
      <c r="V17" s="54" t="s">
        <v>554</v>
      </c>
    </row>
    <row r="18" spans="1:22" x14ac:dyDescent="0.5">
      <c r="A18" s="7" t="s">
        <v>214</v>
      </c>
      <c r="B18" s="54" t="s">
        <v>522</v>
      </c>
      <c r="C18" s="54" t="s">
        <v>554</v>
      </c>
      <c r="D18" s="54" t="s">
        <v>557</v>
      </c>
      <c r="E18" s="54" t="s">
        <v>557</v>
      </c>
      <c r="F18" s="54" t="s">
        <v>29</v>
      </c>
      <c r="G18" s="54" t="s">
        <v>554</v>
      </c>
      <c r="H18" s="54" t="s">
        <v>554</v>
      </c>
      <c r="I18" s="54" t="s">
        <v>554</v>
      </c>
      <c r="J18" s="54" t="s">
        <v>554</v>
      </c>
      <c r="K18" s="54" t="s">
        <v>557</v>
      </c>
      <c r="L18" s="54" t="s">
        <v>522</v>
      </c>
      <c r="M18" s="54" t="s">
        <v>29</v>
      </c>
      <c r="N18" s="54" t="s">
        <v>29</v>
      </c>
      <c r="O18" s="54" t="s">
        <v>29</v>
      </c>
      <c r="P18" s="54" t="s">
        <v>522</v>
      </c>
      <c r="Q18" s="54" t="s">
        <v>554</v>
      </c>
      <c r="R18" s="54" t="s">
        <v>29</v>
      </c>
      <c r="S18" s="54" t="s">
        <v>29</v>
      </c>
      <c r="T18" s="54" t="s">
        <v>554</v>
      </c>
      <c r="U18" s="54" t="s">
        <v>554</v>
      </c>
      <c r="V18" s="54" t="s">
        <v>554</v>
      </c>
    </row>
    <row r="19" spans="1:22" x14ac:dyDescent="0.5">
      <c r="A19" s="7" t="s">
        <v>224</v>
      </c>
      <c r="B19" s="54" t="s">
        <v>522</v>
      </c>
      <c r="C19" s="54" t="s">
        <v>554</v>
      </c>
      <c r="D19" s="54" t="s">
        <v>522</v>
      </c>
      <c r="E19" s="54" t="s">
        <v>522</v>
      </c>
      <c r="F19" s="54" t="s">
        <v>29</v>
      </c>
      <c r="G19" s="54" t="s">
        <v>557</v>
      </c>
      <c r="H19" s="54" t="s">
        <v>557</v>
      </c>
      <c r="I19" s="54" t="s">
        <v>554</v>
      </c>
      <c r="J19" s="54" t="s">
        <v>554</v>
      </c>
      <c r="K19" s="54" t="s">
        <v>557</v>
      </c>
      <c r="L19" s="54" t="s">
        <v>29</v>
      </c>
      <c r="M19" s="54" t="s">
        <v>522</v>
      </c>
      <c r="N19" s="54" t="s">
        <v>29</v>
      </c>
      <c r="O19" s="54" t="s">
        <v>29</v>
      </c>
      <c r="P19" s="54" t="s">
        <v>29</v>
      </c>
      <c r="Q19" s="54" t="s">
        <v>554</v>
      </c>
      <c r="R19" s="54" t="s">
        <v>522</v>
      </c>
      <c r="S19" s="54" t="s">
        <v>29</v>
      </c>
      <c r="T19" s="54" t="s">
        <v>557</v>
      </c>
      <c r="U19" s="54" t="s">
        <v>554</v>
      </c>
      <c r="V19" s="54" t="s">
        <v>554</v>
      </c>
    </row>
    <row r="20" spans="1:22" x14ac:dyDescent="0.5">
      <c r="A20" s="7" t="s">
        <v>228</v>
      </c>
      <c r="B20" s="54" t="s">
        <v>557</v>
      </c>
      <c r="C20" s="54" t="s">
        <v>554</v>
      </c>
      <c r="D20" s="54" t="s">
        <v>557</v>
      </c>
      <c r="E20" s="54" t="s">
        <v>557</v>
      </c>
      <c r="F20" s="54" t="s">
        <v>557</v>
      </c>
      <c r="G20" s="54" t="s">
        <v>557</v>
      </c>
      <c r="H20" s="54" t="s">
        <v>557</v>
      </c>
      <c r="I20" s="54" t="s">
        <v>554</v>
      </c>
      <c r="J20" s="54" t="s">
        <v>522</v>
      </c>
      <c r="K20" s="54" t="s">
        <v>522</v>
      </c>
      <c r="L20" s="54" t="s">
        <v>557</v>
      </c>
      <c r="M20" s="54" t="s">
        <v>29</v>
      </c>
      <c r="N20" s="54" t="s">
        <v>29</v>
      </c>
      <c r="O20" s="54" t="s">
        <v>29</v>
      </c>
      <c r="P20" s="54" t="s">
        <v>557</v>
      </c>
      <c r="Q20" s="54" t="s">
        <v>554</v>
      </c>
      <c r="R20" s="54" t="s">
        <v>29</v>
      </c>
      <c r="S20" s="54" t="s">
        <v>29</v>
      </c>
      <c r="T20" s="54" t="s">
        <v>29</v>
      </c>
      <c r="U20" s="54" t="s">
        <v>557</v>
      </c>
      <c r="V20" s="54" t="s">
        <v>554</v>
      </c>
    </row>
    <row r="21" spans="1:22" x14ac:dyDescent="0.5">
      <c r="A21" s="7" t="s">
        <v>232</v>
      </c>
      <c r="B21" s="54" t="s">
        <v>554</v>
      </c>
      <c r="C21" s="54" t="s">
        <v>554</v>
      </c>
      <c r="D21" s="54" t="s">
        <v>29</v>
      </c>
      <c r="E21" s="54" t="s">
        <v>29</v>
      </c>
      <c r="F21" s="54" t="s">
        <v>29</v>
      </c>
      <c r="G21" s="54" t="s">
        <v>29</v>
      </c>
      <c r="H21" s="54" t="s">
        <v>29</v>
      </c>
      <c r="I21" s="54" t="s">
        <v>29</v>
      </c>
      <c r="J21" s="54" t="s">
        <v>29</v>
      </c>
      <c r="K21" s="54" t="s">
        <v>29</v>
      </c>
      <c r="L21" s="54" t="s">
        <v>29</v>
      </c>
      <c r="M21" s="54" t="s">
        <v>29</v>
      </c>
      <c r="N21" s="54" t="s">
        <v>29</v>
      </c>
      <c r="O21" s="54" t="s">
        <v>29</v>
      </c>
      <c r="P21" s="54" t="s">
        <v>29</v>
      </c>
      <c r="Q21" s="54" t="s">
        <v>557</v>
      </c>
      <c r="R21" s="54" t="s">
        <v>29</v>
      </c>
      <c r="S21" s="54" t="s">
        <v>29</v>
      </c>
      <c r="T21" s="54" t="s">
        <v>29</v>
      </c>
      <c r="U21" s="54" t="s">
        <v>522</v>
      </c>
      <c r="V21" s="54" t="s">
        <v>522</v>
      </c>
    </row>
    <row r="22" spans="1:22" x14ac:dyDescent="0.5">
      <c r="A22" s="7" t="s">
        <v>245</v>
      </c>
      <c r="B22" s="54" t="s">
        <v>554</v>
      </c>
      <c r="C22" s="54" t="s">
        <v>522</v>
      </c>
      <c r="D22" s="54" t="s">
        <v>554</v>
      </c>
      <c r="E22" s="54" t="s">
        <v>554</v>
      </c>
      <c r="F22" s="54" t="s">
        <v>29</v>
      </c>
      <c r="G22" s="54" t="s">
        <v>29</v>
      </c>
      <c r="H22" s="54" t="s">
        <v>522</v>
      </c>
      <c r="I22" s="54" t="s">
        <v>554</v>
      </c>
      <c r="J22" s="54" t="s">
        <v>29</v>
      </c>
      <c r="K22" s="54" t="s">
        <v>522</v>
      </c>
      <c r="L22" s="54" t="s">
        <v>557</v>
      </c>
      <c r="M22" s="54" t="s">
        <v>557</v>
      </c>
      <c r="N22" s="54" t="s">
        <v>29</v>
      </c>
      <c r="O22" s="54" t="s">
        <v>522</v>
      </c>
      <c r="P22" s="54" t="s">
        <v>522</v>
      </c>
      <c r="Q22" s="54" t="s">
        <v>557</v>
      </c>
      <c r="R22" s="54" t="s">
        <v>29</v>
      </c>
      <c r="S22" s="54" t="s">
        <v>557</v>
      </c>
      <c r="T22" s="54" t="s">
        <v>29</v>
      </c>
      <c r="U22" s="54" t="s">
        <v>557</v>
      </c>
      <c r="V22" s="54" t="s">
        <v>522</v>
      </c>
    </row>
    <row r="23" spans="1:22" x14ac:dyDescent="0.5">
      <c r="A23" s="7" t="s">
        <v>250</v>
      </c>
      <c r="B23" s="54" t="s">
        <v>554</v>
      </c>
      <c r="C23" s="54" t="s">
        <v>522</v>
      </c>
      <c r="D23" s="54" t="s">
        <v>522</v>
      </c>
      <c r="E23" s="54" t="s">
        <v>29</v>
      </c>
      <c r="F23" s="54" t="s">
        <v>29</v>
      </c>
      <c r="G23" s="54" t="s">
        <v>29</v>
      </c>
      <c r="H23" s="85" t="s">
        <v>522</v>
      </c>
      <c r="I23" s="54" t="s">
        <v>554</v>
      </c>
      <c r="J23" s="54" t="s">
        <v>29</v>
      </c>
      <c r="K23" s="54" t="s">
        <v>522</v>
      </c>
      <c r="L23" s="54" t="s">
        <v>557</v>
      </c>
      <c r="M23" s="54" t="s">
        <v>554</v>
      </c>
      <c r="N23" s="54" t="s">
        <v>29</v>
      </c>
      <c r="O23" s="54" t="s">
        <v>522</v>
      </c>
      <c r="P23" s="54" t="s">
        <v>29</v>
      </c>
      <c r="Q23" s="54" t="s">
        <v>29</v>
      </c>
      <c r="R23" s="54" t="s">
        <v>29</v>
      </c>
      <c r="S23" s="54" t="s">
        <v>29</v>
      </c>
      <c r="T23" s="54" t="s">
        <v>29</v>
      </c>
      <c r="U23" s="54" t="s">
        <v>522</v>
      </c>
      <c r="V23" s="54" t="s">
        <v>29</v>
      </c>
    </row>
    <row r="24" spans="1:22" x14ac:dyDescent="0.5">
      <c r="A24" s="7" t="s">
        <v>254</v>
      </c>
      <c r="B24" s="85" t="s">
        <v>554</v>
      </c>
      <c r="C24" s="85" t="s">
        <v>554</v>
      </c>
      <c r="D24" s="85" t="s">
        <v>557</v>
      </c>
      <c r="E24" s="85" t="s">
        <v>557</v>
      </c>
      <c r="F24" s="85" t="s">
        <v>522</v>
      </c>
      <c r="G24" s="85" t="s">
        <v>557</v>
      </c>
      <c r="H24" s="85" t="s">
        <v>29</v>
      </c>
      <c r="I24" s="85" t="s">
        <v>522</v>
      </c>
      <c r="J24" s="85" t="s">
        <v>522</v>
      </c>
      <c r="K24" s="85" t="s">
        <v>557</v>
      </c>
      <c r="L24" s="85" t="s">
        <v>557</v>
      </c>
      <c r="M24" s="85" t="s">
        <v>522</v>
      </c>
      <c r="N24" s="85" t="s">
        <v>522</v>
      </c>
      <c r="O24" s="85" t="s">
        <v>554</v>
      </c>
      <c r="P24" s="85" t="s">
        <v>29</v>
      </c>
      <c r="Q24" s="85" t="s">
        <v>557</v>
      </c>
      <c r="R24" s="85" t="s">
        <v>554</v>
      </c>
      <c r="S24" s="85" t="s">
        <v>29</v>
      </c>
      <c r="T24" s="85" t="s">
        <v>29</v>
      </c>
      <c r="U24" s="85" t="s">
        <v>557</v>
      </c>
      <c r="V24" s="85" t="s">
        <v>557</v>
      </c>
    </row>
    <row r="25" spans="1:22" x14ac:dyDescent="0.5">
      <c r="A25" s="7" t="s">
        <v>376</v>
      </c>
      <c r="B25" s="54" t="s">
        <v>522</v>
      </c>
      <c r="C25" s="54" t="s">
        <v>522</v>
      </c>
      <c r="D25" s="54" t="s">
        <v>29</v>
      </c>
      <c r="E25" s="54" t="s">
        <v>557</v>
      </c>
      <c r="F25" s="54" t="s">
        <v>29</v>
      </c>
      <c r="G25" s="55" t="s">
        <v>522</v>
      </c>
      <c r="H25" s="54" t="s">
        <v>29</v>
      </c>
      <c r="I25" s="54" t="s">
        <v>522</v>
      </c>
      <c r="J25" s="54" t="s">
        <v>522</v>
      </c>
      <c r="K25" s="54" t="s">
        <v>557</v>
      </c>
      <c r="L25" s="54" t="s">
        <v>29</v>
      </c>
      <c r="M25" s="54" t="s">
        <v>522</v>
      </c>
      <c r="N25" s="54" t="s">
        <v>522</v>
      </c>
      <c r="O25" s="54" t="s">
        <v>522</v>
      </c>
      <c r="P25" s="54" t="s">
        <v>522</v>
      </c>
      <c r="Q25" s="54" t="s">
        <v>29</v>
      </c>
      <c r="R25" s="54" t="s">
        <v>522</v>
      </c>
      <c r="S25" s="54" t="s">
        <v>29</v>
      </c>
      <c r="T25" s="54" t="s">
        <v>522</v>
      </c>
      <c r="U25" s="54" t="s">
        <v>554</v>
      </c>
      <c r="V25" s="54" t="s">
        <v>554</v>
      </c>
    </row>
    <row r="26" spans="1:22" x14ac:dyDescent="0.5">
      <c r="A26" s="7" t="s">
        <v>388</v>
      </c>
      <c r="B26" s="54" t="s">
        <v>557</v>
      </c>
      <c r="C26" s="56" t="s">
        <v>557</v>
      </c>
      <c r="D26" s="54" t="s">
        <v>29</v>
      </c>
      <c r="E26" s="55" t="s">
        <v>522</v>
      </c>
      <c r="F26" s="55" t="s">
        <v>522</v>
      </c>
      <c r="G26" s="55" t="s">
        <v>522</v>
      </c>
      <c r="H26" s="54" t="s">
        <v>29</v>
      </c>
      <c r="I26" s="56" t="s">
        <v>29</v>
      </c>
      <c r="J26" s="56" t="s">
        <v>29</v>
      </c>
      <c r="K26" s="58" t="s">
        <v>557</v>
      </c>
      <c r="L26" s="56" t="s">
        <v>554</v>
      </c>
      <c r="M26" s="59" t="s">
        <v>557</v>
      </c>
      <c r="N26" s="56" t="s">
        <v>554</v>
      </c>
      <c r="O26" s="56" t="s">
        <v>554</v>
      </c>
      <c r="P26" s="56" t="s">
        <v>29</v>
      </c>
      <c r="Q26" s="56" t="s">
        <v>522</v>
      </c>
      <c r="R26" s="56" t="s">
        <v>522</v>
      </c>
      <c r="S26" s="56" t="s">
        <v>29</v>
      </c>
      <c r="T26" s="56" t="s">
        <v>522</v>
      </c>
      <c r="U26" s="56" t="s">
        <v>557</v>
      </c>
      <c r="V26" s="56" t="s">
        <v>522</v>
      </c>
    </row>
    <row r="27" spans="1:22" x14ac:dyDescent="0.5">
      <c r="A27" s="7" t="s">
        <v>404</v>
      </c>
      <c r="B27" s="54" t="s">
        <v>554</v>
      </c>
      <c r="C27" s="54" t="s">
        <v>29</v>
      </c>
      <c r="D27" s="54" t="s">
        <v>29</v>
      </c>
      <c r="E27" s="55" t="s">
        <v>522</v>
      </c>
      <c r="F27" s="55" t="s">
        <v>522</v>
      </c>
      <c r="G27" s="54" t="s">
        <v>557</v>
      </c>
      <c r="H27" s="54" t="s">
        <v>29</v>
      </c>
      <c r="I27" s="54" t="s">
        <v>522</v>
      </c>
      <c r="J27" s="54" t="s">
        <v>29</v>
      </c>
      <c r="K27" s="54" t="s">
        <v>554</v>
      </c>
      <c r="L27" s="54" t="s">
        <v>554</v>
      </c>
      <c r="M27" s="54" t="s">
        <v>554</v>
      </c>
      <c r="N27" s="54" t="s">
        <v>587</v>
      </c>
      <c r="O27" s="54" t="s">
        <v>554</v>
      </c>
      <c r="P27" s="54" t="s">
        <v>522</v>
      </c>
      <c r="Q27" s="56" t="s">
        <v>522</v>
      </c>
      <c r="R27" s="54" t="s">
        <v>554</v>
      </c>
      <c r="S27" s="54" t="s">
        <v>29</v>
      </c>
      <c r="T27" s="56" t="s">
        <v>522</v>
      </c>
      <c r="U27" s="56" t="s">
        <v>522</v>
      </c>
      <c r="V27" s="56" t="s">
        <v>522</v>
      </c>
    </row>
    <row r="28" spans="1:22" x14ac:dyDescent="0.5">
      <c r="A28" s="7" t="s">
        <v>408</v>
      </c>
      <c r="B28" s="54" t="s">
        <v>557</v>
      </c>
      <c r="C28" s="54" t="s">
        <v>522</v>
      </c>
      <c r="D28" s="54" t="s">
        <v>554</v>
      </c>
      <c r="E28" s="54" t="s">
        <v>557</v>
      </c>
      <c r="F28" s="54" t="s">
        <v>554</v>
      </c>
      <c r="G28" s="54" t="s">
        <v>522</v>
      </c>
      <c r="H28" s="54" t="s">
        <v>29</v>
      </c>
      <c r="I28" s="54" t="s">
        <v>29</v>
      </c>
      <c r="J28" s="54" t="s">
        <v>522</v>
      </c>
      <c r="K28" s="54" t="s">
        <v>557</v>
      </c>
      <c r="L28" s="54" t="s">
        <v>29</v>
      </c>
      <c r="M28" s="54" t="s">
        <v>29</v>
      </c>
      <c r="N28" s="54" t="s">
        <v>29</v>
      </c>
      <c r="O28" s="54" t="s">
        <v>29</v>
      </c>
      <c r="P28" s="54" t="s">
        <v>29</v>
      </c>
      <c r="Q28" s="54" t="s">
        <v>557</v>
      </c>
      <c r="R28" s="54" t="s">
        <v>29</v>
      </c>
      <c r="S28" s="54" t="s">
        <v>29</v>
      </c>
      <c r="T28" s="54" t="s">
        <v>29</v>
      </c>
      <c r="U28" s="54" t="s">
        <v>554</v>
      </c>
      <c r="V28" s="54" t="s">
        <v>554</v>
      </c>
    </row>
    <row r="29" spans="1:22" x14ac:dyDescent="0.5">
      <c r="A29" s="7" t="s">
        <v>426</v>
      </c>
      <c r="B29" s="54" t="s">
        <v>554</v>
      </c>
      <c r="C29" s="56" t="s">
        <v>522</v>
      </c>
      <c r="D29" s="54" t="s">
        <v>554</v>
      </c>
      <c r="E29" s="56" t="s">
        <v>522</v>
      </c>
      <c r="F29" s="56" t="s">
        <v>557</v>
      </c>
      <c r="G29" s="54" t="s">
        <v>29</v>
      </c>
      <c r="H29" s="54" t="s">
        <v>522</v>
      </c>
      <c r="I29" s="54" t="s">
        <v>29</v>
      </c>
      <c r="J29" s="54" t="s">
        <v>29</v>
      </c>
      <c r="K29" s="58" t="s">
        <v>29</v>
      </c>
      <c r="L29" s="54" t="s">
        <v>29</v>
      </c>
      <c r="M29" s="54" t="s">
        <v>522</v>
      </c>
      <c r="N29" s="56" t="s">
        <v>29</v>
      </c>
      <c r="O29" s="56" t="s">
        <v>29</v>
      </c>
      <c r="P29" s="54" t="s">
        <v>29</v>
      </c>
      <c r="Q29" s="56" t="s">
        <v>554</v>
      </c>
      <c r="R29" s="56" t="s">
        <v>29</v>
      </c>
      <c r="S29" s="56" t="s">
        <v>29</v>
      </c>
      <c r="T29" s="56" t="s">
        <v>29</v>
      </c>
      <c r="U29" s="56" t="s">
        <v>29</v>
      </c>
      <c r="V29" s="56" t="s">
        <v>29</v>
      </c>
    </row>
    <row r="30" spans="1:22" x14ac:dyDescent="0.5">
      <c r="A30" s="7" t="s">
        <v>447</v>
      </c>
      <c r="B30" s="54" t="s">
        <v>554</v>
      </c>
      <c r="C30" s="56" t="s">
        <v>522</v>
      </c>
      <c r="D30" s="54" t="s">
        <v>554</v>
      </c>
      <c r="E30" s="56" t="s">
        <v>554</v>
      </c>
      <c r="F30" s="54" t="s">
        <v>554</v>
      </c>
      <c r="G30" s="54" t="s">
        <v>557</v>
      </c>
      <c r="H30" s="54" t="s">
        <v>29</v>
      </c>
      <c r="I30" s="54" t="s">
        <v>557</v>
      </c>
      <c r="J30" s="54" t="s">
        <v>522</v>
      </c>
      <c r="K30" s="54" t="s">
        <v>554</v>
      </c>
      <c r="L30" s="54" t="s">
        <v>557</v>
      </c>
      <c r="M30" s="54" t="s">
        <v>557</v>
      </c>
      <c r="N30" s="54" t="s">
        <v>522</v>
      </c>
      <c r="O30" s="54" t="s">
        <v>557</v>
      </c>
      <c r="P30" s="54" t="s">
        <v>522</v>
      </c>
      <c r="Q30" s="54" t="s">
        <v>557</v>
      </c>
      <c r="R30" s="54" t="s">
        <v>557</v>
      </c>
      <c r="S30" s="54" t="s">
        <v>29</v>
      </c>
      <c r="T30" s="54" t="s">
        <v>29</v>
      </c>
      <c r="U30" s="56" t="s">
        <v>554</v>
      </c>
      <c r="V30" s="54" t="s">
        <v>554</v>
      </c>
    </row>
    <row r="31" spans="1:22" x14ac:dyDescent="0.5">
      <c r="A31" s="7" t="s">
        <v>484</v>
      </c>
      <c r="B31" s="85" t="s">
        <v>522</v>
      </c>
      <c r="C31" s="85" t="s">
        <v>557</v>
      </c>
      <c r="D31" s="85" t="s">
        <v>557</v>
      </c>
      <c r="E31" s="85" t="s">
        <v>522</v>
      </c>
      <c r="F31" s="85" t="s">
        <v>557</v>
      </c>
      <c r="G31" s="85" t="s">
        <v>554</v>
      </c>
      <c r="H31" s="85" t="s">
        <v>522</v>
      </c>
      <c r="I31" s="85" t="s">
        <v>554</v>
      </c>
      <c r="J31" s="85" t="s">
        <v>522</v>
      </c>
      <c r="K31" s="85" t="s">
        <v>554</v>
      </c>
      <c r="L31" s="85" t="s">
        <v>29</v>
      </c>
      <c r="M31" s="85" t="s">
        <v>29</v>
      </c>
      <c r="N31" s="85" t="s">
        <v>522</v>
      </c>
      <c r="O31" s="85" t="s">
        <v>522</v>
      </c>
      <c r="P31" s="85" t="s">
        <v>522</v>
      </c>
      <c r="Q31" s="85" t="s">
        <v>554</v>
      </c>
      <c r="R31" s="85" t="s">
        <v>557</v>
      </c>
      <c r="S31" s="85" t="s">
        <v>522</v>
      </c>
      <c r="T31" s="85" t="s">
        <v>557</v>
      </c>
      <c r="U31" s="85" t="s">
        <v>554</v>
      </c>
      <c r="V31" s="85" t="s">
        <v>557</v>
      </c>
    </row>
    <row r="32" spans="1:22" x14ac:dyDescent="0.5">
      <c r="A32" s="7" t="s">
        <v>488</v>
      </c>
      <c r="B32" s="54" t="s">
        <v>554</v>
      </c>
      <c r="C32" s="56" t="s">
        <v>557</v>
      </c>
      <c r="D32" s="54" t="s">
        <v>554</v>
      </c>
      <c r="E32" s="56" t="s">
        <v>522</v>
      </c>
      <c r="F32" s="54" t="s">
        <v>522</v>
      </c>
      <c r="G32" s="54" t="s">
        <v>522</v>
      </c>
      <c r="H32" s="54" t="s">
        <v>557</v>
      </c>
      <c r="I32" s="54" t="s">
        <v>557</v>
      </c>
      <c r="J32" s="54" t="s">
        <v>557</v>
      </c>
      <c r="K32" s="54" t="s">
        <v>557</v>
      </c>
      <c r="L32" s="54" t="s">
        <v>554</v>
      </c>
      <c r="M32" s="54" t="s">
        <v>557</v>
      </c>
      <c r="N32" s="54" t="s">
        <v>554</v>
      </c>
      <c r="O32" s="54" t="s">
        <v>554</v>
      </c>
      <c r="P32" s="54" t="s">
        <v>29</v>
      </c>
      <c r="Q32" s="56" t="s">
        <v>554</v>
      </c>
      <c r="R32" s="54" t="s">
        <v>554</v>
      </c>
      <c r="S32" s="54" t="s">
        <v>554</v>
      </c>
      <c r="T32" s="56" t="s">
        <v>29</v>
      </c>
      <c r="U32" s="56" t="s">
        <v>554</v>
      </c>
      <c r="V32" s="56" t="s">
        <v>554</v>
      </c>
    </row>
    <row r="33" spans="1:22" x14ac:dyDescent="0.5">
      <c r="A33" s="73" t="s">
        <v>588</v>
      </c>
      <c r="B33" s="54">
        <f>COUNTIF(TableRelevanceTopics2[Software Implementation],$M$2)</f>
        <v>0</v>
      </c>
      <c r="C33" s="54">
        <f>COUNTIF(TableRelevanceTopics2[Information Management],$M$2)</f>
        <v>1</v>
      </c>
      <c r="D33" s="54">
        <f>COUNTIF(TableRelevanceTopics2[IDM],$M$2)</f>
        <v>8</v>
      </c>
      <c r="E33" s="54">
        <f>COUNTIF(TableRelevanceTopics2[IDS],$M$2)</f>
        <v>7</v>
      </c>
      <c r="F33" s="54">
        <f>COUNTIF(TableRelevanceTopics2[MVD],$M$2)</f>
        <v>11</v>
      </c>
      <c r="G33" s="54">
        <f>COUNTIF(TableRelevanceTopics2[LOIN],$M$2)</f>
        <v>5</v>
      </c>
      <c r="H33" s="54">
        <f>COUNTIF(TableRelevanceTopics2[CDE],$M$2)</f>
        <v>13</v>
      </c>
      <c r="I33" s="54">
        <f>COUNTIF(TableRelevanceTopics2[Information Container],$M$2)</f>
        <v>9</v>
      </c>
      <c r="J33" s="54">
        <f>COUNTIF(TableRelevanceTopics2[BEP],$M$2)</f>
        <v>13</v>
      </c>
      <c r="K33" s="54">
        <f>COUNTIF(TableRelevanceTopics2[Classification],$M$2)</f>
        <v>4</v>
      </c>
      <c r="L33" s="54">
        <f>COUNTIF(TableRelevanceTopics2[IFC],$M$2)</f>
        <v>8</v>
      </c>
      <c r="M33" s="54">
        <f>COUNTIF(TableRelevanceTopics2[Linked Data],$M$2)</f>
        <v>9</v>
      </c>
      <c r="N33" s="54">
        <f>COUNTIF(TableRelevanceTopics2[IFD],$M$2)</f>
        <v>15</v>
      </c>
      <c r="O33" s="54">
        <f>COUNTIF(TableRelevanceTopics2[Data Dictionary],$M$2)</f>
        <v>13</v>
      </c>
      <c r="P33" s="54">
        <f>COUNTIF(TableRelevanceTopics2[COBie],$M$2)</f>
        <v>20</v>
      </c>
      <c r="Q33" s="54">
        <f>COUNTIF(TableRelevanceTopics2[Information Model],$M$2)</f>
        <v>2</v>
      </c>
      <c r="R33" s="54">
        <f>COUNTIF(TableRelevanceTopics2[Data Template],$M$2)</f>
        <v>15</v>
      </c>
      <c r="S33" s="54">
        <f>COUNTIF(TableRelevanceTopics2[GIS],$M$2)</f>
        <v>22</v>
      </c>
      <c r="T33" s="54">
        <f>COUNTIF(TableRelevanceTopics2[MIDP/TIDP],$M$2)</f>
        <v>22</v>
      </c>
      <c r="U33" s="54">
        <f>COUNTIF(TableRelevanceTopics2[(E/O/A/P)IR],$M$2)</f>
        <v>2</v>
      </c>
      <c r="V33" s="54">
        <f>COUNTIF(TableRelevanceTopics2[(A/P)IM],$M$2)</f>
        <v>3</v>
      </c>
    </row>
    <row r="34" spans="1:22" x14ac:dyDescent="0.5">
      <c r="A34" s="73" t="s">
        <v>589</v>
      </c>
      <c r="B34">
        <f>COUNTIF(TableRelevanceTopics2[Software Implementation],"*")</f>
        <v>31</v>
      </c>
      <c r="C34">
        <f>COUNTIF(TableRelevanceTopics2[Information Management],"*")</f>
        <v>31</v>
      </c>
      <c r="D34">
        <f>COUNTIF(TableRelevanceTopics2[IDM],"*")</f>
        <v>31</v>
      </c>
      <c r="E34">
        <f>COUNTIF(TableRelevanceTopics2[IDS],"*")</f>
        <v>31</v>
      </c>
      <c r="F34">
        <f>COUNTIF(TableRelevanceTopics2[MVD],"*")</f>
        <v>31</v>
      </c>
      <c r="G34">
        <f>COUNTIF(TableRelevanceTopics2[LOIN],"*")</f>
        <v>31</v>
      </c>
      <c r="H34">
        <f>COUNTIF(TableRelevanceTopics2[CDE],"*")</f>
        <v>31</v>
      </c>
      <c r="I34">
        <f>COUNTIF(TableRelevanceTopics2[Information Container],"*")</f>
        <v>31</v>
      </c>
      <c r="J34">
        <f>COUNTIF(TableRelevanceTopics2[BEP],"*")</f>
        <v>31</v>
      </c>
      <c r="K34">
        <f>COUNTIF(TableRelevanceTopics2[Classification],"*")</f>
        <v>31</v>
      </c>
      <c r="L34">
        <f>COUNTIF(TableRelevanceTopics2[IFC],"*")</f>
        <v>31</v>
      </c>
      <c r="M34">
        <f>COUNTIF(TableRelevanceTopics2[Linked Data],"*")</f>
        <v>31</v>
      </c>
      <c r="N34">
        <f>COUNTIF(TableRelevanceTopics2[IFD],"*")</f>
        <v>31</v>
      </c>
      <c r="O34">
        <f>COUNTIF(TableRelevanceTopics2[Data Dictionary],"*")</f>
        <v>31</v>
      </c>
      <c r="P34">
        <f>COUNTIF(TableRelevanceTopics2[COBie],"*")</f>
        <v>31</v>
      </c>
      <c r="Q34">
        <f>COUNTIF(TableRelevanceTopics2[Information Model],"*")</f>
        <v>31</v>
      </c>
      <c r="R34">
        <f>COUNTIF(TableRelevanceTopics2[Data Template],"*")</f>
        <v>31</v>
      </c>
      <c r="S34">
        <f>COUNTIF(TableRelevanceTopics2[GIS],"*")</f>
        <v>31</v>
      </c>
      <c r="T34">
        <f>COUNTIF(TableRelevanceTopics2[MIDP/TIDP],"*")</f>
        <v>31</v>
      </c>
      <c r="U34">
        <f>COUNTIF(TableRelevanceTopics2[(E/O/A/P)IR],"*")</f>
        <v>31</v>
      </c>
      <c r="V34">
        <f>COUNTIF(TableRelevanceTopics2[(A/P)IM],"*")</f>
        <v>31</v>
      </c>
    </row>
    <row r="35" spans="1:22" x14ac:dyDescent="0.5">
      <c r="A35" s="73" t="s">
        <v>590</v>
      </c>
      <c r="B35">
        <f>B34-TableRelevanceTopics2[[#Totals],[Software Implementation]]</f>
        <v>31</v>
      </c>
      <c r="C35">
        <f>C34-TableRelevanceTopics2[[#Totals],[Information Management]]</f>
        <v>30</v>
      </c>
      <c r="D35">
        <f>D34-TableRelevanceTopics2[[#Totals],[IDM]]</f>
        <v>23</v>
      </c>
      <c r="E35">
        <f>E34-TableRelevanceTopics2[[#Totals],[IDS]]</f>
        <v>24</v>
      </c>
      <c r="F35">
        <f>F34-TableRelevanceTopics2[[#Totals],[MVD]]</f>
        <v>20</v>
      </c>
      <c r="G35">
        <f>G34-TableRelevanceTopics2[[#Totals],[LOIN]]</f>
        <v>26</v>
      </c>
      <c r="H35">
        <f>H34-TableRelevanceTopics2[[#Totals],[CDE]]</f>
        <v>18</v>
      </c>
      <c r="I35">
        <f>I34-TableRelevanceTopics2[[#Totals],[Information Container]]</f>
        <v>22</v>
      </c>
      <c r="J35">
        <f>J34-TableRelevanceTopics2[[#Totals],[BEP]]</f>
        <v>18</v>
      </c>
      <c r="K35">
        <f>K34-TableRelevanceTopics2[[#Totals],[Classification]]</f>
        <v>27</v>
      </c>
      <c r="L35">
        <f>L34-TableRelevanceTopics2[[#Totals],[IFC]]</f>
        <v>23</v>
      </c>
      <c r="M35">
        <f>M34-TableRelevanceTopics2[[#Totals],[Linked Data]]</f>
        <v>22</v>
      </c>
      <c r="N35">
        <f>N34-TableRelevanceTopics2[[#Totals],[IFD]]</f>
        <v>16</v>
      </c>
      <c r="O35">
        <f>O34-TableRelevanceTopics2[[#Totals],[Data Dictionary]]</f>
        <v>18</v>
      </c>
      <c r="P35">
        <f>P34-TableRelevanceTopics2[[#Totals],[COBie]]</f>
        <v>11</v>
      </c>
      <c r="Q35">
        <f>Q34-TableRelevanceTopics2[[#Totals],[Information Model]]</f>
        <v>29</v>
      </c>
      <c r="R35">
        <f>R34-TableRelevanceTopics2[[#Totals],[Data Template]]</f>
        <v>16</v>
      </c>
      <c r="S35">
        <f>S34-TableRelevanceTopics2[[#Totals],[GIS]]</f>
        <v>9</v>
      </c>
      <c r="T35">
        <f>T34-TableRelevanceTopics2[[#Totals],[MIDP/TIDP]]</f>
        <v>9</v>
      </c>
      <c r="U35">
        <f>U34-TableRelevanceTopics2[[#Totals],[(E/O/A/P)IR]]</f>
        <v>29</v>
      </c>
      <c r="V35">
        <f>V34-TableRelevanceTopics2[[#Totals],[(A/P)IM]]</f>
        <v>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8E39-C979-48A9-B5B9-46F4BAF7DF60}">
  <dimension ref="A1:B57"/>
  <sheetViews>
    <sheetView workbookViewId="0"/>
  </sheetViews>
  <sheetFormatPr defaultRowHeight="14.35" x14ac:dyDescent="0.5"/>
  <cols>
    <col min="1" max="1" width="20.5859375" customWidth="1"/>
    <col min="2" max="2" width="18" customWidth="1"/>
  </cols>
  <sheetData>
    <row r="1" spans="1:2" x14ac:dyDescent="0.5">
      <c r="A1" s="8" t="s">
        <v>530</v>
      </c>
      <c r="B1" s="8" t="s">
        <v>552</v>
      </c>
    </row>
    <row r="2" spans="1:2" x14ac:dyDescent="0.5">
      <c r="A2" t="s">
        <v>532</v>
      </c>
      <c r="B2" t="s">
        <v>591</v>
      </c>
    </row>
    <row r="3" spans="1:2" x14ac:dyDescent="0.5">
      <c r="A3" t="s">
        <v>532</v>
      </c>
      <c r="B3" t="s">
        <v>592</v>
      </c>
    </row>
    <row r="4" spans="1:2" x14ac:dyDescent="0.5">
      <c r="A4" t="s">
        <v>532</v>
      </c>
      <c r="B4" t="s">
        <v>593</v>
      </c>
    </row>
    <row r="5" spans="1:2" x14ac:dyDescent="0.5">
      <c r="A5" t="s">
        <v>532</v>
      </c>
      <c r="B5" t="s">
        <v>594</v>
      </c>
    </row>
    <row r="6" spans="1:2" x14ac:dyDescent="0.5">
      <c r="A6" t="s">
        <v>532</v>
      </c>
      <c r="B6" t="s">
        <v>595</v>
      </c>
    </row>
    <row r="7" spans="1:2" x14ac:dyDescent="0.5">
      <c r="A7" t="s">
        <v>532</v>
      </c>
      <c r="B7" t="s">
        <v>596</v>
      </c>
    </row>
    <row r="8" spans="1:2" x14ac:dyDescent="0.5">
      <c r="A8" t="s">
        <v>532</v>
      </c>
      <c r="B8" t="s">
        <v>597</v>
      </c>
    </row>
    <row r="9" spans="1:2" x14ac:dyDescent="0.5">
      <c r="A9" t="s">
        <v>533</v>
      </c>
      <c r="B9" t="s">
        <v>591</v>
      </c>
    </row>
    <row r="10" spans="1:2" x14ac:dyDescent="0.5">
      <c r="A10" t="s">
        <v>533</v>
      </c>
      <c r="B10" t="s">
        <v>592</v>
      </c>
    </row>
    <row r="11" spans="1:2" x14ac:dyDescent="0.5">
      <c r="A11" t="s">
        <v>533</v>
      </c>
      <c r="B11" t="s">
        <v>593</v>
      </c>
    </row>
    <row r="12" spans="1:2" x14ac:dyDescent="0.5">
      <c r="A12" t="s">
        <v>533</v>
      </c>
      <c r="B12" t="s">
        <v>594</v>
      </c>
    </row>
    <row r="13" spans="1:2" x14ac:dyDescent="0.5">
      <c r="A13" t="s">
        <v>533</v>
      </c>
      <c r="B13" t="s">
        <v>595</v>
      </c>
    </row>
    <row r="14" spans="1:2" x14ac:dyDescent="0.5">
      <c r="A14" t="s">
        <v>533</v>
      </c>
      <c r="B14" t="s">
        <v>596</v>
      </c>
    </row>
    <row r="15" spans="1:2" x14ac:dyDescent="0.5">
      <c r="A15" t="s">
        <v>533</v>
      </c>
      <c r="B15" t="s">
        <v>597</v>
      </c>
    </row>
    <row r="16" spans="1:2" x14ac:dyDescent="0.5">
      <c r="A16" t="s">
        <v>534</v>
      </c>
      <c r="B16" t="s">
        <v>591</v>
      </c>
    </row>
    <row r="17" spans="1:2" x14ac:dyDescent="0.5">
      <c r="A17" t="s">
        <v>534</v>
      </c>
      <c r="B17" t="s">
        <v>592</v>
      </c>
    </row>
    <row r="18" spans="1:2" x14ac:dyDescent="0.5">
      <c r="A18" t="s">
        <v>534</v>
      </c>
      <c r="B18" t="s">
        <v>593</v>
      </c>
    </row>
    <row r="19" spans="1:2" x14ac:dyDescent="0.5">
      <c r="A19" t="s">
        <v>534</v>
      </c>
      <c r="B19" t="s">
        <v>594</v>
      </c>
    </row>
    <row r="20" spans="1:2" x14ac:dyDescent="0.5">
      <c r="A20" t="s">
        <v>534</v>
      </c>
      <c r="B20" t="s">
        <v>595</v>
      </c>
    </row>
    <row r="21" spans="1:2" x14ac:dyDescent="0.5">
      <c r="A21" t="s">
        <v>534</v>
      </c>
      <c r="B21" t="s">
        <v>596</v>
      </c>
    </row>
    <row r="22" spans="1:2" x14ac:dyDescent="0.5">
      <c r="A22" t="s">
        <v>534</v>
      </c>
      <c r="B22" t="s">
        <v>597</v>
      </c>
    </row>
    <row r="23" spans="1:2" x14ac:dyDescent="0.5">
      <c r="A23" t="s">
        <v>536</v>
      </c>
      <c r="B23" t="s">
        <v>591</v>
      </c>
    </row>
    <row r="24" spans="1:2" x14ac:dyDescent="0.5">
      <c r="A24" t="s">
        <v>536</v>
      </c>
      <c r="B24" t="s">
        <v>592</v>
      </c>
    </row>
    <row r="25" spans="1:2" x14ac:dyDescent="0.5">
      <c r="A25" t="s">
        <v>536</v>
      </c>
      <c r="B25" t="s">
        <v>593</v>
      </c>
    </row>
    <row r="26" spans="1:2" x14ac:dyDescent="0.5">
      <c r="A26" t="s">
        <v>536</v>
      </c>
      <c r="B26" t="s">
        <v>594</v>
      </c>
    </row>
    <row r="27" spans="1:2" x14ac:dyDescent="0.5">
      <c r="A27" t="s">
        <v>536</v>
      </c>
      <c r="B27" t="s">
        <v>595</v>
      </c>
    </row>
    <row r="28" spans="1:2" x14ac:dyDescent="0.5">
      <c r="A28" t="s">
        <v>536</v>
      </c>
      <c r="B28" t="s">
        <v>596</v>
      </c>
    </row>
    <row r="29" spans="1:2" x14ac:dyDescent="0.5">
      <c r="A29" t="s">
        <v>536</v>
      </c>
      <c r="B29" t="s">
        <v>597</v>
      </c>
    </row>
    <row r="30" spans="1:2" x14ac:dyDescent="0.5">
      <c r="A30" t="s">
        <v>537</v>
      </c>
      <c r="B30" t="s">
        <v>591</v>
      </c>
    </row>
    <row r="31" spans="1:2" x14ac:dyDescent="0.5">
      <c r="A31" t="s">
        <v>537</v>
      </c>
      <c r="B31" t="s">
        <v>592</v>
      </c>
    </row>
    <row r="32" spans="1:2" x14ac:dyDescent="0.5">
      <c r="A32" t="s">
        <v>537</v>
      </c>
      <c r="B32" t="s">
        <v>593</v>
      </c>
    </row>
    <row r="33" spans="1:2" x14ac:dyDescent="0.5">
      <c r="A33" t="s">
        <v>537</v>
      </c>
      <c r="B33" t="s">
        <v>594</v>
      </c>
    </row>
    <row r="34" spans="1:2" x14ac:dyDescent="0.5">
      <c r="A34" t="s">
        <v>537</v>
      </c>
      <c r="B34" t="s">
        <v>595</v>
      </c>
    </row>
    <row r="35" spans="1:2" x14ac:dyDescent="0.5">
      <c r="A35" t="s">
        <v>537</v>
      </c>
      <c r="B35" t="s">
        <v>596</v>
      </c>
    </row>
    <row r="36" spans="1:2" x14ac:dyDescent="0.5">
      <c r="A36" t="s">
        <v>537</v>
      </c>
      <c r="B36" t="s">
        <v>597</v>
      </c>
    </row>
    <row r="37" spans="1:2" x14ac:dyDescent="0.5">
      <c r="A37" t="s">
        <v>538</v>
      </c>
      <c r="B37" t="s">
        <v>591</v>
      </c>
    </row>
    <row r="38" spans="1:2" x14ac:dyDescent="0.5">
      <c r="A38" t="s">
        <v>538</v>
      </c>
      <c r="B38" t="s">
        <v>592</v>
      </c>
    </row>
    <row r="39" spans="1:2" x14ac:dyDescent="0.5">
      <c r="A39" t="s">
        <v>538</v>
      </c>
      <c r="B39" t="s">
        <v>593</v>
      </c>
    </row>
    <row r="40" spans="1:2" x14ac:dyDescent="0.5">
      <c r="A40" t="s">
        <v>538</v>
      </c>
      <c r="B40" t="s">
        <v>594</v>
      </c>
    </row>
    <row r="41" spans="1:2" x14ac:dyDescent="0.5">
      <c r="A41" t="s">
        <v>538</v>
      </c>
      <c r="B41" t="s">
        <v>595</v>
      </c>
    </row>
    <row r="42" spans="1:2" x14ac:dyDescent="0.5">
      <c r="A42" t="s">
        <v>538</v>
      </c>
      <c r="B42" t="s">
        <v>596</v>
      </c>
    </row>
    <row r="43" spans="1:2" x14ac:dyDescent="0.5">
      <c r="A43" t="s">
        <v>538</v>
      </c>
      <c r="B43" t="s">
        <v>597</v>
      </c>
    </row>
    <row r="44" spans="1:2" x14ac:dyDescent="0.5">
      <c r="A44" t="s">
        <v>539</v>
      </c>
      <c r="B44" t="s">
        <v>591</v>
      </c>
    </row>
    <row r="45" spans="1:2" x14ac:dyDescent="0.5">
      <c r="A45" t="s">
        <v>539</v>
      </c>
      <c r="B45" t="s">
        <v>592</v>
      </c>
    </row>
    <row r="46" spans="1:2" x14ac:dyDescent="0.5">
      <c r="A46" t="s">
        <v>539</v>
      </c>
      <c r="B46" t="s">
        <v>593</v>
      </c>
    </row>
    <row r="47" spans="1:2" x14ac:dyDescent="0.5">
      <c r="A47" t="s">
        <v>539</v>
      </c>
      <c r="B47" t="s">
        <v>594</v>
      </c>
    </row>
    <row r="48" spans="1:2" x14ac:dyDescent="0.5">
      <c r="A48" t="s">
        <v>539</v>
      </c>
      <c r="B48" t="s">
        <v>595</v>
      </c>
    </row>
    <row r="49" spans="1:2" x14ac:dyDescent="0.5">
      <c r="A49" t="s">
        <v>539</v>
      </c>
      <c r="B49" t="s">
        <v>596</v>
      </c>
    </row>
    <row r="50" spans="1:2" x14ac:dyDescent="0.5">
      <c r="A50" t="s">
        <v>539</v>
      </c>
      <c r="B50" t="s">
        <v>597</v>
      </c>
    </row>
    <row r="51" spans="1:2" x14ac:dyDescent="0.5">
      <c r="A51" t="s">
        <v>540</v>
      </c>
      <c r="B51" t="s">
        <v>591</v>
      </c>
    </row>
    <row r="52" spans="1:2" x14ac:dyDescent="0.5">
      <c r="A52" t="s">
        <v>540</v>
      </c>
      <c r="B52" t="s">
        <v>592</v>
      </c>
    </row>
    <row r="53" spans="1:2" x14ac:dyDescent="0.5">
      <c r="A53" t="s">
        <v>540</v>
      </c>
      <c r="B53" t="s">
        <v>593</v>
      </c>
    </row>
    <row r="54" spans="1:2" x14ac:dyDescent="0.5">
      <c r="A54" t="s">
        <v>540</v>
      </c>
      <c r="B54" t="s">
        <v>594</v>
      </c>
    </row>
    <row r="55" spans="1:2" x14ac:dyDescent="0.5">
      <c r="A55" t="s">
        <v>540</v>
      </c>
      <c r="B55" t="s">
        <v>595</v>
      </c>
    </row>
    <row r="56" spans="1:2" x14ac:dyDescent="0.5">
      <c r="A56" t="s">
        <v>540</v>
      </c>
      <c r="B56" t="s">
        <v>596</v>
      </c>
    </row>
    <row r="57" spans="1:2" x14ac:dyDescent="0.5">
      <c r="A57" t="s">
        <v>540</v>
      </c>
      <c r="B57" t="s">
        <v>597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26C1-FDA3-4F81-BF25-B43597AE4B6C}">
  <dimension ref="A1:B65"/>
  <sheetViews>
    <sheetView topLeftCell="A28" workbookViewId="0">
      <selection activeCell="O69" sqref="O69"/>
    </sheetView>
  </sheetViews>
  <sheetFormatPr defaultRowHeight="14.35" x14ac:dyDescent="0.5"/>
  <cols>
    <col min="1" max="1" width="20.5859375" customWidth="1"/>
    <col min="2" max="2" width="18" customWidth="1"/>
  </cols>
  <sheetData>
    <row r="1" spans="1:2" x14ac:dyDescent="0.5">
      <c r="A1" s="8" t="s">
        <v>530</v>
      </c>
      <c r="B1" s="8" t="s">
        <v>598</v>
      </c>
    </row>
    <row r="2" spans="1:2" x14ac:dyDescent="0.5">
      <c r="A2" t="s">
        <v>532</v>
      </c>
      <c r="B2" t="s">
        <v>550</v>
      </c>
    </row>
    <row r="3" spans="1:2" x14ac:dyDescent="0.5">
      <c r="A3" t="s">
        <v>532</v>
      </c>
      <c r="B3" t="s">
        <v>542</v>
      </c>
    </row>
    <row r="4" spans="1:2" x14ac:dyDescent="0.5">
      <c r="A4" t="s">
        <v>532</v>
      </c>
      <c r="B4" t="s">
        <v>548</v>
      </c>
    </row>
    <row r="5" spans="1:2" x14ac:dyDescent="0.5">
      <c r="A5" t="s">
        <v>532</v>
      </c>
      <c r="B5" t="s">
        <v>551</v>
      </c>
    </row>
    <row r="6" spans="1:2" x14ac:dyDescent="0.5">
      <c r="A6" t="s">
        <v>532</v>
      </c>
      <c r="B6" t="s">
        <v>547</v>
      </c>
    </row>
    <row r="7" spans="1:2" x14ac:dyDescent="0.5">
      <c r="A7" t="s">
        <v>532</v>
      </c>
      <c r="B7" t="s">
        <v>549</v>
      </c>
    </row>
    <row r="8" spans="1:2" x14ac:dyDescent="0.5">
      <c r="A8" t="s">
        <v>532</v>
      </c>
      <c r="B8" t="s">
        <v>545</v>
      </c>
    </row>
    <row r="9" spans="1:2" x14ac:dyDescent="0.5">
      <c r="A9" t="s">
        <v>532</v>
      </c>
      <c r="B9" t="s">
        <v>546</v>
      </c>
    </row>
    <row r="10" spans="1:2" x14ac:dyDescent="0.5">
      <c r="A10" t="s">
        <v>533</v>
      </c>
      <c r="B10" t="s">
        <v>550</v>
      </c>
    </row>
    <row r="11" spans="1:2" x14ac:dyDescent="0.5">
      <c r="A11" t="s">
        <v>533</v>
      </c>
      <c r="B11" t="s">
        <v>542</v>
      </c>
    </row>
    <row r="12" spans="1:2" x14ac:dyDescent="0.5">
      <c r="A12" t="s">
        <v>533</v>
      </c>
      <c r="B12" t="s">
        <v>548</v>
      </c>
    </row>
    <row r="13" spans="1:2" x14ac:dyDescent="0.5">
      <c r="A13" t="s">
        <v>533</v>
      </c>
      <c r="B13" t="s">
        <v>551</v>
      </c>
    </row>
    <row r="14" spans="1:2" x14ac:dyDescent="0.5">
      <c r="A14" t="s">
        <v>533</v>
      </c>
      <c r="B14" t="s">
        <v>547</v>
      </c>
    </row>
    <row r="15" spans="1:2" x14ac:dyDescent="0.5">
      <c r="A15" t="s">
        <v>533</v>
      </c>
      <c r="B15" t="s">
        <v>549</v>
      </c>
    </row>
    <row r="16" spans="1:2" x14ac:dyDescent="0.5">
      <c r="A16" t="s">
        <v>533</v>
      </c>
      <c r="B16" t="s">
        <v>545</v>
      </c>
    </row>
    <row r="17" spans="1:2" x14ac:dyDescent="0.5">
      <c r="A17" t="s">
        <v>533</v>
      </c>
      <c r="B17" t="s">
        <v>546</v>
      </c>
    </row>
    <row r="18" spans="1:2" x14ac:dyDescent="0.5">
      <c r="A18" t="s">
        <v>534</v>
      </c>
      <c r="B18" t="s">
        <v>550</v>
      </c>
    </row>
    <row r="19" spans="1:2" x14ac:dyDescent="0.5">
      <c r="A19" t="s">
        <v>534</v>
      </c>
      <c r="B19" t="s">
        <v>542</v>
      </c>
    </row>
    <row r="20" spans="1:2" x14ac:dyDescent="0.5">
      <c r="A20" t="s">
        <v>534</v>
      </c>
      <c r="B20" t="s">
        <v>548</v>
      </c>
    </row>
    <row r="21" spans="1:2" x14ac:dyDescent="0.5">
      <c r="A21" t="s">
        <v>534</v>
      </c>
      <c r="B21" t="s">
        <v>551</v>
      </c>
    </row>
    <row r="22" spans="1:2" x14ac:dyDescent="0.5">
      <c r="A22" t="s">
        <v>534</v>
      </c>
      <c r="B22" t="s">
        <v>547</v>
      </c>
    </row>
    <row r="23" spans="1:2" x14ac:dyDescent="0.5">
      <c r="A23" t="s">
        <v>534</v>
      </c>
      <c r="B23" t="s">
        <v>549</v>
      </c>
    </row>
    <row r="24" spans="1:2" x14ac:dyDescent="0.5">
      <c r="A24" t="s">
        <v>534</v>
      </c>
      <c r="B24" t="s">
        <v>545</v>
      </c>
    </row>
    <row r="25" spans="1:2" x14ac:dyDescent="0.5">
      <c r="A25" t="s">
        <v>534</v>
      </c>
      <c r="B25" t="s">
        <v>546</v>
      </c>
    </row>
    <row r="26" spans="1:2" x14ac:dyDescent="0.5">
      <c r="A26" t="s">
        <v>536</v>
      </c>
      <c r="B26" t="s">
        <v>550</v>
      </c>
    </row>
    <row r="27" spans="1:2" x14ac:dyDescent="0.5">
      <c r="A27" t="s">
        <v>536</v>
      </c>
      <c r="B27" t="s">
        <v>542</v>
      </c>
    </row>
    <row r="28" spans="1:2" x14ac:dyDescent="0.5">
      <c r="A28" t="s">
        <v>536</v>
      </c>
      <c r="B28" t="s">
        <v>548</v>
      </c>
    </row>
    <row r="29" spans="1:2" x14ac:dyDescent="0.5">
      <c r="A29" t="s">
        <v>536</v>
      </c>
      <c r="B29" t="s">
        <v>551</v>
      </c>
    </row>
    <row r="30" spans="1:2" x14ac:dyDescent="0.5">
      <c r="A30" t="s">
        <v>536</v>
      </c>
      <c r="B30" t="s">
        <v>547</v>
      </c>
    </row>
    <row r="31" spans="1:2" x14ac:dyDescent="0.5">
      <c r="A31" t="s">
        <v>536</v>
      </c>
      <c r="B31" t="s">
        <v>549</v>
      </c>
    </row>
    <row r="32" spans="1:2" x14ac:dyDescent="0.5">
      <c r="A32" t="s">
        <v>536</v>
      </c>
      <c r="B32" t="s">
        <v>545</v>
      </c>
    </row>
    <row r="33" spans="1:2" x14ac:dyDescent="0.5">
      <c r="A33" t="s">
        <v>536</v>
      </c>
      <c r="B33" t="s">
        <v>546</v>
      </c>
    </row>
    <row r="34" spans="1:2" x14ac:dyDescent="0.5">
      <c r="A34" t="s">
        <v>537</v>
      </c>
      <c r="B34" t="s">
        <v>550</v>
      </c>
    </row>
    <row r="35" spans="1:2" x14ac:dyDescent="0.5">
      <c r="A35" t="s">
        <v>537</v>
      </c>
      <c r="B35" t="s">
        <v>542</v>
      </c>
    </row>
    <row r="36" spans="1:2" x14ac:dyDescent="0.5">
      <c r="A36" t="s">
        <v>537</v>
      </c>
      <c r="B36" t="s">
        <v>548</v>
      </c>
    </row>
    <row r="37" spans="1:2" x14ac:dyDescent="0.5">
      <c r="A37" t="s">
        <v>537</v>
      </c>
      <c r="B37" t="s">
        <v>551</v>
      </c>
    </row>
    <row r="38" spans="1:2" x14ac:dyDescent="0.5">
      <c r="A38" t="s">
        <v>537</v>
      </c>
      <c r="B38" t="s">
        <v>547</v>
      </c>
    </row>
    <row r="39" spans="1:2" x14ac:dyDescent="0.5">
      <c r="A39" t="s">
        <v>537</v>
      </c>
      <c r="B39" t="s">
        <v>549</v>
      </c>
    </row>
    <row r="40" spans="1:2" x14ac:dyDescent="0.5">
      <c r="A40" t="s">
        <v>537</v>
      </c>
      <c r="B40" t="s">
        <v>545</v>
      </c>
    </row>
    <row r="41" spans="1:2" x14ac:dyDescent="0.5">
      <c r="A41" t="s">
        <v>537</v>
      </c>
      <c r="B41" t="s">
        <v>546</v>
      </c>
    </row>
    <row r="42" spans="1:2" x14ac:dyDescent="0.5">
      <c r="A42" t="s">
        <v>538</v>
      </c>
      <c r="B42" t="s">
        <v>550</v>
      </c>
    </row>
    <row r="43" spans="1:2" x14ac:dyDescent="0.5">
      <c r="A43" t="s">
        <v>538</v>
      </c>
      <c r="B43" t="s">
        <v>542</v>
      </c>
    </row>
    <row r="44" spans="1:2" x14ac:dyDescent="0.5">
      <c r="A44" t="s">
        <v>538</v>
      </c>
      <c r="B44" t="s">
        <v>548</v>
      </c>
    </row>
    <row r="45" spans="1:2" x14ac:dyDescent="0.5">
      <c r="A45" t="s">
        <v>538</v>
      </c>
      <c r="B45" t="s">
        <v>551</v>
      </c>
    </row>
    <row r="46" spans="1:2" x14ac:dyDescent="0.5">
      <c r="A46" t="s">
        <v>538</v>
      </c>
      <c r="B46" t="s">
        <v>547</v>
      </c>
    </row>
    <row r="47" spans="1:2" x14ac:dyDescent="0.5">
      <c r="A47" t="s">
        <v>538</v>
      </c>
      <c r="B47" t="s">
        <v>549</v>
      </c>
    </row>
    <row r="48" spans="1:2" x14ac:dyDescent="0.5">
      <c r="A48" t="s">
        <v>538</v>
      </c>
      <c r="B48" t="s">
        <v>545</v>
      </c>
    </row>
    <row r="49" spans="1:2" x14ac:dyDescent="0.5">
      <c r="A49" t="s">
        <v>538</v>
      </c>
      <c r="B49" t="s">
        <v>546</v>
      </c>
    </row>
    <row r="50" spans="1:2" x14ac:dyDescent="0.5">
      <c r="A50" t="s">
        <v>539</v>
      </c>
      <c r="B50" t="s">
        <v>550</v>
      </c>
    </row>
    <row r="51" spans="1:2" x14ac:dyDescent="0.5">
      <c r="A51" t="s">
        <v>539</v>
      </c>
      <c r="B51" t="s">
        <v>542</v>
      </c>
    </row>
    <row r="52" spans="1:2" x14ac:dyDescent="0.5">
      <c r="A52" t="s">
        <v>539</v>
      </c>
      <c r="B52" t="s">
        <v>548</v>
      </c>
    </row>
    <row r="53" spans="1:2" x14ac:dyDescent="0.5">
      <c r="A53" t="s">
        <v>539</v>
      </c>
      <c r="B53" t="s">
        <v>551</v>
      </c>
    </row>
    <row r="54" spans="1:2" x14ac:dyDescent="0.5">
      <c r="A54" t="s">
        <v>539</v>
      </c>
      <c r="B54" t="s">
        <v>547</v>
      </c>
    </row>
    <row r="55" spans="1:2" x14ac:dyDescent="0.5">
      <c r="A55" t="s">
        <v>539</v>
      </c>
      <c r="B55" t="s">
        <v>549</v>
      </c>
    </row>
    <row r="56" spans="1:2" x14ac:dyDescent="0.5">
      <c r="A56" t="s">
        <v>539</v>
      </c>
      <c r="B56" t="s">
        <v>545</v>
      </c>
    </row>
    <row r="57" spans="1:2" x14ac:dyDescent="0.5">
      <c r="A57" t="s">
        <v>539</v>
      </c>
      <c r="B57" t="s">
        <v>546</v>
      </c>
    </row>
    <row r="58" spans="1:2" x14ac:dyDescent="0.5">
      <c r="A58" t="s">
        <v>540</v>
      </c>
      <c r="B58" t="s">
        <v>550</v>
      </c>
    </row>
    <row r="59" spans="1:2" x14ac:dyDescent="0.5">
      <c r="A59" t="s">
        <v>540</v>
      </c>
      <c r="B59" t="s">
        <v>542</v>
      </c>
    </row>
    <row r="60" spans="1:2" x14ac:dyDescent="0.5">
      <c r="A60" t="s">
        <v>540</v>
      </c>
      <c r="B60" t="s">
        <v>548</v>
      </c>
    </row>
    <row r="61" spans="1:2" x14ac:dyDescent="0.5">
      <c r="A61" t="s">
        <v>540</v>
      </c>
      <c r="B61" t="s">
        <v>551</v>
      </c>
    </row>
    <row r="62" spans="1:2" x14ac:dyDescent="0.5">
      <c r="A62" t="s">
        <v>540</v>
      </c>
      <c r="B62" t="s">
        <v>547</v>
      </c>
    </row>
    <row r="63" spans="1:2" x14ac:dyDescent="0.5">
      <c r="A63" t="s">
        <v>540</v>
      </c>
      <c r="B63" t="s">
        <v>549</v>
      </c>
    </row>
    <row r="64" spans="1:2" x14ac:dyDescent="0.5">
      <c r="A64" t="s">
        <v>540</v>
      </c>
      <c r="B64" t="s">
        <v>545</v>
      </c>
    </row>
    <row r="65" spans="1:2" x14ac:dyDescent="0.5">
      <c r="A65" t="s">
        <v>540</v>
      </c>
      <c r="B65" t="s">
        <v>546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D7D2-6FD7-44E2-8A30-B4AEB0CE2C5B}">
  <dimension ref="A1:C30"/>
  <sheetViews>
    <sheetView workbookViewId="0"/>
  </sheetViews>
  <sheetFormatPr defaultRowHeight="14.35" x14ac:dyDescent="0.5"/>
  <cols>
    <col min="1" max="1" width="33" customWidth="1"/>
    <col min="3" max="3" width="16.5859375" customWidth="1"/>
  </cols>
  <sheetData>
    <row r="1" spans="1:3" x14ac:dyDescent="0.5">
      <c r="A1" s="17" t="s">
        <v>599</v>
      </c>
      <c r="B1" s="17" t="s">
        <v>600</v>
      </c>
      <c r="C1" s="38" t="s">
        <v>601</v>
      </c>
    </row>
    <row r="2" spans="1:3" x14ac:dyDescent="0.5">
      <c r="A2" t="s">
        <v>26</v>
      </c>
      <c r="B2" s="28"/>
      <c r="C2" s="39" t="s">
        <v>602</v>
      </c>
    </row>
    <row r="3" spans="1:3" x14ac:dyDescent="0.5">
      <c r="A3" s="7" t="s">
        <v>19</v>
      </c>
      <c r="B3" s="30"/>
      <c r="C3" s="39" t="s">
        <v>603</v>
      </c>
    </row>
    <row r="4" spans="1:3" x14ac:dyDescent="0.5">
      <c r="A4" s="7" t="s">
        <v>295</v>
      </c>
      <c r="B4" s="31"/>
      <c r="C4" s="39" t="s">
        <v>604</v>
      </c>
    </row>
    <row r="5" spans="1:3" x14ac:dyDescent="0.5">
      <c r="A5" s="26" t="s">
        <v>278</v>
      </c>
      <c r="B5" s="33"/>
      <c r="C5" s="39" t="s">
        <v>605</v>
      </c>
    </row>
    <row r="6" spans="1:3" x14ac:dyDescent="0.5">
      <c r="A6" s="7" t="s">
        <v>79</v>
      </c>
      <c r="B6" s="35"/>
      <c r="C6" s="39" t="s">
        <v>606</v>
      </c>
    </row>
    <row r="7" spans="1:3" x14ac:dyDescent="0.5">
      <c r="A7" s="7" t="s">
        <v>84</v>
      </c>
      <c r="B7" s="37"/>
      <c r="C7" s="39" t="s">
        <v>607</v>
      </c>
    </row>
    <row r="8" spans="1:3" x14ac:dyDescent="0.5">
      <c r="A8" s="7" t="s">
        <v>76</v>
      </c>
      <c r="B8" s="36"/>
      <c r="C8" s="39" t="s">
        <v>608</v>
      </c>
    </row>
    <row r="9" spans="1:3" x14ac:dyDescent="0.5">
      <c r="A9" s="7" t="s">
        <v>62</v>
      </c>
      <c r="B9" s="34"/>
      <c r="C9" s="39" t="s">
        <v>609</v>
      </c>
    </row>
    <row r="10" spans="1:3" x14ac:dyDescent="0.5">
      <c r="A10" s="7" t="s">
        <v>87</v>
      </c>
      <c r="B10" s="32"/>
      <c r="C10" s="39" t="s">
        <v>610</v>
      </c>
    </row>
    <row r="11" spans="1:3" x14ac:dyDescent="0.5">
      <c r="A11" s="7" t="s">
        <v>432</v>
      </c>
      <c r="B11" s="71"/>
      <c r="C11" s="39" t="s">
        <v>611</v>
      </c>
    </row>
    <row r="12" spans="1:3" x14ac:dyDescent="0.5">
      <c r="A12" s="7" t="s">
        <v>467</v>
      </c>
      <c r="B12" s="72"/>
      <c r="C12" s="39" t="s">
        <v>612</v>
      </c>
    </row>
    <row r="13" spans="1:3" x14ac:dyDescent="0.5">
      <c r="A13" s="7" t="s">
        <v>103</v>
      </c>
      <c r="B13" s="29"/>
      <c r="C13" s="39" t="s">
        <v>613</v>
      </c>
    </row>
    <row r="14" spans="1:3" x14ac:dyDescent="0.5">
      <c r="A14" t="s">
        <v>237</v>
      </c>
      <c r="B14" s="27"/>
      <c r="C14" s="39" t="s">
        <v>614</v>
      </c>
    </row>
    <row r="17" spans="1:3" x14ac:dyDescent="0.5">
      <c r="A17" s="44" t="s">
        <v>599</v>
      </c>
      <c r="B17" s="44" t="s">
        <v>600</v>
      </c>
      <c r="C17" s="38"/>
    </row>
    <row r="18" spans="1:3" x14ac:dyDescent="0.5">
      <c r="A18" s="40" t="s">
        <v>615</v>
      </c>
      <c r="B18" s="28"/>
      <c r="C18" s="39"/>
    </row>
    <row r="19" spans="1:3" x14ac:dyDescent="0.5">
      <c r="A19" s="41" t="s">
        <v>616</v>
      </c>
      <c r="B19" s="30"/>
      <c r="C19" s="39"/>
    </row>
    <row r="20" spans="1:3" x14ac:dyDescent="0.5">
      <c r="A20" s="41" t="s">
        <v>617</v>
      </c>
      <c r="B20" s="31"/>
      <c r="C20" s="39"/>
    </row>
    <row r="21" spans="1:3" x14ac:dyDescent="0.5">
      <c r="A21" s="42" t="s">
        <v>618</v>
      </c>
      <c r="B21" s="33"/>
      <c r="C21" s="39"/>
    </row>
    <row r="22" spans="1:3" x14ac:dyDescent="0.5">
      <c r="A22" s="41" t="s">
        <v>79</v>
      </c>
      <c r="B22" s="35"/>
      <c r="C22" s="39"/>
    </row>
    <row r="23" spans="1:3" x14ac:dyDescent="0.5">
      <c r="A23" s="41" t="s">
        <v>84</v>
      </c>
      <c r="B23" s="37"/>
      <c r="C23" s="39"/>
    </row>
    <row r="24" spans="1:3" x14ac:dyDescent="0.5">
      <c r="A24" s="41" t="s">
        <v>619</v>
      </c>
      <c r="B24" s="36"/>
      <c r="C24" s="39"/>
    </row>
    <row r="25" spans="1:3" x14ac:dyDescent="0.5">
      <c r="A25" s="41" t="s">
        <v>620</v>
      </c>
      <c r="B25" s="34"/>
      <c r="C25" s="39"/>
    </row>
    <row r="26" spans="1:3" x14ac:dyDescent="0.5">
      <c r="A26" s="41" t="s">
        <v>87</v>
      </c>
      <c r="B26" s="32"/>
      <c r="C26" s="39"/>
    </row>
    <row r="27" spans="1:3" x14ac:dyDescent="0.5">
      <c r="A27" s="7" t="s">
        <v>432</v>
      </c>
      <c r="B27" s="71"/>
      <c r="C27" s="39"/>
    </row>
    <row r="28" spans="1:3" x14ac:dyDescent="0.5">
      <c r="A28" s="7" t="s">
        <v>467</v>
      </c>
      <c r="B28" s="72"/>
      <c r="C28" s="39"/>
    </row>
    <row r="29" spans="1:3" x14ac:dyDescent="0.5">
      <c r="A29" s="41" t="s">
        <v>103</v>
      </c>
      <c r="B29" s="29"/>
      <c r="C29" s="39"/>
    </row>
    <row r="30" spans="1:3" x14ac:dyDescent="0.5">
      <c r="A30" s="43" t="s">
        <v>237</v>
      </c>
      <c r="B30" s="27"/>
      <c r="C30" s="39"/>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0BF5-3F10-41E1-933A-B05DE9D1D459}">
  <sheetPr>
    <tabColor rgb="FFFF0000"/>
  </sheetPr>
  <dimension ref="A1:D176"/>
  <sheetViews>
    <sheetView topLeftCell="A16" workbookViewId="0">
      <selection activeCell="B30" sqref="B30"/>
    </sheetView>
  </sheetViews>
  <sheetFormatPr defaultRowHeight="14.35" x14ac:dyDescent="0.5"/>
  <cols>
    <col min="1" max="1" width="16.87890625" customWidth="1"/>
    <col min="2" max="2" width="24.41015625" customWidth="1"/>
    <col min="3" max="3" width="14.5859375" customWidth="1"/>
  </cols>
  <sheetData>
    <row r="1" spans="1:4" s="8" customFormat="1" ht="29.45" customHeight="1" x14ac:dyDescent="0.5">
      <c r="A1" s="8" t="s">
        <v>1</v>
      </c>
      <c r="B1" s="8" t="s">
        <v>621</v>
      </c>
      <c r="C1" s="8" t="s">
        <v>531</v>
      </c>
      <c r="D1" s="8" t="s">
        <v>622</v>
      </c>
    </row>
    <row r="2" spans="1:4" x14ac:dyDescent="0.5">
      <c r="A2" t="s">
        <v>22</v>
      </c>
      <c r="B2" t="s">
        <v>591</v>
      </c>
      <c r="C2" t="s">
        <v>544</v>
      </c>
    </row>
    <row r="3" spans="1:4" x14ac:dyDescent="0.5">
      <c r="A3" t="s">
        <v>22</v>
      </c>
      <c r="B3" t="s">
        <v>592</v>
      </c>
      <c r="C3" t="s">
        <v>543</v>
      </c>
    </row>
    <row r="4" spans="1:4" x14ac:dyDescent="0.5">
      <c r="A4" t="s">
        <v>22</v>
      </c>
      <c r="B4" t="s">
        <v>593</v>
      </c>
      <c r="C4" t="s">
        <v>543</v>
      </c>
    </row>
    <row r="5" spans="1:4" x14ac:dyDescent="0.5">
      <c r="A5" t="s">
        <v>22</v>
      </c>
      <c r="B5" t="s">
        <v>594</v>
      </c>
      <c r="C5" t="s">
        <v>543</v>
      </c>
    </row>
    <row r="6" spans="1:4" x14ac:dyDescent="0.5">
      <c r="A6" t="s">
        <v>22</v>
      </c>
      <c r="B6" t="s">
        <v>595</v>
      </c>
      <c r="C6" t="s">
        <v>543</v>
      </c>
    </row>
    <row r="7" spans="1:4" x14ac:dyDescent="0.5">
      <c r="A7" t="s">
        <v>22</v>
      </c>
      <c r="B7" t="s">
        <v>596</v>
      </c>
      <c r="C7" t="s">
        <v>543</v>
      </c>
    </row>
    <row r="8" spans="1:4" x14ac:dyDescent="0.5">
      <c r="A8" t="s">
        <v>22</v>
      </c>
      <c r="B8" t="s">
        <v>597</v>
      </c>
      <c r="C8" t="s">
        <v>543</v>
      </c>
    </row>
    <row r="9" spans="1:4" x14ac:dyDescent="0.5">
      <c r="A9" t="s">
        <v>30</v>
      </c>
      <c r="B9" t="s">
        <v>591</v>
      </c>
      <c r="C9" t="s">
        <v>544</v>
      </c>
    </row>
    <row r="10" spans="1:4" x14ac:dyDescent="0.5">
      <c r="A10" t="s">
        <v>30</v>
      </c>
      <c r="B10" t="s">
        <v>592</v>
      </c>
      <c r="C10" t="s">
        <v>543</v>
      </c>
    </row>
    <row r="11" spans="1:4" x14ac:dyDescent="0.5">
      <c r="A11" t="s">
        <v>30</v>
      </c>
      <c r="B11" t="s">
        <v>593</v>
      </c>
      <c r="C11" t="s">
        <v>543</v>
      </c>
    </row>
    <row r="12" spans="1:4" x14ac:dyDescent="0.5">
      <c r="A12" t="s">
        <v>30</v>
      </c>
      <c r="B12" t="s">
        <v>594</v>
      </c>
      <c r="C12" t="s">
        <v>544</v>
      </c>
    </row>
    <row r="13" spans="1:4" x14ac:dyDescent="0.5">
      <c r="A13" t="s">
        <v>30</v>
      </c>
      <c r="B13" t="s">
        <v>595</v>
      </c>
      <c r="C13" t="s">
        <v>543</v>
      </c>
    </row>
    <row r="14" spans="1:4" x14ac:dyDescent="0.5">
      <c r="A14" t="s">
        <v>30</v>
      </c>
      <c r="B14" t="s">
        <v>596</v>
      </c>
      <c r="C14" t="s">
        <v>543</v>
      </c>
    </row>
    <row r="15" spans="1:4" x14ac:dyDescent="0.5">
      <c r="A15" t="s">
        <v>30</v>
      </c>
      <c r="B15" t="s">
        <v>597</v>
      </c>
      <c r="C15" t="s">
        <v>544</v>
      </c>
    </row>
    <row r="16" spans="1:4" x14ac:dyDescent="0.5">
      <c r="A16" t="s">
        <v>35</v>
      </c>
      <c r="B16" t="s">
        <v>591</v>
      </c>
      <c r="C16" t="s">
        <v>544</v>
      </c>
    </row>
    <row r="17" spans="1:3" x14ac:dyDescent="0.5">
      <c r="A17" t="s">
        <v>35</v>
      </c>
      <c r="B17" t="s">
        <v>592</v>
      </c>
      <c r="C17" t="s">
        <v>543</v>
      </c>
    </row>
    <row r="18" spans="1:3" x14ac:dyDescent="0.5">
      <c r="A18" t="s">
        <v>35</v>
      </c>
      <c r="B18" t="s">
        <v>593</v>
      </c>
      <c r="C18" t="s">
        <v>543</v>
      </c>
    </row>
    <row r="19" spans="1:3" x14ac:dyDescent="0.5">
      <c r="A19" t="s">
        <v>35</v>
      </c>
      <c r="B19" t="s">
        <v>594</v>
      </c>
      <c r="C19" t="s">
        <v>544</v>
      </c>
    </row>
    <row r="20" spans="1:3" x14ac:dyDescent="0.5">
      <c r="A20" t="s">
        <v>35</v>
      </c>
      <c r="B20" t="s">
        <v>595</v>
      </c>
      <c r="C20" t="s">
        <v>544</v>
      </c>
    </row>
    <row r="21" spans="1:3" x14ac:dyDescent="0.5">
      <c r="A21" t="s">
        <v>35</v>
      </c>
      <c r="B21" t="s">
        <v>596</v>
      </c>
      <c r="C21" t="s">
        <v>544</v>
      </c>
    </row>
    <row r="22" spans="1:3" x14ac:dyDescent="0.5">
      <c r="A22" t="s">
        <v>35</v>
      </c>
      <c r="B22" t="s">
        <v>597</v>
      </c>
      <c r="C22" t="s">
        <v>544</v>
      </c>
    </row>
    <row r="23" spans="1:3" x14ac:dyDescent="0.5">
      <c r="A23" t="s">
        <v>623</v>
      </c>
      <c r="B23" t="s">
        <v>591</v>
      </c>
      <c r="C23" t="s">
        <v>544</v>
      </c>
    </row>
    <row r="24" spans="1:3" x14ac:dyDescent="0.5">
      <c r="A24" t="s">
        <v>623</v>
      </c>
      <c r="B24" t="s">
        <v>592</v>
      </c>
      <c r="C24" t="s">
        <v>543</v>
      </c>
    </row>
    <row r="25" spans="1:3" x14ac:dyDescent="0.5">
      <c r="A25" t="s">
        <v>623</v>
      </c>
      <c r="B25" t="s">
        <v>593</v>
      </c>
      <c r="C25" t="s">
        <v>543</v>
      </c>
    </row>
    <row r="26" spans="1:3" x14ac:dyDescent="0.5">
      <c r="A26" t="s">
        <v>623</v>
      </c>
      <c r="B26" t="s">
        <v>594</v>
      </c>
      <c r="C26" t="s">
        <v>543</v>
      </c>
    </row>
    <row r="27" spans="1:3" x14ac:dyDescent="0.5">
      <c r="A27" t="s">
        <v>623</v>
      </c>
      <c r="B27" t="s">
        <v>595</v>
      </c>
      <c r="C27" t="s">
        <v>544</v>
      </c>
    </row>
    <row r="28" spans="1:3" x14ac:dyDescent="0.5">
      <c r="A28" t="s">
        <v>623</v>
      </c>
      <c r="B28" t="s">
        <v>596</v>
      </c>
      <c r="C28" t="s">
        <v>544</v>
      </c>
    </row>
    <row r="29" spans="1:3" x14ac:dyDescent="0.5">
      <c r="A29" t="s">
        <v>623</v>
      </c>
      <c r="B29" t="s">
        <v>597</v>
      </c>
      <c r="C29" t="s">
        <v>543</v>
      </c>
    </row>
    <row r="30" spans="1:3" x14ac:dyDescent="0.5">
      <c r="A30" t="s">
        <v>47</v>
      </c>
      <c r="B30" t="s">
        <v>591</v>
      </c>
      <c r="C30" t="s">
        <v>544</v>
      </c>
    </row>
    <row r="31" spans="1:3" x14ac:dyDescent="0.5">
      <c r="A31" t="s">
        <v>47</v>
      </c>
      <c r="B31" t="s">
        <v>592</v>
      </c>
      <c r="C31" t="s">
        <v>543</v>
      </c>
    </row>
    <row r="32" spans="1:3" x14ac:dyDescent="0.5">
      <c r="A32" t="s">
        <v>47</v>
      </c>
      <c r="B32" t="s">
        <v>593</v>
      </c>
      <c r="C32" t="s">
        <v>543</v>
      </c>
    </row>
    <row r="33" spans="1:3" x14ac:dyDescent="0.5">
      <c r="A33" t="s">
        <v>47</v>
      </c>
      <c r="B33" t="s">
        <v>594</v>
      </c>
      <c r="C33" t="s">
        <v>543</v>
      </c>
    </row>
    <row r="34" spans="1:3" x14ac:dyDescent="0.5">
      <c r="A34" t="s">
        <v>47</v>
      </c>
      <c r="B34" t="s">
        <v>595</v>
      </c>
      <c r="C34" t="s">
        <v>544</v>
      </c>
    </row>
    <row r="35" spans="1:3" x14ac:dyDescent="0.5">
      <c r="A35" t="s">
        <v>47</v>
      </c>
      <c r="B35" t="s">
        <v>596</v>
      </c>
      <c r="C35" t="s">
        <v>544</v>
      </c>
    </row>
    <row r="36" spans="1:3" x14ac:dyDescent="0.5">
      <c r="A36" t="s">
        <v>47</v>
      </c>
      <c r="B36" t="s">
        <v>597</v>
      </c>
      <c r="C36" t="s">
        <v>543</v>
      </c>
    </row>
    <row r="37" spans="1:3" x14ac:dyDescent="0.5">
      <c r="A37" t="s">
        <v>63</v>
      </c>
      <c r="B37" t="s">
        <v>591</v>
      </c>
      <c r="C37" t="s">
        <v>544</v>
      </c>
    </row>
    <row r="38" spans="1:3" x14ac:dyDescent="0.5">
      <c r="A38" t="s">
        <v>63</v>
      </c>
      <c r="B38" t="s">
        <v>592</v>
      </c>
      <c r="C38" t="s">
        <v>543</v>
      </c>
    </row>
    <row r="39" spans="1:3" x14ac:dyDescent="0.5">
      <c r="A39" t="s">
        <v>63</v>
      </c>
      <c r="B39" t="s">
        <v>593</v>
      </c>
      <c r="C39" t="s">
        <v>543</v>
      </c>
    </row>
    <row r="40" spans="1:3" x14ac:dyDescent="0.5">
      <c r="A40" t="s">
        <v>63</v>
      </c>
      <c r="B40" t="s">
        <v>594</v>
      </c>
      <c r="C40" t="s">
        <v>543</v>
      </c>
    </row>
    <row r="41" spans="1:3" x14ac:dyDescent="0.5">
      <c r="A41" t="s">
        <v>63</v>
      </c>
      <c r="B41" t="s">
        <v>595</v>
      </c>
      <c r="C41" t="s">
        <v>543</v>
      </c>
    </row>
    <row r="42" spans="1:3" x14ac:dyDescent="0.5">
      <c r="A42" t="s">
        <v>63</v>
      </c>
      <c r="B42" t="s">
        <v>596</v>
      </c>
      <c r="C42" t="s">
        <v>544</v>
      </c>
    </row>
    <row r="43" spans="1:3" x14ac:dyDescent="0.5">
      <c r="A43" t="s">
        <v>63</v>
      </c>
      <c r="B43" t="s">
        <v>597</v>
      </c>
      <c r="C43" t="s">
        <v>543</v>
      </c>
    </row>
    <row r="44" spans="1:3" x14ac:dyDescent="0.5">
      <c r="A44" s="63" t="str">
        <f>Standards!B17</f>
        <v>ISO 29481-1</v>
      </c>
      <c r="B44" t="s">
        <v>591</v>
      </c>
      <c r="C44" t="s">
        <v>544</v>
      </c>
    </row>
    <row r="45" spans="1:3" x14ac:dyDescent="0.5">
      <c r="A45" t="s">
        <v>68</v>
      </c>
      <c r="B45" t="s">
        <v>591</v>
      </c>
      <c r="C45" t="s">
        <v>544</v>
      </c>
    </row>
    <row r="46" spans="1:3" x14ac:dyDescent="0.5">
      <c r="A46" t="str">
        <f>Standards!B17</f>
        <v>ISO 29481-1</v>
      </c>
      <c r="B46" t="s">
        <v>592</v>
      </c>
      <c r="C46" t="s">
        <v>543</v>
      </c>
    </row>
    <row r="47" spans="1:3" x14ac:dyDescent="0.5">
      <c r="A47" t="s">
        <v>68</v>
      </c>
      <c r="B47" t="s">
        <v>592</v>
      </c>
      <c r="C47" t="s">
        <v>543</v>
      </c>
    </row>
    <row r="48" spans="1:3" x14ac:dyDescent="0.5">
      <c r="A48" t="str">
        <f>Standards!B17</f>
        <v>ISO 29481-1</v>
      </c>
      <c r="B48" t="s">
        <v>593</v>
      </c>
      <c r="C48" t="s">
        <v>543</v>
      </c>
    </row>
    <row r="49" spans="1:3" x14ac:dyDescent="0.5">
      <c r="A49" t="s">
        <v>68</v>
      </c>
      <c r="B49" t="s">
        <v>593</v>
      </c>
      <c r="C49" t="s">
        <v>544</v>
      </c>
    </row>
    <row r="50" spans="1:3" x14ac:dyDescent="0.5">
      <c r="A50" t="str">
        <f>Standards!B17</f>
        <v>ISO 29481-1</v>
      </c>
      <c r="B50" t="s">
        <v>594</v>
      </c>
      <c r="C50" t="s">
        <v>544</v>
      </c>
    </row>
    <row r="51" spans="1:3" x14ac:dyDescent="0.5">
      <c r="A51" t="s">
        <v>68</v>
      </c>
      <c r="B51" t="s">
        <v>594</v>
      </c>
      <c r="C51" t="s">
        <v>544</v>
      </c>
    </row>
    <row r="52" spans="1:3" x14ac:dyDescent="0.5">
      <c r="A52" t="str">
        <f>Standards!B17</f>
        <v>ISO 29481-1</v>
      </c>
      <c r="B52" t="s">
        <v>595</v>
      </c>
      <c r="C52" t="s">
        <v>544</v>
      </c>
    </row>
    <row r="53" spans="1:3" x14ac:dyDescent="0.5">
      <c r="A53" t="s">
        <v>68</v>
      </c>
      <c r="B53" t="s">
        <v>595</v>
      </c>
      <c r="C53" t="s">
        <v>544</v>
      </c>
    </row>
    <row r="54" spans="1:3" x14ac:dyDescent="0.5">
      <c r="A54" t="str">
        <f>Standards!B17</f>
        <v>ISO 29481-1</v>
      </c>
      <c r="B54" t="s">
        <v>596</v>
      </c>
      <c r="C54" t="s">
        <v>544</v>
      </c>
    </row>
    <row r="55" spans="1:3" x14ac:dyDescent="0.5">
      <c r="A55" t="s">
        <v>68</v>
      </c>
      <c r="B55" t="s">
        <v>596</v>
      </c>
      <c r="C55" t="s">
        <v>544</v>
      </c>
    </row>
    <row r="56" spans="1:3" x14ac:dyDescent="0.5">
      <c r="A56" t="str">
        <f>Standards!B17</f>
        <v>ISO 29481-1</v>
      </c>
      <c r="B56" t="s">
        <v>597</v>
      </c>
      <c r="C56" t="s">
        <v>543</v>
      </c>
    </row>
    <row r="57" spans="1:3" x14ac:dyDescent="0.5">
      <c r="A57" t="s">
        <v>68</v>
      </c>
      <c r="B57" t="s">
        <v>597</v>
      </c>
      <c r="C57" t="s">
        <v>544</v>
      </c>
    </row>
    <row r="58" spans="1:3" x14ac:dyDescent="0.5">
      <c r="A58" t="s">
        <v>96</v>
      </c>
      <c r="B58" t="s">
        <v>591</v>
      </c>
      <c r="C58" t="s">
        <v>544</v>
      </c>
    </row>
    <row r="59" spans="1:3" x14ac:dyDescent="0.5">
      <c r="A59" t="s">
        <v>96</v>
      </c>
      <c r="B59" t="s">
        <v>592</v>
      </c>
      <c r="C59" t="s">
        <v>544</v>
      </c>
    </row>
    <row r="60" spans="1:3" x14ac:dyDescent="0.5">
      <c r="A60" t="s">
        <v>96</v>
      </c>
      <c r="B60" t="s">
        <v>593</v>
      </c>
      <c r="C60" t="s">
        <v>543</v>
      </c>
    </row>
    <row r="61" spans="1:3" x14ac:dyDescent="0.5">
      <c r="A61" t="s">
        <v>96</v>
      </c>
      <c r="B61" t="s">
        <v>594</v>
      </c>
      <c r="C61" t="s">
        <v>544</v>
      </c>
    </row>
    <row r="62" spans="1:3" x14ac:dyDescent="0.5">
      <c r="A62" t="s">
        <v>96</v>
      </c>
      <c r="B62" t="s">
        <v>595</v>
      </c>
      <c r="C62" t="s">
        <v>543</v>
      </c>
    </row>
    <row r="63" spans="1:3" x14ac:dyDescent="0.5">
      <c r="A63" t="s">
        <v>96</v>
      </c>
      <c r="B63" t="s">
        <v>596</v>
      </c>
      <c r="C63" t="s">
        <v>544</v>
      </c>
    </row>
    <row r="64" spans="1:3" x14ac:dyDescent="0.5">
      <c r="A64" t="s">
        <v>96</v>
      </c>
      <c r="B64" t="s">
        <v>597</v>
      </c>
      <c r="C64" t="s">
        <v>543</v>
      </c>
    </row>
    <row r="65" spans="1:3" x14ac:dyDescent="0.5">
      <c r="A65" t="s">
        <v>144</v>
      </c>
      <c r="B65" t="s">
        <v>591</v>
      </c>
      <c r="C65" t="s">
        <v>544</v>
      </c>
    </row>
    <row r="66" spans="1:3" x14ac:dyDescent="0.5">
      <c r="A66" t="s">
        <v>144</v>
      </c>
      <c r="B66" t="s">
        <v>592</v>
      </c>
      <c r="C66" t="s">
        <v>543</v>
      </c>
    </row>
    <row r="67" spans="1:3" x14ac:dyDescent="0.5">
      <c r="A67" t="s">
        <v>144</v>
      </c>
      <c r="B67" t="s">
        <v>593</v>
      </c>
      <c r="C67" t="s">
        <v>544</v>
      </c>
    </row>
    <row r="68" spans="1:3" x14ac:dyDescent="0.5">
      <c r="A68" t="s">
        <v>144</v>
      </c>
      <c r="B68" t="s">
        <v>594</v>
      </c>
      <c r="C68" t="s">
        <v>544</v>
      </c>
    </row>
    <row r="69" spans="1:3" x14ac:dyDescent="0.5">
      <c r="A69" t="s">
        <v>144</v>
      </c>
      <c r="B69" t="s">
        <v>595</v>
      </c>
      <c r="C69" t="s">
        <v>544</v>
      </c>
    </row>
    <row r="70" spans="1:3" x14ac:dyDescent="0.5">
      <c r="A70" t="s">
        <v>144</v>
      </c>
      <c r="B70" t="s">
        <v>596</v>
      </c>
      <c r="C70" t="s">
        <v>544</v>
      </c>
    </row>
    <row r="71" spans="1:3" x14ac:dyDescent="0.5">
      <c r="A71" t="s">
        <v>144</v>
      </c>
      <c r="B71" t="s">
        <v>597</v>
      </c>
      <c r="C71" t="s">
        <v>544</v>
      </c>
    </row>
    <row r="72" spans="1:3" x14ac:dyDescent="0.5">
      <c r="A72" t="s">
        <v>170</v>
      </c>
      <c r="B72" t="s">
        <v>591</v>
      </c>
      <c r="C72" t="s">
        <v>544</v>
      </c>
    </row>
    <row r="73" spans="1:3" x14ac:dyDescent="0.5">
      <c r="A73" t="s">
        <v>170</v>
      </c>
      <c r="B73" t="s">
        <v>592</v>
      </c>
      <c r="C73" t="s">
        <v>543</v>
      </c>
    </row>
    <row r="74" spans="1:3" x14ac:dyDescent="0.5">
      <c r="A74" t="s">
        <v>170</v>
      </c>
      <c r="B74" t="s">
        <v>593</v>
      </c>
      <c r="C74" t="s">
        <v>543</v>
      </c>
    </row>
    <row r="75" spans="1:3" x14ac:dyDescent="0.5">
      <c r="A75" t="s">
        <v>170</v>
      </c>
      <c r="B75" t="s">
        <v>594</v>
      </c>
      <c r="C75" t="s">
        <v>543</v>
      </c>
    </row>
    <row r="76" spans="1:3" x14ac:dyDescent="0.5">
      <c r="A76" t="s">
        <v>170</v>
      </c>
      <c r="B76" t="s">
        <v>595</v>
      </c>
      <c r="C76" t="s">
        <v>544</v>
      </c>
    </row>
    <row r="77" spans="1:3" x14ac:dyDescent="0.5">
      <c r="A77" t="s">
        <v>170</v>
      </c>
      <c r="B77" t="s">
        <v>596</v>
      </c>
      <c r="C77" t="s">
        <v>544</v>
      </c>
    </row>
    <row r="78" spans="1:3" x14ac:dyDescent="0.5">
      <c r="A78" t="s">
        <v>170</v>
      </c>
      <c r="B78" t="s">
        <v>597</v>
      </c>
      <c r="C78" t="s">
        <v>543</v>
      </c>
    </row>
    <row r="79" spans="1:3" x14ac:dyDescent="0.5">
      <c r="A79" t="s">
        <v>174</v>
      </c>
      <c r="B79" t="s">
        <v>591</v>
      </c>
      <c r="C79" t="s">
        <v>544</v>
      </c>
    </row>
    <row r="80" spans="1:3" x14ac:dyDescent="0.5">
      <c r="A80" t="s">
        <v>174</v>
      </c>
      <c r="B80" t="s">
        <v>592</v>
      </c>
      <c r="C80" t="s">
        <v>543</v>
      </c>
    </row>
    <row r="81" spans="1:3" x14ac:dyDescent="0.5">
      <c r="A81" t="s">
        <v>174</v>
      </c>
      <c r="B81" t="s">
        <v>593</v>
      </c>
      <c r="C81" t="s">
        <v>543</v>
      </c>
    </row>
    <row r="82" spans="1:3" x14ac:dyDescent="0.5">
      <c r="A82" t="s">
        <v>174</v>
      </c>
      <c r="B82" t="s">
        <v>594</v>
      </c>
      <c r="C82" t="s">
        <v>543</v>
      </c>
    </row>
    <row r="83" spans="1:3" x14ac:dyDescent="0.5">
      <c r="A83" t="s">
        <v>174</v>
      </c>
      <c r="B83" t="s">
        <v>595</v>
      </c>
      <c r="C83" t="s">
        <v>544</v>
      </c>
    </row>
    <row r="84" spans="1:3" x14ac:dyDescent="0.5">
      <c r="A84" t="s">
        <v>174</v>
      </c>
      <c r="B84" t="s">
        <v>596</v>
      </c>
      <c r="C84" t="s">
        <v>544</v>
      </c>
    </row>
    <row r="85" spans="1:3" x14ac:dyDescent="0.5">
      <c r="A85" t="s">
        <v>174</v>
      </c>
      <c r="B85" t="s">
        <v>597</v>
      </c>
      <c r="C85" t="s">
        <v>543</v>
      </c>
    </row>
    <row r="86" spans="1:3" x14ac:dyDescent="0.5">
      <c r="A86" t="s">
        <v>210</v>
      </c>
      <c r="B86" t="s">
        <v>591</v>
      </c>
      <c r="C86" t="s">
        <v>544</v>
      </c>
    </row>
    <row r="87" spans="1:3" x14ac:dyDescent="0.5">
      <c r="A87" t="s">
        <v>210</v>
      </c>
      <c r="B87" t="s">
        <v>592</v>
      </c>
      <c r="C87" t="s">
        <v>543</v>
      </c>
    </row>
    <row r="88" spans="1:3" x14ac:dyDescent="0.5">
      <c r="A88" t="s">
        <v>210</v>
      </c>
      <c r="B88" t="s">
        <v>593</v>
      </c>
      <c r="C88" t="s">
        <v>543</v>
      </c>
    </row>
    <row r="89" spans="1:3" x14ac:dyDescent="0.5">
      <c r="A89" t="s">
        <v>210</v>
      </c>
      <c r="B89" t="s">
        <v>594</v>
      </c>
      <c r="C89" t="s">
        <v>544</v>
      </c>
    </row>
    <row r="90" spans="1:3" x14ac:dyDescent="0.5">
      <c r="A90" t="s">
        <v>210</v>
      </c>
      <c r="B90" t="s">
        <v>595</v>
      </c>
      <c r="C90" t="s">
        <v>543</v>
      </c>
    </row>
    <row r="91" spans="1:3" x14ac:dyDescent="0.5">
      <c r="A91" t="s">
        <v>210</v>
      </c>
      <c r="B91" t="s">
        <v>596</v>
      </c>
      <c r="C91" t="s">
        <v>543</v>
      </c>
    </row>
    <row r="92" spans="1:3" x14ac:dyDescent="0.5">
      <c r="A92" t="s">
        <v>210</v>
      </c>
      <c r="B92" t="s">
        <v>597</v>
      </c>
      <c r="C92" t="s">
        <v>543</v>
      </c>
    </row>
    <row r="93" spans="1:3" x14ac:dyDescent="0.5">
      <c r="A93" t="s">
        <v>214</v>
      </c>
      <c r="B93" t="s">
        <v>591</v>
      </c>
      <c r="C93" t="s">
        <v>544</v>
      </c>
    </row>
    <row r="94" spans="1:3" x14ac:dyDescent="0.5">
      <c r="A94" t="s">
        <v>214</v>
      </c>
      <c r="B94" t="s">
        <v>592</v>
      </c>
      <c r="C94" t="s">
        <v>543</v>
      </c>
    </row>
    <row r="95" spans="1:3" x14ac:dyDescent="0.5">
      <c r="A95" t="s">
        <v>214</v>
      </c>
      <c r="B95" t="s">
        <v>593</v>
      </c>
      <c r="C95" t="s">
        <v>543</v>
      </c>
    </row>
    <row r="96" spans="1:3" x14ac:dyDescent="0.5">
      <c r="A96" t="s">
        <v>214</v>
      </c>
      <c r="B96" t="s">
        <v>594</v>
      </c>
      <c r="C96" t="s">
        <v>544</v>
      </c>
    </row>
    <row r="97" spans="1:3" x14ac:dyDescent="0.5">
      <c r="A97" t="s">
        <v>214</v>
      </c>
      <c r="B97" t="s">
        <v>595</v>
      </c>
      <c r="C97" t="s">
        <v>543</v>
      </c>
    </row>
    <row r="98" spans="1:3" x14ac:dyDescent="0.5">
      <c r="A98" t="s">
        <v>214</v>
      </c>
      <c r="B98" t="s">
        <v>596</v>
      </c>
      <c r="C98" t="s">
        <v>544</v>
      </c>
    </row>
    <row r="99" spans="1:3" x14ac:dyDescent="0.5">
      <c r="A99" t="s">
        <v>214</v>
      </c>
      <c r="B99" t="s">
        <v>597</v>
      </c>
      <c r="C99" t="s">
        <v>543</v>
      </c>
    </row>
    <row r="100" spans="1:3" x14ac:dyDescent="0.5">
      <c r="A100" t="s">
        <v>224</v>
      </c>
      <c r="B100" t="s">
        <v>591</v>
      </c>
      <c r="C100" t="s">
        <v>544</v>
      </c>
    </row>
    <row r="101" spans="1:3" x14ac:dyDescent="0.5">
      <c r="A101" t="s">
        <v>224</v>
      </c>
      <c r="B101" t="s">
        <v>592</v>
      </c>
      <c r="C101" t="s">
        <v>543</v>
      </c>
    </row>
    <row r="102" spans="1:3" x14ac:dyDescent="0.5">
      <c r="A102" t="s">
        <v>224</v>
      </c>
      <c r="B102" t="s">
        <v>593</v>
      </c>
      <c r="C102" t="s">
        <v>543</v>
      </c>
    </row>
    <row r="103" spans="1:3" x14ac:dyDescent="0.5">
      <c r="A103" t="s">
        <v>224</v>
      </c>
      <c r="B103" t="s">
        <v>594</v>
      </c>
      <c r="C103" t="s">
        <v>544</v>
      </c>
    </row>
    <row r="104" spans="1:3" x14ac:dyDescent="0.5">
      <c r="A104" t="s">
        <v>224</v>
      </c>
      <c r="B104" t="s">
        <v>595</v>
      </c>
      <c r="C104" t="s">
        <v>544</v>
      </c>
    </row>
    <row r="105" spans="1:3" x14ac:dyDescent="0.5">
      <c r="A105" t="s">
        <v>224</v>
      </c>
      <c r="B105" t="s">
        <v>596</v>
      </c>
      <c r="C105" t="s">
        <v>543</v>
      </c>
    </row>
    <row r="106" spans="1:3" x14ac:dyDescent="0.5">
      <c r="A106" t="s">
        <v>224</v>
      </c>
      <c r="B106" t="s">
        <v>597</v>
      </c>
      <c r="C106" t="s">
        <v>543</v>
      </c>
    </row>
    <row r="107" spans="1:3" x14ac:dyDescent="0.5">
      <c r="A107" t="s">
        <v>228</v>
      </c>
      <c r="B107" t="s">
        <v>592</v>
      </c>
      <c r="C107" t="s">
        <v>543</v>
      </c>
    </row>
    <row r="108" spans="1:3" x14ac:dyDescent="0.5">
      <c r="A108" t="s">
        <v>228</v>
      </c>
      <c r="B108" t="s">
        <v>593</v>
      </c>
      <c r="C108" t="s">
        <v>544</v>
      </c>
    </row>
    <row r="109" spans="1:3" x14ac:dyDescent="0.5">
      <c r="A109" t="s">
        <v>228</v>
      </c>
      <c r="B109" t="s">
        <v>594</v>
      </c>
      <c r="C109" t="s">
        <v>544</v>
      </c>
    </row>
    <row r="110" spans="1:3" x14ac:dyDescent="0.5">
      <c r="A110" t="s">
        <v>228</v>
      </c>
      <c r="B110" t="s">
        <v>595</v>
      </c>
      <c r="C110" t="s">
        <v>543</v>
      </c>
    </row>
    <row r="111" spans="1:3" x14ac:dyDescent="0.5">
      <c r="A111" t="s">
        <v>228</v>
      </c>
      <c r="B111" t="s">
        <v>596</v>
      </c>
      <c r="C111" t="s">
        <v>544</v>
      </c>
    </row>
    <row r="112" spans="1:3" x14ac:dyDescent="0.5">
      <c r="A112" t="s">
        <v>228</v>
      </c>
      <c r="B112" t="s">
        <v>597</v>
      </c>
      <c r="C112" t="s">
        <v>544</v>
      </c>
    </row>
    <row r="113" spans="1:3" x14ac:dyDescent="0.5">
      <c r="A113" t="s">
        <v>232</v>
      </c>
      <c r="B113" t="s">
        <v>591</v>
      </c>
      <c r="C113" t="s">
        <v>543</v>
      </c>
    </row>
    <row r="114" spans="1:3" x14ac:dyDescent="0.5">
      <c r="A114" t="s">
        <v>232</v>
      </c>
      <c r="B114" t="s">
        <v>592</v>
      </c>
      <c r="C114" t="s">
        <v>543</v>
      </c>
    </row>
    <row r="115" spans="1:3" x14ac:dyDescent="0.5">
      <c r="A115" t="s">
        <v>232</v>
      </c>
      <c r="B115" t="s">
        <v>593</v>
      </c>
      <c r="C115" t="s">
        <v>544</v>
      </c>
    </row>
    <row r="116" spans="1:3" x14ac:dyDescent="0.5">
      <c r="A116" t="s">
        <v>232</v>
      </c>
      <c r="B116" t="s">
        <v>594</v>
      </c>
      <c r="C116" t="s">
        <v>544</v>
      </c>
    </row>
    <row r="117" spans="1:3" x14ac:dyDescent="0.5">
      <c r="A117" t="s">
        <v>232</v>
      </c>
      <c r="B117" t="s">
        <v>595</v>
      </c>
      <c r="C117" t="s">
        <v>544</v>
      </c>
    </row>
    <row r="118" spans="1:3" x14ac:dyDescent="0.5">
      <c r="A118" t="s">
        <v>232</v>
      </c>
      <c r="B118" t="s">
        <v>596</v>
      </c>
      <c r="C118" t="s">
        <v>543</v>
      </c>
    </row>
    <row r="119" spans="1:3" x14ac:dyDescent="0.5">
      <c r="A119" t="s">
        <v>232</v>
      </c>
      <c r="B119" t="s">
        <v>597</v>
      </c>
      <c r="C119" t="s">
        <v>544</v>
      </c>
    </row>
    <row r="120" spans="1:3" x14ac:dyDescent="0.5">
      <c r="A120" s="63" t="str">
        <f>Standards!B151</f>
        <v>ISO 21502</v>
      </c>
      <c r="B120" t="s">
        <v>591</v>
      </c>
      <c r="C120" t="s">
        <v>544</v>
      </c>
    </row>
    <row r="121" spans="1:3" x14ac:dyDescent="0.5">
      <c r="A121" t="s">
        <v>245</v>
      </c>
      <c r="B121" t="s">
        <v>591</v>
      </c>
      <c r="C121" t="s">
        <v>544</v>
      </c>
    </row>
    <row r="122" spans="1:3" x14ac:dyDescent="0.5">
      <c r="A122" t="s">
        <v>245</v>
      </c>
      <c r="B122" t="s">
        <v>592</v>
      </c>
      <c r="C122" t="s">
        <v>543</v>
      </c>
    </row>
    <row r="123" spans="1:3" x14ac:dyDescent="0.5">
      <c r="A123" t="s">
        <v>245</v>
      </c>
      <c r="B123" t="s">
        <v>593</v>
      </c>
      <c r="C123" t="s">
        <v>544</v>
      </c>
    </row>
    <row r="124" spans="1:3" x14ac:dyDescent="0.5">
      <c r="A124" t="s">
        <v>245</v>
      </c>
      <c r="B124" t="s">
        <v>594</v>
      </c>
      <c r="C124" t="s">
        <v>544</v>
      </c>
    </row>
    <row r="125" spans="1:3" x14ac:dyDescent="0.5">
      <c r="A125" t="s">
        <v>245</v>
      </c>
      <c r="B125" t="s">
        <v>595</v>
      </c>
      <c r="C125" t="s">
        <v>544</v>
      </c>
    </row>
    <row r="126" spans="1:3" x14ac:dyDescent="0.5">
      <c r="A126" t="s">
        <v>245</v>
      </c>
      <c r="B126" t="s">
        <v>596</v>
      </c>
      <c r="C126" t="s">
        <v>544</v>
      </c>
    </row>
    <row r="127" spans="1:3" x14ac:dyDescent="0.5">
      <c r="A127" t="s">
        <v>245</v>
      </c>
      <c r="B127" t="s">
        <v>597</v>
      </c>
      <c r="C127" t="s">
        <v>544</v>
      </c>
    </row>
    <row r="128" spans="1:3" x14ac:dyDescent="0.5">
      <c r="A128" t="s">
        <v>250</v>
      </c>
      <c r="B128" t="s">
        <v>591</v>
      </c>
      <c r="C128" t="s">
        <v>544</v>
      </c>
    </row>
    <row r="129" spans="1:3" x14ac:dyDescent="0.5">
      <c r="A129" t="s">
        <v>250</v>
      </c>
      <c r="B129" t="s">
        <v>592</v>
      </c>
      <c r="C129" t="s">
        <v>543</v>
      </c>
    </row>
    <row r="130" spans="1:3" x14ac:dyDescent="0.5">
      <c r="A130" t="s">
        <v>250</v>
      </c>
      <c r="B130" t="s">
        <v>593</v>
      </c>
      <c r="C130" t="s">
        <v>544</v>
      </c>
    </row>
    <row r="131" spans="1:3" x14ac:dyDescent="0.5">
      <c r="A131" t="s">
        <v>250</v>
      </c>
      <c r="B131" t="s">
        <v>594</v>
      </c>
      <c r="C131" t="s">
        <v>544</v>
      </c>
    </row>
    <row r="132" spans="1:3" x14ac:dyDescent="0.5">
      <c r="A132" t="s">
        <v>250</v>
      </c>
      <c r="B132" t="s">
        <v>595</v>
      </c>
      <c r="C132" t="s">
        <v>544</v>
      </c>
    </row>
    <row r="133" spans="1:3" x14ac:dyDescent="0.5">
      <c r="A133" t="s">
        <v>250</v>
      </c>
      <c r="B133" t="s">
        <v>596</v>
      </c>
      <c r="C133" t="s">
        <v>544</v>
      </c>
    </row>
    <row r="134" spans="1:3" x14ac:dyDescent="0.5">
      <c r="A134" t="s">
        <v>250</v>
      </c>
      <c r="B134" t="s">
        <v>597</v>
      </c>
      <c r="C134" t="s">
        <v>544</v>
      </c>
    </row>
    <row r="135" spans="1:3" x14ac:dyDescent="0.5">
      <c r="A135" t="s">
        <v>376</v>
      </c>
      <c r="B135" t="s">
        <v>591</v>
      </c>
      <c r="C135" t="s">
        <v>544</v>
      </c>
    </row>
    <row r="136" spans="1:3" x14ac:dyDescent="0.5">
      <c r="A136" t="s">
        <v>376</v>
      </c>
      <c r="B136" t="s">
        <v>592</v>
      </c>
      <c r="C136" t="s">
        <v>543</v>
      </c>
    </row>
    <row r="137" spans="1:3" x14ac:dyDescent="0.5">
      <c r="A137" t="s">
        <v>376</v>
      </c>
      <c r="B137" t="s">
        <v>593</v>
      </c>
      <c r="C137" t="s">
        <v>543</v>
      </c>
    </row>
    <row r="138" spans="1:3" x14ac:dyDescent="0.5">
      <c r="A138" t="s">
        <v>376</v>
      </c>
      <c r="B138" t="s">
        <v>594</v>
      </c>
      <c r="C138" t="s">
        <v>544</v>
      </c>
    </row>
    <row r="139" spans="1:3" x14ac:dyDescent="0.5">
      <c r="A139" t="s">
        <v>376</v>
      </c>
      <c r="B139" t="s">
        <v>595</v>
      </c>
      <c r="C139" t="s">
        <v>543</v>
      </c>
    </row>
    <row r="140" spans="1:3" x14ac:dyDescent="0.5">
      <c r="A140" t="s">
        <v>376</v>
      </c>
      <c r="B140" t="s">
        <v>596</v>
      </c>
      <c r="C140" t="s">
        <v>543</v>
      </c>
    </row>
    <row r="141" spans="1:3" x14ac:dyDescent="0.5">
      <c r="A141" t="s">
        <v>376</v>
      </c>
      <c r="B141" t="s">
        <v>597</v>
      </c>
      <c r="C141" t="s">
        <v>543</v>
      </c>
    </row>
    <row r="142" spans="1:3" x14ac:dyDescent="0.5">
      <c r="A142" t="s">
        <v>388</v>
      </c>
      <c r="B142" t="s">
        <v>591</v>
      </c>
      <c r="C142" t="s">
        <v>544</v>
      </c>
    </row>
    <row r="143" spans="1:3" x14ac:dyDescent="0.5">
      <c r="A143" t="s">
        <v>388</v>
      </c>
      <c r="B143" t="s">
        <v>592</v>
      </c>
      <c r="C143" t="s">
        <v>543</v>
      </c>
    </row>
    <row r="144" spans="1:3" x14ac:dyDescent="0.5">
      <c r="A144" t="s">
        <v>388</v>
      </c>
      <c r="B144" t="s">
        <v>593</v>
      </c>
      <c r="C144" t="s">
        <v>543</v>
      </c>
    </row>
    <row r="145" spans="1:3" x14ac:dyDescent="0.5">
      <c r="A145" t="s">
        <v>388</v>
      </c>
      <c r="B145" t="s">
        <v>594</v>
      </c>
      <c r="C145" t="s">
        <v>543</v>
      </c>
    </row>
    <row r="146" spans="1:3" x14ac:dyDescent="0.5">
      <c r="A146" t="s">
        <v>388</v>
      </c>
      <c r="B146" t="s">
        <v>595</v>
      </c>
      <c r="C146" t="s">
        <v>543</v>
      </c>
    </row>
    <row r="147" spans="1:3" x14ac:dyDescent="0.5">
      <c r="A147" t="s">
        <v>388</v>
      </c>
      <c r="B147" t="s">
        <v>596</v>
      </c>
      <c r="C147" t="s">
        <v>543</v>
      </c>
    </row>
    <row r="148" spans="1:3" x14ac:dyDescent="0.5">
      <c r="A148" t="s">
        <v>388</v>
      </c>
      <c r="B148" t="s">
        <v>597</v>
      </c>
      <c r="C148" t="s">
        <v>543</v>
      </c>
    </row>
    <row r="149" spans="1:3" x14ac:dyDescent="0.5">
      <c r="A149" t="s">
        <v>404</v>
      </c>
      <c r="B149" t="s">
        <v>591</v>
      </c>
      <c r="C149" t="s">
        <v>544</v>
      </c>
    </row>
    <row r="150" spans="1:3" x14ac:dyDescent="0.5">
      <c r="A150" t="s">
        <v>404</v>
      </c>
      <c r="B150" t="s">
        <v>592</v>
      </c>
      <c r="C150" t="s">
        <v>543</v>
      </c>
    </row>
    <row r="151" spans="1:3" x14ac:dyDescent="0.5">
      <c r="A151" t="s">
        <v>404</v>
      </c>
      <c r="B151" t="s">
        <v>593</v>
      </c>
      <c r="C151" t="s">
        <v>543</v>
      </c>
    </row>
    <row r="152" spans="1:3" x14ac:dyDescent="0.5">
      <c r="A152" t="s">
        <v>404</v>
      </c>
      <c r="B152" t="s">
        <v>594</v>
      </c>
      <c r="C152" t="s">
        <v>543</v>
      </c>
    </row>
    <row r="153" spans="1:3" x14ac:dyDescent="0.5">
      <c r="A153" t="s">
        <v>404</v>
      </c>
      <c r="B153" t="s">
        <v>595</v>
      </c>
      <c r="C153" t="s">
        <v>543</v>
      </c>
    </row>
    <row r="154" spans="1:3" x14ac:dyDescent="0.5">
      <c r="A154" t="s">
        <v>404</v>
      </c>
      <c r="B154" t="s">
        <v>596</v>
      </c>
      <c r="C154" t="s">
        <v>543</v>
      </c>
    </row>
    <row r="155" spans="1:3" x14ac:dyDescent="0.5">
      <c r="A155" t="s">
        <v>404</v>
      </c>
      <c r="B155" t="s">
        <v>597</v>
      </c>
      <c r="C155" t="s">
        <v>543</v>
      </c>
    </row>
    <row r="156" spans="1:3" x14ac:dyDescent="0.5">
      <c r="A156" t="s">
        <v>408</v>
      </c>
      <c r="B156" t="s">
        <v>591</v>
      </c>
      <c r="C156" t="s">
        <v>544</v>
      </c>
    </row>
    <row r="157" spans="1:3" x14ac:dyDescent="0.5">
      <c r="A157" t="s">
        <v>408</v>
      </c>
      <c r="B157" t="s">
        <v>592</v>
      </c>
      <c r="C157" t="s">
        <v>543</v>
      </c>
    </row>
    <row r="158" spans="1:3" x14ac:dyDescent="0.5">
      <c r="A158" t="s">
        <v>408</v>
      </c>
      <c r="B158" t="s">
        <v>593</v>
      </c>
      <c r="C158" t="s">
        <v>543</v>
      </c>
    </row>
    <row r="159" spans="1:3" x14ac:dyDescent="0.5">
      <c r="A159" t="s">
        <v>408</v>
      </c>
      <c r="B159" t="s">
        <v>594</v>
      </c>
      <c r="C159" t="s">
        <v>544</v>
      </c>
    </row>
    <row r="160" spans="1:3" x14ac:dyDescent="0.5">
      <c r="A160" t="s">
        <v>408</v>
      </c>
      <c r="B160" t="s">
        <v>595</v>
      </c>
      <c r="C160" t="s">
        <v>544</v>
      </c>
    </row>
    <row r="161" spans="1:3" x14ac:dyDescent="0.5">
      <c r="A161" t="s">
        <v>408</v>
      </c>
      <c r="B161" t="s">
        <v>596</v>
      </c>
      <c r="C161" t="s">
        <v>544</v>
      </c>
    </row>
    <row r="162" spans="1:3" x14ac:dyDescent="0.5">
      <c r="A162" t="s">
        <v>408</v>
      </c>
      <c r="B162" t="s">
        <v>597</v>
      </c>
      <c r="C162" t="s">
        <v>544</v>
      </c>
    </row>
    <row r="163" spans="1:3" x14ac:dyDescent="0.5">
      <c r="A163" t="s">
        <v>426</v>
      </c>
      <c r="B163" t="s">
        <v>591</v>
      </c>
      <c r="C163" t="s">
        <v>544</v>
      </c>
    </row>
    <row r="164" spans="1:3" x14ac:dyDescent="0.5">
      <c r="A164" t="s">
        <v>426</v>
      </c>
      <c r="B164" t="s">
        <v>592</v>
      </c>
      <c r="C164" t="s">
        <v>543</v>
      </c>
    </row>
    <row r="165" spans="1:3" x14ac:dyDescent="0.5">
      <c r="A165" t="s">
        <v>426</v>
      </c>
      <c r="B165" t="s">
        <v>593</v>
      </c>
      <c r="C165" t="s">
        <v>543</v>
      </c>
    </row>
    <row r="166" spans="1:3" x14ac:dyDescent="0.5">
      <c r="A166" t="s">
        <v>426</v>
      </c>
      <c r="B166" t="s">
        <v>594</v>
      </c>
      <c r="C166" t="s">
        <v>544</v>
      </c>
    </row>
    <row r="167" spans="1:3" x14ac:dyDescent="0.5">
      <c r="A167" t="s">
        <v>426</v>
      </c>
      <c r="B167" t="s">
        <v>595</v>
      </c>
      <c r="C167" t="s">
        <v>544</v>
      </c>
    </row>
    <row r="168" spans="1:3" x14ac:dyDescent="0.5">
      <c r="A168" t="s">
        <v>426</v>
      </c>
      <c r="B168" t="s">
        <v>596</v>
      </c>
      <c r="C168" t="s">
        <v>544</v>
      </c>
    </row>
    <row r="169" spans="1:3" x14ac:dyDescent="0.5">
      <c r="A169" t="s">
        <v>426</v>
      </c>
      <c r="B169" t="s">
        <v>597</v>
      </c>
      <c r="C169" t="s">
        <v>544</v>
      </c>
    </row>
    <row r="170" spans="1:3" x14ac:dyDescent="0.5">
      <c r="A170" t="s">
        <v>488</v>
      </c>
      <c r="B170" t="s">
        <v>591</v>
      </c>
      <c r="C170" t="s">
        <v>544</v>
      </c>
    </row>
    <row r="171" spans="1:3" x14ac:dyDescent="0.5">
      <c r="A171" t="s">
        <v>488</v>
      </c>
      <c r="B171" t="s">
        <v>592</v>
      </c>
      <c r="C171" t="s">
        <v>543</v>
      </c>
    </row>
    <row r="172" spans="1:3" x14ac:dyDescent="0.5">
      <c r="A172" t="s">
        <v>488</v>
      </c>
      <c r="B172" t="s">
        <v>593</v>
      </c>
      <c r="C172" t="s">
        <v>543</v>
      </c>
    </row>
    <row r="173" spans="1:3" x14ac:dyDescent="0.5">
      <c r="A173" t="s">
        <v>488</v>
      </c>
      <c r="B173" t="s">
        <v>594</v>
      </c>
      <c r="C173" t="s">
        <v>544</v>
      </c>
    </row>
    <row r="174" spans="1:3" x14ac:dyDescent="0.5">
      <c r="A174" t="s">
        <v>488</v>
      </c>
      <c r="B174" t="s">
        <v>595</v>
      </c>
      <c r="C174" t="s">
        <v>544</v>
      </c>
    </row>
    <row r="175" spans="1:3" x14ac:dyDescent="0.5">
      <c r="A175" t="s">
        <v>488</v>
      </c>
      <c r="B175" t="s">
        <v>596</v>
      </c>
      <c r="C175" t="s">
        <v>544</v>
      </c>
    </row>
    <row r="176" spans="1:3" x14ac:dyDescent="0.5">
      <c r="A176" t="s">
        <v>488</v>
      </c>
      <c r="B176" t="s">
        <v>597</v>
      </c>
      <c r="C176" t="s">
        <v>544</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06419a-bc24-4bca-aaf1-3b90bf7d837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7EB9F8E3ABAA489A6191778AAEABC8" ma:contentTypeVersion="14" ma:contentTypeDescription="Create a new document." ma:contentTypeScope="" ma:versionID="be0c97903f599d62d21cd63252cde9aa">
  <xsd:schema xmlns:xsd="http://www.w3.org/2001/XMLSchema" xmlns:xs="http://www.w3.org/2001/XMLSchema" xmlns:p="http://schemas.microsoft.com/office/2006/metadata/properties" xmlns:ns2="7e06419a-bc24-4bca-aaf1-3b90bf7d837a" targetNamespace="http://schemas.microsoft.com/office/2006/metadata/properties" ma:root="true" ma:fieldsID="784cf5edc76b43144e46369ffdbd4f65" ns2:_="">
    <xsd:import namespace="7e06419a-bc24-4bca-aaf1-3b90bf7d837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06419a-bc24-4bca-aaf1-3b90bf7d8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3F2E7D-F875-4797-88C2-7B536D590D62}">
  <ds:schemaRefs>
    <ds:schemaRef ds:uri="http://www.w3.org/XML/1998/namespace"/>
    <ds:schemaRef ds:uri="http://purl.org/dc/dcmitype/"/>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7e06419a-bc24-4bca-aaf1-3b90bf7d837a"/>
  </ds:schemaRefs>
</ds:datastoreItem>
</file>

<file path=customXml/itemProps2.xml><?xml version="1.0" encoding="utf-8"?>
<ds:datastoreItem xmlns:ds="http://schemas.openxmlformats.org/officeDocument/2006/customXml" ds:itemID="{F6399C69-DAA1-41C1-A638-40B99EE1D2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06419a-bc24-4bca-aaf1-3b90bf7d83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CD8F8-485F-4559-BF30-04835A4806CB}">
  <ds:schemaRefs>
    <ds:schemaRef ds:uri="http://schemas.microsoft.com/sharepoint/v3/contenttype/forms"/>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ToDo</vt:lpstr>
      <vt:lpstr>GIS-Standards</vt:lpstr>
      <vt:lpstr>GIS-Relationships</vt:lpstr>
      <vt:lpstr>GIS-BIM-mindmaps</vt:lpstr>
      <vt:lpstr>Standards</vt:lpstr>
      <vt:lpstr>Relationships</vt:lpstr>
      <vt:lpstr>Relevance-Roles</vt:lpstr>
      <vt:lpstr>Relevance-Phases</vt:lpstr>
      <vt:lpstr>Relevance-Topics</vt:lpstr>
      <vt:lpstr>Relevance-Topics-2</vt:lpstr>
      <vt:lpstr>Role-Topic-General-Links</vt:lpstr>
      <vt:lpstr>Role-Phase-Links</vt:lpstr>
      <vt:lpstr>Colours</vt:lpstr>
      <vt:lpstr>Relevance-Topics-General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2026-04-08T14:00:00Z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0x010100617EB9F8E3ABAA489A6191778AAEABC8</vt:lpwstr>
  </property>
  <property fmtid="{D5CDD505-2E9C-101B-9397-08002B2CF9AE}" pid="3" name="MediaServiceImageTags">
    <vt:lpwstr/>
  </property>
</Properties>
</file>